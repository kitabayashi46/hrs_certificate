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1040\Documents\古竹作成\基本設計書\"/>
    </mc:Choice>
  </mc:AlternateContent>
  <xr:revisionPtr revIDLastSave="0" documentId="13_ncr:1_{9405BA74-EEFD-4310-98D5-96B91002CE77}" xr6:coauthVersionLast="47" xr6:coauthVersionMax="47" xr10:uidLastSave="{00000000-0000-0000-0000-000000000000}"/>
  <bookViews>
    <workbookView xWindow="29370" yWindow="570" windowWidth="16245" windowHeight="10095" tabRatio="859" xr2:uid="{00000000-000D-0000-FFFF-FFFF00000000}"/>
  </bookViews>
  <sheets>
    <sheet name="表紙" sheetId="2" r:id="rId1"/>
    <sheet name="変更来歴" sheetId="3" r:id="rId2"/>
    <sheet name="化学物質データ申請確認画面" sheetId="67" r:id="rId3"/>
    <sheet name="画面項目" sheetId="70" r:id="rId4"/>
    <sheet name="処理詳細" sheetId="74" r:id="rId5"/>
    <sheet name="出力編集仕様" sheetId="76" r:id="rId6"/>
    <sheet name="ダウンロードCSVファイルについて" sheetId="75" r:id="rId7"/>
    <sheet name="選択画面" sheetId="63" state="hidden" r:id="rId8"/>
    <sheet name="円(PPM)" sheetId="16" state="hidden" r:id="rId9"/>
    <sheet name="円(技術原計)" sheetId="59" state="hidden" r:id="rId10"/>
    <sheet name="円(コリア原計)" sheetId="61" state="hidden" r:id="rId11"/>
    <sheet name="外貨(PPM)" sheetId="64" state="hidden" r:id="rId12"/>
    <sheet name="外貨(技術原計)" sheetId="65" state="hidden" r:id="rId13"/>
    <sheet name="外貨(コリア原計)" sheetId="66" state="hidden" r:id="rId14"/>
  </sheets>
  <definedNames>
    <definedName name="_2a1_" hidden="1">{"'Sheet1'!$A$3:$I$11"}</definedName>
    <definedName name="_a1" hidden="1">{"'Sheet1'!$A$3:$I$11"}</definedName>
    <definedName name="_Order1" hidden="1">255</definedName>
    <definedName name="a" hidden="1">{"'Sheet1'!$A$3:$I$11"}</definedName>
    <definedName name="AAA" hidden="1">{"'Sheet1'!$A$3:$I$11"}</definedName>
    <definedName name="aaaa" hidden="1">{"'Sheet1'!$A$3:$I$11"}</definedName>
    <definedName name="b" hidden="1">{"'Sheet1'!$A$3:$I$11"}</definedName>
    <definedName name="bb" hidden="1">{"'Sheet1'!$A$3:$I$11"}</definedName>
    <definedName name="bbb" hidden="1">{"'Sheet1'!$A$3:$I$11"}</definedName>
    <definedName name="bbbb" hidden="1">{"'Sheet1'!$A$3:$I$11"}</definedName>
    <definedName name="f" hidden="1">{"'Sheet1'!$A$3:$I$11"}</definedName>
    <definedName name="ff" hidden="1">{"'Sheet1'!$A$3:$I$11"}</definedName>
    <definedName name="HTML_CodePage" hidden="1">932</definedName>
    <definedName name="HTML_Control" hidden="1">{"'Sheet1'!$A$3:$I$11"}</definedName>
    <definedName name="HTML_Control2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i" hidden="1">{"'Sheet1'!$A$3:$I$11"}</definedName>
    <definedName name="IBD00110チェック仕様" hidden="1">{"'Sheet1'!$A$3:$I$11"}</definedName>
    <definedName name="IBE09000チェック仕様" hidden="1">{"'Sheet1'!$A$3:$I$11"}</definedName>
    <definedName name="ooo" hidden="1">{"'Sheet1'!$A$3:$I$11"}</definedName>
    <definedName name="_xlnm.Print_Area" localSheetId="6">ダウンロードCSVファイルについて!$A$1:$FJ$61</definedName>
    <definedName name="_xlnm.Print_Area" localSheetId="8">'円(PPM)'!$A$1:$BC$106</definedName>
    <definedName name="_xlnm.Print_Area" localSheetId="10">'円(コリア原計)'!$A$1:$BC$116</definedName>
    <definedName name="_xlnm.Print_Area" localSheetId="9">'円(技術原計)'!$A$1:$BC$106</definedName>
    <definedName name="_xlnm.Print_Area" localSheetId="2">化学物質データ申請確認画面!$A$1:$BC$81</definedName>
    <definedName name="_xlnm.Print_Area" localSheetId="3">画面項目!$A$1:$CA$28</definedName>
    <definedName name="_xlnm.Print_Area" localSheetId="11">'外貨(PPM)'!$A$1:$BC$150</definedName>
    <definedName name="_xlnm.Print_Area" localSheetId="13">'外貨(コリア原計)'!$A$1:$BC$113</definedName>
    <definedName name="_xlnm.Print_Area" localSheetId="12">'外貨(技術原計)'!$A$1:$BC$117</definedName>
    <definedName name="_xlnm.Print_Area" localSheetId="5">出力編集仕様!$A$1:$FJ$28</definedName>
    <definedName name="_xlnm.Print_Area" localSheetId="4">処理詳細!$A$1:$CH$277</definedName>
    <definedName name="_xlnm.Print_Area" localSheetId="7">選択画面!$A$1:$BC$41</definedName>
    <definedName name="_xlnm.Print_Area" localSheetId="0">表紙!$A$1:$I$36</definedName>
    <definedName name="s" hidden="1">{"'Sheet1'!$A$3:$I$11"}</definedName>
    <definedName name="txtDatabaseName">"テキスト 8"</definedName>
    <definedName name="txtTableName">"テキスト 2"</definedName>
    <definedName name="txtUserName">"テキスト 4"</definedName>
    <definedName name="vvvv" hidden="1">{"'Sheet1'!$A$3:$I$11"}</definedName>
    <definedName name="wew" hidden="1">{"'Sheet1'!$A$3:$I$11"}</definedName>
    <definedName name="ああ" hidden="1">{"'Sheet1'!$A$3:$I$11"}</definedName>
    <definedName name="ささ" hidden="1">{"'Sheet1'!$A$3:$I$11"}</definedName>
    <definedName name="仮単価発注" hidden="1">{"'Sheet1'!$A$3:$I$11"}</definedName>
    <definedName name="荷札イレギュラー" hidden="1">{"'Sheet1'!$A$3:$I$11"}</definedName>
    <definedName name="画面遷移new" localSheetId="6" hidden="1">{"'画面仕様'!$C$22:$BY$40","'画面仕様'!$C$28:$BY$39"}</definedName>
    <definedName name="画面遷移new" localSheetId="3" hidden="1">{"'画面仕様'!$C$22:$BY$40","'画面仕様'!$C$28:$BY$39"}</definedName>
    <definedName name="画面遷移new" localSheetId="5" hidden="1">{"'画面仕様'!$C$22:$BY$40","'画面仕様'!$C$28:$BY$39"}</definedName>
    <definedName name="画面遷移new" localSheetId="4" hidden="1">{"'画面仕様'!$C$22:$BY$40","'画面仕様'!$C$28:$BY$39"}</definedName>
    <definedName name="画面遷移new" hidden="1">{"'画面仕様'!$C$22:$BY$40","'画面仕様'!$C$28:$BY$39"}</definedName>
    <definedName name="画面遷移new_1" localSheetId="6" hidden="1">{"'画面仕様'!$C$22:$BY$40","'画面仕様'!$C$28:$BY$39"}</definedName>
    <definedName name="画面遷移new_1" localSheetId="5" hidden="1">{"'画面仕様'!$C$22:$BY$40","'画面仕様'!$C$28:$BY$39"}</definedName>
    <definedName name="画面遷移new_1" localSheetId="4" hidden="1">{"'画面仕様'!$C$22:$BY$40","'画面仕様'!$C$28:$BY$39"}</definedName>
    <definedName name="画面遷移new_1" hidden="1">{"'画面仕様'!$C$22:$BY$40","'画面仕様'!$C$28:$BY$39"}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7" l="1"/>
  <c r="AA3" i="67"/>
  <c r="M3" i="67"/>
  <c r="A3" i="67"/>
  <c r="AZ2" i="67"/>
  <c r="M2" i="67"/>
  <c r="AV1" i="67"/>
  <c r="AN1" i="67"/>
  <c r="AA1" i="67"/>
  <c r="M1" i="67"/>
  <c r="BM58" i="66"/>
  <c r="AV2" i="67"/>
  <c r="AN2" i="67"/>
  <c r="AV3" i="67"/>
  <c r="AB70" i="65" l="1"/>
  <c r="AB69" i="65"/>
  <c r="AB65" i="65"/>
  <c r="AB64" i="65"/>
  <c r="X73" i="61"/>
  <c r="X69" i="61"/>
  <c r="AB74" i="65" l="1"/>
  <c r="AK65" i="61"/>
  <c r="BE64" i="66" l="1"/>
  <c r="AB75" i="65"/>
  <c r="X70" i="61"/>
  <c r="AG61" i="59" l="1"/>
  <c r="AG64" i="59"/>
  <c r="AS64" i="66" l="1"/>
  <c r="BA65" i="61"/>
  <c r="X74" i="61"/>
  <c r="BA58" i="59"/>
  <c r="D64" i="66"/>
  <c r="D65" i="65"/>
  <c r="D64" i="65"/>
  <c r="D81" i="64"/>
  <c r="D80" i="64"/>
  <c r="D65" i="61"/>
  <c r="D58" i="59"/>
  <c r="D57" i="59"/>
  <c r="D59" i="16"/>
  <c r="D58" i="16"/>
  <c r="BA57" i="59"/>
  <c r="BA64" i="66" l="1"/>
  <c r="AB64" i="66"/>
  <c r="BM64" i="66" s="1"/>
  <c r="CB64" i="66"/>
  <c r="BU64" i="66"/>
  <c r="BQ64" i="66"/>
  <c r="BI64" i="66"/>
  <c r="AO64" i="66"/>
  <c r="AW64" i="66" s="1"/>
  <c r="AK64" i="66"/>
  <c r="AF64" i="66"/>
  <c r="X64" i="66"/>
  <c r="T64" i="66"/>
  <c r="J64" i="66"/>
  <c r="F64" i="66"/>
  <c r="BY64" i="66"/>
  <c r="A5" i="66"/>
  <c r="AA3" i="66"/>
  <c r="M3" i="66"/>
  <c r="A3" i="66"/>
  <c r="AZ2" i="66"/>
  <c r="M2" i="66"/>
  <c r="AV1" i="66"/>
  <c r="AN1" i="66"/>
  <c r="AA1" i="66"/>
  <c r="M1" i="66"/>
  <c r="BY65" i="65"/>
  <c r="BY64" i="65"/>
  <c r="BU65" i="65"/>
  <c r="BM65" i="65"/>
  <c r="BI65" i="65"/>
  <c r="BE65" i="65"/>
  <c r="AS65" i="65"/>
  <c r="BQ65" i="65" s="1"/>
  <c r="AO65" i="65"/>
  <c r="AK65" i="65"/>
  <c r="AF65" i="65"/>
  <c r="X65" i="65"/>
  <c r="T65" i="65"/>
  <c r="J65" i="65"/>
  <c r="F65" i="65"/>
  <c r="BU64" i="65"/>
  <c r="BM64" i="65"/>
  <c r="BI64" i="65"/>
  <c r="BE64" i="65"/>
  <c r="AS64" i="65"/>
  <c r="BQ64" i="65" s="1"/>
  <c r="AO64" i="65"/>
  <c r="AK64" i="65"/>
  <c r="AF64" i="65"/>
  <c r="X64" i="65"/>
  <c r="X70" i="65" s="1"/>
  <c r="T64" i="65"/>
  <c r="J64" i="65"/>
  <c r="F64" i="65"/>
  <c r="CC65" i="65"/>
  <c r="CC64" i="65"/>
  <c r="A5" i="65"/>
  <c r="AA3" i="65"/>
  <c r="M3" i="65"/>
  <c r="A3" i="65"/>
  <c r="AZ2" i="65"/>
  <c r="M2" i="65"/>
  <c r="AV1" i="65"/>
  <c r="AN1" i="65"/>
  <c r="AA1" i="65"/>
  <c r="M1" i="65"/>
  <c r="AV3" i="66"/>
  <c r="AV2" i="65"/>
  <c r="AV3" i="65"/>
  <c r="AV2" i="66"/>
  <c r="AN2" i="65"/>
  <c r="AN2" i="66"/>
  <c r="BA64" i="65" l="1"/>
  <c r="BA65" i="65"/>
  <c r="AS71" i="66"/>
  <c r="AB71" i="66"/>
  <c r="X71" i="66"/>
  <c r="AF71" i="66" s="1"/>
  <c r="AK71" i="66" s="1"/>
  <c r="X67" i="66"/>
  <c r="AS67" i="66"/>
  <c r="AB67" i="66"/>
  <c r="AS74" i="65"/>
  <c r="AW74" i="65"/>
  <c r="X74" i="65"/>
  <c r="AF74" i="65" s="1"/>
  <c r="AK74" i="65" s="1"/>
  <c r="BA74" i="65"/>
  <c r="BA69" i="65"/>
  <c r="AW69" i="65"/>
  <c r="AS69" i="65"/>
  <c r="X69" i="65"/>
  <c r="AF69" i="65" s="1"/>
  <c r="AK69" i="65" s="1"/>
  <c r="AS68" i="66"/>
  <c r="AB68" i="66"/>
  <c r="X68" i="66"/>
  <c r="AS72" i="66"/>
  <c r="AB72" i="66"/>
  <c r="X72" i="66"/>
  <c r="AS75" i="65"/>
  <c r="AF70" i="65"/>
  <c r="AK70" i="65" s="1"/>
  <c r="BA70" i="65"/>
  <c r="AW75" i="65"/>
  <c r="BA75" i="65"/>
  <c r="AW70" i="65"/>
  <c r="AS70" i="65"/>
  <c r="X75" i="65"/>
  <c r="AW65" i="65"/>
  <c r="AW64" i="65"/>
  <c r="AO67" i="66" l="1"/>
  <c r="AO71" i="66"/>
  <c r="AF67" i="66"/>
  <c r="AK67" i="66" s="1"/>
  <c r="AO74" i="65"/>
  <c r="BE69" i="65"/>
  <c r="BE74" i="65"/>
  <c r="AO69" i="65"/>
  <c r="AF72" i="66"/>
  <c r="AK72" i="66" s="1"/>
  <c r="AF68" i="66"/>
  <c r="AK68" i="66" s="1"/>
  <c r="AO68" i="66"/>
  <c r="AO70" i="65"/>
  <c r="BE70" i="65"/>
  <c r="BE75" i="65"/>
  <c r="AO72" i="66"/>
  <c r="AO75" i="65"/>
  <c r="AF75" i="65"/>
  <c r="AK75" i="65" s="1"/>
  <c r="BI81" i="64" l="1"/>
  <c r="BY81" i="64"/>
  <c r="BY80" i="64"/>
  <c r="BU81" i="64"/>
  <c r="BU80" i="64"/>
  <c r="BM81" i="64"/>
  <c r="BM80" i="64"/>
  <c r="BI80" i="64"/>
  <c r="BE81" i="64"/>
  <c r="BE80" i="64"/>
  <c r="AS81" i="64"/>
  <c r="BQ81" i="64" s="1"/>
  <c r="AS80" i="64"/>
  <c r="BQ80" i="64" s="1"/>
  <c r="AO81" i="64"/>
  <c r="AO80" i="64"/>
  <c r="AF81" i="64"/>
  <c r="AF80" i="64"/>
  <c r="AB81" i="64"/>
  <c r="AB80" i="64"/>
  <c r="AK81" i="64"/>
  <c r="AK80" i="64"/>
  <c r="T81" i="64"/>
  <c r="T80" i="64"/>
  <c r="BG57" i="64"/>
  <c r="BG56" i="64"/>
  <c r="AW80" i="64" l="1"/>
  <c r="BA80" i="64" s="1"/>
  <c r="AW81" i="64"/>
  <c r="BA81" i="64" s="1"/>
  <c r="CF81" i="64"/>
  <c r="CC81" i="64"/>
  <c r="X81" i="64"/>
  <c r="J81" i="64"/>
  <c r="F81" i="64"/>
  <c r="CF80" i="64"/>
  <c r="CC80" i="64"/>
  <c r="X80" i="64"/>
  <c r="J80" i="64"/>
  <c r="F80" i="64"/>
  <c r="A5" i="64"/>
  <c r="AA3" i="64"/>
  <c r="M3" i="64"/>
  <c r="A3" i="64"/>
  <c r="AZ2" i="64"/>
  <c r="M2" i="64"/>
  <c r="AV1" i="64"/>
  <c r="AN1" i="64"/>
  <c r="AA1" i="64"/>
  <c r="M1" i="64"/>
  <c r="A5" i="63"/>
  <c r="AA3" i="63"/>
  <c r="M3" i="63"/>
  <c r="A3" i="63"/>
  <c r="AZ2" i="63"/>
  <c r="M2" i="63"/>
  <c r="AV1" i="63"/>
  <c r="AN1" i="63"/>
  <c r="AA1" i="63"/>
  <c r="M1" i="63"/>
  <c r="BE65" i="61"/>
  <c r="AO65" i="61"/>
  <c r="AG65" i="61"/>
  <c r="AB65" i="61"/>
  <c r="X65" i="61"/>
  <c r="J58" i="59"/>
  <c r="F58" i="59"/>
  <c r="J57" i="59"/>
  <c r="F57" i="59"/>
  <c r="J59" i="16"/>
  <c r="F59" i="16"/>
  <c r="J58" i="16"/>
  <c r="F58" i="16"/>
  <c r="J65" i="61"/>
  <c r="F65" i="61"/>
  <c r="AW65" i="61"/>
  <c r="T65" i="61"/>
  <c r="A5" i="61"/>
  <c r="AA3" i="61"/>
  <c r="M3" i="61"/>
  <c r="A3" i="61"/>
  <c r="AZ2" i="61"/>
  <c r="M2" i="61"/>
  <c r="AV1" i="61"/>
  <c r="AN1" i="61"/>
  <c r="AA1" i="61"/>
  <c r="M1" i="61"/>
  <c r="X58" i="59"/>
  <c r="X57" i="59"/>
  <c r="BA59" i="16"/>
  <c r="BA58" i="16"/>
  <c r="AO58" i="59"/>
  <c r="AO57" i="59"/>
  <c r="BH58" i="59"/>
  <c r="BE58" i="59"/>
  <c r="AK58" i="59"/>
  <c r="AG58" i="59"/>
  <c r="AB58" i="59"/>
  <c r="T58" i="59"/>
  <c r="BH57" i="59"/>
  <c r="BE57" i="59"/>
  <c r="AK57" i="59"/>
  <c r="AG57" i="59"/>
  <c r="AB57" i="59"/>
  <c r="T57" i="59"/>
  <c r="A5" i="59"/>
  <c r="AA3" i="59"/>
  <c r="M3" i="59"/>
  <c r="A3" i="59"/>
  <c r="AZ2" i="59"/>
  <c r="M2" i="59"/>
  <c r="AV1" i="59"/>
  <c r="AN1" i="59"/>
  <c r="AA1" i="59"/>
  <c r="M1" i="59"/>
  <c r="AV2" i="61"/>
  <c r="AV3" i="63"/>
  <c r="AV2" i="59"/>
  <c r="AN2" i="59"/>
  <c r="AN2" i="64"/>
  <c r="AV3" i="59"/>
  <c r="AV2" i="63"/>
  <c r="AV2" i="64"/>
  <c r="AV3" i="61"/>
  <c r="AN2" i="61"/>
  <c r="AV3" i="64"/>
  <c r="AN2" i="63"/>
  <c r="AS73" i="61" l="1"/>
  <c r="T73" i="61"/>
  <c r="AG73" i="61" s="1"/>
  <c r="AK73" i="61" s="1"/>
  <c r="AS69" i="61"/>
  <c r="T69" i="61"/>
  <c r="AG69" i="61" s="1"/>
  <c r="AK69" i="61" s="1"/>
  <c r="X90" i="64"/>
  <c r="BA90" i="64"/>
  <c r="AW90" i="64"/>
  <c r="AB90" i="64"/>
  <c r="AS90" i="64"/>
  <c r="X85" i="64"/>
  <c r="BA85" i="64"/>
  <c r="AW85" i="64"/>
  <c r="AS85" i="64"/>
  <c r="AB85" i="64"/>
  <c r="X91" i="64"/>
  <c r="AB86" i="64"/>
  <c r="AB91" i="64"/>
  <c r="AW86" i="64"/>
  <c r="AW91" i="64"/>
  <c r="BA86" i="64"/>
  <c r="AS86" i="64"/>
  <c r="BA91" i="64"/>
  <c r="AS91" i="64"/>
  <c r="X86" i="64"/>
  <c r="T70" i="61"/>
  <c r="AG70" i="61" s="1"/>
  <c r="AK70" i="61" s="1"/>
  <c r="AS70" i="61"/>
  <c r="AS74" i="61"/>
  <c r="T74" i="61"/>
  <c r="AG74" i="61" s="1"/>
  <c r="AK74" i="61" s="1"/>
  <c r="AB61" i="59"/>
  <c r="AK61" i="59" s="1"/>
  <c r="AO61" i="59" s="1"/>
  <c r="BA61" i="59"/>
  <c r="AW61" i="59"/>
  <c r="AW64" i="59"/>
  <c r="AS65" i="61"/>
  <c r="AS58" i="59"/>
  <c r="AS57" i="59"/>
  <c r="BA64" i="59"/>
  <c r="AB64" i="59"/>
  <c r="AK64" i="59" s="1"/>
  <c r="AO64" i="59" s="1"/>
  <c r="AO90" i="64" l="1"/>
  <c r="AO69" i="61"/>
  <c r="AO73" i="61"/>
  <c r="AF90" i="64"/>
  <c r="AK90" i="64" s="1"/>
  <c r="BE85" i="64"/>
  <c r="BE90" i="64"/>
  <c r="AO85" i="64"/>
  <c r="AF86" i="64"/>
  <c r="AK86" i="64" s="1"/>
  <c r="AF85" i="64"/>
  <c r="AK85" i="64" s="1"/>
  <c r="AO91" i="64"/>
  <c r="AO86" i="64"/>
  <c r="BE86" i="64"/>
  <c r="BE91" i="64"/>
  <c r="AF91" i="64"/>
  <c r="AK91" i="64" s="1"/>
  <c r="AO70" i="61"/>
  <c r="AS61" i="59"/>
  <c r="AO74" i="61"/>
  <c r="AS64" i="59"/>
  <c r="X59" i="16" l="1"/>
  <c r="X58" i="16"/>
  <c r="BE59" i="16"/>
  <c r="BE58" i="16"/>
  <c r="BH59" i="16"/>
  <c r="BH58" i="16"/>
  <c r="AK59" i="16"/>
  <c r="AK58" i="16"/>
  <c r="AG59" i="16"/>
  <c r="AG58" i="16"/>
  <c r="T59" i="16"/>
  <c r="T58" i="16"/>
  <c r="AB59" i="16"/>
  <c r="AB58" i="16"/>
  <c r="AB62" i="16" l="1"/>
  <c r="AK62" i="16" s="1"/>
  <c r="AO62" i="16" s="1"/>
  <c r="AW62" i="16"/>
  <c r="BA62" i="16"/>
  <c r="AG62" i="16"/>
  <c r="AW65" i="16"/>
  <c r="AG65" i="16"/>
  <c r="AO58" i="16"/>
  <c r="AO59" i="16"/>
  <c r="BA65" i="16"/>
  <c r="AB65" i="16"/>
  <c r="AK65" i="16" s="1"/>
  <c r="AO65" i="16" s="1"/>
  <c r="AS58" i="16"/>
  <c r="AS59" i="16"/>
  <c r="AS62" i="16" l="1"/>
  <c r="AS65" i="16"/>
  <c r="AA3" i="16" l="1"/>
  <c r="AA1" i="16" l="1"/>
  <c r="AN1" i="16" l="1"/>
  <c r="AV1" i="16"/>
  <c r="AT1" i="3"/>
  <c r="AN2" i="16"/>
  <c r="AV2" i="16"/>
  <c r="AV3" i="16"/>
  <c r="A5" i="16" l="1"/>
  <c r="AT3" i="3"/>
  <c r="B22" i="2" l="1"/>
  <c r="M3" i="16"/>
  <c r="A3" i="16"/>
  <c r="AZ2" i="16"/>
  <c r="M2" i="16"/>
  <c r="M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Q3" authorId="0" shapeId="0" xr:uid="{35A995DF-5821-4213-A260-9350A0F53582}">
      <text>
        <r>
          <rPr>
            <sz val="9"/>
            <color indexed="81"/>
            <rFont val="ＭＳ Ｐゴシック"/>
            <family val="3"/>
            <charset val="128"/>
          </rPr>
          <t>Oに関しては必ず記載すること。
空の場合でも「-」を記入する</t>
        </r>
      </text>
    </comment>
    <comment ref="AB3" authorId="0" shapeId="0" xr:uid="{67858B71-2687-4CE5-8C4C-92FA0CD9720D}">
      <text>
        <r>
          <rPr>
            <sz val="9"/>
            <color indexed="81"/>
            <rFont val="ＭＳ Ｐゴシック"/>
            <family val="3"/>
            <charset val="128"/>
          </rPr>
          <t>Oに関しては必ず記載すること。
空の場合でも「-」を記入する</t>
        </r>
      </text>
    </comment>
    <comment ref="AI3" authorId="0" shapeId="0" xr:uid="{17CA0F34-1279-4A93-9F48-C9F28889DCF1}">
      <text>
        <r>
          <rPr>
            <sz val="9"/>
            <color indexed="81"/>
            <rFont val="ＭＳ Ｐゴシック"/>
            <family val="3"/>
            <charset val="128"/>
          </rPr>
          <t>Oに関しては必ず記載すること。
空の場合でも「-」を記入する</t>
        </r>
      </text>
    </comment>
    <comment ref="C4" authorId="0" shapeId="0" xr:uid="{FFBA843D-F9CA-4F42-A5BF-5EDD25E879EA}">
      <text>
        <r>
          <rPr>
            <sz val="9"/>
            <color indexed="81"/>
            <rFont val="ＭＳ Ｐゴシック"/>
            <family val="3"/>
            <charset val="128"/>
          </rPr>
          <t>画面上をエリア分割した単位で記載する。
項番の一桁目として定義する。</t>
        </r>
      </text>
    </comment>
    <comment ref="J4" authorId="0" shapeId="0" xr:uid="{570D1AB7-B68C-404F-BC7F-D7FEBEBEC26C}">
      <text>
        <r>
          <rPr>
            <sz val="9"/>
            <color indexed="81"/>
            <rFont val="ＭＳ Ｐゴシック"/>
            <family val="3"/>
            <charset val="128"/>
          </rPr>
          <t>項目に対する名称
Labelの項目名が表示名称とする
Hiddenパラメタは追記しない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榎本亮二</author>
    <author xml:space="preserve"> </author>
  </authors>
  <commentList>
    <comment ref="P19" authorId="0" shapeId="0" xr:uid="{981B6EB6-FAED-49D9-9A74-10427F90C90C}">
      <text>
        <r>
          <rPr>
            <sz val="9"/>
            <color indexed="81"/>
            <rFont val="MS P ゴシック"/>
            <family val="3"/>
            <charset val="128"/>
          </rPr>
          <t>新規
値引き
定期値引き</t>
        </r>
      </text>
    </comment>
    <comment ref="AR57" authorId="0" shapeId="0" xr:uid="{6F0DAA68-15AD-4A1C-849B-511E6C1B2A1F}">
      <text>
        <r>
          <rPr>
            <sz val="9"/>
            <color indexed="81"/>
            <rFont val="MS P ゴシック"/>
            <family val="3"/>
            <charset val="128"/>
          </rPr>
          <t>1-コスト/申請価格</t>
        </r>
      </text>
    </comment>
    <comment ref="AV57" authorId="0" shapeId="0" xr:uid="{0E29794C-0A0E-4D21-83B3-FC81F1A9F1FD}">
      <text>
        <r>
          <rPr>
            <sz val="9"/>
            <color indexed="81"/>
            <rFont val="MS P ゴシック"/>
            <family val="3"/>
            <charset val="128"/>
          </rPr>
          <t>(申請価格-従来価格)/従来価格</t>
        </r>
      </text>
    </comment>
    <comment ref="BD57" authorId="1" shapeId="0" xr:uid="{FBDE0BD4-2CA9-4838-A0B4-DE3E7B909D56}">
      <text>
        <r>
          <rPr>
            <sz val="9"/>
            <color indexed="81"/>
            <rFont val="MS P ゴシック"/>
            <family val="3"/>
            <charset val="128"/>
          </rPr>
          <t>1-申請価格/代理店売値</t>
        </r>
      </text>
    </comment>
    <comment ref="AF61" authorId="0" shapeId="0" xr:uid="{F8345E2B-CE16-4FE6-A455-0177CE895C06}">
      <text>
        <r>
          <rPr>
            <sz val="9"/>
            <color indexed="81"/>
            <rFont val="MS P ゴシック"/>
            <family val="3"/>
            <charset val="128"/>
          </rPr>
          <t>月間数量x申請価格</t>
        </r>
      </text>
    </comment>
    <comment ref="AN61" authorId="0" shapeId="0" xr:uid="{F7AD58DA-EBBB-4B07-855C-E4152557AED9}">
      <text>
        <r>
          <rPr>
            <sz val="9"/>
            <color indexed="81"/>
            <rFont val="MS P ゴシック"/>
            <family val="3"/>
            <charset val="128"/>
          </rPr>
          <t>売上-(月間数量xコスト)</t>
        </r>
      </text>
    </comment>
    <comment ref="AR61" authorId="0" shapeId="0" xr:uid="{64D9F5F1-1F9F-42CF-B6E2-8D62A12C7277}">
      <text>
        <r>
          <rPr>
            <sz val="9"/>
            <color indexed="81"/>
            <rFont val="MS P ゴシック"/>
            <family val="3"/>
            <charset val="128"/>
          </rPr>
          <t>貢献額/売上</t>
        </r>
      </text>
    </comment>
    <comment ref="AV61" authorId="0" shapeId="0" xr:uid="{AF811EB1-BCFF-4015-A298-4E73A1933D71}">
      <text>
        <r>
          <rPr>
            <sz val="9"/>
            <color indexed="81"/>
            <rFont val="MS P ゴシック"/>
            <family val="3"/>
            <charset val="128"/>
          </rPr>
          <t>値引額/(売上-値引額)</t>
        </r>
      </text>
    </comment>
    <comment ref="AZ61" authorId="0" shapeId="0" xr:uid="{A952BB9F-4763-4924-90D7-9EFC1F9907CD}">
      <text>
        <r>
          <rPr>
            <sz val="9"/>
            <color indexed="81"/>
            <rFont val="MS P ゴシック"/>
            <family val="3"/>
            <charset val="128"/>
          </rPr>
          <t>月間数量*(申請価格-従来価格)</t>
        </r>
      </text>
    </comment>
    <comment ref="BD61" authorId="0" shapeId="0" xr:uid="{E4C3CF31-8EF2-4843-9207-52745433258D}">
      <text>
        <r>
          <rPr>
            <sz val="9"/>
            <color indexed="81"/>
            <rFont val="MS P ゴシック"/>
            <family val="3"/>
            <charset val="128"/>
          </rPr>
          <t>月間数量x従来価格</t>
        </r>
      </text>
    </comment>
    <comment ref="AF64" authorId="0" shapeId="0" xr:uid="{A30503E4-8054-4F2D-A811-2A7F0B6CC134}">
      <text>
        <r>
          <rPr>
            <sz val="9"/>
            <color indexed="81"/>
            <rFont val="MS P ゴシック"/>
            <family val="3"/>
            <charset val="128"/>
          </rPr>
          <t>月間数量x申請価格</t>
        </r>
      </text>
    </comment>
    <comment ref="AN64" authorId="0" shapeId="0" xr:uid="{1B1823D8-01B2-4575-9602-1DFD11D880BC}">
      <text>
        <r>
          <rPr>
            <sz val="9"/>
            <color indexed="81"/>
            <rFont val="MS P ゴシック"/>
            <family val="3"/>
            <charset val="128"/>
          </rPr>
          <t>売上-(月間数量xコスト)</t>
        </r>
      </text>
    </comment>
    <comment ref="AR64" authorId="0" shapeId="0" xr:uid="{64EC24C2-3977-4246-907F-75B8F7BDBD52}">
      <text>
        <r>
          <rPr>
            <sz val="9"/>
            <color indexed="81"/>
            <rFont val="MS P ゴシック"/>
            <family val="3"/>
            <charset val="128"/>
          </rPr>
          <t>貢献額/売上</t>
        </r>
      </text>
    </comment>
    <comment ref="AV64" authorId="0" shapeId="0" xr:uid="{2DAE61A2-85F4-47D9-8CD3-436C7FF25D32}">
      <text>
        <r>
          <rPr>
            <sz val="9"/>
            <color indexed="81"/>
            <rFont val="MS P ゴシック"/>
            <family val="3"/>
            <charset val="128"/>
          </rPr>
          <t>値引額/(売上-値引額)</t>
        </r>
      </text>
    </comment>
    <comment ref="AZ64" authorId="0" shapeId="0" xr:uid="{1A67A92A-9EDF-4B81-9382-1AC65A988845}">
      <text>
        <r>
          <rPr>
            <sz val="9"/>
            <color indexed="81"/>
            <rFont val="MS P ゴシック"/>
            <family val="3"/>
            <charset val="128"/>
          </rPr>
          <t>月間数量*(申請価格-従来価格)</t>
        </r>
      </text>
    </comment>
    <comment ref="BD64" authorId="0" shapeId="0" xr:uid="{48A77E68-AF77-4DF1-AFEF-ABEF2569983F}">
      <text>
        <r>
          <rPr>
            <sz val="9"/>
            <color indexed="81"/>
            <rFont val="MS P ゴシック"/>
            <family val="3"/>
            <charset val="128"/>
          </rPr>
          <t>月間数量x従来価格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榎本亮二</author>
    <author xml:space="preserve"> </author>
  </authors>
  <commentList>
    <comment ref="P19" authorId="0" shapeId="0" xr:uid="{798F932A-EBB5-4E0C-9590-2232F086E5B0}">
      <text>
        <r>
          <rPr>
            <sz val="9"/>
            <color indexed="81"/>
            <rFont val="MS P ゴシック"/>
            <family val="3"/>
            <charset val="128"/>
          </rPr>
          <t>新規
値引き
定期値引き</t>
        </r>
      </text>
    </comment>
    <comment ref="AR56" authorId="0" shapeId="0" xr:uid="{180A4CBC-DEB0-4BF9-929D-897531D7CC43}">
      <text>
        <r>
          <rPr>
            <sz val="9"/>
            <color indexed="81"/>
            <rFont val="MS P ゴシック"/>
            <family val="3"/>
            <charset val="128"/>
          </rPr>
          <t>申請価格/総原価 -1</t>
        </r>
      </text>
    </comment>
    <comment ref="AV56" authorId="0" shapeId="0" xr:uid="{7BC05733-7AAD-4013-8914-608E0EC0912E}">
      <text>
        <r>
          <rPr>
            <sz val="9"/>
            <color indexed="81"/>
            <rFont val="MS P ゴシック"/>
            <family val="3"/>
            <charset val="128"/>
          </rPr>
          <t>(申請価格-従来価格)/従来価格</t>
        </r>
      </text>
    </comment>
    <comment ref="BD56" authorId="1" shapeId="0" xr:uid="{7C110BAA-A2C8-4B6B-9637-8A748DF7D71D}">
      <text>
        <r>
          <rPr>
            <sz val="9"/>
            <color indexed="81"/>
            <rFont val="MS P ゴシック"/>
            <family val="3"/>
            <charset val="128"/>
          </rPr>
          <t>1-申請価格/代理店売値</t>
        </r>
      </text>
    </comment>
    <comment ref="AF60" authorId="0" shapeId="0" xr:uid="{CB749365-E1C2-4E9B-AA02-A7456F3C9FDC}">
      <text>
        <r>
          <rPr>
            <sz val="9"/>
            <color indexed="81"/>
            <rFont val="MS P ゴシック"/>
            <family val="3"/>
            <charset val="128"/>
          </rPr>
          <t>月間数量x申請価格</t>
        </r>
      </text>
    </comment>
    <comment ref="AN60" authorId="0" shapeId="0" xr:uid="{B556DCF4-0816-40FF-848B-174B50C68B64}">
      <text>
        <r>
          <rPr>
            <sz val="9"/>
            <color indexed="81"/>
            <rFont val="MS P ゴシック"/>
            <family val="3"/>
            <charset val="128"/>
          </rPr>
          <t>売上-(月間数量x総原価)</t>
        </r>
      </text>
    </comment>
    <comment ref="AR60" authorId="0" shapeId="0" xr:uid="{0F33DFA1-B260-4B9D-8B12-28D4D0EA10DE}">
      <text>
        <r>
          <rPr>
            <sz val="9"/>
            <color indexed="81"/>
            <rFont val="MS P ゴシック"/>
            <family val="3"/>
            <charset val="128"/>
          </rPr>
          <t>総原価利益額/(売上-総原価利益額)</t>
        </r>
      </text>
    </comment>
    <comment ref="AV60" authorId="0" shapeId="0" xr:uid="{BF317FA0-0908-4F79-A602-3CA4CFF07133}">
      <text>
        <r>
          <rPr>
            <sz val="9"/>
            <color indexed="81"/>
            <rFont val="MS P ゴシック"/>
            <family val="3"/>
            <charset val="128"/>
          </rPr>
          <t>値引額/(売上-値引額)</t>
        </r>
      </text>
    </comment>
    <comment ref="AZ60" authorId="0" shapeId="0" xr:uid="{4A635085-E489-4BC4-9199-9302E60A6CEA}">
      <text>
        <r>
          <rPr>
            <sz val="9"/>
            <color indexed="81"/>
            <rFont val="MS P ゴシック"/>
            <family val="3"/>
            <charset val="128"/>
          </rPr>
          <t>月間数量*(申請価格-従来価格)</t>
        </r>
      </text>
    </comment>
    <comment ref="BD60" authorId="0" shapeId="0" xr:uid="{6F1D44E1-048F-403F-8C8F-92BE2DED1EFF}">
      <text>
        <r>
          <rPr>
            <sz val="9"/>
            <color indexed="81"/>
            <rFont val="MS P ゴシック"/>
            <family val="3"/>
            <charset val="128"/>
          </rPr>
          <t>月間数量x従来価格</t>
        </r>
      </text>
    </comment>
    <comment ref="AF63" authorId="0" shapeId="0" xr:uid="{8407D761-7158-42D4-8DD3-2667CE960A18}">
      <text>
        <r>
          <rPr>
            <sz val="9"/>
            <color indexed="81"/>
            <rFont val="MS P ゴシック"/>
            <family val="3"/>
            <charset val="128"/>
          </rPr>
          <t>月間数量x申請価格</t>
        </r>
      </text>
    </comment>
    <comment ref="AN63" authorId="0" shapeId="0" xr:uid="{AB912CE9-FA4F-4E11-8A39-67905E8BC2A4}">
      <text>
        <r>
          <rPr>
            <sz val="9"/>
            <color indexed="81"/>
            <rFont val="MS P ゴシック"/>
            <family val="3"/>
            <charset val="128"/>
          </rPr>
          <t>売上-(月間数量x総原価)</t>
        </r>
      </text>
    </comment>
    <comment ref="AR63" authorId="0" shapeId="0" xr:uid="{5067FC13-6634-4C19-BF35-2AC16DB66B32}">
      <text>
        <r>
          <rPr>
            <sz val="9"/>
            <color indexed="81"/>
            <rFont val="MS P ゴシック"/>
            <family val="3"/>
            <charset val="128"/>
          </rPr>
          <t>総原価利益額/(売上-総原価利益額)</t>
        </r>
      </text>
    </comment>
    <comment ref="AV63" authorId="0" shapeId="0" xr:uid="{34066EC0-902B-4C0A-98F8-04540C955623}">
      <text>
        <r>
          <rPr>
            <sz val="9"/>
            <color indexed="81"/>
            <rFont val="MS P ゴシック"/>
            <family val="3"/>
            <charset val="128"/>
          </rPr>
          <t>値引額/(売上-値引額)</t>
        </r>
      </text>
    </comment>
    <comment ref="AZ63" authorId="0" shapeId="0" xr:uid="{069D1B63-3B11-4E93-8C28-692B58AAF3D6}">
      <text>
        <r>
          <rPr>
            <sz val="9"/>
            <color indexed="81"/>
            <rFont val="MS P ゴシック"/>
            <family val="3"/>
            <charset val="128"/>
          </rPr>
          <t>月間数量*(申請価格-従来価格)</t>
        </r>
      </text>
    </comment>
    <comment ref="BD63" authorId="0" shapeId="0" xr:uid="{178A0E1A-B46C-450E-A1AD-A81A25454E71}">
      <text>
        <r>
          <rPr>
            <sz val="9"/>
            <color indexed="81"/>
            <rFont val="MS P ゴシック"/>
            <family val="3"/>
            <charset val="128"/>
          </rPr>
          <t>月間数量x従来価格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榎本亮二</author>
    <author xml:space="preserve"> </author>
  </authors>
  <commentList>
    <comment ref="P19" authorId="0" shapeId="0" xr:uid="{273EC183-5BC7-4257-BBE6-C7E77E46A788}">
      <text>
        <r>
          <rPr>
            <sz val="9"/>
            <color indexed="81"/>
            <rFont val="MS P ゴシック"/>
            <family val="3"/>
            <charset val="128"/>
          </rPr>
          <t>新規
値引き
定期値引き</t>
        </r>
      </text>
    </comment>
    <comment ref="Y50" authorId="0" shapeId="0" xr:uid="{185C3EEB-5C23-469C-B3B5-5103009954C0}">
      <text>
        <r>
          <rPr>
            <sz val="9"/>
            <color indexed="81"/>
            <rFont val="MS P ゴシック"/>
            <family val="3"/>
            <charset val="128"/>
          </rPr>
          <t>JPY,USD,EUR</t>
        </r>
      </text>
    </comment>
    <comment ref="AA64" authorId="0" shapeId="0" xr:uid="{068DEC90-9BC3-459F-92B6-8D9A081FAF5A}">
      <text>
        <r>
          <rPr>
            <sz val="9"/>
            <color indexed="81"/>
            <rFont val="MS P ゴシック"/>
            <family val="3"/>
            <charset val="128"/>
          </rPr>
          <t>申請通貨での換算値</t>
        </r>
      </text>
    </comment>
    <comment ref="AR64" authorId="0" shapeId="0" xr:uid="{29E5ADA4-03B5-422E-875E-9B91A0ED15B0}">
      <text>
        <r>
          <rPr>
            <sz val="9"/>
            <color indexed="81"/>
            <rFont val="MS P ゴシック"/>
            <family val="3"/>
            <charset val="128"/>
          </rPr>
          <t>1-純原価/販社売価</t>
        </r>
      </text>
    </comment>
    <comment ref="AV64" authorId="0" shapeId="0" xr:uid="{CF91C253-A964-4544-AF9A-D89F2F1B085A}">
      <text>
        <r>
          <rPr>
            <sz val="9"/>
            <color indexed="81"/>
            <rFont val="MS P ゴシック"/>
            <family val="3"/>
            <charset val="128"/>
          </rPr>
          <t>(申請価格-従来価格)/従来価格</t>
        </r>
      </text>
    </comment>
    <comment ref="BD64" authorId="1" shapeId="0" xr:uid="{69E753B5-CA17-46A5-8BDF-0A678BCED516}">
      <text>
        <r>
          <rPr>
            <sz val="9"/>
            <color indexed="81"/>
            <rFont val="MS P ゴシック"/>
            <family val="3"/>
            <charset val="128"/>
          </rPr>
          <t xml:space="preserve">1-申請価格/代理店売価
</t>
        </r>
      </text>
    </comment>
    <comment ref="W68" authorId="0" shapeId="0" xr:uid="{FD790258-FA59-45E5-98B1-AC72459DF732}">
      <text>
        <r>
          <rPr>
            <sz val="9"/>
            <color indexed="81"/>
            <rFont val="MS P ゴシック"/>
            <family val="3"/>
            <charset val="128"/>
          </rPr>
          <t>月間数量x申請価格</t>
        </r>
      </text>
    </comment>
    <comment ref="AA68" authorId="0" shapeId="0" xr:uid="{9CDB41AF-6353-462B-B71A-01078DE712D3}">
      <text>
        <r>
          <rPr>
            <sz val="9"/>
            <color indexed="81"/>
            <rFont val="MS P ゴシック"/>
            <family val="3"/>
            <charset val="128"/>
          </rPr>
          <t>数量*純原価</t>
        </r>
      </text>
    </comment>
    <comment ref="AJ68" authorId="0" shapeId="0" xr:uid="{C54452BF-E9A6-4D19-A1D9-272ED4825A14}">
      <text>
        <r>
          <rPr>
            <sz val="9"/>
            <color indexed="81"/>
            <rFont val="MS P ゴシック"/>
            <family val="3"/>
            <charset val="128"/>
          </rPr>
          <t>売上-総原価合計</t>
        </r>
      </text>
    </comment>
    <comment ref="AN68" authorId="0" shapeId="0" xr:uid="{F8413561-B397-4210-8B2E-D6A9307B8F00}">
      <text>
        <r>
          <rPr>
            <sz val="9"/>
            <color indexed="81"/>
            <rFont val="MS P ゴシック"/>
            <family val="3"/>
            <charset val="128"/>
          </rPr>
          <t>連結粗利額/売上</t>
        </r>
      </text>
    </comment>
    <comment ref="AR68" authorId="0" shapeId="0" xr:uid="{B444D291-3A20-489F-ACC4-9FF9E209DEB5}">
      <text>
        <r>
          <rPr>
            <sz val="9"/>
            <color indexed="81"/>
            <rFont val="MS P ゴシック"/>
            <family val="3"/>
            <charset val="128"/>
          </rPr>
          <t>値引額/(売上-値引額)</t>
        </r>
      </text>
    </comment>
    <comment ref="AV68" authorId="0" shapeId="0" xr:uid="{2E6FFADE-EB07-48A1-8A75-6D5BA2570976}">
      <text>
        <r>
          <rPr>
            <sz val="9"/>
            <color indexed="81"/>
            <rFont val="MS P ゴシック"/>
            <family val="3"/>
            <charset val="128"/>
          </rPr>
          <t>月間数量*(申請価格-従来価格)</t>
        </r>
      </text>
    </comment>
    <comment ref="W72" authorId="0" shapeId="0" xr:uid="{16789354-AA5A-4BF9-9540-6E3513A935BA}">
      <text>
        <r>
          <rPr>
            <sz val="9"/>
            <color indexed="81"/>
            <rFont val="MS P ゴシック"/>
            <family val="3"/>
            <charset val="128"/>
          </rPr>
          <t>月間数量x申請価格</t>
        </r>
      </text>
    </comment>
    <comment ref="AA72" authorId="0" shapeId="0" xr:uid="{A82A4898-9271-4EF4-AECC-B1C748F34214}">
      <text>
        <r>
          <rPr>
            <sz val="9"/>
            <color indexed="81"/>
            <rFont val="MS P ゴシック"/>
            <family val="3"/>
            <charset val="128"/>
          </rPr>
          <t>数量*純原価</t>
        </r>
      </text>
    </comment>
    <comment ref="AJ72" authorId="0" shapeId="0" xr:uid="{DA516412-D3B3-44D7-81E4-ABBCC1162F99}">
      <text>
        <r>
          <rPr>
            <sz val="9"/>
            <color indexed="81"/>
            <rFont val="MS P ゴシック"/>
            <family val="3"/>
            <charset val="128"/>
          </rPr>
          <t>売上-総原価合計</t>
        </r>
      </text>
    </comment>
    <comment ref="AN72" authorId="0" shapeId="0" xr:uid="{1480013C-04F6-4E6B-9390-B626A3CA89F4}">
      <text>
        <r>
          <rPr>
            <sz val="9"/>
            <color indexed="81"/>
            <rFont val="MS P ゴシック"/>
            <family val="3"/>
            <charset val="128"/>
          </rPr>
          <t>連結粗利額/売上</t>
        </r>
      </text>
    </comment>
    <comment ref="AR72" authorId="0" shapeId="0" xr:uid="{500A8BB5-F2F7-47CB-AD2F-E9C61C9B440B}">
      <text>
        <r>
          <rPr>
            <sz val="9"/>
            <color indexed="81"/>
            <rFont val="MS P ゴシック"/>
            <family val="3"/>
            <charset val="128"/>
          </rPr>
          <t>値引額/(売上-値引額)</t>
        </r>
      </text>
    </comment>
    <comment ref="AV72" authorId="0" shapeId="0" xr:uid="{764C76D9-D557-438C-9C4E-75D508BFF82B}">
      <text>
        <r>
          <rPr>
            <sz val="9"/>
            <color indexed="81"/>
            <rFont val="MS P ゴシック"/>
            <family val="3"/>
            <charset val="128"/>
          </rPr>
          <t>月間数量*(申請価格-従来価格)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榎本亮二</author>
  </authors>
  <commentList>
    <comment ref="P19" authorId="0" shapeId="0" xr:uid="{7A8BD53D-BE0C-49F1-A85A-3DB676A1C6FE}">
      <text>
        <r>
          <rPr>
            <sz val="9"/>
            <color indexed="81"/>
            <rFont val="MS P ゴシック"/>
            <family val="3"/>
            <charset val="128"/>
          </rPr>
          <t>新規
値引き
定期値引き</t>
        </r>
      </text>
    </comment>
    <comment ref="Y56" authorId="0" shapeId="0" xr:uid="{A5BF93D4-9A12-42CC-B55A-870D730103B9}">
      <text>
        <r>
          <rPr>
            <sz val="9"/>
            <color indexed="81"/>
            <rFont val="MS P ゴシック"/>
            <family val="3"/>
            <charset val="128"/>
          </rPr>
          <t>JPY,USD,EUR</t>
        </r>
      </text>
    </comment>
    <comment ref="AH56" authorId="0" shapeId="0" xr:uid="{D7085670-18AB-4492-A5E4-F6FEEF514111}">
      <text>
        <r>
          <rPr>
            <sz val="9"/>
            <color indexed="81"/>
            <rFont val="MS P ゴシック"/>
            <family val="3"/>
            <charset val="128"/>
          </rPr>
          <t>JPY,USD,EUR</t>
        </r>
      </text>
    </comment>
    <comment ref="G64" authorId="0" shapeId="0" xr:uid="{09747633-F6FB-47D4-B3E3-D548D8993440}">
      <text>
        <r>
          <rPr>
            <sz val="9"/>
            <color indexed="81"/>
            <rFont val="MS P ゴシック"/>
            <family val="3"/>
            <charset val="128"/>
          </rPr>
          <t>有償
無償</t>
        </r>
      </text>
    </comment>
    <comment ref="G70" authorId="0" shapeId="0" xr:uid="{60A63F56-81EC-4794-AB05-CB8612FB2FA7}">
      <text>
        <r>
          <rPr>
            <sz val="9"/>
            <color indexed="81"/>
            <rFont val="MS P ゴシック"/>
            <family val="3"/>
            <charset val="128"/>
          </rPr>
          <t>有償
無償</t>
        </r>
      </text>
    </comment>
    <comment ref="AE79" authorId="0" shapeId="0" xr:uid="{783290D4-BFFA-4EE4-B077-1822CE119D00}">
      <text>
        <r>
          <rPr>
            <sz val="9"/>
            <color indexed="81"/>
            <rFont val="MS P ゴシック"/>
            <family val="3"/>
            <charset val="128"/>
          </rPr>
          <t>PPM直接コストの申請通貨換算値</t>
        </r>
      </text>
    </comment>
    <comment ref="AV79" authorId="0" shapeId="0" xr:uid="{E685A5C8-59A2-4E9B-A376-A31D07B20D98}">
      <text>
        <r>
          <rPr>
            <sz val="9"/>
            <color indexed="81"/>
            <rFont val="MS P ゴシック"/>
            <family val="3"/>
            <charset val="128"/>
          </rPr>
          <t>FOB価格/(1-物流コスト率)</t>
        </r>
      </text>
    </comment>
    <comment ref="AZ79" authorId="0" shapeId="0" xr:uid="{B9E63FDF-1907-4951-9193-01A63960177D}">
      <text>
        <r>
          <rPr>
            <sz val="9"/>
            <color indexed="81"/>
            <rFont val="MS P ゴシック"/>
            <family val="3"/>
            <charset val="128"/>
          </rPr>
          <t>FOB価格-(CIF価格*口銭率)</t>
        </r>
      </text>
    </comment>
    <comment ref="BD79" authorId="0" shapeId="0" xr:uid="{C72D1E4A-659F-4830-926E-F70596C819DC}">
      <text>
        <r>
          <rPr>
            <sz val="9"/>
            <color indexed="81"/>
            <rFont val="MS P ゴシック"/>
            <family val="3"/>
            <charset val="128"/>
          </rPr>
          <t>1-製造原価/為替レート/申請価格</t>
        </r>
      </text>
    </comment>
    <comment ref="BH79" authorId="0" shapeId="0" xr:uid="{C981884F-ABB5-4027-89AA-B701BAF6461D}">
      <text>
        <r>
          <rPr>
            <sz val="9"/>
            <color indexed="81"/>
            <rFont val="MS P ゴシック"/>
            <family val="3"/>
            <charset val="128"/>
          </rPr>
          <t>(FOB価格-従来FOB価格)/従来FOB価格</t>
        </r>
      </text>
    </comment>
    <comment ref="BP79" authorId="0" shapeId="0" xr:uid="{089B973E-AF9E-4066-B9C5-DB84A9D8DFF4}">
      <text>
        <r>
          <rPr>
            <sz val="9"/>
            <color indexed="81"/>
            <rFont val="MS P ゴシック"/>
            <family val="3"/>
            <charset val="128"/>
          </rPr>
          <t>1-FOB価格/(1-物流コスト率)/販社売価</t>
        </r>
      </text>
    </comment>
    <comment ref="BT79" authorId="0" shapeId="0" xr:uid="{E12C1DC8-155E-464D-A16F-26D5D5C17D10}">
      <text>
        <r>
          <rPr>
            <sz val="9"/>
            <color indexed="81"/>
            <rFont val="MS P ゴシック"/>
            <family val="3"/>
            <charset val="128"/>
          </rPr>
          <t>1-(製造原価/為替レート+FOB価格*物流コスト率+CIF価格*口銭率)/販社売価</t>
        </r>
      </text>
    </comment>
    <comment ref="CB79" authorId="0" shapeId="0" xr:uid="{3A3DE05C-8D8B-4D97-9294-9156F44A8B1F}">
      <text>
        <r>
          <rPr>
            <sz val="9"/>
            <color indexed="81"/>
            <rFont val="MS P ゴシック"/>
            <family val="3"/>
            <charset val="128"/>
          </rPr>
          <t>1-販社売価/代理店売価</t>
        </r>
      </text>
    </comment>
    <comment ref="AA83" authorId="0" shapeId="0" xr:uid="{7BA32FB1-9F62-40D8-876F-BE0214021F90}">
      <text>
        <r>
          <rPr>
            <sz val="9"/>
            <color indexed="81"/>
            <rFont val="MS P ゴシック"/>
            <family val="3"/>
            <charset val="128"/>
          </rPr>
          <t>数量xFOB価格</t>
        </r>
      </text>
    </comment>
    <comment ref="AE83" authorId="0" shapeId="0" xr:uid="{E363DA61-4DB2-453F-A39C-2A37B73AFD95}">
      <text>
        <r>
          <rPr>
            <sz val="9"/>
            <color indexed="81"/>
            <rFont val="MS P ゴシック"/>
            <family val="3"/>
            <charset val="128"/>
          </rPr>
          <t>数量*コスト</t>
        </r>
      </text>
    </comment>
    <comment ref="AJ83" authorId="0" shapeId="0" xr:uid="{A005250B-86A9-4AC0-A0B2-A02672E9768F}">
      <text>
        <r>
          <rPr>
            <sz val="9"/>
            <color indexed="81"/>
            <rFont val="MS P ゴシック"/>
            <family val="3"/>
            <charset val="128"/>
          </rPr>
          <t>売上-コスト合計</t>
        </r>
      </text>
    </comment>
    <comment ref="AN83" authorId="0" shapeId="0" xr:uid="{0DAA0ED9-D4A4-42C7-B123-9E20368ADEE3}">
      <text>
        <r>
          <rPr>
            <sz val="9"/>
            <color indexed="81"/>
            <rFont val="MS P ゴシック"/>
            <family val="3"/>
            <charset val="128"/>
          </rPr>
          <t>貢献額/売上</t>
        </r>
      </text>
    </comment>
    <comment ref="AR83" authorId="0" shapeId="0" xr:uid="{C1118227-8A70-4F71-B4FB-30CC601F3055}">
      <text>
        <r>
          <rPr>
            <sz val="9"/>
            <color indexed="81"/>
            <rFont val="MS P ゴシック"/>
            <family val="3"/>
            <charset val="128"/>
          </rPr>
          <t>値引き額(FOB)/(売上-値引額(FOB))</t>
        </r>
      </text>
    </comment>
    <comment ref="AV83" authorId="0" shapeId="0" xr:uid="{0DD8322E-6864-495B-BF85-282C83D031AE}">
      <text>
        <r>
          <rPr>
            <sz val="9"/>
            <color indexed="81"/>
            <rFont val="MS P ゴシック"/>
            <family val="3"/>
            <charset val="128"/>
          </rPr>
          <t>数量x(FOB価格-従来FOB価格)</t>
        </r>
      </text>
    </comment>
    <comment ref="AZ83" authorId="0" shapeId="0" xr:uid="{FE55E17E-48B1-406E-B64F-132A831932FB}">
      <text>
        <r>
          <rPr>
            <sz val="9"/>
            <color indexed="81"/>
            <rFont val="MS P ゴシック"/>
            <family val="3"/>
            <charset val="128"/>
          </rPr>
          <t>数量x従来価格</t>
        </r>
      </text>
    </comment>
    <comment ref="BD83" authorId="0" shapeId="0" xr:uid="{28E18CEB-1734-4F8F-AAF7-8E6830259DE4}">
      <text>
        <r>
          <rPr>
            <sz val="9"/>
            <color indexed="81"/>
            <rFont val="MS P ゴシック"/>
            <family val="3"/>
            <charset val="128"/>
          </rPr>
          <t>数量x販社売価</t>
        </r>
      </text>
    </comment>
    <comment ref="BH83" authorId="0" shapeId="0" xr:uid="{A01ED628-1DD1-4479-B9E7-BBDB62F0A5E6}">
      <text>
        <r>
          <rPr>
            <sz val="9"/>
            <color indexed="81"/>
            <rFont val="MS P ゴシック"/>
            <family val="3"/>
            <charset val="128"/>
          </rPr>
          <t>1-(直接コスト合計+数量*(FOB価格x物流コスト率+CIF価*口銭率))/売上(連結)</t>
        </r>
      </text>
    </comment>
    <comment ref="AA88" authorId="0" shapeId="0" xr:uid="{3DDDE427-588B-406F-8A19-B9B579792851}">
      <text>
        <r>
          <rPr>
            <sz val="9"/>
            <color indexed="81"/>
            <rFont val="MS P ゴシック"/>
            <family val="3"/>
            <charset val="128"/>
          </rPr>
          <t>数量xFOB価格</t>
        </r>
      </text>
    </comment>
    <comment ref="AE88" authorId="0" shapeId="0" xr:uid="{362E1E65-6856-4B12-8B2B-A173CB9AB68E}">
      <text>
        <r>
          <rPr>
            <sz val="9"/>
            <color indexed="81"/>
            <rFont val="MS P ゴシック"/>
            <family val="3"/>
            <charset val="128"/>
          </rPr>
          <t>数量*コスト</t>
        </r>
      </text>
    </comment>
    <comment ref="AJ88" authorId="0" shapeId="0" xr:uid="{9EAAAB28-8225-4A8F-BE41-96C837C83207}">
      <text>
        <r>
          <rPr>
            <sz val="9"/>
            <color indexed="81"/>
            <rFont val="MS P ゴシック"/>
            <family val="3"/>
            <charset val="128"/>
          </rPr>
          <t>売上-コスト合計</t>
        </r>
      </text>
    </comment>
    <comment ref="AN88" authorId="0" shapeId="0" xr:uid="{22462884-0E1E-4AB3-AA05-5FDACC146B77}">
      <text>
        <r>
          <rPr>
            <sz val="9"/>
            <color indexed="81"/>
            <rFont val="MS P ゴシック"/>
            <family val="3"/>
            <charset val="128"/>
          </rPr>
          <t>貢献額/売上</t>
        </r>
      </text>
    </comment>
    <comment ref="AR88" authorId="0" shapeId="0" xr:uid="{7092DA5B-8BF9-4E95-AFCD-5E32D3557945}">
      <text>
        <r>
          <rPr>
            <sz val="9"/>
            <color indexed="81"/>
            <rFont val="MS P ゴシック"/>
            <family val="3"/>
            <charset val="128"/>
          </rPr>
          <t>値引き額(FOB)/(売上-値引額(FOB))</t>
        </r>
      </text>
    </comment>
    <comment ref="AV88" authorId="0" shapeId="0" xr:uid="{69A9A745-BA11-4C92-9B0A-D58DA283FCFD}">
      <text>
        <r>
          <rPr>
            <sz val="9"/>
            <color indexed="81"/>
            <rFont val="MS P ゴシック"/>
            <family val="3"/>
            <charset val="128"/>
          </rPr>
          <t>数量x(FOB価格-従来FOB価格)</t>
        </r>
      </text>
    </comment>
    <comment ref="BD88" authorId="0" shapeId="0" xr:uid="{93AA3A95-7DD4-432C-A3EC-FCD959E31A89}">
      <text>
        <r>
          <rPr>
            <sz val="9"/>
            <color indexed="81"/>
            <rFont val="MS P ゴシック"/>
            <family val="3"/>
            <charset val="128"/>
          </rPr>
          <t>数量x販社売価</t>
        </r>
      </text>
    </comment>
    <comment ref="BH88" authorId="0" shapeId="0" xr:uid="{0A9FB5DE-024E-4846-8581-FC3CFCA1EFEC}">
      <text>
        <r>
          <rPr>
            <sz val="9"/>
            <color indexed="81"/>
            <rFont val="MS P ゴシック"/>
            <family val="3"/>
            <charset val="128"/>
          </rPr>
          <t>1-(直接コスト合計+数量*(FOB価格x物流コスト率+CIF価*口銭率))/売上(連結)</t>
        </r>
      </text>
    </comment>
    <comment ref="P106" authorId="0" shapeId="0" xr:uid="{74D25D7A-D279-42AF-BB26-66E6477342F9}">
      <text>
        <r>
          <rPr>
            <sz val="9"/>
            <color indexed="81"/>
            <rFont val="MS P ゴシック"/>
            <family val="3"/>
            <charset val="128"/>
          </rPr>
          <t>有
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榎本亮二</author>
    <author xml:space="preserve"> </author>
  </authors>
  <commentList>
    <comment ref="P19" authorId="0" shapeId="0" xr:uid="{6623BF2F-8CA1-4F96-AD8E-8787264430D2}">
      <text>
        <r>
          <rPr>
            <sz val="9"/>
            <color indexed="81"/>
            <rFont val="MS P ゴシック"/>
            <family val="3"/>
            <charset val="128"/>
          </rPr>
          <t>新規
値引き
定期値引き</t>
        </r>
      </text>
    </comment>
    <comment ref="Y51" authorId="0" shapeId="0" xr:uid="{2BDF4F72-BFFF-4F68-9DC7-9CA8FC1DC83C}">
      <text>
        <r>
          <rPr>
            <sz val="9"/>
            <color indexed="81"/>
            <rFont val="MS P ゴシック"/>
            <family val="3"/>
            <charset val="128"/>
          </rPr>
          <t>JPY,USD,EUR</t>
        </r>
      </text>
    </comment>
    <comment ref="AE63" authorId="0" shapeId="0" xr:uid="{A938626A-87FA-41AD-9607-E4E5F51B7B03}">
      <text>
        <r>
          <rPr>
            <sz val="9"/>
            <color indexed="81"/>
            <rFont val="MS P ゴシック"/>
            <family val="3"/>
            <charset val="128"/>
          </rPr>
          <t>製造原価/為替レート</t>
        </r>
      </text>
    </comment>
    <comment ref="AV63" authorId="0" shapeId="0" xr:uid="{ED49BA27-2E4A-4FA5-99E4-AD5C275240E0}">
      <text>
        <r>
          <rPr>
            <sz val="9"/>
            <color indexed="81"/>
            <rFont val="MS P ゴシック"/>
            <family val="3"/>
            <charset val="128"/>
          </rPr>
          <t>FOB価格/(1-物流コスト率)</t>
        </r>
      </text>
    </comment>
    <comment ref="AZ63" authorId="0" shapeId="0" xr:uid="{D65D3F7F-8FD1-4239-BD6C-5DA15D787712}">
      <text>
        <r>
          <rPr>
            <sz val="9"/>
            <color indexed="81"/>
            <rFont val="MS P ゴシック"/>
            <family val="3"/>
            <charset val="128"/>
          </rPr>
          <t>FOB価格-(CIF価格*口銭率)</t>
        </r>
      </text>
    </comment>
    <comment ref="BD63" authorId="0" shapeId="0" xr:uid="{8EA5B32F-3CC9-4707-AE2D-67F331D44ACA}">
      <text>
        <r>
          <rPr>
            <sz val="9"/>
            <color indexed="81"/>
            <rFont val="MS P ゴシック"/>
            <family val="3"/>
            <charset val="128"/>
          </rPr>
          <t>(FOB価格-CIF価格*口銭率-総原価/為替レート)/(総原価/為替レート)</t>
        </r>
      </text>
    </comment>
    <comment ref="BH63" authorId="1" shapeId="0" xr:uid="{058AD372-E79A-416D-8D68-6A16B16B6D1C}">
      <text>
        <r>
          <rPr>
            <sz val="9"/>
            <color indexed="81"/>
            <rFont val="MS P ゴシック"/>
            <family val="3"/>
            <charset val="128"/>
          </rPr>
          <t>(FOB価格-従来FOB価格)/従来FOB価格</t>
        </r>
      </text>
    </comment>
    <comment ref="BP63" authorId="1" shapeId="0" xr:uid="{F2B1A7CF-959F-414E-A78E-EC455CC96B37}">
      <text>
        <r>
          <rPr>
            <sz val="9"/>
            <color indexed="81"/>
            <rFont val="MS P ゴシック"/>
            <family val="3"/>
            <charset val="128"/>
          </rPr>
          <t>1-FOB価格/(1-物流コスト率)/販社売価</t>
        </r>
      </text>
    </comment>
    <comment ref="BT63" authorId="0" shapeId="0" xr:uid="{C08CABE3-F817-4F58-8AAF-D6C8EB6ABC4E}">
      <text>
        <r>
          <rPr>
            <sz val="9"/>
            <color indexed="81"/>
            <rFont val="MS P ゴシック"/>
            <family val="3"/>
            <charset val="128"/>
          </rPr>
          <t>1-(製造原価/為替レート+FOB価格*物流コスト率+CIF価格*口銭率)/販社売価</t>
        </r>
      </text>
    </comment>
    <comment ref="CB63" authorId="0" shapeId="0" xr:uid="{2E9EB4F6-4084-4F8B-BF81-2F811CF011D7}">
      <text>
        <r>
          <rPr>
            <sz val="9"/>
            <color indexed="81"/>
            <rFont val="MS P ゴシック"/>
            <family val="3"/>
            <charset val="128"/>
          </rPr>
          <t>1-販社売価/代理店売価</t>
        </r>
      </text>
    </comment>
    <comment ref="AA67" authorId="0" shapeId="0" xr:uid="{0008D8C9-F466-433C-8781-EB64D0900F1C}">
      <text>
        <r>
          <rPr>
            <sz val="9"/>
            <color indexed="81"/>
            <rFont val="MS P ゴシック"/>
            <family val="3"/>
            <charset val="128"/>
          </rPr>
          <t>数量xFOB価格</t>
        </r>
      </text>
    </comment>
    <comment ref="AE67" authorId="0" shapeId="0" xr:uid="{58183CC7-466B-4D5F-AD36-EEB8F2551732}">
      <text>
        <r>
          <rPr>
            <sz val="9"/>
            <color indexed="81"/>
            <rFont val="MS P ゴシック"/>
            <family val="3"/>
            <charset val="128"/>
          </rPr>
          <t>数量*総原価/為替レート</t>
        </r>
      </text>
    </comment>
    <comment ref="AJ67" authorId="0" shapeId="0" xr:uid="{705C7AF5-0972-4D88-893D-3A8280B4ECA3}">
      <text>
        <r>
          <rPr>
            <sz val="9"/>
            <color indexed="81"/>
            <rFont val="MS P ゴシック"/>
            <family val="3"/>
            <charset val="128"/>
          </rPr>
          <t>売上-コスト合計</t>
        </r>
      </text>
    </comment>
    <comment ref="AN67" authorId="0" shapeId="0" xr:uid="{E40FBDBE-7055-4E5E-B2AC-85065231E226}">
      <text>
        <r>
          <rPr>
            <sz val="9"/>
            <color indexed="81"/>
            <rFont val="MS P ゴシック"/>
            <family val="3"/>
            <charset val="128"/>
          </rPr>
          <t>総原価利益率/総原価合計</t>
        </r>
      </text>
    </comment>
    <comment ref="AR67" authorId="0" shapeId="0" xr:uid="{2C699ADD-B18E-450C-9936-91FA39EE31B4}">
      <text>
        <r>
          <rPr>
            <sz val="9"/>
            <color indexed="81"/>
            <rFont val="MS P ゴシック"/>
            <family val="3"/>
            <charset val="128"/>
          </rPr>
          <t>値引き額(FOB)/(売上-値引額(FOB))</t>
        </r>
      </text>
    </comment>
    <comment ref="AV67" authorId="0" shapeId="0" xr:uid="{7A6D7B8E-E81F-4D0B-8478-8A301A25D472}">
      <text>
        <r>
          <rPr>
            <sz val="9"/>
            <color indexed="81"/>
            <rFont val="MS P ゴシック"/>
            <family val="3"/>
            <charset val="128"/>
          </rPr>
          <t>数量x(FOB価格-従来FOB価格)</t>
        </r>
      </text>
    </comment>
    <comment ref="AZ67" authorId="1" shapeId="0" xr:uid="{7F6DA814-E095-43FC-B1E7-690AD8DC9B06}">
      <text>
        <r>
          <rPr>
            <sz val="9"/>
            <color indexed="81"/>
            <rFont val="MS P ゴシック"/>
            <family val="3"/>
            <charset val="128"/>
          </rPr>
          <t>数量*従来FOB価格</t>
        </r>
      </text>
    </comment>
    <comment ref="BD67" authorId="0" shapeId="0" xr:uid="{6F3AAC99-9C2A-44C7-95ED-5AE8DD2C9329}">
      <text>
        <r>
          <rPr>
            <sz val="9"/>
            <color indexed="81"/>
            <rFont val="MS P ゴシック"/>
            <family val="3"/>
            <charset val="128"/>
          </rPr>
          <t>数量x販社売価</t>
        </r>
      </text>
    </comment>
    <comment ref="BH67" authorId="0" shapeId="0" xr:uid="{B7F6938F-EF68-4F76-8B03-E74A6BB59B1F}">
      <text>
        <r>
          <rPr>
            <sz val="9"/>
            <color indexed="81"/>
            <rFont val="MS P ゴシック"/>
            <family val="3"/>
            <charset val="128"/>
          </rPr>
          <t>1-((製造原価/為替レート*数量)+(FOB価格*物流コスト率+FOB価格/(1-物流コスト率)*口銭率)*月間数量)/売上(連結)</t>
        </r>
      </text>
    </comment>
    <comment ref="AA72" authorId="0" shapeId="0" xr:uid="{1C5DD139-ED23-4833-A397-2CE31A302AA0}">
      <text>
        <r>
          <rPr>
            <sz val="9"/>
            <color indexed="81"/>
            <rFont val="MS P ゴシック"/>
            <family val="3"/>
            <charset val="128"/>
          </rPr>
          <t>数量xFOB価格</t>
        </r>
      </text>
    </comment>
    <comment ref="AE72" authorId="0" shapeId="0" xr:uid="{8FBD9153-D455-48A5-8160-9FD612285F39}">
      <text>
        <r>
          <rPr>
            <sz val="9"/>
            <color indexed="81"/>
            <rFont val="MS P ゴシック"/>
            <family val="3"/>
            <charset val="128"/>
          </rPr>
          <t>数量*総原価/為替レート</t>
        </r>
      </text>
    </comment>
    <comment ref="AJ72" authorId="0" shapeId="0" xr:uid="{A04A2564-914A-41DE-AEA1-C66CE93147CB}">
      <text>
        <r>
          <rPr>
            <sz val="9"/>
            <color indexed="81"/>
            <rFont val="MS P ゴシック"/>
            <family val="3"/>
            <charset val="128"/>
          </rPr>
          <t>売上-コスト合計</t>
        </r>
      </text>
    </comment>
    <comment ref="AN72" authorId="0" shapeId="0" xr:uid="{DDF17ECF-4EC5-43B3-83CA-C891D25175ED}">
      <text>
        <r>
          <rPr>
            <sz val="9"/>
            <color indexed="81"/>
            <rFont val="MS P ゴシック"/>
            <family val="3"/>
            <charset val="128"/>
          </rPr>
          <t>総原価利益率/総原価合計</t>
        </r>
      </text>
    </comment>
    <comment ref="AR72" authorId="0" shapeId="0" xr:uid="{1A674939-80ED-49BC-BB54-370D0A50DCB5}">
      <text>
        <r>
          <rPr>
            <sz val="9"/>
            <color indexed="81"/>
            <rFont val="MS P ゴシック"/>
            <family val="3"/>
            <charset val="128"/>
          </rPr>
          <t>値引き額(FOB)/(売上-値引額(FOB))</t>
        </r>
      </text>
    </comment>
    <comment ref="AV72" authorId="0" shapeId="0" xr:uid="{E818FAD8-D17D-41F1-AA98-2F46284036D5}">
      <text>
        <r>
          <rPr>
            <sz val="9"/>
            <color indexed="81"/>
            <rFont val="MS P ゴシック"/>
            <family val="3"/>
            <charset val="128"/>
          </rPr>
          <t>数量x(FOB価格-従来FOB価格)</t>
        </r>
      </text>
    </comment>
    <comment ref="AZ72" authorId="1" shapeId="0" xr:uid="{491E7B96-D91E-4F59-AC10-072C8670CFE6}">
      <text>
        <r>
          <rPr>
            <sz val="9"/>
            <color indexed="81"/>
            <rFont val="MS P ゴシック"/>
            <family val="3"/>
            <charset val="128"/>
          </rPr>
          <t>数量*従来FOB価格</t>
        </r>
      </text>
    </comment>
    <comment ref="BD72" authorId="0" shapeId="0" xr:uid="{F9E58F2A-1288-4EC7-9F60-C84689F01A58}">
      <text>
        <r>
          <rPr>
            <sz val="9"/>
            <color indexed="81"/>
            <rFont val="MS P ゴシック"/>
            <family val="3"/>
            <charset val="128"/>
          </rPr>
          <t>数量x販社売価</t>
        </r>
      </text>
    </comment>
    <comment ref="BH72" authorId="0" shapeId="0" xr:uid="{A362063F-BA67-4729-8CA6-750EBD90C6CC}">
      <text>
        <r>
          <rPr>
            <sz val="9"/>
            <color indexed="81"/>
            <rFont val="MS P ゴシック"/>
            <family val="3"/>
            <charset val="128"/>
          </rPr>
          <t>1-((製造原価/為替レート*数量)+(FOB価格*物流コスト率+FOB価格/(1-物流コスト率)*口銭率)*月間数量)/売上(連結)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榎本亮二</author>
  </authors>
  <commentList>
    <comment ref="P19" authorId="0" shapeId="0" xr:uid="{B16F0910-2B25-48B0-AC84-D0F450AB68A7}">
      <text>
        <r>
          <rPr>
            <sz val="9"/>
            <color indexed="81"/>
            <rFont val="MS P ゴシック"/>
            <family val="3"/>
            <charset val="128"/>
          </rPr>
          <t>新規
値引き
定期値引き</t>
        </r>
      </text>
    </comment>
    <comment ref="Y51" authorId="0" shapeId="0" xr:uid="{91BDABE1-D4AF-4D5B-B352-20254FB23C28}">
      <text>
        <r>
          <rPr>
            <sz val="9"/>
            <color indexed="81"/>
            <rFont val="MS P ゴシック"/>
            <family val="3"/>
            <charset val="128"/>
          </rPr>
          <t>JPY,USD,EUR</t>
        </r>
      </text>
    </comment>
    <comment ref="AH51" authorId="0" shapeId="0" xr:uid="{62CDB66E-96A3-4E83-9D95-D4E2C06B9625}">
      <text>
        <r>
          <rPr>
            <sz val="9"/>
            <color indexed="81"/>
            <rFont val="MS P ゴシック"/>
            <family val="3"/>
            <charset val="128"/>
          </rPr>
          <t>JPY,USD,EUR</t>
        </r>
      </text>
    </comment>
    <comment ref="AV63" authorId="0" shapeId="0" xr:uid="{0DBD67A4-FF9E-46EB-B9C8-A2B692E652C6}">
      <text>
        <r>
          <rPr>
            <sz val="9"/>
            <color indexed="81"/>
            <rFont val="MS P ゴシック"/>
            <family val="3"/>
            <charset val="128"/>
          </rPr>
          <t>FOB価格/(1-物流コスト率)</t>
        </r>
      </text>
    </comment>
    <comment ref="AZ63" authorId="0" shapeId="0" xr:uid="{D26709B3-3714-4512-8EA6-BBCB3ABEB186}">
      <text>
        <r>
          <rPr>
            <sz val="9"/>
            <color indexed="81"/>
            <rFont val="MS P ゴシック"/>
            <family val="3"/>
            <charset val="128"/>
          </rPr>
          <t>FOB価格-(CIF価格*口銭率)</t>
        </r>
      </text>
    </comment>
    <comment ref="BD63" authorId="0" shapeId="0" xr:uid="{AA63994B-1D1B-48A9-954E-382465FEBBA7}">
      <text>
        <r>
          <rPr>
            <sz val="9"/>
            <color indexed="81"/>
            <rFont val="MS P ゴシック"/>
            <family val="3"/>
            <charset val="128"/>
          </rPr>
          <t>(FOB価格-従来FOB価格)/従来FOB価格</t>
        </r>
      </text>
    </comment>
    <comment ref="BL63" authorId="0" shapeId="0" xr:uid="{4847ED2C-045B-45EF-A3ED-4524C19E78DD}">
      <text>
        <r>
          <rPr>
            <sz val="9"/>
            <color indexed="81"/>
            <rFont val="MS P ゴシック"/>
            <family val="3"/>
            <charset val="128"/>
          </rPr>
          <t>1-FOB価格/(1-物流コスト率)/販社売価</t>
        </r>
      </text>
    </comment>
    <comment ref="BP63" authorId="0" shapeId="0" xr:uid="{0A221737-153F-4D5F-85C3-9D404C6E198A}">
      <text>
        <r>
          <rPr>
            <sz val="9"/>
            <color indexed="81"/>
            <rFont val="MS P ゴシック"/>
            <family val="3"/>
            <charset val="128"/>
          </rPr>
          <t>1-純原価/販社売価</t>
        </r>
      </text>
    </comment>
    <comment ref="BX63" authorId="0" shapeId="0" xr:uid="{73AFF1EF-3E0E-4720-98C8-71032E00FED5}">
      <text>
        <r>
          <rPr>
            <sz val="9"/>
            <color indexed="81"/>
            <rFont val="MS P ゴシック"/>
            <family val="3"/>
            <charset val="128"/>
          </rPr>
          <t>1-販社売価/代理店売価</t>
        </r>
      </text>
    </comment>
    <comment ref="AA66" authorId="0" shapeId="0" xr:uid="{430E6BB0-4127-4384-BC54-60CA61C14030}">
      <text>
        <r>
          <rPr>
            <sz val="9"/>
            <color indexed="81"/>
            <rFont val="MS P ゴシック"/>
            <family val="3"/>
            <charset val="128"/>
          </rPr>
          <t>数量x販社売価</t>
        </r>
      </text>
    </comment>
    <comment ref="AE66" authorId="0" shapeId="0" xr:uid="{2FF6B129-4FE2-4056-9395-D341715CE753}">
      <text>
        <r>
          <rPr>
            <sz val="9"/>
            <color indexed="81"/>
            <rFont val="MS P ゴシック"/>
            <family val="3"/>
            <charset val="128"/>
          </rPr>
          <t>数量*純原価</t>
        </r>
      </text>
    </comment>
    <comment ref="AJ66" authorId="0" shapeId="0" xr:uid="{124A21D9-B11E-440A-9251-38D6463B5ED4}">
      <text>
        <r>
          <rPr>
            <sz val="9"/>
            <color indexed="81"/>
            <rFont val="MS P ゴシック"/>
            <family val="3"/>
            <charset val="128"/>
          </rPr>
          <t>売上-純原価合計</t>
        </r>
      </text>
    </comment>
    <comment ref="AN66" authorId="0" shapeId="0" xr:uid="{39B1E842-0F08-4EE1-90A6-8A5B014B09D6}">
      <text>
        <r>
          <rPr>
            <sz val="9"/>
            <color indexed="81"/>
            <rFont val="MS P ゴシック"/>
            <family val="3"/>
            <charset val="128"/>
          </rPr>
          <t>連結粗利額/売上</t>
        </r>
      </text>
    </comment>
    <comment ref="AR66" authorId="0" shapeId="0" xr:uid="{74834474-258D-4DD9-8E4D-73D629C279A5}">
      <text>
        <r>
          <rPr>
            <sz val="9"/>
            <color indexed="81"/>
            <rFont val="MS P ゴシック"/>
            <family val="3"/>
            <charset val="128"/>
          </rPr>
          <t>値引き額/(売上-値引額)</t>
        </r>
      </text>
    </comment>
    <comment ref="AV66" authorId="0" shapeId="0" xr:uid="{9A6D075A-CB09-4104-B0B5-77393C6BC79C}">
      <text>
        <r>
          <rPr>
            <sz val="9"/>
            <color indexed="81"/>
            <rFont val="MS P ゴシック"/>
            <family val="3"/>
            <charset val="128"/>
          </rPr>
          <t>数量x(販社売価-従来FOB価格)</t>
        </r>
      </text>
    </comment>
    <comment ref="AA70" authorId="0" shapeId="0" xr:uid="{CC6D866E-EB37-46D4-8CC8-94D22DA66F2C}">
      <text>
        <r>
          <rPr>
            <sz val="9"/>
            <color indexed="81"/>
            <rFont val="MS P ゴシック"/>
            <family val="3"/>
            <charset val="128"/>
          </rPr>
          <t>数量x販社売価</t>
        </r>
      </text>
    </comment>
    <comment ref="AE70" authorId="0" shapeId="0" xr:uid="{E3B1403C-EDD2-4F49-B602-4CF89721539C}">
      <text>
        <r>
          <rPr>
            <sz val="9"/>
            <color indexed="81"/>
            <rFont val="MS P ゴシック"/>
            <family val="3"/>
            <charset val="128"/>
          </rPr>
          <t>数量*純原価</t>
        </r>
      </text>
    </comment>
    <comment ref="AJ70" authorId="0" shapeId="0" xr:uid="{B597D182-914B-4079-9012-10863EB9E722}">
      <text>
        <r>
          <rPr>
            <sz val="9"/>
            <color indexed="81"/>
            <rFont val="MS P ゴシック"/>
            <family val="3"/>
            <charset val="128"/>
          </rPr>
          <t>売上-純原価合計</t>
        </r>
      </text>
    </comment>
    <comment ref="AN70" authorId="0" shapeId="0" xr:uid="{8734A2E2-1436-4500-9F85-28ADB0147A2C}">
      <text>
        <r>
          <rPr>
            <sz val="9"/>
            <color indexed="81"/>
            <rFont val="MS P ゴシック"/>
            <family val="3"/>
            <charset val="128"/>
          </rPr>
          <t>連結粗利額/売上</t>
        </r>
      </text>
    </comment>
    <comment ref="AR70" authorId="0" shapeId="0" xr:uid="{DCE142C0-1C1D-4045-9C53-756E41C9714D}">
      <text>
        <r>
          <rPr>
            <sz val="9"/>
            <color indexed="81"/>
            <rFont val="MS P ゴシック"/>
            <family val="3"/>
            <charset val="128"/>
          </rPr>
          <t>値引き額/(売上-値引額)</t>
        </r>
      </text>
    </comment>
    <comment ref="AV70" authorId="0" shapeId="0" xr:uid="{D97FBD94-788C-4E96-8996-E4A87B5B2361}">
      <text>
        <r>
          <rPr>
            <sz val="9"/>
            <color indexed="81"/>
            <rFont val="MS P ゴシック"/>
            <family val="3"/>
            <charset val="128"/>
          </rPr>
          <t>数量x(販社売価-従来FOB価格)</t>
        </r>
      </text>
    </comment>
  </commentList>
</comments>
</file>

<file path=xl/sharedStrings.xml><?xml version="1.0" encoding="utf-8"?>
<sst xmlns="http://schemas.openxmlformats.org/spreadsheetml/2006/main" count="2244" uniqueCount="681">
  <si>
    <t>HRS殿</t>
    <rPh sb="3" eb="4">
      <t>ドノ</t>
    </rPh>
    <phoneticPr fontId="14"/>
  </si>
  <si>
    <t>作成</t>
    <rPh sb="0" eb="2">
      <t>サクセイ</t>
    </rPh>
    <phoneticPr fontId="14"/>
  </si>
  <si>
    <t>照査</t>
    <rPh sb="0" eb="2">
      <t>ショウサ</t>
    </rPh>
    <phoneticPr fontId="14"/>
  </si>
  <si>
    <t>承認</t>
    <rPh sb="0" eb="2">
      <t>ショウニン</t>
    </rPh>
    <phoneticPr fontId="14"/>
  </si>
  <si>
    <t>文書名：</t>
    <rPh sb="0" eb="2">
      <t>ブンショ</t>
    </rPh>
    <rPh sb="2" eb="3">
      <t>メイ</t>
    </rPh>
    <phoneticPr fontId="14"/>
  </si>
  <si>
    <t>顧客名</t>
    <rPh sb="0" eb="2">
      <t>コキャク</t>
    </rPh>
    <rPh sb="2" eb="3">
      <t>メイ</t>
    </rPh>
    <phoneticPr fontId="14"/>
  </si>
  <si>
    <t>ヒロセ電機株式会社</t>
    <rPh sb="3" eb="5">
      <t>デンキ</t>
    </rPh>
    <rPh sb="5" eb="7">
      <t>カブシキ</t>
    </rPh>
    <rPh sb="7" eb="9">
      <t>カイシャ</t>
    </rPh>
    <phoneticPr fontId="14"/>
  </si>
  <si>
    <t>システム</t>
    <phoneticPr fontId="14"/>
  </si>
  <si>
    <t>作成者</t>
    <rPh sb="0" eb="2">
      <t>サクセイ</t>
    </rPh>
    <rPh sb="2" eb="3">
      <t>シャ</t>
    </rPh>
    <phoneticPr fontId="14"/>
  </si>
  <si>
    <t>作成日</t>
    <rPh sb="0" eb="3">
      <t>サクセイビ</t>
    </rPh>
    <phoneticPr fontId="14"/>
  </si>
  <si>
    <t>書類番号</t>
    <rPh sb="0" eb="2">
      <t>ショルイ</t>
    </rPh>
    <rPh sb="2" eb="4">
      <t>バンゴウ</t>
    </rPh>
    <phoneticPr fontId="14"/>
  </si>
  <si>
    <t>プロジェクト</t>
    <phoneticPr fontId="14"/>
  </si>
  <si>
    <t>修正者</t>
    <rPh sb="0" eb="2">
      <t>シュウセイ</t>
    </rPh>
    <rPh sb="2" eb="3">
      <t>シャ</t>
    </rPh>
    <phoneticPr fontId="14"/>
  </si>
  <si>
    <t>修正日</t>
    <rPh sb="0" eb="2">
      <t>シュウセイ</t>
    </rPh>
    <rPh sb="2" eb="3">
      <t>ビ</t>
    </rPh>
    <phoneticPr fontId="14"/>
  </si>
  <si>
    <t>内容</t>
    <rPh sb="0" eb="2">
      <t>ナイヨウ</t>
    </rPh>
    <phoneticPr fontId="14"/>
  </si>
  <si>
    <t>Rev</t>
    <phoneticPr fontId="14"/>
  </si>
  <si>
    <t>intra-mart Accel Platform</t>
    <phoneticPr fontId="14"/>
  </si>
  <si>
    <t>変更内容</t>
    <rPh sb="0" eb="2">
      <t>ヘンコウ</t>
    </rPh>
    <rPh sb="2" eb="4">
      <t>ナイヨウ</t>
    </rPh>
    <phoneticPr fontId="13"/>
  </si>
  <si>
    <t>変更・追加箇所</t>
    <rPh sb="0" eb="2">
      <t>ヘンコウ</t>
    </rPh>
    <rPh sb="3" eb="5">
      <t>ツイカ</t>
    </rPh>
    <rPh sb="5" eb="7">
      <t>カショ</t>
    </rPh>
    <phoneticPr fontId="13"/>
  </si>
  <si>
    <t>提出日</t>
    <rPh sb="0" eb="2">
      <t>テイシュツ</t>
    </rPh>
    <rPh sb="2" eb="3">
      <t>ビ</t>
    </rPh>
    <phoneticPr fontId="13"/>
  </si>
  <si>
    <t>作成者</t>
    <rPh sb="0" eb="3">
      <t>サクセイシャ</t>
    </rPh>
    <phoneticPr fontId="13"/>
  </si>
  <si>
    <t>承認者</t>
    <rPh sb="0" eb="2">
      <t>ショウニン</t>
    </rPh>
    <rPh sb="2" eb="3">
      <t>シャ</t>
    </rPh>
    <phoneticPr fontId="13"/>
  </si>
  <si>
    <t>備考</t>
    <rPh sb="0" eb="2">
      <t>ビコウ</t>
    </rPh>
    <phoneticPr fontId="13"/>
  </si>
  <si>
    <t>新規作成</t>
    <rPh sb="0" eb="2">
      <t>シンキ</t>
    </rPh>
    <rPh sb="2" eb="4">
      <t>サクセイ</t>
    </rPh>
    <phoneticPr fontId="51"/>
  </si>
  <si>
    <t>Rev.</t>
    <phoneticPr fontId="13"/>
  </si>
  <si>
    <t>変更来歴</t>
    <phoneticPr fontId="51"/>
  </si>
  <si>
    <t>画面設計書</t>
    <rPh sb="0" eb="2">
      <t>ガメン</t>
    </rPh>
    <rPh sb="2" eb="5">
      <t>セッケイショ</t>
    </rPh>
    <phoneticPr fontId="14"/>
  </si>
  <si>
    <t>画面名</t>
    <rPh sb="0" eb="2">
      <t>ガメン</t>
    </rPh>
    <rPh sb="2" eb="3">
      <t>メイ</t>
    </rPh>
    <phoneticPr fontId="51"/>
  </si>
  <si>
    <t>アメージングアクティビティ(株)</t>
    <rPh sb="13" eb="16">
      <t>カブシキガイシャ</t>
    </rPh>
    <phoneticPr fontId="14"/>
  </si>
  <si>
    <t/>
  </si>
  <si>
    <t>IMWF-53</t>
    <phoneticPr fontId="51"/>
  </si>
  <si>
    <t>No</t>
    <phoneticPr fontId="57"/>
  </si>
  <si>
    <t>▼</t>
    <phoneticPr fontId="57"/>
  </si>
  <si>
    <t>品名</t>
    <rPh sb="0" eb="1">
      <t>ヒンメイ</t>
    </rPh>
    <phoneticPr fontId="57"/>
  </si>
  <si>
    <t>○</t>
    <phoneticPr fontId="57"/>
  </si>
  <si>
    <t>◎</t>
    <phoneticPr fontId="57"/>
  </si>
  <si>
    <t>▲</t>
    <phoneticPr fontId="57"/>
  </si>
  <si>
    <t>ファイル名</t>
    <rPh sb="4" eb="5">
      <t>メイ</t>
    </rPh>
    <phoneticPr fontId="57"/>
  </si>
  <si>
    <t>得意先コード</t>
    <rPh sb="0" eb="3">
      <t>トクイサキ</t>
    </rPh>
    <phoneticPr fontId="57"/>
  </si>
  <si>
    <t>サイズ</t>
    <phoneticPr fontId="57"/>
  </si>
  <si>
    <t>102 KB</t>
    <phoneticPr fontId="57"/>
  </si>
  <si>
    <t>得意先</t>
    <rPh sb="0" eb="3">
      <t>トクイサキ</t>
    </rPh>
    <phoneticPr fontId="61"/>
  </si>
  <si>
    <t>　</t>
    <phoneticPr fontId="57"/>
  </si>
  <si>
    <t>クリア</t>
    <phoneticPr fontId="57"/>
  </si>
  <si>
    <t>ファイル001.xlsx</t>
    <phoneticPr fontId="57"/>
  </si>
  <si>
    <t>CD-1234567</t>
    <phoneticPr fontId="57"/>
  </si>
  <si>
    <t>単価上申(円販売一般品)</t>
    <rPh sb="0" eb="2">
      <t>タンカ</t>
    </rPh>
    <rPh sb="2" eb="4">
      <t>ジョウシン</t>
    </rPh>
    <rPh sb="5" eb="8">
      <t>エンハンバイ</t>
    </rPh>
    <rPh sb="8" eb="10">
      <t>イッパン</t>
    </rPh>
    <rPh sb="10" eb="11">
      <t>シナ</t>
    </rPh>
    <phoneticPr fontId="57"/>
  </si>
  <si>
    <t>過去の申請から内容コピー</t>
    <rPh sb="0" eb="2">
      <t>カコ</t>
    </rPh>
    <rPh sb="3" eb="5">
      <t>シンセイ</t>
    </rPh>
    <rPh sb="7" eb="9">
      <t>ナイヨウ</t>
    </rPh>
    <phoneticPr fontId="57"/>
  </si>
  <si>
    <t>起票日</t>
    <rPh sb="0" eb="3">
      <t>キヒョウビ</t>
    </rPh>
    <phoneticPr fontId="57"/>
  </si>
  <si>
    <t>所属</t>
    <rPh sb="0" eb="2">
      <t>ショゾク</t>
    </rPh>
    <phoneticPr fontId="57"/>
  </si>
  <si>
    <t>社員番号</t>
    <rPh sb="0" eb="2">
      <t>シャイン</t>
    </rPh>
    <rPh sb="2" eb="4">
      <t>バンゴウ</t>
    </rPh>
    <phoneticPr fontId="57"/>
  </si>
  <si>
    <t>2022/09/29</t>
    <phoneticPr fontId="57"/>
  </si>
  <si>
    <t>：</t>
    <phoneticPr fontId="57"/>
  </si>
  <si>
    <t>ヒロセ電機株式会社/管理本部/ＩＴ統括部/情報システム企画課</t>
    <phoneticPr fontId="57"/>
  </si>
  <si>
    <t>hirose</t>
    <phoneticPr fontId="57"/>
  </si>
  <si>
    <t>氏名　：</t>
    <rPh sb="0" eb="2">
      <t>シメイ</t>
    </rPh>
    <phoneticPr fontId="57"/>
  </si>
  <si>
    <t>システム担当者</t>
    <rPh sb="4" eb="7">
      <t>タントウシャ</t>
    </rPh>
    <phoneticPr fontId="57"/>
  </si>
  <si>
    <r>
      <t>タイトル</t>
    </r>
    <r>
      <rPr>
        <sz val="10"/>
        <color rgb="FFFF0000"/>
        <rFont val="ＭＳ Ｐゴシック"/>
        <family val="3"/>
        <charset val="128"/>
        <scheme val="minor"/>
      </rPr>
      <t>*</t>
    </r>
    <phoneticPr fontId="57"/>
  </si>
  <si>
    <r>
      <t>得意先名</t>
    </r>
    <r>
      <rPr>
        <sz val="10"/>
        <color rgb="FFFF0000"/>
        <rFont val="ＭＳ Ｐゴシック"/>
        <family val="3"/>
        <charset val="128"/>
        <scheme val="minor"/>
      </rPr>
      <t>*</t>
    </r>
    <rPh sb="0" eb="3">
      <t>トクイサキ</t>
    </rPh>
    <rPh sb="3" eb="4">
      <t>メイ</t>
    </rPh>
    <phoneticPr fontId="57"/>
  </si>
  <si>
    <t>客先担当者名</t>
    <rPh sb="0" eb="2">
      <t>キャクサキ</t>
    </rPh>
    <rPh sb="2" eb="6">
      <t>タントウシャメイ</t>
    </rPh>
    <phoneticPr fontId="57"/>
  </si>
  <si>
    <r>
      <t>案件種類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アンケン</t>
    </rPh>
    <rPh sb="2" eb="4">
      <t>シュルイ</t>
    </rPh>
    <phoneticPr fontId="57"/>
  </si>
  <si>
    <r>
      <t>希望承認期限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キボウ</t>
    </rPh>
    <rPh sb="2" eb="4">
      <t>ショウニン</t>
    </rPh>
    <rPh sb="4" eb="6">
      <t>キゲン</t>
    </rPh>
    <phoneticPr fontId="57"/>
  </si>
  <si>
    <t>申請価格入力</t>
    <rPh sb="0" eb="2">
      <t>シンセイ</t>
    </rPh>
    <rPh sb="2" eb="4">
      <t>カカク</t>
    </rPh>
    <rPh sb="4" eb="6">
      <t>ニュウリョク</t>
    </rPh>
    <phoneticPr fontId="57"/>
  </si>
  <si>
    <t>CL</t>
    <phoneticPr fontId="61"/>
  </si>
  <si>
    <t>得意先要求価格</t>
    <rPh sb="0" eb="3">
      <t>トクイサキ</t>
    </rPh>
    <rPh sb="3" eb="5">
      <t>ヨウキュウ</t>
    </rPh>
    <rPh sb="5" eb="7">
      <t>カカク</t>
    </rPh>
    <phoneticPr fontId="61"/>
  </si>
  <si>
    <t>申請価格</t>
    <rPh sb="0" eb="2">
      <t>シンセイ</t>
    </rPh>
    <rPh sb="2" eb="4">
      <t>カカク</t>
    </rPh>
    <phoneticPr fontId="61"/>
  </si>
  <si>
    <t>原計タイプ</t>
    <rPh sb="0" eb="2">
      <t>ゲンケイ</t>
    </rPh>
    <phoneticPr fontId="61"/>
  </si>
  <si>
    <t>従来価格</t>
    <rPh sb="0" eb="2">
      <t>ジュウライ</t>
    </rPh>
    <rPh sb="2" eb="4">
      <t>カカク</t>
    </rPh>
    <phoneticPr fontId="61"/>
  </si>
  <si>
    <t>備考</t>
    <rPh sb="0" eb="2">
      <t>ビコウ</t>
    </rPh>
    <phoneticPr fontId="61"/>
  </si>
  <si>
    <t>2022/9/29</t>
    <phoneticPr fontId="57"/>
  </si>
  <si>
    <r>
      <rPr>
        <b/>
        <sz val="10"/>
        <color theme="6" tint="0.39997558519241921"/>
        <rFont val="ＭＳ Ｐゴシック"/>
        <family val="3"/>
        <charset val="128"/>
        <scheme val="minor"/>
      </rPr>
      <t>＋</t>
    </r>
    <r>
      <rPr>
        <b/>
        <sz val="10"/>
        <color rgb="FF00B050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追加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b/>
        <sz val="10"/>
        <color rgb="FF00B0F0"/>
        <rFont val="ＭＳ Ｐゴシック"/>
        <family val="3"/>
        <charset val="128"/>
        <scheme val="minor"/>
      </rPr>
      <t>←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挿入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b/>
        <sz val="10"/>
        <color rgb="FFFF0000"/>
        <rFont val="ＭＳ Ｐゴシック"/>
        <family val="3"/>
        <charset val="128"/>
        <scheme val="minor"/>
      </rPr>
      <t>－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削除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b/>
        <sz val="10"/>
        <color rgb="FF00B0F0"/>
        <rFont val="ＭＳ Ｐゴシック"/>
        <family val="3"/>
        <charset val="128"/>
        <scheme val="minor"/>
      </rPr>
      <t>↑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 xml:space="preserve">上へ </t>
    </r>
    <r>
      <rPr>
        <b/>
        <sz val="10"/>
        <color rgb="FF00B0F0"/>
        <rFont val="ＭＳ Ｐゴシック"/>
        <family val="3"/>
        <charset val="128"/>
        <scheme val="minor"/>
      </rPr>
      <t>↓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下へ</t>
    </r>
    <rPh sb="7" eb="9">
      <t>ソウニュウ</t>
    </rPh>
    <phoneticPr fontId="57"/>
  </si>
  <si>
    <t>通貨：JPY</t>
    <rPh sb="0" eb="2">
      <t>ツウカ</t>
    </rPh>
    <phoneticPr fontId="57"/>
  </si>
  <si>
    <r>
      <t>品名</t>
    </r>
    <r>
      <rPr>
        <sz val="10"/>
        <color rgb="FFFF0000"/>
        <rFont val="ＭＳ Ｐゴシック"/>
        <family val="3"/>
        <charset val="128"/>
        <scheme val="minor"/>
      </rPr>
      <t>*</t>
    </r>
    <rPh sb="0" eb="1">
      <t>ヒンメイ</t>
    </rPh>
    <phoneticPr fontId="57"/>
  </si>
  <si>
    <r>
      <t>形</t>
    </r>
    <r>
      <rPr>
        <sz val="10"/>
        <color rgb="FFFF0000"/>
        <rFont val="ＭＳ Ｐゴシック"/>
        <family val="3"/>
        <charset val="128"/>
        <scheme val="minor"/>
      </rPr>
      <t>*</t>
    </r>
    <rPh sb="0" eb="1">
      <t>カタ</t>
    </rPh>
    <phoneticPr fontId="61"/>
  </si>
  <si>
    <r>
      <t>月間数量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ゲッカン</t>
    </rPh>
    <rPh sb="2" eb="4">
      <t>スウリョウ</t>
    </rPh>
    <phoneticPr fontId="61"/>
  </si>
  <si>
    <r>
      <t>申請価格</t>
    </r>
    <r>
      <rPr>
        <sz val="9"/>
        <color rgb="FFFF0000"/>
        <rFont val="ＭＳ Ｐゴシック"/>
        <family val="3"/>
        <charset val="128"/>
        <scheme val="minor"/>
      </rPr>
      <t>*</t>
    </r>
    <rPh sb="0" eb="2">
      <t>シンセイ</t>
    </rPh>
    <rPh sb="2" eb="4">
      <t>カカク</t>
    </rPh>
    <phoneticPr fontId="61"/>
  </si>
  <si>
    <r>
      <t>PPM直接コスト</t>
    </r>
    <r>
      <rPr>
        <sz val="9"/>
        <color rgb="FFFF0000"/>
        <rFont val="ＭＳ Ｐゴシック"/>
        <family val="3"/>
        <charset val="128"/>
        <scheme val="minor"/>
      </rPr>
      <t>*</t>
    </r>
    <rPh sb="2" eb="4">
      <t>チョクセツ</t>
    </rPh>
    <phoneticPr fontId="57"/>
  </si>
  <si>
    <t>承認者確認用</t>
    <rPh sb="0" eb="3">
      <t>ショウニンシャ</t>
    </rPh>
    <rPh sb="3" eb="6">
      <t>カクニンヨウ</t>
    </rPh>
    <phoneticPr fontId="57"/>
  </si>
  <si>
    <t>数量pcs/月</t>
    <rPh sb="0" eb="2">
      <t>スウリョウ</t>
    </rPh>
    <rPh sb="6" eb="7">
      <t>ツキ</t>
    </rPh>
    <phoneticPr fontId="61"/>
  </si>
  <si>
    <t>コスト</t>
    <phoneticPr fontId="61"/>
  </si>
  <si>
    <t>貢献率</t>
    <rPh sb="0" eb="2">
      <t>コウケン</t>
    </rPh>
    <rPh sb="2" eb="3">
      <t>リツ</t>
    </rPh>
    <phoneticPr fontId="57"/>
  </si>
  <si>
    <t>値引き率</t>
    <rPh sb="0" eb="2">
      <t>ネビ</t>
    </rPh>
    <rPh sb="3" eb="4">
      <t>リツ</t>
    </rPh>
    <phoneticPr fontId="61"/>
  </si>
  <si>
    <t>代理店売価</t>
    <rPh sb="0" eb="3">
      <t>ダイリテン</t>
    </rPh>
    <rPh sb="3" eb="5">
      <t>バイカ</t>
    </rPh>
    <phoneticPr fontId="61"/>
  </si>
  <si>
    <t>代理店粗利率</t>
    <rPh sb="0" eb="3">
      <t>ダイリテン</t>
    </rPh>
    <rPh sb="3" eb="6">
      <t>アラリリツ</t>
    </rPh>
    <phoneticPr fontId="61"/>
  </si>
  <si>
    <t>ピン@</t>
    <phoneticPr fontId="61"/>
  </si>
  <si>
    <t>競合名</t>
    <rPh sb="0" eb="3">
      <t>キョウゴウメイ</t>
    </rPh>
    <phoneticPr fontId="61"/>
  </si>
  <si>
    <t>得意先要求</t>
    <rPh sb="0" eb="3">
      <t>トクイサキ</t>
    </rPh>
    <rPh sb="3" eb="5">
      <t>ヨウキュウ</t>
    </rPh>
    <phoneticPr fontId="61"/>
  </si>
  <si>
    <t>価格</t>
    <rPh sb="0" eb="1">
      <t>カカク</t>
    </rPh>
    <phoneticPr fontId="57"/>
  </si>
  <si>
    <r>
      <t>従来価格</t>
    </r>
    <r>
      <rPr>
        <sz val="9"/>
        <color rgb="FFFF0000"/>
        <rFont val="ＭＳ Ｐゴシック"/>
        <family val="3"/>
        <charset val="128"/>
        <scheme val="minor"/>
      </rPr>
      <t>*</t>
    </r>
    <rPh sb="0" eb="2">
      <t>ジュウライ</t>
    </rPh>
    <rPh sb="2" eb="4">
      <t>カカク</t>
    </rPh>
    <phoneticPr fontId="61"/>
  </si>
  <si>
    <t>1130511471</t>
    <phoneticPr fontId="57"/>
  </si>
  <si>
    <t>RP17-13RA-12SD(71)</t>
    <phoneticPr fontId="57"/>
  </si>
  <si>
    <t>R</t>
    <phoneticPr fontId="57"/>
  </si>
  <si>
    <t>PPM原計</t>
    <rPh sb="2" eb="4">
      <t>ゲンケイ</t>
    </rPh>
    <phoneticPr fontId="57"/>
  </si>
  <si>
    <t>1135042200</t>
    <phoneticPr fontId="57"/>
  </si>
  <si>
    <t>RP34-8R-3PDL</t>
    <phoneticPr fontId="57"/>
  </si>
  <si>
    <t>SMK</t>
    <phoneticPr fontId="57"/>
  </si>
  <si>
    <t>中国</t>
    <rPh sb="0" eb="1">
      <t>チュウゴク</t>
    </rPh>
    <phoneticPr fontId="57"/>
  </si>
  <si>
    <t>売上</t>
    <rPh sb="0" eb="2">
      <t>ウリアゲ</t>
    </rPh>
    <phoneticPr fontId="61"/>
  </si>
  <si>
    <t>貢献額</t>
    <rPh sb="0" eb="2">
      <t>コウケン</t>
    </rPh>
    <rPh sb="2" eb="3">
      <t>ガク</t>
    </rPh>
    <phoneticPr fontId="61"/>
  </si>
  <si>
    <t>値引き額</t>
    <rPh sb="0" eb="2">
      <t>ネビ</t>
    </rPh>
    <rPh sb="3" eb="4">
      <t>ガク</t>
    </rPh>
    <phoneticPr fontId="61"/>
  </si>
  <si>
    <t>値引き前売上</t>
    <rPh sb="0" eb="2">
      <t>ネビ</t>
    </rPh>
    <rPh sb="3" eb="4">
      <t>マエ</t>
    </rPh>
    <rPh sb="4" eb="6">
      <t>ウリアゲ</t>
    </rPh>
    <phoneticPr fontId="61"/>
  </si>
  <si>
    <t>売上</t>
    <rPh sb="0" eb="2">
      <t>ウリアゲ</t>
    </rPh>
    <phoneticPr fontId="57"/>
  </si>
  <si>
    <t>申請内容</t>
    <rPh sb="0" eb="2">
      <t>シンセイ</t>
    </rPh>
    <rPh sb="2" eb="4">
      <t>ナイヨウ</t>
    </rPh>
    <phoneticPr fontId="57"/>
  </si>
  <si>
    <t>起票区分</t>
    <rPh sb="0" eb="2">
      <t>キヒョウ</t>
    </rPh>
    <rPh sb="2" eb="4">
      <t>クブン</t>
    </rPh>
    <phoneticPr fontId="57"/>
  </si>
  <si>
    <r>
      <t>総原価</t>
    </r>
    <r>
      <rPr>
        <sz val="9"/>
        <color rgb="FFFF0000"/>
        <rFont val="ＭＳ Ｐゴシック"/>
        <family val="3"/>
        <charset val="128"/>
        <scheme val="minor"/>
      </rPr>
      <t>*</t>
    </r>
    <r>
      <rPr>
        <sz val="9"/>
        <rFont val="ＭＳ Ｐゴシック"/>
        <family val="3"/>
        <charset val="128"/>
        <scheme val="minor"/>
      </rPr>
      <t xml:space="preserve"> </t>
    </r>
    <rPh sb="0" eb="1">
      <t>ソウ</t>
    </rPh>
    <rPh sb="1" eb="3">
      <t>ゲンカ</t>
    </rPh>
    <phoneticPr fontId="61"/>
  </si>
  <si>
    <t>口銭率</t>
    <rPh sb="0" eb="2">
      <t>コウセン</t>
    </rPh>
    <rPh sb="2" eb="3">
      <t>リツ</t>
    </rPh>
    <phoneticPr fontId="57"/>
  </si>
  <si>
    <t>☑ 口銭申請有り</t>
    <rPh sb="2" eb="4">
      <t>コウセン</t>
    </rPh>
    <rPh sb="4" eb="6">
      <t>シンセイ</t>
    </rPh>
    <rPh sb="6" eb="7">
      <t>アリ</t>
    </rPh>
    <phoneticPr fontId="57"/>
  </si>
  <si>
    <t>プロジェクト情報</t>
    <rPh sb="6" eb="8">
      <t>ジョウホウ</t>
    </rPh>
    <phoneticPr fontId="57"/>
  </si>
  <si>
    <t>工事金額</t>
    <rPh sb="0" eb="4">
      <t>コウジキンガク</t>
    </rPh>
    <phoneticPr fontId="57"/>
  </si>
  <si>
    <t>万円/月</t>
    <rPh sb="0" eb="2">
      <t>マンエン</t>
    </rPh>
    <rPh sb="3" eb="4">
      <t>ツキ</t>
    </rPh>
    <phoneticPr fontId="57"/>
  </si>
  <si>
    <t>MFC PJ番号</t>
    <rPh sb="6" eb="8">
      <t>バンゴウ</t>
    </rPh>
    <phoneticPr fontId="57"/>
  </si>
  <si>
    <t>ヵ月</t>
    <rPh sb="1" eb="2">
      <t>ゲツ</t>
    </rPh>
    <phoneticPr fontId="57"/>
  </si>
  <si>
    <t>総工事金額</t>
    <rPh sb="0" eb="5">
      <t>ソウコウジキンガク</t>
    </rPh>
    <phoneticPr fontId="57"/>
  </si>
  <si>
    <t>万円</t>
    <rPh sb="0" eb="2">
      <t>マンエン</t>
    </rPh>
    <phoneticPr fontId="57"/>
  </si>
  <si>
    <t>MFC OPPORTUNITY番号</t>
    <rPh sb="15" eb="17">
      <t>バンゴウ</t>
    </rPh>
    <phoneticPr fontId="57"/>
  </si>
  <si>
    <t>機種A</t>
    <rPh sb="0" eb="2">
      <t>キシュ</t>
    </rPh>
    <phoneticPr fontId="57"/>
  </si>
  <si>
    <r>
      <rPr>
        <sz val="10"/>
        <rFont val="ＭＳ Ｐゴシック"/>
        <family val="3"/>
        <charset val="128"/>
        <scheme val="minor"/>
      </rPr>
      <t>大分類</t>
    </r>
    <r>
      <rPr>
        <sz val="10"/>
        <color rgb="FFFF0000"/>
        <rFont val="ＭＳ Ｐゴシック"/>
        <family val="3"/>
        <charset val="128"/>
        <scheme val="minor"/>
      </rPr>
      <t>*</t>
    </r>
    <rPh sb="0" eb="3">
      <t>ダイブンルイ</t>
    </rPh>
    <phoneticPr fontId="57"/>
  </si>
  <si>
    <t>競合名</t>
    <rPh sb="0" eb="3">
      <t>キョウゴウメイ</t>
    </rPh>
    <phoneticPr fontId="57"/>
  </si>
  <si>
    <r>
      <t>継続期間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ケイゾク</t>
    </rPh>
    <rPh sb="2" eb="4">
      <t>キカン</t>
    </rPh>
    <phoneticPr fontId="57"/>
  </si>
  <si>
    <r>
      <t>中分類</t>
    </r>
    <r>
      <rPr>
        <sz val="10"/>
        <color rgb="FFFF0000"/>
        <rFont val="ＭＳ Ｐゴシック"/>
        <family val="3"/>
        <charset val="128"/>
        <scheme val="minor"/>
      </rPr>
      <t>*</t>
    </r>
    <rPh sb="0" eb="3">
      <t>チュウブンルイ</t>
    </rPh>
    <phoneticPr fontId="57"/>
  </si>
  <si>
    <r>
      <t>機種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キシュ</t>
    </rPh>
    <phoneticPr fontId="57"/>
  </si>
  <si>
    <t>大分類A</t>
    <rPh sb="0" eb="3">
      <t>ダイブンルイ</t>
    </rPh>
    <phoneticPr fontId="57"/>
  </si>
  <si>
    <t>中分類B</t>
    <rPh sb="0" eb="3">
      <t>チュウブンルイ</t>
    </rPh>
    <phoneticPr fontId="57"/>
  </si>
  <si>
    <r>
      <t>申請理由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シンセイ</t>
    </rPh>
    <rPh sb="2" eb="4">
      <t>リユウ</t>
    </rPh>
    <phoneticPr fontId="57"/>
  </si>
  <si>
    <r>
      <t>量産時期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リョウサン</t>
    </rPh>
    <rPh sb="2" eb="4">
      <t>ジキ</t>
    </rPh>
    <phoneticPr fontId="57"/>
  </si>
  <si>
    <t>値引補填工事</t>
    <rPh sb="0" eb="2">
      <t>ネビ</t>
    </rPh>
    <rPh sb="2" eb="4">
      <t>ホテン</t>
    </rPh>
    <rPh sb="4" eb="6">
      <t>コウジ</t>
    </rPh>
    <phoneticPr fontId="57"/>
  </si>
  <si>
    <t>備考欄</t>
    <rPh sb="0" eb="3">
      <t>ビコウラン</t>
    </rPh>
    <phoneticPr fontId="57"/>
  </si>
  <si>
    <t>◎ 技術原計 ○ PPM原計 ○ コリア原計</t>
    <rPh sb="2" eb="4">
      <t>ギジュツ</t>
    </rPh>
    <rPh sb="4" eb="6">
      <t>ゲンケイ</t>
    </rPh>
    <rPh sb="12" eb="14">
      <t>ゲンケイ</t>
    </rPh>
    <rPh sb="20" eb="22">
      <t>ゲンケイ</t>
    </rPh>
    <phoneticPr fontId="57"/>
  </si>
  <si>
    <t>/月</t>
    <rPh sb="1" eb="2">
      <t>ゲツ</t>
    </rPh>
    <phoneticPr fontId="57"/>
  </si>
  <si>
    <t>平均生産予定数量</t>
    <rPh sb="0" eb="2">
      <t>ヘイキン</t>
    </rPh>
    <rPh sb="2" eb="4">
      <t>セイサン</t>
    </rPh>
    <rPh sb="4" eb="6">
      <t>ヨテイ</t>
    </rPh>
    <rPh sb="6" eb="8">
      <t>スウリョウ</t>
    </rPh>
    <phoneticPr fontId="57"/>
  </si>
  <si>
    <t>添付書類</t>
    <rPh sb="0" eb="2">
      <t>テンプ</t>
    </rPh>
    <rPh sb="2" eb="4">
      <t>ショルイ</t>
    </rPh>
    <phoneticPr fontId="57"/>
  </si>
  <si>
    <t>一般品</t>
    <rPh sb="0" eb="3">
      <t>イッパンヒン</t>
    </rPh>
    <phoneticPr fontId="57"/>
  </si>
  <si>
    <t>円販売</t>
    <rPh sb="0" eb="3">
      <t>エンハンバイ</t>
    </rPh>
    <phoneticPr fontId="57"/>
  </si>
  <si>
    <t>外貨販売</t>
    <rPh sb="0" eb="2">
      <t>ガイカ</t>
    </rPh>
    <rPh sb="2" eb="4">
      <t>ハンバイ</t>
    </rPh>
    <phoneticPr fontId="57"/>
  </si>
  <si>
    <t>1250103874</t>
    <phoneticPr fontId="57"/>
  </si>
  <si>
    <t>1250109471</t>
    <phoneticPr fontId="57"/>
  </si>
  <si>
    <t>HR25-9TP-16P(74)</t>
    <phoneticPr fontId="57"/>
  </si>
  <si>
    <t>HR25-9TR-16S(71)</t>
    <phoneticPr fontId="57"/>
  </si>
  <si>
    <t>○ 技術原計 ◎ PPM原計 ○ コリア原計</t>
    <rPh sb="2" eb="4">
      <t>ギジュツ</t>
    </rPh>
    <rPh sb="4" eb="6">
      <t>ゲンケイ</t>
    </rPh>
    <rPh sb="12" eb="14">
      <t>ゲンケイ</t>
    </rPh>
    <rPh sb="20" eb="22">
      <t>ゲンケイ</t>
    </rPh>
    <phoneticPr fontId="57"/>
  </si>
  <si>
    <t>サンウー</t>
    <phoneticPr fontId="57"/>
  </si>
  <si>
    <t>総原価利益率</t>
    <rPh sb="0" eb="3">
      <t>ソウゲンカ</t>
    </rPh>
    <rPh sb="3" eb="6">
      <t>リエキリツ</t>
    </rPh>
    <phoneticPr fontId="57"/>
  </si>
  <si>
    <t>総原価利益額</t>
    <rPh sb="0" eb="3">
      <t>ソウゲンカ</t>
    </rPh>
    <rPh sb="3" eb="5">
      <t>リエキ</t>
    </rPh>
    <rPh sb="5" eb="6">
      <t>ガク</t>
    </rPh>
    <phoneticPr fontId="61"/>
  </si>
  <si>
    <t>総原価利益率</t>
    <rPh sb="0" eb="3">
      <t>ソウゲンカ</t>
    </rPh>
    <rPh sb="3" eb="5">
      <t>リエキ</t>
    </rPh>
    <rPh sb="5" eb="6">
      <t>リツ</t>
    </rPh>
    <phoneticPr fontId="57"/>
  </si>
  <si>
    <t>技術原計</t>
    <rPh sb="0" eb="2">
      <t>ギジュツ</t>
    </rPh>
    <rPh sb="2" eb="4">
      <t>ゲンケイ</t>
    </rPh>
    <phoneticPr fontId="57"/>
  </si>
  <si>
    <t>総原価合計</t>
    <rPh sb="0" eb="3">
      <t>ソウゲンカ</t>
    </rPh>
    <rPh sb="3" eb="5">
      <t>ゴウケイ</t>
    </rPh>
    <phoneticPr fontId="61"/>
  </si>
  <si>
    <t>○ 技術原計 ○ PPM原計 ◎ コリア原計</t>
    <rPh sb="2" eb="4">
      <t>ギジュツ</t>
    </rPh>
    <rPh sb="4" eb="6">
      <t>ゲンケイ</t>
    </rPh>
    <rPh sb="12" eb="14">
      <t>ゲンケイ</t>
    </rPh>
    <rPh sb="20" eb="22">
      <t>ゲンケイ</t>
    </rPh>
    <phoneticPr fontId="57"/>
  </si>
  <si>
    <t>コリア術原計</t>
    <rPh sb="2" eb="3">
      <t>ジュツ</t>
    </rPh>
    <rPh sb="3" eb="5">
      <t>ゲンケイ</t>
    </rPh>
    <phoneticPr fontId="57"/>
  </si>
  <si>
    <t>USD</t>
    <phoneticPr fontId="57"/>
  </si>
  <si>
    <t>コリア原計</t>
    <rPh sb="2" eb="4">
      <t>ゲンケイ</t>
    </rPh>
    <phoneticPr fontId="57"/>
  </si>
  <si>
    <t>純原価</t>
    <rPh sb="0" eb="1">
      <t>ジュン</t>
    </rPh>
    <rPh sb="1" eb="3">
      <t>ゲンカ</t>
    </rPh>
    <phoneticPr fontId="61"/>
  </si>
  <si>
    <t>申請通貨</t>
    <rPh sb="0" eb="2">
      <t>シンセイ</t>
    </rPh>
    <rPh sb="2" eb="4">
      <t>ツウカ</t>
    </rPh>
    <phoneticPr fontId="61"/>
  </si>
  <si>
    <r>
      <t>従来FOB価格</t>
    </r>
    <r>
      <rPr>
        <sz val="9"/>
        <color rgb="FFFF0000"/>
        <rFont val="ＭＳ Ｐゴシック"/>
        <family val="3"/>
        <charset val="128"/>
        <scheme val="minor"/>
      </rPr>
      <t>*</t>
    </r>
    <rPh sb="0" eb="2">
      <t>ジュウライ</t>
    </rPh>
    <rPh sb="5" eb="7">
      <t>カカク</t>
    </rPh>
    <phoneticPr fontId="61"/>
  </si>
  <si>
    <t>物流コスト率%</t>
    <rPh sb="0" eb="2">
      <t>ブツリュウ</t>
    </rPh>
    <rPh sb="5" eb="6">
      <t>リツ</t>
    </rPh>
    <phoneticPr fontId="61"/>
  </si>
  <si>
    <t>販社売価</t>
    <rPh sb="0" eb="2">
      <t>ハンシャ</t>
    </rPh>
    <rPh sb="2" eb="4">
      <t>バイカ</t>
    </rPh>
    <phoneticPr fontId="57"/>
  </si>
  <si>
    <t>(外貨)</t>
    <rPh sb="0" eb="2">
      <t>ガイカ</t>
    </rPh>
    <phoneticPr fontId="57"/>
  </si>
  <si>
    <t>ピン@FOB</t>
    <phoneticPr fontId="61"/>
  </si>
  <si>
    <t>価格基準</t>
    <rPh sb="0" eb="1">
      <t>カカク</t>
    </rPh>
    <rPh sb="2" eb="4">
      <t>キジュン</t>
    </rPh>
    <phoneticPr fontId="57"/>
  </si>
  <si>
    <t>4800215830</t>
    <phoneticPr fontId="57"/>
  </si>
  <si>
    <t>TF38-20S-0.5SV(830)</t>
    <phoneticPr fontId="57"/>
  </si>
  <si>
    <t>KFH</t>
    <phoneticPr fontId="57"/>
  </si>
  <si>
    <t>総連結利益率</t>
    <rPh sb="0" eb="3">
      <t>ソウレンケツ</t>
    </rPh>
    <rPh sb="3" eb="6">
      <t>リエキリツ</t>
    </rPh>
    <phoneticPr fontId="57"/>
  </si>
  <si>
    <t>FOB価格</t>
    <rPh sb="3" eb="5">
      <t>カカク</t>
    </rPh>
    <phoneticPr fontId="61"/>
  </si>
  <si>
    <t>連結粗利額</t>
    <rPh sb="0" eb="1">
      <t>レンケツ</t>
    </rPh>
    <rPh sb="1" eb="3">
      <t>アラリ</t>
    </rPh>
    <rPh sb="3" eb="4">
      <t>ガク</t>
    </rPh>
    <phoneticPr fontId="57"/>
  </si>
  <si>
    <t>連結粗利率</t>
    <rPh sb="0" eb="1">
      <t>レンケツ</t>
    </rPh>
    <rPh sb="1" eb="3">
      <t>アラリ</t>
    </rPh>
    <rPh sb="3" eb="4">
      <t>リツ</t>
    </rPh>
    <phoneticPr fontId="57"/>
  </si>
  <si>
    <t>Step １： 起票区分を選択してください</t>
    <rPh sb="8" eb="10">
      <t>キヒョウ</t>
    </rPh>
    <rPh sb="10" eb="12">
      <t>クブン</t>
    </rPh>
    <rPh sb="13" eb="15">
      <t>センタク</t>
    </rPh>
    <phoneticPr fontId="57"/>
  </si>
  <si>
    <t>販売単価上申書</t>
    <rPh sb="0" eb="2">
      <t>ハンバイ</t>
    </rPh>
    <rPh sb="2" eb="4">
      <t>タンカ</t>
    </rPh>
    <rPh sb="4" eb="7">
      <t>ジョウシンショ</t>
    </rPh>
    <phoneticPr fontId="57"/>
  </si>
  <si>
    <t>Step ２： 一般品またはカスタムのいずれかを選択してください</t>
    <rPh sb="8" eb="11">
      <t>イッパンヒン</t>
    </rPh>
    <rPh sb="24" eb="26">
      <t>センタク</t>
    </rPh>
    <phoneticPr fontId="57"/>
  </si>
  <si>
    <t>カスタム</t>
    <phoneticPr fontId="57"/>
  </si>
  <si>
    <t>Step ３： 円販売または外貨販売のいずれかを選択してください</t>
    <rPh sb="8" eb="11">
      <t>エンハンバイ</t>
    </rPh>
    <rPh sb="14" eb="16">
      <t>ガイカ</t>
    </rPh>
    <rPh sb="16" eb="18">
      <t>ハンバイ</t>
    </rPh>
    <rPh sb="24" eb="26">
      <t>センタク</t>
    </rPh>
    <phoneticPr fontId="57"/>
  </si>
  <si>
    <t>◎ 単価上申書</t>
    <rPh sb="2" eb="4">
      <t>タンカ</t>
    </rPh>
    <rPh sb="4" eb="6">
      <t>ジョウシン</t>
    </rPh>
    <rPh sb="6" eb="7">
      <t>ショ</t>
    </rPh>
    <phoneticPr fontId="57"/>
  </si>
  <si>
    <t>値引きしなければならない理由を記載してください</t>
    <rPh sb="0" eb="2">
      <t>ネビ</t>
    </rPh>
    <rPh sb="12" eb="14">
      <t>リユウ</t>
    </rPh>
    <rPh sb="15" eb="17">
      <t>キサイ</t>
    </rPh>
    <phoneticPr fontId="57"/>
  </si>
  <si>
    <t>カスタム品申請情報</t>
    <rPh sb="4" eb="5">
      <t>ヒン</t>
    </rPh>
    <rPh sb="5" eb="7">
      <t>シンセイ</t>
    </rPh>
    <rPh sb="7" eb="9">
      <t>ジョウホウ</t>
    </rPh>
    <phoneticPr fontId="57"/>
  </si>
  <si>
    <r>
      <t>償却期間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ショウキャク</t>
    </rPh>
    <rPh sb="2" eb="4">
      <t>キカン</t>
    </rPh>
    <phoneticPr fontId="57"/>
  </si>
  <si>
    <t>金型</t>
    <rPh sb="0" eb="2">
      <t>カナガタ</t>
    </rPh>
    <phoneticPr fontId="57"/>
  </si>
  <si>
    <t>有償or無償</t>
    <rPh sb="0" eb="2">
      <t>ユウショウ</t>
    </rPh>
    <rPh sb="4" eb="6">
      <t>ムショウ</t>
    </rPh>
    <phoneticPr fontId="61"/>
  </si>
  <si>
    <t>個品名称</t>
    <rPh sb="0" eb="1">
      <t>コヒン</t>
    </rPh>
    <rPh sb="1" eb="3">
      <t>メイショウ</t>
    </rPh>
    <phoneticPr fontId="57"/>
  </si>
  <si>
    <t>個品実費価格</t>
    <rPh sb="0" eb="2">
      <t>コヒン</t>
    </rPh>
    <rPh sb="2" eb="4">
      <t>ジッピ</t>
    </rPh>
    <rPh sb="4" eb="6">
      <t>カカク</t>
    </rPh>
    <phoneticPr fontId="61"/>
  </si>
  <si>
    <t>個品販売価格</t>
    <rPh sb="0" eb="2">
      <t>コヒン</t>
    </rPh>
    <rPh sb="2" eb="4">
      <t>ハンバイ</t>
    </rPh>
    <rPh sb="4" eb="6">
      <t>カカク</t>
    </rPh>
    <phoneticPr fontId="61"/>
  </si>
  <si>
    <t>倍率</t>
    <rPh sb="0" eb="2">
      <t>バイリツ</t>
    </rPh>
    <phoneticPr fontId="61"/>
  </si>
  <si>
    <t>有償</t>
    <rPh sb="0" eb="1">
      <t>ユウショウ</t>
    </rPh>
    <phoneticPr fontId="57"/>
  </si>
  <si>
    <t>治工具</t>
    <rPh sb="0" eb="3">
      <t>チコウグ</t>
    </rPh>
    <phoneticPr fontId="57"/>
  </si>
  <si>
    <r>
      <t>有償or無償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ユウショウ</t>
    </rPh>
    <rPh sb="4" eb="6">
      <t>ムショウ</t>
    </rPh>
    <phoneticPr fontId="61"/>
  </si>
  <si>
    <r>
      <t>個品名称</t>
    </r>
    <r>
      <rPr>
        <sz val="10"/>
        <color rgb="FFFF0000"/>
        <rFont val="ＭＳ Ｐゴシック"/>
        <family val="3"/>
        <charset val="128"/>
        <scheme val="minor"/>
      </rPr>
      <t>*</t>
    </r>
    <rPh sb="0" eb="1">
      <t>コヒン</t>
    </rPh>
    <rPh sb="1" eb="3">
      <t>メイショウ</t>
    </rPh>
    <phoneticPr fontId="57"/>
  </si>
  <si>
    <r>
      <t>個品実費価格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コヒン</t>
    </rPh>
    <rPh sb="2" eb="4">
      <t>ジッピ</t>
    </rPh>
    <rPh sb="4" eb="6">
      <t>カカク</t>
    </rPh>
    <phoneticPr fontId="61"/>
  </si>
  <si>
    <r>
      <t>個品販売価格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コヒン</t>
    </rPh>
    <rPh sb="2" eb="4">
      <t>ハンバイ</t>
    </rPh>
    <rPh sb="4" eb="6">
      <t>カカク</t>
    </rPh>
    <phoneticPr fontId="61"/>
  </si>
  <si>
    <t>治工具名称</t>
    <phoneticPr fontId="57"/>
  </si>
  <si>
    <t>治工具実費価格</t>
    <rPh sb="3" eb="5">
      <t>ジッピ</t>
    </rPh>
    <rPh sb="5" eb="7">
      <t>カカク</t>
    </rPh>
    <phoneticPr fontId="61"/>
  </si>
  <si>
    <t>治工具販売価格</t>
    <rPh sb="3" eb="5">
      <t>ハンバイ</t>
    </rPh>
    <rPh sb="5" eb="7">
      <t>カカク</t>
    </rPh>
    <phoneticPr fontId="61"/>
  </si>
  <si>
    <r>
      <t>治工具名称</t>
    </r>
    <r>
      <rPr>
        <sz val="10"/>
        <color rgb="FFFF0000"/>
        <rFont val="ＭＳ Ｐゴシック"/>
        <family val="3"/>
        <charset val="128"/>
        <scheme val="minor"/>
      </rPr>
      <t>*</t>
    </r>
    <phoneticPr fontId="57"/>
  </si>
  <si>
    <r>
      <t>治工具実費価格</t>
    </r>
    <r>
      <rPr>
        <sz val="10"/>
        <color rgb="FFFF0000"/>
        <rFont val="ＭＳ Ｐゴシック"/>
        <family val="3"/>
        <charset val="128"/>
        <scheme val="minor"/>
      </rPr>
      <t>*</t>
    </r>
    <rPh sb="3" eb="5">
      <t>ジッピ</t>
    </rPh>
    <rPh sb="5" eb="7">
      <t>カカク</t>
    </rPh>
    <phoneticPr fontId="61"/>
  </si>
  <si>
    <r>
      <t>治工具販売価格</t>
    </r>
    <r>
      <rPr>
        <sz val="10"/>
        <color rgb="FFFF0000"/>
        <rFont val="ＭＳ Ｐゴシック"/>
        <family val="3"/>
        <charset val="128"/>
        <scheme val="minor"/>
      </rPr>
      <t>*</t>
    </r>
    <rPh sb="3" eb="5">
      <t>ハンバイ</t>
    </rPh>
    <rPh sb="5" eb="7">
      <t>カカク</t>
    </rPh>
    <phoneticPr fontId="61"/>
  </si>
  <si>
    <t>個品A</t>
    <rPh sb="0" eb="1">
      <t>コヒン</t>
    </rPh>
    <phoneticPr fontId="57"/>
  </si>
  <si>
    <t>償却数量</t>
    <rPh sb="0" eb="2">
      <t>ショウキャク</t>
    </rPh>
    <rPh sb="2" eb="4">
      <t>スウリョウ</t>
    </rPh>
    <phoneticPr fontId="57"/>
  </si>
  <si>
    <t>一個当たりの償却金額</t>
    <rPh sb="0" eb="3">
      <t>イッコア</t>
    </rPh>
    <rPh sb="6" eb="8">
      <t>ショウキャク</t>
    </rPh>
    <rPh sb="8" eb="10">
      <t>キンガク</t>
    </rPh>
    <phoneticPr fontId="57"/>
  </si>
  <si>
    <t>未償却リスク</t>
    <rPh sb="0" eb="1">
      <t>ミ</t>
    </rPh>
    <rPh sb="1" eb="3">
      <t>ショウキャク</t>
    </rPh>
    <phoneticPr fontId="57"/>
  </si>
  <si>
    <t>※ 得意先一括負担の場合は記載不要</t>
    <rPh sb="2" eb="5">
      <t>トクイサキ</t>
    </rPh>
    <rPh sb="5" eb="7">
      <t>イッカツ</t>
    </rPh>
    <rPh sb="7" eb="9">
      <t>フタン</t>
    </rPh>
    <rPh sb="10" eb="12">
      <t>バアイ</t>
    </rPh>
    <rPh sb="13" eb="15">
      <t>キサイ</t>
    </rPh>
    <rPh sb="15" eb="17">
      <t>フヨウ</t>
    </rPh>
    <phoneticPr fontId="57"/>
  </si>
  <si>
    <t>物流コスト率</t>
    <rPh sb="0" eb="2">
      <t>ブツリュウ</t>
    </rPh>
    <rPh sb="5" eb="6">
      <t>リツ</t>
    </rPh>
    <phoneticPr fontId="61"/>
  </si>
  <si>
    <t>(%)</t>
    <phoneticPr fontId="57"/>
  </si>
  <si>
    <t>販社売価</t>
    <rPh sb="0" eb="2">
      <t>ハンシャ</t>
    </rPh>
    <rPh sb="2" eb="4">
      <t>バイカ</t>
    </rPh>
    <phoneticPr fontId="61"/>
  </si>
  <si>
    <t>要求価格</t>
    <rPh sb="0" eb="1">
      <t>ヨウキュウ</t>
    </rPh>
    <rPh sb="1" eb="3">
      <t>カカク</t>
    </rPh>
    <phoneticPr fontId="57"/>
  </si>
  <si>
    <t>価格基準</t>
    <rPh sb="0" eb="1">
      <t>カカク</t>
    </rPh>
    <rPh sb="1" eb="3">
      <t>キジュン</t>
    </rPh>
    <phoneticPr fontId="57"/>
  </si>
  <si>
    <t>5802922450</t>
    <phoneticPr fontId="57"/>
  </si>
  <si>
    <t>5801232050</t>
    <phoneticPr fontId="57"/>
  </si>
  <si>
    <t>FH35C-21S-0.3SHW(50)</t>
    <phoneticPr fontId="57"/>
  </si>
  <si>
    <t>FH34SRJ-30S-0.5SH(50)</t>
    <phoneticPr fontId="57"/>
  </si>
  <si>
    <t>FH</t>
    <phoneticPr fontId="57"/>
  </si>
  <si>
    <t>JPY</t>
    <phoneticPr fontId="57"/>
  </si>
  <si>
    <t>JAE</t>
    <phoneticPr fontId="57"/>
  </si>
  <si>
    <t>TE</t>
    <phoneticPr fontId="57"/>
  </si>
  <si>
    <t>従来FOB価格</t>
    <rPh sb="0" eb="2">
      <t>ジュウライ</t>
    </rPh>
    <rPh sb="5" eb="7">
      <t>カカク</t>
    </rPh>
    <phoneticPr fontId="61"/>
  </si>
  <si>
    <t>CIF価格</t>
    <rPh sb="3" eb="5">
      <t>カカク</t>
    </rPh>
    <phoneticPr fontId="61"/>
  </si>
  <si>
    <t>国内収益性</t>
    <rPh sb="0" eb="2">
      <t>コクナイ</t>
    </rPh>
    <rPh sb="2" eb="5">
      <t>シュウエキセイ</t>
    </rPh>
    <phoneticPr fontId="57"/>
  </si>
  <si>
    <t>FOB値引き率</t>
    <rPh sb="3" eb="5">
      <t>ネビ</t>
    </rPh>
    <rPh sb="6" eb="7">
      <t>リツ</t>
    </rPh>
    <phoneticPr fontId="61"/>
  </si>
  <si>
    <t>販社粗利率</t>
    <rPh sb="0" eb="2">
      <t>ハンシャ</t>
    </rPh>
    <rPh sb="2" eb="5">
      <t>アラリリツ</t>
    </rPh>
    <phoneticPr fontId="61"/>
  </si>
  <si>
    <t>連結収益性</t>
    <rPh sb="0" eb="2">
      <t>レンケツ</t>
    </rPh>
    <rPh sb="2" eb="5">
      <t>シュウエキセイ</t>
    </rPh>
    <phoneticPr fontId="61"/>
  </si>
  <si>
    <t>売上(国内)</t>
    <rPh sb="0" eb="2">
      <t>ウリアゲ</t>
    </rPh>
    <rPh sb="3" eb="5">
      <t>コクナイ</t>
    </rPh>
    <phoneticPr fontId="57"/>
  </si>
  <si>
    <t>直接コスト合計</t>
    <rPh sb="0" eb="2">
      <t>チョクセツ</t>
    </rPh>
    <rPh sb="5" eb="7">
      <t>ゴウケイ</t>
    </rPh>
    <phoneticPr fontId="61"/>
  </si>
  <si>
    <t>貢献額</t>
    <rPh sb="0" eb="3">
      <t>コウケンガク</t>
    </rPh>
    <phoneticPr fontId="61"/>
  </si>
  <si>
    <t>国内収益性</t>
    <rPh sb="0" eb="2">
      <t>コクナイ</t>
    </rPh>
    <rPh sb="2" eb="5">
      <t>シュウエキセイ</t>
    </rPh>
    <phoneticPr fontId="61"/>
  </si>
  <si>
    <t>値引き率(FOB)</t>
    <rPh sb="0" eb="2">
      <t>ネビ</t>
    </rPh>
    <rPh sb="3" eb="4">
      <t>リツ</t>
    </rPh>
    <phoneticPr fontId="57"/>
  </si>
  <si>
    <t>値引き額(FOB)</t>
    <rPh sb="0" eb="2">
      <t>ネビ</t>
    </rPh>
    <rPh sb="3" eb="4">
      <t>ガク</t>
    </rPh>
    <phoneticPr fontId="57"/>
  </si>
  <si>
    <t>売上(連結)</t>
    <rPh sb="0" eb="1">
      <t>ウリアゲ</t>
    </rPh>
    <rPh sb="2" eb="4">
      <t>レンケツ</t>
    </rPh>
    <phoneticPr fontId="57"/>
  </si>
  <si>
    <t>連結収益性</t>
    <rPh sb="0" eb="1">
      <t>レンケツ</t>
    </rPh>
    <rPh sb="1" eb="4">
      <t>シュウエキセイ</t>
    </rPh>
    <phoneticPr fontId="57"/>
  </si>
  <si>
    <t>総原価</t>
    <rPh sb="0" eb="3">
      <t>ソウゲンカ</t>
    </rPh>
    <phoneticPr fontId="61"/>
  </si>
  <si>
    <t>8311308000</t>
    <phoneticPr fontId="57"/>
  </si>
  <si>
    <t>8311309000</t>
    <phoneticPr fontId="57"/>
  </si>
  <si>
    <t>BF4MC-(375161-01)</t>
    <phoneticPr fontId="57"/>
  </si>
  <si>
    <t>BF4MC-(375168-01)</t>
    <phoneticPr fontId="57"/>
  </si>
  <si>
    <t>OPT</t>
    <phoneticPr fontId="57"/>
  </si>
  <si>
    <t>総原価利益率</t>
    <rPh sb="0" eb="3">
      <t>ソウゲンカ</t>
    </rPh>
    <rPh sb="3" eb="6">
      <t>リエキリツ</t>
    </rPh>
    <phoneticPr fontId="61"/>
  </si>
  <si>
    <t>(国内)</t>
    <phoneticPr fontId="57"/>
  </si>
  <si>
    <t>(粗利)</t>
    <rPh sb="0" eb="2">
      <t>アラリ</t>
    </rPh>
    <phoneticPr fontId="57"/>
  </si>
  <si>
    <t>(国内)</t>
    <rPh sb="1" eb="3">
      <t>コクナイ</t>
    </rPh>
    <phoneticPr fontId="57"/>
  </si>
  <si>
    <t>純原価合計</t>
    <rPh sb="0" eb="1">
      <t>ジュン</t>
    </rPh>
    <rPh sb="1" eb="3">
      <t>ゲンカ</t>
    </rPh>
    <rPh sb="3" eb="5">
      <t>ゴウケイ</t>
    </rPh>
    <phoneticPr fontId="61"/>
  </si>
  <si>
    <t>連結粗利額</t>
    <rPh sb="0" eb="2">
      <t>レンケツ</t>
    </rPh>
    <rPh sb="2" eb="5">
      <t>アラリガク</t>
    </rPh>
    <phoneticPr fontId="61"/>
  </si>
  <si>
    <t>連結粗利率</t>
    <rPh sb="0" eb="2">
      <t>レンケツ</t>
    </rPh>
    <rPh sb="2" eb="5">
      <t>アラリリツ</t>
    </rPh>
    <phoneticPr fontId="61"/>
  </si>
  <si>
    <t>値引き率</t>
    <rPh sb="0" eb="2">
      <t>ネビ</t>
    </rPh>
    <rPh sb="3" eb="4">
      <t>リツ</t>
    </rPh>
    <phoneticPr fontId="57"/>
  </si>
  <si>
    <t>値引き額</t>
    <rPh sb="0" eb="2">
      <t>ネビ</t>
    </rPh>
    <rPh sb="3" eb="4">
      <t>ガク</t>
    </rPh>
    <phoneticPr fontId="57"/>
  </si>
  <si>
    <t>売上(連結)</t>
    <rPh sb="0" eb="2">
      <t>ウリアゲ</t>
    </rPh>
    <rPh sb="3" eb="5">
      <t>レンケツ</t>
    </rPh>
    <phoneticPr fontId="57"/>
  </si>
  <si>
    <r>
      <t>承認者</t>
    </r>
    <r>
      <rPr>
        <sz val="10"/>
        <color rgb="FFFF0000"/>
        <rFont val="ＭＳ Ｐゴシック"/>
        <family val="3"/>
        <charset val="128"/>
        <scheme val="minor"/>
      </rPr>
      <t>*</t>
    </r>
    <rPh sb="0" eb="3">
      <t>ショウニンシャ</t>
    </rPh>
    <phoneticPr fontId="57"/>
  </si>
  <si>
    <t>10347008</t>
    <phoneticPr fontId="57"/>
  </si>
  <si>
    <t>関　博一</t>
    <phoneticPr fontId="57"/>
  </si>
  <si>
    <r>
      <rPr>
        <b/>
        <sz val="10"/>
        <color rgb="FF00B050"/>
        <rFont val="ＭＳ Ｐゴシック"/>
        <family val="3"/>
        <charset val="128"/>
        <scheme val="minor"/>
      </rPr>
      <t>＋</t>
    </r>
    <r>
      <rPr>
        <sz val="10"/>
        <color theme="1"/>
        <rFont val="ＭＳ Ｐゴシック"/>
        <family val="3"/>
        <charset val="128"/>
        <scheme val="minor"/>
      </rPr>
      <t xml:space="preserve"> 承認者の追加</t>
    </r>
    <phoneticPr fontId="57"/>
  </si>
  <si>
    <r>
      <rPr>
        <b/>
        <sz val="10"/>
        <color rgb="FF00B050"/>
        <rFont val="ＭＳ Ｐゴシック"/>
        <family val="3"/>
        <charset val="128"/>
        <scheme val="minor"/>
      </rPr>
      <t xml:space="preserve">＋ </t>
    </r>
    <r>
      <rPr>
        <sz val="10"/>
        <color theme="0"/>
        <rFont val="ＭＳ Ｐゴシック"/>
        <family val="3"/>
        <charset val="128"/>
        <scheme val="minor"/>
      </rPr>
      <t>追加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b/>
        <sz val="10"/>
        <color rgb="FF00B0F0"/>
        <rFont val="ＭＳ Ｐゴシック"/>
        <family val="3"/>
        <charset val="128"/>
        <scheme val="minor"/>
      </rPr>
      <t>←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挿入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b/>
        <sz val="10"/>
        <color rgb="FFFF0000"/>
        <rFont val="ＭＳ Ｐゴシック"/>
        <family val="3"/>
        <charset val="128"/>
        <scheme val="minor"/>
      </rPr>
      <t>－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削除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b/>
        <sz val="10"/>
        <color rgb="FF00B0F0"/>
        <rFont val="ＭＳ Ｐゴシック"/>
        <family val="3"/>
        <charset val="128"/>
        <scheme val="minor"/>
      </rPr>
      <t>↑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 xml:space="preserve">上へ </t>
    </r>
    <r>
      <rPr>
        <b/>
        <sz val="10"/>
        <color rgb="FF00B0F0"/>
        <rFont val="ＭＳ Ｐゴシック"/>
        <family val="3"/>
        <charset val="128"/>
        <scheme val="minor"/>
      </rPr>
      <t>↓</t>
    </r>
    <r>
      <rPr>
        <sz val="10"/>
        <color theme="1"/>
        <rFont val="ＭＳ Ｐゴシック"/>
        <family val="3"/>
        <charset val="128"/>
        <scheme val="minor"/>
      </rPr>
      <t xml:space="preserve"> </t>
    </r>
    <r>
      <rPr>
        <sz val="10"/>
        <color theme="0"/>
        <rFont val="ＭＳ Ｐゴシック"/>
        <family val="3"/>
        <charset val="128"/>
        <scheme val="minor"/>
      </rPr>
      <t>下へ</t>
    </r>
    <rPh sb="7" eb="9">
      <t>ソウニュウ</t>
    </rPh>
    <phoneticPr fontId="57"/>
  </si>
  <si>
    <t>10637000</t>
    <phoneticPr fontId="57"/>
  </si>
  <si>
    <t>古川　福待</t>
    <phoneticPr fontId="57"/>
  </si>
  <si>
    <t>承認者設定</t>
    <rPh sb="0" eb="3">
      <t>ショウニンシャ</t>
    </rPh>
    <rPh sb="3" eb="5">
      <t>セッテイ</t>
    </rPh>
    <phoneticPr fontId="57"/>
  </si>
  <si>
    <t>承認ルートは必要に応じて、「承認者の追加」をクリックして入力欄を増やしてください。 設定した承認ルートは、設定した承認者の上から順に回送されます。 最終承認者は、一番下に設定してください。</t>
    <phoneticPr fontId="57"/>
  </si>
  <si>
    <t>確認者設定</t>
    <rPh sb="0" eb="3">
      <t>カクニンシャ</t>
    </rPh>
    <rPh sb="3" eb="5">
      <t>セッテイ</t>
    </rPh>
    <phoneticPr fontId="57"/>
  </si>
  <si>
    <t>確認者一覧</t>
    <rPh sb="0" eb="3">
      <t>カクニンシャ</t>
    </rPh>
    <rPh sb="3" eb="5">
      <t>イチラン</t>
    </rPh>
    <phoneticPr fontId="57"/>
  </si>
  <si>
    <t>部門</t>
    <rPh sb="0" eb="2">
      <t>ブモン</t>
    </rPh>
    <phoneticPr fontId="57"/>
  </si>
  <si>
    <t>確認者名</t>
    <rPh sb="0" eb="4">
      <t>カクニンシャメイ</t>
    </rPh>
    <phoneticPr fontId="57"/>
  </si>
  <si>
    <t>ヒロセ電機株式会社/管理本部/ＩＴ統括部</t>
    <phoneticPr fontId="57"/>
  </si>
  <si>
    <t>部長</t>
    <rPh sb="0" eb="2">
      <t>ブチョウ</t>
    </rPh>
    <phoneticPr fontId="57"/>
  </si>
  <si>
    <t>志村 亜里沙</t>
    <rPh sb="0" eb="1">
      <t>シムラ</t>
    </rPh>
    <rPh sb="2" eb="5">
      <t>アリサ</t>
    </rPh>
    <phoneticPr fontId="57"/>
  </si>
  <si>
    <t>出水 瞳</t>
    <rPh sb="0" eb="1">
      <t>デミズ</t>
    </rPh>
    <rPh sb="2" eb="3">
      <t>ヒトミ</t>
    </rPh>
    <phoneticPr fontId="57"/>
  </si>
  <si>
    <t>松澤 朱海</t>
    <rPh sb="0" eb="1">
      <t>マツザワ</t>
    </rPh>
    <rPh sb="2" eb="3">
      <t>シュ</t>
    </rPh>
    <rPh sb="3" eb="4">
      <t>ウミ</t>
    </rPh>
    <phoneticPr fontId="57"/>
  </si>
  <si>
    <t>コスト合計</t>
    <rPh sb="3" eb="5">
      <t>ゴウケイ</t>
    </rPh>
    <phoneticPr fontId="61"/>
  </si>
  <si>
    <t>形</t>
    <rPh sb="0" eb="1">
      <t>カタ</t>
    </rPh>
    <phoneticPr fontId="61"/>
  </si>
  <si>
    <t>無償</t>
    <rPh sb="0" eb="1">
      <t>ムショウ</t>
    </rPh>
    <phoneticPr fontId="57"/>
  </si>
  <si>
    <t>通貨</t>
    <rPh sb="0" eb="2">
      <t>ツウカ</t>
    </rPh>
    <phoneticPr fontId="61"/>
  </si>
  <si>
    <t>EUR</t>
    <phoneticPr fontId="57"/>
  </si>
  <si>
    <t>精算通貨</t>
    <rPh sb="0" eb="2">
      <t>セイサン</t>
    </rPh>
    <rPh sb="2" eb="4">
      <t>ツウカ</t>
    </rPh>
    <phoneticPr fontId="57"/>
  </si>
  <si>
    <t>SFDC工事番号</t>
    <rPh sb="4" eb="6">
      <t>コウジ</t>
    </rPh>
    <rPh sb="6" eb="8">
      <t>バンゴウ</t>
    </rPh>
    <phoneticPr fontId="57"/>
  </si>
  <si>
    <t>円/月</t>
    <rPh sb="0" eb="1">
      <t>エン</t>
    </rPh>
    <rPh sb="2" eb="3">
      <t>ツキ</t>
    </rPh>
    <phoneticPr fontId="57"/>
  </si>
  <si>
    <t>海外販社</t>
    <rPh sb="0" eb="2">
      <t>カイガイ</t>
    </rPh>
    <rPh sb="2" eb="4">
      <t>ハンシャ</t>
    </rPh>
    <phoneticPr fontId="57"/>
  </si>
  <si>
    <t>レップ社名</t>
    <rPh sb="3" eb="4">
      <t>シャ</t>
    </rPh>
    <rPh sb="4" eb="5">
      <t>メイ</t>
    </rPh>
    <phoneticPr fontId="57"/>
  </si>
  <si>
    <t>量産時期</t>
    <rPh sb="0" eb="2">
      <t>リョウサン</t>
    </rPh>
    <rPh sb="2" eb="4">
      <t>ジキ</t>
    </rPh>
    <phoneticPr fontId="57"/>
  </si>
  <si>
    <r>
      <t>用途</t>
    </r>
    <r>
      <rPr>
        <sz val="9"/>
        <color theme="1"/>
        <rFont val="ＭＳ Ｐゴシック"/>
        <family val="3"/>
        <charset val="128"/>
        <scheme val="minor"/>
      </rPr>
      <t>(アプリケーション)</t>
    </r>
    <rPh sb="0" eb="2">
      <t>ヨウト</t>
    </rPh>
    <phoneticPr fontId="57"/>
  </si>
  <si>
    <t>生産セット台数</t>
    <rPh sb="0" eb="2">
      <t>セイサン</t>
    </rPh>
    <rPh sb="5" eb="7">
      <t>ダイスウ</t>
    </rPh>
    <phoneticPr fontId="57"/>
  </si>
  <si>
    <t>プロジェクトピーク金額</t>
    <rPh sb="9" eb="11">
      <t>キンガク</t>
    </rPh>
    <phoneticPr fontId="57"/>
  </si>
  <si>
    <t>大分類</t>
    <rPh sb="0" eb="3">
      <t>ダイブンルイ</t>
    </rPh>
    <phoneticPr fontId="57"/>
  </si>
  <si>
    <t>中分類</t>
    <rPh sb="0" eb="3">
      <t>チュウブンルイ</t>
    </rPh>
    <phoneticPr fontId="57"/>
  </si>
  <si>
    <t>技術原計</t>
    <rPh sb="0" eb="1">
      <t>ギジュツ</t>
    </rPh>
    <rPh sb="1" eb="3">
      <t>ゲンケイ</t>
    </rPh>
    <phoneticPr fontId="57"/>
  </si>
  <si>
    <t>レート</t>
    <phoneticPr fontId="57"/>
  </si>
  <si>
    <t>○経営計画レート　○ 顧客契約レート　◎ その他のレート 　</t>
    <rPh sb="1" eb="3">
      <t>ケイエイ</t>
    </rPh>
    <rPh sb="3" eb="5">
      <t>ケイカク</t>
    </rPh>
    <rPh sb="13" eb="15">
      <t>ケイヤク</t>
    </rPh>
    <rPh sb="23" eb="24">
      <t>ホカ</t>
    </rPh>
    <phoneticPr fontId="57"/>
  </si>
  <si>
    <r>
      <t>製造原価</t>
    </r>
    <r>
      <rPr>
        <sz val="9"/>
        <color rgb="FFFF0000"/>
        <rFont val="ＭＳ Ｐゴシック"/>
        <family val="3"/>
        <charset val="128"/>
        <scheme val="minor"/>
      </rPr>
      <t>*</t>
    </r>
    <rPh sb="0" eb="2">
      <t>セイゾウ</t>
    </rPh>
    <rPh sb="2" eb="4">
      <t>ゲンカ</t>
    </rPh>
    <phoneticPr fontId="61"/>
  </si>
  <si>
    <t>総合計</t>
    <rPh sb="0" eb="3">
      <t>ソウゴウケイ</t>
    </rPh>
    <phoneticPr fontId="57"/>
  </si>
  <si>
    <t>形</t>
    <rPh sb="0" eb="1">
      <t>カタ</t>
    </rPh>
    <phoneticPr fontId="57"/>
  </si>
  <si>
    <t>形小計</t>
    <rPh sb="0" eb="1">
      <t>カタ</t>
    </rPh>
    <rPh sb="1" eb="3">
      <t>ショウケイ</t>
    </rPh>
    <phoneticPr fontId="57"/>
  </si>
  <si>
    <r>
      <t>レートタイプ</t>
    </r>
    <r>
      <rPr>
        <sz val="10"/>
        <color rgb="FFFF0000"/>
        <rFont val="ＭＳ Ｐゴシック"/>
        <family val="3"/>
        <charset val="128"/>
        <scheme val="minor"/>
      </rPr>
      <t>*</t>
    </r>
    <phoneticPr fontId="57"/>
  </si>
  <si>
    <t>有</t>
    <rPh sb="0" eb="1">
      <t>ア</t>
    </rPh>
    <phoneticPr fontId="57"/>
  </si>
  <si>
    <r>
      <t>コメント</t>
    </r>
    <r>
      <rPr>
        <sz val="10"/>
        <color rgb="FFFF0000"/>
        <rFont val="ＭＳ Ｐゴシック"/>
        <family val="3"/>
        <charset val="128"/>
        <scheme val="minor"/>
      </rPr>
      <t>*</t>
    </r>
    <phoneticPr fontId="57"/>
  </si>
  <si>
    <t>1行目の[貢献率]の桁数が異常です。入力内容を確認して下さい。</t>
    <rPh sb="1" eb="3">
      <t>ギョウメ</t>
    </rPh>
    <rPh sb="5" eb="8">
      <t>コウケンリツ</t>
    </rPh>
    <rPh sb="10" eb="12">
      <t>ケタスウ</t>
    </rPh>
    <rPh sb="13" eb="15">
      <t>イジョウ</t>
    </rPh>
    <rPh sb="18" eb="20">
      <t>ニュウリョク</t>
    </rPh>
    <rPh sb="20" eb="22">
      <t>ナイヨウ</t>
    </rPh>
    <rPh sb="23" eb="25">
      <t>カクニン</t>
    </rPh>
    <rPh sb="27" eb="28">
      <t>クダ</t>
    </rPh>
    <phoneticPr fontId="57"/>
  </si>
  <si>
    <t>SA-PR123456</t>
    <phoneticPr fontId="57"/>
  </si>
  <si>
    <t>案件番号：</t>
    <phoneticPr fontId="57"/>
  </si>
  <si>
    <r>
      <t>原計タイプ</t>
    </r>
    <r>
      <rPr>
        <sz val="10"/>
        <color rgb="FFFF0000"/>
        <rFont val="ＭＳ Ｐゴシック"/>
        <family val="3"/>
        <charset val="128"/>
        <scheme val="minor"/>
      </rPr>
      <t>*</t>
    </r>
    <rPh sb="0" eb="2">
      <t>ゲンケイ</t>
    </rPh>
    <phoneticPr fontId="57"/>
  </si>
  <si>
    <t>コメント</t>
    <phoneticPr fontId="57"/>
  </si>
  <si>
    <t>コメント入力</t>
    <rPh sb="3" eb="5">
      <t>ニュウリョク</t>
    </rPh>
    <phoneticPr fontId="57"/>
  </si>
  <si>
    <t>単価上申(外貨販売カスタム品)</t>
    <rPh sb="0" eb="2">
      <t>タンカ</t>
    </rPh>
    <rPh sb="2" eb="4">
      <t>ジョウシン</t>
    </rPh>
    <rPh sb="5" eb="7">
      <t>ガイカ</t>
    </rPh>
    <rPh sb="7" eb="9">
      <t>ハンバイ</t>
    </rPh>
    <rPh sb="13" eb="14">
      <t>シナ</t>
    </rPh>
    <phoneticPr fontId="57"/>
  </si>
  <si>
    <r>
      <t>原計通貨</t>
    </r>
    <r>
      <rPr>
        <sz val="9"/>
        <color rgb="FFFF0000"/>
        <rFont val="ＭＳ Ｐゴシック"/>
        <family val="3"/>
        <charset val="128"/>
        <scheme val="minor"/>
      </rPr>
      <t>*</t>
    </r>
    <rPh sb="0" eb="2">
      <t>ゲンケイ</t>
    </rPh>
    <rPh sb="2" eb="4">
      <t>ツウカ</t>
    </rPh>
    <phoneticPr fontId="61"/>
  </si>
  <si>
    <r>
      <t>申請通貨</t>
    </r>
    <r>
      <rPr>
        <sz val="9"/>
        <color rgb="FFFF0000"/>
        <rFont val="ＭＳ Ｐゴシック"/>
        <family val="3"/>
        <charset val="128"/>
        <scheme val="minor"/>
      </rPr>
      <t>*</t>
    </r>
    <rPh sb="0" eb="2">
      <t>シンセイ</t>
    </rPh>
    <rPh sb="2" eb="4">
      <t>ツウカ</t>
    </rPh>
    <phoneticPr fontId="61"/>
  </si>
  <si>
    <t>表示通貨</t>
    <rPh sb="0" eb="1">
      <t>ヒョウジ</t>
    </rPh>
    <rPh sb="1" eb="3">
      <t>ツウカ</t>
    </rPh>
    <phoneticPr fontId="57"/>
  </si>
  <si>
    <t>表示通貨</t>
    <rPh sb="0" eb="2">
      <t>ヒョウジ</t>
    </rPh>
    <rPh sb="2" eb="4">
      <t>ツウカ</t>
    </rPh>
    <phoneticPr fontId="57"/>
  </si>
  <si>
    <t>表示通貨</t>
    <rPh sb="0" eb="4">
      <t>ヒョウジツウカ</t>
    </rPh>
    <phoneticPr fontId="57"/>
  </si>
  <si>
    <t>r.1.1</t>
    <phoneticPr fontId="57"/>
  </si>
  <si>
    <t>古竹</t>
    <rPh sb="0" eb="2">
      <t>フルタケ</t>
    </rPh>
    <phoneticPr fontId="51"/>
  </si>
  <si>
    <t>-</t>
    <phoneticPr fontId="57"/>
  </si>
  <si>
    <t>機能仕様</t>
    <rPh sb="0" eb="4">
      <t>キノウシヨウ</t>
    </rPh>
    <phoneticPr fontId="57"/>
  </si>
  <si>
    <t>製品名</t>
    <rPh sb="0" eb="3">
      <t>セイヒンメイ</t>
    </rPh>
    <phoneticPr fontId="61"/>
  </si>
  <si>
    <t>-</t>
    <phoneticPr fontId="61"/>
  </si>
  <si>
    <t>画面項目(Screen Items)</t>
    <rPh sb="0" eb="4">
      <t>ガメンコウモク</t>
    </rPh>
    <phoneticPr fontId="13"/>
  </si>
  <si>
    <t>必須記入</t>
    <rPh sb="0" eb="2">
      <t>ヒッス</t>
    </rPh>
    <rPh sb="2" eb="4">
      <t>キニュウ</t>
    </rPh>
    <phoneticPr fontId="13"/>
  </si>
  <si>
    <t>項番
(No)</t>
    <phoneticPr fontId="13"/>
  </si>
  <si>
    <t>項目名(Item Name)</t>
    <phoneticPr fontId="13"/>
  </si>
  <si>
    <t>初期値
(Default Value)</t>
    <rPh sb="0" eb="3">
      <t>ショキチ</t>
    </rPh>
    <phoneticPr fontId="13"/>
  </si>
  <si>
    <t>備考
(Comment)</t>
    <rPh sb="0" eb="2">
      <t>ビコウ</t>
    </rPh>
    <phoneticPr fontId="13"/>
  </si>
  <si>
    <t>エリア
（Area）</t>
    <phoneticPr fontId="13"/>
  </si>
  <si>
    <t>項目名
(Item Name)</t>
    <phoneticPr fontId="13"/>
  </si>
  <si>
    <t>1</t>
  </si>
  <si>
    <t>パンくずリストエリア</t>
  </si>
  <si>
    <t>1.1</t>
  </si>
  <si>
    <t>パンくずリスト</t>
  </si>
  <si>
    <t>-</t>
  </si>
  <si>
    <t>エンドユーザー</t>
    <phoneticPr fontId="61"/>
  </si>
  <si>
    <t>提出先企業名</t>
    <phoneticPr fontId="61"/>
  </si>
  <si>
    <t>2</t>
  </si>
  <si>
    <t>申請確認エリア</t>
    <rPh sb="0" eb="2">
      <t>シンセイ</t>
    </rPh>
    <rPh sb="2" eb="4">
      <t>カクニン</t>
    </rPh>
    <phoneticPr fontId="61"/>
  </si>
  <si>
    <t>2.1</t>
    <phoneticPr fontId="61"/>
  </si>
  <si>
    <t>初期申請製品数</t>
    <rPh sb="0" eb="2">
      <t>ショキ</t>
    </rPh>
    <rPh sb="2" eb="4">
      <t>シンセイ</t>
    </rPh>
    <rPh sb="4" eb="6">
      <t>セイヒン</t>
    </rPh>
    <rPh sb="6" eb="7">
      <t>スウ</t>
    </rPh>
    <phoneticPr fontId="61"/>
  </si>
  <si>
    <t>申請確認画面で表示された製品数
※重複、製品データ該当なしの件数も含む</t>
    <phoneticPr fontId="61"/>
  </si>
  <si>
    <t>2.2</t>
    <phoneticPr fontId="61"/>
  </si>
  <si>
    <t>申請に対するチェック結果の説明</t>
    <phoneticPr fontId="61"/>
  </si>
  <si>
    <t>2.3</t>
  </si>
  <si>
    <t>2.4</t>
  </si>
  <si>
    <t>申請画面からフォーム送信される「エンドユーザー」パラメータの値</t>
    <phoneticPr fontId="61"/>
  </si>
  <si>
    <t>2.5</t>
  </si>
  <si>
    <t>CSVダウンロードボタン</t>
    <phoneticPr fontId="61"/>
  </si>
  <si>
    <t>2.6</t>
    <phoneticPr fontId="61"/>
  </si>
  <si>
    <t>申請チェックボックス</t>
    <phoneticPr fontId="61"/>
  </si>
  <si>
    <t>申請可否の情報</t>
    <rPh sb="0" eb="2">
      <t>シンセイ</t>
    </rPh>
    <rPh sb="2" eb="4">
      <t>カヒ</t>
    </rPh>
    <rPh sb="5" eb="7">
      <t>ジョウホウ</t>
    </rPh>
    <phoneticPr fontId="61"/>
  </si>
  <si>
    <t>※画面表示フォーマットは「処理詳細」シートの「■A－１－７－２．製品証明書情報取得処理よりエラーハンドリングフォーマット」を参照する</t>
    <rPh sb="1" eb="3">
      <t>ガメン</t>
    </rPh>
    <rPh sb="3" eb="5">
      <t>ヒョウジ</t>
    </rPh>
    <rPh sb="62" eb="64">
      <t>サンショウ</t>
    </rPh>
    <phoneticPr fontId="61"/>
  </si>
  <si>
    <t>2.7</t>
    <phoneticPr fontId="61"/>
  </si>
  <si>
    <t>申請画面からフォーム送信される「製品名/CL-No」の配列パラメータの値、または、「環境証明書申請製品情報」の「製品名」の値</t>
    <rPh sb="0" eb="2">
      <t>シンセイ</t>
    </rPh>
    <rPh sb="2" eb="4">
      <t>ガメン</t>
    </rPh>
    <rPh sb="10" eb="12">
      <t>ソウシン</t>
    </rPh>
    <rPh sb="16" eb="19">
      <t>セイヒンメイ</t>
    </rPh>
    <rPh sb="56" eb="59">
      <t>セイヒンメイ</t>
    </rPh>
    <rPh sb="61" eb="62">
      <t>アタイ</t>
    </rPh>
    <phoneticPr fontId="61"/>
  </si>
  <si>
    <t>&lt;表示内容&gt;（製品名とCLコード）
　①申請画面からフォーム送信される「製品名/CL-No」を基に「環境証明書申請製品情報」を取得できた場合
　　　・画面項目.製品名：データ「環境証明書申請製品情報」の「製品名」を表示する
　　　・画面項目.CLコード：データ「環境証明書申請製品情報」の「CLコード」を表示する
　②上記①でない場合
　　　1）申請画面からフォーム送信される「製品名/CL-No」の配列パラメータ値が
　　　　　　「HrsNo形式」（数値11桁）、または、「CLコード形式」（CL9999-9999-9-99）の場合
　　　　　　・画面項目.製品名："-"（ハイフン）を表示する
　　　　　　・画面項目.CLコード：申請画面からフォーム送信される「製品名/CL-No」の配列パラメータ値を表示する。
　　　2）上記1）でない場合
　　　　　　・画面項目.製品名：申請画面からフォーム送信される「製品名/CL-No」の配列パラメータ値を表示する。
　　　　　　・画面項目.CLコード："-"（ハイフン）を表示する
　※値がないときは"-"（ハイフン）を表示する。
　　（値がないときとはレコードなしや値がnullの場合を指す。従って、例えば値がスペースなどのときは、スペースという値があると判定）</t>
    <rPh sb="1" eb="3">
      <t>ヒョウジ</t>
    </rPh>
    <rPh sb="3" eb="5">
      <t>ナイヨウ</t>
    </rPh>
    <rPh sb="7" eb="10">
      <t>セイヒンメイ</t>
    </rPh>
    <rPh sb="75" eb="77">
      <t>ガメン</t>
    </rPh>
    <rPh sb="77" eb="79">
      <t>コウモク</t>
    </rPh>
    <rPh sb="80" eb="83">
      <t>セイヒンメイ</t>
    </rPh>
    <rPh sb="102" eb="105">
      <t>セイヒンメイ</t>
    </rPh>
    <rPh sb="160" eb="162">
      <t>ジョウキ</t>
    </rPh>
    <rPh sb="166" eb="168">
      <t>バアイ</t>
    </rPh>
    <rPh sb="345" eb="347">
      <t>ハイレツ</t>
    </rPh>
    <rPh sb="352" eb="353">
      <t>チ</t>
    </rPh>
    <rPh sb="354" eb="356">
      <t>ヒョウジ</t>
    </rPh>
    <rPh sb="366" eb="368">
      <t>ジョウキ</t>
    </rPh>
    <rPh sb="373" eb="375">
      <t>バアイ</t>
    </rPh>
    <rPh sb="496" eb="497">
      <t>アタイ</t>
    </rPh>
    <rPh sb="511" eb="512">
      <t>アタイ</t>
    </rPh>
    <rPh sb="518" eb="520">
      <t>バアイ</t>
    </rPh>
    <rPh sb="521" eb="522">
      <t>サ</t>
    </rPh>
    <rPh sb="524" eb="525">
      <t>シタガ</t>
    </rPh>
    <rPh sb="528" eb="529">
      <t>タト</t>
    </rPh>
    <phoneticPr fontId="61"/>
  </si>
  <si>
    <t>2.8</t>
    <phoneticPr fontId="61"/>
  </si>
  <si>
    <t>CL（製品番号）</t>
    <phoneticPr fontId="61"/>
  </si>
  <si>
    <t>申請画面からフォーム送信される「製品名/CL-No」の配列パラメータの値、または、「環境証明書申請製品情報」の「CLコード」の値</t>
    <phoneticPr fontId="61"/>
  </si>
  <si>
    <t>&lt;表示内容&gt;
　上記の「製品名」の「&lt;表示内容&gt;（製品名とCLコード）」を参照
※画面表示フォーマットは「処理詳細」シートの「■A－１－７－２．製品証明書情報取得処理よりエラーハンドリングフォーマット」を参照する</t>
    <rPh sb="103" eb="105">
      <t>サンショウ</t>
    </rPh>
    <phoneticPr fontId="61"/>
  </si>
  <si>
    <t>2.9</t>
    <phoneticPr fontId="61"/>
  </si>
  <si>
    <t>2.10</t>
    <phoneticPr fontId="61"/>
  </si>
  <si>
    <t>2.11</t>
    <phoneticPr fontId="61"/>
  </si>
  <si>
    <t>申請された証明書種類</t>
    <phoneticPr fontId="61"/>
  </si>
  <si>
    <t>申請画面からフォーム送信される「化学物質データ選択」配列パラメータの値</t>
    <phoneticPr fontId="61"/>
  </si>
  <si>
    <t>製品毎の申請可否チェック結果</t>
    <phoneticPr fontId="61"/>
  </si>
  <si>
    <t>2.8の製品番号に対応する証明書毎のチェック結果</t>
    <rPh sb="4" eb="6">
      <t>セイヒン</t>
    </rPh>
    <rPh sb="6" eb="8">
      <t>バンゴウ</t>
    </rPh>
    <rPh sb="9" eb="11">
      <t>タイオウ</t>
    </rPh>
    <rPh sb="13" eb="16">
      <t>ショウメイショ</t>
    </rPh>
    <rPh sb="16" eb="17">
      <t>ゴト</t>
    </rPh>
    <rPh sb="22" eb="24">
      <t>ケッカ</t>
    </rPh>
    <phoneticPr fontId="61"/>
  </si>
  <si>
    <t>戻る</t>
    <phoneticPr fontId="61"/>
  </si>
  <si>
    <t>申請</t>
    <phoneticPr fontId="61"/>
  </si>
  <si>
    <t>いいえボタン</t>
    <phoneticPr fontId="61"/>
  </si>
  <si>
    <t>はいボタン</t>
    <phoneticPr fontId="61"/>
  </si>
  <si>
    <t>申請製品数</t>
    <phoneticPr fontId="61"/>
  </si>
  <si>
    <t>選択された製品の件数を表示する。</t>
    <rPh sb="0" eb="2">
      <t>センタク</t>
    </rPh>
    <rPh sb="5" eb="7">
      <t>セイヒン</t>
    </rPh>
    <rPh sb="8" eb="10">
      <t>ケンスウ</t>
    </rPh>
    <rPh sb="11" eb="13">
      <t>ヒョウジ</t>
    </rPh>
    <phoneticPr fontId="61"/>
  </si>
  <si>
    <t>申請確認ダイアログをクローズする。
※処理詳細の「Ａ－３．申請について」を参照する。
※「申請処理」エラー時
　　・入力チェックエラーが発生する場合、該当のエラーメッセージを2.19の画面項目に表示する。　※「入力チェック」シート参照
　　・処理エラーが発生する場合、message.E.F.000031で定義されているエラーメッセージを2.19の画面項目に表示する。</t>
    <rPh sb="19" eb="21">
      <t>ショリ</t>
    </rPh>
    <rPh sb="21" eb="23">
      <t>ショウサイ</t>
    </rPh>
    <rPh sb="37" eb="39">
      <t>サンショウ</t>
    </rPh>
    <rPh sb="45" eb="47">
      <t>シンセイ</t>
    </rPh>
    <rPh sb="47" eb="49">
      <t>ショリ</t>
    </rPh>
    <rPh sb="53" eb="54">
      <t>ジ</t>
    </rPh>
    <rPh sb="121" eb="123">
      <t>ショリ</t>
    </rPh>
    <rPh sb="127" eb="129">
      <t>ハッセイ</t>
    </rPh>
    <rPh sb="131" eb="133">
      <t>バアイ</t>
    </rPh>
    <phoneticPr fontId="61"/>
  </si>
  <si>
    <t>No</t>
    <phoneticPr fontId="61"/>
  </si>
  <si>
    <t>修飾子</t>
    <rPh sb="0" eb="3">
      <t>シュウショクシ</t>
    </rPh>
    <phoneticPr fontId="61"/>
  </si>
  <si>
    <t>clCode</t>
    <phoneticPr fontId="61"/>
  </si>
  <si>
    <t>partNo</t>
    <phoneticPr fontId="61"/>
  </si>
  <si>
    <t>CLコード</t>
    <phoneticPr fontId="61"/>
  </si>
  <si>
    <t>Non-compliant</t>
    <phoneticPr fontId="61"/>
  </si>
  <si>
    <r>
      <rPr>
        <sz val="10"/>
        <color rgb="FFFF9900"/>
        <rFont val="Meiryo UI"/>
        <family val="3"/>
        <charset val="128"/>
      </rPr>
      <t>ホーム</t>
    </r>
    <r>
      <rPr>
        <sz val="10"/>
        <rFont val="Meiryo UI"/>
        <family val="3"/>
        <charset val="128"/>
      </rPr>
      <t xml:space="preserve"> / 化学物質データ申請確認</t>
    </r>
    <rPh sb="5" eb="9">
      <t>カガクブッシツ</t>
    </rPh>
    <rPh sb="13" eb="17">
      <t>シンセイカクニン</t>
    </rPh>
    <phoneticPr fontId="57"/>
  </si>
  <si>
    <t xml:space="preserve"> A社</t>
    <rPh sb="2" eb="3">
      <t>シャ</t>
    </rPh>
    <phoneticPr fontId="57"/>
  </si>
  <si>
    <t>CL</t>
    <phoneticPr fontId="57"/>
  </si>
  <si>
    <t>SDS</t>
    <phoneticPr fontId="57"/>
  </si>
  <si>
    <t>☑</t>
    <phoneticPr fontId="57"/>
  </si>
  <si>
    <t>NameA</t>
    <phoneticPr fontId="57"/>
  </si>
  <si>
    <t>NameB</t>
    <phoneticPr fontId="57"/>
  </si>
  <si>
    <t>NameC</t>
    <phoneticPr fontId="57"/>
  </si>
  <si>
    <t>NameD</t>
    <phoneticPr fontId="57"/>
  </si>
  <si>
    <t>NameF</t>
    <phoneticPr fontId="57"/>
  </si>
  <si>
    <t>CL0123-
4567-8-90</t>
    <phoneticPr fontId="57"/>
  </si>
  <si>
    <t>CL0123-
4567-8-91</t>
    <phoneticPr fontId="57"/>
  </si>
  <si>
    <t>CL0123-
4567-8-92</t>
    <phoneticPr fontId="57"/>
  </si>
  <si>
    <t>CL0123-
4567-8-93</t>
    <phoneticPr fontId="57"/>
  </si>
  <si>
    <t>CL0123-
4567-8-95</t>
    <phoneticPr fontId="57"/>
  </si>
  <si>
    <t>CL0123-
4567-8-96</t>
    <phoneticPr fontId="57"/>
  </si>
  <si>
    <t>2024-01</t>
    <phoneticPr fontId="57"/>
  </si>
  <si>
    <t>2023-12</t>
    <phoneticPr fontId="57"/>
  </si>
  <si>
    <t>2023-10</t>
    <phoneticPr fontId="57"/>
  </si>
  <si>
    <t>2023-11</t>
    <phoneticPr fontId="57"/>
  </si>
  <si>
    <t>YES</t>
    <phoneticPr fontId="57"/>
  </si>
  <si>
    <t>Non-complia
nt</t>
    <phoneticPr fontId="57"/>
  </si>
  <si>
    <t>Request</t>
    <phoneticPr fontId="57"/>
  </si>
  <si>
    <t>申請確認ダイアログ</t>
    <rPh sb="0" eb="4">
      <t>シンセイカクニン</t>
    </rPh>
    <phoneticPr fontId="57"/>
  </si>
  <si>
    <t>化学物質データ新規申請を行いますか</t>
    <rPh sb="0" eb="4">
      <t>カガクブッシツ</t>
    </rPh>
    <rPh sb="7" eb="11">
      <t>シンキシンセイ</t>
    </rPh>
    <rPh sb="12" eb="13">
      <t>オコナ</t>
    </rPh>
    <phoneticPr fontId="57"/>
  </si>
  <si>
    <t>(○○　件)</t>
    <rPh sb="4" eb="5">
      <t>ケン</t>
    </rPh>
    <phoneticPr fontId="57"/>
  </si>
  <si>
    <t>1. パンくずリストエリア</t>
  </si>
  <si>
    <t>1.1　パンくずリスト</t>
  </si>
  <si>
    <r>
      <t xml:space="preserve">提出先企業名
</t>
    </r>
    <r>
      <rPr>
        <sz val="7"/>
        <rFont val="Meiryo UI"/>
        <family val="3"/>
        <charset val="128"/>
      </rPr>
      <t xml:space="preserve">Submission_company </t>
    </r>
    <rPh sb="0" eb="3">
      <t>テイシュツサキ</t>
    </rPh>
    <rPh sb="3" eb="6">
      <t>キギョウメイ</t>
    </rPh>
    <phoneticPr fontId="57"/>
  </si>
  <si>
    <r>
      <t xml:space="preserve">エンドユーザー
</t>
    </r>
    <r>
      <rPr>
        <sz val="7"/>
        <rFont val="Meiryo UI"/>
        <family val="3"/>
        <charset val="128"/>
      </rPr>
      <t>End user</t>
    </r>
    <phoneticPr fontId="57"/>
  </si>
  <si>
    <r>
      <rPr>
        <sz val="7"/>
        <rFont val="Meiryo UI"/>
        <family val="3"/>
        <charset val="128"/>
      </rPr>
      <t>製品名</t>
    </r>
    <r>
      <rPr>
        <sz val="7.5"/>
        <rFont val="Meiryo UI"/>
        <family val="3"/>
        <charset val="128"/>
      </rPr>
      <t xml:space="preserve">
</t>
    </r>
    <r>
      <rPr>
        <sz val="6"/>
        <rFont val="Meiryo UI"/>
        <family val="3"/>
        <charset val="128"/>
      </rPr>
      <t>Product name</t>
    </r>
    <rPh sb="0" eb="3">
      <t>セイヒンメイ</t>
    </rPh>
    <phoneticPr fontId="57"/>
  </si>
  <si>
    <r>
      <t xml:space="preserve">生産終了
予定品
</t>
    </r>
    <r>
      <rPr>
        <sz val="5"/>
        <rFont val="Meiryo UI"/>
        <family val="3"/>
        <charset val="128"/>
      </rPr>
      <t>Products to be discontinued</t>
    </r>
    <rPh sb="0" eb="2">
      <t>セイサン</t>
    </rPh>
    <rPh sb="2" eb="4">
      <t>シュウリョウ</t>
    </rPh>
    <rPh sb="5" eb="7">
      <t>ヨテイ</t>
    </rPh>
    <rPh sb="7" eb="8">
      <t>ヒン</t>
    </rPh>
    <phoneticPr fontId="57"/>
  </si>
  <si>
    <r>
      <t xml:space="preserve">カスタム(他
社販売可)
</t>
    </r>
    <r>
      <rPr>
        <sz val="5"/>
        <rFont val="Meiryo UI"/>
        <family val="3"/>
        <charset val="128"/>
      </rPr>
      <t>Custom(Can be sold by other companies)</t>
    </r>
    <rPh sb="5" eb="6">
      <t>ホカ</t>
    </rPh>
    <rPh sb="7" eb="8">
      <t>シャ</t>
    </rPh>
    <rPh sb="8" eb="10">
      <t>ハンバイ</t>
    </rPh>
    <rPh sb="10" eb="11">
      <t>カ</t>
    </rPh>
    <phoneticPr fontId="57"/>
  </si>
  <si>
    <r>
      <t xml:space="preserve">オリジナル
(特定社)
</t>
    </r>
    <r>
      <rPr>
        <sz val="5"/>
        <rFont val="Meiryo UI"/>
        <family val="3"/>
        <charset val="128"/>
      </rPr>
      <t>Original(Specified company)</t>
    </r>
    <rPh sb="7" eb="9">
      <t>トクテイ</t>
    </rPh>
    <rPh sb="9" eb="10">
      <t>シャ</t>
    </rPh>
    <phoneticPr fontId="57"/>
  </si>
  <si>
    <r>
      <t xml:space="preserve">オリジナル
</t>
    </r>
    <r>
      <rPr>
        <sz val="5"/>
        <rFont val="Meiryo UI"/>
        <family val="3"/>
        <charset val="128"/>
      </rPr>
      <t>Original</t>
    </r>
    <phoneticPr fontId="57"/>
  </si>
  <si>
    <r>
      <t xml:space="preserve">カスタム(他
社販売不可)
</t>
    </r>
    <r>
      <rPr>
        <sz val="5"/>
        <rFont val="Meiryo UI"/>
        <family val="3"/>
        <charset val="128"/>
      </rPr>
      <t>Custom(Cannot be sold by other companies)</t>
    </r>
    <rPh sb="5" eb="6">
      <t>ホカ</t>
    </rPh>
    <rPh sb="7" eb="8">
      <t>シャ</t>
    </rPh>
    <rPh sb="8" eb="10">
      <t>ハンバイ</t>
    </rPh>
    <rPh sb="10" eb="12">
      <t>フカ</t>
    </rPh>
    <phoneticPr fontId="57"/>
  </si>
  <si>
    <r>
      <t xml:space="preserve">新規設計
非推奨
</t>
    </r>
    <r>
      <rPr>
        <sz val="5"/>
        <rFont val="Meiryo UI"/>
        <family val="3"/>
        <charset val="128"/>
      </rPr>
      <t>New designs are not recommended</t>
    </r>
    <rPh sb="0" eb="4">
      <t>シンキセッケイ</t>
    </rPh>
    <rPh sb="5" eb="8">
      <t>ヒスイショウ</t>
    </rPh>
    <phoneticPr fontId="57"/>
  </si>
  <si>
    <t>販売品
Items for sales</t>
    <rPh sb="0" eb="3">
      <t>ハンバイヒン</t>
    </rPh>
    <phoneticPr fontId="57"/>
  </si>
  <si>
    <t>Application confirmation dialog</t>
    <phoneticPr fontId="57"/>
  </si>
  <si>
    <t>(○○　Items)</t>
    <phoneticPr fontId="57"/>
  </si>
  <si>
    <r>
      <t xml:space="preserve">製品選択フォーム
</t>
    </r>
    <r>
      <rPr>
        <sz val="8"/>
        <color theme="1"/>
        <rFont val="Meiryo UI"/>
        <family val="3"/>
        <charset val="128"/>
      </rPr>
      <t>Product selection form</t>
    </r>
    <rPh sb="0" eb="4">
      <t>セイヒンセンタク</t>
    </rPh>
    <phoneticPr fontId="57"/>
  </si>
  <si>
    <t>化学物質データ/Chemical substance data</t>
    <rPh sb="0" eb="2">
      <t>カガクブッシツ</t>
    </rPh>
    <phoneticPr fontId="57"/>
  </si>
  <si>
    <t>以下のようにパンくずリストを表示する。</t>
    <rPh sb="0" eb="2">
      <t>イカ</t>
    </rPh>
    <rPh sb="14" eb="16">
      <t>ヒョウジ</t>
    </rPh>
    <phoneticPr fontId="3"/>
  </si>
  <si>
    <t>『製品トップ &gt; 化学物質データ申請確認』</t>
    <rPh sb="1" eb="3">
      <t>セイヒン</t>
    </rPh>
    <rPh sb="9" eb="11">
      <t>カガク</t>
    </rPh>
    <rPh sb="11" eb="13">
      <t>ブッシツ</t>
    </rPh>
    <rPh sb="16" eb="18">
      <t>シンセイ</t>
    </rPh>
    <rPh sb="18" eb="20">
      <t>カクニン</t>
    </rPh>
    <phoneticPr fontId="3"/>
  </si>
  <si>
    <t>古竹</t>
    <rPh sb="0" eb="2">
      <t>フルタケ</t>
    </rPh>
    <phoneticPr fontId="13"/>
  </si>
  <si>
    <t>化学物質データ申請確認画面の内容を日英併記に変更</t>
    <rPh sb="0" eb="2">
      <t>カガク</t>
    </rPh>
    <rPh sb="2" eb="4">
      <t>ブッシツ</t>
    </rPh>
    <rPh sb="7" eb="9">
      <t>シンセイ</t>
    </rPh>
    <rPh sb="9" eb="11">
      <t>カクニン</t>
    </rPh>
    <rPh sb="11" eb="13">
      <t>ガメン</t>
    </rPh>
    <rPh sb="14" eb="16">
      <t>ナイヨウ</t>
    </rPh>
    <rPh sb="17" eb="19">
      <t>ニチエイ</t>
    </rPh>
    <rPh sb="19" eb="21">
      <t>ヘイキ</t>
    </rPh>
    <rPh sb="22" eb="24">
      <t>ヘンコウ</t>
    </rPh>
    <phoneticPr fontId="13"/>
  </si>
  <si>
    <t>Items</t>
    <phoneticPr fontId="57"/>
  </si>
  <si>
    <t>日本語</t>
    <rPh sb="0" eb="3">
      <t>ニホンゴ</t>
    </rPh>
    <phoneticPr fontId="57"/>
  </si>
  <si>
    <t>English</t>
    <phoneticPr fontId="57"/>
  </si>
  <si>
    <t>Non-compliant</t>
    <phoneticPr fontId="57"/>
  </si>
  <si>
    <t>We can't submit the certificate for non-compliant.</t>
    <phoneticPr fontId="57"/>
  </si>
  <si>
    <t>ヒロセ営業担当へご連絡、または環境各種要求書を発行</t>
    <rPh sb="3" eb="5">
      <t>エイギョウ</t>
    </rPh>
    <rPh sb="5" eb="7">
      <t>タントウ</t>
    </rPh>
    <rPh sb="9" eb="11">
      <t>レンラク</t>
    </rPh>
    <phoneticPr fontId="57"/>
  </si>
  <si>
    <t>Please contact to Hirose sales or request on the environment data base.</t>
    <phoneticPr fontId="57"/>
  </si>
  <si>
    <t>グレー背景
Gray background</t>
    <phoneticPr fontId="57"/>
  </si>
  <si>
    <t>重複した製品</t>
    <phoneticPr fontId="57"/>
  </si>
  <si>
    <t>Duplicate products</t>
    <phoneticPr fontId="57"/>
  </si>
  <si>
    <t>赤背景
Red background</t>
    <phoneticPr fontId="57"/>
  </si>
  <si>
    <t>システムに製品の該当なし</t>
    <phoneticPr fontId="57"/>
  </si>
  <si>
    <t>Products are not registered in the system.</t>
    <phoneticPr fontId="57"/>
  </si>
  <si>
    <t>申請した製品数: 5 件
Number of products applied: 5 products</t>
    <rPh sb="0" eb="2">
      <t>シンセイ</t>
    </rPh>
    <rPh sb="4" eb="7">
      <t>セイヒンスウ</t>
    </rPh>
    <rPh sb="11" eb="12">
      <t>ケン</t>
    </rPh>
    <phoneticPr fontId="57"/>
  </si>
  <si>
    <t>高精度分析データ(ICP)
Analysis Data(ICP)</t>
    <phoneticPr fontId="57"/>
  </si>
  <si>
    <t>chemSHERPA</t>
    <phoneticPr fontId="57"/>
  </si>
  <si>
    <t>Do you want to apply?</t>
    <phoneticPr fontId="57"/>
  </si>
  <si>
    <r>
      <rPr>
        <sz val="7"/>
        <rFont val="Meiryo UI"/>
        <family val="3"/>
        <charset val="128"/>
      </rPr>
      <t xml:space="preserve">新製品区分
</t>
    </r>
    <r>
      <rPr>
        <sz val="6"/>
        <rFont val="Meiryo UI"/>
        <family val="3"/>
        <charset val="128"/>
      </rPr>
      <t>New Product Class</t>
    </r>
    <rPh sb="0" eb="3">
      <t>シンセイヒン</t>
    </rPh>
    <rPh sb="3" eb="4">
      <t>ク</t>
    </rPh>
    <rPh sb="4" eb="5">
      <t>フン</t>
    </rPh>
    <phoneticPr fontId="57"/>
  </si>
  <si>
    <r>
      <t xml:space="preserve">製品販売
状況
</t>
    </r>
    <r>
      <rPr>
        <sz val="6"/>
        <rFont val="Meiryo UI"/>
        <family val="3"/>
        <charset val="128"/>
      </rPr>
      <t>Product Sales Status</t>
    </r>
    <phoneticPr fontId="57"/>
  </si>
  <si>
    <r>
      <t xml:space="preserve">PCN番号
</t>
    </r>
    <r>
      <rPr>
        <sz val="6"/>
        <rFont val="Meiryo UI"/>
        <family val="3"/>
        <charset val="128"/>
      </rPr>
      <t>PCN No</t>
    </r>
    <rPh sb="3" eb="5">
      <t>バンゴウ</t>
    </rPh>
    <phoneticPr fontId="57"/>
  </si>
  <si>
    <r>
      <rPr>
        <sz val="7"/>
        <rFont val="Meiryo UI"/>
        <family val="3"/>
        <charset val="128"/>
      </rPr>
      <t>RoHS証明書</t>
    </r>
    <r>
      <rPr>
        <sz val="7.5"/>
        <rFont val="Meiryo UI"/>
        <family val="3"/>
        <charset val="128"/>
      </rPr>
      <t xml:space="preserve">
</t>
    </r>
    <r>
      <rPr>
        <sz val="6"/>
        <rFont val="Meiryo UI"/>
        <family val="3"/>
        <charset val="128"/>
      </rPr>
      <t>RoHS Certificate</t>
    </r>
    <rPh sb="4" eb="7">
      <t>ショウメイショ</t>
    </rPh>
    <phoneticPr fontId="57"/>
  </si>
  <si>
    <r>
      <rPr>
        <sz val="7"/>
        <rFont val="Meiryo UI"/>
        <family val="3"/>
        <charset val="128"/>
      </rPr>
      <t>ハロゲンフリー証明書</t>
    </r>
    <r>
      <rPr>
        <sz val="7.5"/>
        <rFont val="Meiryo UI"/>
        <family val="3"/>
        <charset val="128"/>
      </rPr>
      <t xml:space="preserve">
</t>
    </r>
    <r>
      <rPr>
        <sz val="6"/>
        <rFont val="Meiryo UI"/>
        <family val="3"/>
        <charset val="128"/>
      </rPr>
      <t>Certificate of Halogen Free</t>
    </r>
    <rPh sb="7" eb="10">
      <t>ショウメイショ</t>
    </rPh>
    <phoneticPr fontId="57"/>
  </si>
  <si>
    <r>
      <rPr>
        <sz val="7"/>
        <rFont val="Meiryo UI"/>
        <family val="3"/>
        <charset val="128"/>
      </rPr>
      <t>成分表</t>
    </r>
    <r>
      <rPr>
        <sz val="7.5"/>
        <rFont val="Meiryo UI"/>
        <family val="3"/>
        <charset val="128"/>
      </rPr>
      <t xml:space="preserve">
</t>
    </r>
    <r>
      <rPr>
        <sz val="6"/>
        <rFont val="Meiryo UI"/>
        <family val="3"/>
        <charset val="128"/>
      </rPr>
      <t>Product Chemical Substances Table</t>
    </r>
    <rPh sb="0" eb="3">
      <t>セイブンヒョウ</t>
    </rPh>
    <phoneticPr fontId="57"/>
  </si>
  <si>
    <r>
      <t xml:space="preserve">SVHC調査報告書
</t>
    </r>
    <r>
      <rPr>
        <sz val="6"/>
        <rFont val="Meiryo UI"/>
        <family val="3"/>
        <charset val="128"/>
      </rPr>
      <t>Report of SVHC</t>
    </r>
    <rPh sb="4" eb="5">
      <t>チョウ</t>
    </rPh>
    <rPh sb="5" eb="6">
      <t>サ</t>
    </rPh>
    <rPh sb="6" eb="9">
      <t>ホウコクショ</t>
    </rPh>
    <phoneticPr fontId="57"/>
  </si>
  <si>
    <t>化学物質データ申請確認</t>
    <phoneticPr fontId="51"/>
  </si>
  <si>
    <t>化学物質データ申請</t>
    <phoneticPr fontId="51"/>
  </si>
  <si>
    <t>英語表記を現行の英語表記に変更、項目変更</t>
    <rPh sb="0" eb="4">
      <t>エイゴヒョウキ</t>
    </rPh>
    <rPh sb="5" eb="7">
      <t>ゲンコウ</t>
    </rPh>
    <rPh sb="8" eb="12">
      <t>エイゴヒョウキ</t>
    </rPh>
    <rPh sb="13" eb="15">
      <t>ヘンコウ</t>
    </rPh>
    <rPh sb="16" eb="20">
      <t>コウモクヘンコウ</t>
    </rPh>
    <phoneticPr fontId="51"/>
  </si>
  <si>
    <t>■チェックボックスが一つも選択されない場合、
　　　「申請」ボタンは非活性となる。
■チェックボックスが一つ以上選択さてている場合、
　　　「申請確認ダイアログ」がポップアップで表示される。</t>
    <rPh sb="13" eb="15">
      <t>センタク</t>
    </rPh>
    <rPh sb="52" eb="53">
      <t>ヒト</t>
    </rPh>
    <rPh sb="54" eb="56">
      <t>イジョウ</t>
    </rPh>
    <rPh sb="56" eb="58">
      <t>センタク</t>
    </rPh>
    <rPh sb="63" eb="65">
      <t>バアイ</t>
    </rPh>
    <rPh sb="89" eb="91">
      <t>ヒョウジ</t>
    </rPh>
    <phoneticPr fontId="61"/>
  </si>
  <si>
    <t>処理詳細</t>
    <rPh sb="0" eb="2">
      <t>ショリ</t>
    </rPh>
    <rPh sb="2" eb="4">
      <t>ショウサイ</t>
    </rPh>
    <phoneticPr fontId="13"/>
  </si>
  <si>
    <t>※以下のフロー図を参照する</t>
    <rPh sb="1" eb="3">
      <t>イカ</t>
    </rPh>
    <rPh sb="7" eb="8">
      <t>ズ</t>
    </rPh>
    <rPh sb="9" eb="11">
      <t>サンショウ</t>
    </rPh>
    <phoneticPr fontId="61"/>
  </si>
  <si>
    <t>申請画面からのHTTPパラメータで製品名/CLコードリスト取得</t>
    <rPh sb="17" eb="20">
      <t>セイヒンメイ</t>
    </rPh>
    <phoneticPr fontId="61"/>
  </si>
  <si>
    <t>製品名/CLコードより証明書の情報取得</t>
    <rPh sb="0" eb="3">
      <t>セイヒンメイ</t>
    </rPh>
    <rPh sb="11" eb="14">
      <t>ショウメイショ</t>
    </rPh>
    <rPh sb="15" eb="17">
      <t>ジョウホウ</t>
    </rPh>
    <rPh sb="17" eb="19">
      <t>シュトク</t>
    </rPh>
    <phoneticPr fontId="61"/>
  </si>
  <si>
    <t>抽出条件（OR）</t>
    <rPh sb="0" eb="2">
      <t>チュウシュツ</t>
    </rPh>
    <rPh sb="2" eb="4">
      <t>ジョウケン</t>
    </rPh>
    <phoneticPr fontId="61"/>
  </si>
  <si>
    <t>※1　入力値の形式がHRS-No（数字11桁）の場合はCLコードの形式（CL9999-9999-9-99）に変換</t>
    <phoneticPr fontId="61"/>
  </si>
  <si>
    <t>※2　入力値に以下の全角記号が含まれる場合は半角に変換</t>
    <rPh sb="7" eb="9">
      <t>イカ</t>
    </rPh>
    <rPh sb="12" eb="14">
      <t>キゴウ</t>
    </rPh>
    <phoneticPr fontId="61"/>
  </si>
  <si>
    <t>－　→　-</t>
  </si>
  <si>
    <t>（　→　(</t>
  </si>
  <si>
    <t>）　→　)</t>
  </si>
  <si>
    <t>＋　→　+</t>
  </si>
  <si>
    <t>＊　→　*</t>
  </si>
  <si>
    <t>／　→　/</t>
  </si>
  <si>
    <t>項目名</t>
    <rPh sb="0" eb="2">
      <t>コウモク</t>
    </rPh>
    <rPh sb="2" eb="3">
      <t>メイ</t>
    </rPh>
    <phoneticPr fontId="61"/>
  </si>
  <si>
    <t>hrsNo</t>
    <phoneticPr fontId="61"/>
  </si>
  <si>
    <t>HRS No</t>
    <phoneticPr fontId="61"/>
  </si>
  <si>
    <t>製品名</t>
    <phoneticPr fontId="61"/>
  </si>
  <si>
    <t>available</t>
    <phoneticPr fontId="61"/>
  </si>
  <si>
    <t>申請可能</t>
    <phoneticPr fontId="61"/>
  </si>
  <si>
    <t>request</t>
    <phoneticPr fontId="61"/>
  </si>
  <si>
    <t>Request</t>
    <phoneticPr fontId="61"/>
  </si>
  <si>
    <t>nonCompliant</t>
    <phoneticPr fontId="61"/>
  </si>
  <si>
    <t>製品名/CLコードの重複チェック</t>
    <rPh sb="0" eb="3">
      <t>セイヒンメイ</t>
    </rPh>
    <rPh sb="10" eb="12">
      <t>チョウフク</t>
    </rPh>
    <phoneticPr fontId="13"/>
  </si>
  <si>
    <t>：</t>
    <phoneticPr fontId="61"/>
  </si>
  <si>
    <t>環境証明書申請製品情報の「CLコード」を基に重複チェックを実施</t>
    <rPh sb="20" eb="21">
      <t>モト</t>
    </rPh>
    <rPh sb="22" eb="24">
      <t>チョウフク</t>
    </rPh>
    <rPh sb="29" eb="31">
      <t>ジッシ</t>
    </rPh>
    <phoneticPr fontId="61"/>
  </si>
  <si>
    <t>入力リスト.製品名/CLコードを基に重複チェックを実施</t>
    <rPh sb="0" eb="2">
      <t>ニュウリョク</t>
    </rPh>
    <rPh sb="6" eb="9">
      <t>セイヒンメイ</t>
    </rPh>
    <rPh sb="16" eb="17">
      <t>モト</t>
    </rPh>
    <rPh sb="18" eb="20">
      <t>チョウフク</t>
    </rPh>
    <rPh sb="25" eb="27">
      <t>ジッシ</t>
    </rPh>
    <phoneticPr fontId="61"/>
  </si>
  <si>
    <t>社員と販売と代理店権限</t>
    <rPh sb="0" eb="2">
      <t>シャイン</t>
    </rPh>
    <rPh sb="3" eb="5">
      <t>ハンバイ</t>
    </rPh>
    <rPh sb="6" eb="9">
      <t>ダイリテン</t>
    </rPh>
    <rPh sb="9" eb="11">
      <t>ケンゲン</t>
    </rPh>
    <phoneticPr fontId="61"/>
  </si>
  <si>
    <t>代理店権限</t>
    <rPh sb="0" eb="3">
      <t>ダイリテン</t>
    </rPh>
    <rPh sb="3" eb="5">
      <t>ケンゲン</t>
    </rPh>
    <phoneticPr fontId="61"/>
  </si>
  <si>
    <t>すべての証明書が（Non-compliant ）申請不可</t>
    <phoneticPr fontId="61"/>
  </si>
  <si>
    <t>なにもしない</t>
    <phoneticPr fontId="61"/>
  </si>
  <si>
    <t>証明書は１件以上申請可能
※「YES : 申請可能」または「Request : 問い合わせ可否はシステムで判断できない」）</t>
    <phoneticPr fontId="61"/>
  </si>
  <si>
    <r>
      <t>「</t>
    </r>
    <r>
      <rPr>
        <b/>
        <sz val="11"/>
        <rFont val="Meiryo UI"/>
        <family val="3"/>
        <charset val="128"/>
      </rPr>
      <t>Contact</t>
    </r>
    <r>
      <rPr>
        <sz val="11"/>
        <rFont val="Meiryo UI"/>
        <family val="3"/>
        <charset val="128"/>
      </rPr>
      <t>」に書き直す</t>
    </r>
    <phoneticPr fontId="61"/>
  </si>
  <si>
    <t>製品が重複する</t>
    <phoneticPr fontId="61"/>
  </si>
  <si>
    <t>背景色</t>
    <phoneticPr fontId="61"/>
  </si>
  <si>
    <t>文字列</t>
    <rPh sb="0" eb="3">
      <t>モジレツ</t>
    </rPh>
    <phoneticPr fontId="61"/>
  </si>
  <si>
    <t>チェックボックス</t>
    <phoneticPr fontId="61"/>
  </si>
  <si>
    <t>パターン</t>
    <phoneticPr fontId="61"/>
  </si>
  <si>
    <t>灰色</t>
    <phoneticPr fontId="61"/>
  </si>
  <si>
    <t>表示しない</t>
    <phoneticPr fontId="61"/>
  </si>
  <si>
    <t>①</t>
    <phoneticPr fontId="61"/>
  </si>
  <si>
    <t>申請可能（YES）の証明書がない
※「Non-compliant : 申請不可」または「Request : 問い合わせ可否はシステムで判断できない」）</t>
    <phoneticPr fontId="61"/>
  </si>
  <si>
    <t>なし</t>
    <phoneticPr fontId="61"/>
  </si>
  <si>
    <t>Request(+)/Non-compliant(*)</t>
    <phoneticPr fontId="61"/>
  </si>
  <si>
    <t>②</t>
    <phoneticPr fontId="61"/>
  </si>
  <si>
    <t>証明書は１件以上申請可能
※「YES : 申請可能」</t>
    <phoneticPr fontId="61"/>
  </si>
  <si>
    <t>YES(+)/Request(*)/Non-compliant(*)</t>
    <phoneticPr fontId="61"/>
  </si>
  <si>
    <t>表示</t>
    <phoneticPr fontId="61"/>
  </si>
  <si>
    <t>③</t>
    <phoneticPr fontId="61"/>
  </si>
  <si>
    <t>赤</t>
    <phoneticPr fontId="61"/>
  </si>
  <si>
    <t>空白</t>
    <rPh sb="0" eb="2">
      <t>クウハク</t>
    </rPh>
    <phoneticPr fontId="61"/>
  </si>
  <si>
    <t>④</t>
    <phoneticPr fontId="61"/>
  </si>
  <si>
    <t>⑤</t>
    <phoneticPr fontId="61"/>
  </si>
  <si>
    <t>※「ダウンロードCSVファイルについて」のシートを参照する</t>
    <rPh sb="25" eb="27">
      <t>サンショウ</t>
    </rPh>
    <phoneticPr fontId="61"/>
  </si>
  <si>
    <t>※別ブック「SERP110_帳票定義書_環境証明書申請製品一覧.xlsx」を参照</t>
    <phoneticPr fontId="61"/>
  </si>
  <si>
    <t>◆CSVヘッダーのファイル出力例と導出元</t>
    <phoneticPr fontId="61"/>
  </si>
  <si>
    <t>項目</t>
    <rPh sb="0" eb="2">
      <t>コウモク</t>
    </rPh>
    <phoneticPr fontId="61"/>
  </si>
  <si>
    <t>導出元(Source)</t>
    <rPh sb="0" eb="2">
      <t>ドウシュツ</t>
    </rPh>
    <rPh sb="2" eb="3">
      <t>モト</t>
    </rPh>
    <phoneticPr fontId="61"/>
  </si>
  <si>
    <t>◆CSV本文のファイル出力例と導出元</t>
    <rPh sb="4" eb="6">
      <t>ホンブン</t>
    </rPh>
    <phoneticPr fontId="61"/>
  </si>
  <si>
    <t>申請データをinsertする処理</t>
    <phoneticPr fontId="61"/>
  </si>
  <si>
    <t>※処理詳細は「出力編集仕様（DB）」のシートを参照する</t>
    <rPh sb="1" eb="3">
      <t>ショリ</t>
    </rPh>
    <rPh sb="3" eb="5">
      <t>ショウサイ</t>
    </rPh>
    <rPh sb="7" eb="9">
      <t>シュツリョク</t>
    </rPh>
    <rPh sb="9" eb="11">
      <t>ヘンシュウ</t>
    </rPh>
    <rPh sb="11" eb="13">
      <t>シヨウ</t>
    </rPh>
    <rPh sb="23" eb="25">
      <t>サンショウ</t>
    </rPh>
    <phoneticPr fontId="61"/>
  </si>
  <si>
    <t>申請CSVファイル出力</t>
  </si>
  <si>
    <t>■ファイル出力例と導出元</t>
    <phoneticPr fontId="61"/>
  </si>
  <si>
    <t>行番号</t>
    <rPh sb="0" eb="3">
      <t>ギョウバンゴウ</t>
    </rPh>
    <phoneticPr fontId="61"/>
  </si>
  <si>
    <t>説明</t>
    <rPh sb="0" eb="2">
      <t>セツメイ</t>
    </rPh>
    <phoneticPr fontId="61"/>
  </si>
  <si>
    <t>2018-00001</t>
    <phoneticPr fontId="61"/>
  </si>
  <si>
    <t>申請番号</t>
    <phoneticPr fontId="61"/>
  </si>
  <si>
    <t>DB自動採番</t>
    <rPh sb="2" eb="4">
      <t>ジドウ</t>
    </rPh>
    <rPh sb="4" eb="6">
      <t>サイバン</t>
    </rPh>
    <phoneticPr fontId="61"/>
  </si>
  <si>
    <t>"1","1","0","1","0","1","0"</t>
    <phoneticPr fontId="61"/>
  </si>
  <si>
    <t>申請する化学物質証明書</t>
    <phoneticPr fontId="61"/>
  </si>
  <si>
    <t>HTTPリクエストパラメータの「化学物質データ選択」の配列数分ループ。
1件のパラメータについて、
RoHS適合証明書→ハロゲンフリー証明書→ICP→SDS→AIS→chemSHERPA→SVHC調査報告書
の順番で照合し、マッチした場合は"1"、アンマッチの場合は"0"
※証明書順番の情報はシステムマスタの対応するキーを参照する
　　　　Key：chemicalsubstancedata.csv.sort
　　　　Value：rohc,ais,halogen_free   ..etc</t>
    <rPh sb="144" eb="146">
      <t>ジョウホウ</t>
    </rPh>
    <rPh sb="155" eb="157">
      <t>タイオウ</t>
    </rPh>
    <rPh sb="162" eb="164">
      <t>サンショウ</t>
    </rPh>
    <phoneticPr fontId="61"/>
  </si>
  <si>
    <t>例：
・RoHS、ハロゲンフリ、証明書、ICP、SDS、AIS、chemSHERPA、SVHC調査報告書を申請する場合、「RoHS適合証明書→ハロゲンフリー証明書→ICP→SDS→AIS→chemSHERPA→SVHC調査報告書」とぴったりマッチするため、「"1","1","1","1","1","1","1","1"」になります。
・RoHS、ICP、AIS、chemSHERPAを申請する場合、「RoHS適合証明書→ハロゲンフリー証明書→ICP→SDS→AIS→chemSHERPA→SVHC調査報告書」とマッチして、太字の項目がマッチしないため、「"1","0","0","1","0","1","1","0"」になります。</t>
    <rPh sb="0" eb="1">
      <t>タト</t>
    </rPh>
    <rPh sb="265" eb="267">
      <t>コウモク</t>
    </rPh>
    <phoneticPr fontId="61"/>
  </si>
  <si>
    <t>CL0222-4567-8-90</t>
    <phoneticPr fontId="61"/>
  </si>
  <si>
    <t>申請したCL番号</t>
    <rPh sb="0" eb="2">
      <t>シンセイ</t>
    </rPh>
    <rPh sb="6" eb="8">
      <t>バンゴウ</t>
    </rPh>
    <phoneticPr fontId="61"/>
  </si>
  <si>
    <t>画面.CLコードリスト
※画面で選択されたCLコードが対象となる</t>
    <rPh sb="13" eb="15">
      <t>ガメン</t>
    </rPh>
    <rPh sb="16" eb="18">
      <t>センタク</t>
    </rPh>
    <rPh sb="27" eb="29">
      <t>タイショウ</t>
    </rPh>
    <phoneticPr fontId="61"/>
  </si>
  <si>
    <t>CL0222-4567-8-91</t>
    <phoneticPr fontId="61"/>
  </si>
  <si>
    <t>CL0222-4567-8-92</t>
    <phoneticPr fontId="61"/>
  </si>
  <si>
    <t>環境証明書申請完了お知らせメール送信</t>
  </si>
  <si>
    <t>「SEML030　環境証明書申請完了お知らせメール」を送信する。</t>
    <phoneticPr fontId="61"/>
  </si>
  <si>
    <t>また、申請者のサイト言語(HrsCustomer.sessionLanguage)に対応するメールテンプレートを使用する。</t>
    <rPh sb="42" eb="44">
      <t>タイオウ</t>
    </rPh>
    <phoneticPr fontId="61"/>
  </si>
  <si>
    <t>■区分値（証明書単位）のセット仕様	
・YES : 申請可能
・Non-compliant : 申請不可
・Request : 別途問合せしてください、の意味
・Contact：既存の問い合わせルートでの申請に促す											
■行（製品単位）のセット仕様：							
・グレー背景色：重複した製品名/CL番号
・赤背景色：システムに製品の該当なし
※画面表示フォーマットは「処理詳細」シートの「■A－１－７－２．製品証明書情報取得処理よりエラーハンドリングフォーマット」を参照する</t>
    <phoneticPr fontId="61"/>
  </si>
  <si>
    <t>非適合の為、提出できません。</t>
    <phoneticPr fontId="57"/>
  </si>
  <si>
    <t>申請確認ダイアログをクローズして、申請処理は実行しない。</t>
    <phoneticPr fontId="57"/>
  </si>
  <si>
    <t>フォーマット
(Format)</t>
    <phoneticPr fontId="13"/>
  </si>
  <si>
    <t>導出元
(Source)</t>
    <rPh sb="0" eb="3">
      <t>ドウシュツモト</t>
    </rPh>
    <phoneticPr fontId="13"/>
  </si>
  <si>
    <t>申請画面のHTTPパラメータ</t>
    <rPh sb="0" eb="4">
      <t>シンセイガメン</t>
    </rPh>
    <phoneticPr fontId="57"/>
  </si>
  <si>
    <t>申請画面からフォーム送信される「提出先企業名」パラメータの値</t>
    <phoneticPr fontId="61"/>
  </si>
  <si>
    <t>処理項目：項番1参照</t>
    <phoneticPr fontId="57"/>
  </si>
  <si>
    <t>ダウンロードCSV</t>
    <phoneticPr fontId="13"/>
  </si>
  <si>
    <t xml:space="preserve">化学物質データ申請確認画面で「CSVダウンロード」ボタンを押下すると該当するファイルを生成する
</t>
    <rPh sb="0" eb="2">
      <t>カガク</t>
    </rPh>
    <rPh sb="2" eb="4">
      <t>ブッシツ</t>
    </rPh>
    <rPh sb="7" eb="9">
      <t>シンセイ</t>
    </rPh>
    <rPh sb="9" eb="11">
      <t>カクニン</t>
    </rPh>
    <rPh sb="11" eb="13">
      <t>ガメン</t>
    </rPh>
    <rPh sb="29" eb="31">
      <t>オウカ</t>
    </rPh>
    <rPh sb="34" eb="36">
      <t>ガイトウ</t>
    </rPh>
    <rPh sb="43" eb="45">
      <t>セイセイ</t>
    </rPh>
    <phoneticPr fontId="61"/>
  </si>
  <si>
    <t>◆出力項目について</t>
    <rPh sb="1" eb="3">
      <t>シュツリョク</t>
    </rPh>
    <rPh sb="3" eb="5">
      <t>コウモク</t>
    </rPh>
    <phoneticPr fontId="61"/>
  </si>
  <si>
    <t>■RoHS、ハロゲンフリー、成分表、JAMP、SDS、chemSHERPA、SVHC調査報告書を申請する場合</t>
    <phoneticPr fontId="61"/>
  </si>
  <si>
    <t>例：</t>
    <rPh sb="0" eb="1">
      <t>レイ</t>
    </rPh>
    <phoneticPr fontId="61"/>
  </si>
  <si>
    <t>Part No</t>
    <phoneticPr fontId="61"/>
  </si>
  <si>
    <t>New Product Class</t>
    <phoneticPr fontId="61"/>
  </si>
  <si>
    <t>Product Sales Status Class</t>
    <phoneticPr fontId="61"/>
  </si>
  <si>
    <t>PCN No</t>
    <phoneticPr fontId="61"/>
  </si>
  <si>
    <t>CL check</t>
  </si>
  <si>
    <t>Name of company to be submitted</t>
    <phoneticPr fontId="61"/>
  </si>
  <si>
    <t>End customer</t>
  </si>
  <si>
    <t>Certificate of RoHS Conformity</t>
  </si>
  <si>
    <t>Certificate of Halogen Free</t>
  </si>
  <si>
    <t>Product Chemical Substances Table</t>
  </si>
  <si>
    <t>JAMP AIS</t>
  </si>
  <si>
    <t>SDS</t>
  </si>
  <si>
    <t>chemSHERPA</t>
  </si>
  <si>
    <t>SVHC</t>
    <phoneticPr fontId="61"/>
  </si>
  <si>
    <t>NameA</t>
    <phoneticPr fontId="61"/>
  </si>
  <si>
    <t>CL0123-4567-8-90</t>
  </si>
  <si>
    <t>オリジナル</t>
    <phoneticPr fontId="61"/>
  </si>
  <si>
    <t>生産終了予定品</t>
    <phoneticPr fontId="61"/>
  </si>
  <si>
    <t>2024-01</t>
    <phoneticPr fontId="61"/>
  </si>
  <si>
    <t>B社</t>
    <rPh sb="1" eb="2">
      <t>シャ</t>
    </rPh>
    <phoneticPr fontId="61"/>
  </si>
  <si>
    <t>A社</t>
  </si>
  <si>
    <t>YES</t>
    <phoneticPr fontId="61"/>
  </si>
  <si>
    <t>YES</t>
  </si>
  <si>
    <t>重複</t>
    <phoneticPr fontId="61"/>
  </si>
  <si>
    <t>NameB</t>
    <phoneticPr fontId="61"/>
  </si>
  <si>
    <t>CL0123-4567-8-91</t>
  </si>
  <si>
    <t>オリジナル(特定社)</t>
    <phoneticPr fontId="61"/>
  </si>
  <si>
    <t>生産終了品</t>
    <phoneticPr fontId="61"/>
  </si>
  <si>
    <t>2023-12</t>
    <phoneticPr fontId="61"/>
  </si>
  <si>
    <t>Non-compliant</t>
  </si>
  <si>
    <t>Request</t>
  </si>
  <si>
    <t>NameC</t>
    <phoneticPr fontId="61"/>
  </si>
  <si>
    <t>CL0123-4567-8-92</t>
  </si>
  <si>
    <t>カスタム(他社販売可)</t>
    <phoneticPr fontId="61"/>
  </si>
  <si>
    <t>新規設計非推奨</t>
    <phoneticPr fontId="61"/>
  </si>
  <si>
    <t>NameE</t>
    <phoneticPr fontId="61"/>
  </si>
  <si>
    <t>CL0123-4567-8-94</t>
    <phoneticPr fontId="61"/>
  </si>
  <si>
    <t>カスタム(他社販売不可)</t>
    <phoneticPr fontId="61"/>
  </si>
  <si>
    <t>販売品</t>
    <rPh sb="0" eb="2">
      <t>ハンバイ</t>
    </rPh>
    <rPh sb="2" eb="3">
      <t>ヒン</t>
    </rPh>
    <phoneticPr fontId="61"/>
  </si>
  <si>
    <t>CL0123-4567-8-96</t>
    <phoneticPr fontId="61"/>
  </si>
  <si>
    <t>該当なし</t>
  </si>
  <si>
    <t>■RoHS、ハロゲンフリー、成分表、JAMPを申請する場合</t>
    <phoneticPr fontId="61"/>
  </si>
  <si>
    <t>重複</t>
  </si>
  <si>
    <t>※</t>
    <phoneticPr fontId="61"/>
  </si>
  <si>
    <t>①該当するCSVの内容は画面で表示されるCL製品一覧の項目＋上記の点線で囲まれた項目である。</t>
    <rPh sb="1" eb="3">
      <t>ガイトウ</t>
    </rPh>
    <rPh sb="9" eb="11">
      <t>ナイヨウ</t>
    </rPh>
    <rPh sb="12" eb="14">
      <t>ガメン</t>
    </rPh>
    <rPh sb="15" eb="17">
      <t>ヒョウジ</t>
    </rPh>
    <rPh sb="22" eb="24">
      <t>セイヒン</t>
    </rPh>
    <rPh sb="24" eb="26">
      <t>イチラン</t>
    </rPh>
    <rPh sb="27" eb="29">
      <t>コウモク</t>
    </rPh>
    <rPh sb="30" eb="32">
      <t>ジョウキ</t>
    </rPh>
    <rPh sb="33" eb="35">
      <t>テンセン</t>
    </rPh>
    <rPh sb="36" eb="37">
      <t>カコ</t>
    </rPh>
    <rPh sb="40" eb="42">
      <t>コウモク</t>
    </rPh>
    <phoneticPr fontId="61"/>
  </si>
  <si>
    <t>②画面でチェックボックスを選択してないデータ、重複したデータまたはNon-compliantのデータもすべて出力される。</t>
    <phoneticPr fontId="61"/>
  </si>
  <si>
    <t>③製品名の昇順、CLコードの昇順（値がない場合は末尾）にて出力する（当画面の表示順と同じ仕様にする）</t>
    <rPh sb="1" eb="4">
      <t>セイヒンメイ</t>
    </rPh>
    <rPh sb="5" eb="7">
      <t>ショウジュン</t>
    </rPh>
    <rPh sb="14" eb="16">
      <t>ショウジュン</t>
    </rPh>
    <rPh sb="17" eb="18">
      <t>アタイ</t>
    </rPh>
    <rPh sb="21" eb="23">
      <t>バアイ</t>
    </rPh>
    <rPh sb="24" eb="26">
      <t>マツビ</t>
    </rPh>
    <rPh sb="29" eb="31">
      <t>シュツリョク</t>
    </rPh>
    <rPh sb="34" eb="35">
      <t>トウ</t>
    </rPh>
    <rPh sb="35" eb="37">
      <t>ガメン</t>
    </rPh>
    <rPh sb="38" eb="40">
      <t>ヒョウジ</t>
    </rPh>
    <rPh sb="40" eb="41">
      <t>ジュン</t>
    </rPh>
    <rPh sb="44" eb="46">
      <t>シヨウ</t>
    </rPh>
    <phoneticPr fontId="61"/>
  </si>
  <si>
    <r>
      <t>④画面から引き渡されているCLコード、</t>
    </r>
    <r>
      <rPr>
        <sz val="11"/>
        <color rgb="FFFF0000"/>
        <rFont val="Meiryo UI"/>
        <family val="3"/>
        <charset val="128"/>
      </rPr>
      <t>提出先企業名</t>
    </r>
    <r>
      <rPr>
        <sz val="11"/>
        <rFont val="Meiryo UI"/>
        <family val="3"/>
        <charset val="128"/>
      </rPr>
      <t>、エンドユーザーなどの項目以外について（詳細は別ブック「SERP110_帳票定義書_環境証明書申請製品一覧.xlsx」を参照）、「CSV DOWNLOAD」ボタン押下時に再度出力内容を取得している。</t>
    </r>
    <rPh sb="1" eb="3">
      <t>ガメン</t>
    </rPh>
    <rPh sb="5" eb="6">
      <t>ヒ</t>
    </rPh>
    <rPh sb="7" eb="8">
      <t>ワタ</t>
    </rPh>
    <rPh sb="19" eb="21">
      <t>テイシュツ</t>
    </rPh>
    <rPh sb="21" eb="22">
      <t>サキ</t>
    </rPh>
    <rPh sb="22" eb="24">
      <t>キギョウ</t>
    </rPh>
    <rPh sb="24" eb="25">
      <t>メイ</t>
    </rPh>
    <rPh sb="36" eb="38">
      <t>コウモク</t>
    </rPh>
    <rPh sb="38" eb="40">
      <t>イガイ</t>
    </rPh>
    <rPh sb="45" eb="47">
      <t>ショウサイ</t>
    </rPh>
    <phoneticPr fontId="61"/>
  </si>
  <si>
    <t>テーブル</t>
    <phoneticPr fontId="61"/>
  </si>
  <si>
    <t>申請製品情報マスタに存在する</t>
  </si>
  <si>
    <t>申請製品情報マスタに存在しない</t>
  </si>
  <si>
    <t>version</t>
    <phoneticPr fontId="61"/>
  </si>
  <si>
    <t>バージョン</t>
    <phoneticPr fontId="61"/>
  </si>
  <si>
    <t>出力編集仕様</t>
    <rPh sb="0" eb="2">
      <t>シュツリョク</t>
    </rPh>
    <rPh sb="2" eb="4">
      <t>ヘンシュウ</t>
    </rPh>
    <rPh sb="4" eb="6">
      <t>シヨウ</t>
    </rPh>
    <phoneticPr fontId="13"/>
  </si>
  <si>
    <t>化学物質データの環境証明書申請内容をデータベースに登録する。</t>
    <rPh sb="0" eb="2">
      <t>カガク</t>
    </rPh>
    <rPh sb="2" eb="4">
      <t>ブッシツ</t>
    </rPh>
    <rPh sb="8" eb="10">
      <t>カンキョウ</t>
    </rPh>
    <rPh sb="10" eb="13">
      <t>ショウメイショ</t>
    </rPh>
    <rPh sb="13" eb="15">
      <t>シンセイ</t>
    </rPh>
    <rPh sb="15" eb="17">
      <t>ナイヨウ</t>
    </rPh>
    <rPh sb="25" eb="27">
      <t>トウロク</t>
    </rPh>
    <phoneticPr fontId="61"/>
  </si>
  <si>
    <t>タイプ</t>
    <phoneticPr fontId="13"/>
  </si>
  <si>
    <t>説明</t>
    <rPh sb="0" eb="2">
      <t>セツメイ</t>
    </rPh>
    <phoneticPr fontId="13"/>
  </si>
  <si>
    <t>申請ボタンを押下する時
INSERT（UPDATEは発生しない）</t>
    <rPh sb="0" eb="2">
      <t>シンセイ</t>
    </rPh>
    <rPh sb="6" eb="8">
      <t>オウカ</t>
    </rPh>
    <rPh sb="10" eb="11">
      <t>ジ</t>
    </rPh>
    <rPh sb="26" eb="28">
      <t>ハッセイ</t>
    </rPh>
    <phoneticPr fontId="61"/>
  </si>
  <si>
    <t>備考</t>
    <phoneticPr fontId="61"/>
  </si>
  <si>
    <t>暦年と5桁の追番の間にハイフン（例：2018-00001）
※追番はhybrisのGeneratorの機構で生成する値（hrsChemicalSubstanceAppNoSeq）</t>
    <rPh sb="16" eb="17">
      <t>レイ</t>
    </rPh>
    <phoneticPr fontId="61"/>
  </si>
  <si>
    <t>画面項目の2.8毎に処理</t>
    <rPh sb="8" eb="9">
      <t>ゴト</t>
    </rPh>
    <rPh sb="10" eb="12">
      <t>ショリ</t>
    </rPh>
    <phoneticPr fontId="61"/>
  </si>
  <si>
    <t>ログインユーザのHrsCustomer.uid</t>
    <phoneticPr fontId="61"/>
  </si>
  <si>
    <t>システムの日付</t>
    <rPh sb="5" eb="7">
      <t>ヒヅケ</t>
    </rPh>
    <phoneticPr fontId="61"/>
  </si>
  <si>
    <t>画面項目の2.3</t>
    <rPh sb="0" eb="2">
      <t>ガメン</t>
    </rPh>
    <rPh sb="2" eb="4">
      <t>コウモク</t>
    </rPh>
    <phoneticPr fontId="61"/>
  </si>
  <si>
    <t>画面.エンドユーザ</t>
    <phoneticPr fontId="61"/>
  </si>
  <si>
    <t>画面項目の2.4</t>
    <phoneticPr fontId="61"/>
  </si>
  <si>
    <t>未処理（ChemicalSubstanceStatus.unprocessed）</t>
    <rPh sb="0" eb="1">
      <t>ミ</t>
    </rPh>
    <rPh sb="1" eb="3">
      <t>ショリ</t>
    </rPh>
    <phoneticPr fontId="61"/>
  </si>
  <si>
    <t>申請ファイル取り込みバッチで更新できる</t>
    <rPh sb="14" eb="16">
      <t>コウシン</t>
    </rPh>
    <phoneticPr fontId="61"/>
  </si>
  <si>
    <t>申請ファイル取り込みバッチで更新する</t>
    <rPh sb="14" eb="16">
      <t>コウシン</t>
    </rPh>
    <phoneticPr fontId="61"/>
  </si>
  <si>
    <t>同上</t>
    <rPh sb="0" eb="2">
      <t>ドウジョウ</t>
    </rPh>
    <phoneticPr fontId="61"/>
  </si>
  <si>
    <t>※1</t>
    <phoneticPr fontId="61"/>
  </si>
  <si>
    <t>登録対象の言語は画面で選択可能な7言語（英語、日本語、韓国語、中国語、フランス語、ドイツ語、ロシア語）</t>
    <phoneticPr fontId="61"/>
  </si>
  <si>
    <t>基本的に、登録元の「製品マスター情報.新製品区分」にはGPDMから連携された言語のみ値が設定されている想定</t>
    <rPh sb="0" eb="3">
      <t>キホンテキ</t>
    </rPh>
    <rPh sb="5" eb="7">
      <t>トウロク</t>
    </rPh>
    <rPh sb="7" eb="8">
      <t>モト</t>
    </rPh>
    <rPh sb="33" eb="35">
      <t>レンケイ</t>
    </rPh>
    <rPh sb="38" eb="40">
      <t>ゲンゴ</t>
    </rPh>
    <rPh sb="42" eb="43">
      <t>アタイ</t>
    </rPh>
    <rPh sb="44" eb="46">
      <t>セッテイ</t>
    </rPh>
    <rPh sb="51" eb="53">
      <t>ソウテイ</t>
    </rPh>
    <phoneticPr fontId="61"/>
  </si>
  <si>
    <t>値が設定されていない言語の場合は、英語の値（フォールバック値）を設定（該当言語の内容に翻訳などはしない）</t>
    <rPh sb="0" eb="1">
      <t>アタイ</t>
    </rPh>
    <rPh sb="2" eb="4">
      <t>セッテイ</t>
    </rPh>
    <rPh sb="10" eb="12">
      <t>ゲンゴ</t>
    </rPh>
    <rPh sb="13" eb="15">
      <t>バアイ</t>
    </rPh>
    <rPh sb="17" eb="19">
      <t>エイゴ</t>
    </rPh>
    <rPh sb="20" eb="21">
      <t>アタイ</t>
    </rPh>
    <rPh sb="29" eb="30">
      <t>チ</t>
    </rPh>
    <rPh sb="32" eb="34">
      <t>セッテイ</t>
    </rPh>
    <rPh sb="35" eb="37">
      <t>ガイトウ</t>
    </rPh>
    <rPh sb="37" eb="39">
      <t>ゲンゴ</t>
    </rPh>
    <rPh sb="40" eb="42">
      <t>ナイヨウ</t>
    </rPh>
    <rPh sb="43" eb="45">
      <t>ホンヤク</t>
    </rPh>
    <phoneticPr fontId="61"/>
  </si>
  <si>
    <t>証明書申請テーブル, 証明書申請入力テーブル</t>
    <rPh sb="0" eb="5">
      <t>ショウメイショシンセイ</t>
    </rPh>
    <rPh sb="11" eb="18">
      <t>ショウメイショシンセイニュウリョク</t>
    </rPh>
    <phoneticPr fontId="61"/>
  </si>
  <si>
    <t>受付番号</t>
    <rPh sb="0" eb="4">
      <t>ウケツケバンゴウ</t>
    </rPh>
    <phoneticPr fontId="61"/>
  </si>
  <si>
    <t>ステータス</t>
    <phoneticPr fontId="61"/>
  </si>
  <si>
    <t>ファイルサイズ</t>
    <phoneticPr fontId="61"/>
  </si>
  <si>
    <t>１－１．画面初期表示について</t>
    <rPh sb="4" eb="6">
      <t>ガメン</t>
    </rPh>
    <rPh sb="6" eb="8">
      <t>ショキ</t>
    </rPh>
    <rPh sb="8" eb="10">
      <t>ヒョウジ</t>
    </rPh>
    <phoneticPr fontId="13"/>
  </si>
  <si>
    <t>１－１－１．</t>
    <phoneticPr fontId="61"/>
  </si>
  <si>
    <t>１－１－２．</t>
  </si>
  <si>
    <t>■１－１－２－１．申請製品情報マスタ（HrsChemicalSubstanceProduct）</t>
  </si>
  <si>
    <t>■１－１－２－２．取得した製品照明書の情報と画面表示のマッピング</t>
    <rPh sb="9" eb="11">
      <t>シュトク</t>
    </rPh>
    <rPh sb="13" eb="15">
      <t>セイヒン</t>
    </rPh>
    <rPh sb="15" eb="17">
      <t>ショウメイ</t>
    </rPh>
    <rPh sb="17" eb="18">
      <t>ショ</t>
    </rPh>
    <rPh sb="19" eb="21">
      <t>ジョウホウ</t>
    </rPh>
    <rPh sb="22" eb="24">
      <t>ガメン</t>
    </rPh>
    <rPh sb="24" eb="26">
      <t>ヒョウジ</t>
    </rPh>
    <phoneticPr fontId="13"/>
  </si>
  <si>
    <t>１－１－３．</t>
  </si>
  <si>
    <t>・１－１－２．で環境証明書申請製品情報を取得できた場合</t>
    <rPh sb="8" eb="10">
      <t>カンキョウ</t>
    </rPh>
    <rPh sb="10" eb="13">
      <t>ショウメイショ</t>
    </rPh>
    <rPh sb="13" eb="15">
      <t>シンセイ</t>
    </rPh>
    <rPh sb="15" eb="17">
      <t>セイヒン</t>
    </rPh>
    <rPh sb="17" eb="19">
      <t>ジョウホウ</t>
    </rPh>
    <rPh sb="20" eb="22">
      <t>シュトク</t>
    </rPh>
    <rPh sb="25" eb="27">
      <t>バアイ</t>
    </rPh>
    <phoneticPr fontId="61"/>
  </si>
  <si>
    <t>・１－１－２．で環境証明書申請製品情報を取得できなかった場合</t>
    <rPh sb="8" eb="10">
      <t>カンキョウ</t>
    </rPh>
    <rPh sb="10" eb="13">
      <t>ショウメイショ</t>
    </rPh>
    <rPh sb="13" eb="15">
      <t>シンセイ</t>
    </rPh>
    <rPh sb="15" eb="17">
      <t>セイヒン</t>
    </rPh>
    <rPh sb="17" eb="19">
      <t>ジョウホウ</t>
    </rPh>
    <rPh sb="20" eb="22">
      <t>シュトク</t>
    </rPh>
    <rPh sb="28" eb="30">
      <t>バアイ</t>
    </rPh>
    <phoneticPr fontId="61"/>
  </si>
  <si>
    <t>１－１－７．申請可能チェック結果取得</t>
  </si>
  <si>
    <t>■１－１－７－１．判断結果より処理について</t>
    <rPh sb="9" eb="11">
      <t>ハンダン</t>
    </rPh>
    <rPh sb="11" eb="13">
      <t>ケッカ</t>
    </rPh>
    <rPh sb="15" eb="17">
      <t>ショリ</t>
    </rPh>
    <phoneticPr fontId="13"/>
  </si>
  <si>
    <t>１－１－４．CLコードより一致する製品証明書の情報を取得　まで処理結果</t>
    <rPh sb="13" eb="15">
      <t>イッチ</t>
    </rPh>
    <rPh sb="17" eb="19">
      <t>セイヒン</t>
    </rPh>
    <rPh sb="19" eb="22">
      <t>ショウメイショ</t>
    </rPh>
    <rPh sb="23" eb="25">
      <t>ジョウホウ</t>
    </rPh>
    <rPh sb="26" eb="28">
      <t>シュトク</t>
    </rPh>
    <rPh sb="31" eb="33">
      <t>ショリ</t>
    </rPh>
    <rPh sb="33" eb="35">
      <t>ケッカ</t>
    </rPh>
    <phoneticPr fontId="61"/>
  </si>
  <si>
    <t>１－１－６．申請可能チェック結果OK</t>
  </si>
  <si>
    <t>１－１－６．申請可能チェック結果NG</t>
    <rPh sb="6" eb="8">
      <t>シンセイ</t>
    </rPh>
    <rPh sb="8" eb="10">
      <t>カノウ</t>
    </rPh>
    <rPh sb="14" eb="16">
      <t>ケッカ</t>
    </rPh>
    <phoneticPr fontId="61"/>
  </si>
  <si>
    <t>■１－１－７－２．製品証明書情報取得処理よりエラーハンドリングフォーマット</t>
    <rPh sb="9" eb="11">
      <t>セイヒン</t>
    </rPh>
    <rPh sb="11" eb="14">
      <t>ショウメイショ</t>
    </rPh>
    <rPh sb="14" eb="16">
      <t>ジョウホウ</t>
    </rPh>
    <rPh sb="16" eb="18">
      <t>シュトク</t>
    </rPh>
    <rPh sb="18" eb="20">
      <t>ショリ</t>
    </rPh>
    <phoneticPr fontId="13"/>
  </si>
  <si>
    <t>※対応するデータ情報の取得について、「２－１－２．製品名/CLコードより証明書の情報取得 」を参照する</t>
    <rPh sb="1" eb="3">
      <t>タイオウ</t>
    </rPh>
    <rPh sb="8" eb="10">
      <t>ジョウホウ</t>
    </rPh>
    <rPh sb="11" eb="13">
      <t>シュトク</t>
    </rPh>
    <rPh sb="25" eb="28">
      <t>セイヒンメイ</t>
    </rPh>
    <rPh sb="47" eb="49">
      <t>サンショウ</t>
    </rPh>
    <phoneticPr fontId="61"/>
  </si>
  <si>
    <t>２－１．CSVダウンロードについて</t>
    <phoneticPr fontId="57"/>
  </si>
  <si>
    <t>■２－１－１ダウンロードCSVファイルのフォーマット</t>
    <phoneticPr fontId="57"/>
  </si>
  <si>
    <t>■２－１－２データ情報取得</t>
    <rPh sb="9" eb="11">
      <t>ジョウホウ</t>
    </rPh>
    <rPh sb="11" eb="13">
      <t>シュトク</t>
    </rPh>
    <phoneticPr fontId="61"/>
  </si>
  <si>
    <t>■２－１－３取得した製品証明書の情報とダウンロードCSV項目のマッピング</t>
    <rPh sb="6" eb="8">
      <t>シュトク</t>
    </rPh>
    <rPh sb="10" eb="12">
      <t>セイヒン</t>
    </rPh>
    <rPh sb="12" eb="15">
      <t>ショウメイショ</t>
    </rPh>
    <rPh sb="16" eb="18">
      <t>ジョウホウ</t>
    </rPh>
    <rPh sb="28" eb="30">
      <t>コウモク</t>
    </rPh>
    <phoneticPr fontId="13"/>
  </si>
  <si>
    <t>■２－１－４取得した製品マスターの情報と画面表示のマッピング</t>
    <rPh sb="6" eb="8">
      <t>シュトク</t>
    </rPh>
    <rPh sb="10" eb="12">
      <t>セイヒン</t>
    </rPh>
    <rPh sb="17" eb="19">
      <t>ジョウホウ</t>
    </rPh>
    <rPh sb="20" eb="22">
      <t>ガメン</t>
    </rPh>
    <rPh sb="22" eb="24">
      <t>ヒョウジ</t>
    </rPh>
    <phoneticPr fontId="13"/>
  </si>
  <si>
    <t>３－１．申請について</t>
    <rPh sb="4" eb="6">
      <t>シンセイ</t>
    </rPh>
    <phoneticPr fontId="13"/>
  </si>
  <si>
    <t>３－１－１．</t>
    <phoneticPr fontId="61"/>
  </si>
  <si>
    <t>３－１－２．</t>
    <phoneticPr fontId="61"/>
  </si>
  <si>
    <t>送信トリガー</t>
    <rPh sb="0" eb="2">
      <t>ソウシン</t>
    </rPh>
    <phoneticPr fontId="61"/>
  </si>
  <si>
    <t>申請確認ダイアログで「はい」ボタン押下時</t>
    <rPh sb="0" eb="4">
      <t>シンセイカクニン</t>
    </rPh>
    <rPh sb="17" eb="20">
      <t>オウカジ</t>
    </rPh>
    <phoneticPr fontId="61"/>
  </si>
  <si>
    <t>4－1－1．</t>
    <phoneticPr fontId="61"/>
  </si>
  <si>
    <t>①送信トリガー</t>
    <rPh sb="1" eb="3">
      <t>ソウシン</t>
    </rPh>
    <phoneticPr fontId="57"/>
  </si>
  <si>
    <t>②メールヘッダー定義</t>
    <rPh sb="8" eb="10">
      <t>テイギ</t>
    </rPh>
    <phoneticPr fontId="57"/>
  </si>
  <si>
    <t>設定内容</t>
    <rPh sb="0" eb="4">
      <t>セッテイナイヨウ</t>
    </rPh>
    <phoneticPr fontId="61"/>
  </si>
  <si>
    <t>From</t>
    <phoneticPr fontId="61"/>
  </si>
  <si>
    <t>To</t>
    <phoneticPr fontId="61"/>
  </si>
  <si>
    <t>GM_no-reply@hirose.com</t>
    <phoneticPr fontId="61"/>
  </si>
  <si>
    <t>user@mail.com</t>
    <phoneticPr fontId="61"/>
  </si>
  <si>
    <t>既存項目の「AIS」は本改修で削除</t>
    <rPh sb="0" eb="4">
      <t>キソンコウモク</t>
    </rPh>
    <rPh sb="11" eb="14">
      <t>ホンカイシュウ</t>
    </rPh>
    <rPh sb="15" eb="17">
      <t>サクジョ</t>
    </rPh>
    <phoneticPr fontId="57"/>
  </si>
  <si>
    <t>0</t>
    <phoneticPr fontId="57"/>
  </si>
  <si>
    <t>共通ヘッダー</t>
    <rPh sb="0" eb="2">
      <t>キョウツウ</t>
    </rPh>
    <phoneticPr fontId="57"/>
  </si>
  <si>
    <t>0.1</t>
    <phoneticPr fontId="57"/>
  </si>
  <si>
    <t>ヒロセ電機ロゴ</t>
    <rPh sb="3" eb="5">
      <t>デンキ</t>
    </rPh>
    <phoneticPr fontId="57"/>
  </si>
  <si>
    <t>2.申請確認エリア</t>
    <rPh sb="2" eb="6">
      <t>シンセイカクニン</t>
    </rPh>
    <phoneticPr fontId="57"/>
  </si>
  <si>
    <t xml:space="preserve">   申請内容に不備があった場合のエラーメッセージは</t>
    <rPh sb="3" eb="7">
      <t>シンセイナイヨウ</t>
    </rPh>
    <rPh sb="8" eb="10">
      <t>フビ</t>
    </rPh>
    <rPh sb="14" eb="16">
      <t>バアイ</t>
    </rPh>
    <phoneticPr fontId="57"/>
  </si>
  <si>
    <t xml:space="preserve">   ポップアップで表示</t>
    <rPh sb="10" eb="12">
      <t>ヒョウジ</t>
    </rPh>
    <phoneticPr fontId="57"/>
  </si>
  <si>
    <t>「化学物質データ申請確認画面」シート、「処理詳細」シート</t>
    <rPh sb="20" eb="24">
      <t>ショリショウサイ</t>
    </rPh>
    <phoneticPr fontId="51"/>
  </si>
  <si>
    <t>・エラーメッセージエリアを削除
・共通ヘッダーを追加
・処理詳細のフロー図で不要個所をグレーアウト</t>
    <rPh sb="13" eb="15">
      <t>サクジョ</t>
    </rPh>
    <rPh sb="17" eb="19">
      <t>キョウツウ</t>
    </rPh>
    <rPh sb="24" eb="26">
      <t>ツイカ</t>
    </rPh>
    <rPh sb="28" eb="32">
      <t>ショリショウサイ</t>
    </rPh>
    <rPh sb="36" eb="37">
      <t>ズ</t>
    </rPh>
    <rPh sb="38" eb="42">
      <t>フヨウカショ</t>
    </rPh>
    <phoneticPr fontId="51"/>
  </si>
  <si>
    <t>「化学物質データ画面」～「化学物質データ申請完了画面」共通
ロゴを押下するとヒロセ電機HPトップページに遷移する。</t>
    <rPh sb="1" eb="3">
      <t>カガク</t>
    </rPh>
    <rPh sb="3" eb="5">
      <t>ブッシツ</t>
    </rPh>
    <rPh sb="8" eb="10">
      <t>ガメン</t>
    </rPh>
    <rPh sb="13" eb="15">
      <t>カガク</t>
    </rPh>
    <rPh sb="15" eb="17">
      <t>ブッシツ</t>
    </rPh>
    <rPh sb="20" eb="22">
      <t>シンセイ</t>
    </rPh>
    <rPh sb="22" eb="24">
      <t>カンリョウ</t>
    </rPh>
    <rPh sb="24" eb="26">
      <t>ガメン</t>
    </rPh>
    <rPh sb="27" eb="29">
      <t>キョウツウ</t>
    </rPh>
    <rPh sb="33" eb="35">
      <t>オウカ</t>
    </rPh>
    <rPh sb="41" eb="43">
      <t>デンキ</t>
    </rPh>
    <rPh sb="52" eb="54">
      <t>センイ</t>
    </rPh>
    <phoneticPr fontId="57"/>
  </si>
  <si>
    <t>dr1.0</t>
  </si>
  <si>
    <t>dr1.1</t>
  </si>
  <si>
    <t>dr1.2</t>
  </si>
  <si>
    <t>dr1.3</t>
  </si>
  <si>
    <t>dr1.4</t>
    <phoneticPr fontId="51"/>
  </si>
  <si>
    <t>「化学物質データ申請確認画面」シート</t>
  </si>
  <si>
    <t>「画面項目」シート</t>
    <phoneticPr fontId="51"/>
  </si>
  <si>
    <t>申請可能製品情報マスタ 製品名</t>
    <rPh sb="0" eb="2">
      <t>シンセイ</t>
    </rPh>
    <rPh sb="2" eb="4">
      <t>カノウ</t>
    </rPh>
    <rPh sb="4" eb="6">
      <t>セイヒン</t>
    </rPh>
    <rPh sb="6" eb="8">
      <t>ジョウホウ</t>
    </rPh>
    <rPh sb="12" eb="15">
      <t>セイヒンメイ</t>
    </rPh>
    <phoneticPr fontId="57"/>
  </si>
  <si>
    <t>申請可能製品情報マスタ CLコード</t>
    <rPh sb="0" eb="2">
      <t>シンセイ</t>
    </rPh>
    <rPh sb="2" eb="4">
      <t>カノウ</t>
    </rPh>
    <rPh sb="4" eb="6">
      <t>セイヒン</t>
    </rPh>
    <rPh sb="6" eb="8">
      <t>ジョウホウ</t>
    </rPh>
    <phoneticPr fontId="57"/>
  </si>
  <si>
    <t>・HRSロゴとパンくずリストのリンクを押下した際の遷移先を修正
・テーブル情報変更に伴い修正</t>
    <rPh sb="37" eb="41">
      <t>ジョウホウヘンコウ</t>
    </rPh>
    <phoneticPr fontId="13"/>
  </si>
  <si>
    <t>新環境証明書システム</t>
    <rPh sb="0" eb="6">
      <t>シンカンキョウショウメイショ</t>
    </rPh>
    <phoneticPr fontId="14"/>
  </si>
  <si>
    <t>新環境証明書システム移行</t>
    <rPh sb="0" eb="6">
      <t>シンカンキョウショウメイショ</t>
    </rPh>
    <rPh sb="10" eb="12">
      <t>イコウ</t>
    </rPh>
    <phoneticPr fontId="51"/>
  </si>
  <si>
    <t>2.12</t>
  </si>
  <si>
    <t>2.13</t>
  </si>
  <si>
    <t>2.14</t>
  </si>
  <si>
    <t>2.15</t>
  </si>
  <si>
    <t>申請テーブル</t>
    <rPh sb="0" eb="2">
      <t>シンセイ</t>
    </rPh>
    <phoneticPr fontId="61"/>
  </si>
  <si>
    <t>申請可能製品情報マスタ CLコード=入力リスト.製品名/CLコード　※1</t>
    <rPh sb="0" eb="2">
      <t>シンセイ</t>
    </rPh>
    <rPh sb="2" eb="4">
      <t>カノウ</t>
    </rPh>
    <rPh sb="4" eb="6">
      <t>セイヒン</t>
    </rPh>
    <rPh sb="6" eb="8">
      <t>ジョウホウ</t>
    </rPh>
    <rPh sb="18" eb="20">
      <t>ニュウリョク</t>
    </rPh>
    <rPh sb="24" eb="27">
      <t>セイヒンメイ</t>
    </rPh>
    <phoneticPr fontId="61"/>
  </si>
  <si>
    <t>申請可能製品情報マスタ 製品名=入力リスト.製品名/CLコード　※2</t>
    <rPh sb="0" eb="2">
      <t>シンセイ</t>
    </rPh>
    <rPh sb="2" eb="4">
      <t>カノウ</t>
    </rPh>
    <rPh sb="4" eb="6">
      <t>セイヒン</t>
    </rPh>
    <rPh sb="6" eb="8">
      <t>ジョウホウ</t>
    </rPh>
    <rPh sb="12" eb="15">
      <t>セイヒンメイ</t>
    </rPh>
    <rPh sb="16" eb="18">
      <t>ニュウリョク</t>
    </rPh>
    <rPh sb="22" eb="25">
      <t>セイヒンメイ</t>
    </rPh>
    <phoneticPr fontId="61"/>
  </si>
  <si>
    <t>CLが重複する</t>
    <phoneticPr fontId="61"/>
  </si>
  <si>
    <t>※対応するデータ情報の取得について、「２－１－５．製品名/CLコードより申請可能製品情報マスター情報取得 」を参照する</t>
    <rPh sb="1" eb="3">
      <t>タイオウ</t>
    </rPh>
    <rPh sb="8" eb="10">
      <t>ジョウホウ</t>
    </rPh>
    <rPh sb="11" eb="13">
      <t>シュトク</t>
    </rPh>
    <rPh sb="36" eb="40">
      <t>シンセイカノウ</t>
    </rPh>
    <rPh sb="40" eb="44">
      <t>セイヒンジョウホウ</t>
    </rPh>
    <rPh sb="55" eb="57">
      <t>サンショウ</t>
    </rPh>
    <phoneticPr fontId="61"/>
  </si>
  <si>
    <t>申請製品 申請ID</t>
    <rPh sb="0" eb="2">
      <t>シンセイ</t>
    </rPh>
    <rPh sb="2" eb="4">
      <t>セイヒン</t>
    </rPh>
    <rPh sb="5" eb="7">
      <t>シンセイ</t>
    </rPh>
    <phoneticPr fontId="61"/>
  </si>
  <si>
    <t>&lt;HRS:20XX-000XXX&gt;  Chemical substance data application completion/化学物質データ申請完了</t>
    <rPh sb="66" eb="68">
      <t>カガク</t>
    </rPh>
    <rPh sb="68" eb="70">
      <t>ブッシツ</t>
    </rPh>
    <rPh sb="73" eb="75">
      <t>シンセイ</t>
    </rPh>
    <rPh sb="75" eb="77">
      <t>カンリョウ</t>
    </rPh>
    <phoneticPr fontId="61"/>
  </si>
  <si>
    <t>dr1.5</t>
    <phoneticPr fontId="51"/>
  </si>
  <si>
    <t>「化学物質データ申請確認画面」シート、「画面項目」シート、「処理詳細」シート</t>
    <rPh sb="30" eb="34">
      <t>ショリショウサイ</t>
    </rPh>
    <phoneticPr fontId="51"/>
  </si>
  <si>
    <t>課題リストの回答をもとに修正</t>
    <rPh sb="0" eb="2">
      <t>カダイ</t>
    </rPh>
    <rPh sb="6" eb="8">
      <t>カイトウ</t>
    </rPh>
    <rPh sb="12" eb="14">
      <t>シュウセイ</t>
    </rPh>
    <phoneticPr fontId="51"/>
  </si>
  <si>
    <t>エンドユーザ名</t>
    <rPh sb="6" eb="7">
      <t>メイ</t>
    </rPh>
    <phoneticPr fontId="61"/>
  </si>
  <si>
    <t>申請日時</t>
    <rPh sb="0" eb="4">
      <t>シンセイニチジ</t>
    </rPh>
    <phoneticPr fontId="61"/>
  </si>
  <si>
    <t>申請者アカウントID</t>
    <rPh sb="0" eb="3">
      <t>シンセイシャ</t>
    </rPh>
    <phoneticPr fontId="61"/>
  </si>
  <si>
    <t>有効期限</t>
    <rPh sb="0" eb="2">
      <t>ユウコウ</t>
    </rPh>
    <rPh sb="2" eb="4">
      <t>キゲン</t>
    </rPh>
    <phoneticPr fontId="61"/>
  </si>
  <si>
    <t>画面.提出先企業名</t>
    <phoneticPr fontId="61"/>
  </si>
  <si>
    <t>フォルダ数</t>
    <rPh sb="4" eb="5">
      <t>スウ</t>
    </rPh>
    <phoneticPr fontId="61"/>
  </si>
  <si>
    <t>ファイル数</t>
    <rPh sb="4" eb="5">
      <t>スウ</t>
    </rPh>
    <phoneticPr fontId="61"/>
  </si>
  <si>
    <t>ホーム画面: ホーム (リンクなし)</t>
    <phoneticPr fontId="5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</si>
</sst>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#,##0;\-#,##0;&quot;-&quot;"/>
    <numFmt numFmtId="177" formatCode="0.00_)"/>
    <numFmt numFmtId="178" formatCode="#,##0.00;[Red]\(#,##0.00\)"/>
    <numFmt numFmtId="179" formatCode="#,##0.00_);[Red]\(#,##0.00\)"/>
    <numFmt numFmtId="180" formatCode="0.0_);[Red]\(0.0\)"/>
    <numFmt numFmtId="181" formatCode="#,##0.00_ "/>
    <numFmt numFmtId="182" formatCode="#,##0_ "/>
    <numFmt numFmtId="183" formatCode="#,##0_);[Red]\(#,##0\)"/>
    <numFmt numFmtId="184" formatCode="0.0%"/>
    <numFmt numFmtId="185" formatCode="#,##0_ ;[Red]\-#,##0\ "/>
    <numFmt numFmtId="186" formatCode="#,##0.0000_);[Red]\(#,##0.0000\)"/>
    <numFmt numFmtId="187" formatCode="0.0000_);[Red]\(0.0000\)"/>
    <numFmt numFmtId="188" formatCode="#,##0.0000_ "/>
    <numFmt numFmtId="189" formatCode="0.00_);[Red]\(0.00\)"/>
    <numFmt numFmtId="190" formatCode="0.0000_ "/>
    <numFmt numFmtId="191" formatCode="0_);[Red]\(0\)"/>
  </numFmts>
  <fonts count="122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 Black"/>
      <family val="2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12"/>
      <color theme="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9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u/>
      <sz val="9"/>
      <color theme="3" tint="0.3999755851924192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1"/>
      <color theme="0" tint="-0.14999847407452621"/>
      <name val="ＭＳ Ｐゴシック"/>
      <family val="2"/>
      <charset val="128"/>
      <scheme val="minor"/>
    </font>
    <font>
      <sz val="11"/>
      <color rgb="FFFFFF00"/>
      <name val="ＭＳ Ｐゴシック"/>
      <family val="2"/>
      <charset val="128"/>
      <scheme val="minor"/>
    </font>
    <font>
      <b/>
      <sz val="14"/>
      <color theme="0"/>
      <name val="ＭＳ Ｐゴシック"/>
      <family val="3"/>
      <charset val="128"/>
      <scheme val="minor"/>
    </font>
    <font>
      <sz val="10"/>
      <color theme="0" tint="-0.34998626667073579"/>
      <name val="ＭＳ Ｐゴシック"/>
      <family val="3"/>
      <charset val="128"/>
      <scheme val="minor"/>
    </font>
    <font>
      <u/>
      <sz val="10"/>
      <name val="ＭＳ Ｐゴシック"/>
      <family val="3"/>
      <charset val="128"/>
      <scheme val="minor"/>
    </font>
    <font>
      <b/>
      <sz val="10"/>
      <color rgb="FF00B050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u/>
      <sz val="10"/>
      <color rgb="FF0070C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sz val="10"/>
      <color rgb="FF0000FF"/>
      <name val="ＭＳ Ｐゴシック"/>
      <family val="3"/>
      <charset val="128"/>
      <scheme val="minor"/>
    </font>
    <font>
      <strike/>
      <sz val="10"/>
      <color rgb="FFFF0000"/>
      <name val="ＭＳ Ｐゴシック"/>
      <family val="3"/>
      <charset val="128"/>
      <scheme val="minor"/>
    </font>
    <font>
      <b/>
      <sz val="12"/>
      <name val="Arial Black"/>
      <family val="2"/>
    </font>
    <font>
      <sz val="9"/>
      <color indexed="81"/>
      <name val="MS P ゴシック"/>
      <family val="3"/>
      <charset val="128"/>
    </font>
    <font>
      <b/>
      <sz val="10"/>
      <color rgb="FF00B0F0"/>
      <name val="ＭＳ Ｐゴシック"/>
      <family val="3"/>
      <charset val="128"/>
      <scheme val="minor"/>
    </font>
    <font>
      <sz val="10"/>
      <color theme="6" tint="0.39997558519241921"/>
      <name val="ＭＳ Ｐゴシック"/>
      <family val="3"/>
      <charset val="128"/>
      <scheme val="minor"/>
    </font>
    <font>
      <b/>
      <sz val="10"/>
      <color theme="6" tint="0.39997558519241921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u/>
      <sz val="10"/>
      <color theme="1"/>
      <name val="ＭＳ Ｐゴシック"/>
      <family val="3"/>
      <charset val="128"/>
      <scheme val="minor"/>
    </font>
    <font>
      <b/>
      <sz val="10"/>
      <color rgb="FF0000FF"/>
      <name val="ＭＳ Ｐゴシック"/>
      <family val="3"/>
      <charset val="128"/>
      <scheme val="minor"/>
    </font>
    <font>
      <sz val="10"/>
      <color rgb="FF00B050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  <scheme val="minor"/>
    </font>
    <font>
      <sz val="11"/>
      <color rgb="FF0000FF"/>
      <name val="ＭＳ Ｐゴシック"/>
      <family val="3"/>
      <charset val="128"/>
      <scheme val="minor"/>
    </font>
    <font>
      <b/>
      <sz val="9"/>
      <color rgb="FF0000FF"/>
      <name val="ＭＳ Ｐゴシック"/>
      <family val="3"/>
      <charset val="128"/>
      <scheme val="minor"/>
    </font>
    <font>
      <strike/>
      <u/>
      <sz val="10"/>
      <color theme="1"/>
      <name val="ＭＳ Ｐゴシック"/>
      <family val="3"/>
      <charset val="128"/>
      <scheme val="minor"/>
    </font>
    <font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sz val="16"/>
      <name val="Meiryo UI"/>
      <family val="3"/>
      <charset val="128"/>
    </font>
    <font>
      <b/>
      <sz val="10"/>
      <name val="Meiryo UI"/>
      <family val="3"/>
      <charset val="128"/>
    </font>
    <font>
      <sz val="8"/>
      <name val="Meiryo UI"/>
      <family val="3"/>
      <charset val="128"/>
    </font>
    <font>
      <sz val="8"/>
      <color theme="1"/>
      <name val="Meiryo UI"/>
      <family val="3"/>
      <charset val="128"/>
    </font>
    <font>
      <sz val="6"/>
      <name val="Meiryo UI"/>
      <family val="3"/>
      <charset val="128"/>
    </font>
    <font>
      <sz val="6"/>
      <color theme="1"/>
      <name val="Meiryo UI"/>
      <family val="3"/>
      <charset val="128"/>
    </font>
    <font>
      <sz val="10"/>
      <color rgb="FFFF9900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12"/>
      <name val="Meiryo UI"/>
      <family val="3"/>
      <charset val="128"/>
    </font>
    <font>
      <sz val="7.5"/>
      <name val="Meiryo UI"/>
      <family val="3"/>
      <charset val="128"/>
    </font>
    <font>
      <sz val="6.5"/>
      <name val="Meiryo UI"/>
      <family val="3"/>
      <charset val="128"/>
    </font>
    <font>
      <sz val="7"/>
      <name val="Meiryo UI"/>
      <family val="3"/>
      <charset val="128"/>
    </font>
    <font>
      <sz val="5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0.5"/>
      <name val="Calibri"/>
      <family val="2"/>
    </font>
    <font>
      <sz val="10.5"/>
      <name val="ＭＳ Ｐゴシック"/>
      <family val="3"/>
      <charset val="128"/>
      <scheme val="minor"/>
    </font>
    <font>
      <b/>
      <sz val="11"/>
      <name val="ＭＳ Ｐゴシック"/>
      <family val="2"/>
      <charset val="128"/>
      <scheme val="minor"/>
    </font>
    <font>
      <sz val="11"/>
      <color rgb="FFFF0000"/>
      <name val="Meiryo UI"/>
      <family val="3"/>
      <charset val="128"/>
    </font>
  </fonts>
  <fills count="3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6F3F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8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auto="1"/>
      </left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89">
    <xf numFmtId="0" fontId="0" fillId="0" borderId="0">
      <alignment vertical="center"/>
    </xf>
    <xf numFmtId="0" fontId="24" fillId="0" borderId="0"/>
    <xf numFmtId="0" fontId="24" fillId="0" borderId="0"/>
    <xf numFmtId="176" fontId="25" fillId="0" borderId="0" applyFill="0" applyBorder="0" applyAlignment="0"/>
    <xf numFmtId="0" fontId="26" fillId="3" borderId="0">
      <alignment horizontal="left"/>
    </xf>
    <xf numFmtId="0" fontId="27" fillId="3" borderId="0">
      <alignment horizontal="right"/>
    </xf>
    <xf numFmtId="0" fontId="28" fillId="4" borderId="0">
      <alignment horizontal="center"/>
    </xf>
    <xf numFmtId="0" fontId="27" fillId="3" borderId="0">
      <alignment horizontal="right"/>
    </xf>
    <xf numFmtId="0" fontId="28" fillId="4" borderId="0">
      <alignment horizontal="left"/>
    </xf>
    <xf numFmtId="0" fontId="29" fillId="0" borderId="0">
      <alignment horizontal="left"/>
    </xf>
    <xf numFmtId="38" fontId="30" fillId="5" borderId="0" applyNumberFormat="0" applyBorder="0" applyAlignment="0" applyProtection="0"/>
    <xf numFmtId="0" fontId="31" fillId="0" borderId="1" applyNumberFormat="0" applyAlignment="0" applyProtection="0">
      <alignment horizontal="left" vertical="center"/>
    </xf>
    <xf numFmtId="0" fontId="31" fillId="0" borderId="2">
      <alignment horizontal="left" vertical="center"/>
    </xf>
    <xf numFmtId="10" fontId="30" fillId="6" borderId="3" applyNumberFormat="0" applyBorder="0" applyAlignment="0" applyProtection="0"/>
    <xf numFmtId="0" fontId="26" fillId="3" borderId="0">
      <alignment horizontal="left"/>
    </xf>
    <xf numFmtId="0" fontId="32" fillId="4" borderId="0">
      <alignment horizontal="left"/>
    </xf>
    <xf numFmtId="177" fontId="33" fillId="0" borderId="0"/>
    <xf numFmtId="0" fontId="34" fillId="0" borderId="0"/>
    <xf numFmtId="178" fontId="35" fillId="4" borderId="0">
      <alignment horizontal="right"/>
    </xf>
    <xf numFmtId="0" fontId="36" fillId="7" borderId="0">
      <alignment horizontal="center"/>
    </xf>
    <xf numFmtId="0" fontId="37" fillId="8" borderId="0"/>
    <xf numFmtId="0" fontId="38" fillId="4" borderId="0" applyBorder="0">
      <alignment horizontal="centerContinuous"/>
    </xf>
    <xf numFmtId="0" fontId="39" fillId="8" borderId="0" applyBorder="0">
      <alignment horizontal="centerContinuous"/>
    </xf>
    <xf numFmtId="10" fontId="34" fillId="0" borderId="0" applyFont="0" applyFill="0" applyBorder="0" applyAlignment="0" applyProtection="0"/>
    <xf numFmtId="4" fontId="29" fillId="0" borderId="0">
      <alignment horizontal="right"/>
    </xf>
    <xf numFmtId="0" fontId="32" fillId="9" borderId="0">
      <alignment horizontal="center"/>
    </xf>
    <xf numFmtId="49" fontId="40" fillId="4" borderId="0">
      <alignment horizontal="center"/>
    </xf>
    <xf numFmtId="4" fontId="41" fillId="0" borderId="0">
      <alignment horizontal="right"/>
    </xf>
    <xf numFmtId="0" fontId="27" fillId="3" borderId="0">
      <alignment horizontal="center"/>
    </xf>
    <xf numFmtId="0" fontId="27" fillId="3" borderId="0">
      <alignment horizontal="centerContinuous"/>
    </xf>
    <xf numFmtId="0" fontId="42" fillId="4" borderId="0">
      <alignment horizontal="left"/>
    </xf>
    <xf numFmtId="49" fontId="42" fillId="4" borderId="0">
      <alignment horizontal="center"/>
    </xf>
    <xf numFmtId="0" fontId="26" fillId="3" borderId="0">
      <alignment horizontal="left"/>
    </xf>
    <xf numFmtId="49" fontId="42" fillId="4" borderId="0">
      <alignment horizontal="left"/>
    </xf>
    <xf numFmtId="0" fontId="26" fillId="3" borderId="0">
      <alignment horizontal="centerContinuous"/>
    </xf>
    <xf numFmtId="0" fontId="26" fillId="3" borderId="0">
      <alignment horizontal="right"/>
    </xf>
    <xf numFmtId="49" fontId="32" fillId="4" borderId="0">
      <alignment horizontal="left"/>
    </xf>
    <xf numFmtId="0" fontId="27" fillId="3" borderId="0">
      <alignment horizontal="right"/>
    </xf>
    <xf numFmtId="0" fontId="42" fillId="2" borderId="0">
      <alignment horizontal="center"/>
    </xf>
    <xf numFmtId="0" fontId="43" fillId="2" borderId="0">
      <alignment horizontal="center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4" borderId="0">
      <alignment horizontal="center"/>
    </xf>
    <xf numFmtId="0" fontId="48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49" fillId="0" borderId="0"/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0" fillId="0" borderId="0"/>
    <xf numFmtId="0" fontId="6" fillId="0" borderId="0">
      <alignment vertical="center"/>
    </xf>
    <xf numFmtId="0" fontId="63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74">
    <xf numFmtId="0" fontId="0" fillId="0" borderId="0" xfId="0">
      <alignment vertical="center"/>
    </xf>
    <xf numFmtId="0" fontId="15" fillId="0" borderId="0" xfId="48"/>
    <xf numFmtId="0" fontId="16" fillId="0" borderId="0" xfId="48" applyFont="1"/>
    <xf numFmtId="0" fontId="17" fillId="0" borderId="3" xfId="48" applyFont="1" applyBorder="1" applyAlignment="1">
      <alignment horizontal="center"/>
    </xf>
    <xf numFmtId="14" fontId="17" fillId="0" borderId="4" xfId="48" applyNumberFormat="1" applyFont="1" applyBorder="1" applyAlignment="1">
      <alignment horizontal="center"/>
    </xf>
    <xf numFmtId="0" fontId="17" fillId="0" borderId="4" xfId="48" applyFont="1" applyBorder="1" applyAlignment="1">
      <alignment horizontal="center"/>
    </xf>
    <xf numFmtId="0" fontId="17" fillId="0" borderId="5" xfId="48" applyFont="1" applyBorder="1" applyAlignment="1">
      <alignment horizontal="center"/>
    </xf>
    <xf numFmtId="0" fontId="18" fillId="0" borderId="0" xfId="48" applyFont="1"/>
    <xf numFmtId="0" fontId="21" fillId="0" borderId="0" xfId="48" applyFont="1" applyAlignment="1">
      <alignment vertical="center"/>
    </xf>
    <xf numFmtId="0" fontId="17" fillId="14" borderId="0" xfId="48" applyFont="1" applyFill="1" applyAlignment="1">
      <alignment horizontal="center"/>
    </xf>
    <xf numFmtId="14" fontId="17" fillId="14" borderId="0" xfId="48" applyNumberFormat="1" applyFont="1" applyFill="1" applyAlignment="1">
      <alignment horizontal="center"/>
    </xf>
    <xf numFmtId="0" fontId="19" fillId="11" borderId="0" xfId="48" applyFont="1" applyFill="1" applyAlignment="1">
      <alignment vertical="center"/>
    </xf>
    <xf numFmtId="0" fontId="20" fillId="12" borderId="0" xfId="48" applyFont="1" applyFill="1" applyAlignment="1">
      <alignment vertical="center"/>
    </xf>
    <xf numFmtId="0" fontId="21" fillId="0" borderId="0" xfId="48" applyFont="1" applyAlignment="1">
      <alignment horizontal="left" vertical="center"/>
    </xf>
    <xf numFmtId="0" fontId="20" fillId="12" borderId="0" xfId="48" applyFont="1" applyFill="1" applyAlignment="1">
      <alignment horizontal="center" vertical="center"/>
    </xf>
    <xf numFmtId="0" fontId="21" fillId="0" borderId="0" xfId="48" applyFont="1" applyAlignment="1">
      <alignment horizontal="center" vertical="center"/>
    </xf>
    <xf numFmtId="14" fontId="21" fillId="0" borderId="0" xfId="48" applyNumberFormat="1" applyFont="1" applyAlignment="1">
      <alignment horizontal="center" vertical="center"/>
    </xf>
    <xf numFmtId="0" fontId="20" fillId="11" borderId="0" xfId="48" applyFont="1" applyFill="1" applyAlignment="1">
      <alignment vertical="center"/>
    </xf>
    <xf numFmtId="0" fontId="22" fillId="0" borderId="0" xfId="48" applyFont="1" applyAlignment="1">
      <alignment vertical="center"/>
    </xf>
    <xf numFmtId="49" fontId="21" fillId="0" borderId="0" xfId="48" applyNumberFormat="1" applyFont="1" applyAlignment="1">
      <alignment horizontal="center" vertical="center"/>
    </xf>
    <xf numFmtId="0" fontId="23" fillId="0" borderId="0" xfId="48" applyFont="1" applyAlignment="1">
      <alignment vertical="center"/>
    </xf>
    <xf numFmtId="49" fontId="21" fillId="14" borderId="13" xfId="0" applyNumberFormat="1" applyFont="1" applyFill="1" applyBorder="1" applyAlignment="1">
      <alignment vertical="top"/>
    </xf>
    <xf numFmtId="0" fontId="21" fillId="10" borderId="6" xfId="49" applyFont="1" applyFill="1" applyBorder="1" applyAlignment="1">
      <alignment horizontal="right" vertical="center"/>
    </xf>
    <xf numFmtId="0" fontId="53" fillId="14" borderId="6" xfId="49" applyFont="1" applyFill="1" applyBorder="1" applyAlignment="1">
      <alignment horizontal="right" vertical="center"/>
    </xf>
    <xf numFmtId="0" fontId="55" fillId="14" borderId="0" xfId="0" applyFont="1" applyFill="1">
      <alignment vertical="center"/>
    </xf>
    <xf numFmtId="0" fontId="0" fillId="14" borderId="0" xfId="0" applyFill="1" applyAlignment="1">
      <alignment vertical="center" wrapText="1"/>
    </xf>
    <xf numFmtId="0" fontId="54" fillId="14" borderId="8" xfId="0" applyFont="1" applyFill="1" applyBorder="1">
      <alignment vertical="center"/>
    </xf>
    <xf numFmtId="49" fontId="21" fillId="10" borderId="15" xfId="0" applyNumberFormat="1" applyFont="1" applyFill="1" applyBorder="1" applyAlignment="1">
      <alignment horizontal="center" vertical="center"/>
    </xf>
    <xf numFmtId="0" fontId="54" fillId="14" borderId="0" xfId="0" applyFont="1" applyFill="1">
      <alignment vertical="center"/>
    </xf>
    <xf numFmtId="49" fontId="21" fillId="10" borderId="6" xfId="0" applyNumberFormat="1" applyFont="1" applyFill="1" applyBorder="1" applyAlignment="1">
      <alignment horizontal="left" vertical="center"/>
    </xf>
    <xf numFmtId="0" fontId="59" fillId="14" borderId="0" xfId="161" applyFont="1" applyFill="1">
      <alignment vertical="center"/>
    </xf>
    <xf numFmtId="0" fontId="54" fillId="14" borderId="0" xfId="161" applyFont="1" applyFill="1">
      <alignment vertical="center"/>
    </xf>
    <xf numFmtId="0" fontId="54" fillId="14" borderId="6" xfId="161" applyFont="1" applyFill="1" applyBorder="1">
      <alignment vertical="center"/>
    </xf>
    <xf numFmtId="0" fontId="54" fillId="14" borderId="11" xfId="161" applyFont="1" applyFill="1" applyBorder="1">
      <alignment vertical="center"/>
    </xf>
    <xf numFmtId="0" fontId="21" fillId="10" borderId="9" xfId="46" applyFont="1" applyFill="1" applyBorder="1" applyAlignment="1">
      <alignment horizontal="centerContinuous"/>
    </xf>
    <xf numFmtId="0" fontId="0" fillId="14" borderId="0" xfId="0" applyFill="1">
      <alignment vertical="center"/>
    </xf>
    <xf numFmtId="0" fontId="58" fillId="18" borderId="2" xfId="161" applyFont="1" applyFill="1" applyBorder="1">
      <alignment vertical="center"/>
    </xf>
    <xf numFmtId="0" fontId="54" fillId="14" borderId="2" xfId="0" applyFont="1" applyFill="1" applyBorder="1">
      <alignment vertical="center"/>
    </xf>
    <xf numFmtId="0" fontId="0" fillId="14" borderId="8" xfId="0" applyFill="1" applyBorder="1">
      <alignment vertical="center"/>
    </xf>
    <xf numFmtId="0" fontId="54" fillId="14" borderId="12" xfId="0" applyFont="1" applyFill="1" applyBorder="1">
      <alignment vertical="center"/>
    </xf>
    <xf numFmtId="0" fontId="21" fillId="10" borderId="22" xfId="46" applyFont="1" applyFill="1" applyBorder="1" applyAlignment="1">
      <alignment horizontal="centerContinuous"/>
    </xf>
    <xf numFmtId="0" fontId="54" fillId="14" borderId="0" xfId="161" applyFont="1" applyFill="1" applyAlignment="1">
      <alignment horizontal="left" vertical="center"/>
    </xf>
    <xf numFmtId="0" fontId="21" fillId="10" borderId="20" xfId="46" applyFont="1" applyFill="1" applyBorder="1" applyAlignment="1">
      <alignment horizontal="centerContinuous"/>
    </xf>
    <xf numFmtId="0" fontId="55" fillId="14" borderId="0" xfId="161" applyFont="1" applyFill="1">
      <alignment vertical="center"/>
    </xf>
    <xf numFmtId="0" fontId="54" fillId="14" borderId="0" xfId="161" applyFont="1" applyFill="1" applyAlignment="1">
      <alignment horizontal="center" vertical="center"/>
    </xf>
    <xf numFmtId="0" fontId="59" fillId="14" borderId="6" xfId="161" quotePrefix="1" applyFont="1" applyFill="1" applyBorder="1">
      <alignment vertical="center"/>
    </xf>
    <xf numFmtId="0" fontId="59" fillId="14" borderId="11" xfId="161" applyFont="1" applyFill="1" applyBorder="1">
      <alignment vertical="center"/>
    </xf>
    <xf numFmtId="0" fontId="69" fillId="18" borderId="10" xfId="161" applyFont="1" applyFill="1" applyBorder="1">
      <alignment vertical="center"/>
    </xf>
    <xf numFmtId="0" fontId="67" fillId="18" borderId="2" xfId="161" applyFont="1" applyFill="1" applyBorder="1">
      <alignment vertical="center"/>
    </xf>
    <xf numFmtId="0" fontId="68" fillId="18" borderId="2" xfId="161" applyFont="1" applyFill="1" applyBorder="1">
      <alignment vertical="center"/>
    </xf>
    <xf numFmtId="0" fontId="58" fillId="18" borderId="2" xfId="161" applyFont="1" applyFill="1" applyBorder="1" applyAlignment="1">
      <alignment horizontal="centerContinuous" vertical="center"/>
    </xf>
    <xf numFmtId="0" fontId="58" fillId="18" borderId="17" xfId="161" applyFont="1" applyFill="1" applyBorder="1" applyAlignment="1">
      <alignment horizontal="centerContinuous" vertical="center"/>
    </xf>
    <xf numFmtId="0" fontId="54" fillId="14" borderId="8" xfId="161" applyFont="1" applyFill="1" applyBorder="1">
      <alignment vertical="center"/>
    </xf>
    <xf numFmtId="0" fontId="54" fillId="14" borderId="12" xfId="161" applyFont="1" applyFill="1" applyBorder="1">
      <alignment vertical="center"/>
    </xf>
    <xf numFmtId="0" fontId="54" fillId="19" borderId="10" xfId="161" quotePrefix="1" applyFont="1" applyFill="1" applyBorder="1">
      <alignment vertical="center"/>
    </xf>
    <xf numFmtId="0" fontId="54" fillId="19" borderId="2" xfId="161" applyFont="1" applyFill="1" applyBorder="1">
      <alignment vertical="center"/>
    </xf>
    <xf numFmtId="0" fontId="54" fillId="19" borderId="2" xfId="161" applyFont="1" applyFill="1" applyBorder="1" applyAlignment="1">
      <alignment horizontal="center" vertical="center"/>
    </xf>
    <xf numFmtId="0" fontId="54" fillId="19" borderId="2" xfId="0" applyFont="1" applyFill="1" applyBorder="1">
      <alignment vertical="center"/>
    </xf>
    <xf numFmtId="0" fontId="54" fillId="0" borderId="10" xfId="161" quotePrefix="1" applyFont="1" applyBorder="1">
      <alignment vertical="center"/>
    </xf>
    <xf numFmtId="0" fontId="54" fillId="0" borderId="2" xfId="161" applyFont="1" applyBorder="1">
      <alignment vertical="center"/>
    </xf>
    <xf numFmtId="0" fontId="54" fillId="0" borderId="2" xfId="161" applyFont="1" applyBorder="1" applyAlignment="1">
      <alignment horizontal="center" vertical="center"/>
    </xf>
    <xf numFmtId="0" fontId="54" fillId="0" borderId="2" xfId="0" applyFont="1" applyBorder="1">
      <alignment vertical="center"/>
    </xf>
    <xf numFmtId="0" fontId="54" fillId="0" borderId="0" xfId="161" quotePrefix="1" applyFont="1">
      <alignment vertical="center"/>
    </xf>
    <xf numFmtId="0" fontId="54" fillId="0" borderId="0" xfId="161" applyFont="1">
      <alignment vertical="center"/>
    </xf>
    <xf numFmtId="0" fontId="54" fillId="0" borderId="0" xfId="161" applyFont="1" applyAlignment="1">
      <alignment horizontal="center" vertical="center"/>
    </xf>
    <xf numFmtId="0" fontId="54" fillId="0" borderId="0" xfId="0" applyFont="1">
      <alignment vertical="center"/>
    </xf>
    <xf numFmtId="0" fontId="54" fillId="19" borderId="17" xfId="0" applyFont="1" applyFill="1" applyBorder="1">
      <alignment vertical="center"/>
    </xf>
    <xf numFmtId="0" fontId="54" fillId="0" borderId="8" xfId="0" applyFont="1" applyBorder="1">
      <alignment vertical="center"/>
    </xf>
    <xf numFmtId="0" fontId="54" fillId="0" borderId="0" xfId="161" applyFont="1" applyAlignment="1">
      <alignment horizontal="centerContinuous" vertical="center"/>
    </xf>
    <xf numFmtId="0" fontId="54" fillId="0" borderId="0" xfId="161" applyFont="1" applyAlignment="1">
      <alignment horizontal="left" vertical="center"/>
    </xf>
    <xf numFmtId="0" fontId="54" fillId="0" borderId="17" xfId="0" applyFont="1" applyBorder="1">
      <alignment vertical="center"/>
    </xf>
    <xf numFmtId="0" fontId="55" fillId="0" borderId="0" xfId="161" applyFont="1" applyAlignment="1">
      <alignment horizontal="centerContinuous" vertical="center"/>
    </xf>
    <xf numFmtId="0" fontId="54" fillId="14" borderId="28" xfId="0" applyFont="1" applyFill="1" applyBorder="1">
      <alignment vertical="center"/>
    </xf>
    <xf numFmtId="0" fontId="54" fillId="14" borderId="31" xfId="0" applyFont="1" applyFill="1" applyBorder="1">
      <alignment vertical="center"/>
    </xf>
    <xf numFmtId="0" fontId="54" fillId="0" borderId="12" xfId="0" applyFont="1" applyBorder="1">
      <alignment vertical="center"/>
    </xf>
    <xf numFmtId="0" fontId="55" fillId="0" borderId="0" xfId="161" applyFont="1">
      <alignment vertical="center"/>
    </xf>
    <xf numFmtId="0" fontId="54" fillId="14" borderId="0" xfId="0" applyFont="1" applyFill="1" applyAlignment="1">
      <alignment horizontal="center" vertical="center"/>
    </xf>
    <xf numFmtId="0" fontId="21" fillId="10" borderId="19" xfId="46" applyFont="1" applyFill="1" applyBorder="1" applyAlignment="1">
      <alignment horizontal="centerContinuous"/>
    </xf>
    <xf numFmtId="0" fontId="21" fillId="10" borderId="16" xfId="46" applyFont="1" applyFill="1" applyBorder="1" applyAlignment="1">
      <alignment horizontal="centerContinuous"/>
    </xf>
    <xf numFmtId="0" fontId="21" fillId="10" borderId="21" xfId="46" applyFont="1" applyFill="1" applyBorder="1" applyAlignment="1">
      <alignment horizontal="centerContinuous"/>
    </xf>
    <xf numFmtId="0" fontId="58" fillId="14" borderId="11" xfId="161" quotePrefix="1" applyFont="1" applyFill="1" applyBorder="1" applyAlignment="1">
      <alignment horizontal="centerContinuous" vertical="center"/>
    </xf>
    <xf numFmtId="0" fontId="54" fillId="14" borderId="0" xfId="0" applyFont="1" applyFill="1" applyAlignment="1">
      <alignment vertical="center" wrapText="1"/>
    </xf>
    <xf numFmtId="0" fontId="55" fillId="14" borderId="0" xfId="161" applyFont="1" applyFill="1" applyAlignment="1">
      <alignment horizontal="center" vertical="center"/>
    </xf>
    <xf numFmtId="0" fontId="55" fillId="0" borderId="0" xfId="161" applyFont="1" applyAlignment="1">
      <alignment horizontal="left" vertical="center"/>
    </xf>
    <xf numFmtId="0" fontId="55" fillId="0" borderId="0" xfId="0" applyFont="1">
      <alignment vertical="center"/>
    </xf>
    <xf numFmtId="0" fontId="55" fillId="0" borderId="0" xfId="161" applyFont="1" applyAlignment="1">
      <alignment horizontal="center" vertical="center"/>
    </xf>
    <xf numFmtId="0" fontId="55" fillId="14" borderId="8" xfId="0" applyFont="1" applyFill="1" applyBorder="1">
      <alignment vertical="center"/>
    </xf>
    <xf numFmtId="0" fontId="55" fillId="0" borderId="8" xfId="161" applyFont="1" applyBorder="1">
      <alignment vertical="center"/>
    </xf>
    <xf numFmtId="0" fontId="55" fillId="0" borderId="8" xfId="0" applyFont="1" applyBorder="1">
      <alignment vertical="center"/>
    </xf>
    <xf numFmtId="0" fontId="55" fillId="0" borderId="8" xfId="161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4" fillId="0" borderId="0" xfId="161" quotePrefix="1" applyFont="1" applyAlignment="1">
      <alignment horizontal="centerContinuous" vertical="center"/>
    </xf>
    <xf numFmtId="0" fontId="59" fillId="14" borderId="2" xfId="161" applyFont="1" applyFill="1" applyBorder="1">
      <alignment vertical="center"/>
    </xf>
    <xf numFmtId="0" fontId="59" fillId="14" borderId="8" xfId="161" applyFont="1" applyFill="1" applyBorder="1">
      <alignment vertical="center"/>
    </xf>
    <xf numFmtId="0" fontId="54" fillId="0" borderId="6" xfId="0" applyFont="1" applyBorder="1">
      <alignment vertical="center"/>
    </xf>
    <xf numFmtId="0" fontId="54" fillId="14" borderId="2" xfId="161" applyFont="1" applyFill="1" applyBorder="1">
      <alignment vertical="center"/>
    </xf>
    <xf numFmtId="0" fontId="54" fillId="14" borderId="2" xfId="161" applyFont="1" applyFill="1" applyBorder="1" applyAlignment="1">
      <alignment horizontal="center" vertical="center"/>
    </xf>
    <xf numFmtId="0" fontId="54" fillId="14" borderId="17" xfId="0" applyFont="1" applyFill="1" applyBorder="1">
      <alignment vertical="center"/>
    </xf>
    <xf numFmtId="0" fontId="54" fillId="14" borderId="10" xfId="0" applyFont="1" applyFill="1" applyBorder="1">
      <alignment vertical="center"/>
    </xf>
    <xf numFmtId="0" fontId="55" fillId="14" borderId="3" xfId="161" applyFont="1" applyFill="1" applyBorder="1" applyAlignment="1">
      <alignment horizontal="center" vertical="center"/>
    </xf>
    <xf numFmtId="0" fontId="54" fillId="0" borderId="8" xfId="161" applyFont="1" applyBorder="1">
      <alignment vertical="center"/>
    </xf>
    <xf numFmtId="0" fontId="54" fillId="0" borderId="8" xfId="161" applyFont="1" applyBorder="1" applyAlignment="1">
      <alignment horizontal="center" vertical="center"/>
    </xf>
    <xf numFmtId="0" fontId="54" fillId="0" borderId="12" xfId="161" quotePrefix="1" applyFont="1" applyBorder="1">
      <alignment vertical="center"/>
    </xf>
    <xf numFmtId="0" fontId="54" fillId="0" borderId="12" xfId="161" applyFont="1" applyBorder="1">
      <alignment vertical="center"/>
    </xf>
    <xf numFmtId="0" fontId="54" fillId="0" borderId="12" xfId="161" applyFont="1" applyBorder="1" applyAlignment="1">
      <alignment horizontal="center" vertical="center"/>
    </xf>
    <xf numFmtId="0" fontId="54" fillId="0" borderId="8" xfId="161" quotePrefix="1" applyFont="1" applyBorder="1">
      <alignment vertical="center"/>
    </xf>
    <xf numFmtId="0" fontId="62" fillId="19" borderId="2" xfId="0" applyFont="1" applyFill="1" applyBorder="1" applyAlignment="1">
      <alignment horizontal="centerContinuous" vertical="center"/>
    </xf>
    <xf numFmtId="0" fontId="0" fillId="19" borderId="17" xfId="0" applyFill="1" applyBorder="1" applyAlignment="1">
      <alignment horizontal="centerContinuous" vertical="center"/>
    </xf>
    <xf numFmtId="0" fontId="0" fillId="14" borderId="2" xfId="0" applyFill="1" applyBorder="1" applyAlignment="1">
      <alignment horizontal="centerContinuous" vertical="center"/>
    </xf>
    <xf numFmtId="0" fontId="0" fillId="14" borderId="17" xfId="0" applyFill="1" applyBorder="1" applyAlignment="1">
      <alignment horizontal="centerContinuous" vertical="center"/>
    </xf>
    <xf numFmtId="0" fontId="0" fillId="14" borderId="2" xfId="0" applyFill="1" applyBorder="1">
      <alignment vertical="center"/>
    </xf>
    <xf numFmtId="0" fontId="74" fillId="0" borderId="0" xfId="161" applyFont="1">
      <alignment vertical="center"/>
    </xf>
    <xf numFmtId="0" fontId="74" fillId="0" borderId="0" xfId="0" applyFont="1">
      <alignment vertical="center"/>
    </xf>
    <xf numFmtId="0" fontId="74" fillId="14" borderId="0" xfId="0" applyFont="1" applyFill="1">
      <alignment vertical="center"/>
    </xf>
    <xf numFmtId="0" fontId="55" fillId="14" borderId="12" xfId="161" applyFont="1" applyFill="1" applyBorder="1">
      <alignment vertical="center"/>
    </xf>
    <xf numFmtId="0" fontId="21" fillId="10" borderId="18" xfId="46" applyFont="1" applyFill="1" applyBorder="1" applyAlignment="1">
      <alignment horizontal="centerContinuous"/>
    </xf>
    <xf numFmtId="0" fontId="54" fillId="14" borderId="0" xfId="0" applyFont="1" applyFill="1" applyAlignment="1">
      <alignment horizontal="left" vertical="center"/>
    </xf>
    <xf numFmtId="0" fontId="62" fillId="0" borderId="12" xfId="161" quotePrefix="1" applyFont="1" applyBorder="1" applyAlignment="1">
      <alignment horizontal="centerContinuous" vertical="center"/>
    </xf>
    <xf numFmtId="0" fontId="0" fillId="14" borderId="12" xfId="0" applyFill="1" applyBorder="1">
      <alignment vertical="center"/>
    </xf>
    <xf numFmtId="0" fontId="62" fillId="0" borderId="10" xfId="161" quotePrefix="1" applyFont="1" applyBorder="1">
      <alignment vertical="center"/>
    </xf>
    <xf numFmtId="0" fontId="62" fillId="0" borderId="2" xfId="161" quotePrefix="1" applyFont="1" applyBorder="1">
      <alignment vertical="center"/>
    </xf>
    <xf numFmtId="0" fontId="54" fillId="0" borderId="0" xfId="161" quotePrefix="1" applyFont="1" applyAlignment="1">
      <alignment horizontal="left" vertical="center"/>
    </xf>
    <xf numFmtId="0" fontId="54" fillId="0" borderId="25" xfId="161" applyFont="1" applyBorder="1" applyAlignment="1">
      <alignment horizontal="center" vertical="center"/>
    </xf>
    <xf numFmtId="0" fontId="54" fillId="0" borderId="2" xfId="161" quotePrefix="1" applyFont="1" applyBorder="1">
      <alignment vertical="center"/>
    </xf>
    <xf numFmtId="14" fontId="54" fillId="0" borderId="10" xfId="161" quotePrefix="1" applyNumberFormat="1" applyFont="1" applyBorder="1">
      <alignment vertical="center"/>
    </xf>
    <xf numFmtId="0" fontId="54" fillId="0" borderId="0" xfId="0" applyFont="1" applyAlignment="1">
      <alignment vertical="center" wrapText="1"/>
    </xf>
    <xf numFmtId="0" fontId="54" fillId="0" borderId="0" xfId="0" applyFont="1" applyAlignment="1">
      <alignment horizontal="center" vertical="center"/>
    </xf>
    <xf numFmtId="0" fontId="55" fillId="0" borderId="0" xfId="161" quotePrefix="1" applyFont="1">
      <alignment vertical="center"/>
    </xf>
    <xf numFmtId="0" fontId="55" fillId="0" borderId="2" xfId="161" applyFont="1" applyBorder="1">
      <alignment vertical="center"/>
    </xf>
    <xf numFmtId="0" fontId="59" fillId="14" borderId="6" xfId="180" quotePrefix="1" applyFont="1" applyFill="1" applyBorder="1">
      <alignment vertical="center"/>
    </xf>
    <xf numFmtId="0" fontId="54" fillId="14" borderId="0" xfId="180" applyFont="1" applyFill="1">
      <alignment vertical="center"/>
    </xf>
    <xf numFmtId="0" fontId="55" fillId="19" borderId="2" xfId="180" applyFont="1" applyFill="1" applyBorder="1" applyAlignment="1">
      <alignment horizontal="centerContinuous" vertical="center"/>
    </xf>
    <xf numFmtId="0" fontId="62" fillId="19" borderId="2" xfId="180" applyFont="1" applyFill="1" applyBorder="1" applyAlignment="1">
      <alignment horizontal="centerContinuous" vertical="center"/>
    </xf>
    <xf numFmtId="0" fontId="55" fillId="19" borderId="10" xfId="180" applyFont="1" applyFill="1" applyBorder="1" applyAlignment="1">
      <alignment horizontal="centerContinuous" vertical="center"/>
    </xf>
    <xf numFmtId="0" fontId="54" fillId="19" borderId="2" xfId="180" applyFont="1" applyFill="1" applyBorder="1" applyAlignment="1">
      <alignment horizontal="centerContinuous" vertical="center"/>
    </xf>
    <xf numFmtId="0" fontId="54" fillId="0" borderId="0" xfId="180" applyFont="1">
      <alignment vertical="center"/>
    </xf>
    <xf numFmtId="0" fontId="66" fillId="14" borderId="0" xfId="180" applyFont="1" applyFill="1">
      <alignment vertical="center"/>
    </xf>
    <xf numFmtId="0" fontId="78" fillId="14" borderId="2" xfId="180" quotePrefix="1" applyFont="1" applyFill="1" applyBorder="1">
      <alignment vertical="center"/>
    </xf>
    <xf numFmtId="0" fontId="54" fillId="14" borderId="10" xfId="180" applyFont="1" applyFill="1" applyBorder="1" applyAlignment="1">
      <alignment horizontal="centerContinuous" vertical="center"/>
    </xf>
    <xf numFmtId="0" fontId="54" fillId="14" borderId="2" xfId="180" applyFont="1" applyFill="1" applyBorder="1" applyAlignment="1">
      <alignment horizontal="centerContinuous" vertical="center"/>
    </xf>
    <xf numFmtId="0" fontId="75" fillId="14" borderId="10" xfId="180" applyFont="1" applyFill="1" applyBorder="1" applyAlignment="1">
      <alignment horizontal="center" vertical="center"/>
    </xf>
    <xf numFmtId="0" fontId="54" fillId="14" borderId="2" xfId="180" applyFont="1" applyFill="1" applyBorder="1" applyAlignment="1">
      <alignment horizontal="left" vertical="center"/>
    </xf>
    <xf numFmtId="0" fontId="0" fillId="14" borderId="17" xfId="0" applyFill="1" applyBorder="1">
      <alignment vertical="center"/>
    </xf>
    <xf numFmtId="0" fontId="59" fillId="14" borderId="11" xfId="180" applyFont="1" applyFill="1" applyBorder="1">
      <alignment vertical="center"/>
    </xf>
    <xf numFmtId="0" fontId="0" fillId="19" borderId="2" xfId="0" applyFill="1" applyBorder="1" applyAlignment="1">
      <alignment horizontal="centerContinuous" vertical="center"/>
    </xf>
    <xf numFmtId="0" fontId="75" fillId="14" borderId="2" xfId="180" applyFont="1" applyFill="1" applyBorder="1" applyAlignment="1">
      <alignment horizontal="centerContinuous" vertical="center"/>
    </xf>
    <xf numFmtId="0" fontId="54" fillId="14" borderId="0" xfId="180" applyFont="1" applyFill="1" applyAlignment="1">
      <alignment horizontal="center" vertical="center"/>
    </xf>
    <xf numFmtId="0" fontId="54" fillId="14" borderId="0" xfId="180" quotePrefix="1" applyFont="1" applyFill="1">
      <alignment vertical="center"/>
    </xf>
    <xf numFmtId="14" fontId="62" fillId="0" borderId="10" xfId="161" quotePrefix="1" applyNumberFormat="1" applyFont="1" applyBorder="1" applyAlignment="1">
      <alignment horizontal="centerContinuous" vertical="center"/>
    </xf>
    <xf numFmtId="14" fontId="62" fillId="0" borderId="2" xfId="161" quotePrefix="1" applyNumberFormat="1" applyFont="1" applyBorder="1" applyAlignment="1">
      <alignment horizontal="centerContinuous" vertical="center"/>
    </xf>
    <xf numFmtId="0" fontId="62" fillId="0" borderId="2" xfId="161" quotePrefix="1" applyFont="1" applyBorder="1" applyAlignment="1">
      <alignment horizontal="centerContinuous" vertical="center"/>
    </xf>
    <xf numFmtId="0" fontId="62" fillId="0" borderId="17" xfId="161" quotePrefix="1" applyFont="1" applyBorder="1" applyAlignment="1">
      <alignment horizontal="centerContinuous" vertical="center"/>
    </xf>
    <xf numFmtId="0" fontId="62" fillId="0" borderId="17" xfId="161" applyFont="1" applyBorder="1" applyAlignment="1">
      <alignment horizontal="centerContinuous" vertical="center"/>
    </xf>
    <xf numFmtId="0" fontId="0" fillId="14" borderId="11" xfId="0" applyFill="1" applyBorder="1">
      <alignment vertical="center"/>
    </xf>
    <xf numFmtId="0" fontId="0" fillId="14" borderId="14" xfId="0" applyFill="1" applyBorder="1">
      <alignment vertical="center"/>
    </xf>
    <xf numFmtId="0" fontId="21" fillId="10" borderId="7" xfId="49" applyFont="1" applyFill="1" applyBorder="1" applyAlignment="1">
      <alignment horizontal="right" vertical="center"/>
    </xf>
    <xf numFmtId="0" fontId="0" fillId="14" borderId="2" xfId="0" applyFill="1" applyBorder="1" applyAlignment="1">
      <alignment vertical="center" wrapText="1"/>
    </xf>
    <xf numFmtId="0" fontId="59" fillId="14" borderId="14" xfId="161" applyFont="1" applyFill="1" applyBorder="1">
      <alignment vertical="center"/>
    </xf>
    <xf numFmtId="0" fontId="80" fillId="0" borderId="0" xfId="0" applyFont="1">
      <alignment vertical="center"/>
    </xf>
    <xf numFmtId="0" fontId="21" fillId="10" borderId="26" xfId="46" applyFont="1" applyFill="1" applyBorder="1" applyAlignment="1">
      <alignment horizontal="centerContinuous"/>
    </xf>
    <xf numFmtId="0" fontId="54" fillId="0" borderId="23" xfId="161" applyFont="1" applyBorder="1" applyAlignment="1">
      <alignment horizontal="center" vertical="center"/>
    </xf>
    <xf numFmtId="0" fontId="64" fillId="0" borderId="2" xfId="161" applyFont="1" applyBorder="1" applyAlignment="1">
      <alignment horizontal="centerContinuous" vertical="center"/>
    </xf>
    <xf numFmtId="0" fontId="64" fillId="0" borderId="17" xfId="161" applyFont="1" applyBorder="1" applyAlignment="1">
      <alignment horizontal="centerContinuous" vertical="center"/>
    </xf>
    <xf numFmtId="0" fontId="70" fillId="0" borderId="15" xfId="161" applyFont="1" applyBorder="1" applyAlignment="1">
      <alignment horizontal="left" vertical="center"/>
    </xf>
    <xf numFmtId="0" fontId="70" fillId="0" borderId="12" xfId="161" applyFont="1" applyBorder="1" applyAlignment="1">
      <alignment horizontal="left" vertical="center"/>
    </xf>
    <xf numFmtId="0" fontId="70" fillId="0" borderId="12" xfId="0" applyFont="1" applyBorder="1">
      <alignment vertical="center"/>
    </xf>
    <xf numFmtId="0" fontId="70" fillId="0" borderId="12" xfId="161" applyFont="1" applyBorder="1" applyAlignment="1">
      <alignment horizontal="center" vertical="center"/>
    </xf>
    <xf numFmtId="0" fontId="70" fillId="0" borderId="12" xfId="161" applyFont="1" applyBorder="1">
      <alignment vertical="center"/>
    </xf>
    <xf numFmtId="0" fontId="70" fillId="0" borderId="12" xfId="0" applyFont="1" applyBorder="1" applyAlignment="1">
      <alignment horizontal="center" vertical="center"/>
    </xf>
    <xf numFmtId="0" fontId="70" fillId="0" borderId="7" xfId="161" applyFont="1" applyBorder="1" applyAlignment="1">
      <alignment horizontal="left" vertical="center"/>
    </xf>
    <xf numFmtId="0" fontId="70" fillId="0" borderId="8" xfId="161" applyFont="1" applyBorder="1" applyAlignment="1">
      <alignment horizontal="left" vertical="center"/>
    </xf>
    <xf numFmtId="0" fontId="70" fillId="0" borderId="8" xfId="0" applyFont="1" applyBorder="1">
      <alignment vertical="center"/>
    </xf>
    <xf numFmtId="0" fontId="70" fillId="0" borderId="8" xfId="161" applyFont="1" applyBorder="1" applyAlignment="1">
      <alignment horizontal="center" vertical="center"/>
    </xf>
    <xf numFmtId="0" fontId="70" fillId="0" borderId="8" xfId="161" applyFont="1" applyBorder="1">
      <alignment vertical="center"/>
    </xf>
    <xf numFmtId="0" fontId="70" fillId="0" borderId="8" xfId="0" applyFont="1" applyBorder="1" applyAlignment="1">
      <alignment horizontal="center" vertical="center"/>
    </xf>
    <xf numFmtId="0" fontId="21" fillId="10" borderId="0" xfId="46" applyFont="1" applyFill="1" applyAlignment="1">
      <alignment horizontal="centerContinuous"/>
    </xf>
    <xf numFmtId="0" fontId="59" fillId="19" borderId="10" xfId="180" applyFont="1" applyFill="1" applyBorder="1">
      <alignment vertical="center"/>
    </xf>
    <xf numFmtId="0" fontId="59" fillId="19" borderId="2" xfId="180" applyFont="1" applyFill="1" applyBorder="1">
      <alignment vertical="center"/>
    </xf>
    <xf numFmtId="0" fontId="54" fillId="19" borderId="2" xfId="180" applyFont="1" applyFill="1" applyBorder="1">
      <alignment vertical="center"/>
    </xf>
    <xf numFmtId="0" fontId="54" fillId="19" borderId="2" xfId="180" applyFont="1" applyFill="1" applyBorder="1" applyAlignment="1">
      <alignment horizontal="center" vertical="center"/>
    </xf>
    <xf numFmtId="0" fontId="0" fillId="19" borderId="2" xfId="0" applyFill="1" applyBorder="1">
      <alignment vertical="center"/>
    </xf>
    <xf numFmtId="0" fontId="54" fillId="19" borderId="2" xfId="180" quotePrefix="1" applyFont="1" applyFill="1" applyBorder="1">
      <alignment vertical="center"/>
    </xf>
    <xf numFmtId="0" fontId="66" fillId="19" borderId="2" xfId="161" applyFont="1" applyFill="1" applyBorder="1">
      <alignment vertical="center"/>
    </xf>
    <xf numFmtId="0" fontId="54" fillId="19" borderId="2" xfId="0" applyFont="1" applyFill="1" applyBorder="1" applyAlignment="1">
      <alignment vertical="center" wrapText="1"/>
    </xf>
    <xf numFmtId="0" fontId="54" fillId="19" borderId="2" xfId="161" quotePrefix="1" applyFont="1" applyFill="1" applyBorder="1">
      <alignment vertical="center"/>
    </xf>
    <xf numFmtId="0" fontId="59" fillId="19" borderId="17" xfId="180" applyFont="1" applyFill="1" applyBorder="1">
      <alignment vertical="center"/>
    </xf>
    <xf numFmtId="0" fontId="21" fillId="0" borderId="2" xfId="0" applyFont="1" applyBorder="1" applyAlignment="1">
      <alignment horizontal="center" vertical="top"/>
    </xf>
    <xf numFmtId="0" fontId="21" fillId="22" borderId="2" xfId="0" applyFont="1" applyFill="1" applyBorder="1" applyAlignment="1">
      <alignment horizontal="center" vertical="top"/>
    </xf>
    <xf numFmtId="0" fontId="21" fillId="23" borderId="2" xfId="0" applyFont="1" applyFill="1" applyBorder="1" applyAlignment="1">
      <alignment horizontal="center" vertical="top"/>
    </xf>
    <xf numFmtId="0" fontId="54" fillId="0" borderId="15" xfId="0" applyFont="1" applyBorder="1">
      <alignment vertical="center"/>
    </xf>
    <xf numFmtId="0" fontId="82" fillId="0" borderId="0" xfId="161" applyFont="1">
      <alignment vertical="center"/>
    </xf>
    <xf numFmtId="0" fontId="82" fillId="0" borderId="0" xfId="0" applyFont="1">
      <alignment vertical="center"/>
    </xf>
    <xf numFmtId="0" fontId="82" fillId="0" borderId="0" xfId="161" applyFont="1" applyAlignment="1">
      <alignment horizontal="center" vertical="center"/>
    </xf>
    <xf numFmtId="0" fontId="70" fillId="0" borderId="0" xfId="161" applyFont="1" applyAlignment="1">
      <alignment horizontal="left" vertical="center"/>
    </xf>
    <xf numFmtId="0" fontId="70" fillId="0" borderId="0" xfId="0" applyFont="1">
      <alignment vertical="center"/>
    </xf>
    <xf numFmtId="0" fontId="70" fillId="0" borderId="0" xfId="161" applyFont="1" applyAlignment="1">
      <alignment horizontal="center" vertical="center"/>
    </xf>
    <xf numFmtId="0" fontId="70" fillId="0" borderId="0" xfId="161" applyFont="1">
      <alignment vertical="center"/>
    </xf>
    <xf numFmtId="0" fontId="70" fillId="0" borderId="0" xfId="0" applyFont="1" applyAlignment="1">
      <alignment horizontal="center" vertical="center"/>
    </xf>
    <xf numFmtId="0" fontId="54" fillId="0" borderId="0" xfId="0" applyFont="1" applyAlignment="1">
      <alignment horizontal="left" vertical="center"/>
    </xf>
    <xf numFmtId="0" fontId="71" fillId="0" borderId="0" xfId="161" applyFont="1" applyAlignment="1">
      <alignment horizontal="left" vertical="center"/>
    </xf>
    <xf numFmtId="0" fontId="71" fillId="0" borderId="0" xfId="0" applyFont="1">
      <alignment vertical="center"/>
    </xf>
    <xf numFmtId="0" fontId="54" fillId="14" borderId="6" xfId="161" quotePrefix="1" applyFont="1" applyFill="1" applyBorder="1">
      <alignment vertical="center"/>
    </xf>
    <xf numFmtId="0" fontId="80" fillId="14" borderId="6" xfId="161" quotePrefix="1" applyFont="1" applyFill="1" applyBorder="1">
      <alignment vertical="center"/>
    </xf>
    <xf numFmtId="0" fontId="80" fillId="14" borderId="0" xfId="161" applyFont="1" applyFill="1">
      <alignment vertical="center"/>
    </xf>
    <xf numFmtId="0" fontId="77" fillId="14" borderId="0" xfId="0" applyFont="1" applyFill="1">
      <alignment vertical="center"/>
    </xf>
    <xf numFmtId="0" fontId="55" fillId="24" borderId="15" xfId="161" applyFont="1" applyFill="1" applyBorder="1" applyAlignment="1">
      <alignment horizontal="centerContinuous" vertical="center"/>
    </xf>
    <xf numFmtId="0" fontId="55" fillId="24" borderId="12" xfId="161" applyFont="1" applyFill="1" applyBorder="1" applyAlignment="1">
      <alignment horizontal="centerContinuous" vertical="center"/>
    </xf>
    <xf numFmtId="0" fontId="55" fillId="24" borderId="13" xfId="161" applyFont="1" applyFill="1" applyBorder="1" applyAlignment="1">
      <alignment horizontal="centerContinuous" vertical="center"/>
    </xf>
    <xf numFmtId="0" fontId="55" fillId="24" borderId="15" xfId="161" quotePrefix="1" applyFont="1" applyFill="1" applyBorder="1" applyAlignment="1">
      <alignment horizontal="centerContinuous" vertical="center"/>
    </xf>
    <xf numFmtId="0" fontId="55" fillId="24" borderId="12" xfId="161" quotePrefix="1" applyFont="1" applyFill="1" applyBorder="1" applyAlignment="1">
      <alignment horizontal="centerContinuous" vertical="center"/>
    </xf>
    <xf numFmtId="0" fontId="62" fillId="24" borderId="15" xfId="161" applyFont="1" applyFill="1" applyBorder="1" applyAlignment="1">
      <alignment horizontal="centerContinuous" vertical="center"/>
    </xf>
    <xf numFmtId="0" fontId="62" fillId="24" borderId="12" xfId="161" applyFont="1" applyFill="1" applyBorder="1" applyAlignment="1">
      <alignment horizontal="centerContinuous" vertical="center"/>
    </xf>
    <xf numFmtId="0" fontId="62" fillId="24" borderId="13" xfId="161" applyFont="1" applyFill="1" applyBorder="1" applyAlignment="1">
      <alignment horizontal="centerContinuous" vertical="center"/>
    </xf>
    <xf numFmtId="0" fontId="55" fillId="24" borderId="7" xfId="161" quotePrefix="1" applyFont="1" applyFill="1" applyBorder="1" applyAlignment="1">
      <alignment horizontal="centerContinuous" vertical="center"/>
    </xf>
    <xf numFmtId="0" fontId="55" fillId="24" borderId="8" xfId="161" applyFont="1" applyFill="1" applyBorder="1" applyAlignment="1">
      <alignment horizontal="centerContinuous" vertical="center"/>
    </xf>
    <xf numFmtId="0" fontId="55" fillId="24" borderId="14" xfId="161" applyFont="1" applyFill="1" applyBorder="1" applyAlignment="1">
      <alignment horizontal="centerContinuous" vertical="center"/>
    </xf>
    <xf numFmtId="0" fontId="55" fillId="24" borderId="8" xfId="161" quotePrefix="1" applyFont="1" applyFill="1" applyBorder="1" applyAlignment="1">
      <alignment horizontal="centerContinuous" vertical="center"/>
    </xf>
    <xf numFmtId="0" fontId="62" fillId="24" borderId="7" xfId="161" quotePrefix="1" applyFont="1" applyFill="1" applyBorder="1" applyAlignment="1">
      <alignment horizontal="centerContinuous" vertical="center"/>
    </xf>
    <xf numFmtId="0" fontId="62" fillId="24" borderId="8" xfId="161" quotePrefix="1" applyFont="1" applyFill="1" applyBorder="1" applyAlignment="1">
      <alignment horizontal="centerContinuous" vertical="center"/>
    </xf>
    <xf numFmtId="0" fontId="62" fillId="24" borderId="8" xfId="161" applyFont="1" applyFill="1" applyBorder="1" applyAlignment="1">
      <alignment horizontal="centerContinuous" vertical="center"/>
    </xf>
    <xf numFmtId="0" fontId="62" fillId="24" borderId="14" xfId="161" applyFont="1" applyFill="1" applyBorder="1" applyAlignment="1">
      <alignment horizontal="centerContinuous" vertical="center"/>
    </xf>
    <xf numFmtId="0" fontId="62" fillId="0" borderId="10" xfId="161" quotePrefix="1" applyFont="1" applyBorder="1" applyAlignment="1">
      <alignment horizontal="left" vertical="center"/>
    </xf>
    <xf numFmtId="0" fontId="62" fillId="0" borderId="2" xfId="161" quotePrefix="1" applyFont="1" applyBorder="1" applyAlignment="1">
      <alignment horizontal="left" vertical="center"/>
    </xf>
    <xf numFmtId="0" fontId="54" fillId="25" borderId="2" xfId="161" quotePrefix="1" applyFont="1" applyFill="1" applyBorder="1">
      <alignment vertical="center"/>
    </xf>
    <xf numFmtId="0" fontId="54" fillId="25" borderId="2" xfId="161" applyFont="1" applyFill="1" applyBorder="1">
      <alignment vertical="center"/>
    </xf>
    <xf numFmtId="0" fontId="55" fillId="25" borderId="2" xfId="0" applyFont="1" applyFill="1" applyBorder="1">
      <alignment vertical="center"/>
    </xf>
    <xf numFmtId="0" fontId="54" fillId="25" borderId="2" xfId="0" quotePrefix="1" applyFont="1" applyFill="1" applyBorder="1">
      <alignment vertical="center"/>
    </xf>
    <xf numFmtId="0" fontId="54" fillId="25" borderId="2" xfId="0" applyFont="1" applyFill="1" applyBorder="1">
      <alignment vertical="center"/>
    </xf>
    <xf numFmtId="0" fontId="54" fillId="25" borderId="2" xfId="0" applyFont="1" applyFill="1" applyBorder="1" applyAlignment="1">
      <alignment horizontal="center" vertical="center"/>
    </xf>
    <xf numFmtId="0" fontId="54" fillId="25" borderId="2" xfId="0" applyFont="1" applyFill="1" applyBorder="1" applyAlignment="1">
      <alignment horizontal="left" vertical="center"/>
    </xf>
    <xf numFmtId="0" fontId="54" fillId="25" borderId="2" xfId="0" applyFont="1" applyFill="1" applyBorder="1" applyAlignment="1">
      <alignment vertical="center" wrapText="1"/>
    </xf>
    <xf numFmtId="0" fontId="0" fillId="25" borderId="2" xfId="0" applyFill="1" applyBorder="1">
      <alignment vertical="center"/>
    </xf>
    <xf numFmtId="0" fontId="80" fillId="25" borderId="2" xfId="0" applyFont="1" applyFill="1" applyBorder="1">
      <alignment vertical="center"/>
    </xf>
    <xf numFmtId="0" fontId="81" fillId="14" borderId="0" xfId="0" applyFont="1" applyFill="1">
      <alignment vertical="center"/>
    </xf>
    <xf numFmtId="0" fontId="55" fillId="21" borderId="15" xfId="161" applyFont="1" applyFill="1" applyBorder="1" applyAlignment="1">
      <alignment horizontal="centerContinuous" vertical="center"/>
    </xf>
    <xf numFmtId="0" fontId="55" fillId="21" borderId="12" xfId="161" applyFont="1" applyFill="1" applyBorder="1" applyAlignment="1">
      <alignment horizontal="centerContinuous" vertical="center"/>
    </xf>
    <xf numFmtId="0" fontId="55" fillId="21" borderId="13" xfId="161" applyFont="1" applyFill="1" applyBorder="1" applyAlignment="1">
      <alignment horizontal="centerContinuous" vertical="center"/>
    </xf>
    <xf numFmtId="0" fontId="55" fillId="21" borderId="15" xfId="161" quotePrefix="1" applyFont="1" applyFill="1" applyBorder="1" applyAlignment="1">
      <alignment horizontal="centerContinuous" vertical="center"/>
    </xf>
    <xf numFmtId="0" fontId="55" fillId="21" borderId="12" xfId="161" quotePrefix="1" applyFont="1" applyFill="1" applyBorder="1" applyAlignment="1">
      <alignment horizontal="centerContinuous" vertical="center"/>
    </xf>
    <xf numFmtId="0" fontId="62" fillId="21" borderId="15" xfId="161" applyFont="1" applyFill="1" applyBorder="1" applyAlignment="1">
      <alignment horizontal="centerContinuous" vertical="center"/>
    </xf>
    <xf numFmtId="0" fontId="62" fillId="21" borderId="12" xfId="161" applyFont="1" applyFill="1" applyBorder="1" applyAlignment="1">
      <alignment horizontal="centerContinuous" vertical="center"/>
    </xf>
    <xf numFmtId="0" fontId="62" fillId="21" borderId="13" xfId="161" applyFont="1" applyFill="1" applyBorder="1" applyAlignment="1">
      <alignment horizontal="centerContinuous" vertical="center"/>
    </xf>
    <xf numFmtId="0" fontId="62" fillId="0" borderId="10" xfId="161" quotePrefix="1" applyFont="1" applyBorder="1" applyAlignment="1">
      <alignment horizontal="centerContinuous" vertical="center"/>
    </xf>
    <xf numFmtId="0" fontId="55" fillId="26" borderId="15" xfId="161" applyFont="1" applyFill="1" applyBorder="1" applyAlignment="1">
      <alignment horizontal="centerContinuous" vertical="center"/>
    </xf>
    <xf numFmtId="0" fontId="55" fillId="26" borderId="12" xfId="161" applyFont="1" applyFill="1" applyBorder="1" applyAlignment="1">
      <alignment horizontal="centerContinuous" vertical="center"/>
    </xf>
    <xf numFmtId="0" fontId="55" fillId="26" borderId="13" xfId="161" applyFont="1" applyFill="1" applyBorder="1" applyAlignment="1">
      <alignment horizontal="centerContinuous" vertical="center"/>
    </xf>
    <xf numFmtId="0" fontId="55" fillId="26" borderId="15" xfId="161" quotePrefix="1" applyFont="1" applyFill="1" applyBorder="1" applyAlignment="1">
      <alignment horizontal="centerContinuous" vertical="center"/>
    </xf>
    <xf numFmtId="0" fontId="55" fillId="26" borderId="12" xfId="161" quotePrefix="1" applyFont="1" applyFill="1" applyBorder="1" applyAlignment="1">
      <alignment horizontal="centerContinuous" vertical="center"/>
    </xf>
    <xf numFmtId="0" fontId="62" fillId="26" borderId="15" xfId="161" applyFont="1" applyFill="1" applyBorder="1" applyAlignment="1">
      <alignment horizontal="centerContinuous" vertical="center"/>
    </xf>
    <xf numFmtId="0" fontId="62" fillId="26" borderId="12" xfId="161" applyFont="1" applyFill="1" applyBorder="1" applyAlignment="1">
      <alignment horizontal="centerContinuous" vertical="center"/>
    </xf>
    <xf numFmtId="0" fontId="62" fillId="26" borderId="13" xfId="161" applyFont="1" applyFill="1" applyBorder="1" applyAlignment="1">
      <alignment horizontal="centerContinuous" vertical="center"/>
    </xf>
    <xf numFmtId="0" fontId="62" fillId="26" borderId="12" xfId="161" quotePrefix="1" applyFont="1" applyFill="1" applyBorder="1" applyAlignment="1">
      <alignment horizontal="centerContinuous" vertical="center"/>
    </xf>
    <xf numFmtId="183" fontId="62" fillId="0" borderId="2" xfId="161" quotePrefix="1" applyNumberFormat="1" applyFont="1" applyBorder="1" applyAlignment="1">
      <alignment horizontal="right" vertical="center"/>
    </xf>
    <xf numFmtId="0" fontId="62" fillId="26" borderId="15" xfId="161" quotePrefix="1" applyFont="1" applyFill="1" applyBorder="1" applyAlignment="1">
      <alignment horizontal="centerContinuous" vertical="center"/>
    </xf>
    <xf numFmtId="0" fontId="89" fillId="0" borderId="0" xfId="0" applyFont="1">
      <alignment vertical="center"/>
    </xf>
    <xf numFmtId="0" fontId="74" fillId="14" borderId="8" xfId="0" applyFont="1" applyFill="1" applyBorder="1">
      <alignment vertical="center"/>
    </xf>
    <xf numFmtId="0" fontId="54" fillId="14" borderId="6" xfId="180" applyFont="1" applyFill="1" applyBorder="1">
      <alignment vertical="center"/>
    </xf>
    <xf numFmtId="0" fontId="54" fillId="14" borderId="2" xfId="180" quotePrefix="1" applyFont="1" applyFill="1" applyBorder="1">
      <alignment vertical="center"/>
    </xf>
    <xf numFmtId="0" fontId="54" fillId="14" borderId="2" xfId="180" applyFont="1" applyFill="1" applyBorder="1">
      <alignment vertical="center"/>
    </xf>
    <xf numFmtId="0" fontId="54" fillId="14" borderId="2" xfId="180" applyFont="1" applyFill="1" applyBorder="1" applyAlignment="1">
      <alignment horizontal="center" vertical="center"/>
    </xf>
    <xf numFmtId="0" fontId="55" fillId="14" borderId="3" xfId="180" applyFont="1" applyFill="1" applyBorder="1" applyAlignment="1">
      <alignment horizontal="center" vertical="center"/>
    </xf>
    <xf numFmtId="0" fontId="54" fillId="14" borderId="3" xfId="180" applyFont="1" applyFill="1" applyBorder="1" applyAlignment="1">
      <alignment horizontal="center" vertical="center"/>
    </xf>
    <xf numFmtId="0" fontId="65" fillId="14" borderId="3" xfId="180" applyFont="1" applyFill="1" applyBorder="1" applyAlignment="1">
      <alignment horizontal="center" vertical="center"/>
    </xf>
    <xf numFmtId="0" fontId="54" fillId="0" borderId="28" xfId="0" applyFont="1" applyBorder="1">
      <alignment vertical="center"/>
    </xf>
    <xf numFmtId="0" fontId="54" fillId="14" borderId="28" xfId="161" applyFont="1" applyFill="1" applyBorder="1">
      <alignment vertical="center"/>
    </xf>
    <xf numFmtId="0" fontId="54" fillId="14" borderId="29" xfId="161" applyFont="1" applyFill="1" applyBorder="1">
      <alignment vertical="center"/>
    </xf>
    <xf numFmtId="0" fontId="55" fillId="14" borderId="33" xfId="161" applyFont="1" applyFill="1" applyBorder="1">
      <alignment vertical="center"/>
    </xf>
    <xf numFmtId="0" fontId="54" fillId="14" borderId="34" xfId="161" applyFont="1" applyFill="1" applyBorder="1">
      <alignment vertical="center"/>
    </xf>
    <xf numFmtId="0" fontId="55" fillId="14" borderId="30" xfId="161" applyFont="1" applyFill="1" applyBorder="1">
      <alignment vertical="center"/>
    </xf>
    <xf numFmtId="0" fontId="54" fillId="14" borderId="31" xfId="161" applyFont="1" applyFill="1" applyBorder="1">
      <alignment vertical="center"/>
    </xf>
    <xf numFmtId="0" fontId="54" fillId="0" borderId="31" xfId="0" applyFont="1" applyBorder="1">
      <alignment vertical="center"/>
    </xf>
    <xf numFmtId="0" fontId="0" fillId="14" borderId="31" xfId="0" applyFill="1" applyBorder="1">
      <alignment vertical="center"/>
    </xf>
    <xf numFmtId="0" fontId="55" fillId="0" borderId="31" xfId="161" applyFont="1" applyBorder="1">
      <alignment vertical="center"/>
    </xf>
    <xf numFmtId="0" fontId="54" fillId="0" borderId="31" xfId="161" applyFont="1" applyBorder="1">
      <alignment vertical="center"/>
    </xf>
    <xf numFmtId="0" fontId="54" fillId="0" borderId="31" xfId="0" applyFont="1" applyBorder="1" applyAlignment="1">
      <alignment vertical="center" wrapText="1"/>
    </xf>
    <xf numFmtId="0" fontId="54" fillId="0" borderId="31" xfId="161" quotePrefix="1" applyFont="1" applyBorder="1">
      <alignment vertical="center"/>
    </xf>
    <xf numFmtId="0" fontId="54" fillId="0" borderId="31" xfId="161" applyFont="1" applyBorder="1" applyAlignment="1">
      <alignment horizontal="center" vertical="center"/>
    </xf>
    <xf numFmtId="0" fontId="54" fillId="14" borderId="32" xfId="161" applyFont="1" applyFill="1" applyBorder="1">
      <alignment vertical="center"/>
    </xf>
    <xf numFmtId="0" fontId="54" fillId="0" borderId="28" xfId="161" quotePrefix="1" applyFont="1" applyBorder="1">
      <alignment vertical="center"/>
    </xf>
    <xf numFmtId="0" fontId="54" fillId="0" borderId="28" xfId="161" applyFont="1" applyBorder="1">
      <alignment vertical="center"/>
    </xf>
    <xf numFmtId="0" fontId="54" fillId="0" borderId="28" xfId="161" applyFont="1" applyBorder="1" applyAlignment="1">
      <alignment horizontal="center" vertical="center"/>
    </xf>
    <xf numFmtId="0" fontId="0" fillId="14" borderId="28" xfId="0" applyFill="1" applyBorder="1">
      <alignment vertical="center"/>
    </xf>
    <xf numFmtId="0" fontId="54" fillId="14" borderId="33" xfId="0" applyFont="1" applyFill="1" applyBorder="1">
      <alignment vertical="center"/>
    </xf>
    <xf numFmtId="0" fontId="54" fillId="0" borderId="34" xfId="161" applyFont="1" applyBorder="1">
      <alignment vertical="center"/>
    </xf>
    <xf numFmtId="0" fontId="65" fillId="0" borderId="33" xfId="180" applyFont="1" applyBorder="1" applyAlignment="1">
      <alignment vertical="top"/>
    </xf>
    <xf numFmtId="0" fontId="54" fillId="0" borderId="0" xfId="180" applyFont="1" applyAlignment="1">
      <alignment vertical="top"/>
    </xf>
    <xf numFmtId="0" fontId="54" fillId="14" borderId="34" xfId="180" applyFont="1" applyFill="1" applyBorder="1">
      <alignment vertical="center"/>
    </xf>
    <xf numFmtId="0" fontId="54" fillId="14" borderId="33" xfId="161" applyFont="1" applyFill="1" applyBorder="1" applyAlignment="1">
      <alignment horizontal="left" vertical="center"/>
    </xf>
    <xf numFmtId="0" fontId="54" fillId="14" borderId="30" xfId="161" applyFont="1" applyFill="1" applyBorder="1" applyAlignment="1">
      <alignment horizontal="left" vertical="center"/>
    </xf>
    <xf numFmtId="0" fontId="54" fillId="14" borderId="31" xfId="161" applyFont="1" applyFill="1" applyBorder="1" applyAlignment="1">
      <alignment horizontal="left" vertical="center"/>
    </xf>
    <xf numFmtId="0" fontId="70" fillId="0" borderId="31" xfId="161" applyFont="1" applyBorder="1" applyAlignment="1">
      <alignment horizontal="left" vertical="center"/>
    </xf>
    <xf numFmtId="0" fontId="70" fillId="0" borderId="31" xfId="0" applyFont="1" applyBorder="1">
      <alignment vertical="center"/>
    </xf>
    <xf numFmtId="0" fontId="70" fillId="0" borderId="31" xfId="161" applyFont="1" applyBorder="1" applyAlignment="1">
      <alignment horizontal="center" vertical="center"/>
    </xf>
    <xf numFmtId="0" fontId="70" fillId="0" borderId="31" xfId="161" applyFont="1" applyBorder="1">
      <alignment vertical="center"/>
    </xf>
    <xf numFmtId="0" fontId="70" fillId="0" borderId="31" xfId="0" applyFont="1" applyBorder="1" applyAlignment="1">
      <alignment horizontal="center" vertical="center"/>
    </xf>
    <xf numFmtId="0" fontId="54" fillId="0" borderId="32" xfId="161" applyFont="1" applyBorder="1">
      <alignment vertical="center"/>
    </xf>
    <xf numFmtId="0" fontId="77" fillId="14" borderId="27" xfId="0" applyFont="1" applyFill="1" applyBorder="1">
      <alignment vertical="center"/>
    </xf>
    <xf numFmtId="0" fontId="54" fillId="0" borderId="28" xfId="161" quotePrefix="1" applyFont="1" applyBorder="1" applyAlignment="1">
      <alignment horizontal="left" vertical="center"/>
    </xf>
    <xf numFmtId="0" fontId="54" fillId="0" borderId="28" xfId="161" applyFont="1" applyBorder="1" applyAlignment="1">
      <alignment horizontal="left" vertical="center"/>
    </xf>
    <xf numFmtId="0" fontId="55" fillId="0" borderId="15" xfId="161" applyFont="1" applyBorder="1">
      <alignment vertical="center"/>
    </xf>
    <xf numFmtId="0" fontId="81" fillId="14" borderId="28" xfId="0" applyFont="1" applyFill="1" applyBorder="1">
      <alignment vertical="center"/>
    </xf>
    <xf numFmtId="0" fontId="59" fillId="14" borderId="28" xfId="161" applyFont="1" applyFill="1" applyBorder="1">
      <alignment vertical="center"/>
    </xf>
    <xf numFmtId="0" fontId="21" fillId="10" borderId="28" xfId="46" applyFont="1" applyFill="1" applyBorder="1" applyAlignment="1">
      <alignment horizontal="centerContinuous"/>
    </xf>
    <xf numFmtId="0" fontId="21" fillId="10" borderId="29" xfId="46" applyFont="1" applyFill="1" applyBorder="1" applyAlignment="1">
      <alignment horizontal="centerContinuous"/>
    </xf>
    <xf numFmtId="0" fontId="62" fillId="19" borderId="35" xfId="161" applyFont="1" applyFill="1" applyBorder="1" applyAlignment="1">
      <alignment horizontal="center" vertical="center"/>
    </xf>
    <xf numFmtId="0" fontId="62" fillId="24" borderId="36" xfId="161" applyFont="1" applyFill="1" applyBorder="1" applyAlignment="1">
      <alignment horizontal="centerContinuous" vertical="center"/>
    </xf>
    <xf numFmtId="0" fontId="55" fillId="19" borderId="37" xfId="161" applyFont="1" applyFill="1" applyBorder="1" applyAlignment="1">
      <alignment horizontal="centerContinuous" vertical="center"/>
    </xf>
    <xf numFmtId="0" fontId="62" fillId="24" borderId="38" xfId="161" quotePrefix="1" applyFont="1" applyFill="1" applyBorder="1" applyAlignment="1">
      <alignment horizontal="centerContinuous" vertical="center"/>
    </xf>
    <xf numFmtId="0" fontId="54" fillId="19" borderId="39" xfId="161" quotePrefix="1" applyFont="1" applyFill="1" applyBorder="1" applyAlignment="1">
      <alignment horizontal="center" vertical="center"/>
    </xf>
    <xf numFmtId="14" fontId="62" fillId="0" borderId="40" xfId="161" quotePrefix="1" applyNumberFormat="1" applyFont="1" applyBorder="1" applyAlignment="1">
      <alignment horizontal="centerContinuous" vertical="center"/>
    </xf>
    <xf numFmtId="0" fontId="65" fillId="0" borderId="33" xfId="0" applyFont="1" applyBorder="1">
      <alignment vertical="center"/>
    </xf>
    <xf numFmtId="0" fontId="0" fillId="14" borderId="34" xfId="0" applyFill="1" applyBorder="1">
      <alignment vertical="center"/>
    </xf>
    <xf numFmtId="0" fontId="54" fillId="0" borderId="33" xfId="0" applyFont="1" applyBorder="1">
      <alignment vertical="center"/>
    </xf>
    <xf numFmtId="0" fontId="86" fillId="25" borderId="41" xfId="161" quotePrefix="1" applyFont="1" applyFill="1" applyBorder="1" applyAlignment="1">
      <alignment horizontal="left" vertical="center"/>
    </xf>
    <xf numFmtId="0" fontId="0" fillId="25" borderId="40" xfId="0" applyFill="1" applyBorder="1">
      <alignment vertical="center"/>
    </xf>
    <xf numFmtId="0" fontId="77" fillId="14" borderId="30" xfId="0" applyFont="1" applyFill="1" applyBorder="1">
      <alignment vertical="center"/>
    </xf>
    <xf numFmtId="0" fontId="54" fillId="0" borderId="31" xfId="161" quotePrefix="1" applyFont="1" applyBorder="1" applyAlignment="1">
      <alignment horizontal="left" vertical="center"/>
    </xf>
    <xf numFmtId="0" fontId="54" fillId="0" borderId="31" xfId="161" applyFont="1" applyBorder="1" applyAlignment="1">
      <alignment horizontal="left" vertical="center"/>
    </xf>
    <xf numFmtId="0" fontId="81" fillId="14" borderId="31" xfId="0" applyFont="1" applyFill="1" applyBorder="1">
      <alignment vertical="center"/>
    </xf>
    <xf numFmtId="0" fontId="59" fillId="14" borderId="31" xfId="161" applyFont="1" applyFill="1" applyBorder="1">
      <alignment vertical="center"/>
    </xf>
    <xf numFmtId="0" fontId="21" fillId="10" borderId="31" xfId="46" applyFont="1" applyFill="1" applyBorder="1" applyAlignment="1">
      <alignment horizontal="centerContinuous"/>
    </xf>
    <xf numFmtId="0" fontId="21" fillId="10" borderId="32" xfId="46" applyFont="1" applyFill="1" applyBorder="1" applyAlignment="1">
      <alignment horizontal="centerContinuous"/>
    </xf>
    <xf numFmtId="0" fontId="55" fillId="0" borderId="8" xfId="161" quotePrefix="1" applyFont="1" applyBorder="1">
      <alignment vertical="center"/>
    </xf>
    <xf numFmtId="0" fontId="59" fillId="14" borderId="12" xfId="161" applyFont="1" applyFill="1" applyBorder="1">
      <alignment vertical="center"/>
    </xf>
    <xf numFmtId="0" fontId="21" fillId="10" borderId="12" xfId="46" applyFont="1" applyFill="1" applyBorder="1" applyAlignment="1">
      <alignment horizontal="centerContinuous"/>
    </xf>
    <xf numFmtId="0" fontId="21" fillId="10" borderId="36" xfId="46" applyFont="1" applyFill="1" applyBorder="1" applyAlignment="1">
      <alignment horizontal="centerContinuous"/>
    </xf>
    <xf numFmtId="0" fontId="21" fillId="10" borderId="34" xfId="46" applyFont="1" applyFill="1" applyBorder="1" applyAlignment="1">
      <alignment horizontal="centerContinuous"/>
    </xf>
    <xf numFmtId="0" fontId="21" fillId="10" borderId="8" xfId="46" applyFont="1" applyFill="1" applyBorder="1" applyAlignment="1">
      <alignment horizontal="centerContinuous"/>
    </xf>
    <xf numFmtId="0" fontId="21" fillId="10" borderId="38" xfId="46" applyFont="1" applyFill="1" applyBorder="1" applyAlignment="1">
      <alignment horizontal="centerContinuous"/>
    </xf>
    <xf numFmtId="0" fontId="21" fillId="10" borderId="2" xfId="46" applyFont="1" applyFill="1" applyBorder="1" applyAlignment="1">
      <alignment horizontal="centerContinuous"/>
    </xf>
    <xf numFmtId="0" fontId="62" fillId="26" borderId="10" xfId="161" applyFont="1" applyFill="1" applyBorder="1" applyAlignment="1">
      <alignment horizontal="centerContinuous" vertical="center"/>
    </xf>
    <xf numFmtId="0" fontId="54" fillId="0" borderId="0" xfId="161" quotePrefix="1" applyFont="1" applyAlignment="1">
      <alignment horizontal="center" vertical="center"/>
    </xf>
    <xf numFmtId="0" fontId="75" fillId="0" borderId="0" xfId="0" applyFont="1">
      <alignment vertical="center"/>
    </xf>
    <xf numFmtId="179" fontId="62" fillId="0" borderId="0" xfId="161" quotePrefix="1" applyNumberFormat="1" applyFont="1" applyAlignment="1">
      <alignment horizontal="right" vertical="center"/>
    </xf>
    <xf numFmtId="0" fontId="62" fillId="0" borderId="0" xfId="161" quotePrefix="1" applyFont="1" applyAlignment="1">
      <alignment horizontal="right" vertical="center"/>
    </xf>
    <xf numFmtId="0" fontId="21" fillId="10" borderId="16" xfId="46" applyFont="1" applyFill="1" applyBorder="1" applyAlignment="1">
      <alignment horizontal="center"/>
    </xf>
    <xf numFmtId="0" fontId="21" fillId="10" borderId="9" xfId="46" applyFont="1" applyFill="1" applyBorder="1" applyAlignment="1">
      <alignment horizontal="center"/>
    </xf>
    <xf numFmtId="0" fontId="77" fillId="14" borderId="33" xfId="0" applyFont="1" applyFill="1" applyBorder="1">
      <alignment vertical="center"/>
    </xf>
    <xf numFmtId="0" fontId="21" fillId="10" borderId="40" xfId="46" applyFont="1" applyFill="1" applyBorder="1" applyAlignment="1">
      <alignment horizontal="centerContinuous"/>
    </xf>
    <xf numFmtId="0" fontId="55" fillId="0" borderId="33" xfId="161" applyFont="1" applyBorder="1">
      <alignment vertical="center"/>
    </xf>
    <xf numFmtId="0" fontId="77" fillId="0" borderId="33" xfId="0" applyFont="1" applyBorder="1">
      <alignment vertical="center"/>
    </xf>
    <xf numFmtId="0" fontId="62" fillId="0" borderId="33" xfId="161" applyFont="1" applyBorder="1" applyAlignment="1">
      <alignment horizontal="center" vertical="center"/>
    </xf>
    <xf numFmtId="0" fontId="54" fillId="0" borderId="33" xfId="161" quotePrefix="1" applyFont="1" applyBorder="1" applyAlignment="1">
      <alignment horizontal="center" vertical="center"/>
    </xf>
    <xf numFmtId="0" fontId="21" fillId="10" borderId="42" xfId="46" applyFont="1" applyFill="1" applyBorder="1" applyAlignment="1">
      <alignment horizontal="centerContinuous"/>
    </xf>
    <xf numFmtId="0" fontId="21" fillId="10" borderId="43" xfId="46" applyFont="1" applyFill="1" applyBorder="1" applyAlignment="1">
      <alignment horizontal="centerContinuous"/>
    </xf>
    <xf numFmtId="0" fontId="21" fillId="10" borderId="11" xfId="46" applyFont="1" applyFill="1" applyBorder="1" applyAlignment="1">
      <alignment horizontal="centerContinuous"/>
    </xf>
    <xf numFmtId="0" fontId="76" fillId="14" borderId="0" xfId="180" applyFont="1" applyFill="1">
      <alignment vertical="center"/>
    </xf>
    <xf numFmtId="0" fontId="54" fillId="0" borderId="34" xfId="0" applyFont="1" applyBorder="1">
      <alignment vertical="center"/>
    </xf>
    <xf numFmtId="0" fontId="66" fillId="19" borderId="41" xfId="180" applyFont="1" applyFill="1" applyBorder="1" applyAlignment="1">
      <alignment horizontal="centerContinuous" vertical="center"/>
    </xf>
    <xf numFmtId="0" fontId="78" fillId="14" borderId="41" xfId="180" quotePrefix="1" applyFont="1" applyFill="1" applyBorder="1">
      <alignment vertical="center"/>
    </xf>
    <xf numFmtId="14" fontId="54" fillId="14" borderId="2" xfId="180" applyNumberFormat="1" applyFont="1" applyFill="1" applyBorder="1" applyAlignment="1">
      <alignment horizontal="centerContinuous" vertical="center"/>
    </xf>
    <xf numFmtId="0" fontId="54" fillId="14" borderId="44" xfId="0" applyFont="1" applyFill="1" applyBorder="1">
      <alignment vertical="center"/>
    </xf>
    <xf numFmtId="0" fontId="0" fillId="14" borderId="33" xfId="0" applyFill="1" applyBorder="1">
      <alignment vertical="center"/>
    </xf>
    <xf numFmtId="0" fontId="54" fillId="14" borderId="44" xfId="161" applyFont="1" applyFill="1" applyBorder="1">
      <alignment vertical="center"/>
    </xf>
    <xf numFmtId="185" fontId="62" fillId="0" borderId="0" xfId="161" quotePrefix="1" applyNumberFormat="1" applyFont="1" applyAlignment="1">
      <alignment horizontal="right" vertical="center"/>
    </xf>
    <xf numFmtId="0" fontId="21" fillId="10" borderId="21" xfId="46" applyFont="1" applyFill="1" applyBorder="1" applyAlignment="1">
      <alignment horizontal="center"/>
    </xf>
    <xf numFmtId="0" fontId="21" fillId="10" borderId="22" xfId="46" applyFont="1" applyFill="1" applyBorder="1" applyAlignment="1">
      <alignment horizontal="center"/>
    </xf>
    <xf numFmtId="0" fontId="62" fillId="21" borderId="10" xfId="161" applyFont="1" applyFill="1" applyBorder="1" applyAlignment="1">
      <alignment horizontal="centerContinuous" vertical="center"/>
    </xf>
    <xf numFmtId="0" fontId="62" fillId="26" borderId="10" xfId="161" quotePrefix="1" applyFont="1" applyFill="1" applyBorder="1" applyAlignment="1">
      <alignment horizontal="centerContinuous" vertical="center"/>
    </xf>
    <xf numFmtId="0" fontId="79" fillId="14" borderId="0" xfId="161" applyFont="1" applyFill="1">
      <alignment vertical="center"/>
    </xf>
    <xf numFmtId="14" fontId="54" fillId="0" borderId="0" xfId="161" quotePrefix="1" applyNumberFormat="1" applyFont="1">
      <alignment vertical="center"/>
    </xf>
    <xf numFmtId="0" fontId="65" fillId="0" borderId="0" xfId="180" applyFont="1" applyAlignment="1">
      <alignment vertical="top"/>
    </xf>
    <xf numFmtId="0" fontId="55" fillId="14" borderId="0" xfId="180" applyFont="1" applyFill="1" applyAlignment="1">
      <alignment horizontal="center" vertical="center"/>
    </xf>
    <xf numFmtId="0" fontId="65" fillId="14" borderId="0" xfId="180" applyFont="1" applyFill="1" applyAlignment="1">
      <alignment horizontal="center" vertical="center"/>
    </xf>
    <xf numFmtId="0" fontId="70" fillId="0" borderId="28" xfId="161" applyFont="1" applyBorder="1" applyAlignment="1">
      <alignment horizontal="left" vertical="center"/>
    </xf>
    <xf numFmtId="0" fontId="70" fillId="0" borderId="28" xfId="0" applyFont="1" applyBorder="1">
      <alignment vertical="center"/>
    </xf>
    <xf numFmtId="0" fontId="70" fillId="0" borderId="28" xfId="161" applyFont="1" applyBorder="1" applyAlignment="1">
      <alignment horizontal="center" vertical="center"/>
    </xf>
    <xf numFmtId="0" fontId="70" fillId="0" borderId="28" xfId="161" applyFont="1" applyBorder="1">
      <alignment vertical="center"/>
    </xf>
    <xf numFmtId="0" fontId="70" fillId="0" borderId="28" xfId="0" applyFont="1" applyBorder="1" applyAlignment="1">
      <alignment horizontal="center" vertical="center"/>
    </xf>
    <xf numFmtId="0" fontId="77" fillId="27" borderId="27" xfId="0" applyFont="1" applyFill="1" applyBorder="1">
      <alignment vertical="center"/>
    </xf>
    <xf numFmtId="0" fontId="54" fillId="27" borderId="28" xfId="0" applyFont="1" applyFill="1" applyBorder="1">
      <alignment vertical="center"/>
    </xf>
    <xf numFmtId="0" fontId="54" fillId="27" borderId="28" xfId="161" quotePrefix="1" applyFont="1" applyFill="1" applyBorder="1" applyAlignment="1">
      <alignment horizontal="left" vertical="center"/>
    </xf>
    <xf numFmtId="0" fontId="54" fillId="27" borderId="28" xfId="161" quotePrefix="1" applyFont="1" applyFill="1" applyBorder="1">
      <alignment vertical="center"/>
    </xf>
    <xf numFmtId="0" fontId="54" fillId="27" borderId="28" xfId="161" applyFont="1" applyFill="1" applyBorder="1">
      <alignment vertical="center"/>
    </xf>
    <xf numFmtId="0" fontId="54" fillId="27" borderId="28" xfId="161" applyFont="1" applyFill="1" applyBorder="1" applyAlignment="1">
      <alignment horizontal="left" vertical="center"/>
    </xf>
    <xf numFmtId="0" fontId="0" fillId="27" borderId="28" xfId="0" applyFill="1" applyBorder="1">
      <alignment vertical="center"/>
    </xf>
    <xf numFmtId="0" fontId="54" fillId="27" borderId="28" xfId="161" applyFont="1" applyFill="1" applyBorder="1" applyAlignment="1">
      <alignment horizontal="center" vertical="center"/>
    </xf>
    <xf numFmtId="0" fontId="55" fillId="27" borderId="33" xfId="161" applyFont="1" applyFill="1" applyBorder="1">
      <alignment vertical="center"/>
    </xf>
    <xf numFmtId="0" fontId="54" fillId="27" borderId="0" xfId="0" applyFont="1" applyFill="1">
      <alignment vertical="center"/>
    </xf>
    <xf numFmtId="0" fontId="54" fillId="27" borderId="6" xfId="0" applyFont="1" applyFill="1" applyBorder="1">
      <alignment vertical="center"/>
    </xf>
    <xf numFmtId="0" fontId="0" fillId="27" borderId="0" xfId="0" applyFill="1">
      <alignment vertical="center"/>
    </xf>
    <xf numFmtId="0" fontId="54" fillId="27" borderId="0" xfId="161" applyFont="1" applyFill="1" applyAlignment="1">
      <alignment horizontal="center" vertical="center"/>
    </xf>
    <xf numFmtId="0" fontId="54" fillId="27" borderId="0" xfId="161" applyFont="1" applyFill="1">
      <alignment vertical="center"/>
    </xf>
    <xf numFmtId="0" fontId="54" fillId="27" borderId="0" xfId="161" quotePrefix="1" applyFont="1" applyFill="1">
      <alignment vertical="center"/>
    </xf>
    <xf numFmtId="0" fontId="54" fillId="27" borderId="30" xfId="161" applyFont="1" applyFill="1" applyBorder="1" applyAlignment="1">
      <alignment horizontal="left" vertical="center"/>
    </xf>
    <xf numFmtId="0" fontId="54" fillId="27" borderId="31" xfId="161" applyFont="1" applyFill="1" applyBorder="1" applyAlignment="1">
      <alignment horizontal="left" vertical="center"/>
    </xf>
    <xf numFmtId="0" fontId="70" fillId="27" borderId="31" xfId="161" applyFont="1" applyFill="1" applyBorder="1" applyAlignment="1">
      <alignment horizontal="left" vertical="center"/>
    </xf>
    <xf numFmtId="0" fontId="70" fillId="27" borderId="31" xfId="0" applyFont="1" applyFill="1" applyBorder="1">
      <alignment vertical="center"/>
    </xf>
    <xf numFmtId="0" fontId="70" fillId="27" borderId="31" xfId="161" applyFont="1" applyFill="1" applyBorder="1" applyAlignment="1">
      <alignment horizontal="center" vertical="center"/>
    </xf>
    <xf numFmtId="0" fontId="70" fillId="27" borderId="31" xfId="161" applyFont="1" applyFill="1" applyBorder="1">
      <alignment vertical="center"/>
    </xf>
    <xf numFmtId="0" fontId="70" fillId="27" borderId="31" xfId="0" applyFont="1" applyFill="1" applyBorder="1" applyAlignment="1">
      <alignment horizontal="center" vertical="center"/>
    </xf>
    <xf numFmtId="0" fontId="54" fillId="27" borderId="31" xfId="161" applyFont="1" applyFill="1" applyBorder="1" applyAlignment="1">
      <alignment horizontal="center" vertical="center"/>
    </xf>
    <xf numFmtId="0" fontId="54" fillId="14" borderId="10" xfId="161" quotePrefix="1" applyFont="1" applyFill="1" applyBorder="1">
      <alignment vertical="center"/>
    </xf>
    <xf numFmtId="0" fontId="90" fillId="14" borderId="33" xfId="161" applyFont="1" applyFill="1" applyBorder="1">
      <alignment vertical="center"/>
    </xf>
    <xf numFmtId="0" fontId="86" fillId="0" borderId="33" xfId="161" quotePrefix="1" applyFont="1" applyBorder="1" applyAlignment="1">
      <alignment horizontal="left" vertical="center"/>
    </xf>
    <xf numFmtId="0" fontId="54" fillId="0" borderId="8" xfId="0" applyFont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34" xfId="0" applyBorder="1">
      <alignment vertical="center"/>
    </xf>
    <xf numFmtId="0" fontId="55" fillId="0" borderId="12" xfId="0" applyFont="1" applyBorder="1">
      <alignment vertical="center"/>
    </xf>
    <xf numFmtId="0" fontId="54" fillId="0" borderId="12" xfId="0" quotePrefix="1" applyFont="1" applyBorder="1">
      <alignment vertical="center"/>
    </xf>
    <xf numFmtId="0" fontId="54" fillId="0" borderId="12" xfId="0" applyFont="1" applyBorder="1" applyAlignment="1">
      <alignment horizontal="center" vertical="center"/>
    </xf>
    <xf numFmtId="0" fontId="54" fillId="0" borderId="12" xfId="0" applyFont="1" applyBorder="1" applyAlignment="1">
      <alignment horizontal="left" vertical="center"/>
    </xf>
    <xf numFmtId="0" fontId="62" fillId="19" borderId="45" xfId="161" applyFont="1" applyFill="1" applyBorder="1" applyAlignment="1">
      <alignment horizontal="center" vertical="center"/>
    </xf>
    <xf numFmtId="0" fontId="55" fillId="28" borderId="46" xfId="161" applyFont="1" applyFill="1" applyBorder="1" applyAlignment="1">
      <alignment horizontal="centerContinuous" vertical="center"/>
    </xf>
    <xf numFmtId="0" fontId="55" fillId="28" borderId="28" xfId="161" applyFont="1" applyFill="1" applyBorder="1" applyAlignment="1">
      <alignment horizontal="centerContinuous" vertical="center"/>
    </xf>
    <xf numFmtId="0" fontId="55" fillId="28" borderId="42" xfId="161" applyFont="1" applyFill="1" applyBorder="1" applyAlignment="1">
      <alignment horizontal="centerContinuous" vertical="center"/>
    </xf>
    <xf numFmtId="0" fontId="55" fillId="28" borderId="46" xfId="161" quotePrefix="1" applyFont="1" applyFill="1" applyBorder="1" applyAlignment="1">
      <alignment horizontal="centerContinuous" vertical="center"/>
    </xf>
    <xf numFmtId="0" fontId="55" fillId="28" borderId="28" xfId="161" quotePrefix="1" applyFont="1" applyFill="1" applyBorder="1" applyAlignment="1">
      <alignment horizontal="centerContinuous" vertical="center"/>
    </xf>
    <xf numFmtId="0" fontId="62" fillId="28" borderId="46" xfId="161" applyFont="1" applyFill="1" applyBorder="1" applyAlignment="1">
      <alignment horizontal="centerContinuous" vertical="center"/>
    </xf>
    <xf numFmtId="0" fontId="62" fillId="28" borderId="28" xfId="161" applyFont="1" applyFill="1" applyBorder="1" applyAlignment="1">
      <alignment horizontal="centerContinuous" vertical="center"/>
    </xf>
    <xf numFmtId="0" fontId="62" fillId="28" borderId="42" xfId="161" applyFont="1" applyFill="1" applyBorder="1" applyAlignment="1">
      <alignment horizontal="centerContinuous" vertical="center"/>
    </xf>
    <xf numFmtId="0" fontId="55" fillId="20" borderId="46" xfId="161" applyFont="1" applyFill="1" applyBorder="1" applyAlignment="1">
      <alignment horizontal="centerContinuous" vertical="center"/>
    </xf>
    <xf numFmtId="0" fontId="55" fillId="20" borderId="28" xfId="161" applyFont="1" applyFill="1" applyBorder="1" applyAlignment="1">
      <alignment horizontal="centerContinuous" vertical="center"/>
    </xf>
    <xf numFmtId="0" fontId="55" fillId="20" borderId="42" xfId="161" applyFont="1" applyFill="1" applyBorder="1" applyAlignment="1">
      <alignment horizontal="centerContinuous" vertical="center"/>
    </xf>
    <xf numFmtId="0" fontId="55" fillId="20" borderId="46" xfId="161" quotePrefix="1" applyFont="1" applyFill="1" applyBorder="1" applyAlignment="1">
      <alignment horizontal="centerContinuous" vertical="center"/>
    </xf>
    <xf numFmtId="0" fontId="55" fillId="20" borderId="28" xfId="161" quotePrefix="1" applyFont="1" applyFill="1" applyBorder="1" applyAlignment="1">
      <alignment horizontal="centerContinuous" vertical="center"/>
    </xf>
    <xf numFmtId="0" fontId="62" fillId="20" borderId="46" xfId="161" applyFont="1" applyFill="1" applyBorder="1" applyAlignment="1">
      <alignment horizontal="centerContinuous" vertical="center"/>
    </xf>
    <xf numFmtId="0" fontId="62" fillId="20" borderId="28" xfId="161" applyFont="1" applyFill="1" applyBorder="1" applyAlignment="1">
      <alignment horizontal="centerContinuous" vertical="center"/>
    </xf>
    <xf numFmtId="0" fontId="62" fillId="20" borderId="42" xfId="161" applyFont="1" applyFill="1" applyBorder="1" applyAlignment="1">
      <alignment horizontal="centerContinuous" vertical="center"/>
    </xf>
    <xf numFmtId="0" fontId="54" fillId="19" borderId="35" xfId="161" quotePrefix="1" applyFont="1" applyFill="1" applyBorder="1" applyAlignment="1">
      <alignment horizontal="center" vertical="center"/>
    </xf>
    <xf numFmtId="0" fontId="62" fillId="0" borderId="15" xfId="161" quotePrefix="1" applyFont="1" applyBorder="1" applyAlignment="1">
      <alignment horizontal="centerContinuous" vertical="center"/>
    </xf>
    <xf numFmtId="0" fontId="64" fillId="0" borderId="12" xfId="161" applyFont="1" applyBorder="1" applyAlignment="1">
      <alignment horizontal="centerContinuous" vertical="center"/>
    </xf>
    <xf numFmtId="0" fontId="64" fillId="0" borderId="13" xfId="161" applyFont="1" applyBorder="1" applyAlignment="1">
      <alignment horizontal="centerContinuous" vertical="center"/>
    </xf>
    <xf numFmtId="14" fontId="62" fillId="0" borderId="28" xfId="161" quotePrefix="1" applyNumberFormat="1" applyFont="1" applyBorder="1" applyAlignment="1">
      <alignment horizontal="centerContinuous" vertical="center"/>
    </xf>
    <xf numFmtId="0" fontId="62" fillId="0" borderId="28" xfId="161" quotePrefix="1" applyFont="1" applyBorder="1" applyAlignment="1">
      <alignment horizontal="centerContinuous" vertical="center"/>
    </xf>
    <xf numFmtId="0" fontId="64" fillId="0" borderId="28" xfId="161" applyFont="1" applyBorder="1" applyAlignment="1">
      <alignment horizontal="centerContinuous" vertical="center"/>
    </xf>
    <xf numFmtId="0" fontId="55" fillId="0" borderId="28" xfId="161" applyFont="1" applyBorder="1" applyAlignment="1">
      <alignment horizontal="center" vertical="center"/>
    </xf>
    <xf numFmtId="14" fontId="62" fillId="0" borderId="47" xfId="161" quotePrefix="1" applyNumberFormat="1" applyFont="1" applyBorder="1" applyAlignment="1">
      <alignment horizontal="centerContinuous" vertical="center"/>
    </xf>
    <xf numFmtId="14" fontId="62" fillId="0" borderId="48" xfId="161" quotePrefix="1" applyNumberFormat="1" applyFont="1" applyBorder="1" applyAlignment="1">
      <alignment horizontal="centerContinuous" vertical="center"/>
    </xf>
    <xf numFmtId="0" fontId="55" fillId="14" borderId="49" xfId="161" applyFont="1" applyFill="1" applyBorder="1" applyAlignment="1">
      <alignment horizontal="centerContinuous" vertical="center"/>
    </xf>
    <xf numFmtId="0" fontId="54" fillId="0" borderId="27" xfId="161" quotePrefix="1" applyFont="1" applyBorder="1" applyAlignment="1">
      <alignment horizontal="center" vertical="center"/>
    </xf>
    <xf numFmtId="0" fontId="62" fillId="19" borderId="23" xfId="161" applyFont="1" applyFill="1" applyBorder="1" applyAlignment="1">
      <alignment horizontal="center" vertical="center"/>
    </xf>
    <xf numFmtId="0" fontId="55" fillId="28" borderId="15" xfId="161" applyFont="1" applyFill="1" applyBorder="1" applyAlignment="1">
      <alignment horizontal="centerContinuous" vertical="center"/>
    </xf>
    <xf numFmtId="0" fontId="55" fillId="28" borderId="12" xfId="161" applyFont="1" applyFill="1" applyBorder="1" applyAlignment="1">
      <alignment horizontal="centerContinuous" vertical="center"/>
    </xf>
    <xf numFmtId="0" fontId="55" fillId="28" borderId="13" xfId="161" applyFont="1" applyFill="1" applyBorder="1" applyAlignment="1">
      <alignment horizontal="centerContinuous" vertical="center"/>
    </xf>
    <xf numFmtId="0" fontId="55" fillId="28" borderId="15" xfId="161" quotePrefix="1" applyFont="1" applyFill="1" applyBorder="1" applyAlignment="1">
      <alignment horizontal="centerContinuous" vertical="center"/>
    </xf>
    <xf numFmtId="0" fontId="55" fillId="28" borderId="12" xfId="161" quotePrefix="1" applyFont="1" applyFill="1" applyBorder="1" applyAlignment="1">
      <alignment horizontal="centerContinuous" vertical="center"/>
    </xf>
    <xf numFmtId="0" fontId="62" fillId="28" borderId="15" xfId="161" applyFont="1" applyFill="1" applyBorder="1" applyAlignment="1">
      <alignment horizontal="centerContinuous" vertical="center"/>
    </xf>
    <xf numFmtId="0" fontId="62" fillId="28" borderId="12" xfId="161" applyFont="1" applyFill="1" applyBorder="1" applyAlignment="1">
      <alignment horizontal="centerContinuous" vertical="center"/>
    </xf>
    <xf numFmtId="0" fontId="62" fillId="28" borderId="13" xfId="161" applyFont="1" applyFill="1" applyBorder="1" applyAlignment="1">
      <alignment horizontal="centerContinuous" vertical="center"/>
    </xf>
    <xf numFmtId="0" fontId="0" fillId="14" borderId="13" xfId="0" applyFill="1" applyBorder="1">
      <alignment vertical="center"/>
    </xf>
    <xf numFmtId="0" fontId="54" fillId="19" borderId="3" xfId="161" quotePrefix="1" applyFont="1" applyFill="1" applyBorder="1" applyAlignment="1">
      <alignment horizontal="center" vertical="center"/>
    </xf>
    <xf numFmtId="0" fontId="54" fillId="0" borderId="11" xfId="0" applyFont="1" applyBorder="1">
      <alignment vertical="center"/>
    </xf>
    <xf numFmtId="0" fontId="86" fillId="25" borderId="10" xfId="161" quotePrefix="1" applyFont="1" applyFill="1" applyBorder="1" applyAlignment="1">
      <alignment horizontal="left" vertical="center"/>
    </xf>
    <xf numFmtId="0" fontId="0" fillId="25" borderId="17" xfId="0" applyFill="1" applyBorder="1">
      <alignment vertical="center"/>
    </xf>
    <xf numFmtId="0" fontId="55" fillId="20" borderId="12" xfId="161" applyFont="1" applyFill="1" applyBorder="1" applyAlignment="1">
      <alignment horizontal="centerContinuous" vertical="center"/>
    </xf>
    <xf numFmtId="0" fontId="55" fillId="20" borderId="13" xfId="161" applyFont="1" applyFill="1" applyBorder="1" applyAlignment="1">
      <alignment horizontal="centerContinuous" vertical="center"/>
    </xf>
    <xf numFmtId="0" fontId="55" fillId="20" borderId="15" xfId="161" quotePrefix="1" applyFont="1" applyFill="1" applyBorder="1" applyAlignment="1">
      <alignment horizontal="centerContinuous" vertical="center"/>
    </xf>
    <xf numFmtId="0" fontId="55" fillId="20" borderId="12" xfId="161" quotePrefix="1" applyFont="1" applyFill="1" applyBorder="1" applyAlignment="1">
      <alignment horizontal="centerContinuous" vertical="center"/>
    </xf>
    <xf numFmtId="0" fontId="55" fillId="20" borderId="15" xfId="161" applyFont="1" applyFill="1" applyBorder="1" applyAlignment="1">
      <alignment horizontal="centerContinuous" vertical="center"/>
    </xf>
    <xf numFmtId="0" fontId="62" fillId="20" borderId="15" xfId="161" applyFont="1" applyFill="1" applyBorder="1" applyAlignment="1">
      <alignment horizontal="centerContinuous" vertical="center"/>
    </xf>
    <xf numFmtId="0" fontId="62" fillId="20" borderId="12" xfId="161" applyFont="1" applyFill="1" applyBorder="1" applyAlignment="1">
      <alignment horizontal="centerContinuous" vertical="center"/>
    </xf>
    <xf numFmtId="0" fontId="62" fillId="20" borderId="13" xfId="161" applyFont="1" applyFill="1" applyBorder="1" applyAlignment="1">
      <alignment horizontal="centerContinuous" vertical="center"/>
    </xf>
    <xf numFmtId="0" fontId="54" fillId="0" borderId="7" xfId="0" applyFont="1" applyBorder="1">
      <alignment vertical="center"/>
    </xf>
    <xf numFmtId="0" fontId="54" fillId="0" borderId="8" xfId="0" applyFont="1" applyBorder="1" applyAlignment="1">
      <alignment vertical="center" wrapText="1"/>
    </xf>
    <xf numFmtId="0" fontId="74" fillId="0" borderId="8" xfId="0" applyFont="1" applyBorder="1">
      <alignment vertical="center"/>
    </xf>
    <xf numFmtId="9" fontId="54" fillId="0" borderId="2" xfId="161" applyNumberFormat="1" applyFont="1" applyBorder="1">
      <alignment vertical="center"/>
    </xf>
    <xf numFmtId="0" fontId="62" fillId="26" borderId="7" xfId="161" quotePrefix="1" applyFont="1" applyFill="1" applyBorder="1" applyAlignment="1">
      <alignment horizontal="centerContinuous" vertical="center"/>
    </xf>
    <xf numFmtId="0" fontId="62" fillId="26" borderId="8" xfId="161" applyFont="1" applyFill="1" applyBorder="1" applyAlignment="1">
      <alignment horizontal="centerContinuous" vertical="center"/>
    </xf>
    <xf numFmtId="0" fontId="62" fillId="26" borderId="14" xfId="161" applyFont="1" applyFill="1" applyBorder="1" applyAlignment="1">
      <alignment horizontal="centerContinuous" vertical="center"/>
    </xf>
    <xf numFmtId="0" fontId="62" fillId="26" borderId="8" xfId="161" quotePrefix="1" applyFont="1" applyFill="1" applyBorder="1" applyAlignment="1">
      <alignment horizontal="centerContinuous" vertical="center"/>
    </xf>
    <xf numFmtId="0" fontId="62" fillId="19" borderId="37" xfId="161" applyFont="1" applyFill="1" applyBorder="1" applyAlignment="1">
      <alignment horizontal="center" vertical="center"/>
    </xf>
    <xf numFmtId="0" fontId="55" fillId="26" borderId="7" xfId="161" applyFont="1" applyFill="1" applyBorder="1" applyAlignment="1">
      <alignment horizontal="centerContinuous" vertical="center"/>
    </xf>
    <xf numFmtId="0" fontId="55" fillId="26" borderId="8" xfId="161" applyFont="1" applyFill="1" applyBorder="1" applyAlignment="1">
      <alignment horizontal="centerContinuous" vertical="center"/>
    </xf>
    <xf numFmtId="0" fontId="55" fillId="26" borderId="14" xfId="161" applyFont="1" applyFill="1" applyBorder="1" applyAlignment="1">
      <alignment horizontal="centerContinuous" vertical="center"/>
    </xf>
    <xf numFmtId="0" fontId="55" fillId="26" borderId="7" xfId="161" quotePrefix="1" applyFont="1" applyFill="1" applyBorder="1" applyAlignment="1">
      <alignment horizontal="centerContinuous" vertical="center"/>
    </xf>
    <xf numFmtId="0" fontId="55" fillId="26" borderId="8" xfId="161" quotePrefix="1" applyFont="1" applyFill="1" applyBorder="1" applyAlignment="1">
      <alignment horizontal="centerContinuous" vertical="center"/>
    </xf>
    <xf numFmtId="0" fontId="62" fillId="26" borderId="7" xfId="161" applyFont="1" applyFill="1" applyBorder="1" applyAlignment="1">
      <alignment horizontal="centerContinuous" vertical="center"/>
    </xf>
    <xf numFmtId="0" fontId="54" fillId="14" borderId="10" xfId="0" quotePrefix="1" applyFont="1" applyFill="1" applyBorder="1">
      <alignment vertical="center"/>
    </xf>
    <xf numFmtId="0" fontId="54" fillId="29" borderId="10" xfId="0" quotePrefix="1" applyFont="1" applyFill="1" applyBorder="1">
      <alignment vertical="center"/>
    </xf>
    <xf numFmtId="0" fontId="54" fillId="29" borderId="2" xfId="180" quotePrefix="1" applyFont="1" applyFill="1" applyBorder="1">
      <alignment vertical="center"/>
    </xf>
    <xf numFmtId="0" fontId="54" fillId="29" borderId="2" xfId="180" applyFont="1" applyFill="1" applyBorder="1">
      <alignment vertical="center"/>
    </xf>
    <xf numFmtId="0" fontId="54" fillId="29" borderId="2" xfId="180" applyFont="1" applyFill="1" applyBorder="1" applyAlignment="1">
      <alignment horizontal="center" vertical="center"/>
    </xf>
    <xf numFmtId="0" fontId="0" fillId="29" borderId="2" xfId="0" applyFill="1" applyBorder="1">
      <alignment vertical="center"/>
    </xf>
    <xf numFmtId="0" fontId="54" fillId="29" borderId="17" xfId="180" applyFont="1" applyFill="1" applyBorder="1" applyAlignment="1">
      <alignment horizontal="center" vertical="center"/>
    </xf>
    <xf numFmtId="0" fontId="91" fillId="25" borderId="41" xfId="161" quotePrefix="1" applyFont="1" applyFill="1" applyBorder="1" applyAlignment="1">
      <alignment horizontal="left" vertical="center"/>
    </xf>
    <xf numFmtId="0" fontId="77" fillId="14" borderId="28" xfId="0" applyFont="1" applyFill="1" applyBorder="1">
      <alignment vertical="center"/>
    </xf>
    <xf numFmtId="185" fontId="62" fillId="0" borderId="0" xfId="161" quotePrefix="1" applyNumberFormat="1" applyFont="1">
      <alignment vertical="center"/>
    </xf>
    <xf numFmtId="0" fontId="92" fillId="0" borderId="0" xfId="0" applyFont="1">
      <alignment vertical="center"/>
    </xf>
    <xf numFmtId="0" fontId="54" fillId="29" borderId="2" xfId="0" applyFont="1" applyFill="1" applyBorder="1">
      <alignment vertical="center"/>
    </xf>
    <xf numFmtId="0" fontId="66" fillId="29" borderId="2" xfId="180" applyFont="1" applyFill="1" applyBorder="1">
      <alignment vertical="center"/>
    </xf>
    <xf numFmtId="0" fontId="54" fillId="29" borderId="2" xfId="0" applyFont="1" applyFill="1" applyBorder="1" applyAlignment="1">
      <alignment vertical="center" wrapText="1"/>
    </xf>
    <xf numFmtId="0" fontId="54" fillId="29" borderId="17" xfId="0" applyFont="1" applyFill="1" applyBorder="1">
      <alignment vertical="center"/>
    </xf>
    <xf numFmtId="0" fontId="54" fillId="0" borderId="24" xfId="180" applyFont="1" applyBorder="1">
      <alignment vertical="center"/>
    </xf>
    <xf numFmtId="0" fontId="54" fillId="29" borderId="2" xfId="180" applyFont="1" applyFill="1" applyBorder="1" applyAlignment="1">
      <alignment horizontal="left" vertical="center"/>
    </xf>
    <xf numFmtId="0" fontId="55" fillId="14" borderId="41" xfId="180" quotePrefix="1" applyFont="1" applyFill="1" applyBorder="1">
      <alignment vertical="center"/>
    </xf>
    <xf numFmtId="0" fontId="54" fillId="14" borderId="10" xfId="180" quotePrefix="1" applyFont="1" applyFill="1" applyBorder="1" applyAlignment="1">
      <alignment horizontal="left" vertical="center"/>
    </xf>
    <xf numFmtId="0" fontId="54" fillId="0" borderId="33" xfId="161" applyFont="1" applyBorder="1">
      <alignment vertical="center"/>
    </xf>
    <xf numFmtId="0" fontId="93" fillId="0" borderId="0" xfId="0" applyFont="1">
      <alignment vertical="center"/>
    </xf>
    <xf numFmtId="0" fontId="80" fillId="14" borderId="44" xfId="161" quotePrefix="1" applyFont="1" applyFill="1" applyBorder="1">
      <alignment vertical="center"/>
    </xf>
    <xf numFmtId="0" fontId="54" fillId="14" borderId="50" xfId="161" applyFont="1" applyFill="1" applyBorder="1">
      <alignment vertical="center"/>
    </xf>
    <xf numFmtId="0" fontId="54" fillId="14" borderId="11" xfId="0" applyFont="1" applyFill="1" applyBorder="1">
      <alignment vertical="center"/>
    </xf>
    <xf numFmtId="0" fontId="65" fillId="0" borderId="28" xfId="0" applyFont="1" applyBorder="1">
      <alignment vertical="center"/>
    </xf>
    <xf numFmtId="0" fontId="54" fillId="14" borderId="8" xfId="180" quotePrefix="1" applyFont="1" applyFill="1" applyBorder="1">
      <alignment vertical="center"/>
    </xf>
    <xf numFmtId="0" fontId="54" fillId="14" borderId="8" xfId="180" applyFont="1" applyFill="1" applyBorder="1">
      <alignment vertical="center"/>
    </xf>
    <xf numFmtId="0" fontId="54" fillId="14" borderId="8" xfId="180" applyFont="1" applyFill="1" applyBorder="1" applyAlignment="1">
      <alignment horizontal="center" vertical="center"/>
    </xf>
    <xf numFmtId="0" fontId="54" fillId="14" borderId="25" xfId="180" applyFont="1" applyFill="1" applyBorder="1" applyAlignment="1">
      <alignment horizontal="center" vertical="center"/>
    </xf>
    <xf numFmtId="0" fontId="55" fillId="0" borderId="33" xfId="180" applyFont="1" applyBorder="1" applyAlignment="1">
      <alignment vertical="top"/>
    </xf>
    <xf numFmtId="0" fontId="55" fillId="14" borderId="17" xfId="180" applyFont="1" applyFill="1" applyBorder="1" applyAlignment="1">
      <alignment horizontal="center" vertical="center"/>
    </xf>
    <xf numFmtId="0" fontId="65" fillId="14" borderId="8" xfId="180" applyFont="1" applyFill="1" applyBorder="1" applyAlignment="1">
      <alignment horizontal="center" vertical="center"/>
    </xf>
    <xf numFmtId="0" fontId="94" fillId="24" borderId="8" xfId="161" quotePrefix="1" applyFont="1" applyFill="1" applyBorder="1" applyAlignment="1">
      <alignment horizontal="centerContinuous" vertical="center"/>
    </xf>
    <xf numFmtId="0" fontId="54" fillId="14" borderId="51" xfId="0" applyFont="1" applyFill="1" applyBorder="1">
      <alignment vertical="center"/>
    </xf>
    <xf numFmtId="0" fontId="55" fillId="30" borderId="15" xfId="161" applyFont="1" applyFill="1" applyBorder="1" applyAlignment="1">
      <alignment horizontal="centerContinuous" vertical="center"/>
    </xf>
    <xf numFmtId="0" fontId="55" fillId="30" borderId="12" xfId="161" applyFont="1" applyFill="1" applyBorder="1" applyAlignment="1">
      <alignment horizontal="centerContinuous" vertical="center"/>
    </xf>
    <xf numFmtId="0" fontId="55" fillId="30" borderId="15" xfId="161" quotePrefix="1" applyFont="1" applyFill="1" applyBorder="1" applyAlignment="1">
      <alignment horizontal="centerContinuous" vertical="center"/>
    </xf>
    <xf numFmtId="0" fontId="55" fillId="30" borderId="13" xfId="161" applyFont="1" applyFill="1" applyBorder="1" applyAlignment="1">
      <alignment horizontal="centerContinuous" vertical="center"/>
    </xf>
    <xf numFmtId="0" fontId="55" fillId="30" borderId="12" xfId="161" quotePrefix="1" applyFont="1" applyFill="1" applyBorder="1" applyAlignment="1">
      <alignment horizontal="centerContinuous" vertical="center"/>
    </xf>
    <xf numFmtId="0" fontId="62" fillId="30" borderId="15" xfId="161" applyFont="1" applyFill="1" applyBorder="1" applyAlignment="1">
      <alignment horizontal="centerContinuous" vertical="center"/>
    </xf>
    <xf numFmtId="0" fontId="62" fillId="30" borderId="12" xfId="161" applyFont="1" applyFill="1" applyBorder="1" applyAlignment="1">
      <alignment horizontal="centerContinuous" vertical="center"/>
    </xf>
    <xf numFmtId="0" fontId="62" fillId="30" borderId="13" xfId="161" applyFont="1" applyFill="1" applyBorder="1" applyAlignment="1">
      <alignment horizontal="centerContinuous" vertical="center"/>
    </xf>
    <xf numFmtId="0" fontId="62" fillId="30" borderId="10" xfId="161" applyFont="1" applyFill="1" applyBorder="1" applyAlignment="1">
      <alignment horizontal="centerContinuous" vertical="center"/>
    </xf>
    <xf numFmtId="0" fontId="62" fillId="30" borderId="15" xfId="161" quotePrefix="1" applyFont="1" applyFill="1" applyBorder="1" applyAlignment="1">
      <alignment horizontal="centerContinuous" vertical="center"/>
    </xf>
    <xf numFmtId="0" fontId="95" fillId="0" borderId="0" xfId="0" applyFont="1">
      <alignment vertical="center"/>
    </xf>
    <xf numFmtId="0" fontId="62" fillId="30" borderId="12" xfId="161" quotePrefix="1" applyFont="1" applyFill="1" applyBorder="1" applyAlignment="1">
      <alignment horizontal="centerContinuous" vertical="center"/>
    </xf>
    <xf numFmtId="0" fontId="62" fillId="30" borderId="10" xfId="161" quotePrefix="1" applyFont="1" applyFill="1" applyBorder="1" applyAlignment="1">
      <alignment horizontal="centerContinuous" vertical="center"/>
    </xf>
    <xf numFmtId="0" fontId="54" fillId="14" borderId="6" xfId="0" applyFont="1" applyFill="1" applyBorder="1">
      <alignment vertical="center"/>
    </xf>
    <xf numFmtId="0" fontId="65" fillId="0" borderId="10" xfId="161" quotePrefix="1" applyFont="1" applyBorder="1">
      <alignment vertical="center"/>
    </xf>
    <xf numFmtId="0" fontId="55" fillId="30" borderId="7" xfId="161" applyFont="1" applyFill="1" applyBorder="1" applyAlignment="1">
      <alignment horizontal="centerContinuous" vertical="center"/>
    </xf>
    <xf numFmtId="0" fontId="55" fillId="30" borderId="8" xfId="161" applyFont="1" applyFill="1" applyBorder="1" applyAlignment="1">
      <alignment horizontal="centerContinuous" vertical="center"/>
    </xf>
    <xf numFmtId="0" fontId="55" fillId="30" borderId="14" xfId="161" applyFont="1" applyFill="1" applyBorder="1" applyAlignment="1">
      <alignment horizontal="centerContinuous" vertical="center"/>
    </xf>
    <xf numFmtId="0" fontId="55" fillId="30" borderId="7" xfId="161" quotePrefix="1" applyFont="1" applyFill="1" applyBorder="1" applyAlignment="1">
      <alignment horizontal="centerContinuous" vertical="center"/>
    </xf>
    <xf numFmtId="0" fontId="55" fillId="30" borderId="8" xfId="161" quotePrefix="1" applyFont="1" applyFill="1" applyBorder="1" applyAlignment="1">
      <alignment horizontal="centerContinuous" vertical="center"/>
    </xf>
    <xf numFmtId="0" fontId="62" fillId="30" borderId="7" xfId="161" applyFont="1" applyFill="1" applyBorder="1" applyAlignment="1">
      <alignment horizontal="centerContinuous" vertical="center"/>
    </xf>
    <xf numFmtId="0" fontId="62" fillId="30" borderId="8" xfId="161" applyFont="1" applyFill="1" applyBorder="1" applyAlignment="1">
      <alignment horizontal="centerContinuous" vertical="center"/>
    </xf>
    <xf numFmtId="0" fontId="62" fillId="30" borderId="14" xfId="161" applyFont="1" applyFill="1" applyBorder="1" applyAlignment="1">
      <alignment horizontal="centerContinuous" vertical="center"/>
    </xf>
    <xf numFmtId="0" fontId="62" fillId="30" borderId="7" xfId="161" quotePrefix="1" applyFont="1" applyFill="1" applyBorder="1" applyAlignment="1">
      <alignment horizontal="centerContinuous" vertical="center"/>
    </xf>
    <xf numFmtId="0" fontId="62" fillId="30" borderId="8" xfId="161" quotePrefix="1" applyFont="1" applyFill="1" applyBorder="1" applyAlignment="1">
      <alignment horizontal="centerContinuous" vertical="center"/>
    </xf>
    <xf numFmtId="0" fontId="65" fillId="14" borderId="33" xfId="161" applyFont="1" applyFill="1" applyBorder="1">
      <alignment vertical="center"/>
    </xf>
    <xf numFmtId="0" fontId="62" fillId="24" borderId="15" xfId="161" quotePrefix="1" applyFont="1" applyFill="1" applyBorder="1" applyAlignment="1">
      <alignment horizontal="centerContinuous" vertical="center"/>
    </xf>
    <xf numFmtId="0" fontId="54" fillId="0" borderId="10" xfId="0" quotePrefix="1" applyFont="1" applyBorder="1">
      <alignment vertical="center"/>
    </xf>
    <xf numFmtId="0" fontId="54" fillId="0" borderId="2" xfId="180" quotePrefix="1" applyFont="1" applyBorder="1">
      <alignment vertical="center"/>
    </xf>
    <xf numFmtId="0" fontId="54" fillId="0" borderId="2" xfId="180" applyFont="1" applyBorder="1">
      <alignment vertical="center"/>
    </xf>
    <xf numFmtId="0" fontId="54" fillId="0" borderId="2" xfId="180" applyFont="1" applyBorder="1" applyAlignment="1">
      <alignment horizontal="center" vertical="center"/>
    </xf>
    <xf numFmtId="0" fontId="0" fillId="0" borderId="2" xfId="0" applyBorder="1">
      <alignment vertical="center"/>
    </xf>
    <xf numFmtId="0" fontId="66" fillId="0" borderId="2" xfId="180" applyFont="1" applyBorder="1">
      <alignment vertical="center"/>
    </xf>
    <xf numFmtId="0" fontId="54" fillId="0" borderId="2" xfId="0" applyFont="1" applyBorder="1" applyAlignment="1">
      <alignment vertical="center" wrapText="1"/>
    </xf>
    <xf numFmtId="0" fontId="97" fillId="10" borderId="16" xfId="46" applyFont="1" applyFill="1" applyBorder="1" applyAlignment="1">
      <alignment horizontal="centerContinuous"/>
    </xf>
    <xf numFmtId="0" fontId="97" fillId="10" borderId="9" xfId="46" applyFont="1" applyFill="1" applyBorder="1" applyAlignment="1">
      <alignment horizontal="centerContinuous"/>
    </xf>
    <xf numFmtId="0" fontId="98" fillId="14" borderId="0" xfId="0" applyFont="1" applyFill="1">
      <alignment vertical="center"/>
    </xf>
    <xf numFmtId="0" fontId="99" fillId="14" borderId="0" xfId="0" applyFont="1" applyFill="1">
      <alignment vertical="center"/>
    </xf>
    <xf numFmtId="0" fontId="97" fillId="10" borderId="6" xfId="49" applyFont="1" applyFill="1" applyBorder="1" applyAlignment="1">
      <alignment horizontal="right" vertical="center"/>
    </xf>
    <xf numFmtId="0" fontId="98" fillId="14" borderId="6" xfId="161" quotePrefix="1" applyFont="1" applyFill="1" applyBorder="1">
      <alignment vertical="center"/>
    </xf>
    <xf numFmtId="0" fontId="98" fillId="14" borderId="0" xfId="161" applyFont="1" applyFill="1">
      <alignment vertical="center"/>
    </xf>
    <xf numFmtId="0" fontId="98" fillId="14" borderId="11" xfId="161" applyFont="1" applyFill="1" applyBorder="1">
      <alignment vertical="center"/>
    </xf>
    <xf numFmtId="0" fontId="98" fillId="0" borderId="0" xfId="161" applyFont="1">
      <alignment vertical="center"/>
    </xf>
    <xf numFmtId="0" fontId="98" fillId="0" borderId="0" xfId="161" quotePrefix="1" applyFont="1">
      <alignment vertical="center"/>
    </xf>
    <xf numFmtId="0" fontId="98" fillId="0" borderId="0" xfId="161" applyFont="1" applyAlignment="1">
      <alignment horizontal="center" vertical="center"/>
    </xf>
    <xf numFmtId="0" fontId="98" fillId="0" borderId="0" xfId="0" applyFont="1">
      <alignment vertical="center"/>
    </xf>
    <xf numFmtId="0" fontId="96" fillId="14" borderId="6" xfId="161" quotePrefix="1" applyFont="1" applyFill="1" applyBorder="1">
      <alignment vertical="center"/>
    </xf>
    <xf numFmtId="0" fontId="98" fillId="0" borderId="0" xfId="161" quotePrefix="1" applyFont="1" applyAlignment="1">
      <alignment horizontal="left" vertical="center"/>
    </xf>
    <xf numFmtId="0" fontId="98" fillId="0" borderId="0" xfId="161" applyFont="1" applyAlignment="1">
      <alignment horizontal="left" vertical="center"/>
    </xf>
    <xf numFmtId="0" fontId="97" fillId="10" borderId="16" xfId="46" applyFont="1" applyFill="1" applyBorder="1" applyAlignment="1">
      <alignment horizontal="center"/>
    </xf>
    <xf numFmtId="0" fontId="97" fillId="10" borderId="9" xfId="46" applyFont="1" applyFill="1" applyBorder="1" applyAlignment="1">
      <alignment horizontal="center"/>
    </xf>
    <xf numFmtId="0" fontId="98" fillId="14" borderId="0" xfId="0" applyFont="1" applyFill="1" applyAlignment="1">
      <alignment vertical="center" wrapText="1"/>
    </xf>
    <xf numFmtId="0" fontId="97" fillId="10" borderId="7" xfId="49" applyFont="1" applyFill="1" applyBorder="1" applyAlignment="1">
      <alignment horizontal="right" vertical="center"/>
    </xf>
    <xf numFmtId="0" fontId="97" fillId="10" borderId="21" xfId="46" applyFont="1" applyFill="1" applyBorder="1" applyAlignment="1">
      <alignment horizontal="center"/>
    </xf>
    <xf numFmtId="0" fontId="97" fillId="10" borderId="22" xfId="46" applyFont="1" applyFill="1" applyBorder="1" applyAlignment="1">
      <alignment horizontal="center"/>
    </xf>
    <xf numFmtId="0" fontId="99" fillId="14" borderId="0" xfId="0" applyFont="1" applyFill="1" applyAlignment="1">
      <alignment vertical="center" wrapText="1"/>
    </xf>
    <xf numFmtId="0" fontId="102" fillId="0" borderId="52" xfId="161" quotePrefix="1" applyFont="1" applyBorder="1">
      <alignment vertical="center"/>
    </xf>
    <xf numFmtId="0" fontId="97" fillId="0" borderId="52" xfId="161" applyFont="1" applyBorder="1">
      <alignment vertical="center"/>
    </xf>
    <xf numFmtId="0" fontId="98" fillId="0" borderId="52" xfId="161" applyFont="1" applyBorder="1">
      <alignment vertical="center"/>
    </xf>
    <xf numFmtId="0" fontId="98" fillId="0" borderId="52" xfId="161" quotePrefix="1" applyFont="1" applyBorder="1">
      <alignment vertical="center"/>
    </xf>
    <xf numFmtId="0" fontId="98" fillId="0" borderId="52" xfId="161" applyFont="1" applyBorder="1" applyAlignment="1">
      <alignment horizontal="center" vertical="center"/>
    </xf>
    <xf numFmtId="0" fontId="98" fillId="0" borderId="52" xfId="0" applyFont="1" applyBorder="1">
      <alignment vertical="center"/>
    </xf>
    <xf numFmtId="0" fontId="98" fillId="0" borderId="52" xfId="0" applyFont="1" applyBorder="1" applyAlignment="1">
      <alignment vertical="center" wrapText="1"/>
    </xf>
    <xf numFmtId="0" fontId="97" fillId="0" borderId="0" xfId="161" applyFont="1">
      <alignment vertical="center"/>
    </xf>
    <xf numFmtId="0" fontId="97" fillId="0" borderId="6" xfId="161" quotePrefix="1" applyFont="1" applyBorder="1">
      <alignment vertical="center"/>
    </xf>
    <xf numFmtId="0" fontId="97" fillId="0" borderId="0" xfId="161" quotePrefix="1" applyFont="1">
      <alignment vertical="center"/>
    </xf>
    <xf numFmtId="0" fontId="97" fillId="0" borderId="0" xfId="0" applyFont="1">
      <alignment vertical="center"/>
    </xf>
    <xf numFmtId="0" fontId="97" fillId="0" borderId="11" xfId="161" applyFont="1" applyBorder="1">
      <alignment vertical="center"/>
    </xf>
    <xf numFmtId="0" fontId="101" fillId="0" borderId="0" xfId="161" applyFont="1">
      <alignment vertical="center"/>
    </xf>
    <xf numFmtId="0" fontId="97" fillId="0" borderId="0" xfId="161" applyFont="1" applyAlignment="1">
      <alignment horizontal="center" vertical="center"/>
    </xf>
    <xf numFmtId="0" fontId="103" fillId="0" borderId="0" xfId="0" applyFont="1">
      <alignment vertical="center"/>
    </xf>
    <xf numFmtId="0" fontId="97" fillId="0" borderId="0" xfId="0" applyFont="1" applyAlignment="1">
      <alignment vertical="center" wrapText="1"/>
    </xf>
    <xf numFmtId="0" fontId="97" fillId="0" borderId="6" xfId="161" applyFont="1" applyBorder="1">
      <alignment vertical="center"/>
    </xf>
    <xf numFmtId="0" fontId="97" fillId="0" borderId="0" xfId="161" quotePrefix="1" applyFont="1" applyAlignment="1">
      <alignment horizontal="center" vertical="center"/>
    </xf>
    <xf numFmtId="0" fontId="100" fillId="0" borderId="0" xfId="0" applyFont="1">
      <alignment vertical="center"/>
    </xf>
    <xf numFmtId="0" fontId="97" fillId="0" borderId="0" xfId="0" applyFont="1" applyAlignment="1">
      <alignment horizontal="left" vertical="center"/>
    </xf>
    <xf numFmtId="0" fontId="97" fillId="0" borderId="14" xfId="161" applyFont="1" applyBorder="1">
      <alignment vertical="center"/>
    </xf>
    <xf numFmtId="0" fontId="104" fillId="14" borderId="0" xfId="0" applyFont="1" applyFill="1">
      <alignment vertical="center"/>
    </xf>
    <xf numFmtId="0" fontId="104" fillId="14" borderId="0" xfId="161" applyFont="1" applyFill="1">
      <alignment vertical="center"/>
    </xf>
    <xf numFmtId="0" fontId="104" fillId="14" borderId="0" xfId="0" applyFont="1" applyFill="1" applyAlignment="1">
      <alignment horizontal="left" vertical="center"/>
    </xf>
    <xf numFmtId="0" fontId="104" fillId="14" borderId="0" xfId="161" applyFont="1" applyFill="1" applyAlignment="1">
      <alignment horizontal="left" vertical="center"/>
    </xf>
    <xf numFmtId="0" fontId="104" fillId="14" borderId="0" xfId="161" applyFont="1" applyFill="1" applyAlignment="1">
      <alignment horizontal="center" vertical="center"/>
    </xf>
    <xf numFmtId="0" fontId="104" fillId="14" borderId="0" xfId="0" applyFont="1" applyFill="1" applyAlignment="1">
      <alignment horizontal="center" vertical="center"/>
    </xf>
    <xf numFmtId="0" fontId="104" fillId="19" borderId="0" xfId="0" applyFont="1" applyFill="1">
      <alignment vertical="center"/>
    </xf>
    <xf numFmtId="0" fontId="104" fillId="19" borderId="0" xfId="161" applyFont="1" applyFill="1">
      <alignment vertical="center"/>
    </xf>
    <xf numFmtId="0" fontId="104" fillId="19" borderId="0" xfId="161" applyFont="1" applyFill="1" applyAlignment="1">
      <alignment horizontal="center" vertical="center"/>
    </xf>
    <xf numFmtId="0" fontId="104" fillId="19" borderId="0" xfId="161" applyFont="1" applyFill="1" applyAlignment="1">
      <alignment horizontal="left" vertical="center"/>
    </xf>
    <xf numFmtId="0" fontId="97" fillId="19" borderId="6" xfId="161" quotePrefix="1" applyFont="1" applyFill="1" applyBorder="1">
      <alignment vertical="center"/>
    </xf>
    <xf numFmtId="0" fontId="100" fillId="19" borderId="0" xfId="0" applyFont="1" applyFill="1">
      <alignment vertical="center"/>
    </xf>
    <xf numFmtId="0" fontId="97" fillId="19" borderId="0" xfId="0" applyFont="1" applyFill="1">
      <alignment vertical="center"/>
    </xf>
    <xf numFmtId="0" fontId="104" fillId="19" borderId="0" xfId="0" applyFont="1" applyFill="1" applyAlignment="1">
      <alignment horizontal="center" vertical="center"/>
    </xf>
    <xf numFmtId="0" fontId="97" fillId="19" borderId="11" xfId="161" applyFont="1" applyFill="1" applyBorder="1">
      <alignment vertical="center"/>
    </xf>
    <xf numFmtId="0" fontId="97" fillId="19" borderId="0" xfId="161" quotePrefix="1" applyFont="1" applyFill="1">
      <alignment vertical="center"/>
    </xf>
    <xf numFmtId="0" fontId="75" fillId="14" borderId="0" xfId="0" applyFont="1" applyFill="1">
      <alignment vertical="center"/>
    </xf>
    <xf numFmtId="0" fontId="109" fillId="14" borderId="0" xfId="0" applyFont="1" applyFill="1">
      <alignment vertical="center"/>
    </xf>
    <xf numFmtId="0" fontId="100" fillId="31" borderId="0" xfId="0" applyFont="1" applyFill="1" applyAlignment="1">
      <alignment horizontal="left" vertical="center"/>
    </xf>
    <xf numFmtId="0" fontId="100" fillId="14" borderId="0" xfId="0" applyFont="1" applyFill="1">
      <alignment vertical="center"/>
    </xf>
    <xf numFmtId="0" fontId="97" fillId="0" borderId="8" xfId="161" applyFont="1" applyBorder="1">
      <alignment vertical="center"/>
    </xf>
    <xf numFmtId="0" fontId="101" fillId="0" borderId="8" xfId="0" applyFont="1" applyBorder="1">
      <alignment vertical="center"/>
    </xf>
    <xf numFmtId="0" fontId="101" fillId="0" borderId="8" xfId="0" applyFont="1" applyBorder="1" applyAlignment="1">
      <alignment vertical="center" wrapText="1"/>
    </xf>
    <xf numFmtId="0" fontId="97" fillId="0" borderId="12" xfId="161" applyFont="1" applyBorder="1">
      <alignment vertical="center"/>
    </xf>
    <xf numFmtId="0" fontId="97" fillId="10" borderId="53" xfId="46" applyFont="1" applyFill="1" applyBorder="1" applyAlignment="1">
      <alignment horizontal="center"/>
    </xf>
    <xf numFmtId="0" fontId="101" fillId="31" borderId="0" xfId="185" applyFont="1" applyFill="1">
      <alignment vertical="center"/>
    </xf>
    <xf numFmtId="0" fontId="101" fillId="14" borderId="0" xfId="185" applyFont="1" applyFill="1">
      <alignment vertical="center"/>
    </xf>
    <xf numFmtId="0" fontId="101" fillId="0" borderId="0" xfId="185" applyFont="1">
      <alignment vertical="center"/>
    </xf>
    <xf numFmtId="0" fontId="97" fillId="0" borderId="55" xfId="185" applyFont="1" applyBorder="1" applyAlignment="1" applyProtection="1">
      <alignment vertical="center" wrapText="1"/>
      <protection locked="0"/>
    </xf>
    <xf numFmtId="0" fontId="97" fillId="0" borderId="56" xfId="185" applyFont="1" applyBorder="1" applyAlignment="1" applyProtection="1">
      <alignment vertical="center" wrapText="1"/>
      <protection locked="0"/>
    </xf>
    <xf numFmtId="0" fontId="97" fillId="0" borderId="57" xfId="185" applyFont="1" applyBorder="1" applyAlignment="1" applyProtection="1">
      <alignment vertical="center" wrapText="1"/>
      <protection locked="0"/>
    </xf>
    <xf numFmtId="0" fontId="97" fillId="0" borderId="2" xfId="185" applyFont="1" applyBorder="1" applyAlignment="1">
      <alignment horizontal="left" vertical="center" wrapText="1"/>
    </xf>
    <xf numFmtId="0" fontId="97" fillId="0" borderId="54" xfId="185" applyFont="1" applyBorder="1" applyAlignment="1">
      <alignment horizontal="left" vertical="center" wrapText="1"/>
    </xf>
    <xf numFmtId="0" fontId="97" fillId="0" borderId="10" xfId="185" applyFont="1" applyBorder="1" applyAlignment="1">
      <alignment horizontal="left" vertical="center" wrapText="1"/>
    </xf>
    <xf numFmtId="0" fontId="97" fillId="0" borderId="17" xfId="185" applyFont="1" applyBorder="1" applyAlignment="1">
      <alignment horizontal="left" vertical="center" wrapText="1"/>
    </xf>
    <xf numFmtId="0" fontId="98" fillId="0" borderId="70" xfId="161" applyFont="1" applyBorder="1" applyAlignment="1">
      <alignment horizontal="center" vertical="center"/>
    </xf>
    <xf numFmtId="0" fontId="98" fillId="0" borderId="70" xfId="161" applyFont="1" applyBorder="1">
      <alignment vertical="center"/>
    </xf>
    <xf numFmtId="0" fontId="98" fillId="0" borderId="70" xfId="0" applyFont="1" applyBorder="1">
      <alignment vertical="center"/>
    </xf>
    <xf numFmtId="0" fontId="98" fillId="14" borderId="70" xfId="161" applyFont="1" applyFill="1" applyBorder="1">
      <alignment vertical="center"/>
    </xf>
    <xf numFmtId="0" fontId="98" fillId="14" borderId="69" xfId="161" applyFont="1" applyFill="1" applyBorder="1">
      <alignment vertical="center"/>
    </xf>
    <xf numFmtId="0" fontId="97" fillId="0" borderId="71" xfId="161" applyFont="1" applyBorder="1">
      <alignment vertical="center"/>
    </xf>
    <xf numFmtId="0" fontId="97" fillId="0" borderId="7" xfId="161" applyFont="1" applyBorder="1">
      <alignment vertical="center"/>
    </xf>
    <xf numFmtId="0" fontId="97" fillId="0" borderId="65" xfId="0" applyFont="1" applyBorder="1">
      <alignment vertical="center"/>
    </xf>
    <xf numFmtId="0" fontId="97" fillId="0" borderId="65" xfId="0" applyFont="1" applyBorder="1" applyAlignment="1">
      <alignment vertical="center" wrapText="1"/>
    </xf>
    <xf numFmtId="0" fontId="107" fillId="14" borderId="65" xfId="0" applyFont="1" applyFill="1" applyBorder="1">
      <alignment vertical="center"/>
    </xf>
    <xf numFmtId="0" fontId="97" fillId="0" borderId="65" xfId="161" applyFont="1" applyBorder="1">
      <alignment vertical="center"/>
    </xf>
    <xf numFmtId="0" fontId="112" fillId="0" borderId="0" xfId="0" applyFont="1">
      <alignment vertical="center"/>
    </xf>
    <xf numFmtId="0" fontId="97" fillId="36" borderId="0" xfId="161" quotePrefix="1" applyFont="1" applyFill="1">
      <alignment vertical="center"/>
    </xf>
    <xf numFmtId="0" fontId="97" fillId="36" borderId="0" xfId="0" applyFont="1" applyFill="1">
      <alignment vertical="center"/>
    </xf>
    <xf numFmtId="0" fontId="104" fillId="36" borderId="0" xfId="0" applyFont="1" applyFill="1">
      <alignment vertical="center"/>
    </xf>
    <xf numFmtId="0" fontId="104" fillId="36" borderId="0" xfId="161" applyFont="1" applyFill="1" applyAlignment="1">
      <alignment horizontal="left" vertical="center"/>
    </xf>
    <xf numFmtId="0" fontId="104" fillId="36" borderId="0" xfId="161" applyFont="1" applyFill="1" applyAlignment="1">
      <alignment horizontal="center" vertical="center"/>
    </xf>
    <xf numFmtId="0" fontId="104" fillId="36" borderId="0" xfId="0" applyFont="1" applyFill="1" applyAlignment="1">
      <alignment horizontal="centerContinuous" vertical="center"/>
    </xf>
    <xf numFmtId="0" fontId="113" fillId="36" borderId="0" xfId="0" applyFont="1" applyFill="1" applyAlignment="1">
      <alignment horizontal="centerContinuous" vertical="center"/>
    </xf>
    <xf numFmtId="185" fontId="104" fillId="36" borderId="0" xfId="161" quotePrefix="1" applyNumberFormat="1" applyFont="1" applyFill="1">
      <alignment vertical="center"/>
    </xf>
    <xf numFmtId="0" fontId="97" fillId="0" borderId="12" xfId="161" quotePrefix="1" applyFont="1" applyBorder="1">
      <alignment vertical="center"/>
    </xf>
    <xf numFmtId="0" fontId="97" fillId="0" borderId="12" xfId="161" quotePrefix="1" applyFont="1" applyBorder="1" applyAlignment="1">
      <alignment horizontal="center" vertical="center"/>
    </xf>
    <xf numFmtId="0" fontId="100" fillId="0" borderId="12" xfId="0" applyFont="1" applyBorder="1">
      <alignment vertical="center"/>
    </xf>
    <xf numFmtId="0" fontId="97" fillId="0" borderId="12" xfId="0" applyFont="1" applyBorder="1">
      <alignment vertical="center"/>
    </xf>
    <xf numFmtId="0" fontId="104" fillId="14" borderId="12" xfId="0" applyFont="1" applyFill="1" applyBorder="1">
      <alignment vertical="center"/>
    </xf>
    <xf numFmtId="0" fontId="104" fillId="14" borderId="12" xfId="161" applyFont="1" applyFill="1" applyBorder="1" applyAlignment="1">
      <alignment horizontal="left" vertical="center"/>
    </xf>
    <xf numFmtId="0" fontId="104" fillId="14" borderId="12" xfId="161" applyFont="1" applyFill="1" applyBorder="1" applyAlignment="1">
      <alignment horizontal="center" vertical="center"/>
    </xf>
    <xf numFmtId="0" fontId="104" fillId="14" borderId="12" xfId="161" applyFont="1" applyFill="1" applyBorder="1">
      <alignment vertical="center"/>
    </xf>
    <xf numFmtId="0" fontId="104" fillId="14" borderId="12" xfId="0" applyFont="1" applyFill="1" applyBorder="1" applyAlignment="1">
      <alignment horizontal="center" vertical="center"/>
    </xf>
    <xf numFmtId="0" fontId="97" fillId="0" borderId="8" xfId="161" quotePrefix="1" applyFont="1" applyBorder="1">
      <alignment vertical="center"/>
    </xf>
    <xf numFmtId="0" fontId="97" fillId="0" borderId="8" xfId="161" quotePrefix="1" applyFont="1" applyBorder="1" applyAlignment="1">
      <alignment horizontal="center" vertical="center"/>
    </xf>
    <xf numFmtId="0" fontId="100" fillId="0" borderId="8" xfId="0" applyFont="1" applyBorder="1">
      <alignment vertical="center"/>
    </xf>
    <xf numFmtId="0" fontId="97" fillId="0" borderId="8" xfId="0" applyFont="1" applyBorder="1">
      <alignment vertical="center"/>
    </xf>
    <xf numFmtId="0" fontId="104" fillId="14" borderId="8" xfId="0" applyFont="1" applyFill="1" applyBorder="1">
      <alignment vertical="center"/>
    </xf>
    <xf numFmtId="185" fontId="104" fillId="14" borderId="8" xfId="161" quotePrefix="1" applyNumberFormat="1" applyFont="1" applyFill="1" applyBorder="1">
      <alignment vertical="center"/>
    </xf>
    <xf numFmtId="0" fontId="104" fillId="14" borderId="8" xfId="161" applyFont="1" applyFill="1" applyBorder="1" applyAlignment="1">
      <alignment horizontal="left" vertical="center"/>
    </xf>
    <xf numFmtId="0" fontId="104" fillId="14" borderId="8" xfId="161" applyFont="1" applyFill="1" applyBorder="1" applyAlignment="1">
      <alignment horizontal="center" vertical="center"/>
    </xf>
    <xf numFmtId="0" fontId="104" fillId="14" borderId="8" xfId="161" applyFont="1" applyFill="1" applyBorder="1">
      <alignment vertical="center"/>
    </xf>
    <xf numFmtId="0" fontId="104" fillId="14" borderId="8" xfId="0" applyFont="1" applyFill="1" applyBorder="1" applyAlignment="1">
      <alignment horizontal="center" vertical="center"/>
    </xf>
    <xf numFmtId="0" fontId="102" fillId="0" borderId="52" xfId="161" quotePrefix="1" applyFont="1" applyBorder="1" applyAlignment="1">
      <alignment horizontal="center" vertical="center"/>
    </xf>
    <xf numFmtId="185" fontId="104" fillId="14" borderId="0" xfId="161" quotePrefix="1" applyNumberFormat="1" applyFont="1" applyFill="1">
      <alignment vertical="center"/>
    </xf>
    <xf numFmtId="0" fontId="110" fillId="0" borderId="0" xfId="186" applyFont="1">
      <alignment vertical="center"/>
    </xf>
    <xf numFmtId="0" fontId="101" fillId="0" borderId="11" xfId="186" applyFont="1" applyBorder="1">
      <alignment vertical="center"/>
    </xf>
    <xf numFmtId="0" fontId="101" fillId="0" borderId="0" xfId="186" applyFont="1">
      <alignment vertical="center"/>
    </xf>
    <xf numFmtId="0" fontId="101" fillId="0" borderId="15" xfId="186" applyFont="1" applyBorder="1">
      <alignment vertical="center"/>
    </xf>
    <xf numFmtId="0" fontId="101" fillId="0" borderId="12" xfId="186" applyFont="1" applyBorder="1">
      <alignment vertical="center"/>
    </xf>
    <xf numFmtId="0" fontId="101" fillId="0" borderId="13" xfId="186" applyFont="1" applyBorder="1">
      <alignment vertical="center"/>
    </xf>
    <xf numFmtId="0" fontId="101" fillId="0" borderId="6" xfId="186" applyFont="1" applyBorder="1">
      <alignment vertical="center"/>
    </xf>
    <xf numFmtId="0" fontId="110" fillId="0" borderId="0" xfId="187" applyFont="1">
      <alignment vertical="center"/>
    </xf>
    <xf numFmtId="0" fontId="101" fillId="0" borderId="0" xfId="187" applyFont="1">
      <alignment vertical="center"/>
    </xf>
    <xf numFmtId="0" fontId="101" fillId="14" borderId="0" xfId="186" applyFont="1" applyFill="1" applyAlignment="1">
      <alignment horizontal="left" vertical="center"/>
    </xf>
    <xf numFmtId="0" fontId="101" fillId="14" borderId="0" xfId="187" applyFont="1" applyFill="1">
      <alignment vertical="center"/>
    </xf>
    <xf numFmtId="0" fontId="101" fillId="34" borderId="3" xfId="186" applyFont="1" applyFill="1" applyBorder="1" applyAlignment="1">
      <alignment vertical="center" shrinkToFit="1"/>
    </xf>
    <xf numFmtId="0" fontId="101" fillId="0" borderId="3" xfId="186" applyFont="1" applyBorder="1" applyAlignment="1">
      <alignment vertical="center" shrinkToFit="1"/>
    </xf>
    <xf numFmtId="0" fontId="118" fillId="0" borderId="0" xfId="186" applyFont="1" applyAlignment="1">
      <alignment horizontal="left" vertical="center"/>
    </xf>
    <xf numFmtId="0" fontId="119" fillId="0" borderId="0" xfId="186" applyFont="1" applyAlignment="1">
      <alignment horizontal="left" vertical="center"/>
    </xf>
    <xf numFmtId="0" fontId="101" fillId="0" borderId="0" xfId="186" applyFont="1" applyAlignment="1">
      <alignment vertical="center" shrinkToFit="1"/>
    </xf>
    <xf numFmtId="0" fontId="101" fillId="0" borderId="0" xfId="186" applyFont="1" applyAlignment="1">
      <alignment horizontal="left" vertical="center"/>
    </xf>
    <xf numFmtId="0" fontId="120" fillId="0" borderId="0" xfId="186" applyFont="1">
      <alignment vertical="center"/>
    </xf>
    <xf numFmtId="0" fontId="101" fillId="31" borderId="0" xfId="184" applyFont="1" applyFill="1">
      <alignment vertical="center"/>
    </xf>
    <xf numFmtId="0" fontId="97" fillId="0" borderId="58" xfId="184" applyFont="1" applyBorder="1" applyAlignment="1">
      <alignment horizontal="left" vertical="center" wrapText="1"/>
    </xf>
    <xf numFmtId="0" fontId="97" fillId="0" borderId="2" xfId="184" applyFont="1" applyBorder="1" applyAlignment="1">
      <alignment horizontal="left" vertical="center" wrapText="1"/>
    </xf>
    <xf numFmtId="0" fontId="101" fillId="0" borderId="0" xfId="184" applyFont="1">
      <alignment vertical="center"/>
    </xf>
    <xf numFmtId="0" fontId="100" fillId="0" borderId="62" xfId="0" applyFont="1" applyBorder="1">
      <alignment vertical="center"/>
    </xf>
    <xf numFmtId="0" fontId="100" fillId="0" borderId="63" xfId="0" applyFont="1" applyBorder="1">
      <alignment vertical="center"/>
    </xf>
    <xf numFmtId="0" fontId="100" fillId="31" borderId="63" xfId="0" applyFont="1" applyFill="1" applyBorder="1" applyAlignment="1">
      <alignment horizontal="left" vertical="center"/>
    </xf>
    <xf numFmtId="0" fontId="109" fillId="14" borderId="63" xfId="0" applyFont="1" applyFill="1" applyBorder="1">
      <alignment vertical="center"/>
    </xf>
    <xf numFmtId="0" fontId="109" fillId="14" borderId="64" xfId="0" applyFont="1" applyFill="1" applyBorder="1">
      <alignment vertical="center"/>
    </xf>
    <xf numFmtId="0" fontId="100" fillId="31" borderId="6" xfId="0" applyFont="1" applyFill="1" applyBorder="1" applyAlignment="1">
      <alignment horizontal="left" vertical="center"/>
    </xf>
    <xf numFmtId="0" fontId="109" fillId="14" borderId="11" xfId="0" applyFont="1" applyFill="1" applyBorder="1">
      <alignment vertical="center"/>
    </xf>
    <xf numFmtId="0" fontId="100" fillId="0" borderId="6" xfId="0" applyFont="1" applyBorder="1">
      <alignment vertical="center"/>
    </xf>
    <xf numFmtId="0" fontId="100" fillId="31" borderId="0" xfId="0" applyFont="1" applyFill="1">
      <alignment vertical="center"/>
    </xf>
    <xf numFmtId="0" fontId="109" fillId="14" borderId="6" xfId="0" applyFont="1" applyFill="1" applyBorder="1">
      <alignment vertical="center"/>
    </xf>
    <xf numFmtId="0" fontId="100" fillId="14" borderId="84" xfId="0" applyFont="1" applyFill="1" applyBorder="1">
      <alignment vertical="center"/>
    </xf>
    <xf numFmtId="0" fontId="100" fillId="0" borderId="65" xfId="0" applyFont="1" applyBorder="1">
      <alignment vertical="center"/>
    </xf>
    <xf numFmtId="0" fontId="109" fillId="14" borderId="65" xfId="0" applyFont="1" applyFill="1" applyBorder="1">
      <alignment vertical="center"/>
    </xf>
    <xf numFmtId="0" fontId="109" fillId="14" borderId="66" xfId="0" applyFont="1" applyFill="1" applyBorder="1">
      <alignment vertical="center"/>
    </xf>
    <xf numFmtId="0" fontId="101" fillId="0" borderId="0" xfId="188" applyFont="1">
      <alignment vertical="center"/>
    </xf>
    <xf numFmtId="0" fontId="97" fillId="0" borderId="0" xfId="188" applyFont="1">
      <alignment vertical="center"/>
    </xf>
    <xf numFmtId="0" fontId="110" fillId="0" borderId="0" xfId="188" applyFont="1">
      <alignment vertical="center"/>
    </xf>
    <xf numFmtId="0" fontId="97" fillId="34" borderId="3" xfId="188" applyFont="1" applyFill="1" applyBorder="1" applyAlignment="1">
      <alignment vertical="center" shrinkToFit="1"/>
    </xf>
    <xf numFmtId="0" fontId="97" fillId="0" borderId="3" xfId="188" applyFont="1" applyBorder="1" applyAlignment="1">
      <alignment vertical="center" shrinkToFit="1"/>
    </xf>
    <xf numFmtId="0" fontId="97" fillId="0" borderId="15" xfId="188" applyFont="1" applyBorder="1" applyAlignment="1">
      <alignment horizontal="left" vertical="center"/>
    </xf>
    <xf numFmtId="0" fontId="97" fillId="0" borderId="12" xfId="188" applyFont="1" applyBorder="1" applyAlignment="1">
      <alignment horizontal="left" vertical="center"/>
    </xf>
    <xf numFmtId="0" fontId="97" fillId="0" borderId="12" xfId="188" applyFont="1" applyBorder="1">
      <alignment vertical="center"/>
    </xf>
    <xf numFmtId="0" fontId="97" fillId="0" borderId="13" xfId="188" applyFont="1" applyBorder="1">
      <alignment vertical="center"/>
    </xf>
    <xf numFmtId="0" fontId="97" fillId="0" borderId="15" xfId="188" applyFont="1" applyBorder="1">
      <alignment vertical="center"/>
    </xf>
    <xf numFmtId="0" fontId="97" fillId="0" borderId="0" xfId="188" applyFont="1" applyAlignment="1">
      <alignment horizontal="left" vertical="center"/>
    </xf>
    <xf numFmtId="0" fontId="97" fillId="0" borderId="11" xfId="188" applyFont="1" applyBorder="1">
      <alignment vertical="center"/>
    </xf>
    <xf numFmtId="0" fontId="97" fillId="0" borderId="6" xfId="188" applyFont="1" applyBorder="1">
      <alignment vertical="center"/>
    </xf>
    <xf numFmtId="0" fontId="97" fillId="0" borderId="84" xfId="188" applyFont="1" applyBorder="1">
      <alignment vertical="center"/>
    </xf>
    <xf numFmtId="0" fontId="97" fillId="0" borderId="65" xfId="188" applyFont="1" applyBorder="1" applyAlignment="1">
      <alignment horizontal="left" vertical="center"/>
    </xf>
    <xf numFmtId="0" fontId="97" fillId="0" borderId="65" xfId="188" applyFont="1" applyBorder="1">
      <alignment vertical="center"/>
    </xf>
    <xf numFmtId="0" fontId="97" fillId="0" borderId="66" xfId="188" applyFont="1" applyBorder="1">
      <alignment vertical="center"/>
    </xf>
    <xf numFmtId="14" fontId="83" fillId="14" borderId="0" xfId="48" applyNumberFormat="1" applyFont="1" applyFill="1" applyAlignment="1">
      <alignment horizontal="center" vertical="center"/>
    </xf>
    <xf numFmtId="0" fontId="83" fillId="14" borderId="0" xfId="48" applyFont="1" applyFill="1" applyAlignment="1">
      <alignment horizontal="center" vertical="center"/>
    </xf>
    <xf numFmtId="0" fontId="21" fillId="0" borderId="0" xfId="48" applyFont="1" applyAlignment="1">
      <alignment horizontal="center" vertical="center" wrapText="1"/>
    </xf>
    <xf numFmtId="0" fontId="17" fillId="0" borderId="3" xfId="48" applyFont="1" applyBorder="1" applyAlignment="1">
      <alignment horizontal="center"/>
    </xf>
    <xf numFmtId="0" fontId="17" fillId="14" borderId="0" xfId="48" applyFont="1" applyFill="1" applyAlignment="1">
      <alignment horizontal="center"/>
    </xf>
    <xf numFmtId="0" fontId="21" fillId="0" borderId="0" xfId="48" applyFont="1" applyAlignment="1">
      <alignment horizontal="center" vertical="center"/>
    </xf>
    <xf numFmtId="14" fontId="54" fillId="0" borderId="3" xfId="0" applyNumberFormat="1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54" fillId="0" borderId="3" xfId="0" applyFont="1" applyBorder="1">
      <alignment vertical="center"/>
    </xf>
    <xf numFmtId="0" fontId="54" fillId="0" borderId="3" xfId="0" applyFont="1" applyBorder="1" applyAlignment="1">
      <alignment vertical="center" wrapText="1"/>
    </xf>
    <xf numFmtId="0" fontId="54" fillId="0" borderId="23" xfId="0" applyFont="1" applyBorder="1">
      <alignment vertical="center"/>
    </xf>
    <xf numFmtId="0" fontId="0" fillId="0" borderId="3" xfId="0" applyBorder="1">
      <alignment vertical="center"/>
    </xf>
    <xf numFmtId="14" fontId="21" fillId="0" borderId="3" xfId="50" applyNumberFormat="1" applyFont="1" applyBorder="1" applyAlignment="1">
      <alignment horizontal="center" vertical="center"/>
    </xf>
    <xf numFmtId="0" fontId="21" fillId="0" borderId="3" xfId="50" applyFont="1" applyBorder="1" applyAlignment="1">
      <alignment horizontal="center" vertical="center"/>
    </xf>
    <xf numFmtId="14" fontId="21" fillId="0" borderId="10" xfId="50" applyNumberFormat="1" applyFont="1" applyBorder="1" applyAlignment="1">
      <alignment horizontal="center" vertical="center"/>
    </xf>
    <xf numFmtId="14" fontId="21" fillId="0" borderId="2" xfId="50" applyNumberFormat="1" applyFont="1" applyBorder="1" applyAlignment="1">
      <alignment horizontal="center" vertical="center"/>
    </xf>
    <xf numFmtId="14" fontId="21" fillId="0" borderId="17" xfId="50" applyNumberFormat="1" applyFont="1" applyBorder="1" applyAlignment="1">
      <alignment horizontal="center" vertical="center"/>
    </xf>
    <xf numFmtId="14" fontId="54" fillId="0" borderId="23" xfId="0" applyNumberFormat="1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0" fontId="54" fillId="0" borderId="10" xfId="0" applyFont="1" applyBorder="1" applyAlignment="1">
      <alignment vertical="center" wrapText="1"/>
    </xf>
    <xf numFmtId="0" fontId="54" fillId="0" borderId="2" xfId="0" applyFont="1" applyBorder="1">
      <alignment vertical="center"/>
    </xf>
    <xf numFmtId="0" fontId="54" fillId="0" borderId="17" xfId="0" applyFont="1" applyBorder="1">
      <alignment vertical="center"/>
    </xf>
    <xf numFmtId="0" fontId="54" fillId="0" borderId="15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0" fillId="12" borderId="10" xfId="48" applyFont="1" applyFill="1" applyBorder="1" applyAlignment="1">
      <alignment horizontal="left" vertical="center"/>
    </xf>
    <xf numFmtId="0" fontId="20" fillId="12" borderId="2" xfId="48" applyFont="1" applyFill="1" applyBorder="1" applyAlignment="1">
      <alignment horizontal="left" vertical="center"/>
    </xf>
    <xf numFmtId="0" fontId="20" fillId="12" borderId="17" xfId="48" applyFont="1" applyFill="1" applyBorder="1" applyAlignment="1">
      <alignment horizontal="left" vertical="center"/>
    </xf>
    <xf numFmtId="0" fontId="50" fillId="15" borderId="24" xfId="48" applyFont="1" applyFill="1" applyBorder="1" applyAlignment="1">
      <alignment vertical="center"/>
    </xf>
    <xf numFmtId="0" fontId="20" fillId="12" borderId="3" xfId="48" applyFont="1" applyFill="1" applyBorder="1" applyAlignment="1">
      <alignment vertical="center"/>
    </xf>
    <xf numFmtId="0" fontId="22" fillId="0" borderId="10" xfId="48" applyFont="1" applyBorder="1" applyAlignment="1">
      <alignment vertical="center"/>
    </xf>
    <xf numFmtId="0" fontId="22" fillId="0" borderId="2" xfId="48" applyFont="1" applyBorder="1" applyAlignment="1">
      <alignment vertical="center"/>
    </xf>
    <xf numFmtId="0" fontId="22" fillId="0" borderId="17" xfId="48" applyFont="1" applyBorder="1" applyAlignment="1">
      <alignment vertical="center"/>
    </xf>
    <xf numFmtId="0" fontId="20" fillId="12" borderId="3" xfId="48" applyFont="1" applyFill="1" applyBorder="1" applyAlignment="1">
      <alignment horizontal="left" vertical="center"/>
    </xf>
    <xf numFmtId="0" fontId="21" fillId="0" borderId="3" xfId="48" applyFont="1" applyBorder="1" applyAlignment="1">
      <alignment horizontal="left" vertical="center"/>
    </xf>
    <xf numFmtId="0" fontId="15" fillId="16" borderId="3" xfId="50" applyFill="1" applyBorder="1" applyAlignment="1">
      <alignment horizontal="left" vertical="center"/>
    </xf>
    <xf numFmtId="14" fontId="21" fillId="0" borderId="3" xfId="48" applyNumberFormat="1" applyFont="1" applyBorder="1" applyAlignment="1">
      <alignment horizontal="center" vertical="center"/>
    </xf>
    <xf numFmtId="0" fontId="54" fillId="14" borderId="15" xfId="0" applyFont="1" applyFill="1" applyBorder="1" applyAlignment="1">
      <alignment vertical="center" wrapText="1"/>
    </xf>
    <xf numFmtId="0" fontId="54" fillId="14" borderId="12" xfId="0" applyFont="1" applyFill="1" applyBorder="1" applyAlignment="1">
      <alignment vertical="center" wrapText="1"/>
    </xf>
    <xf numFmtId="0" fontId="54" fillId="14" borderId="13" xfId="0" applyFont="1" applyFill="1" applyBorder="1" applyAlignment="1">
      <alignment vertical="center" wrapText="1"/>
    </xf>
    <xf numFmtId="0" fontId="54" fillId="14" borderId="7" xfId="0" applyFont="1" applyFill="1" applyBorder="1" applyAlignment="1">
      <alignment vertical="center" wrapText="1"/>
    </xf>
    <xf numFmtId="0" fontId="54" fillId="14" borderId="8" xfId="0" applyFont="1" applyFill="1" applyBorder="1" applyAlignment="1">
      <alignment vertical="center" wrapText="1"/>
    </xf>
    <xf numFmtId="0" fontId="54" fillId="14" borderId="14" xfId="0" applyFont="1" applyFill="1" applyBorder="1" applyAlignment="1">
      <alignment vertical="center" wrapText="1"/>
    </xf>
    <xf numFmtId="0" fontId="20" fillId="15" borderId="25" xfId="48" applyFont="1" applyFill="1" applyBorder="1" applyAlignment="1">
      <alignment vertical="center"/>
    </xf>
    <xf numFmtId="0" fontId="21" fillId="0" borderId="3" xfId="48" applyFont="1" applyBorder="1" applyAlignment="1">
      <alignment vertical="center"/>
    </xf>
    <xf numFmtId="0" fontId="54" fillId="14" borderId="3" xfId="0" applyFont="1" applyFill="1" applyBorder="1">
      <alignment vertical="center"/>
    </xf>
    <xf numFmtId="0" fontId="19" fillId="15" borderId="23" xfId="48" applyFont="1" applyFill="1" applyBorder="1" applyAlignment="1">
      <alignment vertical="center"/>
    </xf>
    <xf numFmtId="0" fontId="56" fillId="17" borderId="8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vertical="center" wrapText="1"/>
    </xf>
    <xf numFmtId="0" fontId="21" fillId="0" borderId="3" xfId="48" applyFont="1" applyBorder="1" applyAlignment="1">
      <alignment horizontal="center" vertical="center"/>
    </xf>
    <xf numFmtId="0" fontId="15" fillId="16" borderId="10" xfId="50" applyFill="1" applyBorder="1" applyAlignment="1">
      <alignment horizontal="center" vertical="center"/>
    </xf>
    <xf numFmtId="0" fontId="15" fillId="16" borderId="17" xfId="50" applyFill="1" applyBorder="1" applyAlignment="1">
      <alignment horizontal="center" vertical="center"/>
    </xf>
    <xf numFmtId="0" fontId="106" fillId="36" borderId="0" xfId="0" applyFont="1" applyFill="1" applyAlignment="1">
      <alignment horizontal="center" vertical="center"/>
    </xf>
    <xf numFmtId="0" fontId="97" fillId="19" borderId="10" xfId="161" applyFont="1" applyFill="1" applyBorder="1" applyAlignment="1">
      <alignment horizontal="left" vertical="center"/>
    </xf>
    <xf numFmtId="0" fontId="97" fillId="19" borderId="2" xfId="161" applyFont="1" applyFill="1" applyBorder="1" applyAlignment="1">
      <alignment horizontal="left" vertical="center"/>
    </xf>
    <xf numFmtId="0" fontId="97" fillId="19" borderId="17" xfId="161" applyFont="1" applyFill="1" applyBorder="1" applyAlignment="1">
      <alignment horizontal="left" vertical="center"/>
    </xf>
    <xf numFmtId="0" fontId="97" fillId="0" borderId="10" xfId="161" applyFont="1" applyBorder="1" applyAlignment="1">
      <alignment horizontal="left" vertical="center"/>
    </xf>
    <xf numFmtId="0" fontId="97" fillId="0" borderId="2" xfId="161" applyFont="1" applyBorder="1" applyAlignment="1">
      <alignment horizontal="left" vertical="center"/>
    </xf>
    <xf numFmtId="0" fontId="97" fillId="0" borderId="17" xfId="161" applyFont="1" applyBorder="1" applyAlignment="1">
      <alignment horizontal="left" vertical="center"/>
    </xf>
    <xf numFmtId="0" fontId="97" fillId="0" borderId="10" xfId="161" applyFont="1" applyBorder="1" applyAlignment="1">
      <alignment horizontal="left" vertical="center" wrapText="1"/>
    </xf>
    <xf numFmtId="0" fontId="97" fillId="0" borderId="2" xfId="161" applyFont="1" applyBorder="1" applyAlignment="1">
      <alignment horizontal="left" vertical="center" wrapText="1"/>
    </xf>
    <xf numFmtId="0" fontId="97" fillId="0" borderId="17" xfId="161" applyFont="1" applyBorder="1" applyAlignment="1">
      <alignment horizontal="left" vertical="center" wrapText="1"/>
    </xf>
    <xf numFmtId="0" fontId="114" fillId="0" borderId="73" xfId="0" applyFont="1" applyBorder="1" applyAlignment="1">
      <alignment horizontal="center" vertical="center"/>
    </xf>
    <xf numFmtId="17" fontId="106" fillId="0" borderId="73" xfId="0" quotePrefix="1" applyNumberFormat="1" applyFont="1" applyBorder="1" applyAlignment="1">
      <alignment horizontal="left" vertical="center"/>
    </xf>
    <xf numFmtId="0" fontId="106" fillId="0" borderId="73" xfId="0" applyFont="1" applyBorder="1" applyAlignment="1">
      <alignment horizontal="left" vertical="center"/>
    </xf>
    <xf numFmtId="0" fontId="106" fillId="0" borderId="80" xfId="0" applyFont="1" applyBorder="1" applyAlignment="1">
      <alignment horizontal="left" vertical="center"/>
    </xf>
    <xf numFmtId="0" fontId="106" fillId="0" borderId="75" xfId="0" applyFont="1" applyBorder="1" applyAlignment="1">
      <alignment horizontal="left" vertical="center"/>
    </xf>
    <xf numFmtId="0" fontId="106" fillId="0" borderId="79" xfId="0" applyFont="1" applyBorder="1" applyAlignment="1">
      <alignment horizontal="left" vertical="center"/>
    </xf>
    <xf numFmtId="0" fontId="106" fillId="0" borderId="82" xfId="0" applyFont="1" applyBorder="1" applyAlignment="1">
      <alignment horizontal="left" vertical="center"/>
    </xf>
    <xf numFmtId="0" fontId="106" fillId="0" borderId="0" xfId="0" applyFont="1" applyAlignment="1">
      <alignment horizontal="left" vertical="center"/>
    </xf>
    <xf numFmtId="0" fontId="106" fillId="0" borderId="83" xfId="0" applyFont="1" applyBorder="1" applyAlignment="1">
      <alignment horizontal="left" vertical="center"/>
    </xf>
    <xf numFmtId="0" fontId="106" fillId="0" borderId="78" xfId="0" applyFont="1" applyBorder="1" applyAlignment="1">
      <alignment horizontal="left" vertical="center"/>
    </xf>
    <xf numFmtId="0" fontId="106" fillId="0" borderId="81" xfId="0" applyFont="1" applyBorder="1" applyAlignment="1">
      <alignment horizontal="left" vertical="center"/>
    </xf>
    <xf numFmtId="0" fontId="106" fillId="0" borderId="77" xfId="0" applyFont="1" applyBorder="1" applyAlignment="1">
      <alignment horizontal="left" vertical="center"/>
    </xf>
    <xf numFmtId="0" fontId="113" fillId="19" borderId="74" xfId="161" applyFont="1" applyFill="1" applyBorder="1" applyAlignment="1">
      <alignment horizontal="left" vertical="center"/>
    </xf>
    <xf numFmtId="0" fontId="113" fillId="19" borderId="76" xfId="161" applyFont="1" applyFill="1" applyBorder="1" applyAlignment="1">
      <alignment horizontal="left" vertical="center"/>
    </xf>
    <xf numFmtId="0" fontId="21" fillId="10" borderId="10" xfId="46" applyFont="1" applyFill="1" applyBorder="1" applyAlignment="1">
      <alignment horizontal="center"/>
    </xf>
    <xf numFmtId="0" fontId="21" fillId="10" borderId="17" xfId="46" applyFont="1" applyFill="1" applyBorder="1" applyAlignment="1">
      <alignment horizontal="center"/>
    </xf>
    <xf numFmtId="0" fontId="109" fillId="35" borderId="62" xfId="0" applyFont="1" applyFill="1" applyBorder="1" applyAlignment="1">
      <alignment horizontal="center" vertical="center"/>
    </xf>
    <xf numFmtId="0" fontId="109" fillId="35" borderId="63" xfId="0" applyFont="1" applyFill="1" applyBorder="1" applyAlignment="1">
      <alignment horizontal="center" vertical="center"/>
    </xf>
    <xf numFmtId="0" fontId="109" fillId="35" borderId="64" xfId="0" applyFont="1" applyFill="1" applyBorder="1" applyAlignment="1">
      <alignment horizontal="center" vertical="center"/>
    </xf>
    <xf numFmtId="185" fontId="104" fillId="19" borderId="0" xfId="161" quotePrefix="1" applyNumberFormat="1" applyFont="1" applyFill="1" applyAlignment="1">
      <alignment horizontal="right" vertical="center"/>
    </xf>
    <xf numFmtId="185" fontId="104" fillId="14" borderId="0" xfId="161" quotePrefix="1" applyNumberFormat="1" applyFont="1" applyFill="1" applyAlignment="1">
      <alignment horizontal="right" vertical="center"/>
    </xf>
    <xf numFmtId="0" fontId="22" fillId="0" borderId="3" xfId="48" applyFont="1" applyBorder="1" applyAlignment="1">
      <alignment vertical="center"/>
    </xf>
    <xf numFmtId="0" fontId="52" fillId="13" borderId="10" xfId="49" applyFont="1" applyFill="1" applyBorder="1" applyAlignment="1">
      <alignment horizontal="center" vertical="center"/>
    </xf>
    <xf numFmtId="0" fontId="52" fillId="13" borderId="2" xfId="49" applyFont="1" applyFill="1" applyBorder="1" applyAlignment="1">
      <alignment horizontal="center" vertical="center"/>
    </xf>
    <xf numFmtId="0" fontId="52" fillId="13" borderId="17" xfId="49" applyFont="1" applyFill="1" applyBorder="1" applyAlignment="1">
      <alignment horizontal="center" vertical="center"/>
    </xf>
    <xf numFmtId="0" fontId="115" fillId="36" borderId="74" xfId="0" applyFont="1" applyFill="1" applyBorder="1" applyAlignment="1">
      <alignment horizontal="left" vertical="center" wrapText="1"/>
    </xf>
    <xf numFmtId="0" fontId="115" fillId="36" borderId="76" xfId="0" applyFont="1" applyFill="1" applyBorder="1" applyAlignment="1">
      <alignment horizontal="left" vertical="center" wrapText="1"/>
    </xf>
    <xf numFmtId="0" fontId="115" fillId="19" borderId="74" xfId="161" applyFont="1" applyFill="1" applyBorder="1" applyAlignment="1">
      <alignment horizontal="left" vertical="center" wrapText="1"/>
    </xf>
    <xf numFmtId="0" fontId="113" fillId="36" borderId="74" xfId="0" applyFont="1" applyFill="1" applyBorder="1" applyAlignment="1">
      <alignment horizontal="left" vertical="center" wrapText="1"/>
    </xf>
    <xf numFmtId="0" fontId="113" fillId="36" borderId="76" xfId="0" applyFont="1" applyFill="1" applyBorder="1" applyAlignment="1">
      <alignment horizontal="left" vertical="center" wrapText="1"/>
    </xf>
    <xf numFmtId="0" fontId="97" fillId="36" borderId="74" xfId="161" applyFont="1" applyFill="1" applyBorder="1" applyAlignment="1">
      <alignment horizontal="center" vertical="center"/>
    </xf>
    <xf numFmtId="0" fontId="97" fillId="36" borderId="76" xfId="161" applyFont="1" applyFill="1" applyBorder="1" applyAlignment="1">
      <alignment horizontal="center" vertical="center"/>
    </xf>
    <xf numFmtId="0" fontId="117" fillId="14" borderId="72" xfId="0" applyFont="1" applyFill="1" applyBorder="1" applyAlignment="1">
      <alignment horizontal="center" vertical="center" wrapText="1"/>
    </xf>
    <xf numFmtId="0" fontId="117" fillId="14" borderId="72" xfId="0" applyFont="1" applyFill="1" applyBorder="1" applyAlignment="1">
      <alignment horizontal="center" vertical="center"/>
    </xf>
    <xf numFmtId="0" fontId="117" fillId="14" borderId="0" xfId="0" applyFont="1" applyFill="1" applyAlignment="1">
      <alignment horizontal="center" vertical="center"/>
    </xf>
    <xf numFmtId="0" fontId="101" fillId="19" borderId="0" xfId="161" applyFont="1" applyFill="1" applyAlignment="1">
      <alignment horizontal="left" vertical="center" wrapText="1"/>
    </xf>
    <xf numFmtId="0" fontId="101" fillId="19" borderId="0" xfId="161" applyFont="1" applyFill="1" applyAlignment="1">
      <alignment horizontal="left" vertical="center"/>
    </xf>
    <xf numFmtId="0" fontId="113" fillId="19" borderId="74" xfId="161" applyFont="1" applyFill="1" applyBorder="1" applyAlignment="1">
      <alignment horizontal="left" vertical="center" wrapText="1"/>
    </xf>
    <xf numFmtId="0" fontId="113" fillId="19" borderId="76" xfId="161" applyFont="1" applyFill="1" applyBorder="1" applyAlignment="1">
      <alignment horizontal="left" vertical="center" wrapText="1"/>
    </xf>
    <xf numFmtId="0" fontId="104" fillId="36" borderId="3" xfId="161" applyFont="1" applyFill="1" applyBorder="1" applyAlignment="1">
      <alignment horizontal="center" vertical="center" wrapText="1"/>
    </xf>
    <xf numFmtId="0" fontId="104" fillId="14" borderId="3" xfId="0" applyFont="1" applyFill="1" applyBorder="1" applyAlignment="1">
      <alignment horizontal="center" vertical="center"/>
    </xf>
    <xf numFmtId="0" fontId="106" fillId="0" borderId="73" xfId="0" applyFont="1" applyBorder="1" applyAlignment="1">
      <alignment horizontal="left" vertical="center" wrapText="1"/>
    </xf>
    <xf numFmtId="185" fontId="104" fillId="36" borderId="0" xfId="161" quotePrefix="1" applyNumberFormat="1" applyFont="1" applyFill="1" applyAlignment="1">
      <alignment horizontal="right" vertical="center"/>
    </xf>
    <xf numFmtId="185" fontId="104" fillId="14" borderId="12" xfId="161" quotePrefix="1" applyNumberFormat="1" applyFont="1" applyFill="1" applyBorder="1" applyAlignment="1">
      <alignment horizontal="right" vertical="center"/>
    </xf>
    <xf numFmtId="49" fontId="97" fillId="0" borderId="10" xfId="45" applyNumberFormat="1" applyFont="1" applyBorder="1" applyAlignment="1">
      <alignment horizontal="left" vertical="center" wrapText="1"/>
    </xf>
    <xf numFmtId="49" fontId="97" fillId="0" borderId="54" xfId="45" applyNumberFormat="1" applyFont="1" applyBorder="1" applyAlignment="1">
      <alignment horizontal="left" vertical="center" wrapText="1"/>
    </xf>
    <xf numFmtId="0" fontId="97" fillId="0" borderId="55" xfId="184" applyFont="1" applyBorder="1" applyAlignment="1" applyProtection="1">
      <alignment vertical="center" wrapText="1"/>
      <protection locked="0"/>
    </xf>
    <xf numFmtId="0" fontId="97" fillId="0" borderId="56" xfId="184" applyFont="1" applyBorder="1" applyAlignment="1" applyProtection="1">
      <alignment vertical="center" wrapText="1"/>
      <protection locked="0"/>
    </xf>
    <xf numFmtId="0" fontId="97" fillId="0" borderId="57" xfId="184" applyFont="1" applyBorder="1" applyAlignment="1" applyProtection="1">
      <alignment vertical="center" wrapText="1"/>
      <protection locked="0"/>
    </xf>
    <xf numFmtId="0" fontId="97" fillId="0" borderId="58" xfId="184" applyFont="1" applyBorder="1" applyAlignment="1" applyProtection="1">
      <alignment vertical="center" wrapText="1"/>
      <protection locked="0"/>
    </xf>
    <xf numFmtId="0" fontId="97" fillId="0" borderId="2" xfId="184" applyFont="1" applyBorder="1" applyAlignment="1" applyProtection="1">
      <alignment vertical="center" wrapText="1"/>
      <protection locked="0"/>
    </xf>
    <xf numFmtId="0" fontId="97" fillId="0" borderId="54" xfId="184" applyFont="1" applyBorder="1" applyAlignment="1" applyProtection="1">
      <alignment vertical="center" wrapText="1"/>
      <protection locked="0"/>
    </xf>
    <xf numFmtId="0" fontId="97" fillId="0" borderId="58" xfId="185" applyFont="1" applyBorder="1" applyAlignment="1">
      <alignment horizontal="left" vertical="center" wrapText="1"/>
    </xf>
    <xf numFmtId="0" fontId="97" fillId="0" borderId="2" xfId="185" applyFont="1" applyBorder="1" applyAlignment="1">
      <alignment horizontal="left" vertical="center" wrapText="1"/>
    </xf>
    <xf numFmtId="0" fontId="97" fillId="0" borderId="17" xfId="185" applyFont="1" applyBorder="1" applyAlignment="1">
      <alignment horizontal="left" vertical="center" wrapText="1"/>
    </xf>
    <xf numFmtId="0" fontId="97" fillId="0" borderId="58" xfId="184" applyFont="1" applyBorder="1" applyAlignment="1">
      <alignment horizontal="left" vertical="center" wrapText="1"/>
    </xf>
    <xf numFmtId="0" fontId="97" fillId="0" borderId="2" xfId="184" applyFont="1" applyBorder="1" applyAlignment="1">
      <alignment horizontal="left" vertical="center" wrapText="1"/>
    </xf>
    <xf numFmtId="0" fontId="97" fillId="0" borderId="10" xfId="185" applyFont="1" applyBorder="1" applyAlignment="1">
      <alignment horizontal="left" vertical="center" wrapText="1"/>
    </xf>
    <xf numFmtId="0" fontId="97" fillId="0" borderId="10" xfId="184" applyFont="1" applyBorder="1" applyAlignment="1">
      <alignment horizontal="left" vertical="center" wrapText="1"/>
    </xf>
    <xf numFmtId="0" fontId="97" fillId="0" borderId="17" xfId="184" applyFont="1" applyBorder="1" applyAlignment="1">
      <alignment horizontal="left" vertical="center" wrapText="1"/>
    </xf>
    <xf numFmtId="0" fontId="97" fillId="0" borderId="0" xfId="184" applyFont="1" applyAlignment="1" applyProtection="1">
      <alignment horizontal="left" vertical="center" wrapText="1"/>
      <protection locked="0"/>
    </xf>
    <xf numFmtId="0" fontId="97" fillId="0" borderId="58" xfId="184" applyFont="1" applyBorder="1" applyAlignment="1" applyProtection="1">
      <alignment horizontal="left" vertical="center" wrapText="1"/>
      <protection locked="0"/>
    </xf>
    <xf numFmtId="0" fontId="97" fillId="0" borderId="2" xfId="184" applyFont="1" applyBorder="1" applyAlignment="1" applyProtection="1">
      <alignment horizontal="left" vertical="center" wrapText="1"/>
      <protection locked="0"/>
    </xf>
    <xf numFmtId="0" fontId="97" fillId="0" borderId="63" xfId="184" applyFont="1" applyBorder="1" applyAlignment="1" applyProtection="1">
      <alignment horizontal="left" vertical="center" wrapText="1"/>
      <protection locked="0"/>
    </xf>
    <xf numFmtId="0" fontId="97" fillId="0" borderId="55" xfId="185" applyFont="1" applyBorder="1" applyAlignment="1" applyProtection="1">
      <alignment vertical="center" wrapText="1"/>
      <protection locked="0"/>
    </xf>
    <xf numFmtId="0" fontId="97" fillId="0" borderId="56" xfId="185" applyFont="1" applyBorder="1" applyAlignment="1" applyProtection="1">
      <alignment vertical="center" wrapText="1"/>
      <protection locked="0"/>
    </xf>
    <xf numFmtId="0" fontId="97" fillId="0" borderId="57" xfId="185" applyFont="1" applyBorder="1" applyAlignment="1" applyProtection="1">
      <alignment vertical="center" wrapText="1"/>
      <protection locked="0"/>
    </xf>
    <xf numFmtId="0" fontId="97" fillId="0" borderId="58" xfId="185" applyFont="1" applyBorder="1" applyAlignment="1" applyProtection="1">
      <alignment vertical="center" wrapText="1"/>
      <protection locked="0"/>
    </xf>
    <xf numFmtId="0" fontId="97" fillId="0" borderId="2" xfId="185" applyFont="1" applyBorder="1" applyAlignment="1" applyProtection="1">
      <alignment vertical="center" wrapText="1"/>
      <protection locked="0"/>
    </xf>
    <xf numFmtId="0" fontId="97" fillId="0" borderId="54" xfId="185" applyFont="1" applyBorder="1" applyAlignment="1" applyProtection="1">
      <alignment vertical="center" wrapText="1"/>
      <protection locked="0"/>
    </xf>
    <xf numFmtId="0" fontId="103" fillId="33" borderId="23" xfId="185" applyFont="1" applyFill="1" applyBorder="1" applyAlignment="1">
      <alignment horizontal="center" vertical="center"/>
    </xf>
    <xf numFmtId="0" fontId="103" fillId="34" borderId="3" xfId="185" applyFont="1" applyFill="1" applyBorder="1" applyAlignment="1">
      <alignment horizontal="center" vertical="center"/>
    </xf>
    <xf numFmtId="0" fontId="97" fillId="34" borderId="3" xfId="185" applyFont="1" applyFill="1" applyBorder="1" applyAlignment="1">
      <alignment horizontal="center" vertical="center"/>
    </xf>
    <xf numFmtId="0" fontId="103" fillId="34" borderId="3" xfId="185" applyFont="1" applyFill="1" applyBorder="1" applyAlignment="1" applyProtection="1">
      <alignment horizontal="center" vertical="center" wrapText="1"/>
      <protection locked="0"/>
    </xf>
    <xf numFmtId="0" fontId="103" fillId="32" borderId="3" xfId="185" applyFont="1" applyFill="1" applyBorder="1" applyAlignment="1">
      <alignment horizontal="center" vertical="center" wrapText="1"/>
    </xf>
    <xf numFmtId="0" fontId="103" fillId="32" borderId="3" xfId="185" applyFont="1" applyFill="1" applyBorder="1" applyAlignment="1">
      <alignment horizontal="center" vertical="center"/>
    </xf>
    <xf numFmtId="0" fontId="103" fillId="32" borderId="62" xfId="185" applyFont="1" applyFill="1" applyBorder="1" applyAlignment="1">
      <alignment horizontal="center" vertical="center" wrapText="1"/>
    </xf>
    <xf numFmtId="0" fontId="103" fillId="32" borderId="63" xfId="185" applyFont="1" applyFill="1" applyBorder="1" applyAlignment="1">
      <alignment horizontal="center" vertical="center" wrapText="1"/>
    </xf>
    <xf numFmtId="0" fontId="103" fillId="32" borderId="64" xfId="185" applyFont="1" applyFill="1" applyBorder="1" applyAlignment="1">
      <alignment horizontal="center" vertical="center" wrapText="1"/>
    </xf>
    <xf numFmtId="0" fontId="103" fillId="32" borderId="84" xfId="185" applyFont="1" applyFill="1" applyBorder="1" applyAlignment="1">
      <alignment horizontal="center" vertical="center" wrapText="1"/>
    </xf>
    <xf numFmtId="0" fontId="103" fillId="32" borderId="65" xfId="185" applyFont="1" applyFill="1" applyBorder="1" applyAlignment="1">
      <alignment horizontal="center" vertical="center" wrapText="1"/>
    </xf>
    <xf numFmtId="0" fontId="103" fillId="32" borderId="66" xfId="185" applyFont="1" applyFill="1" applyBorder="1" applyAlignment="1">
      <alignment horizontal="center" vertical="center" wrapText="1"/>
    </xf>
    <xf numFmtId="0" fontId="103" fillId="32" borderId="62" xfId="184" applyFont="1" applyFill="1" applyBorder="1" applyAlignment="1">
      <alignment horizontal="center" vertical="center" wrapText="1"/>
    </xf>
    <xf numFmtId="0" fontId="103" fillId="32" borderId="63" xfId="184" applyFont="1" applyFill="1" applyBorder="1" applyAlignment="1">
      <alignment horizontal="center" vertical="center" wrapText="1"/>
    </xf>
    <xf numFmtId="0" fontId="103" fillId="32" borderId="7" xfId="184" applyFont="1" applyFill="1" applyBorder="1" applyAlignment="1">
      <alignment horizontal="center" vertical="center" wrapText="1"/>
    </xf>
    <xf numFmtId="0" fontId="103" fillId="32" borderId="65" xfId="184" applyFont="1" applyFill="1" applyBorder="1" applyAlignment="1">
      <alignment horizontal="center" vertical="center" wrapText="1"/>
    </xf>
    <xf numFmtId="0" fontId="97" fillId="0" borderId="10" xfId="45" applyFont="1" applyBorder="1" applyAlignment="1">
      <alignment horizontal="left" vertical="center" wrapText="1"/>
    </xf>
    <xf numFmtId="0" fontId="97" fillId="0" borderId="2" xfId="45" applyFont="1" applyBorder="1" applyAlignment="1">
      <alignment horizontal="left" vertical="center" wrapText="1"/>
    </xf>
    <xf numFmtId="0" fontId="97" fillId="0" borderId="17" xfId="45" applyFont="1" applyBorder="1" applyAlignment="1">
      <alignment horizontal="left" vertical="center" wrapText="1"/>
    </xf>
    <xf numFmtId="0" fontId="97" fillId="0" borderId="59" xfId="45" applyFont="1" applyBorder="1" applyAlignment="1" applyProtection="1">
      <alignment vertical="center" wrapText="1"/>
      <protection locked="0"/>
    </xf>
    <xf numFmtId="0" fontId="97" fillId="0" borderId="60" xfId="45" applyFont="1" applyBorder="1" applyAlignment="1" applyProtection="1">
      <alignment vertical="center" wrapText="1"/>
      <protection locked="0"/>
    </xf>
    <xf numFmtId="0" fontId="97" fillId="0" borderId="67" xfId="45" applyFont="1" applyBorder="1" applyAlignment="1" applyProtection="1">
      <alignment vertical="center" wrapText="1"/>
      <protection locked="0"/>
    </xf>
    <xf numFmtId="0" fontId="97" fillId="0" borderId="68" xfId="45" applyFont="1" applyBorder="1" applyAlignment="1" applyProtection="1">
      <alignment horizontal="left" vertical="center" wrapText="1"/>
      <protection locked="0"/>
    </xf>
    <xf numFmtId="0" fontId="97" fillId="0" borderId="58" xfId="45" applyFont="1" applyBorder="1" applyAlignment="1" applyProtection="1">
      <alignment horizontal="center" vertical="center" wrapText="1"/>
      <protection locked="0"/>
    </xf>
    <xf numFmtId="0" fontId="97" fillId="0" borderId="2" xfId="45" applyFont="1" applyBorder="1" applyAlignment="1" applyProtection="1">
      <alignment horizontal="center" vertical="center" wrapText="1"/>
      <protection locked="0"/>
    </xf>
    <xf numFmtId="0" fontId="97" fillId="0" borderId="17" xfId="45" applyFont="1" applyBorder="1" applyAlignment="1" applyProtection="1">
      <alignment horizontal="center" vertical="center" wrapText="1"/>
      <protection locked="0"/>
    </xf>
    <xf numFmtId="0" fontId="97" fillId="0" borderId="59" xfId="185" applyFont="1" applyBorder="1" applyAlignment="1" applyProtection="1">
      <alignment vertical="center" wrapText="1"/>
      <protection locked="0"/>
    </xf>
    <xf numFmtId="0" fontId="97" fillId="0" borderId="60" xfId="185" applyFont="1" applyBorder="1" applyAlignment="1" applyProtection="1">
      <alignment vertical="center" wrapText="1"/>
      <protection locked="0"/>
    </xf>
    <xf numFmtId="0" fontId="97" fillId="0" borderId="61" xfId="185" applyFont="1" applyBorder="1" applyAlignment="1" applyProtection="1">
      <alignment vertical="center" wrapText="1"/>
      <protection locked="0"/>
    </xf>
    <xf numFmtId="0" fontId="97" fillId="0" borderId="58" xfId="185" applyFont="1" applyBorder="1" applyAlignment="1">
      <alignment horizontal="center" vertical="center" wrapText="1"/>
    </xf>
    <xf numFmtId="0" fontId="97" fillId="0" borderId="2" xfId="185" applyFont="1" applyBorder="1" applyAlignment="1">
      <alignment horizontal="center" vertical="center" wrapText="1"/>
    </xf>
    <xf numFmtId="0" fontId="97" fillId="0" borderId="17" xfId="185" applyFont="1" applyBorder="1" applyAlignment="1">
      <alignment horizontal="center" vertical="center" wrapText="1"/>
    </xf>
    <xf numFmtId="0" fontId="97" fillId="0" borderId="10" xfId="185" applyFont="1" applyBorder="1" applyAlignment="1">
      <alignment horizontal="left" vertical="top" wrapText="1"/>
    </xf>
    <xf numFmtId="0" fontId="97" fillId="0" borderId="2" xfId="185" applyFont="1" applyBorder="1" applyAlignment="1">
      <alignment horizontal="left" vertical="top" wrapText="1"/>
    </xf>
    <xf numFmtId="0" fontId="97" fillId="0" borderId="17" xfId="185" applyFont="1" applyBorder="1" applyAlignment="1">
      <alignment horizontal="left" vertical="top" wrapText="1"/>
    </xf>
    <xf numFmtId="0" fontId="97" fillId="0" borderId="54" xfId="45" applyFont="1" applyBorder="1" applyAlignment="1" applyProtection="1">
      <alignment horizontal="center" vertical="center" wrapText="1"/>
      <protection locked="0"/>
    </xf>
    <xf numFmtId="0" fontId="97" fillId="0" borderId="58" xfId="185" applyFont="1" applyBorder="1" applyAlignment="1" applyProtection="1">
      <alignment horizontal="left" vertical="center" wrapText="1"/>
      <protection locked="0"/>
    </xf>
    <xf numFmtId="0" fontId="97" fillId="0" borderId="2" xfId="185" applyFont="1" applyBorder="1" applyAlignment="1" applyProtection="1">
      <alignment horizontal="left" vertical="center" wrapText="1"/>
      <protection locked="0"/>
    </xf>
    <xf numFmtId="0" fontId="101" fillId="0" borderId="3" xfId="186" applyFont="1" applyBorder="1" applyAlignment="1">
      <alignment horizontal="center" vertical="center"/>
    </xf>
    <xf numFmtId="0" fontId="101" fillId="0" borderId="10" xfId="186" applyFont="1" applyBorder="1" applyAlignment="1">
      <alignment horizontal="center" vertical="center"/>
    </xf>
    <xf numFmtId="0" fontId="101" fillId="0" borderId="2" xfId="186" applyFont="1" applyBorder="1" applyAlignment="1">
      <alignment horizontal="center" vertical="center"/>
    </xf>
    <xf numFmtId="0" fontId="101" fillId="34" borderId="10" xfId="186" applyFont="1" applyFill="1" applyBorder="1" applyAlignment="1">
      <alignment horizontal="left" vertical="center"/>
    </xf>
    <xf numFmtId="0" fontId="101" fillId="34" borderId="2" xfId="186" applyFont="1" applyFill="1" applyBorder="1" applyAlignment="1">
      <alignment horizontal="left" vertical="center"/>
    </xf>
    <xf numFmtId="0" fontId="101" fillId="34" borderId="17" xfId="186" applyFont="1" applyFill="1" applyBorder="1" applyAlignment="1">
      <alignment horizontal="left" vertical="center"/>
    </xf>
    <xf numFmtId="0" fontId="101" fillId="0" borderId="10" xfId="186" applyFont="1" applyBorder="1" applyAlignment="1">
      <alignment horizontal="left" vertical="center"/>
    </xf>
    <xf numFmtId="0" fontId="101" fillId="0" borderId="2" xfId="186" applyFont="1" applyBorder="1" applyAlignment="1">
      <alignment horizontal="left" vertical="center"/>
    </xf>
    <xf numFmtId="0" fontId="101" fillId="0" borderId="17" xfId="186" applyFont="1" applyBorder="1" applyAlignment="1">
      <alignment horizontal="left" vertical="center"/>
    </xf>
    <xf numFmtId="0" fontId="101" fillId="0" borderId="3" xfId="187" applyFont="1" applyBorder="1" applyAlignment="1">
      <alignment horizontal="left" vertical="center"/>
    </xf>
    <xf numFmtId="0" fontId="101" fillId="0" borderId="3" xfId="186" applyFont="1" applyBorder="1" applyAlignment="1">
      <alignment horizontal="left" vertical="center"/>
    </xf>
    <xf numFmtId="0" fontId="101" fillId="0" borderId="3" xfId="187" applyFont="1" applyBorder="1" applyAlignment="1">
      <alignment horizontal="center" vertical="center"/>
    </xf>
    <xf numFmtId="0" fontId="101" fillId="0" borderId="3" xfId="187" applyFont="1" applyBorder="1" applyAlignment="1">
      <alignment vertical="center" wrapText="1"/>
    </xf>
    <xf numFmtId="0" fontId="101" fillId="0" borderId="3" xfId="186" applyFont="1" applyBorder="1" applyAlignment="1">
      <alignment horizontal="left" vertical="center" wrapText="1"/>
    </xf>
    <xf numFmtId="0" fontId="101" fillId="0" borderId="10" xfId="186" applyFont="1" applyBorder="1" applyAlignment="1">
      <alignment horizontal="left" vertical="center" wrapText="1"/>
    </xf>
    <xf numFmtId="0" fontId="101" fillId="0" borderId="2" xfId="186" applyFont="1" applyBorder="1" applyAlignment="1">
      <alignment horizontal="left" vertical="center" wrapText="1"/>
    </xf>
    <xf numFmtId="0" fontId="101" fillId="0" borderId="17" xfId="186" applyFont="1" applyBorder="1" applyAlignment="1">
      <alignment horizontal="left" vertical="center" wrapText="1"/>
    </xf>
    <xf numFmtId="0" fontId="101" fillId="0" borderId="15" xfId="186" applyFont="1" applyBorder="1" applyAlignment="1">
      <alignment horizontal="center" vertical="center"/>
    </xf>
    <xf numFmtId="0" fontId="101" fillId="0" borderId="12" xfId="186" applyFont="1" applyBorder="1" applyAlignment="1">
      <alignment horizontal="center" vertical="center"/>
    </xf>
    <xf numFmtId="0" fontId="101" fillId="0" borderId="13" xfId="186" applyFont="1" applyBorder="1" applyAlignment="1">
      <alignment horizontal="center" vertical="center"/>
    </xf>
    <xf numFmtId="0" fontId="101" fillId="0" borderId="6" xfId="186" applyFont="1" applyBorder="1" applyAlignment="1">
      <alignment horizontal="center" vertical="center"/>
    </xf>
    <xf numFmtId="0" fontId="101" fillId="0" borderId="0" xfId="186" applyFont="1" applyAlignment="1">
      <alignment horizontal="center" vertical="center"/>
    </xf>
    <xf numFmtId="0" fontId="101" fillId="0" borderId="11" xfId="186" applyFont="1" applyBorder="1" applyAlignment="1">
      <alignment horizontal="center" vertical="center"/>
    </xf>
    <xf numFmtId="0" fontId="101" fillId="0" borderId="7" xfId="186" applyFont="1" applyBorder="1" applyAlignment="1">
      <alignment horizontal="center" vertical="center"/>
    </xf>
    <xf numFmtId="0" fontId="101" fillId="0" borderId="8" xfId="186" applyFont="1" applyBorder="1" applyAlignment="1">
      <alignment horizontal="center" vertical="center"/>
    </xf>
    <xf numFmtId="0" fontId="101" fillId="0" borderId="14" xfId="186" applyFont="1" applyBorder="1" applyAlignment="1">
      <alignment horizontal="center" vertical="center"/>
    </xf>
    <xf numFmtId="0" fontId="101" fillId="0" borderId="15" xfId="186" applyFont="1" applyBorder="1" applyAlignment="1">
      <alignment horizontal="left" vertical="center" wrapText="1"/>
    </xf>
    <xf numFmtId="0" fontId="101" fillId="0" borderId="12" xfId="186" applyFont="1" applyBorder="1" applyAlignment="1">
      <alignment horizontal="left" vertical="center"/>
    </xf>
    <xf numFmtId="0" fontId="101" fillId="0" borderId="13" xfId="186" applyFont="1" applyBorder="1" applyAlignment="1">
      <alignment horizontal="left" vertical="center"/>
    </xf>
    <xf numFmtId="0" fontId="101" fillId="0" borderId="6" xfId="186" applyFont="1" applyBorder="1" applyAlignment="1">
      <alignment horizontal="left" vertical="center"/>
    </xf>
    <xf numFmtId="0" fontId="101" fillId="0" borderId="0" xfId="186" applyFont="1" applyAlignment="1">
      <alignment horizontal="left" vertical="center"/>
    </xf>
    <xf numFmtId="0" fontId="101" fillId="0" borderId="11" xfId="186" applyFont="1" applyBorder="1" applyAlignment="1">
      <alignment horizontal="left" vertical="center"/>
    </xf>
    <xf numFmtId="0" fontId="101" fillId="0" borderId="7" xfId="186" applyFont="1" applyBorder="1" applyAlignment="1">
      <alignment horizontal="left" vertical="center"/>
    </xf>
    <xf numFmtId="0" fontId="101" fillId="0" borderId="8" xfId="186" applyFont="1" applyBorder="1" applyAlignment="1">
      <alignment horizontal="left" vertical="center"/>
    </xf>
    <xf numFmtId="0" fontId="101" fillId="0" borderId="14" xfId="186" applyFont="1" applyBorder="1" applyAlignment="1">
      <alignment horizontal="left" vertical="center"/>
    </xf>
    <xf numFmtId="0" fontId="101" fillId="35" borderId="10" xfId="186" applyFont="1" applyFill="1" applyBorder="1" applyAlignment="1">
      <alignment horizontal="center" vertical="center"/>
    </xf>
    <xf numFmtId="0" fontId="101" fillId="35" borderId="2" xfId="186" applyFont="1" applyFill="1" applyBorder="1" applyAlignment="1">
      <alignment horizontal="center" vertical="center"/>
    </xf>
    <xf numFmtId="0" fontId="101" fillId="35" borderId="3" xfId="186" applyFont="1" applyFill="1" applyBorder="1" applyAlignment="1">
      <alignment horizontal="center" vertical="center"/>
    </xf>
    <xf numFmtId="0" fontId="101" fillId="0" borderId="17" xfId="186" applyFont="1" applyBorder="1" applyAlignment="1">
      <alignment horizontal="center" vertical="center"/>
    </xf>
    <xf numFmtId="0" fontId="101" fillId="0" borderId="10" xfId="187" applyFont="1" applyBorder="1" applyAlignment="1">
      <alignment horizontal="center" vertical="center"/>
    </xf>
    <xf numFmtId="0" fontId="101" fillId="0" borderId="2" xfId="187" applyFont="1" applyBorder="1" applyAlignment="1">
      <alignment horizontal="center" vertical="center"/>
    </xf>
    <xf numFmtId="0" fontId="101" fillId="0" borderId="17" xfId="187" applyFont="1" applyBorder="1" applyAlignment="1">
      <alignment horizontal="center" vertical="center"/>
    </xf>
    <xf numFmtId="0" fontId="101" fillId="37" borderId="3" xfId="186" applyFont="1" applyFill="1" applyBorder="1" applyAlignment="1">
      <alignment horizontal="center" vertical="center"/>
    </xf>
    <xf numFmtId="0" fontId="101" fillId="37" borderId="3" xfId="187" applyFont="1" applyFill="1" applyBorder="1" applyAlignment="1">
      <alignment horizontal="center" vertical="center"/>
    </xf>
    <xf numFmtId="0" fontId="101" fillId="37" borderId="3" xfId="187" applyFont="1" applyFill="1" applyBorder="1">
      <alignment vertical="center"/>
    </xf>
    <xf numFmtId="0" fontId="101" fillId="37" borderId="3" xfId="186" applyFont="1" applyFill="1" applyBorder="1" applyAlignment="1">
      <alignment horizontal="center" vertical="center" wrapText="1"/>
    </xf>
    <xf numFmtId="0" fontId="101" fillId="37" borderId="10" xfId="186" applyFont="1" applyFill="1" applyBorder="1" applyAlignment="1">
      <alignment horizontal="center" vertical="center"/>
    </xf>
    <xf numFmtId="0" fontId="101" fillId="37" borderId="2" xfId="186" applyFont="1" applyFill="1" applyBorder="1" applyAlignment="1">
      <alignment horizontal="center" vertical="center"/>
    </xf>
    <xf numFmtId="0" fontId="101" fillId="37" borderId="17" xfId="186" applyFont="1" applyFill="1" applyBorder="1" applyAlignment="1">
      <alignment horizontal="center" vertical="center"/>
    </xf>
    <xf numFmtId="0" fontId="101" fillId="38" borderId="3" xfId="186" applyFont="1" applyFill="1" applyBorder="1" applyAlignment="1">
      <alignment horizontal="center" vertical="center"/>
    </xf>
    <xf numFmtId="0" fontId="101" fillId="38" borderId="3" xfId="186" applyFont="1" applyFill="1" applyBorder="1" applyAlignment="1">
      <alignment horizontal="left" vertical="center" wrapText="1"/>
    </xf>
    <xf numFmtId="0" fontId="101" fillId="34" borderId="10" xfId="186" applyFont="1" applyFill="1" applyBorder="1" applyAlignment="1">
      <alignment horizontal="center" vertical="center"/>
    </xf>
    <xf numFmtId="0" fontId="101" fillId="34" borderId="2" xfId="186" applyFont="1" applyFill="1" applyBorder="1" applyAlignment="1">
      <alignment horizontal="center" vertical="center"/>
    </xf>
    <xf numFmtId="0" fontId="101" fillId="34" borderId="17" xfId="186" applyFont="1" applyFill="1" applyBorder="1" applyAlignment="1">
      <alignment horizontal="center" vertical="center"/>
    </xf>
    <xf numFmtId="0" fontId="110" fillId="33" borderId="23" xfId="186" applyFont="1" applyFill="1" applyBorder="1" applyAlignment="1">
      <alignment horizontal="center" vertical="center"/>
    </xf>
    <xf numFmtId="0" fontId="101" fillId="0" borderId="15" xfId="186" applyFont="1" applyBorder="1" applyAlignment="1">
      <alignment horizontal="left" vertical="center"/>
    </xf>
    <xf numFmtId="0" fontId="101" fillId="14" borderId="15" xfId="186" applyFont="1" applyFill="1" applyBorder="1" applyAlignment="1">
      <alignment horizontal="left" vertical="center"/>
    </xf>
    <xf numFmtId="0" fontId="101" fillId="14" borderId="12" xfId="186" applyFont="1" applyFill="1" applyBorder="1" applyAlignment="1">
      <alignment horizontal="left" vertical="center"/>
    </xf>
    <xf numFmtId="0" fontId="101" fillId="14" borderId="13" xfId="186" applyFont="1" applyFill="1" applyBorder="1" applyAlignment="1">
      <alignment horizontal="left" vertical="center"/>
    </xf>
    <xf numFmtId="0" fontId="101" fillId="14" borderId="7" xfId="186" applyFont="1" applyFill="1" applyBorder="1" applyAlignment="1">
      <alignment horizontal="left" vertical="center"/>
    </xf>
    <xf numFmtId="0" fontId="101" fillId="14" borderId="8" xfId="186" applyFont="1" applyFill="1" applyBorder="1" applyAlignment="1">
      <alignment horizontal="left" vertical="center"/>
    </xf>
    <xf numFmtId="0" fontId="101" fillId="14" borderId="14" xfId="186" applyFont="1" applyFill="1" applyBorder="1" applyAlignment="1">
      <alignment horizontal="left" vertical="center"/>
    </xf>
    <xf numFmtId="0" fontId="101" fillId="14" borderId="10" xfId="186" applyFont="1" applyFill="1" applyBorder="1" applyAlignment="1">
      <alignment horizontal="left" vertical="center" wrapText="1"/>
    </xf>
    <xf numFmtId="0" fontId="101" fillId="14" borderId="2" xfId="186" applyFont="1" applyFill="1" applyBorder="1" applyAlignment="1">
      <alignment horizontal="left" vertical="center" wrapText="1"/>
    </xf>
    <xf numFmtId="0" fontId="101" fillId="14" borderId="17" xfId="186" applyFont="1" applyFill="1" applyBorder="1" applyAlignment="1">
      <alignment horizontal="left" vertical="center" wrapText="1"/>
    </xf>
    <xf numFmtId="0" fontId="97" fillId="0" borderId="3" xfId="188" applyFont="1" applyBorder="1">
      <alignment vertical="center"/>
    </xf>
    <xf numFmtId="0" fontId="97" fillId="0" borderId="3" xfId="188" applyFont="1" applyBorder="1" applyAlignment="1">
      <alignment horizontal="left" vertical="center"/>
    </xf>
    <xf numFmtId="0" fontId="97" fillId="0" borderId="10" xfId="188" applyFont="1" applyBorder="1" applyAlignment="1">
      <alignment horizontal="left" vertical="center"/>
    </xf>
    <xf numFmtId="0" fontId="97" fillId="0" borderId="2" xfId="188" applyFont="1" applyBorder="1" applyAlignment="1">
      <alignment horizontal="left" vertical="center"/>
    </xf>
    <xf numFmtId="0" fontId="97" fillId="0" borderId="17" xfId="188" applyFont="1" applyBorder="1" applyAlignment="1">
      <alignment horizontal="left" vertical="center"/>
    </xf>
    <xf numFmtId="0" fontId="97" fillId="34" borderId="3" xfId="188" applyFont="1" applyFill="1" applyBorder="1" applyAlignment="1">
      <alignment horizontal="center" vertical="center"/>
    </xf>
    <xf numFmtId="0" fontId="97" fillId="0" borderId="3" xfId="188" applyFont="1" applyBorder="1" applyAlignment="1">
      <alignment horizontal="center" vertical="center"/>
    </xf>
    <xf numFmtId="0" fontId="97" fillId="0" borderId="10" xfId="188" applyFont="1" applyBorder="1" applyAlignment="1">
      <alignment horizontal="left" vertical="center" wrapText="1"/>
    </xf>
    <xf numFmtId="0" fontId="97" fillId="0" borderId="2" xfId="188" applyFont="1" applyBorder="1" applyAlignment="1">
      <alignment horizontal="left" vertical="center" wrapText="1"/>
    </xf>
    <xf numFmtId="0" fontId="97" fillId="0" borderId="17" xfId="188" applyFont="1" applyBorder="1" applyAlignment="1">
      <alignment horizontal="left" vertical="center" wrapText="1"/>
    </xf>
    <xf numFmtId="0" fontId="100" fillId="34" borderId="3" xfId="188" applyFont="1" applyFill="1" applyBorder="1">
      <alignment vertical="center"/>
    </xf>
    <xf numFmtId="0" fontId="97" fillId="0" borderId="3" xfId="188" applyFont="1" applyBorder="1" applyAlignment="1">
      <alignment horizontal="left" vertical="center" wrapText="1"/>
    </xf>
    <xf numFmtId="0" fontId="103" fillId="33" borderId="23" xfId="188" applyFont="1" applyFill="1" applyBorder="1" applyAlignment="1">
      <alignment horizontal="center" vertical="center"/>
    </xf>
    <xf numFmtId="0" fontId="97" fillId="34" borderId="3" xfId="188" applyFont="1" applyFill="1" applyBorder="1" applyAlignment="1">
      <alignment horizontal="center" vertical="center" wrapText="1"/>
    </xf>
    <xf numFmtId="0" fontId="101" fillId="0" borderId="3" xfId="188" applyFont="1" applyBorder="1" applyAlignment="1">
      <alignment horizontal="center" vertical="center"/>
    </xf>
    <xf numFmtId="0" fontId="101" fillId="0" borderId="3" xfId="188" quotePrefix="1" applyFont="1" applyBorder="1" applyAlignment="1">
      <alignment horizontal="center" vertical="center"/>
    </xf>
    <xf numFmtId="0" fontId="121" fillId="0" borderId="3" xfId="188" applyFont="1" applyBorder="1" applyAlignment="1">
      <alignment horizontal="center" vertical="center"/>
    </xf>
    <xf numFmtId="0" fontId="101" fillId="0" borderId="10" xfId="188" applyFont="1" applyBorder="1" applyAlignment="1">
      <alignment horizontal="center" vertical="center"/>
    </xf>
    <xf numFmtId="0" fontId="101" fillId="0" borderId="2" xfId="188" applyFont="1" applyBorder="1" applyAlignment="1">
      <alignment horizontal="center" vertical="center"/>
    </xf>
    <xf numFmtId="0" fontId="101" fillId="0" borderId="17" xfId="188" applyFont="1" applyBorder="1" applyAlignment="1">
      <alignment horizontal="center" vertical="center"/>
    </xf>
    <xf numFmtId="17" fontId="101" fillId="0" borderId="3" xfId="188" quotePrefix="1" applyNumberFormat="1" applyFont="1" applyBorder="1" applyAlignment="1">
      <alignment horizontal="center" vertical="center"/>
    </xf>
    <xf numFmtId="0" fontId="101" fillId="35" borderId="3" xfId="188" applyFont="1" applyFill="1" applyBorder="1" applyAlignment="1">
      <alignment horizontal="center" vertical="center"/>
    </xf>
    <xf numFmtId="0" fontId="101" fillId="35" borderId="3" xfId="188" applyFont="1" applyFill="1" applyBorder="1" applyAlignment="1">
      <alignment horizontal="center" vertical="center" shrinkToFit="1"/>
    </xf>
    <xf numFmtId="0" fontId="121" fillId="35" borderId="3" xfId="188" applyFont="1" applyFill="1" applyBorder="1" applyAlignment="1">
      <alignment horizontal="center" vertical="center" shrinkToFit="1"/>
    </xf>
    <xf numFmtId="0" fontId="103" fillId="33" borderId="3" xfId="188" applyFont="1" applyFill="1" applyBorder="1" applyAlignment="1">
      <alignment horizontal="center" vertical="center"/>
    </xf>
    <xf numFmtId="0" fontId="97" fillId="0" borderId="3" xfId="188" applyFont="1" applyBorder="1" applyAlignment="1">
      <alignment vertical="center" wrapText="1"/>
    </xf>
    <xf numFmtId="185" fontId="62" fillId="0" borderId="0" xfId="161" quotePrefix="1" applyNumberFormat="1" applyFont="1" applyAlignment="1">
      <alignment horizontal="right" vertical="center"/>
    </xf>
    <xf numFmtId="185" fontId="62" fillId="0" borderId="10" xfId="161" quotePrefix="1" applyNumberFormat="1" applyFont="1" applyBorder="1" applyAlignment="1">
      <alignment horizontal="right" vertical="center"/>
    </xf>
    <xf numFmtId="185" fontId="62" fillId="0" borderId="2" xfId="161" quotePrefix="1" applyNumberFormat="1" applyFont="1" applyBorder="1" applyAlignment="1">
      <alignment horizontal="right" vertical="center"/>
    </xf>
    <xf numFmtId="185" fontId="62" fillId="0" borderId="17" xfId="161" quotePrefix="1" applyNumberFormat="1" applyFont="1" applyBorder="1" applyAlignment="1">
      <alignment horizontal="right" vertical="center"/>
    </xf>
    <xf numFmtId="191" fontId="62" fillId="0" borderId="10" xfId="161" quotePrefix="1" applyNumberFormat="1" applyFont="1" applyBorder="1" applyAlignment="1">
      <alignment horizontal="right" vertical="center"/>
    </xf>
    <xf numFmtId="191" fontId="62" fillId="0" borderId="2" xfId="161" quotePrefix="1" applyNumberFormat="1" applyFont="1" applyBorder="1" applyAlignment="1">
      <alignment horizontal="right" vertical="center"/>
    </xf>
    <xf numFmtId="191" fontId="62" fillId="0" borderId="17" xfId="161" quotePrefix="1" applyNumberFormat="1" applyFont="1" applyBorder="1" applyAlignment="1">
      <alignment horizontal="right" vertical="center"/>
    </xf>
    <xf numFmtId="183" fontId="62" fillId="0" borderId="10" xfId="161" quotePrefix="1" applyNumberFormat="1" applyFont="1" applyBorder="1" applyAlignment="1">
      <alignment horizontal="right" vertical="center"/>
    </xf>
    <xf numFmtId="183" fontId="62" fillId="0" borderId="2" xfId="161" quotePrefix="1" applyNumberFormat="1" applyFont="1" applyBorder="1" applyAlignment="1">
      <alignment horizontal="right" vertical="center"/>
    </xf>
    <xf numFmtId="183" fontId="62" fillId="0" borderId="17" xfId="161" quotePrefix="1" applyNumberFormat="1" applyFont="1" applyBorder="1" applyAlignment="1">
      <alignment horizontal="right" vertical="center"/>
    </xf>
    <xf numFmtId="184" fontId="62" fillId="0" borderId="10" xfId="161" quotePrefix="1" applyNumberFormat="1" applyFont="1" applyBorder="1" applyAlignment="1">
      <alignment horizontal="center" vertical="center"/>
    </xf>
    <xf numFmtId="184" fontId="62" fillId="0" borderId="2" xfId="161" quotePrefix="1" applyNumberFormat="1" applyFont="1" applyBorder="1" applyAlignment="1">
      <alignment horizontal="center" vertical="center"/>
    </xf>
    <xf numFmtId="184" fontId="62" fillId="0" borderId="17" xfId="161" quotePrefix="1" applyNumberFormat="1" applyFont="1" applyBorder="1" applyAlignment="1">
      <alignment horizontal="center" vertical="center"/>
    </xf>
    <xf numFmtId="185" fontId="62" fillId="0" borderId="10" xfId="161" applyNumberFormat="1" applyFont="1" applyBorder="1" applyAlignment="1">
      <alignment horizontal="center" vertical="center"/>
    </xf>
    <xf numFmtId="185" fontId="62" fillId="0" borderId="2" xfId="161" applyNumberFormat="1" applyFont="1" applyBorder="1" applyAlignment="1">
      <alignment horizontal="center" vertical="center"/>
    </xf>
    <xf numFmtId="185" fontId="62" fillId="0" borderId="17" xfId="161" applyNumberFormat="1" applyFont="1" applyBorder="1" applyAlignment="1">
      <alignment horizontal="center" vertical="center"/>
    </xf>
    <xf numFmtId="180" fontId="62" fillId="0" borderId="10" xfId="161" quotePrefix="1" applyNumberFormat="1" applyFont="1" applyBorder="1" applyAlignment="1">
      <alignment horizontal="right" vertical="center"/>
    </xf>
    <xf numFmtId="180" fontId="62" fillId="0" borderId="2" xfId="161" quotePrefix="1" applyNumberFormat="1" applyFont="1" applyBorder="1" applyAlignment="1">
      <alignment horizontal="right" vertical="center"/>
    </xf>
    <xf numFmtId="180" fontId="62" fillId="0" borderId="17" xfId="161" quotePrefix="1" applyNumberFormat="1" applyFont="1" applyBorder="1" applyAlignment="1">
      <alignment horizontal="right" vertical="center"/>
    </xf>
    <xf numFmtId="179" fontId="62" fillId="0" borderId="10" xfId="161" quotePrefix="1" applyNumberFormat="1" applyFont="1" applyBorder="1" applyAlignment="1">
      <alignment horizontal="right" vertical="center"/>
    </xf>
    <xf numFmtId="0" fontId="62" fillId="0" borderId="2" xfId="161" quotePrefix="1" applyFont="1" applyBorder="1" applyAlignment="1">
      <alignment horizontal="right" vertical="center"/>
    </xf>
    <xf numFmtId="0" fontId="62" fillId="0" borderId="17" xfId="161" quotePrefix="1" applyFont="1" applyBorder="1" applyAlignment="1">
      <alignment horizontal="right" vertical="center"/>
    </xf>
    <xf numFmtId="184" fontId="62" fillId="0" borderId="10" xfId="161" applyNumberFormat="1" applyFont="1" applyBorder="1" applyAlignment="1">
      <alignment horizontal="center" vertical="center"/>
    </xf>
    <xf numFmtId="184" fontId="62" fillId="0" borderId="2" xfId="161" applyNumberFormat="1" applyFont="1" applyBorder="1" applyAlignment="1">
      <alignment horizontal="center" vertical="center"/>
    </xf>
    <xf numFmtId="184" fontId="62" fillId="0" borderId="17" xfId="161" applyNumberFormat="1" applyFont="1" applyBorder="1" applyAlignment="1">
      <alignment horizontal="center" vertical="center"/>
    </xf>
    <xf numFmtId="184" fontId="62" fillId="0" borderId="10" xfId="161" quotePrefix="1" applyNumberFormat="1" applyFont="1" applyBorder="1" applyAlignment="1">
      <alignment horizontal="right" vertical="center"/>
    </xf>
    <xf numFmtId="184" fontId="62" fillId="0" borderId="2" xfId="161" quotePrefix="1" applyNumberFormat="1" applyFont="1" applyBorder="1" applyAlignment="1">
      <alignment horizontal="right" vertical="center"/>
    </xf>
    <xf numFmtId="184" fontId="62" fillId="0" borderId="17" xfId="161" quotePrefix="1" applyNumberFormat="1" applyFont="1" applyBorder="1" applyAlignment="1">
      <alignment horizontal="right" vertical="center"/>
    </xf>
    <xf numFmtId="179" fontId="62" fillId="0" borderId="2" xfId="161" quotePrefix="1" applyNumberFormat="1" applyFont="1" applyBorder="1" applyAlignment="1">
      <alignment horizontal="right" vertical="center"/>
    </xf>
    <xf numFmtId="179" fontId="62" fillId="0" borderId="17" xfId="161" quotePrefix="1" applyNumberFormat="1" applyFont="1" applyBorder="1" applyAlignment="1">
      <alignment horizontal="right" vertical="center"/>
    </xf>
    <xf numFmtId="182" fontId="62" fillId="0" borderId="10" xfId="161" quotePrefix="1" applyNumberFormat="1" applyFont="1" applyBorder="1" applyAlignment="1">
      <alignment horizontal="right" vertical="center"/>
    </xf>
    <xf numFmtId="182" fontId="62" fillId="0" borderId="2" xfId="161" quotePrefix="1" applyNumberFormat="1" applyFont="1" applyBorder="1" applyAlignment="1">
      <alignment horizontal="right" vertical="center"/>
    </xf>
    <xf numFmtId="182" fontId="62" fillId="0" borderId="17" xfId="161" quotePrefix="1" applyNumberFormat="1" applyFont="1" applyBorder="1" applyAlignment="1">
      <alignment horizontal="right" vertical="center"/>
    </xf>
    <xf numFmtId="179" fontId="62" fillId="0" borderId="0" xfId="161" quotePrefix="1" applyNumberFormat="1" applyFont="1" applyAlignment="1">
      <alignment horizontal="right" vertical="center"/>
    </xf>
    <xf numFmtId="0" fontId="62" fillId="0" borderId="0" xfId="161" quotePrefix="1" applyFont="1" applyAlignment="1">
      <alignment horizontal="right" vertical="center"/>
    </xf>
    <xf numFmtId="183" fontId="62" fillId="0" borderId="0" xfId="161" quotePrefix="1" applyNumberFormat="1" applyFont="1" applyAlignment="1">
      <alignment horizontal="right" vertical="center"/>
    </xf>
    <xf numFmtId="183" fontId="62" fillId="0" borderId="10" xfId="161" quotePrefix="1" applyNumberFormat="1" applyFont="1" applyBorder="1" applyAlignment="1">
      <alignment horizontal="center" vertical="center"/>
    </xf>
    <xf numFmtId="183" fontId="62" fillId="0" borderId="2" xfId="161" quotePrefix="1" applyNumberFormat="1" applyFont="1" applyBorder="1" applyAlignment="1">
      <alignment horizontal="center" vertical="center"/>
    </xf>
    <xf numFmtId="183" fontId="62" fillId="0" borderId="17" xfId="161" quotePrefix="1" applyNumberFormat="1" applyFont="1" applyBorder="1" applyAlignment="1">
      <alignment horizontal="center" vertical="center"/>
    </xf>
    <xf numFmtId="185" fontId="62" fillId="0" borderId="31" xfId="161" quotePrefix="1" applyNumberFormat="1" applyFont="1" applyBorder="1" applyAlignment="1">
      <alignment horizontal="right" vertical="center"/>
    </xf>
    <xf numFmtId="3" fontId="62" fillId="0" borderId="10" xfId="161" quotePrefix="1" applyNumberFormat="1" applyFont="1" applyBorder="1" applyAlignment="1">
      <alignment horizontal="right" vertical="center"/>
    </xf>
    <xf numFmtId="3" fontId="62" fillId="0" borderId="2" xfId="161" quotePrefix="1" applyNumberFormat="1" applyFont="1" applyBorder="1" applyAlignment="1">
      <alignment horizontal="right" vertical="center"/>
    </xf>
    <xf numFmtId="3" fontId="62" fillId="0" borderId="17" xfId="161" quotePrefix="1" applyNumberFormat="1" applyFont="1" applyBorder="1" applyAlignment="1">
      <alignment horizontal="right" vertical="center"/>
    </xf>
    <xf numFmtId="185" fontId="62" fillId="0" borderId="0" xfId="161" applyNumberFormat="1" applyFont="1" applyAlignment="1">
      <alignment horizontal="right" vertical="center"/>
    </xf>
    <xf numFmtId="186" fontId="62" fillId="0" borderId="10" xfId="161" quotePrefix="1" applyNumberFormat="1" applyFont="1" applyBorder="1" applyAlignment="1">
      <alignment horizontal="right" vertical="center"/>
    </xf>
    <xf numFmtId="186" fontId="62" fillId="0" borderId="2" xfId="161" quotePrefix="1" applyNumberFormat="1" applyFont="1" applyBorder="1" applyAlignment="1">
      <alignment horizontal="right" vertical="center"/>
    </xf>
    <xf numFmtId="186" fontId="62" fillId="0" borderId="17" xfId="161" quotePrefix="1" applyNumberFormat="1" applyFont="1" applyBorder="1" applyAlignment="1">
      <alignment horizontal="right" vertical="center"/>
    </xf>
    <xf numFmtId="10" fontId="62" fillId="0" borderId="10" xfId="161" quotePrefix="1" applyNumberFormat="1" applyFont="1" applyBorder="1" applyAlignment="1">
      <alignment horizontal="right" vertical="center"/>
    </xf>
    <xf numFmtId="10" fontId="62" fillId="0" borderId="2" xfId="161" quotePrefix="1" applyNumberFormat="1" applyFont="1" applyBorder="1" applyAlignment="1">
      <alignment horizontal="right" vertical="center"/>
    </xf>
    <xf numFmtId="10" fontId="62" fillId="0" borderId="17" xfId="161" quotePrefix="1" applyNumberFormat="1" applyFont="1" applyBorder="1" applyAlignment="1">
      <alignment horizontal="right" vertical="center"/>
    </xf>
    <xf numFmtId="0" fontId="62" fillId="0" borderId="10" xfId="161" quotePrefix="1" applyFont="1" applyBorder="1" applyAlignment="1">
      <alignment horizontal="right" vertical="center"/>
    </xf>
    <xf numFmtId="9" fontId="62" fillId="0" borderId="10" xfId="161" quotePrefix="1" applyNumberFormat="1" applyFont="1" applyBorder="1" applyAlignment="1">
      <alignment horizontal="right" vertical="center"/>
    </xf>
    <xf numFmtId="9" fontId="62" fillId="0" borderId="2" xfId="161" quotePrefix="1" applyNumberFormat="1" applyFont="1" applyBorder="1" applyAlignment="1">
      <alignment horizontal="right" vertical="center"/>
    </xf>
    <xf numFmtId="9" fontId="62" fillId="0" borderId="17" xfId="161" quotePrefix="1" applyNumberFormat="1" applyFont="1" applyBorder="1" applyAlignment="1">
      <alignment horizontal="right" vertical="center"/>
    </xf>
    <xf numFmtId="49" fontId="62" fillId="0" borderId="10" xfId="161" quotePrefix="1" applyNumberFormat="1" applyFont="1" applyBorder="1" applyAlignment="1">
      <alignment horizontal="center" vertical="center"/>
    </xf>
    <xf numFmtId="49" fontId="62" fillId="0" borderId="2" xfId="161" quotePrefix="1" applyNumberFormat="1" applyFont="1" applyBorder="1" applyAlignment="1">
      <alignment horizontal="center" vertical="center"/>
    </xf>
    <xf numFmtId="49" fontId="62" fillId="0" borderId="17" xfId="161" quotePrefix="1" applyNumberFormat="1" applyFont="1" applyBorder="1" applyAlignment="1">
      <alignment horizontal="center" vertical="center"/>
    </xf>
    <xf numFmtId="181" fontId="62" fillId="0" borderId="10" xfId="161" quotePrefix="1" applyNumberFormat="1" applyFont="1" applyBorder="1" applyAlignment="1">
      <alignment horizontal="right" vertical="center"/>
    </xf>
    <xf numFmtId="181" fontId="62" fillId="0" borderId="2" xfId="161" quotePrefix="1" applyNumberFormat="1" applyFont="1" applyBorder="1" applyAlignment="1">
      <alignment horizontal="right" vertical="center"/>
    </xf>
    <xf numFmtId="181" fontId="62" fillId="0" borderId="17" xfId="161" quotePrefix="1" applyNumberFormat="1" applyFont="1" applyBorder="1" applyAlignment="1">
      <alignment horizontal="right" vertical="center"/>
    </xf>
    <xf numFmtId="187" fontId="62" fillId="0" borderId="10" xfId="161" quotePrefix="1" applyNumberFormat="1" applyFont="1" applyBorder="1" applyAlignment="1">
      <alignment horizontal="right" vertical="center"/>
    </xf>
    <xf numFmtId="187" fontId="62" fillId="0" borderId="2" xfId="161" quotePrefix="1" applyNumberFormat="1" applyFont="1" applyBorder="1" applyAlignment="1">
      <alignment horizontal="right" vertical="center"/>
    </xf>
    <xf numFmtId="187" fontId="62" fillId="0" borderId="17" xfId="161" quotePrefix="1" applyNumberFormat="1" applyFont="1" applyBorder="1" applyAlignment="1">
      <alignment horizontal="right" vertical="center"/>
    </xf>
    <xf numFmtId="188" fontId="62" fillId="0" borderId="10" xfId="161" quotePrefix="1" applyNumberFormat="1" applyFont="1" applyBorder="1" applyAlignment="1">
      <alignment horizontal="right" vertical="center"/>
    </xf>
    <xf numFmtId="188" fontId="62" fillId="0" borderId="2" xfId="161" quotePrefix="1" applyNumberFormat="1" applyFont="1" applyBorder="1" applyAlignment="1">
      <alignment horizontal="right" vertical="center"/>
    </xf>
    <xf numFmtId="188" fontId="62" fillId="0" borderId="17" xfId="161" quotePrefix="1" applyNumberFormat="1" applyFont="1" applyBorder="1" applyAlignment="1">
      <alignment horizontal="right" vertical="center"/>
    </xf>
    <xf numFmtId="182" fontId="62" fillId="0" borderId="10" xfId="161" quotePrefix="1" applyNumberFormat="1" applyFont="1" applyBorder="1" applyAlignment="1">
      <alignment horizontal="center" vertical="center"/>
    </xf>
    <xf numFmtId="182" fontId="62" fillId="0" borderId="2" xfId="161" quotePrefix="1" applyNumberFormat="1" applyFont="1" applyBorder="1" applyAlignment="1">
      <alignment horizontal="center" vertical="center"/>
    </xf>
    <xf numFmtId="182" fontId="62" fillId="0" borderId="17" xfId="161" quotePrefix="1" applyNumberFormat="1" applyFont="1" applyBorder="1" applyAlignment="1">
      <alignment horizontal="center" vertical="center"/>
    </xf>
    <xf numFmtId="185" fontId="62" fillId="0" borderId="10" xfId="161" applyNumberFormat="1" applyFont="1" applyBorder="1" applyAlignment="1">
      <alignment horizontal="right" vertical="center"/>
    </xf>
    <xf numFmtId="185" fontId="62" fillId="0" borderId="2" xfId="161" applyNumberFormat="1" applyFont="1" applyBorder="1" applyAlignment="1">
      <alignment horizontal="right" vertical="center"/>
    </xf>
    <xf numFmtId="185" fontId="62" fillId="0" borderId="17" xfId="161" applyNumberFormat="1" applyFont="1" applyBorder="1" applyAlignment="1">
      <alignment horizontal="right" vertical="center"/>
    </xf>
    <xf numFmtId="187" fontId="62" fillId="0" borderId="10" xfId="161" quotePrefix="1" applyNumberFormat="1" applyFont="1" applyBorder="1" applyAlignment="1">
      <alignment horizontal="right" vertical="center" indent="1"/>
    </xf>
    <xf numFmtId="187" fontId="62" fillId="0" borderId="2" xfId="161" quotePrefix="1" applyNumberFormat="1" applyFont="1" applyBorder="1" applyAlignment="1">
      <alignment horizontal="right" vertical="center" indent="1"/>
    </xf>
    <xf numFmtId="187" fontId="62" fillId="0" borderId="17" xfId="161" quotePrefix="1" applyNumberFormat="1" applyFont="1" applyBorder="1" applyAlignment="1">
      <alignment horizontal="right" vertical="center" indent="1"/>
    </xf>
    <xf numFmtId="182" fontId="62" fillId="0" borderId="28" xfId="161" quotePrefix="1" applyNumberFormat="1" applyFont="1" applyBorder="1" applyAlignment="1">
      <alignment horizontal="right" vertical="center"/>
    </xf>
    <xf numFmtId="182" fontId="62" fillId="24" borderId="10" xfId="161" quotePrefix="1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189" fontId="62" fillId="24" borderId="10" xfId="161" quotePrefix="1" applyNumberFormat="1" applyFont="1" applyFill="1" applyBorder="1" applyAlignment="1">
      <alignment horizontal="right" vertical="center"/>
    </xf>
    <xf numFmtId="189" fontId="62" fillId="24" borderId="2" xfId="161" quotePrefix="1" applyNumberFormat="1" applyFont="1" applyFill="1" applyBorder="1" applyAlignment="1">
      <alignment horizontal="right" vertical="center"/>
    </xf>
    <xf numFmtId="189" fontId="62" fillId="24" borderId="17" xfId="161" quotePrefix="1" applyNumberFormat="1" applyFont="1" applyFill="1" applyBorder="1" applyAlignment="1">
      <alignment horizontal="right" vertical="center"/>
    </xf>
    <xf numFmtId="182" fontId="62" fillId="21" borderId="10" xfId="161" quotePrefix="1" applyNumberFormat="1" applyFont="1" applyFill="1" applyBorder="1" applyAlignment="1">
      <alignment horizontal="right" vertical="center"/>
    </xf>
    <xf numFmtId="182" fontId="62" fillId="21" borderId="2" xfId="161" quotePrefix="1" applyNumberFormat="1" applyFont="1" applyFill="1" applyBorder="1" applyAlignment="1">
      <alignment horizontal="right" vertical="center"/>
    </xf>
    <xf numFmtId="182" fontId="62" fillId="21" borderId="17" xfId="161" quotePrefix="1" applyNumberFormat="1" applyFont="1" applyFill="1" applyBorder="1" applyAlignment="1">
      <alignment horizontal="right" vertical="center"/>
    </xf>
    <xf numFmtId="189" fontId="62" fillId="21" borderId="10" xfId="161" quotePrefix="1" applyNumberFormat="1" applyFont="1" applyFill="1" applyBorder="1" applyAlignment="1">
      <alignment horizontal="right" vertical="center"/>
    </xf>
    <xf numFmtId="189" fontId="62" fillId="21" borderId="2" xfId="161" quotePrefix="1" applyNumberFormat="1" applyFont="1" applyFill="1" applyBorder="1" applyAlignment="1">
      <alignment horizontal="right" vertical="center"/>
    </xf>
    <xf numFmtId="189" fontId="62" fillId="21" borderId="17" xfId="161" quotePrefix="1" applyNumberFormat="1" applyFont="1" applyFill="1" applyBorder="1" applyAlignment="1">
      <alignment horizontal="right" vertical="center"/>
    </xf>
    <xf numFmtId="182" fontId="54" fillId="14" borderId="0" xfId="0" applyNumberFormat="1" applyFont="1" applyFill="1" applyAlignment="1">
      <alignment horizontal="center" vertical="center"/>
    </xf>
    <xf numFmtId="184" fontId="88" fillId="0" borderId="10" xfId="161" quotePrefix="1" applyNumberFormat="1" applyFont="1" applyBorder="1" applyAlignment="1">
      <alignment horizontal="center" vertical="center"/>
    </xf>
    <xf numFmtId="184" fontId="88" fillId="0" borderId="2" xfId="161" quotePrefix="1" applyNumberFormat="1" applyFont="1" applyBorder="1" applyAlignment="1">
      <alignment horizontal="center" vertical="center"/>
    </xf>
    <xf numFmtId="184" fontId="88" fillId="0" borderId="17" xfId="161" quotePrefix="1" applyNumberFormat="1" applyFont="1" applyBorder="1" applyAlignment="1">
      <alignment horizontal="center" vertical="center"/>
    </xf>
    <xf numFmtId="181" fontId="62" fillId="0" borderId="10" xfId="161" quotePrefix="1" applyNumberFormat="1" applyFont="1" applyBorder="1" applyAlignment="1">
      <alignment horizontal="center" vertical="center"/>
    </xf>
    <xf numFmtId="181" fontId="62" fillId="0" borderId="2" xfId="161" quotePrefix="1" applyNumberFormat="1" applyFont="1" applyBorder="1" applyAlignment="1">
      <alignment horizontal="center" vertical="center"/>
    </xf>
    <xf numFmtId="181" fontId="62" fillId="0" borderId="17" xfId="161" quotePrefix="1" applyNumberFormat="1" applyFont="1" applyBorder="1" applyAlignment="1">
      <alignment horizontal="center" vertical="center"/>
    </xf>
    <xf numFmtId="179" fontId="62" fillId="0" borderId="10" xfId="161" applyNumberFormat="1" applyFont="1" applyBorder="1" applyAlignment="1">
      <alignment horizontal="right" vertical="center"/>
    </xf>
    <xf numFmtId="179" fontId="62" fillId="0" borderId="2" xfId="161" applyNumberFormat="1" applyFont="1" applyBorder="1" applyAlignment="1">
      <alignment horizontal="right" vertical="center"/>
    </xf>
    <xf numFmtId="179" fontId="62" fillId="0" borderId="17" xfId="161" applyNumberFormat="1" applyFont="1" applyBorder="1" applyAlignment="1">
      <alignment horizontal="right" vertical="center"/>
    </xf>
    <xf numFmtId="0" fontId="54" fillId="14" borderId="0" xfId="0" applyFont="1" applyFill="1" applyAlignment="1">
      <alignment horizontal="center" vertical="center"/>
    </xf>
    <xf numFmtId="190" fontId="54" fillId="14" borderId="15" xfId="0" applyNumberFormat="1" applyFont="1" applyFill="1" applyBorder="1" applyAlignment="1">
      <alignment horizontal="center" vertical="center"/>
    </xf>
    <xf numFmtId="190" fontId="54" fillId="14" borderId="12" xfId="0" applyNumberFormat="1" applyFont="1" applyFill="1" applyBorder="1" applyAlignment="1">
      <alignment horizontal="center" vertical="center"/>
    </xf>
    <xf numFmtId="179" fontId="62" fillId="0" borderId="10" xfId="161" quotePrefix="1" applyNumberFormat="1" applyFont="1" applyBorder="1" applyAlignment="1">
      <alignment horizontal="center" vertical="center"/>
    </xf>
    <xf numFmtId="179" fontId="62" fillId="0" borderId="2" xfId="161" quotePrefix="1" applyNumberFormat="1" applyFont="1" applyBorder="1" applyAlignment="1">
      <alignment horizontal="center" vertical="center"/>
    </xf>
    <xf numFmtId="179" fontId="62" fillId="0" borderId="17" xfId="161" quotePrefix="1" applyNumberFormat="1" applyFont="1" applyBorder="1" applyAlignment="1">
      <alignment horizontal="center" vertical="center"/>
    </xf>
    <xf numFmtId="10" fontId="0" fillId="14" borderId="0" xfId="0" applyNumberFormat="1" applyFill="1" applyAlignment="1">
      <alignment horizontal="center" vertical="center"/>
    </xf>
  </cellXfs>
  <cellStyles count="189">
    <cellStyle name="0301" xfId="1" xr:uid="{00000000-0005-0000-0000-000000000000}"/>
    <cellStyle name="0_x0014_標準_F_02?P_Dd080301" xfId="2" xr:uid="{00000000-0005-0000-0000-000001000000}"/>
    <cellStyle name="Calc Currency (0)" xfId="3" xr:uid="{00000000-0005-0000-0000-000002000000}"/>
    <cellStyle name="ColumnAttributeAbovePrompt" xfId="4" xr:uid="{00000000-0005-0000-0000-000003000000}"/>
    <cellStyle name="ColumnAttributePrompt" xfId="5" xr:uid="{00000000-0005-0000-0000-000004000000}"/>
    <cellStyle name="ColumnAttributeValue" xfId="6" xr:uid="{00000000-0005-0000-0000-000005000000}"/>
    <cellStyle name="ColumnHeadingPrompt" xfId="7" xr:uid="{00000000-0005-0000-0000-000006000000}"/>
    <cellStyle name="ColumnHeadingValue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LineItemPrompt" xfId="14" xr:uid="{00000000-0005-0000-0000-00000D000000}"/>
    <cellStyle name="LineItemValue" xfId="15" xr:uid="{00000000-0005-0000-0000-00000E000000}"/>
    <cellStyle name="Normal - Style1" xfId="16" xr:uid="{00000000-0005-0000-0000-00000F000000}"/>
    <cellStyle name="Normal_#18-Internet" xfId="17" xr:uid="{00000000-0005-0000-0000-000010000000}"/>
    <cellStyle name="OUTPUT AMOUNTS" xfId="18" xr:uid="{00000000-0005-0000-0000-000011000000}"/>
    <cellStyle name="OUTPUT COLUMN HEADINGS" xfId="19" xr:uid="{00000000-0005-0000-0000-000012000000}"/>
    <cellStyle name="OUTPUT LINE ITEMS" xfId="20" xr:uid="{00000000-0005-0000-0000-000013000000}"/>
    <cellStyle name="OUTPUT REPORT HEADING" xfId="21" xr:uid="{00000000-0005-0000-0000-000014000000}"/>
    <cellStyle name="OUTPUT REPORT TITLE" xfId="22" xr:uid="{00000000-0005-0000-0000-000015000000}"/>
    <cellStyle name="Percent [2]" xfId="23" xr:uid="{00000000-0005-0000-0000-000016000000}"/>
    <cellStyle name="price" xfId="24" xr:uid="{00000000-0005-0000-0000-000017000000}"/>
    <cellStyle name="ReportTitlePrompt" xfId="25" xr:uid="{00000000-0005-0000-0000-000018000000}"/>
    <cellStyle name="ReportTitleValue" xfId="26" xr:uid="{00000000-0005-0000-0000-000019000000}"/>
    <cellStyle name="revised" xfId="27" xr:uid="{00000000-0005-0000-0000-00001A000000}"/>
    <cellStyle name="RowAcctAbovePrompt" xfId="28" xr:uid="{00000000-0005-0000-0000-00001B000000}"/>
    <cellStyle name="RowAcctSOBAbovePrompt" xfId="29" xr:uid="{00000000-0005-0000-0000-00001C000000}"/>
    <cellStyle name="RowAcctSOBValue" xfId="30" xr:uid="{00000000-0005-0000-0000-00001D000000}"/>
    <cellStyle name="RowAcctValue" xfId="31" xr:uid="{00000000-0005-0000-0000-00001E000000}"/>
    <cellStyle name="RowAttrAbovePrompt" xfId="32" xr:uid="{00000000-0005-0000-0000-00001F000000}"/>
    <cellStyle name="RowAttrValue" xfId="33" xr:uid="{00000000-0005-0000-0000-000020000000}"/>
    <cellStyle name="RowColSetAbovePrompt" xfId="34" xr:uid="{00000000-0005-0000-0000-000021000000}"/>
    <cellStyle name="RowColSetLeftPrompt" xfId="35" xr:uid="{00000000-0005-0000-0000-000022000000}"/>
    <cellStyle name="RowColSetValue" xfId="36" xr:uid="{00000000-0005-0000-0000-000023000000}"/>
    <cellStyle name="RowLeftPrompt" xfId="37" xr:uid="{00000000-0005-0000-0000-000024000000}"/>
    <cellStyle name="SampleUsingFormatMask" xfId="38" xr:uid="{00000000-0005-0000-0000-000025000000}"/>
    <cellStyle name="SampleWithNoFormatMask" xfId="39" xr:uid="{00000000-0005-0000-0000-000026000000}"/>
    <cellStyle name="section" xfId="40" xr:uid="{00000000-0005-0000-0000-000027000000}"/>
    <cellStyle name="subhead" xfId="41" xr:uid="{00000000-0005-0000-0000-000028000000}"/>
    <cellStyle name="title" xfId="42" xr:uid="{00000000-0005-0000-0000-000029000000}"/>
    <cellStyle name="UploadThisRowValue" xfId="43" xr:uid="{00000000-0005-0000-0000-00002A000000}"/>
    <cellStyle name="_x001d__x000c_K_x0014__x000d_&gt;V_x0001_&gt;_x0014_n_x001e__x0007__x0001__x0001_" xfId="44" xr:uid="{00000000-0005-0000-0000-00002B000000}"/>
    <cellStyle name="標準" xfId="0" builtinId="0"/>
    <cellStyle name="標準 10" xfId="184" xr:uid="{EA538841-B3F7-4189-AE1D-AD4B02F64DDE}"/>
    <cellStyle name="標準 11" xfId="185" xr:uid="{B1213923-804D-4F0F-A200-132176531BC4}"/>
    <cellStyle name="標準 12" xfId="186" xr:uid="{21F3C71E-C34C-40A5-A5EE-4613DBE21B97}"/>
    <cellStyle name="標準 13" xfId="188" xr:uid="{9915FE7C-E506-4304-9226-062139A56CDD}"/>
    <cellStyle name="標準 2" xfId="45" xr:uid="{00000000-0005-0000-0000-00002D000000}"/>
    <cellStyle name="標準 2 2" xfId="161" xr:uid="{00000000-0005-0000-0000-00002E000000}"/>
    <cellStyle name="標準 2 2 2" xfId="187" xr:uid="{06D3B5F9-248B-47E1-A449-9BB4C48E659C}"/>
    <cellStyle name="標準 2 2 2 2" xfId="181" xr:uid="{00000000-0005-0000-0000-00002F000000}"/>
    <cellStyle name="標準 2 2 3 3" xfId="180" xr:uid="{00000000-0005-0000-0000-000030000000}"/>
    <cellStyle name="標準 2 2 3 3 2" xfId="183" xr:uid="{A9F8D5FD-FFE5-47DC-8F2A-256F756463B6}"/>
    <cellStyle name="標準 2 3" xfId="163" xr:uid="{00000000-0005-0000-0000-000031000000}"/>
    <cellStyle name="標準 3" xfId="46" xr:uid="{00000000-0005-0000-0000-000032000000}"/>
    <cellStyle name="標準 4" xfId="47" xr:uid="{00000000-0005-0000-0000-000033000000}"/>
    <cellStyle name="標準 5" xfId="52" xr:uid="{00000000-0005-0000-0000-000034000000}"/>
    <cellStyle name="標準 5 2" xfId="55" xr:uid="{00000000-0005-0000-0000-000035000000}"/>
    <cellStyle name="標準 5 2 2" xfId="61" xr:uid="{00000000-0005-0000-0000-000036000000}"/>
    <cellStyle name="標準 5 2 2 2" xfId="91" xr:uid="{00000000-0005-0000-0000-000037000000}"/>
    <cellStyle name="標準 5 2 2 2 2" xfId="137" xr:uid="{00000000-0005-0000-0000-000038000000}"/>
    <cellStyle name="標準 5 2 2 3" xfId="107" xr:uid="{00000000-0005-0000-0000-000039000000}"/>
    <cellStyle name="標準 5 2 2 3 2" xfId="153" xr:uid="{00000000-0005-0000-0000-00003A000000}"/>
    <cellStyle name="標準 5 2 2 4" xfId="81" xr:uid="{00000000-0005-0000-0000-00003B000000}"/>
    <cellStyle name="標準 5 2 2 4 2" xfId="177" xr:uid="{00000000-0005-0000-0000-00003C000000}"/>
    <cellStyle name="標準 5 2 2 5" xfId="127" xr:uid="{00000000-0005-0000-0000-00003D000000}"/>
    <cellStyle name="標準 5 2 3" xfId="65" xr:uid="{00000000-0005-0000-0000-00003E000000}"/>
    <cellStyle name="標準 5 2 3 2" xfId="95" xr:uid="{00000000-0005-0000-0000-00003F000000}"/>
    <cellStyle name="標準 5 2 3 2 2" xfId="141" xr:uid="{00000000-0005-0000-0000-000040000000}"/>
    <cellStyle name="標準 5 2 3 3" xfId="111" xr:uid="{00000000-0005-0000-0000-000041000000}"/>
    <cellStyle name="標準 5 2 3 3 2" xfId="157" xr:uid="{00000000-0005-0000-0000-000042000000}"/>
    <cellStyle name="標準 5 2 3 4" xfId="75" xr:uid="{00000000-0005-0000-0000-000043000000}"/>
    <cellStyle name="標準 5 2 3 4 2" xfId="171" xr:uid="{00000000-0005-0000-0000-000044000000}"/>
    <cellStyle name="標準 5 2 3 5" xfId="121" xr:uid="{00000000-0005-0000-0000-000045000000}"/>
    <cellStyle name="標準 5 2 4" xfId="85" xr:uid="{00000000-0005-0000-0000-000046000000}"/>
    <cellStyle name="標準 5 2 4 2" xfId="131" xr:uid="{00000000-0005-0000-0000-000047000000}"/>
    <cellStyle name="標準 5 2 5" xfId="101" xr:uid="{00000000-0005-0000-0000-000048000000}"/>
    <cellStyle name="標準 5 2 5 2" xfId="147" xr:uid="{00000000-0005-0000-0000-000049000000}"/>
    <cellStyle name="標準 5 2 6" xfId="71" xr:uid="{00000000-0005-0000-0000-00004A000000}"/>
    <cellStyle name="標準 5 2 6 2" xfId="167" xr:uid="{00000000-0005-0000-0000-00004B000000}"/>
    <cellStyle name="標準 5 2 7" xfId="117" xr:uid="{00000000-0005-0000-0000-00004C000000}"/>
    <cellStyle name="標準 5 3" xfId="58" xr:uid="{00000000-0005-0000-0000-00004D000000}"/>
    <cellStyle name="標準 5 3 2" xfId="88" xr:uid="{00000000-0005-0000-0000-00004E000000}"/>
    <cellStyle name="標準 5 3 2 2" xfId="134" xr:uid="{00000000-0005-0000-0000-00004F000000}"/>
    <cellStyle name="標準 5 3 3" xfId="104" xr:uid="{00000000-0005-0000-0000-000050000000}"/>
    <cellStyle name="標準 5 3 3 2" xfId="150" xr:uid="{00000000-0005-0000-0000-000051000000}"/>
    <cellStyle name="標準 5 3 4" xfId="78" xr:uid="{00000000-0005-0000-0000-000052000000}"/>
    <cellStyle name="標準 5 3 4 2" xfId="174" xr:uid="{00000000-0005-0000-0000-000053000000}"/>
    <cellStyle name="標準 5 3 5" xfId="124" xr:uid="{00000000-0005-0000-0000-000054000000}"/>
    <cellStyle name="標準 5 4" xfId="62" xr:uid="{00000000-0005-0000-0000-000055000000}"/>
    <cellStyle name="標準 5 4 2" xfId="92" xr:uid="{00000000-0005-0000-0000-000056000000}"/>
    <cellStyle name="標準 5 4 2 2" xfId="138" xr:uid="{00000000-0005-0000-0000-000057000000}"/>
    <cellStyle name="標準 5 4 3" xfId="108" xr:uid="{00000000-0005-0000-0000-000058000000}"/>
    <cellStyle name="標準 5 4 3 2" xfId="154" xr:uid="{00000000-0005-0000-0000-000059000000}"/>
    <cellStyle name="標準 5 4 4" xfId="72" xr:uid="{00000000-0005-0000-0000-00005A000000}"/>
    <cellStyle name="標準 5 4 4 2" xfId="168" xr:uid="{00000000-0005-0000-0000-00005B000000}"/>
    <cellStyle name="標準 5 4 5" xfId="118" xr:uid="{00000000-0005-0000-0000-00005C000000}"/>
    <cellStyle name="標準 5 5" xfId="82" xr:uid="{00000000-0005-0000-0000-00005D000000}"/>
    <cellStyle name="標準 5 5 2" xfId="128" xr:uid="{00000000-0005-0000-0000-00005E000000}"/>
    <cellStyle name="標準 5 6" xfId="98" xr:uid="{00000000-0005-0000-0000-00005F000000}"/>
    <cellStyle name="標準 5 6 2" xfId="144" xr:uid="{00000000-0005-0000-0000-000060000000}"/>
    <cellStyle name="標準 5 7" xfId="68" xr:uid="{00000000-0005-0000-0000-000061000000}"/>
    <cellStyle name="標準 5 7 2" xfId="164" xr:uid="{00000000-0005-0000-0000-000062000000}"/>
    <cellStyle name="標準 5 8" xfId="114" xr:uid="{00000000-0005-0000-0000-000063000000}"/>
    <cellStyle name="標準 6" xfId="53" xr:uid="{00000000-0005-0000-0000-000064000000}"/>
    <cellStyle name="標準 6 10" xfId="182" xr:uid="{00000000-0005-0000-0000-000065000000}"/>
    <cellStyle name="標準 6 2" xfId="56" xr:uid="{00000000-0005-0000-0000-000066000000}"/>
    <cellStyle name="標準 6 2 2" xfId="66" xr:uid="{00000000-0005-0000-0000-000067000000}"/>
    <cellStyle name="標準 6 2 2 2" xfId="112" xr:uid="{00000000-0005-0000-0000-000068000000}"/>
    <cellStyle name="標準 6 2 2 2 2" xfId="158" xr:uid="{00000000-0005-0000-0000-000069000000}"/>
    <cellStyle name="標準 6 2 2 3" xfId="96" xr:uid="{00000000-0005-0000-0000-00006A000000}"/>
    <cellStyle name="標準 6 2 2 3 2" xfId="178" xr:uid="{00000000-0005-0000-0000-00006B000000}"/>
    <cellStyle name="標準 6 2 2 4" xfId="142" xr:uid="{00000000-0005-0000-0000-00006C000000}"/>
    <cellStyle name="標準 6 2 3" xfId="86" xr:uid="{00000000-0005-0000-0000-00006D000000}"/>
    <cellStyle name="標準 6 2 3 2" xfId="132" xr:uid="{00000000-0005-0000-0000-00006E000000}"/>
    <cellStyle name="標準 6 2 4" xfId="102" xr:uid="{00000000-0005-0000-0000-00006F000000}"/>
    <cellStyle name="標準 6 2 4 2" xfId="148" xr:uid="{00000000-0005-0000-0000-000070000000}"/>
    <cellStyle name="標準 6 2 5" xfId="76" xr:uid="{00000000-0005-0000-0000-000071000000}"/>
    <cellStyle name="標準 6 2 5 2" xfId="172" xr:uid="{00000000-0005-0000-0000-000072000000}"/>
    <cellStyle name="標準 6 2 6" xfId="122" xr:uid="{00000000-0005-0000-0000-000073000000}"/>
    <cellStyle name="標準 6 3" xfId="59" xr:uid="{00000000-0005-0000-0000-000074000000}"/>
    <cellStyle name="標準 6 3 2" xfId="89" xr:uid="{00000000-0005-0000-0000-000075000000}"/>
    <cellStyle name="標準 6 3 2 2" xfId="135" xr:uid="{00000000-0005-0000-0000-000076000000}"/>
    <cellStyle name="標準 6 3 3" xfId="105" xr:uid="{00000000-0005-0000-0000-000077000000}"/>
    <cellStyle name="標準 6 3 3 2" xfId="151" xr:uid="{00000000-0005-0000-0000-000078000000}"/>
    <cellStyle name="標準 6 3 4" xfId="79" xr:uid="{00000000-0005-0000-0000-000079000000}"/>
    <cellStyle name="標準 6 3 4 2" xfId="175" xr:uid="{00000000-0005-0000-0000-00007A000000}"/>
    <cellStyle name="標準 6 3 5" xfId="125" xr:uid="{00000000-0005-0000-0000-00007B000000}"/>
    <cellStyle name="標準 6 4" xfId="63" xr:uid="{00000000-0005-0000-0000-00007C000000}"/>
    <cellStyle name="標準 6 4 2" xfId="93" xr:uid="{00000000-0005-0000-0000-00007D000000}"/>
    <cellStyle name="標準 6 4 2 2" xfId="139" xr:uid="{00000000-0005-0000-0000-00007E000000}"/>
    <cellStyle name="標準 6 4 3" xfId="109" xr:uid="{00000000-0005-0000-0000-00007F000000}"/>
    <cellStyle name="標準 6 4 3 2" xfId="155" xr:uid="{00000000-0005-0000-0000-000080000000}"/>
    <cellStyle name="標準 6 4 4" xfId="73" xr:uid="{00000000-0005-0000-0000-000081000000}"/>
    <cellStyle name="標準 6 4 4 2" xfId="169" xr:uid="{00000000-0005-0000-0000-000082000000}"/>
    <cellStyle name="標準 6 4 5" xfId="119" xr:uid="{00000000-0005-0000-0000-000083000000}"/>
    <cellStyle name="標準 6 5" xfId="83" xr:uid="{00000000-0005-0000-0000-000084000000}"/>
    <cellStyle name="標準 6 5 2" xfId="129" xr:uid="{00000000-0005-0000-0000-000085000000}"/>
    <cellStyle name="標準 6 6" xfId="99" xr:uid="{00000000-0005-0000-0000-000086000000}"/>
    <cellStyle name="標準 6 6 2" xfId="145" xr:uid="{00000000-0005-0000-0000-000087000000}"/>
    <cellStyle name="標準 6 7" xfId="69" xr:uid="{00000000-0005-0000-0000-000088000000}"/>
    <cellStyle name="標準 6 7 2" xfId="165" xr:uid="{00000000-0005-0000-0000-000089000000}"/>
    <cellStyle name="標準 6 8" xfId="115" xr:uid="{00000000-0005-0000-0000-00008A000000}"/>
    <cellStyle name="標準 7" xfId="54" xr:uid="{00000000-0005-0000-0000-00008B000000}"/>
    <cellStyle name="標準 7 2" xfId="57" xr:uid="{00000000-0005-0000-0000-00008C000000}"/>
    <cellStyle name="標準 7 2 2" xfId="67" xr:uid="{00000000-0005-0000-0000-00008D000000}"/>
    <cellStyle name="標準 7 2 2 2" xfId="113" xr:uid="{00000000-0005-0000-0000-00008E000000}"/>
    <cellStyle name="標準 7 2 2 2 2" xfId="159" xr:uid="{00000000-0005-0000-0000-00008F000000}"/>
    <cellStyle name="標準 7 2 2 3" xfId="97" xr:uid="{00000000-0005-0000-0000-000090000000}"/>
    <cellStyle name="標準 7 2 2 3 2" xfId="179" xr:uid="{00000000-0005-0000-0000-000091000000}"/>
    <cellStyle name="標準 7 2 2 4" xfId="143" xr:uid="{00000000-0005-0000-0000-000092000000}"/>
    <cellStyle name="標準 7 2 3" xfId="87" xr:uid="{00000000-0005-0000-0000-000093000000}"/>
    <cellStyle name="標準 7 2 3 2" xfId="133" xr:uid="{00000000-0005-0000-0000-000094000000}"/>
    <cellStyle name="標準 7 2 4" xfId="103" xr:uid="{00000000-0005-0000-0000-000095000000}"/>
    <cellStyle name="標準 7 2 4 2" xfId="149" xr:uid="{00000000-0005-0000-0000-000096000000}"/>
    <cellStyle name="標準 7 2 5" xfId="77" xr:uid="{00000000-0005-0000-0000-000097000000}"/>
    <cellStyle name="標準 7 2 5 2" xfId="173" xr:uid="{00000000-0005-0000-0000-000098000000}"/>
    <cellStyle name="標準 7 2 6" xfId="123" xr:uid="{00000000-0005-0000-0000-000099000000}"/>
    <cellStyle name="標準 7 3" xfId="60" xr:uid="{00000000-0005-0000-0000-00009A000000}"/>
    <cellStyle name="標準 7 3 2" xfId="90" xr:uid="{00000000-0005-0000-0000-00009B000000}"/>
    <cellStyle name="標準 7 3 2 2" xfId="136" xr:uid="{00000000-0005-0000-0000-00009C000000}"/>
    <cellStyle name="標準 7 3 3" xfId="106" xr:uid="{00000000-0005-0000-0000-00009D000000}"/>
    <cellStyle name="標準 7 3 3 2" xfId="152" xr:uid="{00000000-0005-0000-0000-00009E000000}"/>
    <cellStyle name="標準 7 3 4" xfId="80" xr:uid="{00000000-0005-0000-0000-00009F000000}"/>
    <cellStyle name="標準 7 3 4 2" xfId="176" xr:uid="{00000000-0005-0000-0000-0000A0000000}"/>
    <cellStyle name="標準 7 3 5" xfId="126" xr:uid="{00000000-0005-0000-0000-0000A1000000}"/>
    <cellStyle name="標準 7 4" xfId="64" xr:uid="{00000000-0005-0000-0000-0000A2000000}"/>
    <cellStyle name="標準 7 4 2" xfId="94" xr:uid="{00000000-0005-0000-0000-0000A3000000}"/>
    <cellStyle name="標準 7 4 2 2" xfId="140" xr:uid="{00000000-0005-0000-0000-0000A4000000}"/>
    <cellStyle name="標準 7 4 3" xfId="110" xr:uid="{00000000-0005-0000-0000-0000A5000000}"/>
    <cellStyle name="標準 7 4 3 2" xfId="156" xr:uid="{00000000-0005-0000-0000-0000A6000000}"/>
    <cellStyle name="標準 7 4 4" xfId="74" xr:uid="{00000000-0005-0000-0000-0000A7000000}"/>
    <cellStyle name="標準 7 4 4 2" xfId="170" xr:uid="{00000000-0005-0000-0000-0000A8000000}"/>
    <cellStyle name="標準 7 4 5" xfId="120" xr:uid="{00000000-0005-0000-0000-0000A9000000}"/>
    <cellStyle name="標準 7 5" xfId="84" xr:uid="{00000000-0005-0000-0000-0000AA000000}"/>
    <cellStyle name="標準 7 5 2" xfId="130" xr:uid="{00000000-0005-0000-0000-0000AB000000}"/>
    <cellStyle name="標準 7 6" xfId="100" xr:uid="{00000000-0005-0000-0000-0000AC000000}"/>
    <cellStyle name="標準 7 6 2" xfId="146" xr:uid="{00000000-0005-0000-0000-0000AD000000}"/>
    <cellStyle name="標準 7 7" xfId="70" xr:uid="{00000000-0005-0000-0000-0000AE000000}"/>
    <cellStyle name="標準 7 7 2" xfId="166" xr:uid="{00000000-0005-0000-0000-0000AF000000}"/>
    <cellStyle name="標準 7 8" xfId="116" xr:uid="{00000000-0005-0000-0000-0000B0000000}"/>
    <cellStyle name="標準 8" xfId="160" xr:uid="{00000000-0005-0000-0000-0000B1000000}"/>
    <cellStyle name="標準 9" xfId="162" xr:uid="{00000000-0005-0000-0000-0000B2000000}"/>
    <cellStyle name="標準_4システム概要" xfId="48" xr:uid="{00000000-0005-0000-0000-0000B3000000}"/>
    <cellStyle name="標準_SX-XXXX_HBP0010_詳細設計(sample)_1回打合せ完了" xfId="49" xr:uid="{00000000-0005-0000-0000-0000B5000000}"/>
    <cellStyle name="標準_要件ポイント説明書一覧_rd06_20060623" xfId="50" xr:uid="{00000000-0005-0000-0000-0000B6000000}"/>
    <cellStyle name="未定義" xfId="51" xr:uid="{00000000-0005-0000-0000-0000B7000000}"/>
  </cellStyles>
  <dxfs count="4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13284"/>
      <color rgb="FFE6F3FE"/>
      <color rgb="FF339933"/>
      <color rgb="FF99FF99"/>
      <color rgb="FFFFFFCC"/>
      <color rgb="FFFF9900"/>
      <color rgb="FF004098"/>
      <color rgb="FF333399"/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tmp"/><Relationship Id="rId2" Type="http://schemas.openxmlformats.org/officeDocument/2006/relationships/image" Target="../media/image5.emf"/><Relationship Id="rId1" Type="http://schemas.openxmlformats.org/officeDocument/2006/relationships/image" Target="../media/image4.tmp"/><Relationship Id="rId4" Type="http://schemas.openxmlformats.org/officeDocument/2006/relationships/image" Target="../media/image7.tm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tmp"/><Relationship Id="rId2" Type="http://schemas.openxmlformats.org/officeDocument/2006/relationships/image" Target="../media/image5.emf"/><Relationship Id="rId1" Type="http://schemas.openxmlformats.org/officeDocument/2006/relationships/image" Target="../media/image4.tmp"/><Relationship Id="rId4" Type="http://schemas.openxmlformats.org/officeDocument/2006/relationships/image" Target="../media/image7.tmp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tmp"/><Relationship Id="rId2" Type="http://schemas.openxmlformats.org/officeDocument/2006/relationships/image" Target="../media/image5.emf"/><Relationship Id="rId1" Type="http://schemas.openxmlformats.org/officeDocument/2006/relationships/image" Target="../media/image4.tmp"/><Relationship Id="rId4" Type="http://schemas.openxmlformats.org/officeDocument/2006/relationships/image" Target="../media/image7.tmp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tmp"/><Relationship Id="rId2" Type="http://schemas.openxmlformats.org/officeDocument/2006/relationships/image" Target="../media/image5.emf"/><Relationship Id="rId1" Type="http://schemas.openxmlformats.org/officeDocument/2006/relationships/image" Target="../media/image4.tmp"/><Relationship Id="rId4" Type="http://schemas.openxmlformats.org/officeDocument/2006/relationships/image" Target="../media/image7.tmp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tmp"/><Relationship Id="rId2" Type="http://schemas.openxmlformats.org/officeDocument/2006/relationships/image" Target="../media/image6.tmp"/><Relationship Id="rId1" Type="http://schemas.openxmlformats.org/officeDocument/2006/relationships/image" Target="../media/image4.tmp"/><Relationship Id="rId4" Type="http://schemas.openxmlformats.org/officeDocument/2006/relationships/image" Target="../media/image5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tmp"/><Relationship Id="rId2" Type="http://schemas.openxmlformats.org/officeDocument/2006/relationships/image" Target="../media/image6.tmp"/><Relationship Id="rId1" Type="http://schemas.openxmlformats.org/officeDocument/2006/relationships/image" Target="../media/image4.tmp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517797</xdr:colOff>
      <xdr:row>1</xdr:row>
      <xdr:rowOff>176893</xdr:rowOff>
    </xdr:from>
    <xdr:to>
      <xdr:col>8</xdr:col>
      <xdr:colOff>190137</xdr:colOff>
      <xdr:row>18</xdr:row>
      <xdr:rowOff>138806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76250" y="349250"/>
          <a:ext cx="7366000" cy="2990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271792" dir="3155679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32004" anchor="ctr" upright="1"/>
        <a:lstStyle/>
        <a:p>
          <a:pPr algn="ctr" rtl="0">
            <a:lnSpc>
              <a:spcPts val="3500"/>
            </a:lnSpc>
            <a:defRPr sz="1000"/>
          </a:pPr>
          <a:endParaRPr lang="ja-JP" altLang="en-US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ヒロセ電機株式会社様</a:t>
          </a:r>
          <a:endParaRPr lang="en-US" altLang="ja-JP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新環境証明書</a:t>
          </a:r>
          <a:endParaRPr lang="ja-JP" altLang="en-US" sz="36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画面設計書</a:t>
          </a:r>
          <a:endParaRPr lang="en-US" altLang="ja-JP" sz="36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+mn-ea"/>
            </a:rPr>
            <a:t>化学物質データ申請確認画面</a:t>
          </a:r>
        </a:p>
      </xdr:txBody>
    </xdr:sp>
    <xdr:clientData/>
  </xdr:twoCellAnchor>
  <xdr:twoCellAnchor editAs="oneCell">
    <xdr:from>
      <xdr:col>0</xdr:col>
      <xdr:colOff>638175</xdr:colOff>
      <xdr:row>2</xdr:row>
      <xdr:rowOff>114300</xdr:rowOff>
    </xdr:from>
    <xdr:to>
      <xdr:col>2</xdr:col>
      <xdr:colOff>781050</xdr:colOff>
      <xdr:row>5</xdr:row>
      <xdr:rowOff>133350</xdr:rowOff>
    </xdr:to>
    <xdr:pic>
      <xdr:nvPicPr>
        <xdr:cNvPr id="82435" name="Picture 2">
          <a:extLst>
            <a:ext uri="{FF2B5EF4-FFF2-40B4-BE49-F238E27FC236}">
              <a16:creationId xmlns:a16="http://schemas.microsoft.com/office/drawing/2014/main" id="{00000000-0008-0000-0000-000003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476250"/>
          <a:ext cx="1914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493032</xdr:colOff>
      <xdr:row>22</xdr:row>
      <xdr:rowOff>101963</xdr:rowOff>
    </xdr:from>
    <xdr:to>
      <xdr:col>5</xdr:col>
      <xdr:colOff>590008</xdr:colOff>
      <xdr:row>24</xdr:row>
      <xdr:rowOff>306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100705" y="4008120"/>
          <a:ext cx="2070856" cy="2593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文書番号：</a:t>
          </a:r>
          <a:r>
            <a:rPr lang="en-US" altLang="ja-JP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IMWF</a:t>
          </a:r>
          <a:r>
            <a:rPr lang="en-US" altLang="ja-JP" sz="12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-53</a:t>
          </a:r>
          <a:endParaRPr lang="en-US" altLang="ja-JP" sz="1200" b="0" i="0" strike="noStrike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6</xdr:col>
      <xdr:colOff>266700</xdr:colOff>
      <xdr:row>34</xdr:row>
      <xdr:rowOff>114300</xdr:rowOff>
    </xdr:from>
    <xdr:to>
      <xdr:col>8</xdr:col>
      <xdr:colOff>933450</xdr:colOff>
      <xdr:row>36</xdr:row>
      <xdr:rowOff>114300</xdr:rowOff>
    </xdr:to>
    <xdr:pic>
      <xdr:nvPicPr>
        <xdr:cNvPr id="82438" name="Picture 40" descr="logo_eimei">
          <a:extLst>
            <a:ext uri="{FF2B5EF4-FFF2-40B4-BE49-F238E27FC236}">
              <a16:creationId xmlns:a16="http://schemas.microsoft.com/office/drawing/2014/main" id="{00000000-0008-0000-0000-000006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6457950"/>
          <a:ext cx="2857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184149</xdr:rowOff>
    </xdr:from>
    <xdr:to>
      <xdr:col>2</xdr:col>
      <xdr:colOff>15876</xdr:colOff>
      <xdr:row>9</xdr:row>
      <xdr:rowOff>34925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82C95B8-3F7A-4DAF-8268-80394F26F700}"/>
            </a:ext>
          </a:extLst>
        </xdr:cNvPr>
        <xdr:cNvSpPr/>
      </xdr:nvSpPr>
      <xdr:spPr>
        <a:xfrm>
          <a:off x="0" y="1470024"/>
          <a:ext cx="377826" cy="27940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130175</xdr:colOff>
      <xdr:row>7</xdr:row>
      <xdr:rowOff>53975</xdr:rowOff>
    </xdr:from>
    <xdr:to>
      <xdr:col>17</xdr:col>
      <xdr:colOff>47625</xdr:colOff>
      <xdr:row>8</xdr:row>
      <xdr:rowOff>82550</xdr:rowOff>
    </xdr:to>
    <xdr:sp macro="" textlink="">
      <xdr:nvSpPr>
        <xdr:cNvPr id="3" name="線吹き出し 1 (枠付き) 12">
          <a:extLst>
            <a:ext uri="{FF2B5EF4-FFF2-40B4-BE49-F238E27FC236}">
              <a16:creationId xmlns:a16="http://schemas.microsoft.com/office/drawing/2014/main" id="{FC62FF29-570F-4F9B-9C2F-47B0304FC114}"/>
            </a:ext>
          </a:extLst>
        </xdr:cNvPr>
        <xdr:cNvSpPr/>
      </xdr:nvSpPr>
      <xdr:spPr>
        <a:xfrm>
          <a:off x="1939925" y="930275"/>
          <a:ext cx="1184275" cy="295275"/>
        </a:xfrm>
        <a:prstGeom prst="borderCallout1">
          <a:avLst>
            <a:gd name="adj1" fmla="val 38775"/>
            <a:gd name="adj2" fmla="val 582"/>
            <a:gd name="adj3" fmla="val 38538"/>
            <a:gd name="adj4" fmla="val -17752"/>
          </a:avLst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．パンくずリストエリア</a:t>
          </a:r>
        </a:p>
      </xdr:txBody>
    </xdr:sp>
    <xdr:clientData/>
  </xdr:twoCellAnchor>
  <xdr:twoCellAnchor>
    <xdr:from>
      <xdr:col>8</xdr:col>
      <xdr:colOff>161926</xdr:colOff>
      <xdr:row>10</xdr:row>
      <xdr:rowOff>95250</xdr:rowOff>
    </xdr:from>
    <xdr:to>
      <xdr:col>11</xdr:col>
      <xdr:colOff>1</xdr:colOff>
      <xdr:row>12</xdr:row>
      <xdr:rowOff>19050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C7EFC30-8103-490A-97C8-B319021AA3FA}"/>
            </a:ext>
          </a:extLst>
        </xdr:cNvPr>
        <xdr:cNvSpPr/>
      </xdr:nvSpPr>
      <xdr:spPr>
        <a:xfrm>
          <a:off x="1609726" y="1704975"/>
          <a:ext cx="381000" cy="238125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53</xdr:row>
      <xdr:rowOff>0</xdr:rowOff>
    </xdr:from>
    <xdr:to>
      <xdr:col>42</xdr:col>
      <xdr:colOff>9525</xdr:colOff>
      <xdr:row>56</xdr:row>
      <xdr:rowOff>19050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55DA5F5-3F6E-4D45-9853-C9BBCA4B9330}"/>
            </a:ext>
          </a:extLst>
        </xdr:cNvPr>
        <xdr:cNvSpPr/>
      </xdr:nvSpPr>
      <xdr:spPr bwMode="auto">
        <a:xfrm>
          <a:off x="723900" y="8686800"/>
          <a:ext cx="6886575" cy="342900"/>
        </a:xfrm>
        <a:prstGeom prst="rect">
          <a:avLst/>
        </a:prstGeom>
        <a:solidFill>
          <a:srgbClr val="FF0066">
            <a:alpha val="36863"/>
          </a:srgbClr>
        </a:solidFill>
        <a:ln w="6350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 typeface="Wingdings 2" pitchFamily="18" charset="2"/>
            <a:buNone/>
            <a:tabLst/>
          </a:pPr>
          <a:endParaRPr kumimoji="1" lang="ja-JP" altLang="en-US" sz="1400" b="0" i="0" u="none" strike="noStrike" cap="none" normalizeH="0" baseline="0">
            <a:ln>
              <a:noFill/>
            </a:ln>
            <a:solidFill>
              <a:srgbClr val="000000"/>
            </a:solidFill>
            <a:effectLst/>
            <a:latin typeface="メイリオ" pitchFamily="50" charset="-128"/>
            <a:ea typeface="メイリオ" pitchFamily="50" charset="-128"/>
          </a:endParaRPr>
        </a:p>
      </xdr:txBody>
    </xdr:sp>
    <xdr:clientData/>
  </xdr:twoCellAnchor>
  <xdr:twoCellAnchor>
    <xdr:from>
      <xdr:col>4</xdr:col>
      <xdr:colOff>6350</xdr:colOff>
      <xdr:row>32</xdr:row>
      <xdr:rowOff>0</xdr:rowOff>
    </xdr:from>
    <xdr:to>
      <xdr:col>6</xdr:col>
      <xdr:colOff>1395</xdr:colOff>
      <xdr:row>56</xdr:row>
      <xdr:rowOff>28575</xdr:rowOff>
    </xdr:to>
    <xdr:sp macro="" textlink="">
      <xdr:nvSpPr>
        <xdr:cNvPr id="42" name="角丸四角形 133">
          <a:extLst>
            <a:ext uri="{FF2B5EF4-FFF2-40B4-BE49-F238E27FC236}">
              <a16:creationId xmlns:a16="http://schemas.microsoft.com/office/drawing/2014/main" id="{98D60E00-3FF3-41B4-8C16-BBE63E69F907}"/>
            </a:ext>
          </a:extLst>
        </xdr:cNvPr>
        <xdr:cNvSpPr/>
      </xdr:nvSpPr>
      <xdr:spPr>
        <a:xfrm>
          <a:off x="730250" y="6019800"/>
          <a:ext cx="356995" cy="3019425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180974</xdr:colOff>
      <xdr:row>32</xdr:row>
      <xdr:rowOff>0</xdr:rowOff>
    </xdr:from>
    <xdr:to>
      <xdr:col>8</xdr:col>
      <xdr:colOff>161924</xdr:colOff>
      <xdr:row>56</xdr:row>
      <xdr:rowOff>28575</xdr:rowOff>
    </xdr:to>
    <xdr:sp macro="" textlink="">
      <xdr:nvSpPr>
        <xdr:cNvPr id="43" name="角丸四角形 133">
          <a:extLst>
            <a:ext uri="{FF2B5EF4-FFF2-40B4-BE49-F238E27FC236}">
              <a16:creationId xmlns:a16="http://schemas.microsoft.com/office/drawing/2014/main" id="{BAB1C4CE-FBF5-4E2F-9746-4748692C0F1C}"/>
            </a:ext>
          </a:extLst>
        </xdr:cNvPr>
        <xdr:cNvSpPr/>
      </xdr:nvSpPr>
      <xdr:spPr>
        <a:xfrm>
          <a:off x="1085849" y="6019800"/>
          <a:ext cx="523875" cy="3019425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161925</xdr:colOff>
      <xdr:row>56</xdr:row>
      <xdr:rowOff>25400</xdr:rowOff>
    </xdr:to>
    <xdr:sp macro="" textlink="">
      <xdr:nvSpPr>
        <xdr:cNvPr id="55" name="角丸四角形 133">
          <a:extLst>
            <a:ext uri="{FF2B5EF4-FFF2-40B4-BE49-F238E27FC236}">
              <a16:creationId xmlns:a16="http://schemas.microsoft.com/office/drawing/2014/main" id="{DD163B7F-57A9-49CC-B627-B22772F18702}"/>
            </a:ext>
          </a:extLst>
        </xdr:cNvPr>
        <xdr:cNvSpPr/>
      </xdr:nvSpPr>
      <xdr:spPr>
        <a:xfrm>
          <a:off x="1628775" y="6019800"/>
          <a:ext cx="523875" cy="301625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32</xdr:row>
      <xdr:rowOff>0</xdr:rowOff>
    </xdr:from>
    <xdr:to>
      <xdr:col>14</xdr:col>
      <xdr:colOff>161925</xdr:colOff>
      <xdr:row>56</xdr:row>
      <xdr:rowOff>25400</xdr:rowOff>
    </xdr:to>
    <xdr:sp macro="" textlink="">
      <xdr:nvSpPr>
        <xdr:cNvPr id="56" name="角丸四角形 133">
          <a:extLst>
            <a:ext uri="{FF2B5EF4-FFF2-40B4-BE49-F238E27FC236}">
              <a16:creationId xmlns:a16="http://schemas.microsoft.com/office/drawing/2014/main" id="{7C666C79-3618-40F5-9441-6E396E0FCC42}"/>
            </a:ext>
          </a:extLst>
        </xdr:cNvPr>
        <xdr:cNvSpPr/>
      </xdr:nvSpPr>
      <xdr:spPr>
        <a:xfrm>
          <a:off x="2171700" y="6019800"/>
          <a:ext cx="523875" cy="301625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31</xdr:row>
      <xdr:rowOff>133350</xdr:rowOff>
    </xdr:from>
    <xdr:to>
      <xdr:col>17</xdr:col>
      <xdr:colOff>158750</xdr:colOff>
      <xdr:row>56</xdr:row>
      <xdr:rowOff>0</xdr:rowOff>
    </xdr:to>
    <xdr:sp macro="" textlink="">
      <xdr:nvSpPr>
        <xdr:cNvPr id="57" name="角丸四角形 133">
          <a:extLst>
            <a:ext uri="{FF2B5EF4-FFF2-40B4-BE49-F238E27FC236}">
              <a16:creationId xmlns:a16="http://schemas.microsoft.com/office/drawing/2014/main" id="{83C27222-E5B9-492C-B86E-89E9B89411E0}"/>
            </a:ext>
          </a:extLst>
        </xdr:cNvPr>
        <xdr:cNvSpPr/>
      </xdr:nvSpPr>
      <xdr:spPr>
        <a:xfrm>
          <a:off x="2714625" y="6105525"/>
          <a:ext cx="520700" cy="321945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32</xdr:row>
      <xdr:rowOff>0</xdr:rowOff>
    </xdr:from>
    <xdr:to>
      <xdr:col>20</xdr:col>
      <xdr:colOff>161925</xdr:colOff>
      <xdr:row>56</xdr:row>
      <xdr:rowOff>25400</xdr:rowOff>
    </xdr:to>
    <xdr:sp macro="" textlink="">
      <xdr:nvSpPr>
        <xdr:cNvPr id="58" name="角丸四角形 133">
          <a:extLst>
            <a:ext uri="{FF2B5EF4-FFF2-40B4-BE49-F238E27FC236}">
              <a16:creationId xmlns:a16="http://schemas.microsoft.com/office/drawing/2014/main" id="{2387A002-5AE6-4CD8-B277-6010C41674D2}"/>
            </a:ext>
          </a:extLst>
        </xdr:cNvPr>
        <xdr:cNvSpPr/>
      </xdr:nvSpPr>
      <xdr:spPr>
        <a:xfrm>
          <a:off x="3257550" y="6019800"/>
          <a:ext cx="523875" cy="301625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158751</xdr:colOff>
      <xdr:row>32</xdr:row>
      <xdr:rowOff>19050</xdr:rowOff>
    </xdr:from>
    <xdr:to>
      <xdr:col>42</xdr:col>
      <xdr:colOff>1</xdr:colOff>
      <xdr:row>34</xdr:row>
      <xdr:rowOff>188259</xdr:rowOff>
    </xdr:to>
    <xdr:sp macro="" textlink="">
      <xdr:nvSpPr>
        <xdr:cNvPr id="59" name="角丸四角形 142">
          <a:extLst>
            <a:ext uri="{FF2B5EF4-FFF2-40B4-BE49-F238E27FC236}">
              <a16:creationId xmlns:a16="http://schemas.microsoft.com/office/drawing/2014/main" id="{5ED0C094-D949-4CF1-AD95-2FDDBB41F012}"/>
            </a:ext>
          </a:extLst>
        </xdr:cNvPr>
        <xdr:cNvSpPr/>
      </xdr:nvSpPr>
      <xdr:spPr>
        <a:xfrm>
          <a:off x="3778251" y="6038850"/>
          <a:ext cx="3822700" cy="369234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</xdr:colOff>
      <xdr:row>35</xdr:row>
      <xdr:rowOff>1</xdr:rowOff>
    </xdr:from>
    <xdr:to>
      <xdr:col>42</xdr:col>
      <xdr:colOff>6351</xdr:colOff>
      <xdr:row>52</xdr:row>
      <xdr:rowOff>142876</xdr:rowOff>
    </xdr:to>
    <xdr:sp macro="" textlink="">
      <xdr:nvSpPr>
        <xdr:cNvPr id="61" name="角丸四角形 132">
          <a:extLst>
            <a:ext uri="{FF2B5EF4-FFF2-40B4-BE49-F238E27FC236}">
              <a16:creationId xmlns:a16="http://schemas.microsoft.com/office/drawing/2014/main" id="{7129A818-2423-4D95-ADED-C1DED6283EC1}"/>
            </a:ext>
          </a:extLst>
        </xdr:cNvPr>
        <xdr:cNvSpPr/>
      </xdr:nvSpPr>
      <xdr:spPr>
        <a:xfrm>
          <a:off x="3800476" y="6419851"/>
          <a:ext cx="3806825" cy="224790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161924</xdr:colOff>
      <xdr:row>24</xdr:row>
      <xdr:rowOff>85725</xdr:rowOff>
    </xdr:from>
    <xdr:to>
      <xdr:col>44</xdr:col>
      <xdr:colOff>38100</xdr:colOff>
      <xdr:row>26</xdr:row>
      <xdr:rowOff>130175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385221A9-C4EB-4176-8166-590D47014668}"/>
            </a:ext>
          </a:extLst>
        </xdr:cNvPr>
        <xdr:cNvSpPr/>
      </xdr:nvSpPr>
      <xdr:spPr bwMode="auto">
        <a:xfrm>
          <a:off x="7038974" y="4686300"/>
          <a:ext cx="962026" cy="368300"/>
        </a:xfrm>
        <a:prstGeom prst="rect">
          <a:avLst/>
        </a:prstGeom>
        <a:solidFill>
          <a:srgbClr val="002879"/>
        </a:solidFill>
        <a:ln w="6350" cap="flat" cmpd="sng" algn="ctr">
          <a:solidFill>
            <a:schemeClr val="bg1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lvl9pPr>
        </a:lstStyle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</a:rPr>
            <a:t>CSV </a:t>
          </a:r>
          <a:r>
            <a:rPr lang="en-US" altLang="ja-JP" sz="800" b="1">
              <a:solidFill>
                <a:schemeClr val="lt1"/>
              </a:solidFill>
            </a:rPr>
            <a:t>Download</a:t>
          </a:r>
          <a:endParaRPr lang="ja-JP" altLang="ja-JP" sz="800" b="1"/>
        </a:p>
      </xdr:txBody>
    </xdr:sp>
    <xdr:clientData/>
  </xdr:twoCellAnchor>
  <xdr:twoCellAnchor>
    <xdr:from>
      <xdr:col>19</xdr:col>
      <xdr:colOff>82551</xdr:colOff>
      <xdr:row>11</xdr:row>
      <xdr:rowOff>139700</xdr:rowOff>
    </xdr:from>
    <xdr:to>
      <xdr:col>21</xdr:col>
      <xdr:colOff>101601</xdr:colOff>
      <xdr:row>13</xdr:row>
      <xdr:rowOff>66675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F3E541FB-2DA1-4881-9EA0-808DA5D514D0}"/>
            </a:ext>
          </a:extLst>
        </xdr:cNvPr>
        <xdr:cNvSpPr/>
      </xdr:nvSpPr>
      <xdr:spPr>
        <a:xfrm>
          <a:off x="3521076" y="1901825"/>
          <a:ext cx="381000" cy="250825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123825</xdr:colOff>
      <xdr:row>24</xdr:row>
      <xdr:rowOff>47625</xdr:rowOff>
    </xdr:from>
    <xdr:to>
      <xdr:col>3</xdr:col>
      <xdr:colOff>142875</xdr:colOff>
      <xdr:row>25</xdr:row>
      <xdr:rowOff>133350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52B636FA-421C-46F8-9466-0D471981E1D7}"/>
            </a:ext>
          </a:extLst>
        </xdr:cNvPr>
        <xdr:cNvSpPr/>
      </xdr:nvSpPr>
      <xdr:spPr>
        <a:xfrm>
          <a:off x="304800" y="5095875"/>
          <a:ext cx="381000" cy="247650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2.3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123825</xdr:colOff>
      <xdr:row>28</xdr:row>
      <xdr:rowOff>38100</xdr:rowOff>
    </xdr:from>
    <xdr:to>
      <xdr:col>3</xdr:col>
      <xdr:colOff>142875</xdr:colOff>
      <xdr:row>29</xdr:row>
      <xdr:rowOff>123825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4FB38F78-1CD6-4DBB-AF52-6E017C95E9D2}"/>
            </a:ext>
          </a:extLst>
        </xdr:cNvPr>
        <xdr:cNvSpPr/>
      </xdr:nvSpPr>
      <xdr:spPr>
        <a:xfrm>
          <a:off x="304800" y="5572125"/>
          <a:ext cx="381000" cy="247650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2.4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104775</xdr:colOff>
      <xdr:row>30</xdr:row>
      <xdr:rowOff>38100</xdr:rowOff>
    </xdr:from>
    <xdr:to>
      <xdr:col>5</xdr:col>
      <xdr:colOff>123825</xdr:colOff>
      <xdr:row>31</xdr:row>
      <xdr:rowOff>123825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FBA3E620-A1AD-49DC-B261-A6B0A8C835F5}"/>
            </a:ext>
          </a:extLst>
        </xdr:cNvPr>
        <xdr:cNvSpPr/>
      </xdr:nvSpPr>
      <xdr:spPr>
        <a:xfrm>
          <a:off x="647700" y="5895975"/>
          <a:ext cx="381000" cy="247650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2.6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47625</xdr:colOff>
      <xdr:row>30</xdr:row>
      <xdr:rowOff>38100</xdr:rowOff>
    </xdr:from>
    <xdr:to>
      <xdr:col>8</xdr:col>
      <xdr:colOff>66675</xdr:colOff>
      <xdr:row>31</xdr:row>
      <xdr:rowOff>123825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6F0B4651-6E66-4B2B-9342-BA218EAA560A}"/>
            </a:ext>
          </a:extLst>
        </xdr:cNvPr>
        <xdr:cNvSpPr/>
      </xdr:nvSpPr>
      <xdr:spPr>
        <a:xfrm>
          <a:off x="1133475" y="5895975"/>
          <a:ext cx="381000" cy="247650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2.7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47625</xdr:colOff>
      <xdr:row>30</xdr:row>
      <xdr:rowOff>28575</xdr:rowOff>
    </xdr:from>
    <xdr:to>
      <xdr:col>11</xdr:col>
      <xdr:colOff>66675</xdr:colOff>
      <xdr:row>31</xdr:row>
      <xdr:rowOff>114300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6D766107-6F61-425F-B477-C14A9E7B920E}"/>
            </a:ext>
          </a:extLst>
        </xdr:cNvPr>
        <xdr:cNvSpPr/>
      </xdr:nvSpPr>
      <xdr:spPr>
        <a:xfrm>
          <a:off x="1676400" y="5886450"/>
          <a:ext cx="381000" cy="247650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2.8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34925</xdr:colOff>
      <xdr:row>30</xdr:row>
      <xdr:rowOff>15875</xdr:rowOff>
    </xdr:from>
    <xdr:to>
      <xdr:col>30</xdr:col>
      <xdr:colOff>53975</xdr:colOff>
      <xdr:row>31</xdr:row>
      <xdr:rowOff>104775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6D3E4F95-CE53-434D-A5B2-3AC829E17F8D}"/>
            </a:ext>
          </a:extLst>
        </xdr:cNvPr>
        <xdr:cNvSpPr/>
      </xdr:nvSpPr>
      <xdr:spPr>
        <a:xfrm>
          <a:off x="5102225" y="5997575"/>
          <a:ext cx="381000" cy="250825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2.9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165099</xdr:colOff>
      <xdr:row>36</xdr:row>
      <xdr:rowOff>19050</xdr:rowOff>
    </xdr:from>
    <xdr:to>
      <xdr:col>46</xdr:col>
      <xdr:colOff>95250</xdr:colOff>
      <xdr:row>37</xdr:row>
      <xdr:rowOff>101600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9FF74617-ED1C-4AD0-BCB9-20A24A67BB4D}"/>
            </a:ext>
          </a:extLst>
        </xdr:cNvPr>
        <xdr:cNvSpPr/>
      </xdr:nvSpPr>
      <xdr:spPr>
        <a:xfrm>
          <a:off x="7947024" y="7143750"/>
          <a:ext cx="473076" cy="244475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2.10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28574</xdr:colOff>
      <xdr:row>57</xdr:row>
      <xdr:rowOff>152400</xdr:rowOff>
    </xdr:from>
    <xdr:to>
      <xdr:col>12</xdr:col>
      <xdr:colOff>139700</xdr:colOff>
      <xdr:row>59</xdr:row>
      <xdr:rowOff>76200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BA5F36C5-75D9-4557-B712-926260D5E779}"/>
            </a:ext>
          </a:extLst>
        </xdr:cNvPr>
        <xdr:cNvSpPr/>
      </xdr:nvSpPr>
      <xdr:spPr>
        <a:xfrm>
          <a:off x="1838324" y="10677525"/>
          <a:ext cx="473076" cy="247650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57150</xdr:colOff>
      <xdr:row>58</xdr:row>
      <xdr:rowOff>0</xdr:rowOff>
    </xdr:from>
    <xdr:to>
      <xdr:col>24</xdr:col>
      <xdr:colOff>168276</xdr:colOff>
      <xdr:row>59</xdr:row>
      <xdr:rowOff>82550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09B88085-B3AE-45D0-A90B-D9AA9884DC9E}"/>
            </a:ext>
          </a:extLst>
        </xdr:cNvPr>
        <xdr:cNvSpPr/>
      </xdr:nvSpPr>
      <xdr:spPr>
        <a:xfrm>
          <a:off x="4038600" y="10687050"/>
          <a:ext cx="473076" cy="244475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9525</xdr:colOff>
      <xdr:row>76</xdr:row>
      <xdr:rowOff>9525</xdr:rowOff>
    </xdr:from>
    <xdr:to>
      <xdr:col>4</xdr:col>
      <xdr:colOff>123826</xdr:colOff>
      <xdr:row>77</xdr:row>
      <xdr:rowOff>101600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BFFF38F9-201D-40E2-92DD-1C68678665DE}"/>
            </a:ext>
          </a:extLst>
        </xdr:cNvPr>
        <xdr:cNvSpPr/>
      </xdr:nvSpPr>
      <xdr:spPr>
        <a:xfrm>
          <a:off x="371475" y="13611225"/>
          <a:ext cx="476251" cy="254000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2.13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8264</xdr:colOff>
      <xdr:row>57</xdr:row>
      <xdr:rowOff>85725</xdr:rowOff>
    </xdr:from>
    <xdr:to>
      <xdr:col>32</xdr:col>
      <xdr:colOff>222</xdr:colOff>
      <xdr:row>60</xdr:row>
      <xdr:rowOff>103203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66D1206D-18B4-485F-94D6-D161FDE3107C}"/>
            </a:ext>
          </a:extLst>
        </xdr:cNvPr>
        <xdr:cNvSpPr/>
      </xdr:nvSpPr>
      <xdr:spPr>
        <a:xfrm>
          <a:off x="4532639" y="10925175"/>
          <a:ext cx="1258783" cy="503253"/>
        </a:xfrm>
        <a:prstGeom prst="rect">
          <a:avLst/>
        </a:prstGeom>
        <a:solidFill>
          <a:srgbClr val="002879"/>
        </a:solidFill>
        <a:ln>
          <a:solidFill>
            <a:srgbClr val="0028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50" b="1">
              <a:solidFill>
                <a:schemeClr val="bg1"/>
              </a:solidFill>
              <a:latin typeface="+mn-ea"/>
              <a:ea typeface="+mn-ea"/>
            </a:rPr>
            <a:t>申請</a:t>
          </a:r>
          <a:endParaRPr kumimoji="1" lang="en-US" altLang="ja-JP" sz="1050" b="1">
            <a:solidFill>
              <a:schemeClr val="bg1"/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0">
              <a:solidFill>
                <a:schemeClr val="bg1"/>
              </a:solidFill>
              <a:latin typeface="+mn-ea"/>
              <a:ea typeface="+mn-ea"/>
            </a:rPr>
            <a:t>APPLY</a:t>
          </a:r>
          <a:endParaRPr kumimoji="1" lang="ja-JP" altLang="en-US" sz="1000" b="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28574</xdr:colOff>
      <xdr:row>57</xdr:row>
      <xdr:rowOff>101600</xdr:rowOff>
    </xdr:from>
    <xdr:to>
      <xdr:col>21</xdr:col>
      <xdr:colOff>27124</xdr:colOff>
      <xdr:row>60</xdr:row>
      <xdr:rowOff>104775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254EB633-55E1-4513-BC2B-F2A93B85DF51}"/>
            </a:ext>
          </a:extLst>
        </xdr:cNvPr>
        <xdr:cNvSpPr/>
      </xdr:nvSpPr>
      <xdr:spPr>
        <a:xfrm>
          <a:off x="2562224" y="9436100"/>
          <a:ext cx="1265375" cy="48895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50" b="1">
              <a:solidFill>
                <a:schemeClr val="tx1"/>
              </a:solidFill>
              <a:latin typeface="+mn-ea"/>
              <a:ea typeface="+mn-ea"/>
            </a:rPr>
            <a:t>戻る</a:t>
          </a:r>
          <a:endParaRPr kumimoji="1" lang="en-US" altLang="ja-JP" sz="1050" b="1">
            <a:solidFill>
              <a:schemeClr val="tx1"/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0">
              <a:solidFill>
                <a:schemeClr val="tx1"/>
              </a:solidFill>
              <a:latin typeface="+mn-ea"/>
              <a:ea typeface="+mn-ea"/>
            </a:rPr>
            <a:t>BACK</a:t>
          </a:r>
          <a:endParaRPr kumimoji="1" lang="ja-JP" altLang="en-US" sz="10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47625</xdr:colOff>
      <xdr:row>76</xdr:row>
      <xdr:rowOff>92075</xdr:rowOff>
    </xdr:from>
    <xdr:to>
      <xdr:col>11</xdr:col>
      <xdr:colOff>158751</xdr:colOff>
      <xdr:row>78</xdr:row>
      <xdr:rowOff>19050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BF3F377F-4997-4149-A223-1639972D51A8}"/>
            </a:ext>
          </a:extLst>
        </xdr:cNvPr>
        <xdr:cNvSpPr/>
      </xdr:nvSpPr>
      <xdr:spPr>
        <a:xfrm>
          <a:off x="1676400" y="13693775"/>
          <a:ext cx="473076" cy="250825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2.14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142875</xdr:colOff>
      <xdr:row>66</xdr:row>
      <xdr:rowOff>47625</xdr:rowOff>
    </xdr:from>
    <xdr:to>
      <xdr:col>20</xdr:col>
      <xdr:colOff>73026</xdr:colOff>
      <xdr:row>67</xdr:row>
      <xdr:rowOff>133350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DAB8684F-DBFC-4BA5-A0E8-358C2198CEBB}"/>
            </a:ext>
          </a:extLst>
        </xdr:cNvPr>
        <xdr:cNvSpPr/>
      </xdr:nvSpPr>
      <xdr:spPr>
        <a:xfrm>
          <a:off x="3219450" y="12030075"/>
          <a:ext cx="473076" cy="247650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2.15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123826</xdr:colOff>
      <xdr:row>73</xdr:row>
      <xdr:rowOff>28576</xdr:rowOff>
    </xdr:from>
    <xdr:to>
      <xdr:col>10</xdr:col>
      <xdr:colOff>76201</xdr:colOff>
      <xdr:row>75</xdr:row>
      <xdr:rowOff>63500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EAA9EDFE-026B-4A22-9A31-030F6483C7E5}"/>
            </a:ext>
          </a:extLst>
        </xdr:cNvPr>
        <xdr:cNvSpPr/>
      </xdr:nvSpPr>
      <xdr:spPr>
        <a:xfrm>
          <a:off x="1028701" y="11630026"/>
          <a:ext cx="857250" cy="358774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 b="1">
              <a:solidFill>
                <a:schemeClr val="tx1"/>
              </a:solidFill>
            </a:rPr>
            <a:t>いいえ</a:t>
          </a:r>
          <a:endParaRPr kumimoji="1" lang="en-US" altLang="ja-JP" sz="900" b="1">
            <a:solidFill>
              <a:schemeClr val="tx1"/>
            </a:solidFill>
          </a:endParaRPr>
        </a:p>
        <a:p>
          <a:pPr algn="ctr"/>
          <a:r>
            <a:rPr kumimoji="1" lang="en-US" altLang="ja-JP" sz="800" b="0">
              <a:solidFill>
                <a:schemeClr val="tx1"/>
              </a:solidFill>
            </a:rPr>
            <a:t>NO</a:t>
          </a:r>
          <a:endParaRPr kumimoji="1" lang="ja-JP" altLang="en-US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85725</xdr:colOff>
      <xdr:row>73</xdr:row>
      <xdr:rowOff>25400</xdr:rowOff>
    </xdr:from>
    <xdr:to>
      <xdr:col>15</xdr:col>
      <xdr:colOff>171450</xdr:colOff>
      <xdr:row>75</xdr:row>
      <xdr:rowOff>57150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1C848A47-89A9-47B9-9A23-C9441658D716}"/>
            </a:ext>
          </a:extLst>
        </xdr:cNvPr>
        <xdr:cNvSpPr/>
      </xdr:nvSpPr>
      <xdr:spPr>
        <a:xfrm>
          <a:off x="2076450" y="11626850"/>
          <a:ext cx="809625" cy="355600"/>
        </a:xfrm>
        <a:prstGeom prst="rect">
          <a:avLst/>
        </a:prstGeom>
        <a:solidFill>
          <a:srgbClr val="002879"/>
        </a:solidFill>
        <a:ln>
          <a:solidFill>
            <a:srgbClr val="0028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 b="1">
              <a:solidFill>
                <a:schemeClr val="bg1"/>
              </a:solidFill>
            </a:rPr>
            <a:t>はい</a:t>
          </a:r>
          <a:endParaRPr kumimoji="1" lang="en-US" altLang="ja-JP" sz="900" b="1">
            <a:solidFill>
              <a:schemeClr val="bg1"/>
            </a:solidFill>
          </a:endParaRPr>
        </a:p>
        <a:p>
          <a:pPr algn="ctr"/>
          <a:r>
            <a:rPr kumimoji="1" lang="en-US" altLang="ja-JP" sz="800" b="0">
              <a:solidFill>
                <a:schemeClr val="bg1"/>
              </a:solidFill>
            </a:rPr>
            <a:t>YES</a:t>
          </a:r>
          <a:endParaRPr kumimoji="1" lang="ja-JP" altLang="en-US" sz="900" b="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161925</xdr:colOff>
      <xdr:row>65</xdr:row>
      <xdr:rowOff>76201</xdr:rowOff>
    </xdr:from>
    <xdr:to>
      <xdr:col>16</xdr:col>
      <xdr:colOff>130176</xdr:colOff>
      <xdr:row>66</xdr:row>
      <xdr:rowOff>123826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CA348ADB-3FF8-451F-B81E-E3471AF64439}"/>
            </a:ext>
          </a:extLst>
        </xdr:cNvPr>
        <xdr:cNvSpPr/>
      </xdr:nvSpPr>
      <xdr:spPr>
        <a:xfrm>
          <a:off x="2876550" y="12211051"/>
          <a:ext cx="149226" cy="209550"/>
        </a:xfrm>
        <a:prstGeom prst="rect">
          <a:avLst/>
        </a:prstGeom>
        <a:solidFill>
          <a:srgbClr val="002879"/>
        </a:solidFill>
        <a:ln>
          <a:solidFill>
            <a:srgbClr val="0028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00" b="0">
              <a:solidFill>
                <a:schemeClr val="bg1"/>
              </a:solidFill>
            </a:rPr>
            <a:t>X</a:t>
          </a:r>
          <a:endParaRPr kumimoji="1" lang="ja-JP" altLang="en-US" sz="900" b="0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19050</xdr:colOff>
      <xdr:row>35</xdr:row>
      <xdr:rowOff>0</xdr:rowOff>
    </xdr:from>
    <xdr:to>
      <xdr:col>42</xdr:col>
      <xdr:colOff>0</xdr:colOff>
      <xdr:row>38</xdr:row>
      <xdr:rowOff>19050</xdr:rowOff>
    </xdr:to>
    <xdr:sp macro="" textlink="">
      <xdr:nvSpPr>
        <xdr:cNvPr id="91" name="角丸四角形 4">
          <a:extLst>
            <a:ext uri="{FF2B5EF4-FFF2-40B4-BE49-F238E27FC236}">
              <a16:creationId xmlns:a16="http://schemas.microsoft.com/office/drawing/2014/main" id="{5E104B8C-6817-4B40-82B5-E077888DDD1B}"/>
            </a:ext>
          </a:extLst>
        </xdr:cNvPr>
        <xdr:cNvSpPr/>
      </xdr:nvSpPr>
      <xdr:spPr>
        <a:xfrm>
          <a:off x="3819525" y="6581775"/>
          <a:ext cx="3781425" cy="342900"/>
        </a:xfrm>
        <a:prstGeom prst="roundRect">
          <a:avLst/>
        </a:prstGeom>
        <a:noFill/>
        <a:ln>
          <a:solidFill>
            <a:srgbClr val="92D05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0</xdr:colOff>
      <xdr:row>55</xdr:row>
      <xdr:rowOff>0</xdr:rowOff>
    </xdr:from>
    <xdr:to>
      <xdr:col>51</xdr:col>
      <xdr:colOff>48932</xdr:colOff>
      <xdr:row>58</xdr:row>
      <xdr:rowOff>123825</xdr:rowOff>
    </xdr:to>
    <xdr:sp macro="" textlink="">
      <xdr:nvSpPr>
        <xdr:cNvPr id="93" name="角丸四角形吹き出し 215">
          <a:extLst>
            <a:ext uri="{FF2B5EF4-FFF2-40B4-BE49-F238E27FC236}">
              <a16:creationId xmlns:a16="http://schemas.microsoft.com/office/drawing/2014/main" id="{BDA2711D-29DE-40AD-A9F7-93FFE2BC940F}"/>
            </a:ext>
          </a:extLst>
        </xdr:cNvPr>
        <xdr:cNvSpPr/>
      </xdr:nvSpPr>
      <xdr:spPr>
        <a:xfrm>
          <a:off x="7781925" y="9010650"/>
          <a:ext cx="1496732" cy="609600"/>
        </a:xfrm>
        <a:prstGeom prst="wedgeRoundRectCallout">
          <a:avLst>
            <a:gd name="adj1" fmla="val -59552"/>
            <a:gd name="adj2" fmla="val -50605"/>
            <a:gd name="adj3" fmla="val 1666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赤色はエラーメッセージの色と同じ色とする。</a:t>
          </a:r>
        </a:p>
      </xdr:txBody>
    </xdr:sp>
    <xdr:clientData/>
  </xdr:twoCellAnchor>
  <xdr:twoCellAnchor>
    <xdr:from>
      <xdr:col>32</xdr:col>
      <xdr:colOff>11020</xdr:colOff>
      <xdr:row>16</xdr:row>
      <xdr:rowOff>46878</xdr:rowOff>
    </xdr:from>
    <xdr:to>
      <xdr:col>34</xdr:col>
      <xdr:colOff>30070</xdr:colOff>
      <xdr:row>17</xdr:row>
      <xdr:rowOff>133910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27E48A0-B4FB-4CE8-9FBD-2FE4AC10D6C8}"/>
            </a:ext>
          </a:extLst>
        </xdr:cNvPr>
        <xdr:cNvSpPr/>
      </xdr:nvSpPr>
      <xdr:spPr>
        <a:xfrm>
          <a:off x="5297395" y="2609103"/>
          <a:ext cx="349250" cy="242607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161926</xdr:colOff>
      <xdr:row>31</xdr:row>
      <xdr:rowOff>152400</xdr:rowOff>
    </xdr:from>
    <xdr:to>
      <xdr:col>42</xdr:col>
      <xdr:colOff>1</xdr:colOff>
      <xdr:row>34</xdr:row>
      <xdr:rowOff>159684</xdr:rowOff>
    </xdr:to>
    <xdr:sp macro="" textlink="">
      <xdr:nvSpPr>
        <xdr:cNvPr id="6" name="角丸四角形 142">
          <a:extLst>
            <a:ext uri="{FF2B5EF4-FFF2-40B4-BE49-F238E27FC236}">
              <a16:creationId xmlns:a16="http://schemas.microsoft.com/office/drawing/2014/main" id="{387FA923-6E02-4279-89AD-6A05EBDEE530}"/>
            </a:ext>
          </a:extLst>
        </xdr:cNvPr>
        <xdr:cNvSpPr/>
      </xdr:nvSpPr>
      <xdr:spPr>
        <a:xfrm>
          <a:off x="3781426" y="5886450"/>
          <a:ext cx="3819525" cy="607359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</xdr:colOff>
      <xdr:row>35</xdr:row>
      <xdr:rowOff>1</xdr:rowOff>
    </xdr:from>
    <xdr:to>
      <xdr:col>42</xdr:col>
      <xdr:colOff>6351</xdr:colOff>
      <xdr:row>52</xdr:row>
      <xdr:rowOff>142876</xdr:rowOff>
    </xdr:to>
    <xdr:sp macro="" textlink="">
      <xdr:nvSpPr>
        <xdr:cNvPr id="7" name="角丸四角形 132">
          <a:extLst>
            <a:ext uri="{FF2B5EF4-FFF2-40B4-BE49-F238E27FC236}">
              <a16:creationId xmlns:a16="http://schemas.microsoft.com/office/drawing/2014/main" id="{F2B9C21E-402E-48FB-A49D-B71226027C0F}"/>
            </a:ext>
          </a:extLst>
        </xdr:cNvPr>
        <xdr:cNvSpPr/>
      </xdr:nvSpPr>
      <xdr:spPr>
        <a:xfrm>
          <a:off x="3467101" y="7061201"/>
          <a:ext cx="3473450" cy="3508375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95250</xdr:colOff>
      <xdr:row>23</xdr:row>
      <xdr:rowOff>53975</xdr:rowOff>
    </xdr:from>
    <xdr:to>
      <xdr:col>39</xdr:col>
      <xdr:colOff>114300</xdr:colOff>
      <xdr:row>24</xdr:row>
      <xdr:rowOff>139700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E0EE3F6-6F20-466F-96A4-4DF1DA4DE34F}"/>
            </a:ext>
          </a:extLst>
        </xdr:cNvPr>
        <xdr:cNvSpPr/>
      </xdr:nvSpPr>
      <xdr:spPr>
        <a:xfrm>
          <a:off x="6791325" y="4492625"/>
          <a:ext cx="381000" cy="247650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2.5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6</xdr:row>
      <xdr:rowOff>0</xdr:rowOff>
    </xdr:from>
    <xdr:to>
      <xdr:col>20</xdr:col>
      <xdr:colOff>10258</xdr:colOff>
      <xdr:row>7</xdr:row>
      <xdr:rowOff>6350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4F568AC-C0B4-4917-9B12-E81464AF5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876300"/>
          <a:ext cx="3445608" cy="419100"/>
        </a:xfrm>
        <a:prstGeom prst="rect">
          <a:avLst/>
        </a:prstGeom>
      </xdr:spPr>
    </xdr:pic>
    <xdr:clientData/>
  </xdr:twoCellAnchor>
  <xdr:twoCellAnchor>
    <xdr:from>
      <xdr:col>20</xdr:col>
      <xdr:colOff>3174</xdr:colOff>
      <xdr:row>6</xdr:row>
      <xdr:rowOff>7470</xdr:rowOff>
    </xdr:from>
    <xdr:to>
      <xdr:col>52</xdr:col>
      <xdr:colOff>17317</xdr:colOff>
      <xdr:row>7</xdr:row>
      <xdr:rowOff>19050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C3F3209-BE43-4A48-A5AD-0F042EAB4803}"/>
            </a:ext>
          </a:extLst>
        </xdr:cNvPr>
        <xdr:cNvSpPr/>
      </xdr:nvSpPr>
      <xdr:spPr>
        <a:xfrm>
          <a:off x="3622674" y="883770"/>
          <a:ext cx="5805343" cy="421155"/>
        </a:xfrm>
        <a:prstGeom prst="rect">
          <a:avLst/>
        </a:prstGeom>
        <a:solidFill>
          <a:schemeClr val="bg1">
            <a:lumMod val="95000"/>
          </a:schemeClr>
        </a:solidFill>
        <a:ln w="127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28575</xdr:colOff>
      <xdr:row>6</xdr:row>
      <xdr:rowOff>19050</xdr:rowOff>
    </xdr:from>
    <xdr:to>
      <xdr:col>9</xdr:col>
      <xdr:colOff>57151</xdr:colOff>
      <xdr:row>6</xdr:row>
      <xdr:rowOff>273051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F4BB978-D00B-4C35-BEE4-7D77DAEFF619}"/>
            </a:ext>
          </a:extLst>
        </xdr:cNvPr>
        <xdr:cNvSpPr/>
      </xdr:nvSpPr>
      <xdr:spPr>
        <a:xfrm>
          <a:off x="1295400" y="895350"/>
          <a:ext cx="390526" cy="254001"/>
        </a:xfrm>
        <a:prstGeom prst="rect">
          <a:avLst/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0.1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168990</xdr:colOff>
      <xdr:row>18</xdr:row>
      <xdr:rowOff>65756</xdr:rowOff>
    </xdr:from>
    <xdr:to>
      <xdr:col>37</xdr:col>
      <xdr:colOff>134471</xdr:colOff>
      <xdr:row>22</xdr:row>
      <xdr:rowOff>16809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85ACDB14-4A5A-4660-88AC-4ECC3EAF399A}"/>
            </a:ext>
          </a:extLst>
        </xdr:cNvPr>
        <xdr:cNvSpPr/>
      </xdr:nvSpPr>
      <xdr:spPr>
        <a:xfrm>
          <a:off x="5693490" y="3472344"/>
          <a:ext cx="1489481" cy="713053"/>
        </a:xfrm>
        <a:prstGeom prst="flowChartMagneticDisk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申請可能製品情報マスタ</a:t>
          </a:r>
        </a:p>
      </xdr:txBody>
    </xdr:sp>
    <xdr:clientData/>
  </xdr:twoCellAnchor>
  <xdr:twoCellAnchor>
    <xdr:from>
      <xdr:col>7</xdr:col>
      <xdr:colOff>200026</xdr:colOff>
      <xdr:row>39</xdr:row>
      <xdr:rowOff>143476</xdr:rowOff>
    </xdr:from>
    <xdr:to>
      <xdr:col>23</xdr:col>
      <xdr:colOff>57409</xdr:colOff>
      <xdr:row>43</xdr:row>
      <xdr:rowOff>91427</xdr:rowOff>
    </xdr:to>
    <xdr:sp macro="" textlink="">
      <xdr:nvSpPr>
        <xdr:cNvPr id="3" name="フローチャート: 判断 2">
          <a:extLst>
            <a:ext uri="{FF2B5EF4-FFF2-40B4-BE49-F238E27FC236}">
              <a16:creationId xmlns:a16="http://schemas.microsoft.com/office/drawing/2014/main" id="{827E61F4-A5A3-4EC9-AA38-A25FF78AFB15}"/>
            </a:ext>
          </a:extLst>
        </xdr:cNvPr>
        <xdr:cNvSpPr/>
      </xdr:nvSpPr>
      <xdr:spPr>
        <a:xfrm>
          <a:off x="1520826" y="8582626"/>
          <a:ext cx="2918083" cy="709951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１－１－４．</a:t>
          </a:r>
          <a:r>
            <a:rPr kumimoji="1" lang="en-US" altLang="ja-JP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r>
            <a:rPr kumimoji="1" lang="ja-JP" altLang="ja-JP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に該当する</a:t>
          </a:r>
          <a:r>
            <a:rPr kumimoji="1" lang="ja-JP" altLang="en-US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製品の</a:t>
          </a:r>
          <a:r>
            <a:rPr kumimoji="1" lang="ja-JP" altLang="ja-JP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存在</a:t>
          </a:r>
          <a:r>
            <a:rPr kumimoji="1" lang="ja-JP" altLang="en-US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する？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128719</xdr:colOff>
      <xdr:row>17</xdr:row>
      <xdr:rowOff>26220</xdr:rowOff>
    </xdr:from>
    <xdr:to>
      <xdr:col>15</xdr:col>
      <xdr:colOff>131029</xdr:colOff>
      <xdr:row>19</xdr:row>
      <xdr:rowOff>179293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BC4B5F65-E861-41F5-A30C-666CAFBE31A3}"/>
            </a:ext>
          </a:extLst>
        </xdr:cNvPr>
        <xdr:cNvCxnSpPr>
          <a:stCxn id="8" idx="2"/>
          <a:endCxn id="107" idx="0"/>
        </xdr:cNvCxnSpPr>
      </xdr:nvCxnSpPr>
      <xdr:spPr>
        <a:xfrm>
          <a:off x="2986219" y="4274370"/>
          <a:ext cx="2310" cy="53407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122368</xdr:colOff>
      <xdr:row>43</xdr:row>
      <xdr:rowOff>88252</xdr:rowOff>
    </xdr:from>
    <xdr:to>
      <xdr:col>15</xdr:col>
      <xdr:colOff>161738</xdr:colOff>
      <xdr:row>50</xdr:row>
      <xdr:rowOff>8031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F9E3EDED-B37F-432F-88BE-38176AD72793}"/>
            </a:ext>
          </a:extLst>
        </xdr:cNvPr>
        <xdr:cNvCxnSpPr>
          <a:cxnSpLocks/>
          <a:stCxn id="3" idx="2"/>
          <a:endCxn id="98" idx="0"/>
        </xdr:cNvCxnSpPr>
      </xdr:nvCxnSpPr>
      <xdr:spPr>
        <a:xfrm>
          <a:off x="2979868" y="8257340"/>
          <a:ext cx="39370" cy="125327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200189</xdr:colOff>
      <xdr:row>15</xdr:row>
      <xdr:rowOff>115707</xdr:rowOff>
    </xdr:from>
    <xdr:to>
      <xdr:col>23</xdr:col>
      <xdr:colOff>57247</xdr:colOff>
      <xdr:row>17</xdr:row>
      <xdr:rowOff>26220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EF0C7EDD-FD3F-485F-8483-E8A517CD1BC8}"/>
            </a:ext>
          </a:extLst>
        </xdr:cNvPr>
        <xdr:cNvSpPr/>
      </xdr:nvSpPr>
      <xdr:spPr>
        <a:xfrm>
          <a:off x="1520989" y="3982857"/>
          <a:ext cx="2917758" cy="291513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製品名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/CL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コードを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件取得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203642</xdr:colOff>
      <xdr:row>43</xdr:row>
      <xdr:rowOff>111178</xdr:rowOff>
    </xdr:from>
    <xdr:to>
      <xdr:col>17</xdr:col>
      <xdr:colOff>143982</xdr:colOff>
      <xdr:row>45</xdr:row>
      <xdr:rowOff>2286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3C82D95-E51B-4561-8928-76859B25123E}"/>
            </a:ext>
          </a:extLst>
        </xdr:cNvPr>
        <xdr:cNvSpPr/>
      </xdr:nvSpPr>
      <xdr:spPr>
        <a:xfrm>
          <a:off x="3048442" y="9312328"/>
          <a:ext cx="334040" cy="272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Y</a:t>
          </a:r>
        </a:p>
      </xdr:txBody>
    </xdr:sp>
    <xdr:clientData/>
  </xdr:twoCellAnchor>
  <xdr:twoCellAnchor>
    <xdr:from>
      <xdr:col>8</xdr:col>
      <xdr:colOff>164</xdr:colOff>
      <xdr:row>7</xdr:row>
      <xdr:rowOff>74245</xdr:rowOff>
    </xdr:from>
    <xdr:to>
      <xdr:col>23</xdr:col>
      <xdr:colOff>66772</xdr:colOff>
      <xdr:row>8</xdr:row>
      <xdr:rowOff>173017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C1DFB174-7C11-4630-B02F-B1C292A746CB}"/>
            </a:ext>
          </a:extLst>
        </xdr:cNvPr>
        <xdr:cNvSpPr/>
      </xdr:nvSpPr>
      <xdr:spPr>
        <a:xfrm>
          <a:off x="1524164" y="2417395"/>
          <a:ext cx="2924108" cy="289272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１－１－１．申請製品コードリストを取得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138113</xdr:colOff>
      <xdr:row>8</xdr:row>
      <xdr:rowOff>173017</xdr:rowOff>
    </xdr:from>
    <xdr:to>
      <xdr:col>15</xdr:col>
      <xdr:colOff>139925</xdr:colOff>
      <xdr:row>10</xdr:row>
      <xdr:rowOff>104774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88AF6267-BDDE-4DEF-9CDB-A95B388437F4}"/>
            </a:ext>
          </a:extLst>
        </xdr:cNvPr>
        <xdr:cNvCxnSpPr>
          <a:stCxn id="10" idx="2"/>
          <a:endCxn id="18" idx="0"/>
        </xdr:cNvCxnSpPr>
      </xdr:nvCxnSpPr>
      <xdr:spPr>
        <a:xfrm flipH="1">
          <a:off x="2995613" y="2706667"/>
          <a:ext cx="1812" cy="31275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200026</xdr:colOff>
      <xdr:row>13</xdr:row>
      <xdr:rowOff>133351</xdr:rowOff>
    </xdr:from>
    <xdr:to>
      <xdr:col>15</xdr:col>
      <xdr:colOff>114300</xdr:colOff>
      <xdr:row>41</xdr:row>
      <xdr:rowOff>117453</xdr:rowOff>
    </xdr:to>
    <xdr:cxnSp macro="">
      <xdr:nvCxnSpPr>
        <xdr:cNvPr id="12" name="カギ線コネクタ 67">
          <a:extLst>
            <a:ext uri="{FF2B5EF4-FFF2-40B4-BE49-F238E27FC236}">
              <a16:creationId xmlns:a16="http://schemas.microsoft.com/office/drawing/2014/main" id="{3C7852F4-DB54-40B6-A8E8-3FCDCE92C2F4}"/>
            </a:ext>
          </a:extLst>
        </xdr:cNvPr>
        <xdr:cNvCxnSpPr>
          <a:stCxn id="3" idx="1"/>
        </xdr:cNvCxnSpPr>
      </xdr:nvCxnSpPr>
      <xdr:spPr>
        <a:xfrm rot="10800000" flipH="1">
          <a:off x="1520826" y="3619501"/>
          <a:ext cx="1450974" cy="5318102"/>
        </a:xfrm>
        <a:prstGeom prst="bentConnector4">
          <a:avLst>
            <a:gd name="adj1" fmla="val -14371"/>
            <a:gd name="adj2" fmla="val 9994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54560</xdr:colOff>
      <xdr:row>5</xdr:row>
      <xdr:rowOff>0</xdr:rowOff>
    </xdr:from>
    <xdr:to>
      <xdr:col>16</xdr:col>
      <xdr:colOff>13037</xdr:colOff>
      <xdr:row>5</xdr:row>
      <xdr:rowOff>176687</xdr:rowOff>
    </xdr:to>
    <xdr:sp macro="" textlink="">
      <xdr:nvSpPr>
        <xdr:cNvPr id="13" name="Oval 13">
          <a:extLst>
            <a:ext uri="{FF2B5EF4-FFF2-40B4-BE49-F238E27FC236}">
              <a16:creationId xmlns:a16="http://schemas.microsoft.com/office/drawing/2014/main" id="{2EF4FB13-5AE1-4BE3-8B28-F58818C91862}"/>
            </a:ext>
          </a:extLst>
        </xdr:cNvPr>
        <xdr:cNvSpPr>
          <a:spLocks noChangeArrowheads="1"/>
        </xdr:cNvSpPr>
      </xdr:nvSpPr>
      <xdr:spPr bwMode="auto">
        <a:xfrm>
          <a:off x="2912060" y="1962150"/>
          <a:ext cx="148977" cy="176687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138243</xdr:colOff>
      <xdr:row>5</xdr:row>
      <xdr:rowOff>176687</xdr:rowOff>
    </xdr:from>
    <xdr:to>
      <xdr:col>15</xdr:col>
      <xdr:colOff>138574</xdr:colOff>
      <xdr:row>7</xdr:row>
      <xdr:rowOff>74245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EC97DB32-3BA3-48E1-8609-9ED3A752A1E4}"/>
            </a:ext>
          </a:extLst>
        </xdr:cNvPr>
        <xdr:cNvCxnSpPr>
          <a:stCxn id="13" idx="4"/>
          <a:endCxn id="10" idx="0"/>
        </xdr:cNvCxnSpPr>
      </xdr:nvCxnSpPr>
      <xdr:spPr>
        <a:xfrm flipH="1">
          <a:off x="2995743" y="2138837"/>
          <a:ext cx="331" cy="27855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26172</xdr:colOff>
      <xdr:row>66</xdr:row>
      <xdr:rowOff>56028</xdr:rowOff>
    </xdr:from>
    <xdr:to>
      <xdr:col>16</xdr:col>
      <xdr:colOff>47999</xdr:colOff>
      <xdr:row>67</xdr:row>
      <xdr:rowOff>134633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3392D4D6-DEAF-4260-816E-D91C31E801C1}"/>
            </a:ext>
          </a:extLst>
        </xdr:cNvPr>
        <xdr:cNvGrpSpPr/>
      </xdr:nvGrpSpPr>
      <xdr:grpSpPr>
        <a:xfrm>
          <a:off x="2886847" y="12606616"/>
          <a:ext cx="205977" cy="269105"/>
          <a:chOff x="5591732" y="12046324"/>
          <a:chExt cx="246533" cy="257735"/>
        </a:xfrm>
      </xdr:grpSpPr>
      <xdr:sp macro="" textlink="">
        <xdr:nvSpPr>
          <xdr:cNvPr id="16" name="フローチャート : 結合子 184">
            <a:extLst>
              <a:ext uri="{FF2B5EF4-FFF2-40B4-BE49-F238E27FC236}">
                <a16:creationId xmlns:a16="http://schemas.microsoft.com/office/drawing/2014/main" id="{8592E169-F1EB-232D-28B8-6CECBEBC4F63}"/>
              </a:ext>
            </a:extLst>
          </xdr:cNvPr>
          <xdr:cNvSpPr/>
        </xdr:nvSpPr>
        <xdr:spPr bwMode="auto">
          <a:xfrm>
            <a:off x="5591732" y="12046324"/>
            <a:ext cx="246533" cy="25773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" name="フローチャート : 結合子 183">
            <a:extLst>
              <a:ext uri="{FF2B5EF4-FFF2-40B4-BE49-F238E27FC236}">
                <a16:creationId xmlns:a16="http://schemas.microsoft.com/office/drawing/2014/main" id="{B68A267F-4C58-5AB6-9C6A-32D046B7091C}"/>
              </a:ext>
            </a:extLst>
          </xdr:cNvPr>
          <xdr:cNvSpPr/>
        </xdr:nvSpPr>
        <xdr:spPr bwMode="auto">
          <a:xfrm>
            <a:off x="5681383" y="12147177"/>
            <a:ext cx="77480" cy="6768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11</xdr:col>
      <xdr:colOff>57197</xdr:colOff>
      <xdr:row>10</xdr:row>
      <xdr:rowOff>104774</xdr:rowOff>
    </xdr:from>
    <xdr:to>
      <xdr:col>20</xdr:col>
      <xdr:colOff>6117</xdr:colOff>
      <xdr:row>12</xdr:row>
      <xdr:rowOff>104775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459CEADE-DA92-4BB1-B993-3112C138519A}"/>
            </a:ext>
          </a:extLst>
        </xdr:cNvPr>
        <xdr:cNvSpPr/>
      </xdr:nvSpPr>
      <xdr:spPr>
        <a:xfrm>
          <a:off x="2152697" y="3019424"/>
          <a:ext cx="1663420" cy="381001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リストをループ開始①</a:t>
          </a:r>
        </a:p>
      </xdr:txBody>
    </xdr:sp>
    <xdr:clientData/>
  </xdr:twoCellAnchor>
  <xdr:twoCellAnchor>
    <xdr:from>
      <xdr:col>15</xdr:col>
      <xdr:colOff>128719</xdr:colOff>
      <xdr:row>12</xdr:row>
      <xdr:rowOff>104775</xdr:rowOff>
    </xdr:from>
    <xdr:to>
      <xdr:col>15</xdr:col>
      <xdr:colOff>138113</xdr:colOff>
      <xdr:row>15</xdr:row>
      <xdr:rowOff>115707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DC11A3F7-F10D-41EA-BB21-B9035F66AC52}"/>
            </a:ext>
          </a:extLst>
        </xdr:cNvPr>
        <xdr:cNvCxnSpPr>
          <a:stCxn id="18" idx="4"/>
          <a:endCxn id="8" idx="0"/>
        </xdr:cNvCxnSpPr>
      </xdr:nvCxnSpPr>
      <xdr:spPr>
        <a:xfrm flipH="1">
          <a:off x="2986219" y="3400425"/>
          <a:ext cx="9394" cy="5824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16</xdr:row>
      <xdr:rowOff>114300</xdr:rowOff>
    </xdr:from>
    <xdr:to>
      <xdr:col>7</xdr:col>
      <xdr:colOff>79452</xdr:colOff>
      <xdr:row>17</xdr:row>
      <xdr:rowOff>184733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254B594-81A6-42FF-842C-73F4C8E5F01B}"/>
            </a:ext>
          </a:extLst>
        </xdr:cNvPr>
        <xdr:cNvSpPr/>
      </xdr:nvSpPr>
      <xdr:spPr>
        <a:xfrm>
          <a:off x="1085850" y="4171950"/>
          <a:ext cx="327102" cy="2609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N</a:t>
          </a:r>
        </a:p>
      </xdr:txBody>
    </xdr:sp>
    <xdr:clientData/>
  </xdr:twoCellAnchor>
  <xdr:twoCellAnchor>
    <xdr:from>
      <xdr:col>8</xdr:col>
      <xdr:colOff>1</xdr:colOff>
      <xdr:row>33</xdr:row>
      <xdr:rowOff>14610</xdr:rowOff>
    </xdr:from>
    <xdr:to>
      <xdr:col>23</xdr:col>
      <xdr:colOff>66934</xdr:colOff>
      <xdr:row>36</xdr:row>
      <xdr:rowOff>162587</xdr:rowOff>
    </xdr:to>
    <xdr:sp macro="" textlink="">
      <xdr:nvSpPr>
        <xdr:cNvPr id="21" name="フローチャート: 判断 20">
          <a:extLst>
            <a:ext uri="{FF2B5EF4-FFF2-40B4-BE49-F238E27FC236}">
              <a16:creationId xmlns:a16="http://schemas.microsoft.com/office/drawing/2014/main" id="{481A64A0-5E2F-4AD2-9E49-B9F9117E67F0}"/>
            </a:ext>
          </a:extLst>
        </xdr:cNvPr>
        <xdr:cNvSpPr/>
      </xdr:nvSpPr>
      <xdr:spPr>
        <a:xfrm>
          <a:off x="1524001" y="7310760"/>
          <a:ext cx="2924433" cy="719477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１－１－３．</a:t>
          </a:r>
          <a:r>
            <a:rPr kumimoji="1" lang="en-US" altLang="ja-JP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CL</a:t>
          </a:r>
          <a:r>
            <a:rPr kumimoji="1" lang="ja-JP" altLang="en-US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コードの重複あり？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128718</xdr:colOff>
      <xdr:row>36</xdr:row>
      <xdr:rowOff>162587</xdr:rowOff>
    </xdr:from>
    <xdr:to>
      <xdr:col>15</xdr:col>
      <xdr:colOff>139924</xdr:colOff>
      <xdr:row>39</xdr:row>
      <xdr:rowOff>143476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9ADAEDE1-14B1-4BF0-864A-C859DC83BAA4}"/>
            </a:ext>
          </a:extLst>
        </xdr:cNvPr>
        <xdr:cNvCxnSpPr>
          <a:stCxn id="21" idx="2"/>
          <a:endCxn id="3" idx="0"/>
        </xdr:cNvCxnSpPr>
      </xdr:nvCxnSpPr>
      <xdr:spPr>
        <a:xfrm flipH="1">
          <a:off x="2986218" y="8030237"/>
          <a:ext cx="11206" cy="55238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152400</xdr:colOff>
      <xdr:row>37</xdr:row>
      <xdr:rowOff>85725</xdr:rowOff>
    </xdr:from>
    <xdr:to>
      <xdr:col>17</xdr:col>
      <xdr:colOff>98502</xdr:colOff>
      <xdr:row>38</xdr:row>
      <xdr:rowOff>156158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C130D7F-CEB0-4C2E-ABBD-6A47A2871FEB}"/>
            </a:ext>
          </a:extLst>
        </xdr:cNvPr>
        <xdr:cNvSpPr/>
      </xdr:nvSpPr>
      <xdr:spPr>
        <a:xfrm>
          <a:off x="3009900" y="8143875"/>
          <a:ext cx="327102" cy="2609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N</a:t>
          </a:r>
        </a:p>
      </xdr:txBody>
    </xdr:sp>
    <xdr:clientData/>
  </xdr:twoCellAnchor>
  <xdr:twoCellAnchor>
    <xdr:from>
      <xdr:col>24</xdr:col>
      <xdr:colOff>98867</xdr:colOff>
      <xdr:row>17</xdr:row>
      <xdr:rowOff>158803</xdr:rowOff>
    </xdr:from>
    <xdr:to>
      <xdr:col>26</xdr:col>
      <xdr:colOff>39207</xdr:colOff>
      <xdr:row>27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242286F-33F3-410F-AB52-9A230BE3E2DC}"/>
            </a:ext>
          </a:extLst>
        </xdr:cNvPr>
        <xdr:cNvSpPr/>
      </xdr:nvSpPr>
      <xdr:spPr>
        <a:xfrm>
          <a:off x="4670867" y="4406953"/>
          <a:ext cx="321340" cy="17461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Y</a:t>
          </a:r>
        </a:p>
      </xdr:txBody>
    </xdr:sp>
    <xdr:clientData/>
  </xdr:twoCellAnchor>
  <xdr:twoCellAnchor>
    <xdr:from>
      <xdr:col>15</xdr:col>
      <xdr:colOff>156883</xdr:colOff>
      <xdr:row>13</xdr:row>
      <xdr:rowOff>134471</xdr:rowOff>
    </xdr:from>
    <xdr:to>
      <xdr:col>23</xdr:col>
      <xdr:colOff>66934</xdr:colOff>
      <xdr:row>34</xdr:row>
      <xdr:rowOff>189451</xdr:rowOff>
    </xdr:to>
    <xdr:cxnSp macro="">
      <xdr:nvCxnSpPr>
        <xdr:cNvPr id="25" name="カギ線コネクタ 158">
          <a:extLst>
            <a:ext uri="{FF2B5EF4-FFF2-40B4-BE49-F238E27FC236}">
              <a16:creationId xmlns:a16="http://schemas.microsoft.com/office/drawing/2014/main" id="{0AB6394C-B7BD-4D25-9640-551D3A5164A5}"/>
            </a:ext>
          </a:extLst>
        </xdr:cNvPr>
        <xdr:cNvCxnSpPr>
          <a:stCxn id="21" idx="3"/>
        </xdr:cNvCxnSpPr>
      </xdr:nvCxnSpPr>
      <xdr:spPr>
        <a:xfrm flipH="1" flipV="1">
          <a:off x="3014383" y="3620621"/>
          <a:ext cx="1434051" cy="4055480"/>
        </a:xfrm>
        <a:prstGeom prst="bentConnector4">
          <a:avLst>
            <a:gd name="adj1" fmla="val -14169"/>
            <a:gd name="adj2" fmla="val 9983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152534</xdr:colOff>
      <xdr:row>19</xdr:row>
      <xdr:rowOff>86398</xdr:rowOff>
    </xdr:from>
    <xdr:to>
      <xdr:col>29</xdr:col>
      <xdr:colOff>104909</xdr:colOff>
      <xdr:row>21</xdr:row>
      <xdr:rowOff>3369</xdr:rowOff>
    </xdr:to>
    <xdr:sp macro="" textlink="">
      <xdr:nvSpPr>
        <xdr:cNvPr id="26" name="右カーブ矢印 174">
          <a:extLst>
            <a:ext uri="{FF2B5EF4-FFF2-40B4-BE49-F238E27FC236}">
              <a16:creationId xmlns:a16="http://schemas.microsoft.com/office/drawing/2014/main" id="{B18FD03A-F879-461E-84A2-523813B2D43E}"/>
            </a:ext>
          </a:extLst>
        </xdr:cNvPr>
        <xdr:cNvSpPr/>
      </xdr:nvSpPr>
      <xdr:spPr>
        <a:xfrm rot="5856382">
          <a:off x="5027986" y="4412096"/>
          <a:ext cx="297971" cy="904875"/>
        </a:xfrm>
        <a:prstGeom prst="curvedRightArrow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5</xdr:col>
      <xdr:colOff>209551</xdr:colOff>
      <xdr:row>19</xdr:row>
      <xdr:rowOff>63874</xdr:rowOff>
    </xdr:from>
    <xdr:to>
      <xdr:col>25</xdr:col>
      <xdr:colOff>91889</xdr:colOff>
      <xdr:row>23</xdr:row>
      <xdr:rowOff>67235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8FD54465-98DE-4B09-9337-947139C769DC}"/>
            </a:ext>
          </a:extLst>
        </xdr:cNvPr>
        <xdr:cNvSpPr/>
      </xdr:nvSpPr>
      <xdr:spPr>
        <a:xfrm>
          <a:off x="1143001" y="4693024"/>
          <a:ext cx="3711388" cy="765361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28576</xdr:colOff>
      <xdr:row>217</xdr:row>
      <xdr:rowOff>95851</xdr:rowOff>
    </xdr:from>
    <xdr:to>
      <xdr:col>23</xdr:col>
      <xdr:colOff>95509</xdr:colOff>
      <xdr:row>221</xdr:row>
      <xdr:rowOff>43802</xdr:rowOff>
    </xdr:to>
    <xdr:sp macro="" textlink="">
      <xdr:nvSpPr>
        <xdr:cNvPr id="29" name="フローチャート: 判断 28">
          <a:extLst>
            <a:ext uri="{FF2B5EF4-FFF2-40B4-BE49-F238E27FC236}">
              <a16:creationId xmlns:a16="http://schemas.microsoft.com/office/drawing/2014/main" id="{6414D440-F752-4CF0-9E83-5BE3E6A02823}"/>
            </a:ext>
          </a:extLst>
        </xdr:cNvPr>
        <xdr:cNvSpPr/>
      </xdr:nvSpPr>
      <xdr:spPr>
        <a:xfrm>
          <a:off x="1552576" y="62548101"/>
          <a:ext cx="2924433" cy="709951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kern="12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エラーが発生？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157293</xdr:colOff>
      <xdr:row>208</xdr:row>
      <xdr:rowOff>26220</xdr:rowOff>
    </xdr:from>
    <xdr:to>
      <xdr:col>15</xdr:col>
      <xdr:colOff>157293</xdr:colOff>
      <xdr:row>213</xdr:row>
      <xdr:rowOff>1407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F6FD3081-AD66-495F-897B-C56BCEFB8BD7}"/>
            </a:ext>
          </a:extLst>
        </xdr:cNvPr>
        <xdr:cNvCxnSpPr>
          <a:stCxn id="32" idx="2"/>
          <a:endCxn id="48" idx="0"/>
        </xdr:cNvCxnSpPr>
      </xdr:nvCxnSpPr>
      <xdr:spPr>
        <a:xfrm>
          <a:off x="3014793" y="60763970"/>
          <a:ext cx="0" cy="92768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166818</xdr:colOff>
      <xdr:row>221</xdr:row>
      <xdr:rowOff>43802</xdr:rowOff>
    </xdr:from>
    <xdr:to>
      <xdr:col>15</xdr:col>
      <xdr:colOff>166818</xdr:colOff>
      <xdr:row>225</xdr:row>
      <xdr:rowOff>142875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A76852D2-C739-4D0C-8EFF-64EEB4C08E9E}"/>
            </a:ext>
          </a:extLst>
        </xdr:cNvPr>
        <xdr:cNvCxnSpPr>
          <a:stCxn id="29" idx="2"/>
          <a:endCxn id="52" idx="0"/>
        </xdr:cNvCxnSpPr>
      </xdr:nvCxnSpPr>
      <xdr:spPr>
        <a:xfrm>
          <a:off x="3024318" y="63258052"/>
          <a:ext cx="0" cy="86107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19214</xdr:colOff>
      <xdr:row>206</xdr:row>
      <xdr:rowOff>115707</xdr:rowOff>
    </xdr:from>
    <xdr:to>
      <xdr:col>23</xdr:col>
      <xdr:colOff>85822</xdr:colOff>
      <xdr:row>208</xdr:row>
      <xdr:rowOff>26220</xdr:rowOff>
    </xdr:to>
    <xdr:sp macro="" textlink="">
      <xdr:nvSpPr>
        <xdr:cNvPr id="32" name="フローチャート: 処理 31">
          <a:extLst>
            <a:ext uri="{FF2B5EF4-FFF2-40B4-BE49-F238E27FC236}">
              <a16:creationId xmlns:a16="http://schemas.microsoft.com/office/drawing/2014/main" id="{5ED5F1F7-2596-4872-A766-D132DCCC72E3}"/>
            </a:ext>
          </a:extLst>
        </xdr:cNvPr>
        <xdr:cNvSpPr/>
      </xdr:nvSpPr>
      <xdr:spPr>
        <a:xfrm>
          <a:off x="1543214" y="60472457"/>
          <a:ext cx="2924108" cy="291513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CL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コードを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件取得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136967</xdr:colOff>
      <xdr:row>230</xdr:row>
      <xdr:rowOff>44503</xdr:rowOff>
    </xdr:from>
    <xdr:to>
      <xdr:col>15</xdr:col>
      <xdr:colOff>77307</xdr:colOff>
      <xdr:row>231</xdr:row>
      <xdr:rowOff>135636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A36B823C-1E6A-4473-9B14-483E1E4B4E92}"/>
            </a:ext>
          </a:extLst>
        </xdr:cNvPr>
        <xdr:cNvSpPr/>
      </xdr:nvSpPr>
      <xdr:spPr>
        <a:xfrm>
          <a:off x="2613467" y="64973253"/>
          <a:ext cx="321340" cy="2816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Y</a:t>
          </a:r>
        </a:p>
      </xdr:txBody>
    </xdr:sp>
    <xdr:clientData/>
  </xdr:twoCellAnchor>
  <xdr:twoCellAnchor>
    <xdr:from>
      <xdr:col>8</xdr:col>
      <xdr:colOff>164</xdr:colOff>
      <xdr:row>198</xdr:row>
      <xdr:rowOff>74245</xdr:rowOff>
    </xdr:from>
    <xdr:to>
      <xdr:col>23</xdr:col>
      <xdr:colOff>66772</xdr:colOff>
      <xdr:row>199</xdr:row>
      <xdr:rowOff>173017</xdr:rowOff>
    </xdr:to>
    <xdr:sp macro="" textlink="">
      <xdr:nvSpPr>
        <xdr:cNvPr id="34" name="フローチャート: 処理 33">
          <a:extLst>
            <a:ext uri="{FF2B5EF4-FFF2-40B4-BE49-F238E27FC236}">
              <a16:creationId xmlns:a16="http://schemas.microsoft.com/office/drawing/2014/main" id="{AD1980CD-2598-4CA9-830C-50B85B14FAE6}"/>
            </a:ext>
          </a:extLst>
        </xdr:cNvPr>
        <xdr:cNvSpPr/>
      </xdr:nvSpPr>
      <xdr:spPr>
        <a:xfrm>
          <a:off x="1524164" y="58906995"/>
          <a:ext cx="2924108" cy="289272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画面で選択した製品リストを取得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138243</xdr:colOff>
      <xdr:row>199</xdr:row>
      <xdr:rowOff>173017</xdr:rowOff>
    </xdr:from>
    <xdr:to>
      <xdr:col>15</xdr:col>
      <xdr:colOff>142875</xdr:colOff>
      <xdr:row>201</xdr:row>
      <xdr:rowOff>104774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DC49B91D-2DB0-472C-8EA8-449BA838466D}"/>
            </a:ext>
          </a:extLst>
        </xdr:cNvPr>
        <xdr:cNvCxnSpPr>
          <a:stCxn id="34" idx="2"/>
          <a:endCxn id="42" idx="0"/>
        </xdr:cNvCxnSpPr>
      </xdr:nvCxnSpPr>
      <xdr:spPr>
        <a:xfrm>
          <a:off x="2995743" y="59196267"/>
          <a:ext cx="4632" cy="31275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204</xdr:row>
      <xdr:rowOff>123826</xdr:rowOff>
    </xdr:from>
    <xdr:to>
      <xdr:col>15</xdr:col>
      <xdr:colOff>200024</xdr:colOff>
      <xdr:row>227</xdr:row>
      <xdr:rowOff>112390</xdr:rowOff>
    </xdr:to>
    <xdr:cxnSp macro="">
      <xdr:nvCxnSpPr>
        <xdr:cNvPr id="36" name="カギ線コネクタ 308">
          <a:extLst>
            <a:ext uri="{FF2B5EF4-FFF2-40B4-BE49-F238E27FC236}">
              <a16:creationId xmlns:a16="http://schemas.microsoft.com/office/drawing/2014/main" id="{63C30649-7151-4349-A9E1-7B32F7FEF35A}"/>
            </a:ext>
          </a:extLst>
        </xdr:cNvPr>
        <xdr:cNvCxnSpPr>
          <a:stCxn id="52" idx="1"/>
        </xdr:cNvCxnSpPr>
      </xdr:nvCxnSpPr>
      <xdr:spPr>
        <a:xfrm rot="10800000" flipH="1">
          <a:off x="1552575" y="60099576"/>
          <a:ext cx="1498599" cy="4370064"/>
        </a:xfrm>
        <a:prstGeom prst="bentConnector4">
          <a:avLst>
            <a:gd name="adj1" fmla="val -13953"/>
            <a:gd name="adj2" fmla="val 9989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54560</xdr:colOff>
      <xdr:row>196</xdr:row>
      <xdr:rowOff>0</xdr:rowOff>
    </xdr:from>
    <xdr:to>
      <xdr:col>16</xdr:col>
      <xdr:colOff>13037</xdr:colOff>
      <xdr:row>196</xdr:row>
      <xdr:rowOff>176687</xdr:rowOff>
    </xdr:to>
    <xdr:sp macro="" textlink="">
      <xdr:nvSpPr>
        <xdr:cNvPr id="37" name="Oval 13">
          <a:extLst>
            <a:ext uri="{FF2B5EF4-FFF2-40B4-BE49-F238E27FC236}">
              <a16:creationId xmlns:a16="http://schemas.microsoft.com/office/drawing/2014/main" id="{F298E82C-60BA-4528-B06D-F0098E89DFA9}"/>
            </a:ext>
          </a:extLst>
        </xdr:cNvPr>
        <xdr:cNvSpPr>
          <a:spLocks noChangeArrowheads="1"/>
        </xdr:cNvSpPr>
      </xdr:nvSpPr>
      <xdr:spPr bwMode="auto">
        <a:xfrm>
          <a:off x="2912060" y="58451750"/>
          <a:ext cx="148977" cy="176687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138243</xdr:colOff>
      <xdr:row>196</xdr:row>
      <xdr:rowOff>176687</xdr:rowOff>
    </xdr:from>
    <xdr:to>
      <xdr:col>15</xdr:col>
      <xdr:colOff>138574</xdr:colOff>
      <xdr:row>198</xdr:row>
      <xdr:rowOff>74245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3E204D44-2B6B-4CE0-8515-51B258F70B34}"/>
            </a:ext>
          </a:extLst>
        </xdr:cNvPr>
        <xdr:cNvCxnSpPr>
          <a:stCxn id="37" idx="4"/>
          <a:endCxn id="34" idx="0"/>
        </xdr:cNvCxnSpPr>
      </xdr:nvCxnSpPr>
      <xdr:spPr>
        <a:xfrm flipH="1">
          <a:off x="2995743" y="58628437"/>
          <a:ext cx="331" cy="27855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73610</xdr:colOff>
      <xdr:row>242</xdr:row>
      <xdr:rowOff>38100</xdr:rowOff>
    </xdr:from>
    <xdr:to>
      <xdr:col>16</xdr:col>
      <xdr:colOff>105016</xdr:colOff>
      <xdr:row>243</xdr:row>
      <xdr:rowOff>98212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E46CF810-9CDE-477C-88EC-8036FD3DAC09}"/>
            </a:ext>
          </a:extLst>
        </xdr:cNvPr>
        <xdr:cNvGrpSpPr/>
      </xdr:nvGrpSpPr>
      <xdr:grpSpPr>
        <a:xfrm>
          <a:off x="2931110" y="45959806"/>
          <a:ext cx="218731" cy="250612"/>
          <a:chOff x="5591732" y="12046324"/>
          <a:chExt cx="246533" cy="257735"/>
        </a:xfrm>
      </xdr:grpSpPr>
      <xdr:sp macro="" textlink="">
        <xdr:nvSpPr>
          <xdr:cNvPr id="40" name="フローチャート : 結合子 184">
            <a:extLst>
              <a:ext uri="{FF2B5EF4-FFF2-40B4-BE49-F238E27FC236}">
                <a16:creationId xmlns:a16="http://schemas.microsoft.com/office/drawing/2014/main" id="{F4FC9A4F-7615-E489-0289-FED1421DE318}"/>
              </a:ext>
            </a:extLst>
          </xdr:cNvPr>
          <xdr:cNvSpPr/>
        </xdr:nvSpPr>
        <xdr:spPr bwMode="auto">
          <a:xfrm>
            <a:off x="5591732" y="12046324"/>
            <a:ext cx="246533" cy="25773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1" name="フローチャート : 結合子 183">
            <a:extLst>
              <a:ext uri="{FF2B5EF4-FFF2-40B4-BE49-F238E27FC236}">
                <a16:creationId xmlns:a16="http://schemas.microsoft.com/office/drawing/2014/main" id="{E62BD7FD-4444-5429-6967-A1A0ABD1D373}"/>
              </a:ext>
            </a:extLst>
          </xdr:cNvPr>
          <xdr:cNvSpPr/>
        </xdr:nvSpPr>
        <xdr:spPr bwMode="auto">
          <a:xfrm>
            <a:off x="5681383" y="12147177"/>
            <a:ext cx="77480" cy="6768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11</xdr:col>
      <xdr:colOff>142875</xdr:colOff>
      <xdr:row>201</xdr:row>
      <xdr:rowOff>104774</xdr:rowOff>
    </xdr:from>
    <xdr:to>
      <xdr:col>19</xdr:col>
      <xdr:colOff>142875</xdr:colOff>
      <xdr:row>203</xdr:row>
      <xdr:rowOff>104775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52C17247-02E6-4EEE-BC3D-BD28EFA04CF8}"/>
            </a:ext>
          </a:extLst>
        </xdr:cNvPr>
        <xdr:cNvSpPr/>
      </xdr:nvSpPr>
      <xdr:spPr>
        <a:xfrm>
          <a:off x="2238375" y="59509024"/>
          <a:ext cx="1524000" cy="381001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リストをループ開始</a:t>
          </a:r>
        </a:p>
      </xdr:txBody>
    </xdr:sp>
    <xdr:clientData/>
  </xdr:twoCellAnchor>
  <xdr:twoCellAnchor>
    <xdr:from>
      <xdr:col>15</xdr:col>
      <xdr:colOff>142875</xdr:colOff>
      <xdr:row>203</xdr:row>
      <xdr:rowOff>104775</xdr:rowOff>
    </xdr:from>
    <xdr:to>
      <xdr:col>15</xdr:col>
      <xdr:colOff>157293</xdr:colOff>
      <xdr:row>206</xdr:row>
      <xdr:rowOff>115707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C839F82A-31E5-4F4E-BBB7-62D001E69872}"/>
            </a:ext>
          </a:extLst>
        </xdr:cNvPr>
        <xdr:cNvCxnSpPr>
          <a:stCxn id="42" idx="4"/>
          <a:endCxn id="32" idx="0"/>
        </xdr:cNvCxnSpPr>
      </xdr:nvCxnSpPr>
      <xdr:spPr>
        <a:xfrm>
          <a:off x="3000375" y="59890025"/>
          <a:ext cx="14418" cy="5824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157293</xdr:colOff>
      <xdr:row>214</xdr:row>
      <xdr:rowOff>111945</xdr:rowOff>
    </xdr:from>
    <xdr:to>
      <xdr:col>15</xdr:col>
      <xdr:colOff>166818</xdr:colOff>
      <xdr:row>217</xdr:row>
      <xdr:rowOff>95851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B4DD4246-0B97-4F16-8129-8940605778CE}"/>
            </a:ext>
          </a:extLst>
        </xdr:cNvPr>
        <xdr:cNvCxnSpPr>
          <a:stCxn id="48" idx="2"/>
          <a:endCxn id="29" idx="0"/>
        </xdr:cNvCxnSpPr>
      </xdr:nvCxnSpPr>
      <xdr:spPr>
        <a:xfrm>
          <a:off x="3014793" y="61992695"/>
          <a:ext cx="9525" cy="55540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95509</xdr:colOff>
      <xdr:row>219</xdr:row>
      <xdr:rowOff>69827</xdr:rowOff>
    </xdr:from>
    <xdr:to>
      <xdr:col>28</xdr:col>
      <xdr:colOff>129001</xdr:colOff>
      <xdr:row>242</xdr:row>
      <xdr:rowOff>0</xdr:rowOff>
    </xdr:to>
    <xdr:cxnSp macro="">
      <xdr:nvCxnSpPr>
        <xdr:cNvPr id="45" name="カギ線コネクタ 321">
          <a:extLst>
            <a:ext uri="{FF2B5EF4-FFF2-40B4-BE49-F238E27FC236}">
              <a16:creationId xmlns:a16="http://schemas.microsoft.com/office/drawing/2014/main" id="{22CBF982-F011-4B57-80FC-6B06072817B2}"/>
            </a:ext>
          </a:extLst>
        </xdr:cNvPr>
        <xdr:cNvCxnSpPr>
          <a:stCxn id="29" idx="3"/>
          <a:endCxn id="56" idx="0"/>
        </xdr:cNvCxnSpPr>
      </xdr:nvCxnSpPr>
      <xdr:spPr>
        <a:xfrm>
          <a:off x="4477009" y="62903077"/>
          <a:ext cx="985992" cy="431167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210</xdr:row>
      <xdr:rowOff>133350</xdr:rowOff>
    </xdr:from>
    <xdr:to>
      <xdr:col>25</xdr:col>
      <xdr:colOff>95250</xdr:colOff>
      <xdr:row>222</xdr:row>
      <xdr:rowOff>57150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21C49708-D2F9-4703-BE52-19051FD2EFE8}"/>
            </a:ext>
          </a:extLst>
        </xdr:cNvPr>
        <xdr:cNvSpPr/>
      </xdr:nvSpPr>
      <xdr:spPr>
        <a:xfrm>
          <a:off x="885825" y="61252100"/>
          <a:ext cx="3971925" cy="2209800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19214</xdr:colOff>
      <xdr:row>213</xdr:row>
      <xdr:rowOff>1407</xdr:rowOff>
    </xdr:from>
    <xdr:to>
      <xdr:col>23</xdr:col>
      <xdr:colOff>85822</xdr:colOff>
      <xdr:row>214</xdr:row>
      <xdr:rowOff>111945</xdr:rowOff>
    </xdr:to>
    <xdr:sp macro="" textlink="">
      <xdr:nvSpPr>
        <xdr:cNvPr id="48" name="フローチャート: 処理 47">
          <a:extLst>
            <a:ext uri="{FF2B5EF4-FFF2-40B4-BE49-F238E27FC236}">
              <a16:creationId xmlns:a16="http://schemas.microsoft.com/office/drawing/2014/main" id="{FC97E1B2-908D-4671-9BEA-07030FEC4FCC}"/>
            </a:ext>
          </a:extLst>
        </xdr:cNvPr>
        <xdr:cNvSpPr/>
      </xdr:nvSpPr>
      <xdr:spPr>
        <a:xfrm>
          <a:off x="1543214" y="61691657"/>
          <a:ext cx="2924108" cy="301038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fontAlgn="auto" latinLnBrk="0" hangingPunct="1"/>
          <a:r>
            <a:rPr kumimoji="1" lang="en-US" altLang="ja-JP" sz="1000" kern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3</a:t>
          </a:r>
          <a:r>
            <a:rPr kumimoji="1" lang="ja-JP" altLang="en-US" sz="1000" kern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－３</a:t>
          </a:r>
          <a:r>
            <a:rPr kumimoji="1" lang="ja-JP" altLang="ja-JP" sz="1000" kern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－１．申請データを</a:t>
          </a:r>
          <a:r>
            <a:rPr kumimoji="1" lang="en-US" altLang="ja-JP" sz="1000" kern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insert</a:t>
          </a:r>
          <a:r>
            <a:rPr kumimoji="1" lang="ja-JP" altLang="ja-JP" sz="1000" kern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する</a:t>
          </a:r>
          <a:r>
            <a:rPr kumimoji="1" lang="ja-JP" altLang="en-US" sz="1000" kern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処理</a:t>
          </a:r>
          <a:endParaRPr kumimoji="1" lang="ja-JP" altLang="ja-JP" sz="1000" kern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155705</xdr:colOff>
      <xdr:row>229</xdr:row>
      <xdr:rowOff>85077</xdr:rowOff>
    </xdr:from>
    <xdr:to>
      <xdr:col>16</xdr:col>
      <xdr:colOff>16062</xdr:colOff>
      <xdr:row>232</xdr:row>
      <xdr:rowOff>50799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2446178-A3A4-413E-9A76-E65AB0F5B807}"/>
            </a:ext>
          </a:extLst>
        </xdr:cNvPr>
        <xdr:cNvCxnSpPr>
          <a:stCxn id="52" idx="2"/>
          <a:endCxn id="50" idx="0"/>
        </xdr:cNvCxnSpPr>
      </xdr:nvCxnSpPr>
      <xdr:spPr>
        <a:xfrm>
          <a:off x="3013205" y="43956106"/>
          <a:ext cx="50857" cy="53722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177800</xdr:colOff>
      <xdr:row>232</xdr:row>
      <xdr:rowOff>50799</xdr:rowOff>
    </xdr:from>
    <xdr:to>
      <xdr:col>20</xdr:col>
      <xdr:colOff>44824</xdr:colOff>
      <xdr:row>234</xdr:row>
      <xdr:rowOff>44450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BC6DC513-08D0-41E1-A7AA-D1B135222AEF}"/>
            </a:ext>
          </a:extLst>
        </xdr:cNvPr>
        <xdr:cNvSpPr/>
      </xdr:nvSpPr>
      <xdr:spPr>
        <a:xfrm>
          <a:off x="2273300" y="44493328"/>
          <a:ext cx="1581524" cy="374651"/>
        </a:xfrm>
        <a:prstGeom prst="ellips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リストをループ終了</a:t>
          </a:r>
        </a:p>
      </xdr:txBody>
    </xdr:sp>
    <xdr:clientData/>
  </xdr:twoCellAnchor>
  <xdr:twoCellAnchor>
    <xdr:from>
      <xdr:col>15</xdr:col>
      <xdr:colOff>180976</xdr:colOff>
      <xdr:row>234</xdr:row>
      <xdr:rowOff>44450</xdr:rowOff>
    </xdr:from>
    <xdr:to>
      <xdr:col>16</xdr:col>
      <xdr:colOff>16062</xdr:colOff>
      <xdr:row>236</xdr:row>
      <xdr:rowOff>134471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FA622868-ED26-4C14-9597-1FBEEB856814}"/>
            </a:ext>
          </a:extLst>
        </xdr:cNvPr>
        <xdr:cNvCxnSpPr>
          <a:stCxn id="50" idx="4"/>
          <a:endCxn id="60" idx="0"/>
        </xdr:cNvCxnSpPr>
      </xdr:nvCxnSpPr>
      <xdr:spPr>
        <a:xfrm flipH="1">
          <a:off x="3038476" y="44867979"/>
          <a:ext cx="25586" cy="4710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28576</xdr:colOff>
      <xdr:row>225</xdr:row>
      <xdr:rowOff>142875</xdr:rowOff>
    </xdr:from>
    <xdr:to>
      <xdr:col>23</xdr:col>
      <xdr:colOff>95509</xdr:colOff>
      <xdr:row>229</xdr:row>
      <xdr:rowOff>81902</xdr:rowOff>
    </xdr:to>
    <xdr:sp macro="" textlink="">
      <xdr:nvSpPr>
        <xdr:cNvPr id="52" name="フローチャート: 判断 51">
          <a:extLst>
            <a:ext uri="{FF2B5EF4-FFF2-40B4-BE49-F238E27FC236}">
              <a16:creationId xmlns:a16="http://schemas.microsoft.com/office/drawing/2014/main" id="{38D5B6CC-A57B-4311-B2D5-93BB8BAC99FD}"/>
            </a:ext>
          </a:extLst>
        </xdr:cNvPr>
        <xdr:cNvSpPr/>
      </xdr:nvSpPr>
      <xdr:spPr>
        <a:xfrm>
          <a:off x="1552576" y="64119125"/>
          <a:ext cx="2924433" cy="701027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リストの最後？</a:t>
          </a:r>
        </a:p>
      </xdr:txBody>
    </xdr:sp>
    <xdr:clientData/>
  </xdr:twoCellAnchor>
  <xdr:twoCellAnchor>
    <xdr:from>
      <xdr:col>26</xdr:col>
      <xdr:colOff>70292</xdr:colOff>
      <xdr:row>217</xdr:row>
      <xdr:rowOff>177853</xdr:rowOff>
    </xdr:from>
    <xdr:to>
      <xdr:col>28</xdr:col>
      <xdr:colOff>10632</xdr:colOff>
      <xdr:row>219</xdr:row>
      <xdr:rowOff>68961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46CCDF63-A365-4145-8D2A-34653CDA1DF9}"/>
            </a:ext>
          </a:extLst>
        </xdr:cNvPr>
        <xdr:cNvSpPr/>
      </xdr:nvSpPr>
      <xdr:spPr>
        <a:xfrm>
          <a:off x="5023292" y="62630103"/>
          <a:ext cx="321340" cy="272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Y</a:t>
          </a:r>
        </a:p>
      </xdr:txBody>
    </xdr:sp>
    <xdr:clientData/>
  </xdr:twoCellAnchor>
  <xdr:twoCellAnchor>
    <xdr:from>
      <xdr:col>5</xdr:col>
      <xdr:colOff>104775</xdr:colOff>
      <xdr:row>215</xdr:row>
      <xdr:rowOff>85725</xdr:rowOff>
    </xdr:from>
    <xdr:to>
      <xdr:col>7</xdr:col>
      <xdr:colOff>50877</xdr:colOff>
      <xdr:row>216</xdr:row>
      <xdr:rowOff>156158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331F03F9-FFFF-4A44-8558-85A40E818F54}"/>
            </a:ext>
          </a:extLst>
        </xdr:cNvPr>
        <xdr:cNvSpPr/>
      </xdr:nvSpPr>
      <xdr:spPr>
        <a:xfrm>
          <a:off x="1057275" y="62156975"/>
          <a:ext cx="327102" cy="2609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N</a:t>
          </a:r>
        </a:p>
      </xdr:txBody>
    </xdr:sp>
    <xdr:clientData/>
  </xdr:twoCellAnchor>
  <xdr:twoCellAnchor>
    <xdr:from>
      <xdr:col>28</xdr:col>
      <xdr:colOff>10110</xdr:colOff>
      <xdr:row>242</xdr:row>
      <xdr:rowOff>0</xdr:rowOff>
    </xdr:from>
    <xdr:to>
      <xdr:col>29</xdr:col>
      <xdr:colOff>44691</xdr:colOff>
      <xdr:row>243</xdr:row>
      <xdr:rowOff>60112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B01E1100-63BD-4E18-9491-B3A8CC04A205}"/>
            </a:ext>
          </a:extLst>
        </xdr:cNvPr>
        <xdr:cNvGrpSpPr/>
      </xdr:nvGrpSpPr>
      <xdr:grpSpPr>
        <a:xfrm>
          <a:off x="5340935" y="45921706"/>
          <a:ext cx="231431" cy="250612"/>
          <a:chOff x="5591732" y="12046324"/>
          <a:chExt cx="246533" cy="257735"/>
        </a:xfrm>
      </xdr:grpSpPr>
      <xdr:sp macro="" textlink="">
        <xdr:nvSpPr>
          <xdr:cNvPr id="56" name="フローチャート : 結合子 184">
            <a:extLst>
              <a:ext uri="{FF2B5EF4-FFF2-40B4-BE49-F238E27FC236}">
                <a16:creationId xmlns:a16="http://schemas.microsoft.com/office/drawing/2014/main" id="{FAEBE989-0D9D-88BE-919B-6E781CADC9CB}"/>
              </a:ext>
            </a:extLst>
          </xdr:cNvPr>
          <xdr:cNvSpPr/>
        </xdr:nvSpPr>
        <xdr:spPr bwMode="auto">
          <a:xfrm>
            <a:off x="5591732" y="12046324"/>
            <a:ext cx="246533" cy="25773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7" name="フローチャート : 結合子 183">
            <a:extLst>
              <a:ext uri="{FF2B5EF4-FFF2-40B4-BE49-F238E27FC236}">
                <a16:creationId xmlns:a16="http://schemas.microsoft.com/office/drawing/2014/main" id="{E5DF142B-ACBA-DBB3-0136-92F9CD4126E7}"/>
              </a:ext>
            </a:extLst>
          </xdr:cNvPr>
          <xdr:cNvSpPr/>
        </xdr:nvSpPr>
        <xdr:spPr bwMode="auto">
          <a:xfrm>
            <a:off x="5681383" y="12147177"/>
            <a:ext cx="77480" cy="6768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30</xdr:col>
      <xdr:colOff>66676</xdr:colOff>
      <xdr:row>240</xdr:row>
      <xdr:rowOff>9525</xdr:rowOff>
    </xdr:from>
    <xdr:to>
      <xdr:col>37</xdr:col>
      <xdr:colOff>161926</xdr:colOff>
      <xdr:row>243</xdr:row>
      <xdr:rowOff>57150</xdr:rowOff>
    </xdr:to>
    <xdr:sp macro="" textlink="">
      <xdr:nvSpPr>
        <xdr:cNvPr id="58" name="四角形吹き出し 381">
          <a:extLst>
            <a:ext uri="{FF2B5EF4-FFF2-40B4-BE49-F238E27FC236}">
              <a16:creationId xmlns:a16="http://schemas.microsoft.com/office/drawing/2014/main" id="{C0BC48FF-2EDE-45DD-A71B-48D03293AF98}"/>
            </a:ext>
          </a:extLst>
        </xdr:cNvPr>
        <xdr:cNvSpPr/>
      </xdr:nvSpPr>
      <xdr:spPr>
        <a:xfrm>
          <a:off x="5781676" y="66843275"/>
          <a:ext cx="1428750" cy="619125"/>
        </a:xfrm>
        <a:prstGeom prst="wedgeRectCallout">
          <a:avLst>
            <a:gd name="adj1" fmla="val -71411"/>
            <a:gd name="adj2" fmla="val 20576"/>
          </a:avLst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本画面の戻って、対応するエラーメッセージを出力</a:t>
          </a:r>
        </a:p>
      </xdr:txBody>
    </xdr:sp>
    <xdr:clientData/>
  </xdr:twoCellAnchor>
  <xdr:twoCellAnchor>
    <xdr:from>
      <xdr:col>5</xdr:col>
      <xdr:colOff>66839</xdr:colOff>
      <xdr:row>237</xdr:row>
      <xdr:rowOff>0</xdr:rowOff>
    </xdr:from>
    <xdr:to>
      <xdr:col>10</xdr:col>
      <xdr:colOff>95250</xdr:colOff>
      <xdr:row>239</xdr:row>
      <xdr:rowOff>131928</xdr:rowOff>
    </xdr:to>
    <xdr:sp macro="" textlink="">
      <xdr:nvSpPr>
        <xdr:cNvPr id="59" name="フローチャート: 処理 58">
          <a:extLst>
            <a:ext uri="{FF2B5EF4-FFF2-40B4-BE49-F238E27FC236}">
              <a16:creationId xmlns:a16="http://schemas.microsoft.com/office/drawing/2014/main" id="{4A895B4F-6BDF-411E-9CD6-8EF1016F3D7F}"/>
            </a:ext>
          </a:extLst>
        </xdr:cNvPr>
        <xdr:cNvSpPr/>
      </xdr:nvSpPr>
      <xdr:spPr>
        <a:xfrm>
          <a:off x="1019339" y="66262250"/>
          <a:ext cx="980911" cy="512928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fontAlgn="auto" latinLnBrk="0" hangingPunct="1"/>
          <a:r>
            <a:rPr kumimoji="1" lang="ja-JP" altLang="en-US" sz="10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申請完了画面に遷移</a:t>
          </a:r>
          <a:endParaRPr kumimoji="1" lang="ja-JP" altLang="ja-JP" sz="1000" kern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19051</xdr:colOff>
      <xdr:row>236</xdr:row>
      <xdr:rowOff>134471</xdr:rowOff>
    </xdr:from>
    <xdr:to>
      <xdr:col>18</xdr:col>
      <xdr:colOff>152401</xdr:colOff>
      <xdr:row>239</xdr:row>
      <xdr:rowOff>122056</xdr:rowOff>
    </xdr:to>
    <xdr:sp macro="" textlink="">
      <xdr:nvSpPr>
        <xdr:cNvPr id="60" name="フローチャート: 処理 59">
          <a:extLst>
            <a:ext uri="{FF2B5EF4-FFF2-40B4-BE49-F238E27FC236}">
              <a16:creationId xmlns:a16="http://schemas.microsoft.com/office/drawing/2014/main" id="{D2AE8659-50B6-439E-92DA-91AAA1431793}"/>
            </a:ext>
          </a:extLst>
        </xdr:cNvPr>
        <xdr:cNvSpPr/>
      </xdr:nvSpPr>
      <xdr:spPr>
        <a:xfrm>
          <a:off x="2495551" y="45339000"/>
          <a:ext cx="1085850" cy="559085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fontAlgn="auto" latinLnBrk="0" hangingPunct="1"/>
          <a:r>
            <a:rPr kumimoji="1" lang="en-US" altLang="ja-JP" sz="10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3</a:t>
          </a:r>
          <a:r>
            <a:rPr kumimoji="1" lang="ja-JP" altLang="en-US" sz="10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－３－２．申請</a:t>
          </a:r>
          <a:r>
            <a:rPr kumimoji="1" lang="en-US" altLang="ja-JP" sz="10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CSV</a:t>
          </a:r>
          <a:r>
            <a:rPr kumimoji="1" lang="ja-JP" altLang="en-US" sz="10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ファイル出力</a:t>
          </a:r>
          <a:endParaRPr kumimoji="1" lang="ja-JP" altLang="ja-JP" sz="1000" kern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20</xdr:col>
      <xdr:colOff>164</xdr:colOff>
      <xdr:row>236</xdr:row>
      <xdr:rowOff>112059</xdr:rowOff>
    </xdr:from>
    <xdr:to>
      <xdr:col>26</xdr:col>
      <xdr:colOff>123825</xdr:colOff>
      <xdr:row>239</xdr:row>
      <xdr:rowOff>114300</xdr:rowOff>
    </xdr:to>
    <xdr:sp macro="" textlink="">
      <xdr:nvSpPr>
        <xdr:cNvPr id="61" name="フローチャート: 処理 60">
          <a:extLst>
            <a:ext uri="{FF2B5EF4-FFF2-40B4-BE49-F238E27FC236}">
              <a16:creationId xmlns:a16="http://schemas.microsoft.com/office/drawing/2014/main" id="{D545FE3D-9F8A-4276-B1DD-F76AB8F134CF}"/>
            </a:ext>
          </a:extLst>
        </xdr:cNvPr>
        <xdr:cNvSpPr/>
      </xdr:nvSpPr>
      <xdr:spPr>
        <a:xfrm>
          <a:off x="3810164" y="45316588"/>
          <a:ext cx="1266661" cy="573741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fontAlgn="auto" latinLnBrk="0" hangingPunct="1"/>
          <a:r>
            <a:rPr kumimoji="1" lang="en-US" altLang="ja-JP" sz="10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3</a:t>
          </a:r>
          <a:r>
            <a:rPr kumimoji="1" lang="ja-JP" altLang="en-US" sz="1000" kern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－３－３．環境証明書申請完了お知らせメール送信</a:t>
          </a:r>
          <a:endParaRPr kumimoji="1" lang="ja-JP" altLang="ja-JP" sz="1000" kern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174707</xdr:colOff>
      <xdr:row>234</xdr:row>
      <xdr:rowOff>44451</xdr:rowOff>
    </xdr:from>
    <xdr:to>
      <xdr:col>16</xdr:col>
      <xdr:colOff>16062</xdr:colOff>
      <xdr:row>237</xdr:row>
      <xdr:rowOff>1</xdr:rowOff>
    </xdr:to>
    <xdr:cxnSp macro="">
      <xdr:nvCxnSpPr>
        <xdr:cNvPr id="62" name="カギ線コネクタ 387">
          <a:extLst>
            <a:ext uri="{FF2B5EF4-FFF2-40B4-BE49-F238E27FC236}">
              <a16:creationId xmlns:a16="http://schemas.microsoft.com/office/drawing/2014/main" id="{A89A4520-17BF-461B-B643-9E24AABBCC4B}"/>
            </a:ext>
          </a:extLst>
        </xdr:cNvPr>
        <xdr:cNvCxnSpPr>
          <a:stCxn id="50" idx="4"/>
          <a:endCxn id="59" idx="0"/>
        </xdr:cNvCxnSpPr>
      </xdr:nvCxnSpPr>
      <xdr:spPr>
        <a:xfrm rot="5400000">
          <a:off x="2022610" y="44353577"/>
          <a:ext cx="527050" cy="155585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16062</xdr:colOff>
      <xdr:row>234</xdr:row>
      <xdr:rowOff>44449</xdr:rowOff>
    </xdr:from>
    <xdr:to>
      <xdr:col>23</xdr:col>
      <xdr:colOff>60407</xdr:colOff>
      <xdr:row>236</xdr:row>
      <xdr:rowOff>112058</xdr:rowOff>
    </xdr:to>
    <xdr:cxnSp macro="">
      <xdr:nvCxnSpPr>
        <xdr:cNvPr id="63" name="カギ線コネクタ 390">
          <a:extLst>
            <a:ext uri="{FF2B5EF4-FFF2-40B4-BE49-F238E27FC236}">
              <a16:creationId xmlns:a16="http://schemas.microsoft.com/office/drawing/2014/main" id="{4FE96861-3313-40AA-9FAD-5560A6651D3D}"/>
            </a:ext>
          </a:extLst>
        </xdr:cNvPr>
        <xdr:cNvCxnSpPr>
          <a:stCxn id="50" idx="4"/>
          <a:endCxn id="61" idx="0"/>
        </xdr:cNvCxnSpPr>
      </xdr:nvCxnSpPr>
      <xdr:spPr>
        <a:xfrm rot="16200000" flipH="1">
          <a:off x="3528680" y="44403360"/>
          <a:ext cx="448609" cy="137784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180976</xdr:colOff>
      <xdr:row>239</xdr:row>
      <xdr:rowOff>122056</xdr:rowOff>
    </xdr:from>
    <xdr:to>
      <xdr:col>15</xdr:col>
      <xdr:colOff>182976</xdr:colOff>
      <xdr:row>242</xdr:row>
      <xdr:rowOff>38100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93063D4F-86EC-4CCA-9791-3E99DA8F59D4}"/>
            </a:ext>
          </a:extLst>
        </xdr:cNvPr>
        <xdr:cNvCxnSpPr>
          <a:stCxn id="60" idx="2"/>
          <a:endCxn id="40" idx="0"/>
        </xdr:cNvCxnSpPr>
      </xdr:nvCxnSpPr>
      <xdr:spPr>
        <a:xfrm>
          <a:off x="3038476" y="45898085"/>
          <a:ext cx="2000" cy="48754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185821</xdr:colOff>
      <xdr:row>239</xdr:row>
      <xdr:rowOff>131927</xdr:rowOff>
    </xdr:from>
    <xdr:to>
      <xdr:col>15</xdr:col>
      <xdr:colOff>195677</xdr:colOff>
      <xdr:row>242</xdr:row>
      <xdr:rowOff>38099</xdr:rowOff>
    </xdr:to>
    <xdr:cxnSp macro="">
      <xdr:nvCxnSpPr>
        <xdr:cNvPr id="65" name="カギ線コネクタ 415">
          <a:extLst>
            <a:ext uri="{FF2B5EF4-FFF2-40B4-BE49-F238E27FC236}">
              <a16:creationId xmlns:a16="http://schemas.microsoft.com/office/drawing/2014/main" id="{FD33F547-33E0-46DC-8A03-02D57AB031C5}"/>
            </a:ext>
          </a:extLst>
        </xdr:cNvPr>
        <xdr:cNvCxnSpPr>
          <a:stCxn id="59" idx="2"/>
          <a:endCxn id="40" idx="0"/>
        </xdr:cNvCxnSpPr>
      </xdr:nvCxnSpPr>
      <xdr:spPr>
        <a:xfrm rot="16200000" flipH="1">
          <a:off x="2044238" y="66250260"/>
          <a:ext cx="477672" cy="152750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182976</xdr:colOff>
      <xdr:row>239</xdr:row>
      <xdr:rowOff>114301</xdr:rowOff>
    </xdr:from>
    <xdr:to>
      <xdr:col>23</xdr:col>
      <xdr:colOff>61995</xdr:colOff>
      <xdr:row>242</xdr:row>
      <xdr:rowOff>38101</xdr:rowOff>
    </xdr:to>
    <xdr:cxnSp macro="">
      <xdr:nvCxnSpPr>
        <xdr:cNvPr id="66" name="カギ線コネクタ 421">
          <a:extLst>
            <a:ext uri="{FF2B5EF4-FFF2-40B4-BE49-F238E27FC236}">
              <a16:creationId xmlns:a16="http://schemas.microsoft.com/office/drawing/2014/main" id="{E8A1EBC9-E925-4920-B9A2-1BDFAAC20EEE}"/>
            </a:ext>
          </a:extLst>
        </xdr:cNvPr>
        <xdr:cNvCxnSpPr>
          <a:stCxn id="61" idx="2"/>
          <a:endCxn id="40" idx="0"/>
        </xdr:cNvCxnSpPr>
      </xdr:nvCxnSpPr>
      <xdr:spPr>
        <a:xfrm rot="5400000">
          <a:off x="3494336" y="45436470"/>
          <a:ext cx="495300" cy="140301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179294</xdr:colOff>
      <xdr:row>162</xdr:row>
      <xdr:rowOff>9526</xdr:rowOff>
    </xdr:from>
    <xdr:to>
      <xdr:col>34</xdr:col>
      <xdr:colOff>193862</xdr:colOff>
      <xdr:row>185</xdr:row>
      <xdr:rowOff>89648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82B7F11F-151E-4E4B-B780-56B7EF3C1BD8}"/>
            </a:ext>
          </a:extLst>
        </xdr:cNvPr>
        <xdr:cNvSpPr/>
      </xdr:nvSpPr>
      <xdr:spPr>
        <a:xfrm>
          <a:off x="941294" y="47539276"/>
          <a:ext cx="5723218" cy="446162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tx2">
              <a:lumMod val="60000"/>
              <a:lumOff val="4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申請可能製品情報マスタ</a:t>
          </a:r>
        </a:p>
      </xdr:txBody>
    </xdr:sp>
    <xdr:clientData/>
  </xdr:twoCellAnchor>
  <xdr:twoCellAnchor>
    <xdr:from>
      <xdr:col>15</xdr:col>
      <xdr:colOff>165605</xdr:colOff>
      <xdr:row>169</xdr:row>
      <xdr:rowOff>68912</xdr:rowOff>
    </xdr:from>
    <xdr:to>
      <xdr:col>23</xdr:col>
      <xdr:colOff>96152</xdr:colOff>
      <xdr:row>170</xdr:row>
      <xdr:rowOff>168313</xdr:rowOff>
    </xdr:to>
    <xdr:sp macro="" textlink="">
      <xdr:nvSpPr>
        <xdr:cNvPr id="68" name="フローチャート: 処理 67">
          <a:extLst>
            <a:ext uri="{FF2B5EF4-FFF2-40B4-BE49-F238E27FC236}">
              <a16:creationId xmlns:a16="http://schemas.microsoft.com/office/drawing/2014/main" id="{F4086108-AB21-4C4F-876E-0DA4522EC0C3}"/>
            </a:ext>
          </a:extLst>
        </xdr:cNvPr>
        <xdr:cNvSpPr/>
      </xdr:nvSpPr>
      <xdr:spPr>
        <a:xfrm>
          <a:off x="3023105" y="48932162"/>
          <a:ext cx="1454547" cy="289901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CL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コード</a:t>
          </a:r>
        </a:p>
      </xdr:txBody>
    </xdr:sp>
    <xdr:clientData/>
  </xdr:twoCellAnchor>
  <xdr:twoCellAnchor>
    <xdr:from>
      <xdr:col>10</xdr:col>
      <xdr:colOff>155320</xdr:colOff>
      <xdr:row>173</xdr:row>
      <xdr:rowOff>70812</xdr:rowOff>
    </xdr:from>
    <xdr:to>
      <xdr:col>29</xdr:col>
      <xdr:colOff>65666</xdr:colOff>
      <xdr:row>173</xdr:row>
      <xdr:rowOff>104430</xdr:rowOff>
    </xdr:to>
    <xdr:cxnSp macro="">
      <xdr:nvCxnSpPr>
        <xdr:cNvPr id="69" name="カギ線コネクタ 208">
          <a:extLst>
            <a:ext uri="{FF2B5EF4-FFF2-40B4-BE49-F238E27FC236}">
              <a16:creationId xmlns:a16="http://schemas.microsoft.com/office/drawing/2014/main" id="{78FB2C8F-E74F-4103-B7C8-66A441B80945}"/>
            </a:ext>
          </a:extLst>
        </xdr:cNvPr>
        <xdr:cNvCxnSpPr>
          <a:stCxn id="78" idx="0"/>
          <a:endCxn id="72" idx="0"/>
        </xdr:cNvCxnSpPr>
      </xdr:nvCxnSpPr>
      <xdr:spPr>
        <a:xfrm rot="5400000" flipH="1" flipV="1">
          <a:off x="3808434" y="47947948"/>
          <a:ext cx="33618" cy="3529846"/>
        </a:xfrm>
        <a:prstGeom prst="bentConnector3">
          <a:avLst>
            <a:gd name="adj1" fmla="val 779993"/>
          </a:avLst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24</xdr:col>
      <xdr:colOff>48655</xdr:colOff>
      <xdr:row>178</xdr:row>
      <xdr:rowOff>58973</xdr:rowOff>
    </xdr:from>
    <xdr:to>
      <xdr:col>33</xdr:col>
      <xdr:colOff>36972</xdr:colOff>
      <xdr:row>181</xdr:row>
      <xdr:rowOff>67239</xdr:rowOff>
    </xdr:to>
    <xdr:sp macro="" textlink="">
      <xdr:nvSpPr>
        <xdr:cNvPr id="70" name="フローチャート: 複数書類 69">
          <a:extLst>
            <a:ext uri="{FF2B5EF4-FFF2-40B4-BE49-F238E27FC236}">
              <a16:creationId xmlns:a16="http://schemas.microsoft.com/office/drawing/2014/main" id="{CAD4924D-9D82-48F9-BD22-A0F9A9288F9B}"/>
            </a:ext>
          </a:extLst>
        </xdr:cNvPr>
        <xdr:cNvSpPr/>
      </xdr:nvSpPr>
      <xdr:spPr>
        <a:xfrm>
          <a:off x="4620655" y="50636723"/>
          <a:ext cx="1702817" cy="579766"/>
        </a:xfrm>
        <a:prstGeom prst="flowChartMultidocumen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申請した証明書種類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ysClr val="windowText" lastClr="000000"/>
              </a:solidFill>
              <a:effectLst/>
            </a:rPr>
            <a:t>例：高精度分析データ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(ICP)</a:t>
          </a:r>
        </a:p>
      </xdr:txBody>
    </xdr:sp>
    <xdr:clientData/>
  </xdr:twoCellAnchor>
  <xdr:twoCellAnchor>
    <xdr:from>
      <xdr:col>29</xdr:col>
      <xdr:colOff>65667</xdr:colOff>
      <xdr:row>175</xdr:row>
      <xdr:rowOff>4</xdr:rowOff>
    </xdr:from>
    <xdr:to>
      <xdr:col>29</xdr:col>
      <xdr:colOff>67382</xdr:colOff>
      <xdr:row>178</xdr:row>
      <xdr:rowOff>58973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BCCD4B91-BA5F-4456-9B96-07EAC6A7D491}"/>
            </a:ext>
          </a:extLst>
        </xdr:cNvPr>
        <xdr:cNvCxnSpPr>
          <a:stCxn id="70" idx="0"/>
          <a:endCxn id="72" idx="2"/>
        </xdr:cNvCxnSpPr>
      </xdr:nvCxnSpPr>
      <xdr:spPr>
        <a:xfrm flipH="1" flipV="1">
          <a:off x="5590167" y="50006254"/>
          <a:ext cx="1715" cy="630469"/>
        </a:xfrm>
        <a:prstGeom prst="lin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26</xdr:col>
      <xdr:colOff>105566</xdr:colOff>
      <xdr:row>173</xdr:row>
      <xdr:rowOff>70811</xdr:rowOff>
    </xdr:from>
    <xdr:to>
      <xdr:col>32</xdr:col>
      <xdr:colOff>25767</xdr:colOff>
      <xdr:row>175</xdr:row>
      <xdr:rowOff>4</xdr:rowOff>
    </xdr:to>
    <xdr:sp macro="" textlink="">
      <xdr:nvSpPr>
        <xdr:cNvPr id="72" name="フローチャート: 処理 71">
          <a:extLst>
            <a:ext uri="{FF2B5EF4-FFF2-40B4-BE49-F238E27FC236}">
              <a16:creationId xmlns:a16="http://schemas.microsoft.com/office/drawing/2014/main" id="{7B79FC7B-8F36-403D-B047-B519F088E3D4}"/>
            </a:ext>
          </a:extLst>
        </xdr:cNvPr>
        <xdr:cNvSpPr/>
      </xdr:nvSpPr>
      <xdr:spPr>
        <a:xfrm>
          <a:off x="5058566" y="49696061"/>
          <a:ext cx="1063201" cy="310193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Non-compliant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149514</xdr:colOff>
      <xdr:row>178</xdr:row>
      <xdr:rowOff>70180</xdr:rowOff>
    </xdr:from>
    <xdr:to>
      <xdr:col>23</xdr:col>
      <xdr:colOff>126624</xdr:colOff>
      <xdr:row>181</xdr:row>
      <xdr:rowOff>67240</xdr:rowOff>
    </xdr:to>
    <xdr:sp macro="" textlink="">
      <xdr:nvSpPr>
        <xdr:cNvPr id="73" name="フローチャート: 複数書類 72">
          <a:extLst>
            <a:ext uri="{FF2B5EF4-FFF2-40B4-BE49-F238E27FC236}">
              <a16:creationId xmlns:a16="http://schemas.microsoft.com/office/drawing/2014/main" id="{30941620-C35C-44F4-834F-4634982FA495}"/>
            </a:ext>
          </a:extLst>
        </xdr:cNvPr>
        <xdr:cNvSpPr/>
      </xdr:nvSpPr>
      <xdr:spPr>
        <a:xfrm>
          <a:off x="2816514" y="50647930"/>
          <a:ext cx="1691610" cy="568560"/>
        </a:xfrm>
        <a:prstGeom prst="flowChartMultidocumen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申請した証明書種類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ysClr val="windowText" lastClr="000000"/>
              </a:solidFill>
              <a:effectLst/>
            </a:rPr>
            <a:t>例：ハロゲンフリー証明書</a:t>
          </a:r>
        </a:p>
      </xdr:txBody>
    </xdr:sp>
    <xdr:clientData/>
  </xdr:twoCellAnchor>
  <xdr:twoCellAnchor>
    <xdr:from>
      <xdr:col>19</xdr:col>
      <xdr:colOff>161866</xdr:colOff>
      <xdr:row>175</xdr:row>
      <xdr:rowOff>22416</xdr:rowOff>
    </xdr:from>
    <xdr:to>
      <xdr:col>19</xdr:col>
      <xdr:colOff>177731</xdr:colOff>
      <xdr:row>178</xdr:row>
      <xdr:rowOff>70180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9CAEFED2-CDD4-4D1C-B393-FDB796013E08}"/>
            </a:ext>
          </a:extLst>
        </xdr:cNvPr>
        <xdr:cNvCxnSpPr>
          <a:stCxn id="73" idx="0"/>
          <a:endCxn id="75" idx="2"/>
        </xdr:cNvCxnSpPr>
      </xdr:nvCxnSpPr>
      <xdr:spPr>
        <a:xfrm flipV="1">
          <a:off x="3781366" y="50028666"/>
          <a:ext cx="15865" cy="619264"/>
        </a:xfrm>
        <a:prstGeom prst="lin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17</xdr:col>
      <xdr:colOff>4719</xdr:colOff>
      <xdr:row>173</xdr:row>
      <xdr:rowOff>93223</xdr:rowOff>
    </xdr:from>
    <xdr:to>
      <xdr:col>22</xdr:col>
      <xdr:colOff>137831</xdr:colOff>
      <xdr:row>175</xdr:row>
      <xdr:rowOff>22416</xdr:rowOff>
    </xdr:to>
    <xdr:sp macro="" textlink="">
      <xdr:nvSpPr>
        <xdr:cNvPr id="75" name="フローチャート: 処理 74">
          <a:extLst>
            <a:ext uri="{FF2B5EF4-FFF2-40B4-BE49-F238E27FC236}">
              <a16:creationId xmlns:a16="http://schemas.microsoft.com/office/drawing/2014/main" id="{3FA861DA-2FF6-4F00-A3BC-447640EF6570}"/>
            </a:ext>
          </a:extLst>
        </xdr:cNvPr>
        <xdr:cNvSpPr/>
      </xdr:nvSpPr>
      <xdr:spPr>
        <a:xfrm>
          <a:off x="3243219" y="49718473"/>
          <a:ext cx="1085612" cy="310193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Request</a:t>
          </a:r>
        </a:p>
      </xdr:txBody>
    </xdr:sp>
    <xdr:clientData/>
  </xdr:twoCellAnchor>
  <xdr:twoCellAnchor>
    <xdr:from>
      <xdr:col>6</xdr:col>
      <xdr:colOff>15045</xdr:colOff>
      <xdr:row>178</xdr:row>
      <xdr:rowOff>92589</xdr:rowOff>
    </xdr:from>
    <xdr:to>
      <xdr:col>14</xdr:col>
      <xdr:colOff>59392</xdr:colOff>
      <xdr:row>181</xdr:row>
      <xdr:rowOff>168091</xdr:rowOff>
    </xdr:to>
    <xdr:sp macro="" textlink="">
      <xdr:nvSpPr>
        <xdr:cNvPr id="76" name="フローチャート: 複数書類 75">
          <a:extLst>
            <a:ext uri="{FF2B5EF4-FFF2-40B4-BE49-F238E27FC236}">
              <a16:creationId xmlns:a16="http://schemas.microsoft.com/office/drawing/2014/main" id="{0EB5974C-E9BA-458C-B341-B83E357B8827}"/>
            </a:ext>
          </a:extLst>
        </xdr:cNvPr>
        <xdr:cNvSpPr/>
      </xdr:nvSpPr>
      <xdr:spPr>
        <a:xfrm>
          <a:off x="1158045" y="50670339"/>
          <a:ext cx="1568347" cy="647002"/>
        </a:xfrm>
        <a:prstGeom prst="flowChartMultidocumen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申請した証明書種類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ysClr val="windowText" lastClr="000000"/>
              </a:solidFill>
              <a:effectLst/>
            </a:rPr>
            <a:t>例：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RoHS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適合、成分表</a:t>
          </a:r>
        </a:p>
      </xdr:txBody>
    </xdr:sp>
    <xdr:clientData/>
  </xdr:twoCellAnchor>
  <xdr:twoCellAnchor>
    <xdr:from>
      <xdr:col>10</xdr:col>
      <xdr:colOff>155321</xdr:colOff>
      <xdr:row>175</xdr:row>
      <xdr:rowOff>33622</xdr:rowOff>
    </xdr:from>
    <xdr:to>
      <xdr:col>10</xdr:col>
      <xdr:colOff>157450</xdr:colOff>
      <xdr:row>178</xdr:row>
      <xdr:rowOff>92590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871EDEB9-5E9E-4C77-88BA-E1F8B6DA5304}"/>
            </a:ext>
          </a:extLst>
        </xdr:cNvPr>
        <xdr:cNvCxnSpPr>
          <a:stCxn id="76" idx="0"/>
          <a:endCxn id="78" idx="2"/>
        </xdr:cNvCxnSpPr>
      </xdr:nvCxnSpPr>
      <xdr:spPr>
        <a:xfrm flipH="1" flipV="1">
          <a:off x="2060321" y="50039872"/>
          <a:ext cx="2129" cy="630468"/>
        </a:xfrm>
        <a:prstGeom prst="lin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7</xdr:col>
      <xdr:colOff>195221</xdr:colOff>
      <xdr:row>173</xdr:row>
      <xdr:rowOff>104429</xdr:rowOff>
    </xdr:from>
    <xdr:to>
      <xdr:col>13</xdr:col>
      <xdr:colOff>115421</xdr:colOff>
      <xdr:row>175</xdr:row>
      <xdr:rowOff>33622</xdr:rowOff>
    </xdr:to>
    <xdr:sp macro="" textlink="">
      <xdr:nvSpPr>
        <xdr:cNvPr id="78" name="フローチャート: 処理 77">
          <a:extLst>
            <a:ext uri="{FF2B5EF4-FFF2-40B4-BE49-F238E27FC236}">
              <a16:creationId xmlns:a16="http://schemas.microsoft.com/office/drawing/2014/main" id="{82B13D78-0200-4E71-8CCA-2C0CE4556127}"/>
            </a:ext>
          </a:extLst>
        </xdr:cNvPr>
        <xdr:cNvSpPr/>
      </xdr:nvSpPr>
      <xdr:spPr>
        <a:xfrm>
          <a:off x="1522371" y="49729679"/>
          <a:ext cx="1069550" cy="310193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申請可能</a:t>
          </a:r>
        </a:p>
      </xdr:txBody>
    </xdr:sp>
    <xdr:clientData/>
  </xdr:twoCellAnchor>
  <xdr:twoCellAnchor>
    <xdr:from>
      <xdr:col>19</xdr:col>
      <xdr:colOff>177731</xdr:colOff>
      <xdr:row>170</xdr:row>
      <xdr:rowOff>193638</xdr:rowOff>
    </xdr:from>
    <xdr:to>
      <xdr:col>19</xdr:col>
      <xdr:colOff>185688</xdr:colOff>
      <xdr:row>173</xdr:row>
      <xdr:rowOff>93223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1C15B2BC-7174-44FB-B47A-8F14F4B55023}"/>
            </a:ext>
          </a:extLst>
        </xdr:cNvPr>
        <xdr:cNvCxnSpPr>
          <a:stCxn id="75" idx="0"/>
          <a:endCxn id="155" idx="2"/>
        </xdr:cNvCxnSpPr>
      </xdr:nvCxnSpPr>
      <xdr:spPr>
        <a:xfrm flipV="1">
          <a:off x="3797231" y="49247388"/>
          <a:ext cx="7957" cy="471085"/>
        </a:xfrm>
        <a:prstGeom prst="lin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6</xdr:col>
      <xdr:colOff>203452</xdr:colOff>
      <xdr:row>172</xdr:row>
      <xdr:rowOff>172835</xdr:rowOff>
    </xdr:from>
    <xdr:to>
      <xdr:col>33</xdr:col>
      <xdr:colOff>25776</xdr:colOff>
      <xdr:row>175</xdr:row>
      <xdr:rowOff>112059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7CFFF770-9ED5-4CBB-872E-270511FC6F7B}"/>
            </a:ext>
          </a:extLst>
        </xdr:cNvPr>
        <xdr:cNvSpPr/>
      </xdr:nvSpPr>
      <xdr:spPr>
        <a:xfrm>
          <a:off x="1333752" y="49607585"/>
          <a:ext cx="4978524" cy="510724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23</xdr:col>
      <xdr:colOff>160236</xdr:colOff>
      <xdr:row>177</xdr:row>
      <xdr:rowOff>134470</xdr:rowOff>
    </xdr:from>
    <xdr:to>
      <xdr:col>33</xdr:col>
      <xdr:colOff>111888</xdr:colOff>
      <xdr:row>182</xdr:row>
      <xdr:rowOff>46415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B6C14118-3D53-4EC4-9CBE-E34988DA28DA}"/>
            </a:ext>
          </a:extLst>
        </xdr:cNvPr>
        <xdr:cNvSpPr/>
      </xdr:nvSpPr>
      <xdr:spPr>
        <a:xfrm>
          <a:off x="4541736" y="50521720"/>
          <a:ext cx="1856652" cy="864445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14567</xdr:colOff>
      <xdr:row>175</xdr:row>
      <xdr:rowOff>168090</xdr:rowOff>
    </xdr:from>
    <xdr:to>
      <xdr:col>10</xdr:col>
      <xdr:colOff>80692</xdr:colOff>
      <xdr:row>178</xdr:row>
      <xdr:rowOff>118146</xdr:rowOff>
    </xdr:to>
    <xdr:sp macro="" textlink="">
      <xdr:nvSpPr>
        <xdr:cNvPr id="82" name="フローチャート: 処理 81">
          <a:extLst>
            <a:ext uri="{FF2B5EF4-FFF2-40B4-BE49-F238E27FC236}">
              <a16:creationId xmlns:a16="http://schemas.microsoft.com/office/drawing/2014/main" id="{37ED3732-0637-4C5F-A371-5D9A04D9668A}"/>
            </a:ext>
          </a:extLst>
        </xdr:cNvPr>
        <xdr:cNvSpPr/>
      </xdr:nvSpPr>
      <xdr:spPr>
        <a:xfrm rot="5400000">
          <a:off x="1596602" y="50306805"/>
          <a:ext cx="521556" cy="256625"/>
        </a:xfrm>
        <a:prstGeom prst="flowChartProcess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1:N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18</xdr:col>
      <xdr:colOff>3359</xdr:colOff>
      <xdr:row>175</xdr:row>
      <xdr:rowOff>123268</xdr:rowOff>
    </xdr:from>
    <xdr:to>
      <xdr:col>19</xdr:col>
      <xdr:colOff>69484</xdr:colOff>
      <xdr:row>178</xdr:row>
      <xdr:rowOff>73324</xdr:rowOff>
    </xdr:to>
    <xdr:sp macro="" textlink="">
      <xdr:nvSpPr>
        <xdr:cNvPr id="83" name="フローチャート: 処理 82">
          <a:extLst>
            <a:ext uri="{FF2B5EF4-FFF2-40B4-BE49-F238E27FC236}">
              <a16:creationId xmlns:a16="http://schemas.microsoft.com/office/drawing/2014/main" id="{96530666-659E-4003-B5ED-287A4A1B0B01}"/>
            </a:ext>
          </a:extLst>
        </xdr:cNvPr>
        <xdr:cNvSpPr/>
      </xdr:nvSpPr>
      <xdr:spPr>
        <a:xfrm rot="5400000">
          <a:off x="3299894" y="50261983"/>
          <a:ext cx="521556" cy="256625"/>
        </a:xfrm>
        <a:prstGeom prst="flowChartProcess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1:N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160235</xdr:colOff>
      <xdr:row>175</xdr:row>
      <xdr:rowOff>22415</xdr:rowOff>
    </xdr:from>
    <xdr:to>
      <xdr:col>29</xdr:col>
      <xdr:colOff>13449</xdr:colOff>
      <xdr:row>177</xdr:row>
      <xdr:rowOff>174177</xdr:rowOff>
    </xdr:to>
    <xdr:sp macro="" textlink="">
      <xdr:nvSpPr>
        <xdr:cNvPr id="84" name="フローチャート: 処理 83">
          <a:extLst>
            <a:ext uri="{FF2B5EF4-FFF2-40B4-BE49-F238E27FC236}">
              <a16:creationId xmlns:a16="http://schemas.microsoft.com/office/drawing/2014/main" id="{F9A200A8-D2E1-48BE-8EFB-567406F8BB40}"/>
            </a:ext>
          </a:extLst>
        </xdr:cNvPr>
        <xdr:cNvSpPr/>
      </xdr:nvSpPr>
      <xdr:spPr>
        <a:xfrm rot="5400000">
          <a:off x="5154461" y="50177939"/>
          <a:ext cx="532762" cy="234214"/>
        </a:xfrm>
        <a:prstGeom prst="flowChartProcess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1:N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36</xdr:col>
      <xdr:colOff>83699</xdr:colOff>
      <xdr:row>161</xdr:row>
      <xdr:rowOff>112060</xdr:rowOff>
    </xdr:from>
    <xdr:to>
      <xdr:col>48</xdr:col>
      <xdr:colOff>123265</xdr:colOff>
      <xdr:row>185</xdr:row>
      <xdr:rowOff>124784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93E02105-AB69-40FF-B2AD-B31FEF9BD2C3}"/>
            </a:ext>
          </a:extLst>
        </xdr:cNvPr>
        <xdr:cNvSpPr/>
      </xdr:nvSpPr>
      <xdr:spPr>
        <a:xfrm>
          <a:off x="6941699" y="47451310"/>
          <a:ext cx="2325566" cy="458472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40000"/>
              <a:lumOff val="60000"/>
            </a:schemeClr>
          </a:solidFill>
          <a:prstDash val="solid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CSV</a:t>
          </a:r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項目</a:t>
          </a:r>
        </a:p>
      </xdr:txBody>
    </xdr:sp>
    <xdr:clientData/>
  </xdr:twoCellAnchor>
  <xdr:twoCellAnchor>
    <xdr:from>
      <xdr:col>37</xdr:col>
      <xdr:colOff>75779</xdr:colOff>
      <xdr:row>169</xdr:row>
      <xdr:rowOff>76795</xdr:rowOff>
    </xdr:from>
    <xdr:to>
      <xdr:col>44</xdr:col>
      <xdr:colOff>95465</xdr:colOff>
      <xdr:row>170</xdr:row>
      <xdr:rowOff>178712</xdr:rowOff>
    </xdr:to>
    <xdr:sp macro="" textlink="">
      <xdr:nvSpPr>
        <xdr:cNvPr id="86" name="フローチャート: 処理 85">
          <a:extLst>
            <a:ext uri="{FF2B5EF4-FFF2-40B4-BE49-F238E27FC236}">
              <a16:creationId xmlns:a16="http://schemas.microsoft.com/office/drawing/2014/main" id="{0ADAD6E6-2864-45E1-B9F3-EC0A76FDB06C}"/>
            </a:ext>
          </a:extLst>
        </xdr:cNvPr>
        <xdr:cNvSpPr/>
      </xdr:nvSpPr>
      <xdr:spPr>
        <a:xfrm>
          <a:off x="7124279" y="48940045"/>
          <a:ext cx="1353186" cy="292417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CSV</a:t>
          </a:r>
          <a:r>
            <a:rPr kumimoji="1" lang="ja-JP" altLang="en-US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本文</a:t>
          </a:r>
          <a:r>
            <a:rPr kumimoji="1" lang="en-US" altLang="ja-JP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.CL</a:t>
          </a:r>
          <a:r>
            <a:rPr kumimoji="1" lang="ja-JP" altLang="en-US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コード</a:t>
          </a:r>
        </a:p>
      </xdr:txBody>
    </xdr:sp>
    <xdr:clientData/>
  </xdr:twoCellAnchor>
  <xdr:twoCellAnchor>
    <xdr:from>
      <xdr:col>37</xdr:col>
      <xdr:colOff>174577</xdr:colOff>
      <xdr:row>178</xdr:row>
      <xdr:rowOff>36430</xdr:rowOff>
    </xdr:from>
    <xdr:to>
      <xdr:col>45</xdr:col>
      <xdr:colOff>10395</xdr:colOff>
      <xdr:row>181</xdr:row>
      <xdr:rowOff>117457</xdr:rowOff>
    </xdr:to>
    <xdr:sp macro="" textlink="">
      <xdr:nvSpPr>
        <xdr:cNvPr id="87" name="フローチャート: 処理 86">
          <a:extLst>
            <a:ext uri="{FF2B5EF4-FFF2-40B4-BE49-F238E27FC236}">
              <a16:creationId xmlns:a16="http://schemas.microsoft.com/office/drawing/2014/main" id="{2DC4209A-BF4F-4796-A170-03B91D830604}"/>
            </a:ext>
          </a:extLst>
        </xdr:cNvPr>
        <xdr:cNvSpPr/>
      </xdr:nvSpPr>
      <xdr:spPr>
        <a:xfrm>
          <a:off x="7223077" y="50614180"/>
          <a:ext cx="1359818" cy="652527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CSV</a:t>
          </a:r>
          <a:r>
            <a:rPr kumimoji="1" lang="ja-JP" altLang="en-US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ヘッダー</a:t>
          </a:r>
          <a:r>
            <a:rPr kumimoji="1" lang="en-US" altLang="ja-JP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kumimoji="1" lang="ja-JP" altLang="en-US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証明書種類</a:t>
          </a:r>
        </a:p>
      </xdr:txBody>
    </xdr:sp>
    <xdr:clientData/>
  </xdr:twoCellAnchor>
  <xdr:twoCellAnchor>
    <xdr:from>
      <xdr:col>37</xdr:col>
      <xdr:colOff>187139</xdr:colOff>
      <xdr:row>173</xdr:row>
      <xdr:rowOff>4878</xdr:rowOff>
    </xdr:from>
    <xdr:to>
      <xdr:col>45</xdr:col>
      <xdr:colOff>23124</xdr:colOff>
      <xdr:row>175</xdr:row>
      <xdr:rowOff>183649</xdr:rowOff>
    </xdr:to>
    <xdr:sp macro="" textlink="">
      <xdr:nvSpPr>
        <xdr:cNvPr id="88" name="フローチャート: 処理 87">
          <a:extLst>
            <a:ext uri="{FF2B5EF4-FFF2-40B4-BE49-F238E27FC236}">
              <a16:creationId xmlns:a16="http://schemas.microsoft.com/office/drawing/2014/main" id="{87AEEBC8-6941-40A1-8EA4-A95839FB84F0}"/>
            </a:ext>
          </a:extLst>
        </xdr:cNvPr>
        <xdr:cNvSpPr/>
      </xdr:nvSpPr>
      <xdr:spPr>
        <a:xfrm>
          <a:off x="7235639" y="49630128"/>
          <a:ext cx="1359985" cy="559771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CSV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本文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証明書種類結果</a:t>
          </a:r>
        </a:p>
      </xdr:txBody>
    </xdr:sp>
    <xdr:clientData/>
  </xdr:twoCellAnchor>
  <xdr:twoCellAnchor>
    <xdr:from>
      <xdr:col>32</xdr:col>
      <xdr:colOff>73876</xdr:colOff>
      <xdr:row>173</xdr:row>
      <xdr:rowOff>146466</xdr:rowOff>
    </xdr:from>
    <xdr:to>
      <xdr:col>38</xdr:col>
      <xdr:colOff>11207</xdr:colOff>
      <xdr:row>175</xdr:row>
      <xdr:rowOff>0</xdr:rowOff>
    </xdr:to>
    <xdr:sp macro="" textlink="">
      <xdr:nvSpPr>
        <xdr:cNvPr id="89" name="右矢印 513">
          <a:extLst>
            <a:ext uri="{FF2B5EF4-FFF2-40B4-BE49-F238E27FC236}">
              <a16:creationId xmlns:a16="http://schemas.microsoft.com/office/drawing/2014/main" id="{F1FAD2AA-0ECC-437F-A4F1-4D5A4D02ABE7}"/>
            </a:ext>
          </a:extLst>
        </xdr:cNvPr>
        <xdr:cNvSpPr/>
      </xdr:nvSpPr>
      <xdr:spPr>
        <a:xfrm>
          <a:off x="6169876" y="49771716"/>
          <a:ext cx="1080331" cy="234534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indent="0"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32</xdr:col>
      <xdr:colOff>110403</xdr:colOff>
      <xdr:row>179</xdr:row>
      <xdr:rowOff>20048</xdr:rowOff>
    </xdr:from>
    <xdr:to>
      <xdr:col>37</xdr:col>
      <xdr:colOff>139797</xdr:colOff>
      <xdr:row>180</xdr:row>
      <xdr:rowOff>70165</xdr:rowOff>
    </xdr:to>
    <xdr:sp macro="" textlink="">
      <xdr:nvSpPr>
        <xdr:cNvPr id="90" name="右矢印 514">
          <a:extLst>
            <a:ext uri="{FF2B5EF4-FFF2-40B4-BE49-F238E27FC236}">
              <a16:creationId xmlns:a16="http://schemas.microsoft.com/office/drawing/2014/main" id="{F35C0045-354A-4C0F-8423-A025DEE857FE}"/>
            </a:ext>
          </a:extLst>
        </xdr:cNvPr>
        <xdr:cNvSpPr/>
      </xdr:nvSpPr>
      <xdr:spPr>
        <a:xfrm>
          <a:off x="6206403" y="50788298"/>
          <a:ext cx="981894" cy="240617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indent="0"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5</xdr:col>
      <xdr:colOff>201705</xdr:colOff>
      <xdr:row>50</xdr:row>
      <xdr:rowOff>11206</xdr:rowOff>
    </xdr:from>
    <xdr:to>
      <xdr:col>25</xdr:col>
      <xdr:colOff>134470</xdr:colOff>
      <xdr:row>54</xdr:row>
      <xdr:rowOff>89647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CEAA464A-26D3-4CD0-A696-38D457565200}"/>
            </a:ext>
          </a:extLst>
        </xdr:cNvPr>
        <xdr:cNvSpPr/>
      </xdr:nvSpPr>
      <xdr:spPr>
        <a:xfrm>
          <a:off x="1141505" y="10545856"/>
          <a:ext cx="3755465" cy="840441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24</xdr:col>
      <xdr:colOff>100854</xdr:colOff>
      <xdr:row>51</xdr:row>
      <xdr:rowOff>89648</xdr:rowOff>
    </xdr:from>
    <xdr:to>
      <xdr:col>29</xdr:col>
      <xdr:colOff>53229</xdr:colOff>
      <xdr:row>53</xdr:row>
      <xdr:rowOff>6619</xdr:rowOff>
    </xdr:to>
    <xdr:sp macro="" textlink="">
      <xdr:nvSpPr>
        <xdr:cNvPr id="99" name="右カーブ矢印 152">
          <a:extLst>
            <a:ext uri="{FF2B5EF4-FFF2-40B4-BE49-F238E27FC236}">
              <a16:creationId xmlns:a16="http://schemas.microsoft.com/office/drawing/2014/main" id="{E34EF3F0-8F44-4E69-99F7-6DFD9AAEFE9A}"/>
            </a:ext>
          </a:extLst>
        </xdr:cNvPr>
        <xdr:cNvSpPr/>
      </xdr:nvSpPr>
      <xdr:spPr>
        <a:xfrm rot="5856382">
          <a:off x="4976306" y="10511346"/>
          <a:ext cx="297971" cy="904875"/>
        </a:xfrm>
        <a:prstGeom prst="curvedRightArrow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100853</xdr:colOff>
      <xdr:row>51</xdr:row>
      <xdr:rowOff>11206</xdr:rowOff>
    </xdr:from>
    <xdr:to>
      <xdr:col>23</xdr:col>
      <xdr:colOff>138789</xdr:colOff>
      <xdr:row>53</xdr:row>
      <xdr:rowOff>151454</xdr:rowOff>
    </xdr:to>
    <xdr:sp macro="" textlink="">
      <xdr:nvSpPr>
        <xdr:cNvPr id="103" name="フローチャート: 処理 102">
          <a:extLst>
            <a:ext uri="{FF2B5EF4-FFF2-40B4-BE49-F238E27FC236}">
              <a16:creationId xmlns:a16="http://schemas.microsoft.com/office/drawing/2014/main" id="{D9D14DF9-61B7-49AE-AF93-3FA5A3155A1D}"/>
            </a:ext>
          </a:extLst>
        </xdr:cNvPr>
        <xdr:cNvSpPr/>
      </xdr:nvSpPr>
      <xdr:spPr>
        <a:xfrm>
          <a:off x="1434353" y="10736356"/>
          <a:ext cx="3085936" cy="521248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１－１－５．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CL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コードより一致する製品マスター情報を取得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122996</xdr:colOff>
      <xdr:row>53</xdr:row>
      <xdr:rowOff>151454</xdr:rowOff>
    </xdr:from>
    <xdr:to>
      <xdr:col>15</xdr:col>
      <xdr:colOff>127327</xdr:colOff>
      <xdr:row>59</xdr:row>
      <xdr:rowOff>74521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DCB6A545-A278-4D78-826E-7616FCC81BCC}"/>
            </a:ext>
          </a:extLst>
        </xdr:cNvPr>
        <xdr:cNvCxnSpPr>
          <a:cxnSpLocks/>
          <a:stCxn id="103" idx="2"/>
          <a:endCxn id="114" idx="0"/>
        </xdr:cNvCxnSpPr>
      </xdr:nvCxnSpPr>
      <xdr:spPr>
        <a:xfrm>
          <a:off x="2980496" y="10225542"/>
          <a:ext cx="4331" cy="106606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112060</xdr:colOff>
      <xdr:row>19</xdr:row>
      <xdr:rowOff>179293</xdr:rowOff>
    </xdr:from>
    <xdr:to>
      <xdr:col>23</xdr:col>
      <xdr:colOff>149996</xdr:colOff>
      <xdr:row>22</xdr:row>
      <xdr:rowOff>117836</xdr:rowOff>
    </xdr:to>
    <xdr:sp macro="" textlink="">
      <xdr:nvSpPr>
        <xdr:cNvPr id="107" name="フローチャート: 処理 106">
          <a:extLst>
            <a:ext uri="{FF2B5EF4-FFF2-40B4-BE49-F238E27FC236}">
              <a16:creationId xmlns:a16="http://schemas.microsoft.com/office/drawing/2014/main" id="{F70CCF63-D579-4923-9E3C-F47AFF64396A}"/>
            </a:ext>
          </a:extLst>
        </xdr:cNvPr>
        <xdr:cNvSpPr/>
      </xdr:nvSpPr>
      <xdr:spPr>
        <a:xfrm>
          <a:off x="1445560" y="4808443"/>
          <a:ext cx="3085936" cy="510043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１－１－２．製品名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/CL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コードより一致する製品証明書の情報を取得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30</xdr:col>
      <xdr:colOff>100851</xdr:colOff>
      <xdr:row>9</xdr:row>
      <xdr:rowOff>156882</xdr:rowOff>
    </xdr:from>
    <xdr:to>
      <xdr:col>45</xdr:col>
      <xdr:colOff>201706</xdr:colOff>
      <xdr:row>12</xdr:row>
      <xdr:rowOff>89647</xdr:rowOff>
    </xdr:to>
    <xdr:sp macro="" textlink="">
      <xdr:nvSpPr>
        <xdr:cNvPr id="108" name="線吹き出し 1 (枠付き) 48">
          <a:extLst>
            <a:ext uri="{FF2B5EF4-FFF2-40B4-BE49-F238E27FC236}">
              <a16:creationId xmlns:a16="http://schemas.microsoft.com/office/drawing/2014/main" id="{CC229F06-4E1C-451F-AD66-4781EAF905A3}"/>
            </a:ext>
          </a:extLst>
        </xdr:cNvPr>
        <xdr:cNvSpPr/>
      </xdr:nvSpPr>
      <xdr:spPr>
        <a:xfrm>
          <a:off x="5815851" y="2881032"/>
          <a:ext cx="2945655" cy="504265"/>
        </a:xfrm>
        <a:prstGeom prst="borderCallout1">
          <a:avLst>
            <a:gd name="adj1" fmla="val 41330"/>
            <a:gd name="adj2" fmla="val -2710"/>
            <a:gd name="adj3" fmla="val 63844"/>
            <a:gd name="adj4" fmla="val -69410"/>
          </a:avLst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ループ配下の処理を申請製品コードリストの件数分実施</a:t>
          </a:r>
        </a:p>
      </xdr:txBody>
    </xdr:sp>
    <xdr:clientData/>
  </xdr:twoCellAnchor>
  <xdr:twoCellAnchor>
    <xdr:from>
      <xdr:col>11</xdr:col>
      <xdr:colOff>44823</xdr:colOff>
      <xdr:row>24</xdr:row>
      <xdr:rowOff>112060</xdr:rowOff>
    </xdr:from>
    <xdr:to>
      <xdr:col>19</xdr:col>
      <xdr:colOff>206654</xdr:colOff>
      <xdr:row>26</xdr:row>
      <xdr:rowOff>112061</xdr:rowOff>
    </xdr:to>
    <xdr:sp macro="" textlink="">
      <xdr:nvSpPr>
        <xdr:cNvPr id="109" name="楕円 108">
          <a:extLst>
            <a:ext uri="{FF2B5EF4-FFF2-40B4-BE49-F238E27FC236}">
              <a16:creationId xmlns:a16="http://schemas.microsoft.com/office/drawing/2014/main" id="{C18BC67C-A27D-4147-8716-6E001D7D0A2E}"/>
            </a:ext>
          </a:extLst>
        </xdr:cNvPr>
        <xdr:cNvSpPr/>
      </xdr:nvSpPr>
      <xdr:spPr>
        <a:xfrm>
          <a:off x="2140323" y="5693710"/>
          <a:ext cx="1666781" cy="381001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リストをループ開始②</a:t>
          </a:r>
        </a:p>
      </xdr:txBody>
    </xdr:sp>
    <xdr:clientData/>
  </xdr:twoCellAnchor>
  <xdr:twoCellAnchor>
    <xdr:from>
      <xdr:col>30</xdr:col>
      <xdr:colOff>201709</xdr:colOff>
      <xdr:row>24</xdr:row>
      <xdr:rowOff>44825</xdr:rowOff>
    </xdr:from>
    <xdr:to>
      <xdr:col>48</xdr:col>
      <xdr:colOff>179297</xdr:colOff>
      <xdr:row>33</xdr:row>
      <xdr:rowOff>44824</xdr:rowOff>
    </xdr:to>
    <xdr:sp macro="" textlink="">
      <xdr:nvSpPr>
        <xdr:cNvPr id="110" name="線吹き出し 1 (枠付き) 257">
          <a:extLst>
            <a:ext uri="{FF2B5EF4-FFF2-40B4-BE49-F238E27FC236}">
              <a16:creationId xmlns:a16="http://schemas.microsoft.com/office/drawing/2014/main" id="{410BE3B7-F14F-415A-8B0A-40184A1C64C0}"/>
            </a:ext>
          </a:extLst>
        </xdr:cNvPr>
        <xdr:cNvSpPr/>
      </xdr:nvSpPr>
      <xdr:spPr>
        <a:xfrm>
          <a:off x="5904009" y="5626475"/>
          <a:ext cx="3419288" cy="1714499"/>
        </a:xfrm>
        <a:prstGeom prst="borderCallout1">
          <a:avLst>
            <a:gd name="adj1" fmla="val 21382"/>
            <a:gd name="adj2" fmla="val -1274"/>
            <a:gd name="adj3" fmla="val 14621"/>
            <a:gd name="adj4" fmla="val -65198"/>
          </a:avLst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・製品証明書の情報のリストの件数が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0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件の場合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：ループ配下の処理を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回実施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・製品証明書の情報のリストの件数が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件以上の場合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：ループ配下の処理を製品証明書の情報のリストの件数分実施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※CL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コードで検索する場合、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件取得となるが、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　　　製品名で検索する場合、複数件取得となる可能性がある</a:t>
          </a:r>
        </a:p>
      </xdr:txBody>
    </xdr:sp>
    <xdr:clientData/>
  </xdr:twoCellAnchor>
  <xdr:twoCellAnchor>
    <xdr:from>
      <xdr:col>15</xdr:col>
      <xdr:colOff>125739</xdr:colOff>
      <xdr:row>22</xdr:row>
      <xdr:rowOff>117836</xdr:rowOff>
    </xdr:from>
    <xdr:to>
      <xdr:col>15</xdr:col>
      <xdr:colOff>131029</xdr:colOff>
      <xdr:row>24</xdr:row>
      <xdr:rowOff>112060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71639267-5E98-493F-830E-9F0E7A64B9B2}"/>
            </a:ext>
          </a:extLst>
        </xdr:cNvPr>
        <xdr:cNvCxnSpPr>
          <a:stCxn id="107" idx="2"/>
          <a:endCxn id="109" idx="0"/>
        </xdr:cNvCxnSpPr>
      </xdr:nvCxnSpPr>
      <xdr:spPr>
        <a:xfrm flipH="1">
          <a:off x="2983239" y="5318486"/>
          <a:ext cx="5290" cy="37522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125739</xdr:colOff>
      <xdr:row>26</xdr:row>
      <xdr:rowOff>112061</xdr:rowOff>
    </xdr:from>
    <xdr:to>
      <xdr:col>15</xdr:col>
      <xdr:colOff>130235</xdr:colOff>
      <xdr:row>28</xdr:row>
      <xdr:rowOff>33619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DDE2A1C2-C73B-408E-B175-F4AA6084B931}"/>
            </a:ext>
          </a:extLst>
        </xdr:cNvPr>
        <xdr:cNvCxnSpPr>
          <a:stCxn id="109" idx="4"/>
          <a:endCxn id="117" idx="0"/>
        </xdr:cNvCxnSpPr>
      </xdr:nvCxnSpPr>
      <xdr:spPr>
        <a:xfrm>
          <a:off x="2983239" y="6074711"/>
          <a:ext cx="4496" cy="30255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57198</xdr:colOff>
      <xdr:row>62</xdr:row>
      <xdr:rowOff>190500</xdr:rowOff>
    </xdr:from>
    <xdr:to>
      <xdr:col>20</xdr:col>
      <xdr:colOff>6118</xdr:colOff>
      <xdr:row>64</xdr:row>
      <xdr:rowOff>190501</xdr:rowOff>
    </xdr:to>
    <xdr:sp macro="" textlink="">
      <xdr:nvSpPr>
        <xdr:cNvPr id="113" name="楕円 112">
          <a:extLst>
            <a:ext uri="{FF2B5EF4-FFF2-40B4-BE49-F238E27FC236}">
              <a16:creationId xmlns:a16="http://schemas.microsoft.com/office/drawing/2014/main" id="{877EA1CF-E8B5-4382-B0BA-6464C547E12C}"/>
            </a:ext>
          </a:extLst>
        </xdr:cNvPr>
        <xdr:cNvSpPr/>
      </xdr:nvSpPr>
      <xdr:spPr>
        <a:xfrm>
          <a:off x="2152698" y="17202150"/>
          <a:ext cx="1663420" cy="381001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リストをループ終了①</a:t>
          </a:r>
        </a:p>
      </xdr:txBody>
    </xdr:sp>
    <xdr:clientData/>
  </xdr:twoCellAnchor>
  <xdr:twoCellAnchor>
    <xdr:from>
      <xdr:col>11</xdr:col>
      <xdr:colOff>56029</xdr:colOff>
      <xdr:row>59</xdr:row>
      <xdr:rowOff>74521</xdr:rowOff>
    </xdr:from>
    <xdr:to>
      <xdr:col>20</xdr:col>
      <xdr:colOff>4949</xdr:colOff>
      <xdr:row>61</xdr:row>
      <xdr:rowOff>74523</xdr:rowOff>
    </xdr:to>
    <xdr:sp macro="" textlink="">
      <xdr:nvSpPr>
        <xdr:cNvPr id="114" name="楕円 113">
          <a:extLst>
            <a:ext uri="{FF2B5EF4-FFF2-40B4-BE49-F238E27FC236}">
              <a16:creationId xmlns:a16="http://schemas.microsoft.com/office/drawing/2014/main" id="{2A100CA6-7AF5-4020-875F-7FB95AE36B0F}"/>
            </a:ext>
          </a:extLst>
        </xdr:cNvPr>
        <xdr:cNvSpPr/>
      </xdr:nvSpPr>
      <xdr:spPr>
        <a:xfrm>
          <a:off x="2151529" y="16514671"/>
          <a:ext cx="1663420" cy="381002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リストをループ終了②</a:t>
          </a:r>
        </a:p>
      </xdr:txBody>
    </xdr:sp>
    <xdr:clientData/>
  </xdr:twoCellAnchor>
  <xdr:twoCellAnchor>
    <xdr:from>
      <xdr:col>15</xdr:col>
      <xdr:colOff>136945</xdr:colOff>
      <xdr:row>61</xdr:row>
      <xdr:rowOff>74523</xdr:rowOff>
    </xdr:from>
    <xdr:to>
      <xdr:col>15</xdr:col>
      <xdr:colOff>138114</xdr:colOff>
      <xdr:row>62</xdr:row>
      <xdr:rowOff>190500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7BAEB803-1CA0-4C6A-A666-372AABD27E9D}"/>
            </a:ext>
          </a:extLst>
        </xdr:cNvPr>
        <xdr:cNvCxnSpPr>
          <a:stCxn id="114" idx="4"/>
          <a:endCxn id="113" idx="0"/>
        </xdr:cNvCxnSpPr>
      </xdr:nvCxnSpPr>
      <xdr:spPr>
        <a:xfrm>
          <a:off x="2994445" y="16895673"/>
          <a:ext cx="1169" cy="30647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138114</xdr:colOff>
      <xdr:row>64</xdr:row>
      <xdr:rowOff>190501</xdr:rowOff>
    </xdr:from>
    <xdr:to>
      <xdr:col>15</xdr:col>
      <xdr:colOff>143542</xdr:colOff>
      <xdr:row>66</xdr:row>
      <xdr:rowOff>56028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62CB23EA-AE02-4B1B-8A2D-D23472C4D4C1}"/>
            </a:ext>
          </a:extLst>
        </xdr:cNvPr>
        <xdr:cNvCxnSpPr>
          <a:stCxn id="113" idx="4"/>
          <a:endCxn id="16" idx="0"/>
        </xdr:cNvCxnSpPr>
      </xdr:nvCxnSpPr>
      <xdr:spPr>
        <a:xfrm>
          <a:off x="2995614" y="17583151"/>
          <a:ext cx="5428" cy="24652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201705</xdr:colOff>
      <xdr:row>28</xdr:row>
      <xdr:rowOff>33619</xdr:rowOff>
    </xdr:from>
    <xdr:to>
      <xdr:col>23</xdr:col>
      <xdr:colOff>58763</xdr:colOff>
      <xdr:row>30</xdr:row>
      <xdr:rowOff>156882</xdr:rowOff>
    </xdr:to>
    <xdr:sp macro="" textlink="">
      <xdr:nvSpPr>
        <xdr:cNvPr id="117" name="フローチャート: 処理 116">
          <a:extLst>
            <a:ext uri="{FF2B5EF4-FFF2-40B4-BE49-F238E27FC236}">
              <a16:creationId xmlns:a16="http://schemas.microsoft.com/office/drawing/2014/main" id="{5B17A90B-1A1D-4EF0-A734-706409B33A7C}"/>
            </a:ext>
          </a:extLst>
        </xdr:cNvPr>
        <xdr:cNvSpPr/>
      </xdr:nvSpPr>
      <xdr:spPr>
        <a:xfrm>
          <a:off x="1522505" y="6377269"/>
          <a:ext cx="2917758" cy="504263"/>
        </a:xfrm>
        <a:prstGeom prst="flowChartProcess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製品証明書の情報を</a:t>
          </a:r>
          <a:r>
            <a:rPr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件取得</a:t>
          </a:r>
          <a:endParaRPr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130235</xdr:colOff>
      <xdr:row>30</xdr:row>
      <xdr:rowOff>156882</xdr:rowOff>
    </xdr:from>
    <xdr:to>
      <xdr:col>15</xdr:col>
      <xdr:colOff>139924</xdr:colOff>
      <xdr:row>33</xdr:row>
      <xdr:rowOff>14610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F3F90CF4-0BB5-44C2-927F-90BD68D49C6F}"/>
            </a:ext>
          </a:extLst>
        </xdr:cNvPr>
        <xdr:cNvCxnSpPr>
          <a:stCxn id="117" idx="2"/>
          <a:endCxn id="21" idx="0"/>
        </xdr:cNvCxnSpPr>
      </xdr:nvCxnSpPr>
      <xdr:spPr>
        <a:xfrm>
          <a:off x="2987735" y="6881532"/>
          <a:ext cx="9689" cy="42922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19049</xdr:colOff>
      <xdr:row>98</xdr:row>
      <xdr:rowOff>9526</xdr:rowOff>
    </xdr:from>
    <xdr:to>
      <xdr:col>35</xdr:col>
      <xdr:colOff>33617</xdr:colOff>
      <xdr:row>121</xdr:row>
      <xdr:rowOff>123265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FCB33DF0-E04A-44AC-8AD8-091FB42296F6}"/>
            </a:ext>
          </a:extLst>
        </xdr:cNvPr>
        <xdr:cNvSpPr/>
      </xdr:nvSpPr>
      <xdr:spPr>
        <a:xfrm>
          <a:off x="971549" y="23891876"/>
          <a:ext cx="5729568" cy="449523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tx2">
              <a:lumMod val="60000"/>
              <a:lumOff val="4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申請可能製品情報マスタ</a:t>
          </a:r>
        </a:p>
      </xdr:txBody>
    </xdr:sp>
    <xdr:clientData/>
  </xdr:twoCellAnchor>
  <xdr:twoCellAnchor>
    <xdr:from>
      <xdr:col>16</xdr:col>
      <xdr:colOff>5360</xdr:colOff>
      <xdr:row>105</xdr:row>
      <xdr:rowOff>68912</xdr:rowOff>
    </xdr:from>
    <xdr:to>
      <xdr:col>23</xdr:col>
      <xdr:colOff>148819</xdr:colOff>
      <xdr:row>106</xdr:row>
      <xdr:rowOff>168313</xdr:rowOff>
    </xdr:to>
    <xdr:sp macro="" textlink="">
      <xdr:nvSpPr>
        <xdr:cNvPr id="120" name="フローチャート: 処理 119">
          <a:extLst>
            <a:ext uri="{FF2B5EF4-FFF2-40B4-BE49-F238E27FC236}">
              <a16:creationId xmlns:a16="http://schemas.microsoft.com/office/drawing/2014/main" id="{C2C40847-770B-4A83-8B8C-0747E5AB2393}"/>
            </a:ext>
          </a:extLst>
        </xdr:cNvPr>
        <xdr:cNvSpPr/>
      </xdr:nvSpPr>
      <xdr:spPr>
        <a:xfrm>
          <a:off x="3053360" y="25284762"/>
          <a:ext cx="1476959" cy="289901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CL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コード</a:t>
          </a:r>
        </a:p>
      </xdr:txBody>
    </xdr:sp>
    <xdr:clientData/>
  </xdr:twoCellAnchor>
  <xdr:twoCellAnchor>
    <xdr:from>
      <xdr:col>10</xdr:col>
      <xdr:colOff>207987</xdr:colOff>
      <xdr:row>109</xdr:row>
      <xdr:rowOff>70812</xdr:rowOff>
    </xdr:from>
    <xdr:to>
      <xdr:col>29</xdr:col>
      <xdr:colOff>118333</xdr:colOff>
      <xdr:row>109</xdr:row>
      <xdr:rowOff>104430</xdr:rowOff>
    </xdr:to>
    <xdr:cxnSp macro="">
      <xdr:nvCxnSpPr>
        <xdr:cNvPr id="121" name="カギ線コネクタ 281">
          <a:extLst>
            <a:ext uri="{FF2B5EF4-FFF2-40B4-BE49-F238E27FC236}">
              <a16:creationId xmlns:a16="http://schemas.microsoft.com/office/drawing/2014/main" id="{FB3632C5-232D-4064-977D-4153C5FF1DE8}"/>
            </a:ext>
          </a:extLst>
        </xdr:cNvPr>
        <xdr:cNvCxnSpPr>
          <a:stCxn id="130" idx="0"/>
          <a:endCxn id="124" idx="0"/>
        </xdr:cNvCxnSpPr>
      </xdr:nvCxnSpPr>
      <xdr:spPr>
        <a:xfrm rot="5400000" flipH="1" flipV="1">
          <a:off x="3851576" y="24291023"/>
          <a:ext cx="33618" cy="3548896"/>
        </a:xfrm>
        <a:prstGeom prst="bentConnector3">
          <a:avLst>
            <a:gd name="adj1" fmla="val 779993"/>
          </a:avLst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24</xdr:col>
      <xdr:colOff>101322</xdr:colOff>
      <xdr:row>114</xdr:row>
      <xdr:rowOff>58973</xdr:rowOff>
    </xdr:from>
    <xdr:to>
      <xdr:col>33</xdr:col>
      <xdr:colOff>89639</xdr:colOff>
      <xdr:row>117</xdr:row>
      <xdr:rowOff>67240</xdr:rowOff>
    </xdr:to>
    <xdr:sp macro="" textlink="">
      <xdr:nvSpPr>
        <xdr:cNvPr id="122" name="フローチャート: 複数書類 121">
          <a:extLst>
            <a:ext uri="{FF2B5EF4-FFF2-40B4-BE49-F238E27FC236}">
              <a16:creationId xmlns:a16="http://schemas.microsoft.com/office/drawing/2014/main" id="{A61FF978-AE14-45FC-B635-04DDFA1B917A}"/>
            </a:ext>
          </a:extLst>
        </xdr:cNvPr>
        <xdr:cNvSpPr/>
      </xdr:nvSpPr>
      <xdr:spPr>
        <a:xfrm>
          <a:off x="4673322" y="26989323"/>
          <a:ext cx="1702817" cy="579767"/>
        </a:xfrm>
        <a:prstGeom prst="flowChartMultidocumen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申請した証明書種類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ysClr val="windowText" lastClr="000000"/>
              </a:solidFill>
              <a:effectLst/>
            </a:rPr>
            <a:t>例：高精度分析データ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(ICP)</a:t>
          </a:r>
        </a:p>
      </xdr:txBody>
    </xdr:sp>
    <xdr:clientData/>
  </xdr:twoCellAnchor>
  <xdr:twoCellAnchor>
    <xdr:from>
      <xdr:col>29</xdr:col>
      <xdr:colOff>118334</xdr:colOff>
      <xdr:row>111</xdr:row>
      <xdr:rowOff>4</xdr:rowOff>
    </xdr:from>
    <xdr:to>
      <xdr:col>29</xdr:col>
      <xdr:colOff>120049</xdr:colOff>
      <xdr:row>114</xdr:row>
      <xdr:rowOff>58973</xdr:rowOff>
    </xdr:to>
    <xdr:cxnSp macro="">
      <xdr:nvCxnSpPr>
        <xdr:cNvPr id="123" name="直線コネクタ 122">
          <a:extLst>
            <a:ext uri="{FF2B5EF4-FFF2-40B4-BE49-F238E27FC236}">
              <a16:creationId xmlns:a16="http://schemas.microsoft.com/office/drawing/2014/main" id="{C9506F38-D627-4369-B11E-4522D965B085}"/>
            </a:ext>
          </a:extLst>
        </xdr:cNvPr>
        <xdr:cNvCxnSpPr>
          <a:stCxn id="122" idx="0"/>
          <a:endCxn id="124" idx="2"/>
        </xdr:cNvCxnSpPr>
      </xdr:nvCxnSpPr>
      <xdr:spPr>
        <a:xfrm flipH="1" flipV="1">
          <a:off x="5642834" y="26358854"/>
          <a:ext cx="1715" cy="630469"/>
        </a:xfrm>
        <a:prstGeom prst="lin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26</xdr:col>
      <xdr:colOff>158233</xdr:colOff>
      <xdr:row>109</xdr:row>
      <xdr:rowOff>70811</xdr:rowOff>
    </xdr:from>
    <xdr:to>
      <xdr:col>32</xdr:col>
      <xdr:colOff>78434</xdr:colOff>
      <xdr:row>111</xdr:row>
      <xdr:rowOff>4</xdr:rowOff>
    </xdr:to>
    <xdr:sp macro="" textlink="">
      <xdr:nvSpPr>
        <xdr:cNvPr id="124" name="フローチャート: 処理 123">
          <a:extLst>
            <a:ext uri="{FF2B5EF4-FFF2-40B4-BE49-F238E27FC236}">
              <a16:creationId xmlns:a16="http://schemas.microsoft.com/office/drawing/2014/main" id="{A120C0A4-8726-41B6-AAE0-DDA517B492AE}"/>
            </a:ext>
          </a:extLst>
        </xdr:cNvPr>
        <xdr:cNvSpPr/>
      </xdr:nvSpPr>
      <xdr:spPr>
        <a:xfrm>
          <a:off x="5111233" y="26048661"/>
          <a:ext cx="1063201" cy="310193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Non-compliant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202181</xdr:colOff>
      <xdr:row>114</xdr:row>
      <xdr:rowOff>70180</xdr:rowOff>
    </xdr:from>
    <xdr:to>
      <xdr:col>23</xdr:col>
      <xdr:colOff>179291</xdr:colOff>
      <xdr:row>117</xdr:row>
      <xdr:rowOff>67241</xdr:rowOff>
    </xdr:to>
    <xdr:sp macro="" textlink="">
      <xdr:nvSpPr>
        <xdr:cNvPr id="125" name="フローチャート: 複数書類 124">
          <a:extLst>
            <a:ext uri="{FF2B5EF4-FFF2-40B4-BE49-F238E27FC236}">
              <a16:creationId xmlns:a16="http://schemas.microsoft.com/office/drawing/2014/main" id="{E199F152-3AFB-4209-9904-F7A55575B412}"/>
            </a:ext>
          </a:extLst>
        </xdr:cNvPr>
        <xdr:cNvSpPr/>
      </xdr:nvSpPr>
      <xdr:spPr>
        <a:xfrm>
          <a:off x="2856481" y="27000530"/>
          <a:ext cx="1704310" cy="568561"/>
        </a:xfrm>
        <a:prstGeom prst="flowChartMultidocumen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申請した証明書種類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ysClr val="windowText" lastClr="000000"/>
              </a:solidFill>
              <a:effectLst/>
            </a:rPr>
            <a:t>例：ハロゲンフリー証明書</a:t>
          </a:r>
        </a:p>
      </xdr:txBody>
    </xdr:sp>
    <xdr:clientData/>
  </xdr:twoCellAnchor>
  <xdr:twoCellAnchor>
    <xdr:from>
      <xdr:col>20</xdr:col>
      <xdr:colOff>1622</xdr:colOff>
      <xdr:row>111</xdr:row>
      <xdr:rowOff>22416</xdr:rowOff>
    </xdr:from>
    <xdr:to>
      <xdr:col>20</xdr:col>
      <xdr:colOff>17487</xdr:colOff>
      <xdr:row>114</xdr:row>
      <xdr:rowOff>70180</xdr:rowOff>
    </xdr:to>
    <xdr:cxnSp macro="">
      <xdr:nvCxnSpPr>
        <xdr:cNvPr id="126" name="直線コネクタ 125">
          <a:extLst>
            <a:ext uri="{FF2B5EF4-FFF2-40B4-BE49-F238E27FC236}">
              <a16:creationId xmlns:a16="http://schemas.microsoft.com/office/drawing/2014/main" id="{3F5D7522-9542-443E-9F59-9A12CDD0C5A4}"/>
            </a:ext>
          </a:extLst>
        </xdr:cNvPr>
        <xdr:cNvCxnSpPr>
          <a:stCxn id="125" idx="0"/>
          <a:endCxn id="127" idx="2"/>
        </xdr:cNvCxnSpPr>
      </xdr:nvCxnSpPr>
      <xdr:spPr>
        <a:xfrm flipV="1">
          <a:off x="3811622" y="26381266"/>
          <a:ext cx="15865" cy="619264"/>
        </a:xfrm>
        <a:prstGeom prst="lin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17</xdr:col>
      <xdr:colOff>57386</xdr:colOff>
      <xdr:row>109</xdr:row>
      <xdr:rowOff>93223</xdr:rowOff>
    </xdr:from>
    <xdr:to>
      <xdr:col>22</xdr:col>
      <xdr:colOff>190498</xdr:colOff>
      <xdr:row>111</xdr:row>
      <xdr:rowOff>22416</xdr:rowOff>
    </xdr:to>
    <xdr:sp macro="" textlink="">
      <xdr:nvSpPr>
        <xdr:cNvPr id="127" name="フローチャート: 処理 126">
          <a:extLst>
            <a:ext uri="{FF2B5EF4-FFF2-40B4-BE49-F238E27FC236}">
              <a16:creationId xmlns:a16="http://schemas.microsoft.com/office/drawing/2014/main" id="{E4127753-A3E8-410A-BAA0-30C45B3A436D}"/>
            </a:ext>
          </a:extLst>
        </xdr:cNvPr>
        <xdr:cNvSpPr/>
      </xdr:nvSpPr>
      <xdr:spPr>
        <a:xfrm>
          <a:off x="3295886" y="26071073"/>
          <a:ext cx="1085612" cy="310193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Request</a:t>
          </a:r>
        </a:p>
      </xdr:txBody>
    </xdr:sp>
    <xdr:clientData/>
  </xdr:twoCellAnchor>
  <xdr:twoCellAnchor>
    <xdr:from>
      <xdr:col>6</xdr:col>
      <xdr:colOff>67712</xdr:colOff>
      <xdr:row>114</xdr:row>
      <xdr:rowOff>92589</xdr:rowOff>
    </xdr:from>
    <xdr:to>
      <xdr:col>14</xdr:col>
      <xdr:colOff>112059</xdr:colOff>
      <xdr:row>117</xdr:row>
      <xdr:rowOff>168092</xdr:rowOff>
    </xdr:to>
    <xdr:sp macro="" textlink="">
      <xdr:nvSpPr>
        <xdr:cNvPr id="128" name="フローチャート: 複数書類 127">
          <a:extLst>
            <a:ext uri="{FF2B5EF4-FFF2-40B4-BE49-F238E27FC236}">
              <a16:creationId xmlns:a16="http://schemas.microsoft.com/office/drawing/2014/main" id="{68515F4D-5117-4051-A454-CE662D8057E5}"/>
            </a:ext>
          </a:extLst>
        </xdr:cNvPr>
        <xdr:cNvSpPr/>
      </xdr:nvSpPr>
      <xdr:spPr>
        <a:xfrm>
          <a:off x="1210712" y="27022939"/>
          <a:ext cx="1568347" cy="647003"/>
        </a:xfrm>
        <a:prstGeom prst="flowChartMultidocumen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申請した証明書種類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ysClr val="windowText" lastClr="000000"/>
              </a:solidFill>
              <a:effectLst/>
            </a:rPr>
            <a:t>例：</a:t>
          </a:r>
          <a:r>
            <a:rPr lang="en-US" altLang="ja-JP" sz="1000">
              <a:solidFill>
                <a:sysClr val="windowText" lastClr="000000"/>
              </a:solidFill>
              <a:effectLst/>
            </a:rPr>
            <a:t>RoHS</a:t>
          </a:r>
          <a:r>
            <a:rPr lang="ja-JP" altLang="en-US" sz="1000">
              <a:solidFill>
                <a:sysClr val="windowText" lastClr="000000"/>
              </a:solidFill>
              <a:effectLst/>
            </a:rPr>
            <a:t>適合、成分表</a:t>
          </a:r>
        </a:p>
      </xdr:txBody>
    </xdr:sp>
    <xdr:clientData/>
  </xdr:twoCellAnchor>
  <xdr:twoCellAnchor>
    <xdr:from>
      <xdr:col>10</xdr:col>
      <xdr:colOff>207988</xdr:colOff>
      <xdr:row>111</xdr:row>
      <xdr:rowOff>33622</xdr:rowOff>
    </xdr:from>
    <xdr:to>
      <xdr:col>10</xdr:col>
      <xdr:colOff>210117</xdr:colOff>
      <xdr:row>114</xdr:row>
      <xdr:rowOff>92590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894CBA31-420D-40E4-B65E-B6BA28A12A73}"/>
            </a:ext>
          </a:extLst>
        </xdr:cNvPr>
        <xdr:cNvCxnSpPr>
          <a:stCxn id="128" idx="0"/>
          <a:endCxn id="130" idx="2"/>
        </xdr:cNvCxnSpPr>
      </xdr:nvCxnSpPr>
      <xdr:spPr>
        <a:xfrm flipH="1" flipV="1">
          <a:off x="2093938" y="26392472"/>
          <a:ext cx="2129" cy="630468"/>
        </a:xfrm>
        <a:prstGeom prst="lin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8</xdr:col>
      <xdr:colOff>34976</xdr:colOff>
      <xdr:row>109</xdr:row>
      <xdr:rowOff>104429</xdr:rowOff>
    </xdr:from>
    <xdr:to>
      <xdr:col>13</xdr:col>
      <xdr:colOff>168088</xdr:colOff>
      <xdr:row>111</xdr:row>
      <xdr:rowOff>33622</xdr:rowOff>
    </xdr:to>
    <xdr:sp macro="" textlink="">
      <xdr:nvSpPr>
        <xdr:cNvPr id="130" name="フローチャート: 処理 129">
          <a:extLst>
            <a:ext uri="{FF2B5EF4-FFF2-40B4-BE49-F238E27FC236}">
              <a16:creationId xmlns:a16="http://schemas.microsoft.com/office/drawing/2014/main" id="{20B10418-D1D9-4DD2-80B2-2F2B8D532363}"/>
            </a:ext>
          </a:extLst>
        </xdr:cNvPr>
        <xdr:cNvSpPr/>
      </xdr:nvSpPr>
      <xdr:spPr>
        <a:xfrm>
          <a:off x="1558976" y="26082279"/>
          <a:ext cx="1085612" cy="310193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申請可能</a:t>
          </a:r>
        </a:p>
      </xdr:txBody>
    </xdr:sp>
    <xdr:clientData/>
  </xdr:twoCellAnchor>
  <xdr:twoCellAnchor>
    <xdr:from>
      <xdr:col>20</xdr:col>
      <xdr:colOff>17487</xdr:colOff>
      <xdr:row>106</xdr:row>
      <xdr:rowOff>193638</xdr:rowOff>
    </xdr:from>
    <xdr:to>
      <xdr:col>20</xdr:col>
      <xdr:colOff>25444</xdr:colOff>
      <xdr:row>109</xdr:row>
      <xdr:rowOff>93223</xdr:rowOff>
    </xdr:to>
    <xdr:cxnSp macro="">
      <xdr:nvCxnSpPr>
        <xdr:cNvPr id="131" name="直線コネクタ 130">
          <a:extLst>
            <a:ext uri="{FF2B5EF4-FFF2-40B4-BE49-F238E27FC236}">
              <a16:creationId xmlns:a16="http://schemas.microsoft.com/office/drawing/2014/main" id="{7403520F-8FF1-4F00-8E5C-02B2AF9EA854}"/>
            </a:ext>
          </a:extLst>
        </xdr:cNvPr>
        <xdr:cNvCxnSpPr>
          <a:stCxn id="127" idx="0"/>
          <a:endCxn id="132" idx="2"/>
        </xdr:cNvCxnSpPr>
      </xdr:nvCxnSpPr>
      <xdr:spPr>
        <a:xfrm flipV="1">
          <a:off x="3827487" y="25599988"/>
          <a:ext cx="7957" cy="471085"/>
        </a:xfrm>
        <a:prstGeom prst="lin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14</xdr:col>
      <xdr:colOff>101385</xdr:colOff>
      <xdr:row>105</xdr:row>
      <xdr:rowOff>20739</xdr:rowOff>
    </xdr:from>
    <xdr:to>
      <xdr:col>25</xdr:col>
      <xdr:colOff>162413</xdr:colOff>
      <xdr:row>106</xdr:row>
      <xdr:rowOff>193638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A5CEC77D-9BD5-42A9-93A4-ADB73540E712}"/>
            </a:ext>
          </a:extLst>
        </xdr:cNvPr>
        <xdr:cNvSpPr/>
      </xdr:nvSpPr>
      <xdr:spPr>
        <a:xfrm>
          <a:off x="2768385" y="25236589"/>
          <a:ext cx="2156528" cy="363399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43208</xdr:colOff>
      <xdr:row>108</xdr:row>
      <xdr:rowOff>172836</xdr:rowOff>
    </xdr:from>
    <xdr:to>
      <xdr:col>33</xdr:col>
      <xdr:colOff>78443</xdr:colOff>
      <xdr:row>111</xdr:row>
      <xdr:rowOff>112059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BDEB20BB-44E2-4CFA-AC73-F7616AB49DE7}"/>
            </a:ext>
          </a:extLst>
        </xdr:cNvPr>
        <xdr:cNvSpPr/>
      </xdr:nvSpPr>
      <xdr:spPr>
        <a:xfrm>
          <a:off x="1376708" y="25960186"/>
          <a:ext cx="4988235" cy="510723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23</xdr:col>
      <xdr:colOff>212903</xdr:colOff>
      <xdr:row>113</xdr:row>
      <xdr:rowOff>134470</xdr:rowOff>
    </xdr:from>
    <xdr:to>
      <xdr:col>33</xdr:col>
      <xdr:colOff>164555</xdr:colOff>
      <xdr:row>118</xdr:row>
      <xdr:rowOff>46415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FC3E9980-F0D9-4E35-884E-E57F5150E34F}"/>
            </a:ext>
          </a:extLst>
        </xdr:cNvPr>
        <xdr:cNvSpPr/>
      </xdr:nvSpPr>
      <xdr:spPr>
        <a:xfrm>
          <a:off x="4569003" y="26874320"/>
          <a:ext cx="1882052" cy="864445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67234</xdr:colOff>
      <xdr:row>111</xdr:row>
      <xdr:rowOff>168090</xdr:rowOff>
    </xdr:from>
    <xdr:to>
      <xdr:col>10</xdr:col>
      <xdr:colOff>133359</xdr:colOff>
      <xdr:row>114</xdr:row>
      <xdr:rowOff>118146</xdr:rowOff>
    </xdr:to>
    <xdr:sp macro="" textlink="">
      <xdr:nvSpPr>
        <xdr:cNvPr id="135" name="フローチャート: 処理 134">
          <a:extLst>
            <a:ext uri="{FF2B5EF4-FFF2-40B4-BE49-F238E27FC236}">
              <a16:creationId xmlns:a16="http://schemas.microsoft.com/office/drawing/2014/main" id="{DD3957E9-2D42-4E4A-B04A-0212E330718A}"/>
            </a:ext>
          </a:extLst>
        </xdr:cNvPr>
        <xdr:cNvSpPr/>
      </xdr:nvSpPr>
      <xdr:spPr>
        <a:xfrm rot="5400000">
          <a:off x="1649269" y="26659405"/>
          <a:ext cx="521556" cy="256625"/>
        </a:xfrm>
        <a:prstGeom prst="flowChartProcess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1:N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18</xdr:col>
      <xdr:colOff>56026</xdr:colOff>
      <xdr:row>111</xdr:row>
      <xdr:rowOff>123268</xdr:rowOff>
    </xdr:from>
    <xdr:to>
      <xdr:col>19</xdr:col>
      <xdr:colOff>122151</xdr:colOff>
      <xdr:row>114</xdr:row>
      <xdr:rowOff>73324</xdr:rowOff>
    </xdr:to>
    <xdr:sp macro="" textlink="">
      <xdr:nvSpPr>
        <xdr:cNvPr id="136" name="フローチャート: 処理 135">
          <a:extLst>
            <a:ext uri="{FF2B5EF4-FFF2-40B4-BE49-F238E27FC236}">
              <a16:creationId xmlns:a16="http://schemas.microsoft.com/office/drawing/2014/main" id="{7CE965A1-4F33-4C95-B630-0F10034007F2}"/>
            </a:ext>
          </a:extLst>
        </xdr:cNvPr>
        <xdr:cNvSpPr/>
      </xdr:nvSpPr>
      <xdr:spPr>
        <a:xfrm rot="5400000">
          <a:off x="3352561" y="26614583"/>
          <a:ext cx="521556" cy="256625"/>
        </a:xfrm>
        <a:prstGeom prst="flowChartProcess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1:N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27</xdr:col>
      <xdr:colOff>212902</xdr:colOff>
      <xdr:row>111</xdr:row>
      <xdr:rowOff>22415</xdr:rowOff>
    </xdr:from>
    <xdr:to>
      <xdr:col>29</xdr:col>
      <xdr:colOff>66116</xdr:colOff>
      <xdr:row>113</xdr:row>
      <xdr:rowOff>174177</xdr:rowOff>
    </xdr:to>
    <xdr:sp macro="" textlink="">
      <xdr:nvSpPr>
        <xdr:cNvPr id="137" name="フローチャート: 処理 136">
          <a:extLst>
            <a:ext uri="{FF2B5EF4-FFF2-40B4-BE49-F238E27FC236}">
              <a16:creationId xmlns:a16="http://schemas.microsoft.com/office/drawing/2014/main" id="{E65F2666-811B-4E60-80E1-24336DC35585}"/>
            </a:ext>
          </a:extLst>
        </xdr:cNvPr>
        <xdr:cNvSpPr/>
      </xdr:nvSpPr>
      <xdr:spPr>
        <a:xfrm rot="5400000">
          <a:off x="5194428" y="26517839"/>
          <a:ext cx="532762" cy="259614"/>
        </a:xfrm>
        <a:prstGeom prst="flowChartProcess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1:N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37</xdr:col>
      <xdr:colOff>129889</xdr:colOff>
      <xdr:row>98</xdr:row>
      <xdr:rowOff>11206</xdr:rowOff>
    </xdr:from>
    <xdr:to>
      <xdr:col>54</xdr:col>
      <xdr:colOff>190499</xdr:colOff>
      <xdr:row>121</xdr:row>
      <xdr:rowOff>68835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BA565EC2-92C4-4A98-892F-940E3E48A711}"/>
            </a:ext>
          </a:extLst>
        </xdr:cNvPr>
        <xdr:cNvSpPr/>
      </xdr:nvSpPr>
      <xdr:spPr>
        <a:xfrm>
          <a:off x="7178389" y="23893556"/>
          <a:ext cx="3299110" cy="443912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>
          <a:solidFill>
            <a:schemeClr val="accent6">
              <a:lumMod val="40000"/>
              <a:lumOff val="60000"/>
            </a:schemeClr>
          </a:solidFill>
          <a:prstDash val="solid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2.7</a:t>
          </a:r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～</a:t>
          </a:r>
          <a:r>
            <a:rPr kumimoji="1" lang="en-US" altLang="ja-JP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2.12</a:t>
          </a:r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画面表示一覧</a:t>
          </a:r>
        </a:p>
      </xdr:txBody>
    </xdr:sp>
    <xdr:clientData/>
  </xdr:twoCellAnchor>
  <xdr:twoCellAnchor>
    <xdr:from>
      <xdr:col>38</xdr:col>
      <xdr:colOff>203053</xdr:colOff>
      <xdr:row>105</xdr:row>
      <xdr:rowOff>37982</xdr:rowOff>
    </xdr:from>
    <xdr:to>
      <xdr:col>49</xdr:col>
      <xdr:colOff>2941</xdr:colOff>
      <xdr:row>106</xdr:row>
      <xdr:rowOff>137383</xdr:rowOff>
    </xdr:to>
    <xdr:sp macro="" textlink="">
      <xdr:nvSpPr>
        <xdr:cNvPr id="139" name="フローチャート: 処理 138">
          <a:extLst>
            <a:ext uri="{FF2B5EF4-FFF2-40B4-BE49-F238E27FC236}">
              <a16:creationId xmlns:a16="http://schemas.microsoft.com/office/drawing/2014/main" id="{545A0CFA-04F7-49F7-8071-7AF1ADA94208}"/>
            </a:ext>
          </a:extLst>
        </xdr:cNvPr>
        <xdr:cNvSpPr/>
      </xdr:nvSpPr>
      <xdr:spPr>
        <a:xfrm>
          <a:off x="7429353" y="25253832"/>
          <a:ext cx="1908088" cy="289901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2.8 CL</a:t>
          </a:r>
          <a:r>
            <a:rPr kumimoji="1" lang="ja-JP" altLang="en-US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（製品番号）</a:t>
          </a:r>
        </a:p>
      </xdr:txBody>
    </xdr:sp>
    <xdr:clientData/>
  </xdr:twoCellAnchor>
  <xdr:twoCellAnchor>
    <xdr:from>
      <xdr:col>39</xdr:col>
      <xdr:colOff>19811</xdr:colOff>
      <xdr:row>114</xdr:row>
      <xdr:rowOff>23122</xdr:rowOff>
    </xdr:from>
    <xdr:to>
      <xdr:col>49</xdr:col>
      <xdr:colOff>73806</xdr:colOff>
      <xdr:row>117</xdr:row>
      <xdr:rowOff>98465</xdr:rowOff>
    </xdr:to>
    <xdr:sp macro="" textlink="">
      <xdr:nvSpPr>
        <xdr:cNvPr id="140" name="フローチャート: 処理 139">
          <a:extLst>
            <a:ext uri="{FF2B5EF4-FFF2-40B4-BE49-F238E27FC236}">
              <a16:creationId xmlns:a16="http://schemas.microsoft.com/office/drawing/2014/main" id="{3B495500-3777-4005-AA4B-36502DB66EDC}"/>
            </a:ext>
          </a:extLst>
        </xdr:cNvPr>
        <xdr:cNvSpPr/>
      </xdr:nvSpPr>
      <xdr:spPr>
        <a:xfrm>
          <a:off x="7449311" y="26953472"/>
          <a:ext cx="1958995" cy="646843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2.12 </a:t>
          </a:r>
          <a:r>
            <a:rPr kumimoji="1" lang="ja-JP" altLang="en-US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申請された証明書種類</a:t>
          </a:r>
        </a:p>
      </xdr:txBody>
    </xdr:sp>
    <xdr:clientData/>
  </xdr:twoCellAnchor>
  <xdr:twoCellAnchor>
    <xdr:from>
      <xdr:col>39</xdr:col>
      <xdr:colOff>17048</xdr:colOff>
      <xdr:row>108</xdr:row>
      <xdr:rowOff>182768</xdr:rowOff>
    </xdr:from>
    <xdr:to>
      <xdr:col>49</xdr:col>
      <xdr:colOff>71280</xdr:colOff>
      <xdr:row>111</xdr:row>
      <xdr:rowOff>155010</xdr:rowOff>
    </xdr:to>
    <xdr:sp macro="" textlink="">
      <xdr:nvSpPr>
        <xdr:cNvPr id="141" name="フローチャート: 処理 140">
          <a:extLst>
            <a:ext uri="{FF2B5EF4-FFF2-40B4-BE49-F238E27FC236}">
              <a16:creationId xmlns:a16="http://schemas.microsoft.com/office/drawing/2014/main" id="{A540707D-214A-42A2-9612-C407B0604D74}"/>
            </a:ext>
          </a:extLst>
        </xdr:cNvPr>
        <xdr:cNvSpPr/>
      </xdr:nvSpPr>
      <xdr:spPr>
        <a:xfrm>
          <a:off x="7446548" y="25970118"/>
          <a:ext cx="1959232" cy="543742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2.13 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製品毎の申請可否チェック結果</a:t>
          </a:r>
        </a:p>
      </xdr:txBody>
    </xdr:sp>
    <xdr:clientData/>
  </xdr:twoCellAnchor>
  <xdr:twoCellAnchor>
    <xdr:from>
      <xdr:col>25</xdr:col>
      <xdr:colOff>67236</xdr:colOff>
      <xdr:row>105</xdr:row>
      <xdr:rowOff>47954</xdr:rowOff>
    </xdr:from>
    <xdr:to>
      <xdr:col>39</xdr:col>
      <xdr:colOff>134471</xdr:colOff>
      <xdr:row>106</xdr:row>
      <xdr:rowOff>112058</xdr:rowOff>
    </xdr:to>
    <xdr:sp macro="" textlink="">
      <xdr:nvSpPr>
        <xdr:cNvPr id="142" name="右矢印 319">
          <a:extLst>
            <a:ext uri="{FF2B5EF4-FFF2-40B4-BE49-F238E27FC236}">
              <a16:creationId xmlns:a16="http://schemas.microsoft.com/office/drawing/2014/main" id="{2550ED04-2040-4A7B-8B94-78975704921C}"/>
            </a:ext>
          </a:extLst>
        </xdr:cNvPr>
        <xdr:cNvSpPr/>
      </xdr:nvSpPr>
      <xdr:spPr>
        <a:xfrm>
          <a:off x="4829736" y="25263804"/>
          <a:ext cx="2734235" cy="254604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49842</xdr:colOff>
      <xdr:row>109</xdr:row>
      <xdr:rowOff>153635</xdr:rowOff>
    </xdr:from>
    <xdr:to>
      <xdr:col>39</xdr:col>
      <xdr:colOff>67235</xdr:colOff>
      <xdr:row>111</xdr:row>
      <xdr:rowOff>56029</xdr:rowOff>
    </xdr:to>
    <xdr:sp macro="" textlink="">
      <xdr:nvSpPr>
        <xdr:cNvPr id="143" name="右矢印 320">
          <a:extLst>
            <a:ext uri="{FF2B5EF4-FFF2-40B4-BE49-F238E27FC236}">
              <a16:creationId xmlns:a16="http://schemas.microsoft.com/office/drawing/2014/main" id="{1752E1B1-0A4A-458E-B3D7-F0E727ADC398}"/>
            </a:ext>
          </a:extLst>
        </xdr:cNvPr>
        <xdr:cNvSpPr/>
      </xdr:nvSpPr>
      <xdr:spPr>
        <a:xfrm>
          <a:off x="6336342" y="26131485"/>
          <a:ext cx="1160393" cy="283394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indent="0"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12091</xdr:colOff>
      <xdr:row>115</xdr:row>
      <xdr:rowOff>40000</xdr:rowOff>
    </xdr:from>
    <xdr:to>
      <xdr:col>39</xdr:col>
      <xdr:colOff>156882</xdr:colOff>
      <xdr:row>116</xdr:row>
      <xdr:rowOff>123265</xdr:rowOff>
    </xdr:to>
    <xdr:sp macro="" textlink="">
      <xdr:nvSpPr>
        <xdr:cNvPr id="144" name="右矢印 324">
          <a:extLst>
            <a:ext uri="{FF2B5EF4-FFF2-40B4-BE49-F238E27FC236}">
              <a16:creationId xmlns:a16="http://schemas.microsoft.com/office/drawing/2014/main" id="{02887DFA-4648-4669-AC80-0CD053AE7AB5}"/>
            </a:ext>
          </a:extLst>
        </xdr:cNvPr>
        <xdr:cNvSpPr/>
      </xdr:nvSpPr>
      <xdr:spPr>
        <a:xfrm>
          <a:off x="6298591" y="27160850"/>
          <a:ext cx="1287791" cy="273765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indent="0"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16566</xdr:colOff>
      <xdr:row>100</xdr:row>
      <xdr:rowOff>147354</xdr:rowOff>
    </xdr:from>
    <xdr:to>
      <xdr:col>23</xdr:col>
      <xdr:colOff>160025</xdr:colOff>
      <xdr:row>102</xdr:row>
      <xdr:rowOff>45049</xdr:rowOff>
    </xdr:to>
    <xdr:sp macro="" textlink="">
      <xdr:nvSpPr>
        <xdr:cNvPr id="145" name="フローチャート: 処理 144">
          <a:extLst>
            <a:ext uri="{FF2B5EF4-FFF2-40B4-BE49-F238E27FC236}">
              <a16:creationId xmlns:a16="http://schemas.microsoft.com/office/drawing/2014/main" id="{F49097C5-7C11-4167-9A43-498F7764A9CD}"/>
            </a:ext>
          </a:extLst>
        </xdr:cNvPr>
        <xdr:cNvSpPr/>
      </xdr:nvSpPr>
      <xdr:spPr>
        <a:xfrm>
          <a:off x="3064566" y="24410704"/>
          <a:ext cx="1476959" cy="278695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製品名</a:t>
          </a:r>
        </a:p>
      </xdr:txBody>
    </xdr:sp>
    <xdr:clientData/>
  </xdr:twoCellAnchor>
  <xdr:twoCellAnchor>
    <xdr:from>
      <xdr:col>14</xdr:col>
      <xdr:colOff>100852</xdr:colOff>
      <xdr:row>100</xdr:row>
      <xdr:rowOff>112059</xdr:rowOff>
    </xdr:from>
    <xdr:to>
      <xdr:col>25</xdr:col>
      <xdr:colOff>161880</xdr:colOff>
      <xdr:row>102</xdr:row>
      <xdr:rowOff>83253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9DEB2F2C-7BFC-4FF2-97AD-BA87CF8FECE9}"/>
            </a:ext>
          </a:extLst>
        </xdr:cNvPr>
        <xdr:cNvSpPr/>
      </xdr:nvSpPr>
      <xdr:spPr>
        <a:xfrm>
          <a:off x="2767852" y="24375409"/>
          <a:ext cx="2156528" cy="352194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39</xdr:col>
      <xdr:colOff>1</xdr:colOff>
      <xdr:row>100</xdr:row>
      <xdr:rowOff>179294</xdr:rowOff>
    </xdr:from>
    <xdr:to>
      <xdr:col>49</xdr:col>
      <xdr:colOff>12801</xdr:colOff>
      <xdr:row>102</xdr:row>
      <xdr:rowOff>76990</xdr:rowOff>
    </xdr:to>
    <xdr:sp macro="" textlink="">
      <xdr:nvSpPr>
        <xdr:cNvPr id="147" name="フローチャート: 処理 146">
          <a:extLst>
            <a:ext uri="{FF2B5EF4-FFF2-40B4-BE49-F238E27FC236}">
              <a16:creationId xmlns:a16="http://schemas.microsoft.com/office/drawing/2014/main" id="{8BADA109-DB96-4E51-B288-746E5EAA2A00}"/>
            </a:ext>
          </a:extLst>
        </xdr:cNvPr>
        <xdr:cNvSpPr/>
      </xdr:nvSpPr>
      <xdr:spPr>
        <a:xfrm>
          <a:off x="7429501" y="24442644"/>
          <a:ext cx="1917800" cy="278696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2.7 </a:t>
          </a:r>
          <a:r>
            <a:rPr kumimoji="1" lang="ja-JP" altLang="en-US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製品名</a:t>
          </a:r>
        </a:p>
      </xdr:txBody>
    </xdr:sp>
    <xdr:clientData/>
  </xdr:twoCellAnchor>
  <xdr:twoCellAnchor>
    <xdr:from>
      <xdr:col>25</xdr:col>
      <xdr:colOff>67235</xdr:colOff>
      <xdr:row>101</xdr:row>
      <xdr:rowOff>0</xdr:rowOff>
    </xdr:from>
    <xdr:to>
      <xdr:col>39</xdr:col>
      <xdr:colOff>134470</xdr:colOff>
      <xdr:row>102</xdr:row>
      <xdr:rowOff>64104</xdr:rowOff>
    </xdr:to>
    <xdr:sp macro="" textlink="">
      <xdr:nvSpPr>
        <xdr:cNvPr id="148" name="右矢印 330">
          <a:extLst>
            <a:ext uri="{FF2B5EF4-FFF2-40B4-BE49-F238E27FC236}">
              <a16:creationId xmlns:a16="http://schemas.microsoft.com/office/drawing/2014/main" id="{5A37C0DB-6E02-4AF9-902C-EA0D21770D54}"/>
            </a:ext>
          </a:extLst>
        </xdr:cNvPr>
        <xdr:cNvSpPr/>
      </xdr:nvSpPr>
      <xdr:spPr>
        <a:xfrm>
          <a:off x="4829735" y="24453850"/>
          <a:ext cx="2734235" cy="254604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184655</xdr:colOff>
      <xdr:row>164</xdr:row>
      <xdr:rowOff>124943</xdr:rowOff>
    </xdr:from>
    <xdr:to>
      <xdr:col>23</xdr:col>
      <xdr:colOff>115202</xdr:colOff>
      <xdr:row>166</xdr:row>
      <xdr:rowOff>22638</xdr:rowOff>
    </xdr:to>
    <xdr:sp macro="" textlink="">
      <xdr:nvSpPr>
        <xdr:cNvPr id="151" name="フローチャート: 処理 150">
          <a:extLst>
            <a:ext uri="{FF2B5EF4-FFF2-40B4-BE49-F238E27FC236}">
              <a16:creationId xmlns:a16="http://schemas.microsoft.com/office/drawing/2014/main" id="{87211331-209B-49FE-826D-966185D53513}"/>
            </a:ext>
          </a:extLst>
        </xdr:cNvPr>
        <xdr:cNvSpPr/>
      </xdr:nvSpPr>
      <xdr:spPr>
        <a:xfrm>
          <a:off x="3042155" y="48035693"/>
          <a:ext cx="1454547" cy="278695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製品名</a:t>
          </a:r>
        </a:p>
      </xdr:txBody>
    </xdr:sp>
    <xdr:clientData/>
  </xdr:twoCellAnchor>
  <xdr:twoCellAnchor>
    <xdr:from>
      <xdr:col>14</xdr:col>
      <xdr:colOff>56029</xdr:colOff>
      <xdr:row>164</xdr:row>
      <xdr:rowOff>89648</xdr:rowOff>
    </xdr:from>
    <xdr:to>
      <xdr:col>25</xdr:col>
      <xdr:colOff>117057</xdr:colOff>
      <xdr:row>166</xdr:row>
      <xdr:rowOff>60842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5FD10284-225A-4457-B18C-94538EC1201E}"/>
            </a:ext>
          </a:extLst>
        </xdr:cNvPr>
        <xdr:cNvSpPr/>
      </xdr:nvSpPr>
      <xdr:spPr>
        <a:xfrm>
          <a:off x="2723029" y="48000398"/>
          <a:ext cx="2156528" cy="352194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37</xdr:col>
      <xdr:colOff>67237</xdr:colOff>
      <xdr:row>164</xdr:row>
      <xdr:rowOff>145677</xdr:rowOff>
    </xdr:from>
    <xdr:to>
      <xdr:col>44</xdr:col>
      <xdr:colOff>86923</xdr:colOff>
      <xdr:row>166</xdr:row>
      <xdr:rowOff>45887</xdr:rowOff>
    </xdr:to>
    <xdr:sp macro="" textlink="">
      <xdr:nvSpPr>
        <xdr:cNvPr id="153" name="フローチャート: 処理 152">
          <a:extLst>
            <a:ext uri="{FF2B5EF4-FFF2-40B4-BE49-F238E27FC236}">
              <a16:creationId xmlns:a16="http://schemas.microsoft.com/office/drawing/2014/main" id="{FC16542A-F0D2-44B0-B0D3-932F165996AC}"/>
            </a:ext>
          </a:extLst>
        </xdr:cNvPr>
        <xdr:cNvSpPr/>
      </xdr:nvSpPr>
      <xdr:spPr>
        <a:xfrm>
          <a:off x="7115737" y="48056427"/>
          <a:ext cx="1353186" cy="281210"/>
        </a:xfrm>
        <a:prstGeom prst="flowChartProcess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CSV</a:t>
          </a:r>
          <a:r>
            <a:rPr kumimoji="1" lang="ja-JP" altLang="en-US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本文</a:t>
          </a:r>
          <a:r>
            <a:rPr kumimoji="1" lang="en-US" altLang="ja-JP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kumimoji="1" lang="ja-JP" altLang="en-US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製品名</a:t>
          </a:r>
        </a:p>
      </xdr:txBody>
    </xdr:sp>
    <xdr:clientData/>
  </xdr:twoCellAnchor>
  <xdr:twoCellAnchor>
    <xdr:from>
      <xdr:col>24</xdr:col>
      <xdr:colOff>146795</xdr:colOff>
      <xdr:row>164</xdr:row>
      <xdr:rowOff>179295</xdr:rowOff>
    </xdr:from>
    <xdr:to>
      <xdr:col>37</xdr:col>
      <xdr:colOff>110937</xdr:colOff>
      <xdr:row>166</xdr:row>
      <xdr:rowOff>41693</xdr:rowOff>
    </xdr:to>
    <xdr:sp macro="" textlink="">
      <xdr:nvSpPr>
        <xdr:cNvPr id="154" name="右矢印 343">
          <a:extLst>
            <a:ext uri="{FF2B5EF4-FFF2-40B4-BE49-F238E27FC236}">
              <a16:creationId xmlns:a16="http://schemas.microsoft.com/office/drawing/2014/main" id="{643C34E1-C256-440F-B815-D0671CD15BD7}"/>
            </a:ext>
          </a:extLst>
        </xdr:cNvPr>
        <xdr:cNvSpPr/>
      </xdr:nvSpPr>
      <xdr:spPr>
        <a:xfrm>
          <a:off x="4718795" y="48090045"/>
          <a:ext cx="2440642" cy="243398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48718</xdr:colOff>
      <xdr:row>169</xdr:row>
      <xdr:rowOff>20739</xdr:rowOff>
    </xdr:from>
    <xdr:to>
      <xdr:col>25</xdr:col>
      <xdr:colOff>109746</xdr:colOff>
      <xdr:row>170</xdr:row>
      <xdr:rowOff>193638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F4CEA7D9-6ACD-4A95-B417-2A0422130066}"/>
            </a:ext>
          </a:extLst>
        </xdr:cNvPr>
        <xdr:cNvSpPr/>
      </xdr:nvSpPr>
      <xdr:spPr>
        <a:xfrm>
          <a:off x="2715718" y="48883989"/>
          <a:ext cx="2156528" cy="363399"/>
        </a:xfrm>
        <a:prstGeom prst="rect">
          <a:avLst/>
        </a:prstGeom>
        <a:noFill/>
        <a:ln w="28575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24</xdr:col>
      <xdr:colOff>142466</xdr:colOff>
      <xdr:row>169</xdr:row>
      <xdr:rowOff>98152</xdr:rowOff>
    </xdr:from>
    <xdr:to>
      <xdr:col>37</xdr:col>
      <xdr:colOff>133697</xdr:colOff>
      <xdr:row>170</xdr:row>
      <xdr:rowOff>119212</xdr:rowOff>
    </xdr:to>
    <xdr:sp macro="" textlink="">
      <xdr:nvSpPr>
        <xdr:cNvPr id="156" name="右矢印 512">
          <a:extLst>
            <a:ext uri="{FF2B5EF4-FFF2-40B4-BE49-F238E27FC236}">
              <a16:creationId xmlns:a16="http://schemas.microsoft.com/office/drawing/2014/main" id="{8E7F99A4-941A-415C-9995-452705D69833}"/>
            </a:ext>
          </a:extLst>
        </xdr:cNvPr>
        <xdr:cNvSpPr/>
      </xdr:nvSpPr>
      <xdr:spPr>
        <a:xfrm>
          <a:off x="4714466" y="48961402"/>
          <a:ext cx="2467731" cy="211560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21166</xdr:colOff>
      <xdr:row>7</xdr:row>
      <xdr:rowOff>190500</xdr:rowOff>
    </xdr:from>
    <xdr:to>
      <xdr:col>58</xdr:col>
      <xdr:colOff>190500</xdr:colOff>
      <xdr:row>17</xdr:row>
      <xdr:rowOff>74084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7A4B26B-6B1F-4B17-97B8-E6467E599C7A}"/>
            </a:ext>
          </a:extLst>
        </xdr:cNvPr>
        <xdr:cNvSpPr/>
      </xdr:nvSpPr>
      <xdr:spPr>
        <a:xfrm>
          <a:off x="7082366" y="2463800"/>
          <a:ext cx="3712634" cy="1826684"/>
        </a:xfrm>
        <a:prstGeom prst="rect">
          <a:avLst/>
        </a:prstGeom>
        <a:noFill/>
        <a:ln w="19050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38</xdr:col>
      <xdr:colOff>22411</xdr:colOff>
      <xdr:row>19</xdr:row>
      <xdr:rowOff>190500</xdr:rowOff>
    </xdr:from>
    <xdr:to>
      <xdr:col>58</xdr:col>
      <xdr:colOff>191745</xdr:colOff>
      <xdr:row>29</xdr:row>
      <xdr:rowOff>74084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6CAB6AC-F7BD-49CE-BF70-CF461FF0ABD3}"/>
            </a:ext>
          </a:extLst>
        </xdr:cNvPr>
        <xdr:cNvSpPr/>
      </xdr:nvSpPr>
      <xdr:spPr>
        <a:xfrm>
          <a:off x="7083611" y="4787900"/>
          <a:ext cx="3712634" cy="1788584"/>
        </a:xfrm>
        <a:prstGeom prst="rect">
          <a:avLst/>
        </a:prstGeom>
        <a:noFill/>
        <a:ln w="19050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0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7</xdr:row>
      <xdr:rowOff>38100</xdr:rowOff>
    </xdr:from>
    <xdr:to>
      <xdr:col>2</xdr:col>
      <xdr:colOff>156483</xdr:colOff>
      <xdr:row>7</xdr:row>
      <xdr:rowOff>180975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D26CB18A-19CB-40D6-BAA9-D3FCE408C9F5}"/>
            </a:ext>
          </a:extLst>
        </xdr:cNvPr>
        <xdr:cNvSpPr/>
      </xdr:nvSpPr>
      <xdr:spPr>
        <a:xfrm>
          <a:off x="400051" y="1162050"/>
          <a:ext cx="156482" cy="142875"/>
        </a:xfrm>
        <a:prstGeom prst="leftArrow">
          <a:avLst/>
        </a:prstGeom>
        <a:solidFill>
          <a:schemeClr val="bg1">
            <a:lumMod val="5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190500</xdr:colOff>
      <xdr:row>20</xdr:row>
      <xdr:rowOff>19051</xdr:rowOff>
    </xdr:from>
    <xdr:to>
      <xdr:col>29</xdr:col>
      <xdr:colOff>104775</xdr:colOff>
      <xdr:row>23</xdr:row>
      <xdr:rowOff>9525</xdr:rowOff>
    </xdr:to>
    <xdr:sp macro="" textlink="">
      <xdr:nvSpPr>
        <xdr:cNvPr id="26" name="四角形吹き出し 11">
          <a:extLst>
            <a:ext uri="{FF2B5EF4-FFF2-40B4-BE49-F238E27FC236}">
              <a16:creationId xmlns:a16="http://schemas.microsoft.com/office/drawing/2014/main" id="{81C88106-4EC8-483E-9968-510063037A38}"/>
            </a:ext>
          </a:extLst>
        </xdr:cNvPr>
        <xdr:cNvSpPr/>
      </xdr:nvSpPr>
      <xdr:spPr>
        <a:xfrm>
          <a:off x="4591050" y="3200401"/>
          <a:ext cx="1314450" cy="390524"/>
        </a:xfrm>
        <a:prstGeom prst="wedgeRectCallout">
          <a:avLst>
            <a:gd name="adj1" fmla="val -80873"/>
            <a:gd name="adj2" fmla="val -60775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各ステップは前段選択後に表示する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152400</xdr:colOff>
      <xdr:row>26</xdr:row>
      <xdr:rowOff>152400</xdr:rowOff>
    </xdr:from>
    <xdr:to>
      <xdr:col>20</xdr:col>
      <xdr:colOff>152400</xdr:colOff>
      <xdr:row>28</xdr:row>
      <xdr:rowOff>152400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6E3D40A0-E374-436F-BA84-3727C262AF44}"/>
            </a:ext>
          </a:extLst>
        </xdr:cNvPr>
        <xdr:cNvSpPr/>
      </xdr:nvSpPr>
      <xdr:spPr>
        <a:xfrm>
          <a:off x="2752725" y="4248150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次へ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102</xdr:row>
      <xdr:rowOff>0</xdr:rowOff>
    </xdr:from>
    <xdr:to>
      <xdr:col>24</xdr:col>
      <xdr:colOff>0</xdr:colOff>
      <xdr:row>104</xdr:row>
      <xdr:rowOff>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3400425" y="1544002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en-US" altLang="ja-JP" sz="900" b="1"/>
            <a:t>CD</a:t>
          </a:r>
          <a:r>
            <a:rPr kumimoji="1" lang="ja-JP" altLang="en-US" sz="900" b="1"/>
            <a:t>資料出力</a:t>
          </a:r>
        </a:p>
      </xdr:txBody>
    </xdr:sp>
    <xdr:clientData/>
  </xdr:twoCellAnchor>
  <xdr:twoCellAnchor>
    <xdr:from>
      <xdr:col>25</xdr:col>
      <xdr:colOff>0</xdr:colOff>
      <xdr:row>102</xdr:row>
      <xdr:rowOff>0</xdr:rowOff>
    </xdr:from>
    <xdr:to>
      <xdr:col>32</xdr:col>
      <xdr:colOff>0</xdr:colOff>
      <xdr:row>104</xdr:row>
      <xdr:rowOff>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5000625" y="1544002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一時保存</a:t>
          </a:r>
        </a:p>
      </xdr:txBody>
    </xdr:sp>
    <xdr:clientData/>
  </xdr:twoCellAnchor>
  <xdr:twoCellAnchor>
    <xdr:from>
      <xdr:col>33</xdr:col>
      <xdr:colOff>0</xdr:colOff>
      <xdr:row>102</xdr:row>
      <xdr:rowOff>0</xdr:rowOff>
    </xdr:from>
    <xdr:to>
      <xdr:col>40</xdr:col>
      <xdr:colOff>0</xdr:colOff>
      <xdr:row>104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6600825" y="1544002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申請</a:t>
          </a:r>
        </a:p>
      </xdr:txBody>
    </xdr:sp>
    <xdr:clientData/>
  </xdr:twoCellAnchor>
  <xdr:twoCellAnchor>
    <xdr:from>
      <xdr:col>2</xdr:col>
      <xdr:colOff>1</xdr:colOff>
      <xdr:row>7</xdr:row>
      <xdr:rowOff>38100</xdr:rowOff>
    </xdr:from>
    <xdr:to>
      <xdr:col>2</xdr:col>
      <xdr:colOff>156483</xdr:colOff>
      <xdr:row>7</xdr:row>
      <xdr:rowOff>180975</xdr:rowOff>
    </xdr:to>
    <xdr:sp macro="" textlink="">
      <xdr:nvSpPr>
        <xdr:cNvPr id="2" name="矢印: 左 1">
          <a:extLst>
            <a:ext uri="{FF2B5EF4-FFF2-40B4-BE49-F238E27FC236}">
              <a16:creationId xmlns:a16="http://schemas.microsoft.com/office/drawing/2014/main" id="{02F19CD5-F025-357A-9AF1-A54B8D2A21E2}"/>
            </a:ext>
          </a:extLst>
        </xdr:cNvPr>
        <xdr:cNvSpPr/>
      </xdr:nvSpPr>
      <xdr:spPr>
        <a:xfrm>
          <a:off x="400051" y="1162050"/>
          <a:ext cx="156482" cy="142875"/>
        </a:xfrm>
        <a:prstGeom prst="leftArrow">
          <a:avLst/>
        </a:prstGeom>
        <a:solidFill>
          <a:schemeClr val="bg1">
            <a:lumMod val="5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32</xdr:col>
      <xdr:colOff>57150</xdr:colOff>
      <xdr:row>18</xdr:row>
      <xdr:rowOff>19050</xdr:rowOff>
    </xdr:from>
    <xdr:ext cx="154327" cy="154327"/>
    <xdr:pic>
      <xdr:nvPicPr>
        <xdr:cNvPr id="6" name="図 5" descr="画面の領域">
          <a:extLst>
            <a:ext uri="{FF2B5EF4-FFF2-40B4-BE49-F238E27FC236}">
              <a16:creationId xmlns:a16="http://schemas.microsoft.com/office/drawing/2014/main" id="{13C7BF72-F229-478D-9413-D7F97FE372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25" y="2743200"/>
          <a:ext cx="154327" cy="15432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3</xdr:col>
      <xdr:colOff>0</xdr:colOff>
      <xdr:row>50</xdr:row>
      <xdr:rowOff>57150</xdr:rowOff>
    </xdr:from>
    <xdr:to>
      <xdr:col>6</xdr:col>
      <xdr:colOff>190500</xdr:colOff>
      <xdr:row>51</xdr:row>
      <xdr:rowOff>142875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B7E654F-B988-43B6-741A-CAEB004A0A31}"/>
            </a:ext>
          </a:extLst>
        </xdr:cNvPr>
        <xdr:cNvSpPr/>
      </xdr:nvSpPr>
      <xdr:spPr>
        <a:xfrm>
          <a:off x="600075" y="806767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反映</a:t>
          </a:r>
        </a:p>
      </xdr:txBody>
    </xdr:sp>
    <xdr:clientData/>
  </xdr:twoCellAnchor>
  <xdr:twoCellAnchor>
    <xdr:from>
      <xdr:col>12</xdr:col>
      <xdr:colOff>171450</xdr:colOff>
      <xdr:row>12</xdr:row>
      <xdr:rowOff>152401</xdr:rowOff>
    </xdr:from>
    <xdr:to>
      <xdr:col>19</xdr:col>
      <xdr:colOff>85725</xdr:colOff>
      <xdr:row>15</xdr:row>
      <xdr:rowOff>57150</xdr:rowOff>
    </xdr:to>
    <xdr:sp macro="" textlink="">
      <xdr:nvSpPr>
        <xdr:cNvPr id="23" name="四角形吹き出し 11">
          <a:extLst>
            <a:ext uri="{FF2B5EF4-FFF2-40B4-BE49-F238E27FC236}">
              <a16:creationId xmlns:a16="http://schemas.microsoft.com/office/drawing/2014/main" id="{614D56F4-D37B-3CC5-470F-2F3A76831225}"/>
            </a:ext>
          </a:extLst>
        </xdr:cNvPr>
        <xdr:cNvSpPr/>
      </xdr:nvSpPr>
      <xdr:spPr>
        <a:xfrm>
          <a:off x="2571750" y="2190751"/>
          <a:ext cx="1314450" cy="304799"/>
        </a:xfrm>
        <a:prstGeom prst="wedgeRectCallout">
          <a:avLst>
            <a:gd name="adj1" fmla="val -77975"/>
            <a:gd name="adj2" fmla="val 49210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現状は単価上申区分のみ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114300</xdr:colOff>
      <xdr:row>20</xdr:row>
      <xdr:rowOff>9525</xdr:rowOff>
    </xdr:from>
    <xdr:to>
      <xdr:col>47</xdr:col>
      <xdr:colOff>85725</xdr:colOff>
      <xdr:row>22</xdr:row>
      <xdr:rowOff>19049</xdr:rowOff>
    </xdr:to>
    <xdr:sp macro="" textlink="">
      <xdr:nvSpPr>
        <xdr:cNvPr id="25" name="四角形吹き出し 11">
          <a:extLst>
            <a:ext uri="{FF2B5EF4-FFF2-40B4-BE49-F238E27FC236}">
              <a16:creationId xmlns:a16="http://schemas.microsoft.com/office/drawing/2014/main" id="{3A35B3E3-9053-14F4-BE0E-F7E6DEB6839F}"/>
            </a:ext>
          </a:extLst>
        </xdr:cNvPr>
        <xdr:cNvSpPr/>
      </xdr:nvSpPr>
      <xdr:spPr>
        <a:xfrm>
          <a:off x="8315325" y="3305175"/>
          <a:ext cx="1171575" cy="238124"/>
        </a:xfrm>
        <a:prstGeom prst="wedgeRectCallout">
          <a:avLst>
            <a:gd name="adj1" fmla="val -22903"/>
            <a:gd name="adj2" fmla="val 12159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工事金額</a:t>
          </a:r>
          <a:r>
            <a:rPr kumimoji="1" lang="en-US" altLang="ja-JP" sz="800">
              <a:solidFill>
                <a:sysClr val="windowText" lastClr="000000"/>
              </a:solidFill>
            </a:rPr>
            <a:t>x</a:t>
          </a:r>
          <a:r>
            <a:rPr kumimoji="1" lang="ja-JP" altLang="en-US" sz="800">
              <a:solidFill>
                <a:sysClr val="windowText" lastClr="000000"/>
              </a:solidFill>
            </a:rPr>
            <a:t>継続期間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49</xdr:col>
      <xdr:colOff>0</xdr:colOff>
      <xdr:row>26</xdr:row>
      <xdr:rowOff>0</xdr:rowOff>
    </xdr:from>
    <xdr:ext cx="201083" cy="171450"/>
    <xdr:pic>
      <xdr:nvPicPr>
        <xdr:cNvPr id="26" name="図 25">
          <a:extLst>
            <a:ext uri="{FF2B5EF4-FFF2-40B4-BE49-F238E27FC236}">
              <a16:creationId xmlns:a16="http://schemas.microsoft.com/office/drawing/2014/main" id="{88F1C993-150D-49BC-9732-3469C83DFC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801052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26</xdr:row>
      <xdr:rowOff>0</xdr:rowOff>
    </xdr:from>
    <xdr:ext cx="201083" cy="171450"/>
    <xdr:pic>
      <xdr:nvPicPr>
        <xdr:cNvPr id="27" name="図 26">
          <a:extLst>
            <a:ext uri="{FF2B5EF4-FFF2-40B4-BE49-F238E27FC236}">
              <a16:creationId xmlns:a16="http://schemas.microsoft.com/office/drawing/2014/main" id="{A5D2811B-4ED1-4C10-8D81-4B51280EC3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01052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85725</xdr:colOff>
      <xdr:row>22</xdr:row>
      <xdr:rowOff>114300</xdr:rowOff>
    </xdr:from>
    <xdr:to>
      <xdr:col>58</xdr:col>
      <xdr:colOff>0</xdr:colOff>
      <xdr:row>25</xdr:row>
      <xdr:rowOff>76199</xdr:rowOff>
    </xdr:to>
    <xdr:sp macro="" textlink="">
      <xdr:nvSpPr>
        <xdr:cNvPr id="28" name="四角形吹き出し 11">
          <a:extLst>
            <a:ext uri="{FF2B5EF4-FFF2-40B4-BE49-F238E27FC236}">
              <a16:creationId xmlns:a16="http://schemas.microsoft.com/office/drawing/2014/main" id="{0451F537-F4C8-D7CA-9156-D8DAC133BEC7}"/>
            </a:ext>
          </a:extLst>
        </xdr:cNvPr>
        <xdr:cNvSpPr/>
      </xdr:nvSpPr>
      <xdr:spPr>
        <a:xfrm>
          <a:off x="10287000" y="3695700"/>
          <a:ext cx="1314450" cy="304799"/>
        </a:xfrm>
        <a:prstGeom prst="wedgeRectCallout">
          <a:avLst>
            <a:gd name="adj1" fmla="val -68555"/>
            <a:gd name="adj2" fmla="val 10284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分類の大中小は連携。クレーム</a:t>
          </a:r>
          <a:r>
            <a:rPr kumimoji="1" lang="en-US" altLang="ja-JP" sz="800">
              <a:solidFill>
                <a:sysClr val="windowText" lastClr="000000"/>
              </a:solidFill>
            </a:rPr>
            <a:t>DB</a:t>
          </a:r>
          <a:r>
            <a:rPr kumimoji="1" lang="ja-JP" altLang="en-US" sz="800">
              <a:solidFill>
                <a:sysClr val="windowText" lastClr="000000"/>
              </a:solidFill>
            </a:rPr>
            <a:t>参照。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9525</xdr:colOff>
      <xdr:row>66</xdr:row>
      <xdr:rowOff>85725</xdr:rowOff>
    </xdr:from>
    <xdr:to>
      <xdr:col>7</xdr:col>
      <xdr:colOff>0</xdr:colOff>
      <xdr:row>68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1D5EF3E-643F-48E4-11E0-336061442327}"/>
            </a:ext>
          </a:extLst>
        </xdr:cNvPr>
        <xdr:cNvSpPr/>
      </xdr:nvSpPr>
      <xdr:spPr>
        <a:xfrm>
          <a:off x="609600" y="10267950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8</xdr:col>
      <xdr:colOff>43669</xdr:colOff>
      <xdr:row>73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BA3729D-5A88-49C6-AF0B-9FFA0ACE8B7E}"/>
            </a:ext>
          </a:extLst>
        </xdr:cNvPr>
        <xdr:cNvSpPr/>
      </xdr:nvSpPr>
      <xdr:spPr>
        <a:xfrm>
          <a:off x="600075" y="10982325"/>
          <a:ext cx="104379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 b="1">
              <a:solidFill>
                <a:srgbClr val="00B050"/>
              </a:solidFill>
            </a:rPr>
            <a:t>＋</a:t>
          </a:r>
          <a:r>
            <a:rPr kumimoji="1" lang="ja-JP" altLang="en-US" sz="900"/>
            <a:t> ファイル追加</a:t>
          </a:r>
          <a:r>
            <a:rPr kumimoji="1" lang="en-US" altLang="ja-JP" sz="900"/>
            <a:t>…</a:t>
          </a:r>
          <a:endParaRPr kumimoji="1" lang="ja-JP" altLang="en-US" sz="900"/>
        </a:p>
      </xdr:txBody>
    </xdr:sp>
    <xdr:clientData/>
  </xdr:twoCellAnchor>
  <xdr:twoCellAnchor>
    <xdr:from>
      <xdr:col>8</xdr:col>
      <xdr:colOff>156356</xdr:colOff>
      <xdr:row>72</xdr:row>
      <xdr:rowOff>0</xdr:rowOff>
    </xdr:from>
    <xdr:to>
      <xdr:col>12</xdr:col>
      <xdr:colOff>0</xdr:colOff>
      <xdr:row>73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9DD92F9-247A-43A9-9FC8-B34505BF08A9}"/>
            </a:ext>
          </a:extLst>
        </xdr:cNvPr>
        <xdr:cNvSpPr/>
      </xdr:nvSpPr>
      <xdr:spPr>
        <a:xfrm>
          <a:off x="1756556" y="10982325"/>
          <a:ext cx="64374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900"/>
            <a:t> 　中断</a:t>
          </a:r>
        </a:p>
      </xdr:txBody>
    </xdr:sp>
    <xdr:clientData/>
  </xdr:twoCellAnchor>
  <xdr:oneCellAnchor>
    <xdr:from>
      <xdr:col>22</xdr:col>
      <xdr:colOff>5715</xdr:colOff>
      <xdr:row>74</xdr:row>
      <xdr:rowOff>9502</xdr:rowOff>
    </xdr:from>
    <xdr:ext cx="219106" cy="161948"/>
    <xdr:pic>
      <xdr:nvPicPr>
        <xdr:cNvPr id="24" name="図 23" descr="画面の領域">
          <a:extLst>
            <a:ext uri="{FF2B5EF4-FFF2-40B4-BE49-F238E27FC236}">
              <a16:creationId xmlns:a16="http://schemas.microsoft.com/office/drawing/2014/main" id="{532796EB-5A3D-4D10-8744-DE85F80F5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6265" y="11677627"/>
          <a:ext cx="219106" cy="161948"/>
        </a:xfrm>
        <a:prstGeom prst="rect">
          <a:avLst/>
        </a:prstGeom>
      </xdr:spPr>
    </xdr:pic>
    <xdr:clientData/>
  </xdr:oneCellAnchor>
  <xdr:twoCellAnchor>
    <xdr:from>
      <xdr:col>12</xdr:col>
      <xdr:colOff>123825</xdr:colOff>
      <xdr:row>21</xdr:row>
      <xdr:rowOff>66676</xdr:rowOff>
    </xdr:from>
    <xdr:to>
      <xdr:col>20</xdr:col>
      <xdr:colOff>85725</xdr:colOff>
      <xdr:row>24</xdr:row>
      <xdr:rowOff>9526</xdr:rowOff>
    </xdr:to>
    <xdr:sp macro="" textlink="">
      <xdr:nvSpPr>
        <xdr:cNvPr id="10" name="四角形吹き出し 11">
          <a:extLst>
            <a:ext uri="{FF2B5EF4-FFF2-40B4-BE49-F238E27FC236}">
              <a16:creationId xmlns:a16="http://schemas.microsoft.com/office/drawing/2014/main" id="{EC1251DB-A5C5-956B-7537-2E3212B9D52E}"/>
            </a:ext>
          </a:extLst>
        </xdr:cNvPr>
        <xdr:cNvSpPr/>
      </xdr:nvSpPr>
      <xdr:spPr>
        <a:xfrm>
          <a:off x="2524125" y="3419476"/>
          <a:ext cx="1562100" cy="342900"/>
        </a:xfrm>
        <a:prstGeom prst="wedgeRectCallout">
          <a:avLst>
            <a:gd name="adj1" fmla="val -49605"/>
            <a:gd name="adj2" fmla="val -82175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口銭率は円販売でも表示する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0</xdr:colOff>
      <xdr:row>87</xdr:row>
      <xdr:rowOff>0</xdr:rowOff>
    </xdr:from>
    <xdr:ext cx="201083" cy="171450"/>
    <xdr:pic>
      <xdr:nvPicPr>
        <xdr:cNvPr id="19" name="図 18">
          <a:extLst>
            <a:ext uri="{FF2B5EF4-FFF2-40B4-BE49-F238E27FC236}">
              <a16:creationId xmlns:a16="http://schemas.microsoft.com/office/drawing/2014/main" id="{6B4324E6-6753-49E8-AC60-70EC5452ACA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178242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77</xdr:row>
      <xdr:rowOff>152400</xdr:rowOff>
    </xdr:from>
    <xdr:to>
      <xdr:col>3</xdr:col>
      <xdr:colOff>28</xdr:colOff>
      <xdr:row>79</xdr:row>
      <xdr:rowOff>15269</xdr:rowOff>
    </xdr:to>
    <xdr:pic>
      <xdr:nvPicPr>
        <xdr:cNvPr id="30" name="図 29" descr="画面の領域">
          <a:extLst>
            <a:ext uri="{FF2B5EF4-FFF2-40B4-BE49-F238E27FC236}">
              <a16:creationId xmlns:a16="http://schemas.microsoft.com/office/drawing/2014/main" id="{58F31C2A-A6A6-405E-8D8A-2EDD6CBF3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1877675"/>
          <a:ext cx="198148" cy="205769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  <xdr:oneCellAnchor>
    <xdr:from>
      <xdr:col>38</xdr:col>
      <xdr:colOff>0</xdr:colOff>
      <xdr:row>97</xdr:row>
      <xdr:rowOff>9502</xdr:rowOff>
    </xdr:from>
    <xdr:ext cx="219106" cy="161948"/>
    <xdr:pic>
      <xdr:nvPicPr>
        <xdr:cNvPr id="31" name="図 30" descr="画面の領域">
          <a:extLst>
            <a:ext uri="{FF2B5EF4-FFF2-40B4-BE49-F238E27FC236}">
              <a16:creationId xmlns:a16="http://schemas.microsoft.com/office/drawing/2014/main" id="{678B2EA0-2138-4B82-8D87-2176D17B0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11334727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98</xdr:row>
      <xdr:rowOff>9502</xdr:rowOff>
    </xdr:from>
    <xdr:ext cx="219106" cy="161948"/>
    <xdr:pic>
      <xdr:nvPicPr>
        <xdr:cNvPr id="32" name="図 31" descr="画面の領域">
          <a:extLst>
            <a:ext uri="{FF2B5EF4-FFF2-40B4-BE49-F238E27FC236}">
              <a16:creationId xmlns:a16="http://schemas.microsoft.com/office/drawing/2014/main" id="{1E1824F7-A21D-4396-BBC6-5F152A3F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020777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99</xdr:row>
      <xdr:rowOff>9502</xdr:rowOff>
    </xdr:from>
    <xdr:ext cx="219106" cy="161948"/>
    <xdr:pic>
      <xdr:nvPicPr>
        <xdr:cNvPr id="33" name="図 32" descr="画面の領域">
          <a:extLst>
            <a:ext uri="{FF2B5EF4-FFF2-40B4-BE49-F238E27FC236}">
              <a16:creationId xmlns:a16="http://schemas.microsoft.com/office/drawing/2014/main" id="{0E50A762-839F-4E8E-B377-3F87C2E90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192227"/>
          <a:ext cx="219106" cy="161948"/>
        </a:xfrm>
        <a:prstGeom prst="rect">
          <a:avLst/>
        </a:prstGeom>
      </xdr:spPr>
    </xdr:pic>
    <xdr:clientData/>
  </xdr:oneCellAnchor>
  <xdr:oneCellAnchor>
    <xdr:from>
      <xdr:col>6</xdr:col>
      <xdr:colOff>190500</xdr:colOff>
      <xdr:row>95</xdr:row>
      <xdr:rowOff>0</xdr:rowOff>
    </xdr:from>
    <xdr:ext cx="201083" cy="171450"/>
    <xdr:pic>
      <xdr:nvPicPr>
        <xdr:cNvPr id="34" name="図 33">
          <a:extLst>
            <a:ext uri="{FF2B5EF4-FFF2-40B4-BE49-F238E27FC236}">
              <a16:creationId xmlns:a16="http://schemas.microsoft.com/office/drawing/2014/main" id="{91FC4B96-76C6-14CF-F9B3-3201D9BA45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366837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43</xdr:col>
      <xdr:colOff>38100</xdr:colOff>
      <xdr:row>92</xdr:row>
      <xdr:rowOff>15240</xdr:rowOff>
    </xdr:from>
    <xdr:to>
      <xdr:col>58</xdr:col>
      <xdr:colOff>76201</xdr:colOff>
      <xdr:row>96</xdr:row>
      <xdr:rowOff>91440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41C9DB2C-D907-7AE6-DC0A-B01D00E66CE7}"/>
            </a:ext>
          </a:extLst>
        </xdr:cNvPr>
        <xdr:cNvSpPr txBox="1"/>
      </xdr:nvSpPr>
      <xdr:spPr>
        <a:xfrm>
          <a:off x="8557260" y="13944600"/>
          <a:ext cx="3009901" cy="662940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solidFill>
                <a:sysClr val="windowText" lastClr="000000"/>
              </a:solidFill>
            </a:rPr>
            <a:t>WF</a:t>
          </a:r>
          <a:r>
            <a:rPr kumimoji="1" lang="ja-JP" altLang="en-US" sz="900">
              <a:solidFill>
                <a:sysClr val="windowText" lastClr="000000"/>
              </a:solidFill>
            </a:rPr>
            <a:t>関連は汎用上申同等とする。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r>
            <a:rPr kumimoji="1" lang="ja-JP" altLang="en-US" sz="900">
              <a:solidFill>
                <a:sysClr val="windowText" lastClr="000000"/>
              </a:solidFill>
            </a:rPr>
            <a:t>承認者は最大</a:t>
          </a:r>
          <a:r>
            <a:rPr kumimoji="1" lang="en-US" altLang="ja-JP" sz="900">
              <a:solidFill>
                <a:sysClr val="windowText" lastClr="000000"/>
              </a:solidFill>
            </a:rPr>
            <a:t>30</a:t>
          </a:r>
          <a:r>
            <a:rPr kumimoji="1" lang="ja-JP" altLang="en-US" sz="900">
              <a:solidFill>
                <a:sysClr val="windowText" lastClr="000000"/>
              </a:solidFill>
            </a:rPr>
            <a:t>ノードまで、確認者数上限は無し。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r>
            <a:rPr kumimoji="1" lang="ja-JP" altLang="en-US" sz="900">
              <a:solidFill>
                <a:sysClr val="windowText" lastClr="000000"/>
              </a:solidFill>
            </a:rPr>
            <a:t>処理者には組織も指定可能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66675</xdr:colOff>
      <xdr:row>45</xdr:row>
      <xdr:rowOff>19050</xdr:rowOff>
    </xdr:from>
    <xdr:to>
      <xdr:col>37</xdr:col>
      <xdr:colOff>161925</xdr:colOff>
      <xdr:row>47</xdr:row>
      <xdr:rowOff>19050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B9228494-C759-48D4-BF67-B4F182F12F0C}"/>
            </a:ext>
          </a:extLst>
        </xdr:cNvPr>
        <xdr:cNvSpPr txBox="1"/>
      </xdr:nvSpPr>
      <xdr:spPr>
        <a:xfrm>
          <a:off x="4667250" y="6972300"/>
          <a:ext cx="2895600" cy="371475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ysClr val="windowText" lastClr="000000"/>
              </a:solidFill>
            </a:rPr>
            <a:t>カスタム品の場合については外貨販売シートを参照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89535</xdr:colOff>
      <xdr:row>96</xdr:row>
      <xdr:rowOff>83820</xdr:rowOff>
    </xdr:from>
    <xdr:to>
      <xdr:col>51</xdr:col>
      <xdr:colOff>152400</xdr:colOff>
      <xdr:row>99</xdr:row>
      <xdr:rowOff>19050</xdr:rowOff>
    </xdr:to>
    <xdr:sp macro="" textlink="">
      <xdr:nvSpPr>
        <xdr:cNvPr id="12" name="四角形吹き出し 11">
          <a:extLst>
            <a:ext uri="{FF2B5EF4-FFF2-40B4-BE49-F238E27FC236}">
              <a16:creationId xmlns:a16="http://schemas.microsoft.com/office/drawing/2014/main" id="{5BDFAB28-19E6-0223-3C6B-7A6DA64CCDBD}"/>
            </a:ext>
          </a:extLst>
        </xdr:cNvPr>
        <xdr:cNvSpPr/>
      </xdr:nvSpPr>
      <xdr:spPr>
        <a:xfrm>
          <a:off x="8490585" y="13752195"/>
          <a:ext cx="1863090" cy="449580"/>
        </a:xfrm>
        <a:prstGeom prst="wedgeRectCallout">
          <a:avLst>
            <a:gd name="adj1" fmla="val -72459"/>
            <a:gd name="adj2" fmla="val 241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汎用上申では確認者は完了案件を参照出来るが同じ仕様とする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9525</xdr:colOff>
      <xdr:row>17</xdr:row>
      <xdr:rowOff>9525</xdr:rowOff>
    </xdr:from>
    <xdr:ext cx="201083" cy="171450"/>
    <xdr:pic>
      <xdr:nvPicPr>
        <xdr:cNvPr id="15" name="図 14">
          <a:extLst>
            <a:ext uri="{FF2B5EF4-FFF2-40B4-BE49-F238E27FC236}">
              <a16:creationId xmlns:a16="http://schemas.microsoft.com/office/drawing/2014/main" id="{047C44BF-A15F-CAF8-215B-9B58407085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79082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146684</xdr:colOff>
      <xdr:row>65</xdr:row>
      <xdr:rowOff>133349</xdr:rowOff>
    </xdr:from>
    <xdr:to>
      <xdr:col>44</xdr:col>
      <xdr:colOff>158115</xdr:colOff>
      <xdr:row>80</xdr:row>
      <xdr:rowOff>19050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27A13FC-9FE2-8287-0574-D9E060535063}"/>
            </a:ext>
          </a:extLst>
        </xdr:cNvPr>
        <xdr:cNvSpPr txBox="1"/>
      </xdr:nvSpPr>
      <xdr:spPr>
        <a:xfrm>
          <a:off x="4747259" y="10487024"/>
          <a:ext cx="4211956" cy="2114551"/>
        </a:xfrm>
        <a:prstGeom prst="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ysClr val="windowText" lastClr="000000"/>
              </a:solidFill>
            </a:rPr>
            <a:t>・明細欄の数値項目の仕様</a:t>
          </a:r>
        </a:p>
        <a:p>
          <a:r>
            <a:rPr kumimoji="1" lang="ja-JP" altLang="en-US" sz="900">
              <a:solidFill>
                <a:sysClr val="windowText" lastClr="000000"/>
              </a:solidFill>
            </a:rPr>
            <a:t>→金額欄は四捨五入して小数点第四位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r>
            <a:rPr kumimoji="1" lang="en-US" altLang="ja-JP" sz="900">
              <a:solidFill>
                <a:sysClr val="windowText" lastClr="000000"/>
              </a:solidFill>
            </a:rPr>
            <a:t>%</a:t>
          </a:r>
          <a:r>
            <a:rPr kumimoji="1" lang="ja-JP" altLang="en-US" sz="900">
              <a:solidFill>
                <a:sysClr val="windowText" lastClr="000000"/>
              </a:solidFill>
            </a:rPr>
            <a:t>は小数点第一位、数量は整数</a:t>
          </a:r>
        </a:p>
        <a:p>
          <a:endParaRPr kumimoji="1" lang="en-US" altLang="ja-JP" sz="900">
            <a:solidFill>
              <a:sysClr val="windowText" lastClr="000000"/>
            </a:solidFill>
          </a:endParaRPr>
        </a:p>
        <a:p>
          <a:r>
            <a:rPr kumimoji="1" lang="ja-JP" altLang="en-US" sz="900">
              <a:solidFill>
                <a:sysClr val="windowText" lastClr="000000"/>
              </a:solidFill>
            </a:rPr>
            <a:t>・小計、合計欄の数値項目の仕様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r>
            <a:rPr kumimoji="1" lang="ja-JP" altLang="en-US" sz="900" b="0">
              <a:solidFill>
                <a:sysClr val="windowText" lastClr="000000"/>
              </a:solidFill>
            </a:rPr>
            <a:t>→円販売の金額欄は四捨五入して整数。外貨は小数点第二位。</a:t>
          </a:r>
          <a:endParaRPr kumimoji="1" lang="en-US" altLang="ja-JP" sz="900" b="0">
            <a:solidFill>
              <a:sysClr val="windowText" lastClr="000000"/>
            </a:solidFill>
          </a:endParaRPr>
        </a:p>
        <a:p>
          <a:r>
            <a:rPr kumimoji="1" lang="en-US" altLang="ja-JP" sz="900" b="0">
              <a:solidFill>
                <a:sysClr val="windowText" lastClr="000000"/>
              </a:solidFill>
            </a:rPr>
            <a:t>%</a:t>
          </a:r>
          <a:r>
            <a:rPr kumimoji="1" lang="ja-JP" altLang="en-US" sz="900" b="0">
              <a:solidFill>
                <a:sysClr val="windowText" lastClr="000000"/>
              </a:solidFill>
            </a:rPr>
            <a:t>は小数点第一位、数量は整数</a:t>
          </a:r>
          <a:endParaRPr kumimoji="1" lang="en-US" altLang="ja-JP" sz="900" b="0">
            <a:solidFill>
              <a:sysClr val="windowText" lastClr="000000"/>
            </a:solidFill>
          </a:endParaRPr>
        </a:p>
        <a:p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en-US" altLang="ja-JP" sz="900">
              <a:solidFill>
                <a:sysClr val="windowText" lastClr="000000"/>
              </a:solidFill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</a:rPr>
            <a:t>承認者確認用欄の色付け仕様</a:t>
          </a:r>
          <a:r>
            <a:rPr kumimoji="1" lang="en-US" altLang="ja-JP" sz="900">
              <a:solidFill>
                <a:sysClr val="windowText" lastClr="000000"/>
              </a:solidFill>
            </a:rPr>
            <a:t>】</a:t>
          </a:r>
        </a:p>
        <a:p>
          <a:r>
            <a:rPr kumimoji="1" lang="ja-JP" altLang="en-US" sz="900">
              <a:solidFill>
                <a:sysClr val="windowText" lastClr="000000"/>
              </a:solidFill>
            </a:rPr>
            <a:t>・貢献率、</a:t>
          </a:r>
          <a:r>
            <a:rPr kumimoji="1" lang="ja-JP" altLang="en-US" sz="900">
              <a:solidFill>
                <a:srgbClr val="FF0000"/>
              </a:solidFill>
            </a:rPr>
            <a:t>国内収益性、連結収益性</a:t>
          </a:r>
          <a:r>
            <a:rPr kumimoji="1" lang="ja-JP" altLang="en-US" sz="900">
              <a:solidFill>
                <a:sysClr val="windowText" lastClr="000000"/>
              </a:solidFill>
            </a:rPr>
            <a:t>：</a:t>
          </a:r>
          <a:r>
            <a:rPr kumimoji="1" lang="en-US" altLang="ja-JP" sz="900">
              <a:solidFill>
                <a:sysClr val="windowText" lastClr="000000"/>
              </a:solidFill>
            </a:rPr>
            <a:t>30%</a:t>
          </a:r>
          <a:r>
            <a:rPr kumimoji="1" lang="ja-JP" altLang="en-US" sz="900">
              <a:solidFill>
                <a:sysClr val="windowText" lastClr="000000"/>
              </a:solidFill>
            </a:rPr>
            <a:t>未満赤字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r>
            <a:rPr kumimoji="1" lang="ja-JP" altLang="en-US" sz="900">
              <a:solidFill>
                <a:sysClr val="windowText" lastClr="000000"/>
              </a:solidFill>
            </a:rPr>
            <a:t>・貢献率以外の</a:t>
          </a:r>
          <a:r>
            <a:rPr kumimoji="1" lang="en-US" altLang="ja-JP" sz="900">
              <a:solidFill>
                <a:sysClr val="windowText" lastClr="000000"/>
              </a:solidFill>
            </a:rPr>
            <a:t>%</a:t>
          </a:r>
          <a:r>
            <a:rPr kumimoji="1" lang="ja-JP" altLang="en-US" sz="900">
              <a:solidFill>
                <a:sysClr val="windowText" lastClr="000000"/>
              </a:solidFill>
            </a:rPr>
            <a:t>表示項目は、マイナスの場合赤字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r>
            <a:rPr kumimoji="1" lang="ja-JP" altLang="en-US" sz="900">
              <a:solidFill>
                <a:sysClr val="windowText" lastClr="000000"/>
              </a:solidFill>
            </a:rPr>
            <a:t>・数値項目はマイナスの場合赤字</a:t>
          </a:r>
          <a:endParaRPr kumimoji="1" lang="en-US" altLang="ja-JP" sz="900" b="1">
            <a:solidFill>
              <a:sysClr val="windowText" lastClr="000000"/>
            </a:solidFill>
          </a:endParaRPr>
        </a:p>
        <a:p>
          <a:endParaRPr kumimoji="1" lang="en-US" altLang="ja-JP" sz="900">
            <a:solidFill>
              <a:srgbClr val="FF0000"/>
            </a:solidFill>
          </a:endParaRPr>
        </a:p>
        <a:p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171450</xdr:colOff>
      <xdr:row>35</xdr:row>
      <xdr:rowOff>85725</xdr:rowOff>
    </xdr:from>
    <xdr:to>
      <xdr:col>27</xdr:col>
      <xdr:colOff>85725</xdr:colOff>
      <xdr:row>36</xdr:row>
      <xdr:rowOff>161924</xdr:rowOff>
    </xdr:to>
    <xdr:sp macro="" textlink="">
      <xdr:nvSpPr>
        <xdr:cNvPr id="4" name="四角形吹き出し 11">
          <a:extLst>
            <a:ext uri="{FF2B5EF4-FFF2-40B4-BE49-F238E27FC236}">
              <a16:creationId xmlns:a16="http://schemas.microsoft.com/office/drawing/2014/main" id="{B42CFB17-CB6A-412B-C957-3DAAB6EB37F0}"/>
            </a:ext>
          </a:extLst>
        </xdr:cNvPr>
        <xdr:cNvSpPr/>
      </xdr:nvSpPr>
      <xdr:spPr>
        <a:xfrm>
          <a:off x="4171950" y="5610225"/>
          <a:ext cx="1314450" cy="247649"/>
        </a:xfrm>
        <a:prstGeom prst="wedgeRectCallout">
          <a:avLst>
            <a:gd name="adj1" fmla="val -68555"/>
            <a:gd name="adj2" fmla="val 10284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エラーメッセージ。現行まま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0</xdr:colOff>
      <xdr:row>80</xdr:row>
      <xdr:rowOff>47625</xdr:rowOff>
    </xdr:from>
    <xdr:ext cx="201083" cy="171450"/>
    <xdr:pic>
      <xdr:nvPicPr>
        <xdr:cNvPr id="3" name="図 2">
          <a:extLst>
            <a:ext uri="{FF2B5EF4-FFF2-40B4-BE49-F238E27FC236}">
              <a16:creationId xmlns:a16="http://schemas.microsoft.com/office/drawing/2014/main" id="{DF77AD2F-2B58-DA2B-4B3F-69DC6E5954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26301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123825</xdr:colOff>
      <xdr:row>50</xdr:row>
      <xdr:rowOff>57150</xdr:rowOff>
    </xdr:from>
    <xdr:to>
      <xdr:col>11</xdr:col>
      <xdr:colOff>114300</xdr:colOff>
      <xdr:row>51</xdr:row>
      <xdr:rowOff>142875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1C22224-25D3-4FD6-8F05-999701825B5C}"/>
            </a:ext>
          </a:extLst>
        </xdr:cNvPr>
        <xdr:cNvSpPr/>
      </xdr:nvSpPr>
      <xdr:spPr>
        <a:xfrm>
          <a:off x="1524000" y="806767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  <xdr:twoCellAnchor>
    <xdr:from>
      <xdr:col>9</xdr:col>
      <xdr:colOff>0</xdr:colOff>
      <xdr:row>102</xdr:row>
      <xdr:rowOff>0</xdr:rowOff>
    </xdr:from>
    <xdr:to>
      <xdr:col>16</xdr:col>
      <xdr:colOff>0</xdr:colOff>
      <xdr:row>104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112D696-CB67-FBAA-D0E5-C4F2AB24B2BB}"/>
            </a:ext>
          </a:extLst>
        </xdr:cNvPr>
        <xdr:cNvSpPr/>
      </xdr:nvSpPr>
      <xdr:spPr>
        <a:xfrm>
          <a:off x="1800225" y="1544002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印刷</a:t>
          </a:r>
        </a:p>
      </xdr:txBody>
    </xdr:sp>
    <xdr:clientData/>
  </xdr:twoCellAnchor>
  <xdr:twoCellAnchor>
    <xdr:from>
      <xdr:col>9</xdr:col>
      <xdr:colOff>80010</xdr:colOff>
      <xdr:row>105</xdr:row>
      <xdr:rowOff>83820</xdr:rowOff>
    </xdr:from>
    <xdr:to>
      <xdr:col>18</xdr:col>
      <xdr:colOff>142875</xdr:colOff>
      <xdr:row>108</xdr:row>
      <xdr:rowOff>19050</xdr:rowOff>
    </xdr:to>
    <xdr:sp macro="" textlink="">
      <xdr:nvSpPr>
        <xdr:cNvPr id="11" name="四角形吹き出し 11">
          <a:extLst>
            <a:ext uri="{FF2B5EF4-FFF2-40B4-BE49-F238E27FC236}">
              <a16:creationId xmlns:a16="http://schemas.microsoft.com/office/drawing/2014/main" id="{588652E2-2A48-FB82-9577-7F8DEFD36776}"/>
            </a:ext>
          </a:extLst>
        </xdr:cNvPr>
        <xdr:cNvSpPr/>
      </xdr:nvSpPr>
      <xdr:spPr>
        <a:xfrm>
          <a:off x="1880235" y="16038195"/>
          <a:ext cx="1863090" cy="449580"/>
        </a:xfrm>
        <a:prstGeom prst="wedgeRectCallout">
          <a:avLst>
            <a:gd name="adj1" fmla="val -41784"/>
            <a:gd name="adj2" fmla="val -99335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rgbClr val="FF0000"/>
              </a:solidFill>
            </a:rPr>
            <a:t>申請、承認グリッド除いた全体を</a:t>
          </a:r>
          <a:r>
            <a:rPr kumimoji="1" lang="en-US" altLang="ja-JP" sz="800">
              <a:solidFill>
                <a:srgbClr val="FF0000"/>
              </a:solidFill>
            </a:rPr>
            <a:t>A4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endParaRPr kumimoji="1" lang="en-US" altLang="ja-JP" sz="800">
            <a:solidFill>
              <a:srgbClr val="FF0000"/>
            </a:solidFill>
          </a:endParaRPr>
        </a:p>
        <a:p>
          <a:pPr algn="l">
            <a:lnSpc>
              <a:spcPts val="900"/>
            </a:lnSpc>
          </a:pPr>
          <a:r>
            <a:rPr kumimoji="1" lang="ja-JP" altLang="en-US" sz="800">
              <a:solidFill>
                <a:srgbClr val="FF0000"/>
              </a:solidFill>
            </a:rPr>
            <a:t>承認グリッドを</a:t>
          </a:r>
          <a:r>
            <a:rPr kumimoji="1" lang="en-US" altLang="ja-JP" sz="800">
              <a:solidFill>
                <a:srgbClr val="FF0000"/>
              </a:solidFill>
            </a:rPr>
            <a:t>A3</a:t>
          </a:r>
          <a:r>
            <a:rPr kumimoji="1" lang="ja-JP" altLang="en-US" sz="800">
              <a:solidFill>
                <a:srgbClr val="FF0000"/>
              </a:solidFill>
            </a:rPr>
            <a:t>横で出力する。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102</xdr:row>
      <xdr:rowOff>0</xdr:rowOff>
    </xdr:from>
    <xdr:to>
      <xdr:col>22</xdr:col>
      <xdr:colOff>0</xdr:colOff>
      <xdr:row>104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150C595-2F30-4EDC-80DA-4F6018BE7CAA}"/>
            </a:ext>
          </a:extLst>
        </xdr:cNvPr>
        <xdr:cNvSpPr/>
      </xdr:nvSpPr>
      <xdr:spPr>
        <a:xfrm>
          <a:off x="3000375" y="1206817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en-US" altLang="ja-JP" sz="900" b="1"/>
            <a:t>CD</a:t>
          </a:r>
          <a:r>
            <a:rPr kumimoji="1" lang="ja-JP" altLang="en-US" sz="900" b="1"/>
            <a:t>資料出力</a:t>
          </a:r>
        </a:p>
      </xdr:txBody>
    </xdr:sp>
    <xdr:clientData/>
  </xdr:twoCellAnchor>
  <xdr:twoCellAnchor>
    <xdr:from>
      <xdr:col>23</xdr:col>
      <xdr:colOff>0</xdr:colOff>
      <xdr:row>102</xdr:row>
      <xdr:rowOff>0</xdr:rowOff>
    </xdr:from>
    <xdr:to>
      <xdr:col>30</xdr:col>
      <xdr:colOff>0</xdr:colOff>
      <xdr:row>104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E5FE1E6-EB77-4569-945E-0396D3B350EB}"/>
            </a:ext>
          </a:extLst>
        </xdr:cNvPr>
        <xdr:cNvSpPr/>
      </xdr:nvSpPr>
      <xdr:spPr>
        <a:xfrm>
          <a:off x="4600575" y="1206817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一時保存</a:t>
          </a:r>
        </a:p>
      </xdr:txBody>
    </xdr:sp>
    <xdr:clientData/>
  </xdr:twoCellAnchor>
  <xdr:twoCellAnchor>
    <xdr:from>
      <xdr:col>31</xdr:col>
      <xdr:colOff>0</xdr:colOff>
      <xdr:row>102</xdr:row>
      <xdr:rowOff>0</xdr:rowOff>
    </xdr:from>
    <xdr:to>
      <xdr:col>38</xdr:col>
      <xdr:colOff>0</xdr:colOff>
      <xdr:row>104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CBAB78A-0063-4052-89DA-BB397818DDCC}"/>
            </a:ext>
          </a:extLst>
        </xdr:cNvPr>
        <xdr:cNvSpPr/>
      </xdr:nvSpPr>
      <xdr:spPr>
        <a:xfrm>
          <a:off x="6200775" y="1206817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申請</a:t>
          </a:r>
        </a:p>
      </xdr:txBody>
    </xdr:sp>
    <xdr:clientData/>
  </xdr:twoCellAnchor>
  <xdr:twoCellAnchor>
    <xdr:from>
      <xdr:col>2</xdr:col>
      <xdr:colOff>1</xdr:colOff>
      <xdr:row>7</xdr:row>
      <xdr:rowOff>38100</xdr:rowOff>
    </xdr:from>
    <xdr:to>
      <xdr:col>2</xdr:col>
      <xdr:colOff>156483</xdr:colOff>
      <xdr:row>7</xdr:row>
      <xdr:rowOff>180975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E8039612-52F5-4FB1-8A57-6795F1BD806E}"/>
            </a:ext>
          </a:extLst>
        </xdr:cNvPr>
        <xdr:cNvSpPr/>
      </xdr:nvSpPr>
      <xdr:spPr>
        <a:xfrm>
          <a:off x="400051" y="1162050"/>
          <a:ext cx="156482" cy="142875"/>
        </a:xfrm>
        <a:prstGeom prst="leftArrow">
          <a:avLst/>
        </a:prstGeom>
        <a:solidFill>
          <a:schemeClr val="bg1">
            <a:lumMod val="5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32</xdr:col>
      <xdr:colOff>57150</xdr:colOff>
      <xdr:row>18</xdr:row>
      <xdr:rowOff>19050</xdr:rowOff>
    </xdr:from>
    <xdr:ext cx="154327" cy="154327"/>
    <xdr:pic>
      <xdr:nvPicPr>
        <xdr:cNvPr id="6" name="図 5" descr="画面の領域">
          <a:extLst>
            <a:ext uri="{FF2B5EF4-FFF2-40B4-BE49-F238E27FC236}">
              <a16:creationId xmlns:a16="http://schemas.microsoft.com/office/drawing/2014/main" id="{35F1C2D6-84E9-43A4-A829-2027ED86B1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2971800"/>
          <a:ext cx="154327" cy="15432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3</xdr:col>
      <xdr:colOff>9525</xdr:colOff>
      <xdr:row>49</xdr:row>
      <xdr:rowOff>85725</xdr:rowOff>
    </xdr:from>
    <xdr:to>
      <xdr:col>7</xdr:col>
      <xdr:colOff>0</xdr:colOff>
      <xdr:row>51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D4C4C06-75EE-4A05-8D0B-E01FF3CBDF2C}"/>
            </a:ext>
          </a:extLst>
        </xdr:cNvPr>
        <xdr:cNvSpPr/>
      </xdr:nvSpPr>
      <xdr:spPr>
        <a:xfrm>
          <a:off x="609600" y="8096250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反映</a:t>
          </a:r>
        </a:p>
      </xdr:txBody>
    </xdr:sp>
    <xdr:clientData/>
  </xdr:twoCellAnchor>
  <xdr:oneCellAnchor>
    <xdr:from>
      <xdr:col>49</xdr:col>
      <xdr:colOff>0</xdr:colOff>
      <xdr:row>26</xdr:row>
      <xdr:rowOff>0</xdr:rowOff>
    </xdr:from>
    <xdr:ext cx="201083" cy="171450"/>
    <xdr:pic>
      <xdr:nvPicPr>
        <xdr:cNvPr id="17" name="図 16">
          <a:extLst>
            <a:ext uri="{FF2B5EF4-FFF2-40B4-BE49-F238E27FC236}">
              <a16:creationId xmlns:a16="http://schemas.microsoft.com/office/drawing/2014/main" id="{657A8C20-A58D-4511-BC67-AA7DB2B5A7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225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26</xdr:row>
      <xdr:rowOff>0</xdr:rowOff>
    </xdr:from>
    <xdr:ext cx="201083" cy="171450"/>
    <xdr:pic>
      <xdr:nvPicPr>
        <xdr:cNvPr id="18" name="図 17">
          <a:extLst>
            <a:ext uri="{FF2B5EF4-FFF2-40B4-BE49-F238E27FC236}">
              <a16:creationId xmlns:a16="http://schemas.microsoft.com/office/drawing/2014/main" id="{06D9E62F-BD12-4A50-8412-FD88973F68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9525</xdr:colOff>
      <xdr:row>66</xdr:row>
      <xdr:rowOff>85725</xdr:rowOff>
    </xdr:from>
    <xdr:to>
      <xdr:col>7</xdr:col>
      <xdr:colOff>0</xdr:colOff>
      <xdr:row>68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5DBC6DD7-7DC1-4AC5-8D6E-3B75CEA2FF30}"/>
            </a:ext>
          </a:extLst>
        </xdr:cNvPr>
        <xdr:cNvSpPr/>
      </xdr:nvSpPr>
      <xdr:spPr>
        <a:xfrm>
          <a:off x="609600" y="10267950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8</xdr:col>
      <xdr:colOff>43669</xdr:colOff>
      <xdr:row>73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FA3065E-AF76-4BB7-BDA4-8AF60DE73DEF}"/>
            </a:ext>
          </a:extLst>
        </xdr:cNvPr>
        <xdr:cNvSpPr/>
      </xdr:nvSpPr>
      <xdr:spPr>
        <a:xfrm>
          <a:off x="600075" y="10982325"/>
          <a:ext cx="104379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 b="1">
              <a:solidFill>
                <a:srgbClr val="00B050"/>
              </a:solidFill>
            </a:rPr>
            <a:t>＋</a:t>
          </a:r>
          <a:r>
            <a:rPr kumimoji="1" lang="ja-JP" altLang="en-US" sz="900"/>
            <a:t> ファイル追加</a:t>
          </a:r>
          <a:r>
            <a:rPr kumimoji="1" lang="en-US" altLang="ja-JP" sz="900"/>
            <a:t>…</a:t>
          </a:r>
          <a:endParaRPr kumimoji="1" lang="ja-JP" altLang="en-US" sz="900"/>
        </a:p>
      </xdr:txBody>
    </xdr:sp>
    <xdr:clientData/>
  </xdr:twoCellAnchor>
  <xdr:twoCellAnchor>
    <xdr:from>
      <xdr:col>8</xdr:col>
      <xdr:colOff>156356</xdr:colOff>
      <xdr:row>72</xdr:row>
      <xdr:rowOff>0</xdr:rowOff>
    </xdr:from>
    <xdr:to>
      <xdr:col>12</xdr:col>
      <xdr:colOff>0</xdr:colOff>
      <xdr:row>73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775DC0F-A953-45CD-88AF-A6C03976D035}"/>
            </a:ext>
          </a:extLst>
        </xdr:cNvPr>
        <xdr:cNvSpPr/>
      </xdr:nvSpPr>
      <xdr:spPr>
        <a:xfrm>
          <a:off x="1756556" y="10982325"/>
          <a:ext cx="64374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900"/>
            <a:t> 　中断</a:t>
          </a:r>
        </a:p>
      </xdr:txBody>
    </xdr:sp>
    <xdr:clientData/>
  </xdr:twoCellAnchor>
  <xdr:oneCellAnchor>
    <xdr:from>
      <xdr:col>22</xdr:col>
      <xdr:colOff>0</xdr:colOff>
      <xdr:row>74</xdr:row>
      <xdr:rowOff>9502</xdr:rowOff>
    </xdr:from>
    <xdr:ext cx="219106" cy="161948"/>
    <xdr:pic>
      <xdr:nvPicPr>
        <xdr:cNvPr id="24" name="図 23" descr="画面の領域">
          <a:extLst>
            <a:ext uri="{FF2B5EF4-FFF2-40B4-BE49-F238E27FC236}">
              <a16:creationId xmlns:a16="http://schemas.microsoft.com/office/drawing/2014/main" id="{56E36ABB-B079-4A5F-9E83-22C14CE7D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334727"/>
          <a:ext cx="219106" cy="161948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77</xdr:row>
      <xdr:rowOff>152400</xdr:rowOff>
    </xdr:from>
    <xdr:to>
      <xdr:col>2</xdr:col>
      <xdr:colOff>198148</xdr:colOff>
      <xdr:row>79</xdr:row>
      <xdr:rowOff>15269</xdr:rowOff>
    </xdr:to>
    <xdr:pic>
      <xdr:nvPicPr>
        <xdr:cNvPr id="11" name="図 10" descr="画面の領域">
          <a:extLst>
            <a:ext uri="{FF2B5EF4-FFF2-40B4-BE49-F238E27FC236}">
              <a16:creationId xmlns:a16="http://schemas.microsoft.com/office/drawing/2014/main" id="{DDF5E072-3E1B-4D2B-8060-2E5261537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1877675"/>
          <a:ext cx="198148" cy="205769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  <xdr:oneCellAnchor>
    <xdr:from>
      <xdr:col>38</xdr:col>
      <xdr:colOff>0</xdr:colOff>
      <xdr:row>97</xdr:row>
      <xdr:rowOff>9502</xdr:rowOff>
    </xdr:from>
    <xdr:ext cx="219106" cy="161948"/>
    <xdr:pic>
      <xdr:nvPicPr>
        <xdr:cNvPr id="12" name="図 11" descr="画面の領域">
          <a:extLst>
            <a:ext uri="{FF2B5EF4-FFF2-40B4-BE49-F238E27FC236}">
              <a16:creationId xmlns:a16="http://schemas.microsoft.com/office/drawing/2014/main" id="{BA00205C-7BC4-4A5A-B31C-0B4A7FA04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020777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98</xdr:row>
      <xdr:rowOff>9502</xdr:rowOff>
    </xdr:from>
    <xdr:ext cx="219106" cy="161948"/>
    <xdr:pic>
      <xdr:nvPicPr>
        <xdr:cNvPr id="13" name="図 12" descr="画面の領域">
          <a:extLst>
            <a:ext uri="{FF2B5EF4-FFF2-40B4-BE49-F238E27FC236}">
              <a16:creationId xmlns:a16="http://schemas.microsoft.com/office/drawing/2014/main" id="{0BF6693D-FB2C-4C9B-AE95-B213233F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192227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99</xdr:row>
      <xdr:rowOff>9502</xdr:rowOff>
    </xdr:from>
    <xdr:ext cx="219106" cy="161948"/>
    <xdr:pic>
      <xdr:nvPicPr>
        <xdr:cNvPr id="14" name="図 13" descr="画面の領域">
          <a:extLst>
            <a:ext uri="{FF2B5EF4-FFF2-40B4-BE49-F238E27FC236}">
              <a16:creationId xmlns:a16="http://schemas.microsoft.com/office/drawing/2014/main" id="{68BAB11D-C04D-454C-859F-DB31F9D95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363677"/>
          <a:ext cx="219106" cy="161948"/>
        </a:xfrm>
        <a:prstGeom prst="rect">
          <a:avLst/>
        </a:prstGeom>
      </xdr:spPr>
    </xdr:pic>
    <xdr:clientData/>
  </xdr:oneCellAnchor>
  <xdr:oneCellAnchor>
    <xdr:from>
      <xdr:col>6</xdr:col>
      <xdr:colOff>190500</xdr:colOff>
      <xdr:row>95</xdr:row>
      <xdr:rowOff>0</xdr:rowOff>
    </xdr:from>
    <xdr:ext cx="201083" cy="171450"/>
    <xdr:pic>
      <xdr:nvPicPr>
        <xdr:cNvPr id="15" name="図 14">
          <a:extLst>
            <a:ext uri="{FF2B5EF4-FFF2-40B4-BE49-F238E27FC236}">
              <a16:creationId xmlns:a16="http://schemas.microsoft.com/office/drawing/2014/main" id="{020EA3C4-7F6B-477B-9F03-EB8E87085C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366837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9525</xdr:colOff>
      <xdr:row>17</xdr:row>
      <xdr:rowOff>0</xdr:rowOff>
    </xdr:from>
    <xdr:ext cx="201083" cy="171450"/>
    <xdr:pic>
      <xdr:nvPicPr>
        <xdr:cNvPr id="10" name="図 9">
          <a:extLst>
            <a:ext uri="{FF2B5EF4-FFF2-40B4-BE49-F238E27FC236}">
              <a16:creationId xmlns:a16="http://schemas.microsoft.com/office/drawing/2014/main" id="{4D1FC5A6-DB48-4A0B-BDFC-07A466ED2C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78130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01083" cy="171450"/>
    <xdr:pic>
      <xdr:nvPicPr>
        <xdr:cNvPr id="19" name="図 18">
          <a:extLst>
            <a:ext uri="{FF2B5EF4-FFF2-40B4-BE49-F238E27FC236}">
              <a16:creationId xmlns:a16="http://schemas.microsoft.com/office/drawing/2014/main" id="{AF8A48F3-3BEF-4AD8-B46E-5F2303F4E9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332547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81</xdr:row>
      <xdr:rowOff>19050</xdr:rowOff>
    </xdr:from>
    <xdr:ext cx="201083" cy="171450"/>
    <xdr:pic>
      <xdr:nvPicPr>
        <xdr:cNvPr id="20" name="図 19">
          <a:extLst>
            <a:ext uri="{FF2B5EF4-FFF2-40B4-BE49-F238E27FC236}">
              <a16:creationId xmlns:a16="http://schemas.microsoft.com/office/drawing/2014/main" id="{C1FE2133-43C9-D717-D70A-F6002ECCB91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265872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95250</xdr:colOff>
      <xdr:row>49</xdr:row>
      <xdr:rowOff>95250</xdr:rowOff>
    </xdr:from>
    <xdr:to>
      <xdr:col>11</xdr:col>
      <xdr:colOff>85725</xdr:colOff>
      <xdr:row>51</xdr:row>
      <xdr:rowOff>9525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0B53DD6-3696-47AD-8CC3-5D5BF0B569C4}"/>
            </a:ext>
          </a:extLst>
        </xdr:cNvPr>
        <xdr:cNvSpPr/>
      </xdr:nvSpPr>
      <xdr:spPr>
        <a:xfrm>
          <a:off x="1495425" y="793432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112</xdr:row>
      <xdr:rowOff>0</xdr:rowOff>
    </xdr:from>
    <xdr:to>
      <xdr:col>22</xdr:col>
      <xdr:colOff>0</xdr:colOff>
      <xdr:row>114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A00E30D-0DC8-4BD1-9728-EE0E386DE2AA}"/>
            </a:ext>
          </a:extLst>
        </xdr:cNvPr>
        <xdr:cNvSpPr/>
      </xdr:nvSpPr>
      <xdr:spPr>
        <a:xfrm>
          <a:off x="3000375" y="1189672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en-US" altLang="ja-JP" sz="900" b="1"/>
            <a:t>CD</a:t>
          </a:r>
          <a:r>
            <a:rPr kumimoji="1" lang="ja-JP" altLang="en-US" sz="900" b="1"/>
            <a:t>資料出力</a:t>
          </a:r>
        </a:p>
      </xdr:txBody>
    </xdr:sp>
    <xdr:clientData/>
  </xdr:twoCellAnchor>
  <xdr:twoCellAnchor>
    <xdr:from>
      <xdr:col>23</xdr:col>
      <xdr:colOff>0</xdr:colOff>
      <xdr:row>112</xdr:row>
      <xdr:rowOff>0</xdr:rowOff>
    </xdr:from>
    <xdr:to>
      <xdr:col>30</xdr:col>
      <xdr:colOff>0</xdr:colOff>
      <xdr:row>114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0221C57-125E-4629-AF91-EBA5CD92E756}"/>
            </a:ext>
          </a:extLst>
        </xdr:cNvPr>
        <xdr:cNvSpPr/>
      </xdr:nvSpPr>
      <xdr:spPr>
        <a:xfrm>
          <a:off x="4600575" y="1189672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一時保存</a:t>
          </a:r>
        </a:p>
      </xdr:txBody>
    </xdr:sp>
    <xdr:clientData/>
  </xdr:twoCellAnchor>
  <xdr:twoCellAnchor>
    <xdr:from>
      <xdr:col>31</xdr:col>
      <xdr:colOff>0</xdr:colOff>
      <xdr:row>112</xdr:row>
      <xdr:rowOff>0</xdr:rowOff>
    </xdr:from>
    <xdr:to>
      <xdr:col>38</xdr:col>
      <xdr:colOff>0</xdr:colOff>
      <xdr:row>114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F3F7596-EB19-49F2-9C36-E0D3F5BC74E7}"/>
            </a:ext>
          </a:extLst>
        </xdr:cNvPr>
        <xdr:cNvSpPr/>
      </xdr:nvSpPr>
      <xdr:spPr>
        <a:xfrm>
          <a:off x="6200775" y="1189672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申請</a:t>
          </a:r>
        </a:p>
      </xdr:txBody>
    </xdr:sp>
    <xdr:clientData/>
  </xdr:twoCellAnchor>
  <xdr:twoCellAnchor>
    <xdr:from>
      <xdr:col>2</xdr:col>
      <xdr:colOff>1</xdr:colOff>
      <xdr:row>7</xdr:row>
      <xdr:rowOff>38100</xdr:rowOff>
    </xdr:from>
    <xdr:to>
      <xdr:col>2</xdr:col>
      <xdr:colOff>156483</xdr:colOff>
      <xdr:row>7</xdr:row>
      <xdr:rowOff>180975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9DFD6481-CF0F-40D4-B990-9400740E44C8}"/>
            </a:ext>
          </a:extLst>
        </xdr:cNvPr>
        <xdr:cNvSpPr/>
      </xdr:nvSpPr>
      <xdr:spPr>
        <a:xfrm>
          <a:off x="400051" y="1162050"/>
          <a:ext cx="156482" cy="142875"/>
        </a:xfrm>
        <a:prstGeom prst="leftArrow">
          <a:avLst/>
        </a:prstGeom>
        <a:solidFill>
          <a:schemeClr val="bg1">
            <a:lumMod val="5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32</xdr:col>
      <xdr:colOff>57150</xdr:colOff>
      <xdr:row>18</xdr:row>
      <xdr:rowOff>19050</xdr:rowOff>
    </xdr:from>
    <xdr:ext cx="154327" cy="154327"/>
    <xdr:pic>
      <xdr:nvPicPr>
        <xdr:cNvPr id="6" name="図 5" descr="画面の領域">
          <a:extLst>
            <a:ext uri="{FF2B5EF4-FFF2-40B4-BE49-F238E27FC236}">
              <a16:creationId xmlns:a16="http://schemas.microsoft.com/office/drawing/2014/main" id="{7EFBD6D3-E51E-47E4-B087-D10B4C8DD1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2971800"/>
          <a:ext cx="154327" cy="15432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3</xdr:col>
      <xdr:colOff>9525</xdr:colOff>
      <xdr:row>57</xdr:row>
      <xdr:rowOff>85725</xdr:rowOff>
    </xdr:from>
    <xdr:to>
      <xdr:col>7</xdr:col>
      <xdr:colOff>0</xdr:colOff>
      <xdr:row>59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8FB9266-BCED-49BF-B7B8-2073567FACC0}"/>
            </a:ext>
          </a:extLst>
        </xdr:cNvPr>
        <xdr:cNvSpPr/>
      </xdr:nvSpPr>
      <xdr:spPr>
        <a:xfrm>
          <a:off x="609600" y="8096250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反映</a:t>
          </a:r>
        </a:p>
      </xdr:txBody>
    </xdr:sp>
    <xdr:clientData/>
  </xdr:twoCellAnchor>
  <xdr:oneCellAnchor>
    <xdr:from>
      <xdr:col>49</xdr:col>
      <xdr:colOff>0</xdr:colOff>
      <xdr:row>26</xdr:row>
      <xdr:rowOff>0</xdr:rowOff>
    </xdr:from>
    <xdr:ext cx="201083" cy="171450"/>
    <xdr:pic>
      <xdr:nvPicPr>
        <xdr:cNvPr id="8" name="図 7">
          <a:extLst>
            <a:ext uri="{FF2B5EF4-FFF2-40B4-BE49-F238E27FC236}">
              <a16:creationId xmlns:a16="http://schemas.microsoft.com/office/drawing/2014/main" id="{6F31A2A4-7A42-4052-81FE-50EE00C2173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225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26</xdr:row>
      <xdr:rowOff>0</xdr:rowOff>
    </xdr:from>
    <xdr:ext cx="201083" cy="171450"/>
    <xdr:pic>
      <xdr:nvPicPr>
        <xdr:cNvPr id="9" name="図 8">
          <a:extLst>
            <a:ext uri="{FF2B5EF4-FFF2-40B4-BE49-F238E27FC236}">
              <a16:creationId xmlns:a16="http://schemas.microsoft.com/office/drawing/2014/main" id="{80191F83-C95E-4388-9141-12847AC82E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9525</xdr:colOff>
      <xdr:row>76</xdr:row>
      <xdr:rowOff>85725</xdr:rowOff>
    </xdr:from>
    <xdr:to>
      <xdr:col>7</xdr:col>
      <xdr:colOff>0</xdr:colOff>
      <xdr:row>78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864711D-6326-429B-BE55-1DF3825F8620}"/>
            </a:ext>
          </a:extLst>
        </xdr:cNvPr>
        <xdr:cNvSpPr/>
      </xdr:nvSpPr>
      <xdr:spPr>
        <a:xfrm>
          <a:off x="609600" y="10267950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  <xdr:twoCellAnchor>
    <xdr:from>
      <xdr:col>3</xdr:col>
      <xdr:colOff>0</xdr:colOff>
      <xdr:row>82</xdr:row>
      <xdr:rowOff>0</xdr:rowOff>
    </xdr:from>
    <xdr:to>
      <xdr:col>8</xdr:col>
      <xdr:colOff>43669</xdr:colOff>
      <xdr:row>83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AE12088-3648-4D6C-A124-B41AF0FBCFD7}"/>
            </a:ext>
          </a:extLst>
        </xdr:cNvPr>
        <xdr:cNvSpPr/>
      </xdr:nvSpPr>
      <xdr:spPr>
        <a:xfrm>
          <a:off x="600075" y="10982325"/>
          <a:ext cx="104379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 b="1">
              <a:solidFill>
                <a:srgbClr val="00B050"/>
              </a:solidFill>
            </a:rPr>
            <a:t>＋</a:t>
          </a:r>
          <a:r>
            <a:rPr kumimoji="1" lang="ja-JP" altLang="en-US" sz="900"/>
            <a:t> ファイル追加</a:t>
          </a:r>
          <a:r>
            <a:rPr kumimoji="1" lang="en-US" altLang="ja-JP" sz="900"/>
            <a:t>…</a:t>
          </a:r>
          <a:endParaRPr kumimoji="1" lang="ja-JP" altLang="en-US" sz="900"/>
        </a:p>
      </xdr:txBody>
    </xdr:sp>
    <xdr:clientData/>
  </xdr:twoCellAnchor>
  <xdr:twoCellAnchor>
    <xdr:from>
      <xdr:col>8</xdr:col>
      <xdr:colOff>156356</xdr:colOff>
      <xdr:row>82</xdr:row>
      <xdr:rowOff>0</xdr:rowOff>
    </xdr:from>
    <xdr:to>
      <xdr:col>12</xdr:col>
      <xdr:colOff>0</xdr:colOff>
      <xdr:row>83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35E9687-7654-4A26-9C8E-39D1FA00248C}"/>
            </a:ext>
          </a:extLst>
        </xdr:cNvPr>
        <xdr:cNvSpPr/>
      </xdr:nvSpPr>
      <xdr:spPr>
        <a:xfrm>
          <a:off x="1756556" y="10982325"/>
          <a:ext cx="64374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900"/>
            <a:t> 　中断</a:t>
          </a:r>
        </a:p>
      </xdr:txBody>
    </xdr:sp>
    <xdr:clientData/>
  </xdr:twoCellAnchor>
  <xdr:oneCellAnchor>
    <xdr:from>
      <xdr:col>22</xdr:col>
      <xdr:colOff>0</xdr:colOff>
      <xdr:row>84</xdr:row>
      <xdr:rowOff>9502</xdr:rowOff>
    </xdr:from>
    <xdr:ext cx="219106" cy="161948"/>
    <xdr:pic>
      <xdr:nvPicPr>
        <xdr:cNvPr id="13" name="図 12" descr="画面の領域">
          <a:extLst>
            <a:ext uri="{FF2B5EF4-FFF2-40B4-BE49-F238E27FC236}">
              <a16:creationId xmlns:a16="http://schemas.microsoft.com/office/drawing/2014/main" id="{5CEED9FC-A38A-4A37-B875-E3B2393AF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11334727"/>
          <a:ext cx="219106" cy="161948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91</xdr:row>
      <xdr:rowOff>0</xdr:rowOff>
    </xdr:from>
    <xdr:ext cx="201083" cy="171450"/>
    <xdr:pic>
      <xdr:nvPicPr>
        <xdr:cNvPr id="15" name="図 14">
          <a:extLst>
            <a:ext uri="{FF2B5EF4-FFF2-40B4-BE49-F238E27FC236}">
              <a16:creationId xmlns:a16="http://schemas.microsoft.com/office/drawing/2014/main" id="{E1179C3C-0719-4A18-B532-3C49D87B052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229677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87</xdr:row>
      <xdr:rowOff>152400</xdr:rowOff>
    </xdr:from>
    <xdr:to>
      <xdr:col>3</xdr:col>
      <xdr:colOff>28</xdr:colOff>
      <xdr:row>89</xdr:row>
      <xdr:rowOff>15269</xdr:rowOff>
    </xdr:to>
    <xdr:pic>
      <xdr:nvPicPr>
        <xdr:cNvPr id="25" name="図 24" descr="画面の領域">
          <a:extLst>
            <a:ext uri="{FF2B5EF4-FFF2-40B4-BE49-F238E27FC236}">
              <a16:creationId xmlns:a16="http://schemas.microsoft.com/office/drawing/2014/main" id="{37975B50-946B-4855-A4C8-ECBF2E06E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1877675"/>
          <a:ext cx="198148" cy="205769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  <xdr:oneCellAnchor>
    <xdr:from>
      <xdr:col>38</xdr:col>
      <xdr:colOff>0</xdr:colOff>
      <xdr:row>107</xdr:row>
      <xdr:rowOff>9502</xdr:rowOff>
    </xdr:from>
    <xdr:ext cx="219106" cy="161948"/>
    <xdr:pic>
      <xdr:nvPicPr>
        <xdr:cNvPr id="26" name="図 25" descr="画面の領域">
          <a:extLst>
            <a:ext uri="{FF2B5EF4-FFF2-40B4-BE49-F238E27FC236}">
              <a16:creationId xmlns:a16="http://schemas.microsoft.com/office/drawing/2014/main" id="{C50667CC-2C84-455E-A48A-18E36B073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020777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108</xdr:row>
      <xdr:rowOff>9502</xdr:rowOff>
    </xdr:from>
    <xdr:ext cx="219106" cy="161948"/>
    <xdr:pic>
      <xdr:nvPicPr>
        <xdr:cNvPr id="27" name="図 26" descr="画面の領域">
          <a:extLst>
            <a:ext uri="{FF2B5EF4-FFF2-40B4-BE49-F238E27FC236}">
              <a16:creationId xmlns:a16="http://schemas.microsoft.com/office/drawing/2014/main" id="{907381F4-238E-4701-A406-853019611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192227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109</xdr:row>
      <xdr:rowOff>9502</xdr:rowOff>
    </xdr:from>
    <xdr:ext cx="219106" cy="161948"/>
    <xdr:pic>
      <xdr:nvPicPr>
        <xdr:cNvPr id="28" name="図 27" descr="画面の領域">
          <a:extLst>
            <a:ext uri="{FF2B5EF4-FFF2-40B4-BE49-F238E27FC236}">
              <a16:creationId xmlns:a16="http://schemas.microsoft.com/office/drawing/2014/main" id="{C4D27BA7-115E-460B-9C0F-33EC1A051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363677"/>
          <a:ext cx="219106" cy="161948"/>
        </a:xfrm>
        <a:prstGeom prst="rect">
          <a:avLst/>
        </a:prstGeom>
      </xdr:spPr>
    </xdr:pic>
    <xdr:clientData/>
  </xdr:oneCellAnchor>
  <xdr:oneCellAnchor>
    <xdr:from>
      <xdr:col>6</xdr:col>
      <xdr:colOff>190500</xdr:colOff>
      <xdr:row>105</xdr:row>
      <xdr:rowOff>0</xdr:rowOff>
    </xdr:from>
    <xdr:ext cx="201083" cy="171450"/>
    <xdr:pic>
      <xdr:nvPicPr>
        <xdr:cNvPr id="29" name="図 28">
          <a:extLst>
            <a:ext uri="{FF2B5EF4-FFF2-40B4-BE49-F238E27FC236}">
              <a16:creationId xmlns:a16="http://schemas.microsoft.com/office/drawing/2014/main" id="{4745E74B-D755-4018-A22F-D44E9FF404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366837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</xdr:row>
      <xdr:rowOff>0</xdr:rowOff>
    </xdr:from>
    <xdr:ext cx="201083" cy="171450"/>
    <xdr:pic>
      <xdr:nvPicPr>
        <xdr:cNvPr id="14" name="図 13">
          <a:extLst>
            <a:ext uri="{FF2B5EF4-FFF2-40B4-BE49-F238E27FC236}">
              <a16:creationId xmlns:a16="http://schemas.microsoft.com/office/drawing/2014/main" id="{AB0CB4AD-C494-417F-9C46-063BBE0B2D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78130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97</xdr:row>
      <xdr:rowOff>0</xdr:rowOff>
    </xdr:from>
    <xdr:ext cx="201083" cy="171450"/>
    <xdr:pic>
      <xdr:nvPicPr>
        <xdr:cNvPr id="16" name="図 15">
          <a:extLst>
            <a:ext uri="{FF2B5EF4-FFF2-40B4-BE49-F238E27FC236}">
              <a16:creationId xmlns:a16="http://schemas.microsoft.com/office/drawing/2014/main" id="{6F22A786-8988-4266-9438-1ADF2618DE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332547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95250</xdr:colOff>
      <xdr:row>57</xdr:row>
      <xdr:rowOff>85725</xdr:rowOff>
    </xdr:from>
    <xdr:to>
      <xdr:col>11</xdr:col>
      <xdr:colOff>85725</xdr:colOff>
      <xdr:row>59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7EF44D0-D1E8-4A05-BD29-A6FA1D7AE22D}"/>
            </a:ext>
          </a:extLst>
        </xdr:cNvPr>
        <xdr:cNvSpPr/>
      </xdr:nvSpPr>
      <xdr:spPr>
        <a:xfrm>
          <a:off x="1495425" y="7924800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  <xdr:twoCellAnchor>
    <xdr:from>
      <xdr:col>10</xdr:col>
      <xdr:colOff>38100</xdr:colOff>
      <xdr:row>69</xdr:row>
      <xdr:rowOff>0</xdr:rowOff>
    </xdr:from>
    <xdr:to>
      <xdr:col>17</xdr:col>
      <xdr:colOff>76200</xdr:colOff>
      <xdr:row>70</xdr:row>
      <xdr:rowOff>161925</xdr:rowOff>
    </xdr:to>
    <xdr:sp macro="" textlink="">
      <xdr:nvSpPr>
        <xdr:cNvPr id="17" name="四角形吹き出し 11">
          <a:extLst>
            <a:ext uri="{FF2B5EF4-FFF2-40B4-BE49-F238E27FC236}">
              <a16:creationId xmlns:a16="http://schemas.microsoft.com/office/drawing/2014/main" id="{D99D49E3-FEE8-437D-B0AE-047D4E6AC5F4}"/>
            </a:ext>
          </a:extLst>
        </xdr:cNvPr>
        <xdr:cNvSpPr/>
      </xdr:nvSpPr>
      <xdr:spPr>
        <a:xfrm>
          <a:off x="2038350" y="9667875"/>
          <a:ext cx="1438275" cy="333375"/>
        </a:xfrm>
        <a:prstGeom prst="wedgeRectCallout">
          <a:avLst>
            <a:gd name="adj1" fmla="val -59700"/>
            <a:gd name="adj2" fmla="val -3865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en-US" altLang="ja-JP" sz="800">
              <a:solidFill>
                <a:srgbClr val="FF0000"/>
              </a:solidFill>
            </a:rPr>
            <a:t>1</a:t>
          </a:r>
          <a:r>
            <a:rPr kumimoji="1" lang="ja-JP" altLang="en-US" sz="800">
              <a:solidFill>
                <a:srgbClr val="FF0000"/>
              </a:solidFill>
            </a:rPr>
            <a:t>行目は申請通貨</a:t>
          </a:r>
          <a:endParaRPr kumimoji="1" lang="en-US" altLang="ja-JP" sz="800">
            <a:solidFill>
              <a:srgbClr val="FF0000"/>
            </a:solidFill>
          </a:endParaRP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rgbClr val="FF0000"/>
              </a:solidFill>
            </a:rPr>
            <a:t>2</a:t>
          </a:r>
          <a:r>
            <a:rPr kumimoji="1" lang="ja-JP" altLang="en-US" sz="800">
              <a:solidFill>
                <a:srgbClr val="FF0000"/>
              </a:solidFill>
            </a:rPr>
            <a:t>行目は</a:t>
          </a:r>
          <a:r>
            <a:rPr kumimoji="1" lang="en-US" altLang="ja-JP" sz="800">
              <a:solidFill>
                <a:srgbClr val="FF0000"/>
              </a:solidFill>
            </a:rPr>
            <a:t>JPY</a:t>
          </a:r>
          <a:r>
            <a:rPr kumimoji="1" lang="ja-JP" altLang="en-US" sz="800">
              <a:solidFill>
                <a:srgbClr val="FF0000"/>
              </a:solidFill>
            </a:rPr>
            <a:t>の表示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171450</xdr:colOff>
      <xdr:row>52</xdr:row>
      <xdr:rowOff>123825</xdr:rowOff>
    </xdr:from>
    <xdr:to>
      <xdr:col>33</xdr:col>
      <xdr:colOff>161925</xdr:colOff>
      <xdr:row>54</xdr:row>
      <xdr:rowOff>66675</xdr:rowOff>
    </xdr:to>
    <xdr:sp macro="" textlink="">
      <xdr:nvSpPr>
        <xdr:cNvPr id="19" name="四角形吹き出し 11">
          <a:extLst>
            <a:ext uri="{FF2B5EF4-FFF2-40B4-BE49-F238E27FC236}">
              <a16:creationId xmlns:a16="http://schemas.microsoft.com/office/drawing/2014/main" id="{90B5EA0D-AE79-4F81-9C0D-6F1773EFDA00}"/>
            </a:ext>
          </a:extLst>
        </xdr:cNvPr>
        <xdr:cNvSpPr/>
      </xdr:nvSpPr>
      <xdr:spPr>
        <a:xfrm>
          <a:off x="4772025" y="7077075"/>
          <a:ext cx="1990725" cy="314325"/>
        </a:xfrm>
        <a:prstGeom prst="wedgeRectCallout">
          <a:avLst>
            <a:gd name="adj1" fmla="val -34820"/>
            <a:gd name="adj2" fmla="val -108349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原計通貨、申請通貨は同一チェック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78518</xdr:colOff>
      <xdr:row>35</xdr:row>
      <xdr:rowOff>144285</xdr:rowOff>
    </xdr:from>
    <xdr:to>
      <xdr:col>34</xdr:col>
      <xdr:colOff>161511</xdr:colOff>
      <xdr:row>39</xdr:row>
      <xdr:rowOff>47626</xdr:rowOff>
    </xdr:to>
    <xdr:sp macro="" textlink="">
      <xdr:nvSpPr>
        <xdr:cNvPr id="20" name="四角形吹き出し 11">
          <a:extLst>
            <a:ext uri="{FF2B5EF4-FFF2-40B4-BE49-F238E27FC236}">
              <a16:creationId xmlns:a16="http://schemas.microsoft.com/office/drawing/2014/main" id="{9FD2D9A4-861E-494C-BE22-82E23507556D}"/>
            </a:ext>
          </a:extLst>
        </xdr:cNvPr>
        <xdr:cNvSpPr/>
      </xdr:nvSpPr>
      <xdr:spPr>
        <a:xfrm>
          <a:off x="4679093" y="6468885"/>
          <a:ext cx="2283268" cy="474841"/>
        </a:xfrm>
        <a:prstGeom prst="wedgeRectCallout">
          <a:avLst>
            <a:gd name="adj1" fmla="val -66240"/>
            <a:gd name="adj2" fmla="val 31880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default</a:t>
          </a:r>
          <a:r>
            <a:rPr kumimoji="1" lang="ja-JP" altLang="en-US" sz="800">
              <a:solidFill>
                <a:sysClr val="windowText" lastClr="000000"/>
              </a:solidFill>
            </a:rPr>
            <a:t>は経営計画レートですが、変更できるように。客先によってはその会社のレートで変換することが求められる。（日系企業の場合）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endParaRPr kumimoji="1" lang="en-US" altLang="ja-JP" sz="800">
            <a:solidFill>
              <a:srgbClr val="FF0000"/>
            </a:solidFill>
          </a:endParaRPr>
        </a:p>
        <a:p>
          <a:pPr algn="l">
            <a:lnSpc>
              <a:spcPts val="900"/>
            </a:lnSpc>
          </a:pPr>
          <a:endParaRPr kumimoji="1" lang="en-US" altLang="ja-JP" sz="8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62865</xdr:colOff>
      <xdr:row>39</xdr:row>
      <xdr:rowOff>156211</xdr:rowOff>
    </xdr:from>
    <xdr:to>
      <xdr:col>22</xdr:col>
      <xdr:colOff>32716</xdr:colOff>
      <xdr:row>42</xdr:row>
      <xdr:rowOff>26670</xdr:rowOff>
    </xdr:to>
    <xdr:sp macro="" textlink="">
      <xdr:nvSpPr>
        <xdr:cNvPr id="21" name="四角形吹き出し 11">
          <a:extLst>
            <a:ext uri="{FF2B5EF4-FFF2-40B4-BE49-F238E27FC236}">
              <a16:creationId xmlns:a16="http://schemas.microsoft.com/office/drawing/2014/main" id="{06E8ED9B-0212-494B-9BA1-0A2254FC35C0}"/>
            </a:ext>
          </a:extLst>
        </xdr:cNvPr>
        <xdr:cNvSpPr/>
      </xdr:nvSpPr>
      <xdr:spPr>
        <a:xfrm>
          <a:off x="2663190" y="7052311"/>
          <a:ext cx="1770076" cy="384809"/>
        </a:xfrm>
        <a:prstGeom prst="wedgeRectCallout">
          <a:avLst>
            <a:gd name="adj1" fmla="val -43457"/>
            <a:gd name="adj2" fmla="val -8485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経営計画レート選択時は自動表示。</a:t>
          </a:r>
          <a:br>
            <a:rPr kumimoji="1" lang="en-US" altLang="ja-JP" sz="800">
              <a:solidFill>
                <a:sysClr val="windowText" lastClr="000000"/>
              </a:solidFill>
            </a:rPr>
          </a:br>
          <a:r>
            <a:rPr kumimoji="1" lang="ja-JP" altLang="en-US" sz="800">
              <a:solidFill>
                <a:sysClr val="windowText" lastClr="000000"/>
              </a:solidFill>
            </a:rPr>
            <a:t>そのれ外は手入力。必須項目とする。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161925</xdr:colOff>
      <xdr:row>41</xdr:row>
      <xdr:rowOff>152400</xdr:rowOff>
    </xdr:from>
    <xdr:to>
      <xdr:col>32</xdr:col>
      <xdr:colOff>0</xdr:colOff>
      <xdr:row>44</xdr:row>
      <xdr:rowOff>66675</xdr:rowOff>
    </xdr:to>
    <xdr:sp macro="" textlink="">
      <xdr:nvSpPr>
        <xdr:cNvPr id="24" name="四角形吹き出し 11">
          <a:extLst>
            <a:ext uri="{FF2B5EF4-FFF2-40B4-BE49-F238E27FC236}">
              <a16:creationId xmlns:a16="http://schemas.microsoft.com/office/drawing/2014/main" id="{4432433F-FE68-42A8-BA06-9C563588A722}"/>
            </a:ext>
          </a:extLst>
        </xdr:cNvPr>
        <xdr:cNvSpPr/>
      </xdr:nvSpPr>
      <xdr:spPr>
        <a:xfrm>
          <a:off x="4562475" y="7391400"/>
          <a:ext cx="1838325" cy="314325"/>
        </a:xfrm>
        <a:prstGeom prst="wedgeRectCallout">
          <a:avLst>
            <a:gd name="adj1" fmla="val 5977"/>
            <a:gd name="adj2" fmla="val 137106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この列まで原計通貨に応じた小数点桁数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JPY:2</a:t>
          </a:r>
          <a:r>
            <a:rPr kumimoji="1" lang="ja-JP" altLang="en-US" sz="800">
              <a:solidFill>
                <a:sysClr val="windowText" lastClr="000000"/>
              </a:solidFill>
            </a:rPr>
            <a:t>桁、それ以外</a:t>
          </a:r>
          <a:r>
            <a:rPr kumimoji="1" lang="en-US" altLang="ja-JP" sz="800">
              <a:solidFill>
                <a:sysClr val="windowText" lastClr="000000"/>
              </a:solidFill>
            </a:rPr>
            <a:t>:4</a:t>
          </a:r>
          <a:r>
            <a:rPr kumimoji="1" lang="ja-JP" altLang="en-US" sz="800">
              <a:solidFill>
                <a:sysClr val="windowText" lastClr="000000"/>
              </a:solidFill>
            </a:rPr>
            <a:t>桁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85725</xdr:colOff>
      <xdr:row>41</xdr:row>
      <xdr:rowOff>152400</xdr:rowOff>
    </xdr:from>
    <xdr:to>
      <xdr:col>40</xdr:col>
      <xdr:colOff>142875</xdr:colOff>
      <xdr:row>44</xdr:row>
      <xdr:rowOff>66675</xdr:rowOff>
    </xdr:to>
    <xdr:sp macro="" textlink="">
      <xdr:nvSpPr>
        <xdr:cNvPr id="30" name="四角形吹き出し 11">
          <a:extLst>
            <a:ext uri="{FF2B5EF4-FFF2-40B4-BE49-F238E27FC236}">
              <a16:creationId xmlns:a16="http://schemas.microsoft.com/office/drawing/2014/main" id="{6167572C-4B41-477B-B7B0-AA9CB3AF80A2}"/>
            </a:ext>
          </a:extLst>
        </xdr:cNvPr>
        <xdr:cNvSpPr/>
      </xdr:nvSpPr>
      <xdr:spPr>
        <a:xfrm>
          <a:off x="6686550" y="7391400"/>
          <a:ext cx="1457325" cy="314325"/>
        </a:xfrm>
        <a:prstGeom prst="wedgeRectCallout">
          <a:avLst>
            <a:gd name="adj1" fmla="val -35474"/>
            <a:gd name="adj2" fmla="val 149227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申請通貨に応じた小数点桁数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JPY:2</a:t>
          </a:r>
          <a:r>
            <a:rPr kumimoji="1" lang="ja-JP" altLang="en-US" sz="800">
              <a:solidFill>
                <a:sysClr val="windowText" lastClr="000000"/>
              </a:solidFill>
            </a:rPr>
            <a:t>桁、それ以外</a:t>
          </a:r>
          <a:r>
            <a:rPr kumimoji="1" lang="en-US" altLang="ja-JP" sz="800">
              <a:solidFill>
                <a:sysClr val="windowText" lastClr="000000"/>
              </a:solidFill>
            </a:rPr>
            <a:t>:4</a:t>
          </a:r>
          <a:r>
            <a:rPr kumimoji="1" lang="ja-JP" altLang="en-US" sz="800">
              <a:solidFill>
                <a:sysClr val="windowText" lastClr="000000"/>
              </a:solidFill>
            </a:rPr>
            <a:t>桁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146</xdr:row>
      <xdr:rowOff>0</xdr:rowOff>
    </xdr:from>
    <xdr:to>
      <xdr:col>22</xdr:col>
      <xdr:colOff>0</xdr:colOff>
      <xdr:row>148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361D997-6EAE-42F9-B985-B71430A588B5}"/>
            </a:ext>
          </a:extLst>
        </xdr:cNvPr>
        <xdr:cNvSpPr/>
      </xdr:nvSpPr>
      <xdr:spPr>
        <a:xfrm>
          <a:off x="3000375" y="1189672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en-US" altLang="ja-JP" sz="900" b="1"/>
            <a:t>CD</a:t>
          </a:r>
          <a:r>
            <a:rPr kumimoji="1" lang="ja-JP" altLang="en-US" sz="900" b="1"/>
            <a:t>資料出力</a:t>
          </a:r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30</xdr:col>
      <xdr:colOff>0</xdr:colOff>
      <xdr:row>148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4F3B550-C178-4BC5-AEBE-A28DBF4C7030}"/>
            </a:ext>
          </a:extLst>
        </xdr:cNvPr>
        <xdr:cNvSpPr/>
      </xdr:nvSpPr>
      <xdr:spPr>
        <a:xfrm>
          <a:off x="4600575" y="1189672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一時保存</a:t>
          </a:r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38</xdr:col>
      <xdr:colOff>0</xdr:colOff>
      <xdr:row>148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4872B9A-46CE-4CD6-A5AB-C6D5C647EDB9}"/>
            </a:ext>
          </a:extLst>
        </xdr:cNvPr>
        <xdr:cNvSpPr/>
      </xdr:nvSpPr>
      <xdr:spPr>
        <a:xfrm>
          <a:off x="6200775" y="11896725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申請</a:t>
          </a:r>
        </a:p>
      </xdr:txBody>
    </xdr:sp>
    <xdr:clientData/>
  </xdr:twoCellAnchor>
  <xdr:twoCellAnchor>
    <xdr:from>
      <xdr:col>2</xdr:col>
      <xdr:colOff>1</xdr:colOff>
      <xdr:row>7</xdr:row>
      <xdr:rowOff>38100</xdr:rowOff>
    </xdr:from>
    <xdr:to>
      <xdr:col>2</xdr:col>
      <xdr:colOff>156483</xdr:colOff>
      <xdr:row>7</xdr:row>
      <xdr:rowOff>180975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468B21AA-B832-4D15-B8F6-64E6D0394E75}"/>
            </a:ext>
          </a:extLst>
        </xdr:cNvPr>
        <xdr:cNvSpPr/>
      </xdr:nvSpPr>
      <xdr:spPr>
        <a:xfrm>
          <a:off x="400051" y="1162050"/>
          <a:ext cx="156482" cy="142875"/>
        </a:xfrm>
        <a:prstGeom prst="leftArrow">
          <a:avLst/>
        </a:prstGeom>
        <a:solidFill>
          <a:schemeClr val="bg1">
            <a:lumMod val="5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32</xdr:col>
      <xdr:colOff>57150</xdr:colOff>
      <xdr:row>18</xdr:row>
      <xdr:rowOff>19050</xdr:rowOff>
    </xdr:from>
    <xdr:ext cx="154327" cy="154327"/>
    <xdr:pic>
      <xdr:nvPicPr>
        <xdr:cNvPr id="6" name="図 5" descr="画面の領域">
          <a:extLst>
            <a:ext uri="{FF2B5EF4-FFF2-40B4-BE49-F238E27FC236}">
              <a16:creationId xmlns:a16="http://schemas.microsoft.com/office/drawing/2014/main" id="{476B491E-9D63-46E3-ABB6-14F2EE3D13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2971800"/>
          <a:ext cx="154327" cy="15432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3</xdr:col>
      <xdr:colOff>9525</xdr:colOff>
      <xdr:row>72</xdr:row>
      <xdr:rowOff>85725</xdr:rowOff>
    </xdr:from>
    <xdr:to>
      <xdr:col>7</xdr:col>
      <xdr:colOff>0</xdr:colOff>
      <xdr:row>74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3588E5B-9AF1-4F97-9890-865763A04A77}"/>
            </a:ext>
          </a:extLst>
        </xdr:cNvPr>
        <xdr:cNvSpPr/>
      </xdr:nvSpPr>
      <xdr:spPr>
        <a:xfrm>
          <a:off x="609600" y="8181975"/>
          <a:ext cx="790575" cy="42862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反映</a:t>
          </a:r>
        </a:p>
      </xdr:txBody>
    </xdr:sp>
    <xdr:clientData/>
  </xdr:twoCellAnchor>
  <xdr:oneCellAnchor>
    <xdr:from>
      <xdr:col>32</xdr:col>
      <xdr:colOff>0</xdr:colOff>
      <xdr:row>26</xdr:row>
      <xdr:rowOff>0</xdr:rowOff>
    </xdr:from>
    <xdr:ext cx="201083" cy="171450"/>
    <xdr:pic>
      <xdr:nvPicPr>
        <xdr:cNvPr id="18" name="図 17">
          <a:extLst>
            <a:ext uri="{FF2B5EF4-FFF2-40B4-BE49-F238E27FC236}">
              <a16:creationId xmlns:a16="http://schemas.microsoft.com/office/drawing/2014/main" id="{FE3F6E15-B708-4689-80BC-ECA49AAFE6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0</xdr:colOff>
      <xdr:row>110</xdr:row>
      <xdr:rowOff>85725</xdr:rowOff>
    </xdr:from>
    <xdr:to>
      <xdr:col>6</xdr:col>
      <xdr:colOff>190500</xdr:colOff>
      <xdr:row>112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2475BCC-3D57-4CD1-9FEF-D333B39F0691}"/>
            </a:ext>
          </a:extLst>
        </xdr:cNvPr>
        <xdr:cNvSpPr/>
      </xdr:nvSpPr>
      <xdr:spPr>
        <a:xfrm>
          <a:off x="600075" y="1498282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8</xdr:col>
      <xdr:colOff>43669</xdr:colOff>
      <xdr:row>117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C1230DC3-E851-4531-BCE4-4F138045FFE8}"/>
            </a:ext>
          </a:extLst>
        </xdr:cNvPr>
        <xdr:cNvSpPr/>
      </xdr:nvSpPr>
      <xdr:spPr>
        <a:xfrm>
          <a:off x="600075" y="10982325"/>
          <a:ext cx="104379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 b="1">
              <a:solidFill>
                <a:srgbClr val="00B050"/>
              </a:solidFill>
            </a:rPr>
            <a:t>＋</a:t>
          </a:r>
          <a:r>
            <a:rPr kumimoji="1" lang="ja-JP" altLang="en-US" sz="900"/>
            <a:t> ファイル追加</a:t>
          </a:r>
          <a:r>
            <a:rPr kumimoji="1" lang="en-US" altLang="ja-JP" sz="900"/>
            <a:t>…</a:t>
          </a:r>
          <a:endParaRPr kumimoji="1" lang="ja-JP" altLang="en-US" sz="900"/>
        </a:p>
      </xdr:txBody>
    </xdr:sp>
    <xdr:clientData/>
  </xdr:twoCellAnchor>
  <xdr:twoCellAnchor>
    <xdr:from>
      <xdr:col>8</xdr:col>
      <xdr:colOff>156356</xdr:colOff>
      <xdr:row>116</xdr:row>
      <xdr:rowOff>0</xdr:rowOff>
    </xdr:from>
    <xdr:to>
      <xdr:col>12</xdr:col>
      <xdr:colOff>0</xdr:colOff>
      <xdr:row>117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9D7C6F0-5ED9-4FAA-87B9-13055FC85842}"/>
            </a:ext>
          </a:extLst>
        </xdr:cNvPr>
        <xdr:cNvSpPr/>
      </xdr:nvSpPr>
      <xdr:spPr>
        <a:xfrm>
          <a:off x="1756556" y="10982325"/>
          <a:ext cx="64374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900"/>
            <a:t> 　中断</a:t>
          </a:r>
        </a:p>
      </xdr:txBody>
    </xdr:sp>
    <xdr:clientData/>
  </xdr:twoCellAnchor>
  <xdr:oneCellAnchor>
    <xdr:from>
      <xdr:col>22</xdr:col>
      <xdr:colOff>0</xdr:colOff>
      <xdr:row>118</xdr:row>
      <xdr:rowOff>9502</xdr:rowOff>
    </xdr:from>
    <xdr:ext cx="219106" cy="161948"/>
    <xdr:pic>
      <xdr:nvPicPr>
        <xdr:cNvPr id="24" name="図 23" descr="画面の領域">
          <a:extLst>
            <a:ext uri="{FF2B5EF4-FFF2-40B4-BE49-F238E27FC236}">
              <a16:creationId xmlns:a16="http://schemas.microsoft.com/office/drawing/2014/main" id="{7DEB14A4-965E-4BE1-BADB-BD506618C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11334727"/>
          <a:ext cx="219106" cy="161948"/>
        </a:xfrm>
        <a:prstGeom prst="rect">
          <a:avLst/>
        </a:prstGeom>
      </xdr:spPr>
    </xdr:pic>
    <xdr:clientData/>
  </xdr:oneCellAnchor>
  <xdr:twoCellAnchor>
    <xdr:from>
      <xdr:col>21</xdr:col>
      <xdr:colOff>123824</xdr:colOff>
      <xdr:row>105</xdr:row>
      <xdr:rowOff>104775</xdr:rowOff>
    </xdr:from>
    <xdr:to>
      <xdr:col>31</xdr:col>
      <xdr:colOff>65209</xdr:colOff>
      <xdr:row>107</xdr:row>
      <xdr:rowOff>95250</xdr:rowOff>
    </xdr:to>
    <xdr:sp macro="" textlink="">
      <xdr:nvSpPr>
        <xdr:cNvPr id="30" name="四角形吹き出し 11">
          <a:extLst>
            <a:ext uri="{FF2B5EF4-FFF2-40B4-BE49-F238E27FC236}">
              <a16:creationId xmlns:a16="http://schemas.microsoft.com/office/drawing/2014/main" id="{6DBDD004-6A4C-447C-BD6E-85D79B99D0DE}"/>
            </a:ext>
          </a:extLst>
        </xdr:cNvPr>
        <xdr:cNvSpPr/>
      </xdr:nvSpPr>
      <xdr:spPr>
        <a:xfrm>
          <a:off x="4324349" y="16659225"/>
          <a:ext cx="1941635" cy="333375"/>
        </a:xfrm>
        <a:prstGeom prst="wedgeRectCallout">
          <a:avLst>
            <a:gd name="adj1" fmla="val -77253"/>
            <a:gd name="adj2" fmla="val -5944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金型、治工具で無償が選択されている場合のみ表示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78518</xdr:colOff>
      <xdr:row>41</xdr:row>
      <xdr:rowOff>144285</xdr:rowOff>
    </xdr:from>
    <xdr:to>
      <xdr:col>34</xdr:col>
      <xdr:colOff>161511</xdr:colOff>
      <xdr:row>45</xdr:row>
      <xdr:rowOff>47626</xdr:rowOff>
    </xdr:to>
    <xdr:sp macro="" textlink="">
      <xdr:nvSpPr>
        <xdr:cNvPr id="34" name="四角形吹き出し 11">
          <a:extLst>
            <a:ext uri="{FF2B5EF4-FFF2-40B4-BE49-F238E27FC236}">
              <a16:creationId xmlns:a16="http://schemas.microsoft.com/office/drawing/2014/main" id="{1E401332-252C-4473-8358-725C40A6F247}"/>
            </a:ext>
          </a:extLst>
        </xdr:cNvPr>
        <xdr:cNvSpPr/>
      </xdr:nvSpPr>
      <xdr:spPr>
        <a:xfrm>
          <a:off x="4679093" y="6468885"/>
          <a:ext cx="2283268" cy="474841"/>
        </a:xfrm>
        <a:prstGeom prst="wedgeRectCallout">
          <a:avLst>
            <a:gd name="adj1" fmla="val -66240"/>
            <a:gd name="adj2" fmla="val 31880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default</a:t>
          </a:r>
          <a:r>
            <a:rPr kumimoji="1" lang="ja-JP" altLang="en-US" sz="800">
              <a:solidFill>
                <a:sysClr val="windowText" lastClr="000000"/>
              </a:solidFill>
            </a:rPr>
            <a:t>は経営計画レートですが、変更できるように。客先によってはその会社のレートで変換することが求められる。（日系企業の場合）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endParaRPr kumimoji="1" lang="en-US" altLang="ja-JP" sz="800">
            <a:solidFill>
              <a:srgbClr val="FF0000"/>
            </a:solidFill>
          </a:endParaRPr>
        </a:p>
        <a:p>
          <a:pPr algn="l">
            <a:lnSpc>
              <a:spcPts val="900"/>
            </a:lnSpc>
          </a:pPr>
          <a:endParaRPr kumimoji="1" lang="en-US" altLang="ja-JP" sz="800">
            <a:solidFill>
              <a:srgbClr val="FF0000"/>
            </a:solidFill>
          </a:endParaRPr>
        </a:p>
      </xdr:txBody>
    </xdr:sp>
    <xdr:clientData/>
  </xdr:twoCellAnchor>
  <xdr:twoCellAnchor>
    <xdr:from>
      <xdr:col>51</xdr:col>
      <xdr:colOff>85725</xdr:colOff>
      <xdr:row>37</xdr:row>
      <xdr:rowOff>57150</xdr:rowOff>
    </xdr:from>
    <xdr:to>
      <xdr:col>56</xdr:col>
      <xdr:colOff>85725</xdr:colOff>
      <xdr:row>41</xdr:row>
      <xdr:rowOff>0</xdr:rowOff>
    </xdr:to>
    <xdr:sp macro="" textlink="">
      <xdr:nvSpPr>
        <xdr:cNvPr id="8" name="四角形吹き出し 11">
          <a:extLst>
            <a:ext uri="{FF2B5EF4-FFF2-40B4-BE49-F238E27FC236}">
              <a16:creationId xmlns:a16="http://schemas.microsoft.com/office/drawing/2014/main" id="{824F86EF-C5D4-4BF1-A3B6-910E3426CAFF}"/>
            </a:ext>
          </a:extLst>
        </xdr:cNvPr>
        <xdr:cNvSpPr/>
      </xdr:nvSpPr>
      <xdr:spPr>
        <a:xfrm>
          <a:off x="10287000" y="5410200"/>
          <a:ext cx="1000125" cy="400050"/>
        </a:xfrm>
        <a:prstGeom prst="wedgeRectCallout">
          <a:avLst>
            <a:gd name="adj1" fmla="val -73695"/>
            <a:gd name="adj2" fmla="val 1326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カスタム品の場合のみ表示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121</xdr:row>
      <xdr:rowOff>152400</xdr:rowOff>
    </xdr:from>
    <xdr:to>
      <xdr:col>3</xdr:col>
      <xdr:colOff>28</xdr:colOff>
      <xdr:row>123</xdr:row>
      <xdr:rowOff>19079</xdr:rowOff>
    </xdr:to>
    <xdr:pic>
      <xdr:nvPicPr>
        <xdr:cNvPr id="19" name="図 18" descr="画面の領域">
          <a:extLst>
            <a:ext uri="{FF2B5EF4-FFF2-40B4-BE49-F238E27FC236}">
              <a16:creationId xmlns:a16="http://schemas.microsoft.com/office/drawing/2014/main" id="{2449DCE9-78E4-4DCE-AB20-E6512B30D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1877675"/>
          <a:ext cx="198148" cy="205769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  <xdr:oneCellAnchor>
    <xdr:from>
      <xdr:col>38</xdr:col>
      <xdr:colOff>0</xdr:colOff>
      <xdr:row>141</xdr:row>
      <xdr:rowOff>9502</xdr:rowOff>
    </xdr:from>
    <xdr:ext cx="219106" cy="161948"/>
    <xdr:pic>
      <xdr:nvPicPr>
        <xdr:cNvPr id="20" name="図 19" descr="画面の領域">
          <a:extLst>
            <a:ext uri="{FF2B5EF4-FFF2-40B4-BE49-F238E27FC236}">
              <a16:creationId xmlns:a16="http://schemas.microsoft.com/office/drawing/2014/main" id="{89C1E70A-13C7-4E47-9642-40FBE041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020777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142</xdr:row>
      <xdr:rowOff>9502</xdr:rowOff>
    </xdr:from>
    <xdr:ext cx="219106" cy="161948"/>
    <xdr:pic>
      <xdr:nvPicPr>
        <xdr:cNvPr id="25" name="図 24" descr="画面の領域">
          <a:extLst>
            <a:ext uri="{FF2B5EF4-FFF2-40B4-BE49-F238E27FC236}">
              <a16:creationId xmlns:a16="http://schemas.microsoft.com/office/drawing/2014/main" id="{CBF22942-B607-42CA-9598-00234BDA1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192227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143</xdr:row>
      <xdr:rowOff>9502</xdr:rowOff>
    </xdr:from>
    <xdr:ext cx="219106" cy="161948"/>
    <xdr:pic>
      <xdr:nvPicPr>
        <xdr:cNvPr id="26" name="図 25" descr="画面の領域">
          <a:extLst>
            <a:ext uri="{FF2B5EF4-FFF2-40B4-BE49-F238E27FC236}">
              <a16:creationId xmlns:a16="http://schemas.microsoft.com/office/drawing/2014/main" id="{8D1DBED1-D842-4236-91FF-4852415D4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363677"/>
          <a:ext cx="219106" cy="161948"/>
        </a:xfrm>
        <a:prstGeom prst="rect">
          <a:avLst/>
        </a:prstGeom>
      </xdr:spPr>
    </xdr:pic>
    <xdr:clientData/>
  </xdr:oneCellAnchor>
  <xdr:oneCellAnchor>
    <xdr:from>
      <xdr:col>6</xdr:col>
      <xdr:colOff>190500</xdr:colOff>
      <xdr:row>139</xdr:row>
      <xdr:rowOff>0</xdr:rowOff>
    </xdr:from>
    <xdr:ext cx="201083" cy="171450"/>
    <xdr:pic>
      <xdr:nvPicPr>
        <xdr:cNvPr id="27" name="図 26">
          <a:extLst>
            <a:ext uri="{FF2B5EF4-FFF2-40B4-BE49-F238E27FC236}">
              <a16:creationId xmlns:a16="http://schemas.microsoft.com/office/drawing/2014/main" id="{AA36BFAE-6738-4629-95AF-EA57B35F9D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366837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47625</xdr:colOff>
      <xdr:row>102</xdr:row>
      <xdr:rowOff>104776</xdr:rowOff>
    </xdr:from>
    <xdr:to>
      <xdr:col>18</xdr:col>
      <xdr:colOff>123825</xdr:colOff>
      <xdr:row>106</xdr:row>
      <xdr:rowOff>152400</xdr:rowOff>
    </xdr:to>
    <xdr:sp macro="" textlink="">
      <xdr:nvSpPr>
        <xdr:cNvPr id="29" name="右中かっこ 28">
          <a:extLst>
            <a:ext uri="{FF2B5EF4-FFF2-40B4-BE49-F238E27FC236}">
              <a16:creationId xmlns:a16="http://schemas.microsoft.com/office/drawing/2014/main" id="{36014197-6238-267E-9450-40B3DEA98669}"/>
            </a:ext>
          </a:extLst>
        </xdr:cNvPr>
        <xdr:cNvSpPr/>
      </xdr:nvSpPr>
      <xdr:spPr>
        <a:xfrm>
          <a:off x="3448050" y="14316076"/>
          <a:ext cx="276225" cy="904874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62865</xdr:colOff>
      <xdr:row>45</xdr:row>
      <xdr:rowOff>156211</xdr:rowOff>
    </xdr:from>
    <xdr:to>
      <xdr:col>22</xdr:col>
      <xdr:colOff>32716</xdr:colOff>
      <xdr:row>48</xdr:row>
      <xdr:rowOff>26670</xdr:rowOff>
    </xdr:to>
    <xdr:sp macro="" textlink="">
      <xdr:nvSpPr>
        <xdr:cNvPr id="13" name="四角形吹き出し 11">
          <a:extLst>
            <a:ext uri="{FF2B5EF4-FFF2-40B4-BE49-F238E27FC236}">
              <a16:creationId xmlns:a16="http://schemas.microsoft.com/office/drawing/2014/main" id="{09343CE1-3B6D-414F-87BA-C37AC3352E2F}"/>
            </a:ext>
          </a:extLst>
        </xdr:cNvPr>
        <xdr:cNvSpPr/>
      </xdr:nvSpPr>
      <xdr:spPr>
        <a:xfrm>
          <a:off x="2663190" y="7052311"/>
          <a:ext cx="1770076" cy="384809"/>
        </a:xfrm>
        <a:prstGeom prst="wedgeRectCallout">
          <a:avLst>
            <a:gd name="adj1" fmla="val -43457"/>
            <a:gd name="adj2" fmla="val -8485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経営計画レート選択時は自動表示。</a:t>
          </a:r>
          <a:br>
            <a:rPr kumimoji="1" lang="en-US" altLang="ja-JP" sz="800">
              <a:solidFill>
                <a:sysClr val="windowText" lastClr="000000"/>
              </a:solidFill>
            </a:rPr>
          </a:br>
          <a:r>
            <a:rPr kumimoji="1" lang="ja-JP" altLang="en-US" sz="800">
              <a:solidFill>
                <a:sysClr val="windowText" lastClr="000000"/>
              </a:solidFill>
            </a:rPr>
            <a:t>そのれ外は手入力。必須項目とする。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74734</xdr:colOff>
      <xdr:row>107</xdr:row>
      <xdr:rowOff>104042</xdr:rowOff>
    </xdr:from>
    <xdr:to>
      <xdr:col>15</xdr:col>
      <xdr:colOff>190500</xdr:colOff>
      <xdr:row>109</xdr:row>
      <xdr:rowOff>9525</xdr:rowOff>
    </xdr:to>
    <xdr:sp macro="" textlink="">
      <xdr:nvSpPr>
        <xdr:cNvPr id="35" name="四角形吹き出し 11">
          <a:extLst>
            <a:ext uri="{FF2B5EF4-FFF2-40B4-BE49-F238E27FC236}">
              <a16:creationId xmlns:a16="http://schemas.microsoft.com/office/drawing/2014/main" id="{F6D553A7-CF88-40EA-BB6F-FDDD945CC47F}"/>
            </a:ext>
          </a:extLst>
        </xdr:cNvPr>
        <xdr:cNvSpPr/>
      </xdr:nvSpPr>
      <xdr:spPr>
        <a:xfrm>
          <a:off x="1674934" y="16658492"/>
          <a:ext cx="1515941" cy="248383"/>
        </a:xfrm>
        <a:prstGeom prst="wedgeRectCallout">
          <a:avLst>
            <a:gd name="adj1" fmla="val -44935"/>
            <a:gd name="adj2" fmla="val -146504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「有」を選択した場合、赤字で表示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47</xdr:col>
      <xdr:colOff>191222</xdr:colOff>
      <xdr:row>70</xdr:row>
      <xdr:rowOff>76200</xdr:rowOff>
    </xdr:from>
    <xdr:to>
      <xdr:col>57</xdr:col>
      <xdr:colOff>9000</xdr:colOff>
      <xdr:row>74</xdr:row>
      <xdr:rowOff>25572</xdr:rowOff>
    </xdr:to>
    <xdr:sp macro="" textlink="">
      <xdr:nvSpPr>
        <xdr:cNvPr id="41" name="四角形吹き出し 11">
          <a:extLst>
            <a:ext uri="{FF2B5EF4-FFF2-40B4-BE49-F238E27FC236}">
              <a16:creationId xmlns:a16="http://schemas.microsoft.com/office/drawing/2014/main" id="{6C8A2732-B5D6-42CC-8140-A5AEC8D7E6AA}"/>
            </a:ext>
          </a:extLst>
        </xdr:cNvPr>
        <xdr:cNvSpPr/>
      </xdr:nvSpPr>
      <xdr:spPr>
        <a:xfrm>
          <a:off x="9592397" y="11372850"/>
          <a:ext cx="1818028" cy="635172"/>
        </a:xfrm>
        <a:prstGeom prst="wedgeRectCallout">
          <a:avLst>
            <a:gd name="adj1" fmla="val -33736"/>
            <a:gd name="adj2" fmla="val 111310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FOB</a:t>
          </a:r>
          <a:r>
            <a:rPr kumimoji="1" lang="ja-JP" altLang="en-US" sz="800">
              <a:solidFill>
                <a:sysClr val="windowText" lastClr="000000"/>
              </a:solidFill>
            </a:rPr>
            <a:t>価格</a:t>
          </a:r>
          <a:r>
            <a:rPr kumimoji="1" lang="en-US" altLang="ja-JP" sz="800">
              <a:solidFill>
                <a:sysClr val="windowText" lastClr="000000"/>
              </a:solidFill>
            </a:rPr>
            <a:t>/(1-</a:t>
          </a:r>
          <a:r>
            <a:rPr kumimoji="1" lang="ja-JP" altLang="en-US" sz="800">
              <a:solidFill>
                <a:sysClr val="windowText" lastClr="000000"/>
              </a:solidFill>
            </a:rPr>
            <a:t>物流コスト率）</a:t>
          </a:r>
          <a:r>
            <a:rPr kumimoji="1" lang="en-US" altLang="ja-JP" sz="800">
              <a:solidFill>
                <a:sysClr val="windowText" lastClr="000000"/>
              </a:solidFill>
            </a:rPr>
            <a:t>×</a:t>
          </a:r>
          <a:r>
            <a:rPr kumimoji="1" lang="ja-JP" altLang="en-US" sz="800">
              <a:solidFill>
                <a:sysClr val="windowText" lastClr="000000"/>
              </a:solidFill>
            </a:rPr>
            <a:t>口銭率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改修前の計算式も確認し設定する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2022.10.20</a:t>
          </a:r>
          <a:r>
            <a:rPr kumimoji="1" lang="en-US" altLang="ja-JP" sz="800" baseline="0">
              <a:solidFill>
                <a:sysClr val="windowText" lastClr="000000"/>
              </a:solidFill>
            </a:rPr>
            <a:t> </a:t>
          </a:r>
          <a:r>
            <a:rPr kumimoji="1" lang="ja-JP" altLang="en-US" sz="800" baseline="0">
              <a:solidFill>
                <a:sysClr val="windowText" lastClr="000000"/>
              </a:solidFill>
            </a:rPr>
            <a:t> </a:t>
          </a:r>
          <a:r>
            <a:rPr kumimoji="1" lang="en-US" altLang="ja-JP" sz="800" baseline="0">
              <a:solidFill>
                <a:sysClr val="windowText" lastClr="000000"/>
              </a:solidFill>
            </a:rPr>
            <a:t>AA</a:t>
          </a: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FOB</a:t>
          </a:r>
          <a:r>
            <a:rPr kumimoji="1" lang="ja-JP" altLang="en-US" sz="800">
              <a:solidFill>
                <a:sysClr val="windowText" lastClr="000000"/>
              </a:solidFill>
            </a:rPr>
            <a:t>価格 </a:t>
          </a:r>
          <a:r>
            <a:rPr kumimoji="1" lang="en-US" altLang="ja-JP" sz="800">
              <a:solidFill>
                <a:sysClr val="windowText" lastClr="000000"/>
              </a:solidFill>
            </a:rPr>
            <a:t>- (CIF</a:t>
          </a:r>
          <a:r>
            <a:rPr kumimoji="1" lang="ja-JP" altLang="en-US" sz="800">
              <a:solidFill>
                <a:sysClr val="windowText" lastClr="000000"/>
              </a:solidFill>
            </a:rPr>
            <a:t>価格 * 口銭率</a:t>
          </a:r>
          <a:r>
            <a:rPr kumimoji="1" lang="en-US" altLang="ja-JP" sz="8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oneCellAnchor>
    <xdr:from>
      <xdr:col>15</xdr:col>
      <xdr:colOff>0</xdr:colOff>
      <xdr:row>17</xdr:row>
      <xdr:rowOff>0</xdr:rowOff>
    </xdr:from>
    <xdr:ext cx="201083" cy="171450"/>
    <xdr:pic>
      <xdr:nvPicPr>
        <xdr:cNvPr id="14" name="図 13">
          <a:extLst>
            <a:ext uri="{FF2B5EF4-FFF2-40B4-BE49-F238E27FC236}">
              <a16:creationId xmlns:a16="http://schemas.microsoft.com/office/drawing/2014/main" id="{932E8A4B-5411-43CC-A7A3-8FD6FC33F8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78130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55</xdr:col>
      <xdr:colOff>28575</xdr:colOff>
      <xdr:row>61</xdr:row>
      <xdr:rowOff>123825</xdr:rowOff>
    </xdr:from>
    <xdr:to>
      <xdr:col>57</xdr:col>
      <xdr:colOff>16566</xdr:colOff>
      <xdr:row>72</xdr:row>
      <xdr:rowOff>108502</xdr:rowOff>
    </xdr:to>
    <xdr:sp macro="" textlink="">
      <xdr:nvSpPr>
        <xdr:cNvPr id="28" name="右中かっこ 27">
          <a:extLst>
            <a:ext uri="{FF2B5EF4-FFF2-40B4-BE49-F238E27FC236}">
              <a16:creationId xmlns:a16="http://schemas.microsoft.com/office/drawing/2014/main" id="{50F61282-584E-4720-8D28-AEE0CA23D9AB}"/>
            </a:ext>
          </a:extLst>
        </xdr:cNvPr>
        <xdr:cNvSpPr/>
      </xdr:nvSpPr>
      <xdr:spPr>
        <a:xfrm>
          <a:off x="11029950" y="9534525"/>
          <a:ext cx="388041" cy="2213527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47625</xdr:colOff>
      <xdr:row>65</xdr:row>
      <xdr:rowOff>57150</xdr:rowOff>
    </xdr:from>
    <xdr:to>
      <xdr:col>64</xdr:col>
      <xdr:colOff>47625</xdr:colOff>
      <xdr:row>67</xdr:row>
      <xdr:rowOff>114300</xdr:rowOff>
    </xdr:to>
    <xdr:sp macro="" textlink="">
      <xdr:nvSpPr>
        <xdr:cNvPr id="31" name="四角形吹き出し 11">
          <a:extLst>
            <a:ext uri="{FF2B5EF4-FFF2-40B4-BE49-F238E27FC236}">
              <a16:creationId xmlns:a16="http://schemas.microsoft.com/office/drawing/2014/main" id="{C3F3AEAE-0BBD-A89A-F2B0-490592C3C803}"/>
            </a:ext>
          </a:extLst>
        </xdr:cNvPr>
        <xdr:cNvSpPr/>
      </xdr:nvSpPr>
      <xdr:spPr>
        <a:xfrm>
          <a:off x="11849100" y="10325100"/>
          <a:ext cx="1000125" cy="400050"/>
        </a:xfrm>
        <a:prstGeom prst="wedgeRectCallout">
          <a:avLst>
            <a:gd name="adj1" fmla="val -73695"/>
            <a:gd name="adj2" fmla="val 1326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カスタム品の場合のみ表示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51</xdr:col>
      <xdr:colOff>171450</xdr:colOff>
      <xdr:row>93</xdr:row>
      <xdr:rowOff>0</xdr:rowOff>
    </xdr:from>
    <xdr:to>
      <xdr:col>53</xdr:col>
      <xdr:colOff>159441</xdr:colOff>
      <xdr:row>109</xdr:row>
      <xdr:rowOff>19049</xdr:rowOff>
    </xdr:to>
    <xdr:sp macro="" textlink="">
      <xdr:nvSpPr>
        <xdr:cNvPr id="32" name="右中かっこ 31">
          <a:extLst>
            <a:ext uri="{FF2B5EF4-FFF2-40B4-BE49-F238E27FC236}">
              <a16:creationId xmlns:a16="http://schemas.microsoft.com/office/drawing/2014/main" id="{BF7D5D2E-2909-4DE2-9AAE-1B91892AA461}"/>
            </a:ext>
          </a:extLst>
        </xdr:cNvPr>
        <xdr:cNvSpPr/>
      </xdr:nvSpPr>
      <xdr:spPr>
        <a:xfrm>
          <a:off x="10372725" y="14668500"/>
          <a:ext cx="388041" cy="2590799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161925</xdr:colOff>
      <xdr:row>99</xdr:row>
      <xdr:rowOff>161925</xdr:rowOff>
    </xdr:from>
    <xdr:to>
      <xdr:col>61</xdr:col>
      <xdr:colOff>38100</xdr:colOff>
      <xdr:row>103</xdr:row>
      <xdr:rowOff>0</xdr:rowOff>
    </xdr:to>
    <xdr:sp macro="" textlink="">
      <xdr:nvSpPr>
        <xdr:cNvPr id="33" name="四角形吹き出し 11">
          <a:extLst>
            <a:ext uri="{FF2B5EF4-FFF2-40B4-BE49-F238E27FC236}">
              <a16:creationId xmlns:a16="http://schemas.microsoft.com/office/drawing/2014/main" id="{D5D125FB-160D-4637-B97B-37DC7CB0DC9C}"/>
            </a:ext>
          </a:extLst>
        </xdr:cNvPr>
        <xdr:cNvSpPr/>
      </xdr:nvSpPr>
      <xdr:spPr>
        <a:xfrm>
          <a:off x="11163300" y="15687675"/>
          <a:ext cx="1076325" cy="352425"/>
        </a:xfrm>
        <a:prstGeom prst="wedgeRectCallout">
          <a:avLst>
            <a:gd name="adj1" fmla="val -73695"/>
            <a:gd name="adj2" fmla="val 1326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カスタム品の場合のみ表示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161925</xdr:colOff>
      <xdr:row>47</xdr:row>
      <xdr:rowOff>152400</xdr:rowOff>
    </xdr:from>
    <xdr:to>
      <xdr:col>32</xdr:col>
      <xdr:colOff>0</xdr:colOff>
      <xdr:row>50</xdr:row>
      <xdr:rowOff>66675</xdr:rowOff>
    </xdr:to>
    <xdr:sp macro="" textlink="">
      <xdr:nvSpPr>
        <xdr:cNvPr id="9" name="四角形吹き出し 11">
          <a:extLst>
            <a:ext uri="{FF2B5EF4-FFF2-40B4-BE49-F238E27FC236}">
              <a16:creationId xmlns:a16="http://schemas.microsoft.com/office/drawing/2014/main" id="{67428259-F5D2-BA5C-6C9A-63677372AD40}"/>
            </a:ext>
          </a:extLst>
        </xdr:cNvPr>
        <xdr:cNvSpPr/>
      </xdr:nvSpPr>
      <xdr:spPr>
        <a:xfrm>
          <a:off x="4562475" y="7391400"/>
          <a:ext cx="1838325" cy="314325"/>
        </a:xfrm>
        <a:prstGeom prst="wedgeRectCallout">
          <a:avLst>
            <a:gd name="adj1" fmla="val 5977"/>
            <a:gd name="adj2" fmla="val 137106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この列まで原計通貨に応じた小数点桁数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JPY:2</a:t>
          </a:r>
          <a:r>
            <a:rPr kumimoji="1" lang="ja-JP" altLang="en-US" sz="800">
              <a:solidFill>
                <a:sysClr val="windowText" lastClr="000000"/>
              </a:solidFill>
            </a:rPr>
            <a:t>桁、それ以外</a:t>
          </a:r>
          <a:r>
            <a:rPr kumimoji="1" lang="en-US" altLang="ja-JP" sz="800">
              <a:solidFill>
                <a:sysClr val="windowText" lastClr="000000"/>
              </a:solidFill>
            </a:rPr>
            <a:t>:4</a:t>
          </a:r>
          <a:r>
            <a:rPr kumimoji="1" lang="ja-JP" altLang="en-US" sz="800">
              <a:solidFill>
                <a:sysClr val="windowText" lastClr="000000"/>
              </a:solidFill>
            </a:rPr>
            <a:t>桁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85725</xdr:colOff>
      <xdr:row>47</xdr:row>
      <xdr:rowOff>152400</xdr:rowOff>
    </xdr:from>
    <xdr:to>
      <xdr:col>40</xdr:col>
      <xdr:colOff>142875</xdr:colOff>
      <xdr:row>50</xdr:row>
      <xdr:rowOff>66675</xdr:rowOff>
    </xdr:to>
    <xdr:sp macro="" textlink="">
      <xdr:nvSpPr>
        <xdr:cNvPr id="10" name="四角形吹き出し 11">
          <a:extLst>
            <a:ext uri="{FF2B5EF4-FFF2-40B4-BE49-F238E27FC236}">
              <a16:creationId xmlns:a16="http://schemas.microsoft.com/office/drawing/2014/main" id="{13BF6904-352E-C04C-6044-0A69DD29AF83}"/>
            </a:ext>
          </a:extLst>
        </xdr:cNvPr>
        <xdr:cNvSpPr/>
      </xdr:nvSpPr>
      <xdr:spPr>
        <a:xfrm>
          <a:off x="6686550" y="7391400"/>
          <a:ext cx="1457325" cy="314325"/>
        </a:xfrm>
        <a:prstGeom prst="wedgeRectCallout">
          <a:avLst>
            <a:gd name="adj1" fmla="val -35474"/>
            <a:gd name="adj2" fmla="val 149227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申請通貨に応じた小数点桁数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JPY:2</a:t>
          </a:r>
          <a:r>
            <a:rPr kumimoji="1" lang="ja-JP" altLang="en-US" sz="800">
              <a:solidFill>
                <a:sysClr val="windowText" lastClr="000000"/>
              </a:solidFill>
            </a:rPr>
            <a:t>桁、それ以外</a:t>
          </a:r>
          <a:r>
            <a:rPr kumimoji="1" lang="en-US" altLang="ja-JP" sz="800">
              <a:solidFill>
                <a:sysClr val="windowText" lastClr="000000"/>
              </a:solidFill>
            </a:rPr>
            <a:t>:4</a:t>
          </a:r>
          <a:r>
            <a:rPr kumimoji="1" lang="ja-JP" altLang="en-US" sz="800">
              <a:solidFill>
                <a:sysClr val="windowText" lastClr="000000"/>
              </a:solidFill>
            </a:rPr>
            <a:t>桁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0</xdr:colOff>
      <xdr:row>125</xdr:row>
      <xdr:rowOff>0</xdr:rowOff>
    </xdr:from>
    <xdr:ext cx="201083" cy="171450"/>
    <xdr:pic>
      <xdr:nvPicPr>
        <xdr:cNvPr id="12" name="図 11">
          <a:extLst>
            <a:ext uri="{FF2B5EF4-FFF2-40B4-BE49-F238E27FC236}">
              <a16:creationId xmlns:a16="http://schemas.microsoft.com/office/drawing/2014/main" id="{DB824C79-9639-406E-A53F-41BB8BF5BD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263967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131</xdr:row>
      <xdr:rowOff>0</xdr:rowOff>
    </xdr:from>
    <xdr:ext cx="201083" cy="171450"/>
    <xdr:pic>
      <xdr:nvPicPr>
        <xdr:cNvPr id="36" name="図 35">
          <a:extLst>
            <a:ext uri="{FF2B5EF4-FFF2-40B4-BE49-F238E27FC236}">
              <a16:creationId xmlns:a16="http://schemas.microsoft.com/office/drawing/2014/main" id="{EBC9784F-BFDC-4BFC-B613-59E3557E9EF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3325475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85725</xdr:colOff>
      <xdr:row>72</xdr:row>
      <xdr:rowOff>85725</xdr:rowOff>
    </xdr:from>
    <xdr:to>
      <xdr:col>11</xdr:col>
      <xdr:colOff>76200</xdr:colOff>
      <xdr:row>74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39EBE78-F1A3-45C6-ABBB-2ABD08BEF1EF}"/>
            </a:ext>
          </a:extLst>
        </xdr:cNvPr>
        <xdr:cNvSpPr/>
      </xdr:nvSpPr>
      <xdr:spPr>
        <a:xfrm>
          <a:off x="1485900" y="1172527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  <xdr:twoCellAnchor>
    <xdr:from>
      <xdr:col>24</xdr:col>
      <xdr:colOff>180975</xdr:colOff>
      <xdr:row>58</xdr:row>
      <xdr:rowOff>123825</xdr:rowOff>
    </xdr:from>
    <xdr:to>
      <xdr:col>34</xdr:col>
      <xdr:colOff>171450</xdr:colOff>
      <xdr:row>60</xdr:row>
      <xdr:rowOff>95250</xdr:rowOff>
    </xdr:to>
    <xdr:sp macro="" textlink="">
      <xdr:nvSpPr>
        <xdr:cNvPr id="16" name="四角形吹き出し 11">
          <a:extLst>
            <a:ext uri="{FF2B5EF4-FFF2-40B4-BE49-F238E27FC236}">
              <a16:creationId xmlns:a16="http://schemas.microsoft.com/office/drawing/2014/main" id="{F4BBB47B-B91F-7E63-B0E4-93060FC378BF}"/>
            </a:ext>
          </a:extLst>
        </xdr:cNvPr>
        <xdr:cNvSpPr/>
      </xdr:nvSpPr>
      <xdr:spPr>
        <a:xfrm>
          <a:off x="4981575" y="9020175"/>
          <a:ext cx="1990725" cy="314325"/>
        </a:xfrm>
        <a:prstGeom prst="wedgeRectCallout">
          <a:avLst>
            <a:gd name="adj1" fmla="val -34820"/>
            <a:gd name="adj2" fmla="val -108349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原計通貨、申請通貨は同一チェック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123825</xdr:colOff>
      <xdr:row>85</xdr:row>
      <xdr:rowOff>28575</xdr:rowOff>
    </xdr:from>
    <xdr:to>
      <xdr:col>16</xdr:col>
      <xdr:colOff>161925</xdr:colOff>
      <xdr:row>87</xdr:row>
      <xdr:rowOff>161925</xdr:rowOff>
    </xdr:to>
    <xdr:sp macro="" textlink="">
      <xdr:nvSpPr>
        <xdr:cNvPr id="38" name="四角形吹き出し 11">
          <a:extLst>
            <a:ext uri="{FF2B5EF4-FFF2-40B4-BE49-F238E27FC236}">
              <a16:creationId xmlns:a16="http://schemas.microsoft.com/office/drawing/2014/main" id="{D9065EE2-9C76-7AAE-F863-76B7526CDA89}"/>
            </a:ext>
          </a:extLst>
        </xdr:cNvPr>
        <xdr:cNvSpPr/>
      </xdr:nvSpPr>
      <xdr:spPr>
        <a:xfrm>
          <a:off x="1924050" y="13325475"/>
          <a:ext cx="1438275" cy="476250"/>
        </a:xfrm>
        <a:prstGeom prst="wedgeRectCallout">
          <a:avLst>
            <a:gd name="adj1" fmla="val -59700"/>
            <a:gd name="adj2" fmla="val -38652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1</a:t>
          </a:r>
          <a:r>
            <a:rPr kumimoji="1" lang="ja-JP" altLang="en-US" sz="800">
              <a:solidFill>
                <a:sysClr val="windowText" lastClr="000000"/>
              </a:solidFill>
            </a:rPr>
            <a:t>行目は申請通貨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2</a:t>
          </a:r>
          <a:r>
            <a:rPr kumimoji="1" lang="ja-JP" altLang="en-US" sz="800">
              <a:solidFill>
                <a:sysClr val="windowText" lastClr="000000"/>
              </a:solidFill>
            </a:rPr>
            <a:t>行目は</a:t>
          </a:r>
          <a:r>
            <a:rPr kumimoji="1" lang="en-US" altLang="ja-JP" sz="800">
              <a:solidFill>
                <a:sysClr val="windowText" lastClr="000000"/>
              </a:solidFill>
            </a:rPr>
            <a:t>JPY</a:t>
          </a:r>
          <a:r>
            <a:rPr kumimoji="1" lang="ja-JP" altLang="en-US" sz="800">
              <a:solidFill>
                <a:sysClr val="windowText" lastClr="000000"/>
              </a:solidFill>
            </a:rPr>
            <a:t>の表示。ただし申請通貨</a:t>
          </a:r>
          <a:r>
            <a:rPr kumimoji="1" lang="en-US" altLang="ja-JP" sz="800">
              <a:solidFill>
                <a:sysClr val="windowText" lastClr="000000"/>
              </a:solidFill>
            </a:rPr>
            <a:t>=JPY</a:t>
          </a:r>
          <a:r>
            <a:rPr kumimoji="1" lang="ja-JP" altLang="en-US" sz="800">
              <a:solidFill>
                <a:sysClr val="windowText" lastClr="000000"/>
              </a:solidFill>
            </a:rPr>
            <a:t>の場合は表示不要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28576</xdr:colOff>
      <xdr:row>95</xdr:row>
      <xdr:rowOff>152400</xdr:rowOff>
    </xdr:from>
    <xdr:to>
      <xdr:col>33</xdr:col>
      <xdr:colOff>152401</xdr:colOff>
      <xdr:row>96</xdr:row>
      <xdr:rowOff>171449</xdr:rowOff>
    </xdr:to>
    <xdr:sp macro="" textlink="">
      <xdr:nvSpPr>
        <xdr:cNvPr id="39" name="四角形吹き出し 11">
          <a:extLst>
            <a:ext uri="{FF2B5EF4-FFF2-40B4-BE49-F238E27FC236}">
              <a16:creationId xmlns:a16="http://schemas.microsoft.com/office/drawing/2014/main" id="{8EE65368-F519-8B05-BBFE-0280271ACD50}"/>
            </a:ext>
          </a:extLst>
        </xdr:cNvPr>
        <xdr:cNvSpPr/>
      </xdr:nvSpPr>
      <xdr:spPr>
        <a:xfrm>
          <a:off x="6029326" y="15506700"/>
          <a:ext cx="723900" cy="190499"/>
        </a:xfrm>
        <a:prstGeom prst="wedgeRectCallout">
          <a:avLst>
            <a:gd name="adj1" fmla="val -67028"/>
            <a:gd name="adj2" fmla="val 6196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小計欄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28576</xdr:colOff>
      <xdr:row>100</xdr:row>
      <xdr:rowOff>142875</xdr:rowOff>
    </xdr:from>
    <xdr:to>
      <xdr:col>33</xdr:col>
      <xdr:colOff>152401</xdr:colOff>
      <xdr:row>101</xdr:row>
      <xdr:rowOff>161924</xdr:rowOff>
    </xdr:to>
    <xdr:sp macro="" textlink="">
      <xdr:nvSpPr>
        <xdr:cNvPr id="40" name="四角形吹き出し 11">
          <a:extLst>
            <a:ext uri="{FF2B5EF4-FFF2-40B4-BE49-F238E27FC236}">
              <a16:creationId xmlns:a16="http://schemas.microsoft.com/office/drawing/2014/main" id="{82D9EA37-D135-5844-3263-8A8612F265FB}"/>
            </a:ext>
          </a:extLst>
        </xdr:cNvPr>
        <xdr:cNvSpPr/>
      </xdr:nvSpPr>
      <xdr:spPr>
        <a:xfrm>
          <a:off x="6029326" y="16011525"/>
          <a:ext cx="723900" cy="190499"/>
        </a:xfrm>
        <a:prstGeom prst="wedgeRectCallout">
          <a:avLst>
            <a:gd name="adj1" fmla="val -67028"/>
            <a:gd name="adj2" fmla="val 6196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小計欄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113</xdr:row>
      <xdr:rowOff>0</xdr:rowOff>
    </xdr:from>
    <xdr:to>
      <xdr:col>22</xdr:col>
      <xdr:colOff>0</xdr:colOff>
      <xdr:row>115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B42A3FF-4E4E-4FC3-A78C-C565F515A49D}"/>
            </a:ext>
          </a:extLst>
        </xdr:cNvPr>
        <xdr:cNvSpPr/>
      </xdr:nvSpPr>
      <xdr:spPr>
        <a:xfrm>
          <a:off x="3000375" y="16783050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en-US" altLang="ja-JP" sz="900" b="1"/>
            <a:t>CD</a:t>
          </a:r>
          <a:r>
            <a:rPr kumimoji="1" lang="ja-JP" altLang="en-US" sz="900" b="1"/>
            <a:t>資料出力</a:t>
          </a:r>
        </a:p>
      </xdr:txBody>
    </xdr:sp>
    <xdr:clientData/>
  </xdr:twoCellAnchor>
  <xdr:twoCellAnchor>
    <xdr:from>
      <xdr:col>23</xdr:col>
      <xdr:colOff>0</xdr:colOff>
      <xdr:row>113</xdr:row>
      <xdr:rowOff>0</xdr:rowOff>
    </xdr:from>
    <xdr:to>
      <xdr:col>30</xdr:col>
      <xdr:colOff>0</xdr:colOff>
      <xdr:row>115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13834E4-2DFF-48F4-81A8-668ACC7A1DD0}"/>
            </a:ext>
          </a:extLst>
        </xdr:cNvPr>
        <xdr:cNvSpPr/>
      </xdr:nvSpPr>
      <xdr:spPr>
        <a:xfrm>
          <a:off x="4600575" y="16783050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一時保存</a:t>
          </a:r>
        </a:p>
      </xdr:txBody>
    </xdr:sp>
    <xdr:clientData/>
  </xdr:twoCellAnchor>
  <xdr:twoCellAnchor>
    <xdr:from>
      <xdr:col>31</xdr:col>
      <xdr:colOff>0</xdr:colOff>
      <xdr:row>113</xdr:row>
      <xdr:rowOff>0</xdr:rowOff>
    </xdr:from>
    <xdr:to>
      <xdr:col>38</xdr:col>
      <xdr:colOff>0</xdr:colOff>
      <xdr:row>115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CDF2590-7BB4-48CA-B44C-445935AAC85C}"/>
            </a:ext>
          </a:extLst>
        </xdr:cNvPr>
        <xdr:cNvSpPr/>
      </xdr:nvSpPr>
      <xdr:spPr>
        <a:xfrm>
          <a:off x="6200775" y="16783050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申請</a:t>
          </a:r>
        </a:p>
      </xdr:txBody>
    </xdr:sp>
    <xdr:clientData/>
  </xdr:twoCellAnchor>
  <xdr:twoCellAnchor>
    <xdr:from>
      <xdr:col>2</xdr:col>
      <xdr:colOff>1</xdr:colOff>
      <xdr:row>7</xdr:row>
      <xdr:rowOff>38100</xdr:rowOff>
    </xdr:from>
    <xdr:to>
      <xdr:col>2</xdr:col>
      <xdr:colOff>156483</xdr:colOff>
      <xdr:row>7</xdr:row>
      <xdr:rowOff>180975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7D1D9B35-E5EA-4994-A54C-11D3B9CF66A9}"/>
            </a:ext>
          </a:extLst>
        </xdr:cNvPr>
        <xdr:cNvSpPr/>
      </xdr:nvSpPr>
      <xdr:spPr>
        <a:xfrm>
          <a:off x="400051" y="1162050"/>
          <a:ext cx="156482" cy="142875"/>
        </a:xfrm>
        <a:prstGeom prst="leftArrow">
          <a:avLst/>
        </a:prstGeom>
        <a:solidFill>
          <a:schemeClr val="bg1">
            <a:lumMod val="5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32</xdr:col>
      <xdr:colOff>57150</xdr:colOff>
      <xdr:row>18</xdr:row>
      <xdr:rowOff>19050</xdr:rowOff>
    </xdr:from>
    <xdr:ext cx="154327" cy="154327"/>
    <xdr:pic>
      <xdr:nvPicPr>
        <xdr:cNvPr id="6" name="図 5" descr="画面の領域">
          <a:extLst>
            <a:ext uri="{FF2B5EF4-FFF2-40B4-BE49-F238E27FC236}">
              <a16:creationId xmlns:a16="http://schemas.microsoft.com/office/drawing/2014/main" id="{C36B6AAB-4BC6-4B53-B374-0618A29B6B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2971800"/>
          <a:ext cx="154327" cy="15432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3</xdr:col>
      <xdr:colOff>9525</xdr:colOff>
      <xdr:row>56</xdr:row>
      <xdr:rowOff>85725</xdr:rowOff>
    </xdr:from>
    <xdr:to>
      <xdr:col>7</xdr:col>
      <xdr:colOff>0</xdr:colOff>
      <xdr:row>58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1D8B0A4-0269-4A32-8B95-01CA2FC8A5EB}"/>
            </a:ext>
          </a:extLst>
        </xdr:cNvPr>
        <xdr:cNvSpPr/>
      </xdr:nvSpPr>
      <xdr:spPr>
        <a:xfrm>
          <a:off x="609600" y="1058227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反映</a:t>
          </a:r>
        </a:p>
      </xdr:txBody>
    </xdr:sp>
    <xdr:clientData/>
  </xdr:twoCellAnchor>
  <xdr:twoCellAnchor>
    <xdr:from>
      <xdr:col>3</xdr:col>
      <xdr:colOff>0</xdr:colOff>
      <xdr:row>77</xdr:row>
      <xdr:rowOff>85725</xdr:rowOff>
    </xdr:from>
    <xdr:to>
      <xdr:col>6</xdr:col>
      <xdr:colOff>190500</xdr:colOff>
      <xdr:row>79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EE9A3C6-FF56-464A-9041-72B117D1FC13}"/>
            </a:ext>
          </a:extLst>
        </xdr:cNvPr>
        <xdr:cNvSpPr/>
      </xdr:nvSpPr>
      <xdr:spPr>
        <a:xfrm>
          <a:off x="600075" y="1515427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  <xdr:twoCellAnchor>
    <xdr:from>
      <xdr:col>3</xdr:col>
      <xdr:colOff>0</xdr:colOff>
      <xdr:row>83</xdr:row>
      <xdr:rowOff>0</xdr:rowOff>
    </xdr:from>
    <xdr:to>
      <xdr:col>8</xdr:col>
      <xdr:colOff>43669</xdr:colOff>
      <xdr:row>84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A3C0415-354B-4296-A859-04E9E86492BA}"/>
            </a:ext>
          </a:extLst>
        </xdr:cNvPr>
        <xdr:cNvSpPr/>
      </xdr:nvSpPr>
      <xdr:spPr>
        <a:xfrm>
          <a:off x="600075" y="15868650"/>
          <a:ext cx="104379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 b="1">
              <a:solidFill>
                <a:srgbClr val="00B050"/>
              </a:solidFill>
            </a:rPr>
            <a:t>＋</a:t>
          </a:r>
          <a:r>
            <a:rPr kumimoji="1" lang="ja-JP" altLang="en-US" sz="900"/>
            <a:t> ファイル追加</a:t>
          </a:r>
          <a:r>
            <a:rPr kumimoji="1" lang="en-US" altLang="ja-JP" sz="900"/>
            <a:t>…</a:t>
          </a:r>
          <a:endParaRPr kumimoji="1" lang="ja-JP" altLang="en-US" sz="900"/>
        </a:p>
      </xdr:txBody>
    </xdr:sp>
    <xdr:clientData/>
  </xdr:twoCellAnchor>
  <xdr:twoCellAnchor>
    <xdr:from>
      <xdr:col>8</xdr:col>
      <xdr:colOff>156356</xdr:colOff>
      <xdr:row>83</xdr:row>
      <xdr:rowOff>0</xdr:rowOff>
    </xdr:from>
    <xdr:to>
      <xdr:col>12</xdr:col>
      <xdr:colOff>0</xdr:colOff>
      <xdr:row>84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A5F1555-F76A-4DB1-8925-42D5DD13FA85}"/>
            </a:ext>
          </a:extLst>
        </xdr:cNvPr>
        <xdr:cNvSpPr/>
      </xdr:nvSpPr>
      <xdr:spPr>
        <a:xfrm>
          <a:off x="1756556" y="15868650"/>
          <a:ext cx="64374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900"/>
            <a:t> 　中断</a:t>
          </a:r>
        </a:p>
      </xdr:txBody>
    </xdr:sp>
    <xdr:clientData/>
  </xdr:twoCellAnchor>
  <xdr:oneCellAnchor>
    <xdr:from>
      <xdr:col>22</xdr:col>
      <xdr:colOff>0</xdr:colOff>
      <xdr:row>85</xdr:row>
      <xdr:rowOff>9502</xdr:rowOff>
    </xdr:from>
    <xdr:ext cx="219106" cy="161948"/>
    <xdr:pic>
      <xdr:nvPicPr>
        <xdr:cNvPr id="13" name="図 12" descr="画面の領域">
          <a:extLst>
            <a:ext uri="{FF2B5EF4-FFF2-40B4-BE49-F238E27FC236}">
              <a16:creationId xmlns:a16="http://schemas.microsoft.com/office/drawing/2014/main" id="{684F93F2-830E-4D07-A99E-39D444583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16221052"/>
          <a:ext cx="219106" cy="161948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88</xdr:row>
      <xdr:rowOff>152400</xdr:rowOff>
    </xdr:from>
    <xdr:to>
      <xdr:col>2</xdr:col>
      <xdr:colOff>198148</xdr:colOff>
      <xdr:row>90</xdr:row>
      <xdr:rowOff>15269</xdr:rowOff>
    </xdr:to>
    <xdr:pic>
      <xdr:nvPicPr>
        <xdr:cNvPr id="25" name="図 24" descr="画面の領域">
          <a:extLst>
            <a:ext uri="{FF2B5EF4-FFF2-40B4-BE49-F238E27FC236}">
              <a16:creationId xmlns:a16="http://schemas.microsoft.com/office/drawing/2014/main" id="{876C42EE-F3E7-4A4D-9000-6E410CF8E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7621250"/>
          <a:ext cx="198148" cy="205769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  <xdr:oneCellAnchor>
    <xdr:from>
      <xdr:col>38</xdr:col>
      <xdr:colOff>0</xdr:colOff>
      <xdr:row>108</xdr:row>
      <xdr:rowOff>9502</xdr:rowOff>
    </xdr:from>
    <xdr:ext cx="219106" cy="161948"/>
    <xdr:pic>
      <xdr:nvPicPr>
        <xdr:cNvPr id="26" name="図 25" descr="画面の領域">
          <a:extLst>
            <a:ext uri="{FF2B5EF4-FFF2-40B4-BE49-F238E27FC236}">
              <a16:creationId xmlns:a16="http://schemas.microsoft.com/office/drawing/2014/main" id="{4572524F-BBA1-4DDC-85DE-D2BCAE8D5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9764352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109</xdr:row>
      <xdr:rowOff>9502</xdr:rowOff>
    </xdr:from>
    <xdr:ext cx="219106" cy="161948"/>
    <xdr:pic>
      <xdr:nvPicPr>
        <xdr:cNvPr id="27" name="図 26" descr="画面の領域">
          <a:extLst>
            <a:ext uri="{FF2B5EF4-FFF2-40B4-BE49-F238E27FC236}">
              <a16:creationId xmlns:a16="http://schemas.microsoft.com/office/drawing/2014/main" id="{47DB8A0C-72C1-4646-9EB4-7604F5311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9935802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110</xdr:row>
      <xdr:rowOff>9502</xdr:rowOff>
    </xdr:from>
    <xdr:ext cx="219106" cy="161948"/>
    <xdr:pic>
      <xdr:nvPicPr>
        <xdr:cNvPr id="28" name="図 27" descr="画面の領域">
          <a:extLst>
            <a:ext uri="{FF2B5EF4-FFF2-40B4-BE49-F238E27FC236}">
              <a16:creationId xmlns:a16="http://schemas.microsoft.com/office/drawing/2014/main" id="{2085A4C6-C3BC-4187-8ADA-68F9A8516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20107252"/>
          <a:ext cx="219106" cy="161948"/>
        </a:xfrm>
        <a:prstGeom prst="rect">
          <a:avLst/>
        </a:prstGeom>
      </xdr:spPr>
    </xdr:pic>
    <xdr:clientData/>
  </xdr:oneCellAnchor>
  <xdr:oneCellAnchor>
    <xdr:from>
      <xdr:col>6</xdr:col>
      <xdr:colOff>190500</xdr:colOff>
      <xdr:row>106</xdr:row>
      <xdr:rowOff>0</xdr:rowOff>
    </xdr:from>
    <xdr:ext cx="201083" cy="171450"/>
    <xdr:pic>
      <xdr:nvPicPr>
        <xdr:cNvPr id="29" name="図 28">
          <a:extLst>
            <a:ext uri="{FF2B5EF4-FFF2-40B4-BE49-F238E27FC236}">
              <a16:creationId xmlns:a16="http://schemas.microsoft.com/office/drawing/2014/main" id="{35F77A82-BFCB-4541-93AA-4C1931940D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94119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26</xdr:row>
      <xdr:rowOff>0</xdr:rowOff>
    </xdr:from>
    <xdr:ext cx="201083" cy="171450"/>
    <xdr:pic>
      <xdr:nvPicPr>
        <xdr:cNvPr id="15" name="図 14">
          <a:extLst>
            <a:ext uri="{FF2B5EF4-FFF2-40B4-BE49-F238E27FC236}">
              <a16:creationId xmlns:a16="http://schemas.microsoft.com/office/drawing/2014/main" id="{5FE21EFA-D30A-438D-B2C9-D15A82C7BD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26</xdr:row>
      <xdr:rowOff>0</xdr:rowOff>
    </xdr:from>
    <xdr:ext cx="201083" cy="171450"/>
    <xdr:pic>
      <xdr:nvPicPr>
        <xdr:cNvPr id="17" name="図 16">
          <a:extLst>
            <a:ext uri="{FF2B5EF4-FFF2-40B4-BE49-F238E27FC236}">
              <a16:creationId xmlns:a16="http://schemas.microsoft.com/office/drawing/2014/main" id="{3FEE4D7F-5264-41E6-B10F-1BCAD12F8B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</xdr:row>
      <xdr:rowOff>0</xdr:rowOff>
    </xdr:from>
    <xdr:ext cx="201083" cy="171450"/>
    <xdr:pic>
      <xdr:nvPicPr>
        <xdr:cNvPr id="33" name="図 32">
          <a:extLst>
            <a:ext uri="{FF2B5EF4-FFF2-40B4-BE49-F238E27FC236}">
              <a16:creationId xmlns:a16="http://schemas.microsoft.com/office/drawing/2014/main" id="{35CB49F6-BB1F-41FE-8F80-A96B694B2A3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78130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9525</xdr:colOff>
      <xdr:row>43</xdr:row>
      <xdr:rowOff>38100</xdr:rowOff>
    </xdr:from>
    <xdr:to>
      <xdr:col>40</xdr:col>
      <xdr:colOff>47625</xdr:colOff>
      <xdr:row>45</xdr:row>
      <xdr:rowOff>123825</xdr:rowOff>
    </xdr:to>
    <xdr:sp macro="" textlink="">
      <xdr:nvSpPr>
        <xdr:cNvPr id="8" name="四角形吹き出し 11">
          <a:extLst>
            <a:ext uri="{FF2B5EF4-FFF2-40B4-BE49-F238E27FC236}">
              <a16:creationId xmlns:a16="http://schemas.microsoft.com/office/drawing/2014/main" id="{DB21661E-C8BA-46E4-8AAE-AC8C3E11DFF0}"/>
            </a:ext>
          </a:extLst>
        </xdr:cNvPr>
        <xdr:cNvSpPr/>
      </xdr:nvSpPr>
      <xdr:spPr>
        <a:xfrm>
          <a:off x="6210300" y="6819900"/>
          <a:ext cx="1838325" cy="314325"/>
        </a:xfrm>
        <a:prstGeom prst="wedgeRectCallout">
          <a:avLst>
            <a:gd name="adj1" fmla="val 5977"/>
            <a:gd name="adj2" fmla="val 137106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この列まで原計通貨に応じた小数点桁数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JPY:2</a:t>
          </a:r>
          <a:r>
            <a:rPr kumimoji="1" lang="ja-JP" altLang="en-US" sz="800">
              <a:solidFill>
                <a:sysClr val="windowText" lastClr="000000"/>
              </a:solidFill>
            </a:rPr>
            <a:t>桁、それ以外</a:t>
          </a:r>
          <a:r>
            <a:rPr kumimoji="1" lang="en-US" altLang="ja-JP" sz="800">
              <a:solidFill>
                <a:sysClr val="windowText" lastClr="000000"/>
              </a:solidFill>
            </a:rPr>
            <a:t>:4</a:t>
          </a:r>
          <a:r>
            <a:rPr kumimoji="1" lang="ja-JP" altLang="en-US" sz="800">
              <a:solidFill>
                <a:sysClr val="windowText" lastClr="000000"/>
              </a:solidFill>
            </a:rPr>
            <a:t>桁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133350</xdr:colOff>
      <xdr:row>43</xdr:row>
      <xdr:rowOff>38100</xdr:rowOff>
    </xdr:from>
    <xdr:to>
      <xdr:col>48</xdr:col>
      <xdr:colOff>190500</xdr:colOff>
      <xdr:row>45</xdr:row>
      <xdr:rowOff>123825</xdr:rowOff>
    </xdr:to>
    <xdr:sp macro="" textlink="">
      <xdr:nvSpPr>
        <xdr:cNvPr id="14" name="四角形吹き出し 11">
          <a:extLst>
            <a:ext uri="{FF2B5EF4-FFF2-40B4-BE49-F238E27FC236}">
              <a16:creationId xmlns:a16="http://schemas.microsoft.com/office/drawing/2014/main" id="{DF844AA9-7447-49F6-8E97-40FE027A355A}"/>
            </a:ext>
          </a:extLst>
        </xdr:cNvPr>
        <xdr:cNvSpPr/>
      </xdr:nvSpPr>
      <xdr:spPr>
        <a:xfrm>
          <a:off x="8334375" y="6819900"/>
          <a:ext cx="1457325" cy="314325"/>
        </a:xfrm>
        <a:prstGeom prst="wedgeRectCallout">
          <a:avLst>
            <a:gd name="adj1" fmla="val -46585"/>
            <a:gd name="adj2" fmla="val 128015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申請通貨に応じた小数点桁数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JPY:2</a:t>
          </a:r>
          <a:r>
            <a:rPr kumimoji="1" lang="ja-JP" altLang="en-US" sz="800">
              <a:solidFill>
                <a:sysClr val="windowText" lastClr="000000"/>
              </a:solidFill>
            </a:rPr>
            <a:t>桁、それ以外</a:t>
          </a:r>
          <a:r>
            <a:rPr kumimoji="1" lang="en-US" altLang="ja-JP" sz="800">
              <a:solidFill>
                <a:sysClr val="windowText" lastClr="000000"/>
              </a:solidFill>
            </a:rPr>
            <a:t>:4</a:t>
          </a:r>
          <a:r>
            <a:rPr kumimoji="1" lang="ja-JP" altLang="en-US" sz="800">
              <a:solidFill>
                <a:sysClr val="windowText" lastClr="000000"/>
              </a:solidFill>
            </a:rPr>
            <a:t>桁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0</xdr:colOff>
      <xdr:row>92</xdr:row>
      <xdr:rowOff>0</xdr:rowOff>
    </xdr:from>
    <xdr:ext cx="201083" cy="171450"/>
    <xdr:pic>
      <xdr:nvPicPr>
        <xdr:cNvPr id="16" name="図 15">
          <a:extLst>
            <a:ext uri="{FF2B5EF4-FFF2-40B4-BE49-F238E27FC236}">
              <a16:creationId xmlns:a16="http://schemas.microsoft.com/office/drawing/2014/main" id="{B5705EBF-FF38-44FC-82F8-AD03FFCCC2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935480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98</xdr:row>
      <xdr:rowOff>0</xdr:rowOff>
    </xdr:from>
    <xdr:ext cx="201083" cy="171450"/>
    <xdr:pic>
      <xdr:nvPicPr>
        <xdr:cNvPr id="18" name="図 17">
          <a:extLst>
            <a:ext uri="{FF2B5EF4-FFF2-40B4-BE49-F238E27FC236}">
              <a16:creationId xmlns:a16="http://schemas.microsoft.com/office/drawing/2014/main" id="{2D8C2CA8-AF2D-4A2F-AA30-6AB3F95364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004060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85725</xdr:colOff>
      <xdr:row>56</xdr:row>
      <xdr:rowOff>85725</xdr:rowOff>
    </xdr:from>
    <xdr:to>
      <xdr:col>11</xdr:col>
      <xdr:colOff>76200</xdr:colOff>
      <xdr:row>58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FE392E0-0A80-43C5-A1CC-E3653371AD3A}"/>
            </a:ext>
          </a:extLst>
        </xdr:cNvPr>
        <xdr:cNvSpPr/>
      </xdr:nvSpPr>
      <xdr:spPr>
        <a:xfrm>
          <a:off x="1485900" y="886777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109</xdr:row>
      <xdr:rowOff>0</xdr:rowOff>
    </xdr:from>
    <xdr:to>
      <xdr:col>22</xdr:col>
      <xdr:colOff>0</xdr:colOff>
      <xdr:row>111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A2175C6-7F03-4E61-8A76-3C36014DFC92}"/>
            </a:ext>
          </a:extLst>
        </xdr:cNvPr>
        <xdr:cNvSpPr/>
      </xdr:nvSpPr>
      <xdr:spPr>
        <a:xfrm>
          <a:off x="3000375" y="16954500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en-US" altLang="ja-JP" sz="900" b="1"/>
            <a:t>CD</a:t>
          </a:r>
          <a:r>
            <a:rPr kumimoji="1" lang="ja-JP" altLang="en-US" sz="900" b="1"/>
            <a:t>資料出力</a:t>
          </a:r>
        </a:p>
      </xdr:txBody>
    </xdr:sp>
    <xdr:clientData/>
  </xdr:twoCellAnchor>
  <xdr:twoCellAnchor>
    <xdr:from>
      <xdr:col>23</xdr:col>
      <xdr:colOff>0</xdr:colOff>
      <xdr:row>109</xdr:row>
      <xdr:rowOff>0</xdr:rowOff>
    </xdr:from>
    <xdr:to>
      <xdr:col>30</xdr:col>
      <xdr:colOff>0</xdr:colOff>
      <xdr:row>111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8BA7484-FB42-4FCF-9FFB-67708C27D0D9}"/>
            </a:ext>
          </a:extLst>
        </xdr:cNvPr>
        <xdr:cNvSpPr/>
      </xdr:nvSpPr>
      <xdr:spPr>
        <a:xfrm>
          <a:off x="4600575" y="16954500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一時保存</a:t>
          </a:r>
        </a:p>
      </xdr:txBody>
    </xdr:sp>
    <xdr:clientData/>
  </xdr:twoCellAnchor>
  <xdr:twoCellAnchor>
    <xdr:from>
      <xdr:col>31</xdr:col>
      <xdr:colOff>0</xdr:colOff>
      <xdr:row>109</xdr:row>
      <xdr:rowOff>0</xdr:rowOff>
    </xdr:from>
    <xdr:to>
      <xdr:col>38</xdr:col>
      <xdr:colOff>0</xdr:colOff>
      <xdr:row>111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2615D9C-857B-4744-A6D7-A452763794BC}"/>
            </a:ext>
          </a:extLst>
        </xdr:cNvPr>
        <xdr:cNvSpPr/>
      </xdr:nvSpPr>
      <xdr:spPr>
        <a:xfrm>
          <a:off x="6200775" y="16954500"/>
          <a:ext cx="1400175" cy="34290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申請</a:t>
          </a:r>
        </a:p>
      </xdr:txBody>
    </xdr:sp>
    <xdr:clientData/>
  </xdr:twoCellAnchor>
  <xdr:twoCellAnchor>
    <xdr:from>
      <xdr:col>2</xdr:col>
      <xdr:colOff>1</xdr:colOff>
      <xdr:row>7</xdr:row>
      <xdr:rowOff>38100</xdr:rowOff>
    </xdr:from>
    <xdr:to>
      <xdr:col>2</xdr:col>
      <xdr:colOff>156483</xdr:colOff>
      <xdr:row>7</xdr:row>
      <xdr:rowOff>180975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EE679313-AA01-4378-BFE0-52E86C603938}"/>
            </a:ext>
          </a:extLst>
        </xdr:cNvPr>
        <xdr:cNvSpPr/>
      </xdr:nvSpPr>
      <xdr:spPr>
        <a:xfrm>
          <a:off x="400051" y="1162050"/>
          <a:ext cx="156482" cy="142875"/>
        </a:xfrm>
        <a:prstGeom prst="leftArrow">
          <a:avLst/>
        </a:prstGeom>
        <a:solidFill>
          <a:schemeClr val="bg1">
            <a:lumMod val="5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32</xdr:col>
      <xdr:colOff>57150</xdr:colOff>
      <xdr:row>18</xdr:row>
      <xdr:rowOff>19050</xdr:rowOff>
    </xdr:from>
    <xdr:ext cx="154327" cy="154327"/>
    <xdr:pic>
      <xdr:nvPicPr>
        <xdr:cNvPr id="6" name="図 5" descr="画面の領域">
          <a:extLst>
            <a:ext uri="{FF2B5EF4-FFF2-40B4-BE49-F238E27FC236}">
              <a16:creationId xmlns:a16="http://schemas.microsoft.com/office/drawing/2014/main" id="{180DFBDD-5FDC-439E-9F46-AEF523A26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2971800"/>
          <a:ext cx="154327" cy="15432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3</xdr:col>
      <xdr:colOff>9525</xdr:colOff>
      <xdr:row>56</xdr:row>
      <xdr:rowOff>85725</xdr:rowOff>
    </xdr:from>
    <xdr:to>
      <xdr:col>7</xdr:col>
      <xdr:colOff>0</xdr:colOff>
      <xdr:row>58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AEC1DF1-B2C4-4B33-84E5-D2B3604AB064}"/>
            </a:ext>
          </a:extLst>
        </xdr:cNvPr>
        <xdr:cNvSpPr/>
      </xdr:nvSpPr>
      <xdr:spPr>
        <a:xfrm>
          <a:off x="609600" y="1058227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反映</a:t>
          </a:r>
        </a:p>
      </xdr:txBody>
    </xdr:sp>
    <xdr:clientData/>
  </xdr:twoCellAnchor>
  <xdr:twoCellAnchor>
    <xdr:from>
      <xdr:col>3</xdr:col>
      <xdr:colOff>0</xdr:colOff>
      <xdr:row>73</xdr:row>
      <xdr:rowOff>85725</xdr:rowOff>
    </xdr:from>
    <xdr:to>
      <xdr:col>6</xdr:col>
      <xdr:colOff>190500</xdr:colOff>
      <xdr:row>75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399818F-5F0A-43FC-AAFC-D18B112A98C6}"/>
            </a:ext>
          </a:extLst>
        </xdr:cNvPr>
        <xdr:cNvSpPr/>
      </xdr:nvSpPr>
      <xdr:spPr>
        <a:xfrm>
          <a:off x="600075" y="1532572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  <xdr:twoCellAnchor>
    <xdr:from>
      <xdr:col>3</xdr:col>
      <xdr:colOff>0</xdr:colOff>
      <xdr:row>79</xdr:row>
      <xdr:rowOff>0</xdr:rowOff>
    </xdr:from>
    <xdr:to>
      <xdr:col>8</xdr:col>
      <xdr:colOff>43669</xdr:colOff>
      <xdr:row>80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1A87268-0949-40FC-B032-F9F28562860A}"/>
            </a:ext>
          </a:extLst>
        </xdr:cNvPr>
        <xdr:cNvSpPr/>
      </xdr:nvSpPr>
      <xdr:spPr>
        <a:xfrm>
          <a:off x="600075" y="16040100"/>
          <a:ext cx="104379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ja-JP" altLang="en-US" sz="1100" b="1">
              <a:solidFill>
                <a:srgbClr val="00B050"/>
              </a:solidFill>
            </a:rPr>
            <a:t>＋</a:t>
          </a:r>
          <a:r>
            <a:rPr kumimoji="1" lang="ja-JP" altLang="en-US" sz="900"/>
            <a:t> ファイル追加</a:t>
          </a:r>
          <a:r>
            <a:rPr kumimoji="1" lang="en-US" altLang="ja-JP" sz="900"/>
            <a:t>…</a:t>
          </a:r>
          <a:endParaRPr kumimoji="1" lang="ja-JP" altLang="en-US" sz="900"/>
        </a:p>
      </xdr:txBody>
    </xdr:sp>
    <xdr:clientData/>
  </xdr:twoCellAnchor>
  <xdr:twoCellAnchor>
    <xdr:from>
      <xdr:col>8</xdr:col>
      <xdr:colOff>156356</xdr:colOff>
      <xdr:row>79</xdr:row>
      <xdr:rowOff>0</xdr:rowOff>
    </xdr:from>
    <xdr:to>
      <xdr:col>12</xdr:col>
      <xdr:colOff>0</xdr:colOff>
      <xdr:row>80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2F3DE82-4C82-422B-91F1-31FB8447F575}"/>
            </a:ext>
          </a:extLst>
        </xdr:cNvPr>
        <xdr:cNvSpPr/>
      </xdr:nvSpPr>
      <xdr:spPr>
        <a:xfrm>
          <a:off x="1756556" y="16040100"/>
          <a:ext cx="643744" cy="1714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900"/>
            <a:t> 　中断</a:t>
          </a:r>
        </a:p>
      </xdr:txBody>
    </xdr:sp>
    <xdr:clientData/>
  </xdr:twoCellAnchor>
  <xdr:oneCellAnchor>
    <xdr:from>
      <xdr:col>22</xdr:col>
      <xdr:colOff>0</xdr:colOff>
      <xdr:row>81</xdr:row>
      <xdr:rowOff>9502</xdr:rowOff>
    </xdr:from>
    <xdr:ext cx="219106" cy="161948"/>
    <xdr:pic>
      <xdr:nvPicPr>
        <xdr:cNvPr id="13" name="図 12" descr="画面の領域">
          <a:extLst>
            <a:ext uri="{FF2B5EF4-FFF2-40B4-BE49-F238E27FC236}">
              <a16:creationId xmlns:a16="http://schemas.microsoft.com/office/drawing/2014/main" id="{37DE3216-9508-47E8-8E92-4EA1590DE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16392502"/>
          <a:ext cx="219106" cy="161948"/>
        </a:xfrm>
        <a:prstGeom prst="rect">
          <a:avLst/>
        </a:prstGeom>
      </xdr:spPr>
    </xdr:pic>
    <xdr:clientData/>
  </xdr:oneCellAnchor>
  <xdr:twoCellAnchor>
    <xdr:from>
      <xdr:col>45</xdr:col>
      <xdr:colOff>76200</xdr:colOff>
      <xdr:row>56</xdr:row>
      <xdr:rowOff>0</xdr:rowOff>
    </xdr:from>
    <xdr:to>
      <xdr:col>53</xdr:col>
      <xdr:colOff>66675</xdr:colOff>
      <xdr:row>59</xdr:row>
      <xdr:rowOff>66676</xdr:rowOff>
    </xdr:to>
    <xdr:sp macro="" textlink="">
      <xdr:nvSpPr>
        <xdr:cNvPr id="23" name="四角形吹き出し 11">
          <a:extLst>
            <a:ext uri="{FF2B5EF4-FFF2-40B4-BE49-F238E27FC236}">
              <a16:creationId xmlns:a16="http://schemas.microsoft.com/office/drawing/2014/main" id="{A2056365-3806-B7C9-F686-6612E6E03C17}"/>
            </a:ext>
          </a:extLst>
        </xdr:cNvPr>
        <xdr:cNvSpPr/>
      </xdr:nvSpPr>
      <xdr:spPr>
        <a:xfrm>
          <a:off x="9077325" y="11582399"/>
          <a:ext cx="1590675" cy="523877"/>
        </a:xfrm>
        <a:prstGeom prst="wedgeRectCallout">
          <a:avLst>
            <a:gd name="adj1" fmla="val 14928"/>
            <a:gd name="adj2" fmla="val 104761"/>
          </a:avLst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>
            <a:lnSpc>
              <a:spcPts val="900"/>
            </a:lnSpc>
          </a:pPr>
          <a:r>
            <a:rPr kumimoji="1" lang="ja-JP" altLang="en-US" sz="800">
              <a:solidFill>
                <a:sysClr val="windowText" lastClr="000000"/>
              </a:solidFill>
            </a:rPr>
            <a:t>申請価格の計算式を確認する</a:t>
          </a:r>
          <a:r>
            <a:rPr kumimoji="1" lang="en-US" altLang="ja-JP" sz="800">
              <a:solidFill>
                <a:sysClr val="windowText" lastClr="000000"/>
              </a:solidFill>
            </a:rPr>
            <a:t>2022.10.20  AA</a:t>
          </a:r>
        </a:p>
        <a:p>
          <a:pPr algn="l">
            <a:lnSpc>
              <a:spcPts val="900"/>
            </a:lnSpc>
          </a:pPr>
          <a:r>
            <a:rPr kumimoji="1" lang="en-US" altLang="ja-JP" sz="800">
              <a:solidFill>
                <a:sysClr val="windowText" lastClr="000000"/>
              </a:solidFill>
            </a:rPr>
            <a:t>FOB</a:t>
          </a:r>
          <a:r>
            <a:rPr kumimoji="1" lang="ja-JP" altLang="en-US" sz="800">
              <a:solidFill>
                <a:sysClr val="windowText" lastClr="000000"/>
              </a:solidFill>
            </a:rPr>
            <a:t>価格 </a:t>
          </a:r>
          <a:r>
            <a:rPr kumimoji="1" lang="en-US" altLang="ja-JP" sz="800">
              <a:solidFill>
                <a:sysClr val="windowText" lastClr="000000"/>
              </a:solidFill>
            </a:rPr>
            <a:t>- (CIF</a:t>
          </a:r>
          <a:r>
            <a:rPr kumimoji="1" lang="ja-JP" altLang="en-US" sz="800">
              <a:solidFill>
                <a:sysClr val="windowText" lastClr="000000"/>
              </a:solidFill>
            </a:rPr>
            <a:t>価格 * 口銭率</a:t>
          </a:r>
          <a:r>
            <a:rPr kumimoji="1" lang="en-US" altLang="ja-JP" sz="800">
              <a:solidFill>
                <a:sysClr val="windowText" lastClr="000000"/>
              </a:solidFill>
            </a:rPr>
            <a:t>)</a:t>
          </a:r>
        </a:p>
        <a:p>
          <a:pPr algn="l">
            <a:lnSpc>
              <a:spcPts val="900"/>
            </a:lnSpc>
          </a:pP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84</xdr:row>
      <xdr:rowOff>152400</xdr:rowOff>
    </xdr:from>
    <xdr:to>
      <xdr:col>3</xdr:col>
      <xdr:colOff>28</xdr:colOff>
      <xdr:row>86</xdr:row>
      <xdr:rowOff>19079</xdr:rowOff>
    </xdr:to>
    <xdr:pic>
      <xdr:nvPicPr>
        <xdr:cNvPr id="16" name="図 15" descr="画面の領域">
          <a:extLst>
            <a:ext uri="{FF2B5EF4-FFF2-40B4-BE49-F238E27FC236}">
              <a16:creationId xmlns:a16="http://schemas.microsoft.com/office/drawing/2014/main" id="{3B5E84CC-F78F-43BF-8F6C-9833420E5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1849100"/>
          <a:ext cx="198148" cy="205769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  <xdr:oneCellAnchor>
    <xdr:from>
      <xdr:col>38</xdr:col>
      <xdr:colOff>0</xdr:colOff>
      <xdr:row>104</xdr:row>
      <xdr:rowOff>9502</xdr:rowOff>
    </xdr:from>
    <xdr:ext cx="219106" cy="161948"/>
    <xdr:pic>
      <xdr:nvPicPr>
        <xdr:cNvPr id="17" name="図 16" descr="画面の領域">
          <a:extLst>
            <a:ext uri="{FF2B5EF4-FFF2-40B4-BE49-F238E27FC236}">
              <a16:creationId xmlns:a16="http://schemas.microsoft.com/office/drawing/2014/main" id="{5D13003C-2616-4106-89D2-6F8DBD4A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3992202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105</xdr:row>
      <xdr:rowOff>9502</xdr:rowOff>
    </xdr:from>
    <xdr:ext cx="219106" cy="161948"/>
    <xdr:pic>
      <xdr:nvPicPr>
        <xdr:cNvPr id="18" name="図 17" descr="画面の領域">
          <a:extLst>
            <a:ext uri="{FF2B5EF4-FFF2-40B4-BE49-F238E27FC236}">
              <a16:creationId xmlns:a16="http://schemas.microsoft.com/office/drawing/2014/main" id="{856CBFCD-43ED-4526-91B6-2D2321C09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163652"/>
          <a:ext cx="219106" cy="161948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106</xdr:row>
      <xdr:rowOff>9502</xdr:rowOff>
    </xdr:from>
    <xdr:ext cx="219106" cy="161948"/>
    <xdr:pic>
      <xdr:nvPicPr>
        <xdr:cNvPr id="19" name="図 18" descr="画面の領域">
          <a:extLst>
            <a:ext uri="{FF2B5EF4-FFF2-40B4-BE49-F238E27FC236}">
              <a16:creationId xmlns:a16="http://schemas.microsoft.com/office/drawing/2014/main" id="{0CB3E6E8-03EB-46A0-B28B-973242E68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14335102"/>
          <a:ext cx="219106" cy="161948"/>
        </a:xfrm>
        <a:prstGeom prst="rect">
          <a:avLst/>
        </a:prstGeom>
      </xdr:spPr>
    </xdr:pic>
    <xdr:clientData/>
  </xdr:oneCellAnchor>
  <xdr:oneCellAnchor>
    <xdr:from>
      <xdr:col>6</xdr:col>
      <xdr:colOff>190500</xdr:colOff>
      <xdr:row>102</xdr:row>
      <xdr:rowOff>0</xdr:rowOff>
    </xdr:from>
    <xdr:ext cx="201083" cy="171450"/>
    <xdr:pic>
      <xdr:nvPicPr>
        <xdr:cNvPr id="20" name="図 19">
          <a:extLst>
            <a:ext uri="{FF2B5EF4-FFF2-40B4-BE49-F238E27FC236}">
              <a16:creationId xmlns:a16="http://schemas.microsoft.com/office/drawing/2014/main" id="{F27D5283-CCDF-4824-BA1A-C299DEE515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363980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26</xdr:row>
      <xdr:rowOff>0</xdr:rowOff>
    </xdr:from>
    <xdr:ext cx="201083" cy="171450"/>
    <xdr:pic>
      <xdr:nvPicPr>
        <xdr:cNvPr id="22" name="図 21">
          <a:extLst>
            <a:ext uri="{FF2B5EF4-FFF2-40B4-BE49-F238E27FC236}">
              <a16:creationId xmlns:a16="http://schemas.microsoft.com/office/drawing/2014/main" id="{D8FA51ED-F86D-4D96-B7C0-0D32F27B11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26</xdr:row>
      <xdr:rowOff>0</xdr:rowOff>
    </xdr:from>
    <xdr:ext cx="201083" cy="171450"/>
    <xdr:pic>
      <xdr:nvPicPr>
        <xdr:cNvPr id="26" name="図 25">
          <a:extLst>
            <a:ext uri="{FF2B5EF4-FFF2-40B4-BE49-F238E27FC236}">
              <a16:creationId xmlns:a16="http://schemas.microsoft.com/office/drawing/2014/main" id="{901EE48C-3B75-4389-8C13-C56CBCA9B1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0957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</xdr:row>
      <xdr:rowOff>0</xdr:rowOff>
    </xdr:from>
    <xdr:ext cx="201083" cy="171450"/>
    <xdr:pic>
      <xdr:nvPicPr>
        <xdr:cNvPr id="8" name="図 7">
          <a:extLst>
            <a:ext uri="{FF2B5EF4-FFF2-40B4-BE49-F238E27FC236}">
              <a16:creationId xmlns:a16="http://schemas.microsoft.com/office/drawing/2014/main" id="{CE2250BB-491C-4103-B119-BA7B62BF15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78130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88</xdr:row>
      <xdr:rowOff>0</xdr:rowOff>
    </xdr:from>
    <xdr:ext cx="201083" cy="171450"/>
    <xdr:pic>
      <xdr:nvPicPr>
        <xdr:cNvPr id="9" name="図 8">
          <a:extLst>
            <a:ext uri="{FF2B5EF4-FFF2-40B4-BE49-F238E27FC236}">
              <a16:creationId xmlns:a16="http://schemas.microsoft.com/office/drawing/2014/main" id="{BEE88940-0833-4D65-93A1-A1776DA5D4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39255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01083" cy="171450"/>
    <xdr:pic>
      <xdr:nvPicPr>
        <xdr:cNvPr id="21" name="図 20">
          <a:extLst>
            <a:ext uri="{FF2B5EF4-FFF2-40B4-BE49-F238E27FC236}">
              <a16:creationId xmlns:a16="http://schemas.microsoft.com/office/drawing/2014/main" id="{1041A5B3-8B90-4609-BCD5-C2F7B8C541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4611350"/>
          <a:ext cx="201083" cy="17145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123825</xdr:colOff>
      <xdr:row>56</xdr:row>
      <xdr:rowOff>85725</xdr:rowOff>
    </xdr:from>
    <xdr:to>
      <xdr:col>11</xdr:col>
      <xdr:colOff>114300</xdr:colOff>
      <xdr:row>58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F4C95BB-93EA-4D0A-AC5D-31D2945DC518}"/>
            </a:ext>
          </a:extLst>
        </xdr:cNvPr>
        <xdr:cNvSpPr/>
      </xdr:nvSpPr>
      <xdr:spPr>
        <a:xfrm>
          <a:off x="1524000" y="8867775"/>
          <a:ext cx="790575" cy="257175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/>
            <a:t>エクセル出力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/>
      </a:spPr>
      <a:bodyPr vertOverflow="clip" horzOverflow="clip" lIns="36000" tIns="36000" rIns="36000" bIns="36000" rtlCol="0" anchor="t"/>
      <a:lstStyle>
        <a:defPPr algn="l">
          <a:lnSpc>
            <a:spcPts val="900"/>
          </a:lnSpc>
          <a:defRPr kumimoji="1" sz="800">
            <a:solidFill>
              <a:sysClr val="windowText" lastClr="000000"/>
            </a:solidFill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T123"/>
  <sheetViews>
    <sheetView showGridLines="0" tabSelected="1" view="pageBreakPreview" zoomScaleNormal="80" zoomScaleSheetLayoutView="100" workbookViewId="0"/>
  </sheetViews>
  <sheetFormatPr defaultColWidth="8" defaultRowHeight="13"/>
  <cols>
    <col min="1" max="1" width="8.90625" style="1" customWidth="1"/>
    <col min="2" max="8" width="14.36328125" style="1" customWidth="1"/>
    <col min="9" max="9" width="13.6328125" style="1" customWidth="1"/>
    <col min="10" max="10" width="3.36328125" style="1" customWidth="1"/>
    <col min="11" max="11" width="23.7265625" style="1" customWidth="1"/>
    <col min="12" max="12" width="10" style="1" customWidth="1"/>
    <col min="13" max="13" width="23.36328125" style="1" customWidth="1"/>
    <col min="14" max="14" width="9.08984375" style="1" customWidth="1"/>
    <col min="15" max="15" width="19.90625" style="1" customWidth="1"/>
    <col min="16" max="16" width="6.7265625" style="1" customWidth="1"/>
    <col min="17" max="17" width="7.36328125" style="1" customWidth="1"/>
    <col min="18" max="18" width="6.7265625" style="1" customWidth="1"/>
    <col min="19" max="19" width="11" style="1" customWidth="1"/>
    <col min="20" max="20" width="9.90625" style="1" customWidth="1"/>
    <col min="21" max="21" width="8" style="1" customWidth="1"/>
    <col min="22" max="22" width="11.6328125" style="1" customWidth="1"/>
    <col min="23" max="16384" width="8" style="1"/>
  </cols>
  <sheetData>
    <row r="1" spans="12:12" ht="14.25" customHeight="1"/>
    <row r="2" spans="12:12" ht="14.25" customHeight="1"/>
    <row r="3" spans="12:12" ht="14.25" customHeight="1"/>
    <row r="4" spans="12:12" ht="14.25" customHeight="1"/>
    <row r="5" spans="12:12" ht="14.25" customHeight="1"/>
    <row r="6" spans="12:12" ht="14.25" customHeight="1"/>
    <row r="7" spans="12:12" ht="14.25" customHeight="1"/>
    <row r="8" spans="12:12" ht="14.25" customHeight="1"/>
    <row r="9" spans="12:12" ht="14.25" customHeight="1"/>
    <row r="10" spans="12:12" ht="14.25" customHeight="1">
      <c r="L10" s="2"/>
    </row>
    <row r="11" spans="12:12" ht="14.25" customHeight="1"/>
    <row r="12" spans="12:12" ht="14.25" customHeight="1"/>
    <row r="13" spans="12:12" ht="14.25" customHeight="1"/>
    <row r="14" spans="12:12" ht="14.25" customHeight="1"/>
    <row r="15" spans="12:12" ht="14.25" customHeight="1"/>
    <row r="16" spans="12:12" ht="14.25" customHeight="1"/>
    <row r="17" spans="2:8" ht="14.25" customHeight="1"/>
    <row r="18" spans="2:8" ht="14.25" customHeight="1"/>
    <row r="19" spans="2:8" ht="14.25" customHeight="1"/>
    <row r="20" spans="2:8" ht="14.25" customHeight="1"/>
    <row r="21" spans="2:8" ht="14.25" customHeight="1"/>
    <row r="22" spans="2:8" ht="14.25" customHeight="1">
      <c r="B22" s="708" t="str">
        <f ca="1">TEXT(変更来歴!AT2,"yyyy年 mm月 dd日") &amp; " " &amp; 変更来歴!AT3</f>
        <v>2026年 06月 17日 dr1.5</v>
      </c>
      <c r="C22" s="709"/>
      <c r="D22" s="709"/>
      <c r="E22" s="709"/>
      <c r="F22" s="709"/>
      <c r="G22" s="709"/>
      <c r="H22" s="709"/>
    </row>
    <row r="23" spans="2:8" ht="14.25" customHeight="1"/>
    <row r="24" spans="2:8" ht="14.25" customHeight="1"/>
    <row r="25" spans="2:8" ht="14.25" customHeight="1"/>
    <row r="26" spans="2:8" ht="14.25" customHeight="1"/>
    <row r="27" spans="2:8" ht="14.25" customHeight="1"/>
    <row r="28" spans="2:8" ht="14.25" customHeight="1">
      <c r="C28" s="711" t="s">
        <v>28</v>
      </c>
      <c r="D28" s="711"/>
      <c r="E28" s="711"/>
      <c r="F28" s="711" t="s">
        <v>0</v>
      </c>
      <c r="G28" s="711"/>
    </row>
    <row r="29" spans="2:8" ht="14.25" customHeight="1">
      <c r="C29" s="3" t="s">
        <v>1</v>
      </c>
      <c r="D29" s="3" t="s">
        <v>2</v>
      </c>
      <c r="E29" s="3" t="s">
        <v>3</v>
      </c>
      <c r="F29" s="3" t="s">
        <v>2</v>
      </c>
      <c r="G29" s="3" t="s">
        <v>3</v>
      </c>
    </row>
    <row r="30" spans="2:8" ht="14.25" customHeight="1">
      <c r="C30" s="4"/>
      <c r="D30" s="4"/>
      <c r="E30" s="4"/>
      <c r="F30" s="5"/>
      <c r="G30" s="5"/>
    </row>
    <row r="31" spans="2:8" ht="29.25" customHeight="1">
      <c r="C31" s="6"/>
      <c r="D31" s="6"/>
      <c r="E31" s="6"/>
      <c r="F31" s="6"/>
      <c r="G31" s="6"/>
    </row>
    <row r="32" spans="2:8" ht="14.25" customHeight="1"/>
    <row r="33" spans="3:20" ht="14.25" customHeight="1">
      <c r="C33" s="712"/>
      <c r="D33" s="712"/>
      <c r="E33" s="712"/>
      <c r="F33" s="712"/>
      <c r="G33" s="712"/>
      <c r="H33" s="7"/>
      <c r="I33" s="7"/>
    </row>
    <row r="34" spans="3:20" ht="14.25" customHeight="1">
      <c r="C34" s="9"/>
      <c r="D34" s="9"/>
      <c r="E34" s="9"/>
      <c r="F34" s="9"/>
      <c r="G34" s="9"/>
    </row>
    <row r="35" spans="3:20" ht="14.25" customHeight="1">
      <c r="C35" s="10"/>
      <c r="D35" s="10"/>
      <c r="E35" s="10"/>
      <c r="F35" s="9"/>
      <c r="G35" s="9"/>
    </row>
    <row r="36" spans="3:20" ht="29.25" customHeight="1">
      <c r="C36" s="9"/>
      <c r="D36" s="9"/>
      <c r="E36" s="9"/>
      <c r="F36" s="9"/>
      <c r="G36" s="9"/>
    </row>
    <row r="37" spans="3:20" ht="14.25" customHeight="1">
      <c r="K37" s="11"/>
      <c r="L37" s="12"/>
      <c r="M37" s="8"/>
      <c r="N37" s="12"/>
      <c r="O37" s="8"/>
      <c r="P37" s="14"/>
      <c r="Q37" s="15"/>
      <c r="R37" s="14"/>
      <c r="S37" s="16"/>
      <c r="T37" s="14"/>
    </row>
    <row r="38" spans="3:20" ht="14.25" customHeight="1">
      <c r="K38" s="17"/>
      <c r="L38" s="12"/>
      <c r="M38" s="18"/>
      <c r="N38" s="12"/>
      <c r="O38" s="8"/>
      <c r="P38" s="14"/>
      <c r="Q38" s="15"/>
      <c r="R38" s="14"/>
      <c r="S38" s="16"/>
      <c r="T38" s="710"/>
    </row>
    <row r="39" spans="3:20" ht="14.25" customHeight="1">
      <c r="K39" s="17"/>
      <c r="L39" s="12"/>
      <c r="M39" s="8"/>
      <c r="N39" s="12"/>
      <c r="O39" s="8"/>
      <c r="P39" s="8"/>
      <c r="Q39" s="8"/>
      <c r="R39" s="14"/>
      <c r="S39" s="19"/>
      <c r="T39" s="713"/>
    </row>
    <row r="40" spans="3:20" ht="14.25" customHeight="1"/>
    <row r="41" spans="3:20" ht="14.25" customHeight="1">
      <c r="K41" s="11"/>
      <c r="L41" s="12"/>
      <c r="M41" s="8"/>
      <c r="N41" s="12"/>
      <c r="O41" s="13"/>
      <c r="P41" s="14"/>
      <c r="Q41" s="15"/>
      <c r="R41" s="14"/>
      <c r="S41" s="16"/>
      <c r="T41" s="14"/>
    </row>
    <row r="42" spans="3:20" s="8" customFormat="1" ht="14.25" customHeight="1">
      <c r="K42" s="17"/>
      <c r="L42" s="12"/>
      <c r="M42" s="18"/>
      <c r="N42" s="12"/>
      <c r="P42" s="14"/>
      <c r="Q42" s="15"/>
      <c r="R42" s="14"/>
      <c r="S42" s="16"/>
      <c r="T42" s="710"/>
    </row>
    <row r="43" spans="3:20" s="8" customFormat="1" ht="14.25" customHeight="1">
      <c r="K43" s="17"/>
      <c r="L43" s="12"/>
      <c r="N43" s="12"/>
      <c r="R43" s="14"/>
      <c r="S43" s="19"/>
      <c r="T43" s="710"/>
    </row>
    <row r="44" spans="3:20" s="8" customFormat="1" ht="14.25" customHeight="1"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3:20" ht="14.25" customHeight="1">
      <c r="K45" s="11"/>
      <c r="L45" s="12"/>
      <c r="M45" s="8"/>
      <c r="N45" s="12"/>
      <c r="O45" s="13"/>
      <c r="P45" s="14"/>
      <c r="Q45" s="15"/>
      <c r="R45" s="14"/>
      <c r="S45" s="16"/>
      <c r="T45" s="14"/>
    </row>
    <row r="46" spans="3:20" ht="14.25" customHeight="1">
      <c r="K46" s="17"/>
      <c r="L46" s="12"/>
      <c r="M46" s="18"/>
      <c r="N46" s="12"/>
      <c r="O46" s="8"/>
      <c r="P46" s="14"/>
      <c r="Q46" s="15"/>
      <c r="R46" s="14"/>
      <c r="S46" s="16"/>
      <c r="T46" s="710"/>
    </row>
    <row r="47" spans="3:20" ht="14.25" customHeight="1">
      <c r="K47" s="17"/>
      <c r="L47" s="12"/>
      <c r="M47" s="8"/>
      <c r="N47" s="12"/>
      <c r="O47" s="8"/>
      <c r="P47" s="8"/>
      <c r="Q47" s="8"/>
      <c r="R47" s="14"/>
      <c r="S47" s="19"/>
      <c r="T47" s="710"/>
    </row>
    <row r="48" spans="3:20" ht="14.25" customHeight="1"/>
    <row r="49" spans="11:20" ht="14.25" customHeight="1">
      <c r="K49" s="11"/>
      <c r="L49" s="12"/>
      <c r="M49" s="8"/>
      <c r="N49" s="12"/>
      <c r="O49" s="13"/>
      <c r="P49" s="14"/>
      <c r="Q49" s="15"/>
      <c r="R49" s="14"/>
      <c r="S49" s="16"/>
      <c r="T49" s="14"/>
    </row>
    <row r="50" spans="11:20" ht="14.25" customHeight="1">
      <c r="K50" s="17"/>
      <c r="L50" s="12"/>
      <c r="M50" s="18"/>
      <c r="N50" s="12"/>
      <c r="O50" s="8"/>
      <c r="P50" s="14"/>
      <c r="Q50" s="15"/>
      <c r="R50" s="14"/>
      <c r="S50" s="16"/>
      <c r="T50" s="710"/>
    </row>
    <row r="51" spans="11:20" ht="14.25" customHeight="1">
      <c r="K51" s="17"/>
      <c r="L51" s="12"/>
      <c r="M51" s="8"/>
      <c r="N51" s="12"/>
      <c r="O51" s="8"/>
      <c r="P51" s="8"/>
      <c r="Q51" s="8"/>
      <c r="R51" s="14"/>
      <c r="S51" s="19"/>
      <c r="T51" s="710"/>
    </row>
    <row r="52" spans="11:20" ht="14.25" customHeight="1"/>
    <row r="53" spans="11:20" ht="14.25" customHeight="1">
      <c r="K53" s="11"/>
      <c r="L53" s="12"/>
      <c r="M53" s="8"/>
      <c r="N53" s="12"/>
      <c r="O53" s="13"/>
      <c r="P53" s="14"/>
      <c r="Q53" s="15"/>
      <c r="R53" s="14"/>
      <c r="S53" s="16"/>
      <c r="T53" s="14"/>
    </row>
    <row r="54" spans="11:20">
      <c r="K54" s="17"/>
      <c r="L54" s="12"/>
      <c r="M54" s="18"/>
      <c r="N54" s="12"/>
      <c r="O54" s="8"/>
      <c r="P54" s="14"/>
      <c r="Q54" s="15"/>
      <c r="R54" s="14"/>
      <c r="S54" s="16"/>
      <c r="T54" s="710"/>
    </row>
    <row r="55" spans="11:20">
      <c r="K55" s="17"/>
      <c r="L55" s="12"/>
      <c r="M55" s="8"/>
      <c r="N55" s="12"/>
      <c r="O55" s="8"/>
      <c r="P55" s="8"/>
      <c r="Q55" s="8"/>
      <c r="R55" s="14"/>
      <c r="S55" s="19"/>
      <c r="T55" s="713"/>
    </row>
    <row r="57" spans="11:20">
      <c r="K57" s="11"/>
      <c r="L57" s="12"/>
      <c r="M57" s="8"/>
      <c r="N57" s="12"/>
      <c r="O57" s="13"/>
      <c r="P57" s="14"/>
      <c r="Q57" s="15"/>
      <c r="R57" s="14"/>
      <c r="S57" s="16"/>
      <c r="T57" s="14"/>
    </row>
    <row r="58" spans="11:20">
      <c r="K58" s="17"/>
      <c r="L58" s="12"/>
      <c r="M58" s="18"/>
      <c r="N58" s="12"/>
      <c r="O58" s="8"/>
      <c r="P58" s="14"/>
      <c r="Q58" s="15"/>
      <c r="R58" s="14"/>
      <c r="S58" s="16"/>
      <c r="T58" s="710"/>
    </row>
    <row r="59" spans="11:20">
      <c r="K59" s="17"/>
      <c r="L59" s="12"/>
      <c r="M59" s="8"/>
      <c r="N59" s="12"/>
      <c r="O59" s="8"/>
      <c r="P59" s="8"/>
      <c r="Q59" s="8"/>
      <c r="R59" s="14"/>
      <c r="S59" s="19"/>
      <c r="T59" s="713"/>
    </row>
    <row r="61" spans="11:20">
      <c r="K61" s="11"/>
      <c r="L61" s="12"/>
      <c r="M61" s="8"/>
      <c r="N61" s="12"/>
      <c r="O61" s="13"/>
      <c r="P61" s="14"/>
      <c r="Q61" s="15"/>
      <c r="R61" s="14"/>
      <c r="S61" s="16"/>
      <c r="T61" s="14"/>
    </row>
    <row r="62" spans="11:20">
      <c r="K62" s="17"/>
      <c r="L62" s="12"/>
      <c r="M62" s="18"/>
      <c r="N62" s="12"/>
      <c r="O62" s="8"/>
      <c r="P62" s="14"/>
      <c r="Q62" s="15"/>
      <c r="R62" s="14"/>
      <c r="S62" s="16"/>
      <c r="T62" s="710"/>
    </row>
    <row r="63" spans="11:20">
      <c r="K63" s="17"/>
      <c r="L63" s="12"/>
      <c r="M63" s="8"/>
      <c r="N63" s="12"/>
      <c r="O63" s="8"/>
      <c r="P63" s="8"/>
      <c r="Q63" s="8"/>
      <c r="R63" s="14"/>
      <c r="S63" s="19"/>
      <c r="T63" s="713"/>
    </row>
    <row r="65" spans="11:20">
      <c r="K65" s="11"/>
      <c r="L65" s="12"/>
      <c r="M65" s="8"/>
      <c r="N65" s="12"/>
      <c r="O65" s="13"/>
      <c r="P65" s="14"/>
      <c r="Q65" s="15"/>
      <c r="R65" s="14"/>
      <c r="S65" s="16"/>
      <c r="T65" s="14"/>
    </row>
    <row r="66" spans="11:20">
      <c r="K66" s="17"/>
      <c r="L66" s="12"/>
      <c r="M66" s="18"/>
      <c r="N66" s="12"/>
      <c r="O66" s="8"/>
      <c r="P66" s="14"/>
      <c r="Q66" s="15"/>
      <c r="R66" s="14"/>
      <c r="S66" s="16"/>
      <c r="T66" s="710"/>
    </row>
    <row r="67" spans="11:20">
      <c r="K67" s="17"/>
      <c r="L67" s="12"/>
      <c r="M67" s="8"/>
      <c r="N67" s="12"/>
      <c r="O67" s="8"/>
      <c r="P67" s="8"/>
      <c r="Q67" s="8"/>
      <c r="R67" s="14"/>
      <c r="S67" s="19"/>
      <c r="T67" s="713"/>
    </row>
    <row r="69" spans="11:20">
      <c r="K69" s="11"/>
      <c r="L69" s="12"/>
      <c r="M69" s="8"/>
      <c r="N69" s="12"/>
      <c r="O69" s="13"/>
      <c r="P69" s="14"/>
      <c r="Q69" s="15"/>
      <c r="R69" s="14"/>
      <c r="S69" s="16"/>
      <c r="T69" s="14"/>
    </row>
    <row r="70" spans="11:20">
      <c r="K70" s="17"/>
      <c r="L70" s="12"/>
      <c r="M70" s="18"/>
      <c r="N70" s="12"/>
      <c r="O70" s="8"/>
      <c r="P70" s="14"/>
      <c r="Q70" s="15"/>
      <c r="R70" s="14"/>
      <c r="S70" s="16"/>
      <c r="T70" s="710"/>
    </row>
    <row r="71" spans="11:20">
      <c r="K71" s="17"/>
      <c r="L71" s="12"/>
      <c r="M71" s="20"/>
      <c r="N71" s="12"/>
      <c r="O71" s="8"/>
      <c r="P71" s="8"/>
      <c r="Q71" s="8"/>
      <c r="R71" s="14"/>
      <c r="S71" s="19"/>
      <c r="T71" s="713"/>
    </row>
    <row r="73" spans="11:20">
      <c r="K73" s="11"/>
      <c r="L73" s="12"/>
      <c r="M73" s="8"/>
      <c r="N73" s="12"/>
      <c r="O73" s="13"/>
      <c r="P73" s="14"/>
      <c r="Q73" s="15"/>
      <c r="R73" s="14"/>
      <c r="S73" s="16"/>
      <c r="T73" s="14"/>
    </row>
    <row r="74" spans="11:20">
      <c r="K74" s="17"/>
      <c r="L74" s="12"/>
      <c r="M74" s="18"/>
      <c r="N74" s="12"/>
      <c r="O74" s="8"/>
      <c r="P74" s="14"/>
      <c r="Q74" s="15"/>
      <c r="R74" s="14"/>
      <c r="S74" s="16"/>
      <c r="T74" s="710"/>
    </row>
    <row r="75" spans="11:20">
      <c r="K75" s="17"/>
      <c r="L75" s="12"/>
      <c r="M75" s="8"/>
      <c r="N75" s="12"/>
      <c r="O75" s="8"/>
      <c r="P75" s="8"/>
      <c r="Q75" s="8"/>
      <c r="R75" s="14"/>
      <c r="S75" s="19"/>
      <c r="T75" s="713"/>
    </row>
    <row r="77" spans="11:20">
      <c r="K77" s="11"/>
      <c r="L77" s="12"/>
      <c r="M77" s="8"/>
      <c r="N77" s="12"/>
      <c r="O77" s="13"/>
      <c r="P77" s="14"/>
      <c r="Q77" s="15"/>
      <c r="R77" s="14"/>
      <c r="S77" s="16"/>
      <c r="T77" s="14"/>
    </row>
    <row r="78" spans="11:20">
      <c r="K78" s="17"/>
      <c r="L78" s="12"/>
      <c r="M78" s="18"/>
      <c r="N78" s="12"/>
      <c r="O78" s="8"/>
      <c r="P78" s="14"/>
      <c r="Q78" s="15"/>
      <c r="R78" s="14"/>
      <c r="S78" s="16"/>
      <c r="T78" s="710"/>
    </row>
    <row r="79" spans="11:20">
      <c r="K79" s="17"/>
      <c r="L79" s="12"/>
      <c r="M79" s="20"/>
      <c r="N79" s="12"/>
      <c r="O79" s="8"/>
      <c r="P79" s="8"/>
      <c r="Q79" s="8"/>
      <c r="R79" s="14"/>
      <c r="S79" s="19"/>
      <c r="T79" s="713"/>
    </row>
    <row r="81" spans="11:20">
      <c r="K81" s="11"/>
      <c r="L81" s="12"/>
      <c r="M81" s="8"/>
      <c r="N81" s="12"/>
      <c r="O81" s="13"/>
      <c r="P81" s="14"/>
      <c r="Q81" s="15"/>
      <c r="R81" s="14"/>
      <c r="S81" s="16"/>
      <c r="T81" s="14"/>
    </row>
    <row r="82" spans="11:20">
      <c r="K82" s="17"/>
      <c r="L82" s="12"/>
      <c r="M82" s="18"/>
      <c r="N82" s="12"/>
      <c r="O82" s="8"/>
      <c r="P82" s="14"/>
      <c r="Q82" s="15"/>
      <c r="R82" s="14"/>
      <c r="S82" s="16"/>
      <c r="T82" s="710"/>
    </row>
    <row r="83" spans="11:20">
      <c r="K83" s="17"/>
      <c r="L83" s="12"/>
      <c r="M83" s="8"/>
      <c r="N83" s="12"/>
      <c r="O83" s="8"/>
      <c r="P83" s="8"/>
      <c r="Q83" s="8"/>
      <c r="R83" s="14"/>
      <c r="S83" s="19"/>
      <c r="T83" s="713"/>
    </row>
    <row r="85" spans="11:20">
      <c r="K85" s="11"/>
      <c r="L85" s="12"/>
      <c r="M85" s="8"/>
      <c r="N85" s="12"/>
      <c r="O85" s="13"/>
      <c r="P85" s="14"/>
      <c r="Q85" s="15"/>
      <c r="R85" s="14"/>
      <c r="S85" s="16"/>
      <c r="T85" s="14"/>
    </row>
    <row r="86" spans="11:20">
      <c r="K86" s="17"/>
      <c r="L86" s="12"/>
      <c r="M86" s="18"/>
      <c r="N86" s="12"/>
      <c r="O86" s="8"/>
      <c r="P86" s="14"/>
      <c r="Q86" s="15"/>
      <c r="R86" s="14"/>
      <c r="S86" s="16"/>
      <c r="T86" s="710"/>
    </row>
    <row r="87" spans="11:20">
      <c r="K87" s="17"/>
      <c r="L87" s="12"/>
      <c r="M87" s="8"/>
      <c r="N87" s="12"/>
      <c r="O87" s="8"/>
      <c r="P87" s="8"/>
      <c r="Q87" s="8"/>
      <c r="R87" s="14"/>
      <c r="S87" s="19"/>
      <c r="T87" s="713"/>
    </row>
    <row r="89" spans="11:20">
      <c r="K89" s="11"/>
      <c r="L89" s="12"/>
      <c r="M89" s="8"/>
      <c r="N89" s="12"/>
      <c r="O89" s="13"/>
      <c r="P89" s="14"/>
      <c r="Q89" s="15"/>
      <c r="R89" s="14"/>
      <c r="S89" s="16"/>
      <c r="T89" s="14"/>
    </row>
    <row r="90" spans="11:20">
      <c r="K90" s="17"/>
      <c r="L90" s="12"/>
      <c r="M90" s="18"/>
      <c r="N90" s="12"/>
      <c r="O90" s="8"/>
      <c r="P90" s="14"/>
      <c r="Q90" s="15"/>
      <c r="R90" s="14"/>
      <c r="S90" s="16"/>
      <c r="T90" s="710"/>
    </row>
    <row r="91" spans="11:20">
      <c r="K91" s="17"/>
      <c r="L91" s="12"/>
      <c r="M91" s="18"/>
      <c r="N91" s="12"/>
      <c r="O91" s="8"/>
      <c r="P91" s="8"/>
      <c r="Q91" s="8"/>
      <c r="R91" s="14"/>
      <c r="S91" s="19"/>
      <c r="T91" s="713"/>
    </row>
    <row r="93" spans="11:20">
      <c r="K93" s="11"/>
      <c r="L93" s="12"/>
      <c r="M93" s="8"/>
      <c r="N93" s="12"/>
      <c r="O93" s="13"/>
      <c r="P93" s="14"/>
      <c r="Q93" s="15"/>
      <c r="R93" s="14"/>
      <c r="S93" s="16"/>
      <c r="T93" s="14"/>
    </row>
    <row r="94" spans="11:20">
      <c r="K94" s="17"/>
      <c r="L94" s="12"/>
      <c r="M94" s="18"/>
      <c r="N94" s="12"/>
      <c r="O94" s="8"/>
      <c r="P94" s="14"/>
      <c r="Q94" s="15"/>
      <c r="R94" s="14"/>
      <c r="S94" s="16"/>
      <c r="T94" s="710"/>
    </row>
    <row r="95" spans="11:20">
      <c r="K95" s="17"/>
      <c r="L95" s="12"/>
      <c r="M95" s="20"/>
      <c r="N95" s="12"/>
      <c r="O95" s="8"/>
      <c r="P95" s="8"/>
      <c r="Q95" s="8"/>
      <c r="R95" s="14"/>
      <c r="S95" s="19"/>
      <c r="T95" s="713"/>
    </row>
    <row r="97" spans="11:20">
      <c r="K97" s="11"/>
      <c r="L97" s="12"/>
      <c r="M97" s="8"/>
      <c r="N97" s="12"/>
      <c r="O97" s="13"/>
      <c r="P97" s="14"/>
      <c r="Q97" s="15"/>
      <c r="R97" s="14"/>
      <c r="S97" s="16"/>
      <c r="T97" s="14"/>
    </row>
    <row r="98" spans="11:20">
      <c r="K98" s="17"/>
      <c r="L98" s="12"/>
      <c r="M98" s="18"/>
      <c r="N98" s="12"/>
      <c r="O98" s="8"/>
      <c r="P98" s="14"/>
      <c r="Q98" s="15"/>
      <c r="R98" s="14"/>
      <c r="S98" s="16"/>
      <c r="T98" s="710"/>
    </row>
    <row r="99" spans="11:20">
      <c r="K99" s="17"/>
      <c r="L99" s="12"/>
      <c r="M99" s="20"/>
      <c r="N99" s="12"/>
      <c r="O99" s="8"/>
      <c r="P99" s="8"/>
      <c r="Q99" s="8"/>
      <c r="R99" s="14"/>
      <c r="S99" s="19"/>
      <c r="T99" s="713"/>
    </row>
    <row r="101" spans="11:20">
      <c r="K101" s="11"/>
      <c r="L101" s="12"/>
      <c r="M101" s="8"/>
      <c r="N101" s="12"/>
      <c r="O101" s="13"/>
      <c r="P101" s="14"/>
      <c r="Q101" s="15"/>
      <c r="R101" s="14"/>
      <c r="S101" s="16"/>
      <c r="T101" s="14"/>
    </row>
    <row r="102" spans="11:20">
      <c r="K102" s="17"/>
      <c r="L102" s="12"/>
      <c r="M102" s="18"/>
      <c r="N102" s="12"/>
      <c r="O102" s="8"/>
      <c r="P102" s="14"/>
      <c r="Q102" s="15"/>
      <c r="R102" s="14"/>
      <c r="S102" s="16"/>
      <c r="T102" s="710"/>
    </row>
    <row r="103" spans="11:20">
      <c r="K103" s="17"/>
      <c r="L103" s="12"/>
      <c r="M103" s="8"/>
      <c r="N103" s="12"/>
      <c r="O103" s="8"/>
      <c r="P103" s="8"/>
      <c r="Q103" s="8"/>
      <c r="R103" s="14"/>
      <c r="S103" s="19"/>
      <c r="T103" s="713"/>
    </row>
    <row r="105" spans="11:20">
      <c r="K105" s="11"/>
      <c r="L105" s="12"/>
      <c r="M105" s="8"/>
      <c r="N105" s="12"/>
      <c r="O105" s="13"/>
      <c r="P105" s="14"/>
      <c r="Q105" s="15"/>
      <c r="R105" s="14"/>
      <c r="S105" s="16"/>
      <c r="T105" s="14"/>
    </row>
    <row r="106" spans="11:20">
      <c r="K106" s="17"/>
      <c r="L106" s="12"/>
      <c r="M106" s="18"/>
      <c r="N106" s="12"/>
      <c r="O106" s="8"/>
      <c r="P106" s="14"/>
      <c r="Q106" s="15"/>
      <c r="R106" s="14"/>
      <c r="S106" s="16"/>
      <c r="T106" s="710"/>
    </row>
    <row r="107" spans="11:20">
      <c r="K107" s="17"/>
      <c r="L107" s="12"/>
      <c r="M107" s="8"/>
      <c r="N107" s="12"/>
      <c r="O107" s="8"/>
      <c r="P107" s="8"/>
      <c r="Q107" s="8"/>
      <c r="R107" s="14"/>
      <c r="S107" s="19"/>
      <c r="T107" s="713"/>
    </row>
    <row r="109" spans="11:20">
      <c r="K109" s="11"/>
      <c r="L109" s="12"/>
      <c r="M109" s="8"/>
      <c r="N109" s="12"/>
      <c r="O109" s="13"/>
      <c r="P109" s="14"/>
      <c r="Q109" s="15"/>
      <c r="R109" s="14"/>
      <c r="S109" s="16"/>
      <c r="T109" s="14"/>
    </row>
    <row r="110" spans="11:20">
      <c r="K110" s="17"/>
      <c r="L110" s="12"/>
      <c r="M110" s="18"/>
      <c r="N110" s="12"/>
      <c r="O110" s="8"/>
      <c r="P110" s="14"/>
      <c r="Q110" s="15"/>
      <c r="R110" s="14"/>
      <c r="S110" s="16"/>
      <c r="T110" s="710"/>
    </row>
    <row r="111" spans="11:20">
      <c r="K111" s="17"/>
      <c r="L111" s="12"/>
      <c r="M111" s="8"/>
      <c r="N111" s="12"/>
      <c r="O111" s="8"/>
      <c r="P111" s="8"/>
      <c r="Q111" s="8"/>
      <c r="R111" s="14"/>
      <c r="S111" s="19"/>
      <c r="T111" s="713"/>
    </row>
    <row r="113" spans="11:20">
      <c r="K113" s="11"/>
      <c r="L113" s="12"/>
      <c r="M113" s="8"/>
      <c r="N113" s="12"/>
      <c r="O113" s="13"/>
      <c r="P113" s="14"/>
      <c r="Q113" s="15"/>
      <c r="R113" s="14"/>
      <c r="S113" s="16"/>
      <c r="T113" s="14"/>
    </row>
    <row r="114" spans="11:20">
      <c r="K114" s="17"/>
      <c r="L114" s="12"/>
      <c r="M114" s="18"/>
      <c r="N114" s="12"/>
      <c r="O114" s="8"/>
      <c r="P114" s="14"/>
      <c r="Q114" s="15"/>
      <c r="R114" s="14"/>
      <c r="S114" s="16"/>
      <c r="T114" s="710"/>
    </row>
    <row r="115" spans="11:20">
      <c r="K115" s="17"/>
      <c r="L115" s="12"/>
      <c r="M115" s="8"/>
      <c r="N115" s="12"/>
      <c r="O115" s="8"/>
      <c r="P115" s="8"/>
      <c r="Q115" s="8"/>
      <c r="R115" s="14"/>
      <c r="S115" s="19"/>
      <c r="T115" s="713"/>
    </row>
    <row r="117" spans="11:20">
      <c r="K117" s="11"/>
      <c r="L117" s="12"/>
      <c r="M117" s="8"/>
      <c r="N117" s="12"/>
      <c r="O117" s="13"/>
      <c r="P117" s="14"/>
      <c r="Q117" s="15"/>
      <c r="R117" s="14"/>
      <c r="S117" s="16"/>
      <c r="T117" s="14"/>
    </row>
    <row r="118" spans="11:20">
      <c r="K118" s="17"/>
      <c r="L118" s="12"/>
      <c r="M118" s="18"/>
      <c r="N118" s="12"/>
      <c r="O118" s="8"/>
      <c r="P118" s="14"/>
      <c r="Q118" s="15"/>
      <c r="R118" s="14"/>
      <c r="S118" s="16"/>
      <c r="T118" s="710"/>
    </row>
    <row r="119" spans="11:20">
      <c r="K119" s="17"/>
      <c r="L119" s="12"/>
      <c r="M119" s="8"/>
      <c r="N119" s="12"/>
      <c r="O119" s="8"/>
      <c r="P119" s="8"/>
      <c r="Q119" s="8"/>
      <c r="R119" s="14"/>
      <c r="S119" s="19"/>
      <c r="T119" s="713"/>
    </row>
    <row r="121" spans="11:20">
      <c r="K121" s="11"/>
      <c r="L121" s="12"/>
      <c r="M121" s="8"/>
      <c r="N121" s="12"/>
      <c r="O121" s="13"/>
      <c r="P121" s="14"/>
      <c r="Q121" s="15"/>
      <c r="R121" s="14"/>
      <c r="S121" s="16"/>
      <c r="T121" s="14"/>
    </row>
    <row r="122" spans="11:20">
      <c r="K122" s="17"/>
      <c r="L122" s="12"/>
      <c r="M122" s="18"/>
      <c r="N122" s="12"/>
      <c r="O122" s="8"/>
      <c r="P122" s="14"/>
      <c r="Q122" s="15"/>
      <c r="R122" s="14"/>
      <c r="S122" s="16"/>
      <c r="T122" s="710"/>
    </row>
    <row r="123" spans="11:20">
      <c r="K123" s="17"/>
      <c r="L123" s="12"/>
      <c r="M123" s="8"/>
      <c r="N123" s="12"/>
      <c r="O123" s="8"/>
      <c r="P123" s="8"/>
      <c r="Q123" s="8"/>
      <c r="R123" s="14"/>
      <c r="S123" s="19"/>
      <c r="T123" s="713"/>
    </row>
  </sheetData>
  <mergeCells count="27">
    <mergeCell ref="T118:T119"/>
    <mergeCell ref="T122:T123"/>
    <mergeCell ref="T94:T95"/>
    <mergeCell ref="T98:T99"/>
    <mergeCell ref="T102:T103"/>
    <mergeCell ref="T106:T107"/>
    <mergeCell ref="T110:T111"/>
    <mergeCell ref="T114:T115"/>
    <mergeCell ref="T90:T91"/>
    <mergeCell ref="T46:T47"/>
    <mergeCell ref="T50:T51"/>
    <mergeCell ref="T54:T55"/>
    <mergeCell ref="T58:T59"/>
    <mergeCell ref="T62:T63"/>
    <mergeCell ref="T66:T67"/>
    <mergeCell ref="T70:T71"/>
    <mergeCell ref="T74:T75"/>
    <mergeCell ref="T78:T79"/>
    <mergeCell ref="T82:T83"/>
    <mergeCell ref="T86:T87"/>
    <mergeCell ref="B22:H22"/>
    <mergeCell ref="T42:T43"/>
    <mergeCell ref="C28:E28"/>
    <mergeCell ref="F28:G28"/>
    <mergeCell ref="C33:E33"/>
    <mergeCell ref="F33:G33"/>
    <mergeCell ref="T38:T39"/>
  </mergeCells>
  <phoneticPr fontId="13"/>
  <printOptions horizontalCentered="1"/>
  <pageMargins left="0.39370078740157483" right="0.39370078740157483" top="0.39370078740157483" bottom="0.39370078740157483" header="0.19685039370078741" footer="0.19685039370078741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A34"/>
  <sheetViews>
    <sheetView view="pageBreakPreview" zoomScaleNormal="100" zoomScaleSheetLayoutView="100" workbookViewId="0">
      <selection sqref="A1:H1"/>
    </sheetView>
  </sheetViews>
  <sheetFormatPr defaultRowHeight="13"/>
  <cols>
    <col min="1" max="64" width="2.6328125" customWidth="1"/>
  </cols>
  <sheetData>
    <row r="1" spans="1:53" ht="12" customHeight="1">
      <c r="A1" s="754" t="s">
        <v>4</v>
      </c>
      <c r="B1" s="754"/>
      <c r="C1" s="754"/>
      <c r="D1" s="754"/>
      <c r="E1" s="754"/>
      <c r="F1" s="754"/>
      <c r="G1" s="754"/>
      <c r="H1" s="754"/>
      <c r="I1" s="737" t="s">
        <v>5</v>
      </c>
      <c r="J1" s="737"/>
      <c r="K1" s="737"/>
      <c r="L1" s="737"/>
      <c r="M1" s="752" t="s">
        <v>6</v>
      </c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37" t="s">
        <v>7</v>
      </c>
      <c r="Y1" s="737"/>
      <c r="Z1" s="737"/>
      <c r="AA1" s="756" t="s">
        <v>430</v>
      </c>
      <c r="AB1" s="756"/>
      <c r="AC1" s="756"/>
      <c r="AD1" s="756"/>
      <c r="AE1" s="756"/>
      <c r="AF1" s="756"/>
      <c r="AG1" s="756"/>
      <c r="AH1" s="756"/>
      <c r="AI1" s="756"/>
      <c r="AJ1" s="756"/>
      <c r="AK1" s="741" t="s">
        <v>8</v>
      </c>
      <c r="AL1" s="741"/>
      <c r="AM1" s="741"/>
      <c r="AN1" s="742" t="s">
        <v>296</v>
      </c>
      <c r="AO1" s="742"/>
      <c r="AP1" s="742"/>
      <c r="AQ1" s="741" t="s">
        <v>9</v>
      </c>
      <c r="AR1" s="741"/>
      <c r="AS1" s="741"/>
      <c r="AT1" s="744">
        <f>AL7</f>
        <v>46125</v>
      </c>
      <c r="AU1" s="744"/>
      <c r="AV1" s="744"/>
      <c r="AW1" s="744"/>
      <c r="AX1" s="733" t="s">
        <v>10</v>
      </c>
      <c r="AY1" s="734"/>
      <c r="AZ1" s="734"/>
      <c r="BA1" s="735"/>
    </row>
    <row r="2" spans="1:53">
      <c r="A2" s="736" t="s">
        <v>657</v>
      </c>
      <c r="B2" s="736"/>
      <c r="C2" s="736"/>
      <c r="D2" s="736"/>
      <c r="E2" s="736"/>
      <c r="F2" s="736"/>
      <c r="G2" s="736"/>
      <c r="H2" s="736"/>
      <c r="I2" s="737" t="s">
        <v>11</v>
      </c>
      <c r="J2" s="737"/>
      <c r="K2" s="737"/>
      <c r="L2" s="737"/>
      <c r="M2" s="738" t="s">
        <v>658</v>
      </c>
      <c r="N2" s="739"/>
      <c r="O2" s="739"/>
      <c r="P2" s="739"/>
      <c r="Q2" s="739"/>
      <c r="R2" s="739"/>
      <c r="S2" s="739"/>
      <c r="T2" s="739"/>
      <c r="U2" s="739"/>
      <c r="V2" s="739"/>
      <c r="W2" s="740"/>
      <c r="X2" s="737"/>
      <c r="Y2" s="737"/>
      <c r="Z2" s="737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41" t="s">
        <v>12</v>
      </c>
      <c r="AL2" s="741"/>
      <c r="AM2" s="741"/>
      <c r="AN2" s="742" t="s">
        <v>296</v>
      </c>
      <c r="AO2" s="742"/>
      <c r="AP2" s="742"/>
      <c r="AQ2" s="741" t="s">
        <v>13</v>
      </c>
      <c r="AR2" s="741"/>
      <c r="AS2" s="741"/>
      <c r="AT2" s="744">
        <v>46190</v>
      </c>
      <c r="AU2" s="744"/>
      <c r="AV2" s="744"/>
      <c r="AW2" s="744"/>
      <c r="AX2" s="745" t="s">
        <v>30</v>
      </c>
      <c r="AY2" s="746"/>
      <c r="AZ2" s="746"/>
      <c r="BA2" s="747"/>
    </row>
    <row r="3" spans="1:53" ht="12" customHeight="1">
      <c r="A3" s="751" t="s">
        <v>26</v>
      </c>
      <c r="B3" s="751"/>
      <c r="C3" s="751"/>
      <c r="D3" s="751"/>
      <c r="E3" s="751"/>
      <c r="F3" s="751"/>
      <c r="G3" s="751"/>
      <c r="H3" s="751"/>
      <c r="I3" s="737" t="s">
        <v>14</v>
      </c>
      <c r="J3" s="737"/>
      <c r="K3" s="737"/>
      <c r="L3" s="737"/>
      <c r="M3" s="752"/>
      <c r="N3" s="752"/>
      <c r="O3" s="752"/>
      <c r="P3" s="752"/>
      <c r="Q3" s="752"/>
      <c r="R3" s="752"/>
      <c r="S3" s="752"/>
      <c r="T3" s="752"/>
      <c r="U3" s="752"/>
      <c r="V3" s="752"/>
      <c r="W3" s="752"/>
      <c r="X3" s="737" t="s">
        <v>27</v>
      </c>
      <c r="Y3" s="737"/>
      <c r="Z3" s="737"/>
      <c r="AA3" s="753" t="s">
        <v>429</v>
      </c>
      <c r="AB3" s="753"/>
      <c r="AC3" s="753"/>
      <c r="AD3" s="753"/>
      <c r="AE3" s="753"/>
      <c r="AF3" s="753"/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41" t="s">
        <v>15</v>
      </c>
      <c r="AR3" s="741"/>
      <c r="AS3" s="741"/>
      <c r="AT3" s="757" t="str">
        <f ca="1">INDIRECT("A" &amp; COUNTA(A7:A39) + 6)</f>
        <v>dr1.5</v>
      </c>
      <c r="AU3" s="757"/>
      <c r="AV3" s="757"/>
      <c r="AW3" s="757"/>
      <c r="AX3" s="748"/>
      <c r="AY3" s="749"/>
      <c r="AZ3" s="749"/>
      <c r="BA3" s="750"/>
    </row>
    <row r="4" spans="1:53" ht="5.9" customHeight="1"/>
    <row r="5" spans="1:53" ht="14">
      <c r="A5" s="755" t="s">
        <v>25</v>
      </c>
      <c r="B5" s="755"/>
      <c r="C5" s="755"/>
      <c r="D5" s="755"/>
      <c r="E5" s="755"/>
      <c r="F5" s="755"/>
      <c r="G5" s="755"/>
      <c r="H5" s="755"/>
      <c r="I5" s="755"/>
      <c r="J5" s="755"/>
      <c r="K5" s="755"/>
      <c r="L5" s="755"/>
      <c r="M5" s="755"/>
      <c r="N5" s="755"/>
      <c r="O5" s="755"/>
      <c r="P5" s="755"/>
      <c r="Q5" s="755"/>
      <c r="R5" s="755"/>
      <c r="S5" s="755"/>
      <c r="T5" s="755"/>
      <c r="U5" s="755"/>
      <c r="V5" s="755"/>
      <c r="W5" s="755"/>
      <c r="X5" s="755"/>
      <c r="Y5" s="755"/>
      <c r="Z5" s="755"/>
      <c r="AA5" s="755"/>
      <c r="AB5" s="755"/>
      <c r="AC5" s="755"/>
      <c r="AD5" s="755"/>
      <c r="AE5" s="755"/>
      <c r="AF5" s="755"/>
      <c r="AG5" s="755"/>
      <c r="AH5" s="755"/>
      <c r="AI5" s="755"/>
      <c r="AJ5" s="755"/>
      <c r="AK5" s="755"/>
      <c r="AL5" s="755"/>
      <c r="AM5" s="755"/>
      <c r="AN5" s="755"/>
      <c r="AO5" s="755"/>
      <c r="AP5" s="755"/>
      <c r="AQ5" s="755"/>
      <c r="AR5" s="755"/>
      <c r="AS5" s="755"/>
      <c r="AT5" s="755"/>
      <c r="AU5" s="755"/>
      <c r="AV5" s="755"/>
      <c r="AW5" s="755"/>
      <c r="AX5" s="755"/>
      <c r="AY5" s="755"/>
      <c r="AZ5" s="755"/>
      <c r="BA5" s="755"/>
    </row>
    <row r="6" spans="1:53">
      <c r="A6" s="758" t="s">
        <v>24</v>
      </c>
      <c r="B6" s="759"/>
      <c r="C6" s="743" t="s">
        <v>17</v>
      </c>
      <c r="D6" s="743"/>
      <c r="E6" s="743"/>
      <c r="F6" s="743"/>
      <c r="G6" s="743"/>
      <c r="H6" s="743"/>
      <c r="I6" s="743"/>
      <c r="J6" s="743"/>
      <c r="K6" s="743"/>
      <c r="L6" s="743"/>
      <c r="M6" s="743"/>
      <c r="N6" s="743"/>
      <c r="O6" s="743"/>
      <c r="P6" s="743"/>
      <c r="Q6" s="743" t="s">
        <v>18</v>
      </c>
      <c r="R6" s="743"/>
      <c r="S6" s="743"/>
      <c r="T6" s="743"/>
      <c r="U6" s="743"/>
      <c r="V6" s="743"/>
      <c r="W6" s="743"/>
      <c r="X6" s="743"/>
      <c r="Y6" s="743"/>
      <c r="Z6" s="743"/>
      <c r="AA6" s="743"/>
      <c r="AB6" s="743"/>
      <c r="AC6" s="743"/>
      <c r="AD6" s="743"/>
      <c r="AE6" s="743"/>
      <c r="AF6" s="743"/>
      <c r="AG6" s="743"/>
      <c r="AH6" s="743"/>
      <c r="AI6" s="743"/>
      <c r="AJ6" s="743"/>
      <c r="AK6" s="743"/>
      <c r="AL6" s="743" t="s">
        <v>19</v>
      </c>
      <c r="AM6" s="743"/>
      <c r="AN6" s="743"/>
      <c r="AO6" s="743"/>
      <c r="AP6" s="743" t="s">
        <v>20</v>
      </c>
      <c r="AQ6" s="743"/>
      <c r="AR6" s="743"/>
      <c r="AS6" s="743" t="s">
        <v>21</v>
      </c>
      <c r="AT6" s="743"/>
      <c r="AU6" s="743"/>
      <c r="AV6" s="743" t="s">
        <v>22</v>
      </c>
      <c r="AW6" s="743"/>
      <c r="AX6" s="743"/>
      <c r="AY6" s="743"/>
      <c r="AZ6" s="743"/>
      <c r="BA6" s="743"/>
    </row>
    <row r="7" spans="1:53">
      <c r="A7" s="715" t="s">
        <v>647</v>
      </c>
      <c r="B7" s="715"/>
      <c r="C7" s="716" t="s">
        <v>23</v>
      </c>
      <c r="D7" s="716"/>
      <c r="E7" s="716"/>
      <c r="F7" s="716"/>
      <c r="G7" s="716"/>
      <c r="H7" s="716"/>
      <c r="I7" s="716"/>
      <c r="J7" s="716"/>
      <c r="K7" s="716"/>
      <c r="L7" s="716"/>
      <c r="M7" s="716"/>
      <c r="N7" s="716"/>
      <c r="O7" s="716"/>
      <c r="P7" s="716"/>
      <c r="Q7" s="716"/>
      <c r="R7" s="716"/>
      <c r="S7" s="716"/>
      <c r="T7" s="716"/>
      <c r="U7" s="716"/>
      <c r="V7" s="716"/>
      <c r="W7" s="716"/>
      <c r="X7" s="716"/>
      <c r="Y7" s="716"/>
      <c r="Z7" s="716"/>
      <c r="AA7" s="716"/>
      <c r="AB7" s="716"/>
      <c r="AC7" s="716"/>
      <c r="AD7" s="716"/>
      <c r="AE7" s="716"/>
      <c r="AF7" s="716"/>
      <c r="AG7" s="716"/>
      <c r="AH7" s="716"/>
      <c r="AI7" s="716"/>
      <c r="AJ7" s="716"/>
      <c r="AK7" s="716"/>
      <c r="AL7" s="720">
        <v>46125</v>
      </c>
      <c r="AM7" s="721"/>
      <c r="AN7" s="721"/>
      <c r="AO7" s="721"/>
      <c r="AP7" s="716" t="s">
        <v>296</v>
      </c>
      <c r="AQ7" s="716"/>
      <c r="AR7" s="716"/>
      <c r="AS7" s="716"/>
      <c r="AT7" s="716"/>
      <c r="AU7" s="716"/>
      <c r="AV7" s="716"/>
      <c r="AW7" s="716"/>
      <c r="AX7" s="716"/>
      <c r="AY7" s="716"/>
      <c r="AZ7" s="716"/>
      <c r="BA7" s="716"/>
    </row>
    <row r="8" spans="1:53">
      <c r="A8" s="730" t="s">
        <v>648</v>
      </c>
      <c r="B8" s="731"/>
      <c r="C8" s="717" t="s">
        <v>652</v>
      </c>
      <c r="D8" s="717"/>
      <c r="E8" s="717"/>
      <c r="F8" s="717"/>
      <c r="G8" s="717"/>
      <c r="H8" s="717"/>
      <c r="I8" s="717"/>
      <c r="J8" s="717"/>
      <c r="K8" s="717"/>
      <c r="L8" s="717"/>
      <c r="M8" s="717"/>
      <c r="N8" s="717"/>
      <c r="O8" s="717"/>
      <c r="P8" s="717"/>
      <c r="Q8" s="727" t="s">
        <v>404</v>
      </c>
      <c r="R8" s="728"/>
      <c r="S8" s="728"/>
      <c r="T8" s="728"/>
      <c r="U8" s="728"/>
      <c r="V8" s="728"/>
      <c r="W8" s="728"/>
      <c r="X8" s="728"/>
      <c r="Y8" s="728"/>
      <c r="Z8" s="728"/>
      <c r="AA8" s="728"/>
      <c r="AB8" s="728"/>
      <c r="AC8" s="728"/>
      <c r="AD8" s="728"/>
      <c r="AE8" s="728"/>
      <c r="AF8" s="728"/>
      <c r="AG8" s="728"/>
      <c r="AH8" s="728"/>
      <c r="AI8" s="728"/>
      <c r="AJ8" s="728"/>
      <c r="AK8" s="729"/>
      <c r="AL8" s="722">
        <v>46134</v>
      </c>
      <c r="AM8" s="723"/>
      <c r="AN8" s="723"/>
      <c r="AO8" s="724"/>
      <c r="AP8" s="716" t="s">
        <v>403</v>
      </c>
      <c r="AQ8" s="716"/>
      <c r="AR8" s="716"/>
      <c r="AS8" s="716"/>
      <c r="AT8" s="716"/>
      <c r="AU8" s="716"/>
      <c r="AV8" s="716"/>
      <c r="AW8" s="716"/>
      <c r="AX8" s="716"/>
      <c r="AY8" s="716"/>
      <c r="AZ8" s="716"/>
      <c r="BA8" s="716"/>
    </row>
    <row r="9" spans="1:53">
      <c r="A9" s="730" t="s">
        <v>649</v>
      </c>
      <c r="B9" s="731"/>
      <c r="C9" s="716" t="s">
        <v>652</v>
      </c>
      <c r="D9" s="716"/>
      <c r="E9" s="716"/>
      <c r="F9" s="716"/>
      <c r="G9" s="716"/>
      <c r="H9" s="716"/>
      <c r="I9" s="716"/>
      <c r="J9" s="716"/>
      <c r="K9" s="716"/>
      <c r="L9" s="716"/>
      <c r="M9" s="716"/>
      <c r="N9" s="716"/>
      <c r="O9" s="716"/>
      <c r="P9" s="716"/>
      <c r="Q9" s="727" t="s">
        <v>431</v>
      </c>
      <c r="R9" s="728"/>
      <c r="S9" s="728"/>
      <c r="T9" s="728"/>
      <c r="U9" s="728"/>
      <c r="V9" s="728"/>
      <c r="W9" s="728"/>
      <c r="X9" s="728"/>
      <c r="Y9" s="728"/>
      <c r="Z9" s="728"/>
      <c r="AA9" s="728"/>
      <c r="AB9" s="728"/>
      <c r="AC9" s="728"/>
      <c r="AD9" s="728"/>
      <c r="AE9" s="728"/>
      <c r="AF9" s="728"/>
      <c r="AG9" s="728"/>
      <c r="AH9" s="728"/>
      <c r="AI9" s="728"/>
      <c r="AJ9" s="728"/>
      <c r="AK9" s="729"/>
      <c r="AL9" s="722">
        <v>46162</v>
      </c>
      <c r="AM9" s="723"/>
      <c r="AN9" s="723"/>
      <c r="AO9" s="724"/>
      <c r="AP9" s="716" t="s">
        <v>403</v>
      </c>
      <c r="AQ9" s="716"/>
      <c r="AR9" s="716"/>
      <c r="AS9" s="716"/>
      <c r="AT9" s="716"/>
      <c r="AU9" s="716"/>
      <c r="AV9" s="716"/>
      <c r="AW9" s="716"/>
      <c r="AX9" s="716"/>
      <c r="AY9" s="716"/>
      <c r="AZ9" s="716"/>
      <c r="BA9" s="716"/>
    </row>
    <row r="10" spans="1:53" ht="36" customHeight="1">
      <c r="A10" s="730" t="s">
        <v>650</v>
      </c>
      <c r="B10" s="731"/>
      <c r="C10" s="717" t="s">
        <v>644</v>
      </c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 t="s">
        <v>645</v>
      </c>
      <c r="R10" s="716"/>
      <c r="S10" s="716"/>
      <c r="T10" s="716"/>
      <c r="U10" s="716"/>
      <c r="V10" s="716"/>
      <c r="W10" s="716"/>
      <c r="X10" s="716"/>
      <c r="Y10" s="716"/>
      <c r="Z10" s="716"/>
      <c r="AA10" s="716"/>
      <c r="AB10" s="716"/>
      <c r="AC10" s="716"/>
      <c r="AD10" s="716"/>
      <c r="AE10" s="716"/>
      <c r="AF10" s="716"/>
      <c r="AG10" s="716"/>
      <c r="AH10" s="716"/>
      <c r="AI10" s="716"/>
      <c r="AJ10" s="716"/>
      <c r="AK10" s="716"/>
      <c r="AL10" s="714">
        <v>46177</v>
      </c>
      <c r="AM10" s="715"/>
      <c r="AN10" s="715"/>
      <c r="AO10" s="715"/>
      <c r="AP10" s="716" t="s">
        <v>403</v>
      </c>
      <c r="AQ10" s="716"/>
      <c r="AR10" s="716"/>
      <c r="AS10" s="716"/>
      <c r="AT10" s="716"/>
      <c r="AU10" s="716"/>
      <c r="AV10" s="716"/>
      <c r="AW10" s="716"/>
      <c r="AX10" s="716"/>
      <c r="AY10" s="716"/>
      <c r="AZ10" s="716"/>
      <c r="BA10" s="716"/>
    </row>
    <row r="11" spans="1:53" ht="24.5" customHeight="1">
      <c r="A11" s="730" t="s">
        <v>651</v>
      </c>
      <c r="B11" s="731"/>
      <c r="C11" s="717" t="s">
        <v>653</v>
      </c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 t="s">
        <v>656</v>
      </c>
      <c r="R11" s="716"/>
      <c r="S11" s="716"/>
      <c r="T11" s="716"/>
      <c r="U11" s="716"/>
      <c r="V11" s="716"/>
      <c r="W11" s="716"/>
      <c r="X11" s="716"/>
      <c r="Y11" s="716"/>
      <c r="Z11" s="716"/>
      <c r="AA11" s="716"/>
      <c r="AB11" s="716"/>
      <c r="AC11" s="716"/>
      <c r="AD11" s="716"/>
      <c r="AE11" s="716"/>
      <c r="AF11" s="716"/>
      <c r="AG11" s="716"/>
      <c r="AH11" s="716"/>
      <c r="AI11" s="716"/>
      <c r="AJ11" s="716"/>
      <c r="AK11" s="716"/>
      <c r="AL11" s="714">
        <v>46184</v>
      </c>
      <c r="AM11" s="715"/>
      <c r="AN11" s="715"/>
      <c r="AO11" s="715"/>
      <c r="AP11" s="716" t="s">
        <v>403</v>
      </c>
      <c r="AQ11" s="716"/>
      <c r="AR11" s="716"/>
      <c r="AS11" s="716"/>
      <c r="AT11" s="716"/>
      <c r="AU11" s="716"/>
      <c r="AV11" s="716"/>
      <c r="AW11" s="716"/>
      <c r="AX11" s="716"/>
      <c r="AY11" s="716"/>
      <c r="AZ11" s="716"/>
      <c r="BA11" s="716"/>
    </row>
    <row r="12" spans="1:53" ht="24.5" customHeight="1">
      <c r="A12" s="730" t="s">
        <v>670</v>
      </c>
      <c r="B12" s="731"/>
      <c r="C12" s="717" t="s">
        <v>671</v>
      </c>
      <c r="D12" s="717"/>
      <c r="E12" s="717"/>
      <c r="F12" s="717"/>
      <c r="G12" s="717"/>
      <c r="H12" s="717"/>
      <c r="I12" s="717"/>
      <c r="J12" s="717"/>
      <c r="K12" s="717"/>
      <c r="L12" s="717"/>
      <c r="M12" s="717"/>
      <c r="N12" s="717"/>
      <c r="O12" s="717"/>
      <c r="P12" s="717"/>
      <c r="Q12" s="716" t="s">
        <v>672</v>
      </c>
      <c r="R12" s="716"/>
      <c r="S12" s="716"/>
      <c r="T12" s="716"/>
      <c r="U12" s="716"/>
      <c r="V12" s="716"/>
      <c r="W12" s="716"/>
      <c r="X12" s="716"/>
      <c r="Y12" s="716"/>
      <c r="Z12" s="716"/>
      <c r="AA12" s="716"/>
      <c r="AB12" s="716"/>
      <c r="AC12" s="716"/>
      <c r="AD12" s="716"/>
      <c r="AE12" s="716"/>
      <c r="AF12" s="716"/>
      <c r="AG12" s="716"/>
      <c r="AH12" s="716"/>
      <c r="AI12" s="716"/>
      <c r="AJ12" s="716"/>
      <c r="AK12" s="716"/>
      <c r="AL12" s="714">
        <v>46190</v>
      </c>
      <c r="AM12" s="715"/>
      <c r="AN12" s="715"/>
      <c r="AO12" s="715"/>
      <c r="AP12" s="716" t="s">
        <v>403</v>
      </c>
      <c r="AQ12" s="716"/>
      <c r="AR12" s="716"/>
      <c r="AS12" s="716"/>
      <c r="AT12" s="716"/>
      <c r="AU12" s="716"/>
      <c r="AV12" s="716"/>
      <c r="AW12" s="716"/>
      <c r="AX12" s="716"/>
      <c r="AY12" s="716"/>
      <c r="AZ12" s="716"/>
      <c r="BA12" s="716"/>
    </row>
    <row r="13" spans="1:53">
      <c r="A13" s="726"/>
      <c r="B13" s="726"/>
      <c r="C13" s="718"/>
      <c r="D13" s="718"/>
      <c r="E13" s="718"/>
      <c r="F13" s="718"/>
      <c r="G13" s="718"/>
      <c r="H13" s="718"/>
      <c r="I13" s="718"/>
      <c r="J13" s="718"/>
      <c r="K13" s="718"/>
      <c r="L13" s="718"/>
      <c r="M13" s="718"/>
      <c r="N13" s="718"/>
      <c r="O13" s="718"/>
      <c r="P13" s="718"/>
      <c r="Q13" s="717"/>
      <c r="R13" s="716"/>
      <c r="S13" s="716"/>
      <c r="T13" s="716"/>
      <c r="U13" s="716"/>
      <c r="V13" s="716"/>
      <c r="W13" s="716"/>
      <c r="X13" s="716"/>
      <c r="Y13" s="716"/>
      <c r="Z13" s="716"/>
      <c r="AA13" s="716"/>
      <c r="AB13" s="716"/>
      <c r="AC13" s="716"/>
      <c r="AD13" s="716"/>
      <c r="AE13" s="716"/>
      <c r="AF13" s="716"/>
      <c r="AG13" s="716"/>
      <c r="AH13" s="716"/>
      <c r="AI13" s="716"/>
      <c r="AJ13" s="716"/>
      <c r="AK13" s="716"/>
      <c r="AL13" s="725"/>
      <c r="AM13" s="726"/>
      <c r="AN13" s="726"/>
      <c r="AO13" s="726"/>
      <c r="AP13" s="716"/>
      <c r="AQ13" s="716"/>
      <c r="AR13" s="716"/>
      <c r="AS13" s="718"/>
      <c r="AT13" s="718"/>
      <c r="AU13" s="718"/>
      <c r="AV13" s="718"/>
      <c r="AW13" s="718"/>
      <c r="AX13" s="718"/>
      <c r="AY13" s="718"/>
      <c r="AZ13" s="718"/>
      <c r="BA13" s="718"/>
    </row>
    <row r="14" spans="1:53">
      <c r="A14" s="715"/>
      <c r="B14" s="715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6"/>
      <c r="N14" s="716"/>
      <c r="O14" s="716"/>
      <c r="P14" s="716"/>
      <c r="Q14" s="717"/>
      <c r="R14" s="716"/>
      <c r="S14" s="716"/>
      <c r="T14" s="716"/>
      <c r="U14" s="716"/>
      <c r="V14" s="716"/>
      <c r="W14" s="716"/>
      <c r="X14" s="716"/>
      <c r="Y14" s="716"/>
      <c r="Z14" s="716"/>
      <c r="AA14" s="716"/>
      <c r="AB14" s="716"/>
      <c r="AC14" s="716"/>
      <c r="AD14" s="716"/>
      <c r="AE14" s="716"/>
      <c r="AF14" s="716"/>
      <c r="AG14" s="716"/>
      <c r="AH14" s="716"/>
      <c r="AI14" s="716"/>
      <c r="AJ14" s="716"/>
      <c r="AK14" s="716"/>
      <c r="AL14" s="714"/>
      <c r="AM14" s="715"/>
      <c r="AN14" s="715"/>
      <c r="AO14" s="715"/>
      <c r="AP14" s="716"/>
      <c r="AQ14" s="716"/>
      <c r="AR14" s="716"/>
      <c r="AS14" s="716"/>
      <c r="AT14" s="716"/>
      <c r="AU14" s="716"/>
      <c r="AV14" s="716"/>
      <c r="AW14" s="716"/>
      <c r="AX14" s="716"/>
      <c r="AY14" s="716"/>
      <c r="AZ14" s="716"/>
      <c r="BA14" s="716"/>
    </row>
    <row r="15" spans="1:53">
      <c r="A15" s="715"/>
      <c r="B15" s="715"/>
      <c r="C15" s="716"/>
      <c r="D15" s="716"/>
      <c r="E15" s="716"/>
      <c r="F15" s="716"/>
      <c r="G15" s="716"/>
      <c r="H15" s="716"/>
      <c r="I15" s="716"/>
      <c r="J15" s="716"/>
      <c r="K15" s="716"/>
      <c r="L15" s="716"/>
      <c r="M15" s="716"/>
      <c r="N15" s="716"/>
      <c r="O15" s="716"/>
      <c r="P15" s="716"/>
      <c r="Q15" s="717"/>
      <c r="R15" s="716"/>
      <c r="S15" s="716"/>
      <c r="T15" s="716"/>
      <c r="U15" s="716"/>
      <c r="V15" s="716"/>
      <c r="W15" s="716"/>
      <c r="X15" s="716"/>
      <c r="Y15" s="716"/>
      <c r="Z15" s="716"/>
      <c r="AA15" s="716"/>
      <c r="AB15" s="716"/>
      <c r="AC15" s="716"/>
      <c r="AD15" s="716"/>
      <c r="AE15" s="716"/>
      <c r="AF15" s="716"/>
      <c r="AG15" s="716"/>
      <c r="AH15" s="716"/>
      <c r="AI15" s="716"/>
      <c r="AJ15" s="716"/>
      <c r="AK15" s="716"/>
      <c r="AL15" s="714"/>
      <c r="AM15" s="715"/>
      <c r="AN15" s="715"/>
      <c r="AO15" s="715"/>
      <c r="AP15" s="716"/>
      <c r="AQ15" s="716"/>
      <c r="AR15" s="716"/>
      <c r="AS15" s="716"/>
      <c r="AT15" s="716"/>
      <c r="AU15" s="716"/>
      <c r="AV15" s="716"/>
      <c r="AW15" s="716"/>
      <c r="AX15" s="716"/>
      <c r="AY15" s="716"/>
      <c r="AZ15" s="716"/>
      <c r="BA15" s="716"/>
    </row>
    <row r="16" spans="1:53">
      <c r="A16" s="715"/>
      <c r="B16" s="715"/>
      <c r="C16" s="716"/>
      <c r="D16" s="716"/>
      <c r="E16" s="716"/>
      <c r="F16" s="716"/>
      <c r="G16" s="716"/>
      <c r="H16" s="716"/>
      <c r="I16" s="716"/>
      <c r="J16" s="716"/>
      <c r="K16" s="716"/>
      <c r="L16" s="716"/>
      <c r="M16" s="716"/>
      <c r="N16" s="716"/>
      <c r="O16" s="716"/>
      <c r="P16" s="716"/>
      <c r="Q16" s="717"/>
      <c r="R16" s="716"/>
      <c r="S16" s="716"/>
      <c r="T16" s="716"/>
      <c r="U16" s="716"/>
      <c r="V16" s="716"/>
      <c r="W16" s="716"/>
      <c r="X16" s="716"/>
      <c r="Y16" s="716"/>
      <c r="Z16" s="716"/>
      <c r="AA16" s="716"/>
      <c r="AB16" s="716"/>
      <c r="AC16" s="716"/>
      <c r="AD16" s="716"/>
      <c r="AE16" s="716"/>
      <c r="AF16" s="716"/>
      <c r="AG16" s="716"/>
      <c r="AH16" s="716"/>
      <c r="AI16" s="716"/>
      <c r="AJ16" s="716"/>
      <c r="AK16" s="716"/>
      <c r="AL16" s="714"/>
      <c r="AM16" s="715"/>
      <c r="AN16" s="715"/>
      <c r="AO16" s="715"/>
      <c r="AP16" s="716"/>
      <c r="AQ16" s="716"/>
      <c r="AR16" s="716"/>
      <c r="AS16" s="716"/>
      <c r="AT16" s="716"/>
      <c r="AU16" s="716"/>
      <c r="AV16" s="716"/>
      <c r="AW16" s="716"/>
      <c r="AX16" s="716"/>
      <c r="AY16" s="716"/>
      <c r="AZ16" s="716"/>
      <c r="BA16" s="716"/>
    </row>
    <row r="17" spans="1:53">
      <c r="A17" s="732"/>
      <c r="B17" s="732"/>
      <c r="C17" s="716"/>
      <c r="D17" s="716"/>
      <c r="E17" s="716"/>
      <c r="F17" s="716"/>
      <c r="G17" s="716"/>
      <c r="H17" s="716"/>
      <c r="I17" s="716"/>
      <c r="J17" s="716"/>
      <c r="K17" s="716"/>
      <c r="L17" s="716"/>
      <c r="M17" s="716"/>
      <c r="N17" s="716"/>
      <c r="O17" s="716"/>
      <c r="P17" s="716"/>
      <c r="Q17" s="716"/>
      <c r="R17" s="719"/>
      <c r="S17" s="719"/>
      <c r="T17" s="719"/>
      <c r="U17" s="719"/>
      <c r="V17" s="719"/>
      <c r="W17" s="719"/>
      <c r="X17" s="719"/>
      <c r="Y17" s="719"/>
      <c r="Z17" s="719"/>
      <c r="AA17" s="719"/>
      <c r="AB17" s="719"/>
      <c r="AC17" s="719"/>
      <c r="AD17" s="719"/>
      <c r="AE17" s="719"/>
      <c r="AF17" s="719"/>
      <c r="AG17" s="719"/>
      <c r="AH17" s="719"/>
      <c r="AI17" s="719"/>
      <c r="AJ17" s="719"/>
      <c r="AK17" s="719"/>
      <c r="AL17" s="714"/>
      <c r="AM17" s="715"/>
      <c r="AN17" s="715"/>
      <c r="AO17" s="715"/>
      <c r="AP17" s="716"/>
      <c r="AQ17" s="719"/>
      <c r="AR17" s="719"/>
      <c r="AS17" s="719"/>
      <c r="AT17" s="719"/>
      <c r="AU17" s="719"/>
      <c r="AV17" s="719"/>
      <c r="AW17" s="719"/>
      <c r="AX17" s="719"/>
      <c r="AY17" s="719"/>
      <c r="AZ17" s="719"/>
      <c r="BA17" s="719"/>
    </row>
    <row r="18" spans="1:53">
      <c r="A18" s="732"/>
      <c r="B18" s="732"/>
      <c r="C18" s="716"/>
      <c r="D18" s="716"/>
      <c r="E18" s="716"/>
      <c r="F18" s="716"/>
      <c r="G18" s="716"/>
      <c r="H18" s="716"/>
      <c r="I18" s="716"/>
      <c r="J18" s="716"/>
      <c r="K18" s="716"/>
      <c r="L18" s="716"/>
      <c r="M18" s="716"/>
      <c r="N18" s="716"/>
      <c r="O18" s="716"/>
      <c r="P18" s="716"/>
      <c r="Q18" s="716"/>
      <c r="R18" s="719"/>
      <c r="S18" s="719"/>
      <c r="T18" s="719"/>
      <c r="U18" s="719"/>
      <c r="V18" s="719"/>
      <c r="W18" s="719"/>
      <c r="X18" s="719"/>
      <c r="Y18" s="719"/>
      <c r="Z18" s="719"/>
      <c r="AA18" s="719"/>
      <c r="AB18" s="719"/>
      <c r="AC18" s="719"/>
      <c r="AD18" s="719"/>
      <c r="AE18" s="719"/>
      <c r="AF18" s="719"/>
      <c r="AG18" s="719"/>
      <c r="AH18" s="719"/>
      <c r="AI18" s="719"/>
      <c r="AJ18" s="719"/>
      <c r="AK18" s="719"/>
      <c r="AL18" s="714"/>
      <c r="AM18" s="715"/>
      <c r="AN18" s="715"/>
      <c r="AO18" s="715"/>
      <c r="AP18" s="716"/>
      <c r="AQ18" s="719"/>
      <c r="AR18" s="719"/>
      <c r="AS18" s="719"/>
      <c r="AT18" s="719"/>
      <c r="AU18" s="719"/>
      <c r="AV18" s="719"/>
      <c r="AW18" s="719"/>
      <c r="AX18" s="719"/>
      <c r="AY18" s="719"/>
      <c r="AZ18" s="719"/>
      <c r="BA18" s="719"/>
    </row>
    <row r="19" spans="1:53">
      <c r="A19" s="715"/>
      <c r="B19" s="715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716"/>
      <c r="AB19" s="716"/>
      <c r="AC19" s="716"/>
      <c r="AD19" s="716"/>
      <c r="AE19" s="716"/>
      <c r="AF19" s="716"/>
      <c r="AG19" s="716"/>
      <c r="AH19" s="716"/>
      <c r="AI19" s="716"/>
      <c r="AJ19" s="716"/>
      <c r="AK19" s="716"/>
      <c r="AL19" s="714"/>
      <c r="AM19" s="714"/>
      <c r="AN19" s="714"/>
      <c r="AO19" s="714"/>
      <c r="AP19" s="716"/>
      <c r="AQ19" s="716"/>
      <c r="AR19" s="716"/>
      <c r="AS19" s="716"/>
      <c r="AT19" s="716"/>
      <c r="AU19" s="716"/>
      <c r="AV19" s="716"/>
      <c r="AW19" s="716"/>
      <c r="AX19" s="716"/>
      <c r="AY19" s="716"/>
      <c r="AZ19" s="716"/>
      <c r="BA19" s="716"/>
    </row>
    <row r="20" spans="1:53">
      <c r="A20" s="715"/>
      <c r="B20" s="715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716"/>
      <c r="AB20" s="716"/>
      <c r="AC20" s="716"/>
      <c r="AD20" s="716"/>
      <c r="AE20" s="716"/>
      <c r="AF20" s="716"/>
      <c r="AG20" s="716"/>
      <c r="AH20" s="716"/>
      <c r="AI20" s="716"/>
      <c r="AJ20" s="716"/>
      <c r="AK20" s="716"/>
      <c r="AL20" s="714"/>
      <c r="AM20" s="714"/>
      <c r="AN20" s="714"/>
      <c r="AO20" s="714"/>
      <c r="AP20" s="716"/>
      <c r="AQ20" s="716"/>
      <c r="AR20" s="716"/>
      <c r="AS20" s="716"/>
      <c r="AT20" s="716"/>
      <c r="AU20" s="716"/>
      <c r="AV20" s="716"/>
      <c r="AW20" s="716"/>
      <c r="AX20" s="716"/>
      <c r="AY20" s="716"/>
      <c r="AZ20" s="716"/>
      <c r="BA20" s="716"/>
    </row>
    <row r="21" spans="1:53" ht="13.5" customHeight="1">
      <c r="A21" s="715"/>
      <c r="B21" s="715"/>
      <c r="C21" s="716"/>
      <c r="D21" s="716"/>
      <c r="E21" s="716"/>
      <c r="F21" s="716"/>
      <c r="G21" s="716"/>
      <c r="H21" s="716"/>
      <c r="I21" s="716"/>
      <c r="J21" s="716"/>
      <c r="K21" s="716"/>
      <c r="L21" s="716"/>
      <c r="M21" s="716"/>
      <c r="N21" s="716"/>
      <c r="O21" s="716"/>
      <c r="P21" s="716"/>
      <c r="Q21" s="716"/>
      <c r="R21" s="719"/>
      <c r="S21" s="719"/>
      <c r="T21" s="719"/>
      <c r="U21" s="719"/>
      <c r="V21" s="719"/>
      <c r="W21" s="719"/>
      <c r="X21" s="719"/>
      <c r="Y21" s="719"/>
      <c r="Z21" s="719"/>
      <c r="AA21" s="719"/>
      <c r="AB21" s="719"/>
      <c r="AC21" s="719"/>
      <c r="AD21" s="719"/>
      <c r="AE21" s="719"/>
      <c r="AF21" s="719"/>
      <c r="AG21" s="719"/>
      <c r="AH21" s="719"/>
      <c r="AI21" s="719"/>
      <c r="AJ21" s="719"/>
      <c r="AK21" s="719"/>
      <c r="AL21" s="714"/>
      <c r="AM21" s="714"/>
      <c r="AN21" s="714"/>
      <c r="AO21" s="714"/>
      <c r="AP21" s="716"/>
      <c r="AQ21" s="716"/>
      <c r="AR21" s="716"/>
      <c r="AS21" s="716"/>
      <c r="AT21" s="716"/>
      <c r="AU21" s="716"/>
      <c r="AV21" s="716"/>
      <c r="AW21" s="716"/>
      <c r="AX21" s="716"/>
      <c r="AY21" s="716"/>
      <c r="AZ21" s="716"/>
      <c r="BA21" s="716"/>
    </row>
    <row r="22" spans="1:53">
      <c r="A22" s="715"/>
      <c r="B22" s="715"/>
      <c r="C22" s="716"/>
      <c r="D22" s="716"/>
      <c r="E22" s="716"/>
      <c r="F22" s="716"/>
      <c r="G22" s="716"/>
      <c r="H22" s="716"/>
      <c r="I22" s="716"/>
      <c r="J22" s="716"/>
      <c r="K22" s="716"/>
      <c r="L22" s="716"/>
      <c r="M22" s="716"/>
      <c r="N22" s="716"/>
      <c r="O22" s="716"/>
      <c r="P22" s="716"/>
      <c r="Q22" s="716"/>
      <c r="R22" s="716"/>
      <c r="S22" s="716"/>
      <c r="T22" s="716"/>
      <c r="U22" s="716"/>
      <c r="V22" s="716"/>
      <c r="W22" s="716"/>
      <c r="X22" s="716"/>
      <c r="Y22" s="716"/>
      <c r="Z22" s="716"/>
      <c r="AA22" s="716"/>
      <c r="AB22" s="716"/>
      <c r="AC22" s="716"/>
      <c r="AD22" s="716"/>
      <c r="AE22" s="716"/>
      <c r="AF22" s="716"/>
      <c r="AG22" s="716"/>
      <c r="AH22" s="716"/>
      <c r="AI22" s="716"/>
      <c r="AJ22" s="716"/>
      <c r="AK22" s="716"/>
      <c r="AL22" s="714"/>
      <c r="AM22" s="714"/>
      <c r="AN22" s="714"/>
      <c r="AO22" s="714"/>
      <c r="AP22" s="716"/>
      <c r="AQ22" s="716"/>
      <c r="AR22" s="716"/>
      <c r="AS22" s="716"/>
      <c r="AT22" s="716"/>
      <c r="AU22" s="716"/>
      <c r="AV22" s="716"/>
      <c r="AW22" s="716"/>
      <c r="AX22" s="716"/>
      <c r="AY22" s="716"/>
      <c r="AZ22" s="716"/>
      <c r="BA22" s="716"/>
    </row>
    <row r="23" spans="1:53">
      <c r="A23" s="715"/>
      <c r="B23" s="715"/>
      <c r="C23" s="716"/>
      <c r="D23" s="716"/>
      <c r="E23" s="716"/>
      <c r="F23" s="716"/>
      <c r="G23" s="716"/>
      <c r="H23" s="716"/>
      <c r="I23" s="716"/>
      <c r="J23" s="716"/>
      <c r="K23" s="716"/>
      <c r="L23" s="716"/>
      <c r="M23" s="716"/>
      <c r="N23" s="716"/>
      <c r="O23" s="716"/>
      <c r="P23" s="716"/>
      <c r="Q23" s="716"/>
      <c r="R23" s="719"/>
      <c r="S23" s="719"/>
      <c r="T23" s="719"/>
      <c r="U23" s="719"/>
      <c r="V23" s="719"/>
      <c r="W23" s="719"/>
      <c r="X23" s="719"/>
      <c r="Y23" s="719"/>
      <c r="Z23" s="719"/>
      <c r="AA23" s="719"/>
      <c r="AB23" s="719"/>
      <c r="AC23" s="719"/>
      <c r="AD23" s="719"/>
      <c r="AE23" s="719"/>
      <c r="AF23" s="719"/>
      <c r="AG23" s="719"/>
      <c r="AH23" s="719"/>
      <c r="AI23" s="719"/>
      <c r="AJ23" s="719"/>
      <c r="AK23" s="719"/>
      <c r="AL23" s="714"/>
      <c r="AM23" s="714"/>
      <c r="AN23" s="714"/>
      <c r="AO23" s="714"/>
      <c r="AP23" s="716"/>
      <c r="AQ23" s="716"/>
      <c r="AR23" s="716"/>
      <c r="AS23" s="716"/>
      <c r="AT23" s="716"/>
      <c r="AU23" s="716"/>
      <c r="AV23" s="716"/>
      <c r="AW23" s="716"/>
      <c r="AX23" s="716"/>
      <c r="AY23" s="716"/>
      <c r="AZ23" s="716"/>
      <c r="BA23" s="716"/>
    </row>
    <row r="24" spans="1:53">
      <c r="A24" s="715"/>
      <c r="B24" s="715"/>
      <c r="C24" s="716"/>
      <c r="D24" s="716"/>
      <c r="E24" s="716"/>
      <c r="F24" s="716"/>
      <c r="G24" s="716"/>
      <c r="H24" s="716"/>
      <c r="I24" s="716"/>
      <c r="J24" s="716"/>
      <c r="K24" s="716"/>
      <c r="L24" s="716"/>
      <c r="M24" s="716"/>
      <c r="N24" s="716"/>
      <c r="O24" s="716"/>
      <c r="P24" s="716"/>
      <c r="Q24" s="716"/>
      <c r="R24" s="716"/>
      <c r="S24" s="716"/>
      <c r="T24" s="716"/>
      <c r="U24" s="716"/>
      <c r="V24" s="716"/>
      <c r="W24" s="716"/>
      <c r="X24" s="716"/>
      <c r="Y24" s="716"/>
      <c r="Z24" s="716"/>
      <c r="AA24" s="716"/>
      <c r="AB24" s="716"/>
      <c r="AC24" s="716"/>
      <c r="AD24" s="716"/>
      <c r="AE24" s="716"/>
      <c r="AF24" s="716"/>
      <c r="AG24" s="716"/>
      <c r="AH24" s="716"/>
      <c r="AI24" s="716"/>
      <c r="AJ24" s="716"/>
      <c r="AK24" s="716"/>
      <c r="AL24" s="714"/>
      <c r="AM24" s="714"/>
      <c r="AN24" s="714"/>
      <c r="AO24" s="714"/>
      <c r="AP24" s="716"/>
      <c r="AQ24" s="716"/>
      <c r="AR24" s="716"/>
      <c r="AS24" s="716"/>
      <c r="AT24" s="716"/>
      <c r="AU24" s="716"/>
      <c r="AV24" s="716"/>
      <c r="AW24" s="716"/>
      <c r="AX24" s="716"/>
      <c r="AY24" s="716"/>
      <c r="AZ24" s="716"/>
      <c r="BA24" s="716"/>
    </row>
    <row r="25" spans="1:53">
      <c r="A25" s="715"/>
      <c r="B25" s="715"/>
      <c r="C25" s="716"/>
      <c r="D25" s="716"/>
      <c r="E25" s="716"/>
      <c r="F25" s="716"/>
      <c r="G25" s="716"/>
      <c r="H25" s="716"/>
      <c r="I25" s="716"/>
      <c r="J25" s="716"/>
      <c r="K25" s="716"/>
      <c r="L25" s="716"/>
      <c r="M25" s="716"/>
      <c r="N25" s="716"/>
      <c r="O25" s="716"/>
      <c r="P25" s="716"/>
      <c r="Q25" s="716"/>
      <c r="R25" s="716"/>
      <c r="S25" s="716"/>
      <c r="T25" s="716"/>
      <c r="U25" s="716"/>
      <c r="V25" s="716"/>
      <c r="W25" s="716"/>
      <c r="X25" s="716"/>
      <c r="Y25" s="716"/>
      <c r="Z25" s="716"/>
      <c r="AA25" s="716"/>
      <c r="AB25" s="716"/>
      <c r="AC25" s="716"/>
      <c r="AD25" s="716"/>
      <c r="AE25" s="716"/>
      <c r="AF25" s="716"/>
      <c r="AG25" s="716"/>
      <c r="AH25" s="716"/>
      <c r="AI25" s="716"/>
      <c r="AJ25" s="716"/>
      <c r="AK25" s="716"/>
      <c r="AL25" s="714"/>
      <c r="AM25" s="715"/>
      <c r="AN25" s="715"/>
      <c r="AO25" s="715"/>
      <c r="AP25" s="716"/>
      <c r="AQ25" s="716"/>
      <c r="AR25" s="716"/>
      <c r="AS25" s="716"/>
      <c r="AT25" s="716"/>
      <c r="AU25" s="716"/>
      <c r="AV25" s="716"/>
      <c r="AW25" s="716"/>
      <c r="AX25" s="716"/>
      <c r="AY25" s="716"/>
      <c r="AZ25" s="716"/>
      <c r="BA25" s="716"/>
    </row>
    <row r="26" spans="1:53">
      <c r="A26" s="715"/>
      <c r="B26" s="715"/>
      <c r="C26" s="716"/>
      <c r="D26" s="716"/>
      <c r="E26" s="716"/>
      <c r="F26" s="716"/>
      <c r="G26" s="716"/>
      <c r="H26" s="716"/>
      <c r="I26" s="716"/>
      <c r="J26" s="716"/>
      <c r="K26" s="716"/>
      <c r="L26" s="716"/>
      <c r="M26" s="716"/>
      <c r="N26" s="716"/>
      <c r="O26" s="716"/>
      <c r="P26" s="716"/>
      <c r="Q26" s="716"/>
      <c r="R26" s="716"/>
      <c r="S26" s="716"/>
      <c r="T26" s="716"/>
      <c r="U26" s="716"/>
      <c r="V26" s="716"/>
      <c r="W26" s="716"/>
      <c r="X26" s="716"/>
      <c r="Y26" s="716"/>
      <c r="Z26" s="716"/>
      <c r="AA26" s="716"/>
      <c r="AB26" s="716"/>
      <c r="AC26" s="716"/>
      <c r="AD26" s="716"/>
      <c r="AE26" s="716"/>
      <c r="AF26" s="716"/>
      <c r="AG26" s="716"/>
      <c r="AH26" s="716"/>
      <c r="AI26" s="716"/>
      <c r="AJ26" s="716"/>
      <c r="AK26" s="716"/>
      <c r="AL26" s="714"/>
      <c r="AM26" s="715"/>
      <c r="AN26" s="715"/>
      <c r="AO26" s="715"/>
      <c r="AP26" s="716"/>
      <c r="AQ26" s="716"/>
      <c r="AR26" s="716"/>
      <c r="AS26" s="716"/>
      <c r="AT26" s="716"/>
      <c r="AU26" s="716"/>
      <c r="AV26" s="716"/>
      <c r="AW26" s="716"/>
      <c r="AX26" s="716"/>
      <c r="AY26" s="716"/>
      <c r="AZ26" s="716"/>
      <c r="BA26" s="716"/>
    </row>
    <row r="27" spans="1:53">
      <c r="A27" s="715"/>
      <c r="B27" s="715"/>
      <c r="C27" s="716"/>
      <c r="D27" s="716"/>
      <c r="E27" s="716"/>
      <c r="F27" s="716"/>
      <c r="G27" s="716"/>
      <c r="H27" s="716"/>
      <c r="I27" s="716"/>
      <c r="J27" s="716"/>
      <c r="K27" s="716"/>
      <c r="L27" s="716"/>
      <c r="M27" s="716"/>
      <c r="N27" s="716"/>
      <c r="O27" s="716"/>
      <c r="P27" s="716"/>
      <c r="Q27" s="716"/>
      <c r="R27" s="716"/>
      <c r="S27" s="716"/>
      <c r="T27" s="716"/>
      <c r="U27" s="716"/>
      <c r="V27" s="716"/>
      <c r="W27" s="716"/>
      <c r="X27" s="716"/>
      <c r="Y27" s="716"/>
      <c r="Z27" s="716"/>
      <c r="AA27" s="716"/>
      <c r="AB27" s="716"/>
      <c r="AC27" s="716"/>
      <c r="AD27" s="716"/>
      <c r="AE27" s="716"/>
      <c r="AF27" s="716"/>
      <c r="AG27" s="716"/>
      <c r="AH27" s="716"/>
      <c r="AI27" s="716"/>
      <c r="AJ27" s="716"/>
      <c r="AK27" s="716"/>
      <c r="AL27" s="714"/>
      <c r="AM27" s="715"/>
      <c r="AN27" s="715"/>
      <c r="AO27" s="715"/>
      <c r="AP27" s="716"/>
      <c r="AQ27" s="716"/>
      <c r="AR27" s="716"/>
      <c r="AS27" s="716"/>
      <c r="AT27" s="716"/>
      <c r="AU27" s="716"/>
      <c r="AV27" s="716"/>
      <c r="AW27" s="716"/>
      <c r="AX27" s="716"/>
      <c r="AY27" s="716"/>
      <c r="AZ27" s="716"/>
      <c r="BA27" s="716"/>
    </row>
    <row r="28" spans="1:53">
      <c r="A28" s="715"/>
      <c r="B28" s="715"/>
      <c r="C28" s="716"/>
      <c r="D28" s="716"/>
      <c r="E28" s="716"/>
      <c r="F28" s="716"/>
      <c r="G28" s="716"/>
      <c r="H28" s="716"/>
      <c r="I28" s="716"/>
      <c r="J28" s="716"/>
      <c r="K28" s="716"/>
      <c r="L28" s="716"/>
      <c r="M28" s="716"/>
      <c r="N28" s="716"/>
      <c r="O28" s="716"/>
      <c r="P28" s="716"/>
      <c r="Q28" s="716"/>
      <c r="R28" s="716"/>
      <c r="S28" s="716"/>
      <c r="T28" s="716"/>
      <c r="U28" s="716"/>
      <c r="V28" s="716"/>
      <c r="W28" s="716"/>
      <c r="X28" s="716"/>
      <c r="Y28" s="716"/>
      <c r="Z28" s="716"/>
      <c r="AA28" s="716"/>
      <c r="AB28" s="716"/>
      <c r="AC28" s="716"/>
      <c r="AD28" s="716"/>
      <c r="AE28" s="716"/>
      <c r="AF28" s="716"/>
      <c r="AG28" s="716"/>
      <c r="AH28" s="716"/>
      <c r="AI28" s="716"/>
      <c r="AJ28" s="716"/>
      <c r="AK28" s="716"/>
      <c r="AL28" s="714"/>
      <c r="AM28" s="715"/>
      <c r="AN28" s="715"/>
      <c r="AO28" s="715"/>
      <c r="AP28" s="716"/>
      <c r="AQ28" s="716"/>
      <c r="AR28" s="716"/>
      <c r="AS28" s="716"/>
      <c r="AT28" s="716"/>
      <c r="AU28" s="716"/>
      <c r="AV28" s="716"/>
      <c r="AW28" s="716"/>
      <c r="AX28" s="716"/>
      <c r="AY28" s="716"/>
      <c r="AZ28" s="716"/>
      <c r="BA28" s="716"/>
    </row>
    <row r="29" spans="1:53">
      <c r="A29" s="715"/>
      <c r="B29" s="715"/>
      <c r="C29" s="716"/>
      <c r="D29" s="716"/>
      <c r="E29" s="716"/>
      <c r="F29" s="716"/>
      <c r="G29" s="716"/>
      <c r="H29" s="716"/>
      <c r="I29" s="716"/>
      <c r="J29" s="716"/>
      <c r="K29" s="716"/>
      <c r="L29" s="716"/>
      <c r="M29" s="716"/>
      <c r="N29" s="716"/>
      <c r="O29" s="716"/>
      <c r="P29" s="716"/>
      <c r="Q29" s="716"/>
      <c r="R29" s="716"/>
      <c r="S29" s="716"/>
      <c r="T29" s="716"/>
      <c r="U29" s="716"/>
      <c r="V29" s="716"/>
      <c r="W29" s="716"/>
      <c r="X29" s="716"/>
      <c r="Y29" s="716"/>
      <c r="Z29" s="716"/>
      <c r="AA29" s="716"/>
      <c r="AB29" s="716"/>
      <c r="AC29" s="716"/>
      <c r="AD29" s="716"/>
      <c r="AE29" s="716"/>
      <c r="AF29" s="716"/>
      <c r="AG29" s="716"/>
      <c r="AH29" s="716"/>
      <c r="AI29" s="716"/>
      <c r="AJ29" s="716"/>
      <c r="AK29" s="716"/>
      <c r="AL29" s="714"/>
      <c r="AM29" s="715"/>
      <c r="AN29" s="715"/>
      <c r="AO29" s="715"/>
      <c r="AP29" s="716"/>
      <c r="AQ29" s="716"/>
      <c r="AR29" s="716"/>
      <c r="AS29" s="716"/>
      <c r="AT29" s="716"/>
      <c r="AU29" s="716"/>
      <c r="AV29" s="716"/>
      <c r="AW29" s="716"/>
      <c r="AX29" s="716"/>
      <c r="AY29" s="716"/>
      <c r="AZ29" s="716"/>
      <c r="BA29" s="716"/>
    </row>
    <row r="30" spans="1:53">
      <c r="A30" s="715"/>
      <c r="B30" s="715"/>
      <c r="C30" s="716"/>
      <c r="D30" s="716"/>
      <c r="E30" s="716"/>
      <c r="F30" s="716"/>
      <c r="G30" s="716"/>
      <c r="H30" s="716"/>
      <c r="I30" s="716"/>
      <c r="J30" s="716"/>
      <c r="K30" s="716"/>
      <c r="L30" s="716"/>
      <c r="M30" s="716"/>
      <c r="N30" s="716"/>
      <c r="O30" s="716"/>
      <c r="P30" s="716"/>
      <c r="Q30" s="716"/>
      <c r="R30" s="716"/>
      <c r="S30" s="716"/>
      <c r="T30" s="716"/>
      <c r="U30" s="716"/>
      <c r="V30" s="716"/>
      <c r="W30" s="716"/>
      <c r="X30" s="716"/>
      <c r="Y30" s="716"/>
      <c r="Z30" s="716"/>
      <c r="AA30" s="716"/>
      <c r="AB30" s="716"/>
      <c r="AC30" s="716"/>
      <c r="AD30" s="716"/>
      <c r="AE30" s="716"/>
      <c r="AF30" s="716"/>
      <c r="AG30" s="716"/>
      <c r="AH30" s="716"/>
      <c r="AI30" s="716"/>
      <c r="AJ30" s="716"/>
      <c r="AK30" s="716"/>
      <c r="AL30" s="715"/>
      <c r="AM30" s="715"/>
      <c r="AN30" s="715"/>
      <c r="AO30" s="715"/>
      <c r="AP30" s="716"/>
      <c r="AQ30" s="716"/>
      <c r="AR30" s="716"/>
      <c r="AS30" s="716"/>
      <c r="AT30" s="716"/>
      <c r="AU30" s="716"/>
      <c r="AV30" s="716"/>
      <c r="AW30" s="716"/>
      <c r="AX30" s="716"/>
      <c r="AY30" s="716"/>
      <c r="AZ30" s="716"/>
      <c r="BA30" s="716"/>
    </row>
    <row r="31" spans="1:53">
      <c r="A31" s="715"/>
      <c r="B31" s="715"/>
      <c r="C31" s="716"/>
      <c r="D31" s="716"/>
      <c r="E31" s="716"/>
      <c r="F31" s="716"/>
      <c r="G31" s="716"/>
      <c r="H31" s="716"/>
      <c r="I31" s="716"/>
      <c r="J31" s="716"/>
      <c r="K31" s="716"/>
      <c r="L31" s="716"/>
      <c r="M31" s="716"/>
      <c r="N31" s="716"/>
      <c r="O31" s="716"/>
      <c r="P31" s="716"/>
      <c r="Q31" s="716"/>
      <c r="R31" s="716"/>
      <c r="S31" s="716"/>
      <c r="T31" s="716"/>
      <c r="U31" s="716"/>
      <c r="V31" s="716"/>
      <c r="W31" s="716"/>
      <c r="X31" s="716"/>
      <c r="Y31" s="716"/>
      <c r="Z31" s="716"/>
      <c r="AA31" s="716"/>
      <c r="AB31" s="716"/>
      <c r="AC31" s="716"/>
      <c r="AD31" s="716"/>
      <c r="AE31" s="716"/>
      <c r="AF31" s="716"/>
      <c r="AG31" s="716"/>
      <c r="AH31" s="716"/>
      <c r="AI31" s="716"/>
      <c r="AJ31" s="716"/>
      <c r="AK31" s="716"/>
      <c r="AL31" s="715"/>
      <c r="AM31" s="715"/>
      <c r="AN31" s="715"/>
      <c r="AO31" s="715"/>
      <c r="AP31" s="716"/>
      <c r="AQ31" s="716"/>
      <c r="AR31" s="716"/>
      <c r="AS31" s="716"/>
      <c r="AT31" s="716"/>
      <c r="AU31" s="716"/>
      <c r="AV31" s="716"/>
      <c r="AW31" s="716"/>
      <c r="AX31" s="716"/>
      <c r="AY31" s="716"/>
      <c r="AZ31" s="716"/>
      <c r="BA31" s="716"/>
    </row>
    <row r="32" spans="1:53">
      <c r="A32" s="715"/>
      <c r="B32" s="715"/>
      <c r="C32" s="716"/>
      <c r="D32" s="716"/>
      <c r="E32" s="716"/>
      <c r="F32" s="716"/>
      <c r="G32" s="716"/>
      <c r="H32" s="716"/>
      <c r="I32" s="716"/>
      <c r="J32" s="716"/>
      <c r="K32" s="716"/>
      <c r="L32" s="716"/>
      <c r="M32" s="716"/>
      <c r="N32" s="716"/>
      <c r="O32" s="716"/>
      <c r="P32" s="716"/>
      <c r="Q32" s="716"/>
      <c r="R32" s="716"/>
      <c r="S32" s="716"/>
      <c r="T32" s="716"/>
      <c r="U32" s="716"/>
      <c r="V32" s="716"/>
      <c r="W32" s="716"/>
      <c r="X32" s="716"/>
      <c r="Y32" s="716"/>
      <c r="Z32" s="716"/>
      <c r="AA32" s="716"/>
      <c r="AB32" s="716"/>
      <c r="AC32" s="716"/>
      <c r="AD32" s="716"/>
      <c r="AE32" s="716"/>
      <c r="AF32" s="716"/>
      <c r="AG32" s="716"/>
      <c r="AH32" s="716"/>
      <c r="AI32" s="716"/>
      <c r="AJ32" s="716"/>
      <c r="AK32" s="716"/>
      <c r="AL32" s="715"/>
      <c r="AM32" s="715"/>
      <c r="AN32" s="715"/>
      <c r="AO32" s="715"/>
      <c r="AP32" s="716"/>
      <c r="AQ32" s="716"/>
      <c r="AR32" s="716"/>
      <c r="AS32" s="716"/>
      <c r="AT32" s="716"/>
      <c r="AU32" s="716"/>
      <c r="AV32" s="716"/>
      <c r="AW32" s="716"/>
      <c r="AX32" s="716"/>
      <c r="AY32" s="716"/>
      <c r="AZ32" s="716"/>
      <c r="BA32" s="716"/>
    </row>
    <row r="33" spans="1:53">
      <c r="A33" s="715"/>
      <c r="B33" s="715"/>
      <c r="C33" s="716"/>
      <c r="D33" s="716"/>
      <c r="E33" s="716"/>
      <c r="F33" s="716"/>
      <c r="G33" s="716"/>
      <c r="H33" s="716"/>
      <c r="I33" s="716"/>
      <c r="J33" s="716"/>
      <c r="K33" s="716"/>
      <c r="L33" s="716"/>
      <c r="M33" s="716"/>
      <c r="N33" s="716"/>
      <c r="O33" s="716"/>
      <c r="P33" s="716"/>
      <c r="Q33" s="716"/>
      <c r="R33" s="716"/>
      <c r="S33" s="716"/>
      <c r="T33" s="716"/>
      <c r="U33" s="716"/>
      <c r="V33" s="716"/>
      <c r="W33" s="716"/>
      <c r="X33" s="716"/>
      <c r="Y33" s="716"/>
      <c r="Z33" s="716"/>
      <c r="AA33" s="716"/>
      <c r="AB33" s="716"/>
      <c r="AC33" s="716"/>
      <c r="AD33" s="716"/>
      <c r="AE33" s="716"/>
      <c r="AF33" s="716"/>
      <c r="AG33" s="716"/>
      <c r="AH33" s="716"/>
      <c r="AI33" s="716"/>
      <c r="AJ33" s="716"/>
      <c r="AK33" s="716"/>
      <c r="AL33" s="715"/>
      <c r="AM33" s="715"/>
      <c r="AN33" s="715"/>
      <c r="AO33" s="715"/>
      <c r="AP33" s="716"/>
      <c r="AQ33" s="716"/>
      <c r="AR33" s="716"/>
      <c r="AS33" s="716"/>
      <c r="AT33" s="716"/>
      <c r="AU33" s="716"/>
      <c r="AV33" s="716"/>
      <c r="AW33" s="716"/>
      <c r="AX33" s="716"/>
      <c r="AY33" s="716"/>
      <c r="AZ33" s="716"/>
      <c r="BA33" s="716"/>
    </row>
    <row r="34" spans="1:53">
      <c r="A34" s="715"/>
      <c r="B34" s="715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716"/>
      <c r="AB34" s="716"/>
      <c r="AC34" s="716"/>
      <c r="AD34" s="716"/>
      <c r="AE34" s="716"/>
      <c r="AF34" s="716"/>
      <c r="AG34" s="716"/>
      <c r="AH34" s="716"/>
      <c r="AI34" s="716"/>
      <c r="AJ34" s="716"/>
      <c r="AK34" s="716"/>
      <c r="AL34" s="715"/>
      <c r="AM34" s="715"/>
      <c r="AN34" s="715"/>
      <c r="AO34" s="715"/>
      <c r="AP34" s="716"/>
      <c r="AQ34" s="716"/>
      <c r="AR34" s="716"/>
      <c r="AS34" s="716"/>
      <c r="AT34" s="716"/>
      <c r="AU34" s="716"/>
      <c r="AV34" s="716"/>
      <c r="AW34" s="716"/>
      <c r="AX34" s="716"/>
      <c r="AY34" s="716"/>
      <c r="AZ34" s="716"/>
      <c r="BA34" s="716"/>
    </row>
  </sheetData>
  <mergeCells count="229">
    <mergeCell ref="AK1:AM1"/>
    <mergeCell ref="AT3:AW3"/>
    <mergeCell ref="AN1:AP1"/>
    <mergeCell ref="AQ1:AS1"/>
    <mergeCell ref="AT1:AW1"/>
    <mergeCell ref="A6:B6"/>
    <mergeCell ref="C6:P6"/>
    <mergeCell ref="Q6:AK6"/>
    <mergeCell ref="AL6:AO6"/>
    <mergeCell ref="AX1:BA1"/>
    <mergeCell ref="A2:H2"/>
    <mergeCell ref="I2:L2"/>
    <mergeCell ref="M2:W2"/>
    <mergeCell ref="AK2:AM2"/>
    <mergeCell ref="AN2:AP2"/>
    <mergeCell ref="AP6:AR6"/>
    <mergeCell ref="AS6:AU6"/>
    <mergeCell ref="AT2:AW2"/>
    <mergeCell ref="AX2:BA3"/>
    <mergeCell ref="A3:H3"/>
    <mergeCell ref="I3:L3"/>
    <mergeCell ref="M3:W3"/>
    <mergeCell ref="X3:Z3"/>
    <mergeCell ref="AA3:AP3"/>
    <mergeCell ref="AQ3:AS3"/>
    <mergeCell ref="AV6:BA6"/>
    <mergeCell ref="AQ2:AS2"/>
    <mergeCell ref="A1:H1"/>
    <mergeCell ref="I1:L1"/>
    <mergeCell ref="A5:BA5"/>
    <mergeCell ref="M1:W1"/>
    <mergeCell ref="X1:Z2"/>
    <mergeCell ref="AA1:AJ2"/>
    <mergeCell ref="A8:B8"/>
    <mergeCell ref="A14:B14"/>
    <mergeCell ref="A34:B34"/>
    <mergeCell ref="A20:B20"/>
    <mergeCell ref="A21:B21"/>
    <mergeCell ref="A22:B22"/>
    <mergeCell ref="A29:B29"/>
    <mergeCell ref="A30:B30"/>
    <mergeCell ref="A31:B31"/>
    <mergeCell ref="A27:B27"/>
    <mergeCell ref="A28:B28"/>
    <mergeCell ref="A32:B32"/>
    <mergeCell ref="A33:B33"/>
    <mergeCell ref="A15:B15"/>
    <mergeCell ref="A16:B16"/>
    <mergeCell ref="A17:B17"/>
    <mergeCell ref="A18:B18"/>
    <mergeCell ref="A19:B19"/>
    <mergeCell ref="A23:B23"/>
    <mergeCell ref="A24:B24"/>
    <mergeCell ref="A25:B25"/>
    <mergeCell ref="A26:B26"/>
    <mergeCell ref="A9:B9"/>
    <mergeCell ref="A10:B10"/>
    <mergeCell ref="A11:B11"/>
    <mergeCell ref="A12:B12"/>
    <mergeCell ref="A13:B13"/>
    <mergeCell ref="A7:B7"/>
    <mergeCell ref="C33:P33"/>
    <mergeCell ref="C27:P27"/>
    <mergeCell ref="C28:P28"/>
    <mergeCell ref="C24:P24"/>
    <mergeCell ref="C25:P25"/>
    <mergeCell ref="C26:P26"/>
    <mergeCell ref="C29:P29"/>
    <mergeCell ref="C22:P22"/>
    <mergeCell ref="C23:P23"/>
    <mergeCell ref="C7:P7"/>
    <mergeCell ref="C8:P8"/>
    <mergeCell ref="C9:P9"/>
    <mergeCell ref="C10:P10"/>
    <mergeCell ref="C18:P18"/>
    <mergeCell ref="C19:P19"/>
    <mergeCell ref="C20:P20"/>
    <mergeCell ref="C21:P21"/>
    <mergeCell ref="C11:P11"/>
    <mergeCell ref="C12:P12"/>
    <mergeCell ref="C13:P13"/>
    <mergeCell ref="C34:P34"/>
    <mergeCell ref="Q7:AK7"/>
    <mergeCell ref="Q8:AK8"/>
    <mergeCell ref="Q9:AK9"/>
    <mergeCell ref="Q10:AK10"/>
    <mergeCell ref="Q11:AK11"/>
    <mergeCell ref="Q12:AK12"/>
    <mergeCell ref="Q19:AK19"/>
    <mergeCell ref="Q20:AK20"/>
    <mergeCell ref="Q21:AK21"/>
    <mergeCell ref="Q13:AK13"/>
    <mergeCell ref="Q34:AK34"/>
    <mergeCell ref="Q30:AK30"/>
    <mergeCell ref="Q31:AK31"/>
    <mergeCell ref="Q32:AK32"/>
    <mergeCell ref="Q33:AK33"/>
    <mergeCell ref="Q23:AK23"/>
    <mergeCell ref="C17:P17"/>
    <mergeCell ref="C14:P14"/>
    <mergeCell ref="C15:P15"/>
    <mergeCell ref="C16:P16"/>
    <mergeCell ref="C30:P30"/>
    <mergeCell ref="C31:P31"/>
    <mergeCell ref="C32:P32"/>
    <mergeCell ref="AL29:AO29"/>
    <mergeCell ref="AL27:AO27"/>
    <mergeCell ref="AL28:AO28"/>
    <mergeCell ref="Q29:AK29"/>
    <mergeCell ref="Q27:AK27"/>
    <mergeCell ref="Q28:AK28"/>
    <mergeCell ref="AL7:AO7"/>
    <mergeCell ref="AL8:AO8"/>
    <mergeCell ref="AL17:AO17"/>
    <mergeCell ref="AL18:AO18"/>
    <mergeCell ref="AL19:AO19"/>
    <mergeCell ref="AL9:AO9"/>
    <mergeCell ref="AL10:AO10"/>
    <mergeCell ref="AL11:AO11"/>
    <mergeCell ref="AL12:AO12"/>
    <mergeCell ref="AL13:AO13"/>
    <mergeCell ref="AL21:AO21"/>
    <mergeCell ref="Q17:AK17"/>
    <mergeCell ref="Q18:AK18"/>
    <mergeCell ref="Q22:AK22"/>
    <mergeCell ref="Q14:AK14"/>
    <mergeCell ref="AL14:AO14"/>
    <mergeCell ref="Q15:AK15"/>
    <mergeCell ref="AL15:AO15"/>
    <mergeCell ref="AL32:AO32"/>
    <mergeCell ref="AL33:AO33"/>
    <mergeCell ref="AL34:AO34"/>
    <mergeCell ref="AP7:AR7"/>
    <mergeCell ref="AP8:AR8"/>
    <mergeCell ref="AP9:AR9"/>
    <mergeCell ref="AP10:AR10"/>
    <mergeCell ref="AP18:AR18"/>
    <mergeCell ref="AP19:AR19"/>
    <mergeCell ref="AP20:AR20"/>
    <mergeCell ref="AP21:AR21"/>
    <mergeCell ref="AP11:AR11"/>
    <mergeCell ref="AP12:AR12"/>
    <mergeCell ref="AP13:AR13"/>
    <mergeCell ref="AP17:AR17"/>
    <mergeCell ref="AP22:AR22"/>
    <mergeCell ref="AP23:AR23"/>
    <mergeCell ref="AL30:AO30"/>
    <mergeCell ref="AL31:AO31"/>
    <mergeCell ref="AL20:AO20"/>
    <mergeCell ref="AP26:AR26"/>
    <mergeCell ref="AP29:AR29"/>
    <mergeCell ref="AP30:AR30"/>
    <mergeCell ref="AP33:AR33"/>
    <mergeCell ref="AS34:AU34"/>
    <mergeCell ref="AP34:AR34"/>
    <mergeCell ref="AS7:AU7"/>
    <mergeCell ref="AS8:AU8"/>
    <mergeCell ref="AS9:AU9"/>
    <mergeCell ref="AS10:AU10"/>
    <mergeCell ref="AS11:AU11"/>
    <mergeCell ref="AS12:AU12"/>
    <mergeCell ref="AS19:AU19"/>
    <mergeCell ref="AS20:AU20"/>
    <mergeCell ref="AS21:AU21"/>
    <mergeCell ref="AS13:AU13"/>
    <mergeCell ref="AS17:AU17"/>
    <mergeCell ref="AS18:AU18"/>
    <mergeCell ref="AS22:AU22"/>
    <mergeCell ref="AS23:AU23"/>
    <mergeCell ref="AS24:AU24"/>
    <mergeCell ref="AS29:AU29"/>
    <mergeCell ref="AS27:AU27"/>
    <mergeCell ref="AS32:AU32"/>
    <mergeCell ref="AS33:AU33"/>
    <mergeCell ref="AP24:AR24"/>
    <mergeCell ref="AP25:AR25"/>
    <mergeCell ref="AP32:AR32"/>
    <mergeCell ref="AV7:BA7"/>
    <mergeCell ref="AV8:BA8"/>
    <mergeCell ref="AV9:BA9"/>
    <mergeCell ref="AV10:BA10"/>
    <mergeCell ref="AV11:BA11"/>
    <mergeCell ref="AV12:BA12"/>
    <mergeCell ref="AV34:BA34"/>
    <mergeCell ref="AV24:BA24"/>
    <mergeCell ref="AV25:BA25"/>
    <mergeCell ref="AV26:BA26"/>
    <mergeCell ref="AV29:BA29"/>
    <mergeCell ref="AV30:BA30"/>
    <mergeCell ref="AV31:BA31"/>
    <mergeCell ref="AV27:BA27"/>
    <mergeCell ref="AV28:BA28"/>
    <mergeCell ref="AV32:BA32"/>
    <mergeCell ref="AV33:BA33"/>
    <mergeCell ref="AV13:BA13"/>
    <mergeCell ref="AV22:BA22"/>
    <mergeCell ref="AV23:BA23"/>
    <mergeCell ref="AV17:BA17"/>
    <mergeCell ref="AV18:BA18"/>
    <mergeCell ref="AV19:BA19"/>
    <mergeCell ref="AV16:BA16"/>
    <mergeCell ref="AV20:BA20"/>
    <mergeCell ref="AV21:BA21"/>
    <mergeCell ref="AV14:BA14"/>
    <mergeCell ref="AV15:BA15"/>
    <mergeCell ref="AS28:AU28"/>
    <mergeCell ref="AS30:AU30"/>
    <mergeCell ref="AS31:AU31"/>
    <mergeCell ref="AS25:AU25"/>
    <mergeCell ref="AP31:AR31"/>
    <mergeCell ref="AP27:AR27"/>
    <mergeCell ref="AP28:AR28"/>
    <mergeCell ref="AS16:AU16"/>
    <mergeCell ref="AP15:AR15"/>
    <mergeCell ref="AS26:AU26"/>
    <mergeCell ref="AS14:AU14"/>
    <mergeCell ref="AS15:AU15"/>
    <mergeCell ref="AL22:AO22"/>
    <mergeCell ref="AL23:AO23"/>
    <mergeCell ref="AL24:AO24"/>
    <mergeCell ref="AL25:AO25"/>
    <mergeCell ref="AL26:AO26"/>
    <mergeCell ref="Q24:AK24"/>
    <mergeCell ref="Q25:AK25"/>
    <mergeCell ref="Q26:AK26"/>
    <mergeCell ref="AP14:AR14"/>
    <mergeCell ref="Q16:AK16"/>
    <mergeCell ref="AL16:AO16"/>
    <mergeCell ref="AP16:AR16"/>
  </mergeCells>
  <phoneticPr fontId="5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>
    <oddFooter>&amp;L&amp;"-,太字"&amp;12©2016 Amazing-Activity Corporation All Rights Reserved&amp;C- &amp;P &amp; -&amp;R&amp;F_&amp;A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1A54-81B2-48BE-B1DB-4F5E02549265}">
  <dimension ref="A1:DX245"/>
  <sheetViews>
    <sheetView showGridLines="0" topLeftCell="A5" zoomScaleNormal="100" zoomScaleSheetLayoutView="100" workbookViewId="0">
      <pane ySplit="2" topLeftCell="A7" activePane="bottomLeft" state="frozen"/>
      <selection activeCell="A5" sqref="A5"/>
      <selection pane="bottomLeft" activeCell="A7" sqref="A7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81" customWidth="1"/>
    <col min="57" max="128" width="2.6328125" style="595" customWidth="1"/>
    <col min="129" max="16384" width="9" style="35"/>
  </cols>
  <sheetData>
    <row r="1" spans="1:72" ht="12" customHeight="1">
      <c r="A1" s="754" t="s">
        <v>4</v>
      </c>
      <c r="B1" s="754"/>
      <c r="C1" s="754"/>
      <c r="D1" s="754"/>
      <c r="E1" s="754"/>
      <c r="F1" s="754"/>
      <c r="G1" s="754"/>
      <c r="H1" s="754"/>
      <c r="I1" s="737" t="s">
        <v>5</v>
      </c>
      <c r="J1" s="737"/>
      <c r="K1" s="737"/>
      <c r="L1" s="737"/>
      <c r="M1" s="752" t="str">
        <f>変更来歴!M1</f>
        <v>ヒロセ電機株式会社</v>
      </c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37" t="s">
        <v>7</v>
      </c>
      <c r="Y1" s="737"/>
      <c r="Z1" s="737"/>
      <c r="AA1" s="756" t="str">
        <f>変更来歴!AA1</f>
        <v>化学物質データ申請</v>
      </c>
      <c r="AB1" s="756"/>
      <c r="AC1" s="756"/>
      <c r="AD1" s="756"/>
      <c r="AE1" s="756"/>
      <c r="AF1" s="756"/>
      <c r="AG1" s="756"/>
      <c r="AH1" s="756"/>
      <c r="AI1" s="756"/>
      <c r="AJ1" s="756"/>
      <c r="AK1" s="741" t="s">
        <v>8</v>
      </c>
      <c r="AL1" s="741"/>
      <c r="AM1" s="741"/>
      <c r="AN1" s="742" t="str">
        <f>変更来歴!AP7</f>
        <v>古竹</v>
      </c>
      <c r="AO1" s="742"/>
      <c r="AP1" s="742"/>
      <c r="AQ1" s="742"/>
      <c r="AR1" s="742"/>
      <c r="AS1" s="741" t="s">
        <v>9</v>
      </c>
      <c r="AT1" s="741"/>
      <c r="AU1" s="741"/>
      <c r="AV1" s="744">
        <f>変更来歴!AL7</f>
        <v>46125</v>
      </c>
      <c r="AW1" s="757"/>
      <c r="AX1" s="757"/>
      <c r="AY1" s="757"/>
      <c r="AZ1" s="733" t="s">
        <v>10</v>
      </c>
      <c r="BA1" s="734"/>
      <c r="BB1" s="734"/>
      <c r="BC1" s="735"/>
    </row>
    <row r="2" spans="1:72">
      <c r="A2" s="736" t="s">
        <v>16</v>
      </c>
      <c r="B2" s="736"/>
      <c r="C2" s="736"/>
      <c r="D2" s="736"/>
      <c r="E2" s="736"/>
      <c r="F2" s="736"/>
      <c r="G2" s="736"/>
      <c r="H2" s="736"/>
      <c r="I2" s="737" t="s">
        <v>11</v>
      </c>
      <c r="J2" s="737"/>
      <c r="K2" s="737"/>
      <c r="L2" s="737"/>
      <c r="M2" s="791" t="str">
        <f>変更来歴!M2</f>
        <v>新環境証明書システム移行</v>
      </c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37"/>
      <c r="Y2" s="737"/>
      <c r="Z2" s="737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41" t="s">
        <v>12</v>
      </c>
      <c r="AL2" s="741"/>
      <c r="AM2" s="741"/>
      <c r="AN2" s="742" t="str">
        <f ca="1">INDIRECT("変更来歴!AP" &amp; COUNTA(変更来歴!AP7:'変更来歴'!AP39) + 6)</f>
        <v>古竹</v>
      </c>
      <c r="AO2" s="742"/>
      <c r="AP2" s="742"/>
      <c r="AQ2" s="742"/>
      <c r="AR2" s="742"/>
      <c r="AS2" s="741" t="s">
        <v>13</v>
      </c>
      <c r="AT2" s="741"/>
      <c r="AU2" s="741"/>
      <c r="AV2" s="744">
        <f ca="1">INDIRECT("変更来歴!AL" &amp; COUNTA(変更来歴!AL7:'変更来歴'!AL39) + 6)</f>
        <v>46190</v>
      </c>
      <c r="AW2" s="757"/>
      <c r="AX2" s="757"/>
      <c r="AY2" s="757"/>
      <c r="AZ2" s="745" t="str">
        <f>変更来歴!AX2</f>
        <v>IMWF-53</v>
      </c>
      <c r="BA2" s="746"/>
      <c r="BB2" s="746"/>
      <c r="BC2" s="747"/>
    </row>
    <row r="3" spans="1:72" ht="12" customHeight="1">
      <c r="A3" s="751" t="str">
        <f>変更来歴!A3</f>
        <v>画面設計書</v>
      </c>
      <c r="B3" s="751"/>
      <c r="C3" s="751"/>
      <c r="D3" s="751"/>
      <c r="E3" s="751"/>
      <c r="F3" s="751"/>
      <c r="G3" s="751"/>
      <c r="H3" s="751"/>
      <c r="I3" s="737" t="s">
        <v>14</v>
      </c>
      <c r="J3" s="737"/>
      <c r="K3" s="737"/>
      <c r="L3" s="737"/>
      <c r="M3" s="752" t="str">
        <f ca="1">RIGHT(CELL("filename",A1),LEN(CELL("filename",A1))-FIND("]",CELL("filename",A1)))</f>
        <v>化学物質データ申請確認画面</v>
      </c>
      <c r="N3" s="752"/>
      <c r="O3" s="752"/>
      <c r="P3" s="752"/>
      <c r="Q3" s="752"/>
      <c r="R3" s="752"/>
      <c r="S3" s="752"/>
      <c r="T3" s="752"/>
      <c r="U3" s="752"/>
      <c r="V3" s="752"/>
      <c r="W3" s="752"/>
      <c r="X3" s="737" t="s">
        <v>27</v>
      </c>
      <c r="Y3" s="737"/>
      <c r="Z3" s="737"/>
      <c r="AA3" s="753" t="str">
        <f ca="1">MID(CELL("filename"),FIND("]",CELL("filename"))+1,LEN(CELL("filename"))) &amp; "画面"</f>
        <v>表紙画面</v>
      </c>
      <c r="AB3" s="753"/>
      <c r="AC3" s="753"/>
      <c r="AD3" s="753"/>
      <c r="AE3" s="753"/>
      <c r="AF3" s="753"/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41" t="s">
        <v>15</v>
      </c>
      <c r="AT3" s="741"/>
      <c r="AU3" s="741"/>
      <c r="AV3" s="757" t="str">
        <f ca="1">INDIRECT("変更来歴!A" &amp; COUNTA(変更来歴!A7:'変更来歴'!A39) + 6)</f>
        <v>dr1.5</v>
      </c>
      <c r="AW3" s="757"/>
      <c r="AX3" s="757"/>
      <c r="AY3" s="757"/>
      <c r="AZ3" s="748"/>
      <c r="BA3" s="749"/>
      <c r="BB3" s="749"/>
      <c r="BC3" s="750"/>
    </row>
    <row r="4" spans="1:72" ht="5.9" customHeight="1"/>
    <row r="5" spans="1:72" ht="13.5" customHeight="1">
      <c r="A5" s="792" t="str">
        <f ca="1">"画面レイアウト"&amp;"("&amp;MID(CELL("filename"),FIND("]",CELL("filename"))+1,LEN(CELL("filename")))&amp;")"</f>
        <v>画面レイアウト(表紙)</v>
      </c>
      <c r="B5" s="793"/>
      <c r="C5" s="793"/>
      <c r="D5" s="793"/>
      <c r="E5" s="793"/>
      <c r="F5" s="793"/>
      <c r="G5" s="793"/>
      <c r="H5" s="793"/>
      <c r="I5" s="793"/>
      <c r="J5" s="793"/>
      <c r="K5" s="793"/>
      <c r="L5" s="793"/>
      <c r="M5" s="793"/>
      <c r="N5" s="793"/>
      <c r="O5" s="793"/>
      <c r="P5" s="793"/>
      <c r="Q5" s="793"/>
      <c r="R5" s="793"/>
      <c r="S5" s="793"/>
      <c r="T5" s="793"/>
      <c r="U5" s="793"/>
      <c r="V5" s="793"/>
      <c r="W5" s="793"/>
      <c r="X5" s="793"/>
      <c r="Y5" s="793"/>
      <c r="Z5" s="793"/>
      <c r="AA5" s="793"/>
      <c r="AB5" s="793"/>
      <c r="AC5" s="793"/>
      <c r="AD5" s="793"/>
      <c r="AE5" s="793"/>
      <c r="AF5" s="793"/>
      <c r="AG5" s="793"/>
      <c r="AH5" s="793"/>
      <c r="AI5" s="793"/>
      <c r="AJ5" s="793"/>
      <c r="AK5" s="793"/>
      <c r="AL5" s="793"/>
      <c r="AM5" s="793"/>
      <c r="AN5" s="793"/>
      <c r="AO5" s="793"/>
      <c r="AP5" s="793"/>
      <c r="AQ5" s="793"/>
      <c r="AR5" s="793"/>
      <c r="AS5" s="793"/>
      <c r="AT5" s="793"/>
      <c r="AU5" s="793"/>
      <c r="AV5" s="793"/>
      <c r="AW5" s="793"/>
      <c r="AX5" s="793"/>
      <c r="AY5" s="793"/>
      <c r="AZ5" s="793"/>
      <c r="BA5" s="794"/>
      <c r="BB5" s="784" t="s">
        <v>24</v>
      </c>
      <c r="BC5" s="785"/>
      <c r="BD5" s="28"/>
    </row>
    <row r="6" spans="1:72" ht="13.5" customHeight="1">
      <c r="A6" s="27"/>
      <c r="B6" s="186">
        <v>1</v>
      </c>
      <c r="C6" s="186">
        <v>2</v>
      </c>
      <c r="D6" s="186">
        <v>3</v>
      </c>
      <c r="E6" s="186">
        <v>4</v>
      </c>
      <c r="F6" s="186">
        <v>5</v>
      </c>
      <c r="G6" s="186">
        <v>6</v>
      </c>
      <c r="H6" s="186">
        <v>7</v>
      </c>
      <c r="I6" s="186">
        <v>8</v>
      </c>
      <c r="J6" s="186">
        <v>9</v>
      </c>
      <c r="K6" s="186">
        <v>10</v>
      </c>
      <c r="L6" s="186">
        <v>11</v>
      </c>
      <c r="M6" s="186">
        <v>12</v>
      </c>
      <c r="N6" s="186">
        <v>13</v>
      </c>
      <c r="O6" s="186">
        <v>14</v>
      </c>
      <c r="P6" s="186">
        <v>15</v>
      </c>
      <c r="Q6" s="186">
        <v>16</v>
      </c>
      <c r="R6" s="186">
        <v>17</v>
      </c>
      <c r="S6" s="188">
        <v>18</v>
      </c>
      <c r="T6" s="188">
        <v>19</v>
      </c>
      <c r="U6" s="188">
        <v>20</v>
      </c>
      <c r="V6" s="188">
        <v>21</v>
      </c>
      <c r="W6" s="188">
        <v>22</v>
      </c>
      <c r="X6" s="188">
        <v>23</v>
      </c>
      <c r="Y6" s="188">
        <v>24</v>
      </c>
      <c r="Z6" s="188">
        <v>25</v>
      </c>
      <c r="AA6" s="188">
        <v>26</v>
      </c>
      <c r="AB6" s="188">
        <v>27</v>
      </c>
      <c r="AC6" s="188">
        <v>28</v>
      </c>
      <c r="AD6" s="188">
        <v>29</v>
      </c>
      <c r="AE6" s="188">
        <v>30</v>
      </c>
      <c r="AF6" s="188">
        <v>31</v>
      </c>
      <c r="AG6" s="188">
        <v>32</v>
      </c>
      <c r="AH6" s="188">
        <v>33</v>
      </c>
      <c r="AI6" s="188">
        <v>34</v>
      </c>
      <c r="AJ6" s="187">
        <v>35</v>
      </c>
      <c r="AK6" s="187">
        <v>36</v>
      </c>
      <c r="AL6" s="187">
        <v>37</v>
      </c>
      <c r="AM6" s="187">
        <v>38</v>
      </c>
      <c r="AN6" s="187">
        <v>39</v>
      </c>
      <c r="AO6" s="187">
        <v>40</v>
      </c>
      <c r="AP6" s="187">
        <v>41</v>
      </c>
      <c r="AQ6" s="187">
        <v>42</v>
      </c>
      <c r="AR6" s="187">
        <v>43</v>
      </c>
      <c r="AS6" s="187">
        <v>44</v>
      </c>
      <c r="AT6" s="187">
        <v>45</v>
      </c>
      <c r="AU6" s="187">
        <v>46</v>
      </c>
      <c r="AV6" s="187">
        <v>47</v>
      </c>
      <c r="AW6" s="187">
        <v>48</v>
      </c>
      <c r="AX6" s="187">
        <v>49</v>
      </c>
      <c r="AY6" s="187">
        <v>50</v>
      </c>
      <c r="AZ6" s="187">
        <v>51</v>
      </c>
      <c r="BA6" s="21"/>
      <c r="BB6" s="77"/>
      <c r="BC6" s="42"/>
      <c r="BD6" s="28"/>
    </row>
    <row r="7" spans="1:72" ht="32" customHeight="1">
      <c r="A7" s="540"/>
      <c r="B7" s="566"/>
      <c r="C7" s="575"/>
      <c r="D7" s="576"/>
      <c r="E7" s="568"/>
      <c r="F7" s="568"/>
      <c r="G7" s="568"/>
      <c r="H7" s="579"/>
      <c r="I7" s="579"/>
      <c r="J7" s="790"/>
      <c r="K7" s="790"/>
      <c r="L7" s="790"/>
      <c r="M7" s="790"/>
      <c r="N7" s="582"/>
      <c r="O7" s="583"/>
      <c r="P7" s="582"/>
      <c r="Q7" s="579"/>
      <c r="R7" s="579"/>
      <c r="S7" s="579"/>
      <c r="T7" s="580"/>
      <c r="U7" s="580"/>
      <c r="V7" s="580"/>
      <c r="W7" s="580"/>
      <c r="X7" s="580"/>
      <c r="Y7" s="583"/>
      <c r="Z7" s="580"/>
      <c r="AA7" s="579"/>
      <c r="AB7" s="583"/>
      <c r="AC7" s="580"/>
      <c r="AD7" s="579"/>
      <c r="AE7" s="583"/>
      <c r="AF7" s="579"/>
      <c r="AG7" s="579"/>
      <c r="AH7" s="583"/>
      <c r="AI7" s="579"/>
      <c r="AJ7" s="579"/>
      <c r="AK7" s="584"/>
      <c r="AL7" s="579"/>
      <c r="AM7" s="579"/>
      <c r="AN7" s="579"/>
      <c r="AO7" s="579"/>
      <c r="AP7" s="579"/>
      <c r="AQ7" s="579"/>
      <c r="AR7" s="579"/>
      <c r="AS7" s="579"/>
      <c r="AT7" s="568"/>
      <c r="AU7" s="568"/>
      <c r="AV7" s="568"/>
      <c r="AW7" s="568"/>
      <c r="AX7" s="568"/>
      <c r="AY7" s="568"/>
      <c r="AZ7" s="569"/>
      <c r="BA7" s="569"/>
      <c r="BB7" s="551"/>
      <c r="BC7" s="552"/>
      <c r="BD7" s="538"/>
      <c r="BE7" s="596"/>
      <c r="BF7" s="596"/>
      <c r="BG7" s="596"/>
      <c r="BH7" s="598"/>
      <c r="BI7" s="596"/>
      <c r="BJ7" s="596"/>
      <c r="BK7" s="596"/>
      <c r="BL7" s="596"/>
      <c r="BM7" s="596"/>
      <c r="BN7" s="596"/>
      <c r="BO7" s="596"/>
      <c r="BP7" s="596"/>
      <c r="BQ7" s="596"/>
      <c r="BR7" s="596"/>
      <c r="BS7" s="596"/>
      <c r="BT7" s="596"/>
    </row>
    <row r="8" spans="1:72" ht="21" customHeight="1">
      <c r="A8" s="540"/>
      <c r="B8" s="589"/>
      <c r="C8" s="594" t="s">
        <v>359</v>
      </c>
      <c r="D8" s="590"/>
      <c r="E8" s="591"/>
      <c r="F8" s="591"/>
      <c r="G8" s="591"/>
      <c r="H8" s="585"/>
      <c r="I8" s="585"/>
      <c r="J8" s="789"/>
      <c r="K8" s="789"/>
      <c r="L8" s="789"/>
      <c r="M8" s="789"/>
      <c r="N8" s="588"/>
      <c r="O8" s="587"/>
      <c r="P8" s="588"/>
      <c r="Q8" s="585"/>
      <c r="R8" s="585"/>
      <c r="S8" s="585"/>
      <c r="T8" s="586"/>
      <c r="U8" s="586"/>
      <c r="V8" s="586"/>
      <c r="W8" s="586"/>
      <c r="X8" s="586"/>
      <c r="Y8" s="587"/>
      <c r="Z8" s="586"/>
      <c r="AA8" s="585"/>
      <c r="AB8" s="587"/>
      <c r="AC8" s="586"/>
      <c r="AD8" s="585"/>
      <c r="AE8" s="587"/>
      <c r="AF8" s="585"/>
      <c r="AG8" s="585"/>
      <c r="AH8" s="587"/>
      <c r="AI8" s="585"/>
      <c r="AJ8" s="585"/>
      <c r="AK8" s="592"/>
      <c r="AL8" s="585"/>
      <c r="AM8" s="585"/>
      <c r="AN8" s="585"/>
      <c r="AO8" s="585"/>
      <c r="AP8" s="585"/>
      <c r="AQ8" s="585"/>
      <c r="AR8" s="585"/>
      <c r="AS8" s="585"/>
      <c r="AT8" s="591"/>
      <c r="AU8" s="591"/>
      <c r="AV8" s="591"/>
      <c r="AW8" s="591"/>
      <c r="AX8" s="591"/>
      <c r="AY8" s="591"/>
      <c r="AZ8" s="593"/>
      <c r="BA8" s="569"/>
      <c r="BB8" s="551"/>
      <c r="BC8" s="552"/>
      <c r="BD8" s="538"/>
      <c r="BE8" s="576"/>
      <c r="BF8" s="786" t="s">
        <v>298</v>
      </c>
      <c r="BG8" s="787"/>
      <c r="BH8" s="788"/>
      <c r="BI8" s="596"/>
      <c r="BJ8" s="596"/>
      <c r="BK8" s="596"/>
      <c r="BL8" s="596"/>
      <c r="BM8" s="597"/>
      <c r="BN8" s="597"/>
      <c r="BO8" s="597"/>
      <c r="BP8" s="597"/>
      <c r="BQ8" s="597"/>
      <c r="BR8" s="597"/>
      <c r="BS8" s="596"/>
      <c r="BT8" s="596"/>
    </row>
    <row r="9" spans="1:72" ht="12.5" customHeight="1">
      <c r="A9" s="540"/>
      <c r="B9" s="566"/>
      <c r="C9" s="575"/>
      <c r="D9" s="576"/>
      <c r="E9" s="568"/>
      <c r="F9" s="568"/>
      <c r="G9" s="568"/>
      <c r="H9" s="579"/>
      <c r="I9" s="579"/>
      <c r="J9" s="579"/>
      <c r="K9" s="579"/>
      <c r="L9" s="579"/>
      <c r="M9" s="579"/>
      <c r="N9" s="579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81"/>
      <c r="AT9" s="577"/>
      <c r="AU9" s="577"/>
      <c r="AV9" s="577"/>
      <c r="AW9" s="577"/>
      <c r="AX9" s="577"/>
      <c r="AY9" s="577"/>
      <c r="AZ9" s="569"/>
      <c r="BA9" s="569"/>
      <c r="BB9" s="551"/>
      <c r="BC9" s="552"/>
      <c r="BD9" s="538"/>
      <c r="BE9" s="596"/>
      <c r="BF9" s="677" t="s">
        <v>385</v>
      </c>
      <c r="BG9" s="678"/>
      <c r="BH9" s="679"/>
      <c r="BI9" s="679"/>
      <c r="BJ9" s="679"/>
      <c r="BK9" s="679"/>
      <c r="BL9" s="679"/>
      <c r="BM9" s="680"/>
      <c r="BN9" s="680"/>
      <c r="BO9" s="680"/>
      <c r="BP9" s="680"/>
      <c r="BQ9" s="680"/>
      <c r="BR9" s="680"/>
      <c r="BS9" s="680"/>
      <c r="BT9" s="681"/>
    </row>
    <row r="10" spans="1:72" ht="24" customHeight="1">
      <c r="A10" s="540"/>
      <c r="B10" s="619"/>
      <c r="C10" s="559"/>
      <c r="D10" s="559"/>
      <c r="E10" s="559"/>
      <c r="F10" s="559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60"/>
      <c r="U10" s="560"/>
      <c r="V10" s="560"/>
      <c r="W10" s="653" t="s">
        <v>400</v>
      </c>
      <c r="X10" s="558"/>
      <c r="Y10" s="558"/>
      <c r="Z10" s="560"/>
      <c r="AA10" s="560"/>
      <c r="AB10" s="562"/>
      <c r="AC10" s="560"/>
      <c r="AD10" s="563"/>
      <c r="AE10" s="563"/>
      <c r="AF10" s="563"/>
      <c r="AG10" s="563"/>
      <c r="AH10" s="563"/>
      <c r="AI10" s="559"/>
      <c r="AJ10" s="560"/>
      <c r="AK10" s="560"/>
      <c r="AL10" s="560"/>
      <c r="AM10" s="560"/>
      <c r="AN10" s="564"/>
      <c r="AO10" s="561"/>
      <c r="AP10" s="561"/>
      <c r="AQ10" s="560"/>
      <c r="AR10" s="560"/>
      <c r="AS10" s="560"/>
      <c r="AT10" s="614"/>
      <c r="AU10" s="615"/>
      <c r="AV10" s="616"/>
      <c r="AW10" s="616"/>
      <c r="AX10" s="616"/>
      <c r="AY10" s="617"/>
      <c r="AZ10" s="618"/>
      <c r="BA10" s="543"/>
      <c r="BB10" s="536"/>
      <c r="BC10" s="537"/>
      <c r="BD10" s="538"/>
      <c r="BE10" s="576"/>
      <c r="BF10" s="682"/>
      <c r="BG10" s="576" t="s">
        <v>386</v>
      </c>
      <c r="BH10" s="576"/>
      <c r="BI10" s="576"/>
      <c r="BJ10" s="597"/>
      <c r="BK10" s="597"/>
      <c r="BL10" s="597"/>
      <c r="BM10" s="596"/>
      <c r="BN10" s="596"/>
      <c r="BO10" s="596"/>
      <c r="BP10" s="596"/>
      <c r="BQ10" s="596"/>
      <c r="BR10" s="596"/>
      <c r="BS10" s="596"/>
      <c r="BT10" s="683"/>
    </row>
    <row r="11" spans="1:72" ht="12" customHeight="1">
      <c r="A11" s="540"/>
      <c r="B11" s="548"/>
      <c r="C11" s="802" t="s">
        <v>399</v>
      </c>
      <c r="D11" s="803"/>
      <c r="E11" s="803"/>
      <c r="F11" s="803"/>
      <c r="G11" s="803"/>
      <c r="H11" s="803"/>
      <c r="I11" s="803"/>
      <c r="J11" s="544"/>
      <c r="K11" s="545"/>
      <c r="L11" s="544"/>
      <c r="M11" s="550"/>
      <c r="N11" s="550"/>
      <c r="O11" s="547"/>
      <c r="P11" s="550"/>
      <c r="Q11" s="547"/>
      <c r="R11" s="550"/>
      <c r="S11" s="539"/>
      <c r="T11" s="538"/>
      <c r="U11" s="538"/>
      <c r="V11" s="538"/>
      <c r="W11" s="538"/>
      <c r="X11" s="538"/>
      <c r="Y11" s="549"/>
      <c r="Z11" s="545"/>
      <c r="AA11" s="544"/>
      <c r="AB11" s="545"/>
      <c r="AC11" s="544"/>
      <c r="AD11" s="550"/>
      <c r="AE11" s="550"/>
      <c r="AF11" s="547"/>
      <c r="AG11" s="550"/>
      <c r="AH11" s="550"/>
      <c r="AI11" s="546"/>
      <c r="AJ11" s="550"/>
      <c r="AK11" s="547"/>
      <c r="AL11" s="538"/>
      <c r="AM11" s="538"/>
      <c r="AN11" s="538"/>
      <c r="AO11" s="538"/>
      <c r="AP11" s="538"/>
      <c r="AQ11" s="538"/>
      <c r="AR11" s="538"/>
      <c r="AS11" s="544"/>
      <c r="AT11" s="546"/>
      <c r="AU11" s="544"/>
      <c r="AV11" s="547"/>
      <c r="AW11" s="547"/>
      <c r="AX11" s="547"/>
      <c r="AY11" s="542"/>
      <c r="AZ11" s="543"/>
      <c r="BA11" s="543"/>
      <c r="BB11" s="536"/>
      <c r="BC11" s="537"/>
      <c r="BD11" s="538"/>
      <c r="BE11" s="596"/>
      <c r="BF11" s="684"/>
      <c r="BG11" s="576"/>
      <c r="BH11" s="576" t="s">
        <v>401</v>
      </c>
      <c r="BI11" s="685"/>
      <c r="BJ11" s="597"/>
      <c r="BK11" s="597"/>
      <c r="BL11" s="597"/>
      <c r="BM11" s="596"/>
      <c r="BN11" s="596"/>
      <c r="BO11" s="596"/>
      <c r="BP11" s="596"/>
      <c r="BQ11" s="596"/>
      <c r="BR11" s="596"/>
      <c r="BS11" s="596"/>
      <c r="BT11" s="683"/>
    </row>
    <row r="12" spans="1:72" ht="12.5" customHeight="1">
      <c r="A12" s="540"/>
      <c r="B12" s="541"/>
      <c r="C12" s="804"/>
      <c r="D12" s="804"/>
      <c r="E12" s="804"/>
      <c r="F12" s="804"/>
      <c r="G12" s="804"/>
      <c r="H12" s="804"/>
      <c r="I12" s="804"/>
      <c r="J12" s="544"/>
      <c r="K12" s="545"/>
      <c r="L12" s="544"/>
      <c r="M12" s="550"/>
      <c r="N12" s="550"/>
      <c r="O12" s="547"/>
      <c r="P12" s="550"/>
      <c r="Q12" s="547"/>
      <c r="R12" s="550"/>
      <c r="S12" s="539"/>
      <c r="T12" s="538"/>
      <c r="U12" s="538"/>
      <c r="V12" s="538"/>
      <c r="W12" s="538"/>
      <c r="X12" s="538"/>
      <c r="Y12" s="549"/>
      <c r="Z12" s="545"/>
      <c r="AA12" s="544"/>
      <c r="AB12" s="545"/>
      <c r="AC12" s="544"/>
      <c r="AD12" s="550"/>
      <c r="AE12" s="550"/>
      <c r="AF12" s="547"/>
      <c r="AG12" s="550"/>
      <c r="AH12" s="550"/>
      <c r="AI12" s="546"/>
      <c r="AJ12" s="550"/>
      <c r="AK12" s="547"/>
      <c r="AL12" s="538"/>
      <c r="AM12" s="538"/>
      <c r="AN12" s="538"/>
      <c r="AO12" s="538"/>
      <c r="AP12" s="538"/>
      <c r="AQ12" s="538"/>
      <c r="AR12" s="538"/>
      <c r="AS12" s="544"/>
      <c r="AT12" s="546"/>
      <c r="AU12" s="544"/>
      <c r="AV12" s="547"/>
      <c r="AW12" s="547"/>
      <c r="AX12" s="547"/>
      <c r="AY12" s="542"/>
      <c r="AZ12" s="543"/>
      <c r="BA12" s="543"/>
      <c r="BB12" s="536"/>
      <c r="BC12" s="537"/>
      <c r="BD12" s="538"/>
      <c r="BE12" s="596"/>
      <c r="BF12" s="684"/>
      <c r="BG12" s="576"/>
      <c r="BH12" s="576" t="s">
        <v>402</v>
      </c>
      <c r="BI12" s="685"/>
      <c r="BJ12" s="576"/>
      <c r="BK12" s="597"/>
      <c r="BL12" s="597"/>
      <c r="BM12" s="596"/>
      <c r="BN12" s="596"/>
      <c r="BO12" s="596"/>
      <c r="BP12" s="596"/>
      <c r="BQ12" s="596"/>
      <c r="BR12" s="596"/>
      <c r="BS12" s="596"/>
      <c r="BT12" s="683"/>
    </row>
    <row r="13" spans="1:72" ht="12.5" customHeight="1">
      <c r="A13" s="540"/>
      <c r="B13" s="566"/>
      <c r="C13" s="572"/>
      <c r="D13" s="568"/>
      <c r="E13" s="568"/>
      <c r="F13" s="565"/>
      <c r="G13" s="565"/>
      <c r="H13" s="579"/>
      <c r="I13" s="579"/>
      <c r="J13" s="579"/>
      <c r="K13" s="579"/>
      <c r="L13" s="579"/>
      <c r="M13" s="579"/>
      <c r="N13" s="579"/>
      <c r="O13" s="579"/>
      <c r="P13" s="579"/>
      <c r="Q13" s="579"/>
      <c r="R13" s="579"/>
      <c r="S13" s="579"/>
      <c r="T13" s="579"/>
      <c r="U13" s="579"/>
      <c r="V13" s="579"/>
      <c r="W13" s="579"/>
      <c r="X13" s="579"/>
      <c r="Y13" s="579"/>
      <c r="Z13" s="579"/>
      <c r="AA13" s="579"/>
      <c r="AB13" s="579"/>
      <c r="AC13" s="579"/>
      <c r="AD13" s="579"/>
      <c r="AE13" s="579"/>
      <c r="AF13" s="579"/>
      <c r="AG13" s="579"/>
      <c r="AH13" s="579"/>
      <c r="AI13" s="579"/>
      <c r="AJ13" s="579"/>
      <c r="AK13" s="579"/>
      <c r="AL13" s="579"/>
      <c r="AM13" s="579"/>
      <c r="AN13" s="579"/>
      <c r="AO13" s="579"/>
      <c r="AP13" s="579"/>
      <c r="AQ13" s="579"/>
      <c r="AR13" s="579"/>
      <c r="AS13" s="580"/>
      <c r="AT13" s="571"/>
      <c r="AU13" s="565"/>
      <c r="AV13" s="568"/>
      <c r="AW13" s="568"/>
      <c r="AX13" s="568"/>
      <c r="AY13" s="565"/>
      <c r="AZ13" s="569"/>
      <c r="BA13" s="569"/>
      <c r="BB13" s="536"/>
      <c r="BC13" s="537"/>
      <c r="BD13" s="538"/>
      <c r="BE13" s="596"/>
      <c r="BF13" s="686"/>
      <c r="BG13" s="596"/>
      <c r="BH13" s="598"/>
      <c r="BI13" s="596"/>
      <c r="BJ13" s="596"/>
      <c r="BK13" s="596"/>
      <c r="BL13" s="596"/>
      <c r="BM13" s="596"/>
      <c r="BN13" s="596"/>
      <c r="BO13" s="596"/>
      <c r="BP13" s="596"/>
      <c r="BQ13" s="596"/>
      <c r="BR13" s="596"/>
      <c r="BS13" s="596"/>
      <c r="BT13" s="683"/>
    </row>
    <row r="14" spans="1:72" ht="12.5" customHeight="1">
      <c r="A14" s="540"/>
      <c r="B14" s="566"/>
      <c r="C14" s="805" t="s">
        <v>418</v>
      </c>
      <c r="D14" s="806"/>
      <c r="E14" s="806"/>
      <c r="F14" s="806"/>
      <c r="G14" s="806"/>
      <c r="H14" s="806"/>
      <c r="I14" s="806"/>
      <c r="J14" s="806"/>
      <c r="K14" s="806"/>
      <c r="L14" s="806"/>
      <c r="M14" s="806"/>
      <c r="N14" s="806"/>
      <c r="O14" s="806"/>
      <c r="P14" s="806"/>
      <c r="Q14" s="806"/>
      <c r="R14" s="806"/>
      <c r="S14" s="806"/>
      <c r="T14" s="806"/>
      <c r="U14" s="806"/>
      <c r="V14" s="806"/>
      <c r="W14" s="806"/>
      <c r="X14" s="806"/>
      <c r="Y14" s="806"/>
      <c r="Z14" s="806"/>
      <c r="AA14" s="806"/>
      <c r="AB14" s="806"/>
      <c r="AC14" s="806"/>
      <c r="AD14" s="806"/>
      <c r="AE14" s="806"/>
      <c r="AF14" s="806"/>
      <c r="AG14" s="806"/>
      <c r="AH14" s="806"/>
      <c r="AI14" s="806"/>
      <c r="AJ14" s="806"/>
      <c r="AK14" s="806"/>
      <c r="AL14" s="806"/>
      <c r="AM14" s="806"/>
      <c r="AN14" s="806"/>
      <c r="AO14" s="806"/>
      <c r="AP14" s="806"/>
      <c r="AQ14" s="806"/>
      <c r="AR14" s="806"/>
      <c r="AS14" s="806"/>
      <c r="AT14" s="806"/>
      <c r="AU14" s="806"/>
      <c r="AV14" s="806"/>
      <c r="AW14" s="806"/>
      <c r="AX14" s="806"/>
      <c r="AY14" s="806"/>
      <c r="AZ14" s="569"/>
      <c r="BA14" s="569"/>
      <c r="BB14" s="536"/>
      <c r="BC14" s="537"/>
      <c r="BD14" s="538"/>
      <c r="BE14" s="598"/>
      <c r="BF14" s="684" t="s">
        <v>641</v>
      </c>
      <c r="BG14" s="596"/>
      <c r="BH14" s="596"/>
      <c r="BI14" s="596"/>
      <c r="BJ14" s="596"/>
      <c r="BK14" s="596"/>
      <c r="BL14" s="596"/>
      <c r="BM14" s="596"/>
      <c r="BN14" s="596"/>
      <c r="BO14" s="596"/>
      <c r="BP14" s="596"/>
      <c r="BQ14" s="596"/>
      <c r="BR14" s="596"/>
      <c r="BS14" s="596"/>
      <c r="BT14" s="683"/>
    </row>
    <row r="15" spans="1:72" ht="12.5" customHeight="1">
      <c r="A15" s="540"/>
      <c r="B15" s="566"/>
      <c r="C15" s="806"/>
      <c r="D15" s="806"/>
      <c r="E15" s="806"/>
      <c r="F15" s="806"/>
      <c r="G15" s="806"/>
      <c r="H15" s="806"/>
      <c r="I15" s="806"/>
      <c r="J15" s="806"/>
      <c r="K15" s="806"/>
      <c r="L15" s="806"/>
      <c r="M15" s="806"/>
      <c r="N15" s="806"/>
      <c r="O15" s="806"/>
      <c r="P15" s="806"/>
      <c r="Q15" s="806"/>
      <c r="R15" s="806"/>
      <c r="S15" s="806"/>
      <c r="T15" s="806"/>
      <c r="U15" s="806"/>
      <c r="V15" s="806"/>
      <c r="W15" s="806"/>
      <c r="X15" s="806"/>
      <c r="Y15" s="806"/>
      <c r="Z15" s="806"/>
      <c r="AA15" s="806"/>
      <c r="AB15" s="806"/>
      <c r="AC15" s="806"/>
      <c r="AD15" s="806"/>
      <c r="AE15" s="806"/>
      <c r="AF15" s="806"/>
      <c r="AG15" s="806"/>
      <c r="AH15" s="806"/>
      <c r="AI15" s="806"/>
      <c r="AJ15" s="806"/>
      <c r="AK15" s="806"/>
      <c r="AL15" s="806"/>
      <c r="AM15" s="806"/>
      <c r="AN15" s="806"/>
      <c r="AO15" s="806"/>
      <c r="AP15" s="806"/>
      <c r="AQ15" s="806"/>
      <c r="AR15" s="806"/>
      <c r="AS15" s="806"/>
      <c r="AT15" s="806"/>
      <c r="AU15" s="806"/>
      <c r="AV15" s="806"/>
      <c r="AW15" s="806"/>
      <c r="AX15" s="806"/>
      <c r="AY15" s="806"/>
      <c r="AZ15" s="569"/>
      <c r="BA15" s="569"/>
      <c r="BB15" s="536"/>
      <c r="BC15" s="537"/>
      <c r="BD15" s="538"/>
      <c r="BE15" s="596"/>
      <c r="BF15" s="686" t="s">
        <v>642</v>
      </c>
      <c r="BG15" s="576"/>
      <c r="BH15" s="576"/>
      <c r="BI15" s="596"/>
      <c r="BJ15" s="596"/>
      <c r="BK15" s="596"/>
      <c r="BL15" s="596"/>
      <c r="BM15" s="596"/>
      <c r="BN15" s="596"/>
      <c r="BO15" s="596"/>
      <c r="BP15" s="596"/>
      <c r="BQ15" s="596"/>
      <c r="BR15" s="596"/>
      <c r="BS15" s="596"/>
      <c r="BT15" s="683"/>
    </row>
    <row r="16" spans="1:72" ht="12.5" customHeight="1">
      <c r="A16" s="540"/>
      <c r="B16" s="566"/>
      <c r="C16" s="806"/>
      <c r="D16" s="806"/>
      <c r="E16" s="806"/>
      <c r="F16" s="806"/>
      <c r="G16" s="806"/>
      <c r="H16" s="806"/>
      <c r="I16" s="806"/>
      <c r="J16" s="806"/>
      <c r="K16" s="806"/>
      <c r="L16" s="806"/>
      <c r="M16" s="806"/>
      <c r="N16" s="806"/>
      <c r="O16" s="806"/>
      <c r="P16" s="806"/>
      <c r="Q16" s="806"/>
      <c r="R16" s="806"/>
      <c r="S16" s="806"/>
      <c r="T16" s="806"/>
      <c r="U16" s="806"/>
      <c r="V16" s="806"/>
      <c r="W16" s="806"/>
      <c r="X16" s="806"/>
      <c r="Y16" s="806"/>
      <c r="Z16" s="806"/>
      <c r="AA16" s="806"/>
      <c r="AB16" s="806"/>
      <c r="AC16" s="806"/>
      <c r="AD16" s="806"/>
      <c r="AE16" s="806"/>
      <c r="AF16" s="806"/>
      <c r="AG16" s="806"/>
      <c r="AH16" s="806"/>
      <c r="AI16" s="806"/>
      <c r="AJ16" s="806"/>
      <c r="AK16" s="806"/>
      <c r="AL16" s="806"/>
      <c r="AM16" s="806"/>
      <c r="AN16" s="806"/>
      <c r="AO16" s="806"/>
      <c r="AP16" s="806"/>
      <c r="AQ16" s="806"/>
      <c r="AR16" s="806"/>
      <c r="AS16" s="806"/>
      <c r="AT16" s="806"/>
      <c r="AU16" s="806"/>
      <c r="AV16" s="806"/>
      <c r="AW16" s="806"/>
      <c r="AX16" s="806"/>
      <c r="AY16" s="806"/>
      <c r="AZ16" s="569"/>
      <c r="BA16" s="569"/>
      <c r="BB16" s="536"/>
      <c r="BC16" s="537"/>
      <c r="BD16" s="538"/>
      <c r="BE16" s="596"/>
      <c r="BF16" s="686" t="s">
        <v>643</v>
      </c>
      <c r="BG16" s="576"/>
      <c r="BH16" s="576"/>
      <c r="BI16" s="596"/>
      <c r="BJ16" s="596"/>
      <c r="BK16" s="596"/>
      <c r="BL16" s="596"/>
      <c r="BM16" s="596"/>
      <c r="BN16" s="596"/>
      <c r="BO16" s="596"/>
      <c r="BP16" s="596"/>
      <c r="BQ16" s="596"/>
      <c r="BR16" s="596"/>
      <c r="BS16" s="596"/>
      <c r="BT16" s="683"/>
    </row>
    <row r="17" spans="1:72" ht="12.5" customHeight="1">
      <c r="A17" s="540"/>
      <c r="B17" s="566"/>
      <c r="C17" s="572"/>
      <c r="D17" s="568"/>
      <c r="E17" s="568"/>
      <c r="F17" s="565"/>
      <c r="G17" s="565"/>
      <c r="H17" s="579"/>
      <c r="I17" s="579"/>
      <c r="J17" s="579"/>
      <c r="K17" s="579"/>
      <c r="L17" s="579"/>
      <c r="M17" s="579"/>
      <c r="N17" s="579"/>
      <c r="O17" s="579"/>
      <c r="P17" s="579"/>
      <c r="Q17" s="579"/>
      <c r="R17" s="579"/>
      <c r="S17" s="579"/>
      <c r="T17" s="579"/>
      <c r="U17" s="579"/>
      <c r="V17" s="579"/>
      <c r="W17" s="579"/>
      <c r="X17" s="579"/>
      <c r="Y17" s="579"/>
      <c r="Z17" s="579"/>
      <c r="AA17" s="579"/>
      <c r="AB17" s="579"/>
      <c r="AC17" s="579"/>
      <c r="AD17" s="579"/>
      <c r="AE17" s="579"/>
      <c r="AF17" s="579"/>
      <c r="AG17" s="579"/>
      <c r="AH17" s="579"/>
      <c r="AI17" s="579"/>
      <c r="AJ17" s="579"/>
      <c r="AK17" s="579"/>
      <c r="AL17" s="579"/>
      <c r="AM17" s="579"/>
      <c r="AN17" s="579"/>
      <c r="AO17" s="579"/>
      <c r="AP17" s="579"/>
      <c r="AQ17" s="579"/>
      <c r="AR17" s="579"/>
      <c r="AS17" s="580"/>
      <c r="AT17" s="571"/>
      <c r="AU17" s="565"/>
      <c r="AV17" s="568"/>
      <c r="AW17" s="568"/>
      <c r="AX17" s="568"/>
      <c r="AY17" s="565"/>
      <c r="AZ17" s="569"/>
      <c r="BA17" s="569"/>
      <c r="BB17" s="536"/>
      <c r="BC17" s="537"/>
      <c r="BD17" s="538"/>
      <c r="BE17" s="596"/>
      <c r="BF17" s="687"/>
      <c r="BG17" s="688"/>
      <c r="BH17" s="688"/>
      <c r="BI17" s="689"/>
      <c r="BJ17" s="689"/>
      <c r="BK17" s="689"/>
      <c r="BL17" s="689"/>
      <c r="BM17" s="689"/>
      <c r="BN17" s="689"/>
      <c r="BO17" s="689"/>
      <c r="BP17" s="689"/>
      <c r="BQ17" s="689"/>
      <c r="BR17" s="689"/>
      <c r="BS17" s="689"/>
      <c r="BT17" s="690"/>
    </row>
    <row r="18" spans="1:72" ht="12.5" customHeight="1">
      <c r="A18" s="540"/>
      <c r="B18" s="566"/>
      <c r="C18" s="565"/>
      <c r="D18" s="568"/>
      <c r="E18" s="761" t="s">
        <v>405</v>
      </c>
      <c r="F18" s="762"/>
      <c r="G18" s="762"/>
      <c r="H18" s="762"/>
      <c r="I18" s="762"/>
      <c r="J18" s="762"/>
      <c r="K18" s="762"/>
      <c r="L18" s="762"/>
      <c r="M18" s="762"/>
      <c r="N18" s="762"/>
      <c r="O18" s="763"/>
      <c r="P18" s="761" t="s">
        <v>406</v>
      </c>
      <c r="Q18" s="762"/>
      <c r="R18" s="762"/>
      <c r="S18" s="762"/>
      <c r="T18" s="762"/>
      <c r="U18" s="762"/>
      <c r="V18" s="762"/>
      <c r="W18" s="762"/>
      <c r="X18" s="762"/>
      <c r="Y18" s="762"/>
      <c r="Z18" s="762"/>
      <c r="AA18" s="763"/>
      <c r="AB18" s="761" t="s">
        <v>407</v>
      </c>
      <c r="AC18" s="762"/>
      <c r="AD18" s="762"/>
      <c r="AE18" s="762"/>
      <c r="AF18" s="762"/>
      <c r="AG18" s="762"/>
      <c r="AH18" s="762"/>
      <c r="AI18" s="762"/>
      <c r="AJ18" s="762"/>
      <c r="AK18" s="762"/>
      <c r="AL18" s="762"/>
      <c r="AM18" s="762"/>
      <c r="AN18" s="762"/>
      <c r="AO18" s="762"/>
      <c r="AP18" s="762"/>
      <c r="AQ18" s="762"/>
      <c r="AR18" s="762"/>
      <c r="AS18" s="762"/>
      <c r="AT18" s="762"/>
      <c r="AU18" s="762"/>
      <c r="AV18" s="762"/>
      <c r="AW18" s="763"/>
      <c r="AX18" s="568"/>
      <c r="AY18" s="565"/>
      <c r="AZ18" s="569"/>
      <c r="BA18" s="569"/>
      <c r="BB18" s="536"/>
      <c r="BC18" s="537"/>
      <c r="BD18" s="538"/>
      <c r="BE18" s="596"/>
      <c r="BF18" s="596"/>
      <c r="BG18" s="596"/>
      <c r="BH18" s="596"/>
      <c r="BI18" s="596"/>
      <c r="BJ18" s="596"/>
      <c r="BK18" s="596"/>
      <c r="BL18" s="596"/>
      <c r="BM18" s="596"/>
      <c r="BN18" s="596"/>
      <c r="BO18" s="596"/>
      <c r="BP18" s="596"/>
      <c r="BQ18" s="596"/>
      <c r="BR18" s="596"/>
      <c r="BS18" s="596"/>
      <c r="BT18" s="596"/>
    </row>
    <row r="19" spans="1:72" ht="21" customHeight="1">
      <c r="A19" s="540"/>
      <c r="B19" s="566"/>
      <c r="C19" s="565"/>
      <c r="D19" s="565"/>
      <c r="E19" s="764" t="s">
        <v>408</v>
      </c>
      <c r="F19" s="765"/>
      <c r="G19" s="765"/>
      <c r="H19" s="765"/>
      <c r="I19" s="765"/>
      <c r="J19" s="765"/>
      <c r="K19" s="765"/>
      <c r="L19" s="765"/>
      <c r="M19" s="765"/>
      <c r="N19" s="765"/>
      <c r="O19" s="766"/>
      <c r="P19" s="764" t="s">
        <v>513</v>
      </c>
      <c r="Q19" s="765"/>
      <c r="R19" s="765"/>
      <c r="S19" s="765"/>
      <c r="T19" s="765"/>
      <c r="U19" s="765"/>
      <c r="V19" s="765"/>
      <c r="W19" s="765"/>
      <c r="X19" s="765"/>
      <c r="Y19" s="765"/>
      <c r="Z19" s="765"/>
      <c r="AA19" s="766"/>
      <c r="AB19" s="764" t="s">
        <v>409</v>
      </c>
      <c r="AC19" s="765"/>
      <c r="AD19" s="765"/>
      <c r="AE19" s="765"/>
      <c r="AF19" s="765"/>
      <c r="AG19" s="765"/>
      <c r="AH19" s="765"/>
      <c r="AI19" s="765"/>
      <c r="AJ19" s="765"/>
      <c r="AK19" s="765"/>
      <c r="AL19" s="765"/>
      <c r="AM19" s="765"/>
      <c r="AN19" s="765"/>
      <c r="AO19" s="765"/>
      <c r="AP19" s="765"/>
      <c r="AQ19" s="765"/>
      <c r="AR19" s="765"/>
      <c r="AS19" s="765"/>
      <c r="AT19" s="765"/>
      <c r="AU19" s="765"/>
      <c r="AV19" s="765"/>
      <c r="AW19" s="766"/>
      <c r="AX19" s="568"/>
      <c r="AY19" s="565"/>
      <c r="AZ19" s="569"/>
      <c r="BA19" s="569"/>
      <c r="BB19" s="536"/>
      <c r="BC19" s="537"/>
      <c r="BD19" s="538"/>
      <c r="BE19" s="596"/>
      <c r="BF19" s="596"/>
      <c r="BG19" s="596"/>
      <c r="BH19" s="596"/>
      <c r="BI19" s="596"/>
      <c r="BJ19" s="596"/>
      <c r="BK19" s="596"/>
      <c r="BL19" s="596"/>
      <c r="BM19" s="596"/>
      <c r="BN19" s="596"/>
      <c r="BO19" s="596"/>
      <c r="BP19" s="596"/>
      <c r="BQ19" s="596"/>
      <c r="BR19" s="596"/>
      <c r="BS19" s="596"/>
      <c r="BT19" s="596"/>
    </row>
    <row r="20" spans="1:72" ht="33.5" customHeight="1">
      <c r="A20" s="540"/>
      <c r="B20" s="566"/>
      <c r="C20" s="565"/>
      <c r="D20" s="565"/>
      <c r="E20" s="764" t="s">
        <v>381</v>
      </c>
      <c r="F20" s="765"/>
      <c r="G20" s="765"/>
      <c r="H20" s="765"/>
      <c r="I20" s="765"/>
      <c r="J20" s="765"/>
      <c r="K20" s="765"/>
      <c r="L20" s="765"/>
      <c r="M20" s="765"/>
      <c r="N20" s="765"/>
      <c r="O20" s="766"/>
      <c r="P20" s="767" t="s">
        <v>410</v>
      </c>
      <c r="Q20" s="768"/>
      <c r="R20" s="768"/>
      <c r="S20" s="768"/>
      <c r="T20" s="768"/>
      <c r="U20" s="768"/>
      <c r="V20" s="768"/>
      <c r="W20" s="768"/>
      <c r="X20" s="768"/>
      <c r="Y20" s="768"/>
      <c r="Z20" s="768"/>
      <c r="AA20" s="769"/>
      <c r="AB20" s="767" t="s">
        <v>411</v>
      </c>
      <c r="AC20" s="768"/>
      <c r="AD20" s="768"/>
      <c r="AE20" s="768"/>
      <c r="AF20" s="768"/>
      <c r="AG20" s="768"/>
      <c r="AH20" s="768"/>
      <c r="AI20" s="768"/>
      <c r="AJ20" s="768"/>
      <c r="AK20" s="768"/>
      <c r="AL20" s="768"/>
      <c r="AM20" s="768"/>
      <c r="AN20" s="768"/>
      <c r="AO20" s="768"/>
      <c r="AP20" s="768"/>
      <c r="AQ20" s="768"/>
      <c r="AR20" s="768"/>
      <c r="AS20" s="768"/>
      <c r="AT20" s="768"/>
      <c r="AU20" s="768"/>
      <c r="AV20" s="768"/>
      <c r="AW20" s="769"/>
      <c r="AX20" s="568"/>
      <c r="AY20" s="565"/>
      <c r="AZ20" s="569"/>
      <c r="BA20" s="569"/>
      <c r="BB20" s="536"/>
      <c r="BC20" s="537"/>
      <c r="BD20" s="538"/>
      <c r="BE20" s="596"/>
      <c r="BF20" s="596"/>
      <c r="BG20" s="596"/>
      <c r="BH20" s="596"/>
      <c r="BI20" s="596"/>
      <c r="BJ20" s="596"/>
      <c r="BK20" s="596"/>
      <c r="BL20" s="596"/>
      <c r="BM20" s="596"/>
      <c r="BN20" s="596"/>
      <c r="BO20" s="596"/>
      <c r="BP20" s="596"/>
      <c r="BQ20" s="596"/>
      <c r="BR20" s="596"/>
      <c r="BS20" s="596"/>
      <c r="BT20" s="596"/>
    </row>
    <row r="21" spans="1:72" ht="27.5" customHeight="1">
      <c r="A21" s="540"/>
      <c r="B21" s="566"/>
      <c r="C21" s="565"/>
      <c r="D21" s="565"/>
      <c r="E21" s="767" t="s">
        <v>412</v>
      </c>
      <c r="F21" s="768"/>
      <c r="G21" s="768"/>
      <c r="H21" s="768"/>
      <c r="I21" s="768"/>
      <c r="J21" s="768"/>
      <c r="K21" s="768"/>
      <c r="L21" s="768"/>
      <c r="M21" s="768"/>
      <c r="N21" s="768"/>
      <c r="O21" s="769"/>
      <c r="P21" s="764" t="s">
        <v>413</v>
      </c>
      <c r="Q21" s="765"/>
      <c r="R21" s="765"/>
      <c r="S21" s="765"/>
      <c r="T21" s="765"/>
      <c r="U21" s="765"/>
      <c r="V21" s="765"/>
      <c r="W21" s="765"/>
      <c r="X21" s="765"/>
      <c r="Y21" s="765"/>
      <c r="Z21" s="765"/>
      <c r="AA21" s="766"/>
      <c r="AB21" s="764" t="s">
        <v>414</v>
      </c>
      <c r="AC21" s="765"/>
      <c r="AD21" s="765"/>
      <c r="AE21" s="765"/>
      <c r="AF21" s="765"/>
      <c r="AG21" s="765"/>
      <c r="AH21" s="765"/>
      <c r="AI21" s="765"/>
      <c r="AJ21" s="765"/>
      <c r="AK21" s="765"/>
      <c r="AL21" s="765"/>
      <c r="AM21" s="765"/>
      <c r="AN21" s="765"/>
      <c r="AO21" s="765"/>
      <c r="AP21" s="765"/>
      <c r="AQ21" s="765"/>
      <c r="AR21" s="765"/>
      <c r="AS21" s="765"/>
      <c r="AT21" s="765"/>
      <c r="AU21" s="765"/>
      <c r="AV21" s="765"/>
      <c r="AW21" s="766"/>
      <c r="AX21" s="568"/>
      <c r="AY21" s="565"/>
      <c r="AZ21" s="569"/>
      <c r="BA21" s="569"/>
      <c r="BB21" s="536"/>
      <c r="BC21" s="537"/>
      <c r="BD21" s="538"/>
      <c r="BE21" s="596"/>
      <c r="BF21" s="596"/>
      <c r="BG21" s="596"/>
      <c r="BH21" s="596"/>
      <c r="BI21" s="596"/>
      <c r="BJ21" s="596"/>
      <c r="BK21" s="596"/>
      <c r="BL21" s="596"/>
      <c r="BM21" s="596"/>
      <c r="BN21" s="596"/>
      <c r="BO21" s="596"/>
      <c r="BP21" s="596"/>
      <c r="BQ21" s="596"/>
      <c r="BR21" s="596"/>
      <c r="BS21" s="596"/>
      <c r="BT21" s="596"/>
    </row>
    <row r="22" spans="1:72" ht="26" customHeight="1">
      <c r="A22" s="540"/>
      <c r="B22" s="566"/>
      <c r="C22" s="565"/>
      <c r="D22" s="565"/>
      <c r="E22" s="767" t="s">
        <v>415</v>
      </c>
      <c r="F22" s="768"/>
      <c r="G22" s="768"/>
      <c r="H22" s="768"/>
      <c r="I22" s="768"/>
      <c r="J22" s="768"/>
      <c r="K22" s="768"/>
      <c r="L22" s="768"/>
      <c r="M22" s="768"/>
      <c r="N22" s="768"/>
      <c r="O22" s="769"/>
      <c r="P22" s="764" t="s">
        <v>416</v>
      </c>
      <c r="Q22" s="765"/>
      <c r="R22" s="765"/>
      <c r="S22" s="765"/>
      <c r="T22" s="765"/>
      <c r="U22" s="765"/>
      <c r="V22" s="765"/>
      <c r="W22" s="765"/>
      <c r="X22" s="765"/>
      <c r="Y22" s="765"/>
      <c r="Z22" s="765"/>
      <c r="AA22" s="766"/>
      <c r="AB22" s="764" t="s">
        <v>417</v>
      </c>
      <c r="AC22" s="765"/>
      <c r="AD22" s="765"/>
      <c r="AE22" s="765"/>
      <c r="AF22" s="765"/>
      <c r="AG22" s="765"/>
      <c r="AH22" s="765"/>
      <c r="AI22" s="765"/>
      <c r="AJ22" s="765"/>
      <c r="AK22" s="765"/>
      <c r="AL22" s="765"/>
      <c r="AM22" s="765"/>
      <c r="AN22" s="765"/>
      <c r="AO22" s="765"/>
      <c r="AP22" s="765"/>
      <c r="AQ22" s="765"/>
      <c r="AR22" s="765"/>
      <c r="AS22" s="765"/>
      <c r="AT22" s="765"/>
      <c r="AU22" s="765"/>
      <c r="AV22" s="765"/>
      <c r="AW22" s="766"/>
      <c r="AX22" s="568"/>
      <c r="AY22" s="565"/>
      <c r="AZ22" s="569"/>
      <c r="BA22" s="569"/>
      <c r="BB22" s="536"/>
      <c r="BC22" s="537"/>
      <c r="BD22" s="538"/>
      <c r="BE22" s="596"/>
      <c r="BF22" s="596"/>
      <c r="BG22" s="596"/>
      <c r="BH22" s="596"/>
      <c r="BI22" s="596"/>
      <c r="BJ22" s="596"/>
      <c r="BK22" s="596"/>
      <c r="BL22" s="596"/>
      <c r="BM22" s="596"/>
      <c r="BN22" s="596"/>
      <c r="BO22" s="596"/>
      <c r="BP22" s="596"/>
      <c r="BQ22" s="596"/>
      <c r="BR22" s="596"/>
      <c r="BS22" s="596"/>
      <c r="BT22" s="596"/>
    </row>
    <row r="23" spans="1:72" ht="12.5" customHeight="1">
      <c r="A23" s="540"/>
      <c r="B23" s="566"/>
      <c r="C23" s="565"/>
      <c r="D23" s="565"/>
      <c r="E23" s="571"/>
      <c r="F23" s="567"/>
      <c r="G23" s="565"/>
      <c r="H23" s="579"/>
      <c r="I23" s="579"/>
      <c r="J23" s="579"/>
      <c r="K23" s="579"/>
      <c r="L23" s="579"/>
      <c r="M23" s="579"/>
      <c r="N23" s="579"/>
      <c r="O23" s="579"/>
      <c r="P23" s="579"/>
      <c r="Q23" s="579"/>
      <c r="R23" s="579"/>
      <c r="S23" s="579"/>
      <c r="T23" s="579"/>
      <c r="U23" s="579"/>
      <c r="V23" s="579"/>
      <c r="W23" s="579"/>
      <c r="X23" s="579"/>
      <c r="Y23" s="579"/>
      <c r="Z23" s="579"/>
      <c r="AA23" s="579"/>
      <c r="AB23" s="579"/>
      <c r="AC23" s="579"/>
      <c r="AD23" s="579"/>
      <c r="AE23" s="579"/>
      <c r="AF23" s="579"/>
      <c r="AG23" s="579"/>
      <c r="AH23" s="579"/>
      <c r="AI23" s="579"/>
      <c r="AJ23" s="579"/>
      <c r="AK23" s="579"/>
      <c r="AL23" s="579"/>
      <c r="AM23" s="579"/>
      <c r="AN23" s="579"/>
      <c r="AO23" s="579"/>
      <c r="AP23" s="579"/>
      <c r="AQ23" s="579"/>
      <c r="AR23" s="579"/>
      <c r="AS23" s="580"/>
      <c r="AT23" s="571"/>
      <c r="AU23" s="565"/>
      <c r="AV23" s="568"/>
      <c r="AW23" s="568"/>
      <c r="AX23" s="568"/>
      <c r="AY23" s="565"/>
      <c r="AZ23" s="569"/>
      <c r="BA23" s="569"/>
      <c r="BB23" s="536"/>
      <c r="BC23" s="537"/>
      <c r="BD23" s="538"/>
      <c r="BE23" s="596"/>
      <c r="BF23" s="596"/>
      <c r="BG23" s="596"/>
      <c r="BH23" s="596"/>
      <c r="BI23" s="596"/>
      <c r="BJ23" s="596"/>
      <c r="BK23" s="596"/>
      <c r="BL23" s="596"/>
      <c r="BM23" s="596"/>
      <c r="BN23" s="596"/>
      <c r="BO23" s="596"/>
      <c r="BP23" s="596"/>
      <c r="BQ23" s="596"/>
      <c r="BR23" s="596"/>
      <c r="BS23" s="596"/>
      <c r="BT23" s="596"/>
    </row>
    <row r="24" spans="1:72" ht="12.5" customHeight="1">
      <c r="A24" s="540"/>
      <c r="B24" s="566"/>
      <c r="C24" s="570"/>
      <c r="D24" s="565"/>
      <c r="E24" s="565"/>
      <c r="F24" s="565"/>
      <c r="G24" s="565"/>
      <c r="H24" s="579"/>
      <c r="I24" s="579"/>
      <c r="J24" s="579"/>
      <c r="K24" s="579"/>
      <c r="L24" s="579"/>
      <c r="M24" s="579"/>
      <c r="N24" s="579"/>
      <c r="O24" s="579"/>
      <c r="P24" s="579"/>
      <c r="Q24" s="579"/>
      <c r="R24" s="579"/>
      <c r="S24" s="579"/>
      <c r="T24" s="579"/>
      <c r="U24" s="579"/>
      <c r="V24" s="579"/>
      <c r="W24" s="579"/>
      <c r="X24" s="579"/>
      <c r="Y24" s="579"/>
      <c r="Z24" s="579"/>
      <c r="AA24" s="579"/>
      <c r="AB24" s="579"/>
      <c r="AC24" s="579"/>
      <c r="AD24" s="579"/>
      <c r="AE24" s="579"/>
      <c r="AF24" s="579"/>
      <c r="AG24" s="579"/>
      <c r="AH24" s="579"/>
      <c r="AI24" s="579"/>
      <c r="AJ24" s="579"/>
      <c r="AK24" s="579"/>
      <c r="AL24" s="579"/>
      <c r="AM24" s="579"/>
      <c r="AN24" s="579"/>
      <c r="AO24" s="579"/>
      <c r="AP24" s="579"/>
      <c r="AQ24" s="579"/>
      <c r="AR24" s="579"/>
      <c r="AS24" s="580"/>
      <c r="AT24" s="571"/>
      <c r="AU24" s="565"/>
      <c r="AV24" s="568"/>
      <c r="AW24" s="568"/>
      <c r="AX24" s="568"/>
      <c r="AY24" s="565"/>
      <c r="AZ24" s="569"/>
      <c r="BA24" s="569"/>
      <c r="BB24" s="536"/>
      <c r="BC24" s="537"/>
      <c r="BD24" s="538"/>
      <c r="BE24" s="596"/>
      <c r="BF24" s="596"/>
      <c r="BG24" s="596"/>
      <c r="BH24" s="598"/>
      <c r="BI24" s="596"/>
      <c r="BJ24" s="596"/>
      <c r="BK24" s="596"/>
      <c r="BL24" s="596"/>
      <c r="BM24" s="596"/>
      <c r="BN24" s="596"/>
      <c r="BO24" s="596"/>
      <c r="BP24" s="596"/>
      <c r="BQ24" s="596"/>
      <c r="BR24" s="596"/>
      <c r="BS24" s="596"/>
      <c r="BT24" s="596"/>
    </row>
    <row r="25" spans="1:72" ht="12.5" customHeight="1">
      <c r="A25" s="540"/>
      <c r="B25" s="566"/>
      <c r="C25" s="575"/>
      <c r="D25" s="576"/>
      <c r="E25" s="568"/>
      <c r="F25" s="568"/>
      <c r="G25" s="568"/>
      <c r="H25" s="579"/>
      <c r="I25" s="579"/>
      <c r="J25" s="579"/>
      <c r="K25" s="579"/>
      <c r="L25" s="579"/>
      <c r="M25" s="579"/>
      <c r="N25" s="579"/>
      <c r="O25" s="579"/>
      <c r="P25" s="579"/>
      <c r="Q25" s="579"/>
      <c r="R25" s="579"/>
      <c r="S25" s="579"/>
      <c r="T25" s="579"/>
      <c r="U25" s="579"/>
      <c r="V25" s="579"/>
      <c r="W25" s="579"/>
      <c r="X25" s="579"/>
      <c r="Y25" s="579"/>
      <c r="Z25" s="579"/>
      <c r="AA25" s="579"/>
      <c r="AB25" s="579"/>
      <c r="AC25" s="579"/>
      <c r="AD25" s="579"/>
      <c r="AE25" s="579"/>
      <c r="AF25" s="579"/>
      <c r="AG25" s="579"/>
      <c r="AH25" s="579"/>
      <c r="AI25" s="579"/>
      <c r="AJ25" s="579"/>
      <c r="AK25" s="579"/>
      <c r="AL25" s="579"/>
      <c r="AM25" s="579"/>
      <c r="AN25" s="579"/>
      <c r="AO25" s="579"/>
      <c r="AP25" s="579"/>
      <c r="AQ25" s="579"/>
      <c r="AR25" s="579"/>
      <c r="AS25" s="581"/>
      <c r="AT25" s="577"/>
      <c r="AU25" s="577"/>
      <c r="AV25" s="577"/>
      <c r="AW25" s="577"/>
      <c r="AX25" s="577"/>
      <c r="AY25" s="577"/>
      <c r="AZ25" s="569"/>
      <c r="BA25" s="569"/>
      <c r="BB25" s="551"/>
      <c r="BC25" s="552"/>
      <c r="BD25" s="538"/>
      <c r="BE25" s="596"/>
      <c r="BF25" s="596"/>
      <c r="BG25" s="596"/>
      <c r="BH25" s="598"/>
      <c r="BI25" s="596"/>
      <c r="BJ25" s="596"/>
      <c r="BK25" s="596"/>
      <c r="BL25" s="596"/>
      <c r="BM25" s="596"/>
      <c r="BN25" s="596"/>
      <c r="BO25" s="596"/>
      <c r="BP25" s="596"/>
      <c r="BQ25" s="596"/>
      <c r="BR25" s="596"/>
      <c r="BS25" s="596"/>
      <c r="BT25" s="596"/>
    </row>
    <row r="26" spans="1:72" ht="12.5" customHeight="1">
      <c r="A26" s="540"/>
      <c r="B26" s="566"/>
      <c r="C26" s="565"/>
      <c r="D26" s="565"/>
      <c r="E26" s="809" t="s">
        <v>387</v>
      </c>
      <c r="F26" s="809"/>
      <c r="G26" s="809"/>
      <c r="H26" s="809"/>
      <c r="I26" s="809"/>
      <c r="J26" s="809"/>
      <c r="K26" s="809"/>
      <c r="L26" s="809"/>
      <c r="M26" s="809"/>
      <c r="N26" s="809"/>
      <c r="O26" s="809"/>
      <c r="P26" s="809"/>
      <c r="Q26" s="809"/>
      <c r="R26" s="810">
        <v>123456</v>
      </c>
      <c r="S26" s="810"/>
      <c r="T26" s="810"/>
      <c r="U26" s="810"/>
      <c r="V26" s="810"/>
      <c r="W26" s="810"/>
      <c r="X26" s="810"/>
      <c r="Y26" s="810"/>
      <c r="Z26" s="810"/>
      <c r="AA26" s="810"/>
      <c r="AB26" s="810"/>
      <c r="AC26" s="810"/>
      <c r="AD26" s="810"/>
      <c r="AE26" s="810"/>
      <c r="AF26" s="810"/>
      <c r="AG26" s="810"/>
      <c r="AH26" s="810"/>
      <c r="AI26" s="810"/>
      <c r="AJ26" s="579"/>
      <c r="AK26" s="579"/>
      <c r="AL26" s="579"/>
      <c r="AM26" s="579"/>
      <c r="AN26" s="579"/>
      <c r="AO26" s="579"/>
      <c r="AP26" s="579"/>
      <c r="AQ26" s="579"/>
      <c r="AR26" s="579"/>
      <c r="AS26" s="580"/>
      <c r="AT26" s="571"/>
      <c r="AU26" s="565"/>
      <c r="AV26" s="568"/>
      <c r="AW26" s="568"/>
      <c r="AX26" s="568"/>
      <c r="AY26" s="565"/>
      <c r="AZ26" s="569"/>
      <c r="BA26" s="569"/>
      <c r="BB26" s="536"/>
      <c r="BC26" s="537"/>
      <c r="BD26" s="539"/>
      <c r="BE26" s="596"/>
      <c r="BF26" s="596"/>
      <c r="BG26" s="596"/>
      <c r="BH26" s="596"/>
      <c r="BI26" s="596"/>
      <c r="BJ26" s="596"/>
      <c r="BK26" s="596"/>
      <c r="BL26" s="596"/>
      <c r="BM26" s="596"/>
      <c r="BN26" s="596"/>
      <c r="BO26" s="596"/>
      <c r="BP26" s="596"/>
      <c r="BQ26" s="596"/>
      <c r="BR26" s="596"/>
      <c r="BS26" s="596"/>
      <c r="BT26" s="596"/>
    </row>
    <row r="27" spans="1:72" ht="12.5" customHeight="1">
      <c r="A27" s="540"/>
      <c r="B27" s="566"/>
      <c r="C27" s="575"/>
      <c r="D27" s="576"/>
      <c r="E27" s="809"/>
      <c r="F27" s="809"/>
      <c r="G27" s="809"/>
      <c r="H27" s="809"/>
      <c r="I27" s="809"/>
      <c r="J27" s="809"/>
      <c r="K27" s="809"/>
      <c r="L27" s="809"/>
      <c r="M27" s="809"/>
      <c r="N27" s="809"/>
      <c r="O27" s="809"/>
      <c r="P27" s="809"/>
      <c r="Q27" s="809"/>
      <c r="R27" s="810"/>
      <c r="S27" s="810"/>
      <c r="T27" s="810"/>
      <c r="U27" s="810"/>
      <c r="V27" s="810"/>
      <c r="W27" s="810"/>
      <c r="X27" s="810"/>
      <c r="Y27" s="810"/>
      <c r="Z27" s="810"/>
      <c r="AA27" s="810"/>
      <c r="AB27" s="810"/>
      <c r="AC27" s="810"/>
      <c r="AD27" s="810"/>
      <c r="AE27" s="810"/>
      <c r="AF27" s="810"/>
      <c r="AG27" s="810"/>
      <c r="AH27" s="810"/>
      <c r="AI27" s="810"/>
      <c r="AJ27" s="579"/>
      <c r="AK27" s="579"/>
      <c r="AL27" s="579"/>
      <c r="AM27" s="579"/>
      <c r="AN27" s="579"/>
      <c r="AO27" s="579"/>
      <c r="AP27" s="579"/>
      <c r="AQ27" s="579"/>
      <c r="AR27" s="579"/>
      <c r="AS27" s="579"/>
      <c r="AT27" s="573"/>
      <c r="AU27" s="568"/>
      <c r="AV27" s="568"/>
      <c r="AW27" s="568"/>
      <c r="AX27" s="568"/>
      <c r="AY27" s="568"/>
      <c r="AZ27" s="569"/>
      <c r="BA27" s="569"/>
      <c r="BB27" s="551"/>
      <c r="BC27" s="552"/>
      <c r="BD27" s="538"/>
      <c r="BE27" s="596"/>
      <c r="BF27" s="596"/>
      <c r="BG27" s="596"/>
      <c r="BH27" s="598"/>
      <c r="BI27" s="596"/>
      <c r="BJ27" s="596"/>
      <c r="BK27" s="596"/>
      <c r="BL27" s="596"/>
      <c r="BM27" s="596"/>
      <c r="BN27" s="596"/>
      <c r="BO27" s="596"/>
      <c r="BP27" s="596"/>
      <c r="BQ27" s="596"/>
      <c r="BR27" s="596"/>
      <c r="BS27" s="596"/>
      <c r="BT27" s="596"/>
    </row>
    <row r="28" spans="1:72" ht="12.5" customHeight="1">
      <c r="A28" s="540"/>
      <c r="B28" s="566"/>
      <c r="C28" s="575"/>
      <c r="D28" s="576"/>
      <c r="E28" s="809"/>
      <c r="F28" s="809"/>
      <c r="G28" s="809"/>
      <c r="H28" s="809"/>
      <c r="I28" s="809"/>
      <c r="J28" s="809"/>
      <c r="K28" s="809"/>
      <c r="L28" s="809"/>
      <c r="M28" s="809"/>
      <c r="N28" s="809"/>
      <c r="O28" s="809"/>
      <c r="P28" s="809"/>
      <c r="Q28" s="809"/>
      <c r="R28" s="810"/>
      <c r="S28" s="810"/>
      <c r="T28" s="810"/>
      <c r="U28" s="810"/>
      <c r="V28" s="810"/>
      <c r="W28" s="810"/>
      <c r="X28" s="810"/>
      <c r="Y28" s="810"/>
      <c r="Z28" s="810"/>
      <c r="AA28" s="810"/>
      <c r="AB28" s="810"/>
      <c r="AC28" s="810"/>
      <c r="AD28" s="810"/>
      <c r="AE28" s="810"/>
      <c r="AF28" s="810"/>
      <c r="AG28" s="810"/>
      <c r="AH28" s="810"/>
      <c r="AI28" s="810"/>
      <c r="AJ28" s="579"/>
      <c r="AK28" s="579"/>
      <c r="AL28" s="579"/>
      <c r="AM28" s="579"/>
      <c r="AN28" s="579"/>
      <c r="AO28" s="579"/>
      <c r="AP28" s="579"/>
      <c r="AQ28" s="579"/>
      <c r="AR28" s="579"/>
      <c r="AS28" s="579"/>
      <c r="AT28" s="573"/>
      <c r="AU28" s="568"/>
      <c r="AV28" s="568"/>
      <c r="AW28" s="568"/>
      <c r="AX28" s="568"/>
      <c r="AY28" s="568"/>
      <c r="AZ28" s="569"/>
      <c r="BA28" s="569"/>
      <c r="BB28" s="551"/>
      <c r="BC28" s="552"/>
      <c r="BD28" s="538"/>
      <c r="BE28" s="596"/>
      <c r="BF28" s="596"/>
      <c r="BG28" s="596"/>
      <c r="BH28" s="596"/>
      <c r="BI28" s="596"/>
      <c r="BJ28" s="596"/>
      <c r="BK28" s="596"/>
      <c r="BL28" s="596"/>
      <c r="BM28" s="596"/>
      <c r="BN28" s="596"/>
      <c r="BO28" s="596"/>
      <c r="BP28" s="596"/>
      <c r="BQ28" s="596"/>
      <c r="BR28" s="596"/>
      <c r="BS28" s="596"/>
      <c r="BT28" s="596"/>
    </row>
    <row r="29" spans="1:72" ht="12.5" customHeight="1">
      <c r="A29" s="540"/>
      <c r="B29" s="566"/>
      <c r="C29" s="575"/>
      <c r="D29" s="576"/>
      <c r="E29" s="809" t="s">
        <v>388</v>
      </c>
      <c r="F29" s="809"/>
      <c r="G29" s="809"/>
      <c r="H29" s="809"/>
      <c r="I29" s="809"/>
      <c r="J29" s="809"/>
      <c r="K29" s="809"/>
      <c r="L29" s="809"/>
      <c r="M29" s="809"/>
      <c r="N29" s="809"/>
      <c r="O29" s="809"/>
      <c r="P29" s="809"/>
      <c r="Q29" s="809"/>
      <c r="R29" s="810" t="s">
        <v>360</v>
      </c>
      <c r="S29" s="810"/>
      <c r="T29" s="810"/>
      <c r="U29" s="810"/>
      <c r="V29" s="810"/>
      <c r="W29" s="810"/>
      <c r="X29" s="810"/>
      <c r="Y29" s="810"/>
      <c r="Z29" s="810"/>
      <c r="AA29" s="810"/>
      <c r="AB29" s="810"/>
      <c r="AC29" s="810"/>
      <c r="AD29" s="810"/>
      <c r="AE29" s="810"/>
      <c r="AF29" s="810"/>
      <c r="AG29" s="810"/>
      <c r="AH29" s="810"/>
      <c r="AI29" s="810"/>
      <c r="AJ29" s="579"/>
      <c r="AK29" s="579"/>
      <c r="AL29" s="579"/>
      <c r="AM29" s="579"/>
      <c r="AN29" s="579"/>
      <c r="AO29" s="579"/>
      <c r="AP29" s="579"/>
      <c r="AQ29" s="579"/>
      <c r="AR29" s="579"/>
      <c r="AS29" s="581"/>
      <c r="AT29" s="577"/>
      <c r="AU29" s="577"/>
      <c r="AV29" s="577"/>
      <c r="AW29" s="577"/>
      <c r="AX29" s="577"/>
      <c r="AY29" s="577"/>
      <c r="AZ29" s="569"/>
      <c r="BA29" s="569"/>
      <c r="BB29" s="551"/>
      <c r="BC29" s="552"/>
      <c r="BD29" s="538"/>
      <c r="BE29" s="596"/>
      <c r="BF29" s="596"/>
      <c r="BG29" s="596"/>
      <c r="BH29" s="598"/>
      <c r="BI29" s="596"/>
      <c r="BJ29" s="596"/>
      <c r="BK29" s="596"/>
      <c r="BL29" s="596"/>
      <c r="BM29" s="596"/>
      <c r="BN29" s="596"/>
      <c r="BO29" s="596"/>
      <c r="BP29" s="596"/>
      <c r="BQ29" s="596"/>
      <c r="BR29" s="596"/>
      <c r="BS29" s="596"/>
      <c r="BT29" s="596"/>
    </row>
    <row r="30" spans="1:72" ht="12.5" customHeight="1">
      <c r="A30" s="540"/>
      <c r="B30" s="566"/>
      <c r="C30" s="565"/>
      <c r="D30" s="565"/>
      <c r="E30" s="809"/>
      <c r="F30" s="809"/>
      <c r="G30" s="809"/>
      <c r="H30" s="809"/>
      <c r="I30" s="809"/>
      <c r="J30" s="809"/>
      <c r="K30" s="809"/>
      <c r="L30" s="809"/>
      <c r="M30" s="809"/>
      <c r="N30" s="809"/>
      <c r="O30" s="809"/>
      <c r="P30" s="809"/>
      <c r="Q30" s="809"/>
      <c r="R30" s="810"/>
      <c r="S30" s="810"/>
      <c r="T30" s="810"/>
      <c r="U30" s="810"/>
      <c r="V30" s="810"/>
      <c r="W30" s="810"/>
      <c r="X30" s="810"/>
      <c r="Y30" s="810"/>
      <c r="Z30" s="810"/>
      <c r="AA30" s="810"/>
      <c r="AB30" s="810"/>
      <c r="AC30" s="810"/>
      <c r="AD30" s="810"/>
      <c r="AE30" s="810"/>
      <c r="AF30" s="810"/>
      <c r="AG30" s="810"/>
      <c r="AH30" s="810"/>
      <c r="AI30" s="810"/>
      <c r="AJ30" s="579"/>
      <c r="AK30" s="579"/>
      <c r="AL30" s="579"/>
      <c r="AM30" s="579"/>
      <c r="AN30" s="579"/>
      <c r="AO30" s="579"/>
      <c r="AP30" s="579"/>
      <c r="AQ30" s="579"/>
      <c r="AR30" s="579"/>
      <c r="AS30" s="580"/>
      <c r="AT30" s="571"/>
      <c r="AU30" s="565"/>
      <c r="AV30" s="568"/>
      <c r="AW30" s="568"/>
      <c r="AX30" s="568"/>
      <c r="AY30" s="565"/>
      <c r="AZ30" s="569"/>
      <c r="BA30" s="569"/>
      <c r="BB30" s="536"/>
      <c r="BC30" s="537"/>
      <c r="BD30" s="539"/>
      <c r="BE30" s="596"/>
      <c r="BF30" s="596"/>
      <c r="BG30" s="596"/>
      <c r="BH30" s="598"/>
      <c r="BI30" s="596"/>
      <c r="BJ30" s="596"/>
      <c r="BK30" s="596"/>
      <c r="BL30" s="596"/>
      <c r="BM30" s="596"/>
      <c r="BN30" s="596"/>
      <c r="BO30" s="596"/>
      <c r="BP30" s="596"/>
      <c r="BQ30" s="596"/>
      <c r="BR30" s="596"/>
      <c r="BS30" s="596"/>
      <c r="BT30" s="596"/>
    </row>
    <row r="31" spans="1:72" ht="12.5" customHeight="1">
      <c r="A31" s="540"/>
      <c r="B31" s="566"/>
      <c r="C31" s="575"/>
      <c r="D31" s="576"/>
      <c r="E31" s="568"/>
      <c r="F31" s="568"/>
      <c r="G31" s="568"/>
      <c r="H31" s="579"/>
      <c r="I31" s="579"/>
      <c r="J31" s="579"/>
      <c r="K31" s="579"/>
      <c r="L31" s="579"/>
      <c r="M31" s="579"/>
      <c r="N31" s="579"/>
      <c r="O31" s="579"/>
      <c r="P31" s="579"/>
      <c r="Q31" s="579"/>
      <c r="R31" s="579"/>
      <c r="S31" s="579"/>
      <c r="T31" s="579"/>
      <c r="U31" s="579"/>
      <c r="V31" s="579"/>
      <c r="W31" s="579"/>
      <c r="X31" s="579"/>
      <c r="Y31" s="579"/>
      <c r="Z31" s="579"/>
      <c r="AA31" s="579"/>
      <c r="AB31" s="579"/>
      <c r="AC31" s="579"/>
      <c r="AD31" s="579"/>
      <c r="AE31" s="579"/>
      <c r="AF31" s="579"/>
      <c r="AG31" s="579"/>
      <c r="AH31" s="579"/>
      <c r="AI31" s="579"/>
      <c r="AJ31" s="579"/>
      <c r="AK31" s="579"/>
      <c r="AL31" s="579"/>
      <c r="AM31" s="579"/>
      <c r="AN31" s="579"/>
      <c r="AO31" s="579"/>
      <c r="AP31" s="579"/>
      <c r="AQ31" s="579"/>
      <c r="AR31" s="579"/>
      <c r="AS31" s="579"/>
      <c r="AT31" s="573"/>
      <c r="AU31" s="568"/>
      <c r="AV31" s="568"/>
      <c r="AW31" s="568"/>
      <c r="AX31" s="568"/>
      <c r="AY31" s="568"/>
      <c r="AZ31" s="569"/>
      <c r="BA31" s="569"/>
      <c r="BB31" s="551"/>
      <c r="BC31" s="552"/>
      <c r="BD31" s="538"/>
      <c r="BE31" s="596"/>
      <c r="BF31" s="596"/>
      <c r="BG31" s="596"/>
      <c r="BH31" s="596"/>
      <c r="BI31" s="596"/>
      <c r="BJ31" s="596"/>
      <c r="BK31" s="596"/>
      <c r="BL31" s="596"/>
      <c r="BM31" s="596"/>
      <c r="BN31" s="596"/>
      <c r="BO31" s="596"/>
      <c r="BP31" s="596"/>
      <c r="BQ31" s="596"/>
      <c r="BR31" s="596"/>
      <c r="BS31" s="596"/>
      <c r="BT31" s="596"/>
    </row>
    <row r="32" spans="1:72" ht="12.5" customHeight="1">
      <c r="A32" s="540"/>
      <c r="B32" s="566"/>
      <c r="C32" s="575"/>
      <c r="D32" s="576"/>
      <c r="E32" s="568"/>
      <c r="F32" s="568"/>
      <c r="G32" s="568"/>
      <c r="H32" s="579"/>
      <c r="I32" s="579"/>
      <c r="J32" s="579"/>
      <c r="K32" s="579"/>
      <c r="L32" s="579"/>
      <c r="M32" s="579"/>
      <c r="N32" s="579"/>
      <c r="O32" s="579"/>
      <c r="P32" s="579"/>
      <c r="Q32" s="579"/>
      <c r="R32" s="579"/>
      <c r="S32" s="579"/>
      <c r="T32" s="579"/>
      <c r="U32" s="579"/>
      <c r="V32" s="579"/>
      <c r="W32" s="579"/>
      <c r="X32" s="579"/>
      <c r="Y32" s="579"/>
      <c r="Z32" s="579"/>
      <c r="AA32" s="579"/>
      <c r="AB32" s="579"/>
      <c r="AC32" s="579"/>
      <c r="AD32" s="579"/>
      <c r="AE32" s="579"/>
      <c r="AF32" s="579"/>
      <c r="AG32" s="579"/>
      <c r="AH32" s="579"/>
      <c r="AI32" s="579"/>
      <c r="AJ32" s="579"/>
      <c r="AK32" s="579"/>
      <c r="AL32" s="579"/>
      <c r="AM32" s="579"/>
      <c r="AN32" s="579"/>
      <c r="AO32" s="579"/>
      <c r="AP32" s="579"/>
      <c r="AQ32" s="579"/>
      <c r="AR32" s="579"/>
      <c r="AS32" s="581"/>
      <c r="AT32" s="577"/>
      <c r="AU32" s="577"/>
      <c r="AV32" s="577"/>
      <c r="AW32" s="577"/>
      <c r="AX32" s="577"/>
      <c r="AY32" s="577"/>
      <c r="AZ32" s="569"/>
      <c r="BA32" s="569"/>
      <c r="BB32" s="551"/>
      <c r="BC32" s="552"/>
      <c r="BD32" s="538"/>
      <c r="BE32" s="596"/>
      <c r="BF32" s="596"/>
      <c r="BG32" s="596"/>
      <c r="BH32" s="598"/>
      <c r="BI32" s="596"/>
      <c r="BJ32" s="596"/>
      <c r="BK32" s="596"/>
      <c r="BL32" s="596"/>
      <c r="BM32" s="596"/>
      <c r="BN32" s="596"/>
      <c r="BO32" s="596"/>
      <c r="BP32" s="596"/>
      <c r="BQ32" s="596"/>
      <c r="BR32" s="596"/>
      <c r="BS32" s="596"/>
      <c r="BT32" s="596"/>
    </row>
    <row r="33" spans="1:72" ht="17.5" customHeight="1">
      <c r="A33" s="540"/>
      <c r="B33" s="566"/>
      <c r="C33" s="565"/>
      <c r="D33" s="565"/>
      <c r="E33" s="800"/>
      <c r="F33" s="800"/>
      <c r="G33" s="807" t="s">
        <v>389</v>
      </c>
      <c r="H33" s="782"/>
      <c r="I33" s="782"/>
      <c r="J33" s="782" t="s">
        <v>361</v>
      </c>
      <c r="K33" s="782"/>
      <c r="L33" s="782"/>
      <c r="M33" s="807" t="s">
        <v>422</v>
      </c>
      <c r="N33" s="807"/>
      <c r="O33" s="807"/>
      <c r="P33" s="797" t="s">
        <v>423</v>
      </c>
      <c r="Q33" s="807"/>
      <c r="R33" s="807"/>
      <c r="S33" s="797" t="s">
        <v>424</v>
      </c>
      <c r="T33" s="782"/>
      <c r="U33" s="782"/>
      <c r="V33" s="798" t="s">
        <v>425</v>
      </c>
      <c r="W33" s="798"/>
      <c r="X33" s="798"/>
      <c r="Y33" s="798" t="s">
        <v>426</v>
      </c>
      <c r="Z33" s="798"/>
      <c r="AA33" s="798"/>
      <c r="AB33" s="798" t="s">
        <v>427</v>
      </c>
      <c r="AC33" s="798"/>
      <c r="AD33" s="798"/>
      <c r="AE33" s="795" t="s">
        <v>419</v>
      </c>
      <c r="AF33" s="795"/>
      <c r="AG33" s="795"/>
      <c r="AH33" s="795" t="s">
        <v>362</v>
      </c>
      <c r="AI33" s="795"/>
      <c r="AJ33" s="795"/>
      <c r="AK33" s="795" t="s">
        <v>420</v>
      </c>
      <c r="AL33" s="795"/>
      <c r="AM33" s="795"/>
      <c r="AN33" s="795" t="s">
        <v>428</v>
      </c>
      <c r="AO33" s="795"/>
      <c r="AP33" s="795"/>
      <c r="AQ33" s="579"/>
      <c r="AR33" s="579"/>
      <c r="AS33" s="580"/>
      <c r="AT33" s="571"/>
      <c r="AU33" s="565"/>
      <c r="AV33" s="568"/>
      <c r="AW33" s="568"/>
      <c r="AX33" s="568"/>
      <c r="AY33" s="565"/>
      <c r="AZ33" s="569"/>
      <c r="BA33" s="569"/>
      <c r="BB33" s="536"/>
      <c r="BC33" s="537"/>
      <c r="BD33" s="539"/>
      <c r="BE33" s="596"/>
      <c r="BF33" s="596"/>
      <c r="BG33" s="596"/>
      <c r="BH33" s="598"/>
      <c r="BI33" s="596"/>
      <c r="BJ33" s="596"/>
      <c r="BK33" s="596"/>
      <c r="BL33" s="596"/>
      <c r="BM33" s="596"/>
      <c r="BN33" s="596"/>
      <c r="BO33" s="596"/>
      <c r="BP33" s="596"/>
      <c r="BQ33" s="596"/>
      <c r="BR33" s="596"/>
      <c r="BS33" s="596"/>
      <c r="BT33" s="596"/>
    </row>
    <row r="34" spans="1:72" ht="17.5" customHeight="1">
      <c r="A34" s="540"/>
      <c r="B34" s="566"/>
      <c r="C34" s="575"/>
      <c r="D34" s="576"/>
      <c r="E34" s="801"/>
      <c r="F34" s="801"/>
      <c r="G34" s="808"/>
      <c r="H34" s="783"/>
      <c r="I34" s="783"/>
      <c r="J34" s="783"/>
      <c r="K34" s="783"/>
      <c r="L34" s="783"/>
      <c r="M34" s="808"/>
      <c r="N34" s="808"/>
      <c r="O34" s="808"/>
      <c r="P34" s="808"/>
      <c r="Q34" s="808"/>
      <c r="R34" s="808"/>
      <c r="S34" s="783"/>
      <c r="T34" s="783"/>
      <c r="U34" s="783"/>
      <c r="V34" s="799"/>
      <c r="W34" s="799"/>
      <c r="X34" s="799"/>
      <c r="Y34" s="799"/>
      <c r="Z34" s="799"/>
      <c r="AA34" s="799"/>
      <c r="AB34" s="799"/>
      <c r="AC34" s="799"/>
      <c r="AD34" s="799"/>
      <c r="AE34" s="796"/>
      <c r="AF34" s="796"/>
      <c r="AG34" s="796"/>
      <c r="AH34" s="796"/>
      <c r="AI34" s="796"/>
      <c r="AJ34" s="796"/>
      <c r="AK34" s="796"/>
      <c r="AL34" s="796"/>
      <c r="AM34" s="796"/>
      <c r="AN34" s="796"/>
      <c r="AO34" s="796"/>
      <c r="AP34" s="796"/>
      <c r="AQ34" s="579"/>
      <c r="AR34" s="579"/>
      <c r="AS34" s="579"/>
      <c r="AT34" s="573"/>
      <c r="AU34" s="568"/>
      <c r="AV34" s="568"/>
      <c r="AW34" s="568"/>
      <c r="AX34" s="568"/>
      <c r="AY34" s="568"/>
      <c r="AZ34" s="569"/>
      <c r="BA34" s="569"/>
      <c r="BB34" s="551"/>
      <c r="BC34" s="552"/>
      <c r="BD34" s="538"/>
      <c r="BE34" s="596"/>
      <c r="BF34" s="596"/>
      <c r="BG34" s="596"/>
      <c r="BH34" s="596"/>
      <c r="BI34" s="596"/>
      <c r="BJ34" s="596"/>
      <c r="BK34" s="596"/>
      <c r="BL34" s="596"/>
      <c r="BM34" s="596"/>
      <c r="BN34" s="596"/>
      <c r="BO34" s="596"/>
      <c r="BP34" s="596"/>
      <c r="BQ34" s="596"/>
      <c r="BR34" s="596"/>
      <c r="BS34" s="596"/>
      <c r="BT34" s="596"/>
    </row>
    <row r="35" spans="1:72" ht="17.5" customHeight="1">
      <c r="A35" s="540"/>
      <c r="B35" s="566"/>
      <c r="C35" s="575"/>
      <c r="D35" s="576"/>
      <c r="E35" s="801"/>
      <c r="F35" s="801"/>
      <c r="G35" s="783"/>
      <c r="H35" s="783"/>
      <c r="I35" s="783"/>
      <c r="J35" s="783"/>
      <c r="K35" s="783"/>
      <c r="L35" s="783"/>
      <c r="M35" s="808"/>
      <c r="N35" s="808"/>
      <c r="O35" s="808"/>
      <c r="P35" s="808"/>
      <c r="Q35" s="808"/>
      <c r="R35" s="808"/>
      <c r="S35" s="783"/>
      <c r="T35" s="783"/>
      <c r="U35" s="783"/>
      <c r="V35" s="799"/>
      <c r="W35" s="799"/>
      <c r="X35" s="799"/>
      <c r="Y35" s="799"/>
      <c r="Z35" s="799"/>
      <c r="AA35" s="799"/>
      <c r="AB35" s="799"/>
      <c r="AC35" s="799"/>
      <c r="AD35" s="799"/>
      <c r="AE35" s="796"/>
      <c r="AF35" s="796"/>
      <c r="AG35" s="796"/>
      <c r="AH35" s="796"/>
      <c r="AI35" s="796"/>
      <c r="AJ35" s="796"/>
      <c r="AK35" s="796"/>
      <c r="AL35" s="796"/>
      <c r="AM35" s="796"/>
      <c r="AN35" s="796"/>
      <c r="AO35" s="796"/>
      <c r="AP35" s="796"/>
      <c r="AQ35" s="579"/>
      <c r="AR35" s="579"/>
      <c r="AS35" s="579"/>
      <c r="AT35" s="573"/>
      <c r="AU35" s="568"/>
      <c r="AV35" s="568"/>
      <c r="AW35" s="568"/>
      <c r="AX35" s="568"/>
      <c r="AY35" s="568"/>
      <c r="AZ35" s="569"/>
      <c r="BA35" s="569"/>
      <c r="BB35" s="551"/>
      <c r="BC35" s="552"/>
      <c r="BD35" s="538"/>
      <c r="BE35" s="596"/>
      <c r="BF35" s="596"/>
      <c r="BG35" s="596"/>
      <c r="BH35" s="598"/>
      <c r="BI35" s="596"/>
      <c r="BJ35" s="596"/>
      <c r="BK35" s="596"/>
      <c r="BL35" s="596"/>
      <c r="BM35" s="596"/>
      <c r="BN35" s="596"/>
      <c r="BO35" s="596"/>
      <c r="BP35" s="596"/>
      <c r="BQ35" s="596"/>
      <c r="BR35" s="596"/>
      <c r="BS35" s="596"/>
      <c r="BT35" s="596"/>
    </row>
    <row r="36" spans="1:72" ht="12.5" customHeight="1">
      <c r="A36" s="540"/>
      <c r="B36" s="566"/>
      <c r="C36" s="575"/>
      <c r="D36" s="576"/>
      <c r="E36" s="770" t="s">
        <v>363</v>
      </c>
      <c r="F36" s="770"/>
      <c r="G36" s="772" t="s">
        <v>364</v>
      </c>
      <c r="H36" s="772"/>
      <c r="I36" s="772"/>
      <c r="J36" s="811" t="s">
        <v>369</v>
      </c>
      <c r="K36" s="772"/>
      <c r="L36" s="772"/>
      <c r="M36" s="811" t="s">
        <v>393</v>
      </c>
      <c r="N36" s="772"/>
      <c r="O36" s="772"/>
      <c r="P36" s="811" t="s">
        <v>390</v>
      </c>
      <c r="Q36" s="772"/>
      <c r="R36" s="772"/>
      <c r="S36" s="771" t="s">
        <v>375</v>
      </c>
      <c r="T36" s="772"/>
      <c r="U36" s="772"/>
      <c r="V36" s="773" t="s">
        <v>379</v>
      </c>
      <c r="W36" s="774"/>
      <c r="X36" s="775"/>
      <c r="Y36" s="773" t="s">
        <v>379</v>
      </c>
      <c r="Z36" s="774"/>
      <c r="AA36" s="775"/>
      <c r="AB36" s="773" t="s">
        <v>379</v>
      </c>
      <c r="AC36" s="774"/>
      <c r="AD36" s="775"/>
      <c r="AE36" s="773" t="s">
        <v>379</v>
      </c>
      <c r="AF36" s="774"/>
      <c r="AG36" s="775"/>
      <c r="AH36" s="773" t="s">
        <v>379</v>
      </c>
      <c r="AI36" s="774"/>
      <c r="AJ36" s="775"/>
      <c r="AK36" s="773" t="s">
        <v>379</v>
      </c>
      <c r="AL36" s="774"/>
      <c r="AM36" s="775"/>
      <c r="AN36" s="773" t="s">
        <v>379</v>
      </c>
      <c r="AO36" s="774"/>
      <c r="AP36" s="775"/>
      <c r="AQ36" s="579"/>
      <c r="AR36" s="579"/>
      <c r="AS36" s="581"/>
      <c r="AT36" s="577"/>
      <c r="AU36" s="577"/>
      <c r="AV36" s="577"/>
      <c r="AW36" s="577"/>
      <c r="AX36" s="577"/>
      <c r="AY36" s="577"/>
      <c r="AZ36" s="569"/>
      <c r="BA36" s="569"/>
      <c r="BB36" s="551"/>
      <c r="BC36" s="552"/>
      <c r="BD36" s="538"/>
      <c r="BE36" s="596"/>
      <c r="BF36" s="596"/>
      <c r="BG36" s="596"/>
      <c r="BH36" s="598"/>
      <c r="BI36" s="596"/>
      <c r="BJ36" s="596"/>
      <c r="BK36" s="596"/>
      <c r="BL36" s="596"/>
      <c r="BM36" s="596"/>
      <c r="BN36" s="596"/>
      <c r="BO36" s="596"/>
      <c r="BP36" s="596"/>
      <c r="BQ36" s="596"/>
      <c r="BR36" s="596"/>
      <c r="BS36" s="596"/>
      <c r="BT36" s="596"/>
    </row>
    <row r="37" spans="1:72" ht="12.5" customHeight="1">
      <c r="A37" s="540"/>
      <c r="B37" s="566"/>
      <c r="C37" s="565"/>
      <c r="D37" s="565"/>
      <c r="E37" s="770"/>
      <c r="F37" s="770"/>
      <c r="G37" s="772"/>
      <c r="H37" s="772"/>
      <c r="I37" s="772"/>
      <c r="J37" s="811"/>
      <c r="K37" s="772"/>
      <c r="L37" s="772"/>
      <c r="M37" s="772"/>
      <c r="N37" s="772"/>
      <c r="O37" s="772"/>
      <c r="P37" s="811"/>
      <c r="Q37" s="772"/>
      <c r="R37" s="772"/>
      <c r="S37" s="771"/>
      <c r="T37" s="772"/>
      <c r="U37" s="772"/>
      <c r="V37" s="776"/>
      <c r="W37" s="777"/>
      <c r="X37" s="778"/>
      <c r="Y37" s="776"/>
      <c r="Z37" s="777"/>
      <c r="AA37" s="778"/>
      <c r="AB37" s="776"/>
      <c r="AC37" s="777"/>
      <c r="AD37" s="778"/>
      <c r="AE37" s="776"/>
      <c r="AF37" s="777"/>
      <c r="AG37" s="778"/>
      <c r="AH37" s="776"/>
      <c r="AI37" s="777"/>
      <c r="AJ37" s="778"/>
      <c r="AK37" s="776"/>
      <c r="AL37" s="777"/>
      <c r="AM37" s="778"/>
      <c r="AN37" s="776"/>
      <c r="AO37" s="777"/>
      <c r="AP37" s="778"/>
      <c r="AQ37" s="579"/>
      <c r="AR37" s="579"/>
      <c r="AS37" s="580"/>
      <c r="AT37" s="571"/>
      <c r="AU37" s="565"/>
      <c r="AV37" s="568"/>
      <c r="AW37" s="568"/>
      <c r="AX37" s="568"/>
      <c r="AY37" s="565"/>
      <c r="AZ37" s="569"/>
      <c r="BA37" s="569"/>
      <c r="BB37" s="536"/>
      <c r="BC37" s="537"/>
      <c r="BD37" s="539"/>
      <c r="BE37" s="596"/>
      <c r="BF37" s="596"/>
      <c r="BG37" s="596"/>
      <c r="BH37" s="596"/>
      <c r="BI37" s="596"/>
      <c r="BJ37" s="596"/>
      <c r="BK37" s="596"/>
      <c r="BL37" s="596"/>
      <c r="BM37" s="596"/>
      <c r="BN37" s="596"/>
      <c r="BO37" s="596"/>
      <c r="BP37" s="596"/>
      <c r="BQ37" s="596"/>
      <c r="BR37" s="596"/>
      <c r="BS37" s="596"/>
      <c r="BT37" s="596"/>
    </row>
    <row r="38" spans="1:72" ht="12.5" customHeight="1">
      <c r="A38" s="540"/>
      <c r="B38" s="566"/>
      <c r="C38" s="565"/>
      <c r="D38" s="565"/>
      <c r="E38" s="770"/>
      <c r="F38" s="770"/>
      <c r="G38" s="772"/>
      <c r="H38" s="772"/>
      <c r="I38" s="772"/>
      <c r="J38" s="772"/>
      <c r="K38" s="772"/>
      <c r="L38" s="772"/>
      <c r="M38" s="772"/>
      <c r="N38" s="772"/>
      <c r="O38" s="772"/>
      <c r="P38" s="772"/>
      <c r="Q38" s="772"/>
      <c r="R38" s="772"/>
      <c r="S38" s="772"/>
      <c r="T38" s="772"/>
      <c r="U38" s="772"/>
      <c r="V38" s="779"/>
      <c r="W38" s="780"/>
      <c r="X38" s="781"/>
      <c r="Y38" s="779"/>
      <c r="Z38" s="780"/>
      <c r="AA38" s="781"/>
      <c r="AB38" s="779"/>
      <c r="AC38" s="780"/>
      <c r="AD38" s="781"/>
      <c r="AE38" s="779"/>
      <c r="AF38" s="780"/>
      <c r="AG38" s="781"/>
      <c r="AH38" s="779"/>
      <c r="AI38" s="780"/>
      <c r="AJ38" s="781"/>
      <c r="AK38" s="779"/>
      <c r="AL38" s="780"/>
      <c r="AM38" s="781"/>
      <c r="AN38" s="779"/>
      <c r="AO38" s="780"/>
      <c r="AP38" s="781"/>
      <c r="AQ38" s="579"/>
      <c r="AR38" s="579"/>
      <c r="AS38" s="580"/>
      <c r="AT38" s="571"/>
      <c r="AU38" s="565"/>
      <c r="AV38" s="568"/>
      <c r="AW38" s="568"/>
      <c r="AX38" s="568"/>
      <c r="AY38" s="565"/>
      <c r="AZ38" s="569"/>
      <c r="BA38" s="569"/>
      <c r="BB38" s="536"/>
      <c r="BC38" s="537"/>
      <c r="BD38" s="539"/>
      <c r="BE38" s="596"/>
      <c r="BF38" s="596"/>
      <c r="BG38" s="596"/>
      <c r="BH38" s="598"/>
      <c r="BI38" s="596"/>
      <c r="BJ38" s="596"/>
      <c r="BK38" s="596"/>
      <c r="BL38" s="596"/>
      <c r="BM38" s="596"/>
      <c r="BN38" s="596"/>
      <c r="BO38" s="596"/>
      <c r="BP38" s="596"/>
      <c r="BQ38" s="596"/>
      <c r="BR38" s="596"/>
      <c r="BS38" s="596"/>
      <c r="BT38" s="596"/>
    </row>
    <row r="39" spans="1:72" ht="12.5" customHeight="1">
      <c r="A39" s="540"/>
      <c r="B39" s="566"/>
      <c r="C39" s="575"/>
      <c r="D39" s="576"/>
      <c r="E39" s="770"/>
      <c r="F39" s="770"/>
      <c r="G39" s="772" t="s">
        <v>364</v>
      </c>
      <c r="H39" s="772"/>
      <c r="I39" s="772"/>
      <c r="J39" s="811" t="s">
        <v>369</v>
      </c>
      <c r="K39" s="772"/>
      <c r="L39" s="772"/>
      <c r="M39" s="811" t="s">
        <v>393</v>
      </c>
      <c r="N39" s="772"/>
      <c r="O39" s="772"/>
      <c r="P39" s="811" t="s">
        <v>390</v>
      </c>
      <c r="Q39" s="772"/>
      <c r="R39" s="772"/>
      <c r="S39" s="771" t="s">
        <v>375</v>
      </c>
      <c r="T39" s="772"/>
      <c r="U39" s="772"/>
      <c r="V39" s="773" t="s">
        <v>379</v>
      </c>
      <c r="W39" s="774"/>
      <c r="X39" s="775"/>
      <c r="Y39" s="773" t="s">
        <v>379</v>
      </c>
      <c r="Z39" s="774"/>
      <c r="AA39" s="775"/>
      <c r="AB39" s="773" t="s">
        <v>379</v>
      </c>
      <c r="AC39" s="774"/>
      <c r="AD39" s="775"/>
      <c r="AE39" s="773" t="s">
        <v>379</v>
      </c>
      <c r="AF39" s="774"/>
      <c r="AG39" s="775"/>
      <c r="AH39" s="773" t="s">
        <v>379</v>
      </c>
      <c r="AI39" s="774"/>
      <c r="AJ39" s="775"/>
      <c r="AK39" s="773" t="s">
        <v>379</v>
      </c>
      <c r="AL39" s="774"/>
      <c r="AM39" s="775"/>
      <c r="AN39" s="773" t="s">
        <v>379</v>
      </c>
      <c r="AO39" s="774"/>
      <c r="AP39" s="775"/>
      <c r="AQ39" s="579"/>
      <c r="AR39" s="579"/>
      <c r="AS39" s="579"/>
      <c r="AT39" s="573"/>
      <c r="AU39" s="568"/>
      <c r="AV39" s="568"/>
      <c r="AW39" s="568"/>
      <c r="AX39" s="568"/>
      <c r="AY39" s="568"/>
      <c r="AZ39" s="569"/>
      <c r="BA39" s="569"/>
      <c r="BB39" s="551"/>
      <c r="BC39" s="552"/>
      <c r="BD39" s="538"/>
      <c r="BE39" s="596"/>
      <c r="BF39" s="596"/>
      <c r="BG39" s="596"/>
      <c r="BH39" s="598"/>
      <c r="BI39" s="596"/>
      <c r="BJ39" s="596"/>
      <c r="BK39" s="596"/>
      <c r="BL39" s="596"/>
      <c r="BM39" s="596"/>
      <c r="BN39" s="596"/>
      <c r="BO39" s="596"/>
      <c r="BP39" s="596"/>
      <c r="BQ39" s="596"/>
      <c r="BR39" s="596"/>
      <c r="BS39" s="596"/>
      <c r="BT39" s="596"/>
    </row>
    <row r="40" spans="1:72" ht="12.5" customHeight="1">
      <c r="A40" s="540"/>
      <c r="B40" s="566"/>
      <c r="C40" s="575"/>
      <c r="D40" s="576"/>
      <c r="E40" s="770"/>
      <c r="F40" s="770"/>
      <c r="G40" s="772"/>
      <c r="H40" s="772"/>
      <c r="I40" s="772"/>
      <c r="J40" s="811"/>
      <c r="K40" s="772"/>
      <c r="L40" s="772"/>
      <c r="M40" s="772"/>
      <c r="N40" s="772"/>
      <c r="O40" s="772"/>
      <c r="P40" s="811"/>
      <c r="Q40" s="772"/>
      <c r="R40" s="772"/>
      <c r="S40" s="771"/>
      <c r="T40" s="772"/>
      <c r="U40" s="772"/>
      <c r="V40" s="776"/>
      <c r="W40" s="777"/>
      <c r="X40" s="778"/>
      <c r="Y40" s="776"/>
      <c r="Z40" s="777"/>
      <c r="AA40" s="778"/>
      <c r="AB40" s="776"/>
      <c r="AC40" s="777"/>
      <c r="AD40" s="778"/>
      <c r="AE40" s="776"/>
      <c r="AF40" s="777"/>
      <c r="AG40" s="778"/>
      <c r="AH40" s="776"/>
      <c r="AI40" s="777"/>
      <c r="AJ40" s="778"/>
      <c r="AK40" s="776"/>
      <c r="AL40" s="777"/>
      <c r="AM40" s="778"/>
      <c r="AN40" s="776"/>
      <c r="AO40" s="777"/>
      <c r="AP40" s="778"/>
      <c r="AQ40" s="579"/>
      <c r="AR40" s="579"/>
      <c r="AS40" s="581"/>
      <c r="AT40" s="577"/>
      <c r="AU40" s="577"/>
      <c r="AV40" s="577"/>
      <c r="AW40" s="577"/>
      <c r="AX40" s="577"/>
      <c r="AY40" s="577"/>
      <c r="AZ40" s="569"/>
      <c r="BA40" s="569"/>
      <c r="BB40" s="551"/>
      <c r="BC40" s="552"/>
      <c r="BD40" s="538"/>
      <c r="BE40" s="596"/>
      <c r="BF40" s="596"/>
      <c r="BG40" s="596"/>
      <c r="BH40" s="598"/>
      <c r="BI40" s="596"/>
      <c r="BJ40" s="596"/>
      <c r="BK40" s="596"/>
      <c r="BL40" s="596"/>
      <c r="BM40" s="596"/>
      <c r="BN40" s="596"/>
      <c r="BO40" s="596"/>
      <c r="BP40" s="596"/>
      <c r="BQ40" s="596"/>
      <c r="BR40" s="596"/>
      <c r="BS40" s="596"/>
      <c r="BT40" s="596"/>
    </row>
    <row r="41" spans="1:72" ht="12.5" customHeight="1">
      <c r="A41" s="540"/>
      <c r="B41" s="566"/>
      <c r="C41" s="575"/>
      <c r="D41" s="576"/>
      <c r="E41" s="770"/>
      <c r="F41" s="770"/>
      <c r="G41" s="772"/>
      <c r="H41" s="772"/>
      <c r="I41" s="772"/>
      <c r="J41" s="772"/>
      <c r="K41" s="772"/>
      <c r="L41" s="772"/>
      <c r="M41" s="772"/>
      <c r="N41" s="772"/>
      <c r="O41" s="772"/>
      <c r="P41" s="772"/>
      <c r="Q41" s="772"/>
      <c r="R41" s="772"/>
      <c r="S41" s="772"/>
      <c r="T41" s="772"/>
      <c r="U41" s="772"/>
      <c r="V41" s="779"/>
      <c r="W41" s="780"/>
      <c r="X41" s="781"/>
      <c r="Y41" s="779"/>
      <c r="Z41" s="780"/>
      <c r="AA41" s="781"/>
      <c r="AB41" s="779"/>
      <c r="AC41" s="780"/>
      <c r="AD41" s="781"/>
      <c r="AE41" s="779"/>
      <c r="AF41" s="780"/>
      <c r="AG41" s="781"/>
      <c r="AH41" s="779"/>
      <c r="AI41" s="780"/>
      <c r="AJ41" s="781"/>
      <c r="AK41" s="779"/>
      <c r="AL41" s="780"/>
      <c r="AM41" s="781"/>
      <c r="AN41" s="779"/>
      <c r="AO41" s="780"/>
      <c r="AP41" s="781"/>
      <c r="AQ41" s="579"/>
      <c r="AR41" s="579"/>
      <c r="AS41" s="581"/>
      <c r="AT41" s="577"/>
      <c r="AU41" s="577"/>
      <c r="AV41" s="577"/>
      <c r="AW41" s="577"/>
      <c r="AX41" s="577"/>
      <c r="AY41" s="577"/>
      <c r="AZ41" s="569"/>
      <c r="BA41" s="569"/>
      <c r="BB41" s="551"/>
      <c r="BC41" s="552"/>
      <c r="BD41" s="538"/>
      <c r="BE41" s="596"/>
      <c r="BF41" s="596"/>
      <c r="BG41" s="596"/>
      <c r="BH41" s="596"/>
      <c r="BI41" s="596"/>
      <c r="BJ41" s="596"/>
      <c r="BK41" s="596"/>
      <c r="BL41" s="596"/>
      <c r="BM41" s="596"/>
      <c r="BN41" s="596"/>
      <c r="BO41" s="596"/>
      <c r="BP41" s="596"/>
      <c r="BQ41" s="596"/>
      <c r="BR41" s="596"/>
      <c r="BS41" s="596"/>
      <c r="BT41" s="596"/>
    </row>
    <row r="42" spans="1:72" ht="12.5" customHeight="1">
      <c r="A42" s="540"/>
      <c r="B42" s="566"/>
      <c r="C42" s="575"/>
      <c r="D42" s="576"/>
      <c r="E42" s="770" t="s">
        <v>363</v>
      </c>
      <c r="F42" s="770"/>
      <c r="G42" s="772" t="s">
        <v>365</v>
      </c>
      <c r="H42" s="772"/>
      <c r="I42" s="772"/>
      <c r="J42" s="811" t="s">
        <v>370</v>
      </c>
      <c r="K42" s="772"/>
      <c r="L42" s="772"/>
      <c r="M42" s="811" t="s">
        <v>392</v>
      </c>
      <c r="N42" s="772"/>
      <c r="O42" s="772"/>
      <c r="P42" s="811" t="s">
        <v>390</v>
      </c>
      <c r="Q42" s="772"/>
      <c r="R42" s="772"/>
      <c r="S42" s="771" t="s">
        <v>376</v>
      </c>
      <c r="T42" s="772"/>
      <c r="U42" s="772"/>
      <c r="V42" s="811" t="s">
        <v>380</v>
      </c>
      <c r="W42" s="772"/>
      <c r="X42" s="772"/>
      <c r="Y42" s="811" t="s">
        <v>380</v>
      </c>
      <c r="Z42" s="772"/>
      <c r="AA42" s="772"/>
      <c r="AB42" s="773" t="s">
        <v>379</v>
      </c>
      <c r="AC42" s="774"/>
      <c r="AD42" s="775"/>
      <c r="AE42" s="773" t="s">
        <v>379</v>
      </c>
      <c r="AF42" s="774"/>
      <c r="AG42" s="775"/>
      <c r="AH42" s="772" t="s">
        <v>381</v>
      </c>
      <c r="AI42" s="772"/>
      <c r="AJ42" s="772"/>
      <c r="AK42" s="773" t="s">
        <v>379</v>
      </c>
      <c r="AL42" s="774"/>
      <c r="AM42" s="775"/>
      <c r="AN42" s="773" t="s">
        <v>379</v>
      </c>
      <c r="AO42" s="774"/>
      <c r="AP42" s="775"/>
      <c r="AQ42" s="579"/>
      <c r="AR42" s="579"/>
      <c r="AS42" s="581"/>
      <c r="AT42" s="577"/>
      <c r="AU42" s="577"/>
      <c r="AV42" s="577"/>
      <c r="AW42" s="577"/>
      <c r="AX42" s="577"/>
      <c r="AY42" s="577"/>
      <c r="AZ42" s="569"/>
      <c r="BA42" s="569"/>
      <c r="BB42" s="551"/>
      <c r="BC42" s="552"/>
      <c r="BD42" s="538"/>
      <c r="BE42" s="596"/>
      <c r="BF42" s="596"/>
      <c r="BG42" s="596"/>
      <c r="BH42" s="598"/>
      <c r="BI42" s="596"/>
      <c r="BJ42" s="596"/>
      <c r="BK42" s="596"/>
      <c r="BL42" s="596"/>
      <c r="BM42" s="596"/>
      <c r="BN42" s="596"/>
      <c r="BO42" s="596"/>
      <c r="BP42" s="596"/>
      <c r="BQ42" s="596"/>
      <c r="BR42" s="596"/>
      <c r="BS42" s="596"/>
      <c r="BT42" s="596"/>
    </row>
    <row r="43" spans="1:72" ht="12.5" customHeight="1">
      <c r="A43" s="540"/>
      <c r="B43" s="566"/>
      <c r="C43" s="565"/>
      <c r="D43" s="565"/>
      <c r="E43" s="770"/>
      <c r="F43" s="770"/>
      <c r="G43" s="772"/>
      <c r="H43" s="772"/>
      <c r="I43" s="772"/>
      <c r="J43" s="811"/>
      <c r="K43" s="772"/>
      <c r="L43" s="772"/>
      <c r="M43" s="811"/>
      <c r="N43" s="772"/>
      <c r="O43" s="772"/>
      <c r="P43" s="811"/>
      <c r="Q43" s="772"/>
      <c r="R43" s="772"/>
      <c r="S43" s="771"/>
      <c r="T43" s="772"/>
      <c r="U43" s="772"/>
      <c r="V43" s="811"/>
      <c r="W43" s="772"/>
      <c r="X43" s="772"/>
      <c r="Y43" s="811"/>
      <c r="Z43" s="772"/>
      <c r="AA43" s="772"/>
      <c r="AB43" s="776"/>
      <c r="AC43" s="777"/>
      <c r="AD43" s="778"/>
      <c r="AE43" s="776"/>
      <c r="AF43" s="777"/>
      <c r="AG43" s="778"/>
      <c r="AH43" s="772"/>
      <c r="AI43" s="772"/>
      <c r="AJ43" s="772"/>
      <c r="AK43" s="776"/>
      <c r="AL43" s="777"/>
      <c r="AM43" s="778"/>
      <c r="AN43" s="776"/>
      <c r="AO43" s="777"/>
      <c r="AP43" s="778"/>
      <c r="AQ43" s="579"/>
      <c r="AR43" s="579"/>
      <c r="AS43" s="580"/>
      <c r="AT43" s="571"/>
      <c r="AU43" s="565"/>
      <c r="AV43" s="568"/>
      <c r="AW43" s="568"/>
      <c r="AX43" s="568"/>
      <c r="AY43" s="565"/>
      <c r="AZ43" s="569"/>
      <c r="BA43" s="569"/>
      <c r="BB43" s="536"/>
      <c r="BC43" s="537"/>
      <c r="BD43" s="539"/>
      <c r="BE43" s="596"/>
      <c r="BF43" s="596"/>
      <c r="BG43" s="596"/>
      <c r="BH43" s="598"/>
      <c r="BI43" s="596"/>
      <c r="BJ43" s="596"/>
      <c r="BK43" s="596"/>
      <c r="BL43" s="596"/>
      <c r="BM43" s="596"/>
      <c r="BN43" s="596"/>
      <c r="BO43" s="596"/>
      <c r="BP43" s="596"/>
      <c r="BQ43" s="596"/>
      <c r="BR43" s="596"/>
      <c r="BS43" s="596"/>
      <c r="BT43" s="596"/>
    </row>
    <row r="44" spans="1:72" ht="12.5" customHeight="1">
      <c r="A44" s="540"/>
      <c r="B44" s="566"/>
      <c r="C44" s="565"/>
      <c r="D44" s="565"/>
      <c r="E44" s="770"/>
      <c r="F44" s="770"/>
      <c r="G44" s="772"/>
      <c r="H44" s="772"/>
      <c r="I44" s="772"/>
      <c r="J44" s="772"/>
      <c r="K44" s="772"/>
      <c r="L44" s="772"/>
      <c r="M44" s="772"/>
      <c r="N44" s="772"/>
      <c r="O44" s="772"/>
      <c r="P44" s="772"/>
      <c r="Q44" s="772"/>
      <c r="R44" s="772"/>
      <c r="S44" s="772"/>
      <c r="T44" s="772"/>
      <c r="U44" s="772"/>
      <c r="V44" s="772"/>
      <c r="W44" s="772"/>
      <c r="X44" s="772"/>
      <c r="Y44" s="772"/>
      <c r="Z44" s="772"/>
      <c r="AA44" s="772"/>
      <c r="AB44" s="779"/>
      <c r="AC44" s="780"/>
      <c r="AD44" s="781"/>
      <c r="AE44" s="779"/>
      <c r="AF44" s="780"/>
      <c r="AG44" s="781"/>
      <c r="AH44" s="772"/>
      <c r="AI44" s="772"/>
      <c r="AJ44" s="772"/>
      <c r="AK44" s="779"/>
      <c r="AL44" s="780"/>
      <c r="AM44" s="781"/>
      <c r="AN44" s="779"/>
      <c r="AO44" s="780"/>
      <c r="AP44" s="781"/>
      <c r="AQ44" s="579"/>
      <c r="AR44" s="579"/>
      <c r="AS44" s="580"/>
      <c r="AT44" s="571"/>
      <c r="AU44" s="565"/>
      <c r="AV44" s="568"/>
      <c r="AW44" s="568"/>
      <c r="AX44" s="568"/>
      <c r="AY44" s="565"/>
      <c r="AZ44" s="569"/>
      <c r="BA44" s="569"/>
      <c r="BB44" s="536"/>
      <c r="BC44" s="537"/>
      <c r="BD44" s="539"/>
      <c r="BE44" s="596"/>
      <c r="BF44" s="596"/>
      <c r="BG44" s="596"/>
      <c r="BH44" s="598"/>
      <c r="BI44" s="596"/>
      <c r="BJ44" s="596"/>
      <c r="BK44" s="596"/>
      <c r="BL44" s="596"/>
      <c r="BM44" s="596"/>
      <c r="BN44" s="596"/>
      <c r="BO44" s="596"/>
      <c r="BP44" s="596"/>
      <c r="BQ44" s="596"/>
      <c r="BR44" s="596"/>
      <c r="BS44" s="596"/>
      <c r="BT44" s="596"/>
    </row>
    <row r="45" spans="1:72" ht="12.5" customHeight="1">
      <c r="A45" s="540"/>
      <c r="B45" s="566"/>
      <c r="C45" s="575"/>
      <c r="D45" s="576"/>
      <c r="E45" s="770" t="s">
        <v>363</v>
      </c>
      <c r="F45" s="770"/>
      <c r="G45" s="772" t="s">
        <v>366</v>
      </c>
      <c r="H45" s="772"/>
      <c r="I45" s="772"/>
      <c r="J45" s="811" t="s">
        <v>371</v>
      </c>
      <c r="K45" s="772"/>
      <c r="L45" s="772"/>
      <c r="M45" s="811" t="s">
        <v>391</v>
      </c>
      <c r="N45" s="772"/>
      <c r="O45" s="772"/>
      <c r="P45" s="811" t="s">
        <v>395</v>
      </c>
      <c r="Q45" s="772"/>
      <c r="R45" s="772"/>
      <c r="S45" s="772" t="s">
        <v>297</v>
      </c>
      <c r="T45" s="772"/>
      <c r="U45" s="772"/>
      <c r="V45" s="811" t="s">
        <v>380</v>
      </c>
      <c r="W45" s="772"/>
      <c r="X45" s="772"/>
      <c r="Y45" s="772" t="s">
        <v>379</v>
      </c>
      <c r="Z45" s="772"/>
      <c r="AA45" s="772"/>
      <c r="AB45" s="772" t="s">
        <v>379</v>
      </c>
      <c r="AC45" s="772"/>
      <c r="AD45" s="772"/>
      <c r="AE45" s="772" t="s">
        <v>379</v>
      </c>
      <c r="AF45" s="772"/>
      <c r="AG45" s="772"/>
      <c r="AH45" s="772" t="s">
        <v>381</v>
      </c>
      <c r="AI45" s="772"/>
      <c r="AJ45" s="772"/>
      <c r="AK45" s="772" t="s">
        <v>381</v>
      </c>
      <c r="AL45" s="772"/>
      <c r="AM45" s="772"/>
      <c r="AN45" s="772" t="s">
        <v>381</v>
      </c>
      <c r="AO45" s="772"/>
      <c r="AP45" s="772"/>
      <c r="AQ45" s="579"/>
      <c r="AR45" s="579"/>
      <c r="AS45" s="579"/>
      <c r="AT45" s="573"/>
      <c r="AU45" s="568"/>
      <c r="AV45" s="568"/>
      <c r="AW45" s="568"/>
      <c r="AX45" s="568"/>
      <c r="AY45" s="568"/>
      <c r="AZ45" s="569"/>
      <c r="BA45" s="569"/>
      <c r="BB45" s="551"/>
      <c r="BC45" s="552"/>
      <c r="BD45" s="538"/>
      <c r="BE45" s="596"/>
      <c r="BF45" s="596"/>
      <c r="BG45" s="596"/>
      <c r="BH45" s="596"/>
      <c r="BI45" s="596"/>
      <c r="BJ45" s="596"/>
      <c r="BK45" s="596"/>
      <c r="BL45" s="596"/>
      <c r="BM45" s="596"/>
      <c r="BN45" s="596"/>
      <c r="BO45" s="596"/>
      <c r="BP45" s="596"/>
      <c r="BQ45" s="596"/>
      <c r="BR45" s="596"/>
      <c r="BS45" s="596"/>
      <c r="BT45" s="596"/>
    </row>
    <row r="46" spans="1:72" ht="12.5" customHeight="1">
      <c r="A46" s="540"/>
      <c r="B46" s="566"/>
      <c r="C46" s="575"/>
      <c r="D46" s="576"/>
      <c r="E46" s="770"/>
      <c r="F46" s="770"/>
      <c r="G46" s="772"/>
      <c r="H46" s="772"/>
      <c r="I46" s="772"/>
      <c r="J46" s="811"/>
      <c r="K46" s="772"/>
      <c r="L46" s="772"/>
      <c r="M46" s="811"/>
      <c r="N46" s="772"/>
      <c r="O46" s="772"/>
      <c r="P46" s="811"/>
      <c r="Q46" s="772"/>
      <c r="R46" s="772"/>
      <c r="S46" s="772"/>
      <c r="T46" s="772"/>
      <c r="U46" s="772"/>
      <c r="V46" s="811"/>
      <c r="W46" s="772"/>
      <c r="X46" s="772"/>
      <c r="Y46" s="772"/>
      <c r="Z46" s="772"/>
      <c r="AA46" s="772"/>
      <c r="AB46" s="772"/>
      <c r="AC46" s="772"/>
      <c r="AD46" s="772"/>
      <c r="AE46" s="772"/>
      <c r="AF46" s="772"/>
      <c r="AG46" s="772"/>
      <c r="AH46" s="772"/>
      <c r="AI46" s="772"/>
      <c r="AJ46" s="772"/>
      <c r="AK46" s="772"/>
      <c r="AL46" s="772"/>
      <c r="AM46" s="772"/>
      <c r="AN46" s="772"/>
      <c r="AO46" s="772"/>
      <c r="AP46" s="772"/>
      <c r="AQ46" s="579"/>
      <c r="AR46" s="579"/>
      <c r="AS46" s="581"/>
      <c r="AT46" s="577"/>
      <c r="AU46" s="577"/>
      <c r="AV46" s="577"/>
      <c r="AW46" s="577"/>
      <c r="AX46" s="577"/>
      <c r="AY46" s="577"/>
      <c r="AZ46" s="569"/>
      <c r="BA46" s="569"/>
      <c r="BB46" s="551"/>
      <c r="BC46" s="552"/>
      <c r="BD46" s="538"/>
      <c r="BE46" s="596"/>
      <c r="BF46" s="596"/>
      <c r="BG46" s="596"/>
      <c r="BH46" s="598"/>
      <c r="BI46" s="596"/>
      <c r="BJ46" s="596"/>
      <c r="BK46" s="596"/>
      <c r="BL46" s="596"/>
      <c r="BM46" s="596"/>
      <c r="BN46" s="596"/>
      <c r="BO46" s="596"/>
      <c r="BP46" s="596"/>
      <c r="BQ46" s="596"/>
      <c r="BR46" s="596"/>
      <c r="BS46" s="596"/>
      <c r="BT46" s="596"/>
    </row>
    <row r="47" spans="1:72" ht="12.5" customHeight="1">
      <c r="A47" s="540"/>
      <c r="B47" s="566"/>
      <c r="C47" s="575"/>
      <c r="D47" s="576"/>
      <c r="E47" s="770"/>
      <c r="F47" s="770"/>
      <c r="G47" s="772"/>
      <c r="H47" s="772"/>
      <c r="I47" s="772"/>
      <c r="J47" s="772"/>
      <c r="K47" s="772"/>
      <c r="L47" s="772"/>
      <c r="M47" s="772"/>
      <c r="N47" s="772"/>
      <c r="O47" s="772"/>
      <c r="P47" s="772"/>
      <c r="Q47" s="772"/>
      <c r="R47" s="772"/>
      <c r="S47" s="772"/>
      <c r="T47" s="772"/>
      <c r="U47" s="772"/>
      <c r="V47" s="772"/>
      <c r="W47" s="772"/>
      <c r="X47" s="772"/>
      <c r="Y47" s="772"/>
      <c r="Z47" s="772"/>
      <c r="AA47" s="772"/>
      <c r="AB47" s="772"/>
      <c r="AC47" s="772"/>
      <c r="AD47" s="772"/>
      <c r="AE47" s="772"/>
      <c r="AF47" s="772"/>
      <c r="AG47" s="772"/>
      <c r="AH47" s="772"/>
      <c r="AI47" s="772"/>
      <c r="AJ47" s="772"/>
      <c r="AK47" s="772"/>
      <c r="AL47" s="772"/>
      <c r="AM47" s="772"/>
      <c r="AN47" s="772"/>
      <c r="AO47" s="772"/>
      <c r="AP47" s="772"/>
      <c r="AQ47" s="579"/>
      <c r="AR47" s="579"/>
      <c r="AS47" s="581"/>
      <c r="AT47" s="577"/>
      <c r="AU47" s="577"/>
      <c r="AV47" s="577"/>
      <c r="AW47" s="577"/>
      <c r="AX47" s="577"/>
      <c r="AY47" s="577"/>
      <c r="AZ47" s="569"/>
      <c r="BA47" s="569"/>
      <c r="BB47" s="551"/>
      <c r="BC47" s="552"/>
      <c r="BD47" s="538"/>
      <c r="BE47" s="596"/>
      <c r="BF47" s="596"/>
      <c r="BG47" s="596"/>
      <c r="BH47" s="598"/>
      <c r="BI47" s="596"/>
      <c r="BJ47" s="596"/>
      <c r="BK47" s="596"/>
      <c r="BL47" s="596"/>
      <c r="BM47" s="596"/>
      <c r="BN47" s="596"/>
      <c r="BO47" s="596"/>
      <c r="BP47" s="596"/>
      <c r="BQ47" s="596"/>
      <c r="BR47" s="596"/>
      <c r="BS47" s="596"/>
      <c r="BT47" s="596"/>
    </row>
    <row r="48" spans="1:72" ht="12.5" customHeight="1">
      <c r="A48" s="540"/>
      <c r="B48" s="566"/>
      <c r="C48" s="575"/>
      <c r="D48" s="576"/>
      <c r="E48" s="770" t="s">
        <v>363</v>
      </c>
      <c r="F48" s="770"/>
      <c r="G48" s="772" t="s">
        <v>367</v>
      </c>
      <c r="H48" s="772"/>
      <c r="I48" s="772"/>
      <c r="J48" s="811" t="s">
        <v>372</v>
      </c>
      <c r="K48" s="772"/>
      <c r="L48" s="772"/>
      <c r="M48" s="811" t="s">
        <v>391</v>
      </c>
      <c r="N48" s="772"/>
      <c r="O48" s="772"/>
      <c r="P48" s="811" t="s">
        <v>395</v>
      </c>
      <c r="Q48" s="772"/>
      <c r="R48" s="772"/>
      <c r="S48" s="771" t="s">
        <v>378</v>
      </c>
      <c r="T48" s="772"/>
      <c r="U48" s="772"/>
      <c r="V48" s="772" t="s">
        <v>379</v>
      </c>
      <c r="W48" s="772"/>
      <c r="X48" s="772"/>
      <c r="Y48" s="811" t="s">
        <v>380</v>
      </c>
      <c r="Z48" s="772"/>
      <c r="AA48" s="772"/>
      <c r="AB48" s="772" t="s">
        <v>379</v>
      </c>
      <c r="AC48" s="772"/>
      <c r="AD48" s="772"/>
      <c r="AE48" s="772" t="s">
        <v>379</v>
      </c>
      <c r="AF48" s="772"/>
      <c r="AG48" s="772"/>
      <c r="AH48" s="772" t="s">
        <v>379</v>
      </c>
      <c r="AI48" s="772"/>
      <c r="AJ48" s="772"/>
      <c r="AK48" s="772" t="s">
        <v>379</v>
      </c>
      <c r="AL48" s="772"/>
      <c r="AM48" s="772"/>
      <c r="AN48" s="772" t="s">
        <v>379</v>
      </c>
      <c r="AO48" s="772"/>
      <c r="AP48" s="772"/>
      <c r="AQ48" s="579"/>
      <c r="AR48" s="579"/>
      <c r="AS48" s="581"/>
      <c r="AT48" s="577"/>
      <c r="AU48" s="577"/>
      <c r="AV48" s="577"/>
      <c r="AW48" s="577"/>
      <c r="AX48" s="577"/>
      <c r="AY48" s="577"/>
      <c r="AZ48" s="569"/>
      <c r="BA48" s="569"/>
      <c r="BB48" s="551"/>
      <c r="BC48" s="552"/>
      <c r="BD48" s="538"/>
      <c r="BE48" s="596"/>
      <c r="BF48" s="596"/>
      <c r="BG48" s="596"/>
      <c r="BH48" s="598"/>
      <c r="BI48" s="596"/>
      <c r="BJ48" s="596"/>
      <c r="BK48" s="596"/>
      <c r="BL48" s="596"/>
      <c r="BM48" s="596"/>
      <c r="BN48" s="596"/>
      <c r="BO48" s="596"/>
      <c r="BP48" s="596"/>
      <c r="BQ48" s="596"/>
      <c r="BR48" s="596"/>
      <c r="BS48" s="596"/>
      <c r="BT48" s="596"/>
    </row>
    <row r="49" spans="1:72" ht="12.5" customHeight="1">
      <c r="A49" s="540"/>
      <c r="B49" s="566"/>
      <c r="C49" s="575"/>
      <c r="D49" s="576"/>
      <c r="E49" s="770"/>
      <c r="F49" s="770"/>
      <c r="G49" s="772"/>
      <c r="H49" s="772"/>
      <c r="I49" s="772"/>
      <c r="J49" s="811"/>
      <c r="K49" s="772"/>
      <c r="L49" s="772"/>
      <c r="M49" s="811"/>
      <c r="N49" s="772"/>
      <c r="O49" s="772"/>
      <c r="P49" s="811"/>
      <c r="Q49" s="772"/>
      <c r="R49" s="772"/>
      <c r="S49" s="771"/>
      <c r="T49" s="772"/>
      <c r="U49" s="772"/>
      <c r="V49" s="772"/>
      <c r="W49" s="772"/>
      <c r="X49" s="772"/>
      <c r="Y49" s="811"/>
      <c r="Z49" s="772"/>
      <c r="AA49" s="772"/>
      <c r="AB49" s="772"/>
      <c r="AC49" s="772"/>
      <c r="AD49" s="772"/>
      <c r="AE49" s="772"/>
      <c r="AF49" s="772"/>
      <c r="AG49" s="772"/>
      <c r="AH49" s="772"/>
      <c r="AI49" s="772"/>
      <c r="AJ49" s="772"/>
      <c r="AK49" s="772"/>
      <c r="AL49" s="772"/>
      <c r="AM49" s="772"/>
      <c r="AN49" s="772"/>
      <c r="AO49" s="772"/>
      <c r="AP49" s="772"/>
      <c r="AQ49" s="579"/>
      <c r="AR49" s="579"/>
      <c r="AS49" s="581"/>
      <c r="AT49" s="577"/>
      <c r="AU49" s="577"/>
      <c r="AV49" s="577"/>
      <c r="AW49" s="577"/>
      <c r="AX49" s="577"/>
      <c r="AY49" s="577"/>
      <c r="AZ49" s="569"/>
      <c r="BA49" s="569"/>
      <c r="BB49" s="551"/>
      <c r="BC49" s="552"/>
      <c r="BD49" s="538"/>
      <c r="BE49" s="596"/>
      <c r="BF49" s="596"/>
      <c r="BG49" s="596"/>
      <c r="BH49" s="596"/>
      <c r="BI49" s="596"/>
      <c r="BJ49" s="596"/>
      <c r="BK49" s="596"/>
      <c r="BL49" s="596"/>
      <c r="BM49" s="596"/>
      <c r="BN49" s="596"/>
      <c r="BO49" s="596"/>
      <c r="BP49" s="596"/>
      <c r="BQ49" s="596"/>
      <c r="BR49" s="596"/>
      <c r="BS49" s="596"/>
      <c r="BT49" s="596"/>
    </row>
    <row r="50" spans="1:72" ht="12.5" customHeight="1">
      <c r="A50" s="540"/>
      <c r="B50" s="566"/>
      <c r="C50" s="565"/>
      <c r="D50" s="565"/>
      <c r="E50" s="770"/>
      <c r="F50" s="770"/>
      <c r="G50" s="772"/>
      <c r="H50" s="772"/>
      <c r="I50" s="772"/>
      <c r="J50" s="772"/>
      <c r="K50" s="772"/>
      <c r="L50" s="772"/>
      <c r="M50" s="772"/>
      <c r="N50" s="772"/>
      <c r="O50" s="772"/>
      <c r="P50" s="772"/>
      <c r="Q50" s="772"/>
      <c r="R50" s="772"/>
      <c r="S50" s="772"/>
      <c r="T50" s="772"/>
      <c r="U50" s="772"/>
      <c r="V50" s="772"/>
      <c r="W50" s="772"/>
      <c r="X50" s="772"/>
      <c r="Y50" s="772"/>
      <c r="Z50" s="772"/>
      <c r="AA50" s="772"/>
      <c r="AB50" s="772"/>
      <c r="AC50" s="772"/>
      <c r="AD50" s="772"/>
      <c r="AE50" s="772"/>
      <c r="AF50" s="772"/>
      <c r="AG50" s="772"/>
      <c r="AH50" s="772"/>
      <c r="AI50" s="772"/>
      <c r="AJ50" s="772"/>
      <c r="AK50" s="772"/>
      <c r="AL50" s="772"/>
      <c r="AM50" s="772"/>
      <c r="AN50" s="772"/>
      <c r="AO50" s="772"/>
      <c r="AP50" s="772"/>
      <c r="AQ50" s="579"/>
      <c r="AR50" s="579"/>
      <c r="AS50" s="580"/>
      <c r="AT50" s="571"/>
      <c r="AU50" s="565"/>
      <c r="AV50" s="568"/>
      <c r="AW50" s="568"/>
      <c r="AX50" s="568"/>
      <c r="AY50" s="565"/>
      <c r="AZ50" s="569"/>
      <c r="BA50" s="569"/>
      <c r="BB50" s="536"/>
      <c r="BC50" s="537"/>
      <c r="BD50" s="539"/>
      <c r="BE50" s="596"/>
      <c r="BF50" s="596"/>
      <c r="BG50" s="596"/>
      <c r="BH50" s="598"/>
      <c r="BI50" s="596"/>
      <c r="BJ50" s="596"/>
      <c r="BK50" s="596"/>
      <c r="BL50" s="596"/>
      <c r="BM50" s="596"/>
      <c r="BN50" s="596"/>
      <c r="BO50" s="596"/>
      <c r="BP50" s="596"/>
      <c r="BQ50" s="596"/>
      <c r="BR50" s="596"/>
      <c r="BS50" s="596"/>
      <c r="BT50" s="596"/>
    </row>
    <row r="51" spans="1:72" ht="12.5" customHeight="1">
      <c r="A51" s="540"/>
      <c r="B51" s="566"/>
      <c r="C51" s="575"/>
      <c r="D51" s="576"/>
      <c r="E51" s="770"/>
      <c r="F51" s="770"/>
      <c r="G51" s="772" t="s">
        <v>368</v>
      </c>
      <c r="H51" s="772"/>
      <c r="I51" s="772"/>
      <c r="J51" s="811" t="s">
        <v>373</v>
      </c>
      <c r="K51" s="772"/>
      <c r="L51" s="772"/>
      <c r="M51" s="811" t="s">
        <v>394</v>
      </c>
      <c r="N51" s="772"/>
      <c r="O51" s="772"/>
      <c r="P51" s="811" t="s">
        <v>396</v>
      </c>
      <c r="Q51" s="772"/>
      <c r="R51" s="772"/>
      <c r="S51" s="771" t="s">
        <v>377</v>
      </c>
      <c r="T51" s="772"/>
      <c r="U51" s="772"/>
      <c r="V51" s="772" t="s">
        <v>381</v>
      </c>
      <c r="W51" s="772"/>
      <c r="X51" s="772"/>
      <c r="Y51" s="772" t="s">
        <v>381</v>
      </c>
      <c r="Z51" s="772"/>
      <c r="AA51" s="772"/>
      <c r="AB51" s="772" t="s">
        <v>381</v>
      </c>
      <c r="AC51" s="772"/>
      <c r="AD51" s="772"/>
      <c r="AE51" s="772" t="s">
        <v>381</v>
      </c>
      <c r="AF51" s="772"/>
      <c r="AG51" s="772"/>
      <c r="AH51" s="772" t="s">
        <v>381</v>
      </c>
      <c r="AI51" s="772"/>
      <c r="AJ51" s="772"/>
      <c r="AK51" s="772" t="s">
        <v>381</v>
      </c>
      <c r="AL51" s="772"/>
      <c r="AM51" s="772"/>
      <c r="AN51" s="772" t="s">
        <v>381</v>
      </c>
      <c r="AO51" s="772"/>
      <c r="AP51" s="772"/>
      <c r="AQ51" s="579"/>
      <c r="AR51" s="579"/>
      <c r="AS51" s="581"/>
      <c r="AT51" s="577"/>
      <c r="AU51" s="577"/>
      <c r="AV51" s="577"/>
      <c r="AW51" s="577"/>
      <c r="AX51" s="577"/>
      <c r="AY51" s="577"/>
      <c r="AZ51" s="569"/>
      <c r="BA51" s="569"/>
      <c r="BB51" s="551"/>
      <c r="BC51" s="552"/>
      <c r="BD51" s="538"/>
      <c r="BE51" s="596"/>
      <c r="BF51" s="596"/>
      <c r="BG51" s="596"/>
      <c r="BH51" s="598"/>
      <c r="BI51" s="596"/>
      <c r="BJ51" s="596"/>
      <c r="BK51" s="596"/>
      <c r="BL51" s="596"/>
      <c r="BM51" s="596"/>
      <c r="BN51" s="596"/>
      <c r="BO51" s="596"/>
      <c r="BP51" s="596"/>
      <c r="BQ51" s="596"/>
      <c r="BR51" s="596"/>
      <c r="BS51" s="596"/>
      <c r="BT51" s="596"/>
    </row>
    <row r="52" spans="1:72" ht="12.5" customHeight="1">
      <c r="A52" s="540"/>
      <c r="B52" s="566"/>
      <c r="C52" s="565"/>
      <c r="D52" s="565"/>
      <c r="E52" s="770"/>
      <c r="F52" s="770"/>
      <c r="G52" s="772"/>
      <c r="H52" s="772"/>
      <c r="I52" s="772"/>
      <c r="J52" s="811"/>
      <c r="K52" s="772"/>
      <c r="L52" s="772"/>
      <c r="M52" s="811"/>
      <c r="N52" s="772"/>
      <c r="O52" s="772"/>
      <c r="P52" s="772"/>
      <c r="Q52" s="772"/>
      <c r="R52" s="772"/>
      <c r="S52" s="771"/>
      <c r="T52" s="772"/>
      <c r="U52" s="772"/>
      <c r="V52" s="772"/>
      <c r="W52" s="772"/>
      <c r="X52" s="772"/>
      <c r="Y52" s="772"/>
      <c r="Z52" s="772"/>
      <c r="AA52" s="772"/>
      <c r="AB52" s="772"/>
      <c r="AC52" s="772"/>
      <c r="AD52" s="772"/>
      <c r="AE52" s="772"/>
      <c r="AF52" s="772"/>
      <c r="AG52" s="772"/>
      <c r="AH52" s="772"/>
      <c r="AI52" s="772"/>
      <c r="AJ52" s="772"/>
      <c r="AK52" s="772"/>
      <c r="AL52" s="772"/>
      <c r="AM52" s="772"/>
      <c r="AN52" s="772"/>
      <c r="AO52" s="772"/>
      <c r="AP52" s="772"/>
      <c r="AQ52" s="579"/>
      <c r="AR52" s="579"/>
      <c r="AS52" s="580"/>
      <c r="AT52" s="571"/>
      <c r="AU52" s="565"/>
      <c r="AV52" s="568"/>
      <c r="AW52" s="568"/>
      <c r="AX52" s="568"/>
      <c r="AY52" s="565"/>
      <c r="AZ52" s="569"/>
      <c r="BA52" s="569"/>
      <c r="BB52" s="536"/>
      <c r="BC52" s="537"/>
      <c r="BD52" s="539"/>
      <c r="BE52" s="596"/>
      <c r="BF52" s="596"/>
      <c r="BG52" s="596"/>
      <c r="BH52" s="598"/>
      <c r="BI52" s="596"/>
      <c r="BJ52" s="596"/>
      <c r="BK52" s="596"/>
      <c r="BL52" s="596"/>
      <c r="BM52" s="596"/>
      <c r="BN52" s="596"/>
      <c r="BO52" s="596"/>
      <c r="BP52" s="596"/>
      <c r="BQ52" s="596"/>
      <c r="BR52" s="596"/>
      <c r="BS52" s="596"/>
      <c r="BT52" s="596"/>
    </row>
    <row r="53" spans="1:72" ht="12.5" customHeight="1">
      <c r="A53" s="540"/>
      <c r="B53" s="566"/>
      <c r="C53" s="565"/>
      <c r="D53" s="565"/>
      <c r="E53" s="770"/>
      <c r="F53" s="770"/>
      <c r="G53" s="772"/>
      <c r="H53" s="772"/>
      <c r="I53" s="772"/>
      <c r="J53" s="772"/>
      <c r="K53" s="772"/>
      <c r="L53" s="772"/>
      <c r="M53" s="772"/>
      <c r="N53" s="772"/>
      <c r="O53" s="772"/>
      <c r="P53" s="772"/>
      <c r="Q53" s="772"/>
      <c r="R53" s="772"/>
      <c r="S53" s="772"/>
      <c r="T53" s="772"/>
      <c r="U53" s="772"/>
      <c r="V53" s="772"/>
      <c r="W53" s="772"/>
      <c r="X53" s="772"/>
      <c r="Y53" s="772"/>
      <c r="Z53" s="772"/>
      <c r="AA53" s="772"/>
      <c r="AB53" s="772"/>
      <c r="AC53" s="772"/>
      <c r="AD53" s="772"/>
      <c r="AE53" s="772"/>
      <c r="AF53" s="772"/>
      <c r="AG53" s="772"/>
      <c r="AH53" s="772"/>
      <c r="AI53" s="772"/>
      <c r="AJ53" s="772"/>
      <c r="AK53" s="772"/>
      <c r="AL53" s="772"/>
      <c r="AM53" s="772"/>
      <c r="AN53" s="772"/>
      <c r="AO53" s="772"/>
      <c r="AP53" s="772"/>
      <c r="AQ53" s="579"/>
      <c r="AR53" s="579"/>
      <c r="AS53" s="580"/>
      <c r="AT53" s="571"/>
      <c r="AU53" s="565"/>
      <c r="AV53" s="568"/>
      <c r="AW53" s="568"/>
      <c r="AX53" s="568"/>
      <c r="AY53" s="565"/>
      <c r="AZ53" s="569"/>
      <c r="BA53" s="569"/>
      <c r="BB53" s="536"/>
      <c r="BC53" s="537"/>
      <c r="BD53" s="539"/>
      <c r="BE53" s="596"/>
      <c r="BF53" s="596"/>
      <c r="BG53" s="596"/>
      <c r="BH53" s="598"/>
      <c r="BI53" s="596"/>
      <c r="BJ53" s="596"/>
      <c r="BK53" s="596"/>
      <c r="BL53" s="596"/>
      <c r="BM53" s="596"/>
      <c r="BN53" s="596"/>
      <c r="BO53" s="596"/>
      <c r="BP53" s="596"/>
      <c r="BQ53" s="596"/>
      <c r="BR53" s="596"/>
      <c r="BS53" s="596"/>
      <c r="BT53" s="596"/>
    </row>
    <row r="54" spans="1:72" ht="12.5" customHeight="1">
      <c r="A54" s="540"/>
      <c r="B54" s="566"/>
      <c r="C54" s="575"/>
      <c r="D54" s="576"/>
      <c r="E54" s="770"/>
      <c r="F54" s="770"/>
      <c r="G54" s="772" t="s">
        <v>297</v>
      </c>
      <c r="H54" s="772"/>
      <c r="I54" s="772"/>
      <c r="J54" s="811" t="s">
        <v>374</v>
      </c>
      <c r="K54" s="772"/>
      <c r="L54" s="772"/>
      <c r="M54" s="772" t="s">
        <v>297</v>
      </c>
      <c r="N54" s="772"/>
      <c r="O54" s="772"/>
      <c r="P54" s="772" t="s">
        <v>297</v>
      </c>
      <c r="Q54" s="772"/>
      <c r="R54" s="772"/>
      <c r="S54" s="772" t="s">
        <v>297</v>
      </c>
      <c r="T54" s="772"/>
      <c r="U54" s="772"/>
      <c r="V54" s="772"/>
      <c r="W54" s="772"/>
      <c r="X54" s="772"/>
      <c r="Y54" s="772"/>
      <c r="Z54" s="772"/>
      <c r="AA54" s="772"/>
      <c r="AB54" s="772"/>
      <c r="AC54" s="772"/>
      <c r="AD54" s="772"/>
      <c r="AE54" s="772"/>
      <c r="AF54" s="772"/>
      <c r="AG54" s="772"/>
      <c r="AH54" s="772"/>
      <c r="AI54" s="772"/>
      <c r="AJ54" s="772"/>
      <c r="AK54" s="772"/>
      <c r="AL54" s="772"/>
      <c r="AM54" s="772"/>
      <c r="AN54" s="772"/>
      <c r="AO54" s="772"/>
      <c r="AP54" s="772"/>
      <c r="AQ54" s="579"/>
      <c r="AR54" s="579"/>
      <c r="AS54" s="579"/>
      <c r="AT54" s="573"/>
      <c r="AU54" s="568"/>
      <c r="AV54" s="568"/>
      <c r="AW54" s="568"/>
      <c r="AX54" s="568"/>
      <c r="AY54" s="568"/>
      <c r="AZ54" s="569"/>
      <c r="BA54" s="569"/>
      <c r="BB54" s="551"/>
      <c r="BC54" s="552"/>
      <c r="BD54" s="538"/>
      <c r="BE54" s="596"/>
      <c r="BF54" s="596"/>
      <c r="BG54" s="596"/>
      <c r="BH54" s="598"/>
      <c r="BI54" s="596"/>
      <c r="BJ54" s="596"/>
      <c r="BK54" s="596"/>
      <c r="BL54" s="596"/>
      <c r="BM54" s="596"/>
      <c r="BN54" s="596"/>
      <c r="BO54" s="596"/>
      <c r="BP54" s="596"/>
      <c r="BQ54" s="596"/>
      <c r="BR54" s="596"/>
      <c r="BS54" s="596"/>
      <c r="BT54" s="596"/>
    </row>
    <row r="55" spans="1:72" ht="12.5" customHeight="1">
      <c r="A55" s="540"/>
      <c r="B55" s="566"/>
      <c r="C55" s="575"/>
      <c r="D55" s="576"/>
      <c r="E55" s="770"/>
      <c r="F55" s="770"/>
      <c r="G55" s="772"/>
      <c r="H55" s="772"/>
      <c r="I55" s="772"/>
      <c r="J55" s="811"/>
      <c r="K55" s="772"/>
      <c r="L55" s="772"/>
      <c r="M55" s="772"/>
      <c r="N55" s="772"/>
      <c r="O55" s="772"/>
      <c r="P55" s="772"/>
      <c r="Q55" s="772"/>
      <c r="R55" s="772"/>
      <c r="S55" s="772"/>
      <c r="T55" s="772"/>
      <c r="U55" s="772"/>
      <c r="V55" s="772"/>
      <c r="W55" s="772"/>
      <c r="X55" s="772"/>
      <c r="Y55" s="772"/>
      <c r="Z55" s="772"/>
      <c r="AA55" s="772"/>
      <c r="AB55" s="772"/>
      <c r="AC55" s="772"/>
      <c r="AD55" s="772"/>
      <c r="AE55" s="772"/>
      <c r="AF55" s="772"/>
      <c r="AG55" s="772"/>
      <c r="AH55" s="772"/>
      <c r="AI55" s="772"/>
      <c r="AJ55" s="772"/>
      <c r="AK55" s="772"/>
      <c r="AL55" s="772"/>
      <c r="AM55" s="772"/>
      <c r="AN55" s="772"/>
      <c r="AO55" s="772"/>
      <c r="AP55" s="772"/>
      <c r="AQ55" s="579"/>
      <c r="AR55" s="579"/>
      <c r="AS55" s="581"/>
      <c r="AT55" s="577"/>
      <c r="AU55" s="577"/>
      <c r="AV55" s="577"/>
      <c r="AW55" s="577"/>
      <c r="AX55" s="577"/>
      <c r="AY55" s="577"/>
      <c r="AZ55" s="569"/>
      <c r="BA55" s="569"/>
      <c r="BB55" s="551"/>
      <c r="BC55" s="552"/>
      <c r="BD55" s="538"/>
      <c r="BE55" s="596"/>
      <c r="BF55" s="596"/>
      <c r="BG55" s="596"/>
      <c r="BH55" s="598"/>
      <c r="BI55" s="596"/>
      <c r="BJ55" s="596"/>
      <c r="BK55" s="596"/>
      <c r="BL55" s="596"/>
      <c r="BM55" s="596"/>
      <c r="BN55" s="596"/>
      <c r="BO55" s="596"/>
      <c r="BP55" s="596"/>
      <c r="BQ55" s="596"/>
      <c r="BR55" s="596"/>
      <c r="BS55" s="596"/>
      <c r="BT55" s="596"/>
    </row>
    <row r="56" spans="1:72" ht="12.5" customHeight="1">
      <c r="A56" s="540"/>
      <c r="B56" s="566"/>
      <c r="C56" s="575"/>
      <c r="D56" s="576"/>
      <c r="E56" s="770"/>
      <c r="F56" s="770"/>
      <c r="G56" s="772"/>
      <c r="H56" s="772"/>
      <c r="I56" s="772"/>
      <c r="J56" s="772"/>
      <c r="K56" s="772"/>
      <c r="L56" s="772"/>
      <c r="M56" s="772"/>
      <c r="N56" s="772"/>
      <c r="O56" s="772"/>
      <c r="P56" s="772"/>
      <c r="Q56" s="772"/>
      <c r="R56" s="772"/>
      <c r="S56" s="772"/>
      <c r="T56" s="772"/>
      <c r="U56" s="772"/>
      <c r="V56" s="772"/>
      <c r="W56" s="772"/>
      <c r="X56" s="772"/>
      <c r="Y56" s="772"/>
      <c r="Z56" s="772"/>
      <c r="AA56" s="772"/>
      <c r="AB56" s="772"/>
      <c r="AC56" s="772"/>
      <c r="AD56" s="772"/>
      <c r="AE56" s="772"/>
      <c r="AF56" s="772"/>
      <c r="AG56" s="772"/>
      <c r="AH56" s="772"/>
      <c r="AI56" s="772"/>
      <c r="AJ56" s="772"/>
      <c r="AK56" s="772"/>
      <c r="AL56" s="772"/>
      <c r="AM56" s="772"/>
      <c r="AN56" s="772"/>
      <c r="AO56" s="772"/>
      <c r="AP56" s="772"/>
      <c r="AQ56" s="579"/>
      <c r="AR56" s="579"/>
      <c r="AS56" s="581"/>
      <c r="AT56" s="577"/>
      <c r="AU56" s="577"/>
      <c r="AV56" s="577"/>
      <c r="AW56" s="577"/>
      <c r="AX56" s="577"/>
      <c r="AY56" s="577"/>
      <c r="AZ56" s="569"/>
      <c r="BA56" s="569"/>
      <c r="BB56" s="551"/>
      <c r="BC56" s="552"/>
      <c r="BD56" s="538"/>
      <c r="BE56" s="596"/>
      <c r="BF56" s="596"/>
      <c r="BG56" s="596"/>
      <c r="BH56" s="598"/>
      <c r="BI56" s="596"/>
      <c r="BJ56" s="596"/>
      <c r="BK56" s="596"/>
      <c r="BL56" s="596"/>
      <c r="BM56" s="596"/>
      <c r="BN56" s="596"/>
      <c r="BO56" s="596"/>
      <c r="BP56" s="596"/>
      <c r="BQ56" s="596"/>
      <c r="BR56" s="596"/>
      <c r="BS56" s="596"/>
      <c r="BT56" s="596"/>
    </row>
    <row r="57" spans="1:72" ht="12.5" customHeight="1">
      <c r="A57" s="540"/>
      <c r="B57" s="566"/>
      <c r="C57" s="565"/>
      <c r="D57" s="565"/>
      <c r="E57" s="565"/>
      <c r="F57" s="565"/>
      <c r="G57" s="565"/>
      <c r="H57" s="579"/>
      <c r="I57" s="579"/>
      <c r="J57" s="579"/>
      <c r="K57" s="579"/>
      <c r="L57" s="579"/>
      <c r="M57" s="579"/>
      <c r="N57" s="579"/>
      <c r="O57" s="579"/>
      <c r="P57" s="579"/>
      <c r="Q57" s="579"/>
      <c r="R57" s="579"/>
      <c r="S57" s="579"/>
      <c r="T57" s="579"/>
      <c r="U57" s="579"/>
      <c r="V57" s="579"/>
      <c r="W57" s="579"/>
      <c r="X57" s="579"/>
      <c r="Y57" s="579"/>
      <c r="Z57" s="579"/>
      <c r="AA57" s="579"/>
      <c r="AB57" s="579"/>
      <c r="AC57" s="579"/>
      <c r="AD57" s="579"/>
      <c r="AE57" s="579"/>
      <c r="AF57" s="579"/>
      <c r="AG57" s="579"/>
      <c r="AH57" s="579"/>
      <c r="AI57" s="579"/>
      <c r="AJ57" s="579"/>
      <c r="AK57" s="579"/>
      <c r="AL57" s="579"/>
      <c r="AM57" s="579"/>
      <c r="AN57" s="579"/>
      <c r="AO57" s="579"/>
      <c r="AP57" s="579"/>
      <c r="AQ57" s="579"/>
      <c r="AR57" s="579"/>
      <c r="AS57" s="580"/>
      <c r="AT57" s="571"/>
      <c r="AU57" s="565"/>
      <c r="AV57" s="568"/>
      <c r="AW57" s="568"/>
      <c r="AX57" s="568"/>
      <c r="AY57" s="565"/>
      <c r="AZ57" s="569"/>
      <c r="BA57" s="569"/>
      <c r="BB57" s="536"/>
      <c r="BC57" s="537"/>
      <c r="BD57" s="539"/>
      <c r="BE57" s="596"/>
      <c r="BF57" s="596"/>
      <c r="BG57" s="596"/>
      <c r="BH57" s="598"/>
      <c r="BI57" s="596"/>
      <c r="BJ57" s="596"/>
      <c r="BK57" s="596"/>
      <c r="BL57" s="596"/>
      <c r="BM57" s="596"/>
      <c r="BN57" s="596"/>
      <c r="BO57" s="596"/>
      <c r="BP57" s="596"/>
      <c r="BQ57" s="596"/>
      <c r="BR57" s="596"/>
      <c r="BS57" s="596"/>
      <c r="BT57" s="596"/>
    </row>
    <row r="58" spans="1:72" ht="12.5" customHeight="1">
      <c r="A58" s="540"/>
      <c r="B58" s="566"/>
      <c r="C58" s="575"/>
      <c r="D58" s="576"/>
      <c r="E58" s="568"/>
      <c r="F58" s="568"/>
      <c r="G58" s="568"/>
      <c r="H58" s="579"/>
      <c r="I58" s="579"/>
      <c r="J58" s="579"/>
      <c r="K58" s="579"/>
      <c r="L58" s="579"/>
      <c r="M58" s="579"/>
      <c r="N58" s="579"/>
      <c r="O58" s="579"/>
      <c r="P58" s="579"/>
      <c r="Q58" s="579"/>
      <c r="R58" s="579"/>
      <c r="S58" s="579"/>
      <c r="T58" s="579"/>
      <c r="U58" s="579"/>
      <c r="V58" s="579"/>
      <c r="W58" s="579"/>
      <c r="X58" s="579"/>
      <c r="Y58" s="579"/>
      <c r="Z58" s="579"/>
      <c r="AA58" s="579"/>
      <c r="AB58" s="579"/>
      <c r="AC58" s="579"/>
      <c r="AD58" s="579"/>
      <c r="AE58" s="579"/>
      <c r="AF58" s="579"/>
      <c r="AG58" s="579"/>
      <c r="AH58" s="579"/>
      <c r="AI58" s="579"/>
      <c r="AJ58" s="579"/>
      <c r="AK58" s="579"/>
      <c r="AL58" s="579"/>
      <c r="AM58" s="579"/>
      <c r="AN58" s="579"/>
      <c r="AO58" s="579"/>
      <c r="AP58" s="579"/>
      <c r="AQ58" s="579"/>
      <c r="AR58" s="579"/>
      <c r="AS58" s="579"/>
      <c r="AT58" s="573"/>
      <c r="AU58" s="568"/>
      <c r="AV58" s="568"/>
      <c r="AW58" s="568"/>
      <c r="AX58" s="568"/>
      <c r="AY58" s="568"/>
      <c r="AZ58" s="569"/>
      <c r="BA58" s="569"/>
      <c r="BB58" s="551"/>
      <c r="BC58" s="552"/>
      <c r="BD58" s="538"/>
      <c r="BE58" s="596"/>
      <c r="BF58" s="596"/>
      <c r="BG58" s="596"/>
      <c r="BH58" s="598"/>
      <c r="BI58" s="596"/>
      <c r="BJ58" s="596"/>
      <c r="BK58" s="596"/>
      <c r="BL58" s="596"/>
      <c r="BM58" s="596"/>
      <c r="BN58" s="596"/>
      <c r="BO58" s="596"/>
      <c r="BP58" s="596"/>
      <c r="BQ58" s="596"/>
      <c r="BR58" s="596"/>
      <c r="BS58" s="596"/>
      <c r="BT58" s="596"/>
    </row>
    <row r="59" spans="1:72" ht="12.5" customHeight="1">
      <c r="A59" s="540"/>
      <c r="B59" s="566"/>
      <c r="C59" s="575"/>
      <c r="D59" s="576"/>
      <c r="E59" s="568"/>
      <c r="F59" s="568"/>
      <c r="G59" s="568"/>
      <c r="H59" s="579"/>
      <c r="I59" s="579"/>
      <c r="J59" s="579"/>
      <c r="K59" s="579"/>
      <c r="L59" s="579"/>
      <c r="M59" s="579"/>
      <c r="N59" s="579"/>
      <c r="O59" s="579"/>
      <c r="P59" s="579"/>
      <c r="Q59" s="579"/>
      <c r="R59" s="579"/>
      <c r="S59" s="579"/>
      <c r="T59" s="579"/>
      <c r="U59" s="579"/>
      <c r="V59" s="579"/>
      <c r="W59" s="579"/>
      <c r="X59" s="579"/>
      <c r="Y59" s="579"/>
      <c r="Z59" s="579"/>
      <c r="AA59" s="579"/>
      <c r="AB59" s="579"/>
      <c r="AC59" s="579"/>
      <c r="AD59" s="579"/>
      <c r="AE59" s="579"/>
      <c r="AF59" s="579"/>
      <c r="AG59" s="579"/>
      <c r="AH59" s="579"/>
      <c r="AI59" s="579"/>
      <c r="AJ59" s="579"/>
      <c r="AK59" s="579"/>
      <c r="AL59" s="579"/>
      <c r="AM59" s="579"/>
      <c r="AN59" s="579"/>
      <c r="AO59" s="579"/>
      <c r="AP59" s="579"/>
      <c r="AQ59" s="579"/>
      <c r="AR59" s="579"/>
      <c r="AS59" s="581"/>
      <c r="AT59" s="577"/>
      <c r="AU59" s="577"/>
      <c r="AV59" s="577"/>
      <c r="AW59" s="577"/>
      <c r="AX59" s="577"/>
      <c r="AY59" s="577"/>
      <c r="AZ59" s="569"/>
      <c r="BA59" s="569"/>
      <c r="BB59" s="551"/>
      <c r="BC59" s="552"/>
      <c r="BD59" s="538"/>
      <c r="BE59" s="596"/>
      <c r="BF59" s="596"/>
      <c r="BG59" s="596"/>
      <c r="BH59" s="598"/>
      <c r="BI59" s="596"/>
      <c r="BJ59" s="596"/>
      <c r="BK59" s="596"/>
      <c r="BL59" s="596"/>
      <c r="BM59" s="596"/>
      <c r="BN59" s="596"/>
      <c r="BO59" s="596"/>
      <c r="BP59" s="596"/>
      <c r="BQ59" s="596"/>
      <c r="BR59" s="596"/>
      <c r="BS59" s="596"/>
      <c r="BT59" s="596"/>
    </row>
    <row r="60" spans="1:72" ht="12.5" customHeight="1">
      <c r="A60" s="540"/>
      <c r="B60" s="566"/>
      <c r="C60" s="575"/>
      <c r="D60" s="576"/>
      <c r="E60" s="568"/>
      <c r="F60" s="568"/>
      <c r="G60" s="568"/>
      <c r="H60" s="579"/>
      <c r="I60" s="579"/>
      <c r="J60" s="790"/>
      <c r="K60" s="790"/>
      <c r="L60" s="790"/>
      <c r="M60" s="790"/>
      <c r="N60" s="582"/>
      <c r="O60" s="583"/>
      <c r="P60" s="582"/>
      <c r="Q60" s="579"/>
      <c r="R60" s="579"/>
      <c r="S60" s="579"/>
      <c r="T60" s="580"/>
      <c r="U60" s="580"/>
      <c r="V60" s="580"/>
      <c r="W60" s="580"/>
      <c r="X60" s="580"/>
      <c r="Y60" s="583"/>
      <c r="Z60" s="580"/>
      <c r="AA60" s="579"/>
      <c r="AB60" s="583"/>
      <c r="AC60" s="580"/>
      <c r="AD60" s="579"/>
      <c r="AE60" s="583"/>
      <c r="AF60" s="579"/>
      <c r="AG60" s="579"/>
      <c r="AH60" s="583"/>
      <c r="AI60" s="579"/>
      <c r="AJ60" s="579"/>
      <c r="AK60" s="584"/>
      <c r="AL60" s="579"/>
      <c r="AM60" s="579"/>
      <c r="AN60" s="579"/>
      <c r="AO60" s="579"/>
      <c r="AP60" s="579"/>
      <c r="AQ60" s="579"/>
      <c r="AR60" s="579"/>
      <c r="AS60" s="579"/>
      <c r="AT60" s="568"/>
      <c r="AU60" s="568"/>
      <c r="AV60" s="568"/>
      <c r="AW60" s="568"/>
      <c r="AX60" s="568"/>
      <c r="AY60" s="568"/>
      <c r="AZ60" s="569"/>
      <c r="BA60" s="569"/>
      <c r="BB60" s="551"/>
      <c r="BC60" s="552"/>
      <c r="BD60" s="538"/>
      <c r="BE60" s="596"/>
      <c r="BF60" s="596"/>
      <c r="BG60" s="596"/>
      <c r="BH60" s="598"/>
      <c r="BI60" s="596"/>
      <c r="BJ60" s="596"/>
      <c r="BK60" s="596"/>
      <c r="BL60" s="596"/>
      <c r="BM60" s="596"/>
      <c r="BN60" s="596"/>
      <c r="BO60" s="596"/>
      <c r="BP60" s="596"/>
      <c r="BQ60" s="596"/>
      <c r="BR60" s="596"/>
      <c r="BS60" s="596"/>
      <c r="BT60" s="596"/>
    </row>
    <row r="61" spans="1:72" ht="12.5" customHeight="1">
      <c r="A61" s="540"/>
      <c r="B61" s="566"/>
      <c r="C61" s="575"/>
      <c r="D61" s="576"/>
      <c r="E61" s="568"/>
      <c r="F61" s="568"/>
      <c r="G61" s="568"/>
      <c r="H61" s="579"/>
      <c r="I61" s="579"/>
      <c r="J61" s="579"/>
      <c r="K61" s="579"/>
      <c r="L61" s="579"/>
      <c r="M61" s="579"/>
      <c r="N61" s="579"/>
      <c r="O61" s="579"/>
      <c r="P61" s="579"/>
      <c r="Q61" s="579"/>
      <c r="R61" s="579"/>
      <c r="S61" s="579"/>
      <c r="T61" s="579"/>
      <c r="U61" s="579"/>
      <c r="V61" s="579"/>
      <c r="W61" s="579"/>
      <c r="X61" s="579"/>
      <c r="Y61" s="579"/>
      <c r="Z61" s="579"/>
      <c r="AA61" s="579"/>
      <c r="AB61" s="579"/>
      <c r="AC61" s="579"/>
      <c r="AD61" s="579"/>
      <c r="AE61" s="579"/>
      <c r="AF61" s="579"/>
      <c r="AG61" s="579"/>
      <c r="AH61" s="579"/>
      <c r="AI61" s="579"/>
      <c r="AJ61" s="579"/>
      <c r="AK61" s="579"/>
      <c r="AL61" s="579"/>
      <c r="AM61" s="579"/>
      <c r="AN61" s="579"/>
      <c r="AO61" s="579"/>
      <c r="AP61" s="579"/>
      <c r="AQ61" s="579"/>
      <c r="AR61" s="579"/>
      <c r="AS61" s="579"/>
      <c r="AT61" s="573"/>
      <c r="AU61" s="568"/>
      <c r="AV61" s="568"/>
      <c r="AW61" s="568"/>
      <c r="AX61" s="568"/>
      <c r="AY61" s="568"/>
      <c r="AZ61" s="569"/>
      <c r="BA61" s="569"/>
      <c r="BB61" s="551"/>
      <c r="BC61" s="552"/>
      <c r="BD61" s="538"/>
      <c r="BE61" s="596"/>
      <c r="BF61" s="596"/>
      <c r="BG61" s="596"/>
      <c r="BH61" s="598"/>
      <c r="BI61" s="596"/>
      <c r="BJ61" s="596"/>
      <c r="BK61" s="596"/>
      <c r="BL61" s="596"/>
      <c r="BM61" s="596"/>
      <c r="BN61" s="596"/>
      <c r="BO61" s="596"/>
      <c r="BP61" s="596"/>
      <c r="BQ61" s="596"/>
      <c r="BR61" s="596"/>
      <c r="BS61" s="596"/>
      <c r="BT61" s="596"/>
    </row>
    <row r="62" spans="1:72" ht="12.5" customHeight="1">
      <c r="A62" s="540"/>
      <c r="B62" s="566"/>
      <c r="C62" s="575"/>
      <c r="D62" s="576"/>
      <c r="E62" s="568"/>
      <c r="F62" s="568"/>
      <c r="G62" s="568"/>
      <c r="H62" s="579"/>
      <c r="I62" s="579"/>
      <c r="J62" s="579"/>
      <c r="K62" s="579"/>
      <c r="L62" s="579"/>
      <c r="M62" s="579"/>
      <c r="N62" s="579"/>
      <c r="O62" s="579"/>
      <c r="P62" s="579"/>
      <c r="Q62" s="579"/>
      <c r="R62" s="579"/>
      <c r="S62" s="579"/>
      <c r="T62" s="579"/>
      <c r="U62" s="579"/>
      <c r="V62" s="579"/>
      <c r="W62" s="579"/>
      <c r="X62" s="579"/>
      <c r="Y62" s="579"/>
      <c r="Z62" s="579"/>
      <c r="AA62" s="579"/>
      <c r="AB62" s="579"/>
      <c r="AC62" s="579"/>
      <c r="AD62" s="579"/>
      <c r="AE62" s="579"/>
      <c r="AF62" s="579"/>
      <c r="AG62" s="579"/>
      <c r="AH62" s="579"/>
      <c r="AI62" s="579"/>
      <c r="AJ62" s="579"/>
      <c r="AK62" s="579"/>
      <c r="AL62" s="579"/>
      <c r="AM62" s="579"/>
      <c r="AN62" s="579"/>
      <c r="AO62" s="579"/>
      <c r="AP62" s="579"/>
      <c r="AQ62" s="579"/>
      <c r="AR62" s="579"/>
      <c r="AS62" s="581"/>
      <c r="AT62" s="577"/>
      <c r="AU62" s="577"/>
      <c r="AV62" s="577"/>
      <c r="AW62" s="577"/>
      <c r="AX62" s="577"/>
      <c r="AY62" s="577"/>
      <c r="AZ62" s="569"/>
      <c r="BA62" s="569"/>
      <c r="BB62" s="551"/>
      <c r="BC62" s="552"/>
      <c r="BD62" s="538"/>
      <c r="BE62" s="596"/>
      <c r="BF62" s="596"/>
      <c r="BG62" s="596"/>
      <c r="BH62" s="598"/>
      <c r="BI62" s="596"/>
      <c r="BJ62" s="596"/>
      <c r="BK62" s="596"/>
      <c r="BL62" s="596"/>
      <c r="BM62" s="596"/>
      <c r="BN62" s="596"/>
      <c r="BO62" s="596"/>
      <c r="BP62" s="596"/>
      <c r="BQ62" s="596"/>
      <c r="BR62" s="596"/>
      <c r="BS62" s="596"/>
      <c r="BT62" s="596"/>
    </row>
    <row r="63" spans="1:72" ht="12.5" customHeight="1">
      <c r="A63" s="540"/>
      <c r="B63" s="566"/>
      <c r="C63" s="575"/>
      <c r="D63" s="576"/>
      <c r="E63" s="568"/>
      <c r="F63" s="568"/>
      <c r="G63" s="568"/>
      <c r="H63" s="579"/>
      <c r="I63" s="579"/>
      <c r="J63" s="790"/>
      <c r="K63" s="790"/>
      <c r="L63" s="790"/>
      <c r="M63" s="790"/>
      <c r="N63" s="582"/>
      <c r="O63" s="583"/>
      <c r="P63" s="582"/>
      <c r="Q63" s="579"/>
      <c r="R63" s="579"/>
      <c r="S63" s="579"/>
      <c r="T63" s="580"/>
      <c r="U63" s="580"/>
      <c r="V63" s="580"/>
      <c r="W63" s="580"/>
      <c r="X63" s="580"/>
      <c r="Y63" s="583"/>
      <c r="Z63" s="580"/>
      <c r="AA63" s="579"/>
      <c r="AB63" s="583"/>
      <c r="AC63" s="580"/>
      <c r="AD63" s="579"/>
      <c r="AE63" s="583"/>
      <c r="AF63" s="579"/>
      <c r="AG63" s="579"/>
      <c r="AH63" s="583"/>
      <c r="AI63" s="579"/>
      <c r="AJ63" s="579"/>
      <c r="AK63" s="584"/>
      <c r="AL63" s="579"/>
      <c r="AM63" s="579"/>
      <c r="AN63" s="579"/>
      <c r="AO63" s="579"/>
      <c r="AP63" s="579"/>
      <c r="AQ63" s="579"/>
      <c r="AR63" s="579"/>
      <c r="AS63" s="579"/>
      <c r="AT63" s="568"/>
      <c r="AU63" s="568"/>
      <c r="AV63" s="568"/>
      <c r="AW63" s="568"/>
      <c r="AX63" s="568"/>
      <c r="AY63" s="568"/>
      <c r="AZ63" s="569"/>
      <c r="BA63" s="569"/>
      <c r="BB63" s="551"/>
      <c r="BC63" s="552"/>
      <c r="BD63" s="538"/>
      <c r="BE63" s="596"/>
      <c r="BF63" s="596"/>
      <c r="BG63" s="596"/>
      <c r="BH63" s="598"/>
      <c r="BI63" s="596"/>
      <c r="BJ63" s="596"/>
      <c r="BK63" s="596"/>
      <c r="BL63" s="596"/>
      <c r="BM63" s="596"/>
      <c r="BN63" s="596"/>
      <c r="BO63" s="596"/>
      <c r="BP63" s="596"/>
      <c r="BQ63" s="596"/>
      <c r="BR63" s="596"/>
      <c r="BS63" s="596"/>
      <c r="BT63" s="596"/>
    </row>
    <row r="64" spans="1:72" ht="12.5" customHeight="1">
      <c r="A64" s="540"/>
      <c r="B64" s="566"/>
      <c r="C64" s="575"/>
      <c r="D64" s="576"/>
      <c r="E64" s="568"/>
      <c r="F64" s="568"/>
      <c r="G64" s="568"/>
      <c r="H64" s="579"/>
      <c r="I64" s="579"/>
      <c r="J64" s="579"/>
      <c r="K64" s="579"/>
      <c r="L64" s="579"/>
      <c r="M64" s="579"/>
      <c r="N64" s="579"/>
      <c r="O64" s="579"/>
      <c r="P64" s="579"/>
      <c r="Q64" s="579"/>
      <c r="R64" s="579"/>
      <c r="S64" s="579"/>
      <c r="T64" s="579"/>
      <c r="U64" s="579"/>
      <c r="V64" s="579"/>
      <c r="W64" s="579"/>
      <c r="X64" s="579"/>
      <c r="Y64" s="579"/>
      <c r="Z64" s="579"/>
      <c r="AA64" s="579"/>
      <c r="AB64" s="579"/>
      <c r="AC64" s="579"/>
      <c r="AD64" s="579"/>
      <c r="AE64" s="579"/>
      <c r="AF64" s="579"/>
      <c r="AG64" s="579"/>
      <c r="AH64" s="579"/>
      <c r="AI64" s="579"/>
      <c r="AJ64" s="579"/>
      <c r="AK64" s="579"/>
      <c r="AL64" s="579"/>
      <c r="AM64" s="579"/>
      <c r="AN64" s="579"/>
      <c r="AO64" s="579"/>
      <c r="AP64" s="579"/>
      <c r="AQ64" s="579"/>
      <c r="AR64" s="579"/>
      <c r="AS64" s="581"/>
      <c r="AT64" s="577"/>
      <c r="AU64" s="577"/>
      <c r="AV64" s="577"/>
      <c r="AW64" s="577"/>
      <c r="AX64" s="577"/>
      <c r="AY64" s="577"/>
      <c r="AZ64" s="569"/>
      <c r="BA64" s="569"/>
      <c r="BB64" s="551"/>
      <c r="BC64" s="552"/>
      <c r="BD64" s="538"/>
      <c r="BE64" s="596"/>
      <c r="BF64" s="596"/>
      <c r="BG64" s="596"/>
      <c r="BH64" s="598"/>
      <c r="BI64" s="596"/>
      <c r="BJ64" s="596"/>
      <c r="BK64" s="596"/>
      <c r="BL64" s="596"/>
      <c r="BM64" s="596"/>
      <c r="BN64" s="596"/>
      <c r="BO64" s="596"/>
      <c r="BP64" s="596"/>
      <c r="BQ64" s="596"/>
      <c r="BR64" s="596"/>
      <c r="BS64" s="596"/>
      <c r="BT64" s="596"/>
    </row>
    <row r="65" spans="1:72" ht="12.5" customHeight="1">
      <c r="A65" s="540"/>
      <c r="B65" s="566"/>
      <c r="C65" s="575"/>
      <c r="D65" s="576"/>
      <c r="E65" s="625" t="s">
        <v>382</v>
      </c>
      <c r="F65" s="568"/>
      <c r="G65" s="568"/>
      <c r="H65" s="579"/>
      <c r="I65" s="579"/>
      <c r="J65" s="579"/>
      <c r="K65" s="579"/>
      <c r="L65" s="579"/>
      <c r="M65" s="579"/>
      <c r="N65" s="579"/>
      <c r="O65" s="579"/>
      <c r="P65" s="579"/>
      <c r="Q65" s="579"/>
      <c r="R65" s="579"/>
      <c r="S65" s="579"/>
      <c r="T65" s="579"/>
      <c r="U65" s="579"/>
      <c r="V65" s="579"/>
      <c r="W65" s="579"/>
      <c r="X65" s="579"/>
      <c r="Y65" s="579"/>
      <c r="Z65" s="579"/>
      <c r="AA65" s="579"/>
      <c r="AB65" s="579"/>
      <c r="AC65" s="579"/>
      <c r="AD65" s="579"/>
      <c r="AE65" s="579"/>
      <c r="AF65" s="579"/>
      <c r="AG65" s="579"/>
      <c r="AH65" s="579"/>
      <c r="AI65" s="579"/>
      <c r="AJ65" s="579"/>
      <c r="AK65" s="579"/>
      <c r="AL65" s="579"/>
      <c r="AM65" s="579"/>
      <c r="AN65" s="579"/>
      <c r="AO65" s="579"/>
      <c r="AP65" s="579"/>
      <c r="AQ65" s="579"/>
      <c r="AR65" s="579"/>
      <c r="AS65" s="579"/>
      <c r="AT65" s="573"/>
      <c r="AU65" s="568"/>
      <c r="AV65" s="568"/>
      <c r="AW65" s="568"/>
      <c r="AX65" s="568"/>
      <c r="AY65" s="568"/>
      <c r="AZ65" s="569"/>
      <c r="BA65" s="569"/>
      <c r="BB65" s="551"/>
      <c r="BC65" s="552"/>
      <c r="BD65" s="538"/>
      <c r="BE65" s="596"/>
      <c r="BF65" s="596"/>
      <c r="BG65" s="596"/>
      <c r="BH65" s="598"/>
      <c r="BI65" s="596"/>
      <c r="BJ65" s="596"/>
      <c r="BK65" s="596"/>
      <c r="BL65" s="596"/>
      <c r="BM65" s="596"/>
      <c r="BN65" s="596"/>
      <c r="BO65" s="596"/>
      <c r="BP65" s="596"/>
      <c r="BQ65" s="596"/>
      <c r="BR65" s="596"/>
      <c r="BS65" s="596"/>
      <c r="BT65" s="596"/>
    </row>
    <row r="66" spans="1:72" ht="12.5" customHeight="1">
      <c r="A66" s="540"/>
      <c r="B66" s="566"/>
      <c r="C66" s="575"/>
      <c r="D66" s="576"/>
      <c r="E66" s="568" t="s">
        <v>397</v>
      </c>
      <c r="F66" s="568"/>
      <c r="G66" s="568"/>
      <c r="H66" s="579"/>
      <c r="I66" s="579"/>
      <c r="J66" s="579"/>
      <c r="K66" s="579"/>
      <c r="L66" s="579"/>
      <c r="M66" s="579"/>
      <c r="N66" s="579"/>
      <c r="O66" s="579"/>
      <c r="P66" s="579"/>
      <c r="Q66" s="579"/>
      <c r="R66" s="579"/>
      <c r="S66" s="579"/>
      <c r="T66" s="579"/>
      <c r="U66" s="579"/>
      <c r="V66" s="579"/>
      <c r="W66" s="579"/>
      <c r="X66" s="579"/>
      <c r="Y66" s="579"/>
      <c r="Z66" s="579"/>
      <c r="AA66" s="579"/>
      <c r="AB66" s="579"/>
      <c r="AC66" s="579"/>
      <c r="AD66" s="579"/>
      <c r="AE66" s="579"/>
      <c r="AF66" s="579"/>
      <c r="AG66" s="579"/>
      <c r="AH66" s="579"/>
      <c r="AI66" s="579"/>
      <c r="AJ66" s="579"/>
      <c r="AK66" s="579"/>
      <c r="AL66" s="579"/>
      <c r="AM66" s="579"/>
      <c r="AN66" s="579"/>
      <c r="AO66" s="579"/>
      <c r="AP66" s="579"/>
      <c r="AQ66" s="579"/>
      <c r="AR66" s="579"/>
      <c r="AS66" s="581"/>
      <c r="AT66" s="577"/>
      <c r="AU66" s="577"/>
      <c r="AV66" s="577"/>
      <c r="AW66" s="577"/>
      <c r="AX66" s="577"/>
      <c r="AY66" s="577"/>
      <c r="AZ66" s="569"/>
      <c r="BA66" s="569"/>
      <c r="BB66" s="551"/>
      <c r="BC66" s="552"/>
      <c r="BD66" s="538"/>
      <c r="BE66" s="596"/>
      <c r="BF66" s="596"/>
      <c r="BG66" s="596"/>
      <c r="BH66" s="598"/>
      <c r="BI66" s="596"/>
      <c r="BJ66" s="596"/>
      <c r="BK66" s="596"/>
      <c r="BL66" s="596"/>
      <c r="BM66" s="596"/>
      <c r="BN66" s="596"/>
      <c r="BO66" s="596"/>
      <c r="BP66" s="596"/>
      <c r="BQ66" s="596"/>
      <c r="BR66" s="596"/>
      <c r="BS66" s="597"/>
      <c r="BT66" s="596"/>
    </row>
    <row r="67" spans="1:72" ht="12.5" customHeight="1">
      <c r="A67" s="540"/>
      <c r="B67" s="566"/>
      <c r="C67" s="575"/>
      <c r="D67" s="576"/>
      <c r="E67" s="568"/>
      <c r="F67" s="568"/>
      <c r="G67" s="568"/>
      <c r="H67" s="579"/>
      <c r="I67" s="579"/>
      <c r="J67" s="790"/>
      <c r="K67" s="790"/>
      <c r="L67" s="790"/>
      <c r="M67" s="790"/>
      <c r="N67" s="582"/>
      <c r="O67" s="583"/>
      <c r="P67" s="582"/>
      <c r="Q67" s="579"/>
      <c r="R67" s="579"/>
      <c r="S67" s="579"/>
      <c r="T67" s="580"/>
      <c r="U67" s="580"/>
      <c r="V67" s="580"/>
      <c r="W67" s="580"/>
      <c r="X67" s="580"/>
      <c r="Y67" s="583"/>
      <c r="Z67" s="580"/>
      <c r="AA67" s="579"/>
      <c r="AB67" s="583"/>
      <c r="AC67" s="580"/>
      <c r="AD67" s="579"/>
      <c r="AE67" s="583"/>
      <c r="AF67" s="579"/>
      <c r="AG67" s="579"/>
      <c r="AH67" s="583"/>
      <c r="AI67" s="579"/>
      <c r="AJ67" s="579"/>
      <c r="AK67" s="584"/>
      <c r="AL67" s="579"/>
      <c r="AM67" s="579"/>
      <c r="AN67" s="579"/>
      <c r="AO67" s="579"/>
      <c r="AP67" s="579"/>
      <c r="AQ67" s="579"/>
      <c r="AR67" s="579"/>
      <c r="AS67" s="579"/>
      <c r="AT67" s="568"/>
      <c r="AU67" s="568"/>
      <c r="AV67" s="568"/>
      <c r="AW67" s="568"/>
      <c r="AX67" s="568"/>
      <c r="AY67" s="568"/>
      <c r="AZ67" s="569"/>
      <c r="BA67" s="569"/>
      <c r="BB67" s="551"/>
      <c r="BC67" s="552"/>
      <c r="BD67" s="538"/>
      <c r="BE67" s="596"/>
      <c r="BF67" s="596"/>
      <c r="BG67" s="596"/>
      <c r="BH67" s="598"/>
      <c r="BI67" s="596"/>
      <c r="BJ67" s="596"/>
      <c r="BK67" s="596"/>
      <c r="BL67" s="596"/>
      <c r="BM67" s="596"/>
      <c r="BN67" s="596"/>
      <c r="BO67" s="596"/>
      <c r="BP67" s="596"/>
      <c r="BQ67" s="596"/>
      <c r="BR67" s="596"/>
      <c r="BS67" s="597"/>
      <c r="BT67" s="596"/>
    </row>
    <row r="68" spans="1:72" ht="12.5" customHeight="1">
      <c r="A68" s="540"/>
      <c r="B68" s="566"/>
      <c r="C68" s="567"/>
      <c r="D68" s="567"/>
      <c r="E68" s="626"/>
      <c r="F68" s="626"/>
      <c r="G68" s="626"/>
      <c r="H68" s="626"/>
      <c r="I68" s="626"/>
      <c r="J68" s="626"/>
      <c r="K68" s="626"/>
      <c r="L68" s="626"/>
      <c r="M68" s="626"/>
      <c r="N68" s="626"/>
      <c r="O68" s="626"/>
      <c r="P68" s="626"/>
      <c r="Q68" s="626"/>
      <c r="R68" s="626"/>
      <c r="S68" s="626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567"/>
      <c r="AX68" s="567"/>
      <c r="AY68" s="567"/>
      <c r="AZ68" s="569"/>
      <c r="BA68" s="569"/>
      <c r="BB68" s="551"/>
      <c r="BC68" s="552"/>
      <c r="BD68" s="538"/>
      <c r="BE68" s="596"/>
      <c r="BF68" s="596"/>
      <c r="BG68" s="596"/>
      <c r="BH68" s="598"/>
      <c r="BI68" s="596"/>
      <c r="BJ68" s="596"/>
      <c r="BK68" s="596"/>
      <c r="BL68" s="596"/>
      <c r="BM68" s="596"/>
      <c r="BN68" s="596"/>
      <c r="BO68" s="596"/>
      <c r="BP68" s="596"/>
      <c r="BQ68" s="596"/>
      <c r="BR68" s="596"/>
      <c r="BS68" s="597"/>
      <c r="BT68" s="596"/>
    </row>
    <row r="69" spans="1:72" ht="12.5" customHeight="1">
      <c r="A69" s="540"/>
      <c r="B69" s="566"/>
      <c r="C69" s="575"/>
      <c r="D69" s="576"/>
      <c r="E69" s="627"/>
      <c r="F69" s="627"/>
      <c r="G69" s="632" t="s">
        <v>383</v>
      </c>
      <c r="H69" s="631"/>
      <c r="I69" s="631"/>
      <c r="J69" s="631"/>
      <c r="K69" s="631"/>
      <c r="L69" s="631"/>
      <c r="M69" s="631"/>
      <c r="N69" s="631"/>
      <c r="O69" s="631"/>
      <c r="P69" s="631"/>
      <c r="Q69" s="628"/>
      <c r="R69" s="628"/>
      <c r="S69" s="628"/>
      <c r="T69" s="579"/>
      <c r="U69" s="579"/>
      <c r="V69" s="579"/>
      <c r="W69" s="579"/>
      <c r="X69" s="579"/>
      <c r="Y69" s="579"/>
      <c r="Z69" s="579"/>
      <c r="AA69" s="579"/>
      <c r="AB69" s="579"/>
      <c r="AC69" s="579"/>
      <c r="AD69" s="579"/>
      <c r="AE69" s="579"/>
      <c r="AF69" s="579"/>
      <c r="AG69" s="579"/>
      <c r="AH69" s="579"/>
      <c r="AI69" s="579"/>
      <c r="AJ69" s="579"/>
      <c r="AK69" s="579"/>
      <c r="AL69" s="579"/>
      <c r="AM69" s="579"/>
      <c r="AN69" s="579"/>
      <c r="AO69" s="579"/>
      <c r="AP69" s="579"/>
      <c r="AQ69" s="579"/>
      <c r="AR69" s="579"/>
      <c r="AS69" s="579"/>
      <c r="AT69" s="573"/>
      <c r="AU69" s="568"/>
      <c r="AV69" s="568"/>
      <c r="AW69" s="568"/>
      <c r="AX69" s="568"/>
      <c r="AY69" s="568"/>
      <c r="AZ69" s="569"/>
      <c r="BA69" s="569"/>
      <c r="BB69" s="551"/>
      <c r="BC69" s="552"/>
      <c r="BD69" s="538"/>
      <c r="BE69" s="596"/>
      <c r="BF69" s="596"/>
      <c r="BG69" s="596"/>
      <c r="BH69" s="596"/>
      <c r="BI69" s="596"/>
      <c r="BJ69" s="596"/>
      <c r="BK69" s="596"/>
      <c r="BL69" s="596"/>
      <c r="BM69" s="596"/>
      <c r="BN69" s="596"/>
      <c r="BO69" s="596"/>
      <c r="BP69" s="596"/>
      <c r="BQ69" s="596"/>
      <c r="BR69" s="596"/>
      <c r="BS69" s="597"/>
      <c r="BT69" s="596"/>
    </row>
    <row r="70" spans="1:72" ht="12.5" customHeight="1">
      <c r="A70" s="540"/>
      <c r="B70" s="566"/>
      <c r="C70" s="575"/>
      <c r="D70" s="576"/>
      <c r="E70" s="627"/>
      <c r="F70" s="627"/>
      <c r="G70" s="627"/>
      <c r="H70" s="628"/>
      <c r="I70" s="628"/>
      <c r="J70" s="631" t="s">
        <v>384</v>
      </c>
      <c r="K70" s="631"/>
      <c r="L70" s="631"/>
      <c r="M70" s="631"/>
      <c r="N70" s="628"/>
      <c r="O70" s="628"/>
      <c r="P70" s="628"/>
      <c r="Q70" s="628"/>
      <c r="R70" s="628"/>
      <c r="S70" s="628"/>
      <c r="T70" s="579"/>
      <c r="U70" s="579"/>
      <c r="V70" s="579"/>
      <c r="W70" s="579"/>
      <c r="X70" s="579"/>
      <c r="Y70" s="579"/>
      <c r="Z70" s="579"/>
      <c r="AA70" s="579"/>
      <c r="AB70" s="579"/>
      <c r="AC70" s="579"/>
      <c r="AD70" s="579"/>
      <c r="AE70" s="579"/>
      <c r="AF70" s="579"/>
      <c r="AG70" s="579"/>
      <c r="AH70" s="579"/>
      <c r="AI70" s="579"/>
      <c r="AJ70" s="579"/>
      <c r="AK70" s="579"/>
      <c r="AL70" s="579"/>
      <c r="AM70" s="579"/>
      <c r="AN70" s="579"/>
      <c r="AO70" s="579"/>
      <c r="AP70" s="579"/>
      <c r="AQ70" s="579"/>
      <c r="AR70" s="579"/>
      <c r="AS70" s="581"/>
      <c r="AT70" s="577"/>
      <c r="AU70" s="577"/>
      <c r="AV70" s="577"/>
      <c r="AW70" s="577"/>
      <c r="AX70" s="577"/>
      <c r="AY70" s="577"/>
      <c r="AZ70" s="569"/>
      <c r="BA70" s="569"/>
      <c r="BB70" s="551"/>
      <c r="BC70" s="552"/>
      <c r="BD70" s="538"/>
      <c r="BE70" s="596"/>
      <c r="BF70" s="596"/>
      <c r="BG70" s="596"/>
      <c r="BH70" s="596"/>
      <c r="BI70" s="596"/>
      <c r="BJ70" s="596"/>
      <c r="BK70" s="596"/>
      <c r="BL70" s="596"/>
      <c r="BM70" s="596"/>
      <c r="BN70" s="596"/>
      <c r="BO70" s="596"/>
      <c r="BP70" s="596"/>
      <c r="BQ70" s="596"/>
      <c r="BR70" s="596"/>
      <c r="BS70" s="596"/>
      <c r="BT70" s="596"/>
    </row>
    <row r="71" spans="1:72" ht="12.5" customHeight="1">
      <c r="A71" s="540"/>
      <c r="B71" s="566"/>
      <c r="C71" s="575"/>
      <c r="D71" s="576"/>
      <c r="E71" s="760" t="s">
        <v>421</v>
      </c>
      <c r="F71" s="760"/>
      <c r="G71" s="760"/>
      <c r="H71" s="760"/>
      <c r="I71" s="760"/>
      <c r="J71" s="760"/>
      <c r="K71" s="760"/>
      <c r="L71" s="760"/>
      <c r="M71" s="760"/>
      <c r="N71" s="760"/>
      <c r="O71" s="760"/>
      <c r="P71" s="760"/>
      <c r="Q71" s="760"/>
      <c r="R71" s="760"/>
      <c r="S71" s="760"/>
      <c r="T71" s="579"/>
      <c r="U71" s="579"/>
      <c r="V71" s="579"/>
      <c r="W71" s="579"/>
      <c r="X71" s="579"/>
      <c r="Y71" s="579"/>
      <c r="Z71" s="579"/>
      <c r="AA71" s="579"/>
      <c r="AB71" s="579"/>
      <c r="AC71" s="579"/>
      <c r="AD71" s="579"/>
      <c r="AE71" s="579"/>
      <c r="AF71" s="579"/>
      <c r="AG71" s="579"/>
      <c r="AH71" s="579"/>
      <c r="AI71" s="579"/>
      <c r="AJ71" s="579"/>
      <c r="AK71" s="579"/>
      <c r="AL71" s="579"/>
      <c r="AM71" s="579"/>
      <c r="AN71" s="579"/>
      <c r="AO71" s="579"/>
      <c r="AP71" s="579"/>
      <c r="AQ71" s="579"/>
      <c r="AR71" s="579"/>
      <c r="AS71" s="579"/>
      <c r="AT71" s="573"/>
      <c r="AU71" s="568"/>
      <c r="AV71" s="568"/>
      <c r="AW71" s="568"/>
      <c r="AX71" s="568"/>
      <c r="AY71" s="568"/>
      <c r="AZ71" s="569"/>
      <c r="BA71" s="569"/>
      <c r="BB71" s="551"/>
      <c r="BC71" s="552"/>
      <c r="BD71" s="538"/>
      <c r="BE71" s="596"/>
      <c r="BF71" s="596"/>
      <c r="BG71" s="596"/>
      <c r="BH71" s="596"/>
      <c r="BI71" s="596"/>
      <c r="BJ71" s="596"/>
      <c r="BK71" s="596"/>
      <c r="BL71" s="596"/>
      <c r="BM71" s="597"/>
      <c r="BN71" s="597"/>
      <c r="BO71" s="597"/>
      <c r="BP71" s="597"/>
      <c r="BQ71" s="597"/>
      <c r="BR71" s="597"/>
      <c r="BS71" s="596"/>
      <c r="BT71" s="596"/>
    </row>
    <row r="72" spans="1:72" ht="12.5" customHeight="1">
      <c r="A72" s="540"/>
      <c r="B72" s="566"/>
      <c r="C72" s="575"/>
      <c r="D72" s="576"/>
      <c r="E72" s="627"/>
      <c r="F72" s="627"/>
      <c r="G72" s="627"/>
      <c r="H72" s="628"/>
      <c r="I72" s="628"/>
      <c r="J72" s="631" t="s">
        <v>398</v>
      </c>
      <c r="K72" s="631"/>
      <c r="L72" s="631"/>
      <c r="M72" s="631"/>
      <c r="N72" s="628"/>
      <c r="O72" s="628"/>
      <c r="P72" s="628"/>
      <c r="Q72" s="628"/>
      <c r="R72" s="628"/>
      <c r="S72" s="628"/>
      <c r="T72" s="579"/>
      <c r="U72" s="579"/>
      <c r="V72" s="579"/>
      <c r="W72" s="579"/>
      <c r="X72" s="579"/>
      <c r="Y72" s="579"/>
      <c r="Z72" s="579"/>
      <c r="AA72" s="579"/>
      <c r="AB72" s="579"/>
      <c r="AC72" s="579"/>
      <c r="AD72" s="579"/>
      <c r="AE72" s="579"/>
      <c r="AF72" s="579"/>
      <c r="AG72" s="579"/>
      <c r="AH72" s="579"/>
      <c r="AI72" s="579"/>
      <c r="AJ72" s="579"/>
      <c r="AK72" s="579"/>
      <c r="AL72" s="579"/>
      <c r="AM72" s="579"/>
      <c r="AN72" s="579"/>
      <c r="AO72" s="579"/>
      <c r="AP72" s="579"/>
      <c r="AQ72" s="579"/>
      <c r="AR72" s="579"/>
      <c r="AS72" s="581"/>
      <c r="AT72" s="577"/>
      <c r="AU72" s="577"/>
      <c r="AV72" s="577"/>
      <c r="AW72" s="577"/>
      <c r="AX72" s="577"/>
      <c r="AY72" s="577"/>
      <c r="AZ72" s="569"/>
      <c r="BA72" s="569"/>
      <c r="BB72" s="551"/>
      <c r="BC72" s="552"/>
      <c r="BD72" s="538"/>
      <c r="BE72" s="596"/>
      <c r="BF72" s="596"/>
      <c r="BG72" s="596"/>
      <c r="BH72" s="598"/>
      <c r="BI72" s="596"/>
      <c r="BJ72" s="596"/>
      <c r="BK72" s="596"/>
      <c r="BL72" s="596"/>
      <c r="BM72" s="597"/>
      <c r="BN72" s="597"/>
      <c r="BO72" s="597"/>
      <c r="BP72" s="597"/>
      <c r="BQ72" s="597"/>
      <c r="BR72" s="597"/>
      <c r="BS72" s="596"/>
      <c r="BT72" s="596"/>
    </row>
    <row r="73" spans="1:72" ht="12.5" customHeight="1">
      <c r="A73" s="540"/>
      <c r="B73" s="566"/>
      <c r="C73" s="575"/>
      <c r="D73" s="576"/>
      <c r="E73" s="627"/>
      <c r="F73" s="627"/>
      <c r="G73" s="627"/>
      <c r="H73" s="628"/>
      <c r="I73" s="628"/>
      <c r="J73" s="633"/>
      <c r="K73" s="633"/>
      <c r="L73" s="633"/>
      <c r="M73" s="633"/>
      <c r="N73" s="629"/>
      <c r="O73" s="630"/>
      <c r="P73" s="629"/>
      <c r="Q73" s="628"/>
      <c r="R73" s="628"/>
      <c r="S73" s="628"/>
      <c r="T73" s="580"/>
      <c r="U73" s="580"/>
      <c r="V73" s="580"/>
      <c r="W73" s="580"/>
      <c r="X73" s="580"/>
      <c r="Y73" s="583"/>
      <c r="Z73" s="580"/>
      <c r="AA73" s="579"/>
      <c r="AB73" s="583"/>
      <c r="AC73" s="580"/>
      <c r="AD73" s="579"/>
      <c r="AE73" s="583"/>
      <c r="AF73" s="579"/>
      <c r="AG73" s="579"/>
      <c r="AH73" s="583"/>
      <c r="AI73" s="579"/>
      <c r="AJ73" s="579"/>
      <c r="AK73" s="584"/>
      <c r="AL73" s="579"/>
      <c r="AM73" s="579"/>
      <c r="AN73" s="579"/>
      <c r="AO73" s="579"/>
      <c r="AP73" s="579"/>
      <c r="AQ73" s="579"/>
      <c r="AR73" s="579"/>
      <c r="AS73" s="579"/>
      <c r="AT73" s="568"/>
      <c r="AU73" s="568"/>
      <c r="AV73" s="568"/>
      <c r="AW73" s="568"/>
      <c r="AX73" s="568"/>
      <c r="AY73" s="568"/>
      <c r="AZ73" s="569"/>
      <c r="BA73" s="569"/>
      <c r="BB73" s="551"/>
      <c r="BC73" s="552"/>
      <c r="BD73" s="538"/>
      <c r="BE73" s="596"/>
      <c r="BF73" s="596"/>
      <c r="BG73" s="596"/>
      <c r="BH73" s="598"/>
      <c r="BI73" s="596"/>
      <c r="BJ73" s="596"/>
      <c r="BK73" s="596"/>
      <c r="BL73" s="596"/>
      <c r="BM73" s="597"/>
      <c r="BN73" s="597"/>
      <c r="BO73" s="597"/>
      <c r="BP73" s="597"/>
      <c r="BQ73" s="597"/>
      <c r="BR73" s="597"/>
      <c r="BS73" s="596"/>
      <c r="BT73" s="596"/>
    </row>
    <row r="74" spans="1:72" ht="12.5" customHeight="1">
      <c r="A74" s="540"/>
      <c r="B74" s="566"/>
      <c r="C74" s="575"/>
      <c r="D74" s="576"/>
      <c r="E74" s="627"/>
      <c r="F74" s="627"/>
      <c r="G74" s="627"/>
      <c r="H74" s="628"/>
      <c r="I74" s="628"/>
      <c r="J74" s="812"/>
      <c r="K74" s="812"/>
      <c r="L74" s="812"/>
      <c r="M74" s="812"/>
      <c r="N74" s="629"/>
      <c r="O74" s="630"/>
      <c r="P74" s="629"/>
      <c r="Q74" s="628"/>
      <c r="R74" s="628"/>
      <c r="S74" s="628"/>
      <c r="T74" s="580"/>
      <c r="U74" s="580"/>
      <c r="V74" s="580"/>
      <c r="W74" s="580"/>
      <c r="X74" s="580"/>
      <c r="Y74" s="583"/>
      <c r="Z74" s="580"/>
      <c r="AA74" s="579"/>
      <c r="AB74" s="583"/>
      <c r="AC74" s="580"/>
      <c r="AD74" s="579"/>
      <c r="AE74" s="583"/>
      <c r="AF74" s="579"/>
      <c r="AG74" s="579"/>
      <c r="AH74" s="583"/>
      <c r="AI74" s="579"/>
      <c r="AJ74" s="579"/>
      <c r="AK74" s="584"/>
      <c r="AL74" s="579"/>
      <c r="AM74" s="579"/>
      <c r="AN74" s="579"/>
      <c r="AO74" s="579"/>
      <c r="AP74" s="579"/>
      <c r="AQ74" s="579"/>
      <c r="AR74" s="579"/>
      <c r="AS74" s="579"/>
      <c r="AT74" s="568"/>
      <c r="AU74" s="568"/>
      <c r="AV74" s="568"/>
      <c r="AW74" s="568"/>
      <c r="AX74" s="568"/>
      <c r="AY74" s="568"/>
      <c r="AZ74" s="569"/>
      <c r="BA74" s="569"/>
      <c r="BB74" s="551"/>
      <c r="BC74" s="552"/>
      <c r="BD74" s="538"/>
      <c r="BE74" s="596"/>
      <c r="BF74" s="596"/>
      <c r="BG74" s="596"/>
      <c r="BH74" s="596"/>
      <c r="BI74" s="596"/>
      <c r="BJ74" s="596"/>
      <c r="BK74" s="596"/>
      <c r="BL74" s="596"/>
      <c r="BM74" s="596"/>
      <c r="BN74" s="596"/>
      <c r="BO74" s="596"/>
      <c r="BP74" s="596"/>
      <c r="BQ74" s="596"/>
      <c r="BR74" s="596"/>
      <c r="BS74" s="596"/>
      <c r="BT74" s="596"/>
    </row>
    <row r="75" spans="1:72" ht="12.5" customHeight="1">
      <c r="A75" s="540"/>
      <c r="B75" s="566"/>
      <c r="C75" s="567"/>
      <c r="D75" s="567"/>
      <c r="E75" s="626"/>
      <c r="F75" s="626"/>
      <c r="G75" s="626"/>
      <c r="H75" s="626"/>
      <c r="I75" s="626"/>
      <c r="J75" s="626"/>
      <c r="K75" s="626"/>
      <c r="L75" s="626"/>
      <c r="M75" s="626"/>
      <c r="N75" s="626"/>
      <c r="O75" s="626"/>
      <c r="P75" s="626"/>
      <c r="Q75" s="626"/>
      <c r="R75" s="626"/>
      <c r="S75" s="626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  <c r="AH75" s="567"/>
      <c r="AI75" s="567"/>
      <c r="AJ75" s="567"/>
      <c r="AK75" s="567"/>
      <c r="AL75" s="567"/>
      <c r="AM75" s="567"/>
      <c r="AN75" s="567"/>
      <c r="AO75" s="567"/>
      <c r="AP75" s="567"/>
      <c r="AQ75" s="567"/>
      <c r="AR75" s="567"/>
      <c r="AS75" s="567"/>
      <c r="AT75" s="567"/>
      <c r="AU75" s="567"/>
      <c r="AV75" s="567"/>
      <c r="AW75" s="567"/>
      <c r="AX75" s="567"/>
      <c r="AY75" s="567"/>
      <c r="AZ75" s="569"/>
      <c r="BA75" s="569"/>
      <c r="BB75" s="551"/>
      <c r="BC75" s="552"/>
      <c r="BD75" s="538"/>
      <c r="BE75" s="596"/>
      <c r="BF75" s="596"/>
      <c r="BG75" s="596"/>
      <c r="BH75" s="596"/>
      <c r="BI75" s="596"/>
      <c r="BJ75" s="596"/>
      <c r="BK75" s="596"/>
      <c r="BL75" s="596"/>
      <c r="BM75" s="596"/>
      <c r="BN75" s="596"/>
      <c r="BO75" s="596"/>
      <c r="BP75" s="596"/>
      <c r="BQ75" s="596"/>
      <c r="BR75" s="596"/>
      <c r="BS75" s="596"/>
      <c r="BT75" s="596"/>
    </row>
    <row r="76" spans="1:72" ht="12.5" customHeight="1">
      <c r="A76" s="540"/>
      <c r="B76" s="566"/>
      <c r="C76" s="575"/>
      <c r="D76" s="57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6"/>
      <c r="P76" s="626"/>
      <c r="Q76" s="626"/>
      <c r="R76" s="626"/>
      <c r="S76" s="626"/>
      <c r="T76" s="579"/>
      <c r="U76" s="579"/>
      <c r="V76" s="579"/>
      <c r="W76" s="579"/>
      <c r="X76" s="579"/>
      <c r="Y76" s="579"/>
      <c r="Z76" s="579"/>
      <c r="AA76" s="579"/>
      <c r="AB76" s="579"/>
      <c r="AC76" s="579"/>
      <c r="AD76" s="579"/>
      <c r="AE76" s="579"/>
      <c r="AF76" s="579"/>
      <c r="AG76" s="579"/>
      <c r="AH76" s="579"/>
      <c r="AI76" s="579"/>
      <c r="AJ76" s="579"/>
      <c r="AK76" s="579"/>
      <c r="AL76" s="579"/>
      <c r="AM76" s="579"/>
      <c r="AN76" s="579"/>
      <c r="AO76" s="579"/>
      <c r="AP76" s="579"/>
      <c r="AQ76" s="579"/>
      <c r="AR76" s="579"/>
      <c r="AS76" s="579"/>
      <c r="AT76" s="573"/>
      <c r="AU76" s="568"/>
      <c r="AV76" s="568"/>
      <c r="AW76" s="568"/>
      <c r="AX76" s="568"/>
      <c r="AY76" s="568"/>
      <c r="AZ76" s="569"/>
      <c r="BA76" s="569"/>
      <c r="BB76" s="551"/>
      <c r="BC76" s="552"/>
      <c r="BD76" s="538"/>
      <c r="BE76" s="596"/>
      <c r="BF76" s="596"/>
      <c r="BG76" s="596"/>
      <c r="BH76" s="598"/>
      <c r="BI76" s="596"/>
      <c r="BJ76" s="596"/>
      <c r="BK76" s="596"/>
      <c r="BL76" s="596"/>
      <c r="BM76" s="596"/>
      <c r="BN76" s="596"/>
      <c r="BO76" s="596"/>
      <c r="BP76" s="596"/>
      <c r="BQ76" s="596"/>
      <c r="BR76" s="596"/>
      <c r="BS76" s="596"/>
      <c r="BT76" s="596"/>
    </row>
    <row r="77" spans="1:72" ht="12.5" customHeight="1">
      <c r="A77" s="540"/>
      <c r="B77" s="566"/>
      <c r="C77" s="575"/>
      <c r="D77" s="576"/>
      <c r="E77" s="568"/>
      <c r="F77" s="568"/>
      <c r="G77" s="568"/>
      <c r="H77" s="579"/>
      <c r="I77" s="579"/>
      <c r="J77" s="579"/>
      <c r="K77" s="579"/>
      <c r="L77" s="579"/>
      <c r="M77" s="579"/>
      <c r="N77" s="579"/>
      <c r="O77" s="579"/>
      <c r="P77" s="579"/>
      <c r="Q77" s="579"/>
      <c r="R77" s="579"/>
      <c r="S77" s="579"/>
      <c r="T77" s="579"/>
      <c r="U77" s="579"/>
      <c r="V77" s="579"/>
      <c r="W77" s="579"/>
      <c r="X77" s="579"/>
      <c r="Y77" s="579"/>
      <c r="Z77" s="579"/>
      <c r="AA77" s="579"/>
      <c r="AB77" s="579"/>
      <c r="AC77" s="579"/>
      <c r="AD77" s="579"/>
      <c r="AE77" s="579"/>
      <c r="AF77" s="579"/>
      <c r="AG77" s="579"/>
      <c r="AH77" s="579"/>
      <c r="AI77" s="579"/>
      <c r="AJ77" s="579"/>
      <c r="AK77" s="579"/>
      <c r="AL77" s="579"/>
      <c r="AM77" s="579"/>
      <c r="AN77" s="579"/>
      <c r="AO77" s="579"/>
      <c r="AP77" s="579"/>
      <c r="AQ77" s="579"/>
      <c r="AR77" s="579"/>
      <c r="AS77" s="581"/>
      <c r="AT77" s="577"/>
      <c r="AU77" s="577"/>
      <c r="AV77" s="577"/>
      <c r="AW77" s="577"/>
      <c r="AX77" s="577"/>
      <c r="AY77" s="577"/>
      <c r="AZ77" s="569"/>
      <c r="BA77" s="569"/>
      <c r="BB77" s="551"/>
      <c r="BC77" s="552"/>
      <c r="BD77" s="538"/>
      <c r="BE77" s="596"/>
      <c r="BF77" s="596"/>
      <c r="BG77" s="596"/>
      <c r="BH77" s="596"/>
      <c r="BI77" s="596"/>
      <c r="BJ77" s="596"/>
      <c r="BK77" s="596"/>
      <c r="BL77" s="596"/>
      <c r="BM77" s="596"/>
      <c r="BN77" s="596"/>
      <c r="BO77" s="596"/>
      <c r="BP77" s="596"/>
      <c r="BQ77" s="596"/>
      <c r="BR77" s="596"/>
      <c r="BS77" s="596"/>
      <c r="BT77" s="596"/>
    </row>
    <row r="78" spans="1:72" ht="12.5" customHeight="1">
      <c r="A78" s="540"/>
      <c r="B78" s="566"/>
      <c r="C78" s="575"/>
      <c r="D78" s="576"/>
      <c r="E78" s="568"/>
      <c r="F78" s="568"/>
      <c r="G78" s="568"/>
      <c r="H78" s="579"/>
      <c r="I78" s="579"/>
      <c r="J78" s="790"/>
      <c r="K78" s="790"/>
      <c r="L78" s="790"/>
      <c r="M78" s="790"/>
      <c r="N78" s="582"/>
      <c r="O78" s="583"/>
      <c r="P78" s="582"/>
      <c r="Q78" s="579"/>
      <c r="R78" s="579"/>
      <c r="S78" s="579"/>
      <c r="T78" s="580"/>
      <c r="U78" s="580"/>
      <c r="V78" s="580"/>
      <c r="W78" s="580"/>
      <c r="X78" s="580"/>
      <c r="Y78" s="583"/>
      <c r="Z78" s="580"/>
      <c r="AA78" s="579"/>
      <c r="AB78" s="583"/>
      <c r="AC78" s="580"/>
      <c r="AD78" s="579"/>
      <c r="AE78" s="583"/>
      <c r="AF78" s="579"/>
      <c r="AG78" s="579"/>
      <c r="AH78" s="583"/>
      <c r="AI78" s="579"/>
      <c r="AJ78" s="579"/>
      <c r="AK78" s="584"/>
      <c r="AL78" s="579"/>
      <c r="AM78" s="579"/>
      <c r="AN78" s="579"/>
      <c r="AO78" s="579"/>
      <c r="AP78" s="579"/>
      <c r="AQ78" s="579"/>
      <c r="AR78" s="579"/>
      <c r="AS78" s="579"/>
      <c r="AT78" s="568"/>
      <c r="AU78" s="568"/>
      <c r="AV78" s="568"/>
      <c r="AW78" s="568"/>
      <c r="AX78" s="568"/>
      <c r="AY78" s="568"/>
      <c r="AZ78" s="569"/>
      <c r="BA78" s="569"/>
      <c r="BB78" s="551"/>
      <c r="BC78" s="552"/>
      <c r="BD78" s="538"/>
      <c r="BE78" s="596"/>
      <c r="BF78" s="596"/>
      <c r="BG78" s="596"/>
      <c r="BH78" s="596"/>
      <c r="BI78" s="596"/>
      <c r="BJ78" s="596"/>
      <c r="BK78" s="596"/>
      <c r="BL78" s="596"/>
      <c r="BM78" s="596"/>
      <c r="BN78" s="596"/>
      <c r="BO78" s="596"/>
      <c r="BP78" s="596"/>
      <c r="BQ78" s="596"/>
      <c r="BR78" s="596"/>
      <c r="BS78" s="596"/>
      <c r="BT78" s="596"/>
    </row>
    <row r="79" spans="1:72" ht="12.5" customHeight="1">
      <c r="A79" s="540"/>
      <c r="B79" s="566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  <c r="AH79" s="567"/>
      <c r="AI79" s="567"/>
      <c r="AJ79" s="567"/>
      <c r="AK79" s="567"/>
      <c r="AL79" s="567"/>
      <c r="AM79" s="567"/>
      <c r="AN79" s="567"/>
      <c r="AO79" s="567"/>
      <c r="AP79" s="567"/>
      <c r="AQ79" s="567"/>
      <c r="AR79" s="567"/>
      <c r="AS79" s="567"/>
      <c r="AT79" s="567"/>
      <c r="AU79" s="567"/>
      <c r="AV79" s="567"/>
      <c r="AW79" s="567"/>
      <c r="AX79" s="567"/>
      <c r="AY79" s="567"/>
      <c r="AZ79" s="569"/>
      <c r="BA79" s="569"/>
      <c r="BB79" s="551"/>
      <c r="BC79" s="552"/>
      <c r="BD79" s="538"/>
      <c r="BE79" s="596"/>
      <c r="BF79" s="596"/>
      <c r="BG79" s="596"/>
      <c r="BH79" s="596"/>
      <c r="BI79" s="596"/>
      <c r="BJ79" s="596"/>
      <c r="BK79" s="596"/>
      <c r="BL79" s="596"/>
      <c r="BM79" s="596"/>
      <c r="BN79" s="596"/>
      <c r="BO79" s="596"/>
      <c r="BP79" s="596"/>
      <c r="BQ79" s="596"/>
      <c r="BR79" s="596"/>
      <c r="BS79" s="596"/>
      <c r="BT79" s="596"/>
    </row>
    <row r="80" spans="1:72" ht="12.5" customHeight="1">
      <c r="A80" s="540"/>
      <c r="B80" s="574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  <c r="AH80" s="567"/>
      <c r="AI80" s="567"/>
      <c r="AJ80" s="567"/>
      <c r="AK80" s="567"/>
      <c r="AL80" s="567"/>
      <c r="AM80" s="567"/>
      <c r="AN80" s="567"/>
      <c r="AO80" s="567"/>
      <c r="AP80" s="567"/>
      <c r="AQ80" s="567"/>
      <c r="AR80" s="567"/>
      <c r="AS80" s="567"/>
      <c r="AT80" s="567"/>
      <c r="AU80" s="567"/>
      <c r="AV80" s="567"/>
      <c r="AW80" s="567"/>
      <c r="AX80" s="567"/>
      <c r="AY80" s="567"/>
      <c r="AZ80" s="569"/>
      <c r="BA80" s="569"/>
      <c r="BB80" s="536"/>
      <c r="BC80" s="537"/>
      <c r="BD80" s="538"/>
      <c r="BE80" s="596"/>
      <c r="BF80" s="596"/>
      <c r="BG80" s="596"/>
      <c r="BH80" s="596"/>
      <c r="BI80" s="596"/>
      <c r="BJ80" s="596"/>
      <c r="BK80" s="596"/>
      <c r="BL80" s="596"/>
      <c r="BM80" s="596"/>
      <c r="BN80" s="596"/>
      <c r="BO80" s="596"/>
      <c r="BP80" s="596"/>
      <c r="BQ80" s="596"/>
      <c r="BR80" s="596"/>
      <c r="BS80" s="596"/>
      <c r="BT80" s="596"/>
    </row>
    <row r="81" spans="1:72" ht="13.5">
      <c r="A81" s="540"/>
      <c r="B81" s="620"/>
      <c r="C81" s="621"/>
      <c r="D81" s="621"/>
      <c r="E81" s="621"/>
      <c r="F81" s="621"/>
      <c r="G81" s="621"/>
      <c r="H81" s="621"/>
      <c r="I81" s="621"/>
      <c r="J81" s="621"/>
      <c r="K81" s="621"/>
      <c r="L81" s="621"/>
      <c r="M81" s="621"/>
      <c r="N81" s="621"/>
      <c r="O81" s="621"/>
      <c r="P81" s="621"/>
      <c r="Q81" s="621"/>
      <c r="R81" s="621"/>
      <c r="S81" s="622"/>
      <c r="T81" s="622"/>
      <c r="U81" s="622"/>
      <c r="V81" s="622"/>
      <c r="W81" s="621"/>
      <c r="X81" s="621"/>
      <c r="Y81" s="622"/>
      <c r="Z81" s="623"/>
      <c r="AA81" s="621"/>
      <c r="AB81" s="621"/>
      <c r="AC81" s="621"/>
      <c r="AD81" s="622"/>
      <c r="AE81" s="622"/>
      <c r="AF81" s="622"/>
      <c r="AG81" s="622"/>
      <c r="AH81" s="622"/>
      <c r="AI81" s="622"/>
      <c r="AJ81" s="622"/>
      <c r="AK81" s="622"/>
      <c r="AL81" s="622"/>
      <c r="AM81" s="622"/>
      <c r="AN81" s="622"/>
      <c r="AO81" s="622"/>
      <c r="AP81" s="622"/>
      <c r="AQ81" s="622"/>
      <c r="AR81" s="622"/>
      <c r="AS81" s="622"/>
      <c r="AT81" s="622"/>
      <c r="AU81" s="622"/>
      <c r="AV81" s="622"/>
      <c r="AW81" s="622"/>
      <c r="AX81" s="622"/>
      <c r="AY81" s="624"/>
      <c r="AZ81" s="578"/>
      <c r="BA81" s="569"/>
      <c r="BB81" s="551"/>
      <c r="BC81" s="552"/>
      <c r="BD81" s="553"/>
      <c r="BE81" s="596"/>
      <c r="BF81" s="596"/>
      <c r="BG81" s="596"/>
      <c r="BH81" s="596"/>
      <c r="BI81" s="596"/>
      <c r="BJ81" s="596"/>
      <c r="BK81" s="596"/>
      <c r="BL81" s="596"/>
      <c r="BM81" s="596"/>
      <c r="BN81" s="596"/>
      <c r="BO81" s="596"/>
      <c r="BP81" s="596"/>
      <c r="BQ81" s="596"/>
      <c r="BR81" s="596"/>
      <c r="BS81" s="596"/>
      <c r="BT81" s="596"/>
    </row>
    <row r="82" spans="1:72" ht="15">
      <c r="A82" s="554"/>
      <c r="B82" s="599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600"/>
      <c r="P82" s="600"/>
      <c r="Q82" s="600"/>
      <c r="R82" s="600"/>
      <c r="S82" s="601"/>
      <c r="T82" s="601"/>
      <c r="U82" s="601"/>
      <c r="V82" s="601"/>
      <c r="W82" s="600"/>
      <c r="X82" s="600"/>
      <c r="Y82" s="601"/>
      <c r="Z82" s="601"/>
      <c r="AA82" s="600"/>
      <c r="AB82" s="600"/>
      <c r="AC82" s="600"/>
      <c r="AD82" s="601"/>
      <c r="AE82" s="601"/>
      <c r="AF82" s="601"/>
      <c r="AG82" s="601"/>
      <c r="AH82" s="601"/>
      <c r="AI82" s="601"/>
      <c r="AJ82" s="601"/>
      <c r="AK82" s="601"/>
      <c r="AL82" s="601"/>
      <c r="AM82" s="601"/>
      <c r="AN82" s="601"/>
      <c r="AO82" s="601"/>
      <c r="AP82" s="601"/>
      <c r="AQ82" s="601"/>
      <c r="AR82" s="601"/>
      <c r="AS82" s="601"/>
      <c r="AT82" s="601"/>
      <c r="AU82" s="601"/>
      <c r="AV82" s="601"/>
      <c r="AW82" s="601"/>
      <c r="AX82" s="601"/>
      <c r="AY82" s="599"/>
      <c r="AZ82" s="599"/>
      <c r="BA82" s="578"/>
      <c r="BB82" s="603"/>
      <c r="BC82" s="552"/>
      <c r="BD82" s="553"/>
      <c r="BE82" s="596"/>
      <c r="BF82" s="596"/>
      <c r="BG82" s="596"/>
      <c r="BH82" s="596"/>
      <c r="BI82" s="596"/>
      <c r="BJ82" s="596"/>
      <c r="BK82" s="596"/>
      <c r="BL82" s="596"/>
      <c r="BM82" s="596"/>
      <c r="BN82" s="596"/>
      <c r="BO82" s="596"/>
      <c r="BP82" s="596"/>
      <c r="BQ82" s="596"/>
      <c r="BR82" s="596"/>
      <c r="BS82" s="596"/>
      <c r="BT82" s="596"/>
    </row>
    <row r="83" spans="1:72" ht="12.5" customHeight="1">
      <c r="A83" s="540"/>
      <c r="B83" s="634"/>
      <c r="C83" s="635"/>
      <c r="D83" s="636"/>
      <c r="E83" s="637"/>
      <c r="F83" s="637"/>
      <c r="G83" s="637"/>
      <c r="H83" s="638"/>
      <c r="I83" s="638"/>
      <c r="J83" s="813"/>
      <c r="K83" s="813"/>
      <c r="L83" s="813"/>
      <c r="M83" s="813"/>
      <c r="N83" s="639"/>
      <c r="O83" s="640"/>
      <c r="P83" s="639"/>
      <c r="Q83" s="638"/>
      <c r="R83" s="638"/>
      <c r="S83" s="638"/>
      <c r="T83" s="641"/>
      <c r="U83" s="641"/>
      <c r="V83" s="641"/>
      <c r="W83" s="641"/>
      <c r="X83" s="641"/>
      <c r="Y83" s="640"/>
      <c r="Z83" s="641"/>
      <c r="AA83" s="638"/>
      <c r="AB83" s="640"/>
      <c r="AC83" s="641"/>
      <c r="AD83" s="638"/>
      <c r="AE83" s="640"/>
      <c r="AF83" s="638"/>
      <c r="AG83" s="638"/>
      <c r="AH83" s="640"/>
      <c r="AI83" s="638"/>
      <c r="AJ83" s="638"/>
      <c r="AK83" s="642"/>
      <c r="AL83" s="638"/>
      <c r="AM83" s="638"/>
      <c r="AN83" s="638"/>
      <c r="AO83" s="638"/>
      <c r="AP83" s="638"/>
      <c r="AQ83" s="638"/>
      <c r="AR83" s="638"/>
      <c r="AS83" s="638"/>
      <c r="AT83" s="637"/>
      <c r="AU83" s="637"/>
      <c r="AV83" s="637"/>
      <c r="AW83" s="637"/>
      <c r="AX83" s="637"/>
      <c r="AY83" s="637"/>
      <c r="AZ83" s="602"/>
      <c r="BA83" s="569"/>
      <c r="BB83" s="551"/>
      <c r="BC83" s="552"/>
      <c r="BD83" s="538"/>
      <c r="BE83" s="596"/>
      <c r="BF83" s="596"/>
      <c r="BG83" s="596"/>
      <c r="BH83" s="596"/>
      <c r="BI83" s="596"/>
      <c r="BJ83" s="596"/>
      <c r="BK83" s="596"/>
      <c r="BL83" s="596"/>
      <c r="BM83" s="596"/>
      <c r="BN83" s="596"/>
      <c r="BO83" s="596"/>
      <c r="BP83" s="596"/>
      <c r="BQ83" s="596"/>
      <c r="BR83" s="596"/>
      <c r="BS83" s="596"/>
      <c r="BT83" s="596"/>
    </row>
    <row r="84" spans="1:72" ht="12.5" customHeight="1">
      <c r="A84" s="540"/>
      <c r="B84" s="567"/>
      <c r="C84" s="575"/>
      <c r="D84" s="576"/>
      <c r="E84" s="568"/>
      <c r="F84" s="568"/>
      <c r="G84" s="568"/>
      <c r="H84" s="579"/>
      <c r="I84" s="579"/>
      <c r="J84" s="790"/>
      <c r="K84" s="790"/>
      <c r="L84" s="790"/>
      <c r="M84" s="790"/>
      <c r="N84" s="582"/>
      <c r="O84" s="583"/>
      <c r="P84" s="582"/>
      <c r="Q84" s="579"/>
      <c r="R84" s="579"/>
      <c r="S84" s="579"/>
      <c r="T84" s="580"/>
      <c r="U84" s="580"/>
      <c r="V84" s="580"/>
      <c r="W84" s="580"/>
      <c r="X84" s="580"/>
      <c r="Y84" s="583"/>
      <c r="Z84" s="580"/>
      <c r="AA84" s="579"/>
      <c r="AB84" s="583"/>
      <c r="AC84" s="580"/>
      <c r="AD84" s="579"/>
      <c r="AE84" s="583"/>
      <c r="AF84" s="579"/>
      <c r="AG84" s="579"/>
      <c r="AH84" s="583"/>
      <c r="AI84" s="579"/>
      <c r="AJ84" s="579"/>
      <c r="AK84" s="584"/>
      <c r="AL84" s="579"/>
      <c r="AM84" s="579"/>
      <c r="AN84" s="579"/>
      <c r="AO84" s="579"/>
      <c r="AP84" s="579"/>
      <c r="AQ84" s="579"/>
      <c r="AR84" s="579"/>
      <c r="AS84" s="579"/>
      <c r="AT84" s="568"/>
      <c r="AU84" s="568"/>
      <c r="AV84" s="568"/>
      <c r="AW84" s="568"/>
      <c r="AX84" s="568"/>
      <c r="AY84" s="568"/>
      <c r="AZ84" s="565"/>
      <c r="BA84" s="569"/>
      <c r="BB84" s="551"/>
      <c r="BC84" s="552"/>
      <c r="BD84" s="538"/>
      <c r="BE84" s="596"/>
      <c r="BF84" s="596"/>
      <c r="BG84" s="596"/>
      <c r="BH84" s="596"/>
      <c r="BI84" s="596"/>
      <c r="BJ84" s="596"/>
      <c r="BK84" s="596"/>
      <c r="BL84" s="596"/>
      <c r="BM84" s="596"/>
      <c r="BN84" s="596"/>
      <c r="BO84" s="596"/>
      <c r="BP84" s="596"/>
      <c r="BQ84" s="596"/>
      <c r="BR84" s="596"/>
      <c r="BS84" s="596"/>
      <c r="BT84" s="596"/>
    </row>
    <row r="85" spans="1:72" ht="12.5" customHeight="1">
      <c r="A85" s="540"/>
      <c r="B85" s="567"/>
      <c r="C85" s="575"/>
      <c r="D85" s="576"/>
      <c r="E85" s="568"/>
      <c r="F85" s="568"/>
      <c r="G85" s="568"/>
      <c r="H85" s="579"/>
      <c r="I85" s="579"/>
      <c r="J85" s="790"/>
      <c r="K85" s="790"/>
      <c r="L85" s="790"/>
      <c r="M85" s="790"/>
      <c r="N85" s="582"/>
      <c r="O85" s="583"/>
      <c r="P85" s="582"/>
      <c r="Q85" s="579"/>
      <c r="R85" s="579"/>
      <c r="S85" s="579"/>
      <c r="T85" s="580"/>
      <c r="U85" s="580"/>
      <c r="V85" s="580"/>
      <c r="W85" s="580"/>
      <c r="X85" s="580"/>
      <c r="Y85" s="583"/>
      <c r="Z85" s="580"/>
      <c r="AA85" s="579"/>
      <c r="AB85" s="583"/>
      <c r="AC85" s="580"/>
      <c r="AD85" s="579"/>
      <c r="AE85" s="583"/>
      <c r="AF85" s="579"/>
      <c r="AG85" s="579"/>
      <c r="AH85" s="583"/>
      <c r="AI85" s="579"/>
      <c r="AJ85" s="579"/>
      <c r="AK85" s="584"/>
      <c r="AL85" s="579"/>
      <c r="AM85" s="579"/>
      <c r="AN85" s="579"/>
      <c r="AO85" s="579"/>
      <c r="AP85" s="579"/>
      <c r="AQ85" s="579"/>
      <c r="AR85" s="579"/>
      <c r="AS85" s="579"/>
      <c r="AT85" s="568"/>
      <c r="AU85" s="568"/>
      <c r="AV85" s="568"/>
      <c r="AW85" s="568"/>
      <c r="AX85" s="568"/>
      <c r="AY85" s="568"/>
      <c r="AZ85" s="565"/>
      <c r="BA85" s="569"/>
      <c r="BB85" s="551"/>
      <c r="BC85" s="552"/>
      <c r="BD85" s="538"/>
      <c r="BE85" s="596"/>
      <c r="BF85" s="596"/>
      <c r="BG85" s="596"/>
      <c r="BH85" s="596"/>
      <c r="BI85" s="596"/>
      <c r="BJ85" s="596"/>
      <c r="BK85" s="596"/>
      <c r="BL85" s="596"/>
      <c r="BM85" s="596"/>
      <c r="BN85" s="596"/>
      <c r="BO85" s="596"/>
      <c r="BP85" s="596"/>
      <c r="BQ85" s="596"/>
      <c r="BR85" s="596"/>
      <c r="BS85" s="596"/>
      <c r="BT85" s="596"/>
    </row>
    <row r="86" spans="1:72" ht="12.5" customHeight="1">
      <c r="A86" s="540"/>
      <c r="B86" s="567"/>
      <c r="C86" s="575"/>
      <c r="D86" s="576"/>
      <c r="E86" s="568"/>
      <c r="F86" s="568"/>
      <c r="G86" s="568"/>
      <c r="H86" s="579"/>
      <c r="I86" s="579"/>
      <c r="J86" s="790"/>
      <c r="K86" s="790"/>
      <c r="L86" s="790"/>
      <c r="M86" s="790"/>
      <c r="N86" s="582"/>
      <c r="O86" s="583"/>
      <c r="P86" s="582"/>
      <c r="Q86" s="579"/>
      <c r="R86" s="579"/>
      <c r="S86" s="579"/>
      <c r="T86" s="580"/>
      <c r="U86" s="580"/>
      <c r="V86" s="580"/>
      <c r="W86" s="580"/>
      <c r="X86" s="580"/>
      <c r="Y86" s="583"/>
      <c r="Z86" s="580"/>
      <c r="AA86" s="579"/>
      <c r="AB86" s="583"/>
      <c r="AC86" s="580"/>
      <c r="AD86" s="579"/>
      <c r="AE86" s="583"/>
      <c r="AF86" s="579"/>
      <c r="AG86" s="579"/>
      <c r="AH86" s="583"/>
      <c r="AI86" s="579"/>
      <c r="AJ86" s="579"/>
      <c r="AK86" s="584"/>
      <c r="AL86" s="579"/>
      <c r="AM86" s="579"/>
      <c r="AN86" s="579"/>
      <c r="AO86" s="579"/>
      <c r="AP86" s="579"/>
      <c r="AQ86" s="579"/>
      <c r="AR86" s="579"/>
      <c r="AS86" s="579"/>
      <c r="AT86" s="568"/>
      <c r="AU86" s="568"/>
      <c r="AV86" s="568"/>
      <c r="AW86" s="568"/>
      <c r="AX86" s="568"/>
      <c r="AY86" s="568"/>
      <c r="AZ86" s="565"/>
      <c r="BA86" s="569"/>
      <c r="BB86" s="551"/>
      <c r="BC86" s="552"/>
      <c r="BD86" s="538"/>
      <c r="BE86" s="596"/>
      <c r="BF86" s="596"/>
      <c r="BG86" s="596"/>
      <c r="BH86" s="596"/>
      <c r="BI86" s="596"/>
      <c r="BJ86" s="596"/>
      <c r="BK86" s="596"/>
      <c r="BL86" s="596"/>
      <c r="BM86" s="596"/>
      <c r="BN86" s="596"/>
      <c r="BO86" s="596"/>
      <c r="BP86" s="596"/>
      <c r="BQ86" s="596"/>
      <c r="BR86" s="596"/>
      <c r="BS86" s="596"/>
      <c r="BT86" s="596"/>
    </row>
    <row r="87" spans="1:72" ht="12.5" customHeight="1">
      <c r="A87" s="540"/>
      <c r="B87" s="567"/>
      <c r="C87" s="575"/>
      <c r="D87" s="576"/>
      <c r="E87" s="568"/>
      <c r="F87" s="568"/>
      <c r="G87" s="568"/>
      <c r="H87" s="579"/>
      <c r="I87" s="579"/>
      <c r="J87" s="790"/>
      <c r="K87" s="790"/>
      <c r="L87" s="790"/>
      <c r="M87" s="790"/>
      <c r="N87" s="582"/>
      <c r="O87" s="583"/>
      <c r="P87" s="582"/>
      <c r="Q87" s="579"/>
      <c r="R87" s="579"/>
      <c r="S87" s="579"/>
      <c r="T87" s="580"/>
      <c r="U87" s="580"/>
      <c r="V87" s="580"/>
      <c r="W87" s="580"/>
      <c r="X87" s="580"/>
      <c r="Y87" s="583"/>
      <c r="Z87" s="580"/>
      <c r="AA87" s="579"/>
      <c r="AB87" s="583"/>
      <c r="AC87" s="580"/>
      <c r="AD87" s="579"/>
      <c r="AE87" s="583"/>
      <c r="AF87" s="579"/>
      <c r="AG87" s="579"/>
      <c r="AH87" s="583"/>
      <c r="AI87" s="579"/>
      <c r="AJ87" s="579"/>
      <c r="AK87" s="584"/>
      <c r="AL87" s="579"/>
      <c r="AM87" s="579"/>
      <c r="AN87" s="579"/>
      <c r="AO87" s="579"/>
      <c r="AP87" s="579"/>
      <c r="AQ87" s="579"/>
      <c r="AR87" s="579"/>
      <c r="AS87" s="579"/>
      <c r="AT87" s="568"/>
      <c r="AU87" s="568"/>
      <c r="AV87" s="568"/>
      <c r="AW87" s="568"/>
      <c r="AX87" s="568"/>
      <c r="AY87" s="568"/>
      <c r="AZ87" s="565"/>
      <c r="BA87" s="569"/>
      <c r="BB87" s="551"/>
      <c r="BC87" s="552"/>
      <c r="BD87" s="538"/>
      <c r="BE87" s="596"/>
      <c r="BF87" s="596"/>
      <c r="BG87" s="596"/>
      <c r="BH87" s="596"/>
      <c r="BI87" s="596"/>
      <c r="BJ87" s="596"/>
      <c r="BK87" s="596"/>
      <c r="BL87" s="596"/>
      <c r="BM87" s="596"/>
      <c r="BN87" s="596"/>
      <c r="BO87" s="596"/>
      <c r="BP87" s="596"/>
      <c r="BQ87" s="596"/>
      <c r="BR87" s="596"/>
      <c r="BS87" s="596"/>
      <c r="BT87" s="596"/>
    </row>
    <row r="88" spans="1:72" ht="12.5" customHeight="1">
      <c r="A88" s="540"/>
      <c r="B88" s="567"/>
      <c r="C88" s="575"/>
      <c r="D88" s="576"/>
      <c r="E88" s="568"/>
      <c r="F88" s="568"/>
      <c r="G88" s="568"/>
      <c r="H88" s="579"/>
      <c r="I88" s="579"/>
      <c r="J88" s="790"/>
      <c r="K88" s="790"/>
      <c r="L88" s="790"/>
      <c r="M88" s="790"/>
      <c r="N88" s="582"/>
      <c r="O88" s="583"/>
      <c r="P88" s="582"/>
      <c r="Q88" s="579"/>
      <c r="R88" s="579"/>
      <c r="S88" s="579"/>
      <c r="T88" s="580"/>
      <c r="U88" s="580"/>
      <c r="V88" s="580"/>
      <c r="W88" s="580"/>
      <c r="X88" s="580"/>
      <c r="Y88" s="583"/>
      <c r="Z88" s="580"/>
      <c r="AA88" s="579"/>
      <c r="AB88" s="583"/>
      <c r="AC88" s="580"/>
      <c r="AD88" s="579"/>
      <c r="AE88" s="583"/>
      <c r="AF88" s="579"/>
      <c r="AG88" s="579"/>
      <c r="AH88" s="583"/>
      <c r="AI88" s="579"/>
      <c r="AJ88" s="579"/>
      <c r="AK88" s="584"/>
      <c r="AL88" s="579"/>
      <c r="AM88" s="579"/>
      <c r="AN88" s="579"/>
      <c r="AO88" s="579"/>
      <c r="AP88" s="579"/>
      <c r="AQ88" s="579"/>
      <c r="AR88" s="579"/>
      <c r="AS88" s="579"/>
      <c r="AT88" s="568"/>
      <c r="AU88" s="568"/>
      <c r="AV88" s="568"/>
      <c r="AW88" s="568"/>
      <c r="AX88" s="568"/>
      <c r="AY88" s="568"/>
      <c r="AZ88" s="565"/>
      <c r="BA88" s="569"/>
      <c r="BB88" s="551"/>
      <c r="BC88" s="552"/>
      <c r="BD88" s="538"/>
      <c r="BE88" s="596"/>
      <c r="BF88" s="596"/>
      <c r="BG88" s="596"/>
      <c r="BH88" s="596"/>
      <c r="BI88" s="596"/>
      <c r="BJ88" s="596"/>
      <c r="BK88" s="596"/>
      <c r="BL88" s="596"/>
      <c r="BM88" s="596"/>
      <c r="BN88" s="596"/>
      <c r="BO88" s="596"/>
      <c r="BP88" s="596"/>
      <c r="BQ88" s="596"/>
      <c r="BR88" s="596"/>
      <c r="BS88" s="596"/>
      <c r="BT88" s="596"/>
    </row>
    <row r="89" spans="1:72" ht="12.5" customHeight="1">
      <c r="A89" s="540"/>
      <c r="B89" s="567"/>
      <c r="C89" s="575"/>
      <c r="D89" s="576"/>
      <c r="E89" s="568"/>
      <c r="F89" s="568"/>
      <c r="G89" s="568"/>
      <c r="H89" s="579"/>
      <c r="I89" s="579"/>
      <c r="J89" s="790"/>
      <c r="K89" s="790"/>
      <c r="L89" s="790"/>
      <c r="M89" s="790"/>
      <c r="N89" s="582"/>
      <c r="O89" s="583"/>
      <c r="P89" s="582"/>
      <c r="Q89" s="579"/>
      <c r="R89" s="579"/>
      <c r="S89" s="579"/>
      <c r="T89" s="580"/>
      <c r="U89" s="580"/>
      <c r="V89" s="580"/>
      <c r="W89" s="580"/>
      <c r="X89" s="580"/>
      <c r="Y89" s="583"/>
      <c r="Z89" s="580"/>
      <c r="AA89" s="579"/>
      <c r="AB89" s="583"/>
      <c r="AC89" s="580"/>
      <c r="AD89" s="579"/>
      <c r="AE89" s="583"/>
      <c r="AF89" s="579"/>
      <c r="AG89" s="579"/>
      <c r="AH89" s="583"/>
      <c r="AI89" s="579"/>
      <c r="AJ89" s="579"/>
      <c r="AK89" s="584"/>
      <c r="AL89" s="579"/>
      <c r="AM89" s="579"/>
      <c r="AN89" s="579"/>
      <c r="AO89" s="579"/>
      <c r="AP89" s="579"/>
      <c r="AQ89" s="579"/>
      <c r="AR89" s="579"/>
      <c r="AS89" s="579"/>
      <c r="AT89" s="568"/>
      <c r="AU89" s="568"/>
      <c r="AV89" s="568"/>
      <c r="AW89" s="568"/>
      <c r="AX89" s="568"/>
      <c r="AY89" s="568"/>
      <c r="AZ89" s="565"/>
      <c r="BA89" s="569"/>
      <c r="BB89" s="551"/>
      <c r="BC89" s="552"/>
      <c r="BD89" s="538"/>
      <c r="BE89" s="596"/>
      <c r="BF89" s="596"/>
      <c r="BG89" s="596"/>
      <c r="BH89" s="596"/>
      <c r="BI89" s="596"/>
      <c r="BJ89" s="596"/>
      <c r="BK89" s="596"/>
      <c r="BL89" s="596"/>
      <c r="BM89" s="596"/>
      <c r="BN89" s="596"/>
      <c r="BO89" s="596"/>
      <c r="BP89" s="596"/>
      <c r="BQ89" s="596"/>
      <c r="BR89" s="596"/>
      <c r="BS89" s="596"/>
      <c r="BT89" s="596"/>
    </row>
    <row r="90" spans="1:72" ht="12.5" customHeight="1">
      <c r="A90" s="540"/>
      <c r="B90" s="567"/>
      <c r="C90" s="575"/>
      <c r="D90" s="576"/>
      <c r="E90" s="568"/>
      <c r="F90" s="568"/>
      <c r="G90" s="568"/>
      <c r="H90" s="579"/>
      <c r="I90" s="579"/>
      <c r="J90" s="790"/>
      <c r="K90" s="790"/>
      <c r="L90" s="790"/>
      <c r="M90" s="790"/>
      <c r="N90" s="582"/>
      <c r="O90" s="583"/>
      <c r="P90" s="582"/>
      <c r="Q90" s="579"/>
      <c r="R90" s="579"/>
      <c r="S90" s="579"/>
      <c r="T90" s="580"/>
      <c r="U90" s="580"/>
      <c r="V90" s="580"/>
      <c r="W90" s="580"/>
      <c r="X90" s="580"/>
      <c r="Y90" s="583"/>
      <c r="Z90" s="580"/>
      <c r="AA90" s="579"/>
      <c r="AB90" s="583"/>
      <c r="AC90" s="580"/>
      <c r="AD90" s="579"/>
      <c r="AE90" s="583"/>
      <c r="AF90" s="579"/>
      <c r="AG90" s="579"/>
      <c r="AH90" s="583"/>
      <c r="AI90" s="579"/>
      <c r="AJ90" s="579"/>
      <c r="AK90" s="584"/>
      <c r="AL90" s="579"/>
      <c r="AM90" s="579"/>
      <c r="AN90" s="579"/>
      <c r="AO90" s="579"/>
      <c r="AP90" s="579"/>
      <c r="AQ90" s="579"/>
      <c r="AR90" s="579"/>
      <c r="AS90" s="579"/>
      <c r="AT90" s="568"/>
      <c r="AU90" s="568"/>
      <c r="AV90" s="568"/>
      <c r="AW90" s="568"/>
      <c r="AX90" s="568"/>
      <c r="AY90" s="568"/>
      <c r="AZ90" s="565"/>
      <c r="BA90" s="569"/>
      <c r="BB90" s="551"/>
      <c r="BC90" s="552"/>
      <c r="BD90" s="538"/>
      <c r="BE90" s="596"/>
      <c r="BF90" s="596"/>
      <c r="BG90" s="596"/>
      <c r="BH90" s="596"/>
      <c r="BI90" s="596"/>
      <c r="BJ90" s="596"/>
      <c r="BK90" s="596"/>
      <c r="BL90" s="596"/>
      <c r="BM90" s="596"/>
      <c r="BN90" s="596"/>
      <c r="BO90" s="596"/>
      <c r="BP90" s="596"/>
      <c r="BQ90" s="596"/>
      <c r="BR90" s="596"/>
      <c r="BS90" s="596"/>
      <c r="BT90" s="596"/>
    </row>
    <row r="91" spans="1:72" ht="12.5" customHeight="1">
      <c r="A91" s="540"/>
      <c r="B91" s="567"/>
      <c r="C91" s="575"/>
      <c r="D91" s="576"/>
      <c r="E91" s="568"/>
      <c r="F91" s="568"/>
      <c r="G91" s="568"/>
      <c r="H91" s="579"/>
      <c r="I91" s="579"/>
      <c r="J91" s="790"/>
      <c r="K91" s="790"/>
      <c r="L91" s="790"/>
      <c r="M91" s="790"/>
      <c r="N91" s="582"/>
      <c r="O91" s="583"/>
      <c r="P91" s="582"/>
      <c r="Q91" s="579"/>
      <c r="R91" s="579"/>
      <c r="S91" s="579"/>
      <c r="T91" s="580"/>
      <c r="U91" s="580"/>
      <c r="V91" s="580"/>
      <c r="W91" s="580"/>
      <c r="X91" s="580"/>
      <c r="Y91" s="583"/>
      <c r="Z91" s="580"/>
      <c r="AA91" s="579"/>
      <c r="AB91" s="583"/>
      <c r="AC91" s="580"/>
      <c r="AD91" s="579"/>
      <c r="AE91" s="583"/>
      <c r="AF91" s="579"/>
      <c r="AG91" s="579"/>
      <c r="AH91" s="583"/>
      <c r="AI91" s="579"/>
      <c r="AJ91" s="579"/>
      <c r="AK91" s="584"/>
      <c r="AL91" s="579"/>
      <c r="AM91" s="579"/>
      <c r="AN91" s="579"/>
      <c r="AO91" s="579"/>
      <c r="AP91" s="579"/>
      <c r="AQ91" s="579"/>
      <c r="AR91" s="579"/>
      <c r="AS91" s="579"/>
      <c r="AT91" s="568"/>
      <c r="AU91" s="568"/>
      <c r="AV91" s="568"/>
      <c r="AW91" s="568"/>
      <c r="AX91" s="568"/>
      <c r="AY91" s="568"/>
      <c r="AZ91" s="565"/>
      <c r="BA91" s="569"/>
      <c r="BB91" s="551"/>
      <c r="BC91" s="552"/>
      <c r="BD91" s="538"/>
      <c r="BE91" s="596"/>
      <c r="BF91" s="596"/>
      <c r="BG91" s="596"/>
      <c r="BH91" s="596"/>
      <c r="BI91" s="596"/>
      <c r="BJ91" s="596"/>
      <c r="BK91" s="596"/>
      <c r="BL91" s="596"/>
      <c r="BM91" s="596"/>
      <c r="BN91" s="596"/>
      <c r="BO91" s="596"/>
      <c r="BP91" s="596"/>
      <c r="BQ91" s="596"/>
      <c r="BR91" s="596"/>
      <c r="BS91" s="596"/>
      <c r="BT91" s="596"/>
    </row>
    <row r="92" spans="1:72" ht="12.5" customHeight="1">
      <c r="A92" s="540"/>
      <c r="B92" s="567"/>
      <c r="C92" s="575"/>
      <c r="D92" s="576"/>
      <c r="E92" s="568"/>
      <c r="F92" s="568"/>
      <c r="G92" s="568"/>
      <c r="H92" s="579"/>
      <c r="I92" s="579"/>
      <c r="J92" s="790"/>
      <c r="K92" s="790"/>
      <c r="L92" s="790"/>
      <c r="M92" s="790"/>
      <c r="N92" s="582"/>
      <c r="O92" s="583"/>
      <c r="P92" s="582"/>
      <c r="Q92" s="579"/>
      <c r="R92" s="579"/>
      <c r="S92" s="579"/>
      <c r="T92" s="580"/>
      <c r="U92" s="580"/>
      <c r="V92" s="580"/>
      <c r="W92" s="580"/>
      <c r="X92" s="580"/>
      <c r="Y92" s="583"/>
      <c r="Z92" s="580"/>
      <c r="AA92" s="579"/>
      <c r="AB92" s="583"/>
      <c r="AC92" s="580"/>
      <c r="AD92" s="579"/>
      <c r="AE92" s="583"/>
      <c r="AF92" s="579"/>
      <c r="AG92" s="579"/>
      <c r="AH92" s="583"/>
      <c r="AI92" s="579"/>
      <c r="AJ92" s="579"/>
      <c r="AK92" s="584"/>
      <c r="AL92" s="579"/>
      <c r="AM92" s="579"/>
      <c r="AN92" s="579"/>
      <c r="AO92" s="579"/>
      <c r="AP92" s="579"/>
      <c r="AQ92" s="579"/>
      <c r="AR92" s="579"/>
      <c r="AS92" s="579"/>
      <c r="AT92" s="568"/>
      <c r="AU92" s="568"/>
      <c r="AV92" s="568"/>
      <c r="AW92" s="568"/>
      <c r="AX92" s="568"/>
      <c r="AY92" s="568"/>
      <c r="AZ92" s="565"/>
      <c r="BA92" s="569"/>
      <c r="BB92" s="551"/>
      <c r="BC92" s="552"/>
      <c r="BD92" s="538"/>
      <c r="BE92" s="596"/>
      <c r="BF92" s="596"/>
      <c r="BG92" s="596"/>
      <c r="BH92" s="596"/>
      <c r="BI92" s="596"/>
      <c r="BJ92" s="596"/>
      <c r="BK92" s="596"/>
      <c r="BL92" s="596"/>
      <c r="BM92" s="596"/>
      <c r="BN92" s="596"/>
      <c r="BO92" s="596"/>
      <c r="BP92" s="596"/>
      <c r="BQ92" s="596"/>
      <c r="BR92" s="596"/>
      <c r="BS92" s="596"/>
      <c r="BT92" s="596"/>
    </row>
    <row r="93" spans="1:72" ht="12.5" customHeight="1">
      <c r="A93" s="540"/>
      <c r="B93" s="567"/>
      <c r="C93" s="575"/>
      <c r="D93" s="576"/>
      <c r="E93" s="568"/>
      <c r="F93" s="568"/>
      <c r="G93" s="568"/>
      <c r="H93" s="579"/>
      <c r="I93" s="579"/>
      <c r="J93" s="790"/>
      <c r="K93" s="790"/>
      <c r="L93" s="790"/>
      <c r="M93" s="790"/>
      <c r="N93" s="582"/>
      <c r="O93" s="583"/>
      <c r="P93" s="582"/>
      <c r="Q93" s="579"/>
      <c r="R93" s="579"/>
      <c r="S93" s="579"/>
      <c r="T93" s="580"/>
      <c r="U93" s="580"/>
      <c r="V93" s="580"/>
      <c r="W93" s="580"/>
      <c r="X93" s="580"/>
      <c r="Y93" s="583"/>
      <c r="Z93" s="580"/>
      <c r="AA93" s="579"/>
      <c r="AB93" s="583"/>
      <c r="AC93" s="580"/>
      <c r="AD93" s="579"/>
      <c r="AE93" s="583"/>
      <c r="AF93" s="579"/>
      <c r="AG93" s="579"/>
      <c r="AH93" s="583"/>
      <c r="AI93" s="579"/>
      <c r="AJ93" s="579"/>
      <c r="AK93" s="584"/>
      <c r="AL93" s="579"/>
      <c r="AM93" s="579"/>
      <c r="AN93" s="579"/>
      <c r="AO93" s="579"/>
      <c r="AP93" s="579"/>
      <c r="AQ93" s="579"/>
      <c r="AR93" s="579"/>
      <c r="AS93" s="579"/>
      <c r="AT93" s="568"/>
      <c r="AU93" s="568"/>
      <c r="AV93" s="568"/>
      <c r="AW93" s="568"/>
      <c r="AX93" s="568"/>
      <c r="AY93" s="568"/>
      <c r="AZ93" s="565"/>
      <c r="BA93" s="569"/>
      <c r="BB93" s="551"/>
      <c r="BC93" s="552"/>
      <c r="BD93" s="538"/>
      <c r="BE93" s="596"/>
      <c r="BF93" s="596"/>
      <c r="BG93" s="596"/>
      <c r="BH93" s="596"/>
      <c r="BI93" s="596"/>
      <c r="BJ93" s="596"/>
      <c r="BK93" s="596"/>
      <c r="BL93" s="596"/>
      <c r="BM93" s="596"/>
      <c r="BN93" s="596"/>
      <c r="BO93" s="596"/>
      <c r="BP93" s="596"/>
      <c r="BQ93" s="596"/>
      <c r="BR93" s="596"/>
      <c r="BS93" s="596"/>
      <c r="BT93" s="596"/>
    </row>
    <row r="94" spans="1:72" ht="12.5" customHeight="1">
      <c r="A94" s="540"/>
      <c r="B94" s="567"/>
      <c r="C94" s="575"/>
      <c r="D94" s="576"/>
      <c r="E94" s="568"/>
      <c r="F94" s="568"/>
      <c r="G94" s="568"/>
      <c r="H94" s="579"/>
      <c r="I94" s="579"/>
      <c r="J94" s="790"/>
      <c r="K94" s="790"/>
      <c r="L94" s="790"/>
      <c r="M94" s="790"/>
      <c r="N94" s="582"/>
      <c r="O94" s="583"/>
      <c r="P94" s="582"/>
      <c r="Q94" s="579"/>
      <c r="R94" s="579"/>
      <c r="S94" s="579"/>
      <c r="T94" s="580"/>
      <c r="U94" s="580"/>
      <c r="V94" s="580"/>
      <c r="W94" s="580"/>
      <c r="X94" s="580"/>
      <c r="Y94" s="583"/>
      <c r="Z94" s="580"/>
      <c r="AA94" s="579"/>
      <c r="AB94" s="583"/>
      <c r="AC94" s="580"/>
      <c r="AD94" s="579"/>
      <c r="AE94" s="583"/>
      <c r="AF94" s="579"/>
      <c r="AG94" s="579"/>
      <c r="AH94" s="583"/>
      <c r="AI94" s="579"/>
      <c r="AJ94" s="579"/>
      <c r="AK94" s="584"/>
      <c r="AL94" s="579"/>
      <c r="AM94" s="579"/>
      <c r="AN94" s="579"/>
      <c r="AO94" s="579"/>
      <c r="AP94" s="579"/>
      <c r="AQ94" s="579"/>
      <c r="AR94" s="579"/>
      <c r="AS94" s="579"/>
      <c r="AT94" s="568"/>
      <c r="AU94" s="568"/>
      <c r="AV94" s="568"/>
      <c r="AW94" s="568"/>
      <c r="AX94" s="568"/>
      <c r="AY94" s="568"/>
      <c r="AZ94" s="565"/>
      <c r="BA94" s="569"/>
      <c r="BB94" s="551"/>
      <c r="BC94" s="552"/>
      <c r="BD94" s="538"/>
      <c r="BE94" s="596"/>
      <c r="BF94" s="596"/>
      <c r="BG94" s="596"/>
      <c r="BH94" s="596"/>
      <c r="BI94" s="596"/>
      <c r="BJ94" s="596"/>
      <c r="BK94" s="596"/>
      <c r="BL94" s="596"/>
      <c r="BM94" s="596"/>
      <c r="BN94" s="596"/>
      <c r="BO94" s="596"/>
      <c r="BP94" s="596"/>
      <c r="BQ94" s="596"/>
      <c r="BR94" s="596"/>
      <c r="BS94" s="596"/>
      <c r="BT94" s="596"/>
    </row>
    <row r="95" spans="1:72" ht="12.5" customHeight="1">
      <c r="A95" s="540"/>
      <c r="B95" s="567"/>
      <c r="C95" s="575"/>
      <c r="D95" s="576"/>
      <c r="E95" s="568"/>
      <c r="F95" s="568"/>
      <c r="G95" s="568"/>
      <c r="H95" s="579"/>
      <c r="I95" s="579"/>
      <c r="J95" s="790"/>
      <c r="K95" s="790"/>
      <c r="L95" s="790"/>
      <c r="M95" s="790"/>
      <c r="N95" s="582"/>
      <c r="O95" s="583"/>
      <c r="P95" s="582"/>
      <c r="Q95" s="579"/>
      <c r="R95" s="579"/>
      <c r="S95" s="579"/>
      <c r="T95" s="580"/>
      <c r="U95" s="580"/>
      <c r="V95" s="580"/>
      <c r="W95" s="580"/>
      <c r="X95" s="580"/>
      <c r="Y95" s="583"/>
      <c r="Z95" s="580"/>
      <c r="AA95" s="579"/>
      <c r="AB95" s="583"/>
      <c r="AC95" s="580"/>
      <c r="AD95" s="579"/>
      <c r="AE95" s="583"/>
      <c r="AF95" s="579"/>
      <c r="AG95" s="579"/>
      <c r="AH95" s="583"/>
      <c r="AI95" s="579"/>
      <c r="AJ95" s="579"/>
      <c r="AK95" s="584"/>
      <c r="AL95" s="579"/>
      <c r="AM95" s="579"/>
      <c r="AN95" s="579"/>
      <c r="AO95" s="579"/>
      <c r="AP95" s="579"/>
      <c r="AQ95" s="579"/>
      <c r="AR95" s="579"/>
      <c r="AS95" s="579"/>
      <c r="AT95" s="568"/>
      <c r="AU95" s="568"/>
      <c r="AV95" s="568"/>
      <c r="AW95" s="568"/>
      <c r="AX95" s="568"/>
      <c r="AY95" s="568"/>
      <c r="AZ95" s="565"/>
      <c r="BA95" s="569"/>
      <c r="BB95" s="551"/>
      <c r="BC95" s="552"/>
      <c r="BD95" s="538"/>
      <c r="BE95" s="596"/>
      <c r="BF95" s="596"/>
      <c r="BG95" s="596"/>
      <c r="BH95" s="596"/>
      <c r="BI95" s="596"/>
      <c r="BJ95" s="596"/>
      <c r="BK95" s="596"/>
      <c r="BL95" s="596"/>
      <c r="BM95" s="596"/>
      <c r="BN95" s="596"/>
      <c r="BO95" s="596"/>
      <c r="BP95" s="596"/>
      <c r="BQ95" s="596"/>
      <c r="BR95" s="596"/>
      <c r="BS95" s="596"/>
      <c r="BT95" s="596"/>
    </row>
    <row r="96" spans="1:72" ht="12.5" customHeight="1">
      <c r="A96" s="540"/>
      <c r="B96" s="567"/>
      <c r="C96" s="575"/>
      <c r="D96" s="576"/>
      <c r="E96" s="568"/>
      <c r="F96" s="568"/>
      <c r="G96" s="568"/>
      <c r="H96" s="579"/>
      <c r="I96" s="579"/>
      <c r="J96" s="790"/>
      <c r="K96" s="790"/>
      <c r="L96" s="790"/>
      <c r="M96" s="790"/>
      <c r="N96" s="582"/>
      <c r="O96" s="583"/>
      <c r="P96" s="582"/>
      <c r="Q96" s="579"/>
      <c r="R96" s="579"/>
      <c r="S96" s="579"/>
      <c r="T96" s="580"/>
      <c r="U96" s="580"/>
      <c r="V96" s="580"/>
      <c r="W96" s="580"/>
      <c r="X96" s="580"/>
      <c r="Y96" s="583"/>
      <c r="Z96" s="580"/>
      <c r="AA96" s="579"/>
      <c r="AB96" s="583"/>
      <c r="AC96" s="580"/>
      <c r="AD96" s="579"/>
      <c r="AE96" s="583"/>
      <c r="AF96" s="579"/>
      <c r="AG96" s="579"/>
      <c r="AH96" s="583"/>
      <c r="AI96" s="579"/>
      <c r="AJ96" s="579"/>
      <c r="AK96" s="584"/>
      <c r="AL96" s="579"/>
      <c r="AM96" s="579"/>
      <c r="AN96" s="579"/>
      <c r="AO96" s="579"/>
      <c r="AP96" s="579"/>
      <c r="AQ96" s="579"/>
      <c r="AR96" s="579"/>
      <c r="AS96" s="579"/>
      <c r="AT96" s="568"/>
      <c r="AU96" s="568"/>
      <c r="AV96" s="568"/>
      <c r="AW96" s="568"/>
      <c r="AX96" s="568"/>
      <c r="AY96" s="568"/>
      <c r="AZ96" s="565"/>
      <c r="BA96" s="569"/>
      <c r="BB96" s="551"/>
      <c r="BC96" s="552"/>
      <c r="BD96" s="538"/>
      <c r="BE96" s="596"/>
      <c r="BF96" s="596"/>
      <c r="BG96" s="596"/>
      <c r="BH96" s="596"/>
      <c r="BI96" s="596"/>
      <c r="BJ96" s="596"/>
      <c r="BK96" s="596"/>
      <c r="BL96" s="596"/>
      <c r="BM96" s="596"/>
      <c r="BN96" s="596"/>
      <c r="BO96" s="596"/>
      <c r="BP96" s="596"/>
      <c r="BQ96" s="596"/>
      <c r="BR96" s="596"/>
      <c r="BS96" s="596"/>
      <c r="BT96" s="596"/>
    </row>
    <row r="97" spans="1:72" ht="12.5" customHeight="1">
      <c r="A97" s="540"/>
      <c r="B97" s="567"/>
      <c r="C97" s="575"/>
      <c r="D97" s="576"/>
      <c r="E97" s="568"/>
      <c r="F97" s="568"/>
      <c r="G97" s="568"/>
      <c r="H97" s="579"/>
      <c r="I97" s="579"/>
      <c r="J97" s="790"/>
      <c r="K97" s="790"/>
      <c r="L97" s="790"/>
      <c r="M97" s="790"/>
      <c r="N97" s="582"/>
      <c r="O97" s="583"/>
      <c r="P97" s="582"/>
      <c r="Q97" s="579"/>
      <c r="R97" s="579"/>
      <c r="S97" s="579"/>
      <c r="T97" s="580"/>
      <c r="U97" s="580"/>
      <c r="V97" s="580"/>
      <c r="W97" s="580"/>
      <c r="X97" s="580"/>
      <c r="Y97" s="583"/>
      <c r="Z97" s="580"/>
      <c r="AA97" s="579"/>
      <c r="AB97" s="583"/>
      <c r="AC97" s="580"/>
      <c r="AD97" s="579"/>
      <c r="AE97" s="583"/>
      <c r="AF97" s="579"/>
      <c r="AG97" s="579"/>
      <c r="AH97" s="583"/>
      <c r="AI97" s="579"/>
      <c r="AJ97" s="579"/>
      <c r="AK97" s="584"/>
      <c r="AL97" s="579"/>
      <c r="AM97" s="579"/>
      <c r="AN97" s="579"/>
      <c r="AO97" s="579"/>
      <c r="AP97" s="579"/>
      <c r="AQ97" s="579"/>
      <c r="AR97" s="579"/>
      <c r="AS97" s="579"/>
      <c r="AT97" s="568"/>
      <c r="AU97" s="568"/>
      <c r="AV97" s="568"/>
      <c r="AW97" s="568"/>
      <c r="AX97" s="568"/>
      <c r="AY97" s="568"/>
      <c r="AZ97" s="565"/>
      <c r="BA97" s="569"/>
      <c r="BB97" s="551"/>
      <c r="BC97" s="552"/>
      <c r="BD97" s="538"/>
      <c r="BE97" s="596"/>
      <c r="BF97" s="596"/>
      <c r="BG97" s="596"/>
      <c r="BH97" s="596"/>
      <c r="BI97" s="596"/>
      <c r="BJ97" s="596"/>
      <c r="BK97" s="596"/>
      <c r="BL97" s="596"/>
      <c r="BM97" s="596"/>
      <c r="BN97" s="596"/>
      <c r="BO97" s="596"/>
      <c r="BP97" s="596"/>
      <c r="BQ97" s="596"/>
      <c r="BR97" s="596"/>
      <c r="BS97" s="596"/>
      <c r="BT97" s="596"/>
    </row>
    <row r="98" spans="1:72" ht="12.5" customHeight="1">
      <c r="A98" s="540"/>
      <c r="B98" s="567"/>
      <c r="C98" s="575"/>
      <c r="D98" s="576"/>
      <c r="E98" s="568"/>
      <c r="F98" s="568"/>
      <c r="G98" s="568"/>
      <c r="H98" s="579"/>
      <c r="I98" s="579"/>
      <c r="J98" s="790"/>
      <c r="K98" s="790"/>
      <c r="L98" s="790"/>
      <c r="M98" s="790"/>
      <c r="N98" s="582"/>
      <c r="O98" s="583"/>
      <c r="P98" s="582"/>
      <c r="Q98" s="579"/>
      <c r="R98" s="579"/>
      <c r="S98" s="579"/>
      <c r="T98" s="580"/>
      <c r="U98" s="580"/>
      <c r="V98" s="580"/>
      <c r="W98" s="580"/>
      <c r="X98" s="580"/>
      <c r="Y98" s="583"/>
      <c r="Z98" s="580"/>
      <c r="AA98" s="579"/>
      <c r="AB98" s="583"/>
      <c r="AC98" s="580"/>
      <c r="AD98" s="579"/>
      <c r="AE98" s="583"/>
      <c r="AF98" s="579"/>
      <c r="AG98" s="579"/>
      <c r="AH98" s="583"/>
      <c r="AI98" s="579"/>
      <c r="AJ98" s="579"/>
      <c r="AK98" s="584"/>
      <c r="AL98" s="579"/>
      <c r="AM98" s="579"/>
      <c r="AN98" s="579"/>
      <c r="AO98" s="579"/>
      <c r="AP98" s="579"/>
      <c r="AQ98" s="579"/>
      <c r="AR98" s="579"/>
      <c r="AS98" s="579"/>
      <c r="AT98" s="568"/>
      <c r="AU98" s="568"/>
      <c r="AV98" s="568"/>
      <c r="AW98" s="568"/>
      <c r="AX98" s="568"/>
      <c r="AY98" s="568"/>
      <c r="AZ98" s="565"/>
      <c r="BA98" s="569"/>
      <c r="BB98" s="551"/>
      <c r="BC98" s="552"/>
      <c r="BD98" s="538"/>
      <c r="BE98" s="596"/>
      <c r="BF98" s="596"/>
      <c r="BG98" s="596"/>
      <c r="BH98" s="596"/>
      <c r="BI98" s="596"/>
      <c r="BJ98" s="596"/>
      <c r="BK98" s="596"/>
      <c r="BL98" s="596"/>
      <c r="BM98" s="596"/>
      <c r="BN98" s="596"/>
      <c r="BO98" s="596"/>
      <c r="BP98" s="596"/>
      <c r="BQ98" s="596"/>
      <c r="BR98" s="596"/>
      <c r="BS98" s="596"/>
      <c r="BT98" s="596"/>
    </row>
    <row r="99" spans="1:72" ht="12.5" customHeight="1">
      <c r="A99" s="540"/>
      <c r="B99" s="567"/>
      <c r="C99" s="575"/>
      <c r="D99" s="576"/>
      <c r="E99" s="568"/>
      <c r="F99" s="568"/>
      <c r="G99" s="568"/>
      <c r="H99" s="579"/>
      <c r="I99" s="579"/>
      <c r="J99" s="790"/>
      <c r="K99" s="790"/>
      <c r="L99" s="790"/>
      <c r="M99" s="790"/>
      <c r="N99" s="582"/>
      <c r="O99" s="583"/>
      <c r="P99" s="582"/>
      <c r="Q99" s="579"/>
      <c r="R99" s="579"/>
      <c r="S99" s="579"/>
      <c r="T99" s="580"/>
      <c r="U99" s="580"/>
      <c r="V99" s="580"/>
      <c r="W99" s="580"/>
      <c r="X99" s="580"/>
      <c r="Y99" s="583"/>
      <c r="Z99" s="580"/>
      <c r="AA99" s="579"/>
      <c r="AB99" s="583"/>
      <c r="AC99" s="580"/>
      <c r="AD99" s="579"/>
      <c r="AE99" s="583"/>
      <c r="AF99" s="579"/>
      <c r="AG99" s="579"/>
      <c r="AH99" s="583"/>
      <c r="AI99" s="579"/>
      <c r="AJ99" s="579"/>
      <c r="AK99" s="584"/>
      <c r="AL99" s="579"/>
      <c r="AM99" s="579"/>
      <c r="AN99" s="579"/>
      <c r="AO99" s="579"/>
      <c r="AP99" s="579"/>
      <c r="AQ99" s="579"/>
      <c r="AR99" s="579"/>
      <c r="AS99" s="579"/>
      <c r="AT99" s="568"/>
      <c r="AU99" s="568"/>
      <c r="AV99" s="568"/>
      <c r="AW99" s="568"/>
      <c r="AX99" s="568"/>
      <c r="AY99" s="568"/>
      <c r="AZ99" s="565"/>
      <c r="BA99" s="569"/>
      <c r="BB99" s="551"/>
      <c r="BC99" s="552"/>
      <c r="BD99" s="538"/>
      <c r="BE99" s="596"/>
      <c r="BF99" s="596"/>
      <c r="BG99" s="596"/>
      <c r="BH99" s="596"/>
      <c r="BI99" s="596"/>
      <c r="BJ99" s="596"/>
      <c r="BK99" s="596"/>
      <c r="BL99" s="596"/>
      <c r="BM99" s="596"/>
      <c r="BN99" s="596"/>
      <c r="BO99" s="596"/>
      <c r="BP99" s="596"/>
      <c r="BQ99" s="596"/>
      <c r="BR99" s="596"/>
      <c r="BS99" s="596"/>
      <c r="BT99" s="596"/>
    </row>
    <row r="100" spans="1:72" ht="12.5" customHeight="1">
      <c r="A100" s="540"/>
      <c r="B100" s="567"/>
      <c r="C100" s="575"/>
      <c r="D100" s="576"/>
      <c r="E100" s="568"/>
      <c r="F100" s="568"/>
      <c r="G100" s="568"/>
      <c r="H100" s="579"/>
      <c r="I100" s="579"/>
      <c r="J100" s="790"/>
      <c r="K100" s="790"/>
      <c r="L100" s="790"/>
      <c r="M100" s="790"/>
      <c r="N100" s="582"/>
      <c r="O100" s="583"/>
      <c r="P100" s="582"/>
      <c r="Q100" s="579"/>
      <c r="R100" s="579"/>
      <c r="S100" s="579"/>
      <c r="T100" s="580"/>
      <c r="U100" s="580"/>
      <c r="V100" s="580"/>
      <c r="W100" s="580"/>
      <c r="X100" s="580"/>
      <c r="Y100" s="583"/>
      <c r="Z100" s="580"/>
      <c r="AA100" s="579"/>
      <c r="AB100" s="583"/>
      <c r="AC100" s="580"/>
      <c r="AD100" s="579"/>
      <c r="AE100" s="583"/>
      <c r="AF100" s="579"/>
      <c r="AG100" s="579"/>
      <c r="AH100" s="583"/>
      <c r="AI100" s="579"/>
      <c r="AJ100" s="579"/>
      <c r="AK100" s="584"/>
      <c r="AL100" s="579"/>
      <c r="AM100" s="579"/>
      <c r="AN100" s="579"/>
      <c r="AO100" s="579"/>
      <c r="AP100" s="579"/>
      <c r="AQ100" s="579"/>
      <c r="AR100" s="579"/>
      <c r="AS100" s="579"/>
      <c r="AT100" s="568"/>
      <c r="AU100" s="568"/>
      <c r="AV100" s="568"/>
      <c r="AW100" s="568"/>
      <c r="AX100" s="568"/>
      <c r="AY100" s="568"/>
      <c r="AZ100" s="565"/>
      <c r="BA100" s="569"/>
      <c r="BB100" s="551"/>
      <c r="BC100" s="552"/>
      <c r="BD100" s="538"/>
      <c r="BE100" s="596"/>
      <c r="BF100" s="596"/>
      <c r="BG100" s="596"/>
      <c r="BH100" s="596"/>
      <c r="BI100" s="596"/>
      <c r="BJ100" s="596"/>
      <c r="BK100" s="596"/>
      <c r="BL100" s="596"/>
      <c r="BM100" s="596"/>
      <c r="BN100" s="596"/>
      <c r="BO100" s="596"/>
      <c r="BP100" s="596"/>
      <c r="BQ100" s="596"/>
      <c r="BR100" s="596"/>
      <c r="BS100" s="596"/>
      <c r="BT100" s="596"/>
    </row>
    <row r="101" spans="1:72" ht="12.5" customHeight="1">
      <c r="A101" s="540"/>
      <c r="B101" s="567"/>
      <c r="C101" s="575"/>
      <c r="D101" s="576"/>
      <c r="E101" s="568"/>
      <c r="F101" s="568"/>
      <c r="G101" s="568"/>
      <c r="H101" s="579"/>
      <c r="I101" s="579"/>
      <c r="J101" s="790"/>
      <c r="K101" s="790"/>
      <c r="L101" s="790"/>
      <c r="M101" s="790"/>
      <c r="N101" s="582"/>
      <c r="O101" s="583"/>
      <c r="P101" s="582"/>
      <c r="Q101" s="579"/>
      <c r="R101" s="579"/>
      <c r="S101" s="579"/>
      <c r="T101" s="580"/>
      <c r="U101" s="580"/>
      <c r="V101" s="580"/>
      <c r="W101" s="580"/>
      <c r="X101" s="580"/>
      <c r="Y101" s="583"/>
      <c r="Z101" s="580"/>
      <c r="AA101" s="579"/>
      <c r="AB101" s="583"/>
      <c r="AC101" s="580"/>
      <c r="AD101" s="579"/>
      <c r="AE101" s="583"/>
      <c r="AF101" s="579"/>
      <c r="AG101" s="579"/>
      <c r="AH101" s="583"/>
      <c r="AI101" s="579"/>
      <c r="AJ101" s="579"/>
      <c r="AK101" s="584"/>
      <c r="AL101" s="579"/>
      <c r="AM101" s="579"/>
      <c r="AN101" s="579"/>
      <c r="AO101" s="579"/>
      <c r="AP101" s="579"/>
      <c r="AQ101" s="579"/>
      <c r="AR101" s="579"/>
      <c r="AS101" s="579"/>
      <c r="AT101" s="568"/>
      <c r="AU101" s="568"/>
      <c r="AV101" s="568"/>
      <c r="AW101" s="568"/>
      <c r="AX101" s="568"/>
      <c r="AY101" s="568"/>
      <c r="AZ101" s="565"/>
      <c r="BA101" s="569"/>
      <c r="BB101" s="551"/>
      <c r="BC101" s="552"/>
      <c r="BD101" s="538"/>
      <c r="BE101" s="596"/>
      <c r="BF101" s="596"/>
      <c r="BG101" s="596"/>
      <c r="BH101" s="596"/>
      <c r="BI101" s="596"/>
      <c r="BJ101" s="596"/>
      <c r="BK101" s="596"/>
      <c r="BL101" s="596"/>
      <c r="BM101" s="596"/>
      <c r="BN101" s="596"/>
      <c r="BO101" s="596"/>
      <c r="BP101" s="596"/>
      <c r="BQ101" s="596"/>
      <c r="BR101" s="596"/>
      <c r="BS101" s="596"/>
      <c r="BT101" s="596"/>
    </row>
    <row r="102" spans="1:72" ht="12.5" customHeight="1">
      <c r="A102" s="540"/>
      <c r="B102" s="567"/>
      <c r="C102" s="575"/>
      <c r="D102" s="576"/>
      <c r="E102" s="568"/>
      <c r="F102" s="568"/>
      <c r="G102" s="568"/>
      <c r="H102" s="579"/>
      <c r="I102" s="579"/>
      <c r="J102" s="790"/>
      <c r="K102" s="790"/>
      <c r="L102" s="790"/>
      <c r="M102" s="790"/>
      <c r="N102" s="582"/>
      <c r="O102" s="583"/>
      <c r="P102" s="582"/>
      <c r="Q102" s="579"/>
      <c r="R102" s="579"/>
      <c r="S102" s="579"/>
      <c r="T102" s="580"/>
      <c r="U102" s="580"/>
      <c r="V102" s="580"/>
      <c r="W102" s="580"/>
      <c r="X102" s="580"/>
      <c r="Y102" s="583"/>
      <c r="Z102" s="580"/>
      <c r="AA102" s="579"/>
      <c r="AB102" s="583"/>
      <c r="AC102" s="580"/>
      <c r="AD102" s="579"/>
      <c r="AE102" s="583"/>
      <c r="AF102" s="579"/>
      <c r="AG102" s="579"/>
      <c r="AH102" s="583"/>
      <c r="AI102" s="579"/>
      <c r="AJ102" s="579"/>
      <c r="AK102" s="584"/>
      <c r="AL102" s="579"/>
      <c r="AM102" s="579"/>
      <c r="AN102" s="579"/>
      <c r="AO102" s="579"/>
      <c r="AP102" s="579"/>
      <c r="AQ102" s="579"/>
      <c r="AR102" s="579"/>
      <c r="AS102" s="579"/>
      <c r="AT102" s="568"/>
      <c r="AU102" s="568"/>
      <c r="AV102" s="568"/>
      <c r="AW102" s="568"/>
      <c r="AX102" s="568"/>
      <c r="AY102" s="568"/>
      <c r="AZ102" s="565"/>
      <c r="BA102" s="569"/>
      <c r="BB102" s="551"/>
      <c r="BC102" s="552"/>
      <c r="BD102" s="538"/>
      <c r="BE102" s="596"/>
      <c r="BF102" s="596"/>
      <c r="BG102" s="596"/>
      <c r="BH102" s="596"/>
      <c r="BI102" s="596"/>
      <c r="BJ102" s="596"/>
      <c r="BK102" s="596"/>
      <c r="BL102" s="596"/>
      <c r="BM102" s="596"/>
      <c r="BN102" s="596"/>
      <c r="BO102" s="596"/>
      <c r="BP102" s="596"/>
      <c r="BQ102" s="596"/>
      <c r="BR102" s="596"/>
      <c r="BS102" s="596"/>
      <c r="BT102" s="596"/>
    </row>
    <row r="103" spans="1:72" ht="12.5" customHeight="1">
      <c r="A103" s="540"/>
      <c r="B103" s="567"/>
      <c r="C103" s="575"/>
      <c r="D103" s="576"/>
      <c r="E103" s="568"/>
      <c r="F103" s="568"/>
      <c r="G103" s="568"/>
      <c r="H103" s="579"/>
      <c r="I103" s="579"/>
      <c r="J103" s="790"/>
      <c r="K103" s="790"/>
      <c r="L103" s="790"/>
      <c r="M103" s="790"/>
      <c r="N103" s="582"/>
      <c r="O103" s="583"/>
      <c r="P103" s="582"/>
      <c r="Q103" s="579"/>
      <c r="R103" s="579"/>
      <c r="S103" s="579"/>
      <c r="T103" s="580"/>
      <c r="U103" s="580"/>
      <c r="V103" s="580"/>
      <c r="W103" s="580"/>
      <c r="X103" s="580"/>
      <c r="Y103" s="583"/>
      <c r="Z103" s="580"/>
      <c r="AA103" s="579"/>
      <c r="AB103" s="583"/>
      <c r="AC103" s="580"/>
      <c r="AD103" s="579"/>
      <c r="AE103" s="583"/>
      <c r="AF103" s="579"/>
      <c r="AG103" s="579"/>
      <c r="AH103" s="583"/>
      <c r="AI103" s="579"/>
      <c r="AJ103" s="579"/>
      <c r="AK103" s="584"/>
      <c r="AL103" s="579"/>
      <c r="AM103" s="579"/>
      <c r="AN103" s="579"/>
      <c r="AO103" s="579"/>
      <c r="AP103" s="579"/>
      <c r="AQ103" s="579"/>
      <c r="AR103" s="579"/>
      <c r="AS103" s="579"/>
      <c r="AT103" s="568"/>
      <c r="AU103" s="568"/>
      <c r="AV103" s="568"/>
      <c r="AW103" s="568"/>
      <c r="AX103" s="568"/>
      <c r="AY103" s="568"/>
      <c r="AZ103" s="565"/>
      <c r="BA103" s="569"/>
      <c r="BB103" s="551"/>
      <c r="BC103" s="552"/>
      <c r="BD103" s="538"/>
      <c r="BE103" s="596"/>
      <c r="BF103" s="596"/>
      <c r="BG103" s="596"/>
      <c r="BH103" s="596"/>
      <c r="BI103" s="596"/>
      <c r="BJ103" s="596"/>
      <c r="BK103" s="596"/>
      <c r="BL103" s="596"/>
      <c r="BM103" s="596"/>
      <c r="BN103" s="596"/>
      <c r="BO103" s="596"/>
      <c r="BP103" s="596"/>
      <c r="BQ103" s="596"/>
      <c r="BR103" s="596"/>
      <c r="BS103" s="596"/>
      <c r="BT103" s="596"/>
    </row>
    <row r="104" spans="1:72" ht="12.5" customHeight="1">
      <c r="A104" s="540"/>
      <c r="B104" s="567"/>
      <c r="C104" s="575"/>
      <c r="D104" s="576"/>
      <c r="E104" s="568"/>
      <c r="F104" s="568"/>
      <c r="G104" s="568"/>
      <c r="H104" s="579"/>
      <c r="I104" s="579"/>
      <c r="J104" s="790"/>
      <c r="K104" s="790"/>
      <c r="L104" s="790"/>
      <c r="M104" s="790"/>
      <c r="N104" s="582"/>
      <c r="O104" s="583"/>
      <c r="P104" s="582"/>
      <c r="Q104" s="579"/>
      <c r="R104" s="579"/>
      <c r="S104" s="579"/>
      <c r="T104" s="580"/>
      <c r="U104" s="580"/>
      <c r="V104" s="580"/>
      <c r="W104" s="580"/>
      <c r="X104" s="580"/>
      <c r="Y104" s="583"/>
      <c r="Z104" s="580"/>
      <c r="AA104" s="579"/>
      <c r="AB104" s="583"/>
      <c r="AC104" s="580"/>
      <c r="AD104" s="579"/>
      <c r="AE104" s="583"/>
      <c r="AF104" s="579"/>
      <c r="AG104" s="579"/>
      <c r="AH104" s="583"/>
      <c r="AI104" s="579"/>
      <c r="AJ104" s="579"/>
      <c r="AK104" s="584"/>
      <c r="AL104" s="579"/>
      <c r="AM104" s="579"/>
      <c r="AN104" s="579"/>
      <c r="AO104" s="579"/>
      <c r="AP104" s="579"/>
      <c r="AQ104" s="579"/>
      <c r="AR104" s="579"/>
      <c r="AS104" s="579"/>
      <c r="AT104" s="568"/>
      <c r="AU104" s="568"/>
      <c r="AV104" s="568"/>
      <c r="AW104" s="568"/>
      <c r="AX104" s="568"/>
      <c r="AY104" s="568"/>
      <c r="AZ104" s="565"/>
      <c r="BA104" s="569"/>
      <c r="BB104" s="551"/>
      <c r="BC104" s="552"/>
      <c r="BD104" s="538"/>
      <c r="BE104" s="596"/>
      <c r="BF104" s="596"/>
      <c r="BG104" s="596"/>
      <c r="BH104" s="596"/>
      <c r="BI104" s="596"/>
      <c r="BJ104" s="596"/>
      <c r="BK104" s="596"/>
      <c r="BL104" s="596"/>
      <c r="BM104" s="596"/>
      <c r="BN104" s="596"/>
      <c r="BO104" s="596"/>
      <c r="BP104" s="596"/>
      <c r="BQ104" s="596"/>
      <c r="BR104" s="596"/>
      <c r="BS104" s="596"/>
      <c r="BT104" s="596"/>
    </row>
    <row r="105" spans="1:72" ht="12.5" customHeight="1">
      <c r="A105" s="540"/>
      <c r="B105" s="567"/>
      <c r="C105" s="575"/>
      <c r="D105" s="576"/>
      <c r="E105" s="568"/>
      <c r="F105" s="568"/>
      <c r="G105" s="568"/>
      <c r="H105" s="579"/>
      <c r="I105" s="579"/>
      <c r="J105" s="790"/>
      <c r="K105" s="790"/>
      <c r="L105" s="790"/>
      <c r="M105" s="790"/>
      <c r="N105" s="582"/>
      <c r="O105" s="583"/>
      <c r="P105" s="582"/>
      <c r="Q105" s="579"/>
      <c r="R105" s="579"/>
      <c r="S105" s="579"/>
      <c r="T105" s="580"/>
      <c r="U105" s="580"/>
      <c r="V105" s="580"/>
      <c r="W105" s="580"/>
      <c r="X105" s="580"/>
      <c r="Y105" s="583"/>
      <c r="Z105" s="580"/>
      <c r="AA105" s="579"/>
      <c r="AB105" s="583"/>
      <c r="AC105" s="580"/>
      <c r="AD105" s="579"/>
      <c r="AE105" s="583"/>
      <c r="AF105" s="579"/>
      <c r="AG105" s="579"/>
      <c r="AH105" s="583"/>
      <c r="AI105" s="579"/>
      <c r="AJ105" s="579"/>
      <c r="AK105" s="584"/>
      <c r="AL105" s="579"/>
      <c r="AM105" s="579"/>
      <c r="AN105" s="579"/>
      <c r="AO105" s="579"/>
      <c r="AP105" s="579"/>
      <c r="AQ105" s="579"/>
      <c r="AR105" s="579"/>
      <c r="AS105" s="579"/>
      <c r="AT105" s="568"/>
      <c r="AU105" s="568"/>
      <c r="AV105" s="568"/>
      <c r="AW105" s="568"/>
      <c r="AX105" s="568"/>
      <c r="AY105" s="568"/>
      <c r="AZ105" s="565"/>
      <c r="BA105" s="569"/>
      <c r="BB105" s="551"/>
      <c r="BC105" s="552"/>
      <c r="BD105" s="538"/>
      <c r="BE105" s="596"/>
      <c r="BF105" s="596"/>
      <c r="BG105" s="596"/>
      <c r="BH105" s="596"/>
      <c r="BI105" s="596"/>
      <c r="BJ105" s="596"/>
      <c r="BK105" s="596"/>
      <c r="BL105" s="596"/>
      <c r="BM105" s="596"/>
      <c r="BN105" s="596"/>
      <c r="BO105" s="596"/>
      <c r="BP105" s="596"/>
      <c r="BQ105" s="596"/>
      <c r="BR105" s="596"/>
      <c r="BS105" s="596"/>
      <c r="BT105" s="596"/>
    </row>
    <row r="106" spans="1:72" ht="12.5" customHeight="1">
      <c r="A106" s="540"/>
      <c r="B106" s="567"/>
      <c r="C106" s="575"/>
      <c r="D106" s="576"/>
      <c r="E106" s="568"/>
      <c r="F106" s="568"/>
      <c r="G106" s="568"/>
      <c r="H106" s="579"/>
      <c r="I106" s="579"/>
      <c r="J106" s="790"/>
      <c r="K106" s="790"/>
      <c r="L106" s="790"/>
      <c r="M106" s="790"/>
      <c r="N106" s="582"/>
      <c r="O106" s="583"/>
      <c r="P106" s="582"/>
      <c r="Q106" s="579"/>
      <c r="R106" s="579"/>
      <c r="S106" s="579"/>
      <c r="T106" s="580"/>
      <c r="U106" s="580"/>
      <c r="V106" s="580"/>
      <c r="W106" s="580"/>
      <c r="X106" s="580"/>
      <c r="Y106" s="583"/>
      <c r="Z106" s="580"/>
      <c r="AA106" s="579"/>
      <c r="AB106" s="583"/>
      <c r="AC106" s="580"/>
      <c r="AD106" s="579"/>
      <c r="AE106" s="583"/>
      <c r="AF106" s="579"/>
      <c r="AG106" s="579"/>
      <c r="AH106" s="583"/>
      <c r="AI106" s="579"/>
      <c r="AJ106" s="579"/>
      <c r="AK106" s="584"/>
      <c r="AL106" s="579"/>
      <c r="AM106" s="579"/>
      <c r="AN106" s="579"/>
      <c r="AO106" s="579"/>
      <c r="AP106" s="579"/>
      <c r="AQ106" s="579"/>
      <c r="AR106" s="579"/>
      <c r="AS106" s="579"/>
      <c r="AT106" s="568"/>
      <c r="AU106" s="568"/>
      <c r="AV106" s="568"/>
      <c r="AW106" s="568"/>
      <c r="AX106" s="568"/>
      <c r="AY106" s="568"/>
      <c r="AZ106" s="565"/>
      <c r="BA106" s="569"/>
      <c r="BB106" s="551"/>
      <c r="BC106" s="552"/>
      <c r="BD106" s="538"/>
      <c r="BE106" s="596"/>
      <c r="BF106" s="596"/>
      <c r="BG106" s="596"/>
      <c r="BH106" s="596"/>
      <c r="BI106" s="596"/>
      <c r="BJ106" s="596"/>
      <c r="BK106" s="596"/>
      <c r="BL106" s="596"/>
      <c r="BM106" s="596"/>
      <c r="BN106" s="596"/>
      <c r="BO106" s="596"/>
      <c r="BP106" s="596"/>
      <c r="BQ106" s="596"/>
      <c r="BR106" s="596"/>
      <c r="BS106" s="596"/>
      <c r="BT106" s="596"/>
    </row>
    <row r="107" spans="1:72" ht="12.5" customHeight="1">
      <c r="A107" s="540"/>
      <c r="B107" s="567"/>
      <c r="C107" s="575"/>
      <c r="D107" s="576"/>
      <c r="E107" s="568"/>
      <c r="F107" s="568"/>
      <c r="G107" s="568"/>
      <c r="H107" s="579"/>
      <c r="I107" s="579"/>
      <c r="J107" s="790"/>
      <c r="K107" s="790"/>
      <c r="L107" s="790"/>
      <c r="M107" s="790"/>
      <c r="N107" s="582"/>
      <c r="O107" s="583"/>
      <c r="P107" s="582"/>
      <c r="Q107" s="579"/>
      <c r="R107" s="579"/>
      <c r="S107" s="579"/>
      <c r="T107" s="580"/>
      <c r="U107" s="580"/>
      <c r="V107" s="580"/>
      <c r="W107" s="580"/>
      <c r="X107" s="580"/>
      <c r="Y107" s="583"/>
      <c r="Z107" s="580"/>
      <c r="AA107" s="579"/>
      <c r="AB107" s="583"/>
      <c r="AC107" s="580"/>
      <c r="AD107" s="579"/>
      <c r="AE107" s="583"/>
      <c r="AF107" s="579"/>
      <c r="AG107" s="579"/>
      <c r="AH107" s="583"/>
      <c r="AI107" s="579"/>
      <c r="AJ107" s="579"/>
      <c r="AK107" s="584"/>
      <c r="AL107" s="579"/>
      <c r="AM107" s="579"/>
      <c r="AN107" s="579"/>
      <c r="AO107" s="579"/>
      <c r="AP107" s="579"/>
      <c r="AQ107" s="579"/>
      <c r="AR107" s="579"/>
      <c r="AS107" s="579"/>
      <c r="AT107" s="568"/>
      <c r="AU107" s="568"/>
      <c r="AV107" s="568"/>
      <c r="AW107" s="568"/>
      <c r="AX107" s="568"/>
      <c r="AY107" s="568"/>
      <c r="AZ107" s="565"/>
      <c r="BA107" s="569"/>
      <c r="BB107" s="551"/>
      <c r="BC107" s="552"/>
      <c r="BD107" s="538"/>
      <c r="BE107" s="596"/>
      <c r="BF107" s="596"/>
      <c r="BG107" s="596"/>
      <c r="BH107" s="596"/>
      <c r="BI107" s="596"/>
      <c r="BJ107" s="596"/>
      <c r="BK107" s="596"/>
      <c r="BL107" s="596"/>
      <c r="BM107" s="596"/>
      <c r="BN107" s="596"/>
      <c r="BO107" s="596"/>
      <c r="BP107" s="596"/>
      <c r="BQ107" s="596"/>
      <c r="BR107" s="596"/>
      <c r="BS107" s="596"/>
      <c r="BT107" s="596"/>
    </row>
    <row r="108" spans="1:72" ht="12.5" customHeight="1">
      <c r="A108" s="540"/>
      <c r="B108" s="567"/>
      <c r="C108" s="575"/>
      <c r="D108" s="576"/>
      <c r="E108" s="568"/>
      <c r="F108" s="568"/>
      <c r="G108" s="568"/>
      <c r="H108" s="579"/>
      <c r="I108" s="579"/>
      <c r="J108" s="790"/>
      <c r="K108" s="790"/>
      <c r="L108" s="790"/>
      <c r="M108" s="790"/>
      <c r="N108" s="582"/>
      <c r="O108" s="583"/>
      <c r="P108" s="582"/>
      <c r="Q108" s="579"/>
      <c r="R108" s="579"/>
      <c r="S108" s="579"/>
      <c r="T108" s="580"/>
      <c r="U108" s="580"/>
      <c r="V108" s="580"/>
      <c r="W108" s="580"/>
      <c r="X108" s="580"/>
      <c r="Y108" s="583"/>
      <c r="Z108" s="580"/>
      <c r="AA108" s="579"/>
      <c r="AB108" s="583"/>
      <c r="AC108" s="580"/>
      <c r="AD108" s="579"/>
      <c r="AE108" s="583"/>
      <c r="AF108" s="579"/>
      <c r="AG108" s="579"/>
      <c r="AH108" s="583"/>
      <c r="AI108" s="579"/>
      <c r="AJ108" s="579"/>
      <c r="AK108" s="584"/>
      <c r="AL108" s="579"/>
      <c r="AM108" s="579"/>
      <c r="AN108" s="579"/>
      <c r="AO108" s="579"/>
      <c r="AP108" s="579"/>
      <c r="AQ108" s="579"/>
      <c r="AR108" s="579"/>
      <c r="AS108" s="579"/>
      <c r="AT108" s="568"/>
      <c r="AU108" s="568"/>
      <c r="AV108" s="568"/>
      <c r="AW108" s="568"/>
      <c r="AX108" s="568"/>
      <c r="AY108" s="568"/>
      <c r="AZ108" s="565"/>
      <c r="BA108" s="569"/>
      <c r="BB108" s="551"/>
      <c r="BC108" s="552"/>
      <c r="BD108" s="538"/>
      <c r="BE108" s="596"/>
      <c r="BF108" s="596"/>
      <c r="BG108" s="596"/>
      <c r="BH108" s="596"/>
      <c r="BI108" s="596"/>
      <c r="BJ108" s="596"/>
      <c r="BK108" s="596"/>
      <c r="BL108" s="596"/>
      <c r="BM108" s="596"/>
      <c r="BN108" s="596"/>
      <c r="BO108" s="596"/>
      <c r="BP108" s="596"/>
      <c r="BQ108" s="596"/>
      <c r="BR108" s="596"/>
      <c r="BS108" s="596"/>
      <c r="BT108" s="596"/>
    </row>
    <row r="109" spans="1:72" ht="12.5" customHeight="1">
      <c r="A109" s="540"/>
      <c r="B109" s="567"/>
      <c r="C109" s="575"/>
      <c r="D109" s="576"/>
      <c r="E109" s="568"/>
      <c r="F109" s="568"/>
      <c r="G109" s="568"/>
      <c r="H109" s="579"/>
      <c r="I109" s="579"/>
      <c r="J109" s="654"/>
      <c r="K109" s="654"/>
      <c r="L109" s="654"/>
      <c r="M109" s="654"/>
      <c r="N109" s="582"/>
      <c r="O109" s="583"/>
      <c r="P109" s="582"/>
      <c r="Q109" s="579"/>
      <c r="R109" s="579"/>
      <c r="S109" s="579"/>
      <c r="T109" s="580"/>
      <c r="U109" s="580"/>
      <c r="V109" s="580"/>
      <c r="W109" s="580"/>
      <c r="X109" s="580"/>
      <c r="Y109" s="583"/>
      <c r="Z109" s="580"/>
      <c r="AA109" s="579"/>
      <c r="AB109" s="583"/>
      <c r="AC109" s="580"/>
      <c r="AD109" s="579"/>
      <c r="AE109" s="583"/>
      <c r="AF109" s="579"/>
      <c r="AG109" s="579"/>
      <c r="AH109" s="583"/>
      <c r="AI109" s="579"/>
      <c r="AJ109" s="579"/>
      <c r="AK109" s="584"/>
      <c r="AL109" s="579"/>
      <c r="AM109" s="579"/>
      <c r="AN109" s="579"/>
      <c r="AO109" s="579"/>
      <c r="AP109" s="579"/>
      <c r="AQ109" s="579"/>
      <c r="AR109" s="579"/>
      <c r="AS109" s="579"/>
      <c r="AT109" s="568"/>
      <c r="AU109" s="568"/>
      <c r="AV109" s="568"/>
      <c r="AW109" s="568"/>
      <c r="AX109" s="568"/>
      <c r="AY109" s="568"/>
      <c r="AZ109" s="565"/>
      <c r="BA109" s="569"/>
      <c r="BB109" s="551"/>
      <c r="BC109" s="552"/>
      <c r="BD109" s="538"/>
      <c r="BE109" s="596"/>
      <c r="BF109" s="596"/>
      <c r="BG109" s="596"/>
      <c r="BH109" s="596"/>
      <c r="BI109" s="596"/>
      <c r="BJ109" s="596"/>
      <c r="BK109" s="596"/>
      <c r="BL109" s="596"/>
      <c r="BM109" s="596"/>
      <c r="BN109" s="596"/>
      <c r="BO109" s="596"/>
      <c r="BP109" s="596"/>
      <c r="BQ109" s="596"/>
      <c r="BR109" s="596"/>
      <c r="BS109" s="596"/>
      <c r="BT109" s="596"/>
    </row>
    <row r="110" spans="1:72" ht="12.5" customHeight="1">
      <c r="A110" s="540"/>
      <c r="B110" s="567"/>
      <c r="C110" s="575"/>
      <c r="D110" s="576"/>
      <c r="E110" s="568"/>
      <c r="F110" s="568"/>
      <c r="G110" s="568"/>
      <c r="H110" s="579"/>
      <c r="I110" s="579"/>
      <c r="J110" s="654"/>
      <c r="K110" s="654"/>
      <c r="L110" s="654"/>
      <c r="M110" s="654"/>
      <c r="N110" s="582"/>
      <c r="O110" s="583"/>
      <c r="P110" s="582"/>
      <c r="Q110" s="579"/>
      <c r="R110" s="579"/>
      <c r="S110" s="579"/>
      <c r="T110" s="580"/>
      <c r="U110" s="580"/>
      <c r="V110" s="580"/>
      <c r="W110" s="580"/>
      <c r="X110" s="580"/>
      <c r="Y110" s="583"/>
      <c r="Z110" s="580"/>
      <c r="AA110" s="579"/>
      <c r="AB110" s="583"/>
      <c r="AC110" s="580"/>
      <c r="AD110" s="579"/>
      <c r="AE110" s="583"/>
      <c r="AF110" s="579"/>
      <c r="AG110" s="579"/>
      <c r="AH110" s="583"/>
      <c r="AI110" s="579"/>
      <c r="AJ110" s="579"/>
      <c r="AK110" s="584"/>
      <c r="AL110" s="579"/>
      <c r="AM110" s="579"/>
      <c r="AN110" s="579"/>
      <c r="AO110" s="579"/>
      <c r="AP110" s="579"/>
      <c r="AQ110" s="579"/>
      <c r="AR110" s="579"/>
      <c r="AS110" s="579"/>
      <c r="AT110" s="568"/>
      <c r="AU110" s="568"/>
      <c r="AV110" s="568"/>
      <c r="AW110" s="568"/>
      <c r="AX110" s="568"/>
      <c r="AY110" s="568"/>
      <c r="AZ110" s="565"/>
      <c r="BA110" s="569"/>
      <c r="BB110" s="551"/>
      <c r="BC110" s="552"/>
      <c r="BD110" s="538"/>
      <c r="BE110" s="596"/>
      <c r="BF110" s="596"/>
      <c r="BG110" s="596"/>
      <c r="BH110" s="596"/>
      <c r="BI110" s="596"/>
      <c r="BJ110" s="596"/>
      <c r="BK110" s="596"/>
      <c r="BL110" s="596"/>
      <c r="BM110" s="596"/>
      <c r="BN110" s="596"/>
      <c r="BO110" s="596"/>
      <c r="BP110" s="596"/>
      <c r="BQ110" s="596"/>
      <c r="BR110" s="596"/>
      <c r="BS110" s="596"/>
      <c r="BT110" s="596"/>
    </row>
    <row r="111" spans="1:72" ht="12.5" customHeight="1">
      <c r="A111" s="540"/>
      <c r="B111" s="567"/>
      <c r="C111" s="575"/>
      <c r="D111" s="576"/>
      <c r="E111" s="568"/>
      <c r="F111" s="568"/>
      <c r="G111" s="568"/>
      <c r="H111" s="579"/>
      <c r="I111" s="579"/>
      <c r="J111" s="654"/>
      <c r="K111" s="654"/>
      <c r="L111" s="654"/>
      <c r="M111" s="654"/>
      <c r="N111" s="582"/>
      <c r="O111" s="583"/>
      <c r="P111" s="582"/>
      <c r="Q111" s="579"/>
      <c r="R111" s="579"/>
      <c r="S111" s="579"/>
      <c r="T111" s="580"/>
      <c r="U111" s="580"/>
      <c r="V111" s="580"/>
      <c r="W111" s="580"/>
      <c r="X111" s="580"/>
      <c r="Y111" s="583"/>
      <c r="Z111" s="580"/>
      <c r="AA111" s="579"/>
      <c r="AB111" s="583"/>
      <c r="AC111" s="580"/>
      <c r="AD111" s="579"/>
      <c r="AE111" s="583"/>
      <c r="AF111" s="579"/>
      <c r="AG111" s="579"/>
      <c r="AH111" s="583"/>
      <c r="AI111" s="579"/>
      <c r="AJ111" s="579"/>
      <c r="AK111" s="584"/>
      <c r="AL111" s="579"/>
      <c r="AM111" s="579"/>
      <c r="AN111" s="579"/>
      <c r="AO111" s="579"/>
      <c r="AP111" s="579"/>
      <c r="AQ111" s="579"/>
      <c r="AR111" s="579"/>
      <c r="AS111" s="579"/>
      <c r="AT111" s="568"/>
      <c r="AU111" s="568"/>
      <c r="AV111" s="568"/>
      <c r="AW111" s="568"/>
      <c r="AX111" s="568"/>
      <c r="AY111" s="568"/>
      <c r="AZ111" s="565"/>
      <c r="BA111" s="569"/>
      <c r="BB111" s="551"/>
      <c r="BC111" s="552"/>
      <c r="BD111" s="538"/>
      <c r="BE111" s="596"/>
      <c r="BF111" s="596"/>
      <c r="BG111" s="596"/>
      <c r="BH111" s="596"/>
      <c r="BI111" s="596"/>
      <c r="BJ111" s="596"/>
      <c r="BK111" s="596"/>
      <c r="BL111" s="596"/>
      <c r="BM111" s="596"/>
      <c r="BN111" s="596"/>
      <c r="BO111" s="596"/>
      <c r="BP111" s="596"/>
      <c r="BQ111" s="596"/>
      <c r="BR111" s="596"/>
      <c r="BS111" s="596"/>
      <c r="BT111" s="596"/>
    </row>
    <row r="112" spans="1:72" ht="12.5" customHeight="1">
      <c r="A112" s="540"/>
      <c r="B112" s="567"/>
      <c r="C112" s="575"/>
      <c r="D112" s="576"/>
      <c r="E112" s="568"/>
      <c r="F112" s="568"/>
      <c r="G112" s="568"/>
      <c r="H112" s="579"/>
      <c r="I112" s="579"/>
      <c r="J112" s="654"/>
      <c r="K112" s="654"/>
      <c r="L112" s="654"/>
      <c r="M112" s="654"/>
      <c r="N112" s="582"/>
      <c r="O112" s="583"/>
      <c r="P112" s="582"/>
      <c r="Q112" s="579"/>
      <c r="R112" s="579"/>
      <c r="S112" s="579"/>
      <c r="T112" s="580"/>
      <c r="U112" s="580"/>
      <c r="V112" s="580"/>
      <c r="W112" s="580"/>
      <c r="X112" s="580"/>
      <c r="Y112" s="583"/>
      <c r="Z112" s="580"/>
      <c r="AA112" s="579"/>
      <c r="AB112" s="583"/>
      <c r="AC112" s="580"/>
      <c r="AD112" s="579"/>
      <c r="AE112" s="583"/>
      <c r="AF112" s="579"/>
      <c r="AG112" s="579"/>
      <c r="AH112" s="583"/>
      <c r="AI112" s="579"/>
      <c r="AJ112" s="579"/>
      <c r="AK112" s="584"/>
      <c r="AL112" s="579"/>
      <c r="AM112" s="579"/>
      <c r="AN112" s="579"/>
      <c r="AO112" s="579"/>
      <c r="AP112" s="579"/>
      <c r="AQ112" s="579"/>
      <c r="AR112" s="579"/>
      <c r="AS112" s="579"/>
      <c r="AT112" s="568"/>
      <c r="AU112" s="568"/>
      <c r="AV112" s="568"/>
      <c r="AW112" s="568"/>
      <c r="AX112" s="568"/>
      <c r="AY112" s="568"/>
      <c r="AZ112" s="565"/>
      <c r="BA112" s="569"/>
      <c r="BB112" s="551"/>
      <c r="BC112" s="552"/>
      <c r="BD112" s="538"/>
      <c r="BE112" s="596"/>
      <c r="BF112" s="596"/>
      <c r="BG112" s="596"/>
      <c r="BH112" s="596"/>
      <c r="BI112" s="596"/>
      <c r="BJ112" s="596"/>
      <c r="BK112" s="596"/>
      <c r="BL112" s="596"/>
      <c r="BM112" s="596"/>
      <c r="BN112" s="596"/>
      <c r="BO112" s="596"/>
      <c r="BP112" s="596"/>
      <c r="BQ112" s="596"/>
      <c r="BR112" s="596"/>
      <c r="BS112" s="596"/>
      <c r="BT112" s="596"/>
    </row>
    <row r="113" spans="1:72" ht="12.5" customHeight="1">
      <c r="A113" s="540"/>
      <c r="B113" s="567"/>
      <c r="C113" s="575"/>
      <c r="D113" s="576"/>
      <c r="E113" s="568"/>
      <c r="F113" s="568"/>
      <c r="G113" s="568"/>
      <c r="H113" s="579"/>
      <c r="I113" s="579"/>
      <c r="J113" s="654"/>
      <c r="K113" s="654"/>
      <c r="L113" s="654"/>
      <c r="M113" s="654"/>
      <c r="N113" s="582"/>
      <c r="O113" s="583"/>
      <c r="P113" s="582"/>
      <c r="Q113" s="579"/>
      <c r="R113" s="579"/>
      <c r="S113" s="579"/>
      <c r="T113" s="580"/>
      <c r="U113" s="580"/>
      <c r="V113" s="580"/>
      <c r="W113" s="580"/>
      <c r="X113" s="580"/>
      <c r="Y113" s="583"/>
      <c r="Z113" s="580"/>
      <c r="AA113" s="579"/>
      <c r="AB113" s="583"/>
      <c r="AC113" s="580"/>
      <c r="AD113" s="579"/>
      <c r="AE113" s="583"/>
      <c r="AF113" s="579"/>
      <c r="AG113" s="579"/>
      <c r="AH113" s="583"/>
      <c r="AI113" s="579"/>
      <c r="AJ113" s="579"/>
      <c r="AK113" s="584"/>
      <c r="AL113" s="579"/>
      <c r="AM113" s="579"/>
      <c r="AN113" s="579"/>
      <c r="AO113" s="579"/>
      <c r="AP113" s="579"/>
      <c r="AQ113" s="579"/>
      <c r="AR113" s="579"/>
      <c r="AS113" s="579"/>
      <c r="AT113" s="568"/>
      <c r="AU113" s="568"/>
      <c r="AV113" s="568"/>
      <c r="AW113" s="568"/>
      <c r="AX113" s="568"/>
      <c r="AY113" s="568"/>
      <c r="AZ113" s="565"/>
      <c r="BA113" s="569"/>
      <c r="BB113" s="551"/>
      <c r="BC113" s="552"/>
      <c r="BD113" s="538"/>
      <c r="BE113" s="596"/>
      <c r="BF113" s="596"/>
      <c r="BG113" s="596"/>
      <c r="BH113" s="596"/>
      <c r="BI113" s="596"/>
      <c r="BJ113" s="596"/>
      <c r="BK113" s="596"/>
      <c r="BL113" s="596"/>
      <c r="BM113" s="596"/>
      <c r="BN113" s="596"/>
      <c r="BO113" s="596"/>
      <c r="BP113" s="596"/>
      <c r="BQ113" s="596"/>
      <c r="BR113" s="596"/>
      <c r="BS113" s="596"/>
      <c r="BT113" s="596"/>
    </row>
    <row r="114" spans="1:72" ht="13.5">
      <c r="A114" s="540"/>
      <c r="B114" s="567"/>
      <c r="C114" s="575"/>
      <c r="D114" s="576"/>
      <c r="E114" s="568"/>
      <c r="F114" s="568"/>
      <c r="G114" s="568"/>
      <c r="H114" s="579"/>
      <c r="I114" s="579"/>
      <c r="J114" s="654"/>
      <c r="K114" s="654"/>
      <c r="L114" s="654"/>
      <c r="M114" s="654"/>
      <c r="N114" s="582"/>
      <c r="O114" s="583"/>
      <c r="P114" s="582"/>
      <c r="Q114" s="579"/>
      <c r="R114" s="579"/>
      <c r="S114" s="579"/>
      <c r="T114" s="580"/>
      <c r="U114" s="580"/>
      <c r="V114" s="580"/>
      <c r="W114" s="580"/>
      <c r="X114" s="580"/>
      <c r="Y114" s="583"/>
      <c r="Z114" s="580"/>
      <c r="AA114" s="579"/>
      <c r="AB114" s="583"/>
      <c r="AC114" s="580"/>
      <c r="AD114" s="579"/>
      <c r="AE114" s="583"/>
      <c r="AF114" s="579"/>
      <c r="AG114" s="579"/>
      <c r="AH114" s="583"/>
      <c r="AI114" s="579"/>
      <c r="AJ114" s="579"/>
      <c r="AK114" s="584"/>
      <c r="AL114" s="579"/>
      <c r="AM114" s="579"/>
      <c r="AN114" s="579"/>
      <c r="AO114" s="579"/>
      <c r="AP114" s="579"/>
      <c r="AQ114" s="579"/>
      <c r="AR114" s="579"/>
      <c r="AS114" s="579"/>
      <c r="AT114" s="568"/>
      <c r="AU114" s="568"/>
      <c r="AV114" s="568"/>
      <c r="AW114" s="568"/>
      <c r="AX114" s="568"/>
      <c r="AY114" s="568"/>
      <c r="AZ114" s="565"/>
      <c r="BA114" s="569"/>
      <c r="BB114" s="551"/>
      <c r="BC114" s="552"/>
      <c r="BD114" s="553"/>
      <c r="BE114" s="596"/>
      <c r="BF114" s="596"/>
      <c r="BG114" s="596"/>
      <c r="BH114" s="596"/>
      <c r="BI114" s="596"/>
      <c r="BJ114" s="596"/>
      <c r="BK114" s="596"/>
      <c r="BL114" s="596"/>
      <c r="BM114" s="596"/>
      <c r="BN114" s="596"/>
      <c r="BO114" s="596"/>
      <c r="BP114" s="596"/>
      <c r="BQ114" s="596"/>
      <c r="BR114" s="596"/>
      <c r="BS114" s="596"/>
      <c r="BT114" s="596"/>
    </row>
    <row r="115" spans="1:72" ht="13.5">
      <c r="A115" s="540"/>
      <c r="B115" s="567"/>
      <c r="C115" s="575"/>
      <c r="D115" s="576"/>
      <c r="E115" s="568"/>
      <c r="F115" s="568"/>
      <c r="G115" s="568"/>
      <c r="H115" s="579"/>
      <c r="I115" s="579"/>
      <c r="J115" s="654"/>
      <c r="K115" s="654"/>
      <c r="L115" s="654"/>
      <c r="M115" s="654"/>
      <c r="N115" s="582"/>
      <c r="O115" s="583"/>
      <c r="P115" s="582"/>
      <c r="Q115" s="579"/>
      <c r="R115" s="579"/>
      <c r="S115" s="579"/>
      <c r="T115" s="580"/>
      <c r="U115" s="580"/>
      <c r="V115" s="580"/>
      <c r="W115" s="580"/>
      <c r="X115" s="580"/>
      <c r="Y115" s="583"/>
      <c r="Z115" s="580"/>
      <c r="AA115" s="579"/>
      <c r="AB115" s="583"/>
      <c r="AC115" s="580"/>
      <c r="AD115" s="579"/>
      <c r="AE115" s="583"/>
      <c r="AF115" s="579"/>
      <c r="AG115" s="579"/>
      <c r="AH115" s="583"/>
      <c r="AI115" s="579"/>
      <c r="AJ115" s="579"/>
      <c r="AK115" s="584"/>
      <c r="AL115" s="579"/>
      <c r="AM115" s="579"/>
      <c r="AN115" s="579"/>
      <c r="AO115" s="579"/>
      <c r="AP115" s="579"/>
      <c r="AQ115" s="579"/>
      <c r="AR115" s="579"/>
      <c r="AS115" s="579"/>
      <c r="AT115" s="568"/>
      <c r="AU115" s="568"/>
      <c r="AV115" s="568"/>
      <c r="AW115" s="568"/>
      <c r="AX115" s="568"/>
      <c r="AY115" s="568"/>
      <c r="AZ115" s="565"/>
      <c r="BA115" s="569"/>
      <c r="BB115" s="551"/>
      <c r="BC115" s="552"/>
      <c r="BD115" s="553"/>
      <c r="BE115" s="596"/>
      <c r="BF115" s="596"/>
      <c r="BG115" s="596"/>
      <c r="BH115" s="596"/>
      <c r="BI115" s="596"/>
      <c r="BJ115" s="596"/>
      <c r="BK115" s="596"/>
      <c r="BL115" s="596"/>
      <c r="BM115" s="596"/>
      <c r="BN115" s="596"/>
      <c r="BO115" s="596"/>
      <c r="BP115" s="596"/>
      <c r="BQ115" s="596"/>
      <c r="BR115" s="596"/>
      <c r="BS115" s="596"/>
      <c r="BT115" s="596"/>
    </row>
    <row r="116" spans="1:72" ht="13.5">
      <c r="A116" s="540"/>
      <c r="B116" s="567"/>
      <c r="C116" s="575"/>
      <c r="D116" s="576"/>
      <c r="E116" s="568"/>
      <c r="F116" s="568"/>
      <c r="G116" s="568"/>
      <c r="H116" s="579"/>
      <c r="I116" s="579"/>
      <c r="J116" s="654"/>
      <c r="K116" s="654"/>
      <c r="L116" s="654"/>
      <c r="M116" s="654"/>
      <c r="N116" s="582"/>
      <c r="O116" s="583"/>
      <c r="P116" s="582"/>
      <c r="Q116" s="579"/>
      <c r="R116" s="579"/>
      <c r="S116" s="579"/>
      <c r="T116" s="580"/>
      <c r="U116" s="580"/>
      <c r="V116" s="580"/>
      <c r="W116" s="580"/>
      <c r="X116" s="580"/>
      <c r="Y116" s="583"/>
      <c r="Z116" s="580"/>
      <c r="AA116" s="579"/>
      <c r="AB116" s="583"/>
      <c r="AC116" s="580"/>
      <c r="AD116" s="579"/>
      <c r="AE116" s="583"/>
      <c r="AF116" s="579"/>
      <c r="AG116" s="579"/>
      <c r="AH116" s="583"/>
      <c r="AI116" s="579"/>
      <c r="AJ116" s="579"/>
      <c r="AK116" s="584"/>
      <c r="AL116" s="579"/>
      <c r="AM116" s="579"/>
      <c r="AN116" s="579"/>
      <c r="AO116" s="579"/>
      <c r="AP116" s="579"/>
      <c r="AQ116" s="579"/>
      <c r="AR116" s="579"/>
      <c r="AS116" s="579"/>
      <c r="AT116" s="568"/>
      <c r="AU116" s="568"/>
      <c r="AV116" s="568"/>
      <c r="AW116" s="568"/>
      <c r="AX116" s="568"/>
      <c r="AY116" s="568"/>
      <c r="AZ116" s="565"/>
      <c r="BA116" s="569"/>
      <c r="BB116" s="551"/>
      <c r="BC116" s="552"/>
      <c r="BD116" s="553"/>
      <c r="BE116" s="596"/>
      <c r="BF116" s="596"/>
      <c r="BG116" s="596"/>
      <c r="BH116" s="596"/>
      <c r="BI116" s="596"/>
      <c r="BJ116" s="596"/>
      <c r="BK116" s="596"/>
      <c r="BL116" s="596"/>
      <c r="BM116" s="596"/>
      <c r="BN116" s="596"/>
      <c r="BO116" s="596"/>
      <c r="BP116" s="596"/>
      <c r="BQ116" s="596"/>
      <c r="BR116" s="596"/>
      <c r="BS116" s="596"/>
      <c r="BT116" s="596"/>
    </row>
    <row r="117" spans="1:72" ht="13.5">
      <c r="A117" s="540"/>
      <c r="B117" s="567"/>
      <c r="C117" s="575"/>
      <c r="D117" s="576"/>
      <c r="E117" s="568"/>
      <c r="F117" s="568"/>
      <c r="G117" s="568"/>
      <c r="H117" s="579"/>
      <c r="I117" s="579"/>
      <c r="J117" s="654"/>
      <c r="K117" s="654"/>
      <c r="L117" s="654"/>
      <c r="M117" s="654"/>
      <c r="N117" s="582"/>
      <c r="O117" s="583"/>
      <c r="P117" s="582"/>
      <c r="Q117" s="579"/>
      <c r="R117" s="579"/>
      <c r="S117" s="579"/>
      <c r="T117" s="580"/>
      <c r="U117" s="580"/>
      <c r="V117" s="580"/>
      <c r="W117" s="580"/>
      <c r="X117" s="580"/>
      <c r="Y117" s="583"/>
      <c r="Z117" s="580"/>
      <c r="AA117" s="579"/>
      <c r="AB117" s="583"/>
      <c r="AC117" s="580"/>
      <c r="AD117" s="579"/>
      <c r="AE117" s="583"/>
      <c r="AF117" s="579"/>
      <c r="AG117" s="579"/>
      <c r="AH117" s="583"/>
      <c r="AI117" s="579"/>
      <c r="AJ117" s="579"/>
      <c r="AK117" s="584"/>
      <c r="AL117" s="579"/>
      <c r="AM117" s="579"/>
      <c r="AN117" s="579"/>
      <c r="AO117" s="579"/>
      <c r="AP117" s="579"/>
      <c r="AQ117" s="579"/>
      <c r="AR117" s="579"/>
      <c r="AS117" s="579"/>
      <c r="AT117" s="568"/>
      <c r="AU117" s="568"/>
      <c r="AV117" s="568"/>
      <c r="AW117" s="568"/>
      <c r="AX117" s="568"/>
      <c r="AY117" s="568"/>
      <c r="AZ117" s="565"/>
      <c r="BA117" s="569"/>
      <c r="BB117" s="551"/>
      <c r="BC117" s="552"/>
      <c r="BD117" s="553"/>
      <c r="BE117" s="596"/>
      <c r="BF117" s="596"/>
      <c r="BG117" s="596"/>
      <c r="BH117" s="596"/>
      <c r="BI117" s="596"/>
      <c r="BJ117" s="596"/>
      <c r="BK117" s="596"/>
      <c r="BL117" s="596"/>
      <c r="BM117" s="596"/>
      <c r="BN117" s="596"/>
      <c r="BO117" s="596"/>
      <c r="BP117" s="596"/>
      <c r="BQ117" s="596"/>
      <c r="BR117" s="596"/>
      <c r="BS117" s="596"/>
      <c r="BT117" s="596"/>
    </row>
    <row r="118" spans="1:72" ht="13.5">
      <c r="A118" s="554"/>
      <c r="B118" s="643"/>
      <c r="C118" s="644"/>
      <c r="D118" s="645"/>
      <c r="E118" s="646"/>
      <c r="F118" s="646"/>
      <c r="G118" s="646"/>
      <c r="H118" s="647"/>
      <c r="I118" s="647"/>
      <c r="J118" s="648"/>
      <c r="K118" s="648"/>
      <c r="L118" s="648"/>
      <c r="M118" s="648"/>
      <c r="N118" s="649"/>
      <c r="O118" s="650"/>
      <c r="P118" s="649"/>
      <c r="Q118" s="647"/>
      <c r="R118" s="647"/>
      <c r="S118" s="647"/>
      <c r="T118" s="651"/>
      <c r="U118" s="651"/>
      <c r="V118" s="651"/>
      <c r="W118" s="651"/>
      <c r="X118" s="651"/>
      <c r="Y118" s="650"/>
      <c r="Z118" s="651"/>
      <c r="AA118" s="647"/>
      <c r="AB118" s="650"/>
      <c r="AC118" s="651"/>
      <c r="AD118" s="647"/>
      <c r="AE118" s="650"/>
      <c r="AF118" s="647"/>
      <c r="AG118" s="647"/>
      <c r="AH118" s="650"/>
      <c r="AI118" s="647"/>
      <c r="AJ118" s="647"/>
      <c r="AK118" s="652"/>
      <c r="AL118" s="647"/>
      <c r="AM118" s="647"/>
      <c r="AN118" s="647"/>
      <c r="AO118" s="647"/>
      <c r="AP118" s="647"/>
      <c r="AQ118" s="647"/>
      <c r="AR118" s="647"/>
      <c r="AS118" s="647"/>
      <c r="AT118" s="646"/>
      <c r="AU118" s="646"/>
      <c r="AV118" s="646"/>
      <c r="AW118" s="646"/>
      <c r="AX118" s="646"/>
      <c r="AY118" s="646"/>
      <c r="AZ118" s="599"/>
      <c r="BA118" s="578"/>
      <c r="BB118" s="555"/>
      <c r="BC118" s="556"/>
      <c r="BD118" s="553"/>
      <c r="BE118" s="596"/>
      <c r="BF118" s="596"/>
      <c r="BG118" s="596"/>
      <c r="BH118" s="596"/>
      <c r="BI118" s="596"/>
      <c r="BJ118" s="596"/>
      <c r="BK118" s="596"/>
      <c r="BL118" s="596"/>
      <c r="BM118" s="596"/>
      <c r="BN118" s="596"/>
      <c r="BO118" s="596"/>
      <c r="BP118" s="596"/>
      <c r="BQ118" s="596"/>
      <c r="BR118" s="596"/>
      <c r="BS118" s="596"/>
      <c r="BT118" s="596"/>
    </row>
    <row r="119" spans="1:72" ht="15">
      <c r="A119" s="539"/>
      <c r="B119" s="539"/>
      <c r="C119" s="539"/>
      <c r="D119" s="539"/>
      <c r="E119" s="539"/>
      <c r="F119" s="539"/>
      <c r="G119" s="539"/>
      <c r="H119" s="539"/>
      <c r="I119" s="539"/>
      <c r="J119" s="539"/>
      <c r="K119" s="539"/>
      <c r="L119" s="539"/>
      <c r="M119" s="539"/>
      <c r="N119" s="539"/>
      <c r="O119" s="539"/>
      <c r="P119" s="539"/>
      <c r="Q119" s="539"/>
      <c r="R119" s="539"/>
      <c r="S119" s="557"/>
      <c r="T119" s="557"/>
      <c r="U119" s="557"/>
      <c r="V119" s="557"/>
      <c r="W119" s="539"/>
      <c r="X119" s="539"/>
      <c r="Y119" s="557"/>
      <c r="Z119" s="557"/>
      <c r="AA119" s="539"/>
      <c r="AB119" s="539"/>
      <c r="AC119" s="539"/>
      <c r="AD119" s="557"/>
      <c r="AE119" s="557"/>
      <c r="AF119" s="557"/>
      <c r="AG119" s="557"/>
      <c r="AH119" s="557"/>
      <c r="AI119" s="557"/>
      <c r="AJ119" s="557"/>
      <c r="AK119" s="557"/>
      <c r="AL119" s="557"/>
      <c r="AM119" s="557"/>
      <c r="AN119" s="557"/>
      <c r="AO119" s="557"/>
      <c r="AP119" s="557"/>
      <c r="AQ119" s="557"/>
      <c r="AR119" s="557"/>
      <c r="AS119" s="557"/>
      <c r="AT119" s="557"/>
      <c r="AU119" s="557"/>
      <c r="AV119" s="557"/>
      <c r="AW119" s="557"/>
      <c r="AX119" s="557"/>
      <c r="AY119" s="557"/>
      <c r="AZ119" s="557"/>
      <c r="BA119" s="557"/>
      <c r="BB119" s="557"/>
      <c r="BC119" s="557"/>
      <c r="BD119" s="553"/>
      <c r="BE119" s="596"/>
      <c r="BF119" s="596"/>
      <c r="BG119" s="596"/>
      <c r="BH119" s="596"/>
      <c r="BI119" s="596"/>
      <c r="BJ119" s="596"/>
      <c r="BK119" s="596"/>
      <c r="BL119" s="596"/>
      <c r="BM119" s="596"/>
      <c r="BN119" s="596"/>
      <c r="BO119" s="596"/>
      <c r="BP119" s="596"/>
      <c r="BQ119" s="596"/>
      <c r="BR119" s="596"/>
      <c r="BS119" s="596"/>
      <c r="BT119" s="596"/>
    </row>
    <row r="120" spans="1:72" ht="15">
      <c r="A120" s="539"/>
      <c r="B120" s="539"/>
      <c r="C120" s="539"/>
      <c r="D120" s="539"/>
      <c r="E120" s="539"/>
      <c r="F120" s="539"/>
      <c r="G120" s="539"/>
      <c r="H120" s="539"/>
      <c r="I120" s="539"/>
      <c r="J120" s="539"/>
      <c r="K120" s="539"/>
      <c r="L120" s="539"/>
      <c r="M120" s="539"/>
      <c r="N120" s="539"/>
      <c r="O120" s="539"/>
      <c r="P120" s="539"/>
      <c r="Q120" s="539"/>
      <c r="R120" s="539"/>
      <c r="S120" s="557"/>
      <c r="T120" s="557"/>
      <c r="U120" s="557"/>
      <c r="V120" s="557"/>
      <c r="W120" s="539"/>
      <c r="X120" s="539"/>
      <c r="Y120" s="557"/>
      <c r="Z120" s="557"/>
      <c r="AA120" s="539"/>
      <c r="AB120" s="539"/>
      <c r="AC120" s="539"/>
      <c r="AD120" s="557"/>
      <c r="AE120" s="557"/>
      <c r="AF120" s="557"/>
      <c r="AG120" s="557"/>
      <c r="AH120" s="557"/>
      <c r="AI120" s="557"/>
      <c r="AJ120" s="557"/>
      <c r="AK120" s="557"/>
      <c r="AL120" s="557"/>
      <c r="AM120" s="557"/>
      <c r="AN120" s="557"/>
      <c r="AO120" s="557"/>
      <c r="AP120" s="557"/>
      <c r="AQ120" s="557"/>
      <c r="AR120" s="557"/>
      <c r="AS120" s="557"/>
      <c r="AT120" s="557"/>
      <c r="AU120" s="557"/>
      <c r="AV120" s="557"/>
      <c r="AW120" s="557"/>
      <c r="AX120" s="557"/>
      <c r="AY120" s="557"/>
      <c r="AZ120" s="557"/>
      <c r="BA120" s="557"/>
      <c r="BB120" s="557"/>
      <c r="BC120" s="557"/>
      <c r="BD120" s="553"/>
      <c r="BE120" s="596"/>
      <c r="BF120" s="596"/>
      <c r="BG120" s="596"/>
      <c r="BH120" s="596"/>
      <c r="BI120" s="596"/>
      <c r="BJ120" s="596"/>
      <c r="BK120" s="596"/>
      <c r="BL120" s="596"/>
      <c r="BM120" s="596"/>
      <c r="BN120" s="596"/>
      <c r="BO120" s="596"/>
      <c r="BP120" s="596"/>
      <c r="BQ120" s="596"/>
      <c r="BR120" s="596"/>
      <c r="BS120" s="596"/>
      <c r="BT120" s="596"/>
    </row>
    <row r="121" spans="1:72" ht="15">
      <c r="A121" s="539"/>
      <c r="B121" s="539"/>
      <c r="C121" s="539"/>
      <c r="D121" s="539"/>
      <c r="E121" s="539"/>
      <c r="F121" s="539"/>
      <c r="G121" s="539"/>
      <c r="H121" s="539"/>
      <c r="I121" s="539"/>
      <c r="J121" s="539"/>
      <c r="K121" s="539"/>
      <c r="L121" s="539"/>
      <c r="M121" s="539"/>
      <c r="N121" s="539"/>
      <c r="O121" s="539"/>
      <c r="P121" s="539"/>
      <c r="Q121" s="539"/>
      <c r="R121" s="539"/>
      <c r="S121" s="557"/>
      <c r="T121" s="557"/>
      <c r="U121" s="557"/>
      <c r="V121" s="557"/>
      <c r="W121" s="539"/>
      <c r="X121" s="539"/>
      <c r="Y121" s="557"/>
      <c r="Z121" s="557"/>
      <c r="AA121" s="539"/>
      <c r="AB121" s="539"/>
      <c r="AC121" s="539"/>
      <c r="AD121" s="557"/>
      <c r="AE121" s="557"/>
      <c r="AF121" s="557"/>
      <c r="AG121" s="557"/>
      <c r="AH121" s="557"/>
      <c r="AI121" s="557"/>
      <c r="AJ121" s="557"/>
      <c r="AK121" s="557"/>
      <c r="AL121" s="557"/>
      <c r="AM121" s="557"/>
      <c r="AN121" s="557"/>
      <c r="AO121" s="557"/>
      <c r="AP121" s="557"/>
      <c r="AQ121" s="557"/>
      <c r="AR121" s="557"/>
      <c r="AS121" s="557"/>
      <c r="AT121" s="557"/>
      <c r="AU121" s="557"/>
      <c r="AV121" s="557"/>
      <c r="AW121" s="557"/>
      <c r="AX121" s="557"/>
      <c r="AY121" s="557"/>
      <c r="AZ121" s="557"/>
      <c r="BA121" s="557"/>
      <c r="BB121" s="557"/>
      <c r="BC121" s="557"/>
      <c r="BD121" s="553"/>
      <c r="BE121" s="596"/>
      <c r="BF121" s="596"/>
      <c r="BG121" s="596"/>
      <c r="BH121" s="596"/>
      <c r="BI121" s="596"/>
      <c r="BJ121" s="596"/>
      <c r="BK121" s="596"/>
      <c r="BL121" s="596"/>
      <c r="BM121" s="596"/>
      <c r="BN121" s="596"/>
      <c r="BO121" s="596"/>
      <c r="BP121" s="596"/>
      <c r="BQ121" s="596"/>
      <c r="BR121" s="596"/>
      <c r="BS121" s="596"/>
      <c r="BT121" s="596"/>
    </row>
    <row r="122" spans="1:72" ht="15">
      <c r="A122" s="539"/>
      <c r="B122" s="539"/>
      <c r="C122" s="539"/>
      <c r="D122" s="539"/>
      <c r="E122" s="539"/>
      <c r="F122" s="539"/>
      <c r="G122" s="539"/>
      <c r="H122" s="539"/>
      <c r="I122" s="539"/>
      <c r="J122" s="539"/>
      <c r="K122" s="539"/>
      <c r="L122" s="539"/>
      <c r="M122" s="539"/>
      <c r="N122" s="539"/>
      <c r="O122" s="539"/>
      <c r="P122" s="539"/>
      <c r="Q122" s="539"/>
      <c r="R122" s="539"/>
      <c r="S122" s="557"/>
      <c r="T122" s="557"/>
      <c r="U122" s="557"/>
      <c r="V122" s="557"/>
      <c r="W122" s="539"/>
      <c r="X122" s="539"/>
      <c r="Y122" s="557"/>
      <c r="Z122" s="557"/>
      <c r="AA122" s="539"/>
      <c r="AB122" s="539"/>
      <c r="AC122" s="539"/>
      <c r="AD122" s="557"/>
      <c r="AE122" s="557"/>
      <c r="AF122" s="557"/>
      <c r="AG122" s="557"/>
      <c r="AH122" s="557"/>
      <c r="AI122" s="557"/>
      <c r="AJ122" s="557"/>
      <c r="AK122" s="557"/>
      <c r="AL122" s="557"/>
      <c r="AM122" s="557"/>
      <c r="AN122" s="557"/>
      <c r="AO122" s="557"/>
      <c r="AP122" s="557"/>
      <c r="AQ122" s="557"/>
      <c r="AR122" s="557"/>
      <c r="AS122" s="557"/>
      <c r="AT122" s="557"/>
      <c r="AU122" s="557"/>
      <c r="AV122" s="557"/>
      <c r="AW122" s="557"/>
      <c r="AX122" s="557"/>
      <c r="AY122" s="557"/>
      <c r="AZ122" s="557"/>
      <c r="BA122" s="557"/>
      <c r="BB122" s="557"/>
      <c r="BC122" s="557"/>
      <c r="BD122" s="553"/>
      <c r="BE122" s="596"/>
      <c r="BF122" s="596"/>
      <c r="BG122" s="596"/>
      <c r="BH122" s="596"/>
      <c r="BI122" s="596"/>
      <c r="BJ122" s="596"/>
      <c r="BK122" s="596"/>
      <c r="BL122" s="596"/>
      <c r="BM122" s="596"/>
      <c r="BN122" s="596"/>
      <c r="BO122" s="596"/>
      <c r="BP122" s="596"/>
      <c r="BQ122" s="596"/>
      <c r="BR122" s="596"/>
      <c r="BS122" s="596"/>
      <c r="BT122" s="596"/>
    </row>
    <row r="123" spans="1:72" ht="15">
      <c r="A123" s="539"/>
      <c r="B123" s="539"/>
      <c r="C123" s="539"/>
      <c r="D123" s="539"/>
      <c r="E123" s="539"/>
      <c r="F123" s="539"/>
      <c r="G123" s="539"/>
      <c r="H123" s="539"/>
      <c r="I123" s="539"/>
      <c r="J123" s="539"/>
      <c r="K123" s="539"/>
      <c r="L123" s="539"/>
      <c r="M123" s="539"/>
      <c r="N123" s="539"/>
      <c r="O123" s="539"/>
      <c r="P123" s="539"/>
      <c r="Q123" s="539"/>
      <c r="R123" s="539"/>
      <c r="S123" s="557"/>
      <c r="T123" s="557"/>
      <c r="U123" s="557"/>
      <c r="V123" s="557"/>
      <c r="W123" s="539"/>
      <c r="X123" s="539"/>
      <c r="Y123" s="557"/>
      <c r="Z123" s="557"/>
      <c r="AA123" s="539"/>
      <c r="AB123" s="539"/>
      <c r="AC123" s="539"/>
      <c r="AD123" s="557"/>
      <c r="AE123" s="557"/>
      <c r="AF123" s="557"/>
      <c r="AG123" s="557"/>
      <c r="AH123" s="557"/>
      <c r="AI123" s="557"/>
      <c r="AJ123" s="557"/>
      <c r="AK123" s="557"/>
      <c r="AL123" s="557"/>
      <c r="AM123" s="557"/>
      <c r="AN123" s="557"/>
      <c r="AO123" s="557"/>
      <c r="AP123" s="557"/>
      <c r="AQ123" s="557"/>
      <c r="AR123" s="557"/>
      <c r="AS123" s="557"/>
      <c r="AT123" s="557"/>
      <c r="AU123" s="557"/>
      <c r="AV123" s="557"/>
      <c r="AW123" s="557"/>
      <c r="AX123" s="557"/>
      <c r="AY123" s="557"/>
      <c r="AZ123" s="557"/>
      <c r="BA123" s="557"/>
      <c r="BB123" s="557"/>
      <c r="BC123" s="557"/>
      <c r="BD123" s="553"/>
      <c r="BE123" s="596"/>
      <c r="BF123" s="596"/>
      <c r="BG123" s="596"/>
      <c r="BH123" s="596"/>
      <c r="BI123" s="596"/>
      <c r="BJ123" s="596"/>
      <c r="BK123" s="596"/>
      <c r="BL123" s="596"/>
      <c r="BM123" s="596"/>
      <c r="BN123" s="596"/>
      <c r="BO123" s="596"/>
      <c r="BP123" s="596"/>
      <c r="BQ123" s="596"/>
      <c r="BR123" s="596"/>
      <c r="BS123" s="596"/>
      <c r="BT123" s="596"/>
    </row>
    <row r="124" spans="1:72" ht="15">
      <c r="A124" s="539"/>
      <c r="B124" s="539"/>
      <c r="C124" s="539"/>
      <c r="D124" s="539"/>
      <c r="E124" s="539"/>
      <c r="F124" s="539"/>
      <c r="G124" s="539"/>
      <c r="H124" s="539"/>
      <c r="I124" s="539"/>
      <c r="J124" s="539"/>
      <c r="K124" s="539"/>
      <c r="L124" s="539"/>
      <c r="M124" s="539"/>
      <c r="N124" s="539"/>
      <c r="O124" s="539"/>
      <c r="P124" s="539"/>
      <c r="Q124" s="539"/>
      <c r="R124" s="539"/>
      <c r="S124" s="557"/>
      <c r="T124" s="557"/>
      <c r="U124" s="557"/>
      <c r="V124" s="557"/>
      <c r="W124" s="539"/>
      <c r="X124" s="539"/>
      <c r="Y124" s="557"/>
      <c r="Z124" s="557"/>
      <c r="AA124" s="539"/>
      <c r="AB124" s="539"/>
      <c r="AC124" s="539"/>
      <c r="AD124" s="557"/>
      <c r="AE124" s="557"/>
      <c r="AF124" s="557"/>
      <c r="AG124" s="557"/>
      <c r="AH124" s="557"/>
      <c r="AI124" s="557"/>
      <c r="AJ124" s="557"/>
      <c r="AK124" s="557"/>
      <c r="AL124" s="557"/>
      <c r="AM124" s="557"/>
      <c r="AN124" s="557"/>
      <c r="AO124" s="557"/>
      <c r="AP124" s="557"/>
      <c r="AQ124" s="557"/>
      <c r="AR124" s="557"/>
      <c r="AS124" s="557"/>
      <c r="AT124" s="557"/>
      <c r="AU124" s="557"/>
      <c r="AV124" s="557"/>
      <c r="AW124" s="557"/>
      <c r="AX124" s="557"/>
      <c r="AY124" s="557"/>
      <c r="AZ124" s="557"/>
      <c r="BA124" s="557"/>
      <c r="BB124" s="557"/>
      <c r="BC124" s="557"/>
      <c r="BD124" s="553"/>
      <c r="BE124" s="596"/>
      <c r="BF124" s="596"/>
      <c r="BG124" s="596"/>
      <c r="BH124" s="596"/>
      <c r="BI124" s="596"/>
      <c r="BJ124" s="596"/>
      <c r="BK124" s="596"/>
      <c r="BL124" s="596"/>
      <c r="BM124" s="596"/>
      <c r="BN124" s="596"/>
      <c r="BO124" s="596"/>
      <c r="BP124" s="596"/>
      <c r="BQ124" s="596"/>
      <c r="BR124" s="596"/>
      <c r="BS124" s="596"/>
      <c r="BT124" s="596"/>
    </row>
    <row r="125" spans="1:72" ht="15">
      <c r="A125" s="539"/>
      <c r="B125" s="539"/>
      <c r="C125" s="539"/>
      <c r="D125" s="539"/>
      <c r="E125" s="539"/>
      <c r="F125" s="539"/>
      <c r="G125" s="539"/>
      <c r="H125" s="539"/>
      <c r="I125" s="539"/>
      <c r="J125" s="539"/>
      <c r="K125" s="539"/>
      <c r="L125" s="539"/>
      <c r="M125" s="539"/>
      <c r="N125" s="539"/>
      <c r="O125" s="539"/>
      <c r="P125" s="539"/>
      <c r="Q125" s="539"/>
      <c r="R125" s="539"/>
      <c r="S125" s="557"/>
      <c r="T125" s="557"/>
      <c r="U125" s="557"/>
      <c r="V125" s="557"/>
      <c r="W125" s="539"/>
      <c r="X125" s="539"/>
      <c r="Y125" s="557"/>
      <c r="Z125" s="557"/>
      <c r="AA125" s="539"/>
      <c r="AB125" s="539"/>
      <c r="AC125" s="539"/>
      <c r="AD125" s="557"/>
      <c r="AE125" s="557"/>
      <c r="AF125" s="557"/>
      <c r="AG125" s="557"/>
      <c r="AH125" s="557"/>
      <c r="AI125" s="557"/>
      <c r="AJ125" s="557"/>
      <c r="AK125" s="557"/>
      <c r="AL125" s="557"/>
      <c r="AM125" s="557"/>
      <c r="AN125" s="557"/>
      <c r="AO125" s="557"/>
      <c r="AP125" s="557"/>
      <c r="AQ125" s="557"/>
      <c r="AR125" s="557"/>
      <c r="AS125" s="557"/>
      <c r="AT125" s="557"/>
      <c r="AU125" s="557"/>
      <c r="AV125" s="557"/>
      <c r="AW125" s="557"/>
      <c r="AX125" s="557"/>
      <c r="AY125" s="557"/>
      <c r="AZ125" s="557"/>
      <c r="BA125" s="557"/>
      <c r="BB125" s="557"/>
      <c r="BC125" s="557"/>
      <c r="BD125" s="553"/>
      <c r="BE125" s="596"/>
      <c r="BF125" s="596"/>
      <c r="BG125" s="596"/>
      <c r="BH125" s="596"/>
      <c r="BI125" s="596"/>
      <c r="BJ125" s="596"/>
      <c r="BK125" s="596"/>
      <c r="BL125" s="596"/>
      <c r="BM125" s="596"/>
      <c r="BN125" s="596"/>
      <c r="BO125" s="596"/>
      <c r="BP125" s="596"/>
      <c r="BQ125" s="596"/>
      <c r="BR125" s="596"/>
      <c r="BS125" s="596"/>
      <c r="BT125" s="596"/>
    </row>
    <row r="126" spans="1:72" ht="15">
      <c r="A126" s="539"/>
      <c r="B126" s="539"/>
      <c r="C126" s="539"/>
      <c r="D126" s="539"/>
      <c r="E126" s="539"/>
      <c r="F126" s="539"/>
      <c r="G126" s="539"/>
      <c r="H126" s="539"/>
      <c r="I126" s="539"/>
      <c r="J126" s="539"/>
      <c r="K126" s="539"/>
      <c r="L126" s="539"/>
      <c r="M126" s="539"/>
      <c r="N126" s="539"/>
      <c r="O126" s="539"/>
      <c r="P126" s="539"/>
      <c r="Q126" s="539"/>
      <c r="R126" s="539"/>
      <c r="S126" s="557"/>
      <c r="T126" s="557"/>
      <c r="U126" s="557"/>
      <c r="V126" s="557"/>
      <c r="W126" s="539"/>
      <c r="X126" s="539"/>
      <c r="Y126" s="557"/>
      <c r="Z126" s="557"/>
      <c r="AA126" s="539"/>
      <c r="AB126" s="539"/>
      <c r="AC126" s="539"/>
      <c r="AD126" s="557"/>
      <c r="AE126" s="557"/>
      <c r="AF126" s="557"/>
      <c r="AG126" s="557"/>
      <c r="AH126" s="557"/>
      <c r="AI126" s="557"/>
      <c r="AJ126" s="557"/>
      <c r="AK126" s="557"/>
      <c r="AL126" s="557"/>
      <c r="AM126" s="557"/>
      <c r="AN126" s="557"/>
      <c r="AO126" s="557"/>
      <c r="AP126" s="557"/>
      <c r="AQ126" s="557"/>
      <c r="AR126" s="557"/>
      <c r="AS126" s="557"/>
      <c r="AT126" s="557"/>
      <c r="AU126" s="557"/>
      <c r="AV126" s="557"/>
      <c r="AW126" s="557"/>
      <c r="AX126" s="557"/>
      <c r="AY126" s="557"/>
      <c r="AZ126" s="557"/>
      <c r="BA126" s="557"/>
      <c r="BB126" s="557"/>
      <c r="BC126" s="557"/>
      <c r="BD126" s="553"/>
      <c r="BE126" s="596"/>
      <c r="BF126" s="596"/>
      <c r="BG126" s="596"/>
      <c r="BH126" s="596"/>
      <c r="BI126" s="596"/>
      <c r="BJ126" s="596"/>
      <c r="BK126" s="596"/>
      <c r="BL126" s="596"/>
      <c r="BM126" s="596"/>
      <c r="BN126" s="596"/>
      <c r="BO126" s="596"/>
      <c r="BP126" s="596"/>
      <c r="BQ126" s="596"/>
      <c r="BR126" s="596"/>
      <c r="BS126" s="596"/>
      <c r="BT126" s="596"/>
    </row>
    <row r="127" spans="1:72" ht="15">
      <c r="A127" s="539"/>
      <c r="B127" s="539"/>
      <c r="C127" s="539"/>
      <c r="D127" s="539"/>
      <c r="E127" s="539"/>
      <c r="F127" s="539"/>
      <c r="G127" s="539"/>
      <c r="H127" s="539"/>
      <c r="I127" s="539"/>
      <c r="J127" s="539"/>
      <c r="K127" s="539"/>
      <c r="L127" s="539"/>
      <c r="M127" s="539"/>
      <c r="N127" s="539"/>
      <c r="O127" s="539"/>
      <c r="P127" s="539"/>
      <c r="Q127" s="539"/>
      <c r="R127" s="539"/>
      <c r="S127" s="557"/>
      <c r="T127" s="557"/>
      <c r="U127" s="557"/>
      <c r="V127" s="557"/>
      <c r="W127" s="539"/>
      <c r="X127" s="539"/>
      <c r="Y127" s="557"/>
      <c r="Z127" s="557"/>
      <c r="AA127" s="539"/>
      <c r="AB127" s="539"/>
      <c r="AC127" s="539"/>
      <c r="AD127" s="557"/>
      <c r="AE127" s="557"/>
      <c r="AF127" s="557"/>
      <c r="AG127" s="557"/>
      <c r="AH127" s="557"/>
      <c r="AI127" s="557"/>
      <c r="AJ127" s="557"/>
      <c r="AK127" s="557"/>
      <c r="AL127" s="557"/>
      <c r="AM127" s="557"/>
      <c r="AN127" s="557"/>
      <c r="AO127" s="557"/>
      <c r="AP127" s="557"/>
      <c r="AQ127" s="557"/>
      <c r="AR127" s="557"/>
      <c r="AS127" s="557"/>
      <c r="AT127" s="557"/>
      <c r="AU127" s="557"/>
      <c r="AV127" s="557"/>
      <c r="AW127" s="557"/>
      <c r="AX127" s="557"/>
      <c r="AY127" s="557"/>
      <c r="AZ127" s="557"/>
      <c r="BA127" s="557"/>
      <c r="BB127" s="557"/>
      <c r="BC127" s="557"/>
      <c r="BD127" s="553"/>
      <c r="BE127" s="596"/>
      <c r="BF127" s="596"/>
      <c r="BG127" s="596"/>
      <c r="BH127" s="596"/>
      <c r="BI127" s="596"/>
      <c r="BJ127" s="596"/>
      <c r="BK127" s="596"/>
      <c r="BL127" s="596"/>
      <c r="BM127" s="596"/>
      <c r="BN127" s="596"/>
      <c r="BO127" s="596"/>
      <c r="BP127" s="596"/>
      <c r="BQ127" s="596"/>
      <c r="BR127" s="596"/>
      <c r="BS127" s="596"/>
      <c r="BT127" s="596"/>
    </row>
    <row r="128" spans="1:72" ht="15">
      <c r="A128" s="539"/>
      <c r="B128" s="539"/>
      <c r="C128" s="539"/>
      <c r="D128" s="539"/>
      <c r="E128" s="539"/>
      <c r="F128" s="539"/>
      <c r="G128" s="539"/>
      <c r="H128" s="539"/>
      <c r="I128" s="539"/>
      <c r="J128" s="539"/>
      <c r="K128" s="539"/>
      <c r="L128" s="539"/>
      <c r="M128" s="539"/>
      <c r="N128" s="539"/>
      <c r="O128" s="539"/>
      <c r="P128" s="539"/>
      <c r="Q128" s="539"/>
      <c r="R128" s="539"/>
      <c r="S128" s="557"/>
      <c r="T128" s="557"/>
      <c r="U128" s="557"/>
      <c r="V128" s="557"/>
      <c r="W128" s="539"/>
      <c r="X128" s="539"/>
      <c r="Y128" s="557"/>
      <c r="Z128" s="557"/>
      <c r="AA128" s="539"/>
      <c r="AB128" s="539"/>
      <c r="AC128" s="539"/>
      <c r="AD128" s="557"/>
      <c r="AE128" s="557"/>
      <c r="AF128" s="557"/>
      <c r="AG128" s="557"/>
      <c r="AH128" s="557"/>
      <c r="AI128" s="557"/>
      <c r="AJ128" s="557"/>
      <c r="AK128" s="557"/>
      <c r="AL128" s="557"/>
      <c r="AM128" s="557"/>
      <c r="AN128" s="557"/>
      <c r="AO128" s="557"/>
      <c r="AP128" s="557"/>
      <c r="AQ128" s="557"/>
      <c r="AR128" s="557"/>
      <c r="AS128" s="557"/>
      <c r="AT128" s="557"/>
      <c r="AU128" s="557"/>
      <c r="AV128" s="557"/>
      <c r="AW128" s="557"/>
      <c r="AX128" s="557"/>
      <c r="AY128" s="557"/>
      <c r="AZ128" s="557"/>
      <c r="BA128" s="557"/>
      <c r="BB128" s="557"/>
      <c r="BC128" s="557"/>
      <c r="BD128" s="553"/>
      <c r="BE128" s="596"/>
      <c r="BF128" s="596"/>
      <c r="BG128" s="596"/>
      <c r="BH128" s="596"/>
      <c r="BI128" s="596"/>
      <c r="BJ128" s="596"/>
      <c r="BK128" s="596"/>
      <c r="BL128" s="596"/>
      <c r="BM128" s="596"/>
      <c r="BN128" s="596"/>
      <c r="BO128" s="596"/>
      <c r="BP128" s="596"/>
      <c r="BQ128" s="596"/>
      <c r="BR128" s="596"/>
      <c r="BS128" s="596"/>
      <c r="BT128" s="596"/>
    </row>
    <row r="129" spans="1:72" ht="15">
      <c r="A129" s="539"/>
      <c r="B129" s="539"/>
      <c r="C129" s="539"/>
      <c r="D129" s="539"/>
      <c r="E129" s="539"/>
      <c r="F129" s="539"/>
      <c r="G129" s="539"/>
      <c r="H129" s="539"/>
      <c r="I129" s="539"/>
      <c r="J129" s="539"/>
      <c r="K129" s="539"/>
      <c r="L129" s="539"/>
      <c r="M129" s="539"/>
      <c r="N129" s="539"/>
      <c r="O129" s="539"/>
      <c r="P129" s="539"/>
      <c r="Q129" s="539"/>
      <c r="R129" s="539"/>
      <c r="S129" s="557"/>
      <c r="T129" s="557"/>
      <c r="U129" s="557"/>
      <c r="V129" s="557"/>
      <c r="W129" s="539"/>
      <c r="X129" s="539"/>
      <c r="Y129" s="557"/>
      <c r="Z129" s="557"/>
      <c r="AA129" s="539"/>
      <c r="AB129" s="539"/>
      <c r="AC129" s="539"/>
      <c r="AD129" s="557"/>
      <c r="AE129" s="557"/>
      <c r="AF129" s="557"/>
      <c r="AG129" s="557"/>
      <c r="AH129" s="557"/>
      <c r="AI129" s="557"/>
      <c r="AJ129" s="557"/>
      <c r="AK129" s="557"/>
      <c r="AL129" s="557"/>
      <c r="AM129" s="557"/>
      <c r="AN129" s="557"/>
      <c r="AO129" s="557"/>
      <c r="AP129" s="557"/>
      <c r="AQ129" s="557"/>
      <c r="AR129" s="557"/>
      <c r="AS129" s="557"/>
      <c r="AT129" s="557"/>
      <c r="AU129" s="557"/>
      <c r="AV129" s="557"/>
      <c r="AW129" s="557"/>
      <c r="AX129" s="557"/>
      <c r="AY129" s="557"/>
      <c r="AZ129" s="557"/>
      <c r="BA129" s="557"/>
      <c r="BB129" s="557"/>
      <c r="BC129" s="557"/>
      <c r="BD129" s="553"/>
      <c r="BE129" s="596"/>
      <c r="BF129" s="596"/>
      <c r="BG129" s="596"/>
      <c r="BH129" s="596"/>
      <c r="BI129" s="596"/>
      <c r="BJ129" s="596"/>
      <c r="BK129" s="596"/>
      <c r="BL129" s="596"/>
      <c r="BM129" s="596"/>
      <c r="BN129" s="596"/>
      <c r="BO129" s="596"/>
      <c r="BP129" s="596"/>
      <c r="BQ129" s="596"/>
      <c r="BR129" s="596"/>
      <c r="BS129" s="596"/>
      <c r="BT129" s="596"/>
    </row>
    <row r="130" spans="1:72" ht="15">
      <c r="A130" s="539"/>
      <c r="B130" s="539"/>
      <c r="C130" s="539"/>
      <c r="D130" s="539"/>
      <c r="E130" s="539"/>
      <c r="F130" s="539"/>
      <c r="G130" s="539"/>
      <c r="H130" s="539"/>
      <c r="I130" s="539"/>
      <c r="J130" s="539"/>
      <c r="K130" s="539"/>
      <c r="L130" s="539"/>
      <c r="M130" s="539"/>
      <c r="N130" s="539"/>
      <c r="O130" s="539"/>
      <c r="P130" s="539"/>
      <c r="Q130" s="539"/>
      <c r="R130" s="539"/>
      <c r="S130" s="557"/>
      <c r="T130" s="557"/>
      <c r="U130" s="557"/>
      <c r="V130" s="557"/>
      <c r="W130" s="539"/>
      <c r="X130" s="539"/>
      <c r="Y130" s="557"/>
      <c r="Z130" s="557"/>
      <c r="AA130" s="539"/>
      <c r="AB130" s="539"/>
      <c r="AC130" s="539"/>
      <c r="AD130" s="557"/>
      <c r="AE130" s="557"/>
      <c r="AF130" s="557"/>
      <c r="AG130" s="557"/>
      <c r="AH130" s="557"/>
      <c r="AI130" s="557"/>
      <c r="AJ130" s="557"/>
      <c r="AK130" s="557"/>
      <c r="AL130" s="557"/>
      <c r="AM130" s="557"/>
      <c r="AN130" s="557"/>
      <c r="AO130" s="557"/>
      <c r="AP130" s="557"/>
      <c r="AQ130" s="557"/>
      <c r="AR130" s="557"/>
      <c r="AS130" s="557"/>
      <c r="AT130" s="557"/>
      <c r="AU130" s="557"/>
      <c r="AV130" s="557"/>
      <c r="AW130" s="557"/>
      <c r="AX130" s="557"/>
      <c r="AY130" s="557"/>
      <c r="AZ130" s="557"/>
      <c r="BA130" s="557"/>
      <c r="BB130" s="557"/>
      <c r="BC130" s="557"/>
      <c r="BD130" s="553"/>
      <c r="BE130" s="596"/>
      <c r="BF130" s="596"/>
      <c r="BG130" s="596"/>
      <c r="BH130" s="596"/>
      <c r="BI130" s="596"/>
      <c r="BJ130" s="596"/>
      <c r="BK130" s="596"/>
      <c r="BL130" s="596"/>
      <c r="BM130" s="596"/>
      <c r="BN130" s="596"/>
      <c r="BO130" s="596"/>
      <c r="BP130" s="596"/>
      <c r="BQ130" s="596"/>
      <c r="BR130" s="596"/>
      <c r="BS130" s="596"/>
      <c r="BT130" s="596"/>
    </row>
    <row r="131" spans="1:72" ht="15">
      <c r="A131" s="539"/>
      <c r="B131" s="539"/>
      <c r="C131" s="539"/>
      <c r="D131" s="539"/>
      <c r="E131" s="539"/>
      <c r="F131" s="539"/>
      <c r="G131" s="539"/>
      <c r="H131" s="539"/>
      <c r="I131" s="539"/>
      <c r="J131" s="539"/>
      <c r="K131" s="539"/>
      <c r="L131" s="539"/>
      <c r="M131" s="539"/>
      <c r="N131" s="539"/>
      <c r="O131" s="539"/>
      <c r="P131" s="539"/>
      <c r="Q131" s="539"/>
      <c r="R131" s="539"/>
      <c r="S131" s="557"/>
      <c r="T131" s="557"/>
      <c r="U131" s="557"/>
      <c r="V131" s="557"/>
      <c r="W131" s="539"/>
      <c r="X131" s="539"/>
      <c r="Y131" s="557"/>
      <c r="Z131" s="557"/>
      <c r="AA131" s="539"/>
      <c r="AB131" s="539"/>
      <c r="AC131" s="539"/>
      <c r="AD131" s="557"/>
      <c r="AE131" s="557"/>
      <c r="AF131" s="557"/>
      <c r="AG131" s="557"/>
      <c r="AH131" s="557"/>
      <c r="AI131" s="557"/>
      <c r="AJ131" s="557"/>
      <c r="AK131" s="557"/>
      <c r="AL131" s="557"/>
      <c r="AM131" s="557"/>
      <c r="AN131" s="557"/>
      <c r="AO131" s="557"/>
      <c r="AP131" s="557"/>
      <c r="AQ131" s="557"/>
      <c r="AR131" s="557"/>
      <c r="AS131" s="557"/>
      <c r="AT131" s="557"/>
      <c r="AU131" s="557"/>
      <c r="AV131" s="557"/>
      <c r="AW131" s="557"/>
      <c r="AX131" s="557"/>
      <c r="AY131" s="557"/>
      <c r="AZ131" s="557"/>
      <c r="BA131" s="557"/>
      <c r="BB131" s="557"/>
      <c r="BC131" s="557"/>
      <c r="BD131" s="553"/>
      <c r="BE131" s="596"/>
      <c r="BF131" s="596"/>
      <c r="BG131" s="596"/>
      <c r="BH131" s="596"/>
      <c r="BI131" s="596"/>
      <c r="BJ131" s="596"/>
      <c r="BK131" s="596"/>
      <c r="BL131" s="596"/>
      <c r="BM131" s="596"/>
      <c r="BN131" s="596"/>
      <c r="BO131" s="596"/>
      <c r="BP131" s="596"/>
      <c r="BQ131" s="596"/>
      <c r="BR131" s="596"/>
      <c r="BS131" s="596"/>
      <c r="BT131" s="596"/>
    </row>
    <row r="132" spans="1:72" ht="15">
      <c r="A132" s="539"/>
      <c r="B132" s="539"/>
      <c r="C132" s="539"/>
      <c r="D132" s="539"/>
      <c r="E132" s="539"/>
      <c r="F132" s="539"/>
      <c r="G132" s="539"/>
      <c r="H132" s="539"/>
      <c r="I132" s="539"/>
      <c r="J132" s="539"/>
      <c r="K132" s="539"/>
      <c r="L132" s="539"/>
      <c r="M132" s="539"/>
      <c r="N132" s="539"/>
      <c r="O132" s="539"/>
      <c r="P132" s="539"/>
      <c r="Q132" s="539"/>
      <c r="R132" s="539"/>
      <c r="S132" s="557"/>
      <c r="T132" s="557"/>
      <c r="U132" s="557"/>
      <c r="V132" s="557"/>
      <c r="W132" s="539"/>
      <c r="X132" s="539"/>
      <c r="Y132" s="557"/>
      <c r="Z132" s="557"/>
      <c r="AA132" s="539"/>
      <c r="AB132" s="539"/>
      <c r="AC132" s="539"/>
      <c r="AD132" s="557"/>
      <c r="AE132" s="557"/>
      <c r="AF132" s="557"/>
      <c r="AG132" s="557"/>
      <c r="AH132" s="557"/>
      <c r="AI132" s="557"/>
      <c r="AJ132" s="557"/>
      <c r="AK132" s="557"/>
      <c r="AL132" s="557"/>
      <c r="AM132" s="557"/>
      <c r="AN132" s="557"/>
      <c r="AO132" s="557"/>
      <c r="AP132" s="557"/>
      <c r="AQ132" s="557"/>
      <c r="AR132" s="557"/>
      <c r="AS132" s="557"/>
      <c r="AT132" s="557"/>
      <c r="AU132" s="557"/>
      <c r="AV132" s="557"/>
      <c r="AW132" s="557"/>
      <c r="AX132" s="557"/>
      <c r="AY132" s="557"/>
      <c r="AZ132" s="557"/>
      <c r="BA132" s="557"/>
      <c r="BB132" s="557"/>
      <c r="BC132" s="557"/>
      <c r="BD132" s="553"/>
      <c r="BE132" s="596"/>
      <c r="BF132" s="596"/>
      <c r="BG132" s="596"/>
      <c r="BH132" s="596"/>
      <c r="BI132" s="596"/>
      <c r="BJ132" s="596"/>
      <c r="BK132" s="596"/>
      <c r="BL132" s="596"/>
      <c r="BM132" s="596"/>
      <c r="BN132" s="596"/>
      <c r="BO132" s="596"/>
      <c r="BP132" s="596"/>
      <c r="BQ132" s="596"/>
      <c r="BR132" s="596"/>
      <c r="BS132" s="596"/>
      <c r="BT132" s="596"/>
    </row>
    <row r="133" spans="1:72" ht="15">
      <c r="A133" s="539"/>
      <c r="B133" s="539"/>
      <c r="C133" s="539"/>
      <c r="D133" s="539"/>
      <c r="E133" s="539"/>
      <c r="F133" s="539"/>
      <c r="G133" s="539"/>
      <c r="H133" s="539"/>
      <c r="I133" s="539"/>
      <c r="J133" s="539"/>
      <c r="K133" s="539"/>
      <c r="L133" s="539"/>
      <c r="M133" s="539"/>
      <c r="N133" s="539"/>
      <c r="O133" s="539"/>
      <c r="P133" s="539"/>
      <c r="Q133" s="539"/>
      <c r="R133" s="539"/>
      <c r="S133" s="557"/>
      <c r="T133" s="557"/>
      <c r="U133" s="557"/>
      <c r="V133" s="557"/>
      <c r="W133" s="539"/>
      <c r="X133" s="539"/>
      <c r="Y133" s="557"/>
      <c r="Z133" s="557"/>
      <c r="AA133" s="539"/>
      <c r="AB133" s="539"/>
      <c r="AC133" s="539"/>
      <c r="AD133" s="557"/>
      <c r="AE133" s="557"/>
      <c r="AF133" s="557"/>
      <c r="AG133" s="557"/>
      <c r="AH133" s="557"/>
      <c r="AI133" s="557"/>
      <c r="AJ133" s="557"/>
      <c r="AK133" s="557"/>
      <c r="AL133" s="557"/>
      <c r="AM133" s="557"/>
      <c r="AN133" s="557"/>
      <c r="AO133" s="557"/>
      <c r="AP133" s="557"/>
      <c r="AQ133" s="557"/>
      <c r="AR133" s="557"/>
      <c r="AS133" s="557"/>
      <c r="AT133" s="557"/>
      <c r="AU133" s="557"/>
      <c r="AV133" s="557"/>
      <c r="AW133" s="557"/>
      <c r="AX133" s="557"/>
      <c r="AY133" s="557"/>
      <c r="AZ133" s="557"/>
      <c r="BA133" s="557"/>
      <c r="BB133" s="557"/>
      <c r="BC133" s="557"/>
      <c r="BD133" s="553"/>
      <c r="BE133" s="596"/>
      <c r="BF133" s="596"/>
      <c r="BG133" s="596"/>
      <c r="BH133" s="596"/>
      <c r="BI133" s="596"/>
      <c r="BJ133" s="596"/>
      <c r="BK133" s="596"/>
      <c r="BL133" s="596"/>
      <c r="BM133" s="596"/>
      <c r="BN133" s="596"/>
      <c r="BO133" s="596"/>
      <c r="BP133" s="596"/>
      <c r="BQ133" s="596"/>
      <c r="BR133" s="596"/>
      <c r="BS133" s="596"/>
      <c r="BT133" s="596"/>
    </row>
    <row r="134" spans="1:72" ht="15">
      <c r="A134" s="539"/>
      <c r="B134" s="539"/>
      <c r="C134" s="539"/>
      <c r="D134" s="539"/>
      <c r="E134" s="539"/>
      <c r="F134" s="539"/>
      <c r="G134" s="539"/>
      <c r="H134" s="539"/>
      <c r="I134" s="539"/>
      <c r="J134" s="539"/>
      <c r="K134" s="539"/>
      <c r="L134" s="539"/>
      <c r="M134" s="539"/>
      <c r="N134" s="539"/>
      <c r="O134" s="539"/>
      <c r="P134" s="539"/>
      <c r="Q134" s="539"/>
      <c r="R134" s="539"/>
      <c r="S134" s="557"/>
      <c r="T134" s="557"/>
      <c r="U134" s="557"/>
      <c r="V134" s="557"/>
      <c r="W134" s="539"/>
      <c r="X134" s="539"/>
      <c r="Y134" s="557"/>
      <c r="Z134" s="557"/>
      <c r="AA134" s="539"/>
      <c r="AB134" s="539"/>
      <c r="AC134" s="539"/>
      <c r="AD134" s="557"/>
      <c r="AE134" s="557"/>
      <c r="AF134" s="557"/>
      <c r="AG134" s="557"/>
      <c r="AH134" s="557"/>
      <c r="AI134" s="557"/>
      <c r="AJ134" s="557"/>
      <c r="AK134" s="557"/>
      <c r="AL134" s="557"/>
      <c r="AM134" s="557"/>
      <c r="AN134" s="557"/>
      <c r="AO134" s="557"/>
      <c r="AP134" s="557"/>
      <c r="AQ134" s="557"/>
      <c r="AR134" s="557"/>
      <c r="AS134" s="557"/>
      <c r="AT134" s="557"/>
      <c r="AU134" s="557"/>
      <c r="AV134" s="557"/>
      <c r="AW134" s="557"/>
      <c r="AX134" s="557"/>
      <c r="AY134" s="557"/>
      <c r="AZ134" s="557"/>
      <c r="BA134" s="557"/>
      <c r="BB134" s="557"/>
      <c r="BC134" s="557"/>
      <c r="BD134" s="553"/>
      <c r="BE134" s="596"/>
      <c r="BF134" s="596"/>
      <c r="BG134" s="596"/>
      <c r="BH134" s="596"/>
      <c r="BI134" s="596"/>
      <c r="BJ134" s="596"/>
      <c r="BK134" s="596"/>
      <c r="BL134" s="596"/>
      <c r="BM134" s="596"/>
      <c r="BN134" s="596"/>
      <c r="BO134" s="596"/>
      <c r="BP134" s="596"/>
      <c r="BQ134" s="596"/>
      <c r="BR134" s="596"/>
      <c r="BS134" s="596"/>
      <c r="BT134" s="596"/>
    </row>
    <row r="135" spans="1:72" ht="15">
      <c r="A135" s="539"/>
      <c r="B135" s="539"/>
      <c r="C135" s="539"/>
      <c r="D135" s="539"/>
      <c r="E135" s="539"/>
      <c r="F135" s="539"/>
      <c r="G135" s="539"/>
      <c r="H135" s="539"/>
      <c r="I135" s="539"/>
      <c r="J135" s="539"/>
      <c r="K135" s="539"/>
      <c r="L135" s="539"/>
      <c r="M135" s="539"/>
      <c r="N135" s="539"/>
      <c r="O135" s="539"/>
      <c r="P135" s="539"/>
      <c r="Q135" s="539"/>
      <c r="R135" s="539"/>
      <c r="S135" s="557"/>
      <c r="T135" s="557"/>
      <c r="U135" s="557"/>
      <c r="V135" s="557"/>
      <c r="W135" s="539"/>
      <c r="X135" s="539"/>
      <c r="Y135" s="557"/>
      <c r="Z135" s="557"/>
      <c r="AA135" s="539"/>
      <c r="AB135" s="539"/>
      <c r="AC135" s="539"/>
      <c r="AD135" s="557"/>
      <c r="AE135" s="557"/>
      <c r="AF135" s="557"/>
      <c r="AG135" s="557"/>
      <c r="AH135" s="557"/>
      <c r="AI135" s="557"/>
      <c r="AJ135" s="557"/>
      <c r="AK135" s="557"/>
      <c r="AL135" s="557"/>
      <c r="AM135" s="557"/>
      <c r="AN135" s="557"/>
      <c r="AO135" s="557"/>
      <c r="AP135" s="557"/>
      <c r="AQ135" s="557"/>
      <c r="AR135" s="557"/>
      <c r="AS135" s="557"/>
      <c r="AT135" s="557"/>
      <c r="AU135" s="557"/>
      <c r="AV135" s="557"/>
      <c r="AW135" s="557"/>
      <c r="AX135" s="557"/>
      <c r="AY135" s="557"/>
      <c r="AZ135" s="557"/>
      <c r="BA135" s="557"/>
      <c r="BB135" s="557"/>
      <c r="BC135" s="557"/>
      <c r="BD135" s="553"/>
      <c r="BE135" s="596"/>
      <c r="BF135" s="596"/>
      <c r="BG135" s="596"/>
      <c r="BH135" s="596"/>
      <c r="BI135" s="596"/>
      <c r="BJ135" s="596"/>
      <c r="BK135" s="596"/>
      <c r="BL135" s="596"/>
      <c r="BM135" s="596"/>
      <c r="BN135" s="596"/>
      <c r="BO135" s="596"/>
      <c r="BP135" s="596"/>
      <c r="BQ135" s="596"/>
      <c r="BR135" s="596"/>
      <c r="BS135" s="596"/>
      <c r="BT135" s="596"/>
    </row>
    <row r="136" spans="1:72" ht="15">
      <c r="A136" s="539"/>
      <c r="B136" s="539"/>
      <c r="C136" s="539"/>
      <c r="D136" s="539"/>
      <c r="E136" s="539"/>
      <c r="F136" s="539"/>
      <c r="G136" s="539"/>
      <c r="H136" s="539"/>
      <c r="I136" s="539"/>
      <c r="J136" s="539"/>
      <c r="K136" s="539"/>
      <c r="L136" s="539"/>
      <c r="M136" s="539"/>
      <c r="N136" s="539"/>
      <c r="O136" s="539"/>
      <c r="P136" s="539"/>
      <c r="Q136" s="539"/>
      <c r="R136" s="539"/>
      <c r="S136" s="557"/>
      <c r="T136" s="557"/>
      <c r="U136" s="557"/>
      <c r="V136" s="557"/>
      <c r="W136" s="539"/>
      <c r="X136" s="539"/>
      <c r="Y136" s="557"/>
      <c r="Z136" s="557"/>
      <c r="AA136" s="539"/>
      <c r="AB136" s="539"/>
      <c r="AC136" s="539"/>
      <c r="AD136" s="557"/>
      <c r="AE136" s="557"/>
      <c r="AF136" s="557"/>
      <c r="AG136" s="557"/>
      <c r="AH136" s="557"/>
      <c r="AI136" s="557"/>
      <c r="AJ136" s="557"/>
      <c r="AK136" s="557"/>
      <c r="AL136" s="557"/>
      <c r="AM136" s="557"/>
      <c r="AN136" s="557"/>
      <c r="AO136" s="557"/>
      <c r="AP136" s="557"/>
      <c r="AQ136" s="557"/>
      <c r="AR136" s="557"/>
      <c r="AS136" s="557"/>
      <c r="AT136" s="557"/>
      <c r="AU136" s="557"/>
      <c r="AV136" s="557"/>
      <c r="AW136" s="557"/>
      <c r="AX136" s="557"/>
      <c r="AY136" s="557"/>
      <c r="AZ136" s="557"/>
      <c r="BA136" s="557"/>
      <c r="BB136" s="557"/>
      <c r="BC136" s="557"/>
      <c r="BD136" s="553"/>
      <c r="BE136" s="596"/>
      <c r="BF136" s="596"/>
      <c r="BG136" s="596"/>
      <c r="BH136" s="596"/>
      <c r="BI136" s="596"/>
      <c r="BJ136" s="596"/>
      <c r="BK136" s="596"/>
      <c r="BL136" s="596"/>
      <c r="BM136" s="596"/>
      <c r="BN136" s="596"/>
      <c r="BO136" s="596"/>
      <c r="BP136" s="596"/>
      <c r="BQ136" s="596"/>
      <c r="BR136" s="596"/>
      <c r="BS136" s="596"/>
      <c r="BT136" s="596"/>
    </row>
    <row r="137" spans="1:72" ht="15">
      <c r="A137" s="539"/>
      <c r="B137" s="539"/>
      <c r="C137" s="539"/>
      <c r="D137" s="539"/>
      <c r="E137" s="539"/>
      <c r="F137" s="539"/>
      <c r="G137" s="539"/>
      <c r="H137" s="539"/>
      <c r="I137" s="539"/>
      <c r="J137" s="539"/>
      <c r="K137" s="539"/>
      <c r="L137" s="539"/>
      <c r="M137" s="539"/>
      <c r="N137" s="539"/>
      <c r="O137" s="539"/>
      <c r="P137" s="539"/>
      <c r="Q137" s="539"/>
      <c r="R137" s="539"/>
      <c r="S137" s="557"/>
      <c r="T137" s="557"/>
      <c r="U137" s="557"/>
      <c r="V137" s="557"/>
      <c r="W137" s="539"/>
      <c r="X137" s="539"/>
      <c r="Y137" s="557"/>
      <c r="Z137" s="557"/>
      <c r="AA137" s="539"/>
      <c r="AB137" s="539"/>
      <c r="AC137" s="539"/>
      <c r="AD137" s="557"/>
      <c r="AE137" s="557"/>
      <c r="AF137" s="557"/>
      <c r="AG137" s="557"/>
      <c r="AH137" s="557"/>
      <c r="AI137" s="557"/>
      <c r="AJ137" s="557"/>
      <c r="AK137" s="557"/>
      <c r="AL137" s="557"/>
      <c r="AM137" s="557"/>
      <c r="AN137" s="557"/>
      <c r="AO137" s="557"/>
      <c r="AP137" s="557"/>
      <c r="AQ137" s="557"/>
      <c r="AR137" s="557"/>
      <c r="AS137" s="557"/>
      <c r="AT137" s="557"/>
      <c r="AU137" s="557"/>
      <c r="AV137" s="557"/>
      <c r="AW137" s="557"/>
      <c r="AX137" s="557"/>
      <c r="AY137" s="557"/>
      <c r="AZ137" s="557"/>
      <c r="BA137" s="557"/>
      <c r="BB137" s="557"/>
      <c r="BC137" s="557"/>
      <c r="BD137" s="553"/>
      <c r="BE137" s="596"/>
      <c r="BF137" s="596"/>
      <c r="BG137" s="596"/>
      <c r="BH137" s="596"/>
      <c r="BI137" s="596"/>
      <c r="BJ137" s="596"/>
      <c r="BK137" s="596"/>
      <c r="BL137" s="596"/>
      <c r="BM137" s="596"/>
      <c r="BN137" s="596"/>
      <c r="BO137" s="596"/>
      <c r="BP137" s="596"/>
      <c r="BQ137" s="596"/>
      <c r="BR137" s="596"/>
      <c r="BS137" s="596"/>
      <c r="BT137" s="596"/>
    </row>
    <row r="138" spans="1:72" ht="15">
      <c r="A138" s="539"/>
      <c r="B138" s="539"/>
      <c r="C138" s="539"/>
      <c r="D138" s="539"/>
      <c r="E138" s="539"/>
      <c r="F138" s="539"/>
      <c r="G138" s="539"/>
      <c r="H138" s="539"/>
      <c r="I138" s="539"/>
      <c r="J138" s="539"/>
      <c r="K138" s="539"/>
      <c r="L138" s="539"/>
      <c r="M138" s="539"/>
      <c r="N138" s="539"/>
      <c r="O138" s="539"/>
      <c r="P138" s="539"/>
      <c r="Q138" s="539"/>
      <c r="R138" s="539"/>
      <c r="S138" s="557"/>
      <c r="T138" s="557"/>
      <c r="U138" s="557"/>
      <c r="V138" s="557"/>
      <c r="W138" s="539"/>
      <c r="X138" s="539"/>
      <c r="Y138" s="557"/>
      <c r="Z138" s="557"/>
      <c r="AA138" s="539"/>
      <c r="AB138" s="539"/>
      <c r="AC138" s="539"/>
      <c r="AD138" s="557"/>
      <c r="AE138" s="557"/>
      <c r="AF138" s="557"/>
      <c r="AG138" s="557"/>
      <c r="AH138" s="557"/>
      <c r="AI138" s="557"/>
      <c r="AJ138" s="557"/>
      <c r="AK138" s="557"/>
      <c r="AL138" s="557"/>
      <c r="AM138" s="557"/>
      <c r="AN138" s="557"/>
      <c r="AO138" s="557"/>
      <c r="AP138" s="557"/>
      <c r="AQ138" s="557"/>
      <c r="AR138" s="557"/>
      <c r="AS138" s="557"/>
      <c r="AT138" s="557"/>
      <c r="AU138" s="557"/>
      <c r="AV138" s="557"/>
      <c r="AW138" s="557"/>
      <c r="AX138" s="557"/>
      <c r="AY138" s="557"/>
      <c r="AZ138" s="557"/>
      <c r="BA138" s="557"/>
      <c r="BB138" s="557"/>
      <c r="BC138" s="557"/>
      <c r="BD138" s="553"/>
    </row>
    <row r="139" spans="1:72" ht="15">
      <c r="A139" s="539"/>
      <c r="B139" s="539"/>
      <c r="C139" s="539"/>
      <c r="D139" s="539"/>
      <c r="E139" s="539"/>
      <c r="F139" s="539"/>
      <c r="G139" s="539"/>
      <c r="H139" s="539"/>
      <c r="I139" s="539"/>
      <c r="J139" s="539"/>
      <c r="K139" s="539"/>
      <c r="L139" s="539"/>
      <c r="M139" s="539"/>
      <c r="N139" s="539"/>
      <c r="O139" s="539"/>
      <c r="P139" s="539"/>
      <c r="Q139" s="539"/>
      <c r="R139" s="539"/>
      <c r="S139" s="557"/>
      <c r="T139" s="557"/>
      <c r="U139" s="557"/>
      <c r="V139" s="557"/>
      <c r="W139" s="539"/>
      <c r="X139" s="539"/>
      <c r="Y139" s="557"/>
      <c r="Z139" s="557"/>
      <c r="AA139" s="539"/>
      <c r="AB139" s="539"/>
      <c r="AC139" s="539"/>
      <c r="AD139" s="557"/>
      <c r="AE139" s="557"/>
      <c r="AF139" s="557"/>
      <c r="AG139" s="557"/>
      <c r="AH139" s="557"/>
      <c r="AI139" s="557"/>
      <c r="AJ139" s="557"/>
      <c r="AK139" s="557"/>
      <c r="AL139" s="557"/>
      <c r="AM139" s="557"/>
      <c r="AN139" s="557"/>
      <c r="AO139" s="557"/>
      <c r="AP139" s="557"/>
      <c r="AQ139" s="557"/>
      <c r="AR139" s="557"/>
      <c r="AS139" s="557"/>
      <c r="AT139" s="557"/>
      <c r="AU139" s="557"/>
      <c r="AV139" s="557"/>
      <c r="AW139" s="557"/>
      <c r="AX139" s="557"/>
      <c r="AY139" s="557"/>
      <c r="AZ139" s="557"/>
      <c r="BA139" s="557"/>
      <c r="BB139" s="557"/>
      <c r="BC139" s="557"/>
      <c r="BD139" s="553"/>
    </row>
    <row r="140" spans="1:72" ht="15">
      <c r="A140" s="539"/>
      <c r="B140" s="539"/>
      <c r="C140" s="539"/>
      <c r="D140" s="539"/>
      <c r="E140" s="539"/>
      <c r="F140" s="539"/>
      <c r="G140" s="539"/>
      <c r="H140" s="539"/>
      <c r="I140" s="539"/>
      <c r="J140" s="539"/>
      <c r="K140" s="539"/>
      <c r="L140" s="539"/>
      <c r="M140" s="539"/>
      <c r="N140" s="539"/>
      <c r="O140" s="539"/>
      <c r="P140" s="539"/>
      <c r="Q140" s="539"/>
      <c r="R140" s="539"/>
      <c r="S140" s="557"/>
      <c r="T140" s="557"/>
      <c r="U140" s="557"/>
      <c r="V140" s="557"/>
      <c r="W140" s="539"/>
      <c r="X140" s="539"/>
      <c r="Y140" s="557"/>
      <c r="Z140" s="557"/>
      <c r="AA140" s="539"/>
      <c r="AB140" s="539"/>
      <c r="AC140" s="539"/>
      <c r="AD140" s="557"/>
      <c r="AE140" s="557"/>
      <c r="AF140" s="557"/>
      <c r="AG140" s="557"/>
      <c r="AH140" s="557"/>
      <c r="AI140" s="557"/>
      <c r="AJ140" s="557"/>
      <c r="AK140" s="557"/>
      <c r="AL140" s="557"/>
      <c r="AM140" s="557"/>
      <c r="AN140" s="557"/>
      <c r="AO140" s="557"/>
      <c r="AP140" s="557"/>
      <c r="AQ140" s="557"/>
      <c r="AR140" s="557"/>
      <c r="AS140" s="557"/>
      <c r="AT140" s="557"/>
      <c r="AU140" s="557"/>
      <c r="AV140" s="557"/>
      <c r="AW140" s="557"/>
      <c r="AX140" s="557"/>
      <c r="AY140" s="557"/>
      <c r="AZ140" s="557"/>
      <c r="BA140" s="557"/>
      <c r="BB140" s="557"/>
      <c r="BC140" s="557"/>
      <c r="BD140" s="553"/>
    </row>
    <row r="141" spans="1:72" ht="15">
      <c r="A141" s="539"/>
      <c r="B141" s="539"/>
      <c r="C141" s="539"/>
      <c r="D141" s="539"/>
      <c r="E141" s="539"/>
      <c r="F141" s="539"/>
      <c r="G141" s="539"/>
      <c r="H141" s="539"/>
      <c r="I141" s="539"/>
      <c r="J141" s="539"/>
      <c r="K141" s="539"/>
      <c r="L141" s="539"/>
      <c r="M141" s="539"/>
      <c r="N141" s="539"/>
      <c r="O141" s="539"/>
      <c r="P141" s="539"/>
      <c r="Q141" s="539"/>
      <c r="R141" s="539"/>
      <c r="S141" s="557"/>
      <c r="T141" s="557"/>
      <c r="U141" s="557"/>
      <c r="V141" s="557"/>
      <c r="W141" s="539"/>
      <c r="X141" s="539"/>
      <c r="Y141" s="557"/>
      <c r="Z141" s="557"/>
      <c r="AA141" s="539"/>
      <c r="AB141" s="539"/>
      <c r="AC141" s="539"/>
      <c r="AD141" s="557"/>
      <c r="AE141" s="557"/>
      <c r="AF141" s="557"/>
      <c r="AG141" s="557"/>
      <c r="AH141" s="557"/>
      <c r="AI141" s="557"/>
      <c r="AJ141" s="557"/>
      <c r="AK141" s="557"/>
      <c r="AL141" s="557"/>
      <c r="AM141" s="557"/>
      <c r="AN141" s="557"/>
      <c r="AO141" s="557"/>
      <c r="AP141" s="557"/>
      <c r="AQ141" s="557"/>
      <c r="AR141" s="557"/>
      <c r="AS141" s="557"/>
      <c r="AT141" s="557"/>
      <c r="AU141" s="557"/>
      <c r="AV141" s="557"/>
      <c r="AW141" s="557"/>
      <c r="AX141" s="557"/>
      <c r="AY141" s="557"/>
      <c r="AZ141" s="557"/>
      <c r="BA141" s="557"/>
      <c r="BB141" s="557"/>
      <c r="BC141" s="557"/>
      <c r="BD141" s="553"/>
    </row>
    <row r="142" spans="1:72" ht="15">
      <c r="A142" s="539"/>
      <c r="B142" s="539"/>
      <c r="C142" s="539"/>
      <c r="D142" s="539"/>
      <c r="E142" s="539"/>
      <c r="F142" s="539"/>
      <c r="G142" s="539"/>
      <c r="H142" s="539"/>
      <c r="I142" s="539"/>
      <c r="J142" s="539"/>
      <c r="K142" s="539"/>
      <c r="L142" s="539"/>
      <c r="M142" s="539"/>
      <c r="N142" s="539"/>
      <c r="O142" s="539"/>
      <c r="P142" s="539"/>
      <c r="Q142" s="539"/>
      <c r="R142" s="539"/>
      <c r="S142" s="557"/>
      <c r="T142" s="557"/>
      <c r="U142" s="557"/>
      <c r="V142" s="557"/>
      <c r="W142" s="539"/>
      <c r="X142" s="539"/>
      <c r="Y142" s="557"/>
      <c r="Z142" s="557"/>
      <c r="AA142" s="539"/>
      <c r="AB142" s="539"/>
      <c r="AC142" s="539"/>
      <c r="AD142" s="557"/>
      <c r="AE142" s="557"/>
      <c r="AF142" s="557"/>
      <c r="AG142" s="557"/>
      <c r="AH142" s="557"/>
      <c r="AI142" s="557"/>
      <c r="AJ142" s="557"/>
      <c r="AK142" s="557"/>
      <c r="AL142" s="557"/>
      <c r="AM142" s="557"/>
      <c r="AN142" s="557"/>
      <c r="AO142" s="557"/>
      <c r="AP142" s="557"/>
      <c r="AQ142" s="557"/>
      <c r="AR142" s="557"/>
      <c r="AS142" s="557"/>
      <c r="AT142" s="557"/>
      <c r="AU142" s="557"/>
      <c r="AV142" s="557"/>
      <c r="AW142" s="557"/>
      <c r="AX142" s="557"/>
      <c r="AY142" s="557"/>
      <c r="AZ142" s="557"/>
      <c r="BA142" s="557"/>
      <c r="BB142" s="557"/>
      <c r="BC142" s="557"/>
      <c r="BD142" s="553"/>
    </row>
    <row r="143" spans="1:72" ht="15">
      <c r="A143" s="539"/>
      <c r="B143" s="539"/>
      <c r="C143" s="539"/>
      <c r="D143" s="539"/>
      <c r="E143" s="539"/>
      <c r="F143" s="539"/>
      <c r="G143" s="539"/>
      <c r="H143" s="539"/>
      <c r="I143" s="539"/>
      <c r="J143" s="539"/>
      <c r="K143" s="539"/>
      <c r="L143" s="539"/>
      <c r="M143" s="539"/>
      <c r="N143" s="539"/>
      <c r="O143" s="539"/>
      <c r="P143" s="539"/>
      <c r="Q143" s="539"/>
      <c r="R143" s="539"/>
      <c r="S143" s="557"/>
      <c r="T143" s="557"/>
      <c r="U143" s="557"/>
      <c r="V143" s="557"/>
      <c r="W143" s="539"/>
      <c r="X143" s="539"/>
      <c r="Y143" s="557"/>
      <c r="Z143" s="557"/>
      <c r="AA143" s="539"/>
      <c r="AB143" s="539"/>
      <c r="AC143" s="539"/>
      <c r="AD143" s="557"/>
      <c r="AE143" s="557"/>
      <c r="AF143" s="557"/>
      <c r="AG143" s="557"/>
      <c r="AH143" s="557"/>
      <c r="AI143" s="557"/>
      <c r="AJ143" s="557"/>
      <c r="AK143" s="557"/>
      <c r="AL143" s="557"/>
      <c r="AM143" s="557"/>
      <c r="AN143" s="557"/>
      <c r="AO143" s="557"/>
      <c r="AP143" s="557"/>
      <c r="AQ143" s="557"/>
      <c r="AR143" s="557"/>
      <c r="AS143" s="557"/>
      <c r="AT143" s="557"/>
      <c r="AU143" s="557"/>
      <c r="AV143" s="557"/>
      <c r="AW143" s="557"/>
      <c r="AX143" s="557"/>
      <c r="AY143" s="557"/>
      <c r="AZ143" s="557"/>
      <c r="BA143" s="557"/>
      <c r="BB143" s="557"/>
      <c r="BC143" s="557"/>
      <c r="BD143" s="553"/>
    </row>
    <row r="144" spans="1:72" ht="15">
      <c r="A144" s="539"/>
      <c r="B144" s="539"/>
      <c r="C144" s="539"/>
      <c r="D144" s="539"/>
      <c r="E144" s="539"/>
      <c r="F144" s="539"/>
      <c r="G144" s="539"/>
      <c r="H144" s="539"/>
      <c r="I144" s="539"/>
      <c r="J144" s="539"/>
      <c r="K144" s="539"/>
      <c r="L144" s="539"/>
      <c r="M144" s="539"/>
      <c r="N144" s="539"/>
      <c r="O144" s="539"/>
      <c r="P144" s="539"/>
      <c r="Q144" s="539"/>
      <c r="R144" s="539"/>
      <c r="S144" s="557"/>
      <c r="T144" s="557"/>
      <c r="U144" s="557"/>
      <c r="V144" s="557"/>
      <c r="W144" s="539"/>
      <c r="X144" s="539"/>
      <c r="Y144" s="557"/>
      <c r="Z144" s="557"/>
      <c r="AA144" s="539"/>
      <c r="AB144" s="539"/>
      <c r="AC144" s="539"/>
      <c r="AD144" s="557"/>
      <c r="AE144" s="557"/>
      <c r="AF144" s="557"/>
      <c r="AG144" s="557"/>
      <c r="AH144" s="557"/>
      <c r="AI144" s="557"/>
      <c r="AJ144" s="557"/>
      <c r="AK144" s="557"/>
      <c r="AL144" s="557"/>
      <c r="AM144" s="557"/>
      <c r="AN144" s="557"/>
      <c r="AO144" s="557"/>
      <c r="AP144" s="557"/>
      <c r="AQ144" s="557"/>
      <c r="AR144" s="557"/>
      <c r="AS144" s="557"/>
      <c r="AT144" s="557"/>
      <c r="AU144" s="557"/>
      <c r="AV144" s="557"/>
      <c r="AW144" s="557"/>
      <c r="AX144" s="557"/>
      <c r="AY144" s="557"/>
      <c r="AZ144" s="557"/>
      <c r="BA144" s="557"/>
      <c r="BB144" s="557"/>
      <c r="BC144" s="557"/>
      <c r="BD144" s="553"/>
    </row>
    <row r="145" spans="1:72" ht="15">
      <c r="A145" s="539"/>
      <c r="B145" s="539"/>
      <c r="C145" s="539"/>
      <c r="D145" s="539"/>
      <c r="E145" s="539"/>
      <c r="F145" s="539"/>
      <c r="G145" s="539"/>
      <c r="H145" s="539"/>
      <c r="I145" s="539"/>
      <c r="J145" s="539"/>
      <c r="K145" s="539"/>
      <c r="L145" s="539"/>
      <c r="M145" s="539"/>
      <c r="N145" s="539"/>
      <c r="O145" s="539"/>
      <c r="P145" s="539"/>
      <c r="Q145" s="539"/>
      <c r="R145" s="539"/>
      <c r="S145" s="557"/>
      <c r="T145" s="557"/>
      <c r="U145" s="557"/>
      <c r="V145" s="557"/>
      <c r="W145" s="539"/>
      <c r="X145" s="539"/>
      <c r="Y145" s="557"/>
      <c r="Z145" s="557"/>
      <c r="AA145" s="539"/>
      <c r="AB145" s="539"/>
      <c r="AC145" s="539"/>
      <c r="AD145" s="557"/>
      <c r="AE145" s="557"/>
      <c r="AF145" s="557"/>
      <c r="AG145" s="557"/>
      <c r="AH145" s="557"/>
      <c r="AI145" s="557"/>
      <c r="AJ145" s="557"/>
      <c r="AK145" s="557"/>
      <c r="AL145" s="557"/>
      <c r="AM145" s="557"/>
      <c r="AN145" s="557"/>
      <c r="AO145" s="557"/>
      <c r="AP145" s="557"/>
      <c r="AQ145" s="557"/>
      <c r="AR145" s="557"/>
      <c r="AS145" s="557"/>
      <c r="AT145" s="557"/>
      <c r="AU145" s="557"/>
      <c r="AV145" s="557"/>
      <c r="AW145" s="557"/>
      <c r="AX145" s="557"/>
      <c r="AY145" s="557"/>
      <c r="AZ145" s="557"/>
      <c r="BA145" s="557"/>
      <c r="BB145" s="557"/>
      <c r="BC145" s="557"/>
      <c r="BD145" s="553"/>
    </row>
    <row r="146" spans="1:72" ht="15">
      <c r="A146" s="539"/>
      <c r="B146" s="539"/>
      <c r="C146" s="539"/>
      <c r="D146" s="539"/>
      <c r="E146" s="539"/>
      <c r="F146" s="539"/>
      <c r="G146" s="539"/>
      <c r="H146" s="539"/>
      <c r="I146" s="539"/>
      <c r="J146" s="539"/>
      <c r="K146" s="539"/>
      <c r="L146" s="539"/>
      <c r="M146" s="539"/>
      <c r="N146" s="539"/>
      <c r="O146" s="539"/>
      <c r="P146" s="539"/>
      <c r="Q146" s="539"/>
      <c r="R146" s="539"/>
      <c r="S146" s="557"/>
      <c r="T146" s="557"/>
      <c r="U146" s="557"/>
      <c r="V146" s="557"/>
      <c r="W146" s="539"/>
      <c r="X146" s="539"/>
      <c r="Y146" s="557"/>
      <c r="Z146" s="557"/>
      <c r="AA146" s="539"/>
      <c r="AB146" s="539"/>
      <c r="AC146" s="539"/>
      <c r="AD146" s="557"/>
      <c r="AE146" s="557"/>
      <c r="AF146" s="557"/>
      <c r="AG146" s="557"/>
      <c r="AH146" s="557"/>
      <c r="AI146" s="557"/>
      <c r="AJ146" s="557"/>
      <c r="AK146" s="557"/>
      <c r="AL146" s="557"/>
      <c r="AM146" s="557"/>
      <c r="AN146" s="557"/>
      <c r="AO146" s="557"/>
      <c r="AP146" s="557"/>
      <c r="AQ146" s="557"/>
      <c r="AR146" s="557"/>
      <c r="AS146" s="557"/>
      <c r="AT146" s="557"/>
      <c r="AU146" s="557"/>
      <c r="AV146" s="557"/>
      <c r="AW146" s="557"/>
      <c r="AX146" s="557"/>
      <c r="AY146" s="557"/>
      <c r="AZ146" s="557"/>
      <c r="BA146" s="557"/>
      <c r="BB146" s="557"/>
      <c r="BC146" s="557"/>
      <c r="BD146" s="553"/>
      <c r="BE146" s="596"/>
      <c r="BF146" s="596"/>
      <c r="BG146" s="596"/>
      <c r="BH146" s="596"/>
      <c r="BI146" s="596"/>
      <c r="BJ146" s="596"/>
      <c r="BK146" s="596"/>
      <c r="BL146" s="596"/>
      <c r="BM146" s="596"/>
      <c r="BN146" s="596"/>
      <c r="BO146" s="596"/>
      <c r="BP146" s="596"/>
      <c r="BQ146" s="596"/>
      <c r="BR146" s="596"/>
      <c r="BS146" s="596"/>
      <c r="BT146" s="596"/>
    </row>
    <row r="147" spans="1:72" ht="15">
      <c r="A147" s="539"/>
      <c r="B147" s="539"/>
      <c r="C147" s="539"/>
      <c r="D147" s="539"/>
      <c r="E147" s="539"/>
      <c r="F147" s="539"/>
      <c r="G147" s="539"/>
      <c r="H147" s="539"/>
      <c r="I147" s="539"/>
      <c r="J147" s="539"/>
      <c r="K147" s="539"/>
      <c r="L147" s="539"/>
      <c r="M147" s="539"/>
      <c r="N147" s="539"/>
      <c r="O147" s="539"/>
      <c r="P147" s="539"/>
      <c r="Q147" s="539"/>
      <c r="R147" s="539"/>
      <c r="S147" s="557"/>
      <c r="T147" s="557"/>
      <c r="U147" s="557"/>
      <c r="V147" s="557"/>
      <c r="W147" s="539"/>
      <c r="X147" s="539"/>
      <c r="Y147" s="557"/>
      <c r="Z147" s="557"/>
      <c r="AA147" s="539"/>
      <c r="AB147" s="539"/>
      <c r="AC147" s="539"/>
      <c r="AD147" s="557"/>
      <c r="AE147" s="557"/>
      <c r="AF147" s="557"/>
      <c r="AG147" s="557"/>
      <c r="AH147" s="557"/>
      <c r="AI147" s="557"/>
      <c r="AJ147" s="557"/>
      <c r="AK147" s="557"/>
      <c r="AL147" s="557"/>
      <c r="AM147" s="557"/>
      <c r="AN147" s="557"/>
      <c r="AO147" s="557"/>
      <c r="AP147" s="557"/>
      <c r="AQ147" s="557"/>
      <c r="AR147" s="557"/>
      <c r="AS147" s="557"/>
      <c r="AT147" s="557"/>
      <c r="AU147" s="557"/>
      <c r="AV147" s="557"/>
      <c r="AW147" s="557"/>
      <c r="AX147" s="557"/>
      <c r="AY147" s="557"/>
      <c r="AZ147" s="557"/>
      <c r="BA147" s="557"/>
      <c r="BB147" s="557"/>
      <c r="BC147" s="557"/>
      <c r="BD147" s="553"/>
      <c r="BE147" s="596"/>
      <c r="BF147" s="596"/>
      <c r="BG147" s="596"/>
      <c r="BH147" s="596"/>
      <c r="BI147" s="596"/>
      <c r="BJ147" s="596"/>
      <c r="BK147" s="596"/>
      <c r="BL147" s="596"/>
      <c r="BM147" s="596"/>
      <c r="BN147" s="596"/>
      <c r="BO147" s="596"/>
      <c r="BP147" s="596"/>
      <c r="BQ147" s="596"/>
      <c r="BR147" s="596"/>
      <c r="BS147" s="596"/>
      <c r="BT147" s="596"/>
    </row>
    <row r="148" spans="1:72" ht="15">
      <c r="A148" s="539"/>
      <c r="B148" s="539"/>
      <c r="C148" s="539"/>
      <c r="D148" s="539"/>
      <c r="E148" s="539"/>
      <c r="F148" s="539"/>
      <c r="G148" s="539"/>
      <c r="H148" s="539"/>
      <c r="I148" s="539"/>
      <c r="J148" s="539"/>
      <c r="K148" s="539"/>
      <c r="L148" s="539"/>
      <c r="M148" s="539"/>
      <c r="N148" s="539"/>
      <c r="O148" s="539"/>
      <c r="P148" s="539"/>
      <c r="Q148" s="539"/>
      <c r="R148" s="539"/>
      <c r="S148" s="557"/>
      <c r="T148" s="557"/>
      <c r="U148" s="557"/>
      <c r="V148" s="557"/>
      <c r="W148" s="539"/>
      <c r="X148" s="539"/>
      <c r="Y148" s="557"/>
      <c r="Z148" s="557"/>
      <c r="AA148" s="539"/>
      <c r="AB148" s="539"/>
      <c r="AC148" s="539"/>
      <c r="AD148" s="557"/>
      <c r="AE148" s="557"/>
      <c r="AF148" s="557"/>
      <c r="AG148" s="557"/>
      <c r="AH148" s="557"/>
      <c r="AI148" s="557"/>
      <c r="AJ148" s="557"/>
      <c r="AK148" s="557"/>
      <c r="AL148" s="557"/>
      <c r="AM148" s="557"/>
      <c r="AN148" s="557"/>
      <c r="AO148" s="557"/>
      <c r="AP148" s="557"/>
      <c r="AQ148" s="557"/>
      <c r="AR148" s="557"/>
      <c r="AS148" s="557"/>
      <c r="AT148" s="557"/>
      <c r="AU148" s="557"/>
      <c r="AV148" s="557"/>
      <c r="AW148" s="557"/>
      <c r="AX148" s="557"/>
      <c r="AY148" s="557"/>
      <c r="AZ148" s="557"/>
      <c r="BA148" s="557"/>
      <c r="BB148" s="557"/>
      <c r="BC148" s="557"/>
      <c r="BD148" s="553"/>
      <c r="BE148" s="596"/>
      <c r="BF148" s="596"/>
      <c r="BG148" s="596"/>
      <c r="BH148" s="596"/>
      <c r="BI148" s="596"/>
      <c r="BJ148" s="596"/>
      <c r="BK148" s="596"/>
      <c r="BL148" s="596"/>
      <c r="BM148" s="596"/>
      <c r="BN148" s="596"/>
      <c r="BO148" s="596"/>
      <c r="BP148" s="596"/>
      <c r="BQ148" s="596"/>
      <c r="BR148" s="596"/>
      <c r="BS148" s="596"/>
      <c r="BT148" s="596"/>
    </row>
    <row r="149" spans="1:72" ht="15">
      <c r="A149" s="539"/>
      <c r="B149" s="539"/>
      <c r="C149" s="539"/>
      <c r="D149" s="539"/>
      <c r="E149" s="539"/>
      <c r="F149" s="539"/>
      <c r="G149" s="539"/>
      <c r="H149" s="539"/>
      <c r="I149" s="539"/>
      <c r="J149" s="539"/>
      <c r="K149" s="539"/>
      <c r="L149" s="539"/>
      <c r="M149" s="539"/>
      <c r="N149" s="539"/>
      <c r="O149" s="539"/>
      <c r="P149" s="539"/>
      <c r="Q149" s="539"/>
      <c r="R149" s="539"/>
      <c r="S149" s="557"/>
      <c r="T149" s="557"/>
      <c r="U149" s="557"/>
      <c r="V149" s="557"/>
      <c r="W149" s="539"/>
      <c r="X149" s="539"/>
      <c r="Y149" s="557"/>
      <c r="Z149" s="557"/>
      <c r="AA149" s="539"/>
      <c r="AB149" s="539"/>
      <c r="AC149" s="539"/>
      <c r="AD149" s="557"/>
      <c r="AE149" s="557"/>
      <c r="AF149" s="557"/>
      <c r="AG149" s="557"/>
      <c r="AH149" s="557"/>
      <c r="AI149" s="557"/>
      <c r="AJ149" s="557"/>
      <c r="AK149" s="557"/>
      <c r="AL149" s="557"/>
      <c r="AM149" s="557"/>
      <c r="AN149" s="557"/>
      <c r="AO149" s="557"/>
      <c r="AP149" s="557"/>
      <c r="AQ149" s="557"/>
      <c r="AR149" s="557"/>
      <c r="AS149" s="557"/>
      <c r="AT149" s="557"/>
      <c r="AU149" s="557"/>
      <c r="AV149" s="557"/>
      <c r="AW149" s="557"/>
      <c r="AX149" s="557"/>
      <c r="AY149" s="557"/>
      <c r="AZ149" s="557"/>
      <c r="BA149" s="557"/>
      <c r="BB149" s="557"/>
      <c r="BC149" s="557"/>
      <c r="BD149" s="553"/>
      <c r="BE149" s="596"/>
      <c r="BF149" s="596"/>
      <c r="BG149" s="596"/>
      <c r="BH149" s="596"/>
      <c r="BI149" s="596"/>
      <c r="BJ149" s="596"/>
      <c r="BK149" s="596"/>
      <c r="BL149" s="596"/>
      <c r="BM149" s="596"/>
      <c r="BN149" s="596"/>
      <c r="BO149" s="596"/>
      <c r="BP149" s="596"/>
      <c r="BQ149" s="596"/>
      <c r="BR149" s="596"/>
      <c r="BS149" s="596"/>
      <c r="BT149" s="596"/>
    </row>
    <row r="150" spans="1:72" ht="15">
      <c r="A150" s="539"/>
      <c r="B150" s="539"/>
      <c r="C150" s="539"/>
      <c r="D150" s="539"/>
      <c r="E150" s="539"/>
      <c r="F150" s="539"/>
      <c r="G150" s="539"/>
      <c r="H150" s="539"/>
      <c r="I150" s="539"/>
      <c r="J150" s="539"/>
      <c r="K150" s="539"/>
      <c r="L150" s="539"/>
      <c r="M150" s="539"/>
      <c r="N150" s="539"/>
      <c r="O150" s="539"/>
      <c r="P150" s="539"/>
      <c r="Q150" s="539"/>
      <c r="R150" s="539"/>
      <c r="S150" s="557"/>
      <c r="T150" s="557"/>
      <c r="U150" s="557"/>
      <c r="V150" s="557"/>
      <c r="W150" s="539"/>
      <c r="X150" s="539"/>
      <c r="Y150" s="557"/>
      <c r="Z150" s="557"/>
      <c r="AA150" s="539"/>
      <c r="AB150" s="539"/>
      <c r="AC150" s="539"/>
      <c r="AD150" s="557"/>
      <c r="AE150" s="557"/>
      <c r="AF150" s="557"/>
      <c r="AG150" s="557"/>
      <c r="AH150" s="557"/>
      <c r="AI150" s="557"/>
      <c r="AJ150" s="557"/>
      <c r="AK150" s="557"/>
      <c r="AL150" s="557"/>
      <c r="AM150" s="557"/>
      <c r="AN150" s="557"/>
      <c r="AO150" s="557"/>
      <c r="AP150" s="557"/>
      <c r="AQ150" s="557"/>
      <c r="AR150" s="557"/>
      <c r="AS150" s="557"/>
      <c r="AT150" s="557"/>
      <c r="AU150" s="557"/>
      <c r="AV150" s="557"/>
      <c r="AW150" s="557"/>
      <c r="AX150" s="557"/>
      <c r="AY150" s="557"/>
      <c r="AZ150" s="557"/>
      <c r="BA150" s="557"/>
      <c r="BB150" s="557"/>
      <c r="BC150" s="557"/>
      <c r="BD150" s="553"/>
      <c r="BE150" s="596"/>
      <c r="BF150" s="596"/>
      <c r="BG150" s="596"/>
      <c r="BH150" s="596"/>
      <c r="BI150" s="596"/>
      <c r="BJ150" s="596"/>
      <c r="BK150" s="596"/>
      <c r="BL150" s="596"/>
      <c r="BM150" s="596"/>
      <c r="BN150" s="596"/>
      <c r="BO150" s="596"/>
      <c r="BP150" s="596"/>
      <c r="BQ150" s="596"/>
      <c r="BR150" s="596"/>
      <c r="BS150" s="596"/>
      <c r="BT150" s="596"/>
    </row>
    <row r="151" spans="1:72" ht="15">
      <c r="A151" s="539"/>
      <c r="B151" s="539"/>
      <c r="C151" s="539"/>
      <c r="D151" s="539"/>
      <c r="E151" s="539"/>
      <c r="F151" s="539"/>
      <c r="G151" s="539"/>
      <c r="H151" s="539"/>
      <c r="I151" s="539"/>
      <c r="J151" s="539"/>
      <c r="K151" s="539"/>
      <c r="L151" s="539"/>
      <c r="M151" s="539"/>
      <c r="N151" s="539"/>
      <c r="O151" s="539"/>
      <c r="P151" s="539"/>
      <c r="Q151" s="539"/>
      <c r="R151" s="539"/>
      <c r="S151" s="557"/>
      <c r="T151" s="557"/>
      <c r="U151" s="557"/>
      <c r="V151" s="557"/>
      <c r="W151" s="539"/>
      <c r="X151" s="539"/>
      <c r="Y151" s="557"/>
      <c r="Z151" s="557"/>
      <c r="AA151" s="539"/>
      <c r="AB151" s="539"/>
      <c r="AC151" s="539"/>
      <c r="AD151" s="557"/>
      <c r="AE151" s="557"/>
      <c r="AF151" s="557"/>
      <c r="AG151" s="557"/>
      <c r="AH151" s="557"/>
      <c r="AI151" s="557"/>
      <c r="AJ151" s="557"/>
      <c r="AK151" s="557"/>
      <c r="AL151" s="557"/>
      <c r="AM151" s="557"/>
      <c r="AN151" s="557"/>
      <c r="AO151" s="557"/>
      <c r="AP151" s="557"/>
      <c r="AQ151" s="557"/>
      <c r="AR151" s="557"/>
      <c r="AS151" s="557"/>
      <c r="AT151" s="557"/>
      <c r="AU151" s="557"/>
      <c r="AV151" s="557"/>
      <c r="AW151" s="557"/>
      <c r="AX151" s="557"/>
      <c r="AY151" s="557"/>
      <c r="AZ151" s="557"/>
      <c r="BA151" s="557"/>
      <c r="BB151" s="557"/>
      <c r="BC151" s="557"/>
      <c r="BD151" s="553"/>
      <c r="BE151" s="596"/>
      <c r="BF151" s="596"/>
      <c r="BG151" s="596"/>
      <c r="BH151" s="596"/>
      <c r="BI151" s="596"/>
      <c r="BJ151" s="596"/>
      <c r="BK151" s="596"/>
      <c r="BL151" s="596"/>
      <c r="BM151" s="596"/>
      <c r="BN151" s="596"/>
      <c r="BO151" s="596"/>
      <c r="BP151" s="596"/>
      <c r="BQ151" s="596"/>
      <c r="BR151" s="596"/>
      <c r="BS151" s="596"/>
      <c r="BT151" s="596"/>
    </row>
    <row r="152" spans="1:72" ht="15">
      <c r="A152" s="539"/>
      <c r="B152" s="539"/>
      <c r="C152" s="539"/>
      <c r="D152" s="539"/>
      <c r="E152" s="539"/>
      <c r="F152" s="539"/>
      <c r="G152" s="539"/>
      <c r="H152" s="539"/>
      <c r="I152" s="539"/>
      <c r="J152" s="539"/>
      <c r="K152" s="539"/>
      <c r="L152" s="539"/>
      <c r="M152" s="539"/>
      <c r="N152" s="539"/>
      <c r="O152" s="539"/>
      <c r="P152" s="539"/>
      <c r="Q152" s="539"/>
      <c r="R152" s="539"/>
      <c r="S152" s="557"/>
      <c r="T152" s="557"/>
      <c r="U152" s="557"/>
      <c r="V152" s="557"/>
      <c r="W152" s="539"/>
      <c r="X152" s="539"/>
      <c r="Y152" s="557"/>
      <c r="Z152" s="557"/>
      <c r="AA152" s="539"/>
      <c r="AB152" s="539"/>
      <c r="AC152" s="539"/>
      <c r="AD152" s="557"/>
      <c r="AE152" s="557"/>
      <c r="AF152" s="557"/>
      <c r="AG152" s="557"/>
      <c r="AH152" s="557"/>
      <c r="AI152" s="557"/>
      <c r="AJ152" s="557"/>
      <c r="AK152" s="557"/>
      <c r="AL152" s="557"/>
      <c r="AM152" s="557"/>
      <c r="AN152" s="557"/>
      <c r="AO152" s="557"/>
      <c r="AP152" s="557"/>
      <c r="AQ152" s="557"/>
      <c r="AR152" s="557"/>
      <c r="AS152" s="557"/>
      <c r="AT152" s="557"/>
      <c r="AU152" s="557"/>
      <c r="AV152" s="557"/>
      <c r="AW152" s="557"/>
      <c r="AX152" s="557"/>
      <c r="AY152" s="557"/>
      <c r="AZ152" s="557"/>
      <c r="BA152" s="557"/>
      <c r="BB152" s="557"/>
      <c r="BC152" s="557"/>
      <c r="BD152" s="553"/>
      <c r="BE152" s="596"/>
      <c r="BF152" s="596"/>
      <c r="BG152" s="596"/>
      <c r="BH152" s="596"/>
      <c r="BI152" s="596"/>
      <c r="BJ152" s="596"/>
      <c r="BK152" s="596"/>
      <c r="BL152" s="596"/>
      <c r="BM152" s="596"/>
      <c r="BN152" s="596"/>
      <c r="BO152" s="596"/>
      <c r="BP152" s="596"/>
      <c r="BQ152" s="596"/>
      <c r="BR152" s="596"/>
      <c r="BS152" s="596"/>
      <c r="BT152" s="596"/>
    </row>
    <row r="153" spans="1:72" ht="15">
      <c r="A153" s="539"/>
      <c r="B153" s="539"/>
      <c r="C153" s="539"/>
      <c r="D153" s="539"/>
      <c r="E153" s="539"/>
      <c r="F153" s="539"/>
      <c r="G153" s="539"/>
      <c r="H153" s="539"/>
      <c r="I153" s="539"/>
      <c r="J153" s="539"/>
      <c r="K153" s="539"/>
      <c r="L153" s="539"/>
      <c r="M153" s="539"/>
      <c r="N153" s="539"/>
      <c r="O153" s="539"/>
      <c r="P153" s="539"/>
      <c r="Q153" s="539"/>
      <c r="R153" s="539"/>
      <c r="S153" s="557"/>
      <c r="T153" s="557"/>
      <c r="U153" s="557"/>
      <c r="V153" s="557"/>
      <c r="W153" s="539"/>
      <c r="X153" s="539"/>
      <c r="Y153" s="557"/>
      <c r="Z153" s="557"/>
      <c r="AA153" s="539"/>
      <c r="AB153" s="539"/>
      <c r="AC153" s="539"/>
      <c r="AD153" s="557"/>
      <c r="AE153" s="557"/>
      <c r="AF153" s="557"/>
      <c r="AG153" s="557"/>
      <c r="AH153" s="557"/>
      <c r="AI153" s="557"/>
      <c r="AJ153" s="557"/>
      <c r="AK153" s="557"/>
      <c r="AL153" s="557"/>
      <c r="AM153" s="557"/>
      <c r="AN153" s="557"/>
      <c r="AO153" s="557"/>
      <c r="AP153" s="557"/>
      <c r="AQ153" s="557"/>
      <c r="AR153" s="557"/>
      <c r="AS153" s="557"/>
      <c r="AT153" s="557"/>
      <c r="AU153" s="557"/>
      <c r="AV153" s="557"/>
      <c r="AW153" s="557"/>
      <c r="AX153" s="557"/>
      <c r="AY153" s="557"/>
      <c r="AZ153" s="557"/>
      <c r="BA153" s="557"/>
      <c r="BB153" s="557"/>
      <c r="BC153" s="557"/>
      <c r="BD153" s="553"/>
      <c r="BE153" s="596"/>
      <c r="BF153" s="596"/>
      <c r="BG153" s="596"/>
      <c r="BH153" s="596"/>
      <c r="BI153" s="596"/>
      <c r="BJ153" s="596"/>
      <c r="BK153" s="596"/>
      <c r="BL153" s="596"/>
      <c r="BM153" s="596"/>
      <c r="BN153" s="596"/>
      <c r="BO153" s="596"/>
      <c r="BP153" s="596"/>
      <c r="BQ153" s="596"/>
      <c r="BR153" s="596"/>
      <c r="BS153" s="596"/>
      <c r="BT153" s="596"/>
    </row>
    <row r="154" spans="1:72" ht="15">
      <c r="A154" s="539"/>
      <c r="B154" s="539"/>
      <c r="C154" s="539"/>
      <c r="D154" s="539"/>
      <c r="E154" s="539"/>
      <c r="F154" s="539"/>
      <c r="G154" s="539"/>
      <c r="H154" s="539"/>
      <c r="I154" s="539"/>
      <c r="J154" s="539"/>
      <c r="K154" s="539"/>
      <c r="L154" s="539"/>
      <c r="M154" s="539"/>
      <c r="N154" s="539"/>
      <c r="O154" s="539"/>
      <c r="P154" s="539"/>
      <c r="Q154" s="539"/>
      <c r="R154" s="539"/>
      <c r="S154" s="557"/>
      <c r="T154" s="557"/>
      <c r="U154" s="557"/>
      <c r="V154" s="557"/>
      <c r="W154" s="539"/>
      <c r="X154" s="539"/>
      <c r="Y154" s="557"/>
      <c r="Z154" s="557"/>
      <c r="AA154" s="539"/>
      <c r="AB154" s="539"/>
      <c r="AC154" s="539"/>
      <c r="AD154" s="557"/>
      <c r="AE154" s="557"/>
      <c r="AF154" s="557"/>
      <c r="AG154" s="557"/>
      <c r="AH154" s="557"/>
      <c r="AI154" s="557"/>
      <c r="AJ154" s="557"/>
      <c r="AK154" s="557"/>
      <c r="AL154" s="557"/>
      <c r="AM154" s="557"/>
      <c r="AN154" s="557"/>
      <c r="AO154" s="557"/>
      <c r="AP154" s="557"/>
      <c r="AQ154" s="557"/>
      <c r="AR154" s="557"/>
      <c r="AS154" s="557"/>
      <c r="AT154" s="557"/>
      <c r="AU154" s="557"/>
      <c r="AV154" s="557"/>
      <c r="AW154" s="557"/>
      <c r="AX154" s="557"/>
      <c r="AY154" s="557"/>
      <c r="AZ154" s="557"/>
      <c r="BA154" s="557"/>
      <c r="BB154" s="557"/>
      <c r="BC154" s="557"/>
      <c r="BD154" s="553"/>
      <c r="BE154" s="596"/>
      <c r="BF154" s="596"/>
      <c r="BG154" s="596"/>
      <c r="BH154" s="596"/>
      <c r="BI154" s="596"/>
      <c r="BJ154" s="596"/>
      <c r="BK154" s="596"/>
      <c r="BL154" s="596"/>
      <c r="BM154" s="596"/>
      <c r="BN154" s="596"/>
      <c r="BO154" s="596"/>
      <c r="BP154" s="596"/>
      <c r="BQ154" s="596"/>
      <c r="BR154" s="596"/>
      <c r="BS154" s="596"/>
      <c r="BT154" s="596"/>
    </row>
    <row r="155" spans="1:72" ht="15">
      <c r="A155" s="539"/>
      <c r="B155" s="539"/>
      <c r="C155" s="539"/>
      <c r="D155" s="539"/>
      <c r="E155" s="539"/>
      <c r="F155" s="539"/>
      <c r="G155" s="539"/>
      <c r="H155" s="539"/>
      <c r="I155" s="539"/>
      <c r="J155" s="539"/>
      <c r="K155" s="539"/>
      <c r="L155" s="539"/>
      <c r="M155" s="539"/>
      <c r="N155" s="539"/>
      <c r="O155" s="539"/>
      <c r="P155" s="539"/>
      <c r="Q155" s="539"/>
      <c r="R155" s="539"/>
      <c r="S155" s="557"/>
      <c r="T155" s="557"/>
      <c r="U155" s="557"/>
      <c r="V155" s="557"/>
      <c r="W155" s="539"/>
      <c r="X155" s="539"/>
      <c r="Y155" s="557"/>
      <c r="Z155" s="557"/>
      <c r="AA155" s="539"/>
      <c r="AB155" s="539"/>
      <c r="AC155" s="539"/>
      <c r="AD155" s="557"/>
      <c r="AE155" s="557"/>
      <c r="AF155" s="557"/>
      <c r="AG155" s="557"/>
      <c r="AH155" s="557"/>
      <c r="AI155" s="557"/>
      <c r="AJ155" s="557"/>
      <c r="AK155" s="557"/>
      <c r="AL155" s="557"/>
      <c r="AM155" s="557"/>
      <c r="AN155" s="557"/>
      <c r="AO155" s="557"/>
      <c r="AP155" s="557"/>
      <c r="AQ155" s="557"/>
      <c r="AR155" s="557"/>
      <c r="AS155" s="557"/>
      <c r="AT155" s="557"/>
      <c r="AU155" s="557"/>
      <c r="AV155" s="557"/>
      <c r="AW155" s="557"/>
      <c r="AX155" s="557"/>
      <c r="AY155" s="557"/>
      <c r="AZ155" s="557"/>
      <c r="BA155" s="557"/>
      <c r="BB155" s="557"/>
      <c r="BC155" s="557"/>
      <c r="BD155" s="553"/>
      <c r="BE155" s="596"/>
      <c r="BF155" s="596"/>
      <c r="BG155" s="596"/>
      <c r="BH155" s="596"/>
      <c r="BI155" s="596"/>
      <c r="BJ155" s="596"/>
      <c r="BK155" s="596"/>
      <c r="BL155" s="596"/>
      <c r="BM155" s="596"/>
      <c r="BN155" s="596"/>
      <c r="BO155" s="596"/>
      <c r="BP155" s="596"/>
      <c r="BQ155" s="596"/>
      <c r="BR155" s="596"/>
      <c r="BS155" s="596"/>
      <c r="BT155" s="596"/>
    </row>
    <row r="156" spans="1:72" ht="15">
      <c r="A156" s="539"/>
      <c r="B156" s="539"/>
      <c r="C156" s="539"/>
      <c r="D156" s="539"/>
      <c r="E156" s="539"/>
      <c r="F156" s="539"/>
      <c r="G156" s="539"/>
      <c r="H156" s="539"/>
      <c r="I156" s="539"/>
      <c r="J156" s="539"/>
      <c r="K156" s="539"/>
      <c r="L156" s="539"/>
      <c r="M156" s="539"/>
      <c r="N156" s="539"/>
      <c r="O156" s="539"/>
      <c r="P156" s="539"/>
      <c r="Q156" s="539"/>
      <c r="R156" s="539"/>
      <c r="S156" s="557"/>
      <c r="T156" s="557"/>
      <c r="U156" s="557"/>
      <c r="V156" s="557"/>
      <c r="W156" s="539"/>
      <c r="X156" s="539"/>
      <c r="Y156" s="557"/>
      <c r="Z156" s="557"/>
      <c r="AA156" s="539"/>
      <c r="AB156" s="539"/>
      <c r="AC156" s="539"/>
      <c r="AD156" s="557"/>
      <c r="AE156" s="557"/>
      <c r="AF156" s="557"/>
      <c r="AG156" s="557"/>
      <c r="AH156" s="557"/>
      <c r="AI156" s="557"/>
      <c r="AJ156" s="557"/>
      <c r="AK156" s="557"/>
      <c r="AL156" s="557"/>
      <c r="AM156" s="557"/>
      <c r="AN156" s="557"/>
      <c r="AO156" s="557"/>
      <c r="AP156" s="557"/>
      <c r="AQ156" s="557"/>
      <c r="AR156" s="557"/>
      <c r="AS156" s="557"/>
      <c r="AT156" s="557"/>
      <c r="AU156" s="557"/>
      <c r="AV156" s="557"/>
      <c r="AW156" s="557"/>
      <c r="AX156" s="557"/>
      <c r="AY156" s="557"/>
      <c r="AZ156" s="557"/>
      <c r="BA156" s="557"/>
      <c r="BB156" s="557"/>
      <c r="BC156" s="557"/>
      <c r="BD156" s="553"/>
      <c r="BE156" s="596"/>
      <c r="BF156" s="596"/>
      <c r="BG156" s="596"/>
      <c r="BH156" s="596"/>
      <c r="BI156" s="596"/>
      <c r="BJ156" s="596"/>
      <c r="BK156" s="596"/>
      <c r="BL156" s="596"/>
      <c r="BM156" s="596"/>
      <c r="BN156" s="596"/>
      <c r="BO156" s="596"/>
      <c r="BP156" s="596"/>
      <c r="BQ156" s="596"/>
      <c r="BR156" s="596"/>
      <c r="BS156" s="596"/>
      <c r="BT156" s="596"/>
    </row>
    <row r="157" spans="1:72" ht="15">
      <c r="A157" s="539"/>
      <c r="B157" s="539"/>
      <c r="C157" s="539"/>
      <c r="D157" s="539"/>
      <c r="E157" s="539"/>
      <c r="F157" s="539"/>
      <c r="G157" s="539"/>
      <c r="H157" s="539"/>
      <c r="I157" s="539"/>
      <c r="J157" s="539"/>
      <c r="K157" s="539"/>
      <c r="L157" s="539"/>
      <c r="M157" s="539"/>
      <c r="N157" s="539"/>
      <c r="O157" s="539"/>
      <c r="P157" s="539"/>
      <c r="Q157" s="539"/>
      <c r="R157" s="539"/>
      <c r="S157" s="557"/>
      <c r="T157" s="557"/>
      <c r="U157" s="557"/>
      <c r="V157" s="557"/>
      <c r="W157" s="539"/>
      <c r="X157" s="539"/>
      <c r="Y157" s="557"/>
      <c r="Z157" s="557"/>
      <c r="AA157" s="539"/>
      <c r="AB157" s="539"/>
      <c r="AC157" s="539"/>
      <c r="AD157" s="557"/>
      <c r="AE157" s="557"/>
      <c r="AF157" s="557"/>
      <c r="AG157" s="557"/>
      <c r="AH157" s="557"/>
      <c r="AI157" s="557"/>
      <c r="AJ157" s="557"/>
      <c r="AK157" s="557"/>
      <c r="AL157" s="557"/>
      <c r="AM157" s="557"/>
      <c r="AN157" s="557"/>
      <c r="AO157" s="557"/>
      <c r="AP157" s="557"/>
      <c r="AQ157" s="557"/>
      <c r="AR157" s="557"/>
      <c r="AS157" s="557"/>
      <c r="AT157" s="557"/>
      <c r="AU157" s="557"/>
      <c r="AV157" s="557"/>
      <c r="AW157" s="557"/>
      <c r="AX157" s="557"/>
      <c r="AY157" s="557"/>
      <c r="AZ157" s="557"/>
      <c r="BA157" s="557"/>
      <c r="BB157" s="557"/>
      <c r="BC157" s="557"/>
      <c r="BD157" s="553"/>
      <c r="BE157" s="596"/>
      <c r="BF157" s="596"/>
      <c r="BG157" s="596"/>
      <c r="BH157" s="596"/>
      <c r="BI157" s="596"/>
      <c r="BJ157" s="596"/>
      <c r="BK157" s="596"/>
      <c r="BL157" s="596"/>
      <c r="BM157" s="596"/>
      <c r="BN157" s="596"/>
      <c r="BO157" s="596"/>
      <c r="BP157" s="596"/>
      <c r="BQ157" s="596"/>
      <c r="BR157" s="596"/>
      <c r="BS157" s="596"/>
      <c r="BT157" s="596"/>
    </row>
    <row r="158" spans="1:72" ht="15">
      <c r="A158" s="539"/>
      <c r="B158" s="539"/>
      <c r="C158" s="539"/>
      <c r="D158" s="539"/>
      <c r="E158" s="539"/>
      <c r="F158" s="539"/>
      <c r="G158" s="539"/>
      <c r="H158" s="539"/>
      <c r="I158" s="539"/>
      <c r="J158" s="539"/>
      <c r="K158" s="539"/>
      <c r="L158" s="539"/>
      <c r="M158" s="539"/>
      <c r="N158" s="539"/>
      <c r="O158" s="539"/>
      <c r="P158" s="539"/>
      <c r="Q158" s="539"/>
      <c r="R158" s="539"/>
      <c r="S158" s="557"/>
      <c r="T158" s="557"/>
      <c r="U158" s="557"/>
      <c r="V158" s="557"/>
      <c r="W158" s="539"/>
      <c r="X158" s="539"/>
      <c r="Y158" s="557"/>
      <c r="Z158" s="557"/>
      <c r="AA158" s="539"/>
      <c r="AB158" s="539"/>
      <c r="AC158" s="539"/>
      <c r="AD158" s="557"/>
      <c r="AE158" s="557"/>
      <c r="AF158" s="557"/>
      <c r="AG158" s="557"/>
      <c r="AH158" s="557"/>
      <c r="AI158" s="557"/>
      <c r="AJ158" s="557"/>
      <c r="AK158" s="557"/>
      <c r="AL158" s="557"/>
      <c r="AM158" s="557"/>
      <c r="AN158" s="557"/>
      <c r="AO158" s="557"/>
      <c r="AP158" s="557"/>
      <c r="AQ158" s="557"/>
      <c r="AR158" s="557"/>
      <c r="AS158" s="557"/>
      <c r="AT158" s="557"/>
      <c r="AU158" s="557"/>
      <c r="AV158" s="557"/>
      <c r="AW158" s="557"/>
      <c r="AX158" s="557"/>
      <c r="AY158" s="557"/>
      <c r="AZ158" s="557"/>
      <c r="BA158" s="557"/>
      <c r="BB158" s="557"/>
      <c r="BC158" s="557"/>
      <c r="BD158" s="553"/>
      <c r="BE158" s="596"/>
      <c r="BF158" s="596"/>
      <c r="BG158" s="596"/>
      <c r="BH158" s="596"/>
      <c r="BI158" s="596"/>
      <c r="BJ158" s="596"/>
      <c r="BK158" s="596"/>
      <c r="BL158" s="596"/>
      <c r="BM158" s="596"/>
      <c r="BN158" s="596"/>
      <c r="BO158" s="596"/>
      <c r="BP158" s="596"/>
      <c r="BQ158" s="596"/>
      <c r="BR158" s="596"/>
      <c r="BS158" s="596"/>
      <c r="BT158" s="596"/>
    </row>
    <row r="159" spans="1:72" ht="15">
      <c r="A159" s="539"/>
      <c r="B159" s="539"/>
      <c r="C159" s="539"/>
      <c r="D159" s="539"/>
      <c r="E159" s="539"/>
      <c r="F159" s="539"/>
      <c r="G159" s="539"/>
      <c r="H159" s="539"/>
      <c r="I159" s="539"/>
      <c r="J159" s="539"/>
      <c r="K159" s="539"/>
      <c r="L159" s="539"/>
      <c r="M159" s="539"/>
      <c r="N159" s="539"/>
      <c r="O159" s="539"/>
      <c r="P159" s="539"/>
      <c r="Q159" s="539"/>
      <c r="R159" s="539"/>
      <c r="S159" s="557"/>
      <c r="T159" s="557"/>
      <c r="U159" s="557"/>
      <c r="V159" s="557"/>
      <c r="W159" s="539"/>
      <c r="X159" s="539"/>
      <c r="Y159" s="557"/>
      <c r="Z159" s="557"/>
      <c r="AA159" s="539"/>
      <c r="AB159" s="539"/>
      <c r="AC159" s="539"/>
      <c r="AD159" s="557"/>
      <c r="AE159" s="557"/>
      <c r="AF159" s="557"/>
      <c r="AG159" s="557"/>
      <c r="AH159" s="557"/>
      <c r="AI159" s="557"/>
      <c r="AJ159" s="557"/>
      <c r="AK159" s="557"/>
      <c r="AL159" s="557"/>
      <c r="AM159" s="557"/>
      <c r="AN159" s="557"/>
      <c r="AO159" s="557"/>
      <c r="AP159" s="557"/>
      <c r="AQ159" s="557"/>
      <c r="AR159" s="557"/>
      <c r="AS159" s="557"/>
      <c r="AT159" s="557"/>
      <c r="AU159" s="557"/>
      <c r="AV159" s="557"/>
      <c r="AW159" s="557"/>
      <c r="AX159" s="557"/>
      <c r="AY159" s="557"/>
      <c r="AZ159" s="557"/>
      <c r="BA159" s="557"/>
      <c r="BB159" s="557"/>
      <c r="BC159" s="557"/>
      <c r="BD159" s="553"/>
      <c r="BE159" s="596"/>
      <c r="BF159" s="596"/>
      <c r="BG159" s="596"/>
      <c r="BH159" s="596"/>
      <c r="BI159" s="596"/>
      <c r="BJ159" s="596"/>
      <c r="BK159" s="596"/>
      <c r="BL159" s="596"/>
      <c r="BM159" s="596"/>
      <c r="BN159" s="596"/>
      <c r="BO159" s="596"/>
      <c r="BP159" s="596"/>
      <c r="BQ159" s="596"/>
      <c r="BR159" s="596"/>
      <c r="BS159" s="596"/>
      <c r="BT159" s="596"/>
    </row>
    <row r="160" spans="1:72" ht="15">
      <c r="A160" s="539"/>
      <c r="B160" s="539"/>
      <c r="C160" s="539"/>
      <c r="D160" s="539"/>
      <c r="E160" s="539"/>
      <c r="F160" s="539"/>
      <c r="G160" s="539"/>
      <c r="H160" s="539"/>
      <c r="I160" s="539"/>
      <c r="J160" s="539"/>
      <c r="K160" s="539"/>
      <c r="L160" s="539"/>
      <c r="M160" s="539"/>
      <c r="N160" s="539"/>
      <c r="O160" s="539"/>
      <c r="P160" s="539"/>
      <c r="Q160" s="539"/>
      <c r="R160" s="539"/>
      <c r="S160" s="557"/>
      <c r="T160" s="557"/>
      <c r="U160" s="557"/>
      <c r="V160" s="557"/>
      <c r="W160" s="539"/>
      <c r="X160" s="539"/>
      <c r="Y160" s="557"/>
      <c r="Z160" s="557"/>
      <c r="AA160" s="539"/>
      <c r="AB160" s="539"/>
      <c r="AC160" s="539"/>
      <c r="AD160" s="557"/>
      <c r="AE160" s="557"/>
      <c r="AF160" s="557"/>
      <c r="AG160" s="557"/>
      <c r="AH160" s="557"/>
      <c r="AI160" s="557"/>
      <c r="AJ160" s="557"/>
      <c r="AK160" s="557"/>
      <c r="AL160" s="557"/>
      <c r="AM160" s="557"/>
      <c r="AN160" s="557"/>
      <c r="AO160" s="557"/>
      <c r="AP160" s="557"/>
      <c r="AQ160" s="557"/>
      <c r="AR160" s="557"/>
      <c r="AS160" s="557"/>
      <c r="AT160" s="557"/>
      <c r="AU160" s="557"/>
      <c r="AV160" s="557"/>
      <c r="AW160" s="557"/>
      <c r="AX160" s="557"/>
      <c r="AY160" s="557"/>
      <c r="AZ160" s="557"/>
      <c r="BA160" s="557"/>
      <c r="BB160" s="557"/>
      <c r="BC160" s="557"/>
      <c r="BD160" s="553"/>
      <c r="BE160" s="596"/>
      <c r="BF160" s="596"/>
      <c r="BG160" s="596"/>
      <c r="BH160" s="596"/>
      <c r="BI160" s="596"/>
      <c r="BJ160" s="596"/>
      <c r="BK160" s="596"/>
      <c r="BL160" s="596"/>
      <c r="BM160" s="596"/>
      <c r="BN160" s="596"/>
      <c r="BO160" s="596"/>
      <c r="BP160" s="596"/>
      <c r="BQ160" s="596"/>
      <c r="BR160" s="596"/>
      <c r="BS160" s="596"/>
      <c r="BT160" s="596"/>
    </row>
    <row r="161" spans="1:72" ht="15">
      <c r="A161" s="539"/>
      <c r="B161" s="539"/>
      <c r="C161" s="539"/>
      <c r="D161" s="539"/>
      <c r="E161" s="539"/>
      <c r="F161" s="539"/>
      <c r="G161" s="539"/>
      <c r="H161" s="539"/>
      <c r="I161" s="539"/>
      <c r="J161" s="539"/>
      <c r="K161" s="539"/>
      <c r="L161" s="539"/>
      <c r="M161" s="539"/>
      <c r="N161" s="539"/>
      <c r="O161" s="539"/>
      <c r="P161" s="539"/>
      <c r="Q161" s="539"/>
      <c r="R161" s="539"/>
      <c r="S161" s="557"/>
      <c r="T161" s="557"/>
      <c r="U161" s="557"/>
      <c r="V161" s="557"/>
      <c r="W161" s="539"/>
      <c r="X161" s="539"/>
      <c r="Y161" s="557"/>
      <c r="Z161" s="557"/>
      <c r="AA161" s="539"/>
      <c r="AB161" s="539"/>
      <c r="AC161" s="539"/>
      <c r="AD161" s="557"/>
      <c r="AE161" s="557"/>
      <c r="AF161" s="557"/>
      <c r="AG161" s="557"/>
      <c r="AH161" s="557"/>
      <c r="AI161" s="557"/>
      <c r="AJ161" s="557"/>
      <c r="AK161" s="557"/>
      <c r="AL161" s="557"/>
      <c r="AM161" s="557"/>
      <c r="AN161" s="557"/>
      <c r="AO161" s="557"/>
      <c r="AP161" s="557"/>
      <c r="AQ161" s="557"/>
      <c r="AR161" s="557"/>
      <c r="AS161" s="557"/>
      <c r="AT161" s="557"/>
      <c r="AU161" s="557"/>
      <c r="AV161" s="557"/>
      <c r="AW161" s="557"/>
      <c r="AX161" s="557"/>
      <c r="AY161" s="557"/>
      <c r="AZ161" s="557"/>
      <c r="BA161" s="557"/>
      <c r="BB161" s="557"/>
      <c r="BC161" s="557"/>
      <c r="BD161" s="553"/>
      <c r="BE161" s="596"/>
      <c r="BF161" s="596"/>
      <c r="BG161" s="596"/>
      <c r="BH161" s="596"/>
      <c r="BI161" s="596"/>
      <c r="BJ161" s="596"/>
      <c r="BK161" s="596"/>
      <c r="BL161" s="596"/>
      <c r="BM161" s="596"/>
      <c r="BN161" s="596"/>
      <c r="BO161" s="596"/>
      <c r="BP161" s="596"/>
      <c r="BQ161" s="596"/>
      <c r="BR161" s="596"/>
      <c r="BS161" s="596"/>
      <c r="BT161" s="596"/>
    </row>
    <row r="162" spans="1:72" ht="15">
      <c r="A162" s="539"/>
      <c r="B162" s="539"/>
      <c r="C162" s="539"/>
      <c r="D162" s="539"/>
      <c r="E162" s="539"/>
      <c r="F162" s="539"/>
      <c r="G162" s="539"/>
      <c r="H162" s="539"/>
      <c r="I162" s="539"/>
      <c r="J162" s="539"/>
      <c r="K162" s="539"/>
      <c r="L162" s="539"/>
      <c r="M162" s="539"/>
      <c r="N162" s="539"/>
      <c r="O162" s="539"/>
      <c r="P162" s="539"/>
      <c r="Q162" s="539"/>
      <c r="R162" s="539"/>
      <c r="S162" s="557"/>
      <c r="T162" s="557"/>
      <c r="U162" s="557"/>
      <c r="V162" s="557"/>
      <c r="W162" s="539"/>
      <c r="X162" s="539"/>
      <c r="Y162" s="557"/>
      <c r="Z162" s="557"/>
      <c r="AA162" s="539"/>
      <c r="AB162" s="539"/>
      <c r="AC162" s="539"/>
      <c r="AD162" s="557"/>
      <c r="AE162" s="557"/>
      <c r="AF162" s="557"/>
      <c r="AG162" s="557"/>
      <c r="AH162" s="557"/>
      <c r="AI162" s="557"/>
      <c r="AJ162" s="557"/>
      <c r="AK162" s="557"/>
      <c r="AL162" s="557"/>
      <c r="AM162" s="557"/>
      <c r="AN162" s="557"/>
      <c r="AO162" s="557"/>
      <c r="AP162" s="557"/>
      <c r="AQ162" s="557"/>
      <c r="AR162" s="557"/>
      <c r="AS162" s="557"/>
      <c r="AT162" s="557"/>
      <c r="AU162" s="557"/>
      <c r="AV162" s="557"/>
      <c r="AW162" s="557"/>
      <c r="AX162" s="557"/>
      <c r="AY162" s="557"/>
      <c r="AZ162" s="557"/>
      <c r="BA162" s="557"/>
      <c r="BB162" s="557"/>
      <c r="BC162" s="557"/>
      <c r="BD162" s="553"/>
      <c r="BE162" s="596"/>
      <c r="BF162" s="596"/>
      <c r="BG162" s="596"/>
      <c r="BH162" s="596"/>
      <c r="BI162" s="596"/>
      <c r="BJ162" s="596"/>
      <c r="BK162" s="596"/>
      <c r="BL162" s="596"/>
      <c r="BM162" s="596"/>
      <c r="BN162" s="596"/>
      <c r="BO162" s="596"/>
      <c r="BP162" s="596"/>
      <c r="BQ162" s="596"/>
      <c r="BR162" s="596"/>
      <c r="BS162" s="596"/>
      <c r="BT162" s="596"/>
    </row>
    <row r="163" spans="1:72" ht="15">
      <c r="A163" s="539"/>
      <c r="B163" s="539"/>
      <c r="C163" s="539"/>
      <c r="D163" s="539"/>
      <c r="E163" s="539"/>
      <c r="F163" s="539"/>
      <c r="G163" s="539"/>
      <c r="H163" s="539"/>
      <c r="I163" s="539"/>
      <c r="J163" s="539"/>
      <c r="K163" s="539"/>
      <c r="L163" s="539"/>
      <c r="M163" s="539"/>
      <c r="N163" s="539"/>
      <c r="O163" s="539"/>
      <c r="P163" s="539"/>
      <c r="Q163" s="539"/>
      <c r="R163" s="539"/>
      <c r="S163" s="557"/>
      <c r="T163" s="557"/>
      <c r="U163" s="557"/>
      <c r="V163" s="557"/>
      <c r="W163" s="539"/>
      <c r="X163" s="539"/>
      <c r="Y163" s="557"/>
      <c r="Z163" s="557"/>
      <c r="AA163" s="539"/>
      <c r="AB163" s="539"/>
      <c r="AC163" s="539"/>
      <c r="AD163" s="557"/>
      <c r="AE163" s="557"/>
      <c r="AF163" s="557"/>
      <c r="AG163" s="557"/>
      <c r="AH163" s="557"/>
      <c r="AI163" s="557"/>
      <c r="AJ163" s="557"/>
      <c r="AK163" s="557"/>
      <c r="AL163" s="557"/>
      <c r="AM163" s="557"/>
      <c r="AN163" s="557"/>
      <c r="AO163" s="557"/>
      <c r="AP163" s="557"/>
      <c r="AQ163" s="557"/>
      <c r="AR163" s="557"/>
      <c r="AS163" s="557"/>
      <c r="AT163" s="557"/>
      <c r="AU163" s="557"/>
      <c r="AV163" s="557"/>
      <c r="AW163" s="557"/>
      <c r="AX163" s="557"/>
      <c r="AY163" s="557"/>
      <c r="AZ163" s="557"/>
      <c r="BA163" s="557"/>
      <c r="BB163" s="557"/>
      <c r="BC163" s="557"/>
      <c r="BD163" s="553"/>
      <c r="BE163" s="596"/>
      <c r="BF163" s="596"/>
      <c r="BG163" s="596"/>
      <c r="BH163" s="596"/>
      <c r="BI163" s="596"/>
      <c r="BJ163" s="596"/>
      <c r="BK163" s="596"/>
      <c r="BL163" s="596"/>
      <c r="BM163" s="596"/>
      <c r="BN163" s="596"/>
      <c r="BO163" s="596"/>
      <c r="BP163" s="596"/>
      <c r="BQ163" s="596"/>
      <c r="BR163" s="596"/>
      <c r="BS163" s="596"/>
      <c r="BT163" s="596"/>
    </row>
    <row r="164" spans="1:72" ht="15">
      <c r="A164" s="539"/>
      <c r="B164" s="539"/>
      <c r="C164" s="539"/>
      <c r="D164" s="539"/>
      <c r="E164" s="539"/>
      <c r="F164" s="539"/>
      <c r="G164" s="539"/>
      <c r="H164" s="539"/>
      <c r="I164" s="539"/>
      <c r="J164" s="539"/>
      <c r="K164" s="539"/>
      <c r="L164" s="539"/>
      <c r="M164" s="539"/>
      <c r="N164" s="539"/>
      <c r="O164" s="539"/>
      <c r="P164" s="539"/>
      <c r="Q164" s="539"/>
      <c r="R164" s="539"/>
      <c r="S164" s="557"/>
      <c r="T164" s="557"/>
      <c r="U164" s="557"/>
      <c r="V164" s="557"/>
      <c r="W164" s="539"/>
      <c r="X164" s="539"/>
      <c r="Y164" s="557"/>
      <c r="Z164" s="557"/>
      <c r="AA164" s="539"/>
      <c r="AB164" s="539"/>
      <c r="AC164" s="539"/>
      <c r="AD164" s="557"/>
      <c r="AE164" s="557"/>
      <c r="AF164" s="557"/>
      <c r="AG164" s="557"/>
      <c r="AH164" s="557"/>
      <c r="AI164" s="557"/>
      <c r="AJ164" s="557"/>
      <c r="AK164" s="557"/>
      <c r="AL164" s="557"/>
      <c r="AM164" s="557"/>
      <c r="AN164" s="557"/>
      <c r="AO164" s="557"/>
      <c r="AP164" s="557"/>
      <c r="AQ164" s="557"/>
      <c r="AR164" s="557"/>
      <c r="AS164" s="557"/>
      <c r="AT164" s="557"/>
      <c r="AU164" s="557"/>
      <c r="AV164" s="557"/>
      <c r="AW164" s="557"/>
      <c r="AX164" s="557"/>
      <c r="AY164" s="557"/>
      <c r="AZ164" s="557"/>
      <c r="BA164" s="557"/>
      <c r="BB164" s="557"/>
      <c r="BC164" s="557"/>
      <c r="BD164" s="553"/>
      <c r="BE164" s="596"/>
      <c r="BF164" s="596"/>
      <c r="BG164" s="596"/>
      <c r="BH164" s="596"/>
      <c r="BI164" s="596"/>
      <c r="BJ164" s="596"/>
      <c r="BK164" s="596"/>
      <c r="BL164" s="596"/>
      <c r="BM164" s="596"/>
      <c r="BN164" s="596"/>
      <c r="BO164" s="596"/>
      <c r="BP164" s="596"/>
      <c r="BQ164" s="596"/>
      <c r="BR164" s="596"/>
      <c r="BS164" s="596"/>
      <c r="BT164" s="596"/>
    </row>
    <row r="165" spans="1:72" ht="15">
      <c r="A165" s="539"/>
      <c r="B165" s="539"/>
      <c r="C165" s="539"/>
      <c r="D165" s="539"/>
      <c r="E165" s="539"/>
      <c r="F165" s="539"/>
      <c r="G165" s="539"/>
      <c r="H165" s="539"/>
      <c r="I165" s="539"/>
      <c r="J165" s="539"/>
      <c r="K165" s="539"/>
      <c r="L165" s="539"/>
      <c r="M165" s="539"/>
      <c r="N165" s="539"/>
      <c r="O165" s="539"/>
      <c r="P165" s="539"/>
      <c r="Q165" s="539"/>
      <c r="R165" s="539"/>
      <c r="S165" s="557"/>
      <c r="T165" s="557"/>
      <c r="U165" s="557"/>
      <c r="V165" s="557"/>
      <c r="W165" s="539"/>
      <c r="X165" s="539"/>
      <c r="Y165" s="557"/>
      <c r="Z165" s="557"/>
      <c r="AA165" s="539"/>
      <c r="AB165" s="539"/>
      <c r="AC165" s="539"/>
      <c r="AD165" s="557"/>
      <c r="AE165" s="557"/>
      <c r="AF165" s="557"/>
      <c r="AG165" s="557"/>
      <c r="AH165" s="557"/>
      <c r="AI165" s="557"/>
      <c r="AJ165" s="557"/>
      <c r="AK165" s="557"/>
      <c r="AL165" s="557"/>
      <c r="AM165" s="557"/>
      <c r="AN165" s="557"/>
      <c r="AO165" s="557"/>
      <c r="AP165" s="557"/>
      <c r="AQ165" s="557"/>
      <c r="AR165" s="557"/>
      <c r="AS165" s="557"/>
      <c r="AT165" s="557"/>
      <c r="AU165" s="557"/>
      <c r="AV165" s="557"/>
      <c r="AW165" s="557"/>
      <c r="AX165" s="557"/>
      <c r="AY165" s="557"/>
      <c r="AZ165" s="557"/>
      <c r="BA165" s="557"/>
      <c r="BB165" s="557"/>
      <c r="BC165" s="557"/>
      <c r="BD165" s="553"/>
      <c r="BE165" s="596"/>
      <c r="BF165" s="596"/>
      <c r="BG165" s="596"/>
      <c r="BH165" s="596"/>
      <c r="BI165" s="596"/>
      <c r="BJ165" s="596"/>
      <c r="BK165" s="596"/>
      <c r="BL165" s="596"/>
      <c r="BM165" s="596"/>
      <c r="BN165" s="596"/>
      <c r="BO165" s="596"/>
      <c r="BP165" s="596"/>
      <c r="BQ165" s="596"/>
      <c r="BR165" s="596"/>
      <c r="BS165" s="596"/>
      <c r="BT165" s="596"/>
    </row>
    <row r="166" spans="1:72" ht="15">
      <c r="A166" s="539"/>
      <c r="B166" s="539"/>
      <c r="C166" s="539"/>
      <c r="D166" s="539"/>
      <c r="E166" s="539"/>
      <c r="F166" s="539"/>
      <c r="G166" s="539"/>
      <c r="H166" s="539"/>
      <c r="I166" s="539"/>
      <c r="J166" s="539"/>
      <c r="K166" s="539"/>
      <c r="L166" s="539"/>
      <c r="M166" s="539"/>
      <c r="N166" s="539"/>
      <c r="O166" s="539"/>
      <c r="P166" s="539"/>
      <c r="Q166" s="539"/>
      <c r="R166" s="539"/>
      <c r="S166" s="557"/>
      <c r="T166" s="557"/>
      <c r="U166" s="557"/>
      <c r="V166" s="557"/>
      <c r="W166" s="539"/>
      <c r="X166" s="539"/>
      <c r="Y166" s="557"/>
      <c r="Z166" s="557"/>
      <c r="AA166" s="539"/>
      <c r="AB166" s="539"/>
      <c r="AC166" s="539"/>
      <c r="AD166" s="557"/>
      <c r="AE166" s="557"/>
      <c r="AF166" s="557"/>
      <c r="AG166" s="557"/>
      <c r="AH166" s="557"/>
      <c r="AI166" s="557"/>
      <c r="AJ166" s="557"/>
      <c r="AK166" s="557"/>
      <c r="AL166" s="557"/>
      <c r="AM166" s="557"/>
      <c r="AN166" s="557"/>
      <c r="AO166" s="557"/>
      <c r="AP166" s="557"/>
      <c r="AQ166" s="557"/>
      <c r="AR166" s="557"/>
      <c r="AS166" s="557"/>
      <c r="AT166" s="557"/>
      <c r="AU166" s="557"/>
      <c r="AV166" s="557"/>
      <c r="AW166" s="557"/>
      <c r="AX166" s="557"/>
      <c r="AY166" s="557"/>
      <c r="AZ166" s="557"/>
      <c r="BA166" s="557"/>
      <c r="BB166" s="557"/>
      <c r="BC166" s="557"/>
      <c r="BD166" s="553"/>
      <c r="BE166" s="596"/>
      <c r="BF166" s="596"/>
      <c r="BG166" s="596"/>
      <c r="BH166" s="596"/>
      <c r="BI166" s="596"/>
      <c r="BJ166" s="596"/>
      <c r="BK166" s="596"/>
      <c r="BL166" s="596"/>
      <c r="BM166" s="596"/>
      <c r="BN166" s="596"/>
      <c r="BO166" s="596"/>
      <c r="BP166" s="596"/>
      <c r="BQ166" s="596"/>
      <c r="BR166" s="596"/>
      <c r="BS166" s="596"/>
      <c r="BT166" s="596"/>
    </row>
    <row r="167" spans="1:72" ht="15">
      <c r="A167" s="539"/>
      <c r="B167" s="539"/>
      <c r="C167" s="539"/>
      <c r="D167" s="539"/>
      <c r="E167" s="539"/>
      <c r="F167" s="539"/>
      <c r="G167" s="539"/>
      <c r="H167" s="539"/>
      <c r="I167" s="539"/>
      <c r="J167" s="539"/>
      <c r="K167" s="539"/>
      <c r="L167" s="539"/>
      <c r="M167" s="539"/>
      <c r="N167" s="539"/>
      <c r="O167" s="539"/>
      <c r="P167" s="539"/>
      <c r="Q167" s="539"/>
      <c r="R167" s="539"/>
      <c r="S167" s="557"/>
      <c r="T167" s="557"/>
      <c r="U167" s="557"/>
      <c r="V167" s="557"/>
      <c r="W167" s="539"/>
      <c r="X167" s="539"/>
      <c r="Y167" s="557"/>
      <c r="Z167" s="557"/>
      <c r="AA167" s="539"/>
      <c r="AB167" s="539"/>
      <c r="AC167" s="539"/>
      <c r="AD167" s="557"/>
      <c r="AE167" s="557"/>
      <c r="AF167" s="557"/>
      <c r="AG167" s="557"/>
      <c r="AH167" s="557"/>
      <c r="AI167" s="557"/>
      <c r="AJ167" s="557"/>
      <c r="AK167" s="557"/>
      <c r="AL167" s="557"/>
      <c r="AM167" s="557"/>
      <c r="AN167" s="557"/>
      <c r="AO167" s="557"/>
      <c r="AP167" s="557"/>
      <c r="AQ167" s="557"/>
      <c r="AR167" s="557"/>
      <c r="AS167" s="557"/>
      <c r="AT167" s="557"/>
      <c r="AU167" s="557"/>
      <c r="AV167" s="557"/>
      <c r="AW167" s="557"/>
      <c r="AX167" s="557"/>
      <c r="AY167" s="557"/>
      <c r="AZ167" s="557"/>
      <c r="BA167" s="557"/>
      <c r="BB167" s="557"/>
      <c r="BC167" s="557"/>
      <c r="BD167" s="553"/>
      <c r="BE167" s="596"/>
      <c r="BF167" s="596"/>
      <c r="BG167" s="596"/>
      <c r="BH167" s="596"/>
      <c r="BI167" s="596"/>
      <c r="BJ167" s="596"/>
      <c r="BK167" s="596"/>
      <c r="BL167" s="596"/>
      <c r="BM167" s="596"/>
      <c r="BN167" s="596"/>
      <c r="BO167" s="596"/>
      <c r="BP167" s="596"/>
      <c r="BQ167" s="596"/>
      <c r="BR167" s="596"/>
      <c r="BS167" s="596"/>
      <c r="BT167" s="596"/>
    </row>
    <row r="168" spans="1:72" ht="15">
      <c r="A168" s="539"/>
      <c r="B168" s="539"/>
      <c r="C168" s="539"/>
      <c r="D168" s="539"/>
      <c r="E168" s="539"/>
      <c r="F168" s="539"/>
      <c r="G168" s="539"/>
      <c r="H168" s="539"/>
      <c r="I168" s="539"/>
      <c r="J168" s="539"/>
      <c r="K168" s="539"/>
      <c r="L168" s="539"/>
      <c r="M168" s="539"/>
      <c r="N168" s="539"/>
      <c r="O168" s="539"/>
      <c r="P168" s="539"/>
      <c r="Q168" s="539"/>
      <c r="R168" s="539"/>
      <c r="S168" s="557"/>
      <c r="T168" s="557"/>
      <c r="U168" s="557"/>
      <c r="V168" s="557"/>
      <c r="W168" s="539"/>
      <c r="X168" s="539"/>
      <c r="Y168" s="557"/>
      <c r="Z168" s="557"/>
      <c r="AA168" s="539"/>
      <c r="AB168" s="539"/>
      <c r="AC168" s="539"/>
      <c r="AD168" s="557"/>
      <c r="AE168" s="557"/>
      <c r="AF168" s="557"/>
      <c r="AG168" s="557"/>
      <c r="AH168" s="557"/>
      <c r="AI168" s="557"/>
      <c r="AJ168" s="557"/>
      <c r="AK168" s="557"/>
      <c r="AL168" s="557"/>
      <c r="AM168" s="557"/>
      <c r="AN168" s="557"/>
      <c r="AO168" s="557"/>
      <c r="AP168" s="557"/>
      <c r="AQ168" s="557"/>
      <c r="AR168" s="557"/>
      <c r="AS168" s="557"/>
      <c r="AT168" s="557"/>
      <c r="AU168" s="557"/>
      <c r="AV168" s="557"/>
      <c r="AW168" s="557"/>
      <c r="AX168" s="557"/>
      <c r="AY168" s="557"/>
      <c r="AZ168" s="557"/>
      <c r="BA168" s="557"/>
      <c r="BB168" s="557"/>
      <c r="BC168" s="557"/>
      <c r="BD168" s="553"/>
      <c r="BE168" s="596"/>
      <c r="BF168" s="596"/>
      <c r="BG168" s="596"/>
      <c r="BH168" s="596"/>
      <c r="BI168" s="596"/>
      <c r="BJ168" s="596"/>
      <c r="BK168" s="596"/>
      <c r="BL168" s="596"/>
      <c r="BM168" s="596"/>
      <c r="BN168" s="596"/>
      <c r="BO168" s="596"/>
      <c r="BP168" s="596"/>
      <c r="BQ168" s="596"/>
      <c r="BR168" s="596"/>
      <c r="BS168" s="596"/>
      <c r="BT168" s="596"/>
    </row>
    <row r="169" spans="1:72" ht="15">
      <c r="A169" s="539"/>
      <c r="B169" s="539"/>
      <c r="C169" s="539"/>
      <c r="D169" s="539"/>
      <c r="E169" s="539"/>
      <c r="F169" s="539"/>
      <c r="G169" s="539"/>
      <c r="H169" s="539"/>
      <c r="I169" s="539"/>
      <c r="J169" s="539"/>
      <c r="K169" s="539"/>
      <c r="L169" s="539"/>
      <c r="M169" s="539"/>
      <c r="N169" s="539"/>
      <c r="O169" s="539"/>
      <c r="P169" s="539"/>
      <c r="Q169" s="539"/>
      <c r="R169" s="539"/>
      <c r="S169" s="557"/>
      <c r="T169" s="557"/>
      <c r="U169" s="557"/>
      <c r="V169" s="557"/>
      <c r="W169" s="539"/>
      <c r="X169" s="539"/>
      <c r="Y169" s="557"/>
      <c r="Z169" s="557"/>
      <c r="AA169" s="539"/>
      <c r="AB169" s="539"/>
      <c r="AC169" s="539"/>
      <c r="AD169" s="557"/>
      <c r="AE169" s="557"/>
      <c r="AF169" s="557"/>
      <c r="AG169" s="557"/>
      <c r="AH169" s="557"/>
      <c r="AI169" s="557"/>
      <c r="AJ169" s="557"/>
      <c r="AK169" s="557"/>
      <c r="AL169" s="557"/>
      <c r="AM169" s="557"/>
      <c r="AN169" s="557"/>
      <c r="AO169" s="557"/>
      <c r="AP169" s="557"/>
      <c r="AQ169" s="557"/>
      <c r="AR169" s="557"/>
      <c r="AS169" s="557"/>
      <c r="AT169" s="557"/>
      <c r="AU169" s="557"/>
      <c r="AV169" s="557"/>
      <c r="AW169" s="557"/>
      <c r="AX169" s="557"/>
      <c r="AY169" s="557"/>
      <c r="AZ169" s="557"/>
      <c r="BA169" s="557"/>
      <c r="BB169" s="557"/>
      <c r="BC169" s="557"/>
      <c r="BD169" s="553"/>
      <c r="BE169" s="596"/>
      <c r="BF169" s="596"/>
      <c r="BG169" s="596"/>
      <c r="BH169" s="596"/>
      <c r="BI169" s="596"/>
      <c r="BJ169" s="596"/>
      <c r="BK169" s="596"/>
      <c r="BL169" s="596"/>
      <c r="BM169" s="596"/>
      <c r="BN169" s="596"/>
      <c r="BO169" s="596"/>
      <c r="BP169" s="596"/>
      <c r="BQ169" s="596"/>
      <c r="BR169" s="596"/>
      <c r="BS169" s="596"/>
      <c r="BT169" s="596"/>
    </row>
    <row r="170" spans="1:72" ht="15">
      <c r="A170" s="539"/>
      <c r="B170" s="539"/>
      <c r="C170" s="539"/>
      <c r="D170" s="539"/>
      <c r="E170" s="539"/>
      <c r="F170" s="539"/>
      <c r="G170" s="539"/>
      <c r="H170" s="539"/>
      <c r="I170" s="539"/>
      <c r="J170" s="539"/>
      <c r="K170" s="539"/>
      <c r="L170" s="539"/>
      <c r="M170" s="539"/>
      <c r="N170" s="539"/>
      <c r="O170" s="539"/>
      <c r="P170" s="539"/>
      <c r="Q170" s="539"/>
      <c r="R170" s="539"/>
      <c r="S170" s="557"/>
      <c r="T170" s="557"/>
      <c r="U170" s="557"/>
      <c r="V170" s="557"/>
      <c r="W170" s="539"/>
      <c r="X170" s="539"/>
      <c r="Y170" s="557"/>
      <c r="Z170" s="557"/>
      <c r="AA170" s="539"/>
      <c r="AB170" s="539"/>
      <c r="AC170" s="539"/>
      <c r="AD170" s="557"/>
      <c r="AE170" s="557"/>
      <c r="AF170" s="557"/>
      <c r="AG170" s="557"/>
      <c r="AH170" s="557"/>
      <c r="AI170" s="557"/>
      <c r="AJ170" s="557"/>
      <c r="AK170" s="557"/>
      <c r="AL170" s="557"/>
      <c r="AM170" s="557"/>
      <c r="AN170" s="557"/>
      <c r="AO170" s="557"/>
      <c r="AP170" s="557"/>
      <c r="AQ170" s="557"/>
      <c r="AR170" s="557"/>
      <c r="AS170" s="557"/>
      <c r="AT170" s="557"/>
      <c r="AU170" s="557"/>
      <c r="AV170" s="557"/>
      <c r="AW170" s="557"/>
      <c r="AX170" s="557"/>
      <c r="AY170" s="557"/>
      <c r="AZ170" s="557"/>
      <c r="BA170" s="557"/>
      <c r="BB170" s="557"/>
      <c r="BC170" s="557"/>
      <c r="BD170" s="553"/>
      <c r="BE170" s="596"/>
      <c r="BF170" s="596"/>
      <c r="BG170" s="596"/>
      <c r="BH170" s="596"/>
      <c r="BI170" s="596"/>
      <c r="BJ170" s="596"/>
      <c r="BK170" s="596"/>
      <c r="BL170" s="596"/>
      <c r="BM170" s="596"/>
      <c r="BN170" s="596"/>
      <c r="BO170" s="596"/>
      <c r="BP170" s="596"/>
      <c r="BQ170" s="596"/>
      <c r="BR170" s="596"/>
      <c r="BS170" s="596"/>
      <c r="BT170" s="596"/>
    </row>
    <row r="171" spans="1:72" ht="15">
      <c r="A171" s="539"/>
      <c r="B171" s="539"/>
      <c r="C171" s="539"/>
      <c r="D171" s="539"/>
      <c r="E171" s="539"/>
      <c r="F171" s="539"/>
      <c r="G171" s="539"/>
      <c r="H171" s="539"/>
      <c r="I171" s="539"/>
      <c r="J171" s="539"/>
      <c r="K171" s="539"/>
      <c r="L171" s="539"/>
      <c r="M171" s="539"/>
      <c r="N171" s="539"/>
      <c r="O171" s="539"/>
      <c r="P171" s="539"/>
      <c r="Q171" s="539"/>
      <c r="R171" s="539"/>
      <c r="S171" s="557"/>
      <c r="T171" s="557"/>
      <c r="U171" s="557"/>
      <c r="V171" s="557"/>
      <c r="W171" s="539"/>
      <c r="X171" s="539"/>
      <c r="Y171" s="557"/>
      <c r="Z171" s="557"/>
      <c r="AA171" s="539"/>
      <c r="AB171" s="539"/>
      <c r="AC171" s="539"/>
      <c r="AD171" s="557"/>
      <c r="AE171" s="557"/>
      <c r="AF171" s="557"/>
      <c r="AG171" s="557"/>
      <c r="AH171" s="557"/>
      <c r="AI171" s="557"/>
      <c r="AJ171" s="557"/>
      <c r="AK171" s="557"/>
      <c r="AL171" s="557"/>
      <c r="AM171" s="557"/>
      <c r="AN171" s="557"/>
      <c r="AO171" s="557"/>
      <c r="AP171" s="557"/>
      <c r="AQ171" s="557"/>
      <c r="AR171" s="557"/>
      <c r="AS171" s="557"/>
      <c r="AT171" s="557"/>
      <c r="AU171" s="557"/>
      <c r="AV171" s="557"/>
      <c r="AW171" s="557"/>
      <c r="AX171" s="557"/>
      <c r="AY171" s="557"/>
      <c r="AZ171" s="557"/>
      <c r="BA171" s="557"/>
      <c r="BB171" s="557"/>
      <c r="BC171" s="557"/>
      <c r="BD171" s="553"/>
      <c r="BE171" s="596"/>
      <c r="BF171" s="596"/>
      <c r="BG171" s="596"/>
      <c r="BH171" s="596"/>
      <c r="BI171" s="596"/>
      <c r="BJ171" s="596"/>
      <c r="BK171" s="596"/>
      <c r="BL171" s="596"/>
      <c r="BM171" s="596"/>
      <c r="BN171" s="596"/>
      <c r="BO171" s="596"/>
      <c r="BP171" s="596"/>
      <c r="BQ171" s="596"/>
      <c r="BR171" s="596"/>
      <c r="BS171" s="596"/>
      <c r="BT171" s="596"/>
    </row>
    <row r="172" spans="1:72" ht="15">
      <c r="A172" s="539"/>
      <c r="B172" s="539"/>
      <c r="C172" s="539"/>
      <c r="D172" s="539"/>
      <c r="E172" s="539"/>
      <c r="F172" s="539"/>
      <c r="G172" s="539"/>
      <c r="H172" s="539"/>
      <c r="I172" s="539"/>
      <c r="J172" s="539"/>
      <c r="K172" s="539"/>
      <c r="L172" s="539"/>
      <c r="M172" s="539"/>
      <c r="N172" s="539"/>
      <c r="O172" s="539"/>
      <c r="P172" s="539"/>
      <c r="Q172" s="539"/>
      <c r="R172" s="539"/>
      <c r="S172" s="557"/>
      <c r="T172" s="557"/>
      <c r="U172" s="557"/>
      <c r="V172" s="557"/>
      <c r="W172" s="539"/>
      <c r="X172" s="539"/>
      <c r="Y172" s="557"/>
      <c r="Z172" s="557"/>
      <c r="AA172" s="539"/>
      <c r="AB172" s="539"/>
      <c r="AC172" s="539"/>
      <c r="AD172" s="557"/>
      <c r="AE172" s="557"/>
      <c r="AF172" s="557"/>
      <c r="AG172" s="557"/>
      <c r="AH172" s="557"/>
      <c r="AI172" s="557"/>
      <c r="AJ172" s="557"/>
      <c r="AK172" s="557"/>
      <c r="AL172" s="557"/>
      <c r="AM172" s="557"/>
      <c r="AN172" s="557"/>
      <c r="AO172" s="557"/>
      <c r="AP172" s="557"/>
      <c r="AQ172" s="557"/>
      <c r="AR172" s="557"/>
      <c r="AS172" s="557"/>
      <c r="AT172" s="557"/>
      <c r="AU172" s="557"/>
      <c r="AV172" s="557"/>
      <c r="AW172" s="557"/>
      <c r="AX172" s="557"/>
      <c r="AY172" s="557"/>
      <c r="AZ172" s="557"/>
      <c r="BA172" s="557"/>
      <c r="BB172" s="557"/>
      <c r="BC172" s="557"/>
      <c r="BD172" s="553"/>
      <c r="BE172" s="596"/>
      <c r="BF172" s="596"/>
      <c r="BG172" s="596"/>
      <c r="BH172" s="596"/>
      <c r="BI172" s="596"/>
      <c r="BJ172" s="596"/>
      <c r="BK172" s="596"/>
      <c r="BL172" s="596"/>
      <c r="BM172" s="596"/>
      <c r="BN172" s="596"/>
      <c r="BO172" s="596"/>
      <c r="BP172" s="596"/>
      <c r="BQ172" s="596"/>
      <c r="BR172" s="596"/>
      <c r="BS172" s="596"/>
      <c r="BT172" s="596"/>
    </row>
    <row r="173" spans="1:72" ht="15">
      <c r="A173" s="539"/>
      <c r="B173" s="539"/>
      <c r="C173" s="539"/>
      <c r="D173" s="539"/>
      <c r="E173" s="539"/>
      <c r="F173" s="539"/>
      <c r="G173" s="539"/>
      <c r="H173" s="539"/>
      <c r="I173" s="539"/>
      <c r="J173" s="539"/>
      <c r="K173" s="539"/>
      <c r="L173" s="539"/>
      <c r="M173" s="539"/>
      <c r="N173" s="539"/>
      <c r="O173" s="539"/>
      <c r="P173" s="539"/>
      <c r="Q173" s="539"/>
      <c r="R173" s="539"/>
      <c r="S173" s="557"/>
      <c r="T173" s="557"/>
      <c r="U173" s="557"/>
      <c r="V173" s="557"/>
      <c r="W173" s="539"/>
      <c r="X173" s="539"/>
      <c r="Y173" s="557"/>
      <c r="Z173" s="557"/>
      <c r="AA173" s="539"/>
      <c r="AB173" s="539"/>
      <c r="AC173" s="539"/>
      <c r="AD173" s="557"/>
      <c r="AE173" s="557"/>
      <c r="AF173" s="557"/>
      <c r="AG173" s="557"/>
      <c r="AH173" s="557"/>
      <c r="AI173" s="557"/>
      <c r="AJ173" s="557"/>
      <c r="AK173" s="557"/>
      <c r="AL173" s="557"/>
      <c r="AM173" s="557"/>
      <c r="AN173" s="557"/>
      <c r="AO173" s="557"/>
      <c r="AP173" s="557"/>
      <c r="AQ173" s="557"/>
      <c r="AR173" s="557"/>
      <c r="AS173" s="557"/>
      <c r="AT173" s="557"/>
      <c r="AU173" s="557"/>
      <c r="AV173" s="557"/>
      <c r="AW173" s="557"/>
      <c r="AX173" s="557"/>
      <c r="AY173" s="557"/>
      <c r="AZ173" s="557"/>
      <c r="BA173" s="557"/>
      <c r="BB173" s="557"/>
      <c r="BC173" s="557"/>
      <c r="BD173" s="553"/>
      <c r="BE173" s="596"/>
      <c r="BF173" s="596"/>
      <c r="BG173" s="596"/>
      <c r="BH173" s="596"/>
      <c r="BI173" s="596"/>
      <c r="BJ173" s="596"/>
      <c r="BK173" s="596"/>
      <c r="BL173" s="596"/>
      <c r="BM173" s="596"/>
      <c r="BN173" s="596"/>
      <c r="BO173" s="596"/>
      <c r="BP173" s="596"/>
      <c r="BQ173" s="596"/>
      <c r="BR173" s="596"/>
      <c r="BS173" s="596"/>
      <c r="BT173" s="596"/>
    </row>
    <row r="174" spans="1:72" ht="15">
      <c r="A174" s="539"/>
      <c r="B174" s="539"/>
      <c r="C174" s="539"/>
      <c r="D174" s="539"/>
      <c r="E174" s="539"/>
      <c r="F174" s="539"/>
      <c r="G174" s="539"/>
      <c r="H174" s="539"/>
      <c r="I174" s="539"/>
      <c r="J174" s="539"/>
      <c r="K174" s="539"/>
      <c r="L174" s="539"/>
      <c r="M174" s="539"/>
      <c r="N174" s="539"/>
      <c r="O174" s="539"/>
      <c r="P174" s="539"/>
      <c r="Q174" s="539"/>
      <c r="R174" s="539"/>
      <c r="S174" s="557"/>
      <c r="T174" s="557"/>
      <c r="U174" s="557"/>
      <c r="V174" s="557"/>
      <c r="W174" s="539"/>
      <c r="X174" s="539"/>
      <c r="Y174" s="557"/>
      <c r="Z174" s="557"/>
      <c r="AA174" s="539"/>
      <c r="AB174" s="539"/>
      <c r="AC174" s="539"/>
      <c r="AD174" s="557"/>
      <c r="AE174" s="557"/>
      <c r="AF174" s="557"/>
      <c r="AG174" s="557"/>
      <c r="AH174" s="557"/>
      <c r="AI174" s="557"/>
      <c r="AJ174" s="557"/>
      <c r="AK174" s="557"/>
      <c r="AL174" s="557"/>
      <c r="AM174" s="557"/>
      <c r="AN174" s="557"/>
      <c r="AO174" s="557"/>
      <c r="AP174" s="557"/>
      <c r="AQ174" s="557"/>
      <c r="AR174" s="557"/>
      <c r="AS174" s="557"/>
      <c r="AT174" s="557"/>
      <c r="AU174" s="557"/>
      <c r="AV174" s="557"/>
      <c r="AW174" s="557"/>
      <c r="AX174" s="557"/>
      <c r="AY174" s="557"/>
      <c r="AZ174" s="557"/>
      <c r="BA174" s="557"/>
      <c r="BB174" s="557"/>
      <c r="BC174" s="557"/>
      <c r="BD174" s="553"/>
      <c r="BE174" s="596"/>
      <c r="BF174" s="596"/>
      <c r="BG174" s="596"/>
      <c r="BH174" s="596"/>
      <c r="BI174" s="596"/>
      <c r="BJ174" s="596"/>
      <c r="BK174" s="596"/>
      <c r="BL174" s="596"/>
      <c r="BM174" s="596"/>
      <c r="BN174" s="596"/>
      <c r="BO174" s="596"/>
      <c r="BP174" s="596"/>
      <c r="BQ174" s="596"/>
      <c r="BR174" s="596"/>
      <c r="BS174" s="596"/>
      <c r="BT174" s="596"/>
    </row>
    <row r="175" spans="1:72" ht="15">
      <c r="A175" s="539"/>
      <c r="B175" s="539"/>
      <c r="C175" s="539"/>
      <c r="D175" s="539"/>
      <c r="E175" s="539"/>
      <c r="F175" s="539"/>
      <c r="G175" s="539"/>
      <c r="H175" s="539"/>
      <c r="I175" s="539"/>
      <c r="J175" s="539"/>
      <c r="K175" s="539"/>
      <c r="L175" s="539"/>
      <c r="M175" s="539"/>
      <c r="N175" s="539"/>
      <c r="O175" s="539"/>
      <c r="P175" s="539"/>
      <c r="Q175" s="539"/>
      <c r="R175" s="539"/>
      <c r="S175" s="557"/>
      <c r="T175" s="557"/>
      <c r="U175" s="557"/>
      <c r="V175" s="557"/>
      <c r="W175" s="539"/>
      <c r="X175" s="539"/>
      <c r="Y175" s="557"/>
      <c r="Z175" s="557"/>
      <c r="AA175" s="539"/>
      <c r="AB175" s="539"/>
      <c r="AC175" s="539"/>
      <c r="AD175" s="557"/>
      <c r="AE175" s="557"/>
      <c r="AF175" s="557"/>
      <c r="AG175" s="557"/>
      <c r="AH175" s="557"/>
      <c r="AI175" s="557"/>
      <c r="AJ175" s="557"/>
      <c r="AK175" s="557"/>
      <c r="AL175" s="557"/>
      <c r="AM175" s="557"/>
      <c r="AN175" s="557"/>
      <c r="AO175" s="557"/>
      <c r="AP175" s="557"/>
      <c r="AQ175" s="557"/>
      <c r="AR175" s="557"/>
      <c r="AS175" s="557"/>
      <c r="AT175" s="557"/>
      <c r="AU175" s="557"/>
      <c r="AV175" s="557"/>
      <c r="AW175" s="557"/>
      <c r="AX175" s="557"/>
      <c r="AY175" s="557"/>
      <c r="AZ175" s="557"/>
      <c r="BA175" s="557"/>
      <c r="BB175" s="557"/>
      <c r="BC175" s="557"/>
      <c r="BD175" s="553"/>
      <c r="BE175" s="596"/>
      <c r="BF175" s="596"/>
      <c r="BG175" s="596"/>
      <c r="BH175" s="596"/>
      <c r="BI175" s="596"/>
      <c r="BJ175" s="596"/>
      <c r="BK175" s="596"/>
      <c r="BL175" s="596"/>
      <c r="BM175" s="596"/>
      <c r="BN175" s="596"/>
      <c r="BO175" s="596"/>
      <c r="BP175" s="596"/>
      <c r="BQ175" s="596"/>
      <c r="BR175" s="596"/>
      <c r="BS175" s="596"/>
      <c r="BT175" s="596"/>
    </row>
    <row r="176" spans="1:72" ht="15">
      <c r="A176" s="539"/>
      <c r="B176" s="539"/>
      <c r="C176" s="539"/>
      <c r="D176" s="539"/>
      <c r="E176" s="539"/>
      <c r="F176" s="539"/>
      <c r="G176" s="539"/>
      <c r="H176" s="539"/>
      <c r="I176" s="539"/>
      <c r="J176" s="539"/>
      <c r="K176" s="539"/>
      <c r="L176" s="539"/>
      <c r="M176" s="539"/>
      <c r="N176" s="539"/>
      <c r="O176" s="539"/>
      <c r="P176" s="539"/>
      <c r="Q176" s="539"/>
      <c r="R176" s="539"/>
      <c r="S176" s="557"/>
      <c r="T176" s="557"/>
      <c r="U176" s="557"/>
      <c r="V176" s="557"/>
      <c r="W176" s="539"/>
      <c r="X176" s="539"/>
      <c r="Y176" s="557"/>
      <c r="Z176" s="557"/>
      <c r="AA176" s="539"/>
      <c r="AB176" s="539"/>
      <c r="AC176" s="539"/>
      <c r="AD176" s="557"/>
      <c r="AE176" s="557"/>
      <c r="AF176" s="557"/>
      <c r="AG176" s="557"/>
      <c r="AH176" s="557"/>
      <c r="AI176" s="557"/>
      <c r="AJ176" s="557"/>
      <c r="AK176" s="557"/>
      <c r="AL176" s="557"/>
      <c r="AM176" s="557"/>
      <c r="AN176" s="557"/>
      <c r="AO176" s="557"/>
      <c r="AP176" s="557"/>
      <c r="AQ176" s="557"/>
      <c r="AR176" s="557"/>
      <c r="AS176" s="557"/>
      <c r="AT176" s="557"/>
      <c r="AU176" s="557"/>
      <c r="AV176" s="557"/>
      <c r="AW176" s="557"/>
      <c r="AX176" s="557"/>
      <c r="AY176" s="557"/>
      <c r="AZ176" s="557"/>
      <c r="BA176" s="557"/>
      <c r="BB176" s="557"/>
      <c r="BC176" s="557"/>
      <c r="BD176" s="553"/>
      <c r="BE176" s="596"/>
      <c r="BF176" s="596"/>
      <c r="BG176" s="596"/>
      <c r="BH176" s="596"/>
      <c r="BI176" s="596"/>
      <c r="BJ176" s="596"/>
      <c r="BK176" s="596"/>
      <c r="BL176" s="596"/>
      <c r="BM176" s="596"/>
      <c r="BN176" s="596"/>
      <c r="BO176" s="596"/>
      <c r="BP176" s="596"/>
      <c r="BQ176" s="596"/>
      <c r="BR176" s="596"/>
      <c r="BS176" s="596"/>
      <c r="BT176" s="596"/>
    </row>
    <row r="177" spans="1:72" ht="15">
      <c r="A177" s="539"/>
      <c r="B177" s="539"/>
      <c r="C177" s="539"/>
      <c r="D177" s="539"/>
      <c r="E177" s="539"/>
      <c r="F177" s="539"/>
      <c r="G177" s="539"/>
      <c r="H177" s="539"/>
      <c r="I177" s="539"/>
      <c r="J177" s="539"/>
      <c r="K177" s="539"/>
      <c r="L177" s="539"/>
      <c r="M177" s="539"/>
      <c r="N177" s="539"/>
      <c r="O177" s="539"/>
      <c r="P177" s="539"/>
      <c r="Q177" s="539"/>
      <c r="R177" s="539"/>
      <c r="S177" s="557"/>
      <c r="T177" s="557"/>
      <c r="U177" s="557"/>
      <c r="V177" s="557"/>
      <c r="W177" s="539"/>
      <c r="X177" s="539"/>
      <c r="Y177" s="557"/>
      <c r="Z177" s="557"/>
      <c r="AA177" s="539"/>
      <c r="AB177" s="539"/>
      <c r="AC177" s="539"/>
      <c r="AD177" s="557"/>
      <c r="AE177" s="557"/>
      <c r="AF177" s="557"/>
      <c r="AG177" s="557"/>
      <c r="AH177" s="557"/>
      <c r="AI177" s="557"/>
      <c r="AJ177" s="557"/>
      <c r="AK177" s="557"/>
      <c r="AL177" s="557"/>
      <c r="AM177" s="557"/>
      <c r="AN177" s="557"/>
      <c r="AO177" s="557"/>
      <c r="AP177" s="557"/>
      <c r="AQ177" s="557"/>
      <c r="AR177" s="557"/>
      <c r="AS177" s="557"/>
      <c r="AT177" s="557"/>
      <c r="AU177" s="557"/>
      <c r="AV177" s="557"/>
      <c r="AW177" s="557"/>
      <c r="AX177" s="557"/>
      <c r="AY177" s="557"/>
      <c r="AZ177" s="557"/>
      <c r="BA177" s="557"/>
      <c r="BB177" s="557"/>
      <c r="BC177" s="557"/>
      <c r="BD177" s="553"/>
      <c r="BE177" s="596"/>
      <c r="BF177" s="596"/>
      <c r="BG177" s="596"/>
      <c r="BH177" s="596"/>
      <c r="BI177" s="596"/>
      <c r="BJ177" s="596"/>
      <c r="BK177" s="596"/>
      <c r="BL177" s="596"/>
      <c r="BM177" s="596"/>
      <c r="BN177" s="596"/>
      <c r="BO177" s="596"/>
      <c r="BP177" s="596"/>
      <c r="BQ177" s="596"/>
      <c r="BR177" s="596"/>
      <c r="BS177" s="596"/>
      <c r="BT177" s="596"/>
    </row>
    <row r="178" spans="1:72" ht="15">
      <c r="A178" s="539"/>
      <c r="B178" s="539"/>
      <c r="C178" s="539"/>
      <c r="D178" s="539"/>
      <c r="E178" s="539"/>
      <c r="F178" s="539"/>
      <c r="G178" s="539"/>
      <c r="H178" s="539"/>
      <c r="I178" s="539"/>
      <c r="J178" s="539"/>
      <c r="K178" s="539"/>
      <c r="L178" s="539"/>
      <c r="M178" s="539"/>
      <c r="N178" s="539"/>
      <c r="O178" s="539"/>
      <c r="P178" s="539"/>
      <c r="Q178" s="539"/>
      <c r="R178" s="539"/>
      <c r="S178" s="557"/>
      <c r="T178" s="557"/>
      <c r="U178" s="557"/>
      <c r="V178" s="557"/>
      <c r="W178" s="539"/>
      <c r="X178" s="539"/>
      <c r="Y178" s="557"/>
      <c r="Z178" s="557"/>
      <c r="AA178" s="539"/>
      <c r="AB178" s="539"/>
      <c r="AC178" s="539"/>
      <c r="AD178" s="557"/>
      <c r="AE178" s="557"/>
      <c r="AF178" s="557"/>
      <c r="AG178" s="557"/>
      <c r="AH178" s="557"/>
      <c r="AI178" s="557"/>
      <c r="AJ178" s="557"/>
      <c r="AK178" s="557"/>
      <c r="AL178" s="557"/>
      <c r="AM178" s="557"/>
      <c r="AN178" s="557"/>
      <c r="AO178" s="557"/>
      <c r="AP178" s="557"/>
      <c r="AQ178" s="557"/>
      <c r="AR178" s="557"/>
      <c r="AS178" s="557"/>
      <c r="AT178" s="557"/>
      <c r="AU178" s="557"/>
      <c r="AV178" s="557"/>
      <c r="AW178" s="557"/>
      <c r="AX178" s="557"/>
      <c r="AY178" s="557"/>
      <c r="AZ178" s="557"/>
      <c r="BA178" s="557"/>
      <c r="BB178" s="557"/>
      <c r="BC178" s="557"/>
      <c r="BD178" s="553"/>
      <c r="BE178" s="596"/>
      <c r="BF178" s="596"/>
      <c r="BG178" s="596"/>
      <c r="BH178" s="596"/>
      <c r="BI178" s="596"/>
      <c r="BJ178" s="596"/>
      <c r="BK178" s="596"/>
      <c r="BL178" s="596"/>
      <c r="BM178" s="596"/>
      <c r="BN178" s="596"/>
      <c r="BO178" s="596"/>
      <c r="BP178" s="596"/>
      <c r="BQ178" s="596"/>
      <c r="BR178" s="596"/>
      <c r="BS178" s="596"/>
      <c r="BT178" s="596"/>
    </row>
    <row r="179" spans="1:72" ht="15">
      <c r="A179" s="539"/>
      <c r="B179" s="539"/>
      <c r="C179" s="539"/>
      <c r="D179" s="539"/>
      <c r="E179" s="539"/>
      <c r="F179" s="539"/>
      <c r="G179" s="539"/>
      <c r="H179" s="539"/>
      <c r="I179" s="539"/>
      <c r="J179" s="539"/>
      <c r="K179" s="539"/>
      <c r="L179" s="539"/>
      <c r="M179" s="539"/>
      <c r="N179" s="539"/>
      <c r="O179" s="539"/>
      <c r="P179" s="539"/>
      <c r="Q179" s="539"/>
      <c r="R179" s="539"/>
      <c r="S179" s="557"/>
      <c r="T179" s="557"/>
      <c r="U179" s="557"/>
      <c r="V179" s="557"/>
      <c r="W179" s="539"/>
      <c r="X179" s="539"/>
      <c r="Y179" s="557"/>
      <c r="Z179" s="557"/>
      <c r="AA179" s="539"/>
      <c r="AB179" s="539"/>
      <c r="AC179" s="539"/>
      <c r="AD179" s="557"/>
      <c r="AE179" s="557"/>
      <c r="AF179" s="557"/>
      <c r="AG179" s="557"/>
      <c r="AH179" s="557"/>
      <c r="AI179" s="557"/>
      <c r="AJ179" s="557"/>
      <c r="AK179" s="557"/>
      <c r="AL179" s="557"/>
      <c r="AM179" s="557"/>
      <c r="AN179" s="557"/>
      <c r="AO179" s="557"/>
      <c r="AP179" s="557"/>
      <c r="AQ179" s="557"/>
      <c r="AR179" s="557"/>
      <c r="AS179" s="557"/>
      <c r="AT179" s="557"/>
      <c r="AU179" s="557"/>
      <c r="AV179" s="557"/>
      <c r="AW179" s="557"/>
      <c r="AX179" s="557"/>
      <c r="AY179" s="557"/>
      <c r="AZ179" s="557"/>
      <c r="BA179" s="557"/>
      <c r="BB179" s="557"/>
      <c r="BC179" s="557"/>
      <c r="BD179" s="553"/>
      <c r="BE179" s="596"/>
      <c r="BF179" s="596"/>
      <c r="BG179" s="596"/>
      <c r="BH179" s="596"/>
      <c r="BI179" s="596"/>
      <c r="BJ179" s="596"/>
      <c r="BK179" s="596"/>
      <c r="BL179" s="596"/>
      <c r="BM179" s="596"/>
      <c r="BN179" s="596"/>
      <c r="BO179" s="596"/>
      <c r="BP179" s="596"/>
      <c r="BQ179" s="596"/>
      <c r="BR179" s="596"/>
      <c r="BS179" s="596"/>
      <c r="BT179" s="596"/>
    </row>
    <row r="180" spans="1:72" ht="15">
      <c r="A180" s="539"/>
      <c r="B180" s="539"/>
      <c r="C180" s="539"/>
      <c r="D180" s="539"/>
      <c r="E180" s="539"/>
      <c r="F180" s="539"/>
      <c r="G180" s="539"/>
      <c r="H180" s="539"/>
      <c r="I180" s="539"/>
      <c r="J180" s="539"/>
      <c r="K180" s="539"/>
      <c r="L180" s="539"/>
      <c r="M180" s="539"/>
      <c r="N180" s="539"/>
      <c r="O180" s="539"/>
      <c r="P180" s="539"/>
      <c r="Q180" s="539"/>
      <c r="R180" s="539"/>
      <c r="S180" s="557"/>
      <c r="T180" s="557"/>
      <c r="U180" s="557"/>
      <c r="V180" s="557"/>
      <c r="W180" s="539"/>
      <c r="X180" s="539"/>
      <c r="Y180" s="557"/>
      <c r="Z180" s="557"/>
      <c r="AA180" s="539"/>
      <c r="AB180" s="539"/>
      <c r="AC180" s="539"/>
      <c r="AD180" s="557"/>
      <c r="AE180" s="557"/>
      <c r="AF180" s="557"/>
      <c r="AG180" s="557"/>
      <c r="AH180" s="557"/>
      <c r="AI180" s="557"/>
      <c r="AJ180" s="557"/>
      <c r="AK180" s="557"/>
      <c r="AL180" s="557"/>
      <c r="AM180" s="557"/>
      <c r="AN180" s="557"/>
      <c r="AO180" s="557"/>
      <c r="AP180" s="557"/>
      <c r="AQ180" s="557"/>
      <c r="AR180" s="557"/>
      <c r="AS180" s="557"/>
      <c r="AT180" s="557"/>
      <c r="AU180" s="557"/>
      <c r="AV180" s="557"/>
      <c r="AW180" s="557"/>
      <c r="AX180" s="557"/>
      <c r="AY180" s="557"/>
      <c r="AZ180" s="557"/>
      <c r="BA180" s="557"/>
      <c r="BB180" s="557"/>
      <c r="BC180" s="557"/>
      <c r="BD180" s="553"/>
      <c r="BE180" s="596"/>
      <c r="BF180" s="596"/>
      <c r="BG180" s="596"/>
      <c r="BH180" s="596"/>
      <c r="BI180" s="596"/>
      <c r="BJ180" s="596"/>
      <c r="BK180" s="596"/>
      <c r="BL180" s="596"/>
      <c r="BM180" s="596"/>
      <c r="BN180" s="596"/>
      <c r="BO180" s="596"/>
      <c r="BP180" s="596"/>
      <c r="BQ180" s="596"/>
      <c r="BR180" s="596"/>
      <c r="BS180" s="596"/>
      <c r="BT180" s="596"/>
    </row>
    <row r="181" spans="1:72" ht="15">
      <c r="A181" s="539"/>
      <c r="B181" s="539"/>
      <c r="C181" s="539"/>
      <c r="D181" s="539"/>
      <c r="E181" s="539"/>
      <c r="F181" s="539"/>
      <c r="G181" s="539"/>
      <c r="H181" s="539"/>
      <c r="I181" s="539"/>
      <c r="J181" s="539"/>
      <c r="K181" s="539"/>
      <c r="L181" s="539"/>
      <c r="M181" s="539"/>
      <c r="N181" s="539"/>
      <c r="O181" s="539"/>
      <c r="P181" s="539"/>
      <c r="Q181" s="539"/>
      <c r="R181" s="539"/>
      <c r="S181" s="557"/>
      <c r="T181" s="557"/>
      <c r="U181" s="557"/>
      <c r="V181" s="557"/>
      <c r="W181" s="539"/>
      <c r="X181" s="539"/>
      <c r="Y181" s="557"/>
      <c r="Z181" s="557"/>
      <c r="AA181" s="539"/>
      <c r="AB181" s="539"/>
      <c r="AC181" s="539"/>
      <c r="AD181" s="557"/>
      <c r="AE181" s="557"/>
      <c r="AF181" s="557"/>
      <c r="AG181" s="557"/>
      <c r="AH181" s="557"/>
      <c r="AI181" s="557"/>
      <c r="AJ181" s="557"/>
      <c r="AK181" s="557"/>
      <c r="AL181" s="557"/>
      <c r="AM181" s="557"/>
      <c r="AN181" s="557"/>
      <c r="AO181" s="557"/>
      <c r="AP181" s="557"/>
      <c r="AQ181" s="557"/>
      <c r="AR181" s="557"/>
      <c r="AS181" s="557"/>
      <c r="AT181" s="557"/>
      <c r="AU181" s="557"/>
      <c r="AV181" s="557"/>
      <c r="AW181" s="557"/>
      <c r="AX181" s="557"/>
      <c r="AY181" s="557"/>
      <c r="AZ181" s="557"/>
      <c r="BA181" s="557"/>
      <c r="BB181" s="557"/>
      <c r="BC181" s="557"/>
      <c r="BD181" s="553"/>
      <c r="BE181" s="596"/>
      <c r="BF181" s="596"/>
      <c r="BG181" s="596"/>
      <c r="BH181" s="596"/>
      <c r="BI181" s="596"/>
      <c r="BJ181" s="596"/>
      <c r="BK181" s="596"/>
      <c r="BL181" s="596"/>
      <c r="BM181" s="596"/>
      <c r="BN181" s="596"/>
      <c r="BO181" s="596"/>
      <c r="BP181" s="596"/>
      <c r="BQ181" s="596"/>
      <c r="BR181" s="596"/>
      <c r="BS181" s="596"/>
      <c r="BT181" s="596"/>
    </row>
    <row r="182" spans="1:72" ht="15">
      <c r="A182" s="539"/>
      <c r="B182" s="539"/>
      <c r="C182" s="539"/>
      <c r="D182" s="539"/>
      <c r="E182" s="539"/>
      <c r="F182" s="539"/>
      <c r="G182" s="539"/>
      <c r="H182" s="539"/>
      <c r="I182" s="539"/>
      <c r="J182" s="539"/>
      <c r="K182" s="539"/>
      <c r="L182" s="539"/>
      <c r="M182" s="539"/>
      <c r="N182" s="539"/>
      <c r="O182" s="539"/>
      <c r="P182" s="539"/>
      <c r="Q182" s="539"/>
      <c r="R182" s="539"/>
      <c r="S182" s="557"/>
      <c r="T182" s="557"/>
      <c r="U182" s="557"/>
      <c r="V182" s="557"/>
      <c r="W182" s="539"/>
      <c r="X182" s="539"/>
      <c r="Y182" s="557"/>
      <c r="Z182" s="557"/>
      <c r="AA182" s="539"/>
      <c r="AB182" s="539"/>
      <c r="AC182" s="539"/>
      <c r="AD182" s="557"/>
      <c r="AE182" s="557"/>
      <c r="AF182" s="557"/>
      <c r="AG182" s="557"/>
      <c r="AH182" s="557"/>
      <c r="AI182" s="557"/>
      <c r="AJ182" s="557"/>
      <c r="AK182" s="557"/>
      <c r="AL182" s="557"/>
      <c r="AM182" s="557"/>
      <c r="AN182" s="557"/>
      <c r="AO182" s="557"/>
      <c r="AP182" s="557"/>
      <c r="AQ182" s="557"/>
      <c r="AR182" s="557"/>
      <c r="AS182" s="557"/>
      <c r="AT182" s="557"/>
      <c r="AU182" s="557"/>
      <c r="AV182" s="557"/>
      <c r="AW182" s="557"/>
      <c r="AX182" s="557"/>
      <c r="AY182" s="557"/>
      <c r="AZ182" s="557"/>
      <c r="BA182" s="557"/>
      <c r="BB182" s="557"/>
      <c r="BC182" s="557"/>
      <c r="BD182" s="553"/>
      <c r="BE182" s="596"/>
      <c r="BF182" s="596"/>
      <c r="BG182" s="596"/>
      <c r="BH182" s="596"/>
      <c r="BI182" s="596"/>
      <c r="BJ182" s="596"/>
      <c r="BK182" s="596"/>
      <c r="BL182" s="596"/>
      <c r="BM182" s="596"/>
      <c r="BN182" s="596"/>
      <c r="BO182" s="596"/>
      <c r="BP182" s="596"/>
      <c r="BQ182" s="596"/>
      <c r="BR182" s="596"/>
      <c r="BS182" s="596"/>
      <c r="BT182" s="596"/>
    </row>
    <row r="183" spans="1:72" ht="15">
      <c r="A183" s="539"/>
      <c r="B183" s="539"/>
      <c r="C183" s="539"/>
      <c r="D183" s="539"/>
      <c r="E183" s="539"/>
      <c r="F183" s="539"/>
      <c r="G183" s="539"/>
      <c r="H183" s="539"/>
      <c r="I183" s="539"/>
      <c r="J183" s="539"/>
      <c r="K183" s="539"/>
      <c r="L183" s="539"/>
      <c r="M183" s="539"/>
      <c r="N183" s="539"/>
      <c r="O183" s="539"/>
      <c r="P183" s="539"/>
      <c r="Q183" s="539"/>
      <c r="R183" s="539"/>
      <c r="S183" s="557"/>
      <c r="T183" s="557"/>
      <c r="U183" s="557"/>
      <c r="V183" s="557"/>
      <c r="W183" s="539"/>
      <c r="X183" s="539"/>
      <c r="Y183" s="557"/>
      <c r="Z183" s="557"/>
      <c r="AA183" s="539"/>
      <c r="AB183" s="539"/>
      <c r="AC183" s="539"/>
      <c r="AD183" s="557"/>
      <c r="AE183" s="557"/>
      <c r="AF183" s="557"/>
      <c r="AG183" s="557"/>
      <c r="AH183" s="557"/>
      <c r="AI183" s="557"/>
      <c r="AJ183" s="557"/>
      <c r="AK183" s="557"/>
      <c r="AL183" s="557"/>
      <c r="AM183" s="557"/>
      <c r="AN183" s="557"/>
      <c r="AO183" s="557"/>
      <c r="AP183" s="557"/>
      <c r="AQ183" s="557"/>
      <c r="AR183" s="557"/>
      <c r="AS183" s="557"/>
      <c r="AT183" s="557"/>
      <c r="AU183" s="557"/>
      <c r="AV183" s="557"/>
      <c r="AW183" s="557"/>
      <c r="AX183" s="557"/>
      <c r="AY183" s="557"/>
      <c r="AZ183" s="557"/>
      <c r="BA183" s="557"/>
      <c r="BB183" s="557"/>
      <c r="BC183" s="557"/>
      <c r="BD183" s="553"/>
      <c r="BE183" s="596"/>
      <c r="BF183" s="596"/>
      <c r="BG183" s="596"/>
      <c r="BH183" s="596"/>
      <c r="BI183" s="596"/>
      <c r="BJ183" s="596"/>
      <c r="BK183" s="596"/>
      <c r="BL183" s="596"/>
      <c r="BM183" s="596"/>
      <c r="BN183" s="596"/>
      <c r="BO183" s="596"/>
      <c r="BP183" s="596"/>
      <c r="BQ183" s="596"/>
      <c r="BR183" s="596"/>
      <c r="BS183" s="596"/>
      <c r="BT183" s="596"/>
    </row>
    <row r="184" spans="1:72" ht="15">
      <c r="A184" s="539"/>
      <c r="B184" s="539"/>
      <c r="C184" s="539"/>
      <c r="D184" s="539"/>
      <c r="E184" s="539"/>
      <c r="F184" s="539"/>
      <c r="G184" s="539"/>
      <c r="H184" s="539"/>
      <c r="I184" s="539"/>
      <c r="J184" s="539"/>
      <c r="K184" s="539"/>
      <c r="L184" s="539"/>
      <c r="M184" s="539"/>
      <c r="N184" s="539"/>
      <c r="O184" s="539"/>
      <c r="P184" s="539"/>
      <c r="Q184" s="539"/>
      <c r="R184" s="539"/>
      <c r="S184" s="557"/>
      <c r="T184" s="557"/>
      <c r="U184" s="557"/>
      <c r="V184" s="557"/>
      <c r="W184" s="539"/>
      <c r="X184" s="539"/>
      <c r="Y184" s="557"/>
      <c r="Z184" s="557"/>
      <c r="AA184" s="539"/>
      <c r="AB184" s="539"/>
      <c r="AC184" s="539"/>
      <c r="AD184" s="557"/>
      <c r="AE184" s="557"/>
      <c r="AF184" s="557"/>
      <c r="AG184" s="557"/>
      <c r="AH184" s="557"/>
      <c r="AI184" s="557"/>
      <c r="AJ184" s="557"/>
      <c r="AK184" s="557"/>
      <c r="AL184" s="557"/>
      <c r="AM184" s="557"/>
      <c r="AN184" s="557"/>
      <c r="AO184" s="557"/>
      <c r="AP184" s="557"/>
      <c r="AQ184" s="557"/>
      <c r="AR184" s="557"/>
      <c r="AS184" s="557"/>
      <c r="AT184" s="557"/>
      <c r="AU184" s="557"/>
      <c r="AV184" s="557"/>
      <c r="AW184" s="557"/>
      <c r="AX184" s="557"/>
      <c r="AY184" s="557"/>
      <c r="AZ184" s="557"/>
      <c r="BA184" s="557"/>
      <c r="BB184" s="557"/>
      <c r="BC184" s="557"/>
      <c r="BD184" s="553"/>
      <c r="BE184" s="596"/>
      <c r="BF184" s="596"/>
      <c r="BG184" s="596"/>
      <c r="BH184" s="596"/>
      <c r="BI184" s="596"/>
      <c r="BJ184" s="596"/>
      <c r="BK184" s="596"/>
      <c r="BL184" s="596"/>
      <c r="BM184" s="596"/>
      <c r="BN184" s="596"/>
      <c r="BO184" s="596"/>
      <c r="BP184" s="596"/>
      <c r="BQ184" s="596"/>
      <c r="BR184" s="596"/>
      <c r="BS184" s="596"/>
      <c r="BT184" s="596"/>
    </row>
    <row r="185" spans="1:72" ht="15">
      <c r="A185" s="539"/>
      <c r="B185" s="539"/>
      <c r="C185" s="539"/>
      <c r="D185" s="539"/>
      <c r="E185" s="539"/>
      <c r="F185" s="539"/>
      <c r="G185" s="539"/>
      <c r="H185" s="539"/>
      <c r="I185" s="539"/>
      <c r="J185" s="539"/>
      <c r="K185" s="539"/>
      <c r="L185" s="539"/>
      <c r="M185" s="539"/>
      <c r="N185" s="539"/>
      <c r="O185" s="539"/>
      <c r="P185" s="539"/>
      <c r="Q185" s="539"/>
      <c r="R185" s="539"/>
      <c r="S185" s="557"/>
      <c r="T185" s="557"/>
      <c r="U185" s="557"/>
      <c r="V185" s="557"/>
      <c r="W185" s="539"/>
      <c r="X185" s="539"/>
      <c r="Y185" s="557"/>
      <c r="Z185" s="557"/>
      <c r="AA185" s="539"/>
      <c r="AB185" s="539"/>
      <c r="AC185" s="539"/>
      <c r="AD185" s="557"/>
      <c r="AE185" s="557"/>
      <c r="AF185" s="557"/>
      <c r="AG185" s="557"/>
      <c r="AH185" s="557"/>
      <c r="AI185" s="557"/>
      <c r="AJ185" s="557"/>
      <c r="AK185" s="557"/>
      <c r="AL185" s="557"/>
      <c r="AM185" s="557"/>
      <c r="AN185" s="557"/>
      <c r="AO185" s="557"/>
      <c r="AP185" s="557"/>
      <c r="AQ185" s="557"/>
      <c r="AR185" s="557"/>
      <c r="AS185" s="557"/>
      <c r="AT185" s="557"/>
      <c r="AU185" s="557"/>
      <c r="AV185" s="557"/>
      <c r="AW185" s="557"/>
      <c r="AX185" s="557"/>
      <c r="AY185" s="557"/>
      <c r="AZ185" s="557"/>
      <c r="BA185" s="557"/>
      <c r="BB185" s="557"/>
      <c r="BC185" s="557"/>
      <c r="BD185" s="553"/>
      <c r="BE185" s="596"/>
      <c r="BF185" s="596"/>
      <c r="BG185" s="596"/>
      <c r="BH185" s="596"/>
      <c r="BI185" s="596"/>
      <c r="BJ185" s="596"/>
      <c r="BK185" s="596"/>
      <c r="BL185" s="596"/>
      <c r="BM185" s="596"/>
      <c r="BN185" s="596"/>
      <c r="BO185" s="596"/>
      <c r="BP185" s="596"/>
      <c r="BQ185" s="596"/>
      <c r="BR185" s="596"/>
      <c r="BS185" s="596"/>
      <c r="BT185" s="596"/>
    </row>
    <row r="186" spans="1:72" ht="15">
      <c r="A186" s="539"/>
      <c r="B186" s="539"/>
      <c r="C186" s="539"/>
      <c r="D186" s="539"/>
      <c r="E186" s="539"/>
      <c r="F186" s="539"/>
      <c r="G186" s="539"/>
      <c r="H186" s="539"/>
      <c r="I186" s="539"/>
      <c r="J186" s="539"/>
      <c r="K186" s="539"/>
      <c r="L186" s="539"/>
      <c r="M186" s="539"/>
      <c r="N186" s="539"/>
      <c r="O186" s="539"/>
      <c r="P186" s="539"/>
      <c r="Q186" s="539"/>
      <c r="R186" s="539"/>
      <c r="S186" s="557"/>
      <c r="T186" s="557"/>
      <c r="U186" s="557"/>
      <c r="V186" s="557"/>
      <c r="W186" s="539"/>
      <c r="X186" s="539"/>
      <c r="Y186" s="557"/>
      <c r="Z186" s="557"/>
      <c r="AA186" s="539"/>
      <c r="AB186" s="539"/>
      <c r="AC186" s="539"/>
      <c r="AD186" s="557"/>
      <c r="AE186" s="557"/>
      <c r="AF186" s="557"/>
      <c r="AG186" s="557"/>
      <c r="AH186" s="557"/>
      <c r="AI186" s="557"/>
      <c r="AJ186" s="557"/>
      <c r="AK186" s="557"/>
      <c r="AL186" s="557"/>
      <c r="AM186" s="557"/>
      <c r="AN186" s="557"/>
      <c r="AO186" s="557"/>
      <c r="AP186" s="557"/>
      <c r="AQ186" s="557"/>
      <c r="AR186" s="557"/>
      <c r="AS186" s="557"/>
      <c r="AT186" s="557"/>
      <c r="AU186" s="557"/>
      <c r="AV186" s="557"/>
      <c r="AW186" s="557"/>
      <c r="AX186" s="557"/>
      <c r="AY186" s="557"/>
      <c r="AZ186" s="557"/>
      <c r="BA186" s="557"/>
      <c r="BB186" s="557"/>
      <c r="BC186" s="557"/>
      <c r="BD186" s="553"/>
      <c r="BE186" s="596"/>
      <c r="BF186" s="596"/>
      <c r="BG186" s="596"/>
      <c r="BH186" s="596"/>
      <c r="BI186" s="596"/>
      <c r="BJ186" s="596"/>
      <c r="BK186" s="596"/>
      <c r="BL186" s="596"/>
      <c r="BM186" s="596"/>
      <c r="BN186" s="596"/>
      <c r="BO186" s="596"/>
      <c r="BP186" s="596"/>
      <c r="BQ186" s="596"/>
      <c r="BR186" s="596"/>
      <c r="BS186" s="596"/>
      <c r="BT186" s="596"/>
    </row>
    <row r="187" spans="1:72" ht="15">
      <c r="A187" s="539"/>
      <c r="B187" s="539"/>
      <c r="C187" s="539"/>
      <c r="D187" s="539"/>
      <c r="E187" s="539"/>
      <c r="F187" s="539"/>
      <c r="G187" s="539"/>
      <c r="H187" s="539"/>
      <c r="I187" s="539"/>
      <c r="J187" s="539"/>
      <c r="K187" s="539"/>
      <c r="L187" s="539"/>
      <c r="M187" s="539"/>
      <c r="N187" s="539"/>
      <c r="O187" s="539"/>
      <c r="P187" s="539"/>
      <c r="Q187" s="539"/>
      <c r="R187" s="539"/>
      <c r="S187" s="557"/>
      <c r="T187" s="557"/>
      <c r="U187" s="557"/>
      <c r="V187" s="557"/>
      <c r="W187" s="539"/>
      <c r="X187" s="539"/>
      <c r="Y187" s="557"/>
      <c r="Z187" s="557"/>
      <c r="AA187" s="539"/>
      <c r="AB187" s="539"/>
      <c r="AC187" s="539"/>
      <c r="AD187" s="557"/>
      <c r="AE187" s="557"/>
      <c r="AF187" s="557"/>
      <c r="AG187" s="557"/>
      <c r="AH187" s="557"/>
      <c r="AI187" s="557"/>
      <c r="AJ187" s="557"/>
      <c r="AK187" s="557"/>
      <c r="AL187" s="557"/>
      <c r="AM187" s="557"/>
      <c r="AN187" s="557"/>
      <c r="AO187" s="557"/>
      <c r="AP187" s="557"/>
      <c r="AQ187" s="557"/>
      <c r="AR187" s="557"/>
      <c r="AS187" s="557"/>
      <c r="AT187" s="557"/>
      <c r="AU187" s="557"/>
      <c r="AV187" s="557"/>
      <c r="AW187" s="557"/>
      <c r="AX187" s="557"/>
      <c r="AY187" s="557"/>
      <c r="AZ187" s="557"/>
      <c r="BA187" s="557"/>
      <c r="BB187" s="557"/>
      <c r="BC187" s="557"/>
      <c r="BD187" s="553"/>
      <c r="BE187" s="596"/>
      <c r="BF187" s="596"/>
      <c r="BG187" s="596"/>
      <c r="BH187" s="596"/>
      <c r="BI187" s="596"/>
      <c r="BJ187" s="596"/>
      <c r="BK187" s="596"/>
      <c r="BL187" s="596"/>
      <c r="BM187" s="596"/>
      <c r="BN187" s="596"/>
      <c r="BO187" s="596"/>
      <c r="BP187" s="596"/>
      <c r="BQ187" s="596"/>
      <c r="BR187" s="596"/>
      <c r="BS187" s="596"/>
      <c r="BT187" s="596"/>
    </row>
    <row r="188" spans="1:72" ht="15">
      <c r="A188" s="539"/>
      <c r="B188" s="539"/>
      <c r="C188" s="539"/>
      <c r="D188" s="539"/>
      <c r="E188" s="539"/>
      <c r="F188" s="539"/>
      <c r="G188" s="539"/>
      <c r="H188" s="539"/>
      <c r="I188" s="539"/>
      <c r="J188" s="539"/>
      <c r="K188" s="539"/>
      <c r="L188" s="539"/>
      <c r="M188" s="539"/>
      <c r="N188" s="539"/>
      <c r="O188" s="539"/>
      <c r="P188" s="539"/>
      <c r="Q188" s="539"/>
      <c r="R188" s="539"/>
      <c r="S188" s="557"/>
      <c r="T188" s="557"/>
      <c r="U188" s="557"/>
      <c r="V188" s="557"/>
      <c r="W188" s="539"/>
      <c r="X188" s="539"/>
      <c r="Y188" s="557"/>
      <c r="Z188" s="557"/>
      <c r="AA188" s="539"/>
      <c r="AB188" s="539"/>
      <c r="AC188" s="539"/>
      <c r="AD188" s="557"/>
      <c r="AE188" s="557"/>
      <c r="AF188" s="557"/>
      <c r="AG188" s="557"/>
      <c r="AH188" s="557"/>
      <c r="AI188" s="557"/>
      <c r="AJ188" s="557"/>
      <c r="AK188" s="557"/>
      <c r="AL188" s="557"/>
      <c r="AM188" s="557"/>
      <c r="AN188" s="557"/>
      <c r="AO188" s="557"/>
      <c r="AP188" s="557"/>
      <c r="AQ188" s="557"/>
      <c r="AR188" s="557"/>
      <c r="AS188" s="557"/>
      <c r="AT188" s="557"/>
      <c r="AU188" s="557"/>
      <c r="AV188" s="557"/>
      <c r="AW188" s="557"/>
      <c r="AX188" s="557"/>
      <c r="AY188" s="557"/>
      <c r="AZ188" s="557"/>
      <c r="BA188" s="557"/>
      <c r="BB188" s="557"/>
      <c r="BC188" s="557"/>
      <c r="BD188" s="553"/>
      <c r="BE188" s="596"/>
      <c r="BF188" s="596"/>
      <c r="BG188" s="596"/>
      <c r="BH188" s="596"/>
      <c r="BI188" s="596"/>
      <c r="BJ188" s="596"/>
      <c r="BK188" s="596"/>
      <c r="BL188" s="596"/>
      <c r="BM188" s="596"/>
      <c r="BN188" s="596"/>
      <c r="BO188" s="596"/>
      <c r="BP188" s="596"/>
      <c r="BQ188" s="596"/>
      <c r="BR188" s="596"/>
      <c r="BS188" s="596"/>
      <c r="BT188" s="596"/>
    </row>
    <row r="189" spans="1:72" ht="15">
      <c r="A189" s="539"/>
      <c r="B189" s="539"/>
      <c r="C189" s="539"/>
      <c r="D189" s="539"/>
      <c r="E189" s="539"/>
      <c r="F189" s="539"/>
      <c r="G189" s="539"/>
      <c r="H189" s="539"/>
      <c r="I189" s="539"/>
      <c r="J189" s="539"/>
      <c r="K189" s="539"/>
      <c r="L189" s="539"/>
      <c r="M189" s="539"/>
      <c r="N189" s="539"/>
      <c r="O189" s="539"/>
      <c r="P189" s="539"/>
      <c r="Q189" s="539"/>
      <c r="R189" s="539"/>
      <c r="S189" s="557"/>
      <c r="T189" s="557"/>
      <c r="U189" s="557"/>
      <c r="V189" s="557"/>
      <c r="W189" s="539"/>
      <c r="X189" s="539"/>
      <c r="Y189" s="557"/>
      <c r="Z189" s="557"/>
      <c r="AA189" s="539"/>
      <c r="AB189" s="539"/>
      <c r="AC189" s="539"/>
      <c r="AD189" s="557"/>
      <c r="AE189" s="557"/>
      <c r="AF189" s="557"/>
      <c r="AG189" s="557"/>
      <c r="AH189" s="557"/>
      <c r="AI189" s="557"/>
      <c r="AJ189" s="557"/>
      <c r="AK189" s="557"/>
      <c r="AL189" s="557"/>
      <c r="AM189" s="557"/>
      <c r="AN189" s="557"/>
      <c r="AO189" s="557"/>
      <c r="AP189" s="557"/>
      <c r="AQ189" s="557"/>
      <c r="AR189" s="557"/>
      <c r="AS189" s="557"/>
      <c r="AT189" s="557"/>
      <c r="AU189" s="557"/>
      <c r="AV189" s="557"/>
      <c r="AW189" s="557"/>
      <c r="AX189" s="557"/>
      <c r="AY189" s="557"/>
      <c r="AZ189" s="557"/>
      <c r="BA189" s="557"/>
      <c r="BB189" s="557"/>
      <c r="BC189" s="557"/>
      <c r="BD189" s="553"/>
      <c r="BE189" s="596"/>
      <c r="BF189" s="596"/>
      <c r="BG189" s="596"/>
      <c r="BH189" s="596"/>
      <c r="BI189" s="596"/>
      <c r="BJ189" s="596"/>
      <c r="BK189" s="596"/>
      <c r="BL189" s="596"/>
      <c r="BM189" s="596"/>
      <c r="BN189" s="596"/>
      <c r="BO189" s="596"/>
      <c r="BP189" s="596"/>
      <c r="BQ189" s="596"/>
      <c r="BR189" s="596"/>
      <c r="BS189" s="596"/>
      <c r="BT189" s="596"/>
    </row>
    <row r="190" spans="1:72" ht="15">
      <c r="A190" s="539"/>
      <c r="B190" s="539"/>
      <c r="C190" s="539"/>
      <c r="D190" s="539"/>
      <c r="E190" s="539"/>
      <c r="F190" s="539"/>
      <c r="G190" s="539"/>
      <c r="H190" s="539"/>
      <c r="I190" s="539"/>
      <c r="J190" s="539"/>
      <c r="K190" s="539"/>
      <c r="L190" s="539"/>
      <c r="M190" s="539"/>
      <c r="N190" s="539"/>
      <c r="O190" s="539"/>
      <c r="P190" s="539"/>
      <c r="Q190" s="539"/>
      <c r="R190" s="539"/>
      <c r="S190" s="557"/>
      <c r="T190" s="557"/>
      <c r="U190" s="557"/>
      <c r="V190" s="557"/>
      <c r="W190" s="539"/>
      <c r="X190" s="539"/>
      <c r="Y190" s="557"/>
      <c r="Z190" s="557"/>
      <c r="AA190" s="539"/>
      <c r="AB190" s="539"/>
      <c r="AC190" s="539"/>
      <c r="AD190" s="557"/>
      <c r="AE190" s="557"/>
      <c r="AF190" s="557"/>
      <c r="AG190" s="557"/>
      <c r="AH190" s="557"/>
      <c r="AI190" s="557"/>
      <c r="AJ190" s="557"/>
      <c r="AK190" s="557"/>
      <c r="AL190" s="557"/>
      <c r="AM190" s="557"/>
      <c r="AN190" s="557"/>
      <c r="AO190" s="557"/>
      <c r="AP190" s="557"/>
      <c r="AQ190" s="557"/>
      <c r="AR190" s="557"/>
      <c r="AS190" s="557"/>
      <c r="AT190" s="557"/>
      <c r="AU190" s="557"/>
      <c r="AV190" s="557"/>
      <c r="AW190" s="557"/>
      <c r="AX190" s="557"/>
      <c r="AY190" s="557"/>
      <c r="AZ190" s="557"/>
      <c r="BA190" s="557"/>
      <c r="BB190" s="557"/>
      <c r="BC190" s="557"/>
      <c r="BD190" s="553"/>
      <c r="BE190" s="596"/>
      <c r="BF190" s="596"/>
      <c r="BG190" s="596"/>
      <c r="BH190" s="596"/>
      <c r="BI190" s="596"/>
      <c r="BJ190" s="596"/>
      <c r="BK190" s="596"/>
      <c r="BL190" s="596"/>
      <c r="BM190" s="596"/>
      <c r="BN190" s="596"/>
      <c r="BO190" s="596"/>
      <c r="BP190" s="596"/>
      <c r="BQ190" s="596"/>
      <c r="BR190" s="596"/>
      <c r="BS190" s="596"/>
      <c r="BT190" s="596"/>
    </row>
    <row r="191" spans="1:72" ht="15">
      <c r="A191" s="539"/>
      <c r="B191" s="539"/>
      <c r="C191" s="539"/>
      <c r="D191" s="539"/>
      <c r="E191" s="539"/>
      <c r="F191" s="539"/>
      <c r="G191" s="539"/>
      <c r="H191" s="539"/>
      <c r="I191" s="539"/>
      <c r="J191" s="539"/>
      <c r="K191" s="539"/>
      <c r="L191" s="539"/>
      <c r="M191" s="539"/>
      <c r="N191" s="539"/>
      <c r="O191" s="539"/>
      <c r="P191" s="539"/>
      <c r="Q191" s="539"/>
      <c r="R191" s="539"/>
      <c r="S191" s="557"/>
      <c r="T191" s="557"/>
      <c r="U191" s="557"/>
      <c r="V191" s="557"/>
      <c r="W191" s="539"/>
      <c r="X191" s="539"/>
      <c r="Y191" s="557"/>
      <c r="Z191" s="557"/>
      <c r="AA191" s="539"/>
      <c r="AB191" s="539"/>
      <c r="AC191" s="539"/>
      <c r="AD191" s="557"/>
      <c r="AE191" s="557"/>
      <c r="AF191" s="557"/>
      <c r="AG191" s="557"/>
      <c r="AH191" s="557"/>
      <c r="AI191" s="557"/>
      <c r="AJ191" s="557"/>
      <c r="AK191" s="557"/>
      <c r="AL191" s="557"/>
      <c r="AM191" s="557"/>
      <c r="AN191" s="557"/>
      <c r="AO191" s="557"/>
      <c r="AP191" s="557"/>
      <c r="AQ191" s="557"/>
      <c r="AR191" s="557"/>
      <c r="AS191" s="557"/>
      <c r="AT191" s="557"/>
      <c r="AU191" s="557"/>
      <c r="AV191" s="557"/>
      <c r="AW191" s="557"/>
      <c r="AX191" s="557"/>
      <c r="AY191" s="557"/>
      <c r="AZ191" s="557"/>
      <c r="BA191" s="557"/>
      <c r="BB191" s="557"/>
      <c r="BC191" s="557"/>
      <c r="BD191" s="553"/>
      <c r="BE191" s="596"/>
      <c r="BF191" s="596"/>
      <c r="BG191" s="596"/>
      <c r="BH191" s="596"/>
      <c r="BI191" s="596"/>
      <c r="BJ191" s="596"/>
      <c r="BK191" s="596"/>
      <c r="BL191" s="596"/>
      <c r="BM191" s="596"/>
      <c r="BN191" s="596"/>
      <c r="BO191" s="596"/>
      <c r="BP191" s="596"/>
      <c r="BQ191" s="596"/>
      <c r="BR191" s="596"/>
      <c r="BS191" s="596"/>
      <c r="BT191" s="596"/>
    </row>
    <row r="192" spans="1:72" ht="15">
      <c r="A192" s="539"/>
      <c r="B192" s="539"/>
      <c r="C192" s="539"/>
      <c r="D192" s="539"/>
      <c r="E192" s="539"/>
      <c r="F192" s="539"/>
      <c r="G192" s="539"/>
      <c r="H192" s="539"/>
      <c r="I192" s="539"/>
      <c r="J192" s="539"/>
      <c r="K192" s="539"/>
      <c r="L192" s="539"/>
      <c r="M192" s="539"/>
      <c r="N192" s="539"/>
      <c r="O192" s="539"/>
      <c r="P192" s="539"/>
      <c r="Q192" s="539"/>
      <c r="R192" s="539"/>
      <c r="S192" s="557"/>
      <c r="T192" s="557"/>
      <c r="U192" s="557"/>
      <c r="V192" s="557"/>
      <c r="W192" s="539"/>
      <c r="X192" s="539"/>
      <c r="Y192" s="557"/>
      <c r="Z192" s="557"/>
      <c r="AA192" s="539"/>
      <c r="AB192" s="539"/>
      <c r="AC192" s="539"/>
      <c r="AD192" s="557"/>
      <c r="AE192" s="557"/>
      <c r="AF192" s="557"/>
      <c r="AG192" s="557"/>
      <c r="AH192" s="557"/>
      <c r="AI192" s="557"/>
      <c r="AJ192" s="557"/>
      <c r="AK192" s="557"/>
      <c r="AL192" s="557"/>
      <c r="AM192" s="557"/>
      <c r="AN192" s="557"/>
      <c r="AO192" s="557"/>
      <c r="AP192" s="557"/>
      <c r="AQ192" s="557"/>
      <c r="AR192" s="557"/>
      <c r="AS192" s="557"/>
      <c r="AT192" s="557"/>
      <c r="AU192" s="557"/>
      <c r="AV192" s="557"/>
      <c r="AW192" s="557"/>
      <c r="AX192" s="557"/>
      <c r="AY192" s="557"/>
      <c r="AZ192" s="557"/>
      <c r="BA192" s="557"/>
      <c r="BB192" s="557"/>
      <c r="BC192" s="557"/>
      <c r="BD192" s="553"/>
      <c r="BE192" s="596"/>
      <c r="BF192" s="596"/>
      <c r="BG192" s="596"/>
      <c r="BH192" s="596"/>
      <c r="BI192" s="596"/>
      <c r="BJ192" s="596"/>
      <c r="BK192" s="596"/>
      <c r="BL192" s="596"/>
      <c r="BM192" s="596"/>
      <c r="BN192" s="596"/>
      <c r="BO192" s="596"/>
      <c r="BP192" s="596"/>
      <c r="BQ192" s="596"/>
      <c r="BR192" s="596"/>
      <c r="BS192" s="596"/>
      <c r="BT192" s="596"/>
    </row>
    <row r="193" spans="1:72" ht="15">
      <c r="A193" s="539"/>
      <c r="B193" s="539"/>
      <c r="C193" s="539"/>
      <c r="D193" s="539"/>
      <c r="E193" s="539"/>
      <c r="F193" s="539"/>
      <c r="G193" s="539"/>
      <c r="H193" s="539"/>
      <c r="I193" s="539"/>
      <c r="J193" s="539"/>
      <c r="K193" s="539"/>
      <c r="L193" s="539"/>
      <c r="M193" s="539"/>
      <c r="N193" s="539"/>
      <c r="O193" s="539"/>
      <c r="P193" s="539"/>
      <c r="Q193" s="539"/>
      <c r="R193" s="539"/>
      <c r="S193" s="557"/>
      <c r="T193" s="557"/>
      <c r="U193" s="557"/>
      <c r="V193" s="557"/>
      <c r="W193" s="539"/>
      <c r="X193" s="539"/>
      <c r="Y193" s="557"/>
      <c r="Z193" s="557"/>
      <c r="AA193" s="539"/>
      <c r="AB193" s="539"/>
      <c r="AC193" s="539"/>
      <c r="AD193" s="557"/>
      <c r="AE193" s="557"/>
      <c r="AF193" s="557"/>
      <c r="AG193" s="557"/>
      <c r="AH193" s="557"/>
      <c r="AI193" s="557"/>
      <c r="AJ193" s="557"/>
      <c r="AK193" s="557"/>
      <c r="AL193" s="557"/>
      <c r="AM193" s="557"/>
      <c r="AN193" s="557"/>
      <c r="AO193" s="557"/>
      <c r="AP193" s="557"/>
      <c r="AQ193" s="557"/>
      <c r="AR193" s="557"/>
      <c r="AS193" s="557"/>
      <c r="AT193" s="557"/>
      <c r="AU193" s="557"/>
      <c r="AV193" s="557"/>
      <c r="AW193" s="557"/>
      <c r="AX193" s="557"/>
      <c r="AY193" s="557"/>
      <c r="AZ193" s="557"/>
      <c r="BA193" s="557"/>
      <c r="BB193" s="557"/>
      <c r="BC193" s="557"/>
      <c r="BD193" s="553"/>
      <c r="BE193" s="596"/>
      <c r="BF193" s="596"/>
      <c r="BG193" s="596"/>
      <c r="BH193" s="596"/>
      <c r="BI193" s="596"/>
      <c r="BJ193" s="596"/>
      <c r="BK193" s="596"/>
      <c r="BL193" s="596"/>
      <c r="BM193" s="596"/>
      <c r="BN193" s="596"/>
      <c r="BO193" s="596"/>
      <c r="BP193" s="596"/>
      <c r="BQ193" s="596"/>
      <c r="BR193" s="596"/>
      <c r="BS193" s="596"/>
      <c r="BT193" s="596"/>
    </row>
    <row r="194" spans="1:72" ht="15">
      <c r="A194" s="539"/>
      <c r="B194" s="539"/>
      <c r="C194" s="539"/>
      <c r="D194" s="539"/>
      <c r="E194" s="539"/>
      <c r="F194" s="539"/>
      <c r="G194" s="539"/>
      <c r="H194" s="539"/>
      <c r="I194" s="539"/>
      <c r="J194" s="539"/>
      <c r="K194" s="539"/>
      <c r="L194" s="539"/>
      <c r="M194" s="539"/>
      <c r="N194" s="539"/>
      <c r="O194" s="539"/>
      <c r="P194" s="539"/>
      <c r="Q194" s="539"/>
      <c r="R194" s="539"/>
      <c r="S194" s="557"/>
      <c r="T194" s="557"/>
      <c r="U194" s="557"/>
      <c r="V194" s="557"/>
      <c r="W194" s="539"/>
      <c r="X194" s="539"/>
      <c r="Y194" s="557"/>
      <c r="Z194" s="557"/>
      <c r="AA194" s="539"/>
      <c r="AB194" s="539"/>
      <c r="AC194" s="539"/>
      <c r="AD194" s="557"/>
      <c r="AE194" s="557"/>
      <c r="AF194" s="557"/>
      <c r="AG194" s="557"/>
      <c r="AH194" s="557"/>
      <c r="AI194" s="557"/>
      <c r="AJ194" s="557"/>
      <c r="AK194" s="557"/>
      <c r="AL194" s="557"/>
      <c r="AM194" s="557"/>
      <c r="AN194" s="557"/>
      <c r="AO194" s="557"/>
      <c r="AP194" s="557"/>
      <c r="AQ194" s="557"/>
      <c r="AR194" s="557"/>
      <c r="AS194" s="557"/>
      <c r="AT194" s="557"/>
      <c r="AU194" s="557"/>
      <c r="AV194" s="557"/>
      <c r="AW194" s="557"/>
      <c r="AX194" s="557"/>
      <c r="AY194" s="557"/>
      <c r="AZ194" s="557"/>
      <c r="BA194" s="557"/>
      <c r="BB194" s="557"/>
      <c r="BC194" s="557"/>
      <c r="BD194" s="553"/>
      <c r="BE194" s="596"/>
      <c r="BF194" s="596"/>
      <c r="BG194" s="596"/>
      <c r="BH194" s="596"/>
      <c r="BI194" s="596"/>
      <c r="BJ194" s="596"/>
      <c r="BK194" s="596"/>
      <c r="BL194" s="596"/>
      <c r="BM194" s="596"/>
      <c r="BN194" s="596"/>
      <c r="BO194" s="596"/>
      <c r="BP194" s="596"/>
      <c r="BQ194" s="596"/>
      <c r="BR194" s="596"/>
      <c r="BS194" s="596"/>
      <c r="BT194" s="596"/>
    </row>
    <row r="195" spans="1:72" ht="15">
      <c r="A195" s="539"/>
      <c r="B195" s="539"/>
      <c r="C195" s="539"/>
      <c r="D195" s="539"/>
      <c r="E195" s="539"/>
      <c r="F195" s="539"/>
      <c r="G195" s="539"/>
      <c r="H195" s="539"/>
      <c r="I195" s="539"/>
      <c r="J195" s="539"/>
      <c r="K195" s="539"/>
      <c r="L195" s="539"/>
      <c r="M195" s="539"/>
      <c r="N195" s="539"/>
      <c r="O195" s="539"/>
      <c r="P195" s="539"/>
      <c r="Q195" s="539"/>
      <c r="R195" s="539"/>
      <c r="S195" s="557"/>
      <c r="T195" s="557"/>
      <c r="U195" s="557"/>
      <c r="V195" s="557"/>
      <c r="W195" s="539"/>
      <c r="X195" s="539"/>
      <c r="Y195" s="557"/>
      <c r="Z195" s="557"/>
      <c r="AA195" s="539"/>
      <c r="AB195" s="539"/>
      <c r="AC195" s="539"/>
      <c r="AD195" s="557"/>
      <c r="AE195" s="557"/>
      <c r="AF195" s="557"/>
      <c r="AG195" s="557"/>
      <c r="AH195" s="557"/>
      <c r="AI195" s="557"/>
      <c r="AJ195" s="557"/>
      <c r="AK195" s="557"/>
      <c r="AL195" s="557"/>
      <c r="AM195" s="557"/>
      <c r="AN195" s="557"/>
      <c r="AO195" s="557"/>
      <c r="AP195" s="557"/>
      <c r="AQ195" s="557"/>
      <c r="AR195" s="557"/>
      <c r="AS195" s="557"/>
      <c r="AT195" s="557"/>
      <c r="AU195" s="557"/>
      <c r="AV195" s="557"/>
      <c r="AW195" s="557"/>
      <c r="AX195" s="557"/>
      <c r="AY195" s="557"/>
      <c r="AZ195" s="557"/>
      <c r="BA195" s="557"/>
      <c r="BB195" s="557"/>
      <c r="BC195" s="557"/>
      <c r="BD195" s="553"/>
      <c r="BE195" s="596"/>
      <c r="BF195" s="596"/>
      <c r="BG195" s="596"/>
      <c r="BH195" s="596"/>
      <c r="BI195" s="596"/>
      <c r="BJ195" s="596"/>
      <c r="BK195" s="596"/>
      <c r="BL195" s="596"/>
      <c r="BM195" s="596"/>
      <c r="BN195" s="596"/>
      <c r="BO195" s="596"/>
      <c r="BP195" s="596"/>
      <c r="BQ195" s="596"/>
      <c r="BR195" s="596"/>
      <c r="BS195" s="596"/>
      <c r="BT195" s="596"/>
    </row>
    <row r="196" spans="1:72" ht="15">
      <c r="A196" s="539"/>
      <c r="B196" s="539"/>
      <c r="C196" s="539"/>
      <c r="D196" s="539"/>
      <c r="E196" s="539"/>
      <c r="F196" s="539"/>
      <c r="G196" s="539"/>
      <c r="H196" s="539"/>
      <c r="I196" s="539"/>
      <c r="J196" s="539"/>
      <c r="K196" s="539"/>
      <c r="L196" s="539"/>
      <c r="M196" s="539"/>
      <c r="N196" s="539"/>
      <c r="O196" s="539"/>
      <c r="P196" s="539"/>
      <c r="Q196" s="539"/>
      <c r="R196" s="539"/>
      <c r="S196" s="557"/>
      <c r="T196" s="557"/>
      <c r="U196" s="557"/>
      <c r="V196" s="557"/>
      <c r="W196" s="539"/>
      <c r="X196" s="539"/>
      <c r="Y196" s="557"/>
      <c r="Z196" s="557"/>
      <c r="AA196" s="539"/>
      <c r="AB196" s="539"/>
      <c r="AC196" s="539"/>
      <c r="AD196" s="557"/>
      <c r="AE196" s="557"/>
      <c r="AF196" s="557"/>
      <c r="AG196" s="557"/>
      <c r="AH196" s="557"/>
      <c r="AI196" s="557"/>
      <c r="AJ196" s="557"/>
      <c r="AK196" s="557"/>
      <c r="AL196" s="557"/>
      <c r="AM196" s="557"/>
      <c r="AN196" s="557"/>
      <c r="AO196" s="557"/>
      <c r="AP196" s="557"/>
      <c r="AQ196" s="557"/>
      <c r="AR196" s="557"/>
      <c r="AS196" s="557"/>
      <c r="AT196" s="557"/>
      <c r="AU196" s="557"/>
      <c r="AV196" s="557"/>
      <c r="AW196" s="557"/>
      <c r="AX196" s="557"/>
      <c r="AY196" s="557"/>
      <c r="AZ196" s="557"/>
      <c r="BA196" s="557"/>
      <c r="BB196" s="557"/>
      <c r="BC196" s="557"/>
      <c r="BD196" s="553"/>
      <c r="BE196" s="596"/>
      <c r="BF196" s="596"/>
      <c r="BG196" s="596"/>
      <c r="BH196" s="596"/>
      <c r="BI196" s="596"/>
      <c r="BJ196" s="596"/>
      <c r="BK196" s="596"/>
      <c r="BL196" s="596"/>
      <c r="BM196" s="596"/>
      <c r="BN196" s="596"/>
      <c r="BO196" s="596"/>
      <c r="BP196" s="596"/>
      <c r="BQ196" s="596"/>
      <c r="BR196" s="596"/>
      <c r="BS196" s="596"/>
      <c r="BT196" s="596"/>
    </row>
    <row r="197" spans="1:72" ht="15">
      <c r="A197" s="539"/>
      <c r="B197" s="539"/>
      <c r="C197" s="539"/>
      <c r="D197" s="539"/>
      <c r="E197" s="539"/>
      <c r="F197" s="539"/>
      <c r="G197" s="539"/>
      <c r="H197" s="539"/>
      <c r="I197" s="539"/>
      <c r="J197" s="539"/>
      <c r="K197" s="539"/>
      <c r="L197" s="539"/>
      <c r="M197" s="539"/>
      <c r="N197" s="539"/>
      <c r="O197" s="539"/>
      <c r="P197" s="539"/>
      <c r="Q197" s="539"/>
      <c r="R197" s="539"/>
      <c r="S197" s="557"/>
      <c r="T197" s="557"/>
      <c r="U197" s="557"/>
      <c r="V197" s="557"/>
      <c r="W197" s="539"/>
      <c r="X197" s="539"/>
      <c r="Y197" s="557"/>
      <c r="Z197" s="557"/>
      <c r="AA197" s="539"/>
      <c r="AB197" s="539"/>
      <c r="AC197" s="539"/>
      <c r="AD197" s="557"/>
      <c r="AE197" s="557"/>
      <c r="AF197" s="557"/>
      <c r="AG197" s="557"/>
      <c r="AH197" s="557"/>
      <c r="AI197" s="557"/>
      <c r="AJ197" s="557"/>
      <c r="AK197" s="557"/>
      <c r="AL197" s="557"/>
      <c r="AM197" s="557"/>
      <c r="AN197" s="557"/>
      <c r="AO197" s="557"/>
      <c r="AP197" s="557"/>
      <c r="AQ197" s="557"/>
      <c r="AR197" s="557"/>
      <c r="AS197" s="557"/>
      <c r="AT197" s="557"/>
      <c r="AU197" s="557"/>
      <c r="AV197" s="557"/>
      <c r="AW197" s="557"/>
      <c r="AX197" s="557"/>
      <c r="AY197" s="557"/>
      <c r="AZ197" s="557"/>
      <c r="BA197" s="557"/>
      <c r="BB197" s="557"/>
      <c r="BC197" s="557"/>
      <c r="BD197" s="553"/>
      <c r="BE197" s="596"/>
      <c r="BF197" s="596"/>
      <c r="BG197" s="596"/>
      <c r="BH197" s="596"/>
      <c r="BI197" s="596"/>
      <c r="BJ197" s="596"/>
      <c r="BK197" s="596"/>
      <c r="BL197" s="596"/>
      <c r="BM197" s="596"/>
      <c r="BN197" s="596"/>
      <c r="BO197" s="596"/>
      <c r="BP197" s="596"/>
      <c r="BQ197" s="596"/>
      <c r="BR197" s="596"/>
      <c r="BS197" s="596"/>
      <c r="BT197" s="596"/>
    </row>
    <row r="198" spans="1:72" ht="15">
      <c r="A198" s="539"/>
      <c r="B198" s="539"/>
      <c r="C198" s="539"/>
      <c r="D198" s="539"/>
      <c r="E198" s="539"/>
      <c r="F198" s="539"/>
      <c r="G198" s="539"/>
      <c r="H198" s="539"/>
      <c r="I198" s="539"/>
      <c r="J198" s="539"/>
      <c r="K198" s="539"/>
      <c r="L198" s="539"/>
      <c r="M198" s="539"/>
      <c r="N198" s="539"/>
      <c r="O198" s="539"/>
      <c r="P198" s="539"/>
      <c r="Q198" s="539"/>
      <c r="R198" s="539"/>
      <c r="S198" s="557"/>
      <c r="T198" s="557"/>
      <c r="U198" s="557"/>
      <c r="V198" s="557"/>
      <c r="W198" s="539"/>
      <c r="X198" s="539"/>
      <c r="Y198" s="557"/>
      <c r="Z198" s="557"/>
      <c r="AA198" s="539"/>
      <c r="AB198" s="539"/>
      <c r="AC198" s="539"/>
      <c r="AD198" s="557"/>
      <c r="AE198" s="557"/>
      <c r="AF198" s="557"/>
      <c r="AG198" s="557"/>
      <c r="AH198" s="557"/>
      <c r="AI198" s="557"/>
      <c r="AJ198" s="557"/>
      <c r="AK198" s="557"/>
      <c r="AL198" s="557"/>
      <c r="AM198" s="557"/>
      <c r="AN198" s="557"/>
      <c r="AO198" s="557"/>
      <c r="AP198" s="557"/>
      <c r="AQ198" s="557"/>
      <c r="AR198" s="557"/>
      <c r="AS198" s="557"/>
      <c r="AT198" s="557"/>
      <c r="AU198" s="557"/>
      <c r="AV198" s="557"/>
      <c r="AW198" s="557"/>
      <c r="AX198" s="557"/>
      <c r="AY198" s="557"/>
      <c r="AZ198" s="557"/>
      <c r="BA198" s="557"/>
      <c r="BB198" s="557"/>
      <c r="BC198" s="557"/>
      <c r="BD198" s="553"/>
      <c r="BE198" s="596"/>
      <c r="BF198" s="596"/>
      <c r="BG198" s="596"/>
      <c r="BH198" s="596"/>
      <c r="BI198" s="596"/>
      <c r="BJ198" s="596"/>
      <c r="BK198" s="596"/>
      <c r="BL198" s="596"/>
      <c r="BM198" s="596"/>
      <c r="BN198" s="596"/>
      <c r="BO198" s="596"/>
      <c r="BP198" s="596"/>
      <c r="BQ198" s="596"/>
      <c r="BR198" s="596"/>
      <c r="BS198" s="596"/>
      <c r="BT198" s="596"/>
    </row>
    <row r="199" spans="1:72" ht="15">
      <c r="A199" s="539"/>
      <c r="B199" s="539"/>
      <c r="C199" s="539"/>
      <c r="D199" s="539"/>
      <c r="E199" s="539"/>
      <c r="F199" s="539"/>
      <c r="G199" s="539"/>
      <c r="H199" s="539"/>
      <c r="I199" s="539"/>
      <c r="J199" s="539"/>
      <c r="K199" s="539"/>
      <c r="L199" s="539"/>
      <c r="M199" s="539"/>
      <c r="N199" s="539"/>
      <c r="O199" s="539"/>
      <c r="P199" s="539"/>
      <c r="Q199" s="539"/>
      <c r="R199" s="539"/>
      <c r="S199" s="557"/>
      <c r="T199" s="557"/>
      <c r="U199" s="557"/>
      <c r="V199" s="557"/>
      <c r="W199" s="539"/>
      <c r="X199" s="539"/>
      <c r="Y199" s="557"/>
      <c r="Z199" s="557"/>
      <c r="AA199" s="539"/>
      <c r="AB199" s="539"/>
      <c r="AC199" s="539"/>
      <c r="AD199" s="557"/>
      <c r="AE199" s="557"/>
      <c r="AF199" s="557"/>
      <c r="AG199" s="557"/>
      <c r="AH199" s="557"/>
      <c r="AI199" s="557"/>
      <c r="AJ199" s="557"/>
      <c r="AK199" s="557"/>
      <c r="AL199" s="557"/>
      <c r="AM199" s="557"/>
      <c r="AN199" s="557"/>
      <c r="AO199" s="557"/>
      <c r="AP199" s="557"/>
      <c r="AQ199" s="557"/>
      <c r="AR199" s="557"/>
      <c r="AS199" s="557"/>
      <c r="AT199" s="557"/>
      <c r="AU199" s="557"/>
      <c r="AV199" s="557"/>
      <c r="AW199" s="557"/>
      <c r="AX199" s="557"/>
      <c r="AY199" s="557"/>
      <c r="AZ199" s="557"/>
      <c r="BA199" s="557"/>
      <c r="BB199" s="557"/>
      <c r="BC199" s="557"/>
      <c r="BD199" s="553"/>
      <c r="BE199" s="596"/>
      <c r="BF199" s="596"/>
      <c r="BG199" s="596"/>
      <c r="BH199" s="596"/>
      <c r="BI199" s="596"/>
      <c r="BJ199" s="596"/>
      <c r="BK199" s="596"/>
      <c r="BL199" s="596"/>
      <c r="BM199" s="596"/>
      <c r="BN199" s="596"/>
      <c r="BO199" s="596"/>
      <c r="BP199" s="596"/>
      <c r="BQ199" s="596"/>
      <c r="BR199" s="596"/>
      <c r="BS199" s="596"/>
      <c r="BT199" s="596"/>
    </row>
    <row r="200" spans="1:72" ht="15">
      <c r="A200" s="539"/>
      <c r="B200" s="539"/>
      <c r="C200" s="539"/>
      <c r="D200" s="539"/>
      <c r="E200" s="539"/>
      <c r="F200" s="539"/>
      <c r="G200" s="539"/>
      <c r="H200" s="539"/>
      <c r="I200" s="539"/>
      <c r="J200" s="539"/>
      <c r="K200" s="539"/>
      <c r="L200" s="539"/>
      <c r="M200" s="539"/>
      <c r="N200" s="539"/>
      <c r="O200" s="539"/>
      <c r="P200" s="539"/>
      <c r="Q200" s="539"/>
      <c r="R200" s="539"/>
      <c r="S200" s="557"/>
      <c r="T200" s="557"/>
      <c r="U200" s="557"/>
      <c r="V200" s="557"/>
      <c r="W200" s="539"/>
      <c r="X200" s="539"/>
      <c r="Y200" s="557"/>
      <c r="Z200" s="557"/>
      <c r="AA200" s="539"/>
      <c r="AB200" s="539"/>
      <c r="AC200" s="539"/>
      <c r="AD200" s="557"/>
      <c r="AE200" s="557"/>
      <c r="AF200" s="557"/>
      <c r="AG200" s="557"/>
      <c r="AH200" s="557"/>
      <c r="AI200" s="557"/>
      <c r="AJ200" s="557"/>
      <c r="AK200" s="557"/>
      <c r="AL200" s="557"/>
      <c r="AM200" s="557"/>
      <c r="AN200" s="557"/>
      <c r="AO200" s="557"/>
      <c r="AP200" s="557"/>
      <c r="AQ200" s="557"/>
      <c r="AR200" s="557"/>
      <c r="AS200" s="557"/>
      <c r="AT200" s="557"/>
      <c r="AU200" s="557"/>
      <c r="AV200" s="557"/>
      <c r="AW200" s="557"/>
      <c r="AX200" s="557"/>
      <c r="AY200" s="557"/>
      <c r="AZ200" s="557"/>
      <c r="BA200" s="557"/>
      <c r="BB200" s="557"/>
      <c r="BC200" s="557"/>
      <c r="BD200" s="553"/>
      <c r="BE200" s="596"/>
      <c r="BF200" s="596"/>
      <c r="BG200" s="596"/>
      <c r="BH200" s="596"/>
      <c r="BI200" s="596"/>
      <c r="BJ200" s="596"/>
      <c r="BK200" s="596"/>
      <c r="BL200" s="596"/>
      <c r="BM200" s="596"/>
      <c r="BN200" s="596"/>
      <c r="BO200" s="596"/>
      <c r="BP200" s="596"/>
      <c r="BQ200" s="596"/>
      <c r="BR200" s="596"/>
      <c r="BS200" s="596"/>
      <c r="BT200" s="596"/>
    </row>
    <row r="201" spans="1:72" ht="15">
      <c r="A201" s="539"/>
      <c r="B201" s="539"/>
      <c r="C201" s="539"/>
      <c r="D201" s="539"/>
      <c r="E201" s="539"/>
      <c r="F201" s="539"/>
      <c r="G201" s="539"/>
      <c r="H201" s="539"/>
      <c r="I201" s="539"/>
      <c r="J201" s="539"/>
      <c r="K201" s="539"/>
      <c r="L201" s="539"/>
      <c r="M201" s="539"/>
      <c r="N201" s="539"/>
      <c r="O201" s="539"/>
      <c r="P201" s="539"/>
      <c r="Q201" s="539"/>
      <c r="R201" s="539"/>
      <c r="S201" s="557"/>
      <c r="T201" s="557"/>
      <c r="U201" s="557"/>
      <c r="V201" s="557"/>
      <c r="W201" s="539"/>
      <c r="X201" s="539"/>
      <c r="Y201" s="557"/>
      <c r="Z201" s="557"/>
      <c r="AA201" s="539"/>
      <c r="AB201" s="539"/>
      <c r="AC201" s="539"/>
      <c r="AD201" s="557"/>
      <c r="AE201" s="557"/>
      <c r="AF201" s="557"/>
      <c r="AG201" s="557"/>
      <c r="AH201" s="557"/>
      <c r="AI201" s="557"/>
      <c r="AJ201" s="557"/>
      <c r="AK201" s="557"/>
      <c r="AL201" s="557"/>
      <c r="AM201" s="557"/>
      <c r="AN201" s="557"/>
      <c r="AO201" s="557"/>
      <c r="AP201" s="557"/>
      <c r="AQ201" s="557"/>
      <c r="AR201" s="557"/>
      <c r="AS201" s="557"/>
      <c r="AT201" s="557"/>
      <c r="AU201" s="557"/>
      <c r="AV201" s="557"/>
      <c r="AW201" s="557"/>
      <c r="AX201" s="557"/>
      <c r="AY201" s="557"/>
      <c r="AZ201" s="557"/>
      <c r="BA201" s="557"/>
      <c r="BB201" s="557"/>
      <c r="BC201" s="557"/>
      <c r="BD201" s="553"/>
      <c r="BE201" s="596"/>
      <c r="BF201" s="596"/>
      <c r="BG201" s="596"/>
      <c r="BH201" s="596"/>
      <c r="BI201" s="596"/>
      <c r="BJ201" s="596"/>
      <c r="BK201" s="596"/>
      <c r="BL201" s="596"/>
      <c r="BM201" s="596"/>
      <c r="BN201" s="596"/>
      <c r="BO201" s="596"/>
      <c r="BP201" s="596"/>
      <c r="BQ201" s="596"/>
      <c r="BR201" s="596"/>
      <c r="BS201" s="596"/>
      <c r="BT201" s="596"/>
    </row>
    <row r="202" spans="1:72" ht="15">
      <c r="A202" s="539"/>
      <c r="B202" s="539"/>
      <c r="C202" s="539"/>
      <c r="D202" s="539"/>
      <c r="E202" s="539"/>
      <c r="F202" s="539"/>
      <c r="G202" s="539"/>
      <c r="H202" s="539"/>
      <c r="I202" s="539"/>
      <c r="J202" s="539"/>
      <c r="K202" s="539"/>
      <c r="L202" s="539"/>
      <c r="M202" s="539"/>
      <c r="N202" s="539"/>
      <c r="O202" s="539"/>
      <c r="P202" s="539"/>
      <c r="Q202" s="539"/>
      <c r="R202" s="539"/>
      <c r="S202" s="557"/>
      <c r="T202" s="557"/>
      <c r="U202" s="557"/>
      <c r="V202" s="557"/>
      <c r="W202" s="539"/>
      <c r="X202" s="539"/>
      <c r="Y202" s="557"/>
      <c r="Z202" s="557"/>
      <c r="AA202" s="539"/>
      <c r="AB202" s="539"/>
      <c r="AC202" s="539"/>
      <c r="AD202" s="557"/>
      <c r="AE202" s="557"/>
      <c r="AF202" s="557"/>
      <c r="AG202" s="557"/>
      <c r="AH202" s="557"/>
      <c r="AI202" s="557"/>
      <c r="AJ202" s="557"/>
      <c r="AK202" s="557"/>
      <c r="AL202" s="557"/>
      <c r="AM202" s="557"/>
      <c r="AN202" s="557"/>
      <c r="AO202" s="557"/>
      <c r="AP202" s="557"/>
      <c r="AQ202" s="557"/>
      <c r="AR202" s="557"/>
      <c r="AS202" s="557"/>
      <c r="AT202" s="557"/>
      <c r="AU202" s="557"/>
      <c r="AV202" s="557"/>
      <c r="AW202" s="557"/>
      <c r="AX202" s="557"/>
      <c r="AY202" s="557"/>
      <c r="AZ202" s="557"/>
      <c r="BA202" s="557"/>
      <c r="BB202" s="557"/>
      <c r="BC202" s="557"/>
      <c r="BD202" s="553"/>
      <c r="BE202" s="596"/>
      <c r="BF202" s="596"/>
      <c r="BG202" s="596"/>
      <c r="BH202" s="596"/>
      <c r="BI202" s="596"/>
      <c r="BJ202" s="596"/>
      <c r="BK202" s="596"/>
      <c r="BL202" s="596"/>
      <c r="BM202" s="596"/>
      <c r="BN202" s="596"/>
      <c r="BO202" s="596"/>
      <c r="BP202" s="596"/>
      <c r="BQ202" s="596"/>
      <c r="BR202" s="596"/>
      <c r="BS202" s="596"/>
      <c r="BT202" s="596"/>
    </row>
    <row r="203" spans="1:72" ht="15">
      <c r="A203" s="539"/>
      <c r="B203" s="539"/>
      <c r="C203" s="539"/>
      <c r="D203" s="539"/>
      <c r="E203" s="539"/>
      <c r="F203" s="539"/>
      <c r="G203" s="539"/>
      <c r="H203" s="539"/>
      <c r="I203" s="539"/>
      <c r="J203" s="539"/>
      <c r="K203" s="539"/>
      <c r="L203" s="539"/>
      <c r="M203" s="539"/>
      <c r="N203" s="539"/>
      <c r="O203" s="539"/>
      <c r="P203" s="539"/>
      <c r="Q203" s="539"/>
      <c r="R203" s="539"/>
      <c r="S203" s="557"/>
      <c r="T203" s="557"/>
      <c r="U203" s="557"/>
      <c r="V203" s="557"/>
      <c r="W203" s="539"/>
      <c r="X203" s="539"/>
      <c r="Y203" s="557"/>
      <c r="Z203" s="557"/>
      <c r="AA203" s="539"/>
      <c r="AB203" s="539"/>
      <c r="AC203" s="539"/>
      <c r="AD203" s="557"/>
      <c r="AE203" s="557"/>
      <c r="AF203" s="557"/>
      <c r="AG203" s="557"/>
      <c r="AH203" s="557"/>
      <c r="AI203" s="557"/>
      <c r="AJ203" s="557"/>
      <c r="AK203" s="557"/>
      <c r="AL203" s="557"/>
      <c r="AM203" s="557"/>
      <c r="AN203" s="557"/>
      <c r="AO203" s="557"/>
      <c r="AP203" s="557"/>
      <c r="AQ203" s="557"/>
      <c r="AR203" s="557"/>
      <c r="AS203" s="557"/>
      <c r="AT203" s="557"/>
      <c r="AU203" s="557"/>
      <c r="AV203" s="557"/>
      <c r="AW203" s="557"/>
      <c r="AX203" s="557"/>
      <c r="AY203" s="557"/>
      <c r="AZ203" s="557"/>
      <c r="BA203" s="557"/>
      <c r="BB203" s="557"/>
      <c r="BC203" s="557"/>
      <c r="BD203" s="553"/>
      <c r="BE203" s="596"/>
      <c r="BF203" s="596"/>
      <c r="BG203" s="596"/>
      <c r="BH203" s="596"/>
      <c r="BI203" s="596"/>
      <c r="BJ203" s="596"/>
      <c r="BK203" s="596"/>
      <c r="BL203" s="596"/>
      <c r="BM203" s="596"/>
      <c r="BN203" s="596"/>
      <c r="BO203" s="596"/>
      <c r="BP203" s="596"/>
      <c r="BQ203" s="596"/>
      <c r="BR203" s="596"/>
      <c r="BS203" s="596"/>
      <c r="BT203" s="596"/>
    </row>
    <row r="204" spans="1:72" ht="15">
      <c r="A204" s="539"/>
      <c r="B204" s="539"/>
      <c r="C204" s="539"/>
      <c r="D204" s="539"/>
      <c r="E204" s="539"/>
      <c r="F204" s="539"/>
      <c r="G204" s="539"/>
      <c r="H204" s="539"/>
      <c r="I204" s="539"/>
      <c r="J204" s="539"/>
      <c r="K204" s="539"/>
      <c r="L204" s="539"/>
      <c r="M204" s="539"/>
      <c r="N204" s="539"/>
      <c r="O204" s="539"/>
      <c r="P204" s="539"/>
      <c r="Q204" s="539"/>
      <c r="R204" s="539"/>
      <c r="S204" s="557"/>
      <c r="T204" s="557"/>
      <c r="U204" s="557"/>
      <c r="V204" s="557"/>
      <c r="W204" s="539"/>
      <c r="X204" s="539"/>
      <c r="Y204" s="557"/>
      <c r="Z204" s="557"/>
      <c r="AA204" s="539"/>
      <c r="AB204" s="539"/>
      <c r="AC204" s="539"/>
      <c r="AD204" s="557"/>
      <c r="AE204" s="557"/>
      <c r="AF204" s="557"/>
      <c r="AG204" s="557"/>
      <c r="AH204" s="557"/>
      <c r="AI204" s="557"/>
      <c r="AJ204" s="557"/>
      <c r="AK204" s="557"/>
      <c r="AL204" s="557"/>
      <c r="AM204" s="557"/>
      <c r="AN204" s="557"/>
      <c r="AO204" s="557"/>
      <c r="AP204" s="557"/>
      <c r="AQ204" s="557"/>
      <c r="AR204" s="557"/>
      <c r="AS204" s="557"/>
      <c r="AT204" s="557"/>
      <c r="AU204" s="557"/>
      <c r="AV204" s="557"/>
      <c r="AW204" s="557"/>
      <c r="AX204" s="557"/>
      <c r="AY204" s="557"/>
      <c r="AZ204" s="557"/>
      <c r="BA204" s="557"/>
      <c r="BB204" s="557"/>
      <c r="BC204" s="557"/>
      <c r="BD204" s="553"/>
      <c r="BE204" s="596"/>
      <c r="BF204" s="596"/>
      <c r="BG204" s="596"/>
      <c r="BH204" s="596"/>
      <c r="BI204" s="596"/>
      <c r="BJ204" s="596"/>
      <c r="BK204" s="596"/>
      <c r="BL204" s="596"/>
      <c r="BM204" s="596"/>
      <c r="BN204" s="596"/>
      <c r="BO204" s="596"/>
      <c r="BP204" s="596"/>
      <c r="BQ204" s="596"/>
      <c r="BR204" s="596"/>
      <c r="BS204" s="596"/>
      <c r="BT204" s="596"/>
    </row>
    <row r="205" spans="1:72" ht="15">
      <c r="A205" s="539"/>
      <c r="B205" s="539"/>
      <c r="C205" s="539"/>
      <c r="D205" s="539"/>
      <c r="E205" s="539"/>
      <c r="F205" s="539"/>
      <c r="G205" s="539"/>
      <c r="H205" s="539"/>
      <c r="I205" s="539"/>
      <c r="J205" s="539"/>
      <c r="K205" s="539"/>
      <c r="L205" s="539"/>
      <c r="M205" s="539"/>
      <c r="N205" s="539"/>
      <c r="O205" s="539"/>
      <c r="P205" s="539"/>
      <c r="Q205" s="539"/>
      <c r="R205" s="539"/>
      <c r="S205" s="557"/>
      <c r="T205" s="557"/>
      <c r="U205" s="557"/>
      <c r="V205" s="557"/>
      <c r="W205" s="539"/>
      <c r="X205" s="539"/>
      <c r="Y205" s="557"/>
      <c r="Z205" s="557"/>
      <c r="AA205" s="539"/>
      <c r="AB205" s="539"/>
      <c r="AC205" s="539"/>
      <c r="AD205" s="557"/>
      <c r="AE205" s="557"/>
      <c r="AF205" s="557"/>
      <c r="AG205" s="557"/>
      <c r="AH205" s="557"/>
      <c r="AI205" s="557"/>
      <c r="AJ205" s="557"/>
      <c r="AK205" s="557"/>
      <c r="AL205" s="557"/>
      <c r="AM205" s="557"/>
      <c r="AN205" s="557"/>
      <c r="AO205" s="557"/>
      <c r="AP205" s="557"/>
      <c r="AQ205" s="557"/>
      <c r="AR205" s="557"/>
      <c r="AS205" s="557"/>
      <c r="AT205" s="557"/>
      <c r="AU205" s="557"/>
      <c r="AV205" s="557"/>
      <c r="AW205" s="557"/>
      <c r="AX205" s="557"/>
      <c r="AY205" s="557"/>
      <c r="AZ205" s="557"/>
      <c r="BA205" s="557"/>
      <c r="BB205" s="557"/>
      <c r="BC205" s="557"/>
      <c r="BD205" s="553"/>
      <c r="BE205" s="596"/>
      <c r="BF205" s="596"/>
      <c r="BG205" s="596"/>
      <c r="BH205" s="596"/>
      <c r="BI205" s="596"/>
      <c r="BJ205" s="596"/>
      <c r="BK205" s="596"/>
      <c r="BL205" s="596"/>
      <c r="BM205" s="596"/>
      <c r="BN205" s="596"/>
      <c r="BO205" s="596"/>
      <c r="BP205" s="596"/>
      <c r="BQ205" s="596"/>
      <c r="BR205" s="596"/>
      <c r="BS205" s="596"/>
      <c r="BT205" s="596"/>
    </row>
    <row r="206" spans="1:72" ht="15">
      <c r="A206" s="539"/>
      <c r="B206" s="539"/>
      <c r="C206" s="539"/>
      <c r="D206" s="539"/>
      <c r="E206" s="539"/>
      <c r="F206" s="539"/>
      <c r="G206" s="539"/>
      <c r="H206" s="539"/>
      <c r="I206" s="539"/>
      <c r="J206" s="539"/>
      <c r="K206" s="539"/>
      <c r="L206" s="539"/>
      <c r="M206" s="539"/>
      <c r="N206" s="539"/>
      <c r="O206" s="539"/>
      <c r="P206" s="539"/>
      <c r="Q206" s="539"/>
      <c r="R206" s="539"/>
      <c r="S206" s="557"/>
      <c r="T206" s="557"/>
      <c r="U206" s="557"/>
      <c r="V206" s="557"/>
      <c r="W206" s="539"/>
      <c r="X206" s="539"/>
      <c r="Y206" s="557"/>
      <c r="Z206" s="557"/>
      <c r="AA206" s="539"/>
      <c r="AB206" s="539"/>
      <c r="AC206" s="539"/>
      <c r="AD206" s="557"/>
      <c r="AE206" s="557"/>
      <c r="AF206" s="557"/>
      <c r="AG206" s="557"/>
      <c r="AH206" s="557"/>
      <c r="AI206" s="557"/>
      <c r="AJ206" s="557"/>
      <c r="AK206" s="557"/>
      <c r="AL206" s="557"/>
      <c r="AM206" s="557"/>
      <c r="AN206" s="557"/>
      <c r="AO206" s="557"/>
      <c r="AP206" s="557"/>
      <c r="AQ206" s="557"/>
      <c r="AR206" s="557"/>
      <c r="AS206" s="557"/>
      <c r="AT206" s="557"/>
      <c r="AU206" s="557"/>
      <c r="AV206" s="557"/>
      <c r="AW206" s="557"/>
      <c r="AX206" s="557"/>
      <c r="AY206" s="557"/>
      <c r="AZ206" s="557"/>
      <c r="BA206" s="557"/>
      <c r="BB206" s="557"/>
      <c r="BC206" s="557"/>
      <c r="BD206" s="553"/>
      <c r="BE206" s="596"/>
      <c r="BF206" s="596"/>
      <c r="BG206" s="596"/>
      <c r="BH206" s="596"/>
      <c r="BI206" s="596"/>
      <c r="BJ206" s="596"/>
      <c r="BK206" s="596"/>
      <c r="BL206" s="596"/>
      <c r="BM206" s="596"/>
      <c r="BN206" s="596"/>
      <c r="BO206" s="596"/>
      <c r="BP206" s="596"/>
      <c r="BQ206" s="596"/>
      <c r="BR206" s="596"/>
      <c r="BS206" s="596"/>
      <c r="BT206" s="596"/>
    </row>
    <row r="207" spans="1:72" ht="15">
      <c r="A207" s="539"/>
      <c r="B207" s="539"/>
      <c r="C207" s="539"/>
      <c r="D207" s="539"/>
      <c r="E207" s="539"/>
      <c r="F207" s="539"/>
      <c r="G207" s="539"/>
      <c r="H207" s="539"/>
      <c r="I207" s="539"/>
      <c r="J207" s="539"/>
      <c r="K207" s="539"/>
      <c r="L207" s="539"/>
      <c r="M207" s="539"/>
      <c r="N207" s="539"/>
      <c r="O207" s="539"/>
      <c r="P207" s="539"/>
      <c r="Q207" s="539"/>
      <c r="R207" s="539"/>
      <c r="S207" s="557"/>
      <c r="T207" s="557"/>
      <c r="U207" s="557"/>
      <c r="V207" s="557"/>
      <c r="W207" s="539"/>
      <c r="X207" s="539"/>
      <c r="Y207" s="557"/>
      <c r="Z207" s="557"/>
      <c r="AA207" s="539"/>
      <c r="AB207" s="539"/>
      <c r="AC207" s="539"/>
      <c r="AD207" s="557"/>
      <c r="AE207" s="557"/>
      <c r="AF207" s="557"/>
      <c r="AG207" s="557"/>
      <c r="AH207" s="557"/>
      <c r="AI207" s="557"/>
      <c r="AJ207" s="557"/>
      <c r="AK207" s="557"/>
      <c r="AL207" s="557"/>
      <c r="AM207" s="557"/>
      <c r="AN207" s="557"/>
      <c r="AO207" s="557"/>
      <c r="AP207" s="557"/>
      <c r="AQ207" s="557"/>
      <c r="AR207" s="557"/>
      <c r="AS207" s="557"/>
      <c r="AT207" s="557"/>
      <c r="AU207" s="557"/>
      <c r="AV207" s="557"/>
      <c r="AW207" s="557"/>
      <c r="AX207" s="557"/>
      <c r="AY207" s="557"/>
      <c r="AZ207" s="557"/>
      <c r="BA207" s="557"/>
      <c r="BB207" s="557"/>
      <c r="BC207" s="557"/>
      <c r="BD207" s="553"/>
      <c r="BE207" s="596"/>
      <c r="BF207" s="596"/>
      <c r="BG207" s="596"/>
      <c r="BH207" s="596"/>
      <c r="BI207" s="596"/>
      <c r="BJ207" s="596"/>
      <c r="BK207" s="596"/>
      <c r="BL207" s="596"/>
      <c r="BM207" s="596"/>
      <c r="BN207" s="596"/>
      <c r="BO207" s="596"/>
      <c r="BP207" s="596"/>
      <c r="BQ207" s="596"/>
      <c r="BR207" s="596"/>
      <c r="BS207" s="596"/>
      <c r="BT207" s="596"/>
    </row>
    <row r="208" spans="1:72" ht="15">
      <c r="A208" s="539"/>
      <c r="B208" s="539"/>
      <c r="C208" s="539"/>
      <c r="D208" s="539"/>
      <c r="E208" s="539"/>
      <c r="F208" s="539"/>
      <c r="G208" s="539"/>
      <c r="H208" s="539"/>
      <c r="I208" s="539"/>
      <c r="J208" s="539"/>
      <c r="K208" s="539"/>
      <c r="L208" s="539"/>
      <c r="M208" s="539"/>
      <c r="N208" s="539"/>
      <c r="O208" s="539"/>
      <c r="P208" s="539"/>
      <c r="Q208" s="539"/>
      <c r="R208" s="539"/>
      <c r="S208" s="557"/>
      <c r="T208" s="557"/>
      <c r="U208" s="557"/>
      <c r="V208" s="557"/>
      <c r="W208" s="539"/>
      <c r="X208" s="539"/>
      <c r="Y208" s="557"/>
      <c r="Z208" s="557"/>
      <c r="AA208" s="539"/>
      <c r="AB208" s="539"/>
      <c r="AC208" s="539"/>
      <c r="AD208" s="557"/>
      <c r="AE208" s="557"/>
      <c r="AF208" s="557"/>
      <c r="AG208" s="557"/>
      <c r="AH208" s="557"/>
      <c r="AI208" s="557"/>
      <c r="AJ208" s="557"/>
      <c r="AK208" s="557"/>
      <c r="AL208" s="557"/>
      <c r="AM208" s="557"/>
      <c r="AN208" s="557"/>
      <c r="AO208" s="557"/>
      <c r="AP208" s="557"/>
      <c r="AQ208" s="557"/>
      <c r="AR208" s="557"/>
      <c r="AS208" s="557"/>
      <c r="AT208" s="557"/>
      <c r="AU208" s="557"/>
      <c r="AV208" s="557"/>
      <c r="AW208" s="557"/>
      <c r="AX208" s="557"/>
      <c r="AY208" s="557"/>
      <c r="AZ208" s="557"/>
      <c r="BA208" s="557"/>
      <c r="BB208" s="557"/>
      <c r="BC208" s="557"/>
      <c r="BD208" s="553"/>
      <c r="BE208" s="596"/>
      <c r="BF208" s="596"/>
      <c r="BG208" s="596"/>
      <c r="BH208" s="596"/>
      <c r="BI208" s="596"/>
      <c r="BJ208" s="596"/>
      <c r="BK208" s="596"/>
      <c r="BL208" s="596"/>
      <c r="BM208" s="596"/>
      <c r="BN208" s="596"/>
      <c r="BO208" s="596"/>
      <c r="BP208" s="596"/>
      <c r="BQ208" s="596"/>
      <c r="BR208" s="596"/>
      <c r="BS208" s="596"/>
      <c r="BT208" s="596"/>
    </row>
    <row r="209" spans="1:72" ht="15">
      <c r="A209" s="539"/>
      <c r="B209" s="539"/>
      <c r="C209" s="539"/>
      <c r="D209" s="539"/>
      <c r="E209" s="539"/>
      <c r="F209" s="539"/>
      <c r="G209" s="539"/>
      <c r="H209" s="539"/>
      <c r="I209" s="539"/>
      <c r="J209" s="539"/>
      <c r="K209" s="539"/>
      <c r="L209" s="539"/>
      <c r="M209" s="539"/>
      <c r="N209" s="539"/>
      <c r="O209" s="539"/>
      <c r="P209" s="539"/>
      <c r="Q209" s="539"/>
      <c r="R209" s="539"/>
      <c r="S209" s="557"/>
      <c r="T209" s="557"/>
      <c r="U209" s="557"/>
      <c r="V209" s="557"/>
      <c r="W209" s="539"/>
      <c r="X209" s="539"/>
      <c r="Y209" s="557"/>
      <c r="Z209" s="557"/>
      <c r="AA209" s="539"/>
      <c r="AB209" s="539"/>
      <c r="AC209" s="539"/>
      <c r="AD209" s="557"/>
      <c r="AE209" s="557"/>
      <c r="AF209" s="557"/>
      <c r="AG209" s="557"/>
      <c r="AH209" s="557"/>
      <c r="AI209" s="557"/>
      <c r="AJ209" s="557"/>
      <c r="AK209" s="557"/>
      <c r="AL209" s="557"/>
      <c r="AM209" s="557"/>
      <c r="AN209" s="557"/>
      <c r="AO209" s="557"/>
      <c r="AP209" s="557"/>
      <c r="AQ209" s="557"/>
      <c r="AR209" s="557"/>
      <c r="AS209" s="557"/>
      <c r="AT209" s="557"/>
      <c r="AU209" s="557"/>
      <c r="AV209" s="557"/>
      <c r="AW209" s="557"/>
      <c r="AX209" s="557"/>
      <c r="AY209" s="557"/>
      <c r="AZ209" s="557"/>
      <c r="BA209" s="557"/>
      <c r="BB209" s="557"/>
      <c r="BC209" s="557"/>
      <c r="BD209" s="553"/>
      <c r="BE209" s="596"/>
      <c r="BF209" s="596"/>
      <c r="BG209" s="596"/>
      <c r="BH209" s="596"/>
      <c r="BI209" s="596"/>
      <c r="BJ209" s="596"/>
      <c r="BK209" s="596"/>
      <c r="BL209" s="596"/>
      <c r="BM209" s="596"/>
      <c r="BN209" s="596"/>
      <c r="BO209" s="596"/>
      <c r="BP209" s="596"/>
      <c r="BQ209" s="596"/>
      <c r="BR209" s="596"/>
      <c r="BS209" s="596"/>
      <c r="BT209" s="596"/>
    </row>
    <row r="210" spans="1:72" ht="15">
      <c r="A210" s="539"/>
      <c r="B210" s="539"/>
      <c r="C210" s="539"/>
      <c r="D210" s="539"/>
      <c r="E210" s="539"/>
      <c r="F210" s="539"/>
      <c r="G210" s="539"/>
      <c r="H210" s="539"/>
      <c r="I210" s="539"/>
      <c r="J210" s="539"/>
      <c r="K210" s="539"/>
      <c r="L210" s="539"/>
      <c r="M210" s="539"/>
      <c r="N210" s="539"/>
      <c r="O210" s="539"/>
      <c r="P210" s="539"/>
      <c r="Q210" s="539"/>
      <c r="R210" s="539"/>
      <c r="S210" s="557"/>
      <c r="T210" s="557"/>
      <c r="U210" s="557"/>
      <c r="V210" s="557"/>
      <c r="W210" s="539"/>
      <c r="X210" s="539"/>
      <c r="Y210" s="557"/>
      <c r="Z210" s="557"/>
      <c r="AA210" s="539"/>
      <c r="AB210" s="539"/>
      <c r="AC210" s="539"/>
      <c r="AD210" s="557"/>
      <c r="AE210" s="557"/>
      <c r="AF210" s="557"/>
      <c r="AG210" s="557"/>
      <c r="AH210" s="557"/>
      <c r="AI210" s="557"/>
      <c r="AJ210" s="557"/>
      <c r="AK210" s="557"/>
      <c r="AL210" s="557"/>
      <c r="AM210" s="557"/>
      <c r="AN210" s="557"/>
      <c r="AO210" s="557"/>
      <c r="AP210" s="557"/>
      <c r="AQ210" s="557"/>
      <c r="AR210" s="557"/>
      <c r="AS210" s="557"/>
      <c r="AT210" s="557"/>
      <c r="AU210" s="557"/>
      <c r="AV210" s="557"/>
      <c r="AW210" s="557"/>
      <c r="AX210" s="557"/>
      <c r="AY210" s="557"/>
      <c r="AZ210" s="557"/>
      <c r="BA210" s="557"/>
      <c r="BB210" s="557"/>
      <c r="BC210" s="557"/>
      <c r="BD210" s="553"/>
      <c r="BE210" s="596"/>
      <c r="BF210" s="596"/>
      <c r="BG210" s="596"/>
      <c r="BH210" s="596"/>
      <c r="BI210" s="596"/>
      <c r="BJ210" s="596"/>
      <c r="BK210" s="596"/>
      <c r="BL210" s="596"/>
      <c r="BM210" s="596"/>
      <c r="BN210" s="596"/>
      <c r="BO210" s="596"/>
      <c r="BP210" s="596"/>
      <c r="BQ210" s="596"/>
      <c r="BR210" s="596"/>
      <c r="BS210" s="596"/>
      <c r="BT210" s="596"/>
    </row>
    <row r="211" spans="1:72" ht="15">
      <c r="A211" s="539"/>
      <c r="B211" s="539"/>
      <c r="C211" s="539"/>
      <c r="D211" s="539"/>
      <c r="E211" s="539"/>
      <c r="F211" s="539"/>
      <c r="G211" s="539"/>
      <c r="H211" s="539"/>
      <c r="I211" s="539"/>
      <c r="J211" s="539"/>
      <c r="K211" s="539"/>
      <c r="L211" s="539"/>
      <c r="M211" s="539"/>
      <c r="N211" s="539"/>
      <c r="O211" s="539"/>
      <c r="P211" s="539"/>
      <c r="Q211" s="539"/>
      <c r="R211" s="539"/>
      <c r="S211" s="557"/>
      <c r="T211" s="557"/>
      <c r="U211" s="557"/>
      <c r="V211" s="557"/>
      <c r="W211" s="539"/>
      <c r="X211" s="539"/>
      <c r="Y211" s="557"/>
      <c r="Z211" s="557"/>
      <c r="AA211" s="539"/>
      <c r="AB211" s="539"/>
      <c r="AC211" s="539"/>
      <c r="AD211" s="557"/>
      <c r="AE211" s="557"/>
      <c r="AF211" s="557"/>
      <c r="AG211" s="557"/>
      <c r="AH211" s="557"/>
      <c r="AI211" s="557"/>
      <c r="AJ211" s="557"/>
      <c r="AK211" s="557"/>
      <c r="AL211" s="557"/>
      <c r="AM211" s="557"/>
      <c r="AN211" s="557"/>
      <c r="AO211" s="557"/>
      <c r="AP211" s="557"/>
      <c r="AQ211" s="557"/>
      <c r="AR211" s="557"/>
      <c r="AS211" s="557"/>
      <c r="AT211" s="557"/>
      <c r="AU211" s="557"/>
      <c r="AV211" s="557"/>
      <c r="AW211" s="557"/>
      <c r="AX211" s="557"/>
      <c r="AY211" s="557"/>
      <c r="AZ211" s="557"/>
      <c r="BA211" s="557"/>
      <c r="BB211" s="557"/>
      <c r="BC211" s="557"/>
      <c r="BD211" s="553"/>
      <c r="BE211" s="596"/>
      <c r="BF211" s="596"/>
      <c r="BG211" s="596"/>
      <c r="BH211" s="596"/>
      <c r="BI211" s="596"/>
      <c r="BJ211" s="596"/>
      <c r="BK211" s="596"/>
      <c r="BL211" s="596"/>
      <c r="BM211" s="596"/>
      <c r="BN211" s="596"/>
      <c r="BO211" s="596"/>
      <c r="BP211" s="596"/>
      <c r="BQ211" s="596"/>
      <c r="BR211" s="596"/>
      <c r="BS211" s="596"/>
      <c r="BT211" s="596"/>
    </row>
    <row r="212" spans="1:72" ht="15">
      <c r="A212" s="539"/>
      <c r="B212" s="539"/>
      <c r="C212" s="539"/>
      <c r="D212" s="539"/>
      <c r="E212" s="539"/>
      <c r="F212" s="539"/>
      <c r="G212" s="539"/>
      <c r="H212" s="539"/>
      <c r="I212" s="539"/>
      <c r="J212" s="539"/>
      <c r="K212" s="539"/>
      <c r="L212" s="539"/>
      <c r="M212" s="539"/>
      <c r="N212" s="539"/>
      <c r="O212" s="539"/>
      <c r="P212" s="539"/>
      <c r="Q212" s="539"/>
      <c r="R212" s="539"/>
      <c r="S212" s="557"/>
      <c r="T212" s="557"/>
      <c r="U212" s="557"/>
      <c r="V212" s="557"/>
      <c r="W212" s="539"/>
      <c r="X212" s="539"/>
      <c r="Y212" s="557"/>
      <c r="Z212" s="557"/>
      <c r="AA212" s="539"/>
      <c r="AB212" s="539"/>
      <c r="AC212" s="539"/>
      <c r="AD212" s="557"/>
      <c r="AE212" s="557"/>
      <c r="AF212" s="557"/>
      <c r="AG212" s="557"/>
      <c r="AH212" s="557"/>
      <c r="AI212" s="557"/>
      <c r="AJ212" s="557"/>
      <c r="AK212" s="557"/>
      <c r="AL212" s="557"/>
      <c r="AM212" s="557"/>
      <c r="AN212" s="557"/>
      <c r="AO212" s="557"/>
      <c r="AP212" s="557"/>
      <c r="AQ212" s="557"/>
      <c r="AR212" s="557"/>
      <c r="AS212" s="557"/>
      <c r="AT212" s="557"/>
      <c r="AU212" s="557"/>
      <c r="AV212" s="557"/>
      <c r="AW212" s="557"/>
      <c r="AX212" s="557"/>
      <c r="AY212" s="557"/>
      <c r="AZ212" s="557"/>
      <c r="BA212" s="557"/>
      <c r="BB212" s="557"/>
      <c r="BC212" s="557"/>
      <c r="BD212" s="553"/>
      <c r="BE212" s="596"/>
      <c r="BF212" s="596"/>
      <c r="BG212" s="596"/>
      <c r="BH212" s="596"/>
      <c r="BI212" s="596"/>
      <c r="BJ212" s="596"/>
      <c r="BK212" s="596"/>
      <c r="BL212" s="596"/>
      <c r="BM212" s="596"/>
      <c r="BN212" s="596"/>
      <c r="BO212" s="596"/>
      <c r="BP212" s="596"/>
      <c r="BQ212" s="596"/>
      <c r="BR212" s="596"/>
      <c r="BS212" s="596"/>
      <c r="BT212" s="596"/>
    </row>
    <row r="213" spans="1:72" ht="15">
      <c r="A213" s="539"/>
      <c r="B213" s="539"/>
      <c r="C213" s="539"/>
      <c r="D213" s="539"/>
      <c r="E213" s="539"/>
      <c r="F213" s="539"/>
      <c r="G213" s="539"/>
      <c r="H213" s="539"/>
      <c r="I213" s="539"/>
      <c r="J213" s="539"/>
      <c r="K213" s="539"/>
      <c r="L213" s="539"/>
      <c r="M213" s="539"/>
      <c r="N213" s="539"/>
      <c r="O213" s="539"/>
      <c r="P213" s="539"/>
      <c r="Q213" s="539"/>
      <c r="R213" s="539"/>
      <c r="S213" s="557"/>
      <c r="T213" s="557"/>
      <c r="U213" s="557"/>
      <c r="V213" s="557"/>
      <c r="W213" s="539"/>
      <c r="X213" s="539"/>
      <c r="Y213" s="557"/>
      <c r="Z213" s="557"/>
      <c r="AA213" s="539"/>
      <c r="AB213" s="539"/>
      <c r="AC213" s="539"/>
      <c r="AD213" s="557"/>
      <c r="AE213" s="557"/>
      <c r="AF213" s="557"/>
      <c r="AG213" s="557"/>
      <c r="AH213" s="557"/>
      <c r="AI213" s="557"/>
      <c r="AJ213" s="557"/>
      <c r="AK213" s="557"/>
      <c r="AL213" s="557"/>
      <c r="AM213" s="557"/>
      <c r="AN213" s="557"/>
      <c r="AO213" s="557"/>
      <c r="AP213" s="557"/>
      <c r="AQ213" s="557"/>
      <c r="AR213" s="557"/>
      <c r="AS213" s="557"/>
      <c r="AT213" s="557"/>
      <c r="AU213" s="557"/>
      <c r="AV213" s="557"/>
      <c r="AW213" s="557"/>
      <c r="AX213" s="557"/>
      <c r="AY213" s="557"/>
      <c r="AZ213" s="557"/>
      <c r="BA213" s="557"/>
      <c r="BB213" s="557"/>
      <c r="BC213" s="557"/>
      <c r="BD213" s="553"/>
      <c r="BE213" s="596"/>
      <c r="BF213" s="596"/>
      <c r="BG213" s="596"/>
      <c r="BH213" s="596"/>
      <c r="BI213" s="596"/>
      <c r="BJ213" s="596"/>
      <c r="BK213" s="596"/>
      <c r="BL213" s="596"/>
      <c r="BM213" s="596"/>
      <c r="BN213" s="596"/>
      <c r="BO213" s="596"/>
      <c r="BP213" s="596"/>
      <c r="BQ213" s="596"/>
      <c r="BR213" s="596"/>
      <c r="BS213" s="596"/>
      <c r="BT213" s="596"/>
    </row>
    <row r="214" spans="1:72" ht="15">
      <c r="A214" s="539"/>
      <c r="B214" s="539"/>
      <c r="C214" s="539"/>
      <c r="D214" s="539"/>
      <c r="E214" s="539"/>
      <c r="F214" s="539"/>
      <c r="G214" s="539"/>
      <c r="H214" s="539"/>
      <c r="I214" s="539"/>
      <c r="J214" s="539"/>
      <c r="K214" s="539"/>
      <c r="L214" s="539"/>
      <c r="M214" s="539"/>
      <c r="N214" s="539"/>
      <c r="O214" s="539"/>
      <c r="P214" s="539"/>
      <c r="Q214" s="539"/>
      <c r="R214" s="539"/>
      <c r="S214" s="557"/>
      <c r="T214" s="557"/>
      <c r="U214" s="557"/>
      <c r="V214" s="557"/>
      <c r="W214" s="539"/>
      <c r="X214" s="539"/>
      <c r="Y214" s="557"/>
      <c r="Z214" s="557"/>
      <c r="AA214" s="539"/>
      <c r="AB214" s="539"/>
      <c r="AC214" s="539"/>
      <c r="AD214" s="557"/>
      <c r="AE214" s="557"/>
      <c r="AF214" s="557"/>
      <c r="AG214" s="557"/>
      <c r="AH214" s="557"/>
      <c r="AI214" s="557"/>
      <c r="AJ214" s="557"/>
      <c r="AK214" s="557"/>
      <c r="AL214" s="557"/>
      <c r="AM214" s="557"/>
      <c r="AN214" s="557"/>
      <c r="AO214" s="557"/>
      <c r="AP214" s="557"/>
      <c r="AQ214" s="557"/>
      <c r="AR214" s="557"/>
      <c r="AS214" s="557"/>
      <c r="AT214" s="557"/>
      <c r="AU214" s="557"/>
      <c r="AV214" s="557"/>
      <c r="AW214" s="557"/>
      <c r="AX214" s="557"/>
      <c r="AY214" s="557"/>
      <c r="AZ214" s="557"/>
      <c r="BA214" s="557"/>
      <c r="BB214" s="557"/>
      <c r="BC214" s="557"/>
      <c r="BD214" s="553"/>
      <c r="BE214" s="596"/>
      <c r="BF214" s="596"/>
      <c r="BG214" s="596"/>
      <c r="BH214" s="596"/>
      <c r="BI214" s="596"/>
      <c r="BJ214" s="596"/>
      <c r="BK214" s="596"/>
      <c r="BL214" s="596"/>
      <c r="BM214" s="596"/>
      <c r="BN214" s="596"/>
      <c r="BO214" s="596"/>
      <c r="BP214" s="596"/>
      <c r="BQ214" s="596"/>
      <c r="BR214" s="596"/>
      <c r="BS214" s="596"/>
      <c r="BT214" s="596"/>
    </row>
    <row r="215" spans="1:72" ht="15">
      <c r="A215" s="539"/>
      <c r="B215" s="539"/>
      <c r="C215" s="539"/>
      <c r="D215" s="539"/>
      <c r="E215" s="539"/>
      <c r="F215" s="539"/>
      <c r="G215" s="539"/>
      <c r="H215" s="539"/>
      <c r="I215" s="539"/>
      <c r="J215" s="539"/>
      <c r="K215" s="539"/>
      <c r="L215" s="539"/>
      <c r="M215" s="539"/>
      <c r="N215" s="539"/>
      <c r="O215" s="539"/>
      <c r="P215" s="539"/>
      <c r="Q215" s="539"/>
      <c r="R215" s="539"/>
      <c r="S215" s="557"/>
      <c r="T215" s="557"/>
      <c r="U215" s="557"/>
      <c r="V215" s="557"/>
      <c r="W215" s="539"/>
      <c r="X215" s="539"/>
      <c r="Y215" s="557"/>
      <c r="Z215" s="557"/>
      <c r="AA215" s="539"/>
      <c r="AB215" s="539"/>
      <c r="AC215" s="539"/>
      <c r="AD215" s="557"/>
      <c r="AE215" s="557"/>
      <c r="AF215" s="557"/>
      <c r="AG215" s="557"/>
      <c r="AH215" s="557"/>
      <c r="AI215" s="557"/>
      <c r="AJ215" s="557"/>
      <c r="AK215" s="557"/>
      <c r="AL215" s="557"/>
      <c r="AM215" s="557"/>
      <c r="AN215" s="557"/>
      <c r="AO215" s="557"/>
      <c r="AP215" s="557"/>
      <c r="AQ215" s="557"/>
      <c r="AR215" s="557"/>
      <c r="AS215" s="557"/>
      <c r="AT215" s="557"/>
      <c r="AU215" s="557"/>
      <c r="AV215" s="557"/>
      <c r="AW215" s="557"/>
      <c r="AX215" s="557"/>
      <c r="AY215" s="557"/>
      <c r="AZ215" s="557"/>
      <c r="BA215" s="557"/>
      <c r="BB215" s="557"/>
      <c r="BC215" s="557"/>
      <c r="BD215" s="553"/>
      <c r="BE215" s="596"/>
      <c r="BF215" s="596"/>
      <c r="BG215" s="596"/>
      <c r="BH215" s="596"/>
      <c r="BI215" s="596"/>
      <c r="BJ215" s="596"/>
      <c r="BK215" s="596"/>
      <c r="BL215" s="596"/>
      <c r="BM215" s="596"/>
      <c r="BN215" s="596"/>
      <c r="BO215" s="596"/>
      <c r="BP215" s="596"/>
      <c r="BQ215" s="596"/>
      <c r="BR215" s="596"/>
      <c r="BS215" s="596"/>
      <c r="BT215" s="596"/>
    </row>
    <row r="216" spans="1:72" ht="15">
      <c r="A216" s="539"/>
      <c r="B216" s="539"/>
      <c r="C216" s="539"/>
      <c r="D216" s="539"/>
      <c r="E216" s="539"/>
      <c r="F216" s="539"/>
      <c r="G216" s="539"/>
      <c r="H216" s="539"/>
      <c r="I216" s="539"/>
      <c r="J216" s="539"/>
      <c r="K216" s="539"/>
      <c r="L216" s="539"/>
      <c r="M216" s="539"/>
      <c r="N216" s="539"/>
      <c r="O216" s="539"/>
      <c r="P216" s="539"/>
      <c r="Q216" s="539"/>
      <c r="R216" s="539"/>
      <c r="S216" s="557"/>
      <c r="T216" s="557"/>
      <c r="U216" s="557"/>
      <c r="V216" s="557"/>
      <c r="W216" s="539"/>
      <c r="X216" s="539"/>
      <c r="Y216" s="557"/>
      <c r="Z216" s="557"/>
      <c r="AA216" s="539"/>
      <c r="AB216" s="539"/>
      <c r="AC216" s="539"/>
      <c r="AD216" s="557"/>
      <c r="AE216" s="557"/>
      <c r="AF216" s="557"/>
      <c r="AG216" s="557"/>
      <c r="AH216" s="557"/>
      <c r="AI216" s="557"/>
      <c r="AJ216" s="557"/>
      <c r="AK216" s="557"/>
      <c r="AL216" s="557"/>
      <c r="AM216" s="557"/>
      <c r="AN216" s="557"/>
      <c r="AO216" s="557"/>
      <c r="AP216" s="557"/>
      <c r="AQ216" s="557"/>
      <c r="AR216" s="557"/>
      <c r="AS216" s="557"/>
      <c r="AT216" s="557"/>
      <c r="AU216" s="557"/>
      <c r="AV216" s="557"/>
      <c r="AW216" s="557"/>
      <c r="AX216" s="557"/>
      <c r="AY216" s="557"/>
      <c r="AZ216" s="557"/>
      <c r="BA216" s="557"/>
      <c r="BB216" s="557"/>
      <c r="BC216" s="557"/>
      <c r="BD216" s="553"/>
      <c r="BE216" s="596"/>
      <c r="BF216" s="596"/>
      <c r="BG216" s="596"/>
      <c r="BH216" s="596"/>
      <c r="BI216" s="596"/>
      <c r="BJ216" s="596"/>
      <c r="BK216" s="596"/>
      <c r="BL216" s="596"/>
      <c r="BM216" s="596"/>
      <c r="BN216" s="596"/>
      <c r="BO216" s="596"/>
      <c r="BP216" s="596"/>
      <c r="BQ216" s="596"/>
      <c r="BR216" s="596"/>
      <c r="BS216" s="596"/>
      <c r="BT216" s="596"/>
    </row>
    <row r="217" spans="1:72" ht="15">
      <c r="A217" s="539"/>
      <c r="B217" s="539"/>
      <c r="C217" s="539"/>
      <c r="D217" s="539"/>
      <c r="E217" s="539"/>
      <c r="F217" s="539"/>
      <c r="G217" s="539"/>
      <c r="H217" s="539"/>
      <c r="I217" s="539"/>
      <c r="J217" s="539"/>
      <c r="K217" s="539"/>
      <c r="L217" s="539"/>
      <c r="M217" s="539"/>
      <c r="N217" s="539"/>
      <c r="O217" s="539"/>
      <c r="P217" s="539"/>
      <c r="Q217" s="539"/>
      <c r="R217" s="539"/>
      <c r="S217" s="557"/>
      <c r="T217" s="557"/>
      <c r="U217" s="557"/>
      <c r="V217" s="557"/>
      <c r="W217" s="539"/>
      <c r="X217" s="539"/>
      <c r="Y217" s="557"/>
      <c r="Z217" s="557"/>
      <c r="AA217" s="539"/>
      <c r="AB217" s="539"/>
      <c r="AC217" s="539"/>
      <c r="AD217" s="557"/>
      <c r="AE217" s="557"/>
      <c r="AF217" s="557"/>
      <c r="AG217" s="557"/>
      <c r="AH217" s="557"/>
      <c r="AI217" s="557"/>
      <c r="AJ217" s="557"/>
      <c r="AK217" s="557"/>
      <c r="AL217" s="557"/>
      <c r="AM217" s="557"/>
      <c r="AN217" s="557"/>
      <c r="AO217" s="557"/>
      <c r="AP217" s="557"/>
      <c r="AQ217" s="557"/>
      <c r="AR217" s="557"/>
      <c r="AS217" s="557"/>
      <c r="AT217" s="557"/>
      <c r="AU217" s="557"/>
      <c r="AV217" s="557"/>
      <c r="AW217" s="557"/>
      <c r="AX217" s="557"/>
      <c r="AY217" s="557"/>
      <c r="AZ217" s="557"/>
      <c r="BA217" s="557"/>
      <c r="BB217" s="557"/>
      <c r="BC217" s="557"/>
      <c r="BD217" s="553"/>
      <c r="BE217" s="596"/>
      <c r="BF217" s="596"/>
      <c r="BG217" s="596"/>
      <c r="BH217" s="596"/>
      <c r="BI217" s="596"/>
      <c r="BJ217" s="596"/>
      <c r="BK217" s="596"/>
      <c r="BL217" s="596"/>
      <c r="BM217" s="596"/>
      <c r="BN217" s="596"/>
      <c r="BO217" s="596"/>
      <c r="BP217" s="596"/>
      <c r="BQ217" s="596"/>
      <c r="BR217" s="596"/>
      <c r="BS217" s="596"/>
      <c r="BT217" s="596"/>
    </row>
    <row r="218" spans="1:72" ht="15">
      <c r="A218" s="539"/>
      <c r="B218" s="539"/>
      <c r="C218" s="539"/>
      <c r="D218" s="539"/>
      <c r="E218" s="539"/>
      <c r="F218" s="539"/>
      <c r="G218" s="539"/>
      <c r="H218" s="539"/>
      <c r="I218" s="539"/>
      <c r="J218" s="539"/>
      <c r="K218" s="539"/>
      <c r="L218" s="539"/>
      <c r="M218" s="539"/>
      <c r="N218" s="539"/>
      <c r="O218" s="539"/>
      <c r="P218" s="539"/>
      <c r="Q218" s="539"/>
      <c r="R218" s="539"/>
      <c r="S218" s="557"/>
      <c r="T218" s="557"/>
      <c r="U218" s="557"/>
      <c r="V218" s="557"/>
      <c r="W218" s="539"/>
      <c r="X218" s="539"/>
      <c r="Y218" s="557"/>
      <c r="Z218" s="557"/>
      <c r="AA218" s="539"/>
      <c r="AB218" s="539"/>
      <c r="AC218" s="539"/>
      <c r="AD218" s="557"/>
      <c r="AE218" s="557"/>
      <c r="AF218" s="557"/>
      <c r="AG218" s="557"/>
      <c r="AH218" s="557"/>
      <c r="AI218" s="557"/>
      <c r="AJ218" s="557"/>
      <c r="AK218" s="557"/>
      <c r="AL218" s="557"/>
      <c r="AM218" s="557"/>
      <c r="AN218" s="557"/>
      <c r="AO218" s="557"/>
      <c r="AP218" s="557"/>
      <c r="AQ218" s="557"/>
      <c r="AR218" s="557"/>
      <c r="AS218" s="557"/>
      <c r="AT218" s="557"/>
      <c r="AU218" s="557"/>
      <c r="AV218" s="557"/>
      <c r="AW218" s="557"/>
      <c r="AX218" s="557"/>
      <c r="AY218" s="557"/>
      <c r="AZ218" s="557"/>
      <c r="BA218" s="557"/>
      <c r="BB218" s="557"/>
      <c r="BC218" s="557"/>
      <c r="BD218" s="553"/>
      <c r="BE218" s="596"/>
      <c r="BF218" s="596"/>
      <c r="BG218" s="596"/>
      <c r="BH218" s="596"/>
      <c r="BI218" s="596"/>
      <c r="BJ218" s="596"/>
      <c r="BK218" s="596"/>
      <c r="BL218" s="596"/>
      <c r="BM218" s="596"/>
      <c r="BN218" s="596"/>
      <c r="BO218" s="596"/>
      <c r="BP218" s="596"/>
      <c r="BQ218" s="596"/>
      <c r="BR218" s="596"/>
      <c r="BS218" s="596"/>
      <c r="BT218" s="596"/>
    </row>
    <row r="219" spans="1:72" ht="15">
      <c r="A219" s="539"/>
      <c r="B219" s="539"/>
      <c r="C219" s="539"/>
      <c r="D219" s="539"/>
      <c r="E219" s="539"/>
      <c r="F219" s="539"/>
      <c r="G219" s="539"/>
      <c r="H219" s="539"/>
      <c r="I219" s="539"/>
      <c r="J219" s="539"/>
      <c r="K219" s="539"/>
      <c r="L219" s="539"/>
      <c r="M219" s="539"/>
      <c r="N219" s="539"/>
      <c r="O219" s="539"/>
      <c r="P219" s="539"/>
      <c r="Q219" s="539"/>
      <c r="R219" s="539"/>
      <c r="S219" s="557"/>
      <c r="T219" s="557"/>
      <c r="U219" s="557"/>
      <c r="V219" s="557"/>
      <c r="W219" s="539"/>
      <c r="X219" s="539"/>
      <c r="Y219" s="557"/>
      <c r="Z219" s="557"/>
      <c r="AA219" s="539"/>
      <c r="AB219" s="539"/>
      <c r="AC219" s="539"/>
      <c r="AD219" s="557"/>
      <c r="AE219" s="557"/>
      <c r="AF219" s="557"/>
      <c r="AG219" s="557"/>
      <c r="AH219" s="557"/>
      <c r="AI219" s="557"/>
      <c r="AJ219" s="557"/>
      <c r="AK219" s="557"/>
      <c r="AL219" s="557"/>
      <c r="AM219" s="557"/>
      <c r="AN219" s="557"/>
      <c r="AO219" s="557"/>
      <c r="AP219" s="557"/>
      <c r="AQ219" s="557"/>
      <c r="AR219" s="557"/>
      <c r="AS219" s="557"/>
      <c r="AT219" s="557"/>
      <c r="AU219" s="557"/>
      <c r="AV219" s="557"/>
      <c r="AW219" s="557"/>
      <c r="AX219" s="557"/>
      <c r="AY219" s="557"/>
      <c r="AZ219" s="557"/>
      <c r="BA219" s="557"/>
      <c r="BB219" s="557"/>
      <c r="BC219" s="557"/>
      <c r="BD219" s="553"/>
      <c r="BE219" s="596"/>
      <c r="BF219" s="596"/>
      <c r="BG219" s="596"/>
      <c r="BH219" s="596"/>
      <c r="BI219" s="596"/>
      <c r="BJ219" s="596"/>
      <c r="BK219" s="596"/>
      <c r="BL219" s="596"/>
      <c r="BM219" s="596"/>
      <c r="BN219" s="596"/>
      <c r="BO219" s="596"/>
      <c r="BP219" s="596"/>
      <c r="BQ219" s="596"/>
      <c r="BR219" s="596"/>
      <c r="BS219" s="596"/>
      <c r="BT219" s="596"/>
    </row>
    <row r="220" spans="1:72" ht="15">
      <c r="A220" s="539"/>
      <c r="B220" s="539"/>
      <c r="C220" s="539"/>
      <c r="D220" s="539"/>
      <c r="E220" s="539"/>
      <c r="F220" s="539"/>
      <c r="G220" s="539"/>
      <c r="H220" s="539"/>
      <c r="I220" s="539"/>
      <c r="J220" s="539"/>
      <c r="K220" s="539"/>
      <c r="L220" s="539"/>
      <c r="M220" s="539"/>
      <c r="N220" s="539"/>
      <c r="O220" s="539"/>
      <c r="P220" s="539"/>
      <c r="Q220" s="539"/>
      <c r="R220" s="539"/>
      <c r="S220" s="557"/>
      <c r="T220" s="557"/>
      <c r="U220" s="557"/>
      <c r="V220" s="557"/>
      <c r="W220" s="539"/>
      <c r="X220" s="539"/>
      <c r="Y220" s="557"/>
      <c r="Z220" s="557"/>
      <c r="AA220" s="539"/>
      <c r="AB220" s="539"/>
      <c r="AC220" s="539"/>
      <c r="AD220" s="557"/>
      <c r="AE220" s="557"/>
      <c r="AF220" s="557"/>
      <c r="AG220" s="557"/>
      <c r="AH220" s="557"/>
      <c r="AI220" s="557"/>
      <c r="AJ220" s="557"/>
      <c r="AK220" s="557"/>
      <c r="AL220" s="557"/>
      <c r="AM220" s="557"/>
      <c r="AN220" s="557"/>
      <c r="AO220" s="557"/>
      <c r="AP220" s="557"/>
      <c r="AQ220" s="557"/>
      <c r="AR220" s="557"/>
      <c r="AS220" s="557"/>
      <c r="AT220" s="557"/>
      <c r="AU220" s="557"/>
      <c r="AV220" s="557"/>
      <c r="AW220" s="557"/>
      <c r="AX220" s="557"/>
      <c r="AY220" s="557"/>
      <c r="AZ220" s="557"/>
      <c r="BA220" s="557"/>
      <c r="BB220" s="557"/>
      <c r="BC220" s="557"/>
      <c r="BD220" s="553"/>
      <c r="BE220" s="596"/>
      <c r="BF220" s="596"/>
      <c r="BG220" s="596"/>
      <c r="BH220" s="596"/>
      <c r="BI220" s="596"/>
      <c r="BJ220" s="596"/>
      <c r="BK220" s="596"/>
      <c r="BL220" s="596"/>
      <c r="BM220" s="596"/>
      <c r="BN220" s="596"/>
      <c r="BO220" s="596"/>
      <c r="BP220" s="596"/>
      <c r="BQ220" s="596"/>
      <c r="BR220" s="596"/>
      <c r="BS220" s="596"/>
      <c r="BT220" s="596"/>
    </row>
    <row r="221" spans="1:72" ht="15">
      <c r="A221" s="539"/>
      <c r="B221" s="539"/>
      <c r="C221" s="539"/>
      <c r="D221" s="539"/>
      <c r="E221" s="539"/>
      <c r="F221" s="539"/>
      <c r="G221" s="539"/>
      <c r="H221" s="539"/>
      <c r="I221" s="539"/>
      <c r="J221" s="539"/>
      <c r="K221" s="539"/>
      <c r="L221" s="539"/>
      <c r="M221" s="539"/>
      <c r="N221" s="539"/>
      <c r="O221" s="539"/>
      <c r="P221" s="539"/>
      <c r="Q221" s="539"/>
      <c r="R221" s="539"/>
      <c r="S221" s="557"/>
      <c r="T221" s="557"/>
      <c r="U221" s="557"/>
      <c r="V221" s="557"/>
      <c r="W221" s="539"/>
      <c r="X221" s="539"/>
      <c r="Y221" s="557"/>
      <c r="Z221" s="557"/>
      <c r="AA221" s="539"/>
      <c r="AB221" s="539"/>
      <c r="AC221" s="539"/>
      <c r="AD221" s="557"/>
      <c r="AE221" s="557"/>
      <c r="AF221" s="557"/>
      <c r="AG221" s="557"/>
      <c r="AH221" s="557"/>
      <c r="AI221" s="557"/>
      <c r="AJ221" s="557"/>
      <c r="AK221" s="557"/>
      <c r="AL221" s="557"/>
      <c r="AM221" s="557"/>
      <c r="AN221" s="557"/>
      <c r="AO221" s="557"/>
      <c r="AP221" s="557"/>
      <c r="AQ221" s="557"/>
      <c r="AR221" s="557"/>
      <c r="AS221" s="557"/>
      <c r="AT221" s="557"/>
      <c r="AU221" s="557"/>
      <c r="AV221" s="557"/>
      <c r="AW221" s="557"/>
      <c r="AX221" s="557"/>
      <c r="AY221" s="557"/>
      <c r="AZ221" s="557"/>
      <c r="BA221" s="557"/>
      <c r="BB221" s="557"/>
      <c r="BC221" s="557"/>
      <c r="BD221" s="553"/>
      <c r="BE221" s="596"/>
      <c r="BF221" s="596"/>
      <c r="BG221" s="596"/>
      <c r="BH221" s="596"/>
      <c r="BI221" s="596"/>
      <c r="BJ221" s="596"/>
      <c r="BK221" s="596"/>
      <c r="BL221" s="596"/>
      <c r="BM221" s="596"/>
      <c r="BN221" s="596"/>
      <c r="BO221" s="596"/>
      <c r="BP221" s="596"/>
      <c r="BQ221" s="596"/>
      <c r="BR221" s="596"/>
      <c r="BS221" s="596"/>
      <c r="BT221" s="596"/>
    </row>
    <row r="222" spans="1:72" ht="15">
      <c r="A222" s="539"/>
      <c r="B222" s="539"/>
      <c r="C222" s="539"/>
      <c r="D222" s="539"/>
      <c r="E222" s="539"/>
      <c r="F222" s="539"/>
      <c r="G222" s="539"/>
      <c r="H222" s="539"/>
      <c r="I222" s="539"/>
      <c r="J222" s="539"/>
      <c r="K222" s="539"/>
      <c r="L222" s="539"/>
      <c r="M222" s="539"/>
      <c r="N222" s="539"/>
      <c r="O222" s="539"/>
      <c r="P222" s="539"/>
      <c r="Q222" s="539"/>
      <c r="R222" s="539"/>
      <c r="S222" s="557"/>
      <c r="T222" s="557"/>
      <c r="U222" s="557"/>
      <c r="V222" s="557"/>
      <c r="W222" s="539"/>
      <c r="X222" s="539"/>
      <c r="Y222" s="557"/>
      <c r="Z222" s="557"/>
      <c r="AA222" s="539"/>
      <c r="AB222" s="539"/>
      <c r="AC222" s="539"/>
      <c r="AD222" s="557"/>
      <c r="AE222" s="557"/>
      <c r="AF222" s="557"/>
      <c r="AG222" s="557"/>
      <c r="AH222" s="557"/>
      <c r="AI222" s="557"/>
      <c r="AJ222" s="557"/>
      <c r="AK222" s="557"/>
      <c r="AL222" s="557"/>
      <c r="AM222" s="557"/>
      <c r="AN222" s="557"/>
      <c r="AO222" s="557"/>
      <c r="AP222" s="557"/>
      <c r="AQ222" s="557"/>
      <c r="AR222" s="557"/>
      <c r="AS222" s="557"/>
      <c r="AT222" s="557"/>
      <c r="AU222" s="557"/>
      <c r="AV222" s="557"/>
      <c r="AW222" s="557"/>
      <c r="AX222" s="557"/>
      <c r="AY222" s="557"/>
      <c r="AZ222" s="557"/>
      <c r="BA222" s="557"/>
      <c r="BB222" s="557"/>
      <c r="BC222" s="557"/>
      <c r="BD222" s="553"/>
      <c r="BE222" s="596"/>
      <c r="BF222" s="596"/>
      <c r="BG222" s="596"/>
      <c r="BH222" s="596"/>
      <c r="BI222" s="596"/>
      <c r="BJ222" s="596"/>
      <c r="BK222" s="596"/>
      <c r="BL222" s="596"/>
      <c r="BM222" s="596"/>
      <c r="BN222" s="596"/>
      <c r="BO222" s="596"/>
      <c r="BP222" s="596"/>
      <c r="BQ222" s="596"/>
      <c r="BR222" s="596"/>
      <c r="BS222" s="596"/>
      <c r="BT222" s="596"/>
    </row>
    <row r="223" spans="1:72" ht="15">
      <c r="A223" s="539"/>
      <c r="B223" s="539"/>
      <c r="C223" s="539"/>
      <c r="D223" s="539"/>
      <c r="E223" s="539"/>
      <c r="F223" s="539"/>
      <c r="G223" s="539"/>
      <c r="H223" s="539"/>
      <c r="I223" s="539"/>
      <c r="J223" s="539"/>
      <c r="K223" s="539"/>
      <c r="L223" s="539"/>
      <c r="M223" s="539"/>
      <c r="N223" s="539"/>
      <c r="O223" s="539"/>
      <c r="P223" s="539"/>
      <c r="Q223" s="539"/>
      <c r="R223" s="539"/>
      <c r="S223" s="557"/>
      <c r="T223" s="557"/>
      <c r="U223" s="557"/>
      <c r="V223" s="557"/>
      <c r="W223" s="539"/>
      <c r="X223" s="539"/>
      <c r="Y223" s="557"/>
      <c r="Z223" s="557"/>
      <c r="AA223" s="539"/>
      <c r="AB223" s="539"/>
      <c r="AC223" s="539"/>
      <c r="AD223" s="557"/>
      <c r="AE223" s="557"/>
      <c r="AF223" s="557"/>
      <c r="AG223" s="557"/>
      <c r="AH223" s="557"/>
      <c r="AI223" s="557"/>
      <c r="AJ223" s="557"/>
      <c r="AK223" s="557"/>
      <c r="AL223" s="557"/>
      <c r="AM223" s="557"/>
      <c r="AN223" s="557"/>
      <c r="AO223" s="557"/>
      <c r="AP223" s="557"/>
      <c r="AQ223" s="557"/>
      <c r="AR223" s="557"/>
      <c r="AS223" s="557"/>
      <c r="AT223" s="557"/>
      <c r="AU223" s="557"/>
      <c r="AV223" s="557"/>
      <c r="AW223" s="557"/>
      <c r="AX223" s="557"/>
      <c r="AY223" s="557"/>
      <c r="AZ223" s="557"/>
      <c r="BA223" s="557"/>
      <c r="BB223" s="557"/>
      <c r="BC223" s="557"/>
      <c r="BD223" s="553"/>
      <c r="BE223" s="596"/>
      <c r="BF223" s="596"/>
      <c r="BG223" s="596"/>
      <c r="BH223" s="596"/>
      <c r="BI223" s="596"/>
      <c r="BJ223" s="596"/>
      <c r="BK223" s="596"/>
      <c r="BL223" s="596"/>
      <c r="BM223" s="596"/>
      <c r="BN223" s="596"/>
      <c r="BO223" s="596"/>
      <c r="BP223" s="596"/>
      <c r="BQ223" s="596"/>
      <c r="BR223" s="596"/>
      <c r="BS223" s="596"/>
      <c r="BT223" s="596"/>
    </row>
    <row r="224" spans="1:72" ht="15">
      <c r="A224" s="539"/>
      <c r="B224" s="539"/>
      <c r="C224" s="539"/>
      <c r="D224" s="539"/>
      <c r="E224" s="539"/>
      <c r="F224" s="539"/>
      <c r="G224" s="539"/>
      <c r="H224" s="539"/>
      <c r="I224" s="539"/>
      <c r="J224" s="539"/>
      <c r="K224" s="539"/>
      <c r="L224" s="539"/>
      <c r="M224" s="539"/>
      <c r="N224" s="539"/>
      <c r="O224" s="539"/>
      <c r="P224" s="539"/>
      <c r="Q224" s="539"/>
      <c r="R224" s="539"/>
      <c r="S224" s="557"/>
      <c r="T224" s="557"/>
      <c r="U224" s="557"/>
      <c r="V224" s="557"/>
      <c r="W224" s="539"/>
      <c r="X224" s="539"/>
      <c r="Y224" s="557"/>
      <c r="Z224" s="557"/>
      <c r="AA224" s="539"/>
      <c r="AB224" s="539"/>
      <c r="AC224" s="539"/>
      <c r="AD224" s="557"/>
      <c r="AE224" s="557"/>
      <c r="AF224" s="557"/>
      <c r="AG224" s="557"/>
      <c r="AH224" s="557"/>
      <c r="AI224" s="557"/>
      <c r="AJ224" s="557"/>
      <c r="AK224" s="557"/>
      <c r="AL224" s="557"/>
      <c r="AM224" s="557"/>
      <c r="AN224" s="557"/>
      <c r="AO224" s="557"/>
      <c r="AP224" s="557"/>
      <c r="AQ224" s="557"/>
      <c r="AR224" s="557"/>
      <c r="AS224" s="557"/>
      <c r="AT224" s="557"/>
      <c r="AU224" s="557"/>
      <c r="AV224" s="557"/>
      <c r="AW224" s="557"/>
      <c r="AX224" s="557"/>
      <c r="AY224" s="557"/>
      <c r="AZ224" s="557"/>
      <c r="BA224" s="557"/>
      <c r="BB224" s="557"/>
      <c r="BC224" s="557"/>
      <c r="BD224" s="553"/>
      <c r="BE224" s="596"/>
      <c r="BF224" s="596"/>
      <c r="BG224" s="596"/>
      <c r="BH224" s="596"/>
      <c r="BI224" s="596"/>
      <c r="BJ224" s="596"/>
      <c r="BK224" s="596"/>
      <c r="BL224" s="596"/>
      <c r="BM224" s="596"/>
      <c r="BN224" s="596"/>
      <c r="BO224" s="596"/>
      <c r="BP224" s="596"/>
      <c r="BQ224" s="596"/>
      <c r="BR224" s="596"/>
      <c r="BS224" s="596"/>
      <c r="BT224" s="596"/>
    </row>
    <row r="225" spans="1:72" ht="15">
      <c r="A225" s="539"/>
      <c r="B225" s="539"/>
      <c r="C225" s="539"/>
      <c r="D225" s="539"/>
      <c r="E225" s="539"/>
      <c r="F225" s="539"/>
      <c r="G225" s="539"/>
      <c r="H225" s="539"/>
      <c r="I225" s="539"/>
      <c r="J225" s="539"/>
      <c r="K225" s="539"/>
      <c r="L225" s="539"/>
      <c r="M225" s="539"/>
      <c r="N225" s="539"/>
      <c r="O225" s="539"/>
      <c r="P225" s="539"/>
      <c r="Q225" s="539"/>
      <c r="R225" s="539"/>
      <c r="S225" s="557"/>
      <c r="T225" s="557"/>
      <c r="U225" s="557"/>
      <c r="V225" s="557"/>
      <c r="W225" s="539"/>
      <c r="X225" s="539"/>
      <c r="Y225" s="557"/>
      <c r="Z225" s="557"/>
      <c r="AA225" s="539"/>
      <c r="AB225" s="539"/>
      <c r="AC225" s="539"/>
      <c r="AD225" s="557"/>
      <c r="AE225" s="557"/>
      <c r="AF225" s="557"/>
      <c r="AG225" s="557"/>
      <c r="AH225" s="557"/>
      <c r="AI225" s="557"/>
      <c r="AJ225" s="557"/>
      <c r="AK225" s="557"/>
      <c r="AL225" s="557"/>
      <c r="AM225" s="557"/>
      <c r="AN225" s="557"/>
      <c r="AO225" s="557"/>
      <c r="AP225" s="557"/>
      <c r="AQ225" s="557"/>
      <c r="AR225" s="557"/>
      <c r="AS225" s="557"/>
      <c r="AT225" s="557"/>
      <c r="AU225" s="557"/>
      <c r="AV225" s="557"/>
      <c r="AW225" s="557"/>
      <c r="AX225" s="557"/>
      <c r="AY225" s="557"/>
      <c r="AZ225" s="557"/>
      <c r="BA225" s="557"/>
      <c r="BB225" s="557"/>
      <c r="BC225" s="557"/>
      <c r="BD225" s="553"/>
      <c r="BE225" s="596"/>
      <c r="BF225" s="596"/>
      <c r="BG225" s="596"/>
      <c r="BH225" s="596"/>
      <c r="BI225" s="596"/>
      <c r="BJ225" s="596"/>
      <c r="BK225" s="596"/>
      <c r="BL225" s="596"/>
      <c r="BM225" s="596"/>
      <c r="BN225" s="596"/>
      <c r="BO225" s="596"/>
      <c r="BP225" s="596"/>
      <c r="BQ225" s="596"/>
      <c r="BR225" s="596"/>
      <c r="BS225" s="596"/>
      <c r="BT225" s="596"/>
    </row>
    <row r="226" spans="1:72" ht="15">
      <c r="A226" s="539"/>
      <c r="B226" s="539"/>
      <c r="C226" s="539"/>
      <c r="D226" s="539"/>
      <c r="E226" s="539"/>
      <c r="F226" s="539"/>
      <c r="G226" s="539"/>
      <c r="H226" s="539"/>
      <c r="I226" s="539"/>
      <c r="J226" s="539"/>
      <c r="K226" s="539"/>
      <c r="L226" s="539"/>
      <c r="M226" s="539"/>
      <c r="N226" s="539"/>
      <c r="O226" s="539"/>
      <c r="P226" s="539"/>
      <c r="Q226" s="539"/>
      <c r="R226" s="539"/>
      <c r="S226" s="557"/>
      <c r="T226" s="557"/>
      <c r="U226" s="557"/>
      <c r="V226" s="557"/>
      <c r="W226" s="539"/>
      <c r="X226" s="539"/>
      <c r="Y226" s="557"/>
      <c r="Z226" s="557"/>
      <c r="AA226" s="539"/>
      <c r="AB226" s="539"/>
      <c r="AC226" s="539"/>
      <c r="AD226" s="557"/>
      <c r="AE226" s="557"/>
      <c r="AF226" s="557"/>
      <c r="AG226" s="557"/>
      <c r="AH226" s="557"/>
      <c r="AI226" s="557"/>
      <c r="AJ226" s="557"/>
      <c r="AK226" s="557"/>
      <c r="AL226" s="557"/>
      <c r="AM226" s="557"/>
      <c r="AN226" s="557"/>
      <c r="AO226" s="557"/>
      <c r="AP226" s="557"/>
      <c r="AQ226" s="557"/>
      <c r="AR226" s="557"/>
      <c r="AS226" s="557"/>
      <c r="AT226" s="557"/>
      <c r="AU226" s="557"/>
      <c r="AV226" s="557"/>
      <c r="AW226" s="557"/>
      <c r="AX226" s="557"/>
      <c r="AY226" s="557"/>
      <c r="AZ226" s="557"/>
      <c r="BA226" s="557"/>
      <c r="BB226" s="557"/>
      <c r="BC226" s="557"/>
      <c r="BD226" s="553"/>
      <c r="BE226" s="596"/>
      <c r="BF226" s="596"/>
      <c r="BG226" s="596"/>
      <c r="BH226" s="596"/>
      <c r="BI226" s="596"/>
      <c r="BJ226" s="596"/>
      <c r="BK226" s="596"/>
      <c r="BL226" s="596"/>
      <c r="BM226" s="596"/>
      <c r="BN226" s="596"/>
      <c r="BO226" s="596"/>
      <c r="BP226" s="596"/>
      <c r="BQ226" s="596"/>
      <c r="BR226" s="596"/>
      <c r="BS226" s="596"/>
      <c r="BT226" s="596"/>
    </row>
    <row r="227" spans="1:72" ht="15">
      <c r="A227" s="539"/>
      <c r="B227" s="539"/>
      <c r="C227" s="539"/>
      <c r="D227" s="539"/>
      <c r="E227" s="539"/>
      <c r="F227" s="539"/>
      <c r="G227" s="539"/>
      <c r="H227" s="539"/>
      <c r="I227" s="539"/>
      <c r="J227" s="539"/>
      <c r="K227" s="539"/>
      <c r="L227" s="539"/>
      <c r="M227" s="539"/>
      <c r="N227" s="539"/>
      <c r="O227" s="539"/>
      <c r="P227" s="539"/>
      <c r="Q227" s="539"/>
      <c r="R227" s="539"/>
      <c r="S227" s="557"/>
      <c r="T227" s="557"/>
      <c r="U227" s="557"/>
      <c r="V227" s="557"/>
      <c r="W227" s="539"/>
      <c r="X227" s="539"/>
      <c r="Y227" s="557"/>
      <c r="Z227" s="557"/>
      <c r="AA227" s="539"/>
      <c r="AB227" s="539"/>
      <c r="AC227" s="539"/>
      <c r="AD227" s="557"/>
      <c r="AE227" s="557"/>
      <c r="AF227" s="557"/>
      <c r="AG227" s="557"/>
      <c r="AH227" s="557"/>
      <c r="AI227" s="557"/>
      <c r="AJ227" s="557"/>
      <c r="AK227" s="557"/>
      <c r="AL227" s="557"/>
      <c r="AM227" s="557"/>
      <c r="AN227" s="557"/>
      <c r="AO227" s="557"/>
      <c r="AP227" s="557"/>
      <c r="AQ227" s="557"/>
      <c r="AR227" s="557"/>
      <c r="AS227" s="557"/>
      <c r="AT227" s="557"/>
      <c r="AU227" s="557"/>
      <c r="AV227" s="557"/>
      <c r="AW227" s="557"/>
      <c r="AX227" s="557"/>
      <c r="AY227" s="557"/>
      <c r="AZ227" s="557"/>
      <c r="BA227" s="557"/>
      <c r="BB227" s="557"/>
      <c r="BC227" s="557"/>
      <c r="BD227" s="553"/>
      <c r="BE227" s="596"/>
      <c r="BF227" s="596"/>
      <c r="BG227" s="596"/>
      <c r="BH227" s="596"/>
      <c r="BI227" s="596"/>
      <c r="BJ227" s="596"/>
      <c r="BK227" s="596"/>
      <c r="BL227" s="596"/>
      <c r="BM227" s="596"/>
      <c r="BN227" s="596"/>
      <c r="BO227" s="596"/>
      <c r="BP227" s="596"/>
      <c r="BQ227" s="596"/>
      <c r="BR227" s="596"/>
      <c r="BS227" s="596"/>
      <c r="BT227" s="596"/>
    </row>
    <row r="228" spans="1:72" ht="15">
      <c r="A228" s="539"/>
      <c r="B228" s="539"/>
      <c r="C228" s="539"/>
      <c r="D228" s="539"/>
      <c r="E228" s="539"/>
      <c r="F228" s="539"/>
      <c r="G228" s="539"/>
      <c r="H228" s="539"/>
      <c r="I228" s="539"/>
      <c r="J228" s="539"/>
      <c r="K228" s="539"/>
      <c r="L228" s="539"/>
      <c r="M228" s="539"/>
      <c r="N228" s="539"/>
      <c r="O228" s="539"/>
      <c r="P228" s="539"/>
      <c r="Q228" s="539"/>
      <c r="R228" s="539"/>
      <c r="S228" s="557"/>
      <c r="T228" s="557"/>
      <c r="U228" s="557"/>
      <c r="V228" s="557"/>
      <c r="W228" s="539"/>
      <c r="X228" s="539"/>
      <c r="Y228" s="557"/>
      <c r="Z228" s="557"/>
      <c r="AA228" s="539"/>
      <c r="AB228" s="539"/>
      <c r="AC228" s="539"/>
      <c r="AD228" s="557"/>
      <c r="AE228" s="557"/>
      <c r="AF228" s="557"/>
      <c r="AG228" s="557"/>
      <c r="AH228" s="557"/>
      <c r="AI228" s="557"/>
      <c r="AJ228" s="557"/>
      <c r="AK228" s="557"/>
      <c r="AL228" s="557"/>
      <c r="AM228" s="557"/>
      <c r="AN228" s="557"/>
      <c r="AO228" s="557"/>
      <c r="AP228" s="557"/>
      <c r="AQ228" s="557"/>
      <c r="AR228" s="557"/>
      <c r="AS228" s="557"/>
      <c r="AT228" s="557"/>
      <c r="AU228" s="557"/>
      <c r="AV228" s="557"/>
      <c r="AW228" s="557"/>
      <c r="AX228" s="557"/>
      <c r="AY228" s="557"/>
      <c r="AZ228" s="557"/>
      <c r="BA228" s="557"/>
      <c r="BB228" s="557"/>
      <c r="BC228" s="557"/>
      <c r="BD228" s="553"/>
      <c r="BE228" s="596"/>
      <c r="BF228" s="596"/>
      <c r="BG228" s="596"/>
      <c r="BH228" s="596"/>
      <c r="BI228" s="596"/>
      <c r="BJ228" s="596"/>
      <c r="BK228" s="596"/>
      <c r="BL228" s="596"/>
      <c r="BM228" s="596"/>
      <c r="BN228" s="596"/>
      <c r="BO228" s="596"/>
      <c r="BP228" s="596"/>
      <c r="BQ228" s="596"/>
      <c r="BR228" s="596"/>
      <c r="BS228" s="596"/>
      <c r="BT228" s="596"/>
    </row>
    <row r="229" spans="1:72" ht="15">
      <c r="A229" s="539"/>
      <c r="B229" s="539"/>
      <c r="C229" s="539"/>
      <c r="D229" s="539"/>
      <c r="E229" s="539"/>
      <c r="F229" s="539"/>
      <c r="G229" s="539"/>
      <c r="H229" s="539"/>
      <c r="I229" s="539"/>
      <c r="J229" s="539"/>
      <c r="K229" s="539"/>
      <c r="L229" s="539"/>
      <c r="M229" s="539"/>
      <c r="N229" s="539"/>
      <c r="O229" s="539"/>
      <c r="P229" s="539"/>
      <c r="Q229" s="539"/>
      <c r="R229" s="539"/>
      <c r="S229" s="557"/>
      <c r="T229" s="557"/>
      <c r="U229" s="557"/>
      <c r="V229" s="557"/>
      <c r="W229" s="539"/>
      <c r="X229" s="539"/>
      <c r="Y229" s="557"/>
      <c r="Z229" s="557"/>
      <c r="AA229" s="539"/>
      <c r="AB229" s="539"/>
      <c r="AC229" s="539"/>
      <c r="AD229" s="557"/>
      <c r="AE229" s="557"/>
      <c r="AF229" s="557"/>
      <c r="AG229" s="557"/>
      <c r="AH229" s="557"/>
      <c r="AI229" s="557"/>
      <c r="AJ229" s="557"/>
      <c r="AK229" s="557"/>
      <c r="AL229" s="557"/>
      <c r="AM229" s="557"/>
      <c r="AN229" s="557"/>
      <c r="AO229" s="557"/>
      <c r="AP229" s="557"/>
      <c r="AQ229" s="557"/>
      <c r="AR229" s="557"/>
      <c r="AS229" s="557"/>
      <c r="AT229" s="557"/>
      <c r="AU229" s="557"/>
      <c r="AV229" s="557"/>
      <c r="AW229" s="557"/>
      <c r="AX229" s="557"/>
      <c r="AY229" s="557"/>
      <c r="AZ229" s="557"/>
      <c r="BA229" s="557"/>
      <c r="BB229" s="557"/>
      <c r="BC229" s="557"/>
      <c r="BD229" s="553"/>
      <c r="BE229" s="596"/>
      <c r="BF229" s="596"/>
      <c r="BG229" s="596"/>
      <c r="BH229" s="596"/>
      <c r="BI229" s="596"/>
      <c r="BJ229" s="596"/>
      <c r="BK229" s="596"/>
      <c r="BL229" s="596"/>
      <c r="BM229" s="596"/>
      <c r="BN229" s="596"/>
      <c r="BO229" s="596"/>
      <c r="BP229" s="596"/>
      <c r="BQ229" s="596"/>
      <c r="BR229" s="596"/>
      <c r="BS229" s="596"/>
      <c r="BT229" s="596"/>
    </row>
    <row r="230" spans="1:72" ht="15">
      <c r="A230" s="539"/>
      <c r="B230" s="539"/>
      <c r="C230" s="539"/>
      <c r="D230" s="539"/>
      <c r="E230" s="539"/>
      <c r="F230" s="539"/>
      <c r="G230" s="539"/>
      <c r="H230" s="539"/>
      <c r="I230" s="539"/>
      <c r="J230" s="539"/>
      <c r="K230" s="539"/>
      <c r="L230" s="539"/>
      <c r="M230" s="539"/>
      <c r="N230" s="539"/>
      <c r="O230" s="539"/>
      <c r="P230" s="539"/>
      <c r="Q230" s="539"/>
      <c r="R230" s="539"/>
      <c r="S230" s="557"/>
      <c r="T230" s="557"/>
      <c r="U230" s="557"/>
      <c r="V230" s="557"/>
      <c r="W230" s="539"/>
      <c r="X230" s="539"/>
      <c r="Y230" s="557"/>
      <c r="Z230" s="557"/>
      <c r="AA230" s="539"/>
      <c r="AB230" s="539"/>
      <c r="AC230" s="539"/>
      <c r="AD230" s="557"/>
      <c r="AE230" s="557"/>
      <c r="AF230" s="557"/>
      <c r="AG230" s="557"/>
      <c r="AH230" s="557"/>
      <c r="AI230" s="557"/>
      <c r="AJ230" s="557"/>
      <c r="AK230" s="557"/>
      <c r="AL230" s="557"/>
      <c r="AM230" s="557"/>
      <c r="AN230" s="557"/>
      <c r="AO230" s="557"/>
      <c r="AP230" s="557"/>
      <c r="AQ230" s="557"/>
      <c r="AR230" s="557"/>
      <c r="AS230" s="557"/>
      <c r="AT230" s="557"/>
      <c r="AU230" s="557"/>
      <c r="AV230" s="557"/>
      <c r="AW230" s="557"/>
      <c r="AX230" s="557"/>
      <c r="AY230" s="557"/>
      <c r="AZ230" s="557"/>
      <c r="BA230" s="557"/>
      <c r="BB230" s="557"/>
      <c r="BC230" s="557"/>
      <c r="BD230" s="553"/>
      <c r="BE230" s="596"/>
      <c r="BF230" s="596"/>
      <c r="BG230" s="596"/>
      <c r="BH230" s="596"/>
      <c r="BI230" s="596"/>
      <c r="BJ230" s="596"/>
      <c r="BK230" s="596"/>
      <c r="BL230" s="596"/>
      <c r="BM230" s="596"/>
      <c r="BN230" s="596"/>
      <c r="BO230" s="596"/>
      <c r="BP230" s="596"/>
      <c r="BQ230" s="596"/>
      <c r="BR230" s="596"/>
      <c r="BS230" s="596"/>
      <c r="BT230" s="596"/>
    </row>
    <row r="231" spans="1:72" ht="15">
      <c r="A231" s="539"/>
      <c r="B231" s="539"/>
      <c r="C231" s="539"/>
      <c r="D231" s="539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539"/>
      <c r="S231" s="557"/>
      <c r="T231" s="557"/>
      <c r="U231" s="557"/>
      <c r="V231" s="557"/>
      <c r="W231" s="539"/>
      <c r="X231" s="539"/>
      <c r="Y231" s="557"/>
      <c r="Z231" s="557"/>
      <c r="AA231" s="539"/>
      <c r="AB231" s="539"/>
      <c r="AC231" s="539"/>
      <c r="AD231" s="557"/>
      <c r="AE231" s="557"/>
      <c r="AF231" s="557"/>
      <c r="AG231" s="557"/>
      <c r="AH231" s="557"/>
      <c r="AI231" s="557"/>
      <c r="AJ231" s="557"/>
      <c r="AK231" s="557"/>
      <c r="AL231" s="557"/>
      <c r="AM231" s="557"/>
      <c r="AN231" s="557"/>
      <c r="AO231" s="557"/>
      <c r="AP231" s="557"/>
      <c r="AQ231" s="557"/>
      <c r="AR231" s="557"/>
      <c r="AS231" s="557"/>
      <c r="AT231" s="557"/>
      <c r="AU231" s="557"/>
      <c r="AV231" s="557"/>
      <c r="AW231" s="557"/>
      <c r="AX231" s="557"/>
      <c r="AY231" s="557"/>
      <c r="AZ231" s="557"/>
      <c r="BA231" s="557"/>
      <c r="BB231" s="557"/>
      <c r="BC231" s="557"/>
      <c r="BD231" s="553"/>
      <c r="BE231" s="596"/>
      <c r="BF231" s="596"/>
      <c r="BG231" s="596"/>
      <c r="BH231" s="596"/>
      <c r="BI231" s="596"/>
      <c r="BJ231" s="596"/>
      <c r="BK231" s="596"/>
      <c r="BL231" s="596"/>
      <c r="BM231" s="596"/>
      <c r="BN231" s="596"/>
      <c r="BO231" s="596"/>
      <c r="BP231" s="596"/>
      <c r="BQ231" s="596"/>
      <c r="BR231" s="596"/>
      <c r="BS231" s="596"/>
      <c r="BT231" s="596"/>
    </row>
    <row r="232" spans="1:72" ht="15">
      <c r="A232" s="539"/>
      <c r="B232" s="539"/>
      <c r="C232" s="539"/>
      <c r="D232" s="539"/>
      <c r="E232" s="539"/>
      <c r="F232" s="539"/>
      <c r="G232" s="539"/>
      <c r="H232" s="539"/>
      <c r="I232" s="539"/>
      <c r="J232" s="539"/>
      <c r="K232" s="539"/>
      <c r="L232" s="539"/>
      <c r="M232" s="539"/>
      <c r="N232" s="539"/>
      <c r="O232" s="539"/>
      <c r="P232" s="539"/>
      <c r="Q232" s="539"/>
      <c r="R232" s="539"/>
      <c r="S232" s="557"/>
      <c r="T232" s="557"/>
      <c r="U232" s="557"/>
      <c r="V232" s="557"/>
      <c r="W232" s="539"/>
      <c r="X232" s="539"/>
      <c r="Y232" s="557"/>
      <c r="Z232" s="557"/>
      <c r="AA232" s="539"/>
      <c r="AB232" s="539"/>
      <c r="AC232" s="539"/>
      <c r="AD232" s="557"/>
      <c r="AE232" s="557"/>
      <c r="AF232" s="557"/>
      <c r="AG232" s="557"/>
      <c r="AH232" s="557"/>
      <c r="AI232" s="557"/>
      <c r="AJ232" s="557"/>
      <c r="AK232" s="557"/>
      <c r="AL232" s="557"/>
      <c r="AM232" s="557"/>
      <c r="AN232" s="557"/>
      <c r="AO232" s="557"/>
      <c r="AP232" s="557"/>
      <c r="AQ232" s="557"/>
      <c r="AR232" s="557"/>
      <c r="AS232" s="557"/>
      <c r="AT232" s="557"/>
      <c r="AU232" s="557"/>
      <c r="AV232" s="557"/>
      <c r="AW232" s="557"/>
      <c r="AX232" s="557"/>
      <c r="AY232" s="557"/>
      <c r="AZ232" s="557"/>
      <c r="BA232" s="557"/>
      <c r="BB232" s="557"/>
      <c r="BC232" s="557"/>
      <c r="BD232" s="553"/>
      <c r="BE232" s="596"/>
      <c r="BF232" s="596"/>
      <c r="BG232" s="596"/>
      <c r="BH232" s="596"/>
      <c r="BI232" s="596"/>
      <c r="BJ232" s="596"/>
      <c r="BK232" s="596"/>
      <c r="BL232" s="596"/>
      <c r="BM232" s="596"/>
      <c r="BN232" s="596"/>
      <c r="BO232" s="596"/>
      <c r="BP232" s="596"/>
      <c r="BQ232" s="596"/>
      <c r="BR232" s="596"/>
      <c r="BS232" s="596"/>
      <c r="BT232" s="596"/>
    </row>
    <row r="233" spans="1:72" ht="15">
      <c r="A233" s="539"/>
      <c r="B233" s="539"/>
      <c r="C233" s="539"/>
      <c r="D233" s="539"/>
      <c r="E233" s="539"/>
      <c r="F233" s="539"/>
      <c r="G233" s="539"/>
      <c r="H233" s="539"/>
      <c r="I233" s="539"/>
      <c r="J233" s="539"/>
      <c r="K233" s="539"/>
      <c r="L233" s="539"/>
      <c r="M233" s="539"/>
      <c r="N233" s="539"/>
      <c r="O233" s="539"/>
      <c r="P233" s="539"/>
      <c r="Q233" s="539"/>
      <c r="R233" s="539"/>
      <c r="S233" s="557"/>
      <c r="T233" s="557"/>
      <c r="U233" s="557"/>
      <c r="V233" s="557"/>
      <c r="W233" s="539"/>
      <c r="X233" s="539"/>
      <c r="Y233" s="557"/>
      <c r="Z233" s="557"/>
      <c r="AA233" s="539"/>
      <c r="AB233" s="539"/>
      <c r="AC233" s="539"/>
      <c r="AD233" s="557"/>
      <c r="AE233" s="557"/>
      <c r="AF233" s="557"/>
      <c r="AG233" s="557"/>
      <c r="AH233" s="557"/>
      <c r="AI233" s="557"/>
      <c r="AJ233" s="557"/>
      <c r="AK233" s="557"/>
      <c r="AL233" s="557"/>
      <c r="AM233" s="557"/>
      <c r="AN233" s="557"/>
      <c r="AO233" s="557"/>
      <c r="AP233" s="557"/>
      <c r="AQ233" s="557"/>
      <c r="AR233" s="557"/>
      <c r="AS233" s="557"/>
      <c r="AT233" s="557"/>
      <c r="AU233" s="557"/>
      <c r="AV233" s="557"/>
      <c r="AW233" s="557"/>
      <c r="AX233" s="557"/>
      <c r="AY233" s="557"/>
      <c r="AZ233" s="557"/>
      <c r="BA233" s="557"/>
      <c r="BB233" s="557"/>
      <c r="BC233" s="557"/>
      <c r="BD233" s="553"/>
      <c r="BE233" s="596"/>
      <c r="BF233" s="596"/>
      <c r="BG233" s="596"/>
      <c r="BH233" s="596"/>
      <c r="BI233" s="596"/>
      <c r="BJ233" s="596"/>
      <c r="BK233" s="596"/>
      <c r="BL233" s="596"/>
      <c r="BM233" s="596"/>
      <c r="BN233" s="596"/>
      <c r="BO233" s="596"/>
      <c r="BP233" s="596"/>
      <c r="BQ233" s="596"/>
      <c r="BR233" s="596"/>
      <c r="BS233" s="596"/>
      <c r="BT233" s="596"/>
    </row>
    <row r="234" spans="1:72" ht="15">
      <c r="A234" s="539"/>
      <c r="B234" s="539"/>
      <c r="C234" s="539"/>
      <c r="D234" s="539"/>
      <c r="E234" s="539"/>
      <c r="F234" s="539"/>
      <c r="G234" s="539"/>
      <c r="H234" s="539"/>
      <c r="I234" s="539"/>
      <c r="J234" s="539"/>
      <c r="K234" s="539"/>
      <c r="L234" s="539"/>
      <c r="M234" s="539"/>
      <c r="N234" s="539"/>
      <c r="O234" s="539"/>
      <c r="P234" s="539"/>
      <c r="Q234" s="539"/>
      <c r="R234" s="539"/>
      <c r="S234" s="557"/>
      <c r="T234" s="557"/>
      <c r="U234" s="557"/>
      <c r="V234" s="557"/>
      <c r="W234" s="539"/>
      <c r="X234" s="539"/>
      <c r="Y234" s="557"/>
      <c r="Z234" s="557"/>
      <c r="AA234" s="539"/>
      <c r="AB234" s="539"/>
      <c r="AC234" s="539"/>
      <c r="AD234" s="557"/>
      <c r="AE234" s="557"/>
      <c r="AF234" s="557"/>
      <c r="AG234" s="557"/>
      <c r="AH234" s="557"/>
      <c r="AI234" s="557"/>
      <c r="AJ234" s="557"/>
      <c r="AK234" s="557"/>
      <c r="AL234" s="557"/>
      <c r="AM234" s="557"/>
      <c r="AN234" s="557"/>
      <c r="AO234" s="557"/>
      <c r="AP234" s="557"/>
      <c r="AQ234" s="557"/>
      <c r="AR234" s="557"/>
      <c r="AS234" s="557"/>
      <c r="AT234" s="557"/>
      <c r="AU234" s="557"/>
      <c r="AV234" s="557"/>
      <c r="AW234" s="557"/>
      <c r="AX234" s="557"/>
      <c r="AY234" s="557"/>
      <c r="AZ234" s="557"/>
      <c r="BA234" s="557"/>
      <c r="BB234" s="557"/>
      <c r="BC234" s="557"/>
      <c r="BD234" s="553"/>
      <c r="BE234" s="596"/>
      <c r="BF234" s="596"/>
      <c r="BG234" s="596"/>
      <c r="BH234" s="596"/>
      <c r="BI234" s="596"/>
      <c r="BJ234" s="596"/>
      <c r="BK234" s="596"/>
      <c r="BL234" s="596"/>
      <c r="BM234" s="596"/>
      <c r="BN234" s="596"/>
      <c r="BO234" s="596"/>
      <c r="BP234" s="596"/>
      <c r="BQ234" s="596"/>
      <c r="BR234" s="596"/>
      <c r="BS234" s="596"/>
      <c r="BT234" s="596"/>
    </row>
    <row r="235" spans="1:72" ht="15">
      <c r="A235" s="539"/>
      <c r="B235" s="539"/>
      <c r="C235" s="539"/>
      <c r="D235" s="539"/>
      <c r="E235" s="539"/>
      <c r="F235" s="539"/>
      <c r="G235" s="539"/>
      <c r="H235" s="539"/>
      <c r="I235" s="539"/>
      <c r="J235" s="539"/>
      <c r="K235" s="539"/>
      <c r="L235" s="539"/>
      <c r="M235" s="539"/>
      <c r="N235" s="539"/>
      <c r="O235" s="539"/>
      <c r="P235" s="539"/>
      <c r="Q235" s="539"/>
      <c r="R235" s="539"/>
      <c r="S235" s="557"/>
      <c r="T235" s="557"/>
      <c r="U235" s="557"/>
      <c r="V235" s="557"/>
      <c r="W235" s="539"/>
      <c r="X235" s="539"/>
      <c r="Y235" s="557"/>
      <c r="Z235" s="557"/>
      <c r="AA235" s="539"/>
      <c r="AB235" s="539"/>
      <c r="AC235" s="539"/>
      <c r="AD235" s="557"/>
      <c r="AE235" s="557"/>
      <c r="AF235" s="557"/>
      <c r="AG235" s="557"/>
      <c r="AH235" s="557"/>
      <c r="AI235" s="557"/>
      <c r="AJ235" s="557"/>
      <c r="AK235" s="557"/>
      <c r="AL235" s="557"/>
      <c r="AM235" s="557"/>
      <c r="AN235" s="557"/>
      <c r="AO235" s="557"/>
      <c r="AP235" s="557"/>
      <c r="AQ235" s="557"/>
      <c r="AR235" s="557"/>
      <c r="AS235" s="557"/>
      <c r="AT235" s="557"/>
      <c r="AU235" s="557"/>
      <c r="AV235" s="557"/>
      <c r="AW235" s="557"/>
      <c r="AX235" s="557"/>
      <c r="AY235" s="557"/>
      <c r="AZ235" s="557"/>
      <c r="BA235" s="557"/>
      <c r="BB235" s="557"/>
      <c r="BC235" s="557"/>
      <c r="BD235" s="553"/>
      <c r="BE235" s="596"/>
      <c r="BF235" s="596"/>
      <c r="BG235" s="596"/>
      <c r="BH235" s="596"/>
      <c r="BI235" s="596"/>
      <c r="BJ235" s="596"/>
      <c r="BK235" s="596"/>
      <c r="BL235" s="596"/>
      <c r="BM235" s="596"/>
      <c r="BN235" s="596"/>
      <c r="BO235" s="596"/>
      <c r="BP235" s="596"/>
      <c r="BQ235" s="596"/>
      <c r="BR235" s="596"/>
      <c r="BS235" s="596"/>
      <c r="BT235" s="596"/>
    </row>
    <row r="236" spans="1:72" ht="15">
      <c r="A236" s="539"/>
      <c r="B236" s="539"/>
      <c r="C236" s="539"/>
      <c r="D236" s="539"/>
      <c r="E236" s="539"/>
      <c r="F236" s="539"/>
      <c r="G236" s="539"/>
      <c r="H236" s="539"/>
      <c r="I236" s="539"/>
      <c r="J236" s="539"/>
      <c r="K236" s="539"/>
      <c r="L236" s="539"/>
      <c r="M236" s="539"/>
      <c r="N236" s="539"/>
      <c r="O236" s="539"/>
      <c r="P236" s="539"/>
      <c r="Q236" s="539"/>
      <c r="R236" s="539"/>
      <c r="S236" s="557"/>
      <c r="T236" s="557"/>
      <c r="U236" s="557"/>
      <c r="V236" s="557"/>
      <c r="W236" s="539"/>
      <c r="X236" s="539"/>
      <c r="Y236" s="557"/>
      <c r="Z236" s="557"/>
      <c r="AA236" s="539"/>
      <c r="AB236" s="539"/>
      <c r="AC236" s="539"/>
      <c r="AD236" s="557"/>
      <c r="AE236" s="557"/>
      <c r="AF236" s="557"/>
      <c r="AG236" s="557"/>
      <c r="AH236" s="557"/>
      <c r="AI236" s="557"/>
      <c r="AJ236" s="557"/>
      <c r="AK236" s="557"/>
      <c r="AL236" s="557"/>
      <c r="AM236" s="557"/>
      <c r="AN236" s="557"/>
      <c r="AO236" s="557"/>
      <c r="AP236" s="557"/>
      <c r="AQ236" s="557"/>
      <c r="AR236" s="557"/>
      <c r="AS236" s="557"/>
      <c r="AT236" s="557"/>
      <c r="AU236" s="557"/>
      <c r="AV236" s="557"/>
      <c r="AW236" s="557"/>
      <c r="AX236" s="557"/>
      <c r="AY236" s="557"/>
      <c r="AZ236" s="557"/>
      <c r="BA236" s="557"/>
      <c r="BB236" s="557"/>
      <c r="BC236" s="557"/>
      <c r="BD236" s="553"/>
      <c r="BE236" s="596"/>
      <c r="BF236" s="596"/>
      <c r="BG236" s="596"/>
      <c r="BH236" s="596"/>
      <c r="BI236" s="596"/>
      <c r="BJ236" s="596"/>
      <c r="BK236" s="596"/>
      <c r="BL236" s="596"/>
      <c r="BM236" s="596"/>
      <c r="BN236" s="596"/>
      <c r="BO236" s="596"/>
      <c r="BP236" s="596"/>
      <c r="BQ236" s="596"/>
      <c r="BR236" s="596"/>
      <c r="BS236" s="596"/>
      <c r="BT236" s="596"/>
    </row>
    <row r="237" spans="1:72" ht="15">
      <c r="A237" s="539"/>
      <c r="B237" s="539"/>
      <c r="C237" s="539"/>
      <c r="D237" s="539"/>
      <c r="E237" s="539"/>
      <c r="F237" s="539"/>
      <c r="G237" s="539"/>
      <c r="H237" s="539"/>
      <c r="I237" s="539"/>
      <c r="J237" s="539"/>
      <c r="K237" s="539"/>
      <c r="L237" s="539"/>
      <c r="M237" s="539"/>
      <c r="N237" s="539"/>
      <c r="O237" s="539"/>
      <c r="P237" s="539"/>
      <c r="Q237" s="539"/>
      <c r="R237" s="539"/>
      <c r="S237" s="557"/>
      <c r="T237" s="557"/>
      <c r="U237" s="557"/>
      <c r="V237" s="557"/>
      <c r="W237" s="539"/>
      <c r="X237" s="539"/>
      <c r="Y237" s="557"/>
      <c r="Z237" s="557"/>
      <c r="AA237" s="539"/>
      <c r="AB237" s="539"/>
      <c r="AC237" s="539"/>
      <c r="AD237" s="557"/>
      <c r="AE237" s="557"/>
      <c r="AF237" s="557"/>
      <c r="AG237" s="557"/>
      <c r="AH237" s="557"/>
      <c r="AI237" s="557"/>
      <c r="AJ237" s="557"/>
      <c r="AK237" s="557"/>
      <c r="AL237" s="557"/>
      <c r="AM237" s="557"/>
      <c r="AN237" s="557"/>
      <c r="AO237" s="557"/>
      <c r="AP237" s="557"/>
      <c r="AQ237" s="557"/>
      <c r="AR237" s="557"/>
      <c r="AS237" s="557"/>
      <c r="AT237" s="557"/>
      <c r="AU237" s="557"/>
      <c r="AV237" s="557"/>
      <c r="AW237" s="557"/>
      <c r="AX237" s="557"/>
      <c r="AY237" s="557"/>
      <c r="AZ237" s="557"/>
      <c r="BA237" s="557"/>
      <c r="BB237" s="557"/>
      <c r="BC237" s="557"/>
      <c r="BD237" s="553"/>
      <c r="BE237" s="596"/>
      <c r="BF237" s="596"/>
      <c r="BG237" s="596"/>
      <c r="BH237" s="596"/>
      <c r="BI237" s="596"/>
      <c r="BJ237" s="596"/>
      <c r="BK237" s="596"/>
      <c r="BL237" s="596"/>
      <c r="BM237" s="596"/>
      <c r="BN237" s="596"/>
      <c r="BO237" s="596"/>
      <c r="BP237" s="596"/>
      <c r="BQ237" s="596"/>
      <c r="BR237" s="596"/>
      <c r="BS237" s="596"/>
      <c r="BT237" s="596"/>
    </row>
    <row r="238" spans="1:72" ht="15">
      <c r="A238" s="539"/>
      <c r="B238" s="539"/>
      <c r="C238" s="539"/>
      <c r="D238" s="539"/>
      <c r="E238" s="539"/>
      <c r="F238" s="539"/>
      <c r="G238" s="539"/>
      <c r="H238" s="539"/>
      <c r="I238" s="539"/>
      <c r="J238" s="539"/>
      <c r="K238" s="539"/>
      <c r="L238" s="539"/>
      <c r="M238" s="539"/>
      <c r="N238" s="539"/>
      <c r="O238" s="539"/>
      <c r="P238" s="539"/>
      <c r="Q238" s="539"/>
      <c r="R238" s="539"/>
      <c r="S238" s="557"/>
      <c r="T238" s="557"/>
      <c r="U238" s="557"/>
      <c r="V238" s="557"/>
      <c r="W238" s="539"/>
      <c r="X238" s="539"/>
      <c r="Y238" s="557"/>
      <c r="Z238" s="557"/>
      <c r="AA238" s="539"/>
      <c r="AB238" s="539"/>
      <c r="AC238" s="539"/>
      <c r="AD238" s="557"/>
      <c r="AE238" s="557"/>
      <c r="AF238" s="557"/>
      <c r="AG238" s="557"/>
      <c r="AH238" s="557"/>
      <c r="AI238" s="557"/>
      <c r="AJ238" s="557"/>
      <c r="AK238" s="557"/>
      <c r="AL238" s="557"/>
      <c r="AM238" s="557"/>
      <c r="AN238" s="557"/>
      <c r="AO238" s="557"/>
      <c r="AP238" s="557"/>
      <c r="AQ238" s="557"/>
      <c r="AR238" s="557"/>
      <c r="AS238" s="557"/>
      <c r="AT238" s="557"/>
      <c r="AU238" s="557"/>
      <c r="AV238" s="557"/>
      <c r="AW238" s="557"/>
      <c r="AX238" s="557"/>
      <c r="AY238" s="557"/>
      <c r="AZ238" s="557"/>
      <c r="BA238" s="557"/>
      <c r="BB238" s="557"/>
      <c r="BC238" s="557"/>
      <c r="BD238" s="553"/>
      <c r="BE238" s="596"/>
      <c r="BF238" s="596"/>
      <c r="BG238" s="596"/>
      <c r="BH238" s="596"/>
      <c r="BI238" s="596"/>
      <c r="BJ238" s="596"/>
      <c r="BK238" s="596"/>
      <c r="BL238" s="596"/>
      <c r="BM238" s="596"/>
      <c r="BN238" s="596"/>
      <c r="BO238" s="596"/>
      <c r="BP238" s="596"/>
      <c r="BQ238" s="596"/>
      <c r="BR238" s="596"/>
      <c r="BS238" s="596"/>
      <c r="BT238" s="596"/>
    </row>
    <row r="239" spans="1:72" ht="15">
      <c r="A239" s="539"/>
      <c r="B239" s="539"/>
      <c r="C239" s="539"/>
      <c r="D239" s="539"/>
      <c r="E239" s="539"/>
      <c r="F239" s="539"/>
      <c r="G239" s="539"/>
      <c r="H239" s="539"/>
      <c r="I239" s="539"/>
      <c r="J239" s="539"/>
      <c r="K239" s="539"/>
      <c r="L239" s="539"/>
      <c r="M239" s="539"/>
      <c r="N239" s="539"/>
      <c r="O239" s="539"/>
      <c r="P239" s="539"/>
      <c r="Q239" s="539"/>
      <c r="R239" s="539"/>
      <c r="S239" s="557"/>
      <c r="T239" s="557"/>
      <c r="U239" s="557"/>
      <c r="V239" s="557"/>
      <c r="W239" s="539"/>
      <c r="X239" s="539"/>
      <c r="Y239" s="557"/>
      <c r="Z239" s="557"/>
      <c r="AA239" s="539"/>
      <c r="AB239" s="539"/>
      <c r="AC239" s="539"/>
      <c r="AD239" s="557"/>
      <c r="AE239" s="557"/>
      <c r="AF239" s="557"/>
      <c r="AG239" s="557"/>
      <c r="AH239" s="557"/>
      <c r="AI239" s="557"/>
      <c r="AJ239" s="557"/>
      <c r="AK239" s="557"/>
      <c r="AL239" s="557"/>
      <c r="AM239" s="557"/>
      <c r="AN239" s="557"/>
      <c r="AO239" s="557"/>
      <c r="AP239" s="557"/>
      <c r="AQ239" s="557"/>
      <c r="AR239" s="557"/>
      <c r="AS239" s="557"/>
      <c r="AT239" s="557"/>
      <c r="AU239" s="557"/>
      <c r="AV239" s="557"/>
      <c r="AW239" s="557"/>
      <c r="AX239" s="557"/>
      <c r="AY239" s="557"/>
      <c r="AZ239" s="557"/>
      <c r="BA239" s="557"/>
      <c r="BB239" s="557"/>
      <c r="BC239" s="557"/>
      <c r="BD239" s="553"/>
      <c r="BE239" s="596"/>
      <c r="BF239" s="596"/>
      <c r="BG239" s="596"/>
      <c r="BH239" s="596"/>
      <c r="BI239" s="596"/>
      <c r="BJ239" s="596"/>
      <c r="BK239" s="596"/>
      <c r="BL239" s="596"/>
      <c r="BM239" s="596"/>
      <c r="BN239" s="596"/>
      <c r="BO239" s="596"/>
      <c r="BP239" s="596"/>
      <c r="BQ239" s="596"/>
      <c r="BR239" s="596"/>
      <c r="BS239" s="596"/>
      <c r="BT239" s="596"/>
    </row>
    <row r="240" spans="1:72" ht="15">
      <c r="A240" s="539"/>
      <c r="B240" s="539"/>
      <c r="C240" s="539"/>
      <c r="D240" s="539"/>
      <c r="E240" s="539"/>
      <c r="F240" s="539"/>
      <c r="G240" s="539"/>
      <c r="H240" s="539"/>
      <c r="I240" s="539"/>
      <c r="J240" s="539"/>
      <c r="K240" s="539"/>
      <c r="L240" s="539"/>
      <c r="M240" s="539"/>
      <c r="N240" s="539"/>
      <c r="O240" s="539"/>
      <c r="P240" s="539"/>
      <c r="Q240" s="539"/>
      <c r="R240" s="539"/>
      <c r="S240" s="557"/>
      <c r="T240" s="557"/>
      <c r="U240" s="557"/>
      <c r="V240" s="557"/>
      <c r="W240" s="539"/>
      <c r="X240" s="539"/>
      <c r="Y240" s="557"/>
      <c r="Z240" s="557"/>
      <c r="AA240" s="539"/>
      <c r="AB240" s="539"/>
      <c r="AC240" s="539"/>
      <c r="AD240" s="557"/>
      <c r="AE240" s="557"/>
      <c r="AF240" s="557"/>
      <c r="AG240" s="557"/>
      <c r="AH240" s="557"/>
      <c r="AI240" s="557"/>
      <c r="AJ240" s="557"/>
      <c r="AK240" s="557"/>
      <c r="AL240" s="557"/>
      <c r="AM240" s="557"/>
      <c r="AN240" s="557"/>
      <c r="AO240" s="557"/>
      <c r="AP240" s="557"/>
      <c r="AQ240" s="557"/>
      <c r="AR240" s="557"/>
      <c r="AS240" s="557"/>
      <c r="AT240" s="557"/>
      <c r="AU240" s="557"/>
      <c r="AV240" s="557"/>
      <c r="AW240" s="557"/>
      <c r="AX240" s="557"/>
      <c r="AY240" s="557"/>
      <c r="AZ240" s="557"/>
      <c r="BA240" s="557"/>
      <c r="BB240" s="557"/>
      <c r="BC240" s="557"/>
      <c r="BD240" s="553"/>
      <c r="BE240" s="596"/>
      <c r="BF240" s="596"/>
      <c r="BG240" s="596"/>
      <c r="BH240" s="596"/>
      <c r="BI240" s="596"/>
      <c r="BJ240" s="596"/>
      <c r="BK240" s="596"/>
      <c r="BL240" s="596"/>
      <c r="BM240" s="596"/>
      <c r="BN240" s="596"/>
      <c r="BO240" s="596"/>
      <c r="BP240" s="596"/>
      <c r="BQ240" s="596"/>
      <c r="BR240" s="596"/>
      <c r="BS240" s="596"/>
      <c r="BT240" s="596"/>
    </row>
    <row r="241" spans="1:72" ht="15">
      <c r="A241" s="539"/>
      <c r="B241" s="539"/>
      <c r="C241" s="539"/>
      <c r="D241" s="539"/>
      <c r="E241" s="539"/>
      <c r="F241" s="539"/>
      <c r="G241" s="539"/>
      <c r="H241" s="539"/>
      <c r="I241" s="539"/>
      <c r="J241" s="539"/>
      <c r="K241" s="539"/>
      <c r="L241" s="539"/>
      <c r="M241" s="539"/>
      <c r="N241" s="539"/>
      <c r="O241" s="539"/>
      <c r="P241" s="539"/>
      <c r="Q241" s="539"/>
      <c r="R241" s="539"/>
      <c r="S241" s="557"/>
      <c r="T241" s="557"/>
      <c r="U241" s="557"/>
      <c r="V241" s="557"/>
      <c r="W241" s="539"/>
      <c r="X241" s="539"/>
      <c r="Y241" s="557"/>
      <c r="Z241" s="557"/>
      <c r="AA241" s="539"/>
      <c r="AB241" s="539"/>
      <c r="AC241" s="539"/>
      <c r="AD241" s="557"/>
      <c r="AE241" s="557"/>
      <c r="AF241" s="557"/>
      <c r="AG241" s="557"/>
      <c r="AH241" s="557"/>
      <c r="AI241" s="557"/>
      <c r="AJ241" s="557"/>
      <c r="AK241" s="557"/>
      <c r="AL241" s="557"/>
      <c r="AM241" s="557"/>
      <c r="AN241" s="557"/>
      <c r="AO241" s="557"/>
      <c r="AP241" s="557"/>
      <c r="AQ241" s="557"/>
      <c r="AR241" s="557"/>
      <c r="AS241" s="557"/>
      <c r="AT241" s="557"/>
      <c r="AU241" s="557"/>
      <c r="AV241" s="557"/>
      <c r="AW241" s="557"/>
      <c r="AX241" s="557"/>
      <c r="AY241" s="557"/>
      <c r="AZ241" s="557"/>
      <c r="BA241" s="557"/>
      <c r="BB241" s="557"/>
      <c r="BC241" s="557"/>
      <c r="BD241" s="553"/>
      <c r="BE241" s="596"/>
      <c r="BF241" s="596"/>
      <c r="BG241" s="596"/>
      <c r="BH241" s="596"/>
      <c r="BI241" s="596"/>
      <c r="BJ241" s="596"/>
      <c r="BK241" s="596"/>
      <c r="BL241" s="596"/>
      <c r="BM241" s="596"/>
      <c r="BN241" s="596"/>
      <c r="BO241" s="596"/>
      <c r="BP241" s="596"/>
      <c r="BQ241" s="596"/>
      <c r="BR241" s="596"/>
      <c r="BS241" s="596"/>
      <c r="BT241" s="596"/>
    </row>
    <row r="242" spans="1:72" ht="15">
      <c r="A242" s="539"/>
      <c r="B242" s="539"/>
      <c r="C242" s="539"/>
      <c r="D242" s="539"/>
      <c r="E242" s="539"/>
      <c r="F242" s="539"/>
      <c r="G242" s="539"/>
      <c r="H242" s="539"/>
      <c r="I242" s="539"/>
      <c r="J242" s="539"/>
      <c r="K242" s="539"/>
      <c r="L242" s="539"/>
      <c r="M242" s="539"/>
      <c r="N242" s="539"/>
      <c r="O242" s="539"/>
      <c r="P242" s="539"/>
      <c r="Q242" s="539"/>
      <c r="R242" s="539"/>
      <c r="S242" s="557"/>
      <c r="T242" s="557"/>
      <c r="U242" s="557"/>
      <c r="V242" s="557"/>
      <c r="W242" s="539"/>
      <c r="X242" s="539"/>
      <c r="Y242" s="557"/>
      <c r="Z242" s="557"/>
      <c r="AA242" s="539"/>
      <c r="AB242" s="539"/>
      <c r="AC242" s="539"/>
      <c r="AD242" s="557"/>
      <c r="AE242" s="557"/>
      <c r="AF242" s="557"/>
      <c r="AG242" s="557"/>
      <c r="AH242" s="557"/>
      <c r="AI242" s="557"/>
      <c r="AJ242" s="557"/>
      <c r="AK242" s="557"/>
      <c r="AL242" s="557"/>
      <c r="AM242" s="557"/>
      <c r="AN242" s="557"/>
      <c r="AO242" s="557"/>
      <c r="AP242" s="557"/>
      <c r="AQ242" s="557"/>
      <c r="AR242" s="557"/>
      <c r="AS242" s="557"/>
      <c r="AT242" s="557"/>
      <c r="AU242" s="557"/>
      <c r="AV242" s="557"/>
      <c r="AW242" s="557"/>
      <c r="AX242" s="557"/>
      <c r="AY242" s="557"/>
      <c r="AZ242" s="557"/>
      <c r="BA242" s="557"/>
      <c r="BB242" s="557"/>
      <c r="BC242" s="557"/>
      <c r="BD242" s="553"/>
      <c r="BE242" s="596"/>
      <c r="BF242" s="596"/>
      <c r="BG242" s="596"/>
      <c r="BH242" s="596"/>
      <c r="BI242" s="596"/>
      <c r="BJ242" s="596"/>
      <c r="BK242" s="596"/>
      <c r="BL242" s="596"/>
      <c r="BM242" s="596"/>
      <c r="BN242" s="596"/>
      <c r="BO242" s="596"/>
      <c r="BP242" s="596"/>
      <c r="BQ242" s="596"/>
      <c r="BR242" s="596"/>
      <c r="BS242" s="596"/>
      <c r="BT242" s="596"/>
    </row>
    <row r="243" spans="1:72" ht="15">
      <c r="A243" s="539"/>
      <c r="B243" s="539"/>
      <c r="C243" s="539"/>
      <c r="D243" s="539"/>
      <c r="E243" s="539"/>
      <c r="F243" s="539"/>
      <c r="G243" s="539"/>
      <c r="H243" s="539"/>
      <c r="I243" s="539"/>
      <c r="J243" s="539"/>
      <c r="K243" s="539"/>
      <c r="L243" s="539"/>
      <c r="M243" s="539"/>
      <c r="N243" s="539"/>
      <c r="O243" s="539"/>
      <c r="P243" s="539"/>
      <c r="Q243" s="539"/>
      <c r="R243" s="539"/>
      <c r="S243" s="557"/>
      <c r="T243" s="557"/>
      <c r="U243" s="557"/>
      <c r="V243" s="557"/>
      <c r="W243" s="539"/>
      <c r="X243" s="539"/>
      <c r="Y243" s="557"/>
      <c r="Z243" s="557"/>
      <c r="AA243" s="539"/>
      <c r="AB243" s="539"/>
      <c r="AC243" s="539"/>
      <c r="AD243" s="557"/>
      <c r="AE243" s="557"/>
      <c r="AF243" s="557"/>
      <c r="AG243" s="557"/>
      <c r="AH243" s="557"/>
      <c r="AI243" s="557"/>
      <c r="AJ243" s="557"/>
      <c r="AK243" s="557"/>
      <c r="AL243" s="557"/>
      <c r="AM243" s="557"/>
      <c r="AN243" s="557"/>
      <c r="AO243" s="557"/>
      <c r="AP243" s="557"/>
      <c r="AQ243" s="557"/>
      <c r="AR243" s="557"/>
      <c r="AS243" s="557"/>
      <c r="AT243" s="557"/>
      <c r="AU243" s="557"/>
      <c r="AV243" s="557"/>
      <c r="AW243" s="557"/>
      <c r="AX243" s="557"/>
      <c r="AY243" s="557"/>
      <c r="AZ243" s="557"/>
      <c r="BA243" s="557"/>
      <c r="BB243" s="557"/>
      <c r="BC243" s="557"/>
      <c r="BD243" s="553"/>
      <c r="BE243" s="596"/>
      <c r="BF243" s="596"/>
      <c r="BG243" s="596"/>
      <c r="BH243" s="596"/>
      <c r="BI243" s="596"/>
      <c r="BJ243" s="596"/>
      <c r="BK243" s="596"/>
      <c r="BL243" s="596"/>
      <c r="BM243" s="596"/>
      <c r="BN243" s="596"/>
      <c r="BO243" s="596"/>
      <c r="BP243" s="596"/>
      <c r="BQ243" s="596"/>
      <c r="BR243" s="596"/>
      <c r="BS243" s="596"/>
      <c r="BT243" s="596"/>
    </row>
    <row r="244" spans="1:72" ht="15">
      <c r="A244" s="539"/>
      <c r="B244" s="539"/>
      <c r="C244" s="539"/>
      <c r="D244" s="539"/>
      <c r="E244" s="539"/>
      <c r="F244" s="539"/>
      <c r="G244" s="539"/>
      <c r="H244" s="539"/>
      <c r="I244" s="539"/>
      <c r="J244" s="539"/>
      <c r="K244" s="539"/>
      <c r="L244" s="539"/>
      <c r="M244" s="539"/>
      <c r="N244" s="539"/>
      <c r="O244" s="539"/>
      <c r="P244" s="539"/>
      <c r="Q244" s="539"/>
      <c r="R244" s="539"/>
      <c r="S244" s="557"/>
      <c r="T244" s="557"/>
      <c r="U244" s="557"/>
      <c r="V244" s="557"/>
      <c r="W244" s="539"/>
      <c r="X244" s="539"/>
      <c r="Y244" s="557"/>
      <c r="Z244" s="557"/>
      <c r="AA244" s="539"/>
      <c r="AB244" s="539"/>
      <c r="AC244" s="539"/>
      <c r="AD244" s="557"/>
      <c r="AE244" s="557"/>
      <c r="AF244" s="557"/>
      <c r="AG244" s="557"/>
      <c r="AH244" s="557"/>
      <c r="AI244" s="557"/>
      <c r="AJ244" s="557"/>
      <c r="AK244" s="557"/>
      <c r="AL244" s="557"/>
      <c r="AM244" s="557"/>
      <c r="AN244" s="557"/>
      <c r="AO244" s="557"/>
      <c r="AP244" s="557"/>
      <c r="AQ244" s="557"/>
      <c r="AR244" s="557"/>
      <c r="AS244" s="557"/>
      <c r="AT244" s="557"/>
      <c r="AU244" s="557"/>
      <c r="AV244" s="557"/>
      <c r="AW244" s="557"/>
      <c r="AX244" s="557"/>
      <c r="AY244" s="557"/>
      <c r="AZ244" s="557"/>
      <c r="BA244" s="557"/>
      <c r="BB244" s="557"/>
      <c r="BC244" s="557"/>
      <c r="BD244" s="553"/>
      <c r="BE244" s="596"/>
      <c r="BF244" s="596"/>
      <c r="BG244" s="596"/>
      <c r="BH244" s="596"/>
      <c r="BI244" s="596"/>
      <c r="BJ244" s="596"/>
      <c r="BK244" s="596"/>
      <c r="BL244" s="596"/>
      <c r="BM244" s="596"/>
      <c r="BN244" s="596"/>
      <c r="BO244" s="596"/>
      <c r="BP244" s="596"/>
      <c r="BQ244" s="596"/>
      <c r="BR244" s="596"/>
      <c r="BS244" s="596"/>
      <c r="BT244" s="596"/>
    </row>
    <row r="245" spans="1:72" ht="15">
      <c r="A245" s="539"/>
      <c r="B245" s="539"/>
      <c r="C245" s="539"/>
      <c r="D245" s="539"/>
      <c r="E245" s="539"/>
      <c r="F245" s="539"/>
      <c r="G245" s="539"/>
      <c r="H245" s="539"/>
      <c r="I245" s="539"/>
      <c r="J245" s="539"/>
      <c r="K245" s="539"/>
      <c r="L245" s="539"/>
      <c r="M245" s="539"/>
      <c r="N245" s="539"/>
      <c r="O245" s="539"/>
      <c r="P245" s="539"/>
      <c r="Q245" s="539"/>
      <c r="R245" s="539"/>
      <c r="S245" s="557"/>
      <c r="T245" s="557"/>
      <c r="U245" s="557"/>
      <c r="V245" s="557"/>
      <c r="W245" s="539"/>
      <c r="X245" s="539"/>
      <c r="Y245" s="557"/>
      <c r="Z245" s="557"/>
      <c r="AA245" s="539"/>
      <c r="AB245" s="539"/>
      <c r="AC245" s="539"/>
      <c r="AD245" s="557"/>
      <c r="AE245" s="557"/>
      <c r="AF245" s="557"/>
      <c r="AG245" s="557"/>
      <c r="AH245" s="557"/>
      <c r="AI245" s="557"/>
      <c r="AJ245" s="557"/>
      <c r="AK245" s="557"/>
      <c r="AL245" s="557"/>
      <c r="AM245" s="557"/>
      <c r="AN245" s="557"/>
      <c r="AO245" s="557"/>
      <c r="AP245" s="557"/>
      <c r="AQ245" s="557"/>
      <c r="AR245" s="557"/>
      <c r="AS245" s="557"/>
      <c r="AT245" s="557"/>
      <c r="AU245" s="557"/>
      <c r="AV245" s="557"/>
      <c r="AW245" s="557"/>
      <c r="AX245" s="557"/>
      <c r="AY245" s="557"/>
      <c r="AZ245" s="557"/>
      <c r="BA245" s="557"/>
      <c r="BB245" s="557"/>
      <c r="BC245" s="557"/>
      <c r="BD245" s="553"/>
      <c r="BE245" s="596"/>
      <c r="BF245" s="596"/>
      <c r="BG245" s="596"/>
      <c r="BH245" s="596"/>
      <c r="BI245" s="596"/>
      <c r="BJ245" s="596"/>
      <c r="BK245" s="596"/>
      <c r="BL245" s="596"/>
      <c r="BM245" s="596"/>
      <c r="BN245" s="596"/>
      <c r="BO245" s="596"/>
      <c r="BP245" s="596"/>
      <c r="BQ245" s="596"/>
      <c r="BR245" s="596"/>
      <c r="BS245" s="596"/>
      <c r="BT245" s="596"/>
    </row>
  </sheetData>
  <mergeCells count="187">
    <mergeCell ref="J105:M105"/>
    <mergeCell ref="J106:M106"/>
    <mergeCell ref="J107:M107"/>
    <mergeCell ref="J108:M108"/>
    <mergeCell ref="J100:M100"/>
    <mergeCell ref="J101:M101"/>
    <mergeCell ref="J102:M102"/>
    <mergeCell ref="J103:M103"/>
    <mergeCell ref="J104:M104"/>
    <mergeCell ref="J95:M95"/>
    <mergeCell ref="J96:M96"/>
    <mergeCell ref="J97:M97"/>
    <mergeCell ref="J98:M98"/>
    <mergeCell ref="J99:M99"/>
    <mergeCell ref="J90:M90"/>
    <mergeCell ref="J91:M91"/>
    <mergeCell ref="J92:M92"/>
    <mergeCell ref="J93:M93"/>
    <mergeCell ref="J94:M94"/>
    <mergeCell ref="J85:M85"/>
    <mergeCell ref="J86:M86"/>
    <mergeCell ref="J87:M87"/>
    <mergeCell ref="J88:M88"/>
    <mergeCell ref="J89:M89"/>
    <mergeCell ref="AE51:AG53"/>
    <mergeCell ref="AE54:AG56"/>
    <mergeCell ref="AB36:AD38"/>
    <mergeCell ref="AB39:AD41"/>
    <mergeCell ref="AB42:AD44"/>
    <mergeCell ref="J74:M74"/>
    <mergeCell ref="J63:M63"/>
    <mergeCell ref="J67:M67"/>
    <mergeCell ref="AB45:AD47"/>
    <mergeCell ref="AB48:AD50"/>
    <mergeCell ref="Y42:AA44"/>
    <mergeCell ref="Y45:AA47"/>
    <mergeCell ref="Y48:AA50"/>
    <mergeCell ref="J83:M83"/>
    <mergeCell ref="J84:M84"/>
    <mergeCell ref="M48:O50"/>
    <mergeCell ref="V36:X38"/>
    <mergeCell ref="V39:X41"/>
    <mergeCell ref="V42:X44"/>
    <mergeCell ref="AN51:AP53"/>
    <mergeCell ref="AN54:AP56"/>
    <mergeCell ref="J60:M60"/>
    <mergeCell ref="AH51:AJ53"/>
    <mergeCell ref="AH54:AJ56"/>
    <mergeCell ref="V51:X53"/>
    <mergeCell ref="V54:X56"/>
    <mergeCell ref="S51:U53"/>
    <mergeCell ref="S54:U56"/>
    <mergeCell ref="Y51:AA53"/>
    <mergeCell ref="Y54:AA56"/>
    <mergeCell ref="M51:O53"/>
    <mergeCell ref="M54:O56"/>
    <mergeCell ref="P54:R56"/>
    <mergeCell ref="AK36:AM38"/>
    <mergeCell ref="AK39:AM41"/>
    <mergeCell ref="AK42:AM44"/>
    <mergeCell ref="AK45:AM47"/>
    <mergeCell ref="AK48:AM50"/>
    <mergeCell ref="AK51:AM53"/>
    <mergeCell ref="AK54:AM56"/>
    <mergeCell ref="AB51:AD53"/>
    <mergeCell ref="AB54:AD56"/>
    <mergeCell ref="AE36:AG38"/>
    <mergeCell ref="AE39:AG41"/>
    <mergeCell ref="AE42:AG44"/>
    <mergeCell ref="AE45:AG47"/>
    <mergeCell ref="AE48:AG50"/>
    <mergeCell ref="AH36:AJ38"/>
    <mergeCell ref="V45:X47"/>
    <mergeCell ref="V48:X50"/>
    <mergeCell ref="P51:R53"/>
    <mergeCell ref="AH39:AJ41"/>
    <mergeCell ref="AH42:AJ44"/>
    <mergeCell ref="AH45:AJ47"/>
    <mergeCell ref="AH48:AJ50"/>
    <mergeCell ref="P45:R47"/>
    <mergeCell ref="P48:R50"/>
    <mergeCell ref="J36:L38"/>
    <mergeCell ref="M36:O38"/>
    <mergeCell ref="G36:I38"/>
    <mergeCell ref="P36:R38"/>
    <mergeCell ref="G51:I53"/>
    <mergeCell ref="G54:I56"/>
    <mergeCell ref="J39:L41"/>
    <mergeCell ref="J42:L44"/>
    <mergeCell ref="J45:L47"/>
    <mergeCell ref="M39:O41"/>
    <mergeCell ref="P42:R44"/>
    <mergeCell ref="G39:I41"/>
    <mergeCell ref="G42:I44"/>
    <mergeCell ref="P39:R41"/>
    <mergeCell ref="J48:L50"/>
    <mergeCell ref="J51:L53"/>
    <mergeCell ref="J54:L56"/>
    <mergeCell ref="M42:O44"/>
    <mergeCell ref="M45:O47"/>
    <mergeCell ref="G33:I35"/>
    <mergeCell ref="E18:O18"/>
    <mergeCell ref="P18:AA18"/>
    <mergeCell ref="E22:O22"/>
    <mergeCell ref="P22:AA22"/>
    <mergeCell ref="E26:Q28"/>
    <mergeCell ref="E29:Q30"/>
    <mergeCell ref="R26:AI28"/>
    <mergeCell ref="R29:AI30"/>
    <mergeCell ref="J78:M78"/>
    <mergeCell ref="A5:BA5"/>
    <mergeCell ref="AH33:AJ35"/>
    <mergeCell ref="AK33:AM35"/>
    <mergeCell ref="AN33:AP35"/>
    <mergeCell ref="S33:U35"/>
    <mergeCell ref="V33:X35"/>
    <mergeCell ref="Y33:AA35"/>
    <mergeCell ref="AB33:AD35"/>
    <mergeCell ref="AE33:AG35"/>
    <mergeCell ref="E33:F35"/>
    <mergeCell ref="E54:F56"/>
    <mergeCell ref="E42:F44"/>
    <mergeCell ref="E45:F47"/>
    <mergeCell ref="E48:F50"/>
    <mergeCell ref="E51:F53"/>
    <mergeCell ref="G45:I47"/>
    <mergeCell ref="G48:I50"/>
    <mergeCell ref="C11:I12"/>
    <mergeCell ref="C14:AY16"/>
    <mergeCell ref="S36:U38"/>
    <mergeCell ref="S39:U41"/>
    <mergeCell ref="P33:R35"/>
    <mergeCell ref="M33:O35"/>
    <mergeCell ref="AN1:AR1"/>
    <mergeCell ref="AS1:AU1"/>
    <mergeCell ref="AV1:AY1"/>
    <mergeCell ref="AZ1:BC1"/>
    <mergeCell ref="A2:H2"/>
    <mergeCell ref="I2:L2"/>
    <mergeCell ref="M2:W2"/>
    <mergeCell ref="AK2:AM2"/>
    <mergeCell ref="AN2:AR2"/>
    <mergeCell ref="AS2:AU2"/>
    <mergeCell ref="A1:H1"/>
    <mergeCell ref="I1:L1"/>
    <mergeCell ref="M1:W1"/>
    <mergeCell ref="X1:Z2"/>
    <mergeCell ref="AA1:AJ2"/>
    <mergeCell ref="AK1:AM1"/>
    <mergeCell ref="BB5:BC5"/>
    <mergeCell ref="AV2:AY2"/>
    <mergeCell ref="AZ2:BC3"/>
    <mergeCell ref="A3:H3"/>
    <mergeCell ref="I3:L3"/>
    <mergeCell ref="M3:W3"/>
    <mergeCell ref="X3:Z3"/>
    <mergeCell ref="BF8:BH8"/>
    <mergeCell ref="AB22:AW22"/>
    <mergeCell ref="AA3:AR3"/>
    <mergeCell ref="AS3:AU3"/>
    <mergeCell ref="AV3:AY3"/>
    <mergeCell ref="J8:M8"/>
    <mergeCell ref="J7:M7"/>
    <mergeCell ref="E71:S71"/>
    <mergeCell ref="AB18:AW18"/>
    <mergeCell ref="E19:O19"/>
    <mergeCell ref="P19:AA19"/>
    <mergeCell ref="AB19:AW19"/>
    <mergeCell ref="E20:O20"/>
    <mergeCell ref="P20:AA20"/>
    <mergeCell ref="AB20:AW20"/>
    <mergeCell ref="E21:O21"/>
    <mergeCell ref="P21:AA21"/>
    <mergeCell ref="AB21:AW21"/>
    <mergeCell ref="E39:F41"/>
    <mergeCell ref="E36:F38"/>
    <mergeCell ref="S42:U44"/>
    <mergeCell ref="S45:U47"/>
    <mergeCell ref="S48:U50"/>
    <mergeCell ref="AN36:AP38"/>
    <mergeCell ref="AN39:AP41"/>
    <mergeCell ref="AN42:AP44"/>
    <mergeCell ref="AN45:AP47"/>
    <mergeCell ref="AN48:AP50"/>
    <mergeCell ref="Y36:AA38"/>
    <mergeCell ref="Y39:AA41"/>
    <mergeCell ref="J33:L35"/>
  </mergeCells>
  <phoneticPr fontId="57"/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A669-EFC7-466B-8D95-2F2BB5683DD5}">
  <sheetPr>
    <pageSetUpPr fitToPage="1"/>
  </sheetPr>
  <dimension ref="A1:BZ29"/>
  <sheetViews>
    <sheetView showGridLines="0" view="pageBreakPreview" zoomScale="90" zoomScaleNormal="70" zoomScaleSheetLayoutView="90" workbookViewId="0">
      <selection sqref="A1:I1"/>
    </sheetView>
  </sheetViews>
  <sheetFormatPr defaultColWidth="2.54296875" defaultRowHeight="15"/>
  <cols>
    <col min="1" max="10" width="2.54296875" style="606" customWidth="1"/>
    <col min="11" max="16" width="3.26953125" style="606" customWidth="1"/>
    <col min="17" max="27" width="2.54296875" style="606"/>
    <col min="28" max="43" width="2.453125" style="676"/>
    <col min="44" max="52" width="2.54296875" style="606"/>
    <col min="53" max="53" width="2.54296875" style="606" customWidth="1"/>
    <col min="54" max="239" width="2.54296875" style="606"/>
    <col min="240" max="240" width="4" style="606" customWidth="1"/>
    <col min="241" max="272" width="2.54296875" style="606"/>
    <col min="273" max="273" width="2.54296875" style="606" customWidth="1"/>
    <col min="274" max="495" width="2.54296875" style="606"/>
    <col min="496" max="496" width="4" style="606" customWidth="1"/>
    <col min="497" max="528" width="2.54296875" style="606"/>
    <col min="529" max="529" width="2.54296875" style="606" customWidth="1"/>
    <col min="530" max="751" width="2.54296875" style="606"/>
    <col min="752" max="752" width="4" style="606" customWidth="1"/>
    <col min="753" max="784" width="2.54296875" style="606"/>
    <col min="785" max="785" width="2.54296875" style="606" customWidth="1"/>
    <col min="786" max="1007" width="2.54296875" style="606"/>
    <col min="1008" max="1008" width="4" style="606" customWidth="1"/>
    <col min="1009" max="1040" width="2.54296875" style="606"/>
    <col min="1041" max="1041" width="2.54296875" style="606" customWidth="1"/>
    <col min="1042" max="1263" width="2.54296875" style="606"/>
    <col min="1264" max="1264" width="4" style="606" customWidth="1"/>
    <col min="1265" max="1296" width="2.54296875" style="606"/>
    <col min="1297" max="1297" width="2.54296875" style="606" customWidth="1"/>
    <col min="1298" max="1519" width="2.54296875" style="606"/>
    <col min="1520" max="1520" width="4" style="606" customWidth="1"/>
    <col min="1521" max="1552" width="2.54296875" style="606"/>
    <col min="1553" max="1553" width="2.54296875" style="606" customWidth="1"/>
    <col min="1554" max="1775" width="2.54296875" style="606"/>
    <col min="1776" max="1776" width="4" style="606" customWidth="1"/>
    <col min="1777" max="1808" width="2.54296875" style="606"/>
    <col min="1809" max="1809" width="2.54296875" style="606" customWidth="1"/>
    <col min="1810" max="2031" width="2.54296875" style="606"/>
    <col min="2032" max="2032" width="4" style="606" customWidth="1"/>
    <col min="2033" max="2064" width="2.54296875" style="606"/>
    <col min="2065" max="2065" width="2.54296875" style="606" customWidth="1"/>
    <col min="2066" max="2287" width="2.54296875" style="606"/>
    <col min="2288" max="2288" width="4" style="606" customWidth="1"/>
    <col min="2289" max="2320" width="2.54296875" style="606"/>
    <col min="2321" max="2321" width="2.54296875" style="606" customWidth="1"/>
    <col min="2322" max="2543" width="2.54296875" style="606"/>
    <col min="2544" max="2544" width="4" style="606" customWidth="1"/>
    <col min="2545" max="2576" width="2.54296875" style="606"/>
    <col min="2577" max="2577" width="2.54296875" style="606" customWidth="1"/>
    <col min="2578" max="2799" width="2.54296875" style="606"/>
    <col min="2800" max="2800" width="4" style="606" customWidth="1"/>
    <col min="2801" max="2832" width="2.54296875" style="606"/>
    <col min="2833" max="2833" width="2.54296875" style="606" customWidth="1"/>
    <col min="2834" max="3055" width="2.54296875" style="606"/>
    <col min="3056" max="3056" width="4" style="606" customWidth="1"/>
    <col min="3057" max="3088" width="2.54296875" style="606"/>
    <col min="3089" max="3089" width="2.54296875" style="606" customWidth="1"/>
    <col min="3090" max="3311" width="2.54296875" style="606"/>
    <col min="3312" max="3312" width="4" style="606" customWidth="1"/>
    <col min="3313" max="3344" width="2.54296875" style="606"/>
    <col min="3345" max="3345" width="2.54296875" style="606" customWidth="1"/>
    <col min="3346" max="3567" width="2.54296875" style="606"/>
    <col min="3568" max="3568" width="4" style="606" customWidth="1"/>
    <col min="3569" max="3600" width="2.54296875" style="606"/>
    <col min="3601" max="3601" width="2.54296875" style="606" customWidth="1"/>
    <col min="3602" max="3823" width="2.54296875" style="606"/>
    <col min="3824" max="3824" width="4" style="606" customWidth="1"/>
    <col min="3825" max="3856" width="2.54296875" style="606"/>
    <col min="3857" max="3857" width="2.54296875" style="606" customWidth="1"/>
    <col min="3858" max="4079" width="2.54296875" style="606"/>
    <col min="4080" max="4080" width="4" style="606" customWidth="1"/>
    <col min="4081" max="4112" width="2.54296875" style="606"/>
    <col min="4113" max="4113" width="2.54296875" style="606" customWidth="1"/>
    <col min="4114" max="4335" width="2.54296875" style="606"/>
    <col min="4336" max="4336" width="4" style="606" customWidth="1"/>
    <col min="4337" max="4368" width="2.54296875" style="606"/>
    <col min="4369" max="4369" width="2.54296875" style="606" customWidth="1"/>
    <col min="4370" max="4591" width="2.54296875" style="606"/>
    <col min="4592" max="4592" width="4" style="606" customWidth="1"/>
    <col min="4593" max="4624" width="2.54296875" style="606"/>
    <col min="4625" max="4625" width="2.54296875" style="606" customWidth="1"/>
    <col min="4626" max="4847" width="2.54296875" style="606"/>
    <col min="4848" max="4848" width="4" style="606" customWidth="1"/>
    <col min="4849" max="4880" width="2.54296875" style="606"/>
    <col min="4881" max="4881" width="2.54296875" style="606" customWidth="1"/>
    <col min="4882" max="5103" width="2.54296875" style="606"/>
    <col min="5104" max="5104" width="4" style="606" customWidth="1"/>
    <col min="5105" max="5136" width="2.54296875" style="606"/>
    <col min="5137" max="5137" width="2.54296875" style="606" customWidth="1"/>
    <col min="5138" max="5359" width="2.54296875" style="606"/>
    <col min="5360" max="5360" width="4" style="606" customWidth="1"/>
    <col min="5361" max="5392" width="2.54296875" style="606"/>
    <col min="5393" max="5393" width="2.54296875" style="606" customWidth="1"/>
    <col min="5394" max="5615" width="2.54296875" style="606"/>
    <col min="5616" max="5616" width="4" style="606" customWidth="1"/>
    <col min="5617" max="5648" width="2.54296875" style="606"/>
    <col min="5649" max="5649" width="2.54296875" style="606" customWidth="1"/>
    <col min="5650" max="5871" width="2.54296875" style="606"/>
    <col min="5872" max="5872" width="4" style="606" customWidth="1"/>
    <col min="5873" max="5904" width="2.54296875" style="606"/>
    <col min="5905" max="5905" width="2.54296875" style="606" customWidth="1"/>
    <col min="5906" max="6127" width="2.54296875" style="606"/>
    <col min="6128" max="6128" width="4" style="606" customWidth="1"/>
    <col min="6129" max="6160" width="2.54296875" style="606"/>
    <col min="6161" max="6161" width="2.54296875" style="606" customWidth="1"/>
    <col min="6162" max="6383" width="2.54296875" style="606"/>
    <col min="6384" max="6384" width="4" style="606" customWidth="1"/>
    <col min="6385" max="6416" width="2.54296875" style="606"/>
    <col min="6417" max="6417" width="2.54296875" style="606" customWidth="1"/>
    <col min="6418" max="6639" width="2.54296875" style="606"/>
    <col min="6640" max="6640" width="4" style="606" customWidth="1"/>
    <col min="6641" max="6672" width="2.54296875" style="606"/>
    <col min="6673" max="6673" width="2.54296875" style="606" customWidth="1"/>
    <col min="6674" max="6895" width="2.54296875" style="606"/>
    <col min="6896" max="6896" width="4" style="606" customWidth="1"/>
    <col min="6897" max="6928" width="2.54296875" style="606"/>
    <col min="6929" max="6929" width="2.54296875" style="606" customWidth="1"/>
    <col min="6930" max="7151" width="2.54296875" style="606"/>
    <col min="7152" max="7152" width="4" style="606" customWidth="1"/>
    <col min="7153" max="7184" width="2.54296875" style="606"/>
    <col min="7185" max="7185" width="2.54296875" style="606" customWidth="1"/>
    <col min="7186" max="7407" width="2.54296875" style="606"/>
    <col min="7408" max="7408" width="4" style="606" customWidth="1"/>
    <col min="7409" max="7440" width="2.54296875" style="606"/>
    <col min="7441" max="7441" width="2.54296875" style="606" customWidth="1"/>
    <col min="7442" max="7663" width="2.54296875" style="606"/>
    <col min="7664" max="7664" width="4" style="606" customWidth="1"/>
    <col min="7665" max="7696" width="2.54296875" style="606"/>
    <col min="7697" max="7697" width="2.54296875" style="606" customWidth="1"/>
    <col min="7698" max="7919" width="2.54296875" style="606"/>
    <col min="7920" max="7920" width="4" style="606" customWidth="1"/>
    <col min="7921" max="7952" width="2.54296875" style="606"/>
    <col min="7953" max="7953" width="2.54296875" style="606" customWidth="1"/>
    <col min="7954" max="8175" width="2.54296875" style="606"/>
    <col min="8176" max="8176" width="4" style="606" customWidth="1"/>
    <col min="8177" max="8208" width="2.54296875" style="606"/>
    <col min="8209" max="8209" width="2.54296875" style="606" customWidth="1"/>
    <col min="8210" max="8431" width="2.54296875" style="606"/>
    <col min="8432" max="8432" width="4" style="606" customWidth="1"/>
    <col min="8433" max="8464" width="2.54296875" style="606"/>
    <col min="8465" max="8465" width="2.54296875" style="606" customWidth="1"/>
    <col min="8466" max="8687" width="2.54296875" style="606"/>
    <col min="8688" max="8688" width="4" style="606" customWidth="1"/>
    <col min="8689" max="8720" width="2.54296875" style="606"/>
    <col min="8721" max="8721" width="2.54296875" style="606" customWidth="1"/>
    <col min="8722" max="8943" width="2.54296875" style="606"/>
    <col min="8944" max="8944" width="4" style="606" customWidth="1"/>
    <col min="8945" max="8976" width="2.54296875" style="606"/>
    <col min="8977" max="8977" width="2.54296875" style="606" customWidth="1"/>
    <col min="8978" max="9199" width="2.54296875" style="606"/>
    <col min="9200" max="9200" width="4" style="606" customWidth="1"/>
    <col min="9201" max="9232" width="2.54296875" style="606"/>
    <col min="9233" max="9233" width="2.54296875" style="606" customWidth="1"/>
    <col min="9234" max="9455" width="2.54296875" style="606"/>
    <col min="9456" max="9456" width="4" style="606" customWidth="1"/>
    <col min="9457" max="9488" width="2.54296875" style="606"/>
    <col min="9489" max="9489" width="2.54296875" style="606" customWidth="1"/>
    <col min="9490" max="9711" width="2.54296875" style="606"/>
    <col min="9712" max="9712" width="4" style="606" customWidth="1"/>
    <col min="9713" max="9744" width="2.54296875" style="606"/>
    <col min="9745" max="9745" width="2.54296875" style="606" customWidth="1"/>
    <col min="9746" max="9967" width="2.54296875" style="606"/>
    <col min="9968" max="9968" width="4" style="606" customWidth="1"/>
    <col min="9969" max="10000" width="2.54296875" style="606"/>
    <col min="10001" max="10001" width="2.54296875" style="606" customWidth="1"/>
    <col min="10002" max="10223" width="2.54296875" style="606"/>
    <col min="10224" max="10224" width="4" style="606" customWidth="1"/>
    <col min="10225" max="10256" width="2.54296875" style="606"/>
    <col min="10257" max="10257" width="2.54296875" style="606" customWidth="1"/>
    <col min="10258" max="10479" width="2.54296875" style="606"/>
    <col min="10480" max="10480" width="4" style="606" customWidth="1"/>
    <col min="10481" max="10512" width="2.54296875" style="606"/>
    <col min="10513" max="10513" width="2.54296875" style="606" customWidth="1"/>
    <col min="10514" max="10735" width="2.54296875" style="606"/>
    <col min="10736" max="10736" width="4" style="606" customWidth="1"/>
    <col min="10737" max="10768" width="2.54296875" style="606"/>
    <col min="10769" max="10769" width="2.54296875" style="606" customWidth="1"/>
    <col min="10770" max="10991" width="2.54296875" style="606"/>
    <col min="10992" max="10992" width="4" style="606" customWidth="1"/>
    <col min="10993" max="11024" width="2.54296875" style="606"/>
    <col min="11025" max="11025" width="2.54296875" style="606" customWidth="1"/>
    <col min="11026" max="11247" width="2.54296875" style="606"/>
    <col min="11248" max="11248" width="4" style="606" customWidth="1"/>
    <col min="11249" max="11280" width="2.54296875" style="606"/>
    <col min="11281" max="11281" width="2.54296875" style="606" customWidth="1"/>
    <col min="11282" max="11503" width="2.54296875" style="606"/>
    <col min="11504" max="11504" width="4" style="606" customWidth="1"/>
    <col min="11505" max="11536" width="2.54296875" style="606"/>
    <col min="11537" max="11537" width="2.54296875" style="606" customWidth="1"/>
    <col min="11538" max="11759" width="2.54296875" style="606"/>
    <col min="11760" max="11760" width="4" style="606" customWidth="1"/>
    <col min="11761" max="11792" width="2.54296875" style="606"/>
    <col min="11793" max="11793" width="2.54296875" style="606" customWidth="1"/>
    <col min="11794" max="12015" width="2.54296875" style="606"/>
    <col min="12016" max="12016" width="4" style="606" customWidth="1"/>
    <col min="12017" max="12048" width="2.54296875" style="606"/>
    <col min="12049" max="12049" width="2.54296875" style="606" customWidth="1"/>
    <col min="12050" max="12271" width="2.54296875" style="606"/>
    <col min="12272" max="12272" width="4" style="606" customWidth="1"/>
    <col min="12273" max="12304" width="2.54296875" style="606"/>
    <col min="12305" max="12305" width="2.54296875" style="606" customWidth="1"/>
    <col min="12306" max="12527" width="2.54296875" style="606"/>
    <col min="12528" max="12528" width="4" style="606" customWidth="1"/>
    <col min="12529" max="12560" width="2.54296875" style="606"/>
    <col min="12561" max="12561" width="2.54296875" style="606" customWidth="1"/>
    <col min="12562" max="12783" width="2.54296875" style="606"/>
    <col min="12784" max="12784" width="4" style="606" customWidth="1"/>
    <col min="12785" max="12816" width="2.54296875" style="606"/>
    <col min="12817" max="12817" width="2.54296875" style="606" customWidth="1"/>
    <col min="12818" max="13039" width="2.54296875" style="606"/>
    <col min="13040" max="13040" width="4" style="606" customWidth="1"/>
    <col min="13041" max="13072" width="2.54296875" style="606"/>
    <col min="13073" max="13073" width="2.54296875" style="606" customWidth="1"/>
    <col min="13074" max="13295" width="2.54296875" style="606"/>
    <col min="13296" max="13296" width="4" style="606" customWidth="1"/>
    <col min="13297" max="13328" width="2.54296875" style="606"/>
    <col min="13329" max="13329" width="2.54296875" style="606" customWidth="1"/>
    <col min="13330" max="13551" width="2.54296875" style="606"/>
    <col min="13552" max="13552" width="4" style="606" customWidth="1"/>
    <col min="13553" max="13584" width="2.54296875" style="606"/>
    <col min="13585" max="13585" width="2.54296875" style="606" customWidth="1"/>
    <col min="13586" max="13807" width="2.54296875" style="606"/>
    <col min="13808" max="13808" width="4" style="606" customWidth="1"/>
    <col min="13809" max="13840" width="2.54296875" style="606"/>
    <col min="13841" max="13841" width="2.54296875" style="606" customWidth="1"/>
    <col min="13842" max="14063" width="2.54296875" style="606"/>
    <col min="14064" max="14064" width="4" style="606" customWidth="1"/>
    <col min="14065" max="14096" width="2.54296875" style="606"/>
    <col min="14097" max="14097" width="2.54296875" style="606" customWidth="1"/>
    <col min="14098" max="14319" width="2.54296875" style="606"/>
    <col min="14320" max="14320" width="4" style="606" customWidth="1"/>
    <col min="14321" max="14352" width="2.54296875" style="606"/>
    <col min="14353" max="14353" width="2.54296875" style="606" customWidth="1"/>
    <col min="14354" max="14575" width="2.54296875" style="606"/>
    <col min="14576" max="14576" width="4" style="606" customWidth="1"/>
    <col min="14577" max="14608" width="2.54296875" style="606"/>
    <col min="14609" max="14609" width="2.54296875" style="606" customWidth="1"/>
    <col min="14610" max="14831" width="2.54296875" style="606"/>
    <col min="14832" max="14832" width="4" style="606" customWidth="1"/>
    <col min="14833" max="14864" width="2.54296875" style="606"/>
    <col min="14865" max="14865" width="2.54296875" style="606" customWidth="1"/>
    <col min="14866" max="15087" width="2.54296875" style="606"/>
    <col min="15088" max="15088" width="4" style="606" customWidth="1"/>
    <col min="15089" max="15120" width="2.54296875" style="606"/>
    <col min="15121" max="15121" width="2.54296875" style="606" customWidth="1"/>
    <col min="15122" max="15343" width="2.54296875" style="606"/>
    <col min="15344" max="15344" width="4" style="606" customWidth="1"/>
    <col min="15345" max="15376" width="2.54296875" style="606"/>
    <col min="15377" max="15377" width="2.54296875" style="606" customWidth="1"/>
    <col min="15378" max="15599" width="2.54296875" style="606"/>
    <col min="15600" max="15600" width="4" style="606" customWidth="1"/>
    <col min="15601" max="15632" width="2.54296875" style="606"/>
    <col min="15633" max="15633" width="2.54296875" style="606" customWidth="1"/>
    <col min="15634" max="15855" width="2.54296875" style="606"/>
    <col min="15856" max="15856" width="4" style="606" customWidth="1"/>
    <col min="15857" max="15888" width="2.54296875" style="606"/>
    <col min="15889" max="15889" width="2.54296875" style="606" customWidth="1"/>
    <col min="15890" max="16111" width="2.54296875" style="606"/>
    <col min="16112" max="16112" width="4" style="606" customWidth="1"/>
    <col min="16113" max="16144" width="2.54296875" style="606"/>
    <col min="16145" max="16145" width="2.54296875" style="606" customWidth="1"/>
    <col min="16146" max="16384" width="2.54296875" style="606"/>
  </cols>
  <sheetData>
    <row r="1" spans="1:78" ht="12.75" customHeight="1">
      <c r="A1" s="840" t="s">
        <v>301</v>
      </c>
      <c r="B1" s="840"/>
      <c r="C1" s="840"/>
      <c r="D1" s="840"/>
      <c r="E1" s="840"/>
      <c r="F1" s="840"/>
      <c r="G1" s="840"/>
      <c r="H1" s="840"/>
      <c r="I1" s="840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4"/>
      <c r="AB1" s="673"/>
      <c r="AC1" s="673"/>
      <c r="AD1" s="673"/>
      <c r="AE1" s="673"/>
      <c r="AF1" s="673"/>
      <c r="AG1" s="673"/>
      <c r="AH1" s="673"/>
      <c r="AI1" s="673"/>
      <c r="AJ1" s="673"/>
      <c r="AK1" s="673"/>
      <c r="AL1" s="673"/>
      <c r="AM1" s="673"/>
      <c r="AN1" s="673"/>
      <c r="AO1" s="673"/>
      <c r="AP1" s="673"/>
      <c r="AQ1" s="673"/>
      <c r="AR1" s="604"/>
      <c r="AS1" s="604"/>
      <c r="AT1" s="604"/>
      <c r="AU1" s="604"/>
      <c r="AV1" s="604"/>
      <c r="AW1" s="604"/>
      <c r="AX1" s="604"/>
      <c r="AY1" s="604"/>
      <c r="AZ1" s="604"/>
      <c r="BA1" s="604"/>
      <c r="BB1" s="604"/>
      <c r="BC1" s="604"/>
      <c r="BD1" s="604"/>
      <c r="BE1" s="604"/>
      <c r="BF1" s="604"/>
      <c r="BG1" s="604"/>
      <c r="BH1" s="604"/>
      <c r="BI1" s="604"/>
      <c r="BJ1" s="604"/>
      <c r="BK1" s="604"/>
      <c r="BL1" s="604"/>
      <c r="BM1" s="604"/>
      <c r="BN1" s="604"/>
      <c r="BO1" s="604"/>
      <c r="BP1" s="604"/>
      <c r="BQ1" s="604"/>
      <c r="BR1" s="604"/>
      <c r="BS1" s="604"/>
      <c r="BT1" s="604"/>
      <c r="BU1" s="604"/>
      <c r="BV1" s="604"/>
      <c r="BW1" s="604"/>
      <c r="BX1" s="604"/>
      <c r="BY1" s="605"/>
      <c r="BZ1" s="605"/>
    </row>
    <row r="2" spans="1:78" ht="12.75" customHeight="1">
      <c r="A2" s="841" t="s">
        <v>302</v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842"/>
      <c r="AB2" s="842"/>
      <c r="AC2" s="842"/>
      <c r="AD2" s="842"/>
      <c r="AE2" s="842"/>
      <c r="AF2" s="842"/>
      <c r="AG2" s="842"/>
      <c r="AH2" s="842"/>
      <c r="AI2" s="842"/>
      <c r="AJ2" s="842"/>
      <c r="AK2" s="842"/>
      <c r="AL2" s="842"/>
      <c r="AM2" s="842"/>
      <c r="AN2" s="842"/>
      <c r="AO2" s="842"/>
      <c r="AP2" s="842"/>
      <c r="AQ2" s="842"/>
      <c r="AR2" s="842"/>
      <c r="AS2" s="842"/>
      <c r="AT2" s="842"/>
      <c r="AU2" s="842"/>
      <c r="AV2" s="842"/>
      <c r="AW2" s="842"/>
      <c r="AX2" s="842"/>
      <c r="AY2" s="842"/>
      <c r="AZ2" s="842"/>
      <c r="BA2" s="842"/>
      <c r="BB2" s="842"/>
      <c r="BC2" s="842"/>
      <c r="BD2" s="842"/>
      <c r="BE2" s="842"/>
      <c r="BF2" s="842"/>
      <c r="BG2" s="842"/>
      <c r="BH2" s="842"/>
      <c r="BI2" s="842"/>
      <c r="BJ2" s="842"/>
      <c r="BK2" s="842"/>
      <c r="BL2" s="842"/>
      <c r="BM2" s="842"/>
      <c r="BN2" s="842"/>
      <c r="BO2" s="842"/>
      <c r="BP2" s="842"/>
      <c r="BQ2" s="842"/>
      <c r="BR2" s="842"/>
      <c r="BS2" s="842"/>
      <c r="BT2" s="842"/>
      <c r="BU2" s="842"/>
      <c r="BV2" s="842"/>
      <c r="BW2" s="842"/>
      <c r="BX2" s="842"/>
      <c r="BY2" s="842"/>
      <c r="BZ2" s="842"/>
    </row>
    <row r="3" spans="1:78" ht="27.75" customHeight="1">
      <c r="A3" s="844" t="s">
        <v>303</v>
      </c>
      <c r="B3" s="845"/>
      <c r="C3" s="845" t="s">
        <v>304</v>
      </c>
      <c r="D3" s="845"/>
      <c r="E3" s="845"/>
      <c r="F3" s="845"/>
      <c r="G3" s="845"/>
      <c r="H3" s="845"/>
      <c r="I3" s="845"/>
      <c r="J3" s="845"/>
      <c r="K3" s="845"/>
      <c r="L3" s="845"/>
      <c r="M3" s="845"/>
      <c r="N3" s="845"/>
      <c r="O3" s="845"/>
      <c r="P3" s="845"/>
      <c r="Q3" s="846" t="s">
        <v>305</v>
      </c>
      <c r="R3" s="847"/>
      <c r="S3" s="847"/>
      <c r="T3" s="847"/>
      <c r="U3" s="847"/>
      <c r="V3" s="847"/>
      <c r="W3" s="847"/>
      <c r="X3" s="847"/>
      <c r="Y3" s="847"/>
      <c r="Z3" s="847"/>
      <c r="AA3" s="848"/>
      <c r="AB3" s="852" t="s">
        <v>515</v>
      </c>
      <c r="AC3" s="853"/>
      <c r="AD3" s="853"/>
      <c r="AE3" s="853"/>
      <c r="AF3" s="853"/>
      <c r="AG3" s="853"/>
      <c r="AH3" s="853"/>
      <c r="AI3" s="852" t="s">
        <v>516</v>
      </c>
      <c r="AJ3" s="853"/>
      <c r="AK3" s="853"/>
      <c r="AL3" s="853"/>
      <c r="AM3" s="853"/>
      <c r="AN3" s="853"/>
      <c r="AO3" s="853"/>
      <c r="AP3" s="853"/>
      <c r="AQ3" s="853"/>
      <c r="AR3" s="844" t="s">
        <v>306</v>
      </c>
      <c r="AS3" s="844"/>
      <c r="AT3" s="844"/>
      <c r="AU3" s="844"/>
      <c r="AV3" s="844"/>
      <c r="AW3" s="844"/>
      <c r="AX3" s="844"/>
      <c r="AY3" s="844"/>
      <c r="AZ3" s="844"/>
      <c r="BA3" s="844"/>
      <c r="BB3" s="844"/>
      <c r="BC3" s="844"/>
      <c r="BD3" s="844"/>
      <c r="BE3" s="844"/>
      <c r="BF3" s="844"/>
      <c r="BG3" s="844"/>
      <c r="BH3" s="844"/>
      <c r="BI3" s="844"/>
      <c r="BJ3" s="844"/>
      <c r="BK3" s="844"/>
      <c r="BL3" s="844"/>
      <c r="BM3" s="844"/>
      <c r="BN3" s="844"/>
      <c r="BO3" s="844"/>
      <c r="BP3" s="844"/>
      <c r="BQ3" s="844"/>
      <c r="BR3" s="844"/>
      <c r="BS3" s="844"/>
      <c r="BT3" s="844"/>
      <c r="BU3" s="844"/>
      <c r="BV3" s="844"/>
      <c r="BW3" s="844"/>
      <c r="BX3" s="844"/>
      <c r="BY3" s="844"/>
      <c r="BZ3" s="844"/>
    </row>
    <row r="4" spans="1:78" ht="27.75" customHeight="1">
      <c r="A4" s="845"/>
      <c r="B4" s="845"/>
      <c r="C4" s="843" t="s">
        <v>307</v>
      </c>
      <c r="D4" s="843"/>
      <c r="E4" s="843"/>
      <c r="F4" s="843"/>
      <c r="G4" s="843"/>
      <c r="H4" s="843"/>
      <c r="I4" s="843"/>
      <c r="J4" s="843" t="s">
        <v>308</v>
      </c>
      <c r="K4" s="843"/>
      <c r="L4" s="843"/>
      <c r="M4" s="843"/>
      <c r="N4" s="843"/>
      <c r="O4" s="843"/>
      <c r="P4" s="843"/>
      <c r="Q4" s="849"/>
      <c r="R4" s="850"/>
      <c r="S4" s="850"/>
      <c r="T4" s="850"/>
      <c r="U4" s="850"/>
      <c r="V4" s="850"/>
      <c r="W4" s="850"/>
      <c r="X4" s="850"/>
      <c r="Y4" s="850"/>
      <c r="Z4" s="850"/>
      <c r="AA4" s="851"/>
      <c r="AB4" s="854"/>
      <c r="AC4" s="855"/>
      <c r="AD4" s="855"/>
      <c r="AE4" s="855"/>
      <c r="AF4" s="855"/>
      <c r="AG4" s="855"/>
      <c r="AH4" s="855"/>
      <c r="AI4" s="854"/>
      <c r="AJ4" s="855"/>
      <c r="AK4" s="855"/>
      <c r="AL4" s="855"/>
      <c r="AM4" s="855"/>
      <c r="AN4" s="855"/>
      <c r="AO4" s="855"/>
      <c r="AP4" s="855"/>
      <c r="AQ4" s="855"/>
      <c r="AR4" s="844"/>
      <c r="AS4" s="844"/>
      <c r="AT4" s="844"/>
      <c r="AU4" s="844"/>
      <c r="AV4" s="844"/>
      <c r="AW4" s="844"/>
      <c r="AX4" s="844"/>
      <c r="AY4" s="844"/>
      <c r="AZ4" s="844"/>
      <c r="BA4" s="844"/>
      <c r="BB4" s="844"/>
      <c r="BC4" s="844"/>
      <c r="BD4" s="844"/>
      <c r="BE4" s="844"/>
      <c r="BF4" s="844"/>
      <c r="BG4" s="844"/>
      <c r="BH4" s="844"/>
      <c r="BI4" s="844"/>
      <c r="BJ4" s="844"/>
      <c r="BK4" s="844"/>
      <c r="BL4" s="844"/>
      <c r="BM4" s="844"/>
      <c r="BN4" s="844"/>
      <c r="BO4" s="844"/>
      <c r="BP4" s="844"/>
      <c r="BQ4" s="844"/>
      <c r="BR4" s="844"/>
      <c r="BS4" s="844"/>
      <c r="BT4" s="844"/>
      <c r="BU4" s="844"/>
      <c r="BV4" s="844"/>
      <c r="BW4" s="844"/>
      <c r="BX4" s="844"/>
      <c r="BY4" s="844"/>
      <c r="BZ4" s="844"/>
    </row>
    <row r="5" spans="1:78" ht="15" customHeight="1">
      <c r="A5" s="814" t="s">
        <v>637</v>
      </c>
      <c r="B5" s="815"/>
      <c r="C5" s="816" t="s">
        <v>638</v>
      </c>
      <c r="D5" s="817"/>
      <c r="E5" s="817"/>
      <c r="F5" s="817"/>
      <c r="G5" s="817"/>
      <c r="H5" s="817"/>
      <c r="I5" s="818"/>
      <c r="J5" s="819"/>
      <c r="K5" s="820"/>
      <c r="L5" s="820"/>
      <c r="M5" s="820"/>
      <c r="N5" s="820"/>
      <c r="O5" s="820"/>
      <c r="P5" s="821"/>
      <c r="Q5" s="822"/>
      <c r="R5" s="823"/>
      <c r="S5" s="823"/>
      <c r="T5" s="823"/>
      <c r="U5" s="823"/>
      <c r="V5" s="823"/>
      <c r="W5" s="823"/>
      <c r="X5" s="823"/>
      <c r="Y5" s="823"/>
      <c r="Z5" s="823"/>
      <c r="AA5" s="824"/>
      <c r="AB5" s="825"/>
      <c r="AC5" s="826"/>
      <c r="AD5" s="826"/>
      <c r="AE5" s="826"/>
      <c r="AF5" s="826"/>
      <c r="AG5" s="826"/>
      <c r="AH5" s="826"/>
      <c r="AI5" s="825"/>
      <c r="AJ5" s="826"/>
      <c r="AK5" s="826"/>
      <c r="AL5" s="826"/>
      <c r="AM5" s="826"/>
      <c r="AN5" s="826"/>
      <c r="AO5" s="826"/>
      <c r="AP5" s="826"/>
      <c r="AQ5" s="826"/>
      <c r="AR5" s="827"/>
      <c r="AS5" s="823"/>
      <c r="AT5" s="823"/>
      <c r="AU5" s="823"/>
      <c r="AV5" s="823"/>
      <c r="AW5" s="823"/>
      <c r="AX5" s="823"/>
      <c r="AY5" s="823"/>
      <c r="AZ5" s="823"/>
      <c r="BA5" s="823"/>
      <c r="BB5" s="823"/>
      <c r="BC5" s="823"/>
      <c r="BD5" s="823"/>
      <c r="BE5" s="823"/>
      <c r="BF5" s="823"/>
      <c r="BG5" s="823"/>
      <c r="BH5" s="823"/>
      <c r="BI5" s="823"/>
      <c r="BJ5" s="823"/>
      <c r="BK5" s="823"/>
      <c r="BL5" s="823"/>
      <c r="BM5" s="823"/>
      <c r="BN5" s="823"/>
      <c r="BO5" s="823"/>
      <c r="BP5" s="823"/>
      <c r="BQ5" s="823"/>
      <c r="BR5" s="823"/>
      <c r="BS5" s="823"/>
      <c r="BT5" s="823"/>
      <c r="BU5" s="823"/>
      <c r="BV5" s="823"/>
      <c r="BW5" s="823"/>
      <c r="BX5" s="823"/>
      <c r="BY5" s="823"/>
      <c r="BZ5" s="824"/>
    </row>
    <row r="6" spans="1:78" ht="25.5" customHeight="1">
      <c r="A6" s="814" t="s">
        <v>639</v>
      </c>
      <c r="B6" s="815"/>
      <c r="C6" s="816"/>
      <c r="D6" s="817"/>
      <c r="E6" s="817"/>
      <c r="F6" s="817"/>
      <c r="G6" s="817"/>
      <c r="H6" s="817"/>
      <c r="I6" s="818"/>
      <c r="J6" s="819" t="s">
        <v>640</v>
      </c>
      <c r="K6" s="820"/>
      <c r="L6" s="820"/>
      <c r="M6" s="820"/>
      <c r="N6" s="820"/>
      <c r="O6" s="820"/>
      <c r="P6" s="821"/>
      <c r="Q6" s="822" t="s">
        <v>300</v>
      </c>
      <c r="R6" s="823"/>
      <c r="S6" s="823"/>
      <c r="T6" s="823"/>
      <c r="U6" s="823"/>
      <c r="V6" s="823"/>
      <c r="W6" s="823"/>
      <c r="X6" s="823"/>
      <c r="Y6" s="823"/>
      <c r="Z6" s="823"/>
      <c r="AA6" s="824"/>
      <c r="AB6" s="825"/>
      <c r="AC6" s="826"/>
      <c r="AD6" s="826"/>
      <c r="AE6" s="826"/>
      <c r="AF6" s="826"/>
      <c r="AG6" s="826"/>
      <c r="AH6" s="826"/>
      <c r="AI6" s="825"/>
      <c r="AJ6" s="826"/>
      <c r="AK6" s="826"/>
      <c r="AL6" s="826"/>
      <c r="AM6" s="826"/>
      <c r="AN6" s="826"/>
      <c r="AO6" s="826"/>
      <c r="AP6" s="826"/>
      <c r="AQ6" s="826"/>
      <c r="AR6" s="828" t="s">
        <v>646</v>
      </c>
      <c r="AS6" s="826"/>
      <c r="AT6" s="826"/>
      <c r="AU6" s="826"/>
      <c r="AV6" s="826"/>
      <c r="AW6" s="826"/>
      <c r="AX6" s="826"/>
      <c r="AY6" s="826"/>
      <c r="AZ6" s="826"/>
      <c r="BA6" s="826"/>
      <c r="BB6" s="826"/>
      <c r="BC6" s="826"/>
      <c r="BD6" s="826"/>
      <c r="BE6" s="826"/>
      <c r="BF6" s="826"/>
      <c r="BG6" s="826"/>
      <c r="BH6" s="826"/>
      <c r="BI6" s="826"/>
      <c r="BJ6" s="826"/>
      <c r="BK6" s="826"/>
      <c r="BL6" s="826"/>
      <c r="BM6" s="826"/>
      <c r="BN6" s="826"/>
      <c r="BO6" s="826"/>
      <c r="BP6" s="826"/>
      <c r="BQ6" s="826"/>
      <c r="BR6" s="826"/>
      <c r="BS6" s="826"/>
      <c r="BT6" s="826"/>
      <c r="BU6" s="826"/>
      <c r="BV6" s="826"/>
      <c r="BW6" s="826"/>
      <c r="BX6" s="826"/>
      <c r="BY6" s="826"/>
      <c r="BZ6" s="829"/>
    </row>
    <row r="7" spans="1:78">
      <c r="A7" s="814" t="s">
        <v>309</v>
      </c>
      <c r="B7" s="815"/>
      <c r="C7" s="834" t="s">
        <v>310</v>
      </c>
      <c r="D7" s="835"/>
      <c r="E7" s="835"/>
      <c r="F7" s="835"/>
      <c r="G7" s="835"/>
      <c r="H7" s="835"/>
      <c r="I7" s="836"/>
      <c r="J7" s="837"/>
      <c r="K7" s="838"/>
      <c r="L7" s="838"/>
      <c r="M7" s="838"/>
      <c r="N7" s="838"/>
      <c r="O7" s="838"/>
      <c r="P7" s="839"/>
      <c r="Q7" s="822"/>
      <c r="R7" s="823"/>
      <c r="S7" s="823"/>
      <c r="T7" s="823"/>
      <c r="U7" s="823"/>
      <c r="V7" s="823"/>
      <c r="W7" s="823"/>
      <c r="X7" s="823"/>
      <c r="Y7" s="823"/>
      <c r="Z7" s="823"/>
      <c r="AA7" s="824"/>
      <c r="AB7" s="825"/>
      <c r="AC7" s="826"/>
      <c r="AD7" s="826"/>
      <c r="AE7" s="826"/>
      <c r="AF7" s="826"/>
      <c r="AG7" s="826"/>
      <c r="AH7" s="826"/>
      <c r="AI7" s="825"/>
      <c r="AJ7" s="826"/>
      <c r="AK7" s="826"/>
      <c r="AL7" s="826"/>
      <c r="AM7" s="826"/>
      <c r="AN7" s="826"/>
      <c r="AO7" s="826"/>
      <c r="AP7" s="826"/>
      <c r="AQ7" s="826"/>
      <c r="AR7" s="828"/>
      <c r="AS7" s="826"/>
      <c r="AT7" s="826"/>
      <c r="AU7" s="826"/>
      <c r="AV7" s="826"/>
      <c r="AW7" s="826"/>
      <c r="AX7" s="826"/>
      <c r="AY7" s="826"/>
      <c r="AZ7" s="826"/>
      <c r="BA7" s="826"/>
      <c r="BB7" s="826"/>
      <c r="BC7" s="826"/>
      <c r="BD7" s="826"/>
      <c r="BE7" s="826"/>
      <c r="BF7" s="826"/>
      <c r="BG7" s="826"/>
      <c r="BH7" s="826"/>
      <c r="BI7" s="826"/>
      <c r="BJ7" s="826"/>
      <c r="BK7" s="826"/>
      <c r="BL7" s="826"/>
      <c r="BM7" s="826"/>
      <c r="BN7" s="826"/>
      <c r="BO7" s="826"/>
      <c r="BP7" s="826"/>
      <c r="BQ7" s="826"/>
      <c r="BR7" s="826"/>
      <c r="BS7" s="826"/>
      <c r="BT7" s="826"/>
      <c r="BU7" s="826"/>
      <c r="BV7" s="826"/>
      <c r="BW7" s="826"/>
      <c r="BX7" s="826"/>
      <c r="BY7" s="826"/>
      <c r="BZ7" s="829"/>
    </row>
    <row r="8" spans="1:78">
      <c r="A8" s="814" t="s">
        <v>311</v>
      </c>
      <c r="B8" s="815"/>
      <c r="C8" s="834"/>
      <c r="D8" s="835"/>
      <c r="E8" s="835"/>
      <c r="F8" s="835"/>
      <c r="G8" s="835"/>
      <c r="H8" s="835"/>
      <c r="I8" s="836"/>
      <c r="J8" s="837" t="s">
        <v>312</v>
      </c>
      <c r="K8" s="838"/>
      <c r="L8" s="838"/>
      <c r="M8" s="838"/>
      <c r="N8" s="838"/>
      <c r="O8" s="838"/>
      <c r="P8" s="839"/>
      <c r="Q8" s="822" t="s">
        <v>300</v>
      </c>
      <c r="R8" s="823"/>
      <c r="S8" s="823"/>
      <c r="T8" s="823"/>
      <c r="U8" s="823"/>
      <c r="V8" s="823"/>
      <c r="W8" s="823"/>
      <c r="X8" s="823"/>
      <c r="Y8" s="823"/>
      <c r="Z8" s="823"/>
      <c r="AA8" s="824"/>
      <c r="AB8" s="825"/>
      <c r="AC8" s="826"/>
      <c r="AD8" s="826"/>
      <c r="AE8" s="826"/>
      <c r="AF8" s="826"/>
      <c r="AG8" s="826"/>
      <c r="AH8" s="826"/>
      <c r="AI8" s="825"/>
      <c r="AJ8" s="826"/>
      <c r="AK8" s="826"/>
      <c r="AL8" s="826"/>
      <c r="AM8" s="826"/>
      <c r="AN8" s="826"/>
      <c r="AO8" s="826"/>
      <c r="AP8" s="826"/>
      <c r="AQ8" s="826"/>
      <c r="AR8" s="828" t="s">
        <v>680</v>
      </c>
      <c r="AS8" s="826"/>
      <c r="AT8" s="826"/>
      <c r="AU8" s="826"/>
      <c r="AV8" s="826"/>
      <c r="AW8" s="826"/>
      <c r="AX8" s="826"/>
      <c r="AY8" s="826"/>
      <c r="AZ8" s="826"/>
      <c r="BA8" s="826"/>
      <c r="BB8" s="826"/>
      <c r="BC8" s="826"/>
      <c r="BD8" s="826"/>
      <c r="BE8" s="826"/>
      <c r="BF8" s="826"/>
      <c r="BG8" s="826"/>
      <c r="BH8" s="826"/>
      <c r="BI8" s="826"/>
      <c r="BJ8" s="826"/>
      <c r="BK8" s="826"/>
      <c r="BL8" s="826"/>
      <c r="BM8" s="826"/>
      <c r="BN8" s="826"/>
      <c r="BO8" s="826"/>
      <c r="BP8" s="826"/>
      <c r="BQ8" s="826"/>
      <c r="BR8" s="826"/>
      <c r="BS8" s="826"/>
      <c r="BT8" s="826"/>
      <c r="BU8" s="826"/>
      <c r="BV8" s="826"/>
      <c r="BW8" s="826"/>
      <c r="BX8" s="826"/>
      <c r="BY8" s="826"/>
      <c r="BZ8" s="829"/>
    </row>
    <row r="9" spans="1:78" ht="15.75" customHeight="1">
      <c r="A9" s="814" t="s">
        <v>316</v>
      </c>
      <c r="B9" s="815"/>
      <c r="C9" s="859" t="s">
        <v>317</v>
      </c>
      <c r="D9" s="860"/>
      <c r="E9" s="860"/>
      <c r="F9" s="860"/>
      <c r="G9" s="860"/>
      <c r="H9" s="860"/>
      <c r="I9" s="861"/>
      <c r="J9" s="862"/>
      <c r="K9" s="862"/>
      <c r="L9" s="862"/>
      <c r="M9" s="862"/>
      <c r="N9" s="862"/>
      <c r="O9" s="862"/>
      <c r="P9" s="862"/>
      <c r="Q9" s="822" t="s">
        <v>313</v>
      </c>
      <c r="R9" s="823"/>
      <c r="S9" s="823"/>
      <c r="T9" s="823"/>
      <c r="U9" s="823"/>
      <c r="V9" s="823"/>
      <c r="W9" s="823"/>
      <c r="X9" s="823"/>
      <c r="Y9" s="823"/>
      <c r="Z9" s="823"/>
      <c r="AA9" s="824"/>
      <c r="AB9" s="825"/>
      <c r="AC9" s="826"/>
      <c r="AD9" s="826"/>
      <c r="AE9" s="826"/>
      <c r="AF9" s="826"/>
      <c r="AG9" s="826"/>
      <c r="AH9" s="826"/>
      <c r="AI9" s="825"/>
      <c r="AJ9" s="826"/>
      <c r="AK9" s="826"/>
      <c r="AL9" s="826"/>
      <c r="AM9" s="826"/>
      <c r="AN9" s="826"/>
      <c r="AO9" s="826"/>
      <c r="AP9" s="826"/>
      <c r="AQ9" s="826"/>
      <c r="AR9" s="856"/>
      <c r="AS9" s="857"/>
      <c r="AT9" s="857"/>
      <c r="AU9" s="857"/>
      <c r="AV9" s="857"/>
      <c r="AW9" s="857"/>
      <c r="AX9" s="857"/>
      <c r="AY9" s="857"/>
      <c r="AZ9" s="857"/>
      <c r="BA9" s="857"/>
      <c r="BB9" s="857"/>
      <c r="BC9" s="857"/>
      <c r="BD9" s="857"/>
      <c r="BE9" s="857"/>
      <c r="BF9" s="857"/>
      <c r="BG9" s="857"/>
      <c r="BH9" s="857"/>
      <c r="BI9" s="857"/>
      <c r="BJ9" s="857"/>
      <c r="BK9" s="857"/>
      <c r="BL9" s="857"/>
      <c r="BM9" s="857"/>
      <c r="BN9" s="857"/>
      <c r="BO9" s="857"/>
      <c r="BP9" s="857"/>
      <c r="BQ9" s="857"/>
      <c r="BR9" s="857"/>
      <c r="BS9" s="857"/>
      <c r="BT9" s="857"/>
      <c r="BU9" s="857"/>
      <c r="BV9" s="857"/>
      <c r="BW9" s="857"/>
      <c r="BX9" s="857"/>
      <c r="BY9" s="857"/>
      <c r="BZ9" s="858"/>
    </row>
    <row r="10" spans="1:78" ht="44.5" customHeight="1">
      <c r="A10" s="814" t="s">
        <v>318</v>
      </c>
      <c r="B10" s="815"/>
      <c r="C10" s="607"/>
      <c r="D10" s="608"/>
      <c r="E10" s="608"/>
      <c r="F10" s="608"/>
      <c r="G10" s="608"/>
      <c r="H10" s="608"/>
      <c r="I10" s="609"/>
      <c r="J10" s="866" t="s">
        <v>319</v>
      </c>
      <c r="K10" s="867"/>
      <c r="L10" s="867"/>
      <c r="M10" s="867"/>
      <c r="N10" s="867"/>
      <c r="O10" s="867"/>
      <c r="P10" s="868"/>
      <c r="Q10" s="863" t="s">
        <v>320</v>
      </c>
      <c r="R10" s="864"/>
      <c r="S10" s="864"/>
      <c r="T10" s="864"/>
      <c r="U10" s="864"/>
      <c r="V10" s="864"/>
      <c r="W10" s="864"/>
      <c r="X10" s="864"/>
      <c r="Y10" s="864"/>
      <c r="Z10" s="864"/>
      <c r="AA10" s="865"/>
      <c r="AB10" s="831"/>
      <c r="AC10" s="832"/>
      <c r="AD10" s="832"/>
      <c r="AE10" s="832"/>
      <c r="AF10" s="832"/>
      <c r="AG10" s="832"/>
      <c r="AH10" s="832"/>
      <c r="AI10" s="831" t="s">
        <v>517</v>
      </c>
      <c r="AJ10" s="832"/>
      <c r="AK10" s="832"/>
      <c r="AL10" s="832"/>
      <c r="AM10" s="832"/>
      <c r="AN10" s="832"/>
      <c r="AO10" s="832"/>
      <c r="AP10" s="832"/>
      <c r="AQ10" s="832"/>
      <c r="AR10" s="827"/>
      <c r="AS10" s="823"/>
      <c r="AT10" s="823"/>
      <c r="AU10" s="823"/>
      <c r="AV10" s="823"/>
      <c r="AW10" s="823"/>
      <c r="AX10" s="823"/>
      <c r="AY10" s="823"/>
      <c r="AZ10" s="823"/>
      <c r="BA10" s="823"/>
      <c r="BB10" s="823"/>
      <c r="BC10" s="823"/>
      <c r="BD10" s="823"/>
      <c r="BE10" s="823"/>
      <c r="BF10" s="823"/>
      <c r="BG10" s="823"/>
      <c r="BH10" s="823"/>
      <c r="BI10" s="823"/>
      <c r="BJ10" s="823"/>
      <c r="BK10" s="823"/>
      <c r="BL10" s="823"/>
      <c r="BM10" s="823"/>
      <c r="BN10" s="823"/>
      <c r="BO10" s="823"/>
      <c r="BP10" s="823"/>
      <c r="BQ10" s="823"/>
      <c r="BR10" s="823"/>
      <c r="BS10" s="823"/>
      <c r="BT10" s="823"/>
      <c r="BU10" s="823"/>
      <c r="BV10" s="823"/>
      <c r="BW10" s="823"/>
      <c r="BX10" s="823"/>
      <c r="BY10" s="823"/>
      <c r="BZ10" s="824"/>
    </row>
    <row r="11" spans="1:78" ht="31.75" customHeight="1">
      <c r="A11" s="814" t="s">
        <v>321</v>
      </c>
      <c r="B11" s="815"/>
      <c r="C11" s="607"/>
      <c r="D11" s="608"/>
      <c r="E11" s="608"/>
      <c r="F11" s="608"/>
      <c r="G11" s="608"/>
      <c r="H11" s="608"/>
      <c r="I11" s="609"/>
      <c r="J11" s="866" t="s">
        <v>322</v>
      </c>
      <c r="K11" s="867"/>
      <c r="L11" s="867"/>
      <c r="M11" s="867"/>
      <c r="N11" s="867"/>
      <c r="O11" s="867"/>
      <c r="P11" s="868"/>
      <c r="Q11" s="863" t="s">
        <v>300</v>
      </c>
      <c r="R11" s="864"/>
      <c r="S11" s="864"/>
      <c r="T11" s="864"/>
      <c r="U11" s="864"/>
      <c r="V11" s="864"/>
      <c r="W11" s="864"/>
      <c r="X11" s="864"/>
      <c r="Y11" s="864"/>
      <c r="Z11" s="864"/>
      <c r="AA11" s="865"/>
      <c r="AB11" s="831"/>
      <c r="AC11" s="832"/>
      <c r="AD11" s="832"/>
      <c r="AE11" s="832"/>
      <c r="AF11" s="832"/>
      <c r="AG11" s="832"/>
      <c r="AH11" s="832"/>
      <c r="AI11" s="831"/>
      <c r="AJ11" s="832"/>
      <c r="AK11" s="832"/>
      <c r="AL11" s="832"/>
      <c r="AM11" s="832"/>
      <c r="AN11" s="832"/>
      <c r="AO11" s="832"/>
      <c r="AP11" s="832"/>
      <c r="AQ11" s="832"/>
      <c r="AR11" s="612"/>
      <c r="AS11" s="610"/>
      <c r="AT11" s="610"/>
      <c r="AU11" s="610"/>
      <c r="AV11" s="610"/>
      <c r="AW11" s="610"/>
      <c r="AX11" s="610"/>
      <c r="AY11" s="610"/>
      <c r="AZ11" s="610"/>
      <c r="BA11" s="610"/>
      <c r="BB11" s="610"/>
      <c r="BC11" s="610"/>
      <c r="BD11" s="610"/>
      <c r="BE11" s="610"/>
      <c r="BF11" s="610"/>
      <c r="BG11" s="610"/>
      <c r="BH11" s="610"/>
      <c r="BI11" s="610"/>
      <c r="BJ11" s="610"/>
      <c r="BK11" s="610"/>
      <c r="BL11" s="610"/>
      <c r="BM11" s="610"/>
      <c r="BN11" s="610"/>
      <c r="BO11" s="610"/>
      <c r="BP11" s="610"/>
      <c r="BQ11" s="610"/>
      <c r="BR11" s="610"/>
      <c r="BS11" s="610"/>
      <c r="BT11" s="610"/>
      <c r="BU11" s="610"/>
      <c r="BV11" s="610"/>
      <c r="BW11" s="610"/>
      <c r="BX11" s="610"/>
      <c r="BY11" s="610"/>
      <c r="BZ11" s="613"/>
    </row>
    <row r="12" spans="1:78" ht="33.75" customHeight="1">
      <c r="A12" s="814" t="s">
        <v>323</v>
      </c>
      <c r="B12" s="815"/>
      <c r="C12" s="607"/>
      <c r="D12" s="608"/>
      <c r="E12" s="608"/>
      <c r="F12" s="608"/>
      <c r="G12" s="608"/>
      <c r="H12" s="608"/>
      <c r="I12" s="609"/>
      <c r="J12" s="866" t="s">
        <v>315</v>
      </c>
      <c r="K12" s="867"/>
      <c r="L12" s="867"/>
      <c r="M12" s="867"/>
      <c r="N12" s="867"/>
      <c r="O12" s="867"/>
      <c r="P12" s="868"/>
      <c r="Q12" s="863" t="s">
        <v>518</v>
      </c>
      <c r="R12" s="864"/>
      <c r="S12" s="864"/>
      <c r="T12" s="864"/>
      <c r="U12" s="864"/>
      <c r="V12" s="864"/>
      <c r="W12" s="864"/>
      <c r="X12" s="864"/>
      <c r="Y12" s="864"/>
      <c r="Z12" s="864"/>
      <c r="AA12" s="865"/>
      <c r="AB12" s="825"/>
      <c r="AC12" s="826"/>
      <c r="AD12" s="826"/>
      <c r="AE12" s="826"/>
      <c r="AF12" s="826"/>
      <c r="AG12" s="826"/>
      <c r="AH12" s="826"/>
      <c r="AI12" s="831" t="s">
        <v>517</v>
      </c>
      <c r="AJ12" s="832"/>
      <c r="AK12" s="832"/>
      <c r="AL12" s="832"/>
      <c r="AM12" s="832"/>
      <c r="AN12" s="832"/>
      <c r="AO12" s="832"/>
      <c r="AP12" s="832"/>
      <c r="AQ12" s="832"/>
      <c r="AR12" s="612"/>
      <c r="AS12" s="610"/>
      <c r="AT12" s="610"/>
      <c r="AU12" s="610"/>
      <c r="AV12" s="610"/>
      <c r="AW12" s="610"/>
      <c r="AX12" s="610"/>
      <c r="AY12" s="610"/>
      <c r="AZ12" s="610"/>
      <c r="BA12" s="610"/>
      <c r="BB12" s="610"/>
      <c r="BC12" s="610"/>
      <c r="BD12" s="610"/>
      <c r="BE12" s="610"/>
      <c r="BF12" s="610"/>
      <c r="BG12" s="610"/>
      <c r="BH12" s="610"/>
      <c r="BI12" s="610"/>
      <c r="BJ12" s="610"/>
      <c r="BK12" s="610"/>
      <c r="BL12" s="610"/>
      <c r="BM12" s="610"/>
      <c r="BN12" s="610"/>
      <c r="BO12" s="610"/>
      <c r="BP12" s="610"/>
      <c r="BQ12" s="610"/>
      <c r="BR12" s="610"/>
      <c r="BS12" s="610"/>
      <c r="BT12" s="610"/>
      <c r="BU12" s="610"/>
      <c r="BV12" s="610"/>
      <c r="BW12" s="610"/>
      <c r="BX12" s="610"/>
      <c r="BY12" s="610"/>
      <c r="BZ12" s="613"/>
    </row>
    <row r="13" spans="1:78" ht="35.5" customHeight="1">
      <c r="A13" s="814" t="s">
        <v>324</v>
      </c>
      <c r="B13" s="815"/>
      <c r="C13" s="607"/>
      <c r="D13" s="608"/>
      <c r="E13" s="608"/>
      <c r="F13" s="608"/>
      <c r="G13" s="608"/>
      <c r="H13" s="608"/>
      <c r="I13" s="609"/>
      <c r="J13" s="866" t="s">
        <v>314</v>
      </c>
      <c r="K13" s="867"/>
      <c r="L13" s="867"/>
      <c r="M13" s="867"/>
      <c r="N13" s="867"/>
      <c r="O13" s="867"/>
      <c r="P13" s="868"/>
      <c r="Q13" s="863" t="s">
        <v>325</v>
      </c>
      <c r="R13" s="864"/>
      <c r="S13" s="864"/>
      <c r="T13" s="864"/>
      <c r="U13" s="864"/>
      <c r="V13" s="864"/>
      <c r="W13" s="864"/>
      <c r="X13" s="864"/>
      <c r="Y13" s="864"/>
      <c r="Z13" s="864"/>
      <c r="AA13" s="865"/>
      <c r="AB13" s="831"/>
      <c r="AC13" s="832"/>
      <c r="AD13" s="832"/>
      <c r="AE13" s="832"/>
      <c r="AF13" s="832"/>
      <c r="AG13" s="832"/>
      <c r="AH13" s="832"/>
      <c r="AI13" s="831" t="s">
        <v>517</v>
      </c>
      <c r="AJ13" s="832"/>
      <c r="AK13" s="832"/>
      <c r="AL13" s="832"/>
      <c r="AM13" s="832"/>
      <c r="AN13" s="832"/>
      <c r="AO13" s="832"/>
      <c r="AP13" s="832"/>
      <c r="AQ13" s="832"/>
      <c r="AR13" s="612"/>
      <c r="AS13" s="610"/>
      <c r="AT13" s="610"/>
      <c r="AU13" s="610"/>
      <c r="AV13" s="610"/>
      <c r="AW13" s="610"/>
      <c r="AX13" s="610"/>
      <c r="AY13" s="610"/>
      <c r="AZ13" s="610"/>
      <c r="BA13" s="610"/>
      <c r="BB13" s="610"/>
      <c r="BC13" s="610"/>
      <c r="BD13" s="610"/>
      <c r="BE13" s="610"/>
      <c r="BF13" s="610"/>
      <c r="BG13" s="610"/>
      <c r="BH13" s="610"/>
      <c r="BI13" s="610"/>
      <c r="BJ13" s="610"/>
      <c r="BK13" s="610"/>
      <c r="BL13" s="610"/>
      <c r="BM13" s="610"/>
      <c r="BN13" s="610"/>
      <c r="BO13" s="610"/>
      <c r="BP13" s="610"/>
      <c r="BQ13" s="610"/>
      <c r="BR13" s="610"/>
      <c r="BS13" s="610"/>
      <c r="BT13" s="610"/>
      <c r="BU13" s="610"/>
      <c r="BV13" s="610"/>
      <c r="BW13" s="610"/>
      <c r="BX13" s="610"/>
      <c r="BY13" s="610"/>
      <c r="BZ13" s="613"/>
    </row>
    <row r="14" spans="1:78">
      <c r="A14" s="814" t="s">
        <v>326</v>
      </c>
      <c r="B14" s="815"/>
      <c r="C14" s="607"/>
      <c r="D14" s="608"/>
      <c r="E14" s="608"/>
      <c r="F14" s="608"/>
      <c r="G14" s="608"/>
      <c r="H14" s="608"/>
      <c r="I14" s="609"/>
      <c r="J14" s="866" t="s">
        <v>327</v>
      </c>
      <c r="K14" s="867"/>
      <c r="L14" s="867"/>
      <c r="M14" s="867"/>
      <c r="N14" s="867"/>
      <c r="O14" s="867"/>
      <c r="P14" s="868"/>
      <c r="Q14" s="863" t="s">
        <v>313</v>
      </c>
      <c r="R14" s="864"/>
      <c r="S14" s="864"/>
      <c r="T14" s="864"/>
      <c r="U14" s="864"/>
      <c r="V14" s="864"/>
      <c r="W14" s="864"/>
      <c r="X14" s="864"/>
      <c r="Y14" s="864"/>
      <c r="Z14" s="864"/>
      <c r="AA14" s="865"/>
      <c r="AB14" s="831"/>
      <c r="AC14" s="832"/>
      <c r="AD14" s="832"/>
      <c r="AE14" s="832"/>
      <c r="AF14" s="832"/>
      <c r="AG14" s="832"/>
      <c r="AH14" s="832"/>
      <c r="AI14" s="831"/>
      <c r="AJ14" s="832"/>
      <c r="AK14" s="832"/>
      <c r="AL14" s="832"/>
      <c r="AM14" s="832"/>
      <c r="AN14" s="832"/>
      <c r="AO14" s="832"/>
      <c r="AP14" s="832"/>
      <c r="AQ14" s="832"/>
      <c r="AR14" s="612"/>
      <c r="AS14" s="610"/>
      <c r="AT14" s="610"/>
      <c r="AU14" s="610"/>
      <c r="AV14" s="610"/>
      <c r="AW14" s="610"/>
      <c r="AX14" s="610"/>
      <c r="AY14" s="610"/>
      <c r="AZ14" s="610"/>
      <c r="BA14" s="610"/>
      <c r="BB14" s="610"/>
      <c r="BC14" s="610"/>
      <c r="BD14" s="610"/>
      <c r="BE14" s="610"/>
      <c r="BF14" s="610"/>
      <c r="BG14" s="610"/>
      <c r="BH14" s="610"/>
      <c r="BI14" s="610"/>
      <c r="BJ14" s="610"/>
      <c r="BK14" s="610"/>
      <c r="BL14" s="610"/>
      <c r="BM14" s="610"/>
      <c r="BN14" s="610"/>
      <c r="BO14" s="610"/>
      <c r="BP14" s="610"/>
      <c r="BQ14" s="610"/>
      <c r="BR14" s="610"/>
      <c r="BS14" s="610"/>
      <c r="BT14" s="610"/>
      <c r="BU14" s="610"/>
      <c r="BV14" s="610"/>
      <c r="BW14" s="610"/>
      <c r="BX14" s="610"/>
      <c r="BY14" s="610"/>
      <c r="BZ14" s="613"/>
    </row>
    <row r="15" spans="1:78" ht="30" customHeight="1">
      <c r="A15" s="814" t="s">
        <v>328</v>
      </c>
      <c r="B15" s="815"/>
      <c r="C15" s="607"/>
      <c r="D15" s="608"/>
      <c r="E15" s="608"/>
      <c r="F15" s="608"/>
      <c r="G15" s="608"/>
      <c r="H15" s="608"/>
      <c r="I15" s="609"/>
      <c r="J15" s="866" t="s">
        <v>329</v>
      </c>
      <c r="K15" s="867"/>
      <c r="L15" s="867"/>
      <c r="M15" s="867"/>
      <c r="N15" s="867"/>
      <c r="O15" s="867"/>
      <c r="P15" s="868"/>
      <c r="Q15" s="863" t="s">
        <v>330</v>
      </c>
      <c r="R15" s="864"/>
      <c r="S15" s="864"/>
      <c r="T15" s="864"/>
      <c r="U15" s="864"/>
      <c r="V15" s="864"/>
      <c r="W15" s="864"/>
      <c r="X15" s="864"/>
      <c r="Y15" s="864"/>
      <c r="Z15" s="864"/>
      <c r="AA15" s="865"/>
      <c r="AB15" s="825"/>
      <c r="AC15" s="826"/>
      <c r="AD15" s="826"/>
      <c r="AE15" s="826"/>
      <c r="AF15" s="826"/>
      <c r="AG15" s="826"/>
      <c r="AH15" s="826"/>
      <c r="AI15" s="825" t="s">
        <v>519</v>
      </c>
      <c r="AJ15" s="826"/>
      <c r="AK15" s="826"/>
      <c r="AL15" s="826"/>
      <c r="AM15" s="826"/>
      <c r="AN15" s="826"/>
      <c r="AO15" s="826"/>
      <c r="AP15" s="826"/>
      <c r="AQ15" s="826"/>
      <c r="AR15" s="827" t="s">
        <v>331</v>
      </c>
      <c r="AS15" s="823"/>
      <c r="AT15" s="823"/>
      <c r="AU15" s="823"/>
      <c r="AV15" s="823"/>
      <c r="AW15" s="823"/>
      <c r="AX15" s="823"/>
      <c r="AY15" s="823"/>
      <c r="AZ15" s="823"/>
      <c r="BA15" s="823"/>
      <c r="BB15" s="823"/>
      <c r="BC15" s="823"/>
      <c r="BD15" s="823"/>
      <c r="BE15" s="823"/>
      <c r="BF15" s="823"/>
      <c r="BG15" s="823"/>
      <c r="BH15" s="823"/>
      <c r="BI15" s="823"/>
      <c r="BJ15" s="823"/>
      <c r="BK15" s="823"/>
      <c r="BL15" s="823"/>
      <c r="BM15" s="823"/>
      <c r="BN15" s="823"/>
      <c r="BO15" s="823"/>
      <c r="BP15" s="823"/>
      <c r="BQ15" s="823"/>
      <c r="BR15" s="823"/>
      <c r="BS15" s="823"/>
      <c r="BT15" s="823"/>
      <c r="BU15" s="823"/>
      <c r="BV15" s="823"/>
      <c r="BW15" s="823"/>
      <c r="BX15" s="823"/>
      <c r="BY15" s="823"/>
      <c r="BZ15" s="824"/>
    </row>
    <row r="16" spans="1:78" ht="246.5" customHeight="1">
      <c r="A16" s="814" t="s">
        <v>332</v>
      </c>
      <c r="B16" s="815"/>
      <c r="C16" s="607"/>
      <c r="D16" s="608"/>
      <c r="E16" s="608"/>
      <c r="F16" s="608"/>
      <c r="G16" s="608"/>
      <c r="H16" s="608"/>
      <c r="I16" s="609"/>
      <c r="J16" s="866" t="s">
        <v>299</v>
      </c>
      <c r="K16" s="867"/>
      <c r="L16" s="867"/>
      <c r="M16" s="867"/>
      <c r="N16" s="867"/>
      <c r="O16" s="867"/>
      <c r="P16" s="868"/>
      <c r="Q16" s="863" t="s">
        <v>333</v>
      </c>
      <c r="R16" s="864"/>
      <c r="S16" s="864"/>
      <c r="T16" s="864"/>
      <c r="U16" s="864"/>
      <c r="V16" s="864"/>
      <c r="W16" s="864"/>
      <c r="X16" s="864"/>
      <c r="Y16" s="864"/>
      <c r="Z16" s="864"/>
      <c r="AA16" s="865"/>
      <c r="AB16" s="825"/>
      <c r="AC16" s="826"/>
      <c r="AD16" s="826"/>
      <c r="AE16" s="826"/>
      <c r="AF16" s="826"/>
      <c r="AG16" s="826"/>
      <c r="AH16" s="826"/>
      <c r="AI16" s="825" t="s">
        <v>654</v>
      </c>
      <c r="AJ16" s="826"/>
      <c r="AK16" s="826"/>
      <c r="AL16" s="826"/>
      <c r="AM16" s="826"/>
      <c r="AN16" s="826"/>
      <c r="AO16" s="826"/>
      <c r="AP16" s="826"/>
      <c r="AQ16" s="826"/>
      <c r="AR16" s="872" t="s">
        <v>334</v>
      </c>
      <c r="AS16" s="873"/>
      <c r="AT16" s="873"/>
      <c r="AU16" s="873"/>
      <c r="AV16" s="873"/>
      <c r="AW16" s="873"/>
      <c r="AX16" s="873"/>
      <c r="AY16" s="873"/>
      <c r="AZ16" s="873"/>
      <c r="BA16" s="873"/>
      <c r="BB16" s="873"/>
      <c r="BC16" s="873"/>
      <c r="BD16" s="873"/>
      <c r="BE16" s="873"/>
      <c r="BF16" s="873"/>
      <c r="BG16" s="873"/>
      <c r="BH16" s="873"/>
      <c r="BI16" s="873"/>
      <c r="BJ16" s="873"/>
      <c r="BK16" s="873"/>
      <c r="BL16" s="873"/>
      <c r="BM16" s="873"/>
      <c r="BN16" s="873"/>
      <c r="BO16" s="873"/>
      <c r="BP16" s="873"/>
      <c r="BQ16" s="873"/>
      <c r="BR16" s="873"/>
      <c r="BS16" s="873"/>
      <c r="BT16" s="873"/>
      <c r="BU16" s="873"/>
      <c r="BV16" s="873"/>
      <c r="BW16" s="873"/>
      <c r="BX16" s="873"/>
      <c r="BY16" s="873"/>
      <c r="BZ16" s="874"/>
    </row>
    <row r="17" spans="1:78" ht="72.5" customHeight="1">
      <c r="A17" s="814" t="s">
        <v>335</v>
      </c>
      <c r="B17" s="815"/>
      <c r="C17" s="607"/>
      <c r="D17" s="608"/>
      <c r="E17" s="608"/>
      <c r="F17" s="608"/>
      <c r="G17" s="608"/>
      <c r="H17" s="608"/>
      <c r="I17" s="609"/>
      <c r="J17" s="866" t="s">
        <v>336</v>
      </c>
      <c r="K17" s="867"/>
      <c r="L17" s="867"/>
      <c r="M17" s="867"/>
      <c r="N17" s="867"/>
      <c r="O17" s="867"/>
      <c r="P17" s="868"/>
      <c r="Q17" s="863" t="s">
        <v>337</v>
      </c>
      <c r="R17" s="864"/>
      <c r="S17" s="864"/>
      <c r="T17" s="864"/>
      <c r="U17" s="864"/>
      <c r="V17" s="864"/>
      <c r="W17" s="864"/>
      <c r="X17" s="864"/>
      <c r="Y17" s="864"/>
      <c r="Z17" s="864"/>
      <c r="AA17" s="865"/>
      <c r="AB17" s="674"/>
      <c r="AC17" s="675"/>
      <c r="AD17" s="675"/>
      <c r="AE17" s="675"/>
      <c r="AF17" s="675"/>
      <c r="AG17" s="675"/>
      <c r="AH17" s="675"/>
      <c r="AI17" s="825" t="s">
        <v>655</v>
      </c>
      <c r="AJ17" s="826"/>
      <c r="AK17" s="826"/>
      <c r="AL17" s="826"/>
      <c r="AM17" s="826"/>
      <c r="AN17" s="826"/>
      <c r="AO17" s="826"/>
      <c r="AP17" s="826"/>
      <c r="AQ17" s="826"/>
      <c r="AR17" s="872" t="s">
        <v>338</v>
      </c>
      <c r="AS17" s="873"/>
      <c r="AT17" s="873"/>
      <c r="AU17" s="873"/>
      <c r="AV17" s="873"/>
      <c r="AW17" s="873"/>
      <c r="AX17" s="873"/>
      <c r="AY17" s="873"/>
      <c r="AZ17" s="873"/>
      <c r="BA17" s="873"/>
      <c r="BB17" s="873"/>
      <c r="BC17" s="873"/>
      <c r="BD17" s="873"/>
      <c r="BE17" s="873"/>
      <c r="BF17" s="873"/>
      <c r="BG17" s="873"/>
      <c r="BH17" s="873"/>
      <c r="BI17" s="873"/>
      <c r="BJ17" s="873"/>
      <c r="BK17" s="873"/>
      <c r="BL17" s="873"/>
      <c r="BM17" s="873"/>
      <c r="BN17" s="873"/>
      <c r="BO17" s="873"/>
      <c r="BP17" s="873"/>
      <c r="BQ17" s="873"/>
      <c r="BR17" s="873"/>
      <c r="BS17" s="873"/>
      <c r="BT17" s="873"/>
      <c r="BU17" s="873"/>
      <c r="BV17" s="873"/>
      <c r="BW17" s="873"/>
      <c r="BX17" s="873"/>
      <c r="BY17" s="873"/>
      <c r="BZ17" s="874"/>
    </row>
    <row r="18" spans="1:78" ht="46.5" customHeight="1">
      <c r="A18" s="814" t="s">
        <v>339</v>
      </c>
      <c r="B18" s="815"/>
      <c r="C18" s="834"/>
      <c r="D18" s="835"/>
      <c r="E18" s="835"/>
      <c r="F18" s="835"/>
      <c r="G18" s="835"/>
      <c r="H18" s="835"/>
      <c r="I18" s="836"/>
      <c r="J18" s="866" t="s">
        <v>342</v>
      </c>
      <c r="K18" s="867"/>
      <c r="L18" s="867"/>
      <c r="M18" s="867"/>
      <c r="N18" s="867"/>
      <c r="O18" s="867"/>
      <c r="P18" s="868"/>
      <c r="Q18" s="869" t="s">
        <v>343</v>
      </c>
      <c r="R18" s="870"/>
      <c r="S18" s="870"/>
      <c r="T18" s="870"/>
      <c r="U18" s="870"/>
      <c r="V18" s="870"/>
      <c r="W18" s="870"/>
      <c r="X18" s="870"/>
      <c r="Y18" s="870"/>
      <c r="Z18" s="870"/>
      <c r="AA18" s="871"/>
      <c r="AB18" s="674"/>
      <c r="AC18" s="675"/>
      <c r="AD18" s="675"/>
      <c r="AE18" s="675"/>
      <c r="AF18" s="675"/>
      <c r="AG18" s="675"/>
      <c r="AH18" s="675"/>
      <c r="AI18" s="831" t="s">
        <v>517</v>
      </c>
      <c r="AJ18" s="832"/>
      <c r="AK18" s="832"/>
      <c r="AL18" s="832"/>
      <c r="AM18" s="832"/>
      <c r="AN18" s="832"/>
      <c r="AO18" s="832"/>
      <c r="AP18" s="832"/>
      <c r="AQ18" s="832"/>
      <c r="AR18" s="827" t="s">
        <v>636</v>
      </c>
      <c r="AS18" s="823"/>
      <c r="AT18" s="823"/>
      <c r="AU18" s="823"/>
      <c r="AV18" s="823"/>
      <c r="AW18" s="823"/>
      <c r="AX18" s="823"/>
      <c r="AY18" s="823"/>
      <c r="AZ18" s="823"/>
      <c r="BA18" s="823"/>
      <c r="BB18" s="823"/>
      <c r="BC18" s="823"/>
      <c r="BD18" s="823"/>
      <c r="BE18" s="823"/>
      <c r="BF18" s="823"/>
      <c r="BG18" s="823"/>
      <c r="BH18" s="823"/>
      <c r="BI18" s="823"/>
      <c r="BJ18" s="823"/>
      <c r="BK18" s="823"/>
      <c r="BL18" s="823"/>
      <c r="BM18" s="823"/>
      <c r="BN18" s="823"/>
      <c r="BO18" s="823"/>
      <c r="BP18" s="823"/>
      <c r="BQ18" s="823"/>
      <c r="BR18" s="823"/>
      <c r="BS18" s="823"/>
      <c r="BT18" s="823"/>
      <c r="BU18" s="823"/>
      <c r="BV18" s="823"/>
      <c r="BW18" s="823"/>
      <c r="BX18" s="823"/>
      <c r="BY18" s="823"/>
      <c r="BZ18" s="824"/>
    </row>
    <row r="19" spans="1:78" ht="150" customHeight="1">
      <c r="A19" s="814" t="s">
        <v>340</v>
      </c>
      <c r="B19" s="815"/>
      <c r="C19" s="837"/>
      <c r="D19" s="838"/>
      <c r="E19" s="838"/>
      <c r="F19" s="838"/>
      <c r="G19" s="838"/>
      <c r="H19" s="838"/>
      <c r="I19" s="839"/>
      <c r="J19" s="866" t="s">
        <v>344</v>
      </c>
      <c r="K19" s="867"/>
      <c r="L19" s="867"/>
      <c r="M19" s="867"/>
      <c r="N19" s="867"/>
      <c r="O19" s="867"/>
      <c r="P19" s="868"/>
      <c r="Q19" s="869" t="s">
        <v>345</v>
      </c>
      <c r="R19" s="870"/>
      <c r="S19" s="870"/>
      <c r="T19" s="870"/>
      <c r="U19" s="870"/>
      <c r="V19" s="870"/>
      <c r="W19" s="870"/>
      <c r="X19" s="870"/>
      <c r="Y19" s="870"/>
      <c r="Z19" s="870"/>
      <c r="AA19" s="871"/>
      <c r="AB19" s="825"/>
      <c r="AC19" s="826"/>
      <c r="AD19" s="826"/>
      <c r="AE19" s="826"/>
      <c r="AF19" s="826"/>
      <c r="AG19" s="826"/>
      <c r="AH19" s="826"/>
      <c r="AI19" s="825"/>
      <c r="AJ19" s="826"/>
      <c r="AK19" s="826"/>
      <c r="AL19" s="826"/>
      <c r="AM19" s="826"/>
      <c r="AN19" s="826"/>
      <c r="AO19" s="826"/>
      <c r="AP19" s="826"/>
      <c r="AQ19" s="826"/>
      <c r="AR19" s="827" t="s">
        <v>512</v>
      </c>
      <c r="AS19" s="823"/>
      <c r="AT19" s="823"/>
      <c r="AU19" s="823"/>
      <c r="AV19" s="823"/>
      <c r="AW19" s="823"/>
      <c r="AX19" s="823"/>
      <c r="AY19" s="823"/>
      <c r="AZ19" s="823"/>
      <c r="BA19" s="823"/>
      <c r="BB19" s="823"/>
      <c r="BC19" s="823"/>
      <c r="BD19" s="823"/>
      <c r="BE19" s="823"/>
      <c r="BF19" s="823"/>
      <c r="BG19" s="823"/>
      <c r="BH19" s="823"/>
      <c r="BI19" s="823"/>
      <c r="BJ19" s="823"/>
      <c r="BK19" s="823"/>
      <c r="BL19" s="823"/>
      <c r="BM19" s="823"/>
      <c r="BN19" s="823"/>
      <c r="BO19" s="823"/>
      <c r="BP19" s="823"/>
      <c r="BQ19" s="823"/>
      <c r="BR19" s="823"/>
      <c r="BS19" s="823"/>
      <c r="BT19" s="823"/>
      <c r="BU19" s="823"/>
      <c r="BV19" s="823"/>
      <c r="BW19" s="823"/>
      <c r="BX19" s="823"/>
      <c r="BY19" s="823"/>
      <c r="BZ19" s="824"/>
    </row>
    <row r="20" spans="1:78" ht="15.75" customHeight="1">
      <c r="A20" s="814" t="s">
        <v>341</v>
      </c>
      <c r="B20" s="815"/>
      <c r="C20" s="866"/>
      <c r="D20" s="867"/>
      <c r="E20" s="867"/>
      <c r="F20" s="867"/>
      <c r="G20" s="867"/>
      <c r="H20" s="867"/>
      <c r="I20" s="868"/>
      <c r="J20" s="866" t="s">
        <v>346</v>
      </c>
      <c r="K20" s="867"/>
      <c r="L20" s="867"/>
      <c r="M20" s="867"/>
      <c r="N20" s="867"/>
      <c r="O20" s="867"/>
      <c r="P20" s="868"/>
      <c r="Q20" s="869" t="s">
        <v>313</v>
      </c>
      <c r="R20" s="870"/>
      <c r="S20" s="870"/>
      <c r="T20" s="870"/>
      <c r="U20" s="870"/>
      <c r="V20" s="870"/>
      <c r="W20" s="870"/>
      <c r="X20" s="870"/>
      <c r="Y20" s="870"/>
      <c r="Z20" s="870"/>
      <c r="AA20" s="871"/>
      <c r="AB20" s="825"/>
      <c r="AC20" s="826"/>
      <c r="AD20" s="826"/>
      <c r="AE20" s="826"/>
      <c r="AF20" s="826"/>
      <c r="AG20" s="826"/>
      <c r="AH20" s="826"/>
      <c r="AI20" s="825"/>
      <c r="AJ20" s="826"/>
      <c r="AK20" s="826"/>
      <c r="AL20" s="826"/>
      <c r="AM20" s="826"/>
      <c r="AN20" s="826"/>
      <c r="AO20" s="826"/>
      <c r="AP20" s="826"/>
      <c r="AQ20" s="826"/>
      <c r="AR20" s="827"/>
      <c r="AS20" s="823"/>
      <c r="AT20" s="823"/>
      <c r="AU20" s="823"/>
      <c r="AV20" s="823"/>
      <c r="AW20" s="823"/>
      <c r="AX20" s="823"/>
      <c r="AY20" s="823"/>
      <c r="AZ20" s="823"/>
      <c r="BA20" s="823"/>
      <c r="BB20" s="823"/>
      <c r="BC20" s="823"/>
      <c r="BD20" s="823"/>
      <c r="BE20" s="823"/>
      <c r="BF20" s="823"/>
      <c r="BG20" s="823"/>
      <c r="BH20" s="823"/>
      <c r="BI20" s="823"/>
      <c r="BJ20" s="823"/>
      <c r="BK20" s="823"/>
      <c r="BL20" s="823"/>
      <c r="BM20" s="823"/>
      <c r="BN20" s="823"/>
      <c r="BO20" s="823"/>
      <c r="BP20" s="823"/>
      <c r="BQ20" s="823"/>
      <c r="BR20" s="823"/>
      <c r="BS20" s="823"/>
      <c r="BT20" s="823"/>
      <c r="BU20" s="823"/>
      <c r="BV20" s="823"/>
      <c r="BW20" s="823"/>
      <c r="BX20" s="823"/>
      <c r="BY20" s="823"/>
      <c r="BZ20" s="824"/>
    </row>
    <row r="21" spans="1:78" ht="60.5" customHeight="1">
      <c r="A21" s="814" t="s">
        <v>659</v>
      </c>
      <c r="B21" s="815"/>
      <c r="C21" s="866"/>
      <c r="D21" s="867"/>
      <c r="E21" s="867"/>
      <c r="F21" s="867"/>
      <c r="G21" s="867"/>
      <c r="H21" s="867"/>
      <c r="I21" s="868"/>
      <c r="J21" s="866" t="s">
        <v>347</v>
      </c>
      <c r="K21" s="867"/>
      <c r="L21" s="867"/>
      <c r="M21" s="867"/>
      <c r="N21" s="867"/>
      <c r="O21" s="867"/>
      <c r="P21" s="868"/>
      <c r="Q21" s="869" t="s">
        <v>313</v>
      </c>
      <c r="R21" s="870"/>
      <c r="S21" s="870"/>
      <c r="T21" s="870"/>
      <c r="U21" s="870"/>
      <c r="V21" s="870"/>
      <c r="W21" s="870"/>
      <c r="X21" s="870"/>
      <c r="Y21" s="870"/>
      <c r="Z21" s="870"/>
      <c r="AA21" s="871"/>
      <c r="AB21" s="825"/>
      <c r="AC21" s="826"/>
      <c r="AD21" s="826"/>
      <c r="AE21" s="826"/>
      <c r="AF21" s="826"/>
      <c r="AG21" s="826"/>
      <c r="AH21" s="826"/>
      <c r="AI21" s="825"/>
      <c r="AJ21" s="826"/>
      <c r="AK21" s="826"/>
      <c r="AL21" s="826"/>
      <c r="AM21" s="826"/>
      <c r="AN21" s="826"/>
      <c r="AO21" s="826"/>
      <c r="AP21" s="826"/>
      <c r="AQ21" s="826"/>
      <c r="AR21" s="827" t="s">
        <v>432</v>
      </c>
      <c r="AS21" s="823"/>
      <c r="AT21" s="823"/>
      <c r="AU21" s="823"/>
      <c r="AV21" s="823"/>
      <c r="AW21" s="823"/>
      <c r="AX21" s="823"/>
      <c r="AY21" s="823"/>
      <c r="AZ21" s="823"/>
      <c r="BA21" s="823"/>
      <c r="BB21" s="823"/>
      <c r="BC21" s="823"/>
      <c r="BD21" s="823"/>
      <c r="BE21" s="823"/>
      <c r="BF21" s="823"/>
      <c r="BG21" s="823"/>
      <c r="BH21" s="823"/>
      <c r="BI21" s="823"/>
      <c r="BJ21" s="823"/>
      <c r="BK21" s="823"/>
      <c r="BL21" s="823"/>
      <c r="BM21" s="823"/>
      <c r="BN21" s="823"/>
      <c r="BO21" s="823"/>
      <c r="BP21" s="823"/>
      <c r="BQ21" s="823"/>
      <c r="BR21" s="823"/>
      <c r="BS21" s="823"/>
      <c r="BT21" s="823"/>
      <c r="BU21" s="823"/>
      <c r="BV21" s="823"/>
      <c r="BW21" s="823"/>
      <c r="BX21" s="823"/>
      <c r="BY21" s="823"/>
      <c r="BZ21" s="824"/>
    </row>
    <row r="22" spans="1:78">
      <c r="A22" s="814" t="s">
        <v>660</v>
      </c>
      <c r="B22" s="815"/>
      <c r="C22" s="607"/>
      <c r="D22" s="608"/>
      <c r="E22" s="608"/>
      <c r="F22" s="608"/>
      <c r="G22" s="608"/>
      <c r="H22" s="608"/>
      <c r="I22" s="609"/>
      <c r="J22" s="866" t="s">
        <v>348</v>
      </c>
      <c r="K22" s="867"/>
      <c r="L22" s="867"/>
      <c r="M22" s="867"/>
      <c r="N22" s="867"/>
      <c r="O22" s="867"/>
      <c r="P22" s="868"/>
      <c r="Q22" s="863" t="s">
        <v>300</v>
      </c>
      <c r="R22" s="864"/>
      <c r="S22" s="864"/>
      <c r="T22" s="864"/>
      <c r="U22" s="864"/>
      <c r="V22" s="864"/>
      <c r="W22" s="864"/>
      <c r="X22" s="864"/>
      <c r="Y22" s="864"/>
      <c r="Z22" s="864"/>
      <c r="AA22" s="875"/>
      <c r="AB22" s="825"/>
      <c r="AC22" s="826"/>
      <c r="AD22" s="826"/>
      <c r="AE22" s="826"/>
      <c r="AF22" s="826"/>
      <c r="AG22" s="826"/>
      <c r="AH22" s="826"/>
      <c r="AI22" s="825"/>
      <c r="AJ22" s="826"/>
      <c r="AK22" s="826"/>
      <c r="AL22" s="826"/>
      <c r="AM22" s="826"/>
      <c r="AN22" s="826"/>
      <c r="AO22" s="826"/>
      <c r="AP22" s="826"/>
      <c r="AQ22" s="826"/>
      <c r="AR22" s="822" t="s">
        <v>514</v>
      </c>
      <c r="AS22" s="823"/>
      <c r="AT22" s="823"/>
      <c r="AU22" s="823"/>
      <c r="AV22" s="823"/>
      <c r="AW22" s="823"/>
      <c r="AX22" s="823"/>
      <c r="AY22" s="823"/>
      <c r="AZ22" s="823"/>
      <c r="BA22" s="823"/>
      <c r="BB22" s="823"/>
      <c r="BC22" s="823"/>
      <c r="BD22" s="823"/>
      <c r="BE22" s="823"/>
      <c r="BF22" s="823"/>
      <c r="BG22" s="823"/>
      <c r="BH22" s="823"/>
      <c r="BI22" s="823"/>
      <c r="BJ22" s="823"/>
      <c r="BK22" s="823"/>
      <c r="BL22" s="823"/>
      <c r="BM22" s="823"/>
      <c r="BN22" s="823"/>
      <c r="BO22" s="823"/>
      <c r="BP22" s="823"/>
      <c r="BQ22" s="823"/>
      <c r="BR22" s="823"/>
      <c r="BS22" s="823"/>
      <c r="BT22" s="823"/>
      <c r="BU22" s="823"/>
      <c r="BV22" s="823"/>
      <c r="BW22" s="823"/>
      <c r="BX22" s="823"/>
      <c r="BY22" s="823"/>
      <c r="BZ22" s="824"/>
    </row>
    <row r="23" spans="1:78" ht="71.5" customHeight="1">
      <c r="A23" s="814" t="s">
        <v>661</v>
      </c>
      <c r="B23" s="815"/>
      <c r="C23" s="607"/>
      <c r="D23" s="608"/>
      <c r="E23" s="608"/>
      <c r="F23" s="608"/>
      <c r="G23" s="608"/>
      <c r="H23" s="608"/>
      <c r="I23" s="609"/>
      <c r="J23" s="866" t="s">
        <v>349</v>
      </c>
      <c r="K23" s="867"/>
      <c r="L23" s="867"/>
      <c r="M23" s="867"/>
      <c r="N23" s="867"/>
      <c r="O23" s="867"/>
      <c r="P23" s="868"/>
      <c r="Q23" s="863" t="s">
        <v>300</v>
      </c>
      <c r="R23" s="864"/>
      <c r="S23" s="864"/>
      <c r="T23" s="864"/>
      <c r="U23" s="864"/>
      <c r="V23" s="864"/>
      <c r="W23" s="864"/>
      <c r="X23" s="864"/>
      <c r="Y23" s="864"/>
      <c r="Z23" s="864"/>
      <c r="AA23" s="875"/>
      <c r="AB23" s="831"/>
      <c r="AC23" s="832"/>
      <c r="AD23" s="832"/>
      <c r="AE23" s="832"/>
      <c r="AF23" s="832"/>
      <c r="AG23" s="832"/>
      <c r="AH23" s="832"/>
      <c r="AI23" s="831"/>
      <c r="AJ23" s="832"/>
      <c r="AK23" s="832"/>
      <c r="AL23" s="832"/>
      <c r="AM23" s="832"/>
      <c r="AN23" s="832"/>
      <c r="AO23" s="832"/>
      <c r="AP23" s="832"/>
      <c r="AQ23" s="832"/>
      <c r="AR23" s="822" t="s">
        <v>352</v>
      </c>
      <c r="AS23" s="823"/>
      <c r="AT23" s="823"/>
      <c r="AU23" s="823"/>
      <c r="AV23" s="823"/>
      <c r="AW23" s="823"/>
      <c r="AX23" s="823"/>
      <c r="AY23" s="823"/>
      <c r="AZ23" s="823"/>
      <c r="BA23" s="823"/>
      <c r="BB23" s="823"/>
      <c r="BC23" s="823"/>
      <c r="BD23" s="823"/>
      <c r="BE23" s="823"/>
      <c r="BF23" s="823"/>
      <c r="BG23" s="823"/>
      <c r="BH23" s="823"/>
      <c r="BI23" s="823"/>
      <c r="BJ23" s="823"/>
      <c r="BK23" s="823"/>
      <c r="BL23" s="823"/>
      <c r="BM23" s="823"/>
      <c r="BN23" s="823"/>
      <c r="BO23" s="823"/>
      <c r="BP23" s="823"/>
      <c r="BQ23" s="823"/>
      <c r="BR23" s="823"/>
      <c r="BS23" s="823"/>
      <c r="BT23" s="823"/>
      <c r="BU23" s="823"/>
      <c r="BV23" s="823"/>
      <c r="BW23" s="823"/>
      <c r="BX23" s="823"/>
      <c r="BY23" s="823"/>
      <c r="BZ23" s="824"/>
    </row>
    <row r="24" spans="1:78">
      <c r="A24" s="814" t="s">
        <v>662</v>
      </c>
      <c r="B24" s="815"/>
      <c r="C24" s="607"/>
      <c r="D24" s="608"/>
      <c r="E24" s="608"/>
      <c r="F24" s="608"/>
      <c r="G24" s="608"/>
      <c r="H24" s="608"/>
      <c r="I24" s="609"/>
      <c r="J24" s="866" t="s">
        <v>350</v>
      </c>
      <c r="K24" s="867"/>
      <c r="L24" s="867"/>
      <c r="M24" s="867"/>
      <c r="N24" s="867"/>
      <c r="O24" s="867"/>
      <c r="P24" s="868"/>
      <c r="Q24" s="863" t="s">
        <v>300</v>
      </c>
      <c r="R24" s="864"/>
      <c r="S24" s="864"/>
      <c r="T24" s="864"/>
      <c r="U24" s="864"/>
      <c r="V24" s="864"/>
      <c r="W24" s="864"/>
      <c r="X24" s="864"/>
      <c r="Y24" s="864"/>
      <c r="Z24" s="864"/>
      <c r="AA24" s="865"/>
      <c r="AB24" s="831"/>
      <c r="AC24" s="832"/>
      <c r="AD24" s="832"/>
      <c r="AE24" s="832"/>
      <c r="AF24" s="832"/>
      <c r="AG24" s="832"/>
      <c r="AH24" s="832"/>
      <c r="AI24" s="831"/>
      <c r="AJ24" s="832"/>
      <c r="AK24" s="832"/>
      <c r="AL24" s="832"/>
      <c r="AM24" s="832"/>
      <c r="AN24" s="832"/>
      <c r="AO24" s="832"/>
      <c r="AP24" s="832"/>
      <c r="AQ24" s="832"/>
      <c r="AR24" s="827" t="s">
        <v>351</v>
      </c>
      <c r="AS24" s="823"/>
      <c r="AT24" s="823"/>
      <c r="AU24" s="823"/>
      <c r="AV24" s="823"/>
      <c r="AW24" s="823"/>
      <c r="AX24" s="823"/>
      <c r="AY24" s="823"/>
      <c r="AZ24" s="823"/>
      <c r="BA24" s="823"/>
      <c r="BB24" s="823"/>
      <c r="BC24" s="823"/>
      <c r="BD24" s="823"/>
      <c r="BE24" s="823"/>
      <c r="BF24" s="823"/>
      <c r="BG24" s="823"/>
      <c r="BH24" s="823"/>
      <c r="BI24" s="823"/>
      <c r="BJ24" s="823"/>
      <c r="BK24" s="823"/>
      <c r="BL24" s="823"/>
      <c r="BM24" s="823"/>
      <c r="BN24" s="823"/>
      <c r="BO24" s="823"/>
      <c r="BP24" s="823"/>
      <c r="BQ24" s="823"/>
      <c r="BR24" s="823"/>
      <c r="BS24" s="823"/>
      <c r="BT24" s="823"/>
      <c r="BU24" s="823"/>
      <c r="BV24" s="823"/>
      <c r="BW24" s="823"/>
      <c r="BX24" s="823"/>
      <c r="BY24" s="823"/>
      <c r="BZ24" s="824"/>
    </row>
    <row r="25" spans="1:78" ht="36" customHeight="1">
      <c r="A25" s="814"/>
      <c r="B25" s="815"/>
      <c r="C25" s="607"/>
      <c r="D25" s="608"/>
      <c r="E25" s="608"/>
      <c r="F25" s="608"/>
      <c r="G25" s="608"/>
      <c r="H25" s="608"/>
      <c r="I25" s="609"/>
      <c r="J25" s="866"/>
      <c r="K25" s="867"/>
      <c r="L25" s="867"/>
      <c r="M25" s="867"/>
      <c r="N25" s="867"/>
      <c r="O25" s="867"/>
      <c r="P25" s="868"/>
      <c r="Q25" s="863" t="s">
        <v>300</v>
      </c>
      <c r="R25" s="864"/>
      <c r="S25" s="864"/>
      <c r="T25" s="864"/>
      <c r="U25" s="864"/>
      <c r="V25" s="864"/>
      <c r="W25" s="864"/>
      <c r="X25" s="864"/>
      <c r="Y25" s="864"/>
      <c r="Z25" s="864"/>
      <c r="AA25" s="875"/>
      <c r="AB25" s="831"/>
      <c r="AC25" s="832"/>
      <c r="AD25" s="832"/>
      <c r="AE25" s="832"/>
      <c r="AF25" s="832"/>
      <c r="AG25" s="832"/>
      <c r="AH25" s="832"/>
      <c r="AI25" s="831"/>
      <c r="AJ25" s="832"/>
      <c r="AK25" s="832"/>
      <c r="AL25" s="832"/>
      <c r="AM25" s="832"/>
      <c r="AN25" s="832"/>
      <c r="AO25" s="832"/>
      <c r="AP25" s="832"/>
      <c r="AQ25" s="832"/>
      <c r="AR25" s="822"/>
      <c r="AS25" s="823"/>
      <c r="AT25" s="823"/>
      <c r="AU25" s="823"/>
      <c r="AV25" s="823"/>
      <c r="AW25" s="823"/>
      <c r="AX25" s="823"/>
      <c r="AY25" s="823"/>
      <c r="AZ25" s="823"/>
      <c r="BA25" s="823"/>
      <c r="BB25" s="823"/>
      <c r="BC25" s="823"/>
      <c r="BD25" s="823"/>
      <c r="BE25" s="823"/>
      <c r="BF25" s="823"/>
      <c r="BG25" s="823"/>
      <c r="BH25" s="823"/>
      <c r="BI25" s="823"/>
      <c r="BJ25" s="823"/>
      <c r="BK25" s="823"/>
      <c r="BL25" s="823"/>
      <c r="BM25" s="823"/>
      <c r="BN25" s="823"/>
      <c r="BO25" s="823"/>
      <c r="BP25" s="823"/>
      <c r="BQ25" s="823"/>
      <c r="BR25" s="823"/>
      <c r="BS25" s="823"/>
      <c r="BT25" s="823"/>
      <c r="BU25" s="823"/>
      <c r="BV25" s="823"/>
      <c r="BW25" s="823"/>
      <c r="BX25" s="823"/>
      <c r="BY25" s="823"/>
      <c r="BZ25" s="824"/>
    </row>
    <row r="26" spans="1:78" ht="36" customHeight="1">
      <c r="A26" s="814"/>
      <c r="B26" s="815"/>
      <c r="C26" s="607"/>
      <c r="D26" s="608"/>
      <c r="E26" s="608"/>
      <c r="F26" s="608"/>
      <c r="G26" s="608"/>
      <c r="H26" s="608"/>
      <c r="I26" s="609"/>
      <c r="J26" s="866"/>
      <c r="K26" s="867"/>
      <c r="L26" s="867"/>
      <c r="M26" s="867"/>
      <c r="N26" s="867"/>
      <c r="O26" s="867"/>
      <c r="P26" s="868"/>
      <c r="Q26" s="876"/>
      <c r="R26" s="877"/>
      <c r="S26" s="877"/>
      <c r="T26" s="877"/>
      <c r="U26" s="877"/>
      <c r="V26" s="877"/>
      <c r="W26" s="877"/>
      <c r="X26" s="877"/>
      <c r="Y26" s="877"/>
      <c r="Z26" s="877"/>
      <c r="AA26" s="611"/>
      <c r="AB26" s="831"/>
      <c r="AC26" s="832"/>
      <c r="AD26" s="832"/>
      <c r="AE26" s="832"/>
      <c r="AF26" s="832"/>
      <c r="AG26" s="832"/>
      <c r="AH26" s="832"/>
      <c r="AI26" s="831"/>
      <c r="AJ26" s="832"/>
      <c r="AK26" s="832"/>
      <c r="AL26" s="832"/>
      <c r="AM26" s="832"/>
      <c r="AN26" s="832"/>
      <c r="AO26" s="832"/>
      <c r="AP26" s="832"/>
      <c r="AQ26" s="832"/>
      <c r="AR26" s="822"/>
      <c r="AS26" s="823"/>
      <c r="AT26" s="823"/>
      <c r="AU26" s="823"/>
      <c r="AV26" s="823"/>
      <c r="AW26" s="823"/>
      <c r="AX26" s="823"/>
      <c r="AY26" s="823"/>
      <c r="AZ26" s="823"/>
      <c r="BA26" s="823"/>
      <c r="BB26" s="823"/>
      <c r="BC26" s="823"/>
      <c r="BD26" s="823"/>
      <c r="BE26" s="823"/>
      <c r="BF26" s="823"/>
      <c r="BG26" s="823"/>
      <c r="BH26" s="823"/>
      <c r="BI26" s="823"/>
      <c r="BJ26" s="823"/>
      <c r="BK26" s="823"/>
      <c r="BL26" s="823"/>
      <c r="BM26" s="823"/>
      <c r="BN26" s="823"/>
      <c r="BO26" s="823"/>
      <c r="BP26" s="823"/>
      <c r="BQ26" s="823"/>
      <c r="BR26" s="823"/>
      <c r="BS26" s="823"/>
      <c r="BT26" s="823"/>
      <c r="BU26" s="823"/>
      <c r="BV26" s="823"/>
      <c r="BW26" s="823"/>
      <c r="BX26" s="823"/>
      <c r="BY26" s="823"/>
      <c r="BZ26" s="824"/>
    </row>
    <row r="27" spans="1:78">
      <c r="A27" s="604"/>
      <c r="B27" s="604"/>
      <c r="C27" s="604"/>
      <c r="D27" s="604"/>
      <c r="E27" s="604"/>
      <c r="F27" s="604"/>
      <c r="G27" s="604"/>
      <c r="H27" s="604"/>
      <c r="I27" s="604"/>
      <c r="J27" s="604"/>
      <c r="K27" s="604"/>
      <c r="L27" s="604"/>
      <c r="M27" s="604"/>
      <c r="N27" s="604"/>
      <c r="O27" s="604"/>
      <c r="P27" s="604"/>
      <c r="Q27" s="604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833"/>
      <c r="AC27" s="833"/>
      <c r="AD27" s="833"/>
      <c r="AE27" s="833"/>
      <c r="AF27" s="833"/>
      <c r="AG27" s="833"/>
      <c r="AH27" s="833"/>
      <c r="AI27" s="833"/>
      <c r="AJ27" s="833"/>
      <c r="AK27" s="833"/>
      <c r="AL27" s="833"/>
      <c r="AM27" s="833"/>
      <c r="AN27" s="833"/>
      <c r="AO27" s="833"/>
      <c r="AP27" s="833"/>
      <c r="AQ27" s="833"/>
      <c r="AR27" s="604"/>
      <c r="AS27" s="604"/>
      <c r="AT27" s="604"/>
      <c r="AU27" s="604"/>
      <c r="AV27" s="604"/>
      <c r="AW27" s="604"/>
      <c r="AX27" s="604"/>
      <c r="AY27" s="604"/>
      <c r="AZ27" s="604"/>
      <c r="BA27" s="604"/>
      <c r="BB27" s="604"/>
      <c r="BC27" s="604"/>
      <c r="BD27" s="604"/>
      <c r="BE27" s="604"/>
      <c r="BF27" s="604"/>
      <c r="BG27" s="604"/>
      <c r="BH27" s="604"/>
      <c r="BI27" s="604"/>
      <c r="BJ27" s="604"/>
      <c r="BK27" s="604"/>
      <c r="BL27" s="604"/>
      <c r="BM27" s="604"/>
      <c r="BN27" s="604"/>
      <c r="BO27" s="604"/>
      <c r="BP27" s="604"/>
      <c r="BQ27" s="604"/>
      <c r="BR27" s="604"/>
      <c r="BS27" s="604"/>
      <c r="BT27" s="604"/>
      <c r="BU27" s="604"/>
      <c r="BV27" s="604"/>
      <c r="BW27" s="604"/>
      <c r="BX27" s="604"/>
      <c r="BY27" s="604"/>
      <c r="BZ27" s="604"/>
    </row>
    <row r="28" spans="1:78">
      <c r="AB28" s="830"/>
      <c r="AC28" s="830"/>
      <c r="AD28" s="830"/>
      <c r="AE28" s="830"/>
      <c r="AF28" s="830"/>
      <c r="AG28" s="830"/>
      <c r="AH28" s="830"/>
      <c r="AI28" s="830"/>
      <c r="AJ28" s="830"/>
      <c r="AK28" s="830"/>
      <c r="AL28" s="830"/>
      <c r="AM28" s="830"/>
      <c r="AN28" s="830"/>
      <c r="AO28" s="830"/>
      <c r="AP28" s="830"/>
      <c r="AQ28" s="830"/>
    </row>
    <row r="29" spans="1:78">
      <c r="AB29" s="673"/>
      <c r="AC29" s="673"/>
      <c r="AD29" s="673"/>
      <c r="AE29" s="673"/>
      <c r="AF29" s="673"/>
      <c r="AG29" s="673"/>
      <c r="AH29" s="673"/>
      <c r="AI29" s="673"/>
      <c r="AJ29" s="673"/>
      <c r="AK29" s="673"/>
      <c r="AL29" s="673"/>
      <c r="AM29" s="673"/>
      <c r="AN29" s="673"/>
      <c r="AO29" s="673"/>
      <c r="AP29" s="673"/>
      <c r="AQ29" s="673"/>
    </row>
  </sheetData>
  <mergeCells count="150">
    <mergeCell ref="A24:B24"/>
    <mergeCell ref="J24:P24"/>
    <mergeCell ref="A23:B23"/>
    <mergeCell ref="J23:P23"/>
    <mergeCell ref="AR22:BZ22"/>
    <mergeCell ref="AR23:BZ23"/>
    <mergeCell ref="AR25:BZ25"/>
    <mergeCell ref="AR26:BZ26"/>
    <mergeCell ref="A26:B26"/>
    <mergeCell ref="J26:P26"/>
    <mergeCell ref="Q26:Z26"/>
    <mergeCell ref="A25:B25"/>
    <mergeCell ref="J25:P25"/>
    <mergeCell ref="Q25:AA25"/>
    <mergeCell ref="Q24:AA24"/>
    <mergeCell ref="AR24:BZ24"/>
    <mergeCell ref="Q23:AA23"/>
    <mergeCell ref="AR21:BZ21"/>
    <mergeCell ref="Q21:AA21"/>
    <mergeCell ref="A21:B21"/>
    <mergeCell ref="C21:I21"/>
    <mergeCell ref="J21:P21"/>
    <mergeCell ref="AB21:AH21"/>
    <mergeCell ref="AI21:AQ21"/>
    <mergeCell ref="Q22:AA22"/>
    <mergeCell ref="A22:B22"/>
    <mergeCell ref="J22:P22"/>
    <mergeCell ref="AB22:AH22"/>
    <mergeCell ref="AI22:AQ22"/>
    <mergeCell ref="AR19:BZ19"/>
    <mergeCell ref="Q19:AA19"/>
    <mergeCell ref="A19:B19"/>
    <mergeCell ref="C19:I19"/>
    <mergeCell ref="J19:P19"/>
    <mergeCell ref="AB19:AH19"/>
    <mergeCell ref="AI19:AQ19"/>
    <mergeCell ref="Q20:AA20"/>
    <mergeCell ref="AR20:BZ20"/>
    <mergeCell ref="A20:B20"/>
    <mergeCell ref="C20:I20"/>
    <mergeCell ref="J20:P20"/>
    <mergeCell ref="AB20:AH20"/>
    <mergeCell ref="AI20:AQ20"/>
    <mergeCell ref="Q18:AA18"/>
    <mergeCell ref="AR18:BZ18"/>
    <mergeCell ref="A18:B18"/>
    <mergeCell ref="C18:I18"/>
    <mergeCell ref="J18:P18"/>
    <mergeCell ref="AI18:AQ18"/>
    <mergeCell ref="Q15:AA15"/>
    <mergeCell ref="AR15:BZ15"/>
    <mergeCell ref="A15:B15"/>
    <mergeCell ref="J15:P15"/>
    <mergeCell ref="AB15:AH15"/>
    <mergeCell ref="AI15:AQ15"/>
    <mergeCell ref="Q17:AA17"/>
    <mergeCell ref="AR17:BZ17"/>
    <mergeCell ref="AR16:BZ16"/>
    <mergeCell ref="A17:B17"/>
    <mergeCell ref="J17:P17"/>
    <mergeCell ref="A16:B16"/>
    <mergeCell ref="J16:P16"/>
    <mergeCell ref="Q16:AA16"/>
    <mergeCell ref="AB16:AH16"/>
    <mergeCell ref="AI16:AQ16"/>
    <mergeCell ref="AI17:AQ17"/>
    <mergeCell ref="Q13:AA13"/>
    <mergeCell ref="A13:B13"/>
    <mergeCell ref="J13:P13"/>
    <mergeCell ref="AB13:AH13"/>
    <mergeCell ref="AI13:AQ13"/>
    <mergeCell ref="Q14:AA14"/>
    <mergeCell ref="A14:B14"/>
    <mergeCell ref="J14:P14"/>
    <mergeCell ref="AB14:AH14"/>
    <mergeCell ref="AI14:AQ14"/>
    <mergeCell ref="Q12:AA12"/>
    <mergeCell ref="Q11:AA11"/>
    <mergeCell ref="A12:B12"/>
    <mergeCell ref="J12:P12"/>
    <mergeCell ref="A11:B11"/>
    <mergeCell ref="J11:P11"/>
    <mergeCell ref="AB11:AH11"/>
    <mergeCell ref="AI11:AQ11"/>
    <mergeCell ref="AB12:AH12"/>
    <mergeCell ref="AI12:AQ12"/>
    <mergeCell ref="Q9:AA9"/>
    <mergeCell ref="AR9:BZ9"/>
    <mergeCell ref="A9:B9"/>
    <mergeCell ref="C9:I9"/>
    <mergeCell ref="J9:P9"/>
    <mergeCell ref="AB9:AH9"/>
    <mergeCell ref="AI9:AQ9"/>
    <mergeCell ref="Q10:AA10"/>
    <mergeCell ref="AR10:BZ10"/>
    <mergeCell ref="A10:B10"/>
    <mergeCell ref="J10:P10"/>
    <mergeCell ref="AB10:AH10"/>
    <mergeCell ref="AI10:AQ10"/>
    <mergeCell ref="A1:I1"/>
    <mergeCell ref="A2:P2"/>
    <mergeCell ref="Q2:BZ2"/>
    <mergeCell ref="C4:I4"/>
    <mergeCell ref="J4:P4"/>
    <mergeCell ref="AR3:BZ4"/>
    <mergeCell ref="A3:B4"/>
    <mergeCell ref="C3:P3"/>
    <mergeCell ref="Q3:AA4"/>
    <mergeCell ref="AB3:AH4"/>
    <mergeCell ref="AI3:AQ4"/>
    <mergeCell ref="Q7:AA7"/>
    <mergeCell ref="AR7:BZ7"/>
    <mergeCell ref="A7:B7"/>
    <mergeCell ref="C7:I7"/>
    <mergeCell ref="J7:P7"/>
    <mergeCell ref="AB7:AH7"/>
    <mergeCell ref="AI7:AQ7"/>
    <mergeCell ref="AR8:BZ8"/>
    <mergeCell ref="Q8:AA8"/>
    <mergeCell ref="A8:B8"/>
    <mergeCell ref="C8:I8"/>
    <mergeCell ref="J8:P8"/>
    <mergeCell ref="AB8:AH8"/>
    <mergeCell ref="AI8:AQ8"/>
    <mergeCell ref="AB28:AH28"/>
    <mergeCell ref="AI28:AQ28"/>
    <mergeCell ref="AB23:AH23"/>
    <mergeCell ref="AI23:AQ23"/>
    <mergeCell ref="AB24:AH24"/>
    <mergeCell ref="AI24:AQ24"/>
    <mergeCell ref="AB25:AH25"/>
    <mergeCell ref="AI25:AQ25"/>
    <mergeCell ref="AB26:AH26"/>
    <mergeCell ref="AI26:AQ26"/>
    <mergeCell ref="AB27:AH27"/>
    <mergeCell ref="AI27:AQ27"/>
    <mergeCell ref="A5:B5"/>
    <mergeCell ref="C5:I5"/>
    <mergeCell ref="J5:P5"/>
    <mergeCell ref="Q5:AA5"/>
    <mergeCell ref="AB5:AH5"/>
    <mergeCell ref="AI5:AQ5"/>
    <mergeCell ref="AR5:BZ5"/>
    <mergeCell ref="A6:B6"/>
    <mergeCell ref="C6:I6"/>
    <mergeCell ref="J6:P6"/>
    <mergeCell ref="Q6:AA6"/>
    <mergeCell ref="AB6:AH6"/>
    <mergeCell ref="AI6:AQ6"/>
    <mergeCell ref="AR6:BZ6"/>
  </mergeCells>
  <phoneticPr fontId="57"/>
  <conditionalFormatting sqref="Q5:Q26 AR5:AR26 AB5:AB28 AI5:AI28">
    <cfRule type="expression" dxfId="39" priority="5" stopIfTrue="1">
      <formula>FIND("○",#REF!)</formula>
    </cfRule>
  </conditionalFormatting>
  <dataValidations count="4">
    <dataValidation type="list" allowBlank="1" showInputMessage="1" showErrorMessage="1" sqref="U65542:X65542 IM65542:IP65542 SI65542:SL65542 ACE65542:ACH65542 AMA65542:AMD65542 AVW65542:AVZ65542 BFS65542:BFV65542 BPO65542:BPR65542 BZK65542:BZN65542 CJG65542:CJJ65542 CTC65542:CTF65542 DCY65542:DDB65542 DMU65542:DMX65542 DWQ65542:DWT65542 EGM65542:EGP65542 EQI65542:EQL65542 FAE65542:FAH65542 FKA65542:FKD65542 FTW65542:FTZ65542 GDS65542:GDV65542 GNO65542:GNR65542 GXK65542:GXN65542 HHG65542:HHJ65542 HRC65542:HRF65542 IAY65542:IBB65542 IKU65542:IKX65542 IUQ65542:IUT65542 JEM65542:JEP65542 JOI65542:JOL65542 JYE65542:JYH65542 KIA65542:KID65542 KRW65542:KRZ65542 LBS65542:LBV65542 LLO65542:LLR65542 LVK65542:LVN65542 MFG65542:MFJ65542 MPC65542:MPF65542 MYY65542:MZB65542 NIU65542:NIX65542 NSQ65542:NST65542 OCM65542:OCP65542 OMI65542:OML65542 OWE65542:OWH65542 PGA65542:PGD65542 PPW65542:PPZ65542 PZS65542:PZV65542 QJO65542:QJR65542 QTK65542:QTN65542 RDG65542:RDJ65542 RNC65542:RNF65542 RWY65542:RXB65542 SGU65542:SGX65542 SQQ65542:SQT65542 TAM65542:TAP65542 TKI65542:TKL65542 TUE65542:TUH65542 UEA65542:UED65542 UNW65542:UNZ65542 UXS65542:UXV65542 VHO65542:VHR65542 VRK65542:VRN65542 WBG65542:WBJ65542 WLC65542:WLF65542 WUY65542:WVB65542 U131078:X131078 IM131078:IP131078 SI131078:SL131078 ACE131078:ACH131078 AMA131078:AMD131078 AVW131078:AVZ131078 BFS131078:BFV131078 BPO131078:BPR131078 BZK131078:BZN131078 CJG131078:CJJ131078 CTC131078:CTF131078 DCY131078:DDB131078 DMU131078:DMX131078 DWQ131078:DWT131078 EGM131078:EGP131078 EQI131078:EQL131078 FAE131078:FAH131078 FKA131078:FKD131078 FTW131078:FTZ131078 GDS131078:GDV131078 GNO131078:GNR131078 GXK131078:GXN131078 HHG131078:HHJ131078 HRC131078:HRF131078 IAY131078:IBB131078 IKU131078:IKX131078 IUQ131078:IUT131078 JEM131078:JEP131078 JOI131078:JOL131078 JYE131078:JYH131078 KIA131078:KID131078 KRW131078:KRZ131078 LBS131078:LBV131078 LLO131078:LLR131078 LVK131078:LVN131078 MFG131078:MFJ131078 MPC131078:MPF131078 MYY131078:MZB131078 NIU131078:NIX131078 NSQ131078:NST131078 OCM131078:OCP131078 OMI131078:OML131078 OWE131078:OWH131078 PGA131078:PGD131078 PPW131078:PPZ131078 PZS131078:PZV131078 QJO131078:QJR131078 QTK131078:QTN131078 RDG131078:RDJ131078 RNC131078:RNF131078 RWY131078:RXB131078 SGU131078:SGX131078 SQQ131078:SQT131078 TAM131078:TAP131078 TKI131078:TKL131078 TUE131078:TUH131078 UEA131078:UED131078 UNW131078:UNZ131078 UXS131078:UXV131078 VHO131078:VHR131078 VRK131078:VRN131078 WBG131078:WBJ131078 WLC131078:WLF131078 WUY131078:WVB131078 U196614:X196614 IM196614:IP196614 SI196614:SL196614 ACE196614:ACH196614 AMA196614:AMD196614 AVW196614:AVZ196614 BFS196614:BFV196614 BPO196614:BPR196614 BZK196614:BZN196614 CJG196614:CJJ196614 CTC196614:CTF196614 DCY196614:DDB196614 DMU196614:DMX196614 DWQ196614:DWT196614 EGM196614:EGP196614 EQI196614:EQL196614 FAE196614:FAH196614 FKA196614:FKD196614 FTW196614:FTZ196614 GDS196614:GDV196614 GNO196614:GNR196614 GXK196614:GXN196614 HHG196614:HHJ196614 HRC196614:HRF196614 IAY196614:IBB196614 IKU196614:IKX196614 IUQ196614:IUT196614 JEM196614:JEP196614 JOI196614:JOL196614 JYE196614:JYH196614 KIA196614:KID196614 KRW196614:KRZ196614 LBS196614:LBV196614 LLO196614:LLR196614 LVK196614:LVN196614 MFG196614:MFJ196614 MPC196614:MPF196614 MYY196614:MZB196614 NIU196614:NIX196614 NSQ196614:NST196614 OCM196614:OCP196614 OMI196614:OML196614 OWE196614:OWH196614 PGA196614:PGD196614 PPW196614:PPZ196614 PZS196614:PZV196614 QJO196614:QJR196614 QTK196614:QTN196614 RDG196614:RDJ196614 RNC196614:RNF196614 RWY196614:RXB196614 SGU196614:SGX196614 SQQ196614:SQT196614 TAM196614:TAP196614 TKI196614:TKL196614 TUE196614:TUH196614 UEA196614:UED196614 UNW196614:UNZ196614 UXS196614:UXV196614 VHO196614:VHR196614 VRK196614:VRN196614 WBG196614:WBJ196614 WLC196614:WLF196614 WUY196614:WVB196614 U262150:X262150 IM262150:IP262150 SI262150:SL262150 ACE262150:ACH262150 AMA262150:AMD262150 AVW262150:AVZ262150 BFS262150:BFV262150 BPO262150:BPR262150 BZK262150:BZN262150 CJG262150:CJJ262150 CTC262150:CTF262150 DCY262150:DDB262150 DMU262150:DMX262150 DWQ262150:DWT262150 EGM262150:EGP262150 EQI262150:EQL262150 FAE262150:FAH262150 FKA262150:FKD262150 FTW262150:FTZ262150 GDS262150:GDV262150 GNO262150:GNR262150 GXK262150:GXN262150 HHG262150:HHJ262150 HRC262150:HRF262150 IAY262150:IBB262150 IKU262150:IKX262150 IUQ262150:IUT262150 JEM262150:JEP262150 JOI262150:JOL262150 JYE262150:JYH262150 KIA262150:KID262150 KRW262150:KRZ262150 LBS262150:LBV262150 LLO262150:LLR262150 LVK262150:LVN262150 MFG262150:MFJ262150 MPC262150:MPF262150 MYY262150:MZB262150 NIU262150:NIX262150 NSQ262150:NST262150 OCM262150:OCP262150 OMI262150:OML262150 OWE262150:OWH262150 PGA262150:PGD262150 PPW262150:PPZ262150 PZS262150:PZV262150 QJO262150:QJR262150 QTK262150:QTN262150 RDG262150:RDJ262150 RNC262150:RNF262150 RWY262150:RXB262150 SGU262150:SGX262150 SQQ262150:SQT262150 TAM262150:TAP262150 TKI262150:TKL262150 TUE262150:TUH262150 UEA262150:UED262150 UNW262150:UNZ262150 UXS262150:UXV262150 VHO262150:VHR262150 VRK262150:VRN262150 WBG262150:WBJ262150 WLC262150:WLF262150 WUY262150:WVB262150 U327686:X327686 IM327686:IP327686 SI327686:SL327686 ACE327686:ACH327686 AMA327686:AMD327686 AVW327686:AVZ327686 BFS327686:BFV327686 BPO327686:BPR327686 BZK327686:BZN327686 CJG327686:CJJ327686 CTC327686:CTF327686 DCY327686:DDB327686 DMU327686:DMX327686 DWQ327686:DWT327686 EGM327686:EGP327686 EQI327686:EQL327686 FAE327686:FAH327686 FKA327686:FKD327686 FTW327686:FTZ327686 GDS327686:GDV327686 GNO327686:GNR327686 GXK327686:GXN327686 HHG327686:HHJ327686 HRC327686:HRF327686 IAY327686:IBB327686 IKU327686:IKX327686 IUQ327686:IUT327686 JEM327686:JEP327686 JOI327686:JOL327686 JYE327686:JYH327686 KIA327686:KID327686 KRW327686:KRZ327686 LBS327686:LBV327686 LLO327686:LLR327686 LVK327686:LVN327686 MFG327686:MFJ327686 MPC327686:MPF327686 MYY327686:MZB327686 NIU327686:NIX327686 NSQ327686:NST327686 OCM327686:OCP327686 OMI327686:OML327686 OWE327686:OWH327686 PGA327686:PGD327686 PPW327686:PPZ327686 PZS327686:PZV327686 QJO327686:QJR327686 QTK327686:QTN327686 RDG327686:RDJ327686 RNC327686:RNF327686 RWY327686:RXB327686 SGU327686:SGX327686 SQQ327686:SQT327686 TAM327686:TAP327686 TKI327686:TKL327686 TUE327686:TUH327686 UEA327686:UED327686 UNW327686:UNZ327686 UXS327686:UXV327686 VHO327686:VHR327686 VRK327686:VRN327686 WBG327686:WBJ327686 WLC327686:WLF327686 WUY327686:WVB327686 U393222:X393222 IM393222:IP393222 SI393222:SL393222 ACE393222:ACH393222 AMA393222:AMD393222 AVW393222:AVZ393222 BFS393222:BFV393222 BPO393222:BPR393222 BZK393222:BZN393222 CJG393222:CJJ393222 CTC393222:CTF393222 DCY393222:DDB393222 DMU393222:DMX393222 DWQ393222:DWT393222 EGM393222:EGP393222 EQI393222:EQL393222 FAE393222:FAH393222 FKA393222:FKD393222 FTW393222:FTZ393222 GDS393222:GDV393222 GNO393222:GNR393222 GXK393222:GXN393222 HHG393222:HHJ393222 HRC393222:HRF393222 IAY393222:IBB393222 IKU393222:IKX393222 IUQ393222:IUT393222 JEM393222:JEP393222 JOI393222:JOL393222 JYE393222:JYH393222 KIA393222:KID393222 KRW393222:KRZ393222 LBS393222:LBV393222 LLO393222:LLR393222 LVK393222:LVN393222 MFG393222:MFJ393222 MPC393222:MPF393222 MYY393222:MZB393222 NIU393222:NIX393222 NSQ393222:NST393222 OCM393222:OCP393222 OMI393222:OML393222 OWE393222:OWH393222 PGA393222:PGD393222 PPW393222:PPZ393222 PZS393222:PZV393222 QJO393222:QJR393222 QTK393222:QTN393222 RDG393222:RDJ393222 RNC393222:RNF393222 RWY393222:RXB393222 SGU393222:SGX393222 SQQ393222:SQT393222 TAM393222:TAP393222 TKI393222:TKL393222 TUE393222:TUH393222 UEA393222:UED393222 UNW393222:UNZ393222 UXS393222:UXV393222 VHO393222:VHR393222 VRK393222:VRN393222 WBG393222:WBJ393222 WLC393222:WLF393222 WUY393222:WVB393222 U458758:X458758 IM458758:IP458758 SI458758:SL458758 ACE458758:ACH458758 AMA458758:AMD458758 AVW458758:AVZ458758 BFS458758:BFV458758 BPO458758:BPR458758 BZK458758:BZN458758 CJG458758:CJJ458758 CTC458758:CTF458758 DCY458758:DDB458758 DMU458758:DMX458758 DWQ458758:DWT458758 EGM458758:EGP458758 EQI458758:EQL458758 FAE458758:FAH458758 FKA458758:FKD458758 FTW458758:FTZ458758 GDS458758:GDV458758 GNO458758:GNR458758 GXK458758:GXN458758 HHG458758:HHJ458758 HRC458758:HRF458758 IAY458758:IBB458758 IKU458758:IKX458758 IUQ458758:IUT458758 JEM458758:JEP458758 JOI458758:JOL458758 JYE458758:JYH458758 KIA458758:KID458758 KRW458758:KRZ458758 LBS458758:LBV458758 LLO458758:LLR458758 LVK458758:LVN458758 MFG458758:MFJ458758 MPC458758:MPF458758 MYY458758:MZB458758 NIU458758:NIX458758 NSQ458758:NST458758 OCM458758:OCP458758 OMI458758:OML458758 OWE458758:OWH458758 PGA458758:PGD458758 PPW458758:PPZ458758 PZS458758:PZV458758 QJO458758:QJR458758 QTK458758:QTN458758 RDG458758:RDJ458758 RNC458758:RNF458758 RWY458758:RXB458758 SGU458758:SGX458758 SQQ458758:SQT458758 TAM458758:TAP458758 TKI458758:TKL458758 TUE458758:TUH458758 UEA458758:UED458758 UNW458758:UNZ458758 UXS458758:UXV458758 VHO458758:VHR458758 VRK458758:VRN458758 WBG458758:WBJ458758 WLC458758:WLF458758 WUY458758:WVB458758 U524294:X524294 IM524294:IP524294 SI524294:SL524294 ACE524294:ACH524294 AMA524294:AMD524294 AVW524294:AVZ524294 BFS524294:BFV524294 BPO524294:BPR524294 BZK524294:BZN524294 CJG524294:CJJ524294 CTC524294:CTF524294 DCY524294:DDB524294 DMU524294:DMX524294 DWQ524294:DWT524294 EGM524294:EGP524294 EQI524294:EQL524294 FAE524294:FAH524294 FKA524294:FKD524294 FTW524294:FTZ524294 GDS524294:GDV524294 GNO524294:GNR524294 GXK524294:GXN524294 HHG524294:HHJ524294 HRC524294:HRF524294 IAY524294:IBB524294 IKU524294:IKX524294 IUQ524294:IUT524294 JEM524294:JEP524294 JOI524294:JOL524294 JYE524294:JYH524294 KIA524294:KID524294 KRW524294:KRZ524294 LBS524294:LBV524294 LLO524294:LLR524294 LVK524294:LVN524294 MFG524294:MFJ524294 MPC524294:MPF524294 MYY524294:MZB524294 NIU524294:NIX524294 NSQ524294:NST524294 OCM524294:OCP524294 OMI524294:OML524294 OWE524294:OWH524294 PGA524294:PGD524294 PPW524294:PPZ524294 PZS524294:PZV524294 QJO524294:QJR524294 QTK524294:QTN524294 RDG524294:RDJ524294 RNC524294:RNF524294 RWY524294:RXB524294 SGU524294:SGX524294 SQQ524294:SQT524294 TAM524294:TAP524294 TKI524294:TKL524294 TUE524294:TUH524294 UEA524294:UED524294 UNW524294:UNZ524294 UXS524294:UXV524294 VHO524294:VHR524294 VRK524294:VRN524294 WBG524294:WBJ524294 WLC524294:WLF524294 WUY524294:WVB524294 U589830:X589830 IM589830:IP589830 SI589830:SL589830 ACE589830:ACH589830 AMA589830:AMD589830 AVW589830:AVZ589830 BFS589830:BFV589830 BPO589830:BPR589830 BZK589830:BZN589830 CJG589830:CJJ589830 CTC589830:CTF589830 DCY589830:DDB589830 DMU589830:DMX589830 DWQ589830:DWT589830 EGM589830:EGP589830 EQI589830:EQL589830 FAE589830:FAH589830 FKA589830:FKD589830 FTW589830:FTZ589830 GDS589830:GDV589830 GNO589830:GNR589830 GXK589830:GXN589830 HHG589830:HHJ589830 HRC589830:HRF589830 IAY589830:IBB589830 IKU589830:IKX589830 IUQ589830:IUT589830 JEM589830:JEP589830 JOI589830:JOL589830 JYE589830:JYH589830 KIA589830:KID589830 KRW589830:KRZ589830 LBS589830:LBV589830 LLO589830:LLR589830 LVK589830:LVN589830 MFG589830:MFJ589830 MPC589830:MPF589830 MYY589830:MZB589830 NIU589830:NIX589830 NSQ589830:NST589830 OCM589830:OCP589830 OMI589830:OML589830 OWE589830:OWH589830 PGA589830:PGD589830 PPW589830:PPZ589830 PZS589830:PZV589830 QJO589830:QJR589830 QTK589830:QTN589830 RDG589830:RDJ589830 RNC589830:RNF589830 RWY589830:RXB589830 SGU589830:SGX589830 SQQ589830:SQT589830 TAM589830:TAP589830 TKI589830:TKL589830 TUE589830:TUH589830 UEA589830:UED589830 UNW589830:UNZ589830 UXS589830:UXV589830 VHO589830:VHR589830 VRK589830:VRN589830 WBG589830:WBJ589830 WLC589830:WLF589830 WUY589830:WVB589830 U655366:X655366 IM655366:IP655366 SI655366:SL655366 ACE655366:ACH655366 AMA655366:AMD655366 AVW655366:AVZ655366 BFS655366:BFV655366 BPO655366:BPR655366 BZK655366:BZN655366 CJG655366:CJJ655366 CTC655366:CTF655366 DCY655366:DDB655366 DMU655366:DMX655366 DWQ655366:DWT655366 EGM655366:EGP655366 EQI655366:EQL655366 FAE655366:FAH655366 FKA655366:FKD655366 FTW655366:FTZ655366 GDS655366:GDV655366 GNO655366:GNR655366 GXK655366:GXN655366 HHG655366:HHJ655366 HRC655366:HRF655366 IAY655366:IBB655366 IKU655366:IKX655366 IUQ655366:IUT655366 JEM655366:JEP655366 JOI655366:JOL655366 JYE655366:JYH655366 KIA655366:KID655366 KRW655366:KRZ655366 LBS655366:LBV655366 LLO655366:LLR655366 LVK655366:LVN655366 MFG655366:MFJ655366 MPC655366:MPF655366 MYY655366:MZB655366 NIU655366:NIX655366 NSQ655366:NST655366 OCM655366:OCP655366 OMI655366:OML655366 OWE655366:OWH655366 PGA655366:PGD655366 PPW655366:PPZ655366 PZS655366:PZV655366 QJO655366:QJR655366 QTK655366:QTN655366 RDG655366:RDJ655366 RNC655366:RNF655366 RWY655366:RXB655366 SGU655366:SGX655366 SQQ655366:SQT655366 TAM655366:TAP655366 TKI655366:TKL655366 TUE655366:TUH655366 UEA655366:UED655366 UNW655366:UNZ655366 UXS655366:UXV655366 VHO655366:VHR655366 VRK655366:VRN655366 WBG655366:WBJ655366 WLC655366:WLF655366 WUY655366:WVB655366 U720902:X720902 IM720902:IP720902 SI720902:SL720902 ACE720902:ACH720902 AMA720902:AMD720902 AVW720902:AVZ720902 BFS720902:BFV720902 BPO720902:BPR720902 BZK720902:BZN720902 CJG720902:CJJ720902 CTC720902:CTF720902 DCY720902:DDB720902 DMU720902:DMX720902 DWQ720902:DWT720902 EGM720902:EGP720902 EQI720902:EQL720902 FAE720902:FAH720902 FKA720902:FKD720902 FTW720902:FTZ720902 GDS720902:GDV720902 GNO720902:GNR720902 GXK720902:GXN720902 HHG720902:HHJ720902 HRC720902:HRF720902 IAY720902:IBB720902 IKU720902:IKX720902 IUQ720902:IUT720902 JEM720902:JEP720902 JOI720902:JOL720902 JYE720902:JYH720902 KIA720902:KID720902 KRW720902:KRZ720902 LBS720902:LBV720902 LLO720902:LLR720902 LVK720902:LVN720902 MFG720902:MFJ720902 MPC720902:MPF720902 MYY720902:MZB720902 NIU720902:NIX720902 NSQ720902:NST720902 OCM720902:OCP720902 OMI720902:OML720902 OWE720902:OWH720902 PGA720902:PGD720902 PPW720902:PPZ720902 PZS720902:PZV720902 QJO720902:QJR720902 QTK720902:QTN720902 RDG720902:RDJ720902 RNC720902:RNF720902 RWY720902:RXB720902 SGU720902:SGX720902 SQQ720902:SQT720902 TAM720902:TAP720902 TKI720902:TKL720902 TUE720902:TUH720902 UEA720902:UED720902 UNW720902:UNZ720902 UXS720902:UXV720902 VHO720902:VHR720902 VRK720902:VRN720902 WBG720902:WBJ720902 WLC720902:WLF720902 WUY720902:WVB720902 U786438:X786438 IM786438:IP786438 SI786438:SL786438 ACE786438:ACH786438 AMA786438:AMD786438 AVW786438:AVZ786438 BFS786438:BFV786438 BPO786438:BPR786438 BZK786438:BZN786438 CJG786438:CJJ786438 CTC786438:CTF786438 DCY786438:DDB786438 DMU786438:DMX786438 DWQ786438:DWT786438 EGM786438:EGP786438 EQI786438:EQL786438 FAE786438:FAH786438 FKA786438:FKD786438 FTW786438:FTZ786438 GDS786438:GDV786438 GNO786438:GNR786438 GXK786438:GXN786438 HHG786438:HHJ786438 HRC786438:HRF786438 IAY786438:IBB786438 IKU786438:IKX786438 IUQ786438:IUT786438 JEM786438:JEP786438 JOI786438:JOL786438 JYE786438:JYH786438 KIA786438:KID786438 KRW786438:KRZ786438 LBS786438:LBV786438 LLO786438:LLR786438 LVK786438:LVN786438 MFG786438:MFJ786438 MPC786438:MPF786438 MYY786438:MZB786438 NIU786438:NIX786438 NSQ786438:NST786438 OCM786438:OCP786438 OMI786438:OML786438 OWE786438:OWH786438 PGA786438:PGD786438 PPW786438:PPZ786438 PZS786438:PZV786438 QJO786438:QJR786438 QTK786438:QTN786438 RDG786438:RDJ786438 RNC786438:RNF786438 RWY786438:RXB786438 SGU786438:SGX786438 SQQ786438:SQT786438 TAM786438:TAP786438 TKI786438:TKL786438 TUE786438:TUH786438 UEA786438:UED786438 UNW786438:UNZ786438 UXS786438:UXV786438 VHO786438:VHR786438 VRK786438:VRN786438 WBG786438:WBJ786438 WLC786438:WLF786438 WUY786438:WVB786438 U851974:X851974 IM851974:IP851974 SI851974:SL851974 ACE851974:ACH851974 AMA851974:AMD851974 AVW851974:AVZ851974 BFS851974:BFV851974 BPO851974:BPR851974 BZK851974:BZN851974 CJG851974:CJJ851974 CTC851974:CTF851974 DCY851974:DDB851974 DMU851974:DMX851974 DWQ851974:DWT851974 EGM851974:EGP851974 EQI851974:EQL851974 FAE851974:FAH851974 FKA851974:FKD851974 FTW851974:FTZ851974 GDS851974:GDV851974 GNO851974:GNR851974 GXK851974:GXN851974 HHG851974:HHJ851974 HRC851974:HRF851974 IAY851974:IBB851974 IKU851974:IKX851974 IUQ851974:IUT851974 JEM851974:JEP851974 JOI851974:JOL851974 JYE851974:JYH851974 KIA851974:KID851974 KRW851974:KRZ851974 LBS851974:LBV851974 LLO851974:LLR851974 LVK851974:LVN851974 MFG851974:MFJ851974 MPC851974:MPF851974 MYY851974:MZB851974 NIU851974:NIX851974 NSQ851974:NST851974 OCM851974:OCP851974 OMI851974:OML851974 OWE851974:OWH851974 PGA851974:PGD851974 PPW851974:PPZ851974 PZS851974:PZV851974 QJO851974:QJR851974 QTK851974:QTN851974 RDG851974:RDJ851974 RNC851974:RNF851974 RWY851974:RXB851974 SGU851974:SGX851974 SQQ851974:SQT851974 TAM851974:TAP851974 TKI851974:TKL851974 TUE851974:TUH851974 UEA851974:UED851974 UNW851974:UNZ851974 UXS851974:UXV851974 VHO851974:VHR851974 VRK851974:VRN851974 WBG851974:WBJ851974 WLC851974:WLF851974 WUY851974:WVB851974 U917510:X917510 IM917510:IP917510 SI917510:SL917510 ACE917510:ACH917510 AMA917510:AMD917510 AVW917510:AVZ917510 BFS917510:BFV917510 BPO917510:BPR917510 BZK917510:BZN917510 CJG917510:CJJ917510 CTC917510:CTF917510 DCY917510:DDB917510 DMU917510:DMX917510 DWQ917510:DWT917510 EGM917510:EGP917510 EQI917510:EQL917510 FAE917510:FAH917510 FKA917510:FKD917510 FTW917510:FTZ917510 GDS917510:GDV917510 GNO917510:GNR917510 GXK917510:GXN917510 HHG917510:HHJ917510 HRC917510:HRF917510 IAY917510:IBB917510 IKU917510:IKX917510 IUQ917510:IUT917510 JEM917510:JEP917510 JOI917510:JOL917510 JYE917510:JYH917510 KIA917510:KID917510 KRW917510:KRZ917510 LBS917510:LBV917510 LLO917510:LLR917510 LVK917510:LVN917510 MFG917510:MFJ917510 MPC917510:MPF917510 MYY917510:MZB917510 NIU917510:NIX917510 NSQ917510:NST917510 OCM917510:OCP917510 OMI917510:OML917510 OWE917510:OWH917510 PGA917510:PGD917510 PPW917510:PPZ917510 PZS917510:PZV917510 QJO917510:QJR917510 QTK917510:QTN917510 RDG917510:RDJ917510 RNC917510:RNF917510 RWY917510:RXB917510 SGU917510:SGX917510 SQQ917510:SQT917510 TAM917510:TAP917510 TKI917510:TKL917510 TUE917510:TUH917510 UEA917510:UED917510 UNW917510:UNZ917510 UXS917510:UXV917510 VHO917510:VHR917510 VRK917510:VRN917510 WBG917510:WBJ917510 WLC917510:WLF917510 WUY917510:WVB917510 U983046:X983046 IM983046:IP983046 SI983046:SL983046 ACE983046:ACH983046 AMA983046:AMD983046 AVW983046:AVZ983046 BFS983046:BFV983046 BPO983046:BPR983046 BZK983046:BZN983046 CJG983046:CJJ983046 CTC983046:CTF983046 DCY983046:DDB983046 DMU983046:DMX983046 DWQ983046:DWT983046 EGM983046:EGP983046 EQI983046:EQL983046 FAE983046:FAH983046 FKA983046:FKD983046 FTW983046:FTZ983046 GDS983046:GDV983046 GNO983046:GNR983046 GXK983046:GXN983046 HHG983046:HHJ983046 HRC983046:HRF983046 IAY983046:IBB983046 IKU983046:IKX983046 IUQ983046:IUT983046 JEM983046:JEP983046 JOI983046:JOL983046 JYE983046:JYH983046 KIA983046:KID983046 KRW983046:KRZ983046 LBS983046:LBV983046 LLO983046:LLR983046 LVK983046:LVN983046 MFG983046:MFJ983046 MPC983046:MPF983046 MYY983046:MZB983046 NIU983046:NIX983046 NSQ983046:NST983046 OCM983046:OCP983046 OMI983046:OML983046 OWE983046:OWH983046 PGA983046:PGD983046 PPW983046:PPZ983046 PZS983046:PZV983046 QJO983046:QJR983046 QTK983046:QTN983046 RDG983046:RDJ983046 RNC983046:RNF983046 RWY983046:RXB983046 SGU983046:SGX983046 SQQ983046:SQT983046 TAM983046:TAP983046 TKI983046:TKL983046 TUE983046:TUH983046 UEA983046:UED983046 UNW983046:UNZ983046 UXS983046:UXV983046 VHO983046:VHR983046 VRK983046:VRN983046 WBG983046:WBJ983046 WLC983046:WLF983046 WUY983046:WVB983046 IH983045:IK983045 SD983045:SG983045 ABZ983045:ACC983045 ALV983045:ALY983045 AVR983045:AVU983045 BFN983045:BFQ983045 BPJ983045:BPM983045 BZF983045:BZI983045 CJB983045:CJE983045 CSX983045:CTA983045 DCT983045:DCW983045 DMP983045:DMS983045 DWL983045:DWO983045 EGH983045:EGK983045 EQD983045:EQG983045 EZZ983045:FAC983045 FJV983045:FJY983045 FTR983045:FTU983045 GDN983045:GDQ983045 GNJ983045:GNM983045 GXF983045:GXI983045 HHB983045:HHE983045 HQX983045:HRA983045 IAT983045:IAW983045 IKP983045:IKS983045 IUL983045:IUO983045 JEH983045:JEK983045 JOD983045:JOG983045 JXZ983045:JYC983045 KHV983045:KHY983045 KRR983045:KRU983045 LBN983045:LBQ983045 LLJ983045:LLM983045 LVF983045:LVI983045 MFB983045:MFE983045 MOX983045:MPA983045 MYT983045:MYW983045 NIP983045:NIS983045 NSL983045:NSO983045 OCH983045:OCK983045 OMD983045:OMG983045 OVZ983045:OWC983045 PFV983045:PFY983045 PPR983045:PPU983045 PZN983045:PZQ983045 QJJ983045:QJM983045 QTF983045:QTI983045 RDB983045:RDE983045 RMX983045:RNA983045 RWT983045:RWW983045 SGP983045:SGS983045 SQL983045:SQO983045 TAH983045:TAK983045 TKD983045:TKG983045 TTZ983045:TUC983045 UDV983045:UDY983045 UNR983045:UNU983045 UXN983045:UXQ983045 VHJ983045:VHM983045 VRF983045:VRI983045 WBB983045:WBE983045 WKX983045:WLA983045 WUT983045:WUW983045 IH65541:IK65541 SD65541:SG65541 ABZ65541:ACC65541 ALV65541:ALY65541 AVR65541:AVU65541 BFN65541:BFQ65541 BPJ65541:BPM65541 BZF65541:BZI65541 CJB65541:CJE65541 CSX65541:CTA65541 DCT65541:DCW65541 DMP65541:DMS65541 DWL65541:DWO65541 EGH65541:EGK65541 EQD65541:EQG65541 EZZ65541:FAC65541 FJV65541:FJY65541 FTR65541:FTU65541 GDN65541:GDQ65541 GNJ65541:GNM65541 GXF65541:GXI65541 HHB65541:HHE65541 HQX65541:HRA65541 IAT65541:IAW65541 IKP65541:IKS65541 IUL65541:IUO65541 JEH65541:JEK65541 JOD65541:JOG65541 JXZ65541:JYC65541 KHV65541:KHY65541 KRR65541:KRU65541 LBN65541:LBQ65541 LLJ65541:LLM65541 LVF65541:LVI65541 MFB65541:MFE65541 MOX65541:MPA65541 MYT65541:MYW65541 NIP65541:NIS65541 NSL65541:NSO65541 OCH65541:OCK65541 OMD65541:OMG65541 OVZ65541:OWC65541 PFV65541:PFY65541 PPR65541:PPU65541 PZN65541:PZQ65541 QJJ65541:QJM65541 QTF65541:QTI65541 RDB65541:RDE65541 RMX65541:RNA65541 RWT65541:RWW65541 SGP65541:SGS65541 SQL65541:SQO65541 TAH65541:TAK65541 TKD65541:TKG65541 TTZ65541:TUC65541 UDV65541:UDY65541 UNR65541:UNU65541 UXN65541:UXQ65541 VHJ65541:VHM65541 VRF65541:VRI65541 WBB65541:WBE65541 WKX65541:WLA65541 WUT65541:WUW65541 IH131077:IK131077 SD131077:SG131077 ABZ131077:ACC131077 ALV131077:ALY131077 AVR131077:AVU131077 BFN131077:BFQ131077 BPJ131077:BPM131077 BZF131077:BZI131077 CJB131077:CJE131077 CSX131077:CTA131077 DCT131077:DCW131077 DMP131077:DMS131077 DWL131077:DWO131077 EGH131077:EGK131077 EQD131077:EQG131077 EZZ131077:FAC131077 FJV131077:FJY131077 FTR131077:FTU131077 GDN131077:GDQ131077 GNJ131077:GNM131077 GXF131077:GXI131077 HHB131077:HHE131077 HQX131077:HRA131077 IAT131077:IAW131077 IKP131077:IKS131077 IUL131077:IUO131077 JEH131077:JEK131077 JOD131077:JOG131077 JXZ131077:JYC131077 KHV131077:KHY131077 KRR131077:KRU131077 LBN131077:LBQ131077 LLJ131077:LLM131077 LVF131077:LVI131077 MFB131077:MFE131077 MOX131077:MPA131077 MYT131077:MYW131077 NIP131077:NIS131077 NSL131077:NSO131077 OCH131077:OCK131077 OMD131077:OMG131077 OVZ131077:OWC131077 PFV131077:PFY131077 PPR131077:PPU131077 PZN131077:PZQ131077 QJJ131077:QJM131077 QTF131077:QTI131077 RDB131077:RDE131077 RMX131077:RNA131077 RWT131077:RWW131077 SGP131077:SGS131077 SQL131077:SQO131077 TAH131077:TAK131077 TKD131077:TKG131077 TTZ131077:TUC131077 UDV131077:UDY131077 UNR131077:UNU131077 UXN131077:UXQ131077 VHJ131077:VHM131077 VRF131077:VRI131077 WBB131077:WBE131077 WKX131077:WLA131077 WUT131077:WUW131077 IH196613:IK196613 SD196613:SG196613 ABZ196613:ACC196613 ALV196613:ALY196613 AVR196613:AVU196613 BFN196613:BFQ196613 BPJ196613:BPM196613 BZF196613:BZI196613 CJB196613:CJE196613 CSX196613:CTA196613 DCT196613:DCW196613 DMP196613:DMS196613 DWL196613:DWO196613 EGH196613:EGK196613 EQD196613:EQG196613 EZZ196613:FAC196613 FJV196613:FJY196613 FTR196613:FTU196613 GDN196613:GDQ196613 GNJ196613:GNM196613 GXF196613:GXI196613 HHB196613:HHE196613 HQX196613:HRA196613 IAT196613:IAW196613 IKP196613:IKS196613 IUL196613:IUO196613 JEH196613:JEK196613 JOD196613:JOG196613 JXZ196613:JYC196613 KHV196613:KHY196613 KRR196613:KRU196613 LBN196613:LBQ196613 LLJ196613:LLM196613 LVF196613:LVI196613 MFB196613:MFE196613 MOX196613:MPA196613 MYT196613:MYW196613 NIP196613:NIS196613 NSL196613:NSO196613 OCH196613:OCK196613 OMD196613:OMG196613 OVZ196613:OWC196613 PFV196613:PFY196613 PPR196613:PPU196613 PZN196613:PZQ196613 QJJ196613:QJM196613 QTF196613:QTI196613 RDB196613:RDE196613 RMX196613:RNA196613 RWT196613:RWW196613 SGP196613:SGS196613 SQL196613:SQO196613 TAH196613:TAK196613 TKD196613:TKG196613 TTZ196613:TUC196613 UDV196613:UDY196613 UNR196613:UNU196613 UXN196613:UXQ196613 VHJ196613:VHM196613 VRF196613:VRI196613 WBB196613:WBE196613 WKX196613:WLA196613 WUT196613:WUW196613 IH262149:IK262149 SD262149:SG262149 ABZ262149:ACC262149 ALV262149:ALY262149 AVR262149:AVU262149 BFN262149:BFQ262149 BPJ262149:BPM262149 BZF262149:BZI262149 CJB262149:CJE262149 CSX262149:CTA262149 DCT262149:DCW262149 DMP262149:DMS262149 DWL262149:DWO262149 EGH262149:EGK262149 EQD262149:EQG262149 EZZ262149:FAC262149 FJV262149:FJY262149 FTR262149:FTU262149 GDN262149:GDQ262149 GNJ262149:GNM262149 GXF262149:GXI262149 HHB262149:HHE262149 HQX262149:HRA262149 IAT262149:IAW262149 IKP262149:IKS262149 IUL262149:IUO262149 JEH262149:JEK262149 JOD262149:JOG262149 JXZ262149:JYC262149 KHV262149:KHY262149 KRR262149:KRU262149 LBN262149:LBQ262149 LLJ262149:LLM262149 LVF262149:LVI262149 MFB262149:MFE262149 MOX262149:MPA262149 MYT262149:MYW262149 NIP262149:NIS262149 NSL262149:NSO262149 OCH262149:OCK262149 OMD262149:OMG262149 OVZ262149:OWC262149 PFV262149:PFY262149 PPR262149:PPU262149 PZN262149:PZQ262149 QJJ262149:QJM262149 QTF262149:QTI262149 RDB262149:RDE262149 RMX262149:RNA262149 RWT262149:RWW262149 SGP262149:SGS262149 SQL262149:SQO262149 TAH262149:TAK262149 TKD262149:TKG262149 TTZ262149:TUC262149 UDV262149:UDY262149 UNR262149:UNU262149 UXN262149:UXQ262149 VHJ262149:VHM262149 VRF262149:VRI262149 WBB262149:WBE262149 WKX262149:WLA262149 WUT262149:WUW262149 IH327685:IK327685 SD327685:SG327685 ABZ327685:ACC327685 ALV327685:ALY327685 AVR327685:AVU327685 BFN327685:BFQ327685 BPJ327685:BPM327685 BZF327685:BZI327685 CJB327685:CJE327685 CSX327685:CTA327685 DCT327685:DCW327685 DMP327685:DMS327685 DWL327685:DWO327685 EGH327685:EGK327685 EQD327685:EQG327685 EZZ327685:FAC327685 FJV327685:FJY327685 FTR327685:FTU327685 GDN327685:GDQ327685 GNJ327685:GNM327685 GXF327685:GXI327685 HHB327685:HHE327685 HQX327685:HRA327685 IAT327685:IAW327685 IKP327685:IKS327685 IUL327685:IUO327685 JEH327685:JEK327685 JOD327685:JOG327685 JXZ327685:JYC327685 KHV327685:KHY327685 KRR327685:KRU327685 LBN327685:LBQ327685 LLJ327685:LLM327685 LVF327685:LVI327685 MFB327685:MFE327685 MOX327685:MPA327685 MYT327685:MYW327685 NIP327685:NIS327685 NSL327685:NSO327685 OCH327685:OCK327685 OMD327685:OMG327685 OVZ327685:OWC327685 PFV327685:PFY327685 PPR327685:PPU327685 PZN327685:PZQ327685 QJJ327685:QJM327685 QTF327685:QTI327685 RDB327685:RDE327685 RMX327685:RNA327685 RWT327685:RWW327685 SGP327685:SGS327685 SQL327685:SQO327685 TAH327685:TAK327685 TKD327685:TKG327685 TTZ327685:TUC327685 UDV327685:UDY327685 UNR327685:UNU327685 UXN327685:UXQ327685 VHJ327685:VHM327685 VRF327685:VRI327685 WBB327685:WBE327685 WKX327685:WLA327685 WUT327685:WUW327685 IH393221:IK393221 SD393221:SG393221 ABZ393221:ACC393221 ALV393221:ALY393221 AVR393221:AVU393221 BFN393221:BFQ393221 BPJ393221:BPM393221 BZF393221:BZI393221 CJB393221:CJE393221 CSX393221:CTA393221 DCT393221:DCW393221 DMP393221:DMS393221 DWL393221:DWO393221 EGH393221:EGK393221 EQD393221:EQG393221 EZZ393221:FAC393221 FJV393221:FJY393221 FTR393221:FTU393221 GDN393221:GDQ393221 GNJ393221:GNM393221 GXF393221:GXI393221 HHB393221:HHE393221 HQX393221:HRA393221 IAT393221:IAW393221 IKP393221:IKS393221 IUL393221:IUO393221 JEH393221:JEK393221 JOD393221:JOG393221 JXZ393221:JYC393221 KHV393221:KHY393221 KRR393221:KRU393221 LBN393221:LBQ393221 LLJ393221:LLM393221 LVF393221:LVI393221 MFB393221:MFE393221 MOX393221:MPA393221 MYT393221:MYW393221 NIP393221:NIS393221 NSL393221:NSO393221 OCH393221:OCK393221 OMD393221:OMG393221 OVZ393221:OWC393221 PFV393221:PFY393221 PPR393221:PPU393221 PZN393221:PZQ393221 QJJ393221:QJM393221 QTF393221:QTI393221 RDB393221:RDE393221 RMX393221:RNA393221 RWT393221:RWW393221 SGP393221:SGS393221 SQL393221:SQO393221 TAH393221:TAK393221 TKD393221:TKG393221 TTZ393221:TUC393221 UDV393221:UDY393221 UNR393221:UNU393221 UXN393221:UXQ393221 VHJ393221:VHM393221 VRF393221:VRI393221 WBB393221:WBE393221 WKX393221:WLA393221 WUT393221:WUW393221 IH458757:IK458757 SD458757:SG458757 ABZ458757:ACC458757 ALV458757:ALY458757 AVR458757:AVU458757 BFN458757:BFQ458757 BPJ458757:BPM458757 BZF458757:BZI458757 CJB458757:CJE458757 CSX458757:CTA458757 DCT458757:DCW458757 DMP458757:DMS458757 DWL458757:DWO458757 EGH458757:EGK458757 EQD458757:EQG458757 EZZ458757:FAC458757 FJV458757:FJY458757 FTR458757:FTU458757 GDN458757:GDQ458757 GNJ458757:GNM458757 GXF458757:GXI458757 HHB458757:HHE458757 HQX458757:HRA458757 IAT458757:IAW458757 IKP458757:IKS458757 IUL458757:IUO458757 JEH458757:JEK458757 JOD458757:JOG458757 JXZ458757:JYC458757 KHV458757:KHY458757 KRR458757:KRU458757 LBN458757:LBQ458757 LLJ458757:LLM458757 LVF458757:LVI458757 MFB458757:MFE458757 MOX458757:MPA458757 MYT458757:MYW458757 NIP458757:NIS458757 NSL458757:NSO458757 OCH458757:OCK458757 OMD458757:OMG458757 OVZ458757:OWC458757 PFV458757:PFY458757 PPR458757:PPU458757 PZN458757:PZQ458757 QJJ458757:QJM458757 QTF458757:QTI458757 RDB458757:RDE458757 RMX458757:RNA458757 RWT458757:RWW458757 SGP458757:SGS458757 SQL458757:SQO458757 TAH458757:TAK458757 TKD458757:TKG458757 TTZ458757:TUC458757 UDV458757:UDY458757 UNR458757:UNU458757 UXN458757:UXQ458757 VHJ458757:VHM458757 VRF458757:VRI458757 WBB458757:WBE458757 WKX458757:WLA458757 WUT458757:WUW458757 IH524293:IK524293 SD524293:SG524293 ABZ524293:ACC524293 ALV524293:ALY524293 AVR524293:AVU524293 BFN524293:BFQ524293 BPJ524293:BPM524293 BZF524293:BZI524293 CJB524293:CJE524293 CSX524293:CTA524293 DCT524293:DCW524293 DMP524293:DMS524293 DWL524293:DWO524293 EGH524293:EGK524293 EQD524293:EQG524293 EZZ524293:FAC524293 FJV524293:FJY524293 FTR524293:FTU524293 GDN524293:GDQ524293 GNJ524293:GNM524293 GXF524293:GXI524293 HHB524293:HHE524293 HQX524293:HRA524293 IAT524293:IAW524293 IKP524293:IKS524293 IUL524293:IUO524293 JEH524293:JEK524293 JOD524293:JOG524293 JXZ524293:JYC524293 KHV524293:KHY524293 KRR524293:KRU524293 LBN524293:LBQ524293 LLJ524293:LLM524293 LVF524293:LVI524293 MFB524293:MFE524293 MOX524293:MPA524293 MYT524293:MYW524293 NIP524293:NIS524293 NSL524293:NSO524293 OCH524293:OCK524293 OMD524293:OMG524293 OVZ524293:OWC524293 PFV524293:PFY524293 PPR524293:PPU524293 PZN524293:PZQ524293 QJJ524293:QJM524293 QTF524293:QTI524293 RDB524293:RDE524293 RMX524293:RNA524293 RWT524293:RWW524293 SGP524293:SGS524293 SQL524293:SQO524293 TAH524293:TAK524293 TKD524293:TKG524293 TTZ524293:TUC524293 UDV524293:UDY524293 UNR524293:UNU524293 UXN524293:UXQ524293 VHJ524293:VHM524293 VRF524293:VRI524293 WBB524293:WBE524293 WKX524293:WLA524293 WUT524293:WUW524293 IH589829:IK589829 SD589829:SG589829 ABZ589829:ACC589829 ALV589829:ALY589829 AVR589829:AVU589829 BFN589829:BFQ589829 BPJ589829:BPM589829 BZF589829:BZI589829 CJB589829:CJE589829 CSX589829:CTA589829 DCT589829:DCW589829 DMP589829:DMS589829 DWL589829:DWO589829 EGH589829:EGK589829 EQD589829:EQG589829 EZZ589829:FAC589829 FJV589829:FJY589829 FTR589829:FTU589829 GDN589829:GDQ589829 GNJ589829:GNM589829 GXF589829:GXI589829 HHB589829:HHE589829 HQX589829:HRA589829 IAT589829:IAW589829 IKP589829:IKS589829 IUL589829:IUO589829 JEH589829:JEK589829 JOD589829:JOG589829 JXZ589829:JYC589829 KHV589829:KHY589829 KRR589829:KRU589829 LBN589829:LBQ589829 LLJ589829:LLM589829 LVF589829:LVI589829 MFB589829:MFE589829 MOX589829:MPA589829 MYT589829:MYW589829 NIP589829:NIS589829 NSL589829:NSO589829 OCH589829:OCK589829 OMD589829:OMG589829 OVZ589829:OWC589829 PFV589829:PFY589829 PPR589829:PPU589829 PZN589829:PZQ589829 QJJ589829:QJM589829 QTF589829:QTI589829 RDB589829:RDE589829 RMX589829:RNA589829 RWT589829:RWW589829 SGP589829:SGS589829 SQL589829:SQO589829 TAH589829:TAK589829 TKD589829:TKG589829 TTZ589829:TUC589829 UDV589829:UDY589829 UNR589829:UNU589829 UXN589829:UXQ589829 VHJ589829:VHM589829 VRF589829:VRI589829 WBB589829:WBE589829 WKX589829:WLA589829 WUT589829:WUW589829 IH655365:IK655365 SD655365:SG655365 ABZ655365:ACC655365 ALV655365:ALY655365 AVR655365:AVU655365 BFN655365:BFQ655365 BPJ655365:BPM655365 BZF655365:BZI655365 CJB655365:CJE655365 CSX655365:CTA655365 DCT655365:DCW655365 DMP655365:DMS655365 DWL655365:DWO655365 EGH655365:EGK655365 EQD655365:EQG655365 EZZ655365:FAC655365 FJV655365:FJY655365 FTR655365:FTU655365 GDN655365:GDQ655365 GNJ655365:GNM655365 GXF655365:GXI655365 HHB655365:HHE655365 HQX655365:HRA655365 IAT655365:IAW655365 IKP655365:IKS655365 IUL655365:IUO655365 JEH655365:JEK655365 JOD655365:JOG655365 JXZ655365:JYC655365 KHV655365:KHY655365 KRR655365:KRU655365 LBN655365:LBQ655365 LLJ655365:LLM655365 LVF655365:LVI655365 MFB655365:MFE655365 MOX655365:MPA655365 MYT655365:MYW655365 NIP655365:NIS655365 NSL655365:NSO655365 OCH655365:OCK655365 OMD655365:OMG655365 OVZ655365:OWC655365 PFV655365:PFY655365 PPR655365:PPU655365 PZN655365:PZQ655365 QJJ655365:QJM655365 QTF655365:QTI655365 RDB655365:RDE655365 RMX655365:RNA655365 RWT655365:RWW655365 SGP655365:SGS655365 SQL655365:SQO655365 TAH655365:TAK655365 TKD655365:TKG655365 TTZ655365:TUC655365 UDV655365:UDY655365 UNR655365:UNU655365 UXN655365:UXQ655365 VHJ655365:VHM655365 VRF655365:VRI655365 WBB655365:WBE655365 WKX655365:WLA655365 WUT655365:WUW655365 IH720901:IK720901 SD720901:SG720901 ABZ720901:ACC720901 ALV720901:ALY720901 AVR720901:AVU720901 BFN720901:BFQ720901 BPJ720901:BPM720901 BZF720901:BZI720901 CJB720901:CJE720901 CSX720901:CTA720901 DCT720901:DCW720901 DMP720901:DMS720901 DWL720901:DWO720901 EGH720901:EGK720901 EQD720901:EQG720901 EZZ720901:FAC720901 FJV720901:FJY720901 FTR720901:FTU720901 GDN720901:GDQ720901 GNJ720901:GNM720901 GXF720901:GXI720901 HHB720901:HHE720901 HQX720901:HRA720901 IAT720901:IAW720901 IKP720901:IKS720901 IUL720901:IUO720901 JEH720901:JEK720901 JOD720901:JOG720901 JXZ720901:JYC720901 KHV720901:KHY720901 KRR720901:KRU720901 LBN720901:LBQ720901 LLJ720901:LLM720901 LVF720901:LVI720901 MFB720901:MFE720901 MOX720901:MPA720901 MYT720901:MYW720901 NIP720901:NIS720901 NSL720901:NSO720901 OCH720901:OCK720901 OMD720901:OMG720901 OVZ720901:OWC720901 PFV720901:PFY720901 PPR720901:PPU720901 PZN720901:PZQ720901 QJJ720901:QJM720901 QTF720901:QTI720901 RDB720901:RDE720901 RMX720901:RNA720901 RWT720901:RWW720901 SGP720901:SGS720901 SQL720901:SQO720901 TAH720901:TAK720901 TKD720901:TKG720901 TTZ720901:TUC720901 UDV720901:UDY720901 UNR720901:UNU720901 UXN720901:UXQ720901 VHJ720901:VHM720901 VRF720901:VRI720901 WBB720901:WBE720901 WKX720901:WLA720901 WUT720901:WUW720901 IH786437:IK786437 SD786437:SG786437 ABZ786437:ACC786437 ALV786437:ALY786437 AVR786437:AVU786437 BFN786437:BFQ786437 BPJ786437:BPM786437 BZF786437:BZI786437 CJB786437:CJE786437 CSX786437:CTA786437 DCT786437:DCW786437 DMP786437:DMS786437 DWL786437:DWO786437 EGH786437:EGK786437 EQD786437:EQG786437 EZZ786437:FAC786437 FJV786437:FJY786437 FTR786437:FTU786437 GDN786437:GDQ786437 GNJ786437:GNM786437 GXF786437:GXI786437 HHB786437:HHE786437 HQX786437:HRA786437 IAT786437:IAW786437 IKP786437:IKS786437 IUL786437:IUO786437 JEH786437:JEK786437 JOD786437:JOG786437 JXZ786437:JYC786437 KHV786437:KHY786437 KRR786437:KRU786437 LBN786437:LBQ786437 LLJ786437:LLM786437 LVF786437:LVI786437 MFB786437:MFE786437 MOX786437:MPA786437 MYT786437:MYW786437 NIP786437:NIS786437 NSL786437:NSO786437 OCH786437:OCK786437 OMD786437:OMG786437 OVZ786437:OWC786437 PFV786437:PFY786437 PPR786437:PPU786437 PZN786437:PZQ786437 QJJ786437:QJM786437 QTF786437:QTI786437 RDB786437:RDE786437 RMX786437:RNA786437 RWT786437:RWW786437 SGP786437:SGS786437 SQL786437:SQO786437 TAH786437:TAK786437 TKD786437:TKG786437 TTZ786437:TUC786437 UDV786437:UDY786437 UNR786437:UNU786437 UXN786437:UXQ786437 VHJ786437:VHM786437 VRF786437:VRI786437 WBB786437:WBE786437 WKX786437:WLA786437 WUT786437:WUW786437 IH851973:IK851973 SD851973:SG851973 ABZ851973:ACC851973 ALV851973:ALY851973 AVR851973:AVU851973 BFN851973:BFQ851973 BPJ851973:BPM851973 BZF851973:BZI851973 CJB851973:CJE851973 CSX851973:CTA851973 DCT851973:DCW851973 DMP851973:DMS851973 DWL851973:DWO851973 EGH851973:EGK851973 EQD851973:EQG851973 EZZ851973:FAC851973 FJV851973:FJY851973 FTR851973:FTU851973 GDN851973:GDQ851973 GNJ851973:GNM851973 GXF851973:GXI851973 HHB851973:HHE851973 HQX851973:HRA851973 IAT851973:IAW851973 IKP851973:IKS851973 IUL851973:IUO851973 JEH851973:JEK851973 JOD851973:JOG851973 JXZ851973:JYC851973 KHV851973:KHY851973 KRR851973:KRU851973 LBN851973:LBQ851973 LLJ851973:LLM851973 LVF851973:LVI851973 MFB851973:MFE851973 MOX851973:MPA851973 MYT851973:MYW851973 NIP851973:NIS851973 NSL851973:NSO851973 OCH851973:OCK851973 OMD851973:OMG851973 OVZ851973:OWC851973 PFV851973:PFY851973 PPR851973:PPU851973 PZN851973:PZQ851973 QJJ851973:QJM851973 QTF851973:QTI851973 RDB851973:RDE851973 RMX851973:RNA851973 RWT851973:RWW851973 SGP851973:SGS851973 SQL851973:SQO851973 TAH851973:TAK851973 TKD851973:TKG851973 TTZ851973:TUC851973 UDV851973:UDY851973 UNR851973:UNU851973 UXN851973:UXQ851973 VHJ851973:VHM851973 VRF851973:VRI851973 WBB851973:WBE851973 WKX851973:WLA851973 WUT851973:WUW851973 IH917509:IK917509 SD917509:SG917509 ABZ917509:ACC917509 ALV917509:ALY917509 AVR917509:AVU917509 BFN917509:BFQ917509 BPJ917509:BPM917509 BZF917509:BZI917509 CJB917509:CJE917509 CSX917509:CTA917509 DCT917509:DCW917509 DMP917509:DMS917509 DWL917509:DWO917509 EGH917509:EGK917509 EQD917509:EQG917509 EZZ917509:FAC917509 FJV917509:FJY917509 FTR917509:FTU917509 GDN917509:GDQ917509 GNJ917509:GNM917509 GXF917509:GXI917509 HHB917509:HHE917509 HQX917509:HRA917509 IAT917509:IAW917509 IKP917509:IKS917509 IUL917509:IUO917509 JEH917509:JEK917509 JOD917509:JOG917509 JXZ917509:JYC917509 KHV917509:KHY917509 KRR917509:KRU917509 LBN917509:LBQ917509 LLJ917509:LLM917509 LVF917509:LVI917509 MFB917509:MFE917509 MOX917509:MPA917509 MYT917509:MYW917509 NIP917509:NIS917509 NSL917509:NSO917509 OCH917509:OCK917509 OMD917509:OMG917509 OVZ917509:OWC917509 PFV917509:PFY917509 PPR917509:PPU917509 PZN917509:PZQ917509 QJJ917509:QJM917509 QTF917509:QTI917509 RDB917509:RDE917509 RMX917509:RNA917509 RWT917509:RWW917509 SGP917509:SGS917509 SQL917509:SQO917509 TAH917509:TAK917509 TKD917509:TKG917509 TTZ917509:TUC917509 UDV917509:UDY917509 UNR917509:UNU917509 UXN917509:UXQ917509 VHJ917509:VHM917509 VRF917509:VRI917509 WBB917509:WBE917509 WKX917509:WLA917509 WUT917509:WUW917509 Q917509:S917509 Q851973:S851973 Q786437:S786437 Q720901:S720901 Q655365:S655365 Q589829:S589829 Q524293:S524293 Q458757:S458757 Q393221:S393221 Q327685:S327685 Q262149:S262149 Q196613:S196613 Q131077:S131077 Q65541:S65541 Q983045:S983045 AF131079:AH131079 AF196615:AH196615 AF262151:AH262151 AF327687:AH327687 AF393223:AH393223 AF458759:AH458759 AF524295:AH524295 AF589831:AH589831 AF655367:AH655367 AF720903:AH720903 AF786439:AH786439 AF851975:AH851975 AF917511:AH917511 AF983047:AH983047 AB983046:AD983046 AB917510:AD917510 AB851974:AD851974 AB786438:AD786438 AB720902:AD720902 AB655366:AD655366 AB589830:AD589830 AB524294:AD524294 AB458758:AD458758 AB393222:AD393222 AB327686:AD327686 AB262150:AD262150 AB196614:AD196614 AB131078:AD131078 AB65542:AD65542 AF65543:AH65543 AO131079:AQ131079 AO196615:AQ196615 AO262151:AQ262151 AO327687:AQ327687 AO393223:AQ393223 AO458759:AQ458759 AO524295:AQ524295 AO589831:AQ589831 AO655367:AQ655367 AO720903:AQ720903 AO786439:AQ786439 AO851975:AQ851975 AO917511:AQ917511 AO983047:AQ983047 AI917510:AK917510 AI851974:AK851974 AI786438:AK786438 AI720902:AK720902 AI655366:AK655366 AI589830:AK589830 AI524294:AK524294 AI458758:AK458758 AI393222:AK393222 AI327686:AK327686 AI262150:AK262150 AI196614:AK196614 AI131078:AK131078 AI65542:AK65542 AO65543:AQ65543 AI983046:AK983046 AL131079:AM131079 AL196615:AM196615 AL262151:AM262151 AL327687:AM327687 AL393223:AM393223 AL458759:AM458759 AL524295:AM524295 AL589831:AM589831 AL655367:AM655367 AL720903:AM720903 AL786439:AM786439 AL851975:AM851975 AL917511:AM917511 AL983047:AM983047 AL65543:AM65543" xr:uid="{87090E45-91C1-418E-8188-C4A72504E6B6}">
      <formula1>"○, ○（オンライン処理設計書なし）"</formula1>
    </dataValidation>
    <dataValidation type="list" allowBlank="1" showInputMessage="1" showErrorMessage="1" sqref="V65548:Y65551 IN65548:IQ65551 SJ65548:SM65551 ACF65548:ACI65551 AMB65548:AME65551 AVX65548:AWA65551 BFT65548:BFW65551 BPP65548:BPS65551 BZL65548:BZO65551 CJH65548:CJK65551 CTD65548:CTG65551 DCZ65548:DDC65551 DMV65548:DMY65551 DWR65548:DWU65551 EGN65548:EGQ65551 EQJ65548:EQM65551 FAF65548:FAI65551 FKB65548:FKE65551 FTX65548:FUA65551 GDT65548:GDW65551 GNP65548:GNS65551 GXL65548:GXO65551 HHH65548:HHK65551 HRD65548:HRG65551 IAZ65548:IBC65551 IKV65548:IKY65551 IUR65548:IUU65551 JEN65548:JEQ65551 JOJ65548:JOM65551 JYF65548:JYI65551 KIB65548:KIE65551 KRX65548:KSA65551 LBT65548:LBW65551 LLP65548:LLS65551 LVL65548:LVO65551 MFH65548:MFK65551 MPD65548:MPG65551 MYZ65548:MZC65551 NIV65548:NIY65551 NSR65548:NSU65551 OCN65548:OCQ65551 OMJ65548:OMM65551 OWF65548:OWI65551 PGB65548:PGE65551 PPX65548:PQA65551 PZT65548:PZW65551 QJP65548:QJS65551 QTL65548:QTO65551 RDH65548:RDK65551 RND65548:RNG65551 RWZ65548:RXC65551 SGV65548:SGY65551 SQR65548:SQU65551 TAN65548:TAQ65551 TKJ65548:TKM65551 TUF65548:TUI65551 UEB65548:UEE65551 UNX65548:UOA65551 UXT65548:UXW65551 VHP65548:VHS65551 VRL65548:VRO65551 WBH65548:WBK65551 WLD65548:WLG65551 WUZ65548:WVC65551 V131084:Y131087 IN131084:IQ131087 SJ131084:SM131087 ACF131084:ACI131087 AMB131084:AME131087 AVX131084:AWA131087 BFT131084:BFW131087 BPP131084:BPS131087 BZL131084:BZO131087 CJH131084:CJK131087 CTD131084:CTG131087 DCZ131084:DDC131087 DMV131084:DMY131087 DWR131084:DWU131087 EGN131084:EGQ131087 EQJ131084:EQM131087 FAF131084:FAI131087 FKB131084:FKE131087 FTX131084:FUA131087 GDT131084:GDW131087 GNP131084:GNS131087 GXL131084:GXO131087 HHH131084:HHK131087 HRD131084:HRG131087 IAZ131084:IBC131087 IKV131084:IKY131087 IUR131084:IUU131087 JEN131084:JEQ131087 JOJ131084:JOM131087 JYF131084:JYI131087 KIB131084:KIE131087 KRX131084:KSA131087 LBT131084:LBW131087 LLP131084:LLS131087 LVL131084:LVO131087 MFH131084:MFK131087 MPD131084:MPG131087 MYZ131084:MZC131087 NIV131084:NIY131087 NSR131084:NSU131087 OCN131084:OCQ131087 OMJ131084:OMM131087 OWF131084:OWI131087 PGB131084:PGE131087 PPX131084:PQA131087 PZT131084:PZW131087 QJP131084:QJS131087 QTL131084:QTO131087 RDH131084:RDK131087 RND131084:RNG131087 RWZ131084:RXC131087 SGV131084:SGY131087 SQR131084:SQU131087 TAN131084:TAQ131087 TKJ131084:TKM131087 TUF131084:TUI131087 UEB131084:UEE131087 UNX131084:UOA131087 UXT131084:UXW131087 VHP131084:VHS131087 VRL131084:VRO131087 WBH131084:WBK131087 WLD131084:WLG131087 WUZ131084:WVC131087 V196620:Y196623 IN196620:IQ196623 SJ196620:SM196623 ACF196620:ACI196623 AMB196620:AME196623 AVX196620:AWA196623 BFT196620:BFW196623 BPP196620:BPS196623 BZL196620:BZO196623 CJH196620:CJK196623 CTD196620:CTG196623 DCZ196620:DDC196623 DMV196620:DMY196623 DWR196620:DWU196623 EGN196620:EGQ196623 EQJ196620:EQM196623 FAF196620:FAI196623 FKB196620:FKE196623 FTX196620:FUA196623 GDT196620:GDW196623 GNP196620:GNS196623 GXL196620:GXO196623 HHH196620:HHK196623 HRD196620:HRG196623 IAZ196620:IBC196623 IKV196620:IKY196623 IUR196620:IUU196623 JEN196620:JEQ196623 JOJ196620:JOM196623 JYF196620:JYI196623 KIB196620:KIE196623 KRX196620:KSA196623 LBT196620:LBW196623 LLP196620:LLS196623 LVL196620:LVO196623 MFH196620:MFK196623 MPD196620:MPG196623 MYZ196620:MZC196623 NIV196620:NIY196623 NSR196620:NSU196623 OCN196620:OCQ196623 OMJ196620:OMM196623 OWF196620:OWI196623 PGB196620:PGE196623 PPX196620:PQA196623 PZT196620:PZW196623 QJP196620:QJS196623 QTL196620:QTO196623 RDH196620:RDK196623 RND196620:RNG196623 RWZ196620:RXC196623 SGV196620:SGY196623 SQR196620:SQU196623 TAN196620:TAQ196623 TKJ196620:TKM196623 TUF196620:TUI196623 UEB196620:UEE196623 UNX196620:UOA196623 UXT196620:UXW196623 VHP196620:VHS196623 VRL196620:VRO196623 WBH196620:WBK196623 WLD196620:WLG196623 WUZ196620:WVC196623 V262156:Y262159 IN262156:IQ262159 SJ262156:SM262159 ACF262156:ACI262159 AMB262156:AME262159 AVX262156:AWA262159 BFT262156:BFW262159 BPP262156:BPS262159 BZL262156:BZO262159 CJH262156:CJK262159 CTD262156:CTG262159 DCZ262156:DDC262159 DMV262156:DMY262159 DWR262156:DWU262159 EGN262156:EGQ262159 EQJ262156:EQM262159 FAF262156:FAI262159 FKB262156:FKE262159 FTX262156:FUA262159 GDT262156:GDW262159 GNP262156:GNS262159 GXL262156:GXO262159 HHH262156:HHK262159 HRD262156:HRG262159 IAZ262156:IBC262159 IKV262156:IKY262159 IUR262156:IUU262159 JEN262156:JEQ262159 JOJ262156:JOM262159 JYF262156:JYI262159 KIB262156:KIE262159 KRX262156:KSA262159 LBT262156:LBW262159 LLP262156:LLS262159 LVL262156:LVO262159 MFH262156:MFK262159 MPD262156:MPG262159 MYZ262156:MZC262159 NIV262156:NIY262159 NSR262156:NSU262159 OCN262156:OCQ262159 OMJ262156:OMM262159 OWF262156:OWI262159 PGB262156:PGE262159 PPX262156:PQA262159 PZT262156:PZW262159 QJP262156:QJS262159 QTL262156:QTO262159 RDH262156:RDK262159 RND262156:RNG262159 RWZ262156:RXC262159 SGV262156:SGY262159 SQR262156:SQU262159 TAN262156:TAQ262159 TKJ262156:TKM262159 TUF262156:TUI262159 UEB262156:UEE262159 UNX262156:UOA262159 UXT262156:UXW262159 VHP262156:VHS262159 VRL262156:VRO262159 WBH262156:WBK262159 WLD262156:WLG262159 WUZ262156:WVC262159 V327692:Y327695 IN327692:IQ327695 SJ327692:SM327695 ACF327692:ACI327695 AMB327692:AME327695 AVX327692:AWA327695 BFT327692:BFW327695 BPP327692:BPS327695 BZL327692:BZO327695 CJH327692:CJK327695 CTD327692:CTG327695 DCZ327692:DDC327695 DMV327692:DMY327695 DWR327692:DWU327695 EGN327692:EGQ327695 EQJ327692:EQM327695 FAF327692:FAI327695 FKB327692:FKE327695 FTX327692:FUA327695 GDT327692:GDW327695 GNP327692:GNS327695 GXL327692:GXO327695 HHH327692:HHK327695 HRD327692:HRG327695 IAZ327692:IBC327695 IKV327692:IKY327695 IUR327692:IUU327695 JEN327692:JEQ327695 JOJ327692:JOM327695 JYF327692:JYI327695 KIB327692:KIE327695 KRX327692:KSA327695 LBT327692:LBW327695 LLP327692:LLS327695 LVL327692:LVO327695 MFH327692:MFK327695 MPD327692:MPG327695 MYZ327692:MZC327695 NIV327692:NIY327695 NSR327692:NSU327695 OCN327692:OCQ327695 OMJ327692:OMM327695 OWF327692:OWI327695 PGB327692:PGE327695 PPX327692:PQA327695 PZT327692:PZW327695 QJP327692:QJS327695 QTL327692:QTO327695 RDH327692:RDK327695 RND327692:RNG327695 RWZ327692:RXC327695 SGV327692:SGY327695 SQR327692:SQU327695 TAN327692:TAQ327695 TKJ327692:TKM327695 TUF327692:TUI327695 UEB327692:UEE327695 UNX327692:UOA327695 UXT327692:UXW327695 VHP327692:VHS327695 VRL327692:VRO327695 WBH327692:WBK327695 WLD327692:WLG327695 WUZ327692:WVC327695 V393228:Y393231 IN393228:IQ393231 SJ393228:SM393231 ACF393228:ACI393231 AMB393228:AME393231 AVX393228:AWA393231 BFT393228:BFW393231 BPP393228:BPS393231 BZL393228:BZO393231 CJH393228:CJK393231 CTD393228:CTG393231 DCZ393228:DDC393231 DMV393228:DMY393231 DWR393228:DWU393231 EGN393228:EGQ393231 EQJ393228:EQM393231 FAF393228:FAI393231 FKB393228:FKE393231 FTX393228:FUA393231 GDT393228:GDW393231 GNP393228:GNS393231 GXL393228:GXO393231 HHH393228:HHK393231 HRD393228:HRG393231 IAZ393228:IBC393231 IKV393228:IKY393231 IUR393228:IUU393231 JEN393228:JEQ393231 JOJ393228:JOM393231 JYF393228:JYI393231 KIB393228:KIE393231 KRX393228:KSA393231 LBT393228:LBW393231 LLP393228:LLS393231 LVL393228:LVO393231 MFH393228:MFK393231 MPD393228:MPG393231 MYZ393228:MZC393231 NIV393228:NIY393231 NSR393228:NSU393231 OCN393228:OCQ393231 OMJ393228:OMM393231 OWF393228:OWI393231 PGB393228:PGE393231 PPX393228:PQA393231 PZT393228:PZW393231 QJP393228:QJS393231 QTL393228:QTO393231 RDH393228:RDK393231 RND393228:RNG393231 RWZ393228:RXC393231 SGV393228:SGY393231 SQR393228:SQU393231 TAN393228:TAQ393231 TKJ393228:TKM393231 TUF393228:TUI393231 UEB393228:UEE393231 UNX393228:UOA393231 UXT393228:UXW393231 VHP393228:VHS393231 VRL393228:VRO393231 WBH393228:WBK393231 WLD393228:WLG393231 WUZ393228:WVC393231 V458764:Y458767 IN458764:IQ458767 SJ458764:SM458767 ACF458764:ACI458767 AMB458764:AME458767 AVX458764:AWA458767 BFT458764:BFW458767 BPP458764:BPS458767 BZL458764:BZO458767 CJH458764:CJK458767 CTD458764:CTG458767 DCZ458764:DDC458767 DMV458764:DMY458767 DWR458764:DWU458767 EGN458764:EGQ458767 EQJ458764:EQM458767 FAF458764:FAI458767 FKB458764:FKE458767 FTX458764:FUA458767 GDT458764:GDW458767 GNP458764:GNS458767 GXL458764:GXO458767 HHH458764:HHK458767 HRD458764:HRG458767 IAZ458764:IBC458767 IKV458764:IKY458767 IUR458764:IUU458767 JEN458764:JEQ458767 JOJ458764:JOM458767 JYF458764:JYI458767 KIB458764:KIE458767 KRX458764:KSA458767 LBT458764:LBW458767 LLP458764:LLS458767 LVL458764:LVO458767 MFH458764:MFK458767 MPD458764:MPG458767 MYZ458764:MZC458767 NIV458764:NIY458767 NSR458764:NSU458767 OCN458764:OCQ458767 OMJ458764:OMM458767 OWF458764:OWI458767 PGB458764:PGE458767 PPX458764:PQA458767 PZT458764:PZW458767 QJP458764:QJS458767 QTL458764:QTO458767 RDH458764:RDK458767 RND458764:RNG458767 RWZ458764:RXC458767 SGV458764:SGY458767 SQR458764:SQU458767 TAN458764:TAQ458767 TKJ458764:TKM458767 TUF458764:TUI458767 UEB458764:UEE458767 UNX458764:UOA458767 UXT458764:UXW458767 VHP458764:VHS458767 VRL458764:VRO458767 WBH458764:WBK458767 WLD458764:WLG458767 WUZ458764:WVC458767 V524300:Y524303 IN524300:IQ524303 SJ524300:SM524303 ACF524300:ACI524303 AMB524300:AME524303 AVX524300:AWA524303 BFT524300:BFW524303 BPP524300:BPS524303 BZL524300:BZO524303 CJH524300:CJK524303 CTD524300:CTG524303 DCZ524300:DDC524303 DMV524300:DMY524303 DWR524300:DWU524303 EGN524300:EGQ524303 EQJ524300:EQM524303 FAF524300:FAI524303 FKB524300:FKE524303 FTX524300:FUA524303 GDT524300:GDW524303 GNP524300:GNS524303 GXL524300:GXO524303 HHH524300:HHK524303 HRD524300:HRG524303 IAZ524300:IBC524303 IKV524300:IKY524303 IUR524300:IUU524303 JEN524300:JEQ524303 JOJ524300:JOM524303 JYF524300:JYI524303 KIB524300:KIE524303 KRX524300:KSA524303 LBT524300:LBW524303 LLP524300:LLS524303 LVL524300:LVO524303 MFH524300:MFK524303 MPD524300:MPG524303 MYZ524300:MZC524303 NIV524300:NIY524303 NSR524300:NSU524303 OCN524300:OCQ524303 OMJ524300:OMM524303 OWF524300:OWI524303 PGB524300:PGE524303 PPX524300:PQA524303 PZT524300:PZW524303 QJP524300:QJS524303 QTL524300:QTO524303 RDH524300:RDK524303 RND524300:RNG524303 RWZ524300:RXC524303 SGV524300:SGY524303 SQR524300:SQU524303 TAN524300:TAQ524303 TKJ524300:TKM524303 TUF524300:TUI524303 UEB524300:UEE524303 UNX524300:UOA524303 UXT524300:UXW524303 VHP524300:VHS524303 VRL524300:VRO524303 WBH524300:WBK524303 WLD524300:WLG524303 WUZ524300:WVC524303 V589836:Y589839 IN589836:IQ589839 SJ589836:SM589839 ACF589836:ACI589839 AMB589836:AME589839 AVX589836:AWA589839 BFT589836:BFW589839 BPP589836:BPS589839 BZL589836:BZO589839 CJH589836:CJK589839 CTD589836:CTG589839 DCZ589836:DDC589839 DMV589836:DMY589839 DWR589836:DWU589839 EGN589836:EGQ589839 EQJ589836:EQM589839 FAF589836:FAI589839 FKB589836:FKE589839 FTX589836:FUA589839 GDT589836:GDW589839 GNP589836:GNS589839 GXL589836:GXO589839 HHH589836:HHK589839 HRD589836:HRG589839 IAZ589836:IBC589839 IKV589836:IKY589839 IUR589836:IUU589839 JEN589836:JEQ589839 JOJ589836:JOM589839 JYF589836:JYI589839 KIB589836:KIE589839 KRX589836:KSA589839 LBT589836:LBW589839 LLP589836:LLS589839 LVL589836:LVO589839 MFH589836:MFK589839 MPD589836:MPG589839 MYZ589836:MZC589839 NIV589836:NIY589839 NSR589836:NSU589839 OCN589836:OCQ589839 OMJ589836:OMM589839 OWF589836:OWI589839 PGB589836:PGE589839 PPX589836:PQA589839 PZT589836:PZW589839 QJP589836:QJS589839 QTL589836:QTO589839 RDH589836:RDK589839 RND589836:RNG589839 RWZ589836:RXC589839 SGV589836:SGY589839 SQR589836:SQU589839 TAN589836:TAQ589839 TKJ589836:TKM589839 TUF589836:TUI589839 UEB589836:UEE589839 UNX589836:UOA589839 UXT589836:UXW589839 VHP589836:VHS589839 VRL589836:VRO589839 WBH589836:WBK589839 WLD589836:WLG589839 WUZ589836:WVC589839 V655372:Y655375 IN655372:IQ655375 SJ655372:SM655375 ACF655372:ACI655375 AMB655372:AME655375 AVX655372:AWA655375 BFT655372:BFW655375 BPP655372:BPS655375 BZL655372:BZO655375 CJH655372:CJK655375 CTD655372:CTG655375 DCZ655372:DDC655375 DMV655372:DMY655375 DWR655372:DWU655375 EGN655372:EGQ655375 EQJ655372:EQM655375 FAF655372:FAI655375 FKB655372:FKE655375 FTX655372:FUA655375 GDT655372:GDW655375 GNP655372:GNS655375 GXL655372:GXO655375 HHH655372:HHK655375 HRD655372:HRG655375 IAZ655372:IBC655375 IKV655372:IKY655375 IUR655372:IUU655375 JEN655372:JEQ655375 JOJ655372:JOM655375 JYF655372:JYI655375 KIB655372:KIE655375 KRX655372:KSA655375 LBT655372:LBW655375 LLP655372:LLS655375 LVL655372:LVO655375 MFH655372:MFK655375 MPD655372:MPG655375 MYZ655372:MZC655375 NIV655372:NIY655375 NSR655372:NSU655375 OCN655372:OCQ655375 OMJ655372:OMM655375 OWF655372:OWI655375 PGB655372:PGE655375 PPX655372:PQA655375 PZT655372:PZW655375 QJP655372:QJS655375 QTL655372:QTO655375 RDH655372:RDK655375 RND655372:RNG655375 RWZ655372:RXC655375 SGV655372:SGY655375 SQR655372:SQU655375 TAN655372:TAQ655375 TKJ655372:TKM655375 TUF655372:TUI655375 UEB655372:UEE655375 UNX655372:UOA655375 UXT655372:UXW655375 VHP655372:VHS655375 VRL655372:VRO655375 WBH655372:WBK655375 WLD655372:WLG655375 WUZ655372:WVC655375 V720908:Y720911 IN720908:IQ720911 SJ720908:SM720911 ACF720908:ACI720911 AMB720908:AME720911 AVX720908:AWA720911 BFT720908:BFW720911 BPP720908:BPS720911 BZL720908:BZO720911 CJH720908:CJK720911 CTD720908:CTG720911 DCZ720908:DDC720911 DMV720908:DMY720911 DWR720908:DWU720911 EGN720908:EGQ720911 EQJ720908:EQM720911 FAF720908:FAI720911 FKB720908:FKE720911 FTX720908:FUA720911 GDT720908:GDW720911 GNP720908:GNS720911 GXL720908:GXO720911 HHH720908:HHK720911 HRD720908:HRG720911 IAZ720908:IBC720911 IKV720908:IKY720911 IUR720908:IUU720911 JEN720908:JEQ720911 JOJ720908:JOM720911 JYF720908:JYI720911 KIB720908:KIE720911 KRX720908:KSA720911 LBT720908:LBW720911 LLP720908:LLS720911 LVL720908:LVO720911 MFH720908:MFK720911 MPD720908:MPG720911 MYZ720908:MZC720911 NIV720908:NIY720911 NSR720908:NSU720911 OCN720908:OCQ720911 OMJ720908:OMM720911 OWF720908:OWI720911 PGB720908:PGE720911 PPX720908:PQA720911 PZT720908:PZW720911 QJP720908:QJS720911 QTL720908:QTO720911 RDH720908:RDK720911 RND720908:RNG720911 RWZ720908:RXC720911 SGV720908:SGY720911 SQR720908:SQU720911 TAN720908:TAQ720911 TKJ720908:TKM720911 TUF720908:TUI720911 UEB720908:UEE720911 UNX720908:UOA720911 UXT720908:UXW720911 VHP720908:VHS720911 VRL720908:VRO720911 WBH720908:WBK720911 WLD720908:WLG720911 WUZ720908:WVC720911 V786444:Y786447 IN786444:IQ786447 SJ786444:SM786447 ACF786444:ACI786447 AMB786444:AME786447 AVX786444:AWA786447 BFT786444:BFW786447 BPP786444:BPS786447 BZL786444:BZO786447 CJH786444:CJK786447 CTD786444:CTG786447 DCZ786444:DDC786447 DMV786444:DMY786447 DWR786444:DWU786447 EGN786444:EGQ786447 EQJ786444:EQM786447 FAF786444:FAI786447 FKB786444:FKE786447 FTX786444:FUA786447 GDT786444:GDW786447 GNP786444:GNS786447 GXL786444:GXO786447 HHH786444:HHK786447 HRD786444:HRG786447 IAZ786444:IBC786447 IKV786444:IKY786447 IUR786444:IUU786447 JEN786444:JEQ786447 JOJ786444:JOM786447 JYF786444:JYI786447 KIB786444:KIE786447 KRX786444:KSA786447 LBT786444:LBW786447 LLP786444:LLS786447 LVL786444:LVO786447 MFH786444:MFK786447 MPD786444:MPG786447 MYZ786444:MZC786447 NIV786444:NIY786447 NSR786444:NSU786447 OCN786444:OCQ786447 OMJ786444:OMM786447 OWF786444:OWI786447 PGB786444:PGE786447 PPX786444:PQA786447 PZT786444:PZW786447 QJP786444:QJS786447 QTL786444:QTO786447 RDH786444:RDK786447 RND786444:RNG786447 RWZ786444:RXC786447 SGV786444:SGY786447 SQR786444:SQU786447 TAN786444:TAQ786447 TKJ786444:TKM786447 TUF786444:TUI786447 UEB786444:UEE786447 UNX786444:UOA786447 UXT786444:UXW786447 VHP786444:VHS786447 VRL786444:VRO786447 WBH786444:WBK786447 WLD786444:WLG786447 WUZ786444:WVC786447 V851980:Y851983 IN851980:IQ851983 SJ851980:SM851983 ACF851980:ACI851983 AMB851980:AME851983 AVX851980:AWA851983 BFT851980:BFW851983 BPP851980:BPS851983 BZL851980:BZO851983 CJH851980:CJK851983 CTD851980:CTG851983 DCZ851980:DDC851983 DMV851980:DMY851983 DWR851980:DWU851983 EGN851980:EGQ851983 EQJ851980:EQM851983 FAF851980:FAI851983 FKB851980:FKE851983 FTX851980:FUA851983 GDT851980:GDW851983 GNP851980:GNS851983 GXL851980:GXO851983 HHH851980:HHK851983 HRD851980:HRG851983 IAZ851980:IBC851983 IKV851980:IKY851983 IUR851980:IUU851983 JEN851980:JEQ851983 JOJ851980:JOM851983 JYF851980:JYI851983 KIB851980:KIE851983 KRX851980:KSA851983 LBT851980:LBW851983 LLP851980:LLS851983 LVL851980:LVO851983 MFH851980:MFK851983 MPD851980:MPG851983 MYZ851980:MZC851983 NIV851980:NIY851983 NSR851980:NSU851983 OCN851980:OCQ851983 OMJ851980:OMM851983 OWF851980:OWI851983 PGB851980:PGE851983 PPX851980:PQA851983 PZT851980:PZW851983 QJP851980:QJS851983 QTL851980:QTO851983 RDH851980:RDK851983 RND851980:RNG851983 RWZ851980:RXC851983 SGV851980:SGY851983 SQR851980:SQU851983 TAN851980:TAQ851983 TKJ851980:TKM851983 TUF851980:TUI851983 UEB851980:UEE851983 UNX851980:UOA851983 UXT851980:UXW851983 VHP851980:VHS851983 VRL851980:VRO851983 WBH851980:WBK851983 WLD851980:WLG851983 WUZ851980:WVC851983 V917516:Y917519 IN917516:IQ917519 SJ917516:SM917519 ACF917516:ACI917519 AMB917516:AME917519 AVX917516:AWA917519 BFT917516:BFW917519 BPP917516:BPS917519 BZL917516:BZO917519 CJH917516:CJK917519 CTD917516:CTG917519 DCZ917516:DDC917519 DMV917516:DMY917519 DWR917516:DWU917519 EGN917516:EGQ917519 EQJ917516:EQM917519 FAF917516:FAI917519 FKB917516:FKE917519 FTX917516:FUA917519 GDT917516:GDW917519 GNP917516:GNS917519 GXL917516:GXO917519 HHH917516:HHK917519 HRD917516:HRG917519 IAZ917516:IBC917519 IKV917516:IKY917519 IUR917516:IUU917519 JEN917516:JEQ917519 JOJ917516:JOM917519 JYF917516:JYI917519 KIB917516:KIE917519 KRX917516:KSA917519 LBT917516:LBW917519 LLP917516:LLS917519 LVL917516:LVO917519 MFH917516:MFK917519 MPD917516:MPG917519 MYZ917516:MZC917519 NIV917516:NIY917519 NSR917516:NSU917519 OCN917516:OCQ917519 OMJ917516:OMM917519 OWF917516:OWI917519 PGB917516:PGE917519 PPX917516:PQA917519 PZT917516:PZW917519 QJP917516:QJS917519 QTL917516:QTO917519 RDH917516:RDK917519 RND917516:RNG917519 RWZ917516:RXC917519 SGV917516:SGY917519 SQR917516:SQU917519 TAN917516:TAQ917519 TKJ917516:TKM917519 TUF917516:TUI917519 UEB917516:UEE917519 UNX917516:UOA917519 UXT917516:UXW917519 VHP917516:VHS917519 VRL917516:VRO917519 WBH917516:WBK917519 WLD917516:WLG917519 WUZ917516:WVC917519 V983052:Y983055 IN983052:IQ983055 SJ983052:SM983055 ACF983052:ACI983055 AMB983052:AME983055 AVX983052:AWA983055 BFT983052:BFW983055 BPP983052:BPS983055 BZL983052:BZO983055 CJH983052:CJK983055 CTD983052:CTG983055 DCZ983052:DDC983055 DMV983052:DMY983055 DWR983052:DWU983055 EGN983052:EGQ983055 EQJ983052:EQM983055 FAF983052:FAI983055 FKB983052:FKE983055 FTX983052:FUA983055 GDT983052:GDW983055 GNP983052:GNS983055 GXL983052:GXO983055 HHH983052:HHK983055 HRD983052:HRG983055 IAZ983052:IBC983055 IKV983052:IKY983055 IUR983052:IUU983055 JEN983052:JEQ983055 JOJ983052:JOM983055 JYF983052:JYI983055 KIB983052:KIE983055 KRX983052:KSA983055 LBT983052:LBW983055 LLP983052:LLS983055 LVL983052:LVO983055 MFH983052:MFK983055 MPD983052:MPG983055 MYZ983052:MZC983055 NIV983052:NIY983055 NSR983052:NSU983055 OCN983052:OCQ983055 OMJ983052:OMM983055 OWF983052:OWI983055 PGB983052:PGE983055 PPX983052:PQA983055 PZT983052:PZW983055 QJP983052:QJS983055 QTL983052:QTO983055 RDH983052:RDK983055 RND983052:RNG983055 RWZ983052:RXC983055 SGV983052:SGY983055 SQR983052:SQU983055 TAN983052:TAQ983055 TKJ983052:TKM983055 TUF983052:TUI983055 UEB983052:UEE983055 UNX983052:UOA983055 UXT983052:UXW983055 VHP983052:VHS983055 VRL983052:VRO983055 WBH983052:WBK983055 WLD983052:WLG983055 WUZ983052:WVC983055 Q65542:T65542 II65542:IL65542 SE65542:SH65542 ACA65542:ACD65542 ALW65542:ALZ65542 AVS65542:AVV65542 BFO65542:BFR65542 BPK65542:BPN65542 BZG65542:BZJ65542 CJC65542:CJF65542 CSY65542:CTB65542 DCU65542:DCX65542 DMQ65542:DMT65542 DWM65542:DWP65542 EGI65542:EGL65542 EQE65542:EQH65542 FAA65542:FAD65542 FJW65542:FJZ65542 FTS65542:FTV65542 GDO65542:GDR65542 GNK65542:GNN65542 GXG65542:GXJ65542 HHC65542:HHF65542 HQY65542:HRB65542 IAU65542:IAX65542 IKQ65542:IKT65542 IUM65542:IUP65542 JEI65542:JEL65542 JOE65542:JOH65542 JYA65542:JYD65542 KHW65542:KHZ65542 KRS65542:KRV65542 LBO65542:LBR65542 LLK65542:LLN65542 LVG65542:LVJ65542 MFC65542:MFF65542 MOY65542:MPB65542 MYU65542:MYX65542 NIQ65542:NIT65542 NSM65542:NSP65542 OCI65542:OCL65542 OME65542:OMH65542 OWA65542:OWD65542 PFW65542:PFZ65542 PPS65542:PPV65542 PZO65542:PZR65542 QJK65542:QJN65542 QTG65542:QTJ65542 RDC65542:RDF65542 RMY65542:RNB65542 RWU65542:RWX65542 SGQ65542:SGT65542 SQM65542:SQP65542 TAI65542:TAL65542 TKE65542:TKH65542 TUA65542:TUD65542 UDW65542:UDZ65542 UNS65542:UNV65542 UXO65542:UXR65542 VHK65542:VHN65542 VRG65542:VRJ65542 WBC65542:WBF65542 WKY65542:WLB65542 WUU65542:WUX65542 Q131078:T131078 II131078:IL131078 SE131078:SH131078 ACA131078:ACD131078 ALW131078:ALZ131078 AVS131078:AVV131078 BFO131078:BFR131078 BPK131078:BPN131078 BZG131078:BZJ131078 CJC131078:CJF131078 CSY131078:CTB131078 DCU131078:DCX131078 DMQ131078:DMT131078 DWM131078:DWP131078 EGI131078:EGL131078 EQE131078:EQH131078 FAA131078:FAD131078 FJW131078:FJZ131078 FTS131078:FTV131078 GDO131078:GDR131078 GNK131078:GNN131078 GXG131078:GXJ131078 HHC131078:HHF131078 HQY131078:HRB131078 IAU131078:IAX131078 IKQ131078:IKT131078 IUM131078:IUP131078 JEI131078:JEL131078 JOE131078:JOH131078 JYA131078:JYD131078 KHW131078:KHZ131078 KRS131078:KRV131078 LBO131078:LBR131078 LLK131078:LLN131078 LVG131078:LVJ131078 MFC131078:MFF131078 MOY131078:MPB131078 MYU131078:MYX131078 NIQ131078:NIT131078 NSM131078:NSP131078 OCI131078:OCL131078 OME131078:OMH131078 OWA131078:OWD131078 PFW131078:PFZ131078 PPS131078:PPV131078 PZO131078:PZR131078 QJK131078:QJN131078 QTG131078:QTJ131078 RDC131078:RDF131078 RMY131078:RNB131078 RWU131078:RWX131078 SGQ131078:SGT131078 SQM131078:SQP131078 TAI131078:TAL131078 TKE131078:TKH131078 TUA131078:TUD131078 UDW131078:UDZ131078 UNS131078:UNV131078 UXO131078:UXR131078 VHK131078:VHN131078 VRG131078:VRJ131078 WBC131078:WBF131078 WKY131078:WLB131078 WUU131078:WUX131078 Q196614:T196614 II196614:IL196614 SE196614:SH196614 ACA196614:ACD196614 ALW196614:ALZ196614 AVS196614:AVV196614 BFO196614:BFR196614 BPK196614:BPN196614 BZG196614:BZJ196614 CJC196614:CJF196614 CSY196614:CTB196614 DCU196614:DCX196614 DMQ196614:DMT196614 DWM196614:DWP196614 EGI196614:EGL196614 EQE196614:EQH196614 FAA196614:FAD196614 FJW196614:FJZ196614 FTS196614:FTV196614 GDO196614:GDR196614 GNK196614:GNN196614 GXG196614:GXJ196614 HHC196614:HHF196614 HQY196614:HRB196614 IAU196614:IAX196614 IKQ196614:IKT196614 IUM196614:IUP196614 JEI196614:JEL196614 JOE196614:JOH196614 JYA196614:JYD196614 KHW196614:KHZ196614 KRS196614:KRV196614 LBO196614:LBR196614 LLK196614:LLN196614 LVG196614:LVJ196614 MFC196614:MFF196614 MOY196614:MPB196614 MYU196614:MYX196614 NIQ196614:NIT196614 NSM196614:NSP196614 OCI196614:OCL196614 OME196614:OMH196614 OWA196614:OWD196614 PFW196614:PFZ196614 PPS196614:PPV196614 PZO196614:PZR196614 QJK196614:QJN196614 QTG196614:QTJ196614 RDC196614:RDF196614 RMY196614:RNB196614 RWU196614:RWX196614 SGQ196614:SGT196614 SQM196614:SQP196614 TAI196614:TAL196614 TKE196614:TKH196614 TUA196614:TUD196614 UDW196614:UDZ196614 UNS196614:UNV196614 UXO196614:UXR196614 VHK196614:VHN196614 VRG196614:VRJ196614 WBC196614:WBF196614 WKY196614:WLB196614 WUU196614:WUX196614 Q262150:T262150 II262150:IL262150 SE262150:SH262150 ACA262150:ACD262150 ALW262150:ALZ262150 AVS262150:AVV262150 BFO262150:BFR262150 BPK262150:BPN262150 BZG262150:BZJ262150 CJC262150:CJF262150 CSY262150:CTB262150 DCU262150:DCX262150 DMQ262150:DMT262150 DWM262150:DWP262150 EGI262150:EGL262150 EQE262150:EQH262150 FAA262150:FAD262150 FJW262150:FJZ262150 FTS262150:FTV262150 GDO262150:GDR262150 GNK262150:GNN262150 GXG262150:GXJ262150 HHC262150:HHF262150 HQY262150:HRB262150 IAU262150:IAX262150 IKQ262150:IKT262150 IUM262150:IUP262150 JEI262150:JEL262150 JOE262150:JOH262150 JYA262150:JYD262150 KHW262150:KHZ262150 KRS262150:KRV262150 LBO262150:LBR262150 LLK262150:LLN262150 LVG262150:LVJ262150 MFC262150:MFF262150 MOY262150:MPB262150 MYU262150:MYX262150 NIQ262150:NIT262150 NSM262150:NSP262150 OCI262150:OCL262150 OME262150:OMH262150 OWA262150:OWD262150 PFW262150:PFZ262150 PPS262150:PPV262150 PZO262150:PZR262150 QJK262150:QJN262150 QTG262150:QTJ262150 RDC262150:RDF262150 RMY262150:RNB262150 RWU262150:RWX262150 SGQ262150:SGT262150 SQM262150:SQP262150 TAI262150:TAL262150 TKE262150:TKH262150 TUA262150:TUD262150 UDW262150:UDZ262150 UNS262150:UNV262150 UXO262150:UXR262150 VHK262150:VHN262150 VRG262150:VRJ262150 WBC262150:WBF262150 WKY262150:WLB262150 WUU262150:WUX262150 Q327686:T327686 II327686:IL327686 SE327686:SH327686 ACA327686:ACD327686 ALW327686:ALZ327686 AVS327686:AVV327686 BFO327686:BFR327686 BPK327686:BPN327686 BZG327686:BZJ327686 CJC327686:CJF327686 CSY327686:CTB327686 DCU327686:DCX327686 DMQ327686:DMT327686 DWM327686:DWP327686 EGI327686:EGL327686 EQE327686:EQH327686 FAA327686:FAD327686 FJW327686:FJZ327686 FTS327686:FTV327686 GDO327686:GDR327686 GNK327686:GNN327686 GXG327686:GXJ327686 HHC327686:HHF327686 HQY327686:HRB327686 IAU327686:IAX327686 IKQ327686:IKT327686 IUM327686:IUP327686 JEI327686:JEL327686 JOE327686:JOH327686 JYA327686:JYD327686 KHW327686:KHZ327686 KRS327686:KRV327686 LBO327686:LBR327686 LLK327686:LLN327686 LVG327686:LVJ327686 MFC327686:MFF327686 MOY327686:MPB327686 MYU327686:MYX327686 NIQ327686:NIT327686 NSM327686:NSP327686 OCI327686:OCL327686 OME327686:OMH327686 OWA327686:OWD327686 PFW327686:PFZ327686 PPS327686:PPV327686 PZO327686:PZR327686 QJK327686:QJN327686 QTG327686:QTJ327686 RDC327686:RDF327686 RMY327686:RNB327686 RWU327686:RWX327686 SGQ327686:SGT327686 SQM327686:SQP327686 TAI327686:TAL327686 TKE327686:TKH327686 TUA327686:TUD327686 UDW327686:UDZ327686 UNS327686:UNV327686 UXO327686:UXR327686 VHK327686:VHN327686 VRG327686:VRJ327686 WBC327686:WBF327686 WKY327686:WLB327686 WUU327686:WUX327686 Q393222:T393222 II393222:IL393222 SE393222:SH393222 ACA393222:ACD393222 ALW393222:ALZ393222 AVS393222:AVV393222 BFO393222:BFR393222 BPK393222:BPN393222 BZG393222:BZJ393222 CJC393222:CJF393222 CSY393222:CTB393222 DCU393222:DCX393222 DMQ393222:DMT393222 DWM393222:DWP393222 EGI393222:EGL393222 EQE393222:EQH393222 FAA393222:FAD393222 FJW393222:FJZ393222 FTS393222:FTV393222 GDO393222:GDR393222 GNK393222:GNN393222 GXG393222:GXJ393222 HHC393222:HHF393222 HQY393222:HRB393222 IAU393222:IAX393222 IKQ393222:IKT393222 IUM393222:IUP393222 JEI393222:JEL393222 JOE393222:JOH393222 JYA393222:JYD393222 KHW393222:KHZ393222 KRS393222:KRV393222 LBO393222:LBR393222 LLK393222:LLN393222 LVG393222:LVJ393222 MFC393222:MFF393222 MOY393222:MPB393222 MYU393222:MYX393222 NIQ393222:NIT393222 NSM393222:NSP393222 OCI393222:OCL393222 OME393222:OMH393222 OWA393222:OWD393222 PFW393222:PFZ393222 PPS393222:PPV393222 PZO393222:PZR393222 QJK393222:QJN393222 QTG393222:QTJ393222 RDC393222:RDF393222 RMY393222:RNB393222 RWU393222:RWX393222 SGQ393222:SGT393222 SQM393222:SQP393222 TAI393222:TAL393222 TKE393222:TKH393222 TUA393222:TUD393222 UDW393222:UDZ393222 UNS393222:UNV393222 UXO393222:UXR393222 VHK393222:VHN393222 VRG393222:VRJ393222 WBC393222:WBF393222 WKY393222:WLB393222 WUU393222:WUX393222 Q458758:T458758 II458758:IL458758 SE458758:SH458758 ACA458758:ACD458758 ALW458758:ALZ458758 AVS458758:AVV458758 BFO458758:BFR458758 BPK458758:BPN458758 BZG458758:BZJ458758 CJC458758:CJF458758 CSY458758:CTB458758 DCU458758:DCX458758 DMQ458758:DMT458758 DWM458758:DWP458758 EGI458758:EGL458758 EQE458758:EQH458758 FAA458758:FAD458758 FJW458758:FJZ458758 FTS458758:FTV458758 GDO458758:GDR458758 GNK458758:GNN458758 GXG458758:GXJ458758 HHC458758:HHF458758 HQY458758:HRB458758 IAU458758:IAX458758 IKQ458758:IKT458758 IUM458758:IUP458758 JEI458758:JEL458758 JOE458758:JOH458758 JYA458758:JYD458758 KHW458758:KHZ458758 KRS458758:KRV458758 LBO458758:LBR458758 LLK458758:LLN458758 LVG458758:LVJ458758 MFC458758:MFF458758 MOY458758:MPB458758 MYU458758:MYX458758 NIQ458758:NIT458758 NSM458758:NSP458758 OCI458758:OCL458758 OME458758:OMH458758 OWA458758:OWD458758 PFW458758:PFZ458758 PPS458758:PPV458758 PZO458758:PZR458758 QJK458758:QJN458758 QTG458758:QTJ458758 RDC458758:RDF458758 RMY458758:RNB458758 RWU458758:RWX458758 SGQ458758:SGT458758 SQM458758:SQP458758 TAI458758:TAL458758 TKE458758:TKH458758 TUA458758:TUD458758 UDW458758:UDZ458758 UNS458758:UNV458758 UXO458758:UXR458758 VHK458758:VHN458758 VRG458758:VRJ458758 WBC458758:WBF458758 WKY458758:WLB458758 WUU458758:WUX458758 Q524294:T524294 II524294:IL524294 SE524294:SH524294 ACA524294:ACD524294 ALW524294:ALZ524294 AVS524294:AVV524294 BFO524294:BFR524294 BPK524294:BPN524294 BZG524294:BZJ524294 CJC524294:CJF524294 CSY524294:CTB524294 DCU524294:DCX524294 DMQ524294:DMT524294 DWM524294:DWP524294 EGI524294:EGL524294 EQE524294:EQH524294 FAA524294:FAD524294 FJW524294:FJZ524294 FTS524294:FTV524294 GDO524294:GDR524294 GNK524294:GNN524294 GXG524294:GXJ524294 HHC524294:HHF524294 HQY524294:HRB524294 IAU524294:IAX524294 IKQ524294:IKT524294 IUM524294:IUP524294 JEI524294:JEL524294 JOE524294:JOH524294 JYA524294:JYD524294 KHW524294:KHZ524294 KRS524294:KRV524294 LBO524294:LBR524294 LLK524294:LLN524294 LVG524294:LVJ524294 MFC524294:MFF524294 MOY524294:MPB524294 MYU524294:MYX524294 NIQ524294:NIT524294 NSM524294:NSP524294 OCI524294:OCL524294 OME524294:OMH524294 OWA524294:OWD524294 PFW524294:PFZ524294 PPS524294:PPV524294 PZO524294:PZR524294 QJK524294:QJN524294 QTG524294:QTJ524294 RDC524294:RDF524294 RMY524294:RNB524294 RWU524294:RWX524294 SGQ524294:SGT524294 SQM524294:SQP524294 TAI524294:TAL524294 TKE524294:TKH524294 TUA524294:TUD524294 UDW524294:UDZ524294 UNS524294:UNV524294 UXO524294:UXR524294 VHK524294:VHN524294 VRG524294:VRJ524294 WBC524294:WBF524294 WKY524294:WLB524294 WUU524294:WUX524294 Q589830:T589830 II589830:IL589830 SE589830:SH589830 ACA589830:ACD589830 ALW589830:ALZ589830 AVS589830:AVV589830 BFO589830:BFR589830 BPK589830:BPN589830 BZG589830:BZJ589830 CJC589830:CJF589830 CSY589830:CTB589830 DCU589830:DCX589830 DMQ589830:DMT589830 DWM589830:DWP589830 EGI589830:EGL589830 EQE589830:EQH589830 FAA589830:FAD589830 FJW589830:FJZ589830 FTS589830:FTV589830 GDO589830:GDR589830 GNK589830:GNN589830 GXG589830:GXJ589830 HHC589830:HHF589830 HQY589830:HRB589830 IAU589830:IAX589830 IKQ589830:IKT589830 IUM589830:IUP589830 JEI589830:JEL589830 JOE589830:JOH589830 JYA589830:JYD589830 KHW589830:KHZ589830 KRS589830:KRV589830 LBO589830:LBR589830 LLK589830:LLN589830 LVG589830:LVJ589830 MFC589830:MFF589830 MOY589830:MPB589830 MYU589830:MYX589830 NIQ589830:NIT589830 NSM589830:NSP589830 OCI589830:OCL589830 OME589830:OMH589830 OWA589830:OWD589830 PFW589830:PFZ589830 PPS589830:PPV589830 PZO589830:PZR589830 QJK589830:QJN589830 QTG589830:QTJ589830 RDC589830:RDF589830 RMY589830:RNB589830 RWU589830:RWX589830 SGQ589830:SGT589830 SQM589830:SQP589830 TAI589830:TAL589830 TKE589830:TKH589830 TUA589830:TUD589830 UDW589830:UDZ589830 UNS589830:UNV589830 UXO589830:UXR589830 VHK589830:VHN589830 VRG589830:VRJ589830 WBC589830:WBF589830 WKY589830:WLB589830 WUU589830:WUX589830 Q655366:T655366 II655366:IL655366 SE655366:SH655366 ACA655366:ACD655366 ALW655366:ALZ655366 AVS655366:AVV655366 BFO655366:BFR655366 BPK655366:BPN655366 BZG655366:BZJ655366 CJC655366:CJF655366 CSY655366:CTB655366 DCU655366:DCX655366 DMQ655366:DMT655366 DWM655366:DWP655366 EGI655366:EGL655366 EQE655366:EQH655366 FAA655366:FAD655366 FJW655366:FJZ655366 FTS655366:FTV655366 GDO655366:GDR655366 GNK655366:GNN655366 GXG655366:GXJ655366 HHC655366:HHF655366 HQY655366:HRB655366 IAU655366:IAX655366 IKQ655366:IKT655366 IUM655366:IUP655366 JEI655366:JEL655366 JOE655366:JOH655366 JYA655366:JYD655366 KHW655366:KHZ655366 KRS655366:KRV655366 LBO655366:LBR655366 LLK655366:LLN655366 LVG655366:LVJ655366 MFC655366:MFF655366 MOY655366:MPB655366 MYU655366:MYX655366 NIQ655366:NIT655366 NSM655366:NSP655366 OCI655366:OCL655366 OME655366:OMH655366 OWA655366:OWD655366 PFW655366:PFZ655366 PPS655366:PPV655366 PZO655366:PZR655366 QJK655366:QJN655366 QTG655366:QTJ655366 RDC655366:RDF655366 RMY655366:RNB655366 RWU655366:RWX655366 SGQ655366:SGT655366 SQM655366:SQP655366 TAI655366:TAL655366 TKE655366:TKH655366 TUA655366:TUD655366 UDW655366:UDZ655366 UNS655366:UNV655366 UXO655366:UXR655366 VHK655366:VHN655366 VRG655366:VRJ655366 WBC655366:WBF655366 WKY655366:WLB655366 WUU655366:WUX655366 Q720902:T720902 II720902:IL720902 SE720902:SH720902 ACA720902:ACD720902 ALW720902:ALZ720902 AVS720902:AVV720902 BFO720902:BFR720902 BPK720902:BPN720902 BZG720902:BZJ720902 CJC720902:CJF720902 CSY720902:CTB720902 DCU720902:DCX720902 DMQ720902:DMT720902 DWM720902:DWP720902 EGI720902:EGL720902 EQE720902:EQH720902 FAA720902:FAD720902 FJW720902:FJZ720902 FTS720902:FTV720902 GDO720902:GDR720902 GNK720902:GNN720902 GXG720902:GXJ720902 HHC720902:HHF720902 HQY720902:HRB720902 IAU720902:IAX720902 IKQ720902:IKT720902 IUM720902:IUP720902 JEI720902:JEL720902 JOE720902:JOH720902 JYA720902:JYD720902 KHW720902:KHZ720902 KRS720902:KRV720902 LBO720902:LBR720902 LLK720902:LLN720902 LVG720902:LVJ720902 MFC720902:MFF720902 MOY720902:MPB720902 MYU720902:MYX720902 NIQ720902:NIT720902 NSM720902:NSP720902 OCI720902:OCL720902 OME720902:OMH720902 OWA720902:OWD720902 PFW720902:PFZ720902 PPS720902:PPV720902 PZO720902:PZR720902 QJK720902:QJN720902 QTG720902:QTJ720902 RDC720902:RDF720902 RMY720902:RNB720902 RWU720902:RWX720902 SGQ720902:SGT720902 SQM720902:SQP720902 TAI720902:TAL720902 TKE720902:TKH720902 TUA720902:TUD720902 UDW720902:UDZ720902 UNS720902:UNV720902 UXO720902:UXR720902 VHK720902:VHN720902 VRG720902:VRJ720902 WBC720902:WBF720902 WKY720902:WLB720902 WUU720902:WUX720902 Q786438:T786438 II786438:IL786438 SE786438:SH786438 ACA786438:ACD786438 ALW786438:ALZ786438 AVS786438:AVV786438 BFO786438:BFR786438 BPK786438:BPN786438 BZG786438:BZJ786438 CJC786438:CJF786438 CSY786438:CTB786438 DCU786438:DCX786438 DMQ786438:DMT786438 DWM786438:DWP786438 EGI786438:EGL786438 EQE786438:EQH786438 FAA786438:FAD786438 FJW786438:FJZ786438 FTS786438:FTV786438 GDO786438:GDR786438 GNK786438:GNN786438 GXG786438:GXJ786438 HHC786438:HHF786438 HQY786438:HRB786438 IAU786438:IAX786438 IKQ786438:IKT786438 IUM786438:IUP786438 JEI786438:JEL786438 JOE786438:JOH786438 JYA786438:JYD786438 KHW786438:KHZ786438 KRS786438:KRV786438 LBO786438:LBR786438 LLK786438:LLN786438 LVG786438:LVJ786438 MFC786438:MFF786438 MOY786438:MPB786438 MYU786438:MYX786438 NIQ786438:NIT786438 NSM786438:NSP786438 OCI786438:OCL786438 OME786438:OMH786438 OWA786438:OWD786438 PFW786438:PFZ786438 PPS786438:PPV786438 PZO786438:PZR786438 QJK786438:QJN786438 QTG786438:QTJ786438 RDC786438:RDF786438 RMY786438:RNB786438 RWU786438:RWX786438 SGQ786438:SGT786438 SQM786438:SQP786438 TAI786438:TAL786438 TKE786438:TKH786438 TUA786438:TUD786438 UDW786438:UDZ786438 UNS786438:UNV786438 UXO786438:UXR786438 VHK786438:VHN786438 VRG786438:VRJ786438 WBC786438:WBF786438 WKY786438:WLB786438 WUU786438:WUX786438 Q851974:T851974 II851974:IL851974 SE851974:SH851974 ACA851974:ACD851974 ALW851974:ALZ851974 AVS851974:AVV851974 BFO851974:BFR851974 BPK851974:BPN851974 BZG851974:BZJ851974 CJC851974:CJF851974 CSY851974:CTB851974 DCU851974:DCX851974 DMQ851974:DMT851974 DWM851974:DWP851974 EGI851974:EGL851974 EQE851974:EQH851974 FAA851974:FAD851974 FJW851974:FJZ851974 FTS851974:FTV851974 GDO851974:GDR851974 GNK851974:GNN851974 GXG851974:GXJ851974 HHC851974:HHF851974 HQY851974:HRB851974 IAU851974:IAX851974 IKQ851974:IKT851974 IUM851974:IUP851974 JEI851974:JEL851974 JOE851974:JOH851974 JYA851974:JYD851974 KHW851974:KHZ851974 KRS851974:KRV851974 LBO851974:LBR851974 LLK851974:LLN851974 LVG851974:LVJ851974 MFC851974:MFF851974 MOY851974:MPB851974 MYU851974:MYX851974 NIQ851974:NIT851974 NSM851974:NSP851974 OCI851974:OCL851974 OME851974:OMH851974 OWA851974:OWD851974 PFW851974:PFZ851974 PPS851974:PPV851974 PZO851974:PZR851974 QJK851974:QJN851974 QTG851974:QTJ851974 RDC851974:RDF851974 RMY851974:RNB851974 RWU851974:RWX851974 SGQ851974:SGT851974 SQM851974:SQP851974 TAI851974:TAL851974 TKE851974:TKH851974 TUA851974:TUD851974 UDW851974:UDZ851974 UNS851974:UNV851974 UXO851974:UXR851974 VHK851974:VHN851974 VRG851974:VRJ851974 WBC851974:WBF851974 WKY851974:WLB851974 WUU851974:WUX851974 Q917510:T917510 II917510:IL917510 SE917510:SH917510 ACA917510:ACD917510 ALW917510:ALZ917510 AVS917510:AVV917510 BFO917510:BFR917510 BPK917510:BPN917510 BZG917510:BZJ917510 CJC917510:CJF917510 CSY917510:CTB917510 DCU917510:DCX917510 DMQ917510:DMT917510 DWM917510:DWP917510 EGI917510:EGL917510 EQE917510:EQH917510 FAA917510:FAD917510 FJW917510:FJZ917510 FTS917510:FTV917510 GDO917510:GDR917510 GNK917510:GNN917510 GXG917510:GXJ917510 HHC917510:HHF917510 HQY917510:HRB917510 IAU917510:IAX917510 IKQ917510:IKT917510 IUM917510:IUP917510 JEI917510:JEL917510 JOE917510:JOH917510 JYA917510:JYD917510 KHW917510:KHZ917510 KRS917510:KRV917510 LBO917510:LBR917510 LLK917510:LLN917510 LVG917510:LVJ917510 MFC917510:MFF917510 MOY917510:MPB917510 MYU917510:MYX917510 NIQ917510:NIT917510 NSM917510:NSP917510 OCI917510:OCL917510 OME917510:OMH917510 OWA917510:OWD917510 PFW917510:PFZ917510 PPS917510:PPV917510 PZO917510:PZR917510 QJK917510:QJN917510 QTG917510:QTJ917510 RDC917510:RDF917510 RMY917510:RNB917510 RWU917510:RWX917510 SGQ917510:SGT917510 SQM917510:SQP917510 TAI917510:TAL917510 TKE917510:TKH917510 TUA917510:TUD917510 UDW917510:UDZ917510 UNS917510:UNV917510 UXO917510:UXR917510 VHK917510:VHN917510 VRG917510:VRJ917510 WBC917510:WBF917510 WKY917510:WLB917510 WUU917510:WUX917510 Q983046:T983046 II983046:IL983046 SE983046:SH983046 ACA983046:ACD983046 ALW983046:ALZ983046 AVS983046:AVV983046 BFO983046:BFR983046 BPK983046:BPN983046 BZG983046:BZJ983046 CJC983046:CJF983046 CSY983046:CTB983046 DCU983046:DCX983046 DMQ983046:DMT983046 DWM983046:DWP983046 EGI983046:EGL983046 EQE983046:EQH983046 FAA983046:FAD983046 FJW983046:FJZ983046 FTS983046:FTV983046 GDO983046:GDR983046 GNK983046:GNN983046 GXG983046:GXJ983046 HHC983046:HHF983046 HQY983046:HRB983046 IAU983046:IAX983046 IKQ983046:IKT983046 IUM983046:IUP983046 JEI983046:JEL983046 JOE983046:JOH983046 JYA983046:JYD983046 KHW983046:KHZ983046 KRS983046:KRV983046 LBO983046:LBR983046 LLK983046:LLN983046 LVG983046:LVJ983046 MFC983046:MFF983046 MOY983046:MPB983046 MYU983046:MYX983046 NIQ983046:NIT983046 NSM983046:NSP983046 OCI983046:OCL983046 OME983046:OMH983046 OWA983046:OWD983046 PFW983046:PFZ983046 PPS983046:PPV983046 PZO983046:PZR983046 QJK983046:QJN983046 QTG983046:QTJ983046 RDC983046:RDF983046 RMY983046:RNB983046 RWU983046:RWX983046 SGQ983046:SGT983046 SQM983046:SQP983046 TAI983046:TAL983046 TKE983046:TKH983046 TUA983046:TUD983046 UDW983046:UDZ983046 UNS983046:UNV983046 UXO983046:UXR983046 VHK983046:VHN983046 VRG983046:VRJ983046 WBC983046:WBF983046 WKY983046:WLB983046 WUU983046:WUX983046 ID983045:IG983045 RZ983045:SC983045 ABV983045:ABY983045 ALR983045:ALU983045 AVN983045:AVQ983045 BFJ983045:BFM983045 BPF983045:BPI983045 BZB983045:BZE983045 CIX983045:CJA983045 CST983045:CSW983045 DCP983045:DCS983045 DML983045:DMO983045 DWH983045:DWK983045 EGD983045:EGG983045 EPZ983045:EQC983045 EZV983045:EZY983045 FJR983045:FJU983045 FTN983045:FTQ983045 GDJ983045:GDM983045 GNF983045:GNI983045 GXB983045:GXE983045 HGX983045:HHA983045 HQT983045:HQW983045 IAP983045:IAS983045 IKL983045:IKO983045 IUH983045:IUK983045 JED983045:JEG983045 JNZ983045:JOC983045 JXV983045:JXY983045 KHR983045:KHU983045 KRN983045:KRQ983045 LBJ983045:LBM983045 LLF983045:LLI983045 LVB983045:LVE983045 MEX983045:MFA983045 MOT983045:MOW983045 MYP983045:MYS983045 NIL983045:NIO983045 NSH983045:NSK983045 OCD983045:OCG983045 OLZ983045:OMC983045 OVV983045:OVY983045 PFR983045:PFU983045 PPN983045:PPQ983045 PZJ983045:PZM983045 QJF983045:QJI983045 QTB983045:QTE983045 RCX983045:RDA983045 RMT983045:RMW983045 RWP983045:RWS983045 SGL983045:SGO983045 SQH983045:SQK983045 TAD983045:TAG983045 TJZ983045:TKC983045 TTV983045:TTY983045 UDR983045:UDU983045 UNN983045:UNQ983045 UXJ983045:UXM983045 VHF983045:VHI983045 VRB983045:VRE983045 WAX983045:WBA983045 WKT983045:WKW983045 WUP983045:WUS983045 ID65541:IG65541 RZ65541:SC65541 ABV65541:ABY65541 ALR65541:ALU65541 AVN65541:AVQ65541 BFJ65541:BFM65541 BPF65541:BPI65541 BZB65541:BZE65541 CIX65541:CJA65541 CST65541:CSW65541 DCP65541:DCS65541 DML65541:DMO65541 DWH65541:DWK65541 EGD65541:EGG65541 EPZ65541:EQC65541 EZV65541:EZY65541 FJR65541:FJU65541 FTN65541:FTQ65541 GDJ65541:GDM65541 GNF65541:GNI65541 GXB65541:GXE65541 HGX65541:HHA65541 HQT65541:HQW65541 IAP65541:IAS65541 IKL65541:IKO65541 IUH65541:IUK65541 JED65541:JEG65541 JNZ65541:JOC65541 JXV65541:JXY65541 KHR65541:KHU65541 KRN65541:KRQ65541 LBJ65541:LBM65541 LLF65541:LLI65541 LVB65541:LVE65541 MEX65541:MFA65541 MOT65541:MOW65541 MYP65541:MYS65541 NIL65541:NIO65541 NSH65541:NSK65541 OCD65541:OCG65541 OLZ65541:OMC65541 OVV65541:OVY65541 PFR65541:PFU65541 PPN65541:PPQ65541 PZJ65541:PZM65541 QJF65541:QJI65541 QTB65541:QTE65541 RCX65541:RDA65541 RMT65541:RMW65541 RWP65541:RWS65541 SGL65541:SGO65541 SQH65541:SQK65541 TAD65541:TAG65541 TJZ65541:TKC65541 TTV65541:TTY65541 UDR65541:UDU65541 UNN65541:UNQ65541 UXJ65541:UXM65541 VHF65541:VHI65541 VRB65541:VRE65541 WAX65541:WBA65541 WKT65541:WKW65541 WUP65541:WUS65541 ID131077:IG131077 RZ131077:SC131077 ABV131077:ABY131077 ALR131077:ALU131077 AVN131077:AVQ131077 BFJ131077:BFM131077 BPF131077:BPI131077 BZB131077:BZE131077 CIX131077:CJA131077 CST131077:CSW131077 DCP131077:DCS131077 DML131077:DMO131077 DWH131077:DWK131077 EGD131077:EGG131077 EPZ131077:EQC131077 EZV131077:EZY131077 FJR131077:FJU131077 FTN131077:FTQ131077 GDJ131077:GDM131077 GNF131077:GNI131077 GXB131077:GXE131077 HGX131077:HHA131077 HQT131077:HQW131077 IAP131077:IAS131077 IKL131077:IKO131077 IUH131077:IUK131077 JED131077:JEG131077 JNZ131077:JOC131077 JXV131077:JXY131077 KHR131077:KHU131077 KRN131077:KRQ131077 LBJ131077:LBM131077 LLF131077:LLI131077 LVB131077:LVE131077 MEX131077:MFA131077 MOT131077:MOW131077 MYP131077:MYS131077 NIL131077:NIO131077 NSH131077:NSK131077 OCD131077:OCG131077 OLZ131077:OMC131077 OVV131077:OVY131077 PFR131077:PFU131077 PPN131077:PPQ131077 PZJ131077:PZM131077 QJF131077:QJI131077 QTB131077:QTE131077 RCX131077:RDA131077 RMT131077:RMW131077 RWP131077:RWS131077 SGL131077:SGO131077 SQH131077:SQK131077 TAD131077:TAG131077 TJZ131077:TKC131077 TTV131077:TTY131077 UDR131077:UDU131077 UNN131077:UNQ131077 UXJ131077:UXM131077 VHF131077:VHI131077 VRB131077:VRE131077 WAX131077:WBA131077 WKT131077:WKW131077 WUP131077:WUS131077 ID196613:IG196613 RZ196613:SC196613 ABV196613:ABY196613 ALR196613:ALU196613 AVN196613:AVQ196613 BFJ196613:BFM196613 BPF196613:BPI196613 BZB196613:BZE196613 CIX196613:CJA196613 CST196613:CSW196613 DCP196613:DCS196613 DML196613:DMO196613 DWH196613:DWK196613 EGD196613:EGG196613 EPZ196613:EQC196613 EZV196613:EZY196613 FJR196613:FJU196613 FTN196613:FTQ196613 GDJ196613:GDM196613 GNF196613:GNI196613 GXB196613:GXE196613 HGX196613:HHA196613 HQT196613:HQW196613 IAP196613:IAS196613 IKL196613:IKO196613 IUH196613:IUK196613 JED196613:JEG196613 JNZ196613:JOC196613 JXV196613:JXY196613 KHR196613:KHU196613 KRN196613:KRQ196613 LBJ196613:LBM196613 LLF196613:LLI196613 LVB196613:LVE196613 MEX196613:MFA196613 MOT196613:MOW196613 MYP196613:MYS196613 NIL196613:NIO196613 NSH196613:NSK196613 OCD196613:OCG196613 OLZ196613:OMC196613 OVV196613:OVY196613 PFR196613:PFU196613 PPN196613:PPQ196613 PZJ196613:PZM196613 QJF196613:QJI196613 QTB196613:QTE196613 RCX196613:RDA196613 RMT196613:RMW196613 RWP196613:RWS196613 SGL196613:SGO196613 SQH196613:SQK196613 TAD196613:TAG196613 TJZ196613:TKC196613 TTV196613:TTY196613 UDR196613:UDU196613 UNN196613:UNQ196613 UXJ196613:UXM196613 VHF196613:VHI196613 VRB196613:VRE196613 WAX196613:WBA196613 WKT196613:WKW196613 WUP196613:WUS196613 ID262149:IG262149 RZ262149:SC262149 ABV262149:ABY262149 ALR262149:ALU262149 AVN262149:AVQ262149 BFJ262149:BFM262149 BPF262149:BPI262149 BZB262149:BZE262149 CIX262149:CJA262149 CST262149:CSW262149 DCP262149:DCS262149 DML262149:DMO262149 DWH262149:DWK262149 EGD262149:EGG262149 EPZ262149:EQC262149 EZV262149:EZY262149 FJR262149:FJU262149 FTN262149:FTQ262149 GDJ262149:GDM262149 GNF262149:GNI262149 GXB262149:GXE262149 HGX262149:HHA262149 HQT262149:HQW262149 IAP262149:IAS262149 IKL262149:IKO262149 IUH262149:IUK262149 JED262149:JEG262149 JNZ262149:JOC262149 JXV262149:JXY262149 KHR262149:KHU262149 KRN262149:KRQ262149 LBJ262149:LBM262149 LLF262149:LLI262149 LVB262149:LVE262149 MEX262149:MFA262149 MOT262149:MOW262149 MYP262149:MYS262149 NIL262149:NIO262149 NSH262149:NSK262149 OCD262149:OCG262149 OLZ262149:OMC262149 OVV262149:OVY262149 PFR262149:PFU262149 PPN262149:PPQ262149 PZJ262149:PZM262149 QJF262149:QJI262149 QTB262149:QTE262149 RCX262149:RDA262149 RMT262149:RMW262149 RWP262149:RWS262149 SGL262149:SGO262149 SQH262149:SQK262149 TAD262149:TAG262149 TJZ262149:TKC262149 TTV262149:TTY262149 UDR262149:UDU262149 UNN262149:UNQ262149 UXJ262149:UXM262149 VHF262149:VHI262149 VRB262149:VRE262149 WAX262149:WBA262149 WKT262149:WKW262149 WUP262149:WUS262149 ID327685:IG327685 RZ327685:SC327685 ABV327685:ABY327685 ALR327685:ALU327685 AVN327685:AVQ327685 BFJ327685:BFM327685 BPF327685:BPI327685 BZB327685:BZE327685 CIX327685:CJA327685 CST327685:CSW327685 DCP327685:DCS327685 DML327685:DMO327685 DWH327685:DWK327685 EGD327685:EGG327685 EPZ327685:EQC327685 EZV327685:EZY327685 FJR327685:FJU327685 FTN327685:FTQ327685 GDJ327685:GDM327685 GNF327685:GNI327685 GXB327685:GXE327685 HGX327685:HHA327685 HQT327685:HQW327685 IAP327685:IAS327685 IKL327685:IKO327685 IUH327685:IUK327685 JED327685:JEG327685 JNZ327685:JOC327685 JXV327685:JXY327685 KHR327685:KHU327685 KRN327685:KRQ327685 LBJ327685:LBM327685 LLF327685:LLI327685 LVB327685:LVE327685 MEX327685:MFA327685 MOT327685:MOW327685 MYP327685:MYS327685 NIL327685:NIO327685 NSH327685:NSK327685 OCD327685:OCG327685 OLZ327685:OMC327685 OVV327685:OVY327685 PFR327685:PFU327685 PPN327685:PPQ327685 PZJ327685:PZM327685 QJF327685:QJI327685 QTB327685:QTE327685 RCX327685:RDA327685 RMT327685:RMW327685 RWP327685:RWS327685 SGL327685:SGO327685 SQH327685:SQK327685 TAD327685:TAG327685 TJZ327685:TKC327685 TTV327685:TTY327685 UDR327685:UDU327685 UNN327685:UNQ327685 UXJ327685:UXM327685 VHF327685:VHI327685 VRB327685:VRE327685 WAX327685:WBA327685 WKT327685:WKW327685 WUP327685:WUS327685 ID393221:IG393221 RZ393221:SC393221 ABV393221:ABY393221 ALR393221:ALU393221 AVN393221:AVQ393221 BFJ393221:BFM393221 BPF393221:BPI393221 BZB393221:BZE393221 CIX393221:CJA393221 CST393221:CSW393221 DCP393221:DCS393221 DML393221:DMO393221 DWH393221:DWK393221 EGD393221:EGG393221 EPZ393221:EQC393221 EZV393221:EZY393221 FJR393221:FJU393221 FTN393221:FTQ393221 GDJ393221:GDM393221 GNF393221:GNI393221 GXB393221:GXE393221 HGX393221:HHA393221 HQT393221:HQW393221 IAP393221:IAS393221 IKL393221:IKO393221 IUH393221:IUK393221 JED393221:JEG393221 JNZ393221:JOC393221 JXV393221:JXY393221 KHR393221:KHU393221 KRN393221:KRQ393221 LBJ393221:LBM393221 LLF393221:LLI393221 LVB393221:LVE393221 MEX393221:MFA393221 MOT393221:MOW393221 MYP393221:MYS393221 NIL393221:NIO393221 NSH393221:NSK393221 OCD393221:OCG393221 OLZ393221:OMC393221 OVV393221:OVY393221 PFR393221:PFU393221 PPN393221:PPQ393221 PZJ393221:PZM393221 QJF393221:QJI393221 QTB393221:QTE393221 RCX393221:RDA393221 RMT393221:RMW393221 RWP393221:RWS393221 SGL393221:SGO393221 SQH393221:SQK393221 TAD393221:TAG393221 TJZ393221:TKC393221 TTV393221:TTY393221 UDR393221:UDU393221 UNN393221:UNQ393221 UXJ393221:UXM393221 VHF393221:VHI393221 VRB393221:VRE393221 WAX393221:WBA393221 WKT393221:WKW393221 WUP393221:WUS393221 ID458757:IG458757 RZ458757:SC458757 ABV458757:ABY458757 ALR458757:ALU458757 AVN458757:AVQ458757 BFJ458757:BFM458757 BPF458757:BPI458757 BZB458757:BZE458757 CIX458757:CJA458757 CST458757:CSW458757 DCP458757:DCS458757 DML458757:DMO458757 DWH458757:DWK458757 EGD458757:EGG458757 EPZ458757:EQC458757 EZV458757:EZY458757 FJR458757:FJU458757 FTN458757:FTQ458757 GDJ458757:GDM458757 GNF458757:GNI458757 GXB458757:GXE458757 HGX458757:HHA458757 HQT458757:HQW458757 IAP458757:IAS458757 IKL458757:IKO458757 IUH458757:IUK458757 JED458757:JEG458757 JNZ458757:JOC458757 JXV458757:JXY458757 KHR458757:KHU458757 KRN458757:KRQ458757 LBJ458757:LBM458757 LLF458757:LLI458757 LVB458757:LVE458757 MEX458757:MFA458757 MOT458757:MOW458757 MYP458757:MYS458757 NIL458757:NIO458757 NSH458757:NSK458757 OCD458757:OCG458757 OLZ458757:OMC458757 OVV458757:OVY458757 PFR458757:PFU458757 PPN458757:PPQ458757 PZJ458757:PZM458757 QJF458757:QJI458757 QTB458757:QTE458757 RCX458757:RDA458757 RMT458757:RMW458757 RWP458757:RWS458757 SGL458757:SGO458757 SQH458757:SQK458757 TAD458757:TAG458757 TJZ458757:TKC458757 TTV458757:TTY458757 UDR458757:UDU458757 UNN458757:UNQ458757 UXJ458757:UXM458757 VHF458757:VHI458757 VRB458757:VRE458757 WAX458757:WBA458757 WKT458757:WKW458757 WUP458757:WUS458757 ID524293:IG524293 RZ524293:SC524293 ABV524293:ABY524293 ALR524293:ALU524293 AVN524293:AVQ524293 BFJ524293:BFM524293 BPF524293:BPI524293 BZB524293:BZE524293 CIX524293:CJA524293 CST524293:CSW524293 DCP524293:DCS524293 DML524293:DMO524293 DWH524293:DWK524293 EGD524293:EGG524293 EPZ524293:EQC524293 EZV524293:EZY524293 FJR524293:FJU524293 FTN524293:FTQ524293 GDJ524293:GDM524293 GNF524293:GNI524293 GXB524293:GXE524293 HGX524293:HHA524293 HQT524293:HQW524293 IAP524293:IAS524293 IKL524293:IKO524293 IUH524293:IUK524293 JED524293:JEG524293 JNZ524293:JOC524293 JXV524293:JXY524293 KHR524293:KHU524293 KRN524293:KRQ524293 LBJ524293:LBM524293 LLF524293:LLI524293 LVB524293:LVE524293 MEX524293:MFA524293 MOT524293:MOW524293 MYP524293:MYS524293 NIL524293:NIO524293 NSH524293:NSK524293 OCD524293:OCG524293 OLZ524293:OMC524293 OVV524293:OVY524293 PFR524293:PFU524293 PPN524293:PPQ524293 PZJ524293:PZM524293 QJF524293:QJI524293 QTB524293:QTE524293 RCX524293:RDA524293 RMT524293:RMW524293 RWP524293:RWS524293 SGL524293:SGO524293 SQH524293:SQK524293 TAD524293:TAG524293 TJZ524293:TKC524293 TTV524293:TTY524293 UDR524293:UDU524293 UNN524293:UNQ524293 UXJ524293:UXM524293 VHF524293:VHI524293 VRB524293:VRE524293 WAX524293:WBA524293 WKT524293:WKW524293 WUP524293:WUS524293 ID589829:IG589829 RZ589829:SC589829 ABV589829:ABY589829 ALR589829:ALU589829 AVN589829:AVQ589829 BFJ589829:BFM589829 BPF589829:BPI589829 BZB589829:BZE589829 CIX589829:CJA589829 CST589829:CSW589829 DCP589829:DCS589829 DML589829:DMO589829 DWH589829:DWK589829 EGD589829:EGG589829 EPZ589829:EQC589829 EZV589829:EZY589829 FJR589829:FJU589829 FTN589829:FTQ589829 GDJ589829:GDM589829 GNF589829:GNI589829 GXB589829:GXE589829 HGX589829:HHA589829 HQT589829:HQW589829 IAP589829:IAS589829 IKL589829:IKO589829 IUH589829:IUK589829 JED589829:JEG589829 JNZ589829:JOC589829 JXV589829:JXY589829 KHR589829:KHU589829 KRN589829:KRQ589829 LBJ589829:LBM589829 LLF589829:LLI589829 LVB589829:LVE589829 MEX589829:MFA589829 MOT589829:MOW589829 MYP589829:MYS589829 NIL589829:NIO589829 NSH589829:NSK589829 OCD589829:OCG589829 OLZ589829:OMC589829 OVV589829:OVY589829 PFR589829:PFU589829 PPN589829:PPQ589829 PZJ589829:PZM589829 QJF589829:QJI589829 QTB589829:QTE589829 RCX589829:RDA589829 RMT589829:RMW589829 RWP589829:RWS589829 SGL589829:SGO589829 SQH589829:SQK589829 TAD589829:TAG589829 TJZ589829:TKC589829 TTV589829:TTY589829 UDR589829:UDU589829 UNN589829:UNQ589829 UXJ589829:UXM589829 VHF589829:VHI589829 VRB589829:VRE589829 WAX589829:WBA589829 WKT589829:WKW589829 WUP589829:WUS589829 ID655365:IG655365 RZ655365:SC655365 ABV655365:ABY655365 ALR655365:ALU655365 AVN655365:AVQ655365 BFJ655365:BFM655365 BPF655365:BPI655365 BZB655365:BZE655365 CIX655365:CJA655365 CST655365:CSW655365 DCP655365:DCS655365 DML655365:DMO655365 DWH655365:DWK655365 EGD655365:EGG655365 EPZ655365:EQC655365 EZV655365:EZY655365 FJR655365:FJU655365 FTN655365:FTQ655365 GDJ655365:GDM655365 GNF655365:GNI655365 GXB655365:GXE655365 HGX655365:HHA655365 HQT655365:HQW655365 IAP655365:IAS655365 IKL655365:IKO655365 IUH655365:IUK655365 JED655365:JEG655365 JNZ655365:JOC655365 JXV655365:JXY655365 KHR655365:KHU655365 KRN655365:KRQ655365 LBJ655365:LBM655365 LLF655365:LLI655365 LVB655365:LVE655365 MEX655365:MFA655365 MOT655365:MOW655365 MYP655365:MYS655365 NIL655365:NIO655365 NSH655365:NSK655365 OCD655365:OCG655365 OLZ655365:OMC655365 OVV655365:OVY655365 PFR655365:PFU655365 PPN655365:PPQ655365 PZJ655365:PZM655365 QJF655365:QJI655365 QTB655365:QTE655365 RCX655365:RDA655365 RMT655365:RMW655365 RWP655365:RWS655365 SGL655365:SGO655365 SQH655365:SQK655365 TAD655365:TAG655365 TJZ655365:TKC655365 TTV655365:TTY655365 UDR655365:UDU655365 UNN655365:UNQ655365 UXJ655365:UXM655365 VHF655365:VHI655365 VRB655365:VRE655365 WAX655365:WBA655365 WKT655365:WKW655365 WUP655365:WUS655365 ID720901:IG720901 RZ720901:SC720901 ABV720901:ABY720901 ALR720901:ALU720901 AVN720901:AVQ720901 BFJ720901:BFM720901 BPF720901:BPI720901 BZB720901:BZE720901 CIX720901:CJA720901 CST720901:CSW720901 DCP720901:DCS720901 DML720901:DMO720901 DWH720901:DWK720901 EGD720901:EGG720901 EPZ720901:EQC720901 EZV720901:EZY720901 FJR720901:FJU720901 FTN720901:FTQ720901 GDJ720901:GDM720901 GNF720901:GNI720901 GXB720901:GXE720901 HGX720901:HHA720901 HQT720901:HQW720901 IAP720901:IAS720901 IKL720901:IKO720901 IUH720901:IUK720901 JED720901:JEG720901 JNZ720901:JOC720901 JXV720901:JXY720901 KHR720901:KHU720901 KRN720901:KRQ720901 LBJ720901:LBM720901 LLF720901:LLI720901 LVB720901:LVE720901 MEX720901:MFA720901 MOT720901:MOW720901 MYP720901:MYS720901 NIL720901:NIO720901 NSH720901:NSK720901 OCD720901:OCG720901 OLZ720901:OMC720901 OVV720901:OVY720901 PFR720901:PFU720901 PPN720901:PPQ720901 PZJ720901:PZM720901 QJF720901:QJI720901 QTB720901:QTE720901 RCX720901:RDA720901 RMT720901:RMW720901 RWP720901:RWS720901 SGL720901:SGO720901 SQH720901:SQK720901 TAD720901:TAG720901 TJZ720901:TKC720901 TTV720901:TTY720901 UDR720901:UDU720901 UNN720901:UNQ720901 UXJ720901:UXM720901 VHF720901:VHI720901 VRB720901:VRE720901 WAX720901:WBA720901 WKT720901:WKW720901 WUP720901:WUS720901 ID786437:IG786437 RZ786437:SC786437 ABV786437:ABY786437 ALR786437:ALU786437 AVN786437:AVQ786437 BFJ786437:BFM786437 BPF786437:BPI786437 BZB786437:BZE786437 CIX786437:CJA786437 CST786437:CSW786437 DCP786437:DCS786437 DML786437:DMO786437 DWH786437:DWK786437 EGD786437:EGG786437 EPZ786437:EQC786437 EZV786437:EZY786437 FJR786437:FJU786437 FTN786437:FTQ786437 GDJ786437:GDM786437 GNF786437:GNI786437 GXB786437:GXE786437 HGX786437:HHA786437 HQT786437:HQW786437 IAP786437:IAS786437 IKL786437:IKO786437 IUH786437:IUK786437 JED786437:JEG786437 JNZ786437:JOC786437 JXV786437:JXY786437 KHR786437:KHU786437 KRN786437:KRQ786437 LBJ786437:LBM786437 LLF786437:LLI786437 LVB786437:LVE786437 MEX786437:MFA786437 MOT786437:MOW786437 MYP786437:MYS786437 NIL786437:NIO786437 NSH786437:NSK786437 OCD786437:OCG786437 OLZ786437:OMC786437 OVV786437:OVY786437 PFR786437:PFU786437 PPN786437:PPQ786437 PZJ786437:PZM786437 QJF786437:QJI786437 QTB786437:QTE786437 RCX786437:RDA786437 RMT786437:RMW786437 RWP786437:RWS786437 SGL786437:SGO786437 SQH786437:SQK786437 TAD786437:TAG786437 TJZ786437:TKC786437 TTV786437:TTY786437 UDR786437:UDU786437 UNN786437:UNQ786437 UXJ786437:UXM786437 VHF786437:VHI786437 VRB786437:VRE786437 WAX786437:WBA786437 WKT786437:WKW786437 WUP786437:WUS786437 ID851973:IG851973 RZ851973:SC851973 ABV851973:ABY851973 ALR851973:ALU851973 AVN851973:AVQ851973 BFJ851973:BFM851973 BPF851973:BPI851973 BZB851973:BZE851973 CIX851973:CJA851973 CST851973:CSW851973 DCP851973:DCS851973 DML851973:DMO851973 DWH851973:DWK851973 EGD851973:EGG851973 EPZ851973:EQC851973 EZV851973:EZY851973 FJR851973:FJU851973 FTN851973:FTQ851973 GDJ851973:GDM851973 GNF851973:GNI851973 GXB851973:GXE851973 HGX851973:HHA851973 HQT851973:HQW851973 IAP851973:IAS851973 IKL851973:IKO851973 IUH851973:IUK851973 JED851973:JEG851973 JNZ851973:JOC851973 JXV851973:JXY851973 KHR851973:KHU851973 KRN851973:KRQ851973 LBJ851973:LBM851973 LLF851973:LLI851973 LVB851973:LVE851973 MEX851973:MFA851973 MOT851973:MOW851973 MYP851973:MYS851973 NIL851973:NIO851973 NSH851973:NSK851973 OCD851973:OCG851973 OLZ851973:OMC851973 OVV851973:OVY851973 PFR851973:PFU851973 PPN851973:PPQ851973 PZJ851973:PZM851973 QJF851973:QJI851973 QTB851973:QTE851973 RCX851973:RDA851973 RMT851973:RMW851973 RWP851973:RWS851973 SGL851973:SGO851973 SQH851973:SQK851973 TAD851973:TAG851973 TJZ851973:TKC851973 TTV851973:TTY851973 UDR851973:UDU851973 UNN851973:UNQ851973 UXJ851973:UXM851973 VHF851973:VHI851973 VRB851973:VRE851973 WAX851973:WBA851973 WKT851973:WKW851973 WUP851973:WUS851973 ID917509:IG917509 RZ917509:SC917509 ABV917509:ABY917509 ALR917509:ALU917509 AVN917509:AVQ917509 BFJ917509:BFM917509 BPF917509:BPI917509 BZB917509:BZE917509 CIX917509:CJA917509 CST917509:CSW917509 DCP917509:DCS917509 DML917509:DMO917509 DWH917509:DWK917509 EGD917509:EGG917509 EPZ917509:EQC917509 EZV917509:EZY917509 FJR917509:FJU917509 FTN917509:FTQ917509 GDJ917509:GDM917509 GNF917509:GNI917509 GXB917509:GXE917509 HGX917509:HHA917509 HQT917509:HQW917509 IAP917509:IAS917509 IKL917509:IKO917509 IUH917509:IUK917509 JED917509:JEG917509 JNZ917509:JOC917509 JXV917509:JXY917509 KHR917509:KHU917509 KRN917509:KRQ917509 LBJ917509:LBM917509 LLF917509:LLI917509 LVB917509:LVE917509 MEX917509:MFA917509 MOT917509:MOW917509 MYP917509:MYS917509 NIL917509:NIO917509 NSH917509:NSK917509 OCD917509:OCG917509 OLZ917509:OMC917509 OVV917509:OVY917509 PFR917509:PFU917509 PPN917509:PPQ917509 PZJ917509:PZM917509 QJF917509:QJI917509 QTB917509:QTE917509 RCX917509:RDA917509 RMT917509:RMW917509 RWP917509:RWS917509 SGL917509:SGO917509 SQH917509:SQK917509 TAD917509:TAG917509 TJZ917509:TKC917509 TTV917509:TTY917509 UDR917509:UDU917509 UNN917509:UNQ917509 UXJ917509:UXM917509 VHF917509:VHI917509 VRB917509:VRE917509 WAX917509:WBA917509 WKT917509:WKW917509 WUP917509:WUS917509 AG65549:AH65552 AG131085:AH131088 AG196621:AH196624 AG262157:AH262160 AG327693:AH327696 AG393229:AH393232 AG458765:AH458768 AG524301:AH524304 AG589837:AH589840 AG655373:AH655376 AG720909:AH720912 AG786445:AH786448 AG851981:AH851984 AG917517:AH917520 AG983053:AH983056 AB983047:AE983047 AB65543:AE65543 AB131079:AE131079 AB196615:AE196615 AB262151:AE262151 AB327687:AE327687 AB393223:AE393223 AB458759:AE458759 AB524295:AE524295 AB589831:AE589831 AB655367:AE655367 AB720903:AE720903 AB786439:AE786439 AB851975:AE851975 AB917511:AE917511 AP65549:AQ65552 AP131085:AQ131088 AP196621:AQ196624 AP262157:AQ262160 AP327693:AQ327696 AP393229:AQ393232 AP458765:AQ458768 AP524301:AQ524304 AP589837:AQ589840 AP655373:AQ655376 AP720909:AQ720912 AP786445:AQ786448 AP851981:AQ851984 AP917517:AQ917520 AP983053:AQ983056 AN65543 AN131079 AN196615 AN262151 AN327687 AN393223 AN458759 AN524295 AN589831 AN655367 AN720903 AN786439 AN851975 AN917511 AI917511:AK917511 AI851975:AK851975 AI786439:AK786439 AI720903:AK720903 AI655367:AK655367 AI589831:AK589831 AI524295:AK524295 AI458759:AK458759 AI393223:AK393223 AI327687:AK327687 AI262151:AK262151 AI196615:AK196615 AI131079:AK131079 AI65543:AK65543 AI983047:AK983047 AN983047 AM65549:AM65552 AM131085:AM131088 AM196621:AM196624 AM262157:AM262160 AM327693:AM327696 AM393229:AM393232 AM458765:AM458768 AM524301:AM524304 AM589837:AM589840 AM655373:AM655376 AM720909:AM720912 AM786445:AM786448 AM851981:AM851984 AM917517:AM917520 AM983053:AM983056" xr:uid="{1F41FD54-6119-4DAF-A90D-E246A62C70A7}">
      <formula1>"○"</formula1>
    </dataValidation>
    <dataValidation type="list" allowBlank="1" showInputMessage="1" showErrorMessage="1" sqref="VQH982998:VQV983035 VGL982998:VGZ983035 UWP982998:UXD983035 UMT982998:UNH983035 UCX982998:UDL983035 TTB982998:TTP983035 TJF982998:TJT983035 SZJ982998:SZX983035 SPN982998:SQB983035 SFR982998:SGF983035 RVV982998:RWJ983035 RLZ982998:RMN983035 RCD982998:RCR983035 QSH982998:QSV983035 QIL982998:QIZ983035 PYP982998:PZD983035 POT982998:PPH983035 PEX982998:PFL983035 OVB982998:OVP983035 OLF982998:OLT983035 OBJ982998:OBX983035 NRN982998:NSB983035 NHR982998:NIF983035 MXV982998:MYJ983035 MNZ982998:MON983035 MED982998:MER983035 LUH982998:LUV983035 LKL982998:LKZ983035 LAP982998:LBD983035 KQT982998:KRH983035 KGX982998:KHL983035 JXB982998:JXP983035 JNF982998:JNT983035 JDJ982998:JDX983035 ITN982998:IUB983035 IJR982998:IKF983035 HZV982998:IAJ983035 HPZ982998:HQN983035 HGD982998:HGR983035 GWH982998:GWV983035 GML982998:GMZ983035 GCP982998:GDD983035 FST982998:FTH983035 FIX982998:FJL983035 EZB982998:EZP983035 EPF982998:EPT983035 EFJ982998:EFX983035 DVN982998:DWB983035 DLR982998:DMF983035 DBV982998:DCJ983035 CRZ982998:CSN983035 CID982998:CIR983035 BYH982998:BYV983035 BOL982998:BOZ983035 BEP982998:BFD983035 AUT982998:AVH983035 AKX982998:ALL983035 ABB982998:ABP983035 RF982998:RT983035 HJ982998:HX983035 WTV917462:WUJ917499 WJZ917462:WKN917499 WAD917462:WAR917499 VQH917462:VQV917499 VGL917462:VGZ917499 UWP917462:UXD917499 UMT917462:UNH917499 UCX917462:UDL917499 TTB917462:TTP917499 TJF917462:TJT917499 SZJ917462:SZX917499 SPN917462:SQB917499 SFR917462:SGF917499 RVV917462:RWJ917499 RLZ917462:RMN917499 RCD917462:RCR917499 QSH917462:QSV917499 QIL917462:QIZ917499 PYP917462:PZD917499 POT917462:PPH917499 PEX917462:PFL917499 OVB917462:OVP917499 OLF917462:OLT917499 OBJ917462:OBX917499 NRN917462:NSB917499 NHR917462:NIF917499 MXV917462:MYJ917499 MNZ917462:MON917499 MED917462:MER917499 LUH917462:LUV917499 LKL917462:LKZ917499 LAP917462:LBD917499 KQT917462:KRH917499 KGX917462:KHL917499 JXB917462:JXP917499 JNF917462:JNT917499 JDJ917462:JDX917499 ITN917462:IUB917499 IJR917462:IKF917499 HZV917462:IAJ917499 HPZ917462:HQN917499 HGD917462:HGR917499 GWH917462:GWV917499 GML917462:GMZ917499 GCP917462:GDD917499 FST917462:FTH917499 FIX917462:FJL917499 EZB917462:EZP917499 EPF917462:EPT917499 EFJ917462:EFX917499 DVN917462:DWB917499 DLR917462:DMF917499 DBV917462:DCJ917499 CRZ917462:CSN917499 CID917462:CIR917499 BYH917462:BYV917499 BOL917462:BOZ917499 BEP917462:BFD917499 AUT917462:AVH917499 AKX917462:ALL917499 ABB917462:ABP917499 RF917462:RT917499 HJ917462:HX917499 WTV851926:WUJ851963 WJZ851926:WKN851963 WAD851926:WAR851963 VQH851926:VQV851963 VGL851926:VGZ851963 UWP851926:UXD851963 UMT851926:UNH851963 UCX851926:UDL851963 TTB851926:TTP851963 TJF851926:TJT851963 SZJ851926:SZX851963 SPN851926:SQB851963 SFR851926:SGF851963 RVV851926:RWJ851963 RLZ851926:RMN851963 RCD851926:RCR851963 QSH851926:QSV851963 QIL851926:QIZ851963 PYP851926:PZD851963 POT851926:PPH851963 PEX851926:PFL851963 OVB851926:OVP851963 OLF851926:OLT851963 OBJ851926:OBX851963 NRN851926:NSB851963 NHR851926:NIF851963 MXV851926:MYJ851963 MNZ851926:MON851963 MED851926:MER851963 LUH851926:LUV851963 LKL851926:LKZ851963 LAP851926:LBD851963 KQT851926:KRH851963 KGX851926:KHL851963 JXB851926:JXP851963 JNF851926:JNT851963 JDJ851926:JDX851963 ITN851926:IUB851963 IJR851926:IKF851963 HZV851926:IAJ851963 HPZ851926:HQN851963 HGD851926:HGR851963 GWH851926:GWV851963 GML851926:GMZ851963 GCP851926:GDD851963 FST851926:FTH851963 FIX851926:FJL851963 EZB851926:EZP851963 EPF851926:EPT851963 EFJ851926:EFX851963 DVN851926:DWB851963 DLR851926:DMF851963 DBV851926:DCJ851963 CRZ851926:CSN851963 CID851926:CIR851963 BYH851926:BYV851963 BOL851926:BOZ851963 BEP851926:BFD851963 AUT851926:AVH851963 AKX851926:ALL851963 ABB851926:ABP851963 RF851926:RT851963 HJ851926:HX851963 WTV786390:WUJ786427 WJZ786390:WKN786427 WAD786390:WAR786427 VQH786390:VQV786427 VGL786390:VGZ786427 UWP786390:UXD786427 UMT786390:UNH786427 UCX786390:UDL786427 TTB786390:TTP786427 TJF786390:TJT786427 SZJ786390:SZX786427 SPN786390:SQB786427 SFR786390:SGF786427 RVV786390:RWJ786427 RLZ786390:RMN786427 RCD786390:RCR786427 QSH786390:QSV786427 QIL786390:QIZ786427 PYP786390:PZD786427 POT786390:PPH786427 PEX786390:PFL786427 OVB786390:OVP786427 OLF786390:OLT786427 OBJ786390:OBX786427 NRN786390:NSB786427 NHR786390:NIF786427 MXV786390:MYJ786427 MNZ786390:MON786427 MED786390:MER786427 LUH786390:LUV786427 LKL786390:LKZ786427 LAP786390:LBD786427 KQT786390:KRH786427 KGX786390:KHL786427 JXB786390:JXP786427 JNF786390:JNT786427 JDJ786390:JDX786427 ITN786390:IUB786427 IJR786390:IKF786427 HZV786390:IAJ786427 HPZ786390:HQN786427 HGD786390:HGR786427 GWH786390:GWV786427 GML786390:GMZ786427 GCP786390:GDD786427 FST786390:FTH786427 FIX786390:FJL786427 EZB786390:EZP786427 EPF786390:EPT786427 EFJ786390:EFX786427 DVN786390:DWB786427 DLR786390:DMF786427 DBV786390:DCJ786427 CRZ786390:CSN786427 CID786390:CIR786427 BYH786390:BYV786427 BOL786390:BOZ786427 BEP786390:BFD786427 AUT786390:AVH786427 AKX786390:ALL786427 ABB786390:ABP786427 RF786390:RT786427 HJ786390:HX786427 WTV720854:WUJ720891 WJZ720854:WKN720891 WAD720854:WAR720891 VQH720854:VQV720891 VGL720854:VGZ720891 UWP720854:UXD720891 UMT720854:UNH720891 UCX720854:UDL720891 TTB720854:TTP720891 TJF720854:TJT720891 SZJ720854:SZX720891 SPN720854:SQB720891 SFR720854:SGF720891 RVV720854:RWJ720891 RLZ720854:RMN720891 RCD720854:RCR720891 QSH720854:QSV720891 QIL720854:QIZ720891 PYP720854:PZD720891 POT720854:PPH720891 PEX720854:PFL720891 OVB720854:OVP720891 OLF720854:OLT720891 OBJ720854:OBX720891 NRN720854:NSB720891 NHR720854:NIF720891 MXV720854:MYJ720891 MNZ720854:MON720891 MED720854:MER720891 LUH720854:LUV720891 LKL720854:LKZ720891 LAP720854:LBD720891 KQT720854:KRH720891 KGX720854:KHL720891 JXB720854:JXP720891 JNF720854:JNT720891 JDJ720854:JDX720891 ITN720854:IUB720891 IJR720854:IKF720891 HZV720854:IAJ720891 HPZ720854:HQN720891 HGD720854:HGR720891 GWH720854:GWV720891 GML720854:GMZ720891 GCP720854:GDD720891 FST720854:FTH720891 FIX720854:FJL720891 EZB720854:EZP720891 EPF720854:EPT720891 EFJ720854:EFX720891 DVN720854:DWB720891 DLR720854:DMF720891 DBV720854:DCJ720891 CRZ720854:CSN720891 CID720854:CIR720891 BYH720854:BYV720891 BOL720854:BOZ720891 BEP720854:BFD720891 AUT720854:AVH720891 AKX720854:ALL720891 ABB720854:ABP720891 RF720854:RT720891 HJ720854:HX720891 WTV655318:WUJ655355 WJZ655318:WKN655355 WAD655318:WAR655355 VQH655318:VQV655355 VGL655318:VGZ655355 UWP655318:UXD655355 UMT655318:UNH655355 UCX655318:UDL655355 TTB655318:TTP655355 TJF655318:TJT655355 SZJ655318:SZX655355 SPN655318:SQB655355 SFR655318:SGF655355 RVV655318:RWJ655355 RLZ655318:RMN655355 RCD655318:RCR655355 QSH655318:QSV655355 QIL655318:QIZ655355 PYP655318:PZD655355 POT655318:PPH655355 PEX655318:PFL655355 OVB655318:OVP655355 OLF655318:OLT655355 OBJ655318:OBX655355 NRN655318:NSB655355 NHR655318:NIF655355 MXV655318:MYJ655355 MNZ655318:MON655355 MED655318:MER655355 LUH655318:LUV655355 LKL655318:LKZ655355 LAP655318:LBD655355 KQT655318:KRH655355 KGX655318:KHL655355 JXB655318:JXP655355 JNF655318:JNT655355 JDJ655318:JDX655355 ITN655318:IUB655355 IJR655318:IKF655355 HZV655318:IAJ655355 HPZ655318:HQN655355 HGD655318:HGR655355 GWH655318:GWV655355 GML655318:GMZ655355 GCP655318:GDD655355 FST655318:FTH655355 FIX655318:FJL655355 EZB655318:EZP655355 EPF655318:EPT655355 EFJ655318:EFX655355 DVN655318:DWB655355 DLR655318:DMF655355 DBV655318:DCJ655355 CRZ655318:CSN655355 CID655318:CIR655355 BYH655318:BYV655355 BOL655318:BOZ655355 BEP655318:BFD655355 AUT655318:AVH655355 AKX655318:ALL655355 ABB655318:ABP655355 RF655318:RT655355 HJ655318:HX655355 WTV589782:WUJ589819 WJZ589782:WKN589819 WAD589782:WAR589819 VQH589782:VQV589819 VGL589782:VGZ589819 UWP589782:UXD589819 UMT589782:UNH589819 UCX589782:UDL589819 TTB589782:TTP589819 TJF589782:TJT589819 SZJ589782:SZX589819 SPN589782:SQB589819 SFR589782:SGF589819 RVV589782:RWJ589819 RLZ589782:RMN589819 RCD589782:RCR589819 QSH589782:QSV589819 QIL589782:QIZ589819 PYP589782:PZD589819 POT589782:PPH589819 PEX589782:PFL589819 OVB589782:OVP589819 OLF589782:OLT589819 OBJ589782:OBX589819 NRN589782:NSB589819 NHR589782:NIF589819 MXV589782:MYJ589819 MNZ589782:MON589819 MED589782:MER589819 LUH589782:LUV589819 LKL589782:LKZ589819 LAP589782:LBD589819 KQT589782:KRH589819 KGX589782:KHL589819 JXB589782:JXP589819 JNF589782:JNT589819 JDJ589782:JDX589819 ITN589782:IUB589819 IJR589782:IKF589819 HZV589782:IAJ589819 HPZ589782:HQN589819 HGD589782:HGR589819 GWH589782:GWV589819 GML589782:GMZ589819 GCP589782:GDD589819 FST589782:FTH589819 FIX589782:FJL589819 EZB589782:EZP589819 EPF589782:EPT589819 EFJ589782:EFX589819 DVN589782:DWB589819 DLR589782:DMF589819 DBV589782:DCJ589819 CRZ589782:CSN589819 CID589782:CIR589819 BYH589782:BYV589819 BOL589782:BOZ589819 BEP589782:BFD589819 AUT589782:AVH589819 AKX589782:ALL589819 ABB589782:ABP589819 RF589782:RT589819 HJ589782:HX589819 WTV524246:WUJ524283 WJZ524246:WKN524283 WAD524246:WAR524283 VQH524246:VQV524283 VGL524246:VGZ524283 UWP524246:UXD524283 UMT524246:UNH524283 UCX524246:UDL524283 TTB524246:TTP524283 TJF524246:TJT524283 SZJ524246:SZX524283 SPN524246:SQB524283 SFR524246:SGF524283 RVV524246:RWJ524283 RLZ524246:RMN524283 RCD524246:RCR524283 QSH524246:QSV524283 QIL524246:QIZ524283 PYP524246:PZD524283 POT524246:PPH524283 PEX524246:PFL524283 OVB524246:OVP524283 OLF524246:OLT524283 OBJ524246:OBX524283 NRN524246:NSB524283 NHR524246:NIF524283 MXV524246:MYJ524283 MNZ524246:MON524283 MED524246:MER524283 LUH524246:LUV524283 LKL524246:LKZ524283 LAP524246:LBD524283 KQT524246:KRH524283 KGX524246:KHL524283 JXB524246:JXP524283 JNF524246:JNT524283 JDJ524246:JDX524283 ITN524246:IUB524283 IJR524246:IKF524283 HZV524246:IAJ524283 HPZ524246:HQN524283 HGD524246:HGR524283 GWH524246:GWV524283 GML524246:GMZ524283 GCP524246:GDD524283 FST524246:FTH524283 FIX524246:FJL524283 EZB524246:EZP524283 EPF524246:EPT524283 EFJ524246:EFX524283 DVN524246:DWB524283 DLR524246:DMF524283 DBV524246:DCJ524283 CRZ524246:CSN524283 CID524246:CIR524283 BYH524246:BYV524283 BOL524246:BOZ524283 BEP524246:BFD524283 AUT524246:AVH524283 AKX524246:ALL524283 ABB524246:ABP524283 RF524246:RT524283 HJ524246:HX524283 WTV458710:WUJ458747 WJZ458710:WKN458747 WAD458710:WAR458747 VQH458710:VQV458747 VGL458710:VGZ458747 UWP458710:UXD458747 UMT458710:UNH458747 UCX458710:UDL458747 TTB458710:TTP458747 TJF458710:TJT458747 SZJ458710:SZX458747 SPN458710:SQB458747 SFR458710:SGF458747 RVV458710:RWJ458747 RLZ458710:RMN458747 RCD458710:RCR458747 QSH458710:QSV458747 QIL458710:QIZ458747 PYP458710:PZD458747 POT458710:PPH458747 PEX458710:PFL458747 OVB458710:OVP458747 OLF458710:OLT458747 OBJ458710:OBX458747 NRN458710:NSB458747 NHR458710:NIF458747 MXV458710:MYJ458747 MNZ458710:MON458747 MED458710:MER458747 LUH458710:LUV458747 LKL458710:LKZ458747 LAP458710:LBD458747 KQT458710:KRH458747 KGX458710:KHL458747 JXB458710:JXP458747 JNF458710:JNT458747 JDJ458710:JDX458747 ITN458710:IUB458747 IJR458710:IKF458747 HZV458710:IAJ458747 HPZ458710:HQN458747 HGD458710:HGR458747 GWH458710:GWV458747 GML458710:GMZ458747 GCP458710:GDD458747 FST458710:FTH458747 FIX458710:FJL458747 EZB458710:EZP458747 EPF458710:EPT458747 EFJ458710:EFX458747 DVN458710:DWB458747 DLR458710:DMF458747 DBV458710:DCJ458747 CRZ458710:CSN458747 CID458710:CIR458747 BYH458710:BYV458747 BOL458710:BOZ458747 BEP458710:BFD458747 AUT458710:AVH458747 AKX458710:ALL458747 ABB458710:ABP458747 RF458710:RT458747 HJ458710:HX458747 WTV393174:WUJ393211 WJZ393174:WKN393211 WAD393174:WAR393211 VQH393174:VQV393211 VGL393174:VGZ393211 UWP393174:UXD393211 UMT393174:UNH393211 UCX393174:UDL393211 TTB393174:TTP393211 TJF393174:TJT393211 SZJ393174:SZX393211 SPN393174:SQB393211 SFR393174:SGF393211 RVV393174:RWJ393211 RLZ393174:RMN393211 RCD393174:RCR393211 QSH393174:QSV393211 QIL393174:QIZ393211 PYP393174:PZD393211 POT393174:PPH393211 PEX393174:PFL393211 OVB393174:OVP393211 OLF393174:OLT393211 OBJ393174:OBX393211 NRN393174:NSB393211 NHR393174:NIF393211 MXV393174:MYJ393211 MNZ393174:MON393211 MED393174:MER393211 LUH393174:LUV393211 LKL393174:LKZ393211 LAP393174:LBD393211 KQT393174:KRH393211 KGX393174:KHL393211 JXB393174:JXP393211 JNF393174:JNT393211 JDJ393174:JDX393211 ITN393174:IUB393211 IJR393174:IKF393211 HZV393174:IAJ393211 HPZ393174:HQN393211 HGD393174:HGR393211 GWH393174:GWV393211 GML393174:GMZ393211 GCP393174:GDD393211 FST393174:FTH393211 FIX393174:FJL393211 EZB393174:EZP393211 EPF393174:EPT393211 EFJ393174:EFX393211 DVN393174:DWB393211 DLR393174:DMF393211 DBV393174:DCJ393211 CRZ393174:CSN393211 CID393174:CIR393211 BYH393174:BYV393211 BOL393174:BOZ393211 BEP393174:BFD393211 AUT393174:AVH393211 AKX393174:ALL393211 ABB393174:ABP393211 RF393174:RT393211 HJ393174:HX393211 WTV327638:WUJ327675 WJZ327638:WKN327675 WAD327638:WAR327675 VQH327638:VQV327675 VGL327638:VGZ327675 UWP327638:UXD327675 UMT327638:UNH327675 UCX327638:UDL327675 TTB327638:TTP327675 TJF327638:TJT327675 SZJ327638:SZX327675 SPN327638:SQB327675 SFR327638:SGF327675 RVV327638:RWJ327675 RLZ327638:RMN327675 RCD327638:RCR327675 QSH327638:QSV327675 QIL327638:QIZ327675 PYP327638:PZD327675 POT327638:PPH327675 PEX327638:PFL327675 OVB327638:OVP327675 OLF327638:OLT327675 OBJ327638:OBX327675 NRN327638:NSB327675 NHR327638:NIF327675 MXV327638:MYJ327675 MNZ327638:MON327675 MED327638:MER327675 LUH327638:LUV327675 LKL327638:LKZ327675 LAP327638:LBD327675 KQT327638:KRH327675 KGX327638:KHL327675 JXB327638:JXP327675 JNF327638:JNT327675 JDJ327638:JDX327675 ITN327638:IUB327675 IJR327638:IKF327675 HZV327638:IAJ327675 HPZ327638:HQN327675 HGD327638:HGR327675 GWH327638:GWV327675 GML327638:GMZ327675 GCP327638:GDD327675 FST327638:FTH327675 FIX327638:FJL327675 EZB327638:EZP327675 EPF327638:EPT327675 EFJ327638:EFX327675 DVN327638:DWB327675 DLR327638:DMF327675 DBV327638:DCJ327675 CRZ327638:CSN327675 CID327638:CIR327675 BYH327638:BYV327675 BOL327638:BOZ327675 BEP327638:BFD327675 AUT327638:AVH327675 AKX327638:ALL327675 ABB327638:ABP327675 RF327638:RT327675 HJ327638:HX327675 WTV262102:WUJ262139 WJZ262102:WKN262139 WAD262102:WAR262139 VQH262102:VQV262139 VGL262102:VGZ262139 UWP262102:UXD262139 UMT262102:UNH262139 UCX262102:UDL262139 TTB262102:TTP262139 TJF262102:TJT262139 SZJ262102:SZX262139 SPN262102:SQB262139 SFR262102:SGF262139 RVV262102:RWJ262139 RLZ262102:RMN262139 RCD262102:RCR262139 QSH262102:QSV262139 QIL262102:QIZ262139 PYP262102:PZD262139 POT262102:PPH262139 PEX262102:PFL262139 OVB262102:OVP262139 OLF262102:OLT262139 OBJ262102:OBX262139 NRN262102:NSB262139 NHR262102:NIF262139 MXV262102:MYJ262139 MNZ262102:MON262139 MED262102:MER262139 LUH262102:LUV262139 LKL262102:LKZ262139 LAP262102:LBD262139 KQT262102:KRH262139 KGX262102:KHL262139 JXB262102:JXP262139 JNF262102:JNT262139 JDJ262102:JDX262139 ITN262102:IUB262139 IJR262102:IKF262139 HZV262102:IAJ262139 HPZ262102:HQN262139 HGD262102:HGR262139 GWH262102:GWV262139 GML262102:GMZ262139 GCP262102:GDD262139 FST262102:FTH262139 FIX262102:FJL262139 EZB262102:EZP262139 EPF262102:EPT262139 EFJ262102:EFX262139 DVN262102:DWB262139 DLR262102:DMF262139 DBV262102:DCJ262139 CRZ262102:CSN262139 CID262102:CIR262139 BYH262102:BYV262139 BOL262102:BOZ262139 BEP262102:BFD262139 AUT262102:AVH262139 AKX262102:ALL262139 ABB262102:ABP262139 RF262102:RT262139 HJ262102:HX262139 WTV196566:WUJ196603 WJZ196566:WKN196603 WAD196566:WAR196603 VQH196566:VQV196603 VGL196566:VGZ196603 UWP196566:UXD196603 UMT196566:UNH196603 UCX196566:UDL196603 TTB196566:TTP196603 TJF196566:TJT196603 SZJ196566:SZX196603 SPN196566:SQB196603 SFR196566:SGF196603 RVV196566:RWJ196603 RLZ196566:RMN196603 RCD196566:RCR196603 QSH196566:QSV196603 QIL196566:QIZ196603 PYP196566:PZD196603 POT196566:PPH196603 PEX196566:PFL196603 OVB196566:OVP196603 OLF196566:OLT196603 OBJ196566:OBX196603 NRN196566:NSB196603 NHR196566:NIF196603 MXV196566:MYJ196603 MNZ196566:MON196603 MED196566:MER196603 LUH196566:LUV196603 LKL196566:LKZ196603 LAP196566:LBD196603 KQT196566:KRH196603 KGX196566:KHL196603 JXB196566:JXP196603 JNF196566:JNT196603 JDJ196566:JDX196603 ITN196566:IUB196603 IJR196566:IKF196603 HZV196566:IAJ196603 HPZ196566:HQN196603 HGD196566:HGR196603 GWH196566:GWV196603 GML196566:GMZ196603 GCP196566:GDD196603 FST196566:FTH196603 FIX196566:FJL196603 EZB196566:EZP196603 EPF196566:EPT196603 EFJ196566:EFX196603 DVN196566:DWB196603 DLR196566:DMF196603 DBV196566:DCJ196603 CRZ196566:CSN196603 CID196566:CIR196603 BYH196566:BYV196603 BOL196566:BOZ196603 BEP196566:BFD196603 AUT196566:AVH196603 AKX196566:ALL196603 ABB196566:ABP196603 RF196566:RT196603 HJ196566:HX196603 WTV131030:WUJ131067 WJZ131030:WKN131067 WAD131030:WAR131067 VQH131030:VQV131067 VGL131030:VGZ131067 UWP131030:UXD131067 UMT131030:UNH131067 UCX131030:UDL131067 TTB131030:TTP131067 TJF131030:TJT131067 SZJ131030:SZX131067 SPN131030:SQB131067 SFR131030:SGF131067 RVV131030:RWJ131067 RLZ131030:RMN131067 RCD131030:RCR131067 QSH131030:QSV131067 QIL131030:QIZ131067 PYP131030:PZD131067 POT131030:PPH131067 PEX131030:PFL131067 OVB131030:OVP131067 OLF131030:OLT131067 OBJ131030:OBX131067 NRN131030:NSB131067 NHR131030:NIF131067 MXV131030:MYJ131067 MNZ131030:MON131067 MED131030:MER131067 LUH131030:LUV131067 LKL131030:LKZ131067 LAP131030:LBD131067 KQT131030:KRH131067 KGX131030:KHL131067 JXB131030:JXP131067 JNF131030:JNT131067 JDJ131030:JDX131067 ITN131030:IUB131067 IJR131030:IKF131067 HZV131030:IAJ131067 HPZ131030:HQN131067 HGD131030:HGR131067 GWH131030:GWV131067 GML131030:GMZ131067 GCP131030:GDD131067 FST131030:FTH131067 FIX131030:FJL131067 EZB131030:EZP131067 EPF131030:EPT131067 EFJ131030:EFX131067 DVN131030:DWB131067 DLR131030:DMF131067 DBV131030:DCJ131067 CRZ131030:CSN131067 CID131030:CIR131067 BYH131030:BYV131067 BOL131030:BOZ131067 BEP131030:BFD131067 AUT131030:AVH131067 AKX131030:ALL131067 ABB131030:ABP131067 RF131030:RT131067 HJ131030:HX131067 WTV65494:WUJ65531 WJZ65494:WKN65531 WAD65494:WAR65531 VQH65494:VQV65531 VGL65494:VGZ65531 UWP65494:UXD65531 UMT65494:UNH65531 UCX65494:UDL65531 TTB65494:TTP65531 TJF65494:TJT65531 SZJ65494:SZX65531 SPN65494:SQB65531 SFR65494:SGF65531 RVV65494:RWJ65531 RLZ65494:RMN65531 RCD65494:RCR65531 QSH65494:QSV65531 QIL65494:QIZ65531 PYP65494:PZD65531 POT65494:PPH65531 PEX65494:PFL65531 OVB65494:OVP65531 OLF65494:OLT65531 OBJ65494:OBX65531 NRN65494:NSB65531 NHR65494:NIF65531 MXV65494:MYJ65531 MNZ65494:MON65531 MED65494:MER65531 LUH65494:LUV65531 LKL65494:LKZ65531 LAP65494:LBD65531 KQT65494:KRH65531 KGX65494:KHL65531 JXB65494:JXP65531 JNF65494:JNT65531 JDJ65494:JDX65531 ITN65494:IUB65531 IJR65494:IKF65531 HZV65494:IAJ65531 HPZ65494:HQN65531 HGD65494:HGR65531 GWH65494:GWV65531 GML65494:GMZ65531 GCP65494:GDD65531 FST65494:FTH65531 FIX65494:FJL65531 EZB65494:EZP65531 EPF65494:EPT65531 EFJ65494:EFX65531 DVN65494:DWB65531 DLR65494:DMF65531 DBV65494:DCJ65531 CRZ65494:CSN65531 CID65494:CIR65531 BYH65494:BYV65531 BOL65494:BOZ65531 BEP65494:BFD65531 AUT65494:AVH65531 AKX65494:ALL65531 ABB65494:ABP65531 RF65494:RT65531 HJ65494:HX65531 WJZ982998:WKN983035 WAD982998:WAR983035 WTV982998:WUJ983035 WJZ5:WKN26 WTV5:WUJ26 HJ5:HX26 RF5:RT26 ABB5:ABP26 AKX5:ALL26 AUT5:AVH26 BEP5:BFD26 BOL5:BOZ26 BYH5:BYV26 CID5:CIR26 CRZ5:CSN26 DBV5:DCJ26 DLR5:DMF26 DVN5:DWB26 EFJ5:EFX26 EPF5:EPT26 EZB5:EZP26 FIX5:FJL26 FST5:FTH26 GCP5:GDD26 GML5:GMZ26 GWH5:GWV26 HGD5:HGR26 HPZ5:HQN26 HZV5:IAJ26 IJR5:IKF26 ITN5:IUB26 JDJ5:JDX26 JNF5:JNT26 JXB5:JXP26 KGX5:KHL26 KQT5:KRH26 LAP5:LBD26 LKL5:LKZ26 LUH5:LUV26 MED5:MER26 MNZ5:MON26 MXV5:MYJ26 NHR5:NIF26 NRN5:NSB26 OBJ5:OBX26 OLF5:OLT26 OVB5:OVP26 PEX5:PFL26 POT5:PPH26 PYP5:PZD26 QIL5:QIZ26 QSH5:QSV26 RCD5:RCR26 RLZ5:RMN26 RVV5:RWJ26 SFR5:SGF26 SPN5:SQB26 SZJ5:SZX26 TJF5:TJT26 TTB5:TTP26 UCX5:UDL26 UMT5:UNH26 UWP5:UXD26 VGL5:VGZ26 VQH5:VQV26 WAD5:WAR26" xr:uid="{F9FA6065-A332-4F40-AADA-5EB35076845A}">
      <formula1>#REF!</formula1>
    </dataValidation>
    <dataValidation type="list" allowBlank="1" showInputMessage="1" showErrorMessage="1" sqref="HX983039:IE983044 RT983039:SA983044 ABP983039:ABW983044 ALL983039:ALS983044 AVH983039:AVO983044 BFD983039:BFK983044 BOZ983039:BPG983044 BYV983039:BZC983044 CIR983039:CIY983044 CSN983039:CSU983044 DCJ983039:DCQ983044 DMF983039:DMM983044 DWB983039:DWI983044 EFX983039:EGE983044 EPT983039:EQA983044 EZP983039:EZW983044 FJL983039:FJS983044 FTH983039:FTO983044 GDD983039:GDK983044 GMZ983039:GNG983044 GWV983039:GXC983044 HGR983039:HGY983044 HQN983039:HQU983044 IAJ983039:IAQ983044 IKF983039:IKM983044 IUB983039:IUI983044 JDX983039:JEE983044 JNT983039:JOA983044 JXP983039:JXW983044 KHL983039:KHS983044 KRH983039:KRO983044 LBD983039:LBK983044 LKZ983039:LLG983044 LUV983039:LVC983044 MER983039:MEY983044 MON983039:MOU983044 MYJ983039:MYQ983044 NIF983039:NIM983044 NSB983039:NSI983044 OBX983039:OCE983044 OLT983039:OMA983044 OVP983039:OVW983044 PFL983039:PFS983044 PPH983039:PPO983044 PZD983039:PZK983044 QIZ983039:QJG983044 QSV983039:QTC983044 RCR983039:RCY983044 RMN983039:RMU983044 RWJ983039:RWQ983044 SGF983039:SGM983044 SQB983039:SQI983044 SZX983039:TAE983044 TJT983039:TKA983044 TTP983039:TTW983044 UDL983039:UDS983044 UNH983039:UNO983044 UXD983039:UXK983044 VGZ983039:VHG983044 VQV983039:VRC983044 WAR983039:WAY983044 WKN983039:WKU983044 WUJ983039:WUQ983044 HX65535:IE65540 RT65535:SA65540 ABP65535:ABW65540 ALL65535:ALS65540 AVH65535:AVO65540 BFD65535:BFK65540 BOZ65535:BPG65540 BYV65535:BZC65540 CIR65535:CIY65540 CSN65535:CSU65540 DCJ65535:DCQ65540 DMF65535:DMM65540 DWB65535:DWI65540 EFX65535:EGE65540 EPT65535:EQA65540 EZP65535:EZW65540 FJL65535:FJS65540 FTH65535:FTO65540 GDD65535:GDK65540 GMZ65535:GNG65540 GWV65535:GXC65540 HGR65535:HGY65540 HQN65535:HQU65540 IAJ65535:IAQ65540 IKF65535:IKM65540 IUB65535:IUI65540 JDX65535:JEE65540 JNT65535:JOA65540 JXP65535:JXW65540 KHL65535:KHS65540 KRH65535:KRO65540 LBD65535:LBK65540 LKZ65535:LLG65540 LUV65535:LVC65540 MER65535:MEY65540 MON65535:MOU65540 MYJ65535:MYQ65540 NIF65535:NIM65540 NSB65535:NSI65540 OBX65535:OCE65540 OLT65535:OMA65540 OVP65535:OVW65540 PFL65535:PFS65540 PPH65535:PPO65540 PZD65535:PZK65540 QIZ65535:QJG65540 QSV65535:QTC65540 RCR65535:RCY65540 RMN65535:RMU65540 RWJ65535:RWQ65540 SGF65535:SGM65540 SQB65535:SQI65540 SZX65535:TAE65540 TJT65535:TKA65540 TTP65535:TTW65540 UDL65535:UDS65540 UNH65535:UNO65540 UXD65535:UXK65540 VGZ65535:VHG65540 VQV65535:VRC65540 WAR65535:WAY65540 WKN65535:WKU65540 WUJ65535:WUQ65540 HX131071:IE131076 RT131071:SA131076 ABP131071:ABW131076 ALL131071:ALS131076 AVH131071:AVO131076 BFD131071:BFK131076 BOZ131071:BPG131076 BYV131071:BZC131076 CIR131071:CIY131076 CSN131071:CSU131076 DCJ131071:DCQ131076 DMF131071:DMM131076 DWB131071:DWI131076 EFX131071:EGE131076 EPT131071:EQA131076 EZP131071:EZW131076 FJL131071:FJS131076 FTH131071:FTO131076 GDD131071:GDK131076 GMZ131071:GNG131076 GWV131071:GXC131076 HGR131071:HGY131076 HQN131071:HQU131076 IAJ131071:IAQ131076 IKF131071:IKM131076 IUB131071:IUI131076 JDX131071:JEE131076 JNT131071:JOA131076 JXP131071:JXW131076 KHL131071:KHS131076 KRH131071:KRO131076 LBD131071:LBK131076 LKZ131071:LLG131076 LUV131071:LVC131076 MER131071:MEY131076 MON131071:MOU131076 MYJ131071:MYQ131076 NIF131071:NIM131076 NSB131071:NSI131076 OBX131071:OCE131076 OLT131071:OMA131076 OVP131071:OVW131076 PFL131071:PFS131076 PPH131071:PPO131076 PZD131071:PZK131076 QIZ131071:QJG131076 QSV131071:QTC131076 RCR131071:RCY131076 RMN131071:RMU131076 RWJ131071:RWQ131076 SGF131071:SGM131076 SQB131071:SQI131076 SZX131071:TAE131076 TJT131071:TKA131076 TTP131071:TTW131076 UDL131071:UDS131076 UNH131071:UNO131076 UXD131071:UXK131076 VGZ131071:VHG131076 VQV131071:VRC131076 WAR131071:WAY131076 WKN131071:WKU131076 WUJ131071:WUQ131076 HX196607:IE196612 RT196607:SA196612 ABP196607:ABW196612 ALL196607:ALS196612 AVH196607:AVO196612 BFD196607:BFK196612 BOZ196607:BPG196612 BYV196607:BZC196612 CIR196607:CIY196612 CSN196607:CSU196612 DCJ196607:DCQ196612 DMF196607:DMM196612 DWB196607:DWI196612 EFX196607:EGE196612 EPT196607:EQA196612 EZP196607:EZW196612 FJL196607:FJS196612 FTH196607:FTO196612 GDD196607:GDK196612 GMZ196607:GNG196612 GWV196607:GXC196612 HGR196607:HGY196612 HQN196607:HQU196612 IAJ196607:IAQ196612 IKF196607:IKM196612 IUB196607:IUI196612 JDX196607:JEE196612 JNT196607:JOA196612 JXP196607:JXW196612 KHL196607:KHS196612 KRH196607:KRO196612 LBD196607:LBK196612 LKZ196607:LLG196612 LUV196607:LVC196612 MER196607:MEY196612 MON196607:MOU196612 MYJ196607:MYQ196612 NIF196607:NIM196612 NSB196607:NSI196612 OBX196607:OCE196612 OLT196607:OMA196612 OVP196607:OVW196612 PFL196607:PFS196612 PPH196607:PPO196612 PZD196607:PZK196612 QIZ196607:QJG196612 QSV196607:QTC196612 RCR196607:RCY196612 RMN196607:RMU196612 RWJ196607:RWQ196612 SGF196607:SGM196612 SQB196607:SQI196612 SZX196607:TAE196612 TJT196607:TKA196612 TTP196607:TTW196612 UDL196607:UDS196612 UNH196607:UNO196612 UXD196607:UXK196612 VGZ196607:VHG196612 VQV196607:VRC196612 WAR196607:WAY196612 WKN196607:WKU196612 WUJ196607:WUQ196612 HX262143:IE262148 RT262143:SA262148 ABP262143:ABW262148 ALL262143:ALS262148 AVH262143:AVO262148 BFD262143:BFK262148 BOZ262143:BPG262148 BYV262143:BZC262148 CIR262143:CIY262148 CSN262143:CSU262148 DCJ262143:DCQ262148 DMF262143:DMM262148 DWB262143:DWI262148 EFX262143:EGE262148 EPT262143:EQA262148 EZP262143:EZW262148 FJL262143:FJS262148 FTH262143:FTO262148 GDD262143:GDK262148 GMZ262143:GNG262148 GWV262143:GXC262148 HGR262143:HGY262148 HQN262143:HQU262148 IAJ262143:IAQ262148 IKF262143:IKM262148 IUB262143:IUI262148 JDX262143:JEE262148 JNT262143:JOA262148 JXP262143:JXW262148 KHL262143:KHS262148 KRH262143:KRO262148 LBD262143:LBK262148 LKZ262143:LLG262148 LUV262143:LVC262148 MER262143:MEY262148 MON262143:MOU262148 MYJ262143:MYQ262148 NIF262143:NIM262148 NSB262143:NSI262148 OBX262143:OCE262148 OLT262143:OMA262148 OVP262143:OVW262148 PFL262143:PFS262148 PPH262143:PPO262148 PZD262143:PZK262148 QIZ262143:QJG262148 QSV262143:QTC262148 RCR262143:RCY262148 RMN262143:RMU262148 RWJ262143:RWQ262148 SGF262143:SGM262148 SQB262143:SQI262148 SZX262143:TAE262148 TJT262143:TKA262148 TTP262143:TTW262148 UDL262143:UDS262148 UNH262143:UNO262148 UXD262143:UXK262148 VGZ262143:VHG262148 VQV262143:VRC262148 WAR262143:WAY262148 WKN262143:WKU262148 WUJ262143:WUQ262148 HX327679:IE327684 RT327679:SA327684 ABP327679:ABW327684 ALL327679:ALS327684 AVH327679:AVO327684 BFD327679:BFK327684 BOZ327679:BPG327684 BYV327679:BZC327684 CIR327679:CIY327684 CSN327679:CSU327684 DCJ327679:DCQ327684 DMF327679:DMM327684 DWB327679:DWI327684 EFX327679:EGE327684 EPT327679:EQA327684 EZP327679:EZW327684 FJL327679:FJS327684 FTH327679:FTO327684 GDD327679:GDK327684 GMZ327679:GNG327684 GWV327679:GXC327684 HGR327679:HGY327684 HQN327679:HQU327684 IAJ327679:IAQ327684 IKF327679:IKM327684 IUB327679:IUI327684 JDX327679:JEE327684 JNT327679:JOA327684 JXP327679:JXW327684 KHL327679:KHS327684 KRH327679:KRO327684 LBD327679:LBK327684 LKZ327679:LLG327684 LUV327679:LVC327684 MER327679:MEY327684 MON327679:MOU327684 MYJ327679:MYQ327684 NIF327679:NIM327684 NSB327679:NSI327684 OBX327679:OCE327684 OLT327679:OMA327684 OVP327679:OVW327684 PFL327679:PFS327684 PPH327679:PPO327684 PZD327679:PZK327684 QIZ327679:QJG327684 QSV327679:QTC327684 RCR327679:RCY327684 RMN327679:RMU327684 RWJ327679:RWQ327684 SGF327679:SGM327684 SQB327679:SQI327684 SZX327679:TAE327684 TJT327679:TKA327684 TTP327679:TTW327684 UDL327679:UDS327684 UNH327679:UNO327684 UXD327679:UXK327684 VGZ327679:VHG327684 VQV327679:VRC327684 WAR327679:WAY327684 WKN327679:WKU327684 WUJ327679:WUQ327684 HX393215:IE393220 RT393215:SA393220 ABP393215:ABW393220 ALL393215:ALS393220 AVH393215:AVO393220 BFD393215:BFK393220 BOZ393215:BPG393220 BYV393215:BZC393220 CIR393215:CIY393220 CSN393215:CSU393220 DCJ393215:DCQ393220 DMF393215:DMM393220 DWB393215:DWI393220 EFX393215:EGE393220 EPT393215:EQA393220 EZP393215:EZW393220 FJL393215:FJS393220 FTH393215:FTO393220 GDD393215:GDK393220 GMZ393215:GNG393220 GWV393215:GXC393220 HGR393215:HGY393220 HQN393215:HQU393220 IAJ393215:IAQ393220 IKF393215:IKM393220 IUB393215:IUI393220 JDX393215:JEE393220 JNT393215:JOA393220 JXP393215:JXW393220 KHL393215:KHS393220 KRH393215:KRO393220 LBD393215:LBK393220 LKZ393215:LLG393220 LUV393215:LVC393220 MER393215:MEY393220 MON393215:MOU393220 MYJ393215:MYQ393220 NIF393215:NIM393220 NSB393215:NSI393220 OBX393215:OCE393220 OLT393215:OMA393220 OVP393215:OVW393220 PFL393215:PFS393220 PPH393215:PPO393220 PZD393215:PZK393220 QIZ393215:QJG393220 QSV393215:QTC393220 RCR393215:RCY393220 RMN393215:RMU393220 RWJ393215:RWQ393220 SGF393215:SGM393220 SQB393215:SQI393220 SZX393215:TAE393220 TJT393215:TKA393220 TTP393215:TTW393220 UDL393215:UDS393220 UNH393215:UNO393220 UXD393215:UXK393220 VGZ393215:VHG393220 VQV393215:VRC393220 WAR393215:WAY393220 WKN393215:WKU393220 WUJ393215:WUQ393220 HX458751:IE458756 RT458751:SA458756 ABP458751:ABW458756 ALL458751:ALS458756 AVH458751:AVO458756 BFD458751:BFK458756 BOZ458751:BPG458756 BYV458751:BZC458756 CIR458751:CIY458756 CSN458751:CSU458756 DCJ458751:DCQ458756 DMF458751:DMM458756 DWB458751:DWI458756 EFX458751:EGE458756 EPT458751:EQA458756 EZP458751:EZW458756 FJL458751:FJS458756 FTH458751:FTO458756 GDD458751:GDK458756 GMZ458751:GNG458756 GWV458751:GXC458756 HGR458751:HGY458756 HQN458751:HQU458756 IAJ458751:IAQ458756 IKF458751:IKM458756 IUB458751:IUI458756 JDX458751:JEE458756 JNT458751:JOA458756 JXP458751:JXW458756 KHL458751:KHS458756 KRH458751:KRO458756 LBD458751:LBK458756 LKZ458751:LLG458756 LUV458751:LVC458756 MER458751:MEY458756 MON458751:MOU458756 MYJ458751:MYQ458756 NIF458751:NIM458756 NSB458751:NSI458756 OBX458751:OCE458756 OLT458751:OMA458756 OVP458751:OVW458756 PFL458751:PFS458756 PPH458751:PPO458756 PZD458751:PZK458756 QIZ458751:QJG458756 QSV458751:QTC458756 RCR458751:RCY458756 RMN458751:RMU458756 RWJ458751:RWQ458756 SGF458751:SGM458756 SQB458751:SQI458756 SZX458751:TAE458756 TJT458751:TKA458756 TTP458751:TTW458756 UDL458751:UDS458756 UNH458751:UNO458756 UXD458751:UXK458756 VGZ458751:VHG458756 VQV458751:VRC458756 WAR458751:WAY458756 WKN458751:WKU458756 WUJ458751:WUQ458756 HX524287:IE524292 RT524287:SA524292 ABP524287:ABW524292 ALL524287:ALS524292 AVH524287:AVO524292 BFD524287:BFK524292 BOZ524287:BPG524292 BYV524287:BZC524292 CIR524287:CIY524292 CSN524287:CSU524292 DCJ524287:DCQ524292 DMF524287:DMM524292 DWB524287:DWI524292 EFX524287:EGE524292 EPT524287:EQA524292 EZP524287:EZW524292 FJL524287:FJS524292 FTH524287:FTO524292 GDD524287:GDK524292 GMZ524287:GNG524292 GWV524287:GXC524292 HGR524287:HGY524292 HQN524287:HQU524292 IAJ524287:IAQ524292 IKF524287:IKM524292 IUB524287:IUI524292 JDX524287:JEE524292 JNT524287:JOA524292 JXP524287:JXW524292 KHL524287:KHS524292 KRH524287:KRO524292 LBD524287:LBK524292 LKZ524287:LLG524292 LUV524287:LVC524292 MER524287:MEY524292 MON524287:MOU524292 MYJ524287:MYQ524292 NIF524287:NIM524292 NSB524287:NSI524292 OBX524287:OCE524292 OLT524287:OMA524292 OVP524287:OVW524292 PFL524287:PFS524292 PPH524287:PPO524292 PZD524287:PZK524292 QIZ524287:QJG524292 QSV524287:QTC524292 RCR524287:RCY524292 RMN524287:RMU524292 RWJ524287:RWQ524292 SGF524287:SGM524292 SQB524287:SQI524292 SZX524287:TAE524292 TJT524287:TKA524292 TTP524287:TTW524292 UDL524287:UDS524292 UNH524287:UNO524292 UXD524287:UXK524292 VGZ524287:VHG524292 VQV524287:VRC524292 WAR524287:WAY524292 WKN524287:WKU524292 WUJ524287:WUQ524292 HX589823:IE589828 RT589823:SA589828 ABP589823:ABW589828 ALL589823:ALS589828 AVH589823:AVO589828 BFD589823:BFK589828 BOZ589823:BPG589828 BYV589823:BZC589828 CIR589823:CIY589828 CSN589823:CSU589828 DCJ589823:DCQ589828 DMF589823:DMM589828 DWB589823:DWI589828 EFX589823:EGE589828 EPT589823:EQA589828 EZP589823:EZW589828 FJL589823:FJS589828 FTH589823:FTO589828 GDD589823:GDK589828 GMZ589823:GNG589828 GWV589823:GXC589828 HGR589823:HGY589828 HQN589823:HQU589828 IAJ589823:IAQ589828 IKF589823:IKM589828 IUB589823:IUI589828 JDX589823:JEE589828 JNT589823:JOA589828 JXP589823:JXW589828 KHL589823:KHS589828 KRH589823:KRO589828 LBD589823:LBK589828 LKZ589823:LLG589828 LUV589823:LVC589828 MER589823:MEY589828 MON589823:MOU589828 MYJ589823:MYQ589828 NIF589823:NIM589828 NSB589823:NSI589828 OBX589823:OCE589828 OLT589823:OMA589828 OVP589823:OVW589828 PFL589823:PFS589828 PPH589823:PPO589828 PZD589823:PZK589828 QIZ589823:QJG589828 QSV589823:QTC589828 RCR589823:RCY589828 RMN589823:RMU589828 RWJ589823:RWQ589828 SGF589823:SGM589828 SQB589823:SQI589828 SZX589823:TAE589828 TJT589823:TKA589828 TTP589823:TTW589828 UDL589823:UDS589828 UNH589823:UNO589828 UXD589823:UXK589828 VGZ589823:VHG589828 VQV589823:VRC589828 WAR589823:WAY589828 WKN589823:WKU589828 WUJ589823:WUQ589828 HX655359:IE655364 RT655359:SA655364 ABP655359:ABW655364 ALL655359:ALS655364 AVH655359:AVO655364 BFD655359:BFK655364 BOZ655359:BPG655364 BYV655359:BZC655364 CIR655359:CIY655364 CSN655359:CSU655364 DCJ655359:DCQ655364 DMF655359:DMM655364 DWB655359:DWI655364 EFX655359:EGE655364 EPT655359:EQA655364 EZP655359:EZW655364 FJL655359:FJS655364 FTH655359:FTO655364 GDD655359:GDK655364 GMZ655359:GNG655364 GWV655359:GXC655364 HGR655359:HGY655364 HQN655359:HQU655364 IAJ655359:IAQ655364 IKF655359:IKM655364 IUB655359:IUI655364 JDX655359:JEE655364 JNT655359:JOA655364 JXP655359:JXW655364 KHL655359:KHS655364 KRH655359:KRO655364 LBD655359:LBK655364 LKZ655359:LLG655364 LUV655359:LVC655364 MER655359:MEY655364 MON655359:MOU655364 MYJ655359:MYQ655364 NIF655359:NIM655364 NSB655359:NSI655364 OBX655359:OCE655364 OLT655359:OMA655364 OVP655359:OVW655364 PFL655359:PFS655364 PPH655359:PPO655364 PZD655359:PZK655364 QIZ655359:QJG655364 QSV655359:QTC655364 RCR655359:RCY655364 RMN655359:RMU655364 RWJ655359:RWQ655364 SGF655359:SGM655364 SQB655359:SQI655364 SZX655359:TAE655364 TJT655359:TKA655364 TTP655359:TTW655364 UDL655359:UDS655364 UNH655359:UNO655364 UXD655359:UXK655364 VGZ655359:VHG655364 VQV655359:VRC655364 WAR655359:WAY655364 WKN655359:WKU655364 WUJ655359:WUQ655364 HX720895:IE720900 RT720895:SA720900 ABP720895:ABW720900 ALL720895:ALS720900 AVH720895:AVO720900 BFD720895:BFK720900 BOZ720895:BPG720900 BYV720895:BZC720900 CIR720895:CIY720900 CSN720895:CSU720900 DCJ720895:DCQ720900 DMF720895:DMM720900 DWB720895:DWI720900 EFX720895:EGE720900 EPT720895:EQA720900 EZP720895:EZW720900 FJL720895:FJS720900 FTH720895:FTO720900 GDD720895:GDK720900 GMZ720895:GNG720900 GWV720895:GXC720900 HGR720895:HGY720900 HQN720895:HQU720900 IAJ720895:IAQ720900 IKF720895:IKM720900 IUB720895:IUI720900 JDX720895:JEE720900 JNT720895:JOA720900 JXP720895:JXW720900 KHL720895:KHS720900 KRH720895:KRO720900 LBD720895:LBK720900 LKZ720895:LLG720900 LUV720895:LVC720900 MER720895:MEY720900 MON720895:MOU720900 MYJ720895:MYQ720900 NIF720895:NIM720900 NSB720895:NSI720900 OBX720895:OCE720900 OLT720895:OMA720900 OVP720895:OVW720900 PFL720895:PFS720900 PPH720895:PPO720900 PZD720895:PZK720900 QIZ720895:QJG720900 QSV720895:QTC720900 RCR720895:RCY720900 RMN720895:RMU720900 RWJ720895:RWQ720900 SGF720895:SGM720900 SQB720895:SQI720900 SZX720895:TAE720900 TJT720895:TKA720900 TTP720895:TTW720900 UDL720895:UDS720900 UNH720895:UNO720900 UXD720895:UXK720900 VGZ720895:VHG720900 VQV720895:VRC720900 WAR720895:WAY720900 WKN720895:WKU720900 WUJ720895:WUQ720900 HX786431:IE786436 RT786431:SA786436 ABP786431:ABW786436 ALL786431:ALS786436 AVH786431:AVO786436 BFD786431:BFK786436 BOZ786431:BPG786436 BYV786431:BZC786436 CIR786431:CIY786436 CSN786431:CSU786436 DCJ786431:DCQ786436 DMF786431:DMM786436 DWB786431:DWI786436 EFX786431:EGE786436 EPT786431:EQA786436 EZP786431:EZW786436 FJL786431:FJS786436 FTH786431:FTO786436 GDD786431:GDK786436 GMZ786431:GNG786436 GWV786431:GXC786436 HGR786431:HGY786436 HQN786431:HQU786436 IAJ786431:IAQ786436 IKF786431:IKM786436 IUB786431:IUI786436 JDX786431:JEE786436 JNT786431:JOA786436 JXP786431:JXW786436 KHL786431:KHS786436 KRH786431:KRO786436 LBD786431:LBK786436 LKZ786431:LLG786436 LUV786431:LVC786436 MER786431:MEY786436 MON786431:MOU786436 MYJ786431:MYQ786436 NIF786431:NIM786436 NSB786431:NSI786436 OBX786431:OCE786436 OLT786431:OMA786436 OVP786431:OVW786436 PFL786431:PFS786436 PPH786431:PPO786436 PZD786431:PZK786436 QIZ786431:QJG786436 QSV786431:QTC786436 RCR786431:RCY786436 RMN786431:RMU786436 RWJ786431:RWQ786436 SGF786431:SGM786436 SQB786431:SQI786436 SZX786431:TAE786436 TJT786431:TKA786436 TTP786431:TTW786436 UDL786431:UDS786436 UNH786431:UNO786436 UXD786431:UXK786436 VGZ786431:VHG786436 VQV786431:VRC786436 WAR786431:WAY786436 WKN786431:WKU786436 WUJ786431:WUQ786436 HX851967:IE851972 RT851967:SA851972 ABP851967:ABW851972 ALL851967:ALS851972 AVH851967:AVO851972 BFD851967:BFK851972 BOZ851967:BPG851972 BYV851967:BZC851972 CIR851967:CIY851972 CSN851967:CSU851972 DCJ851967:DCQ851972 DMF851967:DMM851972 DWB851967:DWI851972 EFX851967:EGE851972 EPT851967:EQA851972 EZP851967:EZW851972 FJL851967:FJS851972 FTH851967:FTO851972 GDD851967:GDK851972 GMZ851967:GNG851972 GWV851967:GXC851972 HGR851967:HGY851972 HQN851967:HQU851972 IAJ851967:IAQ851972 IKF851967:IKM851972 IUB851967:IUI851972 JDX851967:JEE851972 JNT851967:JOA851972 JXP851967:JXW851972 KHL851967:KHS851972 KRH851967:KRO851972 LBD851967:LBK851972 LKZ851967:LLG851972 LUV851967:LVC851972 MER851967:MEY851972 MON851967:MOU851972 MYJ851967:MYQ851972 NIF851967:NIM851972 NSB851967:NSI851972 OBX851967:OCE851972 OLT851967:OMA851972 OVP851967:OVW851972 PFL851967:PFS851972 PPH851967:PPO851972 PZD851967:PZK851972 QIZ851967:QJG851972 QSV851967:QTC851972 RCR851967:RCY851972 RMN851967:RMU851972 RWJ851967:RWQ851972 SGF851967:SGM851972 SQB851967:SQI851972 SZX851967:TAE851972 TJT851967:TKA851972 TTP851967:TTW851972 UDL851967:UDS851972 UNH851967:UNO851972 UXD851967:UXK851972 VGZ851967:VHG851972 VQV851967:VRC851972 WAR851967:WAY851972 WKN851967:WKU851972 WUJ851967:WUQ851972 HX917503:IE917508 RT917503:SA917508 ABP917503:ABW917508 ALL917503:ALS917508 AVH917503:AVO917508 BFD917503:BFK917508 BOZ917503:BPG917508 BYV917503:BZC917508 CIR917503:CIY917508 CSN917503:CSU917508 DCJ917503:DCQ917508 DMF917503:DMM917508 DWB917503:DWI917508 EFX917503:EGE917508 EPT917503:EQA917508 EZP917503:EZW917508 FJL917503:FJS917508 FTH917503:FTO917508 GDD917503:GDK917508 GMZ917503:GNG917508 GWV917503:GXC917508 HGR917503:HGY917508 HQN917503:HQU917508 IAJ917503:IAQ917508 IKF917503:IKM917508 IUB917503:IUI917508 JDX917503:JEE917508 JNT917503:JOA917508 JXP917503:JXW917508 KHL917503:KHS917508 KRH917503:KRO917508 LBD917503:LBK917508 LKZ917503:LLG917508 LUV917503:LVC917508 MER917503:MEY917508 MON917503:MOU917508 MYJ917503:MYQ917508 NIF917503:NIM917508 NSB917503:NSI917508 OBX917503:OCE917508 OLT917503:OMA917508 OVP917503:OVW917508 PFL917503:PFS917508 PPH917503:PPO917508 PZD917503:PZK917508 QIZ917503:QJG917508 QSV917503:QTC917508 RCR917503:RCY917508 RMN917503:RMU917508 RWJ917503:RWQ917508 SGF917503:SGM917508 SQB917503:SQI917508 SZX917503:TAE917508 TJT917503:TKA917508 TTP917503:TTW917508 UDL917503:UDS917508 UNH917503:UNO917508 UXD917503:UXK917508 VGZ917503:VHG917508 VQV917503:VRC917508 WAR917503:WAY917508 WKN917503:WKU917508 WUJ917503:WUQ917508" xr:uid="{845E1607-DDA4-4DAB-99EB-EF8F27A27D4E}">
      <formula1>"サーバ,クライアント"</formula1>
    </dataValidation>
  </dataValidations>
  <pageMargins left="0.7" right="0.7" top="0.75" bottom="0.75" header="0.3" footer="0.3"/>
  <pageSetup paperSize="9" scale="65" fitToHeight="0" orientation="landscape" r:id="rId1"/>
  <ignoredErrors>
    <ignoredError sqref="A5:B17 A18:B24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40D2-E2DD-430D-830C-C81FDEB04A9D}">
  <sheetPr>
    <pageSetUpPr fitToPage="1"/>
  </sheetPr>
  <dimension ref="A1:CG299"/>
  <sheetViews>
    <sheetView showGridLines="0" view="pageBreakPreview" zoomScale="85" zoomScaleNormal="70" zoomScaleSheetLayoutView="85" workbookViewId="0">
      <selection sqref="A1:M1"/>
    </sheetView>
  </sheetViews>
  <sheetFormatPr defaultColWidth="2.54296875" defaultRowHeight="15"/>
  <cols>
    <col min="1" max="46" width="2.7265625" style="657" customWidth="1"/>
    <col min="47" max="48" width="3.26953125" style="657" customWidth="1"/>
    <col min="49" max="86" width="2.7265625" style="657" customWidth="1"/>
    <col min="87" max="16384" width="2.54296875" style="657"/>
  </cols>
  <sheetData>
    <row r="1" spans="1:85" ht="13.75" customHeight="1">
      <c r="A1" s="932" t="s">
        <v>433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CG1" s="656"/>
    </row>
    <row r="2" spans="1:85">
      <c r="A2" s="658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  <c r="AA2" s="659"/>
      <c r="AB2" s="659"/>
      <c r="AC2" s="659"/>
      <c r="AD2" s="659"/>
      <c r="AE2" s="659"/>
      <c r="AF2" s="659"/>
      <c r="AG2" s="659"/>
      <c r="AH2" s="659"/>
      <c r="AI2" s="659"/>
      <c r="AJ2" s="659"/>
      <c r="AK2" s="659"/>
      <c r="AL2" s="659"/>
      <c r="AM2" s="659"/>
      <c r="AN2" s="659"/>
      <c r="AO2" s="659"/>
      <c r="AP2" s="659"/>
      <c r="AQ2" s="659"/>
      <c r="AR2" s="659"/>
      <c r="AS2" s="659"/>
      <c r="AT2" s="659"/>
      <c r="AU2" s="659"/>
      <c r="AV2" s="659"/>
      <c r="AW2" s="659"/>
      <c r="AX2" s="659"/>
      <c r="AY2" s="659"/>
      <c r="AZ2" s="659"/>
      <c r="BA2" s="659"/>
      <c r="BB2" s="659"/>
      <c r="BC2" s="659"/>
      <c r="BD2" s="659"/>
      <c r="BE2" s="659"/>
      <c r="BF2" s="659"/>
      <c r="BG2" s="659"/>
      <c r="BH2" s="659"/>
      <c r="BI2" s="659"/>
      <c r="BJ2" s="659"/>
      <c r="BK2" s="659"/>
      <c r="BL2" s="659"/>
      <c r="BM2" s="659"/>
      <c r="BN2" s="659"/>
      <c r="BO2" s="659"/>
      <c r="BP2" s="659"/>
      <c r="BQ2" s="659"/>
      <c r="BR2" s="659"/>
      <c r="BS2" s="659"/>
      <c r="BT2" s="659"/>
      <c r="BU2" s="659"/>
      <c r="BV2" s="659"/>
      <c r="BW2" s="659"/>
      <c r="BX2" s="659"/>
      <c r="BY2" s="659"/>
      <c r="BZ2" s="659"/>
      <c r="CA2" s="659"/>
      <c r="CB2" s="659"/>
      <c r="CC2" s="659"/>
      <c r="CD2" s="659"/>
      <c r="CE2" s="659"/>
      <c r="CF2" s="659"/>
      <c r="CG2" s="660"/>
    </row>
    <row r="3" spans="1:85">
      <c r="A3" s="661"/>
      <c r="B3" s="662" t="s">
        <v>603</v>
      </c>
      <c r="CG3" s="656"/>
    </row>
    <row r="4" spans="1:85">
      <c r="A4" s="661"/>
      <c r="CG4" s="656"/>
    </row>
    <row r="5" spans="1:85">
      <c r="A5" s="661"/>
      <c r="E5" s="663" t="s">
        <v>434</v>
      </c>
      <c r="F5" s="663"/>
      <c r="G5" s="663"/>
      <c r="H5" s="663"/>
      <c r="J5" s="663"/>
      <c r="K5" s="663"/>
      <c r="L5" s="663"/>
      <c r="M5" s="663"/>
      <c r="N5" s="663"/>
      <c r="O5" s="663"/>
      <c r="P5" s="663"/>
      <c r="Q5" s="663"/>
      <c r="R5" s="663"/>
      <c r="S5" s="663"/>
      <c r="T5" s="663"/>
      <c r="U5" s="663"/>
      <c r="V5" s="663"/>
      <c r="W5" s="663"/>
      <c r="X5" s="663"/>
      <c r="Y5" s="663"/>
      <c r="Z5" s="663"/>
      <c r="AA5" s="663"/>
      <c r="AB5" s="663"/>
      <c r="AC5" s="663"/>
      <c r="AD5" s="663"/>
      <c r="AE5" s="663"/>
      <c r="AF5" s="663"/>
      <c r="AG5" s="663"/>
      <c r="AH5" s="663"/>
      <c r="AI5" s="663"/>
      <c r="AJ5" s="663"/>
      <c r="AK5" s="663"/>
      <c r="AL5" s="663"/>
      <c r="AM5" s="663"/>
      <c r="AN5" s="663"/>
      <c r="AO5" s="663"/>
      <c r="AP5" s="663"/>
      <c r="AQ5" s="663"/>
      <c r="AR5" s="663"/>
      <c r="AS5" s="663"/>
      <c r="AT5" s="663"/>
      <c r="AU5" s="663"/>
      <c r="CG5" s="656"/>
    </row>
    <row r="6" spans="1:85">
      <c r="A6" s="661"/>
      <c r="E6" s="663"/>
      <c r="F6" s="663"/>
      <c r="G6" s="663"/>
      <c r="H6" s="663"/>
      <c r="I6" s="663"/>
      <c r="J6" s="663"/>
      <c r="K6" s="663"/>
      <c r="L6" s="663"/>
      <c r="M6" s="663"/>
      <c r="N6" s="663"/>
      <c r="O6" s="663"/>
      <c r="P6" s="663"/>
      <c r="Q6" s="663"/>
      <c r="R6" s="663"/>
      <c r="S6" s="663"/>
      <c r="T6" s="663"/>
      <c r="U6" s="663"/>
      <c r="V6" s="663"/>
      <c r="W6" s="663"/>
      <c r="X6" s="663"/>
      <c r="Y6" s="663"/>
      <c r="Z6" s="663"/>
      <c r="AA6" s="663"/>
      <c r="AB6" s="663"/>
      <c r="AC6" s="663"/>
      <c r="AD6" s="663"/>
      <c r="AE6" s="663"/>
      <c r="AF6" s="663"/>
      <c r="AG6" s="663"/>
      <c r="AH6" s="663"/>
      <c r="AI6" s="663"/>
      <c r="AJ6" s="663"/>
      <c r="AK6" s="663"/>
      <c r="AL6" s="663"/>
      <c r="AM6" s="663"/>
      <c r="AN6" s="663"/>
      <c r="AO6" s="663"/>
      <c r="AP6" s="663"/>
      <c r="AQ6" s="663"/>
      <c r="AR6" s="663"/>
      <c r="AS6" s="663"/>
      <c r="AT6" s="663"/>
      <c r="AU6" s="663"/>
      <c r="CG6" s="656"/>
    </row>
    <row r="7" spans="1:85">
      <c r="A7" s="661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L7" s="663"/>
      <c r="AM7" s="663"/>
      <c r="AN7" s="663"/>
      <c r="AO7" s="663"/>
      <c r="AP7" s="663"/>
      <c r="AQ7" s="663"/>
      <c r="AR7" s="663"/>
      <c r="AS7" s="663"/>
      <c r="AT7" s="663"/>
      <c r="AU7" s="663"/>
      <c r="CG7" s="656"/>
    </row>
    <row r="8" spans="1:85">
      <c r="A8" s="661"/>
      <c r="E8" s="663"/>
      <c r="F8" s="663"/>
      <c r="G8" s="663"/>
      <c r="H8" s="663"/>
      <c r="I8" s="663"/>
      <c r="J8" s="663"/>
      <c r="K8" s="663"/>
      <c r="L8" s="663"/>
      <c r="M8" s="663"/>
      <c r="N8" s="663"/>
      <c r="O8" s="663"/>
      <c r="P8" s="663"/>
      <c r="Q8" s="663"/>
      <c r="R8" s="663"/>
      <c r="S8" s="663"/>
      <c r="T8" s="663"/>
      <c r="U8" s="663"/>
      <c r="V8" s="663"/>
      <c r="W8" s="663"/>
      <c r="X8" s="663"/>
      <c r="Y8" s="663"/>
      <c r="Z8" s="663"/>
      <c r="AA8" s="663"/>
      <c r="AB8" s="663"/>
      <c r="AC8" s="663"/>
      <c r="AD8" s="663"/>
      <c r="AE8" s="663"/>
      <c r="AF8" s="663"/>
      <c r="AG8" s="663"/>
      <c r="AH8" s="663"/>
      <c r="AI8" s="663"/>
      <c r="AJ8" s="663"/>
      <c r="AK8" s="663"/>
      <c r="AL8" s="663"/>
      <c r="AM8" s="663"/>
      <c r="AN8" s="663"/>
      <c r="AO8" s="663"/>
      <c r="AP8" s="663"/>
      <c r="AQ8" s="663"/>
      <c r="AR8" s="663"/>
      <c r="AS8" s="663"/>
      <c r="AT8" s="663"/>
      <c r="AU8" s="663"/>
      <c r="CG8" s="656"/>
    </row>
    <row r="9" spans="1:85">
      <c r="A9" s="661"/>
      <c r="E9" s="663"/>
      <c r="F9" s="663"/>
      <c r="G9" s="663"/>
      <c r="H9" s="663"/>
      <c r="I9" s="663"/>
      <c r="J9" s="663"/>
      <c r="K9" s="663"/>
      <c r="L9" s="663"/>
      <c r="M9" s="663"/>
      <c r="N9" s="663"/>
      <c r="O9" s="663"/>
      <c r="P9" s="663"/>
      <c r="Q9" s="663"/>
      <c r="R9" s="663"/>
      <c r="S9" s="663"/>
      <c r="T9" s="663"/>
      <c r="U9" s="663"/>
      <c r="V9" s="663"/>
      <c r="W9" s="663"/>
      <c r="X9" s="663"/>
      <c r="Y9" s="663"/>
      <c r="Z9" s="663"/>
      <c r="AA9" s="663"/>
      <c r="AB9" s="663"/>
      <c r="AC9" s="663"/>
      <c r="AD9" s="663"/>
      <c r="AE9" s="663"/>
      <c r="AF9" s="663"/>
      <c r="AG9" s="663"/>
      <c r="AH9" s="663"/>
      <c r="AI9" s="663"/>
      <c r="AJ9" s="663"/>
      <c r="AK9" s="663"/>
      <c r="AL9" s="663"/>
      <c r="AM9" s="663"/>
      <c r="AN9" s="663"/>
      <c r="AO9" s="663"/>
      <c r="AP9" s="663"/>
      <c r="AQ9" s="663"/>
      <c r="AR9" s="663"/>
      <c r="AS9" s="663"/>
      <c r="AT9" s="663"/>
      <c r="AU9" s="663"/>
      <c r="CG9" s="656"/>
    </row>
    <row r="10" spans="1:85">
      <c r="A10" s="661"/>
      <c r="E10" s="663"/>
      <c r="F10" s="663"/>
      <c r="G10" s="663"/>
      <c r="H10" s="663"/>
      <c r="I10" s="663"/>
      <c r="J10" s="663"/>
      <c r="K10" s="663"/>
      <c r="L10" s="663"/>
      <c r="M10" s="663"/>
      <c r="N10" s="663"/>
      <c r="O10" s="663"/>
      <c r="P10" s="663"/>
      <c r="Q10" s="663"/>
      <c r="R10" s="663"/>
      <c r="S10" s="663"/>
      <c r="T10" s="663"/>
      <c r="U10" s="663"/>
      <c r="V10" s="663"/>
      <c r="W10" s="663"/>
      <c r="X10" s="663"/>
      <c r="Y10" s="663"/>
      <c r="Z10" s="663"/>
      <c r="AA10" s="663"/>
      <c r="AB10" s="663"/>
      <c r="AC10" s="663"/>
      <c r="AD10" s="663"/>
      <c r="AE10" s="663"/>
      <c r="AF10" s="663"/>
      <c r="AG10" s="663"/>
      <c r="AH10" s="663"/>
      <c r="AI10" s="663"/>
      <c r="AJ10" s="663"/>
      <c r="AK10" s="663"/>
      <c r="AL10" s="663"/>
      <c r="AM10" s="663"/>
      <c r="AN10" s="663"/>
      <c r="AO10" s="663"/>
      <c r="AP10" s="663"/>
      <c r="AQ10" s="663"/>
      <c r="AR10" s="663"/>
      <c r="AS10" s="663"/>
      <c r="AT10" s="663"/>
      <c r="AU10" s="663"/>
      <c r="CG10" s="656"/>
    </row>
    <row r="11" spans="1:85">
      <c r="A11" s="661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663"/>
      <c r="AR11" s="663"/>
      <c r="AS11" s="663"/>
      <c r="AT11" s="663"/>
      <c r="AU11" s="663"/>
      <c r="CG11" s="656"/>
    </row>
    <row r="12" spans="1:85">
      <c r="A12" s="661"/>
      <c r="E12" s="663"/>
      <c r="F12" s="663"/>
      <c r="G12" s="663"/>
      <c r="H12" s="663"/>
      <c r="I12" s="663"/>
      <c r="J12" s="663"/>
      <c r="K12" s="663"/>
      <c r="L12" s="663"/>
      <c r="M12" s="663"/>
      <c r="N12" s="663"/>
      <c r="O12" s="663"/>
      <c r="P12" s="663"/>
      <c r="Q12" s="663"/>
      <c r="R12" s="663"/>
      <c r="S12" s="663"/>
      <c r="T12" s="663"/>
      <c r="U12" s="663"/>
      <c r="V12" s="663"/>
      <c r="W12" s="663"/>
      <c r="X12" s="663"/>
      <c r="Y12" s="663"/>
      <c r="Z12" s="663"/>
      <c r="AA12" s="663"/>
      <c r="AB12" s="663"/>
      <c r="AC12" s="663"/>
      <c r="AD12" s="663"/>
      <c r="AE12" s="663"/>
      <c r="AF12" s="663"/>
      <c r="AG12" s="663"/>
      <c r="AH12" s="663"/>
      <c r="AI12" s="663"/>
      <c r="AJ12" s="663"/>
      <c r="AK12" s="663"/>
      <c r="AL12" s="663"/>
      <c r="AM12" s="663"/>
      <c r="AN12" s="663"/>
      <c r="AO12" s="663"/>
      <c r="AP12" s="663"/>
      <c r="AQ12" s="663"/>
      <c r="AR12" s="663"/>
      <c r="AS12" s="663"/>
      <c r="AT12" s="663"/>
      <c r="AU12" s="663"/>
      <c r="CG12" s="656"/>
    </row>
    <row r="13" spans="1:85">
      <c r="A13" s="661"/>
      <c r="E13" s="663"/>
      <c r="F13" s="663"/>
      <c r="G13" s="663"/>
      <c r="H13" s="663"/>
      <c r="I13" s="663"/>
      <c r="J13" s="663"/>
      <c r="K13" s="663"/>
      <c r="L13" s="663"/>
      <c r="M13" s="663"/>
      <c r="N13" s="663"/>
      <c r="O13" s="663"/>
      <c r="P13" s="663"/>
      <c r="Q13" s="663"/>
      <c r="R13" s="663"/>
      <c r="S13" s="663"/>
      <c r="T13" s="663"/>
      <c r="U13" s="663"/>
      <c r="V13" s="663"/>
      <c r="W13" s="663"/>
      <c r="X13" s="663"/>
      <c r="Y13" s="663"/>
      <c r="Z13" s="663"/>
      <c r="AA13" s="663"/>
      <c r="AB13" s="663"/>
      <c r="AC13" s="663"/>
      <c r="AD13" s="663"/>
      <c r="AE13" s="663"/>
      <c r="AF13" s="663"/>
      <c r="AG13" s="663"/>
      <c r="AH13" s="663"/>
      <c r="AI13" s="663"/>
      <c r="AJ13" s="663"/>
      <c r="AK13" s="663"/>
      <c r="AL13" s="663"/>
      <c r="AM13" s="663"/>
      <c r="AN13" s="663"/>
      <c r="AO13" s="663"/>
      <c r="AP13" s="663"/>
      <c r="AQ13" s="663"/>
      <c r="AR13" s="663"/>
      <c r="AS13" s="663"/>
      <c r="AT13" s="663"/>
      <c r="AU13" s="663"/>
      <c r="CG13" s="656"/>
    </row>
    <row r="14" spans="1:85">
      <c r="A14" s="661"/>
      <c r="E14" s="663"/>
      <c r="F14" s="663"/>
      <c r="G14" s="663"/>
      <c r="H14" s="663"/>
      <c r="I14" s="663"/>
      <c r="J14" s="663"/>
      <c r="K14" s="663"/>
      <c r="L14" s="663"/>
      <c r="M14" s="663"/>
      <c r="N14" s="663"/>
      <c r="O14" s="663"/>
      <c r="P14" s="663"/>
      <c r="Q14" s="663"/>
      <c r="R14" s="663"/>
      <c r="S14" s="663"/>
      <c r="T14" s="663"/>
      <c r="U14" s="663"/>
      <c r="V14" s="663"/>
      <c r="W14" s="663"/>
      <c r="X14" s="663"/>
      <c r="Y14" s="663"/>
      <c r="Z14" s="663"/>
      <c r="AA14" s="663"/>
      <c r="AB14" s="663"/>
      <c r="AC14" s="663"/>
      <c r="AD14" s="663"/>
      <c r="AE14" s="663"/>
      <c r="AF14" s="663"/>
      <c r="AG14" s="663"/>
      <c r="AH14" s="663"/>
      <c r="AI14" s="663"/>
      <c r="AJ14" s="663"/>
      <c r="AK14" s="663"/>
      <c r="AL14" s="663"/>
      <c r="AM14" s="663"/>
      <c r="AN14" s="663"/>
      <c r="AO14" s="663"/>
      <c r="AP14" s="663"/>
      <c r="AQ14" s="663"/>
      <c r="AR14" s="663"/>
      <c r="AS14" s="663"/>
      <c r="AT14" s="663"/>
      <c r="AU14" s="663"/>
      <c r="CG14" s="656"/>
    </row>
    <row r="15" spans="1:85">
      <c r="A15" s="661"/>
      <c r="E15" s="663"/>
      <c r="F15" s="663"/>
      <c r="G15" s="663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3"/>
      <c r="W15" s="663"/>
      <c r="X15" s="663"/>
      <c r="Y15" s="663"/>
      <c r="Z15" s="663"/>
      <c r="AA15" s="663"/>
      <c r="AB15" s="663"/>
      <c r="AC15" s="663"/>
      <c r="AD15" s="663"/>
      <c r="AE15" s="663"/>
      <c r="AF15" s="663"/>
      <c r="AG15" s="663"/>
      <c r="AH15" s="663"/>
      <c r="AI15" s="663"/>
      <c r="AJ15" s="663"/>
      <c r="AK15" s="663"/>
      <c r="AL15" s="663"/>
      <c r="AM15" s="663"/>
      <c r="AN15" s="663"/>
      <c r="AO15" s="663"/>
      <c r="AP15" s="663"/>
      <c r="AQ15" s="663"/>
      <c r="AR15" s="663"/>
      <c r="AS15" s="663"/>
      <c r="AT15" s="663"/>
      <c r="AU15" s="663"/>
      <c r="CG15" s="656"/>
    </row>
    <row r="16" spans="1:85">
      <c r="A16" s="661"/>
      <c r="E16" s="663"/>
      <c r="F16" s="663"/>
      <c r="G16" s="663"/>
      <c r="H16" s="663"/>
      <c r="I16" s="663"/>
      <c r="J16" s="663"/>
      <c r="K16" s="663"/>
      <c r="L16" s="663"/>
      <c r="M16" s="663"/>
      <c r="N16" s="663"/>
      <c r="O16" s="663"/>
      <c r="P16" s="663"/>
      <c r="Q16" s="663"/>
      <c r="R16" s="663"/>
      <c r="S16" s="663"/>
      <c r="T16" s="663"/>
      <c r="U16" s="663"/>
      <c r="V16" s="663"/>
      <c r="W16" s="663"/>
      <c r="X16" s="663"/>
      <c r="Y16" s="663"/>
      <c r="Z16" s="663"/>
      <c r="AA16" s="663"/>
      <c r="AB16" s="663"/>
      <c r="AC16" s="663"/>
      <c r="AD16" s="663"/>
      <c r="AE16" s="663"/>
      <c r="AF16" s="663"/>
      <c r="AG16" s="663"/>
      <c r="AH16" s="663"/>
      <c r="AI16" s="663"/>
      <c r="AJ16" s="663"/>
      <c r="AK16" s="663"/>
      <c r="AL16" s="663"/>
      <c r="AM16" s="663"/>
      <c r="AN16" s="663"/>
      <c r="AO16" s="663"/>
      <c r="AP16" s="663"/>
      <c r="AQ16" s="663"/>
      <c r="AR16" s="663"/>
      <c r="AS16" s="663"/>
      <c r="AT16" s="663"/>
      <c r="AU16" s="663"/>
      <c r="CG16" s="656"/>
    </row>
    <row r="17" spans="1:85">
      <c r="A17" s="661"/>
      <c r="E17" s="663"/>
      <c r="F17" s="663"/>
      <c r="G17" s="663"/>
      <c r="H17" s="663"/>
      <c r="I17" s="663"/>
      <c r="J17" s="663"/>
      <c r="K17" s="663"/>
      <c r="L17" s="663"/>
      <c r="M17" s="663"/>
      <c r="N17" s="663"/>
      <c r="O17" s="663"/>
      <c r="P17" s="663"/>
      <c r="Q17" s="663"/>
      <c r="R17" s="663"/>
      <c r="S17" s="663"/>
      <c r="T17" s="663"/>
      <c r="U17" s="663"/>
      <c r="V17" s="663"/>
      <c r="W17" s="663"/>
      <c r="X17" s="663"/>
      <c r="Y17" s="663"/>
      <c r="Z17" s="663"/>
      <c r="AA17" s="663"/>
      <c r="AB17" s="663"/>
      <c r="AC17" s="663"/>
      <c r="AD17" s="663"/>
      <c r="AE17" s="663"/>
      <c r="AF17" s="663"/>
      <c r="AG17" s="663"/>
      <c r="AH17" s="663"/>
      <c r="AI17" s="663"/>
      <c r="AJ17" s="663"/>
      <c r="AK17" s="663"/>
      <c r="AL17" s="663"/>
      <c r="AM17" s="663"/>
      <c r="AN17" s="663"/>
      <c r="AO17" s="663"/>
      <c r="AP17" s="663"/>
      <c r="AQ17" s="663"/>
      <c r="AR17" s="663"/>
      <c r="AS17" s="663"/>
      <c r="AT17" s="663"/>
      <c r="AU17" s="663"/>
      <c r="CG17" s="656"/>
    </row>
    <row r="18" spans="1:85">
      <c r="A18" s="661"/>
      <c r="E18" s="663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3"/>
      <c r="Q18" s="663"/>
      <c r="R18" s="663"/>
      <c r="S18" s="663"/>
      <c r="T18" s="663"/>
      <c r="U18" s="663"/>
      <c r="V18" s="663"/>
      <c r="W18" s="663"/>
      <c r="X18" s="663"/>
      <c r="Y18" s="663"/>
      <c r="Z18" s="663"/>
      <c r="AA18" s="663"/>
      <c r="AB18" s="663"/>
      <c r="AC18" s="663"/>
      <c r="AD18" s="663"/>
      <c r="AE18" s="663"/>
      <c r="AF18" s="663"/>
      <c r="AG18" s="663"/>
      <c r="AH18" s="663"/>
      <c r="AI18" s="663"/>
      <c r="AJ18" s="663"/>
      <c r="AK18" s="663"/>
      <c r="AL18" s="663"/>
      <c r="AM18" s="663"/>
      <c r="AN18" s="663"/>
      <c r="AO18" s="663"/>
      <c r="AP18" s="663"/>
      <c r="AQ18" s="663"/>
      <c r="AR18" s="663"/>
      <c r="AS18" s="663"/>
      <c r="AT18" s="663"/>
      <c r="AU18" s="663"/>
      <c r="CG18" s="656"/>
    </row>
    <row r="19" spans="1:85">
      <c r="A19" s="661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663"/>
      <c r="AB19" s="663"/>
      <c r="AC19" s="663"/>
      <c r="AD19" s="663"/>
      <c r="AE19" s="663"/>
      <c r="AF19" s="663"/>
      <c r="AG19" s="663"/>
      <c r="AH19" s="663"/>
      <c r="AI19" s="663"/>
      <c r="AJ19" s="663"/>
      <c r="AK19" s="663"/>
      <c r="AL19" s="663"/>
      <c r="AM19" s="663"/>
      <c r="AN19" s="663"/>
      <c r="AO19" s="663"/>
      <c r="AP19" s="663"/>
      <c r="AQ19" s="663"/>
      <c r="AR19" s="663"/>
      <c r="AS19" s="663"/>
      <c r="AT19" s="663"/>
      <c r="AU19" s="663"/>
      <c r="CG19" s="656"/>
    </row>
    <row r="20" spans="1:85">
      <c r="A20" s="661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63"/>
      <c r="AB20" s="663"/>
      <c r="AC20" s="663"/>
      <c r="AD20" s="663"/>
      <c r="AE20" s="663"/>
      <c r="AF20" s="663"/>
      <c r="AG20" s="663"/>
      <c r="AH20" s="663"/>
      <c r="AI20" s="663"/>
      <c r="AJ20" s="663"/>
      <c r="AK20" s="663"/>
      <c r="AL20" s="663"/>
      <c r="AM20" s="663"/>
      <c r="AN20" s="663"/>
      <c r="AO20" s="663"/>
      <c r="AP20" s="663"/>
      <c r="AQ20" s="663"/>
      <c r="AR20" s="663"/>
      <c r="AS20" s="663"/>
      <c r="AT20" s="663"/>
      <c r="AU20" s="663"/>
      <c r="CG20" s="656"/>
    </row>
    <row r="21" spans="1:85">
      <c r="A21" s="661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63"/>
      <c r="AB21" s="663"/>
      <c r="AC21" s="663"/>
      <c r="AD21" s="663"/>
      <c r="AE21" s="663"/>
      <c r="AF21" s="663"/>
      <c r="AG21" s="663"/>
      <c r="AH21" s="663"/>
      <c r="AI21" s="663"/>
      <c r="AJ21" s="663"/>
      <c r="AK21" s="663"/>
      <c r="AL21" s="663"/>
      <c r="AM21" s="663"/>
      <c r="AN21" s="663"/>
      <c r="AO21" s="663"/>
      <c r="AP21" s="663"/>
      <c r="AQ21" s="663"/>
      <c r="AR21" s="663"/>
      <c r="AS21" s="663"/>
      <c r="AT21" s="663"/>
      <c r="AU21" s="663"/>
      <c r="CG21" s="656"/>
    </row>
    <row r="22" spans="1:85">
      <c r="A22" s="661"/>
      <c r="E22" s="663"/>
      <c r="F22" s="663"/>
      <c r="G22" s="663"/>
      <c r="H22" s="663"/>
      <c r="I22" s="663"/>
      <c r="J22" s="663"/>
      <c r="K22" s="663"/>
      <c r="L22" s="663"/>
      <c r="M22" s="663"/>
      <c r="N22" s="663"/>
      <c r="O22" s="663"/>
      <c r="P22" s="663"/>
      <c r="Q22" s="663"/>
      <c r="R22" s="663"/>
      <c r="S22" s="663"/>
      <c r="T22" s="663"/>
      <c r="U22" s="663"/>
      <c r="V22" s="663"/>
      <c r="W22" s="663"/>
      <c r="X22" s="663"/>
      <c r="Y22" s="663"/>
      <c r="Z22" s="663"/>
      <c r="AA22" s="663"/>
      <c r="AB22" s="663"/>
      <c r="AC22" s="663"/>
      <c r="AD22" s="663"/>
      <c r="AE22" s="663"/>
      <c r="AF22" s="663"/>
      <c r="AG22" s="663"/>
      <c r="AH22" s="663"/>
      <c r="AI22" s="663"/>
      <c r="AJ22" s="663"/>
      <c r="AK22" s="663"/>
      <c r="AL22" s="663"/>
      <c r="AM22" s="663"/>
      <c r="AN22" s="663"/>
      <c r="AO22" s="663"/>
      <c r="AP22" s="663"/>
      <c r="AQ22" s="663"/>
      <c r="AR22" s="663"/>
      <c r="AS22" s="663"/>
      <c r="AT22" s="663"/>
      <c r="AU22" s="663"/>
      <c r="CG22" s="656"/>
    </row>
    <row r="23" spans="1:85">
      <c r="A23" s="661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3"/>
      <c r="X23" s="663"/>
      <c r="Y23" s="663"/>
      <c r="Z23" s="663"/>
      <c r="AA23" s="663"/>
      <c r="AB23" s="663"/>
      <c r="AC23" s="663"/>
      <c r="AD23" s="663"/>
      <c r="AE23" s="663"/>
      <c r="AF23" s="663"/>
      <c r="AG23" s="663"/>
      <c r="AH23" s="663"/>
      <c r="AI23" s="663"/>
      <c r="AJ23" s="663"/>
      <c r="AK23" s="663"/>
      <c r="AL23" s="663"/>
      <c r="AM23" s="663"/>
      <c r="AN23" s="663"/>
      <c r="AO23" s="663"/>
      <c r="AP23" s="663"/>
      <c r="AQ23" s="663"/>
      <c r="AR23" s="663"/>
      <c r="AS23" s="663"/>
      <c r="AT23" s="663"/>
      <c r="AU23" s="663"/>
      <c r="CG23" s="656"/>
    </row>
    <row r="24" spans="1:85">
      <c r="A24" s="661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3"/>
      <c r="P24" s="663"/>
      <c r="Q24" s="663"/>
      <c r="R24" s="663"/>
      <c r="S24" s="663"/>
      <c r="T24" s="663"/>
      <c r="U24" s="663"/>
      <c r="V24" s="663"/>
      <c r="W24" s="663"/>
      <c r="X24" s="663"/>
      <c r="Y24" s="663"/>
      <c r="Z24" s="663"/>
      <c r="AA24" s="663"/>
      <c r="AB24" s="663"/>
      <c r="AC24" s="663"/>
      <c r="AD24" s="663"/>
      <c r="AE24" s="663"/>
      <c r="AF24" s="663"/>
      <c r="AG24" s="663"/>
      <c r="AH24" s="663"/>
      <c r="AI24" s="663"/>
      <c r="AJ24" s="663"/>
      <c r="AK24" s="663"/>
      <c r="AL24" s="663"/>
      <c r="AM24" s="663"/>
      <c r="AN24" s="663"/>
      <c r="AO24" s="663"/>
      <c r="AP24" s="663"/>
      <c r="AQ24" s="663"/>
      <c r="AR24" s="663"/>
      <c r="AS24" s="663"/>
      <c r="AT24" s="663"/>
      <c r="AU24" s="663"/>
      <c r="CG24" s="656"/>
    </row>
    <row r="25" spans="1:85">
      <c r="A25" s="661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3"/>
      <c r="P25" s="663"/>
      <c r="Q25" s="663"/>
      <c r="R25" s="663"/>
      <c r="S25" s="663"/>
      <c r="T25" s="663"/>
      <c r="U25" s="663"/>
      <c r="V25" s="663"/>
      <c r="W25" s="663"/>
      <c r="X25" s="663"/>
      <c r="Y25" s="663"/>
      <c r="Z25" s="663"/>
      <c r="AA25" s="663"/>
      <c r="AB25" s="663"/>
      <c r="AC25" s="663"/>
      <c r="AD25" s="663"/>
      <c r="AE25" s="663"/>
      <c r="AF25" s="663"/>
      <c r="AG25" s="663"/>
      <c r="AH25" s="663"/>
      <c r="AI25" s="663"/>
      <c r="AJ25" s="663"/>
      <c r="AK25" s="663"/>
      <c r="AL25" s="663"/>
      <c r="AM25" s="663"/>
      <c r="AN25" s="663"/>
      <c r="AO25" s="663"/>
      <c r="AP25" s="663"/>
      <c r="AQ25" s="663"/>
      <c r="AR25" s="663"/>
      <c r="AS25" s="663"/>
      <c r="AT25" s="663"/>
      <c r="AU25" s="663"/>
      <c r="CG25" s="656"/>
    </row>
    <row r="26" spans="1:85">
      <c r="A26" s="661"/>
      <c r="E26" s="663"/>
      <c r="F26" s="663"/>
      <c r="G26" s="663"/>
      <c r="H26" s="663"/>
      <c r="I26" s="663"/>
      <c r="J26" s="663"/>
      <c r="K26" s="663"/>
      <c r="L26" s="663"/>
      <c r="M26" s="663"/>
      <c r="N26" s="663"/>
      <c r="O26" s="663"/>
      <c r="P26" s="663"/>
      <c r="Q26" s="663"/>
      <c r="R26" s="663"/>
      <c r="S26" s="663"/>
      <c r="T26" s="663"/>
      <c r="U26" s="663"/>
      <c r="V26" s="663"/>
      <c r="W26" s="663"/>
      <c r="X26" s="663"/>
      <c r="Y26" s="663"/>
      <c r="Z26" s="663"/>
      <c r="AA26" s="663"/>
      <c r="AB26" s="663"/>
      <c r="AC26" s="663"/>
      <c r="AD26" s="663"/>
      <c r="AE26" s="663"/>
      <c r="AF26" s="663"/>
      <c r="AG26" s="663"/>
      <c r="AH26" s="663"/>
      <c r="AI26" s="663"/>
      <c r="AJ26" s="663"/>
      <c r="AK26" s="663"/>
      <c r="AL26" s="663"/>
      <c r="AM26" s="663"/>
      <c r="AN26" s="663"/>
      <c r="AO26" s="663"/>
      <c r="AP26" s="663"/>
      <c r="AQ26" s="663"/>
      <c r="AR26" s="663"/>
      <c r="AS26" s="663"/>
      <c r="AT26" s="663"/>
      <c r="AU26" s="663"/>
      <c r="CG26" s="656"/>
    </row>
    <row r="27" spans="1:85">
      <c r="A27" s="661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63"/>
      <c r="AB27" s="663"/>
      <c r="AC27" s="663"/>
      <c r="AD27" s="663"/>
      <c r="AE27" s="663"/>
      <c r="AF27" s="663"/>
      <c r="AG27" s="663"/>
      <c r="AH27" s="663"/>
      <c r="AI27" s="663"/>
      <c r="AJ27" s="663"/>
      <c r="AK27" s="663"/>
      <c r="AL27" s="663"/>
      <c r="AM27" s="663"/>
      <c r="AN27" s="663"/>
      <c r="AO27" s="663"/>
      <c r="AP27" s="663"/>
      <c r="AQ27" s="663"/>
      <c r="AR27" s="663"/>
      <c r="AS27" s="663"/>
      <c r="AT27" s="663"/>
      <c r="AU27" s="663"/>
      <c r="CG27" s="656"/>
    </row>
    <row r="28" spans="1:85">
      <c r="A28" s="661"/>
      <c r="E28" s="663"/>
      <c r="F28" s="663"/>
      <c r="G28" s="663"/>
      <c r="H28" s="663"/>
      <c r="I28" s="663"/>
      <c r="J28" s="663"/>
      <c r="K28" s="663"/>
      <c r="L28" s="663"/>
      <c r="M28" s="663"/>
      <c r="N28" s="663"/>
      <c r="O28" s="663"/>
      <c r="P28" s="663"/>
      <c r="Q28" s="663"/>
      <c r="R28" s="663"/>
      <c r="S28" s="663"/>
      <c r="T28" s="663"/>
      <c r="U28" s="663"/>
      <c r="V28" s="663"/>
      <c r="W28" s="663"/>
      <c r="X28" s="663"/>
      <c r="Y28" s="663"/>
      <c r="Z28" s="663"/>
      <c r="AA28" s="663"/>
      <c r="AB28" s="663"/>
      <c r="AC28" s="663"/>
      <c r="AD28" s="663"/>
      <c r="AE28" s="663"/>
      <c r="AF28" s="663"/>
      <c r="AG28" s="663"/>
      <c r="AH28" s="663"/>
      <c r="AI28" s="663"/>
      <c r="AJ28" s="663"/>
      <c r="AK28" s="663"/>
      <c r="AL28" s="663"/>
      <c r="AM28" s="663"/>
      <c r="AN28" s="663"/>
      <c r="AO28" s="663"/>
      <c r="AP28" s="663"/>
      <c r="AQ28" s="663"/>
      <c r="AR28" s="663"/>
      <c r="AS28" s="663"/>
      <c r="AT28" s="663"/>
      <c r="AU28" s="663"/>
      <c r="CG28" s="656"/>
    </row>
    <row r="29" spans="1:85">
      <c r="A29" s="661"/>
      <c r="E29" s="663"/>
      <c r="F29" s="663"/>
      <c r="G29" s="663"/>
      <c r="H29" s="663"/>
      <c r="I29" s="663"/>
      <c r="J29" s="663"/>
      <c r="K29" s="663"/>
      <c r="L29" s="663"/>
      <c r="M29" s="663"/>
      <c r="N29" s="663"/>
      <c r="O29" s="663"/>
      <c r="P29" s="663"/>
      <c r="Q29" s="663"/>
      <c r="R29" s="663"/>
      <c r="S29" s="663"/>
      <c r="T29" s="663"/>
      <c r="U29" s="663"/>
      <c r="V29" s="663"/>
      <c r="W29" s="663"/>
      <c r="X29" s="663"/>
      <c r="Y29" s="663"/>
      <c r="Z29" s="663"/>
      <c r="AA29" s="663"/>
      <c r="AB29" s="663"/>
      <c r="AC29" s="663"/>
      <c r="AD29" s="663"/>
      <c r="AE29" s="663"/>
      <c r="AF29" s="663"/>
      <c r="AG29" s="663"/>
      <c r="AH29" s="663"/>
      <c r="AI29" s="663"/>
      <c r="AJ29" s="663"/>
      <c r="AK29" s="663"/>
      <c r="AL29" s="663"/>
      <c r="AM29" s="663"/>
      <c r="AN29" s="663"/>
      <c r="AO29" s="663"/>
      <c r="AP29" s="663"/>
      <c r="AQ29" s="663"/>
      <c r="AR29" s="663"/>
      <c r="AS29" s="663"/>
      <c r="AT29" s="663"/>
      <c r="AU29" s="663"/>
      <c r="CG29" s="656"/>
    </row>
    <row r="30" spans="1:85">
      <c r="A30" s="661"/>
      <c r="E30" s="663"/>
      <c r="F30" s="663"/>
      <c r="G30" s="663"/>
      <c r="H30" s="663"/>
      <c r="I30" s="663"/>
      <c r="J30" s="663"/>
      <c r="K30" s="663"/>
      <c r="L30" s="663"/>
      <c r="M30" s="663"/>
      <c r="N30" s="663"/>
      <c r="O30" s="663"/>
      <c r="P30" s="663"/>
      <c r="Q30" s="663"/>
      <c r="R30" s="663"/>
      <c r="S30" s="663"/>
      <c r="T30" s="663"/>
      <c r="U30" s="663"/>
      <c r="V30" s="663"/>
      <c r="W30" s="663"/>
      <c r="X30" s="663"/>
      <c r="Y30" s="663"/>
      <c r="Z30" s="663"/>
      <c r="AA30" s="663"/>
      <c r="AB30" s="663"/>
      <c r="AC30" s="663"/>
      <c r="AD30" s="663"/>
      <c r="AE30" s="663"/>
      <c r="AF30" s="663"/>
      <c r="AG30" s="663"/>
      <c r="AH30" s="663"/>
      <c r="AI30" s="663"/>
      <c r="AJ30" s="663"/>
      <c r="AK30" s="663"/>
      <c r="AL30" s="663"/>
      <c r="AM30" s="663"/>
      <c r="AN30" s="663"/>
      <c r="AO30" s="663"/>
      <c r="AP30" s="663"/>
      <c r="AQ30" s="663"/>
      <c r="AR30" s="663"/>
      <c r="AS30" s="663"/>
      <c r="AT30" s="663"/>
      <c r="AU30" s="663"/>
      <c r="CG30" s="656"/>
    </row>
    <row r="31" spans="1:85">
      <c r="A31" s="661"/>
      <c r="E31" s="663"/>
      <c r="F31" s="663"/>
      <c r="G31" s="663"/>
      <c r="H31" s="663"/>
      <c r="I31" s="663"/>
      <c r="J31" s="663"/>
      <c r="K31" s="663"/>
      <c r="L31" s="663"/>
      <c r="M31" s="663"/>
      <c r="N31" s="663"/>
      <c r="O31" s="663"/>
      <c r="P31" s="663"/>
      <c r="Q31" s="663"/>
      <c r="R31" s="663"/>
      <c r="S31" s="663"/>
      <c r="T31" s="663"/>
      <c r="U31" s="663"/>
      <c r="V31" s="663"/>
      <c r="W31" s="663"/>
      <c r="X31" s="663"/>
      <c r="Y31" s="663"/>
      <c r="Z31" s="663"/>
      <c r="AA31" s="663"/>
      <c r="AB31" s="663"/>
      <c r="AC31" s="663"/>
      <c r="AD31" s="663"/>
      <c r="AE31" s="663"/>
      <c r="AF31" s="663"/>
      <c r="AG31" s="663"/>
      <c r="AH31" s="663"/>
      <c r="AI31" s="663"/>
      <c r="AJ31" s="663"/>
      <c r="AK31" s="663"/>
      <c r="AL31" s="663"/>
      <c r="AM31" s="663"/>
      <c r="AN31" s="663"/>
      <c r="AO31" s="663"/>
      <c r="AP31" s="663"/>
      <c r="AQ31" s="663"/>
      <c r="AR31" s="663"/>
      <c r="AS31" s="663"/>
      <c r="AT31" s="663"/>
      <c r="AU31" s="663"/>
      <c r="CG31" s="656"/>
    </row>
    <row r="32" spans="1:85">
      <c r="A32" s="661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3"/>
      <c r="P32" s="663"/>
      <c r="Q32" s="663"/>
      <c r="R32" s="663"/>
      <c r="S32" s="663"/>
      <c r="T32" s="663"/>
      <c r="U32" s="663"/>
      <c r="V32" s="663"/>
      <c r="W32" s="663"/>
      <c r="X32" s="663"/>
      <c r="Y32" s="663"/>
      <c r="Z32" s="663"/>
      <c r="AA32" s="663"/>
      <c r="AB32" s="663"/>
      <c r="AC32" s="663"/>
      <c r="AD32" s="663"/>
      <c r="AE32" s="663"/>
      <c r="AF32" s="663"/>
      <c r="AG32" s="663"/>
      <c r="AH32" s="663"/>
      <c r="AI32" s="663"/>
      <c r="AJ32" s="663"/>
      <c r="AK32" s="663"/>
      <c r="AL32" s="663"/>
      <c r="AM32" s="663"/>
      <c r="AN32" s="663"/>
      <c r="AO32" s="663"/>
      <c r="AP32" s="663"/>
      <c r="AQ32" s="663"/>
      <c r="AR32" s="663"/>
      <c r="AS32" s="663"/>
      <c r="AT32" s="663"/>
      <c r="AU32" s="663"/>
      <c r="CG32" s="656"/>
    </row>
    <row r="33" spans="1:85">
      <c r="A33" s="661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3"/>
      <c r="P33" s="663"/>
      <c r="Q33" s="663"/>
      <c r="R33" s="663"/>
      <c r="S33" s="663"/>
      <c r="T33" s="663"/>
      <c r="U33" s="663"/>
      <c r="V33" s="663"/>
      <c r="W33" s="663"/>
      <c r="X33" s="663"/>
      <c r="Y33" s="663"/>
      <c r="Z33" s="663"/>
      <c r="AA33" s="663"/>
      <c r="AB33" s="663"/>
      <c r="AC33" s="663"/>
      <c r="AD33" s="663"/>
      <c r="AE33" s="663"/>
      <c r="AF33" s="663"/>
      <c r="AG33" s="663"/>
      <c r="AH33" s="663"/>
      <c r="AI33" s="663"/>
      <c r="AJ33" s="663"/>
      <c r="AK33" s="663"/>
      <c r="AL33" s="663"/>
      <c r="AM33" s="663"/>
      <c r="AN33" s="663"/>
      <c r="AO33" s="663"/>
      <c r="AP33" s="663"/>
      <c r="AQ33" s="663"/>
      <c r="AR33" s="663"/>
      <c r="AS33" s="663"/>
      <c r="AT33" s="663"/>
      <c r="AU33" s="663"/>
      <c r="CG33" s="656"/>
    </row>
    <row r="34" spans="1:85">
      <c r="A34" s="661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663"/>
      <c r="AB34" s="663"/>
      <c r="AC34" s="663"/>
      <c r="AD34" s="663"/>
      <c r="AE34" s="663"/>
      <c r="AF34" s="663"/>
      <c r="AG34" s="663"/>
      <c r="AH34" s="663"/>
      <c r="AI34" s="663"/>
      <c r="AJ34" s="663"/>
      <c r="AK34" s="663"/>
      <c r="AL34" s="663"/>
      <c r="AM34" s="663"/>
      <c r="AN34" s="663"/>
      <c r="AO34" s="663"/>
      <c r="AP34" s="663"/>
      <c r="AQ34" s="663"/>
      <c r="AR34" s="663"/>
      <c r="AS34" s="663"/>
      <c r="AT34" s="663"/>
      <c r="AU34" s="663"/>
      <c r="CG34" s="656"/>
    </row>
    <row r="35" spans="1:85">
      <c r="A35" s="661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63"/>
      <c r="AB35" s="663"/>
      <c r="AC35" s="663"/>
      <c r="AD35" s="663"/>
      <c r="AE35" s="663"/>
      <c r="AF35" s="663"/>
      <c r="AG35" s="663"/>
      <c r="AH35" s="663"/>
      <c r="AI35" s="663"/>
      <c r="AJ35" s="663"/>
      <c r="AK35" s="663"/>
      <c r="AL35" s="663"/>
      <c r="AM35" s="663"/>
      <c r="AN35" s="663"/>
      <c r="AO35" s="663"/>
      <c r="AP35" s="663"/>
      <c r="AQ35" s="663"/>
      <c r="AR35" s="663"/>
      <c r="AS35" s="663"/>
      <c r="AT35" s="663"/>
      <c r="AU35" s="663"/>
      <c r="CG35" s="656"/>
    </row>
    <row r="36" spans="1:85">
      <c r="A36" s="661"/>
      <c r="E36" s="663"/>
      <c r="F36" s="663"/>
      <c r="G36" s="663"/>
      <c r="H36" s="663"/>
      <c r="I36" s="663"/>
      <c r="J36" s="663"/>
      <c r="K36" s="663"/>
      <c r="L36" s="663"/>
      <c r="M36" s="663"/>
      <c r="N36" s="663"/>
      <c r="O36" s="663"/>
      <c r="P36" s="663"/>
      <c r="Q36" s="663"/>
      <c r="R36" s="663"/>
      <c r="S36" s="663"/>
      <c r="T36" s="663"/>
      <c r="U36" s="663"/>
      <c r="V36" s="663"/>
      <c r="W36" s="663"/>
      <c r="X36" s="663"/>
      <c r="Y36" s="663"/>
      <c r="Z36" s="663"/>
      <c r="AA36" s="663"/>
      <c r="AB36" s="663"/>
      <c r="AC36" s="663"/>
      <c r="AD36" s="663"/>
      <c r="AE36" s="663"/>
      <c r="AF36" s="663"/>
      <c r="AG36" s="663"/>
      <c r="AH36" s="663"/>
      <c r="AI36" s="663"/>
      <c r="AJ36" s="663"/>
      <c r="AK36" s="663"/>
      <c r="AL36" s="663"/>
      <c r="AM36" s="663"/>
      <c r="AN36" s="663"/>
      <c r="AO36" s="663"/>
      <c r="AP36" s="663"/>
      <c r="AQ36" s="663"/>
      <c r="AR36" s="663"/>
      <c r="AS36" s="663"/>
      <c r="AT36" s="663"/>
      <c r="AU36" s="663"/>
      <c r="CG36" s="656"/>
    </row>
    <row r="37" spans="1:85">
      <c r="A37" s="661"/>
      <c r="E37" s="663"/>
      <c r="F37" s="663"/>
      <c r="G37" s="663"/>
      <c r="H37" s="663"/>
      <c r="I37" s="663"/>
      <c r="J37" s="663"/>
      <c r="K37" s="663"/>
      <c r="L37" s="663"/>
      <c r="M37" s="663"/>
      <c r="N37" s="663"/>
      <c r="O37" s="663"/>
      <c r="P37" s="663"/>
      <c r="Q37" s="663"/>
      <c r="R37" s="663"/>
      <c r="S37" s="663"/>
      <c r="T37" s="663"/>
      <c r="U37" s="663"/>
      <c r="V37" s="663"/>
      <c r="W37" s="663"/>
      <c r="X37" s="663"/>
      <c r="Y37" s="663"/>
      <c r="Z37" s="663"/>
      <c r="AA37" s="663"/>
      <c r="AB37" s="663"/>
      <c r="AC37" s="663"/>
      <c r="AD37" s="663"/>
      <c r="AE37" s="663"/>
      <c r="AF37" s="663"/>
      <c r="AG37" s="663"/>
      <c r="AH37" s="663"/>
      <c r="AI37" s="663"/>
      <c r="AJ37" s="663"/>
      <c r="AK37" s="663"/>
      <c r="AL37" s="663"/>
      <c r="AM37" s="663"/>
      <c r="AN37" s="663"/>
      <c r="AO37" s="663"/>
      <c r="AP37" s="663"/>
      <c r="AQ37" s="663"/>
      <c r="AR37" s="663"/>
      <c r="AS37" s="663"/>
      <c r="AT37" s="663"/>
      <c r="AU37" s="663"/>
      <c r="CG37" s="656"/>
    </row>
    <row r="38" spans="1:85">
      <c r="A38" s="661"/>
      <c r="E38" s="663"/>
      <c r="F38" s="663"/>
      <c r="G38" s="663"/>
      <c r="H38" s="663"/>
      <c r="I38" s="663"/>
      <c r="J38" s="663"/>
      <c r="K38" s="663"/>
      <c r="L38" s="663"/>
      <c r="M38" s="663"/>
      <c r="N38" s="663"/>
      <c r="O38" s="663"/>
      <c r="P38" s="663"/>
      <c r="Q38" s="663"/>
      <c r="R38" s="663"/>
      <c r="S38" s="663"/>
      <c r="T38" s="663"/>
      <c r="U38" s="663"/>
      <c r="V38" s="663"/>
      <c r="W38" s="663"/>
      <c r="X38" s="663"/>
      <c r="Y38" s="663"/>
      <c r="Z38" s="663"/>
      <c r="AA38" s="663"/>
      <c r="AB38" s="663"/>
      <c r="AC38" s="663"/>
      <c r="AD38" s="663"/>
      <c r="AE38" s="663"/>
      <c r="AF38" s="663"/>
      <c r="AG38" s="663"/>
      <c r="AH38" s="663"/>
      <c r="AI38" s="663"/>
      <c r="AJ38" s="663"/>
      <c r="AK38" s="663"/>
      <c r="AL38" s="663"/>
      <c r="AM38" s="663"/>
      <c r="AN38" s="663"/>
      <c r="AO38" s="663"/>
      <c r="AP38" s="663"/>
      <c r="AQ38" s="663"/>
      <c r="AR38" s="663"/>
      <c r="AS38" s="663"/>
      <c r="AT38" s="663"/>
      <c r="AU38" s="663"/>
      <c r="CG38" s="656"/>
    </row>
    <row r="39" spans="1:85">
      <c r="A39" s="661"/>
      <c r="E39" s="663"/>
      <c r="F39" s="663"/>
      <c r="G39" s="663"/>
      <c r="H39" s="663"/>
      <c r="I39" s="663"/>
      <c r="J39" s="663"/>
      <c r="K39" s="663"/>
      <c r="L39" s="663"/>
      <c r="M39" s="663"/>
      <c r="N39" s="663"/>
      <c r="O39" s="663"/>
      <c r="P39" s="663"/>
      <c r="Q39" s="663"/>
      <c r="R39" s="663"/>
      <c r="S39" s="663"/>
      <c r="T39" s="663"/>
      <c r="U39" s="663"/>
      <c r="V39" s="663"/>
      <c r="W39" s="663"/>
      <c r="X39" s="663"/>
      <c r="Y39" s="663"/>
      <c r="Z39" s="663"/>
      <c r="AA39" s="663"/>
      <c r="AB39" s="663"/>
      <c r="AC39" s="663"/>
      <c r="AD39" s="663"/>
      <c r="AE39" s="663"/>
      <c r="AF39" s="663"/>
      <c r="AG39" s="663"/>
      <c r="AH39" s="663"/>
      <c r="AI39" s="663"/>
      <c r="AJ39" s="663"/>
      <c r="AK39" s="663"/>
      <c r="AL39" s="663"/>
      <c r="AM39" s="663"/>
      <c r="AN39" s="663"/>
      <c r="AO39" s="663"/>
      <c r="AP39" s="663"/>
      <c r="AQ39" s="663"/>
      <c r="AR39" s="663"/>
      <c r="AS39" s="663"/>
      <c r="AT39" s="663"/>
      <c r="AU39" s="663"/>
      <c r="CG39" s="656"/>
    </row>
    <row r="40" spans="1:85">
      <c r="A40" s="661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63"/>
      <c r="AB40" s="663"/>
      <c r="AC40" s="663"/>
      <c r="AD40" s="663"/>
      <c r="AE40" s="663"/>
      <c r="AF40" s="663"/>
      <c r="AG40" s="663"/>
      <c r="AH40" s="663"/>
      <c r="AI40" s="663"/>
      <c r="AJ40" s="663"/>
      <c r="AK40" s="663"/>
      <c r="AL40" s="663"/>
      <c r="AM40" s="663"/>
      <c r="AN40" s="663"/>
      <c r="AO40" s="663"/>
      <c r="AP40" s="663"/>
      <c r="AQ40" s="663"/>
      <c r="AR40" s="663"/>
      <c r="AS40" s="663"/>
      <c r="AT40" s="663"/>
      <c r="AU40" s="663"/>
      <c r="CG40" s="656"/>
    </row>
    <row r="41" spans="1:85">
      <c r="A41" s="661"/>
      <c r="E41" s="663"/>
      <c r="F41" s="663"/>
      <c r="G41" s="663"/>
      <c r="H41" s="663"/>
      <c r="I41" s="663"/>
      <c r="J41" s="663"/>
      <c r="K41" s="663"/>
      <c r="L41" s="663"/>
      <c r="M41" s="663"/>
      <c r="N41" s="663"/>
      <c r="O41" s="663"/>
      <c r="P41" s="663"/>
      <c r="Q41" s="663"/>
      <c r="R41" s="663"/>
      <c r="S41" s="663"/>
      <c r="T41" s="663"/>
      <c r="U41" s="663"/>
      <c r="V41" s="663"/>
      <c r="W41" s="663"/>
      <c r="X41" s="663"/>
      <c r="Y41" s="663"/>
      <c r="Z41" s="663"/>
      <c r="AA41" s="663"/>
      <c r="AB41" s="663"/>
      <c r="AC41" s="663"/>
      <c r="AD41" s="663"/>
      <c r="AE41" s="663"/>
      <c r="AF41" s="663"/>
      <c r="AG41" s="663"/>
      <c r="AH41" s="663"/>
      <c r="AI41" s="663"/>
      <c r="AJ41" s="663"/>
      <c r="AK41" s="663"/>
      <c r="AL41" s="663"/>
      <c r="AM41" s="663"/>
      <c r="AN41" s="663"/>
      <c r="AO41" s="663"/>
      <c r="AP41" s="663"/>
      <c r="AQ41" s="663"/>
      <c r="AR41" s="663"/>
      <c r="AS41" s="663"/>
      <c r="AT41" s="663"/>
      <c r="AU41" s="663"/>
      <c r="CG41" s="656"/>
    </row>
    <row r="42" spans="1:85">
      <c r="A42" s="661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3"/>
      <c r="P42" s="663"/>
      <c r="Q42" s="663"/>
      <c r="R42" s="663"/>
      <c r="S42" s="663"/>
      <c r="T42" s="663"/>
      <c r="U42" s="663"/>
      <c r="V42" s="663"/>
      <c r="W42" s="663"/>
      <c r="X42" s="663"/>
      <c r="Y42" s="663"/>
      <c r="Z42" s="663"/>
      <c r="AA42" s="663"/>
      <c r="AB42" s="663"/>
      <c r="AC42" s="663"/>
      <c r="AD42" s="663"/>
      <c r="AE42" s="663"/>
      <c r="AF42" s="663"/>
      <c r="AG42" s="663"/>
      <c r="AH42" s="663"/>
      <c r="AI42" s="663"/>
      <c r="AJ42" s="663"/>
      <c r="AK42" s="663"/>
      <c r="AL42" s="663"/>
      <c r="AM42" s="663"/>
      <c r="AN42" s="663"/>
      <c r="AO42" s="663"/>
      <c r="AP42" s="663"/>
      <c r="AQ42" s="663"/>
      <c r="AR42" s="663"/>
      <c r="AS42" s="663"/>
      <c r="AT42" s="663"/>
      <c r="AU42" s="663"/>
      <c r="CG42" s="656"/>
    </row>
    <row r="43" spans="1:85">
      <c r="A43" s="661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3"/>
      <c r="P43" s="663"/>
      <c r="Q43" s="663"/>
      <c r="R43" s="663"/>
      <c r="S43" s="663"/>
      <c r="T43" s="663"/>
      <c r="U43" s="663"/>
      <c r="V43" s="663"/>
      <c r="W43" s="663"/>
      <c r="X43" s="663"/>
      <c r="Y43" s="663"/>
      <c r="Z43" s="663"/>
      <c r="AA43" s="663"/>
      <c r="AB43" s="663"/>
      <c r="AC43" s="663"/>
      <c r="AD43" s="663"/>
      <c r="AE43" s="663"/>
      <c r="AF43" s="663"/>
      <c r="AG43" s="663"/>
      <c r="AH43" s="663"/>
      <c r="AI43" s="663"/>
      <c r="AJ43" s="663"/>
      <c r="AK43" s="663"/>
      <c r="AL43" s="663"/>
      <c r="AM43" s="663"/>
      <c r="AN43" s="663"/>
      <c r="AO43" s="663"/>
      <c r="AP43" s="663"/>
      <c r="AQ43" s="663"/>
      <c r="AR43" s="663"/>
      <c r="AS43" s="663"/>
      <c r="AT43" s="663"/>
      <c r="AU43" s="663"/>
      <c r="CG43" s="656"/>
    </row>
    <row r="44" spans="1:85">
      <c r="A44" s="661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663"/>
      <c r="AB44" s="663"/>
      <c r="AC44" s="663"/>
      <c r="AD44" s="663"/>
      <c r="AE44" s="663"/>
      <c r="AF44" s="663"/>
      <c r="AG44" s="663"/>
      <c r="AH44" s="663"/>
      <c r="AI44" s="663"/>
      <c r="AJ44" s="663"/>
      <c r="AK44" s="663"/>
      <c r="AL44" s="663"/>
      <c r="AM44" s="663"/>
      <c r="AN44" s="663"/>
      <c r="AO44" s="663"/>
      <c r="AP44" s="663"/>
      <c r="AQ44" s="663"/>
      <c r="AR44" s="663"/>
      <c r="AS44" s="663"/>
      <c r="AT44" s="663"/>
      <c r="AU44" s="663"/>
      <c r="CG44" s="656"/>
    </row>
    <row r="45" spans="1:85">
      <c r="A45" s="661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63"/>
      <c r="AB45" s="663"/>
      <c r="AC45" s="663"/>
      <c r="AD45" s="663"/>
      <c r="AE45" s="663"/>
      <c r="AF45" s="663"/>
      <c r="AG45" s="663"/>
      <c r="AH45" s="663"/>
      <c r="AI45" s="663"/>
      <c r="AJ45" s="663"/>
      <c r="AK45" s="663"/>
      <c r="AL45" s="663"/>
      <c r="AM45" s="663"/>
      <c r="AN45" s="663"/>
      <c r="AO45" s="663"/>
      <c r="AP45" s="663"/>
      <c r="AQ45" s="663"/>
      <c r="AR45" s="663"/>
      <c r="AS45" s="663"/>
      <c r="AT45" s="663"/>
      <c r="AU45" s="663"/>
      <c r="CG45" s="656"/>
    </row>
    <row r="46" spans="1:85">
      <c r="A46" s="661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63"/>
      <c r="AB46" s="663"/>
      <c r="AC46" s="663"/>
      <c r="AD46" s="663"/>
      <c r="AE46" s="663"/>
      <c r="AF46" s="663"/>
      <c r="AG46" s="663"/>
      <c r="AH46" s="663"/>
      <c r="AI46" s="663"/>
      <c r="AJ46" s="663"/>
      <c r="AK46" s="663"/>
      <c r="AL46" s="663"/>
      <c r="AM46" s="663"/>
      <c r="AN46" s="663"/>
      <c r="AO46" s="663"/>
      <c r="AP46" s="663"/>
      <c r="AQ46" s="663"/>
      <c r="AR46" s="663"/>
      <c r="AS46" s="663"/>
      <c r="AT46" s="663"/>
      <c r="AU46" s="663"/>
      <c r="CG46" s="656"/>
    </row>
    <row r="47" spans="1:85">
      <c r="A47" s="661"/>
      <c r="E47" s="663"/>
      <c r="F47" s="663"/>
      <c r="G47" s="663"/>
      <c r="H47" s="663"/>
      <c r="I47" s="663"/>
      <c r="J47" s="663"/>
      <c r="K47" s="663"/>
      <c r="L47" s="663"/>
      <c r="M47" s="663"/>
      <c r="N47" s="663"/>
      <c r="O47" s="663"/>
      <c r="P47" s="663"/>
      <c r="Q47" s="663"/>
      <c r="R47" s="663"/>
      <c r="S47" s="663"/>
      <c r="T47" s="663"/>
      <c r="U47" s="663"/>
      <c r="V47" s="663"/>
      <c r="W47" s="663"/>
      <c r="X47" s="663"/>
      <c r="Y47" s="663"/>
      <c r="Z47" s="663"/>
      <c r="AA47" s="663"/>
      <c r="AB47" s="663"/>
      <c r="AC47" s="663"/>
      <c r="AD47" s="663"/>
      <c r="AE47" s="663"/>
      <c r="AF47" s="663"/>
      <c r="AG47" s="663"/>
      <c r="AH47" s="663"/>
      <c r="AI47" s="663"/>
      <c r="AJ47" s="663"/>
      <c r="AK47" s="663"/>
      <c r="AL47" s="663"/>
      <c r="AM47" s="663"/>
      <c r="AN47" s="663"/>
      <c r="AO47" s="663"/>
      <c r="AP47" s="663"/>
      <c r="AQ47" s="663"/>
      <c r="AR47" s="663"/>
      <c r="AS47" s="663"/>
      <c r="AT47" s="663"/>
      <c r="AU47" s="663"/>
      <c r="CG47" s="656"/>
    </row>
    <row r="48" spans="1:85">
      <c r="A48" s="661"/>
      <c r="E48" s="663"/>
      <c r="F48" s="663"/>
      <c r="G48" s="663"/>
      <c r="H48" s="663"/>
      <c r="I48" s="663"/>
      <c r="J48" s="663"/>
      <c r="K48" s="663"/>
      <c r="L48" s="663"/>
      <c r="M48" s="663"/>
      <c r="N48" s="663"/>
      <c r="O48" s="663"/>
      <c r="P48" s="663"/>
      <c r="Q48" s="663"/>
      <c r="R48" s="663"/>
      <c r="S48" s="663"/>
      <c r="T48" s="663"/>
      <c r="U48" s="663"/>
      <c r="V48" s="663"/>
      <c r="W48" s="663"/>
      <c r="X48" s="663"/>
      <c r="Y48" s="663"/>
      <c r="Z48" s="663"/>
      <c r="AA48" s="663"/>
      <c r="AB48" s="663"/>
      <c r="AC48" s="663"/>
      <c r="AD48" s="663"/>
      <c r="AE48" s="663"/>
      <c r="AF48" s="663"/>
      <c r="AG48" s="663"/>
      <c r="AH48" s="663"/>
      <c r="AI48" s="663"/>
      <c r="AJ48" s="663"/>
      <c r="AK48" s="663"/>
      <c r="AL48" s="663"/>
      <c r="AM48" s="663"/>
      <c r="AN48" s="663"/>
      <c r="AO48" s="663"/>
      <c r="AP48" s="663"/>
      <c r="AQ48" s="663"/>
      <c r="AR48" s="663"/>
      <c r="AS48" s="663"/>
      <c r="AT48" s="663"/>
      <c r="AU48" s="663"/>
      <c r="CG48" s="656"/>
    </row>
    <row r="49" spans="1:85">
      <c r="A49" s="661"/>
      <c r="E49" s="663"/>
      <c r="F49" s="663"/>
      <c r="G49" s="663"/>
      <c r="H49" s="663"/>
      <c r="I49" s="663"/>
      <c r="J49" s="663"/>
      <c r="K49" s="663"/>
      <c r="L49" s="663"/>
      <c r="M49" s="663"/>
      <c r="N49" s="663"/>
      <c r="O49" s="663"/>
      <c r="P49" s="663"/>
      <c r="Q49" s="663"/>
      <c r="R49" s="663"/>
      <c r="S49" s="663"/>
      <c r="T49" s="663"/>
      <c r="U49" s="663"/>
      <c r="V49" s="663"/>
      <c r="W49" s="663"/>
      <c r="X49" s="663"/>
      <c r="Y49" s="663"/>
      <c r="Z49" s="663"/>
      <c r="AA49" s="663"/>
      <c r="AB49" s="663"/>
      <c r="AC49" s="663"/>
      <c r="AD49" s="663"/>
      <c r="AE49" s="663"/>
      <c r="AF49" s="663"/>
      <c r="AG49" s="663"/>
      <c r="AH49" s="663"/>
      <c r="AI49" s="663"/>
      <c r="AJ49" s="663"/>
      <c r="AK49" s="663"/>
      <c r="AL49" s="663"/>
      <c r="AM49" s="663"/>
      <c r="AN49" s="663"/>
      <c r="AO49" s="663"/>
      <c r="AP49" s="663"/>
      <c r="AQ49" s="663"/>
      <c r="AR49" s="663"/>
      <c r="AS49" s="663"/>
      <c r="AT49" s="663"/>
      <c r="AU49" s="663"/>
      <c r="CG49" s="656"/>
    </row>
    <row r="50" spans="1:85">
      <c r="A50" s="661"/>
      <c r="E50" s="663"/>
      <c r="F50" s="663"/>
      <c r="G50" s="663"/>
      <c r="H50" s="663"/>
      <c r="I50" s="663"/>
      <c r="J50" s="663"/>
      <c r="K50" s="663"/>
      <c r="L50" s="663"/>
      <c r="M50" s="663"/>
      <c r="N50" s="663"/>
      <c r="O50" s="663"/>
      <c r="P50" s="663"/>
      <c r="Q50" s="663"/>
      <c r="R50" s="663"/>
      <c r="S50" s="663"/>
      <c r="T50" s="663"/>
      <c r="U50" s="663"/>
      <c r="V50" s="663"/>
      <c r="W50" s="663"/>
      <c r="X50" s="663"/>
      <c r="Y50" s="663"/>
      <c r="Z50" s="663"/>
      <c r="AA50" s="663"/>
      <c r="AB50" s="663"/>
      <c r="AC50" s="663"/>
      <c r="AD50" s="663"/>
      <c r="AE50" s="663"/>
      <c r="AF50" s="663"/>
      <c r="AG50" s="663"/>
      <c r="AH50" s="663"/>
      <c r="AI50" s="663"/>
      <c r="AJ50" s="663"/>
      <c r="AK50" s="663"/>
      <c r="AL50" s="663"/>
      <c r="AM50" s="663"/>
      <c r="AN50" s="663"/>
      <c r="AO50" s="663"/>
      <c r="AP50" s="663"/>
      <c r="AQ50" s="663"/>
      <c r="AR50" s="663"/>
      <c r="AS50" s="663"/>
      <c r="AT50" s="663"/>
      <c r="AU50" s="663"/>
      <c r="CG50" s="656"/>
    </row>
    <row r="51" spans="1:85">
      <c r="A51" s="661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3"/>
      <c r="P51" s="663"/>
      <c r="Q51" s="663"/>
      <c r="R51" s="663"/>
      <c r="S51" s="663"/>
      <c r="T51" s="663"/>
      <c r="U51" s="663"/>
      <c r="V51" s="663"/>
      <c r="W51" s="663"/>
      <c r="X51" s="663"/>
      <c r="Y51" s="663"/>
      <c r="Z51" s="663"/>
      <c r="AA51" s="663"/>
      <c r="AB51" s="663"/>
      <c r="AC51" s="663"/>
      <c r="AD51" s="663"/>
      <c r="AE51" s="663"/>
      <c r="AF51" s="663"/>
      <c r="AG51" s="663"/>
      <c r="AH51" s="663"/>
      <c r="AI51" s="663"/>
      <c r="AJ51" s="663"/>
      <c r="AK51" s="663"/>
      <c r="AL51" s="663"/>
      <c r="AM51" s="663"/>
      <c r="AN51" s="663"/>
      <c r="AO51" s="663"/>
      <c r="AP51" s="663"/>
      <c r="AQ51" s="663"/>
      <c r="AR51" s="663"/>
      <c r="AS51" s="663"/>
      <c r="AT51" s="663"/>
      <c r="AU51" s="663"/>
      <c r="CG51" s="656"/>
    </row>
    <row r="52" spans="1:85">
      <c r="A52" s="661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3"/>
      <c r="P52" s="663"/>
      <c r="Q52" s="663"/>
      <c r="R52" s="663"/>
      <c r="S52" s="663"/>
      <c r="T52" s="663"/>
      <c r="U52" s="663"/>
      <c r="V52" s="663"/>
      <c r="W52" s="663"/>
      <c r="X52" s="663"/>
      <c r="Y52" s="663"/>
      <c r="Z52" s="663"/>
      <c r="AA52" s="663"/>
      <c r="AB52" s="663"/>
      <c r="AC52" s="663"/>
      <c r="AD52" s="663"/>
      <c r="AE52" s="663"/>
      <c r="AF52" s="663"/>
      <c r="AG52" s="663"/>
      <c r="AH52" s="663"/>
      <c r="AI52" s="663"/>
      <c r="AJ52" s="663"/>
      <c r="AK52" s="663"/>
      <c r="AL52" s="663"/>
      <c r="AM52" s="663"/>
      <c r="AN52" s="663"/>
      <c r="AO52" s="663"/>
      <c r="AP52" s="663"/>
      <c r="AQ52" s="663"/>
      <c r="AR52" s="663"/>
      <c r="AS52" s="663"/>
      <c r="AT52" s="663"/>
      <c r="AU52" s="663"/>
      <c r="CG52" s="656"/>
    </row>
    <row r="53" spans="1:85">
      <c r="A53" s="661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63"/>
      <c r="AB53" s="663"/>
      <c r="AC53" s="663"/>
      <c r="AD53" s="663"/>
      <c r="AE53" s="663"/>
      <c r="AF53" s="663"/>
      <c r="AG53" s="663"/>
      <c r="AH53" s="663"/>
      <c r="AI53" s="663"/>
      <c r="AJ53" s="663"/>
      <c r="AK53" s="663"/>
      <c r="AL53" s="663"/>
      <c r="AM53" s="663"/>
      <c r="AN53" s="663"/>
      <c r="AO53" s="663"/>
      <c r="AP53" s="663"/>
      <c r="AQ53" s="663"/>
      <c r="AR53" s="663"/>
      <c r="AS53" s="663"/>
      <c r="AT53" s="663"/>
      <c r="AU53" s="663"/>
      <c r="CG53" s="656"/>
    </row>
    <row r="54" spans="1:85">
      <c r="A54" s="661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  <c r="Z54" s="663"/>
      <c r="AA54" s="663"/>
      <c r="AB54" s="663"/>
      <c r="AC54" s="663"/>
      <c r="AD54" s="663"/>
      <c r="AE54" s="663"/>
      <c r="AF54" s="663"/>
      <c r="AG54" s="663"/>
      <c r="AH54" s="663"/>
      <c r="AI54" s="663"/>
      <c r="AJ54" s="663"/>
      <c r="AK54" s="663"/>
      <c r="AL54" s="663"/>
      <c r="AM54" s="663"/>
      <c r="AN54" s="663"/>
      <c r="AO54" s="663"/>
      <c r="AP54" s="663"/>
      <c r="AQ54" s="663"/>
      <c r="AR54" s="663"/>
      <c r="AS54" s="663"/>
      <c r="AT54" s="663"/>
      <c r="AU54" s="663"/>
      <c r="CG54" s="656"/>
    </row>
    <row r="55" spans="1:85">
      <c r="A55" s="661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63"/>
      <c r="AB55" s="663"/>
      <c r="AC55" s="663"/>
      <c r="AD55" s="663"/>
      <c r="AE55" s="663"/>
      <c r="AF55" s="663"/>
      <c r="AG55" s="663"/>
      <c r="AH55" s="663"/>
      <c r="AI55" s="663"/>
      <c r="AJ55" s="663"/>
      <c r="AK55" s="663"/>
      <c r="AL55" s="663"/>
      <c r="AM55" s="663"/>
      <c r="AN55" s="663"/>
      <c r="AO55" s="663"/>
      <c r="AP55" s="663"/>
      <c r="AQ55" s="663"/>
      <c r="AR55" s="663"/>
      <c r="AS55" s="663"/>
      <c r="AT55" s="663"/>
      <c r="AU55" s="663"/>
      <c r="CG55" s="656"/>
    </row>
    <row r="56" spans="1:85">
      <c r="A56" s="661"/>
      <c r="E56" s="663"/>
      <c r="F56" s="663"/>
      <c r="G56" s="663"/>
      <c r="H56" s="663"/>
      <c r="I56" s="663"/>
      <c r="J56" s="663"/>
      <c r="K56" s="663"/>
      <c r="L56" s="663"/>
      <c r="M56" s="663"/>
      <c r="N56" s="663"/>
      <c r="O56" s="663"/>
      <c r="P56" s="663"/>
      <c r="Q56" s="663"/>
      <c r="R56" s="663"/>
      <c r="S56" s="663"/>
      <c r="T56" s="663"/>
      <c r="U56" s="663"/>
      <c r="V56" s="663"/>
      <c r="W56" s="663"/>
      <c r="X56" s="663"/>
      <c r="Y56" s="663"/>
      <c r="Z56" s="663"/>
      <c r="AA56" s="663"/>
      <c r="AB56" s="663"/>
      <c r="AC56" s="663"/>
      <c r="AD56" s="663"/>
      <c r="AE56" s="663"/>
      <c r="AF56" s="663"/>
      <c r="AG56" s="663"/>
      <c r="AH56" s="663"/>
      <c r="AI56" s="663"/>
      <c r="AJ56" s="663"/>
      <c r="AK56" s="663"/>
      <c r="AL56" s="663"/>
      <c r="AM56" s="663"/>
      <c r="AN56" s="663"/>
      <c r="AO56" s="663"/>
      <c r="AP56" s="663"/>
      <c r="AQ56" s="663"/>
      <c r="AR56" s="663"/>
      <c r="AS56" s="663"/>
      <c r="AT56" s="663"/>
      <c r="AU56" s="663"/>
      <c r="CG56" s="656"/>
    </row>
    <row r="57" spans="1:85">
      <c r="A57" s="661"/>
      <c r="E57" s="663"/>
      <c r="F57" s="663"/>
      <c r="G57" s="663"/>
      <c r="H57" s="663"/>
      <c r="I57" s="663"/>
      <c r="J57" s="663"/>
      <c r="K57" s="663"/>
      <c r="L57" s="663"/>
      <c r="M57" s="663"/>
      <c r="N57" s="663"/>
      <c r="O57" s="663"/>
      <c r="P57" s="663"/>
      <c r="Q57" s="663"/>
      <c r="R57" s="663"/>
      <c r="S57" s="663"/>
      <c r="T57" s="663"/>
      <c r="U57" s="663"/>
      <c r="V57" s="663"/>
      <c r="W57" s="663"/>
      <c r="X57" s="663"/>
      <c r="Y57" s="663"/>
      <c r="Z57" s="663"/>
      <c r="AA57" s="663"/>
      <c r="AB57" s="663"/>
      <c r="AC57" s="663"/>
      <c r="AD57" s="663"/>
      <c r="AE57" s="663"/>
      <c r="AF57" s="663"/>
      <c r="AG57" s="663"/>
      <c r="AH57" s="663"/>
      <c r="AI57" s="663"/>
      <c r="AJ57" s="663"/>
      <c r="AK57" s="663"/>
      <c r="AL57" s="663"/>
      <c r="AM57" s="663"/>
      <c r="AN57" s="663"/>
      <c r="AO57" s="663"/>
      <c r="AP57" s="663"/>
      <c r="AQ57" s="663"/>
      <c r="AR57" s="663"/>
      <c r="AS57" s="663"/>
      <c r="AT57" s="663"/>
      <c r="AU57" s="663"/>
      <c r="CG57" s="656"/>
    </row>
    <row r="58" spans="1:85">
      <c r="A58" s="661"/>
      <c r="E58" s="663"/>
      <c r="F58" s="663"/>
      <c r="G58" s="663"/>
      <c r="H58" s="663"/>
      <c r="I58" s="663"/>
      <c r="J58" s="663"/>
      <c r="K58" s="663"/>
      <c r="L58" s="663"/>
      <c r="M58" s="663"/>
      <c r="N58" s="663"/>
      <c r="O58" s="663"/>
      <c r="P58" s="663"/>
      <c r="Q58" s="663"/>
      <c r="R58" s="663"/>
      <c r="S58" s="663"/>
      <c r="T58" s="663"/>
      <c r="U58" s="663"/>
      <c r="V58" s="663"/>
      <c r="W58" s="663"/>
      <c r="X58" s="663"/>
      <c r="Y58" s="663"/>
      <c r="Z58" s="663"/>
      <c r="AA58" s="663"/>
      <c r="AB58" s="663"/>
      <c r="AC58" s="663"/>
      <c r="AD58" s="663"/>
      <c r="AE58" s="663"/>
      <c r="AF58" s="663"/>
      <c r="AG58" s="663"/>
      <c r="AH58" s="663"/>
      <c r="AI58" s="663"/>
      <c r="AJ58" s="663"/>
      <c r="AK58" s="663"/>
      <c r="AL58" s="663"/>
      <c r="AM58" s="663"/>
      <c r="AN58" s="663"/>
      <c r="AO58" s="663"/>
      <c r="AP58" s="663"/>
      <c r="AQ58" s="663"/>
      <c r="AR58" s="663"/>
      <c r="AS58" s="663"/>
      <c r="AT58" s="663"/>
      <c r="AU58" s="663"/>
      <c r="CG58" s="656"/>
    </row>
    <row r="59" spans="1:85">
      <c r="A59" s="661"/>
      <c r="E59" s="663"/>
      <c r="F59" s="663"/>
      <c r="G59" s="663"/>
      <c r="H59" s="663"/>
      <c r="I59" s="663"/>
      <c r="J59" s="663"/>
      <c r="K59" s="663"/>
      <c r="L59" s="663"/>
      <c r="M59" s="663"/>
      <c r="N59" s="663"/>
      <c r="O59" s="663"/>
      <c r="P59" s="663"/>
      <c r="Q59" s="663"/>
      <c r="R59" s="663"/>
      <c r="S59" s="663"/>
      <c r="T59" s="663"/>
      <c r="U59" s="663"/>
      <c r="V59" s="663"/>
      <c r="W59" s="663"/>
      <c r="X59" s="663"/>
      <c r="Y59" s="663"/>
      <c r="Z59" s="663"/>
      <c r="AA59" s="663"/>
      <c r="AB59" s="663"/>
      <c r="AC59" s="663"/>
      <c r="AD59" s="663"/>
      <c r="AE59" s="663"/>
      <c r="AF59" s="663"/>
      <c r="AG59" s="663"/>
      <c r="AH59" s="663"/>
      <c r="AI59" s="663"/>
      <c r="AJ59" s="663"/>
      <c r="AK59" s="663"/>
      <c r="AL59" s="663"/>
      <c r="AM59" s="663"/>
      <c r="AN59" s="663"/>
      <c r="AO59" s="663"/>
      <c r="AP59" s="663"/>
      <c r="AQ59" s="663"/>
      <c r="AR59" s="663"/>
      <c r="AS59" s="663"/>
      <c r="AT59" s="663"/>
      <c r="AU59" s="663"/>
      <c r="CG59" s="656"/>
    </row>
    <row r="60" spans="1:85">
      <c r="A60" s="661"/>
      <c r="E60" s="663"/>
      <c r="F60" s="663"/>
      <c r="G60" s="663"/>
      <c r="H60" s="663"/>
      <c r="I60" s="663"/>
      <c r="J60" s="663"/>
      <c r="K60" s="663"/>
      <c r="L60" s="663"/>
      <c r="M60" s="663"/>
      <c r="N60" s="663"/>
      <c r="O60" s="663"/>
      <c r="P60" s="663"/>
      <c r="Q60" s="663"/>
      <c r="R60" s="663"/>
      <c r="S60" s="663"/>
      <c r="T60" s="663"/>
      <c r="U60" s="663"/>
      <c r="V60" s="663"/>
      <c r="W60" s="663"/>
      <c r="X60" s="663"/>
      <c r="Y60" s="663"/>
      <c r="Z60" s="663"/>
      <c r="AA60" s="663"/>
      <c r="AB60" s="663"/>
      <c r="AC60" s="663"/>
      <c r="AD60" s="663"/>
      <c r="AE60" s="663"/>
      <c r="AF60" s="663"/>
      <c r="AG60" s="663"/>
      <c r="AH60" s="663"/>
      <c r="AI60" s="663"/>
      <c r="AJ60" s="663"/>
      <c r="AK60" s="663"/>
      <c r="AL60" s="663"/>
      <c r="AM60" s="663"/>
      <c r="AN60" s="663"/>
      <c r="AO60" s="663"/>
      <c r="AP60" s="663"/>
      <c r="AQ60" s="663"/>
      <c r="AR60" s="663"/>
      <c r="AS60" s="663"/>
      <c r="AT60" s="663"/>
      <c r="AU60" s="663"/>
      <c r="CG60" s="656"/>
    </row>
    <row r="61" spans="1:85">
      <c r="A61" s="661"/>
      <c r="E61" s="663"/>
      <c r="F61" s="663"/>
      <c r="G61" s="663"/>
      <c r="H61" s="663"/>
      <c r="I61" s="663"/>
      <c r="J61" s="663"/>
      <c r="K61" s="663"/>
      <c r="L61" s="663"/>
      <c r="M61" s="663"/>
      <c r="N61" s="663"/>
      <c r="O61" s="663"/>
      <c r="P61" s="663"/>
      <c r="Q61" s="663"/>
      <c r="R61" s="663"/>
      <c r="S61" s="663"/>
      <c r="T61" s="663"/>
      <c r="U61" s="663"/>
      <c r="V61" s="663"/>
      <c r="W61" s="663"/>
      <c r="X61" s="663"/>
      <c r="Y61" s="663"/>
      <c r="Z61" s="663"/>
      <c r="AA61" s="663"/>
      <c r="AB61" s="663"/>
      <c r="AC61" s="663"/>
      <c r="AD61" s="663"/>
      <c r="AE61" s="663"/>
      <c r="AF61" s="663"/>
      <c r="AG61" s="663"/>
      <c r="AH61" s="663"/>
      <c r="AI61" s="663"/>
      <c r="AJ61" s="663"/>
      <c r="AK61" s="663"/>
      <c r="AL61" s="663"/>
      <c r="AM61" s="663"/>
      <c r="AN61" s="663"/>
      <c r="AO61" s="663"/>
      <c r="AP61" s="663"/>
      <c r="AQ61" s="663"/>
      <c r="AR61" s="663"/>
      <c r="AS61" s="663"/>
      <c r="AT61" s="663"/>
      <c r="AU61" s="663"/>
      <c r="CG61" s="656"/>
    </row>
    <row r="62" spans="1:85">
      <c r="A62" s="661"/>
      <c r="E62" s="663"/>
      <c r="F62" s="663"/>
      <c r="G62" s="663"/>
      <c r="H62" s="663"/>
      <c r="I62" s="663"/>
      <c r="J62" s="663"/>
      <c r="K62" s="663"/>
      <c r="L62" s="663"/>
      <c r="M62" s="663"/>
      <c r="N62" s="663"/>
      <c r="O62" s="663"/>
      <c r="P62" s="663"/>
      <c r="Q62" s="663"/>
      <c r="R62" s="663"/>
      <c r="S62" s="663"/>
      <c r="T62" s="663"/>
      <c r="U62" s="663"/>
      <c r="V62" s="663"/>
      <c r="W62" s="663"/>
      <c r="X62" s="663"/>
      <c r="Y62" s="663"/>
      <c r="Z62" s="663"/>
      <c r="AA62" s="663"/>
      <c r="AB62" s="663"/>
      <c r="AC62" s="663"/>
      <c r="AD62" s="663"/>
      <c r="AE62" s="663"/>
      <c r="AF62" s="663"/>
      <c r="AG62" s="663"/>
      <c r="AH62" s="663"/>
      <c r="AI62" s="663"/>
      <c r="AJ62" s="663"/>
      <c r="AK62" s="663"/>
      <c r="AL62" s="663"/>
      <c r="AM62" s="663"/>
      <c r="AN62" s="663"/>
      <c r="AO62" s="663"/>
      <c r="AP62" s="663"/>
      <c r="AQ62" s="663"/>
      <c r="AR62" s="663"/>
      <c r="AS62" s="663"/>
      <c r="AT62" s="663"/>
      <c r="AU62" s="663"/>
      <c r="CG62" s="656"/>
    </row>
    <row r="63" spans="1:85">
      <c r="A63" s="661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63"/>
      <c r="AB63" s="663"/>
      <c r="AC63" s="663"/>
      <c r="AD63" s="663"/>
      <c r="AE63" s="663"/>
      <c r="AF63" s="663"/>
      <c r="AG63" s="663"/>
      <c r="AH63" s="663"/>
      <c r="AI63" s="663"/>
      <c r="AJ63" s="663"/>
      <c r="AK63" s="663"/>
      <c r="AL63" s="663"/>
      <c r="AM63" s="663"/>
      <c r="AN63" s="663"/>
      <c r="AO63" s="663"/>
      <c r="AP63" s="663"/>
      <c r="AQ63" s="663"/>
      <c r="AR63" s="663"/>
      <c r="AS63" s="663"/>
      <c r="AT63" s="663"/>
      <c r="AU63" s="663"/>
      <c r="CG63" s="656"/>
    </row>
    <row r="64" spans="1:85">
      <c r="A64" s="661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3"/>
      <c r="P64" s="663"/>
      <c r="Q64" s="663"/>
      <c r="R64" s="663"/>
      <c r="S64" s="663"/>
      <c r="T64" s="663"/>
      <c r="U64" s="663"/>
      <c r="V64" s="663"/>
      <c r="W64" s="663"/>
      <c r="X64" s="663"/>
      <c r="Y64" s="663"/>
      <c r="Z64" s="663"/>
      <c r="AA64" s="663"/>
      <c r="AB64" s="663"/>
      <c r="AC64" s="663"/>
      <c r="AD64" s="663"/>
      <c r="AE64" s="663"/>
      <c r="AF64" s="663"/>
      <c r="AG64" s="663"/>
      <c r="AH64" s="663"/>
      <c r="AI64" s="663"/>
      <c r="AJ64" s="663"/>
      <c r="AK64" s="663"/>
      <c r="AL64" s="663"/>
      <c r="AM64" s="663"/>
      <c r="AN64" s="663"/>
      <c r="AO64" s="663"/>
      <c r="AP64" s="663"/>
      <c r="AQ64" s="663"/>
      <c r="AR64" s="663"/>
      <c r="AS64" s="663"/>
      <c r="AT64" s="663"/>
      <c r="AU64" s="663"/>
      <c r="CG64" s="656"/>
    </row>
    <row r="65" spans="1:85">
      <c r="A65" s="661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3"/>
      <c r="Q65" s="663"/>
      <c r="R65" s="663"/>
      <c r="S65" s="663"/>
      <c r="T65" s="663"/>
      <c r="U65" s="663"/>
      <c r="V65" s="663"/>
      <c r="W65" s="663"/>
      <c r="X65" s="663"/>
      <c r="Y65" s="663"/>
      <c r="Z65" s="663"/>
      <c r="AA65" s="663"/>
      <c r="AB65" s="663"/>
      <c r="AC65" s="663"/>
      <c r="AD65" s="663"/>
      <c r="AE65" s="663"/>
      <c r="AF65" s="663"/>
      <c r="AG65" s="663"/>
      <c r="AH65" s="663"/>
      <c r="AI65" s="663"/>
      <c r="AJ65" s="663"/>
      <c r="AK65" s="663"/>
      <c r="AL65" s="663"/>
      <c r="AM65" s="663"/>
      <c r="AN65" s="663"/>
      <c r="AO65" s="663"/>
      <c r="AP65" s="663"/>
      <c r="AQ65" s="663"/>
      <c r="AR65" s="663"/>
      <c r="AS65" s="663"/>
      <c r="AT65" s="663"/>
      <c r="AU65" s="663"/>
      <c r="CG65" s="656"/>
    </row>
    <row r="66" spans="1:85">
      <c r="A66" s="661"/>
      <c r="E66" s="663"/>
      <c r="F66" s="663"/>
      <c r="G66" s="663"/>
      <c r="H66" s="663"/>
      <c r="I66" s="663"/>
      <c r="J66" s="663"/>
      <c r="K66" s="663"/>
      <c r="L66" s="663"/>
      <c r="M66" s="663"/>
      <c r="N66" s="663"/>
      <c r="O66" s="663"/>
      <c r="P66" s="663"/>
      <c r="Q66" s="663"/>
      <c r="R66" s="663"/>
      <c r="S66" s="663"/>
      <c r="T66" s="663"/>
      <c r="U66" s="663"/>
      <c r="V66" s="663"/>
      <c r="W66" s="663"/>
      <c r="X66" s="663"/>
      <c r="Y66" s="663"/>
      <c r="Z66" s="663"/>
      <c r="AA66" s="663"/>
      <c r="AB66" s="663"/>
      <c r="AC66" s="663"/>
      <c r="AD66" s="663"/>
      <c r="AE66" s="663"/>
      <c r="AF66" s="663"/>
      <c r="AG66" s="663"/>
      <c r="AH66" s="663"/>
      <c r="AI66" s="663"/>
      <c r="AJ66" s="663"/>
      <c r="AK66" s="663"/>
      <c r="AL66" s="663"/>
      <c r="AM66" s="663"/>
      <c r="AN66" s="663"/>
      <c r="AO66" s="663"/>
      <c r="AP66" s="663"/>
      <c r="AQ66" s="663"/>
      <c r="AR66" s="663"/>
      <c r="AS66" s="663"/>
      <c r="AT66" s="663"/>
      <c r="AU66" s="663"/>
      <c r="CG66" s="656"/>
    </row>
    <row r="67" spans="1:85">
      <c r="A67" s="661"/>
      <c r="E67" s="663"/>
      <c r="F67" s="663"/>
      <c r="G67" s="663"/>
      <c r="H67" s="663"/>
      <c r="I67" s="663"/>
      <c r="J67" s="663"/>
      <c r="K67" s="663"/>
      <c r="L67" s="663"/>
      <c r="M67" s="663"/>
      <c r="N67" s="663"/>
      <c r="O67" s="663"/>
      <c r="P67" s="663"/>
      <c r="Q67" s="663"/>
      <c r="R67" s="663"/>
      <c r="S67" s="663"/>
      <c r="T67" s="663"/>
      <c r="U67" s="663"/>
      <c r="V67" s="663"/>
      <c r="W67" s="663"/>
      <c r="X67" s="663"/>
      <c r="Y67" s="663"/>
      <c r="Z67" s="663"/>
      <c r="AA67" s="663"/>
      <c r="AB67" s="663"/>
      <c r="AC67" s="663"/>
      <c r="AD67" s="663"/>
      <c r="AE67" s="663"/>
      <c r="AF67" s="663"/>
      <c r="AG67" s="663"/>
      <c r="AH67" s="663"/>
      <c r="AI67" s="663"/>
      <c r="AJ67" s="663"/>
      <c r="AK67" s="663"/>
      <c r="AL67" s="663"/>
      <c r="AM67" s="663"/>
      <c r="AN67" s="663"/>
      <c r="AO67" s="663"/>
      <c r="AP67" s="663"/>
      <c r="AQ67" s="663"/>
      <c r="AR67" s="663"/>
      <c r="AS67" s="663"/>
      <c r="AT67" s="663"/>
      <c r="AU67" s="663"/>
      <c r="CG67" s="656"/>
    </row>
    <row r="68" spans="1:85">
      <c r="A68" s="661"/>
      <c r="E68" s="663"/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3"/>
      <c r="R68" s="663"/>
      <c r="S68" s="663"/>
      <c r="T68" s="663"/>
      <c r="U68" s="663"/>
      <c r="V68" s="663"/>
      <c r="W68" s="663"/>
      <c r="X68" s="663"/>
      <c r="Y68" s="663"/>
      <c r="Z68" s="663"/>
      <c r="AA68" s="663"/>
      <c r="AB68" s="663"/>
      <c r="AC68" s="663"/>
      <c r="AD68" s="663"/>
      <c r="AE68" s="663"/>
      <c r="AF68" s="663"/>
      <c r="AG68" s="663"/>
      <c r="AH68" s="663"/>
      <c r="AI68" s="663"/>
      <c r="AJ68" s="663"/>
      <c r="AK68" s="663"/>
      <c r="AL68" s="663"/>
      <c r="AM68" s="663"/>
      <c r="AN68" s="663"/>
      <c r="AO68" s="663"/>
      <c r="AP68" s="663"/>
      <c r="AQ68" s="663"/>
      <c r="AR68" s="663"/>
      <c r="AS68" s="663"/>
      <c r="AT68" s="663"/>
      <c r="AU68" s="663"/>
      <c r="CG68" s="656"/>
    </row>
    <row r="69" spans="1:85">
      <c r="A69" s="661"/>
      <c r="E69" s="663"/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3"/>
      <c r="R69" s="663"/>
      <c r="S69" s="663"/>
      <c r="T69" s="663"/>
      <c r="U69" s="663"/>
      <c r="V69" s="663"/>
      <c r="W69" s="663"/>
      <c r="X69" s="663"/>
      <c r="Y69" s="663"/>
      <c r="Z69" s="663"/>
      <c r="AA69" s="663"/>
      <c r="AB69" s="663"/>
      <c r="AC69" s="663"/>
      <c r="AD69" s="663"/>
      <c r="AE69" s="663"/>
      <c r="AF69" s="663"/>
      <c r="AG69" s="663"/>
      <c r="AH69" s="663"/>
      <c r="AI69" s="663"/>
      <c r="AJ69" s="663"/>
      <c r="AK69" s="663"/>
      <c r="AL69" s="663"/>
      <c r="AM69" s="663"/>
      <c r="AN69" s="663"/>
      <c r="AO69" s="663"/>
      <c r="AP69" s="663"/>
      <c r="AQ69" s="663"/>
      <c r="AR69" s="663"/>
      <c r="AS69" s="663"/>
      <c r="AT69" s="663"/>
      <c r="AU69" s="663"/>
      <c r="CG69" s="656"/>
    </row>
    <row r="70" spans="1:85">
      <c r="A70" s="661"/>
      <c r="E70" s="657" t="s">
        <v>604</v>
      </c>
      <c r="I70" s="657" t="s">
        <v>435</v>
      </c>
      <c r="CG70" s="656"/>
    </row>
    <row r="71" spans="1:85">
      <c r="A71" s="661"/>
      <c r="CG71" s="656"/>
    </row>
    <row r="72" spans="1:85">
      <c r="A72" s="661"/>
      <c r="E72" s="657" t="s">
        <v>605</v>
      </c>
      <c r="F72" s="663"/>
      <c r="G72" s="663"/>
      <c r="I72" s="663" t="s">
        <v>436</v>
      </c>
      <c r="CG72" s="656"/>
    </row>
    <row r="73" spans="1:85">
      <c r="A73" s="661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3"/>
      <c r="P73" s="663"/>
      <c r="Q73" s="663"/>
      <c r="R73" s="663"/>
      <c r="S73" s="663"/>
      <c r="T73" s="663"/>
      <c r="U73" s="663"/>
      <c r="V73" s="663"/>
      <c r="W73" s="663"/>
      <c r="X73" s="663"/>
      <c r="Y73" s="663"/>
      <c r="Z73" s="663"/>
      <c r="AA73" s="663"/>
      <c r="AB73" s="663"/>
      <c r="AC73" s="663"/>
      <c r="AD73" s="663"/>
      <c r="AE73" s="663"/>
      <c r="AF73" s="663"/>
      <c r="AG73" s="663"/>
      <c r="AH73" s="663"/>
      <c r="AI73" s="663"/>
      <c r="AJ73" s="663"/>
      <c r="AK73" s="663"/>
      <c r="AL73" s="663"/>
      <c r="AM73" s="663"/>
      <c r="AN73" s="663"/>
      <c r="AO73" s="663"/>
      <c r="AP73" s="663"/>
      <c r="AQ73" s="663"/>
      <c r="AR73" s="663"/>
      <c r="AS73" s="663"/>
      <c r="AT73" s="663"/>
      <c r="AU73" s="663"/>
      <c r="CG73" s="656"/>
    </row>
    <row r="74" spans="1:85">
      <c r="A74" s="661"/>
      <c r="E74" s="663"/>
      <c r="F74" s="881" t="s">
        <v>573</v>
      </c>
      <c r="G74" s="882"/>
      <c r="H74" s="882"/>
      <c r="I74" s="882"/>
      <c r="J74" s="882"/>
      <c r="K74" s="882"/>
      <c r="L74" s="882"/>
      <c r="M74" s="882"/>
      <c r="N74" s="883"/>
      <c r="O74" s="933" t="s">
        <v>663</v>
      </c>
      <c r="P74" s="905"/>
      <c r="Q74" s="905"/>
      <c r="R74" s="905"/>
      <c r="S74" s="905"/>
      <c r="T74" s="905"/>
      <c r="U74" s="905"/>
      <c r="V74" s="905"/>
      <c r="W74" s="905"/>
      <c r="X74" s="905"/>
      <c r="Y74" s="905"/>
      <c r="Z74" s="905"/>
      <c r="AA74" s="905"/>
      <c r="AB74" s="905"/>
      <c r="AC74" s="905"/>
      <c r="AD74" s="905"/>
      <c r="AE74" s="905"/>
      <c r="AF74" s="905"/>
      <c r="AG74" s="905"/>
      <c r="AH74" s="905"/>
      <c r="AI74" s="905"/>
      <c r="AJ74" s="905"/>
      <c r="AK74" s="905"/>
      <c r="AL74" s="905"/>
      <c r="AM74" s="905"/>
      <c r="AN74" s="905"/>
      <c r="AO74" s="905"/>
      <c r="AP74" s="905"/>
      <c r="AQ74" s="905"/>
      <c r="AR74" s="905"/>
      <c r="AS74" s="905"/>
      <c r="AT74" s="905"/>
      <c r="AU74" s="906"/>
      <c r="CG74" s="656"/>
    </row>
    <row r="75" spans="1:85">
      <c r="A75" s="661"/>
      <c r="E75" s="663"/>
      <c r="F75" s="934" t="s">
        <v>437</v>
      </c>
      <c r="G75" s="935"/>
      <c r="H75" s="935"/>
      <c r="I75" s="935"/>
      <c r="J75" s="935"/>
      <c r="K75" s="935"/>
      <c r="L75" s="935"/>
      <c r="M75" s="935"/>
      <c r="N75" s="936"/>
      <c r="O75" s="940" t="s">
        <v>664</v>
      </c>
      <c r="P75" s="941"/>
      <c r="Q75" s="941"/>
      <c r="R75" s="941"/>
      <c r="S75" s="941"/>
      <c r="T75" s="941"/>
      <c r="U75" s="941"/>
      <c r="V75" s="941"/>
      <c r="W75" s="941"/>
      <c r="X75" s="941"/>
      <c r="Y75" s="941"/>
      <c r="Z75" s="941"/>
      <c r="AA75" s="941"/>
      <c r="AB75" s="941"/>
      <c r="AC75" s="941"/>
      <c r="AD75" s="941"/>
      <c r="AE75" s="941"/>
      <c r="AF75" s="941"/>
      <c r="AG75" s="941"/>
      <c r="AH75" s="941"/>
      <c r="AI75" s="941"/>
      <c r="AJ75" s="941"/>
      <c r="AK75" s="941"/>
      <c r="AL75" s="941"/>
      <c r="AM75" s="941"/>
      <c r="AN75" s="941"/>
      <c r="AO75" s="941"/>
      <c r="AP75" s="941"/>
      <c r="AQ75" s="941"/>
      <c r="AR75" s="941"/>
      <c r="AS75" s="941"/>
      <c r="AT75" s="941"/>
      <c r="AU75" s="942"/>
      <c r="CG75" s="656"/>
    </row>
    <row r="76" spans="1:85">
      <c r="A76" s="661"/>
      <c r="E76" s="663"/>
      <c r="F76" s="937"/>
      <c r="G76" s="938"/>
      <c r="H76" s="938"/>
      <c r="I76" s="938"/>
      <c r="J76" s="938"/>
      <c r="K76" s="938"/>
      <c r="L76" s="938"/>
      <c r="M76" s="938"/>
      <c r="N76" s="939"/>
      <c r="O76" s="940" t="s">
        <v>665</v>
      </c>
      <c r="P76" s="941"/>
      <c r="Q76" s="941"/>
      <c r="R76" s="941"/>
      <c r="S76" s="941"/>
      <c r="T76" s="941"/>
      <c r="U76" s="941"/>
      <c r="V76" s="941"/>
      <c r="W76" s="941"/>
      <c r="X76" s="941"/>
      <c r="Y76" s="941"/>
      <c r="Z76" s="941"/>
      <c r="AA76" s="941"/>
      <c r="AB76" s="941"/>
      <c r="AC76" s="941"/>
      <c r="AD76" s="941"/>
      <c r="AE76" s="941"/>
      <c r="AF76" s="941"/>
      <c r="AG76" s="941"/>
      <c r="AH76" s="941"/>
      <c r="AI76" s="941"/>
      <c r="AJ76" s="941"/>
      <c r="AK76" s="941"/>
      <c r="AL76" s="941"/>
      <c r="AM76" s="941"/>
      <c r="AN76" s="941"/>
      <c r="AO76" s="941"/>
      <c r="AP76" s="941"/>
      <c r="AQ76" s="941"/>
      <c r="AR76" s="941"/>
      <c r="AS76" s="941"/>
      <c r="AT76" s="941"/>
      <c r="AU76" s="942"/>
      <c r="CG76" s="656"/>
    </row>
    <row r="77" spans="1:85">
      <c r="A77" s="661"/>
      <c r="E77" s="663"/>
      <c r="F77" s="664" t="s">
        <v>438</v>
      </c>
      <c r="G77" s="664"/>
      <c r="H77" s="664"/>
      <c r="I77" s="664"/>
      <c r="J77" s="664"/>
      <c r="K77" s="664"/>
      <c r="L77" s="664"/>
      <c r="M77" s="664"/>
      <c r="N77" s="664"/>
      <c r="O77" s="665"/>
      <c r="P77" s="665"/>
      <c r="Q77" s="665"/>
      <c r="R77" s="665"/>
      <c r="S77" s="665"/>
      <c r="T77" s="665"/>
      <c r="U77" s="665"/>
      <c r="V77" s="665"/>
      <c r="W77" s="665"/>
      <c r="X77" s="665"/>
      <c r="Y77" s="665"/>
      <c r="Z77" s="665"/>
      <c r="AA77" s="665"/>
      <c r="AB77" s="665"/>
      <c r="AC77" s="665"/>
      <c r="AD77" s="665"/>
      <c r="AE77" s="665"/>
      <c r="AF77" s="665"/>
      <c r="AG77" s="665"/>
      <c r="AH77" s="665"/>
      <c r="AI77" s="665"/>
      <c r="AJ77" s="665"/>
      <c r="AK77" s="665"/>
      <c r="AL77" s="665"/>
      <c r="AM77" s="665"/>
      <c r="AN77" s="665"/>
      <c r="AO77" s="665"/>
      <c r="AP77" s="665"/>
      <c r="AQ77" s="665"/>
      <c r="AR77" s="665"/>
      <c r="AS77" s="665"/>
      <c r="AT77" s="665"/>
      <c r="AU77" s="665"/>
      <c r="CG77" s="656"/>
    </row>
    <row r="78" spans="1:85">
      <c r="A78" s="661"/>
      <c r="E78" s="663"/>
      <c r="F78" s="664" t="s">
        <v>439</v>
      </c>
      <c r="G78" s="664"/>
      <c r="H78" s="664"/>
      <c r="I78" s="664"/>
      <c r="J78" s="664"/>
      <c r="K78" s="664"/>
      <c r="L78" s="664"/>
      <c r="M78" s="664"/>
      <c r="N78" s="664"/>
      <c r="O78" s="665"/>
      <c r="P78" s="665"/>
      <c r="Q78" s="665"/>
      <c r="R78" s="665"/>
      <c r="S78" s="665"/>
      <c r="T78" s="665"/>
      <c r="U78" s="665"/>
      <c r="V78" s="665"/>
      <c r="W78" s="665"/>
      <c r="X78" s="665"/>
      <c r="Y78" s="665"/>
      <c r="Z78" s="665"/>
      <c r="AA78" s="665"/>
      <c r="AB78" s="665"/>
      <c r="AC78" s="665"/>
      <c r="AD78" s="665"/>
      <c r="AE78" s="665"/>
      <c r="AF78" s="665"/>
      <c r="AG78" s="665"/>
      <c r="AH78" s="665"/>
      <c r="AI78" s="665"/>
      <c r="AJ78" s="665"/>
      <c r="AK78" s="665"/>
      <c r="AL78" s="665"/>
      <c r="AM78" s="665"/>
      <c r="AN78" s="665"/>
      <c r="AO78" s="665"/>
      <c r="AP78" s="665"/>
      <c r="AQ78" s="665"/>
      <c r="AR78" s="665"/>
      <c r="AS78" s="665"/>
      <c r="AT78" s="665"/>
      <c r="AU78" s="665"/>
      <c r="CG78" s="656"/>
    </row>
    <row r="79" spans="1:85">
      <c r="A79" s="661"/>
      <c r="E79" s="663"/>
      <c r="F79" s="664"/>
      <c r="G79" s="664"/>
      <c r="H79" s="664" t="s">
        <v>440</v>
      </c>
      <c r="I79" s="664"/>
      <c r="J79" s="664"/>
      <c r="K79" s="664"/>
      <c r="L79" s="664"/>
      <c r="M79" s="664"/>
      <c r="N79" s="664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5"/>
      <c r="AB79" s="665"/>
      <c r="AC79" s="665"/>
      <c r="AD79" s="665"/>
      <c r="AE79" s="665"/>
      <c r="AF79" s="665"/>
      <c r="AG79" s="665"/>
      <c r="AH79" s="665"/>
      <c r="AI79" s="665"/>
      <c r="AJ79" s="665"/>
      <c r="AK79" s="665"/>
      <c r="AL79" s="665"/>
      <c r="AM79" s="665"/>
      <c r="AN79" s="665"/>
      <c r="AO79" s="665"/>
      <c r="AP79" s="665"/>
      <c r="AQ79" s="665"/>
      <c r="AR79" s="665"/>
      <c r="AS79" s="665"/>
      <c r="AT79" s="665"/>
      <c r="AU79" s="665"/>
      <c r="CG79" s="656"/>
    </row>
    <row r="80" spans="1:85">
      <c r="A80" s="661"/>
      <c r="E80" s="663"/>
      <c r="F80" s="664"/>
      <c r="G80" s="664"/>
      <c r="H80" s="664" t="s">
        <v>441</v>
      </c>
      <c r="I80" s="664"/>
      <c r="J80" s="664"/>
      <c r="K80" s="664"/>
      <c r="L80" s="664"/>
      <c r="M80" s="664"/>
      <c r="N80" s="664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65"/>
      <c r="AB80" s="665"/>
      <c r="AC80" s="665"/>
      <c r="AD80" s="665"/>
      <c r="AE80" s="665"/>
      <c r="AF80" s="665"/>
      <c r="AG80" s="665"/>
      <c r="AH80" s="665"/>
      <c r="AI80" s="665"/>
      <c r="AJ80" s="665"/>
      <c r="AK80" s="665"/>
      <c r="AL80" s="665"/>
      <c r="AM80" s="665"/>
      <c r="AN80" s="665"/>
      <c r="AO80" s="665"/>
      <c r="AP80" s="665"/>
      <c r="AQ80" s="665"/>
      <c r="AR80" s="665"/>
      <c r="AS80" s="665"/>
      <c r="AT80" s="665"/>
      <c r="AU80" s="665"/>
      <c r="CG80" s="656"/>
    </row>
    <row r="81" spans="1:85">
      <c r="A81" s="661"/>
      <c r="E81" s="663"/>
      <c r="F81" s="664"/>
      <c r="G81" s="664"/>
      <c r="H81" s="664" t="s">
        <v>442</v>
      </c>
      <c r="I81" s="664"/>
      <c r="J81" s="664"/>
      <c r="K81" s="664"/>
      <c r="L81" s="664"/>
      <c r="M81" s="664"/>
      <c r="N81" s="664"/>
      <c r="O81" s="665"/>
      <c r="P81" s="665"/>
      <c r="Q81" s="665"/>
      <c r="R81" s="665"/>
      <c r="S81" s="665"/>
      <c r="T81" s="665"/>
      <c r="U81" s="665"/>
      <c r="V81" s="665"/>
      <c r="W81" s="665"/>
      <c r="X81" s="665"/>
      <c r="Y81" s="665"/>
      <c r="Z81" s="665"/>
      <c r="AA81" s="665"/>
      <c r="AB81" s="665"/>
      <c r="AC81" s="665"/>
      <c r="AD81" s="665"/>
      <c r="AE81" s="665"/>
      <c r="AF81" s="665"/>
      <c r="AG81" s="665"/>
      <c r="AH81" s="665"/>
      <c r="AI81" s="665"/>
      <c r="AJ81" s="665"/>
      <c r="AK81" s="665"/>
      <c r="AL81" s="665"/>
      <c r="AM81" s="665"/>
      <c r="AN81" s="665"/>
      <c r="AO81" s="665"/>
      <c r="AP81" s="665"/>
      <c r="AQ81" s="665"/>
      <c r="AR81" s="665"/>
      <c r="AS81" s="665"/>
      <c r="AT81" s="665"/>
      <c r="AU81" s="665"/>
      <c r="CG81" s="656"/>
    </row>
    <row r="82" spans="1:85">
      <c r="A82" s="661"/>
      <c r="E82" s="663"/>
      <c r="F82" s="664"/>
      <c r="G82" s="664"/>
      <c r="H82" s="664" t="s">
        <v>443</v>
      </c>
      <c r="I82" s="664"/>
      <c r="J82" s="664"/>
      <c r="K82" s="664"/>
      <c r="L82" s="664"/>
      <c r="M82" s="664"/>
      <c r="N82" s="664"/>
      <c r="O82" s="665"/>
      <c r="P82" s="665"/>
      <c r="Q82" s="665"/>
      <c r="R82" s="665"/>
      <c r="S82" s="665"/>
      <c r="T82" s="665"/>
      <c r="U82" s="665"/>
      <c r="V82" s="665"/>
      <c r="W82" s="665"/>
      <c r="X82" s="665"/>
      <c r="Y82" s="665"/>
      <c r="Z82" s="665"/>
      <c r="AA82" s="665"/>
      <c r="AB82" s="665"/>
      <c r="AC82" s="665"/>
      <c r="AD82" s="665"/>
      <c r="AE82" s="665"/>
      <c r="AF82" s="665"/>
      <c r="AG82" s="665"/>
      <c r="AH82" s="665"/>
      <c r="AI82" s="665"/>
      <c r="AJ82" s="665"/>
      <c r="AK82" s="665"/>
      <c r="AL82" s="665"/>
      <c r="AM82" s="665"/>
      <c r="AN82" s="665"/>
      <c r="AO82" s="665"/>
      <c r="AP82" s="665"/>
      <c r="AQ82" s="665"/>
      <c r="AR82" s="665"/>
      <c r="AS82" s="665"/>
      <c r="AT82" s="665"/>
      <c r="AU82" s="665"/>
      <c r="CG82" s="656"/>
    </row>
    <row r="83" spans="1:85">
      <c r="A83" s="661"/>
      <c r="E83" s="663"/>
      <c r="F83" s="664"/>
      <c r="G83" s="664"/>
      <c r="H83" s="664" t="s">
        <v>444</v>
      </c>
      <c r="I83" s="664"/>
      <c r="J83" s="664"/>
      <c r="K83" s="664"/>
      <c r="L83" s="664"/>
      <c r="M83" s="664"/>
      <c r="N83" s="664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65"/>
      <c r="AB83" s="665"/>
      <c r="AC83" s="665"/>
      <c r="AD83" s="665"/>
      <c r="AE83" s="665"/>
      <c r="AF83" s="665"/>
      <c r="AG83" s="665"/>
      <c r="AH83" s="665"/>
      <c r="AI83" s="665"/>
      <c r="AJ83" s="665"/>
      <c r="AK83" s="665"/>
      <c r="AL83" s="665"/>
      <c r="AM83" s="665"/>
      <c r="AN83" s="665"/>
      <c r="AO83" s="665"/>
      <c r="AP83" s="665"/>
      <c r="AQ83" s="665"/>
      <c r="AR83" s="665"/>
      <c r="AS83" s="665"/>
      <c r="AT83" s="665"/>
      <c r="AU83" s="665"/>
      <c r="CG83" s="656"/>
    </row>
    <row r="84" spans="1:85">
      <c r="A84" s="661"/>
      <c r="E84" s="663"/>
      <c r="F84" s="664"/>
      <c r="G84" s="664"/>
      <c r="H84" s="664" t="s">
        <v>445</v>
      </c>
      <c r="I84" s="664"/>
      <c r="J84" s="664"/>
      <c r="K84" s="664"/>
      <c r="L84" s="664"/>
      <c r="M84" s="664"/>
      <c r="N84" s="664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5"/>
      <c r="AB84" s="665"/>
      <c r="AC84" s="665"/>
      <c r="AD84" s="665"/>
      <c r="AE84" s="665"/>
      <c r="AF84" s="665"/>
      <c r="AG84" s="665"/>
      <c r="AH84" s="665"/>
      <c r="AI84" s="665"/>
      <c r="AJ84" s="665"/>
      <c r="AK84" s="665"/>
      <c r="AL84" s="665"/>
      <c r="AM84" s="665"/>
      <c r="AN84" s="665"/>
      <c r="AO84" s="665"/>
      <c r="AP84" s="665"/>
      <c r="AQ84" s="665"/>
      <c r="AR84" s="665"/>
      <c r="AS84" s="665"/>
      <c r="AT84" s="665"/>
      <c r="AU84" s="665"/>
      <c r="CG84" s="656"/>
    </row>
    <row r="85" spans="1:85">
      <c r="A85" s="661"/>
      <c r="E85" s="663"/>
      <c r="F85" s="664"/>
      <c r="G85" s="664"/>
      <c r="H85" s="664"/>
      <c r="I85" s="664"/>
      <c r="J85" s="664"/>
      <c r="K85" s="664"/>
      <c r="L85" s="664"/>
      <c r="M85" s="664"/>
      <c r="N85" s="664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65"/>
      <c r="AB85" s="665"/>
      <c r="AC85" s="665"/>
      <c r="AD85" s="665"/>
      <c r="AE85" s="665"/>
      <c r="AF85" s="665"/>
      <c r="AG85" s="665"/>
      <c r="AH85" s="665"/>
      <c r="AI85" s="665"/>
      <c r="AJ85" s="665"/>
      <c r="AK85" s="665"/>
      <c r="AL85" s="665"/>
      <c r="AM85" s="665"/>
      <c r="AN85" s="665"/>
      <c r="AO85" s="665"/>
      <c r="AP85" s="665"/>
      <c r="AQ85" s="665"/>
      <c r="AR85" s="665"/>
      <c r="AS85" s="665"/>
      <c r="AT85" s="665"/>
      <c r="AU85" s="665"/>
      <c r="CG85" s="656"/>
    </row>
    <row r="86" spans="1:85">
      <c r="A86" s="661"/>
      <c r="E86" s="663"/>
      <c r="F86" s="663" t="s">
        <v>606</v>
      </c>
      <c r="G86" s="663"/>
      <c r="H86" s="663"/>
      <c r="I86" s="663"/>
      <c r="J86" s="663"/>
      <c r="K86" s="663"/>
      <c r="L86" s="663"/>
      <c r="M86" s="663"/>
      <c r="N86" s="663"/>
      <c r="O86" s="663"/>
      <c r="P86" s="663"/>
      <c r="Q86" s="663"/>
      <c r="R86" s="663"/>
      <c r="S86" s="663"/>
      <c r="T86" s="663"/>
      <c r="U86" s="663"/>
      <c r="V86" s="663"/>
      <c r="W86" s="663"/>
      <c r="X86" s="663"/>
      <c r="Y86" s="663"/>
      <c r="Z86" s="663"/>
      <c r="AA86" s="663"/>
      <c r="AB86" s="663"/>
      <c r="AC86" s="663"/>
      <c r="AD86" s="663"/>
      <c r="AE86" s="663"/>
      <c r="AF86" s="663"/>
      <c r="AG86" s="663"/>
      <c r="AH86" s="663"/>
      <c r="AI86" s="663"/>
      <c r="AJ86" s="663"/>
      <c r="AK86" s="663"/>
      <c r="AL86" s="663"/>
      <c r="AM86" s="663"/>
      <c r="AN86" s="663"/>
      <c r="AO86" s="663"/>
      <c r="AP86" s="663"/>
      <c r="AQ86" s="663"/>
      <c r="AR86" s="663"/>
      <c r="AS86" s="663"/>
      <c r="AT86" s="663"/>
      <c r="AU86" s="663"/>
      <c r="CG86" s="656"/>
    </row>
    <row r="87" spans="1:85">
      <c r="A87" s="661"/>
      <c r="E87" s="663"/>
      <c r="F87" s="663"/>
      <c r="G87" s="663"/>
      <c r="H87" s="663"/>
      <c r="I87" s="663"/>
      <c r="J87" s="663"/>
      <c r="K87" s="663"/>
      <c r="L87" s="663"/>
      <c r="M87" s="663"/>
      <c r="N87" s="663"/>
      <c r="O87" s="663"/>
      <c r="P87" s="663"/>
      <c r="Q87" s="663"/>
      <c r="R87" s="663"/>
      <c r="S87" s="663"/>
      <c r="T87" s="663"/>
      <c r="U87" s="663"/>
      <c r="V87" s="663"/>
      <c r="W87" s="663"/>
      <c r="X87" s="663"/>
      <c r="Y87" s="663"/>
      <c r="Z87" s="663"/>
      <c r="AA87" s="663"/>
      <c r="AB87" s="663"/>
      <c r="AC87" s="663"/>
      <c r="AD87" s="663"/>
      <c r="AE87" s="663"/>
      <c r="AF87" s="663"/>
      <c r="AG87" s="663"/>
      <c r="AH87" s="663"/>
      <c r="AI87" s="663"/>
      <c r="AJ87" s="663"/>
      <c r="AK87" s="663"/>
      <c r="AL87" s="663"/>
      <c r="AM87" s="663"/>
      <c r="AN87" s="663"/>
      <c r="AO87" s="663"/>
      <c r="AP87" s="663"/>
      <c r="AQ87" s="663"/>
      <c r="AR87" s="663"/>
      <c r="AS87" s="663"/>
      <c r="AT87" s="663"/>
      <c r="AU87" s="663"/>
      <c r="CG87" s="656"/>
    </row>
    <row r="88" spans="1:85">
      <c r="A88" s="661"/>
      <c r="E88" s="663"/>
      <c r="F88" s="666" t="s">
        <v>353</v>
      </c>
      <c r="G88" s="929" t="s">
        <v>354</v>
      </c>
      <c r="H88" s="930"/>
      <c r="I88" s="930"/>
      <c r="J88" s="930"/>
      <c r="K88" s="930"/>
      <c r="L88" s="930"/>
      <c r="M88" s="930"/>
      <c r="N88" s="931"/>
      <c r="O88" s="929" t="s">
        <v>446</v>
      </c>
      <c r="P88" s="930"/>
      <c r="Q88" s="930"/>
      <c r="R88" s="930"/>
      <c r="S88" s="930"/>
      <c r="T88" s="930"/>
      <c r="U88" s="930"/>
      <c r="V88" s="930"/>
      <c r="W88" s="930"/>
      <c r="X88" s="930"/>
      <c r="Y88" s="930"/>
      <c r="Z88" s="930"/>
      <c r="AA88" s="931"/>
      <c r="AB88" s="663"/>
      <c r="AC88" s="663"/>
      <c r="AD88" s="663"/>
      <c r="AE88" s="663"/>
      <c r="AF88" s="663"/>
      <c r="AG88" s="663"/>
      <c r="AH88" s="663"/>
      <c r="AI88" s="663"/>
      <c r="AJ88" s="663"/>
      <c r="AK88" s="663"/>
      <c r="AL88" s="663"/>
      <c r="AM88" s="663"/>
      <c r="AN88" s="663"/>
      <c r="AO88" s="663"/>
      <c r="AP88" s="663"/>
      <c r="AQ88" s="663"/>
      <c r="AR88" s="663"/>
      <c r="AU88" s="663"/>
      <c r="AW88" s="663"/>
      <c r="CG88" s="656"/>
    </row>
    <row r="89" spans="1:85">
      <c r="A89" s="661"/>
      <c r="E89" s="663"/>
      <c r="F89" s="667">
        <v>1</v>
      </c>
      <c r="G89" s="884" t="s">
        <v>355</v>
      </c>
      <c r="H89" s="885"/>
      <c r="I89" s="885"/>
      <c r="J89" s="885"/>
      <c r="K89" s="885"/>
      <c r="L89" s="885"/>
      <c r="M89" s="885"/>
      <c r="N89" s="886"/>
      <c r="O89" s="884" t="s">
        <v>357</v>
      </c>
      <c r="P89" s="885"/>
      <c r="Q89" s="885"/>
      <c r="R89" s="885"/>
      <c r="S89" s="885"/>
      <c r="T89" s="885"/>
      <c r="U89" s="885"/>
      <c r="V89" s="885"/>
      <c r="W89" s="885"/>
      <c r="X89" s="885"/>
      <c r="Y89" s="885"/>
      <c r="Z89" s="885"/>
      <c r="AA89" s="886"/>
      <c r="AB89" s="663"/>
      <c r="AC89" s="663"/>
      <c r="AD89" s="663"/>
      <c r="AE89" s="663"/>
      <c r="AF89" s="663"/>
      <c r="AG89" s="663"/>
      <c r="AH89" s="663"/>
      <c r="AI89" s="663"/>
      <c r="AJ89" s="663"/>
      <c r="AK89" s="663"/>
      <c r="AL89" s="663"/>
      <c r="AM89" s="663"/>
      <c r="AN89" s="663"/>
      <c r="AO89" s="663"/>
      <c r="AP89" s="663"/>
      <c r="AQ89" s="663"/>
      <c r="AR89" s="663"/>
      <c r="AS89" s="663"/>
      <c r="AT89" s="663"/>
      <c r="AU89" s="663"/>
      <c r="BB89" s="668"/>
      <c r="CG89" s="656"/>
    </row>
    <row r="90" spans="1:85">
      <c r="A90" s="661"/>
      <c r="E90" s="663"/>
      <c r="F90" s="667">
        <v>2</v>
      </c>
      <c r="G90" s="884" t="s">
        <v>447</v>
      </c>
      <c r="H90" s="885"/>
      <c r="I90" s="885"/>
      <c r="J90" s="885"/>
      <c r="K90" s="885"/>
      <c r="L90" s="885"/>
      <c r="M90" s="885"/>
      <c r="N90" s="886"/>
      <c r="O90" s="884" t="s">
        <v>448</v>
      </c>
      <c r="P90" s="885"/>
      <c r="Q90" s="885"/>
      <c r="R90" s="885"/>
      <c r="S90" s="885"/>
      <c r="T90" s="885"/>
      <c r="U90" s="885"/>
      <c r="V90" s="885"/>
      <c r="W90" s="885"/>
      <c r="X90" s="885"/>
      <c r="Y90" s="885"/>
      <c r="Z90" s="885"/>
      <c r="AA90" s="886"/>
      <c r="AB90" s="663"/>
      <c r="AC90" s="663"/>
      <c r="AD90" s="663"/>
      <c r="AE90" s="663"/>
      <c r="AF90" s="663"/>
      <c r="AG90" s="663"/>
      <c r="AH90" s="663"/>
      <c r="AI90" s="663"/>
      <c r="AJ90" s="663"/>
      <c r="AK90" s="663"/>
      <c r="AL90" s="663"/>
      <c r="AM90" s="663"/>
      <c r="AN90" s="663"/>
      <c r="AO90" s="663"/>
      <c r="AP90" s="663"/>
      <c r="AQ90" s="663"/>
      <c r="AR90" s="663"/>
      <c r="AS90" s="663"/>
      <c r="AT90" s="663"/>
      <c r="AU90" s="663"/>
      <c r="BB90" s="668"/>
      <c r="CG90" s="656"/>
    </row>
    <row r="91" spans="1:85" ht="15.75" customHeight="1">
      <c r="A91" s="661"/>
      <c r="E91" s="663"/>
      <c r="F91" s="667">
        <v>3</v>
      </c>
      <c r="G91" s="884" t="s">
        <v>356</v>
      </c>
      <c r="H91" s="885"/>
      <c r="I91" s="885"/>
      <c r="J91" s="885"/>
      <c r="K91" s="885"/>
      <c r="L91" s="885"/>
      <c r="M91" s="885"/>
      <c r="N91" s="886"/>
      <c r="O91" s="892" t="s">
        <v>449</v>
      </c>
      <c r="P91" s="893"/>
      <c r="Q91" s="893"/>
      <c r="R91" s="893"/>
      <c r="S91" s="893"/>
      <c r="T91" s="893"/>
      <c r="U91" s="893"/>
      <c r="V91" s="893"/>
      <c r="W91" s="893"/>
      <c r="X91" s="893"/>
      <c r="Y91" s="893"/>
      <c r="Z91" s="893"/>
      <c r="AA91" s="894"/>
      <c r="AB91" s="663"/>
      <c r="AC91" s="663"/>
      <c r="AD91" s="663"/>
      <c r="AE91" s="663"/>
      <c r="AF91" s="663"/>
      <c r="AG91" s="663"/>
      <c r="AH91" s="663"/>
      <c r="AI91" s="663"/>
      <c r="AJ91" s="663"/>
      <c r="AK91" s="663"/>
      <c r="AL91" s="663"/>
      <c r="AM91" s="663"/>
      <c r="AN91" s="663"/>
      <c r="AO91" s="663"/>
      <c r="AP91" s="663"/>
      <c r="AQ91" s="663"/>
      <c r="AR91" s="663"/>
      <c r="AS91" s="663"/>
      <c r="AT91" s="663"/>
      <c r="AU91" s="663"/>
      <c r="BB91" s="669"/>
      <c r="CG91" s="656"/>
    </row>
    <row r="92" spans="1:85" ht="15.75" customHeight="1">
      <c r="A92" s="661"/>
      <c r="E92" s="663"/>
      <c r="F92" s="667">
        <v>4</v>
      </c>
      <c r="G92" s="884" t="s">
        <v>450</v>
      </c>
      <c r="H92" s="885"/>
      <c r="I92" s="885"/>
      <c r="J92" s="885"/>
      <c r="K92" s="885"/>
      <c r="L92" s="885"/>
      <c r="M92" s="885"/>
      <c r="N92" s="886"/>
      <c r="O92" s="892" t="s">
        <v>451</v>
      </c>
      <c r="P92" s="893"/>
      <c r="Q92" s="893"/>
      <c r="R92" s="893"/>
      <c r="S92" s="893"/>
      <c r="T92" s="893"/>
      <c r="U92" s="893"/>
      <c r="V92" s="893"/>
      <c r="W92" s="893"/>
      <c r="X92" s="893"/>
      <c r="Y92" s="893"/>
      <c r="Z92" s="893"/>
      <c r="AA92" s="894"/>
      <c r="AB92" s="663"/>
      <c r="AC92" s="663"/>
      <c r="AD92" s="663"/>
      <c r="AE92" s="663"/>
      <c r="AF92" s="663"/>
      <c r="AG92" s="663"/>
      <c r="AH92" s="663"/>
      <c r="AI92" s="663"/>
      <c r="AJ92" s="663"/>
      <c r="AK92" s="663"/>
      <c r="AL92" s="663"/>
      <c r="AM92" s="663"/>
      <c r="AN92" s="663"/>
      <c r="AO92" s="663"/>
      <c r="AP92" s="663"/>
      <c r="AQ92" s="663"/>
      <c r="AR92" s="663"/>
      <c r="AS92" s="663"/>
      <c r="AT92" s="663"/>
      <c r="AU92" s="663"/>
      <c r="CG92" s="656"/>
    </row>
    <row r="93" spans="1:85">
      <c r="A93" s="661"/>
      <c r="E93" s="663"/>
      <c r="F93" s="667">
        <v>5</v>
      </c>
      <c r="G93" s="884" t="s">
        <v>452</v>
      </c>
      <c r="H93" s="885"/>
      <c r="I93" s="885"/>
      <c r="J93" s="885"/>
      <c r="K93" s="885"/>
      <c r="L93" s="885"/>
      <c r="M93" s="885"/>
      <c r="N93" s="886"/>
      <c r="O93" s="892" t="s">
        <v>453</v>
      </c>
      <c r="P93" s="893"/>
      <c r="Q93" s="893"/>
      <c r="R93" s="893"/>
      <c r="S93" s="893"/>
      <c r="T93" s="893"/>
      <c r="U93" s="893"/>
      <c r="V93" s="893"/>
      <c r="W93" s="893"/>
      <c r="X93" s="893"/>
      <c r="Y93" s="893"/>
      <c r="Z93" s="893"/>
      <c r="AA93" s="894"/>
      <c r="AB93" s="663"/>
      <c r="AC93" s="663"/>
      <c r="AD93" s="663"/>
      <c r="AE93" s="663"/>
      <c r="AF93" s="663"/>
      <c r="AG93" s="663"/>
      <c r="AH93" s="663"/>
      <c r="AI93" s="663"/>
      <c r="AJ93" s="663"/>
      <c r="AK93" s="663"/>
      <c r="AL93" s="663"/>
      <c r="AM93" s="663"/>
      <c r="AN93" s="663"/>
      <c r="AO93" s="663"/>
      <c r="AP93" s="663"/>
      <c r="AQ93" s="663"/>
      <c r="AR93" s="663"/>
      <c r="AS93" s="663"/>
      <c r="AT93" s="663"/>
      <c r="AU93" s="663"/>
      <c r="CG93" s="656"/>
    </row>
    <row r="94" spans="1:85">
      <c r="A94" s="661"/>
      <c r="F94" s="667">
        <v>6</v>
      </c>
      <c r="G94" s="884" t="s">
        <v>454</v>
      </c>
      <c r="H94" s="885"/>
      <c r="I94" s="885"/>
      <c r="J94" s="885"/>
      <c r="K94" s="885"/>
      <c r="L94" s="885"/>
      <c r="M94" s="885"/>
      <c r="N94" s="886"/>
      <c r="O94" s="892" t="s">
        <v>358</v>
      </c>
      <c r="P94" s="893"/>
      <c r="Q94" s="893"/>
      <c r="R94" s="893"/>
      <c r="S94" s="893"/>
      <c r="T94" s="893"/>
      <c r="U94" s="893"/>
      <c r="V94" s="893"/>
      <c r="W94" s="893"/>
      <c r="X94" s="893"/>
      <c r="Y94" s="893"/>
      <c r="Z94" s="893"/>
      <c r="AA94" s="894"/>
      <c r="CG94" s="656"/>
    </row>
    <row r="95" spans="1:85">
      <c r="A95" s="661"/>
      <c r="F95" s="667">
        <v>7</v>
      </c>
      <c r="G95" s="884" t="s">
        <v>576</v>
      </c>
      <c r="H95" s="885"/>
      <c r="I95" s="885"/>
      <c r="J95" s="885"/>
      <c r="K95" s="885"/>
      <c r="L95" s="885"/>
      <c r="M95" s="885"/>
      <c r="N95" s="886"/>
      <c r="O95" s="892" t="s">
        <v>577</v>
      </c>
      <c r="P95" s="893"/>
      <c r="Q95" s="893"/>
      <c r="R95" s="893"/>
      <c r="S95" s="893"/>
      <c r="T95" s="893"/>
      <c r="U95" s="893"/>
      <c r="V95" s="893"/>
      <c r="W95" s="893"/>
      <c r="X95" s="893"/>
      <c r="Y95" s="893"/>
      <c r="Z95" s="893"/>
      <c r="AA95" s="894"/>
      <c r="CG95" s="656"/>
    </row>
    <row r="96" spans="1:85">
      <c r="A96" s="661"/>
      <c r="F96" s="670"/>
      <c r="G96" s="671"/>
      <c r="H96" s="671"/>
      <c r="I96" s="671"/>
      <c r="J96" s="671"/>
      <c r="K96" s="671"/>
      <c r="L96" s="671"/>
      <c r="M96" s="671"/>
      <c r="N96" s="671"/>
      <c r="O96" s="671"/>
      <c r="P96" s="671"/>
      <c r="Q96" s="671"/>
      <c r="R96" s="671"/>
      <c r="S96" s="671"/>
      <c r="T96" s="671"/>
      <c r="U96" s="671"/>
      <c r="V96" s="671"/>
      <c r="W96" s="671"/>
      <c r="X96" s="671"/>
      <c r="Y96" s="671"/>
      <c r="Z96" s="671"/>
      <c r="AA96" s="671"/>
      <c r="CG96" s="656"/>
    </row>
    <row r="97" spans="1:85">
      <c r="A97" s="661"/>
      <c r="F97" s="663" t="s">
        <v>607</v>
      </c>
      <c r="G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63"/>
      <c r="AB97" s="663"/>
      <c r="AC97" s="663"/>
      <c r="AD97" s="663"/>
      <c r="AE97" s="663"/>
      <c r="AF97" s="663"/>
      <c r="AG97" s="663"/>
      <c r="AH97" s="663"/>
      <c r="AI97" s="663"/>
      <c r="AJ97" s="663"/>
      <c r="AK97" s="663"/>
      <c r="AL97" s="663"/>
      <c r="AM97" s="663"/>
      <c r="AN97" s="663"/>
      <c r="AO97" s="663"/>
      <c r="AP97" s="663"/>
      <c r="AQ97" s="663"/>
      <c r="AR97" s="663"/>
      <c r="AS97" s="663"/>
      <c r="AT97" s="663"/>
      <c r="AU97" s="663"/>
      <c r="CG97" s="656"/>
    </row>
    <row r="98" spans="1:85">
      <c r="A98" s="661"/>
      <c r="F98" s="663"/>
      <c r="G98" s="663"/>
      <c r="J98" s="663"/>
      <c r="K98" s="663"/>
      <c r="L98" s="663"/>
      <c r="M98" s="663"/>
      <c r="N98" s="663"/>
      <c r="O98" s="663"/>
      <c r="P98" s="663"/>
      <c r="Q98" s="663"/>
      <c r="R98" s="663"/>
      <c r="S98" s="663"/>
      <c r="T98" s="663"/>
      <c r="U98" s="663"/>
      <c r="V98" s="663"/>
      <c r="W98" s="663"/>
      <c r="X98" s="663"/>
      <c r="Y98" s="663"/>
      <c r="Z98" s="663"/>
      <c r="AA98" s="663"/>
      <c r="AB98" s="663"/>
      <c r="AC98" s="663"/>
      <c r="AD98" s="663"/>
      <c r="AE98" s="663"/>
      <c r="AF98" s="663"/>
      <c r="AG98" s="663"/>
      <c r="AH98" s="663"/>
      <c r="AI98" s="663"/>
      <c r="AJ98" s="663"/>
      <c r="AK98" s="663"/>
      <c r="AL98" s="663"/>
      <c r="AM98" s="663"/>
      <c r="AN98" s="663"/>
      <c r="AO98" s="663"/>
      <c r="AP98" s="663"/>
      <c r="AQ98" s="663"/>
      <c r="AR98" s="663"/>
      <c r="AS98" s="663"/>
      <c r="AT98" s="663"/>
      <c r="AU98" s="663"/>
      <c r="CG98" s="656"/>
    </row>
    <row r="99" spans="1:85">
      <c r="A99" s="661"/>
      <c r="F99" s="663"/>
      <c r="G99" s="663"/>
      <c r="J99" s="663"/>
      <c r="K99" s="663"/>
      <c r="L99" s="663"/>
      <c r="M99" s="663"/>
      <c r="N99" s="663"/>
      <c r="O99" s="663"/>
      <c r="P99" s="663"/>
      <c r="Q99" s="663"/>
      <c r="R99" s="663"/>
      <c r="S99" s="663"/>
      <c r="T99" s="663"/>
      <c r="U99" s="663"/>
      <c r="V99" s="663"/>
      <c r="W99" s="663"/>
      <c r="X99" s="663"/>
      <c r="Y99" s="663"/>
      <c r="Z99" s="663"/>
      <c r="AA99" s="663"/>
      <c r="AB99" s="663"/>
      <c r="AC99" s="663"/>
      <c r="AD99" s="663"/>
      <c r="AE99" s="663"/>
      <c r="AF99" s="663"/>
      <c r="AG99" s="663"/>
      <c r="AH99" s="663"/>
      <c r="AI99" s="663"/>
      <c r="AJ99" s="663"/>
      <c r="AK99" s="663"/>
      <c r="AL99" s="663"/>
      <c r="AM99" s="663"/>
      <c r="AN99" s="663"/>
      <c r="AO99" s="663"/>
      <c r="AP99" s="663"/>
      <c r="AQ99" s="663"/>
      <c r="AR99" s="663"/>
      <c r="AS99" s="663"/>
      <c r="AT99" s="663"/>
      <c r="AU99" s="663"/>
      <c r="CG99" s="656"/>
    </row>
    <row r="100" spans="1:85">
      <c r="A100" s="661"/>
      <c r="E100" s="663"/>
      <c r="F100" s="663"/>
      <c r="AC100" s="663"/>
      <c r="AD100" s="663"/>
      <c r="AE100" s="663"/>
      <c r="AF100" s="663"/>
      <c r="AG100" s="663"/>
      <c r="AH100" s="663"/>
      <c r="AI100" s="663"/>
      <c r="AJ100" s="663"/>
      <c r="AK100" s="663"/>
      <c r="AL100" s="663"/>
      <c r="AM100" s="663"/>
      <c r="AN100" s="663"/>
      <c r="AO100" s="663"/>
      <c r="AP100" s="663"/>
      <c r="AQ100" s="663"/>
      <c r="AR100" s="663"/>
      <c r="AS100" s="663"/>
      <c r="AT100" s="663"/>
      <c r="AU100" s="663"/>
      <c r="CG100" s="656"/>
    </row>
    <row r="101" spans="1:85">
      <c r="A101" s="661"/>
      <c r="E101" s="663"/>
      <c r="F101" s="663"/>
      <c r="AC101" s="663"/>
      <c r="AD101" s="663"/>
      <c r="AE101" s="663"/>
      <c r="AF101" s="663"/>
      <c r="AG101" s="663"/>
      <c r="AH101" s="663"/>
      <c r="AI101" s="663"/>
      <c r="AJ101" s="663"/>
      <c r="AK101" s="663"/>
      <c r="AL101" s="663"/>
      <c r="AM101" s="663"/>
      <c r="AN101" s="663"/>
      <c r="AO101" s="663"/>
      <c r="AP101" s="663"/>
      <c r="AQ101" s="663"/>
      <c r="AR101" s="663"/>
      <c r="AS101" s="663"/>
      <c r="AT101" s="663"/>
      <c r="AU101" s="663"/>
      <c r="CG101" s="656"/>
    </row>
    <row r="102" spans="1:85">
      <c r="A102" s="661"/>
      <c r="E102" s="663"/>
      <c r="F102" s="663"/>
      <c r="AC102" s="663"/>
      <c r="AD102" s="663"/>
      <c r="AE102" s="663"/>
      <c r="AF102" s="663"/>
      <c r="AG102" s="663"/>
      <c r="AH102" s="663"/>
      <c r="AI102" s="663"/>
      <c r="AJ102" s="663"/>
      <c r="AK102" s="663"/>
      <c r="AL102" s="663"/>
      <c r="AM102" s="663"/>
      <c r="AN102" s="663"/>
      <c r="AO102" s="663"/>
      <c r="AP102" s="663"/>
      <c r="AQ102" s="663"/>
      <c r="AR102" s="663"/>
      <c r="AS102" s="663"/>
      <c r="AT102" s="663"/>
      <c r="AU102" s="663"/>
      <c r="CG102" s="656"/>
    </row>
    <row r="103" spans="1:85">
      <c r="A103" s="661"/>
      <c r="E103" s="663"/>
      <c r="F103" s="663"/>
      <c r="AC103" s="663"/>
      <c r="AD103" s="663"/>
      <c r="AE103" s="663"/>
      <c r="AF103" s="663"/>
      <c r="AG103" s="663"/>
      <c r="AH103" s="663"/>
      <c r="AI103" s="663"/>
      <c r="AJ103" s="663"/>
      <c r="AK103" s="663"/>
      <c r="AL103" s="663"/>
      <c r="AM103" s="663"/>
      <c r="AN103" s="663"/>
      <c r="AO103" s="663"/>
      <c r="AP103" s="663"/>
      <c r="AQ103" s="663"/>
      <c r="AR103" s="663"/>
      <c r="AS103" s="663"/>
      <c r="AT103" s="663"/>
      <c r="AU103" s="663"/>
      <c r="CG103" s="656"/>
    </row>
    <row r="104" spans="1:85">
      <c r="A104" s="661"/>
      <c r="E104" s="663"/>
      <c r="F104" s="663"/>
      <c r="AC104" s="663"/>
      <c r="AD104" s="663"/>
      <c r="AE104" s="663"/>
      <c r="AF104" s="663"/>
      <c r="AG104" s="663"/>
      <c r="AH104" s="663"/>
      <c r="AI104" s="663"/>
      <c r="AJ104" s="663"/>
      <c r="AK104" s="663"/>
      <c r="AL104" s="663"/>
      <c r="AM104" s="663"/>
      <c r="AN104" s="663"/>
      <c r="AO104" s="663"/>
      <c r="AP104" s="663"/>
      <c r="AQ104" s="663"/>
      <c r="AR104" s="663"/>
      <c r="AS104" s="663"/>
      <c r="AT104" s="663"/>
      <c r="AU104" s="663"/>
      <c r="CG104" s="656"/>
    </row>
    <row r="105" spans="1:85">
      <c r="A105" s="661"/>
      <c r="E105" s="663"/>
      <c r="F105" s="663"/>
      <c r="AC105" s="663"/>
      <c r="AD105" s="663"/>
      <c r="AE105" s="663"/>
      <c r="AF105" s="663"/>
      <c r="AG105" s="663"/>
      <c r="AH105" s="663"/>
      <c r="AI105" s="663"/>
      <c r="AJ105" s="663"/>
      <c r="AK105" s="663"/>
      <c r="AL105" s="663"/>
      <c r="AM105" s="663"/>
      <c r="AN105" s="663"/>
      <c r="AO105" s="663"/>
      <c r="AP105" s="663"/>
      <c r="AQ105" s="663"/>
      <c r="AR105" s="663"/>
      <c r="AS105" s="663"/>
      <c r="AT105" s="663"/>
      <c r="AU105" s="663"/>
      <c r="CG105" s="656"/>
    </row>
    <row r="106" spans="1:85">
      <c r="A106" s="661"/>
      <c r="E106" s="663"/>
      <c r="F106" s="663"/>
      <c r="AC106" s="663"/>
      <c r="AD106" s="663"/>
      <c r="AE106" s="663"/>
      <c r="AF106" s="663"/>
      <c r="AG106" s="663"/>
      <c r="AH106" s="663"/>
      <c r="AI106" s="663"/>
      <c r="AJ106" s="663"/>
      <c r="AK106" s="663"/>
      <c r="AL106" s="663"/>
      <c r="AM106" s="663"/>
      <c r="AN106" s="663"/>
      <c r="AO106" s="663"/>
      <c r="AP106" s="663"/>
      <c r="AQ106" s="663"/>
      <c r="AR106" s="663"/>
      <c r="AS106" s="663"/>
      <c r="AT106" s="663"/>
      <c r="AU106" s="663"/>
      <c r="CG106" s="656"/>
    </row>
    <row r="107" spans="1:85">
      <c r="A107" s="661"/>
      <c r="CG107" s="656"/>
    </row>
    <row r="108" spans="1:85">
      <c r="A108" s="661"/>
      <c r="CG108" s="656"/>
    </row>
    <row r="109" spans="1:85">
      <c r="A109" s="661"/>
      <c r="CG109" s="656"/>
    </row>
    <row r="110" spans="1:85">
      <c r="A110" s="661"/>
      <c r="CG110" s="656"/>
    </row>
    <row r="111" spans="1:85">
      <c r="A111" s="661"/>
      <c r="CG111" s="656"/>
    </row>
    <row r="112" spans="1:85">
      <c r="A112" s="661"/>
      <c r="CG112" s="656"/>
    </row>
    <row r="113" spans="1:85">
      <c r="A113" s="661"/>
      <c r="CG113" s="656"/>
    </row>
    <row r="114" spans="1:85">
      <c r="A114" s="661"/>
      <c r="F114" s="670"/>
      <c r="G114" s="671"/>
      <c r="H114" s="671"/>
      <c r="I114" s="671"/>
      <c r="J114" s="671"/>
      <c r="K114" s="671"/>
      <c r="L114" s="671"/>
      <c r="M114" s="671"/>
      <c r="N114" s="671"/>
      <c r="O114" s="671"/>
      <c r="P114" s="671"/>
      <c r="Q114" s="671"/>
      <c r="R114" s="671"/>
      <c r="S114" s="671"/>
      <c r="T114" s="671"/>
      <c r="U114" s="671"/>
      <c r="V114" s="671"/>
      <c r="W114" s="671"/>
      <c r="X114" s="671"/>
      <c r="Y114" s="671"/>
      <c r="Z114" s="671"/>
      <c r="AA114" s="671"/>
      <c r="CG114" s="656"/>
    </row>
    <row r="115" spans="1:85">
      <c r="A115" s="661"/>
      <c r="F115" s="670"/>
      <c r="G115" s="671"/>
      <c r="H115" s="671"/>
      <c r="I115" s="671"/>
      <c r="J115" s="671"/>
      <c r="K115" s="671"/>
      <c r="L115" s="671"/>
      <c r="M115" s="671"/>
      <c r="N115" s="671"/>
      <c r="O115" s="671"/>
      <c r="P115" s="671"/>
      <c r="Q115" s="671"/>
      <c r="R115" s="671"/>
      <c r="S115" s="671"/>
      <c r="T115" s="671"/>
      <c r="U115" s="671"/>
      <c r="V115" s="671"/>
      <c r="W115" s="671"/>
      <c r="X115" s="671"/>
      <c r="Y115" s="671"/>
      <c r="Z115" s="671"/>
      <c r="AA115" s="671"/>
      <c r="CG115" s="656"/>
    </row>
    <row r="116" spans="1:85">
      <c r="A116" s="661"/>
      <c r="F116" s="670"/>
      <c r="G116" s="671"/>
      <c r="H116" s="671"/>
      <c r="I116" s="671"/>
      <c r="J116" s="671"/>
      <c r="K116" s="671"/>
      <c r="L116" s="671"/>
      <c r="M116" s="671"/>
      <c r="N116" s="671"/>
      <c r="O116" s="671"/>
      <c r="P116" s="671"/>
      <c r="Q116" s="671"/>
      <c r="R116" s="671"/>
      <c r="S116" s="671"/>
      <c r="T116" s="671"/>
      <c r="U116" s="671"/>
      <c r="V116" s="671"/>
      <c r="W116" s="671"/>
      <c r="X116" s="671"/>
      <c r="Y116" s="671"/>
      <c r="Z116" s="671"/>
      <c r="AA116" s="671"/>
      <c r="CG116" s="656"/>
    </row>
    <row r="117" spans="1:85">
      <c r="A117" s="661"/>
      <c r="F117" s="670"/>
      <c r="G117" s="671"/>
      <c r="H117" s="671"/>
      <c r="I117" s="671"/>
      <c r="J117" s="671"/>
      <c r="K117" s="671"/>
      <c r="L117" s="671"/>
      <c r="M117" s="671"/>
      <c r="N117" s="671"/>
      <c r="O117" s="671"/>
      <c r="P117" s="671"/>
      <c r="Q117" s="671"/>
      <c r="R117" s="671"/>
      <c r="S117" s="671"/>
      <c r="T117" s="671"/>
      <c r="U117" s="671"/>
      <c r="V117" s="671"/>
      <c r="W117" s="671"/>
      <c r="X117" s="671"/>
      <c r="Y117" s="671"/>
      <c r="Z117" s="671"/>
      <c r="AA117" s="671"/>
      <c r="CG117" s="656"/>
    </row>
    <row r="118" spans="1:85">
      <c r="A118" s="661"/>
      <c r="CG118" s="656"/>
    </row>
    <row r="119" spans="1:85">
      <c r="A119" s="661"/>
      <c r="CG119" s="656"/>
    </row>
    <row r="120" spans="1:85">
      <c r="A120" s="661"/>
      <c r="CG120" s="656"/>
    </row>
    <row r="121" spans="1:85">
      <c r="A121" s="661"/>
      <c r="CG121" s="656"/>
    </row>
    <row r="122" spans="1:85">
      <c r="A122" s="661"/>
      <c r="CG122" s="656"/>
    </row>
    <row r="123" spans="1:85" ht="16.5" customHeight="1">
      <c r="A123" s="661"/>
      <c r="CG123" s="656"/>
    </row>
    <row r="124" spans="1:85">
      <c r="A124" s="661"/>
      <c r="E124" s="657" t="s">
        <v>608</v>
      </c>
      <c r="F124" s="663"/>
      <c r="G124" s="663"/>
      <c r="I124" s="663" t="s">
        <v>455</v>
      </c>
      <c r="CG124" s="656"/>
    </row>
    <row r="125" spans="1:85">
      <c r="A125" s="661"/>
      <c r="F125" s="663"/>
      <c r="G125" s="663"/>
      <c r="I125" s="663"/>
      <c r="CG125" s="656"/>
    </row>
    <row r="126" spans="1:85">
      <c r="A126" s="661"/>
      <c r="F126" s="663" t="s">
        <v>609</v>
      </c>
      <c r="G126" s="663"/>
      <c r="I126" s="663"/>
      <c r="Y126" s="657" t="s">
        <v>456</v>
      </c>
      <c r="Z126" s="657" t="s">
        <v>457</v>
      </c>
      <c r="CG126" s="656"/>
    </row>
    <row r="127" spans="1:85">
      <c r="A127" s="661"/>
      <c r="F127" s="663" t="s">
        <v>610</v>
      </c>
      <c r="G127" s="663"/>
      <c r="I127" s="663"/>
      <c r="Y127" s="657" t="s">
        <v>456</v>
      </c>
      <c r="Z127" s="657" t="s">
        <v>458</v>
      </c>
      <c r="CG127" s="656"/>
    </row>
    <row r="128" spans="1:85">
      <c r="A128" s="661"/>
      <c r="F128" s="663"/>
      <c r="G128" s="663"/>
      <c r="I128" s="663"/>
      <c r="CG128" s="656"/>
    </row>
    <row r="129" spans="1:85">
      <c r="A129" s="661"/>
      <c r="F129" s="663"/>
      <c r="G129" s="663"/>
      <c r="I129" s="663"/>
      <c r="CG129" s="656"/>
    </row>
    <row r="130" spans="1:85">
      <c r="A130" s="661"/>
      <c r="E130" s="657" t="s">
        <v>611</v>
      </c>
      <c r="CG130" s="656"/>
    </row>
    <row r="131" spans="1:85" hidden="1">
      <c r="A131" s="661"/>
      <c r="F131" s="663" t="s">
        <v>612</v>
      </c>
      <c r="CG131" s="656"/>
    </row>
    <row r="132" spans="1:85" ht="16.5" hidden="1" customHeight="1">
      <c r="A132" s="661"/>
      <c r="D132" s="655"/>
      <c r="F132" s="663"/>
      <c r="CG132" s="656"/>
    </row>
    <row r="133" spans="1:85" ht="16.5" hidden="1" customHeight="1">
      <c r="A133" s="661"/>
      <c r="H133" s="924" t="s">
        <v>459</v>
      </c>
      <c r="I133" s="925"/>
      <c r="J133" s="925"/>
      <c r="K133" s="925"/>
      <c r="L133" s="925"/>
      <c r="M133" s="925"/>
      <c r="N133" s="925"/>
      <c r="O133" s="925"/>
      <c r="P133" s="925"/>
      <c r="Q133" s="925"/>
      <c r="R133" s="925"/>
      <c r="S133" s="925"/>
      <c r="T133" s="925"/>
      <c r="U133" s="925"/>
      <c r="V133" s="925"/>
      <c r="W133" s="925"/>
      <c r="X133" s="925"/>
      <c r="Y133" s="925"/>
      <c r="Z133" s="925"/>
      <c r="AA133" s="925"/>
      <c r="AB133" s="925"/>
      <c r="AC133" s="925"/>
      <c r="AD133" s="925"/>
      <c r="AE133" s="925"/>
      <c r="AF133" s="925"/>
      <c r="AG133" s="925"/>
      <c r="AH133" s="925"/>
      <c r="AI133" s="925"/>
      <c r="AJ133" s="925"/>
      <c r="AK133" s="926"/>
      <c r="AL133" s="927" t="s">
        <v>460</v>
      </c>
      <c r="AM133" s="927"/>
      <c r="AN133" s="927"/>
      <c r="AO133" s="927"/>
      <c r="AP133" s="927"/>
      <c r="AQ133" s="927"/>
      <c r="AR133" s="927"/>
      <c r="AS133" s="927"/>
      <c r="AT133" s="927"/>
      <c r="AU133" s="927"/>
      <c r="AV133" s="927"/>
      <c r="AW133" s="927"/>
      <c r="AX133" s="927"/>
      <c r="CG133" s="656"/>
    </row>
    <row r="134" spans="1:85" ht="33.75" hidden="1" customHeight="1">
      <c r="A134" s="661"/>
      <c r="H134" s="921" t="s">
        <v>613</v>
      </c>
      <c r="I134" s="921"/>
      <c r="J134" s="921"/>
      <c r="K134" s="921"/>
      <c r="L134" s="921"/>
      <c r="M134" s="921"/>
      <c r="N134" s="921"/>
      <c r="O134" s="921"/>
      <c r="P134" s="921"/>
      <c r="Q134" s="921"/>
      <c r="R134" s="921"/>
      <c r="S134" s="921"/>
      <c r="T134" s="921"/>
      <c r="U134" s="921"/>
      <c r="V134" s="921"/>
      <c r="W134" s="921"/>
      <c r="X134" s="921"/>
      <c r="Y134" s="921"/>
      <c r="Z134" s="921"/>
      <c r="AA134" s="921"/>
      <c r="AB134" s="921"/>
      <c r="AC134" s="921"/>
      <c r="AD134" s="921"/>
      <c r="AE134" s="921"/>
      <c r="AF134" s="921"/>
      <c r="AG134" s="921"/>
      <c r="AH134" s="921"/>
      <c r="AI134" s="921"/>
      <c r="AJ134" s="921"/>
      <c r="AK134" s="921"/>
      <c r="AL134" s="928" t="s">
        <v>614</v>
      </c>
      <c r="AM134" s="928"/>
      <c r="AN134" s="928"/>
      <c r="AO134" s="928"/>
      <c r="AP134" s="928"/>
      <c r="AQ134" s="928"/>
      <c r="AR134" s="928" t="s">
        <v>615</v>
      </c>
      <c r="AS134" s="928"/>
      <c r="AT134" s="928"/>
      <c r="AU134" s="928"/>
      <c r="AV134" s="928"/>
      <c r="AW134" s="928"/>
      <c r="AX134" s="928"/>
      <c r="CG134" s="656"/>
    </row>
    <row r="135" spans="1:85" ht="16.5" hidden="1" customHeight="1">
      <c r="A135" s="661"/>
      <c r="H135" s="887" t="s">
        <v>574</v>
      </c>
      <c r="I135" s="887"/>
      <c r="J135" s="887"/>
      <c r="K135" s="887"/>
      <c r="L135" s="887"/>
      <c r="M135" s="887"/>
      <c r="N135" s="887"/>
      <c r="O135" s="887"/>
      <c r="P135" s="887"/>
      <c r="Q135" s="887"/>
      <c r="R135" s="887"/>
      <c r="S135" s="887"/>
      <c r="T135" s="887"/>
      <c r="U135" s="887"/>
      <c r="V135" s="887"/>
      <c r="W135" s="888" t="s">
        <v>461</v>
      </c>
      <c r="X135" s="888"/>
      <c r="Y135" s="888"/>
      <c r="Z135" s="888"/>
      <c r="AA135" s="888"/>
      <c r="AB135" s="888"/>
      <c r="AC135" s="888"/>
      <c r="AD135" s="888"/>
      <c r="AE135" s="888"/>
      <c r="AF135" s="888"/>
      <c r="AG135" s="888"/>
      <c r="AH135" s="888"/>
      <c r="AI135" s="888"/>
      <c r="AJ135" s="888"/>
      <c r="AK135" s="888"/>
      <c r="AL135" s="888" t="s">
        <v>462</v>
      </c>
      <c r="AM135" s="888"/>
      <c r="AN135" s="888"/>
      <c r="AO135" s="888"/>
      <c r="AP135" s="888"/>
      <c r="AQ135" s="888"/>
      <c r="AR135" s="888" t="s">
        <v>462</v>
      </c>
      <c r="AS135" s="888"/>
      <c r="AT135" s="888"/>
      <c r="AU135" s="888"/>
      <c r="AV135" s="888"/>
      <c r="AW135" s="888"/>
      <c r="AX135" s="888"/>
      <c r="CG135" s="656"/>
    </row>
    <row r="136" spans="1:85" ht="49.75" hidden="1" customHeight="1">
      <c r="A136" s="661"/>
      <c r="H136" s="887"/>
      <c r="I136" s="887"/>
      <c r="J136" s="887"/>
      <c r="K136" s="887"/>
      <c r="L136" s="887"/>
      <c r="M136" s="887"/>
      <c r="N136" s="887"/>
      <c r="O136" s="887"/>
      <c r="P136" s="887"/>
      <c r="Q136" s="887"/>
      <c r="R136" s="887"/>
      <c r="S136" s="887"/>
      <c r="T136" s="887"/>
      <c r="U136" s="887"/>
      <c r="V136" s="887"/>
      <c r="W136" s="891" t="s">
        <v>463</v>
      </c>
      <c r="X136" s="891"/>
      <c r="Y136" s="891"/>
      <c r="Z136" s="891"/>
      <c r="AA136" s="891"/>
      <c r="AB136" s="891"/>
      <c r="AC136" s="891"/>
      <c r="AD136" s="891"/>
      <c r="AE136" s="891"/>
      <c r="AF136" s="891"/>
      <c r="AG136" s="891"/>
      <c r="AH136" s="891"/>
      <c r="AI136" s="891"/>
      <c r="AJ136" s="891"/>
      <c r="AK136" s="891"/>
      <c r="AL136" s="888" t="s">
        <v>462</v>
      </c>
      <c r="AM136" s="888"/>
      <c r="AN136" s="888"/>
      <c r="AO136" s="888"/>
      <c r="AP136" s="888"/>
      <c r="AQ136" s="888"/>
      <c r="AR136" s="891" t="s">
        <v>464</v>
      </c>
      <c r="AS136" s="891"/>
      <c r="AT136" s="891"/>
      <c r="AU136" s="891"/>
      <c r="AV136" s="891"/>
      <c r="AW136" s="891"/>
      <c r="AX136" s="891"/>
      <c r="CG136" s="656"/>
    </row>
    <row r="137" spans="1:85" ht="16.5" hidden="1" customHeight="1">
      <c r="A137" s="661"/>
      <c r="H137" s="887" t="s">
        <v>575</v>
      </c>
      <c r="I137" s="887"/>
      <c r="J137" s="887"/>
      <c r="K137" s="887"/>
      <c r="L137" s="887"/>
      <c r="M137" s="887"/>
      <c r="N137" s="887"/>
      <c r="O137" s="887"/>
      <c r="P137" s="887"/>
      <c r="Q137" s="887"/>
      <c r="R137" s="887"/>
      <c r="S137" s="887"/>
      <c r="T137" s="887"/>
      <c r="U137" s="887"/>
      <c r="V137" s="887"/>
      <c r="W137" s="888"/>
      <c r="X137" s="888"/>
      <c r="Y137" s="888"/>
      <c r="Z137" s="888"/>
      <c r="AA137" s="888"/>
      <c r="AB137" s="888"/>
      <c r="AC137" s="888"/>
      <c r="AD137" s="888"/>
      <c r="AE137" s="888"/>
      <c r="AF137" s="888"/>
      <c r="AG137" s="888"/>
      <c r="AH137" s="888"/>
      <c r="AI137" s="888"/>
      <c r="AJ137" s="888"/>
      <c r="AK137" s="888"/>
      <c r="AL137" s="888" t="s">
        <v>462</v>
      </c>
      <c r="AM137" s="888"/>
      <c r="AN137" s="888"/>
      <c r="AO137" s="888"/>
      <c r="AP137" s="888"/>
      <c r="AQ137" s="888"/>
      <c r="AR137" s="888" t="s">
        <v>462</v>
      </c>
      <c r="AS137" s="888"/>
      <c r="AT137" s="888"/>
      <c r="AU137" s="888"/>
      <c r="AV137" s="888"/>
      <c r="AW137" s="888"/>
      <c r="AX137" s="888"/>
      <c r="CG137" s="656"/>
    </row>
    <row r="138" spans="1:85" ht="16.5" hidden="1" customHeight="1">
      <c r="A138" s="661"/>
      <c r="H138" s="887" t="s">
        <v>465</v>
      </c>
      <c r="I138" s="887"/>
      <c r="J138" s="887"/>
      <c r="K138" s="887"/>
      <c r="L138" s="887"/>
      <c r="M138" s="887"/>
      <c r="N138" s="887"/>
      <c r="O138" s="887"/>
      <c r="P138" s="887"/>
      <c r="Q138" s="887"/>
      <c r="R138" s="887"/>
      <c r="S138" s="887"/>
      <c r="T138" s="887"/>
      <c r="U138" s="887"/>
      <c r="V138" s="887"/>
      <c r="W138" s="888"/>
      <c r="X138" s="888"/>
      <c r="Y138" s="888"/>
      <c r="Z138" s="888"/>
      <c r="AA138" s="888"/>
      <c r="AB138" s="888"/>
      <c r="AC138" s="888"/>
      <c r="AD138" s="888"/>
      <c r="AE138" s="888"/>
      <c r="AF138" s="888"/>
      <c r="AG138" s="888"/>
      <c r="AH138" s="888"/>
      <c r="AI138" s="888"/>
      <c r="AJ138" s="888"/>
      <c r="AK138" s="888"/>
      <c r="AL138" s="888" t="s">
        <v>462</v>
      </c>
      <c r="AM138" s="888"/>
      <c r="AN138" s="888"/>
      <c r="AO138" s="888"/>
      <c r="AP138" s="888"/>
      <c r="AQ138" s="888"/>
      <c r="AR138" s="888" t="s">
        <v>462</v>
      </c>
      <c r="AS138" s="888"/>
      <c r="AT138" s="888"/>
      <c r="AU138" s="888"/>
      <c r="AV138" s="888"/>
      <c r="AW138" s="888"/>
      <c r="AX138" s="888"/>
      <c r="CG138" s="656"/>
    </row>
    <row r="139" spans="1:85" ht="16.5" hidden="1" customHeight="1">
      <c r="A139" s="661"/>
      <c r="CG139" s="656"/>
    </row>
    <row r="140" spans="1:85" ht="16.5" customHeight="1">
      <c r="A140" s="661"/>
      <c r="D140" s="655"/>
      <c r="F140" s="663" t="s">
        <v>616</v>
      </c>
      <c r="CG140" s="656"/>
    </row>
    <row r="141" spans="1:85" ht="16.5" customHeight="1">
      <c r="A141" s="661"/>
      <c r="D141" s="655"/>
      <c r="F141" s="663"/>
      <c r="CG141" s="656"/>
    </row>
    <row r="142" spans="1:85" ht="16.5" customHeight="1">
      <c r="A142" s="661"/>
      <c r="F142" s="920" t="s">
        <v>459</v>
      </c>
      <c r="G142" s="920"/>
      <c r="H142" s="920"/>
      <c r="I142" s="920"/>
      <c r="J142" s="920"/>
      <c r="K142" s="920"/>
      <c r="L142" s="920"/>
      <c r="M142" s="920"/>
      <c r="N142" s="920"/>
      <c r="O142" s="920"/>
      <c r="P142" s="920"/>
      <c r="Q142" s="920"/>
      <c r="R142" s="920"/>
      <c r="S142" s="920"/>
      <c r="T142" s="920"/>
      <c r="U142" s="920"/>
      <c r="V142" s="920"/>
      <c r="W142" s="920"/>
      <c r="X142" s="920"/>
      <c r="Y142" s="920"/>
      <c r="Z142" s="920"/>
      <c r="AA142" s="920"/>
      <c r="AB142" s="920"/>
      <c r="AC142" s="920"/>
      <c r="AD142" s="920"/>
      <c r="AE142" s="920"/>
      <c r="AF142" s="920"/>
      <c r="AG142" s="920"/>
      <c r="AH142" s="920"/>
      <c r="AI142" s="920"/>
      <c r="AJ142" s="920"/>
      <c r="AK142" s="920"/>
      <c r="AL142" s="920"/>
      <c r="AM142" s="920"/>
      <c r="AN142" s="920"/>
      <c r="AO142" s="920"/>
      <c r="AP142" s="920"/>
      <c r="AQ142" s="920"/>
      <c r="AR142" s="920"/>
      <c r="AS142" s="920"/>
      <c r="AT142" s="920"/>
      <c r="AU142" s="920"/>
      <c r="AV142" s="920"/>
      <c r="CG142" s="656"/>
    </row>
    <row r="143" spans="1:85" ht="47" customHeight="1">
      <c r="A143" s="661"/>
      <c r="F143" s="921" t="s">
        <v>613</v>
      </c>
      <c r="G143" s="921"/>
      <c r="H143" s="921"/>
      <c r="I143" s="921"/>
      <c r="J143" s="921"/>
      <c r="K143" s="921"/>
      <c r="L143" s="921"/>
      <c r="M143" s="921"/>
      <c r="N143" s="921"/>
      <c r="O143" s="921"/>
      <c r="P143" s="921"/>
      <c r="Q143" s="921"/>
      <c r="R143" s="921"/>
      <c r="S143" s="921"/>
      <c r="T143" s="921"/>
      <c r="U143" s="921"/>
      <c r="V143" s="921"/>
      <c r="W143" s="921"/>
      <c r="X143" s="921"/>
      <c r="Y143" s="921"/>
      <c r="Z143" s="921"/>
      <c r="AA143" s="921"/>
      <c r="AB143" s="921"/>
      <c r="AC143" s="921"/>
      <c r="AD143" s="921"/>
      <c r="AE143" s="921"/>
      <c r="AF143" s="921"/>
      <c r="AG143" s="921"/>
      <c r="AH143" s="921"/>
      <c r="AI143" s="921"/>
      <c r="AJ143" s="921" t="s">
        <v>466</v>
      </c>
      <c r="AK143" s="921"/>
      <c r="AL143" s="921"/>
      <c r="AM143" s="922" t="s">
        <v>467</v>
      </c>
      <c r="AN143" s="922"/>
      <c r="AO143" s="922"/>
      <c r="AP143" s="922"/>
      <c r="AQ143" s="922"/>
      <c r="AR143" s="923" t="s">
        <v>468</v>
      </c>
      <c r="AS143" s="923"/>
      <c r="AT143" s="923"/>
      <c r="AU143" s="921" t="s">
        <v>469</v>
      </c>
      <c r="AV143" s="921"/>
      <c r="CG143" s="656"/>
    </row>
    <row r="144" spans="1:85" ht="16.5" customHeight="1">
      <c r="A144" s="661"/>
      <c r="F144" s="887" t="s">
        <v>574</v>
      </c>
      <c r="G144" s="887"/>
      <c r="H144" s="887"/>
      <c r="I144" s="887"/>
      <c r="J144" s="887"/>
      <c r="K144" s="887"/>
      <c r="L144" s="887"/>
      <c r="M144" s="887"/>
      <c r="N144" s="887"/>
      <c r="O144" s="887"/>
      <c r="P144" s="887"/>
      <c r="Q144" s="887"/>
      <c r="R144" s="887"/>
      <c r="S144" s="887"/>
      <c r="T144" s="887"/>
      <c r="U144" s="888" t="s">
        <v>461</v>
      </c>
      <c r="V144" s="888"/>
      <c r="W144" s="888"/>
      <c r="X144" s="888"/>
      <c r="Y144" s="888"/>
      <c r="Z144" s="888"/>
      <c r="AA144" s="888"/>
      <c r="AB144" s="888"/>
      <c r="AC144" s="888"/>
      <c r="AD144" s="888"/>
      <c r="AE144" s="888"/>
      <c r="AF144" s="888"/>
      <c r="AG144" s="888"/>
      <c r="AH144" s="888"/>
      <c r="AI144" s="888"/>
      <c r="AJ144" s="917" t="s">
        <v>470</v>
      </c>
      <c r="AK144" s="918"/>
      <c r="AL144" s="919"/>
      <c r="AM144" s="890" t="s">
        <v>358</v>
      </c>
      <c r="AN144" s="890"/>
      <c r="AO144" s="890"/>
      <c r="AP144" s="890"/>
      <c r="AQ144" s="890"/>
      <c r="AR144" s="878" t="s">
        <v>471</v>
      </c>
      <c r="AS144" s="878"/>
      <c r="AT144" s="878"/>
      <c r="AU144" s="878" t="s">
        <v>472</v>
      </c>
      <c r="AV144" s="878"/>
      <c r="CG144" s="656"/>
    </row>
    <row r="145" spans="1:85" ht="49.75" customHeight="1">
      <c r="A145" s="661"/>
      <c r="F145" s="887"/>
      <c r="G145" s="887"/>
      <c r="H145" s="887"/>
      <c r="I145" s="887"/>
      <c r="J145" s="887"/>
      <c r="K145" s="887"/>
      <c r="L145" s="887"/>
      <c r="M145" s="887"/>
      <c r="N145" s="887"/>
      <c r="O145" s="887"/>
      <c r="P145" s="887"/>
      <c r="Q145" s="887"/>
      <c r="R145" s="887"/>
      <c r="S145" s="887"/>
      <c r="T145" s="887"/>
      <c r="U145" s="891" t="s">
        <v>473</v>
      </c>
      <c r="V145" s="891"/>
      <c r="W145" s="891"/>
      <c r="X145" s="891"/>
      <c r="Y145" s="891"/>
      <c r="Z145" s="891"/>
      <c r="AA145" s="891"/>
      <c r="AB145" s="891"/>
      <c r="AC145" s="891"/>
      <c r="AD145" s="891"/>
      <c r="AE145" s="891"/>
      <c r="AF145" s="891"/>
      <c r="AG145" s="891"/>
      <c r="AH145" s="891"/>
      <c r="AI145" s="891"/>
      <c r="AJ145" s="889" t="s">
        <v>474</v>
      </c>
      <c r="AK145" s="889"/>
      <c r="AL145" s="889"/>
      <c r="AM145" s="890" t="s">
        <v>475</v>
      </c>
      <c r="AN145" s="890"/>
      <c r="AO145" s="890"/>
      <c r="AP145" s="890"/>
      <c r="AQ145" s="890"/>
      <c r="AR145" s="878" t="s">
        <v>471</v>
      </c>
      <c r="AS145" s="878"/>
      <c r="AT145" s="878"/>
      <c r="AU145" s="878" t="s">
        <v>476</v>
      </c>
      <c r="AV145" s="878"/>
      <c r="CG145" s="656"/>
    </row>
    <row r="146" spans="1:85" ht="49.75" customHeight="1">
      <c r="A146" s="661"/>
      <c r="F146" s="887"/>
      <c r="G146" s="887"/>
      <c r="H146" s="887"/>
      <c r="I146" s="887"/>
      <c r="J146" s="887"/>
      <c r="K146" s="887"/>
      <c r="L146" s="887"/>
      <c r="M146" s="887"/>
      <c r="N146" s="887"/>
      <c r="O146" s="887"/>
      <c r="P146" s="887"/>
      <c r="Q146" s="887"/>
      <c r="R146" s="887"/>
      <c r="S146" s="887"/>
      <c r="T146" s="887"/>
      <c r="U146" s="891" t="s">
        <v>477</v>
      </c>
      <c r="V146" s="891"/>
      <c r="W146" s="891"/>
      <c r="X146" s="891"/>
      <c r="Y146" s="891"/>
      <c r="Z146" s="891"/>
      <c r="AA146" s="891"/>
      <c r="AB146" s="891"/>
      <c r="AC146" s="891"/>
      <c r="AD146" s="891"/>
      <c r="AE146" s="891"/>
      <c r="AF146" s="891"/>
      <c r="AG146" s="891"/>
      <c r="AH146" s="891"/>
      <c r="AI146" s="891"/>
      <c r="AJ146" s="889" t="s">
        <v>474</v>
      </c>
      <c r="AK146" s="889"/>
      <c r="AL146" s="889"/>
      <c r="AM146" s="890" t="s">
        <v>478</v>
      </c>
      <c r="AN146" s="890"/>
      <c r="AO146" s="890"/>
      <c r="AP146" s="890"/>
      <c r="AQ146" s="890"/>
      <c r="AR146" s="878" t="s">
        <v>479</v>
      </c>
      <c r="AS146" s="878"/>
      <c r="AT146" s="878"/>
      <c r="AU146" s="879" t="s">
        <v>480</v>
      </c>
      <c r="AV146" s="916"/>
      <c r="CG146" s="656"/>
    </row>
    <row r="147" spans="1:85" ht="16.5" customHeight="1">
      <c r="A147" s="661"/>
      <c r="F147" s="887" t="s">
        <v>575</v>
      </c>
      <c r="G147" s="887"/>
      <c r="H147" s="887"/>
      <c r="I147" s="887"/>
      <c r="J147" s="887"/>
      <c r="K147" s="887"/>
      <c r="L147" s="887"/>
      <c r="M147" s="887"/>
      <c r="N147" s="887"/>
      <c r="O147" s="887"/>
      <c r="P147" s="887"/>
      <c r="Q147" s="887"/>
      <c r="R147" s="887"/>
      <c r="S147" s="887"/>
      <c r="T147" s="887"/>
      <c r="U147" s="888"/>
      <c r="V147" s="888"/>
      <c r="W147" s="888"/>
      <c r="X147" s="888"/>
      <c r="Y147" s="888"/>
      <c r="Z147" s="888"/>
      <c r="AA147" s="888"/>
      <c r="AB147" s="888"/>
      <c r="AC147" s="888"/>
      <c r="AD147" s="888"/>
      <c r="AE147" s="888"/>
      <c r="AF147" s="888"/>
      <c r="AG147" s="888"/>
      <c r="AH147" s="888"/>
      <c r="AI147" s="888"/>
      <c r="AJ147" s="889" t="s">
        <v>481</v>
      </c>
      <c r="AK147" s="889"/>
      <c r="AL147" s="889"/>
      <c r="AM147" s="890" t="s">
        <v>482</v>
      </c>
      <c r="AN147" s="890"/>
      <c r="AO147" s="890"/>
      <c r="AP147" s="890"/>
      <c r="AQ147" s="890"/>
      <c r="AR147" s="878" t="s">
        <v>471</v>
      </c>
      <c r="AS147" s="878"/>
      <c r="AT147" s="878"/>
      <c r="AU147" s="879" t="s">
        <v>483</v>
      </c>
      <c r="AV147" s="916"/>
      <c r="CG147" s="656"/>
    </row>
    <row r="148" spans="1:85" ht="16.5" customHeight="1">
      <c r="A148" s="661"/>
      <c r="F148" s="887" t="s">
        <v>666</v>
      </c>
      <c r="G148" s="887"/>
      <c r="H148" s="887"/>
      <c r="I148" s="887"/>
      <c r="J148" s="887"/>
      <c r="K148" s="887"/>
      <c r="L148" s="887"/>
      <c r="M148" s="887"/>
      <c r="N148" s="887"/>
      <c r="O148" s="887"/>
      <c r="P148" s="887"/>
      <c r="Q148" s="887"/>
      <c r="R148" s="887"/>
      <c r="S148" s="887"/>
      <c r="T148" s="887"/>
      <c r="U148" s="888"/>
      <c r="V148" s="888"/>
      <c r="W148" s="888"/>
      <c r="X148" s="888"/>
      <c r="Y148" s="888"/>
      <c r="Z148" s="888"/>
      <c r="AA148" s="888"/>
      <c r="AB148" s="888"/>
      <c r="AC148" s="888"/>
      <c r="AD148" s="888"/>
      <c r="AE148" s="888"/>
      <c r="AF148" s="888"/>
      <c r="AG148" s="888"/>
      <c r="AH148" s="888"/>
      <c r="AI148" s="888"/>
      <c r="AJ148" s="889" t="s">
        <v>470</v>
      </c>
      <c r="AK148" s="889"/>
      <c r="AL148" s="889"/>
      <c r="AM148" s="890" t="s">
        <v>482</v>
      </c>
      <c r="AN148" s="890"/>
      <c r="AO148" s="890"/>
      <c r="AP148" s="890"/>
      <c r="AQ148" s="890"/>
      <c r="AR148" s="878" t="s">
        <v>471</v>
      </c>
      <c r="AS148" s="878"/>
      <c r="AT148" s="878"/>
      <c r="AU148" s="878" t="s">
        <v>484</v>
      </c>
      <c r="AV148" s="878"/>
      <c r="CG148" s="656"/>
    </row>
    <row r="149" spans="1:85" ht="16.5" customHeight="1">
      <c r="A149" s="661"/>
      <c r="CG149" s="656"/>
    </row>
    <row r="150" spans="1:85">
      <c r="A150" s="661"/>
      <c r="B150" s="662" t="s">
        <v>618</v>
      </c>
      <c r="CG150" s="656"/>
    </row>
    <row r="151" spans="1:85">
      <c r="A151" s="661"/>
      <c r="B151" s="662"/>
      <c r="CG151" s="656"/>
    </row>
    <row r="152" spans="1:85">
      <c r="A152" s="661"/>
      <c r="E152" s="663" t="s">
        <v>619</v>
      </c>
      <c r="CG152" s="656"/>
    </row>
    <row r="153" spans="1:85">
      <c r="A153" s="661"/>
      <c r="E153" s="663"/>
      <c r="CG153" s="656"/>
    </row>
    <row r="154" spans="1:85">
      <c r="A154" s="661"/>
      <c r="F154" s="657" t="s">
        <v>485</v>
      </c>
      <c r="CG154" s="656"/>
    </row>
    <row r="155" spans="1:85">
      <c r="A155" s="661"/>
      <c r="E155" s="663"/>
      <c r="CG155" s="656"/>
    </row>
    <row r="156" spans="1:85">
      <c r="A156" s="661"/>
      <c r="B156" s="662"/>
      <c r="E156" s="657" t="s">
        <v>620</v>
      </c>
      <c r="CG156" s="656"/>
    </row>
    <row r="157" spans="1:85">
      <c r="A157" s="661"/>
      <c r="B157" s="662"/>
      <c r="F157" s="657" t="s">
        <v>617</v>
      </c>
      <c r="CG157" s="656"/>
    </row>
    <row r="158" spans="1:85">
      <c r="A158" s="661"/>
      <c r="B158" s="662"/>
      <c r="F158" s="657" t="s">
        <v>667</v>
      </c>
      <c r="CG158" s="656"/>
    </row>
    <row r="159" spans="1:85">
      <c r="A159" s="661"/>
      <c r="B159" s="662"/>
      <c r="CG159" s="656"/>
    </row>
    <row r="160" spans="1:85">
      <c r="A160" s="661"/>
      <c r="B160" s="662"/>
      <c r="CG160" s="656"/>
    </row>
    <row r="161" spans="1:85">
      <c r="A161" s="661"/>
      <c r="B161" s="662"/>
      <c r="E161" s="663" t="s">
        <v>621</v>
      </c>
      <c r="CG161" s="656"/>
    </row>
    <row r="162" spans="1:85">
      <c r="A162" s="661"/>
      <c r="F162" s="663"/>
      <c r="G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63"/>
      <c r="AB162" s="663"/>
      <c r="AC162" s="663"/>
      <c r="AD162" s="663"/>
      <c r="AE162" s="663"/>
      <c r="AF162" s="663"/>
      <c r="AG162" s="663"/>
      <c r="AH162" s="663"/>
      <c r="AI162" s="663"/>
      <c r="AJ162" s="663"/>
      <c r="AK162" s="663"/>
      <c r="AL162" s="663"/>
      <c r="AM162" s="663"/>
      <c r="AN162" s="663"/>
      <c r="AO162" s="663"/>
      <c r="AP162" s="663"/>
      <c r="AQ162" s="663"/>
      <c r="AR162" s="663"/>
      <c r="AS162" s="663"/>
      <c r="AT162" s="663"/>
      <c r="AU162" s="663"/>
      <c r="CG162" s="656"/>
    </row>
    <row r="163" spans="1:85">
      <c r="A163" s="661"/>
      <c r="F163" s="663"/>
      <c r="G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63"/>
      <c r="AB163" s="663"/>
      <c r="AC163" s="663"/>
      <c r="AD163" s="663"/>
      <c r="AE163" s="663"/>
      <c r="AF163" s="663"/>
      <c r="AG163" s="663"/>
      <c r="AH163" s="663"/>
      <c r="AI163" s="663"/>
      <c r="AJ163" s="663"/>
      <c r="AK163" s="663"/>
      <c r="AL163" s="663"/>
      <c r="AM163" s="663"/>
      <c r="AN163" s="663"/>
      <c r="AO163" s="663"/>
      <c r="AP163" s="663"/>
      <c r="AQ163" s="663"/>
      <c r="AR163" s="663"/>
      <c r="AS163" s="663"/>
      <c r="AT163" s="663"/>
      <c r="AU163" s="663"/>
      <c r="CG163" s="656"/>
    </row>
    <row r="164" spans="1:85">
      <c r="A164" s="661"/>
      <c r="E164" s="663"/>
      <c r="F164" s="663"/>
      <c r="AC164" s="663"/>
      <c r="AD164" s="663"/>
      <c r="AE164" s="663"/>
      <c r="AF164" s="663"/>
      <c r="AG164" s="663"/>
      <c r="AH164" s="663"/>
      <c r="AI164" s="663"/>
      <c r="AJ164" s="663"/>
      <c r="AK164" s="663"/>
      <c r="AL164" s="663"/>
      <c r="AM164" s="663"/>
      <c r="AN164" s="663"/>
      <c r="AO164" s="663"/>
      <c r="AP164" s="663"/>
      <c r="AQ164" s="663"/>
      <c r="AR164" s="663"/>
      <c r="AS164" s="663"/>
      <c r="AT164" s="663"/>
      <c r="AU164" s="663"/>
      <c r="CG164" s="656"/>
    </row>
    <row r="165" spans="1:85">
      <c r="A165" s="661"/>
      <c r="E165" s="663"/>
      <c r="F165" s="663"/>
      <c r="AC165" s="663"/>
      <c r="AD165" s="663"/>
      <c r="AE165" s="663"/>
      <c r="AF165" s="663"/>
      <c r="AG165" s="663"/>
      <c r="AH165" s="663"/>
      <c r="AI165" s="663"/>
      <c r="AJ165" s="663"/>
      <c r="AK165" s="663"/>
      <c r="AL165" s="663"/>
      <c r="AM165" s="663"/>
      <c r="AN165" s="663"/>
      <c r="AO165" s="663"/>
      <c r="AP165" s="663"/>
      <c r="AQ165" s="663"/>
      <c r="AR165" s="663"/>
      <c r="AS165" s="663"/>
      <c r="AT165" s="663"/>
      <c r="AU165" s="663"/>
      <c r="CG165" s="656"/>
    </row>
    <row r="166" spans="1:85">
      <c r="A166" s="661"/>
      <c r="E166" s="663"/>
      <c r="F166" s="663"/>
      <c r="AC166" s="663"/>
      <c r="AD166" s="663"/>
      <c r="AE166" s="663"/>
      <c r="AF166" s="663"/>
      <c r="AG166" s="663"/>
      <c r="AH166" s="663"/>
      <c r="AI166" s="663"/>
      <c r="AJ166" s="663"/>
      <c r="AK166" s="663"/>
      <c r="AL166" s="663"/>
      <c r="AM166" s="663"/>
      <c r="AN166" s="663"/>
      <c r="AO166" s="663"/>
      <c r="AP166" s="663"/>
      <c r="AQ166" s="663"/>
      <c r="AR166" s="663"/>
      <c r="AS166" s="663"/>
      <c r="AT166" s="663"/>
      <c r="AU166" s="663"/>
      <c r="CG166" s="656"/>
    </row>
    <row r="167" spans="1:85">
      <c r="A167" s="661"/>
      <c r="E167" s="663"/>
      <c r="F167" s="663"/>
      <c r="AC167" s="663"/>
      <c r="AD167" s="663"/>
      <c r="AE167" s="663"/>
      <c r="AF167" s="663"/>
      <c r="AG167" s="663"/>
      <c r="AH167" s="663"/>
      <c r="AI167" s="663"/>
      <c r="AJ167" s="663"/>
      <c r="AK167" s="663"/>
      <c r="AL167" s="663"/>
      <c r="AM167" s="663"/>
      <c r="AN167" s="663"/>
      <c r="AO167" s="663"/>
      <c r="AP167" s="663"/>
      <c r="AQ167" s="663"/>
      <c r="AR167" s="663"/>
      <c r="AS167" s="663"/>
      <c r="AT167" s="663"/>
      <c r="AU167" s="663"/>
      <c r="CG167" s="656"/>
    </row>
    <row r="168" spans="1:85">
      <c r="A168" s="661"/>
      <c r="E168" s="663"/>
      <c r="F168" s="663"/>
      <c r="AC168" s="663"/>
      <c r="AD168" s="663"/>
      <c r="AE168" s="663"/>
      <c r="AF168" s="663"/>
      <c r="AG168" s="663"/>
      <c r="AH168" s="663"/>
      <c r="AI168" s="663"/>
      <c r="AJ168" s="663"/>
      <c r="AK168" s="663"/>
      <c r="AL168" s="663"/>
      <c r="AM168" s="663"/>
      <c r="AN168" s="663"/>
      <c r="AO168" s="663"/>
      <c r="AP168" s="663"/>
      <c r="AQ168" s="663"/>
      <c r="AR168" s="663"/>
      <c r="AS168" s="663"/>
      <c r="AT168" s="663"/>
      <c r="AU168" s="663"/>
      <c r="CG168" s="656"/>
    </row>
    <row r="169" spans="1:85">
      <c r="A169" s="661"/>
      <c r="E169" s="663"/>
      <c r="F169" s="663"/>
      <c r="AC169" s="663"/>
      <c r="AD169" s="663"/>
      <c r="AE169" s="663"/>
      <c r="AF169" s="663"/>
      <c r="AG169" s="663"/>
      <c r="AH169" s="663"/>
      <c r="AI169" s="663"/>
      <c r="AJ169" s="663"/>
      <c r="AK169" s="663"/>
      <c r="AL169" s="663"/>
      <c r="AM169" s="663"/>
      <c r="AN169" s="663"/>
      <c r="AO169" s="663"/>
      <c r="AP169" s="663"/>
      <c r="AQ169" s="663"/>
      <c r="AR169" s="663"/>
      <c r="AS169" s="663"/>
      <c r="AT169" s="663"/>
      <c r="AU169" s="663"/>
      <c r="CG169" s="656"/>
    </row>
    <row r="170" spans="1:85">
      <c r="A170" s="661"/>
      <c r="E170" s="663"/>
      <c r="F170" s="663"/>
      <c r="AC170" s="663"/>
      <c r="AD170" s="663"/>
      <c r="AE170" s="663"/>
      <c r="AF170" s="663"/>
      <c r="AG170" s="663"/>
      <c r="AH170" s="663"/>
      <c r="AI170" s="663"/>
      <c r="AJ170" s="663"/>
      <c r="AK170" s="663"/>
      <c r="AL170" s="663"/>
      <c r="AM170" s="663"/>
      <c r="AN170" s="663"/>
      <c r="AO170" s="663"/>
      <c r="AP170" s="663"/>
      <c r="AQ170" s="663"/>
      <c r="AR170" s="663"/>
      <c r="AS170" s="663"/>
      <c r="AT170" s="663"/>
      <c r="AU170" s="663"/>
      <c r="CG170" s="656"/>
    </row>
    <row r="171" spans="1:85">
      <c r="A171" s="661"/>
      <c r="CG171" s="656"/>
    </row>
    <row r="172" spans="1:85">
      <c r="A172" s="661"/>
      <c r="CG172" s="656"/>
    </row>
    <row r="173" spans="1:85">
      <c r="A173" s="661"/>
      <c r="CG173" s="656"/>
    </row>
    <row r="174" spans="1:85">
      <c r="A174" s="661"/>
      <c r="CG174" s="656"/>
    </row>
    <row r="175" spans="1:85">
      <c r="A175" s="661"/>
      <c r="CG175" s="656"/>
    </row>
    <row r="176" spans="1:85">
      <c r="A176" s="661"/>
      <c r="CG176" s="656"/>
    </row>
    <row r="177" spans="1:85">
      <c r="A177" s="661"/>
      <c r="CG177" s="656"/>
    </row>
    <row r="178" spans="1:85">
      <c r="A178" s="661"/>
      <c r="F178" s="670"/>
      <c r="G178" s="671"/>
      <c r="H178" s="671"/>
      <c r="I178" s="671"/>
      <c r="J178" s="671"/>
      <c r="K178" s="671"/>
      <c r="L178" s="671"/>
      <c r="M178" s="671"/>
      <c r="N178" s="671"/>
      <c r="O178" s="671"/>
      <c r="P178" s="671"/>
      <c r="Q178" s="671"/>
      <c r="R178" s="671"/>
      <c r="S178" s="671"/>
      <c r="T178" s="671"/>
      <c r="U178" s="671"/>
      <c r="V178" s="671"/>
      <c r="W178" s="671"/>
      <c r="X178" s="671"/>
      <c r="Y178" s="671"/>
      <c r="Z178" s="671"/>
      <c r="AA178" s="671"/>
      <c r="CG178" s="656"/>
    </row>
    <row r="179" spans="1:85">
      <c r="A179" s="661"/>
      <c r="F179" s="670"/>
      <c r="G179" s="671"/>
      <c r="H179" s="671"/>
      <c r="I179" s="671"/>
      <c r="J179" s="671"/>
      <c r="K179" s="671"/>
      <c r="L179" s="671"/>
      <c r="M179" s="671"/>
      <c r="N179" s="671"/>
      <c r="O179" s="671"/>
      <c r="P179" s="671"/>
      <c r="Q179" s="671"/>
      <c r="R179" s="671"/>
      <c r="S179" s="671"/>
      <c r="T179" s="671"/>
      <c r="U179" s="671"/>
      <c r="V179" s="671"/>
      <c r="W179" s="671"/>
      <c r="X179" s="671"/>
      <c r="Y179" s="671"/>
      <c r="Z179" s="671"/>
      <c r="AA179" s="671"/>
      <c r="CG179" s="656"/>
    </row>
    <row r="180" spans="1:85">
      <c r="A180" s="661"/>
      <c r="F180" s="670"/>
      <c r="G180" s="671"/>
      <c r="H180" s="671"/>
      <c r="I180" s="671"/>
      <c r="J180" s="671"/>
      <c r="K180" s="671"/>
      <c r="L180" s="671"/>
      <c r="M180" s="671"/>
      <c r="N180" s="671"/>
      <c r="O180" s="671"/>
      <c r="P180" s="671"/>
      <c r="Q180" s="671"/>
      <c r="R180" s="671"/>
      <c r="S180" s="671"/>
      <c r="T180" s="671"/>
      <c r="U180" s="671"/>
      <c r="V180" s="671"/>
      <c r="W180" s="671"/>
      <c r="X180" s="671"/>
      <c r="Y180" s="671"/>
      <c r="Z180" s="671"/>
      <c r="AA180" s="671"/>
      <c r="CG180" s="656"/>
    </row>
    <row r="181" spans="1:85">
      <c r="A181" s="661"/>
      <c r="F181" s="670"/>
      <c r="G181" s="671"/>
      <c r="H181" s="671"/>
      <c r="I181" s="671"/>
      <c r="J181" s="671"/>
      <c r="K181" s="671"/>
      <c r="L181" s="671"/>
      <c r="M181" s="671"/>
      <c r="N181" s="671"/>
      <c r="O181" s="671"/>
      <c r="P181" s="671"/>
      <c r="Q181" s="671"/>
      <c r="R181" s="671"/>
      <c r="S181" s="671"/>
      <c r="T181" s="671"/>
      <c r="U181" s="671"/>
      <c r="V181" s="671"/>
      <c r="W181" s="671"/>
      <c r="X181" s="671"/>
      <c r="Y181" s="671"/>
      <c r="Z181" s="671"/>
      <c r="AA181" s="671"/>
      <c r="CG181" s="656"/>
    </row>
    <row r="182" spans="1:85">
      <c r="A182" s="661"/>
      <c r="CG182" s="656"/>
    </row>
    <row r="183" spans="1:85">
      <c r="A183" s="661"/>
      <c r="CG183" s="656"/>
    </row>
    <row r="184" spans="1:85">
      <c r="A184" s="661"/>
      <c r="CG184" s="656"/>
    </row>
    <row r="185" spans="1:85">
      <c r="A185" s="661"/>
      <c r="CG185" s="656"/>
    </row>
    <row r="186" spans="1:85">
      <c r="A186" s="661"/>
      <c r="CG186" s="656"/>
    </row>
    <row r="187" spans="1:85">
      <c r="A187" s="661"/>
      <c r="CG187" s="656"/>
    </row>
    <row r="188" spans="1:85" ht="16.5" customHeight="1">
      <c r="A188" s="661"/>
      <c r="E188" s="663" t="s">
        <v>622</v>
      </c>
      <c r="CG188" s="656"/>
    </row>
    <row r="189" spans="1:85" ht="16.5" customHeight="1">
      <c r="A189" s="661"/>
      <c r="CG189" s="656"/>
    </row>
    <row r="190" spans="1:85" ht="16.5" customHeight="1">
      <c r="A190" s="661"/>
      <c r="F190" s="657" t="s">
        <v>486</v>
      </c>
      <c r="CG190" s="656"/>
    </row>
    <row r="191" spans="1:85">
      <c r="A191" s="661"/>
      <c r="G191" s="657" t="s">
        <v>487</v>
      </c>
      <c r="CG191" s="656"/>
    </row>
    <row r="192" spans="1:85">
      <c r="A192" s="661"/>
      <c r="G192" s="657" t="s">
        <v>490</v>
      </c>
      <c r="CG192" s="656"/>
    </row>
    <row r="193" spans="1:85">
      <c r="A193" s="661"/>
      <c r="CG193" s="656"/>
    </row>
    <row r="194" spans="1:85">
      <c r="A194" s="661"/>
      <c r="B194" s="662" t="s">
        <v>623</v>
      </c>
      <c r="CG194" s="656"/>
    </row>
    <row r="195" spans="1:85">
      <c r="A195" s="661"/>
      <c r="CG195" s="656"/>
    </row>
    <row r="196" spans="1:85">
      <c r="A196" s="661"/>
      <c r="E196" s="663" t="s">
        <v>434</v>
      </c>
      <c r="CG196" s="656"/>
    </row>
    <row r="197" spans="1:85">
      <c r="A197" s="661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3"/>
      <c r="P197" s="663"/>
      <c r="Q197" s="663"/>
      <c r="R197" s="663"/>
      <c r="S197" s="663"/>
      <c r="T197" s="663"/>
      <c r="U197" s="663"/>
      <c r="V197" s="663"/>
      <c r="W197" s="663"/>
      <c r="X197" s="663"/>
      <c r="Y197" s="663"/>
      <c r="Z197" s="663"/>
      <c r="AA197" s="663"/>
      <c r="AB197" s="663"/>
      <c r="AC197" s="663"/>
      <c r="AD197" s="663"/>
      <c r="AE197" s="663"/>
      <c r="AF197" s="663"/>
      <c r="AG197" s="663"/>
      <c r="AH197" s="663"/>
      <c r="AI197" s="663"/>
      <c r="AJ197" s="663"/>
      <c r="AK197" s="663"/>
      <c r="AL197" s="663"/>
      <c r="AM197" s="663"/>
      <c r="AN197" s="663"/>
      <c r="AO197" s="663"/>
      <c r="AP197" s="663"/>
      <c r="AQ197" s="663"/>
      <c r="AR197" s="663"/>
      <c r="AS197" s="663"/>
      <c r="AT197" s="663"/>
      <c r="AU197" s="663"/>
      <c r="CG197" s="656"/>
    </row>
    <row r="198" spans="1:85">
      <c r="A198" s="661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3"/>
      <c r="P198" s="663"/>
      <c r="Q198" s="663"/>
      <c r="R198" s="663"/>
      <c r="S198" s="663"/>
      <c r="T198" s="663"/>
      <c r="U198" s="663"/>
      <c r="V198" s="663"/>
      <c r="W198" s="663"/>
      <c r="X198" s="663"/>
      <c r="Y198" s="663"/>
      <c r="Z198" s="663"/>
      <c r="AA198" s="663"/>
      <c r="AB198" s="663"/>
      <c r="AC198" s="663"/>
      <c r="AD198" s="663"/>
      <c r="AE198" s="663"/>
      <c r="AF198" s="663"/>
      <c r="AG198" s="663"/>
      <c r="AH198" s="663"/>
      <c r="AI198" s="663"/>
      <c r="AJ198" s="663"/>
      <c r="AK198" s="663"/>
      <c r="AL198" s="663"/>
      <c r="AM198" s="663"/>
      <c r="AN198" s="663"/>
      <c r="AO198" s="663"/>
      <c r="AP198" s="663"/>
      <c r="AQ198" s="663"/>
      <c r="AR198" s="663"/>
      <c r="AS198" s="663"/>
      <c r="AT198" s="663"/>
      <c r="AU198" s="663"/>
      <c r="CG198" s="656"/>
    </row>
    <row r="199" spans="1:85">
      <c r="A199" s="661"/>
      <c r="E199" s="663"/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A199" s="663"/>
      <c r="AB199" s="663"/>
      <c r="AC199" s="663"/>
      <c r="AD199" s="663"/>
      <c r="AE199" s="663"/>
      <c r="AF199" s="663"/>
      <c r="AG199" s="663"/>
      <c r="AH199" s="663"/>
      <c r="AI199" s="663"/>
      <c r="AJ199" s="663"/>
      <c r="AK199" s="663"/>
      <c r="AL199" s="663"/>
      <c r="AM199" s="663"/>
      <c r="AN199" s="663"/>
      <c r="AO199" s="663"/>
      <c r="AP199" s="663"/>
      <c r="AQ199" s="663"/>
      <c r="AR199" s="663"/>
      <c r="AS199" s="663"/>
      <c r="AT199" s="663"/>
      <c r="AU199" s="663"/>
      <c r="CG199" s="656"/>
    </row>
    <row r="200" spans="1:85">
      <c r="A200" s="661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663"/>
      <c r="AB200" s="663"/>
      <c r="AC200" s="663"/>
      <c r="AD200" s="663"/>
      <c r="AE200" s="663"/>
      <c r="AF200" s="663"/>
      <c r="AG200" s="663"/>
      <c r="AH200" s="663"/>
      <c r="AI200" s="663"/>
      <c r="AJ200" s="663"/>
      <c r="AK200" s="663"/>
      <c r="AL200" s="663"/>
      <c r="AM200" s="663"/>
      <c r="AN200" s="663"/>
      <c r="AO200" s="663"/>
      <c r="AP200" s="663"/>
      <c r="AQ200" s="663"/>
      <c r="AR200" s="663"/>
      <c r="AS200" s="663"/>
      <c r="AT200" s="663"/>
      <c r="AU200" s="663"/>
      <c r="CG200" s="656"/>
    </row>
    <row r="201" spans="1:85">
      <c r="A201" s="661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3"/>
      <c r="P201" s="663"/>
      <c r="Q201" s="663"/>
      <c r="R201" s="663"/>
      <c r="S201" s="663"/>
      <c r="T201" s="663"/>
      <c r="U201" s="663"/>
      <c r="V201" s="663"/>
      <c r="W201" s="663"/>
      <c r="X201" s="663"/>
      <c r="Y201" s="663"/>
      <c r="Z201" s="663"/>
      <c r="AA201" s="663"/>
      <c r="AB201" s="663"/>
      <c r="AC201" s="663"/>
      <c r="AD201" s="663"/>
      <c r="AE201" s="663"/>
      <c r="AF201" s="663"/>
      <c r="AG201" s="663"/>
      <c r="AH201" s="663"/>
      <c r="AI201" s="663"/>
      <c r="AJ201" s="663"/>
      <c r="AK201" s="663"/>
      <c r="AL201" s="663"/>
      <c r="AM201" s="663"/>
      <c r="AN201" s="663"/>
      <c r="AO201" s="663"/>
      <c r="AP201" s="663"/>
      <c r="AQ201" s="663"/>
      <c r="AR201" s="663"/>
      <c r="AS201" s="663"/>
      <c r="AT201" s="663"/>
      <c r="AU201" s="663"/>
      <c r="CG201" s="656"/>
    </row>
    <row r="202" spans="1:85">
      <c r="A202" s="661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3"/>
      <c r="P202" s="663"/>
      <c r="Q202" s="663"/>
      <c r="R202" s="663"/>
      <c r="S202" s="663"/>
      <c r="T202" s="663"/>
      <c r="U202" s="663"/>
      <c r="V202" s="663"/>
      <c r="W202" s="663"/>
      <c r="X202" s="663"/>
      <c r="Y202" s="663"/>
      <c r="Z202" s="663"/>
      <c r="AA202" s="663"/>
      <c r="AB202" s="663"/>
      <c r="AC202" s="663"/>
      <c r="AD202" s="663"/>
      <c r="AE202" s="663"/>
      <c r="AF202" s="663"/>
      <c r="AG202" s="663"/>
      <c r="AH202" s="663"/>
      <c r="AI202" s="663"/>
      <c r="AJ202" s="663"/>
      <c r="AK202" s="663"/>
      <c r="AL202" s="663"/>
      <c r="AM202" s="663"/>
      <c r="AN202" s="663"/>
      <c r="AO202" s="663"/>
      <c r="AP202" s="663"/>
      <c r="AQ202" s="663"/>
      <c r="AR202" s="663"/>
      <c r="AS202" s="663"/>
      <c r="AT202" s="663"/>
      <c r="AU202" s="663"/>
      <c r="CG202" s="656"/>
    </row>
    <row r="203" spans="1:85">
      <c r="A203" s="661"/>
      <c r="E203" s="663"/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/>
      <c r="R203" s="663"/>
      <c r="S203" s="663"/>
      <c r="T203" s="663"/>
      <c r="U203" s="663"/>
      <c r="V203" s="663"/>
      <c r="W203" s="663"/>
      <c r="X203" s="663"/>
      <c r="Y203" s="663"/>
      <c r="Z203" s="663"/>
      <c r="AA203" s="663"/>
      <c r="AB203" s="663"/>
      <c r="AC203" s="663"/>
      <c r="AD203" s="663"/>
      <c r="AE203" s="663"/>
      <c r="AF203" s="663"/>
      <c r="AG203" s="663"/>
      <c r="AH203" s="663"/>
      <c r="AI203" s="663"/>
      <c r="AJ203" s="663"/>
      <c r="AK203" s="663"/>
      <c r="AL203" s="663"/>
      <c r="AM203" s="663"/>
      <c r="AN203" s="663"/>
      <c r="AO203" s="663"/>
      <c r="AP203" s="663"/>
      <c r="AQ203" s="663"/>
      <c r="AR203" s="663"/>
      <c r="AS203" s="663"/>
      <c r="AT203" s="663"/>
      <c r="AU203" s="663"/>
      <c r="CG203" s="656"/>
    </row>
    <row r="204" spans="1:85">
      <c r="A204" s="661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63"/>
      <c r="AB204" s="663"/>
      <c r="AC204" s="663"/>
      <c r="AD204" s="663"/>
      <c r="AE204" s="663"/>
      <c r="AF204" s="663"/>
      <c r="AG204" s="663"/>
      <c r="AH204" s="663"/>
      <c r="AI204" s="663"/>
      <c r="AJ204" s="663"/>
      <c r="AK204" s="663"/>
      <c r="AL204" s="663"/>
      <c r="AM204" s="663"/>
      <c r="AN204" s="663"/>
      <c r="AO204" s="663"/>
      <c r="AP204" s="663"/>
      <c r="AQ204" s="663"/>
      <c r="AR204" s="663"/>
      <c r="AS204" s="663"/>
      <c r="AT204" s="663"/>
      <c r="AU204" s="663"/>
      <c r="CG204" s="656"/>
    </row>
    <row r="205" spans="1:85">
      <c r="A205" s="661"/>
      <c r="E205" s="663"/>
      <c r="F205" s="663"/>
      <c r="G205" s="663"/>
      <c r="H205" s="663"/>
      <c r="I205" s="663"/>
      <c r="J205" s="663"/>
      <c r="K205" s="663"/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A205" s="663"/>
      <c r="AB205" s="663"/>
      <c r="AC205" s="663"/>
      <c r="AD205" s="663"/>
      <c r="AE205" s="663"/>
      <c r="AF205" s="663"/>
      <c r="AG205" s="663"/>
      <c r="AH205" s="663"/>
      <c r="AI205" s="663"/>
      <c r="AJ205" s="663"/>
      <c r="AK205" s="663"/>
      <c r="AL205" s="663"/>
      <c r="AM205" s="663"/>
      <c r="AN205" s="663"/>
      <c r="AO205" s="663"/>
      <c r="AP205" s="663"/>
      <c r="AQ205" s="663"/>
      <c r="AR205" s="663"/>
      <c r="AS205" s="663"/>
      <c r="AT205" s="663"/>
      <c r="AU205" s="663"/>
      <c r="CG205" s="656"/>
    </row>
    <row r="206" spans="1:85">
      <c r="A206" s="661"/>
      <c r="E206" s="663"/>
      <c r="F206" s="663"/>
      <c r="G206" s="663"/>
      <c r="H206" s="663"/>
      <c r="I206" s="663"/>
      <c r="J206" s="663"/>
      <c r="K206" s="663"/>
      <c r="L206" s="663"/>
      <c r="M206" s="663"/>
      <c r="N206" s="663"/>
      <c r="O206" s="663"/>
      <c r="P206" s="663"/>
      <c r="Q206" s="663"/>
      <c r="R206" s="663"/>
      <c r="S206" s="663"/>
      <c r="T206" s="663"/>
      <c r="U206" s="663"/>
      <c r="V206" s="663"/>
      <c r="W206" s="663"/>
      <c r="X206" s="663"/>
      <c r="Y206" s="663"/>
      <c r="Z206" s="663"/>
      <c r="AA206" s="663"/>
      <c r="AB206" s="663"/>
      <c r="AC206" s="663"/>
      <c r="AD206" s="663"/>
      <c r="AE206" s="663"/>
      <c r="AF206" s="663"/>
      <c r="AG206" s="663"/>
      <c r="AH206" s="663"/>
      <c r="AI206" s="663"/>
      <c r="AJ206" s="663"/>
      <c r="AK206" s="663"/>
      <c r="AL206" s="663"/>
      <c r="AM206" s="663"/>
      <c r="AN206" s="663"/>
      <c r="AO206" s="663"/>
      <c r="AP206" s="663"/>
      <c r="AQ206" s="663"/>
      <c r="AR206" s="663"/>
      <c r="AS206" s="663"/>
      <c r="AT206" s="663"/>
      <c r="AU206" s="663"/>
      <c r="CG206" s="656"/>
    </row>
    <row r="207" spans="1:85">
      <c r="A207" s="661"/>
      <c r="E207" s="663"/>
      <c r="F207" s="663"/>
      <c r="G207" s="663"/>
      <c r="H207" s="663"/>
      <c r="I207" s="663"/>
      <c r="J207" s="663"/>
      <c r="K207" s="663"/>
      <c r="L207" s="663"/>
      <c r="M207" s="663"/>
      <c r="N207" s="663"/>
      <c r="O207" s="663"/>
      <c r="P207" s="663"/>
      <c r="Q207" s="663"/>
      <c r="R207" s="663"/>
      <c r="S207" s="663"/>
      <c r="T207" s="663"/>
      <c r="U207" s="663"/>
      <c r="V207" s="663"/>
      <c r="W207" s="663"/>
      <c r="X207" s="663"/>
      <c r="Y207" s="663"/>
      <c r="Z207" s="663"/>
      <c r="AA207" s="663"/>
      <c r="AB207" s="663"/>
      <c r="AC207" s="663"/>
      <c r="AD207" s="663"/>
      <c r="AE207" s="663"/>
      <c r="AF207" s="663"/>
      <c r="AG207" s="663"/>
      <c r="AH207" s="663"/>
      <c r="AI207" s="663"/>
      <c r="AJ207" s="663"/>
      <c r="AK207" s="663"/>
      <c r="AL207" s="663"/>
      <c r="AM207" s="663"/>
      <c r="AN207" s="663"/>
      <c r="AO207" s="663"/>
      <c r="AP207" s="663"/>
      <c r="AQ207" s="663"/>
      <c r="AR207" s="663"/>
      <c r="AS207" s="663"/>
      <c r="AT207" s="663"/>
      <c r="AU207" s="663"/>
      <c r="CG207" s="656"/>
    </row>
    <row r="208" spans="1:85">
      <c r="A208" s="661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63"/>
      <c r="AB208" s="663"/>
      <c r="AC208" s="663"/>
      <c r="AD208" s="663"/>
      <c r="AE208" s="663"/>
      <c r="AF208" s="663"/>
      <c r="AG208" s="663"/>
      <c r="AH208" s="663"/>
      <c r="AI208" s="663"/>
      <c r="AJ208" s="663"/>
      <c r="AK208" s="663"/>
      <c r="AL208" s="663"/>
      <c r="AM208" s="663"/>
      <c r="AN208" s="663"/>
      <c r="AO208" s="663"/>
      <c r="AP208" s="663"/>
      <c r="AQ208" s="663"/>
      <c r="AR208" s="663"/>
      <c r="AS208" s="663"/>
      <c r="AT208" s="663"/>
      <c r="AU208" s="663"/>
      <c r="CG208" s="656"/>
    </row>
    <row r="209" spans="1:85">
      <c r="A209" s="661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63"/>
      <c r="AB209" s="663"/>
      <c r="AC209" s="663"/>
      <c r="AD209" s="663"/>
      <c r="AE209" s="663"/>
      <c r="AF209" s="663"/>
      <c r="AG209" s="663"/>
      <c r="AH209" s="663"/>
      <c r="AI209" s="663"/>
      <c r="AJ209" s="663"/>
      <c r="AK209" s="663"/>
      <c r="AL209" s="663"/>
      <c r="AM209" s="663"/>
      <c r="AN209" s="663"/>
      <c r="AO209" s="663"/>
      <c r="AP209" s="663"/>
      <c r="AQ209" s="663"/>
      <c r="AR209" s="663"/>
      <c r="AS209" s="663"/>
      <c r="AT209" s="663"/>
      <c r="AU209" s="663"/>
      <c r="CG209" s="656"/>
    </row>
    <row r="210" spans="1:85">
      <c r="A210" s="661"/>
      <c r="E210" s="663"/>
      <c r="F210" s="663"/>
      <c r="G210" s="663"/>
      <c r="H210" s="663"/>
      <c r="I210" s="663"/>
      <c r="J210" s="663"/>
      <c r="K210" s="663"/>
      <c r="L210" s="663"/>
      <c r="M210" s="663"/>
      <c r="N210" s="663"/>
      <c r="O210" s="663"/>
      <c r="P210" s="663"/>
      <c r="Q210" s="663"/>
      <c r="R210" s="663"/>
      <c r="S210" s="663"/>
      <c r="T210" s="663"/>
      <c r="U210" s="663"/>
      <c r="V210" s="663"/>
      <c r="W210" s="663"/>
      <c r="X210" s="663"/>
      <c r="Y210" s="663"/>
      <c r="Z210" s="663"/>
      <c r="AA210" s="663"/>
      <c r="AB210" s="663"/>
      <c r="AC210" s="663"/>
      <c r="AD210" s="663"/>
      <c r="AE210" s="663"/>
      <c r="AF210" s="663"/>
      <c r="AG210" s="663"/>
      <c r="AH210" s="663"/>
      <c r="AI210" s="663"/>
      <c r="AJ210" s="663"/>
      <c r="AK210" s="663"/>
      <c r="AL210" s="663"/>
      <c r="AM210" s="663"/>
      <c r="AN210" s="663"/>
      <c r="AO210" s="663"/>
      <c r="AP210" s="663"/>
      <c r="AQ210" s="663"/>
      <c r="AR210" s="663"/>
      <c r="AS210" s="663"/>
      <c r="AT210" s="663"/>
      <c r="AU210" s="663"/>
      <c r="CG210" s="656"/>
    </row>
    <row r="211" spans="1:85">
      <c r="A211" s="661"/>
      <c r="E211" s="663"/>
      <c r="F211" s="663"/>
      <c r="G211" s="663"/>
      <c r="H211" s="663"/>
      <c r="I211" s="663"/>
      <c r="J211" s="663"/>
      <c r="K211" s="663"/>
      <c r="L211" s="663"/>
      <c r="M211" s="663"/>
      <c r="N211" s="663"/>
      <c r="O211" s="663"/>
      <c r="P211" s="663"/>
      <c r="Q211" s="663"/>
      <c r="R211" s="663"/>
      <c r="S211" s="663"/>
      <c r="T211" s="663"/>
      <c r="U211" s="663"/>
      <c r="V211" s="663"/>
      <c r="W211" s="663"/>
      <c r="X211" s="663"/>
      <c r="Y211" s="663"/>
      <c r="Z211" s="663"/>
      <c r="AA211" s="663"/>
      <c r="AB211" s="663"/>
      <c r="AC211" s="663"/>
      <c r="AD211" s="663"/>
      <c r="AE211" s="663"/>
      <c r="AF211" s="663"/>
      <c r="AG211" s="663"/>
      <c r="AH211" s="663"/>
      <c r="AI211" s="663"/>
      <c r="AJ211" s="663"/>
      <c r="AK211" s="663"/>
      <c r="AL211" s="663"/>
      <c r="AM211" s="663"/>
      <c r="AN211" s="663"/>
      <c r="AO211" s="663"/>
      <c r="AP211" s="663"/>
      <c r="AQ211" s="663"/>
      <c r="AR211" s="663"/>
      <c r="AS211" s="663"/>
      <c r="AT211" s="663"/>
      <c r="AU211" s="663"/>
      <c r="CG211" s="656"/>
    </row>
    <row r="212" spans="1:85">
      <c r="A212" s="661"/>
      <c r="E212" s="663"/>
      <c r="F212" s="663"/>
      <c r="G212" s="663"/>
      <c r="H212" s="663"/>
      <c r="I212" s="663"/>
      <c r="J212" s="663"/>
      <c r="K212" s="663"/>
      <c r="L212" s="663"/>
      <c r="M212" s="663"/>
      <c r="N212" s="663"/>
      <c r="O212" s="663"/>
      <c r="P212" s="663"/>
      <c r="Q212" s="663"/>
      <c r="R212" s="663"/>
      <c r="S212" s="663"/>
      <c r="T212" s="663"/>
      <c r="U212" s="663"/>
      <c r="V212" s="663"/>
      <c r="W212" s="663"/>
      <c r="X212" s="663"/>
      <c r="Y212" s="663"/>
      <c r="Z212" s="663"/>
      <c r="AA212" s="663"/>
      <c r="AB212" s="663"/>
      <c r="AC212" s="663"/>
      <c r="AD212" s="663"/>
      <c r="AE212" s="663"/>
      <c r="AF212" s="663"/>
      <c r="AG212" s="663"/>
      <c r="AH212" s="663"/>
      <c r="AI212" s="663"/>
      <c r="AJ212" s="663"/>
      <c r="AK212" s="663"/>
      <c r="AL212" s="663"/>
      <c r="AM212" s="663"/>
      <c r="AN212" s="663"/>
      <c r="AO212" s="663"/>
      <c r="AP212" s="663"/>
      <c r="AQ212" s="663"/>
      <c r="AR212" s="663"/>
      <c r="AS212" s="663"/>
      <c r="AT212" s="663"/>
      <c r="AU212" s="663"/>
      <c r="CG212" s="656"/>
    </row>
    <row r="213" spans="1:85">
      <c r="A213" s="661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3"/>
      <c r="P213" s="663"/>
      <c r="Q213" s="663"/>
      <c r="R213" s="663"/>
      <c r="S213" s="663"/>
      <c r="T213" s="663"/>
      <c r="U213" s="663"/>
      <c r="V213" s="663"/>
      <c r="W213" s="663"/>
      <c r="X213" s="663"/>
      <c r="Y213" s="663"/>
      <c r="Z213" s="663"/>
      <c r="AA213" s="663"/>
      <c r="AB213" s="663"/>
      <c r="AC213" s="663"/>
      <c r="AD213" s="663"/>
      <c r="AE213" s="663"/>
      <c r="AF213" s="663"/>
      <c r="AG213" s="663"/>
      <c r="AH213" s="663"/>
      <c r="AI213" s="663"/>
      <c r="AJ213" s="663"/>
      <c r="AK213" s="663"/>
      <c r="AL213" s="663"/>
      <c r="AM213" s="663"/>
      <c r="AN213" s="663"/>
      <c r="AO213" s="663"/>
      <c r="AP213" s="663"/>
      <c r="AQ213" s="663"/>
      <c r="AR213" s="663"/>
      <c r="AS213" s="663"/>
      <c r="AT213" s="663"/>
      <c r="AU213" s="663"/>
      <c r="CG213" s="656"/>
    </row>
    <row r="214" spans="1:85">
      <c r="A214" s="661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3"/>
      <c r="P214" s="663"/>
      <c r="Q214" s="663"/>
      <c r="R214" s="663"/>
      <c r="S214" s="663"/>
      <c r="T214" s="663"/>
      <c r="U214" s="663"/>
      <c r="V214" s="663"/>
      <c r="W214" s="663"/>
      <c r="X214" s="663"/>
      <c r="Y214" s="663"/>
      <c r="Z214" s="663"/>
      <c r="AA214" s="663"/>
      <c r="AB214" s="663"/>
      <c r="AC214" s="663"/>
      <c r="AD214" s="663"/>
      <c r="AE214" s="663"/>
      <c r="AF214" s="663"/>
      <c r="AG214" s="663"/>
      <c r="AH214" s="663"/>
      <c r="AI214" s="663"/>
      <c r="AJ214" s="663"/>
      <c r="AK214" s="663"/>
      <c r="AL214" s="663"/>
      <c r="AM214" s="663"/>
      <c r="AN214" s="663"/>
      <c r="AO214" s="663"/>
      <c r="AP214" s="663"/>
      <c r="AQ214" s="663"/>
      <c r="AR214" s="663"/>
      <c r="AS214" s="663"/>
      <c r="AT214" s="663"/>
      <c r="AU214" s="663"/>
      <c r="CG214" s="656"/>
    </row>
    <row r="215" spans="1:85">
      <c r="A215" s="661"/>
      <c r="E215" s="663"/>
      <c r="F215" s="663"/>
      <c r="G215" s="663"/>
      <c r="H215" s="663"/>
      <c r="I215" s="663"/>
      <c r="J215" s="663"/>
      <c r="K215" s="663"/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  <c r="AA215" s="663"/>
      <c r="AB215" s="663"/>
      <c r="AC215" s="663"/>
      <c r="AD215" s="663"/>
      <c r="AE215" s="663"/>
      <c r="AF215" s="663"/>
      <c r="AG215" s="663"/>
      <c r="AH215" s="663"/>
      <c r="AI215" s="663"/>
      <c r="AJ215" s="663"/>
      <c r="AK215" s="663"/>
      <c r="AL215" s="663"/>
      <c r="AM215" s="663"/>
      <c r="AN215" s="663"/>
      <c r="AO215" s="663"/>
      <c r="AP215" s="663"/>
      <c r="AQ215" s="663"/>
      <c r="AR215" s="663"/>
      <c r="AS215" s="663"/>
      <c r="AT215" s="663"/>
      <c r="AU215" s="663"/>
      <c r="CG215" s="656"/>
    </row>
    <row r="216" spans="1:85">
      <c r="A216" s="661"/>
      <c r="E216" s="663"/>
      <c r="F216" s="663"/>
      <c r="G216" s="663"/>
      <c r="H216" s="663"/>
      <c r="I216" s="663"/>
      <c r="J216" s="663"/>
      <c r="K216" s="663"/>
      <c r="L216" s="663"/>
      <c r="M216" s="663"/>
      <c r="N216" s="663"/>
      <c r="O216" s="663"/>
      <c r="P216" s="663"/>
      <c r="Q216" s="663"/>
      <c r="R216" s="663"/>
      <c r="S216" s="663"/>
      <c r="T216" s="663"/>
      <c r="U216" s="663"/>
      <c r="V216" s="663"/>
      <c r="W216" s="663"/>
      <c r="X216" s="663"/>
      <c r="Y216" s="663"/>
      <c r="Z216" s="663"/>
      <c r="AA216" s="663"/>
      <c r="AB216" s="663"/>
      <c r="AC216" s="663"/>
      <c r="AD216" s="663"/>
      <c r="AE216" s="663"/>
      <c r="AF216" s="663"/>
      <c r="AG216" s="663"/>
      <c r="AH216" s="663"/>
      <c r="AI216" s="663"/>
      <c r="AJ216" s="663"/>
      <c r="AK216" s="663"/>
      <c r="AL216" s="663"/>
      <c r="AM216" s="663"/>
      <c r="AN216" s="663"/>
      <c r="AO216" s="663"/>
      <c r="AP216" s="663"/>
      <c r="AQ216" s="663"/>
      <c r="AR216" s="663"/>
      <c r="AS216" s="663"/>
      <c r="AT216" s="663"/>
      <c r="AU216" s="663"/>
      <c r="CG216" s="656"/>
    </row>
    <row r="217" spans="1:85">
      <c r="A217" s="661"/>
      <c r="E217" s="663"/>
      <c r="F217" s="663"/>
      <c r="G217" s="663"/>
      <c r="H217" s="663"/>
      <c r="I217" s="663"/>
      <c r="J217" s="663"/>
      <c r="K217" s="663"/>
      <c r="L217" s="663"/>
      <c r="M217" s="663"/>
      <c r="N217" s="663"/>
      <c r="O217" s="663"/>
      <c r="P217" s="663"/>
      <c r="Q217" s="663"/>
      <c r="R217" s="663"/>
      <c r="S217" s="663"/>
      <c r="T217" s="663"/>
      <c r="U217" s="663"/>
      <c r="V217" s="663"/>
      <c r="W217" s="663"/>
      <c r="X217" s="663"/>
      <c r="Y217" s="663"/>
      <c r="Z217" s="663"/>
      <c r="AA217" s="663"/>
      <c r="AB217" s="663"/>
      <c r="AC217" s="663"/>
      <c r="AD217" s="663"/>
      <c r="AE217" s="663"/>
      <c r="AF217" s="663"/>
      <c r="AG217" s="663"/>
      <c r="AH217" s="663"/>
      <c r="AI217" s="663"/>
      <c r="AJ217" s="663"/>
      <c r="AK217" s="663"/>
      <c r="AL217" s="663"/>
      <c r="AM217" s="663"/>
      <c r="AN217" s="663"/>
      <c r="AO217" s="663"/>
      <c r="AP217" s="663"/>
      <c r="AQ217" s="663"/>
      <c r="AR217" s="663"/>
      <c r="AS217" s="663"/>
      <c r="AT217" s="663"/>
      <c r="AU217" s="663"/>
      <c r="CG217" s="656"/>
    </row>
    <row r="218" spans="1:85">
      <c r="A218" s="661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3"/>
      <c r="P218" s="663"/>
      <c r="Q218" s="663"/>
      <c r="R218" s="663"/>
      <c r="S218" s="663"/>
      <c r="T218" s="663"/>
      <c r="U218" s="663"/>
      <c r="V218" s="663"/>
      <c r="W218" s="663"/>
      <c r="X218" s="663"/>
      <c r="Y218" s="663"/>
      <c r="Z218" s="663"/>
      <c r="AA218" s="663"/>
      <c r="AB218" s="663"/>
      <c r="AC218" s="663"/>
      <c r="AD218" s="663"/>
      <c r="AE218" s="663"/>
      <c r="AF218" s="663"/>
      <c r="AG218" s="663"/>
      <c r="AH218" s="663"/>
      <c r="AI218" s="663"/>
      <c r="AJ218" s="663"/>
      <c r="AK218" s="663"/>
      <c r="AL218" s="663"/>
      <c r="AM218" s="663"/>
      <c r="AN218" s="663"/>
      <c r="AO218" s="663"/>
      <c r="AP218" s="663"/>
      <c r="AQ218" s="663"/>
      <c r="AR218" s="663"/>
      <c r="AS218" s="663"/>
      <c r="AT218" s="663"/>
      <c r="AU218" s="663"/>
      <c r="CG218" s="656"/>
    </row>
    <row r="219" spans="1:85">
      <c r="A219" s="661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3"/>
      <c r="P219" s="663"/>
      <c r="Q219" s="663"/>
      <c r="R219" s="663"/>
      <c r="S219" s="663"/>
      <c r="T219" s="663"/>
      <c r="U219" s="663"/>
      <c r="V219" s="663"/>
      <c r="W219" s="663"/>
      <c r="X219" s="663"/>
      <c r="Y219" s="663"/>
      <c r="Z219" s="663"/>
      <c r="AA219" s="663"/>
      <c r="AB219" s="663"/>
      <c r="AC219" s="663"/>
      <c r="AD219" s="663"/>
      <c r="AE219" s="663"/>
      <c r="AF219" s="663"/>
      <c r="AG219" s="663"/>
      <c r="AH219" s="663"/>
      <c r="AI219" s="663"/>
      <c r="AJ219" s="663"/>
      <c r="AK219" s="663"/>
      <c r="AL219" s="663"/>
      <c r="AM219" s="663"/>
      <c r="AN219" s="663"/>
      <c r="AO219" s="663"/>
      <c r="AP219" s="663"/>
      <c r="AQ219" s="663"/>
      <c r="AR219" s="663"/>
      <c r="AS219" s="663"/>
      <c r="AT219" s="663"/>
      <c r="AU219" s="663"/>
      <c r="CG219" s="656"/>
    </row>
    <row r="220" spans="1:85">
      <c r="A220" s="661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63"/>
      <c r="AB220" s="663"/>
      <c r="AC220" s="663"/>
      <c r="AD220" s="663"/>
      <c r="AE220" s="663"/>
      <c r="AF220" s="663"/>
      <c r="AG220" s="663"/>
      <c r="AH220" s="663"/>
      <c r="AI220" s="663"/>
      <c r="AJ220" s="663"/>
      <c r="AK220" s="663"/>
      <c r="AL220" s="663"/>
      <c r="AM220" s="663"/>
      <c r="AN220" s="663"/>
      <c r="AO220" s="663"/>
      <c r="AP220" s="663"/>
      <c r="AQ220" s="663"/>
      <c r="AR220" s="663"/>
      <c r="AS220" s="663"/>
      <c r="AT220" s="663"/>
      <c r="AU220" s="663"/>
      <c r="CG220" s="656"/>
    </row>
    <row r="221" spans="1:85">
      <c r="A221" s="661"/>
      <c r="E221" s="663"/>
      <c r="F221" s="663"/>
      <c r="G221" s="663"/>
      <c r="H221" s="663"/>
      <c r="I221" s="663"/>
      <c r="J221" s="663"/>
      <c r="K221" s="663"/>
      <c r="L221" s="663"/>
      <c r="M221" s="663"/>
      <c r="N221" s="663"/>
      <c r="O221" s="663"/>
      <c r="P221" s="663"/>
      <c r="Q221" s="663"/>
      <c r="R221" s="663"/>
      <c r="S221" s="663"/>
      <c r="T221" s="663"/>
      <c r="U221" s="663"/>
      <c r="V221" s="663"/>
      <c r="W221" s="663"/>
      <c r="X221" s="663"/>
      <c r="Y221" s="663"/>
      <c r="Z221" s="663"/>
      <c r="AA221" s="663"/>
      <c r="AB221" s="663"/>
      <c r="AC221" s="663"/>
      <c r="AD221" s="663"/>
      <c r="AE221" s="663"/>
      <c r="AF221" s="663"/>
      <c r="AG221" s="663"/>
      <c r="AH221" s="663"/>
      <c r="AI221" s="663"/>
      <c r="AJ221" s="663"/>
      <c r="AK221" s="663"/>
      <c r="AL221" s="663"/>
      <c r="AM221" s="663"/>
      <c r="AN221" s="663"/>
      <c r="AO221" s="663"/>
      <c r="AP221" s="663"/>
      <c r="AQ221" s="663"/>
      <c r="AR221" s="663"/>
      <c r="AS221" s="663"/>
      <c r="AT221" s="663"/>
      <c r="AU221" s="663"/>
      <c r="CG221" s="656"/>
    </row>
    <row r="222" spans="1:85">
      <c r="A222" s="661"/>
      <c r="E222" s="663"/>
      <c r="F222" s="663"/>
      <c r="G222" s="663"/>
      <c r="H222" s="663"/>
      <c r="I222" s="663"/>
      <c r="J222" s="663"/>
      <c r="K222" s="663"/>
      <c r="L222" s="663"/>
      <c r="M222" s="663"/>
      <c r="N222" s="663"/>
      <c r="O222" s="663"/>
      <c r="P222" s="663"/>
      <c r="Q222" s="663"/>
      <c r="R222" s="663"/>
      <c r="S222" s="663"/>
      <c r="T222" s="663"/>
      <c r="U222" s="663"/>
      <c r="V222" s="663"/>
      <c r="W222" s="663"/>
      <c r="X222" s="663"/>
      <c r="Y222" s="663"/>
      <c r="Z222" s="663"/>
      <c r="AA222" s="663"/>
      <c r="AB222" s="663"/>
      <c r="AC222" s="663"/>
      <c r="AD222" s="663"/>
      <c r="AE222" s="663"/>
      <c r="AF222" s="663"/>
      <c r="AG222" s="663"/>
      <c r="AH222" s="663"/>
      <c r="AI222" s="663"/>
      <c r="AJ222" s="663"/>
      <c r="AK222" s="663"/>
      <c r="AL222" s="663"/>
      <c r="AM222" s="663"/>
      <c r="AN222" s="663"/>
      <c r="AO222" s="663"/>
      <c r="AP222" s="663"/>
      <c r="AQ222" s="663"/>
      <c r="AR222" s="663"/>
      <c r="AS222" s="663"/>
      <c r="AT222" s="663"/>
      <c r="AU222" s="663"/>
      <c r="CG222" s="656"/>
    </row>
    <row r="223" spans="1:85">
      <c r="A223" s="661"/>
      <c r="E223" s="663"/>
      <c r="F223" s="663"/>
      <c r="G223" s="663"/>
      <c r="H223" s="663"/>
      <c r="I223" s="663"/>
      <c r="J223" s="663"/>
      <c r="K223" s="663"/>
      <c r="L223" s="663"/>
      <c r="M223" s="663"/>
      <c r="N223" s="663"/>
      <c r="O223" s="663"/>
      <c r="P223" s="663"/>
      <c r="Q223" s="663"/>
      <c r="R223" s="663"/>
      <c r="S223" s="663"/>
      <c r="T223" s="663"/>
      <c r="U223" s="663"/>
      <c r="V223" s="663"/>
      <c r="W223" s="663"/>
      <c r="X223" s="663"/>
      <c r="Y223" s="663"/>
      <c r="Z223" s="663"/>
      <c r="AA223" s="663"/>
      <c r="AB223" s="663"/>
      <c r="AC223" s="663"/>
      <c r="AD223" s="663"/>
      <c r="AE223" s="663"/>
      <c r="AF223" s="663"/>
      <c r="AG223" s="663"/>
      <c r="AH223" s="663"/>
      <c r="AI223" s="663"/>
      <c r="AJ223" s="663"/>
      <c r="AK223" s="663"/>
      <c r="AL223" s="663"/>
      <c r="AM223" s="663"/>
      <c r="AN223" s="663"/>
      <c r="AO223" s="663"/>
      <c r="AP223" s="663"/>
      <c r="AQ223" s="663"/>
      <c r="AR223" s="663"/>
      <c r="AS223" s="663"/>
      <c r="AT223" s="663"/>
      <c r="AU223" s="663"/>
      <c r="CG223" s="656"/>
    </row>
    <row r="224" spans="1:85">
      <c r="A224" s="661"/>
      <c r="E224" s="663"/>
      <c r="F224" s="663"/>
      <c r="G224" s="663"/>
      <c r="H224" s="663"/>
      <c r="I224" s="663"/>
      <c r="J224" s="663"/>
      <c r="K224" s="663"/>
      <c r="L224" s="663"/>
      <c r="M224" s="663"/>
      <c r="N224" s="663"/>
      <c r="O224" s="663"/>
      <c r="P224" s="663"/>
      <c r="Q224" s="663"/>
      <c r="R224" s="663"/>
      <c r="S224" s="663"/>
      <c r="T224" s="663"/>
      <c r="U224" s="663"/>
      <c r="V224" s="663"/>
      <c r="W224" s="663"/>
      <c r="X224" s="663"/>
      <c r="Y224" s="663"/>
      <c r="Z224" s="663"/>
      <c r="AA224" s="663"/>
      <c r="AB224" s="663"/>
      <c r="AC224" s="663"/>
      <c r="AD224" s="663"/>
      <c r="AE224" s="663"/>
      <c r="AF224" s="663"/>
      <c r="AG224" s="663"/>
      <c r="AH224" s="663"/>
      <c r="AI224" s="663"/>
      <c r="AJ224" s="663"/>
      <c r="AK224" s="663"/>
      <c r="AL224" s="663"/>
      <c r="AM224" s="663"/>
      <c r="AN224" s="663"/>
      <c r="AO224" s="663"/>
      <c r="AP224" s="663"/>
      <c r="AQ224" s="663"/>
      <c r="AR224" s="663"/>
      <c r="AS224" s="663"/>
      <c r="AT224" s="663"/>
      <c r="AU224" s="663"/>
      <c r="CG224" s="656"/>
    </row>
    <row r="225" spans="1:85">
      <c r="A225" s="661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63"/>
      <c r="AB225" s="663"/>
      <c r="AC225" s="663"/>
      <c r="AD225" s="663"/>
      <c r="AE225" s="663"/>
      <c r="AF225" s="663"/>
      <c r="AG225" s="663"/>
      <c r="AH225" s="663"/>
      <c r="AI225" s="663"/>
      <c r="AJ225" s="663"/>
      <c r="AK225" s="663"/>
      <c r="AL225" s="663"/>
      <c r="AM225" s="663"/>
      <c r="AN225" s="663"/>
      <c r="AO225" s="663"/>
      <c r="AP225" s="663"/>
      <c r="AQ225" s="663"/>
      <c r="AR225" s="663"/>
      <c r="AS225" s="663"/>
      <c r="AT225" s="663"/>
      <c r="AU225" s="663"/>
      <c r="CG225" s="656"/>
    </row>
    <row r="226" spans="1:85">
      <c r="A226" s="661"/>
      <c r="E226" s="663"/>
      <c r="F226" s="663"/>
      <c r="G226" s="663"/>
      <c r="H226" s="663"/>
      <c r="I226" s="663"/>
      <c r="J226" s="663"/>
      <c r="K226" s="663"/>
      <c r="L226" s="663"/>
      <c r="M226" s="663"/>
      <c r="N226" s="663"/>
      <c r="O226" s="663"/>
      <c r="P226" s="663"/>
      <c r="Q226" s="663"/>
      <c r="R226" s="663"/>
      <c r="S226" s="663"/>
      <c r="T226" s="663"/>
      <c r="U226" s="663"/>
      <c r="V226" s="663"/>
      <c r="W226" s="663"/>
      <c r="X226" s="663"/>
      <c r="Y226" s="663"/>
      <c r="Z226" s="663"/>
      <c r="AA226" s="663"/>
      <c r="AB226" s="663"/>
      <c r="AC226" s="663"/>
      <c r="AD226" s="663"/>
      <c r="AE226" s="663"/>
      <c r="AF226" s="663"/>
      <c r="AG226" s="663"/>
      <c r="AH226" s="663"/>
      <c r="AI226" s="663"/>
      <c r="AJ226" s="663"/>
      <c r="AK226" s="663"/>
      <c r="AL226" s="663"/>
      <c r="AM226" s="663"/>
      <c r="AN226" s="663"/>
      <c r="AO226" s="663"/>
      <c r="AP226" s="663"/>
      <c r="AQ226" s="663"/>
      <c r="AR226" s="663"/>
      <c r="AS226" s="663"/>
      <c r="AT226" s="663"/>
      <c r="AU226" s="663"/>
      <c r="CG226" s="656"/>
    </row>
    <row r="227" spans="1:85">
      <c r="A227" s="661"/>
      <c r="E227" s="663"/>
      <c r="F227" s="663"/>
      <c r="G227" s="663"/>
      <c r="H227" s="663"/>
      <c r="I227" s="663"/>
      <c r="J227" s="663"/>
      <c r="K227" s="663"/>
      <c r="L227" s="663"/>
      <c r="M227" s="663"/>
      <c r="N227" s="663"/>
      <c r="O227" s="663"/>
      <c r="P227" s="663"/>
      <c r="Q227" s="663"/>
      <c r="R227" s="663"/>
      <c r="S227" s="663"/>
      <c r="T227" s="663"/>
      <c r="U227" s="663"/>
      <c r="V227" s="663"/>
      <c r="W227" s="663"/>
      <c r="X227" s="663"/>
      <c r="Y227" s="663"/>
      <c r="Z227" s="663"/>
      <c r="AA227" s="663"/>
      <c r="AB227" s="663"/>
      <c r="AC227" s="663"/>
      <c r="AD227" s="663"/>
      <c r="AE227" s="663"/>
      <c r="AF227" s="663"/>
      <c r="AG227" s="663"/>
      <c r="AH227" s="663"/>
      <c r="AI227" s="663"/>
      <c r="AJ227" s="663"/>
      <c r="AK227" s="663"/>
      <c r="AL227" s="663"/>
      <c r="AM227" s="663"/>
      <c r="AN227" s="663"/>
      <c r="AO227" s="663"/>
      <c r="AP227" s="663"/>
      <c r="AQ227" s="663"/>
      <c r="AR227" s="663"/>
      <c r="AS227" s="663"/>
      <c r="AT227" s="663"/>
      <c r="AU227" s="663"/>
      <c r="CG227" s="656"/>
    </row>
    <row r="228" spans="1:85">
      <c r="A228" s="661"/>
      <c r="E228" s="663"/>
      <c r="F228" s="663"/>
      <c r="G228" s="663"/>
      <c r="H228" s="663"/>
      <c r="I228" s="663"/>
      <c r="J228" s="663"/>
      <c r="K228" s="663"/>
      <c r="L228" s="663"/>
      <c r="M228" s="663"/>
      <c r="N228" s="663"/>
      <c r="O228" s="663"/>
      <c r="P228" s="663"/>
      <c r="Q228" s="663"/>
      <c r="R228" s="663"/>
      <c r="S228" s="663"/>
      <c r="T228" s="663"/>
      <c r="U228" s="663"/>
      <c r="V228" s="663"/>
      <c r="W228" s="663"/>
      <c r="X228" s="663"/>
      <c r="Y228" s="663"/>
      <c r="Z228" s="663"/>
      <c r="AA228" s="663"/>
      <c r="AB228" s="663"/>
      <c r="AC228" s="663"/>
      <c r="AD228" s="663"/>
      <c r="AE228" s="663"/>
      <c r="AF228" s="663"/>
      <c r="AG228" s="663"/>
      <c r="AH228" s="663"/>
      <c r="AI228" s="663"/>
      <c r="AJ228" s="663"/>
      <c r="AK228" s="663"/>
      <c r="AL228" s="663"/>
      <c r="AM228" s="663"/>
      <c r="AN228" s="663"/>
      <c r="AO228" s="663"/>
      <c r="AP228" s="663"/>
      <c r="AQ228" s="663"/>
      <c r="AR228" s="663"/>
      <c r="AS228" s="663"/>
      <c r="AT228" s="663"/>
      <c r="AU228" s="663"/>
      <c r="CG228" s="656"/>
    </row>
    <row r="229" spans="1:85">
      <c r="A229" s="661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63"/>
      <c r="AB229" s="663"/>
      <c r="AC229" s="663"/>
      <c r="AD229" s="663"/>
      <c r="AE229" s="663"/>
      <c r="AF229" s="663"/>
      <c r="AG229" s="663"/>
      <c r="AH229" s="663"/>
      <c r="AI229" s="663"/>
      <c r="AJ229" s="663"/>
      <c r="AK229" s="663"/>
      <c r="AL229" s="663"/>
      <c r="AM229" s="663"/>
      <c r="AN229" s="663"/>
      <c r="AO229" s="663"/>
      <c r="AP229" s="663"/>
      <c r="AQ229" s="663"/>
      <c r="AR229" s="663"/>
      <c r="AS229" s="663"/>
      <c r="AT229" s="663"/>
      <c r="AU229" s="663"/>
      <c r="CG229" s="656"/>
    </row>
    <row r="230" spans="1:85">
      <c r="A230" s="661"/>
      <c r="E230" s="663"/>
      <c r="F230" s="663"/>
      <c r="G230" s="663"/>
      <c r="H230" s="663"/>
      <c r="I230" s="663"/>
      <c r="J230" s="663"/>
      <c r="K230" s="663"/>
      <c r="L230" s="663"/>
      <c r="M230" s="663"/>
      <c r="N230" s="663"/>
      <c r="O230" s="663"/>
      <c r="P230" s="663"/>
      <c r="Q230" s="663"/>
      <c r="R230" s="663"/>
      <c r="S230" s="663"/>
      <c r="T230" s="663"/>
      <c r="U230" s="663"/>
      <c r="V230" s="663"/>
      <c r="W230" s="663"/>
      <c r="X230" s="663"/>
      <c r="Y230" s="663"/>
      <c r="Z230" s="663"/>
      <c r="AA230" s="663"/>
      <c r="AB230" s="663"/>
      <c r="AC230" s="663"/>
      <c r="AD230" s="663"/>
      <c r="AE230" s="663"/>
      <c r="AF230" s="663"/>
      <c r="AG230" s="663"/>
      <c r="AH230" s="663"/>
      <c r="AI230" s="663"/>
      <c r="AJ230" s="663"/>
      <c r="AK230" s="663"/>
      <c r="AL230" s="663"/>
      <c r="AM230" s="663"/>
      <c r="AN230" s="663"/>
      <c r="AO230" s="663"/>
      <c r="AP230" s="663"/>
      <c r="AQ230" s="663"/>
      <c r="AR230" s="663"/>
      <c r="AS230" s="663"/>
      <c r="AT230" s="663"/>
      <c r="AU230" s="663"/>
      <c r="CG230" s="656"/>
    </row>
    <row r="231" spans="1:85">
      <c r="A231" s="661"/>
      <c r="E231" s="663"/>
      <c r="F231" s="663"/>
      <c r="G231" s="663"/>
      <c r="H231" s="663"/>
      <c r="I231" s="663"/>
      <c r="J231" s="663"/>
      <c r="K231" s="663"/>
      <c r="L231" s="663"/>
      <c r="M231" s="663"/>
      <c r="N231" s="663"/>
      <c r="O231" s="663"/>
      <c r="P231" s="663"/>
      <c r="Q231" s="663"/>
      <c r="R231" s="663"/>
      <c r="S231" s="663"/>
      <c r="T231" s="663"/>
      <c r="U231" s="663"/>
      <c r="V231" s="663"/>
      <c r="W231" s="663"/>
      <c r="X231" s="663"/>
      <c r="Y231" s="663"/>
      <c r="Z231" s="663"/>
      <c r="AA231" s="663"/>
      <c r="AB231" s="663"/>
      <c r="AC231" s="663"/>
      <c r="AD231" s="663"/>
      <c r="AE231" s="663"/>
      <c r="AF231" s="663"/>
      <c r="AG231" s="663"/>
      <c r="AH231" s="663"/>
      <c r="AI231" s="663"/>
      <c r="AJ231" s="663"/>
      <c r="AK231" s="663"/>
      <c r="AL231" s="663"/>
      <c r="AM231" s="663"/>
      <c r="AN231" s="663"/>
      <c r="AO231" s="663"/>
      <c r="AP231" s="663"/>
      <c r="AQ231" s="663"/>
      <c r="AR231" s="663"/>
      <c r="AS231" s="663"/>
      <c r="AT231" s="663"/>
      <c r="AU231" s="663"/>
      <c r="CG231" s="656"/>
    </row>
    <row r="232" spans="1:85">
      <c r="A232" s="661"/>
      <c r="E232" s="663"/>
      <c r="CG232" s="656"/>
    </row>
    <row r="233" spans="1:85">
      <c r="A233" s="661"/>
      <c r="E233" s="663"/>
      <c r="CG233" s="656"/>
    </row>
    <row r="234" spans="1:85">
      <c r="A234" s="661"/>
      <c r="E234" s="663"/>
      <c r="CG234" s="656"/>
    </row>
    <row r="235" spans="1:85">
      <c r="A235" s="661"/>
      <c r="E235" s="663"/>
      <c r="CG235" s="656"/>
    </row>
    <row r="236" spans="1:85">
      <c r="A236" s="661"/>
      <c r="E236" s="663"/>
      <c r="CG236" s="656"/>
    </row>
    <row r="237" spans="1:85">
      <c r="A237" s="661"/>
      <c r="E237" s="663"/>
      <c r="CG237" s="656"/>
    </row>
    <row r="238" spans="1:85">
      <c r="A238" s="661"/>
      <c r="E238" s="663"/>
      <c r="CG238" s="656"/>
    </row>
    <row r="239" spans="1:85">
      <c r="A239" s="661"/>
      <c r="E239" s="663"/>
      <c r="CG239" s="656"/>
    </row>
    <row r="240" spans="1:85">
      <c r="A240" s="661"/>
      <c r="E240" s="663"/>
      <c r="CG240" s="656"/>
    </row>
    <row r="241" spans="1:85">
      <c r="A241" s="661"/>
      <c r="E241" s="663"/>
      <c r="CG241" s="656"/>
    </row>
    <row r="242" spans="1:85">
      <c r="A242" s="661"/>
      <c r="E242" s="663"/>
      <c r="CG242" s="656"/>
    </row>
    <row r="243" spans="1:85">
      <c r="A243" s="661"/>
      <c r="E243" s="663"/>
      <c r="CG243" s="656"/>
    </row>
    <row r="244" spans="1:85">
      <c r="A244" s="661"/>
      <c r="E244" s="663"/>
      <c r="CG244" s="656"/>
    </row>
    <row r="245" spans="1:85">
      <c r="A245" s="661"/>
      <c r="E245" s="663"/>
      <c r="CG245" s="656"/>
    </row>
    <row r="246" spans="1:85">
      <c r="A246" s="661"/>
      <c r="E246" s="657" t="s">
        <v>624</v>
      </c>
      <c r="I246" s="657" t="s">
        <v>491</v>
      </c>
      <c r="CG246" s="656"/>
    </row>
    <row r="247" spans="1:85">
      <c r="A247" s="661"/>
      <c r="CG247" s="656"/>
    </row>
    <row r="248" spans="1:85">
      <c r="A248" s="661"/>
      <c r="F248" s="657" t="s">
        <v>492</v>
      </c>
      <c r="CG248" s="656"/>
    </row>
    <row r="249" spans="1:85">
      <c r="A249" s="661"/>
      <c r="CG249" s="656"/>
    </row>
    <row r="250" spans="1:85">
      <c r="A250" s="661"/>
      <c r="E250" s="657" t="s">
        <v>625</v>
      </c>
      <c r="I250" s="657" t="s">
        <v>493</v>
      </c>
      <c r="CG250" s="656"/>
    </row>
    <row r="251" spans="1:85">
      <c r="A251" s="661"/>
      <c r="CG251" s="656"/>
    </row>
    <row r="252" spans="1:85">
      <c r="A252" s="661"/>
      <c r="F252" s="657" t="s">
        <v>494</v>
      </c>
      <c r="CG252" s="656"/>
    </row>
    <row r="253" spans="1:85">
      <c r="A253" s="661"/>
      <c r="CG253" s="656"/>
    </row>
    <row r="254" spans="1:85">
      <c r="A254" s="661"/>
      <c r="H254" s="913" t="s">
        <v>495</v>
      </c>
      <c r="I254" s="914"/>
      <c r="J254" s="914"/>
      <c r="K254" s="915" t="s">
        <v>488</v>
      </c>
      <c r="L254" s="915"/>
      <c r="M254" s="915"/>
      <c r="N254" s="915"/>
      <c r="O254" s="915"/>
      <c r="P254" s="915"/>
      <c r="Q254" s="915"/>
      <c r="R254" s="915"/>
      <c r="S254" s="915"/>
      <c r="T254" s="915"/>
      <c r="U254" s="915"/>
      <c r="V254" s="915" t="s">
        <v>496</v>
      </c>
      <c r="W254" s="915"/>
      <c r="X254" s="915"/>
      <c r="Y254" s="915"/>
      <c r="Z254" s="915"/>
      <c r="AA254" s="915"/>
      <c r="AB254" s="915"/>
      <c r="AC254" s="915"/>
      <c r="AD254" s="915"/>
      <c r="AE254" s="915"/>
      <c r="AF254" s="915" t="s">
        <v>489</v>
      </c>
      <c r="AG254" s="915"/>
      <c r="AH254" s="915"/>
      <c r="AI254" s="915"/>
      <c r="AJ254" s="915"/>
      <c r="AK254" s="915"/>
      <c r="AL254" s="915"/>
      <c r="AM254" s="915"/>
      <c r="AN254" s="915"/>
      <c r="AO254" s="915"/>
      <c r="AP254" s="915"/>
      <c r="AQ254" s="915"/>
      <c r="AR254" s="915"/>
      <c r="AS254" s="915"/>
      <c r="AT254" s="915"/>
      <c r="AU254" s="915"/>
      <c r="AV254" s="915"/>
      <c r="AW254" s="915"/>
      <c r="AX254" s="915"/>
      <c r="AY254" s="915"/>
      <c r="AZ254" s="915"/>
      <c r="BA254" s="915"/>
      <c r="BB254" s="915"/>
      <c r="BC254" s="915"/>
      <c r="BD254" s="915" t="s">
        <v>68</v>
      </c>
      <c r="BE254" s="915"/>
      <c r="BF254" s="915"/>
      <c r="BG254" s="915"/>
      <c r="BH254" s="915"/>
      <c r="BI254" s="915"/>
      <c r="BJ254" s="915"/>
      <c r="BK254" s="915"/>
      <c r="BL254" s="915"/>
      <c r="BM254" s="915"/>
      <c r="BN254" s="915"/>
      <c r="BO254" s="915"/>
      <c r="BP254" s="915"/>
      <c r="BQ254" s="915"/>
      <c r="BR254" s="915"/>
      <c r="BS254" s="915"/>
      <c r="BT254" s="915"/>
      <c r="BU254" s="915"/>
      <c r="BV254" s="915"/>
      <c r="BW254" s="915"/>
      <c r="BX254" s="915"/>
      <c r="BY254" s="915"/>
      <c r="BZ254" s="915"/>
      <c r="CA254" s="915"/>
      <c r="CG254" s="656"/>
    </row>
    <row r="255" spans="1:85">
      <c r="A255" s="661"/>
      <c r="H255" s="879">
        <v>1</v>
      </c>
      <c r="I255" s="880"/>
      <c r="J255" s="880"/>
      <c r="K255" s="878" t="s">
        <v>497</v>
      </c>
      <c r="L255" s="878"/>
      <c r="M255" s="878"/>
      <c r="N255" s="878"/>
      <c r="O255" s="878"/>
      <c r="P255" s="878"/>
      <c r="Q255" s="878"/>
      <c r="R255" s="878"/>
      <c r="S255" s="878"/>
      <c r="T255" s="878"/>
      <c r="U255" s="878"/>
      <c r="V255" s="878" t="s">
        <v>498</v>
      </c>
      <c r="W255" s="878"/>
      <c r="X255" s="878"/>
      <c r="Y255" s="878"/>
      <c r="Z255" s="878"/>
      <c r="AA255" s="878"/>
      <c r="AB255" s="878"/>
      <c r="AC255" s="878"/>
      <c r="AD255" s="878"/>
      <c r="AE255" s="878"/>
      <c r="AF255" s="888" t="s">
        <v>668</v>
      </c>
      <c r="AG255" s="888"/>
      <c r="AH255" s="888"/>
      <c r="AI255" s="888"/>
      <c r="AJ255" s="888"/>
      <c r="AK255" s="888"/>
      <c r="AL255" s="888"/>
      <c r="AM255" s="888"/>
      <c r="AN255" s="888"/>
      <c r="AO255" s="888"/>
      <c r="AP255" s="888"/>
      <c r="AQ255" s="888"/>
      <c r="AR255" s="888"/>
      <c r="AS255" s="888"/>
      <c r="AT255" s="888"/>
      <c r="AU255" s="888"/>
      <c r="AV255" s="888"/>
      <c r="AW255" s="888"/>
      <c r="AX255" s="888"/>
      <c r="AY255" s="888"/>
      <c r="AZ255" s="888"/>
      <c r="BA255" s="888"/>
      <c r="BB255" s="888"/>
      <c r="BC255" s="888"/>
      <c r="BD255" s="888" t="s">
        <v>499</v>
      </c>
      <c r="BE255" s="888"/>
      <c r="BF255" s="888"/>
      <c r="BG255" s="888"/>
      <c r="BH255" s="888"/>
      <c r="BI255" s="888"/>
      <c r="BJ255" s="888"/>
      <c r="BK255" s="888"/>
      <c r="BL255" s="888"/>
      <c r="BM255" s="888"/>
      <c r="BN255" s="888"/>
      <c r="BO255" s="888"/>
      <c r="BP255" s="888"/>
      <c r="BQ255" s="888"/>
      <c r="BR255" s="888"/>
      <c r="BS255" s="888"/>
      <c r="BT255" s="888"/>
      <c r="BU255" s="888"/>
      <c r="BV255" s="888"/>
      <c r="BW255" s="888"/>
      <c r="BX255" s="888"/>
      <c r="BY255" s="888"/>
      <c r="BZ255" s="888"/>
      <c r="CA255" s="888"/>
      <c r="CG255" s="656"/>
    </row>
    <row r="256" spans="1:85" ht="127.5" customHeight="1">
      <c r="A256" s="661"/>
      <c r="H256" s="879">
        <v>2</v>
      </c>
      <c r="I256" s="880"/>
      <c r="J256" s="880"/>
      <c r="K256" s="878" t="s">
        <v>500</v>
      </c>
      <c r="L256" s="878"/>
      <c r="M256" s="878"/>
      <c r="N256" s="878"/>
      <c r="O256" s="878"/>
      <c r="P256" s="878"/>
      <c r="Q256" s="878"/>
      <c r="R256" s="878"/>
      <c r="S256" s="878"/>
      <c r="T256" s="878"/>
      <c r="U256" s="878"/>
      <c r="V256" s="878" t="s">
        <v>501</v>
      </c>
      <c r="W256" s="878"/>
      <c r="X256" s="878"/>
      <c r="Y256" s="878"/>
      <c r="Z256" s="878"/>
      <c r="AA256" s="878"/>
      <c r="AB256" s="878"/>
      <c r="AC256" s="878"/>
      <c r="AD256" s="878"/>
      <c r="AE256" s="878"/>
      <c r="AF256" s="891" t="s">
        <v>502</v>
      </c>
      <c r="AG256" s="888"/>
      <c r="AH256" s="888"/>
      <c r="AI256" s="888"/>
      <c r="AJ256" s="888"/>
      <c r="AK256" s="888"/>
      <c r="AL256" s="888"/>
      <c r="AM256" s="888"/>
      <c r="AN256" s="888"/>
      <c r="AO256" s="888"/>
      <c r="AP256" s="888"/>
      <c r="AQ256" s="888"/>
      <c r="AR256" s="888"/>
      <c r="AS256" s="888"/>
      <c r="AT256" s="888"/>
      <c r="AU256" s="888"/>
      <c r="AV256" s="888"/>
      <c r="AW256" s="888"/>
      <c r="AX256" s="888"/>
      <c r="AY256" s="888"/>
      <c r="AZ256" s="888"/>
      <c r="BA256" s="888"/>
      <c r="BB256" s="888"/>
      <c r="BC256" s="888"/>
      <c r="BD256" s="892" t="s">
        <v>503</v>
      </c>
      <c r="BE256" s="893"/>
      <c r="BF256" s="893"/>
      <c r="BG256" s="893"/>
      <c r="BH256" s="893"/>
      <c r="BI256" s="893"/>
      <c r="BJ256" s="893"/>
      <c r="BK256" s="893"/>
      <c r="BL256" s="893"/>
      <c r="BM256" s="893"/>
      <c r="BN256" s="893"/>
      <c r="BO256" s="893"/>
      <c r="BP256" s="893"/>
      <c r="BQ256" s="893"/>
      <c r="BR256" s="893"/>
      <c r="BS256" s="893"/>
      <c r="BT256" s="893"/>
      <c r="BU256" s="893"/>
      <c r="BV256" s="893"/>
      <c r="BW256" s="893"/>
      <c r="BX256" s="893"/>
      <c r="BY256" s="893"/>
      <c r="BZ256" s="893"/>
      <c r="CA256" s="894"/>
      <c r="CG256" s="656"/>
    </row>
    <row r="257" spans="1:85" ht="15.75" customHeight="1">
      <c r="A257" s="661"/>
      <c r="H257" s="879">
        <v>3</v>
      </c>
      <c r="I257" s="880"/>
      <c r="J257" s="880"/>
      <c r="K257" s="878" t="s">
        <v>504</v>
      </c>
      <c r="L257" s="878"/>
      <c r="M257" s="878"/>
      <c r="N257" s="878"/>
      <c r="O257" s="878"/>
      <c r="P257" s="878"/>
      <c r="Q257" s="878"/>
      <c r="R257" s="878"/>
      <c r="S257" s="878"/>
      <c r="T257" s="878"/>
      <c r="U257" s="878"/>
      <c r="V257" s="895" t="s">
        <v>505</v>
      </c>
      <c r="W257" s="896"/>
      <c r="X257" s="896"/>
      <c r="Y257" s="896"/>
      <c r="Z257" s="896"/>
      <c r="AA257" s="896"/>
      <c r="AB257" s="896"/>
      <c r="AC257" s="896"/>
      <c r="AD257" s="896"/>
      <c r="AE257" s="897"/>
      <c r="AF257" s="904" t="s">
        <v>506</v>
      </c>
      <c r="AG257" s="905"/>
      <c r="AH257" s="905"/>
      <c r="AI257" s="905"/>
      <c r="AJ257" s="905"/>
      <c r="AK257" s="905"/>
      <c r="AL257" s="905"/>
      <c r="AM257" s="905"/>
      <c r="AN257" s="905"/>
      <c r="AO257" s="905"/>
      <c r="AP257" s="905"/>
      <c r="AQ257" s="905"/>
      <c r="AR257" s="905"/>
      <c r="AS257" s="905"/>
      <c r="AT257" s="905"/>
      <c r="AU257" s="905"/>
      <c r="AV257" s="905"/>
      <c r="AW257" s="905"/>
      <c r="AX257" s="905"/>
      <c r="AY257" s="905"/>
      <c r="AZ257" s="905"/>
      <c r="BA257" s="905"/>
      <c r="BB257" s="905"/>
      <c r="BC257" s="906"/>
      <c r="BD257" s="904"/>
      <c r="BE257" s="905"/>
      <c r="BF257" s="905"/>
      <c r="BG257" s="905"/>
      <c r="BH257" s="905"/>
      <c r="BI257" s="905"/>
      <c r="BJ257" s="905"/>
      <c r="BK257" s="905"/>
      <c r="BL257" s="905"/>
      <c r="BM257" s="905"/>
      <c r="BN257" s="905"/>
      <c r="BO257" s="905"/>
      <c r="BP257" s="905"/>
      <c r="BQ257" s="905"/>
      <c r="BR257" s="905"/>
      <c r="BS257" s="905"/>
      <c r="BT257" s="905"/>
      <c r="BU257" s="905"/>
      <c r="BV257" s="905"/>
      <c r="BW257" s="905"/>
      <c r="BX257" s="905"/>
      <c r="BY257" s="905"/>
      <c r="BZ257" s="905"/>
      <c r="CA257" s="906"/>
      <c r="CG257" s="656"/>
    </row>
    <row r="258" spans="1:85">
      <c r="A258" s="661"/>
      <c r="H258" s="879">
        <v>4</v>
      </c>
      <c r="I258" s="880"/>
      <c r="J258" s="880"/>
      <c r="K258" s="878" t="s">
        <v>507</v>
      </c>
      <c r="L258" s="878"/>
      <c r="M258" s="878"/>
      <c r="N258" s="878"/>
      <c r="O258" s="878"/>
      <c r="P258" s="878"/>
      <c r="Q258" s="878"/>
      <c r="R258" s="878"/>
      <c r="S258" s="878"/>
      <c r="T258" s="878"/>
      <c r="U258" s="878"/>
      <c r="V258" s="898"/>
      <c r="W258" s="899"/>
      <c r="X258" s="899"/>
      <c r="Y258" s="899"/>
      <c r="Z258" s="899"/>
      <c r="AA258" s="899"/>
      <c r="AB258" s="899"/>
      <c r="AC258" s="899"/>
      <c r="AD258" s="899"/>
      <c r="AE258" s="900"/>
      <c r="AF258" s="907"/>
      <c r="AG258" s="908"/>
      <c r="AH258" s="908"/>
      <c r="AI258" s="908"/>
      <c r="AJ258" s="908"/>
      <c r="AK258" s="908"/>
      <c r="AL258" s="908"/>
      <c r="AM258" s="908"/>
      <c r="AN258" s="908"/>
      <c r="AO258" s="908"/>
      <c r="AP258" s="908"/>
      <c r="AQ258" s="908"/>
      <c r="AR258" s="908"/>
      <c r="AS258" s="908"/>
      <c r="AT258" s="908"/>
      <c r="AU258" s="908"/>
      <c r="AV258" s="908"/>
      <c r="AW258" s="908"/>
      <c r="AX258" s="908"/>
      <c r="AY258" s="908"/>
      <c r="AZ258" s="908"/>
      <c r="BA258" s="908"/>
      <c r="BB258" s="908"/>
      <c r="BC258" s="909"/>
      <c r="BD258" s="907"/>
      <c r="BE258" s="908"/>
      <c r="BF258" s="908"/>
      <c r="BG258" s="908"/>
      <c r="BH258" s="908"/>
      <c r="BI258" s="908"/>
      <c r="BJ258" s="908"/>
      <c r="BK258" s="908"/>
      <c r="BL258" s="908"/>
      <c r="BM258" s="908"/>
      <c r="BN258" s="908"/>
      <c r="BO258" s="908"/>
      <c r="BP258" s="908"/>
      <c r="BQ258" s="908"/>
      <c r="BR258" s="908"/>
      <c r="BS258" s="908"/>
      <c r="BT258" s="908"/>
      <c r="BU258" s="908"/>
      <c r="BV258" s="908"/>
      <c r="BW258" s="908"/>
      <c r="BX258" s="908"/>
      <c r="BY258" s="908"/>
      <c r="BZ258" s="908"/>
      <c r="CA258" s="909"/>
      <c r="CG258" s="656"/>
    </row>
    <row r="259" spans="1:85">
      <c r="A259" s="661"/>
      <c r="H259" s="879">
        <v>5</v>
      </c>
      <c r="I259" s="880"/>
      <c r="J259" s="880"/>
      <c r="K259" s="878" t="s">
        <v>508</v>
      </c>
      <c r="L259" s="878"/>
      <c r="M259" s="878"/>
      <c r="N259" s="878"/>
      <c r="O259" s="878"/>
      <c r="P259" s="878"/>
      <c r="Q259" s="878"/>
      <c r="R259" s="878"/>
      <c r="S259" s="878"/>
      <c r="T259" s="878"/>
      <c r="U259" s="878"/>
      <c r="V259" s="898"/>
      <c r="W259" s="899"/>
      <c r="X259" s="899"/>
      <c r="Y259" s="899"/>
      <c r="Z259" s="899"/>
      <c r="AA259" s="899"/>
      <c r="AB259" s="899"/>
      <c r="AC259" s="899"/>
      <c r="AD259" s="899"/>
      <c r="AE259" s="900"/>
      <c r="AF259" s="907"/>
      <c r="AG259" s="908"/>
      <c r="AH259" s="908"/>
      <c r="AI259" s="908"/>
      <c r="AJ259" s="908"/>
      <c r="AK259" s="908"/>
      <c r="AL259" s="908"/>
      <c r="AM259" s="908"/>
      <c r="AN259" s="908"/>
      <c r="AO259" s="908"/>
      <c r="AP259" s="908"/>
      <c r="AQ259" s="908"/>
      <c r="AR259" s="908"/>
      <c r="AS259" s="908"/>
      <c r="AT259" s="908"/>
      <c r="AU259" s="908"/>
      <c r="AV259" s="908"/>
      <c r="AW259" s="908"/>
      <c r="AX259" s="908"/>
      <c r="AY259" s="908"/>
      <c r="AZ259" s="908"/>
      <c r="BA259" s="908"/>
      <c r="BB259" s="908"/>
      <c r="BC259" s="909"/>
      <c r="BD259" s="907"/>
      <c r="BE259" s="908"/>
      <c r="BF259" s="908"/>
      <c r="BG259" s="908"/>
      <c r="BH259" s="908"/>
      <c r="BI259" s="908"/>
      <c r="BJ259" s="908"/>
      <c r="BK259" s="908"/>
      <c r="BL259" s="908"/>
      <c r="BM259" s="908"/>
      <c r="BN259" s="908"/>
      <c r="BO259" s="908"/>
      <c r="BP259" s="908"/>
      <c r="BQ259" s="908"/>
      <c r="BR259" s="908"/>
      <c r="BS259" s="908"/>
      <c r="BT259" s="908"/>
      <c r="BU259" s="908"/>
      <c r="BV259" s="908"/>
      <c r="BW259" s="908"/>
      <c r="BX259" s="908"/>
      <c r="BY259" s="908"/>
      <c r="BZ259" s="908"/>
      <c r="CA259" s="909"/>
      <c r="CG259" s="656"/>
    </row>
    <row r="260" spans="1:85">
      <c r="A260" s="661"/>
      <c r="H260" s="879" t="s">
        <v>456</v>
      </c>
      <c r="I260" s="880"/>
      <c r="J260" s="880"/>
      <c r="K260" s="878" t="s">
        <v>456</v>
      </c>
      <c r="L260" s="878"/>
      <c r="M260" s="878"/>
      <c r="N260" s="878"/>
      <c r="O260" s="878"/>
      <c r="P260" s="878"/>
      <c r="Q260" s="878"/>
      <c r="R260" s="878"/>
      <c r="S260" s="878"/>
      <c r="T260" s="878"/>
      <c r="U260" s="878"/>
      <c r="V260" s="901"/>
      <c r="W260" s="902"/>
      <c r="X260" s="902"/>
      <c r="Y260" s="902"/>
      <c r="Z260" s="902"/>
      <c r="AA260" s="902"/>
      <c r="AB260" s="902"/>
      <c r="AC260" s="902"/>
      <c r="AD260" s="902"/>
      <c r="AE260" s="903"/>
      <c r="AF260" s="910"/>
      <c r="AG260" s="911"/>
      <c r="AH260" s="911"/>
      <c r="AI260" s="911"/>
      <c r="AJ260" s="911"/>
      <c r="AK260" s="911"/>
      <c r="AL260" s="911"/>
      <c r="AM260" s="911"/>
      <c r="AN260" s="911"/>
      <c r="AO260" s="911"/>
      <c r="AP260" s="911"/>
      <c r="AQ260" s="911"/>
      <c r="AR260" s="911"/>
      <c r="AS260" s="911"/>
      <c r="AT260" s="911"/>
      <c r="AU260" s="911"/>
      <c r="AV260" s="911"/>
      <c r="AW260" s="911"/>
      <c r="AX260" s="911"/>
      <c r="AY260" s="911"/>
      <c r="AZ260" s="911"/>
      <c r="BA260" s="911"/>
      <c r="BB260" s="911"/>
      <c r="BC260" s="912"/>
      <c r="BD260" s="910"/>
      <c r="BE260" s="911"/>
      <c r="BF260" s="911"/>
      <c r="BG260" s="911"/>
      <c r="BH260" s="911"/>
      <c r="BI260" s="911"/>
      <c r="BJ260" s="911"/>
      <c r="BK260" s="911"/>
      <c r="BL260" s="911"/>
      <c r="BM260" s="911"/>
      <c r="BN260" s="911"/>
      <c r="BO260" s="911"/>
      <c r="BP260" s="911"/>
      <c r="BQ260" s="911"/>
      <c r="BR260" s="911"/>
      <c r="BS260" s="911"/>
      <c r="BT260" s="911"/>
      <c r="BU260" s="911"/>
      <c r="BV260" s="911"/>
      <c r="BW260" s="911"/>
      <c r="BX260" s="911"/>
      <c r="BY260" s="911"/>
      <c r="BZ260" s="911"/>
      <c r="CA260" s="912"/>
      <c r="CG260" s="656"/>
    </row>
    <row r="261" spans="1:85">
      <c r="A261" s="661"/>
      <c r="H261" s="672"/>
      <c r="CG261" s="656"/>
    </row>
    <row r="262" spans="1:85">
      <c r="A262" s="661"/>
      <c r="CG262" s="656"/>
    </row>
    <row r="263" spans="1:85">
      <c r="A263" s="661"/>
      <c r="E263" s="657" t="s">
        <v>628</v>
      </c>
      <c r="I263" s="657" t="s">
        <v>509</v>
      </c>
      <c r="CG263" s="656"/>
    </row>
    <row r="264" spans="1:85">
      <c r="A264" s="661"/>
      <c r="F264" s="663" t="s">
        <v>629</v>
      </c>
      <c r="G264" s="663"/>
      <c r="I264" s="663"/>
      <c r="CG264" s="656"/>
    </row>
    <row r="265" spans="1:85">
      <c r="A265" s="661"/>
      <c r="F265" s="881" t="s">
        <v>626</v>
      </c>
      <c r="G265" s="882"/>
      <c r="H265" s="882"/>
      <c r="I265" s="882"/>
      <c r="J265" s="882"/>
      <c r="K265" s="882"/>
      <c r="L265" s="882"/>
      <c r="M265" s="882"/>
      <c r="N265" s="883"/>
      <c r="O265" s="884" t="s">
        <v>627</v>
      </c>
      <c r="P265" s="885"/>
      <c r="Q265" s="885"/>
      <c r="R265" s="885"/>
      <c r="S265" s="885"/>
      <c r="T265" s="885"/>
      <c r="U265" s="885"/>
      <c r="V265" s="885"/>
      <c r="W265" s="885"/>
      <c r="X265" s="885"/>
      <c r="Y265" s="885"/>
      <c r="Z265" s="885"/>
      <c r="AA265" s="885"/>
      <c r="AB265" s="885"/>
      <c r="AC265" s="885"/>
      <c r="AD265" s="885"/>
      <c r="AE265" s="885"/>
      <c r="AF265" s="885"/>
      <c r="AG265" s="885"/>
      <c r="AH265" s="885"/>
      <c r="AI265" s="885"/>
      <c r="AJ265" s="885"/>
      <c r="AK265" s="885"/>
      <c r="AL265" s="885"/>
      <c r="AM265" s="885"/>
      <c r="AN265" s="885"/>
      <c r="AO265" s="885"/>
      <c r="AP265" s="885"/>
      <c r="AQ265" s="885"/>
      <c r="AR265" s="885"/>
      <c r="AS265" s="885"/>
      <c r="AT265" s="885"/>
      <c r="AU265" s="886"/>
      <c r="CG265" s="656"/>
    </row>
    <row r="266" spans="1:85">
      <c r="A266" s="661"/>
      <c r="CG266" s="656"/>
    </row>
    <row r="267" spans="1:85">
      <c r="A267" s="661"/>
      <c r="F267" s="663" t="s">
        <v>630</v>
      </c>
      <c r="G267" s="663"/>
      <c r="I267" s="663"/>
      <c r="CG267" s="656"/>
    </row>
    <row r="268" spans="1:85">
      <c r="A268" s="661"/>
      <c r="F268" s="881" t="s">
        <v>488</v>
      </c>
      <c r="G268" s="882"/>
      <c r="H268" s="882"/>
      <c r="I268" s="882"/>
      <c r="J268" s="882"/>
      <c r="K268" s="882"/>
      <c r="L268" s="882"/>
      <c r="M268" s="882"/>
      <c r="N268" s="883"/>
      <c r="O268" s="884" t="s">
        <v>631</v>
      </c>
      <c r="P268" s="885"/>
      <c r="Q268" s="885"/>
      <c r="R268" s="885"/>
      <c r="S268" s="885"/>
      <c r="T268" s="885"/>
      <c r="U268" s="885"/>
      <c r="V268" s="885"/>
      <c r="W268" s="885"/>
      <c r="X268" s="885"/>
      <c r="Y268" s="885"/>
      <c r="Z268" s="885"/>
      <c r="AA268" s="885"/>
      <c r="AB268" s="885"/>
      <c r="AC268" s="885"/>
      <c r="AD268" s="885"/>
      <c r="AE268" s="885"/>
      <c r="AF268" s="885"/>
      <c r="AG268" s="885"/>
      <c r="AH268" s="885"/>
      <c r="AI268" s="885"/>
      <c r="AJ268" s="885"/>
      <c r="AK268" s="885"/>
      <c r="AL268" s="885"/>
      <c r="AM268" s="885"/>
      <c r="AN268" s="885"/>
      <c r="AO268" s="885"/>
      <c r="AP268" s="885"/>
      <c r="AQ268" s="885"/>
      <c r="AR268" s="885"/>
      <c r="AS268" s="885"/>
      <c r="AT268" s="885"/>
      <c r="AU268" s="886"/>
      <c r="CG268" s="656"/>
    </row>
    <row r="269" spans="1:85">
      <c r="A269" s="661"/>
      <c r="F269" s="881" t="s">
        <v>632</v>
      </c>
      <c r="G269" s="882"/>
      <c r="H269" s="882"/>
      <c r="I269" s="882"/>
      <c r="J269" s="882"/>
      <c r="K269" s="882"/>
      <c r="L269" s="882"/>
      <c r="M269" s="882"/>
      <c r="N269" s="883"/>
      <c r="O269" s="884" t="s">
        <v>634</v>
      </c>
      <c r="P269" s="885"/>
      <c r="Q269" s="885"/>
      <c r="R269" s="885"/>
      <c r="S269" s="885"/>
      <c r="T269" s="885"/>
      <c r="U269" s="885"/>
      <c r="V269" s="885"/>
      <c r="W269" s="885"/>
      <c r="X269" s="885"/>
      <c r="Y269" s="885"/>
      <c r="Z269" s="885"/>
      <c r="AA269" s="885"/>
      <c r="AB269" s="885"/>
      <c r="AC269" s="885"/>
      <c r="AD269" s="885"/>
      <c r="AE269" s="885"/>
      <c r="AF269" s="885"/>
      <c r="AG269" s="885"/>
      <c r="AH269" s="885"/>
      <c r="AI269" s="885"/>
      <c r="AJ269" s="885"/>
      <c r="AK269" s="885"/>
      <c r="AL269" s="885"/>
      <c r="AM269" s="885"/>
      <c r="AN269" s="885"/>
      <c r="AO269" s="885"/>
      <c r="AP269" s="885"/>
      <c r="AQ269" s="885"/>
      <c r="AR269" s="885"/>
      <c r="AS269" s="885"/>
      <c r="AT269" s="885"/>
      <c r="AU269" s="886"/>
      <c r="CG269" s="656"/>
    </row>
    <row r="270" spans="1:85">
      <c r="A270" s="661"/>
      <c r="F270" s="881" t="s">
        <v>633</v>
      </c>
      <c r="G270" s="882"/>
      <c r="H270" s="882"/>
      <c r="I270" s="882"/>
      <c r="J270" s="882"/>
      <c r="K270" s="882"/>
      <c r="L270" s="882"/>
      <c r="M270" s="882"/>
      <c r="N270" s="883"/>
      <c r="O270" s="884" t="s">
        <v>635</v>
      </c>
      <c r="P270" s="885"/>
      <c r="Q270" s="885"/>
      <c r="R270" s="885"/>
      <c r="S270" s="885"/>
      <c r="T270" s="885"/>
      <c r="U270" s="885"/>
      <c r="V270" s="885"/>
      <c r="W270" s="885"/>
      <c r="X270" s="885"/>
      <c r="Y270" s="885"/>
      <c r="Z270" s="885"/>
      <c r="AA270" s="885"/>
      <c r="AB270" s="885"/>
      <c r="AC270" s="885"/>
      <c r="AD270" s="885"/>
      <c r="AE270" s="885"/>
      <c r="AF270" s="885"/>
      <c r="AG270" s="885"/>
      <c r="AH270" s="885"/>
      <c r="AI270" s="885"/>
      <c r="AJ270" s="885"/>
      <c r="AK270" s="885"/>
      <c r="AL270" s="885"/>
      <c r="AM270" s="885"/>
      <c r="AN270" s="885"/>
      <c r="AO270" s="885"/>
      <c r="AP270" s="885"/>
      <c r="AQ270" s="885"/>
      <c r="AR270" s="885"/>
      <c r="AS270" s="885"/>
      <c r="AT270" s="885"/>
      <c r="AU270" s="886"/>
      <c r="CG270" s="656"/>
    </row>
    <row r="271" spans="1:85">
      <c r="A271" s="661"/>
      <c r="F271" s="881" t="s">
        <v>626</v>
      </c>
      <c r="G271" s="882"/>
      <c r="H271" s="882"/>
      <c r="I271" s="882"/>
      <c r="J271" s="882"/>
      <c r="K271" s="882"/>
      <c r="L271" s="882"/>
      <c r="M271" s="882"/>
      <c r="N271" s="883"/>
      <c r="O271" s="884" t="s">
        <v>669</v>
      </c>
      <c r="P271" s="885"/>
      <c r="Q271" s="885"/>
      <c r="R271" s="885"/>
      <c r="S271" s="885"/>
      <c r="T271" s="885"/>
      <c r="U271" s="885"/>
      <c r="V271" s="885"/>
      <c r="W271" s="885"/>
      <c r="X271" s="885"/>
      <c r="Y271" s="885"/>
      <c r="Z271" s="885"/>
      <c r="AA271" s="885"/>
      <c r="AB271" s="885"/>
      <c r="AC271" s="885"/>
      <c r="AD271" s="885"/>
      <c r="AE271" s="885"/>
      <c r="AF271" s="885"/>
      <c r="AG271" s="885"/>
      <c r="AH271" s="885"/>
      <c r="AI271" s="885"/>
      <c r="AJ271" s="885"/>
      <c r="AK271" s="885"/>
      <c r="AL271" s="885"/>
      <c r="AM271" s="885"/>
      <c r="AN271" s="885"/>
      <c r="AO271" s="885"/>
      <c r="AP271" s="885"/>
      <c r="AQ271" s="885"/>
      <c r="AR271" s="885"/>
      <c r="AS271" s="885"/>
      <c r="AT271" s="885"/>
      <c r="AU271" s="886"/>
      <c r="CG271" s="656"/>
    </row>
    <row r="272" spans="1:85">
      <c r="A272" s="661"/>
      <c r="CG272" s="656"/>
    </row>
    <row r="273" spans="1:85">
      <c r="A273" s="661"/>
      <c r="CG273" s="656"/>
    </row>
    <row r="274" spans="1:85">
      <c r="A274" s="661"/>
      <c r="F274" s="657" t="s">
        <v>510</v>
      </c>
      <c r="CG274" s="656"/>
    </row>
    <row r="275" spans="1:85">
      <c r="A275" s="661"/>
      <c r="F275" s="657" t="s">
        <v>511</v>
      </c>
      <c r="CG275" s="656"/>
    </row>
    <row r="276" spans="1:85">
      <c r="A276" s="661"/>
      <c r="F276" s="663"/>
      <c r="G276" s="663"/>
      <c r="I276" s="663"/>
      <c r="CG276" s="656"/>
    </row>
    <row r="277" spans="1:85">
      <c r="A277" s="661"/>
    </row>
    <row r="278" spans="1:85">
      <c r="A278" s="661"/>
    </row>
    <row r="279" spans="1:85">
      <c r="A279" s="661"/>
    </row>
    <row r="280" spans="1:85">
      <c r="A280" s="661"/>
    </row>
    <row r="281" spans="1:85">
      <c r="A281" s="661"/>
    </row>
    <row r="282" spans="1:85">
      <c r="A282" s="661"/>
    </row>
    <row r="283" spans="1:85">
      <c r="A283" s="661"/>
    </row>
    <row r="284" spans="1:85">
      <c r="A284" s="661"/>
    </row>
    <row r="285" spans="1:85">
      <c r="A285" s="661"/>
    </row>
    <row r="286" spans="1:85">
      <c r="A286" s="661"/>
    </row>
    <row r="287" spans="1:85">
      <c r="A287" s="661"/>
    </row>
    <row r="288" spans="1:85">
      <c r="A288" s="661"/>
    </row>
    <row r="289" spans="1:1">
      <c r="A289" s="661"/>
    </row>
    <row r="290" spans="1:1">
      <c r="A290" s="661"/>
    </row>
    <row r="291" spans="1:1">
      <c r="A291" s="661"/>
    </row>
    <row r="292" spans="1:1">
      <c r="A292" s="661"/>
    </row>
    <row r="293" spans="1:1">
      <c r="A293" s="661"/>
    </row>
    <row r="294" spans="1:1">
      <c r="A294" s="661"/>
    </row>
    <row r="295" spans="1:1">
      <c r="A295" s="661"/>
    </row>
    <row r="296" spans="1:1">
      <c r="A296" s="661"/>
    </row>
    <row r="297" spans="1:1">
      <c r="A297" s="661"/>
    </row>
    <row r="298" spans="1:1">
      <c r="A298" s="661"/>
    </row>
    <row r="299" spans="1:1">
      <c r="A299" s="661"/>
    </row>
  </sheetData>
  <mergeCells count="112">
    <mergeCell ref="G88:N88"/>
    <mergeCell ref="O88:AA88"/>
    <mergeCell ref="G89:N89"/>
    <mergeCell ref="O89:AA89"/>
    <mergeCell ref="G90:N90"/>
    <mergeCell ref="O90:AA90"/>
    <mergeCell ref="A1:M1"/>
    <mergeCell ref="F74:N74"/>
    <mergeCell ref="O74:AU74"/>
    <mergeCell ref="F75:N76"/>
    <mergeCell ref="O75:AU75"/>
    <mergeCell ref="O76:AU76"/>
    <mergeCell ref="G94:N94"/>
    <mergeCell ref="O94:AA94"/>
    <mergeCell ref="G91:N91"/>
    <mergeCell ref="O91:AA91"/>
    <mergeCell ref="G92:N92"/>
    <mergeCell ref="O92:AA92"/>
    <mergeCell ref="G93:N93"/>
    <mergeCell ref="O93:AA93"/>
    <mergeCell ref="G95:N95"/>
    <mergeCell ref="O95:AA95"/>
    <mergeCell ref="H135:V136"/>
    <mergeCell ref="W135:AK135"/>
    <mergeCell ref="AL135:AQ135"/>
    <mergeCell ref="AR135:AX135"/>
    <mergeCell ref="W136:AK136"/>
    <mergeCell ref="AL136:AQ136"/>
    <mergeCell ref="AR136:AX136"/>
    <mergeCell ref="H133:AK133"/>
    <mergeCell ref="AL133:AX133"/>
    <mergeCell ref="H134:AK134"/>
    <mergeCell ref="AL134:AQ134"/>
    <mergeCell ref="AR134:AX134"/>
    <mergeCell ref="H137:V137"/>
    <mergeCell ref="W137:AK137"/>
    <mergeCell ref="AL137:AQ137"/>
    <mergeCell ref="AR137:AX137"/>
    <mergeCell ref="H138:V138"/>
    <mergeCell ref="W138:AK138"/>
    <mergeCell ref="AL138:AQ138"/>
    <mergeCell ref="AR138:AX138"/>
    <mergeCell ref="AR144:AT144"/>
    <mergeCell ref="AU144:AV144"/>
    <mergeCell ref="F142:AV142"/>
    <mergeCell ref="F143:AI143"/>
    <mergeCell ref="AJ143:AL143"/>
    <mergeCell ref="AM143:AQ143"/>
    <mergeCell ref="AR143:AT143"/>
    <mergeCell ref="AU143:AV143"/>
    <mergeCell ref="AU146:AV146"/>
    <mergeCell ref="F147:T147"/>
    <mergeCell ref="U147:AI147"/>
    <mergeCell ref="AJ147:AL147"/>
    <mergeCell ref="AM147:AQ147"/>
    <mergeCell ref="AR147:AT147"/>
    <mergeCell ref="AU147:AV147"/>
    <mergeCell ref="F144:T146"/>
    <mergeCell ref="U146:AI146"/>
    <mergeCell ref="AJ146:AL146"/>
    <mergeCell ref="AM146:AQ146"/>
    <mergeCell ref="AR146:AT146"/>
    <mergeCell ref="U145:AI145"/>
    <mergeCell ref="AJ145:AL145"/>
    <mergeCell ref="AM145:AQ145"/>
    <mergeCell ref="AR145:AT145"/>
    <mergeCell ref="AU145:AV145"/>
    <mergeCell ref="U144:AI144"/>
    <mergeCell ref="AJ144:AL144"/>
    <mergeCell ref="AM144:AQ144"/>
    <mergeCell ref="F148:T148"/>
    <mergeCell ref="U148:AI148"/>
    <mergeCell ref="AJ148:AL148"/>
    <mergeCell ref="AM148:AQ148"/>
    <mergeCell ref="AR148:AT148"/>
    <mergeCell ref="AU148:AV148"/>
    <mergeCell ref="AF256:BC256"/>
    <mergeCell ref="BD256:CA256"/>
    <mergeCell ref="H257:J257"/>
    <mergeCell ref="K257:U257"/>
    <mergeCell ref="V257:AE260"/>
    <mergeCell ref="AF257:BC260"/>
    <mergeCell ref="BD257:CA260"/>
    <mergeCell ref="H254:J254"/>
    <mergeCell ref="K254:U254"/>
    <mergeCell ref="V254:AE254"/>
    <mergeCell ref="AF254:BC254"/>
    <mergeCell ref="BD254:CA254"/>
    <mergeCell ref="H255:J255"/>
    <mergeCell ref="K255:U255"/>
    <mergeCell ref="V255:AE255"/>
    <mergeCell ref="AF255:BC255"/>
    <mergeCell ref="BD255:CA255"/>
    <mergeCell ref="H258:J258"/>
    <mergeCell ref="K258:U258"/>
    <mergeCell ref="H259:J259"/>
    <mergeCell ref="K259:U259"/>
    <mergeCell ref="H260:J260"/>
    <mergeCell ref="K260:U260"/>
    <mergeCell ref="H256:J256"/>
    <mergeCell ref="K256:U256"/>
    <mergeCell ref="V256:AE256"/>
    <mergeCell ref="F271:N271"/>
    <mergeCell ref="O271:AU271"/>
    <mergeCell ref="F265:N265"/>
    <mergeCell ref="O265:AU265"/>
    <mergeCell ref="F268:N268"/>
    <mergeCell ref="O268:AU268"/>
    <mergeCell ref="F269:N269"/>
    <mergeCell ref="O269:AU269"/>
    <mergeCell ref="F270:N270"/>
    <mergeCell ref="O270:AU270"/>
  </mergeCells>
  <phoneticPr fontId="57"/>
  <dataValidations count="1">
    <dataValidation type="list" allowBlank="1" showInputMessage="1" showErrorMessage="1" sqref="WVZ983185:WWE983206 WMD983185:WMI983206 WCH983185:WCM983206 VSL983185:VSQ983206 VIP983185:VIU983206 UYT983185:UYY983206 UOX983185:UPC983206 UFB983185:UFG983206 TVF983185:TVK983206 TLJ983185:TLO983206 TBN983185:TBS983206 SRR983185:SRW983206 SHV983185:SIA983206 RXZ983185:RYE983206 ROD983185:ROI983206 REH983185:REM983206 QUL983185:QUQ983206 QKP983185:QKU983206 QAT983185:QAY983206 PQX983185:PRC983206 PHB983185:PHG983206 OXF983185:OXK983206 ONJ983185:ONO983206 ODN983185:ODS983206 NTR983185:NTW983206 NJV983185:NKA983206 MZZ983185:NAE983206 MQD983185:MQI983206 MGH983185:MGM983206 LWL983185:LWQ983206 LMP983185:LMU983206 LCT983185:LCY983206 KSX983185:KTC983206 KJB983185:KJG983206 JZF983185:JZK983206 JPJ983185:JPO983206 JFN983185:JFS983206 IVR983185:IVW983206 ILV983185:IMA983206 IBZ983185:ICE983206 HSD983185:HSI983206 HIH983185:HIM983206 GYL983185:GYQ983206 GOP983185:GOU983206 GET983185:GEY983206 FUX983185:FVC983206 FLB983185:FLG983206 FBF983185:FBK983206 ERJ983185:ERO983206 EHN983185:EHS983206 DXR983185:DXW983206 DNV983185:DOA983206 DDZ983185:DEE983206 CUD983185:CUI983206 CKH983185:CKM983206 CAL983185:CAQ983206 BQP983185:BQU983206 BGT983185:BGY983206 AWX983185:AXC983206 ANB983185:ANG983206 ADF983185:ADK983206 TJ983185:TO983206 JN983185:JS983206 J983209:O983230 WVZ917649:WWE917670 WMD917649:WMI917670 WCH917649:WCM917670 VSL917649:VSQ917670 VIP917649:VIU917670 UYT917649:UYY917670 UOX917649:UPC917670 UFB917649:UFG917670 TVF917649:TVK917670 TLJ917649:TLO917670 TBN917649:TBS917670 SRR917649:SRW917670 SHV917649:SIA917670 RXZ917649:RYE917670 ROD917649:ROI917670 REH917649:REM917670 QUL917649:QUQ917670 QKP917649:QKU917670 QAT917649:QAY917670 PQX917649:PRC917670 PHB917649:PHG917670 OXF917649:OXK917670 ONJ917649:ONO917670 ODN917649:ODS917670 NTR917649:NTW917670 NJV917649:NKA917670 MZZ917649:NAE917670 MQD917649:MQI917670 MGH917649:MGM917670 LWL917649:LWQ917670 LMP917649:LMU917670 LCT917649:LCY917670 KSX917649:KTC917670 KJB917649:KJG917670 JZF917649:JZK917670 JPJ917649:JPO917670 JFN917649:JFS917670 IVR917649:IVW917670 ILV917649:IMA917670 IBZ917649:ICE917670 HSD917649:HSI917670 HIH917649:HIM917670 GYL917649:GYQ917670 GOP917649:GOU917670 GET917649:GEY917670 FUX917649:FVC917670 FLB917649:FLG917670 FBF917649:FBK917670 ERJ917649:ERO917670 EHN917649:EHS917670 DXR917649:DXW917670 DNV917649:DOA917670 DDZ917649:DEE917670 CUD917649:CUI917670 CKH917649:CKM917670 CAL917649:CAQ917670 BQP917649:BQU917670 BGT917649:BGY917670 AWX917649:AXC917670 ANB917649:ANG917670 ADF917649:ADK917670 TJ917649:TO917670 JN917649:JS917670 J917673:O917694 WVZ852113:WWE852134 WMD852113:WMI852134 WCH852113:WCM852134 VSL852113:VSQ852134 VIP852113:VIU852134 UYT852113:UYY852134 UOX852113:UPC852134 UFB852113:UFG852134 TVF852113:TVK852134 TLJ852113:TLO852134 TBN852113:TBS852134 SRR852113:SRW852134 SHV852113:SIA852134 RXZ852113:RYE852134 ROD852113:ROI852134 REH852113:REM852134 QUL852113:QUQ852134 QKP852113:QKU852134 QAT852113:QAY852134 PQX852113:PRC852134 PHB852113:PHG852134 OXF852113:OXK852134 ONJ852113:ONO852134 ODN852113:ODS852134 NTR852113:NTW852134 NJV852113:NKA852134 MZZ852113:NAE852134 MQD852113:MQI852134 MGH852113:MGM852134 LWL852113:LWQ852134 LMP852113:LMU852134 LCT852113:LCY852134 KSX852113:KTC852134 KJB852113:KJG852134 JZF852113:JZK852134 JPJ852113:JPO852134 JFN852113:JFS852134 IVR852113:IVW852134 ILV852113:IMA852134 IBZ852113:ICE852134 HSD852113:HSI852134 HIH852113:HIM852134 GYL852113:GYQ852134 GOP852113:GOU852134 GET852113:GEY852134 FUX852113:FVC852134 FLB852113:FLG852134 FBF852113:FBK852134 ERJ852113:ERO852134 EHN852113:EHS852134 DXR852113:DXW852134 DNV852113:DOA852134 DDZ852113:DEE852134 CUD852113:CUI852134 CKH852113:CKM852134 CAL852113:CAQ852134 BQP852113:BQU852134 BGT852113:BGY852134 AWX852113:AXC852134 ANB852113:ANG852134 ADF852113:ADK852134 TJ852113:TO852134 JN852113:JS852134 J852137:O852158 WVZ786577:WWE786598 WMD786577:WMI786598 WCH786577:WCM786598 VSL786577:VSQ786598 VIP786577:VIU786598 UYT786577:UYY786598 UOX786577:UPC786598 UFB786577:UFG786598 TVF786577:TVK786598 TLJ786577:TLO786598 TBN786577:TBS786598 SRR786577:SRW786598 SHV786577:SIA786598 RXZ786577:RYE786598 ROD786577:ROI786598 REH786577:REM786598 QUL786577:QUQ786598 QKP786577:QKU786598 QAT786577:QAY786598 PQX786577:PRC786598 PHB786577:PHG786598 OXF786577:OXK786598 ONJ786577:ONO786598 ODN786577:ODS786598 NTR786577:NTW786598 NJV786577:NKA786598 MZZ786577:NAE786598 MQD786577:MQI786598 MGH786577:MGM786598 LWL786577:LWQ786598 LMP786577:LMU786598 LCT786577:LCY786598 KSX786577:KTC786598 KJB786577:KJG786598 JZF786577:JZK786598 JPJ786577:JPO786598 JFN786577:JFS786598 IVR786577:IVW786598 ILV786577:IMA786598 IBZ786577:ICE786598 HSD786577:HSI786598 HIH786577:HIM786598 GYL786577:GYQ786598 GOP786577:GOU786598 GET786577:GEY786598 FUX786577:FVC786598 FLB786577:FLG786598 FBF786577:FBK786598 ERJ786577:ERO786598 EHN786577:EHS786598 DXR786577:DXW786598 DNV786577:DOA786598 DDZ786577:DEE786598 CUD786577:CUI786598 CKH786577:CKM786598 CAL786577:CAQ786598 BQP786577:BQU786598 BGT786577:BGY786598 AWX786577:AXC786598 ANB786577:ANG786598 ADF786577:ADK786598 TJ786577:TO786598 JN786577:JS786598 J786601:O786622 WVZ721041:WWE721062 WMD721041:WMI721062 WCH721041:WCM721062 VSL721041:VSQ721062 VIP721041:VIU721062 UYT721041:UYY721062 UOX721041:UPC721062 UFB721041:UFG721062 TVF721041:TVK721062 TLJ721041:TLO721062 TBN721041:TBS721062 SRR721041:SRW721062 SHV721041:SIA721062 RXZ721041:RYE721062 ROD721041:ROI721062 REH721041:REM721062 QUL721041:QUQ721062 QKP721041:QKU721062 QAT721041:QAY721062 PQX721041:PRC721062 PHB721041:PHG721062 OXF721041:OXK721062 ONJ721041:ONO721062 ODN721041:ODS721062 NTR721041:NTW721062 NJV721041:NKA721062 MZZ721041:NAE721062 MQD721041:MQI721062 MGH721041:MGM721062 LWL721041:LWQ721062 LMP721041:LMU721062 LCT721041:LCY721062 KSX721041:KTC721062 KJB721041:KJG721062 JZF721041:JZK721062 JPJ721041:JPO721062 JFN721041:JFS721062 IVR721041:IVW721062 ILV721041:IMA721062 IBZ721041:ICE721062 HSD721041:HSI721062 HIH721041:HIM721062 GYL721041:GYQ721062 GOP721041:GOU721062 GET721041:GEY721062 FUX721041:FVC721062 FLB721041:FLG721062 FBF721041:FBK721062 ERJ721041:ERO721062 EHN721041:EHS721062 DXR721041:DXW721062 DNV721041:DOA721062 DDZ721041:DEE721062 CUD721041:CUI721062 CKH721041:CKM721062 CAL721041:CAQ721062 BQP721041:BQU721062 BGT721041:BGY721062 AWX721041:AXC721062 ANB721041:ANG721062 ADF721041:ADK721062 TJ721041:TO721062 JN721041:JS721062 J721065:O721086 WVZ655505:WWE655526 WMD655505:WMI655526 WCH655505:WCM655526 VSL655505:VSQ655526 VIP655505:VIU655526 UYT655505:UYY655526 UOX655505:UPC655526 UFB655505:UFG655526 TVF655505:TVK655526 TLJ655505:TLO655526 TBN655505:TBS655526 SRR655505:SRW655526 SHV655505:SIA655526 RXZ655505:RYE655526 ROD655505:ROI655526 REH655505:REM655526 QUL655505:QUQ655526 QKP655505:QKU655526 QAT655505:QAY655526 PQX655505:PRC655526 PHB655505:PHG655526 OXF655505:OXK655526 ONJ655505:ONO655526 ODN655505:ODS655526 NTR655505:NTW655526 NJV655505:NKA655526 MZZ655505:NAE655526 MQD655505:MQI655526 MGH655505:MGM655526 LWL655505:LWQ655526 LMP655505:LMU655526 LCT655505:LCY655526 KSX655505:KTC655526 KJB655505:KJG655526 JZF655505:JZK655526 JPJ655505:JPO655526 JFN655505:JFS655526 IVR655505:IVW655526 ILV655505:IMA655526 IBZ655505:ICE655526 HSD655505:HSI655526 HIH655505:HIM655526 GYL655505:GYQ655526 GOP655505:GOU655526 GET655505:GEY655526 FUX655505:FVC655526 FLB655505:FLG655526 FBF655505:FBK655526 ERJ655505:ERO655526 EHN655505:EHS655526 DXR655505:DXW655526 DNV655505:DOA655526 DDZ655505:DEE655526 CUD655505:CUI655526 CKH655505:CKM655526 CAL655505:CAQ655526 BQP655505:BQU655526 BGT655505:BGY655526 AWX655505:AXC655526 ANB655505:ANG655526 ADF655505:ADK655526 TJ655505:TO655526 JN655505:JS655526 J655529:O655550 WVZ589969:WWE589990 WMD589969:WMI589990 WCH589969:WCM589990 VSL589969:VSQ589990 VIP589969:VIU589990 UYT589969:UYY589990 UOX589969:UPC589990 UFB589969:UFG589990 TVF589969:TVK589990 TLJ589969:TLO589990 TBN589969:TBS589990 SRR589969:SRW589990 SHV589969:SIA589990 RXZ589969:RYE589990 ROD589969:ROI589990 REH589969:REM589990 QUL589969:QUQ589990 QKP589969:QKU589990 QAT589969:QAY589990 PQX589969:PRC589990 PHB589969:PHG589990 OXF589969:OXK589990 ONJ589969:ONO589990 ODN589969:ODS589990 NTR589969:NTW589990 NJV589969:NKA589990 MZZ589969:NAE589990 MQD589969:MQI589990 MGH589969:MGM589990 LWL589969:LWQ589990 LMP589969:LMU589990 LCT589969:LCY589990 KSX589969:KTC589990 KJB589969:KJG589990 JZF589969:JZK589990 JPJ589969:JPO589990 JFN589969:JFS589990 IVR589969:IVW589990 ILV589969:IMA589990 IBZ589969:ICE589990 HSD589969:HSI589990 HIH589969:HIM589990 GYL589969:GYQ589990 GOP589969:GOU589990 GET589969:GEY589990 FUX589969:FVC589990 FLB589969:FLG589990 FBF589969:FBK589990 ERJ589969:ERO589990 EHN589969:EHS589990 DXR589969:DXW589990 DNV589969:DOA589990 DDZ589969:DEE589990 CUD589969:CUI589990 CKH589969:CKM589990 CAL589969:CAQ589990 BQP589969:BQU589990 BGT589969:BGY589990 AWX589969:AXC589990 ANB589969:ANG589990 ADF589969:ADK589990 TJ589969:TO589990 JN589969:JS589990 J589993:O590014 WVZ524433:WWE524454 WMD524433:WMI524454 WCH524433:WCM524454 VSL524433:VSQ524454 VIP524433:VIU524454 UYT524433:UYY524454 UOX524433:UPC524454 UFB524433:UFG524454 TVF524433:TVK524454 TLJ524433:TLO524454 TBN524433:TBS524454 SRR524433:SRW524454 SHV524433:SIA524454 RXZ524433:RYE524454 ROD524433:ROI524454 REH524433:REM524454 QUL524433:QUQ524454 QKP524433:QKU524454 QAT524433:QAY524454 PQX524433:PRC524454 PHB524433:PHG524454 OXF524433:OXK524454 ONJ524433:ONO524454 ODN524433:ODS524454 NTR524433:NTW524454 NJV524433:NKA524454 MZZ524433:NAE524454 MQD524433:MQI524454 MGH524433:MGM524454 LWL524433:LWQ524454 LMP524433:LMU524454 LCT524433:LCY524454 KSX524433:KTC524454 KJB524433:KJG524454 JZF524433:JZK524454 JPJ524433:JPO524454 JFN524433:JFS524454 IVR524433:IVW524454 ILV524433:IMA524454 IBZ524433:ICE524454 HSD524433:HSI524454 HIH524433:HIM524454 GYL524433:GYQ524454 GOP524433:GOU524454 GET524433:GEY524454 FUX524433:FVC524454 FLB524433:FLG524454 FBF524433:FBK524454 ERJ524433:ERO524454 EHN524433:EHS524454 DXR524433:DXW524454 DNV524433:DOA524454 DDZ524433:DEE524454 CUD524433:CUI524454 CKH524433:CKM524454 CAL524433:CAQ524454 BQP524433:BQU524454 BGT524433:BGY524454 AWX524433:AXC524454 ANB524433:ANG524454 ADF524433:ADK524454 TJ524433:TO524454 JN524433:JS524454 J524457:O524478 WVZ458897:WWE458918 WMD458897:WMI458918 WCH458897:WCM458918 VSL458897:VSQ458918 VIP458897:VIU458918 UYT458897:UYY458918 UOX458897:UPC458918 UFB458897:UFG458918 TVF458897:TVK458918 TLJ458897:TLO458918 TBN458897:TBS458918 SRR458897:SRW458918 SHV458897:SIA458918 RXZ458897:RYE458918 ROD458897:ROI458918 REH458897:REM458918 QUL458897:QUQ458918 QKP458897:QKU458918 QAT458897:QAY458918 PQX458897:PRC458918 PHB458897:PHG458918 OXF458897:OXK458918 ONJ458897:ONO458918 ODN458897:ODS458918 NTR458897:NTW458918 NJV458897:NKA458918 MZZ458897:NAE458918 MQD458897:MQI458918 MGH458897:MGM458918 LWL458897:LWQ458918 LMP458897:LMU458918 LCT458897:LCY458918 KSX458897:KTC458918 KJB458897:KJG458918 JZF458897:JZK458918 JPJ458897:JPO458918 JFN458897:JFS458918 IVR458897:IVW458918 ILV458897:IMA458918 IBZ458897:ICE458918 HSD458897:HSI458918 HIH458897:HIM458918 GYL458897:GYQ458918 GOP458897:GOU458918 GET458897:GEY458918 FUX458897:FVC458918 FLB458897:FLG458918 FBF458897:FBK458918 ERJ458897:ERO458918 EHN458897:EHS458918 DXR458897:DXW458918 DNV458897:DOA458918 DDZ458897:DEE458918 CUD458897:CUI458918 CKH458897:CKM458918 CAL458897:CAQ458918 BQP458897:BQU458918 BGT458897:BGY458918 AWX458897:AXC458918 ANB458897:ANG458918 ADF458897:ADK458918 TJ458897:TO458918 JN458897:JS458918 J458921:O458942 WVZ393361:WWE393382 WMD393361:WMI393382 WCH393361:WCM393382 VSL393361:VSQ393382 VIP393361:VIU393382 UYT393361:UYY393382 UOX393361:UPC393382 UFB393361:UFG393382 TVF393361:TVK393382 TLJ393361:TLO393382 TBN393361:TBS393382 SRR393361:SRW393382 SHV393361:SIA393382 RXZ393361:RYE393382 ROD393361:ROI393382 REH393361:REM393382 QUL393361:QUQ393382 QKP393361:QKU393382 QAT393361:QAY393382 PQX393361:PRC393382 PHB393361:PHG393382 OXF393361:OXK393382 ONJ393361:ONO393382 ODN393361:ODS393382 NTR393361:NTW393382 NJV393361:NKA393382 MZZ393361:NAE393382 MQD393361:MQI393382 MGH393361:MGM393382 LWL393361:LWQ393382 LMP393361:LMU393382 LCT393361:LCY393382 KSX393361:KTC393382 KJB393361:KJG393382 JZF393361:JZK393382 JPJ393361:JPO393382 JFN393361:JFS393382 IVR393361:IVW393382 ILV393361:IMA393382 IBZ393361:ICE393382 HSD393361:HSI393382 HIH393361:HIM393382 GYL393361:GYQ393382 GOP393361:GOU393382 GET393361:GEY393382 FUX393361:FVC393382 FLB393361:FLG393382 FBF393361:FBK393382 ERJ393361:ERO393382 EHN393361:EHS393382 DXR393361:DXW393382 DNV393361:DOA393382 DDZ393361:DEE393382 CUD393361:CUI393382 CKH393361:CKM393382 CAL393361:CAQ393382 BQP393361:BQU393382 BGT393361:BGY393382 AWX393361:AXC393382 ANB393361:ANG393382 ADF393361:ADK393382 TJ393361:TO393382 JN393361:JS393382 J393385:O393406 WVZ327825:WWE327846 WMD327825:WMI327846 WCH327825:WCM327846 VSL327825:VSQ327846 VIP327825:VIU327846 UYT327825:UYY327846 UOX327825:UPC327846 UFB327825:UFG327846 TVF327825:TVK327846 TLJ327825:TLO327846 TBN327825:TBS327846 SRR327825:SRW327846 SHV327825:SIA327846 RXZ327825:RYE327846 ROD327825:ROI327846 REH327825:REM327846 QUL327825:QUQ327846 QKP327825:QKU327846 QAT327825:QAY327846 PQX327825:PRC327846 PHB327825:PHG327846 OXF327825:OXK327846 ONJ327825:ONO327846 ODN327825:ODS327846 NTR327825:NTW327846 NJV327825:NKA327846 MZZ327825:NAE327846 MQD327825:MQI327846 MGH327825:MGM327846 LWL327825:LWQ327846 LMP327825:LMU327846 LCT327825:LCY327846 KSX327825:KTC327846 KJB327825:KJG327846 JZF327825:JZK327846 JPJ327825:JPO327846 JFN327825:JFS327846 IVR327825:IVW327846 ILV327825:IMA327846 IBZ327825:ICE327846 HSD327825:HSI327846 HIH327825:HIM327846 GYL327825:GYQ327846 GOP327825:GOU327846 GET327825:GEY327846 FUX327825:FVC327846 FLB327825:FLG327846 FBF327825:FBK327846 ERJ327825:ERO327846 EHN327825:EHS327846 DXR327825:DXW327846 DNV327825:DOA327846 DDZ327825:DEE327846 CUD327825:CUI327846 CKH327825:CKM327846 CAL327825:CAQ327846 BQP327825:BQU327846 BGT327825:BGY327846 AWX327825:AXC327846 ANB327825:ANG327846 ADF327825:ADK327846 TJ327825:TO327846 JN327825:JS327846 J327849:O327870 WVZ262289:WWE262310 WMD262289:WMI262310 WCH262289:WCM262310 VSL262289:VSQ262310 VIP262289:VIU262310 UYT262289:UYY262310 UOX262289:UPC262310 UFB262289:UFG262310 TVF262289:TVK262310 TLJ262289:TLO262310 TBN262289:TBS262310 SRR262289:SRW262310 SHV262289:SIA262310 RXZ262289:RYE262310 ROD262289:ROI262310 REH262289:REM262310 QUL262289:QUQ262310 QKP262289:QKU262310 QAT262289:QAY262310 PQX262289:PRC262310 PHB262289:PHG262310 OXF262289:OXK262310 ONJ262289:ONO262310 ODN262289:ODS262310 NTR262289:NTW262310 NJV262289:NKA262310 MZZ262289:NAE262310 MQD262289:MQI262310 MGH262289:MGM262310 LWL262289:LWQ262310 LMP262289:LMU262310 LCT262289:LCY262310 KSX262289:KTC262310 KJB262289:KJG262310 JZF262289:JZK262310 JPJ262289:JPO262310 JFN262289:JFS262310 IVR262289:IVW262310 ILV262289:IMA262310 IBZ262289:ICE262310 HSD262289:HSI262310 HIH262289:HIM262310 GYL262289:GYQ262310 GOP262289:GOU262310 GET262289:GEY262310 FUX262289:FVC262310 FLB262289:FLG262310 FBF262289:FBK262310 ERJ262289:ERO262310 EHN262289:EHS262310 DXR262289:DXW262310 DNV262289:DOA262310 DDZ262289:DEE262310 CUD262289:CUI262310 CKH262289:CKM262310 CAL262289:CAQ262310 BQP262289:BQU262310 BGT262289:BGY262310 AWX262289:AXC262310 ANB262289:ANG262310 ADF262289:ADK262310 TJ262289:TO262310 JN262289:JS262310 J262313:O262334 WVZ196753:WWE196774 WMD196753:WMI196774 WCH196753:WCM196774 VSL196753:VSQ196774 VIP196753:VIU196774 UYT196753:UYY196774 UOX196753:UPC196774 UFB196753:UFG196774 TVF196753:TVK196774 TLJ196753:TLO196774 TBN196753:TBS196774 SRR196753:SRW196774 SHV196753:SIA196774 RXZ196753:RYE196774 ROD196753:ROI196774 REH196753:REM196774 QUL196753:QUQ196774 QKP196753:QKU196774 QAT196753:QAY196774 PQX196753:PRC196774 PHB196753:PHG196774 OXF196753:OXK196774 ONJ196753:ONO196774 ODN196753:ODS196774 NTR196753:NTW196774 NJV196753:NKA196774 MZZ196753:NAE196774 MQD196753:MQI196774 MGH196753:MGM196774 LWL196753:LWQ196774 LMP196753:LMU196774 LCT196753:LCY196774 KSX196753:KTC196774 KJB196753:KJG196774 JZF196753:JZK196774 JPJ196753:JPO196774 JFN196753:JFS196774 IVR196753:IVW196774 ILV196753:IMA196774 IBZ196753:ICE196774 HSD196753:HSI196774 HIH196753:HIM196774 GYL196753:GYQ196774 GOP196753:GOU196774 GET196753:GEY196774 FUX196753:FVC196774 FLB196753:FLG196774 FBF196753:FBK196774 ERJ196753:ERO196774 EHN196753:EHS196774 DXR196753:DXW196774 DNV196753:DOA196774 DDZ196753:DEE196774 CUD196753:CUI196774 CKH196753:CKM196774 CAL196753:CAQ196774 BQP196753:BQU196774 BGT196753:BGY196774 AWX196753:AXC196774 ANB196753:ANG196774 ADF196753:ADK196774 TJ196753:TO196774 JN196753:JS196774 J196777:O196798 WVZ131217:WWE131238 WMD131217:WMI131238 WCH131217:WCM131238 VSL131217:VSQ131238 VIP131217:VIU131238 UYT131217:UYY131238 UOX131217:UPC131238 UFB131217:UFG131238 TVF131217:TVK131238 TLJ131217:TLO131238 TBN131217:TBS131238 SRR131217:SRW131238 SHV131217:SIA131238 RXZ131217:RYE131238 ROD131217:ROI131238 REH131217:REM131238 QUL131217:QUQ131238 QKP131217:QKU131238 QAT131217:QAY131238 PQX131217:PRC131238 PHB131217:PHG131238 OXF131217:OXK131238 ONJ131217:ONO131238 ODN131217:ODS131238 NTR131217:NTW131238 NJV131217:NKA131238 MZZ131217:NAE131238 MQD131217:MQI131238 MGH131217:MGM131238 LWL131217:LWQ131238 LMP131217:LMU131238 LCT131217:LCY131238 KSX131217:KTC131238 KJB131217:KJG131238 JZF131217:JZK131238 JPJ131217:JPO131238 JFN131217:JFS131238 IVR131217:IVW131238 ILV131217:IMA131238 IBZ131217:ICE131238 HSD131217:HSI131238 HIH131217:HIM131238 GYL131217:GYQ131238 GOP131217:GOU131238 GET131217:GEY131238 FUX131217:FVC131238 FLB131217:FLG131238 FBF131217:FBK131238 ERJ131217:ERO131238 EHN131217:EHS131238 DXR131217:DXW131238 DNV131217:DOA131238 DDZ131217:DEE131238 CUD131217:CUI131238 CKH131217:CKM131238 CAL131217:CAQ131238 BQP131217:BQU131238 BGT131217:BGY131238 AWX131217:AXC131238 ANB131217:ANG131238 ADF131217:ADK131238 TJ131217:TO131238 JN131217:JS131238 J131241:O131262 WVZ65681:WWE65702 WMD65681:WMI65702 WCH65681:WCM65702 VSL65681:VSQ65702 VIP65681:VIU65702 UYT65681:UYY65702 UOX65681:UPC65702 UFB65681:UFG65702 TVF65681:TVK65702 TLJ65681:TLO65702 TBN65681:TBS65702 SRR65681:SRW65702 SHV65681:SIA65702 RXZ65681:RYE65702 ROD65681:ROI65702 REH65681:REM65702 QUL65681:QUQ65702 QKP65681:QKU65702 QAT65681:QAY65702 PQX65681:PRC65702 PHB65681:PHG65702 OXF65681:OXK65702 ONJ65681:ONO65702 ODN65681:ODS65702 NTR65681:NTW65702 NJV65681:NKA65702 MZZ65681:NAE65702 MQD65681:MQI65702 MGH65681:MGM65702 LWL65681:LWQ65702 LMP65681:LMU65702 LCT65681:LCY65702 KSX65681:KTC65702 KJB65681:KJG65702 JZF65681:JZK65702 JPJ65681:JPO65702 JFN65681:JFS65702 IVR65681:IVW65702 ILV65681:IMA65702 IBZ65681:ICE65702 HSD65681:HSI65702 HIH65681:HIM65702 GYL65681:GYQ65702 GOP65681:GOU65702 GET65681:GEY65702 FUX65681:FVC65702 FLB65681:FLG65702 FBF65681:FBK65702 ERJ65681:ERO65702 EHN65681:EHS65702 DXR65681:DXW65702 DNV65681:DOA65702 DDZ65681:DEE65702 CUD65681:CUI65702 CKH65681:CKM65702 CAL65681:CAQ65702 BQP65681:BQU65702 BGT65681:BGY65702 AWX65681:AXC65702 ANB65681:ANG65702 ADF65681:ADK65702 TJ65681:TO65702 JN65681:JS65702 J65705:O65726 WWN983185:WWU983206 WMR983185:WMY983206 WCV983185:WDC983206 VSZ983185:VTG983206 VJD983185:VJK983206 UZH983185:UZO983206 UPL983185:UPS983206 UFP983185:UFW983206 TVT983185:TWA983206 TLX983185:TME983206 TCB983185:TCI983206 SSF983185:SSM983206 SIJ983185:SIQ983206 RYN983185:RYU983206 ROR983185:ROY983206 REV983185:RFC983206 QUZ983185:QVG983206 QLD983185:QLK983206 QBH983185:QBO983206 PRL983185:PRS983206 PHP983185:PHW983206 OXT983185:OYA983206 ONX983185:OOE983206 OEB983185:OEI983206 NUF983185:NUM983206 NKJ983185:NKQ983206 NAN983185:NAU983206 MQR983185:MQY983206 MGV983185:MHC983206 LWZ983185:LXG983206 LND983185:LNK983206 LDH983185:LDO983206 KTL983185:KTS983206 KJP983185:KJW983206 JZT983185:KAA983206 JPX983185:JQE983206 JGB983185:JGI983206 IWF983185:IWM983206 IMJ983185:IMQ983206 ICN983185:ICU983206 HSR983185:HSY983206 HIV983185:HJC983206 GYZ983185:GZG983206 GPD983185:GPK983206 GFH983185:GFO983206 FVL983185:FVS983206 FLP983185:FLW983206 FBT983185:FCA983206 ERX983185:ESE983206 EIB983185:EII983206 DYF983185:DYM983206 DOJ983185:DOQ983206 DEN983185:DEU983206 CUR983185:CUY983206 CKV983185:CLC983206 CAZ983185:CBG983206 BRD983185:BRK983206 BHH983185:BHO983206 AXL983185:AXS983206 ANP983185:ANW983206 ADT983185:AEA983206 TX983185:UE983206 KB983185:KI983206 X983209:AE983230 WWN917649:WWU917670 WMR917649:WMY917670 WCV917649:WDC917670 VSZ917649:VTG917670 VJD917649:VJK917670 UZH917649:UZO917670 UPL917649:UPS917670 UFP917649:UFW917670 TVT917649:TWA917670 TLX917649:TME917670 TCB917649:TCI917670 SSF917649:SSM917670 SIJ917649:SIQ917670 RYN917649:RYU917670 ROR917649:ROY917670 REV917649:RFC917670 QUZ917649:QVG917670 QLD917649:QLK917670 QBH917649:QBO917670 PRL917649:PRS917670 PHP917649:PHW917670 OXT917649:OYA917670 ONX917649:OOE917670 OEB917649:OEI917670 NUF917649:NUM917670 NKJ917649:NKQ917670 NAN917649:NAU917670 MQR917649:MQY917670 MGV917649:MHC917670 LWZ917649:LXG917670 LND917649:LNK917670 LDH917649:LDO917670 KTL917649:KTS917670 KJP917649:KJW917670 JZT917649:KAA917670 JPX917649:JQE917670 JGB917649:JGI917670 IWF917649:IWM917670 IMJ917649:IMQ917670 ICN917649:ICU917670 HSR917649:HSY917670 HIV917649:HJC917670 GYZ917649:GZG917670 GPD917649:GPK917670 GFH917649:GFO917670 FVL917649:FVS917670 FLP917649:FLW917670 FBT917649:FCA917670 ERX917649:ESE917670 EIB917649:EII917670 DYF917649:DYM917670 DOJ917649:DOQ917670 DEN917649:DEU917670 CUR917649:CUY917670 CKV917649:CLC917670 CAZ917649:CBG917670 BRD917649:BRK917670 BHH917649:BHO917670 AXL917649:AXS917670 ANP917649:ANW917670 ADT917649:AEA917670 TX917649:UE917670 KB917649:KI917670 X917673:AE917694 WWN852113:WWU852134 WMR852113:WMY852134 WCV852113:WDC852134 VSZ852113:VTG852134 VJD852113:VJK852134 UZH852113:UZO852134 UPL852113:UPS852134 UFP852113:UFW852134 TVT852113:TWA852134 TLX852113:TME852134 TCB852113:TCI852134 SSF852113:SSM852134 SIJ852113:SIQ852134 RYN852113:RYU852134 ROR852113:ROY852134 REV852113:RFC852134 QUZ852113:QVG852134 QLD852113:QLK852134 QBH852113:QBO852134 PRL852113:PRS852134 PHP852113:PHW852134 OXT852113:OYA852134 ONX852113:OOE852134 OEB852113:OEI852134 NUF852113:NUM852134 NKJ852113:NKQ852134 NAN852113:NAU852134 MQR852113:MQY852134 MGV852113:MHC852134 LWZ852113:LXG852134 LND852113:LNK852134 LDH852113:LDO852134 KTL852113:KTS852134 KJP852113:KJW852134 JZT852113:KAA852134 JPX852113:JQE852134 JGB852113:JGI852134 IWF852113:IWM852134 IMJ852113:IMQ852134 ICN852113:ICU852134 HSR852113:HSY852134 HIV852113:HJC852134 GYZ852113:GZG852134 GPD852113:GPK852134 GFH852113:GFO852134 FVL852113:FVS852134 FLP852113:FLW852134 FBT852113:FCA852134 ERX852113:ESE852134 EIB852113:EII852134 DYF852113:DYM852134 DOJ852113:DOQ852134 DEN852113:DEU852134 CUR852113:CUY852134 CKV852113:CLC852134 CAZ852113:CBG852134 BRD852113:BRK852134 BHH852113:BHO852134 AXL852113:AXS852134 ANP852113:ANW852134 ADT852113:AEA852134 TX852113:UE852134 KB852113:KI852134 X852137:AE852158 WWN786577:WWU786598 WMR786577:WMY786598 WCV786577:WDC786598 VSZ786577:VTG786598 VJD786577:VJK786598 UZH786577:UZO786598 UPL786577:UPS786598 UFP786577:UFW786598 TVT786577:TWA786598 TLX786577:TME786598 TCB786577:TCI786598 SSF786577:SSM786598 SIJ786577:SIQ786598 RYN786577:RYU786598 ROR786577:ROY786598 REV786577:RFC786598 QUZ786577:QVG786598 QLD786577:QLK786598 QBH786577:QBO786598 PRL786577:PRS786598 PHP786577:PHW786598 OXT786577:OYA786598 ONX786577:OOE786598 OEB786577:OEI786598 NUF786577:NUM786598 NKJ786577:NKQ786598 NAN786577:NAU786598 MQR786577:MQY786598 MGV786577:MHC786598 LWZ786577:LXG786598 LND786577:LNK786598 LDH786577:LDO786598 KTL786577:KTS786598 KJP786577:KJW786598 JZT786577:KAA786598 JPX786577:JQE786598 JGB786577:JGI786598 IWF786577:IWM786598 IMJ786577:IMQ786598 ICN786577:ICU786598 HSR786577:HSY786598 HIV786577:HJC786598 GYZ786577:GZG786598 GPD786577:GPK786598 GFH786577:GFO786598 FVL786577:FVS786598 FLP786577:FLW786598 FBT786577:FCA786598 ERX786577:ESE786598 EIB786577:EII786598 DYF786577:DYM786598 DOJ786577:DOQ786598 DEN786577:DEU786598 CUR786577:CUY786598 CKV786577:CLC786598 CAZ786577:CBG786598 BRD786577:BRK786598 BHH786577:BHO786598 AXL786577:AXS786598 ANP786577:ANW786598 ADT786577:AEA786598 TX786577:UE786598 KB786577:KI786598 X786601:AE786622 WWN721041:WWU721062 WMR721041:WMY721062 WCV721041:WDC721062 VSZ721041:VTG721062 VJD721041:VJK721062 UZH721041:UZO721062 UPL721041:UPS721062 UFP721041:UFW721062 TVT721041:TWA721062 TLX721041:TME721062 TCB721041:TCI721062 SSF721041:SSM721062 SIJ721041:SIQ721062 RYN721041:RYU721062 ROR721041:ROY721062 REV721041:RFC721062 QUZ721041:QVG721062 QLD721041:QLK721062 QBH721041:QBO721062 PRL721041:PRS721062 PHP721041:PHW721062 OXT721041:OYA721062 ONX721041:OOE721062 OEB721041:OEI721062 NUF721041:NUM721062 NKJ721041:NKQ721062 NAN721041:NAU721062 MQR721041:MQY721062 MGV721041:MHC721062 LWZ721041:LXG721062 LND721041:LNK721062 LDH721041:LDO721062 KTL721041:KTS721062 KJP721041:KJW721062 JZT721041:KAA721062 JPX721041:JQE721062 JGB721041:JGI721062 IWF721041:IWM721062 IMJ721041:IMQ721062 ICN721041:ICU721062 HSR721041:HSY721062 HIV721041:HJC721062 GYZ721041:GZG721062 GPD721041:GPK721062 GFH721041:GFO721062 FVL721041:FVS721062 FLP721041:FLW721062 FBT721041:FCA721062 ERX721041:ESE721062 EIB721041:EII721062 DYF721041:DYM721062 DOJ721041:DOQ721062 DEN721041:DEU721062 CUR721041:CUY721062 CKV721041:CLC721062 CAZ721041:CBG721062 BRD721041:BRK721062 BHH721041:BHO721062 AXL721041:AXS721062 ANP721041:ANW721062 ADT721041:AEA721062 TX721041:UE721062 KB721041:KI721062 X721065:AE721086 WWN655505:WWU655526 WMR655505:WMY655526 WCV655505:WDC655526 VSZ655505:VTG655526 VJD655505:VJK655526 UZH655505:UZO655526 UPL655505:UPS655526 UFP655505:UFW655526 TVT655505:TWA655526 TLX655505:TME655526 TCB655505:TCI655526 SSF655505:SSM655526 SIJ655505:SIQ655526 RYN655505:RYU655526 ROR655505:ROY655526 REV655505:RFC655526 QUZ655505:QVG655526 QLD655505:QLK655526 QBH655505:QBO655526 PRL655505:PRS655526 PHP655505:PHW655526 OXT655505:OYA655526 ONX655505:OOE655526 OEB655505:OEI655526 NUF655505:NUM655526 NKJ655505:NKQ655526 NAN655505:NAU655526 MQR655505:MQY655526 MGV655505:MHC655526 LWZ655505:LXG655526 LND655505:LNK655526 LDH655505:LDO655526 KTL655505:KTS655526 KJP655505:KJW655526 JZT655505:KAA655526 JPX655505:JQE655526 JGB655505:JGI655526 IWF655505:IWM655526 IMJ655505:IMQ655526 ICN655505:ICU655526 HSR655505:HSY655526 HIV655505:HJC655526 GYZ655505:GZG655526 GPD655505:GPK655526 GFH655505:GFO655526 FVL655505:FVS655526 FLP655505:FLW655526 FBT655505:FCA655526 ERX655505:ESE655526 EIB655505:EII655526 DYF655505:DYM655526 DOJ655505:DOQ655526 DEN655505:DEU655526 CUR655505:CUY655526 CKV655505:CLC655526 CAZ655505:CBG655526 BRD655505:BRK655526 BHH655505:BHO655526 AXL655505:AXS655526 ANP655505:ANW655526 ADT655505:AEA655526 TX655505:UE655526 KB655505:KI655526 X655529:AE655550 WWN589969:WWU589990 WMR589969:WMY589990 WCV589969:WDC589990 VSZ589969:VTG589990 VJD589969:VJK589990 UZH589969:UZO589990 UPL589969:UPS589990 UFP589969:UFW589990 TVT589969:TWA589990 TLX589969:TME589990 TCB589969:TCI589990 SSF589969:SSM589990 SIJ589969:SIQ589990 RYN589969:RYU589990 ROR589969:ROY589990 REV589969:RFC589990 QUZ589969:QVG589990 QLD589969:QLK589990 QBH589969:QBO589990 PRL589969:PRS589990 PHP589969:PHW589990 OXT589969:OYA589990 ONX589969:OOE589990 OEB589969:OEI589990 NUF589969:NUM589990 NKJ589969:NKQ589990 NAN589969:NAU589990 MQR589969:MQY589990 MGV589969:MHC589990 LWZ589969:LXG589990 LND589969:LNK589990 LDH589969:LDO589990 KTL589969:KTS589990 KJP589969:KJW589990 JZT589969:KAA589990 JPX589969:JQE589990 JGB589969:JGI589990 IWF589969:IWM589990 IMJ589969:IMQ589990 ICN589969:ICU589990 HSR589969:HSY589990 HIV589969:HJC589990 GYZ589969:GZG589990 GPD589969:GPK589990 GFH589969:GFO589990 FVL589969:FVS589990 FLP589969:FLW589990 FBT589969:FCA589990 ERX589969:ESE589990 EIB589969:EII589990 DYF589969:DYM589990 DOJ589969:DOQ589990 DEN589969:DEU589990 CUR589969:CUY589990 CKV589969:CLC589990 CAZ589969:CBG589990 BRD589969:BRK589990 BHH589969:BHO589990 AXL589969:AXS589990 ANP589969:ANW589990 ADT589969:AEA589990 TX589969:UE589990 KB589969:KI589990 X589993:AE590014 WWN524433:WWU524454 WMR524433:WMY524454 WCV524433:WDC524454 VSZ524433:VTG524454 VJD524433:VJK524454 UZH524433:UZO524454 UPL524433:UPS524454 UFP524433:UFW524454 TVT524433:TWA524454 TLX524433:TME524454 TCB524433:TCI524454 SSF524433:SSM524454 SIJ524433:SIQ524454 RYN524433:RYU524454 ROR524433:ROY524454 REV524433:RFC524454 QUZ524433:QVG524454 QLD524433:QLK524454 QBH524433:QBO524454 PRL524433:PRS524454 PHP524433:PHW524454 OXT524433:OYA524454 ONX524433:OOE524454 OEB524433:OEI524454 NUF524433:NUM524454 NKJ524433:NKQ524454 NAN524433:NAU524454 MQR524433:MQY524454 MGV524433:MHC524454 LWZ524433:LXG524454 LND524433:LNK524454 LDH524433:LDO524454 KTL524433:KTS524454 KJP524433:KJW524454 JZT524433:KAA524454 JPX524433:JQE524454 JGB524433:JGI524454 IWF524433:IWM524454 IMJ524433:IMQ524454 ICN524433:ICU524454 HSR524433:HSY524454 HIV524433:HJC524454 GYZ524433:GZG524454 GPD524433:GPK524454 GFH524433:GFO524454 FVL524433:FVS524454 FLP524433:FLW524454 FBT524433:FCA524454 ERX524433:ESE524454 EIB524433:EII524454 DYF524433:DYM524454 DOJ524433:DOQ524454 DEN524433:DEU524454 CUR524433:CUY524454 CKV524433:CLC524454 CAZ524433:CBG524454 BRD524433:BRK524454 BHH524433:BHO524454 AXL524433:AXS524454 ANP524433:ANW524454 ADT524433:AEA524454 TX524433:UE524454 KB524433:KI524454 X524457:AE524478 WWN458897:WWU458918 WMR458897:WMY458918 WCV458897:WDC458918 VSZ458897:VTG458918 VJD458897:VJK458918 UZH458897:UZO458918 UPL458897:UPS458918 UFP458897:UFW458918 TVT458897:TWA458918 TLX458897:TME458918 TCB458897:TCI458918 SSF458897:SSM458918 SIJ458897:SIQ458918 RYN458897:RYU458918 ROR458897:ROY458918 REV458897:RFC458918 QUZ458897:QVG458918 QLD458897:QLK458918 QBH458897:QBO458918 PRL458897:PRS458918 PHP458897:PHW458918 OXT458897:OYA458918 ONX458897:OOE458918 OEB458897:OEI458918 NUF458897:NUM458918 NKJ458897:NKQ458918 NAN458897:NAU458918 MQR458897:MQY458918 MGV458897:MHC458918 LWZ458897:LXG458918 LND458897:LNK458918 LDH458897:LDO458918 KTL458897:KTS458918 KJP458897:KJW458918 JZT458897:KAA458918 JPX458897:JQE458918 JGB458897:JGI458918 IWF458897:IWM458918 IMJ458897:IMQ458918 ICN458897:ICU458918 HSR458897:HSY458918 HIV458897:HJC458918 GYZ458897:GZG458918 GPD458897:GPK458918 GFH458897:GFO458918 FVL458897:FVS458918 FLP458897:FLW458918 FBT458897:FCA458918 ERX458897:ESE458918 EIB458897:EII458918 DYF458897:DYM458918 DOJ458897:DOQ458918 DEN458897:DEU458918 CUR458897:CUY458918 CKV458897:CLC458918 CAZ458897:CBG458918 BRD458897:BRK458918 BHH458897:BHO458918 AXL458897:AXS458918 ANP458897:ANW458918 ADT458897:AEA458918 TX458897:UE458918 KB458897:KI458918 X458921:AE458942 WWN393361:WWU393382 WMR393361:WMY393382 WCV393361:WDC393382 VSZ393361:VTG393382 VJD393361:VJK393382 UZH393361:UZO393382 UPL393361:UPS393382 UFP393361:UFW393382 TVT393361:TWA393382 TLX393361:TME393382 TCB393361:TCI393382 SSF393361:SSM393382 SIJ393361:SIQ393382 RYN393361:RYU393382 ROR393361:ROY393382 REV393361:RFC393382 QUZ393361:QVG393382 QLD393361:QLK393382 QBH393361:QBO393382 PRL393361:PRS393382 PHP393361:PHW393382 OXT393361:OYA393382 ONX393361:OOE393382 OEB393361:OEI393382 NUF393361:NUM393382 NKJ393361:NKQ393382 NAN393361:NAU393382 MQR393361:MQY393382 MGV393361:MHC393382 LWZ393361:LXG393382 LND393361:LNK393382 LDH393361:LDO393382 KTL393361:KTS393382 KJP393361:KJW393382 JZT393361:KAA393382 JPX393361:JQE393382 JGB393361:JGI393382 IWF393361:IWM393382 IMJ393361:IMQ393382 ICN393361:ICU393382 HSR393361:HSY393382 HIV393361:HJC393382 GYZ393361:GZG393382 GPD393361:GPK393382 GFH393361:GFO393382 FVL393361:FVS393382 FLP393361:FLW393382 FBT393361:FCA393382 ERX393361:ESE393382 EIB393361:EII393382 DYF393361:DYM393382 DOJ393361:DOQ393382 DEN393361:DEU393382 CUR393361:CUY393382 CKV393361:CLC393382 CAZ393361:CBG393382 BRD393361:BRK393382 BHH393361:BHO393382 AXL393361:AXS393382 ANP393361:ANW393382 ADT393361:AEA393382 TX393361:UE393382 KB393361:KI393382 X393385:AE393406 WWN327825:WWU327846 WMR327825:WMY327846 WCV327825:WDC327846 VSZ327825:VTG327846 VJD327825:VJK327846 UZH327825:UZO327846 UPL327825:UPS327846 UFP327825:UFW327846 TVT327825:TWA327846 TLX327825:TME327846 TCB327825:TCI327846 SSF327825:SSM327846 SIJ327825:SIQ327846 RYN327825:RYU327846 ROR327825:ROY327846 REV327825:RFC327846 QUZ327825:QVG327846 QLD327825:QLK327846 QBH327825:QBO327846 PRL327825:PRS327846 PHP327825:PHW327846 OXT327825:OYA327846 ONX327825:OOE327846 OEB327825:OEI327846 NUF327825:NUM327846 NKJ327825:NKQ327846 NAN327825:NAU327846 MQR327825:MQY327846 MGV327825:MHC327846 LWZ327825:LXG327846 LND327825:LNK327846 LDH327825:LDO327846 KTL327825:KTS327846 KJP327825:KJW327846 JZT327825:KAA327846 JPX327825:JQE327846 JGB327825:JGI327846 IWF327825:IWM327846 IMJ327825:IMQ327846 ICN327825:ICU327846 HSR327825:HSY327846 HIV327825:HJC327846 GYZ327825:GZG327846 GPD327825:GPK327846 GFH327825:GFO327846 FVL327825:FVS327846 FLP327825:FLW327846 FBT327825:FCA327846 ERX327825:ESE327846 EIB327825:EII327846 DYF327825:DYM327846 DOJ327825:DOQ327846 DEN327825:DEU327846 CUR327825:CUY327846 CKV327825:CLC327846 CAZ327825:CBG327846 BRD327825:BRK327846 BHH327825:BHO327846 AXL327825:AXS327846 ANP327825:ANW327846 ADT327825:AEA327846 TX327825:UE327846 KB327825:KI327846 X327849:AE327870 WWN262289:WWU262310 WMR262289:WMY262310 WCV262289:WDC262310 VSZ262289:VTG262310 VJD262289:VJK262310 UZH262289:UZO262310 UPL262289:UPS262310 UFP262289:UFW262310 TVT262289:TWA262310 TLX262289:TME262310 TCB262289:TCI262310 SSF262289:SSM262310 SIJ262289:SIQ262310 RYN262289:RYU262310 ROR262289:ROY262310 REV262289:RFC262310 QUZ262289:QVG262310 QLD262289:QLK262310 QBH262289:QBO262310 PRL262289:PRS262310 PHP262289:PHW262310 OXT262289:OYA262310 ONX262289:OOE262310 OEB262289:OEI262310 NUF262289:NUM262310 NKJ262289:NKQ262310 NAN262289:NAU262310 MQR262289:MQY262310 MGV262289:MHC262310 LWZ262289:LXG262310 LND262289:LNK262310 LDH262289:LDO262310 KTL262289:KTS262310 KJP262289:KJW262310 JZT262289:KAA262310 JPX262289:JQE262310 JGB262289:JGI262310 IWF262289:IWM262310 IMJ262289:IMQ262310 ICN262289:ICU262310 HSR262289:HSY262310 HIV262289:HJC262310 GYZ262289:GZG262310 GPD262289:GPK262310 GFH262289:GFO262310 FVL262289:FVS262310 FLP262289:FLW262310 FBT262289:FCA262310 ERX262289:ESE262310 EIB262289:EII262310 DYF262289:DYM262310 DOJ262289:DOQ262310 DEN262289:DEU262310 CUR262289:CUY262310 CKV262289:CLC262310 CAZ262289:CBG262310 BRD262289:BRK262310 BHH262289:BHO262310 AXL262289:AXS262310 ANP262289:ANW262310 ADT262289:AEA262310 TX262289:UE262310 KB262289:KI262310 X262313:AE262334 WWN196753:WWU196774 WMR196753:WMY196774 WCV196753:WDC196774 VSZ196753:VTG196774 VJD196753:VJK196774 UZH196753:UZO196774 UPL196753:UPS196774 UFP196753:UFW196774 TVT196753:TWA196774 TLX196753:TME196774 TCB196753:TCI196774 SSF196753:SSM196774 SIJ196753:SIQ196774 RYN196753:RYU196774 ROR196753:ROY196774 REV196753:RFC196774 QUZ196753:QVG196774 QLD196753:QLK196774 QBH196753:QBO196774 PRL196753:PRS196774 PHP196753:PHW196774 OXT196753:OYA196774 ONX196753:OOE196774 OEB196753:OEI196774 NUF196753:NUM196774 NKJ196753:NKQ196774 NAN196753:NAU196774 MQR196753:MQY196774 MGV196753:MHC196774 LWZ196753:LXG196774 LND196753:LNK196774 LDH196753:LDO196774 KTL196753:KTS196774 KJP196753:KJW196774 JZT196753:KAA196774 JPX196753:JQE196774 JGB196753:JGI196774 IWF196753:IWM196774 IMJ196753:IMQ196774 ICN196753:ICU196774 HSR196753:HSY196774 HIV196753:HJC196774 GYZ196753:GZG196774 GPD196753:GPK196774 GFH196753:GFO196774 FVL196753:FVS196774 FLP196753:FLW196774 FBT196753:FCA196774 ERX196753:ESE196774 EIB196753:EII196774 DYF196753:DYM196774 DOJ196753:DOQ196774 DEN196753:DEU196774 CUR196753:CUY196774 CKV196753:CLC196774 CAZ196753:CBG196774 BRD196753:BRK196774 BHH196753:BHO196774 AXL196753:AXS196774 ANP196753:ANW196774 ADT196753:AEA196774 TX196753:UE196774 KB196753:KI196774 X196777:AE196798 WWN131217:WWU131238 WMR131217:WMY131238 WCV131217:WDC131238 VSZ131217:VTG131238 VJD131217:VJK131238 UZH131217:UZO131238 UPL131217:UPS131238 UFP131217:UFW131238 TVT131217:TWA131238 TLX131217:TME131238 TCB131217:TCI131238 SSF131217:SSM131238 SIJ131217:SIQ131238 RYN131217:RYU131238 ROR131217:ROY131238 REV131217:RFC131238 QUZ131217:QVG131238 QLD131217:QLK131238 QBH131217:QBO131238 PRL131217:PRS131238 PHP131217:PHW131238 OXT131217:OYA131238 ONX131217:OOE131238 OEB131217:OEI131238 NUF131217:NUM131238 NKJ131217:NKQ131238 NAN131217:NAU131238 MQR131217:MQY131238 MGV131217:MHC131238 LWZ131217:LXG131238 LND131217:LNK131238 LDH131217:LDO131238 KTL131217:KTS131238 KJP131217:KJW131238 JZT131217:KAA131238 JPX131217:JQE131238 JGB131217:JGI131238 IWF131217:IWM131238 IMJ131217:IMQ131238 ICN131217:ICU131238 HSR131217:HSY131238 HIV131217:HJC131238 GYZ131217:GZG131238 GPD131217:GPK131238 GFH131217:GFO131238 FVL131217:FVS131238 FLP131217:FLW131238 FBT131217:FCA131238 ERX131217:ESE131238 EIB131217:EII131238 DYF131217:DYM131238 DOJ131217:DOQ131238 DEN131217:DEU131238 CUR131217:CUY131238 CKV131217:CLC131238 CAZ131217:CBG131238 BRD131217:BRK131238 BHH131217:BHO131238 AXL131217:AXS131238 ANP131217:ANW131238 ADT131217:AEA131238 TX131217:UE131238 KB131217:KI131238 X131241:AE131262 WWN65681:WWU65702 WMR65681:WMY65702 WCV65681:WDC65702 VSZ65681:VTG65702 VJD65681:VJK65702 UZH65681:UZO65702 UPL65681:UPS65702 UFP65681:UFW65702 TVT65681:TWA65702 TLX65681:TME65702 TCB65681:TCI65702 SSF65681:SSM65702 SIJ65681:SIQ65702 RYN65681:RYU65702 ROR65681:ROY65702 REV65681:RFC65702 QUZ65681:QVG65702 QLD65681:QLK65702 QBH65681:QBO65702 PRL65681:PRS65702 PHP65681:PHW65702 OXT65681:OYA65702 ONX65681:OOE65702 OEB65681:OEI65702 NUF65681:NUM65702 NKJ65681:NKQ65702 NAN65681:NAU65702 MQR65681:MQY65702 MGV65681:MHC65702 LWZ65681:LXG65702 LND65681:LNK65702 LDH65681:LDO65702 KTL65681:KTS65702 KJP65681:KJW65702 JZT65681:KAA65702 JPX65681:JQE65702 JGB65681:JGI65702 IWF65681:IWM65702 IMJ65681:IMQ65702 ICN65681:ICU65702 HSR65681:HSY65702 HIV65681:HJC65702 GYZ65681:GZG65702 GPD65681:GPK65702 GFH65681:GFO65702 FVL65681:FVS65702 FLP65681:FLW65702 FBT65681:FCA65702 ERX65681:ESE65702 EIB65681:EII65702 DYF65681:DYM65702 DOJ65681:DOQ65702 DEN65681:DEU65702 CUR65681:CUY65702 CKV65681:CLC65702 CAZ65681:CBG65702 BRD65681:BRK65702 BHH65681:BHO65702 AXL65681:AXS65702 ANP65681:ANW65702 ADT65681:AEA65702 TX65681:UE65702 KB65681:KI65702 X65705:AE65726" xr:uid="{5BAE8EB8-437D-4DAC-BF06-6267FDCA4C2B}">
      <formula1>#REF!</formula1>
    </dataValidation>
  </dataValidations>
  <pageMargins left="0.7" right="0.7" top="0.75" bottom="0.75" header="0.3" footer="0.3"/>
  <pageSetup paperSize="9" scale="37" fitToHeight="0" orientation="portrait" r:id="rId1"/>
  <rowBreaks count="2" manualBreakCount="2">
    <brk id="187" min="21" max="85" man="1"/>
    <brk id="230" min="21" max="85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CC5F-BD5C-4426-82AA-C846ACF5A5E5}">
  <sheetPr>
    <pageSetUpPr fitToPage="1"/>
  </sheetPr>
  <dimension ref="A1:AK27"/>
  <sheetViews>
    <sheetView showGridLines="0" view="pageBreakPreview" zoomScale="90" zoomScaleNormal="70" zoomScaleSheetLayoutView="90" workbookViewId="0">
      <selection sqref="A1:M1"/>
    </sheetView>
  </sheetViews>
  <sheetFormatPr defaultColWidth="2.54296875" defaultRowHeight="15"/>
  <cols>
    <col min="1" max="10" width="2.54296875" style="691" customWidth="1"/>
    <col min="11" max="16" width="3.26953125" style="691" customWidth="1"/>
    <col min="17" max="54" width="2.54296875" style="691" customWidth="1"/>
    <col min="55" max="16384" width="2.54296875" style="691"/>
  </cols>
  <sheetData>
    <row r="1" spans="1:37" ht="13.75" customHeight="1">
      <c r="A1" s="955" t="s">
        <v>578</v>
      </c>
      <c r="B1" s="955"/>
      <c r="C1" s="955"/>
      <c r="D1" s="955"/>
      <c r="E1" s="955"/>
      <c r="F1" s="955"/>
      <c r="G1" s="955"/>
      <c r="H1" s="955"/>
      <c r="I1" s="955"/>
      <c r="J1" s="955"/>
      <c r="K1" s="955"/>
      <c r="L1" s="955"/>
      <c r="M1" s="955"/>
      <c r="N1" s="692"/>
      <c r="O1" s="692"/>
      <c r="P1" s="692"/>
      <c r="Q1" s="692"/>
      <c r="R1" s="692"/>
      <c r="S1" s="692"/>
      <c r="T1" s="692"/>
      <c r="U1" s="692"/>
      <c r="V1" s="692"/>
      <c r="W1" s="692"/>
      <c r="X1" s="692"/>
      <c r="Y1" s="692"/>
      <c r="Z1" s="692"/>
      <c r="AA1" s="692"/>
      <c r="AB1" s="692"/>
      <c r="AC1" s="692"/>
      <c r="AD1" s="692"/>
    </row>
    <row r="2" spans="1:37" ht="13.75" customHeight="1">
      <c r="A2" s="949" t="s">
        <v>579</v>
      </c>
      <c r="B2" s="949"/>
      <c r="C2" s="949"/>
      <c r="D2" s="949"/>
      <c r="E2" s="949"/>
      <c r="F2" s="949"/>
      <c r="G2" s="949"/>
      <c r="H2" s="949"/>
      <c r="I2" s="949"/>
      <c r="J2" s="949"/>
      <c r="K2" s="949"/>
      <c r="L2" s="949"/>
      <c r="M2" s="949"/>
      <c r="N2" s="949"/>
      <c r="O2" s="949"/>
      <c r="P2" s="949"/>
      <c r="Q2" s="949"/>
      <c r="R2" s="949"/>
      <c r="S2" s="949"/>
      <c r="T2" s="949"/>
      <c r="U2" s="949"/>
      <c r="V2" s="949"/>
      <c r="W2" s="949"/>
      <c r="X2" s="949"/>
      <c r="Y2" s="949"/>
      <c r="Z2" s="949"/>
      <c r="AA2" s="949"/>
      <c r="AB2" s="949"/>
      <c r="AC2" s="949"/>
      <c r="AD2" s="949"/>
      <c r="AE2" s="949"/>
      <c r="AF2" s="949"/>
      <c r="AG2" s="949"/>
      <c r="AH2" s="949"/>
      <c r="AI2" s="949"/>
      <c r="AJ2" s="949"/>
    </row>
    <row r="3" spans="1:37" ht="13.75" customHeight="1">
      <c r="A3" s="949"/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949"/>
      <c r="AA3" s="949"/>
      <c r="AB3" s="949"/>
      <c r="AC3" s="949"/>
      <c r="AD3" s="949"/>
      <c r="AE3" s="949"/>
      <c r="AF3" s="949"/>
      <c r="AG3" s="949"/>
      <c r="AH3" s="949"/>
      <c r="AI3" s="949"/>
      <c r="AJ3" s="949"/>
    </row>
    <row r="4" spans="1:37" ht="13.75" customHeight="1">
      <c r="A4" s="949"/>
      <c r="B4" s="949"/>
      <c r="C4" s="949"/>
      <c r="D4" s="949"/>
      <c r="E4" s="949"/>
      <c r="F4" s="949"/>
      <c r="G4" s="949"/>
      <c r="H4" s="949"/>
      <c r="I4" s="949"/>
      <c r="J4" s="949"/>
      <c r="K4" s="949"/>
      <c r="L4" s="949"/>
      <c r="M4" s="949"/>
      <c r="N4" s="949"/>
      <c r="O4" s="949"/>
      <c r="P4" s="949"/>
      <c r="Q4" s="949"/>
      <c r="R4" s="949"/>
      <c r="S4" s="949"/>
      <c r="T4" s="949"/>
      <c r="U4" s="949"/>
      <c r="V4" s="949"/>
      <c r="W4" s="949"/>
      <c r="X4" s="949"/>
      <c r="Y4" s="949"/>
      <c r="Z4" s="949"/>
      <c r="AA4" s="949"/>
      <c r="AB4" s="949"/>
      <c r="AC4" s="949"/>
      <c r="AD4" s="949"/>
      <c r="AE4" s="949"/>
      <c r="AF4" s="949"/>
      <c r="AG4" s="949"/>
      <c r="AH4" s="949"/>
      <c r="AI4" s="949"/>
      <c r="AJ4" s="949"/>
    </row>
    <row r="5" spans="1:37" ht="13.75" customHeight="1">
      <c r="A5" s="948" t="s">
        <v>580</v>
      </c>
      <c r="B5" s="948"/>
      <c r="C5" s="948"/>
      <c r="D5" s="948"/>
      <c r="E5" s="948"/>
      <c r="F5" s="948"/>
      <c r="G5" s="948"/>
      <c r="H5" s="948"/>
      <c r="I5" s="948"/>
      <c r="J5" s="949" t="s">
        <v>599</v>
      </c>
      <c r="K5" s="949"/>
      <c r="L5" s="949"/>
      <c r="M5" s="949"/>
      <c r="N5" s="949"/>
      <c r="O5" s="949"/>
      <c r="P5" s="949"/>
      <c r="Q5" s="949"/>
      <c r="R5" s="949"/>
      <c r="S5" s="949"/>
      <c r="T5" s="949"/>
      <c r="U5" s="949"/>
      <c r="V5" s="949"/>
      <c r="W5" s="949"/>
      <c r="X5" s="949"/>
      <c r="Y5" s="949"/>
      <c r="Z5" s="949"/>
      <c r="AA5" s="949"/>
      <c r="AB5" s="949"/>
      <c r="AC5" s="949"/>
      <c r="AD5" s="949"/>
      <c r="AE5" s="949"/>
      <c r="AF5" s="949"/>
      <c r="AG5" s="949"/>
      <c r="AH5" s="949"/>
      <c r="AI5" s="949"/>
      <c r="AJ5" s="949"/>
    </row>
    <row r="6" spans="1:37" ht="13.75" customHeight="1">
      <c r="A6" s="948" t="s">
        <v>581</v>
      </c>
      <c r="B6" s="948"/>
      <c r="C6" s="948"/>
      <c r="D6" s="948"/>
      <c r="E6" s="948"/>
      <c r="F6" s="948"/>
      <c r="G6" s="948"/>
      <c r="H6" s="948"/>
      <c r="I6" s="948"/>
      <c r="J6" s="956" t="s">
        <v>582</v>
      </c>
      <c r="K6" s="956"/>
      <c r="L6" s="956"/>
      <c r="M6" s="956"/>
      <c r="N6" s="956"/>
      <c r="O6" s="956"/>
      <c r="P6" s="956"/>
      <c r="Q6" s="956"/>
      <c r="R6" s="956"/>
      <c r="S6" s="956"/>
      <c r="T6" s="956"/>
      <c r="U6" s="956"/>
      <c r="V6" s="956"/>
      <c r="W6" s="956"/>
      <c r="X6" s="956"/>
      <c r="Y6" s="956"/>
      <c r="Z6" s="956"/>
      <c r="AA6" s="956"/>
      <c r="AB6" s="956"/>
      <c r="AC6" s="956"/>
      <c r="AD6" s="948" t="s">
        <v>583</v>
      </c>
      <c r="AE6" s="948"/>
      <c r="AF6" s="948"/>
      <c r="AG6" s="948"/>
      <c r="AH6" s="948"/>
      <c r="AI6" s="948"/>
      <c r="AJ6" s="948"/>
    </row>
    <row r="7" spans="1:37" ht="13.75" customHeight="1">
      <c r="A7" s="948"/>
      <c r="B7" s="948"/>
      <c r="C7" s="948"/>
      <c r="D7" s="948"/>
      <c r="E7" s="948"/>
      <c r="F7" s="948"/>
      <c r="G7" s="948"/>
      <c r="H7" s="948"/>
      <c r="I7" s="948"/>
      <c r="J7" s="956"/>
      <c r="K7" s="956"/>
      <c r="L7" s="956"/>
      <c r="M7" s="956"/>
      <c r="N7" s="956"/>
      <c r="O7" s="956"/>
      <c r="P7" s="956"/>
      <c r="Q7" s="956"/>
      <c r="R7" s="956"/>
      <c r="S7" s="956"/>
      <c r="T7" s="956"/>
      <c r="U7" s="956"/>
      <c r="V7" s="956"/>
      <c r="W7" s="956"/>
      <c r="X7" s="956"/>
      <c r="Y7" s="956"/>
      <c r="Z7" s="956"/>
      <c r="AA7" s="956"/>
      <c r="AB7" s="956"/>
      <c r="AC7" s="956"/>
      <c r="AD7" s="948"/>
      <c r="AE7" s="948"/>
      <c r="AF7" s="948"/>
      <c r="AG7" s="948"/>
      <c r="AH7" s="948"/>
      <c r="AI7" s="948"/>
      <c r="AJ7" s="948"/>
    </row>
    <row r="8" spans="1:37" ht="13.75" customHeight="1">
      <c r="A8" s="694" t="s">
        <v>353</v>
      </c>
      <c r="B8" s="948" t="s">
        <v>354</v>
      </c>
      <c r="C8" s="948"/>
      <c r="D8" s="948"/>
      <c r="E8" s="948"/>
      <c r="F8" s="948"/>
      <c r="G8" s="948"/>
      <c r="H8" s="948"/>
      <c r="I8" s="948"/>
      <c r="J8" s="956"/>
      <c r="K8" s="956"/>
      <c r="L8" s="956"/>
      <c r="M8" s="956"/>
      <c r="N8" s="956"/>
      <c r="O8" s="956"/>
      <c r="P8" s="956"/>
      <c r="Q8" s="956"/>
      <c r="R8" s="956"/>
      <c r="S8" s="956"/>
      <c r="T8" s="956"/>
      <c r="U8" s="956"/>
      <c r="V8" s="956"/>
      <c r="W8" s="956"/>
      <c r="X8" s="956"/>
      <c r="Y8" s="956"/>
      <c r="Z8" s="956"/>
      <c r="AA8" s="956"/>
      <c r="AB8" s="956"/>
      <c r="AC8" s="956"/>
      <c r="AD8" s="948"/>
      <c r="AE8" s="948"/>
      <c r="AF8" s="948"/>
      <c r="AG8" s="948"/>
      <c r="AH8" s="948"/>
      <c r="AI8" s="948"/>
      <c r="AJ8" s="948"/>
    </row>
    <row r="9" spans="1:37" ht="13.75" customHeight="1">
      <c r="A9" s="695"/>
      <c r="B9" s="953" t="s">
        <v>663</v>
      </c>
      <c r="C9" s="953"/>
      <c r="D9" s="953"/>
      <c r="E9" s="953"/>
      <c r="F9" s="953"/>
      <c r="G9" s="953"/>
      <c r="H9" s="953"/>
      <c r="I9" s="953"/>
      <c r="J9" s="948"/>
      <c r="K9" s="948"/>
      <c r="L9" s="948"/>
      <c r="M9" s="948"/>
      <c r="N9" s="948"/>
      <c r="O9" s="948"/>
      <c r="P9" s="948"/>
      <c r="Q9" s="948"/>
      <c r="R9" s="948"/>
      <c r="S9" s="948"/>
      <c r="T9" s="948"/>
      <c r="U9" s="948"/>
      <c r="V9" s="948"/>
      <c r="W9" s="948"/>
      <c r="X9" s="948"/>
      <c r="Y9" s="948"/>
      <c r="Z9" s="948"/>
      <c r="AA9" s="948"/>
      <c r="AB9" s="948"/>
      <c r="AC9" s="948"/>
      <c r="AD9" s="948"/>
      <c r="AE9" s="948"/>
      <c r="AF9" s="948"/>
      <c r="AG9" s="948"/>
      <c r="AH9" s="948"/>
      <c r="AI9" s="948"/>
      <c r="AJ9" s="948"/>
    </row>
    <row r="10" spans="1:37" ht="45" customHeight="1">
      <c r="A10" s="695">
        <v>1</v>
      </c>
      <c r="B10" s="943" t="s">
        <v>600</v>
      </c>
      <c r="C10" s="943"/>
      <c r="D10" s="943"/>
      <c r="E10" s="943"/>
      <c r="F10" s="943"/>
      <c r="G10" s="943"/>
      <c r="H10" s="943"/>
      <c r="I10" s="943"/>
      <c r="J10" s="954" t="s">
        <v>584</v>
      </c>
      <c r="K10" s="944"/>
      <c r="L10" s="944"/>
      <c r="M10" s="944"/>
      <c r="N10" s="944"/>
      <c r="O10" s="944"/>
      <c r="P10" s="944"/>
      <c r="Q10" s="944"/>
      <c r="R10" s="944"/>
      <c r="S10" s="944"/>
      <c r="T10" s="944"/>
      <c r="U10" s="944"/>
      <c r="V10" s="944"/>
      <c r="W10" s="944"/>
      <c r="X10" s="944"/>
      <c r="Y10" s="944"/>
      <c r="Z10" s="944"/>
      <c r="AA10" s="944"/>
      <c r="AB10" s="944"/>
      <c r="AC10" s="944"/>
      <c r="AD10" s="945" t="s">
        <v>585</v>
      </c>
      <c r="AE10" s="946"/>
      <c r="AF10" s="946"/>
      <c r="AG10" s="946"/>
      <c r="AH10" s="946"/>
      <c r="AI10" s="946"/>
      <c r="AJ10" s="947"/>
      <c r="AK10" s="692"/>
    </row>
    <row r="11" spans="1:37" ht="13.75" customHeight="1">
      <c r="A11" s="695">
        <v>2</v>
      </c>
      <c r="B11" s="943" t="s">
        <v>675</v>
      </c>
      <c r="C11" s="943"/>
      <c r="D11" s="943"/>
      <c r="E11" s="943"/>
      <c r="F11" s="943"/>
      <c r="G11" s="943"/>
      <c r="H11" s="943"/>
      <c r="I11" s="943"/>
      <c r="J11" s="944" t="s">
        <v>586</v>
      </c>
      <c r="K11" s="944"/>
      <c r="L11" s="944"/>
      <c r="M11" s="944"/>
      <c r="N11" s="944"/>
      <c r="O11" s="944"/>
      <c r="P11" s="944"/>
      <c r="Q11" s="944"/>
      <c r="R11" s="944"/>
      <c r="S11" s="944"/>
      <c r="T11" s="944"/>
      <c r="U11" s="944"/>
      <c r="V11" s="944"/>
      <c r="W11" s="944"/>
      <c r="X11" s="944"/>
      <c r="Y11" s="944"/>
      <c r="Z11" s="944"/>
      <c r="AA11" s="944"/>
      <c r="AB11" s="944"/>
      <c r="AC11" s="944"/>
      <c r="AD11" s="945"/>
      <c r="AE11" s="946"/>
      <c r="AF11" s="946"/>
      <c r="AG11" s="946"/>
      <c r="AH11" s="946"/>
      <c r="AI11" s="946"/>
      <c r="AJ11" s="947"/>
      <c r="AK11" s="692"/>
    </row>
    <row r="12" spans="1:37" ht="13.75" customHeight="1">
      <c r="A12" s="695">
        <v>3</v>
      </c>
      <c r="B12" s="943" t="s">
        <v>674</v>
      </c>
      <c r="C12" s="943"/>
      <c r="D12" s="943"/>
      <c r="E12" s="943"/>
      <c r="F12" s="943"/>
      <c r="G12" s="943"/>
      <c r="H12" s="943"/>
      <c r="I12" s="943"/>
      <c r="J12" s="944" t="s">
        <v>587</v>
      </c>
      <c r="K12" s="944"/>
      <c r="L12" s="944"/>
      <c r="M12" s="944"/>
      <c r="N12" s="944"/>
      <c r="O12" s="944"/>
      <c r="P12" s="944"/>
      <c r="Q12" s="944"/>
      <c r="R12" s="944"/>
      <c r="S12" s="944"/>
      <c r="T12" s="944"/>
      <c r="U12" s="944"/>
      <c r="V12" s="944"/>
      <c r="W12" s="944"/>
      <c r="X12" s="944"/>
      <c r="Y12" s="944"/>
      <c r="Z12" s="944"/>
      <c r="AA12" s="944"/>
      <c r="AB12" s="944"/>
      <c r="AC12" s="944"/>
      <c r="AD12" s="945"/>
      <c r="AE12" s="946"/>
      <c r="AF12" s="946"/>
      <c r="AG12" s="946"/>
      <c r="AH12" s="946"/>
      <c r="AI12" s="946"/>
      <c r="AJ12" s="947"/>
      <c r="AK12" s="692"/>
    </row>
    <row r="13" spans="1:37" ht="13.75" customHeight="1">
      <c r="A13" s="695">
        <v>4</v>
      </c>
      <c r="B13" s="943" t="s">
        <v>601</v>
      </c>
      <c r="C13" s="943"/>
      <c r="D13" s="943"/>
      <c r="E13" s="943"/>
      <c r="F13" s="943"/>
      <c r="G13" s="943"/>
      <c r="H13" s="943"/>
      <c r="I13" s="943"/>
      <c r="J13" s="944" t="s">
        <v>677</v>
      </c>
      <c r="K13" s="944"/>
      <c r="L13" s="944"/>
      <c r="M13" s="944"/>
      <c r="N13" s="944"/>
      <c r="O13" s="944"/>
      <c r="P13" s="944"/>
      <c r="Q13" s="944"/>
      <c r="R13" s="944"/>
      <c r="S13" s="944"/>
      <c r="T13" s="944"/>
      <c r="U13" s="944"/>
      <c r="V13" s="944"/>
      <c r="W13" s="944"/>
      <c r="X13" s="944"/>
      <c r="Y13" s="944"/>
      <c r="Z13" s="944"/>
      <c r="AA13" s="944"/>
      <c r="AB13" s="944"/>
      <c r="AC13" s="944"/>
      <c r="AD13" s="945" t="s">
        <v>588</v>
      </c>
      <c r="AE13" s="946"/>
      <c r="AF13" s="946"/>
      <c r="AG13" s="946"/>
      <c r="AH13" s="946"/>
      <c r="AI13" s="946"/>
      <c r="AJ13" s="947"/>
      <c r="AK13" s="692"/>
    </row>
    <row r="14" spans="1:37" ht="13.75" customHeight="1">
      <c r="A14" s="695">
        <v>5</v>
      </c>
      <c r="B14" s="943" t="s">
        <v>673</v>
      </c>
      <c r="C14" s="943"/>
      <c r="D14" s="943"/>
      <c r="E14" s="943"/>
      <c r="F14" s="943"/>
      <c r="G14" s="943"/>
      <c r="H14" s="943"/>
      <c r="I14" s="943"/>
      <c r="J14" s="944" t="s">
        <v>589</v>
      </c>
      <c r="K14" s="944"/>
      <c r="L14" s="944"/>
      <c r="M14" s="944"/>
      <c r="N14" s="944"/>
      <c r="O14" s="944"/>
      <c r="P14" s="944"/>
      <c r="Q14" s="944"/>
      <c r="R14" s="944"/>
      <c r="S14" s="944"/>
      <c r="T14" s="944"/>
      <c r="U14" s="944"/>
      <c r="V14" s="944"/>
      <c r="W14" s="944"/>
      <c r="X14" s="944"/>
      <c r="Y14" s="944"/>
      <c r="Z14" s="944"/>
      <c r="AA14" s="944"/>
      <c r="AB14" s="944"/>
      <c r="AC14" s="944"/>
      <c r="AD14" s="945" t="s">
        <v>590</v>
      </c>
      <c r="AE14" s="946"/>
      <c r="AF14" s="946"/>
      <c r="AG14" s="946"/>
      <c r="AH14" s="946"/>
      <c r="AI14" s="946"/>
      <c r="AJ14" s="947"/>
      <c r="AK14" s="692"/>
    </row>
    <row r="15" spans="1:37" ht="27" customHeight="1">
      <c r="A15" s="695">
        <v>6</v>
      </c>
      <c r="B15" s="943" t="s">
        <v>601</v>
      </c>
      <c r="C15" s="943"/>
      <c r="D15" s="943"/>
      <c r="E15" s="943"/>
      <c r="F15" s="943"/>
      <c r="G15" s="943"/>
      <c r="H15" s="943"/>
      <c r="I15" s="943"/>
      <c r="J15" s="944" t="s">
        <v>591</v>
      </c>
      <c r="K15" s="944"/>
      <c r="L15" s="944"/>
      <c r="M15" s="944"/>
      <c r="N15" s="944"/>
      <c r="O15" s="944"/>
      <c r="P15" s="944"/>
      <c r="Q15" s="944"/>
      <c r="R15" s="944"/>
      <c r="S15" s="944"/>
      <c r="T15" s="944"/>
      <c r="U15" s="944"/>
      <c r="V15" s="944"/>
      <c r="W15" s="944"/>
      <c r="X15" s="944"/>
      <c r="Y15" s="944"/>
      <c r="Z15" s="944"/>
      <c r="AA15" s="944"/>
      <c r="AB15" s="944"/>
      <c r="AC15" s="944"/>
      <c r="AD15" s="950" t="s">
        <v>592</v>
      </c>
      <c r="AE15" s="951"/>
      <c r="AF15" s="951"/>
      <c r="AG15" s="951"/>
      <c r="AH15" s="951"/>
      <c r="AI15" s="951"/>
      <c r="AJ15" s="952"/>
      <c r="AK15" s="692"/>
    </row>
    <row r="16" spans="1:37" ht="27.75" customHeight="1">
      <c r="A16" s="695">
        <v>7</v>
      </c>
      <c r="B16" s="943" t="s">
        <v>676</v>
      </c>
      <c r="C16" s="943"/>
      <c r="D16" s="943"/>
      <c r="E16" s="943"/>
      <c r="F16" s="943"/>
      <c r="G16" s="943"/>
      <c r="H16" s="943"/>
      <c r="I16" s="943"/>
      <c r="J16" s="949" t="s">
        <v>300</v>
      </c>
      <c r="K16" s="949"/>
      <c r="L16" s="949"/>
      <c r="M16" s="949"/>
      <c r="N16" s="949"/>
      <c r="O16" s="949"/>
      <c r="P16" s="949"/>
      <c r="Q16" s="949"/>
      <c r="R16" s="949"/>
      <c r="S16" s="949"/>
      <c r="T16" s="949"/>
      <c r="U16" s="949"/>
      <c r="V16" s="949"/>
      <c r="W16" s="949"/>
      <c r="X16" s="949"/>
      <c r="Y16" s="949"/>
      <c r="Z16" s="949"/>
      <c r="AA16" s="949"/>
      <c r="AB16" s="949"/>
      <c r="AC16" s="949"/>
      <c r="AD16" s="950" t="s">
        <v>593</v>
      </c>
      <c r="AE16" s="951"/>
      <c r="AF16" s="951"/>
      <c r="AG16" s="951"/>
      <c r="AH16" s="951"/>
      <c r="AI16" s="951"/>
      <c r="AJ16" s="952"/>
      <c r="AK16" s="692"/>
    </row>
    <row r="17" spans="1:37" ht="13.75" customHeight="1">
      <c r="A17" s="695">
        <v>8</v>
      </c>
      <c r="B17" s="943" t="s">
        <v>602</v>
      </c>
      <c r="C17" s="943"/>
      <c r="D17" s="943"/>
      <c r="E17" s="943"/>
      <c r="F17" s="943"/>
      <c r="G17" s="943"/>
      <c r="H17" s="943"/>
      <c r="I17" s="943"/>
      <c r="J17" s="949" t="s">
        <v>300</v>
      </c>
      <c r="K17" s="949"/>
      <c r="L17" s="949"/>
      <c r="M17" s="949"/>
      <c r="N17" s="949"/>
      <c r="O17" s="949"/>
      <c r="P17" s="949"/>
      <c r="Q17" s="949"/>
      <c r="R17" s="949"/>
      <c r="S17" s="949"/>
      <c r="T17" s="949"/>
      <c r="U17" s="949"/>
      <c r="V17" s="949"/>
      <c r="W17" s="949"/>
      <c r="X17" s="949"/>
      <c r="Y17" s="949"/>
      <c r="Z17" s="949"/>
      <c r="AA17" s="949"/>
      <c r="AB17" s="949"/>
      <c r="AC17" s="949"/>
      <c r="AD17" s="950" t="s">
        <v>594</v>
      </c>
      <c r="AE17" s="951"/>
      <c r="AF17" s="951"/>
      <c r="AG17" s="951"/>
      <c r="AH17" s="951"/>
      <c r="AI17" s="951"/>
      <c r="AJ17" s="952"/>
      <c r="AK17" s="692"/>
    </row>
    <row r="18" spans="1:37" ht="13.75" customHeight="1">
      <c r="A18" s="695">
        <v>9</v>
      </c>
      <c r="B18" s="943" t="s">
        <v>678</v>
      </c>
      <c r="C18" s="943"/>
      <c r="D18" s="943"/>
      <c r="E18" s="943"/>
      <c r="F18" s="943"/>
      <c r="G18" s="943"/>
      <c r="H18" s="943"/>
      <c r="I18" s="943"/>
      <c r="J18" s="949" t="s">
        <v>300</v>
      </c>
      <c r="K18" s="949"/>
      <c r="L18" s="949"/>
      <c r="M18" s="949"/>
      <c r="N18" s="949"/>
      <c r="O18" s="949"/>
      <c r="P18" s="949"/>
      <c r="Q18" s="949"/>
      <c r="R18" s="949"/>
      <c r="S18" s="949"/>
      <c r="T18" s="949"/>
      <c r="U18" s="949"/>
      <c r="V18" s="949"/>
      <c r="W18" s="949"/>
      <c r="X18" s="949"/>
      <c r="Y18" s="949"/>
      <c r="Z18" s="949"/>
      <c r="AA18" s="949"/>
      <c r="AB18" s="949"/>
      <c r="AC18" s="949"/>
      <c r="AD18" s="950" t="s">
        <v>594</v>
      </c>
      <c r="AE18" s="951"/>
      <c r="AF18" s="951"/>
      <c r="AG18" s="951"/>
      <c r="AH18" s="951"/>
      <c r="AI18" s="951"/>
      <c r="AJ18" s="952"/>
      <c r="AK18" s="692"/>
    </row>
    <row r="19" spans="1:37" ht="13.75" customHeight="1">
      <c r="A19" s="695">
        <v>10</v>
      </c>
      <c r="B19" s="943" t="s">
        <v>679</v>
      </c>
      <c r="C19" s="943"/>
      <c r="D19" s="943"/>
      <c r="E19" s="943"/>
      <c r="F19" s="943"/>
      <c r="G19" s="943"/>
      <c r="H19" s="943"/>
      <c r="I19" s="943"/>
      <c r="J19" s="949" t="s">
        <v>300</v>
      </c>
      <c r="K19" s="949"/>
      <c r="L19" s="949"/>
      <c r="M19" s="949"/>
      <c r="N19" s="949"/>
      <c r="O19" s="949"/>
      <c r="P19" s="949"/>
      <c r="Q19" s="949"/>
      <c r="R19" s="949"/>
      <c r="S19" s="949"/>
      <c r="T19" s="949"/>
      <c r="U19" s="949"/>
      <c r="V19" s="949"/>
      <c r="W19" s="949"/>
      <c r="X19" s="949"/>
      <c r="Y19" s="949"/>
      <c r="Z19" s="949"/>
      <c r="AA19" s="949"/>
      <c r="AB19" s="949"/>
      <c r="AC19" s="949"/>
      <c r="AD19" s="950" t="s">
        <v>594</v>
      </c>
      <c r="AE19" s="951"/>
      <c r="AF19" s="951"/>
      <c r="AG19" s="951"/>
      <c r="AH19" s="951"/>
      <c r="AI19" s="951"/>
      <c r="AJ19" s="952"/>
      <c r="AK19" s="692"/>
    </row>
    <row r="20" spans="1:37" ht="13.75" customHeight="1">
      <c r="A20" s="695"/>
      <c r="B20" s="943"/>
      <c r="C20" s="943"/>
      <c r="D20" s="943"/>
      <c r="E20" s="943"/>
      <c r="F20" s="943"/>
      <c r="G20" s="943"/>
      <c r="H20" s="943"/>
      <c r="I20" s="943"/>
      <c r="J20" s="944"/>
      <c r="K20" s="944"/>
      <c r="L20" s="944"/>
      <c r="M20" s="944"/>
      <c r="N20" s="944"/>
      <c r="O20" s="944"/>
      <c r="P20" s="944"/>
      <c r="Q20" s="944"/>
      <c r="R20" s="944"/>
      <c r="S20" s="944"/>
      <c r="T20" s="944"/>
      <c r="U20" s="944"/>
      <c r="V20" s="944"/>
      <c r="W20" s="944"/>
      <c r="X20" s="944"/>
      <c r="Y20" s="944"/>
      <c r="Z20" s="944"/>
      <c r="AA20" s="944"/>
      <c r="AB20" s="944"/>
      <c r="AC20" s="944"/>
      <c r="AD20" s="945"/>
      <c r="AE20" s="946"/>
      <c r="AF20" s="946"/>
      <c r="AG20" s="946"/>
      <c r="AH20" s="946"/>
      <c r="AI20" s="946"/>
      <c r="AJ20" s="947"/>
      <c r="AK20" s="692"/>
    </row>
    <row r="21" spans="1:37" ht="13.75" customHeight="1">
      <c r="A21" s="695"/>
      <c r="B21" s="943"/>
      <c r="C21" s="943"/>
      <c r="D21" s="943"/>
      <c r="E21" s="943"/>
      <c r="F21" s="943"/>
      <c r="G21" s="943"/>
      <c r="H21" s="943"/>
      <c r="I21" s="943"/>
      <c r="J21" s="944"/>
      <c r="K21" s="944"/>
      <c r="L21" s="944"/>
      <c r="M21" s="944"/>
      <c r="N21" s="944"/>
      <c r="O21" s="944"/>
      <c r="P21" s="944"/>
      <c r="Q21" s="944"/>
      <c r="R21" s="944"/>
      <c r="S21" s="944"/>
      <c r="T21" s="944"/>
      <c r="U21" s="944"/>
      <c r="V21" s="944"/>
      <c r="W21" s="944"/>
      <c r="X21" s="944"/>
      <c r="Y21" s="944"/>
      <c r="Z21" s="944"/>
      <c r="AA21" s="944"/>
      <c r="AB21" s="944"/>
      <c r="AC21" s="944"/>
      <c r="AD21" s="945"/>
      <c r="AE21" s="946"/>
      <c r="AF21" s="946"/>
      <c r="AG21" s="946"/>
      <c r="AH21" s="946"/>
      <c r="AI21" s="946"/>
      <c r="AJ21" s="947"/>
    </row>
    <row r="22" spans="1:37">
      <c r="A22" s="948" t="s">
        <v>22</v>
      </c>
      <c r="B22" s="948"/>
      <c r="C22" s="948"/>
      <c r="D22" s="948"/>
      <c r="E22" s="948"/>
      <c r="F22" s="948"/>
      <c r="G22" s="948"/>
      <c r="H22" s="948"/>
      <c r="I22" s="948"/>
      <c r="J22" s="696"/>
      <c r="K22" s="697"/>
      <c r="L22" s="697"/>
      <c r="M22" s="697"/>
      <c r="N22" s="697"/>
      <c r="O22" s="697"/>
      <c r="P22" s="697"/>
      <c r="Q22" s="697"/>
      <c r="R22" s="697"/>
      <c r="S22" s="697"/>
      <c r="T22" s="698"/>
      <c r="U22" s="698"/>
      <c r="V22" s="698"/>
      <c r="W22" s="698"/>
      <c r="X22" s="698"/>
      <c r="Y22" s="698"/>
      <c r="Z22" s="698"/>
      <c r="AA22" s="698"/>
      <c r="AB22" s="698"/>
      <c r="AC22" s="698"/>
      <c r="AD22" s="698"/>
      <c r="AE22" s="698"/>
      <c r="AF22" s="698"/>
      <c r="AG22" s="698"/>
      <c r="AH22" s="698"/>
      <c r="AI22" s="698"/>
      <c r="AJ22" s="699"/>
    </row>
    <row r="23" spans="1:37">
      <c r="A23" s="700" t="s">
        <v>595</v>
      </c>
      <c r="B23" s="697"/>
      <c r="C23" s="701" t="s">
        <v>596</v>
      </c>
      <c r="D23" s="697"/>
      <c r="E23" s="697"/>
      <c r="F23" s="697"/>
      <c r="G23" s="697"/>
      <c r="H23" s="697"/>
      <c r="I23" s="697"/>
      <c r="J23" s="701"/>
      <c r="K23" s="701"/>
      <c r="L23" s="701"/>
      <c r="M23" s="701"/>
      <c r="N23" s="701"/>
      <c r="O23" s="701"/>
      <c r="P23" s="701"/>
      <c r="Q23" s="701"/>
      <c r="R23" s="701"/>
      <c r="S23" s="701"/>
      <c r="T23" s="692"/>
      <c r="U23" s="692"/>
      <c r="V23" s="692"/>
      <c r="W23" s="692"/>
      <c r="X23" s="692"/>
      <c r="Y23" s="692"/>
      <c r="Z23" s="692"/>
      <c r="AA23" s="692"/>
      <c r="AB23" s="692"/>
      <c r="AC23" s="692"/>
      <c r="AD23" s="692"/>
      <c r="AE23" s="692"/>
      <c r="AF23" s="692"/>
      <c r="AG23" s="692"/>
      <c r="AH23" s="692"/>
      <c r="AI23" s="692"/>
      <c r="AJ23" s="702"/>
    </row>
    <row r="24" spans="1:37">
      <c r="A24" s="703"/>
      <c r="B24" s="701"/>
      <c r="C24" s="701" t="s">
        <v>597</v>
      </c>
      <c r="D24" s="701"/>
      <c r="E24" s="701"/>
      <c r="F24" s="701"/>
      <c r="G24" s="701"/>
      <c r="H24" s="701"/>
      <c r="I24" s="701"/>
      <c r="J24" s="701"/>
      <c r="K24" s="701"/>
      <c r="L24" s="701"/>
      <c r="M24" s="701"/>
      <c r="N24" s="701"/>
      <c r="O24" s="701"/>
      <c r="P24" s="701"/>
      <c r="Q24" s="701"/>
      <c r="R24" s="701"/>
      <c r="S24" s="701"/>
      <c r="T24" s="692"/>
      <c r="U24" s="692"/>
      <c r="V24" s="692"/>
      <c r="W24" s="692"/>
      <c r="X24" s="692"/>
      <c r="Y24" s="692"/>
      <c r="Z24" s="692"/>
      <c r="AA24" s="692"/>
      <c r="AB24" s="692"/>
      <c r="AC24" s="692"/>
      <c r="AD24" s="692"/>
      <c r="AE24" s="692"/>
      <c r="AF24" s="692"/>
      <c r="AG24" s="692"/>
      <c r="AH24" s="692"/>
      <c r="AI24" s="692"/>
      <c r="AJ24" s="702"/>
    </row>
    <row r="25" spans="1:37">
      <c r="A25" s="703"/>
      <c r="B25" s="701"/>
      <c r="C25" s="701" t="s">
        <v>598</v>
      </c>
      <c r="D25" s="701"/>
      <c r="E25" s="701"/>
      <c r="F25" s="701"/>
      <c r="G25" s="701"/>
      <c r="H25" s="701"/>
      <c r="I25" s="701"/>
      <c r="J25" s="701"/>
      <c r="K25" s="701"/>
      <c r="L25" s="701"/>
      <c r="M25" s="701"/>
      <c r="N25" s="701"/>
      <c r="O25" s="701"/>
      <c r="P25" s="701"/>
      <c r="Q25" s="701"/>
      <c r="R25" s="701"/>
      <c r="S25" s="701"/>
      <c r="T25" s="692"/>
      <c r="U25" s="692"/>
      <c r="V25" s="692"/>
      <c r="W25" s="692"/>
      <c r="X25" s="692"/>
      <c r="Y25" s="692"/>
      <c r="Z25" s="692"/>
      <c r="AA25" s="692"/>
      <c r="AB25" s="692"/>
      <c r="AC25" s="692"/>
      <c r="AD25" s="692"/>
      <c r="AE25" s="692"/>
      <c r="AF25" s="692"/>
      <c r="AG25" s="692"/>
      <c r="AH25" s="692"/>
      <c r="AI25" s="692"/>
      <c r="AJ25" s="702"/>
    </row>
    <row r="26" spans="1:37">
      <c r="A26" s="703"/>
      <c r="B26" s="701"/>
      <c r="C26" s="701"/>
      <c r="D26" s="701"/>
      <c r="E26" s="701"/>
      <c r="F26" s="701"/>
      <c r="G26" s="701"/>
      <c r="H26" s="701"/>
      <c r="I26" s="701"/>
      <c r="J26" s="701"/>
      <c r="K26" s="701"/>
      <c r="L26" s="701"/>
      <c r="M26" s="701"/>
      <c r="N26" s="701"/>
      <c r="O26" s="701"/>
      <c r="P26" s="701"/>
      <c r="Q26" s="701"/>
      <c r="R26" s="701"/>
      <c r="S26" s="701"/>
      <c r="T26" s="692"/>
      <c r="U26" s="692"/>
      <c r="V26" s="692"/>
      <c r="W26" s="692"/>
      <c r="X26" s="692"/>
      <c r="Y26" s="692"/>
      <c r="Z26" s="692"/>
      <c r="AA26" s="692"/>
      <c r="AB26" s="692"/>
      <c r="AC26" s="692"/>
      <c r="AD26" s="692"/>
      <c r="AE26" s="692"/>
      <c r="AF26" s="692"/>
      <c r="AG26" s="692"/>
      <c r="AH26" s="692"/>
      <c r="AI26" s="692"/>
      <c r="AJ26" s="702"/>
    </row>
    <row r="27" spans="1:37">
      <c r="A27" s="704"/>
      <c r="B27" s="705"/>
      <c r="C27" s="705"/>
      <c r="D27" s="705"/>
      <c r="E27" s="705"/>
      <c r="F27" s="705"/>
      <c r="G27" s="705"/>
      <c r="H27" s="705"/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6"/>
      <c r="U27" s="706"/>
      <c r="V27" s="706"/>
      <c r="W27" s="706"/>
      <c r="X27" s="706"/>
      <c r="Y27" s="706"/>
      <c r="Z27" s="706"/>
      <c r="AA27" s="706"/>
      <c r="AB27" s="706"/>
      <c r="AC27" s="706"/>
      <c r="AD27" s="706"/>
      <c r="AE27" s="706"/>
      <c r="AF27" s="706"/>
      <c r="AG27" s="706"/>
      <c r="AH27" s="706"/>
      <c r="AI27" s="706"/>
      <c r="AJ27" s="707"/>
    </row>
  </sheetData>
  <mergeCells count="48">
    <mergeCell ref="A1:M1"/>
    <mergeCell ref="A2:AJ4"/>
    <mergeCell ref="A5:I5"/>
    <mergeCell ref="J5:AJ5"/>
    <mergeCell ref="A6:I7"/>
    <mergeCell ref="J6:AC8"/>
    <mergeCell ref="AD6:AJ8"/>
    <mergeCell ref="B8:I8"/>
    <mergeCell ref="B9:I9"/>
    <mergeCell ref="J9:AC9"/>
    <mergeCell ref="AD9:AJ9"/>
    <mergeCell ref="B10:I10"/>
    <mergeCell ref="J10:AC10"/>
    <mergeCell ref="AD10:AJ10"/>
    <mergeCell ref="B11:I11"/>
    <mergeCell ref="J11:AC11"/>
    <mergeCell ref="AD11:AJ11"/>
    <mergeCell ref="B12:I12"/>
    <mergeCell ref="J12:AC12"/>
    <mergeCell ref="AD12:AJ12"/>
    <mergeCell ref="B13:I13"/>
    <mergeCell ref="J13:AC13"/>
    <mergeCell ref="AD13:AJ13"/>
    <mergeCell ref="B14:I14"/>
    <mergeCell ref="J14:AC14"/>
    <mergeCell ref="AD14:AJ14"/>
    <mergeCell ref="B15:I15"/>
    <mergeCell ref="J15:AC15"/>
    <mergeCell ref="AD15:AJ15"/>
    <mergeCell ref="B16:I16"/>
    <mergeCell ref="J16:AC16"/>
    <mergeCell ref="AD16:AJ16"/>
    <mergeCell ref="B17:I17"/>
    <mergeCell ref="J17:AC17"/>
    <mergeCell ref="AD17:AJ17"/>
    <mergeCell ref="B18:I18"/>
    <mergeCell ref="J18:AC18"/>
    <mergeCell ref="AD18:AJ18"/>
    <mergeCell ref="B21:I21"/>
    <mergeCell ref="J21:AC21"/>
    <mergeCell ref="AD21:AJ21"/>
    <mergeCell ref="A22:I22"/>
    <mergeCell ref="B19:I19"/>
    <mergeCell ref="J19:AC19"/>
    <mergeCell ref="AD19:AJ19"/>
    <mergeCell ref="B20:I20"/>
    <mergeCell ref="J20:AC20"/>
    <mergeCell ref="AD20:AJ20"/>
  </mergeCells>
  <phoneticPr fontId="57"/>
  <dataValidations count="1">
    <dataValidation type="list" allowBlank="1" showInputMessage="1" showErrorMessage="1" sqref="WVR982932:WVW982953 WLV982932:WMA982953 WBZ982932:WCE982953 VSD982932:VSI982953 VIH982932:VIM982953 UYL982932:UYQ982953 UOP982932:UOU982953 UET982932:UEY982953 TUX982932:TVC982953 TLB982932:TLG982953 TBF982932:TBK982953 SRJ982932:SRO982953 SHN982932:SHS982953 RXR982932:RXW982953 RNV982932:ROA982953 RDZ982932:REE982953 QUD982932:QUI982953 QKH982932:QKM982953 QAL982932:QAQ982953 PQP982932:PQU982953 PGT982932:PGY982953 OWX982932:OXC982953 ONB982932:ONG982953 ODF982932:ODK982953 NTJ982932:NTO982953 NJN982932:NJS982953 MZR982932:MZW982953 MPV982932:MQA982953 MFZ982932:MGE982953 LWD982932:LWI982953 LMH982932:LMM982953 LCL982932:LCQ982953 KSP982932:KSU982953 KIT982932:KIY982953 JYX982932:JZC982953 JPB982932:JPG982953 JFF982932:JFK982953 IVJ982932:IVO982953 ILN982932:ILS982953 IBR982932:IBW982953 HRV982932:HSA982953 HHZ982932:HIE982953 GYD982932:GYI982953 GOH982932:GOM982953 GEL982932:GEQ982953 FUP982932:FUU982953 FKT982932:FKY982953 FAX982932:FBC982953 ERB982932:ERG982953 EHF982932:EHK982953 DXJ982932:DXO982953 DNN982932:DNS982953 DDR982932:DDW982953 CTV982932:CUA982953 CJZ982932:CKE982953 CAD982932:CAI982953 BQH982932:BQM982953 BGL982932:BGQ982953 AWP982932:AWU982953 AMT982932:AMY982953 ACX982932:ADC982953 TB982932:TG982953 JF982932:JK982953 J982932:O982953 WVR917396:WVW917417 WLV917396:WMA917417 WBZ917396:WCE917417 VSD917396:VSI917417 VIH917396:VIM917417 UYL917396:UYQ917417 UOP917396:UOU917417 UET917396:UEY917417 TUX917396:TVC917417 TLB917396:TLG917417 TBF917396:TBK917417 SRJ917396:SRO917417 SHN917396:SHS917417 RXR917396:RXW917417 RNV917396:ROA917417 RDZ917396:REE917417 QUD917396:QUI917417 QKH917396:QKM917417 QAL917396:QAQ917417 PQP917396:PQU917417 PGT917396:PGY917417 OWX917396:OXC917417 ONB917396:ONG917417 ODF917396:ODK917417 NTJ917396:NTO917417 NJN917396:NJS917417 MZR917396:MZW917417 MPV917396:MQA917417 MFZ917396:MGE917417 LWD917396:LWI917417 LMH917396:LMM917417 LCL917396:LCQ917417 KSP917396:KSU917417 KIT917396:KIY917417 JYX917396:JZC917417 JPB917396:JPG917417 JFF917396:JFK917417 IVJ917396:IVO917417 ILN917396:ILS917417 IBR917396:IBW917417 HRV917396:HSA917417 HHZ917396:HIE917417 GYD917396:GYI917417 GOH917396:GOM917417 GEL917396:GEQ917417 FUP917396:FUU917417 FKT917396:FKY917417 FAX917396:FBC917417 ERB917396:ERG917417 EHF917396:EHK917417 DXJ917396:DXO917417 DNN917396:DNS917417 DDR917396:DDW917417 CTV917396:CUA917417 CJZ917396:CKE917417 CAD917396:CAI917417 BQH917396:BQM917417 BGL917396:BGQ917417 AWP917396:AWU917417 AMT917396:AMY917417 ACX917396:ADC917417 TB917396:TG917417 JF917396:JK917417 J917396:O917417 WVR851860:WVW851881 WLV851860:WMA851881 WBZ851860:WCE851881 VSD851860:VSI851881 VIH851860:VIM851881 UYL851860:UYQ851881 UOP851860:UOU851881 UET851860:UEY851881 TUX851860:TVC851881 TLB851860:TLG851881 TBF851860:TBK851881 SRJ851860:SRO851881 SHN851860:SHS851881 RXR851860:RXW851881 RNV851860:ROA851881 RDZ851860:REE851881 QUD851860:QUI851881 QKH851860:QKM851881 QAL851860:QAQ851881 PQP851860:PQU851881 PGT851860:PGY851881 OWX851860:OXC851881 ONB851860:ONG851881 ODF851860:ODK851881 NTJ851860:NTO851881 NJN851860:NJS851881 MZR851860:MZW851881 MPV851860:MQA851881 MFZ851860:MGE851881 LWD851860:LWI851881 LMH851860:LMM851881 LCL851860:LCQ851881 KSP851860:KSU851881 KIT851860:KIY851881 JYX851860:JZC851881 JPB851860:JPG851881 JFF851860:JFK851881 IVJ851860:IVO851881 ILN851860:ILS851881 IBR851860:IBW851881 HRV851860:HSA851881 HHZ851860:HIE851881 GYD851860:GYI851881 GOH851860:GOM851881 GEL851860:GEQ851881 FUP851860:FUU851881 FKT851860:FKY851881 FAX851860:FBC851881 ERB851860:ERG851881 EHF851860:EHK851881 DXJ851860:DXO851881 DNN851860:DNS851881 DDR851860:DDW851881 CTV851860:CUA851881 CJZ851860:CKE851881 CAD851860:CAI851881 BQH851860:BQM851881 BGL851860:BGQ851881 AWP851860:AWU851881 AMT851860:AMY851881 ACX851860:ADC851881 TB851860:TG851881 JF851860:JK851881 J851860:O851881 WVR786324:WVW786345 WLV786324:WMA786345 WBZ786324:WCE786345 VSD786324:VSI786345 VIH786324:VIM786345 UYL786324:UYQ786345 UOP786324:UOU786345 UET786324:UEY786345 TUX786324:TVC786345 TLB786324:TLG786345 TBF786324:TBK786345 SRJ786324:SRO786345 SHN786324:SHS786345 RXR786324:RXW786345 RNV786324:ROA786345 RDZ786324:REE786345 QUD786324:QUI786345 QKH786324:QKM786345 QAL786324:QAQ786345 PQP786324:PQU786345 PGT786324:PGY786345 OWX786324:OXC786345 ONB786324:ONG786345 ODF786324:ODK786345 NTJ786324:NTO786345 NJN786324:NJS786345 MZR786324:MZW786345 MPV786324:MQA786345 MFZ786324:MGE786345 LWD786324:LWI786345 LMH786324:LMM786345 LCL786324:LCQ786345 KSP786324:KSU786345 KIT786324:KIY786345 JYX786324:JZC786345 JPB786324:JPG786345 JFF786324:JFK786345 IVJ786324:IVO786345 ILN786324:ILS786345 IBR786324:IBW786345 HRV786324:HSA786345 HHZ786324:HIE786345 GYD786324:GYI786345 GOH786324:GOM786345 GEL786324:GEQ786345 FUP786324:FUU786345 FKT786324:FKY786345 FAX786324:FBC786345 ERB786324:ERG786345 EHF786324:EHK786345 DXJ786324:DXO786345 DNN786324:DNS786345 DDR786324:DDW786345 CTV786324:CUA786345 CJZ786324:CKE786345 CAD786324:CAI786345 BQH786324:BQM786345 BGL786324:BGQ786345 AWP786324:AWU786345 AMT786324:AMY786345 ACX786324:ADC786345 TB786324:TG786345 JF786324:JK786345 J786324:O786345 WVR720788:WVW720809 WLV720788:WMA720809 WBZ720788:WCE720809 VSD720788:VSI720809 VIH720788:VIM720809 UYL720788:UYQ720809 UOP720788:UOU720809 UET720788:UEY720809 TUX720788:TVC720809 TLB720788:TLG720809 TBF720788:TBK720809 SRJ720788:SRO720809 SHN720788:SHS720809 RXR720788:RXW720809 RNV720788:ROA720809 RDZ720788:REE720809 QUD720788:QUI720809 QKH720788:QKM720809 QAL720788:QAQ720809 PQP720788:PQU720809 PGT720788:PGY720809 OWX720788:OXC720809 ONB720788:ONG720809 ODF720788:ODK720809 NTJ720788:NTO720809 NJN720788:NJS720809 MZR720788:MZW720809 MPV720788:MQA720809 MFZ720788:MGE720809 LWD720788:LWI720809 LMH720788:LMM720809 LCL720788:LCQ720809 KSP720788:KSU720809 KIT720788:KIY720809 JYX720788:JZC720809 JPB720788:JPG720809 JFF720788:JFK720809 IVJ720788:IVO720809 ILN720788:ILS720809 IBR720788:IBW720809 HRV720788:HSA720809 HHZ720788:HIE720809 GYD720788:GYI720809 GOH720788:GOM720809 GEL720788:GEQ720809 FUP720788:FUU720809 FKT720788:FKY720809 FAX720788:FBC720809 ERB720788:ERG720809 EHF720788:EHK720809 DXJ720788:DXO720809 DNN720788:DNS720809 DDR720788:DDW720809 CTV720788:CUA720809 CJZ720788:CKE720809 CAD720788:CAI720809 BQH720788:BQM720809 BGL720788:BGQ720809 AWP720788:AWU720809 AMT720788:AMY720809 ACX720788:ADC720809 TB720788:TG720809 JF720788:JK720809 J720788:O720809 WVR655252:WVW655273 WLV655252:WMA655273 WBZ655252:WCE655273 VSD655252:VSI655273 VIH655252:VIM655273 UYL655252:UYQ655273 UOP655252:UOU655273 UET655252:UEY655273 TUX655252:TVC655273 TLB655252:TLG655273 TBF655252:TBK655273 SRJ655252:SRO655273 SHN655252:SHS655273 RXR655252:RXW655273 RNV655252:ROA655273 RDZ655252:REE655273 QUD655252:QUI655273 QKH655252:QKM655273 QAL655252:QAQ655273 PQP655252:PQU655273 PGT655252:PGY655273 OWX655252:OXC655273 ONB655252:ONG655273 ODF655252:ODK655273 NTJ655252:NTO655273 NJN655252:NJS655273 MZR655252:MZW655273 MPV655252:MQA655273 MFZ655252:MGE655273 LWD655252:LWI655273 LMH655252:LMM655273 LCL655252:LCQ655273 KSP655252:KSU655273 KIT655252:KIY655273 JYX655252:JZC655273 JPB655252:JPG655273 JFF655252:JFK655273 IVJ655252:IVO655273 ILN655252:ILS655273 IBR655252:IBW655273 HRV655252:HSA655273 HHZ655252:HIE655273 GYD655252:GYI655273 GOH655252:GOM655273 GEL655252:GEQ655273 FUP655252:FUU655273 FKT655252:FKY655273 FAX655252:FBC655273 ERB655252:ERG655273 EHF655252:EHK655273 DXJ655252:DXO655273 DNN655252:DNS655273 DDR655252:DDW655273 CTV655252:CUA655273 CJZ655252:CKE655273 CAD655252:CAI655273 BQH655252:BQM655273 BGL655252:BGQ655273 AWP655252:AWU655273 AMT655252:AMY655273 ACX655252:ADC655273 TB655252:TG655273 JF655252:JK655273 J655252:O655273 WVR589716:WVW589737 WLV589716:WMA589737 WBZ589716:WCE589737 VSD589716:VSI589737 VIH589716:VIM589737 UYL589716:UYQ589737 UOP589716:UOU589737 UET589716:UEY589737 TUX589716:TVC589737 TLB589716:TLG589737 TBF589716:TBK589737 SRJ589716:SRO589737 SHN589716:SHS589737 RXR589716:RXW589737 RNV589716:ROA589737 RDZ589716:REE589737 QUD589716:QUI589737 QKH589716:QKM589737 QAL589716:QAQ589737 PQP589716:PQU589737 PGT589716:PGY589737 OWX589716:OXC589737 ONB589716:ONG589737 ODF589716:ODK589737 NTJ589716:NTO589737 NJN589716:NJS589737 MZR589716:MZW589737 MPV589716:MQA589737 MFZ589716:MGE589737 LWD589716:LWI589737 LMH589716:LMM589737 LCL589716:LCQ589737 KSP589716:KSU589737 KIT589716:KIY589737 JYX589716:JZC589737 JPB589716:JPG589737 JFF589716:JFK589737 IVJ589716:IVO589737 ILN589716:ILS589737 IBR589716:IBW589737 HRV589716:HSA589737 HHZ589716:HIE589737 GYD589716:GYI589737 GOH589716:GOM589737 GEL589716:GEQ589737 FUP589716:FUU589737 FKT589716:FKY589737 FAX589716:FBC589737 ERB589716:ERG589737 EHF589716:EHK589737 DXJ589716:DXO589737 DNN589716:DNS589737 DDR589716:DDW589737 CTV589716:CUA589737 CJZ589716:CKE589737 CAD589716:CAI589737 BQH589716:BQM589737 BGL589716:BGQ589737 AWP589716:AWU589737 AMT589716:AMY589737 ACX589716:ADC589737 TB589716:TG589737 JF589716:JK589737 J589716:O589737 WVR524180:WVW524201 WLV524180:WMA524201 WBZ524180:WCE524201 VSD524180:VSI524201 VIH524180:VIM524201 UYL524180:UYQ524201 UOP524180:UOU524201 UET524180:UEY524201 TUX524180:TVC524201 TLB524180:TLG524201 TBF524180:TBK524201 SRJ524180:SRO524201 SHN524180:SHS524201 RXR524180:RXW524201 RNV524180:ROA524201 RDZ524180:REE524201 QUD524180:QUI524201 QKH524180:QKM524201 QAL524180:QAQ524201 PQP524180:PQU524201 PGT524180:PGY524201 OWX524180:OXC524201 ONB524180:ONG524201 ODF524180:ODK524201 NTJ524180:NTO524201 NJN524180:NJS524201 MZR524180:MZW524201 MPV524180:MQA524201 MFZ524180:MGE524201 LWD524180:LWI524201 LMH524180:LMM524201 LCL524180:LCQ524201 KSP524180:KSU524201 KIT524180:KIY524201 JYX524180:JZC524201 JPB524180:JPG524201 JFF524180:JFK524201 IVJ524180:IVO524201 ILN524180:ILS524201 IBR524180:IBW524201 HRV524180:HSA524201 HHZ524180:HIE524201 GYD524180:GYI524201 GOH524180:GOM524201 GEL524180:GEQ524201 FUP524180:FUU524201 FKT524180:FKY524201 FAX524180:FBC524201 ERB524180:ERG524201 EHF524180:EHK524201 DXJ524180:DXO524201 DNN524180:DNS524201 DDR524180:DDW524201 CTV524180:CUA524201 CJZ524180:CKE524201 CAD524180:CAI524201 BQH524180:BQM524201 BGL524180:BGQ524201 AWP524180:AWU524201 AMT524180:AMY524201 ACX524180:ADC524201 TB524180:TG524201 JF524180:JK524201 J524180:O524201 WVR458644:WVW458665 WLV458644:WMA458665 WBZ458644:WCE458665 VSD458644:VSI458665 VIH458644:VIM458665 UYL458644:UYQ458665 UOP458644:UOU458665 UET458644:UEY458665 TUX458644:TVC458665 TLB458644:TLG458665 TBF458644:TBK458665 SRJ458644:SRO458665 SHN458644:SHS458665 RXR458644:RXW458665 RNV458644:ROA458665 RDZ458644:REE458665 QUD458644:QUI458665 QKH458644:QKM458665 QAL458644:QAQ458665 PQP458644:PQU458665 PGT458644:PGY458665 OWX458644:OXC458665 ONB458644:ONG458665 ODF458644:ODK458665 NTJ458644:NTO458665 NJN458644:NJS458665 MZR458644:MZW458665 MPV458644:MQA458665 MFZ458644:MGE458665 LWD458644:LWI458665 LMH458644:LMM458665 LCL458644:LCQ458665 KSP458644:KSU458665 KIT458644:KIY458665 JYX458644:JZC458665 JPB458644:JPG458665 JFF458644:JFK458665 IVJ458644:IVO458665 ILN458644:ILS458665 IBR458644:IBW458665 HRV458644:HSA458665 HHZ458644:HIE458665 GYD458644:GYI458665 GOH458644:GOM458665 GEL458644:GEQ458665 FUP458644:FUU458665 FKT458644:FKY458665 FAX458644:FBC458665 ERB458644:ERG458665 EHF458644:EHK458665 DXJ458644:DXO458665 DNN458644:DNS458665 DDR458644:DDW458665 CTV458644:CUA458665 CJZ458644:CKE458665 CAD458644:CAI458665 BQH458644:BQM458665 BGL458644:BGQ458665 AWP458644:AWU458665 AMT458644:AMY458665 ACX458644:ADC458665 TB458644:TG458665 JF458644:JK458665 J458644:O458665 WVR393108:WVW393129 WLV393108:WMA393129 WBZ393108:WCE393129 VSD393108:VSI393129 VIH393108:VIM393129 UYL393108:UYQ393129 UOP393108:UOU393129 UET393108:UEY393129 TUX393108:TVC393129 TLB393108:TLG393129 TBF393108:TBK393129 SRJ393108:SRO393129 SHN393108:SHS393129 RXR393108:RXW393129 RNV393108:ROA393129 RDZ393108:REE393129 QUD393108:QUI393129 QKH393108:QKM393129 QAL393108:QAQ393129 PQP393108:PQU393129 PGT393108:PGY393129 OWX393108:OXC393129 ONB393108:ONG393129 ODF393108:ODK393129 NTJ393108:NTO393129 NJN393108:NJS393129 MZR393108:MZW393129 MPV393108:MQA393129 MFZ393108:MGE393129 LWD393108:LWI393129 LMH393108:LMM393129 LCL393108:LCQ393129 KSP393108:KSU393129 KIT393108:KIY393129 JYX393108:JZC393129 JPB393108:JPG393129 JFF393108:JFK393129 IVJ393108:IVO393129 ILN393108:ILS393129 IBR393108:IBW393129 HRV393108:HSA393129 HHZ393108:HIE393129 GYD393108:GYI393129 GOH393108:GOM393129 GEL393108:GEQ393129 FUP393108:FUU393129 FKT393108:FKY393129 FAX393108:FBC393129 ERB393108:ERG393129 EHF393108:EHK393129 DXJ393108:DXO393129 DNN393108:DNS393129 DDR393108:DDW393129 CTV393108:CUA393129 CJZ393108:CKE393129 CAD393108:CAI393129 BQH393108:BQM393129 BGL393108:BGQ393129 AWP393108:AWU393129 AMT393108:AMY393129 ACX393108:ADC393129 TB393108:TG393129 JF393108:JK393129 J393108:O393129 WVR327572:WVW327593 WLV327572:WMA327593 WBZ327572:WCE327593 VSD327572:VSI327593 VIH327572:VIM327593 UYL327572:UYQ327593 UOP327572:UOU327593 UET327572:UEY327593 TUX327572:TVC327593 TLB327572:TLG327593 TBF327572:TBK327593 SRJ327572:SRO327593 SHN327572:SHS327593 RXR327572:RXW327593 RNV327572:ROA327593 RDZ327572:REE327593 QUD327572:QUI327593 QKH327572:QKM327593 QAL327572:QAQ327593 PQP327572:PQU327593 PGT327572:PGY327593 OWX327572:OXC327593 ONB327572:ONG327593 ODF327572:ODK327593 NTJ327572:NTO327593 NJN327572:NJS327593 MZR327572:MZW327593 MPV327572:MQA327593 MFZ327572:MGE327593 LWD327572:LWI327593 LMH327572:LMM327593 LCL327572:LCQ327593 KSP327572:KSU327593 KIT327572:KIY327593 JYX327572:JZC327593 JPB327572:JPG327593 JFF327572:JFK327593 IVJ327572:IVO327593 ILN327572:ILS327593 IBR327572:IBW327593 HRV327572:HSA327593 HHZ327572:HIE327593 GYD327572:GYI327593 GOH327572:GOM327593 GEL327572:GEQ327593 FUP327572:FUU327593 FKT327572:FKY327593 FAX327572:FBC327593 ERB327572:ERG327593 EHF327572:EHK327593 DXJ327572:DXO327593 DNN327572:DNS327593 DDR327572:DDW327593 CTV327572:CUA327593 CJZ327572:CKE327593 CAD327572:CAI327593 BQH327572:BQM327593 BGL327572:BGQ327593 AWP327572:AWU327593 AMT327572:AMY327593 ACX327572:ADC327593 TB327572:TG327593 JF327572:JK327593 J327572:O327593 WVR262036:WVW262057 WLV262036:WMA262057 WBZ262036:WCE262057 VSD262036:VSI262057 VIH262036:VIM262057 UYL262036:UYQ262057 UOP262036:UOU262057 UET262036:UEY262057 TUX262036:TVC262057 TLB262036:TLG262057 TBF262036:TBK262057 SRJ262036:SRO262057 SHN262036:SHS262057 RXR262036:RXW262057 RNV262036:ROA262057 RDZ262036:REE262057 QUD262036:QUI262057 QKH262036:QKM262057 QAL262036:QAQ262057 PQP262036:PQU262057 PGT262036:PGY262057 OWX262036:OXC262057 ONB262036:ONG262057 ODF262036:ODK262057 NTJ262036:NTO262057 NJN262036:NJS262057 MZR262036:MZW262057 MPV262036:MQA262057 MFZ262036:MGE262057 LWD262036:LWI262057 LMH262036:LMM262057 LCL262036:LCQ262057 KSP262036:KSU262057 KIT262036:KIY262057 JYX262036:JZC262057 JPB262036:JPG262057 JFF262036:JFK262057 IVJ262036:IVO262057 ILN262036:ILS262057 IBR262036:IBW262057 HRV262036:HSA262057 HHZ262036:HIE262057 GYD262036:GYI262057 GOH262036:GOM262057 GEL262036:GEQ262057 FUP262036:FUU262057 FKT262036:FKY262057 FAX262036:FBC262057 ERB262036:ERG262057 EHF262036:EHK262057 DXJ262036:DXO262057 DNN262036:DNS262057 DDR262036:DDW262057 CTV262036:CUA262057 CJZ262036:CKE262057 CAD262036:CAI262057 BQH262036:BQM262057 BGL262036:BGQ262057 AWP262036:AWU262057 AMT262036:AMY262057 ACX262036:ADC262057 TB262036:TG262057 JF262036:JK262057 J262036:O262057 WVR196500:WVW196521 WLV196500:WMA196521 WBZ196500:WCE196521 VSD196500:VSI196521 VIH196500:VIM196521 UYL196500:UYQ196521 UOP196500:UOU196521 UET196500:UEY196521 TUX196500:TVC196521 TLB196500:TLG196521 TBF196500:TBK196521 SRJ196500:SRO196521 SHN196500:SHS196521 RXR196500:RXW196521 RNV196500:ROA196521 RDZ196500:REE196521 QUD196500:QUI196521 QKH196500:QKM196521 QAL196500:QAQ196521 PQP196500:PQU196521 PGT196500:PGY196521 OWX196500:OXC196521 ONB196500:ONG196521 ODF196500:ODK196521 NTJ196500:NTO196521 NJN196500:NJS196521 MZR196500:MZW196521 MPV196500:MQA196521 MFZ196500:MGE196521 LWD196500:LWI196521 LMH196500:LMM196521 LCL196500:LCQ196521 KSP196500:KSU196521 KIT196500:KIY196521 JYX196500:JZC196521 JPB196500:JPG196521 JFF196500:JFK196521 IVJ196500:IVO196521 ILN196500:ILS196521 IBR196500:IBW196521 HRV196500:HSA196521 HHZ196500:HIE196521 GYD196500:GYI196521 GOH196500:GOM196521 GEL196500:GEQ196521 FUP196500:FUU196521 FKT196500:FKY196521 FAX196500:FBC196521 ERB196500:ERG196521 EHF196500:EHK196521 DXJ196500:DXO196521 DNN196500:DNS196521 DDR196500:DDW196521 CTV196500:CUA196521 CJZ196500:CKE196521 CAD196500:CAI196521 BQH196500:BQM196521 BGL196500:BGQ196521 AWP196500:AWU196521 AMT196500:AMY196521 ACX196500:ADC196521 TB196500:TG196521 JF196500:JK196521 J196500:O196521 WVR130964:WVW130985 WLV130964:WMA130985 WBZ130964:WCE130985 VSD130964:VSI130985 VIH130964:VIM130985 UYL130964:UYQ130985 UOP130964:UOU130985 UET130964:UEY130985 TUX130964:TVC130985 TLB130964:TLG130985 TBF130964:TBK130985 SRJ130964:SRO130985 SHN130964:SHS130985 RXR130964:RXW130985 RNV130964:ROA130985 RDZ130964:REE130985 QUD130964:QUI130985 QKH130964:QKM130985 QAL130964:QAQ130985 PQP130964:PQU130985 PGT130964:PGY130985 OWX130964:OXC130985 ONB130964:ONG130985 ODF130964:ODK130985 NTJ130964:NTO130985 NJN130964:NJS130985 MZR130964:MZW130985 MPV130964:MQA130985 MFZ130964:MGE130985 LWD130964:LWI130985 LMH130964:LMM130985 LCL130964:LCQ130985 KSP130964:KSU130985 KIT130964:KIY130985 JYX130964:JZC130985 JPB130964:JPG130985 JFF130964:JFK130985 IVJ130964:IVO130985 ILN130964:ILS130985 IBR130964:IBW130985 HRV130964:HSA130985 HHZ130964:HIE130985 GYD130964:GYI130985 GOH130964:GOM130985 GEL130964:GEQ130985 FUP130964:FUU130985 FKT130964:FKY130985 FAX130964:FBC130985 ERB130964:ERG130985 EHF130964:EHK130985 DXJ130964:DXO130985 DNN130964:DNS130985 DDR130964:DDW130985 CTV130964:CUA130985 CJZ130964:CKE130985 CAD130964:CAI130985 BQH130964:BQM130985 BGL130964:BGQ130985 AWP130964:AWU130985 AMT130964:AMY130985 ACX130964:ADC130985 TB130964:TG130985 JF130964:JK130985 J130964:O130985 WVR65428:WVW65449 WLV65428:WMA65449 WBZ65428:WCE65449 VSD65428:VSI65449 VIH65428:VIM65449 UYL65428:UYQ65449 UOP65428:UOU65449 UET65428:UEY65449 TUX65428:TVC65449 TLB65428:TLG65449 TBF65428:TBK65449 SRJ65428:SRO65449 SHN65428:SHS65449 RXR65428:RXW65449 RNV65428:ROA65449 RDZ65428:REE65449 QUD65428:QUI65449 QKH65428:QKM65449 QAL65428:QAQ65449 PQP65428:PQU65449 PGT65428:PGY65449 OWX65428:OXC65449 ONB65428:ONG65449 ODF65428:ODK65449 NTJ65428:NTO65449 NJN65428:NJS65449 MZR65428:MZW65449 MPV65428:MQA65449 MFZ65428:MGE65449 LWD65428:LWI65449 LMH65428:LMM65449 LCL65428:LCQ65449 KSP65428:KSU65449 KIT65428:KIY65449 JYX65428:JZC65449 JPB65428:JPG65449 JFF65428:JFK65449 IVJ65428:IVO65449 ILN65428:ILS65449 IBR65428:IBW65449 HRV65428:HSA65449 HHZ65428:HIE65449 GYD65428:GYI65449 GOH65428:GOM65449 GEL65428:GEQ65449 FUP65428:FUU65449 FKT65428:FKY65449 FAX65428:FBC65449 ERB65428:ERG65449 EHF65428:EHK65449 DXJ65428:DXO65449 DNN65428:DNS65449 DDR65428:DDW65449 CTV65428:CUA65449 CJZ65428:CKE65449 CAD65428:CAI65449 BQH65428:BQM65449 BGL65428:BGQ65449 AWP65428:AWU65449 AMT65428:AMY65449 ACX65428:ADC65449 TB65428:TG65449 JF65428:JK65449 J65428:O65449 WWF982932:WWM982953 WMJ982932:WMQ982953 WCN982932:WCU982953 VSR982932:VSY982953 VIV982932:VJC982953 UYZ982932:UZG982953 UPD982932:UPK982953 UFH982932:UFO982953 TVL982932:TVS982953 TLP982932:TLW982953 TBT982932:TCA982953 SRX982932:SSE982953 SIB982932:SII982953 RYF982932:RYM982953 ROJ982932:ROQ982953 REN982932:REU982953 QUR982932:QUY982953 QKV982932:QLC982953 QAZ982932:QBG982953 PRD982932:PRK982953 PHH982932:PHO982953 OXL982932:OXS982953 ONP982932:ONW982953 ODT982932:OEA982953 NTX982932:NUE982953 NKB982932:NKI982953 NAF982932:NAM982953 MQJ982932:MQQ982953 MGN982932:MGU982953 LWR982932:LWY982953 LMV982932:LNC982953 LCZ982932:LDG982953 KTD982932:KTK982953 KJH982932:KJO982953 JZL982932:JZS982953 JPP982932:JPW982953 JFT982932:JGA982953 IVX982932:IWE982953 IMB982932:IMI982953 ICF982932:ICM982953 HSJ982932:HSQ982953 HIN982932:HIU982953 GYR982932:GYY982953 GOV982932:GPC982953 GEZ982932:GFG982953 FVD982932:FVK982953 FLH982932:FLO982953 FBL982932:FBS982953 ERP982932:ERW982953 EHT982932:EIA982953 DXX982932:DYE982953 DOB982932:DOI982953 DEF982932:DEM982953 CUJ982932:CUQ982953 CKN982932:CKU982953 CAR982932:CAY982953 BQV982932:BRC982953 BGZ982932:BHG982953 AXD982932:AXK982953 ANH982932:ANO982953 ADL982932:ADS982953 TP982932:TW982953 JT982932:KA982953 X982932:AE982953 WWF917396:WWM917417 WMJ917396:WMQ917417 WCN917396:WCU917417 VSR917396:VSY917417 VIV917396:VJC917417 UYZ917396:UZG917417 UPD917396:UPK917417 UFH917396:UFO917417 TVL917396:TVS917417 TLP917396:TLW917417 TBT917396:TCA917417 SRX917396:SSE917417 SIB917396:SII917417 RYF917396:RYM917417 ROJ917396:ROQ917417 REN917396:REU917417 QUR917396:QUY917417 QKV917396:QLC917417 QAZ917396:QBG917417 PRD917396:PRK917417 PHH917396:PHO917417 OXL917396:OXS917417 ONP917396:ONW917417 ODT917396:OEA917417 NTX917396:NUE917417 NKB917396:NKI917417 NAF917396:NAM917417 MQJ917396:MQQ917417 MGN917396:MGU917417 LWR917396:LWY917417 LMV917396:LNC917417 LCZ917396:LDG917417 KTD917396:KTK917417 KJH917396:KJO917417 JZL917396:JZS917417 JPP917396:JPW917417 JFT917396:JGA917417 IVX917396:IWE917417 IMB917396:IMI917417 ICF917396:ICM917417 HSJ917396:HSQ917417 HIN917396:HIU917417 GYR917396:GYY917417 GOV917396:GPC917417 GEZ917396:GFG917417 FVD917396:FVK917417 FLH917396:FLO917417 FBL917396:FBS917417 ERP917396:ERW917417 EHT917396:EIA917417 DXX917396:DYE917417 DOB917396:DOI917417 DEF917396:DEM917417 CUJ917396:CUQ917417 CKN917396:CKU917417 CAR917396:CAY917417 BQV917396:BRC917417 BGZ917396:BHG917417 AXD917396:AXK917417 ANH917396:ANO917417 ADL917396:ADS917417 TP917396:TW917417 JT917396:KA917417 X917396:AE917417 WWF851860:WWM851881 WMJ851860:WMQ851881 WCN851860:WCU851881 VSR851860:VSY851881 VIV851860:VJC851881 UYZ851860:UZG851881 UPD851860:UPK851881 UFH851860:UFO851881 TVL851860:TVS851881 TLP851860:TLW851881 TBT851860:TCA851881 SRX851860:SSE851881 SIB851860:SII851881 RYF851860:RYM851881 ROJ851860:ROQ851881 REN851860:REU851881 QUR851860:QUY851881 QKV851860:QLC851881 QAZ851860:QBG851881 PRD851860:PRK851881 PHH851860:PHO851881 OXL851860:OXS851881 ONP851860:ONW851881 ODT851860:OEA851881 NTX851860:NUE851881 NKB851860:NKI851881 NAF851860:NAM851881 MQJ851860:MQQ851881 MGN851860:MGU851881 LWR851860:LWY851881 LMV851860:LNC851881 LCZ851860:LDG851881 KTD851860:KTK851881 KJH851860:KJO851881 JZL851860:JZS851881 JPP851860:JPW851881 JFT851860:JGA851881 IVX851860:IWE851881 IMB851860:IMI851881 ICF851860:ICM851881 HSJ851860:HSQ851881 HIN851860:HIU851881 GYR851860:GYY851881 GOV851860:GPC851881 GEZ851860:GFG851881 FVD851860:FVK851881 FLH851860:FLO851881 FBL851860:FBS851881 ERP851860:ERW851881 EHT851860:EIA851881 DXX851860:DYE851881 DOB851860:DOI851881 DEF851860:DEM851881 CUJ851860:CUQ851881 CKN851860:CKU851881 CAR851860:CAY851881 BQV851860:BRC851881 BGZ851860:BHG851881 AXD851860:AXK851881 ANH851860:ANO851881 ADL851860:ADS851881 TP851860:TW851881 JT851860:KA851881 X851860:AE851881 WWF786324:WWM786345 WMJ786324:WMQ786345 WCN786324:WCU786345 VSR786324:VSY786345 VIV786324:VJC786345 UYZ786324:UZG786345 UPD786324:UPK786345 UFH786324:UFO786345 TVL786324:TVS786345 TLP786324:TLW786345 TBT786324:TCA786345 SRX786324:SSE786345 SIB786324:SII786345 RYF786324:RYM786345 ROJ786324:ROQ786345 REN786324:REU786345 QUR786324:QUY786345 QKV786324:QLC786345 QAZ786324:QBG786345 PRD786324:PRK786345 PHH786324:PHO786345 OXL786324:OXS786345 ONP786324:ONW786345 ODT786324:OEA786345 NTX786324:NUE786345 NKB786324:NKI786345 NAF786324:NAM786345 MQJ786324:MQQ786345 MGN786324:MGU786345 LWR786324:LWY786345 LMV786324:LNC786345 LCZ786324:LDG786345 KTD786324:KTK786345 KJH786324:KJO786345 JZL786324:JZS786345 JPP786324:JPW786345 JFT786324:JGA786345 IVX786324:IWE786345 IMB786324:IMI786345 ICF786324:ICM786345 HSJ786324:HSQ786345 HIN786324:HIU786345 GYR786324:GYY786345 GOV786324:GPC786345 GEZ786324:GFG786345 FVD786324:FVK786345 FLH786324:FLO786345 FBL786324:FBS786345 ERP786324:ERW786345 EHT786324:EIA786345 DXX786324:DYE786345 DOB786324:DOI786345 DEF786324:DEM786345 CUJ786324:CUQ786345 CKN786324:CKU786345 CAR786324:CAY786345 BQV786324:BRC786345 BGZ786324:BHG786345 AXD786324:AXK786345 ANH786324:ANO786345 ADL786324:ADS786345 TP786324:TW786345 JT786324:KA786345 X786324:AE786345 WWF720788:WWM720809 WMJ720788:WMQ720809 WCN720788:WCU720809 VSR720788:VSY720809 VIV720788:VJC720809 UYZ720788:UZG720809 UPD720788:UPK720809 UFH720788:UFO720809 TVL720788:TVS720809 TLP720788:TLW720809 TBT720788:TCA720809 SRX720788:SSE720809 SIB720788:SII720809 RYF720788:RYM720809 ROJ720788:ROQ720809 REN720788:REU720809 QUR720788:QUY720809 QKV720788:QLC720809 QAZ720788:QBG720809 PRD720788:PRK720809 PHH720788:PHO720809 OXL720788:OXS720809 ONP720788:ONW720809 ODT720788:OEA720809 NTX720788:NUE720809 NKB720788:NKI720809 NAF720788:NAM720809 MQJ720788:MQQ720809 MGN720788:MGU720809 LWR720788:LWY720809 LMV720788:LNC720809 LCZ720788:LDG720809 KTD720788:KTK720809 KJH720788:KJO720809 JZL720788:JZS720809 JPP720788:JPW720809 JFT720788:JGA720809 IVX720788:IWE720809 IMB720788:IMI720809 ICF720788:ICM720809 HSJ720788:HSQ720809 HIN720788:HIU720809 GYR720788:GYY720809 GOV720788:GPC720809 GEZ720788:GFG720809 FVD720788:FVK720809 FLH720788:FLO720809 FBL720788:FBS720809 ERP720788:ERW720809 EHT720788:EIA720809 DXX720788:DYE720809 DOB720788:DOI720809 DEF720788:DEM720809 CUJ720788:CUQ720809 CKN720788:CKU720809 CAR720788:CAY720809 BQV720788:BRC720809 BGZ720788:BHG720809 AXD720788:AXK720809 ANH720788:ANO720809 ADL720788:ADS720809 TP720788:TW720809 JT720788:KA720809 X720788:AE720809 WWF655252:WWM655273 WMJ655252:WMQ655273 WCN655252:WCU655273 VSR655252:VSY655273 VIV655252:VJC655273 UYZ655252:UZG655273 UPD655252:UPK655273 UFH655252:UFO655273 TVL655252:TVS655273 TLP655252:TLW655273 TBT655252:TCA655273 SRX655252:SSE655273 SIB655252:SII655273 RYF655252:RYM655273 ROJ655252:ROQ655273 REN655252:REU655273 QUR655252:QUY655273 QKV655252:QLC655273 QAZ655252:QBG655273 PRD655252:PRK655273 PHH655252:PHO655273 OXL655252:OXS655273 ONP655252:ONW655273 ODT655252:OEA655273 NTX655252:NUE655273 NKB655252:NKI655273 NAF655252:NAM655273 MQJ655252:MQQ655273 MGN655252:MGU655273 LWR655252:LWY655273 LMV655252:LNC655273 LCZ655252:LDG655273 KTD655252:KTK655273 KJH655252:KJO655273 JZL655252:JZS655273 JPP655252:JPW655273 JFT655252:JGA655273 IVX655252:IWE655273 IMB655252:IMI655273 ICF655252:ICM655273 HSJ655252:HSQ655273 HIN655252:HIU655273 GYR655252:GYY655273 GOV655252:GPC655273 GEZ655252:GFG655273 FVD655252:FVK655273 FLH655252:FLO655273 FBL655252:FBS655273 ERP655252:ERW655273 EHT655252:EIA655273 DXX655252:DYE655273 DOB655252:DOI655273 DEF655252:DEM655273 CUJ655252:CUQ655273 CKN655252:CKU655273 CAR655252:CAY655273 BQV655252:BRC655273 BGZ655252:BHG655273 AXD655252:AXK655273 ANH655252:ANO655273 ADL655252:ADS655273 TP655252:TW655273 JT655252:KA655273 X655252:AE655273 WWF589716:WWM589737 WMJ589716:WMQ589737 WCN589716:WCU589737 VSR589716:VSY589737 VIV589716:VJC589737 UYZ589716:UZG589737 UPD589716:UPK589737 UFH589716:UFO589737 TVL589716:TVS589737 TLP589716:TLW589737 TBT589716:TCA589737 SRX589716:SSE589737 SIB589716:SII589737 RYF589716:RYM589737 ROJ589716:ROQ589737 REN589716:REU589737 QUR589716:QUY589737 QKV589716:QLC589737 QAZ589716:QBG589737 PRD589716:PRK589737 PHH589716:PHO589737 OXL589716:OXS589737 ONP589716:ONW589737 ODT589716:OEA589737 NTX589716:NUE589737 NKB589716:NKI589737 NAF589716:NAM589737 MQJ589716:MQQ589737 MGN589716:MGU589737 LWR589716:LWY589737 LMV589716:LNC589737 LCZ589716:LDG589737 KTD589716:KTK589737 KJH589716:KJO589737 JZL589716:JZS589737 JPP589716:JPW589737 JFT589716:JGA589737 IVX589716:IWE589737 IMB589716:IMI589737 ICF589716:ICM589737 HSJ589716:HSQ589737 HIN589716:HIU589737 GYR589716:GYY589737 GOV589716:GPC589737 GEZ589716:GFG589737 FVD589716:FVK589737 FLH589716:FLO589737 FBL589716:FBS589737 ERP589716:ERW589737 EHT589716:EIA589737 DXX589716:DYE589737 DOB589716:DOI589737 DEF589716:DEM589737 CUJ589716:CUQ589737 CKN589716:CKU589737 CAR589716:CAY589737 BQV589716:BRC589737 BGZ589716:BHG589737 AXD589716:AXK589737 ANH589716:ANO589737 ADL589716:ADS589737 TP589716:TW589737 JT589716:KA589737 X589716:AE589737 WWF524180:WWM524201 WMJ524180:WMQ524201 WCN524180:WCU524201 VSR524180:VSY524201 VIV524180:VJC524201 UYZ524180:UZG524201 UPD524180:UPK524201 UFH524180:UFO524201 TVL524180:TVS524201 TLP524180:TLW524201 TBT524180:TCA524201 SRX524180:SSE524201 SIB524180:SII524201 RYF524180:RYM524201 ROJ524180:ROQ524201 REN524180:REU524201 QUR524180:QUY524201 QKV524180:QLC524201 QAZ524180:QBG524201 PRD524180:PRK524201 PHH524180:PHO524201 OXL524180:OXS524201 ONP524180:ONW524201 ODT524180:OEA524201 NTX524180:NUE524201 NKB524180:NKI524201 NAF524180:NAM524201 MQJ524180:MQQ524201 MGN524180:MGU524201 LWR524180:LWY524201 LMV524180:LNC524201 LCZ524180:LDG524201 KTD524180:KTK524201 KJH524180:KJO524201 JZL524180:JZS524201 JPP524180:JPW524201 JFT524180:JGA524201 IVX524180:IWE524201 IMB524180:IMI524201 ICF524180:ICM524201 HSJ524180:HSQ524201 HIN524180:HIU524201 GYR524180:GYY524201 GOV524180:GPC524201 GEZ524180:GFG524201 FVD524180:FVK524201 FLH524180:FLO524201 FBL524180:FBS524201 ERP524180:ERW524201 EHT524180:EIA524201 DXX524180:DYE524201 DOB524180:DOI524201 DEF524180:DEM524201 CUJ524180:CUQ524201 CKN524180:CKU524201 CAR524180:CAY524201 BQV524180:BRC524201 BGZ524180:BHG524201 AXD524180:AXK524201 ANH524180:ANO524201 ADL524180:ADS524201 TP524180:TW524201 JT524180:KA524201 X524180:AE524201 WWF458644:WWM458665 WMJ458644:WMQ458665 WCN458644:WCU458665 VSR458644:VSY458665 VIV458644:VJC458665 UYZ458644:UZG458665 UPD458644:UPK458665 UFH458644:UFO458665 TVL458644:TVS458665 TLP458644:TLW458665 TBT458644:TCA458665 SRX458644:SSE458665 SIB458644:SII458665 RYF458644:RYM458665 ROJ458644:ROQ458665 REN458644:REU458665 QUR458644:QUY458665 QKV458644:QLC458665 QAZ458644:QBG458665 PRD458644:PRK458665 PHH458644:PHO458665 OXL458644:OXS458665 ONP458644:ONW458665 ODT458644:OEA458665 NTX458644:NUE458665 NKB458644:NKI458665 NAF458644:NAM458665 MQJ458644:MQQ458665 MGN458644:MGU458665 LWR458644:LWY458665 LMV458644:LNC458665 LCZ458644:LDG458665 KTD458644:KTK458665 KJH458644:KJO458665 JZL458644:JZS458665 JPP458644:JPW458665 JFT458644:JGA458665 IVX458644:IWE458665 IMB458644:IMI458665 ICF458644:ICM458665 HSJ458644:HSQ458665 HIN458644:HIU458665 GYR458644:GYY458665 GOV458644:GPC458665 GEZ458644:GFG458665 FVD458644:FVK458665 FLH458644:FLO458665 FBL458644:FBS458665 ERP458644:ERW458665 EHT458644:EIA458665 DXX458644:DYE458665 DOB458644:DOI458665 DEF458644:DEM458665 CUJ458644:CUQ458665 CKN458644:CKU458665 CAR458644:CAY458665 BQV458644:BRC458665 BGZ458644:BHG458665 AXD458644:AXK458665 ANH458644:ANO458665 ADL458644:ADS458665 TP458644:TW458665 JT458644:KA458665 X458644:AE458665 WWF393108:WWM393129 WMJ393108:WMQ393129 WCN393108:WCU393129 VSR393108:VSY393129 VIV393108:VJC393129 UYZ393108:UZG393129 UPD393108:UPK393129 UFH393108:UFO393129 TVL393108:TVS393129 TLP393108:TLW393129 TBT393108:TCA393129 SRX393108:SSE393129 SIB393108:SII393129 RYF393108:RYM393129 ROJ393108:ROQ393129 REN393108:REU393129 QUR393108:QUY393129 QKV393108:QLC393129 QAZ393108:QBG393129 PRD393108:PRK393129 PHH393108:PHO393129 OXL393108:OXS393129 ONP393108:ONW393129 ODT393108:OEA393129 NTX393108:NUE393129 NKB393108:NKI393129 NAF393108:NAM393129 MQJ393108:MQQ393129 MGN393108:MGU393129 LWR393108:LWY393129 LMV393108:LNC393129 LCZ393108:LDG393129 KTD393108:KTK393129 KJH393108:KJO393129 JZL393108:JZS393129 JPP393108:JPW393129 JFT393108:JGA393129 IVX393108:IWE393129 IMB393108:IMI393129 ICF393108:ICM393129 HSJ393108:HSQ393129 HIN393108:HIU393129 GYR393108:GYY393129 GOV393108:GPC393129 GEZ393108:GFG393129 FVD393108:FVK393129 FLH393108:FLO393129 FBL393108:FBS393129 ERP393108:ERW393129 EHT393108:EIA393129 DXX393108:DYE393129 DOB393108:DOI393129 DEF393108:DEM393129 CUJ393108:CUQ393129 CKN393108:CKU393129 CAR393108:CAY393129 BQV393108:BRC393129 BGZ393108:BHG393129 AXD393108:AXK393129 ANH393108:ANO393129 ADL393108:ADS393129 TP393108:TW393129 JT393108:KA393129 X393108:AE393129 WWF327572:WWM327593 WMJ327572:WMQ327593 WCN327572:WCU327593 VSR327572:VSY327593 VIV327572:VJC327593 UYZ327572:UZG327593 UPD327572:UPK327593 UFH327572:UFO327593 TVL327572:TVS327593 TLP327572:TLW327593 TBT327572:TCA327593 SRX327572:SSE327593 SIB327572:SII327593 RYF327572:RYM327593 ROJ327572:ROQ327593 REN327572:REU327593 QUR327572:QUY327593 QKV327572:QLC327593 QAZ327572:QBG327593 PRD327572:PRK327593 PHH327572:PHO327593 OXL327572:OXS327593 ONP327572:ONW327593 ODT327572:OEA327593 NTX327572:NUE327593 NKB327572:NKI327593 NAF327572:NAM327593 MQJ327572:MQQ327593 MGN327572:MGU327593 LWR327572:LWY327593 LMV327572:LNC327593 LCZ327572:LDG327593 KTD327572:KTK327593 KJH327572:KJO327593 JZL327572:JZS327593 JPP327572:JPW327593 JFT327572:JGA327593 IVX327572:IWE327593 IMB327572:IMI327593 ICF327572:ICM327593 HSJ327572:HSQ327593 HIN327572:HIU327593 GYR327572:GYY327593 GOV327572:GPC327593 GEZ327572:GFG327593 FVD327572:FVK327593 FLH327572:FLO327593 FBL327572:FBS327593 ERP327572:ERW327593 EHT327572:EIA327593 DXX327572:DYE327593 DOB327572:DOI327593 DEF327572:DEM327593 CUJ327572:CUQ327593 CKN327572:CKU327593 CAR327572:CAY327593 BQV327572:BRC327593 BGZ327572:BHG327593 AXD327572:AXK327593 ANH327572:ANO327593 ADL327572:ADS327593 TP327572:TW327593 JT327572:KA327593 X327572:AE327593 WWF262036:WWM262057 WMJ262036:WMQ262057 WCN262036:WCU262057 VSR262036:VSY262057 VIV262036:VJC262057 UYZ262036:UZG262057 UPD262036:UPK262057 UFH262036:UFO262057 TVL262036:TVS262057 TLP262036:TLW262057 TBT262036:TCA262057 SRX262036:SSE262057 SIB262036:SII262057 RYF262036:RYM262057 ROJ262036:ROQ262057 REN262036:REU262057 QUR262036:QUY262057 QKV262036:QLC262057 QAZ262036:QBG262057 PRD262036:PRK262057 PHH262036:PHO262057 OXL262036:OXS262057 ONP262036:ONW262057 ODT262036:OEA262057 NTX262036:NUE262057 NKB262036:NKI262057 NAF262036:NAM262057 MQJ262036:MQQ262057 MGN262036:MGU262057 LWR262036:LWY262057 LMV262036:LNC262057 LCZ262036:LDG262057 KTD262036:KTK262057 KJH262036:KJO262057 JZL262036:JZS262057 JPP262036:JPW262057 JFT262036:JGA262057 IVX262036:IWE262057 IMB262036:IMI262057 ICF262036:ICM262057 HSJ262036:HSQ262057 HIN262036:HIU262057 GYR262036:GYY262057 GOV262036:GPC262057 GEZ262036:GFG262057 FVD262036:FVK262057 FLH262036:FLO262057 FBL262036:FBS262057 ERP262036:ERW262057 EHT262036:EIA262057 DXX262036:DYE262057 DOB262036:DOI262057 DEF262036:DEM262057 CUJ262036:CUQ262057 CKN262036:CKU262057 CAR262036:CAY262057 BQV262036:BRC262057 BGZ262036:BHG262057 AXD262036:AXK262057 ANH262036:ANO262057 ADL262036:ADS262057 TP262036:TW262057 JT262036:KA262057 X262036:AE262057 WWF196500:WWM196521 WMJ196500:WMQ196521 WCN196500:WCU196521 VSR196500:VSY196521 VIV196500:VJC196521 UYZ196500:UZG196521 UPD196500:UPK196521 UFH196500:UFO196521 TVL196500:TVS196521 TLP196500:TLW196521 TBT196500:TCA196521 SRX196500:SSE196521 SIB196500:SII196521 RYF196500:RYM196521 ROJ196500:ROQ196521 REN196500:REU196521 QUR196500:QUY196521 QKV196500:QLC196521 QAZ196500:QBG196521 PRD196500:PRK196521 PHH196500:PHO196521 OXL196500:OXS196521 ONP196500:ONW196521 ODT196500:OEA196521 NTX196500:NUE196521 NKB196500:NKI196521 NAF196500:NAM196521 MQJ196500:MQQ196521 MGN196500:MGU196521 LWR196500:LWY196521 LMV196500:LNC196521 LCZ196500:LDG196521 KTD196500:KTK196521 KJH196500:KJO196521 JZL196500:JZS196521 JPP196500:JPW196521 JFT196500:JGA196521 IVX196500:IWE196521 IMB196500:IMI196521 ICF196500:ICM196521 HSJ196500:HSQ196521 HIN196500:HIU196521 GYR196500:GYY196521 GOV196500:GPC196521 GEZ196500:GFG196521 FVD196500:FVK196521 FLH196500:FLO196521 FBL196500:FBS196521 ERP196500:ERW196521 EHT196500:EIA196521 DXX196500:DYE196521 DOB196500:DOI196521 DEF196500:DEM196521 CUJ196500:CUQ196521 CKN196500:CKU196521 CAR196500:CAY196521 BQV196500:BRC196521 BGZ196500:BHG196521 AXD196500:AXK196521 ANH196500:ANO196521 ADL196500:ADS196521 TP196500:TW196521 JT196500:KA196521 X196500:AE196521 WWF130964:WWM130985 WMJ130964:WMQ130985 WCN130964:WCU130985 VSR130964:VSY130985 VIV130964:VJC130985 UYZ130964:UZG130985 UPD130964:UPK130985 UFH130964:UFO130985 TVL130964:TVS130985 TLP130964:TLW130985 TBT130964:TCA130985 SRX130964:SSE130985 SIB130964:SII130985 RYF130964:RYM130985 ROJ130964:ROQ130985 REN130964:REU130985 QUR130964:QUY130985 QKV130964:QLC130985 QAZ130964:QBG130985 PRD130964:PRK130985 PHH130964:PHO130985 OXL130964:OXS130985 ONP130964:ONW130985 ODT130964:OEA130985 NTX130964:NUE130985 NKB130964:NKI130985 NAF130964:NAM130985 MQJ130964:MQQ130985 MGN130964:MGU130985 LWR130964:LWY130985 LMV130964:LNC130985 LCZ130964:LDG130985 KTD130964:KTK130985 KJH130964:KJO130985 JZL130964:JZS130985 JPP130964:JPW130985 JFT130964:JGA130985 IVX130964:IWE130985 IMB130964:IMI130985 ICF130964:ICM130985 HSJ130964:HSQ130985 HIN130964:HIU130985 GYR130964:GYY130985 GOV130964:GPC130985 GEZ130964:GFG130985 FVD130964:FVK130985 FLH130964:FLO130985 FBL130964:FBS130985 ERP130964:ERW130985 EHT130964:EIA130985 DXX130964:DYE130985 DOB130964:DOI130985 DEF130964:DEM130985 CUJ130964:CUQ130985 CKN130964:CKU130985 CAR130964:CAY130985 BQV130964:BRC130985 BGZ130964:BHG130985 AXD130964:AXK130985 ANH130964:ANO130985 ADL130964:ADS130985 TP130964:TW130985 JT130964:KA130985 X130964:AE130985 WWF65428:WWM65449 WMJ65428:WMQ65449 WCN65428:WCU65449 VSR65428:VSY65449 VIV65428:VJC65449 UYZ65428:UZG65449 UPD65428:UPK65449 UFH65428:UFO65449 TVL65428:TVS65449 TLP65428:TLW65449 TBT65428:TCA65449 SRX65428:SSE65449 SIB65428:SII65449 RYF65428:RYM65449 ROJ65428:ROQ65449 REN65428:REU65449 QUR65428:QUY65449 QKV65428:QLC65449 QAZ65428:QBG65449 PRD65428:PRK65449 PHH65428:PHO65449 OXL65428:OXS65449 ONP65428:ONW65449 ODT65428:OEA65449 NTX65428:NUE65449 NKB65428:NKI65449 NAF65428:NAM65449 MQJ65428:MQQ65449 MGN65428:MGU65449 LWR65428:LWY65449 LMV65428:LNC65449 LCZ65428:LDG65449 KTD65428:KTK65449 KJH65428:KJO65449 JZL65428:JZS65449 JPP65428:JPW65449 JFT65428:JGA65449 IVX65428:IWE65449 IMB65428:IMI65449 ICF65428:ICM65449 HSJ65428:HSQ65449 HIN65428:HIU65449 GYR65428:GYY65449 GOV65428:GPC65449 GEZ65428:GFG65449 FVD65428:FVK65449 FLH65428:FLO65449 FBL65428:FBS65449 ERP65428:ERW65449 EHT65428:EIA65449 DXX65428:DYE65449 DOB65428:DOI65449 DEF65428:DEM65449 CUJ65428:CUQ65449 CKN65428:CKU65449 CAR65428:CAY65449 BQV65428:BRC65449 BGZ65428:BHG65449 AXD65428:AXK65449 ANH65428:ANO65449 ADL65428:ADS65449 TP65428:TW65449 JT65428:KA65449 X65428:AE65449" xr:uid="{C8C3ED1E-E5CC-4487-A42A-C5673A97D81B}">
      <formula1>#REF!</formula1>
    </dataValidation>
  </dataValidations>
  <pageMargins left="0.7" right="0.7" top="0.75" bottom="0.75" header="0.3" footer="0.3"/>
  <pageSetup paperSize="9" scale="2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C47F-A432-4FE1-87DC-DA820E87D824}">
  <sheetPr>
    <pageSetUpPr fitToPage="1"/>
  </sheetPr>
  <dimension ref="A1:DD33"/>
  <sheetViews>
    <sheetView showGridLines="0" view="pageBreakPreview" zoomScale="85" zoomScaleNormal="70" zoomScaleSheetLayoutView="85" workbookViewId="0">
      <selection sqref="A1:M1"/>
    </sheetView>
  </sheetViews>
  <sheetFormatPr defaultColWidth="2.54296875" defaultRowHeight="15"/>
  <cols>
    <col min="1" max="10" width="2.54296875" style="691" customWidth="1"/>
    <col min="11" max="16" width="3.26953125" style="691" customWidth="1"/>
    <col min="17" max="54" width="2.54296875" style="691" customWidth="1"/>
    <col min="55" max="16384" width="2.54296875" style="691"/>
  </cols>
  <sheetData>
    <row r="1" spans="1:108" ht="13.75" customHeight="1">
      <c r="A1" s="967" t="s">
        <v>520</v>
      </c>
      <c r="B1" s="967"/>
      <c r="C1" s="967"/>
      <c r="D1" s="967"/>
      <c r="E1" s="967"/>
      <c r="F1" s="967"/>
      <c r="G1" s="967"/>
      <c r="H1" s="967"/>
      <c r="I1" s="967"/>
      <c r="J1" s="967"/>
      <c r="K1" s="967"/>
      <c r="L1" s="967"/>
      <c r="M1" s="967"/>
      <c r="N1" s="692"/>
      <c r="O1" s="692"/>
      <c r="P1" s="692"/>
      <c r="Q1" s="692"/>
      <c r="R1" s="692"/>
      <c r="S1" s="692"/>
      <c r="T1" s="692"/>
      <c r="U1" s="692"/>
      <c r="V1" s="692"/>
      <c r="W1" s="692"/>
      <c r="X1" s="692"/>
      <c r="Y1" s="692"/>
      <c r="Z1" s="692"/>
      <c r="AA1" s="692"/>
      <c r="AB1" s="692"/>
      <c r="AC1" s="692"/>
      <c r="AD1" s="692"/>
    </row>
    <row r="2" spans="1:108" ht="13.75" customHeight="1">
      <c r="A2" s="968" t="s">
        <v>521</v>
      </c>
      <c r="B2" s="943"/>
      <c r="C2" s="943"/>
      <c r="D2" s="943"/>
      <c r="E2" s="943"/>
      <c r="F2" s="943"/>
      <c r="G2" s="943"/>
      <c r="H2" s="943"/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3"/>
      <c r="X2" s="943"/>
      <c r="Y2" s="943"/>
      <c r="Z2" s="943"/>
      <c r="AA2" s="943"/>
      <c r="AB2" s="943"/>
      <c r="AC2" s="943"/>
    </row>
    <row r="3" spans="1:108" ht="13.75" customHeight="1">
      <c r="A3" s="943"/>
      <c r="B3" s="943"/>
      <c r="C3" s="943"/>
      <c r="D3" s="943"/>
      <c r="E3" s="943"/>
      <c r="F3" s="943"/>
      <c r="G3" s="943"/>
      <c r="H3" s="943"/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3"/>
      <c r="V3" s="943"/>
      <c r="W3" s="943"/>
      <c r="X3" s="943"/>
      <c r="Y3" s="943"/>
      <c r="Z3" s="943"/>
      <c r="AA3" s="943"/>
      <c r="AB3" s="943"/>
      <c r="AC3" s="943"/>
    </row>
    <row r="5" spans="1:108">
      <c r="B5" s="693" t="s">
        <v>522</v>
      </c>
    </row>
    <row r="7" spans="1:108">
      <c r="C7" s="693" t="s">
        <v>523</v>
      </c>
    </row>
    <row r="8" spans="1:108">
      <c r="C8" s="693"/>
    </row>
    <row r="9" spans="1:108">
      <c r="D9" s="691" t="s">
        <v>524</v>
      </c>
    </row>
    <row r="10" spans="1:108" ht="15.75" customHeight="1">
      <c r="D10" s="965" t="s">
        <v>525</v>
      </c>
      <c r="E10" s="965"/>
      <c r="F10" s="965"/>
      <c r="G10" s="965"/>
      <c r="H10" s="965"/>
      <c r="I10" s="965"/>
      <c r="J10" s="965"/>
      <c r="K10" s="965" t="s">
        <v>357</v>
      </c>
      <c r="L10" s="965"/>
      <c r="M10" s="965"/>
      <c r="N10" s="965"/>
      <c r="O10" s="965"/>
      <c r="P10" s="965"/>
      <c r="Q10" s="965"/>
      <c r="R10" s="965" t="s">
        <v>526</v>
      </c>
      <c r="S10" s="965"/>
      <c r="T10" s="965"/>
      <c r="U10" s="965"/>
      <c r="V10" s="965"/>
      <c r="W10" s="965"/>
      <c r="X10" s="965"/>
      <c r="Y10" s="965" t="s">
        <v>527</v>
      </c>
      <c r="Z10" s="965"/>
      <c r="AA10" s="965"/>
      <c r="AB10" s="965"/>
      <c r="AC10" s="965"/>
      <c r="AD10" s="965"/>
      <c r="AE10" s="965"/>
      <c r="AF10" s="965" t="s">
        <v>528</v>
      </c>
      <c r="AG10" s="965"/>
      <c r="AH10" s="965"/>
      <c r="AI10" s="965"/>
      <c r="AJ10" s="965"/>
      <c r="AK10" s="965"/>
      <c r="AL10" s="965"/>
      <c r="AM10" s="965" t="s">
        <v>529</v>
      </c>
      <c r="AN10" s="965"/>
      <c r="AO10" s="965"/>
      <c r="AP10" s="965"/>
      <c r="AQ10" s="965"/>
      <c r="AR10" s="965"/>
      <c r="AS10" s="965"/>
      <c r="AT10" s="966" t="s">
        <v>530</v>
      </c>
      <c r="AU10" s="966"/>
      <c r="AV10" s="966"/>
      <c r="AW10" s="966"/>
      <c r="AX10" s="966"/>
      <c r="AY10" s="966"/>
      <c r="AZ10" s="966"/>
      <c r="BA10" s="965" t="s">
        <v>531</v>
      </c>
      <c r="BB10" s="965"/>
      <c r="BC10" s="965"/>
      <c r="BD10" s="965"/>
      <c r="BE10" s="965"/>
      <c r="BF10" s="965"/>
      <c r="BG10" s="965"/>
      <c r="BH10" s="965" t="s">
        <v>532</v>
      </c>
      <c r="BI10" s="965"/>
      <c r="BJ10" s="965"/>
      <c r="BK10" s="965"/>
      <c r="BL10" s="965"/>
      <c r="BM10" s="965"/>
      <c r="BN10" s="965"/>
      <c r="BO10" s="965" t="s">
        <v>533</v>
      </c>
      <c r="BP10" s="965"/>
      <c r="BQ10" s="965"/>
      <c r="BR10" s="965"/>
      <c r="BS10" s="965"/>
      <c r="BT10" s="965"/>
      <c r="BU10" s="965"/>
      <c r="BV10" s="965" t="s">
        <v>534</v>
      </c>
      <c r="BW10" s="965"/>
      <c r="BX10" s="965"/>
      <c r="BY10" s="965"/>
      <c r="BZ10" s="965"/>
      <c r="CA10" s="965"/>
      <c r="CB10" s="965"/>
      <c r="CC10" s="965" t="s">
        <v>535</v>
      </c>
      <c r="CD10" s="965"/>
      <c r="CE10" s="965"/>
      <c r="CF10" s="965"/>
      <c r="CG10" s="965"/>
      <c r="CH10" s="965"/>
      <c r="CI10" s="965"/>
      <c r="CJ10" s="965" t="s">
        <v>536</v>
      </c>
      <c r="CK10" s="965"/>
      <c r="CL10" s="965"/>
      <c r="CM10" s="965"/>
      <c r="CN10" s="965"/>
      <c r="CO10" s="965"/>
      <c r="CP10" s="965"/>
      <c r="CQ10" s="965" t="s">
        <v>537</v>
      </c>
      <c r="CR10" s="965"/>
      <c r="CS10" s="965"/>
      <c r="CT10" s="965"/>
      <c r="CU10" s="965"/>
      <c r="CV10" s="965"/>
      <c r="CW10" s="965"/>
      <c r="CX10" s="965" t="s">
        <v>538</v>
      </c>
      <c r="CY10" s="965"/>
      <c r="CZ10" s="965"/>
      <c r="DA10" s="965"/>
      <c r="DB10" s="965"/>
      <c r="DC10" s="965"/>
      <c r="DD10" s="965"/>
    </row>
    <row r="11" spans="1:108" ht="15.75" customHeight="1">
      <c r="D11" s="957" t="s">
        <v>539</v>
      </c>
      <c r="E11" s="957"/>
      <c r="F11" s="957"/>
      <c r="G11" s="957"/>
      <c r="H11" s="957"/>
      <c r="I11" s="957"/>
      <c r="J11" s="957"/>
      <c r="K11" s="957" t="s">
        <v>540</v>
      </c>
      <c r="L11" s="957"/>
      <c r="M11" s="957"/>
      <c r="N11" s="957"/>
      <c r="O11" s="957"/>
      <c r="P11" s="957"/>
      <c r="Q11" s="957"/>
      <c r="R11" s="957" t="s">
        <v>541</v>
      </c>
      <c r="S11" s="957"/>
      <c r="T11" s="957"/>
      <c r="U11" s="957"/>
      <c r="V11" s="957"/>
      <c r="W11" s="957"/>
      <c r="X11" s="957"/>
      <c r="Y11" s="957" t="s">
        <v>542</v>
      </c>
      <c r="Z11" s="957"/>
      <c r="AA11" s="957"/>
      <c r="AB11" s="957"/>
      <c r="AC11" s="957"/>
      <c r="AD11" s="957"/>
      <c r="AE11" s="957"/>
      <c r="AF11" s="958" t="s">
        <v>543</v>
      </c>
      <c r="AG11" s="957"/>
      <c r="AH11" s="957"/>
      <c r="AI11" s="957"/>
      <c r="AJ11" s="957"/>
      <c r="AK11" s="957"/>
      <c r="AL11" s="957"/>
      <c r="AM11" s="957"/>
      <c r="AN11" s="957"/>
      <c r="AO11" s="957"/>
      <c r="AP11" s="957"/>
      <c r="AQ11" s="957"/>
      <c r="AR11" s="957"/>
      <c r="AS11" s="957"/>
      <c r="AT11" s="959" t="s">
        <v>544</v>
      </c>
      <c r="AU11" s="959"/>
      <c r="AV11" s="959"/>
      <c r="AW11" s="959"/>
      <c r="AX11" s="959"/>
      <c r="AY11" s="959"/>
      <c r="AZ11" s="959"/>
      <c r="BA11" s="957" t="s">
        <v>545</v>
      </c>
      <c r="BB11" s="957"/>
      <c r="BC11" s="957"/>
      <c r="BD11" s="957"/>
      <c r="BE11" s="957"/>
      <c r="BF11" s="957"/>
      <c r="BG11" s="957"/>
      <c r="BH11" s="957" t="s">
        <v>546</v>
      </c>
      <c r="BI11" s="957"/>
      <c r="BJ11" s="957"/>
      <c r="BK11" s="957"/>
      <c r="BL11" s="957"/>
      <c r="BM11" s="957"/>
      <c r="BN11" s="957"/>
      <c r="BO11" s="957" t="s">
        <v>547</v>
      </c>
      <c r="BP11" s="957"/>
      <c r="BQ11" s="957"/>
      <c r="BR11" s="957"/>
      <c r="BS11" s="957"/>
      <c r="BT11" s="957"/>
      <c r="BU11" s="957"/>
      <c r="BV11" s="957" t="s">
        <v>547</v>
      </c>
      <c r="BW11" s="957"/>
      <c r="BX11" s="957"/>
      <c r="BY11" s="957"/>
      <c r="BZ11" s="957"/>
      <c r="CA11" s="957"/>
      <c r="CB11" s="957"/>
      <c r="CC11" s="957" t="s">
        <v>547</v>
      </c>
      <c r="CD11" s="957"/>
      <c r="CE11" s="957"/>
      <c r="CF11" s="957"/>
      <c r="CG11" s="957"/>
      <c r="CH11" s="957"/>
      <c r="CI11" s="957"/>
      <c r="CJ11" s="957" t="s">
        <v>547</v>
      </c>
      <c r="CK11" s="957"/>
      <c r="CL11" s="957"/>
      <c r="CM11" s="957"/>
      <c r="CN11" s="957"/>
      <c r="CO11" s="957"/>
      <c r="CP11" s="957"/>
      <c r="CQ11" s="957" t="s">
        <v>547</v>
      </c>
      <c r="CR11" s="957"/>
      <c r="CS11" s="957"/>
      <c r="CT11" s="957"/>
      <c r="CU11" s="957"/>
      <c r="CV11" s="957"/>
      <c r="CW11" s="957"/>
      <c r="CX11" s="957" t="s">
        <v>547</v>
      </c>
      <c r="CY11" s="957"/>
      <c r="CZ11" s="957"/>
      <c r="DA11" s="957"/>
      <c r="DB11" s="957"/>
      <c r="DC11" s="957"/>
      <c r="DD11" s="957"/>
    </row>
    <row r="12" spans="1:108" ht="15.75" customHeight="1">
      <c r="D12" s="957" t="s">
        <v>539</v>
      </c>
      <c r="E12" s="957"/>
      <c r="F12" s="957"/>
      <c r="G12" s="957"/>
      <c r="H12" s="957"/>
      <c r="I12" s="957"/>
      <c r="J12" s="957"/>
      <c r="K12" s="957" t="s">
        <v>540</v>
      </c>
      <c r="L12" s="957"/>
      <c r="M12" s="957"/>
      <c r="N12" s="957"/>
      <c r="O12" s="957"/>
      <c r="P12" s="957"/>
      <c r="Q12" s="957"/>
      <c r="R12" s="957" t="s">
        <v>541</v>
      </c>
      <c r="S12" s="957"/>
      <c r="T12" s="957"/>
      <c r="U12" s="957"/>
      <c r="V12" s="957"/>
      <c r="W12" s="957"/>
      <c r="X12" s="957"/>
      <c r="Y12" s="957" t="s">
        <v>542</v>
      </c>
      <c r="Z12" s="957"/>
      <c r="AA12" s="957"/>
      <c r="AB12" s="957"/>
      <c r="AC12" s="957"/>
      <c r="AD12" s="957"/>
      <c r="AE12" s="957"/>
      <c r="AF12" s="958" t="s">
        <v>543</v>
      </c>
      <c r="AG12" s="957"/>
      <c r="AH12" s="957"/>
      <c r="AI12" s="957"/>
      <c r="AJ12" s="957"/>
      <c r="AK12" s="957"/>
      <c r="AL12" s="957"/>
      <c r="AM12" s="957" t="s">
        <v>548</v>
      </c>
      <c r="AN12" s="957"/>
      <c r="AO12" s="957"/>
      <c r="AP12" s="957"/>
      <c r="AQ12" s="957"/>
      <c r="AR12" s="957"/>
      <c r="AS12" s="957"/>
      <c r="AT12" s="957"/>
      <c r="AU12" s="957"/>
      <c r="AV12" s="957"/>
      <c r="AW12" s="957"/>
      <c r="AX12" s="957"/>
      <c r="AY12" s="957"/>
      <c r="AZ12" s="957"/>
      <c r="BA12" s="957"/>
      <c r="BB12" s="957"/>
      <c r="BC12" s="957"/>
      <c r="BD12" s="957"/>
      <c r="BE12" s="957"/>
      <c r="BF12" s="957"/>
      <c r="BG12" s="957"/>
      <c r="BH12" s="957"/>
      <c r="BI12" s="957"/>
      <c r="BJ12" s="957"/>
      <c r="BK12" s="957"/>
      <c r="BL12" s="957"/>
      <c r="BM12" s="957"/>
      <c r="BN12" s="957"/>
      <c r="BO12" s="957"/>
      <c r="BP12" s="957"/>
      <c r="BQ12" s="957"/>
      <c r="BR12" s="957"/>
      <c r="BS12" s="957"/>
      <c r="BT12" s="957"/>
      <c r="BU12" s="957"/>
      <c r="BV12" s="957"/>
      <c r="BW12" s="957"/>
      <c r="BX12" s="957"/>
      <c r="BY12" s="957"/>
      <c r="BZ12" s="957"/>
      <c r="CA12" s="957"/>
      <c r="CB12" s="957"/>
      <c r="CC12" s="957"/>
      <c r="CD12" s="957"/>
      <c r="CE12" s="957"/>
      <c r="CF12" s="957"/>
      <c r="CG12" s="957"/>
      <c r="CH12" s="957"/>
      <c r="CI12" s="957"/>
      <c r="CJ12" s="957"/>
      <c r="CK12" s="957"/>
      <c r="CL12" s="957"/>
      <c r="CM12" s="957"/>
      <c r="CN12" s="957"/>
      <c r="CO12" s="957"/>
      <c r="CP12" s="957"/>
      <c r="CQ12" s="957"/>
      <c r="CR12" s="957"/>
      <c r="CS12" s="957"/>
      <c r="CT12" s="957"/>
      <c r="CU12" s="957"/>
      <c r="CV12" s="957"/>
      <c r="CW12" s="957"/>
      <c r="CX12" s="957"/>
      <c r="CY12" s="957"/>
      <c r="CZ12" s="957"/>
      <c r="DA12" s="957"/>
      <c r="DB12" s="957"/>
      <c r="DC12" s="957"/>
      <c r="DD12" s="957"/>
    </row>
    <row r="13" spans="1:108" ht="15.75" customHeight="1">
      <c r="D13" s="957" t="s">
        <v>549</v>
      </c>
      <c r="E13" s="957"/>
      <c r="F13" s="957"/>
      <c r="G13" s="957"/>
      <c r="H13" s="957"/>
      <c r="I13" s="957"/>
      <c r="J13" s="957"/>
      <c r="K13" s="957" t="s">
        <v>550</v>
      </c>
      <c r="L13" s="957"/>
      <c r="M13" s="957"/>
      <c r="N13" s="957"/>
      <c r="O13" s="957"/>
      <c r="P13" s="957"/>
      <c r="Q13" s="957"/>
      <c r="R13" s="957" t="s">
        <v>551</v>
      </c>
      <c r="S13" s="957"/>
      <c r="T13" s="957"/>
      <c r="U13" s="957"/>
      <c r="V13" s="957"/>
      <c r="W13" s="957"/>
      <c r="X13" s="957"/>
      <c r="Y13" s="957" t="s">
        <v>552</v>
      </c>
      <c r="Z13" s="957"/>
      <c r="AA13" s="957"/>
      <c r="AB13" s="957"/>
      <c r="AC13" s="957"/>
      <c r="AD13" s="957"/>
      <c r="AE13" s="957"/>
      <c r="AF13" s="963" t="s">
        <v>553</v>
      </c>
      <c r="AG13" s="957"/>
      <c r="AH13" s="957"/>
      <c r="AI13" s="957"/>
      <c r="AJ13" s="957"/>
      <c r="AK13" s="957"/>
      <c r="AL13" s="957"/>
      <c r="AM13" s="957"/>
      <c r="AN13" s="957"/>
      <c r="AO13" s="957"/>
      <c r="AP13" s="957"/>
      <c r="AQ13" s="957"/>
      <c r="AR13" s="957"/>
      <c r="AS13" s="957"/>
      <c r="AT13" s="959" t="s">
        <v>544</v>
      </c>
      <c r="AU13" s="959"/>
      <c r="AV13" s="959"/>
      <c r="AW13" s="959"/>
      <c r="AX13" s="959"/>
      <c r="AY13" s="959"/>
      <c r="AZ13" s="959"/>
      <c r="BA13" s="957" t="s">
        <v>545</v>
      </c>
      <c r="BB13" s="957"/>
      <c r="BC13" s="957"/>
      <c r="BD13" s="957"/>
      <c r="BE13" s="957"/>
      <c r="BF13" s="957"/>
      <c r="BG13" s="957"/>
      <c r="BH13" s="957" t="s">
        <v>554</v>
      </c>
      <c r="BI13" s="957"/>
      <c r="BJ13" s="957"/>
      <c r="BK13" s="957"/>
      <c r="BL13" s="957"/>
      <c r="BM13" s="957"/>
      <c r="BN13" s="957"/>
      <c r="BO13" s="957" t="s">
        <v>554</v>
      </c>
      <c r="BP13" s="957"/>
      <c r="BQ13" s="957"/>
      <c r="BR13" s="957"/>
      <c r="BS13" s="957"/>
      <c r="BT13" s="957"/>
      <c r="BU13" s="957"/>
      <c r="BV13" s="957" t="s">
        <v>547</v>
      </c>
      <c r="BW13" s="957"/>
      <c r="BX13" s="957"/>
      <c r="BY13" s="957"/>
      <c r="BZ13" s="957"/>
      <c r="CA13" s="957"/>
      <c r="CB13" s="957"/>
      <c r="CC13" s="957" t="s">
        <v>547</v>
      </c>
      <c r="CD13" s="957"/>
      <c r="CE13" s="957"/>
      <c r="CF13" s="957"/>
      <c r="CG13" s="957"/>
      <c r="CH13" s="957"/>
      <c r="CI13" s="957"/>
      <c r="CJ13" s="957" t="s">
        <v>555</v>
      </c>
      <c r="CK13" s="957"/>
      <c r="CL13" s="957"/>
      <c r="CM13" s="957"/>
      <c r="CN13" s="957"/>
      <c r="CO13" s="957"/>
      <c r="CP13" s="957"/>
      <c r="CQ13" s="957" t="s">
        <v>547</v>
      </c>
      <c r="CR13" s="957"/>
      <c r="CS13" s="957"/>
      <c r="CT13" s="957"/>
      <c r="CU13" s="957"/>
      <c r="CV13" s="957"/>
      <c r="CW13" s="957"/>
      <c r="CX13" s="957" t="s">
        <v>547</v>
      </c>
      <c r="CY13" s="957"/>
      <c r="CZ13" s="957"/>
      <c r="DA13" s="957"/>
      <c r="DB13" s="957"/>
      <c r="DC13" s="957"/>
      <c r="DD13" s="957"/>
    </row>
    <row r="14" spans="1:108" ht="15.75" customHeight="1">
      <c r="D14" s="957" t="s">
        <v>556</v>
      </c>
      <c r="E14" s="957"/>
      <c r="F14" s="957"/>
      <c r="G14" s="957"/>
      <c r="H14" s="957"/>
      <c r="I14" s="957"/>
      <c r="J14" s="957"/>
      <c r="K14" s="957" t="s">
        <v>557</v>
      </c>
      <c r="L14" s="957"/>
      <c r="M14" s="957"/>
      <c r="N14" s="957"/>
      <c r="O14" s="957"/>
      <c r="P14" s="957"/>
      <c r="Q14" s="957"/>
      <c r="R14" s="957" t="s">
        <v>558</v>
      </c>
      <c r="S14" s="957"/>
      <c r="T14" s="957"/>
      <c r="U14" s="957"/>
      <c r="V14" s="957"/>
      <c r="W14" s="957"/>
      <c r="X14" s="957"/>
      <c r="Y14" s="957" t="s">
        <v>559</v>
      </c>
      <c r="Z14" s="957"/>
      <c r="AA14" s="957"/>
      <c r="AB14" s="957"/>
      <c r="AC14" s="957"/>
      <c r="AD14" s="957"/>
      <c r="AE14" s="957"/>
      <c r="AF14" s="958" t="s">
        <v>300</v>
      </c>
      <c r="AG14" s="957"/>
      <c r="AH14" s="957"/>
      <c r="AI14" s="957"/>
      <c r="AJ14" s="957"/>
      <c r="AK14" s="957"/>
      <c r="AL14" s="957"/>
      <c r="AM14" s="957"/>
      <c r="AN14" s="957"/>
      <c r="AO14" s="957"/>
      <c r="AP14" s="957"/>
      <c r="AQ14" s="957"/>
      <c r="AR14" s="957"/>
      <c r="AS14" s="957"/>
      <c r="AT14" s="959" t="s">
        <v>544</v>
      </c>
      <c r="AU14" s="959"/>
      <c r="AV14" s="959"/>
      <c r="AW14" s="959"/>
      <c r="AX14" s="959"/>
      <c r="AY14" s="959"/>
      <c r="AZ14" s="959"/>
      <c r="BA14" s="957" t="s">
        <v>545</v>
      </c>
      <c r="BB14" s="957"/>
      <c r="BC14" s="957"/>
      <c r="BD14" s="957"/>
      <c r="BE14" s="957"/>
      <c r="BF14" s="957"/>
      <c r="BG14" s="957"/>
      <c r="BH14" s="957" t="s">
        <v>547</v>
      </c>
      <c r="BI14" s="957"/>
      <c r="BJ14" s="957"/>
      <c r="BK14" s="957"/>
      <c r="BL14" s="957"/>
      <c r="BM14" s="957"/>
      <c r="BN14" s="957"/>
      <c r="BO14" s="957" t="s">
        <v>547</v>
      </c>
      <c r="BP14" s="957"/>
      <c r="BQ14" s="957"/>
      <c r="BR14" s="957"/>
      <c r="BS14" s="957"/>
      <c r="BT14" s="957"/>
      <c r="BU14" s="957"/>
      <c r="BV14" s="957" t="s">
        <v>547</v>
      </c>
      <c r="BW14" s="957"/>
      <c r="BX14" s="957"/>
      <c r="BY14" s="957"/>
      <c r="BZ14" s="957"/>
      <c r="CA14" s="957"/>
      <c r="CB14" s="957"/>
      <c r="CC14" s="957" t="s">
        <v>547</v>
      </c>
      <c r="CD14" s="957"/>
      <c r="CE14" s="957"/>
      <c r="CF14" s="957"/>
      <c r="CG14" s="957"/>
      <c r="CH14" s="957"/>
      <c r="CI14" s="957"/>
      <c r="CJ14" s="957" t="s">
        <v>555</v>
      </c>
      <c r="CK14" s="957"/>
      <c r="CL14" s="957"/>
      <c r="CM14" s="957"/>
      <c r="CN14" s="957"/>
      <c r="CO14" s="957"/>
      <c r="CP14" s="957"/>
      <c r="CQ14" s="957" t="s">
        <v>555</v>
      </c>
      <c r="CR14" s="957"/>
      <c r="CS14" s="957"/>
      <c r="CT14" s="957"/>
      <c r="CU14" s="957"/>
      <c r="CV14" s="957"/>
      <c r="CW14" s="957"/>
      <c r="CX14" s="957" t="s">
        <v>555</v>
      </c>
      <c r="CY14" s="957"/>
      <c r="CZ14" s="957"/>
      <c r="DA14" s="957"/>
      <c r="DB14" s="957"/>
      <c r="DC14" s="957"/>
      <c r="DD14" s="957"/>
    </row>
    <row r="15" spans="1:108" ht="15.75" customHeight="1">
      <c r="D15" s="957" t="s">
        <v>560</v>
      </c>
      <c r="E15" s="957"/>
      <c r="F15" s="957"/>
      <c r="G15" s="957"/>
      <c r="H15" s="957"/>
      <c r="I15" s="957"/>
      <c r="J15" s="957"/>
      <c r="K15" s="957" t="s">
        <v>561</v>
      </c>
      <c r="L15" s="957"/>
      <c r="M15" s="957"/>
      <c r="N15" s="957"/>
      <c r="O15" s="957"/>
      <c r="P15" s="957"/>
      <c r="Q15" s="957"/>
      <c r="R15" s="957" t="s">
        <v>562</v>
      </c>
      <c r="S15" s="957"/>
      <c r="T15" s="957"/>
      <c r="U15" s="957"/>
      <c r="V15" s="957"/>
      <c r="W15" s="957"/>
      <c r="X15" s="957"/>
      <c r="Y15" s="960" t="s">
        <v>563</v>
      </c>
      <c r="Z15" s="961"/>
      <c r="AA15" s="961"/>
      <c r="AB15" s="961"/>
      <c r="AC15" s="961"/>
      <c r="AD15" s="961"/>
      <c r="AE15" s="962"/>
      <c r="AF15" s="958" t="s">
        <v>300</v>
      </c>
      <c r="AG15" s="957"/>
      <c r="AH15" s="957"/>
      <c r="AI15" s="957"/>
      <c r="AJ15" s="957"/>
      <c r="AK15" s="957"/>
      <c r="AL15" s="957"/>
      <c r="AM15" s="957"/>
      <c r="AN15" s="957"/>
      <c r="AO15" s="957"/>
      <c r="AP15" s="957"/>
      <c r="AQ15" s="957"/>
      <c r="AR15" s="957"/>
      <c r="AS15" s="957"/>
      <c r="AT15" s="959" t="s">
        <v>544</v>
      </c>
      <c r="AU15" s="959"/>
      <c r="AV15" s="959"/>
      <c r="AW15" s="959"/>
      <c r="AX15" s="959"/>
      <c r="AY15" s="959"/>
      <c r="AZ15" s="959"/>
      <c r="BA15" s="957" t="s">
        <v>545</v>
      </c>
      <c r="BB15" s="957"/>
      <c r="BC15" s="957"/>
      <c r="BD15" s="957"/>
      <c r="BE15" s="957"/>
      <c r="BF15" s="957"/>
      <c r="BG15" s="957"/>
      <c r="BH15" s="957" t="s">
        <v>547</v>
      </c>
      <c r="BI15" s="957"/>
      <c r="BJ15" s="957"/>
      <c r="BK15" s="957"/>
      <c r="BL15" s="957"/>
      <c r="BM15" s="957"/>
      <c r="BN15" s="957"/>
      <c r="BO15" s="957" t="s">
        <v>547</v>
      </c>
      <c r="BP15" s="957"/>
      <c r="BQ15" s="957"/>
      <c r="BR15" s="957"/>
      <c r="BS15" s="957"/>
      <c r="BT15" s="957"/>
      <c r="BU15" s="957"/>
      <c r="BV15" s="957" t="s">
        <v>547</v>
      </c>
      <c r="BW15" s="957"/>
      <c r="BX15" s="957"/>
      <c r="BY15" s="957"/>
      <c r="BZ15" s="957"/>
      <c r="CA15" s="957"/>
      <c r="CB15" s="957"/>
      <c r="CC15" s="957" t="s">
        <v>547</v>
      </c>
      <c r="CD15" s="957"/>
      <c r="CE15" s="957"/>
      <c r="CF15" s="957"/>
      <c r="CG15" s="957"/>
      <c r="CH15" s="957"/>
      <c r="CI15" s="957"/>
      <c r="CJ15" s="957" t="s">
        <v>547</v>
      </c>
      <c r="CK15" s="957"/>
      <c r="CL15" s="957"/>
      <c r="CM15" s="957"/>
      <c r="CN15" s="957"/>
      <c r="CO15" s="957"/>
      <c r="CP15" s="957"/>
      <c r="CQ15" s="957" t="s">
        <v>547</v>
      </c>
      <c r="CR15" s="957"/>
      <c r="CS15" s="957"/>
      <c r="CT15" s="957"/>
      <c r="CU15" s="957"/>
      <c r="CV15" s="957"/>
      <c r="CW15" s="957"/>
      <c r="CX15" s="957" t="s">
        <v>547</v>
      </c>
      <c r="CY15" s="957"/>
      <c r="CZ15" s="957"/>
      <c r="DA15" s="957"/>
      <c r="DB15" s="957"/>
      <c r="DC15" s="957"/>
      <c r="DD15" s="957"/>
    </row>
    <row r="16" spans="1:108">
      <c r="D16" s="958" t="s">
        <v>300</v>
      </c>
      <c r="E16" s="957"/>
      <c r="F16" s="957"/>
      <c r="G16" s="957"/>
      <c r="H16" s="957"/>
      <c r="I16" s="957"/>
      <c r="J16" s="957"/>
      <c r="K16" s="957" t="s">
        <v>564</v>
      </c>
      <c r="L16" s="957"/>
      <c r="M16" s="957"/>
      <c r="N16" s="957"/>
      <c r="O16" s="957"/>
      <c r="P16" s="957"/>
      <c r="Q16" s="957"/>
      <c r="R16" s="958" t="s">
        <v>300</v>
      </c>
      <c r="S16" s="957"/>
      <c r="T16" s="957"/>
      <c r="U16" s="957"/>
      <c r="V16" s="957"/>
      <c r="W16" s="957"/>
      <c r="X16" s="957"/>
      <c r="Y16" s="958" t="s">
        <v>300</v>
      </c>
      <c r="Z16" s="957"/>
      <c r="AA16" s="957"/>
      <c r="AB16" s="957"/>
      <c r="AC16" s="957"/>
      <c r="AD16" s="957"/>
      <c r="AE16" s="957"/>
      <c r="AF16" s="958" t="s">
        <v>300</v>
      </c>
      <c r="AG16" s="957"/>
      <c r="AH16" s="957"/>
      <c r="AI16" s="957"/>
      <c r="AJ16" s="957"/>
      <c r="AK16" s="957"/>
      <c r="AL16" s="957"/>
      <c r="AM16" s="957" t="s">
        <v>565</v>
      </c>
      <c r="AN16" s="957"/>
      <c r="AO16" s="957"/>
      <c r="AP16" s="957"/>
      <c r="AQ16" s="957"/>
      <c r="AR16" s="957"/>
      <c r="AS16" s="957"/>
      <c r="AT16" s="959" t="s">
        <v>544</v>
      </c>
      <c r="AU16" s="959"/>
      <c r="AV16" s="959"/>
      <c r="AW16" s="959"/>
      <c r="AX16" s="959"/>
      <c r="AY16" s="959"/>
      <c r="AZ16" s="959"/>
      <c r="BA16" s="957" t="s">
        <v>545</v>
      </c>
      <c r="BB16" s="957"/>
      <c r="BC16" s="957"/>
      <c r="BD16" s="957"/>
      <c r="BE16" s="957"/>
      <c r="BF16" s="957"/>
      <c r="BG16" s="957"/>
      <c r="BH16" s="957" t="s">
        <v>555</v>
      </c>
      <c r="BI16" s="957"/>
      <c r="BJ16" s="957"/>
      <c r="BK16" s="957"/>
      <c r="BL16" s="957"/>
      <c r="BM16" s="957"/>
      <c r="BN16" s="957"/>
      <c r="BO16" s="957" t="s">
        <v>555</v>
      </c>
      <c r="BP16" s="957"/>
      <c r="BQ16" s="957"/>
      <c r="BR16" s="957"/>
      <c r="BS16" s="957"/>
      <c r="BT16" s="957"/>
      <c r="BU16" s="957"/>
      <c r="BV16" s="957" t="s">
        <v>555</v>
      </c>
      <c r="BW16" s="957"/>
      <c r="BX16" s="957"/>
      <c r="BY16" s="957"/>
      <c r="BZ16" s="957"/>
      <c r="CA16" s="957"/>
      <c r="CB16" s="957"/>
      <c r="CC16" s="957" t="s">
        <v>555</v>
      </c>
      <c r="CD16" s="957"/>
      <c r="CE16" s="957"/>
      <c r="CF16" s="957"/>
      <c r="CG16" s="957"/>
      <c r="CH16" s="957"/>
      <c r="CI16" s="957"/>
      <c r="CJ16" s="957" t="s">
        <v>555</v>
      </c>
      <c r="CK16" s="957"/>
      <c r="CL16" s="957"/>
      <c r="CM16" s="957"/>
      <c r="CN16" s="957"/>
      <c r="CO16" s="957"/>
      <c r="CP16" s="957"/>
      <c r="CQ16" s="957" t="s">
        <v>555</v>
      </c>
      <c r="CR16" s="957"/>
      <c r="CS16" s="957"/>
      <c r="CT16" s="957"/>
      <c r="CU16" s="957"/>
      <c r="CV16" s="957"/>
      <c r="CW16" s="957"/>
      <c r="CX16" s="957" t="s">
        <v>555</v>
      </c>
      <c r="CY16" s="957"/>
      <c r="CZ16" s="957"/>
      <c r="DA16" s="957"/>
      <c r="DB16" s="957"/>
      <c r="DC16" s="957"/>
      <c r="DD16" s="957"/>
    </row>
    <row r="19" spans="2:87">
      <c r="C19" s="693" t="s">
        <v>566</v>
      </c>
    </row>
    <row r="20" spans="2:87">
      <c r="C20" s="693"/>
    </row>
    <row r="21" spans="2:87">
      <c r="D21" s="691" t="s">
        <v>524</v>
      </c>
    </row>
    <row r="22" spans="2:87">
      <c r="D22" s="965" t="s">
        <v>525</v>
      </c>
      <c r="E22" s="965"/>
      <c r="F22" s="965"/>
      <c r="G22" s="965"/>
      <c r="H22" s="965"/>
      <c r="I22" s="965"/>
      <c r="J22" s="965"/>
      <c r="K22" s="964" t="s">
        <v>357</v>
      </c>
      <c r="L22" s="964"/>
      <c r="M22" s="964"/>
      <c r="N22" s="964"/>
      <c r="O22" s="964"/>
      <c r="P22" s="964"/>
      <c r="Q22" s="964"/>
      <c r="R22" s="965" t="s">
        <v>526</v>
      </c>
      <c r="S22" s="965"/>
      <c r="T22" s="965"/>
      <c r="U22" s="965"/>
      <c r="V22" s="965"/>
      <c r="W22" s="965"/>
      <c r="X22" s="965"/>
      <c r="Y22" s="965" t="s">
        <v>527</v>
      </c>
      <c r="Z22" s="965"/>
      <c r="AA22" s="965"/>
      <c r="AB22" s="965"/>
      <c r="AC22" s="965"/>
      <c r="AD22" s="965"/>
      <c r="AE22" s="965"/>
      <c r="AF22" s="965" t="s">
        <v>528</v>
      </c>
      <c r="AG22" s="965"/>
      <c r="AH22" s="965"/>
      <c r="AI22" s="965"/>
      <c r="AJ22" s="965"/>
      <c r="AK22" s="965"/>
      <c r="AL22" s="965"/>
      <c r="AM22" s="964" t="s">
        <v>529</v>
      </c>
      <c r="AN22" s="964"/>
      <c r="AO22" s="964"/>
      <c r="AP22" s="964"/>
      <c r="AQ22" s="964"/>
      <c r="AR22" s="964"/>
      <c r="AS22" s="964"/>
      <c r="AT22" s="966" t="s">
        <v>530</v>
      </c>
      <c r="AU22" s="966"/>
      <c r="AV22" s="966"/>
      <c r="AW22" s="966"/>
      <c r="AX22" s="966"/>
      <c r="AY22" s="966"/>
      <c r="AZ22" s="966"/>
      <c r="BA22" s="964" t="s">
        <v>531</v>
      </c>
      <c r="BB22" s="964"/>
      <c r="BC22" s="964"/>
      <c r="BD22" s="964"/>
      <c r="BE22" s="964"/>
      <c r="BF22" s="964"/>
      <c r="BG22" s="964"/>
      <c r="BH22" s="964" t="s">
        <v>532</v>
      </c>
      <c r="BI22" s="964"/>
      <c r="BJ22" s="964"/>
      <c r="BK22" s="964"/>
      <c r="BL22" s="964"/>
      <c r="BM22" s="964"/>
      <c r="BN22" s="964"/>
      <c r="BO22" s="964" t="s">
        <v>533</v>
      </c>
      <c r="BP22" s="964"/>
      <c r="BQ22" s="964"/>
      <c r="BR22" s="964"/>
      <c r="BS22" s="964"/>
      <c r="BT22" s="964"/>
      <c r="BU22" s="964"/>
      <c r="BV22" s="964" t="s">
        <v>534</v>
      </c>
      <c r="BW22" s="964"/>
      <c r="BX22" s="964"/>
      <c r="BY22" s="964"/>
      <c r="BZ22" s="964"/>
      <c r="CA22" s="964"/>
      <c r="CB22" s="964"/>
      <c r="CC22" s="964" t="s">
        <v>535</v>
      </c>
      <c r="CD22" s="964"/>
      <c r="CE22" s="964"/>
      <c r="CF22" s="964"/>
      <c r="CG22" s="964"/>
      <c r="CH22" s="964"/>
      <c r="CI22" s="964"/>
    </row>
    <row r="23" spans="2:87">
      <c r="D23" s="957" t="s">
        <v>539</v>
      </c>
      <c r="E23" s="957"/>
      <c r="F23" s="957"/>
      <c r="G23" s="957"/>
      <c r="H23" s="957"/>
      <c r="I23" s="957"/>
      <c r="J23" s="957"/>
      <c r="K23" s="957" t="s">
        <v>540</v>
      </c>
      <c r="L23" s="957"/>
      <c r="M23" s="957"/>
      <c r="N23" s="957"/>
      <c r="O23" s="957"/>
      <c r="P23" s="957"/>
      <c r="Q23" s="957"/>
      <c r="R23" s="957" t="s">
        <v>541</v>
      </c>
      <c r="S23" s="957"/>
      <c r="T23" s="957"/>
      <c r="U23" s="957"/>
      <c r="V23" s="957"/>
      <c r="W23" s="957"/>
      <c r="X23" s="957"/>
      <c r="Y23" s="957" t="s">
        <v>542</v>
      </c>
      <c r="Z23" s="957"/>
      <c r="AA23" s="957"/>
      <c r="AB23" s="957"/>
      <c r="AC23" s="957"/>
      <c r="AD23" s="957"/>
      <c r="AE23" s="957"/>
      <c r="AF23" s="958" t="s">
        <v>543</v>
      </c>
      <c r="AG23" s="957"/>
      <c r="AH23" s="957"/>
      <c r="AI23" s="957"/>
      <c r="AJ23" s="957"/>
      <c r="AK23" s="957"/>
      <c r="AL23" s="957"/>
      <c r="AM23" s="957"/>
      <c r="AN23" s="957"/>
      <c r="AO23" s="957"/>
      <c r="AP23" s="957"/>
      <c r="AQ23" s="957"/>
      <c r="AR23" s="957"/>
      <c r="AS23" s="957"/>
      <c r="AT23" s="959" t="s">
        <v>544</v>
      </c>
      <c r="AU23" s="959"/>
      <c r="AV23" s="959"/>
      <c r="AW23" s="959"/>
      <c r="AX23" s="959"/>
      <c r="AY23" s="959"/>
      <c r="AZ23" s="959"/>
      <c r="BA23" s="957" t="s">
        <v>545</v>
      </c>
      <c r="BB23" s="957"/>
      <c r="BC23" s="957"/>
      <c r="BD23" s="957"/>
      <c r="BE23" s="957"/>
      <c r="BF23" s="957"/>
      <c r="BG23" s="957"/>
      <c r="BH23" s="957" t="s">
        <v>547</v>
      </c>
      <c r="BI23" s="957"/>
      <c r="BJ23" s="957"/>
      <c r="BK23" s="957"/>
      <c r="BL23" s="957"/>
      <c r="BM23" s="957"/>
      <c r="BN23" s="957"/>
      <c r="BO23" s="957" t="s">
        <v>547</v>
      </c>
      <c r="BP23" s="957"/>
      <c r="BQ23" s="957"/>
      <c r="BR23" s="957"/>
      <c r="BS23" s="957"/>
      <c r="BT23" s="957"/>
      <c r="BU23" s="957"/>
      <c r="BV23" s="957" t="s">
        <v>547</v>
      </c>
      <c r="BW23" s="957"/>
      <c r="BX23" s="957"/>
      <c r="BY23" s="957"/>
      <c r="BZ23" s="957"/>
      <c r="CA23" s="957"/>
      <c r="CB23" s="957"/>
      <c r="CC23" s="957" t="s">
        <v>547</v>
      </c>
      <c r="CD23" s="957"/>
      <c r="CE23" s="957"/>
      <c r="CF23" s="957"/>
      <c r="CG23" s="957"/>
      <c r="CH23" s="957"/>
      <c r="CI23" s="957"/>
    </row>
    <row r="24" spans="2:87">
      <c r="D24" s="957" t="s">
        <v>539</v>
      </c>
      <c r="E24" s="957"/>
      <c r="F24" s="957"/>
      <c r="G24" s="957"/>
      <c r="H24" s="957"/>
      <c r="I24" s="957"/>
      <c r="J24" s="957"/>
      <c r="K24" s="957" t="s">
        <v>540</v>
      </c>
      <c r="L24" s="957"/>
      <c r="M24" s="957"/>
      <c r="N24" s="957"/>
      <c r="O24" s="957"/>
      <c r="P24" s="957"/>
      <c r="Q24" s="957"/>
      <c r="R24" s="957" t="s">
        <v>541</v>
      </c>
      <c r="S24" s="957"/>
      <c r="T24" s="957"/>
      <c r="U24" s="957"/>
      <c r="V24" s="957"/>
      <c r="W24" s="957"/>
      <c r="X24" s="957"/>
      <c r="Y24" s="957" t="s">
        <v>542</v>
      </c>
      <c r="Z24" s="957"/>
      <c r="AA24" s="957"/>
      <c r="AB24" s="957"/>
      <c r="AC24" s="957"/>
      <c r="AD24" s="957"/>
      <c r="AE24" s="957"/>
      <c r="AF24" s="958" t="s">
        <v>543</v>
      </c>
      <c r="AG24" s="957"/>
      <c r="AH24" s="957"/>
      <c r="AI24" s="957"/>
      <c r="AJ24" s="957"/>
      <c r="AK24" s="957"/>
      <c r="AL24" s="957"/>
      <c r="AM24" s="957" t="s">
        <v>567</v>
      </c>
      <c r="AN24" s="957"/>
      <c r="AO24" s="957"/>
      <c r="AP24" s="957"/>
      <c r="AQ24" s="957"/>
      <c r="AR24" s="957"/>
      <c r="AS24" s="957"/>
      <c r="AT24" s="957"/>
      <c r="AU24" s="957"/>
      <c r="AV24" s="957"/>
      <c r="AW24" s="957"/>
      <c r="AX24" s="957"/>
      <c r="AY24" s="957"/>
      <c r="AZ24" s="957"/>
      <c r="BA24" s="957"/>
      <c r="BB24" s="957"/>
      <c r="BC24" s="957"/>
      <c r="BD24" s="957"/>
      <c r="BE24" s="957"/>
      <c r="BF24" s="957"/>
      <c r="BG24" s="957"/>
      <c r="BH24" s="957"/>
      <c r="BI24" s="957"/>
      <c r="BJ24" s="957"/>
      <c r="BK24" s="957"/>
      <c r="BL24" s="957"/>
      <c r="BM24" s="957"/>
      <c r="BN24" s="957"/>
      <c r="BO24" s="957"/>
      <c r="BP24" s="957"/>
      <c r="BQ24" s="957"/>
      <c r="BR24" s="957"/>
      <c r="BS24" s="957"/>
      <c r="BT24" s="957"/>
      <c r="BU24" s="957"/>
      <c r="BV24" s="957"/>
      <c r="BW24" s="957"/>
      <c r="BX24" s="957"/>
      <c r="BY24" s="957"/>
      <c r="BZ24" s="957"/>
      <c r="CA24" s="957"/>
      <c r="CB24" s="957"/>
      <c r="CC24" s="957"/>
      <c r="CD24" s="957"/>
      <c r="CE24" s="957"/>
      <c r="CF24" s="957"/>
      <c r="CG24" s="957"/>
      <c r="CH24" s="957"/>
      <c r="CI24" s="957"/>
    </row>
    <row r="25" spans="2:87">
      <c r="D25" s="957" t="s">
        <v>549</v>
      </c>
      <c r="E25" s="957"/>
      <c r="F25" s="957"/>
      <c r="G25" s="957"/>
      <c r="H25" s="957"/>
      <c r="I25" s="957"/>
      <c r="J25" s="957"/>
      <c r="K25" s="957" t="s">
        <v>550</v>
      </c>
      <c r="L25" s="957"/>
      <c r="M25" s="957"/>
      <c r="N25" s="957"/>
      <c r="O25" s="957"/>
      <c r="P25" s="957"/>
      <c r="Q25" s="957"/>
      <c r="R25" s="957" t="s">
        <v>551</v>
      </c>
      <c r="S25" s="957"/>
      <c r="T25" s="957"/>
      <c r="U25" s="957"/>
      <c r="V25" s="957"/>
      <c r="W25" s="957"/>
      <c r="X25" s="957"/>
      <c r="Y25" s="957" t="s">
        <v>552</v>
      </c>
      <c r="Z25" s="957"/>
      <c r="AA25" s="957"/>
      <c r="AB25" s="957"/>
      <c r="AC25" s="957"/>
      <c r="AD25" s="957"/>
      <c r="AE25" s="957"/>
      <c r="AF25" s="963" t="s">
        <v>553</v>
      </c>
      <c r="AG25" s="957"/>
      <c r="AH25" s="957"/>
      <c r="AI25" s="957"/>
      <c r="AJ25" s="957"/>
      <c r="AK25" s="957"/>
      <c r="AL25" s="957"/>
      <c r="AM25" s="957"/>
      <c r="AN25" s="957"/>
      <c r="AO25" s="957"/>
      <c r="AP25" s="957"/>
      <c r="AQ25" s="957"/>
      <c r="AR25" s="957"/>
      <c r="AS25" s="957"/>
      <c r="AT25" s="959" t="s">
        <v>544</v>
      </c>
      <c r="AU25" s="959"/>
      <c r="AV25" s="959"/>
      <c r="AW25" s="959"/>
      <c r="AX25" s="959"/>
      <c r="AY25" s="959"/>
      <c r="AZ25" s="959"/>
      <c r="BA25" s="957" t="s">
        <v>545</v>
      </c>
      <c r="BB25" s="957"/>
      <c r="BC25" s="957"/>
      <c r="BD25" s="957"/>
      <c r="BE25" s="957"/>
      <c r="BF25" s="957"/>
      <c r="BG25" s="957"/>
      <c r="BH25" s="957" t="s">
        <v>554</v>
      </c>
      <c r="BI25" s="957"/>
      <c r="BJ25" s="957"/>
      <c r="BK25" s="957"/>
      <c r="BL25" s="957"/>
      <c r="BM25" s="957"/>
      <c r="BN25" s="957"/>
      <c r="BO25" s="957" t="s">
        <v>358</v>
      </c>
      <c r="BP25" s="957"/>
      <c r="BQ25" s="957"/>
      <c r="BR25" s="957"/>
      <c r="BS25" s="957"/>
      <c r="BT25" s="957"/>
      <c r="BU25" s="957"/>
      <c r="BV25" s="957" t="s">
        <v>547</v>
      </c>
      <c r="BW25" s="957"/>
      <c r="BX25" s="957"/>
      <c r="BY25" s="957"/>
      <c r="BZ25" s="957"/>
      <c r="CA25" s="957"/>
      <c r="CB25" s="957"/>
      <c r="CC25" s="957" t="s">
        <v>547</v>
      </c>
      <c r="CD25" s="957"/>
      <c r="CE25" s="957"/>
      <c r="CF25" s="957"/>
      <c r="CG25" s="957"/>
      <c r="CH25" s="957"/>
      <c r="CI25" s="957"/>
    </row>
    <row r="26" spans="2:87">
      <c r="D26" s="957" t="s">
        <v>556</v>
      </c>
      <c r="E26" s="957"/>
      <c r="F26" s="957"/>
      <c r="G26" s="957"/>
      <c r="H26" s="957"/>
      <c r="I26" s="957"/>
      <c r="J26" s="957"/>
      <c r="K26" s="957" t="s">
        <v>557</v>
      </c>
      <c r="L26" s="957"/>
      <c r="M26" s="957"/>
      <c r="N26" s="957"/>
      <c r="O26" s="957"/>
      <c r="P26" s="957"/>
      <c r="Q26" s="957"/>
      <c r="R26" s="957" t="s">
        <v>558</v>
      </c>
      <c r="S26" s="957"/>
      <c r="T26" s="957"/>
      <c r="U26" s="957"/>
      <c r="V26" s="957"/>
      <c r="W26" s="957"/>
      <c r="X26" s="957"/>
      <c r="Y26" s="957" t="s">
        <v>559</v>
      </c>
      <c r="Z26" s="957"/>
      <c r="AA26" s="957"/>
      <c r="AB26" s="957"/>
      <c r="AC26" s="957"/>
      <c r="AD26" s="957"/>
      <c r="AE26" s="957"/>
      <c r="AF26" s="958" t="s">
        <v>300</v>
      </c>
      <c r="AG26" s="957"/>
      <c r="AH26" s="957"/>
      <c r="AI26" s="957"/>
      <c r="AJ26" s="957"/>
      <c r="AK26" s="957"/>
      <c r="AL26" s="957"/>
      <c r="AM26" s="957"/>
      <c r="AN26" s="957"/>
      <c r="AO26" s="957"/>
      <c r="AP26" s="957"/>
      <c r="AQ26" s="957"/>
      <c r="AR26" s="957"/>
      <c r="AS26" s="957"/>
      <c r="AT26" s="959" t="s">
        <v>544</v>
      </c>
      <c r="AU26" s="959"/>
      <c r="AV26" s="959"/>
      <c r="AW26" s="959"/>
      <c r="AX26" s="959"/>
      <c r="AY26" s="959"/>
      <c r="AZ26" s="959"/>
      <c r="BA26" s="957" t="s">
        <v>545</v>
      </c>
      <c r="BB26" s="957"/>
      <c r="BC26" s="957"/>
      <c r="BD26" s="957"/>
      <c r="BE26" s="957"/>
      <c r="BF26" s="957"/>
      <c r="BG26" s="957"/>
      <c r="BH26" s="957" t="s">
        <v>547</v>
      </c>
      <c r="BI26" s="957"/>
      <c r="BJ26" s="957"/>
      <c r="BK26" s="957"/>
      <c r="BL26" s="957"/>
      <c r="BM26" s="957"/>
      <c r="BN26" s="957"/>
      <c r="BO26" s="957" t="s">
        <v>547</v>
      </c>
      <c r="BP26" s="957"/>
      <c r="BQ26" s="957"/>
      <c r="BR26" s="957"/>
      <c r="BS26" s="957"/>
      <c r="BT26" s="957"/>
      <c r="BU26" s="957"/>
      <c r="BV26" s="957" t="s">
        <v>547</v>
      </c>
      <c r="BW26" s="957"/>
      <c r="BX26" s="957"/>
      <c r="BY26" s="957"/>
      <c r="BZ26" s="957"/>
      <c r="CA26" s="957"/>
      <c r="CB26" s="957"/>
      <c r="CC26" s="957" t="s">
        <v>547</v>
      </c>
      <c r="CD26" s="957"/>
      <c r="CE26" s="957"/>
      <c r="CF26" s="957"/>
      <c r="CG26" s="957"/>
      <c r="CH26" s="957"/>
      <c r="CI26" s="957"/>
    </row>
    <row r="27" spans="2:87">
      <c r="D27" s="957" t="s">
        <v>560</v>
      </c>
      <c r="E27" s="957"/>
      <c r="F27" s="957"/>
      <c r="G27" s="957"/>
      <c r="H27" s="957"/>
      <c r="I27" s="957"/>
      <c r="J27" s="957"/>
      <c r="K27" s="957" t="s">
        <v>561</v>
      </c>
      <c r="L27" s="957"/>
      <c r="M27" s="957"/>
      <c r="N27" s="957"/>
      <c r="O27" s="957"/>
      <c r="P27" s="957"/>
      <c r="Q27" s="957"/>
      <c r="R27" s="957" t="s">
        <v>562</v>
      </c>
      <c r="S27" s="957"/>
      <c r="T27" s="957"/>
      <c r="U27" s="957"/>
      <c r="V27" s="957"/>
      <c r="W27" s="957"/>
      <c r="X27" s="957"/>
      <c r="Y27" s="960" t="s">
        <v>563</v>
      </c>
      <c r="Z27" s="961"/>
      <c r="AA27" s="961"/>
      <c r="AB27" s="961"/>
      <c r="AC27" s="961"/>
      <c r="AD27" s="961"/>
      <c r="AE27" s="962"/>
      <c r="AF27" s="958" t="s">
        <v>300</v>
      </c>
      <c r="AG27" s="957"/>
      <c r="AH27" s="957"/>
      <c r="AI27" s="957"/>
      <c r="AJ27" s="957"/>
      <c r="AK27" s="957"/>
      <c r="AL27" s="957"/>
      <c r="AM27" s="957"/>
      <c r="AN27" s="957"/>
      <c r="AO27" s="957"/>
      <c r="AP27" s="957"/>
      <c r="AQ27" s="957"/>
      <c r="AR27" s="957"/>
      <c r="AS27" s="957"/>
      <c r="AT27" s="959" t="s">
        <v>544</v>
      </c>
      <c r="AU27" s="959"/>
      <c r="AV27" s="959"/>
      <c r="AW27" s="959"/>
      <c r="AX27" s="959"/>
      <c r="AY27" s="959"/>
      <c r="AZ27" s="959"/>
      <c r="BA27" s="957" t="s">
        <v>545</v>
      </c>
      <c r="BB27" s="957"/>
      <c r="BC27" s="957"/>
      <c r="BD27" s="957"/>
      <c r="BE27" s="957"/>
      <c r="BF27" s="957"/>
      <c r="BG27" s="957"/>
      <c r="BH27" s="957" t="s">
        <v>547</v>
      </c>
      <c r="BI27" s="957"/>
      <c r="BJ27" s="957"/>
      <c r="BK27" s="957"/>
      <c r="BL27" s="957"/>
      <c r="BM27" s="957"/>
      <c r="BN27" s="957"/>
      <c r="BO27" s="957" t="s">
        <v>547</v>
      </c>
      <c r="BP27" s="957"/>
      <c r="BQ27" s="957"/>
      <c r="BR27" s="957"/>
      <c r="BS27" s="957"/>
      <c r="BT27" s="957"/>
      <c r="BU27" s="957"/>
      <c r="BV27" s="957" t="s">
        <v>547</v>
      </c>
      <c r="BW27" s="957"/>
      <c r="BX27" s="957"/>
      <c r="BY27" s="957"/>
      <c r="BZ27" s="957"/>
      <c r="CA27" s="957"/>
      <c r="CB27" s="957"/>
      <c r="CC27" s="957" t="s">
        <v>547</v>
      </c>
      <c r="CD27" s="957"/>
      <c r="CE27" s="957"/>
      <c r="CF27" s="957"/>
      <c r="CG27" s="957"/>
      <c r="CH27" s="957"/>
      <c r="CI27" s="957"/>
    </row>
    <row r="28" spans="2:87">
      <c r="D28" s="958" t="s">
        <v>300</v>
      </c>
      <c r="E28" s="957"/>
      <c r="F28" s="957"/>
      <c r="G28" s="957"/>
      <c r="H28" s="957"/>
      <c r="I28" s="957"/>
      <c r="J28" s="957"/>
      <c r="K28" s="957" t="s">
        <v>564</v>
      </c>
      <c r="L28" s="957"/>
      <c r="M28" s="957"/>
      <c r="N28" s="957"/>
      <c r="O28" s="957"/>
      <c r="P28" s="957"/>
      <c r="Q28" s="957"/>
      <c r="R28" s="958" t="s">
        <v>300</v>
      </c>
      <c r="S28" s="957"/>
      <c r="T28" s="957"/>
      <c r="U28" s="957"/>
      <c r="V28" s="957"/>
      <c r="W28" s="957"/>
      <c r="X28" s="957"/>
      <c r="Y28" s="958" t="s">
        <v>300</v>
      </c>
      <c r="Z28" s="957"/>
      <c r="AA28" s="957"/>
      <c r="AB28" s="957"/>
      <c r="AC28" s="957"/>
      <c r="AD28" s="957"/>
      <c r="AE28" s="957"/>
      <c r="AF28" s="958" t="s">
        <v>300</v>
      </c>
      <c r="AG28" s="957"/>
      <c r="AH28" s="957"/>
      <c r="AI28" s="957"/>
      <c r="AJ28" s="957"/>
      <c r="AK28" s="957"/>
      <c r="AL28" s="957"/>
      <c r="AM28" s="957" t="s">
        <v>565</v>
      </c>
      <c r="AN28" s="957"/>
      <c r="AO28" s="957"/>
      <c r="AP28" s="957"/>
      <c r="AQ28" s="957"/>
      <c r="AR28" s="957"/>
      <c r="AS28" s="957"/>
      <c r="AT28" s="959" t="s">
        <v>544</v>
      </c>
      <c r="AU28" s="959"/>
      <c r="AV28" s="959"/>
      <c r="AW28" s="959"/>
      <c r="AX28" s="959"/>
      <c r="AY28" s="959"/>
      <c r="AZ28" s="959"/>
      <c r="BA28" s="957" t="s">
        <v>545</v>
      </c>
      <c r="BB28" s="957"/>
      <c r="BC28" s="957"/>
      <c r="BD28" s="957"/>
      <c r="BE28" s="957"/>
      <c r="BF28" s="957"/>
      <c r="BG28" s="957"/>
      <c r="BH28" s="957" t="s">
        <v>555</v>
      </c>
      <c r="BI28" s="957"/>
      <c r="BJ28" s="957"/>
      <c r="BK28" s="957"/>
      <c r="BL28" s="957"/>
      <c r="BM28" s="957"/>
      <c r="BN28" s="957"/>
      <c r="BO28" s="957" t="s">
        <v>555</v>
      </c>
      <c r="BP28" s="957"/>
      <c r="BQ28" s="957"/>
      <c r="BR28" s="957"/>
      <c r="BS28" s="957"/>
      <c r="BT28" s="957"/>
      <c r="BU28" s="957"/>
      <c r="BV28" s="957" t="s">
        <v>555</v>
      </c>
      <c r="BW28" s="957"/>
      <c r="BX28" s="957"/>
      <c r="BY28" s="957"/>
      <c r="BZ28" s="957"/>
      <c r="CA28" s="957"/>
      <c r="CB28" s="957"/>
      <c r="CC28" s="957" t="s">
        <v>555</v>
      </c>
      <c r="CD28" s="957"/>
      <c r="CE28" s="957"/>
      <c r="CF28" s="957"/>
      <c r="CG28" s="957"/>
      <c r="CH28" s="957"/>
      <c r="CI28" s="957"/>
    </row>
    <row r="30" spans="2:87">
      <c r="B30" s="691" t="s">
        <v>568</v>
      </c>
      <c r="C30" s="691" t="s">
        <v>569</v>
      </c>
    </row>
    <row r="31" spans="2:87">
      <c r="C31" s="691" t="s">
        <v>570</v>
      </c>
    </row>
    <row r="32" spans="2:87">
      <c r="C32" s="691" t="s">
        <v>571</v>
      </c>
    </row>
    <row r="33" spans="3:3">
      <c r="C33" s="691" t="s">
        <v>572</v>
      </c>
    </row>
  </sheetData>
  <mergeCells count="191">
    <mergeCell ref="A1:M1"/>
    <mergeCell ref="A2:AC3"/>
    <mergeCell ref="D10:J10"/>
    <mergeCell ref="K10:Q10"/>
    <mergeCell ref="R10:X10"/>
    <mergeCell ref="Y10:AE10"/>
    <mergeCell ref="BV10:CB10"/>
    <mergeCell ref="CC10:CI10"/>
    <mergeCell ref="CJ10:CP10"/>
    <mergeCell ref="AM11:AS11"/>
    <mergeCell ref="AT11:AZ11"/>
    <mergeCell ref="BA11:BG11"/>
    <mergeCell ref="CQ10:CW10"/>
    <mergeCell ref="CX10:DD10"/>
    <mergeCell ref="D11:J11"/>
    <mergeCell ref="K11:Q11"/>
    <mergeCell ref="R11:X11"/>
    <mergeCell ref="Y11:AE11"/>
    <mergeCell ref="AF11:AL11"/>
    <mergeCell ref="AF10:AL10"/>
    <mergeCell ref="AM10:AS10"/>
    <mergeCell ref="AT10:AZ10"/>
    <mergeCell ref="BA10:BG10"/>
    <mergeCell ref="BH10:BN10"/>
    <mergeCell ref="BO10:BU10"/>
    <mergeCell ref="CC11:CI11"/>
    <mergeCell ref="CJ11:CP11"/>
    <mergeCell ref="CQ11:CW11"/>
    <mergeCell ref="CX11:DD11"/>
    <mergeCell ref="BH11:BN11"/>
    <mergeCell ref="BO11:BU11"/>
    <mergeCell ref="BV11:CB11"/>
    <mergeCell ref="CX12:DD12"/>
    <mergeCell ref="D13:J13"/>
    <mergeCell ref="K13:Q13"/>
    <mergeCell ref="R13:X13"/>
    <mergeCell ref="Y13:AE13"/>
    <mergeCell ref="AF13:AL13"/>
    <mergeCell ref="AM13:AS13"/>
    <mergeCell ref="AT13:AZ13"/>
    <mergeCell ref="AT12:AZ12"/>
    <mergeCell ref="BA12:BG12"/>
    <mergeCell ref="BH12:BN12"/>
    <mergeCell ref="BO12:BU12"/>
    <mergeCell ref="BV12:CB12"/>
    <mergeCell ref="CC12:CI12"/>
    <mergeCell ref="CQ13:CW13"/>
    <mergeCell ref="CX13:DD13"/>
    <mergeCell ref="BH13:BN13"/>
    <mergeCell ref="BO13:BU13"/>
    <mergeCell ref="BV13:CB13"/>
    <mergeCell ref="CC13:CI13"/>
    <mergeCell ref="CJ13:CP13"/>
    <mergeCell ref="D12:J12"/>
    <mergeCell ref="K12:Q12"/>
    <mergeCell ref="R12:X12"/>
    <mergeCell ref="R14:X14"/>
    <mergeCell ref="Y14:AE14"/>
    <mergeCell ref="AF14:AL14"/>
    <mergeCell ref="AM14:AS14"/>
    <mergeCell ref="AT14:AZ14"/>
    <mergeCell ref="BA14:BG14"/>
    <mergeCell ref="BA13:BG13"/>
    <mergeCell ref="CJ12:CP12"/>
    <mergeCell ref="CQ12:CW12"/>
    <mergeCell ref="Y12:AE12"/>
    <mergeCell ref="AF12:AL12"/>
    <mergeCell ref="AM12:AS12"/>
    <mergeCell ref="BO15:BU15"/>
    <mergeCell ref="BV15:CB15"/>
    <mergeCell ref="CC15:CI15"/>
    <mergeCell ref="CJ15:CP15"/>
    <mergeCell ref="CQ15:CW15"/>
    <mergeCell ref="CX15:DD15"/>
    <mergeCell ref="CX14:DD14"/>
    <mergeCell ref="D15:J15"/>
    <mergeCell ref="K15:Q15"/>
    <mergeCell ref="R15:X15"/>
    <mergeCell ref="Y15:AE15"/>
    <mergeCell ref="AF15:AL15"/>
    <mergeCell ref="AM15:AS15"/>
    <mergeCell ref="AT15:AZ15"/>
    <mergeCell ref="BA15:BG15"/>
    <mergeCell ref="BH15:BN15"/>
    <mergeCell ref="BH14:BN14"/>
    <mergeCell ref="BO14:BU14"/>
    <mergeCell ref="BV14:CB14"/>
    <mergeCell ref="CC14:CI14"/>
    <mergeCell ref="CJ14:CP14"/>
    <mergeCell ref="CQ14:CW14"/>
    <mergeCell ref="D14:J14"/>
    <mergeCell ref="K14:Q14"/>
    <mergeCell ref="CJ16:CP16"/>
    <mergeCell ref="CQ16:CW16"/>
    <mergeCell ref="CX16:DD16"/>
    <mergeCell ref="D22:J22"/>
    <mergeCell ref="K22:Q22"/>
    <mergeCell ref="R22:X22"/>
    <mergeCell ref="Y22:AE22"/>
    <mergeCell ref="AF22:AL22"/>
    <mergeCell ref="AM22:AS22"/>
    <mergeCell ref="AT22:AZ22"/>
    <mergeCell ref="AT16:AZ16"/>
    <mergeCell ref="BA16:BG16"/>
    <mergeCell ref="BH16:BN16"/>
    <mergeCell ref="BO16:BU16"/>
    <mergeCell ref="BV16:CB16"/>
    <mergeCell ref="CC16:CI16"/>
    <mergeCell ref="D16:J16"/>
    <mergeCell ref="K16:Q16"/>
    <mergeCell ref="R16:X16"/>
    <mergeCell ref="Y16:AE16"/>
    <mergeCell ref="AF16:AL16"/>
    <mergeCell ref="AM16:AS16"/>
    <mergeCell ref="BA22:BG22"/>
    <mergeCell ref="BH22:BN22"/>
    <mergeCell ref="BO22:BU22"/>
    <mergeCell ref="BV22:CB22"/>
    <mergeCell ref="CC22:CI22"/>
    <mergeCell ref="D23:J23"/>
    <mergeCell ref="K23:Q23"/>
    <mergeCell ref="R23:X23"/>
    <mergeCell ref="Y23:AE23"/>
    <mergeCell ref="AF23:AL23"/>
    <mergeCell ref="CC23:CI23"/>
    <mergeCell ref="AM23:AS23"/>
    <mergeCell ref="AT23:AZ23"/>
    <mergeCell ref="BA23:BG23"/>
    <mergeCell ref="BH23:BN23"/>
    <mergeCell ref="BO23:BU23"/>
    <mergeCell ref="BV23:CB23"/>
    <mergeCell ref="BO24:BU24"/>
    <mergeCell ref="BV24:CB24"/>
    <mergeCell ref="CC24:CI24"/>
    <mergeCell ref="D25:J25"/>
    <mergeCell ref="K25:Q25"/>
    <mergeCell ref="R25:X25"/>
    <mergeCell ref="Y25:AE25"/>
    <mergeCell ref="AF25:AL25"/>
    <mergeCell ref="AM25:AS25"/>
    <mergeCell ref="AT25:AZ25"/>
    <mergeCell ref="BA25:BG25"/>
    <mergeCell ref="BH25:BN25"/>
    <mergeCell ref="BO25:BU25"/>
    <mergeCell ref="BV25:CB25"/>
    <mergeCell ref="CC25:CI25"/>
    <mergeCell ref="D24:J24"/>
    <mergeCell ref="K24:Q24"/>
    <mergeCell ref="R24:X24"/>
    <mergeCell ref="Y24:AE24"/>
    <mergeCell ref="AF24:AL24"/>
    <mergeCell ref="AM24:AS24"/>
    <mergeCell ref="AT24:AZ24"/>
    <mergeCell ref="BA24:BG24"/>
    <mergeCell ref="BH24:BN24"/>
    <mergeCell ref="D26:J26"/>
    <mergeCell ref="K26:Q26"/>
    <mergeCell ref="R26:X26"/>
    <mergeCell ref="Y26:AE26"/>
    <mergeCell ref="AF26:AL26"/>
    <mergeCell ref="CC26:CI26"/>
    <mergeCell ref="D27:J27"/>
    <mergeCell ref="K27:Q27"/>
    <mergeCell ref="R27:X27"/>
    <mergeCell ref="Y27:AE27"/>
    <mergeCell ref="AF27:AL27"/>
    <mergeCell ref="AM27:AS27"/>
    <mergeCell ref="AT27:AZ27"/>
    <mergeCell ref="BA27:BG27"/>
    <mergeCell ref="BH27:BN27"/>
    <mergeCell ref="AM26:AS26"/>
    <mergeCell ref="AT26:AZ26"/>
    <mergeCell ref="BA26:BG26"/>
    <mergeCell ref="BH26:BN26"/>
    <mergeCell ref="BO26:BU26"/>
    <mergeCell ref="BV26:CB26"/>
    <mergeCell ref="BA28:BG28"/>
    <mergeCell ref="BH28:BN28"/>
    <mergeCell ref="BO28:BU28"/>
    <mergeCell ref="BV28:CB28"/>
    <mergeCell ref="CC28:CI28"/>
    <mergeCell ref="BO27:BU27"/>
    <mergeCell ref="BV27:CB27"/>
    <mergeCell ref="CC27:CI27"/>
    <mergeCell ref="D28:J28"/>
    <mergeCell ref="K28:Q28"/>
    <mergeCell ref="R28:X28"/>
    <mergeCell ref="Y28:AE28"/>
    <mergeCell ref="AF28:AL28"/>
    <mergeCell ref="AM28:AS28"/>
    <mergeCell ref="AT28:AZ28"/>
  </mergeCells>
  <phoneticPr fontId="57"/>
  <dataValidations count="1">
    <dataValidation type="list" allowBlank="1" showInputMessage="1" showErrorMessage="1" sqref="WVR982917:WVW982938 WLV982917:WMA982938 WBZ982917:WCE982938 VSD982917:VSI982938 VIH982917:VIM982938 UYL982917:UYQ982938 UOP982917:UOU982938 UET982917:UEY982938 TUX982917:TVC982938 TLB982917:TLG982938 TBF982917:TBK982938 SRJ982917:SRO982938 SHN982917:SHS982938 RXR982917:RXW982938 RNV982917:ROA982938 RDZ982917:REE982938 QUD982917:QUI982938 QKH982917:QKM982938 QAL982917:QAQ982938 PQP982917:PQU982938 PGT982917:PGY982938 OWX982917:OXC982938 ONB982917:ONG982938 ODF982917:ODK982938 NTJ982917:NTO982938 NJN982917:NJS982938 MZR982917:MZW982938 MPV982917:MQA982938 MFZ982917:MGE982938 LWD982917:LWI982938 LMH982917:LMM982938 LCL982917:LCQ982938 KSP982917:KSU982938 KIT982917:KIY982938 JYX982917:JZC982938 JPB982917:JPG982938 JFF982917:JFK982938 IVJ982917:IVO982938 ILN982917:ILS982938 IBR982917:IBW982938 HRV982917:HSA982938 HHZ982917:HIE982938 GYD982917:GYI982938 GOH982917:GOM982938 GEL982917:GEQ982938 FUP982917:FUU982938 FKT982917:FKY982938 FAX982917:FBC982938 ERB982917:ERG982938 EHF982917:EHK982938 DXJ982917:DXO982938 DNN982917:DNS982938 DDR982917:DDW982938 CTV982917:CUA982938 CJZ982917:CKE982938 CAD982917:CAI982938 BQH982917:BQM982938 BGL982917:BGQ982938 AWP982917:AWU982938 AMT982917:AMY982938 ACX982917:ADC982938 TB982917:TG982938 JF982917:JK982938 J982917:O982938 WVR917381:WVW917402 WLV917381:WMA917402 WBZ917381:WCE917402 VSD917381:VSI917402 VIH917381:VIM917402 UYL917381:UYQ917402 UOP917381:UOU917402 UET917381:UEY917402 TUX917381:TVC917402 TLB917381:TLG917402 TBF917381:TBK917402 SRJ917381:SRO917402 SHN917381:SHS917402 RXR917381:RXW917402 RNV917381:ROA917402 RDZ917381:REE917402 QUD917381:QUI917402 QKH917381:QKM917402 QAL917381:QAQ917402 PQP917381:PQU917402 PGT917381:PGY917402 OWX917381:OXC917402 ONB917381:ONG917402 ODF917381:ODK917402 NTJ917381:NTO917402 NJN917381:NJS917402 MZR917381:MZW917402 MPV917381:MQA917402 MFZ917381:MGE917402 LWD917381:LWI917402 LMH917381:LMM917402 LCL917381:LCQ917402 KSP917381:KSU917402 KIT917381:KIY917402 JYX917381:JZC917402 JPB917381:JPG917402 JFF917381:JFK917402 IVJ917381:IVO917402 ILN917381:ILS917402 IBR917381:IBW917402 HRV917381:HSA917402 HHZ917381:HIE917402 GYD917381:GYI917402 GOH917381:GOM917402 GEL917381:GEQ917402 FUP917381:FUU917402 FKT917381:FKY917402 FAX917381:FBC917402 ERB917381:ERG917402 EHF917381:EHK917402 DXJ917381:DXO917402 DNN917381:DNS917402 DDR917381:DDW917402 CTV917381:CUA917402 CJZ917381:CKE917402 CAD917381:CAI917402 BQH917381:BQM917402 BGL917381:BGQ917402 AWP917381:AWU917402 AMT917381:AMY917402 ACX917381:ADC917402 TB917381:TG917402 JF917381:JK917402 J917381:O917402 WVR851845:WVW851866 WLV851845:WMA851866 WBZ851845:WCE851866 VSD851845:VSI851866 VIH851845:VIM851866 UYL851845:UYQ851866 UOP851845:UOU851866 UET851845:UEY851866 TUX851845:TVC851866 TLB851845:TLG851866 TBF851845:TBK851866 SRJ851845:SRO851866 SHN851845:SHS851866 RXR851845:RXW851866 RNV851845:ROA851866 RDZ851845:REE851866 QUD851845:QUI851866 QKH851845:QKM851866 QAL851845:QAQ851866 PQP851845:PQU851866 PGT851845:PGY851866 OWX851845:OXC851866 ONB851845:ONG851866 ODF851845:ODK851866 NTJ851845:NTO851866 NJN851845:NJS851866 MZR851845:MZW851866 MPV851845:MQA851866 MFZ851845:MGE851866 LWD851845:LWI851866 LMH851845:LMM851866 LCL851845:LCQ851866 KSP851845:KSU851866 KIT851845:KIY851866 JYX851845:JZC851866 JPB851845:JPG851866 JFF851845:JFK851866 IVJ851845:IVO851866 ILN851845:ILS851866 IBR851845:IBW851866 HRV851845:HSA851866 HHZ851845:HIE851866 GYD851845:GYI851866 GOH851845:GOM851866 GEL851845:GEQ851866 FUP851845:FUU851866 FKT851845:FKY851866 FAX851845:FBC851866 ERB851845:ERG851866 EHF851845:EHK851866 DXJ851845:DXO851866 DNN851845:DNS851866 DDR851845:DDW851866 CTV851845:CUA851866 CJZ851845:CKE851866 CAD851845:CAI851866 BQH851845:BQM851866 BGL851845:BGQ851866 AWP851845:AWU851866 AMT851845:AMY851866 ACX851845:ADC851866 TB851845:TG851866 JF851845:JK851866 J851845:O851866 WVR786309:WVW786330 WLV786309:WMA786330 WBZ786309:WCE786330 VSD786309:VSI786330 VIH786309:VIM786330 UYL786309:UYQ786330 UOP786309:UOU786330 UET786309:UEY786330 TUX786309:TVC786330 TLB786309:TLG786330 TBF786309:TBK786330 SRJ786309:SRO786330 SHN786309:SHS786330 RXR786309:RXW786330 RNV786309:ROA786330 RDZ786309:REE786330 QUD786309:QUI786330 QKH786309:QKM786330 QAL786309:QAQ786330 PQP786309:PQU786330 PGT786309:PGY786330 OWX786309:OXC786330 ONB786309:ONG786330 ODF786309:ODK786330 NTJ786309:NTO786330 NJN786309:NJS786330 MZR786309:MZW786330 MPV786309:MQA786330 MFZ786309:MGE786330 LWD786309:LWI786330 LMH786309:LMM786330 LCL786309:LCQ786330 KSP786309:KSU786330 KIT786309:KIY786330 JYX786309:JZC786330 JPB786309:JPG786330 JFF786309:JFK786330 IVJ786309:IVO786330 ILN786309:ILS786330 IBR786309:IBW786330 HRV786309:HSA786330 HHZ786309:HIE786330 GYD786309:GYI786330 GOH786309:GOM786330 GEL786309:GEQ786330 FUP786309:FUU786330 FKT786309:FKY786330 FAX786309:FBC786330 ERB786309:ERG786330 EHF786309:EHK786330 DXJ786309:DXO786330 DNN786309:DNS786330 DDR786309:DDW786330 CTV786309:CUA786330 CJZ786309:CKE786330 CAD786309:CAI786330 BQH786309:BQM786330 BGL786309:BGQ786330 AWP786309:AWU786330 AMT786309:AMY786330 ACX786309:ADC786330 TB786309:TG786330 JF786309:JK786330 J786309:O786330 WVR720773:WVW720794 WLV720773:WMA720794 WBZ720773:WCE720794 VSD720773:VSI720794 VIH720773:VIM720794 UYL720773:UYQ720794 UOP720773:UOU720794 UET720773:UEY720794 TUX720773:TVC720794 TLB720773:TLG720794 TBF720773:TBK720794 SRJ720773:SRO720794 SHN720773:SHS720794 RXR720773:RXW720794 RNV720773:ROA720794 RDZ720773:REE720794 QUD720773:QUI720794 QKH720773:QKM720794 QAL720773:QAQ720794 PQP720773:PQU720794 PGT720773:PGY720794 OWX720773:OXC720794 ONB720773:ONG720794 ODF720773:ODK720794 NTJ720773:NTO720794 NJN720773:NJS720794 MZR720773:MZW720794 MPV720773:MQA720794 MFZ720773:MGE720794 LWD720773:LWI720794 LMH720773:LMM720794 LCL720773:LCQ720794 KSP720773:KSU720794 KIT720773:KIY720794 JYX720773:JZC720794 JPB720773:JPG720794 JFF720773:JFK720794 IVJ720773:IVO720794 ILN720773:ILS720794 IBR720773:IBW720794 HRV720773:HSA720794 HHZ720773:HIE720794 GYD720773:GYI720794 GOH720773:GOM720794 GEL720773:GEQ720794 FUP720773:FUU720794 FKT720773:FKY720794 FAX720773:FBC720794 ERB720773:ERG720794 EHF720773:EHK720794 DXJ720773:DXO720794 DNN720773:DNS720794 DDR720773:DDW720794 CTV720773:CUA720794 CJZ720773:CKE720794 CAD720773:CAI720794 BQH720773:BQM720794 BGL720773:BGQ720794 AWP720773:AWU720794 AMT720773:AMY720794 ACX720773:ADC720794 TB720773:TG720794 JF720773:JK720794 J720773:O720794 WVR655237:WVW655258 WLV655237:WMA655258 WBZ655237:WCE655258 VSD655237:VSI655258 VIH655237:VIM655258 UYL655237:UYQ655258 UOP655237:UOU655258 UET655237:UEY655258 TUX655237:TVC655258 TLB655237:TLG655258 TBF655237:TBK655258 SRJ655237:SRO655258 SHN655237:SHS655258 RXR655237:RXW655258 RNV655237:ROA655258 RDZ655237:REE655258 QUD655237:QUI655258 QKH655237:QKM655258 QAL655237:QAQ655258 PQP655237:PQU655258 PGT655237:PGY655258 OWX655237:OXC655258 ONB655237:ONG655258 ODF655237:ODK655258 NTJ655237:NTO655258 NJN655237:NJS655258 MZR655237:MZW655258 MPV655237:MQA655258 MFZ655237:MGE655258 LWD655237:LWI655258 LMH655237:LMM655258 LCL655237:LCQ655258 KSP655237:KSU655258 KIT655237:KIY655258 JYX655237:JZC655258 JPB655237:JPG655258 JFF655237:JFK655258 IVJ655237:IVO655258 ILN655237:ILS655258 IBR655237:IBW655258 HRV655237:HSA655258 HHZ655237:HIE655258 GYD655237:GYI655258 GOH655237:GOM655258 GEL655237:GEQ655258 FUP655237:FUU655258 FKT655237:FKY655258 FAX655237:FBC655258 ERB655237:ERG655258 EHF655237:EHK655258 DXJ655237:DXO655258 DNN655237:DNS655258 DDR655237:DDW655258 CTV655237:CUA655258 CJZ655237:CKE655258 CAD655237:CAI655258 BQH655237:BQM655258 BGL655237:BGQ655258 AWP655237:AWU655258 AMT655237:AMY655258 ACX655237:ADC655258 TB655237:TG655258 JF655237:JK655258 J655237:O655258 WVR589701:WVW589722 WLV589701:WMA589722 WBZ589701:WCE589722 VSD589701:VSI589722 VIH589701:VIM589722 UYL589701:UYQ589722 UOP589701:UOU589722 UET589701:UEY589722 TUX589701:TVC589722 TLB589701:TLG589722 TBF589701:TBK589722 SRJ589701:SRO589722 SHN589701:SHS589722 RXR589701:RXW589722 RNV589701:ROA589722 RDZ589701:REE589722 QUD589701:QUI589722 QKH589701:QKM589722 QAL589701:QAQ589722 PQP589701:PQU589722 PGT589701:PGY589722 OWX589701:OXC589722 ONB589701:ONG589722 ODF589701:ODK589722 NTJ589701:NTO589722 NJN589701:NJS589722 MZR589701:MZW589722 MPV589701:MQA589722 MFZ589701:MGE589722 LWD589701:LWI589722 LMH589701:LMM589722 LCL589701:LCQ589722 KSP589701:KSU589722 KIT589701:KIY589722 JYX589701:JZC589722 JPB589701:JPG589722 JFF589701:JFK589722 IVJ589701:IVO589722 ILN589701:ILS589722 IBR589701:IBW589722 HRV589701:HSA589722 HHZ589701:HIE589722 GYD589701:GYI589722 GOH589701:GOM589722 GEL589701:GEQ589722 FUP589701:FUU589722 FKT589701:FKY589722 FAX589701:FBC589722 ERB589701:ERG589722 EHF589701:EHK589722 DXJ589701:DXO589722 DNN589701:DNS589722 DDR589701:DDW589722 CTV589701:CUA589722 CJZ589701:CKE589722 CAD589701:CAI589722 BQH589701:BQM589722 BGL589701:BGQ589722 AWP589701:AWU589722 AMT589701:AMY589722 ACX589701:ADC589722 TB589701:TG589722 JF589701:JK589722 J589701:O589722 WVR524165:WVW524186 WLV524165:WMA524186 WBZ524165:WCE524186 VSD524165:VSI524186 VIH524165:VIM524186 UYL524165:UYQ524186 UOP524165:UOU524186 UET524165:UEY524186 TUX524165:TVC524186 TLB524165:TLG524186 TBF524165:TBK524186 SRJ524165:SRO524186 SHN524165:SHS524186 RXR524165:RXW524186 RNV524165:ROA524186 RDZ524165:REE524186 QUD524165:QUI524186 QKH524165:QKM524186 QAL524165:QAQ524186 PQP524165:PQU524186 PGT524165:PGY524186 OWX524165:OXC524186 ONB524165:ONG524186 ODF524165:ODK524186 NTJ524165:NTO524186 NJN524165:NJS524186 MZR524165:MZW524186 MPV524165:MQA524186 MFZ524165:MGE524186 LWD524165:LWI524186 LMH524165:LMM524186 LCL524165:LCQ524186 KSP524165:KSU524186 KIT524165:KIY524186 JYX524165:JZC524186 JPB524165:JPG524186 JFF524165:JFK524186 IVJ524165:IVO524186 ILN524165:ILS524186 IBR524165:IBW524186 HRV524165:HSA524186 HHZ524165:HIE524186 GYD524165:GYI524186 GOH524165:GOM524186 GEL524165:GEQ524186 FUP524165:FUU524186 FKT524165:FKY524186 FAX524165:FBC524186 ERB524165:ERG524186 EHF524165:EHK524186 DXJ524165:DXO524186 DNN524165:DNS524186 DDR524165:DDW524186 CTV524165:CUA524186 CJZ524165:CKE524186 CAD524165:CAI524186 BQH524165:BQM524186 BGL524165:BGQ524186 AWP524165:AWU524186 AMT524165:AMY524186 ACX524165:ADC524186 TB524165:TG524186 JF524165:JK524186 J524165:O524186 WVR458629:WVW458650 WLV458629:WMA458650 WBZ458629:WCE458650 VSD458629:VSI458650 VIH458629:VIM458650 UYL458629:UYQ458650 UOP458629:UOU458650 UET458629:UEY458650 TUX458629:TVC458650 TLB458629:TLG458650 TBF458629:TBK458650 SRJ458629:SRO458650 SHN458629:SHS458650 RXR458629:RXW458650 RNV458629:ROA458650 RDZ458629:REE458650 QUD458629:QUI458650 QKH458629:QKM458650 QAL458629:QAQ458650 PQP458629:PQU458650 PGT458629:PGY458650 OWX458629:OXC458650 ONB458629:ONG458650 ODF458629:ODK458650 NTJ458629:NTO458650 NJN458629:NJS458650 MZR458629:MZW458650 MPV458629:MQA458650 MFZ458629:MGE458650 LWD458629:LWI458650 LMH458629:LMM458650 LCL458629:LCQ458650 KSP458629:KSU458650 KIT458629:KIY458650 JYX458629:JZC458650 JPB458629:JPG458650 JFF458629:JFK458650 IVJ458629:IVO458650 ILN458629:ILS458650 IBR458629:IBW458650 HRV458629:HSA458650 HHZ458629:HIE458650 GYD458629:GYI458650 GOH458629:GOM458650 GEL458629:GEQ458650 FUP458629:FUU458650 FKT458629:FKY458650 FAX458629:FBC458650 ERB458629:ERG458650 EHF458629:EHK458650 DXJ458629:DXO458650 DNN458629:DNS458650 DDR458629:DDW458650 CTV458629:CUA458650 CJZ458629:CKE458650 CAD458629:CAI458650 BQH458629:BQM458650 BGL458629:BGQ458650 AWP458629:AWU458650 AMT458629:AMY458650 ACX458629:ADC458650 TB458629:TG458650 JF458629:JK458650 J458629:O458650 WVR393093:WVW393114 WLV393093:WMA393114 WBZ393093:WCE393114 VSD393093:VSI393114 VIH393093:VIM393114 UYL393093:UYQ393114 UOP393093:UOU393114 UET393093:UEY393114 TUX393093:TVC393114 TLB393093:TLG393114 TBF393093:TBK393114 SRJ393093:SRO393114 SHN393093:SHS393114 RXR393093:RXW393114 RNV393093:ROA393114 RDZ393093:REE393114 QUD393093:QUI393114 QKH393093:QKM393114 QAL393093:QAQ393114 PQP393093:PQU393114 PGT393093:PGY393114 OWX393093:OXC393114 ONB393093:ONG393114 ODF393093:ODK393114 NTJ393093:NTO393114 NJN393093:NJS393114 MZR393093:MZW393114 MPV393093:MQA393114 MFZ393093:MGE393114 LWD393093:LWI393114 LMH393093:LMM393114 LCL393093:LCQ393114 KSP393093:KSU393114 KIT393093:KIY393114 JYX393093:JZC393114 JPB393093:JPG393114 JFF393093:JFK393114 IVJ393093:IVO393114 ILN393093:ILS393114 IBR393093:IBW393114 HRV393093:HSA393114 HHZ393093:HIE393114 GYD393093:GYI393114 GOH393093:GOM393114 GEL393093:GEQ393114 FUP393093:FUU393114 FKT393093:FKY393114 FAX393093:FBC393114 ERB393093:ERG393114 EHF393093:EHK393114 DXJ393093:DXO393114 DNN393093:DNS393114 DDR393093:DDW393114 CTV393093:CUA393114 CJZ393093:CKE393114 CAD393093:CAI393114 BQH393093:BQM393114 BGL393093:BGQ393114 AWP393093:AWU393114 AMT393093:AMY393114 ACX393093:ADC393114 TB393093:TG393114 JF393093:JK393114 J393093:O393114 WVR327557:WVW327578 WLV327557:WMA327578 WBZ327557:WCE327578 VSD327557:VSI327578 VIH327557:VIM327578 UYL327557:UYQ327578 UOP327557:UOU327578 UET327557:UEY327578 TUX327557:TVC327578 TLB327557:TLG327578 TBF327557:TBK327578 SRJ327557:SRO327578 SHN327557:SHS327578 RXR327557:RXW327578 RNV327557:ROA327578 RDZ327557:REE327578 QUD327557:QUI327578 QKH327557:QKM327578 QAL327557:QAQ327578 PQP327557:PQU327578 PGT327557:PGY327578 OWX327557:OXC327578 ONB327557:ONG327578 ODF327557:ODK327578 NTJ327557:NTO327578 NJN327557:NJS327578 MZR327557:MZW327578 MPV327557:MQA327578 MFZ327557:MGE327578 LWD327557:LWI327578 LMH327557:LMM327578 LCL327557:LCQ327578 KSP327557:KSU327578 KIT327557:KIY327578 JYX327557:JZC327578 JPB327557:JPG327578 JFF327557:JFK327578 IVJ327557:IVO327578 ILN327557:ILS327578 IBR327557:IBW327578 HRV327557:HSA327578 HHZ327557:HIE327578 GYD327557:GYI327578 GOH327557:GOM327578 GEL327557:GEQ327578 FUP327557:FUU327578 FKT327557:FKY327578 FAX327557:FBC327578 ERB327557:ERG327578 EHF327557:EHK327578 DXJ327557:DXO327578 DNN327557:DNS327578 DDR327557:DDW327578 CTV327557:CUA327578 CJZ327557:CKE327578 CAD327557:CAI327578 BQH327557:BQM327578 BGL327557:BGQ327578 AWP327557:AWU327578 AMT327557:AMY327578 ACX327557:ADC327578 TB327557:TG327578 JF327557:JK327578 J327557:O327578 WVR262021:WVW262042 WLV262021:WMA262042 WBZ262021:WCE262042 VSD262021:VSI262042 VIH262021:VIM262042 UYL262021:UYQ262042 UOP262021:UOU262042 UET262021:UEY262042 TUX262021:TVC262042 TLB262021:TLG262042 TBF262021:TBK262042 SRJ262021:SRO262042 SHN262021:SHS262042 RXR262021:RXW262042 RNV262021:ROA262042 RDZ262021:REE262042 QUD262021:QUI262042 QKH262021:QKM262042 QAL262021:QAQ262042 PQP262021:PQU262042 PGT262021:PGY262042 OWX262021:OXC262042 ONB262021:ONG262042 ODF262021:ODK262042 NTJ262021:NTO262042 NJN262021:NJS262042 MZR262021:MZW262042 MPV262021:MQA262042 MFZ262021:MGE262042 LWD262021:LWI262042 LMH262021:LMM262042 LCL262021:LCQ262042 KSP262021:KSU262042 KIT262021:KIY262042 JYX262021:JZC262042 JPB262021:JPG262042 JFF262021:JFK262042 IVJ262021:IVO262042 ILN262021:ILS262042 IBR262021:IBW262042 HRV262021:HSA262042 HHZ262021:HIE262042 GYD262021:GYI262042 GOH262021:GOM262042 GEL262021:GEQ262042 FUP262021:FUU262042 FKT262021:FKY262042 FAX262021:FBC262042 ERB262021:ERG262042 EHF262021:EHK262042 DXJ262021:DXO262042 DNN262021:DNS262042 DDR262021:DDW262042 CTV262021:CUA262042 CJZ262021:CKE262042 CAD262021:CAI262042 BQH262021:BQM262042 BGL262021:BGQ262042 AWP262021:AWU262042 AMT262021:AMY262042 ACX262021:ADC262042 TB262021:TG262042 JF262021:JK262042 J262021:O262042 WVR196485:WVW196506 WLV196485:WMA196506 WBZ196485:WCE196506 VSD196485:VSI196506 VIH196485:VIM196506 UYL196485:UYQ196506 UOP196485:UOU196506 UET196485:UEY196506 TUX196485:TVC196506 TLB196485:TLG196506 TBF196485:TBK196506 SRJ196485:SRO196506 SHN196485:SHS196506 RXR196485:RXW196506 RNV196485:ROA196506 RDZ196485:REE196506 QUD196485:QUI196506 QKH196485:QKM196506 QAL196485:QAQ196506 PQP196485:PQU196506 PGT196485:PGY196506 OWX196485:OXC196506 ONB196485:ONG196506 ODF196485:ODK196506 NTJ196485:NTO196506 NJN196485:NJS196506 MZR196485:MZW196506 MPV196485:MQA196506 MFZ196485:MGE196506 LWD196485:LWI196506 LMH196485:LMM196506 LCL196485:LCQ196506 KSP196485:KSU196506 KIT196485:KIY196506 JYX196485:JZC196506 JPB196485:JPG196506 JFF196485:JFK196506 IVJ196485:IVO196506 ILN196485:ILS196506 IBR196485:IBW196506 HRV196485:HSA196506 HHZ196485:HIE196506 GYD196485:GYI196506 GOH196485:GOM196506 GEL196485:GEQ196506 FUP196485:FUU196506 FKT196485:FKY196506 FAX196485:FBC196506 ERB196485:ERG196506 EHF196485:EHK196506 DXJ196485:DXO196506 DNN196485:DNS196506 DDR196485:DDW196506 CTV196485:CUA196506 CJZ196485:CKE196506 CAD196485:CAI196506 BQH196485:BQM196506 BGL196485:BGQ196506 AWP196485:AWU196506 AMT196485:AMY196506 ACX196485:ADC196506 TB196485:TG196506 JF196485:JK196506 J196485:O196506 WVR130949:WVW130970 WLV130949:WMA130970 WBZ130949:WCE130970 VSD130949:VSI130970 VIH130949:VIM130970 UYL130949:UYQ130970 UOP130949:UOU130970 UET130949:UEY130970 TUX130949:TVC130970 TLB130949:TLG130970 TBF130949:TBK130970 SRJ130949:SRO130970 SHN130949:SHS130970 RXR130949:RXW130970 RNV130949:ROA130970 RDZ130949:REE130970 QUD130949:QUI130970 QKH130949:QKM130970 QAL130949:QAQ130970 PQP130949:PQU130970 PGT130949:PGY130970 OWX130949:OXC130970 ONB130949:ONG130970 ODF130949:ODK130970 NTJ130949:NTO130970 NJN130949:NJS130970 MZR130949:MZW130970 MPV130949:MQA130970 MFZ130949:MGE130970 LWD130949:LWI130970 LMH130949:LMM130970 LCL130949:LCQ130970 KSP130949:KSU130970 KIT130949:KIY130970 JYX130949:JZC130970 JPB130949:JPG130970 JFF130949:JFK130970 IVJ130949:IVO130970 ILN130949:ILS130970 IBR130949:IBW130970 HRV130949:HSA130970 HHZ130949:HIE130970 GYD130949:GYI130970 GOH130949:GOM130970 GEL130949:GEQ130970 FUP130949:FUU130970 FKT130949:FKY130970 FAX130949:FBC130970 ERB130949:ERG130970 EHF130949:EHK130970 DXJ130949:DXO130970 DNN130949:DNS130970 DDR130949:DDW130970 CTV130949:CUA130970 CJZ130949:CKE130970 CAD130949:CAI130970 BQH130949:BQM130970 BGL130949:BGQ130970 AWP130949:AWU130970 AMT130949:AMY130970 ACX130949:ADC130970 TB130949:TG130970 JF130949:JK130970 J130949:O130970 WVR65413:WVW65434 WLV65413:WMA65434 WBZ65413:WCE65434 VSD65413:VSI65434 VIH65413:VIM65434 UYL65413:UYQ65434 UOP65413:UOU65434 UET65413:UEY65434 TUX65413:TVC65434 TLB65413:TLG65434 TBF65413:TBK65434 SRJ65413:SRO65434 SHN65413:SHS65434 RXR65413:RXW65434 RNV65413:ROA65434 RDZ65413:REE65434 QUD65413:QUI65434 QKH65413:QKM65434 QAL65413:QAQ65434 PQP65413:PQU65434 PGT65413:PGY65434 OWX65413:OXC65434 ONB65413:ONG65434 ODF65413:ODK65434 NTJ65413:NTO65434 NJN65413:NJS65434 MZR65413:MZW65434 MPV65413:MQA65434 MFZ65413:MGE65434 LWD65413:LWI65434 LMH65413:LMM65434 LCL65413:LCQ65434 KSP65413:KSU65434 KIT65413:KIY65434 JYX65413:JZC65434 JPB65413:JPG65434 JFF65413:JFK65434 IVJ65413:IVO65434 ILN65413:ILS65434 IBR65413:IBW65434 HRV65413:HSA65434 HHZ65413:HIE65434 GYD65413:GYI65434 GOH65413:GOM65434 GEL65413:GEQ65434 FUP65413:FUU65434 FKT65413:FKY65434 FAX65413:FBC65434 ERB65413:ERG65434 EHF65413:EHK65434 DXJ65413:DXO65434 DNN65413:DNS65434 DDR65413:DDW65434 CTV65413:CUA65434 CJZ65413:CKE65434 CAD65413:CAI65434 BQH65413:BQM65434 BGL65413:BGQ65434 AWP65413:AWU65434 AMT65413:AMY65434 ACX65413:ADC65434 TB65413:TG65434 JF65413:JK65434 J65413:O65434 WWF982917:WWM982938 WMJ982917:WMQ982938 WCN982917:WCU982938 VSR982917:VSY982938 VIV982917:VJC982938 UYZ982917:UZG982938 UPD982917:UPK982938 UFH982917:UFO982938 TVL982917:TVS982938 TLP982917:TLW982938 TBT982917:TCA982938 SRX982917:SSE982938 SIB982917:SII982938 RYF982917:RYM982938 ROJ982917:ROQ982938 REN982917:REU982938 QUR982917:QUY982938 QKV982917:QLC982938 QAZ982917:QBG982938 PRD982917:PRK982938 PHH982917:PHO982938 OXL982917:OXS982938 ONP982917:ONW982938 ODT982917:OEA982938 NTX982917:NUE982938 NKB982917:NKI982938 NAF982917:NAM982938 MQJ982917:MQQ982938 MGN982917:MGU982938 LWR982917:LWY982938 LMV982917:LNC982938 LCZ982917:LDG982938 KTD982917:KTK982938 KJH982917:KJO982938 JZL982917:JZS982938 JPP982917:JPW982938 JFT982917:JGA982938 IVX982917:IWE982938 IMB982917:IMI982938 ICF982917:ICM982938 HSJ982917:HSQ982938 HIN982917:HIU982938 GYR982917:GYY982938 GOV982917:GPC982938 GEZ982917:GFG982938 FVD982917:FVK982938 FLH982917:FLO982938 FBL982917:FBS982938 ERP982917:ERW982938 EHT982917:EIA982938 DXX982917:DYE982938 DOB982917:DOI982938 DEF982917:DEM982938 CUJ982917:CUQ982938 CKN982917:CKU982938 CAR982917:CAY982938 BQV982917:BRC982938 BGZ982917:BHG982938 AXD982917:AXK982938 ANH982917:ANO982938 ADL982917:ADS982938 TP982917:TW982938 JT982917:KA982938 X982917:AE982938 WWF917381:WWM917402 WMJ917381:WMQ917402 WCN917381:WCU917402 VSR917381:VSY917402 VIV917381:VJC917402 UYZ917381:UZG917402 UPD917381:UPK917402 UFH917381:UFO917402 TVL917381:TVS917402 TLP917381:TLW917402 TBT917381:TCA917402 SRX917381:SSE917402 SIB917381:SII917402 RYF917381:RYM917402 ROJ917381:ROQ917402 REN917381:REU917402 QUR917381:QUY917402 QKV917381:QLC917402 QAZ917381:QBG917402 PRD917381:PRK917402 PHH917381:PHO917402 OXL917381:OXS917402 ONP917381:ONW917402 ODT917381:OEA917402 NTX917381:NUE917402 NKB917381:NKI917402 NAF917381:NAM917402 MQJ917381:MQQ917402 MGN917381:MGU917402 LWR917381:LWY917402 LMV917381:LNC917402 LCZ917381:LDG917402 KTD917381:KTK917402 KJH917381:KJO917402 JZL917381:JZS917402 JPP917381:JPW917402 JFT917381:JGA917402 IVX917381:IWE917402 IMB917381:IMI917402 ICF917381:ICM917402 HSJ917381:HSQ917402 HIN917381:HIU917402 GYR917381:GYY917402 GOV917381:GPC917402 GEZ917381:GFG917402 FVD917381:FVK917402 FLH917381:FLO917402 FBL917381:FBS917402 ERP917381:ERW917402 EHT917381:EIA917402 DXX917381:DYE917402 DOB917381:DOI917402 DEF917381:DEM917402 CUJ917381:CUQ917402 CKN917381:CKU917402 CAR917381:CAY917402 BQV917381:BRC917402 BGZ917381:BHG917402 AXD917381:AXK917402 ANH917381:ANO917402 ADL917381:ADS917402 TP917381:TW917402 JT917381:KA917402 X917381:AE917402 WWF851845:WWM851866 WMJ851845:WMQ851866 WCN851845:WCU851866 VSR851845:VSY851866 VIV851845:VJC851866 UYZ851845:UZG851866 UPD851845:UPK851866 UFH851845:UFO851866 TVL851845:TVS851866 TLP851845:TLW851866 TBT851845:TCA851866 SRX851845:SSE851866 SIB851845:SII851866 RYF851845:RYM851866 ROJ851845:ROQ851866 REN851845:REU851866 QUR851845:QUY851866 QKV851845:QLC851866 QAZ851845:QBG851866 PRD851845:PRK851866 PHH851845:PHO851866 OXL851845:OXS851866 ONP851845:ONW851866 ODT851845:OEA851866 NTX851845:NUE851866 NKB851845:NKI851866 NAF851845:NAM851866 MQJ851845:MQQ851866 MGN851845:MGU851866 LWR851845:LWY851866 LMV851845:LNC851866 LCZ851845:LDG851866 KTD851845:KTK851866 KJH851845:KJO851866 JZL851845:JZS851866 JPP851845:JPW851866 JFT851845:JGA851866 IVX851845:IWE851866 IMB851845:IMI851866 ICF851845:ICM851866 HSJ851845:HSQ851866 HIN851845:HIU851866 GYR851845:GYY851866 GOV851845:GPC851866 GEZ851845:GFG851866 FVD851845:FVK851866 FLH851845:FLO851866 FBL851845:FBS851866 ERP851845:ERW851866 EHT851845:EIA851866 DXX851845:DYE851866 DOB851845:DOI851866 DEF851845:DEM851866 CUJ851845:CUQ851866 CKN851845:CKU851866 CAR851845:CAY851866 BQV851845:BRC851866 BGZ851845:BHG851866 AXD851845:AXK851866 ANH851845:ANO851866 ADL851845:ADS851866 TP851845:TW851866 JT851845:KA851866 X851845:AE851866 WWF786309:WWM786330 WMJ786309:WMQ786330 WCN786309:WCU786330 VSR786309:VSY786330 VIV786309:VJC786330 UYZ786309:UZG786330 UPD786309:UPK786330 UFH786309:UFO786330 TVL786309:TVS786330 TLP786309:TLW786330 TBT786309:TCA786330 SRX786309:SSE786330 SIB786309:SII786330 RYF786309:RYM786330 ROJ786309:ROQ786330 REN786309:REU786330 QUR786309:QUY786330 QKV786309:QLC786330 QAZ786309:QBG786330 PRD786309:PRK786330 PHH786309:PHO786330 OXL786309:OXS786330 ONP786309:ONW786330 ODT786309:OEA786330 NTX786309:NUE786330 NKB786309:NKI786330 NAF786309:NAM786330 MQJ786309:MQQ786330 MGN786309:MGU786330 LWR786309:LWY786330 LMV786309:LNC786330 LCZ786309:LDG786330 KTD786309:KTK786330 KJH786309:KJO786330 JZL786309:JZS786330 JPP786309:JPW786330 JFT786309:JGA786330 IVX786309:IWE786330 IMB786309:IMI786330 ICF786309:ICM786330 HSJ786309:HSQ786330 HIN786309:HIU786330 GYR786309:GYY786330 GOV786309:GPC786330 GEZ786309:GFG786330 FVD786309:FVK786330 FLH786309:FLO786330 FBL786309:FBS786330 ERP786309:ERW786330 EHT786309:EIA786330 DXX786309:DYE786330 DOB786309:DOI786330 DEF786309:DEM786330 CUJ786309:CUQ786330 CKN786309:CKU786330 CAR786309:CAY786330 BQV786309:BRC786330 BGZ786309:BHG786330 AXD786309:AXK786330 ANH786309:ANO786330 ADL786309:ADS786330 TP786309:TW786330 JT786309:KA786330 X786309:AE786330 WWF720773:WWM720794 WMJ720773:WMQ720794 WCN720773:WCU720794 VSR720773:VSY720794 VIV720773:VJC720794 UYZ720773:UZG720794 UPD720773:UPK720794 UFH720773:UFO720794 TVL720773:TVS720794 TLP720773:TLW720794 TBT720773:TCA720794 SRX720773:SSE720794 SIB720773:SII720794 RYF720773:RYM720794 ROJ720773:ROQ720794 REN720773:REU720794 QUR720773:QUY720794 QKV720773:QLC720794 QAZ720773:QBG720794 PRD720773:PRK720794 PHH720773:PHO720794 OXL720773:OXS720794 ONP720773:ONW720794 ODT720773:OEA720794 NTX720773:NUE720794 NKB720773:NKI720794 NAF720773:NAM720794 MQJ720773:MQQ720794 MGN720773:MGU720794 LWR720773:LWY720794 LMV720773:LNC720794 LCZ720773:LDG720794 KTD720773:KTK720794 KJH720773:KJO720794 JZL720773:JZS720794 JPP720773:JPW720794 JFT720773:JGA720794 IVX720773:IWE720794 IMB720773:IMI720794 ICF720773:ICM720794 HSJ720773:HSQ720794 HIN720773:HIU720794 GYR720773:GYY720794 GOV720773:GPC720794 GEZ720773:GFG720794 FVD720773:FVK720794 FLH720773:FLO720794 FBL720773:FBS720794 ERP720773:ERW720794 EHT720773:EIA720794 DXX720773:DYE720794 DOB720773:DOI720794 DEF720773:DEM720794 CUJ720773:CUQ720794 CKN720773:CKU720794 CAR720773:CAY720794 BQV720773:BRC720794 BGZ720773:BHG720794 AXD720773:AXK720794 ANH720773:ANO720794 ADL720773:ADS720794 TP720773:TW720794 JT720773:KA720794 X720773:AE720794 WWF655237:WWM655258 WMJ655237:WMQ655258 WCN655237:WCU655258 VSR655237:VSY655258 VIV655237:VJC655258 UYZ655237:UZG655258 UPD655237:UPK655258 UFH655237:UFO655258 TVL655237:TVS655258 TLP655237:TLW655258 TBT655237:TCA655258 SRX655237:SSE655258 SIB655237:SII655258 RYF655237:RYM655258 ROJ655237:ROQ655258 REN655237:REU655258 QUR655237:QUY655258 QKV655237:QLC655258 QAZ655237:QBG655258 PRD655237:PRK655258 PHH655237:PHO655258 OXL655237:OXS655258 ONP655237:ONW655258 ODT655237:OEA655258 NTX655237:NUE655258 NKB655237:NKI655258 NAF655237:NAM655258 MQJ655237:MQQ655258 MGN655237:MGU655258 LWR655237:LWY655258 LMV655237:LNC655258 LCZ655237:LDG655258 KTD655237:KTK655258 KJH655237:KJO655258 JZL655237:JZS655258 JPP655237:JPW655258 JFT655237:JGA655258 IVX655237:IWE655258 IMB655237:IMI655258 ICF655237:ICM655258 HSJ655237:HSQ655258 HIN655237:HIU655258 GYR655237:GYY655258 GOV655237:GPC655258 GEZ655237:GFG655258 FVD655237:FVK655258 FLH655237:FLO655258 FBL655237:FBS655258 ERP655237:ERW655258 EHT655237:EIA655258 DXX655237:DYE655258 DOB655237:DOI655258 DEF655237:DEM655258 CUJ655237:CUQ655258 CKN655237:CKU655258 CAR655237:CAY655258 BQV655237:BRC655258 BGZ655237:BHG655258 AXD655237:AXK655258 ANH655237:ANO655258 ADL655237:ADS655258 TP655237:TW655258 JT655237:KA655258 X655237:AE655258 WWF589701:WWM589722 WMJ589701:WMQ589722 WCN589701:WCU589722 VSR589701:VSY589722 VIV589701:VJC589722 UYZ589701:UZG589722 UPD589701:UPK589722 UFH589701:UFO589722 TVL589701:TVS589722 TLP589701:TLW589722 TBT589701:TCA589722 SRX589701:SSE589722 SIB589701:SII589722 RYF589701:RYM589722 ROJ589701:ROQ589722 REN589701:REU589722 QUR589701:QUY589722 QKV589701:QLC589722 QAZ589701:QBG589722 PRD589701:PRK589722 PHH589701:PHO589722 OXL589701:OXS589722 ONP589701:ONW589722 ODT589701:OEA589722 NTX589701:NUE589722 NKB589701:NKI589722 NAF589701:NAM589722 MQJ589701:MQQ589722 MGN589701:MGU589722 LWR589701:LWY589722 LMV589701:LNC589722 LCZ589701:LDG589722 KTD589701:KTK589722 KJH589701:KJO589722 JZL589701:JZS589722 JPP589701:JPW589722 JFT589701:JGA589722 IVX589701:IWE589722 IMB589701:IMI589722 ICF589701:ICM589722 HSJ589701:HSQ589722 HIN589701:HIU589722 GYR589701:GYY589722 GOV589701:GPC589722 GEZ589701:GFG589722 FVD589701:FVK589722 FLH589701:FLO589722 FBL589701:FBS589722 ERP589701:ERW589722 EHT589701:EIA589722 DXX589701:DYE589722 DOB589701:DOI589722 DEF589701:DEM589722 CUJ589701:CUQ589722 CKN589701:CKU589722 CAR589701:CAY589722 BQV589701:BRC589722 BGZ589701:BHG589722 AXD589701:AXK589722 ANH589701:ANO589722 ADL589701:ADS589722 TP589701:TW589722 JT589701:KA589722 X589701:AE589722 WWF524165:WWM524186 WMJ524165:WMQ524186 WCN524165:WCU524186 VSR524165:VSY524186 VIV524165:VJC524186 UYZ524165:UZG524186 UPD524165:UPK524186 UFH524165:UFO524186 TVL524165:TVS524186 TLP524165:TLW524186 TBT524165:TCA524186 SRX524165:SSE524186 SIB524165:SII524186 RYF524165:RYM524186 ROJ524165:ROQ524186 REN524165:REU524186 QUR524165:QUY524186 QKV524165:QLC524186 QAZ524165:QBG524186 PRD524165:PRK524186 PHH524165:PHO524186 OXL524165:OXS524186 ONP524165:ONW524186 ODT524165:OEA524186 NTX524165:NUE524186 NKB524165:NKI524186 NAF524165:NAM524186 MQJ524165:MQQ524186 MGN524165:MGU524186 LWR524165:LWY524186 LMV524165:LNC524186 LCZ524165:LDG524186 KTD524165:KTK524186 KJH524165:KJO524186 JZL524165:JZS524186 JPP524165:JPW524186 JFT524165:JGA524186 IVX524165:IWE524186 IMB524165:IMI524186 ICF524165:ICM524186 HSJ524165:HSQ524186 HIN524165:HIU524186 GYR524165:GYY524186 GOV524165:GPC524186 GEZ524165:GFG524186 FVD524165:FVK524186 FLH524165:FLO524186 FBL524165:FBS524186 ERP524165:ERW524186 EHT524165:EIA524186 DXX524165:DYE524186 DOB524165:DOI524186 DEF524165:DEM524186 CUJ524165:CUQ524186 CKN524165:CKU524186 CAR524165:CAY524186 BQV524165:BRC524186 BGZ524165:BHG524186 AXD524165:AXK524186 ANH524165:ANO524186 ADL524165:ADS524186 TP524165:TW524186 JT524165:KA524186 X524165:AE524186 WWF458629:WWM458650 WMJ458629:WMQ458650 WCN458629:WCU458650 VSR458629:VSY458650 VIV458629:VJC458650 UYZ458629:UZG458650 UPD458629:UPK458650 UFH458629:UFO458650 TVL458629:TVS458650 TLP458629:TLW458650 TBT458629:TCA458650 SRX458629:SSE458650 SIB458629:SII458650 RYF458629:RYM458650 ROJ458629:ROQ458650 REN458629:REU458650 QUR458629:QUY458650 QKV458629:QLC458650 QAZ458629:QBG458650 PRD458629:PRK458650 PHH458629:PHO458650 OXL458629:OXS458650 ONP458629:ONW458650 ODT458629:OEA458650 NTX458629:NUE458650 NKB458629:NKI458650 NAF458629:NAM458650 MQJ458629:MQQ458650 MGN458629:MGU458650 LWR458629:LWY458650 LMV458629:LNC458650 LCZ458629:LDG458650 KTD458629:KTK458650 KJH458629:KJO458650 JZL458629:JZS458650 JPP458629:JPW458650 JFT458629:JGA458650 IVX458629:IWE458650 IMB458629:IMI458650 ICF458629:ICM458650 HSJ458629:HSQ458650 HIN458629:HIU458650 GYR458629:GYY458650 GOV458629:GPC458650 GEZ458629:GFG458650 FVD458629:FVK458650 FLH458629:FLO458650 FBL458629:FBS458650 ERP458629:ERW458650 EHT458629:EIA458650 DXX458629:DYE458650 DOB458629:DOI458650 DEF458629:DEM458650 CUJ458629:CUQ458650 CKN458629:CKU458650 CAR458629:CAY458650 BQV458629:BRC458650 BGZ458629:BHG458650 AXD458629:AXK458650 ANH458629:ANO458650 ADL458629:ADS458650 TP458629:TW458650 JT458629:KA458650 X458629:AE458650 WWF393093:WWM393114 WMJ393093:WMQ393114 WCN393093:WCU393114 VSR393093:VSY393114 VIV393093:VJC393114 UYZ393093:UZG393114 UPD393093:UPK393114 UFH393093:UFO393114 TVL393093:TVS393114 TLP393093:TLW393114 TBT393093:TCA393114 SRX393093:SSE393114 SIB393093:SII393114 RYF393093:RYM393114 ROJ393093:ROQ393114 REN393093:REU393114 QUR393093:QUY393114 QKV393093:QLC393114 QAZ393093:QBG393114 PRD393093:PRK393114 PHH393093:PHO393114 OXL393093:OXS393114 ONP393093:ONW393114 ODT393093:OEA393114 NTX393093:NUE393114 NKB393093:NKI393114 NAF393093:NAM393114 MQJ393093:MQQ393114 MGN393093:MGU393114 LWR393093:LWY393114 LMV393093:LNC393114 LCZ393093:LDG393114 KTD393093:KTK393114 KJH393093:KJO393114 JZL393093:JZS393114 JPP393093:JPW393114 JFT393093:JGA393114 IVX393093:IWE393114 IMB393093:IMI393114 ICF393093:ICM393114 HSJ393093:HSQ393114 HIN393093:HIU393114 GYR393093:GYY393114 GOV393093:GPC393114 GEZ393093:GFG393114 FVD393093:FVK393114 FLH393093:FLO393114 FBL393093:FBS393114 ERP393093:ERW393114 EHT393093:EIA393114 DXX393093:DYE393114 DOB393093:DOI393114 DEF393093:DEM393114 CUJ393093:CUQ393114 CKN393093:CKU393114 CAR393093:CAY393114 BQV393093:BRC393114 BGZ393093:BHG393114 AXD393093:AXK393114 ANH393093:ANO393114 ADL393093:ADS393114 TP393093:TW393114 JT393093:KA393114 X393093:AE393114 WWF327557:WWM327578 WMJ327557:WMQ327578 WCN327557:WCU327578 VSR327557:VSY327578 VIV327557:VJC327578 UYZ327557:UZG327578 UPD327557:UPK327578 UFH327557:UFO327578 TVL327557:TVS327578 TLP327557:TLW327578 TBT327557:TCA327578 SRX327557:SSE327578 SIB327557:SII327578 RYF327557:RYM327578 ROJ327557:ROQ327578 REN327557:REU327578 QUR327557:QUY327578 QKV327557:QLC327578 QAZ327557:QBG327578 PRD327557:PRK327578 PHH327557:PHO327578 OXL327557:OXS327578 ONP327557:ONW327578 ODT327557:OEA327578 NTX327557:NUE327578 NKB327557:NKI327578 NAF327557:NAM327578 MQJ327557:MQQ327578 MGN327557:MGU327578 LWR327557:LWY327578 LMV327557:LNC327578 LCZ327557:LDG327578 KTD327557:KTK327578 KJH327557:KJO327578 JZL327557:JZS327578 JPP327557:JPW327578 JFT327557:JGA327578 IVX327557:IWE327578 IMB327557:IMI327578 ICF327557:ICM327578 HSJ327557:HSQ327578 HIN327557:HIU327578 GYR327557:GYY327578 GOV327557:GPC327578 GEZ327557:GFG327578 FVD327557:FVK327578 FLH327557:FLO327578 FBL327557:FBS327578 ERP327557:ERW327578 EHT327557:EIA327578 DXX327557:DYE327578 DOB327557:DOI327578 DEF327557:DEM327578 CUJ327557:CUQ327578 CKN327557:CKU327578 CAR327557:CAY327578 BQV327557:BRC327578 BGZ327557:BHG327578 AXD327557:AXK327578 ANH327557:ANO327578 ADL327557:ADS327578 TP327557:TW327578 JT327557:KA327578 X327557:AE327578 WWF262021:WWM262042 WMJ262021:WMQ262042 WCN262021:WCU262042 VSR262021:VSY262042 VIV262021:VJC262042 UYZ262021:UZG262042 UPD262021:UPK262042 UFH262021:UFO262042 TVL262021:TVS262042 TLP262021:TLW262042 TBT262021:TCA262042 SRX262021:SSE262042 SIB262021:SII262042 RYF262021:RYM262042 ROJ262021:ROQ262042 REN262021:REU262042 QUR262021:QUY262042 QKV262021:QLC262042 QAZ262021:QBG262042 PRD262021:PRK262042 PHH262021:PHO262042 OXL262021:OXS262042 ONP262021:ONW262042 ODT262021:OEA262042 NTX262021:NUE262042 NKB262021:NKI262042 NAF262021:NAM262042 MQJ262021:MQQ262042 MGN262021:MGU262042 LWR262021:LWY262042 LMV262021:LNC262042 LCZ262021:LDG262042 KTD262021:KTK262042 KJH262021:KJO262042 JZL262021:JZS262042 JPP262021:JPW262042 JFT262021:JGA262042 IVX262021:IWE262042 IMB262021:IMI262042 ICF262021:ICM262042 HSJ262021:HSQ262042 HIN262021:HIU262042 GYR262021:GYY262042 GOV262021:GPC262042 GEZ262021:GFG262042 FVD262021:FVK262042 FLH262021:FLO262042 FBL262021:FBS262042 ERP262021:ERW262042 EHT262021:EIA262042 DXX262021:DYE262042 DOB262021:DOI262042 DEF262021:DEM262042 CUJ262021:CUQ262042 CKN262021:CKU262042 CAR262021:CAY262042 BQV262021:BRC262042 BGZ262021:BHG262042 AXD262021:AXK262042 ANH262021:ANO262042 ADL262021:ADS262042 TP262021:TW262042 JT262021:KA262042 X262021:AE262042 WWF196485:WWM196506 WMJ196485:WMQ196506 WCN196485:WCU196506 VSR196485:VSY196506 VIV196485:VJC196506 UYZ196485:UZG196506 UPD196485:UPK196506 UFH196485:UFO196506 TVL196485:TVS196506 TLP196485:TLW196506 TBT196485:TCA196506 SRX196485:SSE196506 SIB196485:SII196506 RYF196485:RYM196506 ROJ196485:ROQ196506 REN196485:REU196506 QUR196485:QUY196506 QKV196485:QLC196506 QAZ196485:QBG196506 PRD196485:PRK196506 PHH196485:PHO196506 OXL196485:OXS196506 ONP196485:ONW196506 ODT196485:OEA196506 NTX196485:NUE196506 NKB196485:NKI196506 NAF196485:NAM196506 MQJ196485:MQQ196506 MGN196485:MGU196506 LWR196485:LWY196506 LMV196485:LNC196506 LCZ196485:LDG196506 KTD196485:KTK196506 KJH196485:KJO196506 JZL196485:JZS196506 JPP196485:JPW196506 JFT196485:JGA196506 IVX196485:IWE196506 IMB196485:IMI196506 ICF196485:ICM196506 HSJ196485:HSQ196506 HIN196485:HIU196506 GYR196485:GYY196506 GOV196485:GPC196506 GEZ196485:GFG196506 FVD196485:FVK196506 FLH196485:FLO196506 FBL196485:FBS196506 ERP196485:ERW196506 EHT196485:EIA196506 DXX196485:DYE196506 DOB196485:DOI196506 DEF196485:DEM196506 CUJ196485:CUQ196506 CKN196485:CKU196506 CAR196485:CAY196506 BQV196485:BRC196506 BGZ196485:BHG196506 AXD196485:AXK196506 ANH196485:ANO196506 ADL196485:ADS196506 TP196485:TW196506 JT196485:KA196506 X196485:AE196506 WWF130949:WWM130970 WMJ130949:WMQ130970 WCN130949:WCU130970 VSR130949:VSY130970 VIV130949:VJC130970 UYZ130949:UZG130970 UPD130949:UPK130970 UFH130949:UFO130970 TVL130949:TVS130970 TLP130949:TLW130970 TBT130949:TCA130970 SRX130949:SSE130970 SIB130949:SII130970 RYF130949:RYM130970 ROJ130949:ROQ130970 REN130949:REU130970 QUR130949:QUY130970 QKV130949:QLC130970 QAZ130949:QBG130970 PRD130949:PRK130970 PHH130949:PHO130970 OXL130949:OXS130970 ONP130949:ONW130970 ODT130949:OEA130970 NTX130949:NUE130970 NKB130949:NKI130970 NAF130949:NAM130970 MQJ130949:MQQ130970 MGN130949:MGU130970 LWR130949:LWY130970 LMV130949:LNC130970 LCZ130949:LDG130970 KTD130949:KTK130970 KJH130949:KJO130970 JZL130949:JZS130970 JPP130949:JPW130970 JFT130949:JGA130970 IVX130949:IWE130970 IMB130949:IMI130970 ICF130949:ICM130970 HSJ130949:HSQ130970 HIN130949:HIU130970 GYR130949:GYY130970 GOV130949:GPC130970 GEZ130949:GFG130970 FVD130949:FVK130970 FLH130949:FLO130970 FBL130949:FBS130970 ERP130949:ERW130970 EHT130949:EIA130970 DXX130949:DYE130970 DOB130949:DOI130970 DEF130949:DEM130970 CUJ130949:CUQ130970 CKN130949:CKU130970 CAR130949:CAY130970 BQV130949:BRC130970 BGZ130949:BHG130970 AXD130949:AXK130970 ANH130949:ANO130970 ADL130949:ADS130970 TP130949:TW130970 JT130949:KA130970 X130949:AE130970 WWF65413:WWM65434 WMJ65413:WMQ65434 WCN65413:WCU65434 VSR65413:VSY65434 VIV65413:VJC65434 UYZ65413:UZG65434 UPD65413:UPK65434 UFH65413:UFO65434 TVL65413:TVS65434 TLP65413:TLW65434 TBT65413:TCA65434 SRX65413:SSE65434 SIB65413:SII65434 RYF65413:RYM65434 ROJ65413:ROQ65434 REN65413:REU65434 QUR65413:QUY65434 QKV65413:QLC65434 QAZ65413:QBG65434 PRD65413:PRK65434 PHH65413:PHO65434 OXL65413:OXS65434 ONP65413:ONW65434 ODT65413:OEA65434 NTX65413:NUE65434 NKB65413:NKI65434 NAF65413:NAM65434 MQJ65413:MQQ65434 MGN65413:MGU65434 LWR65413:LWY65434 LMV65413:LNC65434 LCZ65413:LDG65434 KTD65413:KTK65434 KJH65413:KJO65434 JZL65413:JZS65434 JPP65413:JPW65434 JFT65413:JGA65434 IVX65413:IWE65434 IMB65413:IMI65434 ICF65413:ICM65434 HSJ65413:HSQ65434 HIN65413:HIU65434 GYR65413:GYY65434 GOV65413:GPC65434 GEZ65413:GFG65434 FVD65413:FVK65434 FLH65413:FLO65434 FBL65413:FBS65434 ERP65413:ERW65434 EHT65413:EIA65434 DXX65413:DYE65434 DOB65413:DOI65434 DEF65413:DEM65434 CUJ65413:CUQ65434 CKN65413:CKU65434 CAR65413:CAY65434 BQV65413:BRC65434 BGZ65413:BHG65434 AXD65413:AXK65434 ANH65413:ANO65434 ADL65413:ADS65434 TP65413:TW65434 JT65413:KA65434 X65413:AE65434" xr:uid="{375E865F-471A-4ACB-9D0F-F56F60D97D62}">
      <formula1>#REF!</formula1>
    </dataValidation>
  </dataValidations>
  <pageMargins left="0.7" right="0.7" top="0.75" bottom="0.75" header="0.3" footer="0.3"/>
  <pageSetup paperSize="9" scale="2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7B27-89AA-43DA-B4DA-7677DD55DC2C}">
  <dimension ref="A1:BH41"/>
  <sheetViews>
    <sheetView showGridLines="0" topLeftCell="A5" zoomScaleNormal="100" zoomScaleSheetLayoutView="100" workbookViewId="0">
      <pane ySplit="2" topLeftCell="A7" activePane="bottomLeft" state="frozen"/>
      <selection activeCell="Z20" sqref="Z20"/>
      <selection pane="bottomLeft" activeCell="Z20" sqref="Z20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81" customWidth="1"/>
    <col min="57" max="59" width="2.6328125" style="28" customWidth="1"/>
    <col min="60" max="128" width="2.6328125" style="35" customWidth="1"/>
    <col min="129" max="16384" width="9" style="35"/>
  </cols>
  <sheetData>
    <row r="1" spans="1:59" ht="12" customHeight="1">
      <c r="A1" s="754" t="s">
        <v>4</v>
      </c>
      <c r="B1" s="754"/>
      <c r="C1" s="754"/>
      <c r="D1" s="754"/>
      <c r="E1" s="754"/>
      <c r="F1" s="754"/>
      <c r="G1" s="754"/>
      <c r="H1" s="754"/>
      <c r="I1" s="737" t="s">
        <v>5</v>
      </c>
      <c r="J1" s="737"/>
      <c r="K1" s="737"/>
      <c r="L1" s="737"/>
      <c r="M1" s="752" t="str">
        <f>変更来歴!M1</f>
        <v>ヒロセ電機株式会社</v>
      </c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37" t="s">
        <v>7</v>
      </c>
      <c r="Y1" s="737"/>
      <c r="Z1" s="737"/>
      <c r="AA1" s="756" t="str">
        <f>変更来歴!AA1</f>
        <v>化学物質データ申請</v>
      </c>
      <c r="AB1" s="756"/>
      <c r="AC1" s="756"/>
      <c r="AD1" s="756"/>
      <c r="AE1" s="756"/>
      <c r="AF1" s="756"/>
      <c r="AG1" s="756"/>
      <c r="AH1" s="756"/>
      <c r="AI1" s="756"/>
      <c r="AJ1" s="756"/>
      <c r="AK1" s="741" t="s">
        <v>8</v>
      </c>
      <c r="AL1" s="741"/>
      <c r="AM1" s="741"/>
      <c r="AN1" s="742" t="str">
        <f>変更来歴!AP7</f>
        <v>古竹</v>
      </c>
      <c r="AO1" s="742"/>
      <c r="AP1" s="742"/>
      <c r="AQ1" s="742"/>
      <c r="AR1" s="742"/>
      <c r="AS1" s="741" t="s">
        <v>9</v>
      </c>
      <c r="AT1" s="741"/>
      <c r="AU1" s="741"/>
      <c r="AV1" s="744">
        <f>変更来歴!AL7</f>
        <v>46125</v>
      </c>
      <c r="AW1" s="757"/>
      <c r="AX1" s="757"/>
      <c r="AY1" s="757"/>
      <c r="AZ1" s="733" t="s">
        <v>10</v>
      </c>
      <c r="BA1" s="734"/>
      <c r="BB1" s="734"/>
      <c r="BC1" s="735"/>
    </row>
    <row r="2" spans="1:59">
      <c r="A2" s="736" t="s">
        <v>16</v>
      </c>
      <c r="B2" s="736"/>
      <c r="C2" s="736"/>
      <c r="D2" s="736"/>
      <c r="E2" s="736"/>
      <c r="F2" s="736"/>
      <c r="G2" s="736"/>
      <c r="H2" s="736"/>
      <c r="I2" s="737" t="s">
        <v>11</v>
      </c>
      <c r="J2" s="737"/>
      <c r="K2" s="737"/>
      <c r="L2" s="737"/>
      <c r="M2" s="791" t="str">
        <f>変更来歴!M2</f>
        <v>新環境証明書システム移行</v>
      </c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37"/>
      <c r="Y2" s="737"/>
      <c r="Z2" s="737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41" t="s">
        <v>12</v>
      </c>
      <c r="AL2" s="741"/>
      <c r="AM2" s="741"/>
      <c r="AN2" s="742" t="str">
        <f ca="1">INDIRECT("変更来歴!AP" &amp; COUNTA(変更来歴!AP7:'変更来歴'!AP39) + 6)</f>
        <v>古竹</v>
      </c>
      <c r="AO2" s="742"/>
      <c r="AP2" s="742"/>
      <c r="AQ2" s="742"/>
      <c r="AR2" s="742"/>
      <c r="AS2" s="741" t="s">
        <v>13</v>
      </c>
      <c r="AT2" s="741"/>
      <c r="AU2" s="741"/>
      <c r="AV2" s="744">
        <f ca="1">INDIRECT("変更来歴!AL" &amp; COUNTA(変更来歴!AL7:'変更来歴'!AL39) + 6)</f>
        <v>46190</v>
      </c>
      <c r="AW2" s="757"/>
      <c r="AX2" s="757"/>
      <c r="AY2" s="757"/>
      <c r="AZ2" s="745" t="str">
        <f>変更来歴!AX2</f>
        <v>IMWF-53</v>
      </c>
      <c r="BA2" s="746"/>
      <c r="BB2" s="746"/>
      <c r="BC2" s="747"/>
    </row>
    <row r="3" spans="1:59" ht="12" customHeight="1">
      <c r="A3" s="751" t="str">
        <f>変更来歴!A3</f>
        <v>画面設計書</v>
      </c>
      <c r="B3" s="751"/>
      <c r="C3" s="751"/>
      <c r="D3" s="751"/>
      <c r="E3" s="751"/>
      <c r="F3" s="751"/>
      <c r="G3" s="751"/>
      <c r="H3" s="751"/>
      <c r="I3" s="737" t="s">
        <v>14</v>
      </c>
      <c r="J3" s="737"/>
      <c r="K3" s="737"/>
      <c r="L3" s="737"/>
      <c r="M3" s="752" t="str">
        <f ca="1">RIGHT(CELL("filename",A1),LEN(CELL("filename",A1))-FIND("]",CELL("filename",A1)))</f>
        <v>選択画面</v>
      </c>
      <c r="N3" s="752"/>
      <c r="O3" s="752"/>
      <c r="P3" s="752"/>
      <c r="Q3" s="752"/>
      <c r="R3" s="752"/>
      <c r="S3" s="752"/>
      <c r="T3" s="752"/>
      <c r="U3" s="752"/>
      <c r="V3" s="752"/>
      <c r="W3" s="752"/>
      <c r="X3" s="737" t="s">
        <v>27</v>
      </c>
      <c r="Y3" s="737"/>
      <c r="Z3" s="737"/>
      <c r="AA3" s="753" t="str">
        <f ca="1">MID(CELL("filename"),FIND("]",CELL("filename"))+1,LEN(CELL("filename"))) &amp; "画面"</f>
        <v>表紙画面</v>
      </c>
      <c r="AB3" s="753"/>
      <c r="AC3" s="753"/>
      <c r="AD3" s="753"/>
      <c r="AE3" s="753"/>
      <c r="AF3" s="753"/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41" t="s">
        <v>15</v>
      </c>
      <c r="AT3" s="741"/>
      <c r="AU3" s="741"/>
      <c r="AV3" s="757" t="str">
        <f ca="1">INDIRECT("変更来歴!A" &amp; COUNTA(変更来歴!A7:'変更来歴'!A39) + 6)</f>
        <v>dr1.5</v>
      </c>
      <c r="AW3" s="757"/>
      <c r="AX3" s="757"/>
      <c r="AY3" s="757"/>
      <c r="AZ3" s="748"/>
      <c r="BA3" s="749"/>
      <c r="BB3" s="749"/>
      <c r="BC3" s="750"/>
    </row>
    <row r="4" spans="1:59" ht="5.9" customHeight="1"/>
    <row r="5" spans="1:59" ht="13.5" customHeight="1">
      <c r="A5" s="792" t="str">
        <f ca="1">"画面レイアウト"&amp;"("&amp;MID(CELL("filename"),FIND("]",CELL("filename"))+1,LEN(CELL("filename")))&amp;")"</f>
        <v>画面レイアウト(表紙)</v>
      </c>
      <c r="B5" s="793"/>
      <c r="C5" s="793"/>
      <c r="D5" s="793"/>
      <c r="E5" s="793"/>
      <c r="F5" s="793"/>
      <c r="G5" s="793"/>
      <c r="H5" s="793"/>
      <c r="I5" s="793"/>
      <c r="J5" s="793"/>
      <c r="K5" s="793"/>
      <c r="L5" s="793"/>
      <c r="M5" s="793"/>
      <c r="N5" s="793"/>
      <c r="O5" s="793"/>
      <c r="P5" s="793"/>
      <c r="Q5" s="793"/>
      <c r="R5" s="793"/>
      <c r="S5" s="793"/>
      <c r="T5" s="793"/>
      <c r="U5" s="793"/>
      <c r="V5" s="793"/>
      <c r="W5" s="793"/>
      <c r="X5" s="793"/>
      <c r="Y5" s="793"/>
      <c r="Z5" s="793"/>
      <c r="AA5" s="793"/>
      <c r="AB5" s="793"/>
      <c r="AC5" s="793"/>
      <c r="AD5" s="793"/>
      <c r="AE5" s="793"/>
      <c r="AF5" s="793"/>
      <c r="AG5" s="793"/>
      <c r="AH5" s="793"/>
      <c r="AI5" s="793"/>
      <c r="AJ5" s="793"/>
      <c r="AK5" s="793"/>
      <c r="AL5" s="793"/>
      <c r="AM5" s="793"/>
      <c r="AN5" s="793"/>
      <c r="AO5" s="793"/>
      <c r="AP5" s="793"/>
      <c r="AQ5" s="793"/>
      <c r="AR5" s="793"/>
      <c r="AS5" s="793"/>
      <c r="AT5" s="793"/>
      <c r="AU5" s="793"/>
      <c r="AV5" s="793"/>
      <c r="AW5" s="793"/>
      <c r="AX5" s="793"/>
      <c r="AY5" s="793"/>
      <c r="AZ5" s="793"/>
      <c r="BA5" s="794"/>
      <c r="BB5" s="784" t="s">
        <v>24</v>
      </c>
      <c r="BC5" s="785"/>
      <c r="BD5" s="28"/>
    </row>
    <row r="6" spans="1:59" ht="13.5" customHeight="1">
      <c r="A6" s="27"/>
      <c r="B6" s="186">
        <v>1</v>
      </c>
      <c r="C6" s="186">
        <v>2</v>
      </c>
      <c r="D6" s="186">
        <v>3</v>
      </c>
      <c r="E6" s="186">
        <v>4</v>
      </c>
      <c r="F6" s="186">
        <v>5</v>
      </c>
      <c r="G6" s="186">
        <v>6</v>
      </c>
      <c r="H6" s="186">
        <v>7</v>
      </c>
      <c r="I6" s="186">
        <v>8</v>
      </c>
      <c r="J6" s="186">
        <v>9</v>
      </c>
      <c r="K6" s="186">
        <v>10</v>
      </c>
      <c r="L6" s="186">
        <v>11</v>
      </c>
      <c r="M6" s="186">
        <v>12</v>
      </c>
      <c r="N6" s="186">
        <v>13</v>
      </c>
      <c r="O6" s="186">
        <v>14</v>
      </c>
      <c r="P6" s="186">
        <v>15</v>
      </c>
      <c r="Q6" s="186">
        <v>16</v>
      </c>
      <c r="R6" s="186">
        <v>17</v>
      </c>
      <c r="S6" s="188">
        <v>18</v>
      </c>
      <c r="T6" s="188">
        <v>19</v>
      </c>
      <c r="U6" s="188">
        <v>20</v>
      </c>
      <c r="V6" s="188">
        <v>21</v>
      </c>
      <c r="W6" s="188">
        <v>22</v>
      </c>
      <c r="X6" s="188">
        <v>23</v>
      </c>
      <c r="Y6" s="188">
        <v>24</v>
      </c>
      <c r="Z6" s="188">
        <v>25</v>
      </c>
      <c r="AA6" s="188">
        <v>26</v>
      </c>
      <c r="AB6" s="188">
        <v>27</v>
      </c>
      <c r="AC6" s="188">
        <v>28</v>
      </c>
      <c r="AD6" s="188">
        <v>29</v>
      </c>
      <c r="AE6" s="188">
        <v>30</v>
      </c>
      <c r="AF6" s="188">
        <v>31</v>
      </c>
      <c r="AG6" s="188">
        <v>32</v>
      </c>
      <c r="AH6" s="188">
        <v>33</v>
      </c>
      <c r="AI6" s="188">
        <v>34</v>
      </c>
      <c r="AJ6" s="187">
        <v>35</v>
      </c>
      <c r="AK6" s="187">
        <v>36</v>
      </c>
      <c r="AL6" s="187">
        <v>37</v>
      </c>
      <c r="AM6" s="187">
        <v>38</v>
      </c>
      <c r="AN6" s="187">
        <v>39</v>
      </c>
      <c r="AO6" s="187">
        <v>40</v>
      </c>
      <c r="AP6" s="187">
        <v>41</v>
      </c>
      <c r="AQ6" s="187">
        <v>42</v>
      </c>
      <c r="AR6" s="187">
        <v>43</v>
      </c>
      <c r="AS6" s="187">
        <v>44</v>
      </c>
      <c r="AT6" s="187">
        <v>45</v>
      </c>
      <c r="AU6" s="187">
        <v>46</v>
      </c>
      <c r="AV6" s="187">
        <v>47</v>
      </c>
      <c r="AW6" s="187">
        <v>48</v>
      </c>
      <c r="AX6" s="187">
        <v>49</v>
      </c>
      <c r="AY6" s="187">
        <v>50</v>
      </c>
      <c r="AZ6" s="187">
        <v>51</v>
      </c>
      <c r="BA6" s="21"/>
      <c r="BB6" s="77"/>
      <c r="BC6" s="42"/>
      <c r="BD6" s="28"/>
    </row>
    <row r="7" spans="1:59" ht="18.75" customHeight="1">
      <c r="A7" s="29"/>
      <c r="B7" s="47" t="s">
        <v>46</v>
      </c>
      <c r="C7" s="36"/>
      <c r="D7" s="36"/>
      <c r="E7" s="36"/>
      <c r="F7" s="36"/>
      <c r="G7" s="36"/>
      <c r="H7" s="48"/>
      <c r="I7" s="36"/>
      <c r="J7" s="48"/>
      <c r="K7" s="36"/>
      <c r="L7" s="36"/>
      <c r="M7" s="36"/>
      <c r="N7" s="48" t="s">
        <v>285</v>
      </c>
      <c r="O7" s="36"/>
      <c r="P7" s="36"/>
      <c r="Q7" s="36"/>
      <c r="R7" s="49" t="s">
        <v>45</v>
      </c>
      <c r="S7" s="36"/>
      <c r="T7" s="36"/>
      <c r="U7" s="36"/>
      <c r="V7" s="36"/>
      <c r="W7" s="36"/>
      <c r="X7" s="36"/>
      <c r="Y7" s="49"/>
      <c r="Z7" s="36"/>
      <c r="AA7" s="36"/>
      <c r="AB7" s="36"/>
      <c r="AC7" s="36"/>
      <c r="AD7" s="36"/>
      <c r="AE7" s="49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0"/>
      <c r="AX7" s="50"/>
      <c r="AY7" s="50"/>
      <c r="AZ7" s="51"/>
      <c r="BA7" s="80" t="s">
        <v>29</v>
      </c>
      <c r="BB7" s="78"/>
      <c r="BC7" s="34"/>
      <c r="BD7" s="28"/>
    </row>
    <row r="8" spans="1:59" ht="18" customHeight="1">
      <c r="A8" s="29"/>
      <c r="B8" s="176"/>
      <c r="C8" s="177"/>
      <c r="D8" s="177"/>
      <c r="E8" s="177"/>
      <c r="F8" s="177"/>
      <c r="G8" s="177"/>
      <c r="H8" s="178"/>
      <c r="I8" s="178"/>
      <c r="J8" s="178"/>
      <c r="K8" s="178"/>
      <c r="L8" s="179"/>
      <c r="M8" s="178"/>
      <c r="N8" s="57"/>
      <c r="O8" s="57"/>
      <c r="P8" s="179"/>
      <c r="Q8" s="57"/>
      <c r="R8" s="57"/>
      <c r="S8" s="57"/>
      <c r="T8" s="180"/>
      <c r="U8" s="180"/>
      <c r="V8" s="180"/>
      <c r="W8" s="180"/>
      <c r="X8" s="181"/>
      <c r="Y8" s="178"/>
      <c r="Z8" s="178"/>
      <c r="AA8" s="178"/>
      <c r="AB8" s="179"/>
      <c r="AC8" s="178"/>
      <c r="AD8" s="57"/>
      <c r="AE8" s="57"/>
      <c r="AF8" s="179"/>
      <c r="AG8" s="177"/>
      <c r="AH8" s="177"/>
      <c r="AI8" s="182"/>
      <c r="AJ8" s="55"/>
      <c r="AK8" s="55"/>
      <c r="AL8" s="55"/>
      <c r="AM8" s="55"/>
      <c r="AN8" s="183"/>
      <c r="AO8" s="184"/>
      <c r="AP8" s="184"/>
      <c r="AQ8" s="55"/>
      <c r="AR8" s="55"/>
      <c r="AS8" s="55"/>
      <c r="AT8" s="56"/>
      <c r="AU8" s="55"/>
      <c r="AV8" s="57"/>
      <c r="AW8" s="57"/>
      <c r="AX8" s="57"/>
      <c r="AY8" s="177"/>
      <c r="AZ8" s="185"/>
      <c r="BA8" s="143"/>
      <c r="BB8" s="78"/>
      <c r="BC8" s="34"/>
      <c r="BD8" s="28"/>
    </row>
    <row r="9" spans="1:59" ht="13.5" customHeight="1">
      <c r="A9" s="22"/>
      <c r="B9" s="20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3"/>
      <c r="BA9" s="46"/>
      <c r="BB9" s="78"/>
      <c r="BC9" s="34"/>
      <c r="BD9" s="28"/>
    </row>
    <row r="10" spans="1:59" ht="13.5" customHeight="1">
      <c r="A10" s="22"/>
      <c r="B10" s="201"/>
      <c r="C10" s="359" t="s">
        <v>164</v>
      </c>
      <c r="D10" s="359"/>
      <c r="E10" s="359"/>
      <c r="F10" s="31"/>
      <c r="G10" s="31"/>
      <c r="H10" s="127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63"/>
      <c r="U10" s="63"/>
      <c r="V10" s="63"/>
      <c r="W10" s="63"/>
      <c r="X10" s="62"/>
      <c r="Y10" s="63"/>
      <c r="Z10" s="63"/>
      <c r="AA10" s="63"/>
      <c r="AB10" s="64"/>
      <c r="AC10" s="63"/>
      <c r="AD10" s="65"/>
      <c r="AE10" s="65"/>
      <c r="AF10" s="65"/>
      <c r="AG10" s="65"/>
      <c r="AH10" s="65"/>
      <c r="AI10" s="75"/>
      <c r="AJ10" s="63"/>
      <c r="AK10" s="63"/>
      <c r="AL10" s="63"/>
      <c r="AM10" s="63"/>
      <c r="AN10" s="125"/>
      <c r="AO10" s="62"/>
      <c r="AP10" s="62"/>
      <c r="AQ10" s="63"/>
      <c r="AR10" s="63"/>
      <c r="AS10" s="63"/>
      <c r="AT10" s="64"/>
      <c r="AU10" s="63"/>
      <c r="AV10" s="65"/>
      <c r="AW10" s="65"/>
      <c r="AX10" s="65"/>
      <c r="AY10" s="31"/>
      <c r="AZ10" s="33"/>
      <c r="BA10" s="46"/>
      <c r="BB10" s="78"/>
      <c r="BC10" s="34"/>
      <c r="BD10" s="28"/>
    </row>
    <row r="11" spans="1:59" ht="5.15" customHeight="1">
      <c r="A11" s="22"/>
      <c r="B11" s="202"/>
      <c r="C11" s="204"/>
      <c r="D11" s="28"/>
      <c r="E11" s="28"/>
      <c r="F11" s="28"/>
      <c r="G11" s="28"/>
      <c r="H11" s="121"/>
      <c r="I11" s="62"/>
      <c r="J11" s="63"/>
      <c r="K11" s="62"/>
      <c r="L11" s="63"/>
      <c r="M11" s="69"/>
      <c r="N11" s="69"/>
      <c r="O11" s="65"/>
      <c r="P11" s="69"/>
      <c r="Q11" s="65"/>
      <c r="R11" s="69"/>
      <c r="S11" s="35"/>
      <c r="T11" s="28"/>
      <c r="U11" s="28"/>
      <c r="V11" s="28"/>
      <c r="W11" s="28"/>
      <c r="X11" s="28"/>
      <c r="Y11" s="121"/>
      <c r="Z11" s="62"/>
      <c r="AA11" s="63"/>
      <c r="AB11" s="62"/>
      <c r="AC11" s="63"/>
      <c r="AD11" s="69"/>
      <c r="AE11" s="69"/>
      <c r="AF11" s="65"/>
      <c r="AG11" s="69"/>
      <c r="AH11" s="69"/>
      <c r="AI11" s="64"/>
      <c r="AJ11" s="69"/>
      <c r="AK11" s="65"/>
      <c r="AL11" s="28"/>
      <c r="AM11" s="28"/>
      <c r="AN11" s="28"/>
      <c r="AO11" s="28"/>
      <c r="AP11" s="28"/>
      <c r="AQ11" s="28"/>
      <c r="AR11" s="28"/>
      <c r="AS11" s="63"/>
      <c r="AT11" s="64"/>
      <c r="AU11" s="63"/>
      <c r="AV11" s="65"/>
      <c r="AW11" s="65"/>
      <c r="AX11" s="65"/>
      <c r="AY11" s="31"/>
      <c r="AZ11" s="33"/>
      <c r="BA11" s="46"/>
      <c r="BB11" s="78"/>
      <c r="BC11" s="34"/>
      <c r="BD11" s="28"/>
    </row>
    <row r="12" spans="1:59" ht="13.5" customHeight="1">
      <c r="A12" s="22"/>
      <c r="B12" s="201"/>
      <c r="C12" s="28"/>
      <c r="D12" s="28" t="s">
        <v>35</v>
      </c>
      <c r="E12" s="28" t="s">
        <v>165</v>
      </c>
      <c r="G12" s="359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63"/>
      <c r="U12" s="63"/>
      <c r="V12" s="63"/>
      <c r="W12" s="63"/>
      <c r="X12" s="62"/>
      <c r="Y12" s="63"/>
      <c r="Z12" s="63"/>
      <c r="AA12" s="63"/>
      <c r="AB12" s="64"/>
      <c r="AC12" s="63"/>
      <c r="AD12" s="65"/>
      <c r="AE12" s="65"/>
      <c r="AF12" s="65"/>
      <c r="AG12" s="65"/>
      <c r="AH12" s="65"/>
      <c r="AI12" s="75"/>
      <c r="AJ12" s="63"/>
      <c r="AK12" s="63"/>
      <c r="AL12" s="63"/>
      <c r="AM12" s="63"/>
      <c r="AN12" s="125"/>
      <c r="AO12" s="62"/>
      <c r="AP12" s="62"/>
      <c r="AQ12" s="63"/>
      <c r="AR12" s="63"/>
      <c r="AS12" s="63"/>
      <c r="AT12" s="64"/>
      <c r="AU12" s="63"/>
      <c r="AV12" s="65"/>
      <c r="AW12" s="65"/>
      <c r="AX12" s="65"/>
      <c r="AY12" s="31"/>
      <c r="AZ12" s="33"/>
      <c r="BA12" s="46"/>
      <c r="BB12" s="78"/>
      <c r="BC12" s="34"/>
      <c r="BD12" s="28"/>
    </row>
    <row r="13" spans="1:59" ht="13.5" customHeight="1">
      <c r="A13" s="22"/>
      <c r="B13" s="202">
        <v>1</v>
      </c>
      <c r="C13" s="203">
        <v>2</v>
      </c>
      <c r="G13" s="203">
        <v>6</v>
      </c>
      <c r="H13" s="203">
        <v>7</v>
      </c>
      <c r="I13" s="203">
        <v>8</v>
      </c>
      <c r="J13" s="203">
        <v>9</v>
      </c>
      <c r="K13" s="203">
        <v>10</v>
      </c>
      <c r="L13" s="203">
        <v>11</v>
      </c>
      <c r="M13" s="203">
        <v>12</v>
      </c>
      <c r="N13" s="203">
        <v>13</v>
      </c>
      <c r="O13" s="203">
        <v>14</v>
      </c>
      <c r="P13" s="203">
        <v>15</v>
      </c>
      <c r="Q13" s="203">
        <v>16</v>
      </c>
      <c r="R13" s="203">
        <v>17</v>
      </c>
      <c r="S13" s="203">
        <v>18</v>
      </c>
      <c r="T13" s="203">
        <v>19</v>
      </c>
      <c r="U13" s="203">
        <v>20</v>
      </c>
      <c r="V13" s="203">
        <v>21</v>
      </c>
      <c r="W13" s="203">
        <v>22</v>
      </c>
      <c r="X13" s="203">
        <v>23</v>
      </c>
      <c r="Y13" s="203">
        <v>24</v>
      </c>
      <c r="Z13" s="203">
        <v>25</v>
      </c>
      <c r="AA13" s="203">
        <v>26</v>
      </c>
      <c r="AB13" s="203">
        <v>27</v>
      </c>
      <c r="AC13" s="203">
        <v>28</v>
      </c>
      <c r="AD13" s="203">
        <v>29</v>
      </c>
      <c r="AE13" s="203">
        <v>30</v>
      </c>
      <c r="AF13" s="203">
        <v>31</v>
      </c>
      <c r="AG13" s="203">
        <v>32</v>
      </c>
      <c r="AH13" s="203">
        <v>33</v>
      </c>
      <c r="AI13" s="203">
        <v>34</v>
      </c>
      <c r="AJ13" s="203">
        <v>35</v>
      </c>
      <c r="AK13" s="203">
        <v>36</v>
      </c>
      <c r="AL13" s="203">
        <v>37</v>
      </c>
      <c r="AM13" s="203">
        <v>38</v>
      </c>
      <c r="AN13" s="203">
        <v>39</v>
      </c>
      <c r="AO13" s="203">
        <v>40</v>
      </c>
      <c r="AP13" s="203"/>
      <c r="AQ13" s="203">
        <v>41</v>
      </c>
      <c r="AR13" s="203">
        <v>42</v>
      </c>
      <c r="AS13" s="203">
        <v>43</v>
      </c>
      <c r="AT13" s="203">
        <v>44</v>
      </c>
      <c r="AU13" s="203">
        <v>45</v>
      </c>
      <c r="AV13" s="203">
        <v>46</v>
      </c>
      <c r="AW13" s="203">
        <v>47</v>
      </c>
      <c r="AX13" s="65"/>
      <c r="AY13" s="31"/>
      <c r="AZ13" s="33"/>
      <c r="BA13" s="46"/>
      <c r="BB13" s="78"/>
      <c r="BC13" s="34"/>
      <c r="BD13" s="28"/>
      <c r="BE13" s="24"/>
      <c r="BF13" s="24"/>
    </row>
    <row r="14" spans="1:59" ht="13.5" customHeight="1">
      <c r="A14" s="22"/>
      <c r="B14" s="202">
        <v>2</v>
      </c>
      <c r="C14" s="359" t="s">
        <v>166</v>
      </c>
      <c r="G14" s="28"/>
      <c r="H14" s="121"/>
      <c r="I14" s="62"/>
      <c r="J14" s="63"/>
      <c r="K14" s="62"/>
      <c r="L14" s="63"/>
      <c r="M14" s="69"/>
      <c r="N14" s="69"/>
      <c r="O14" s="65"/>
      <c r="P14" s="69"/>
      <c r="Q14" s="65"/>
      <c r="R14" s="69"/>
      <c r="S14" s="28"/>
      <c r="T14" s="28"/>
      <c r="U14" s="28"/>
      <c r="V14" s="28"/>
      <c r="W14" s="28"/>
      <c r="X14" s="121"/>
      <c r="Y14" s="62"/>
      <c r="Z14" s="63"/>
      <c r="AA14" s="62"/>
      <c r="AB14" s="63"/>
      <c r="AC14" s="69"/>
      <c r="AD14" s="69"/>
      <c r="AE14" s="65"/>
      <c r="AF14" s="69"/>
      <c r="AG14" s="65"/>
      <c r="AH14" s="69"/>
      <c r="AI14" s="64"/>
      <c r="AJ14" s="69"/>
      <c r="AK14" s="65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33"/>
      <c r="AW14" s="28"/>
      <c r="AX14" s="65"/>
      <c r="AY14" s="31"/>
      <c r="AZ14" s="33"/>
      <c r="BA14" s="46"/>
      <c r="BB14" s="78"/>
      <c r="BC14" s="34"/>
      <c r="BD14" s="28"/>
    </row>
    <row r="15" spans="1:59" ht="5.15" customHeight="1">
      <c r="A15" s="22"/>
      <c r="B15" s="202"/>
      <c r="C15" s="204"/>
      <c r="D15" s="28"/>
      <c r="E15" s="28"/>
      <c r="F15" s="28"/>
      <c r="G15" s="28"/>
      <c r="H15" s="121"/>
      <c r="I15" s="62"/>
      <c r="J15" s="63"/>
      <c r="K15" s="62"/>
      <c r="L15" s="63"/>
      <c r="M15" s="69"/>
      <c r="N15" s="69"/>
      <c r="O15" s="65"/>
      <c r="P15" s="69"/>
      <c r="Q15" s="65"/>
      <c r="R15" s="69"/>
      <c r="S15" s="35"/>
      <c r="T15" s="28"/>
      <c r="U15" s="28"/>
      <c r="V15" s="28"/>
      <c r="W15" s="28"/>
      <c r="X15" s="28"/>
      <c r="Y15" s="121"/>
      <c r="Z15" s="62"/>
      <c r="AA15" s="63"/>
      <c r="AB15" s="62"/>
      <c r="AC15" s="63"/>
      <c r="AD15" s="69"/>
      <c r="AE15" s="69"/>
      <c r="AF15" s="65"/>
      <c r="AG15" s="69"/>
      <c r="AH15" s="69"/>
      <c r="AI15" s="64"/>
      <c r="AJ15" s="69"/>
      <c r="AK15" s="65"/>
      <c r="AL15" s="28"/>
      <c r="AM15" s="28"/>
      <c r="AN15" s="28"/>
      <c r="AO15" s="28"/>
      <c r="AP15" s="28"/>
      <c r="AQ15" s="28"/>
      <c r="AR15" s="28"/>
      <c r="AS15" s="63"/>
      <c r="AT15" s="64"/>
      <c r="AU15" s="63"/>
      <c r="AV15" s="65"/>
      <c r="AW15" s="65"/>
      <c r="AX15" s="65"/>
      <c r="AY15" s="31"/>
      <c r="AZ15" s="33"/>
      <c r="BA15" s="46"/>
      <c r="BB15" s="78"/>
      <c r="BC15" s="34"/>
      <c r="BD15" s="28"/>
    </row>
    <row r="16" spans="1:59" ht="13.5" customHeight="1">
      <c r="A16" s="22"/>
      <c r="B16" s="45"/>
      <c r="C16" s="43"/>
      <c r="D16" s="28" t="s">
        <v>34</v>
      </c>
      <c r="E16" s="28" t="s">
        <v>131</v>
      </c>
      <c r="F16" s="28"/>
      <c r="G16" s="28"/>
      <c r="H16" s="113"/>
      <c r="I16" s="113"/>
      <c r="J16" s="113"/>
      <c r="K16" s="28"/>
      <c r="L16" s="28"/>
      <c r="M16" s="62"/>
      <c r="N16" s="63"/>
      <c r="O16" s="65"/>
      <c r="P16" s="65"/>
      <c r="Q16" s="64"/>
      <c r="R16" s="63"/>
      <c r="S16" s="63"/>
      <c r="T16" s="63"/>
      <c r="U16" s="65"/>
      <c r="V16" s="64"/>
      <c r="W16" s="63"/>
      <c r="X16" s="65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65"/>
      <c r="AY16" s="31"/>
      <c r="AZ16" s="33"/>
      <c r="BA16" s="46"/>
      <c r="BB16" s="78"/>
      <c r="BC16" s="34"/>
      <c r="BD16" s="28"/>
      <c r="BE16" s="35"/>
      <c r="BF16" s="35"/>
      <c r="BG16" s="35"/>
    </row>
    <row r="17" spans="1:59" ht="13.5" customHeight="1">
      <c r="A17" s="22"/>
      <c r="B17" s="202">
        <v>3</v>
      </c>
      <c r="C17" s="43"/>
      <c r="D17" s="31"/>
      <c r="E17" s="31"/>
      <c r="F17" s="31"/>
      <c r="G17" s="31"/>
      <c r="H17" s="62"/>
      <c r="I17" s="63"/>
      <c r="J17" s="63"/>
      <c r="K17" s="63"/>
      <c r="L17" s="64"/>
      <c r="M17" s="63"/>
      <c r="N17" s="65"/>
      <c r="O17" s="65"/>
      <c r="P17" s="65"/>
      <c r="Q17" s="65"/>
      <c r="R17" s="65"/>
      <c r="S17" s="75"/>
      <c r="T17" s="63"/>
      <c r="U17" s="63"/>
      <c r="V17" s="63"/>
      <c r="W17" s="63"/>
      <c r="X17" s="62"/>
      <c r="Y17" s="63"/>
      <c r="Z17" s="63"/>
      <c r="AA17" s="63"/>
      <c r="AB17" s="64"/>
      <c r="AC17" s="63"/>
      <c r="AD17" s="65"/>
      <c r="AE17" s="65"/>
      <c r="AF17" s="65"/>
      <c r="AG17" s="65"/>
      <c r="AH17" s="65"/>
      <c r="AI17" s="75"/>
      <c r="AJ17" s="63"/>
      <c r="AK17" s="63"/>
      <c r="AL17" s="63"/>
      <c r="AM17" s="63"/>
      <c r="AN17" s="125"/>
      <c r="AO17" s="62"/>
      <c r="AP17" s="62"/>
      <c r="AQ17" s="63"/>
      <c r="AR17" s="63"/>
      <c r="AS17" s="63"/>
      <c r="AT17" s="64"/>
      <c r="AU17" s="63"/>
      <c r="AV17" s="65"/>
      <c r="AW17" s="65"/>
      <c r="AX17" s="65"/>
      <c r="AY17" s="31"/>
      <c r="AZ17" s="33"/>
      <c r="BA17" s="46"/>
      <c r="BB17" s="78"/>
      <c r="BC17" s="34"/>
      <c r="BD17" s="28"/>
      <c r="BE17" s="35"/>
      <c r="BF17" s="35"/>
      <c r="BG17" s="35"/>
    </row>
    <row r="18" spans="1:59" ht="13.5" customHeight="1">
      <c r="A18" s="22"/>
      <c r="B18" s="201"/>
      <c r="C18" s="43"/>
      <c r="D18" s="31" t="s">
        <v>34</v>
      </c>
      <c r="E18" s="31" t="s">
        <v>167</v>
      </c>
      <c r="F18" s="31"/>
      <c r="G18" s="31"/>
      <c r="H18" s="62"/>
      <c r="I18" s="63"/>
      <c r="J18" s="63"/>
      <c r="K18" s="63"/>
      <c r="L18" s="64"/>
      <c r="M18" s="63"/>
      <c r="N18" s="65"/>
      <c r="O18" s="65"/>
      <c r="P18" s="65"/>
      <c r="Q18" s="65"/>
      <c r="R18" s="65"/>
      <c r="S18" s="75"/>
      <c r="T18" s="43"/>
      <c r="U18" s="31"/>
      <c r="V18" s="31"/>
      <c r="W18" s="31"/>
      <c r="X18" s="31"/>
      <c r="Y18" s="62"/>
      <c r="Z18" s="63"/>
      <c r="AA18" s="63"/>
      <c r="AB18" s="63"/>
      <c r="AC18" s="64"/>
      <c r="AD18" s="63"/>
      <c r="AE18" s="65"/>
      <c r="AF18" s="65"/>
      <c r="AG18" s="65"/>
      <c r="AH18" s="65"/>
      <c r="AI18" s="75"/>
      <c r="AJ18" s="63"/>
      <c r="AK18" s="75"/>
      <c r="AL18" s="63"/>
      <c r="AM18" s="63"/>
      <c r="AN18" s="63"/>
      <c r="AO18" s="63"/>
      <c r="AP18" s="62"/>
      <c r="AQ18" s="63"/>
      <c r="AR18" s="63"/>
      <c r="AS18" s="63"/>
      <c r="AT18" s="64"/>
      <c r="AU18" s="63"/>
      <c r="AV18" s="65"/>
      <c r="AW18" s="65"/>
      <c r="AX18" s="65"/>
      <c r="AY18" s="31"/>
      <c r="AZ18" s="33"/>
      <c r="BA18" s="46"/>
      <c r="BB18" s="78"/>
      <c r="BC18" s="34"/>
      <c r="BD18" s="28"/>
      <c r="BE18" s="35"/>
      <c r="BF18" s="35"/>
      <c r="BG18" s="35"/>
    </row>
    <row r="19" spans="1:59" ht="13.5" customHeight="1">
      <c r="A19" s="22"/>
      <c r="B19" s="201"/>
      <c r="C19" s="43"/>
      <c r="D19" s="31"/>
      <c r="E19" s="31"/>
      <c r="F19" s="31"/>
      <c r="G19" s="31"/>
      <c r="H19" s="62"/>
      <c r="I19" s="63"/>
      <c r="J19" s="63"/>
      <c r="K19" s="63"/>
      <c r="L19" s="64"/>
      <c r="M19" s="63"/>
      <c r="N19" s="65"/>
      <c r="O19" s="65"/>
      <c r="P19" s="82"/>
      <c r="Q19" s="65"/>
      <c r="R19" s="65"/>
      <c r="S19" s="35"/>
      <c r="T19" s="43"/>
      <c r="U19" s="63"/>
      <c r="V19" s="63"/>
      <c r="W19" s="63"/>
      <c r="X19" s="63"/>
      <c r="Y19" s="360"/>
      <c r="Z19" s="63"/>
      <c r="AA19" s="63"/>
      <c r="AB19" s="63"/>
      <c r="AC19" s="64"/>
      <c r="AD19" s="63"/>
      <c r="AE19" s="65"/>
      <c r="AF19" s="65"/>
      <c r="AG19" s="65"/>
      <c r="AH19" s="65"/>
      <c r="AI19" s="75"/>
      <c r="AJ19" s="63"/>
      <c r="AK19" s="63"/>
      <c r="AL19" s="63"/>
      <c r="AM19" s="63"/>
      <c r="AN19" s="125"/>
      <c r="AO19" s="62"/>
      <c r="AP19" s="62"/>
      <c r="AQ19" s="63"/>
      <c r="AR19" s="63"/>
      <c r="AS19" s="63"/>
      <c r="AT19" s="64"/>
      <c r="AU19" s="63"/>
      <c r="AV19" s="65"/>
      <c r="AW19" s="65"/>
      <c r="AX19" s="65"/>
      <c r="AY19" s="31"/>
      <c r="AZ19" s="33"/>
      <c r="BA19" s="46"/>
      <c r="BB19" s="78"/>
      <c r="BC19" s="34"/>
      <c r="BD19" s="28"/>
      <c r="BE19" s="35"/>
      <c r="BF19" s="35"/>
      <c r="BG19" s="35"/>
    </row>
    <row r="20" spans="1:59" ht="13.5" customHeight="1">
      <c r="A20" s="22"/>
      <c r="B20" s="201"/>
      <c r="C20" s="359" t="s">
        <v>168</v>
      </c>
      <c r="D20" s="31"/>
      <c r="E20" s="31"/>
      <c r="F20" s="31"/>
      <c r="G20" s="31"/>
      <c r="H20" s="62"/>
      <c r="I20" s="63"/>
      <c r="J20" s="63"/>
      <c r="K20" s="63"/>
      <c r="L20" s="75"/>
      <c r="M20" s="63"/>
      <c r="N20" s="65"/>
      <c r="O20" s="65"/>
      <c r="P20" s="65"/>
      <c r="Q20" s="65"/>
      <c r="R20" s="65"/>
      <c r="S20" s="35"/>
      <c r="T20" s="35"/>
      <c r="U20" s="35"/>
      <c r="V20" s="63"/>
      <c r="W20" s="63"/>
      <c r="X20" s="63"/>
      <c r="Y20" s="62"/>
      <c r="Z20" s="63"/>
      <c r="AA20" s="63"/>
      <c r="AB20" s="63"/>
      <c r="AC20" s="64"/>
      <c r="AD20" s="63"/>
      <c r="AE20" s="65"/>
      <c r="AF20" s="65"/>
      <c r="AG20" s="65"/>
      <c r="AH20" s="65"/>
      <c r="AI20" s="75"/>
      <c r="AJ20" s="63"/>
      <c r="AK20" s="63"/>
      <c r="AL20" s="63"/>
      <c r="AM20" s="63"/>
      <c r="AN20" s="125"/>
      <c r="AO20" s="62"/>
      <c r="AP20" s="62"/>
      <c r="AQ20" s="63"/>
      <c r="AR20" s="63"/>
      <c r="AS20" s="63"/>
      <c r="AT20" s="64"/>
      <c r="AU20" s="63"/>
      <c r="AV20" s="65"/>
      <c r="AW20" s="65"/>
      <c r="AX20" s="65"/>
      <c r="AY20" s="31"/>
      <c r="AZ20" s="33"/>
      <c r="BA20" s="46"/>
      <c r="BB20" s="78"/>
      <c r="BC20" s="34"/>
      <c r="BD20" s="28"/>
      <c r="BE20" s="35"/>
      <c r="BF20" s="35"/>
      <c r="BG20" s="35"/>
    </row>
    <row r="21" spans="1:59" ht="5.15" customHeight="1">
      <c r="A21" s="22"/>
      <c r="B21" s="201"/>
      <c r="C21" s="43"/>
      <c r="D21" s="31"/>
      <c r="E21" s="31"/>
      <c r="F21" s="31"/>
      <c r="G21" s="31"/>
      <c r="H21" s="62"/>
      <c r="I21" s="63"/>
      <c r="J21" s="63"/>
      <c r="K21" s="63"/>
      <c r="L21" s="64"/>
      <c r="M21" s="63"/>
      <c r="N21" s="65"/>
      <c r="O21" s="65"/>
      <c r="P21" s="65"/>
      <c r="Q21" s="65"/>
      <c r="R21" s="65"/>
      <c r="S21" s="35"/>
      <c r="T21" s="75"/>
      <c r="U21" s="63"/>
      <c r="V21" s="63"/>
      <c r="W21" s="63"/>
      <c r="X21" s="63"/>
      <c r="Y21" s="62"/>
      <c r="Z21" s="63"/>
      <c r="AA21" s="63"/>
      <c r="AB21" s="63"/>
      <c r="AC21" s="64"/>
      <c r="AD21" s="63"/>
      <c r="AE21" s="65"/>
      <c r="AF21" s="65"/>
      <c r="AG21" s="65"/>
      <c r="AH21" s="65"/>
      <c r="AI21" s="75"/>
      <c r="AJ21" s="63"/>
      <c r="AK21" s="63"/>
      <c r="AL21" s="63"/>
      <c r="AM21" s="63"/>
      <c r="AN21" s="125"/>
      <c r="AO21" s="62"/>
      <c r="AP21" s="62"/>
      <c r="AQ21" s="63"/>
      <c r="AR21" s="63"/>
      <c r="AS21" s="63"/>
      <c r="AT21" s="64"/>
      <c r="AU21" s="63"/>
      <c r="AV21" s="65"/>
      <c r="AW21" s="65"/>
      <c r="AX21" s="65"/>
      <c r="AY21" s="31"/>
      <c r="AZ21" s="33"/>
      <c r="BA21" s="46"/>
      <c r="BB21" s="78"/>
      <c r="BC21" s="34"/>
      <c r="BD21" s="28"/>
      <c r="BE21" s="35"/>
      <c r="BF21" s="35"/>
      <c r="BG21" s="35"/>
    </row>
    <row r="22" spans="1:59" ht="13.5" customHeight="1">
      <c r="A22" s="22"/>
      <c r="B22" s="32"/>
      <c r="C22" s="64"/>
      <c r="D22" s="28" t="s">
        <v>34</v>
      </c>
      <c r="E22" s="28" t="s">
        <v>132</v>
      </c>
      <c r="F22" s="63"/>
      <c r="G22" s="63"/>
      <c r="H22" s="69"/>
      <c r="I22" s="69"/>
      <c r="J22" s="65"/>
      <c r="K22" s="69"/>
      <c r="L22" s="65"/>
      <c r="M22" s="69"/>
      <c r="N22" s="64"/>
      <c r="O22" s="69"/>
      <c r="P22" s="65"/>
      <c r="Q22" s="28"/>
      <c r="R22" s="28"/>
      <c r="T22" s="31"/>
      <c r="U22" s="31"/>
      <c r="V22" s="31"/>
      <c r="W22" s="31"/>
      <c r="X22" s="31"/>
      <c r="Y22" s="44"/>
      <c r="Z22" s="31"/>
      <c r="AA22" s="28"/>
      <c r="AB22" s="44"/>
      <c r="AC22" s="31"/>
      <c r="AD22" s="28"/>
      <c r="AE22" s="44"/>
      <c r="AF22" s="28"/>
      <c r="AG22" s="28"/>
      <c r="AH22" s="28"/>
      <c r="AI22" s="28"/>
      <c r="AJ22" s="76"/>
      <c r="AK22" s="28"/>
      <c r="AL22" s="28"/>
      <c r="AM22" s="28"/>
      <c r="AN22" s="28"/>
      <c r="AO22" s="28"/>
      <c r="AP22" s="28"/>
      <c r="AQ22" s="28"/>
      <c r="AR22" s="28"/>
      <c r="AS22" s="63"/>
      <c r="AT22" s="64"/>
      <c r="AU22" s="63"/>
      <c r="AV22" s="65"/>
      <c r="AW22" s="65"/>
      <c r="AX22" s="65"/>
      <c r="AY22" s="31"/>
      <c r="AZ22" s="33"/>
      <c r="BA22" s="46"/>
      <c r="BB22" s="78"/>
      <c r="BC22" s="34"/>
      <c r="BD22" s="28"/>
    </row>
    <row r="23" spans="1:59" ht="13.5" customHeight="1">
      <c r="A23" s="22"/>
      <c r="B23" s="202">
        <v>2</v>
      </c>
      <c r="C23" s="204"/>
      <c r="D23" s="31"/>
      <c r="E23" s="31"/>
      <c r="F23" s="28"/>
      <c r="G23" s="28"/>
      <c r="H23" s="121"/>
      <c r="I23" s="62"/>
      <c r="J23" s="63"/>
      <c r="K23" s="62"/>
      <c r="L23" s="63"/>
      <c r="M23" s="69"/>
      <c r="N23" s="69"/>
      <c r="O23" s="65"/>
      <c r="P23" s="69"/>
      <c r="Q23" s="65"/>
      <c r="R23" s="69"/>
      <c r="S23" s="35"/>
      <c r="T23" s="28"/>
      <c r="U23" s="28"/>
      <c r="V23" s="28"/>
      <c r="W23" s="28"/>
      <c r="X23" s="28"/>
      <c r="Y23" s="121"/>
      <c r="Z23" s="62"/>
      <c r="AA23" s="63"/>
      <c r="AB23" s="62"/>
      <c r="AC23" s="63"/>
      <c r="AD23" s="69"/>
      <c r="AE23" s="69"/>
      <c r="AF23" s="65"/>
      <c r="AG23" s="69"/>
      <c r="AH23" s="69"/>
      <c r="AI23" s="64"/>
      <c r="AJ23" s="69"/>
      <c r="AK23" s="65"/>
      <c r="AL23" s="28"/>
      <c r="AM23" s="28"/>
      <c r="AN23" s="28"/>
      <c r="AO23" s="28"/>
      <c r="AP23" s="65"/>
      <c r="AQ23" s="65"/>
      <c r="AR23" s="65"/>
      <c r="AS23" s="63"/>
      <c r="AT23" s="64"/>
      <c r="AU23" s="63"/>
      <c r="AV23" s="65"/>
      <c r="AW23" s="65"/>
      <c r="AX23" s="65"/>
      <c r="AY23" s="31"/>
      <c r="AZ23" s="33"/>
      <c r="BA23" s="46"/>
      <c r="BB23" s="78"/>
      <c r="BC23" s="34"/>
      <c r="BD23" s="28"/>
    </row>
    <row r="24" spans="1:59" ht="13.5" customHeight="1">
      <c r="A24" s="22"/>
      <c r="B24" s="45"/>
      <c r="C24" s="43"/>
      <c r="D24" s="28" t="s">
        <v>34</v>
      </c>
      <c r="E24" s="28" t="s">
        <v>133</v>
      </c>
      <c r="F24" s="28"/>
      <c r="G24" s="28"/>
      <c r="H24" s="62"/>
      <c r="I24" s="63"/>
      <c r="J24" s="63"/>
      <c r="K24" s="63"/>
      <c r="L24" s="64"/>
      <c r="M24" s="63"/>
      <c r="N24" s="65"/>
      <c r="O24" s="65"/>
      <c r="Q24" s="64"/>
      <c r="R24" s="63"/>
      <c r="S24" s="35"/>
      <c r="T24" s="28"/>
      <c r="U24" s="28"/>
      <c r="V24" s="28"/>
      <c r="W24" s="28"/>
      <c r="Y24" s="62"/>
      <c r="Z24" s="63"/>
      <c r="AA24" s="63"/>
      <c r="AB24" s="63"/>
      <c r="AC24" s="64"/>
      <c r="AD24" s="63"/>
      <c r="AE24" s="65"/>
      <c r="AF24" s="65"/>
      <c r="AG24" s="65"/>
      <c r="AH24" s="28"/>
      <c r="AI24" s="28"/>
      <c r="AJ24" s="35"/>
      <c r="AK24" s="28"/>
      <c r="AL24" s="28"/>
      <c r="AM24" s="28"/>
      <c r="AN24" s="28"/>
      <c r="AO24" s="35"/>
      <c r="AP24" s="62"/>
      <c r="AQ24" s="63"/>
      <c r="AR24" s="63"/>
      <c r="AS24" s="63"/>
      <c r="AT24" s="64"/>
      <c r="AU24" s="63"/>
      <c r="AV24" s="65"/>
      <c r="AW24" s="65"/>
      <c r="AX24" s="65"/>
      <c r="AY24" s="63"/>
      <c r="AZ24" s="33"/>
      <c r="BA24" s="46"/>
      <c r="BB24" s="78"/>
      <c r="BC24" s="34"/>
      <c r="BD24" s="28"/>
      <c r="BE24" s="35"/>
      <c r="BF24" s="35"/>
      <c r="BG24" s="35"/>
    </row>
    <row r="25" spans="1:59" ht="13.5" customHeight="1">
      <c r="A25" s="22"/>
      <c r="B25" s="45"/>
      <c r="C25" s="28"/>
      <c r="D25" s="28"/>
      <c r="E25" s="28"/>
      <c r="F25" s="28"/>
      <c r="H25" s="62"/>
      <c r="I25" s="63"/>
      <c r="J25" s="63"/>
      <c r="K25" s="63"/>
      <c r="L25" s="64"/>
      <c r="M25" s="63"/>
      <c r="N25" s="65"/>
      <c r="O25" s="65"/>
      <c r="P25" s="65"/>
      <c r="Q25" s="64"/>
      <c r="R25" s="28"/>
      <c r="S25" s="35"/>
      <c r="T25" s="35"/>
      <c r="U25" s="28"/>
      <c r="V25" s="28"/>
      <c r="W25" s="28"/>
      <c r="Y25" s="62"/>
      <c r="Z25" s="63"/>
      <c r="AA25" s="63"/>
      <c r="AB25" s="63"/>
      <c r="AC25" s="64"/>
      <c r="AD25" s="63"/>
      <c r="AE25" s="65"/>
      <c r="AF25" s="65"/>
      <c r="AG25" s="65"/>
      <c r="AH25" s="28"/>
      <c r="AI25" s="28"/>
      <c r="AJ25" s="35"/>
      <c r="AK25" s="28"/>
      <c r="AL25" s="28"/>
      <c r="AM25" s="28"/>
      <c r="AN25" s="28"/>
      <c r="AO25" s="35"/>
      <c r="AP25" s="62"/>
      <c r="AQ25" s="63"/>
      <c r="AR25" s="63"/>
      <c r="AS25" s="63"/>
      <c r="AT25" s="62"/>
      <c r="AU25" s="64"/>
      <c r="AV25" s="62"/>
      <c r="AW25" s="63"/>
      <c r="AX25" s="63"/>
      <c r="AY25" s="63"/>
      <c r="AZ25" s="33"/>
      <c r="BA25" s="46"/>
      <c r="BB25" s="78"/>
      <c r="BC25" s="34"/>
      <c r="BD25" s="28"/>
      <c r="BE25" s="35"/>
      <c r="BF25" s="35"/>
      <c r="BG25" s="35"/>
    </row>
    <row r="26" spans="1:59" ht="14.15" customHeight="1">
      <c r="A26" s="22"/>
      <c r="B26" s="256"/>
      <c r="C26" s="361"/>
      <c r="F26" s="285"/>
      <c r="G26" s="285"/>
      <c r="H26" s="28"/>
      <c r="I26" s="147"/>
      <c r="J26" s="130"/>
      <c r="K26" s="130"/>
      <c r="L26" s="130"/>
      <c r="M26" s="146"/>
      <c r="N26" s="130"/>
      <c r="P26" s="362"/>
      <c r="R26" s="130"/>
      <c r="S26" s="35"/>
      <c r="T26" s="285"/>
      <c r="U26" s="35"/>
      <c r="V26" s="285"/>
      <c r="W26" s="285"/>
      <c r="X26" s="285"/>
      <c r="Y26" s="28"/>
      <c r="Z26" s="147"/>
      <c r="AA26" s="130"/>
      <c r="AB26" s="130"/>
      <c r="AC26" s="130"/>
      <c r="AD26" s="146"/>
      <c r="AE26" s="130"/>
      <c r="AF26" s="35"/>
      <c r="AG26" s="146"/>
      <c r="AH26" s="35"/>
      <c r="AI26" s="35"/>
      <c r="AJ26" s="35"/>
      <c r="AK26" s="285"/>
      <c r="AL26" s="35"/>
      <c r="AM26" s="285"/>
      <c r="AN26" s="35"/>
      <c r="AO26" s="35"/>
      <c r="AP26" s="28"/>
      <c r="AQ26" s="147"/>
      <c r="AR26" s="130"/>
      <c r="AS26" s="130"/>
      <c r="AT26" s="130"/>
      <c r="AU26" s="146"/>
      <c r="AV26" s="35"/>
      <c r="AW26" s="28"/>
      <c r="AX26" s="363"/>
      <c r="AY26" s="130"/>
      <c r="AZ26" s="33"/>
      <c r="BA26" s="46"/>
      <c r="BB26" s="78"/>
      <c r="BC26" s="34"/>
      <c r="BD26" s="35"/>
      <c r="BE26" s="35"/>
      <c r="BF26" s="35"/>
      <c r="BG26" s="35"/>
    </row>
    <row r="27" spans="1:59" ht="13.5" customHeight="1">
      <c r="A27" s="22"/>
      <c r="B27" s="45"/>
      <c r="C27" s="28"/>
      <c r="D27" s="28"/>
      <c r="E27" s="28"/>
      <c r="F27" s="28"/>
      <c r="H27" s="62"/>
      <c r="I27" s="63"/>
      <c r="J27" s="63"/>
      <c r="K27" s="63"/>
      <c r="L27" s="64"/>
      <c r="M27" s="63"/>
      <c r="N27" s="65"/>
      <c r="O27" s="65"/>
      <c r="P27" s="65"/>
      <c r="Q27" s="64"/>
      <c r="R27" s="28"/>
      <c r="S27" s="35"/>
      <c r="T27" s="28"/>
      <c r="U27" s="28"/>
      <c r="V27" s="28"/>
      <c r="W27" s="28"/>
      <c r="Y27" s="62"/>
      <c r="Z27" s="63"/>
      <c r="AA27" s="63"/>
      <c r="AB27" s="63"/>
      <c r="AC27" s="64"/>
      <c r="AD27" s="63"/>
      <c r="AE27" s="65"/>
      <c r="AF27" s="65"/>
      <c r="AG27" s="65"/>
      <c r="AH27" s="28"/>
      <c r="AI27" s="28"/>
      <c r="AJ27" s="35"/>
      <c r="AK27" s="28"/>
      <c r="AL27" s="28"/>
      <c r="AM27" s="28"/>
      <c r="AN27" s="28"/>
      <c r="AO27" s="35"/>
      <c r="AP27" s="62"/>
      <c r="AQ27" s="63"/>
      <c r="AR27" s="63"/>
      <c r="AS27" s="63"/>
      <c r="AT27" s="64"/>
      <c r="AU27" s="63"/>
      <c r="AV27" s="65"/>
      <c r="AW27" s="65"/>
      <c r="AX27" s="362"/>
      <c r="AY27" s="63"/>
      <c r="AZ27" s="33"/>
      <c r="BA27" s="46"/>
      <c r="BB27" s="78"/>
      <c r="BC27" s="34"/>
      <c r="BD27" s="28"/>
      <c r="BE27" s="35"/>
      <c r="BF27" s="35"/>
      <c r="BG27" s="35"/>
    </row>
    <row r="28" spans="1:59" ht="13.5" customHeight="1">
      <c r="A28" s="22"/>
      <c r="B28" s="32"/>
      <c r="C28" s="41"/>
      <c r="D28" s="41"/>
      <c r="E28" s="41"/>
      <c r="F28" s="41"/>
      <c r="G28" s="41"/>
      <c r="H28" s="193"/>
      <c r="I28" s="193"/>
      <c r="J28" s="194"/>
      <c r="K28" s="193"/>
      <c r="L28" s="194"/>
      <c r="M28" s="193"/>
      <c r="N28" s="195"/>
      <c r="O28" s="193"/>
      <c r="P28" s="194"/>
      <c r="Q28" s="194"/>
      <c r="R28" s="194"/>
      <c r="S28" s="196"/>
      <c r="T28" s="196"/>
      <c r="U28" s="196"/>
      <c r="V28" s="196"/>
      <c r="W28" s="196"/>
      <c r="X28" s="195"/>
      <c r="Y28" s="196"/>
      <c r="Z28" s="194"/>
      <c r="AA28" s="195"/>
      <c r="AB28" s="196"/>
      <c r="AC28" s="194"/>
      <c r="AD28" s="195"/>
      <c r="AE28" s="194"/>
      <c r="AF28" s="194"/>
      <c r="AG28" s="195"/>
      <c r="AH28" s="194"/>
      <c r="AI28" s="194"/>
      <c r="AJ28" s="197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64"/>
      <c r="AY28" s="63"/>
      <c r="AZ28" s="33"/>
      <c r="BA28" s="46"/>
      <c r="BB28" s="78"/>
      <c r="BC28" s="34"/>
      <c r="BD28" s="28"/>
      <c r="BE28" s="35"/>
      <c r="BF28" s="35"/>
      <c r="BG28" s="35"/>
    </row>
    <row r="29" spans="1:59" ht="13.5" customHeight="1">
      <c r="A29" s="22"/>
      <c r="B29" s="32"/>
      <c r="C29" s="41"/>
      <c r="D29" s="41"/>
      <c r="E29" s="41"/>
      <c r="F29" s="41"/>
      <c r="G29" s="41"/>
      <c r="H29" s="193"/>
      <c r="I29" s="193"/>
      <c r="J29" s="194"/>
      <c r="K29" s="193"/>
      <c r="L29" s="194"/>
      <c r="M29" s="193"/>
      <c r="N29" s="195"/>
      <c r="O29" s="193"/>
      <c r="P29" s="194"/>
      <c r="Q29" s="194"/>
      <c r="R29" s="194"/>
      <c r="S29" s="196"/>
      <c r="T29" s="196"/>
      <c r="U29" s="196"/>
      <c r="V29" s="196"/>
      <c r="W29" s="196"/>
      <c r="X29" s="195"/>
      <c r="Y29" s="196"/>
      <c r="Z29" s="194"/>
      <c r="AA29" s="195"/>
      <c r="AB29" s="196"/>
      <c r="AC29" s="194"/>
      <c r="AD29" s="195"/>
      <c r="AE29" s="194"/>
      <c r="AF29" s="194"/>
      <c r="AG29" s="195"/>
      <c r="AH29" s="194"/>
      <c r="AI29" s="194"/>
      <c r="AJ29" s="197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64"/>
      <c r="AY29" s="63"/>
      <c r="AZ29" s="33"/>
      <c r="BA29" s="46"/>
      <c r="BB29" s="78"/>
      <c r="BC29" s="34"/>
      <c r="BD29" s="28"/>
      <c r="BE29" s="35"/>
      <c r="BF29" s="35"/>
      <c r="BG29" s="35"/>
    </row>
    <row r="30" spans="1:59" ht="13.5" customHeight="1">
      <c r="A30" s="22"/>
      <c r="B30" s="32"/>
      <c r="C30" s="41"/>
      <c r="D30" s="41"/>
      <c r="E30" s="41"/>
      <c r="F30" s="41"/>
      <c r="G30" s="41"/>
      <c r="H30" s="193"/>
      <c r="I30" s="193"/>
      <c r="J30" s="194"/>
      <c r="K30" s="193"/>
      <c r="L30" s="194"/>
      <c r="M30" s="193"/>
      <c r="N30" s="195"/>
      <c r="O30" s="193"/>
      <c r="P30" s="194"/>
      <c r="Q30" s="194"/>
      <c r="R30" s="194"/>
      <c r="S30" s="196"/>
      <c r="T30" s="196"/>
      <c r="U30" s="196"/>
      <c r="V30" s="196"/>
      <c r="W30" s="196"/>
      <c r="X30" s="195"/>
      <c r="Y30" s="196"/>
      <c r="Z30" s="194"/>
      <c r="AA30" s="195"/>
      <c r="AB30" s="196"/>
      <c r="AC30" s="194"/>
      <c r="AD30" s="195"/>
      <c r="AE30" s="194"/>
      <c r="AF30" s="194"/>
      <c r="AG30" s="195"/>
      <c r="AH30" s="194"/>
      <c r="AI30" s="194"/>
      <c r="AJ30" s="197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64"/>
      <c r="AY30" s="63"/>
      <c r="AZ30" s="33"/>
      <c r="BA30" s="46"/>
      <c r="BB30" s="78"/>
      <c r="BC30" s="34"/>
      <c r="BD30" s="28"/>
      <c r="BE30" s="35"/>
      <c r="BF30" s="35"/>
      <c r="BG30" s="35"/>
    </row>
    <row r="31" spans="1:59" ht="13.5" customHeight="1">
      <c r="A31" s="22"/>
      <c r="B31" s="32"/>
      <c r="C31" s="41"/>
      <c r="D31" s="41"/>
      <c r="E31" s="41"/>
      <c r="F31" s="41"/>
      <c r="G31" s="41"/>
      <c r="H31" s="193"/>
      <c r="I31" s="193"/>
      <c r="J31" s="194"/>
      <c r="K31" s="193"/>
      <c r="L31" s="194"/>
      <c r="M31" s="193"/>
      <c r="N31" s="195"/>
      <c r="O31" s="193"/>
      <c r="P31" s="194"/>
      <c r="Q31" s="194"/>
      <c r="R31" s="194"/>
      <c r="S31" s="196"/>
      <c r="T31" s="196"/>
      <c r="U31" s="196"/>
      <c r="V31" s="196"/>
      <c r="W31" s="196"/>
      <c r="X31" s="195"/>
      <c r="Y31" s="196"/>
      <c r="Z31" s="194"/>
      <c r="AA31" s="195"/>
      <c r="AB31" s="196"/>
      <c r="AC31" s="194"/>
      <c r="AD31" s="195"/>
      <c r="AE31" s="194"/>
      <c r="AF31" s="194"/>
      <c r="AG31" s="195"/>
      <c r="AH31" s="194"/>
      <c r="AI31" s="194"/>
      <c r="AJ31" s="197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64"/>
      <c r="AY31" s="63"/>
      <c r="AZ31" s="33"/>
      <c r="BA31" s="46"/>
      <c r="BB31" s="78"/>
      <c r="BC31" s="34"/>
      <c r="BD31" s="28"/>
      <c r="BE31" s="35"/>
      <c r="BF31" s="35"/>
      <c r="BG31" s="35"/>
    </row>
    <row r="32" spans="1:59" ht="5.15" customHeight="1">
      <c r="A32" s="22"/>
      <c r="B32" s="32"/>
      <c r="C32" s="41"/>
      <c r="D32" s="41"/>
      <c r="E32" s="41"/>
      <c r="F32" s="41"/>
      <c r="G32" s="41"/>
      <c r="H32" s="193"/>
      <c r="I32" s="193"/>
      <c r="J32" s="194"/>
      <c r="K32" s="193"/>
      <c r="L32" s="194"/>
      <c r="M32" s="193"/>
      <c r="N32" s="195"/>
      <c r="O32" s="193"/>
      <c r="P32" s="194"/>
      <c r="Q32" s="194"/>
      <c r="R32" s="194"/>
      <c r="S32" s="196"/>
      <c r="T32" s="196"/>
      <c r="U32" s="196"/>
      <c r="V32" s="196"/>
      <c r="W32" s="196"/>
      <c r="X32" s="195"/>
      <c r="Y32" s="196"/>
      <c r="Z32" s="194"/>
      <c r="AA32" s="195"/>
      <c r="AB32" s="196"/>
      <c r="AC32" s="194"/>
      <c r="AD32" s="195"/>
      <c r="AE32" s="194"/>
      <c r="AF32" s="194"/>
      <c r="AG32" s="195"/>
      <c r="AH32" s="194"/>
      <c r="AI32" s="194"/>
      <c r="AJ32" s="197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64"/>
      <c r="AY32" s="63"/>
      <c r="AZ32" s="33"/>
      <c r="BA32" s="46"/>
      <c r="BB32" s="78"/>
      <c r="BC32" s="34"/>
      <c r="BD32" s="28"/>
      <c r="BE32" s="35"/>
      <c r="BF32" s="35"/>
      <c r="BG32" s="35"/>
    </row>
    <row r="33" spans="1:60" ht="13.5" customHeight="1">
      <c r="A33" s="22"/>
      <c r="B33" s="32"/>
      <c r="C33" s="41"/>
      <c r="D33" s="41"/>
      <c r="E33" s="41"/>
      <c r="F33" s="41"/>
      <c r="G33" s="41"/>
      <c r="H33" s="193"/>
      <c r="I33" s="193"/>
      <c r="J33" s="194"/>
      <c r="K33" s="193"/>
      <c r="L33" s="194"/>
      <c r="M33" s="193"/>
      <c r="N33" s="195"/>
      <c r="O33" s="193"/>
      <c r="P33" s="194"/>
      <c r="Q33" s="194"/>
      <c r="R33" s="194"/>
      <c r="S33" s="196"/>
      <c r="T33" s="196"/>
      <c r="U33" s="196"/>
      <c r="V33" s="196"/>
      <c r="W33" s="196"/>
      <c r="X33" s="195"/>
      <c r="Y33" s="196"/>
      <c r="Z33" s="194"/>
      <c r="AA33" s="195"/>
      <c r="AB33" s="196"/>
      <c r="AC33" s="194"/>
      <c r="AD33" s="195"/>
      <c r="AE33" s="194"/>
      <c r="AF33" s="194"/>
      <c r="AG33" s="195"/>
      <c r="AH33" s="194"/>
      <c r="AI33" s="194"/>
      <c r="AJ33" s="197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64"/>
      <c r="AY33" s="63"/>
      <c r="AZ33" s="33"/>
      <c r="BA33" s="46"/>
      <c r="BB33" s="78"/>
      <c r="BC33" s="34"/>
      <c r="BD33" s="28"/>
      <c r="BE33" s="35"/>
      <c r="BF33" s="35"/>
      <c r="BG33" s="35"/>
    </row>
    <row r="34" spans="1:60" ht="13.5" customHeight="1">
      <c r="A34" s="22"/>
      <c r="B34" s="32"/>
      <c r="C34" s="41"/>
      <c r="D34" s="41"/>
      <c r="E34" s="41"/>
      <c r="F34" s="41"/>
      <c r="G34" s="41"/>
      <c r="H34" s="193"/>
      <c r="I34" s="193"/>
      <c r="J34" s="194"/>
      <c r="K34" s="193"/>
      <c r="L34" s="194"/>
      <c r="M34" s="193"/>
      <c r="N34" s="195"/>
      <c r="O34" s="193"/>
      <c r="P34" s="194"/>
      <c r="Q34" s="194"/>
      <c r="R34" s="194"/>
      <c r="S34" s="196"/>
      <c r="T34" s="196"/>
      <c r="U34" s="196"/>
      <c r="V34" s="196"/>
      <c r="W34" s="196"/>
      <c r="X34" s="195"/>
      <c r="Y34" s="196"/>
      <c r="Z34" s="194"/>
      <c r="AA34" s="195"/>
      <c r="AB34" s="196"/>
      <c r="AC34" s="194"/>
      <c r="AD34" s="195"/>
      <c r="AE34" s="194"/>
      <c r="AF34" s="194"/>
      <c r="AG34" s="195"/>
      <c r="AH34" s="194"/>
      <c r="AI34" s="194"/>
      <c r="AJ34" s="197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64"/>
      <c r="AY34" s="63"/>
      <c r="AZ34" s="33"/>
      <c r="BA34" s="46"/>
      <c r="BB34" s="78"/>
      <c r="BC34" s="34"/>
      <c r="BD34" s="28"/>
      <c r="BE34" s="35"/>
      <c r="BF34" s="35"/>
      <c r="BG34" s="35"/>
    </row>
    <row r="35" spans="1:60" ht="13.5" customHeight="1">
      <c r="A35" s="22"/>
      <c r="B35" s="32"/>
      <c r="C35" s="41"/>
      <c r="D35" s="41"/>
      <c r="E35" s="41"/>
      <c r="F35" s="41"/>
      <c r="G35" s="41"/>
      <c r="H35" s="193"/>
      <c r="I35" s="193"/>
      <c r="J35" s="194"/>
      <c r="K35" s="193"/>
      <c r="L35" s="194"/>
      <c r="M35" s="193"/>
      <c r="N35" s="195"/>
      <c r="O35" s="193"/>
      <c r="P35" s="194"/>
      <c r="Q35" s="194"/>
      <c r="R35" s="194"/>
      <c r="S35" s="196"/>
      <c r="T35" s="196"/>
      <c r="U35" s="196"/>
      <c r="V35" s="196"/>
      <c r="W35" s="196"/>
      <c r="X35" s="195"/>
      <c r="Y35" s="196"/>
      <c r="Z35" s="194"/>
      <c r="AA35" s="195"/>
      <c r="AB35" s="196"/>
      <c r="AC35" s="194"/>
      <c r="AD35" s="195"/>
      <c r="AE35" s="194"/>
      <c r="AF35" s="194"/>
      <c r="AG35" s="195"/>
      <c r="AH35" s="194"/>
      <c r="AI35" s="194"/>
      <c r="AJ35" s="197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64"/>
      <c r="AY35" s="63"/>
      <c r="AZ35" s="33"/>
      <c r="BA35" s="46"/>
      <c r="BB35" s="78"/>
      <c r="BC35" s="34"/>
      <c r="BD35" s="28"/>
      <c r="BE35" s="35"/>
      <c r="BF35" s="35"/>
      <c r="BG35" s="35"/>
    </row>
    <row r="36" spans="1:60" ht="13.5" customHeight="1">
      <c r="A36" s="22"/>
      <c r="B36" s="202">
        <v>4</v>
      </c>
      <c r="C36" s="43"/>
      <c r="D36" s="31"/>
      <c r="E36" s="31"/>
      <c r="F36" s="31"/>
      <c r="G36" s="31"/>
      <c r="H36" s="62"/>
      <c r="I36" s="63"/>
      <c r="J36" s="63"/>
      <c r="K36" s="63"/>
      <c r="L36" s="64"/>
      <c r="M36" s="63"/>
      <c r="N36" s="65"/>
      <c r="O36" s="65"/>
      <c r="P36" s="65"/>
      <c r="Q36" s="65"/>
      <c r="R36" s="65"/>
      <c r="S36" s="75"/>
      <c r="T36" s="63"/>
      <c r="U36" s="63"/>
      <c r="V36" s="63"/>
      <c r="W36" s="63"/>
      <c r="X36" s="62"/>
      <c r="Y36" s="63"/>
      <c r="Z36" s="63"/>
      <c r="AA36" s="63"/>
      <c r="AB36" s="64"/>
      <c r="AC36" s="63"/>
      <c r="AD36" s="65"/>
      <c r="AE36" s="65"/>
      <c r="AF36" s="65"/>
      <c r="AG36" s="65"/>
      <c r="AH36" s="65"/>
      <c r="AI36" s="75"/>
      <c r="AJ36" s="63"/>
      <c r="AK36" s="63"/>
      <c r="AL36" s="63"/>
      <c r="AM36" s="63"/>
      <c r="AN36" s="125"/>
      <c r="AO36" s="62"/>
      <c r="AP36" s="62"/>
      <c r="AQ36" s="63"/>
      <c r="AR36" s="63"/>
      <c r="AS36" s="63"/>
      <c r="AT36" s="64"/>
      <c r="AU36" s="63"/>
      <c r="AV36" s="65"/>
      <c r="AW36" s="65"/>
      <c r="AX36" s="65"/>
      <c r="AY36" s="31"/>
      <c r="AZ36" s="33"/>
      <c r="BA36" s="46"/>
      <c r="BB36" s="78"/>
      <c r="BC36" s="34"/>
      <c r="BD36" s="35"/>
      <c r="BE36" s="35"/>
      <c r="BF36" s="35"/>
      <c r="BG36" s="35"/>
    </row>
    <row r="37" spans="1:60" ht="14.15" customHeight="1">
      <c r="A37" s="22"/>
      <c r="B37" s="202"/>
      <c r="C37" s="331"/>
      <c r="D37" s="332"/>
      <c r="E37" s="65"/>
      <c r="F37" s="65"/>
      <c r="G37" s="65"/>
      <c r="H37" s="65"/>
      <c r="I37" s="65"/>
      <c r="J37" s="354"/>
      <c r="K37" s="354"/>
      <c r="L37" s="354"/>
      <c r="M37" s="354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125"/>
      <c r="AU37" s="65"/>
      <c r="AV37" s="65"/>
      <c r="AW37" s="65"/>
      <c r="AX37" s="65"/>
      <c r="AY37" s="65"/>
      <c r="AZ37" s="33"/>
      <c r="BA37" s="46"/>
      <c r="BB37" s="335"/>
      <c r="BC37" s="336"/>
      <c r="BD37" s="28"/>
      <c r="BG37" s="24"/>
      <c r="BH37" s="28"/>
    </row>
    <row r="38" spans="1:60" ht="13.5" customHeight="1">
      <c r="A38" s="22"/>
      <c r="B38" s="202">
        <v>36</v>
      </c>
      <c r="C38" s="331"/>
      <c r="D38" s="332"/>
      <c r="E38" s="65"/>
      <c r="F38" s="65"/>
      <c r="G38" s="65"/>
      <c r="H38" s="65"/>
      <c r="I38" s="65"/>
      <c r="J38" s="969"/>
      <c r="K38" s="969"/>
      <c r="L38" s="969"/>
      <c r="M38" s="969"/>
      <c r="N38" s="63"/>
      <c r="O38" s="65"/>
      <c r="P38" s="65"/>
      <c r="Q38" s="65"/>
      <c r="R38" s="28"/>
      <c r="S38" s="28"/>
      <c r="T38" s="31"/>
      <c r="U38" s="31"/>
      <c r="V38" s="31"/>
      <c r="W38" s="31"/>
      <c r="X38" s="31"/>
      <c r="Y38" s="44"/>
      <c r="Z38" s="31"/>
      <c r="AA38" s="28"/>
      <c r="AB38" s="44"/>
      <c r="AC38" s="31"/>
      <c r="AD38" s="28"/>
      <c r="AE38" s="44"/>
      <c r="AF38" s="28"/>
      <c r="AG38" s="116"/>
      <c r="AH38" s="41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33"/>
      <c r="BA38" s="46"/>
      <c r="BB38" s="335"/>
      <c r="BC38" s="336"/>
      <c r="BD38" s="28"/>
      <c r="BG38" s="24"/>
      <c r="BH38" s="28"/>
    </row>
    <row r="39" spans="1:60" ht="13.5" customHeight="1">
      <c r="A39" s="22"/>
      <c r="B39" s="202">
        <v>37</v>
      </c>
      <c r="C39" s="331"/>
      <c r="D39" s="332"/>
      <c r="E39" s="65"/>
      <c r="F39" s="65"/>
      <c r="G39" s="65"/>
      <c r="H39" s="65"/>
      <c r="I39" s="65"/>
      <c r="J39" s="969"/>
      <c r="K39" s="969"/>
      <c r="L39" s="969"/>
      <c r="M39" s="969"/>
      <c r="N39" s="193"/>
      <c r="O39" s="195"/>
      <c r="P39" s="193"/>
      <c r="Q39" s="194"/>
      <c r="R39" s="194"/>
      <c r="S39" s="194"/>
      <c r="T39" s="196"/>
      <c r="U39" s="196"/>
      <c r="V39" s="196"/>
      <c r="W39" s="196"/>
      <c r="X39" s="196"/>
      <c r="Y39" s="195"/>
      <c r="Z39" s="196"/>
      <c r="AA39" s="194"/>
      <c r="AB39" s="195"/>
      <c r="AC39" s="196"/>
      <c r="AD39" s="194"/>
      <c r="AE39" s="195"/>
      <c r="AF39" s="194"/>
      <c r="AG39" s="194"/>
      <c r="AH39" s="195"/>
      <c r="AI39" s="194"/>
      <c r="AJ39" s="194"/>
      <c r="AK39" s="197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33"/>
      <c r="BA39" s="46"/>
      <c r="BB39" s="335"/>
      <c r="BC39" s="336"/>
      <c r="BD39" s="28"/>
      <c r="BG39" s="24"/>
      <c r="BH39" s="28"/>
    </row>
    <row r="40" spans="1:60">
      <c r="A40" s="22"/>
      <c r="B40" s="32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81"/>
      <c r="T40" s="81"/>
      <c r="U40" s="81"/>
      <c r="V40" s="81"/>
      <c r="W40" s="28"/>
      <c r="X40" s="28"/>
      <c r="Y40" s="81"/>
      <c r="Z40" s="81"/>
      <c r="AA40" s="28"/>
      <c r="AB40" s="28"/>
      <c r="AC40" s="28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31"/>
      <c r="AZ40" s="33"/>
      <c r="BA40" s="46"/>
      <c r="BB40" s="335"/>
      <c r="BC40" s="336"/>
    </row>
    <row r="41" spans="1:60">
      <c r="A41" s="155"/>
      <c r="B41" s="95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56"/>
      <c r="T41" s="156"/>
      <c r="U41" s="156"/>
      <c r="V41" s="156"/>
      <c r="W41" s="110"/>
      <c r="X41" s="110"/>
      <c r="Y41" s="156"/>
      <c r="Z41" s="156"/>
      <c r="AA41" s="110"/>
      <c r="AB41" s="110"/>
      <c r="AC41" s="110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95"/>
      <c r="AZ41" s="95"/>
      <c r="BA41" s="157"/>
      <c r="BB41" s="355"/>
      <c r="BC41" s="356"/>
    </row>
  </sheetData>
  <mergeCells count="29">
    <mergeCell ref="AN1:AR1"/>
    <mergeCell ref="AS1:AU1"/>
    <mergeCell ref="AV1:AY1"/>
    <mergeCell ref="AZ1:BC1"/>
    <mergeCell ref="A2:H2"/>
    <mergeCell ref="I2:L2"/>
    <mergeCell ref="M2:W2"/>
    <mergeCell ref="AK2:AM2"/>
    <mergeCell ref="AN2:AR2"/>
    <mergeCell ref="AS2:AU2"/>
    <mergeCell ref="A1:H1"/>
    <mergeCell ref="I1:L1"/>
    <mergeCell ref="M1:W1"/>
    <mergeCell ref="X1:Z2"/>
    <mergeCell ref="AA1:AJ2"/>
    <mergeCell ref="AK1:AM1"/>
    <mergeCell ref="J38:M38"/>
    <mergeCell ref="J39:M39"/>
    <mergeCell ref="A5:BA5"/>
    <mergeCell ref="BB5:BC5"/>
    <mergeCell ref="AV2:AY2"/>
    <mergeCell ref="AZ2:BC3"/>
    <mergeCell ref="A3:H3"/>
    <mergeCell ref="I3:L3"/>
    <mergeCell ref="M3:W3"/>
    <mergeCell ref="X3:Z3"/>
    <mergeCell ref="AA3:AR3"/>
    <mergeCell ref="AS3:AU3"/>
    <mergeCell ref="AV3:AY3"/>
  </mergeCells>
  <phoneticPr fontId="57"/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106"/>
  <sheetViews>
    <sheetView showGridLines="0" topLeftCell="A5" zoomScaleNormal="100" zoomScaleSheetLayoutView="100" workbookViewId="0">
      <pane ySplit="2" topLeftCell="A83" activePane="bottomLeft" state="frozen"/>
      <selection activeCell="Z20" sqref="Z20"/>
      <selection pane="bottomLeft" activeCell="Z20" sqref="Z20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81" customWidth="1"/>
    <col min="57" max="59" width="2.6328125" style="28" customWidth="1"/>
    <col min="60" max="128" width="2.6328125" style="35" customWidth="1"/>
    <col min="129" max="16384" width="9" style="35"/>
  </cols>
  <sheetData>
    <row r="1" spans="1:59" ht="12" customHeight="1">
      <c r="A1" s="754" t="s">
        <v>4</v>
      </c>
      <c r="B1" s="754"/>
      <c r="C1" s="754"/>
      <c r="D1" s="754"/>
      <c r="E1" s="754"/>
      <c r="F1" s="754"/>
      <c r="G1" s="754"/>
      <c r="H1" s="754"/>
      <c r="I1" s="737" t="s">
        <v>5</v>
      </c>
      <c r="J1" s="737"/>
      <c r="K1" s="737"/>
      <c r="L1" s="737"/>
      <c r="M1" s="752" t="str">
        <f>変更来歴!M1</f>
        <v>ヒロセ電機株式会社</v>
      </c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37" t="s">
        <v>7</v>
      </c>
      <c r="Y1" s="737"/>
      <c r="Z1" s="737"/>
      <c r="AA1" s="756" t="str">
        <f>変更来歴!AA1</f>
        <v>化学物質データ申請</v>
      </c>
      <c r="AB1" s="756"/>
      <c r="AC1" s="756"/>
      <c r="AD1" s="756"/>
      <c r="AE1" s="756"/>
      <c r="AF1" s="756"/>
      <c r="AG1" s="756"/>
      <c r="AH1" s="756"/>
      <c r="AI1" s="756"/>
      <c r="AJ1" s="756"/>
      <c r="AK1" s="741" t="s">
        <v>8</v>
      </c>
      <c r="AL1" s="741"/>
      <c r="AM1" s="741"/>
      <c r="AN1" s="742" t="str">
        <f>変更来歴!AP7</f>
        <v>古竹</v>
      </c>
      <c r="AO1" s="742"/>
      <c r="AP1" s="742"/>
      <c r="AQ1" s="742"/>
      <c r="AR1" s="742"/>
      <c r="AS1" s="741" t="s">
        <v>9</v>
      </c>
      <c r="AT1" s="741"/>
      <c r="AU1" s="741"/>
      <c r="AV1" s="744">
        <f>変更来歴!AL7</f>
        <v>46125</v>
      </c>
      <c r="AW1" s="757"/>
      <c r="AX1" s="757"/>
      <c r="AY1" s="757"/>
      <c r="AZ1" s="733" t="s">
        <v>10</v>
      </c>
      <c r="BA1" s="734"/>
      <c r="BB1" s="734"/>
      <c r="BC1" s="735"/>
    </row>
    <row r="2" spans="1:59">
      <c r="A2" s="736" t="s">
        <v>16</v>
      </c>
      <c r="B2" s="736"/>
      <c r="C2" s="736"/>
      <c r="D2" s="736"/>
      <c r="E2" s="736"/>
      <c r="F2" s="736"/>
      <c r="G2" s="736"/>
      <c r="H2" s="736"/>
      <c r="I2" s="737" t="s">
        <v>11</v>
      </c>
      <c r="J2" s="737"/>
      <c r="K2" s="737"/>
      <c r="L2" s="737"/>
      <c r="M2" s="791" t="str">
        <f>変更来歴!M2</f>
        <v>新環境証明書システム移行</v>
      </c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37"/>
      <c r="Y2" s="737"/>
      <c r="Z2" s="737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41" t="s">
        <v>12</v>
      </c>
      <c r="AL2" s="741"/>
      <c r="AM2" s="741"/>
      <c r="AN2" s="742" t="str">
        <f ca="1">INDIRECT("変更来歴!AP" &amp; COUNTA(変更来歴!AP7:'変更来歴'!AP39) + 6)</f>
        <v>古竹</v>
      </c>
      <c r="AO2" s="742"/>
      <c r="AP2" s="742"/>
      <c r="AQ2" s="742"/>
      <c r="AR2" s="742"/>
      <c r="AS2" s="741" t="s">
        <v>13</v>
      </c>
      <c r="AT2" s="741"/>
      <c r="AU2" s="741"/>
      <c r="AV2" s="744">
        <f ca="1">INDIRECT("変更来歴!AL" &amp; COUNTA(変更来歴!AL7:'変更来歴'!AL39) + 6)</f>
        <v>46190</v>
      </c>
      <c r="AW2" s="757"/>
      <c r="AX2" s="757"/>
      <c r="AY2" s="757"/>
      <c r="AZ2" s="745" t="str">
        <f>変更来歴!AX2</f>
        <v>IMWF-53</v>
      </c>
      <c r="BA2" s="746"/>
      <c r="BB2" s="746"/>
      <c r="BC2" s="747"/>
    </row>
    <row r="3" spans="1:59" ht="12" customHeight="1">
      <c r="A3" s="751" t="str">
        <f>変更来歴!A3</f>
        <v>画面設計書</v>
      </c>
      <c r="B3" s="751"/>
      <c r="C3" s="751"/>
      <c r="D3" s="751"/>
      <c r="E3" s="751"/>
      <c r="F3" s="751"/>
      <c r="G3" s="751"/>
      <c r="H3" s="751"/>
      <c r="I3" s="737" t="s">
        <v>14</v>
      </c>
      <c r="J3" s="737"/>
      <c r="K3" s="737"/>
      <c r="L3" s="737"/>
      <c r="M3" s="752" t="str">
        <f ca="1">RIGHT(CELL("filename",A1),LEN(CELL("filename",A1))-FIND("]",CELL("filename",A1)))</f>
        <v>円(PPM)</v>
      </c>
      <c r="N3" s="752"/>
      <c r="O3" s="752"/>
      <c r="P3" s="752"/>
      <c r="Q3" s="752"/>
      <c r="R3" s="752"/>
      <c r="S3" s="752"/>
      <c r="T3" s="752"/>
      <c r="U3" s="752"/>
      <c r="V3" s="752"/>
      <c r="W3" s="752"/>
      <c r="X3" s="737" t="s">
        <v>27</v>
      </c>
      <c r="Y3" s="737"/>
      <c r="Z3" s="737"/>
      <c r="AA3" s="753" t="str">
        <f ca="1">MID(CELL("filename"),FIND("]",CELL("filename"))+1,LEN(CELL("filename"))) &amp; "画面"</f>
        <v>表紙画面</v>
      </c>
      <c r="AB3" s="753"/>
      <c r="AC3" s="753"/>
      <c r="AD3" s="753"/>
      <c r="AE3" s="753"/>
      <c r="AF3" s="753"/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41" t="s">
        <v>15</v>
      </c>
      <c r="AT3" s="741"/>
      <c r="AU3" s="741"/>
      <c r="AV3" s="757" t="str">
        <f ca="1">INDIRECT("変更来歴!A" &amp; COUNTA(変更来歴!A7:'変更来歴'!A39) + 6)</f>
        <v>dr1.5</v>
      </c>
      <c r="AW3" s="757"/>
      <c r="AX3" s="757"/>
      <c r="AY3" s="757"/>
      <c r="AZ3" s="748"/>
      <c r="BA3" s="749"/>
      <c r="BB3" s="749"/>
      <c r="BC3" s="750"/>
    </row>
    <row r="4" spans="1:59" ht="5.9" customHeight="1"/>
    <row r="5" spans="1:59" ht="13.5" customHeight="1">
      <c r="A5" s="792" t="str">
        <f ca="1">"画面レイアウト"&amp;"("&amp;MID(CELL("filename"),FIND("]",CELL("filename"))+1,LEN(CELL("filename")))&amp;")"</f>
        <v>画面レイアウト(表紙)</v>
      </c>
      <c r="B5" s="793"/>
      <c r="C5" s="793"/>
      <c r="D5" s="793"/>
      <c r="E5" s="793"/>
      <c r="F5" s="793"/>
      <c r="G5" s="793"/>
      <c r="H5" s="793"/>
      <c r="I5" s="793"/>
      <c r="J5" s="793"/>
      <c r="K5" s="793"/>
      <c r="L5" s="793"/>
      <c r="M5" s="793"/>
      <c r="N5" s="793"/>
      <c r="O5" s="793"/>
      <c r="P5" s="793"/>
      <c r="Q5" s="793"/>
      <c r="R5" s="793"/>
      <c r="S5" s="793"/>
      <c r="T5" s="793"/>
      <c r="U5" s="793"/>
      <c r="V5" s="793"/>
      <c r="W5" s="793"/>
      <c r="X5" s="793"/>
      <c r="Y5" s="793"/>
      <c r="Z5" s="793"/>
      <c r="AA5" s="793"/>
      <c r="AB5" s="793"/>
      <c r="AC5" s="793"/>
      <c r="AD5" s="793"/>
      <c r="AE5" s="793"/>
      <c r="AF5" s="793"/>
      <c r="AG5" s="793"/>
      <c r="AH5" s="793"/>
      <c r="AI5" s="793"/>
      <c r="AJ5" s="793"/>
      <c r="AK5" s="793"/>
      <c r="AL5" s="793"/>
      <c r="AM5" s="793"/>
      <c r="AN5" s="793"/>
      <c r="AO5" s="793"/>
      <c r="AP5" s="793"/>
      <c r="AQ5" s="793"/>
      <c r="AR5" s="793"/>
      <c r="AS5" s="793"/>
      <c r="AT5" s="793"/>
      <c r="AU5" s="793"/>
      <c r="AV5" s="793"/>
      <c r="AW5" s="793"/>
      <c r="AX5" s="793"/>
      <c r="AY5" s="793"/>
      <c r="AZ5" s="793"/>
      <c r="BA5" s="794"/>
      <c r="BB5" s="784" t="s">
        <v>24</v>
      </c>
      <c r="BC5" s="785"/>
      <c r="BD5" s="28"/>
    </row>
    <row r="6" spans="1:59" ht="13.5" customHeight="1">
      <c r="A6" s="27"/>
      <c r="B6" s="186">
        <v>1</v>
      </c>
      <c r="C6" s="186">
        <v>2</v>
      </c>
      <c r="D6" s="186">
        <v>3</v>
      </c>
      <c r="E6" s="186">
        <v>4</v>
      </c>
      <c r="F6" s="186">
        <v>5</v>
      </c>
      <c r="G6" s="186">
        <v>6</v>
      </c>
      <c r="H6" s="186">
        <v>7</v>
      </c>
      <c r="I6" s="186">
        <v>8</v>
      </c>
      <c r="J6" s="186">
        <v>9</v>
      </c>
      <c r="K6" s="186">
        <v>10</v>
      </c>
      <c r="L6" s="186">
        <v>11</v>
      </c>
      <c r="M6" s="186">
        <v>12</v>
      </c>
      <c r="N6" s="186">
        <v>13</v>
      </c>
      <c r="O6" s="186">
        <v>14</v>
      </c>
      <c r="P6" s="186">
        <v>15</v>
      </c>
      <c r="Q6" s="186">
        <v>16</v>
      </c>
      <c r="R6" s="186">
        <v>17</v>
      </c>
      <c r="S6" s="188">
        <v>18</v>
      </c>
      <c r="T6" s="188">
        <v>19</v>
      </c>
      <c r="U6" s="188">
        <v>20</v>
      </c>
      <c r="V6" s="188">
        <v>21</v>
      </c>
      <c r="W6" s="188">
        <v>22</v>
      </c>
      <c r="X6" s="188">
        <v>23</v>
      </c>
      <c r="Y6" s="188">
        <v>24</v>
      </c>
      <c r="Z6" s="188">
        <v>25</v>
      </c>
      <c r="AA6" s="188">
        <v>26</v>
      </c>
      <c r="AB6" s="188">
        <v>27</v>
      </c>
      <c r="AC6" s="188">
        <v>28</v>
      </c>
      <c r="AD6" s="188">
        <v>29</v>
      </c>
      <c r="AE6" s="188">
        <v>30</v>
      </c>
      <c r="AF6" s="188">
        <v>31</v>
      </c>
      <c r="AG6" s="188">
        <v>32</v>
      </c>
      <c r="AH6" s="188">
        <v>33</v>
      </c>
      <c r="AI6" s="188">
        <v>34</v>
      </c>
      <c r="AJ6" s="187">
        <v>35</v>
      </c>
      <c r="AK6" s="187">
        <v>36</v>
      </c>
      <c r="AL6" s="187">
        <v>37</v>
      </c>
      <c r="AM6" s="187">
        <v>38</v>
      </c>
      <c r="AN6" s="187">
        <v>39</v>
      </c>
      <c r="AO6" s="187">
        <v>40</v>
      </c>
      <c r="AP6" s="187">
        <v>41</v>
      </c>
      <c r="AQ6" s="187">
        <v>42</v>
      </c>
      <c r="AR6" s="187">
        <v>43</v>
      </c>
      <c r="AS6" s="187">
        <v>44</v>
      </c>
      <c r="AT6" s="187">
        <v>45</v>
      </c>
      <c r="AU6" s="187">
        <v>46</v>
      </c>
      <c r="AV6" s="187">
        <v>47</v>
      </c>
      <c r="AW6" s="187">
        <v>48</v>
      </c>
      <c r="AX6" s="187">
        <v>49</v>
      </c>
      <c r="AY6" s="187">
        <v>50</v>
      </c>
      <c r="AZ6" s="187">
        <v>51</v>
      </c>
      <c r="BA6" s="21"/>
      <c r="BB6" s="77"/>
      <c r="BC6" s="42"/>
      <c r="BD6" s="28"/>
    </row>
    <row r="7" spans="1:59" ht="18.75" customHeight="1">
      <c r="A7" s="29"/>
      <c r="B7" s="47" t="s">
        <v>46</v>
      </c>
      <c r="C7" s="36"/>
      <c r="D7" s="36"/>
      <c r="E7" s="36"/>
      <c r="F7" s="36"/>
      <c r="G7" s="36"/>
      <c r="H7" s="48"/>
      <c r="I7" s="36"/>
      <c r="J7" s="48"/>
      <c r="K7" s="36"/>
      <c r="L7" s="36"/>
      <c r="M7" s="36"/>
      <c r="N7" s="48" t="s">
        <v>285</v>
      </c>
      <c r="O7" s="36"/>
      <c r="P7" s="36"/>
      <c r="Q7" s="36"/>
      <c r="R7" s="49" t="s">
        <v>284</v>
      </c>
      <c r="S7" s="36"/>
      <c r="T7" s="36"/>
      <c r="U7" s="36"/>
      <c r="V7" s="36"/>
      <c r="W7" s="36"/>
      <c r="X7" s="36"/>
      <c r="Y7" s="49"/>
      <c r="Z7" s="36"/>
      <c r="AA7" s="36"/>
      <c r="AB7" s="36"/>
      <c r="AC7" s="36"/>
      <c r="AD7" s="36"/>
      <c r="AE7" s="49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0"/>
      <c r="AX7" s="50"/>
      <c r="AY7" s="50"/>
      <c r="AZ7" s="51"/>
      <c r="BA7" s="80" t="s">
        <v>29</v>
      </c>
      <c r="BB7" s="78"/>
      <c r="BC7" s="34"/>
      <c r="BD7" s="28"/>
    </row>
    <row r="8" spans="1:59" ht="18" customHeight="1">
      <c r="A8" s="29"/>
      <c r="B8" s="176"/>
      <c r="C8" s="177"/>
      <c r="D8" s="177"/>
      <c r="E8" s="177" t="s">
        <v>47</v>
      </c>
      <c r="F8" s="177"/>
      <c r="G8" s="177"/>
      <c r="H8" s="178"/>
      <c r="I8" s="178"/>
      <c r="J8" s="178"/>
      <c r="K8" s="178"/>
      <c r="L8" s="179"/>
      <c r="M8" s="178"/>
      <c r="N8" s="57"/>
      <c r="O8" s="57"/>
      <c r="P8" s="179"/>
      <c r="Q8" s="57"/>
      <c r="R8" s="57"/>
      <c r="S8" s="57"/>
      <c r="T8" s="180"/>
      <c r="U8" s="180"/>
      <c r="V8" s="180"/>
      <c r="W8" s="180"/>
      <c r="X8" s="181"/>
      <c r="Y8" s="178"/>
      <c r="Z8" s="178"/>
      <c r="AA8" s="178"/>
      <c r="AB8" s="179"/>
      <c r="AC8" s="178"/>
      <c r="AD8" s="57"/>
      <c r="AE8" s="57"/>
      <c r="AF8" s="179"/>
      <c r="AG8" s="177"/>
      <c r="AH8" s="177"/>
      <c r="AI8" s="182"/>
      <c r="AJ8" s="55"/>
      <c r="AK8" s="55"/>
      <c r="AL8" s="55"/>
      <c r="AM8" s="55"/>
      <c r="AN8" s="183"/>
      <c r="AO8" s="184"/>
      <c r="AP8" s="184"/>
      <c r="AQ8" s="55"/>
      <c r="AR8" s="55"/>
      <c r="AS8" s="55"/>
      <c r="AT8" s="56"/>
      <c r="AU8" s="55"/>
      <c r="AV8" s="57"/>
      <c r="AW8" s="57"/>
      <c r="AX8" s="57"/>
      <c r="AY8" s="177"/>
      <c r="AZ8" s="185"/>
      <c r="BA8" s="143"/>
      <c r="BB8" s="78"/>
      <c r="BC8" s="34"/>
      <c r="BD8" s="28"/>
    </row>
    <row r="9" spans="1:59" ht="13.5" customHeight="1">
      <c r="A9" s="22"/>
      <c r="B9" s="20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3"/>
      <c r="BA9" s="46"/>
      <c r="BB9" s="78"/>
      <c r="BC9" s="34"/>
      <c r="BD9" s="28"/>
    </row>
    <row r="10" spans="1:59" ht="13.5" customHeight="1">
      <c r="A10" s="22"/>
      <c r="B10" s="201"/>
      <c r="C10" s="43" t="s">
        <v>48</v>
      </c>
      <c r="D10" s="31"/>
      <c r="E10" s="31"/>
      <c r="F10" s="31" t="s">
        <v>52</v>
      </c>
      <c r="G10" s="31"/>
      <c r="H10" s="127" t="s">
        <v>51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63"/>
      <c r="U10" s="63"/>
      <c r="V10" s="63"/>
      <c r="W10" s="63"/>
      <c r="X10" s="62"/>
      <c r="Y10" s="63"/>
      <c r="Z10" s="63"/>
      <c r="AA10" s="63"/>
      <c r="AB10" s="64"/>
      <c r="AC10" s="63"/>
      <c r="AD10" s="65"/>
      <c r="AE10" s="65"/>
      <c r="AF10" s="65"/>
      <c r="AG10" s="65"/>
      <c r="AH10" s="65"/>
      <c r="AI10" s="75"/>
      <c r="AJ10" s="63"/>
      <c r="AK10" s="63"/>
      <c r="AL10" s="63"/>
      <c r="AM10" s="63"/>
      <c r="AN10" s="125"/>
      <c r="AO10" s="62"/>
      <c r="AP10" s="62"/>
      <c r="AQ10" s="63"/>
      <c r="AR10" s="63"/>
      <c r="AS10" s="63"/>
      <c r="AT10" s="64"/>
      <c r="AU10" s="63"/>
      <c r="AV10" s="65"/>
      <c r="AW10" s="65"/>
      <c r="AX10" s="65"/>
      <c r="AY10" s="31"/>
      <c r="AZ10" s="33"/>
      <c r="BA10" s="46"/>
      <c r="BB10" s="78"/>
      <c r="BC10" s="34"/>
      <c r="BD10" s="28"/>
    </row>
    <row r="11" spans="1:59" ht="13.5" customHeight="1">
      <c r="A11" s="22"/>
      <c r="B11" s="201"/>
      <c r="C11" s="43" t="s">
        <v>49</v>
      </c>
      <c r="D11" s="31"/>
      <c r="E11" s="31"/>
      <c r="F11" s="31" t="s">
        <v>52</v>
      </c>
      <c r="G11" s="31"/>
      <c r="H11" s="75" t="s">
        <v>53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63"/>
      <c r="U11" s="63"/>
      <c r="V11" s="63"/>
      <c r="W11" s="63"/>
      <c r="X11" s="62"/>
      <c r="Y11" s="63"/>
      <c r="Z11" s="63"/>
      <c r="AA11" s="63"/>
      <c r="AB11" s="64"/>
      <c r="AC11" s="63"/>
      <c r="AD11" s="65"/>
      <c r="AE11" s="65"/>
      <c r="AF11" s="65"/>
      <c r="AG11" s="65"/>
      <c r="AH11" s="65"/>
      <c r="AI11" s="75"/>
      <c r="AJ11" s="63"/>
      <c r="AK11" s="63"/>
      <c r="AL11" s="63"/>
      <c r="AM11" s="63"/>
      <c r="AN11" s="125"/>
      <c r="AO11" s="62"/>
      <c r="AP11" s="62"/>
      <c r="AQ11" s="63"/>
      <c r="AR11" s="63"/>
      <c r="AS11" s="63"/>
      <c r="AT11" s="64"/>
      <c r="AU11" s="63"/>
      <c r="AV11" s="65"/>
      <c r="AW11" s="65"/>
      <c r="AX11" s="65"/>
      <c r="AY11" s="31"/>
      <c r="AZ11" s="33"/>
      <c r="BA11" s="46"/>
      <c r="BB11" s="78"/>
      <c r="BC11" s="34"/>
      <c r="BD11" s="28"/>
    </row>
    <row r="12" spans="1:59" ht="13.5" customHeight="1">
      <c r="A12" s="22"/>
      <c r="B12" s="201"/>
      <c r="C12" s="43" t="s">
        <v>50</v>
      </c>
      <c r="D12" s="31"/>
      <c r="E12" s="31"/>
      <c r="F12" s="31" t="s">
        <v>52</v>
      </c>
      <c r="G12" s="31"/>
      <c r="H12" s="75" t="s">
        <v>54</v>
      </c>
      <c r="I12" s="75"/>
      <c r="J12" s="75"/>
      <c r="K12" s="75"/>
      <c r="L12" s="75" t="s">
        <v>55</v>
      </c>
      <c r="M12" s="75"/>
      <c r="N12" s="75"/>
      <c r="O12" s="75" t="s">
        <v>56</v>
      </c>
      <c r="P12" s="75"/>
      <c r="Q12" s="75"/>
      <c r="R12" s="75"/>
      <c r="S12" s="75"/>
      <c r="T12" s="63"/>
      <c r="U12" s="63"/>
      <c r="V12" s="63"/>
      <c r="W12" s="63"/>
      <c r="X12" s="62"/>
      <c r="Y12" s="63"/>
      <c r="Z12" s="63"/>
      <c r="AA12" s="63"/>
      <c r="AB12" s="64"/>
      <c r="AC12" s="63"/>
      <c r="AD12" s="65"/>
      <c r="AE12" s="65"/>
      <c r="AF12" s="65"/>
      <c r="AG12" s="65"/>
      <c r="AH12" s="65"/>
      <c r="AI12" s="75"/>
      <c r="AJ12" s="63"/>
      <c r="AK12" s="63"/>
      <c r="AL12" s="63"/>
      <c r="AM12" s="63"/>
      <c r="AN12" s="125"/>
      <c r="AO12" s="62"/>
      <c r="AP12" s="62"/>
      <c r="AQ12" s="63"/>
      <c r="AR12" s="63"/>
      <c r="AS12" s="63"/>
      <c r="AT12" s="64"/>
      <c r="AU12" s="63"/>
      <c r="AV12" s="65"/>
      <c r="AW12" s="65"/>
      <c r="AX12" s="65"/>
      <c r="AY12" s="31"/>
      <c r="AZ12" s="33"/>
      <c r="BA12" s="46"/>
      <c r="BB12" s="78"/>
      <c r="BC12" s="34"/>
      <c r="BD12" s="28"/>
    </row>
    <row r="13" spans="1:59" ht="13.5" customHeight="1">
      <c r="A13" s="22"/>
      <c r="B13" s="202">
        <v>1</v>
      </c>
      <c r="C13" s="203">
        <v>2</v>
      </c>
      <c r="D13" s="203">
        <v>3</v>
      </c>
      <c r="E13" s="203">
        <v>4</v>
      </c>
      <c r="F13" s="203">
        <v>5</v>
      </c>
      <c r="G13" s="203">
        <v>6</v>
      </c>
      <c r="H13" s="203">
        <v>7</v>
      </c>
      <c r="I13" s="203">
        <v>8</v>
      </c>
      <c r="J13" s="203">
        <v>9</v>
      </c>
      <c r="K13" s="203">
        <v>10</v>
      </c>
      <c r="L13" s="203">
        <v>11</v>
      </c>
      <c r="M13" s="203">
        <v>12</v>
      </c>
      <c r="N13" s="203">
        <v>13</v>
      </c>
      <c r="O13" s="203">
        <v>14</v>
      </c>
      <c r="P13" s="203">
        <v>15</v>
      </c>
      <c r="Q13" s="203">
        <v>16</v>
      </c>
      <c r="R13" s="203">
        <v>17</v>
      </c>
      <c r="S13" s="203">
        <v>18</v>
      </c>
      <c r="T13" s="203">
        <v>19</v>
      </c>
      <c r="U13" s="203">
        <v>20</v>
      </c>
      <c r="V13" s="203">
        <v>21</v>
      </c>
      <c r="W13" s="203">
        <v>22</v>
      </c>
      <c r="X13" s="203">
        <v>23</v>
      </c>
      <c r="Y13" s="203">
        <v>24</v>
      </c>
      <c r="Z13" s="203">
        <v>25</v>
      </c>
      <c r="AA13" s="203">
        <v>26</v>
      </c>
      <c r="AB13" s="203">
        <v>27</v>
      </c>
      <c r="AC13" s="203">
        <v>28</v>
      </c>
      <c r="AD13" s="203">
        <v>29</v>
      </c>
      <c r="AE13" s="203">
        <v>30</v>
      </c>
      <c r="AF13" s="203">
        <v>31</v>
      </c>
      <c r="AG13" s="203">
        <v>32</v>
      </c>
      <c r="AH13" s="203">
        <v>33</v>
      </c>
      <c r="AI13" s="203">
        <v>34</v>
      </c>
      <c r="AJ13" s="203">
        <v>35</v>
      </c>
      <c r="AK13" s="203">
        <v>36</v>
      </c>
      <c r="AL13" s="203">
        <v>37</v>
      </c>
      <c r="AM13" s="203">
        <v>38</v>
      </c>
      <c r="AN13" s="203">
        <v>39</v>
      </c>
      <c r="AO13" s="203">
        <v>40</v>
      </c>
      <c r="AP13" s="203"/>
      <c r="AQ13" s="203">
        <v>41</v>
      </c>
      <c r="AR13" s="203">
        <v>42</v>
      </c>
      <c r="AS13" s="203">
        <v>43</v>
      </c>
      <c r="AT13" s="203">
        <v>44</v>
      </c>
      <c r="AU13" s="203">
        <v>45</v>
      </c>
      <c r="AV13" s="203">
        <v>46</v>
      </c>
      <c r="AW13" s="203">
        <v>47</v>
      </c>
      <c r="AX13" s="65"/>
      <c r="AY13" s="31"/>
      <c r="AZ13" s="33"/>
      <c r="BA13" s="46"/>
      <c r="BB13" s="78"/>
      <c r="BC13" s="34"/>
      <c r="BD13" s="28"/>
      <c r="BE13" s="24"/>
      <c r="BF13" s="24"/>
    </row>
    <row r="14" spans="1:59" ht="13.5" customHeight="1">
      <c r="A14" s="22"/>
      <c r="B14" s="202">
        <v>2</v>
      </c>
      <c r="C14" s="204" t="s">
        <v>102</v>
      </c>
      <c r="D14" s="28"/>
      <c r="E14" s="28"/>
      <c r="F14" s="28"/>
      <c r="G14" s="28"/>
      <c r="H14" s="121"/>
      <c r="I14" s="62"/>
      <c r="J14" s="63"/>
      <c r="K14" s="62"/>
      <c r="L14" s="63"/>
      <c r="M14" s="69"/>
      <c r="N14" s="69"/>
      <c r="O14" s="65"/>
      <c r="P14" s="69"/>
      <c r="Q14" s="65"/>
      <c r="R14" s="69"/>
      <c r="S14" s="28"/>
      <c r="T14" s="28"/>
      <c r="U14" s="28"/>
      <c r="V14" s="28"/>
      <c r="W14" s="28"/>
      <c r="X14" s="121"/>
      <c r="Y14" s="62"/>
      <c r="Z14" s="63"/>
      <c r="AA14" s="62"/>
      <c r="AB14" s="63"/>
      <c r="AC14" s="69"/>
      <c r="AD14" s="69"/>
      <c r="AE14" s="65"/>
      <c r="AF14" s="69"/>
      <c r="AG14" s="65"/>
      <c r="AH14" s="69"/>
      <c r="AI14" s="64"/>
      <c r="AJ14" s="69"/>
      <c r="AK14" s="65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33"/>
      <c r="AW14" s="28"/>
      <c r="AX14" s="65"/>
      <c r="AY14" s="31"/>
      <c r="AZ14" s="33"/>
      <c r="BA14" s="46"/>
      <c r="BB14" s="78"/>
      <c r="BC14" s="34"/>
      <c r="BD14" s="28"/>
    </row>
    <row r="15" spans="1:59" ht="5.15" customHeight="1">
      <c r="A15" s="22"/>
      <c r="B15" s="202"/>
      <c r="C15" s="296"/>
      <c r="D15" s="72"/>
      <c r="E15" s="72"/>
      <c r="F15" s="72"/>
      <c r="G15" s="72"/>
      <c r="H15" s="297"/>
      <c r="I15" s="278"/>
      <c r="J15" s="279"/>
      <c r="K15" s="278"/>
      <c r="L15" s="279"/>
      <c r="M15" s="298"/>
      <c r="N15" s="298"/>
      <c r="O15" s="263"/>
      <c r="P15" s="298"/>
      <c r="Q15" s="263"/>
      <c r="R15" s="298"/>
      <c r="S15" s="281"/>
      <c r="T15" s="72"/>
      <c r="U15" s="72"/>
      <c r="V15" s="72"/>
      <c r="W15" s="72"/>
      <c r="X15" s="72"/>
      <c r="Y15" s="297"/>
      <c r="Z15" s="278"/>
      <c r="AA15" s="279"/>
      <c r="AB15" s="278"/>
      <c r="AC15" s="279"/>
      <c r="AD15" s="298"/>
      <c r="AE15" s="298"/>
      <c r="AF15" s="263"/>
      <c r="AG15" s="298"/>
      <c r="AH15" s="298"/>
      <c r="AI15" s="280"/>
      <c r="AJ15" s="298"/>
      <c r="AK15" s="263"/>
      <c r="AL15" s="72"/>
      <c r="AM15" s="72"/>
      <c r="AN15" s="72"/>
      <c r="AO15" s="72"/>
      <c r="AP15" s="72"/>
      <c r="AQ15" s="72"/>
      <c r="AR15" s="72"/>
      <c r="AS15" s="279"/>
      <c r="AT15" s="280"/>
      <c r="AU15" s="279"/>
      <c r="AV15" s="263"/>
      <c r="AW15" s="263"/>
      <c r="AX15" s="263"/>
      <c r="AY15" s="265"/>
      <c r="AZ15" s="33"/>
      <c r="BA15" s="46"/>
      <c r="BB15" s="78"/>
      <c r="BC15" s="34"/>
      <c r="BD15" s="28"/>
    </row>
    <row r="16" spans="1:59" ht="13.5" customHeight="1">
      <c r="A16" s="22"/>
      <c r="B16" s="45"/>
      <c r="C16" s="266" t="s">
        <v>103</v>
      </c>
      <c r="D16" s="28"/>
      <c r="E16" s="28"/>
      <c r="F16" s="28"/>
      <c r="G16" s="28"/>
      <c r="H16" s="255" t="s">
        <v>169</v>
      </c>
      <c r="I16" s="255"/>
      <c r="J16" s="255"/>
      <c r="K16" s="26"/>
      <c r="L16" s="26"/>
      <c r="M16" s="105"/>
      <c r="N16" s="100"/>
      <c r="O16" s="67"/>
      <c r="P16" s="67"/>
      <c r="Q16" s="101"/>
      <c r="R16" s="100"/>
      <c r="S16" s="100"/>
      <c r="T16" s="100"/>
      <c r="U16" s="67"/>
      <c r="V16" s="101"/>
      <c r="W16" s="100"/>
      <c r="X16" s="65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65"/>
      <c r="AY16" s="267"/>
      <c r="AZ16" s="33"/>
      <c r="BA16" s="46"/>
      <c r="BB16" s="78"/>
      <c r="BC16" s="34"/>
      <c r="BD16" s="28"/>
      <c r="BE16" s="35"/>
      <c r="BF16" s="35"/>
      <c r="BG16" s="35"/>
    </row>
    <row r="17" spans="1:59" ht="13.5" customHeight="1">
      <c r="A17" s="22"/>
      <c r="B17" s="202">
        <v>3</v>
      </c>
      <c r="C17" s="266" t="s">
        <v>57</v>
      </c>
      <c r="D17" s="31"/>
      <c r="E17" s="31"/>
      <c r="F17" s="31"/>
      <c r="G17" s="31"/>
      <c r="H17" s="58"/>
      <c r="I17" s="59"/>
      <c r="J17" s="59"/>
      <c r="K17" s="59"/>
      <c r="L17" s="60"/>
      <c r="M17" s="59"/>
      <c r="N17" s="61"/>
      <c r="O17" s="61"/>
      <c r="P17" s="61"/>
      <c r="Q17" s="61"/>
      <c r="R17" s="61"/>
      <c r="S17" s="128"/>
      <c r="T17" s="59"/>
      <c r="U17" s="59"/>
      <c r="V17" s="59"/>
      <c r="W17" s="59"/>
      <c r="X17" s="123"/>
      <c r="Y17" s="59"/>
      <c r="Z17" s="59"/>
      <c r="AA17" s="59"/>
      <c r="AB17" s="60"/>
      <c r="AC17" s="59"/>
      <c r="AD17" s="61"/>
      <c r="AE17" s="61"/>
      <c r="AF17" s="61"/>
      <c r="AG17" s="61"/>
      <c r="AH17" s="94"/>
      <c r="AI17" s="75"/>
      <c r="AJ17" s="63"/>
      <c r="AK17" s="63"/>
      <c r="AL17" s="63"/>
      <c r="AM17" s="63"/>
      <c r="AN17" s="125"/>
      <c r="AO17" s="62"/>
      <c r="AP17" s="62"/>
      <c r="AQ17" s="63"/>
      <c r="AR17" s="63"/>
      <c r="AS17" s="63"/>
      <c r="AT17" s="64"/>
      <c r="AU17" s="63"/>
      <c r="AV17" s="65"/>
      <c r="AW17" s="65"/>
      <c r="AX17" s="65"/>
      <c r="AY17" s="267"/>
      <c r="AZ17" s="33"/>
      <c r="BA17" s="46"/>
      <c r="BB17" s="78"/>
      <c r="BC17" s="34"/>
      <c r="BD17" s="28"/>
      <c r="BE17" s="35"/>
      <c r="BF17" s="35"/>
      <c r="BG17" s="35"/>
    </row>
    <row r="18" spans="1:59" ht="13.5" customHeight="1">
      <c r="A18" s="22"/>
      <c r="B18" s="201"/>
      <c r="C18" s="266" t="s">
        <v>38</v>
      </c>
      <c r="D18" s="31"/>
      <c r="E18" s="31"/>
      <c r="F18" s="31"/>
      <c r="G18" s="31"/>
      <c r="H18" s="58"/>
      <c r="I18" s="59"/>
      <c r="J18" s="59"/>
      <c r="K18" s="59"/>
      <c r="L18" s="60"/>
      <c r="M18" s="59"/>
      <c r="N18" s="61"/>
      <c r="O18" s="61"/>
      <c r="P18" s="61"/>
      <c r="Q18" s="189"/>
      <c r="R18" s="74"/>
      <c r="S18" s="75"/>
      <c r="T18" s="114" t="s">
        <v>58</v>
      </c>
      <c r="U18" s="31"/>
      <c r="V18" s="31"/>
      <c r="W18" s="31"/>
      <c r="X18" s="31"/>
      <c r="Y18" s="58"/>
      <c r="Z18" s="59"/>
      <c r="AA18" s="59"/>
      <c r="AB18" s="59"/>
      <c r="AC18" s="60"/>
      <c r="AD18" s="59"/>
      <c r="AE18" s="61"/>
      <c r="AF18" s="61"/>
      <c r="AG18" s="70"/>
      <c r="AH18" s="65"/>
      <c r="AI18" s="75"/>
      <c r="AJ18" s="63"/>
      <c r="AK18" s="75" t="s">
        <v>59</v>
      </c>
      <c r="AL18" s="63"/>
      <c r="AM18" s="63"/>
      <c r="AN18" s="63"/>
      <c r="AO18" s="63"/>
      <c r="AP18" s="58"/>
      <c r="AQ18" s="59"/>
      <c r="AR18" s="59"/>
      <c r="AS18" s="59"/>
      <c r="AT18" s="60"/>
      <c r="AU18" s="59"/>
      <c r="AV18" s="61"/>
      <c r="AW18" s="61"/>
      <c r="AX18" s="70"/>
      <c r="AY18" s="267"/>
      <c r="AZ18" s="33"/>
      <c r="BA18" s="46"/>
      <c r="BB18" s="78"/>
      <c r="BC18" s="34"/>
      <c r="BD18" s="28"/>
      <c r="BE18" s="35"/>
      <c r="BF18" s="35"/>
      <c r="BG18" s="35"/>
    </row>
    <row r="19" spans="1:59" ht="13.5" customHeight="1">
      <c r="A19" s="22"/>
      <c r="B19" s="201"/>
      <c r="C19" s="266" t="s">
        <v>60</v>
      </c>
      <c r="D19" s="31"/>
      <c r="E19" s="31"/>
      <c r="F19" s="31"/>
      <c r="G19" s="31"/>
      <c r="H19" s="58"/>
      <c r="I19" s="59"/>
      <c r="J19" s="59"/>
      <c r="K19" s="59"/>
      <c r="L19" s="60"/>
      <c r="M19" s="59"/>
      <c r="N19" s="61"/>
      <c r="O19" s="61"/>
      <c r="P19" s="99" t="s">
        <v>32</v>
      </c>
      <c r="Q19" s="94"/>
      <c r="R19" s="65"/>
      <c r="S19" s="35"/>
      <c r="T19" s="43" t="s">
        <v>61</v>
      </c>
      <c r="U19" s="63"/>
      <c r="V19" s="63"/>
      <c r="W19" s="63"/>
      <c r="X19" s="63"/>
      <c r="Y19" s="124" t="s">
        <v>69</v>
      </c>
      <c r="Z19" s="59"/>
      <c r="AA19" s="59"/>
      <c r="AB19" s="59"/>
      <c r="AC19" s="60"/>
      <c r="AD19" s="59"/>
      <c r="AE19" s="61"/>
      <c r="AF19" s="61"/>
      <c r="AG19" s="70"/>
      <c r="AH19" s="65"/>
      <c r="AI19" s="75"/>
      <c r="AJ19" s="63"/>
      <c r="AK19" s="63"/>
      <c r="AL19" s="63"/>
      <c r="AM19" s="63"/>
      <c r="AN19" s="125"/>
      <c r="AO19" s="62"/>
      <c r="AP19" s="62"/>
      <c r="AQ19" s="63"/>
      <c r="AR19" s="63"/>
      <c r="AS19" s="63"/>
      <c r="AT19" s="64"/>
      <c r="AU19" s="63"/>
      <c r="AV19" s="65"/>
      <c r="AW19" s="65"/>
      <c r="AX19" s="65"/>
      <c r="AY19" s="267"/>
      <c r="AZ19" s="33"/>
      <c r="BA19" s="46"/>
      <c r="BB19" s="78"/>
      <c r="BC19" s="34"/>
      <c r="BD19" s="28"/>
      <c r="BE19" s="35"/>
      <c r="BF19" s="35"/>
      <c r="BG19" s="35"/>
    </row>
    <row r="20" spans="1:59" ht="13.5" customHeight="1">
      <c r="A20" s="22"/>
      <c r="B20" s="201"/>
      <c r="C20" s="266" t="s">
        <v>105</v>
      </c>
      <c r="D20" s="31"/>
      <c r="E20" s="31"/>
      <c r="F20" s="31"/>
      <c r="G20" s="31"/>
      <c r="H20" s="58"/>
      <c r="I20" s="59"/>
      <c r="J20" s="59"/>
      <c r="K20" s="59"/>
      <c r="L20" s="299" t="s">
        <v>106</v>
      </c>
      <c r="M20" s="103"/>
      <c r="N20" s="74"/>
      <c r="O20" s="74"/>
      <c r="P20" s="74"/>
      <c r="Q20" s="65"/>
      <c r="R20" s="65"/>
      <c r="S20" s="35"/>
      <c r="T20" s="35"/>
      <c r="U20" s="35"/>
      <c r="V20" s="63"/>
      <c r="W20" s="63"/>
      <c r="X20" s="63"/>
      <c r="Y20" s="102"/>
      <c r="Z20" s="103"/>
      <c r="AA20" s="103"/>
      <c r="AB20" s="103"/>
      <c r="AC20" s="104"/>
      <c r="AD20" s="103"/>
      <c r="AE20" s="74"/>
      <c r="AF20" s="74"/>
      <c r="AG20" s="74"/>
      <c r="AH20" s="65"/>
      <c r="AI20" s="75"/>
      <c r="AJ20" s="63"/>
      <c r="AK20" s="63"/>
      <c r="AL20" s="63"/>
      <c r="AM20" s="63"/>
      <c r="AN20" s="125"/>
      <c r="AO20" s="62"/>
      <c r="AP20" s="62"/>
      <c r="AQ20" s="63"/>
      <c r="AR20" s="63"/>
      <c r="AS20" s="63"/>
      <c r="AT20" s="64"/>
      <c r="AU20" s="63"/>
      <c r="AV20" s="65"/>
      <c r="AW20" s="65"/>
      <c r="AX20" s="65"/>
      <c r="AY20" s="267"/>
      <c r="AZ20" s="33"/>
      <c r="BA20" s="46"/>
      <c r="BB20" s="78"/>
      <c r="BC20" s="34"/>
      <c r="BD20" s="28"/>
      <c r="BE20" s="35"/>
      <c r="BF20" s="35"/>
      <c r="BG20" s="35"/>
    </row>
    <row r="21" spans="1:59" ht="5.15" customHeight="1">
      <c r="A21" s="22"/>
      <c r="B21" s="201"/>
      <c r="C21" s="268"/>
      <c r="D21" s="269"/>
      <c r="E21" s="269"/>
      <c r="F21" s="269"/>
      <c r="G21" s="269"/>
      <c r="H21" s="275"/>
      <c r="I21" s="273"/>
      <c r="J21" s="273"/>
      <c r="K21" s="273"/>
      <c r="L21" s="276"/>
      <c r="M21" s="273"/>
      <c r="N21" s="270"/>
      <c r="O21" s="270"/>
      <c r="P21" s="270"/>
      <c r="Q21" s="270"/>
      <c r="R21" s="270"/>
      <c r="S21" s="271"/>
      <c r="T21" s="272"/>
      <c r="U21" s="273"/>
      <c r="V21" s="273"/>
      <c r="W21" s="273"/>
      <c r="X21" s="273"/>
      <c r="Y21" s="275"/>
      <c r="Z21" s="273"/>
      <c r="AA21" s="273"/>
      <c r="AB21" s="273"/>
      <c r="AC21" s="276"/>
      <c r="AD21" s="273"/>
      <c r="AE21" s="270"/>
      <c r="AF21" s="270"/>
      <c r="AG21" s="270"/>
      <c r="AH21" s="270"/>
      <c r="AI21" s="272"/>
      <c r="AJ21" s="273"/>
      <c r="AK21" s="273"/>
      <c r="AL21" s="273"/>
      <c r="AM21" s="273"/>
      <c r="AN21" s="274"/>
      <c r="AO21" s="275"/>
      <c r="AP21" s="275"/>
      <c r="AQ21" s="273"/>
      <c r="AR21" s="273"/>
      <c r="AS21" s="273"/>
      <c r="AT21" s="276"/>
      <c r="AU21" s="273"/>
      <c r="AV21" s="270"/>
      <c r="AW21" s="270"/>
      <c r="AX21" s="270"/>
      <c r="AY21" s="277"/>
      <c r="AZ21" s="33"/>
      <c r="BA21" s="46"/>
      <c r="BB21" s="78"/>
      <c r="BC21" s="34"/>
      <c r="BD21" s="28"/>
      <c r="BE21" s="35"/>
      <c r="BF21" s="35"/>
      <c r="BG21" s="35"/>
    </row>
    <row r="22" spans="1:59" ht="13.5" customHeight="1">
      <c r="A22" s="22"/>
      <c r="B22" s="32"/>
      <c r="C22" s="64"/>
      <c r="D22" s="62"/>
      <c r="E22" s="63"/>
      <c r="F22" s="63"/>
      <c r="G22" s="63"/>
      <c r="H22" s="69"/>
      <c r="I22" s="69"/>
      <c r="J22" s="65"/>
      <c r="K22" s="69"/>
      <c r="L22" s="65"/>
      <c r="M22" s="69"/>
      <c r="N22" s="64"/>
      <c r="O22" s="69"/>
      <c r="P22" s="65"/>
      <c r="Q22" s="28"/>
      <c r="R22" s="28"/>
      <c r="T22" s="31"/>
      <c r="U22" s="31"/>
      <c r="V22" s="31"/>
      <c r="W22" s="31"/>
      <c r="X22" s="31"/>
      <c r="Y22" s="44"/>
      <c r="Z22" s="31"/>
      <c r="AA22" s="28"/>
      <c r="AB22" s="44"/>
      <c r="AC22" s="31"/>
      <c r="AD22" s="28"/>
      <c r="AE22" s="44"/>
      <c r="AF22" s="28"/>
      <c r="AG22" s="28"/>
      <c r="AH22" s="28"/>
      <c r="AI22" s="28"/>
      <c r="AJ22" s="76"/>
      <c r="AK22" s="28"/>
      <c r="AL22" s="28"/>
      <c r="AM22" s="28"/>
      <c r="AN22" s="28"/>
      <c r="AO22" s="28"/>
      <c r="AP22" s="28"/>
      <c r="AQ22" s="28"/>
      <c r="AR22" s="28"/>
      <c r="AS22" s="63"/>
      <c r="AT22" s="64"/>
      <c r="AU22" s="63"/>
      <c r="AV22" s="65"/>
      <c r="AW22" s="65"/>
      <c r="AX22" s="65"/>
      <c r="AY22" s="31"/>
      <c r="AZ22" s="33"/>
      <c r="BA22" s="46"/>
      <c r="BB22" s="78"/>
      <c r="BC22" s="34"/>
      <c r="BD22" s="28"/>
    </row>
    <row r="23" spans="1:59" ht="13.5" customHeight="1">
      <c r="A23" s="22"/>
      <c r="B23" s="202">
        <v>2</v>
      </c>
      <c r="C23" s="204" t="s">
        <v>107</v>
      </c>
      <c r="D23" s="28"/>
      <c r="E23" s="28"/>
      <c r="F23" s="28"/>
      <c r="G23" s="28"/>
      <c r="H23" s="121"/>
      <c r="I23" s="62"/>
      <c r="J23" s="63"/>
      <c r="K23" s="62"/>
      <c r="L23" s="63"/>
      <c r="M23" s="69"/>
      <c r="N23" s="69"/>
      <c r="O23" s="65"/>
      <c r="P23" s="69"/>
      <c r="Q23" s="65"/>
      <c r="R23" s="69"/>
      <c r="S23" s="35"/>
      <c r="T23" s="28"/>
      <c r="U23" s="28"/>
      <c r="V23" s="28"/>
      <c r="W23" s="28"/>
      <c r="X23" s="28"/>
      <c r="Y23" s="121"/>
      <c r="Z23" s="62"/>
      <c r="AA23" s="63"/>
      <c r="AB23" s="62"/>
      <c r="AC23" s="63"/>
      <c r="AD23" s="69"/>
      <c r="AE23" s="69"/>
      <c r="AF23" s="65"/>
      <c r="AG23" s="69"/>
      <c r="AH23" s="69"/>
      <c r="AI23" s="64"/>
      <c r="AJ23" s="69"/>
      <c r="AK23" s="65"/>
      <c r="AL23" s="28"/>
      <c r="AM23" s="28"/>
      <c r="AN23" s="28"/>
      <c r="AO23" s="28"/>
      <c r="AP23" s="28"/>
      <c r="AQ23" s="28"/>
      <c r="AR23" s="28"/>
      <c r="AS23" s="63"/>
      <c r="AT23" s="64"/>
      <c r="AU23" s="63"/>
      <c r="AV23" s="65"/>
      <c r="AW23" s="65"/>
      <c r="AX23" s="65"/>
      <c r="AY23" s="31"/>
      <c r="AZ23" s="33"/>
      <c r="BA23" s="46"/>
      <c r="BB23" s="78"/>
      <c r="BC23" s="34"/>
      <c r="BD23" s="28"/>
    </row>
    <row r="24" spans="1:59" ht="5.15" customHeight="1">
      <c r="A24" s="22"/>
      <c r="B24" s="202"/>
      <c r="C24" s="296"/>
      <c r="D24" s="72"/>
      <c r="E24" s="72"/>
      <c r="F24" s="72"/>
      <c r="G24" s="72"/>
      <c r="H24" s="297"/>
      <c r="I24" s="278"/>
      <c r="J24" s="279"/>
      <c r="K24" s="278"/>
      <c r="L24" s="279"/>
      <c r="M24" s="298"/>
      <c r="N24" s="298"/>
      <c r="O24" s="263"/>
      <c r="P24" s="298"/>
      <c r="Q24" s="263"/>
      <c r="R24" s="298"/>
      <c r="S24" s="281"/>
      <c r="T24" s="72"/>
      <c r="U24" s="72"/>
      <c r="V24" s="72"/>
      <c r="W24" s="72"/>
      <c r="X24" s="72"/>
      <c r="Y24" s="297"/>
      <c r="Z24" s="278"/>
      <c r="AA24" s="279"/>
      <c r="AB24" s="278"/>
      <c r="AC24" s="279"/>
      <c r="AD24" s="298"/>
      <c r="AE24" s="298"/>
      <c r="AF24" s="263"/>
      <c r="AG24" s="298"/>
      <c r="AH24" s="298"/>
      <c r="AI24" s="280"/>
      <c r="AJ24" s="298"/>
      <c r="AK24" s="263"/>
      <c r="AL24" s="72"/>
      <c r="AM24" s="72"/>
      <c r="AN24" s="72"/>
      <c r="AO24" s="72"/>
      <c r="AP24" s="72"/>
      <c r="AQ24" s="72"/>
      <c r="AR24" s="72"/>
      <c r="AS24" s="279"/>
      <c r="AT24" s="280"/>
      <c r="AU24" s="279"/>
      <c r="AV24" s="263"/>
      <c r="AW24" s="263"/>
      <c r="AX24" s="263"/>
      <c r="AY24" s="265"/>
      <c r="AZ24" s="33"/>
      <c r="BA24" s="46"/>
      <c r="BB24" s="78"/>
      <c r="BC24" s="34"/>
      <c r="BD24" s="28"/>
    </row>
    <row r="25" spans="1:59" ht="13.5" customHeight="1">
      <c r="A25" s="22"/>
      <c r="B25" s="45"/>
      <c r="C25" s="266" t="s">
        <v>108</v>
      </c>
      <c r="D25" s="28"/>
      <c r="E25" s="28"/>
      <c r="F25" s="28"/>
      <c r="G25" s="28"/>
      <c r="H25" s="58"/>
      <c r="I25" s="59"/>
      <c r="J25" s="59"/>
      <c r="K25" s="59"/>
      <c r="L25" s="60"/>
      <c r="M25" s="59"/>
      <c r="N25" s="70"/>
      <c r="O25" s="94" t="s">
        <v>109</v>
      </c>
      <c r="Q25" s="64"/>
      <c r="R25" s="63"/>
      <c r="S25" s="35"/>
      <c r="T25" s="28" t="s">
        <v>118</v>
      </c>
      <c r="U25" s="28"/>
      <c r="V25" s="28"/>
      <c r="W25" s="28"/>
      <c r="Y25" s="58"/>
      <c r="Z25" s="59"/>
      <c r="AA25" s="59"/>
      <c r="AB25" s="59"/>
      <c r="AC25" s="60"/>
      <c r="AD25" s="59"/>
      <c r="AE25" s="61"/>
      <c r="AF25" s="70"/>
      <c r="AG25" s="94" t="s">
        <v>111</v>
      </c>
      <c r="AH25" s="28"/>
      <c r="AI25" s="28"/>
      <c r="AJ25" s="35"/>
      <c r="AK25" s="28" t="s">
        <v>112</v>
      </c>
      <c r="AL25" s="28"/>
      <c r="AM25" s="28"/>
      <c r="AN25" s="28"/>
      <c r="AO25" s="35"/>
      <c r="AP25" s="54"/>
      <c r="AQ25" s="55"/>
      <c r="AR25" s="55"/>
      <c r="AS25" s="55"/>
      <c r="AT25" s="56"/>
      <c r="AU25" s="55"/>
      <c r="AV25" s="57"/>
      <c r="AW25" s="66"/>
      <c r="AX25" s="94" t="s">
        <v>113</v>
      </c>
      <c r="AY25" s="283"/>
      <c r="AZ25" s="33"/>
      <c r="BA25" s="46"/>
      <c r="BB25" s="78"/>
      <c r="BC25" s="34"/>
      <c r="BD25" s="28"/>
      <c r="BE25" s="35"/>
      <c r="BF25" s="35"/>
      <c r="BG25" s="35"/>
    </row>
    <row r="26" spans="1:59" ht="13.5" customHeight="1">
      <c r="A26" s="22"/>
      <c r="B26" s="45"/>
      <c r="C26" s="282" t="s">
        <v>110</v>
      </c>
      <c r="D26" s="28"/>
      <c r="E26" s="28"/>
      <c r="F26" s="28"/>
      <c r="H26" s="58"/>
      <c r="I26" s="59"/>
      <c r="J26" s="59"/>
      <c r="K26" s="59"/>
      <c r="L26" s="60"/>
      <c r="M26" s="59"/>
      <c r="N26" s="61"/>
      <c r="O26" s="61"/>
      <c r="P26" s="70"/>
      <c r="Q26" s="64"/>
      <c r="R26" s="28" t="s">
        <v>114</v>
      </c>
      <c r="S26" s="35"/>
      <c r="T26" s="35"/>
      <c r="U26" s="28"/>
      <c r="V26" s="28"/>
      <c r="W26" s="28"/>
      <c r="Y26" s="58"/>
      <c r="Z26" s="59"/>
      <c r="AA26" s="59"/>
      <c r="AB26" s="59"/>
      <c r="AC26" s="60"/>
      <c r="AD26" s="59"/>
      <c r="AE26" s="61"/>
      <c r="AF26" s="61"/>
      <c r="AG26" s="70"/>
      <c r="AH26" s="28"/>
      <c r="AI26" s="28"/>
      <c r="AJ26" s="35"/>
      <c r="AK26" s="28"/>
      <c r="AL26" s="28"/>
      <c r="AM26" s="28"/>
      <c r="AN26" s="28"/>
      <c r="AO26" s="35"/>
      <c r="AP26" s="102"/>
      <c r="AQ26" s="103"/>
      <c r="AR26" s="103"/>
      <c r="AS26" s="103"/>
      <c r="AT26" s="102"/>
      <c r="AU26" s="104"/>
      <c r="AV26" s="102"/>
      <c r="AW26" s="103"/>
      <c r="AX26" s="63"/>
      <c r="AY26" s="283"/>
      <c r="AZ26" s="33"/>
      <c r="BA26" s="46"/>
      <c r="BB26" s="78"/>
      <c r="BC26" s="34"/>
      <c r="BD26" s="28"/>
      <c r="BE26" s="35"/>
      <c r="BF26" s="35"/>
      <c r="BG26" s="35"/>
    </row>
    <row r="27" spans="1:59" ht="14.15" customHeight="1">
      <c r="A27" s="22"/>
      <c r="B27" s="256"/>
      <c r="C27" s="284" t="s">
        <v>116</v>
      </c>
      <c r="F27" s="285"/>
      <c r="G27" s="285"/>
      <c r="H27" s="98" t="s">
        <v>121</v>
      </c>
      <c r="I27" s="257"/>
      <c r="J27" s="258"/>
      <c r="K27" s="258"/>
      <c r="L27" s="258"/>
      <c r="M27" s="259"/>
      <c r="N27" s="258"/>
      <c r="O27" s="110"/>
      <c r="P27" s="260" t="s">
        <v>32</v>
      </c>
      <c r="R27" s="130"/>
      <c r="S27" s="35"/>
      <c r="T27" s="285" t="s">
        <v>119</v>
      </c>
      <c r="U27" s="35"/>
      <c r="V27" s="285"/>
      <c r="W27" s="285"/>
      <c r="X27" s="285"/>
      <c r="Y27" s="98" t="s">
        <v>122</v>
      </c>
      <c r="Z27" s="257"/>
      <c r="AA27" s="258"/>
      <c r="AB27" s="258"/>
      <c r="AC27" s="258"/>
      <c r="AD27" s="259"/>
      <c r="AE27" s="258"/>
      <c r="AF27" s="110"/>
      <c r="AG27" s="261" t="s">
        <v>32</v>
      </c>
      <c r="AH27" s="35"/>
      <c r="AI27" s="35"/>
      <c r="AJ27" s="35"/>
      <c r="AK27" s="285" t="s">
        <v>120</v>
      </c>
      <c r="AL27" s="35"/>
      <c r="AM27" s="285"/>
      <c r="AN27" s="35"/>
      <c r="AO27" s="35"/>
      <c r="AP27" s="98" t="s">
        <v>115</v>
      </c>
      <c r="AQ27" s="257"/>
      <c r="AR27" s="258"/>
      <c r="AS27" s="258"/>
      <c r="AT27" s="258"/>
      <c r="AU27" s="259"/>
      <c r="AV27" s="110"/>
      <c r="AW27" s="37"/>
      <c r="AX27" s="262" t="s">
        <v>32</v>
      </c>
      <c r="AY27" s="286"/>
      <c r="AZ27" s="33"/>
      <c r="BA27" s="46"/>
      <c r="BB27" s="78"/>
      <c r="BC27" s="34"/>
      <c r="BD27" s="35"/>
      <c r="BE27" s="35"/>
      <c r="BF27" s="35"/>
      <c r="BG27" s="35"/>
    </row>
    <row r="28" spans="1:59" ht="13.5" customHeight="1">
      <c r="A28" s="22"/>
      <c r="B28" s="45"/>
      <c r="C28" s="282" t="s">
        <v>124</v>
      </c>
      <c r="D28" s="28"/>
      <c r="E28" s="28"/>
      <c r="F28" s="28"/>
      <c r="H28" s="58"/>
      <c r="I28" s="59"/>
      <c r="J28" s="59"/>
      <c r="K28" s="59"/>
      <c r="L28" s="60"/>
      <c r="M28" s="59"/>
      <c r="N28" s="61"/>
      <c r="O28" s="61"/>
      <c r="P28" s="70"/>
      <c r="Q28" s="64"/>
      <c r="R28" s="28"/>
      <c r="S28" s="35"/>
      <c r="T28" s="28" t="s">
        <v>129</v>
      </c>
      <c r="U28" s="28"/>
      <c r="V28" s="28"/>
      <c r="W28" s="28"/>
      <c r="Y28" s="58"/>
      <c r="Z28" s="59"/>
      <c r="AA28" s="59"/>
      <c r="AB28" s="59"/>
      <c r="AC28" s="60"/>
      <c r="AD28" s="59"/>
      <c r="AE28" s="61"/>
      <c r="AF28" s="61"/>
      <c r="AG28" s="94" t="s">
        <v>128</v>
      </c>
      <c r="AH28" s="28"/>
      <c r="AI28" s="28"/>
      <c r="AJ28" s="35"/>
      <c r="AK28" s="28" t="s">
        <v>117</v>
      </c>
      <c r="AL28" s="28"/>
      <c r="AM28" s="28"/>
      <c r="AN28" s="28"/>
      <c r="AO28" s="35"/>
      <c r="AP28" s="58"/>
      <c r="AQ28" s="59"/>
      <c r="AR28" s="59"/>
      <c r="AS28" s="59"/>
      <c r="AT28" s="60"/>
      <c r="AU28" s="59"/>
      <c r="AV28" s="61"/>
      <c r="AW28" s="61"/>
      <c r="AX28" s="260" t="s">
        <v>32</v>
      </c>
      <c r="AY28" s="283"/>
      <c r="AZ28" s="33"/>
      <c r="BA28" s="46"/>
      <c r="BB28" s="78"/>
      <c r="BC28" s="34"/>
      <c r="BD28" s="28"/>
      <c r="BE28" s="35"/>
      <c r="BF28" s="35"/>
      <c r="BG28" s="35"/>
    </row>
    <row r="29" spans="1:59" ht="13.5" customHeight="1">
      <c r="A29" s="22"/>
      <c r="B29" s="32"/>
      <c r="C29" s="287" t="s">
        <v>123</v>
      </c>
      <c r="D29" s="41"/>
      <c r="E29" s="41"/>
      <c r="F29" s="41"/>
      <c r="G29" s="41"/>
      <c r="H29" s="163"/>
      <c r="I29" s="164"/>
      <c r="J29" s="165"/>
      <c r="K29" s="164"/>
      <c r="L29" s="165"/>
      <c r="M29" s="164"/>
      <c r="N29" s="166"/>
      <c r="O29" s="164"/>
      <c r="P29" s="165"/>
      <c r="Q29" s="165"/>
      <c r="R29" s="165"/>
      <c r="S29" s="167"/>
      <c r="T29" s="167"/>
      <c r="U29" s="167"/>
      <c r="V29" s="167"/>
      <c r="W29" s="167"/>
      <c r="X29" s="166"/>
      <c r="Y29" s="167"/>
      <c r="Z29" s="165"/>
      <c r="AA29" s="166"/>
      <c r="AB29" s="167"/>
      <c r="AC29" s="165"/>
      <c r="AD29" s="166"/>
      <c r="AE29" s="165"/>
      <c r="AF29" s="165"/>
      <c r="AG29" s="166"/>
      <c r="AH29" s="165"/>
      <c r="AI29" s="165"/>
      <c r="AJ29" s="168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0" t="s">
        <v>36</v>
      </c>
      <c r="AY29" s="283"/>
      <c r="AZ29" s="33"/>
      <c r="BA29" s="46"/>
      <c r="BB29" s="78"/>
      <c r="BC29" s="34"/>
      <c r="BD29" s="28"/>
      <c r="BE29" s="35"/>
      <c r="BF29" s="35"/>
      <c r="BG29" s="35"/>
    </row>
    <row r="30" spans="1:59" ht="13.5" customHeight="1">
      <c r="A30" s="22"/>
      <c r="B30" s="32"/>
      <c r="C30" s="287"/>
      <c r="D30" s="41"/>
      <c r="E30" s="41"/>
      <c r="F30" s="41"/>
      <c r="G30" s="41"/>
      <c r="H30" s="169"/>
      <c r="I30" s="170"/>
      <c r="J30" s="171"/>
      <c r="K30" s="170"/>
      <c r="L30" s="171"/>
      <c r="M30" s="170"/>
      <c r="N30" s="172"/>
      <c r="O30" s="170"/>
      <c r="P30" s="171"/>
      <c r="Q30" s="171"/>
      <c r="R30" s="171"/>
      <c r="S30" s="173"/>
      <c r="T30" s="173"/>
      <c r="U30" s="173"/>
      <c r="V30" s="173"/>
      <c r="W30" s="173"/>
      <c r="X30" s="172"/>
      <c r="Y30" s="173"/>
      <c r="Z30" s="171"/>
      <c r="AA30" s="172"/>
      <c r="AB30" s="173"/>
      <c r="AC30" s="171"/>
      <c r="AD30" s="172"/>
      <c r="AE30" s="171"/>
      <c r="AF30" s="171"/>
      <c r="AG30" s="172"/>
      <c r="AH30" s="171"/>
      <c r="AI30" s="171"/>
      <c r="AJ30" s="174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22" t="s">
        <v>32</v>
      </c>
      <c r="AY30" s="283"/>
      <c r="AZ30" s="33"/>
      <c r="BA30" s="46"/>
      <c r="BB30" s="78"/>
      <c r="BC30" s="34"/>
      <c r="BD30" s="28"/>
      <c r="BE30" s="35"/>
      <c r="BF30" s="35"/>
      <c r="BG30" s="35"/>
    </row>
    <row r="31" spans="1:59" ht="13.5" customHeight="1">
      <c r="A31" s="22"/>
      <c r="B31" s="32"/>
      <c r="C31" s="287" t="s">
        <v>125</v>
      </c>
      <c r="D31" s="41"/>
      <c r="E31" s="41"/>
      <c r="F31" s="41"/>
      <c r="G31" s="41"/>
      <c r="H31" s="163" t="s">
        <v>170</v>
      </c>
      <c r="I31" s="164"/>
      <c r="J31" s="165"/>
      <c r="K31" s="164"/>
      <c r="L31" s="165"/>
      <c r="M31" s="164"/>
      <c r="N31" s="166"/>
      <c r="O31" s="164"/>
      <c r="P31" s="165"/>
      <c r="Q31" s="165"/>
      <c r="R31" s="165"/>
      <c r="S31" s="167"/>
      <c r="T31" s="167"/>
      <c r="U31" s="167"/>
      <c r="V31" s="167"/>
      <c r="W31" s="167"/>
      <c r="X31" s="166"/>
      <c r="Y31" s="167"/>
      <c r="Z31" s="165"/>
      <c r="AA31" s="166"/>
      <c r="AB31" s="167"/>
      <c r="AC31" s="165"/>
      <c r="AD31" s="166"/>
      <c r="AE31" s="165"/>
      <c r="AF31" s="165"/>
      <c r="AG31" s="166"/>
      <c r="AH31" s="165"/>
      <c r="AI31" s="165"/>
      <c r="AJ31" s="168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0" t="s">
        <v>36</v>
      </c>
      <c r="AY31" s="283"/>
      <c r="AZ31" s="33"/>
      <c r="BA31" s="46"/>
      <c r="BB31" s="78"/>
      <c r="BC31" s="34"/>
      <c r="BD31" s="28"/>
      <c r="BE31" s="35"/>
      <c r="BF31" s="35"/>
      <c r="BG31" s="35"/>
    </row>
    <row r="32" spans="1:59" ht="13.5" customHeight="1">
      <c r="A32" s="22"/>
      <c r="B32" s="32"/>
      <c r="C32" s="287"/>
      <c r="D32" s="41"/>
      <c r="E32" s="41"/>
      <c r="F32" s="41"/>
      <c r="G32" s="41"/>
      <c r="H32" s="169"/>
      <c r="I32" s="170"/>
      <c r="J32" s="171"/>
      <c r="K32" s="170"/>
      <c r="L32" s="171"/>
      <c r="M32" s="170"/>
      <c r="N32" s="172"/>
      <c r="O32" s="170"/>
      <c r="P32" s="171"/>
      <c r="Q32" s="171"/>
      <c r="R32" s="171"/>
      <c r="S32" s="173"/>
      <c r="T32" s="173"/>
      <c r="U32" s="173"/>
      <c r="V32" s="173"/>
      <c r="W32" s="173"/>
      <c r="X32" s="172"/>
      <c r="Y32" s="173"/>
      <c r="Z32" s="171"/>
      <c r="AA32" s="172"/>
      <c r="AB32" s="173"/>
      <c r="AC32" s="171"/>
      <c r="AD32" s="172"/>
      <c r="AE32" s="171"/>
      <c r="AF32" s="171"/>
      <c r="AG32" s="172"/>
      <c r="AH32" s="171"/>
      <c r="AI32" s="171"/>
      <c r="AJ32" s="174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22" t="s">
        <v>32</v>
      </c>
      <c r="AY32" s="283"/>
      <c r="AZ32" s="33"/>
      <c r="BA32" s="46"/>
      <c r="BB32" s="78"/>
      <c r="BC32" s="34"/>
      <c r="BD32" s="28"/>
      <c r="BE32" s="35"/>
      <c r="BF32" s="35"/>
      <c r="BG32" s="35"/>
    </row>
    <row r="33" spans="1:59" ht="13.5" customHeight="1">
      <c r="A33" s="22"/>
      <c r="B33" s="32"/>
      <c r="C33" s="287" t="s">
        <v>126</v>
      </c>
      <c r="D33" s="41"/>
      <c r="E33" s="41"/>
      <c r="F33" s="41"/>
      <c r="G33" s="41"/>
      <c r="H33" s="163"/>
      <c r="I33" s="164"/>
      <c r="J33" s="165"/>
      <c r="K33" s="164"/>
      <c r="L33" s="165"/>
      <c r="M33" s="164"/>
      <c r="N33" s="166"/>
      <c r="O33" s="164"/>
      <c r="P33" s="165"/>
      <c r="Q33" s="165"/>
      <c r="R33" s="165"/>
      <c r="S33" s="167"/>
      <c r="T33" s="167"/>
      <c r="U33" s="167"/>
      <c r="V33" s="167"/>
      <c r="W33" s="167"/>
      <c r="X33" s="166"/>
      <c r="Y33" s="167"/>
      <c r="Z33" s="165"/>
      <c r="AA33" s="166"/>
      <c r="AB33" s="167"/>
      <c r="AC33" s="165"/>
      <c r="AD33" s="166"/>
      <c r="AE33" s="165"/>
      <c r="AF33" s="165"/>
      <c r="AG33" s="166"/>
      <c r="AH33" s="165"/>
      <c r="AI33" s="165"/>
      <c r="AJ33" s="168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0" t="s">
        <v>36</v>
      </c>
      <c r="AY33" s="63"/>
      <c r="AZ33" s="490"/>
      <c r="BA33" s="46"/>
      <c r="BB33" s="78"/>
      <c r="BC33" s="34"/>
      <c r="BD33" s="28"/>
      <c r="BE33" s="35"/>
      <c r="BF33" s="35"/>
      <c r="BG33" s="35"/>
    </row>
    <row r="34" spans="1:59" ht="13.5" customHeight="1">
      <c r="A34" s="22"/>
      <c r="B34" s="32"/>
      <c r="C34" s="287"/>
      <c r="D34" s="41"/>
      <c r="E34" s="41"/>
      <c r="F34" s="41"/>
      <c r="G34" s="41"/>
      <c r="H34" s="169"/>
      <c r="I34" s="170"/>
      <c r="J34" s="171"/>
      <c r="K34" s="170"/>
      <c r="L34" s="171"/>
      <c r="M34" s="170"/>
      <c r="N34" s="172"/>
      <c r="O34" s="170"/>
      <c r="P34" s="171"/>
      <c r="Q34" s="171"/>
      <c r="R34" s="171"/>
      <c r="S34" s="173"/>
      <c r="T34" s="173"/>
      <c r="U34" s="173"/>
      <c r="V34" s="173"/>
      <c r="W34" s="173"/>
      <c r="X34" s="172"/>
      <c r="Y34" s="173"/>
      <c r="Z34" s="171"/>
      <c r="AA34" s="172"/>
      <c r="AB34" s="173"/>
      <c r="AC34" s="171"/>
      <c r="AD34" s="172"/>
      <c r="AE34" s="171"/>
      <c r="AF34" s="171"/>
      <c r="AG34" s="172"/>
      <c r="AH34" s="171"/>
      <c r="AI34" s="171"/>
      <c r="AJ34" s="174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22" t="s">
        <v>32</v>
      </c>
      <c r="AY34" s="63"/>
      <c r="AZ34" s="490"/>
      <c r="BA34" s="46"/>
      <c r="BB34" s="78"/>
      <c r="BC34" s="34"/>
      <c r="BD34" s="28"/>
      <c r="BE34" s="35"/>
      <c r="BF34" s="35"/>
      <c r="BG34" s="35"/>
    </row>
    <row r="35" spans="1:59" ht="5.15" customHeight="1">
      <c r="A35" s="22"/>
      <c r="B35" s="32"/>
      <c r="C35" s="288"/>
      <c r="D35" s="289"/>
      <c r="E35" s="289"/>
      <c r="F35" s="289"/>
      <c r="G35" s="289"/>
      <c r="H35" s="290"/>
      <c r="I35" s="290"/>
      <c r="J35" s="291"/>
      <c r="K35" s="290"/>
      <c r="L35" s="291"/>
      <c r="M35" s="290"/>
      <c r="N35" s="292"/>
      <c r="O35" s="290"/>
      <c r="P35" s="291"/>
      <c r="Q35" s="291"/>
      <c r="R35" s="291"/>
      <c r="S35" s="293"/>
      <c r="T35" s="293"/>
      <c r="U35" s="293"/>
      <c r="V35" s="293"/>
      <c r="W35" s="293"/>
      <c r="X35" s="292"/>
      <c r="Y35" s="293"/>
      <c r="Z35" s="291"/>
      <c r="AA35" s="292"/>
      <c r="AB35" s="293"/>
      <c r="AC35" s="291"/>
      <c r="AD35" s="292"/>
      <c r="AE35" s="291"/>
      <c r="AF35" s="291"/>
      <c r="AG35" s="292"/>
      <c r="AH35" s="291"/>
      <c r="AI35" s="291"/>
      <c r="AJ35" s="294"/>
      <c r="AK35" s="291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291"/>
      <c r="AX35" s="276"/>
      <c r="AY35" s="295"/>
      <c r="AZ35" s="33"/>
      <c r="BA35" s="46"/>
      <c r="BB35" s="78"/>
      <c r="BC35" s="34"/>
      <c r="BD35" s="28"/>
      <c r="BE35" s="35"/>
      <c r="BF35" s="35"/>
      <c r="BG35" s="35"/>
    </row>
    <row r="36" spans="1:59" ht="13.5" customHeight="1">
      <c r="A36" s="22"/>
      <c r="B36" s="32"/>
      <c r="C36" s="41"/>
      <c r="D36" s="41"/>
      <c r="E36" s="41"/>
      <c r="F36" s="41"/>
      <c r="G36" s="41"/>
      <c r="H36" s="364"/>
      <c r="I36" s="364"/>
      <c r="J36" s="365"/>
      <c r="K36" s="364"/>
      <c r="L36" s="365"/>
      <c r="M36" s="364"/>
      <c r="N36" s="366"/>
      <c r="O36" s="364"/>
      <c r="P36" s="365"/>
      <c r="Q36" s="365"/>
      <c r="R36" s="365"/>
      <c r="S36" s="367"/>
      <c r="T36" s="367"/>
      <c r="U36" s="367"/>
      <c r="V36" s="367"/>
      <c r="W36" s="367"/>
      <c r="X36" s="366"/>
      <c r="Y36" s="367"/>
      <c r="Z36" s="365"/>
      <c r="AA36" s="366"/>
      <c r="AB36" s="367"/>
      <c r="AC36" s="365"/>
      <c r="AD36" s="366"/>
      <c r="AE36" s="365"/>
      <c r="AF36" s="365"/>
      <c r="AG36" s="366"/>
      <c r="AH36" s="365"/>
      <c r="AI36" s="365"/>
      <c r="AJ36" s="368"/>
      <c r="AK36" s="365"/>
      <c r="AL36" s="365"/>
      <c r="AM36" s="365"/>
      <c r="AN36" s="365"/>
      <c r="AO36" s="365"/>
      <c r="AP36" s="365"/>
      <c r="AQ36" s="365"/>
      <c r="AR36" s="365"/>
      <c r="AS36" s="365"/>
      <c r="AT36" s="365"/>
      <c r="AU36" s="365"/>
      <c r="AV36" s="365"/>
      <c r="AW36" s="365"/>
      <c r="AX36" s="280"/>
      <c r="AY36" s="63"/>
      <c r="AZ36" s="33"/>
      <c r="BA36" s="46"/>
      <c r="BB36" s="78"/>
      <c r="BC36" s="34"/>
      <c r="BD36" s="28"/>
      <c r="BE36" s="35"/>
      <c r="BF36" s="35"/>
      <c r="BG36" s="35"/>
    </row>
    <row r="37" spans="1:59" ht="13.5" customHeight="1">
      <c r="A37" s="22"/>
      <c r="B37" s="202">
        <v>5</v>
      </c>
      <c r="C37" s="204" t="s">
        <v>62</v>
      </c>
      <c r="D37" s="28"/>
      <c r="E37" s="28"/>
      <c r="F37" s="28"/>
      <c r="G37" s="28"/>
      <c r="H37" s="121"/>
      <c r="I37" s="62"/>
      <c r="J37" s="63"/>
      <c r="K37" s="62"/>
      <c r="L37" s="63"/>
      <c r="M37" s="69"/>
      <c r="N37" s="69"/>
      <c r="O37" s="65"/>
      <c r="P37" s="69"/>
      <c r="Q37" s="65"/>
      <c r="R37" s="69"/>
      <c r="S37" s="28"/>
      <c r="T37" s="28"/>
      <c r="U37" s="28"/>
      <c r="V37" s="28"/>
      <c r="W37" s="28"/>
      <c r="X37" s="121"/>
      <c r="Y37" s="62"/>
      <c r="Z37" s="63"/>
      <c r="AA37" s="62"/>
      <c r="AB37" s="63"/>
      <c r="AC37" s="69"/>
      <c r="AD37" s="69"/>
      <c r="AE37" s="65"/>
      <c r="AF37" s="69"/>
      <c r="AG37" s="65"/>
      <c r="AH37" s="69"/>
      <c r="AI37" s="64"/>
      <c r="AJ37" s="69"/>
      <c r="AK37" s="65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33" t="s">
        <v>71</v>
      </c>
      <c r="AW37" s="28"/>
      <c r="AX37" s="28"/>
      <c r="AY37" s="31"/>
      <c r="AZ37" s="33"/>
      <c r="BA37" s="46"/>
      <c r="BB37" s="159"/>
      <c r="BC37" s="115"/>
      <c r="BD37" s="28"/>
    </row>
    <row r="38" spans="1:59" ht="5.15" customHeight="1">
      <c r="A38" s="22"/>
      <c r="B38" s="202"/>
      <c r="C38" s="296"/>
      <c r="D38" s="72"/>
      <c r="E38" s="72"/>
      <c r="F38" s="72"/>
      <c r="G38" s="72"/>
      <c r="H38" s="297"/>
      <c r="I38" s="278"/>
      <c r="J38" s="279"/>
      <c r="K38" s="278"/>
      <c r="L38" s="279"/>
      <c r="M38" s="298"/>
      <c r="N38" s="298"/>
      <c r="O38" s="263"/>
      <c r="P38" s="298"/>
      <c r="Q38" s="263"/>
      <c r="R38" s="298"/>
      <c r="S38" s="72"/>
      <c r="T38" s="72"/>
      <c r="U38" s="72"/>
      <c r="V38" s="72"/>
      <c r="W38" s="72"/>
      <c r="X38" s="297"/>
      <c r="Y38" s="278"/>
      <c r="Z38" s="279"/>
      <c r="AA38" s="278"/>
      <c r="AB38" s="279"/>
      <c r="AC38" s="298"/>
      <c r="AD38" s="298"/>
      <c r="AE38" s="263"/>
      <c r="AF38" s="298"/>
      <c r="AG38" s="263"/>
      <c r="AH38" s="298"/>
      <c r="AI38" s="280"/>
      <c r="AJ38" s="298"/>
      <c r="AK38" s="263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300"/>
      <c r="AW38" s="72"/>
      <c r="AX38" s="72"/>
      <c r="AY38" s="264"/>
      <c r="AZ38" s="264"/>
      <c r="BA38" s="301"/>
      <c r="BB38" s="302"/>
      <c r="BC38" s="303"/>
      <c r="BD38" s="28"/>
    </row>
    <row r="39" spans="1:59" ht="13.5" customHeight="1">
      <c r="A39" s="22"/>
      <c r="B39" s="45"/>
      <c r="C39" s="527" t="s">
        <v>283</v>
      </c>
      <c r="D39" s="28"/>
      <c r="E39" s="28"/>
      <c r="F39" s="28"/>
      <c r="G39" s="28"/>
      <c r="H39" s="24"/>
      <c r="I39" s="24"/>
      <c r="J39" s="24"/>
      <c r="K39" s="24"/>
      <c r="L39" s="24"/>
      <c r="M39" s="127"/>
      <c r="N39" s="75"/>
      <c r="O39" s="84"/>
      <c r="P39" s="84"/>
      <c r="Q39" s="85"/>
      <c r="R39" s="75"/>
      <c r="S39" s="75"/>
      <c r="T39" s="75"/>
      <c r="U39" s="84"/>
      <c r="V39" s="85"/>
      <c r="W39" s="75"/>
      <c r="X39" s="65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65"/>
      <c r="AY39" s="31"/>
      <c r="AZ39" s="31"/>
      <c r="BA39" s="30"/>
      <c r="BB39" s="175"/>
      <c r="BC39" s="345"/>
      <c r="BD39" s="28"/>
      <c r="BE39" s="35"/>
      <c r="BF39" s="35"/>
      <c r="BG39" s="35"/>
    </row>
    <row r="40" spans="1:59" ht="13.5" customHeight="1">
      <c r="A40" s="22"/>
      <c r="B40" s="45"/>
      <c r="C40" s="266"/>
      <c r="D40" s="28" t="s">
        <v>286</v>
      </c>
      <c r="E40" s="28"/>
      <c r="F40" s="28"/>
      <c r="G40" s="28"/>
      <c r="H40" s="86" t="s">
        <v>138</v>
      </c>
      <c r="I40" s="86"/>
      <c r="J40" s="86"/>
      <c r="K40" s="86"/>
      <c r="L40" s="86"/>
      <c r="M40" s="322"/>
      <c r="N40" s="87"/>
      <c r="O40" s="88"/>
      <c r="P40" s="88"/>
      <c r="Q40" s="89"/>
      <c r="R40" s="87"/>
      <c r="S40" s="87"/>
      <c r="T40" s="87"/>
      <c r="U40" s="88"/>
      <c r="V40" s="89"/>
      <c r="W40" s="87"/>
      <c r="X40" s="65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65"/>
      <c r="AY40" s="31"/>
      <c r="AZ40" s="52"/>
      <c r="BA40" s="93"/>
      <c r="BB40" s="175"/>
      <c r="BC40" s="345"/>
      <c r="BD40" s="28"/>
      <c r="BE40" s="35"/>
      <c r="BF40" s="35"/>
      <c r="BG40" s="35"/>
    </row>
    <row r="41" spans="1:59" ht="13.5" customHeight="1">
      <c r="A41" s="22"/>
      <c r="B41" s="202">
        <v>6</v>
      </c>
      <c r="C41" s="304" t="s">
        <v>31</v>
      </c>
      <c r="D41" s="205" t="s">
        <v>63</v>
      </c>
      <c r="E41" s="206"/>
      <c r="F41" s="206"/>
      <c r="G41" s="207"/>
      <c r="H41" s="208" t="s">
        <v>72</v>
      </c>
      <c r="I41" s="209"/>
      <c r="J41" s="209"/>
      <c r="K41" s="209"/>
      <c r="L41" s="206"/>
      <c r="M41" s="207"/>
      <c r="N41" s="205" t="s">
        <v>73</v>
      </c>
      <c r="O41" s="206"/>
      <c r="P41" s="206"/>
      <c r="Q41" s="207"/>
      <c r="R41" s="205" t="s">
        <v>74</v>
      </c>
      <c r="S41" s="206"/>
      <c r="T41" s="206"/>
      <c r="U41" s="206"/>
      <c r="V41" s="210" t="s">
        <v>86</v>
      </c>
      <c r="W41" s="211"/>
      <c r="X41" s="211"/>
      <c r="Y41" s="212"/>
      <c r="Z41" s="211" t="s">
        <v>88</v>
      </c>
      <c r="AA41" s="211"/>
      <c r="AB41" s="211"/>
      <c r="AC41" s="212"/>
      <c r="AD41" s="211" t="s">
        <v>75</v>
      </c>
      <c r="AE41" s="211"/>
      <c r="AF41" s="211"/>
      <c r="AG41" s="212"/>
      <c r="AH41" s="210" t="s">
        <v>76</v>
      </c>
      <c r="AI41" s="211"/>
      <c r="AJ41" s="211"/>
      <c r="AK41" s="211"/>
      <c r="AL41" s="212"/>
      <c r="AM41" s="210" t="s">
        <v>82</v>
      </c>
      <c r="AN41" s="211"/>
      <c r="AO41" s="211"/>
      <c r="AP41" s="212"/>
      <c r="AQ41" s="211" t="s">
        <v>84</v>
      </c>
      <c r="AR41" s="211"/>
      <c r="AS41" s="212"/>
      <c r="AT41" s="305" t="s">
        <v>85</v>
      </c>
      <c r="AU41" s="211"/>
      <c r="AV41" s="211"/>
      <c r="AW41" s="212"/>
      <c r="AX41" s="211" t="s">
        <v>68</v>
      </c>
      <c r="AY41" s="211"/>
      <c r="AZ41" s="211"/>
      <c r="BA41" s="212"/>
      <c r="BB41" s="28"/>
      <c r="BC41" s="491"/>
      <c r="BD41" s="28"/>
      <c r="BG41" s="35"/>
    </row>
    <row r="42" spans="1:59" ht="13.5" customHeight="1">
      <c r="A42" s="22"/>
      <c r="B42" s="202">
        <v>7</v>
      </c>
      <c r="C42" s="306"/>
      <c r="D42" s="213" t="s">
        <v>29</v>
      </c>
      <c r="E42" s="216"/>
      <c r="F42" s="214"/>
      <c r="G42" s="215"/>
      <c r="H42" s="213" t="s">
        <v>29</v>
      </c>
      <c r="I42" s="216"/>
      <c r="J42" s="216"/>
      <c r="K42" s="216"/>
      <c r="L42" s="214"/>
      <c r="M42" s="215"/>
      <c r="N42" s="213" t="s">
        <v>29</v>
      </c>
      <c r="O42" s="214"/>
      <c r="P42" s="214"/>
      <c r="Q42" s="215"/>
      <c r="R42" s="213" t="s">
        <v>29</v>
      </c>
      <c r="S42" s="216"/>
      <c r="T42" s="214"/>
      <c r="U42" s="214"/>
      <c r="V42" s="217" t="s">
        <v>87</v>
      </c>
      <c r="W42" s="218"/>
      <c r="X42" s="219"/>
      <c r="Y42" s="220"/>
      <c r="Z42" s="218" t="s">
        <v>42</v>
      </c>
      <c r="AA42" s="218"/>
      <c r="AB42" s="219"/>
      <c r="AC42" s="220"/>
      <c r="AD42" s="218" t="s">
        <v>42</v>
      </c>
      <c r="AE42" s="218"/>
      <c r="AF42" s="219"/>
      <c r="AG42" s="220"/>
      <c r="AH42" s="217" t="s">
        <v>29</v>
      </c>
      <c r="AI42" s="218"/>
      <c r="AJ42" s="218"/>
      <c r="AK42" s="219"/>
      <c r="AL42" s="220"/>
      <c r="AM42" s="217" t="s">
        <v>42</v>
      </c>
      <c r="AN42" s="218"/>
      <c r="AO42" s="219"/>
      <c r="AP42" s="220"/>
      <c r="AQ42" s="218" t="s">
        <v>42</v>
      </c>
      <c r="AR42" s="218"/>
      <c r="AS42" s="220"/>
      <c r="AT42" s="307" t="s">
        <v>42</v>
      </c>
      <c r="AU42" s="218"/>
      <c r="AV42" s="219"/>
      <c r="AW42" s="220"/>
      <c r="AX42" s="218" t="s">
        <v>42</v>
      </c>
      <c r="AY42" s="218"/>
      <c r="AZ42" s="219"/>
      <c r="BA42" s="220"/>
      <c r="BB42" s="28"/>
      <c r="BC42" s="491"/>
      <c r="BD42" s="28"/>
      <c r="BG42" s="35"/>
    </row>
    <row r="43" spans="1:59" ht="13.5" customHeight="1">
      <c r="A43" s="22"/>
      <c r="B43" s="202">
        <v>8</v>
      </c>
      <c r="C43" s="308">
        <v>1</v>
      </c>
      <c r="D43" s="148" t="s">
        <v>89</v>
      </c>
      <c r="E43" s="149"/>
      <c r="F43" s="149"/>
      <c r="G43" s="151"/>
      <c r="H43" s="242" t="s">
        <v>90</v>
      </c>
      <c r="I43" s="150"/>
      <c r="J43" s="150"/>
      <c r="K43" s="150"/>
      <c r="L43" s="161"/>
      <c r="M43" s="162"/>
      <c r="N43" s="242" t="s">
        <v>91</v>
      </c>
      <c r="O43" s="150"/>
      <c r="P43" s="150"/>
      <c r="Q43" s="99" t="s">
        <v>32</v>
      </c>
      <c r="R43" s="999">
        <v>5000</v>
      </c>
      <c r="S43" s="1000"/>
      <c r="T43" s="1000"/>
      <c r="U43" s="1001"/>
      <c r="V43" s="988">
        <v>122.5</v>
      </c>
      <c r="W43" s="997"/>
      <c r="X43" s="997"/>
      <c r="Y43" s="998"/>
      <c r="Z43" s="988">
        <v>125</v>
      </c>
      <c r="AA43" s="997"/>
      <c r="AB43" s="997"/>
      <c r="AC43" s="998"/>
      <c r="AD43" s="988">
        <v>124</v>
      </c>
      <c r="AE43" s="997"/>
      <c r="AF43" s="997"/>
      <c r="AG43" s="998"/>
      <c r="AH43" s="988">
        <v>94.52</v>
      </c>
      <c r="AI43" s="997"/>
      <c r="AJ43" s="997"/>
      <c r="AK43" s="997"/>
      <c r="AL43" s="998"/>
      <c r="AM43" s="988">
        <v>125</v>
      </c>
      <c r="AN43" s="997"/>
      <c r="AO43" s="997"/>
      <c r="AP43" s="998"/>
      <c r="AQ43" s="985">
        <v>10.3</v>
      </c>
      <c r="AR43" s="986"/>
      <c r="AS43" s="987"/>
      <c r="AT43" s="309" t="s">
        <v>95</v>
      </c>
      <c r="AU43" s="150"/>
      <c r="AV43" s="150"/>
      <c r="AW43" s="152"/>
      <c r="AX43" s="149" t="s">
        <v>29</v>
      </c>
      <c r="AY43" s="150"/>
      <c r="AZ43" s="150"/>
      <c r="BA43" s="152"/>
      <c r="BB43" s="28"/>
      <c r="BC43" s="491"/>
      <c r="BD43" s="28"/>
      <c r="BG43" s="35"/>
    </row>
    <row r="44" spans="1:59" ht="13.5" customHeight="1">
      <c r="A44" s="22"/>
      <c r="B44" s="202">
        <v>9</v>
      </c>
      <c r="C44" s="308">
        <v>2</v>
      </c>
      <c r="D44" s="148" t="s">
        <v>93</v>
      </c>
      <c r="E44" s="149"/>
      <c r="F44" s="149"/>
      <c r="G44" s="151"/>
      <c r="H44" s="242" t="s">
        <v>94</v>
      </c>
      <c r="I44" s="150"/>
      <c r="J44" s="150"/>
      <c r="K44" s="150"/>
      <c r="L44" s="161"/>
      <c r="M44" s="162"/>
      <c r="N44" s="242" t="s">
        <v>91</v>
      </c>
      <c r="O44" s="150"/>
      <c r="P44" s="150"/>
      <c r="Q44" s="99" t="s">
        <v>32</v>
      </c>
      <c r="R44" s="999">
        <v>5000</v>
      </c>
      <c r="S44" s="1000"/>
      <c r="T44" s="1000"/>
      <c r="U44" s="1001"/>
      <c r="V44" s="988">
        <v>39</v>
      </c>
      <c r="W44" s="997"/>
      <c r="X44" s="997"/>
      <c r="Y44" s="998"/>
      <c r="Z44" s="988">
        <v>40</v>
      </c>
      <c r="AA44" s="997"/>
      <c r="AB44" s="997"/>
      <c r="AC44" s="998"/>
      <c r="AD44" s="988">
        <v>40</v>
      </c>
      <c r="AE44" s="997"/>
      <c r="AF44" s="997"/>
      <c r="AG44" s="998"/>
      <c r="AH44" s="988">
        <v>36.89</v>
      </c>
      <c r="AI44" s="997"/>
      <c r="AJ44" s="997"/>
      <c r="AK44" s="997"/>
      <c r="AL44" s="998"/>
      <c r="AM44" s="988">
        <v>41</v>
      </c>
      <c r="AN44" s="997"/>
      <c r="AO44" s="997"/>
      <c r="AP44" s="998"/>
      <c r="AQ44" s="985">
        <v>12.3</v>
      </c>
      <c r="AR44" s="986"/>
      <c r="AS44" s="987"/>
      <c r="AT44" s="309" t="s">
        <v>96</v>
      </c>
      <c r="AU44" s="150"/>
      <c r="AV44" s="150"/>
      <c r="AW44" s="152"/>
      <c r="AX44" s="149" t="s">
        <v>29</v>
      </c>
      <c r="AY44" s="150"/>
      <c r="AZ44" s="150"/>
      <c r="BA44" s="152"/>
      <c r="BB44" s="28"/>
      <c r="BC44" s="491"/>
      <c r="BD44" s="28"/>
      <c r="BG44" s="35"/>
    </row>
    <row r="45" spans="1:59" ht="13.5" customHeight="1">
      <c r="A45" s="22"/>
      <c r="B45" s="202">
        <v>10</v>
      </c>
      <c r="C45" s="310"/>
      <c r="D45" s="65"/>
      <c r="E45" s="65"/>
      <c r="F45" s="65"/>
      <c r="G45" s="65"/>
      <c r="H45" s="65"/>
      <c r="I45" s="65"/>
      <c r="J45" s="65"/>
      <c r="K45" s="65"/>
      <c r="L45" s="65"/>
      <c r="M45" s="62"/>
      <c r="N45" s="63"/>
      <c r="O45" s="65"/>
      <c r="P45" s="65"/>
      <c r="Q45" s="64"/>
      <c r="R45" s="63"/>
      <c r="S45" s="190"/>
      <c r="T45" s="190"/>
      <c r="U45" s="191"/>
      <c r="V45" s="192"/>
      <c r="W45" s="190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31"/>
      <c r="BA45" s="35"/>
      <c r="BB45" s="35"/>
      <c r="BC45" s="153"/>
      <c r="BD45" s="28"/>
    </row>
    <row r="46" spans="1:59" ht="13.5" customHeight="1">
      <c r="A46" s="22"/>
      <c r="B46" s="202">
        <v>11</v>
      </c>
      <c r="C46" s="312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3"/>
      <c r="W46" s="63"/>
      <c r="X46" s="75"/>
      <c r="Y46" s="63"/>
      <c r="Z46" s="63"/>
      <c r="AA46" s="69"/>
      <c r="AB46" s="65"/>
      <c r="AC46" s="63"/>
      <c r="AD46" s="65"/>
      <c r="AE46" s="65"/>
      <c r="AF46" s="65"/>
      <c r="AG46" s="69"/>
      <c r="AH46" s="65"/>
      <c r="AI46" s="75"/>
      <c r="AJ46" s="63"/>
      <c r="AK46" s="63"/>
      <c r="AL46" s="63"/>
      <c r="AM46" s="63"/>
      <c r="AN46" s="125"/>
      <c r="AO46" s="62"/>
      <c r="AP46" s="62"/>
      <c r="AQ46" s="63"/>
      <c r="AR46" s="63"/>
      <c r="AS46" s="63"/>
      <c r="AT46" s="64"/>
      <c r="AU46" s="63"/>
      <c r="AV46" s="65"/>
      <c r="AW46" s="65"/>
      <c r="AX46" s="65"/>
      <c r="AY46" s="63"/>
      <c r="AZ46" s="31"/>
      <c r="BA46" s="35"/>
      <c r="BB46" s="35"/>
      <c r="BC46" s="153"/>
      <c r="BD46" s="28"/>
    </row>
    <row r="47" spans="1:59" ht="15.75" customHeight="1">
      <c r="A47" s="22"/>
      <c r="B47" s="202">
        <v>12</v>
      </c>
      <c r="C47" s="310"/>
      <c r="D47" s="65"/>
      <c r="E47" s="65"/>
      <c r="F47" s="65"/>
      <c r="G47" s="65"/>
      <c r="H47" s="65"/>
      <c r="I47" s="65"/>
      <c r="J47" s="65"/>
      <c r="K47" s="65"/>
      <c r="L47" s="65"/>
      <c r="M47" s="62"/>
      <c r="N47" s="65"/>
      <c r="O47" s="65"/>
      <c r="P47" s="63"/>
      <c r="Q47" s="64"/>
      <c r="R47" s="63"/>
      <c r="S47" s="63"/>
      <c r="T47" s="65"/>
      <c r="U47" s="63"/>
      <c r="V47" s="65"/>
      <c r="W47" s="63"/>
      <c r="X47" s="63"/>
      <c r="Y47" s="63"/>
      <c r="Z47" s="63"/>
      <c r="AA47" s="63"/>
      <c r="AB47" s="65"/>
      <c r="AC47" s="65"/>
      <c r="AD47" s="62"/>
      <c r="AE47" s="63"/>
      <c r="AF47" s="63"/>
      <c r="AG47" s="65"/>
      <c r="AH47" s="65"/>
      <c r="AI47" s="62"/>
      <c r="AJ47" s="63"/>
      <c r="AK47" s="65"/>
      <c r="AL47" s="63"/>
      <c r="AM47" s="63"/>
      <c r="AN47" s="126"/>
      <c r="AO47" s="65"/>
      <c r="AP47" s="65"/>
      <c r="AQ47" s="125"/>
      <c r="AR47" s="65"/>
      <c r="AS47" s="65"/>
      <c r="AT47" s="63"/>
      <c r="AU47" s="63"/>
      <c r="AV47" s="63"/>
      <c r="AW47" s="63"/>
      <c r="AX47" s="63"/>
      <c r="AY47" s="63"/>
      <c r="AZ47" s="31"/>
      <c r="BA47" s="35"/>
      <c r="BB47" s="35"/>
      <c r="BC47" s="311"/>
      <c r="BD47" s="28"/>
    </row>
    <row r="48" spans="1:59" ht="13.5" customHeight="1">
      <c r="A48" s="22"/>
      <c r="B48" s="202">
        <v>13</v>
      </c>
      <c r="C48" s="310"/>
      <c r="D48" s="65"/>
      <c r="E48" s="65"/>
      <c r="F48" s="65"/>
      <c r="G48" s="65"/>
      <c r="H48" s="84"/>
      <c r="I48" s="65"/>
      <c r="J48" s="65"/>
      <c r="K48" s="65"/>
      <c r="L48" s="65"/>
      <c r="M48" s="126"/>
      <c r="N48" s="65"/>
      <c r="O48" s="65"/>
      <c r="P48" s="65"/>
      <c r="Q48" s="198"/>
      <c r="R48" s="65"/>
      <c r="S48" s="63"/>
      <c r="T48" s="63"/>
      <c r="U48" s="63"/>
      <c r="V48" s="65"/>
      <c r="W48" s="84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126"/>
      <c r="AI48" s="65"/>
      <c r="AJ48" s="125"/>
      <c r="AK48" s="65"/>
      <c r="AL48" s="65"/>
      <c r="AM48" s="65"/>
      <c r="AN48" s="65"/>
      <c r="AO48" s="65"/>
      <c r="AP48" s="65"/>
      <c r="AQ48" s="125"/>
      <c r="AR48" s="65"/>
      <c r="AS48" s="125"/>
      <c r="AT48" s="64"/>
      <c r="AU48" s="63"/>
      <c r="AV48" s="65"/>
      <c r="AW48" s="65"/>
      <c r="AX48" s="65"/>
      <c r="AY48" s="63"/>
      <c r="AZ48" s="31"/>
      <c r="BA48" s="35"/>
      <c r="BB48" s="35"/>
      <c r="BC48" s="311"/>
      <c r="BD48" s="28"/>
    </row>
    <row r="49" spans="1:67" ht="13.5" customHeight="1">
      <c r="A49" s="22"/>
      <c r="B49" s="202">
        <v>14</v>
      </c>
      <c r="C49" s="312"/>
      <c r="D49" s="65"/>
      <c r="E49" s="65"/>
      <c r="F49" s="65"/>
      <c r="G49" s="65"/>
      <c r="H49" s="65"/>
      <c r="I49" s="65"/>
      <c r="J49" s="65"/>
      <c r="K49" s="198"/>
      <c r="L49" s="65"/>
      <c r="M49" s="65"/>
      <c r="N49" s="65"/>
      <c r="O49" s="65"/>
      <c r="P49" s="65"/>
      <c r="Q49" s="198"/>
      <c r="R49" s="65"/>
      <c r="S49" s="65"/>
      <c r="T49" s="65"/>
      <c r="U49" s="198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125"/>
      <c r="AK49" s="112"/>
      <c r="AL49" s="62"/>
      <c r="AM49" s="63"/>
      <c r="AN49" s="63"/>
      <c r="AO49" s="63"/>
      <c r="AP49" s="63"/>
      <c r="AQ49" s="64"/>
      <c r="AR49" s="63"/>
      <c r="AS49" s="65"/>
      <c r="AT49" s="65"/>
      <c r="AU49" s="65"/>
      <c r="AV49" s="65"/>
      <c r="AW49" s="65"/>
      <c r="AX49" s="65"/>
      <c r="AY49" s="63"/>
      <c r="AZ49" s="31"/>
      <c r="BA49" s="35"/>
      <c r="BB49" s="35"/>
      <c r="BC49" s="311"/>
      <c r="BD49" s="28"/>
    </row>
    <row r="50" spans="1:67" ht="13.5" customHeight="1">
      <c r="A50" s="22"/>
      <c r="B50" s="202">
        <v>15</v>
      </c>
      <c r="C50" s="475" t="s">
        <v>243</v>
      </c>
      <c r="D50" s="223"/>
      <c r="E50" s="224"/>
      <c r="F50" s="223"/>
      <c r="G50" s="224"/>
      <c r="H50" s="225"/>
      <c r="I50" s="226"/>
      <c r="J50" s="227"/>
      <c r="K50" s="227"/>
      <c r="L50" s="227"/>
      <c r="M50" s="228"/>
      <c r="N50" s="227"/>
      <c r="O50" s="227"/>
      <c r="P50" s="227"/>
      <c r="Q50" s="229"/>
      <c r="R50" s="227"/>
      <c r="S50" s="227"/>
      <c r="T50" s="227"/>
      <c r="U50" s="227"/>
      <c r="V50" s="227"/>
      <c r="W50" s="229"/>
      <c r="X50" s="227"/>
      <c r="Y50" s="227"/>
      <c r="Z50" s="227"/>
      <c r="AA50" s="229"/>
      <c r="AB50" s="227"/>
      <c r="AC50" s="227"/>
      <c r="AD50" s="227"/>
      <c r="AE50" s="227"/>
      <c r="AF50" s="227"/>
      <c r="AG50" s="232"/>
      <c r="AH50" s="227"/>
      <c r="AI50" s="227"/>
      <c r="AJ50" s="227"/>
      <c r="AK50" s="227"/>
      <c r="AL50" s="227"/>
      <c r="AM50" s="227"/>
      <c r="AN50" s="227"/>
      <c r="AO50" s="227"/>
      <c r="AP50" s="227"/>
      <c r="AQ50" s="230"/>
      <c r="AR50" s="227"/>
      <c r="AS50" s="230"/>
      <c r="AT50" s="227"/>
      <c r="AU50" s="227"/>
      <c r="AV50" s="227"/>
      <c r="AW50" s="227"/>
      <c r="AX50" s="227"/>
      <c r="AY50" s="224"/>
      <c r="AZ50" s="224"/>
      <c r="BA50" s="231"/>
      <c r="BB50" s="231"/>
      <c r="BC50" s="314"/>
      <c r="BD50" s="28"/>
    </row>
    <row r="51" spans="1:67" ht="13.5" customHeight="1">
      <c r="A51" s="22"/>
      <c r="B51" s="202">
        <v>16</v>
      </c>
      <c r="C51" s="310"/>
      <c r="D51" s="65"/>
      <c r="E51" s="65"/>
      <c r="F51" s="65"/>
      <c r="G51" s="65"/>
      <c r="H51" s="65"/>
      <c r="I51" s="65"/>
      <c r="J51" s="65"/>
      <c r="K51" s="65"/>
      <c r="L51" s="65"/>
      <c r="M51" s="62"/>
      <c r="N51" s="65"/>
      <c r="O51" s="65"/>
      <c r="P51" s="63"/>
      <c r="Q51" s="64"/>
      <c r="R51" s="63"/>
      <c r="S51" s="111"/>
      <c r="T51" s="112"/>
      <c r="U51" s="111"/>
      <c r="V51" s="112"/>
      <c r="W51" s="111"/>
      <c r="X51" s="111"/>
      <c r="Y51" s="111"/>
      <c r="Z51" s="111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3"/>
      <c r="AZ51" s="53"/>
      <c r="BA51" s="323"/>
      <c r="BB51" s="324"/>
      <c r="BC51" s="325"/>
      <c r="BD51" s="28"/>
    </row>
    <row r="52" spans="1:67" ht="13.5" customHeight="1">
      <c r="A52" s="22"/>
      <c r="B52" s="202">
        <v>17</v>
      </c>
      <c r="C52" s="310"/>
      <c r="D52" s="65"/>
      <c r="E52" s="65"/>
      <c r="F52" s="65"/>
      <c r="G52" s="65"/>
      <c r="H52" s="126"/>
      <c r="I52" s="65"/>
      <c r="J52" s="65"/>
      <c r="K52" s="65"/>
      <c r="L52" s="198"/>
      <c r="M52" s="65"/>
      <c r="N52" s="65"/>
      <c r="O52" s="65"/>
      <c r="P52" s="198"/>
      <c r="Q52" s="65"/>
      <c r="R52" s="65"/>
      <c r="S52" s="65"/>
      <c r="T52" s="198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12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3"/>
      <c r="AZ52" s="31"/>
      <c r="BA52" s="30"/>
      <c r="BB52" s="175"/>
      <c r="BC52" s="326"/>
      <c r="BD52" s="28"/>
    </row>
    <row r="53" spans="1:67" ht="5.15" customHeight="1">
      <c r="A53" s="22"/>
      <c r="B53" s="202"/>
      <c r="C53" s="315"/>
      <c r="D53" s="73"/>
      <c r="E53" s="73"/>
      <c r="F53" s="73"/>
      <c r="G53" s="73"/>
      <c r="H53" s="316"/>
      <c r="I53" s="275"/>
      <c r="J53" s="273"/>
      <c r="K53" s="275"/>
      <c r="L53" s="273"/>
      <c r="M53" s="317"/>
      <c r="N53" s="317"/>
      <c r="O53" s="270"/>
      <c r="P53" s="317"/>
      <c r="Q53" s="270"/>
      <c r="R53" s="317"/>
      <c r="S53" s="73"/>
      <c r="T53" s="73"/>
      <c r="U53" s="73"/>
      <c r="V53" s="73"/>
      <c r="W53" s="73"/>
      <c r="X53" s="316"/>
      <c r="Y53" s="275"/>
      <c r="Z53" s="273"/>
      <c r="AA53" s="275"/>
      <c r="AB53" s="273"/>
      <c r="AC53" s="317"/>
      <c r="AD53" s="317"/>
      <c r="AE53" s="270"/>
      <c r="AF53" s="317"/>
      <c r="AG53" s="270"/>
      <c r="AH53" s="317"/>
      <c r="AI53" s="276"/>
      <c r="AJ53" s="317"/>
      <c r="AK53" s="270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318"/>
      <c r="AW53" s="73"/>
      <c r="AX53" s="73"/>
      <c r="AY53" s="269"/>
      <c r="AZ53" s="269"/>
      <c r="BA53" s="319"/>
      <c r="BB53" s="320"/>
      <c r="BC53" s="321"/>
      <c r="BD53" s="28"/>
    </row>
    <row r="54" spans="1:67" ht="13.5" customHeight="1">
      <c r="A54" s="22"/>
      <c r="B54" s="202">
        <v>18</v>
      </c>
      <c r="C54" s="75"/>
      <c r="D54" s="63"/>
      <c r="E54" s="63"/>
      <c r="F54" s="63"/>
      <c r="G54" s="63"/>
      <c r="H54" s="69"/>
      <c r="I54" s="69"/>
      <c r="J54" s="65"/>
      <c r="K54" s="69"/>
      <c r="L54" s="65"/>
      <c r="M54" s="69"/>
      <c r="N54" s="64"/>
      <c r="O54" s="69"/>
      <c r="P54" s="65"/>
      <c r="Q54" s="65"/>
      <c r="R54" s="65"/>
      <c r="S54" s="63"/>
      <c r="T54" s="63"/>
      <c r="U54" s="63"/>
      <c r="V54" s="63"/>
      <c r="W54" s="63"/>
      <c r="X54" s="64"/>
      <c r="Y54" s="63"/>
      <c r="Z54" s="65"/>
      <c r="AA54" s="64"/>
      <c r="AB54" s="63"/>
      <c r="AC54" s="65"/>
      <c r="AD54" s="64"/>
      <c r="AE54" s="65"/>
      <c r="AF54" s="65"/>
      <c r="AG54" s="64"/>
      <c r="AH54" s="65"/>
      <c r="AI54" s="65"/>
      <c r="AJ54" s="126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3"/>
      <c r="AZ54" s="264"/>
      <c r="BA54" s="301"/>
      <c r="BB54" s="302"/>
      <c r="BC54" s="343"/>
      <c r="BD54" s="28"/>
    </row>
    <row r="55" spans="1:67" ht="13.5" customHeight="1">
      <c r="A55" s="22"/>
      <c r="B55" s="202">
        <v>20</v>
      </c>
      <c r="C55" s="204" t="s">
        <v>77</v>
      </c>
      <c r="D55" s="28"/>
      <c r="E55" s="28"/>
      <c r="F55" s="28"/>
      <c r="G55" s="28"/>
      <c r="H55" s="121"/>
      <c r="I55" s="62"/>
      <c r="J55" s="63"/>
      <c r="K55" s="62"/>
      <c r="L55" s="63"/>
      <c r="M55" s="69"/>
      <c r="N55" s="69"/>
      <c r="O55" s="65"/>
      <c r="P55" s="69"/>
      <c r="Q55" s="65"/>
      <c r="R55" s="69"/>
      <c r="S55" s="28"/>
      <c r="T55" s="28"/>
      <c r="U55" s="28"/>
      <c r="V55" s="28"/>
      <c r="W55" s="28"/>
      <c r="X55" s="121"/>
      <c r="Y55" s="62"/>
      <c r="Z55" s="63"/>
      <c r="AA55" s="62"/>
      <c r="AB55" s="63"/>
      <c r="AC55" s="69"/>
      <c r="AD55" s="69"/>
      <c r="AE55" s="65"/>
      <c r="AF55" s="69"/>
      <c r="AG55" s="65"/>
      <c r="AH55" s="69"/>
      <c r="AI55" s="64"/>
      <c r="AJ55" s="69"/>
      <c r="AK55" s="65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33" t="s">
        <v>71</v>
      </c>
      <c r="AW55" s="28"/>
      <c r="AX55" s="28"/>
      <c r="AY55" s="31"/>
      <c r="AZ55" s="269"/>
      <c r="BA55" s="319"/>
      <c r="BB55" s="320"/>
      <c r="BC55" s="344"/>
      <c r="BD55" s="28"/>
    </row>
    <row r="56" spans="1:67" ht="5.15" customHeight="1">
      <c r="A56" s="22"/>
      <c r="B56" s="202"/>
      <c r="C56" s="296"/>
      <c r="D56" s="72"/>
      <c r="E56" s="72"/>
      <c r="F56" s="72"/>
      <c r="G56" s="72"/>
      <c r="H56" s="297"/>
      <c r="I56" s="278"/>
      <c r="J56" s="279"/>
      <c r="K56" s="278"/>
      <c r="L56" s="279"/>
      <c r="M56" s="298"/>
      <c r="N56" s="298"/>
      <c r="O56" s="263"/>
      <c r="P56" s="298"/>
      <c r="Q56" s="263"/>
      <c r="R56" s="298"/>
      <c r="S56" s="72"/>
      <c r="T56" s="72"/>
      <c r="U56" s="72"/>
      <c r="V56" s="72"/>
      <c r="W56" s="72"/>
      <c r="X56" s="297"/>
      <c r="Y56" s="278"/>
      <c r="Z56" s="279"/>
      <c r="AA56" s="278"/>
      <c r="AB56" s="279"/>
      <c r="AC56" s="298"/>
      <c r="AD56" s="298"/>
      <c r="AE56" s="263"/>
      <c r="AF56" s="298"/>
      <c r="AG56" s="263"/>
      <c r="AH56" s="298"/>
      <c r="AI56" s="280"/>
      <c r="AJ56" s="298"/>
      <c r="AK56" s="263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300"/>
      <c r="AW56" s="72"/>
      <c r="AX56" s="72"/>
      <c r="AY56" s="264"/>
      <c r="AZ56" s="264"/>
      <c r="BA56" s="301"/>
      <c r="BB56" s="302"/>
      <c r="BC56" s="303"/>
      <c r="BD56" s="28"/>
    </row>
    <row r="57" spans="1:67" ht="13.5" customHeight="1">
      <c r="A57" s="22"/>
      <c r="B57" s="202">
        <v>21</v>
      </c>
      <c r="C57" s="304" t="s">
        <v>31</v>
      </c>
      <c r="D57" s="234" t="s">
        <v>258</v>
      </c>
      <c r="E57" s="235"/>
      <c r="F57" s="234" t="s">
        <v>63</v>
      </c>
      <c r="G57" s="235"/>
      <c r="H57" s="235"/>
      <c r="I57" s="236"/>
      <c r="J57" s="237" t="s">
        <v>33</v>
      </c>
      <c r="K57" s="238"/>
      <c r="L57" s="238"/>
      <c r="M57" s="238"/>
      <c r="N57" s="235"/>
      <c r="O57" s="236"/>
      <c r="P57" s="239" t="s">
        <v>66</v>
      </c>
      <c r="Q57" s="240"/>
      <c r="R57" s="240"/>
      <c r="S57" s="241"/>
      <c r="T57" s="234" t="s">
        <v>78</v>
      </c>
      <c r="U57" s="235"/>
      <c r="V57" s="235"/>
      <c r="W57" s="236"/>
      <c r="X57" s="234" t="s">
        <v>79</v>
      </c>
      <c r="Y57" s="235"/>
      <c r="Z57" s="235"/>
      <c r="AA57" s="235"/>
      <c r="AB57" s="239" t="s">
        <v>64</v>
      </c>
      <c r="AC57" s="240"/>
      <c r="AD57" s="240"/>
      <c r="AE57" s="240"/>
      <c r="AF57" s="241"/>
      <c r="AG57" s="240" t="s">
        <v>67</v>
      </c>
      <c r="AH57" s="240"/>
      <c r="AI57" s="240"/>
      <c r="AJ57" s="241"/>
      <c r="AK57" s="240" t="s">
        <v>65</v>
      </c>
      <c r="AL57" s="240"/>
      <c r="AM57" s="240"/>
      <c r="AN57" s="241"/>
      <c r="AO57" s="239" t="s">
        <v>80</v>
      </c>
      <c r="AP57" s="240"/>
      <c r="AQ57" s="240"/>
      <c r="AR57" s="241"/>
      <c r="AS57" s="239" t="s">
        <v>81</v>
      </c>
      <c r="AT57" s="240"/>
      <c r="AU57" s="240"/>
      <c r="AV57" s="240"/>
      <c r="AW57" s="239" t="s">
        <v>82</v>
      </c>
      <c r="AX57" s="240"/>
      <c r="AY57" s="240"/>
      <c r="AZ57" s="241"/>
      <c r="BA57" s="239" t="s">
        <v>83</v>
      </c>
      <c r="BB57" s="240"/>
      <c r="BC57" s="240"/>
      <c r="BD57" s="241"/>
      <c r="BE57" s="240" t="s">
        <v>84</v>
      </c>
      <c r="BF57" s="240"/>
      <c r="BG57" s="241"/>
      <c r="BH57" s="240" t="s">
        <v>85</v>
      </c>
      <c r="BI57" s="240"/>
      <c r="BJ57" s="240"/>
      <c r="BK57" s="241"/>
      <c r="BL57" s="240" t="s">
        <v>68</v>
      </c>
      <c r="BM57" s="240"/>
      <c r="BN57" s="240"/>
      <c r="BO57" s="241"/>
    </row>
    <row r="58" spans="1:67" ht="13.5" customHeight="1">
      <c r="A58" s="22"/>
      <c r="B58" s="202">
        <v>22</v>
      </c>
      <c r="C58" s="308">
        <v>1</v>
      </c>
      <c r="D58" s="148" t="str">
        <f>N43</f>
        <v>R</v>
      </c>
      <c r="E58" s="149"/>
      <c r="F58" s="148" t="str">
        <f>D43</f>
        <v>1130511471</v>
      </c>
      <c r="G58" s="149"/>
      <c r="H58" s="149"/>
      <c r="I58" s="151"/>
      <c r="J58" s="242" t="str">
        <f>H43</f>
        <v>RP17-13RA-12SD(71)</v>
      </c>
      <c r="K58" s="150"/>
      <c r="L58" s="150"/>
      <c r="M58" s="150"/>
      <c r="N58" s="161"/>
      <c r="O58" s="162"/>
      <c r="P58" s="148" t="s">
        <v>92</v>
      </c>
      <c r="Q58" s="150"/>
      <c r="R58" s="150"/>
      <c r="S58" s="162"/>
      <c r="T58" s="999">
        <f>R43</f>
        <v>5000</v>
      </c>
      <c r="U58" s="1000"/>
      <c r="V58" s="1000"/>
      <c r="W58" s="1001"/>
      <c r="X58" s="973">
        <f>AH43</f>
        <v>94.52</v>
      </c>
      <c r="Y58" s="974"/>
      <c r="Z58" s="974"/>
      <c r="AA58" s="975"/>
      <c r="AB58" s="973">
        <f>V43</f>
        <v>122.5</v>
      </c>
      <c r="AC58" s="974"/>
      <c r="AD58" s="974"/>
      <c r="AE58" s="974"/>
      <c r="AF58" s="975"/>
      <c r="AG58" s="973">
        <f>Z43</f>
        <v>125</v>
      </c>
      <c r="AH58" s="974"/>
      <c r="AI58" s="974"/>
      <c r="AJ58" s="975"/>
      <c r="AK58" s="973">
        <f>AD43</f>
        <v>124</v>
      </c>
      <c r="AL58" s="974"/>
      <c r="AM58" s="974"/>
      <c r="AN58" s="975"/>
      <c r="AO58" s="979">
        <f>1-X58/AK58</f>
        <v>0.23774193548387101</v>
      </c>
      <c r="AP58" s="980"/>
      <c r="AQ58" s="980"/>
      <c r="AR58" s="981"/>
      <c r="AS58" s="991">
        <f>(AK58-AG58)/AG58</f>
        <v>-8.0000000000000002E-3</v>
      </c>
      <c r="AT58" s="992"/>
      <c r="AU58" s="992"/>
      <c r="AV58" s="993"/>
      <c r="AW58" s="148"/>
      <c r="AX58" s="150"/>
      <c r="AY58" s="150"/>
      <c r="AZ58" s="162"/>
      <c r="BA58" s="994">
        <f>1-(AD43/AM43)</f>
        <v>8.0000000000000071E-3</v>
      </c>
      <c r="BB58" s="995"/>
      <c r="BC58" s="995"/>
      <c r="BD58" s="996"/>
      <c r="BE58" s="985">
        <f>AQ43</f>
        <v>10.3</v>
      </c>
      <c r="BF58" s="986"/>
      <c r="BG58" s="987"/>
      <c r="BH58" s="149" t="str">
        <f>AT43</f>
        <v>SMK</v>
      </c>
      <c r="BI58" s="150"/>
      <c r="BJ58" s="150"/>
      <c r="BK58" s="152"/>
      <c r="BL58" s="149" t="s">
        <v>29</v>
      </c>
      <c r="BM58" s="150"/>
      <c r="BN58" s="150"/>
      <c r="BO58" s="152"/>
    </row>
    <row r="59" spans="1:67" ht="13.5" customHeight="1">
      <c r="A59" s="22"/>
      <c r="B59" s="202">
        <v>23</v>
      </c>
      <c r="C59" s="308">
        <v>2</v>
      </c>
      <c r="D59" s="148" t="str">
        <f>N44</f>
        <v>R</v>
      </c>
      <c r="E59" s="149"/>
      <c r="F59" s="148" t="str">
        <f>D44</f>
        <v>1135042200</v>
      </c>
      <c r="G59" s="149"/>
      <c r="H59" s="149"/>
      <c r="I59" s="151"/>
      <c r="J59" s="242" t="str">
        <f>H44</f>
        <v>RP34-8R-3PDL</v>
      </c>
      <c r="K59" s="150"/>
      <c r="L59" s="150"/>
      <c r="M59" s="150"/>
      <c r="N59" s="161"/>
      <c r="O59" s="162"/>
      <c r="P59" s="148" t="s">
        <v>92</v>
      </c>
      <c r="Q59" s="150"/>
      <c r="R59" s="150"/>
      <c r="S59" s="162"/>
      <c r="T59" s="999">
        <f>R44</f>
        <v>5000</v>
      </c>
      <c r="U59" s="1000"/>
      <c r="V59" s="1000"/>
      <c r="W59" s="1001"/>
      <c r="X59" s="973">
        <f>AH44</f>
        <v>36.89</v>
      </c>
      <c r="Y59" s="974"/>
      <c r="Z59" s="974"/>
      <c r="AA59" s="975"/>
      <c r="AB59" s="973">
        <f>V44</f>
        <v>39</v>
      </c>
      <c r="AC59" s="974"/>
      <c r="AD59" s="974"/>
      <c r="AE59" s="974"/>
      <c r="AF59" s="975"/>
      <c r="AG59" s="973">
        <f>Z44</f>
        <v>40</v>
      </c>
      <c r="AH59" s="974"/>
      <c r="AI59" s="974"/>
      <c r="AJ59" s="975"/>
      <c r="AK59" s="973">
        <f>AD44</f>
        <v>40</v>
      </c>
      <c r="AL59" s="974"/>
      <c r="AM59" s="974"/>
      <c r="AN59" s="975"/>
      <c r="AO59" s="979">
        <f>1-X59/AK59</f>
        <v>7.7749999999999986E-2</v>
      </c>
      <c r="AP59" s="980"/>
      <c r="AQ59" s="980"/>
      <c r="AR59" s="981"/>
      <c r="AS59" s="991">
        <f>(AK59-AG59)/AG59</f>
        <v>0</v>
      </c>
      <c r="AT59" s="992"/>
      <c r="AU59" s="992"/>
      <c r="AV59" s="993"/>
      <c r="AW59" s="148"/>
      <c r="AX59" s="150"/>
      <c r="AY59" s="150"/>
      <c r="AZ59" s="162"/>
      <c r="BA59" s="994">
        <f>1-(AD44/AM44)</f>
        <v>2.4390243902439046E-2</v>
      </c>
      <c r="BB59" s="995"/>
      <c r="BC59" s="995"/>
      <c r="BD59" s="996"/>
      <c r="BE59" s="985">
        <f>AQ44</f>
        <v>12.3</v>
      </c>
      <c r="BF59" s="986"/>
      <c r="BG59" s="987"/>
      <c r="BH59" s="149" t="str">
        <f>AT44</f>
        <v>中国</v>
      </c>
      <c r="BI59" s="150"/>
      <c r="BJ59" s="150"/>
      <c r="BK59" s="152"/>
      <c r="BL59" s="149" t="s">
        <v>29</v>
      </c>
      <c r="BM59" s="150"/>
      <c r="BN59" s="150"/>
      <c r="BO59" s="152"/>
    </row>
    <row r="60" spans="1:67" ht="13.5" customHeight="1">
      <c r="A60" s="22"/>
      <c r="B60" s="202">
        <v>20</v>
      </c>
      <c r="C60" s="337" t="s">
        <v>279</v>
      </c>
      <c r="D60" s="28"/>
      <c r="E60" s="28"/>
      <c r="F60" s="28"/>
      <c r="G60" s="28"/>
      <c r="H60" s="121"/>
      <c r="I60" s="62"/>
      <c r="J60" s="63"/>
      <c r="K60" s="62"/>
      <c r="L60" s="63"/>
      <c r="M60" s="69"/>
      <c r="N60" s="69"/>
      <c r="O60" s="65"/>
      <c r="P60" s="69"/>
      <c r="Q60" s="65"/>
      <c r="R60" s="69"/>
      <c r="S60" s="28"/>
      <c r="T60" s="28"/>
      <c r="U60" s="28"/>
      <c r="V60" s="28"/>
      <c r="W60" s="28"/>
      <c r="X60" s="121"/>
      <c r="Y60" s="62"/>
      <c r="Z60" s="63"/>
      <c r="AA60" s="62"/>
      <c r="AB60" s="63"/>
      <c r="AC60" s="69"/>
      <c r="AD60" s="69"/>
      <c r="AE60" s="65"/>
      <c r="AF60" s="69"/>
      <c r="AG60" s="65"/>
      <c r="AH60" s="69"/>
      <c r="AI60" s="64"/>
      <c r="AJ60" s="69"/>
      <c r="AK60" s="65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33"/>
      <c r="AW60" s="28"/>
      <c r="AX60" s="28"/>
      <c r="AY60" s="31"/>
      <c r="AZ60" s="95"/>
      <c r="BA60" s="92"/>
      <c r="BB60" s="329"/>
      <c r="BC60" s="338"/>
      <c r="BD60" s="37"/>
      <c r="BE60" s="37"/>
    </row>
    <row r="61" spans="1:67" ht="13.5" customHeight="1">
      <c r="A61" s="22"/>
      <c r="B61" s="202">
        <v>24</v>
      </c>
      <c r="C61" s="304"/>
      <c r="D61" s="502" t="s">
        <v>278</v>
      </c>
      <c r="E61" s="503"/>
      <c r="F61" s="504" t="s">
        <v>29</v>
      </c>
      <c r="G61" s="503"/>
      <c r="H61" s="503"/>
      <c r="I61" s="505"/>
      <c r="J61" s="504" t="s">
        <v>29</v>
      </c>
      <c r="K61" s="506"/>
      <c r="L61" s="506"/>
      <c r="M61" s="506"/>
      <c r="N61" s="503"/>
      <c r="O61" s="505"/>
      <c r="P61" s="507"/>
      <c r="Q61" s="508"/>
      <c r="R61" s="508"/>
      <c r="S61" s="509"/>
      <c r="T61" s="502"/>
      <c r="U61" s="503"/>
      <c r="V61" s="503"/>
      <c r="W61" s="505"/>
      <c r="X61" s="508"/>
      <c r="Y61" s="503"/>
      <c r="Z61" s="503"/>
      <c r="AA61" s="503"/>
      <c r="AB61" s="507" t="s">
        <v>97</v>
      </c>
      <c r="AC61" s="508"/>
      <c r="AD61" s="508"/>
      <c r="AE61" s="508"/>
      <c r="AF61" s="509"/>
      <c r="AG61" s="508" t="s">
        <v>257</v>
      </c>
      <c r="AH61" s="503"/>
      <c r="AI61" s="503"/>
      <c r="AJ61" s="503"/>
      <c r="AK61" s="510" t="s">
        <v>98</v>
      </c>
      <c r="AL61" s="508"/>
      <c r="AM61" s="508"/>
      <c r="AN61" s="509"/>
      <c r="AO61" s="507" t="s">
        <v>80</v>
      </c>
      <c r="AP61" s="508"/>
      <c r="AQ61" s="508"/>
      <c r="AR61" s="509"/>
      <c r="AS61" s="507" t="s">
        <v>81</v>
      </c>
      <c r="AT61" s="508"/>
      <c r="AU61" s="508"/>
      <c r="AV61" s="508"/>
      <c r="AW61" s="507" t="s">
        <v>99</v>
      </c>
      <c r="AX61" s="508"/>
      <c r="AY61" s="508"/>
      <c r="AZ61" s="509"/>
      <c r="BA61" s="507" t="s">
        <v>100</v>
      </c>
      <c r="BB61" s="508"/>
      <c r="BC61" s="508"/>
      <c r="BD61" s="509"/>
      <c r="BE61" s="511" t="s">
        <v>29</v>
      </c>
      <c r="BF61" s="508"/>
      <c r="BG61" s="508"/>
      <c r="BH61" s="509"/>
      <c r="BI61" s="508"/>
      <c r="BJ61" s="508"/>
      <c r="BK61" s="509"/>
      <c r="BL61" s="508"/>
      <c r="BM61" s="508"/>
      <c r="BN61" s="508"/>
      <c r="BO61" s="509"/>
    </row>
    <row r="62" spans="1:67" ht="13.5" customHeight="1">
      <c r="A62" s="22"/>
      <c r="B62" s="202">
        <v>25</v>
      </c>
      <c r="C62" s="308">
        <v>1</v>
      </c>
      <c r="D62" s="148" t="s">
        <v>91</v>
      </c>
      <c r="E62" s="149"/>
      <c r="F62" s="148" t="s">
        <v>29</v>
      </c>
      <c r="G62" s="149"/>
      <c r="H62" s="149"/>
      <c r="I62" s="151"/>
      <c r="J62" s="221" t="s">
        <v>29</v>
      </c>
      <c r="K62" s="222"/>
      <c r="L62" s="222"/>
      <c r="M62" s="222"/>
      <c r="N62" s="161"/>
      <c r="O62" s="162"/>
      <c r="P62" s="148"/>
      <c r="Q62" s="150"/>
      <c r="R62" s="150"/>
      <c r="S62" s="162"/>
      <c r="T62" s="119"/>
      <c r="U62" s="120"/>
      <c r="V62" s="120"/>
      <c r="W62" s="162"/>
      <c r="X62" s="988"/>
      <c r="Y62" s="989"/>
      <c r="Z62" s="989"/>
      <c r="AA62" s="990"/>
      <c r="AB62" s="1005">
        <f>SUMPRODUCT($T$58:$W$59,$AK$58:$AN$59)</f>
        <v>820000</v>
      </c>
      <c r="AC62" s="1006"/>
      <c r="AD62" s="1006"/>
      <c r="AE62" s="1006"/>
      <c r="AF62" s="1007"/>
      <c r="AG62" s="973">
        <f>SUM($X$58:$AA$59)</f>
        <v>131.41</v>
      </c>
      <c r="AH62" s="974"/>
      <c r="AI62" s="974"/>
      <c r="AJ62" s="975"/>
      <c r="AK62" s="976">
        <f>AB62-SUMPRODUCT($T$58:$W$59,$X$58:$AA$59)</f>
        <v>162950</v>
      </c>
      <c r="AL62" s="977"/>
      <c r="AM62" s="977"/>
      <c r="AN62" s="978"/>
      <c r="AO62" s="979">
        <f>$AK62/$AB62</f>
        <v>0.19871951219512196</v>
      </c>
      <c r="AP62" s="980"/>
      <c r="AQ62" s="980"/>
      <c r="AR62" s="981"/>
      <c r="AS62" s="979">
        <f>AW62/($AB62-AW62)</f>
        <v>-6.0606060606060606E-3</v>
      </c>
      <c r="AT62" s="980"/>
      <c r="AU62" s="980"/>
      <c r="AV62" s="981"/>
      <c r="AW62" s="982">
        <f>$T$58*($AK$58-$AG$58)+$T$59*($AK$59-$AG$59)</f>
        <v>-5000</v>
      </c>
      <c r="AX62" s="983"/>
      <c r="AY62" s="983"/>
      <c r="AZ62" s="984"/>
      <c r="BA62" s="970">
        <f>SUMPRODUCT($T$58:$W$59,$AG$58:$AJ$59)</f>
        <v>825000</v>
      </c>
      <c r="BB62" s="971"/>
      <c r="BC62" s="971"/>
      <c r="BD62" s="972"/>
      <c r="BE62" s="148" t="s">
        <v>29</v>
      </c>
      <c r="BF62" s="150"/>
      <c r="BG62" s="150"/>
      <c r="BH62" s="152"/>
      <c r="BI62" s="149" t="s">
        <v>29</v>
      </c>
      <c r="BJ62" s="150"/>
      <c r="BK62" s="152"/>
      <c r="BL62" s="149" t="s">
        <v>29</v>
      </c>
      <c r="BM62" s="150"/>
      <c r="BN62" s="150"/>
      <c r="BO62" s="152"/>
    </row>
    <row r="63" spans="1:67" ht="13.5" customHeight="1">
      <c r="A63" s="22"/>
      <c r="B63" s="202">
        <v>20</v>
      </c>
      <c r="C63" s="337" t="s">
        <v>277</v>
      </c>
      <c r="D63" s="28"/>
      <c r="E63" s="28"/>
      <c r="F63" s="28"/>
      <c r="G63" s="28"/>
      <c r="H63" s="121"/>
      <c r="I63" s="62"/>
      <c r="J63" s="63"/>
      <c r="K63" s="62"/>
      <c r="L63" s="63"/>
      <c r="M63" s="69"/>
      <c r="N63" s="69"/>
      <c r="O63" s="65"/>
      <c r="P63" s="69"/>
      <c r="Q63" s="65"/>
      <c r="R63" s="69"/>
      <c r="S63" s="28"/>
      <c r="T63" s="28"/>
      <c r="U63" s="28"/>
      <c r="V63" s="28"/>
      <c r="W63" s="28"/>
      <c r="X63" s="121"/>
      <c r="Y63" s="62"/>
      <c r="Z63" s="63"/>
      <c r="AA63" s="62"/>
      <c r="AB63" s="63"/>
      <c r="AC63" s="69"/>
      <c r="AD63" s="69"/>
      <c r="AE63" s="65"/>
      <c r="AF63" s="69"/>
      <c r="AG63" s="65"/>
      <c r="AH63" s="69"/>
      <c r="AI63" s="64"/>
      <c r="AJ63" s="69"/>
      <c r="AK63" s="65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33"/>
      <c r="AW63" s="28"/>
      <c r="AX63" s="28"/>
      <c r="AY63" s="31"/>
      <c r="AZ63" s="95"/>
      <c r="BA63" s="92"/>
      <c r="BB63" s="329"/>
      <c r="BC63" s="338"/>
      <c r="BD63" s="37"/>
      <c r="BE63" s="37"/>
    </row>
    <row r="64" spans="1:67" ht="13.5" customHeight="1">
      <c r="A64" s="22"/>
      <c r="B64" s="202">
        <v>24</v>
      </c>
      <c r="C64" s="304"/>
      <c r="D64" s="243"/>
      <c r="E64" s="244"/>
      <c r="F64" s="246" t="s">
        <v>29</v>
      </c>
      <c r="G64" s="244"/>
      <c r="H64" s="244"/>
      <c r="I64" s="245"/>
      <c r="J64" s="246" t="s">
        <v>29</v>
      </c>
      <c r="K64" s="247"/>
      <c r="L64" s="247"/>
      <c r="M64" s="247"/>
      <c r="N64" s="244"/>
      <c r="O64" s="245"/>
      <c r="P64" s="248"/>
      <c r="Q64" s="249"/>
      <c r="R64" s="249"/>
      <c r="S64" s="250"/>
      <c r="T64" s="243"/>
      <c r="U64" s="244"/>
      <c r="V64" s="244"/>
      <c r="W64" s="245"/>
      <c r="X64" s="249"/>
      <c r="Y64" s="244"/>
      <c r="Z64" s="244"/>
      <c r="AA64" s="244"/>
      <c r="AB64" s="248" t="s">
        <v>97</v>
      </c>
      <c r="AC64" s="249"/>
      <c r="AD64" s="249"/>
      <c r="AE64" s="249"/>
      <c r="AF64" s="250"/>
      <c r="AG64" s="249" t="s">
        <v>257</v>
      </c>
      <c r="AH64" s="244"/>
      <c r="AI64" s="244"/>
      <c r="AJ64" s="244"/>
      <c r="AK64" s="330" t="s">
        <v>98</v>
      </c>
      <c r="AL64" s="249"/>
      <c r="AM64" s="249"/>
      <c r="AN64" s="250"/>
      <c r="AO64" s="248" t="s">
        <v>80</v>
      </c>
      <c r="AP64" s="249"/>
      <c r="AQ64" s="249"/>
      <c r="AR64" s="250"/>
      <c r="AS64" s="248" t="s">
        <v>81</v>
      </c>
      <c r="AT64" s="249"/>
      <c r="AU64" s="249"/>
      <c r="AV64" s="249"/>
      <c r="AW64" s="248" t="s">
        <v>99</v>
      </c>
      <c r="AX64" s="249"/>
      <c r="AY64" s="249"/>
      <c r="AZ64" s="250"/>
      <c r="BA64" s="248" t="s">
        <v>100</v>
      </c>
      <c r="BB64" s="249"/>
      <c r="BC64" s="249"/>
      <c r="BD64" s="250"/>
      <c r="BE64" s="253" t="s">
        <v>29</v>
      </c>
      <c r="BF64" s="249"/>
      <c r="BG64" s="249"/>
      <c r="BH64" s="250"/>
      <c r="BI64" s="249"/>
      <c r="BJ64" s="249"/>
      <c r="BK64" s="250"/>
      <c r="BL64" s="249"/>
      <c r="BM64" s="249"/>
      <c r="BN64" s="249"/>
      <c r="BO64" s="250"/>
    </row>
    <row r="65" spans="1:67" ht="13.5" customHeight="1">
      <c r="A65" s="22"/>
      <c r="B65" s="202">
        <v>25</v>
      </c>
      <c r="C65" s="308"/>
      <c r="D65" s="148"/>
      <c r="E65" s="149"/>
      <c r="F65" s="148"/>
      <c r="G65" s="149"/>
      <c r="H65" s="149"/>
      <c r="I65" s="151"/>
      <c r="J65" s="221"/>
      <c r="K65" s="222"/>
      <c r="L65" s="222"/>
      <c r="M65" s="222"/>
      <c r="N65" s="161"/>
      <c r="O65" s="162"/>
      <c r="P65" s="148"/>
      <c r="Q65" s="150"/>
      <c r="R65" s="150"/>
      <c r="S65" s="162"/>
      <c r="T65" s="119"/>
      <c r="U65" s="120"/>
      <c r="V65" s="120"/>
      <c r="W65" s="162"/>
      <c r="X65" s="988"/>
      <c r="Y65" s="989"/>
      <c r="Z65" s="989"/>
      <c r="AA65" s="990"/>
      <c r="AB65" s="1005">
        <f>SUMPRODUCT($T$58:$W$59,$AK$58:$AN$59)</f>
        <v>820000</v>
      </c>
      <c r="AC65" s="1006"/>
      <c r="AD65" s="1006"/>
      <c r="AE65" s="1006"/>
      <c r="AF65" s="1007"/>
      <c r="AG65" s="973">
        <f>SUM($X$58:$AA$59)</f>
        <v>131.41</v>
      </c>
      <c r="AH65" s="974"/>
      <c r="AI65" s="974"/>
      <c r="AJ65" s="975"/>
      <c r="AK65" s="976">
        <f>AB65-SUMPRODUCT($T$58:$W$59,$X$58:$AA$59)</f>
        <v>162950</v>
      </c>
      <c r="AL65" s="977"/>
      <c r="AM65" s="977"/>
      <c r="AN65" s="978"/>
      <c r="AO65" s="979">
        <f>$AK65/$AB65</f>
        <v>0.19871951219512196</v>
      </c>
      <c r="AP65" s="980"/>
      <c r="AQ65" s="980"/>
      <c r="AR65" s="981"/>
      <c r="AS65" s="979">
        <f>AW65/($AB65-AW65)</f>
        <v>-6.0606060606060606E-3</v>
      </c>
      <c r="AT65" s="980"/>
      <c r="AU65" s="980"/>
      <c r="AV65" s="981"/>
      <c r="AW65" s="982">
        <f>$T$58*($AK$58-$AG$58)+$T$59*($AK$59-$AG$59)</f>
        <v>-5000</v>
      </c>
      <c r="AX65" s="983"/>
      <c r="AY65" s="983"/>
      <c r="AZ65" s="984"/>
      <c r="BA65" s="970">
        <f>SUMPRODUCT($T$58:$W$59,$AG$58:$AJ$59)</f>
        <v>825000</v>
      </c>
      <c r="BB65" s="971"/>
      <c r="BC65" s="971"/>
      <c r="BD65" s="972"/>
      <c r="BE65" s="148" t="s">
        <v>29</v>
      </c>
      <c r="BF65" s="150"/>
      <c r="BG65" s="150"/>
      <c r="BH65" s="152"/>
      <c r="BI65" s="149" t="s">
        <v>29</v>
      </c>
      <c r="BJ65" s="150"/>
      <c r="BK65" s="152"/>
      <c r="BL65" s="149" t="s">
        <v>29</v>
      </c>
      <c r="BM65" s="150"/>
      <c r="BN65" s="150"/>
      <c r="BO65" s="152"/>
    </row>
    <row r="66" spans="1:67" ht="13.5" customHeight="1">
      <c r="A66" s="22"/>
      <c r="B66" s="202">
        <v>27</v>
      </c>
      <c r="C66" s="340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S66" s="35"/>
      <c r="T66" s="35"/>
      <c r="U66" s="35"/>
      <c r="V66" s="35"/>
      <c r="Y66" s="35"/>
      <c r="Z66" s="35"/>
      <c r="AD66" s="35"/>
      <c r="AE66" s="35"/>
      <c r="AF66" s="35"/>
      <c r="AG66" s="35"/>
      <c r="AH66" s="35"/>
      <c r="AI66" s="35"/>
      <c r="AJ66" s="35"/>
      <c r="AK66" s="35"/>
      <c r="AL66" s="84"/>
      <c r="AM66" s="84"/>
      <c r="AN66" s="84"/>
      <c r="AO66" s="84"/>
      <c r="AP66" s="84"/>
      <c r="AQ66" s="84"/>
      <c r="AR66" s="84"/>
      <c r="AS66" s="512"/>
      <c r="AT66" s="35"/>
      <c r="AU66" s="35"/>
      <c r="AV66" s="65"/>
      <c r="AW66" s="65"/>
      <c r="AX66" s="65"/>
      <c r="AY66" s="63"/>
      <c r="AZ66" s="31"/>
      <c r="BA66" s="30"/>
      <c r="BB66" s="175"/>
      <c r="BC66" s="345"/>
      <c r="BD66" s="28"/>
    </row>
    <row r="67" spans="1:67" ht="13.5" customHeight="1">
      <c r="A67" s="22"/>
      <c r="B67" s="202">
        <v>28</v>
      </c>
      <c r="C67" s="341"/>
      <c r="D67" s="71"/>
      <c r="E67" s="71"/>
      <c r="F67" s="71"/>
      <c r="G67" s="71"/>
      <c r="H67" s="71"/>
      <c r="I67" s="71"/>
      <c r="J67" s="71"/>
      <c r="K67" s="68"/>
      <c r="L67" s="68"/>
      <c r="M67" s="68"/>
      <c r="N67" s="91"/>
      <c r="O67" s="68"/>
      <c r="P67" s="68"/>
      <c r="Q67" s="68"/>
      <c r="R67" s="68"/>
      <c r="S67" s="68"/>
      <c r="T67" s="68"/>
      <c r="U67" s="68"/>
      <c r="V67" s="68"/>
      <c r="W67" s="91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5"/>
      <c r="AN67" s="65"/>
      <c r="AO67" s="65"/>
      <c r="AP67" s="65"/>
      <c r="AQ67" s="65"/>
      <c r="AR67" s="65"/>
      <c r="AS67" s="65"/>
      <c r="AT67" s="35"/>
      <c r="AU67" s="65"/>
      <c r="AV67" s="65"/>
      <c r="AW67" s="65"/>
      <c r="AX67" s="65"/>
      <c r="AY67" s="65"/>
      <c r="AZ67" s="31"/>
      <c r="BA67" s="30"/>
      <c r="BB67" s="175"/>
      <c r="BC67" s="345"/>
      <c r="BD67" s="28"/>
      <c r="BG67" s="24"/>
      <c r="BH67" s="28"/>
    </row>
    <row r="68" spans="1:67" ht="13.5" customHeight="1">
      <c r="A68" s="22"/>
      <c r="B68" s="202">
        <v>29</v>
      </c>
      <c r="C68" s="342"/>
      <c r="D68" s="332"/>
      <c r="E68" s="65"/>
      <c r="F68" s="65"/>
      <c r="G68" s="65"/>
      <c r="H68" s="65"/>
      <c r="I68" s="65"/>
      <c r="J68" s="1002"/>
      <c r="K68" s="1003"/>
      <c r="L68" s="1003"/>
      <c r="M68" s="1003"/>
      <c r="N68"/>
      <c r="O68"/>
      <c r="P68"/>
      <c r="Q68"/>
      <c r="R68"/>
      <c r="S68"/>
      <c r="T68"/>
      <c r="U68"/>
      <c r="V68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198"/>
      <c r="AN68" s="198"/>
      <c r="AO68" s="198"/>
      <c r="AP68" s="198"/>
      <c r="AQ68" s="198"/>
      <c r="AR68" s="198"/>
      <c r="AS68" s="512"/>
      <c r="AT68" s="35"/>
      <c r="AU68" s="35"/>
      <c r="AV68" s="254"/>
      <c r="AW68" s="198"/>
      <c r="AX68" s="198"/>
      <c r="AY68" s="198"/>
      <c r="AZ68" s="31"/>
      <c r="BA68" s="30"/>
      <c r="BB68" s="175"/>
      <c r="BC68" s="345"/>
      <c r="BD68" s="28"/>
      <c r="BG68" s="24"/>
      <c r="BH68" s="28"/>
    </row>
    <row r="69" spans="1:67" ht="5.15" customHeight="1">
      <c r="A69" s="22"/>
      <c r="B69" s="202"/>
      <c r="C69" s="315"/>
      <c r="D69" s="73"/>
      <c r="E69" s="73"/>
      <c r="F69" s="73"/>
      <c r="G69" s="73"/>
      <c r="H69" s="316"/>
      <c r="I69" s="275"/>
      <c r="J69" s="273"/>
      <c r="K69" s="275"/>
      <c r="L69" s="273"/>
      <c r="M69" s="317"/>
      <c r="N69" s="317"/>
      <c r="O69" s="270"/>
      <c r="P69" s="317"/>
      <c r="Q69" s="270"/>
      <c r="R69" s="317"/>
      <c r="S69" s="73"/>
      <c r="T69" s="73"/>
      <c r="U69" s="73"/>
      <c r="V69" s="73"/>
      <c r="W69" s="73"/>
      <c r="X69" s="316"/>
      <c r="Y69" s="275"/>
      <c r="Z69" s="273"/>
      <c r="AA69" s="275"/>
      <c r="AB69" s="273"/>
      <c r="AC69" s="317"/>
      <c r="AD69" s="317"/>
      <c r="AE69" s="270"/>
      <c r="AF69" s="317"/>
      <c r="AG69" s="270"/>
      <c r="AH69" s="317"/>
      <c r="AI69" s="276"/>
      <c r="AJ69" s="317"/>
      <c r="AK69" s="270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318"/>
      <c r="AW69" s="73"/>
      <c r="AX69" s="73"/>
      <c r="AY69" s="269"/>
      <c r="AZ69" s="269"/>
      <c r="BA69" s="319"/>
      <c r="BB69" s="320"/>
      <c r="BC69" s="344"/>
      <c r="BD69" s="28"/>
    </row>
    <row r="70" spans="1:67" ht="13.5" customHeight="1">
      <c r="A70" s="22"/>
      <c r="B70" s="202">
        <v>31</v>
      </c>
      <c r="C70" s="331"/>
      <c r="D70" s="332"/>
      <c r="E70" s="65"/>
      <c r="F70" s="65"/>
      <c r="G70" s="65"/>
      <c r="H70" s="65"/>
      <c r="I70" s="65"/>
      <c r="J70" s="1004"/>
      <c r="K70" s="1004"/>
      <c r="L70" s="1004"/>
      <c r="M70" s="1004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198"/>
      <c r="AN70" s="198"/>
      <c r="AO70" s="198"/>
      <c r="AP70" s="198"/>
      <c r="AQ70" s="198"/>
      <c r="AR70" s="198"/>
      <c r="AS70" s="198"/>
      <c r="AT70" s="198"/>
      <c r="AU70" s="198"/>
      <c r="AV70" s="198"/>
      <c r="AW70" s="198"/>
      <c r="AX70" s="198"/>
      <c r="AY70" s="198"/>
      <c r="AZ70" s="33"/>
      <c r="BA70" s="46"/>
      <c r="BB70" s="78"/>
      <c r="BC70" s="34"/>
      <c r="BD70" s="28"/>
      <c r="BG70" s="24"/>
      <c r="BH70" s="28"/>
    </row>
    <row r="71" spans="1:67" ht="14.15" customHeight="1">
      <c r="A71" s="22"/>
      <c r="B71" s="129"/>
      <c r="C71" s="346" t="s">
        <v>130</v>
      </c>
      <c r="D71" s="28"/>
      <c r="E71" s="28"/>
      <c r="F71" s="28"/>
      <c r="G71" s="28"/>
      <c r="S71" s="35"/>
      <c r="T71" s="35"/>
      <c r="U71" s="35"/>
      <c r="V71" s="35"/>
      <c r="Y71" s="35"/>
      <c r="Z71" s="35"/>
      <c r="AD71" s="35"/>
      <c r="AE71" s="35"/>
      <c r="AF71" s="35"/>
      <c r="AG71" s="35"/>
      <c r="AH71" s="35"/>
      <c r="AI71" s="35"/>
      <c r="AJ71" s="28"/>
      <c r="AK71" s="28"/>
      <c r="AL71" s="28"/>
      <c r="AM71" s="130"/>
      <c r="AN71" s="130"/>
      <c r="AO71" s="35"/>
      <c r="AP71" s="35"/>
      <c r="AQ71" s="35"/>
      <c r="AR71" s="35"/>
      <c r="AS71" s="35"/>
      <c r="AT71" s="35"/>
      <c r="AU71" s="35"/>
      <c r="AV71" s="35"/>
      <c r="AW71" s="35"/>
      <c r="AX71" s="65"/>
      <c r="AY71" s="65"/>
      <c r="AZ71" s="33"/>
      <c r="BA71" s="46"/>
      <c r="BB71" s="78"/>
      <c r="BC71" s="34"/>
      <c r="BD71" s="28"/>
      <c r="BG71" s="35"/>
    </row>
    <row r="72" spans="1:67" ht="5.15" customHeight="1">
      <c r="A72" s="22"/>
      <c r="B72" s="202"/>
      <c r="C72" s="296"/>
      <c r="D72" s="72"/>
      <c r="E72" s="72"/>
      <c r="F72" s="72"/>
      <c r="G72" s="72"/>
      <c r="H72" s="297"/>
      <c r="I72" s="278"/>
      <c r="J72" s="279"/>
      <c r="K72" s="278"/>
      <c r="L72" s="279"/>
      <c r="M72" s="298"/>
      <c r="N72" s="298"/>
      <c r="O72" s="263"/>
      <c r="P72" s="298"/>
      <c r="Q72" s="263"/>
      <c r="R72" s="298"/>
      <c r="S72" s="72"/>
      <c r="T72" s="72"/>
      <c r="U72" s="72"/>
      <c r="V72" s="72"/>
      <c r="W72" s="72"/>
      <c r="X72" s="297"/>
      <c r="Y72" s="278"/>
      <c r="Z72" s="279"/>
      <c r="AA72" s="278"/>
      <c r="AB72" s="279"/>
      <c r="AC72" s="298"/>
      <c r="AD72" s="298"/>
      <c r="AE72" s="263"/>
      <c r="AF72" s="298"/>
      <c r="AG72" s="263"/>
      <c r="AH72" s="298"/>
      <c r="AI72" s="280"/>
      <c r="AJ72" s="298"/>
      <c r="AK72" s="263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300"/>
      <c r="AW72" s="72"/>
      <c r="AX72" s="72"/>
      <c r="AY72" s="265"/>
      <c r="AZ72" s="33"/>
      <c r="BA72" s="46"/>
      <c r="BB72" s="78"/>
      <c r="BC72" s="34"/>
      <c r="BD72" s="28"/>
    </row>
    <row r="73" spans="1:67" ht="14.15" customHeight="1">
      <c r="A73" s="23"/>
      <c r="B73" s="351"/>
      <c r="C73" s="282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5"/>
      <c r="S73" s="35"/>
      <c r="T73" s="28"/>
      <c r="U73" s="28"/>
      <c r="V73" s="28"/>
      <c r="W73" s="28"/>
      <c r="X73" s="28"/>
      <c r="Y73" s="28"/>
      <c r="Z73" s="28"/>
      <c r="AC73" s="28"/>
      <c r="AD73" s="28"/>
      <c r="AE73" s="35"/>
      <c r="AF73" s="35"/>
      <c r="AG73" s="35"/>
      <c r="AH73" s="35"/>
      <c r="AI73" s="35"/>
      <c r="AJ73" s="28"/>
      <c r="AK73" s="28"/>
      <c r="AL73" s="28"/>
      <c r="AM73" s="35"/>
      <c r="AN73" s="35"/>
      <c r="AO73" s="135"/>
      <c r="AP73" s="136"/>
      <c r="AQ73" s="130"/>
      <c r="AR73" s="130"/>
      <c r="AS73" s="130"/>
      <c r="AT73" s="130"/>
      <c r="AU73" s="81"/>
      <c r="AV73" s="35"/>
      <c r="AW73" s="35"/>
      <c r="AX73" s="65"/>
      <c r="AY73" s="347"/>
      <c r="AZ73" s="33"/>
      <c r="BA73" s="46"/>
      <c r="BB73" s="78"/>
      <c r="BC73" s="34"/>
      <c r="BD73" s="28"/>
      <c r="BG73" s="35"/>
    </row>
    <row r="74" spans="1:67" ht="14.15" customHeight="1">
      <c r="A74" s="23"/>
      <c r="B74" s="351"/>
      <c r="C74" s="352"/>
      <c r="D74" s="348" t="s">
        <v>37</v>
      </c>
      <c r="E74" s="131"/>
      <c r="F74" s="131"/>
      <c r="G74" s="131"/>
      <c r="H74" s="132"/>
      <c r="I74" s="132"/>
      <c r="J74" s="106"/>
      <c r="K74" s="133"/>
      <c r="L74" s="134"/>
      <c r="M74" s="144"/>
      <c r="N74" s="144"/>
      <c r="O74" s="131"/>
      <c r="P74" s="134"/>
      <c r="Q74" s="107"/>
      <c r="R74" s="133" t="s">
        <v>39</v>
      </c>
      <c r="S74" s="134"/>
      <c r="T74" s="107"/>
      <c r="U74" s="107"/>
      <c r="V74" s="133" t="s">
        <v>43</v>
      </c>
      <c r="W74" s="134"/>
      <c r="X74" s="107"/>
      <c r="Y74" s="35"/>
      <c r="Z74" s="35"/>
      <c r="AC74" s="28"/>
      <c r="AD74" s="28"/>
      <c r="AE74" s="28"/>
      <c r="AF74" s="35"/>
      <c r="AG74" s="35"/>
      <c r="AH74" s="28"/>
      <c r="AI74" s="28"/>
      <c r="AJ74" s="28"/>
      <c r="AK74" s="81"/>
      <c r="AL74" s="28"/>
      <c r="AM74" s="28"/>
      <c r="AN74" s="28"/>
      <c r="AO74" s="28"/>
      <c r="AP74" s="28"/>
      <c r="AQ74" s="65"/>
      <c r="AR74" s="65"/>
      <c r="AS74" s="65"/>
      <c r="AT74" s="125"/>
      <c r="AU74" s="65"/>
      <c r="AV74" s="65"/>
      <c r="AW74" s="65"/>
      <c r="AX74" s="65"/>
      <c r="AY74" s="347"/>
      <c r="AZ74" s="33"/>
      <c r="BA74" s="46"/>
      <c r="BB74" s="78"/>
      <c r="BC74" s="34"/>
      <c r="BD74" s="28"/>
      <c r="BE74" s="35"/>
      <c r="BF74" s="35"/>
      <c r="BG74" s="35"/>
    </row>
    <row r="75" spans="1:67" ht="13.5" customHeight="1">
      <c r="A75" s="22"/>
      <c r="B75" s="353"/>
      <c r="C75" s="352"/>
      <c r="D75" s="349" t="s">
        <v>44</v>
      </c>
      <c r="E75" s="137"/>
      <c r="F75" s="137"/>
      <c r="G75" s="137"/>
      <c r="H75" s="137"/>
      <c r="I75" s="137"/>
      <c r="J75" s="137"/>
      <c r="K75" s="350"/>
      <c r="L75" s="139"/>
      <c r="M75" s="108"/>
      <c r="N75" s="108"/>
      <c r="O75" s="145"/>
      <c r="P75" s="139"/>
      <c r="Q75" s="109"/>
      <c r="R75" s="138" t="s">
        <v>40</v>
      </c>
      <c r="S75" s="139"/>
      <c r="T75" s="108"/>
      <c r="U75" s="109"/>
      <c r="V75" s="140"/>
      <c r="W75" s="141"/>
      <c r="X75" s="142"/>
      <c r="Y75" s="116"/>
      <c r="Z75" s="41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65"/>
      <c r="AR75" s="65"/>
      <c r="AS75" s="65"/>
      <c r="AT75" s="125"/>
      <c r="AU75" s="65"/>
      <c r="AV75" s="65"/>
      <c r="AW75" s="65"/>
      <c r="AX75" s="65"/>
      <c r="AY75" s="347"/>
      <c r="AZ75" s="33"/>
      <c r="BA75" s="46"/>
      <c r="BB75" s="78"/>
      <c r="BC75" s="34"/>
      <c r="BD75" s="28"/>
      <c r="BE75" s="35"/>
      <c r="BF75" s="35"/>
      <c r="BG75" s="35"/>
    </row>
    <row r="76" spans="1:67" ht="5.15" customHeight="1">
      <c r="A76" s="22"/>
      <c r="B76" s="202"/>
      <c r="C76" s="315"/>
      <c r="D76" s="73"/>
      <c r="E76" s="73"/>
      <c r="F76" s="73"/>
      <c r="G76" s="73"/>
      <c r="H76" s="316"/>
      <c r="I76" s="275"/>
      <c r="J76" s="273"/>
      <c r="K76" s="275"/>
      <c r="L76" s="273"/>
      <c r="M76" s="317"/>
      <c r="N76" s="317"/>
      <c r="O76" s="270"/>
      <c r="P76" s="317"/>
      <c r="Q76" s="270"/>
      <c r="R76" s="317"/>
      <c r="S76" s="73"/>
      <c r="T76" s="73"/>
      <c r="U76" s="73"/>
      <c r="V76" s="73"/>
      <c r="W76" s="73"/>
      <c r="X76" s="316"/>
      <c r="Y76" s="275"/>
      <c r="Z76" s="273"/>
      <c r="AA76" s="275"/>
      <c r="AB76" s="273"/>
      <c r="AC76" s="317"/>
      <c r="AD76" s="317"/>
      <c r="AE76" s="270"/>
      <c r="AF76" s="317"/>
      <c r="AG76" s="270"/>
      <c r="AH76" s="317"/>
      <c r="AI76" s="276"/>
      <c r="AJ76" s="317"/>
      <c r="AK76" s="270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318"/>
      <c r="AW76" s="73"/>
      <c r="AX76" s="73"/>
      <c r="AY76" s="277"/>
      <c r="AZ76" s="33"/>
      <c r="BA76" s="46"/>
      <c r="BB76" s="78"/>
      <c r="BC76" s="34"/>
      <c r="BD76" s="28"/>
    </row>
    <row r="77" spans="1:67" ht="14.15" customHeight="1">
      <c r="A77" s="22"/>
      <c r="B77" s="202">
        <v>35</v>
      </c>
      <c r="C77" s="331"/>
      <c r="D77" s="332"/>
      <c r="E77" s="65"/>
      <c r="F77" s="65"/>
      <c r="G77" s="65"/>
      <c r="H77" s="65"/>
      <c r="I77" s="65"/>
      <c r="J77" s="969"/>
      <c r="K77" s="969"/>
      <c r="L77" s="969"/>
      <c r="M77" s="969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125"/>
      <c r="AU77" s="65"/>
      <c r="AV77" s="65"/>
      <c r="AW77" s="65"/>
      <c r="AX77" s="65"/>
      <c r="AY77" s="65"/>
      <c r="AZ77" s="33"/>
      <c r="BA77" s="46"/>
      <c r="BB77" s="78" t="s">
        <v>295</v>
      </c>
      <c r="BC77" s="34"/>
      <c r="BD77" s="28"/>
      <c r="BG77" s="24"/>
      <c r="BH77" s="28"/>
    </row>
    <row r="78" spans="1:67" ht="14.15" customHeight="1">
      <c r="A78" s="22"/>
      <c r="B78" s="202">
        <v>35</v>
      </c>
      <c r="C78" s="346" t="s">
        <v>246</v>
      </c>
      <c r="D78" s="332"/>
      <c r="E78" s="65"/>
      <c r="F78" s="65"/>
      <c r="G78" s="65"/>
      <c r="H78" s="65"/>
      <c r="I78" s="65"/>
      <c r="J78" s="969"/>
      <c r="K78" s="969"/>
      <c r="L78" s="969"/>
      <c r="M78" s="969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125"/>
      <c r="AU78" s="65"/>
      <c r="AV78" s="65"/>
      <c r="AW78" s="65"/>
      <c r="AX78" s="65"/>
      <c r="AY78" s="65"/>
      <c r="AZ78" s="33"/>
      <c r="BA78" s="46"/>
      <c r="BB78" s="78"/>
      <c r="BC78" s="34"/>
      <c r="BD78" s="28"/>
      <c r="BG78" s="24"/>
      <c r="BH78" s="28"/>
    </row>
    <row r="79" spans="1:67" ht="14.15" customHeight="1">
      <c r="A79" s="22"/>
      <c r="B79" s="202">
        <v>35</v>
      </c>
      <c r="C79" s="331"/>
      <c r="D79" s="478" t="s">
        <v>247</v>
      </c>
      <c r="E79" s="65"/>
      <c r="F79" s="65"/>
      <c r="G79" s="65"/>
      <c r="H79" s="65"/>
      <c r="I79" s="65"/>
      <c r="J79" s="477"/>
      <c r="K79" s="477"/>
      <c r="L79" s="477"/>
      <c r="M79" s="477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125"/>
      <c r="AU79" s="65"/>
      <c r="AV79" s="65"/>
      <c r="AW79" s="65"/>
      <c r="AX79" s="65"/>
      <c r="AY79" s="65"/>
      <c r="AZ79" s="33"/>
      <c r="BA79" s="46"/>
      <c r="BB79" s="78"/>
      <c r="BC79" s="34"/>
      <c r="BD79" s="28"/>
      <c r="BG79" s="24"/>
      <c r="BH79" s="28"/>
    </row>
    <row r="80" spans="1:67" ht="14.15" customHeight="1">
      <c r="A80" s="22"/>
      <c r="B80" s="202">
        <v>35</v>
      </c>
      <c r="C80" s="331"/>
      <c r="D80" s="332"/>
      <c r="E80" s="65"/>
      <c r="F80" s="65"/>
      <c r="G80" s="65"/>
      <c r="H80" s="65"/>
      <c r="I80" s="65"/>
      <c r="J80" s="1008"/>
      <c r="K80" s="1008"/>
      <c r="L80" s="1008"/>
      <c r="M80" s="1008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125"/>
      <c r="AU80" s="65"/>
      <c r="AV80" s="65"/>
      <c r="AW80" s="65"/>
      <c r="AX80" s="65"/>
      <c r="AY80" s="65"/>
      <c r="AZ80" s="33"/>
      <c r="BA80" s="46"/>
      <c r="BB80" s="78"/>
      <c r="BC80" s="34"/>
      <c r="BD80" s="28"/>
      <c r="BG80" s="24"/>
      <c r="BH80" s="28"/>
    </row>
    <row r="81" spans="1:60" ht="5.15" customHeight="1">
      <c r="A81" s="22"/>
      <c r="B81" s="202"/>
      <c r="C81" s="296"/>
      <c r="D81" s="72"/>
      <c r="E81" s="72"/>
      <c r="F81" s="72"/>
      <c r="G81" s="72"/>
      <c r="H81" s="297"/>
      <c r="I81" s="278"/>
      <c r="J81" s="279"/>
      <c r="K81" s="278"/>
      <c r="L81" s="279"/>
      <c r="M81" s="298"/>
      <c r="N81" s="298"/>
      <c r="O81" s="263"/>
      <c r="P81" s="298"/>
      <c r="Q81" s="263"/>
      <c r="R81" s="298"/>
      <c r="S81" s="72"/>
      <c r="T81" s="72"/>
      <c r="U81" s="72"/>
      <c r="V81" s="72"/>
      <c r="W81" s="72"/>
      <c r="X81" s="297"/>
      <c r="Y81" s="278"/>
      <c r="Z81" s="279"/>
      <c r="AA81" s="278"/>
      <c r="AB81" s="279"/>
      <c r="AC81" s="298"/>
      <c r="AD81" s="298"/>
      <c r="AE81" s="263"/>
      <c r="AF81" s="298"/>
      <c r="AG81" s="263"/>
      <c r="AH81" s="298"/>
      <c r="AI81" s="280"/>
      <c r="AJ81" s="298"/>
      <c r="AK81" s="263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300"/>
      <c r="AW81" s="72"/>
      <c r="AX81" s="72"/>
      <c r="AY81" s="265"/>
      <c r="AZ81" s="33"/>
      <c r="BA81" s="46"/>
      <c r="BB81" s="78"/>
      <c r="BC81" s="34"/>
      <c r="BD81" s="28"/>
    </row>
    <row r="82" spans="1:60" ht="14.15" customHeight="1">
      <c r="A82" s="23"/>
      <c r="B82" s="351"/>
      <c r="C82" s="282"/>
      <c r="D82" s="28" t="s">
        <v>239</v>
      </c>
      <c r="E82" s="28"/>
      <c r="F82" s="28"/>
      <c r="G82" s="28"/>
      <c r="H82" s="468" t="s">
        <v>244</v>
      </c>
      <c r="I82" s="257"/>
      <c r="J82" s="258"/>
      <c r="K82" s="258"/>
      <c r="L82" s="258"/>
      <c r="M82" s="259"/>
      <c r="N82" s="258"/>
      <c r="O82" s="110"/>
      <c r="P82" s="261" t="s">
        <v>32</v>
      </c>
      <c r="Q82" s="25"/>
      <c r="R82" s="469" t="s">
        <v>245</v>
      </c>
      <c r="S82" s="470"/>
      <c r="T82" s="471"/>
      <c r="U82" s="471"/>
      <c r="V82" s="483"/>
      <c r="W82" s="472"/>
      <c r="X82" s="471"/>
      <c r="Y82" s="473"/>
      <c r="Z82" s="474"/>
      <c r="AB82" s="469" t="s">
        <v>287</v>
      </c>
      <c r="AC82" s="470"/>
      <c r="AD82" s="471"/>
      <c r="AE82" s="471"/>
      <c r="AF82" s="471"/>
      <c r="AG82" s="472"/>
      <c r="AH82" s="471"/>
      <c r="AI82" s="473"/>
      <c r="AJ82" s="472"/>
      <c r="AK82" s="479"/>
      <c r="AL82" s="479"/>
      <c r="AM82" s="473"/>
      <c r="AN82" s="473"/>
      <c r="AO82" s="471"/>
      <c r="AP82" s="480"/>
      <c r="AQ82" s="471"/>
      <c r="AR82" s="471"/>
      <c r="AS82" s="471"/>
      <c r="AT82" s="471"/>
      <c r="AU82" s="481"/>
      <c r="AV82" s="473"/>
      <c r="AW82" s="473"/>
      <c r="AX82" s="482"/>
      <c r="AY82" s="347"/>
      <c r="AZ82" s="33"/>
      <c r="BA82" s="46"/>
      <c r="BB82" s="78"/>
      <c r="BC82" s="34"/>
      <c r="BD82" s="28"/>
      <c r="BG82" s="35"/>
    </row>
    <row r="83" spans="1:60" ht="14.15" customHeight="1">
      <c r="A83" s="23"/>
      <c r="B83" s="351"/>
      <c r="C83" s="282"/>
      <c r="D83" s="28"/>
      <c r="E83" s="28"/>
      <c r="F83" s="28"/>
      <c r="G83" s="28"/>
      <c r="H83" s="469" t="s">
        <v>53</v>
      </c>
      <c r="I83" s="470"/>
      <c r="J83" s="471"/>
      <c r="K83" s="471"/>
      <c r="L83" s="471"/>
      <c r="M83" s="472"/>
      <c r="N83" s="471"/>
      <c r="O83" s="473"/>
      <c r="P83" s="472"/>
      <c r="Q83" s="479"/>
      <c r="R83" s="479"/>
      <c r="S83" s="473"/>
      <c r="T83" s="473"/>
      <c r="U83" s="471"/>
      <c r="V83" s="480"/>
      <c r="W83" s="471"/>
      <c r="X83" s="471"/>
      <c r="Y83" s="471"/>
      <c r="Z83" s="471"/>
      <c r="AA83" s="481"/>
      <c r="AB83" s="473"/>
      <c r="AC83" s="473"/>
      <c r="AD83" s="479"/>
      <c r="AE83" s="471"/>
      <c r="AF83" s="471"/>
      <c r="AG83" s="472"/>
      <c r="AH83" s="471"/>
      <c r="AI83" s="473"/>
      <c r="AJ83" s="472"/>
      <c r="AK83" s="479"/>
      <c r="AL83" s="479"/>
      <c r="AM83" s="473"/>
      <c r="AN83" s="473"/>
      <c r="AO83" s="471"/>
      <c r="AP83" s="480"/>
      <c r="AQ83" s="471"/>
      <c r="AR83" s="471"/>
      <c r="AS83" s="471"/>
      <c r="AT83" s="471"/>
      <c r="AU83" s="481"/>
      <c r="AV83" s="473"/>
      <c r="AW83" s="473"/>
      <c r="AX83" s="482"/>
      <c r="AY83" s="347"/>
      <c r="AZ83" s="33"/>
      <c r="BA83" s="46"/>
      <c r="BB83" s="78"/>
      <c r="BC83" s="34"/>
      <c r="BD83" s="28"/>
      <c r="BG83" s="35"/>
    </row>
    <row r="84" spans="1:60" ht="5.15" customHeight="1">
      <c r="A84" s="22"/>
      <c r="B84" s="202"/>
      <c r="C84" s="315"/>
      <c r="D84" s="73"/>
      <c r="E84" s="73"/>
      <c r="F84" s="73"/>
      <c r="G84" s="73"/>
      <c r="H84" s="316"/>
      <c r="I84" s="275"/>
      <c r="J84" s="273"/>
      <c r="K84" s="275"/>
      <c r="L84" s="273"/>
      <c r="M84" s="317"/>
      <c r="N84" s="317"/>
      <c r="O84" s="270"/>
      <c r="P84" s="317"/>
      <c r="Q84" s="270"/>
      <c r="R84" s="317"/>
      <c r="S84" s="73"/>
      <c r="T84" s="73"/>
      <c r="U84" s="73"/>
      <c r="V84" s="73"/>
      <c r="W84" s="73"/>
      <c r="X84" s="316"/>
      <c r="Y84" s="275"/>
      <c r="Z84" s="273"/>
      <c r="AA84" s="275"/>
      <c r="AB84" s="273"/>
      <c r="AC84" s="317"/>
      <c r="AD84" s="317"/>
      <c r="AE84" s="270"/>
      <c r="AF84" s="317"/>
      <c r="AG84" s="270"/>
      <c r="AH84" s="317"/>
      <c r="AI84" s="276"/>
      <c r="AJ84" s="317"/>
      <c r="AK84" s="270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318"/>
      <c r="AW84" s="73"/>
      <c r="AX84" s="73"/>
      <c r="AY84" s="277"/>
      <c r="AZ84" s="33"/>
      <c r="BA84" s="46"/>
      <c r="BB84" s="78"/>
      <c r="BC84" s="34"/>
      <c r="BD84" s="28"/>
    </row>
    <row r="85" spans="1:60" ht="5.15" customHeight="1">
      <c r="A85" s="22"/>
      <c r="B85" s="202"/>
      <c r="C85" s="476"/>
      <c r="D85" s="72"/>
      <c r="E85" s="72"/>
      <c r="F85" s="72"/>
      <c r="G85" s="72"/>
      <c r="H85" s="297"/>
      <c r="I85" s="278"/>
      <c r="J85" s="279"/>
      <c r="K85" s="278"/>
      <c r="L85" s="279"/>
      <c r="M85" s="298"/>
      <c r="N85" s="298"/>
      <c r="O85" s="263"/>
      <c r="P85" s="298"/>
      <c r="Q85" s="263"/>
      <c r="R85" s="298"/>
      <c r="S85" s="72"/>
      <c r="T85" s="72"/>
      <c r="U85" s="72"/>
      <c r="V85" s="72"/>
      <c r="W85" s="72"/>
      <c r="X85" s="297"/>
      <c r="Y85" s="278"/>
      <c r="Z85" s="279"/>
      <c r="AA85" s="278"/>
      <c r="AB85" s="279"/>
      <c r="AC85" s="298"/>
      <c r="AD85" s="298"/>
      <c r="AE85" s="263"/>
      <c r="AF85" s="298"/>
      <c r="AG85" s="263"/>
      <c r="AH85" s="298"/>
      <c r="AI85" s="280"/>
      <c r="AJ85" s="298"/>
      <c r="AK85" s="263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300"/>
      <c r="AW85" s="72"/>
      <c r="AX85" s="72"/>
      <c r="AY85" s="264"/>
      <c r="AZ85" s="33"/>
      <c r="BA85" s="46"/>
      <c r="BB85" s="78"/>
      <c r="BC85" s="34"/>
      <c r="BD85" s="28"/>
    </row>
    <row r="86" spans="1:60" ht="14.15" customHeight="1">
      <c r="A86" s="22"/>
      <c r="B86" s="202">
        <v>35</v>
      </c>
      <c r="C86" s="62" t="s">
        <v>242</v>
      </c>
      <c r="D86" s="332"/>
      <c r="E86" s="65"/>
      <c r="F86" s="65"/>
      <c r="G86" s="65"/>
      <c r="H86" s="65"/>
      <c r="I86" s="65"/>
      <c r="J86" s="969"/>
      <c r="K86" s="969"/>
      <c r="L86" s="969"/>
      <c r="M86" s="969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125"/>
      <c r="AU86" s="65"/>
      <c r="AV86" s="65"/>
      <c r="AW86" s="65"/>
      <c r="AX86" s="65"/>
      <c r="AY86" s="65"/>
      <c r="AZ86" s="33"/>
      <c r="BA86" s="46"/>
      <c r="BB86" s="78"/>
      <c r="BC86" s="34"/>
      <c r="BD86" s="28"/>
      <c r="BG86" s="24"/>
      <c r="BH86" s="28"/>
    </row>
    <row r="87" spans="1:60" ht="5.15" customHeight="1">
      <c r="A87" s="22"/>
      <c r="B87" s="202"/>
      <c r="C87" s="296"/>
      <c r="D87" s="72"/>
      <c r="E87" s="72"/>
      <c r="F87" s="72"/>
      <c r="G87" s="72"/>
      <c r="H87" s="297"/>
      <c r="I87" s="278"/>
      <c r="J87" s="279"/>
      <c r="K87" s="278"/>
      <c r="L87" s="279"/>
      <c r="M87" s="298"/>
      <c r="N87" s="298"/>
      <c r="O87" s="263"/>
      <c r="P87" s="298"/>
      <c r="Q87" s="263"/>
      <c r="R87" s="298"/>
      <c r="S87" s="72"/>
      <c r="T87" s="72"/>
      <c r="U87" s="72"/>
      <c r="V87" s="72"/>
      <c r="W87" s="72"/>
      <c r="X87" s="297"/>
      <c r="Y87" s="278"/>
      <c r="Z87" s="279"/>
      <c r="AA87" s="278"/>
      <c r="AB87" s="279"/>
      <c r="AC87" s="298"/>
      <c r="AD87" s="298"/>
      <c r="AE87" s="263"/>
      <c r="AF87" s="298"/>
      <c r="AG87" s="263"/>
      <c r="AH87" s="298"/>
      <c r="AI87" s="280"/>
      <c r="AJ87" s="298"/>
      <c r="AK87" s="263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300"/>
      <c r="AW87" s="72"/>
      <c r="AX87" s="72"/>
      <c r="AY87" s="265"/>
      <c r="AZ87" s="33"/>
      <c r="BA87" s="46"/>
      <c r="BB87" s="78"/>
      <c r="BC87" s="34"/>
      <c r="BD87" s="28"/>
    </row>
    <row r="88" spans="1:60" ht="14.15" customHeight="1">
      <c r="A88" s="23"/>
      <c r="B88" s="351"/>
      <c r="C88" s="282"/>
      <c r="D88" s="28" t="s">
        <v>239</v>
      </c>
      <c r="E88" s="28"/>
      <c r="F88" s="28"/>
      <c r="G88" s="28"/>
      <c r="H88" s="468" t="s">
        <v>240</v>
      </c>
      <c r="I88" s="257"/>
      <c r="J88" s="258"/>
      <c r="K88" s="258"/>
      <c r="L88" s="258"/>
      <c r="M88" s="259"/>
      <c r="N88" s="258"/>
      <c r="O88" s="110"/>
      <c r="P88" s="261" t="s">
        <v>32</v>
      </c>
      <c r="Q88" s="25"/>
      <c r="R88" s="469" t="s">
        <v>241</v>
      </c>
      <c r="S88" s="470"/>
      <c r="T88" s="471"/>
      <c r="U88" s="471"/>
      <c r="V88" s="483"/>
      <c r="W88" s="484" t="s">
        <v>253</v>
      </c>
      <c r="X88" s="471"/>
      <c r="Y88" s="473"/>
      <c r="Z88" s="474"/>
      <c r="AB88" s="529" t="s">
        <v>288</v>
      </c>
      <c r="AC88" s="530"/>
      <c r="AD88" s="531"/>
      <c r="AE88" s="531"/>
      <c r="AF88" s="531"/>
      <c r="AG88" s="532"/>
      <c r="AH88" s="531"/>
      <c r="AI88" s="533"/>
      <c r="AJ88" s="532"/>
      <c r="AK88" s="61"/>
      <c r="AL88" s="61"/>
      <c r="AM88" s="533"/>
      <c r="AN88" s="533"/>
      <c r="AO88" s="531"/>
      <c r="AP88" s="534"/>
      <c r="AQ88" s="531"/>
      <c r="AR88" s="531"/>
      <c r="AS88" s="531"/>
      <c r="AT88" s="531"/>
      <c r="AU88" s="535"/>
      <c r="AV88" s="533"/>
      <c r="AW88" s="533"/>
      <c r="AX88" s="70"/>
      <c r="AY88" s="347"/>
      <c r="AZ88" s="33"/>
      <c r="BA88" s="46"/>
      <c r="BB88" s="78"/>
      <c r="BC88" s="34"/>
      <c r="BD88" s="28"/>
      <c r="BG88" s="35"/>
    </row>
    <row r="89" spans="1:60" ht="14.15" customHeight="1">
      <c r="A89" s="23"/>
      <c r="B89" s="351"/>
      <c r="C89" s="282"/>
      <c r="D89" s="28"/>
      <c r="E89" s="28"/>
      <c r="F89" s="28"/>
      <c r="G89" s="28"/>
      <c r="H89" s="469" t="s">
        <v>252</v>
      </c>
      <c r="I89" s="470"/>
      <c r="J89" s="471"/>
      <c r="K89" s="471"/>
      <c r="L89" s="471"/>
      <c r="M89" s="472"/>
      <c r="N89" s="471"/>
      <c r="O89" s="473"/>
      <c r="P89" s="472"/>
      <c r="Q89" s="479"/>
      <c r="R89" s="479"/>
      <c r="S89" s="473"/>
      <c r="T89" s="473"/>
      <c r="U89" s="471"/>
      <c r="V89" s="480"/>
      <c r="W89" s="471"/>
      <c r="X89" s="471"/>
      <c r="Y89" s="471"/>
      <c r="Z89" s="471"/>
      <c r="AA89" s="481"/>
      <c r="AB89" s="473"/>
      <c r="AC89" s="473"/>
      <c r="AD89" s="479"/>
      <c r="AE89" s="471"/>
      <c r="AF89" s="471"/>
      <c r="AG89" s="472"/>
      <c r="AH89" s="471"/>
      <c r="AI89" s="473"/>
      <c r="AJ89" s="472"/>
      <c r="AK89" s="479"/>
      <c r="AL89" s="479"/>
      <c r="AM89" s="473"/>
      <c r="AN89" s="473"/>
      <c r="AO89" s="471"/>
      <c r="AP89" s="480"/>
      <c r="AQ89" s="471"/>
      <c r="AR89" s="471"/>
      <c r="AS89" s="471"/>
      <c r="AT89" s="471"/>
      <c r="AU89" s="481"/>
      <c r="AV89" s="473"/>
      <c r="AW89" s="473"/>
      <c r="AX89" s="482"/>
      <c r="AY89" s="347"/>
      <c r="AZ89" s="33"/>
      <c r="BA89" s="46"/>
      <c r="BB89" s="78"/>
      <c r="BC89" s="34"/>
      <c r="BD89" s="28"/>
      <c r="BG89" s="35"/>
    </row>
    <row r="90" spans="1:60" ht="5.15" customHeight="1">
      <c r="A90" s="22"/>
      <c r="B90" s="202"/>
      <c r="C90" s="315"/>
      <c r="D90" s="73"/>
      <c r="E90" s="73"/>
      <c r="F90" s="73"/>
      <c r="G90" s="73"/>
      <c r="H90" s="316"/>
      <c r="I90" s="275"/>
      <c r="J90" s="273"/>
      <c r="K90" s="275"/>
      <c r="L90" s="273"/>
      <c r="M90" s="317"/>
      <c r="N90" s="317"/>
      <c r="O90" s="270"/>
      <c r="P90" s="317"/>
      <c r="Q90" s="270"/>
      <c r="R90" s="317"/>
      <c r="S90" s="73"/>
      <c r="T90" s="73"/>
      <c r="U90" s="73"/>
      <c r="V90" s="73"/>
      <c r="W90" s="73"/>
      <c r="X90" s="316"/>
      <c r="Y90" s="275"/>
      <c r="Z90" s="273"/>
      <c r="AA90" s="275"/>
      <c r="AB90" s="273"/>
      <c r="AC90" s="317"/>
      <c r="AD90" s="317"/>
      <c r="AE90" s="270"/>
      <c r="AF90" s="317"/>
      <c r="AG90" s="270"/>
      <c r="AH90" s="317"/>
      <c r="AI90" s="276"/>
      <c r="AJ90" s="317"/>
      <c r="AK90" s="270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318"/>
      <c r="AW90" s="73"/>
      <c r="AX90" s="73"/>
      <c r="AY90" s="277"/>
      <c r="AZ90" s="33"/>
      <c r="BA90" s="46"/>
      <c r="BB90" s="78"/>
      <c r="BC90" s="34"/>
      <c r="BD90" s="28"/>
    </row>
    <row r="91" spans="1:60" ht="5.15" customHeight="1">
      <c r="A91" s="22"/>
      <c r="B91" s="202"/>
      <c r="C91" s="476"/>
      <c r="D91" s="72"/>
      <c r="E91" s="72"/>
      <c r="F91" s="72"/>
      <c r="G91" s="72"/>
      <c r="H91" s="297"/>
      <c r="I91" s="278"/>
      <c r="J91" s="279"/>
      <c r="K91" s="278"/>
      <c r="L91" s="279"/>
      <c r="M91" s="298"/>
      <c r="N91" s="298"/>
      <c r="O91" s="263"/>
      <c r="P91" s="298"/>
      <c r="Q91" s="263"/>
      <c r="R91" s="298"/>
      <c r="S91" s="72"/>
      <c r="T91" s="72"/>
      <c r="U91" s="72"/>
      <c r="V91" s="72"/>
      <c r="W91" s="72"/>
      <c r="X91" s="297"/>
      <c r="Y91" s="278"/>
      <c r="Z91" s="279"/>
      <c r="AA91" s="278"/>
      <c r="AB91" s="279"/>
      <c r="AC91" s="298"/>
      <c r="AD91" s="298"/>
      <c r="AE91" s="263"/>
      <c r="AF91" s="298"/>
      <c r="AG91" s="263"/>
      <c r="AH91" s="298"/>
      <c r="AI91" s="280"/>
      <c r="AJ91" s="298"/>
      <c r="AK91" s="263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300"/>
      <c r="AW91" s="72"/>
      <c r="AX91" s="72"/>
      <c r="AY91" s="264"/>
      <c r="AZ91" s="33"/>
      <c r="BA91" s="46"/>
      <c r="BB91" s="78"/>
      <c r="BC91" s="34"/>
      <c r="BD91" s="28"/>
    </row>
    <row r="92" spans="1:60" ht="14.15" customHeight="1">
      <c r="A92" s="22"/>
      <c r="B92" s="202">
        <v>35</v>
      </c>
      <c r="C92" s="62" t="s">
        <v>242</v>
      </c>
      <c r="D92" s="332"/>
      <c r="E92" s="65"/>
      <c r="F92" s="65"/>
      <c r="G92" s="65"/>
      <c r="H92" s="65"/>
      <c r="I92" s="65"/>
      <c r="J92" s="477"/>
      <c r="K92" s="477"/>
      <c r="L92" s="477"/>
      <c r="M92" s="477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125"/>
      <c r="AU92" s="65"/>
      <c r="AV92" s="65"/>
      <c r="AW92" s="65"/>
      <c r="AX92" s="65"/>
      <c r="AY92" s="65"/>
      <c r="AZ92" s="33"/>
      <c r="BA92" s="46"/>
      <c r="BB92" s="78"/>
      <c r="BC92" s="34"/>
      <c r="BD92" s="28"/>
      <c r="BG92" s="24"/>
      <c r="BH92" s="28"/>
    </row>
    <row r="93" spans="1:60" ht="14.15" customHeight="1">
      <c r="A93" s="22"/>
      <c r="B93" s="202">
        <v>35</v>
      </c>
      <c r="C93" s="331"/>
      <c r="D93" s="332"/>
      <c r="E93" s="65"/>
      <c r="F93" s="65"/>
      <c r="G93" s="65"/>
      <c r="H93" s="65"/>
      <c r="I93" s="65"/>
      <c r="J93" s="477"/>
      <c r="K93" s="477"/>
      <c r="L93" s="477"/>
      <c r="M93" s="477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125"/>
      <c r="AU93" s="65"/>
      <c r="AV93" s="65"/>
      <c r="AW93" s="65"/>
      <c r="AX93" s="65"/>
      <c r="AY93" s="65"/>
      <c r="AZ93" s="33"/>
      <c r="BA93" s="46"/>
      <c r="BB93" s="335"/>
      <c r="BC93" s="336"/>
      <c r="BD93" s="28"/>
      <c r="BG93" s="24"/>
      <c r="BH93" s="28"/>
    </row>
    <row r="94" spans="1:60" ht="14.15" customHeight="1">
      <c r="A94" s="22"/>
      <c r="B94" s="202">
        <v>35</v>
      </c>
      <c r="C94" s="346" t="s">
        <v>248</v>
      </c>
      <c r="D94" s="332"/>
      <c r="E94" s="65"/>
      <c r="F94" s="65"/>
      <c r="G94" s="65"/>
      <c r="H94" s="65"/>
      <c r="I94" s="65"/>
      <c r="J94" s="969"/>
      <c r="K94" s="969"/>
      <c r="L94" s="969"/>
      <c r="M94" s="969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125"/>
      <c r="AU94" s="65"/>
      <c r="AV94" s="65"/>
      <c r="AW94" s="65"/>
      <c r="AX94" s="65"/>
      <c r="AY94" s="65"/>
      <c r="AZ94" s="33"/>
      <c r="BA94" s="46"/>
      <c r="BB94" s="335"/>
      <c r="BC94" s="336"/>
      <c r="BD94" s="28"/>
      <c r="BG94" s="24"/>
      <c r="BH94" s="28"/>
    </row>
    <row r="95" spans="1:60" ht="5.15" customHeight="1">
      <c r="A95" s="22"/>
      <c r="B95" s="202"/>
      <c r="C95" s="296"/>
      <c r="D95" s="72"/>
      <c r="E95" s="72"/>
      <c r="F95" s="72"/>
      <c r="G95" s="72"/>
      <c r="H95" s="297"/>
      <c r="I95" s="278"/>
      <c r="J95" s="279"/>
      <c r="K95" s="278"/>
      <c r="L95" s="279"/>
      <c r="M95" s="298"/>
      <c r="N95" s="298"/>
      <c r="O95" s="263"/>
      <c r="P95" s="298"/>
      <c r="Q95" s="263"/>
      <c r="R95" s="298"/>
      <c r="S95" s="72"/>
      <c r="T95" s="72"/>
      <c r="U95" s="72"/>
      <c r="V95" s="72"/>
      <c r="W95" s="72"/>
      <c r="X95" s="297"/>
      <c r="Y95" s="278"/>
      <c r="Z95" s="279"/>
      <c r="AA95" s="278"/>
      <c r="AB95" s="279"/>
      <c r="AC95" s="298"/>
      <c r="AD95" s="298"/>
      <c r="AE95" s="263"/>
      <c r="AF95" s="298"/>
      <c r="AG95" s="263"/>
      <c r="AH95" s="298"/>
      <c r="AI95" s="280"/>
      <c r="AJ95" s="298"/>
      <c r="AK95" s="263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300"/>
      <c r="AW95" s="72"/>
      <c r="AX95" s="72"/>
      <c r="AY95" s="265"/>
      <c r="AZ95" s="33"/>
      <c r="BA95" s="46"/>
      <c r="BB95" s="335"/>
      <c r="BC95" s="336"/>
      <c r="BD95" s="28"/>
    </row>
    <row r="96" spans="1:60" ht="13.5" customHeight="1">
      <c r="A96" s="22"/>
      <c r="B96" s="45"/>
      <c r="C96" s="266"/>
      <c r="D96" s="28" t="s">
        <v>249</v>
      </c>
      <c r="E96" s="28"/>
      <c r="F96" s="28"/>
      <c r="G96" s="28"/>
      <c r="H96" s="24"/>
      <c r="I96" s="24"/>
      <c r="J96" s="24"/>
      <c r="K96" s="24"/>
      <c r="L96" s="24"/>
      <c r="M96" s="127"/>
      <c r="N96" s="75"/>
      <c r="O96" s="84"/>
      <c r="P96" s="84"/>
      <c r="Q96" s="85"/>
      <c r="R96" s="75"/>
      <c r="S96" s="75"/>
      <c r="T96" s="75"/>
      <c r="U96" s="84"/>
      <c r="V96" s="85"/>
      <c r="W96" s="75"/>
      <c r="X96" s="65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65"/>
      <c r="AY96" s="267"/>
      <c r="AZ96" s="33"/>
      <c r="BA96" s="46"/>
      <c r="BB96" s="335"/>
      <c r="BC96" s="336"/>
      <c r="BD96" s="28"/>
      <c r="BE96" s="35"/>
      <c r="BF96" s="35"/>
      <c r="BG96" s="35"/>
    </row>
    <row r="97" spans="1:60" ht="13.5" customHeight="1">
      <c r="A97" s="22"/>
      <c r="B97" s="45"/>
      <c r="C97" s="266"/>
      <c r="D97" s="28"/>
      <c r="E97" s="28"/>
      <c r="F97" s="28"/>
      <c r="G97" s="28"/>
      <c r="H97" s="348" t="s">
        <v>251</v>
      </c>
      <c r="I97" s="131"/>
      <c r="J97" s="131"/>
      <c r="K97" s="131"/>
      <c r="L97" s="132"/>
      <c r="M97" s="132"/>
      <c r="N97" s="106"/>
      <c r="O97" s="133"/>
      <c r="P97" s="134"/>
      <c r="Q97" s="133" t="s">
        <v>250</v>
      </c>
      <c r="R97" s="134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33" t="s">
        <v>43</v>
      </c>
      <c r="AM97" s="134"/>
      <c r="AN97" s="107"/>
      <c r="AO97" s="31"/>
      <c r="AP97" s="31"/>
      <c r="AQ97" s="31"/>
      <c r="AR97" s="31"/>
      <c r="AS97" s="31"/>
      <c r="AT97" s="31"/>
      <c r="AU97" s="31"/>
      <c r="AV97" s="31"/>
      <c r="AW97" s="31"/>
      <c r="AX97" s="65"/>
      <c r="AY97" s="267"/>
      <c r="AZ97" s="33"/>
      <c r="BA97" s="46"/>
      <c r="BB97" s="335"/>
      <c r="BC97" s="336"/>
      <c r="BD97" s="28"/>
      <c r="BE97" s="35"/>
      <c r="BF97" s="35"/>
      <c r="BG97" s="35"/>
    </row>
    <row r="98" spans="1:60" ht="13.5" customHeight="1">
      <c r="A98" s="22"/>
      <c r="B98" s="45"/>
      <c r="C98" s="266"/>
      <c r="D98" s="28"/>
      <c r="E98" s="28"/>
      <c r="F98" s="28"/>
      <c r="G98" s="28"/>
      <c r="H98" s="485" t="s">
        <v>254</v>
      </c>
      <c r="I98" s="137"/>
      <c r="J98" s="137"/>
      <c r="K98" s="137"/>
      <c r="L98" s="137"/>
      <c r="M98" s="137"/>
      <c r="N98" s="137"/>
      <c r="O98" s="350"/>
      <c r="P98" s="139"/>
      <c r="Q98" s="486" t="s">
        <v>53</v>
      </c>
      <c r="R98" s="139"/>
      <c r="S98" s="108"/>
      <c r="T98" s="108"/>
      <c r="U98" s="108"/>
      <c r="V98" s="156"/>
      <c r="W98" s="110"/>
      <c r="X98" s="110"/>
      <c r="Y98" s="156"/>
      <c r="Z98" s="156"/>
      <c r="AA98" s="110"/>
      <c r="AB98" s="110"/>
      <c r="AC98" s="37"/>
      <c r="AD98" s="37"/>
      <c r="AE98" s="37"/>
      <c r="AF98" s="37"/>
      <c r="AG98" s="37"/>
      <c r="AH98" s="37"/>
      <c r="AI98" s="37"/>
      <c r="AJ98" s="37"/>
      <c r="AK98" s="97"/>
      <c r="AL98" s="140"/>
      <c r="AM98" s="141"/>
      <c r="AN98" s="142"/>
      <c r="AO98" s="31"/>
      <c r="AP98" s="31"/>
      <c r="AQ98" s="31"/>
      <c r="AR98" s="31"/>
      <c r="AS98" s="31"/>
      <c r="AT98" s="31"/>
      <c r="AU98" s="31"/>
      <c r="AV98" s="31"/>
      <c r="AW98" s="31"/>
      <c r="AX98" s="65"/>
      <c r="AY98" s="267"/>
      <c r="AZ98" s="33"/>
      <c r="BA98" s="46"/>
      <c r="BB98" s="335"/>
      <c r="BC98" s="336"/>
      <c r="BD98" s="28"/>
      <c r="BE98" s="35"/>
      <c r="BF98" s="35"/>
      <c r="BG98" s="35"/>
    </row>
    <row r="99" spans="1:60" ht="13.5" customHeight="1">
      <c r="A99" s="22"/>
      <c r="B99" s="45"/>
      <c r="C99" s="266"/>
      <c r="D99" s="28"/>
      <c r="E99" s="28"/>
      <c r="F99" s="28"/>
      <c r="G99" s="28"/>
      <c r="H99" s="485" t="s">
        <v>255</v>
      </c>
      <c r="I99" s="137"/>
      <c r="J99" s="137"/>
      <c r="K99" s="137"/>
      <c r="L99" s="137"/>
      <c r="M99" s="137"/>
      <c r="N99" s="137"/>
      <c r="O99" s="350"/>
      <c r="P99" s="139"/>
      <c r="Q99" s="486" t="s">
        <v>53</v>
      </c>
      <c r="R99" s="139"/>
      <c r="S99" s="108"/>
      <c r="T99" s="108"/>
      <c r="U99" s="108"/>
      <c r="V99" s="156"/>
      <c r="W99" s="110"/>
      <c r="X99" s="110"/>
      <c r="Y99" s="156"/>
      <c r="Z99" s="156"/>
      <c r="AA99" s="110"/>
      <c r="AB99" s="110"/>
      <c r="AC99" s="37"/>
      <c r="AD99" s="37"/>
      <c r="AE99" s="37"/>
      <c r="AF99" s="37"/>
      <c r="AG99" s="37"/>
      <c r="AH99" s="37"/>
      <c r="AI99" s="37"/>
      <c r="AJ99" s="37"/>
      <c r="AK99" s="97"/>
      <c r="AL99" s="140"/>
      <c r="AM99" s="141"/>
      <c r="AN99" s="142"/>
      <c r="AO99" s="31"/>
      <c r="AP99" s="31"/>
      <c r="AQ99" s="31"/>
      <c r="AR99" s="31"/>
      <c r="AS99" s="31"/>
      <c r="AT99" s="31"/>
      <c r="AU99" s="31"/>
      <c r="AV99" s="31"/>
      <c r="AW99" s="31"/>
      <c r="AX99" s="65"/>
      <c r="AY99" s="267"/>
      <c r="AZ99" s="33"/>
      <c r="BA99" s="46"/>
      <c r="BB99" s="335"/>
      <c r="BC99" s="336"/>
      <c r="BD99" s="28"/>
      <c r="BE99" s="35"/>
      <c r="BF99" s="35"/>
      <c r="BG99" s="35"/>
    </row>
    <row r="100" spans="1:60" ht="13.5" customHeight="1">
      <c r="A100" s="22"/>
      <c r="B100" s="45"/>
      <c r="C100" s="266"/>
      <c r="D100" s="28"/>
      <c r="E100" s="28"/>
      <c r="F100" s="28"/>
      <c r="G100" s="28"/>
      <c r="H100" s="485" t="s">
        <v>256</v>
      </c>
      <c r="I100" s="137"/>
      <c r="J100" s="137"/>
      <c r="K100" s="137"/>
      <c r="L100" s="137"/>
      <c r="M100" s="137"/>
      <c r="N100" s="137"/>
      <c r="O100" s="350"/>
      <c r="P100" s="139"/>
      <c r="Q100" s="486" t="s">
        <v>53</v>
      </c>
      <c r="R100" s="139"/>
      <c r="S100" s="108"/>
      <c r="T100" s="108"/>
      <c r="U100" s="108"/>
      <c r="V100" s="156"/>
      <c r="W100" s="110"/>
      <c r="X100" s="110"/>
      <c r="Y100" s="156"/>
      <c r="Z100" s="156"/>
      <c r="AA100" s="110"/>
      <c r="AB100" s="110"/>
      <c r="AC100" s="37"/>
      <c r="AD100" s="37"/>
      <c r="AE100" s="37"/>
      <c r="AF100" s="37"/>
      <c r="AG100" s="37"/>
      <c r="AH100" s="37"/>
      <c r="AI100" s="37"/>
      <c r="AJ100" s="37"/>
      <c r="AK100" s="97"/>
      <c r="AL100" s="140"/>
      <c r="AM100" s="141"/>
      <c r="AN100" s="142"/>
      <c r="AO100" s="31"/>
      <c r="AP100" s="31"/>
      <c r="AQ100" s="31"/>
      <c r="AR100" s="31"/>
      <c r="AS100" s="31"/>
      <c r="AT100" s="31"/>
      <c r="AU100" s="31"/>
      <c r="AV100" s="31"/>
      <c r="AW100" s="31"/>
      <c r="AX100" s="65"/>
      <c r="AY100" s="267"/>
      <c r="AZ100" s="33"/>
      <c r="BA100" s="46"/>
      <c r="BB100" s="335"/>
      <c r="BC100" s="336"/>
      <c r="BD100" s="28"/>
      <c r="BE100" s="35"/>
      <c r="BF100" s="35"/>
      <c r="BG100" s="35"/>
    </row>
    <row r="101" spans="1:60" ht="5.15" customHeight="1">
      <c r="A101" s="22"/>
      <c r="B101" s="202"/>
      <c r="C101" s="315"/>
      <c r="D101" s="73"/>
      <c r="E101" s="73"/>
      <c r="F101" s="73"/>
      <c r="G101" s="73"/>
      <c r="H101" s="316"/>
      <c r="I101" s="275"/>
      <c r="J101" s="273"/>
      <c r="K101" s="275"/>
      <c r="L101" s="273"/>
      <c r="M101" s="317"/>
      <c r="N101" s="317"/>
      <c r="O101" s="270"/>
      <c r="P101" s="317"/>
      <c r="Q101" s="270"/>
      <c r="R101" s="317"/>
      <c r="S101" s="73"/>
      <c r="T101" s="73"/>
      <c r="U101" s="73"/>
      <c r="V101" s="73"/>
      <c r="W101" s="73"/>
      <c r="X101" s="316"/>
      <c r="Y101" s="275"/>
      <c r="Z101" s="273"/>
      <c r="AA101" s="275"/>
      <c r="AB101" s="273"/>
      <c r="AC101" s="317"/>
      <c r="AD101" s="317"/>
      <c r="AE101" s="270"/>
      <c r="AF101" s="317"/>
      <c r="AG101" s="270"/>
      <c r="AH101" s="317"/>
      <c r="AI101" s="276"/>
      <c r="AJ101" s="317"/>
      <c r="AK101" s="270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318"/>
      <c r="AW101" s="73"/>
      <c r="AX101" s="73"/>
      <c r="AY101" s="277"/>
      <c r="AZ101" s="33"/>
      <c r="BA101" s="46"/>
      <c r="BB101" s="335"/>
      <c r="BC101" s="336"/>
      <c r="BD101" s="28"/>
    </row>
    <row r="102" spans="1:60" ht="14.15" customHeight="1">
      <c r="A102" s="22"/>
      <c r="B102" s="202"/>
      <c r="C102" s="331"/>
      <c r="D102" s="332"/>
      <c r="E102" s="65"/>
      <c r="F102" s="65"/>
      <c r="G102" s="65"/>
      <c r="H102" s="65"/>
      <c r="I102" s="65"/>
      <c r="J102" s="354"/>
      <c r="K102" s="354"/>
      <c r="L102" s="354"/>
      <c r="M102" s="354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125"/>
      <c r="AU102" s="65"/>
      <c r="AV102" s="65"/>
      <c r="AW102" s="65"/>
      <c r="AX102" s="65"/>
      <c r="AY102" s="65"/>
      <c r="AZ102" s="33"/>
      <c r="BA102" s="46"/>
      <c r="BB102" s="335"/>
      <c r="BC102" s="336"/>
      <c r="BD102" s="28"/>
      <c r="BG102" s="24"/>
      <c r="BH102" s="28"/>
    </row>
    <row r="103" spans="1:60" ht="13.5" customHeight="1">
      <c r="A103" s="22"/>
      <c r="B103" s="202">
        <v>36</v>
      </c>
      <c r="C103" s="331"/>
      <c r="D103" s="332"/>
      <c r="E103" s="65"/>
      <c r="F103" s="65"/>
      <c r="G103" s="65"/>
      <c r="H103" s="65"/>
      <c r="I103" s="65"/>
      <c r="J103" s="969"/>
      <c r="K103" s="969"/>
      <c r="L103" s="969"/>
      <c r="M103" s="969"/>
      <c r="N103" s="63"/>
      <c r="O103" s="65"/>
      <c r="P103" s="65"/>
      <c r="Q103" s="65"/>
      <c r="R103" s="28"/>
      <c r="S103" s="28"/>
      <c r="T103" s="31"/>
      <c r="U103" s="31"/>
      <c r="V103" s="31"/>
      <c r="W103" s="31"/>
      <c r="X103" s="31"/>
      <c r="Y103" s="44"/>
      <c r="Z103" s="31"/>
      <c r="AA103" s="28"/>
      <c r="AB103" s="44"/>
      <c r="AC103" s="31"/>
      <c r="AD103" s="28"/>
      <c r="AE103" s="44"/>
      <c r="AF103" s="28"/>
      <c r="AG103" s="116"/>
      <c r="AH103" s="41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33"/>
      <c r="BA103" s="46"/>
      <c r="BB103" s="335"/>
      <c r="BC103" s="336"/>
      <c r="BD103" s="28"/>
      <c r="BG103" s="24"/>
      <c r="BH103" s="28"/>
    </row>
    <row r="104" spans="1:60" ht="13.5" customHeight="1">
      <c r="A104" s="22"/>
      <c r="B104" s="202">
        <v>37</v>
      </c>
      <c r="C104" s="331"/>
      <c r="D104" s="332"/>
      <c r="E104" s="65"/>
      <c r="F104" s="65"/>
      <c r="G104" s="65"/>
      <c r="H104" s="65"/>
      <c r="I104" s="65"/>
      <c r="J104" s="969"/>
      <c r="K104" s="969"/>
      <c r="L104" s="969"/>
      <c r="M104" s="969"/>
      <c r="N104" s="193"/>
      <c r="O104" s="195"/>
      <c r="P104" s="193"/>
      <c r="Q104" s="194"/>
      <c r="R104" s="194"/>
      <c r="S104" s="194"/>
      <c r="T104" s="196"/>
      <c r="U104" s="196"/>
      <c r="V104" s="196"/>
      <c r="W104" s="196"/>
      <c r="X104" s="196"/>
      <c r="Y104" s="195"/>
      <c r="Z104" s="196"/>
      <c r="AA104" s="194"/>
      <c r="AB104" s="195"/>
      <c r="AC104" s="196"/>
      <c r="AD104" s="194"/>
      <c r="AE104" s="195"/>
      <c r="AF104" s="194"/>
      <c r="AG104" s="194"/>
      <c r="AH104" s="195"/>
      <c r="AI104" s="194"/>
      <c r="AJ104" s="194"/>
      <c r="AK104" s="197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  <c r="AV104" s="194"/>
      <c r="AW104" s="194"/>
      <c r="AX104" s="194"/>
      <c r="AY104" s="194"/>
      <c r="AZ104" s="33"/>
      <c r="BA104" s="46"/>
      <c r="BB104" s="335"/>
      <c r="BC104" s="336"/>
      <c r="BD104" s="28"/>
      <c r="BG104" s="24"/>
      <c r="BH104" s="28"/>
    </row>
    <row r="105" spans="1:60">
      <c r="A105" s="22"/>
      <c r="B105" s="32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81"/>
      <c r="T105" s="81"/>
      <c r="U105" s="81"/>
      <c r="V105" s="81"/>
      <c r="W105" s="28"/>
      <c r="X105" s="28"/>
      <c r="Y105" s="81"/>
      <c r="Z105" s="81"/>
      <c r="AA105" s="28"/>
      <c r="AB105" s="28"/>
      <c r="AC105" s="28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31"/>
      <c r="AZ105" s="33"/>
      <c r="BA105" s="46"/>
      <c r="BB105" s="335"/>
      <c r="BC105" s="336"/>
    </row>
    <row r="106" spans="1:60">
      <c r="A106" s="155"/>
      <c r="B106" s="95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56"/>
      <c r="T106" s="156"/>
      <c r="U106" s="156"/>
      <c r="V106" s="156"/>
      <c r="W106" s="110"/>
      <c r="X106" s="110"/>
      <c r="Y106" s="156"/>
      <c r="Z106" s="156"/>
      <c r="AA106" s="110"/>
      <c r="AB106" s="110"/>
      <c r="AC106" s="110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95"/>
      <c r="AZ106" s="95"/>
      <c r="BA106" s="157"/>
      <c r="BB106" s="355"/>
      <c r="BC106" s="356"/>
    </row>
  </sheetData>
  <mergeCells count="84">
    <mergeCell ref="X62:AA62"/>
    <mergeCell ref="AB62:AF62"/>
    <mergeCell ref="AO59:AR59"/>
    <mergeCell ref="AB58:AF58"/>
    <mergeCell ref="AB59:AF59"/>
    <mergeCell ref="T58:W58"/>
    <mergeCell ref="T59:W59"/>
    <mergeCell ref="AG59:AJ59"/>
    <mergeCell ref="AK58:AN58"/>
    <mergeCell ref="AK59:AN59"/>
    <mergeCell ref="J103:M103"/>
    <mergeCell ref="J104:M104"/>
    <mergeCell ref="BA65:BD65"/>
    <mergeCell ref="J68:M68"/>
    <mergeCell ref="J70:M70"/>
    <mergeCell ref="AB65:AF65"/>
    <mergeCell ref="J94:M94"/>
    <mergeCell ref="J86:M86"/>
    <mergeCell ref="J77:M77"/>
    <mergeCell ref="J80:M80"/>
    <mergeCell ref="J78:M78"/>
    <mergeCell ref="A5:BA5"/>
    <mergeCell ref="BB5:BC5"/>
    <mergeCell ref="AV2:AY2"/>
    <mergeCell ref="AZ2:BC3"/>
    <mergeCell ref="A3:H3"/>
    <mergeCell ref="I3:L3"/>
    <mergeCell ref="M3:W3"/>
    <mergeCell ref="X3:Z3"/>
    <mergeCell ref="AA3:AR3"/>
    <mergeCell ref="AS3:AU3"/>
    <mergeCell ref="AV3:AY3"/>
    <mergeCell ref="AN1:AR1"/>
    <mergeCell ref="AS1:AU1"/>
    <mergeCell ref="AV1:AY1"/>
    <mergeCell ref="AZ1:BC1"/>
    <mergeCell ref="A2:H2"/>
    <mergeCell ref="I2:L2"/>
    <mergeCell ref="M2:W2"/>
    <mergeCell ref="AK2:AM2"/>
    <mergeCell ref="AN2:AR2"/>
    <mergeCell ref="AS2:AU2"/>
    <mergeCell ref="A1:H1"/>
    <mergeCell ref="I1:L1"/>
    <mergeCell ref="M1:W1"/>
    <mergeCell ref="X1:Z2"/>
    <mergeCell ref="AA1:AJ2"/>
    <mergeCell ref="AK1:AM1"/>
    <mergeCell ref="R43:U43"/>
    <mergeCell ref="R44:U44"/>
    <mergeCell ref="V43:Y43"/>
    <mergeCell ref="V44:Y44"/>
    <mergeCell ref="Z43:AC43"/>
    <mergeCell ref="Z44:AC44"/>
    <mergeCell ref="AQ43:AS43"/>
    <mergeCell ref="AQ44:AS44"/>
    <mergeCell ref="AH43:AL43"/>
    <mergeCell ref="AH44:AL44"/>
    <mergeCell ref="AD43:AG43"/>
    <mergeCell ref="AD44:AG44"/>
    <mergeCell ref="AM43:AP43"/>
    <mergeCell ref="AM44:AP44"/>
    <mergeCell ref="BE58:BG58"/>
    <mergeCell ref="BE59:BG59"/>
    <mergeCell ref="X58:AA58"/>
    <mergeCell ref="X59:AA59"/>
    <mergeCell ref="X65:AA65"/>
    <mergeCell ref="AG65:AJ65"/>
    <mergeCell ref="AK65:AN65"/>
    <mergeCell ref="AS65:AV65"/>
    <mergeCell ref="AO65:AR65"/>
    <mergeCell ref="AW65:AZ65"/>
    <mergeCell ref="AS58:AV58"/>
    <mergeCell ref="AS59:AV59"/>
    <mergeCell ref="AG58:AJ58"/>
    <mergeCell ref="BA58:BD58"/>
    <mergeCell ref="BA59:BD59"/>
    <mergeCell ref="AO58:AR58"/>
    <mergeCell ref="BA62:BD62"/>
    <mergeCell ref="AG62:AJ62"/>
    <mergeCell ref="AK62:AN62"/>
    <mergeCell ref="AO62:AR62"/>
    <mergeCell ref="AS62:AV62"/>
    <mergeCell ref="AW62:AZ62"/>
  </mergeCells>
  <phoneticPr fontId="57"/>
  <conditionalFormatting sqref="AO58:AR59">
    <cfRule type="cellIs" dxfId="38" priority="12" operator="lessThan">
      <formula>30</formula>
    </cfRule>
    <cfRule type="expression" dxfId="37" priority="13">
      <formula>$AK$65&lt;30</formula>
    </cfRule>
  </conditionalFormatting>
  <conditionalFormatting sqref="AO62:AR62">
    <cfRule type="cellIs" dxfId="36" priority="4" operator="lessThan">
      <formula>30</formula>
    </cfRule>
  </conditionalFormatting>
  <conditionalFormatting sqref="AO65:AR65">
    <cfRule type="cellIs" dxfId="35" priority="10" operator="lessThan">
      <formula>30</formula>
    </cfRule>
  </conditionalFormatting>
  <conditionalFormatting sqref="AO62:AV62">
    <cfRule type="cellIs" dxfId="34" priority="5" operator="lessThan">
      <formula>0</formula>
    </cfRule>
    <cfRule type="expression" dxfId="33" priority="6">
      <formula>$AK$65&lt;30</formula>
    </cfRule>
  </conditionalFormatting>
  <conditionalFormatting sqref="AO65:AV65">
    <cfRule type="cellIs" dxfId="32" priority="11" operator="lessThan">
      <formula>0</formula>
    </cfRule>
    <cfRule type="expression" dxfId="31" priority="24">
      <formula>$AK$65&lt;30</formula>
    </cfRule>
  </conditionalFormatting>
  <conditionalFormatting sqref="AS58:AV59">
    <cfRule type="cellIs" dxfId="30" priority="20" operator="lessThan">
      <formula>0</formula>
    </cfRule>
  </conditionalFormatting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D3B5-A6BF-4DE0-AEB8-F26B7CC024AC}">
  <dimension ref="A1:BQ106"/>
  <sheetViews>
    <sheetView showGridLines="0" topLeftCell="A5" zoomScaleNormal="100" zoomScaleSheetLayoutView="100" workbookViewId="0">
      <pane ySplit="2" topLeftCell="A7" activePane="bottomLeft" state="frozen"/>
      <selection activeCell="Z20" sqref="Z20"/>
      <selection pane="bottomLeft" activeCell="Z20" sqref="Z20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81" customWidth="1"/>
    <col min="57" max="59" width="2.6328125" style="28" customWidth="1"/>
    <col min="60" max="128" width="2.6328125" style="35" customWidth="1"/>
    <col min="129" max="16384" width="9" style="35"/>
  </cols>
  <sheetData>
    <row r="1" spans="1:59" ht="12" customHeight="1">
      <c r="A1" s="754" t="s">
        <v>4</v>
      </c>
      <c r="B1" s="754"/>
      <c r="C1" s="754"/>
      <c r="D1" s="754"/>
      <c r="E1" s="754"/>
      <c r="F1" s="754"/>
      <c r="G1" s="754"/>
      <c r="H1" s="754"/>
      <c r="I1" s="737" t="s">
        <v>5</v>
      </c>
      <c r="J1" s="737"/>
      <c r="K1" s="737"/>
      <c r="L1" s="737"/>
      <c r="M1" s="752" t="str">
        <f>変更来歴!M1</f>
        <v>ヒロセ電機株式会社</v>
      </c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37" t="s">
        <v>7</v>
      </c>
      <c r="Y1" s="737"/>
      <c r="Z1" s="737"/>
      <c r="AA1" s="756" t="str">
        <f>変更来歴!AA1</f>
        <v>化学物質データ申請</v>
      </c>
      <c r="AB1" s="756"/>
      <c r="AC1" s="756"/>
      <c r="AD1" s="756"/>
      <c r="AE1" s="756"/>
      <c r="AF1" s="756"/>
      <c r="AG1" s="756"/>
      <c r="AH1" s="756"/>
      <c r="AI1" s="756"/>
      <c r="AJ1" s="756"/>
      <c r="AK1" s="741" t="s">
        <v>8</v>
      </c>
      <c r="AL1" s="741"/>
      <c r="AM1" s="741"/>
      <c r="AN1" s="742" t="str">
        <f>変更来歴!AP7</f>
        <v>古竹</v>
      </c>
      <c r="AO1" s="742"/>
      <c r="AP1" s="742"/>
      <c r="AQ1" s="742"/>
      <c r="AR1" s="742"/>
      <c r="AS1" s="741" t="s">
        <v>9</v>
      </c>
      <c r="AT1" s="741"/>
      <c r="AU1" s="741"/>
      <c r="AV1" s="744">
        <f>変更来歴!AL7</f>
        <v>46125</v>
      </c>
      <c r="AW1" s="757"/>
      <c r="AX1" s="757"/>
      <c r="AY1" s="757"/>
      <c r="AZ1" s="733" t="s">
        <v>10</v>
      </c>
      <c r="BA1" s="734"/>
      <c r="BB1" s="734"/>
      <c r="BC1" s="735"/>
    </row>
    <row r="2" spans="1:59">
      <c r="A2" s="736" t="s">
        <v>16</v>
      </c>
      <c r="B2" s="736"/>
      <c r="C2" s="736"/>
      <c r="D2" s="736"/>
      <c r="E2" s="736"/>
      <c r="F2" s="736"/>
      <c r="G2" s="736"/>
      <c r="H2" s="736"/>
      <c r="I2" s="737" t="s">
        <v>11</v>
      </c>
      <c r="J2" s="737"/>
      <c r="K2" s="737"/>
      <c r="L2" s="737"/>
      <c r="M2" s="791" t="str">
        <f>変更来歴!M2</f>
        <v>新環境証明書システム移行</v>
      </c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37"/>
      <c r="Y2" s="737"/>
      <c r="Z2" s="737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41" t="s">
        <v>12</v>
      </c>
      <c r="AL2" s="741"/>
      <c r="AM2" s="741"/>
      <c r="AN2" s="742" t="str">
        <f ca="1">INDIRECT("変更来歴!AP" &amp; COUNTA(変更来歴!AP7:'変更来歴'!AP39) + 6)</f>
        <v>古竹</v>
      </c>
      <c r="AO2" s="742"/>
      <c r="AP2" s="742"/>
      <c r="AQ2" s="742"/>
      <c r="AR2" s="742"/>
      <c r="AS2" s="741" t="s">
        <v>13</v>
      </c>
      <c r="AT2" s="741"/>
      <c r="AU2" s="741"/>
      <c r="AV2" s="744">
        <f ca="1">INDIRECT("変更来歴!AL" &amp; COUNTA(変更来歴!AL7:'変更来歴'!AL39) + 6)</f>
        <v>46190</v>
      </c>
      <c r="AW2" s="757"/>
      <c r="AX2" s="757"/>
      <c r="AY2" s="757"/>
      <c r="AZ2" s="745" t="str">
        <f>変更来歴!AX2</f>
        <v>IMWF-53</v>
      </c>
      <c r="BA2" s="746"/>
      <c r="BB2" s="746"/>
      <c r="BC2" s="747"/>
    </row>
    <row r="3" spans="1:59" ht="12" customHeight="1">
      <c r="A3" s="751" t="str">
        <f>変更来歴!A3</f>
        <v>画面設計書</v>
      </c>
      <c r="B3" s="751"/>
      <c r="C3" s="751"/>
      <c r="D3" s="751"/>
      <c r="E3" s="751"/>
      <c r="F3" s="751"/>
      <c r="G3" s="751"/>
      <c r="H3" s="751"/>
      <c r="I3" s="737" t="s">
        <v>14</v>
      </c>
      <c r="J3" s="737"/>
      <c r="K3" s="737"/>
      <c r="L3" s="737"/>
      <c r="M3" s="752" t="str">
        <f ca="1">RIGHT(CELL("filename",A1),LEN(CELL("filename",A1))-FIND("]",CELL("filename",A1)))</f>
        <v>円(技術原計)</v>
      </c>
      <c r="N3" s="752"/>
      <c r="O3" s="752"/>
      <c r="P3" s="752"/>
      <c r="Q3" s="752"/>
      <c r="R3" s="752"/>
      <c r="S3" s="752"/>
      <c r="T3" s="752"/>
      <c r="U3" s="752"/>
      <c r="V3" s="752"/>
      <c r="W3" s="752"/>
      <c r="X3" s="737" t="s">
        <v>27</v>
      </c>
      <c r="Y3" s="737"/>
      <c r="Z3" s="737"/>
      <c r="AA3" s="753" t="str">
        <f ca="1">MID(CELL("filename"),FIND("]",CELL("filename"))+1,LEN(CELL("filename"))) &amp; "画面"</f>
        <v>表紙画面</v>
      </c>
      <c r="AB3" s="753"/>
      <c r="AC3" s="753"/>
      <c r="AD3" s="753"/>
      <c r="AE3" s="753"/>
      <c r="AF3" s="753"/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41" t="s">
        <v>15</v>
      </c>
      <c r="AT3" s="741"/>
      <c r="AU3" s="741"/>
      <c r="AV3" s="757" t="str">
        <f ca="1">INDIRECT("変更来歴!A" &amp; COUNTA(変更来歴!A7:'変更来歴'!A39) + 6)</f>
        <v>dr1.5</v>
      </c>
      <c r="AW3" s="757"/>
      <c r="AX3" s="757"/>
      <c r="AY3" s="757"/>
      <c r="AZ3" s="748"/>
      <c r="BA3" s="749"/>
      <c r="BB3" s="749"/>
      <c r="BC3" s="750"/>
    </row>
    <row r="4" spans="1:59" ht="5.9" customHeight="1"/>
    <row r="5" spans="1:59" ht="13.5" customHeight="1">
      <c r="A5" s="792" t="str">
        <f ca="1">"画面レイアウト"&amp;"("&amp;MID(CELL("filename"),FIND("]",CELL("filename"))+1,LEN(CELL("filename")))&amp;")"</f>
        <v>画面レイアウト(表紙)</v>
      </c>
      <c r="B5" s="793"/>
      <c r="C5" s="793"/>
      <c r="D5" s="793"/>
      <c r="E5" s="793"/>
      <c r="F5" s="793"/>
      <c r="G5" s="793"/>
      <c r="H5" s="793"/>
      <c r="I5" s="793"/>
      <c r="J5" s="793"/>
      <c r="K5" s="793"/>
      <c r="L5" s="793"/>
      <c r="M5" s="793"/>
      <c r="N5" s="793"/>
      <c r="O5" s="793"/>
      <c r="P5" s="793"/>
      <c r="Q5" s="793"/>
      <c r="R5" s="793"/>
      <c r="S5" s="793"/>
      <c r="T5" s="793"/>
      <c r="U5" s="793"/>
      <c r="V5" s="793"/>
      <c r="W5" s="793"/>
      <c r="X5" s="793"/>
      <c r="Y5" s="793"/>
      <c r="Z5" s="793"/>
      <c r="AA5" s="793"/>
      <c r="AB5" s="793"/>
      <c r="AC5" s="793"/>
      <c r="AD5" s="793"/>
      <c r="AE5" s="793"/>
      <c r="AF5" s="793"/>
      <c r="AG5" s="793"/>
      <c r="AH5" s="793"/>
      <c r="AI5" s="793"/>
      <c r="AJ5" s="793"/>
      <c r="AK5" s="793"/>
      <c r="AL5" s="793"/>
      <c r="AM5" s="793"/>
      <c r="AN5" s="793"/>
      <c r="AO5" s="793"/>
      <c r="AP5" s="793"/>
      <c r="AQ5" s="793"/>
      <c r="AR5" s="793"/>
      <c r="AS5" s="793"/>
      <c r="AT5" s="793"/>
      <c r="AU5" s="793"/>
      <c r="AV5" s="793"/>
      <c r="AW5" s="793"/>
      <c r="AX5" s="793"/>
      <c r="AY5" s="793"/>
      <c r="AZ5" s="793"/>
      <c r="BA5" s="794"/>
      <c r="BB5" s="784" t="s">
        <v>24</v>
      </c>
      <c r="BC5" s="785"/>
      <c r="BD5" s="28"/>
    </row>
    <row r="6" spans="1:59" ht="13.5" customHeight="1">
      <c r="A6" s="27"/>
      <c r="B6" s="186">
        <v>1</v>
      </c>
      <c r="C6" s="186">
        <v>2</v>
      </c>
      <c r="D6" s="186">
        <v>3</v>
      </c>
      <c r="E6" s="186">
        <v>4</v>
      </c>
      <c r="F6" s="186">
        <v>5</v>
      </c>
      <c r="G6" s="186">
        <v>6</v>
      </c>
      <c r="H6" s="186">
        <v>7</v>
      </c>
      <c r="I6" s="186">
        <v>8</v>
      </c>
      <c r="J6" s="186">
        <v>9</v>
      </c>
      <c r="K6" s="186">
        <v>10</v>
      </c>
      <c r="L6" s="186">
        <v>11</v>
      </c>
      <c r="M6" s="186">
        <v>12</v>
      </c>
      <c r="N6" s="186">
        <v>13</v>
      </c>
      <c r="O6" s="186">
        <v>14</v>
      </c>
      <c r="P6" s="186">
        <v>15</v>
      </c>
      <c r="Q6" s="186">
        <v>16</v>
      </c>
      <c r="R6" s="186">
        <v>17</v>
      </c>
      <c r="S6" s="188">
        <v>18</v>
      </c>
      <c r="T6" s="188">
        <v>19</v>
      </c>
      <c r="U6" s="188">
        <v>20</v>
      </c>
      <c r="V6" s="188">
        <v>21</v>
      </c>
      <c r="W6" s="188">
        <v>22</v>
      </c>
      <c r="X6" s="188">
        <v>23</v>
      </c>
      <c r="Y6" s="188">
        <v>24</v>
      </c>
      <c r="Z6" s="188">
        <v>25</v>
      </c>
      <c r="AA6" s="188">
        <v>26</v>
      </c>
      <c r="AB6" s="188">
        <v>27</v>
      </c>
      <c r="AC6" s="188">
        <v>28</v>
      </c>
      <c r="AD6" s="188">
        <v>29</v>
      </c>
      <c r="AE6" s="188">
        <v>30</v>
      </c>
      <c r="AF6" s="188">
        <v>31</v>
      </c>
      <c r="AG6" s="188">
        <v>32</v>
      </c>
      <c r="AH6" s="188">
        <v>33</v>
      </c>
      <c r="AI6" s="188">
        <v>34</v>
      </c>
      <c r="AJ6" s="187">
        <v>35</v>
      </c>
      <c r="AK6" s="187">
        <v>36</v>
      </c>
      <c r="AL6" s="187">
        <v>37</v>
      </c>
      <c r="AM6" s="187">
        <v>38</v>
      </c>
      <c r="AN6" s="187">
        <v>39</v>
      </c>
      <c r="AO6" s="187">
        <v>40</v>
      </c>
      <c r="AP6" s="187">
        <v>41</v>
      </c>
      <c r="AQ6" s="187">
        <v>42</v>
      </c>
      <c r="AR6" s="187">
        <v>43</v>
      </c>
      <c r="AS6" s="187">
        <v>44</v>
      </c>
      <c r="AT6" s="187">
        <v>45</v>
      </c>
      <c r="AU6" s="187">
        <v>46</v>
      </c>
      <c r="AV6" s="187">
        <v>47</v>
      </c>
      <c r="AW6" s="187">
        <v>48</v>
      </c>
      <c r="AX6" s="187">
        <v>49</v>
      </c>
      <c r="AY6" s="187">
        <v>50</v>
      </c>
      <c r="AZ6" s="187">
        <v>51</v>
      </c>
      <c r="BA6" s="21"/>
      <c r="BB6" s="77"/>
      <c r="BC6" s="42"/>
      <c r="BD6" s="28"/>
    </row>
    <row r="7" spans="1:59" ht="18.75" customHeight="1">
      <c r="A7" s="29"/>
      <c r="B7" s="47" t="s">
        <v>46</v>
      </c>
      <c r="C7" s="36"/>
      <c r="D7" s="36"/>
      <c r="E7" s="36"/>
      <c r="F7" s="36"/>
      <c r="G7" s="36"/>
      <c r="H7" s="48"/>
      <c r="I7" s="36"/>
      <c r="J7" s="48"/>
      <c r="K7" s="36"/>
      <c r="L7" s="36"/>
      <c r="M7" s="36"/>
      <c r="N7" s="48" t="s">
        <v>285</v>
      </c>
      <c r="O7" s="36"/>
      <c r="P7" s="36"/>
      <c r="Q7" s="36"/>
      <c r="R7" s="49" t="s">
        <v>284</v>
      </c>
      <c r="S7" s="36"/>
      <c r="T7" s="36"/>
      <c r="U7" s="36"/>
      <c r="V7" s="36"/>
      <c r="W7" s="36"/>
      <c r="X7" s="36"/>
      <c r="Y7" s="49"/>
      <c r="Z7" s="36"/>
      <c r="AA7" s="36"/>
      <c r="AB7" s="36"/>
      <c r="AC7" s="36"/>
      <c r="AD7" s="36"/>
      <c r="AE7" s="49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0"/>
      <c r="AX7" s="50"/>
      <c r="AY7" s="50"/>
      <c r="AZ7" s="51"/>
      <c r="BA7" s="80" t="s">
        <v>29</v>
      </c>
      <c r="BB7" s="78"/>
      <c r="BC7" s="34"/>
      <c r="BD7" s="28"/>
    </row>
    <row r="8" spans="1:59" ht="18" customHeight="1">
      <c r="A8" s="29"/>
      <c r="B8" s="176"/>
      <c r="C8" s="177"/>
      <c r="D8" s="177"/>
      <c r="E8" s="177" t="s">
        <v>47</v>
      </c>
      <c r="F8" s="177"/>
      <c r="G8" s="177"/>
      <c r="H8" s="178"/>
      <c r="I8" s="178"/>
      <c r="J8" s="178"/>
      <c r="K8" s="178"/>
      <c r="L8" s="179"/>
      <c r="M8" s="178"/>
      <c r="N8" s="57"/>
      <c r="O8" s="57"/>
      <c r="P8" s="179"/>
      <c r="Q8" s="57"/>
      <c r="R8" s="57"/>
      <c r="S8" s="57"/>
      <c r="T8" s="180"/>
      <c r="U8" s="180"/>
      <c r="V8" s="180"/>
      <c r="W8" s="180"/>
      <c r="X8" s="181"/>
      <c r="Y8" s="178"/>
      <c r="Z8" s="178"/>
      <c r="AA8" s="178"/>
      <c r="AB8" s="179"/>
      <c r="AC8" s="178"/>
      <c r="AD8" s="57"/>
      <c r="AE8" s="57"/>
      <c r="AF8" s="179"/>
      <c r="AG8" s="177"/>
      <c r="AH8" s="177"/>
      <c r="AI8" s="182"/>
      <c r="AJ8" s="55"/>
      <c r="AK8" s="55"/>
      <c r="AL8" s="55"/>
      <c r="AM8" s="55"/>
      <c r="AN8" s="183"/>
      <c r="AO8" s="184"/>
      <c r="AP8" s="184"/>
      <c r="AQ8" s="55"/>
      <c r="AR8" s="55"/>
      <c r="AS8" s="55"/>
      <c r="AT8" s="56"/>
      <c r="AU8" s="55"/>
      <c r="AV8" s="57"/>
      <c r="AW8" s="57"/>
      <c r="AX8" s="57"/>
      <c r="AY8" s="177"/>
      <c r="AZ8" s="185"/>
      <c r="BA8" s="143"/>
      <c r="BB8" s="78"/>
      <c r="BC8" s="34"/>
      <c r="BD8" s="28"/>
    </row>
    <row r="9" spans="1:59" ht="13.5" customHeight="1">
      <c r="A9" s="22"/>
      <c r="B9" s="20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3"/>
      <c r="BA9" s="46"/>
      <c r="BB9" s="78"/>
      <c r="BC9" s="34"/>
      <c r="BD9" s="28"/>
    </row>
    <row r="10" spans="1:59" ht="13.5" customHeight="1">
      <c r="A10" s="22"/>
      <c r="B10" s="201"/>
      <c r="C10" s="43" t="s">
        <v>48</v>
      </c>
      <c r="D10" s="31"/>
      <c r="E10" s="31"/>
      <c r="F10" s="31" t="s">
        <v>52</v>
      </c>
      <c r="G10" s="31"/>
      <c r="H10" s="127" t="s">
        <v>51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63"/>
      <c r="U10" s="63"/>
      <c r="V10" s="63"/>
      <c r="W10" s="63"/>
      <c r="X10" s="62"/>
      <c r="Y10" s="63"/>
      <c r="Z10" s="63"/>
      <c r="AA10" s="63"/>
      <c r="AB10" s="64"/>
      <c r="AC10" s="63"/>
      <c r="AD10" s="65"/>
      <c r="AE10" s="65"/>
      <c r="AF10" s="65"/>
      <c r="AG10" s="65"/>
      <c r="AH10" s="65"/>
      <c r="AI10" s="75"/>
      <c r="AJ10" s="63"/>
      <c r="AK10" s="63"/>
      <c r="AL10" s="63"/>
      <c r="AM10" s="63"/>
      <c r="AN10" s="125"/>
      <c r="AO10" s="62"/>
      <c r="AP10" s="62"/>
      <c r="AQ10" s="63"/>
      <c r="AR10" s="63"/>
      <c r="AS10" s="63"/>
      <c r="AT10" s="64"/>
      <c r="AU10" s="63"/>
      <c r="AV10" s="65"/>
      <c r="AW10" s="65"/>
      <c r="AX10" s="65"/>
      <c r="AY10" s="31"/>
      <c r="AZ10" s="33"/>
      <c r="BA10" s="46"/>
      <c r="BB10" s="78"/>
      <c r="BC10" s="34"/>
      <c r="BD10" s="28"/>
    </row>
    <row r="11" spans="1:59" ht="13.5" customHeight="1">
      <c r="A11" s="22"/>
      <c r="B11" s="201"/>
      <c r="C11" s="43" t="s">
        <v>49</v>
      </c>
      <c r="D11" s="31"/>
      <c r="E11" s="31"/>
      <c r="F11" s="31" t="s">
        <v>52</v>
      </c>
      <c r="G11" s="31"/>
      <c r="H11" s="75" t="s">
        <v>53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63"/>
      <c r="U11" s="63"/>
      <c r="V11" s="63"/>
      <c r="W11" s="63"/>
      <c r="X11" s="62"/>
      <c r="Y11" s="63"/>
      <c r="Z11" s="63"/>
      <c r="AA11" s="63"/>
      <c r="AB11" s="64"/>
      <c r="AC11" s="63"/>
      <c r="AD11" s="65"/>
      <c r="AE11" s="65"/>
      <c r="AF11" s="65"/>
      <c r="AG11" s="65"/>
      <c r="AH11" s="65"/>
      <c r="AI11" s="75"/>
      <c r="AJ11" s="63"/>
      <c r="AK11" s="63"/>
      <c r="AL11" s="63"/>
      <c r="AM11" s="63"/>
      <c r="AN11" s="125"/>
      <c r="AO11" s="62"/>
      <c r="AP11" s="62"/>
      <c r="AQ11" s="63"/>
      <c r="AR11" s="63"/>
      <c r="AS11" s="63"/>
      <c r="AT11" s="64"/>
      <c r="AU11" s="63"/>
      <c r="AV11" s="65"/>
      <c r="AW11" s="65"/>
      <c r="AX11" s="65"/>
      <c r="AY11" s="31"/>
      <c r="AZ11" s="33"/>
      <c r="BA11" s="46"/>
      <c r="BB11" s="78"/>
      <c r="BC11" s="34"/>
      <c r="BD11" s="28"/>
    </row>
    <row r="12" spans="1:59" ht="13.5" customHeight="1">
      <c r="A12" s="22"/>
      <c r="B12" s="201"/>
      <c r="C12" s="43" t="s">
        <v>50</v>
      </c>
      <c r="D12" s="31"/>
      <c r="E12" s="31"/>
      <c r="F12" s="31" t="s">
        <v>52</v>
      </c>
      <c r="G12" s="31"/>
      <c r="H12" s="75" t="s">
        <v>54</v>
      </c>
      <c r="I12" s="75"/>
      <c r="J12" s="75"/>
      <c r="K12" s="75"/>
      <c r="L12" s="75" t="s">
        <v>55</v>
      </c>
      <c r="M12" s="75"/>
      <c r="N12" s="75"/>
      <c r="O12" s="75" t="s">
        <v>56</v>
      </c>
      <c r="P12" s="75"/>
      <c r="Q12" s="75"/>
      <c r="R12" s="75"/>
      <c r="S12" s="75"/>
      <c r="T12" s="63"/>
      <c r="U12" s="63"/>
      <c r="V12" s="63"/>
      <c r="W12" s="63"/>
      <c r="X12" s="62"/>
      <c r="Y12" s="63"/>
      <c r="Z12" s="63"/>
      <c r="AA12" s="63"/>
      <c r="AB12" s="64"/>
      <c r="AC12" s="63"/>
      <c r="AD12" s="65"/>
      <c r="AE12" s="65"/>
      <c r="AF12" s="65"/>
      <c r="AG12" s="65"/>
      <c r="AH12" s="65"/>
      <c r="AI12" s="75"/>
      <c r="AJ12" s="63"/>
      <c r="AK12" s="63"/>
      <c r="AL12" s="63"/>
      <c r="AM12" s="63"/>
      <c r="AN12" s="125"/>
      <c r="AO12" s="62"/>
      <c r="AP12" s="62"/>
      <c r="AQ12" s="63"/>
      <c r="AR12" s="63"/>
      <c r="AS12" s="63"/>
      <c r="AT12" s="64"/>
      <c r="AU12" s="63"/>
      <c r="AV12" s="65"/>
      <c r="AW12" s="65"/>
      <c r="AX12" s="65"/>
      <c r="AY12" s="31"/>
      <c r="AZ12" s="33"/>
      <c r="BA12" s="46"/>
      <c r="BB12" s="78"/>
      <c r="BC12" s="34"/>
      <c r="BD12" s="28"/>
    </row>
    <row r="13" spans="1:59" ht="13.5" customHeight="1">
      <c r="A13" s="22"/>
      <c r="B13" s="202">
        <v>1</v>
      </c>
      <c r="C13" s="203">
        <v>2</v>
      </c>
      <c r="D13" s="203">
        <v>3</v>
      </c>
      <c r="E13" s="203">
        <v>4</v>
      </c>
      <c r="F13" s="203">
        <v>5</v>
      </c>
      <c r="G13" s="203">
        <v>6</v>
      </c>
      <c r="H13" s="203">
        <v>7</v>
      </c>
      <c r="I13" s="203">
        <v>8</v>
      </c>
      <c r="J13" s="203">
        <v>9</v>
      </c>
      <c r="K13" s="203">
        <v>10</v>
      </c>
      <c r="L13" s="203">
        <v>11</v>
      </c>
      <c r="M13" s="203">
        <v>12</v>
      </c>
      <c r="N13" s="203">
        <v>13</v>
      </c>
      <c r="O13" s="203">
        <v>14</v>
      </c>
      <c r="P13" s="203">
        <v>15</v>
      </c>
      <c r="Q13" s="203">
        <v>16</v>
      </c>
      <c r="R13" s="203">
        <v>17</v>
      </c>
      <c r="S13" s="203">
        <v>18</v>
      </c>
      <c r="T13" s="203">
        <v>19</v>
      </c>
      <c r="U13" s="203">
        <v>20</v>
      </c>
      <c r="V13" s="203">
        <v>21</v>
      </c>
      <c r="W13" s="203">
        <v>22</v>
      </c>
      <c r="X13" s="203">
        <v>23</v>
      </c>
      <c r="Y13" s="203">
        <v>24</v>
      </c>
      <c r="Z13" s="203">
        <v>25</v>
      </c>
      <c r="AA13" s="203">
        <v>26</v>
      </c>
      <c r="AB13" s="203">
        <v>27</v>
      </c>
      <c r="AC13" s="203">
        <v>28</v>
      </c>
      <c r="AD13" s="203">
        <v>29</v>
      </c>
      <c r="AE13" s="203">
        <v>30</v>
      </c>
      <c r="AF13" s="203">
        <v>31</v>
      </c>
      <c r="AG13" s="203">
        <v>32</v>
      </c>
      <c r="AH13" s="203">
        <v>33</v>
      </c>
      <c r="AI13" s="203">
        <v>34</v>
      </c>
      <c r="AJ13" s="203">
        <v>35</v>
      </c>
      <c r="AK13" s="203">
        <v>36</v>
      </c>
      <c r="AL13" s="203">
        <v>37</v>
      </c>
      <c r="AM13" s="203">
        <v>38</v>
      </c>
      <c r="AN13" s="203">
        <v>39</v>
      </c>
      <c r="AO13" s="203">
        <v>40</v>
      </c>
      <c r="AP13" s="203"/>
      <c r="AQ13" s="203">
        <v>41</v>
      </c>
      <c r="AR13" s="203">
        <v>42</v>
      </c>
      <c r="AS13" s="203">
        <v>43</v>
      </c>
      <c r="AT13" s="203">
        <v>44</v>
      </c>
      <c r="AU13" s="203">
        <v>45</v>
      </c>
      <c r="AV13" s="203">
        <v>46</v>
      </c>
      <c r="AW13" s="203">
        <v>47</v>
      </c>
      <c r="AX13" s="65"/>
      <c r="AY13" s="31"/>
      <c r="AZ13" s="33"/>
      <c r="BA13" s="46"/>
      <c r="BB13" s="78"/>
      <c r="BC13" s="34"/>
      <c r="BD13" s="28"/>
      <c r="BE13" s="24"/>
      <c r="BF13" s="24"/>
    </row>
    <row r="14" spans="1:59" ht="13.5" customHeight="1">
      <c r="A14" s="22"/>
      <c r="B14" s="202">
        <v>2</v>
      </c>
      <c r="C14" s="204" t="s">
        <v>102</v>
      </c>
      <c r="D14" s="28"/>
      <c r="E14" s="28"/>
      <c r="F14" s="28"/>
      <c r="G14" s="28"/>
      <c r="H14" s="121"/>
      <c r="I14" s="62"/>
      <c r="J14" s="63"/>
      <c r="K14" s="62"/>
      <c r="L14" s="63"/>
      <c r="M14" s="69"/>
      <c r="N14" s="69"/>
      <c r="O14" s="65"/>
      <c r="P14" s="69"/>
      <c r="Q14" s="65"/>
      <c r="R14" s="69"/>
      <c r="S14" s="28"/>
      <c r="T14" s="28"/>
      <c r="U14" s="28"/>
      <c r="V14" s="28"/>
      <c r="W14" s="28"/>
      <c r="X14" s="121"/>
      <c r="Y14" s="62"/>
      <c r="Z14" s="63"/>
      <c r="AA14" s="62"/>
      <c r="AB14" s="63"/>
      <c r="AC14" s="69"/>
      <c r="AD14" s="69"/>
      <c r="AE14" s="65"/>
      <c r="AF14" s="69"/>
      <c r="AG14" s="65"/>
      <c r="AH14" s="69"/>
      <c r="AI14" s="64"/>
      <c r="AJ14" s="69"/>
      <c r="AK14" s="65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33"/>
      <c r="AW14" s="28"/>
      <c r="AX14" s="65"/>
      <c r="AY14" s="31"/>
      <c r="AZ14" s="33"/>
      <c r="BA14" s="46"/>
      <c r="BB14" s="78"/>
      <c r="BC14" s="34"/>
      <c r="BD14" s="28"/>
    </row>
    <row r="15" spans="1:59" ht="5.15" customHeight="1">
      <c r="A15" s="22"/>
      <c r="B15" s="202"/>
      <c r="C15" s="296"/>
      <c r="D15" s="72"/>
      <c r="E15" s="72"/>
      <c r="F15" s="72"/>
      <c r="G15" s="72"/>
      <c r="H15" s="297"/>
      <c r="I15" s="278"/>
      <c r="J15" s="279"/>
      <c r="K15" s="278"/>
      <c r="L15" s="279"/>
      <c r="M15" s="298"/>
      <c r="N15" s="298"/>
      <c r="O15" s="263"/>
      <c r="P15" s="298"/>
      <c r="Q15" s="263"/>
      <c r="R15" s="298"/>
      <c r="S15" s="281"/>
      <c r="T15" s="72"/>
      <c r="U15" s="72"/>
      <c r="V15" s="72"/>
      <c r="W15" s="72"/>
      <c r="X15" s="72"/>
      <c r="Y15" s="297"/>
      <c r="Z15" s="278"/>
      <c r="AA15" s="279"/>
      <c r="AB15" s="278"/>
      <c r="AC15" s="279"/>
      <c r="AD15" s="298"/>
      <c r="AE15" s="298"/>
      <c r="AF15" s="263"/>
      <c r="AG15" s="298"/>
      <c r="AH15" s="298"/>
      <c r="AI15" s="280"/>
      <c r="AJ15" s="298"/>
      <c r="AK15" s="263"/>
      <c r="AL15" s="72"/>
      <c r="AM15" s="72"/>
      <c r="AN15" s="72"/>
      <c r="AO15" s="72"/>
      <c r="AP15" s="72"/>
      <c r="AQ15" s="72"/>
      <c r="AR15" s="72"/>
      <c r="AS15" s="279"/>
      <c r="AT15" s="280"/>
      <c r="AU15" s="279"/>
      <c r="AV15" s="263"/>
      <c r="AW15" s="263"/>
      <c r="AX15" s="263"/>
      <c r="AY15" s="265"/>
      <c r="AZ15" s="33"/>
      <c r="BA15" s="46"/>
      <c r="BB15" s="78"/>
      <c r="BC15" s="34"/>
      <c r="BD15" s="28"/>
    </row>
    <row r="16" spans="1:59" ht="13.5" customHeight="1">
      <c r="A16" s="22"/>
      <c r="B16" s="45"/>
      <c r="C16" s="266" t="s">
        <v>103</v>
      </c>
      <c r="D16" s="28"/>
      <c r="E16" s="28"/>
      <c r="F16" s="28"/>
      <c r="G16" s="28"/>
      <c r="H16" s="255" t="s">
        <v>169</v>
      </c>
      <c r="I16" s="255"/>
      <c r="J16" s="255"/>
      <c r="K16" s="26"/>
      <c r="L16" s="26"/>
      <c r="M16" s="105"/>
      <c r="N16" s="100"/>
      <c r="O16" s="67"/>
      <c r="P16" s="67"/>
      <c r="Q16" s="101"/>
      <c r="R16" s="100"/>
      <c r="S16" s="100"/>
      <c r="T16" s="100"/>
      <c r="U16" s="67"/>
      <c r="V16" s="101"/>
      <c r="W16" s="100"/>
      <c r="X16" s="65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65"/>
      <c r="AY16" s="267"/>
      <c r="AZ16" s="33"/>
      <c r="BA16" s="46"/>
      <c r="BB16" s="78"/>
      <c r="BC16" s="34"/>
      <c r="BD16" s="28"/>
      <c r="BE16" s="35"/>
      <c r="BF16" s="35"/>
      <c r="BG16" s="35"/>
    </row>
    <row r="17" spans="1:59" ht="13.5" customHeight="1">
      <c r="A17" s="22"/>
      <c r="B17" s="202">
        <v>3</v>
      </c>
      <c r="C17" s="266" t="s">
        <v>57</v>
      </c>
      <c r="D17" s="31"/>
      <c r="E17" s="31"/>
      <c r="F17" s="31"/>
      <c r="G17" s="31"/>
      <c r="H17" s="58"/>
      <c r="I17" s="59"/>
      <c r="J17" s="59"/>
      <c r="K17" s="59"/>
      <c r="L17" s="60"/>
      <c r="M17" s="59"/>
      <c r="N17" s="61"/>
      <c r="O17" s="61"/>
      <c r="P17" s="61"/>
      <c r="Q17" s="61"/>
      <c r="R17" s="61"/>
      <c r="S17" s="128"/>
      <c r="T17" s="59"/>
      <c r="U17" s="59"/>
      <c r="V17" s="59"/>
      <c r="W17" s="59"/>
      <c r="X17" s="123"/>
      <c r="Y17" s="59"/>
      <c r="Z17" s="59"/>
      <c r="AA17" s="59"/>
      <c r="AB17" s="60"/>
      <c r="AC17" s="59"/>
      <c r="AD17" s="61"/>
      <c r="AE17" s="61"/>
      <c r="AF17" s="61"/>
      <c r="AG17" s="61"/>
      <c r="AH17" s="94"/>
      <c r="AI17" s="75"/>
      <c r="AJ17" s="63"/>
      <c r="AK17" s="63"/>
      <c r="AL17" s="63"/>
      <c r="AM17" s="63"/>
      <c r="AN17" s="125"/>
      <c r="AO17" s="62"/>
      <c r="AP17" s="62"/>
      <c r="AQ17" s="63"/>
      <c r="AR17" s="63"/>
      <c r="AS17" s="63"/>
      <c r="AT17" s="64"/>
      <c r="AU17" s="63"/>
      <c r="AV17" s="65"/>
      <c r="AW17" s="65"/>
      <c r="AX17" s="65"/>
      <c r="AY17" s="267"/>
      <c r="AZ17" s="33"/>
      <c r="BA17" s="46"/>
      <c r="BB17" s="78"/>
      <c r="BC17" s="34"/>
      <c r="BD17" s="28"/>
      <c r="BE17" s="35"/>
      <c r="BF17" s="35"/>
      <c r="BG17" s="35"/>
    </row>
    <row r="18" spans="1:59" ht="13.5" customHeight="1">
      <c r="A18" s="22"/>
      <c r="B18" s="201"/>
      <c r="C18" s="266" t="s">
        <v>38</v>
      </c>
      <c r="D18" s="31"/>
      <c r="E18" s="31"/>
      <c r="F18" s="31"/>
      <c r="G18" s="31"/>
      <c r="H18" s="58"/>
      <c r="I18" s="59"/>
      <c r="J18" s="59"/>
      <c r="K18" s="59"/>
      <c r="L18" s="60"/>
      <c r="M18" s="59"/>
      <c r="N18" s="61"/>
      <c r="O18" s="61"/>
      <c r="P18" s="61"/>
      <c r="Q18" s="189"/>
      <c r="R18" s="74"/>
      <c r="S18" s="75"/>
      <c r="T18" s="114" t="s">
        <v>58</v>
      </c>
      <c r="U18" s="31"/>
      <c r="V18" s="31"/>
      <c r="W18" s="31"/>
      <c r="X18" s="31"/>
      <c r="Y18" s="58"/>
      <c r="Z18" s="59"/>
      <c r="AA18" s="59"/>
      <c r="AB18" s="59"/>
      <c r="AC18" s="60"/>
      <c r="AD18" s="59"/>
      <c r="AE18" s="61"/>
      <c r="AF18" s="61"/>
      <c r="AG18" s="70"/>
      <c r="AH18" s="65"/>
      <c r="AI18" s="75"/>
      <c r="AJ18" s="63"/>
      <c r="AK18" s="75" t="s">
        <v>59</v>
      </c>
      <c r="AL18" s="63"/>
      <c r="AM18" s="63"/>
      <c r="AN18" s="63"/>
      <c r="AO18" s="63"/>
      <c r="AP18" s="58"/>
      <c r="AQ18" s="59"/>
      <c r="AR18" s="59"/>
      <c r="AS18" s="59"/>
      <c r="AT18" s="60"/>
      <c r="AU18" s="59"/>
      <c r="AV18" s="61"/>
      <c r="AW18" s="61"/>
      <c r="AX18" s="70"/>
      <c r="AY18" s="267"/>
      <c r="AZ18" s="33"/>
      <c r="BA18" s="46"/>
      <c r="BB18" s="78"/>
      <c r="BC18" s="34"/>
      <c r="BD18" s="28"/>
      <c r="BE18" s="35"/>
      <c r="BF18" s="35"/>
      <c r="BG18" s="35"/>
    </row>
    <row r="19" spans="1:59" ht="13.5" customHeight="1">
      <c r="A19" s="22"/>
      <c r="B19" s="201"/>
      <c r="C19" s="266" t="s">
        <v>60</v>
      </c>
      <c r="D19" s="31"/>
      <c r="E19" s="31"/>
      <c r="F19" s="31"/>
      <c r="G19" s="31"/>
      <c r="H19" s="58"/>
      <c r="I19" s="59"/>
      <c r="J19" s="59"/>
      <c r="K19" s="59"/>
      <c r="L19" s="60"/>
      <c r="M19" s="59"/>
      <c r="N19" s="61"/>
      <c r="O19" s="61"/>
      <c r="P19" s="99" t="s">
        <v>32</v>
      </c>
      <c r="Q19" s="94"/>
      <c r="R19" s="65"/>
      <c r="S19" s="35"/>
      <c r="T19" s="43" t="s">
        <v>61</v>
      </c>
      <c r="U19" s="63"/>
      <c r="V19" s="63"/>
      <c r="W19" s="63"/>
      <c r="X19" s="63"/>
      <c r="Y19" s="124" t="s">
        <v>69</v>
      </c>
      <c r="Z19" s="59"/>
      <c r="AA19" s="59"/>
      <c r="AB19" s="59"/>
      <c r="AC19" s="60"/>
      <c r="AD19" s="59"/>
      <c r="AE19" s="61"/>
      <c r="AF19" s="61"/>
      <c r="AG19" s="70"/>
      <c r="AH19" s="65"/>
      <c r="AI19" s="75"/>
      <c r="AJ19" s="63"/>
      <c r="AK19" s="63"/>
      <c r="AL19" s="63"/>
      <c r="AM19" s="63"/>
      <c r="AN19" s="125"/>
      <c r="AO19" s="62"/>
      <c r="AP19" s="62"/>
      <c r="AQ19" s="63"/>
      <c r="AR19" s="63"/>
      <c r="AS19" s="63"/>
      <c r="AT19" s="64"/>
      <c r="AU19" s="63"/>
      <c r="AV19" s="65"/>
      <c r="AW19" s="65"/>
      <c r="AX19" s="65"/>
      <c r="AY19" s="267"/>
      <c r="AZ19" s="33"/>
      <c r="BA19" s="46"/>
      <c r="BB19" s="78"/>
      <c r="BC19" s="34"/>
      <c r="BD19" s="28"/>
      <c r="BE19" s="35"/>
      <c r="BF19" s="35"/>
      <c r="BG19" s="35"/>
    </row>
    <row r="20" spans="1:59" ht="13.5" customHeight="1">
      <c r="A20" s="22"/>
      <c r="B20" s="201"/>
      <c r="C20" s="266" t="s">
        <v>105</v>
      </c>
      <c r="D20" s="31"/>
      <c r="E20" s="31"/>
      <c r="F20" s="31"/>
      <c r="G20" s="31"/>
      <c r="H20" s="58"/>
      <c r="I20" s="59"/>
      <c r="J20" s="59"/>
      <c r="K20" s="59"/>
      <c r="L20" s="299" t="s">
        <v>106</v>
      </c>
      <c r="M20" s="103"/>
      <c r="N20" s="74"/>
      <c r="O20" s="74"/>
      <c r="P20" s="74"/>
      <c r="Q20" s="65"/>
      <c r="R20" s="65"/>
      <c r="S20" s="35"/>
      <c r="T20" s="35"/>
      <c r="U20" s="35"/>
      <c r="V20" s="63"/>
      <c r="W20" s="63"/>
      <c r="X20" s="63"/>
      <c r="Y20" s="102"/>
      <c r="Z20" s="103"/>
      <c r="AA20" s="103"/>
      <c r="AB20" s="103"/>
      <c r="AC20" s="104"/>
      <c r="AD20" s="103"/>
      <c r="AE20" s="74"/>
      <c r="AF20" s="74"/>
      <c r="AG20" s="74"/>
      <c r="AH20" s="65"/>
      <c r="AI20" s="75"/>
      <c r="AJ20" s="63"/>
      <c r="AK20" s="63"/>
      <c r="AL20" s="63"/>
      <c r="AM20" s="63"/>
      <c r="AN20" s="125"/>
      <c r="AO20" s="62"/>
      <c r="AP20" s="62"/>
      <c r="AQ20" s="63"/>
      <c r="AR20" s="63"/>
      <c r="AS20" s="63"/>
      <c r="AT20" s="64"/>
      <c r="AU20" s="63"/>
      <c r="AV20" s="65"/>
      <c r="AW20" s="65"/>
      <c r="AX20" s="65"/>
      <c r="AY20" s="267"/>
      <c r="AZ20" s="33"/>
      <c r="BA20" s="46"/>
      <c r="BB20" s="78"/>
      <c r="BC20" s="34"/>
      <c r="BD20" s="28"/>
      <c r="BE20" s="35"/>
      <c r="BF20" s="35"/>
      <c r="BG20" s="35"/>
    </row>
    <row r="21" spans="1:59" ht="5.15" customHeight="1">
      <c r="A21" s="22"/>
      <c r="B21" s="201"/>
      <c r="C21" s="268"/>
      <c r="D21" s="269"/>
      <c r="E21" s="269"/>
      <c r="F21" s="269"/>
      <c r="G21" s="269"/>
      <c r="H21" s="275"/>
      <c r="I21" s="273"/>
      <c r="J21" s="273"/>
      <c r="K21" s="273"/>
      <c r="L21" s="276"/>
      <c r="M21" s="273"/>
      <c r="N21" s="270"/>
      <c r="O21" s="270"/>
      <c r="P21" s="270"/>
      <c r="Q21" s="270"/>
      <c r="R21" s="270"/>
      <c r="S21" s="271"/>
      <c r="T21" s="272"/>
      <c r="U21" s="273"/>
      <c r="V21" s="273"/>
      <c r="W21" s="273"/>
      <c r="X21" s="273"/>
      <c r="Y21" s="275"/>
      <c r="Z21" s="273"/>
      <c r="AA21" s="273"/>
      <c r="AB21" s="273"/>
      <c r="AC21" s="276"/>
      <c r="AD21" s="273"/>
      <c r="AE21" s="270"/>
      <c r="AF21" s="270"/>
      <c r="AG21" s="270"/>
      <c r="AH21" s="270"/>
      <c r="AI21" s="272"/>
      <c r="AJ21" s="273"/>
      <c r="AK21" s="273"/>
      <c r="AL21" s="273"/>
      <c r="AM21" s="273"/>
      <c r="AN21" s="274"/>
      <c r="AO21" s="275"/>
      <c r="AP21" s="275"/>
      <c r="AQ21" s="273"/>
      <c r="AR21" s="273"/>
      <c r="AS21" s="273"/>
      <c r="AT21" s="276"/>
      <c r="AU21" s="273"/>
      <c r="AV21" s="270"/>
      <c r="AW21" s="270"/>
      <c r="AX21" s="270"/>
      <c r="AY21" s="277"/>
      <c r="AZ21" s="33"/>
      <c r="BA21" s="46"/>
      <c r="BB21" s="78"/>
      <c r="BC21" s="34"/>
      <c r="BD21" s="28"/>
      <c r="BE21" s="35"/>
      <c r="BF21" s="35"/>
      <c r="BG21" s="35"/>
    </row>
    <row r="22" spans="1:59" ht="13.5" customHeight="1">
      <c r="A22" s="22"/>
      <c r="B22" s="32"/>
      <c r="C22" s="64"/>
      <c r="D22" s="62"/>
      <c r="E22" s="63"/>
      <c r="F22" s="63"/>
      <c r="G22" s="63"/>
      <c r="H22" s="69"/>
      <c r="I22" s="69"/>
      <c r="J22" s="65"/>
      <c r="K22" s="69"/>
      <c r="L22" s="65"/>
      <c r="M22" s="69"/>
      <c r="N22" s="64"/>
      <c r="O22" s="69"/>
      <c r="P22" s="65"/>
      <c r="Q22" s="28"/>
      <c r="R22" s="28"/>
      <c r="T22" s="31"/>
      <c r="U22" s="31"/>
      <c r="V22" s="31"/>
      <c r="W22" s="31"/>
      <c r="X22" s="31"/>
      <c r="Y22" s="44"/>
      <c r="Z22" s="31"/>
      <c r="AA22" s="28"/>
      <c r="AB22" s="44"/>
      <c r="AC22" s="31"/>
      <c r="AD22" s="28"/>
      <c r="AE22" s="44"/>
      <c r="AF22" s="28"/>
      <c r="AG22" s="28"/>
      <c r="AH22" s="28"/>
      <c r="AI22" s="28"/>
      <c r="AJ22" s="76"/>
      <c r="AK22" s="28"/>
      <c r="AL22" s="28"/>
      <c r="AM22" s="28"/>
      <c r="AN22" s="28"/>
      <c r="AO22" s="28"/>
      <c r="AP22" s="28"/>
      <c r="AQ22" s="28"/>
      <c r="AR22" s="28"/>
      <c r="AS22" s="63"/>
      <c r="AT22" s="64"/>
      <c r="AU22" s="63"/>
      <c r="AV22" s="65"/>
      <c r="AW22" s="65"/>
      <c r="AX22" s="65"/>
      <c r="AY22" s="31"/>
      <c r="AZ22" s="33"/>
      <c r="BA22" s="46"/>
      <c r="BB22" s="78"/>
      <c r="BC22" s="34"/>
      <c r="BD22" s="28"/>
    </row>
    <row r="23" spans="1:59" ht="13.5" customHeight="1">
      <c r="A23" s="22"/>
      <c r="B23" s="202">
        <v>2</v>
      </c>
      <c r="C23" s="204" t="s">
        <v>107</v>
      </c>
      <c r="D23" s="28"/>
      <c r="E23" s="28"/>
      <c r="F23" s="28"/>
      <c r="G23" s="28"/>
      <c r="H23" s="121"/>
      <c r="I23" s="62"/>
      <c r="J23" s="63"/>
      <c r="K23" s="62"/>
      <c r="L23" s="63"/>
      <c r="M23" s="69"/>
      <c r="N23" s="69"/>
      <c r="O23" s="65"/>
      <c r="P23" s="69"/>
      <c r="Q23" s="65"/>
      <c r="R23" s="69"/>
      <c r="S23" s="35"/>
      <c r="T23" s="28"/>
      <c r="U23" s="28"/>
      <c r="V23" s="28"/>
      <c r="W23" s="28"/>
      <c r="X23" s="28"/>
      <c r="Y23" s="121"/>
      <c r="Z23" s="62"/>
      <c r="AA23" s="63"/>
      <c r="AB23" s="62"/>
      <c r="AC23" s="63"/>
      <c r="AD23" s="69"/>
      <c r="AE23" s="69"/>
      <c r="AF23" s="65"/>
      <c r="AG23" s="69"/>
      <c r="AH23" s="69"/>
      <c r="AI23" s="64"/>
      <c r="AJ23" s="69"/>
      <c r="AK23" s="65"/>
      <c r="AL23" s="28"/>
      <c r="AM23" s="28"/>
      <c r="AN23" s="28"/>
      <c r="AO23" s="28"/>
      <c r="AP23" s="28"/>
      <c r="AQ23" s="28"/>
      <c r="AR23" s="28"/>
      <c r="AS23" s="63"/>
      <c r="AT23" s="64"/>
      <c r="AU23" s="63"/>
      <c r="AV23" s="65"/>
      <c r="AW23" s="65"/>
      <c r="AX23" s="65"/>
      <c r="AY23" s="31"/>
      <c r="AZ23" s="33"/>
      <c r="BA23" s="46"/>
      <c r="BB23" s="78"/>
      <c r="BC23" s="34"/>
      <c r="BD23" s="28"/>
    </row>
    <row r="24" spans="1:59" ht="5.15" customHeight="1">
      <c r="A24" s="22"/>
      <c r="B24" s="202"/>
      <c r="C24" s="296"/>
      <c r="D24" s="72"/>
      <c r="E24" s="72"/>
      <c r="F24" s="72"/>
      <c r="G24" s="72"/>
      <c r="H24" s="297"/>
      <c r="I24" s="278"/>
      <c r="J24" s="279"/>
      <c r="K24" s="278"/>
      <c r="L24" s="279"/>
      <c r="M24" s="298"/>
      <c r="N24" s="298"/>
      <c r="O24" s="263"/>
      <c r="P24" s="298"/>
      <c r="Q24" s="263"/>
      <c r="R24" s="298"/>
      <c r="S24" s="281"/>
      <c r="T24" s="72"/>
      <c r="U24" s="72"/>
      <c r="V24" s="72"/>
      <c r="W24" s="72"/>
      <c r="X24" s="72"/>
      <c r="Y24" s="297"/>
      <c r="Z24" s="278"/>
      <c r="AA24" s="279"/>
      <c r="AB24" s="278"/>
      <c r="AC24" s="279"/>
      <c r="AD24" s="298"/>
      <c r="AE24" s="298"/>
      <c r="AF24" s="263"/>
      <c r="AG24" s="298"/>
      <c r="AH24" s="298"/>
      <c r="AI24" s="280"/>
      <c r="AJ24" s="298"/>
      <c r="AK24" s="263"/>
      <c r="AL24" s="72"/>
      <c r="AM24" s="72"/>
      <c r="AN24" s="72"/>
      <c r="AO24" s="72"/>
      <c r="AP24" s="72"/>
      <c r="AQ24" s="72"/>
      <c r="AR24" s="72"/>
      <c r="AS24" s="279"/>
      <c r="AT24" s="280"/>
      <c r="AU24" s="279"/>
      <c r="AV24" s="263"/>
      <c r="AW24" s="263"/>
      <c r="AX24" s="263"/>
      <c r="AY24" s="265"/>
      <c r="AZ24" s="33"/>
      <c r="BA24" s="46"/>
      <c r="BB24" s="78"/>
      <c r="BC24" s="34"/>
      <c r="BD24" s="28"/>
    </row>
    <row r="25" spans="1:59" ht="13.5" customHeight="1">
      <c r="A25" s="22"/>
      <c r="B25" s="45"/>
      <c r="C25" s="266" t="s">
        <v>108</v>
      </c>
      <c r="D25" s="28"/>
      <c r="E25" s="28"/>
      <c r="F25" s="28"/>
      <c r="G25" s="28"/>
      <c r="H25" s="58"/>
      <c r="I25" s="59"/>
      <c r="J25" s="59"/>
      <c r="K25" s="59"/>
      <c r="L25" s="60"/>
      <c r="M25" s="59"/>
      <c r="N25" s="70"/>
      <c r="O25" s="94" t="s">
        <v>109</v>
      </c>
      <c r="Q25" s="64"/>
      <c r="R25" s="63"/>
      <c r="S25" s="35"/>
      <c r="T25" s="28" t="s">
        <v>118</v>
      </c>
      <c r="U25" s="28"/>
      <c r="V25" s="28"/>
      <c r="W25" s="28"/>
      <c r="Y25" s="58"/>
      <c r="Z25" s="59"/>
      <c r="AA25" s="59"/>
      <c r="AB25" s="59"/>
      <c r="AC25" s="60"/>
      <c r="AD25" s="59"/>
      <c r="AE25" s="61"/>
      <c r="AF25" s="70"/>
      <c r="AG25" s="94" t="s">
        <v>111</v>
      </c>
      <c r="AH25" s="28"/>
      <c r="AI25" s="28"/>
      <c r="AJ25" s="35"/>
      <c r="AK25" s="28" t="s">
        <v>112</v>
      </c>
      <c r="AL25" s="28"/>
      <c r="AM25" s="28"/>
      <c r="AN25" s="28"/>
      <c r="AO25" s="35"/>
      <c r="AP25" s="54"/>
      <c r="AQ25" s="55"/>
      <c r="AR25" s="55"/>
      <c r="AS25" s="55"/>
      <c r="AT25" s="56"/>
      <c r="AU25" s="55"/>
      <c r="AV25" s="57"/>
      <c r="AW25" s="66"/>
      <c r="AX25" s="94" t="s">
        <v>113</v>
      </c>
      <c r="AY25" s="283"/>
      <c r="AZ25" s="33"/>
      <c r="BA25" s="46"/>
      <c r="BB25" s="78"/>
      <c r="BC25" s="34"/>
      <c r="BD25" s="28"/>
      <c r="BE25" s="35"/>
      <c r="BF25" s="35"/>
      <c r="BG25" s="35"/>
    </row>
    <row r="26" spans="1:59" ht="13.5" customHeight="1">
      <c r="A26" s="22"/>
      <c r="B26" s="45"/>
      <c r="C26" s="282" t="s">
        <v>110</v>
      </c>
      <c r="D26" s="28"/>
      <c r="E26" s="28"/>
      <c r="F26" s="28"/>
      <c r="H26" s="58"/>
      <c r="I26" s="59"/>
      <c r="J26" s="59"/>
      <c r="K26" s="59"/>
      <c r="L26" s="60"/>
      <c r="M26" s="59"/>
      <c r="N26" s="61"/>
      <c r="O26" s="61"/>
      <c r="P26" s="70"/>
      <c r="Q26" s="64"/>
      <c r="R26" s="28" t="s">
        <v>114</v>
      </c>
      <c r="S26" s="35"/>
      <c r="T26" s="35"/>
      <c r="U26" s="28"/>
      <c r="V26" s="28"/>
      <c r="W26" s="28"/>
      <c r="Y26" s="58"/>
      <c r="Z26" s="59"/>
      <c r="AA26" s="59"/>
      <c r="AB26" s="59"/>
      <c r="AC26" s="60"/>
      <c r="AD26" s="59"/>
      <c r="AE26" s="61"/>
      <c r="AF26" s="61"/>
      <c r="AG26" s="70"/>
      <c r="AH26" s="28"/>
      <c r="AI26" s="28"/>
      <c r="AJ26" s="35"/>
      <c r="AK26" s="28"/>
      <c r="AL26" s="28"/>
      <c r="AM26" s="28"/>
      <c r="AN26" s="28"/>
      <c r="AO26" s="35"/>
      <c r="AP26" s="102"/>
      <c r="AQ26" s="103"/>
      <c r="AR26" s="103"/>
      <c r="AS26" s="103"/>
      <c r="AT26" s="102"/>
      <c r="AU26" s="104"/>
      <c r="AV26" s="102"/>
      <c r="AW26" s="103"/>
      <c r="AX26" s="63"/>
      <c r="AY26" s="283"/>
      <c r="AZ26" s="33"/>
      <c r="BA26" s="46"/>
      <c r="BB26" s="78"/>
      <c r="BC26" s="34"/>
      <c r="BD26" s="28"/>
      <c r="BE26" s="35"/>
      <c r="BF26" s="35"/>
      <c r="BG26" s="35"/>
    </row>
    <row r="27" spans="1:59" ht="14.15" customHeight="1">
      <c r="A27" s="22"/>
      <c r="B27" s="256"/>
      <c r="C27" s="284" t="s">
        <v>116</v>
      </c>
      <c r="F27" s="285"/>
      <c r="G27" s="285"/>
      <c r="H27" s="98" t="s">
        <v>121</v>
      </c>
      <c r="I27" s="257"/>
      <c r="J27" s="258"/>
      <c r="K27" s="258"/>
      <c r="L27" s="258"/>
      <c r="M27" s="259"/>
      <c r="N27" s="258"/>
      <c r="O27" s="110"/>
      <c r="P27" s="260" t="s">
        <v>32</v>
      </c>
      <c r="R27" s="130"/>
      <c r="S27" s="35"/>
      <c r="T27" s="285" t="s">
        <v>119</v>
      </c>
      <c r="U27" s="35"/>
      <c r="V27" s="285"/>
      <c r="W27" s="285"/>
      <c r="X27" s="285"/>
      <c r="Y27" s="98" t="s">
        <v>122</v>
      </c>
      <c r="Z27" s="257"/>
      <c r="AA27" s="258"/>
      <c r="AB27" s="258"/>
      <c r="AC27" s="258"/>
      <c r="AD27" s="259"/>
      <c r="AE27" s="258"/>
      <c r="AF27" s="110"/>
      <c r="AG27" s="261" t="s">
        <v>32</v>
      </c>
      <c r="AH27" s="35"/>
      <c r="AI27" s="35"/>
      <c r="AJ27" s="35"/>
      <c r="AK27" s="285" t="s">
        <v>120</v>
      </c>
      <c r="AL27" s="35"/>
      <c r="AM27" s="285"/>
      <c r="AN27" s="35"/>
      <c r="AO27" s="35"/>
      <c r="AP27" s="98" t="s">
        <v>115</v>
      </c>
      <c r="AQ27" s="257"/>
      <c r="AR27" s="258"/>
      <c r="AS27" s="258"/>
      <c r="AT27" s="258"/>
      <c r="AU27" s="259"/>
      <c r="AV27" s="110"/>
      <c r="AW27" s="37"/>
      <c r="AX27" s="262" t="s">
        <v>32</v>
      </c>
      <c r="AY27" s="286"/>
      <c r="AZ27" s="33"/>
      <c r="BA27" s="46"/>
      <c r="BB27" s="78"/>
      <c r="BC27" s="34"/>
      <c r="BD27" s="35"/>
      <c r="BE27" s="35"/>
      <c r="BF27" s="35"/>
      <c r="BG27" s="35"/>
    </row>
    <row r="28" spans="1:59" ht="13.5" customHeight="1">
      <c r="A28" s="22"/>
      <c r="B28" s="45"/>
      <c r="C28" s="282" t="s">
        <v>124</v>
      </c>
      <c r="D28" s="28"/>
      <c r="E28" s="28"/>
      <c r="F28" s="28"/>
      <c r="H28" s="58"/>
      <c r="I28" s="59"/>
      <c r="J28" s="59"/>
      <c r="K28" s="59"/>
      <c r="L28" s="60"/>
      <c r="M28" s="59"/>
      <c r="N28" s="61"/>
      <c r="O28" s="61"/>
      <c r="P28" s="70"/>
      <c r="Q28" s="64"/>
      <c r="R28" s="28"/>
      <c r="S28" s="35"/>
      <c r="T28" s="28" t="s">
        <v>129</v>
      </c>
      <c r="U28" s="28"/>
      <c r="V28" s="28"/>
      <c r="W28" s="28"/>
      <c r="Y28" s="58"/>
      <c r="Z28" s="59"/>
      <c r="AA28" s="59"/>
      <c r="AB28" s="59"/>
      <c r="AC28" s="60"/>
      <c r="AD28" s="59"/>
      <c r="AE28" s="61"/>
      <c r="AF28" s="61"/>
      <c r="AG28" s="94" t="s">
        <v>128</v>
      </c>
      <c r="AH28" s="28"/>
      <c r="AI28" s="28"/>
      <c r="AJ28" s="35"/>
      <c r="AK28" s="28" t="s">
        <v>117</v>
      </c>
      <c r="AL28" s="28"/>
      <c r="AM28" s="28"/>
      <c r="AN28" s="28"/>
      <c r="AO28" s="35"/>
      <c r="AP28" s="58"/>
      <c r="AQ28" s="59"/>
      <c r="AR28" s="59"/>
      <c r="AS28" s="59"/>
      <c r="AT28" s="60"/>
      <c r="AU28" s="59"/>
      <c r="AV28" s="61"/>
      <c r="AW28" s="61"/>
      <c r="AX28" s="260" t="s">
        <v>32</v>
      </c>
      <c r="AY28" s="283"/>
      <c r="AZ28" s="33"/>
      <c r="BA28" s="46"/>
      <c r="BB28" s="78"/>
      <c r="BC28" s="34"/>
      <c r="BD28" s="28"/>
      <c r="BE28" s="35"/>
      <c r="BF28" s="35"/>
      <c r="BG28" s="35"/>
    </row>
    <row r="29" spans="1:59" ht="13.5" customHeight="1">
      <c r="A29" s="22"/>
      <c r="B29" s="32"/>
      <c r="C29" s="287" t="s">
        <v>123</v>
      </c>
      <c r="D29" s="41"/>
      <c r="E29" s="41"/>
      <c r="F29" s="41"/>
      <c r="G29" s="41"/>
      <c r="H29" s="163"/>
      <c r="I29" s="164"/>
      <c r="J29" s="165"/>
      <c r="K29" s="164"/>
      <c r="L29" s="165"/>
      <c r="M29" s="164"/>
      <c r="N29" s="166"/>
      <c r="O29" s="164"/>
      <c r="P29" s="165"/>
      <c r="Q29" s="165"/>
      <c r="R29" s="165"/>
      <c r="S29" s="167"/>
      <c r="T29" s="167"/>
      <c r="U29" s="167"/>
      <c r="V29" s="167"/>
      <c r="W29" s="167"/>
      <c r="X29" s="166"/>
      <c r="Y29" s="167"/>
      <c r="Z29" s="165"/>
      <c r="AA29" s="166"/>
      <c r="AB29" s="167"/>
      <c r="AC29" s="165"/>
      <c r="AD29" s="166"/>
      <c r="AE29" s="165"/>
      <c r="AF29" s="165"/>
      <c r="AG29" s="166"/>
      <c r="AH29" s="165"/>
      <c r="AI29" s="165"/>
      <c r="AJ29" s="168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0" t="s">
        <v>36</v>
      </c>
      <c r="AY29" s="283"/>
      <c r="AZ29" s="33"/>
      <c r="BA29" s="46"/>
      <c r="BB29" s="78"/>
      <c r="BC29" s="34"/>
      <c r="BD29" s="28"/>
      <c r="BE29" s="35"/>
      <c r="BF29" s="35"/>
      <c r="BG29" s="35"/>
    </row>
    <row r="30" spans="1:59" ht="13.5" customHeight="1">
      <c r="A30" s="22"/>
      <c r="B30" s="32"/>
      <c r="C30" s="287"/>
      <c r="D30" s="41"/>
      <c r="E30" s="41"/>
      <c r="F30" s="41"/>
      <c r="G30" s="41"/>
      <c r="H30" s="169"/>
      <c r="I30" s="170"/>
      <c r="J30" s="171"/>
      <c r="K30" s="170"/>
      <c r="L30" s="171"/>
      <c r="M30" s="170"/>
      <c r="N30" s="172"/>
      <c r="O30" s="170"/>
      <c r="P30" s="171"/>
      <c r="Q30" s="171"/>
      <c r="R30" s="171"/>
      <c r="S30" s="173"/>
      <c r="T30" s="173"/>
      <c r="U30" s="173"/>
      <c r="V30" s="173"/>
      <c r="W30" s="173"/>
      <c r="X30" s="172"/>
      <c r="Y30" s="173"/>
      <c r="Z30" s="171"/>
      <c r="AA30" s="172"/>
      <c r="AB30" s="173"/>
      <c r="AC30" s="171"/>
      <c r="AD30" s="172"/>
      <c r="AE30" s="171"/>
      <c r="AF30" s="171"/>
      <c r="AG30" s="172"/>
      <c r="AH30" s="171"/>
      <c r="AI30" s="171"/>
      <c r="AJ30" s="174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22" t="s">
        <v>32</v>
      </c>
      <c r="AY30" s="283"/>
      <c r="AZ30" s="33"/>
      <c r="BA30" s="46"/>
      <c r="BB30" s="78"/>
      <c r="BC30" s="34"/>
      <c r="BD30" s="28"/>
      <c r="BE30" s="35"/>
      <c r="BF30" s="35"/>
      <c r="BG30" s="35"/>
    </row>
    <row r="31" spans="1:59" ht="13.5" customHeight="1">
      <c r="A31" s="22"/>
      <c r="B31" s="32"/>
      <c r="C31" s="287" t="s">
        <v>125</v>
      </c>
      <c r="D31" s="41"/>
      <c r="E31" s="41"/>
      <c r="F31" s="41"/>
      <c r="G31" s="41"/>
      <c r="H31" s="163" t="s">
        <v>170</v>
      </c>
      <c r="I31" s="164"/>
      <c r="J31" s="165"/>
      <c r="K31" s="164"/>
      <c r="L31" s="165"/>
      <c r="M31" s="164"/>
      <c r="N31" s="166"/>
      <c r="O31" s="164"/>
      <c r="P31" s="165"/>
      <c r="Q31" s="165"/>
      <c r="R31" s="165"/>
      <c r="S31" s="167"/>
      <c r="T31" s="167"/>
      <c r="U31" s="167"/>
      <c r="V31" s="167"/>
      <c r="W31" s="167"/>
      <c r="X31" s="166"/>
      <c r="Y31" s="167"/>
      <c r="Z31" s="165"/>
      <c r="AA31" s="166"/>
      <c r="AB31" s="167"/>
      <c r="AC31" s="165"/>
      <c r="AD31" s="166"/>
      <c r="AE31" s="165"/>
      <c r="AF31" s="165"/>
      <c r="AG31" s="166"/>
      <c r="AH31" s="165"/>
      <c r="AI31" s="165"/>
      <c r="AJ31" s="168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0" t="s">
        <v>36</v>
      </c>
      <c r="AY31" s="283"/>
      <c r="AZ31" s="33"/>
      <c r="BA31" s="46"/>
      <c r="BB31" s="78"/>
      <c r="BC31" s="34"/>
      <c r="BD31" s="28"/>
      <c r="BE31" s="35"/>
      <c r="BF31" s="35"/>
      <c r="BG31" s="35"/>
    </row>
    <row r="32" spans="1:59" ht="13.5" customHeight="1">
      <c r="A32" s="22"/>
      <c r="B32" s="32"/>
      <c r="C32" s="287"/>
      <c r="D32" s="41"/>
      <c r="E32" s="41"/>
      <c r="F32" s="41"/>
      <c r="G32" s="41"/>
      <c r="H32" s="169"/>
      <c r="I32" s="170"/>
      <c r="J32" s="171"/>
      <c r="K32" s="170"/>
      <c r="L32" s="171"/>
      <c r="M32" s="170"/>
      <c r="N32" s="172"/>
      <c r="O32" s="170"/>
      <c r="P32" s="171"/>
      <c r="Q32" s="171"/>
      <c r="R32" s="171"/>
      <c r="S32" s="173"/>
      <c r="T32" s="173"/>
      <c r="U32" s="173"/>
      <c r="V32" s="173"/>
      <c r="W32" s="173"/>
      <c r="X32" s="172"/>
      <c r="Y32" s="173"/>
      <c r="Z32" s="171"/>
      <c r="AA32" s="172"/>
      <c r="AB32" s="173"/>
      <c r="AC32" s="171"/>
      <c r="AD32" s="172"/>
      <c r="AE32" s="171"/>
      <c r="AF32" s="171"/>
      <c r="AG32" s="172"/>
      <c r="AH32" s="171"/>
      <c r="AI32" s="171"/>
      <c r="AJ32" s="174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22" t="s">
        <v>32</v>
      </c>
      <c r="AY32" s="283"/>
      <c r="AZ32" s="33"/>
      <c r="BA32" s="46"/>
      <c r="BB32" s="78"/>
      <c r="BC32" s="34"/>
      <c r="BD32" s="28"/>
      <c r="BE32" s="35"/>
      <c r="BF32" s="35"/>
      <c r="BG32" s="35"/>
    </row>
    <row r="33" spans="1:62" ht="13.5" customHeight="1">
      <c r="A33" s="22"/>
      <c r="B33" s="32"/>
      <c r="C33" s="287" t="s">
        <v>126</v>
      </c>
      <c r="D33" s="41"/>
      <c r="E33" s="41"/>
      <c r="F33" s="41"/>
      <c r="G33" s="41"/>
      <c r="H33" s="163"/>
      <c r="I33" s="164"/>
      <c r="J33" s="165"/>
      <c r="K33" s="164"/>
      <c r="L33" s="165"/>
      <c r="M33" s="164"/>
      <c r="N33" s="166"/>
      <c r="O33" s="164"/>
      <c r="P33" s="165"/>
      <c r="Q33" s="165"/>
      <c r="R33" s="165"/>
      <c r="S33" s="167"/>
      <c r="T33" s="167"/>
      <c r="U33" s="167"/>
      <c r="V33" s="167"/>
      <c r="W33" s="167"/>
      <c r="X33" s="166"/>
      <c r="Y33" s="167"/>
      <c r="Z33" s="165"/>
      <c r="AA33" s="166"/>
      <c r="AB33" s="167"/>
      <c r="AC33" s="165"/>
      <c r="AD33" s="166"/>
      <c r="AE33" s="165"/>
      <c r="AF33" s="165"/>
      <c r="AG33" s="166"/>
      <c r="AH33" s="165"/>
      <c r="AI33" s="165"/>
      <c r="AJ33" s="168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0" t="s">
        <v>36</v>
      </c>
      <c r="AY33" s="283"/>
      <c r="AZ33" s="33"/>
      <c r="BA33" s="46"/>
      <c r="BB33" s="78"/>
      <c r="BC33" s="34"/>
      <c r="BD33" s="28"/>
      <c r="BE33" s="35"/>
      <c r="BF33" s="35"/>
      <c r="BG33" s="35"/>
    </row>
    <row r="34" spans="1:62" ht="13.5" customHeight="1">
      <c r="A34" s="22"/>
      <c r="B34" s="32"/>
      <c r="C34" s="287"/>
      <c r="D34" s="41"/>
      <c r="E34" s="41"/>
      <c r="F34" s="41"/>
      <c r="G34" s="41"/>
      <c r="H34" s="169"/>
      <c r="I34" s="170"/>
      <c r="J34" s="171"/>
      <c r="K34" s="170"/>
      <c r="L34" s="171"/>
      <c r="M34" s="170"/>
      <c r="N34" s="172"/>
      <c r="O34" s="170"/>
      <c r="P34" s="171"/>
      <c r="Q34" s="171"/>
      <c r="R34" s="171"/>
      <c r="S34" s="173"/>
      <c r="T34" s="173"/>
      <c r="U34" s="173"/>
      <c r="V34" s="173"/>
      <c r="W34" s="173"/>
      <c r="X34" s="172"/>
      <c r="Y34" s="173"/>
      <c r="Z34" s="171"/>
      <c r="AA34" s="172"/>
      <c r="AB34" s="173"/>
      <c r="AC34" s="171"/>
      <c r="AD34" s="172"/>
      <c r="AE34" s="171"/>
      <c r="AF34" s="171"/>
      <c r="AG34" s="172"/>
      <c r="AH34" s="171"/>
      <c r="AI34" s="171"/>
      <c r="AJ34" s="174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22" t="s">
        <v>32</v>
      </c>
      <c r="AY34" s="283"/>
      <c r="AZ34" s="33"/>
      <c r="BA34" s="46"/>
      <c r="BB34" s="78"/>
      <c r="BC34" s="34"/>
      <c r="BD34" s="28"/>
      <c r="BE34" s="35"/>
      <c r="BF34" s="35"/>
      <c r="BG34" s="35"/>
    </row>
    <row r="35" spans="1:62" ht="5.15" customHeight="1">
      <c r="A35" s="22"/>
      <c r="B35" s="32"/>
      <c r="C35" s="288"/>
      <c r="D35" s="289"/>
      <c r="E35" s="289"/>
      <c r="F35" s="289"/>
      <c r="G35" s="289"/>
      <c r="H35" s="290"/>
      <c r="I35" s="290"/>
      <c r="J35" s="291"/>
      <c r="K35" s="290"/>
      <c r="L35" s="291"/>
      <c r="M35" s="290"/>
      <c r="N35" s="292"/>
      <c r="O35" s="290"/>
      <c r="P35" s="291"/>
      <c r="Q35" s="291"/>
      <c r="R35" s="291"/>
      <c r="S35" s="293"/>
      <c r="T35" s="293"/>
      <c r="U35" s="293"/>
      <c r="V35" s="293"/>
      <c r="W35" s="293"/>
      <c r="X35" s="292"/>
      <c r="Y35" s="293"/>
      <c r="Z35" s="291"/>
      <c r="AA35" s="292"/>
      <c r="AB35" s="293"/>
      <c r="AC35" s="291"/>
      <c r="AD35" s="292"/>
      <c r="AE35" s="291"/>
      <c r="AF35" s="291"/>
      <c r="AG35" s="292"/>
      <c r="AH35" s="291"/>
      <c r="AI35" s="291"/>
      <c r="AJ35" s="294"/>
      <c r="AK35" s="291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291"/>
      <c r="AX35" s="276"/>
      <c r="AY35" s="295"/>
      <c r="AZ35" s="33"/>
      <c r="BA35" s="46"/>
      <c r="BB35" s="78"/>
      <c r="BC35" s="34"/>
      <c r="BD35" s="28"/>
      <c r="BE35" s="35"/>
      <c r="BF35" s="35"/>
      <c r="BG35" s="35"/>
    </row>
    <row r="36" spans="1:62" ht="13.5" customHeight="1">
      <c r="A36" s="22"/>
      <c r="B36" s="202">
        <v>4</v>
      </c>
      <c r="C36" s="43"/>
      <c r="D36" s="31"/>
      <c r="E36" s="31"/>
      <c r="F36" s="31"/>
      <c r="G36" s="31"/>
      <c r="H36" s="62"/>
      <c r="I36" s="63"/>
      <c r="J36" s="63"/>
      <c r="K36" s="63"/>
      <c r="L36" s="64"/>
      <c r="M36" s="63"/>
      <c r="N36" s="65"/>
      <c r="O36" s="65"/>
      <c r="P36" s="65"/>
      <c r="Q36" s="65"/>
      <c r="R36" s="65"/>
      <c r="S36" s="75"/>
      <c r="T36" s="63"/>
      <c r="U36" s="63"/>
      <c r="V36" s="63"/>
      <c r="W36" s="63"/>
      <c r="X36" s="62"/>
      <c r="Y36" s="63"/>
      <c r="Z36" s="63"/>
      <c r="AA36" s="63"/>
      <c r="AB36" s="64"/>
      <c r="AC36" s="63"/>
      <c r="AD36" s="65"/>
      <c r="AE36" s="65"/>
      <c r="AF36" s="65"/>
      <c r="AG36" s="65"/>
      <c r="AH36" s="65"/>
      <c r="AI36" s="75"/>
      <c r="AJ36" s="63"/>
      <c r="AK36" s="63"/>
      <c r="AL36" s="63"/>
      <c r="AM36" s="63"/>
      <c r="AN36" s="125"/>
      <c r="AO36" s="62"/>
      <c r="AP36" s="62"/>
      <c r="AQ36" s="63"/>
      <c r="AR36" s="63"/>
      <c r="AS36" s="63"/>
      <c r="AT36" s="64"/>
      <c r="AU36" s="63"/>
      <c r="AV36" s="65"/>
      <c r="AW36" s="65"/>
      <c r="AX36" s="65"/>
      <c r="AY36" s="31"/>
      <c r="AZ36" s="33"/>
      <c r="BA36" s="46"/>
      <c r="BB36" s="78"/>
      <c r="BC36" s="34"/>
      <c r="BD36" s="35"/>
      <c r="BE36" s="35"/>
      <c r="BF36" s="35"/>
      <c r="BG36" s="35"/>
    </row>
    <row r="37" spans="1:62" ht="13.5" customHeight="1">
      <c r="A37" s="22"/>
      <c r="B37" s="202">
        <v>5</v>
      </c>
      <c r="C37" s="204" t="s">
        <v>62</v>
      </c>
      <c r="D37" s="28"/>
      <c r="E37" s="28"/>
      <c r="F37" s="28"/>
      <c r="G37" s="28"/>
      <c r="H37" s="121"/>
      <c r="I37" s="62"/>
      <c r="J37" s="63"/>
      <c r="K37" s="62"/>
      <c r="L37" s="63"/>
      <c r="M37" s="69"/>
      <c r="N37" s="69"/>
      <c r="O37" s="65"/>
      <c r="P37" s="69"/>
      <c r="Q37" s="65"/>
      <c r="R37" s="69"/>
      <c r="S37" s="28"/>
      <c r="T37" s="28"/>
      <c r="U37" s="28"/>
      <c r="V37" s="28"/>
      <c r="W37" s="28"/>
      <c r="X37" s="121"/>
      <c r="Y37" s="62"/>
      <c r="Z37" s="63"/>
      <c r="AA37" s="62"/>
      <c r="AB37" s="63"/>
      <c r="AC37" s="69"/>
      <c r="AD37" s="69"/>
      <c r="AE37" s="65"/>
      <c r="AF37" s="69"/>
      <c r="AG37" s="65"/>
      <c r="AH37" s="69"/>
      <c r="AI37" s="64"/>
      <c r="AJ37" s="69"/>
      <c r="AK37" s="65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33" t="s">
        <v>71</v>
      </c>
      <c r="AW37" s="28"/>
      <c r="AX37" s="28"/>
      <c r="AY37" s="31"/>
      <c r="AZ37" s="33"/>
      <c r="BA37" s="46"/>
      <c r="BB37" s="159"/>
      <c r="BC37" s="115"/>
      <c r="BD37" s="28"/>
    </row>
    <row r="38" spans="1:62" ht="5.15" customHeight="1">
      <c r="A38" s="22"/>
      <c r="B38" s="202"/>
      <c r="C38" s="296"/>
      <c r="D38" s="72"/>
      <c r="E38" s="72"/>
      <c r="F38" s="72"/>
      <c r="G38" s="72"/>
      <c r="H38" s="297"/>
      <c r="I38" s="278"/>
      <c r="J38" s="279"/>
      <c r="K38" s="278"/>
      <c r="L38" s="279"/>
      <c r="M38" s="298"/>
      <c r="N38" s="298"/>
      <c r="O38" s="263"/>
      <c r="P38" s="298"/>
      <c r="Q38" s="263"/>
      <c r="R38" s="298"/>
      <c r="S38" s="72"/>
      <c r="T38" s="72"/>
      <c r="U38" s="72"/>
      <c r="V38" s="72"/>
      <c r="W38" s="72"/>
      <c r="X38" s="297"/>
      <c r="Y38" s="278"/>
      <c r="Z38" s="279"/>
      <c r="AA38" s="278"/>
      <c r="AB38" s="279"/>
      <c r="AC38" s="298"/>
      <c r="AD38" s="298"/>
      <c r="AE38" s="263"/>
      <c r="AF38" s="298"/>
      <c r="AG38" s="263"/>
      <c r="AH38" s="298"/>
      <c r="AI38" s="280"/>
      <c r="AJ38" s="298"/>
      <c r="AK38" s="263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300"/>
      <c r="AW38" s="72"/>
      <c r="AX38" s="72"/>
      <c r="AY38" s="264"/>
      <c r="AZ38" s="264"/>
      <c r="BA38" s="301"/>
      <c r="BB38" s="302"/>
      <c r="BC38" s="303"/>
      <c r="BD38" s="28"/>
    </row>
    <row r="39" spans="1:62" ht="13.5" customHeight="1">
      <c r="A39" s="22"/>
      <c r="B39" s="45"/>
      <c r="C39" s="266"/>
      <c r="D39" s="28" t="s">
        <v>286</v>
      </c>
      <c r="E39" s="28"/>
      <c r="F39" s="28"/>
      <c r="G39" s="28"/>
      <c r="H39" s="86" t="s">
        <v>127</v>
      </c>
      <c r="I39" s="86"/>
      <c r="J39" s="86"/>
      <c r="K39" s="86"/>
      <c r="L39" s="86"/>
      <c r="M39" s="322"/>
      <c r="N39" s="87"/>
      <c r="O39" s="88"/>
      <c r="P39" s="88"/>
      <c r="Q39" s="89"/>
      <c r="R39" s="87"/>
      <c r="S39" s="87"/>
      <c r="T39" s="87"/>
      <c r="U39" s="88"/>
      <c r="V39" s="89"/>
      <c r="W39" s="87"/>
      <c r="X39" s="65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65"/>
      <c r="AY39" s="31"/>
      <c r="AZ39" s="52"/>
      <c r="BA39" s="93"/>
      <c r="BB39" s="327"/>
      <c r="BC39" s="328"/>
      <c r="BD39" s="28"/>
      <c r="BE39" s="35"/>
      <c r="BF39" s="35"/>
      <c r="BG39" s="35"/>
    </row>
    <row r="40" spans="1:62" ht="13.5" customHeight="1">
      <c r="A40" s="22"/>
      <c r="B40" s="202">
        <v>6</v>
      </c>
      <c r="C40" s="304" t="s">
        <v>31</v>
      </c>
      <c r="D40" s="205" t="s">
        <v>63</v>
      </c>
      <c r="E40" s="206"/>
      <c r="F40" s="206"/>
      <c r="G40" s="207"/>
      <c r="H40" s="208" t="s">
        <v>72</v>
      </c>
      <c r="I40" s="209"/>
      <c r="J40" s="209"/>
      <c r="K40" s="209"/>
      <c r="L40" s="206"/>
      <c r="M40" s="207"/>
      <c r="N40" s="205" t="s">
        <v>73</v>
      </c>
      <c r="O40" s="206"/>
      <c r="P40" s="206"/>
      <c r="Q40" s="207"/>
      <c r="R40" s="205" t="s">
        <v>74</v>
      </c>
      <c r="S40" s="206"/>
      <c r="T40" s="206"/>
      <c r="U40" s="206"/>
      <c r="V40" s="210" t="s">
        <v>86</v>
      </c>
      <c r="W40" s="211"/>
      <c r="X40" s="211"/>
      <c r="Y40" s="212"/>
      <c r="Z40" s="211" t="s">
        <v>88</v>
      </c>
      <c r="AA40" s="211"/>
      <c r="AB40" s="211"/>
      <c r="AC40" s="212"/>
      <c r="AD40" s="211" t="s">
        <v>75</v>
      </c>
      <c r="AE40" s="211"/>
      <c r="AF40" s="211"/>
      <c r="AG40" s="212"/>
      <c r="AH40" s="210" t="s">
        <v>276</v>
      </c>
      <c r="AI40" s="211"/>
      <c r="AJ40" s="211"/>
      <c r="AK40" s="211"/>
      <c r="AL40" s="212"/>
      <c r="AM40" s="210" t="s">
        <v>104</v>
      </c>
      <c r="AN40" s="211"/>
      <c r="AO40" s="211"/>
      <c r="AP40" s="211"/>
      <c r="AQ40" s="210" t="s">
        <v>82</v>
      </c>
      <c r="AR40" s="211"/>
      <c r="AS40" s="211"/>
      <c r="AT40" s="212"/>
      <c r="AU40" s="211" t="s">
        <v>84</v>
      </c>
      <c r="AV40" s="211"/>
      <c r="AW40" s="212"/>
      <c r="AX40" s="305" t="s">
        <v>85</v>
      </c>
      <c r="AY40" s="211"/>
      <c r="AZ40" s="211"/>
      <c r="BA40" s="212"/>
      <c r="BB40" s="211" t="s">
        <v>68</v>
      </c>
      <c r="BC40" s="211"/>
      <c r="BD40" s="211"/>
      <c r="BE40" s="212"/>
      <c r="BH40" s="28"/>
      <c r="BI40" s="28"/>
      <c r="BJ40" s="28"/>
    </row>
    <row r="41" spans="1:62" ht="13.5" customHeight="1">
      <c r="A41" s="22"/>
      <c r="B41" s="202">
        <v>7</v>
      </c>
      <c r="C41" s="306"/>
      <c r="D41" s="213" t="s">
        <v>29</v>
      </c>
      <c r="E41" s="216"/>
      <c r="F41" s="214"/>
      <c r="G41" s="215"/>
      <c r="H41" s="213" t="s">
        <v>29</v>
      </c>
      <c r="I41" s="216"/>
      <c r="J41" s="216"/>
      <c r="K41" s="216"/>
      <c r="L41" s="214"/>
      <c r="M41" s="215"/>
      <c r="N41" s="213"/>
      <c r="O41" s="214"/>
      <c r="P41" s="214"/>
      <c r="Q41" s="215"/>
      <c r="R41" s="213" t="s">
        <v>29</v>
      </c>
      <c r="S41" s="216"/>
      <c r="T41" s="214"/>
      <c r="U41" s="214"/>
      <c r="V41" s="217" t="s">
        <v>87</v>
      </c>
      <c r="W41" s="218"/>
      <c r="X41" s="219"/>
      <c r="Y41" s="220"/>
      <c r="Z41" s="218" t="s">
        <v>42</v>
      </c>
      <c r="AA41" s="218"/>
      <c r="AB41" s="219"/>
      <c r="AC41" s="220"/>
      <c r="AD41" s="218" t="s">
        <v>42</v>
      </c>
      <c r="AE41" s="218"/>
      <c r="AF41" s="219"/>
      <c r="AG41" s="220"/>
      <c r="AH41" s="217" t="s">
        <v>29</v>
      </c>
      <c r="AI41" s="218"/>
      <c r="AJ41" s="218"/>
      <c r="AK41" s="219"/>
      <c r="AL41" s="220"/>
      <c r="AM41" s="217" t="s">
        <v>42</v>
      </c>
      <c r="AN41" s="218"/>
      <c r="AO41" s="219"/>
      <c r="AP41" s="219"/>
      <c r="AQ41" s="217" t="s">
        <v>42</v>
      </c>
      <c r="AR41" s="218"/>
      <c r="AS41" s="219"/>
      <c r="AT41" s="220"/>
      <c r="AU41" s="218" t="s">
        <v>42</v>
      </c>
      <c r="AV41" s="218"/>
      <c r="AW41" s="220"/>
      <c r="AX41" s="307" t="s">
        <v>42</v>
      </c>
      <c r="AY41" s="218"/>
      <c r="AZ41" s="219"/>
      <c r="BA41" s="220"/>
      <c r="BB41" s="218" t="s">
        <v>42</v>
      </c>
      <c r="BC41" s="218"/>
      <c r="BD41" s="219"/>
      <c r="BE41" s="220"/>
      <c r="BH41" s="28"/>
      <c r="BI41" s="28"/>
      <c r="BJ41" s="28"/>
    </row>
    <row r="42" spans="1:62" ht="13.5" customHeight="1">
      <c r="A42" s="22"/>
      <c r="B42" s="202">
        <v>8</v>
      </c>
      <c r="C42" s="308">
        <v>1</v>
      </c>
      <c r="D42" s="148" t="s">
        <v>134</v>
      </c>
      <c r="E42" s="149"/>
      <c r="F42" s="149"/>
      <c r="G42" s="151"/>
      <c r="H42" s="242" t="s">
        <v>136</v>
      </c>
      <c r="I42" s="150"/>
      <c r="J42" s="150"/>
      <c r="K42" s="150"/>
      <c r="L42" s="161"/>
      <c r="M42" s="162"/>
      <c r="N42" s="242" t="s">
        <v>91</v>
      </c>
      <c r="O42" s="150"/>
      <c r="P42" s="150"/>
      <c r="Q42" s="99" t="s">
        <v>32</v>
      </c>
      <c r="R42" s="999">
        <v>1000</v>
      </c>
      <c r="S42" s="1000"/>
      <c r="T42" s="1000"/>
      <c r="U42" s="1001"/>
      <c r="V42" s="988">
        <v>980</v>
      </c>
      <c r="W42" s="997"/>
      <c r="X42" s="997"/>
      <c r="Y42" s="998"/>
      <c r="Z42" s="988">
        <v>1610</v>
      </c>
      <c r="AA42" s="997"/>
      <c r="AB42" s="997"/>
      <c r="AC42" s="998"/>
      <c r="AD42" s="988">
        <v>1035</v>
      </c>
      <c r="AE42" s="997"/>
      <c r="AF42" s="997"/>
      <c r="AG42" s="998"/>
      <c r="AH42" s="988">
        <v>510.27</v>
      </c>
      <c r="AI42" s="997"/>
      <c r="AJ42" s="997"/>
      <c r="AK42" s="997"/>
      <c r="AL42" s="998"/>
      <c r="AM42" s="988">
        <v>796.03</v>
      </c>
      <c r="AN42" s="997"/>
      <c r="AO42" s="997"/>
      <c r="AP42" s="998"/>
      <c r="AQ42" s="988"/>
      <c r="AR42" s="997"/>
      <c r="AS42" s="997"/>
      <c r="AT42" s="998"/>
      <c r="AU42" s="985">
        <v>64.7</v>
      </c>
      <c r="AV42" s="986"/>
      <c r="AW42" s="987"/>
      <c r="AX42" s="309" t="s">
        <v>139</v>
      </c>
      <c r="AY42" s="150"/>
      <c r="AZ42" s="150"/>
      <c r="BA42" s="152"/>
      <c r="BB42" s="149" t="s">
        <v>29</v>
      </c>
      <c r="BC42" s="150"/>
      <c r="BD42" s="150"/>
      <c r="BE42" s="152"/>
      <c r="BH42" s="28"/>
      <c r="BI42" s="28"/>
      <c r="BJ42" s="28"/>
    </row>
    <row r="43" spans="1:62" ht="13.5" customHeight="1">
      <c r="A43" s="22"/>
      <c r="B43" s="202">
        <v>9</v>
      </c>
      <c r="C43" s="308">
        <v>2</v>
      </c>
      <c r="D43" s="148" t="s">
        <v>135</v>
      </c>
      <c r="E43" s="149"/>
      <c r="F43" s="149"/>
      <c r="G43" s="151"/>
      <c r="H43" s="242" t="s">
        <v>137</v>
      </c>
      <c r="I43" s="150"/>
      <c r="J43" s="150"/>
      <c r="K43" s="150"/>
      <c r="L43" s="161"/>
      <c r="M43" s="162"/>
      <c r="N43" s="242" t="s">
        <v>91</v>
      </c>
      <c r="O43" s="150"/>
      <c r="P43" s="150"/>
      <c r="Q43" s="99" t="s">
        <v>32</v>
      </c>
      <c r="R43" s="999">
        <v>500</v>
      </c>
      <c r="S43" s="1000"/>
      <c r="T43" s="1000"/>
      <c r="U43" s="1001"/>
      <c r="V43" s="988">
        <v>500</v>
      </c>
      <c r="W43" s="997"/>
      <c r="X43" s="997"/>
      <c r="Y43" s="998"/>
      <c r="Z43" s="988">
        <v>794</v>
      </c>
      <c r="AA43" s="997"/>
      <c r="AB43" s="997"/>
      <c r="AC43" s="998"/>
      <c r="AD43" s="988">
        <v>630</v>
      </c>
      <c r="AE43" s="997"/>
      <c r="AF43" s="997"/>
      <c r="AG43" s="998"/>
      <c r="AH43" s="988">
        <v>247.92</v>
      </c>
      <c r="AI43" s="997"/>
      <c r="AJ43" s="997"/>
      <c r="AK43" s="997"/>
      <c r="AL43" s="998"/>
      <c r="AM43" s="988">
        <v>483.47</v>
      </c>
      <c r="AN43" s="997"/>
      <c r="AO43" s="997"/>
      <c r="AP43" s="998"/>
      <c r="AQ43" s="988"/>
      <c r="AR43" s="997"/>
      <c r="AS43" s="997"/>
      <c r="AT43" s="998"/>
      <c r="AU43" s="985">
        <v>39.4</v>
      </c>
      <c r="AV43" s="986"/>
      <c r="AW43" s="987"/>
      <c r="AX43" s="309" t="s">
        <v>139</v>
      </c>
      <c r="AY43" s="150"/>
      <c r="AZ43" s="150"/>
      <c r="BA43" s="152"/>
      <c r="BB43" s="149" t="s">
        <v>29</v>
      </c>
      <c r="BC43" s="150"/>
      <c r="BD43" s="150"/>
      <c r="BE43" s="152"/>
      <c r="BH43" s="28"/>
      <c r="BI43" s="28"/>
      <c r="BJ43" s="28"/>
    </row>
    <row r="44" spans="1:62" ht="13.5" customHeight="1">
      <c r="A44" s="22"/>
      <c r="B44" s="202">
        <v>10</v>
      </c>
      <c r="C44" s="310"/>
      <c r="D44" s="65"/>
      <c r="E44" s="65"/>
      <c r="F44" s="65"/>
      <c r="G44" s="65"/>
      <c r="H44" s="65"/>
      <c r="I44" s="65"/>
      <c r="J44" s="65"/>
      <c r="K44" s="65"/>
      <c r="L44" s="65"/>
      <c r="M44" s="62"/>
      <c r="N44" s="63"/>
      <c r="O44" s="65"/>
      <c r="P44" s="65"/>
      <c r="Q44" s="64"/>
      <c r="R44" s="63"/>
      <c r="S44" s="190"/>
      <c r="T44" s="190"/>
      <c r="U44" s="191"/>
      <c r="V44" s="192"/>
      <c r="W44" s="190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31"/>
      <c r="BA44" s="35"/>
      <c r="BB44" s="35"/>
      <c r="BC44" s="311"/>
      <c r="BD44" s="28"/>
    </row>
    <row r="45" spans="1:62" ht="13.5" customHeight="1">
      <c r="A45" s="22"/>
      <c r="B45" s="202">
        <v>11</v>
      </c>
      <c r="C45" s="312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3"/>
      <c r="W45" s="63"/>
      <c r="X45" s="75"/>
      <c r="Y45" s="63"/>
      <c r="Z45" s="63"/>
      <c r="AA45" s="69"/>
      <c r="AB45" s="65"/>
      <c r="AC45" s="63"/>
      <c r="AD45" s="65"/>
      <c r="AE45" s="65"/>
      <c r="AF45" s="65"/>
      <c r="AG45" s="69"/>
      <c r="AH45" s="65"/>
      <c r="AI45" s="75"/>
      <c r="AJ45" s="63"/>
      <c r="AK45" s="63"/>
      <c r="AL45" s="63"/>
      <c r="AM45" s="63"/>
      <c r="AN45" s="125"/>
      <c r="AO45" s="62"/>
      <c r="AP45" s="62"/>
      <c r="AQ45" s="63"/>
      <c r="AR45" s="63"/>
      <c r="AS45" s="63"/>
      <c r="AT45" s="64"/>
      <c r="AU45" s="63"/>
      <c r="AV45" s="65"/>
      <c r="AW45" s="65"/>
      <c r="AX45" s="65"/>
      <c r="AY45" s="63"/>
      <c r="AZ45" s="31"/>
      <c r="BA45" s="35"/>
      <c r="BB45" s="35"/>
      <c r="BC45" s="311"/>
      <c r="BD45" s="28"/>
    </row>
    <row r="46" spans="1:62" ht="15.75" customHeight="1">
      <c r="A46" s="22"/>
      <c r="B46" s="202">
        <v>12</v>
      </c>
      <c r="C46" s="310"/>
      <c r="D46" s="65"/>
      <c r="E46" s="65"/>
      <c r="F46" s="65"/>
      <c r="G46" s="65"/>
      <c r="H46" s="65"/>
      <c r="I46" s="65"/>
      <c r="J46" s="65"/>
      <c r="K46" s="65"/>
      <c r="L46" s="65"/>
      <c r="M46" s="62"/>
      <c r="N46" s="65"/>
      <c r="O46" s="65"/>
      <c r="P46" s="63"/>
      <c r="Q46" s="64"/>
      <c r="R46" s="63"/>
      <c r="S46" s="63"/>
      <c r="T46" s="65"/>
      <c r="U46" s="63"/>
      <c r="V46" s="65"/>
      <c r="W46" s="63"/>
      <c r="X46" s="63"/>
      <c r="Y46" s="63"/>
      <c r="Z46" s="63"/>
      <c r="AA46" s="63"/>
      <c r="AB46" s="65"/>
      <c r="AC46" s="65"/>
      <c r="AD46" s="62"/>
      <c r="AE46" s="63"/>
      <c r="AF46" s="63"/>
      <c r="AG46" s="65"/>
      <c r="AH46" s="65"/>
      <c r="AI46" s="62"/>
      <c r="AJ46" s="63"/>
      <c r="AK46" s="65"/>
      <c r="AL46" s="63"/>
      <c r="AM46" s="63"/>
      <c r="AN46" s="126"/>
      <c r="AO46" s="65"/>
      <c r="AP46" s="65"/>
      <c r="AQ46" s="125"/>
      <c r="AR46" s="65"/>
      <c r="AS46" s="65"/>
      <c r="AT46" s="63"/>
      <c r="AU46" s="63"/>
      <c r="AV46" s="63"/>
      <c r="AW46" s="63"/>
      <c r="AX46" s="63"/>
      <c r="AY46" s="63"/>
      <c r="AZ46" s="31"/>
      <c r="BA46" s="35"/>
      <c r="BB46" s="35"/>
      <c r="BC46" s="311"/>
      <c r="BD46" s="28"/>
    </row>
    <row r="47" spans="1:62" ht="13.5" customHeight="1">
      <c r="A47" s="22"/>
      <c r="B47" s="202">
        <v>13</v>
      </c>
      <c r="C47" s="310"/>
      <c r="D47" s="65"/>
      <c r="E47" s="65"/>
      <c r="F47" s="65"/>
      <c r="G47" s="65"/>
      <c r="H47" s="84"/>
      <c r="I47" s="65"/>
      <c r="J47" s="65"/>
      <c r="K47" s="65"/>
      <c r="L47" s="65"/>
      <c r="M47" s="126"/>
      <c r="N47" s="65"/>
      <c r="O47" s="65"/>
      <c r="P47" s="65"/>
      <c r="Q47" s="198"/>
      <c r="R47" s="65"/>
      <c r="S47" s="63"/>
      <c r="T47" s="63"/>
      <c r="U47" s="63"/>
      <c r="V47" s="65"/>
      <c r="W47" s="84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126"/>
      <c r="AI47" s="65"/>
      <c r="AJ47" s="125"/>
      <c r="AK47" s="65"/>
      <c r="AL47" s="65"/>
      <c r="AM47" s="65"/>
      <c r="AN47" s="65"/>
      <c r="AO47" s="65"/>
      <c r="AP47" s="65"/>
      <c r="AQ47" s="125"/>
      <c r="AR47" s="65"/>
      <c r="AS47" s="125"/>
      <c r="AT47" s="64"/>
      <c r="AU47" s="63"/>
      <c r="AV47" s="65"/>
      <c r="AW47" s="65"/>
      <c r="AX47" s="65"/>
      <c r="AY47" s="63"/>
      <c r="AZ47" s="31"/>
      <c r="BA47" s="35"/>
      <c r="BB47" s="35"/>
      <c r="BC47" s="311"/>
      <c r="BD47" s="28"/>
    </row>
    <row r="48" spans="1:62" ht="13.5" customHeight="1">
      <c r="A48" s="22"/>
      <c r="B48" s="202">
        <v>14</v>
      </c>
      <c r="C48" s="312"/>
      <c r="D48" s="65"/>
      <c r="E48" s="65"/>
      <c r="F48" s="65"/>
      <c r="G48" s="65"/>
      <c r="H48" s="65"/>
      <c r="I48" s="65"/>
      <c r="J48" s="65"/>
      <c r="K48" s="198"/>
      <c r="L48" s="65"/>
      <c r="M48" s="65"/>
      <c r="N48" s="65"/>
      <c r="O48" s="65"/>
      <c r="P48" s="65"/>
      <c r="Q48" s="198"/>
      <c r="R48" s="65"/>
      <c r="S48" s="65"/>
      <c r="T48" s="65"/>
      <c r="U48" s="198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125"/>
      <c r="AK48" s="112"/>
      <c r="AL48" s="62"/>
      <c r="AM48" s="63"/>
      <c r="AN48" s="63"/>
      <c r="AO48" s="63"/>
      <c r="AP48" s="63"/>
      <c r="AQ48" s="64"/>
      <c r="AR48" s="63"/>
      <c r="AS48" s="65"/>
      <c r="AT48" s="65"/>
      <c r="AU48" s="65"/>
      <c r="AV48" s="65"/>
      <c r="AW48" s="65"/>
      <c r="AX48" s="65"/>
      <c r="AY48" s="63"/>
      <c r="AZ48" s="31"/>
      <c r="BA48" s="35"/>
      <c r="BB48" s="35"/>
      <c r="BC48" s="311"/>
      <c r="BD48" s="28"/>
    </row>
    <row r="49" spans="1:67" ht="13.5" customHeight="1">
      <c r="A49" s="22"/>
      <c r="B49" s="202">
        <v>15</v>
      </c>
      <c r="C49" s="313" t="s">
        <v>70</v>
      </c>
      <c r="D49" s="223"/>
      <c r="E49" s="224"/>
      <c r="F49" s="223"/>
      <c r="G49" s="224"/>
      <c r="H49" s="225"/>
      <c r="I49" s="226"/>
      <c r="J49" s="227"/>
      <c r="K49" s="227"/>
      <c r="L49" s="227"/>
      <c r="M49" s="228"/>
      <c r="N49" s="227"/>
      <c r="O49" s="227"/>
      <c r="P49" s="227"/>
      <c r="Q49" s="229"/>
      <c r="R49" s="227"/>
      <c r="S49" s="227"/>
      <c r="T49" s="227"/>
      <c r="U49" s="227"/>
      <c r="V49" s="227"/>
      <c r="W49" s="229"/>
      <c r="X49" s="227"/>
      <c r="Y49" s="227"/>
      <c r="Z49" s="227"/>
      <c r="AA49" s="229"/>
      <c r="AB49" s="227"/>
      <c r="AC49" s="227"/>
      <c r="AD49" s="227"/>
      <c r="AE49" s="227"/>
      <c r="AF49" s="227"/>
      <c r="AG49" s="232"/>
      <c r="AH49" s="227"/>
      <c r="AI49" s="227"/>
      <c r="AJ49" s="227"/>
      <c r="AK49" s="227"/>
      <c r="AL49" s="227"/>
      <c r="AM49" s="227"/>
      <c r="AN49" s="227"/>
      <c r="AO49" s="227"/>
      <c r="AP49" s="227"/>
      <c r="AQ49" s="230"/>
      <c r="AR49" s="227"/>
      <c r="AS49" s="230"/>
      <c r="AT49" s="227"/>
      <c r="AU49" s="227"/>
      <c r="AV49" s="227"/>
      <c r="AW49" s="227"/>
      <c r="AX49" s="227"/>
      <c r="AY49" s="224"/>
      <c r="AZ49" s="224"/>
      <c r="BA49" s="231"/>
      <c r="BB49" s="231"/>
      <c r="BC49" s="314"/>
      <c r="BD49" s="28"/>
    </row>
    <row r="50" spans="1:67" ht="13.5" customHeight="1">
      <c r="A50" s="22"/>
      <c r="B50" s="202">
        <v>16</v>
      </c>
      <c r="C50" s="310"/>
      <c r="D50" s="65"/>
      <c r="E50" s="65"/>
      <c r="F50" s="65"/>
      <c r="G50" s="65"/>
      <c r="H50" s="65"/>
      <c r="I50" s="65"/>
      <c r="J50" s="65"/>
      <c r="K50" s="65"/>
      <c r="L50" s="65"/>
      <c r="M50" s="62"/>
      <c r="N50" s="65"/>
      <c r="O50" s="65"/>
      <c r="P50" s="63"/>
      <c r="Q50" s="64"/>
      <c r="R50" s="63"/>
      <c r="S50" s="111"/>
      <c r="T50" s="112"/>
      <c r="U50" s="111"/>
      <c r="V50" s="112"/>
      <c r="W50" s="111"/>
      <c r="X50" s="111"/>
      <c r="Y50" s="111"/>
      <c r="Z50" s="111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3"/>
      <c r="AZ50" s="53"/>
      <c r="BA50" s="323"/>
      <c r="BB50" s="324"/>
      <c r="BC50" s="325"/>
      <c r="BD50" s="28"/>
    </row>
    <row r="51" spans="1:67" ht="13.5" customHeight="1">
      <c r="A51" s="22"/>
      <c r="B51" s="202">
        <v>17</v>
      </c>
      <c r="C51" s="310"/>
      <c r="D51" s="65"/>
      <c r="E51" s="65"/>
      <c r="F51" s="65"/>
      <c r="G51" s="65"/>
      <c r="H51" s="126"/>
      <c r="I51" s="65"/>
      <c r="J51" s="65"/>
      <c r="K51" s="65"/>
      <c r="L51" s="198"/>
      <c r="M51" s="65"/>
      <c r="N51" s="65"/>
      <c r="O51" s="65"/>
      <c r="P51" s="198"/>
      <c r="Q51" s="65"/>
      <c r="R51" s="65"/>
      <c r="S51" s="65"/>
      <c r="T51" s="198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12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3"/>
      <c r="AZ51" s="31"/>
      <c r="BA51" s="30"/>
      <c r="BB51" s="175"/>
      <c r="BC51" s="326"/>
      <c r="BD51" s="28"/>
    </row>
    <row r="52" spans="1:67" ht="5.15" customHeight="1">
      <c r="A52" s="22"/>
      <c r="B52" s="202"/>
      <c r="C52" s="315"/>
      <c r="D52" s="73"/>
      <c r="E52" s="73"/>
      <c r="F52" s="73"/>
      <c r="G52" s="73"/>
      <c r="H52" s="316"/>
      <c r="I52" s="275"/>
      <c r="J52" s="273"/>
      <c r="K52" s="275"/>
      <c r="L52" s="273"/>
      <c r="M52" s="317"/>
      <c r="N52" s="317"/>
      <c r="O52" s="270"/>
      <c r="P52" s="317"/>
      <c r="Q52" s="270"/>
      <c r="R52" s="317"/>
      <c r="S52" s="73"/>
      <c r="T52" s="73"/>
      <c r="U52" s="73"/>
      <c r="V52" s="73"/>
      <c r="W52" s="73"/>
      <c r="X52" s="316"/>
      <c r="Y52" s="275"/>
      <c r="Z52" s="273"/>
      <c r="AA52" s="275"/>
      <c r="AB52" s="273"/>
      <c r="AC52" s="317"/>
      <c r="AD52" s="317"/>
      <c r="AE52" s="270"/>
      <c r="AF52" s="317"/>
      <c r="AG52" s="270"/>
      <c r="AH52" s="317"/>
      <c r="AI52" s="276"/>
      <c r="AJ52" s="317"/>
      <c r="AK52" s="270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318"/>
      <c r="AW52" s="73"/>
      <c r="AX52" s="73"/>
      <c r="AY52" s="269"/>
      <c r="AZ52" s="269"/>
      <c r="BA52" s="319"/>
      <c r="BB52" s="320"/>
      <c r="BC52" s="321"/>
      <c r="BD52" s="28"/>
    </row>
    <row r="53" spans="1:67" ht="13.5" customHeight="1">
      <c r="A53" s="22"/>
      <c r="B53" s="202">
        <v>18</v>
      </c>
      <c r="C53" s="75"/>
      <c r="D53" s="63"/>
      <c r="E53" s="63"/>
      <c r="F53" s="63"/>
      <c r="G53" s="63"/>
      <c r="H53" s="69"/>
      <c r="I53" s="69"/>
      <c r="J53" s="65"/>
      <c r="K53" s="69"/>
      <c r="L53" s="65"/>
      <c r="M53" s="69"/>
      <c r="N53" s="64"/>
      <c r="O53" s="69"/>
      <c r="P53" s="65"/>
      <c r="Q53" s="65"/>
      <c r="R53" s="65"/>
      <c r="S53" s="63"/>
      <c r="T53" s="63"/>
      <c r="U53" s="63"/>
      <c r="V53" s="63"/>
      <c r="W53" s="63"/>
      <c r="X53" s="64"/>
      <c r="Y53" s="63"/>
      <c r="Z53" s="65"/>
      <c r="AA53" s="64"/>
      <c r="AB53" s="63"/>
      <c r="AC53" s="65"/>
      <c r="AD53" s="64"/>
      <c r="AE53" s="65"/>
      <c r="AF53" s="65"/>
      <c r="AG53" s="64"/>
      <c r="AH53" s="65"/>
      <c r="AI53" s="65"/>
      <c r="AJ53" s="126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3"/>
      <c r="AZ53" s="264"/>
      <c r="BA53" s="301"/>
      <c r="BB53" s="302"/>
      <c r="BC53" s="343"/>
      <c r="BD53" s="28"/>
    </row>
    <row r="54" spans="1:67" ht="13.5" customHeight="1">
      <c r="A54" s="22"/>
      <c r="B54" s="202">
        <v>20</v>
      </c>
      <c r="C54" s="204" t="s">
        <v>77</v>
      </c>
      <c r="D54" s="28"/>
      <c r="E54" s="28"/>
      <c r="F54" s="28"/>
      <c r="G54" s="28"/>
      <c r="H54" s="121"/>
      <c r="I54" s="62"/>
      <c r="J54" s="63"/>
      <c r="K54" s="62"/>
      <c r="L54" s="63"/>
      <c r="M54" s="69"/>
      <c r="N54" s="69"/>
      <c r="O54" s="65"/>
      <c r="P54" s="69"/>
      <c r="Q54" s="65"/>
      <c r="R54" s="69"/>
      <c r="S54" s="28"/>
      <c r="T54" s="28"/>
      <c r="U54" s="28"/>
      <c r="V54" s="28"/>
      <c r="W54" s="28"/>
      <c r="X54" s="121"/>
      <c r="Y54" s="62"/>
      <c r="Z54" s="63"/>
      <c r="AA54" s="62"/>
      <c r="AB54" s="63"/>
      <c r="AC54" s="69"/>
      <c r="AD54" s="69"/>
      <c r="AE54" s="65"/>
      <c r="AF54" s="69"/>
      <c r="AG54" s="65"/>
      <c r="AH54" s="69"/>
      <c r="AI54" s="64"/>
      <c r="AJ54" s="69"/>
      <c r="AK54" s="65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33" t="s">
        <v>71</v>
      </c>
      <c r="AW54" s="28"/>
      <c r="AX54" s="28"/>
      <c r="AY54" s="31"/>
      <c r="AZ54" s="269"/>
      <c r="BA54" s="319"/>
      <c r="BB54" s="320"/>
      <c r="BC54" s="344"/>
      <c r="BD54" s="28"/>
    </row>
    <row r="55" spans="1:67" ht="5.15" customHeight="1">
      <c r="A55" s="22"/>
      <c r="B55" s="202"/>
      <c r="C55" s="296"/>
      <c r="D55" s="72"/>
      <c r="E55" s="72"/>
      <c r="F55" s="72"/>
      <c r="G55" s="72"/>
      <c r="H55" s="297"/>
      <c r="I55" s="278"/>
      <c r="J55" s="279"/>
      <c r="K55" s="278"/>
      <c r="L55" s="279"/>
      <c r="M55" s="298"/>
      <c r="N55" s="298"/>
      <c r="O55" s="263"/>
      <c r="P55" s="298"/>
      <c r="Q55" s="263"/>
      <c r="R55" s="298"/>
      <c r="S55" s="72"/>
      <c r="T55" s="72"/>
      <c r="U55" s="72"/>
      <c r="V55" s="72"/>
      <c r="W55" s="72"/>
      <c r="X55" s="297"/>
      <c r="Y55" s="278"/>
      <c r="Z55" s="279"/>
      <c r="AA55" s="278"/>
      <c r="AB55" s="279"/>
      <c r="AC55" s="298"/>
      <c r="AD55" s="298"/>
      <c r="AE55" s="263"/>
      <c r="AF55" s="298"/>
      <c r="AG55" s="263"/>
      <c r="AH55" s="298"/>
      <c r="AI55" s="280"/>
      <c r="AJ55" s="298"/>
      <c r="AK55" s="263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300"/>
      <c r="AW55" s="72"/>
      <c r="AX55" s="72"/>
      <c r="AY55" s="264"/>
      <c r="AZ55" s="264"/>
      <c r="BA55" s="301"/>
      <c r="BB55" s="302"/>
      <c r="BC55" s="303"/>
      <c r="BD55" s="28"/>
    </row>
    <row r="56" spans="1:67" ht="13.5" customHeight="1">
      <c r="A56" s="22"/>
      <c r="B56" s="202">
        <v>21</v>
      </c>
      <c r="C56" s="304" t="s">
        <v>31</v>
      </c>
      <c r="D56" s="234" t="s">
        <v>258</v>
      </c>
      <c r="E56" s="235"/>
      <c r="F56" s="234" t="s">
        <v>63</v>
      </c>
      <c r="G56" s="235"/>
      <c r="H56" s="235"/>
      <c r="I56" s="236"/>
      <c r="J56" s="237" t="s">
        <v>33</v>
      </c>
      <c r="K56" s="238"/>
      <c r="L56" s="238"/>
      <c r="M56" s="238"/>
      <c r="N56" s="235"/>
      <c r="O56" s="236"/>
      <c r="P56" s="239" t="s">
        <v>66</v>
      </c>
      <c r="Q56" s="240"/>
      <c r="R56" s="240"/>
      <c r="S56" s="241"/>
      <c r="T56" s="234" t="s">
        <v>78</v>
      </c>
      <c r="U56" s="235"/>
      <c r="V56" s="235"/>
      <c r="W56" s="236"/>
      <c r="X56" s="234" t="s">
        <v>223</v>
      </c>
      <c r="Y56" s="235"/>
      <c r="Z56" s="235"/>
      <c r="AA56" s="235"/>
      <c r="AB56" s="239" t="s">
        <v>64</v>
      </c>
      <c r="AC56" s="240"/>
      <c r="AD56" s="240"/>
      <c r="AE56" s="240"/>
      <c r="AF56" s="241"/>
      <c r="AG56" s="240" t="s">
        <v>67</v>
      </c>
      <c r="AH56" s="240"/>
      <c r="AI56" s="240"/>
      <c r="AJ56" s="241"/>
      <c r="AK56" s="240" t="s">
        <v>65</v>
      </c>
      <c r="AL56" s="240"/>
      <c r="AM56" s="240"/>
      <c r="AN56" s="241"/>
      <c r="AO56" s="239" t="s">
        <v>140</v>
      </c>
      <c r="AP56" s="240"/>
      <c r="AQ56" s="240"/>
      <c r="AR56" s="241"/>
      <c r="AS56" s="239" t="s">
        <v>81</v>
      </c>
      <c r="AT56" s="240"/>
      <c r="AU56" s="240"/>
      <c r="AV56" s="240"/>
      <c r="AW56" s="239" t="s">
        <v>82</v>
      </c>
      <c r="AX56" s="240"/>
      <c r="AY56" s="240"/>
      <c r="AZ56" s="241"/>
      <c r="BA56" s="239" t="s">
        <v>83</v>
      </c>
      <c r="BB56" s="240"/>
      <c r="BC56" s="240"/>
      <c r="BD56" s="241"/>
      <c r="BE56" s="240" t="s">
        <v>84</v>
      </c>
      <c r="BF56" s="240"/>
      <c r="BG56" s="241"/>
      <c r="BH56" s="240" t="s">
        <v>85</v>
      </c>
      <c r="BI56" s="240"/>
      <c r="BJ56" s="240"/>
      <c r="BK56" s="241"/>
      <c r="BL56" s="240" t="s">
        <v>68</v>
      </c>
      <c r="BM56" s="240"/>
      <c r="BN56" s="240"/>
      <c r="BO56" s="241"/>
    </row>
    <row r="57" spans="1:67" ht="13.5" customHeight="1">
      <c r="A57" s="22"/>
      <c r="B57" s="202">
        <v>22</v>
      </c>
      <c r="C57" s="308">
        <v>1</v>
      </c>
      <c r="D57" s="148" t="str">
        <f>N42</f>
        <v>R</v>
      </c>
      <c r="E57" s="149"/>
      <c r="F57" s="148" t="str">
        <f>D42</f>
        <v>1250103874</v>
      </c>
      <c r="G57" s="149"/>
      <c r="H57" s="149"/>
      <c r="I57" s="151"/>
      <c r="J57" s="242" t="str">
        <f>H42</f>
        <v>HR25-9TP-16P(74)</v>
      </c>
      <c r="K57" s="150"/>
      <c r="L57" s="150"/>
      <c r="M57" s="150"/>
      <c r="N57" s="161"/>
      <c r="O57" s="162"/>
      <c r="P57" s="148" t="s">
        <v>143</v>
      </c>
      <c r="Q57" s="150"/>
      <c r="R57" s="150"/>
      <c r="S57" s="162"/>
      <c r="T57" s="999">
        <f>R42</f>
        <v>1000</v>
      </c>
      <c r="U57" s="1000"/>
      <c r="V57" s="1000"/>
      <c r="W57" s="1001"/>
      <c r="X57" s="1009">
        <f>AH42</f>
        <v>510.27</v>
      </c>
      <c r="Y57" s="1010"/>
      <c r="Z57" s="1010"/>
      <c r="AA57" s="1011"/>
      <c r="AB57" s="1009">
        <f>V42</f>
        <v>980</v>
      </c>
      <c r="AC57" s="1010"/>
      <c r="AD57" s="1010"/>
      <c r="AE57" s="1010"/>
      <c r="AF57" s="1011"/>
      <c r="AG57" s="1009">
        <f>Z42</f>
        <v>1610</v>
      </c>
      <c r="AH57" s="1010"/>
      <c r="AI57" s="1010"/>
      <c r="AJ57" s="1011"/>
      <c r="AK57" s="1009">
        <f>AD42</f>
        <v>1035</v>
      </c>
      <c r="AL57" s="1010"/>
      <c r="AM57" s="1010"/>
      <c r="AN57" s="1011"/>
      <c r="AO57" s="994">
        <f>AD42/AM42-1</f>
        <v>0.30020225368390641</v>
      </c>
      <c r="AP57" s="995"/>
      <c r="AQ57" s="995"/>
      <c r="AR57" s="996"/>
      <c r="AS57" s="991">
        <f>(AK57-AG57)/AG57</f>
        <v>-0.35714285714285715</v>
      </c>
      <c r="AT57" s="992"/>
      <c r="AU57" s="992"/>
      <c r="AV57" s="993"/>
      <c r="AW57" s="148"/>
      <c r="AX57" s="150"/>
      <c r="AY57" s="150"/>
      <c r="AZ57" s="162"/>
      <c r="BA57" s="994" t="str">
        <f>IFERROR(1-(AD42/AQ42),"")</f>
        <v/>
      </c>
      <c r="BB57" s="995"/>
      <c r="BC57" s="995"/>
      <c r="BD57" s="996"/>
      <c r="BE57" s="985">
        <f>AU42</f>
        <v>64.7</v>
      </c>
      <c r="BF57" s="986"/>
      <c r="BG57" s="987"/>
      <c r="BH57" s="149" t="str">
        <f>AX42</f>
        <v>サンウー</v>
      </c>
      <c r="BI57" s="150"/>
      <c r="BJ57" s="150"/>
      <c r="BK57" s="152"/>
      <c r="BL57" s="149" t="s">
        <v>29</v>
      </c>
      <c r="BM57" s="150"/>
      <c r="BN57" s="150"/>
      <c r="BO57" s="152"/>
    </row>
    <row r="58" spans="1:67" ht="13.5" customHeight="1">
      <c r="A58" s="22"/>
      <c r="B58" s="202">
        <v>23</v>
      </c>
      <c r="C58" s="308">
        <v>2</v>
      </c>
      <c r="D58" s="148" t="str">
        <f>N43</f>
        <v>R</v>
      </c>
      <c r="E58" s="149"/>
      <c r="F58" s="148" t="str">
        <f>D43</f>
        <v>1250109471</v>
      </c>
      <c r="G58" s="149"/>
      <c r="H58" s="149"/>
      <c r="I58" s="151"/>
      <c r="J58" s="242" t="str">
        <f>H43</f>
        <v>HR25-9TR-16S(71)</v>
      </c>
      <c r="K58" s="150"/>
      <c r="L58" s="150"/>
      <c r="M58" s="150"/>
      <c r="N58" s="161"/>
      <c r="O58" s="162"/>
      <c r="P58" s="148" t="s">
        <v>143</v>
      </c>
      <c r="Q58" s="150"/>
      <c r="R58" s="150"/>
      <c r="S58" s="162"/>
      <c r="T58" s="999">
        <f>R43</f>
        <v>500</v>
      </c>
      <c r="U58" s="1000"/>
      <c r="V58" s="1000"/>
      <c r="W58" s="1001"/>
      <c r="X58" s="1009">
        <f>AH43</f>
        <v>247.92</v>
      </c>
      <c r="Y58" s="1010"/>
      <c r="Z58" s="1010"/>
      <c r="AA58" s="1011"/>
      <c r="AB58" s="1009">
        <f>V43</f>
        <v>500</v>
      </c>
      <c r="AC58" s="1010"/>
      <c r="AD58" s="1010"/>
      <c r="AE58" s="1010"/>
      <c r="AF58" s="1011"/>
      <c r="AG58" s="1009">
        <f>Z43</f>
        <v>794</v>
      </c>
      <c r="AH58" s="1010"/>
      <c r="AI58" s="1010"/>
      <c r="AJ58" s="1011"/>
      <c r="AK58" s="1009">
        <f>AD43</f>
        <v>630</v>
      </c>
      <c r="AL58" s="1010"/>
      <c r="AM58" s="1010"/>
      <c r="AN58" s="1011"/>
      <c r="AO58" s="994">
        <f>AD43/AM43-1</f>
        <v>0.3030798188098538</v>
      </c>
      <c r="AP58" s="995"/>
      <c r="AQ58" s="995"/>
      <c r="AR58" s="996"/>
      <c r="AS58" s="991">
        <f>(AK58-AG58)/AG58</f>
        <v>-0.20654911838790932</v>
      </c>
      <c r="AT58" s="992"/>
      <c r="AU58" s="992"/>
      <c r="AV58" s="993"/>
      <c r="AW58" s="148"/>
      <c r="AX58" s="150"/>
      <c r="AY58" s="150"/>
      <c r="AZ58" s="162"/>
      <c r="BA58" s="994" t="str">
        <f>IFERROR(1-(AD43/AQ43),"")</f>
        <v/>
      </c>
      <c r="BB58" s="995"/>
      <c r="BC58" s="995"/>
      <c r="BD58" s="996"/>
      <c r="BE58" s="985">
        <f>AU43</f>
        <v>39.4</v>
      </c>
      <c r="BF58" s="986"/>
      <c r="BG58" s="987"/>
      <c r="BH58" s="149" t="str">
        <f>AX43</f>
        <v>サンウー</v>
      </c>
      <c r="BI58" s="150"/>
      <c r="BJ58" s="150"/>
      <c r="BK58" s="152"/>
      <c r="BL58" s="149" t="s">
        <v>29</v>
      </c>
      <c r="BM58" s="150"/>
      <c r="BN58" s="150"/>
      <c r="BO58" s="152"/>
    </row>
    <row r="59" spans="1:67" ht="13.5" customHeight="1">
      <c r="A59" s="22"/>
      <c r="B59" s="202">
        <v>20</v>
      </c>
      <c r="C59" s="337" t="s">
        <v>279</v>
      </c>
      <c r="D59" s="28"/>
      <c r="E59" s="28"/>
      <c r="F59" s="28"/>
      <c r="G59" s="28"/>
      <c r="H59" s="121"/>
      <c r="I59" s="62"/>
      <c r="J59" s="63"/>
      <c r="K59" s="62"/>
      <c r="L59" s="63"/>
      <c r="M59" s="69"/>
      <c r="N59" s="69"/>
      <c r="O59" s="65"/>
      <c r="P59" s="69"/>
      <c r="Q59" s="65"/>
      <c r="R59" s="69"/>
      <c r="S59" s="28"/>
      <c r="T59" s="28"/>
      <c r="U59" s="28"/>
      <c r="V59" s="28"/>
      <c r="W59" s="28"/>
      <c r="X59" s="121"/>
      <c r="Y59" s="62"/>
      <c r="Z59" s="63"/>
      <c r="AA59" s="62"/>
      <c r="AB59" s="63"/>
      <c r="AC59" s="69"/>
      <c r="AD59" s="69"/>
      <c r="AE59" s="65"/>
      <c r="AF59" s="69"/>
      <c r="AG59" s="65"/>
      <c r="AH59" s="69"/>
      <c r="AI59" s="64"/>
      <c r="AJ59" s="69"/>
      <c r="AK59" s="65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33"/>
      <c r="AW59" s="28"/>
      <c r="AX59" s="28"/>
      <c r="AY59" s="31"/>
      <c r="AZ59" s="95"/>
      <c r="BA59" s="92"/>
      <c r="BB59" s="329"/>
      <c r="BC59" s="338"/>
      <c r="BD59" s="37"/>
      <c r="BE59" s="37"/>
    </row>
    <row r="60" spans="1:67" ht="13.5" customHeight="1">
      <c r="A60" s="22"/>
      <c r="B60" s="202">
        <v>24</v>
      </c>
      <c r="C60" s="304"/>
      <c r="D60" s="502" t="s">
        <v>278</v>
      </c>
      <c r="E60" s="503"/>
      <c r="F60" s="504" t="s">
        <v>29</v>
      </c>
      <c r="G60" s="503"/>
      <c r="H60" s="503"/>
      <c r="I60" s="505"/>
      <c r="J60" s="504" t="s">
        <v>29</v>
      </c>
      <c r="K60" s="506"/>
      <c r="L60" s="506"/>
      <c r="M60" s="506"/>
      <c r="N60" s="503"/>
      <c r="O60" s="505"/>
      <c r="P60" s="507"/>
      <c r="Q60" s="508"/>
      <c r="R60" s="508"/>
      <c r="S60" s="509"/>
      <c r="T60" s="502"/>
      <c r="U60" s="503"/>
      <c r="V60" s="503"/>
      <c r="W60" s="505"/>
      <c r="X60" s="508"/>
      <c r="Y60" s="503"/>
      <c r="Z60" s="503"/>
      <c r="AA60" s="503"/>
      <c r="AB60" s="507" t="s">
        <v>97</v>
      </c>
      <c r="AC60" s="508"/>
      <c r="AD60" s="508"/>
      <c r="AE60" s="508"/>
      <c r="AF60" s="509"/>
      <c r="AG60" s="510" t="s">
        <v>144</v>
      </c>
      <c r="AH60" s="508"/>
      <c r="AI60" s="508"/>
      <c r="AJ60" s="509"/>
      <c r="AK60" s="510" t="s">
        <v>141</v>
      </c>
      <c r="AL60" s="508"/>
      <c r="AM60" s="508"/>
      <c r="AN60" s="509"/>
      <c r="AO60" s="507" t="s">
        <v>142</v>
      </c>
      <c r="AP60" s="508"/>
      <c r="AQ60" s="508"/>
      <c r="AR60" s="509"/>
      <c r="AS60" s="507" t="s">
        <v>81</v>
      </c>
      <c r="AT60" s="508"/>
      <c r="AU60" s="508"/>
      <c r="AV60" s="508"/>
      <c r="AW60" s="507" t="s">
        <v>99</v>
      </c>
      <c r="AX60" s="508"/>
      <c r="AY60" s="508"/>
      <c r="AZ60" s="509"/>
      <c r="BA60" s="507" t="s">
        <v>100</v>
      </c>
      <c r="BB60" s="508"/>
      <c r="BC60" s="508"/>
      <c r="BD60" s="509"/>
      <c r="BE60" s="513" t="s">
        <v>29</v>
      </c>
      <c r="BF60" s="508"/>
      <c r="BG60" s="509"/>
      <c r="BH60" s="508"/>
      <c r="BI60" s="508"/>
      <c r="BJ60" s="508"/>
      <c r="BK60" s="509"/>
      <c r="BL60" s="513" t="s">
        <v>29</v>
      </c>
      <c r="BM60" s="508"/>
      <c r="BN60" s="508"/>
      <c r="BO60" s="509"/>
    </row>
    <row r="61" spans="1:67" ht="13.5" customHeight="1">
      <c r="A61" s="22"/>
      <c r="B61" s="202">
        <v>25</v>
      </c>
      <c r="C61" s="308">
        <v>1</v>
      </c>
      <c r="D61" s="148" t="s">
        <v>91</v>
      </c>
      <c r="E61" s="149"/>
      <c r="F61" s="148" t="s">
        <v>29</v>
      </c>
      <c r="G61" s="149"/>
      <c r="H61" s="149"/>
      <c r="I61" s="151"/>
      <c r="J61" s="221" t="s">
        <v>29</v>
      </c>
      <c r="K61" s="222"/>
      <c r="L61" s="222"/>
      <c r="M61" s="222"/>
      <c r="N61" s="161"/>
      <c r="O61" s="162"/>
      <c r="P61" s="148"/>
      <c r="Q61" s="150"/>
      <c r="R61" s="150"/>
      <c r="S61" s="162"/>
      <c r="T61" s="119"/>
      <c r="U61" s="120"/>
      <c r="V61" s="120"/>
      <c r="W61" s="162"/>
      <c r="X61" s="988"/>
      <c r="Y61" s="989"/>
      <c r="Z61" s="989"/>
      <c r="AA61" s="990"/>
      <c r="AB61" s="1005">
        <f>SUMPRODUCT($T$57:$W$58,$AK$57:$AN$58)</f>
        <v>1350000</v>
      </c>
      <c r="AC61" s="1006"/>
      <c r="AD61" s="1006"/>
      <c r="AE61" s="1006"/>
      <c r="AF61" s="1007"/>
      <c r="AG61" s="976">
        <f>SUM(AM$42:AP$43)</f>
        <v>1279.5</v>
      </c>
      <c r="AH61" s="977"/>
      <c r="AI61" s="977"/>
      <c r="AJ61" s="978"/>
      <c r="AK61" s="976">
        <f>$AB61-SUMPRODUCT($R$42:$U$43,$AM$42:$AP$43)</f>
        <v>312235</v>
      </c>
      <c r="AL61" s="977"/>
      <c r="AM61" s="977"/>
      <c r="AN61" s="978"/>
      <c r="AO61" s="979">
        <f>$AK61/($AB61-$AK61)</f>
        <v>0.30087254821660009</v>
      </c>
      <c r="AP61" s="980"/>
      <c r="AQ61" s="980"/>
      <c r="AR61" s="981"/>
      <c r="AS61" s="979">
        <f>AW61/($AB61-AW61)</f>
        <v>-0.3273542600896861</v>
      </c>
      <c r="AT61" s="980"/>
      <c r="AU61" s="980"/>
      <c r="AV61" s="981"/>
      <c r="AW61" s="982">
        <f>$T$57*($AK$57-$AG$57)+$T$58*($AK$58-$AG$58)</f>
        <v>-657000</v>
      </c>
      <c r="AX61" s="983"/>
      <c r="AY61" s="983"/>
      <c r="AZ61" s="984"/>
      <c r="BA61" s="970">
        <f>SUMPRODUCT($T$57:$W$58,$AG$57:$AJ$58)</f>
        <v>2007000</v>
      </c>
      <c r="BB61" s="971"/>
      <c r="BC61" s="971"/>
      <c r="BD61" s="972"/>
      <c r="BE61" s="149" t="s">
        <v>29</v>
      </c>
      <c r="BF61" s="150"/>
      <c r="BG61" s="152"/>
      <c r="BH61" s="149" t="s">
        <v>29</v>
      </c>
      <c r="BI61" s="150"/>
      <c r="BJ61" s="150"/>
      <c r="BK61" s="152"/>
      <c r="BL61" s="149" t="s">
        <v>29</v>
      </c>
      <c r="BM61" s="150"/>
      <c r="BN61" s="150"/>
      <c r="BO61" s="152"/>
    </row>
    <row r="62" spans="1:67" ht="13.5" customHeight="1">
      <c r="A62" s="22"/>
      <c r="B62" s="202">
        <v>20</v>
      </c>
      <c r="C62" s="337" t="s">
        <v>277</v>
      </c>
      <c r="D62" s="28"/>
      <c r="E62" s="28"/>
      <c r="F62" s="28"/>
      <c r="G62" s="28"/>
      <c r="H62" s="121"/>
      <c r="I62" s="62"/>
      <c r="J62" s="63"/>
      <c r="K62" s="62"/>
      <c r="L62" s="63"/>
      <c r="M62" s="69"/>
      <c r="N62" s="69"/>
      <c r="O62" s="65"/>
      <c r="P62" s="69"/>
      <c r="Q62" s="65"/>
      <c r="R62" s="69"/>
      <c r="S62" s="28"/>
      <c r="T62" s="28"/>
      <c r="U62" s="28"/>
      <c r="V62" s="28"/>
      <c r="W62" s="28"/>
      <c r="X62" s="121"/>
      <c r="Y62" s="62"/>
      <c r="Z62" s="63"/>
      <c r="AA62" s="62"/>
      <c r="AB62" s="63"/>
      <c r="AC62" s="69"/>
      <c r="AD62" s="69"/>
      <c r="AE62" s="65"/>
      <c r="AF62" s="69"/>
      <c r="AG62" s="65"/>
      <c r="AH62" s="69"/>
      <c r="AI62" s="64"/>
      <c r="AJ62" s="69"/>
      <c r="AK62" s="65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33"/>
      <c r="AW62" s="28"/>
      <c r="AX62" s="28"/>
      <c r="AY62" s="31"/>
      <c r="AZ62" s="95"/>
      <c r="BA62" s="92"/>
      <c r="BB62" s="329"/>
      <c r="BC62" s="338"/>
      <c r="BD62" s="37"/>
      <c r="BE62" s="37"/>
    </row>
    <row r="63" spans="1:67" ht="13.5" customHeight="1">
      <c r="A63" s="22"/>
      <c r="B63" s="202">
        <v>24</v>
      </c>
      <c r="C63" s="304"/>
      <c r="D63" s="243"/>
      <c r="E63" s="244"/>
      <c r="F63" s="243"/>
      <c r="G63" s="244"/>
      <c r="H63" s="244"/>
      <c r="I63" s="245"/>
      <c r="J63" s="246" t="s">
        <v>29</v>
      </c>
      <c r="K63" s="247"/>
      <c r="L63" s="247"/>
      <c r="M63" s="247"/>
      <c r="N63" s="244"/>
      <c r="O63" s="245"/>
      <c r="P63" s="248"/>
      <c r="Q63" s="249"/>
      <c r="R63" s="249"/>
      <c r="S63" s="250"/>
      <c r="T63" s="243"/>
      <c r="U63" s="244"/>
      <c r="V63" s="244"/>
      <c r="W63" s="245"/>
      <c r="X63" s="249"/>
      <c r="Y63" s="244"/>
      <c r="Z63" s="244"/>
      <c r="AA63" s="244"/>
      <c r="AB63" s="248" t="s">
        <v>97</v>
      </c>
      <c r="AC63" s="249"/>
      <c r="AD63" s="249"/>
      <c r="AE63" s="249"/>
      <c r="AF63" s="250"/>
      <c r="AG63" s="330" t="s">
        <v>144</v>
      </c>
      <c r="AH63" s="249"/>
      <c r="AI63" s="249"/>
      <c r="AJ63" s="250"/>
      <c r="AK63" s="330" t="s">
        <v>141</v>
      </c>
      <c r="AL63" s="249"/>
      <c r="AM63" s="249"/>
      <c r="AN63" s="250"/>
      <c r="AO63" s="248" t="s">
        <v>142</v>
      </c>
      <c r="AP63" s="249"/>
      <c r="AQ63" s="249"/>
      <c r="AR63" s="250"/>
      <c r="AS63" s="248" t="s">
        <v>81</v>
      </c>
      <c r="AT63" s="249"/>
      <c r="AU63" s="249"/>
      <c r="AV63" s="249"/>
      <c r="AW63" s="248" t="s">
        <v>99</v>
      </c>
      <c r="AX63" s="249"/>
      <c r="AY63" s="249"/>
      <c r="AZ63" s="250"/>
      <c r="BA63" s="248" t="s">
        <v>100</v>
      </c>
      <c r="BB63" s="249"/>
      <c r="BC63" s="249"/>
      <c r="BD63" s="250"/>
      <c r="BE63" s="251" t="s">
        <v>29</v>
      </c>
      <c r="BF63" s="249"/>
      <c r="BG63" s="250"/>
      <c r="BH63" s="249"/>
      <c r="BI63" s="249"/>
      <c r="BJ63" s="249"/>
      <c r="BK63" s="250"/>
      <c r="BL63" s="251" t="s">
        <v>29</v>
      </c>
      <c r="BM63" s="249"/>
      <c r="BN63" s="249"/>
      <c r="BO63" s="250"/>
    </row>
    <row r="64" spans="1:67" ht="13.5" customHeight="1">
      <c r="A64" s="22"/>
      <c r="B64" s="202">
        <v>25</v>
      </c>
      <c r="C64" s="308"/>
      <c r="D64" s="148"/>
      <c r="E64" s="149"/>
      <c r="F64" s="148"/>
      <c r="G64" s="149"/>
      <c r="H64" s="149"/>
      <c r="I64" s="151"/>
      <c r="J64" s="221"/>
      <c r="K64" s="222"/>
      <c r="L64" s="222"/>
      <c r="M64" s="222"/>
      <c r="N64" s="161"/>
      <c r="O64" s="162"/>
      <c r="P64" s="148"/>
      <c r="Q64" s="150"/>
      <c r="R64" s="150"/>
      <c r="S64" s="162"/>
      <c r="T64" s="119"/>
      <c r="U64" s="120"/>
      <c r="V64" s="120"/>
      <c r="W64" s="162"/>
      <c r="X64" s="988"/>
      <c r="Y64" s="989"/>
      <c r="Z64" s="989"/>
      <c r="AA64" s="990"/>
      <c r="AB64" s="1005">
        <f>SUMPRODUCT($T$57:$W$58,$AK$57:$AN$58)</f>
        <v>1350000</v>
      </c>
      <c r="AC64" s="1006"/>
      <c r="AD64" s="1006"/>
      <c r="AE64" s="1006"/>
      <c r="AF64" s="1007"/>
      <c r="AG64" s="976">
        <f>SUM(AM$42:AP$43)</f>
        <v>1279.5</v>
      </c>
      <c r="AH64" s="977"/>
      <c r="AI64" s="977"/>
      <c r="AJ64" s="978"/>
      <c r="AK64" s="976">
        <f>$AB64-SUMPRODUCT($R$42:$U$43,$AM$42:$AP$43)</f>
        <v>312235</v>
      </c>
      <c r="AL64" s="977"/>
      <c r="AM64" s="977"/>
      <c r="AN64" s="978"/>
      <c r="AO64" s="979">
        <f>$AK64/($AB64-$AK64)</f>
        <v>0.30087254821660009</v>
      </c>
      <c r="AP64" s="980"/>
      <c r="AQ64" s="980"/>
      <c r="AR64" s="981"/>
      <c r="AS64" s="979">
        <f>AW64/($AB64-AW64)</f>
        <v>-0.3273542600896861</v>
      </c>
      <c r="AT64" s="980"/>
      <c r="AU64" s="980"/>
      <c r="AV64" s="981"/>
      <c r="AW64" s="982">
        <f>$T$57*($AK$57-$AG$57)+$T$58*($AK$58-$AG$58)</f>
        <v>-657000</v>
      </c>
      <c r="AX64" s="983"/>
      <c r="AY64" s="983"/>
      <c r="AZ64" s="984"/>
      <c r="BA64" s="970">
        <f>SUMPRODUCT($T$57:$W$58,$AG$57:$AJ$58)</f>
        <v>2007000</v>
      </c>
      <c r="BB64" s="971"/>
      <c r="BC64" s="971"/>
      <c r="BD64" s="972"/>
      <c r="BE64" s="149" t="s">
        <v>29</v>
      </c>
      <c r="BF64" s="150"/>
      <c r="BG64" s="152"/>
      <c r="BH64" s="149" t="s">
        <v>29</v>
      </c>
      <c r="BI64" s="150"/>
      <c r="BJ64" s="150"/>
      <c r="BK64" s="152"/>
      <c r="BL64" s="149" t="s">
        <v>29</v>
      </c>
      <c r="BM64" s="150"/>
      <c r="BN64" s="150"/>
      <c r="BO64" s="152"/>
    </row>
    <row r="65" spans="1:60" ht="13.5" customHeight="1">
      <c r="A65" s="22"/>
      <c r="B65" s="202">
        <v>26</v>
      </c>
      <c r="C65" s="339"/>
      <c r="D65" s="75"/>
      <c r="E65" s="75"/>
      <c r="F65" s="75"/>
      <c r="G65" s="75"/>
      <c r="H65" s="199"/>
      <c r="I65" s="199"/>
      <c r="J65" s="200"/>
      <c r="K65" s="199"/>
      <c r="L65" s="200"/>
      <c r="M65" s="199"/>
      <c r="N65" s="199"/>
      <c r="O65" s="83"/>
      <c r="P65" s="84"/>
      <c r="Q65" s="84"/>
      <c r="R65" s="84"/>
      <c r="S65" s="75"/>
      <c r="T65" s="75"/>
      <c r="U65" s="75"/>
      <c r="V65" s="75"/>
      <c r="W65" s="75"/>
      <c r="X65" s="85"/>
      <c r="Y65" s="75"/>
      <c r="Z65" s="84"/>
      <c r="AA65" s="85"/>
      <c r="AB65" s="75"/>
      <c r="AC65" s="84"/>
      <c r="AD65" s="85"/>
      <c r="AE65" s="84"/>
      <c r="AF65" s="84"/>
      <c r="AG65" s="85"/>
      <c r="AH65" s="84"/>
      <c r="AI65" s="84"/>
      <c r="AJ65" s="90"/>
      <c r="AK65" s="84"/>
      <c r="AL65" s="84"/>
      <c r="AM65" s="84"/>
      <c r="AN65" s="84"/>
      <c r="AO65" s="84"/>
      <c r="AP65" s="84"/>
      <c r="AQ65" s="84"/>
      <c r="AR65" s="84"/>
      <c r="AS65" s="65"/>
      <c r="AT65" s="65"/>
      <c r="AU65" s="65"/>
      <c r="AV65" s="65"/>
      <c r="AW65" s="65"/>
      <c r="AX65" s="65"/>
      <c r="AY65" s="63"/>
      <c r="AZ65" s="264"/>
      <c r="BA65" s="30"/>
      <c r="BB65" s="175"/>
      <c r="BC65" s="345"/>
      <c r="BD65" s="28"/>
    </row>
    <row r="66" spans="1:60" ht="13.5" customHeight="1">
      <c r="A66" s="22"/>
      <c r="B66" s="202">
        <v>27</v>
      </c>
      <c r="C66" s="340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S66" s="35"/>
      <c r="T66" s="35"/>
      <c r="U66" s="35"/>
      <c r="V66" s="35"/>
      <c r="Y66" s="35"/>
      <c r="Z66" s="35"/>
      <c r="AD66" s="35"/>
      <c r="AE66" s="35"/>
      <c r="AF66" s="35"/>
      <c r="AG66" s="35"/>
      <c r="AH66" s="35"/>
      <c r="AI66" s="35"/>
      <c r="AJ66" s="35"/>
      <c r="AK66" s="35"/>
      <c r="AL66" s="84"/>
      <c r="AM66" s="84"/>
      <c r="AN66" s="84"/>
      <c r="AO66" s="84"/>
      <c r="AP66" s="84"/>
      <c r="AQ66" s="84"/>
      <c r="AR66" s="84"/>
      <c r="AS66" s="254"/>
      <c r="AT66" s="35"/>
      <c r="AU66" s="35"/>
      <c r="AV66" s="65"/>
      <c r="AW66" s="65"/>
      <c r="AX66" s="65"/>
      <c r="AY66" s="63"/>
      <c r="AZ66" s="31"/>
      <c r="BA66" s="30"/>
      <c r="BB66" s="175"/>
      <c r="BC66" s="345"/>
      <c r="BD66" s="28"/>
    </row>
    <row r="67" spans="1:60" ht="13.5" customHeight="1">
      <c r="A67" s="22"/>
      <c r="B67" s="202">
        <v>28</v>
      </c>
      <c r="C67" s="341"/>
      <c r="D67" s="71"/>
      <c r="E67" s="71"/>
      <c r="F67" s="71"/>
      <c r="G67" s="71"/>
      <c r="H67" s="71"/>
      <c r="I67" s="71"/>
      <c r="J67" s="71"/>
      <c r="K67" s="68"/>
      <c r="L67" s="68"/>
      <c r="M67" s="68"/>
      <c r="N67" s="91"/>
      <c r="O67" s="68"/>
      <c r="P67" s="68"/>
      <c r="Q67" s="68"/>
      <c r="R67" s="68"/>
      <c r="S67" s="68"/>
      <c r="T67" s="68"/>
      <c r="U67" s="68"/>
      <c r="V67" s="68"/>
      <c r="W67" s="91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5"/>
      <c r="AN67" s="65"/>
      <c r="AO67" s="65"/>
      <c r="AP67" s="65"/>
      <c r="AQ67" s="65"/>
      <c r="AR67" s="65"/>
      <c r="AS67" s="65"/>
      <c r="AT67" s="35"/>
      <c r="AU67" s="65"/>
      <c r="AV67" s="65"/>
      <c r="AW67" s="65"/>
      <c r="AX67" s="65"/>
      <c r="AY67" s="65"/>
      <c r="AZ67" s="31"/>
      <c r="BA67" s="30"/>
      <c r="BB67" s="175"/>
      <c r="BC67" s="345"/>
      <c r="BD67" s="28"/>
      <c r="BG67" s="24"/>
      <c r="BH67" s="28"/>
    </row>
    <row r="68" spans="1:60" ht="13.5" customHeight="1">
      <c r="A68" s="22"/>
      <c r="B68" s="202">
        <v>29</v>
      </c>
      <c r="C68" s="342"/>
      <c r="D68" s="332"/>
      <c r="E68" s="65"/>
      <c r="F68" s="65"/>
      <c r="G68" s="65"/>
      <c r="H68" s="65"/>
      <c r="I68" s="65"/>
      <c r="J68" s="1002"/>
      <c r="K68" s="1003"/>
      <c r="L68" s="1003"/>
      <c r="M68" s="1003"/>
      <c r="N68"/>
      <c r="O68"/>
      <c r="P68"/>
      <c r="Q68"/>
      <c r="R68"/>
      <c r="S68"/>
      <c r="T68"/>
      <c r="U68"/>
      <c r="V68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198"/>
      <c r="AN68" s="198"/>
      <c r="AO68" s="198"/>
      <c r="AP68" s="198"/>
      <c r="AQ68" s="198"/>
      <c r="AR68" s="198"/>
      <c r="AS68" s="254"/>
      <c r="AT68" s="35"/>
      <c r="AU68" s="35"/>
      <c r="AV68" s="254"/>
      <c r="AW68" s="198"/>
      <c r="AX68" s="198"/>
      <c r="AY68" s="198"/>
      <c r="AZ68" s="31"/>
      <c r="BA68" s="30"/>
      <c r="BB68" s="175"/>
      <c r="BC68" s="345"/>
      <c r="BD68" s="28"/>
      <c r="BG68" s="24"/>
      <c r="BH68" s="28"/>
    </row>
    <row r="69" spans="1:60" ht="5.15" customHeight="1">
      <c r="A69" s="22"/>
      <c r="B69" s="202"/>
      <c r="C69" s="315"/>
      <c r="D69" s="73"/>
      <c r="E69" s="73"/>
      <c r="F69" s="73"/>
      <c r="G69" s="73"/>
      <c r="H69" s="316"/>
      <c r="I69" s="275"/>
      <c r="J69" s="273"/>
      <c r="K69" s="275"/>
      <c r="L69" s="273"/>
      <c r="M69" s="317"/>
      <c r="N69" s="317"/>
      <c r="O69" s="270"/>
      <c r="P69" s="317"/>
      <c r="Q69" s="270"/>
      <c r="R69" s="317"/>
      <c r="S69" s="73"/>
      <c r="T69" s="73"/>
      <c r="U69" s="73"/>
      <c r="V69" s="73"/>
      <c r="W69" s="73"/>
      <c r="X69" s="316"/>
      <c r="Y69" s="275"/>
      <c r="Z69" s="273"/>
      <c r="AA69" s="275"/>
      <c r="AB69" s="273"/>
      <c r="AC69" s="317"/>
      <c r="AD69" s="317"/>
      <c r="AE69" s="270"/>
      <c r="AF69" s="317"/>
      <c r="AG69" s="270"/>
      <c r="AH69" s="317"/>
      <c r="AI69" s="276"/>
      <c r="AJ69" s="317"/>
      <c r="AK69" s="270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318"/>
      <c r="AW69" s="73"/>
      <c r="AX69" s="73"/>
      <c r="AY69" s="269"/>
      <c r="AZ69" s="269"/>
      <c r="BA69" s="319"/>
      <c r="BB69" s="320"/>
      <c r="BC69" s="344"/>
      <c r="BD69" s="28"/>
    </row>
    <row r="70" spans="1:60" ht="13.5" customHeight="1">
      <c r="A70" s="22"/>
      <c r="B70" s="202">
        <v>31</v>
      </c>
      <c r="C70" s="331"/>
      <c r="D70" s="332"/>
      <c r="E70" s="65"/>
      <c r="F70" s="65"/>
      <c r="G70" s="65"/>
      <c r="H70" s="65"/>
      <c r="I70" s="65"/>
      <c r="J70" s="1004"/>
      <c r="K70" s="1004"/>
      <c r="L70" s="1004"/>
      <c r="M70" s="1004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198"/>
      <c r="AN70" s="198"/>
      <c r="AO70" s="198"/>
      <c r="AP70" s="198"/>
      <c r="AQ70" s="198"/>
      <c r="AR70" s="198"/>
      <c r="AS70" s="198"/>
      <c r="AT70" s="198"/>
      <c r="AU70" s="198"/>
      <c r="AV70" s="198"/>
      <c r="AW70" s="198"/>
      <c r="AX70" s="198"/>
      <c r="AY70" s="198"/>
      <c r="AZ70" s="33"/>
      <c r="BA70" s="46"/>
      <c r="BB70" s="78"/>
      <c r="BC70" s="34"/>
      <c r="BD70" s="28"/>
      <c r="BG70" s="24"/>
      <c r="BH70" s="28"/>
    </row>
    <row r="71" spans="1:60" ht="14.15" customHeight="1">
      <c r="A71" s="22"/>
      <c r="B71" s="129"/>
      <c r="C71" s="346" t="s">
        <v>130</v>
      </c>
      <c r="D71" s="28"/>
      <c r="E71" s="28"/>
      <c r="F71" s="28"/>
      <c r="G71" s="28"/>
      <c r="S71" s="35"/>
      <c r="T71" s="35"/>
      <c r="U71" s="35"/>
      <c r="V71" s="35"/>
      <c r="Y71" s="35"/>
      <c r="Z71" s="35"/>
      <c r="AD71" s="35"/>
      <c r="AE71" s="35"/>
      <c r="AF71" s="35"/>
      <c r="AG71" s="35"/>
      <c r="AH71" s="35"/>
      <c r="AI71" s="35"/>
      <c r="AJ71" s="28"/>
      <c r="AK71" s="28"/>
      <c r="AL71" s="28"/>
      <c r="AM71" s="130"/>
      <c r="AN71" s="130"/>
      <c r="AO71" s="35"/>
      <c r="AP71" s="35"/>
      <c r="AQ71" s="35"/>
      <c r="AR71" s="35"/>
      <c r="AS71" s="35"/>
      <c r="AT71" s="35"/>
      <c r="AU71" s="35"/>
      <c r="AV71" s="35"/>
      <c r="AW71" s="35"/>
      <c r="AX71" s="65"/>
      <c r="AY71" s="65"/>
      <c r="AZ71" s="33"/>
      <c r="BA71" s="46"/>
      <c r="BB71" s="78"/>
      <c r="BC71" s="34"/>
      <c r="BD71" s="28"/>
      <c r="BG71" s="35"/>
    </row>
    <row r="72" spans="1:60" ht="5.15" customHeight="1">
      <c r="A72" s="22"/>
      <c r="B72" s="202"/>
      <c r="C72" s="296"/>
      <c r="D72" s="72"/>
      <c r="E72" s="72"/>
      <c r="F72" s="72"/>
      <c r="G72" s="72"/>
      <c r="H72" s="297"/>
      <c r="I72" s="278"/>
      <c r="J72" s="279"/>
      <c r="K72" s="278"/>
      <c r="L72" s="279"/>
      <c r="M72" s="298"/>
      <c r="N72" s="298"/>
      <c r="O72" s="263"/>
      <c r="P72" s="298"/>
      <c r="Q72" s="263"/>
      <c r="R72" s="298"/>
      <c r="S72" s="72"/>
      <c r="T72" s="72"/>
      <c r="U72" s="72"/>
      <c r="V72" s="72"/>
      <c r="W72" s="72"/>
      <c r="X72" s="297"/>
      <c r="Y72" s="278"/>
      <c r="Z72" s="279"/>
      <c r="AA72" s="278"/>
      <c r="AB72" s="279"/>
      <c r="AC72" s="298"/>
      <c r="AD72" s="298"/>
      <c r="AE72" s="263"/>
      <c r="AF72" s="298"/>
      <c r="AG72" s="263"/>
      <c r="AH72" s="298"/>
      <c r="AI72" s="280"/>
      <c r="AJ72" s="298"/>
      <c r="AK72" s="263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300"/>
      <c r="AW72" s="72"/>
      <c r="AX72" s="72"/>
      <c r="AY72" s="265"/>
      <c r="AZ72" s="33"/>
      <c r="BA72" s="46"/>
      <c r="BB72" s="78"/>
      <c r="BC72" s="34"/>
      <c r="BD72" s="28"/>
    </row>
    <row r="73" spans="1:60" ht="14.15" customHeight="1">
      <c r="A73" s="23"/>
      <c r="B73" s="351"/>
      <c r="C73" s="282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5"/>
      <c r="S73" s="35"/>
      <c r="T73" s="28"/>
      <c r="U73" s="28"/>
      <c r="V73" s="28"/>
      <c r="W73" s="28"/>
      <c r="X73" s="28"/>
      <c r="Y73" s="28"/>
      <c r="Z73" s="28"/>
      <c r="AC73" s="28"/>
      <c r="AD73" s="28"/>
      <c r="AE73" s="35"/>
      <c r="AF73" s="35"/>
      <c r="AG73" s="35"/>
      <c r="AH73" s="35"/>
      <c r="AI73" s="35"/>
      <c r="AJ73" s="28"/>
      <c r="AK73" s="28"/>
      <c r="AL73" s="28"/>
      <c r="AM73" s="35"/>
      <c r="AN73" s="35"/>
      <c r="AO73" s="135"/>
      <c r="AP73" s="136"/>
      <c r="AQ73" s="130"/>
      <c r="AR73" s="130"/>
      <c r="AS73" s="130"/>
      <c r="AT73" s="130"/>
      <c r="AU73" s="81"/>
      <c r="AV73" s="35"/>
      <c r="AW73" s="35"/>
      <c r="AX73" s="65"/>
      <c r="AY73" s="347"/>
      <c r="AZ73" s="33"/>
      <c r="BA73" s="46"/>
      <c r="BB73" s="78"/>
      <c r="BC73" s="34"/>
      <c r="BD73" s="28"/>
      <c r="BG73" s="35"/>
    </row>
    <row r="74" spans="1:60" ht="14.15" customHeight="1">
      <c r="A74" s="23"/>
      <c r="B74" s="351"/>
      <c r="C74" s="352"/>
      <c r="D74" s="348" t="s">
        <v>37</v>
      </c>
      <c r="E74" s="131"/>
      <c r="F74" s="131"/>
      <c r="G74" s="131"/>
      <c r="H74" s="132"/>
      <c r="I74" s="132"/>
      <c r="J74" s="106"/>
      <c r="K74" s="133"/>
      <c r="L74" s="134"/>
      <c r="M74" s="144"/>
      <c r="N74" s="144"/>
      <c r="O74" s="131"/>
      <c r="P74" s="134"/>
      <c r="Q74" s="107"/>
      <c r="R74" s="133" t="s">
        <v>39</v>
      </c>
      <c r="S74" s="134"/>
      <c r="T74" s="107"/>
      <c r="U74" s="107"/>
      <c r="V74" s="133" t="s">
        <v>43</v>
      </c>
      <c r="W74" s="134"/>
      <c r="X74" s="107"/>
      <c r="Y74" s="35"/>
      <c r="Z74" s="35"/>
      <c r="AC74" s="28"/>
      <c r="AD74" s="28"/>
      <c r="AE74" s="28"/>
      <c r="AF74" s="35"/>
      <c r="AG74" s="35"/>
      <c r="AH74" s="28"/>
      <c r="AI74" s="28"/>
      <c r="AJ74" s="28"/>
      <c r="AK74" s="81"/>
      <c r="AL74" s="28"/>
      <c r="AM74" s="28"/>
      <c r="AN74" s="28"/>
      <c r="AO74" s="28"/>
      <c r="AP74" s="28"/>
      <c r="AQ74" s="65"/>
      <c r="AR74" s="65"/>
      <c r="AS74" s="65"/>
      <c r="AT74" s="125"/>
      <c r="AU74" s="65"/>
      <c r="AV74" s="65"/>
      <c r="AW74" s="65"/>
      <c r="AX74" s="65"/>
      <c r="AY74" s="347"/>
      <c r="AZ74" s="33"/>
      <c r="BA74" s="46"/>
      <c r="BB74" s="78"/>
      <c r="BC74" s="34"/>
      <c r="BD74" s="28"/>
      <c r="BE74" s="35"/>
      <c r="BF74" s="35"/>
      <c r="BG74" s="35"/>
    </row>
    <row r="75" spans="1:60" ht="13.5" customHeight="1">
      <c r="A75" s="22"/>
      <c r="B75" s="353"/>
      <c r="C75" s="352"/>
      <c r="D75" s="349" t="s">
        <v>44</v>
      </c>
      <c r="E75" s="137"/>
      <c r="F75" s="137"/>
      <c r="G75" s="137"/>
      <c r="H75" s="137"/>
      <c r="I75" s="137"/>
      <c r="J75" s="137"/>
      <c r="K75" s="350"/>
      <c r="L75" s="139"/>
      <c r="M75" s="108"/>
      <c r="N75" s="108"/>
      <c r="O75" s="145"/>
      <c r="P75" s="139"/>
      <c r="Q75" s="109"/>
      <c r="R75" s="138" t="s">
        <v>40</v>
      </c>
      <c r="S75" s="139"/>
      <c r="T75" s="108"/>
      <c r="U75" s="109"/>
      <c r="V75" s="140"/>
      <c r="W75" s="141"/>
      <c r="X75" s="142"/>
      <c r="Y75" s="116"/>
      <c r="Z75" s="41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65"/>
      <c r="AR75" s="65"/>
      <c r="AS75" s="65"/>
      <c r="AT75" s="125"/>
      <c r="AU75" s="65"/>
      <c r="AV75" s="65"/>
      <c r="AW75" s="65"/>
      <c r="AX75" s="65"/>
      <c r="AY75" s="347"/>
      <c r="AZ75" s="33"/>
      <c r="BA75" s="46"/>
      <c r="BB75" s="78"/>
      <c r="BC75" s="34"/>
      <c r="BD75" s="28"/>
      <c r="BE75" s="35"/>
      <c r="BF75" s="35"/>
      <c r="BG75" s="35"/>
    </row>
    <row r="76" spans="1:60" ht="5.15" customHeight="1">
      <c r="A76" s="22"/>
      <c r="B76" s="202"/>
      <c r="C76" s="315"/>
      <c r="D76" s="73"/>
      <c r="E76" s="73"/>
      <c r="F76" s="73"/>
      <c r="G76" s="73"/>
      <c r="H76" s="316"/>
      <c r="I76" s="275"/>
      <c r="J76" s="273"/>
      <c r="K76" s="275"/>
      <c r="L76" s="273"/>
      <c r="M76" s="317"/>
      <c r="N76" s="317"/>
      <c r="O76" s="270"/>
      <c r="P76" s="317"/>
      <c r="Q76" s="270"/>
      <c r="R76" s="317"/>
      <c r="S76" s="73"/>
      <c r="T76" s="73"/>
      <c r="U76" s="73"/>
      <c r="V76" s="73"/>
      <c r="W76" s="73"/>
      <c r="X76" s="316"/>
      <c r="Y76" s="275"/>
      <c r="Z76" s="273"/>
      <c r="AA76" s="275"/>
      <c r="AB76" s="273"/>
      <c r="AC76" s="317"/>
      <c r="AD76" s="317"/>
      <c r="AE76" s="270"/>
      <c r="AF76" s="317"/>
      <c r="AG76" s="270"/>
      <c r="AH76" s="317"/>
      <c r="AI76" s="276"/>
      <c r="AJ76" s="317"/>
      <c r="AK76" s="270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318"/>
      <c r="AW76" s="73"/>
      <c r="AX76" s="73"/>
      <c r="AY76" s="277"/>
      <c r="AZ76" s="33"/>
      <c r="BA76" s="46"/>
      <c r="BB76" s="78"/>
      <c r="BC76" s="34"/>
      <c r="BD76" s="28"/>
    </row>
    <row r="77" spans="1:60" ht="14.15" customHeight="1">
      <c r="A77" s="22"/>
      <c r="B77" s="202">
        <v>34</v>
      </c>
      <c r="C77" s="331"/>
      <c r="D77" s="332"/>
      <c r="E77" s="65"/>
      <c r="F77" s="65"/>
      <c r="G77" s="65"/>
      <c r="H77" s="65"/>
      <c r="I77" s="65"/>
      <c r="J77" s="1012"/>
      <c r="K77" s="1012"/>
      <c r="L77" s="1012"/>
      <c r="M77" s="1012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135"/>
      <c r="AQ77" s="135"/>
      <c r="AR77" s="65"/>
      <c r="AS77" s="65"/>
      <c r="AT77" s="125"/>
      <c r="AU77" s="65"/>
      <c r="AV77" s="65"/>
      <c r="AW77" s="65"/>
      <c r="AX77" s="65"/>
      <c r="AY77" s="65"/>
      <c r="AZ77" s="33"/>
      <c r="BA77" s="46"/>
      <c r="BB77" s="78"/>
      <c r="BC77" s="34"/>
      <c r="BD77" s="28"/>
      <c r="BG77" s="24"/>
      <c r="BH77" s="28"/>
    </row>
    <row r="78" spans="1:60" ht="14.15" customHeight="1">
      <c r="A78" s="22"/>
      <c r="B78" s="202">
        <v>35</v>
      </c>
      <c r="C78" s="346" t="s">
        <v>246</v>
      </c>
      <c r="D78" s="332"/>
      <c r="E78" s="65"/>
      <c r="F78" s="65"/>
      <c r="G78" s="65"/>
      <c r="H78" s="65"/>
      <c r="I78" s="65"/>
      <c r="J78" s="969"/>
      <c r="K78" s="969"/>
      <c r="L78" s="969"/>
      <c r="M78" s="969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125"/>
      <c r="AU78" s="65"/>
      <c r="AV78" s="65"/>
      <c r="AW78" s="65"/>
      <c r="AX78" s="65"/>
      <c r="AY78" s="65"/>
      <c r="AZ78" s="33"/>
      <c r="BA78" s="46"/>
      <c r="BB78" s="335"/>
      <c r="BC78" s="336"/>
      <c r="BD78" s="28"/>
      <c r="BG78" s="24"/>
      <c r="BH78" s="28"/>
    </row>
    <row r="79" spans="1:60" ht="14.15" customHeight="1">
      <c r="A79" s="22"/>
      <c r="B79" s="202">
        <v>35</v>
      </c>
      <c r="C79" s="331"/>
      <c r="D79" s="478" t="s">
        <v>247</v>
      </c>
      <c r="E79" s="65"/>
      <c r="F79" s="65"/>
      <c r="G79" s="65"/>
      <c r="H79" s="65"/>
      <c r="I79" s="65"/>
      <c r="J79" s="477"/>
      <c r="K79" s="477"/>
      <c r="L79" s="477"/>
      <c r="M79" s="477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125"/>
      <c r="AU79" s="65"/>
      <c r="AV79" s="65"/>
      <c r="AW79" s="65"/>
      <c r="AX79" s="65"/>
      <c r="AY79" s="65"/>
      <c r="AZ79" s="33"/>
      <c r="BA79" s="46"/>
      <c r="BB79" s="335"/>
      <c r="BC79" s="336"/>
      <c r="BD79" s="28"/>
      <c r="BG79" s="24"/>
      <c r="BH79" s="28"/>
    </row>
    <row r="80" spans="1:60" ht="14.15" customHeight="1">
      <c r="A80" s="22"/>
      <c r="B80" s="202">
        <v>35</v>
      </c>
      <c r="C80" s="331"/>
      <c r="D80" s="332"/>
      <c r="E80" s="65"/>
      <c r="F80" s="65"/>
      <c r="G80" s="65"/>
      <c r="H80" s="65"/>
      <c r="I80" s="65"/>
      <c r="J80" s="1008"/>
      <c r="K80" s="1008"/>
      <c r="L80" s="1008"/>
      <c r="M80" s="1008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125"/>
      <c r="AU80" s="65"/>
      <c r="AV80" s="65"/>
      <c r="AW80" s="65"/>
      <c r="AX80" s="65"/>
      <c r="AY80" s="65"/>
      <c r="AZ80" s="33"/>
      <c r="BA80" s="46"/>
      <c r="BB80" s="335"/>
      <c r="BC80" s="336"/>
      <c r="BD80" s="28"/>
      <c r="BG80" s="24"/>
      <c r="BH80" s="28"/>
    </row>
    <row r="81" spans="1:60" ht="5.15" customHeight="1">
      <c r="A81" s="22"/>
      <c r="B81" s="202"/>
      <c r="C81" s="296"/>
      <c r="D81" s="72"/>
      <c r="E81" s="72"/>
      <c r="F81" s="72"/>
      <c r="G81" s="72"/>
      <c r="H81" s="297"/>
      <c r="I81" s="278"/>
      <c r="J81" s="279"/>
      <c r="K81" s="278"/>
      <c r="L81" s="279"/>
      <c r="M81" s="298"/>
      <c r="N81" s="298"/>
      <c r="O81" s="263"/>
      <c r="P81" s="298"/>
      <c r="Q81" s="263"/>
      <c r="R81" s="298"/>
      <c r="S81" s="72"/>
      <c r="T81" s="72"/>
      <c r="U81" s="72"/>
      <c r="V81" s="72"/>
      <c r="W81" s="72"/>
      <c r="X81" s="297"/>
      <c r="Y81" s="278"/>
      <c r="Z81" s="279"/>
      <c r="AA81" s="278"/>
      <c r="AB81" s="279"/>
      <c r="AC81" s="298"/>
      <c r="AD81" s="298"/>
      <c r="AE81" s="263"/>
      <c r="AF81" s="298"/>
      <c r="AG81" s="263"/>
      <c r="AH81" s="298"/>
      <c r="AI81" s="280"/>
      <c r="AJ81" s="298"/>
      <c r="AK81" s="263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300"/>
      <c r="AW81" s="72"/>
      <c r="AX81" s="72"/>
      <c r="AY81" s="265"/>
      <c r="AZ81" s="33"/>
      <c r="BA81" s="46"/>
      <c r="BB81" s="78"/>
      <c r="BC81" s="34"/>
      <c r="BD81" s="28"/>
    </row>
    <row r="82" spans="1:60" ht="14.15" customHeight="1">
      <c r="A82" s="23"/>
      <c r="B82" s="351"/>
      <c r="C82" s="282"/>
      <c r="D82" s="28" t="s">
        <v>239</v>
      </c>
      <c r="E82" s="28"/>
      <c r="F82" s="28"/>
      <c r="G82" s="28"/>
      <c r="H82" s="468" t="s">
        <v>244</v>
      </c>
      <c r="I82" s="257"/>
      <c r="J82" s="258"/>
      <c r="K82" s="258"/>
      <c r="L82" s="258"/>
      <c r="M82" s="259"/>
      <c r="N82" s="258"/>
      <c r="O82" s="110"/>
      <c r="P82" s="261" t="s">
        <v>32</v>
      </c>
      <c r="Q82" s="25"/>
      <c r="R82" s="469" t="s">
        <v>245</v>
      </c>
      <c r="S82" s="470"/>
      <c r="T82" s="471"/>
      <c r="U82" s="471"/>
      <c r="V82" s="483"/>
      <c r="W82" s="472"/>
      <c r="X82" s="471"/>
      <c r="Y82" s="473"/>
      <c r="Z82" s="474"/>
      <c r="AB82" s="469" t="s">
        <v>287</v>
      </c>
      <c r="AC82" s="470"/>
      <c r="AD82" s="471"/>
      <c r="AE82" s="471"/>
      <c r="AF82" s="471"/>
      <c r="AG82" s="472"/>
      <c r="AH82" s="471"/>
      <c r="AI82" s="473"/>
      <c r="AJ82" s="472"/>
      <c r="AK82" s="479"/>
      <c r="AL82" s="479"/>
      <c r="AM82" s="473"/>
      <c r="AN82" s="473"/>
      <c r="AO82" s="471"/>
      <c r="AP82" s="480"/>
      <c r="AQ82" s="471"/>
      <c r="AR82" s="471"/>
      <c r="AS82" s="471"/>
      <c r="AT82" s="471"/>
      <c r="AU82" s="481"/>
      <c r="AV82" s="473"/>
      <c r="AW82" s="473"/>
      <c r="AX82" s="482"/>
      <c r="AY82" s="347"/>
      <c r="AZ82" s="33"/>
      <c r="BA82" s="46"/>
      <c r="BB82" s="78"/>
      <c r="BC82" s="34"/>
      <c r="BD82" s="28"/>
      <c r="BG82" s="35"/>
    </row>
    <row r="83" spans="1:60" ht="14.15" customHeight="1">
      <c r="A83" s="23"/>
      <c r="B83" s="351"/>
      <c r="C83" s="282"/>
      <c r="D83" s="28"/>
      <c r="E83" s="28"/>
      <c r="F83" s="28"/>
      <c r="G83" s="28"/>
      <c r="H83" s="469" t="s">
        <v>53</v>
      </c>
      <c r="I83" s="470"/>
      <c r="J83" s="471"/>
      <c r="K83" s="471"/>
      <c r="L83" s="471"/>
      <c r="M83" s="472"/>
      <c r="N83" s="471"/>
      <c r="O83" s="473"/>
      <c r="P83" s="472"/>
      <c r="Q83" s="479"/>
      <c r="R83" s="479"/>
      <c r="S83" s="473"/>
      <c r="T83" s="473"/>
      <c r="U83" s="471"/>
      <c r="V83" s="480"/>
      <c r="W83" s="471"/>
      <c r="X83" s="471"/>
      <c r="Y83" s="471"/>
      <c r="Z83" s="471"/>
      <c r="AA83" s="481"/>
      <c r="AB83" s="473"/>
      <c r="AC83" s="473"/>
      <c r="AD83" s="479"/>
      <c r="AE83" s="471"/>
      <c r="AF83" s="471"/>
      <c r="AG83" s="472"/>
      <c r="AH83" s="471"/>
      <c r="AI83" s="473"/>
      <c r="AJ83" s="472"/>
      <c r="AK83" s="479"/>
      <c r="AL83" s="479"/>
      <c r="AM83" s="473"/>
      <c r="AN83" s="473"/>
      <c r="AO83" s="471"/>
      <c r="AP83" s="480"/>
      <c r="AQ83" s="471"/>
      <c r="AR83" s="471"/>
      <c r="AS83" s="471"/>
      <c r="AT83" s="471"/>
      <c r="AU83" s="481"/>
      <c r="AV83" s="473"/>
      <c r="AW83" s="473"/>
      <c r="AX83" s="482"/>
      <c r="AY83" s="347"/>
      <c r="AZ83" s="33"/>
      <c r="BA83" s="46"/>
      <c r="BB83" s="78"/>
      <c r="BC83" s="34"/>
      <c r="BD83" s="28"/>
      <c r="BG83" s="35"/>
    </row>
    <row r="84" spans="1:60" ht="5.15" customHeight="1">
      <c r="A84" s="22"/>
      <c r="B84" s="202"/>
      <c r="C84" s="315"/>
      <c r="D84" s="73"/>
      <c r="E84" s="73"/>
      <c r="F84" s="73"/>
      <c r="G84" s="73"/>
      <c r="H84" s="316"/>
      <c r="I84" s="275"/>
      <c r="J84" s="273"/>
      <c r="K84" s="275"/>
      <c r="L84" s="273"/>
      <c r="M84" s="317"/>
      <c r="N84" s="317"/>
      <c r="O84" s="270"/>
      <c r="P84" s="317"/>
      <c r="Q84" s="270"/>
      <c r="R84" s="317"/>
      <c r="S84" s="73"/>
      <c r="T84" s="73"/>
      <c r="U84" s="73"/>
      <c r="V84" s="73"/>
      <c r="W84" s="73"/>
      <c r="X84" s="316"/>
      <c r="Y84" s="275"/>
      <c r="Z84" s="273"/>
      <c r="AA84" s="275"/>
      <c r="AB84" s="273"/>
      <c r="AC84" s="317"/>
      <c r="AD84" s="317"/>
      <c r="AE84" s="270"/>
      <c r="AF84" s="317"/>
      <c r="AG84" s="270"/>
      <c r="AH84" s="317"/>
      <c r="AI84" s="276"/>
      <c r="AJ84" s="317"/>
      <c r="AK84" s="270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318"/>
      <c r="AW84" s="73"/>
      <c r="AX84" s="73"/>
      <c r="AY84" s="277"/>
      <c r="AZ84" s="33"/>
      <c r="BA84" s="46"/>
      <c r="BB84" s="78"/>
      <c r="BC84" s="34"/>
      <c r="BD84" s="28"/>
    </row>
    <row r="85" spans="1:60" ht="5.15" customHeight="1">
      <c r="A85" s="22"/>
      <c r="B85" s="202"/>
      <c r="C85" s="476"/>
      <c r="D85" s="72"/>
      <c r="E85" s="72"/>
      <c r="F85" s="72"/>
      <c r="G85" s="72"/>
      <c r="H85" s="297"/>
      <c r="I85" s="278"/>
      <c r="J85" s="279"/>
      <c r="K85" s="278"/>
      <c r="L85" s="279"/>
      <c r="M85" s="298"/>
      <c r="N85" s="298"/>
      <c r="O85" s="263"/>
      <c r="P85" s="298"/>
      <c r="Q85" s="263"/>
      <c r="R85" s="298"/>
      <c r="S85" s="72"/>
      <c r="T85" s="72"/>
      <c r="U85" s="72"/>
      <c r="V85" s="72"/>
      <c r="W85" s="72"/>
      <c r="X85" s="297"/>
      <c r="Y85" s="278"/>
      <c r="Z85" s="279"/>
      <c r="AA85" s="278"/>
      <c r="AB85" s="279"/>
      <c r="AC85" s="298"/>
      <c r="AD85" s="298"/>
      <c r="AE85" s="263"/>
      <c r="AF85" s="298"/>
      <c r="AG85" s="263"/>
      <c r="AH85" s="298"/>
      <c r="AI85" s="280"/>
      <c r="AJ85" s="298"/>
      <c r="AK85" s="263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300"/>
      <c r="AW85" s="72"/>
      <c r="AX85" s="72"/>
      <c r="AY85" s="264"/>
      <c r="AZ85" s="33"/>
      <c r="BA85" s="46"/>
      <c r="BB85" s="78"/>
      <c r="BC85" s="34"/>
      <c r="BD85" s="28"/>
    </row>
    <row r="86" spans="1:60" ht="14.15" customHeight="1">
      <c r="A86" s="22"/>
      <c r="B86" s="202">
        <v>35</v>
      </c>
      <c r="C86" s="62" t="s">
        <v>242</v>
      </c>
      <c r="D86" s="332"/>
      <c r="E86" s="65"/>
      <c r="F86" s="65"/>
      <c r="G86" s="65"/>
      <c r="H86" s="65"/>
      <c r="I86" s="65"/>
      <c r="J86" s="969"/>
      <c r="K86" s="969"/>
      <c r="L86" s="969"/>
      <c r="M86" s="969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125"/>
      <c r="AU86" s="65"/>
      <c r="AV86" s="65"/>
      <c r="AW86" s="65"/>
      <c r="AX86" s="65"/>
      <c r="AY86" s="65"/>
      <c r="AZ86" s="33"/>
      <c r="BA86" s="46"/>
      <c r="BB86" s="335"/>
      <c r="BC86" s="336"/>
      <c r="BD86" s="28"/>
      <c r="BG86" s="24"/>
      <c r="BH86" s="28"/>
    </row>
    <row r="87" spans="1:60" ht="5.15" customHeight="1">
      <c r="A87" s="22"/>
      <c r="B87" s="202"/>
      <c r="C87" s="296"/>
      <c r="D87" s="72"/>
      <c r="E87" s="72"/>
      <c r="F87" s="72"/>
      <c r="G87" s="72"/>
      <c r="H87" s="297"/>
      <c r="I87" s="278"/>
      <c r="J87" s="279"/>
      <c r="K87" s="278"/>
      <c r="L87" s="279"/>
      <c r="M87" s="298"/>
      <c r="N87" s="298"/>
      <c r="O87" s="263"/>
      <c r="P87" s="298"/>
      <c r="Q87" s="263"/>
      <c r="R87" s="298"/>
      <c r="S87" s="72"/>
      <c r="T87" s="72"/>
      <c r="U87" s="72"/>
      <c r="V87" s="72"/>
      <c r="W87" s="72"/>
      <c r="X87" s="297"/>
      <c r="Y87" s="278"/>
      <c r="Z87" s="279"/>
      <c r="AA87" s="278"/>
      <c r="AB87" s="279"/>
      <c r="AC87" s="298"/>
      <c r="AD87" s="298"/>
      <c r="AE87" s="263"/>
      <c r="AF87" s="298"/>
      <c r="AG87" s="263"/>
      <c r="AH87" s="298"/>
      <c r="AI87" s="280"/>
      <c r="AJ87" s="298"/>
      <c r="AK87" s="263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300"/>
      <c r="AW87" s="72"/>
      <c r="AX87" s="72"/>
      <c r="AY87" s="265"/>
      <c r="AZ87" s="33"/>
      <c r="BA87" s="46"/>
      <c r="BB87" s="78"/>
      <c r="BC87" s="34"/>
      <c r="BD87" s="28"/>
    </row>
    <row r="88" spans="1:60" ht="14.15" customHeight="1">
      <c r="A88" s="23"/>
      <c r="B88" s="351"/>
      <c r="C88" s="282"/>
      <c r="D88" s="28" t="s">
        <v>239</v>
      </c>
      <c r="E88" s="28"/>
      <c r="F88" s="28"/>
      <c r="G88" s="28"/>
      <c r="H88" s="468" t="s">
        <v>240</v>
      </c>
      <c r="I88" s="257"/>
      <c r="J88" s="258"/>
      <c r="K88" s="258"/>
      <c r="L88" s="258"/>
      <c r="M88" s="259"/>
      <c r="N88" s="258"/>
      <c r="O88" s="110"/>
      <c r="P88" s="261" t="s">
        <v>32</v>
      </c>
      <c r="Q88" s="25"/>
      <c r="R88" s="469" t="s">
        <v>241</v>
      </c>
      <c r="S88" s="470"/>
      <c r="T88" s="471"/>
      <c r="U88" s="471"/>
      <c r="V88" s="483"/>
      <c r="W88" s="484" t="s">
        <v>253</v>
      </c>
      <c r="X88" s="471"/>
      <c r="Y88" s="473"/>
      <c r="Z88" s="474"/>
      <c r="AB88" s="529" t="s">
        <v>288</v>
      </c>
      <c r="AC88" s="530"/>
      <c r="AD88" s="531"/>
      <c r="AE88" s="531"/>
      <c r="AF88" s="531"/>
      <c r="AG88" s="532"/>
      <c r="AH88" s="531"/>
      <c r="AI88" s="533"/>
      <c r="AJ88" s="532"/>
      <c r="AK88" s="61"/>
      <c r="AL88" s="61"/>
      <c r="AM88" s="533"/>
      <c r="AN88" s="533"/>
      <c r="AO88" s="531"/>
      <c r="AP88" s="534"/>
      <c r="AQ88" s="531"/>
      <c r="AR88" s="531"/>
      <c r="AS88" s="531"/>
      <c r="AT88" s="531"/>
      <c r="AU88" s="535"/>
      <c r="AV88" s="533"/>
      <c r="AW88" s="533"/>
      <c r="AX88" s="70"/>
      <c r="AY88" s="347"/>
      <c r="AZ88" s="33"/>
      <c r="BA88" s="46"/>
      <c r="BB88" s="78"/>
      <c r="BC88" s="34"/>
      <c r="BD88" s="28"/>
      <c r="BG88" s="35"/>
    </row>
    <row r="89" spans="1:60" ht="14.15" customHeight="1">
      <c r="A89" s="23"/>
      <c r="B89" s="351"/>
      <c r="C89" s="282"/>
      <c r="D89" s="28"/>
      <c r="E89" s="28"/>
      <c r="F89" s="28"/>
      <c r="G89" s="28"/>
      <c r="H89" s="469" t="s">
        <v>252</v>
      </c>
      <c r="I89" s="470"/>
      <c r="J89" s="471"/>
      <c r="K89" s="471"/>
      <c r="L89" s="471"/>
      <c r="M89" s="472"/>
      <c r="N89" s="471"/>
      <c r="O89" s="473"/>
      <c r="P89" s="472"/>
      <c r="Q89" s="479"/>
      <c r="R89" s="479"/>
      <c r="S89" s="473"/>
      <c r="T89" s="473"/>
      <c r="U89" s="471"/>
      <c r="V89" s="480"/>
      <c r="W89" s="471"/>
      <c r="X89" s="471"/>
      <c r="Y89" s="471"/>
      <c r="Z89" s="471"/>
      <c r="AA89" s="481"/>
      <c r="AB89" s="473"/>
      <c r="AC89" s="473"/>
      <c r="AD89" s="479"/>
      <c r="AE89" s="471"/>
      <c r="AF89" s="471"/>
      <c r="AG89" s="472"/>
      <c r="AH89" s="471"/>
      <c r="AI89" s="473"/>
      <c r="AJ89" s="472"/>
      <c r="AK89" s="479"/>
      <c r="AL89" s="479"/>
      <c r="AM89" s="473"/>
      <c r="AN89" s="473"/>
      <c r="AO89" s="471"/>
      <c r="AP89" s="480"/>
      <c r="AQ89" s="471"/>
      <c r="AR89" s="471"/>
      <c r="AS89" s="471"/>
      <c r="AT89" s="471"/>
      <c r="AU89" s="481"/>
      <c r="AV89" s="473"/>
      <c r="AW89" s="473"/>
      <c r="AX89" s="482"/>
      <c r="AY89" s="347"/>
      <c r="AZ89" s="33"/>
      <c r="BA89" s="46"/>
      <c r="BB89" s="78"/>
      <c r="BC89" s="34"/>
      <c r="BD89" s="28"/>
      <c r="BG89" s="35"/>
    </row>
    <row r="90" spans="1:60" ht="5.15" customHeight="1">
      <c r="A90" s="22"/>
      <c r="B90" s="202"/>
      <c r="C90" s="315"/>
      <c r="D90" s="73"/>
      <c r="E90" s="73"/>
      <c r="F90" s="73"/>
      <c r="G90" s="73"/>
      <c r="H90" s="316"/>
      <c r="I90" s="275"/>
      <c r="J90" s="273"/>
      <c r="K90" s="275"/>
      <c r="L90" s="273"/>
      <c r="M90" s="317"/>
      <c r="N90" s="317"/>
      <c r="O90" s="270"/>
      <c r="P90" s="317"/>
      <c r="Q90" s="270"/>
      <c r="R90" s="317"/>
      <c r="S90" s="73"/>
      <c r="T90" s="73"/>
      <c r="U90" s="73"/>
      <c r="V90" s="73"/>
      <c r="W90" s="73"/>
      <c r="X90" s="316"/>
      <c r="Y90" s="275"/>
      <c r="Z90" s="273"/>
      <c r="AA90" s="275"/>
      <c r="AB90" s="273"/>
      <c r="AC90" s="317"/>
      <c r="AD90" s="317"/>
      <c r="AE90" s="270"/>
      <c r="AF90" s="317"/>
      <c r="AG90" s="270"/>
      <c r="AH90" s="317"/>
      <c r="AI90" s="276"/>
      <c r="AJ90" s="317"/>
      <c r="AK90" s="270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318"/>
      <c r="AW90" s="73"/>
      <c r="AX90" s="73"/>
      <c r="AY90" s="277"/>
      <c r="AZ90" s="33"/>
      <c r="BA90" s="46"/>
      <c r="BB90" s="78"/>
      <c r="BC90" s="34"/>
      <c r="BD90" s="28"/>
    </row>
    <row r="91" spans="1:60" ht="5.15" customHeight="1">
      <c r="A91" s="22"/>
      <c r="B91" s="202"/>
      <c r="C91" s="476"/>
      <c r="D91" s="72"/>
      <c r="E91" s="72"/>
      <c r="F91" s="72"/>
      <c r="G91" s="72"/>
      <c r="H91" s="297"/>
      <c r="I91" s="278"/>
      <c r="J91" s="279"/>
      <c r="K91" s="278"/>
      <c r="L91" s="279"/>
      <c r="M91" s="298"/>
      <c r="N91" s="298"/>
      <c r="O91" s="263"/>
      <c r="P91" s="298"/>
      <c r="Q91" s="263"/>
      <c r="R91" s="298"/>
      <c r="S91" s="72"/>
      <c r="T91" s="72"/>
      <c r="U91" s="72"/>
      <c r="V91" s="72"/>
      <c r="W91" s="72"/>
      <c r="X91" s="297"/>
      <c r="Y91" s="278"/>
      <c r="Z91" s="279"/>
      <c r="AA91" s="278"/>
      <c r="AB91" s="279"/>
      <c r="AC91" s="298"/>
      <c r="AD91" s="298"/>
      <c r="AE91" s="263"/>
      <c r="AF91" s="298"/>
      <c r="AG91" s="263"/>
      <c r="AH91" s="298"/>
      <c r="AI91" s="280"/>
      <c r="AJ91" s="298"/>
      <c r="AK91" s="263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300"/>
      <c r="AW91" s="72"/>
      <c r="AX91" s="72"/>
      <c r="AY91" s="264"/>
      <c r="AZ91" s="33"/>
      <c r="BA91" s="46"/>
      <c r="BB91" s="335"/>
      <c r="BC91" s="336"/>
      <c r="BD91" s="28"/>
    </row>
    <row r="92" spans="1:60" ht="14.15" customHeight="1">
      <c r="A92" s="22"/>
      <c r="B92" s="202">
        <v>35</v>
      </c>
      <c r="C92" s="62" t="s">
        <v>242</v>
      </c>
      <c r="D92" s="332"/>
      <c r="E92" s="65"/>
      <c r="F92" s="65"/>
      <c r="G92" s="65"/>
      <c r="H92" s="65"/>
      <c r="I92" s="65"/>
      <c r="J92" s="477"/>
      <c r="K92" s="477"/>
      <c r="L92" s="477"/>
      <c r="M92" s="477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125"/>
      <c r="AU92" s="65"/>
      <c r="AV92" s="65"/>
      <c r="AW92" s="65"/>
      <c r="AX92" s="65"/>
      <c r="AY92" s="65"/>
      <c r="AZ92" s="33"/>
      <c r="BA92" s="46"/>
      <c r="BB92" s="335"/>
      <c r="BC92" s="336"/>
      <c r="BD92" s="28"/>
      <c r="BG92" s="24"/>
      <c r="BH92" s="28"/>
    </row>
    <row r="93" spans="1:60" ht="14.15" customHeight="1">
      <c r="A93" s="22"/>
      <c r="B93" s="202">
        <v>35</v>
      </c>
      <c r="C93" s="331"/>
      <c r="D93" s="332"/>
      <c r="E93" s="65"/>
      <c r="F93" s="65"/>
      <c r="G93" s="65"/>
      <c r="H93" s="65"/>
      <c r="I93" s="65"/>
      <c r="J93" s="477"/>
      <c r="K93" s="477"/>
      <c r="L93" s="477"/>
      <c r="M93" s="477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125"/>
      <c r="AU93" s="65"/>
      <c r="AV93" s="65"/>
      <c r="AW93" s="65"/>
      <c r="AX93" s="65"/>
      <c r="AY93" s="65"/>
      <c r="AZ93" s="33"/>
      <c r="BA93" s="46"/>
      <c r="BB93" s="335"/>
      <c r="BC93" s="336"/>
      <c r="BD93" s="28"/>
      <c r="BG93" s="24"/>
      <c r="BH93" s="28"/>
    </row>
    <row r="94" spans="1:60" ht="14.15" customHeight="1">
      <c r="A94" s="22"/>
      <c r="B94" s="202">
        <v>35</v>
      </c>
      <c r="C94" s="346" t="s">
        <v>248</v>
      </c>
      <c r="D94" s="332"/>
      <c r="E94" s="65"/>
      <c r="F94" s="65"/>
      <c r="G94" s="65"/>
      <c r="H94" s="65"/>
      <c r="I94" s="65"/>
      <c r="J94" s="969"/>
      <c r="K94" s="969"/>
      <c r="L94" s="969"/>
      <c r="M94" s="969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125"/>
      <c r="AU94" s="65"/>
      <c r="AV94" s="65"/>
      <c r="AW94" s="65"/>
      <c r="AX94" s="65"/>
      <c r="AY94" s="65"/>
      <c r="AZ94" s="33"/>
      <c r="BA94" s="46"/>
      <c r="BB94" s="335"/>
      <c r="BC94" s="336"/>
      <c r="BD94" s="28"/>
      <c r="BG94" s="24"/>
      <c r="BH94" s="28"/>
    </row>
    <row r="95" spans="1:60" ht="5.15" customHeight="1">
      <c r="A95" s="22"/>
      <c r="B95" s="202"/>
      <c r="C95" s="296"/>
      <c r="D95" s="72"/>
      <c r="E95" s="72"/>
      <c r="F95" s="72"/>
      <c r="G95" s="72"/>
      <c r="H95" s="297"/>
      <c r="I95" s="278"/>
      <c r="J95" s="279"/>
      <c r="K95" s="278"/>
      <c r="L95" s="279"/>
      <c r="M95" s="298"/>
      <c r="N95" s="298"/>
      <c r="O95" s="263"/>
      <c r="P95" s="298"/>
      <c r="Q95" s="263"/>
      <c r="R95" s="298"/>
      <c r="S95" s="72"/>
      <c r="T95" s="72"/>
      <c r="U95" s="72"/>
      <c r="V95" s="72"/>
      <c r="W95" s="72"/>
      <c r="X95" s="297"/>
      <c r="Y95" s="278"/>
      <c r="Z95" s="279"/>
      <c r="AA95" s="278"/>
      <c r="AB95" s="279"/>
      <c r="AC95" s="298"/>
      <c r="AD95" s="298"/>
      <c r="AE95" s="263"/>
      <c r="AF95" s="298"/>
      <c r="AG95" s="263"/>
      <c r="AH95" s="298"/>
      <c r="AI95" s="280"/>
      <c r="AJ95" s="298"/>
      <c r="AK95" s="263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300"/>
      <c r="AW95" s="72"/>
      <c r="AX95" s="72"/>
      <c r="AY95" s="265"/>
      <c r="AZ95" s="33"/>
      <c r="BA95" s="46"/>
      <c r="BB95" s="335"/>
      <c r="BC95" s="336"/>
      <c r="BD95" s="28"/>
    </row>
    <row r="96" spans="1:60" ht="13.5" customHeight="1">
      <c r="A96" s="22"/>
      <c r="B96" s="45"/>
      <c r="C96" s="266"/>
      <c r="D96" s="28" t="s">
        <v>249</v>
      </c>
      <c r="E96" s="28"/>
      <c r="F96" s="28"/>
      <c r="G96" s="28"/>
      <c r="H96" s="24"/>
      <c r="I96" s="24"/>
      <c r="J96" s="24"/>
      <c r="K96" s="24"/>
      <c r="L96" s="24"/>
      <c r="M96" s="127"/>
      <c r="N96" s="75"/>
      <c r="O96" s="84"/>
      <c r="P96" s="84"/>
      <c r="Q96" s="85"/>
      <c r="R96" s="75"/>
      <c r="S96" s="75"/>
      <c r="T96" s="75"/>
      <c r="U96" s="84"/>
      <c r="V96" s="85"/>
      <c r="W96" s="75"/>
      <c r="X96" s="65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65"/>
      <c r="AY96" s="267"/>
      <c r="AZ96" s="33"/>
      <c r="BA96" s="46"/>
      <c r="BB96" s="335"/>
      <c r="BC96" s="336"/>
      <c r="BD96" s="28"/>
      <c r="BE96" s="35"/>
      <c r="BF96" s="35"/>
      <c r="BG96" s="35"/>
    </row>
    <row r="97" spans="1:69" ht="13.5" customHeight="1">
      <c r="A97" s="22"/>
      <c r="B97" s="45"/>
      <c r="C97" s="266"/>
      <c r="D97" s="28"/>
      <c r="E97" s="28"/>
      <c r="F97" s="28"/>
      <c r="G97" s="28"/>
      <c r="H97" s="348" t="s">
        <v>251</v>
      </c>
      <c r="I97" s="131"/>
      <c r="J97" s="131"/>
      <c r="K97" s="131"/>
      <c r="L97" s="132"/>
      <c r="M97" s="132"/>
      <c r="N97" s="106"/>
      <c r="O97" s="133"/>
      <c r="P97" s="134"/>
      <c r="Q97" s="133" t="s">
        <v>250</v>
      </c>
      <c r="R97" s="134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33" t="s">
        <v>43</v>
      </c>
      <c r="AM97" s="134"/>
      <c r="AN97" s="107"/>
      <c r="AO97" s="31"/>
      <c r="AP97" s="31"/>
      <c r="AQ97" s="31"/>
      <c r="AR97" s="31"/>
      <c r="AS97" s="31"/>
      <c r="AT97" s="31"/>
      <c r="AU97" s="31"/>
      <c r="AV97" s="31"/>
      <c r="AW97" s="31"/>
      <c r="AX97" s="65"/>
      <c r="AY97" s="267"/>
      <c r="AZ97" s="33"/>
      <c r="BA97" s="46"/>
      <c r="BB97" s="335"/>
      <c r="BC97" s="336"/>
      <c r="BD97" s="28"/>
      <c r="BE97" s="35"/>
      <c r="BF97" s="35"/>
      <c r="BG97" s="35"/>
    </row>
    <row r="98" spans="1:69" ht="13.5" customHeight="1">
      <c r="A98" s="22"/>
      <c r="B98" s="45"/>
      <c r="C98" s="266"/>
      <c r="D98" s="28"/>
      <c r="E98" s="28"/>
      <c r="F98" s="28"/>
      <c r="G98" s="28"/>
      <c r="H98" s="485" t="s">
        <v>254</v>
      </c>
      <c r="I98" s="137"/>
      <c r="J98" s="137"/>
      <c r="K98" s="137"/>
      <c r="L98" s="137"/>
      <c r="M98" s="137"/>
      <c r="N98" s="137"/>
      <c r="O98" s="350"/>
      <c r="P98" s="139"/>
      <c r="Q98" s="486" t="s">
        <v>53</v>
      </c>
      <c r="R98" s="139"/>
      <c r="S98" s="108"/>
      <c r="T98" s="108"/>
      <c r="U98" s="108"/>
      <c r="V98" s="156"/>
      <c r="W98" s="110"/>
      <c r="X98" s="110"/>
      <c r="Y98" s="156"/>
      <c r="Z98" s="156"/>
      <c r="AA98" s="110"/>
      <c r="AB98" s="110"/>
      <c r="AC98" s="37"/>
      <c r="AD98" s="37"/>
      <c r="AE98" s="37"/>
      <c r="AF98" s="37"/>
      <c r="AG98" s="37"/>
      <c r="AH98" s="37"/>
      <c r="AI98" s="37"/>
      <c r="AJ98" s="37"/>
      <c r="AK98" s="97"/>
      <c r="AL98" s="140"/>
      <c r="AM98" s="141"/>
      <c r="AN98" s="142"/>
      <c r="AO98" s="31"/>
      <c r="AP98" s="31"/>
      <c r="AQ98" s="31"/>
      <c r="AR98" s="31"/>
      <c r="AS98" s="31"/>
      <c r="AT98" s="31"/>
      <c r="AU98" s="31"/>
      <c r="AV98" s="31"/>
      <c r="AW98" s="31"/>
      <c r="AX98" s="65"/>
      <c r="AY98" s="267"/>
      <c r="AZ98" s="33"/>
      <c r="BA98" s="46"/>
      <c r="BB98" s="335"/>
      <c r="BC98" s="336"/>
      <c r="BD98" s="28"/>
      <c r="BE98" s="35"/>
      <c r="BF98" s="35"/>
      <c r="BG98" s="35"/>
    </row>
    <row r="99" spans="1:69" ht="13.5" customHeight="1">
      <c r="A99" s="22"/>
      <c r="B99" s="45"/>
      <c r="C99" s="266"/>
      <c r="D99" s="28"/>
      <c r="E99" s="28"/>
      <c r="F99" s="28"/>
      <c r="G99" s="28"/>
      <c r="H99" s="485" t="s">
        <v>255</v>
      </c>
      <c r="I99" s="137"/>
      <c r="J99" s="137"/>
      <c r="K99" s="137"/>
      <c r="L99" s="137"/>
      <c r="M99" s="137"/>
      <c r="N99" s="137"/>
      <c r="O99" s="350"/>
      <c r="P99" s="139"/>
      <c r="Q99" s="486" t="s">
        <v>53</v>
      </c>
      <c r="R99" s="139"/>
      <c r="S99" s="108"/>
      <c r="T99" s="108"/>
      <c r="U99" s="108"/>
      <c r="V99" s="156"/>
      <c r="W99" s="110"/>
      <c r="X99" s="110"/>
      <c r="Y99" s="156"/>
      <c r="Z99" s="156"/>
      <c r="AA99" s="110"/>
      <c r="AB99" s="110"/>
      <c r="AC99" s="37"/>
      <c r="AD99" s="37"/>
      <c r="AE99" s="37"/>
      <c r="AF99" s="37"/>
      <c r="AG99" s="37"/>
      <c r="AH99" s="37"/>
      <c r="AI99" s="37"/>
      <c r="AJ99" s="37"/>
      <c r="AK99" s="97"/>
      <c r="AL99" s="140"/>
      <c r="AM99" s="141"/>
      <c r="AN99" s="142"/>
      <c r="AO99" s="31"/>
      <c r="AP99" s="31"/>
      <c r="AQ99" s="31"/>
      <c r="AR99" s="31"/>
      <c r="AS99" s="31"/>
      <c r="AT99" s="31"/>
      <c r="AU99" s="31"/>
      <c r="AV99" s="31"/>
      <c r="AW99" s="31"/>
      <c r="AX99" s="65"/>
      <c r="AY99" s="267"/>
      <c r="AZ99" s="33"/>
      <c r="BA99" s="46"/>
      <c r="BB99" s="335"/>
      <c r="BC99" s="336"/>
      <c r="BD99" s="28"/>
      <c r="BE99" s="35"/>
      <c r="BF99" s="35"/>
      <c r="BG99" s="35"/>
    </row>
    <row r="100" spans="1:69" ht="13.5" customHeight="1">
      <c r="A100" s="22"/>
      <c r="B100" s="45"/>
      <c r="C100" s="266"/>
      <c r="D100" s="28"/>
      <c r="E100" s="28"/>
      <c r="F100" s="28"/>
      <c r="G100" s="28"/>
      <c r="H100" s="485" t="s">
        <v>256</v>
      </c>
      <c r="I100" s="137"/>
      <c r="J100" s="137"/>
      <c r="K100" s="137"/>
      <c r="L100" s="137"/>
      <c r="M100" s="137"/>
      <c r="N100" s="137"/>
      <c r="O100" s="350"/>
      <c r="P100" s="139"/>
      <c r="Q100" s="486" t="s">
        <v>53</v>
      </c>
      <c r="R100" s="139"/>
      <c r="S100" s="108"/>
      <c r="T100" s="108"/>
      <c r="U100" s="108"/>
      <c r="V100" s="156"/>
      <c r="W100" s="110"/>
      <c r="X100" s="110"/>
      <c r="Y100" s="156"/>
      <c r="Z100" s="156"/>
      <c r="AA100" s="110"/>
      <c r="AB100" s="110"/>
      <c r="AC100" s="37"/>
      <c r="AD100" s="37"/>
      <c r="AE100" s="37"/>
      <c r="AF100" s="37"/>
      <c r="AG100" s="37"/>
      <c r="AH100" s="37"/>
      <c r="AI100" s="37"/>
      <c r="AJ100" s="37"/>
      <c r="AK100" s="97"/>
      <c r="AL100" s="140"/>
      <c r="AM100" s="141"/>
      <c r="AN100" s="142"/>
      <c r="AO100" s="31"/>
      <c r="AP100" s="31"/>
      <c r="AQ100" s="31"/>
      <c r="AR100" s="31"/>
      <c r="AS100" s="31"/>
      <c r="AT100" s="31"/>
      <c r="AU100" s="31"/>
      <c r="AV100" s="31"/>
      <c r="AW100" s="31"/>
      <c r="AX100" s="65"/>
      <c r="AY100" s="267"/>
      <c r="AZ100" s="33"/>
      <c r="BA100" s="46"/>
      <c r="BB100" s="335"/>
      <c r="BC100" s="336"/>
      <c r="BD100" s="28"/>
      <c r="BE100" s="35"/>
      <c r="BF100" s="35"/>
      <c r="BG100" s="35"/>
    </row>
    <row r="101" spans="1:69" ht="5.15" customHeight="1">
      <c r="A101" s="22"/>
      <c r="B101" s="202"/>
      <c r="C101" s="315"/>
      <c r="D101" s="73"/>
      <c r="E101" s="73"/>
      <c r="F101" s="73"/>
      <c r="G101" s="73"/>
      <c r="H101" s="316"/>
      <c r="I101" s="275"/>
      <c r="J101" s="273"/>
      <c r="K101" s="275"/>
      <c r="L101" s="273"/>
      <c r="M101" s="317"/>
      <c r="N101" s="317"/>
      <c r="O101" s="270"/>
      <c r="P101" s="317"/>
      <c r="Q101" s="270"/>
      <c r="R101" s="317"/>
      <c r="S101" s="73"/>
      <c r="T101" s="73"/>
      <c r="U101" s="73"/>
      <c r="V101" s="73"/>
      <c r="W101" s="73"/>
      <c r="X101" s="316"/>
      <c r="Y101" s="275"/>
      <c r="Z101" s="273"/>
      <c r="AA101" s="275"/>
      <c r="AB101" s="273"/>
      <c r="AC101" s="317"/>
      <c r="AD101" s="317"/>
      <c r="AE101" s="270"/>
      <c r="AF101" s="317"/>
      <c r="AG101" s="270"/>
      <c r="AH101" s="317"/>
      <c r="AI101" s="276"/>
      <c r="AJ101" s="317"/>
      <c r="AK101" s="270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318"/>
      <c r="AW101" s="73"/>
      <c r="AX101" s="73"/>
      <c r="AY101" s="277"/>
      <c r="AZ101" s="33"/>
      <c r="BA101" s="46"/>
      <c r="BB101" s="335"/>
      <c r="BC101" s="336"/>
      <c r="BD101" s="28"/>
    </row>
    <row r="102" spans="1:69" ht="14.15" customHeight="1">
      <c r="A102" s="22"/>
      <c r="B102" s="202"/>
      <c r="C102" s="331"/>
      <c r="D102" s="332"/>
      <c r="E102" s="65"/>
      <c r="F102" s="65"/>
      <c r="G102" s="65"/>
      <c r="H102" s="65"/>
      <c r="I102" s="65"/>
      <c r="J102" s="354"/>
      <c r="K102" s="354"/>
      <c r="L102" s="354"/>
      <c r="M102" s="354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125"/>
      <c r="AU102" s="65"/>
      <c r="AV102" s="65"/>
      <c r="AW102" s="65"/>
      <c r="AX102" s="65"/>
      <c r="AY102" s="65"/>
      <c r="AZ102" s="33"/>
      <c r="BA102" s="46"/>
      <c r="BB102" s="335"/>
      <c r="BC102" s="336"/>
      <c r="BD102" s="28"/>
      <c r="BG102" s="24"/>
      <c r="BH102" s="28"/>
    </row>
    <row r="103" spans="1:69" ht="13.5" customHeight="1">
      <c r="A103" s="22"/>
      <c r="B103" s="202">
        <v>36</v>
      </c>
      <c r="C103" s="331"/>
      <c r="D103" s="332"/>
      <c r="E103" s="65"/>
      <c r="F103" s="65"/>
      <c r="G103" s="65"/>
      <c r="H103" s="65"/>
      <c r="I103" s="65"/>
      <c r="J103" s="969"/>
      <c r="K103" s="969"/>
      <c r="L103" s="969"/>
      <c r="M103" s="969"/>
      <c r="N103" s="63"/>
      <c r="O103" s="65"/>
      <c r="P103" s="65"/>
      <c r="Q103" s="65"/>
      <c r="R103" s="28"/>
      <c r="S103" s="28"/>
      <c r="T103" s="31"/>
      <c r="U103" s="31"/>
      <c r="V103" s="31"/>
      <c r="W103" s="31"/>
      <c r="X103" s="31"/>
      <c r="Y103" s="44"/>
      <c r="Z103" s="31"/>
      <c r="AA103" s="28"/>
      <c r="AB103" s="44"/>
      <c r="AC103" s="31"/>
      <c r="AD103" s="28"/>
      <c r="AE103" s="44"/>
      <c r="AF103" s="28"/>
      <c r="AG103" s="116"/>
      <c r="AH103" s="41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33"/>
      <c r="BA103" s="46"/>
      <c r="BB103" s="78"/>
      <c r="BC103" s="34"/>
      <c r="BD103" s="28"/>
      <c r="BG103" s="24"/>
      <c r="BH103" s="28"/>
    </row>
    <row r="104" spans="1:69" ht="13.5" customHeight="1">
      <c r="A104" s="22"/>
      <c r="B104" s="202">
        <v>37</v>
      </c>
      <c r="C104" s="331"/>
      <c r="D104" s="332"/>
      <c r="E104" s="65"/>
      <c r="F104" s="65"/>
      <c r="G104" s="65"/>
      <c r="H104" s="65"/>
      <c r="I104" s="65"/>
      <c r="J104" s="969"/>
      <c r="K104" s="969"/>
      <c r="L104" s="969"/>
      <c r="M104" s="969"/>
      <c r="N104" s="193"/>
      <c r="O104" s="195"/>
      <c r="P104" s="193"/>
      <c r="Q104" s="194"/>
      <c r="R104" s="194"/>
      <c r="S104" s="194"/>
      <c r="T104" s="196"/>
      <c r="U104" s="196"/>
      <c r="V104" s="196"/>
      <c r="W104" s="196"/>
      <c r="X104" s="196"/>
      <c r="Y104" s="195"/>
      <c r="Z104" s="196"/>
      <c r="AA104" s="194"/>
      <c r="AB104" s="195"/>
      <c r="AC104" s="196"/>
      <c r="AD104" s="194"/>
      <c r="AE104" s="195"/>
      <c r="AF104" s="194"/>
      <c r="AG104" s="194"/>
      <c r="AH104" s="195"/>
      <c r="AI104" s="194"/>
      <c r="AJ104" s="194"/>
      <c r="AK104" s="197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  <c r="AV104" s="194"/>
      <c r="AW104" s="194"/>
      <c r="AX104" s="194"/>
      <c r="AY104" s="194"/>
      <c r="AZ104" s="33"/>
      <c r="BA104" s="46"/>
      <c r="BB104" s="78"/>
      <c r="BC104" s="34"/>
      <c r="BD104" s="28"/>
      <c r="BG104" s="24"/>
      <c r="BH104" s="28"/>
    </row>
    <row r="105" spans="1:69">
      <c r="A105" s="22"/>
      <c r="B105" s="32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81"/>
      <c r="T105" s="81"/>
      <c r="U105" s="81"/>
      <c r="V105" s="81"/>
      <c r="W105" s="28"/>
      <c r="X105" s="28"/>
      <c r="Y105" s="81"/>
      <c r="Z105" s="81"/>
      <c r="AA105" s="28"/>
      <c r="AB105" s="28"/>
      <c r="AC105" s="28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31"/>
      <c r="AZ105" s="33"/>
      <c r="BA105" s="46"/>
      <c r="BB105" s="78"/>
      <c r="BC105" s="34"/>
    </row>
    <row r="106" spans="1:69" s="81" customFormat="1">
      <c r="A106" s="155"/>
      <c r="B106" s="95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56"/>
      <c r="T106" s="156"/>
      <c r="U106" s="156"/>
      <c r="V106" s="156"/>
      <c r="W106" s="110"/>
      <c r="X106" s="110"/>
      <c r="Y106" s="156"/>
      <c r="Z106" s="156"/>
      <c r="AA106" s="110"/>
      <c r="AB106" s="110"/>
      <c r="AC106" s="110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95"/>
      <c r="AZ106" s="95"/>
      <c r="BA106" s="157"/>
      <c r="BB106" s="79"/>
      <c r="BC106" s="40"/>
      <c r="BE106" s="28"/>
      <c r="BF106" s="28"/>
      <c r="BG106" s="28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</row>
  </sheetData>
  <mergeCells count="86">
    <mergeCell ref="J86:M86"/>
    <mergeCell ref="J94:M94"/>
    <mergeCell ref="J103:M103"/>
    <mergeCell ref="J104:M104"/>
    <mergeCell ref="AM42:AP42"/>
    <mergeCell ref="AM43:AP43"/>
    <mergeCell ref="AO57:AR57"/>
    <mergeCell ref="AO58:AR58"/>
    <mergeCell ref="J68:M68"/>
    <mergeCell ref="J70:M70"/>
    <mergeCell ref="J77:M77"/>
    <mergeCell ref="X64:AA64"/>
    <mergeCell ref="AB64:AF64"/>
    <mergeCell ref="AG64:AJ64"/>
    <mergeCell ref="J78:M78"/>
    <mergeCell ref="J80:M80"/>
    <mergeCell ref="AK64:AN64"/>
    <mergeCell ref="AO64:AR64"/>
    <mergeCell ref="AS64:AV64"/>
    <mergeCell ref="BE57:BG57"/>
    <mergeCell ref="T58:W58"/>
    <mergeCell ref="X58:AA58"/>
    <mergeCell ref="AB58:AF58"/>
    <mergeCell ref="AG58:AJ58"/>
    <mergeCell ref="AK58:AN58"/>
    <mergeCell ref="AS58:AV58"/>
    <mergeCell ref="BE58:BG58"/>
    <mergeCell ref="BA57:BD57"/>
    <mergeCell ref="BA58:BD58"/>
    <mergeCell ref="AW64:AZ64"/>
    <mergeCell ref="BA64:BD64"/>
    <mergeCell ref="AS61:AV61"/>
    <mergeCell ref="AQ43:AT43"/>
    <mergeCell ref="AU43:AW43"/>
    <mergeCell ref="T57:W57"/>
    <mergeCell ref="X57:AA57"/>
    <mergeCell ref="AB57:AF57"/>
    <mergeCell ref="AG57:AJ57"/>
    <mergeCell ref="AK57:AN57"/>
    <mergeCell ref="AS57:AV57"/>
    <mergeCell ref="R43:U43"/>
    <mergeCell ref="V43:Y43"/>
    <mergeCell ref="Z43:AC43"/>
    <mergeCell ref="AD43:AG43"/>
    <mergeCell ref="AH43:AL43"/>
    <mergeCell ref="A5:BA5"/>
    <mergeCell ref="BB5:BC5"/>
    <mergeCell ref="R42:U42"/>
    <mergeCell ref="V42:Y42"/>
    <mergeCell ref="Z42:AC42"/>
    <mergeCell ref="AD42:AG42"/>
    <mergeCell ref="AH42:AL42"/>
    <mergeCell ref="AQ42:AT42"/>
    <mergeCell ref="AU42:AW42"/>
    <mergeCell ref="AV2:AY2"/>
    <mergeCell ref="AZ2:BC3"/>
    <mergeCell ref="A3:H3"/>
    <mergeCell ref="I3:L3"/>
    <mergeCell ref="M3:W3"/>
    <mergeCell ref="X3:Z3"/>
    <mergeCell ref="AA3:AR3"/>
    <mergeCell ref="AS3:AU3"/>
    <mergeCell ref="AV3:AY3"/>
    <mergeCell ref="AN1:AR1"/>
    <mergeCell ref="AS1:AU1"/>
    <mergeCell ref="AV1:AY1"/>
    <mergeCell ref="AZ1:BC1"/>
    <mergeCell ref="A2:H2"/>
    <mergeCell ref="I2:L2"/>
    <mergeCell ref="M2:W2"/>
    <mergeCell ref="AK2:AM2"/>
    <mergeCell ref="AN2:AR2"/>
    <mergeCell ref="AS2:AU2"/>
    <mergeCell ref="A1:H1"/>
    <mergeCell ref="I1:L1"/>
    <mergeCell ref="M1:W1"/>
    <mergeCell ref="X1:Z2"/>
    <mergeCell ref="AA1:AJ2"/>
    <mergeCell ref="AK1:AM1"/>
    <mergeCell ref="AW61:AZ61"/>
    <mergeCell ref="BA61:BD61"/>
    <mergeCell ref="X61:AA61"/>
    <mergeCell ref="AB61:AF61"/>
    <mergeCell ref="AG61:AJ61"/>
    <mergeCell ref="AK61:AN61"/>
    <mergeCell ref="AO61:AR61"/>
  </mergeCells>
  <phoneticPr fontId="57"/>
  <conditionalFormatting sqref="AO61:AV61">
    <cfRule type="cellIs" dxfId="29" priority="1" operator="lessThan">
      <formula>0</formula>
    </cfRule>
    <cfRule type="expression" dxfId="28" priority="2">
      <formula>$AK$64&lt;30</formula>
    </cfRule>
  </conditionalFormatting>
  <conditionalFormatting sqref="AO64:AV64">
    <cfRule type="cellIs" dxfId="27" priority="6" operator="lessThan">
      <formula>0</formula>
    </cfRule>
    <cfRule type="expression" dxfId="26" priority="10">
      <formula>$AK$64&lt;30</formula>
    </cfRule>
  </conditionalFormatting>
  <conditionalFormatting sqref="AS57:AV58">
    <cfRule type="cellIs" dxfId="25" priority="8" operator="lessThan">
      <formula>0</formula>
    </cfRule>
  </conditionalFormatting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DBC6-994B-4366-A549-4789C391367A}">
  <dimension ref="A1:BV116"/>
  <sheetViews>
    <sheetView showGridLines="0" topLeftCell="A5" zoomScaleNormal="100" zoomScaleSheetLayoutView="100" workbookViewId="0">
      <pane ySplit="2" topLeftCell="A7" activePane="bottomLeft" state="frozen"/>
      <selection activeCell="Z20" sqref="Z20"/>
      <selection pane="bottomLeft" activeCell="Z20" sqref="Z20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81" customWidth="1"/>
    <col min="57" max="59" width="2.6328125" style="28" customWidth="1"/>
    <col min="60" max="128" width="2.6328125" style="35" customWidth="1"/>
    <col min="129" max="16384" width="9" style="35"/>
  </cols>
  <sheetData>
    <row r="1" spans="1:59" ht="12" customHeight="1">
      <c r="A1" s="754" t="s">
        <v>4</v>
      </c>
      <c r="B1" s="754"/>
      <c r="C1" s="754"/>
      <c r="D1" s="754"/>
      <c r="E1" s="754"/>
      <c r="F1" s="754"/>
      <c r="G1" s="754"/>
      <c r="H1" s="754"/>
      <c r="I1" s="737" t="s">
        <v>5</v>
      </c>
      <c r="J1" s="737"/>
      <c r="K1" s="737"/>
      <c r="L1" s="737"/>
      <c r="M1" s="752" t="str">
        <f>変更来歴!M1</f>
        <v>ヒロセ電機株式会社</v>
      </c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37" t="s">
        <v>7</v>
      </c>
      <c r="Y1" s="737"/>
      <c r="Z1" s="737"/>
      <c r="AA1" s="756" t="str">
        <f>変更来歴!AA1</f>
        <v>化学物質データ申請</v>
      </c>
      <c r="AB1" s="756"/>
      <c r="AC1" s="756"/>
      <c r="AD1" s="756"/>
      <c r="AE1" s="756"/>
      <c r="AF1" s="756"/>
      <c r="AG1" s="756"/>
      <c r="AH1" s="756"/>
      <c r="AI1" s="756"/>
      <c r="AJ1" s="756"/>
      <c r="AK1" s="741" t="s">
        <v>8</v>
      </c>
      <c r="AL1" s="741"/>
      <c r="AM1" s="741"/>
      <c r="AN1" s="742" t="str">
        <f>変更来歴!AP7</f>
        <v>古竹</v>
      </c>
      <c r="AO1" s="742"/>
      <c r="AP1" s="742"/>
      <c r="AQ1" s="742"/>
      <c r="AR1" s="742"/>
      <c r="AS1" s="741" t="s">
        <v>9</v>
      </c>
      <c r="AT1" s="741"/>
      <c r="AU1" s="741"/>
      <c r="AV1" s="744">
        <f>変更来歴!AL7</f>
        <v>46125</v>
      </c>
      <c r="AW1" s="757"/>
      <c r="AX1" s="757"/>
      <c r="AY1" s="757"/>
      <c r="AZ1" s="733" t="s">
        <v>10</v>
      </c>
      <c r="BA1" s="734"/>
      <c r="BB1" s="734"/>
      <c r="BC1" s="735"/>
    </row>
    <row r="2" spans="1:59">
      <c r="A2" s="736" t="s">
        <v>16</v>
      </c>
      <c r="B2" s="736"/>
      <c r="C2" s="736"/>
      <c r="D2" s="736"/>
      <c r="E2" s="736"/>
      <c r="F2" s="736"/>
      <c r="G2" s="736"/>
      <c r="H2" s="736"/>
      <c r="I2" s="737" t="s">
        <v>11</v>
      </c>
      <c r="J2" s="737"/>
      <c r="K2" s="737"/>
      <c r="L2" s="737"/>
      <c r="M2" s="791" t="str">
        <f>変更来歴!M2</f>
        <v>新環境証明書システム移行</v>
      </c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37"/>
      <c r="Y2" s="737"/>
      <c r="Z2" s="737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41" t="s">
        <v>12</v>
      </c>
      <c r="AL2" s="741"/>
      <c r="AM2" s="741"/>
      <c r="AN2" s="742" t="str">
        <f ca="1">INDIRECT("変更来歴!AP" &amp; COUNTA(変更来歴!AP7:'変更来歴'!AP39) + 6)</f>
        <v>古竹</v>
      </c>
      <c r="AO2" s="742"/>
      <c r="AP2" s="742"/>
      <c r="AQ2" s="742"/>
      <c r="AR2" s="742"/>
      <c r="AS2" s="741" t="s">
        <v>13</v>
      </c>
      <c r="AT2" s="741"/>
      <c r="AU2" s="741"/>
      <c r="AV2" s="744">
        <f ca="1">INDIRECT("変更来歴!AL" &amp; COUNTA(変更来歴!AL7:'変更来歴'!AL39) + 6)</f>
        <v>46190</v>
      </c>
      <c r="AW2" s="757"/>
      <c r="AX2" s="757"/>
      <c r="AY2" s="757"/>
      <c r="AZ2" s="745" t="str">
        <f>変更来歴!AX2</f>
        <v>IMWF-53</v>
      </c>
      <c r="BA2" s="746"/>
      <c r="BB2" s="746"/>
      <c r="BC2" s="747"/>
    </row>
    <row r="3" spans="1:59" ht="12" customHeight="1">
      <c r="A3" s="751" t="str">
        <f>変更来歴!A3</f>
        <v>画面設計書</v>
      </c>
      <c r="B3" s="751"/>
      <c r="C3" s="751"/>
      <c r="D3" s="751"/>
      <c r="E3" s="751"/>
      <c r="F3" s="751"/>
      <c r="G3" s="751"/>
      <c r="H3" s="751"/>
      <c r="I3" s="737" t="s">
        <v>14</v>
      </c>
      <c r="J3" s="737"/>
      <c r="K3" s="737"/>
      <c r="L3" s="737"/>
      <c r="M3" s="752" t="str">
        <f ca="1">RIGHT(CELL("filename",A1),LEN(CELL("filename",A1))-FIND("]",CELL("filename",A1)))</f>
        <v>円(コリア原計)</v>
      </c>
      <c r="N3" s="752"/>
      <c r="O3" s="752"/>
      <c r="P3" s="752"/>
      <c r="Q3" s="752"/>
      <c r="R3" s="752"/>
      <c r="S3" s="752"/>
      <c r="T3" s="752"/>
      <c r="U3" s="752"/>
      <c r="V3" s="752"/>
      <c r="W3" s="752"/>
      <c r="X3" s="737" t="s">
        <v>27</v>
      </c>
      <c r="Y3" s="737"/>
      <c r="Z3" s="737"/>
      <c r="AA3" s="753" t="str">
        <f ca="1">MID(CELL("filename"),FIND("]",CELL("filename"))+1,LEN(CELL("filename"))) &amp; "画面"</f>
        <v>表紙画面</v>
      </c>
      <c r="AB3" s="753"/>
      <c r="AC3" s="753"/>
      <c r="AD3" s="753"/>
      <c r="AE3" s="753"/>
      <c r="AF3" s="753"/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41" t="s">
        <v>15</v>
      </c>
      <c r="AT3" s="741"/>
      <c r="AU3" s="741"/>
      <c r="AV3" s="757" t="str">
        <f ca="1">INDIRECT("変更来歴!A" &amp; COUNTA(変更来歴!A7:'変更来歴'!A39) + 6)</f>
        <v>dr1.5</v>
      </c>
      <c r="AW3" s="757"/>
      <c r="AX3" s="757"/>
      <c r="AY3" s="757"/>
      <c r="AZ3" s="748"/>
      <c r="BA3" s="749"/>
      <c r="BB3" s="749"/>
      <c r="BC3" s="750"/>
    </row>
    <row r="4" spans="1:59" ht="5.9" customHeight="1"/>
    <row r="5" spans="1:59" ht="13.5" customHeight="1">
      <c r="A5" s="792" t="str">
        <f ca="1">"画面レイアウト"&amp;"("&amp;MID(CELL("filename"),FIND("]",CELL("filename"))+1,LEN(CELL("filename")))&amp;")"</f>
        <v>画面レイアウト(表紙)</v>
      </c>
      <c r="B5" s="793"/>
      <c r="C5" s="793"/>
      <c r="D5" s="793"/>
      <c r="E5" s="793"/>
      <c r="F5" s="793"/>
      <c r="G5" s="793"/>
      <c r="H5" s="793"/>
      <c r="I5" s="793"/>
      <c r="J5" s="793"/>
      <c r="K5" s="793"/>
      <c r="L5" s="793"/>
      <c r="M5" s="793"/>
      <c r="N5" s="793"/>
      <c r="O5" s="793"/>
      <c r="P5" s="793"/>
      <c r="Q5" s="793"/>
      <c r="R5" s="793"/>
      <c r="S5" s="793"/>
      <c r="T5" s="793"/>
      <c r="U5" s="793"/>
      <c r="V5" s="793"/>
      <c r="W5" s="793"/>
      <c r="X5" s="793"/>
      <c r="Y5" s="793"/>
      <c r="Z5" s="793"/>
      <c r="AA5" s="793"/>
      <c r="AB5" s="793"/>
      <c r="AC5" s="793"/>
      <c r="AD5" s="793"/>
      <c r="AE5" s="793"/>
      <c r="AF5" s="793"/>
      <c r="AG5" s="793"/>
      <c r="AH5" s="793"/>
      <c r="AI5" s="793"/>
      <c r="AJ5" s="793"/>
      <c r="AK5" s="793"/>
      <c r="AL5" s="793"/>
      <c r="AM5" s="793"/>
      <c r="AN5" s="793"/>
      <c r="AO5" s="793"/>
      <c r="AP5" s="793"/>
      <c r="AQ5" s="793"/>
      <c r="AR5" s="793"/>
      <c r="AS5" s="793"/>
      <c r="AT5" s="793"/>
      <c r="AU5" s="793"/>
      <c r="AV5" s="793"/>
      <c r="AW5" s="793"/>
      <c r="AX5" s="793"/>
      <c r="AY5" s="793"/>
      <c r="AZ5" s="793"/>
      <c r="BA5" s="794"/>
      <c r="BB5" s="784" t="s">
        <v>24</v>
      </c>
      <c r="BC5" s="785"/>
      <c r="BD5" s="28"/>
    </row>
    <row r="6" spans="1:59" ht="13.5" customHeight="1">
      <c r="A6" s="27"/>
      <c r="B6" s="186">
        <v>1</v>
      </c>
      <c r="C6" s="186">
        <v>2</v>
      </c>
      <c r="D6" s="186">
        <v>3</v>
      </c>
      <c r="E6" s="186">
        <v>4</v>
      </c>
      <c r="F6" s="186">
        <v>5</v>
      </c>
      <c r="G6" s="186">
        <v>6</v>
      </c>
      <c r="H6" s="186">
        <v>7</v>
      </c>
      <c r="I6" s="186">
        <v>8</v>
      </c>
      <c r="J6" s="186">
        <v>9</v>
      </c>
      <c r="K6" s="186">
        <v>10</v>
      </c>
      <c r="L6" s="186">
        <v>11</v>
      </c>
      <c r="M6" s="186">
        <v>12</v>
      </c>
      <c r="N6" s="186">
        <v>13</v>
      </c>
      <c r="O6" s="186">
        <v>14</v>
      </c>
      <c r="P6" s="186">
        <v>15</v>
      </c>
      <c r="Q6" s="186">
        <v>16</v>
      </c>
      <c r="R6" s="186">
        <v>17</v>
      </c>
      <c r="S6" s="188">
        <v>18</v>
      </c>
      <c r="T6" s="188">
        <v>19</v>
      </c>
      <c r="U6" s="188">
        <v>20</v>
      </c>
      <c r="V6" s="188">
        <v>21</v>
      </c>
      <c r="W6" s="188">
        <v>22</v>
      </c>
      <c r="X6" s="188">
        <v>23</v>
      </c>
      <c r="Y6" s="188">
        <v>24</v>
      </c>
      <c r="Z6" s="188">
        <v>25</v>
      </c>
      <c r="AA6" s="188">
        <v>26</v>
      </c>
      <c r="AB6" s="188">
        <v>27</v>
      </c>
      <c r="AC6" s="188">
        <v>28</v>
      </c>
      <c r="AD6" s="188">
        <v>29</v>
      </c>
      <c r="AE6" s="188">
        <v>30</v>
      </c>
      <c r="AF6" s="188">
        <v>31</v>
      </c>
      <c r="AG6" s="188">
        <v>32</v>
      </c>
      <c r="AH6" s="188">
        <v>33</v>
      </c>
      <c r="AI6" s="188">
        <v>34</v>
      </c>
      <c r="AJ6" s="187">
        <v>35</v>
      </c>
      <c r="AK6" s="187">
        <v>36</v>
      </c>
      <c r="AL6" s="187">
        <v>37</v>
      </c>
      <c r="AM6" s="187">
        <v>38</v>
      </c>
      <c r="AN6" s="187">
        <v>39</v>
      </c>
      <c r="AO6" s="187">
        <v>40</v>
      </c>
      <c r="AP6" s="187">
        <v>41</v>
      </c>
      <c r="AQ6" s="187">
        <v>42</v>
      </c>
      <c r="AR6" s="187">
        <v>43</v>
      </c>
      <c r="AS6" s="187">
        <v>44</v>
      </c>
      <c r="AT6" s="187">
        <v>45</v>
      </c>
      <c r="AU6" s="187">
        <v>46</v>
      </c>
      <c r="AV6" s="187">
        <v>47</v>
      </c>
      <c r="AW6" s="187">
        <v>48</v>
      </c>
      <c r="AX6" s="187">
        <v>49</v>
      </c>
      <c r="AY6" s="187">
        <v>50</v>
      </c>
      <c r="AZ6" s="187">
        <v>51</v>
      </c>
      <c r="BA6" s="21"/>
      <c r="BB6" s="77"/>
      <c r="BC6" s="42"/>
      <c r="BD6" s="28"/>
    </row>
    <row r="7" spans="1:59" ht="18.75" customHeight="1">
      <c r="A7" s="29"/>
      <c r="B7" s="47" t="s">
        <v>46</v>
      </c>
      <c r="C7" s="36"/>
      <c r="D7" s="36"/>
      <c r="E7" s="36"/>
      <c r="F7" s="36"/>
      <c r="G7" s="36"/>
      <c r="H7" s="48"/>
      <c r="I7" s="36"/>
      <c r="J7" s="48"/>
      <c r="K7" s="36"/>
      <c r="L7" s="36"/>
      <c r="M7" s="36"/>
      <c r="N7" s="48" t="s">
        <v>285</v>
      </c>
      <c r="O7" s="36"/>
      <c r="P7" s="36"/>
      <c r="Q7" s="36"/>
      <c r="R7" s="49" t="s">
        <v>284</v>
      </c>
      <c r="S7" s="36"/>
      <c r="T7" s="36"/>
      <c r="U7" s="36"/>
      <c r="V7" s="36"/>
      <c r="W7" s="36"/>
      <c r="X7" s="36"/>
      <c r="Y7" s="49"/>
      <c r="Z7" s="36"/>
      <c r="AA7" s="36"/>
      <c r="AB7" s="36"/>
      <c r="AC7" s="36"/>
      <c r="AD7" s="36"/>
      <c r="AE7" s="49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0"/>
      <c r="AX7" s="50"/>
      <c r="AY7" s="50"/>
      <c r="AZ7" s="51"/>
      <c r="BA7" s="80" t="s">
        <v>29</v>
      </c>
      <c r="BB7" s="78"/>
      <c r="BC7" s="34"/>
      <c r="BD7" s="28"/>
    </row>
    <row r="8" spans="1:59" ht="18" customHeight="1">
      <c r="A8" s="29"/>
      <c r="B8" s="176"/>
      <c r="C8" s="177"/>
      <c r="D8" s="177"/>
      <c r="E8" s="177" t="s">
        <v>47</v>
      </c>
      <c r="F8" s="177"/>
      <c r="G8" s="177"/>
      <c r="H8" s="178"/>
      <c r="I8" s="178"/>
      <c r="J8" s="178"/>
      <c r="K8" s="178"/>
      <c r="L8" s="179"/>
      <c r="M8" s="178"/>
      <c r="N8" s="57"/>
      <c r="O8" s="57"/>
      <c r="P8" s="179"/>
      <c r="Q8" s="57"/>
      <c r="R8" s="57"/>
      <c r="S8" s="57"/>
      <c r="T8" s="180"/>
      <c r="U8" s="180"/>
      <c r="V8" s="180"/>
      <c r="W8" s="180"/>
      <c r="X8" s="181"/>
      <c r="Y8" s="178"/>
      <c r="Z8" s="178"/>
      <c r="AA8" s="178"/>
      <c r="AB8" s="179"/>
      <c r="AC8" s="178"/>
      <c r="AD8" s="57"/>
      <c r="AE8" s="57"/>
      <c r="AF8" s="179"/>
      <c r="AG8" s="177"/>
      <c r="AH8" s="177"/>
      <c r="AI8" s="182"/>
      <c r="AJ8" s="55"/>
      <c r="AK8" s="55"/>
      <c r="AL8" s="55"/>
      <c r="AM8" s="55"/>
      <c r="AN8" s="183"/>
      <c r="AO8" s="184"/>
      <c r="AP8" s="184"/>
      <c r="AQ8" s="55"/>
      <c r="AR8" s="55"/>
      <c r="AS8" s="55"/>
      <c r="AT8" s="56"/>
      <c r="AU8" s="55"/>
      <c r="AV8" s="57"/>
      <c r="AW8" s="57"/>
      <c r="AX8" s="57"/>
      <c r="AY8" s="177"/>
      <c r="AZ8" s="185"/>
      <c r="BA8" s="143"/>
      <c r="BB8" s="78"/>
      <c r="BC8" s="34"/>
      <c r="BD8" s="28"/>
    </row>
    <row r="9" spans="1:59" ht="13.5" customHeight="1">
      <c r="A9" s="22"/>
      <c r="B9" s="20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3"/>
      <c r="BA9" s="46"/>
      <c r="BB9" s="78"/>
      <c r="BC9" s="34"/>
      <c r="BD9" s="28"/>
    </row>
    <row r="10" spans="1:59" ht="13.5" customHeight="1">
      <c r="A10" s="22"/>
      <c r="B10" s="201"/>
      <c r="C10" s="43" t="s">
        <v>48</v>
      </c>
      <c r="D10" s="31"/>
      <c r="E10" s="31"/>
      <c r="F10" s="31" t="s">
        <v>52</v>
      </c>
      <c r="G10" s="31"/>
      <c r="H10" s="127" t="s">
        <v>51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63"/>
      <c r="U10" s="63"/>
      <c r="V10" s="63"/>
      <c r="W10" s="63"/>
      <c r="X10" s="62"/>
      <c r="Y10" s="63"/>
      <c r="Z10" s="63"/>
      <c r="AA10" s="63"/>
      <c r="AB10" s="64"/>
      <c r="AC10" s="63"/>
      <c r="AD10" s="65"/>
      <c r="AE10" s="65"/>
      <c r="AF10" s="65"/>
      <c r="AG10" s="65"/>
      <c r="AH10" s="65"/>
      <c r="AI10" s="75"/>
      <c r="AJ10" s="63"/>
      <c r="AK10" s="63"/>
      <c r="AL10" s="63"/>
      <c r="AM10" s="63"/>
      <c r="AN10" s="125"/>
      <c r="AO10" s="62"/>
      <c r="AP10" s="62"/>
      <c r="AQ10" s="63"/>
      <c r="AR10" s="63"/>
      <c r="AS10" s="63"/>
      <c r="AT10" s="64"/>
      <c r="AU10" s="63"/>
      <c r="AV10" s="65"/>
      <c r="AW10" s="65"/>
      <c r="AX10" s="65"/>
      <c r="AY10" s="31"/>
      <c r="AZ10" s="33"/>
      <c r="BA10" s="46"/>
      <c r="BB10" s="78"/>
      <c r="BC10" s="34"/>
      <c r="BD10" s="28"/>
    </row>
    <row r="11" spans="1:59" ht="13.5" customHeight="1">
      <c r="A11" s="22"/>
      <c r="B11" s="201"/>
      <c r="C11" s="43" t="s">
        <v>49</v>
      </c>
      <c r="D11" s="31"/>
      <c r="E11" s="31"/>
      <c r="F11" s="31" t="s">
        <v>52</v>
      </c>
      <c r="G11" s="31"/>
      <c r="H11" s="75" t="s">
        <v>53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63"/>
      <c r="U11" s="63"/>
      <c r="V11" s="63"/>
      <c r="W11" s="63"/>
      <c r="X11" s="62"/>
      <c r="Y11" s="63"/>
      <c r="Z11" s="63"/>
      <c r="AA11" s="63"/>
      <c r="AB11" s="64"/>
      <c r="AC11" s="63"/>
      <c r="AD11" s="65"/>
      <c r="AE11" s="65"/>
      <c r="AF11" s="65"/>
      <c r="AG11" s="65"/>
      <c r="AH11" s="65"/>
      <c r="AI11" s="75"/>
      <c r="AJ11" s="63"/>
      <c r="AK11" s="63"/>
      <c r="AL11" s="63"/>
      <c r="AM11" s="63"/>
      <c r="AN11" s="125"/>
      <c r="AO11" s="62"/>
      <c r="AP11" s="62"/>
      <c r="AQ11" s="63"/>
      <c r="AR11" s="63"/>
      <c r="AS11" s="63"/>
      <c r="AT11" s="64"/>
      <c r="AU11" s="63"/>
      <c r="AV11" s="65"/>
      <c r="AW11" s="65"/>
      <c r="AX11" s="65"/>
      <c r="AY11" s="31"/>
      <c r="AZ11" s="33"/>
      <c r="BA11" s="46"/>
      <c r="BB11" s="78"/>
      <c r="BC11" s="34"/>
      <c r="BD11" s="28"/>
    </row>
    <row r="12" spans="1:59" ht="13.5" customHeight="1">
      <c r="A12" s="22"/>
      <c r="B12" s="201"/>
      <c r="C12" s="43" t="s">
        <v>50</v>
      </c>
      <c r="D12" s="31"/>
      <c r="E12" s="31"/>
      <c r="F12" s="31" t="s">
        <v>52</v>
      </c>
      <c r="G12" s="31"/>
      <c r="H12" s="75" t="s">
        <v>54</v>
      </c>
      <c r="I12" s="75"/>
      <c r="J12" s="75"/>
      <c r="K12" s="75"/>
      <c r="L12" s="75" t="s">
        <v>55</v>
      </c>
      <c r="M12" s="75"/>
      <c r="N12" s="75"/>
      <c r="O12" s="75" t="s">
        <v>56</v>
      </c>
      <c r="P12" s="75"/>
      <c r="Q12" s="75"/>
      <c r="R12" s="75"/>
      <c r="S12" s="75"/>
      <c r="T12" s="63"/>
      <c r="U12" s="63"/>
      <c r="V12" s="63"/>
      <c r="W12" s="63"/>
      <c r="X12" s="62"/>
      <c r="Y12" s="63"/>
      <c r="Z12" s="63"/>
      <c r="AA12" s="63"/>
      <c r="AB12" s="64"/>
      <c r="AC12" s="63"/>
      <c r="AD12" s="65"/>
      <c r="AE12" s="65"/>
      <c r="AF12" s="65"/>
      <c r="AG12" s="65"/>
      <c r="AH12" s="65"/>
      <c r="AI12" s="75"/>
      <c r="AJ12" s="63"/>
      <c r="AK12" s="63"/>
      <c r="AL12" s="63"/>
      <c r="AM12" s="63"/>
      <c r="AN12" s="125"/>
      <c r="AO12" s="62"/>
      <c r="AP12" s="62"/>
      <c r="AQ12" s="63"/>
      <c r="AR12" s="63"/>
      <c r="AS12" s="63"/>
      <c r="AT12" s="64"/>
      <c r="AU12" s="63"/>
      <c r="AV12" s="65"/>
      <c r="AW12" s="65"/>
      <c r="AX12" s="65"/>
      <c r="AY12" s="31"/>
      <c r="AZ12" s="33"/>
      <c r="BA12" s="46"/>
      <c r="BB12" s="78"/>
      <c r="BC12" s="34"/>
      <c r="BD12" s="28"/>
    </row>
    <row r="13" spans="1:59" ht="13.5" customHeight="1">
      <c r="A13" s="22"/>
      <c r="B13" s="202">
        <v>1</v>
      </c>
      <c r="C13" s="203">
        <v>2</v>
      </c>
      <c r="D13" s="203">
        <v>3</v>
      </c>
      <c r="E13" s="203">
        <v>4</v>
      </c>
      <c r="F13" s="203">
        <v>5</v>
      </c>
      <c r="G13" s="203">
        <v>6</v>
      </c>
      <c r="H13" s="203">
        <v>7</v>
      </c>
      <c r="I13" s="203">
        <v>8</v>
      </c>
      <c r="J13" s="203">
        <v>9</v>
      </c>
      <c r="K13" s="203">
        <v>10</v>
      </c>
      <c r="L13" s="203">
        <v>11</v>
      </c>
      <c r="M13" s="203">
        <v>12</v>
      </c>
      <c r="N13" s="203">
        <v>13</v>
      </c>
      <c r="O13" s="203">
        <v>14</v>
      </c>
      <c r="P13" s="203">
        <v>15</v>
      </c>
      <c r="Q13" s="203">
        <v>16</v>
      </c>
      <c r="R13" s="203">
        <v>17</v>
      </c>
      <c r="S13" s="203">
        <v>18</v>
      </c>
      <c r="T13" s="203">
        <v>19</v>
      </c>
      <c r="U13" s="203">
        <v>20</v>
      </c>
      <c r="V13" s="203">
        <v>21</v>
      </c>
      <c r="W13" s="203">
        <v>22</v>
      </c>
      <c r="X13" s="203">
        <v>23</v>
      </c>
      <c r="Y13" s="203">
        <v>24</v>
      </c>
      <c r="Z13" s="203">
        <v>25</v>
      </c>
      <c r="AA13" s="203">
        <v>26</v>
      </c>
      <c r="AB13" s="203">
        <v>27</v>
      </c>
      <c r="AC13" s="203">
        <v>28</v>
      </c>
      <c r="AD13" s="203">
        <v>29</v>
      </c>
      <c r="AE13" s="203">
        <v>30</v>
      </c>
      <c r="AF13" s="203">
        <v>31</v>
      </c>
      <c r="AG13" s="203">
        <v>32</v>
      </c>
      <c r="AH13" s="203">
        <v>33</v>
      </c>
      <c r="AI13" s="203">
        <v>34</v>
      </c>
      <c r="AJ13" s="203">
        <v>35</v>
      </c>
      <c r="AK13" s="203">
        <v>36</v>
      </c>
      <c r="AL13" s="203">
        <v>37</v>
      </c>
      <c r="AM13" s="203">
        <v>38</v>
      </c>
      <c r="AN13" s="203">
        <v>39</v>
      </c>
      <c r="AO13" s="203">
        <v>40</v>
      </c>
      <c r="AP13" s="203"/>
      <c r="AQ13" s="203">
        <v>41</v>
      </c>
      <c r="AR13" s="203">
        <v>42</v>
      </c>
      <c r="AS13" s="203">
        <v>43</v>
      </c>
      <c r="AT13" s="203">
        <v>44</v>
      </c>
      <c r="AU13" s="203">
        <v>45</v>
      </c>
      <c r="AV13" s="203">
        <v>46</v>
      </c>
      <c r="AW13" s="203">
        <v>47</v>
      </c>
      <c r="AX13" s="65"/>
      <c r="AY13" s="31"/>
      <c r="AZ13" s="33"/>
      <c r="BA13" s="46"/>
      <c r="BB13" s="78"/>
      <c r="BC13" s="34"/>
      <c r="BD13" s="28"/>
      <c r="BE13" s="24"/>
      <c r="BF13" s="24"/>
    </row>
    <row r="14" spans="1:59" ht="13.5" customHeight="1">
      <c r="A14" s="22"/>
      <c r="B14" s="202">
        <v>2</v>
      </c>
      <c r="C14" s="204" t="s">
        <v>102</v>
      </c>
      <c r="D14" s="28"/>
      <c r="E14" s="28"/>
      <c r="F14" s="28"/>
      <c r="G14" s="28"/>
      <c r="H14" s="121"/>
      <c r="I14" s="62"/>
      <c r="J14" s="63"/>
      <c r="K14" s="62"/>
      <c r="L14" s="63"/>
      <c r="M14" s="69"/>
      <c r="N14" s="69"/>
      <c r="O14" s="65"/>
      <c r="P14" s="69"/>
      <c r="Q14" s="65"/>
      <c r="R14" s="69"/>
      <c r="S14" s="28"/>
      <c r="T14" s="28"/>
      <c r="U14" s="28"/>
      <c r="V14" s="28"/>
      <c r="W14" s="28"/>
      <c r="X14" s="121"/>
      <c r="Y14" s="62"/>
      <c r="Z14" s="63"/>
      <c r="AA14" s="62"/>
      <c r="AB14" s="63"/>
      <c r="AC14" s="69"/>
      <c r="AD14" s="69"/>
      <c r="AE14" s="65"/>
      <c r="AF14" s="69"/>
      <c r="AG14" s="65"/>
      <c r="AH14" s="69"/>
      <c r="AI14" s="64"/>
      <c r="AJ14" s="69"/>
      <c r="AK14" s="65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33"/>
      <c r="AW14" s="28"/>
      <c r="AX14" s="65"/>
      <c r="AY14" s="31"/>
      <c r="AZ14" s="33"/>
      <c r="BA14" s="46"/>
      <c r="BB14" s="78"/>
      <c r="BC14" s="34"/>
      <c r="BD14" s="28"/>
    </row>
    <row r="15" spans="1:59" ht="5.15" customHeight="1">
      <c r="A15" s="22"/>
      <c r="B15" s="202"/>
      <c r="C15" s="296"/>
      <c r="D15" s="72"/>
      <c r="E15" s="72"/>
      <c r="F15" s="72"/>
      <c r="G15" s="72"/>
      <c r="H15" s="297"/>
      <c r="I15" s="278"/>
      <c r="J15" s="279"/>
      <c r="K15" s="278"/>
      <c r="L15" s="279"/>
      <c r="M15" s="298"/>
      <c r="N15" s="298"/>
      <c r="O15" s="263"/>
      <c r="P15" s="298"/>
      <c r="Q15" s="263"/>
      <c r="R15" s="298"/>
      <c r="S15" s="281"/>
      <c r="T15" s="72"/>
      <c r="U15" s="72"/>
      <c r="V15" s="72"/>
      <c r="W15" s="72"/>
      <c r="X15" s="72"/>
      <c r="Y15" s="297"/>
      <c r="Z15" s="278"/>
      <c r="AA15" s="279"/>
      <c r="AB15" s="278"/>
      <c r="AC15" s="279"/>
      <c r="AD15" s="298"/>
      <c r="AE15" s="298"/>
      <c r="AF15" s="263"/>
      <c r="AG15" s="298"/>
      <c r="AH15" s="298"/>
      <c r="AI15" s="280"/>
      <c r="AJ15" s="298"/>
      <c r="AK15" s="263"/>
      <c r="AL15" s="72"/>
      <c r="AM15" s="72"/>
      <c r="AN15" s="72"/>
      <c r="AO15" s="72"/>
      <c r="AP15" s="72"/>
      <c r="AQ15" s="72"/>
      <c r="AR15" s="72"/>
      <c r="AS15" s="279"/>
      <c r="AT15" s="280"/>
      <c r="AU15" s="279"/>
      <c r="AV15" s="263"/>
      <c r="AW15" s="263"/>
      <c r="AX15" s="263"/>
      <c r="AY15" s="265"/>
      <c r="AZ15" s="33"/>
      <c r="BA15" s="46"/>
      <c r="BB15" s="78"/>
      <c r="BC15" s="34"/>
      <c r="BD15" s="28"/>
    </row>
    <row r="16" spans="1:59" ht="13.5" customHeight="1">
      <c r="A16" s="22"/>
      <c r="B16" s="45"/>
      <c r="C16" s="266" t="s">
        <v>103</v>
      </c>
      <c r="D16" s="28"/>
      <c r="E16" s="28"/>
      <c r="F16" s="28"/>
      <c r="G16" s="28"/>
      <c r="H16" s="255" t="s">
        <v>169</v>
      </c>
      <c r="I16" s="255"/>
      <c r="J16" s="255"/>
      <c r="K16" s="26"/>
      <c r="L16" s="26"/>
      <c r="M16" s="105"/>
      <c r="N16" s="100"/>
      <c r="O16" s="67"/>
      <c r="P16" s="67"/>
      <c r="Q16" s="101"/>
      <c r="R16" s="100"/>
      <c r="S16" s="100"/>
      <c r="T16" s="100"/>
      <c r="U16" s="67"/>
      <c r="V16" s="101"/>
      <c r="W16" s="100"/>
      <c r="X16" s="65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65"/>
      <c r="AY16" s="267"/>
      <c r="AZ16" s="33"/>
      <c r="BA16" s="46"/>
      <c r="BB16" s="78"/>
      <c r="BC16" s="34"/>
      <c r="BD16" s="28"/>
      <c r="BE16" s="35"/>
      <c r="BF16" s="35"/>
      <c r="BG16" s="35"/>
    </row>
    <row r="17" spans="1:59" ht="13.5" customHeight="1">
      <c r="A17" s="22"/>
      <c r="B17" s="202">
        <v>3</v>
      </c>
      <c r="C17" s="266" t="s">
        <v>57</v>
      </c>
      <c r="D17" s="31"/>
      <c r="E17" s="31"/>
      <c r="F17" s="31"/>
      <c r="G17" s="31"/>
      <c r="H17" s="58"/>
      <c r="I17" s="59"/>
      <c r="J17" s="59"/>
      <c r="K17" s="59"/>
      <c r="L17" s="60"/>
      <c r="M17" s="59"/>
      <c r="N17" s="61"/>
      <c r="O17" s="61"/>
      <c r="P17" s="61"/>
      <c r="Q17" s="61"/>
      <c r="R17" s="61"/>
      <c r="S17" s="128"/>
      <c r="T17" s="59"/>
      <c r="U17" s="59"/>
      <c r="V17" s="59"/>
      <c r="W17" s="59"/>
      <c r="X17" s="123"/>
      <c r="Y17" s="59"/>
      <c r="Z17" s="59"/>
      <c r="AA17" s="59"/>
      <c r="AB17" s="60"/>
      <c r="AC17" s="59"/>
      <c r="AD17" s="61"/>
      <c r="AE17" s="61"/>
      <c r="AF17" s="61"/>
      <c r="AG17" s="61"/>
      <c r="AH17" s="94"/>
      <c r="AI17" s="75"/>
      <c r="AJ17" s="63"/>
      <c r="AK17" s="63"/>
      <c r="AL17" s="63"/>
      <c r="AM17" s="63"/>
      <c r="AN17" s="125"/>
      <c r="AO17" s="62"/>
      <c r="AP17" s="62"/>
      <c r="AQ17" s="63"/>
      <c r="AR17" s="63"/>
      <c r="AS17" s="63"/>
      <c r="AT17" s="64"/>
      <c r="AU17" s="63"/>
      <c r="AV17" s="65"/>
      <c r="AW17" s="65"/>
      <c r="AX17" s="65"/>
      <c r="AY17" s="267"/>
      <c r="AZ17" s="33"/>
      <c r="BA17" s="46"/>
      <c r="BB17" s="78"/>
      <c r="BC17" s="34"/>
      <c r="BD17" s="28"/>
      <c r="BE17" s="35"/>
      <c r="BF17" s="35"/>
      <c r="BG17" s="35"/>
    </row>
    <row r="18" spans="1:59" ht="13.5" customHeight="1">
      <c r="A18" s="22"/>
      <c r="B18" s="201"/>
      <c r="C18" s="266" t="s">
        <v>38</v>
      </c>
      <c r="D18" s="31"/>
      <c r="E18" s="31"/>
      <c r="F18" s="31"/>
      <c r="G18" s="31"/>
      <c r="H18" s="58"/>
      <c r="I18" s="59"/>
      <c r="J18" s="59"/>
      <c r="K18" s="59"/>
      <c r="L18" s="60"/>
      <c r="M18" s="59"/>
      <c r="N18" s="61"/>
      <c r="O18" s="61"/>
      <c r="P18" s="61"/>
      <c r="Q18" s="189"/>
      <c r="R18" s="74"/>
      <c r="S18" s="75"/>
      <c r="T18" s="114" t="s">
        <v>58</v>
      </c>
      <c r="U18" s="31"/>
      <c r="V18" s="31"/>
      <c r="W18" s="31"/>
      <c r="X18" s="31"/>
      <c r="Y18" s="58"/>
      <c r="Z18" s="59"/>
      <c r="AA18" s="59"/>
      <c r="AB18" s="59"/>
      <c r="AC18" s="60"/>
      <c r="AD18" s="59"/>
      <c r="AE18" s="61"/>
      <c r="AF18" s="61"/>
      <c r="AG18" s="70"/>
      <c r="AH18" s="65"/>
      <c r="AI18" s="75"/>
      <c r="AJ18" s="63"/>
      <c r="AK18" s="75" t="s">
        <v>59</v>
      </c>
      <c r="AL18" s="63"/>
      <c r="AM18" s="63"/>
      <c r="AN18" s="63"/>
      <c r="AO18" s="63"/>
      <c r="AP18" s="58"/>
      <c r="AQ18" s="59"/>
      <c r="AR18" s="59"/>
      <c r="AS18" s="59"/>
      <c r="AT18" s="60"/>
      <c r="AU18" s="59"/>
      <c r="AV18" s="61"/>
      <c r="AW18" s="61"/>
      <c r="AX18" s="70"/>
      <c r="AY18" s="267"/>
      <c r="AZ18" s="33"/>
      <c r="BA18" s="46"/>
      <c r="BB18" s="78"/>
      <c r="BC18" s="34"/>
      <c r="BD18" s="28"/>
      <c r="BE18" s="35"/>
      <c r="BF18" s="35"/>
      <c r="BG18" s="35"/>
    </row>
    <row r="19" spans="1:59" ht="13.5" customHeight="1">
      <c r="A19" s="22"/>
      <c r="B19" s="201"/>
      <c r="C19" s="266" t="s">
        <v>60</v>
      </c>
      <c r="D19" s="31"/>
      <c r="E19" s="31"/>
      <c r="F19" s="31"/>
      <c r="G19" s="31"/>
      <c r="H19" s="58"/>
      <c r="I19" s="59"/>
      <c r="J19" s="59"/>
      <c r="K19" s="59"/>
      <c r="L19" s="60"/>
      <c r="M19" s="59"/>
      <c r="N19" s="61"/>
      <c r="O19" s="61"/>
      <c r="P19" s="99" t="s">
        <v>32</v>
      </c>
      <c r="Q19" s="94"/>
      <c r="R19" s="65"/>
      <c r="S19" s="35"/>
      <c r="T19" s="43" t="s">
        <v>61</v>
      </c>
      <c r="U19" s="63"/>
      <c r="V19" s="63"/>
      <c r="W19" s="63"/>
      <c r="X19" s="63"/>
      <c r="Y19" s="124" t="s">
        <v>69</v>
      </c>
      <c r="Z19" s="59"/>
      <c r="AA19" s="59"/>
      <c r="AB19" s="59"/>
      <c r="AC19" s="60"/>
      <c r="AD19" s="59"/>
      <c r="AE19" s="61"/>
      <c r="AF19" s="61"/>
      <c r="AG19" s="70"/>
      <c r="AH19" s="65"/>
      <c r="AI19" s="75"/>
      <c r="AJ19" s="63"/>
      <c r="AK19" s="63"/>
      <c r="AL19" s="63"/>
      <c r="AM19" s="63"/>
      <c r="AN19" s="125"/>
      <c r="AO19" s="62"/>
      <c r="AP19" s="62"/>
      <c r="AQ19" s="63"/>
      <c r="AR19" s="63"/>
      <c r="AS19" s="63"/>
      <c r="AT19" s="64"/>
      <c r="AU19" s="63"/>
      <c r="AV19" s="65"/>
      <c r="AW19" s="65"/>
      <c r="AX19" s="65"/>
      <c r="AY19" s="267"/>
      <c r="AZ19" s="33"/>
      <c r="BA19" s="46"/>
      <c r="BB19" s="78"/>
      <c r="BC19" s="34"/>
      <c r="BD19" s="28"/>
      <c r="BE19" s="35"/>
      <c r="BF19" s="35"/>
      <c r="BG19" s="35"/>
    </row>
    <row r="20" spans="1:59" ht="13.5" customHeight="1">
      <c r="A20" s="22"/>
      <c r="B20" s="201"/>
      <c r="C20" s="266" t="s">
        <v>105</v>
      </c>
      <c r="D20" s="31"/>
      <c r="E20" s="31"/>
      <c r="F20" s="31"/>
      <c r="G20" s="31"/>
      <c r="H20" s="58"/>
      <c r="I20" s="59"/>
      <c r="J20" s="59"/>
      <c r="K20" s="59"/>
      <c r="L20" s="299" t="s">
        <v>106</v>
      </c>
      <c r="M20" s="103"/>
      <c r="N20" s="74"/>
      <c r="O20" s="74"/>
      <c r="P20" s="74"/>
      <c r="Q20" s="65"/>
      <c r="R20" s="65"/>
      <c r="S20" s="35"/>
      <c r="T20" s="35"/>
      <c r="U20" s="35"/>
      <c r="V20" s="63"/>
      <c r="W20" s="63"/>
      <c r="X20" s="63"/>
      <c r="Y20" s="102"/>
      <c r="Z20" s="103"/>
      <c r="AA20" s="103"/>
      <c r="AB20" s="103"/>
      <c r="AC20" s="104"/>
      <c r="AD20" s="103"/>
      <c r="AE20" s="74"/>
      <c r="AF20" s="74"/>
      <c r="AG20" s="74"/>
      <c r="AH20" s="65"/>
      <c r="AI20" s="75"/>
      <c r="AJ20" s="63"/>
      <c r="AK20" s="63"/>
      <c r="AL20" s="63"/>
      <c r="AM20" s="63"/>
      <c r="AN20" s="125"/>
      <c r="AO20" s="62"/>
      <c r="AP20" s="62"/>
      <c r="AQ20" s="63"/>
      <c r="AR20" s="63"/>
      <c r="AS20" s="63"/>
      <c r="AT20" s="64"/>
      <c r="AU20" s="63"/>
      <c r="AV20" s="65"/>
      <c r="AW20" s="65"/>
      <c r="AX20" s="65"/>
      <c r="AY20" s="267"/>
      <c r="AZ20" s="33"/>
      <c r="BA20" s="46"/>
      <c r="BB20" s="78"/>
      <c r="BC20" s="34"/>
      <c r="BD20" s="28"/>
      <c r="BE20" s="35"/>
      <c r="BF20" s="35"/>
      <c r="BG20" s="35"/>
    </row>
    <row r="21" spans="1:59" ht="5.15" customHeight="1">
      <c r="A21" s="22"/>
      <c r="B21" s="201"/>
      <c r="C21" s="268"/>
      <c r="D21" s="269"/>
      <c r="E21" s="269"/>
      <c r="F21" s="269"/>
      <c r="G21" s="269"/>
      <c r="H21" s="275"/>
      <c r="I21" s="273"/>
      <c r="J21" s="273"/>
      <c r="K21" s="273"/>
      <c r="L21" s="276"/>
      <c r="M21" s="273"/>
      <c r="N21" s="270"/>
      <c r="O21" s="270"/>
      <c r="P21" s="270"/>
      <c r="Q21" s="270"/>
      <c r="R21" s="270"/>
      <c r="S21" s="271"/>
      <c r="T21" s="272"/>
      <c r="U21" s="273"/>
      <c r="V21" s="273"/>
      <c r="W21" s="273"/>
      <c r="X21" s="273"/>
      <c r="Y21" s="275"/>
      <c r="Z21" s="273"/>
      <c r="AA21" s="273"/>
      <c r="AB21" s="273"/>
      <c r="AC21" s="276"/>
      <c r="AD21" s="273"/>
      <c r="AE21" s="270"/>
      <c r="AF21" s="270"/>
      <c r="AG21" s="270"/>
      <c r="AH21" s="270"/>
      <c r="AI21" s="272"/>
      <c r="AJ21" s="273"/>
      <c r="AK21" s="273"/>
      <c r="AL21" s="273"/>
      <c r="AM21" s="273"/>
      <c r="AN21" s="274"/>
      <c r="AO21" s="275"/>
      <c r="AP21" s="275"/>
      <c r="AQ21" s="273"/>
      <c r="AR21" s="273"/>
      <c r="AS21" s="273"/>
      <c r="AT21" s="276"/>
      <c r="AU21" s="273"/>
      <c r="AV21" s="270"/>
      <c r="AW21" s="270"/>
      <c r="AX21" s="270"/>
      <c r="AY21" s="277"/>
      <c r="AZ21" s="33"/>
      <c r="BA21" s="46"/>
      <c r="BB21" s="78"/>
      <c r="BC21" s="34"/>
      <c r="BD21" s="28"/>
      <c r="BE21" s="35"/>
      <c r="BF21" s="35"/>
      <c r="BG21" s="35"/>
    </row>
    <row r="22" spans="1:59" ht="13.5" customHeight="1">
      <c r="A22" s="22"/>
      <c r="B22" s="32"/>
      <c r="C22" s="64"/>
      <c r="D22" s="62"/>
      <c r="E22" s="63"/>
      <c r="F22" s="63"/>
      <c r="G22" s="63"/>
      <c r="H22" s="69"/>
      <c r="I22" s="69"/>
      <c r="J22" s="65"/>
      <c r="K22" s="69"/>
      <c r="L22" s="65"/>
      <c r="M22" s="69"/>
      <c r="N22" s="64"/>
      <c r="O22" s="69"/>
      <c r="P22" s="65"/>
      <c r="Q22" s="28"/>
      <c r="R22" s="28"/>
      <c r="T22" s="31"/>
      <c r="U22" s="31"/>
      <c r="V22" s="31"/>
      <c r="W22" s="31"/>
      <c r="X22" s="31"/>
      <c r="Y22" s="44"/>
      <c r="Z22" s="31"/>
      <c r="AA22" s="28"/>
      <c r="AB22" s="44"/>
      <c r="AC22" s="31"/>
      <c r="AD22" s="28"/>
      <c r="AE22" s="44"/>
      <c r="AF22" s="28"/>
      <c r="AG22" s="28"/>
      <c r="AH22" s="28"/>
      <c r="AI22" s="28"/>
      <c r="AJ22" s="76"/>
      <c r="AK22" s="28"/>
      <c r="AL22" s="28"/>
      <c r="AM22" s="28"/>
      <c r="AN22" s="28"/>
      <c r="AO22" s="28"/>
      <c r="AP22" s="28"/>
      <c r="AQ22" s="28"/>
      <c r="AR22" s="28"/>
      <c r="AS22" s="63"/>
      <c r="AT22" s="64"/>
      <c r="AU22" s="63"/>
      <c r="AV22" s="65"/>
      <c r="AW22" s="65"/>
      <c r="AX22" s="65"/>
      <c r="AY22" s="31"/>
      <c r="AZ22" s="33"/>
      <c r="BA22" s="46"/>
      <c r="BB22" s="78"/>
      <c r="BC22" s="34"/>
      <c r="BD22" s="28"/>
    </row>
    <row r="23" spans="1:59" ht="13.5" customHeight="1">
      <c r="A23" s="22"/>
      <c r="B23" s="202">
        <v>2</v>
      </c>
      <c r="C23" s="204" t="s">
        <v>107</v>
      </c>
      <c r="D23" s="28"/>
      <c r="E23" s="28"/>
      <c r="F23" s="28"/>
      <c r="G23" s="28"/>
      <c r="H23" s="121"/>
      <c r="I23" s="62"/>
      <c r="J23" s="63"/>
      <c r="K23" s="62"/>
      <c r="L23" s="63"/>
      <c r="M23" s="69"/>
      <c r="N23" s="69"/>
      <c r="O23" s="65"/>
      <c r="P23" s="69"/>
      <c r="Q23" s="65"/>
      <c r="R23" s="69"/>
      <c r="S23" s="35"/>
      <c r="T23" s="28"/>
      <c r="U23" s="28"/>
      <c r="V23" s="28"/>
      <c r="W23" s="28"/>
      <c r="X23" s="28"/>
      <c r="Y23" s="121"/>
      <c r="Z23" s="62"/>
      <c r="AA23" s="63"/>
      <c r="AB23" s="62"/>
      <c r="AC23" s="63"/>
      <c r="AD23" s="69"/>
      <c r="AE23" s="69"/>
      <c r="AF23" s="65"/>
      <c r="AG23" s="69"/>
      <c r="AH23" s="69"/>
      <c r="AI23" s="64"/>
      <c r="AJ23" s="69"/>
      <c r="AK23" s="65"/>
      <c r="AL23" s="28"/>
      <c r="AM23" s="28"/>
      <c r="AN23" s="28"/>
      <c r="AO23" s="28"/>
      <c r="AP23" s="28"/>
      <c r="AQ23" s="28"/>
      <c r="AR23" s="28"/>
      <c r="AS23" s="63"/>
      <c r="AT23" s="64"/>
      <c r="AU23" s="63"/>
      <c r="AV23" s="65"/>
      <c r="AW23" s="65"/>
      <c r="AX23" s="65"/>
      <c r="AY23" s="31"/>
      <c r="AZ23" s="33"/>
      <c r="BA23" s="46"/>
      <c r="BB23" s="78"/>
      <c r="BC23" s="34"/>
      <c r="BD23" s="28"/>
    </row>
    <row r="24" spans="1:59" ht="5.15" customHeight="1">
      <c r="A24" s="22"/>
      <c r="B24" s="202"/>
      <c r="C24" s="296"/>
      <c r="D24" s="72"/>
      <c r="E24" s="72"/>
      <c r="F24" s="72"/>
      <c r="G24" s="72"/>
      <c r="H24" s="297"/>
      <c r="I24" s="278"/>
      <c r="J24" s="279"/>
      <c r="K24" s="278"/>
      <c r="L24" s="279"/>
      <c r="M24" s="298"/>
      <c r="N24" s="298"/>
      <c r="O24" s="263"/>
      <c r="P24" s="298"/>
      <c r="Q24" s="263"/>
      <c r="R24" s="298"/>
      <c r="S24" s="281"/>
      <c r="T24" s="72"/>
      <c r="U24" s="72"/>
      <c r="V24" s="72"/>
      <c r="W24" s="72"/>
      <c r="X24" s="72"/>
      <c r="Y24" s="297"/>
      <c r="Z24" s="278"/>
      <c r="AA24" s="279"/>
      <c r="AB24" s="278"/>
      <c r="AC24" s="279"/>
      <c r="AD24" s="298"/>
      <c r="AE24" s="298"/>
      <c r="AF24" s="263"/>
      <c r="AG24" s="298"/>
      <c r="AH24" s="298"/>
      <c r="AI24" s="280"/>
      <c r="AJ24" s="298"/>
      <c r="AK24" s="263"/>
      <c r="AL24" s="72"/>
      <c r="AM24" s="72"/>
      <c r="AN24" s="72"/>
      <c r="AO24" s="72"/>
      <c r="AP24" s="72"/>
      <c r="AQ24" s="72"/>
      <c r="AR24" s="72"/>
      <c r="AS24" s="279"/>
      <c r="AT24" s="280"/>
      <c r="AU24" s="279"/>
      <c r="AV24" s="263"/>
      <c r="AW24" s="263"/>
      <c r="AX24" s="263"/>
      <c r="AY24" s="265"/>
      <c r="AZ24" s="33"/>
      <c r="BA24" s="46"/>
      <c r="BB24" s="78"/>
      <c r="BC24" s="34"/>
      <c r="BD24" s="28"/>
    </row>
    <row r="25" spans="1:59" ht="13.5" customHeight="1">
      <c r="A25" s="22"/>
      <c r="B25" s="45"/>
      <c r="C25" s="266" t="s">
        <v>108</v>
      </c>
      <c r="D25" s="28"/>
      <c r="E25" s="28"/>
      <c r="F25" s="28"/>
      <c r="G25" s="28"/>
      <c r="H25" s="58"/>
      <c r="I25" s="59"/>
      <c r="J25" s="59"/>
      <c r="K25" s="59"/>
      <c r="L25" s="60"/>
      <c r="M25" s="59"/>
      <c r="N25" s="70"/>
      <c r="O25" s="94" t="s">
        <v>109</v>
      </c>
      <c r="Q25" s="64"/>
      <c r="R25" s="63"/>
      <c r="S25" s="35"/>
      <c r="T25" s="28" t="s">
        <v>118</v>
      </c>
      <c r="U25" s="28"/>
      <c r="V25" s="28"/>
      <c r="W25" s="28"/>
      <c r="Y25" s="58"/>
      <c r="Z25" s="59"/>
      <c r="AA25" s="59"/>
      <c r="AB25" s="59"/>
      <c r="AC25" s="60"/>
      <c r="AD25" s="59"/>
      <c r="AE25" s="61"/>
      <c r="AF25" s="70"/>
      <c r="AG25" s="94" t="s">
        <v>111</v>
      </c>
      <c r="AH25" s="28"/>
      <c r="AI25" s="28"/>
      <c r="AJ25" s="35"/>
      <c r="AK25" s="28" t="s">
        <v>112</v>
      </c>
      <c r="AL25" s="28"/>
      <c r="AM25" s="28"/>
      <c r="AN25" s="28"/>
      <c r="AO25" s="35"/>
      <c r="AP25" s="54"/>
      <c r="AQ25" s="55"/>
      <c r="AR25" s="55"/>
      <c r="AS25" s="55"/>
      <c r="AT25" s="56"/>
      <c r="AU25" s="55"/>
      <c r="AV25" s="57"/>
      <c r="AW25" s="66"/>
      <c r="AX25" s="94" t="s">
        <v>113</v>
      </c>
      <c r="AY25" s="283"/>
      <c r="AZ25" s="33"/>
      <c r="BA25" s="46"/>
      <c r="BB25" s="78"/>
      <c r="BC25" s="34"/>
      <c r="BD25" s="28"/>
      <c r="BE25" s="35"/>
      <c r="BF25" s="35"/>
      <c r="BG25" s="35"/>
    </row>
    <row r="26" spans="1:59" ht="13.5" customHeight="1">
      <c r="A26" s="22"/>
      <c r="B26" s="45"/>
      <c r="C26" s="282" t="s">
        <v>110</v>
      </c>
      <c r="D26" s="28"/>
      <c r="E26" s="28"/>
      <c r="F26" s="28"/>
      <c r="H26" s="58"/>
      <c r="I26" s="59"/>
      <c r="J26" s="59"/>
      <c r="K26" s="59"/>
      <c r="L26" s="60"/>
      <c r="M26" s="59"/>
      <c r="N26" s="61"/>
      <c r="O26" s="61"/>
      <c r="P26" s="70"/>
      <c r="Q26" s="64"/>
      <c r="R26" s="28" t="s">
        <v>114</v>
      </c>
      <c r="S26" s="35"/>
      <c r="T26" s="35"/>
      <c r="U26" s="28"/>
      <c r="V26" s="28"/>
      <c r="W26" s="28"/>
      <c r="Y26" s="58"/>
      <c r="Z26" s="59"/>
      <c r="AA26" s="59"/>
      <c r="AB26" s="59"/>
      <c r="AC26" s="60"/>
      <c r="AD26" s="59"/>
      <c r="AE26" s="61"/>
      <c r="AF26" s="61"/>
      <c r="AG26" s="70"/>
      <c r="AH26" s="28"/>
      <c r="AI26" s="28"/>
      <c r="AJ26" s="35"/>
      <c r="AK26" s="28"/>
      <c r="AL26" s="28"/>
      <c r="AM26" s="28"/>
      <c r="AN26" s="28"/>
      <c r="AO26" s="35"/>
      <c r="AP26" s="102"/>
      <c r="AQ26" s="103"/>
      <c r="AR26" s="103"/>
      <c r="AS26" s="103"/>
      <c r="AT26" s="102"/>
      <c r="AU26" s="104"/>
      <c r="AV26" s="102"/>
      <c r="AW26" s="103"/>
      <c r="AX26" s="63"/>
      <c r="AY26" s="283"/>
      <c r="AZ26" s="33"/>
      <c r="BA26" s="46"/>
      <c r="BB26" s="78"/>
      <c r="BC26" s="34"/>
      <c r="BD26" s="28"/>
      <c r="BE26" s="35"/>
      <c r="BF26" s="35"/>
      <c r="BG26" s="35"/>
    </row>
    <row r="27" spans="1:59" ht="14.15" customHeight="1">
      <c r="A27" s="22"/>
      <c r="B27" s="256"/>
      <c r="C27" s="284" t="s">
        <v>116</v>
      </c>
      <c r="F27" s="285"/>
      <c r="G27" s="285"/>
      <c r="H27" s="98" t="s">
        <v>121</v>
      </c>
      <c r="I27" s="257"/>
      <c r="J27" s="258"/>
      <c r="K27" s="258"/>
      <c r="L27" s="258"/>
      <c r="M27" s="259"/>
      <c r="N27" s="258"/>
      <c r="O27" s="110"/>
      <c r="P27" s="260" t="s">
        <v>32</v>
      </c>
      <c r="R27" s="130"/>
      <c r="S27" s="35"/>
      <c r="T27" s="285" t="s">
        <v>119</v>
      </c>
      <c r="U27" s="35"/>
      <c r="V27" s="285"/>
      <c r="W27" s="285"/>
      <c r="X27" s="285"/>
      <c r="Y27" s="98" t="s">
        <v>122</v>
      </c>
      <c r="Z27" s="257"/>
      <c r="AA27" s="258"/>
      <c r="AB27" s="258"/>
      <c r="AC27" s="258"/>
      <c r="AD27" s="259"/>
      <c r="AE27" s="258"/>
      <c r="AF27" s="110"/>
      <c r="AG27" s="261" t="s">
        <v>32</v>
      </c>
      <c r="AH27" s="35"/>
      <c r="AI27" s="35"/>
      <c r="AJ27" s="35"/>
      <c r="AK27" s="285" t="s">
        <v>120</v>
      </c>
      <c r="AL27" s="35"/>
      <c r="AM27" s="285"/>
      <c r="AN27" s="35"/>
      <c r="AO27" s="35"/>
      <c r="AP27" s="98" t="s">
        <v>115</v>
      </c>
      <c r="AQ27" s="257"/>
      <c r="AR27" s="258"/>
      <c r="AS27" s="258"/>
      <c r="AT27" s="258"/>
      <c r="AU27" s="259"/>
      <c r="AV27" s="110"/>
      <c r="AW27" s="37"/>
      <c r="AX27" s="262" t="s">
        <v>32</v>
      </c>
      <c r="AY27" s="286"/>
      <c r="AZ27" s="33"/>
      <c r="BA27" s="46"/>
      <c r="BB27" s="78"/>
      <c r="BC27" s="34"/>
      <c r="BD27" s="35"/>
      <c r="BE27" s="35"/>
      <c r="BF27" s="35"/>
      <c r="BG27" s="35"/>
    </row>
    <row r="28" spans="1:59" ht="13.5" customHeight="1">
      <c r="A28" s="22"/>
      <c r="B28" s="45"/>
      <c r="C28" s="282" t="s">
        <v>124</v>
      </c>
      <c r="D28" s="28"/>
      <c r="E28" s="28"/>
      <c r="F28" s="28"/>
      <c r="H28" s="58"/>
      <c r="I28" s="59"/>
      <c r="J28" s="59"/>
      <c r="K28" s="59"/>
      <c r="L28" s="60"/>
      <c r="M28" s="59"/>
      <c r="N28" s="61"/>
      <c r="O28" s="61"/>
      <c r="P28" s="70"/>
      <c r="Q28" s="64"/>
      <c r="R28" s="28"/>
      <c r="S28" s="35"/>
      <c r="T28" s="28" t="s">
        <v>129</v>
      </c>
      <c r="U28" s="28"/>
      <c r="V28" s="28"/>
      <c r="W28" s="28"/>
      <c r="Y28" s="58"/>
      <c r="Z28" s="59"/>
      <c r="AA28" s="59"/>
      <c r="AB28" s="59"/>
      <c r="AC28" s="60"/>
      <c r="AD28" s="59"/>
      <c r="AE28" s="61"/>
      <c r="AF28" s="61"/>
      <c r="AG28" s="94" t="s">
        <v>128</v>
      </c>
      <c r="AH28" s="28"/>
      <c r="AI28" s="28"/>
      <c r="AJ28" s="35"/>
      <c r="AK28" s="28" t="s">
        <v>117</v>
      </c>
      <c r="AL28" s="28"/>
      <c r="AM28" s="28"/>
      <c r="AN28" s="28"/>
      <c r="AO28" s="35"/>
      <c r="AP28" s="58"/>
      <c r="AQ28" s="59"/>
      <c r="AR28" s="59"/>
      <c r="AS28" s="59"/>
      <c r="AT28" s="60"/>
      <c r="AU28" s="59"/>
      <c r="AV28" s="61"/>
      <c r="AW28" s="61"/>
      <c r="AX28" s="260" t="s">
        <v>32</v>
      </c>
      <c r="AY28" s="283"/>
      <c r="AZ28" s="33"/>
      <c r="BA28" s="46"/>
      <c r="BB28" s="78"/>
      <c r="BC28" s="34"/>
      <c r="BD28" s="28"/>
      <c r="BE28" s="35"/>
      <c r="BF28" s="35"/>
      <c r="BG28" s="35"/>
    </row>
    <row r="29" spans="1:59" ht="13.5" customHeight="1">
      <c r="A29" s="22"/>
      <c r="B29" s="32"/>
      <c r="C29" s="287" t="s">
        <v>123</v>
      </c>
      <c r="D29" s="41"/>
      <c r="E29" s="41"/>
      <c r="F29" s="41"/>
      <c r="G29" s="41"/>
      <c r="H29" s="163"/>
      <c r="I29" s="164"/>
      <c r="J29" s="165"/>
      <c r="K29" s="164"/>
      <c r="L29" s="165"/>
      <c r="M29" s="164"/>
      <c r="N29" s="166"/>
      <c r="O29" s="164"/>
      <c r="P29" s="165"/>
      <c r="Q29" s="165"/>
      <c r="R29" s="165"/>
      <c r="S29" s="167"/>
      <c r="T29" s="167"/>
      <c r="U29" s="167"/>
      <c r="V29" s="167"/>
      <c r="W29" s="167"/>
      <c r="X29" s="166"/>
      <c r="Y29" s="167"/>
      <c r="Z29" s="165"/>
      <c r="AA29" s="166"/>
      <c r="AB29" s="167"/>
      <c r="AC29" s="165"/>
      <c r="AD29" s="166"/>
      <c r="AE29" s="165"/>
      <c r="AF29" s="165"/>
      <c r="AG29" s="166"/>
      <c r="AH29" s="165"/>
      <c r="AI29" s="165"/>
      <c r="AJ29" s="168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0" t="s">
        <v>36</v>
      </c>
      <c r="AY29" s="283"/>
      <c r="AZ29" s="33"/>
      <c r="BA29" s="46"/>
      <c r="BB29" s="78"/>
      <c r="BC29" s="34"/>
      <c r="BD29" s="28"/>
      <c r="BE29" s="35"/>
      <c r="BF29" s="35"/>
      <c r="BG29" s="35"/>
    </row>
    <row r="30" spans="1:59" ht="13.5" customHeight="1">
      <c r="A30" s="22"/>
      <c r="B30" s="32"/>
      <c r="C30" s="287"/>
      <c r="D30" s="41"/>
      <c r="E30" s="41"/>
      <c r="F30" s="41"/>
      <c r="G30" s="41"/>
      <c r="H30" s="169"/>
      <c r="I30" s="170"/>
      <c r="J30" s="171"/>
      <c r="K30" s="170"/>
      <c r="L30" s="171"/>
      <c r="M30" s="170"/>
      <c r="N30" s="172"/>
      <c r="O30" s="170"/>
      <c r="P30" s="171"/>
      <c r="Q30" s="171"/>
      <c r="R30" s="171"/>
      <c r="S30" s="173"/>
      <c r="T30" s="173"/>
      <c r="U30" s="173"/>
      <c r="V30" s="173"/>
      <c r="W30" s="173"/>
      <c r="X30" s="172"/>
      <c r="Y30" s="173"/>
      <c r="Z30" s="171"/>
      <c r="AA30" s="172"/>
      <c r="AB30" s="173"/>
      <c r="AC30" s="171"/>
      <c r="AD30" s="172"/>
      <c r="AE30" s="171"/>
      <c r="AF30" s="171"/>
      <c r="AG30" s="172"/>
      <c r="AH30" s="171"/>
      <c r="AI30" s="171"/>
      <c r="AJ30" s="174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22" t="s">
        <v>32</v>
      </c>
      <c r="AY30" s="283"/>
      <c r="AZ30" s="33"/>
      <c r="BA30" s="46"/>
      <c r="BB30" s="78"/>
      <c r="BC30" s="34"/>
      <c r="BD30" s="28"/>
      <c r="BE30" s="35"/>
      <c r="BF30" s="35"/>
      <c r="BG30" s="35"/>
    </row>
    <row r="31" spans="1:59" ht="13.5" customHeight="1">
      <c r="A31" s="22"/>
      <c r="B31" s="32"/>
      <c r="C31" s="287" t="s">
        <v>125</v>
      </c>
      <c r="D31" s="41"/>
      <c r="E31" s="41"/>
      <c r="F31" s="41"/>
      <c r="G31" s="41"/>
      <c r="H31" s="163" t="s">
        <v>170</v>
      </c>
      <c r="I31" s="164"/>
      <c r="J31" s="165"/>
      <c r="K31" s="164"/>
      <c r="L31" s="165"/>
      <c r="M31" s="164"/>
      <c r="N31" s="166"/>
      <c r="O31" s="164"/>
      <c r="P31" s="165"/>
      <c r="Q31" s="165"/>
      <c r="R31" s="165"/>
      <c r="S31" s="167"/>
      <c r="T31" s="167"/>
      <c r="U31" s="167"/>
      <c r="V31" s="167"/>
      <c r="W31" s="167"/>
      <c r="X31" s="166"/>
      <c r="Y31" s="167"/>
      <c r="Z31" s="165"/>
      <c r="AA31" s="166"/>
      <c r="AB31" s="167"/>
      <c r="AC31" s="165"/>
      <c r="AD31" s="166"/>
      <c r="AE31" s="165"/>
      <c r="AF31" s="165"/>
      <c r="AG31" s="166"/>
      <c r="AH31" s="165"/>
      <c r="AI31" s="165"/>
      <c r="AJ31" s="168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0" t="s">
        <v>36</v>
      </c>
      <c r="AY31" s="283"/>
      <c r="AZ31" s="33"/>
      <c r="BA31" s="46"/>
      <c r="BB31" s="78"/>
      <c r="BC31" s="34"/>
      <c r="BD31" s="28"/>
      <c r="BE31" s="35"/>
      <c r="BF31" s="35"/>
      <c r="BG31" s="35"/>
    </row>
    <row r="32" spans="1:59" ht="13.5" customHeight="1">
      <c r="A32" s="22"/>
      <c r="B32" s="32"/>
      <c r="C32" s="287"/>
      <c r="D32" s="41"/>
      <c r="E32" s="41"/>
      <c r="F32" s="41"/>
      <c r="G32" s="41"/>
      <c r="H32" s="169"/>
      <c r="I32" s="170"/>
      <c r="J32" s="171"/>
      <c r="K32" s="170"/>
      <c r="L32" s="171"/>
      <c r="M32" s="170"/>
      <c r="N32" s="172"/>
      <c r="O32" s="170"/>
      <c r="P32" s="171"/>
      <c r="Q32" s="171"/>
      <c r="R32" s="171"/>
      <c r="S32" s="173"/>
      <c r="T32" s="173"/>
      <c r="U32" s="173"/>
      <c r="V32" s="173"/>
      <c r="W32" s="173"/>
      <c r="X32" s="172"/>
      <c r="Y32" s="173"/>
      <c r="Z32" s="171"/>
      <c r="AA32" s="172"/>
      <c r="AB32" s="173"/>
      <c r="AC32" s="171"/>
      <c r="AD32" s="172"/>
      <c r="AE32" s="171"/>
      <c r="AF32" s="171"/>
      <c r="AG32" s="172"/>
      <c r="AH32" s="171"/>
      <c r="AI32" s="171"/>
      <c r="AJ32" s="174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22" t="s">
        <v>32</v>
      </c>
      <c r="AY32" s="283"/>
      <c r="AZ32" s="33"/>
      <c r="BA32" s="46"/>
      <c r="BB32" s="78"/>
      <c r="BC32" s="34"/>
      <c r="BD32" s="28"/>
      <c r="BE32" s="35"/>
      <c r="BF32" s="35"/>
      <c r="BG32" s="35"/>
    </row>
    <row r="33" spans="1:74" ht="13.5" customHeight="1">
      <c r="A33" s="22"/>
      <c r="B33" s="32"/>
      <c r="C33" s="287" t="s">
        <v>126</v>
      </c>
      <c r="D33" s="41"/>
      <c r="E33" s="41"/>
      <c r="F33" s="41"/>
      <c r="G33" s="41"/>
      <c r="H33" s="163"/>
      <c r="I33" s="164"/>
      <c r="J33" s="165"/>
      <c r="K33" s="164"/>
      <c r="L33" s="165"/>
      <c r="M33" s="164"/>
      <c r="N33" s="166"/>
      <c r="O33" s="164"/>
      <c r="P33" s="165"/>
      <c r="Q33" s="165"/>
      <c r="R33" s="165"/>
      <c r="S33" s="167"/>
      <c r="T33" s="167"/>
      <c r="U33" s="167"/>
      <c r="V33" s="167"/>
      <c r="W33" s="167"/>
      <c r="X33" s="166"/>
      <c r="Y33" s="167"/>
      <c r="Z33" s="165"/>
      <c r="AA33" s="166"/>
      <c r="AB33" s="167"/>
      <c r="AC33" s="165"/>
      <c r="AD33" s="166"/>
      <c r="AE33" s="165"/>
      <c r="AF33" s="165"/>
      <c r="AG33" s="166"/>
      <c r="AH33" s="165"/>
      <c r="AI33" s="165"/>
      <c r="AJ33" s="168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0" t="s">
        <v>36</v>
      </c>
      <c r="AY33" s="283"/>
      <c r="AZ33" s="33"/>
      <c r="BA33" s="46"/>
      <c r="BB33" s="78"/>
      <c r="BC33" s="34"/>
      <c r="BD33" s="28"/>
      <c r="BE33" s="35"/>
      <c r="BF33" s="35"/>
      <c r="BG33" s="35"/>
    </row>
    <row r="34" spans="1:74" ht="13.5" customHeight="1">
      <c r="A34" s="22"/>
      <c r="B34" s="32"/>
      <c r="C34" s="287"/>
      <c r="D34" s="41"/>
      <c r="E34" s="41"/>
      <c r="F34" s="41"/>
      <c r="G34" s="41"/>
      <c r="H34" s="169"/>
      <c r="I34" s="170"/>
      <c r="J34" s="171"/>
      <c r="K34" s="170"/>
      <c r="L34" s="171"/>
      <c r="M34" s="170"/>
      <c r="N34" s="172"/>
      <c r="O34" s="170"/>
      <c r="P34" s="171"/>
      <c r="Q34" s="171"/>
      <c r="R34" s="171"/>
      <c r="S34" s="173"/>
      <c r="T34" s="173"/>
      <c r="U34" s="173"/>
      <c r="V34" s="173"/>
      <c r="W34" s="173"/>
      <c r="X34" s="172"/>
      <c r="Y34" s="173"/>
      <c r="Z34" s="171"/>
      <c r="AA34" s="172"/>
      <c r="AB34" s="173"/>
      <c r="AC34" s="171"/>
      <c r="AD34" s="172"/>
      <c r="AE34" s="171"/>
      <c r="AF34" s="171"/>
      <c r="AG34" s="172"/>
      <c r="AH34" s="171"/>
      <c r="AI34" s="171"/>
      <c r="AJ34" s="174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22" t="s">
        <v>32</v>
      </c>
      <c r="AY34" s="283"/>
      <c r="AZ34" s="33"/>
      <c r="BA34" s="46"/>
      <c r="BB34" s="78"/>
      <c r="BC34" s="34"/>
      <c r="BD34" s="28"/>
      <c r="BE34" s="35"/>
      <c r="BF34" s="35"/>
      <c r="BG34" s="35"/>
    </row>
    <row r="35" spans="1:74" ht="5.15" customHeight="1">
      <c r="A35" s="22"/>
      <c r="B35" s="32"/>
      <c r="C35" s="288"/>
      <c r="D35" s="289"/>
      <c r="E35" s="289"/>
      <c r="F35" s="289"/>
      <c r="G35" s="289"/>
      <c r="H35" s="290"/>
      <c r="I35" s="290"/>
      <c r="J35" s="291"/>
      <c r="K35" s="290"/>
      <c r="L35" s="291"/>
      <c r="M35" s="290"/>
      <c r="N35" s="292"/>
      <c r="O35" s="290"/>
      <c r="P35" s="291"/>
      <c r="Q35" s="291"/>
      <c r="R35" s="291"/>
      <c r="S35" s="293"/>
      <c r="T35" s="293"/>
      <c r="U35" s="293"/>
      <c r="V35" s="293"/>
      <c r="W35" s="293"/>
      <c r="X35" s="292"/>
      <c r="Y35" s="293"/>
      <c r="Z35" s="291"/>
      <c r="AA35" s="292"/>
      <c r="AB35" s="293"/>
      <c r="AC35" s="291"/>
      <c r="AD35" s="292"/>
      <c r="AE35" s="291"/>
      <c r="AF35" s="291"/>
      <c r="AG35" s="292"/>
      <c r="AH35" s="291"/>
      <c r="AI35" s="291"/>
      <c r="AJ35" s="294"/>
      <c r="AK35" s="291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291"/>
      <c r="AX35" s="276"/>
      <c r="AY35" s="295"/>
      <c r="AZ35" s="33"/>
      <c r="BA35" s="46"/>
      <c r="BB35" s="78"/>
      <c r="BC35" s="34"/>
      <c r="BD35" s="28"/>
      <c r="BE35" s="35"/>
      <c r="BF35" s="35"/>
      <c r="BG35" s="35"/>
    </row>
    <row r="36" spans="1:74" ht="13.5" customHeight="1">
      <c r="A36" s="22"/>
      <c r="B36" s="32"/>
      <c r="C36" s="41"/>
      <c r="D36" s="41"/>
      <c r="E36" s="41"/>
      <c r="F36" s="41"/>
      <c r="G36" s="41"/>
      <c r="H36" s="364"/>
      <c r="I36" s="364"/>
      <c r="J36" s="365"/>
      <c r="K36" s="364"/>
      <c r="L36" s="365"/>
      <c r="M36" s="364"/>
      <c r="N36" s="366"/>
      <c r="O36" s="364"/>
      <c r="P36" s="365"/>
      <c r="Q36" s="365"/>
      <c r="R36" s="365"/>
      <c r="S36" s="367"/>
      <c r="T36" s="367"/>
      <c r="U36" s="367"/>
      <c r="V36" s="367"/>
      <c r="W36" s="367"/>
      <c r="X36" s="366"/>
      <c r="Y36" s="367"/>
      <c r="Z36" s="365"/>
      <c r="AA36" s="366"/>
      <c r="AB36" s="367"/>
      <c r="AC36" s="365"/>
      <c r="AD36" s="366"/>
      <c r="AE36" s="365"/>
      <c r="AF36" s="365"/>
      <c r="AG36" s="366"/>
      <c r="AH36" s="365"/>
      <c r="AI36" s="365"/>
      <c r="AJ36" s="368"/>
      <c r="AK36" s="365"/>
      <c r="AL36" s="365"/>
      <c r="AM36" s="365"/>
      <c r="AN36" s="365"/>
      <c r="AO36" s="365"/>
      <c r="AP36" s="365"/>
      <c r="AQ36" s="365"/>
      <c r="AR36" s="365"/>
      <c r="AS36" s="365"/>
      <c r="AT36" s="365"/>
      <c r="AU36" s="365"/>
      <c r="AV36" s="365"/>
      <c r="AW36" s="365"/>
      <c r="AX36" s="280"/>
      <c r="AY36" s="279"/>
      <c r="AZ36" s="33"/>
      <c r="BA36" s="46"/>
      <c r="BB36" s="78"/>
      <c r="BC36" s="34"/>
      <c r="BD36" s="28"/>
      <c r="BE36" s="35"/>
      <c r="BF36" s="35"/>
      <c r="BG36" s="35"/>
    </row>
    <row r="37" spans="1:74" ht="13.5" customHeight="1">
      <c r="A37" s="22"/>
      <c r="B37" s="202">
        <v>5</v>
      </c>
      <c r="C37" s="204" t="s">
        <v>262</v>
      </c>
      <c r="D37" s="28"/>
      <c r="E37" s="28"/>
      <c r="F37" s="28"/>
      <c r="G37" s="28"/>
      <c r="H37" s="121"/>
      <c r="I37" s="62"/>
      <c r="J37" s="62"/>
      <c r="K37" s="63"/>
      <c r="L37" s="69"/>
      <c r="M37" s="69"/>
      <c r="N37" s="65"/>
      <c r="O37" s="69"/>
      <c r="P37" s="65"/>
      <c r="Q37" s="65"/>
      <c r="R37" s="69"/>
      <c r="S37" s="28"/>
      <c r="T37" s="28"/>
      <c r="U37" s="28"/>
      <c r="V37" s="28"/>
      <c r="W37" s="28"/>
      <c r="X37" s="121"/>
      <c r="Y37" s="62"/>
      <c r="Z37" s="63"/>
      <c r="AA37" s="62"/>
      <c r="AB37" s="63"/>
      <c r="AC37" s="69"/>
      <c r="AD37" s="69"/>
      <c r="AE37" s="65"/>
      <c r="AF37" s="69"/>
      <c r="AG37" s="65"/>
      <c r="AH37" s="69"/>
      <c r="AI37" s="64"/>
      <c r="AJ37" s="69"/>
      <c r="AK37" s="65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33"/>
      <c r="AW37" s="28"/>
      <c r="AX37" s="28"/>
      <c r="AY37" s="31"/>
      <c r="AZ37" s="33"/>
      <c r="BA37" s="46"/>
      <c r="BB37" s="159"/>
      <c r="BC37" s="115"/>
      <c r="BD37" s="28"/>
    </row>
    <row r="38" spans="1:74" ht="5.15" customHeight="1">
      <c r="A38" s="22"/>
      <c r="B38" s="202"/>
      <c r="C38" s="296"/>
      <c r="D38" s="72"/>
      <c r="E38" s="72"/>
      <c r="F38" s="72"/>
      <c r="G38" s="72"/>
      <c r="H38" s="297"/>
      <c r="I38" s="278"/>
      <c r="J38" s="278"/>
      <c r="K38" s="279"/>
      <c r="L38" s="298"/>
      <c r="M38" s="298"/>
      <c r="N38" s="263"/>
      <c r="O38" s="298"/>
      <c r="P38" s="263"/>
      <c r="Q38" s="263"/>
      <c r="R38" s="298"/>
      <c r="S38" s="72"/>
      <c r="T38" s="72"/>
      <c r="U38" s="72"/>
      <c r="V38" s="72"/>
      <c r="W38" s="72"/>
      <c r="X38" s="297"/>
      <c r="Y38" s="278"/>
      <c r="Z38" s="279"/>
      <c r="AA38" s="278"/>
      <c r="AB38" s="279"/>
      <c r="AC38" s="298"/>
      <c r="AD38" s="298"/>
      <c r="AE38" s="263"/>
      <c r="AF38" s="298"/>
      <c r="AG38" s="263"/>
      <c r="AH38" s="298"/>
      <c r="AI38" s="280"/>
      <c r="AJ38" s="298"/>
      <c r="AK38" s="263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300"/>
      <c r="AW38" s="72"/>
      <c r="AX38" s="72"/>
      <c r="AY38" s="265"/>
      <c r="AZ38" s="33"/>
      <c r="BA38" s="46"/>
      <c r="BB38" s="159"/>
      <c r="BC38" s="115"/>
      <c r="BD38" s="28"/>
    </row>
    <row r="39" spans="1:74" ht="13.9" customHeight="1">
      <c r="A39" s="22"/>
      <c r="B39" s="202"/>
      <c r="C39" s="501" t="s">
        <v>280</v>
      </c>
      <c r="D39" s="28"/>
      <c r="E39" s="28"/>
      <c r="F39" s="28"/>
      <c r="G39" s="86" t="s">
        <v>275</v>
      </c>
      <c r="H39" s="86"/>
      <c r="I39" s="86"/>
      <c r="J39" s="86"/>
      <c r="K39" s="86"/>
      <c r="L39" s="322"/>
      <c r="M39" s="75"/>
      <c r="N39" s="65"/>
      <c r="O39" s="69"/>
      <c r="P39" s="65"/>
      <c r="Q39" s="65"/>
      <c r="R39" s="69"/>
      <c r="S39" s="28"/>
      <c r="T39" s="28"/>
      <c r="U39" s="28"/>
      <c r="V39" s="28"/>
      <c r="W39" s="28"/>
      <c r="X39" s="121"/>
      <c r="Y39" s="62"/>
      <c r="Z39" s="63"/>
      <c r="AA39" s="62"/>
      <c r="AB39" s="63"/>
      <c r="AC39" s="69"/>
      <c r="AD39" s="69"/>
      <c r="AE39" s="65"/>
      <c r="AF39" s="69"/>
      <c r="AG39" s="65"/>
      <c r="AH39" s="69"/>
      <c r="AI39" s="64"/>
      <c r="AJ39" s="69"/>
      <c r="AK39" s="65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33"/>
      <c r="AW39" s="28"/>
      <c r="AX39" s="28"/>
      <c r="AY39" s="267"/>
      <c r="AZ39" s="33"/>
      <c r="BA39" s="46"/>
      <c r="BB39" s="159"/>
      <c r="BC39" s="115"/>
      <c r="BD39" s="28"/>
    </row>
    <row r="40" spans="1:74" ht="13.5" customHeight="1">
      <c r="A40" s="22"/>
      <c r="B40" s="202">
        <v>6</v>
      </c>
      <c r="C40" s="304" t="s">
        <v>31</v>
      </c>
      <c r="D40" s="205" t="s">
        <v>260</v>
      </c>
      <c r="E40" s="206"/>
      <c r="F40" s="206"/>
      <c r="G40" s="207"/>
      <c r="H40" s="208" t="s">
        <v>274</v>
      </c>
      <c r="I40" s="209"/>
      <c r="J40" s="209"/>
      <c r="K40" s="206"/>
      <c r="L40" s="207"/>
      <c r="M40" s="515"/>
      <c r="N40" s="28"/>
      <c r="O40" s="28"/>
      <c r="P40" s="28"/>
      <c r="Q40" s="28"/>
      <c r="R40" s="28"/>
      <c r="S40" s="35"/>
      <c r="T40" s="35"/>
      <c r="U40" s="35"/>
      <c r="V40" s="35"/>
      <c r="Y40" s="35"/>
      <c r="Z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11"/>
      <c r="AZ40" s="33"/>
      <c r="BA40" s="46"/>
      <c r="BB40" s="159"/>
      <c r="BC40" s="115"/>
      <c r="BD40" s="35"/>
      <c r="BE40" s="35"/>
      <c r="BF40" s="35"/>
      <c r="BG40" s="35"/>
    </row>
    <row r="41" spans="1:74" ht="13.5" customHeight="1">
      <c r="A41" s="22"/>
      <c r="B41" s="202">
        <v>8</v>
      </c>
      <c r="C41" s="308">
        <v>1</v>
      </c>
      <c r="D41" s="148" t="s">
        <v>147</v>
      </c>
      <c r="E41" s="149"/>
      <c r="F41" s="149"/>
      <c r="G41" s="151"/>
      <c r="H41" s="1019">
        <v>110</v>
      </c>
      <c r="I41" s="989"/>
      <c r="J41" s="989"/>
      <c r="K41" s="989"/>
      <c r="L41" s="990"/>
      <c r="M41" s="28"/>
      <c r="N41" s="28"/>
      <c r="O41" s="28"/>
      <c r="P41" s="28"/>
      <c r="Q41" s="28"/>
      <c r="R41" s="28"/>
      <c r="S41" s="35"/>
      <c r="T41" s="35"/>
      <c r="U41" s="35"/>
      <c r="V41" s="35"/>
      <c r="Y41" s="35"/>
      <c r="Z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11"/>
      <c r="AZ41" s="33"/>
      <c r="BA41" s="46"/>
      <c r="BB41" s="159"/>
      <c r="BC41" s="115"/>
      <c r="BD41" s="35"/>
      <c r="BE41" s="35"/>
      <c r="BF41" s="35"/>
      <c r="BG41" s="35"/>
    </row>
    <row r="42" spans="1:74" ht="13.5" customHeight="1">
      <c r="A42" s="22"/>
      <c r="B42" s="202">
        <v>9</v>
      </c>
      <c r="C42" s="308">
        <v>2</v>
      </c>
      <c r="D42" s="148" t="s">
        <v>261</v>
      </c>
      <c r="E42" s="149"/>
      <c r="F42" s="149"/>
      <c r="G42" s="151"/>
      <c r="H42" s="1019">
        <v>125</v>
      </c>
      <c r="I42" s="989"/>
      <c r="J42" s="989"/>
      <c r="K42" s="989"/>
      <c r="L42" s="990"/>
      <c r="M42" s="28"/>
      <c r="N42" s="28"/>
      <c r="O42" s="28"/>
      <c r="P42" s="28"/>
      <c r="Q42" s="28"/>
      <c r="R42" s="28"/>
      <c r="S42" s="35"/>
      <c r="T42" s="35"/>
      <c r="U42" s="35"/>
      <c r="V42" s="35"/>
      <c r="Y42" s="35"/>
      <c r="Z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11"/>
      <c r="AZ42" s="33"/>
      <c r="BA42" s="46"/>
      <c r="BB42" s="159"/>
      <c r="BC42" s="115"/>
      <c r="BD42" s="35"/>
      <c r="BE42" s="35"/>
      <c r="BF42" s="35"/>
      <c r="BG42" s="35"/>
    </row>
    <row r="43" spans="1:74" ht="5.15" customHeight="1">
      <c r="A43" s="22"/>
      <c r="B43" s="202"/>
      <c r="C43" s="315"/>
      <c r="D43" s="73"/>
      <c r="E43" s="73"/>
      <c r="F43" s="73"/>
      <c r="G43" s="73"/>
      <c r="H43" s="316"/>
      <c r="I43" s="275"/>
      <c r="J43" s="275"/>
      <c r="K43" s="273"/>
      <c r="L43" s="317"/>
      <c r="M43" s="317"/>
      <c r="N43" s="270"/>
      <c r="O43" s="317"/>
      <c r="P43" s="270"/>
      <c r="Q43" s="270"/>
      <c r="R43" s="317"/>
      <c r="S43" s="73"/>
      <c r="T43" s="73"/>
      <c r="U43" s="73"/>
      <c r="V43" s="73"/>
      <c r="W43" s="73"/>
      <c r="X43" s="316"/>
      <c r="Y43" s="275"/>
      <c r="Z43" s="273"/>
      <c r="AA43" s="275"/>
      <c r="AB43" s="273"/>
      <c r="AC43" s="317"/>
      <c r="AD43" s="317"/>
      <c r="AE43" s="270"/>
      <c r="AF43" s="317"/>
      <c r="AG43" s="270"/>
      <c r="AH43" s="317"/>
      <c r="AI43" s="276"/>
      <c r="AJ43" s="317"/>
      <c r="AK43" s="270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318"/>
      <c r="AW43" s="73"/>
      <c r="AX43" s="73"/>
      <c r="AY43" s="277"/>
      <c r="AZ43" s="33"/>
      <c r="BA43" s="46"/>
      <c r="BB43" s="159"/>
      <c r="BC43" s="115"/>
      <c r="BD43" s="28"/>
    </row>
    <row r="44" spans="1:74" ht="13.5" customHeight="1">
      <c r="A44" s="22"/>
      <c r="B44" s="202">
        <v>10</v>
      </c>
      <c r="C44" s="492"/>
      <c r="D44" s="65"/>
      <c r="E44" s="65"/>
      <c r="F44" s="65"/>
      <c r="G44" s="65"/>
      <c r="H44" s="65"/>
      <c r="I44" s="65"/>
      <c r="J44" s="65"/>
      <c r="K44" s="65"/>
      <c r="L44" s="65"/>
      <c r="M44" s="62"/>
      <c r="N44" s="63"/>
      <c r="O44" s="65"/>
      <c r="P44" s="65"/>
      <c r="Q44" s="64"/>
      <c r="R44" s="63"/>
      <c r="S44" s="190"/>
      <c r="T44" s="190"/>
      <c r="U44" s="191"/>
      <c r="V44" s="192"/>
      <c r="W44" s="190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33"/>
      <c r="BA44" s="46"/>
      <c r="BB44" s="159"/>
      <c r="BC44" s="115"/>
      <c r="BD44" s="28"/>
    </row>
    <row r="45" spans="1:74" ht="13.5" customHeight="1">
      <c r="A45" s="22"/>
      <c r="B45" s="202">
        <v>5</v>
      </c>
      <c r="C45" s="204" t="s">
        <v>62</v>
      </c>
      <c r="D45" s="28"/>
      <c r="E45" s="28"/>
      <c r="F45" s="28"/>
      <c r="G45" s="28"/>
      <c r="H45" s="121"/>
      <c r="I45" s="62"/>
      <c r="J45" s="63"/>
      <c r="K45" s="62"/>
      <c r="L45" s="63"/>
      <c r="M45" s="69"/>
      <c r="N45" s="69"/>
      <c r="O45" s="65"/>
      <c r="P45" s="69"/>
      <c r="Q45" s="65"/>
      <c r="R45" s="69"/>
      <c r="S45" s="28"/>
      <c r="T45" s="28"/>
      <c r="U45" s="28"/>
      <c r="V45" s="28"/>
      <c r="W45" s="28"/>
      <c r="X45" s="121"/>
      <c r="Y45" s="62"/>
      <c r="Z45" s="63"/>
      <c r="AA45" s="62"/>
      <c r="AB45" s="63"/>
      <c r="AC45" s="69"/>
      <c r="AD45" s="69"/>
      <c r="AE45" s="65"/>
      <c r="AF45" s="69"/>
      <c r="AG45" s="65"/>
      <c r="AH45" s="69"/>
      <c r="AI45" s="64"/>
      <c r="AJ45" s="69"/>
      <c r="AK45" s="65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33"/>
      <c r="AW45" s="28"/>
      <c r="AX45" s="28"/>
      <c r="AY45" s="31"/>
      <c r="AZ45" s="33"/>
      <c r="BA45" s="46"/>
      <c r="BB45" s="159"/>
      <c r="BC45" s="115"/>
      <c r="BD45" s="28"/>
    </row>
    <row r="46" spans="1:74" ht="5.15" customHeight="1">
      <c r="A46" s="22"/>
      <c r="B46" s="202"/>
      <c r="C46" s="296"/>
      <c r="D46" s="72"/>
      <c r="E46" s="72"/>
      <c r="F46" s="72"/>
      <c r="G46" s="72"/>
      <c r="H46" s="297"/>
      <c r="I46" s="278"/>
      <c r="J46" s="279"/>
      <c r="K46" s="278"/>
      <c r="L46" s="279"/>
      <c r="M46" s="298"/>
      <c r="N46" s="298"/>
      <c r="O46" s="263"/>
      <c r="P46" s="298"/>
      <c r="Q46" s="263"/>
      <c r="R46" s="298"/>
      <c r="S46" s="72"/>
      <c r="T46" s="72"/>
      <c r="U46" s="72"/>
      <c r="V46" s="72"/>
      <c r="W46" s="72"/>
      <c r="X46" s="297"/>
      <c r="Y46" s="278"/>
      <c r="Z46" s="279"/>
      <c r="AA46" s="278"/>
      <c r="AB46" s="279"/>
      <c r="AC46" s="298"/>
      <c r="AD46" s="298"/>
      <c r="AE46" s="263"/>
      <c r="AF46" s="298"/>
      <c r="AG46" s="263"/>
      <c r="AH46" s="298"/>
      <c r="AI46" s="280"/>
      <c r="AJ46" s="298"/>
      <c r="AK46" s="263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300"/>
      <c r="AW46" s="72"/>
      <c r="AX46" s="72"/>
      <c r="AY46" s="264"/>
      <c r="AZ46" s="264"/>
      <c r="BA46" s="301"/>
      <c r="BB46" s="302"/>
      <c r="BC46" s="303"/>
      <c r="BD46" s="28"/>
    </row>
    <row r="47" spans="1:74" ht="13.5" customHeight="1">
      <c r="A47" s="22"/>
      <c r="B47" s="45"/>
      <c r="C47" s="266"/>
      <c r="D47" s="28" t="s">
        <v>286</v>
      </c>
      <c r="E47" s="28"/>
      <c r="F47" s="28"/>
      <c r="G47" s="28"/>
      <c r="H47" s="86" t="s">
        <v>145</v>
      </c>
      <c r="I47" s="86"/>
      <c r="J47" s="86"/>
      <c r="K47" s="86"/>
      <c r="L47" s="86"/>
      <c r="M47" s="322"/>
      <c r="N47" s="87"/>
      <c r="O47" s="88"/>
      <c r="P47" s="88"/>
      <c r="Q47" s="89"/>
      <c r="R47" s="87"/>
      <c r="S47" s="87"/>
      <c r="T47" s="87"/>
      <c r="U47" s="88"/>
      <c r="V47" s="89"/>
      <c r="W47" s="87"/>
      <c r="X47" s="65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65"/>
      <c r="AY47" s="31"/>
      <c r="AZ47" s="52"/>
      <c r="BA47" s="93"/>
      <c r="BB47" s="327"/>
      <c r="BC47" s="328"/>
      <c r="BD47" s="28"/>
      <c r="BE47" s="35"/>
      <c r="BF47" s="35"/>
      <c r="BG47" s="35"/>
    </row>
    <row r="48" spans="1:74" ht="13.5" customHeight="1">
      <c r="A48" s="22"/>
      <c r="B48" s="202">
        <v>6</v>
      </c>
      <c r="C48" s="304" t="s">
        <v>31</v>
      </c>
      <c r="D48" s="205" t="s">
        <v>63</v>
      </c>
      <c r="E48" s="206"/>
      <c r="F48" s="206"/>
      <c r="G48" s="207"/>
      <c r="H48" s="208" t="s">
        <v>72</v>
      </c>
      <c r="I48" s="209"/>
      <c r="J48" s="209"/>
      <c r="K48" s="209"/>
      <c r="L48" s="206"/>
      <c r="M48" s="207"/>
      <c r="N48" s="205" t="s">
        <v>73</v>
      </c>
      <c r="O48" s="206"/>
      <c r="P48" s="206"/>
      <c r="Q48" s="207"/>
      <c r="R48" s="205" t="s">
        <v>74</v>
      </c>
      <c r="S48" s="206"/>
      <c r="T48" s="206"/>
      <c r="U48" s="206"/>
      <c r="V48" s="210" t="s">
        <v>290</v>
      </c>
      <c r="W48" s="211"/>
      <c r="X48" s="211"/>
      <c r="Y48" s="212"/>
      <c r="Z48" s="210" t="s">
        <v>149</v>
      </c>
      <c r="AA48" s="211"/>
      <c r="AB48" s="211"/>
      <c r="AC48" s="212"/>
      <c r="AD48" s="210" t="s">
        <v>291</v>
      </c>
      <c r="AE48" s="211"/>
      <c r="AF48" s="211"/>
      <c r="AG48" s="212"/>
      <c r="AH48" s="211" t="s">
        <v>75</v>
      </c>
      <c r="AI48" s="211"/>
      <c r="AJ48" s="211"/>
      <c r="AK48" s="212"/>
      <c r="AL48" s="211" t="s">
        <v>88</v>
      </c>
      <c r="AM48" s="211"/>
      <c r="AN48" s="211"/>
      <c r="AO48" s="212"/>
      <c r="AP48" s="210" t="s">
        <v>152</v>
      </c>
      <c r="AQ48" s="211"/>
      <c r="AR48" s="211"/>
      <c r="AS48" s="211"/>
      <c r="AT48" s="210" t="s">
        <v>153</v>
      </c>
      <c r="AU48" s="211"/>
      <c r="AV48" s="211"/>
      <c r="AW48" s="211"/>
      <c r="AX48" s="210" t="s">
        <v>82</v>
      </c>
      <c r="AY48" s="211"/>
      <c r="AZ48" s="211"/>
      <c r="BA48" s="212"/>
      <c r="BB48" s="210" t="s">
        <v>86</v>
      </c>
      <c r="BC48" s="211"/>
      <c r="BD48" s="211"/>
      <c r="BE48" s="212"/>
      <c r="BF48" s="210" t="s">
        <v>155</v>
      </c>
      <c r="BG48" s="211"/>
      <c r="BH48" s="211"/>
      <c r="BI48" s="212"/>
      <c r="BJ48" s="305" t="s">
        <v>85</v>
      </c>
      <c r="BK48" s="211"/>
      <c r="BL48" s="211"/>
      <c r="BM48" s="212"/>
      <c r="BN48" s="211" t="s">
        <v>68</v>
      </c>
      <c r="BO48" s="211"/>
      <c r="BP48" s="211"/>
      <c r="BQ48" s="212"/>
      <c r="BR48" s="28"/>
      <c r="BS48" s="28"/>
      <c r="BT48" s="28"/>
      <c r="BU48" s="28"/>
      <c r="BV48" s="28"/>
    </row>
    <row r="49" spans="1:74" ht="13.5" customHeight="1">
      <c r="A49" s="22"/>
      <c r="B49" s="202">
        <v>7</v>
      </c>
      <c r="C49" s="306"/>
      <c r="D49" s="213" t="s">
        <v>29</v>
      </c>
      <c r="E49" s="216"/>
      <c r="F49" s="214"/>
      <c r="G49" s="215"/>
      <c r="H49" s="213" t="s">
        <v>29</v>
      </c>
      <c r="I49" s="216"/>
      <c r="J49" s="216"/>
      <c r="K49" s="216"/>
      <c r="L49" s="214"/>
      <c r="M49" s="215"/>
      <c r="N49" s="213" t="s">
        <v>29</v>
      </c>
      <c r="O49" s="214"/>
      <c r="P49" s="214"/>
      <c r="Q49" s="215"/>
      <c r="R49" s="213" t="s">
        <v>29</v>
      </c>
      <c r="S49" s="216"/>
      <c r="T49" s="214"/>
      <c r="U49" s="214"/>
      <c r="V49" s="217" t="s">
        <v>42</v>
      </c>
      <c r="W49" s="218"/>
      <c r="X49" s="219"/>
      <c r="Y49" s="220"/>
      <c r="Z49" s="217" t="s">
        <v>29</v>
      </c>
      <c r="AA49" s="218"/>
      <c r="AB49" s="219"/>
      <c r="AC49" s="220"/>
      <c r="AD49" s="217" t="s">
        <v>42</v>
      </c>
      <c r="AE49" s="218"/>
      <c r="AF49" s="219"/>
      <c r="AG49" s="220"/>
      <c r="AH49" s="218" t="s">
        <v>29</v>
      </c>
      <c r="AI49" s="500"/>
      <c r="AJ49" s="219"/>
      <c r="AK49" s="220"/>
      <c r="AL49" s="500"/>
      <c r="AM49" s="218"/>
      <c r="AN49" s="219"/>
      <c r="AO49" s="220"/>
      <c r="AP49" s="217" t="s">
        <v>42</v>
      </c>
      <c r="AQ49" s="218"/>
      <c r="AR49" s="219"/>
      <c r="AS49" s="219"/>
      <c r="AT49" s="217" t="s">
        <v>154</v>
      </c>
      <c r="AU49" s="218"/>
      <c r="AV49" s="219"/>
      <c r="AW49" s="219"/>
      <c r="AX49" s="217" t="s">
        <v>154</v>
      </c>
      <c r="AY49" s="218"/>
      <c r="AZ49" s="219"/>
      <c r="BA49" s="220"/>
      <c r="BB49" s="217" t="s">
        <v>87</v>
      </c>
      <c r="BC49" s="218"/>
      <c r="BD49" s="219"/>
      <c r="BE49" s="220"/>
      <c r="BF49" s="217" t="s">
        <v>156</v>
      </c>
      <c r="BG49" s="218"/>
      <c r="BH49" s="219"/>
      <c r="BI49" s="220"/>
      <c r="BJ49" s="307" t="s">
        <v>42</v>
      </c>
      <c r="BK49" s="218"/>
      <c r="BL49" s="219"/>
      <c r="BM49" s="220"/>
      <c r="BN49" s="218" t="s">
        <v>42</v>
      </c>
      <c r="BO49" s="218"/>
      <c r="BP49" s="219"/>
      <c r="BQ49" s="220"/>
      <c r="BR49" s="28"/>
      <c r="BS49" s="28"/>
      <c r="BT49" s="28"/>
      <c r="BU49" s="28"/>
      <c r="BV49" s="28"/>
    </row>
    <row r="50" spans="1:74" ht="13.5" customHeight="1">
      <c r="A50" s="22"/>
      <c r="B50" s="202">
        <v>8</v>
      </c>
      <c r="C50" s="308">
        <v>1</v>
      </c>
      <c r="D50" s="148" t="s">
        <v>157</v>
      </c>
      <c r="E50" s="149"/>
      <c r="F50" s="149"/>
      <c r="G50" s="151"/>
      <c r="H50" s="242" t="s">
        <v>158</v>
      </c>
      <c r="I50" s="150"/>
      <c r="J50" s="150"/>
      <c r="K50" s="150"/>
      <c r="L50" s="161"/>
      <c r="M50" s="162"/>
      <c r="N50" s="242" t="s">
        <v>159</v>
      </c>
      <c r="O50" s="150"/>
      <c r="P50" s="150"/>
      <c r="Q50" s="99" t="s">
        <v>32</v>
      </c>
      <c r="R50" s="999">
        <v>70000</v>
      </c>
      <c r="S50" s="1000"/>
      <c r="T50" s="1000"/>
      <c r="U50" s="1001"/>
      <c r="V50" s="148" t="s">
        <v>147</v>
      </c>
      <c r="W50" s="150"/>
      <c r="X50" s="150"/>
      <c r="Y50" s="99" t="s">
        <v>32</v>
      </c>
      <c r="Z50" s="1013">
        <v>6.7299999999999999E-2</v>
      </c>
      <c r="AA50" s="1014"/>
      <c r="AB50" s="1014"/>
      <c r="AC50" s="1015"/>
      <c r="AD50" s="148" t="s">
        <v>147</v>
      </c>
      <c r="AE50" s="150"/>
      <c r="AF50" s="150"/>
      <c r="AG50" s="99" t="s">
        <v>32</v>
      </c>
      <c r="AH50" s="1013">
        <v>0.1211</v>
      </c>
      <c r="AI50" s="1014"/>
      <c r="AJ50" s="1014"/>
      <c r="AK50" s="1015"/>
      <c r="AL50" s="1013"/>
      <c r="AM50" s="1014"/>
      <c r="AN50" s="1014"/>
      <c r="AO50" s="1015"/>
      <c r="AP50" s="1016">
        <v>0.01</v>
      </c>
      <c r="AQ50" s="1017"/>
      <c r="AR50" s="1017"/>
      <c r="AS50" s="1018"/>
      <c r="AT50" s="1013">
        <v>0.13589999999999999</v>
      </c>
      <c r="AU50" s="1014"/>
      <c r="AV50" s="1014"/>
      <c r="AW50" s="1015"/>
      <c r="AX50" s="1013">
        <v>0.151</v>
      </c>
      <c r="AY50" s="1014"/>
      <c r="AZ50" s="1014"/>
      <c r="BA50" s="1015"/>
      <c r="BB50" s="1013">
        <v>0.151</v>
      </c>
      <c r="BC50" s="1014"/>
      <c r="BD50" s="1014"/>
      <c r="BE50" s="1015"/>
      <c r="BF50" s="1013">
        <v>6.1000000000000004E-3</v>
      </c>
      <c r="BG50" s="1014"/>
      <c r="BH50" s="1014"/>
      <c r="BI50" s="1015"/>
      <c r="BJ50" s="1023"/>
      <c r="BK50" s="1024"/>
      <c r="BL50" s="1024"/>
      <c r="BM50" s="1025"/>
      <c r="BN50" s="149" t="s">
        <v>29</v>
      </c>
      <c r="BO50" s="150"/>
      <c r="BP50" s="150"/>
      <c r="BQ50" s="152"/>
      <c r="BR50" s="28"/>
      <c r="BS50" s="28"/>
      <c r="BT50" s="28"/>
      <c r="BU50" s="28"/>
      <c r="BV50" s="28"/>
    </row>
    <row r="51" spans="1:74" ht="13.5" customHeight="1">
      <c r="A51" s="22"/>
      <c r="B51" s="202">
        <v>9</v>
      </c>
      <c r="C51" s="308">
        <v>2</v>
      </c>
      <c r="D51" s="148"/>
      <c r="E51" s="149"/>
      <c r="F51" s="149"/>
      <c r="G51" s="151"/>
      <c r="H51" s="242"/>
      <c r="I51" s="150"/>
      <c r="J51" s="150"/>
      <c r="K51" s="150"/>
      <c r="L51" s="161"/>
      <c r="M51" s="162"/>
      <c r="N51" s="242"/>
      <c r="O51" s="150"/>
      <c r="P51" s="150"/>
      <c r="Q51" s="99" t="s">
        <v>32</v>
      </c>
      <c r="R51" s="999"/>
      <c r="S51" s="1000"/>
      <c r="T51" s="1000"/>
      <c r="U51" s="1001"/>
      <c r="V51" s="148"/>
      <c r="W51" s="150"/>
      <c r="X51" s="150"/>
      <c r="Y51" s="99" t="s">
        <v>32</v>
      </c>
      <c r="Z51" s="988"/>
      <c r="AA51" s="997"/>
      <c r="AB51" s="997"/>
      <c r="AC51" s="998"/>
      <c r="AD51" s="148"/>
      <c r="AE51" s="150"/>
      <c r="AF51" s="150"/>
      <c r="AG51" s="99" t="s">
        <v>32</v>
      </c>
      <c r="AH51" s="988"/>
      <c r="AI51" s="997"/>
      <c r="AJ51" s="997"/>
      <c r="AK51" s="998"/>
      <c r="AL51" s="988"/>
      <c r="AM51" s="997"/>
      <c r="AN51" s="997"/>
      <c r="AO51" s="998"/>
      <c r="AP51" s="988"/>
      <c r="AQ51" s="997"/>
      <c r="AR51" s="997"/>
      <c r="AS51" s="998"/>
      <c r="AT51" s="988"/>
      <c r="AU51" s="997"/>
      <c r="AV51" s="997"/>
      <c r="AW51" s="998"/>
      <c r="AX51" s="988"/>
      <c r="AY51" s="997"/>
      <c r="AZ51" s="997"/>
      <c r="BA51" s="998"/>
      <c r="BB51" s="988"/>
      <c r="BC51" s="997"/>
      <c r="BD51" s="997"/>
      <c r="BE51" s="998"/>
      <c r="BF51" s="988"/>
      <c r="BG51" s="997"/>
      <c r="BH51" s="997"/>
      <c r="BI51" s="998"/>
      <c r="BJ51" s="148"/>
      <c r="BK51" s="150"/>
      <c r="BL51" s="150"/>
      <c r="BM51" s="152"/>
      <c r="BN51" s="149"/>
      <c r="BO51" s="150"/>
      <c r="BP51" s="150"/>
      <c r="BQ51" s="152"/>
      <c r="BR51" s="28"/>
      <c r="BS51" s="28"/>
      <c r="BT51" s="28"/>
      <c r="BU51" s="28"/>
      <c r="BV51" s="28"/>
    </row>
    <row r="52" spans="1:74" ht="13.5" customHeight="1">
      <c r="A52" s="22"/>
      <c r="B52" s="202">
        <v>10</v>
      </c>
      <c r="C52" s="310"/>
      <c r="D52" s="65"/>
      <c r="E52" s="65"/>
      <c r="F52" s="65"/>
      <c r="G52" s="65"/>
      <c r="H52" s="65"/>
      <c r="I52" s="65"/>
      <c r="J52" s="65"/>
      <c r="K52" s="65"/>
      <c r="L52" s="65"/>
      <c r="M52" s="62"/>
      <c r="N52" s="63"/>
      <c r="O52" s="65"/>
      <c r="P52" s="65"/>
      <c r="Q52" s="64"/>
      <c r="R52" s="63"/>
      <c r="S52" s="190"/>
      <c r="T52" s="190"/>
      <c r="U52" s="191"/>
      <c r="V52" s="192"/>
      <c r="W52" s="190"/>
      <c r="X52" s="65"/>
      <c r="Y52" s="65"/>
      <c r="Z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31"/>
      <c r="BA52" s="35"/>
      <c r="BB52" s="35"/>
      <c r="BC52" s="311"/>
      <c r="BD52" s="28"/>
    </row>
    <row r="53" spans="1:74" ht="13.5" customHeight="1">
      <c r="A53" s="22"/>
      <c r="B53" s="202">
        <v>11</v>
      </c>
      <c r="C53" s="312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3"/>
      <c r="W53" s="63"/>
      <c r="X53" s="75"/>
      <c r="Y53" s="63"/>
      <c r="Z53" s="63"/>
      <c r="AA53" s="69"/>
      <c r="AB53" s="65"/>
      <c r="AC53" s="63"/>
      <c r="AD53" s="65"/>
      <c r="AE53" s="65"/>
      <c r="AF53" s="65"/>
      <c r="AG53" s="69"/>
      <c r="AH53" s="65"/>
      <c r="AI53" s="75"/>
      <c r="AJ53" s="63"/>
      <c r="AK53" s="63"/>
      <c r="AL53" s="63"/>
      <c r="AM53" s="63"/>
      <c r="AN53" s="125"/>
      <c r="AO53" s="62"/>
      <c r="AP53" s="62"/>
      <c r="AQ53" s="63"/>
      <c r="AR53" s="63"/>
      <c r="AS53" s="63"/>
      <c r="AT53" s="64"/>
      <c r="AU53" s="63"/>
      <c r="AV53" s="65"/>
      <c r="AW53" s="65"/>
      <c r="AX53" s="65"/>
      <c r="AY53" s="63"/>
      <c r="AZ53" s="31"/>
      <c r="BA53" s="35"/>
      <c r="BB53" s="35"/>
      <c r="BC53" s="311"/>
      <c r="BD53" s="28"/>
    </row>
    <row r="54" spans="1:74" ht="15.75" customHeight="1">
      <c r="A54" s="22"/>
      <c r="B54" s="202">
        <v>12</v>
      </c>
      <c r="C54" s="310"/>
      <c r="D54" s="65"/>
      <c r="E54" s="65"/>
      <c r="F54" s="65"/>
      <c r="G54" s="65"/>
      <c r="H54" s="65"/>
      <c r="I54" s="65"/>
      <c r="J54" s="65"/>
      <c r="K54" s="65"/>
      <c r="L54" s="65"/>
      <c r="M54" s="62"/>
      <c r="N54" s="65"/>
      <c r="O54" s="65"/>
      <c r="P54" s="63"/>
      <c r="Q54" s="64"/>
      <c r="R54" s="63"/>
      <c r="S54" s="63"/>
      <c r="T54" s="65"/>
      <c r="U54" s="63"/>
      <c r="V54" s="65"/>
      <c r="W54" s="63"/>
      <c r="X54" s="63"/>
      <c r="Y54" s="63"/>
      <c r="Z54" s="63"/>
      <c r="AA54" s="63"/>
      <c r="AB54" s="65"/>
      <c r="AC54" s="65"/>
      <c r="AD54" s="62"/>
      <c r="AE54" s="63"/>
      <c r="AF54" s="63"/>
      <c r="AG54" s="65"/>
      <c r="AH54" s="65"/>
      <c r="AI54" s="62"/>
      <c r="AJ54" s="63"/>
      <c r="AK54" s="65"/>
      <c r="AL54" s="63"/>
      <c r="AM54" s="63"/>
      <c r="AN54" s="126"/>
      <c r="AO54" s="65"/>
      <c r="AP54" s="65"/>
      <c r="AQ54" s="125"/>
      <c r="AR54" s="65"/>
      <c r="AS54" s="65"/>
      <c r="AT54" s="63"/>
      <c r="AU54" s="63"/>
      <c r="AV54" s="63"/>
      <c r="AW54" s="63"/>
      <c r="AX54" s="63"/>
      <c r="AY54" s="63"/>
      <c r="AZ54" s="31"/>
      <c r="BA54" s="35"/>
      <c r="BB54" s="35"/>
      <c r="BC54" s="311"/>
      <c r="BD54" s="28"/>
    </row>
    <row r="55" spans="1:74" ht="13.5" customHeight="1">
      <c r="A55" s="22"/>
      <c r="B55" s="202">
        <v>13</v>
      </c>
      <c r="C55" s="310"/>
      <c r="D55" s="65"/>
      <c r="E55" s="65"/>
      <c r="F55" s="65"/>
      <c r="G55" s="65"/>
      <c r="H55" s="84"/>
      <c r="I55" s="65"/>
      <c r="J55" s="65"/>
      <c r="K55" s="65"/>
      <c r="L55" s="65"/>
      <c r="M55" s="126"/>
      <c r="N55" s="65"/>
      <c r="O55" s="65"/>
      <c r="P55" s="65"/>
      <c r="Q55" s="198"/>
      <c r="R55" s="65"/>
      <c r="S55" s="63"/>
      <c r="T55" s="63"/>
      <c r="U55" s="63"/>
      <c r="V55" s="65"/>
      <c r="W55" s="84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126"/>
      <c r="AI55" s="65"/>
      <c r="AJ55" s="125"/>
      <c r="AK55" s="65"/>
      <c r="AL55" s="65"/>
      <c r="AM55" s="65"/>
      <c r="AN55" s="65"/>
      <c r="AO55" s="65"/>
      <c r="AP55" s="65"/>
      <c r="AQ55" s="125"/>
      <c r="AR55" s="65"/>
      <c r="AS55" s="125"/>
      <c r="AT55" s="64"/>
      <c r="AU55" s="63"/>
      <c r="AV55" s="65"/>
      <c r="AW55" s="65"/>
      <c r="AX55" s="65"/>
      <c r="AY55" s="63"/>
      <c r="AZ55" s="31"/>
      <c r="BA55" s="35"/>
      <c r="BB55" s="35"/>
      <c r="BC55" s="311"/>
      <c r="BD55" s="28"/>
    </row>
    <row r="56" spans="1:74" ht="13.5" customHeight="1">
      <c r="A56" s="22"/>
      <c r="B56" s="202">
        <v>14</v>
      </c>
      <c r="C56" s="312"/>
      <c r="D56" s="65"/>
      <c r="E56" s="65"/>
      <c r="F56" s="65"/>
      <c r="G56" s="65"/>
      <c r="H56" s="65"/>
      <c r="I56" s="65"/>
      <c r="J56" s="65"/>
      <c r="K56" s="198"/>
      <c r="L56" s="65"/>
      <c r="M56" s="65"/>
      <c r="N56" s="65"/>
      <c r="O56" s="65"/>
      <c r="P56" s="65"/>
      <c r="Q56" s="198"/>
      <c r="R56" s="65"/>
      <c r="S56" s="65"/>
      <c r="T56" s="65"/>
      <c r="U56" s="198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125"/>
      <c r="AK56" s="112"/>
      <c r="AL56" s="62"/>
      <c r="AM56" s="63"/>
      <c r="AN56" s="63"/>
      <c r="AO56" s="63"/>
      <c r="AP56" s="63"/>
      <c r="AQ56" s="64"/>
      <c r="AR56" s="63"/>
      <c r="AS56" s="65"/>
      <c r="AT56" s="65"/>
      <c r="AU56" s="65"/>
      <c r="AV56" s="65"/>
      <c r="AW56" s="65"/>
      <c r="AX56" s="65"/>
      <c r="AY56" s="63"/>
      <c r="AZ56" s="31"/>
      <c r="BA56" s="35"/>
      <c r="BB56" s="35"/>
      <c r="BC56" s="311"/>
      <c r="BD56" s="28"/>
    </row>
    <row r="57" spans="1:74" ht="13.5" customHeight="1">
      <c r="A57" s="22"/>
      <c r="B57" s="202">
        <v>15</v>
      </c>
      <c r="C57" s="313" t="s">
        <v>70</v>
      </c>
      <c r="D57" s="223"/>
      <c r="E57" s="224"/>
      <c r="F57" s="223"/>
      <c r="G57" s="224"/>
      <c r="H57" s="225"/>
      <c r="I57" s="226"/>
      <c r="J57" s="227"/>
      <c r="K57" s="227"/>
      <c r="L57" s="227"/>
      <c r="M57" s="228"/>
      <c r="N57" s="227"/>
      <c r="O57" s="227"/>
      <c r="P57" s="227"/>
      <c r="Q57" s="229"/>
      <c r="R57" s="227"/>
      <c r="S57" s="227"/>
      <c r="T57" s="227"/>
      <c r="U57" s="227"/>
      <c r="V57" s="227"/>
      <c r="W57" s="229"/>
      <c r="X57" s="227"/>
      <c r="Y57" s="227"/>
      <c r="Z57" s="227"/>
      <c r="AA57" s="229"/>
      <c r="AB57" s="227"/>
      <c r="AC57" s="227"/>
      <c r="AD57" s="227"/>
      <c r="AE57" s="227"/>
      <c r="AF57" s="227"/>
      <c r="AG57" s="232"/>
      <c r="AH57" s="227"/>
      <c r="AI57" s="227"/>
      <c r="AJ57" s="227"/>
      <c r="AK57" s="227"/>
      <c r="AL57" s="227"/>
      <c r="AM57" s="227"/>
      <c r="AN57" s="227"/>
      <c r="AO57" s="227"/>
      <c r="AP57" s="227"/>
      <c r="AQ57" s="230"/>
      <c r="AR57" s="227"/>
      <c r="AS57" s="230"/>
      <c r="AT57" s="227"/>
      <c r="AU57" s="227"/>
      <c r="AV57" s="227"/>
      <c r="AW57" s="227"/>
      <c r="AX57" s="227"/>
      <c r="AY57" s="224"/>
      <c r="AZ57" s="224"/>
      <c r="BA57" s="231"/>
      <c r="BB57" s="231"/>
      <c r="BC57" s="314"/>
      <c r="BD57" s="28"/>
    </row>
    <row r="58" spans="1:74" ht="13.5" customHeight="1">
      <c r="A58" s="22"/>
      <c r="B58" s="202">
        <v>16</v>
      </c>
      <c r="C58" s="310"/>
      <c r="D58" s="65"/>
      <c r="E58" s="65"/>
      <c r="F58" s="65"/>
      <c r="G58" s="65"/>
      <c r="H58" s="65"/>
      <c r="I58" s="65"/>
      <c r="J58" s="65"/>
      <c r="K58" s="65"/>
      <c r="L58" s="65"/>
      <c r="M58" s="62"/>
      <c r="N58" s="65"/>
      <c r="O58" s="65"/>
      <c r="P58" s="63"/>
      <c r="Q58" s="64"/>
      <c r="R58" s="63"/>
      <c r="S58" s="111"/>
      <c r="T58" s="112"/>
      <c r="U58" s="111"/>
      <c r="V58" s="112"/>
      <c r="W58" s="111"/>
      <c r="X58" s="111"/>
      <c r="Y58" s="111"/>
      <c r="Z58" s="111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3"/>
      <c r="AZ58" s="53"/>
      <c r="BA58" s="323"/>
      <c r="BB58" s="324"/>
      <c r="BC58" s="325"/>
      <c r="BD58" s="28"/>
    </row>
    <row r="59" spans="1:74" ht="13.5" customHeight="1">
      <c r="A59" s="22"/>
      <c r="B59" s="202">
        <v>17</v>
      </c>
      <c r="C59" s="310"/>
      <c r="D59" s="65"/>
      <c r="E59" s="65"/>
      <c r="F59" s="65"/>
      <c r="G59" s="65"/>
      <c r="H59" s="126"/>
      <c r="I59" s="65"/>
      <c r="J59" s="65"/>
      <c r="K59" s="65"/>
      <c r="L59" s="198"/>
      <c r="M59" s="65"/>
      <c r="N59" s="65"/>
      <c r="O59" s="65"/>
      <c r="P59" s="198"/>
      <c r="Q59" s="65"/>
      <c r="R59" s="65"/>
      <c r="S59" s="65"/>
      <c r="T59" s="198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12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3"/>
      <c r="AZ59" s="31"/>
      <c r="BA59" s="30"/>
      <c r="BB59" s="175"/>
      <c r="BC59" s="326"/>
      <c r="BD59" s="28"/>
    </row>
    <row r="60" spans="1:74" ht="5.15" customHeight="1">
      <c r="A60" s="22"/>
      <c r="B60" s="202"/>
      <c r="C60" s="315"/>
      <c r="D60" s="73"/>
      <c r="E60" s="73"/>
      <c r="F60" s="73"/>
      <c r="G60" s="73"/>
      <c r="H60" s="316"/>
      <c r="I60" s="275"/>
      <c r="J60" s="273"/>
      <c r="K60" s="275"/>
      <c r="L60" s="273"/>
      <c r="M60" s="317"/>
      <c r="N60" s="317"/>
      <c r="O60" s="270"/>
      <c r="P60" s="317"/>
      <c r="Q60" s="270"/>
      <c r="R60" s="317"/>
      <c r="S60" s="73"/>
      <c r="T60" s="73"/>
      <c r="U60" s="73"/>
      <c r="V60" s="73"/>
      <c r="W60" s="73"/>
      <c r="X60" s="316"/>
      <c r="Y60" s="275"/>
      <c r="Z60" s="273"/>
      <c r="AA60" s="275"/>
      <c r="AB60" s="273"/>
      <c r="AC60" s="317"/>
      <c r="AD60" s="317"/>
      <c r="AE60" s="270"/>
      <c r="AF60" s="317"/>
      <c r="AG60" s="270"/>
      <c r="AH60" s="317"/>
      <c r="AI60" s="276"/>
      <c r="AJ60" s="317"/>
      <c r="AK60" s="270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318"/>
      <c r="AW60" s="73"/>
      <c r="AX60" s="73"/>
      <c r="AY60" s="269"/>
      <c r="AZ60" s="269"/>
      <c r="BA60" s="319"/>
      <c r="BB60" s="320"/>
      <c r="BC60" s="321"/>
      <c r="BD60" s="28"/>
    </row>
    <row r="61" spans="1:74" ht="13.5" customHeight="1">
      <c r="A61" s="22"/>
      <c r="B61" s="202">
        <v>18</v>
      </c>
      <c r="C61" s="75"/>
      <c r="D61" s="63"/>
      <c r="E61" s="63"/>
      <c r="F61" s="63"/>
      <c r="G61" s="63"/>
      <c r="H61" s="69"/>
      <c r="I61" s="69"/>
      <c r="J61" s="65"/>
      <c r="K61" s="69"/>
      <c r="L61" s="65"/>
      <c r="M61" s="69"/>
      <c r="N61" s="64"/>
      <c r="O61" s="69"/>
      <c r="P61" s="65"/>
      <c r="Q61" s="65"/>
      <c r="R61" s="65"/>
      <c r="S61" s="63"/>
      <c r="T61" s="63"/>
      <c r="U61" s="63"/>
      <c r="V61" s="63"/>
      <c r="W61" s="63"/>
      <c r="X61" s="64"/>
      <c r="Y61" s="63"/>
      <c r="Z61" s="65"/>
      <c r="AA61" s="64"/>
      <c r="AB61" s="63"/>
      <c r="AC61" s="65"/>
      <c r="AD61" s="64"/>
      <c r="AE61" s="65"/>
      <c r="AF61" s="65"/>
      <c r="AG61" s="64"/>
      <c r="AH61" s="65"/>
      <c r="AI61" s="65"/>
      <c r="AJ61" s="126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3"/>
      <c r="AZ61" s="264"/>
      <c r="BA61" s="301"/>
      <c r="BB61" s="302"/>
      <c r="BC61" s="343"/>
      <c r="BD61" s="28"/>
    </row>
    <row r="62" spans="1:74" ht="13.5" customHeight="1">
      <c r="A62" s="22"/>
      <c r="B62" s="202">
        <v>20</v>
      </c>
      <c r="C62" s="204" t="s">
        <v>77</v>
      </c>
      <c r="D62" s="28"/>
      <c r="E62" s="28"/>
      <c r="F62" s="28"/>
      <c r="G62" s="28"/>
      <c r="H62" s="121"/>
      <c r="I62" s="62"/>
      <c r="J62" s="63"/>
      <c r="K62" s="62"/>
      <c r="L62" s="63"/>
      <c r="M62" s="69"/>
      <c r="N62" s="69"/>
      <c r="O62" s="65"/>
      <c r="P62" s="69"/>
      <c r="Q62" s="65"/>
      <c r="R62" s="69"/>
      <c r="S62" s="28"/>
      <c r="T62" s="28"/>
      <c r="U62" s="28"/>
      <c r="V62" s="28"/>
      <c r="W62" s="28"/>
      <c r="X62" s="121"/>
      <c r="Y62" s="62"/>
      <c r="Z62" s="63"/>
      <c r="AA62" s="62"/>
      <c r="AB62" s="63"/>
      <c r="AC62" s="69"/>
      <c r="AD62" s="69"/>
      <c r="AE62" s="65"/>
      <c r="AF62" s="69"/>
      <c r="AG62" s="65"/>
      <c r="AH62" s="69"/>
      <c r="AI62" s="64"/>
      <c r="AJ62" s="69"/>
      <c r="AK62" s="65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33" t="s">
        <v>71</v>
      </c>
      <c r="AW62" s="28"/>
      <c r="AX62" s="28"/>
      <c r="AY62" s="31"/>
      <c r="AZ62" s="269"/>
      <c r="BA62" s="319"/>
      <c r="BB62" s="320"/>
      <c r="BC62" s="344"/>
      <c r="BD62" s="28"/>
    </row>
    <row r="63" spans="1:74" ht="5.15" customHeight="1">
      <c r="A63" s="22"/>
      <c r="B63" s="202"/>
      <c r="C63" s="296"/>
      <c r="D63" s="72"/>
      <c r="E63" s="72"/>
      <c r="F63" s="72"/>
      <c r="G63" s="72"/>
      <c r="H63" s="297"/>
      <c r="I63" s="278"/>
      <c r="J63" s="279"/>
      <c r="K63" s="278"/>
      <c r="L63" s="279"/>
      <c r="M63" s="298"/>
      <c r="N63" s="298"/>
      <c r="O63" s="263"/>
      <c r="P63" s="298"/>
      <c r="Q63" s="263"/>
      <c r="R63" s="298"/>
      <c r="S63" s="72"/>
      <c r="T63" s="72"/>
      <c r="U63" s="72"/>
      <c r="V63" s="72"/>
      <c r="W63" s="72"/>
      <c r="X63" s="297"/>
      <c r="Y63" s="278"/>
      <c r="Z63" s="279"/>
      <c r="AA63" s="278"/>
      <c r="AB63" s="279"/>
      <c r="AC63" s="298"/>
      <c r="AD63" s="298"/>
      <c r="AE63" s="263"/>
      <c r="AF63" s="298"/>
      <c r="AG63" s="263"/>
      <c r="AH63" s="298"/>
      <c r="AI63" s="280"/>
      <c r="AJ63" s="298"/>
      <c r="AK63" s="263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300"/>
      <c r="AW63" s="72"/>
      <c r="AX63" s="72"/>
      <c r="AY63" s="264"/>
      <c r="AZ63" s="264"/>
      <c r="BA63" s="301"/>
      <c r="BB63" s="302"/>
      <c r="BC63" s="303"/>
      <c r="BD63" s="28"/>
    </row>
    <row r="64" spans="1:74" ht="13.5" customHeight="1">
      <c r="A64" s="22"/>
      <c r="B64" s="202">
        <v>21</v>
      </c>
      <c r="C64" s="304" t="s">
        <v>31</v>
      </c>
      <c r="D64" s="234" t="s">
        <v>258</v>
      </c>
      <c r="E64" s="235"/>
      <c r="F64" s="234" t="s">
        <v>63</v>
      </c>
      <c r="G64" s="235"/>
      <c r="H64" s="235"/>
      <c r="I64" s="236"/>
      <c r="J64" s="237" t="s">
        <v>33</v>
      </c>
      <c r="K64" s="238"/>
      <c r="L64" s="238"/>
      <c r="M64" s="238"/>
      <c r="N64" s="235"/>
      <c r="O64" s="236"/>
      <c r="P64" s="239" t="s">
        <v>66</v>
      </c>
      <c r="Q64" s="240"/>
      <c r="R64" s="240"/>
      <c r="S64" s="241"/>
      <c r="T64" s="234" t="s">
        <v>78</v>
      </c>
      <c r="U64" s="235"/>
      <c r="V64" s="235"/>
      <c r="W64" s="236"/>
      <c r="X64" s="234" t="s">
        <v>149</v>
      </c>
      <c r="Y64" s="235"/>
      <c r="Z64" s="235"/>
      <c r="AA64" s="235"/>
      <c r="AB64" s="239" t="s">
        <v>64</v>
      </c>
      <c r="AC64" s="240"/>
      <c r="AD64" s="240"/>
      <c r="AE64" s="240"/>
      <c r="AF64" s="241"/>
      <c r="AG64" s="240" t="s">
        <v>67</v>
      </c>
      <c r="AH64" s="240"/>
      <c r="AI64" s="240"/>
      <c r="AJ64" s="241"/>
      <c r="AK64" s="240" t="s">
        <v>65</v>
      </c>
      <c r="AL64" s="240"/>
      <c r="AM64" s="240"/>
      <c r="AN64" s="241"/>
      <c r="AO64" s="239" t="s">
        <v>160</v>
      </c>
      <c r="AP64" s="240"/>
      <c r="AQ64" s="240"/>
      <c r="AR64" s="241"/>
      <c r="AS64" s="239" t="s">
        <v>81</v>
      </c>
      <c r="AT64" s="240"/>
      <c r="AU64" s="240"/>
      <c r="AV64" s="240"/>
      <c r="AW64" s="357" t="s">
        <v>82</v>
      </c>
      <c r="AX64" s="240"/>
      <c r="AY64" s="240"/>
      <c r="AZ64" s="241"/>
      <c r="BA64" s="239" t="s">
        <v>83</v>
      </c>
      <c r="BB64" s="240"/>
      <c r="BC64" s="240"/>
      <c r="BD64" s="241"/>
      <c r="BE64" s="240" t="s">
        <v>84</v>
      </c>
      <c r="BF64" s="240"/>
      <c r="BG64" s="241"/>
      <c r="BH64" s="240" t="s">
        <v>85</v>
      </c>
      <c r="BI64" s="240"/>
      <c r="BJ64" s="240"/>
      <c r="BK64" s="241"/>
      <c r="BL64" s="240" t="s">
        <v>68</v>
      </c>
      <c r="BM64" s="240"/>
      <c r="BN64" s="240"/>
      <c r="BO64" s="241"/>
    </row>
    <row r="65" spans="1:67" ht="13.5" customHeight="1">
      <c r="A65" s="22"/>
      <c r="B65" s="202">
        <v>22</v>
      </c>
      <c r="C65" s="308">
        <v>1</v>
      </c>
      <c r="D65" s="148" t="str">
        <f>N50</f>
        <v>KFH</v>
      </c>
      <c r="E65" s="149"/>
      <c r="F65" s="148" t="str">
        <f>D50</f>
        <v>4800215830</v>
      </c>
      <c r="G65" s="149"/>
      <c r="H65" s="149"/>
      <c r="I65" s="151"/>
      <c r="J65" s="242" t="str">
        <f>H50</f>
        <v>TF38-20S-0.5SV(830)</v>
      </c>
      <c r="K65" s="150"/>
      <c r="L65" s="150"/>
      <c r="M65" s="150"/>
      <c r="N65" s="161"/>
      <c r="O65" s="162"/>
      <c r="P65" s="148" t="s">
        <v>146</v>
      </c>
      <c r="Q65" s="150"/>
      <c r="R65" s="150"/>
      <c r="S65" s="162"/>
      <c r="T65" s="999">
        <f>R50</f>
        <v>70000</v>
      </c>
      <c r="U65" s="1000"/>
      <c r="V65" s="1000"/>
      <c r="W65" s="1001"/>
      <c r="X65" s="1029">
        <f>SUM(Z50:AC51)</f>
        <v>6.7299999999999999E-2</v>
      </c>
      <c r="Y65" s="1030"/>
      <c r="Z65" s="1030"/>
      <c r="AA65" s="1031"/>
      <c r="AB65" s="1032">
        <f>BB50</f>
        <v>0.151</v>
      </c>
      <c r="AC65" s="1033"/>
      <c r="AD65" s="1033"/>
      <c r="AE65" s="1033"/>
      <c r="AF65" s="1034"/>
      <c r="AG65" s="1013">
        <f>AL50</f>
        <v>0</v>
      </c>
      <c r="AH65" s="1014"/>
      <c r="AI65" s="1014"/>
      <c r="AJ65" s="1015"/>
      <c r="AK65" s="1013">
        <f>AH50</f>
        <v>0.1211</v>
      </c>
      <c r="AL65" s="1014"/>
      <c r="AM65" s="1014"/>
      <c r="AN65" s="1015"/>
      <c r="AO65" s="994">
        <f>1-Z50/AT50</f>
        <v>0.50478292862398821</v>
      </c>
      <c r="AP65" s="995"/>
      <c r="AQ65" s="995"/>
      <c r="AR65" s="996"/>
      <c r="AS65" s="991" t="str">
        <f>IFERROR((AK65-AG65)/AG65,"")</f>
        <v/>
      </c>
      <c r="AT65" s="992"/>
      <c r="AU65" s="992"/>
      <c r="AV65" s="993"/>
      <c r="AW65" s="1013">
        <f>AX50</f>
        <v>0.151</v>
      </c>
      <c r="AX65" s="1014"/>
      <c r="AY65" s="1014"/>
      <c r="AZ65" s="1015"/>
      <c r="BA65" s="994">
        <f>1-(AH50/AX50)</f>
        <v>0.19801324503311257</v>
      </c>
      <c r="BB65" s="995"/>
      <c r="BC65" s="995"/>
      <c r="BD65" s="996"/>
      <c r="BE65" s="1029">
        <f>BF50</f>
        <v>6.1000000000000004E-3</v>
      </c>
      <c r="BF65" s="1030"/>
      <c r="BG65" s="1031"/>
      <c r="BH65" s="1023"/>
      <c r="BI65" s="1024"/>
      <c r="BJ65" s="1024"/>
      <c r="BK65" s="1025"/>
      <c r="BL65" s="149" t="s">
        <v>29</v>
      </c>
      <c r="BM65" s="150"/>
      <c r="BN65" s="150"/>
      <c r="BO65" s="152"/>
    </row>
    <row r="66" spans="1:67" ht="13.5" customHeight="1">
      <c r="A66" s="22"/>
      <c r="B66" s="202">
        <v>23</v>
      </c>
      <c r="C66" s="308">
        <v>2</v>
      </c>
      <c r="D66" s="148"/>
      <c r="E66" s="149"/>
      <c r="F66" s="148" t="s">
        <v>29</v>
      </c>
      <c r="G66" s="149"/>
      <c r="H66" s="149"/>
      <c r="I66" s="151"/>
      <c r="J66" s="242"/>
      <c r="K66" s="150"/>
      <c r="L66" s="150"/>
      <c r="M66" s="150"/>
      <c r="N66" s="161"/>
      <c r="O66" s="162"/>
      <c r="P66" s="148"/>
      <c r="Q66" s="150"/>
      <c r="R66" s="150"/>
      <c r="S66" s="162"/>
      <c r="T66" s="999"/>
      <c r="U66" s="1000"/>
      <c r="V66" s="1000"/>
      <c r="W66" s="1001"/>
      <c r="X66" s="988"/>
      <c r="Y66" s="997"/>
      <c r="Z66" s="997"/>
      <c r="AA66" s="998"/>
      <c r="AB66" s="1026"/>
      <c r="AC66" s="1027"/>
      <c r="AD66" s="1027"/>
      <c r="AE66" s="1027"/>
      <c r="AF66" s="1028"/>
      <c r="AG66" s="988"/>
      <c r="AH66" s="997"/>
      <c r="AI66" s="997"/>
      <c r="AJ66" s="998"/>
      <c r="AK66" s="988"/>
      <c r="AL66" s="997"/>
      <c r="AM66" s="997"/>
      <c r="AN66" s="998"/>
      <c r="AO66" s="994"/>
      <c r="AP66" s="995"/>
      <c r="AQ66" s="995"/>
      <c r="AR66" s="996"/>
      <c r="AS66" s="991"/>
      <c r="AT66" s="992"/>
      <c r="AU66" s="992"/>
      <c r="AV66" s="993"/>
      <c r="AW66" s="988"/>
      <c r="AX66" s="997"/>
      <c r="AY66" s="997"/>
      <c r="AZ66" s="998"/>
      <c r="BA66" s="994"/>
      <c r="BB66" s="995"/>
      <c r="BC66" s="995"/>
      <c r="BD66" s="996"/>
      <c r="BE66" s="985"/>
      <c r="BF66" s="986"/>
      <c r="BG66" s="987"/>
      <c r="BH66" s="149"/>
      <c r="BI66" s="150"/>
      <c r="BJ66" s="150"/>
      <c r="BK66" s="152"/>
      <c r="BL66" s="149"/>
      <c r="BM66" s="150"/>
      <c r="BN66" s="150"/>
      <c r="BO66" s="152"/>
    </row>
    <row r="67" spans="1:67" ht="13.5" customHeight="1">
      <c r="A67" s="22"/>
      <c r="B67" s="202">
        <v>20</v>
      </c>
      <c r="C67" s="337" t="s">
        <v>279</v>
      </c>
      <c r="D67" s="28"/>
      <c r="E67" s="28"/>
      <c r="F67" s="28"/>
      <c r="G67" s="28"/>
      <c r="H67" s="121"/>
      <c r="I67" s="62"/>
      <c r="J67" s="63"/>
      <c r="K67" s="62"/>
      <c r="L67" s="63"/>
      <c r="M67" s="69"/>
      <c r="N67" s="69"/>
      <c r="O67" s="65"/>
      <c r="P67" s="69"/>
      <c r="Q67" s="65"/>
      <c r="R67" s="69"/>
      <c r="S67" s="28"/>
      <c r="T67" s="28"/>
      <c r="U67" s="28"/>
      <c r="V67" s="28"/>
      <c r="W67" s="28"/>
      <c r="X67" s="121"/>
      <c r="Y67" s="62"/>
      <c r="Z67" s="63"/>
      <c r="AA67" s="62"/>
      <c r="AB67" s="63"/>
      <c r="AC67" s="69"/>
      <c r="AD67" s="69"/>
      <c r="AE67" s="65"/>
      <c r="AF67" s="69"/>
      <c r="AG67" s="65"/>
      <c r="AH67" s="69"/>
      <c r="AI67" s="64"/>
      <c r="AJ67" s="69"/>
      <c r="AK67" s="65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33"/>
      <c r="AW67" s="28"/>
      <c r="AX67" s="28"/>
      <c r="AY67" s="31"/>
      <c r="AZ67" s="95"/>
      <c r="BA67" s="92"/>
      <c r="BB67" s="329"/>
      <c r="BC67" s="338"/>
      <c r="BD67" s="37"/>
      <c r="BE67" s="37"/>
    </row>
    <row r="68" spans="1:67" ht="13.5" customHeight="1">
      <c r="A68" s="22"/>
      <c r="B68" s="202">
        <v>24</v>
      </c>
      <c r="C68" s="304"/>
      <c r="D68" s="502" t="s">
        <v>278</v>
      </c>
      <c r="E68" s="503"/>
      <c r="F68" s="504" t="s">
        <v>292</v>
      </c>
      <c r="G68" s="503"/>
      <c r="H68" s="503"/>
      <c r="I68" s="505"/>
      <c r="J68" s="504" t="s">
        <v>29</v>
      </c>
      <c r="K68" s="506"/>
      <c r="L68" s="506"/>
      <c r="M68" s="506"/>
      <c r="N68" s="503"/>
      <c r="O68" s="505"/>
      <c r="P68" s="507"/>
      <c r="Q68" s="508"/>
      <c r="R68" s="508"/>
      <c r="S68" s="509"/>
      <c r="T68" s="502" t="s">
        <v>101</v>
      </c>
      <c r="U68" s="503"/>
      <c r="V68" s="503"/>
      <c r="W68" s="509"/>
      <c r="X68" s="510" t="s">
        <v>233</v>
      </c>
      <c r="Y68" s="508"/>
      <c r="Z68" s="508"/>
      <c r="AA68" s="509"/>
      <c r="AB68" s="513" t="s">
        <v>29</v>
      </c>
      <c r="AC68" s="508"/>
      <c r="AD68" s="508"/>
      <c r="AE68" s="508"/>
      <c r="AF68" s="508"/>
      <c r="AG68" s="511" t="s">
        <v>162</v>
      </c>
      <c r="AH68" s="508"/>
      <c r="AI68" s="508"/>
      <c r="AJ68" s="509"/>
      <c r="AK68" s="514" t="s">
        <v>163</v>
      </c>
      <c r="AL68" s="508"/>
      <c r="AM68" s="508"/>
      <c r="AN68" s="509"/>
      <c r="AO68" s="507" t="s">
        <v>81</v>
      </c>
      <c r="AP68" s="508"/>
      <c r="AQ68" s="508"/>
      <c r="AR68" s="508"/>
      <c r="AS68" s="507" t="s">
        <v>99</v>
      </c>
      <c r="AT68" s="508"/>
      <c r="AU68" s="508"/>
      <c r="AV68" s="509"/>
      <c r="AW68" s="511" t="s">
        <v>29</v>
      </c>
      <c r="AX68" s="508"/>
      <c r="AY68" s="508"/>
      <c r="AZ68" s="509"/>
      <c r="BA68" s="511" t="s">
        <v>29</v>
      </c>
      <c r="BB68" s="508"/>
      <c r="BC68" s="508"/>
      <c r="BD68" s="509"/>
      <c r="BE68" s="508"/>
      <c r="BF68" s="508"/>
      <c r="BG68" s="509"/>
      <c r="BH68" s="508"/>
      <c r="BI68" s="508"/>
      <c r="BJ68" s="508"/>
      <c r="BK68" s="509"/>
      <c r="BL68" s="508"/>
      <c r="BM68" s="508"/>
      <c r="BN68" s="508"/>
      <c r="BO68" s="509"/>
    </row>
    <row r="69" spans="1:67" ht="13.5" customHeight="1">
      <c r="A69" s="22"/>
      <c r="B69" s="202">
        <v>25</v>
      </c>
      <c r="C69" s="308">
        <v>1</v>
      </c>
      <c r="D69" s="148" t="s">
        <v>159</v>
      </c>
      <c r="E69" s="149"/>
      <c r="F69" s="148" t="s">
        <v>147</v>
      </c>
      <c r="G69" s="149"/>
      <c r="H69" s="149"/>
      <c r="I69" s="151"/>
      <c r="J69" s="221"/>
      <c r="K69" s="222"/>
      <c r="L69" s="222"/>
      <c r="M69" s="222"/>
      <c r="N69" s="161"/>
      <c r="O69" s="162"/>
      <c r="P69" s="148"/>
      <c r="Q69" s="150"/>
      <c r="R69" s="150"/>
      <c r="S69" s="162"/>
      <c r="T69" s="999">
        <f>SUMPRODUCT($T$65:$W$66,$AK$65:$AN$66)</f>
        <v>8477</v>
      </c>
      <c r="U69" s="1000"/>
      <c r="V69" s="1000"/>
      <c r="W69" s="1001"/>
      <c r="X69" s="976">
        <f>SUMPRODUCT(R46:U47,Z46:AC47)</f>
        <v>0</v>
      </c>
      <c r="Y69" s="977"/>
      <c r="Z69" s="977"/>
      <c r="AA69" s="978"/>
      <c r="AB69" s="252"/>
      <c r="AC69" s="252"/>
      <c r="AD69" s="252"/>
      <c r="AE69" s="252"/>
      <c r="AF69" s="252"/>
      <c r="AG69" s="976">
        <f>$T69-$X69</f>
        <v>8477</v>
      </c>
      <c r="AH69" s="977"/>
      <c r="AI69" s="977"/>
      <c r="AJ69" s="978"/>
      <c r="AK69" s="1020">
        <f>AG69/T69</f>
        <v>1</v>
      </c>
      <c r="AL69" s="1021"/>
      <c r="AM69" s="1021"/>
      <c r="AN69" s="1022"/>
      <c r="AO69" s="979">
        <f>IFERROR(AS69/($T69-AS69),"")</f>
        <v>-0.5</v>
      </c>
      <c r="AP69" s="980"/>
      <c r="AQ69" s="980"/>
      <c r="AR69" s="981"/>
      <c r="AS69" s="982">
        <f>$T$65*($AG$65-$AK$65)+$T$66*($AG$66-$AK$66)</f>
        <v>-8477</v>
      </c>
      <c r="AT69" s="983"/>
      <c r="AU69" s="983"/>
      <c r="AV69" s="984"/>
      <c r="AW69" s="970"/>
      <c r="AX69" s="971"/>
      <c r="AY69" s="971"/>
      <c r="AZ69" s="972"/>
      <c r="BA69" s="148" t="s">
        <v>29</v>
      </c>
      <c r="BB69" s="150"/>
      <c r="BC69" s="150"/>
      <c r="BD69" s="152"/>
      <c r="BE69" s="149" t="s">
        <v>29</v>
      </c>
      <c r="BF69" s="150"/>
      <c r="BG69" s="152"/>
      <c r="BH69" s="149" t="s">
        <v>29</v>
      </c>
      <c r="BI69" s="150"/>
      <c r="BJ69" s="150"/>
      <c r="BK69" s="152"/>
      <c r="BL69" s="149" t="s">
        <v>29</v>
      </c>
      <c r="BM69" s="150"/>
      <c r="BN69" s="150"/>
      <c r="BO69" s="152"/>
    </row>
    <row r="70" spans="1:67" ht="13.5" customHeight="1">
      <c r="A70" s="22"/>
      <c r="B70" s="202">
        <v>25</v>
      </c>
      <c r="C70" s="308">
        <v>2</v>
      </c>
      <c r="D70" s="148" t="s">
        <v>159</v>
      </c>
      <c r="E70" s="149"/>
      <c r="F70" s="148" t="s">
        <v>206</v>
      </c>
      <c r="G70" s="149"/>
      <c r="H70" s="149"/>
      <c r="I70" s="151"/>
      <c r="J70" s="221"/>
      <c r="K70" s="222"/>
      <c r="L70" s="222"/>
      <c r="M70" s="222"/>
      <c r="N70" s="161"/>
      <c r="O70" s="162"/>
      <c r="P70" s="148"/>
      <c r="Q70" s="150"/>
      <c r="R70" s="150"/>
      <c r="S70" s="162"/>
      <c r="T70" s="999">
        <f>SUMPRODUCT($T$65:$W$66,$AK$65:$AN$66)</f>
        <v>8477</v>
      </c>
      <c r="U70" s="1000"/>
      <c r="V70" s="1000"/>
      <c r="W70" s="1001"/>
      <c r="X70" s="976">
        <f>SUMPRODUCT(R47:U48,Z47:AC48)</f>
        <v>0</v>
      </c>
      <c r="Y70" s="977"/>
      <c r="Z70" s="977"/>
      <c r="AA70" s="978"/>
      <c r="AB70" s="252"/>
      <c r="AC70" s="252"/>
      <c r="AD70" s="252"/>
      <c r="AE70" s="252"/>
      <c r="AF70" s="252"/>
      <c r="AG70" s="976">
        <f>$T70-$X70</f>
        <v>8477</v>
      </c>
      <c r="AH70" s="977"/>
      <c r="AI70" s="977"/>
      <c r="AJ70" s="978"/>
      <c r="AK70" s="1020">
        <f>AG70/T70</f>
        <v>1</v>
      </c>
      <c r="AL70" s="1021"/>
      <c r="AM70" s="1021"/>
      <c r="AN70" s="1022"/>
      <c r="AO70" s="979">
        <f>IFERROR(AS70/($T70-AS70),"")</f>
        <v>-0.5</v>
      </c>
      <c r="AP70" s="980"/>
      <c r="AQ70" s="980"/>
      <c r="AR70" s="981"/>
      <c r="AS70" s="982">
        <f>$T$65*($AG$65-$AK$65)+$T$66*($AG$66-$AK$66)</f>
        <v>-8477</v>
      </c>
      <c r="AT70" s="983"/>
      <c r="AU70" s="983"/>
      <c r="AV70" s="984"/>
      <c r="AW70" s="970"/>
      <c r="AX70" s="971"/>
      <c r="AY70" s="971"/>
      <c r="AZ70" s="972"/>
      <c r="BA70" s="148" t="s">
        <v>29</v>
      </c>
      <c r="BB70" s="150"/>
      <c r="BC70" s="150"/>
      <c r="BD70" s="152"/>
      <c r="BE70" s="149" t="s">
        <v>29</v>
      </c>
      <c r="BF70" s="150"/>
      <c r="BG70" s="152"/>
      <c r="BH70" s="149" t="s">
        <v>29</v>
      </c>
      <c r="BI70" s="150"/>
      <c r="BJ70" s="150"/>
      <c r="BK70" s="152"/>
      <c r="BL70" s="149" t="s">
        <v>29</v>
      </c>
      <c r="BM70" s="150"/>
      <c r="BN70" s="150"/>
      <c r="BO70" s="152"/>
    </row>
    <row r="71" spans="1:67" ht="13.5" customHeight="1">
      <c r="A71" s="22"/>
      <c r="B71" s="202">
        <v>20</v>
      </c>
      <c r="C71" s="337" t="s">
        <v>277</v>
      </c>
      <c r="D71" s="28"/>
      <c r="E71" s="28"/>
      <c r="F71" s="28"/>
      <c r="G71" s="28"/>
      <c r="H71" s="121"/>
      <c r="I71" s="62"/>
      <c r="J71" s="63"/>
      <c r="K71" s="62"/>
      <c r="L71" s="63"/>
      <c r="M71" s="69"/>
      <c r="N71" s="69"/>
      <c r="O71" s="65"/>
      <c r="P71" s="69"/>
      <c r="Q71" s="65"/>
      <c r="R71" s="69"/>
      <c r="S71" s="28"/>
      <c r="T71" s="28"/>
      <c r="U71" s="28"/>
      <c r="V71" s="28"/>
      <c r="W71" s="28"/>
      <c r="X71" s="121"/>
      <c r="Y71" s="62"/>
      <c r="Z71" s="63"/>
      <c r="AA71" s="62"/>
      <c r="AB71" s="63"/>
      <c r="AC71" s="69"/>
      <c r="AD71" s="69"/>
      <c r="AE71" s="65"/>
      <c r="AF71" s="69"/>
      <c r="AG71" s="65"/>
      <c r="AH71" s="69"/>
      <c r="AI71" s="64"/>
      <c r="AJ71" s="69"/>
      <c r="AK71" s="65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33"/>
      <c r="AW71" s="28"/>
      <c r="AX71" s="28"/>
      <c r="AY71" s="31"/>
      <c r="AZ71" s="95"/>
      <c r="BA71" s="92"/>
      <c r="BB71" s="329"/>
      <c r="BC71" s="338"/>
      <c r="BD71" s="37"/>
      <c r="BE71" s="37"/>
    </row>
    <row r="72" spans="1:67" ht="13.5" customHeight="1">
      <c r="A72" s="22"/>
      <c r="B72" s="202">
        <v>24</v>
      </c>
      <c r="C72" s="304"/>
      <c r="D72" s="243"/>
      <c r="E72" s="244"/>
      <c r="F72" s="243" t="s">
        <v>294</v>
      </c>
      <c r="G72" s="244"/>
      <c r="H72" s="244"/>
      <c r="I72" s="245"/>
      <c r="J72" s="246" t="s">
        <v>29</v>
      </c>
      <c r="K72" s="247"/>
      <c r="L72" s="247"/>
      <c r="M72" s="247"/>
      <c r="N72" s="244"/>
      <c r="O72" s="245"/>
      <c r="P72" s="248"/>
      <c r="Q72" s="249"/>
      <c r="R72" s="249"/>
      <c r="S72" s="250"/>
      <c r="T72" s="243" t="s">
        <v>101</v>
      </c>
      <c r="U72" s="244"/>
      <c r="V72" s="244"/>
      <c r="W72" s="250"/>
      <c r="X72" s="330" t="s">
        <v>233</v>
      </c>
      <c r="Y72" s="249"/>
      <c r="Z72" s="249"/>
      <c r="AA72" s="250"/>
      <c r="AB72" s="251" t="s">
        <v>29</v>
      </c>
      <c r="AC72" s="249"/>
      <c r="AD72" s="249"/>
      <c r="AE72" s="249"/>
      <c r="AF72" s="249"/>
      <c r="AG72" s="253" t="s">
        <v>162</v>
      </c>
      <c r="AH72" s="249"/>
      <c r="AI72" s="249"/>
      <c r="AJ72" s="250"/>
      <c r="AK72" s="358" t="s">
        <v>163</v>
      </c>
      <c r="AL72" s="249"/>
      <c r="AM72" s="249"/>
      <c r="AN72" s="250"/>
      <c r="AO72" s="248" t="s">
        <v>81</v>
      </c>
      <c r="AP72" s="249"/>
      <c r="AQ72" s="249"/>
      <c r="AR72" s="249"/>
      <c r="AS72" s="248" t="s">
        <v>99</v>
      </c>
      <c r="AT72" s="249"/>
      <c r="AU72" s="249"/>
      <c r="AV72" s="250"/>
      <c r="AW72" s="253" t="s">
        <v>29</v>
      </c>
      <c r="AX72" s="249"/>
      <c r="AY72" s="249"/>
      <c r="AZ72" s="250"/>
      <c r="BA72" s="253" t="s">
        <v>29</v>
      </c>
      <c r="BB72" s="249"/>
      <c r="BC72" s="249"/>
      <c r="BD72" s="250"/>
      <c r="BE72" s="249"/>
      <c r="BF72" s="249"/>
      <c r="BG72" s="250"/>
      <c r="BH72" s="249"/>
      <c r="BI72" s="249"/>
      <c r="BJ72" s="249"/>
      <c r="BK72" s="250"/>
      <c r="BL72" s="249"/>
      <c r="BM72" s="249"/>
      <c r="BN72" s="249"/>
      <c r="BO72" s="250"/>
    </row>
    <row r="73" spans="1:67" ht="13.5" customHeight="1">
      <c r="A73" s="22"/>
      <c r="B73" s="202">
        <v>25</v>
      </c>
      <c r="C73" s="308"/>
      <c r="D73" s="148"/>
      <c r="E73" s="149"/>
      <c r="F73" s="148" t="s">
        <v>147</v>
      </c>
      <c r="G73" s="149"/>
      <c r="H73" s="149"/>
      <c r="I73" s="151"/>
      <c r="J73" s="221"/>
      <c r="K73" s="222"/>
      <c r="L73" s="222"/>
      <c r="M73" s="222"/>
      <c r="N73" s="161"/>
      <c r="O73" s="162"/>
      <c r="P73" s="148"/>
      <c r="Q73" s="150"/>
      <c r="R73" s="150"/>
      <c r="S73" s="162"/>
      <c r="T73" s="999">
        <f>SUMPRODUCT($T$65:$W$66,$AK$65:$AN$66)</f>
        <v>8477</v>
      </c>
      <c r="U73" s="1000"/>
      <c r="V73" s="1000"/>
      <c r="W73" s="1001"/>
      <c r="X73" s="976">
        <f>SUMPRODUCT(R49:U50,Z49:AC50)</f>
        <v>4711</v>
      </c>
      <c r="Y73" s="977"/>
      <c r="Z73" s="977"/>
      <c r="AA73" s="978"/>
      <c r="AB73" s="252"/>
      <c r="AC73" s="252"/>
      <c r="AD73" s="252"/>
      <c r="AE73" s="252"/>
      <c r="AF73" s="252"/>
      <c r="AG73" s="976">
        <f>$T73-$X73</f>
        <v>3766</v>
      </c>
      <c r="AH73" s="977"/>
      <c r="AI73" s="977"/>
      <c r="AJ73" s="978"/>
      <c r="AK73" s="1020">
        <f>AG73/T73</f>
        <v>0.44426094137076794</v>
      </c>
      <c r="AL73" s="1021"/>
      <c r="AM73" s="1021"/>
      <c r="AN73" s="1022"/>
      <c r="AO73" s="979">
        <f>IFERROR(AS73/($T73-AS73),"")</f>
        <v>-0.5</v>
      </c>
      <c r="AP73" s="980"/>
      <c r="AQ73" s="980"/>
      <c r="AR73" s="981"/>
      <c r="AS73" s="982">
        <f>$T$65*($AG$65-$AK$65)+$T$66*($AG$66-$AK$66)</f>
        <v>-8477</v>
      </c>
      <c r="AT73" s="983"/>
      <c r="AU73" s="983"/>
      <c r="AV73" s="984"/>
      <c r="AW73" s="970"/>
      <c r="AX73" s="971"/>
      <c r="AY73" s="971"/>
      <c r="AZ73" s="972"/>
      <c r="BA73" s="148" t="s">
        <v>29</v>
      </c>
      <c r="BB73" s="150"/>
      <c r="BC73" s="150"/>
      <c r="BD73" s="152"/>
      <c r="BE73" s="149" t="s">
        <v>29</v>
      </c>
      <c r="BF73" s="150"/>
      <c r="BG73" s="152"/>
      <c r="BH73" s="149" t="s">
        <v>29</v>
      </c>
      <c r="BI73" s="150"/>
      <c r="BJ73" s="150"/>
      <c r="BK73" s="152"/>
      <c r="BL73" s="149" t="s">
        <v>29</v>
      </c>
      <c r="BM73" s="150"/>
      <c r="BN73" s="150"/>
      <c r="BO73" s="152"/>
    </row>
    <row r="74" spans="1:67" ht="13.5" customHeight="1">
      <c r="A74" s="22"/>
      <c r="B74" s="202">
        <v>25</v>
      </c>
      <c r="C74" s="308"/>
      <c r="D74" s="148"/>
      <c r="E74" s="149"/>
      <c r="F74" s="148" t="s">
        <v>206</v>
      </c>
      <c r="G74" s="149"/>
      <c r="H74" s="149"/>
      <c r="I74" s="151"/>
      <c r="J74" s="221"/>
      <c r="K74" s="222"/>
      <c r="L74" s="222"/>
      <c r="M74" s="222"/>
      <c r="N74" s="161"/>
      <c r="O74" s="162"/>
      <c r="P74" s="148"/>
      <c r="Q74" s="150"/>
      <c r="R74" s="150"/>
      <c r="S74" s="162"/>
      <c r="T74" s="999">
        <f>SUMPRODUCT($T$65:$W$66,$AK$65:$AN$66)</f>
        <v>8477</v>
      </c>
      <c r="U74" s="1000"/>
      <c r="V74" s="1000"/>
      <c r="W74" s="1001"/>
      <c r="X74" s="976">
        <f>SUMPRODUCT(R50:U51,Z50:AC51)</f>
        <v>4711</v>
      </c>
      <c r="Y74" s="977"/>
      <c r="Z74" s="977"/>
      <c r="AA74" s="978"/>
      <c r="AB74" s="252"/>
      <c r="AC74" s="252"/>
      <c r="AD74" s="252"/>
      <c r="AE74" s="252"/>
      <c r="AF74" s="252"/>
      <c r="AG74" s="976">
        <f>$T74-$X74</f>
        <v>3766</v>
      </c>
      <c r="AH74" s="977"/>
      <c r="AI74" s="977"/>
      <c r="AJ74" s="978"/>
      <c r="AK74" s="1020">
        <f>AG74/T74</f>
        <v>0.44426094137076794</v>
      </c>
      <c r="AL74" s="1021"/>
      <c r="AM74" s="1021"/>
      <c r="AN74" s="1022"/>
      <c r="AO74" s="979">
        <f>IFERROR(AS74/($T74-AS74),"")</f>
        <v>-0.5</v>
      </c>
      <c r="AP74" s="980"/>
      <c r="AQ74" s="980"/>
      <c r="AR74" s="981"/>
      <c r="AS74" s="982">
        <f>$T$65*($AG$65-$AK$65)+$T$66*($AG$66-$AK$66)</f>
        <v>-8477</v>
      </c>
      <c r="AT74" s="983"/>
      <c r="AU74" s="983"/>
      <c r="AV74" s="984"/>
      <c r="AW74" s="970"/>
      <c r="AX74" s="971"/>
      <c r="AY74" s="971"/>
      <c r="AZ74" s="972"/>
      <c r="BA74" s="148" t="s">
        <v>29</v>
      </c>
      <c r="BB74" s="150"/>
      <c r="BC74" s="150"/>
      <c r="BD74" s="152"/>
      <c r="BE74" s="149" t="s">
        <v>29</v>
      </c>
      <c r="BF74" s="150"/>
      <c r="BG74" s="152"/>
      <c r="BH74" s="149" t="s">
        <v>29</v>
      </c>
      <c r="BI74" s="150"/>
      <c r="BJ74" s="150"/>
      <c r="BK74" s="152"/>
      <c r="BL74" s="149" t="s">
        <v>29</v>
      </c>
      <c r="BM74" s="150"/>
      <c r="BN74" s="150"/>
      <c r="BO74" s="152"/>
    </row>
    <row r="75" spans="1:67" ht="13.5" customHeight="1">
      <c r="A75" s="22"/>
      <c r="B75" s="202">
        <v>26</v>
      </c>
      <c r="C75" s="339"/>
      <c r="D75" s="75"/>
      <c r="E75" s="75"/>
      <c r="F75" s="75"/>
      <c r="G75" s="75"/>
      <c r="H75" s="199"/>
      <c r="I75" s="199"/>
      <c r="J75" s="200"/>
      <c r="K75" s="199"/>
      <c r="L75" s="200"/>
      <c r="M75" s="199"/>
      <c r="N75" s="199"/>
      <c r="O75" s="83"/>
      <c r="P75" s="84"/>
      <c r="Q75" s="84"/>
      <c r="R75" s="84"/>
      <c r="S75" s="75"/>
      <c r="T75" s="75"/>
      <c r="U75" s="75"/>
      <c r="V75" s="75"/>
      <c r="W75" s="75"/>
      <c r="X75" s="85"/>
      <c r="Y75" s="75"/>
      <c r="Z75" s="84"/>
      <c r="AA75" s="85"/>
      <c r="AB75" s="75"/>
      <c r="AC75" s="84"/>
      <c r="AD75" s="85"/>
      <c r="AE75" s="84"/>
      <c r="AF75" s="84"/>
      <c r="AG75" s="85"/>
      <c r="AH75" s="84"/>
      <c r="AI75" s="84"/>
      <c r="AJ75" s="90"/>
      <c r="AK75" s="84"/>
      <c r="AL75" s="84"/>
      <c r="AM75" s="84"/>
      <c r="AN75" s="84"/>
      <c r="AO75" s="84"/>
      <c r="AP75" s="84"/>
      <c r="AQ75" s="84"/>
      <c r="AR75" s="84"/>
      <c r="AS75" s="65"/>
      <c r="AT75" s="65"/>
      <c r="AU75" s="65"/>
      <c r="AV75" s="65"/>
      <c r="AW75" s="65"/>
      <c r="AX75" s="65"/>
      <c r="AY75" s="63"/>
      <c r="AZ75" s="264"/>
      <c r="BA75" s="301"/>
      <c r="BB75" s="302"/>
      <c r="BC75" s="343"/>
      <c r="BD75" s="28"/>
    </row>
    <row r="76" spans="1:67" ht="13.5" customHeight="1">
      <c r="A76" s="22"/>
      <c r="B76" s="202">
        <v>27</v>
      </c>
      <c r="C76" s="340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S76" s="35"/>
      <c r="T76" s="35"/>
      <c r="U76" s="35"/>
      <c r="V76" s="35"/>
      <c r="Y76" s="35"/>
      <c r="Z76" s="35"/>
      <c r="AD76" s="35"/>
      <c r="AE76" s="35"/>
      <c r="AF76" s="35"/>
      <c r="AG76" s="35"/>
      <c r="AH76" s="35"/>
      <c r="AI76" s="35"/>
      <c r="AJ76" s="35"/>
      <c r="AK76" s="35"/>
      <c r="AL76" s="84"/>
      <c r="AM76" s="84"/>
      <c r="AN76" s="84"/>
      <c r="AO76" s="84"/>
      <c r="AP76" s="84"/>
      <c r="AQ76" s="84"/>
      <c r="AR76" s="84"/>
      <c r="AS76" s="254"/>
      <c r="AT76" s="35"/>
      <c r="AU76" s="35"/>
      <c r="AV76" s="65"/>
      <c r="AW76" s="65"/>
      <c r="AX76" s="65"/>
      <c r="AY76" s="63"/>
      <c r="AZ76" s="31"/>
      <c r="BA76" s="30"/>
      <c r="BB76" s="175"/>
      <c r="BC76" s="345"/>
      <c r="BD76" s="28"/>
    </row>
    <row r="77" spans="1:67" ht="13.5" customHeight="1">
      <c r="A77" s="22"/>
      <c r="B77" s="202">
        <v>28</v>
      </c>
      <c r="C77" s="341"/>
      <c r="D77" s="71"/>
      <c r="E77" s="71"/>
      <c r="F77" s="71"/>
      <c r="G77" s="71"/>
      <c r="H77" s="71"/>
      <c r="I77" s="71"/>
      <c r="J77" s="71"/>
      <c r="K77" s="68"/>
      <c r="L77" s="68"/>
      <c r="M77" s="68"/>
      <c r="N77" s="91"/>
      <c r="O77" s="68"/>
      <c r="P77" s="68"/>
      <c r="Q77" s="68"/>
      <c r="R77" s="68"/>
      <c r="S77" s="68"/>
      <c r="T77" s="68"/>
      <c r="U77" s="68"/>
      <c r="V77" s="68"/>
      <c r="W77" s="91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5"/>
      <c r="AN77" s="65"/>
      <c r="AO77" s="65"/>
      <c r="AP77" s="65"/>
      <c r="AQ77" s="65"/>
      <c r="AR77" s="65"/>
      <c r="AS77" s="65"/>
      <c r="AT77" s="35"/>
      <c r="AU77" s="65"/>
      <c r="AV77" s="65"/>
      <c r="AW77" s="65"/>
      <c r="AX77" s="65"/>
      <c r="AY77" s="65"/>
      <c r="AZ77" s="31"/>
      <c r="BA77" s="30"/>
      <c r="BB77" s="175"/>
      <c r="BC77" s="345"/>
      <c r="BD77" s="28"/>
      <c r="BG77" s="24"/>
      <c r="BH77" s="28"/>
    </row>
    <row r="78" spans="1:67" ht="13.5" customHeight="1">
      <c r="A78" s="22"/>
      <c r="B78" s="202">
        <v>29</v>
      </c>
      <c r="C78" s="342"/>
      <c r="D78" s="332"/>
      <c r="E78" s="65"/>
      <c r="F78" s="65"/>
      <c r="G78" s="65"/>
      <c r="H78" s="65"/>
      <c r="I78" s="65"/>
      <c r="J78" s="1002"/>
      <c r="K78" s="1003"/>
      <c r="L78" s="1003"/>
      <c r="M78" s="1003"/>
      <c r="N78"/>
      <c r="O78"/>
      <c r="P78"/>
      <c r="Q78"/>
      <c r="R78"/>
      <c r="S78"/>
      <c r="T78"/>
      <c r="U78"/>
      <c r="V78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198"/>
      <c r="AN78" s="198"/>
      <c r="AO78" s="198"/>
      <c r="AP78" s="198"/>
      <c r="AQ78" s="198"/>
      <c r="AR78" s="198"/>
      <c r="AS78" s="254"/>
      <c r="AT78" s="35"/>
      <c r="AU78" s="35"/>
      <c r="AV78" s="254"/>
      <c r="AW78" s="198"/>
      <c r="AX78" s="198"/>
      <c r="AY78" s="198"/>
      <c r="AZ78" s="31"/>
      <c r="BA78" s="30"/>
      <c r="BB78" s="175"/>
      <c r="BC78" s="345"/>
      <c r="BD78" s="28"/>
      <c r="BG78" s="24"/>
      <c r="BH78" s="28"/>
    </row>
    <row r="79" spans="1:67" ht="5.15" customHeight="1">
      <c r="A79" s="22"/>
      <c r="B79" s="202"/>
      <c r="C79" s="315"/>
      <c r="D79" s="73"/>
      <c r="E79" s="73"/>
      <c r="F79" s="73"/>
      <c r="G79" s="73"/>
      <c r="H79" s="316"/>
      <c r="I79" s="275"/>
      <c r="J79" s="273"/>
      <c r="K79" s="275"/>
      <c r="L79" s="273"/>
      <c r="M79" s="317"/>
      <c r="N79" s="317"/>
      <c r="O79" s="270"/>
      <c r="P79" s="317"/>
      <c r="Q79" s="270"/>
      <c r="R79" s="317"/>
      <c r="S79" s="73"/>
      <c r="T79" s="73"/>
      <c r="U79" s="73"/>
      <c r="V79" s="73"/>
      <c r="W79" s="73"/>
      <c r="X79" s="316"/>
      <c r="Y79" s="275"/>
      <c r="Z79" s="273"/>
      <c r="AA79" s="275"/>
      <c r="AB79" s="273"/>
      <c r="AC79" s="317"/>
      <c r="AD79" s="317"/>
      <c r="AE79" s="270"/>
      <c r="AF79" s="317"/>
      <c r="AG79" s="270"/>
      <c r="AH79" s="317"/>
      <c r="AI79" s="276"/>
      <c r="AJ79" s="317"/>
      <c r="AK79" s="270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318"/>
      <c r="AW79" s="73"/>
      <c r="AX79" s="73"/>
      <c r="AY79" s="269"/>
      <c r="AZ79" s="269"/>
      <c r="BA79" s="319"/>
      <c r="BB79" s="320"/>
      <c r="BC79" s="344"/>
      <c r="BD79" s="28"/>
    </row>
    <row r="80" spans="1:67" ht="13.5" customHeight="1">
      <c r="A80" s="22"/>
      <c r="B80" s="202">
        <v>31</v>
      </c>
      <c r="C80" s="331"/>
      <c r="D80" s="332"/>
      <c r="E80" s="65"/>
      <c r="F80" s="65"/>
      <c r="G80" s="65"/>
      <c r="H80" s="65"/>
      <c r="I80" s="65"/>
      <c r="J80" s="1004"/>
      <c r="K80" s="1004"/>
      <c r="L80" s="1004"/>
      <c r="M80" s="1004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198"/>
      <c r="AN80" s="198"/>
      <c r="AO80" s="198"/>
      <c r="AP80" s="198"/>
      <c r="AQ80" s="198"/>
      <c r="AR80" s="198"/>
      <c r="AS80" s="198"/>
      <c r="AT80" s="198"/>
      <c r="AU80" s="198"/>
      <c r="AV80" s="198"/>
      <c r="AW80" s="198"/>
      <c r="AX80" s="198"/>
      <c r="AY80" s="198"/>
      <c r="AZ80" s="33"/>
      <c r="BA80" s="46"/>
      <c r="BB80" s="78"/>
      <c r="BC80" s="34"/>
      <c r="BD80" s="28"/>
      <c r="BG80" s="24"/>
      <c r="BH80" s="28"/>
    </row>
    <row r="81" spans="1:60" ht="14.15" customHeight="1">
      <c r="A81" s="22"/>
      <c r="B81" s="129"/>
      <c r="C81" s="346" t="s">
        <v>130</v>
      </c>
      <c r="D81" s="28"/>
      <c r="E81" s="28"/>
      <c r="F81" s="28"/>
      <c r="G81" s="28"/>
      <c r="S81" s="35"/>
      <c r="T81" s="35"/>
      <c r="U81" s="35"/>
      <c r="V81" s="35"/>
      <c r="Y81" s="35"/>
      <c r="Z81" s="35"/>
      <c r="AD81" s="35"/>
      <c r="AE81" s="35"/>
      <c r="AF81" s="35"/>
      <c r="AG81" s="35"/>
      <c r="AH81" s="35"/>
      <c r="AI81" s="35"/>
      <c r="AJ81" s="28"/>
      <c r="AK81" s="28"/>
      <c r="AL81" s="28"/>
      <c r="AM81" s="130"/>
      <c r="AN81" s="130"/>
      <c r="AO81" s="35"/>
      <c r="AP81" s="35"/>
      <c r="AQ81" s="35"/>
      <c r="AR81" s="35"/>
      <c r="AS81" s="35"/>
      <c r="AT81" s="35"/>
      <c r="AU81" s="35"/>
      <c r="AV81" s="35"/>
      <c r="AW81" s="35"/>
      <c r="AX81" s="65"/>
      <c r="AY81" s="65"/>
      <c r="AZ81" s="33"/>
      <c r="BA81" s="46"/>
      <c r="BB81" s="78"/>
      <c r="BC81" s="34"/>
      <c r="BD81" s="28"/>
      <c r="BG81" s="35"/>
    </row>
    <row r="82" spans="1:60" ht="5.15" customHeight="1">
      <c r="A82" s="22"/>
      <c r="B82" s="202"/>
      <c r="C82" s="296"/>
      <c r="D82" s="72"/>
      <c r="E82" s="72"/>
      <c r="F82" s="72"/>
      <c r="G82" s="72"/>
      <c r="H82" s="297"/>
      <c r="I82" s="278"/>
      <c r="J82" s="279"/>
      <c r="K82" s="278"/>
      <c r="L82" s="279"/>
      <c r="M82" s="298"/>
      <c r="N82" s="298"/>
      <c r="O82" s="263"/>
      <c r="P82" s="298"/>
      <c r="Q82" s="263"/>
      <c r="R82" s="298"/>
      <c r="S82" s="72"/>
      <c r="T82" s="72"/>
      <c r="U82" s="72"/>
      <c r="V82" s="72"/>
      <c r="W82" s="72"/>
      <c r="X82" s="297"/>
      <c r="Y82" s="278"/>
      <c r="Z82" s="279"/>
      <c r="AA82" s="278"/>
      <c r="AB82" s="279"/>
      <c r="AC82" s="298"/>
      <c r="AD82" s="298"/>
      <c r="AE82" s="263"/>
      <c r="AF82" s="298"/>
      <c r="AG82" s="263"/>
      <c r="AH82" s="298"/>
      <c r="AI82" s="280"/>
      <c r="AJ82" s="298"/>
      <c r="AK82" s="263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300"/>
      <c r="AW82" s="72"/>
      <c r="AX82" s="72"/>
      <c r="AY82" s="265"/>
      <c r="AZ82" s="33"/>
      <c r="BA82" s="46"/>
      <c r="BB82" s="78"/>
      <c r="BC82" s="34"/>
      <c r="BD82" s="28"/>
    </row>
    <row r="83" spans="1:60" ht="14.15" customHeight="1">
      <c r="A83" s="23"/>
      <c r="B83" s="351"/>
      <c r="C83" s="282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5"/>
      <c r="S83" s="35"/>
      <c r="T83" s="28"/>
      <c r="U83" s="28"/>
      <c r="V83" s="28"/>
      <c r="W83" s="28"/>
      <c r="X83" s="28"/>
      <c r="Y83" s="28"/>
      <c r="Z83" s="28"/>
      <c r="AC83" s="28"/>
      <c r="AD83" s="28"/>
      <c r="AE83" s="35"/>
      <c r="AF83" s="35"/>
      <c r="AG83" s="35"/>
      <c r="AH83" s="35"/>
      <c r="AI83" s="35"/>
      <c r="AJ83" s="28"/>
      <c r="AK83" s="28"/>
      <c r="AL83" s="28"/>
      <c r="AM83" s="35"/>
      <c r="AN83" s="35"/>
      <c r="AO83" s="135"/>
      <c r="AP83" s="136"/>
      <c r="AQ83" s="130"/>
      <c r="AR83" s="130"/>
      <c r="AS83" s="130"/>
      <c r="AT83" s="130"/>
      <c r="AU83" s="81"/>
      <c r="AV83" s="35"/>
      <c r="AW83" s="35"/>
      <c r="AX83" s="65"/>
      <c r="AY83" s="347"/>
      <c r="AZ83" s="33"/>
      <c r="BA83" s="46"/>
      <c r="BB83" s="78"/>
      <c r="BC83" s="34"/>
      <c r="BD83" s="28"/>
      <c r="BG83" s="35"/>
    </row>
    <row r="84" spans="1:60" ht="14.15" customHeight="1">
      <c r="A84" s="23"/>
      <c r="B84" s="351"/>
      <c r="C84" s="352"/>
      <c r="D84" s="348" t="s">
        <v>37</v>
      </c>
      <c r="E84" s="131"/>
      <c r="F84" s="131"/>
      <c r="G84" s="131"/>
      <c r="H84" s="132"/>
      <c r="I84" s="132"/>
      <c r="J84" s="106"/>
      <c r="K84" s="133"/>
      <c r="L84" s="134"/>
      <c r="M84" s="144"/>
      <c r="N84" s="144"/>
      <c r="O84" s="131"/>
      <c r="P84" s="134"/>
      <c r="Q84" s="107"/>
      <c r="R84" s="133" t="s">
        <v>39</v>
      </c>
      <c r="S84" s="134"/>
      <c r="T84" s="107"/>
      <c r="U84" s="107"/>
      <c r="V84" s="133" t="s">
        <v>43</v>
      </c>
      <c r="W84" s="134"/>
      <c r="X84" s="107"/>
      <c r="Y84" s="35"/>
      <c r="Z84" s="35"/>
      <c r="AC84" s="28"/>
      <c r="AD84" s="28"/>
      <c r="AE84" s="28"/>
      <c r="AF84" s="35"/>
      <c r="AG84" s="35"/>
      <c r="AH84" s="28"/>
      <c r="AI84" s="28"/>
      <c r="AJ84" s="28"/>
      <c r="AK84" s="81"/>
      <c r="AL84" s="28"/>
      <c r="AM84" s="28"/>
      <c r="AN84" s="28"/>
      <c r="AO84" s="28"/>
      <c r="AP84" s="28"/>
      <c r="AQ84" s="65"/>
      <c r="AR84" s="65"/>
      <c r="AS84" s="65"/>
      <c r="AT84" s="125"/>
      <c r="AU84" s="65"/>
      <c r="AV84" s="65"/>
      <c r="AW84" s="65"/>
      <c r="AX84" s="65"/>
      <c r="AY84" s="347"/>
      <c r="AZ84" s="33"/>
      <c r="BA84" s="46"/>
      <c r="BB84" s="78"/>
      <c r="BC84" s="34"/>
      <c r="BD84" s="28"/>
      <c r="BE84" s="35"/>
      <c r="BF84" s="35"/>
      <c r="BG84" s="35"/>
    </row>
    <row r="85" spans="1:60" ht="13.5" customHeight="1">
      <c r="A85" s="22"/>
      <c r="B85" s="353"/>
      <c r="C85" s="352"/>
      <c r="D85" s="349" t="s">
        <v>44</v>
      </c>
      <c r="E85" s="137"/>
      <c r="F85" s="137"/>
      <c r="G85" s="137"/>
      <c r="H85" s="137"/>
      <c r="I85" s="137"/>
      <c r="J85" s="137"/>
      <c r="K85" s="350"/>
      <c r="L85" s="139"/>
      <c r="M85" s="108"/>
      <c r="N85" s="108"/>
      <c r="O85" s="145"/>
      <c r="P85" s="139"/>
      <c r="Q85" s="109"/>
      <c r="R85" s="138" t="s">
        <v>40</v>
      </c>
      <c r="S85" s="139"/>
      <c r="T85" s="108"/>
      <c r="U85" s="109"/>
      <c r="V85" s="140"/>
      <c r="W85" s="141"/>
      <c r="X85" s="142"/>
      <c r="Y85" s="116"/>
      <c r="Z85" s="41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65"/>
      <c r="AR85" s="65"/>
      <c r="AS85" s="65"/>
      <c r="AT85" s="125"/>
      <c r="AU85" s="65"/>
      <c r="AV85" s="65"/>
      <c r="AW85" s="65"/>
      <c r="AX85" s="65"/>
      <c r="AY85" s="347"/>
      <c r="AZ85" s="33"/>
      <c r="BA85" s="46"/>
      <c r="BB85" s="78"/>
      <c r="BC85" s="34"/>
      <c r="BD85" s="28"/>
      <c r="BE85" s="35"/>
      <c r="BF85" s="35"/>
      <c r="BG85" s="35"/>
    </row>
    <row r="86" spans="1:60" ht="5.15" customHeight="1">
      <c r="A86" s="22"/>
      <c r="B86" s="202"/>
      <c r="C86" s="315"/>
      <c r="D86" s="73"/>
      <c r="E86" s="73"/>
      <c r="F86" s="73"/>
      <c r="G86" s="73"/>
      <c r="H86" s="316"/>
      <c r="I86" s="275"/>
      <c r="J86" s="273"/>
      <c r="K86" s="275"/>
      <c r="L86" s="273"/>
      <c r="M86" s="317"/>
      <c r="N86" s="317"/>
      <c r="O86" s="270"/>
      <c r="P86" s="317"/>
      <c r="Q86" s="270"/>
      <c r="R86" s="317"/>
      <c r="S86" s="73"/>
      <c r="T86" s="73"/>
      <c r="U86" s="73"/>
      <c r="V86" s="73"/>
      <c r="W86" s="73"/>
      <c r="X86" s="316"/>
      <c r="Y86" s="275"/>
      <c r="Z86" s="273"/>
      <c r="AA86" s="275"/>
      <c r="AB86" s="273"/>
      <c r="AC86" s="317"/>
      <c r="AD86" s="317"/>
      <c r="AE86" s="270"/>
      <c r="AF86" s="317"/>
      <c r="AG86" s="270"/>
      <c r="AH86" s="317"/>
      <c r="AI86" s="276"/>
      <c r="AJ86" s="317"/>
      <c r="AK86" s="270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318"/>
      <c r="AW86" s="73"/>
      <c r="AX86" s="73"/>
      <c r="AY86" s="277"/>
      <c r="AZ86" s="33"/>
      <c r="BA86" s="46"/>
      <c r="BB86" s="78"/>
      <c r="BC86" s="34"/>
      <c r="BD86" s="28"/>
    </row>
    <row r="87" spans="1:60" ht="14.15" customHeight="1">
      <c r="A87" s="22"/>
      <c r="B87" s="202">
        <v>34</v>
      </c>
      <c r="C87" s="331"/>
      <c r="D87" s="332"/>
      <c r="E87" s="65"/>
      <c r="F87" s="65"/>
      <c r="G87" s="65"/>
      <c r="H87" s="65"/>
      <c r="I87" s="65"/>
      <c r="J87" s="1012"/>
      <c r="K87" s="1012"/>
      <c r="L87" s="1012"/>
      <c r="M87" s="1012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135"/>
      <c r="AQ87" s="135"/>
      <c r="AR87" s="65"/>
      <c r="AS87" s="65"/>
      <c r="AT87" s="125"/>
      <c r="AU87" s="65"/>
      <c r="AV87" s="65"/>
      <c r="AW87" s="65"/>
      <c r="AX87" s="65"/>
      <c r="AY87" s="65"/>
      <c r="AZ87" s="33"/>
      <c r="BA87" s="46"/>
      <c r="BB87" s="78"/>
      <c r="BC87" s="34"/>
      <c r="BD87" s="28"/>
      <c r="BG87" s="24"/>
      <c r="BH87" s="28"/>
    </row>
    <row r="88" spans="1:60" ht="14.15" customHeight="1">
      <c r="A88" s="22"/>
      <c r="B88" s="202">
        <v>35</v>
      </c>
      <c r="C88" s="346" t="s">
        <v>246</v>
      </c>
      <c r="D88" s="332"/>
      <c r="E88" s="65"/>
      <c r="F88" s="65"/>
      <c r="G88" s="65"/>
      <c r="H88" s="65"/>
      <c r="I88" s="65"/>
      <c r="J88" s="969"/>
      <c r="K88" s="969"/>
      <c r="L88" s="969"/>
      <c r="M88" s="969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125"/>
      <c r="AU88" s="65"/>
      <c r="AV88" s="65"/>
      <c r="AW88" s="65"/>
      <c r="AX88" s="65"/>
      <c r="AY88" s="65"/>
      <c r="AZ88" s="33"/>
      <c r="BA88" s="46"/>
      <c r="BB88" s="335"/>
      <c r="BC88" s="336"/>
      <c r="BD88" s="28"/>
      <c r="BG88" s="24"/>
      <c r="BH88" s="28"/>
    </row>
    <row r="89" spans="1:60" ht="14.15" customHeight="1">
      <c r="A89" s="22"/>
      <c r="B89" s="202">
        <v>35</v>
      </c>
      <c r="C89" s="331"/>
      <c r="D89" s="478" t="s">
        <v>247</v>
      </c>
      <c r="E89" s="65"/>
      <c r="F89" s="65"/>
      <c r="G89" s="65"/>
      <c r="H89" s="65"/>
      <c r="I89" s="65"/>
      <c r="J89" s="477"/>
      <c r="K89" s="477"/>
      <c r="L89" s="477"/>
      <c r="M89" s="477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125"/>
      <c r="AU89" s="65"/>
      <c r="AV89" s="65"/>
      <c r="AW89" s="65"/>
      <c r="AX89" s="65"/>
      <c r="AY89" s="65"/>
      <c r="AZ89" s="33"/>
      <c r="BA89" s="46"/>
      <c r="BB89" s="335"/>
      <c r="BC89" s="336"/>
      <c r="BD89" s="28"/>
      <c r="BG89" s="24"/>
      <c r="BH89" s="28"/>
    </row>
    <row r="90" spans="1:60" ht="14.15" customHeight="1">
      <c r="A90" s="22"/>
      <c r="B90" s="202">
        <v>35</v>
      </c>
      <c r="C90" s="331"/>
      <c r="D90" s="332"/>
      <c r="E90" s="65"/>
      <c r="F90" s="65"/>
      <c r="G90" s="65"/>
      <c r="H90" s="65"/>
      <c r="I90" s="65"/>
      <c r="J90" s="1008"/>
      <c r="K90" s="1008"/>
      <c r="L90" s="1008"/>
      <c r="M90" s="1008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125"/>
      <c r="AU90" s="65"/>
      <c r="AV90" s="65"/>
      <c r="AW90" s="65"/>
      <c r="AX90" s="65"/>
      <c r="AY90" s="65"/>
      <c r="AZ90" s="33"/>
      <c r="BA90" s="46"/>
      <c r="BB90" s="335"/>
      <c r="BC90" s="336"/>
      <c r="BD90" s="28"/>
      <c r="BG90" s="24"/>
      <c r="BH90" s="28"/>
    </row>
    <row r="91" spans="1:60" ht="5.15" customHeight="1">
      <c r="A91" s="22"/>
      <c r="B91" s="202"/>
      <c r="C91" s="296"/>
      <c r="D91" s="72"/>
      <c r="E91" s="72"/>
      <c r="F91" s="72"/>
      <c r="G91" s="72"/>
      <c r="H91" s="297"/>
      <c r="I91" s="278"/>
      <c r="J91" s="279"/>
      <c r="K91" s="278"/>
      <c r="L91" s="279"/>
      <c r="M91" s="298"/>
      <c r="N91" s="298"/>
      <c r="O91" s="263"/>
      <c r="P91" s="298"/>
      <c r="Q91" s="263"/>
      <c r="R91" s="298"/>
      <c r="S91" s="72"/>
      <c r="T91" s="72"/>
      <c r="U91" s="72"/>
      <c r="V91" s="72"/>
      <c r="W91" s="72"/>
      <c r="X91" s="297"/>
      <c r="Y91" s="278"/>
      <c r="Z91" s="279"/>
      <c r="AA91" s="278"/>
      <c r="AB91" s="279"/>
      <c r="AC91" s="298"/>
      <c r="AD91" s="298"/>
      <c r="AE91" s="263"/>
      <c r="AF91" s="298"/>
      <c r="AG91" s="263"/>
      <c r="AH91" s="298"/>
      <c r="AI91" s="280"/>
      <c r="AJ91" s="298"/>
      <c r="AK91" s="263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300"/>
      <c r="AW91" s="72"/>
      <c r="AX91" s="72"/>
      <c r="AY91" s="265"/>
      <c r="AZ91" s="33"/>
      <c r="BA91" s="46"/>
      <c r="BB91" s="78"/>
      <c r="BC91" s="34"/>
      <c r="BD91" s="28"/>
    </row>
    <row r="92" spans="1:60" ht="14.15" customHeight="1">
      <c r="A92" s="23"/>
      <c r="B92" s="351"/>
      <c r="C92" s="282"/>
      <c r="D92" s="28" t="s">
        <v>239</v>
      </c>
      <c r="E92" s="28"/>
      <c r="F92" s="28"/>
      <c r="G92" s="28"/>
      <c r="H92" s="468" t="s">
        <v>244</v>
      </c>
      <c r="I92" s="257"/>
      <c r="J92" s="258"/>
      <c r="K92" s="258"/>
      <c r="L92" s="258"/>
      <c r="M92" s="259"/>
      <c r="N92" s="258"/>
      <c r="O92" s="110"/>
      <c r="P92" s="261" t="s">
        <v>32</v>
      </c>
      <c r="Q92" s="25"/>
      <c r="R92" s="469" t="s">
        <v>245</v>
      </c>
      <c r="S92" s="470"/>
      <c r="T92" s="471"/>
      <c r="U92" s="471"/>
      <c r="V92" s="483"/>
      <c r="W92" s="472"/>
      <c r="X92" s="471"/>
      <c r="Y92" s="473"/>
      <c r="Z92" s="474"/>
      <c r="AB92" s="469" t="s">
        <v>287</v>
      </c>
      <c r="AC92" s="470"/>
      <c r="AD92" s="471"/>
      <c r="AE92" s="471"/>
      <c r="AF92" s="471"/>
      <c r="AG92" s="472"/>
      <c r="AH92" s="471"/>
      <c r="AI92" s="473"/>
      <c r="AJ92" s="472"/>
      <c r="AK92" s="479"/>
      <c r="AL92" s="479"/>
      <c r="AM92" s="473"/>
      <c r="AN92" s="473"/>
      <c r="AO92" s="471"/>
      <c r="AP92" s="480"/>
      <c r="AQ92" s="471"/>
      <c r="AR92" s="471"/>
      <c r="AS92" s="471"/>
      <c r="AT92" s="471"/>
      <c r="AU92" s="481"/>
      <c r="AV92" s="473"/>
      <c r="AW92" s="473"/>
      <c r="AX92" s="482"/>
      <c r="AY92" s="347"/>
      <c r="AZ92" s="33"/>
      <c r="BA92" s="46"/>
      <c r="BB92" s="78"/>
      <c r="BC92" s="34"/>
      <c r="BD92" s="28"/>
      <c r="BG92" s="35"/>
    </row>
    <row r="93" spans="1:60" ht="14.15" customHeight="1">
      <c r="A93" s="23"/>
      <c r="B93" s="351"/>
      <c r="C93" s="282"/>
      <c r="D93" s="28"/>
      <c r="E93" s="28"/>
      <c r="F93" s="28"/>
      <c r="G93" s="28"/>
      <c r="H93" s="469" t="s">
        <v>53</v>
      </c>
      <c r="I93" s="470"/>
      <c r="J93" s="471"/>
      <c r="K93" s="471"/>
      <c r="L93" s="471"/>
      <c r="M93" s="472"/>
      <c r="N93" s="471"/>
      <c r="O93" s="473"/>
      <c r="P93" s="472"/>
      <c r="Q93" s="479"/>
      <c r="R93" s="479"/>
      <c r="S93" s="473"/>
      <c r="T93" s="473"/>
      <c r="U93" s="471"/>
      <c r="V93" s="480"/>
      <c r="W93" s="471"/>
      <c r="X93" s="471"/>
      <c r="Y93" s="471"/>
      <c r="Z93" s="471"/>
      <c r="AA93" s="481"/>
      <c r="AB93" s="473"/>
      <c r="AC93" s="473"/>
      <c r="AD93" s="479"/>
      <c r="AE93" s="471"/>
      <c r="AF93" s="471"/>
      <c r="AG93" s="472"/>
      <c r="AH93" s="471"/>
      <c r="AI93" s="473"/>
      <c r="AJ93" s="472"/>
      <c r="AK93" s="479"/>
      <c r="AL93" s="479"/>
      <c r="AM93" s="473"/>
      <c r="AN93" s="473"/>
      <c r="AO93" s="471"/>
      <c r="AP93" s="480"/>
      <c r="AQ93" s="471"/>
      <c r="AR93" s="471"/>
      <c r="AS93" s="471"/>
      <c r="AT93" s="471"/>
      <c r="AU93" s="481"/>
      <c r="AV93" s="473"/>
      <c r="AW93" s="473"/>
      <c r="AX93" s="482"/>
      <c r="AY93" s="347"/>
      <c r="AZ93" s="33"/>
      <c r="BA93" s="46"/>
      <c r="BB93" s="78"/>
      <c r="BC93" s="34"/>
      <c r="BD93" s="28"/>
      <c r="BG93" s="35"/>
    </row>
    <row r="94" spans="1:60" ht="5.15" customHeight="1">
      <c r="A94" s="22"/>
      <c r="B94" s="202"/>
      <c r="C94" s="315"/>
      <c r="D94" s="73"/>
      <c r="E94" s="73"/>
      <c r="F94" s="73"/>
      <c r="G94" s="73"/>
      <c r="H94" s="316"/>
      <c r="I94" s="275"/>
      <c r="J94" s="273"/>
      <c r="K94" s="275"/>
      <c r="L94" s="273"/>
      <c r="M94" s="317"/>
      <c r="N94" s="317"/>
      <c r="O94" s="270"/>
      <c r="P94" s="317"/>
      <c r="Q94" s="270"/>
      <c r="R94" s="317"/>
      <c r="S94" s="73"/>
      <c r="T94" s="73"/>
      <c r="U94" s="73"/>
      <c r="V94" s="73"/>
      <c r="W94" s="73"/>
      <c r="X94" s="316"/>
      <c r="Y94" s="275"/>
      <c r="Z94" s="273"/>
      <c r="AA94" s="275"/>
      <c r="AB94" s="273"/>
      <c r="AC94" s="317"/>
      <c r="AD94" s="317"/>
      <c r="AE94" s="270"/>
      <c r="AF94" s="317"/>
      <c r="AG94" s="270"/>
      <c r="AH94" s="317"/>
      <c r="AI94" s="276"/>
      <c r="AJ94" s="317"/>
      <c r="AK94" s="270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318"/>
      <c r="AW94" s="73"/>
      <c r="AX94" s="73"/>
      <c r="AY94" s="277"/>
      <c r="AZ94" s="33"/>
      <c r="BA94" s="46"/>
      <c r="BB94" s="78"/>
      <c r="BC94" s="34"/>
      <c r="BD94" s="28"/>
    </row>
    <row r="95" spans="1:60" ht="5.15" customHeight="1">
      <c r="A95" s="22"/>
      <c r="B95" s="202"/>
      <c r="C95" s="476"/>
      <c r="D95" s="72"/>
      <c r="E95" s="72"/>
      <c r="F95" s="72"/>
      <c r="G95" s="72"/>
      <c r="H95" s="297"/>
      <c r="I95" s="278"/>
      <c r="J95" s="279"/>
      <c r="K95" s="278"/>
      <c r="L95" s="279"/>
      <c r="M95" s="298"/>
      <c r="N95" s="298"/>
      <c r="O95" s="263"/>
      <c r="P95" s="298"/>
      <c r="Q95" s="263"/>
      <c r="R95" s="298"/>
      <c r="S95" s="72"/>
      <c r="T95" s="72"/>
      <c r="U95" s="72"/>
      <c r="V95" s="72"/>
      <c r="W95" s="72"/>
      <c r="X95" s="297"/>
      <c r="Y95" s="278"/>
      <c r="Z95" s="279"/>
      <c r="AA95" s="278"/>
      <c r="AB95" s="279"/>
      <c r="AC95" s="298"/>
      <c r="AD95" s="298"/>
      <c r="AE95" s="263"/>
      <c r="AF95" s="298"/>
      <c r="AG95" s="263"/>
      <c r="AH95" s="298"/>
      <c r="AI95" s="280"/>
      <c r="AJ95" s="298"/>
      <c r="AK95" s="263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300"/>
      <c r="AW95" s="72"/>
      <c r="AX95" s="72"/>
      <c r="AY95" s="264"/>
      <c r="AZ95" s="33"/>
      <c r="BA95" s="46"/>
      <c r="BB95" s="78"/>
      <c r="BC95" s="34"/>
      <c r="BD95" s="28"/>
    </row>
    <row r="96" spans="1:60" ht="14.15" customHeight="1">
      <c r="A96" s="22"/>
      <c r="B96" s="202">
        <v>35</v>
      </c>
      <c r="C96" s="62" t="s">
        <v>242</v>
      </c>
      <c r="D96" s="332"/>
      <c r="E96" s="65"/>
      <c r="F96" s="65"/>
      <c r="G96" s="65"/>
      <c r="H96" s="65"/>
      <c r="I96" s="65"/>
      <c r="J96" s="969"/>
      <c r="K96" s="969"/>
      <c r="L96" s="969"/>
      <c r="M96" s="969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125"/>
      <c r="AU96" s="65"/>
      <c r="AV96" s="65"/>
      <c r="AW96" s="65"/>
      <c r="AX96" s="65"/>
      <c r="AY96" s="65"/>
      <c r="AZ96" s="33"/>
      <c r="BA96" s="46"/>
      <c r="BB96" s="335"/>
      <c r="BC96" s="336"/>
      <c r="BD96" s="28"/>
      <c r="BG96" s="24"/>
      <c r="BH96" s="28"/>
    </row>
    <row r="97" spans="1:60" ht="5.15" customHeight="1">
      <c r="A97" s="22"/>
      <c r="B97" s="202"/>
      <c r="C97" s="296"/>
      <c r="D97" s="72"/>
      <c r="E97" s="72"/>
      <c r="F97" s="72"/>
      <c r="G97" s="72"/>
      <c r="H97" s="297"/>
      <c r="I97" s="278"/>
      <c r="J97" s="279"/>
      <c r="K97" s="278"/>
      <c r="L97" s="279"/>
      <c r="M97" s="298"/>
      <c r="N97" s="298"/>
      <c r="O97" s="263"/>
      <c r="P97" s="298"/>
      <c r="Q97" s="263"/>
      <c r="R97" s="298"/>
      <c r="S97" s="72"/>
      <c r="T97" s="72"/>
      <c r="U97" s="72"/>
      <c r="V97" s="72"/>
      <c r="W97" s="72"/>
      <c r="X97" s="297"/>
      <c r="Y97" s="278"/>
      <c r="Z97" s="279"/>
      <c r="AA97" s="278"/>
      <c r="AB97" s="279"/>
      <c r="AC97" s="298"/>
      <c r="AD97" s="298"/>
      <c r="AE97" s="263"/>
      <c r="AF97" s="298"/>
      <c r="AG97" s="263"/>
      <c r="AH97" s="298"/>
      <c r="AI97" s="280"/>
      <c r="AJ97" s="298"/>
      <c r="AK97" s="263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300"/>
      <c r="AW97" s="72"/>
      <c r="AX97" s="72"/>
      <c r="AY97" s="265"/>
      <c r="AZ97" s="33"/>
      <c r="BA97" s="46"/>
      <c r="BB97" s="78"/>
      <c r="BC97" s="34"/>
      <c r="BD97" s="28"/>
    </row>
    <row r="98" spans="1:60" ht="14.15" customHeight="1">
      <c r="A98" s="23"/>
      <c r="B98" s="351"/>
      <c r="C98" s="282"/>
      <c r="D98" s="28" t="s">
        <v>239</v>
      </c>
      <c r="E98" s="28"/>
      <c r="F98" s="28"/>
      <c r="G98" s="28"/>
      <c r="H98" s="468" t="s">
        <v>240</v>
      </c>
      <c r="I98" s="257"/>
      <c r="J98" s="258"/>
      <c r="K98" s="258"/>
      <c r="L98" s="258"/>
      <c r="M98" s="259"/>
      <c r="N98" s="258"/>
      <c r="O98" s="110"/>
      <c r="P98" s="261" t="s">
        <v>32</v>
      </c>
      <c r="Q98" s="25"/>
      <c r="R98" s="469" t="s">
        <v>241</v>
      </c>
      <c r="S98" s="470"/>
      <c r="T98" s="471"/>
      <c r="U98" s="471"/>
      <c r="V98" s="483"/>
      <c r="W98" s="484" t="s">
        <v>253</v>
      </c>
      <c r="X98" s="471"/>
      <c r="Y98" s="473"/>
      <c r="Z98" s="474"/>
      <c r="AB98" s="529" t="s">
        <v>288</v>
      </c>
      <c r="AC98" s="530"/>
      <c r="AD98" s="531"/>
      <c r="AE98" s="531"/>
      <c r="AF98" s="531"/>
      <c r="AG98" s="532"/>
      <c r="AH98" s="531"/>
      <c r="AI98" s="533"/>
      <c r="AJ98" s="532"/>
      <c r="AK98" s="61"/>
      <c r="AL98" s="61"/>
      <c r="AM98" s="533"/>
      <c r="AN98" s="533"/>
      <c r="AO98" s="531"/>
      <c r="AP98" s="534"/>
      <c r="AQ98" s="531"/>
      <c r="AR98" s="531"/>
      <c r="AS98" s="531"/>
      <c r="AT98" s="531"/>
      <c r="AU98" s="535"/>
      <c r="AV98" s="533"/>
      <c r="AW98" s="533"/>
      <c r="AX98" s="70"/>
      <c r="AY98" s="347"/>
      <c r="AZ98" s="33"/>
      <c r="BA98" s="46"/>
      <c r="BB98" s="78"/>
      <c r="BC98" s="34"/>
      <c r="BD98" s="28"/>
      <c r="BG98" s="35"/>
    </row>
    <row r="99" spans="1:60" ht="14.15" customHeight="1">
      <c r="A99" s="23"/>
      <c r="B99" s="351"/>
      <c r="C99" s="282"/>
      <c r="D99" s="28"/>
      <c r="E99" s="28"/>
      <c r="F99" s="28"/>
      <c r="G99" s="28"/>
      <c r="H99" s="469" t="s">
        <v>252</v>
      </c>
      <c r="I99" s="470"/>
      <c r="J99" s="471"/>
      <c r="K99" s="471"/>
      <c r="L99" s="471"/>
      <c r="M99" s="472"/>
      <c r="N99" s="471"/>
      <c r="O99" s="473"/>
      <c r="P99" s="472"/>
      <c r="Q99" s="479"/>
      <c r="R99" s="479"/>
      <c r="S99" s="473"/>
      <c r="T99" s="473"/>
      <c r="U99" s="471"/>
      <c r="V99" s="480"/>
      <c r="W99" s="471"/>
      <c r="X99" s="471"/>
      <c r="Y99" s="471"/>
      <c r="Z99" s="471"/>
      <c r="AA99" s="481"/>
      <c r="AB99" s="473"/>
      <c r="AC99" s="473"/>
      <c r="AD99" s="479"/>
      <c r="AE99" s="471"/>
      <c r="AF99" s="471"/>
      <c r="AG99" s="472"/>
      <c r="AH99" s="471"/>
      <c r="AI99" s="473"/>
      <c r="AJ99" s="472"/>
      <c r="AK99" s="479"/>
      <c r="AL99" s="479"/>
      <c r="AM99" s="473"/>
      <c r="AN99" s="473"/>
      <c r="AO99" s="471"/>
      <c r="AP99" s="480"/>
      <c r="AQ99" s="471"/>
      <c r="AR99" s="471"/>
      <c r="AS99" s="471"/>
      <c r="AT99" s="471"/>
      <c r="AU99" s="481"/>
      <c r="AV99" s="473"/>
      <c r="AW99" s="473"/>
      <c r="AX99" s="482"/>
      <c r="AY99" s="347"/>
      <c r="AZ99" s="33"/>
      <c r="BA99" s="46"/>
      <c r="BB99" s="78"/>
      <c r="BC99" s="34"/>
      <c r="BD99" s="28"/>
      <c r="BG99" s="35"/>
    </row>
    <row r="100" spans="1:60" ht="5.15" customHeight="1">
      <c r="A100" s="22"/>
      <c r="B100" s="202"/>
      <c r="C100" s="315"/>
      <c r="D100" s="73"/>
      <c r="E100" s="73"/>
      <c r="F100" s="73"/>
      <c r="G100" s="73"/>
      <c r="H100" s="316"/>
      <c r="I100" s="275"/>
      <c r="J100" s="273"/>
      <c r="K100" s="275"/>
      <c r="L100" s="273"/>
      <c r="M100" s="317"/>
      <c r="N100" s="317"/>
      <c r="O100" s="270"/>
      <c r="P100" s="317"/>
      <c r="Q100" s="270"/>
      <c r="R100" s="317"/>
      <c r="S100" s="73"/>
      <c r="T100" s="73"/>
      <c r="U100" s="73"/>
      <c r="V100" s="73"/>
      <c r="W100" s="73"/>
      <c r="X100" s="316"/>
      <c r="Y100" s="275"/>
      <c r="Z100" s="273"/>
      <c r="AA100" s="275"/>
      <c r="AB100" s="273"/>
      <c r="AC100" s="317"/>
      <c r="AD100" s="317"/>
      <c r="AE100" s="270"/>
      <c r="AF100" s="317"/>
      <c r="AG100" s="270"/>
      <c r="AH100" s="317"/>
      <c r="AI100" s="276"/>
      <c r="AJ100" s="317"/>
      <c r="AK100" s="270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318"/>
      <c r="AW100" s="73"/>
      <c r="AX100" s="73"/>
      <c r="AY100" s="277"/>
      <c r="AZ100" s="33"/>
      <c r="BA100" s="46"/>
      <c r="BB100" s="78"/>
      <c r="BC100" s="34"/>
      <c r="BD100" s="28"/>
    </row>
    <row r="101" spans="1:60" ht="5.15" customHeight="1">
      <c r="A101" s="22"/>
      <c r="B101" s="202"/>
      <c r="C101" s="476"/>
      <c r="D101" s="72"/>
      <c r="E101" s="72"/>
      <c r="F101" s="72"/>
      <c r="G101" s="72"/>
      <c r="H101" s="297"/>
      <c r="I101" s="278"/>
      <c r="J101" s="279"/>
      <c r="K101" s="278"/>
      <c r="L101" s="279"/>
      <c r="M101" s="298"/>
      <c r="N101" s="298"/>
      <c r="O101" s="263"/>
      <c r="P101" s="298"/>
      <c r="Q101" s="263"/>
      <c r="R101" s="298"/>
      <c r="S101" s="72"/>
      <c r="T101" s="72"/>
      <c r="U101" s="72"/>
      <c r="V101" s="72"/>
      <c r="W101" s="72"/>
      <c r="X101" s="297"/>
      <c r="Y101" s="278"/>
      <c r="Z101" s="279"/>
      <c r="AA101" s="278"/>
      <c r="AB101" s="279"/>
      <c r="AC101" s="298"/>
      <c r="AD101" s="298"/>
      <c r="AE101" s="263"/>
      <c r="AF101" s="298"/>
      <c r="AG101" s="263"/>
      <c r="AH101" s="298"/>
      <c r="AI101" s="280"/>
      <c r="AJ101" s="298"/>
      <c r="AK101" s="263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300"/>
      <c r="AW101" s="72"/>
      <c r="AX101" s="72"/>
      <c r="AY101" s="264"/>
      <c r="AZ101" s="33"/>
      <c r="BA101" s="46"/>
      <c r="BB101" s="78"/>
      <c r="BC101" s="34"/>
      <c r="BD101" s="28"/>
    </row>
    <row r="102" spans="1:60" ht="14.15" customHeight="1">
      <c r="A102" s="22"/>
      <c r="B102" s="202">
        <v>35</v>
      </c>
      <c r="C102" s="62" t="s">
        <v>242</v>
      </c>
      <c r="D102" s="332"/>
      <c r="E102" s="65"/>
      <c r="F102" s="65"/>
      <c r="G102" s="65"/>
      <c r="H102" s="65"/>
      <c r="I102" s="65"/>
      <c r="J102" s="477"/>
      <c r="K102" s="477"/>
      <c r="L102" s="477"/>
      <c r="M102" s="477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125"/>
      <c r="AU102" s="65"/>
      <c r="AV102" s="65"/>
      <c r="AW102" s="65"/>
      <c r="AX102" s="65"/>
      <c r="AY102" s="65"/>
      <c r="AZ102" s="33"/>
      <c r="BA102" s="46"/>
      <c r="BB102" s="335"/>
      <c r="BC102" s="336"/>
      <c r="BD102" s="28"/>
      <c r="BG102" s="24"/>
      <c r="BH102" s="28"/>
    </row>
    <row r="103" spans="1:60" ht="14.15" customHeight="1">
      <c r="A103" s="22"/>
      <c r="B103" s="202">
        <v>35</v>
      </c>
      <c r="C103" s="331"/>
      <c r="D103" s="332"/>
      <c r="E103" s="65"/>
      <c r="F103" s="65"/>
      <c r="G103" s="65"/>
      <c r="H103" s="65"/>
      <c r="I103" s="65"/>
      <c r="J103" s="477"/>
      <c r="K103" s="477"/>
      <c r="L103" s="477"/>
      <c r="M103" s="477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125"/>
      <c r="AU103" s="65"/>
      <c r="AV103" s="65"/>
      <c r="AW103" s="65"/>
      <c r="AX103" s="65"/>
      <c r="AY103" s="65"/>
      <c r="AZ103" s="33"/>
      <c r="BA103" s="46"/>
      <c r="BB103" s="335"/>
      <c r="BC103" s="336"/>
      <c r="BD103" s="28"/>
      <c r="BG103" s="24"/>
      <c r="BH103" s="28"/>
    </row>
    <row r="104" spans="1:60" ht="14.15" customHeight="1">
      <c r="A104" s="22"/>
      <c r="B104" s="202">
        <v>35</v>
      </c>
      <c r="C104" s="346" t="s">
        <v>248</v>
      </c>
      <c r="D104" s="332"/>
      <c r="E104" s="65"/>
      <c r="F104" s="65"/>
      <c r="G104" s="65"/>
      <c r="H104" s="65"/>
      <c r="I104" s="65"/>
      <c r="J104" s="969"/>
      <c r="K104" s="969"/>
      <c r="L104" s="969"/>
      <c r="M104" s="969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125"/>
      <c r="AU104" s="65"/>
      <c r="AV104" s="65"/>
      <c r="AW104" s="65"/>
      <c r="AX104" s="65"/>
      <c r="AY104" s="65"/>
      <c r="AZ104" s="33"/>
      <c r="BA104" s="46"/>
      <c r="BB104" s="335"/>
      <c r="BC104" s="336"/>
      <c r="BD104" s="28"/>
      <c r="BG104" s="24"/>
      <c r="BH104" s="28"/>
    </row>
    <row r="105" spans="1:60" ht="5.15" customHeight="1">
      <c r="A105" s="22"/>
      <c r="B105" s="202"/>
      <c r="C105" s="296"/>
      <c r="D105" s="72"/>
      <c r="E105" s="72"/>
      <c r="F105" s="72"/>
      <c r="G105" s="72"/>
      <c r="H105" s="297"/>
      <c r="I105" s="278"/>
      <c r="J105" s="279"/>
      <c r="K105" s="278"/>
      <c r="L105" s="279"/>
      <c r="M105" s="298"/>
      <c r="N105" s="298"/>
      <c r="O105" s="263"/>
      <c r="P105" s="298"/>
      <c r="Q105" s="263"/>
      <c r="R105" s="298"/>
      <c r="S105" s="72"/>
      <c r="T105" s="72"/>
      <c r="U105" s="72"/>
      <c r="V105" s="72"/>
      <c r="W105" s="72"/>
      <c r="X105" s="297"/>
      <c r="Y105" s="278"/>
      <c r="Z105" s="279"/>
      <c r="AA105" s="278"/>
      <c r="AB105" s="279"/>
      <c r="AC105" s="298"/>
      <c r="AD105" s="298"/>
      <c r="AE105" s="263"/>
      <c r="AF105" s="298"/>
      <c r="AG105" s="263"/>
      <c r="AH105" s="298"/>
      <c r="AI105" s="280"/>
      <c r="AJ105" s="298"/>
      <c r="AK105" s="263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300"/>
      <c r="AW105" s="72"/>
      <c r="AX105" s="72"/>
      <c r="AY105" s="265"/>
      <c r="AZ105" s="33"/>
      <c r="BA105" s="46"/>
      <c r="BB105" s="335"/>
      <c r="BC105" s="336"/>
      <c r="BD105" s="28"/>
    </row>
    <row r="106" spans="1:60" ht="13.5" customHeight="1">
      <c r="A106" s="22"/>
      <c r="B106" s="45"/>
      <c r="C106" s="266"/>
      <c r="D106" s="28" t="s">
        <v>249</v>
      </c>
      <c r="E106" s="28"/>
      <c r="F106" s="28"/>
      <c r="G106" s="28"/>
      <c r="H106" s="24"/>
      <c r="I106" s="24"/>
      <c r="J106" s="24"/>
      <c r="K106" s="24"/>
      <c r="L106" s="24"/>
      <c r="M106" s="127"/>
      <c r="N106" s="75"/>
      <c r="O106" s="84"/>
      <c r="P106" s="84"/>
      <c r="Q106" s="85"/>
      <c r="R106" s="75"/>
      <c r="S106" s="75"/>
      <c r="T106" s="75"/>
      <c r="U106" s="84"/>
      <c r="V106" s="85"/>
      <c r="W106" s="75"/>
      <c r="X106" s="65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65"/>
      <c r="AY106" s="267"/>
      <c r="AZ106" s="33"/>
      <c r="BA106" s="46"/>
      <c r="BB106" s="335"/>
      <c r="BC106" s="336"/>
      <c r="BD106" s="28"/>
      <c r="BE106" s="35"/>
      <c r="BF106" s="35"/>
      <c r="BG106" s="35"/>
    </row>
    <row r="107" spans="1:60" ht="13.5" customHeight="1">
      <c r="A107" s="22"/>
      <c r="B107" s="45"/>
      <c r="C107" s="266"/>
      <c r="D107" s="28"/>
      <c r="E107" s="28"/>
      <c r="F107" s="28"/>
      <c r="G107" s="28"/>
      <c r="H107" s="348" t="s">
        <v>251</v>
      </c>
      <c r="I107" s="131"/>
      <c r="J107" s="131"/>
      <c r="K107" s="131"/>
      <c r="L107" s="132"/>
      <c r="M107" s="132"/>
      <c r="N107" s="106"/>
      <c r="O107" s="133"/>
      <c r="P107" s="134"/>
      <c r="Q107" s="133" t="s">
        <v>250</v>
      </c>
      <c r="R107" s="134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33" t="s">
        <v>43</v>
      </c>
      <c r="AM107" s="134"/>
      <c r="AN107" s="107"/>
      <c r="AO107" s="31"/>
      <c r="AP107" s="31"/>
      <c r="AQ107" s="31"/>
      <c r="AR107" s="31"/>
      <c r="AS107" s="31"/>
      <c r="AT107" s="31"/>
      <c r="AU107" s="31"/>
      <c r="AV107" s="31"/>
      <c r="AW107" s="31"/>
      <c r="AX107" s="65"/>
      <c r="AY107" s="267"/>
      <c r="AZ107" s="33"/>
      <c r="BA107" s="46"/>
      <c r="BB107" s="335"/>
      <c r="BC107" s="336"/>
      <c r="BD107" s="28"/>
      <c r="BE107" s="35"/>
      <c r="BF107" s="35"/>
      <c r="BG107" s="35"/>
    </row>
    <row r="108" spans="1:60" ht="13.5" customHeight="1">
      <c r="A108" s="22"/>
      <c r="B108" s="45"/>
      <c r="C108" s="266"/>
      <c r="D108" s="28"/>
      <c r="E108" s="28"/>
      <c r="F108" s="28"/>
      <c r="G108" s="28"/>
      <c r="H108" s="485" t="s">
        <v>254</v>
      </c>
      <c r="I108" s="137"/>
      <c r="J108" s="137"/>
      <c r="K108" s="137"/>
      <c r="L108" s="137"/>
      <c r="M108" s="137"/>
      <c r="N108" s="137"/>
      <c r="O108" s="350"/>
      <c r="P108" s="139"/>
      <c r="Q108" s="486" t="s">
        <v>53</v>
      </c>
      <c r="R108" s="139"/>
      <c r="S108" s="108"/>
      <c r="T108" s="108"/>
      <c r="U108" s="108"/>
      <c r="V108" s="156"/>
      <c r="W108" s="110"/>
      <c r="X108" s="110"/>
      <c r="Y108" s="156"/>
      <c r="Z108" s="156"/>
      <c r="AA108" s="110"/>
      <c r="AB108" s="110"/>
      <c r="AC108" s="37"/>
      <c r="AD108" s="37"/>
      <c r="AE108" s="37"/>
      <c r="AF108" s="37"/>
      <c r="AG108" s="37"/>
      <c r="AH108" s="37"/>
      <c r="AI108" s="37"/>
      <c r="AJ108" s="37"/>
      <c r="AK108" s="97"/>
      <c r="AL108" s="140"/>
      <c r="AM108" s="141"/>
      <c r="AN108" s="142"/>
      <c r="AO108" s="31"/>
      <c r="AP108" s="31"/>
      <c r="AQ108" s="31"/>
      <c r="AR108" s="31"/>
      <c r="AS108" s="31"/>
      <c r="AT108" s="31"/>
      <c r="AU108" s="31"/>
      <c r="AV108" s="31"/>
      <c r="AW108" s="31"/>
      <c r="AX108" s="65"/>
      <c r="AY108" s="267"/>
      <c r="AZ108" s="33"/>
      <c r="BA108" s="46"/>
      <c r="BB108" s="335"/>
      <c r="BC108" s="336"/>
      <c r="BD108" s="28"/>
      <c r="BE108" s="35"/>
      <c r="BF108" s="35"/>
      <c r="BG108" s="35"/>
    </row>
    <row r="109" spans="1:60" ht="13.5" customHeight="1">
      <c r="A109" s="22"/>
      <c r="B109" s="45"/>
      <c r="C109" s="266"/>
      <c r="D109" s="28"/>
      <c r="E109" s="28"/>
      <c r="F109" s="28"/>
      <c r="G109" s="28"/>
      <c r="H109" s="485" t="s">
        <v>255</v>
      </c>
      <c r="I109" s="137"/>
      <c r="J109" s="137"/>
      <c r="K109" s="137"/>
      <c r="L109" s="137"/>
      <c r="M109" s="137"/>
      <c r="N109" s="137"/>
      <c r="O109" s="350"/>
      <c r="P109" s="139"/>
      <c r="Q109" s="486" t="s">
        <v>53</v>
      </c>
      <c r="R109" s="139"/>
      <c r="S109" s="108"/>
      <c r="T109" s="108"/>
      <c r="U109" s="108"/>
      <c r="V109" s="156"/>
      <c r="W109" s="110"/>
      <c r="X109" s="110"/>
      <c r="Y109" s="156"/>
      <c r="Z109" s="156"/>
      <c r="AA109" s="110"/>
      <c r="AB109" s="110"/>
      <c r="AC109" s="37"/>
      <c r="AD109" s="37"/>
      <c r="AE109" s="37"/>
      <c r="AF109" s="37"/>
      <c r="AG109" s="37"/>
      <c r="AH109" s="37"/>
      <c r="AI109" s="37"/>
      <c r="AJ109" s="37"/>
      <c r="AK109" s="97"/>
      <c r="AL109" s="140"/>
      <c r="AM109" s="141"/>
      <c r="AN109" s="142"/>
      <c r="AO109" s="31"/>
      <c r="AP109" s="31"/>
      <c r="AQ109" s="31"/>
      <c r="AR109" s="31"/>
      <c r="AS109" s="31"/>
      <c r="AT109" s="31"/>
      <c r="AU109" s="31"/>
      <c r="AV109" s="31"/>
      <c r="AW109" s="31"/>
      <c r="AX109" s="65"/>
      <c r="AY109" s="267"/>
      <c r="AZ109" s="33"/>
      <c r="BA109" s="46"/>
      <c r="BB109" s="335"/>
      <c r="BC109" s="336"/>
      <c r="BD109" s="28"/>
      <c r="BE109" s="35"/>
      <c r="BF109" s="35"/>
      <c r="BG109" s="35"/>
    </row>
    <row r="110" spans="1:60" ht="13.5" customHeight="1">
      <c r="A110" s="22"/>
      <c r="B110" s="45"/>
      <c r="C110" s="266"/>
      <c r="D110" s="28"/>
      <c r="E110" s="28"/>
      <c r="F110" s="28"/>
      <c r="G110" s="28"/>
      <c r="H110" s="485" t="s">
        <v>256</v>
      </c>
      <c r="I110" s="137"/>
      <c r="J110" s="137"/>
      <c r="K110" s="137"/>
      <c r="L110" s="137"/>
      <c r="M110" s="137"/>
      <c r="N110" s="137"/>
      <c r="O110" s="350"/>
      <c r="P110" s="139"/>
      <c r="Q110" s="486" t="s">
        <v>53</v>
      </c>
      <c r="R110" s="139"/>
      <c r="S110" s="108"/>
      <c r="T110" s="108"/>
      <c r="U110" s="108"/>
      <c r="V110" s="156"/>
      <c r="W110" s="110"/>
      <c r="X110" s="110"/>
      <c r="Y110" s="156"/>
      <c r="Z110" s="156"/>
      <c r="AA110" s="110"/>
      <c r="AB110" s="110"/>
      <c r="AC110" s="37"/>
      <c r="AD110" s="37"/>
      <c r="AE110" s="37"/>
      <c r="AF110" s="37"/>
      <c r="AG110" s="37"/>
      <c r="AH110" s="37"/>
      <c r="AI110" s="37"/>
      <c r="AJ110" s="37"/>
      <c r="AK110" s="97"/>
      <c r="AL110" s="140"/>
      <c r="AM110" s="141"/>
      <c r="AN110" s="142"/>
      <c r="AO110" s="31"/>
      <c r="AP110" s="31"/>
      <c r="AQ110" s="31"/>
      <c r="AR110" s="31"/>
      <c r="AS110" s="31"/>
      <c r="AT110" s="31"/>
      <c r="AU110" s="31"/>
      <c r="AV110" s="31"/>
      <c r="AW110" s="31"/>
      <c r="AX110" s="65"/>
      <c r="AY110" s="267"/>
      <c r="AZ110" s="33"/>
      <c r="BA110" s="46"/>
      <c r="BB110" s="335"/>
      <c r="BC110" s="336"/>
      <c r="BD110" s="28"/>
      <c r="BE110" s="35"/>
      <c r="BF110" s="35"/>
      <c r="BG110" s="35"/>
    </row>
    <row r="111" spans="1:60" ht="5.15" customHeight="1">
      <c r="A111" s="22"/>
      <c r="B111" s="202"/>
      <c r="C111" s="315"/>
      <c r="D111" s="73"/>
      <c r="E111" s="73"/>
      <c r="F111" s="73"/>
      <c r="G111" s="73"/>
      <c r="H111" s="316"/>
      <c r="I111" s="275"/>
      <c r="J111" s="273"/>
      <c r="K111" s="275"/>
      <c r="L111" s="273"/>
      <c r="M111" s="317"/>
      <c r="N111" s="317"/>
      <c r="O111" s="270"/>
      <c r="P111" s="317"/>
      <c r="Q111" s="270"/>
      <c r="R111" s="317"/>
      <c r="S111" s="73"/>
      <c r="T111" s="73"/>
      <c r="U111" s="73"/>
      <c r="V111" s="73"/>
      <c r="W111" s="73"/>
      <c r="X111" s="316"/>
      <c r="Y111" s="275"/>
      <c r="Z111" s="273"/>
      <c r="AA111" s="275"/>
      <c r="AB111" s="273"/>
      <c r="AC111" s="317"/>
      <c r="AD111" s="317"/>
      <c r="AE111" s="270"/>
      <c r="AF111" s="317"/>
      <c r="AG111" s="270"/>
      <c r="AH111" s="317"/>
      <c r="AI111" s="276"/>
      <c r="AJ111" s="317"/>
      <c r="AK111" s="270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318"/>
      <c r="AW111" s="73"/>
      <c r="AX111" s="73"/>
      <c r="AY111" s="277"/>
      <c r="AZ111" s="33"/>
      <c r="BA111" s="46"/>
      <c r="BB111" s="335"/>
      <c r="BC111" s="336"/>
      <c r="BD111" s="28"/>
    </row>
    <row r="112" spans="1:60" ht="14.15" customHeight="1">
      <c r="A112" s="22"/>
      <c r="B112" s="202">
        <v>35</v>
      </c>
      <c r="C112" s="331"/>
      <c r="D112" s="332"/>
      <c r="E112" s="65"/>
      <c r="F112" s="65"/>
      <c r="G112" s="65"/>
      <c r="H112" s="65"/>
      <c r="I112" s="65"/>
      <c r="J112" s="969"/>
      <c r="K112" s="969"/>
      <c r="L112" s="969"/>
      <c r="M112" s="969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125"/>
      <c r="AU112" s="65"/>
      <c r="AV112" s="65"/>
      <c r="AW112" s="65"/>
      <c r="AX112" s="65"/>
      <c r="AY112" s="65"/>
      <c r="AZ112" s="33"/>
      <c r="BA112" s="46"/>
      <c r="BB112" s="78"/>
      <c r="BC112" s="34"/>
      <c r="BD112" s="28"/>
      <c r="BG112" s="24"/>
      <c r="BH112" s="28"/>
    </row>
    <row r="113" spans="1:69" ht="13.5" customHeight="1">
      <c r="A113" s="22"/>
      <c r="B113" s="202">
        <v>36</v>
      </c>
      <c r="C113" s="331"/>
      <c r="D113" s="332"/>
      <c r="E113" s="65"/>
      <c r="F113" s="65"/>
      <c r="G113" s="65"/>
      <c r="H113" s="65"/>
      <c r="I113" s="65"/>
      <c r="J113" s="969"/>
      <c r="K113" s="969"/>
      <c r="L113" s="969"/>
      <c r="M113" s="969"/>
      <c r="N113" s="63"/>
      <c r="O113" s="65"/>
      <c r="P113" s="65"/>
      <c r="Q113" s="65"/>
      <c r="R113" s="28"/>
      <c r="S113" s="28"/>
      <c r="T113" s="31"/>
      <c r="U113" s="31"/>
      <c r="V113" s="31"/>
      <c r="W113" s="31"/>
      <c r="X113" s="31"/>
      <c r="Y113" s="44"/>
      <c r="Z113" s="31"/>
      <c r="AA113" s="28"/>
      <c r="AB113" s="44"/>
      <c r="AC113" s="31"/>
      <c r="AD113" s="28"/>
      <c r="AE113" s="44"/>
      <c r="AF113" s="28"/>
      <c r="AG113" s="116"/>
      <c r="AH113" s="41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6"/>
      <c r="AU113" s="116"/>
      <c r="AV113" s="116"/>
      <c r="AW113" s="116"/>
      <c r="AX113" s="116"/>
      <c r="AY113" s="116"/>
      <c r="AZ113" s="33"/>
      <c r="BA113" s="46"/>
      <c r="BB113" s="78"/>
      <c r="BC113" s="34"/>
      <c r="BD113" s="28"/>
      <c r="BG113" s="24"/>
      <c r="BH113" s="28"/>
    </row>
    <row r="114" spans="1:69" ht="13.5" customHeight="1">
      <c r="A114" s="22"/>
      <c r="B114" s="202">
        <v>37</v>
      </c>
      <c r="C114" s="331"/>
      <c r="D114" s="332"/>
      <c r="E114" s="65"/>
      <c r="F114" s="65"/>
      <c r="G114" s="65"/>
      <c r="H114" s="65"/>
      <c r="I114" s="65"/>
      <c r="J114" s="969"/>
      <c r="K114" s="969"/>
      <c r="L114" s="969"/>
      <c r="M114" s="969"/>
      <c r="N114" s="193"/>
      <c r="O114" s="195"/>
      <c r="P114" s="193"/>
      <c r="Q114" s="194"/>
      <c r="R114" s="194"/>
      <c r="S114" s="194"/>
      <c r="T114" s="196"/>
      <c r="U114" s="196"/>
      <c r="V114" s="196"/>
      <c r="W114" s="196"/>
      <c r="X114" s="196"/>
      <c r="Y114" s="195"/>
      <c r="Z114" s="196"/>
      <c r="AA114" s="194"/>
      <c r="AB114" s="195"/>
      <c r="AC114" s="196"/>
      <c r="AD114" s="194"/>
      <c r="AE114" s="195"/>
      <c r="AF114" s="194"/>
      <c r="AG114" s="194"/>
      <c r="AH114" s="195"/>
      <c r="AI114" s="194"/>
      <c r="AJ114" s="194"/>
      <c r="AK114" s="197"/>
      <c r="AL114" s="194"/>
      <c r="AM114" s="194"/>
      <c r="AN114" s="194"/>
      <c r="AO114" s="194"/>
      <c r="AP114" s="194"/>
      <c r="AQ114" s="194"/>
      <c r="AR114" s="194"/>
      <c r="AS114" s="194"/>
      <c r="AT114" s="194"/>
      <c r="AU114" s="194"/>
      <c r="AV114" s="194"/>
      <c r="AW114" s="194"/>
      <c r="AX114" s="194"/>
      <c r="AY114" s="194"/>
      <c r="AZ114" s="33"/>
      <c r="BA114" s="46"/>
      <c r="BB114" s="78"/>
      <c r="BC114" s="34"/>
      <c r="BD114" s="28"/>
      <c r="BG114" s="24"/>
      <c r="BH114" s="28"/>
    </row>
    <row r="115" spans="1:69">
      <c r="A115" s="22"/>
      <c r="B115" s="32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81"/>
      <c r="T115" s="81"/>
      <c r="U115" s="81"/>
      <c r="V115" s="81"/>
      <c r="W115" s="28"/>
      <c r="X115" s="28"/>
      <c r="Y115" s="81"/>
      <c r="Z115" s="81"/>
      <c r="AA115" s="28"/>
      <c r="AB115" s="28"/>
      <c r="AC115" s="28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31"/>
      <c r="AZ115" s="33"/>
      <c r="BA115" s="46"/>
      <c r="BB115" s="78"/>
      <c r="BC115" s="34"/>
    </row>
    <row r="116" spans="1:69" s="81" customFormat="1">
      <c r="A116" s="155"/>
      <c r="B116" s="95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56"/>
      <c r="T116" s="156"/>
      <c r="U116" s="156"/>
      <c r="V116" s="156"/>
      <c r="W116" s="110"/>
      <c r="X116" s="110"/>
      <c r="Y116" s="156"/>
      <c r="Z116" s="156"/>
      <c r="AA116" s="110"/>
      <c r="AB116" s="110"/>
      <c r="AC116" s="110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156"/>
      <c r="AV116" s="156"/>
      <c r="AW116" s="156"/>
      <c r="AX116" s="156"/>
      <c r="AY116" s="95"/>
      <c r="AZ116" s="95"/>
      <c r="BA116" s="157"/>
      <c r="BB116" s="79"/>
      <c r="BC116" s="40"/>
      <c r="BE116" s="28"/>
      <c r="BF116" s="28"/>
      <c r="BG116" s="28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</row>
  </sheetData>
  <mergeCells count="107">
    <mergeCell ref="AW69:AZ69"/>
    <mergeCell ref="T73:W73"/>
    <mergeCell ref="X73:AA73"/>
    <mergeCell ref="AG73:AJ73"/>
    <mergeCell ref="AK73:AN73"/>
    <mergeCell ref="AO73:AR73"/>
    <mergeCell ref="AS73:AV73"/>
    <mergeCell ref="AW73:AZ73"/>
    <mergeCell ref="T69:W69"/>
    <mergeCell ref="X69:AA69"/>
    <mergeCell ref="AG69:AJ69"/>
    <mergeCell ref="AK69:AN69"/>
    <mergeCell ref="AO69:AR69"/>
    <mergeCell ref="J104:M104"/>
    <mergeCell ref="AP51:AS51"/>
    <mergeCell ref="T74:W74"/>
    <mergeCell ref="BJ50:BM50"/>
    <mergeCell ref="BH65:BK65"/>
    <mergeCell ref="AG74:AJ74"/>
    <mergeCell ref="AO66:AR66"/>
    <mergeCell ref="AK66:AN66"/>
    <mergeCell ref="AG66:AJ66"/>
    <mergeCell ref="AB66:AF66"/>
    <mergeCell ref="X66:AA66"/>
    <mergeCell ref="T66:W66"/>
    <mergeCell ref="BB50:BE50"/>
    <mergeCell ref="BB51:BE51"/>
    <mergeCell ref="BF50:BI50"/>
    <mergeCell ref="BF51:BI51"/>
    <mergeCell ref="AW66:AZ66"/>
    <mergeCell ref="BA65:BD65"/>
    <mergeCell ref="BE65:BG65"/>
    <mergeCell ref="AX51:BA51"/>
    <mergeCell ref="T65:W65"/>
    <mergeCell ref="X65:AA65"/>
    <mergeCell ref="AB65:AF65"/>
    <mergeCell ref="AS69:AV69"/>
    <mergeCell ref="J114:M114"/>
    <mergeCell ref="BA66:BD66"/>
    <mergeCell ref="BE66:BG66"/>
    <mergeCell ref="X74:AA74"/>
    <mergeCell ref="AK74:AN74"/>
    <mergeCell ref="AO74:AR74"/>
    <mergeCell ref="AS74:AV74"/>
    <mergeCell ref="AW74:AZ74"/>
    <mergeCell ref="J78:M78"/>
    <mergeCell ref="J80:M80"/>
    <mergeCell ref="J87:M87"/>
    <mergeCell ref="J112:M112"/>
    <mergeCell ref="J113:M113"/>
    <mergeCell ref="AS66:AV66"/>
    <mergeCell ref="J88:M88"/>
    <mergeCell ref="J90:M90"/>
    <mergeCell ref="AS70:AV70"/>
    <mergeCell ref="AW70:AZ70"/>
    <mergeCell ref="T70:W70"/>
    <mergeCell ref="X70:AA70"/>
    <mergeCell ref="AG70:AJ70"/>
    <mergeCell ref="AK70:AN70"/>
    <mergeCell ref="AO70:AR70"/>
    <mergeCell ref="J96:M96"/>
    <mergeCell ref="AG65:AJ65"/>
    <mergeCell ref="AK65:AN65"/>
    <mergeCell ref="AO65:AR65"/>
    <mergeCell ref="AS65:AV65"/>
    <mergeCell ref="AW65:AZ65"/>
    <mergeCell ref="R51:U51"/>
    <mergeCell ref="Z51:AC51"/>
    <mergeCell ref="AT51:AW51"/>
    <mergeCell ref="AH51:AK51"/>
    <mergeCell ref="AL51:AO51"/>
    <mergeCell ref="AV3:AY3"/>
    <mergeCell ref="A5:BA5"/>
    <mergeCell ref="BB5:BC5"/>
    <mergeCell ref="R50:U50"/>
    <mergeCell ref="Z50:AC50"/>
    <mergeCell ref="AT50:AW50"/>
    <mergeCell ref="AX50:BA50"/>
    <mergeCell ref="AH50:AK50"/>
    <mergeCell ref="AL50:AO50"/>
    <mergeCell ref="AP50:AS50"/>
    <mergeCell ref="H41:L41"/>
    <mergeCell ref="H42:L42"/>
    <mergeCell ref="AN1:AR1"/>
    <mergeCell ref="AS1:AU1"/>
    <mergeCell ref="AV1:AY1"/>
    <mergeCell ref="AZ1:BC1"/>
    <mergeCell ref="A2:H2"/>
    <mergeCell ref="I2:L2"/>
    <mergeCell ref="M2:W2"/>
    <mergeCell ref="AK2:AM2"/>
    <mergeCell ref="AN2:AR2"/>
    <mergeCell ref="AS2:AU2"/>
    <mergeCell ref="A1:H1"/>
    <mergeCell ref="I1:L1"/>
    <mergeCell ref="M1:W1"/>
    <mergeCell ref="X1:Z2"/>
    <mergeCell ref="AA1:AJ2"/>
    <mergeCell ref="AK1:AM1"/>
    <mergeCell ref="AV2:AY2"/>
    <mergeCell ref="AZ2:BC3"/>
    <mergeCell ref="A3:H3"/>
    <mergeCell ref="I3:L3"/>
    <mergeCell ref="M3:W3"/>
    <mergeCell ref="X3:Z3"/>
    <mergeCell ref="AA3:AR3"/>
    <mergeCell ref="AS3:AU3"/>
  </mergeCells>
  <phoneticPr fontId="57"/>
  <conditionalFormatting sqref="AO69:AR70">
    <cfRule type="cellIs" dxfId="24" priority="3" operator="lessThan">
      <formula>0</formula>
    </cfRule>
    <cfRule type="expression" dxfId="23" priority="4">
      <formula>#REF!&lt;30</formula>
    </cfRule>
  </conditionalFormatting>
  <conditionalFormatting sqref="AO73:AR74">
    <cfRule type="cellIs" dxfId="22" priority="1" operator="lessThan">
      <formula>0</formula>
    </cfRule>
    <cfRule type="expression" dxfId="21" priority="2">
      <formula>#REF!&lt;30</formula>
    </cfRule>
  </conditionalFormatting>
  <conditionalFormatting sqref="AS65:AV66">
    <cfRule type="cellIs" dxfId="20" priority="8" operator="lessThan">
      <formula>0</formula>
    </cfRule>
  </conditionalFormatting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C837-CC74-4F4E-AF36-58ED36486169}">
  <dimension ref="A1:CM150"/>
  <sheetViews>
    <sheetView showGridLines="0" topLeftCell="A5" zoomScaleNormal="100" zoomScaleSheetLayoutView="100" workbookViewId="0">
      <pane ySplit="2" topLeftCell="A7" activePane="bottomLeft" state="frozen"/>
      <selection activeCell="Z20" sqref="Z20"/>
      <selection pane="bottomLeft" activeCell="Z20" sqref="Z20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81" customWidth="1"/>
    <col min="57" max="59" width="2.6328125" style="28" customWidth="1"/>
    <col min="60" max="128" width="2.6328125" style="35" customWidth="1"/>
    <col min="129" max="16384" width="9" style="35"/>
  </cols>
  <sheetData>
    <row r="1" spans="1:59" ht="12" customHeight="1">
      <c r="A1" s="754" t="s">
        <v>4</v>
      </c>
      <c r="B1" s="754"/>
      <c r="C1" s="754"/>
      <c r="D1" s="754"/>
      <c r="E1" s="754"/>
      <c r="F1" s="754"/>
      <c r="G1" s="754"/>
      <c r="H1" s="754"/>
      <c r="I1" s="737" t="s">
        <v>5</v>
      </c>
      <c r="J1" s="737"/>
      <c r="K1" s="737"/>
      <c r="L1" s="737"/>
      <c r="M1" s="752" t="str">
        <f>変更来歴!M1</f>
        <v>ヒロセ電機株式会社</v>
      </c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37" t="s">
        <v>7</v>
      </c>
      <c r="Y1" s="737"/>
      <c r="Z1" s="737"/>
      <c r="AA1" s="756" t="str">
        <f>変更来歴!AA1</f>
        <v>化学物質データ申請</v>
      </c>
      <c r="AB1" s="756"/>
      <c r="AC1" s="756"/>
      <c r="AD1" s="756"/>
      <c r="AE1" s="756"/>
      <c r="AF1" s="756"/>
      <c r="AG1" s="756"/>
      <c r="AH1" s="756"/>
      <c r="AI1" s="756"/>
      <c r="AJ1" s="756"/>
      <c r="AK1" s="741" t="s">
        <v>8</v>
      </c>
      <c r="AL1" s="741"/>
      <c r="AM1" s="741"/>
      <c r="AN1" s="742" t="str">
        <f>変更来歴!AP7</f>
        <v>古竹</v>
      </c>
      <c r="AO1" s="742"/>
      <c r="AP1" s="742"/>
      <c r="AQ1" s="742"/>
      <c r="AR1" s="742"/>
      <c r="AS1" s="741" t="s">
        <v>9</v>
      </c>
      <c r="AT1" s="741"/>
      <c r="AU1" s="741"/>
      <c r="AV1" s="744">
        <f>変更来歴!AL7</f>
        <v>46125</v>
      </c>
      <c r="AW1" s="757"/>
      <c r="AX1" s="757"/>
      <c r="AY1" s="757"/>
      <c r="AZ1" s="733" t="s">
        <v>10</v>
      </c>
      <c r="BA1" s="734"/>
      <c r="BB1" s="734"/>
      <c r="BC1" s="735"/>
    </row>
    <row r="2" spans="1:59">
      <c r="A2" s="736" t="s">
        <v>16</v>
      </c>
      <c r="B2" s="736"/>
      <c r="C2" s="736"/>
      <c r="D2" s="736"/>
      <c r="E2" s="736"/>
      <c r="F2" s="736"/>
      <c r="G2" s="736"/>
      <c r="H2" s="736"/>
      <c r="I2" s="737" t="s">
        <v>11</v>
      </c>
      <c r="J2" s="737"/>
      <c r="K2" s="737"/>
      <c r="L2" s="737"/>
      <c r="M2" s="791" t="str">
        <f>変更来歴!M2</f>
        <v>新環境証明書システム移行</v>
      </c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37"/>
      <c r="Y2" s="737"/>
      <c r="Z2" s="737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41" t="s">
        <v>12</v>
      </c>
      <c r="AL2" s="741"/>
      <c r="AM2" s="741"/>
      <c r="AN2" s="742" t="str">
        <f ca="1">INDIRECT("変更来歴!AP" &amp; COUNTA(変更来歴!AP7:'変更来歴'!AP39) + 6)</f>
        <v>古竹</v>
      </c>
      <c r="AO2" s="742"/>
      <c r="AP2" s="742"/>
      <c r="AQ2" s="742"/>
      <c r="AR2" s="742"/>
      <c r="AS2" s="741" t="s">
        <v>13</v>
      </c>
      <c r="AT2" s="741"/>
      <c r="AU2" s="741"/>
      <c r="AV2" s="744">
        <f ca="1">INDIRECT("変更来歴!AL" &amp; COUNTA(変更来歴!AL7:'変更来歴'!AL39) + 6)</f>
        <v>46190</v>
      </c>
      <c r="AW2" s="757"/>
      <c r="AX2" s="757"/>
      <c r="AY2" s="757"/>
      <c r="AZ2" s="745" t="str">
        <f>変更来歴!AX2</f>
        <v>IMWF-53</v>
      </c>
      <c r="BA2" s="746"/>
      <c r="BB2" s="746"/>
      <c r="BC2" s="747"/>
    </row>
    <row r="3" spans="1:59" ht="12" customHeight="1">
      <c r="A3" s="751" t="str">
        <f>変更来歴!A3</f>
        <v>画面設計書</v>
      </c>
      <c r="B3" s="751"/>
      <c r="C3" s="751"/>
      <c r="D3" s="751"/>
      <c r="E3" s="751"/>
      <c r="F3" s="751"/>
      <c r="G3" s="751"/>
      <c r="H3" s="751"/>
      <c r="I3" s="737" t="s">
        <v>14</v>
      </c>
      <c r="J3" s="737"/>
      <c r="K3" s="737"/>
      <c r="L3" s="737"/>
      <c r="M3" s="752" t="str">
        <f ca="1">RIGHT(CELL("filename",A1),LEN(CELL("filename",A1))-FIND("]",CELL("filename",A1)))</f>
        <v>外貨(PPM)</v>
      </c>
      <c r="N3" s="752"/>
      <c r="O3" s="752"/>
      <c r="P3" s="752"/>
      <c r="Q3" s="752"/>
      <c r="R3" s="752"/>
      <c r="S3" s="752"/>
      <c r="T3" s="752"/>
      <c r="U3" s="752"/>
      <c r="V3" s="752"/>
      <c r="W3" s="752"/>
      <c r="X3" s="737" t="s">
        <v>27</v>
      </c>
      <c r="Y3" s="737"/>
      <c r="Z3" s="737"/>
      <c r="AA3" s="753" t="str">
        <f ca="1">MID(CELL("filename"),FIND("]",CELL("filename"))+1,LEN(CELL("filename"))) &amp; "画面"</f>
        <v>表紙画面</v>
      </c>
      <c r="AB3" s="753"/>
      <c r="AC3" s="753"/>
      <c r="AD3" s="753"/>
      <c r="AE3" s="753"/>
      <c r="AF3" s="753"/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41" t="s">
        <v>15</v>
      </c>
      <c r="AT3" s="741"/>
      <c r="AU3" s="741"/>
      <c r="AV3" s="757" t="str">
        <f ca="1">INDIRECT("変更来歴!A" &amp; COUNTA(変更来歴!A7:'変更来歴'!A39) + 6)</f>
        <v>dr1.5</v>
      </c>
      <c r="AW3" s="757"/>
      <c r="AX3" s="757"/>
      <c r="AY3" s="757"/>
      <c r="AZ3" s="748"/>
      <c r="BA3" s="749"/>
      <c r="BB3" s="749"/>
      <c r="BC3" s="750"/>
    </row>
    <row r="4" spans="1:59" ht="5.9" customHeight="1"/>
    <row r="5" spans="1:59" ht="13.5" customHeight="1">
      <c r="A5" s="792" t="str">
        <f ca="1">"画面レイアウト"&amp;"("&amp;MID(CELL("filename"),FIND("]",CELL("filename"))+1,LEN(CELL("filename")))&amp;")"</f>
        <v>画面レイアウト(表紙)</v>
      </c>
      <c r="B5" s="793"/>
      <c r="C5" s="793"/>
      <c r="D5" s="793"/>
      <c r="E5" s="793"/>
      <c r="F5" s="793"/>
      <c r="G5" s="793"/>
      <c r="H5" s="793"/>
      <c r="I5" s="793"/>
      <c r="J5" s="793"/>
      <c r="K5" s="793"/>
      <c r="L5" s="793"/>
      <c r="M5" s="793"/>
      <c r="N5" s="793"/>
      <c r="O5" s="793"/>
      <c r="P5" s="793"/>
      <c r="Q5" s="793"/>
      <c r="R5" s="793"/>
      <c r="S5" s="793"/>
      <c r="T5" s="793"/>
      <c r="U5" s="793"/>
      <c r="V5" s="793"/>
      <c r="W5" s="793"/>
      <c r="X5" s="793"/>
      <c r="Y5" s="793"/>
      <c r="Z5" s="793"/>
      <c r="AA5" s="793"/>
      <c r="AB5" s="793"/>
      <c r="AC5" s="793"/>
      <c r="AD5" s="793"/>
      <c r="AE5" s="793"/>
      <c r="AF5" s="793"/>
      <c r="AG5" s="793"/>
      <c r="AH5" s="793"/>
      <c r="AI5" s="793"/>
      <c r="AJ5" s="793"/>
      <c r="AK5" s="793"/>
      <c r="AL5" s="793"/>
      <c r="AM5" s="793"/>
      <c r="AN5" s="793"/>
      <c r="AO5" s="793"/>
      <c r="AP5" s="793"/>
      <c r="AQ5" s="793"/>
      <c r="AR5" s="793"/>
      <c r="AS5" s="793"/>
      <c r="AT5" s="793"/>
      <c r="AU5" s="793"/>
      <c r="AV5" s="793"/>
      <c r="AW5" s="793"/>
      <c r="AX5" s="793"/>
      <c r="AY5" s="793"/>
      <c r="AZ5" s="793"/>
      <c r="BA5" s="794"/>
      <c r="BB5" s="784" t="s">
        <v>24</v>
      </c>
      <c r="BC5" s="785"/>
      <c r="BD5" s="28"/>
    </row>
    <row r="6" spans="1:59" ht="13.5" customHeight="1">
      <c r="A6" s="27"/>
      <c r="B6" s="186">
        <v>1</v>
      </c>
      <c r="C6" s="186">
        <v>2</v>
      </c>
      <c r="D6" s="186">
        <v>3</v>
      </c>
      <c r="E6" s="186">
        <v>4</v>
      </c>
      <c r="F6" s="186">
        <v>5</v>
      </c>
      <c r="G6" s="186">
        <v>6</v>
      </c>
      <c r="H6" s="186">
        <v>7</v>
      </c>
      <c r="I6" s="186">
        <v>8</v>
      </c>
      <c r="J6" s="186">
        <v>9</v>
      </c>
      <c r="K6" s="186">
        <v>10</v>
      </c>
      <c r="L6" s="186">
        <v>11</v>
      </c>
      <c r="M6" s="186">
        <v>12</v>
      </c>
      <c r="N6" s="186">
        <v>13</v>
      </c>
      <c r="O6" s="186">
        <v>14</v>
      </c>
      <c r="P6" s="186">
        <v>15</v>
      </c>
      <c r="Q6" s="186">
        <v>16</v>
      </c>
      <c r="R6" s="186">
        <v>17</v>
      </c>
      <c r="S6" s="188">
        <v>18</v>
      </c>
      <c r="T6" s="188">
        <v>19</v>
      </c>
      <c r="U6" s="188">
        <v>20</v>
      </c>
      <c r="V6" s="188">
        <v>21</v>
      </c>
      <c r="W6" s="188">
        <v>22</v>
      </c>
      <c r="X6" s="188">
        <v>23</v>
      </c>
      <c r="Y6" s="188">
        <v>24</v>
      </c>
      <c r="Z6" s="188">
        <v>25</v>
      </c>
      <c r="AA6" s="188">
        <v>26</v>
      </c>
      <c r="AB6" s="188">
        <v>27</v>
      </c>
      <c r="AC6" s="188">
        <v>28</v>
      </c>
      <c r="AD6" s="188">
        <v>29</v>
      </c>
      <c r="AE6" s="188">
        <v>30</v>
      </c>
      <c r="AF6" s="188">
        <v>31</v>
      </c>
      <c r="AG6" s="188">
        <v>32</v>
      </c>
      <c r="AH6" s="188">
        <v>33</v>
      </c>
      <c r="AI6" s="188">
        <v>34</v>
      </c>
      <c r="AJ6" s="187">
        <v>35</v>
      </c>
      <c r="AK6" s="187">
        <v>36</v>
      </c>
      <c r="AL6" s="187">
        <v>37</v>
      </c>
      <c r="AM6" s="187">
        <v>38</v>
      </c>
      <c r="AN6" s="187">
        <v>39</v>
      </c>
      <c r="AO6" s="187">
        <v>40</v>
      </c>
      <c r="AP6" s="187">
        <v>41</v>
      </c>
      <c r="AQ6" s="187">
        <v>42</v>
      </c>
      <c r="AR6" s="187">
        <v>43</v>
      </c>
      <c r="AS6" s="187">
        <v>44</v>
      </c>
      <c r="AT6" s="187">
        <v>45</v>
      </c>
      <c r="AU6" s="187">
        <v>46</v>
      </c>
      <c r="AV6" s="187">
        <v>47</v>
      </c>
      <c r="AW6" s="187">
        <v>48</v>
      </c>
      <c r="AX6" s="187">
        <v>49</v>
      </c>
      <c r="AY6" s="187">
        <v>50</v>
      </c>
      <c r="AZ6" s="187">
        <v>51</v>
      </c>
      <c r="BA6" s="21"/>
      <c r="BB6" s="77"/>
      <c r="BC6" s="42"/>
      <c r="BD6" s="28"/>
    </row>
    <row r="7" spans="1:59" ht="18.75" customHeight="1">
      <c r="A7" s="29"/>
      <c r="B7" s="47" t="s">
        <v>289</v>
      </c>
      <c r="C7" s="36"/>
      <c r="D7" s="36"/>
      <c r="E7" s="36"/>
      <c r="F7" s="36"/>
      <c r="G7" s="36"/>
      <c r="H7" s="48"/>
      <c r="I7" s="36"/>
      <c r="J7" s="48"/>
      <c r="K7" s="36"/>
      <c r="L7" s="36"/>
      <c r="M7" s="36"/>
      <c r="N7" s="48"/>
      <c r="O7" s="48" t="s">
        <v>285</v>
      </c>
      <c r="P7" s="36"/>
      <c r="Q7" s="36"/>
      <c r="R7" s="36"/>
      <c r="S7" s="49" t="s">
        <v>284</v>
      </c>
      <c r="T7" s="36"/>
      <c r="U7" s="36"/>
      <c r="V7" s="36"/>
      <c r="W7" s="36"/>
      <c r="X7" s="36"/>
      <c r="Y7" s="49"/>
      <c r="Z7" s="36"/>
      <c r="AA7" s="36"/>
      <c r="AB7" s="36"/>
      <c r="AC7" s="36"/>
      <c r="AD7" s="36"/>
      <c r="AE7" s="49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0"/>
      <c r="AX7" s="50"/>
      <c r="AY7" s="50"/>
      <c r="AZ7" s="51"/>
      <c r="BA7" s="80" t="s">
        <v>29</v>
      </c>
      <c r="BB7" s="78"/>
      <c r="BC7" s="34"/>
      <c r="BD7" s="28"/>
    </row>
    <row r="8" spans="1:59" ht="18" customHeight="1">
      <c r="A8" s="29"/>
      <c r="B8" s="176"/>
      <c r="C8" s="177"/>
      <c r="D8" s="177"/>
      <c r="E8" s="177" t="s">
        <v>47</v>
      </c>
      <c r="F8" s="177"/>
      <c r="G8" s="177"/>
      <c r="H8" s="178"/>
      <c r="I8" s="178"/>
      <c r="J8" s="178"/>
      <c r="K8" s="178"/>
      <c r="L8" s="179"/>
      <c r="M8" s="178"/>
      <c r="N8" s="57"/>
      <c r="O8" s="57"/>
      <c r="P8" s="179"/>
      <c r="Q8" s="57"/>
      <c r="R8" s="57"/>
      <c r="S8" s="57"/>
      <c r="T8" s="180"/>
      <c r="U8" s="180"/>
      <c r="V8" s="180"/>
      <c r="W8" s="180"/>
      <c r="X8" s="181"/>
      <c r="Y8" s="178"/>
      <c r="Z8" s="178"/>
      <c r="AA8" s="178"/>
      <c r="AB8" s="179"/>
      <c r="AC8" s="178"/>
      <c r="AD8" s="57"/>
      <c r="AE8" s="57"/>
      <c r="AF8" s="179"/>
      <c r="AG8" s="177"/>
      <c r="AH8" s="177"/>
      <c r="AI8" s="182"/>
      <c r="AJ8" s="55"/>
      <c r="AK8" s="55"/>
      <c r="AL8" s="55"/>
      <c r="AM8" s="55"/>
      <c r="AN8" s="183"/>
      <c r="AO8" s="184"/>
      <c r="AP8" s="184"/>
      <c r="AQ8" s="55"/>
      <c r="AR8" s="55"/>
      <c r="AS8" s="55"/>
      <c r="AT8" s="56"/>
      <c r="AU8" s="55"/>
      <c r="AV8" s="57"/>
      <c r="AW8" s="57"/>
      <c r="AX8" s="57"/>
      <c r="AY8" s="177"/>
      <c r="AZ8" s="185"/>
      <c r="BA8" s="143"/>
      <c r="BB8" s="78"/>
      <c r="BC8" s="34"/>
      <c r="BD8" s="28"/>
    </row>
    <row r="9" spans="1:59" ht="13.5" customHeight="1">
      <c r="A9" s="22"/>
      <c r="B9" s="20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3"/>
      <c r="BA9" s="46"/>
      <c r="BB9" s="78"/>
      <c r="BC9" s="34"/>
      <c r="BD9" s="28"/>
    </row>
    <row r="10" spans="1:59" ht="13.5" customHeight="1">
      <c r="A10" s="22"/>
      <c r="B10" s="201"/>
      <c r="C10" s="43" t="s">
        <v>48</v>
      </c>
      <c r="D10" s="31"/>
      <c r="E10" s="31"/>
      <c r="F10" s="31" t="s">
        <v>52</v>
      </c>
      <c r="G10" s="31"/>
      <c r="H10" s="127" t="s">
        <v>51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63"/>
      <c r="U10" s="63"/>
      <c r="V10" s="63"/>
      <c r="W10" s="63"/>
      <c r="X10" s="62"/>
      <c r="Y10" s="63"/>
      <c r="Z10" s="63"/>
      <c r="AA10" s="63"/>
      <c r="AB10" s="64"/>
      <c r="AC10" s="63"/>
      <c r="AD10" s="65"/>
      <c r="AE10" s="65"/>
      <c r="AF10" s="65"/>
      <c r="AG10" s="65"/>
      <c r="AH10" s="65"/>
      <c r="AI10" s="75"/>
      <c r="AJ10" s="63"/>
      <c r="AK10" s="63"/>
      <c r="AL10" s="63"/>
      <c r="AM10" s="63"/>
      <c r="AN10" s="125"/>
      <c r="AO10" s="62"/>
      <c r="AP10" s="62"/>
      <c r="AQ10" s="63"/>
      <c r="AR10" s="63"/>
      <c r="AS10" s="63"/>
      <c r="AT10" s="64"/>
      <c r="AU10" s="63"/>
      <c r="AV10" s="65"/>
      <c r="AW10" s="65"/>
      <c r="AX10" s="65"/>
      <c r="AY10" s="31"/>
      <c r="AZ10" s="33"/>
      <c r="BA10" s="46"/>
      <c r="BB10" s="78"/>
      <c r="BC10" s="34"/>
      <c r="BD10" s="28"/>
    </row>
    <row r="11" spans="1:59" ht="13.5" customHeight="1">
      <c r="A11" s="22"/>
      <c r="B11" s="201"/>
      <c r="C11" s="43" t="s">
        <v>49</v>
      </c>
      <c r="D11" s="31"/>
      <c r="E11" s="31"/>
      <c r="F11" s="31" t="s">
        <v>52</v>
      </c>
      <c r="G11" s="31"/>
      <c r="H11" s="75" t="s">
        <v>53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63"/>
      <c r="U11" s="63"/>
      <c r="V11" s="63"/>
      <c r="W11" s="63"/>
      <c r="X11" s="62"/>
      <c r="Y11" s="63"/>
      <c r="Z11" s="63"/>
      <c r="AA11" s="63"/>
      <c r="AB11" s="64"/>
      <c r="AC11" s="63"/>
      <c r="AD11" s="65"/>
      <c r="AE11" s="65"/>
      <c r="AF11" s="65"/>
      <c r="AG11" s="65"/>
      <c r="AH11" s="65"/>
      <c r="AI11" s="75"/>
      <c r="AJ11" s="63"/>
      <c r="AK11" s="63"/>
      <c r="AL11" s="63"/>
      <c r="AM11" s="63"/>
      <c r="AN11" s="125"/>
      <c r="AO11" s="62"/>
      <c r="AP11" s="62"/>
      <c r="AQ11" s="63"/>
      <c r="AR11" s="63"/>
      <c r="AS11" s="63"/>
      <c r="AT11" s="64"/>
      <c r="AU11" s="63"/>
      <c r="AV11" s="65"/>
      <c r="AW11" s="65"/>
      <c r="AX11" s="65"/>
      <c r="AY11" s="31"/>
      <c r="AZ11" s="33"/>
      <c r="BA11" s="46"/>
      <c r="BB11" s="78"/>
      <c r="BC11" s="34"/>
      <c r="BD11" s="28"/>
    </row>
    <row r="12" spans="1:59" ht="13.5" customHeight="1">
      <c r="A12" s="22"/>
      <c r="B12" s="201"/>
      <c r="C12" s="43" t="s">
        <v>50</v>
      </c>
      <c r="D12" s="31"/>
      <c r="E12" s="31"/>
      <c r="F12" s="31" t="s">
        <v>52</v>
      </c>
      <c r="G12" s="31"/>
      <c r="H12" s="75" t="s">
        <v>54</v>
      </c>
      <c r="I12" s="75"/>
      <c r="J12" s="75"/>
      <c r="K12" s="75"/>
      <c r="L12" s="75" t="s">
        <v>55</v>
      </c>
      <c r="M12" s="75"/>
      <c r="N12" s="75"/>
      <c r="O12" s="75" t="s">
        <v>56</v>
      </c>
      <c r="P12" s="75"/>
      <c r="Q12" s="75"/>
      <c r="R12" s="75"/>
      <c r="S12" s="75"/>
      <c r="T12" s="63"/>
      <c r="U12" s="63"/>
      <c r="V12" s="63"/>
      <c r="W12" s="63"/>
      <c r="X12" s="62"/>
      <c r="Y12" s="63"/>
      <c r="Z12" s="63"/>
      <c r="AA12" s="63"/>
      <c r="AB12" s="64"/>
      <c r="AC12" s="63"/>
      <c r="AD12" s="65"/>
      <c r="AE12" s="65"/>
      <c r="AF12" s="65"/>
      <c r="AG12" s="65"/>
      <c r="AH12" s="65"/>
      <c r="AI12" s="75"/>
      <c r="AJ12" s="63"/>
      <c r="AK12" s="63"/>
      <c r="AL12" s="63"/>
      <c r="AM12" s="63"/>
      <c r="AN12" s="125"/>
      <c r="AO12" s="62"/>
      <c r="AP12" s="62"/>
      <c r="AQ12" s="63"/>
      <c r="AR12" s="63"/>
      <c r="AS12" s="63"/>
      <c r="AT12" s="64"/>
      <c r="AU12" s="63"/>
      <c r="AV12" s="65"/>
      <c r="AW12" s="65"/>
      <c r="AX12" s="65"/>
      <c r="AY12" s="31"/>
      <c r="AZ12" s="33"/>
      <c r="BA12" s="46"/>
      <c r="BB12" s="78"/>
      <c r="BC12" s="34"/>
      <c r="BD12" s="28"/>
    </row>
    <row r="13" spans="1:59" ht="13.5" customHeight="1">
      <c r="A13" s="22"/>
      <c r="B13" s="202">
        <v>1</v>
      </c>
      <c r="C13" s="203">
        <v>2</v>
      </c>
      <c r="D13" s="203">
        <v>3</v>
      </c>
      <c r="E13" s="203">
        <v>4</v>
      </c>
      <c r="F13" s="203">
        <v>5</v>
      </c>
      <c r="G13" s="203">
        <v>6</v>
      </c>
      <c r="H13" s="203">
        <v>7</v>
      </c>
      <c r="I13" s="203">
        <v>8</v>
      </c>
      <c r="J13" s="203">
        <v>9</v>
      </c>
      <c r="K13" s="203">
        <v>10</v>
      </c>
      <c r="L13" s="203">
        <v>11</v>
      </c>
      <c r="M13" s="203">
        <v>12</v>
      </c>
      <c r="N13" s="203">
        <v>13</v>
      </c>
      <c r="O13" s="203">
        <v>14</v>
      </c>
      <c r="P13" s="203">
        <v>15</v>
      </c>
      <c r="Q13" s="203">
        <v>16</v>
      </c>
      <c r="R13" s="203">
        <v>17</v>
      </c>
      <c r="S13" s="203">
        <v>18</v>
      </c>
      <c r="T13" s="203">
        <v>19</v>
      </c>
      <c r="U13" s="203">
        <v>20</v>
      </c>
      <c r="V13" s="203">
        <v>21</v>
      </c>
      <c r="W13" s="203">
        <v>22</v>
      </c>
      <c r="X13" s="203">
        <v>23</v>
      </c>
      <c r="Y13" s="203">
        <v>24</v>
      </c>
      <c r="Z13" s="203">
        <v>25</v>
      </c>
      <c r="AA13" s="203">
        <v>26</v>
      </c>
      <c r="AB13" s="203">
        <v>27</v>
      </c>
      <c r="AC13" s="203">
        <v>28</v>
      </c>
      <c r="AD13" s="203">
        <v>29</v>
      </c>
      <c r="AE13" s="203">
        <v>30</v>
      </c>
      <c r="AF13" s="203">
        <v>31</v>
      </c>
      <c r="AG13" s="203">
        <v>32</v>
      </c>
      <c r="AH13" s="203">
        <v>33</v>
      </c>
      <c r="AI13" s="203">
        <v>34</v>
      </c>
      <c r="AJ13" s="203">
        <v>35</v>
      </c>
      <c r="AK13" s="203">
        <v>36</v>
      </c>
      <c r="AL13" s="203">
        <v>37</v>
      </c>
      <c r="AM13" s="203">
        <v>38</v>
      </c>
      <c r="AN13" s="203">
        <v>39</v>
      </c>
      <c r="AO13" s="203">
        <v>40</v>
      </c>
      <c r="AP13" s="203"/>
      <c r="AQ13" s="203">
        <v>41</v>
      </c>
      <c r="AR13" s="203">
        <v>42</v>
      </c>
      <c r="AS13" s="203">
        <v>43</v>
      </c>
      <c r="AT13" s="203">
        <v>44</v>
      </c>
      <c r="AU13" s="203">
        <v>45</v>
      </c>
      <c r="AV13" s="203">
        <v>46</v>
      </c>
      <c r="AW13" s="203">
        <v>47</v>
      </c>
      <c r="AX13" s="65"/>
      <c r="AY13" s="31"/>
      <c r="AZ13" s="33"/>
      <c r="BA13" s="46"/>
      <c r="BB13" s="78"/>
      <c r="BC13" s="34"/>
      <c r="BD13" s="28"/>
      <c r="BE13" s="24"/>
      <c r="BF13" s="24"/>
    </row>
    <row r="14" spans="1:59" ht="13.5" customHeight="1">
      <c r="A14" s="22"/>
      <c r="B14" s="202">
        <v>2</v>
      </c>
      <c r="C14" s="204" t="s">
        <v>102</v>
      </c>
      <c r="D14" s="28"/>
      <c r="E14" s="28"/>
      <c r="F14" s="28"/>
      <c r="G14" s="28"/>
      <c r="H14" s="121"/>
      <c r="I14" s="62"/>
      <c r="J14" s="63"/>
      <c r="K14" s="62"/>
      <c r="L14" s="63"/>
      <c r="M14" s="69"/>
      <c r="N14" s="69"/>
      <c r="O14" s="65"/>
      <c r="P14" s="69"/>
      <c r="Q14" s="65"/>
      <c r="R14" s="69"/>
      <c r="S14" s="28"/>
      <c r="T14" s="28"/>
      <c r="U14" s="28"/>
      <c r="V14" s="28"/>
      <c r="W14" s="28"/>
      <c r="X14" s="121"/>
      <c r="Y14" s="62"/>
      <c r="Z14" s="63"/>
      <c r="AA14" s="62"/>
      <c r="AB14" s="63"/>
      <c r="AC14" s="69"/>
      <c r="AD14" s="69"/>
      <c r="AE14" s="65"/>
      <c r="AF14" s="69"/>
      <c r="AG14" s="65"/>
      <c r="AH14" s="69"/>
      <c r="AI14" s="64"/>
      <c r="AJ14" s="69"/>
      <c r="AK14" s="65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33"/>
      <c r="AW14" s="28"/>
      <c r="AX14" s="65"/>
      <c r="AY14" s="31"/>
      <c r="AZ14" s="33"/>
      <c r="BA14" s="46"/>
      <c r="BB14" s="78"/>
      <c r="BC14" s="34"/>
      <c r="BD14" s="28"/>
    </row>
    <row r="15" spans="1:59" ht="5.15" customHeight="1">
      <c r="A15" s="22"/>
      <c r="B15" s="202"/>
      <c r="C15" s="296"/>
      <c r="D15" s="72"/>
      <c r="E15" s="72"/>
      <c r="F15" s="72"/>
      <c r="G15" s="72"/>
      <c r="H15" s="297"/>
      <c r="I15" s="278"/>
      <c r="J15" s="279"/>
      <c r="K15" s="278"/>
      <c r="L15" s="279"/>
      <c r="M15" s="298"/>
      <c r="N15" s="298"/>
      <c r="O15" s="263"/>
      <c r="P15" s="298"/>
      <c r="Q15" s="263"/>
      <c r="R15" s="298"/>
      <c r="S15" s="281"/>
      <c r="T15" s="72"/>
      <c r="U15" s="72"/>
      <c r="V15" s="72"/>
      <c r="W15" s="72"/>
      <c r="X15" s="72"/>
      <c r="Y15" s="297"/>
      <c r="Z15" s="278"/>
      <c r="AA15" s="279"/>
      <c r="AB15" s="278"/>
      <c r="AC15" s="279"/>
      <c r="AD15" s="298"/>
      <c r="AE15" s="298"/>
      <c r="AF15" s="263"/>
      <c r="AG15" s="298"/>
      <c r="AH15" s="298"/>
      <c r="AI15" s="280"/>
      <c r="AJ15" s="298"/>
      <c r="AK15" s="263"/>
      <c r="AL15" s="72"/>
      <c r="AM15" s="72"/>
      <c r="AN15" s="72"/>
      <c r="AO15" s="72"/>
      <c r="AP15" s="72"/>
      <c r="AQ15" s="72"/>
      <c r="AR15" s="72"/>
      <c r="AS15" s="279"/>
      <c r="AT15" s="280"/>
      <c r="AU15" s="279"/>
      <c r="AV15" s="263"/>
      <c r="AW15" s="263"/>
      <c r="AX15" s="263"/>
      <c r="AY15" s="265"/>
      <c r="AZ15" s="33"/>
      <c r="BA15" s="46"/>
      <c r="BB15" s="78"/>
      <c r="BC15" s="34"/>
      <c r="BD15" s="28"/>
    </row>
    <row r="16" spans="1:59" ht="13.5" customHeight="1">
      <c r="A16" s="22"/>
      <c r="B16" s="45"/>
      <c r="C16" s="266" t="s">
        <v>103</v>
      </c>
      <c r="D16" s="28"/>
      <c r="E16" s="28"/>
      <c r="F16" s="28"/>
      <c r="G16" s="28"/>
      <c r="H16" s="255" t="s">
        <v>169</v>
      </c>
      <c r="I16" s="255"/>
      <c r="J16" s="255"/>
      <c r="K16" s="26"/>
      <c r="L16" s="26"/>
      <c r="M16" s="105"/>
      <c r="N16" s="100"/>
      <c r="O16" s="67"/>
      <c r="P16" s="67"/>
      <c r="Q16" s="101"/>
      <c r="R16" s="100"/>
      <c r="S16" s="100"/>
      <c r="T16" s="100"/>
      <c r="U16" s="67"/>
      <c r="V16" s="101"/>
      <c r="W16" s="100"/>
      <c r="X16" s="65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65"/>
      <c r="AY16" s="267"/>
      <c r="AZ16" s="33"/>
      <c r="BA16" s="46"/>
      <c r="BB16" s="78"/>
      <c r="BC16" s="34"/>
      <c r="BD16" s="28"/>
      <c r="BE16" s="35"/>
      <c r="BF16" s="35"/>
      <c r="BG16" s="35"/>
    </row>
    <row r="17" spans="1:59" ht="13.5" customHeight="1">
      <c r="A17" s="22"/>
      <c r="B17" s="202">
        <v>3</v>
      </c>
      <c r="C17" s="266" t="s">
        <v>57</v>
      </c>
      <c r="D17" s="31"/>
      <c r="E17" s="31"/>
      <c r="F17" s="31"/>
      <c r="G17" s="31"/>
      <c r="H17" s="58"/>
      <c r="I17" s="59"/>
      <c r="J17" s="59"/>
      <c r="K17" s="59"/>
      <c r="L17" s="60"/>
      <c r="M17" s="59"/>
      <c r="N17" s="61"/>
      <c r="O17" s="61"/>
      <c r="P17" s="61"/>
      <c r="Q17" s="61"/>
      <c r="R17" s="61"/>
      <c r="S17" s="128"/>
      <c r="T17" s="59"/>
      <c r="U17" s="59"/>
      <c r="V17" s="59"/>
      <c r="W17" s="59"/>
      <c r="X17" s="123"/>
      <c r="Y17" s="59"/>
      <c r="Z17" s="59"/>
      <c r="AA17" s="59"/>
      <c r="AB17" s="60"/>
      <c r="AC17" s="59"/>
      <c r="AD17" s="61"/>
      <c r="AE17" s="61"/>
      <c r="AF17" s="61"/>
      <c r="AG17" s="61"/>
      <c r="AH17" s="94"/>
      <c r="AI17" s="75"/>
      <c r="AJ17" s="63"/>
      <c r="AK17" s="63"/>
      <c r="AL17" s="63"/>
      <c r="AM17" s="63"/>
      <c r="AN17" s="125"/>
      <c r="AO17" s="62"/>
      <c r="AP17" s="62"/>
      <c r="AQ17" s="63"/>
      <c r="AR17" s="63"/>
      <c r="AS17" s="63"/>
      <c r="AT17" s="64"/>
      <c r="AU17" s="63"/>
      <c r="AV17" s="65"/>
      <c r="AW17" s="65"/>
      <c r="AX17" s="65"/>
      <c r="AY17" s="267"/>
      <c r="AZ17" s="33"/>
      <c r="BA17" s="46"/>
      <c r="BB17" s="78"/>
      <c r="BC17" s="34"/>
      <c r="BD17" s="28"/>
      <c r="BE17" s="35"/>
      <c r="BF17" s="35"/>
      <c r="BG17" s="35"/>
    </row>
    <row r="18" spans="1:59" ht="13.5" customHeight="1">
      <c r="A18" s="22"/>
      <c r="B18" s="201"/>
      <c r="C18" s="266" t="s">
        <v>38</v>
      </c>
      <c r="D18" s="31"/>
      <c r="E18" s="31"/>
      <c r="F18" s="31"/>
      <c r="G18" s="31"/>
      <c r="H18" s="58"/>
      <c r="I18" s="59"/>
      <c r="J18" s="59"/>
      <c r="K18" s="59"/>
      <c r="L18" s="60"/>
      <c r="M18" s="59"/>
      <c r="N18" s="61"/>
      <c r="O18" s="61"/>
      <c r="P18" s="61"/>
      <c r="Q18" s="189"/>
      <c r="R18" s="74"/>
      <c r="S18" s="75"/>
      <c r="T18" s="114" t="s">
        <v>58</v>
      </c>
      <c r="U18" s="31"/>
      <c r="V18" s="31"/>
      <c r="W18" s="31"/>
      <c r="X18" s="31"/>
      <c r="Y18" s="58"/>
      <c r="Z18" s="59"/>
      <c r="AA18" s="59"/>
      <c r="AB18" s="59"/>
      <c r="AC18" s="60"/>
      <c r="AD18" s="59"/>
      <c r="AE18" s="61"/>
      <c r="AF18" s="61"/>
      <c r="AG18" s="70"/>
      <c r="AH18" s="65"/>
      <c r="AI18" s="75"/>
      <c r="AJ18" s="63"/>
      <c r="AK18" s="75" t="s">
        <v>59</v>
      </c>
      <c r="AL18" s="63"/>
      <c r="AM18" s="63"/>
      <c r="AN18" s="63"/>
      <c r="AO18" s="63"/>
      <c r="AP18" s="58"/>
      <c r="AQ18" s="59"/>
      <c r="AR18" s="59"/>
      <c r="AS18" s="59"/>
      <c r="AT18" s="60"/>
      <c r="AU18" s="59"/>
      <c r="AV18" s="61"/>
      <c r="AW18" s="61"/>
      <c r="AX18" s="70"/>
      <c r="AY18" s="267"/>
      <c r="AZ18" s="33"/>
      <c r="BA18" s="46"/>
      <c r="BB18" s="78"/>
      <c r="BC18" s="34"/>
      <c r="BD18" s="28"/>
      <c r="BE18" s="35"/>
      <c r="BF18" s="35"/>
      <c r="BG18" s="35"/>
    </row>
    <row r="19" spans="1:59" ht="13.5" customHeight="1">
      <c r="A19" s="22"/>
      <c r="B19" s="201"/>
      <c r="C19" s="266" t="s">
        <v>60</v>
      </c>
      <c r="D19" s="31"/>
      <c r="E19" s="31"/>
      <c r="F19" s="31"/>
      <c r="G19" s="31"/>
      <c r="H19" s="58"/>
      <c r="I19" s="59"/>
      <c r="J19" s="59"/>
      <c r="K19" s="59"/>
      <c r="L19" s="60"/>
      <c r="M19" s="59"/>
      <c r="N19" s="61"/>
      <c r="O19" s="61"/>
      <c r="P19" s="99" t="s">
        <v>32</v>
      </c>
      <c r="Q19" s="94"/>
      <c r="R19" s="65"/>
      <c r="S19" s="35"/>
      <c r="T19" s="43" t="s">
        <v>61</v>
      </c>
      <c r="U19" s="63"/>
      <c r="V19" s="63"/>
      <c r="W19" s="63"/>
      <c r="X19" s="63"/>
      <c r="Y19" s="124" t="s">
        <v>69</v>
      </c>
      <c r="Z19" s="59"/>
      <c r="AA19" s="59"/>
      <c r="AB19" s="59"/>
      <c r="AC19" s="60"/>
      <c r="AD19" s="59"/>
      <c r="AE19" s="61"/>
      <c r="AF19" s="61"/>
      <c r="AG19" s="70"/>
      <c r="AH19" s="65"/>
      <c r="AI19" s="75"/>
      <c r="AJ19" s="63"/>
      <c r="AK19" s="63"/>
      <c r="AL19" s="63"/>
      <c r="AM19" s="63"/>
      <c r="AN19" s="125"/>
      <c r="AO19" s="62"/>
      <c r="AP19" s="62"/>
      <c r="AQ19" s="63"/>
      <c r="AR19" s="63"/>
      <c r="AS19" s="63"/>
      <c r="AT19" s="64"/>
      <c r="AU19" s="63"/>
      <c r="AV19" s="65"/>
      <c r="AW19" s="65"/>
      <c r="AX19" s="65"/>
      <c r="AY19" s="267"/>
      <c r="AZ19" s="33"/>
      <c r="BA19" s="46"/>
      <c r="BB19" s="78"/>
      <c r="BC19" s="34"/>
      <c r="BD19" s="28"/>
      <c r="BE19" s="35"/>
      <c r="BF19" s="35"/>
      <c r="BG19" s="35"/>
    </row>
    <row r="20" spans="1:59" ht="13.5" customHeight="1">
      <c r="A20" s="22"/>
      <c r="B20" s="201"/>
      <c r="C20" s="266" t="s">
        <v>105</v>
      </c>
      <c r="D20" s="31"/>
      <c r="E20" s="31"/>
      <c r="F20" s="31"/>
      <c r="G20" s="31"/>
      <c r="H20" s="58"/>
      <c r="I20" s="59"/>
      <c r="J20" s="59"/>
      <c r="K20" s="456">
        <v>0.05</v>
      </c>
      <c r="L20" s="299" t="s">
        <v>106</v>
      </c>
      <c r="M20" s="103"/>
      <c r="N20" s="74"/>
      <c r="O20" s="74"/>
      <c r="P20" s="74"/>
      <c r="Q20" s="65"/>
      <c r="R20" s="65"/>
      <c r="S20" s="35"/>
      <c r="T20" s="35"/>
      <c r="U20" s="35"/>
      <c r="V20" s="63"/>
      <c r="W20" s="63"/>
      <c r="X20" s="63"/>
      <c r="Y20" s="102"/>
      <c r="Z20" s="103"/>
      <c r="AA20" s="103"/>
      <c r="AB20" s="103"/>
      <c r="AC20" s="104"/>
      <c r="AD20" s="103"/>
      <c r="AE20" s="74"/>
      <c r="AF20" s="74"/>
      <c r="AG20" s="74"/>
      <c r="AH20" s="65"/>
      <c r="AI20" s="75"/>
      <c r="AJ20" s="63"/>
      <c r="AK20" s="63"/>
      <c r="AL20" s="63"/>
      <c r="AM20" s="63"/>
      <c r="AN20" s="125"/>
      <c r="AO20" s="62"/>
      <c r="AP20" s="62"/>
      <c r="AQ20" s="63"/>
      <c r="AR20" s="63"/>
      <c r="AS20" s="63"/>
      <c r="AT20" s="64"/>
      <c r="AU20" s="63"/>
      <c r="AV20" s="65"/>
      <c r="AW20" s="65"/>
      <c r="AX20" s="65"/>
      <c r="AY20" s="267"/>
      <c r="AZ20" s="33"/>
      <c r="BA20" s="46"/>
      <c r="BB20" s="78"/>
      <c r="BC20" s="34"/>
      <c r="BD20" s="28"/>
      <c r="BE20" s="35"/>
      <c r="BF20" s="35"/>
      <c r="BG20" s="35"/>
    </row>
    <row r="21" spans="1:59" ht="5.15" customHeight="1">
      <c r="A21" s="22"/>
      <c r="B21" s="201"/>
      <c r="C21" s="268"/>
      <c r="D21" s="269"/>
      <c r="E21" s="269"/>
      <c r="F21" s="269"/>
      <c r="G21" s="269"/>
      <c r="H21" s="275"/>
      <c r="I21" s="273"/>
      <c r="J21" s="273"/>
      <c r="K21" s="273"/>
      <c r="L21" s="276"/>
      <c r="M21" s="273"/>
      <c r="N21" s="270"/>
      <c r="O21" s="270"/>
      <c r="P21" s="270"/>
      <c r="Q21" s="270"/>
      <c r="R21" s="270"/>
      <c r="S21" s="271"/>
      <c r="T21" s="272"/>
      <c r="U21" s="273"/>
      <c r="V21" s="273"/>
      <c r="W21" s="273"/>
      <c r="X21" s="273"/>
      <c r="Y21" s="275"/>
      <c r="Z21" s="273"/>
      <c r="AA21" s="273"/>
      <c r="AB21" s="273"/>
      <c r="AC21" s="276"/>
      <c r="AD21" s="273"/>
      <c r="AE21" s="270"/>
      <c r="AF21" s="270"/>
      <c r="AG21" s="270"/>
      <c r="AH21" s="270"/>
      <c r="AI21" s="272"/>
      <c r="AJ21" s="273"/>
      <c r="AK21" s="273"/>
      <c r="AL21" s="273"/>
      <c r="AM21" s="273"/>
      <c r="AN21" s="274"/>
      <c r="AO21" s="275"/>
      <c r="AP21" s="275"/>
      <c r="AQ21" s="273"/>
      <c r="AR21" s="273"/>
      <c r="AS21" s="273"/>
      <c r="AT21" s="276"/>
      <c r="AU21" s="273"/>
      <c r="AV21" s="270"/>
      <c r="AW21" s="270"/>
      <c r="AX21" s="270"/>
      <c r="AY21" s="277"/>
      <c r="AZ21" s="33"/>
      <c r="BA21" s="46"/>
      <c r="BB21" s="78"/>
      <c r="BC21" s="34"/>
      <c r="BD21" s="28"/>
      <c r="BE21" s="35"/>
      <c r="BF21" s="35"/>
      <c r="BG21" s="35"/>
    </row>
    <row r="22" spans="1:59" ht="13.5" customHeight="1">
      <c r="A22" s="22"/>
      <c r="B22" s="32"/>
      <c r="C22" s="64"/>
      <c r="D22" s="62"/>
      <c r="E22" s="63"/>
      <c r="F22" s="63"/>
      <c r="G22" s="63"/>
      <c r="H22" s="69"/>
      <c r="I22" s="69"/>
      <c r="J22" s="65"/>
      <c r="K22" s="69"/>
      <c r="L22" s="65"/>
      <c r="M22" s="69"/>
      <c r="N22" s="64"/>
      <c r="O22" s="69"/>
      <c r="P22" s="65"/>
      <c r="Q22" s="28"/>
      <c r="R22" s="28"/>
      <c r="T22" s="31"/>
      <c r="U22" s="31"/>
      <c r="V22" s="31"/>
      <c r="W22" s="31"/>
      <c r="X22" s="31"/>
      <c r="Y22" s="44"/>
      <c r="Z22" s="31"/>
      <c r="AA22" s="28"/>
      <c r="AB22" s="44"/>
      <c r="AC22" s="31"/>
      <c r="AD22" s="28"/>
      <c r="AE22" s="44"/>
      <c r="AF22" s="28"/>
      <c r="AG22" s="28"/>
      <c r="AH22" s="28"/>
      <c r="AI22" s="28"/>
      <c r="AJ22" s="76"/>
      <c r="AK22" s="28"/>
      <c r="AL22" s="28"/>
      <c r="AM22" s="28"/>
      <c r="AN22" s="28"/>
      <c r="AO22" s="28"/>
      <c r="AP22" s="28"/>
      <c r="AQ22" s="28"/>
      <c r="AR22" s="28"/>
      <c r="AS22" s="63"/>
      <c r="AT22" s="64"/>
      <c r="AU22" s="63"/>
      <c r="AV22" s="65"/>
      <c r="AW22" s="65"/>
      <c r="AX22" s="65"/>
      <c r="AY22" s="31"/>
      <c r="AZ22" s="33"/>
      <c r="BA22" s="46"/>
      <c r="BB22" s="78"/>
      <c r="BC22" s="34"/>
      <c r="BD22" s="28"/>
    </row>
    <row r="23" spans="1:59" ht="13.5" customHeight="1">
      <c r="A23" s="22"/>
      <c r="B23" s="202">
        <v>2</v>
      </c>
      <c r="C23" s="204" t="s">
        <v>107</v>
      </c>
      <c r="D23" s="28"/>
      <c r="E23" s="28"/>
      <c r="F23" s="28"/>
      <c r="G23" s="28"/>
      <c r="H23" s="121"/>
      <c r="I23" s="62"/>
      <c r="J23" s="63"/>
      <c r="K23" s="62"/>
      <c r="L23" s="63"/>
      <c r="M23" s="69"/>
      <c r="N23" s="69"/>
      <c r="O23" s="65"/>
      <c r="P23" s="69"/>
      <c r="Q23" s="65"/>
      <c r="R23" s="69"/>
      <c r="S23" s="35"/>
      <c r="T23" s="28"/>
      <c r="U23" s="28"/>
      <c r="V23" s="28"/>
      <c r="W23" s="28"/>
      <c r="X23" s="28"/>
      <c r="Y23" s="121"/>
      <c r="Z23" s="62"/>
      <c r="AA23" s="63"/>
      <c r="AB23" s="62"/>
      <c r="AC23" s="63"/>
      <c r="AD23" s="69"/>
      <c r="AE23" s="69"/>
      <c r="AF23" s="65"/>
      <c r="AG23" s="69"/>
      <c r="AH23" s="69"/>
      <c r="AI23" s="64"/>
      <c r="AJ23" s="69"/>
      <c r="AK23" s="65"/>
      <c r="AL23" s="28"/>
      <c r="AM23" s="28"/>
      <c r="AN23" s="28"/>
      <c r="AO23" s="28"/>
      <c r="AP23" s="28"/>
      <c r="AQ23" s="28"/>
      <c r="AR23" s="28"/>
      <c r="AS23" s="63"/>
      <c r="AT23" s="64"/>
      <c r="AU23" s="63"/>
      <c r="AV23" s="65"/>
      <c r="AW23" s="65"/>
      <c r="AX23" s="65"/>
      <c r="AY23" s="31"/>
      <c r="AZ23" s="33"/>
      <c r="BA23" s="46"/>
      <c r="BB23" s="78"/>
      <c r="BC23" s="34"/>
      <c r="BD23" s="28"/>
    </row>
    <row r="24" spans="1:59" ht="5.15" customHeight="1">
      <c r="A24" s="22"/>
      <c r="B24" s="202"/>
      <c r="C24" s="296"/>
      <c r="D24" s="72"/>
      <c r="E24" s="72"/>
      <c r="F24" s="72"/>
      <c r="G24" s="72"/>
      <c r="H24" s="297"/>
      <c r="I24" s="278"/>
      <c r="J24" s="279"/>
      <c r="K24" s="278"/>
      <c r="L24" s="279"/>
      <c r="M24" s="298"/>
      <c r="N24" s="298"/>
      <c r="O24" s="263"/>
      <c r="P24" s="298"/>
      <c r="Q24" s="263"/>
      <c r="R24" s="298"/>
      <c r="S24" s="281"/>
      <c r="T24" s="72"/>
      <c r="U24" s="72"/>
      <c r="V24" s="72"/>
      <c r="W24" s="72"/>
      <c r="X24" s="72"/>
      <c r="Y24" s="297"/>
      <c r="Z24" s="278"/>
      <c r="AA24" s="279"/>
      <c r="AB24" s="278"/>
      <c r="AC24" s="279"/>
      <c r="AD24" s="298"/>
      <c r="AE24" s="298"/>
      <c r="AF24" s="263"/>
      <c r="AG24" s="298"/>
      <c r="AH24" s="298"/>
      <c r="AI24" s="280"/>
      <c r="AJ24" s="298"/>
      <c r="AK24" s="263"/>
      <c r="AL24" s="72"/>
      <c r="AM24" s="72"/>
      <c r="AN24" s="72"/>
      <c r="AO24" s="72"/>
      <c r="AP24" s="72"/>
      <c r="AQ24" s="72"/>
      <c r="AR24" s="72"/>
      <c r="AS24" s="279"/>
      <c r="AT24" s="280"/>
      <c r="AU24" s="279"/>
      <c r="AV24" s="263"/>
      <c r="AW24" s="263"/>
      <c r="AX24" s="263"/>
      <c r="AY24" s="265"/>
      <c r="AZ24" s="33"/>
      <c r="BA24" s="46"/>
      <c r="BB24" s="78"/>
      <c r="BC24" s="34"/>
      <c r="BD24" s="28"/>
    </row>
    <row r="25" spans="1:59" ht="13.5" customHeight="1">
      <c r="A25" s="22"/>
      <c r="B25" s="45"/>
      <c r="C25" s="266" t="s">
        <v>108</v>
      </c>
      <c r="D25" s="28"/>
      <c r="E25" s="28"/>
      <c r="F25" s="28"/>
      <c r="G25" s="28"/>
      <c r="H25" s="58"/>
      <c r="I25" s="59"/>
      <c r="J25" s="59"/>
      <c r="K25" s="59"/>
      <c r="L25" s="60"/>
      <c r="M25" s="59"/>
      <c r="N25" s="70"/>
      <c r="O25" s="94" t="s">
        <v>109</v>
      </c>
      <c r="Q25" s="64"/>
      <c r="R25" s="63"/>
      <c r="S25" s="35"/>
      <c r="T25" s="28" t="s">
        <v>118</v>
      </c>
      <c r="U25" s="28"/>
      <c r="V25" s="28"/>
      <c r="W25" s="28"/>
      <c r="Y25" s="58"/>
      <c r="Z25" s="59"/>
      <c r="AA25" s="59"/>
      <c r="AB25" s="59"/>
      <c r="AC25" s="60"/>
      <c r="AD25" s="59"/>
      <c r="AE25" s="61"/>
      <c r="AF25" s="70"/>
      <c r="AG25" s="94" t="s">
        <v>111</v>
      </c>
      <c r="AH25" s="28"/>
      <c r="AI25" s="28"/>
      <c r="AJ25" s="28"/>
      <c r="AK25" s="28" t="s">
        <v>112</v>
      </c>
      <c r="AL25" s="28"/>
      <c r="AM25" s="28"/>
      <c r="AN25" s="28"/>
      <c r="AO25" s="35"/>
      <c r="AP25" s="54"/>
      <c r="AQ25" s="55"/>
      <c r="AR25" s="55"/>
      <c r="AS25" s="55"/>
      <c r="AT25" s="56"/>
      <c r="AU25" s="55"/>
      <c r="AV25" s="57"/>
      <c r="AW25" s="66"/>
      <c r="AX25" s="94" t="s">
        <v>113</v>
      </c>
      <c r="AY25" s="283"/>
      <c r="AZ25" s="33"/>
      <c r="BA25" s="46"/>
      <c r="BB25" s="78"/>
      <c r="BC25" s="34"/>
      <c r="BD25" s="28"/>
      <c r="BE25" s="35"/>
      <c r="BF25" s="35"/>
      <c r="BG25" s="35"/>
    </row>
    <row r="26" spans="1:59" ht="13.5" customHeight="1">
      <c r="A26" s="22"/>
      <c r="B26" s="45"/>
      <c r="C26" s="282" t="s">
        <v>265</v>
      </c>
      <c r="D26" s="28"/>
      <c r="E26" s="28"/>
      <c r="F26" s="28"/>
      <c r="H26" s="58"/>
      <c r="I26" s="59"/>
      <c r="J26" s="59"/>
      <c r="K26" s="59"/>
      <c r="L26" s="60"/>
      <c r="M26" s="59"/>
      <c r="N26" s="61"/>
      <c r="O26" s="61"/>
      <c r="P26" s="70"/>
      <c r="Q26" s="64"/>
      <c r="R26" s="28"/>
      <c r="S26" s="35"/>
      <c r="T26" s="28" t="s">
        <v>263</v>
      </c>
      <c r="V26" s="28"/>
      <c r="W26" s="28"/>
      <c r="Y26" s="58"/>
      <c r="Z26" s="59"/>
      <c r="AA26" s="59"/>
      <c r="AB26" s="59"/>
      <c r="AC26" s="60"/>
      <c r="AD26" s="59"/>
      <c r="AE26" s="61"/>
      <c r="AF26" s="61"/>
      <c r="AG26" s="70"/>
      <c r="AH26" s="28"/>
      <c r="AI26" s="28"/>
      <c r="AJ26" s="28"/>
      <c r="AL26" s="28"/>
      <c r="AM26" s="28"/>
      <c r="AN26" s="28"/>
      <c r="AO26" s="35"/>
      <c r="AP26" s="62"/>
      <c r="AQ26" s="63"/>
      <c r="AR26" s="63"/>
      <c r="AS26" s="63"/>
      <c r="AT26" s="64"/>
      <c r="AU26" s="63"/>
      <c r="AV26" s="65"/>
      <c r="AW26" s="65"/>
      <c r="AX26" s="65"/>
      <c r="AY26" s="283"/>
      <c r="AZ26" s="33"/>
      <c r="BA26" s="46"/>
      <c r="BB26" s="78"/>
      <c r="BC26" s="34"/>
      <c r="BD26" s="28"/>
      <c r="BE26" s="35"/>
      <c r="BF26" s="35"/>
      <c r="BG26" s="35"/>
    </row>
    <row r="27" spans="1:59" ht="14.15" customHeight="1">
      <c r="A27" s="22"/>
      <c r="B27" s="256"/>
      <c r="C27" s="497" t="s">
        <v>271</v>
      </c>
      <c r="F27" s="285"/>
      <c r="G27" s="285"/>
      <c r="H27" s="98" t="s">
        <v>121</v>
      </c>
      <c r="I27" s="257"/>
      <c r="J27" s="258"/>
      <c r="K27" s="258"/>
      <c r="L27" s="258"/>
      <c r="M27" s="259"/>
      <c r="N27" s="258"/>
      <c r="O27" s="110"/>
      <c r="P27" s="260" t="s">
        <v>32</v>
      </c>
      <c r="R27" s="130"/>
      <c r="S27" s="35"/>
      <c r="T27" s="285" t="s">
        <v>272</v>
      </c>
      <c r="U27" s="35"/>
      <c r="V27" s="285"/>
      <c r="W27" s="285"/>
      <c r="X27" s="285"/>
      <c r="Y27" s="98" t="s">
        <v>122</v>
      </c>
      <c r="Z27" s="257"/>
      <c r="AA27" s="258"/>
      <c r="AB27" s="258"/>
      <c r="AC27" s="258"/>
      <c r="AD27" s="259"/>
      <c r="AE27" s="258"/>
      <c r="AF27" s="142"/>
      <c r="AG27" s="496" t="s">
        <v>32</v>
      </c>
      <c r="AH27" s="35"/>
      <c r="AI27" s="35"/>
      <c r="AJ27" s="285"/>
      <c r="AL27" s="35"/>
      <c r="AM27" s="285"/>
      <c r="AN27" s="35"/>
      <c r="AO27" s="35"/>
      <c r="AP27" s="26"/>
      <c r="AQ27" s="493"/>
      <c r="AR27" s="494"/>
      <c r="AS27" s="494"/>
      <c r="AT27" s="494"/>
      <c r="AU27" s="495"/>
      <c r="AV27" s="38"/>
      <c r="AW27" s="26"/>
      <c r="AX27" s="499"/>
      <c r="AY27" s="286"/>
      <c r="AZ27" s="33"/>
      <c r="BA27" s="46"/>
      <c r="BB27" s="78"/>
      <c r="BC27" s="34"/>
      <c r="BD27" s="35"/>
      <c r="BE27" s="35"/>
      <c r="BF27" s="35"/>
      <c r="BG27" s="35"/>
    </row>
    <row r="28" spans="1:59" ht="13.5" customHeight="1">
      <c r="A28" s="22"/>
      <c r="B28" s="45"/>
      <c r="C28" s="282" t="s">
        <v>266</v>
      </c>
      <c r="D28" s="28"/>
      <c r="E28" s="28"/>
      <c r="F28" s="28"/>
      <c r="H28" s="58"/>
      <c r="I28" s="59"/>
      <c r="J28" s="59"/>
      <c r="K28" s="59"/>
      <c r="L28" s="60"/>
      <c r="M28" s="59"/>
      <c r="N28" s="61"/>
      <c r="O28" s="61"/>
      <c r="P28" s="70"/>
      <c r="Q28" s="64"/>
      <c r="R28" s="28"/>
      <c r="S28" s="35"/>
      <c r="T28" s="28" t="s">
        <v>267</v>
      </c>
      <c r="U28" s="28"/>
      <c r="V28" s="28"/>
      <c r="W28" s="28"/>
      <c r="Y28" s="58"/>
      <c r="Z28" s="59"/>
      <c r="AA28" s="59"/>
      <c r="AB28" s="59"/>
      <c r="AC28" s="60"/>
      <c r="AD28" s="59"/>
      <c r="AE28" s="61"/>
      <c r="AF28" s="61"/>
      <c r="AG28" s="70"/>
      <c r="AH28" s="28"/>
      <c r="AI28" s="28"/>
      <c r="AJ28" s="28" t="s">
        <v>268</v>
      </c>
      <c r="AK28" s="28"/>
      <c r="AL28" s="28"/>
      <c r="AM28" s="28"/>
      <c r="AN28" s="28"/>
      <c r="AO28" s="35"/>
      <c r="AP28" s="58"/>
      <c r="AQ28" s="59"/>
      <c r="AR28" s="59"/>
      <c r="AS28" s="59"/>
      <c r="AT28" s="60"/>
      <c r="AU28" s="59"/>
      <c r="AV28" s="61"/>
      <c r="AW28" s="61"/>
      <c r="AX28" s="498"/>
      <c r="AY28" s="283"/>
      <c r="AZ28" s="33"/>
      <c r="BA28" s="46"/>
      <c r="BB28" s="78"/>
      <c r="BC28" s="34"/>
      <c r="BD28" s="28"/>
      <c r="BE28" s="35"/>
      <c r="BF28" s="35"/>
      <c r="BG28" s="35"/>
    </row>
    <row r="29" spans="1:59" ht="13.5" customHeight="1">
      <c r="A29" s="22"/>
      <c r="B29" s="45"/>
      <c r="C29" s="282" t="s">
        <v>117</v>
      </c>
      <c r="D29" s="28"/>
      <c r="E29" s="28"/>
      <c r="F29" s="28"/>
      <c r="H29" s="58"/>
      <c r="I29" s="59"/>
      <c r="J29" s="59"/>
      <c r="K29" s="59"/>
      <c r="L29" s="60"/>
      <c r="M29" s="59"/>
      <c r="N29" s="61"/>
      <c r="O29" s="61"/>
      <c r="P29" s="260" t="s">
        <v>32</v>
      </c>
      <c r="Q29" s="64"/>
      <c r="R29" s="28"/>
      <c r="S29" s="35"/>
      <c r="T29" s="26" t="s">
        <v>269</v>
      </c>
      <c r="U29" s="28"/>
      <c r="V29" s="28"/>
      <c r="W29" s="28"/>
      <c r="Y29" s="58"/>
      <c r="Z29" s="59"/>
      <c r="AA29" s="59"/>
      <c r="AB29" s="59"/>
      <c r="AC29" s="60"/>
      <c r="AD29" s="59"/>
      <c r="AE29" s="61"/>
      <c r="AF29" s="61"/>
      <c r="AG29" s="70"/>
      <c r="AH29" s="28"/>
      <c r="AI29" s="28"/>
      <c r="AJ29" s="28" t="s">
        <v>270</v>
      </c>
      <c r="AK29" s="28"/>
      <c r="AL29" s="28"/>
      <c r="AM29" s="28"/>
      <c r="AN29" s="28"/>
      <c r="AO29" s="35"/>
      <c r="AP29" s="58"/>
      <c r="AQ29" s="59"/>
      <c r="AR29" s="59"/>
      <c r="AS29" s="59"/>
      <c r="AT29" s="60"/>
      <c r="AU29" s="59"/>
      <c r="AV29" s="70"/>
      <c r="AW29" s="94" t="s">
        <v>264</v>
      </c>
      <c r="AX29" s="35"/>
      <c r="AY29" s="283"/>
      <c r="AZ29" s="33"/>
      <c r="BA29" s="46"/>
      <c r="BB29" s="78"/>
      <c r="BC29" s="34"/>
      <c r="BD29" s="28"/>
      <c r="BE29" s="35"/>
      <c r="BF29" s="35"/>
      <c r="BG29" s="35"/>
    </row>
    <row r="30" spans="1:59" ht="13.5" customHeight="1">
      <c r="A30" s="22"/>
      <c r="B30" s="32"/>
      <c r="C30" s="287" t="s">
        <v>123</v>
      </c>
      <c r="D30" s="41"/>
      <c r="E30" s="41"/>
      <c r="F30" s="41"/>
      <c r="G30" s="41"/>
      <c r="H30" s="163"/>
      <c r="I30" s="164"/>
      <c r="J30" s="165"/>
      <c r="K30" s="164"/>
      <c r="L30" s="165"/>
      <c r="M30" s="164"/>
      <c r="N30" s="166"/>
      <c r="O30" s="164"/>
      <c r="P30" s="165"/>
      <c r="Q30" s="165"/>
      <c r="R30" s="165"/>
      <c r="S30" s="167"/>
      <c r="T30" s="167"/>
      <c r="U30" s="167"/>
      <c r="V30" s="167"/>
      <c r="W30" s="167"/>
      <c r="X30" s="166"/>
      <c r="Y30" s="167"/>
      <c r="Z30" s="165"/>
      <c r="AA30" s="166"/>
      <c r="AB30" s="167"/>
      <c r="AC30" s="165"/>
      <c r="AD30" s="166"/>
      <c r="AE30" s="165"/>
      <c r="AF30" s="165"/>
      <c r="AG30" s="166"/>
      <c r="AH30" s="165"/>
      <c r="AI30" s="165"/>
      <c r="AJ30" s="168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0" t="s">
        <v>36</v>
      </c>
      <c r="AY30" s="283"/>
      <c r="AZ30" s="33"/>
      <c r="BA30" s="46"/>
      <c r="BB30" s="78"/>
      <c r="BC30" s="34"/>
      <c r="BD30" s="28"/>
      <c r="BE30" s="35"/>
      <c r="BF30" s="35"/>
      <c r="BG30" s="35"/>
    </row>
    <row r="31" spans="1:59" ht="13.5" customHeight="1">
      <c r="A31" s="22"/>
      <c r="B31" s="32"/>
      <c r="C31" s="287"/>
      <c r="D31" s="41"/>
      <c r="E31" s="41"/>
      <c r="F31" s="41"/>
      <c r="G31" s="41"/>
      <c r="H31" s="169"/>
      <c r="I31" s="170"/>
      <c r="J31" s="171"/>
      <c r="K31" s="170"/>
      <c r="L31" s="171"/>
      <c r="M31" s="170"/>
      <c r="N31" s="172"/>
      <c r="O31" s="170"/>
      <c r="P31" s="171"/>
      <c r="Q31" s="171"/>
      <c r="R31" s="171"/>
      <c r="S31" s="173"/>
      <c r="T31" s="173"/>
      <c r="U31" s="173"/>
      <c r="V31" s="173"/>
      <c r="W31" s="173"/>
      <c r="X31" s="172"/>
      <c r="Y31" s="173"/>
      <c r="Z31" s="171"/>
      <c r="AA31" s="172"/>
      <c r="AB31" s="173"/>
      <c r="AC31" s="171"/>
      <c r="AD31" s="172"/>
      <c r="AE31" s="171"/>
      <c r="AF31" s="171"/>
      <c r="AG31" s="172"/>
      <c r="AH31" s="171"/>
      <c r="AI31" s="171"/>
      <c r="AJ31" s="174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22" t="s">
        <v>32</v>
      </c>
      <c r="AY31" s="283"/>
      <c r="AZ31" s="33"/>
      <c r="BA31" s="46"/>
      <c r="BB31" s="78"/>
      <c r="BC31" s="34"/>
      <c r="BD31" s="28"/>
      <c r="BE31" s="35"/>
      <c r="BF31" s="35"/>
      <c r="BG31" s="35"/>
    </row>
    <row r="32" spans="1:59" ht="13.5" customHeight="1">
      <c r="A32" s="22"/>
      <c r="B32" s="32"/>
      <c r="C32" s="287" t="s">
        <v>125</v>
      </c>
      <c r="D32" s="41"/>
      <c r="E32" s="41"/>
      <c r="F32" s="41"/>
      <c r="G32" s="41"/>
      <c r="H32" s="163" t="s">
        <v>170</v>
      </c>
      <c r="I32" s="164"/>
      <c r="J32" s="165"/>
      <c r="K32" s="164"/>
      <c r="L32" s="165"/>
      <c r="M32" s="164"/>
      <c r="N32" s="166"/>
      <c r="O32" s="164"/>
      <c r="P32" s="165"/>
      <c r="Q32" s="165"/>
      <c r="R32" s="165"/>
      <c r="S32" s="167"/>
      <c r="T32" s="167"/>
      <c r="U32" s="167"/>
      <c r="V32" s="167"/>
      <c r="W32" s="167"/>
      <c r="X32" s="166"/>
      <c r="Y32" s="167"/>
      <c r="Z32" s="165"/>
      <c r="AA32" s="166"/>
      <c r="AB32" s="167"/>
      <c r="AC32" s="165"/>
      <c r="AD32" s="166"/>
      <c r="AE32" s="165"/>
      <c r="AF32" s="165"/>
      <c r="AG32" s="166"/>
      <c r="AH32" s="165"/>
      <c r="AI32" s="165"/>
      <c r="AJ32" s="168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0" t="s">
        <v>36</v>
      </c>
      <c r="AY32" s="283"/>
      <c r="AZ32" s="33"/>
      <c r="BA32" s="46"/>
      <c r="BB32" s="78"/>
      <c r="BC32" s="34"/>
      <c r="BD32" s="28"/>
      <c r="BE32" s="35"/>
      <c r="BF32" s="35"/>
      <c r="BG32" s="35"/>
    </row>
    <row r="33" spans="1:59" ht="13.5" customHeight="1">
      <c r="A33" s="22"/>
      <c r="B33" s="32"/>
      <c r="C33" s="287"/>
      <c r="D33" s="41"/>
      <c r="E33" s="41"/>
      <c r="F33" s="41"/>
      <c r="G33" s="41"/>
      <c r="H33" s="169"/>
      <c r="I33" s="170"/>
      <c r="J33" s="171"/>
      <c r="K33" s="170"/>
      <c r="L33" s="171"/>
      <c r="M33" s="170"/>
      <c r="N33" s="172"/>
      <c r="O33" s="170"/>
      <c r="P33" s="171"/>
      <c r="Q33" s="171"/>
      <c r="R33" s="171"/>
      <c r="S33" s="173"/>
      <c r="T33" s="173"/>
      <c r="U33" s="173"/>
      <c r="V33" s="173"/>
      <c r="W33" s="173"/>
      <c r="X33" s="172"/>
      <c r="Y33" s="173"/>
      <c r="Z33" s="171"/>
      <c r="AA33" s="172"/>
      <c r="AB33" s="173"/>
      <c r="AC33" s="171"/>
      <c r="AD33" s="172"/>
      <c r="AE33" s="171"/>
      <c r="AF33" s="171"/>
      <c r="AG33" s="172"/>
      <c r="AH33" s="171"/>
      <c r="AI33" s="171"/>
      <c r="AJ33" s="174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22" t="s">
        <v>32</v>
      </c>
      <c r="AY33" s="283"/>
      <c r="AZ33" s="33"/>
      <c r="BA33" s="46"/>
      <c r="BB33" s="78"/>
      <c r="BC33" s="34"/>
      <c r="BD33" s="28"/>
      <c r="BE33" s="35"/>
      <c r="BF33" s="35"/>
      <c r="BG33" s="35"/>
    </row>
    <row r="34" spans="1:59" ht="13.5" customHeight="1">
      <c r="A34" s="22"/>
      <c r="B34" s="32"/>
      <c r="C34" s="287" t="s">
        <v>126</v>
      </c>
      <c r="D34" s="41"/>
      <c r="E34" s="41"/>
      <c r="F34" s="41"/>
      <c r="G34" s="41"/>
      <c r="H34" s="163"/>
      <c r="I34" s="164"/>
      <c r="J34" s="165"/>
      <c r="K34" s="164"/>
      <c r="L34" s="165"/>
      <c r="M34" s="164"/>
      <c r="N34" s="166"/>
      <c r="O34" s="164"/>
      <c r="P34" s="165"/>
      <c r="Q34" s="165"/>
      <c r="R34" s="165"/>
      <c r="S34" s="167"/>
      <c r="T34" s="167"/>
      <c r="U34" s="167"/>
      <c r="V34" s="167"/>
      <c r="W34" s="167"/>
      <c r="X34" s="166"/>
      <c r="Y34" s="167"/>
      <c r="Z34" s="165"/>
      <c r="AA34" s="166"/>
      <c r="AB34" s="167"/>
      <c r="AC34" s="165"/>
      <c r="AD34" s="166"/>
      <c r="AE34" s="165"/>
      <c r="AF34" s="165"/>
      <c r="AG34" s="166"/>
      <c r="AH34" s="165"/>
      <c r="AI34" s="165"/>
      <c r="AJ34" s="168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0" t="s">
        <v>36</v>
      </c>
      <c r="AY34" s="283"/>
      <c r="AZ34" s="33"/>
      <c r="BA34" s="46"/>
      <c r="BB34" s="78"/>
      <c r="BC34" s="34"/>
      <c r="BD34" s="28"/>
      <c r="BE34" s="35"/>
      <c r="BF34" s="35"/>
      <c r="BG34" s="35"/>
    </row>
    <row r="35" spans="1:59" ht="13.5" customHeight="1">
      <c r="A35" s="22"/>
      <c r="B35" s="32"/>
      <c r="C35" s="287"/>
      <c r="D35" s="41"/>
      <c r="E35" s="41"/>
      <c r="F35" s="41"/>
      <c r="G35" s="41"/>
      <c r="H35" s="169"/>
      <c r="I35" s="170"/>
      <c r="J35" s="171"/>
      <c r="K35" s="170"/>
      <c r="L35" s="171"/>
      <c r="M35" s="170"/>
      <c r="N35" s="172"/>
      <c r="O35" s="170"/>
      <c r="P35" s="171"/>
      <c r="Q35" s="171"/>
      <c r="R35" s="171"/>
      <c r="S35" s="173"/>
      <c r="T35" s="173"/>
      <c r="U35" s="173"/>
      <c r="V35" s="173"/>
      <c r="W35" s="173"/>
      <c r="X35" s="172"/>
      <c r="Y35" s="173"/>
      <c r="Z35" s="171"/>
      <c r="AA35" s="172"/>
      <c r="AB35" s="173"/>
      <c r="AC35" s="171"/>
      <c r="AD35" s="172"/>
      <c r="AE35" s="171"/>
      <c r="AF35" s="171"/>
      <c r="AG35" s="172"/>
      <c r="AH35" s="171"/>
      <c r="AI35" s="171"/>
      <c r="AJ35" s="174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22" t="s">
        <v>32</v>
      </c>
      <c r="AY35" s="283"/>
      <c r="AZ35" s="33"/>
      <c r="BA35" s="46"/>
      <c r="BB35" s="78"/>
      <c r="BC35" s="34"/>
      <c r="BD35" s="28"/>
      <c r="BE35" s="35"/>
      <c r="BF35" s="35"/>
      <c r="BG35" s="35"/>
    </row>
    <row r="36" spans="1:59" ht="5.15" customHeight="1">
      <c r="A36" s="22"/>
      <c r="B36" s="32"/>
      <c r="C36" s="288"/>
      <c r="D36" s="289"/>
      <c r="E36" s="289"/>
      <c r="F36" s="289"/>
      <c r="G36" s="289"/>
      <c r="H36" s="290"/>
      <c r="I36" s="290"/>
      <c r="J36" s="291"/>
      <c r="K36" s="290"/>
      <c r="L36" s="291"/>
      <c r="M36" s="290"/>
      <c r="N36" s="292"/>
      <c r="O36" s="290"/>
      <c r="P36" s="291"/>
      <c r="Q36" s="291"/>
      <c r="R36" s="291"/>
      <c r="S36" s="293"/>
      <c r="T36" s="293"/>
      <c r="U36" s="293"/>
      <c r="V36" s="293"/>
      <c r="W36" s="293"/>
      <c r="X36" s="292"/>
      <c r="Y36" s="293"/>
      <c r="Z36" s="291"/>
      <c r="AA36" s="292"/>
      <c r="AB36" s="293"/>
      <c r="AC36" s="291"/>
      <c r="AD36" s="292"/>
      <c r="AE36" s="291"/>
      <c r="AF36" s="291"/>
      <c r="AG36" s="292"/>
      <c r="AH36" s="291"/>
      <c r="AI36" s="291"/>
      <c r="AJ36" s="294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291"/>
      <c r="AX36" s="276"/>
      <c r="AY36" s="295"/>
      <c r="AZ36" s="33"/>
      <c r="BA36" s="46"/>
      <c r="BB36" s="78"/>
      <c r="BC36" s="34"/>
      <c r="BD36" s="28"/>
      <c r="BE36" s="35"/>
      <c r="BF36" s="35"/>
      <c r="BG36" s="35"/>
    </row>
    <row r="37" spans="1:59" ht="13.5" customHeight="1">
      <c r="A37" s="22"/>
      <c r="B37" s="32"/>
      <c r="C37" s="41"/>
      <c r="D37" s="41"/>
      <c r="E37" s="41"/>
      <c r="F37" s="41"/>
      <c r="G37" s="41"/>
      <c r="H37" s="364"/>
      <c r="I37" s="364"/>
      <c r="J37" s="365"/>
      <c r="K37" s="364"/>
      <c r="L37" s="365"/>
      <c r="M37" s="364"/>
      <c r="N37" s="366"/>
      <c r="O37" s="364"/>
      <c r="P37" s="365"/>
      <c r="Q37" s="365"/>
      <c r="R37" s="365"/>
      <c r="S37" s="367"/>
      <c r="T37" s="367"/>
      <c r="U37" s="367"/>
      <c r="V37" s="367"/>
      <c r="W37" s="367"/>
      <c r="X37" s="366"/>
      <c r="Y37" s="367"/>
      <c r="Z37" s="365"/>
      <c r="AA37" s="366"/>
      <c r="AB37" s="367"/>
      <c r="AC37" s="365"/>
      <c r="AD37" s="366"/>
      <c r="AE37" s="365"/>
      <c r="AF37" s="365"/>
      <c r="AG37" s="366"/>
      <c r="AH37" s="365"/>
      <c r="AI37" s="365"/>
      <c r="AJ37" s="368"/>
      <c r="AK37" s="365"/>
      <c r="AL37" s="365"/>
      <c r="AM37" s="365"/>
      <c r="AN37" s="365"/>
      <c r="AO37" s="365"/>
      <c r="AP37" s="365"/>
      <c r="AQ37" s="365"/>
      <c r="AR37" s="365"/>
      <c r="AS37" s="365"/>
      <c r="AT37" s="365"/>
      <c r="AU37" s="365"/>
      <c r="AV37" s="365"/>
      <c r="AW37" s="365"/>
      <c r="AX37" s="280"/>
      <c r="AY37" s="279"/>
      <c r="AZ37" s="33"/>
      <c r="BA37" s="46"/>
      <c r="BB37" s="78"/>
      <c r="BC37" s="34"/>
      <c r="BD37" s="28"/>
      <c r="BE37" s="35"/>
      <c r="BF37" s="35"/>
      <c r="BG37" s="35"/>
    </row>
    <row r="38" spans="1:59" ht="13.5" customHeight="1">
      <c r="A38" s="22"/>
      <c r="B38" s="202">
        <v>2</v>
      </c>
      <c r="C38" s="204" t="s">
        <v>171</v>
      </c>
      <c r="D38" s="28"/>
      <c r="E38" s="28"/>
      <c r="F38" s="28"/>
      <c r="G38" s="28"/>
      <c r="H38" s="316"/>
      <c r="I38" s="275"/>
      <c r="J38" s="273"/>
      <c r="K38" s="275"/>
      <c r="L38" s="273"/>
      <c r="M38" s="317"/>
      <c r="N38" s="317"/>
      <c r="O38" s="270"/>
      <c r="P38" s="317"/>
      <c r="Q38" s="270"/>
      <c r="R38" s="317"/>
      <c r="S38" s="271"/>
      <c r="T38" s="73"/>
      <c r="U38" s="73"/>
      <c r="V38" s="73"/>
      <c r="W38" s="73"/>
      <c r="X38" s="73"/>
      <c r="Y38" s="316"/>
      <c r="Z38" s="275"/>
      <c r="AA38" s="273"/>
      <c r="AB38" s="275"/>
      <c r="AC38" s="273"/>
      <c r="AD38" s="317"/>
      <c r="AE38" s="317"/>
      <c r="AF38" s="270"/>
      <c r="AG38" s="317"/>
      <c r="AH38" s="317"/>
      <c r="AI38" s="276"/>
      <c r="AJ38" s="317"/>
      <c r="AK38" s="270"/>
      <c r="AL38" s="73"/>
      <c r="AM38" s="73"/>
      <c r="AN38" s="73"/>
      <c r="AO38" s="73"/>
      <c r="AP38" s="73"/>
      <c r="AQ38" s="73"/>
      <c r="AR38" s="73"/>
      <c r="AS38" s="273"/>
      <c r="AT38" s="276"/>
      <c r="AU38" s="273"/>
      <c r="AV38" s="270"/>
      <c r="AW38" s="270"/>
      <c r="AX38" s="270"/>
      <c r="AY38" s="31"/>
      <c r="AZ38" s="33"/>
      <c r="BA38" s="46"/>
      <c r="BB38" s="78"/>
      <c r="BC38" s="34"/>
      <c r="BD38" s="28"/>
    </row>
    <row r="39" spans="1:59" ht="5.15" customHeight="1">
      <c r="A39" s="22"/>
      <c r="B39" s="202"/>
      <c r="C39" s="369"/>
      <c r="D39" s="370"/>
      <c r="E39" s="370"/>
      <c r="F39" s="370"/>
      <c r="G39" s="370"/>
      <c r="H39" s="371"/>
      <c r="I39" s="372"/>
      <c r="J39" s="373"/>
      <c r="K39" s="372"/>
      <c r="L39" s="373"/>
      <c r="M39" s="374"/>
      <c r="N39" s="374"/>
      <c r="O39" s="370"/>
      <c r="P39" s="374"/>
      <c r="Q39" s="370"/>
      <c r="R39" s="374"/>
      <c r="S39" s="375"/>
      <c r="T39" s="370"/>
      <c r="U39" s="370"/>
      <c r="V39" s="370"/>
      <c r="W39" s="370"/>
      <c r="X39" s="370"/>
      <c r="Y39" s="371"/>
      <c r="Z39" s="372"/>
      <c r="AA39" s="373"/>
      <c r="AB39" s="372"/>
      <c r="AC39" s="373"/>
      <c r="AD39" s="374"/>
      <c r="AE39" s="374"/>
      <c r="AF39" s="370"/>
      <c r="AG39" s="374"/>
      <c r="AH39" s="374"/>
      <c r="AI39" s="376"/>
      <c r="AJ39" s="374"/>
      <c r="AK39" s="370"/>
      <c r="AL39" s="370"/>
      <c r="AM39" s="370"/>
      <c r="AN39" s="370"/>
      <c r="AO39" s="370"/>
      <c r="AP39" s="370"/>
      <c r="AQ39" s="370"/>
      <c r="AR39" s="370"/>
      <c r="AS39" s="373"/>
      <c r="AT39" s="376"/>
      <c r="AU39" s="373"/>
      <c r="AV39" s="370"/>
      <c r="AW39" s="370"/>
      <c r="AX39" s="370"/>
      <c r="AY39" s="487"/>
      <c r="AZ39" s="33"/>
      <c r="BA39" s="46"/>
      <c r="BB39" s="78"/>
      <c r="BC39" s="34"/>
      <c r="BD39" s="28"/>
    </row>
    <row r="40" spans="1:59" ht="13.5" customHeight="1">
      <c r="A40" s="22"/>
      <c r="B40" s="45"/>
      <c r="C40" s="377" t="s">
        <v>172</v>
      </c>
      <c r="D40" s="378"/>
      <c r="E40" s="378"/>
      <c r="F40" s="378"/>
      <c r="G40" s="378"/>
      <c r="H40" s="392"/>
      <c r="I40" s="95"/>
      <c r="J40" s="95"/>
      <c r="K40" s="95"/>
      <c r="L40" s="96"/>
      <c r="M40" s="95"/>
      <c r="N40" s="97"/>
      <c r="O40" s="379" t="s">
        <v>111</v>
      </c>
      <c r="P40" s="380"/>
      <c r="Q40" s="381"/>
      <c r="R40" s="382"/>
      <c r="S40" s="380"/>
      <c r="T40" s="378"/>
      <c r="U40" s="378"/>
      <c r="V40" s="378"/>
      <c r="W40" s="378"/>
      <c r="X40" s="380"/>
      <c r="Y40" s="383"/>
      <c r="Z40" s="382"/>
      <c r="AA40" s="382"/>
      <c r="AB40" s="382"/>
      <c r="AC40" s="381"/>
      <c r="AD40" s="382"/>
      <c r="AE40" s="378"/>
      <c r="AF40" s="378"/>
      <c r="AG40" s="378"/>
      <c r="AH40" s="378"/>
      <c r="AI40" s="378"/>
      <c r="AJ40" s="380"/>
      <c r="AK40" s="378"/>
      <c r="AL40" s="378"/>
      <c r="AM40" s="378"/>
      <c r="AN40" s="378"/>
      <c r="AO40" s="380"/>
      <c r="AP40" s="383"/>
      <c r="AQ40" s="382"/>
      <c r="AR40" s="382"/>
      <c r="AS40" s="382"/>
      <c r="AT40" s="381"/>
      <c r="AU40" s="382"/>
      <c r="AV40" s="378"/>
      <c r="AW40" s="378"/>
      <c r="AX40" s="378"/>
      <c r="AY40" s="487"/>
      <c r="AZ40" s="33"/>
      <c r="BA40" s="46"/>
      <c r="BB40" s="78"/>
      <c r="BC40" s="34"/>
      <c r="BD40" s="28"/>
      <c r="BE40" s="35"/>
      <c r="BF40" s="35"/>
      <c r="BG40" s="35"/>
    </row>
    <row r="41" spans="1:59" ht="5.15" customHeight="1">
      <c r="A41" s="22"/>
      <c r="B41" s="32"/>
      <c r="C41" s="384"/>
      <c r="D41" s="385"/>
      <c r="E41" s="385"/>
      <c r="F41" s="385"/>
      <c r="G41" s="385"/>
      <c r="H41" s="386"/>
      <c r="I41" s="386"/>
      <c r="J41" s="387"/>
      <c r="K41" s="386"/>
      <c r="L41" s="387"/>
      <c r="M41" s="386"/>
      <c r="N41" s="388"/>
      <c r="O41" s="386"/>
      <c r="P41" s="387"/>
      <c r="Q41" s="387"/>
      <c r="R41" s="387"/>
      <c r="S41" s="389"/>
      <c r="T41" s="389"/>
      <c r="U41" s="389"/>
      <c r="V41" s="389"/>
      <c r="W41" s="389"/>
      <c r="X41" s="388"/>
      <c r="Y41" s="389"/>
      <c r="Z41" s="387"/>
      <c r="AA41" s="388"/>
      <c r="AB41" s="389"/>
      <c r="AC41" s="387"/>
      <c r="AD41" s="388"/>
      <c r="AE41" s="387"/>
      <c r="AF41" s="387"/>
      <c r="AG41" s="388"/>
      <c r="AH41" s="387"/>
      <c r="AI41" s="387"/>
      <c r="AJ41" s="390"/>
      <c r="AK41" s="387"/>
      <c r="AL41" s="387"/>
      <c r="AM41" s="387"/>
      <c r="AN41" s="387"/>
      <c r="AO41" s="387"/>
      <c r="AP41" s="387"/>
      <c r="AQ41" s="387"/>
      <c r="AR41" s="387"/>
      <c r="AS41" s="387"/>
      <c r="AT41" s="387"/>
      <c r="AU41" s="387"/>
      <c r="AV41" s="387"/>
      <c r="AW41" s="387"/>
      <c r="AX41" s="391"/>
      <c r="AY41" s="487"/>
      <c r="AZ41" s="33"/>
      <c r="BA41" s="46"/>
      <c r="BB41" s="78"/>
      <c r="BC41" s="34"/>
      <c r="BD41" s="28"/>
      <c r="BE41" s="35"/>
      <c r="BF41" s="35"/>
      <c r="BG41" s="35"/>
    </row>
    <row r="42" spans="1:59" ht="13.5" customHeight="1">
      <c r="A42" s="22"/>
      <c r="B42" s="202">
        <v>4</v>
      </c>
      <c r="C42" s="43"/>
      <c r="D42" s="31"/>
      <c r="E42" s="31"/>
      <c r="F42" s="31"/>
      <c r="G42" s="31"/>
      <c r="H42" s="62"/>
      <c r="I42" s="63"/>
      <c r="J42" s="63"/>
      <c r="K42" s="63"/>
      <c r="L42" s="64"/>
      <c r="M42" s="63"/>
      <c r="N42" s="65"/>
      <c r="O42" s="65"/>
      <c r="P42" s="65"/>
      <c r="Q42" s="65"/>
      <c r="R42" s="65"/>
      <c r="S42" s="75"/>
      <c r="T42" s="63"/>
      <c r="U42" s="63"/>
      <c r="V42" s="63"/>
      <c r="W42" s="63"/>
      <c r="X42" s="62"/>
      <c r="Y42" s="63"/>
      <c r="Z42" s="63"/>
      <c r="AA42" s="63"/>
      <c r="AB42" s="64"/>
      <c r="AC42" s="63"/>
      <c r="AD42" s="65"/>
      <c r="AE42" s="65"/>
      <c r="AF42" s="65"/>
      <c r="AG42" s="65"/>
      <c r="AH42" s="65"/>
      <c r="AI42" s="75"/>
      <c r="AJ42" s="63"/>
      <c r="AK42" s="63"/>
      <c r="AL42" s="63"/>
      <c r="AM42" s="63"/>
      <c r="AN42" s="125"/>
      <c r="AO42" s="62"/>
      <c r="AP42" s="62"/>
      <c r="AQ42" s="63"/>
      <c r="AR42" s="63"/>
      <c r="AS42" s="63"/>
      <c r="AT42" s="64"/>
      <c r="AU42" s="63"/>
      <c r="AV42" s="65"/>
      <c r="AW42" s="65"/>
      <c r="AX42" s="65"/>
      <c r="AY42" s="31"/>
      <c r="AZ42" s="33"/>
      <c r="BA42" s="46"/>
      <c r="BB42" s="78"/>
      <c r="BC42" s="34"/>
      <c r="BD42" s="35"/>
      <c r="BE42" s="35"/>
      <c r="BF42" s="35"/>
      <c r="BG42" s="35"/>
    </row>
    <row r="43" spans="1:59" ht="13.5" customHeight="1">
      <c r="A43" s="22"/>
      <c r="B43" s="202">
        <v>5</v>
      </c>
      <c r="C43" s="204" t="s">
        <v>262</v>
      </c>
      <c r="D43" s="28"/>
      <c r="E43" s="28"/>
      <c r="F43" s="28"/>
      <c r="G43" s="28"/>
      <c r="H43" s="121"/>
      <c r="I43" s="62"/>
      <c r="J43" s="62"/>
      <c r="K43" s="63"/>
      <c r="L43" s="69"/>
      <c r="M43" s="69"/>
      <c r="N43" s="65"/>
      <c r="O43" s="69"/>
      <c r="P43" s="65"/>
      <c r="Q43" s="65"/>
      <c r="R43" s="69"/>
      <c r="S43" s="28"/>
      <c r="T43" s="28"/>
      <c r="U43" s="28"/>
      <c r="V43" s="28"/>
      <c r="W43" s="28"/>
      <c r="X43" s="121"/>
      <c r="Y43" s="62"/>
      <c r="Z43" s="63"/>
      <c r="AA43" s="62"/>
      <c r="AB43" s="63"/>
      <c r="AC43" s="69"/>
      <c r="AD43" s="69"/>
      <c r="AE43" s="65"/>
      <c r="AF43" s="69"/>
      <c r="AG43" s="65"/>
      <c r="AH43" s="69"/>
      <c r="AI43" s="64"/>
      <c r="AJ43" s="69"/>
      <c r="AK43" s="65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33"/>
      <c r="AW43" s="28"/>
      <c r="AX43" s="28"/>
      <c r="AY43" s="31"/>
      <c r="AZ43" s="33"/>
      <c r="BA43" s="46"/>
      <c r="BB43" s="159"/>
      <c r="BC43" s="115"/>
      <c r="BD43" s="28"/>
    </row>
    <row r="44" spans="1:59" ht="5.15" customHeight="1">
      <c r="A44" s="22"/>
      <c r="B44" s="202"/>
      <c r="C44" s="296"/>
      <c r="D44" s="72"/>
      <c r="E44" s="72"/>
      <c r="F44" s="72"/>
      <c r="G44" s="72"/>
      <c r="H44" s="297"/>
      <c r="I44" s="278"/>
      <c r="J44" s="278"/>
      <c r="K44" s="279"/>
      <c r="L44" s="298"/>
      <c r="M44" s="298"/>
      <c r="N44" s="263"/>
      <c r="O44" s="298"/>
      <c r="P44" s="263"/>
      <c r="Q44" s="263"/>
      <c r="R44" s="298"/>
      <c r="S44" s="72"/>
      <c r="T44" s="72"/>
      <c r="U44" s="72"/>
      <c r="V44" s="72"/>
      <c r="W44" s="72"/>
      <c r="X44" s="297"/>
      <c r="Y44" s="278"/>
      <c r="Z44" s="279"/>
      <c r="AA44" s="278"/>
      <c r="AB44" s="279"/>
      <c r="AC44" s="298"/>
      <c r="AD44" s="298"/>
      <c r="AE44" s="263"/>
      <c r="AF44" s="298"/>
      <c r="AG44" s="263"/>
      <c r="AH44" s="298"/>
      <c r="AI44" s="280"/>
      <c r="AJ44" s="298"/>
      <c r="AK44" s="263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300"/>
      <c r="AW44" s="72"/>
      <c r="AX44" s="72"/>
      <c r="AY44" s="265"/>
      <c r="AZ44" s="33"/>
      <c r="BA44" s="46"/>
      <c r="BB44" s="159"/>
      <c r="BC44" s="115"/>
      <c r="BD44" s="28"/>
    </row>
    <row r="45" spans="1:59" ht="13.9" customHeight="1">
      <c r="A45" s="22"/>
      <c r="B45" s="202"/>
      <c r="C45" s="501" t="s">
        <v>280</v>
      </c>
      <c r="D45" s="28"/>
      <c r="E45" s="28"/>
      <c r="F45" s="28"/>
      <c r="G45" s="86" t="s">
        <v>275</v>
      </c>
      <c r="H45" s="86"/>
      <c r="I45" s="86"/>
      <c r="J45" s="86"/>
      <c r="K45" s="86"/>
      <c r="L45" s="322"/>
      <c r="M45" s="75"/>
      <c r="N45" s="65"/>
      <c r="O45" s="69"/>
      <c r="P45" s="65"/>
      <c r="Q45" s="65"/>
      <c r="R45" s="69"/>
      <c r="S45" s="28"/>
      <c r="T45" s="28"/>
      <c r="U45" s="28"/>
      <c r="V45" s="28"/>
      <c r="W45" s="28"/>
      <c r="X45" s="121"/>
      <c r="Y45" s="62"/>
      <c r="Z45" s="63"/>
      <c r="AA45" s="62"/>
      <c r="AB45" s="63"/>
      <c r="AC45" s="69"/>
      <c r="AD45" s="69"/>
      <c r="AE45" s="65"/>
      <c r="AF45" s="69"/>
      <c r="AG45" s="65"/>
      <c r="AH45" s="69"/>
      <c r="AI45" s="64"/>
      <c r="AJ45" s="69"/>
      <c r="AK45" s="65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33"/>
      <c r="AW45" s="28"/>
      <c r="AX45" s="28"/>
      <c r="AY45" s="267"/>
      <c r="AZ45" s="33"/>
      <c r="BA45" s="46"/>
      <c r="BB45" s="159"/>
      <c r="BC45" s="115"/>
      <c r="BD45" s="28"/>
    </row>
    <row r="46" spans="1:59" ht="13.5" customHeight="1">
      <c r="A46" s="22"/>
      <c r="B46" s="202">
        <v>6</v>
      </c>
      <c r="C46" s="304" t="s">
        <v>31</v>
      </c>
      <c r="D46" s="205" t="s">
        <v>260</v>
      </c>
      <c r="E46" s="206"/>
      <c r="F46" s="206"/>
      <c r="G46" s="207"/>
      <c r="H46" s="208" t="s">
        <v>274</v>
      </c>
      <c r="I46" s="209"/>
      <c r="J46" s="209"/>
      <c r="K46" s="206"/>
      <c r="L46" s="207"/>
      <c r="M46" s="515"/>
      <c r="N46" s="28"/>
      <c r="O46" s="28"/>
      <c r="P46" s="28"/>
      <c r="Q46" s="28"/>
      <c r="R46" s="28"/>
      <c r="S46" s="35"/>
      <c r="T46" s="35"/>
      <c r="U46" s="35"/>
      <c r="V46" s="35"/>
      <c r="Y46" s="35"/>
      <c r="Z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11"/>
      <c r="AZ46" s="33"/>
      <c r="BA46" s="46"/>
      <c r="BB46" s="159"/>
      <c r="BC46" s="115"/>
      <c r="BD46" s="35"/>
      <c r="BE46" s="35"/>
      <c r="BF46" s="35"/>
      <c r="BG46" s="35"/>
    </row>
    <row r="47" spans="1:59" ht="13.5" customHeight="1">
      <c r="A47" s="22"/>
      <c r="B47" s="202">
        <v>8</v>
      </c>
      <c r="C47" s="308">
        <v>1</v>
      </c>
      <c r="D47" s="148" t="s">
        <v>147</v>
      </c>
      <c r="E47" s="149"/>
      <c r="F47" s="149"/>
      <c r="G47" s="151"/>
      <c r="H47" s="1019">
        <v>110</v>
      </c>
      <c r="I47" s="989"/>
      <c r="J47" s="989"/>
      <c r="K47" s="989"/>
      <c r="L47" s="990"/>
      <c r="M47" s="28"/>
      <c r="N47" s="28"/>
      <c r="O47" s="28"/>
      <c r="P47" s="28"/>
      <c r="Q47" s="28"/>
      <c r="R47" s="28"/>
      <c r="S47" s="35"/>
      <c r="T47" s="35"/>
      <c r="U47" s="35"/>
      <c r="V47" s="35"/>
      <c r="Y47" s="35"/>
      <c r="Z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11"/>
      <c r="AZ47" s="33"/>
      <c r="BA47" s="46"/>
      <c r="BB47" s="159"/>
      <c r="BC47" s="115"/>
      <c r="BD47" s="35"/>
      <c r="BE47" s="35"/>
      <c r="BF47" s="35"/>
      <c r="BG47" s="35"/>
    </row>
    <row r="48" spans="1:59" ht="13.5" customHeight="1">
      <c r="A48" s="22"/>
      <c r="B48" s="202">
        <v>9</v>
      </c>
      <c r="C48" s="308">
        <v>2</v>
      </c>
      <c r="D48" s="148" t="s">
        <v>261</v>
      </c>
      <c r="E48" s="149"/>
      <c r="F48" s="149"/>
      <c r="G48" s="151"/>
      <c r="H48" s="1019">
        <v>125</v>
      </c>
      <c r="I48" s="989"/>
      <c r="J48" s="989"/>
      <c r="K48" s="989"/>
      <c r="L48" s="990"/>
      <c r="M48" s="28"/>
      <c r="N48" s="28"/>
      <c r="O48" s="28"/>
      <c r="P48" s="28"/>
      <c r="Q48" s="28"/>
      <c r="R48" s="28"/>
      <c r="S48" s="35"/>
      <c r="T48" s="35"/>
      <c r="U48" s="35"/>
      <c r="V48" s="35"/>
      <c r="Y48" s="35"/>
      <c r="Z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11"/>
      <c r="AZ48" s="33"/>
      <c r="BA48" s="46"/>
      <c r="BB48" s="159"/>
      <c r="BC48" s="115"/>
      <c r="BD48" s="35"/>
      <c r="BE48" s="35"/>
      <c r="BF48" s="35"/>
      <c r="BG48" s="35"/>
    </row>
    <row r="49" spans="1:74" ht="5.15" customHeight="1">
      <c r="A49" s="22"/>
      <c r="B49" s="202"/>
      <c r="C49" s="315"/>
      <c r="D49" s="73"/>
      <c r="E49" s="73"/>
      <c r="F49" s="73"/>
      <c r="G49" s="73"/>
      <c r="H49" s="316"/>
      <c r="I49" s="275"/>
      <c r="J49" s="275"/>
      <c r="K49" s="273"/>
      <c r="L49" s="317"/>
      <c r="M49" s="317"/>
      <c r="N49" s="270"/>
      <c r="O49" s="317"/>
      <c r="P49" s="270"/>
      <c r="Q49" s="270"/>
      <c r="R49" s="317"/>
      <c r="S49" s="73"/>
      <c r="T49" s="73"/>
      <c r="U49" s="73"/>
      <c r="V49" s="73"/>
      <c r="W49" s="73"/>
      <c r="X49" s="316"/>
      <c r="Y49" s="275"/>
      <c r="Z49" s="273"/>
      <c r="AA49" s="275"/>
      <c r="AB49" s="273"/>
      <c r="AC49" s="317"/>
      <c r="AD49" s="317"/>
      <c r="AE49" s="270"/>
      <c r="AF49" s="317"/>
      <c r="AG49" s="270"/>
      <c r="AH49" s="317"/>
      <c r="AI49" s="276"/>
      <c r="AJ49" s="317"/>
      <c r="AK49" s="270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318"/>
      <c r="AW49" s="73"/>
      <c r="AX49" s="73"/>
      <c r="AY49" s="277"/>
      <c r="AZ49" s="33"/>
      <c r="BA49" s="46"/>
      <c r="BB49" s="159"/>
      <c r="BC49" s="115"/>
      <c r="BD49" s="28"/>
    </row>
    <row r="50" spans="1:74" ht="13.5" customHeight="1">
      <c r="A50" s="22"/>
      <c r="B50" s="202">
        <v>10</v>
      </c>
      <c r="C50" s="492"/>
      <c r="D50" s="65"/>
      <c r="E50" s="65"/>
      <c r="F50" s="65"/>
      <c r="G50" s="65"/>
      <c r="H50" s="65"/>
      <c r="I50" s="65"/>
      <c r="J50" s="65"/>
      <c r="K50" s="65"/>
      <c r="L50" s="65"/>
      <c r="M50" s="62"/>
      <c r="N50" s="63"/>
      <c r="O50" s="65"/>
      <c r="P50" s="65"/>
      <c r="Q50" s="64"/>
      <c r="R50" s="63"/>
      <c r="S50" s="190"/>
      <c r="T50" s="190"/>
      <c r="U50" s="191"/>
      <c r="V50" s="192"/>
      <c r="W50" s="190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33"/>
      <c r="BA50" s="46"/>
      <c r="BB50" s="159"/>
      <c r="BC50" s="115"/>
      <c r="BD50" s="28"/>
    </row>
    <row r="51" spans="1:74" ht="13.5" customHeight="1">
      <c r="A51" s="22"/>
      <c r="B51" s="202">
        <v>5</v>
      </c>
      <c r="C51" s="204" t="s">
        <v>62</v>
      </c>
      <c r="D51" s="28"/>
      <c r="E51" s="28"/>
      <c r="F51" s="28"/>
      <c r="G51" s="28"/>
      <c r="H51" s="121"/>
      <c r="I51" s="62"/>
      <c r="J51" s="63"/>
      <c r="K51" s="62"/>
      <c r="L51" s="63"/>
      <c r="M51" s="69"/>
      <c r="N51" s="69"/>
      <c r="O51" s="65"/>
      <c r="P51" s="69"/>
      <c r="Q51" s="65"/>
      <c r="R51" s="69"/>
      <c r="S51" s="28"/>
      <c r="T51" s="28"/>
      <c r="U51" s="28"/>
      <c r="V51" s="28"/>
      <c r="W51" s="28"/>
      <c r="X51" s="121"/>
      <c r="Y51" s="62"/>
      <c r="Z51" s="63"/>
      <c r="AA51" s="62"/>
      <c r="AB51" s="63"/>
      <c r="AC51" s="69"/>
      <c r="AD51" s="69"/>
      <c r="AE51" s="65"/>
      <c r="AF51" s="69"/>
      <c r="AG51" s="65"/>
      <c r="AH51" s="69"/>
      <c r="AI51" s="64"/>
      <c r="AJ51" s="69"/>
      <c r="AK51" s="65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33"/>
      <c r="AW51" s="28"/>
      <c r="AX51" s="28"/>
      <c r="AY51" s="31"/>
      <c r="AZ51" s="33"/>
      <c r="BA51" s="46"/>
      <c r="BB51" s="159"/>
      <c r="BC51" s="115"/>
      <c r="BD51" s="28"/>
    </row>
    <row r="52" spans="1:74" ht="5.15" customHeight="1">
      <c r="A52" s="22"/>
      <c r="B52" s="202"/>
      <c r="C52" s="296"/>
      <c r="D52" s="72"/>
      <c r="E52" s="72"/>
      <c r="F52" s="72"/>
      <c r="G52" s="72"/>
      <c r="H52" s="297"/>
      <c r="I52" s="278"/>
      <c r="J52" s="279"/>
      <c r="K52" s="278"/>
      <c r="L52" s="279"/>
      <c r="M52" s="298"/>
      <c r="N52" s="298"/>
      <c r="O52" s="263"/>
      <c r="P52" s="298"/>
      <c r="Q52" s="263"/>
      <c r="R52" s="298"/>
      <c r="S52" s="72"/>
      <c r="T52" s="72"/>
      <c r="U52" s="72"/>
      <c r="V52" s="72"/>
      <c r="W52" s="72"/>
      <c r="X52" s="297"/>
      <c r="Y52" s="278"/>
      <c r="Z52" s="279"/>
      <c r="AA52" s="278"/>
      <c r="AB52" s="279"/>
      <c r="AC52" s="298"/>
      <c r="AD52" s="298"/>
      <c r="AE52" s="263"/>
      <c r="AF52" s="298"/>
      <c r="AG52" s="263"/>
      <c r="AH52" s="298"/>
      <c r="AI52" s="280"/>
      <c r="AJ52" s="298"/>
      <c r="AK52" s="263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300"/>
      <c r="AW52" s="72"/>
      <c r="AX52" s="72"/>
      <c r="AY52" s="264"/>
      <c r="AZ52" s="264"/>
      <c r="BA52" s="301"/>
      <c r="BB52" s="302"/>
      <c r="BC52" s="303"/>
      <c r="BD52" s="28"/>
    </row>
    <row r="53" spans="1:74" ht="13.5" customHeight="1">
      <c r="A53" s="22"/>
      <c r="B53" s="45"/>
      <c r="C53" s="266"/>
      <c r="D53" s="28" t="s">
        <v>286</v>
      </c>
      <c r="E53" s="28"/>
      <c r="F53" s="28"/>
      <c r="G53" s="28"/>
      <c r="H53" s="86" t="s">
        <v>138</v>
      </c>
      <c r="I53" s="86"/>
      <c r="J53" s="86"/>
      <c r="K53" s="86"/>
      <c r="L53" s="86"/>
      <c r="M53" s="322"/>
      <c r="N53" s="87"/>
      <c r="O53" s="88"/>
      <c r="P53" s="88"/>
      <c r="Q53" s="89"/>
      <c r="R53" s="87"/>
      <c r="S53" s="87"/>
      <c r="T53" s="87"/>
      <c r="U53" s="88"/>
      <c r="V53" s="89"/>
      <c r="W53" s="87"/>
      <c r="X53" s="65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65"/>
      <c r="AY53" s="31"/>
      <c r="AZ53" s="52"/>
      <c r="BA53" s="93"/>
      <c r="BB53" s="327"/>
      <c r="BC53" s="328"/>
      <c r="BD53" s="28"/>
      <c r="BE53" s="35"/>
      <c r="BF53" s="35"/>
      <c r="BG53" s="35"/>
    </row>
    <row r="54" spans="1:74" ht="13.5" customHeight="1">
      <c r="A54" s="22"/>
      <c r="B54" s="202">
        <v>6</v>
      </c>
      <c r="C54" s="304" t="s">
        <v>31</v>
      </c>
      <c r="D54" s="205" t="s">
        <v>63</v>
      </c>
      <c r="E54" s="206"/>
      <c r="F54" s="206"/>
      <c r="G54" s="207"/>
      <c r="H54" s="208" t="s">
        <v>72</v>
      </c>
      <c r="I54" s="209"/>
      <c r="J54" s="209"/>
      <c r="K54" s="209"/>
      <c r="L54" s="206"/>
      <c r="M54" s="207"/>
      <c r="N54" s="205" t="s">
        <v>73</v>
      </c>
      <c r="O54" s="206"/>
      <c r="P54" s="206"/>
      <c r="Q54" s="207"/>
      <c r="R54" s="205" t="s">
        <v>74</v>
      </c>
      <c r="S54" s="206"/>
      <c r="T54" s="206"/>
      <c r="U54" s="206"/>
      <c r="V54" s="210" t="s">
        <v>290</v>
      </c>
      <c r="W54" s="211"/>
      <c r="X54" s="211"/>
      <c r="Y54" s="212"/>
      <c r="Z54" s="528" t="s">
        <v>76</v>
      </c>
      <c r="AA54" s="211"/>
      <c r="AB54" s="211"/>
      <c r="AC54" s="211"/>
      <c r="AD54" s="212"/>
      <c r="AE54" s="210" t="s">
        <v>291</v>
      </c>
      <c r="AF54" s="211"/>
      <c r="AG54" s="211"/>
      <c r="AH54" s="212"/>
      <c r="AI54" s="210" t="s">
        <v>161</v>
      </c>
      <c r="AJ54" s="211"/>
      <c r="AK54" s="211"/>
      <c r="AL54" s="212"/>
      <c r="AM54" s="211" t="s">
        <v>151</v>
      </c>
      <c r="AN54" s="211"/>
      <c r="AO54" s="211"/>
      <c r="AP54" s="212"/>
      <c r="AQ54" s="211" t="s">
        <v>196</v>
      </c>
      <c r="AR54" s="211"/>
      <c r="AS54" s="211"/>
      <c r="AT54" s="212"/>
      <c r="AU54" s="210" t="s">
        <v>198</v>
      </c>
      <c r="AV54" s="211"/>
      <c r="AW54" s="211"/>
      <c r="AX54" s="212"/>
      <c r="AY54" s="210" t="s">
        <v>82</v>
      </c>
      <c r="AZ54" s="211"/>
      <c r="BA54" s="211"/>
      <c r="BB54" s="212"/>
      <c r="BC54" s="210" t="s">
        <v>41</v>
      </c>
      <c r="BD54" s="211"/>
      <c r="BE54" s="211"/>
      <c r="BF54" s="212"/>
      <c r="BG54" s="211" t="s">
        <v>155</v>
      </c>
      <c r="BH54" s="211"/>
      <c r="BI54" s="212"/>
      <c r="BJ54" s="305" t="s">
        <v>85</v>
      </c>
      <c r="BK54" s="211"/>
      <c r="BL54" s="211"/>
      <c r="BM54" s="212"/>
      <c r="BN54" s="211" t="s">
        <v>68</v>
      </c>
      <c r="BO54" s="211"/>
      <c r="BP54" s="211"/>
      <c r="BQ54" s="212"/>
      <c r="BR54" s="28"/>
      <c r="BS54" s="28"/>
      <c r="BT54" s="28"/>
      <c r="BU54" s="28"/>
      <c r="BV54" s="28"/>
    </row>
    <row r="55" spans="1:74" ht="13.5" customHeight="1">
      <c r="A55" s="22"/>
      <c r="B55" s="202">
        <v>7</v>
      </c>
      <c r="C55" s="306"/>
      <c r="D55" s="213" t="s">
        <v>29</v>
      </c>
      <c r="E55" s="216"/>
      <c r="F55" s="214"/>
      <c r="G55" s="215"/>
      <c r="H55" s="213" t="s">
        <v>29</v>
      </c>
      <c r="I55" s="216"/>
      <c r="J55" s="216"/>
      <c r="K55" s="216"/>
      <c r="L55" s="214"/>
      <c r="M55" s="215"/>
      <c r="N55" s="213" t="s">
        <v>29</v>
      </c>
      <c r="O55" s="214"/>
      <c r="P55" s="214"/>
      <c r="Q55" s="215"/>
      <c r="R55" s="213"/>
      <c r="S55" s="216"/>
      <c r="T55" s="214"/>
      <c r="U55" s="214"/>
      <c r="V55" s="217" t="s">
        <v>42</v>
      </c>
      <c r="W55" s="218"/>
      <c r="X55" s="219"/>
      <c r="Y55" s="220"/>
      <c r="Z55" s="217" t="s">
        <v>29</v>
      </c>
      <c r="AA55" s="218"/>
      <c r="AB55" s="218"/>
      <c r="AC55" s="219"/>
      <c r="AD55" s="220"/>
      <c r="AE55" s="217" t="s">
        <v>42</v>
      </c>
      <c r="AF55" s="218"/>
      <c r="AG55" s="219"/>
      <c r="AH55" s="220"/>
      <c r="AI55" s="217" t="s">
        <v>29</v>
      </c>
      <c r="AJ55" s="218"/>
      <c r="AK55" s="219"/>
      <c r="AL55" s="220"/>
      <c r="AM55" s="218" t="s">
        <v>42</v>
      </c>
      <c r="AN55" s="218"/>
      <c r="AO55" s="219"/>
      <c r="AP55" s="220"/>
      <c r="AQ55" s="218" t="s">
        <v>197</v>
      </c>
      <c r="AR55" s="218"/>
      <c r="AS55" s="219"/>
      <c r="AT55" s="220"/>
      <c r="AU55" s="217" t="s">
        <v>154</v>
      </c>
      <c r="AV55" s="218"/>
      <c r="AW55" s="219"/>
      <c r="AX55" s="220"/>
      <c r="AY55" s="217" t="s">
        <v>154</v>
      </c>
      <c r="AZ55" s="218"/>
      <c r="BA55" s="219"/>
      <c r="BB55" s="220"/>
      <c r="BC55" s="217" t="s">
        <v>199</v>
      </c>
      <c r="BD55" s="218"/>
      <c r="BE55" s="219"/>
      <c r="BF55" s="220"/>
      <c r="BG55" s="218" t="s">
        <v>200</v>
      </c>
      <c r="BH55" s="218"/>
      <c r="BI55" s="220"/>
      <c r="BJ55" s="307" t="s">
        <v>42</v>
      </c>
      <c r="BK55" s="218"/>
      <c r="BL55" s="219"/>
      <c r="BM55" s="220"/>
      <c r="BN55" s="218" t="s">
        <v>42</v>
      </c>
      <c r="BO55" s="218"/>
      <c r="BP55" s="219"/>
      <c r="BQ55" s="220"/>
      <c r="BR55" s="28"/>
      <c r="BS55" s="28"/>
      <c r="BT55" s="28"/>
      <c r="BU55" s="28"/>
      <c r="BV55" s="28"/>
    </row>
    <row r="56" spans="1:74" ht="13.5" customHeight="1">
      <c r="A56" s="22"/>
      <c r="B56" s="202">
        <v>8</v>
      </c>
      <c r="C56" s="308">
        <v>1</v>
      </c>
      <c r="D56" s="148" t="s">
        <v>201</v>
      </c>
      <c r="E56" s="149"/>
      <c r="F56" s="149"/>
      <c r="G56" s="151"/>
      <c r="H56" s="242" t="s">
        <v>203</v>
      </c>
      <c r="I56" s="150"/>
      <c r="J56" s="150"/>
      <c r="K56" s="150"/>
      <c r="L56" s="161"/>
      <c r="M56" s="162"/>
      <c r="N56" s="242" t="s">
        <v>205</v>
      </c>
      <c r="O56" s="150"/>
      <c r="P56" s="150"/>
      <c r="Q56" s="99" t="s">
        <v>32</v>
      </c>
      <c r="R56" s="999">
        <v>2000000</v>
      </c>
      <c r="S56" s="1000"/>
      <c r="T56" s="1000"/>
      <c r="U56" s="1001"/>
      <c r="V56" s="148" t="s">
        <v>206</v>
      </c>
      <c r="W56" s="150"/>
      <c r="X56" s="150"/>
      <c r="Y56" s="99" t="s">
        <v>32</v>
      </c>
      <c r="Z56" s="988">
        <v>5.29</v>
      </c>
      <c r="AA56" s="997"/>
      <c r="AB56" s="997"/>
      <c r="AC56" s="997"/>
      <c r="AD56" s="998"/>
      <c r="AE56" s="148" t="s">
        <v>147</v>
      </c>
      <c r="AF56" s="150"/>
      <c r="AG56" s="150"/>
      <c r="AH56" s="99" t="s">
        <v>32</v>
      </c>
      <c r="AI56" s="1013">
        <v>9.2200000000000004E-2</v>
      </c>
      <c r="AJ56" s="1014"/>
      <c r="AK56" s="1014"/>
      <c r="AL56" s="1015"/>
      <c r="AM56" s="1013">
        <v>9.4E-2</v>
      </c>
      <c r="AN56" s="1014"/>
      <c r="AO56" s="1014"/>
      <c r="AP56" s="1015"/>
      <c r="AQ56" s="1016">
        <v>0.01</v>
      </c>
      <c r="AR56" s="1017"/>
      <c r="AS56" s="1017"/>
      <c r="AT56" s="1018"/>
      <c r="AU56" s="1013">
        <v>0.1012</v>
      </c>
      <c r="AV56" s="1014"/>
      <c r="AW56" s="1014"/>
      <c r="AX56" s="1015"/>
      <c r="AY56" s="1013">
        <v>0.11</v>
      </c>
      <c r="AZ56" s="1014"/>
      <c r="BA56" s="1014"/>
      <c r="BB56" s="1015"/>
      <c r="BC56" s="1013">
        <v>0.11</v>
      </c>
      <c r="BD56" s="1014"/>
      <c r="BE56" s="1014"/>
      <c r="BF56" s="1015"/>
      <c r="BG56" s="1029">
        <f>AI56/21</f>
        <v>4.3904761904761903E-3</v>
      </c>
      <c r="BH56" s="1030"/>
      <c r="BI56" s="1031"/>
      <c r="BJ56" s="309" t="s">
        <v>207</v>
      </c>
      <c r="BK56" s="150"/>
      <c r="BL56" s="150"/>
      <c r="BM56" s="152"/>
      <c r="BN56" s="149" t="s">
        <v>29</v>
      </c>
      <c r="BO56" s="150"/>
      <c r="BP56" s="150"/>
      <c r="BQ56" s="152"/>
      <c r="BR56" s="28"/>
      <c r="BS56" s="28"/>
      <c r="BT56" s="28"/>
      <c r="BU56" s="28"/>
      <c r="BV56" s="28"/>
    </row>
    <row r="57" spans="1:74" ht="13.5" customHeight="1">
      <c r="A57" s="22"/>
      <c r="B57" s="202">
        <v>9</v>
      </c>
      <c r="C57" s="308">
        <v>2</v>
      </c>
      <c r="D57" s="148" t="s">
        <v>202</v>
      </c>
      <c r="E57" s="149"/>
      <c r="F57" s="149"/>
      <c r="G57" s="151"/>
      <c r="H57" s="242" t="s">
        <v>204</v>
      </c>
      <c r="I57" s="150"/>
      <c r="J57" s="150"/>
      <c r="K57" s="150"/>
      <c r="L57" s="161"/>
      <c r="M57" s="162"/>
      <c r="N57" s="242" t="s">
        <v>205</v>
      </c>
      <c r="O57" s="150"/>
      <c r="P57" s="150"/>
      <c r="Q57" s="99" t="s">
        <v>32</v>
      </c>
      <c r="R57" s="999">
        <v>20000</v>
      </c>
      <c r="S57" s="1000"/>
      <c r="T57" s="1000"/>
      <c r="U57" s="1001"/>
      <c r="V57" s="148" t="s">
        <v>206</v>
      </c>
      <c r="W57" s="150"/>
      <c r="X57" s="150"/>
      <c r="Y57" s="99" t="s">
        <v>32</v>
      </c>
      <c r="Z57" s="988">
        <v>11</v>
      </c>
      <c r="AA57" s="997"/>
      <c r="AB57" s="997"/>
      <c r="AC57" s="997"/>
      <c r="AD57" s="998"/>
      <c r="AE57" s="148" t="s">
        <v>147</v>
      </c>
      <c r="AF57" s="150"/>
      <c r="AG57" s="150"/>
      <c r="AH57" s="99" t="s">
        <v>32</v>
      </c>
      <c r="AI57" s="1013">
        <v>0.12970000000000001</v>
      </c>
      <c r="AJ57" s="1014"/>
      <c r="AK57" s="1014"/>
      <c r="AL57" s="1015"/>
      <c r="AM57" s="1013">
        <v>0.13</v>
      </c>
      <c r="AN57" s="1014"/>
      <c r="AO57" s="1014"/>
      <c r="AP57" s="1015"/>
      <c r="AQ57" s="1016">
        <v>0.01</v>
      </c>
      <c r="AR57" s="1017"/>
      <c r="AS57" s="1017"/>
      <c r="AT57" s="1018"/>
      <c r="AU57" s="1013">
        <v>0.13600000000000001</v>
      </c>
      <c r="AV57" s="1014"/>
      <c r="AW57" s="1014"/>
      <c r="AX57" s="1015"/>
      <c r="AY57" s="1013">
        <v>0.156</v>
      </c>
      <c r="AZ57" s="1014"/>
      <c r="BA57" s="1014"/>
      <c r="BB57" s="1015"/>
      <c r="BC57" s="1013">
        <v>0.156</v>
      </c>
      <c r="BD57" s="1014"/>
      <c r="BE57" s="1014"/>
      <c r="BF57" s="1015"/>
      <c r="BG57" s="1029">
        <f>AI57/21</f>
        <v>6.1761904761904766E-3</v>
      </c>
      <c r="BH57" s="1030"/>
      <c r="BI57" s="1031"/>
      <c r="BJ57" s="309" t="s">
        <v>208</v>
      </c>
      <c r="BK57" s="150"/>
      <c r="BL57" s="150"/>
      <c r="BM57" s="152"/>
      <c r="BN57" s="149" t="s">
        <v>29</v>
      </c>
      <c r="BO57" s="150"/>
      <c r="BP57" s="150"/>
      <c r="BQ57" s="152"/>
      <c r="BR57" s="28"/>
      <c r="BS57" s="28"/>
      <c r="BT57" s="28"/>
      <c r="BU57" s="28"/>
      <c r="BV57" s="28"/>
    </row>
    <row r="58" spans="1:74" ht="13.5" customHeight="1">
      <c r="A58" s="22"/>
      <c r="B58" s="202">
        <v>10</v>
      </c>
      <c r="C58" s="310"/>
      <c r="D58" s="65"/>
      <c r="E58" s="65"/>
      <c r="F58" s="65"/>
      <c r="G58" s="65"/>
      <c r="H58" s="65"/>
      <c r="I58" s="65"/>
      <c r="J58" s="65"/>
      <c r="K58" s="65"/>
      <c r="L58" s="65"/>
      <c r="M58" s="62"/>
      <c r="N58" s="63"/>
      <c r="O58" s="65"/>
      <c r="P58" s="65"/>
      <c r="Q58" s="64"/>
      <c r="R58" s="63"/>
      <c r="S58" s="190"/>
      <c r="T58" s="190"/>
      <c r="U58" s="191"/>
      <c r="V58" s="192"/>
      <c r="W58" s="190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31"/>
      <c r="BA58" s="35"/>
      <c r="BB58" s="35"/>
      <c r="BC58" s="311"/>
      <c r="BD58" s="28"/>
    </row>
    <row r="59" spans="1:74" ht="13.5" customHeight="1">
      <c r="A59" s="22"/>
      <c r="B59" s="202">
        <v>14</v>
      </c>
      <c r="C59" s="312"/>
      <c r="D59" s="65"/>
      <c r="E59" s="65"/>
      <c r="F59" s="65"/>
      <c r="G59" s="65"/>
      <c r="H59" s="65"/>
      <c r="I59" s="65"/>
      <c r="J59" s="65"/>
      <c r="K59" s="198"/>
      <c r="L59" s="65"/>
      <c r="M59" s="65"/>
      <c r="N59" s="65"/>
      <c r="O59" s="65"/>
      <c r="P59" s="65"/>
      <c r="Q59" s="198"/>
      <c r="R59" s="65"/>
      <c r="S59" s="65"/>
      <c r="T59" s="65"/>
      <c r="U59" s="198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125"/>
      <c r="AK59" s="112"/>
      <c r="AL59" s="62"/>
      <c r="AM59" s="63"/>
      <c r="AN59" s="63"/>
      <c r="AO59" s="63"/>
      <c r="AP59" s="63"/>
      <c r="AQ59" s="64"/>
      <c r="AR59" s="63"/>
      <c r="AS59" s="65"/>
      <c r="AT59" s="65"/>
      <c r="AU59" s="65"/>
      <c r="AV59" s="65"/>
      <c r="AW59" s="65"/>
      <c r="AX59" s="65"/>
      <c r="AY59" s="63"/>
      <c r="AZ59" s="31"/>
      <c r="BA59" s="35"/>
      <c r="BB59" s="35"/>
      <c r="BC59" s="311"/>
      <c r="BD59" s="28"/>
    </row>
    <row r="60" spans="1:74" ht="13.5" customHeight="1">
      <c r="A60" s="22"/>
      <c r="B60" s="202">
        <v>15</v>
      </c>
      <c r="C60" s="313" t="s">
        <v>70</v>
      </c>
      <c r="D60" s="223"/>
      <c r="E60" s="224"/>
      <c r="F60" s="223"/>
      <c r="G60" s="224"/>
      <c r="H60" s="225"/>
      <c r="I60" s="226"/>
      <c r="J60" s="227"/>
      <c r="K60" s="227"/>
      <c r="L60" s="227"/>
      <c r="M60" s="228"/>
      <c r="N60" s="227"/>
      <c r="O60" s="227"/>
      <c r="P60" s="227"/>
      <c r="Q60" s="229"/>
      <c r="R60" s="227"/>
      <c r="S60" s="227"/>
      <c r="T60" s="227"/>
      <c r="U60" s="227"/>
      <c r="V60" s="227"/>
      <c r="W60" s="229"/>
      <c r="X60" s="227"/>
      <c r="Y60" s="227"/>
      <c r="Z60" s="227"/>
      <c r="AA60" s="229"/>
      <c r="AB60" s="227"/>
      <c r="AC60" s="227"/>
      <c r="AD60" s="227"/>
      <c r="AE60" s="227"/>
      <c r="AF60" s="227"/>
      <c r="AG60" s="232"/>
      <c r="AH60" s="227"/>
      <c r="AI60" s="227"/>
      <c r="AJ60" s="227"/>
      <c r="AK60" s="227"/>
      <c r="AL60" s="227"/>
      <c r="AM60" s="227"/>
      <c r="AN60" s="227"/>
      <c r="AO60" s="227"/>
      <c r="AP60" s="227"/>
      <c r="AQ60" s="230"/>
      <c r="AR60" s="227"/>
      <c r="AS60" s="230"/>
      <c r="AT60" s="227"/>
      <c r="AU60" s="227"/>
      <c r="AV60" s="227"/>
      <c r="AW60" s="227"/>
      <c r="AX60" s="227"/>
      <c r="AY60" s="224"/>
      <c r="AZ60" s="224"/>
      <c r="BA60" s="231"/>
      <c r="BB60" s="231"/>
      <c r="BC60" s="314"/>
      <c r="BD60" s="28"/>
    </row>
    <row r="61" spans="1:74" ht="13.5" customHeight="1">
      <c r="A61" s="22"/>
      <c r="B61" s="202"/>
      <c r="C61" s="394"/>
      <c r="D61" s="62"/>
      <c r="E61" s="63"/>
      <c r="F61" s="62"/>
      <c r="G61" s="63"/>
      <c r="H61" s="398"/>
      <c r="I61" s="399"/>
      <c r="J61" s="74"/>
      <c r="K61" s="74"/>
      <c r="L61" s="74"/>
      <c r="M61" s="400"/>
      <c r="N61" s="74"/>
      <c r="O61" s="74"/>
      <c r="P61" s="74"/>
      <c r="Q61" s="401"/>
      <c r="R61" s="74"/>
      <c r="S61" s="74"/>
      <c r="T61" s="74"/>
      <c r="U61" s="74"/>
      <c r="V61" s="74"/>
      <c r="W61" s="401"/>
      <c r="X61" s="65"/>
      <c r="Y61" s="65"/>
      <c r="Z61" s="65"/>
      <c r="AA61" s="198"/>
      <c r="AB61" s="65"/>
      <c r="AC61" s="65"/>
      <c r="AD61" s="65"/>
      <c r="AE61" s="65"/>
      <c r="AF61" s="65"/>
      <c r="AG61" s="158"/>
      <c r="AH61" s="65"/>
      <c r="AI61" s="65"/>
      <c r="AJ61" s="65"/>
      <c r="AK61" s="65"/>
      <c r="AL61" s="65"/>
      <c r="AM61" s="65"/>
      <c r="AN61" s="65"/>
      <c r="AO61" s="65"/>
      <c r="AP61" s="65"/>
      <c r="AQ61" s="125"/>
      <c r="AR61" s="65"/>
      <c r="AS61" s="125"/>
      <c r="AT61" s="65"/>
      <c r="AU61" s="65"/>
      <c r="AV61" s="65"/>
      <c r="AW61" s="65"/>
      <c r="AX61" s="65"/>
      <c r="AY61" s="63"/>
      <c r="AZ61" s="103"/>
      <c r="BA61" s="396"/>
      <c r="BB61"/>
      <c r="BC61" s="397"/>
      <c r="BD61" s="28"/>
    </row>
    <row r="62" spans="1:74" ht="13.5" customHeight="1">
      <c r="A62" s="22"/>
      <c r="B62" s="45"/>
      <c r="C62" s="393" t="s">
        <v>173</v>
      </c>
      <c r="D62" s="28"/>
      <c r="E62" s="28"/>
      <c r="F62" s="28"/>
      <c r="G62" s="28"/>
      <c r="H62" s="24"/>
      <c r="I62" s="24"/>
      <c r="J62" s="24"/>
      <c r="K62" s="24"/>
      <c r="L62" s="24"/>
      <c r="M62" s="127"/>
      <c r="N62" s="75"/>
      <c r="O62" s="84"/>
      <c r="P62" s="84"/>
      <c r="Q62" s="85"/>
      <c r="R62" s="75"/>
      <c r="S62" s="75"/>
      <c r="T62" s="75"/>
      <c r="U62" s="84"/>
      <c r="V62" s="85"/>
      <c r="W62" s="75"/>
      <c r="X62" s="65"/>
      <c r="Y62" s="28"/>
      <c r="Z62" s="233" t="s">
        <v>71</v>
      </c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65"/>
      <c r="AY62" s="31"/>
      <c r="AZ62" s="31"/>
      <c r="BA62" s="30"/>
      <c r="BB62" s="35"/>
      <c r="BC62" s="326"/>
      <c r="BD62" s="28"/>
      <c r="BF62" s="35"/>
      <c r="BG62" s="35"/>
    </row>
    <row r="63" spans="1:74" ht="13.5" customHeight="1">
      <c r="A63" s="22"/>
      <c r="B63" s="202">
        <v>6</v>
      </c>
      <c r="C63" s="431" t="s">
        <v>31</v>
      </c>
      <c r="D63" s="432" t="s">
        <v>181</v>
      </c>
      <c r="E63" s="433"/>
      <c r="F63" s="433"/>
      <c r="G63" s="434"/>
      <c r="H63" s="435" t="s">
        <v>182</v>
      </c>
      <c r="I63" s="436"/>
      <c r="J63" s="436"/>
      <c r="K63" s="436"/>
      <c r="L63" s="433"/>
      <c r="M63" s="434"/>
      <c r="N63" s="432" t="s">
        <v>183</v>
      </c>
      <c r="O63" s="433"/>
      <c r="P63" s="433"/>
      <c r="Q63" s="433"/>
      <c r="R63" s="433"/>
      <c r="S63" s="434"/>
      <c r="T63" s="432" t="s">
        <v>184</v>
      </c>
      <c r="U63" s="433"/>
      <c r="V63" s="433"/>
      <c r="W63" s="433"/>
      <c r="X63" s="433"/>
      <c r="Y63" s="433"/>
      <c r="Z63" s="437" t="s">
        <v>178</v>
      </c>
      <c r="AA63" s="438"/>
      <c r="AB63" s="438"/>
      <c r="AC63" s="439"/>
      <c r="AD63" s="39"/>
      <c r="AE63" s="39"/>
      <c r="AF63" s="39"/>
      <c r="AG63" s="39"/>
      <c r="AH63" s="39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440"/>
      <c r="BC63" s="326"/>
      <c r="BD63" s="28"/>
      <c r="BF63" s="35"/>
      <c r="BG63" s="35"/>
      <c r="BH63" s="28"/>
    </row>
    <row r="64" spans="1:74" ht="13.5" customHeight="1">
      <c r="A64" s="22"/>
      <c r="B64" s="202">
        <v>8</v>
      </c>
      <c r="C64" s="441">
        <v>1</v>
      </c>
      <c r="D64" s="148" t="s">
        <v>179</v>
      </c>
      <c r="E64" s="149"/>
      <c r="F64" s="149"/>
      <c r="G64" s="99" t="s">
        <v>32</v>
      </c>
      <c r="H64" s="242" t="s">
        <v>191</v>
      </c>
      <c r="I64" s="150"/>
      <c r="J64" s="150"/>
      <c r="K64" s="150"/>
      <c r="L64" s="161"/>
      <c r="M64" s="162"/>
      <c r="N64" s="1051">
        <v>5000</v>
      </c>
      <c r="O64" s="1052"/>
      <c r="P64" s="1052"/>
      <c r="Q64" s="1052"/>
      <c r="R64" s="1052"/>
      <c r="S64" s="1053"/>
      <c r="T64" s="1051">
        <v>5000</v>
      </c>
      <c r="U64" s="1046"/>
      <c r="V64" s="1046"/>
      <c r="W64" s="1046"/>
      <c r="X64" s="1046"/>
      <c r="Y64" s="1047"/>
      <c r="Z64" s="1054">
        <v>10</v>
      </c>
      <c r="AA64" s="1055"/>
      <c r="AB64" s="1055"/>
      <c r="AC64" s="1056"/>
      <c r="AD64" s="28"/>
      <c r="AE64" s="28"/>
      <c r="AF64" s="28"/>
      <c r="AG64" s="28"/>
      <c r="AH64" s="28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153"/>
      <c r="BC64" s="326"/>
      <c r="BD64" s="28"/>
      <c r="BF64" s="35"/>
      <c r="BG64" s="35"/>
      <c r="BH64" s="28"/>
    </row>
    <row r="65" spans="1:91" ht="13.5" customHeight="1">
      <c r="A65" s="22"/>
      <c r="B65" s="202">
        <v>14</v>
      </c>
      <c r="C65" s="94"/>
      <c r="D65" s="65"/>
      <c r="E65" s="65"/>
      <c r="F65" s="65"/>
      <c r="G65" s="65"/>
      <c r="H65" s="65"/>
      <c r="I65" s="65"/>
      <c r="J65" s="65"/>
      <c r="K65" s="198"/>
      <c r="L65" s="65"/>
      <c r="M65" s="65"/>
      <c r="N65" s="65"/>
      <c r="O65" s="65"/>
      <c r="P65" s="65"/>
      <c r="Q65" s="65"/>
      <c r="R65" s="65"/>
      <c r="S65" s="198"/>
      <c r="T65" s="65"/>
      <c r="U65" s="65"/>
      <c r="V65" s="65"/>
      <c r="W65" s="65"/>
      <c r="X65" s="65"/>
      <c r="Y65" s="198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125"/>
      <c r="AO65" s="112"/>
      <c r="AP65" s="62"/>
      <c r="AQ65" s="63"/>
      <c r="AR65" s="63"/>
      <c r="AS65" s="63"/>
      <c r="AT65" s="63"/>
      <c r="AU65" s="64"/>
      <c r="AV65" s="63"/>
      <c r="AW65" s="65"/>
      <c r="AX65" s="65"/>
      <c r="AY65" s="65"/>
      <c r="AZ65" s="65"/>
      <c r="BA65" s="65"/>
      <c r="BB65" s="442"/>
      <c r="BC65" s="326"/>
      <c r="BD65" s="28"/>
      <c r="BF65" s="35"/>
      <c r="BG65" s="35"/>
      <c r="BH65" s="28"/>
      <c r="BI65" s="28"/>
      <c r="BJ65" s="28"/>
      <c r="BK65" s="28"/>
    </row>
    <row r="66" spans="1:91" ht="13.5" customHeight="1">
      <c r="A66" s="22"/>
      <c r="B66" s="202">
        <v>15</v>
      </c>
      <c r="C66" s="443" t="s">
        <v>70</v>
      </c>
      <c r="D66" s="223"/>
      <c r="E66" s="224"/>
      <c r="F66" s="223"/>
      <c r="G66" s="224"/>
      <c r="H66" s="225"/>
      <c r="I66" s="226"/>
      <c r="J66" s="227"/>
      <c r="K66" s="227"/>
      <c r="L66" s="227"/>
      <c r="M66" s="228"/>
      <c r="N66" s="227"/>
      <c r="O66" s="227"/>
      <c r="P66" s="227"/>
      <c r="Q66" s="229"/>
      <c r="R66" s="227"/>
      <c r="S66" s="227"/>
      <c r="T66" s="227"/>
      <c r="U66" s="227"/>
      <c r="V66" s="227"/>
      <c r="W66" s="229"/>
      <c r="X66" s="227"/>
      <c r="Y66" s="227"/>
      <c r="Z66" s="227"/>
      <c r="AA66" s="229"/>
      <c r="AB66" s="227"/>
      <c r="AC66" s="227"/>
      <c r="AD66" s="227"/>
      <c r="AE66" s="227"/>
      <c r="AF66" s="227"/>
      <c r="AG66" s="232"/>
      <c r="AH66" s="227"/>
      <c r="AI66" s="227"/>
      <c r="AJ66" s="227"/>
      <c r="AK66" s="227"/>
      <c r="AL66" s="227"/>
      <c r="AM66" s="227"/>
      <c r="AN66" s="227"/>
      <c r="AO66" s="227"/>
      <c r="AP66" s="227"/>
      <c r="AQ66" s="230"/>
      <c r="AR66" s="227"/>
      <c r="AS66" s="230"/>
      <c r="AT66" s="227"/>
      <c r="AU66" s="227"/>
      <c r="AV66" s="227"/>
      <c r="AW66" s="227"/>
      <c r="AX66" s="227"/>
      <c r="AY66" s="224"/>
      <c r="AZ66" s="224"/>
      <c r="BA66" s="231"/>
      <c r="BB66" s="444"/>
      <c r="BC66" s="326"/>
      <c r="BD66" s="28"/>
      <c r="BH66" s="28"/>
      <c r="BI66" s="28"/>
      <c r="BJ66" s="28"/>
      <c r="BK66" s="28"/>
    </row>
    <row r="67" spans="1:91" ht="13.5" customHeight="1">
      <c r="A67" s="22"/>
      <c r="B67" s="202"/>
      <c r="C67" s="394"/>
      <c r="D67" s="62"/>
      <c r="E67" s="63"/>
      <c r="F67" s="62"/>
      <c r="G67" s="63"/>
      <c r="H67" s="398"/>
      <c r="I67" s="399"/>
      <c r="J67" s="74"/>
      <c r="K67" s="74"/>
      <c r="L67" s="74"/>
      <c r="M67" s="400"/>
      <c r="N67" s="74"/>
      <c r="O67" s="74"/>
      <c r="P67" s="74"/>
      <c r="Q67" s="74"/>
      <c r="R67" s="74"/>
      <c r="S67" s="401"/>
      <c r="T67" s="74"/>
      <c r="U67" s="74"/>
      <c r="V67" s="74"/>
      <c r="W67" s="74"/>
      <c r="X67" s="74"/>
      <c r="Y67" s="74"/>
      <c r="Z67" s="74"/>
      <c r="AA67" s="401"/>
      <c r="AB67" s="65"/>
      <c r="AC67" s="65"/>
      <c r="AD67" s="65"/>
      <c r="AE67" s="198"/>
      <c r="AF67" s="65"/>
      <c r="AG67" s="65"/>
      <c r="AH67" s="65"/>
      <c r="AI67" s="65"/>
      <c r="AJ67" s="65"/>
      <c r="AK67" s="158"/>
      <c r="AL67" s="65"/>
      <c r="AM67" s="65"/>
      <c r="AN67" s="65"/>
      <c r="AO67" s="65"/>
      <c r="AP67" s="65"/>
      <c r="AQ67" s="65"/>
      <c r="AR67" s="65"/>
      <c r="AS67" s="65"/>
      <c r="AT67" s="65"/>
      <c r="AU67" s="125"/>
      <c r="AV67" s="65"/>
      <c r="AW67" s="125"/>
      <c r="AX67" s="65"/>
      <c r="AY67" s="65"/>
      <c r="AZ67" s="65"/>
      <c r="BA67" s="65"/>
      <c r="BB67" s="65"/>
      <c r="BC67" s="326"/>
      <c r="BD67" s="28"/>
      <c r="BF67"/>
      <c r="BG67"/>
      <c r="BH67" s="28"/>
      <c r="BI67" s="28"/>
      <c r="BJ67" s="28"/>
      <c r="BK67" s="28"/>
    </row>
    <row r="68" spans="1:91" ht="13.5" customHeight="1">
      <c r="A68" s="22"/>
      <c r="B68" s="45"/>
      <c r="C68" s="393" t="s">
        <v>180</v>
      </c>
      <c r="D68" s="28"/>
      <c r="E68" s="28"/>
      <c r="F68" s="28"/>
      <c r="G68" s="28"/>
      <c r="H68" s="24"/>
      <c r="I68" s="24"/>
      <c r="J68" s="24"/>
      <c r="K68" s="24"/>
      <c r="L68" s="24"/>
      <c r="M68" s="127"/>
      <c r="N68" s="75"/>
      <c r="O68" s="84"/>
      <c r="P68" s="84"/>
      <c r="Q68" s="84"/>
      <c r="R68" s="84"/>
      <c r="S68" s="85"/>
      <c r="T68" s="75"/>
      <c r="U68" s="75"/>
      <c r="V68" s="75"/>
      <c r="W68" s="75"/>
      <c r="X68" s="75"/>
      <c r="Y68" s="84"/>
      <c r="Z68" s="233" t="s">
        <v>71</v>
      </c>
      <c r="AA68" s="75"/>
      <c r="AB68" s="65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65"/>
      <c r="BC68" s="326"/>
      <c r="BD68" s="28"/>
      <c r="BF68" s="35"/>
      <c r="BG68" s="35"/>
      <c r="BH68" s="28"/>
    </row>
    <row r="69" spans="1:91" ht="13.5" customHeight="1">
      <c r="A69" s="22"/>
      <c r="B69" s="202">
        <v>6</v>
      </c>
      <c r="C69" s="431" t="s">
        <v>31</v>
      </c>
      <c r="D69" s="432" t="s">
        <v>181</v>
      </c>
      <c r="E69" s="445"/>
      <c r="F69" s="445"/>
      <c r="G69" s="446"/>
      <c r="H69" s="447" t="s">
        <v>188</v>
      </c>
      <c r="I69" s="448"/>
      <c r="J69" s="448"/>
      <c r="K69" s="448"/>
      <c r="L69" s="445"/>
      <c r="M69" s="446"/>
      <c r="N69" s="449" t="s">
        <v>189</v>
      </c>
      <c r="O69" s="445"/>
      <c r="P69" s="445"/>
      <c r="Q69" s="445"/>
      <c r="R69" s="445"/>
      <c r="S69" s="446"/>
      <c r="T69" s="449" t="s">
        <v>190</v>
      </c>
      <c r="U69" s="445"/>
      <c r="V69" s="445"/>
      <c r="W69" s="445"/>
      <c r="X69" s="445"/>
      <c r="Y69" s="445"/>
      <c r="Z69" s="450" t="s">
        <v>178</v>
      </c>
      <c r="AA69" s="451"/>
      <c r="AB69" s="451"/>
      <c r="AC69" s="452"/>
      <c r="AD69" s="39"/>
      <c r="AE69" s="39"/>
      <c r="AF69" s="39"/>
      <c r="AG69" s="39"/>
      <c r="AH69" s="39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440"/>
      <c r="BC69" s="326"/>
      <c r="BD69" s="28"/>
      <c r="BF69" s="35"/>
      <c r="BG69" s="35"/>
      <c r="BH69" s="28"/>
    </row>
    <row r="70" spans="1:91" ht="13.5" customHeight="1">
      <c r="A70" s="22"/>
      <c r="B70" s="202">
        <v>8</v>
      </c>
      <c r="C70" s="441">
        <v>1</v>
      </c>
      <c r="D70" s="148" t="s">
        <v>179</v>
      </c>
      <c r="E70" s="149"/>
      <c r="F70" s="149"/>
      <c r="G70" s="99" t="s">
        <v>32</v>
      </c>
      <c r="H70" s="242"/>
      <c r="I70" s="150"/>
      <c r="J70" s="150"/>
      <c r="K70" s="150"/>
      <c r="L70" s="161"/>
      <c r="M70" s="162"/>
      <c r="N70" s="1045">
        <v>5000</v>
      </c>
      <c r="O70" s="1046"/>
      <c r="P70" s="1046"/>
      <c r="Q70" s="1046"/>
      <c r="R70" s="1046"/>
      <c r="S70" s="1047"/>
      <c r="T70" s="1045">
        <v>5000</v>
      </c>
      <c r="U70" s="1046"/>
      <c r="V70" s="1046"/>
      <c r="W70" s="1046"/>
      <c r="X70" s="1046"/>
      <c r="Y70" s="1047"/>
      <c r="Z70" s="1048">
        <v>10</v>
      </c>
      <c r="AA70" s="1049"/>
      <c r="AB70" s="1049"/>
      <c r="AC70" s="1050"/>
      <c r="AD70" s="28"/>
      <c r="AE70" s="28"/>
      <c r="AF70" s="28"/>
      <c r="AG70" s="28"/>
      <c r="AH70" s="28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153"/>
      <c r="BC70" s="326"/>
      <c r="BD70" s="28"/>
      <c r="BF70" s="35"/>
      <c r="BG70" s="35"/>
      <c r="BH70" s="28"/>
    </row>
    <row r="71" spans="1:91" ht="13.5" customHeight="1">
      <c r="A71" s="22"/>
      <c r="B71" s="202">
        <v>14</v>
      </c>
      <c r="C71" s="453"/>
      <c r="D71" s="67"/>
      <c r="E71" s="67"/>
      <c r="F71" s="67"/>
      <c r="G71" s="67"/>
      <c r="H71" s="67"/>
      <c r="I71" s="67"/>
      <c r="J71" s="67"/>
      <c r="K71" s="395"/>
      <c r="L71" s="67"/>
      <c r="M71" s="67"/>
      <c r="N71" s="67"/>
      <c r="O71" s="67"/>
      <c r="P71" s="67"/>
      <c r="Q71" s="395"/>
      <c r="R71" s="67"/>
      <c r="S71" s="67"/>
      <c r="T71" s="67"/>
      <c r="U71" s="395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454"/>
      <c r="AK71" s="455"/>
      <c r="AL71" s="105"/>
      <c r="AM71" s="100"/>
      <c r="AN71" s="100"/>
      <c r="AO71" s="100"/>
      <c r="AP71" s="100"/>
      <c r="AQ71" s="101"/>
      <c r="AR71" s="100"/>
      <c r="AS71" s="67"/>
      <c r="AT71" s="67"/>
      <c r="AU71" s="67"/>
      <c r="AV71" s="67"/>
      <c r="AW71" s="67"/>
      <c r="AX71" s="67"/>
      <c r="AY71" s="100"/>
      <c r="AZ71" s="52"/>
      <c r="BA71" s="38"/>
      <c r="BB71" s="154"/>
      <c r="BC71" s="326"/>
      <c r="BD71" s="28"/>
    </row>
    <row r="72" spans="1:91" ht="13.5" customHeight="1">
      <c r="A72" s="22"/>
      <c r="B72" s="202">
        <v>15</v>
      </c>
      <c r="C72" s="313" t="s">
        <v>70</v>
      </c>
      <c r="D72" s="223"/>
      <c r="E72" s="224"/>
      <c r="F72" s="223"/>
      <c r="G72" s="224"/>
      <c r="H72" s="225"/>
      <c r="I72" s="226"/>
      <c r="J72" s="227"/>
      <c r="K72" s="227"/>
      <c r="L72" s="227"/>
      <c r="M72" s="228"/>
      <c r="N72" s="227"/>
      <c r="O72" s="227"/>
      <c r="P72" s="227"/>
      <c r="Q72" s="229"/>
      <c r="R72" s="227"/>
      <c r="S72" s="227"/>
      <c r="T72" s="227"/>
      <c r="U72" s="227"/>
      <c r="V72" s="227"/>
      <c r="W72" s="229"/>
      <c r="X72" s="227"/>
      <c r="Y72" s="227"/>
      <c r="Z72" s="227"/>
      <c r="AA72" s="229"/>
      <c r="AB72" s="227"/>
      <c r="AC72" s="227"/>
      <c r="AD72" s="227"/>
      <c r="AE72" s="227"/>
      <c r="AF72" s="227"/>
      <c r="AG72" s="232"/>
      <c r="AH72" s="227"/>
      <c r="AI72" s="227"/>
      <c r="AJ72" s="227"/>
      <c r="AK72" s="227"/>
      <c r="AL72" s="227"/>
      <c r="AM72" s="227"/>
      <c r="AN72" s="227"/>
      <c r="AO72" s="227"/>
      <c r="AP72" s="227"/>
      <c r="AQ72" s="230"/>
      <c r="AR72" s="227"/>
      <c r="AS72" s="230"/>
      <c r="AT72" s="227"/>
      <c r="AU72" s="227"/>
      <c r="AV72" s="227"/>
      <c r="AW72" s="227"/>
      <c r="AX72" s="227"/>
      <c r="AY72" s="224"/>
      <c r="AZ72" s="224"/>
      <c r="BA72" s="231"/>
      <c r="BB72" s="231"/>
      <c r="BC72" s="326"/>
      <c r="BD72" s="28"/>
    </row>
    <row r="73" spans="1:91" ht="13.5" customHeight="1">
      <c r="A73" s="22"/>
      <c r="B73" s="202">
        <v>16</v>
      </c>
      <c r="C73" s="310"/>
      <c r="D73" s="65"/>
      <c r="E73" s="65"/>
      <c r="F73" s="65"/>
      <c r="G73" s="65"/>
      <c r="H73" s="65"/>
      <c r="I73" s="65"/>
      <c r="J73" s="65"/>
      <c r="K73" s="65"/>
      <c r="L73" s="65"/>
      <c r="M73" s="62"/>
      <c r="N73" s="65"/>
      <c r="O73" s="65"/>
      <c r="P73" s="63"/>
      <c r="Q73" s="64"/>
      <c r="R73" s="63"/>
      <c r="S73" s="111"/>
      <c r="T73" s="112"/>
      <c r="U73" s="111"/>
      <c r="V73" s="112"/>
      <c r="W73" s="111"/>
      <c r="X73" s="111"/>
      <c r="Y73" s="111"/>
      <c r="Z73" s="111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3"/>
      <c r="AZ73" s="53"/>
      <c r="BA73" s="323"/>
      <c r="BB73" s="324"/>
      <c r="BC73" s="326"/>
      <c r="BD73" s="28"/>
    </row>
    <row r="74" spans="1:91" ht="13.5" customHeight="1">
      <c r="A74" s="22"/>
      <c r="B74" s="202">
        <v>17</v>
      </c>
      <c r="C74" s="310"/>
      <c r="D74" s="65"/>
      <c r="E74" s="65"/>
      <c r="F74" s="65"/>
      <c r="G74" s="65"/>
      <c r="H74" s="126"/>
      <c r="I74" s="65"/>
      <c r="J74" s="65"/>
      <c r="K74" s="65"/>
      <c r="L74" s="198"/>
      <c r="M74" s="65"/>
      <c r="N74" s="65"/>
      <c r="O74" s="65"/>
      <c r="P74" s="198"/>
      <c r="Q74" s="65"/>
      <c r="R74" s="65"/>
      <c r="S74" s="65"/>
      <c r="T74" s="198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12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3"/>
      <c r="AZ74" s="31"/>
      <c r="BA74" s="30"/>
      <c r="BB74" s="175"/>
      <c r="BC74" s="326"/>
      <c r="BD74" s="28"/>
    </row>
    <row r="75" spans="1:91" ht="5.15" customHeight="1">
      <c r="A75" s="22"/>
      <c r="B75" s="202"/>
      <c r="C75" s="315"/>
      <c r="D75" s="73"/>
      <c r="E75" s="73"/>
      <c r="F75" s="73"/>
      <c r="G75" s="73"/>
      <c r="H75" s="316"/>
      <c r="I75" s="275"/>
      <c r="J75" s="273"/>
      <c r="K75" s="275"/>
      <c r="L75" s="273"/>
      <c r="M75" s="317"/>
      <c r="N75" s="317"/>
      <c r="O75" s="270"/>
      <c r="P75" s="317"/>
      <c r="Q75" s="270"/>
      <c r="R75" s="317"/>
      <c r="S75" s="73"/>
      <c r="T75" s="73"/>
      <c r="U75" s="73"/>
      <c r="V75" s="73"/>
      <c r="W75" s="73"/>
      <c r="X75" s="316"/>
      <c r="Y75" s="275"/>
      <c r="Z75" s="273"/>
      <c r="AA75" s="275"/>
      <c r="AB75" s="273"/>
      <c r="AC75" s="317"/>
      <c r="AD75" s="317"/>
      <c r="AE75" s="270"/>
      <c r="AF75" s="317"/>
      <c r="AG75" s="270"/>
      <c r="AH75" s="317"/>
      <c r="AI75" s="276"/>
      <c r="AJ75" s="317"/>
      <c r="AK75" s="270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318"/>
      <c r="AW75" s="73"/>
      <c r="AX75" s="73"/>
      <c r="AY75" s="269"/>
      <c r="AZ75" s="269"/>
      <c r="BA75" s="319"/>
      <c r="BB75" s="320"/>
      <c r="BC75" s="321"/>
      <c r="BD75" s="28"/>
    </row>
    <row r="76" spans="1:91" ht="13.5" customHeight="1">
      <c r="A76" s="22"/>
      <c r="B76" s="202">
        <v>18</v>
      </c>
      <c r="C76" s="75"/>
      <c r="D76" s="63"/>
      <c r="E76" s="63"/>
      <c r="F76" s="63"/>
      <c r="G76" s="63"/>
      <c r="H76" s="69"/>
      <c r="I76" s="69"/>
      <c r="J76" s="65"/>
      <c r="K76" s="69"/>
      <c r="L76" s="65"/>
      <c r="M76" s="69"/>
      <c r="N76" s="64"/>
      <c r="O76" s="69"/>
      <c r="P76" s="65"/>
      <c r="Q76" s="65"/>
      <c r="R76" s="65"/>
      <c r="S76" s="63"/>
      <c r="T76" s="63"/>
      <c r="U76" s="63"/>
      <c r="V76" s="63"/>
      <c r="W76" s="63"/>
      <c r="X76" s="64"/>
      <c r="Y76" s="63"/>
      <c r="Z76" s="65"/>
      <c r="AA76" s="64"/>
      <c r="AB76" s="63"/>
      <c r="AC76" s="65"/>
      <c r="AD76" s="64"/>
      <c r="AE76" s="65"/>
      <c r="AF76" s="65"/>
      <c r="AG76" s="64"/>
      <c r="AH76" s="65"/>
      <c r="AI76" s="65"/>
      <c r="AJ76" s="126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3"/>
      <c r="AZ76" s="264"/>
      <c r="BA76" s="301"/>
      <c r="BB76" s="302"/>
      <c r="BC76" s="343"/>
      <c r="BD76" s="28"/>
    </row>
    <row r="77" spans="1:91" ht="13.5" customHeight="1">
      <c r="A77" s="22"/>
      <c r="B77" s="202">
        <v>20</v>
      </c>
      <c r="C77" s="204" t="s">
        <v>77</v>
      </c>
      <c r="D77" s="28"/>
      <c r="E77" s="28"/>
      <c r="F77" s="28"/>
      <c r="G77" s="28"/>
      <c r="H77" s="121"/>
      <c r="I77" s="62"/>
      <c r="J77" s="63"/>
      <c r="K77" s="62"/>
      <c r="L77" s="63"/>
      <c r="M77" s="69"/>
      <c r="N77" s="69"/>
      <c r="O77" s="65"/>
      <c r="P77" s="69"/>
      <c r="Q77" s="65"/>
      <c r="R77" s="69"/>
      <c r="S77" s="28"/>
      <c r="T77" s="28"/>
      <c r="U77" s="28"/>
      <c r="V77" s="28"/>
      <c r="W77" s="28"/>
      <c r="X77" s="121"/>
      <c r="Y77" s="62"/>
      <c r="Z77" s="63"/>
      <c r="AA77" s="62"/>
      <c r="AB77" s="63"/>
      <c r="AC77" s="69"/>
      <c r="AD77" s="69"/>
      <c r="AE77" s="65"/>
      <c r="AF77" s="69"/>
      <c r="AG77" s="65"/>
      <c r="AH77" s="69"/>
      <c r="AI77" s="64"/>
      <c r="AJ77" s="69"/>
      <c r="AK77" s="65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33"/>
      <c r="AW77" s="28"/>
      <c r="AX77" s="28"/>
      <c r="AY77" s="31"/>
      <c r="AZ77" s="269"/>
      <c r="BA77" s="319"/>
      <c r="BB77" s="320"/>
      <c r="BC77" s="344"/>
      <c r="BD77" s="28"/>
    </row>
    <row r="78" spans="1:91" ht="5.15" customHeight="1">
      <c r="A78" s="22"/>
      <c r="B78" s="202"/>
      <c r="C78" s="296"/>
      <c r="D78" s="72"/>
      <c r="E78" s="72"/>
      <c r="F78" s="72"/>
      <c r="G78" s="72"/>
      <c r="H78" s="297"/>
      <c r="I78" s="278"/>
      <c r="J78" s="279"/>
      <c r="K78" s="278"/>
      <c r="L78" s="279"/>
      <c r="M78" s="298"/>
      <c r="N78" s="298"/>
      <c r="O78" s="263"/>
      <c r="P78" s="298"/>
      <c r="Q78" s="263"/>
      <c r="R78" s="298"/>
      <c r="S78" s="72"/>
      <c r="T78" s="72"/>
      <c r="U78" s="72"/>
      <c r="V78" s="72"/>
      <c r="W78" s="72"/>
      <c r="X78" s="297"/>
      <c r="Y78" s="278"/>
      <c r="Z78" s="279"/>
      <c r="AA78" s="278"/>
      <c r="AB78" s="279"/>
      <c r="AC78" s="298"/>
      <c r="AD78" s="298"/>
      <c r="AE78" s="263"/>
      <c r="AF78" s="298"/>
      <c r="AG78" s="263"/>
      <c r="AH78" s="298"/>
      <c r="AI78" s="280"/>
      <c r="AJ78" s="298"/>
      <c r="AK78" s="263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300"/>
      <c r="AW78" s="72"/>
      <c r="AX78" s="72"/>
      <c r="AY78" s="264"/>
      <c r="AZ78" s="264"/>
      <c r="BA78" s="301"/>
      <c r="BB78" s="302"/>
      <c r="BC78" s="303"/>
      <c r="BD78" s="28"/>
    </row>
    <row r="79" spans="1:91" ht="13.5" customHeight="1">
      <c r="A79" s="22"/>
      <c r="B79" s="202">
        <v>21</v>
      </c>
      <c r="C79" s="304" t="s">
        <v>31</v>
      </c>
      <c r="D79" s="234" t="s">
        <v>258</v>
      </c>
      <c r="E79" s="235"/>
      <c r="F79" s="234" t="s">
        <v>63</v>
      </c>
      <c r="G79" s="235"/>
      <c r="H79" s="235"/>
      <c r="I79" s="236"/>
      <c r="J79" s="237" t="s">
        <v>33</v>
      </c>
      <c r="K79" s="238"/>
      <c r="L79" s="238"/>
      <c r="M79" s="238"/>
      <c r="N79" s="235"/>
      <c r="O79" s="236"/>
      <c r="P79" s="239" t="s">
        <v>66</v>
      </c>
      <c r="Q79" s="240"/>
      <c r="R79" s="240"/>
      <c r="S79" s="241"/>
      <c r="T79" s="239" t="s">
        <v>150</v>
      </c>
      <c r="U79" s="240"/>
      <c r="V79" s="240"/>
      <c r="W79" s="241"/>
      <c r="X79" s="234" t="s">
        <v>78</v>
      </c>
      <c r="Y79" s="235"/>
      <c r="Z79" s="235"/>
      <c r="AA79" s="236"/>
      <c r="AB79" s="234" t="s">
        <v>79</v>
      </c>
      <c r="AC79" s="235"/>
      <c r="AD79" s="235"/>
      <c r="AE79" s="235"/>
      <c r="AF79" s="239" t="s">
        <v>64</v>
      </c>
      <c r="AG79" s="240"/>
      <c r="AH79" s="240"/>
      <c r="AI79" s="240"/>
      <c r="AJ79" s="241"/>
      <c r="AK79" s="240" t="s">
        <v>209</v>
      </c>
      <c r="AL79" s="240"/>
      <c r="AM79" s="240"/>
      <c r="AN79" s="241"/>
      <c r="AO79" s="240" t="s">
        <v>161</v>
      </c>
      <c r="AP79" s="240"/>
      <c r="AQ79" s="240"/>
      <c r="AR79" s="241"/>
      <c r="AS79" s="240" t="s">
        <v>210</v>
      </c>
      <c r="AT79" s="240"/>
      <c r="AU79" s="240"/>
      <c r="AV79" s="241"/>
      <c r="AW79" s="240" t="s">
        <v>65</v>
      </c>
      <c r="AX79" s="240"/>
      <c r="AY79" s="240"/>
      <c r="AZ79" s="241"/>
      <c r="BA79" s="239" t="s">
        <v>211</v>
      </c>
      <c r="BB79" s="240"/>
      <c r="BC79" s="240"/>
      <c r="BD79" s="241"/>
      <c r="BE79" s="239" t="s">
        <v>212</v>
      </c>
      <c r="BF79" s="240"/>
      <c r="BG79" s="240"/>
      <c r="BH79" s="240"/>
      <c r="BI79" s="239" t="s">
        <v>198</v>
      </c>
      <c r="BJ79" s="240"/>
      <c r="BK79" s="240"/>
      <c r="BL79" s="241"/>
      <c r="BM79" s="239" t="s">
        <v>213</v>
      </c>
      <c r="BN79" s="240"/>
      <c r="BO79" s="240"/>
      <c r="BP79" s="241"/>
      <c r="BQ79" s="239" t="s">
        <v>214</v>
      </c>
      <c r="BR79" s="240"/>
      <c r="BS79" s="240"/>
      <c r="BT79" s="241"/>
      <c r="BU79" s="239" t="s">
        <v>82</v>
      </c>
      <c r="BV79" s="240"/>
      <c r="BW79" s="240"/>
      <c r="BX79" s="241"/>
      <c r="BY79" s="239" t="s">
        <v>83</v>
      </c>
      <c r="BZ79" s="240"/>
      <c r="CA79" s="240"/>
      <c r="CB79" s="241"/>
      <c r="CC79" s="240" t="s">
        <v>84</v>
      </c>
      <c r="CD79" s="240"/>
      <c r="CE79" s="241"/>
      <c r="CF79" s="240" t="s">
        <v>85</v>
      </c>
      <c r="CG79" s="240"/>
      <c r="CH79" s="240"/>
      <c r="CI79" s="241"/>
      <c r="CJ79" s="240" t="s">
        <v>68</v>
      </c>
      <c r="CK79" s="240"/>
      <c r="CL79" s="240"/>
      <c r="CM79" s="241"/>
    </row>
    <row r="80" spans="1:91" ht="13.5" customHeight="1">
      <c r="A80" s="22"/>
      <c r="B80" s="202">
        <v>22</v>
      </c>
      <c r="C80" s="308">
        <v>1</v>
      </c>
      <c r="D80" s="148" t="str">
        <f>N56</f>
        <v>FH</v>
      </c>
      <c r="E80" s="149"/>
      <c r="F80" s="148" t="str">
        <f>D56</f>
        <v>5802922450</v>
      </c>
      <c r="G80" s="149"/>
      <c r="H80" s="149"/>
      <c r="I80" s="151"/>
      <c r="J80" s="242" t="str">
        <f>H56</f>
        <v>FH35C-21S-0.3SHW(50)</v>
      </c>
      <c r="K80" s="150"/>
      <c r="L80" s="150"/>
      <c r="M80" s="150"/>
      <c r="N80" s="161"/>
      <c r="O80" s="162"/>
      <c r="P80" s="148" t="s">
        <v>92</v>
      </c>
      <c r="Q80" s="150"/>
      <c r="R80" s="150"/>
      <c r="S80" s="162"/>
      <c r="T80" s="148" t="str">
        <f>AE56</f>
        <v>USD</v>
      </c>
      <c r="U80" s="150"/>
      <c r="V80" s="150"/>
      <c r="W80" s="162"/>
      <c r="X80" s="999">
        <f>R56</f>
        <v>2000000</v>
      </c>
      <c r="Y80" s="1000"/>
      <c r="Z80" s="1000"/>
      <c r="AA80" s="1001"/>
      <c r="AB80" s="1013">
        <f>Z56/111</f>
        <v>4.7657657657657657E-2</v>
      </c>
      <c r="AC80" s="1014"/>
      <c r="AD80" s="1014"/>
      <c r="AE80" s="1015"/>
      <c r="AF80" s="1013">
        <f>BC56</f>
        <v>0.11</v>
      </c>
      <c r="AG80" s="1014"/>
      <c r="AH80" s="1014"/>
      <c r="AI80" s="1014"/>
      <c r="AJ80" s="1015"/>
      <c r="AK80" s="1013">
        <f>AM56</f>
        <v>9.4E-2</v>
      </c>
      <c r="AL80" s="1014"/>
      <c r="AM80" s="1014"/>
      <c r="AN80" s="1015"/>
      <c r="AO80" s="1013">
        <f>AI56</f>
        <v>9.2200000000000004E-2</v>
      </c>
      <c r="AP80" s="1014"/>
      <c r="AQ80" s="1014"/>
      <c r="AR80" s="1015"/>
      <c r="AS80" s="1013">
        <f>AI56/(1-AQ56)</f>
        <v>9.3131313131313134E-2</v>
      </c>
      <c r="AT80" s="1014"/>
      <c r="AU80" s="1014"/>
      <c r="AV80" s="1015"/>
      <c r="AW80" s="1013">
        <f>AO80-(AS80*$K$20)</f>
        <v>8.7543434343434354E-2</v>
      </c>
      <c r="AX80" s="1014"/>
      <c r="AY80" s="1014"/>
      <c r="AZ80" s="1015"/>
      <c r="BA80" s="979">
        <f>1-Z56/111/AW80</f>
        <v>0.4556112858138982</v>
      </c>
      <c r="BB80" s="980"/>
      <c r="BC80" s="980"/>
      <c r="BD80" s="981"/>
      <c r="BE80" s="991">
        <f>(AI56-AM56)/AM56</f>
        <v>-1.9148936170212724E-2</v>
      </c>
      <c r="BF80" s="992"/>
      <c r="BG80" s="992"/>
      <c r="BH80" s="993"/>
      <c r="BI80" s="1041">
        <f>AU56</f>
        <v>0.1012</v>
      </c>
      <c r="BJ80" s="1042"/>
      <c r="BK80" s="1042"/>
      <c r="BL80" s="1043"/>
      <c r="BM80" s="994">
        <f>1-AI56/(1-AQ56)/AU56</f>
        <v>7.9730107398091499E-2</v>
      </c>
      <c r="BN80" s="995"/>
      <c r="BO80" s="995"/>
      <c r="BP80" s="996"/>
      <c r="BQ80" s="994">
        <f>1-(Z56/111+AI56*AQ56+AS80*$K$20)/AU56</f>
        <v>0.47395036250767475</v>
      </c>
      <c r="BR80" s="995"/>
      <c r="BS80" s="995"/>
      <c r="BT80" s="996"/>
      <c r="BU80" s="1029">
        <f>AY56</f>
        <v>0.11</v>
      </c>
      <c r="BV80" s="1030"/>
      <c r="BW80" s="1030"/>
      <c r="BX80" s="1031"/>
      <c r="BY80" s="994">
        <f>1-AU56/AY56</f>
        <v>8.0000000000000071E-2</v>
      </c>
      <c r="BZ80" s="995"/>
      <c r="CA80" s="995"/>
      <c r="CB80" s="996"/>
      <c r="CC80" s="985">
        <f>BG56</f>
        <v>4.3904761904761903E-3</v>
      </c>
      <c r="CD80" s="986"/>
      <c r="CE80" s="987"/>
      <c r="CF80" s="149" t="str">
        <f>BJ56</f>
        <v>JAE</v>
      </c>
      <c r="CG80" s="150"/>
      <c r="CH80" s="150"/>
      <c r="CI80" s="152"/>
      <c r="CJ80" s="149" t="s">
        <v>29</v>
      </c>
      <c r="CK80" s="150"/>
      <c r="CL80" s="150"/>
      <c r="CM80" s="152"/>
    </row>
    <row r="81" spans="1:91" ht="13.5" customHeight="1">
      <c r="A81" s="22"/>
      <c r="B81" s="202">
        <v>23</v>
      </c>
      <c r="C81" s="308">
        <v>2</v>
      </c>
      <c r="D81" s="148" t="str">
        <f>N57</f>
        <v>FH</v>
      </c>
      <c r="E81" s="149"/>
      <c r="F81" s="148" t="str">
        <f>D57</f>
        <v>5801232050</v>
      </c>
      <c r="G81" s="149"/>
      <c r="H81" s="149"/>
      <c r="I81" s="151"/>
      <c r="J81" s="242" t="str">
        <f>H57</f>
        <v>FH34SRJ-30S-0.5SH(50)</v>
      </c>
      <c r="K81" s="150"/>
      <c r="L81" s="150"/>
      <c r="M81" s="150"/>
      <c r="N81" s="161"/>
      <c r="O81" s="162"/>
      <c r="P81" s="148" t="s">
        <v>92</v>
      </c>
      <c r="Q81" s="150"/>
      <c r="R81" s="150"/>
      <c r="S81" s="162"/>
      <c r="T81" s="148" t="str">
        <f>AE57</f>
        <v>USD</v>
      </c>
      <c r="U81" s="150"/>
      <c r="V81" s="150"/>
      <c r="W81" s="162"/>
      <c r="X81" s="999">
        <f>R57</f>
        <v>20000</v>
      </c>
      <c r="Y81" s="1000"/>
      <c r="Z81" s="1000"/>
      <c r="AA81" s="1001"/>
      <c r="AB81" s="1013">
        <f>Z57/111</f>
        <v>9.90990990990991E-2</v>
      </c>
      <c r="AC81" s="1014"/>
      <c r="AD81" s="1014"/>
      <c r="AE81" s="1015"/>
      <c r="AF81" s="1013">
        <f>BC57</f>
        <v>0.156</v>
      </c>
      <c r="AG81" s="1014"/>
      <c r="AH81" s="1014"/>
      <c r="AI81" s="1014"/>
      <c r="AJ81" s="1015"/>
      <c r="AK81" s="1013">
        <f>AM57</f>
        <v>0.13</v>
      </c>
      <c r="AL81" s="1014"/>
      <c r="AM81" s="1014"/>
      <c r="AN81" s="1015"/>
      <c r="AO81" s="1013">
        <f>AI57</f>
        <v>0.12970000000000001</v>
      </c>
      <c r="AP81" s="1014"/>
      <c r="AQ81" s="1014"/>
      <c r="AR81" s="1015"/>
      <c r="AS81" s="1013">
        <f>AI57/(1-AQ57)</f>
        <v>0.13101010101010102</v>
      </c>
      <c r="AT81" s="1014"/>
      <c r="AU81" s="1014"/>
      <c r="AV81" s="1015"/>
      <c r="AW81" s="1013">
        <f>AO81-(AS81*$K$20)</f>
        <v>0.12314949494949495</v>
      </c>
      <c r="AX81" s="1014"/>
      <c r="AY81" s="1014"/>
      <c r="AZ81" s="1015"/>
      <c r="BA81" s="979">
        <f>1-Z57/111/AW81</f>
        <v>0.19529431168401623</v>
      </c>
      <c r="BB81" s="980"/>
      <c r="BC81" s="980"/>
      <c r="BD81" s="981"/>
      <c r="BE81" s="991">
        <f>(AI57-AM57)/AM57</f>
        <v>-2.3076923076922671E-3</v>
      </c>
      <c r="BF81" s="992"/>
      <c r="BG81" s="992"/>
      <c r="BH81" s="993"/>
      <c r="BI81" s="1041">
        <f>AU57</f>
        <v>0.13600000000000001</v>
      </c>
      <c r="BJ81" s="1042"/>
      <c r="BK81" s="1042"/>
      <c r="BL81" s="1043"/>
      <c r="BM81" s="994">
        <f>1-AI57/(1-AQ57)/AU57</f>
        <v>3.669043374925729E-2</v>
      </c>
      <c r="BN81" s="995"/>
      <c r="BO81" s="995"/>
      <c r="BP81" s="996"/>
      <c r="BQ81" s="994">
        <f>1-(Z57/111+AI57*AQ57+AS81*$K$20)/AU57</f>
        <v>0.21362791066467535</v>
      </c>
      <c r="BR81" s="995"/>
      <c r="BS81" s="995"/>
      <c r="BT81" s="996"/>
      <c r="BU81" s="1029">
        <f>AY57</f>
        <v>0.156</v>
      </c>
      <c r="BV81" s="1030"/>
      <c r="BW81" s="1030"/>
      <c r="BX81" s="1031"/>
      <c r="BY81" s="994">
        <f>1-AU57/AY57</f>
        <v>0.12820512820512819</v>
      </c>
      <c r="BZ81" s="995"/>
      <c r="CA81" s="995"/>
      <c r="CB81" s="996"/>
      <c r="CC81" s="985">
        <f>BG57</f>
        <v>6.1761904761904766E-3</v>
      </c>
      <c r="CD81" s="986"/>
      <c r="CE81" s="987"/>
      <c r="CF81" s="149" t="str">
        <f>BJ57</f>
        <v>TE</v>
      </c>
      <c r="CG81" s="150"/>
      <c r="CH81" s="150"/>
      <c r="CI81" s="152"/>
      <c r="CJ81" s="149" t="s">
        <v>29</v>
      </c>
      <c r="CK81" s="150"/>
      <c r="CL81" s="150"/>
      <c r="CM81" s="152"/>
    </row>
    <row r="82" spans="1:91" ht="13.5" customHeight="1">
      <c r="A82" s="22"/>
      <c r="B82" s="202">
        <v>20</v>
      </c>
      <c r="C82" s="337" t="s">
        <v>279</v>
      </c>
      <c r="D82" s="28"/>
      <c r="E82" s="28"/>
      <c r="F82" s="28"/>
      <c r="G82" s="28"/>
      <c r="H82" s="121"/>
      <c r="I82" s="62"/>
      <c r="J82" s="63"/>
      <c r="K82" s="62"/>
      <c r="L82" s="63"/>
      <c r="M82" s="69"/>
      <c r="N82" s="69"/>
      <c r="O82" s="65"/>
      <c r="P82" s="69"/>
      <c r="Q82" s="65"/>
      <c r="R82" s="69"/>
      <c r="S82" s="28"/>
      <c r="T82" s="28"/>
      <c r="U82" s="28"/>
      <c r="V82" s="28"/>
      <c r="W82" s="28"/>
      <c r="X82" s="121"/>
      <c r="Y82" s="62"/>
      <c r="Z82" s="63"/>
      <c r="AA82" s="62"/>
      <c r="AB82" s="63"/>
      <c r="AC82" s="69"/>
      <c r="AD82" s="69"/>
      <c r="AE82" s="65"/>
      <c r="AF82" s="69"/>
      <c r="AG82" s="65"/>
      <c r="AH82" s="69"/>
      <c r="AI82" s="64"/>
      <c r="AJ82" s="69"/>
      <c r="AK82" s="65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33"/>
      <c r="AW82" s="28"/>
      <c r="AX82" s="28"/>
      <c r="AY82" s="31"/>
      <c r="AZ82" s="95"/>
      <c r="BA82" s="92"/>
      <c r="BB82" s="329"/>
      <c r="BC82" s="338"/>
      <c r="BD82" s="37"/>
      <c r="BE82" s="37"/>
    </row>
    <row r="83" spans="1:91" ht="13.5" customHeight="1">
      <c r="A83" s="22"/>
      <c r="B83" s="202">
        <v>24</v>
      </c>
      <c r="C83" s="304"/>
      <c r="D83" s="502" t="s">
        <v>278</v>
      </c>
      <c r="E83" s="503"/>
      <c r="F83" s="504" t="s">
        <v>292</v>
      </c>
      <c r="G83" s="503"/>
      <c r="H83" s="503"/>
      <c r="I83" s="505"/>
      <c r="J83" s="504" t="s">
        <v>29</v>
      </c>
      <c r="K83" s="506"/>
      <c r="L83" s="506"/>
      <c r="M83" s="506"/>
      <c r="N83" s="503"/>
      <c r="O83" s="505"/>
      <c r="P83" s="511" t="s">
        <v>29</v>
      </c>
      <c r="Q83" s="508"/>
      <c r="R83" s="508"/>
      <c r="S83" s="509"/>
      <c r="T83" s="504" t="s">
        <v>29</v>
      </c>
      <c r="U83" s="503"/>
      <c r="V83" s="503"/>
      <c r="W83" s="505"/>
      <c r="X83" s="508" t="s">
        <v>215</v>
      </c>
      <c r="Y83" s="503"/>
      <c r="Z83" s="503"/>
      <c r="AA83" s="503"/>
      <c r="AB83" s="507" t="s">
        <v>216</v>
      </c>
      <c r="AC83" s="503"/>
      <c r="AD83" s="503"/>
      <c r="AE83" s="503"/>
      <c r="AF83" s="507" t="s">
        <v>217</v>
      </c>
      <c r="AG83" s="508"/>
      <c r="AH83" s="508"/>
      <c r="AI83" s="508"/>
      <c r="AJ83" s="509"/>
      <c r="AK83" s="507" t="s">
        <v>218</v>
      </c>
      <c r="AL83" s="508"/>
      <c r="AM83" s="508"/>
      <c r="AN83" s="509"/>
      <c r="AO83" s="507" t="s">
        <v>219</v>
      </c>
      <c r="AP83" s="508"/>
      <c r="AQ83" s="508"/>
      <c r="AR83" s="509"/>
      <c r="AS83" s="507" t="s">
        <v>220</v>
      </c>
      <c r="AT83" s="508"/>
      <c r="AU83" s="508"/>
      <c r="AV83" s="508"/>
      <c r="AW83" s="507" t="s">
        <v>100</v>
      </c>
      <c r="AX83" s="508"/>
      <c r="AY83" s="508"/>
      <c r="AZ83" s="509"/>
      <c r="BA83" s="511" t="s">
        <v>221</v>
      </c>
      <c r="BB83" s="508"/>
      <c r="BC83" s="508"/>
      <c r="BD83" s="509"/>
      <c r="BE83" s="513" t="s">
        <v>222</v>
      </c>
      <c r="BF83" s="508"/>
      <c r="BG83" s="508"/>
      <c r="BH83" s="509"/>
      <c r="BI83" s="513" t="s">
        <v>29</v>
      </c>
      <c r="BJ83" s="508"/>
      <c r="BK83" s="508"/>
      <c r="BL83" s="509"/>
      <c r="BM83" s="513" t="s">
        <v>29</v>
      </c>
      <c r="BN83" s="508"/>
      <c r="BO83" s="508"/>
      <c r="BP83" s="509"/>
      <c r="BQ83" s="513" t="s">
        <v>29</v>
      </c>
      <c r="BR83" s="508"/>
      <c r="BS83" s="508"/>
      <c r="BT83" s="509"/>
      <c r="BU83" s="513" t="s">
        <v>29</v>
      </c>
      <c r="BV83" s="508"/>
      <c r="BW83" s="508"/>
      <c r="BX83" s="509"/>
      <c r="BY83" s="508"/>
      <c r="BZ83" s="508"/>
      <c r="CA83" s="508"/>
      <c r="CB83" s="509"/>
      <c r="CC83" s="513" t="s">
        <v>29</v>
      </c>
      <c r="CD83" s="508"/>
      <c r="CE83" s="509"/>
      <c r="CF83" s="508"/>
      <c r="CG83" s="508"/>
      <c r="CH83" s="508"/>
      <c r="CI83" s="509"/>
      <c r="CJ83" s="508"/>
      <c r="CK83" s="508"/>
      <c r="CL83" s="508"/>
      <c r="CM83" s="509"/>
    </row>
    <row r="84" spans="1:91" ht="13.5" customHeight="1">
      <c r="A84" s="22"/>
      <c r="B84" s="202">
        <v>24</v>
      </c>
      <c r="C84" s="461"/>
      <c r="D84" s="517"/>
      <c r="E84" s="518"/>
      <c r="F84" s="517"/>
      <c r="G84" s="518"/>
      <c r="H84" s="518"/>
      <c r="I84" s="519"/>
      <c r="J84" s="520"/>
      <c r="K84" s="521"/>
      <c r="L84" s="521"/>
      <c r="M84" s="521"/>
      <c r="N84" s="518"/>
      <c r="O84" s="519"/>
      <c r="P84" s="522"/>
      <c r="Q84" s="523"/>
      <c r="R84" s="523"/>
      <c r="S84" s="524"/>
      <c r="T84" s="517"/>
      <c r="U84" s="518"/>
      <c r="V84" s="518"/>
      <c r="W84" s="519"/>
      <c r="X84" s="523"/>
      <c r="Y84" s="518"/>
      <c r="Z84" s="518"/>
      <c r="AA84" s="518"/>
      <c r="AB84" s="522"/>
      <c r="AC84" s="518"/>
      <c r="AD84" s="518"/>
      <c r="AE84" s="518"/>
      <c r="AF84" s="522"/>
      <c r="AG84" s="523"/>
      <c r="AH84" s="523"/>
      <c r="AI84" s="523"/>
      <c r="AJ84" s="524"/>
      <c r="AK84" s="522"/>
      <c r="AL84" s="523"/>
      <c r="AM84" s="523"/>
      <c r="AN84" s="524"/>
      <c r="AO84" s="522"/>
      <c r="AP84" s="523"/>
      <c r="AQ84" s="523"/>
      <c r="AR84" s="524"/>
      <c r="AS84" s="522"/>
      <c r="AT84" s="523"/>
      <c r="AU84" s="523"/>
      <c r="AV84" s="523"/>
      <c r="AW84" s="522" t="s">
        <v>232</v>
      </c>
      <c r="AX84" s="523"/>
      <c r="AY84" s="523"/>
      <c r="AZ84" s="524"/>
      <c r="BA84" s="525" t="s">
        <v>29</v>
      </c>
      <c r="BB84" s="523"/>
      <c r="BC84" s="523"/>
      <c r="BD84" s="524"/>
      <c r="BE84" s="526" t="s">
        <v>29</v>
      </c>
      <c r="BF84" s="523"/>
      <c r="BG84" s="523"/>
      <c r="BH84" s="524"/>
      <c r="BI84" s="526" t="s">
        <v>29</v>
      </c>
      <c r="BJ84" s="523"/>
      <c r="BK84" s="523"/>
      <c r="BL84" s="524"/>
      <c r="BM84" s="526" t="s">
        <v>29</v>
      </c>
      <c r="BN84" s="523"/>
      <c r="BO84" s="523"/>
      <c r="BP84" s="524"/>
      <c r="BQ84" s="526" t="s">
        <v>29</v>
      </c>
      <c r="BR84" s="523"/>
      <c r="BS84" s="523"/>
      <c r="BT84" s="524"/>
      <c r="BU84" s="526" t="s">
        <v>29</v>
      </c>
      <c r="BV84" s="523"/>
      <c r="BW84" s="523"/>
      <c r="BX84" s="524"/>
      <c r="BY84" s="523"/>
      <c r="BZ84" s="523"/>
      <c r="CA84" s="523"/>
      <c r="CB84" s="524"/>
      <c r="CC84" s="526" t="s">
        <v>29</v>
      </c>
      <c r="CD84" s="523"/>
      <c r="CE84" s="524"/>
      <c r="CF84" s="523"/>
      <c r="CG84" s="523"/>
      <c r="CH84" s="523"/>
      <c r="CI84" s="524"/>
      <c r="CJ84" s="523"/>
      <c r="CK84" s="523"/>
      <c r="CL84" s="523"/>
      <c r="CM84" s="524"/>
    </row>
    <row r="85" spans="1:91" ht="13.5" customHeight="1">
      <c r="A85" s="22"/>
      <c r="B85" s="202">
        <v>25</v>
      </c>
      <c r="C85" s="308">
        <v>1</v>
      </c>
      <c r="D85" s="148" t="s">
        <v>205</v>
      </c>
      <c r="E85" s="149"/>
      <c r="F85" s="148" t="s">
        <v>147</v>
      </c>
      <c r="G85" s="149"/>
      <c r="H85" s="149"/>
      <c r="I85" s="151"/>
      <c r="J85" s="221"/>
      <c r="K85" s="222"/>
      <c r="L85" s="222"/>
      <c r="M85" s="222"/>
      <c r="N85" s="161"/>
      <c r="O85" s="162"/>
      <c r="P85" s="148"/>
      <c r="Q85" s="150"/>
      <c r="R85" s="150"/>
      <c r="S85" s="162"/>
      <c r="T85" s="119"/>
      <c r="U85" s="120"/>
      <c r="V85" s="120"/>
      <c r="W85" s="162"/>
      <c r="X85" s="976">
        <f>SUMPRODUCT(X$80:AA$81,AO$80:AR$81)</f>
        <v>186994</v>
      </c>
      <c r="Y85" s="977"/>
      <c r="Z85" s="977"/>
      <c r="AA85" s="978"/>
      <c r="AB85" s="976">
        <f>SUMPRODUCT(X$80:AA$81,AB$80:AE$81)</f>
        <v>97297.297297297293</v>
      </c>
      <c r="AC85" s="977"/>
      <c r="AD85" s="977"/>
      <c r="AE85" s="978"/>
      <c r="AF85" s="1005">
        <f>X$86-AB$86</f>
        <v>89696.702702702707</v>
      </c>
      <c r="AG85" s="1006"/>
      <c r="AH85" s="1006"/>
      <c r="AI85" s="1006"/>
      <c r="AJ85" s="1007"/>
      <c r="AK85" s="979">
        <f>AF85/X85</f>
        <v>0.4796769024819123</v>
      </c>
      <c r="AL85" s="980"/>
      <c r="AM85" s="980"/>
      <c r="AN85" s="981"/>
      <c r="AO85" s="979">
        <f>AS85/AW85</f>
        <v>-1.8919202518363022E-2</v>
      </c>
      <c r="AP85" s="980"/>
      <c r="AQ85" s="980"/>
      <c r="AR85" s="981"/>
      <c r="AS85" s="1035">
        <f>X$80*(AO$80-AK$80)+X$81*(AO$81-AK$81)</f>
        <v>-3605.9999999999923</v>
      </c>
      <c r="AT85" s="1036"/>
      <c r="AU85" s="1036"/>
      <c r="AV85" s="1037"/>
      <c r="AW85" s="1038">
        <f>SUMPRODUCT(X$80:AA$81,AK$80:AN$81)</f>
        <v>190600</v>
      </c>
      <c r="AX85" s="1039"/>
      <c r="AY85" s="1039"/>
      <c r="AZ85" s="1040"/>
      <c r="BA85" s="976">
        <f>SUMPRODUCT(X$80:AA$81,BI$80:BL$81)</f>
        <v>205120</v>
      </c>
      <c r="BB85" s="977"/>
      <c r="BC85" s="977"/>
      <c r="BD85" s="978"/>
      <c r="BE85" s="994">
        <f>1-(AB$91+X$80*(AO$80*AQ$56+AS$80*$K$20)+X$81*(AO$81*AQ$57+AS$81*$K$20))/BA$91</f>
        <v>0.47049834871568497</v>
      </c>
      <c r="BF85" s="995"/>
      <c r="BG85" s="995"/>
      <c r="BH85" s="996"/>
      <c r="BI85" s="149" t="s">
        <v>29</v>
      </c>
      <c r="BJ85" s="150"/>
      <c r="BK85" s="150"/>
      <c r="BL85" s="152"/>
      <c r="BM85" s="149" t="s">
        <v>29</v>
      </c>
      <c r="BN85" s="150"/>
      <c r="BO85" s="150"/>
      <c r="BP85" s="152"/>
      <c r="BQ85" s="149" t="s">
        <v>29</v>
      </c>
      <c r="BR85" s="150"/>
      <c r="BS85" s="150"/>
      <c r="BT85" s="152"/>
      <c r="BU85" s="149" t="s">
        <v>29</v>
      </c>
      <c r="BV85" s="150"/>
      <c r="BW85" s="150"/>
      <c r="BX85" s="152"/>
      <c r="BY85" s="149" t="s">
        <v>29</v>
      </c>
      <c r="BZ85" s="150"/>
      <c r="CA85" s="150"/>
      <c r="CB85" s="152"/>
      <c r="CC85" s="149" t="s">
        <v>29</v>
      </c>
      <c r="CD85" s="150"/>
      <c r="CE85" s="152"/>
      <c r="CF85" s="149" t="s">
        <v>29</v>
      </c>
      <c r="CG85" s="150"/>
      <c r="CH85" s="150"/>
      <c r="CI85" s="152"/>
      <c r="CJ85" s="149" t="s">
        <v>29</v>
      </c>
      <c r="CK85" s="150"/>
      <c r="CL85" s="150"/>
      <c r="CM85" s="152"/>
    </row>
    <row r="86" spans="1:91" ht="13.5" customHeight="1">
      <c r="A86" s="22"/>
      <c r="B86" s="202">
        <v>25</v>
      </c>
      <c r="C86" s="308">
        <v>2</v>
      </c>
      <c r="D86" s="148" t="s">
        <v>205</v>
      </c>
      <c r="E86" s="149"/>
      <c r="F86" s="148" t="s">
        <v>206</v>
      </c>
      <c r="G86" s="149"/>
      <c r="H86" s="149"/>
      <c r="I86" s="151"/>
      <c r="J86" s="221"/>
      <c r="K86" s="222"/>
      <c r="L86" s="222"/>
      <c r="M86" s="222"/>
      <c r="N86" s="161"/>
      <c r="O86" s="162"/>
      <c r="P86" s="148"/>
      <c r="Q86" s="150"/>
      <c r="R86" s="150"/>
      <c r="S86" s="162"/>
      <c r="T86" s="119"/>
      <c r="U86" s="120"/>
      <c r="V86" s="120"/>
      <c r="W86" s="162"/>
      <c r="X86" s="976">
        <f>SUMPRODUCT(X$80:AA$81,AO$80:AR$81)</f>
        <v>186994</v>
      </c>
      <c r="Y86" s="977"/>
      <c r="Z86" s="977"/>
      <c r="AA86" s="978"/>
      <c r="AB86" s="976">
        <f>SUMPRODUCT(X$80:AA$81,AB$80:AE$81)</f>
        <v>97297.297297297293</v>
      </c>
      <c r="AC86" s="977"/>
      <c r="AD86" s="977"/>
      <c r="AE86" s="978"/>
      <c r="AF86" s="1005">
        <f>X$86-AB$86</f>
        <v>89696.702702702707</v>
      </c>
      <c r="AG86" s="1006"/>
      <c r="AH86" s="1006"/>
      <c r="AI86" s="1006"/>
      <c r="AJ86" s="1007"/>
      <c r="AK86" s="979">
        <f>AF86/X86</f>
        <v>0.4796769024819123</v>
      </c>
      <c r="AL86" s="980"/>
      <c r="AM86" s="980"/>
      <c r="AN86" s="981"/>
      <c r="AO86" s="979">
        <f>AS86/AW86</f>
        <v>-1.8919202518363022E-2</v>
      </c>
      <c r="AP86" s="980"/>
      <c r="AQ86" s="980"/>
      <c r="AR86" s="981"/>
      <c r="AS86" s="1035">
        <f>X$80*(AO$80-AK$80)+X$81*(AO$81-AK$81)</f>
        <v>-3605.9999999999923</v>
      </c>
      <c r="AT86" s="1036"/>
      <c r="AU86" s="1036"/>
      <c r="AV86" s="1037"/>
      <c r="AW86" s="1038">
        <f>SUMPRODUCT(X$80:AA$81,AK$80:AN$81)</f>
        <v>190600</v>
      </c>
      <c r="AX86" s="1039"/>
      <c r="AY86" s="1039"/>
      <c r="AZ86" s="1040"/>
      <c r="BA86" s="976">
        <f>SUMPRODUCT(X$80:AA$81,BI$80:BL$81)</f>
        <v>205120</v>
      </c>
      <c r="BB86" s="977"/>
      <c r="BC86" s="977"/>
      <c r="BD86" s="978"/>
      <c r="BE86" s="994">
        <f>1-(AB$91+X$80*(AO$80*AQ$56+AS$80*$K$20)+X$81*(AO$81*AQ$57+AS$81*$K$20))/BA$91</f>
        <v>0.47049834871568497</v>
      </c>
      <c r="BF86" s="995"/>
      <c r="BG86" s="995"/>
      <c r="BH86" s="996"/>
      <c r="BI86" s="149" t="s">
        <v>29</v>
      </c>
      <c r="BJ86" s="150"/>
      <c r="BK86" s="150"/>
      <c r="BL86" s="152"/>
      <c r="BM86" s="149" t="s">
        <v>29</v>
      </c>
      <c r="BN86" s="150"/>
      <c r="BO86" s="150"/>
      <c r="BP86" s="152"/>
      <c r="BQ86" s="149" t="s">
        <v>29</v>
      </c>
      <c r="BR86" s="150"/>
      <c r="BS86" s="150"/>
      <c r="BT86" s="152"/>
      <c r="BU86" s="149" t="s">
        <v>29</v>
      </c>
      <c r="BV86" s="150"/>
      <c r="BW86" s="150"/>
      <c r="BX86" s="152"/>
      <c r="BY86" s="149" t="s">
        <v>29</v>
      </c>
      <c r="BZ86" s="150"/>
      <c r="CA86" s="150"/>
      <c r="CB86" s="152"/>
      <c r="CC86" s="149" t="s">
        <v>29</v>
      </c>
      <c r="CD86" s="150"/>
      <c r="CE86" s="152"/>
      <c r="CF86" s="149" t="s">
        <v>29</v>
      </c>
      <c r="CG86" s="150"/>
      <c r="CH86" s="150"/>
      <c r="CI86" s="152"/>
      <c r="CJ86" s="149" t="s">
        <v>29</v>
      </c>
      <c r="CK86" s="150"/>
      <c r="CL86" s="150"/>
      <c r="CM86" s="152"/>
    </row>
    <row r="87" spans="1:91" ht="13.5" customHeight="1">
      <c r="A87" s="22"/>
      <c r="B87" s="202">
        <v>20</v>
      </c>
      <c r="C87" s="337" t="s">
        <v>277</v>
      </c>
      <c r="D87" s="28"/>
      <c r="E87" s="28"/>
      <c r="F87" s="28"/>
      <c r="G87" s="28"/>
      <c r="H87" s="121"/>
      <c r="I87" s="62"/>
      <c r="J87" s="63"/>
      <c r="K87" s="62"/>
      <c r="L87" s="63"/>
      <c r="M87" s="69"/>
      <c r="N87" s="69"/>
      <c r="O87" s="65"/>
      <c r="P87" s="69"/>
      <c r="Q87" s="65"/>
      <c r="R87" s="69"/>
      <c r="S87" s="28"/>
      <c r="T87" s="28"/>
      <c r="U87" s="28"/>
      <c r="V87" s="28"/>
      <c r="W87" s="28"/>
      <c r="X87" s="121"/>
      <c r="Y87" s="62"/>
      <c r="Z87" s="63"/>
      <c r="AA87" s="62"/>
      <c r="AB87" s="63"/>
      <c r="AC87" s="69"/>
      <c r="AD87" s="69"/>
      <c r="AE87" s="65"/>
      <c r="AF87" s="69"/>
      <c r="AG87" s="65"/>
      <c r="AH87" s="69"/>
      <c r="AI87" s="64"/>
      <c r="AJ87" s="69"/>
      <c r="AK87" s="65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33"/>
      <c r="AW87" s="28"/>
      <c r="AX87" s="28"/>
      <c r="AY87" s="31"/>
      <c r="AZ87" s="95"/>
      <c r="BA87" s="92"/>
      <c r="BB87" s="329"/>
      <c r="BC87" s="338"/>
      <c r="BD87" s="37"/>
      <c r="BE87" s="37"/>
    </row>
    <row r="88" spans="1:91" ht="13.5" customHeight="1">
      <c r="A88" s="22"/>
      <c r="B88" s="202">
        <v>24</v>
      </c>
      <c r="C88" s="304"/>
      <c r="D88" s="243"/>
      <c r="E88" s="244"/>
      <c r="F88" s="243" t="s">
        <v>293</v>
      </c>
      <c r="G88" s="244"/>
      <c r="H88" s="244"/>
      <c r="I88" s="245"/>
      <c r="J88" s="246" t="s">
        <v>29</v>
      </c>
      <c r="K88" s="247"/>
      <c r="L88" s="247"/>
      <c r="M88" s="247"/>
      <c r="N88" s="244"/>
      <c r="O88" s="245"/>
      <c r="P88" s="253" t="s">
        <v>29</v>
      </c>
      <c r="Q88" s="249"/>
      <c r="R88" s="249"/>
      <c r="S88" s="250"/>
      <c r="T88" s="243"/>
      <c r="U88" s="244"/>
      <c r="V88" s="244"/>
      <c r="W88" s="245"/>
      <c r="X88" s="249" t="s">
        <v>215</v>
      </c>
      <c r="Y88" s="244"/>
      <c r="Z88" s="244"/>
      <c r="AA88" s="244"/>
      <c r="AB88" s="248" t="s">
        <v>216</v>
      </c>
      <c r="AC88" s="244"/>
      <c r="AD88" s="244"/>
      <c r="AE88" s="244"/>
      <c r="AF88" s="248" t="s">
        <v>217</v>
      </c>
      <c r="AG88" s="249"/>
      <c r="AH88" s="249"/>
      <c r="AI88" s="249"/>
      <c r="AJ88" s="250"/>
      <c r="AK88" s="248" t="s">
        <v>218</v>
      </c>
      <c r="AL88" s="249"/>
      <c r="AM88" s="249"/>
      <c r="AN88" s="250"/>
      <c r="AO88" s="248" t="s">
        <v>219</v>
      </c>
      <c r="AP88" s="249"/>
      <c r="AQ88" s="249"/>
      <c r="AR88" s="250"/>
      <c r="AS88" s="248" t="s">
        <v>220</v>
      </c>
      <c r="AT88" s="249"/>
      <c r="AU88" s="249"/>
      <c r="AV88" s="249"/>
      <c r="AW88" s="248" t="s">
        <v>100</v>
      </c>
      <c r="AX88" s="249"/>
      <c r="AY88" s="249"/>
      <c r="AZ88" s="250"/>
      <c r="BA88" s="253" t="s">
        <v>221</v>
      </c>
      <c r="BB88" s="249"/>
      <c r="BC88" s="249"/>
      <c r="BD88" s="250"/>
      <c r="BE88" s="251" t="s">
        <v>222</v>
      </c>
      <c r="BF88" s="249"/>
      <c r="BG88" s="249"/>
      <c r="BH88" s="250"/>
      <c r="BI88" s="251" t="s">
        <v>29</v>
      </c>
      <c r="BJ88" s="249"/>
      <c r="BK88" s="249"/>
      <c r="BL88" s="250"/>
      <c r="BM88" s="251" t="s">
        <v>29</v>
      </c>
      <c r="BN88" s="249"/>
      <c r="BO88" s="249"/>
      <c r="BP88" s="250"/>
      <c r="BQ88" s="251" t="s">
        <v>29</v>
      </c>
      <c r="BR88" s="249"/>
      <c r="BS88" s="249"/>
      <c r="BT88" s="250"/>
      <c r="BU88" s="251" t="s">
        <v>29</v>
      </c>
      <c r="BV88" s="249"/>
      <c r="BW88" s="249"/>
      <c r="BX88" s="250"/>
      <c r="BY88" s="249"/>
      <c r="BZ88" s="249"/>
      <c r="CA88" s="249"/>
      <c r="CB88" s="250"/>
      <c r="CC88" s="251" t="s">
        <v>29</v>
      </c>
      <c r="CD88" s="249"/>
      <c r="CE88" s="250"/>
      <c r="CF88" s="249"/>
      <c r="CG88" s="249"/>
      <c r="CH88" s="249"/>
      <c r="CI88" s="250"/>
      <c r="CJ88" s="249"/>
      <c r="CK88" s="249"/>
      <c r="CL88" s="249"/>
      <c r="CM88" s="250"/>
    </row>
    <row r="89" spans="1:91" ht="13.5" customHeight="1">
      <c r="A89" s="22"/>
      <c r="B89" s="202">
        <v>24</v>
      </c>
      <c r="C89" s="461"/>
      <c r="D89" s="462"/>
      <c r="E89" s="463"/>
      <c r="F89" s="462"/>
      <c r="G89" s="463"/>
      <c r="H89" s="463"/>
      <c r="I89" s="464"/>
      <c r="J89" s="465"/>
      <c r="K89" s="466"/>
      <c r="L89" s="466"/>
      <c r="M89" s="466"/>
      <c r="N89" s="463"/>
      <c r="O89" s="464"/>
      <c r="P89" s="467"/>
      <c r="Q89" s="458"/>
      <c r="R89" s="458"/>
      <c r="S89" s="459"/>
      <c r="T89" s="462"/>
      <c r="U89" s="463"/>
      <c r="V89" s="463"/>
      <c r="W89" s="464"/>
      <c r="X89" s="458"/>
      <c r="Y89" s="463"/>
      <c r="Z89" s="463"/>
      <c r="AA89" s="463"/>
      <c r="AB89" s="467"/>
      <c r="AC89" s="463"/>
      <c r="AD89" s="463"/>
      <c r="AE89" s="463"/>
      <c r="AF89" s="467"/>
      <c r="AG89" s="458"/>
      <c r="AH89" s="458"/>
      <c r="AI89" s="458"/>
      <c r="AJ89" s="459"/>
      <c r="AK89" s="467"/>
      <c r="AL89" s="458"/>
      <c r="AM89" s="458"/>
      <c r="AN89" s="459"/>
      <c r="AO89" s="467"/>
      <c r="AP89" s="458"/>
      <c r="AQ89" s="458"/>
      <c r="AR89" s="459"/>
      <c r="AS89" s="467"/>
      <c r="AT89" s="458"/>
      <c r="AU89" s="458"/>
      <c r="AV89" s="458"/>
      <c r="AW89" s="467" t="s">
        <v>232</v>
      </c>
      <c r="AX89" s="458"/>
      <c r="AY89" s="458"/>
      <c r="AZ89" s="459"/>
      <c r="BA89" s="457" t="s">
        <v>29</v>
      </c>
      <c r="BB89" s="458"/>
      <c r="BC89" s="458"/>
      <c r="BD89" s="459"/>
      <c r="BE89" s="460" t="s">
        <v>29</v>
      </c>
      <c r="BF89" s="458"/>
      <c r="BG89" s="458"/>
      <c r="BH89" s="459"/>
      <c r="BI89" s="460" t="s">
        <v>29</v>
      </c>
      <c r="BJ89" s="458"/>
      <c r="BK89" s="458"/>
      <c r="BL89" s="459"/>
      <c r="BM89" s="460" t="s">
        <v>29</v>
      </c>
      <c r="BN89" s="458"/>
      <c r="BO89" s="458"/>
      <c r="BP89" s="459"/>
      <c r="BQ89" s="460" t="s">
        <v>29</v>
      </c>
      <c r="BR89" s="458"/>
      <c r="BS89" s="458"/>
      <c r="BT89" s="459"/>
      <c r="BU89" s="460" t="s">
        <v>29</v>
      </c>
      <c r="BV89" s="458"/>
      <c r="BW89" s="458"/>
      <c r="BX89" s="459"/>
      <c r="BY89" s="458"/>
      <c r="BZ89" s="458"/>
      <c r="CA89" s="458"/>
      <c r="CB89" s="459"/>
      <c r="CC89" s="460" t="s">
        <v>29</v>
      </c>
      <c r="CD89" s="458"/>
      <c r="CE89" s="459"/>
      <c r="CF89" s="458"/>
      <c r="CG89" s="458"/>
      <c r="CH89" s="458"/>
      <c r="CI89" s="459"/>
      <c r="CJ89" s="458"/>
      <c r="CK89" s="458"/>
      <c r="CL89" s="458"/>
      <c r="CM89" s="459"/>
    </row>
    <row r="90" spans="1:91" ht="13.5" customHeight="1">
      <c r="A90" s="22"/>
      <c r="B90" s="202">
        <v>25</v>
      </c>
      <c r="C90" s="308"/>
      <c r="D90" s="148"/>
      <c r="E90" s="149"/>
      <c r="F90" s="148" t="s">
        <v>147</v>
      </c>
      <c r="G90" s="149"/>
      <c r="H90" s="149"/>
      <c r="I90" s="151"/>
      <c r="J90" s="221"/>
      <c r="K90" s="222"/>
      <c r="L90" s="222"/>
      <c r="M90" s="222"/>
      <c r="N90" s="161"/>
      <c r="O90" s="162"/>
      <c r="P90" s="148"/>
      <c r="Q90" s="150"/>
      <c r="R90" s="150"/>
      <c r="S90" s="162"/>
      <c r="T90" s="119"/>
      <c r="U90" s="120"/>
      <c r="V90" s="120"/>
      <c r="W90" s="162"/>
      <c r="X90" s="976">
        <f>SUMPRODUCT(X$80:AA$81,AO$80:AR$81)</f>
        <v>186994</v>
      </c>
      <c r="Y90" s="977"/>
      <c r="Z90" s="977"/>
      <c r="AA90" s="978"/>
      <c r="AB90" s="976">
        <f>SUMPRODUCT(X$80:AA$81,AB$80:AE$81)</f>
        <v>97297.297297297293</v>
      </c>
      <c r="AC90" s="977"/>
      <c r="AD90" s="977"/>
      <c r="AE90" s="978"/>
      <c r="AF90" s="1005">
        <f>X$91-AB$91</f>
        <v>89696.702702702707</v>
      </c>
      <c r="AG90" s="1006"/>
      <c r="AH90" s="1006"/>
      <c r="AI90" s="1006"/>
      <c r="AJ90" s="1007"/>
      <c r="AK90" s="979">
        <f>AF90/X90</f>
        <v>0.4796769024819123</v>
      </c>
      <c r="AL90" s="980"/>
      <c r="AM90" s="980"/>
      <c r="AN90" s="981"/>
      <c r="AO90" s="979">
        <f>AS90/AW90</f>
        <v>-1.8919202518363022E-2</v>
      </c>
      <c r="AP90" s="980"/>
      <c r="AQ90" s="980"/>
      <c r="AR90" s="981"/>
      <c r="AS90" s="1035">
        <f>X$80*(AO$80-AK$80)+X$81*(AO$81-AK$81)</f>
        <v>-3605.9999999999923</v>
      </c>
      <c r="AT90" s="1036"/>
      <c r="AU90" s="1036"/>
      <c r="AV90" s="1037"/>
      <c r="AW90" s="1038">
        <f>SUMPRODUCT(X$80:AA$81,AK$80:AN$81)</f>
        <v>190600</v>
      </c>
      <c r="AX90" s="1039"/>
      <c r="AY90" s="1039"/>
      <c r="AZ90" s="1040"/>
      <c r="BA90" s="976">
        <f>SUMPRODUCT(X$80:AA$81,BI$80:BL$81)</f>
        <v>205120</v>
      </c>
      <c r="BB90" s="977"/>
      <c r="BC90" s="977"/>
      <c r="BD90" s="978"/>
      <c r="BE90" s="994">
        <f>1-(AB$91+X$80*(AO$80*AQ$56+AS$80*$K$20)+X$81*(AO$81*AQ$57+AS$81*$K$20))/BA$91</f>
        <v>0.47049834871568497</v>
      </c>
      <c r="BF90" s="995"/>
      <c r="BG90" s="995"/>
      <c r="BH90" s="996"/>
      <c r="BI90" s="149" t="s">
        <v>29</v>
      </c>
      <c r="BJ90" s="150"/>
      <c r="BK90" s="150"/>
      <c r="BL90" s="152"/>
      <c r="BM90" s="149" t="s">
        <v>29</v>
      </c>
      <c r="BN90" s="150"/>
      <c r="BO90" s="150"/>
      <c r="BP90" s="152"/>
      <c r="BQ90" s="149" t="s">
        <v>29</v>
      </c>
      <c r="BR90" s="150"/>
      <c r="BS90" s="150"/>
      <c r="BT90" s="152"/>
      <c r="BU90" s="149" t="s">
        <v>29</v>
      </c>
      <c r="BV90" s="150"/>
      <c r="BW90" s="150"/>
      <c r="BX90" s="152"/>
      <c r="BY90" s="149" t="s">
        <v>29</v>
      </c>
      <c r="BZ90" s="150"/>
      <c r="CA90" s="150"/>
      <c r="CB90" s="152"/>
      <c r="CC90" s="149" t="s">
        <v>29</v>
      </c>
      <c r="CD90" s="150"/>
      <c r="CE90" s="152"/>
      <c r="CF90" s="149" t="s">
        <v>29</v>
      </c>
      <c r="CG90" s="150"/>
      <c r="CH90" s="150"/>
      <c r="CI90" s="152"/>
      <c r="CJ90" s="149" t="s">
        <v>29</v>
      </c>
      <c r="CK90" s="150"/>
      <c r="CL90" s="150"/>
      <c r="CM90" s="152"/>
    </row>
    <row r="91" spans="1:91" ht="13.5" customHeight="1">
      <c r="A91" s="22"/>
      <c r="B91" s="202">
        <v>25</v>
      </c>
      <c r="C91" s="308"/>
      <c r="D91" s="148"/>
      <c r="E91" s="149"/>
      <c r="F91" s="148" t="s">
        <v>206</v>
      </c>
      <c r="G91" s="149"/>
      <c r="H91" s="149"/>
      <c r="I91" s="151"/>
      <c r="J91" s="221"/>
      <c r="K91" s="222"/>
      <c r="L91" s="222"/>
      <c r="M91" s="222"/>
      <c r="N91" s="161"/>
      <c r="O91" s="162"/>
      <c r="P91" s="148"/>
      <c r="Q91" s="150"/>
      <c r="R91" s="150"/>
      <c r="S91" s="162"/>
      <c r="T91" s="119"/>
      <c r="U91" s="120"/>
      <c r="V91" s="120"/>
      <c r="W91" s="162"/>
      <c r="X91" s="976">
        <f>SUMPRODUCT(X$80:AA$81,AO$80:AR$81)</f>
        <v>186994</v>
      </c>
      <c r="Y91" s="977"/>
      <c r="Z91" s="977"/>
      <c r="AA91" s="978"/>
      <c r="AB91" s="976">
        <f>SUMPRODUCT(X$80:AA$81,AB$80:AE$81)</f>
        <v>97297.297297297293</v>
      </c>
      <c r="AC91" s="977"/>
      <c r="AD91" s="977"/>
      <c r="AE91" s="978"/>
      <c r="AF91" s="1005">
        <f>X$91-AB$91</f>
        <v>89696.702702702707</v>
      </c>
      <c r="AG91" s="1006"/>
      <c r="AH91" s="1006"/>
      <c r="AI91" s="1006"/>
      <c r="AJ91" s="1007"/>
      <c r="AK91" s="979">
        <f>AF91/X91</f>
        <v>0.4796769024819123</v>
      </c>
      <c r="AL91" s="980"/>
      <c r="AM91" s="980"/>
      <c r="AN91" s="981"/>
      <c r="AO91" s="979">
        <f>AS91/AW91</f>
        <v>-1.8919202518363022E-2</v>
      </c>
      <c r="AP91" s="980"/>
      <c r="AQ91" s="980"/>
      <c r="AR91" s="981"/>
      <c r="AS91" s="1035">
        <f>X$80*(AO$80-AK$80)+X$81*(AO$81-AK$81)</f>
        <v>-3605.9999999999923</v>
      </c>
      <c r="AT91" s="1036"/>
      <c r="AU91" s="1036"/>
      <c r="AV91" s="1037"/>
      <c r="AW91" s="1038">
        <f>SUMPRODUCT(X$80:AA$81,AK$80:AN$81)</f>
        <v>190600</v>
      </c>
      <c r="AX91" s="1039"/>
      <c r="AY91" s="1039"/>
      <c r="AZ91" s="1040"/>
      <c r="BA91" s="976">
        <f>SUMPRODUCT(X$80:AA$81,BI$80:BL$81)</f>
        <v>205120</v>
      </c>
      <c r="BB91" s="977"/>
      <c r="BC91" s="977"/>
      <c r="BD91" s="978"/>
      <c r="BE91" s="994">
        <f>1-(AB$91+X$80*(AO$80*AQ$56+AS$80*$K$20)+X$81*(AO$81*AQ$57+AS$81*$K$20))/BA$91</f>
        <v>0.47049834871568497</v>
      </c>
      <c r="BF91" s="995"/>
      <c r="BG91" s="995"/>
      <c r="BH91" s="996"/>
      <c r="BI91" s="149" t="s">
        <v>29</v>
      </c>
      <c r="BJ91" s="150"/>
      <c r="BK91" s="150"/>
      <c r="BL91" s="152"/>
      <c r="BM91" s="149" t="s">
        <v>29</v>
      </c>
      <c r="BN91" s="150"/>
      <c r="BO91" s="150"/>
      <c r="BP91" s="152"/>
      <c r="BQ91" s="149" t="s">
        <v>29</v>
      </c>
      <c r="BR91" s="150"/>
      <c r="BS91" s="150"/>
      <c r="BT91" s="152"/>
      <c r="BU91" s="149" t="s">
        <v>29</v>
      </c>
      <c r="BV91" s="150"/>
      <c r="BW91" s="150"/>
      <c r="BX91" s="152"/>
      <c r="BY91" s="149" t="s">
        <v>29</v>
      </c>
      <c r="BZ91" s="150"/>
      <c r="CA91" s="150"/>
      <c r="CB91" s="152"/>
      <c r="CC91" s="149" t="s">
        <v>29</v>
      </c>
      <c r="CD91" s="150"/>
      <c r="CE91" s="152"/>
      <c r="CF91" s="149" t="s">
        <v>29</v>
      </c>
      <c r="CG91" s="150"/>
      <c r="CH91" s="150"/>
      <c r="CI91" s="152"/>
      <c r="CJ91" s="149" t="s">
        <v>29</v>
      </c>
      <c r="CK91" s="150"/>
      <c r="CL91" s="150"/>
      <c r="CM91" s="152"/>
    </row>
    <row r="92" spans="1:91" ht="13.5" customHeight="1">
      <c r="A92" s="22"/>
      <c r="B92" s="202">
        <v>28</v>
      </c>
      <c r="C92" s="341"/>
      <c r="D92" s="71"/>
      <c r="E92" s="71"/>
      <c r="F92" s="71"/>
      <c r="G92" s="71"/>
      <c r="H92" s="71"/>
      <c r="I92" s="71"/>
      <c r="J92" s="71"/>
      <c r="K92" s="68"/>
      <c r="L92" s="68"/>
      <c r="M92" s="68"/>
      <c r="N92" s="91"/>
      <c r="O92" s="68"/>
      <c r="P92" s="68"/>
      <c r="Q92" s="68"/>
      <c r="R92" s="68"/>
      <c r="S92" s="68"/>
      <c r="T92" s="68"/>
      <c r="U92" s="68"/>
      <c r="V92" s="68"/>
      <c r="W92" s="91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5"/>
      <c r="AN92" s="65"/>
      <c r="AO92" s="65"/>
      <c r="AP92" s="65"/>
      <c r="AQ92" s="65"/>
      <c r="AR92" s="65"/>
      <c r="AS92" s="65"/>
      <c r="AT92" s="35"/>
      <c r="AU92" s="65"/>
      <c r="AV92" s="65"/>
      <c r="AW92" s="65"/>
      <c r="AX92" s="65"/>
      <c r="AY92" s="65"/>
      <c r="AZ92" s="31"/>
      <c r="BA92" s="30"/>
      <c r="BB92" s="175"/>
      <c r="BC92" s="345"/>
      <c r="BD92" s="28"/>
      <c r="BG92" s="24"/>
      <c r="BH92" s="28"/>
    </row>
    <row r="93" spans="1:91" ht="13.5" customHeight="1">
      <c r="A93" s="22"/>
      <c r="B93" s="202">
        <v>29</v>
      </c>
      <c r="C93" s="342"/>
      <c r="D93" s="332"/>
      <c r="E93" s="65"/>
      <c r="F93" s="65"/>
      <c r="G93" s="65"/>
      <c r="H93" s="65"/>
      <c r="I93" s="65"/>
      <c r="J93" s="1002"/>
      <c r="K93" s="1003"/>
      <c r="L93" s="1003"/>
      <c r="M93" s="1003"/>
      <c r="N93"/>
      <c r="O93"/>
      <c r="P93"/>
      <c r="Q93"/>
      <c r="R93"/>
      <c r="S93"/>
      <c r="T93"/>
      <c r="U93"/>
      <c r="V93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198"/>
      <c r="AN93" s="198"/>
      <c r="AO93" s="198"/>
      <c r="AP93" s="198"/>
      <c r="AQ93" s="198"/>
      <c r="AR93" s="198"/>
      <c r="AS93" s="254"/>
      <c r="AT93" s="35"/>
      <c r="AU93" s="35"/>
      <c r="AV93" s="254"/>
      <c r="AW93" s="198"/>
      <c r="AX93" s="198"/>
      <c r="AY93" s="198"/>
      <c r="AZ93" s="31"/>
      <c r="BA93" s="30"/>
      <c r="BB93" s="175"/>
      <c r="BC93" s="345"/>
      <c r="BD93" s="28"/>
      <c r="BG93" s="24"/>
      <c r="BH93" s="28"/>
    </row>
    <row r="94" spans="1:91" ht="13.5" customHeight="1">
      <c r="A94" s="22"/>
      <c r="B94" s="202"/>
      <c r="C94" s="393" t="s">
        <v>173</v>
      </c>
      <c r="D94" s="28"/>
      <c r="E94" s="28"/>
      <c r="F94" s="28"/>
      <c r="G94" s="28"/>
      <c r="H94" s="24"/>
      <c r="I94" s="24"/>
      <c r="J94" s="24"/>
      <c r="K94" s="24"/>
      <c r="L94" s="24"/>
      <c r="M94" s="127"/>
      <c r="N94" s="75"/>
      <c r="O94" s="84"/>
      <c r="P94" s="84"/>
      <c r="Q94" s="85"/>
      <c r="R94" s="75"/>
      <c r="S94" s="75"/>
      <c r="T94" s="75"/>
      <c r="U94" s="84"/>
      <c r="V94" s="85"/>
      <c r="W94" s="75"/>
      <c r="X94" s="65"/>
      <c r="Y94" s="28"/>
      <c r="Z94" s="233" t="s">
        <v>71</v>
      </c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198"/>
      <c r="AN94" s="198"/>
      <c r="AO94" s="198"/>
      <c r="AP94" s="198"/>
      <c r="AQ94" s="198"/>
      <c r="AR94" s="198"/>
      <c r="AS94" s="254"/>
      <c r="AT94" s="35"/>
      <c r="AU94" s="35"/>
      <c r="AV94" s="254"/>
      <c r="AW94" s="198"/>
      <c r="AX94" s="198"/>
      <c r="AY94" s="198"/>
      <c r="AZ94" s="31"/>
      <c r="BA94" s="30"/>
      <c r="BB94" s="175"/>
      <c r="BC94" s="345"/>
      <c r="BD94" s="28"/>
      <c r="BG94" s="24"/>
      <c r="BH94" s="28"/>
    </row>
    <row r="95" spans="1:91" ht="13.5" customHeight="1">
      <c r="A95" s="22"/>
      <c r="B95" s="202"/>
      <c r="C95" s="402" t="s">
        <v>31</v>
      </c>
      <c r="D95" s="403" t="s">
        <v>174</v>
      </c>
      <c r="E95" s="404"/>
      <c r="F95" s="404"/>
      <c r="G95" s="405"/>
      <c r="H95" s="406" t="s">
        <v>175</v>
      </c>
      <c r="I95" s="407"/>
      <c r="J95" s="407"/>
      <c r="K95" s="407"/>
      <c r="L95" s="404"/>
      <c r="M95" s="405"/>
      <c r="N95" s="403" t="s">
        <v>176</v>
      </c>
      <c r="O95" s="404"/>
      <c r="P95" s="404"/>
      <c r="Q95" s="404"/>
      <c r="R95" s="404"/>
      <c r="S95" s="405"/>
      <c r="T95" s="403" t="s">
        <v>177</v>
      </c>
      <c r="U95" s="404"/>
      <c r="V95" s="404"/>
      <c r="W95" s="404"/>
      <c r="X95" s="404"/>
      <c r="Y95" s="404"/>
      <c r="Z95" s="408" t="s">
        <v>178</v>
      </c>
      <c r="AA95" s="409"/>
      <c r="AB95" s="409"/>
      <c r="AC95" s="410"/>
      <c r="AD95" s="65"/>
      <c r="AE95" s="65"/>
      <c r="AF95" s="65"/>
      <c r="AG95" s="65"/>
      <c r="AH95" s="65"/>
      <c r="AI95" s="65"/>
      <c r="AJ95" s="65"/>
      <c r="AK95" s="65"/>
      <c r="AL95" s="65"/>
      <c r="AM95" s="198"/>
      <c r="AN95" s="198"/>
      <c r="AO95" s="198"/>
      <c r="AP95" s="198"/>
      <c r="AQ95" s="198"/>
      <c r="AR95" s="198"/>
      <c r="AS95" s="254"/>
      <c r="AT95" s="35"/>
      <c r="AU95" s="35"/>
      <c r="AV95" s="254"/>
      <c r="AW95" s="198"/>
      <c r="AX95" s="198"/>
      <c r="AY95" s="198"/>
      <c r="AZ95" s="31"/>
      <c r="BA95" s="30"/>
      <c r="BB95" s="175"/>
      <c r="BC95" s="345"/>
      <c r="BD95" s="28"/>
      <c r="BG95" s="24"/>
      <c r="BH95" s="28"/>
    </row>
    <row r="96" spans="1:91" ht="13.5" customHeight="1">
      <c r="A96" s="22"/>
      <c r="B96" s="202"/>
      <c r="C96" s="419">
        <v>1</v>
      </c>
      <c r="D96" s="427" t="s">
        <v>259</v>
      </c>
      <c r="E96" s="428"/>
      <c r="F96" s="428"/>
      <c r="G96" s="429"/>
      <c r="H96" s="420" t="s">
        <v>191</v>
      </c>
      <c r="I96" s="117"/>
      <c r="J96" s="117"/>
      <c r="K96" s="117"/>
      <c r="L96" s="421"/>
      <c r="M96" s="422"/>
      <c r="N96" s="1051">
        <v>5000</v>
      </c>
      <c r="O96" s="1052"/>
      <c r="P96" s="1052"/>
      <c r="Q96" s="1052"/>
      <c r="R96" s="1052"/>
      <c r="S96" s="1053"/>
      <c r="T96" s="1051">
        <v>5000</v>
      </c>
      <c r="U96" s="1046"/>
      <c r="V96" s="1046"/>
      <c r="W96" s="1046"/>
      <c r="X96" s="1046"/>
      <c r="Y96" s="1047"/>
      <c r="Z96" s="1054">
        <v>10</v>
      </c>
      <c r="AA96" s="1055"/>
      <c r="AB96" s="1055"/>
      <c r="AC96" s="1056"/>
      <c r="AD96" s="65"/>
      <c r="AE96" s="65"/>
      <c r="AF96" s="65"/>
      <c r="AG96" s="65"/>
      <c r="AH96" s="65"/>
      <c r="AI96" s="65"/>
      <c r="AJ96" s="65"/>
      <c r="AK96" s="65"/>
      <c r="AL96" s="65"/>
      <c r="AM96" s="198"/>
      <c r="AN96" s="198"/>
      <c r="AO96" s="198"/>
      <c r="AP96" s="198"/>
      <c r="AQ96" s="198"/>
      <c r="AR96" s="198"/>
      <c r="AS96" s="254"/>
      <c r="AT96" s="35"/>
      <c r="AU96" s="35"/>
      <c r="AV96" s="254"/>
      <c r="AW96" s="198"/>
      <c r="AX96" s="198"/>
      <c r="AY96" s="198"/>
      <c r="AZ96" s="31"/>
      <c r="BA96" s="30"/>
      <c r="BB96" s="175"/>
      <c r="BC96" s="345"/>
      <c r="BD96" s="28"/>
      <c r="BG96" s="24"/>
      <c r="BH96" s="28"/>
    </row>
    <row r="97" spans="1:60" ht="13.5" customHeight="1">
      <c r="A97" s="22"/>
      <c r="B97" s="202"/>
      <c r="C97" s="419"/>
      <c r="D97" s="427"/>
      <c r="E97" s="428"/>
      <c r="F97" s="428"/>
      <c r="G97" s="429"/>
      <c r="H97" s="420"/>
      <c r="I97" s="117"/>
      <c r="J97" s="117"/>
      <c r="K97" s="117"/>
      <c r="L97" s="421"/>
      <c r="M97" s="422"/>
      <c r="N97" s="1051">
        <v>5000</v>
      </c>
      <c r="O97" s="1052"/>
      <c r="P97" s="1052"/>
      <c r="Q97" s="1052"/>
      <c r="R97" s="1052"/>
      <c r="S97" s="1053"/>
      <c r="T97" s="1051">
        <v>5000</v>
      </c>
      <c r="U97" s="1046"/>
      <c r="V97" s="1046"/>
      <c r="W97" s="1046"/>
      <c r="X97" s="1046"/>
      <c r="Y97" s="1047"/>
      <c r="Z97" s="1054"/>
      <c r="AA97" s="1055"/>
      <c r="AB97" s="1055"/>
      <c r="AC97" s="1056"/>
      <c r="AD97" s="65"/>
      <c r="AE97" s="65"/>
      <c r="AF97" s="65"/>
      <c r="AG97" s="65"/>
      <c r="AH97" s="65"/>
      <c r="AI97" s="65"/>
      <c r="AJ97" s="65"/>
      <c r="AK97" s="65"/>
      <c r="AL97" s="65"/>
      <c r="AM97" s="198"/>
      <c r="AN97" s="198"/>
      <c r="AO97" s="198"/>
      <c r="AP97" s="198"/>
      <c r="AQ97" s="198"/>
      <c r="AR97" s="198"/>
      <c r="AS97" s="254"/>
      <c r="AT97" s="35"/>
      <c r="AU97" s="35"/>
      <c r="AV97" s="254"/>
      <c r="AW97" s="198"/>
      <c r="AX97" s="198"/>
      <c r="AY97" s="198"/>
      <c r="AZ97" s="31"/>
      <c r="BA97" s="30"/>
      <c r="BB97" s="175"/>
      <c r="BC97" s="345"/>
      <c r="BD97" s="28"/>
      <c r="BG97" s="24"/>
      <c r="BH97" s="28"/>
    </row>
    <row r="98" spans="1:60" ht="13.5" customHeight="1">
      <c r="A98" s="22"/>
      <c r="B98" s="202"/>
      <c r="C98" s="430"/>
      <c r="D98" s="423"/>
      <c r="E98" s="423"/>
      <c r="F98" s="423"/>
      <c r="G98" s="424"/>
      <c r="H98" s="424"/>
      <c r="I98" s="424"/>
      <c r="J98" s="424"/>
      <c r="K98" s="424"/>
      <c r="L98" s="425"/>
      <c r="M98" s="425"/>
      <c r="N98" s="424"/>
      <c r="O98" s="424"/>
      <c r="P98" s="424"/>
      <c r="Q98" s="426"/>
      <c r="R98" s="1044"/>
      <c r="S98" s="1044"/>
      <c r="T98" s="1044"/>
      <c r="U98" s="1044"/>
      <c r="V98" s="423"/>
      <c r="W98" s="424"/>
      <c r="X98" s="424"/>
      <c r="Y98" s="426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198"/>
      <c r="AN98" s="198"/>
      <c r="AO98" s="198"/>
      <c r="AP98" s="198"/>
      <c r="AQ98" s="198"/>
      <c r="AR98" s="198"/>
      <c r="AS98" s="254"/>
      <c r="AT98" s="35"/>
      <c r="AU98" s="35"/>
      <c r="AV98" s="254"/>
      <c r="AW98" s="198"/>
      <c r="AX98" s="198"/>
      <c r="AY98" s="198"/>
      <c r="AZ98" s="31"/>
      <c r="BA98" s="30"/>
      <c r="BB98" s="175"/>
      <c r="BC98" s="345"/>
      <c r="BD98" s="28"/>
      <c r="BG98" s="24"/>
      <c r="BH98" s="28"/>
    </row>
    <row r="99" spans="1:60" ht="13.5" customHeight="1">
      <c r="A99" s="22"/>
      <c r="B99" s="202"/>
      <c r="C99" s="393" t="s">
        <v>180</v>
      </c>
      <c r="D99" s="28"/>
      <c r="E99" s="28"/>
      <c r="F99" s="28"/>
      <c r="G99" s="28"/>
      <c r="H99" s="24"/>
      <c r="I99" s="24"/>
      <c r="J99" s="24"/>
      <c r="K99" s="24"/>
      <c r="L99" s="24"/>
      <c r="M99" s="127"/>
      <c r="N99" s="75"/>
      <c r="O99" s="84"/>
      <c r="P99" s="84"/>
      <c r="Q99" s="84"/>
      <c r="R99" s="84"/>
      <c r="S99" s="85"/>
      <c r="T99" s="75"/>
      <c r="U99" s="75"/>
      <c r="V99" s="75"/>
      <c r="W99" s="75"/>
      <c r="X99" s="75"/>
      <c r="Y99" s="84"/>
      <c r="Z99" s="233" t="s">
        <v>71</v>
      </c>
      <c r="AA99" s="75"/>
      <c r="AB99" s="65"/>
      <c r="AC99" s="28"/>
      <c r="AD99" s="65"/>
      <c r="AE99" s="65"/>
      <c r="AF99" s="65"/>
      <c r="AG99" s="65"/>
      <c r="AH99" s="65"/>
      <c r="AI99" s="65"/>
      <c r="AJ99" s="65"/>
      <c r="AK99" s="65"/>
      <c r="AL99" s="65"/>
      <c r="AM99" s="198"/>
      <c r="AN99" s="198"/>
      <c r="AO99" s="198"/>
      <c r="AP99" s="198"/>
      <c r="AQ99" s="198"/>
      <c r="AR99" s="198"/>
      <c r="AS99" s="254"/>
      <c r="AT99" s="35"/>
      <c r="AU99" s="35"/>
      <c r="AV99" s="254"/>
      <c r="AW99" s="198"/>
      <c r="AX99" s="198"/>
      <c r="AY99" s="198"/>
      <c r="AZ99" s="31"/>
      <c r="BA99" s="30"/>
      <c r="BB99" s="175"/>
      <c r="BC99" s="345"/>
      <c r="BD99" s="28"/>
      <c r="BG99" s="24"/>
      <c r="BH99" s="28"/>
    </row>
    <row r="100" spans="1:60" ht="13.5" customHeight="1">
      <c r="A100" s="22"/>
      <c r="B100" s="202"/>
      <c r="C100" s="402" t="s">
        <v>31</v>
      </c>
      <c r="D100" s="403" t="s">
        <v>174</v>
      </c>
      <c r="E100" s="412"/>
      <c r="F100" s="412"/>
      <c r="G100" s="413"/>
      <c r="H100" s="414" t="s">
        <v>185</v>
      </c>
      <c r="I100" s="415"/>
      <c r="J100" s="415"/>
      <c r="K100" s="415"/>
      <c r="L100" s="412"/>
      <c r="M100" s="413"/>
      <c r="N100" s="411" t="s">
        <v>186</v>
      </c>
      <c r="O100" s="412"/>
      <c r="P100" s="412"/>
      <c r="Q100" s="412"/>
      <c r="R100" s="412"/>
      <c r="S100" s="413"/>
      <c r="T100" s="411" t="s">
        <v>187</v>
      </c>
      <c r="U100" s="412"/>
      <c r="V100" s="412"/>
      <c r="W100" s="412"/>
      <c r="X100" s="412"/>
      <c r="Y100" s="412"/>
      <c r="Z100" s="416" t="s">
        <v>178</v>
      </c>
      <c r="AA100" s="417"/>
      <c r="AB100" s="417"/>
      <c r="AC100" s="418"/>
      <c r="AD100" s="65"/>
      <c r="AE100" s="65"/>
      <c r="AF100" s="65"/>
      <c r="AG100" s="65"/>
      <c r="AH100" s="65"/>
      <c r="AI100" s="65"/>
      <c r="AJ100" s="65"/>
      <c r="AK100" s="65"/>
      <c r="AL100" s="65"/>
      <c r="AM100" s="198"/>
      <c r="AN100" s="198"/>
      <c r="AO100" s="198"/>
      <c r="AP100" s="198"/>
      <c r="AQ100" s="198"/>
      <c r="AR100" s="198"/>
      <c r="AS100" s="254"/>
      <c r="AT100" s="35"/>
      <c r="AU100" s="35"/>
      <c r="AV100" s="254"/>
      <c r="AW100" s="198"/>
      <c r="AX100" s="198"/>
      <c r="AY100" s="198"/>
      <c r="AZ100" s="31"/>
      <c r="BA100" s="30"/>
      <c r="BB100" s="175"/>
      <c r="BC100" s="345"/>
      <c r="BD100" s="28"/>
      <c r="BG100" s="24"/>
      <c r="BH100" s="28"/>
    </row>
    <row r="101" spans="1:60" ht="13.5" customHeight="1">
      <c r="A101" s="22"/>
      <c r="B101" s="202"/>
      <c r="C101" s="308">
        <v>1</v>
      </c>
      <c r="D101" s="427" t="s">
        <v>259</v>
      </c>
      <c r="E101" s="428"/>
      <c r="F101" s="428"/>
      <c r="G101" s="429"/>
      <c r="H101" s="242" t="s">
        <v>29</v>
      </c>
      <c r="I101" s="150"/>
      <c r="J101" s="150"/>
      <c r="K101" s="150"/>
      <c r="L101" s="161"/>
      <c r="M101" s="162"/>
      <c r="N101" s="1045">
        <v>5000</v>
      </c>
      <c r="O101" s="1046"/>
      <c r="P101" s="1046"/>
      <c r="Q101" s="1046"/>
      <c r="R101" s="1046"/>
      <c r="S101" s="1047"/>
      <c r="T101" s="1045">
        <v>5000</v>
      </c>
      <c r="U101" s="1046"/>
      <c r="V101" s="1046"/>
      <c r="W101" s="1046"/>
      <c r="X101" s="1046"/>
      <c r="Y101" s="1047"/>
      <c r="Z101" s="1048">
        <v>10</v>
      </c>
      <c r="AA101" s="1049"/>
      <c r="AB101" s="1049"/>
      <c r="AC101" s="1050"/>
      <c r="AD101" s="65"/>
      <c r="AE101" s="65"/>
      <c r="AF101" s="65"/>
      <c r="AG101" s="65"/>
      <c r="AH101" s="65"/>
      <c r="AI101" s="65"/>
      <c r="AJ101" s="65"/>
      <c r="AK101" s="65"/>
      <c r="AL101" s="65"/>
      <c r="AM101" s="198"/>
      <c r="AN101" s="198"/>
      <c r="AO101" s="198"/>
      <c r="AP101" s="198"/>
      <c r="AQ101" s="198"/>
      <c r="AR101" s="198"/>
      <c r="AS101" s="254"/>
      <c r="AT101" s="35"/>
      <c r="AU101" s="35"/>
      <c r="AV101" s="254"/>
      <c r="AW101" s="198"/>
      <c r="AX101" s="198"/>
      <c r="AY101" s="198"/>
      <c r="AZ101" s="31"/>
      <c r="BA101" s="30"/>
      <c r="BB101" s="175"/>
      <c r="BC101" s="345"/>
      <c r="BD101" s="28"/>
      <c r="BG101" s="24"/>
      <c r="BH101" s="28"/>
    </row>
    <row r="102" spans="1:60" ht="13.5" customHeight="1">
      <c r="A102" s="22"/>
      <c r="B102" s="202"/>
      <c r="C102" s="308"/>
      <c r="D102" s="427"/>
      <c r="E102" s="428"/>
      <c r="F102" s="428"/>
      <c r="G102" s="429"/>
      <c r="H102" s="242" t="s">
        <v>29</v>
      </c>
      <c r="I102" s="150"/>
      <c r="J102" s="150"/>
      <c r="K102" s="150"/>
      <c r="L102" s="161"/>
      <c r="M102" s="162"/>
      <c r="N102" s="1045">
        <v>5000</v>
      </c>
      <c r="O102" s="1046"/>
      <c r="P102" s="1046"/>
      <c r="Q102" s="1046"/>
      <c r="R102" s="1046"/>
      <c r="S102" s="1047"/>
      <c r="T102" s="1045">
        <v>5000</v>
      </c>
      <c r="U102" s="1046"/>
      <c r="V102" s="1046"/>
      <c r="W102" s="1046"/>
      <c r="X102" s="1046"/>
      <c r="Y102" s="1047"/>
      <c r="Z102" s="1048"/>
      <c r="AA102" s="1049"/>
      <c r="AB102" s="1049"/>
      <c r="AC102" s="1050"/>
      <c r="AD102" s="65"/>
      <c r="AE102" s="65"/>
      <c r="AF102" s="65"/>
      <c r="AG102" s="65"/>
      <c r="AH102" s="65"/>
      <c r="AI102" s="65"/>
      <c r="AJ102" s="65"/>
      <c r="AK102" s="65"/>
      <c r="AL102" s="65"/>
      <c r="AM102" s="198"/>
      <c r="AN102" s="198"/>
      <c r="AO102" s="198"/>
      <c r="AP102" s="198"/>
      <c r="AQ102" s="198"/>
      <c r="AR102" s="198"/>
      <c r="AS102" s="254"/>
      <c r="AT102" s="35"/>
      <c r="AU102" s="35"/>
      <c r="AV102" s="254"/>
      <c r="AW102" s="198"/>
      <c r="AX102" s="198"/>
      <c r="AY102" s="198"/>
      <c r="AZ102" s="31"/>
      <c r="BA102" s="30"/>
      <c r="BB102" s="175"/>
      <c r="BC102" s="345"/>
      <c r="BD102" s="28"/>
      <c r="BG102" s="24"/>
      <c r="BH102" s="28"/>
    </row>
    <row r="103" spans="1:60" ht="13.5" customHeight="1">
      <c r="A103" s="22"/>
      <c r="B103" s="202"/>
      <c r="C103" s="342"/>
      <c r="D103" s="332"/>
      <c r="E103" s="65"/>
      <c r="F103" s="65"/>
      <c r="G103" s="65"/>
      <c r="H103" s="65"/>
      <c r="I103" s="65"/>
      <c r="J103" s="333"/>
      <c r="K103" s="334"/>
      <c r="L103" s="334"/>
      <c r="M103" s="334"/>
      <c r="N103"/>
      <c r="O103"/>
      <c r="P103"/>
      <c r="Q103"/>
      <c r="R103"/>
      <c r="S103"/>
      <c r="T103"/>
      <c r="U103"/>
      <c r="V103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W103" s="198"/>
      <c r="AX103" s="198"/>
      <c r="AY103" s="198"/>
      <c r="AZ103" s="31"/>
      <c r="BA103" s="30"/>
      <c r="BB103" s="175"/>
      <c r="BC103" s="345"/>
      <c r="BD103" s="28"/>
      <c r="BG103" s="24"/>
      <c r="BH103" s="28"/>
    </row>
    <row r="104" spans="1:60" ht="13.5" customHeight="1">
      <c r="A104" s="22"/>
      <c r="B104" s="202"/>
      <c r="C104" s="282" t="s">
        <v>192</v>
      </c>
      <c r="D104" s="28"/>
      <c r="E104" s="28"/>
      <c r="F104" s="28"/>
      <c r="H104" s="58"/>
      <c r="I104" s="59"/>
      <c r="J104" s="59"/>
      <c r="K104" s="59"/>
      <c r="L104" s="60"/>
      <c r="M104" s="59"/>
      <c r="N104" s="61"/>
      <c r="O104" s="61"/>
      <c r="P104" s="70"/>
      <c r="Q104" s="64"/>
      <c r="R104"/>
      <c r="S104"/>
      <c r="T104"/>
      <c r="U104"/>
      <c r="V104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W104" s="198"/>
      <c r="AX104" s="198"/>
      <c r="AY104" s="198"/>
      <c r="AZ104" s="31"/>
      <c r="BA104" s="30"/>
      <c r="BB104" s="175"/>
      <c r="BC104" s="345"/>
      <c r="BD104" s="28"/>
      <c r="BG104" s="24"/>
      <c r="BH104" s="28"/>
    </row>
    <row r="105" spans="1:60" ht="13.5" customHeight="1">
      <c r="A105" s="22"/>
      <c r="B105" s="202"/>
      <c r="C105" s="282" t="s">
        <v>193</v>
      </c>
      <c r="D105" s="28"/>
      <c r="E105" s="28"/>
      <c r="F105" s="28"/>
      <c r="H105" s="58"/>
      <c r="I105" s="59"/>
      <c r="J105" s="59"/>
      <c r="K105" s="59"/>
      <c r="L105" s="60"/>
      <c r="M105" s="59"/>
      <c r="N105" s="61"/>
      <c r="O105" s="61"/>
      <c r="P105" s="70"/>
      <c r="Q105"/>
      <c r="R105" s="488" t="s">
        <v>195</v>
      </c>
      <c r="S105" s="488"/>
      <c r="T105"/>
      <c r="U105"/>
      <c r="V10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W105" s="198"/>
      <c r="AX105" s="198"/>
      <c r="AY105" s="198"/>
      <c r="AZ105" s="31"/>
      <c r="BA105" s="30"/>
      <c r="BB105" s="175"/>
      <c r="BC105" s="345"/>
      <c r="BD105" s="28"/>
      <c r="BG105" s="24"/>
      <c r="BH105" s="28"/>
    </row>
    <row r="106" spans="1:60" ht="13.5" customHeight="1">
      <c r="A106" s="22"/>
      <c r="B106" s="202"/>
      <c r="C106" s="282" t="s">
        <v>194</v>
      </c>
      <c r="D106" s="28"/>
      <c r="E106" s="28"/>
      <c r="F106" s="28"/>
      <c r="H106" s="516" t="s">
        <v>281</v>
      </c>
      <c r="I106" s="59"/>
      <c r="J106" s="59"/>
      <c r="K106" s="59"/>
      <c r="L106" s="60"/>
      <c r="M106" s="59"/>
      <c r="N106" s="61"/>
      <c r="O106" s="61"/>
      <c r="P106" s="99" t="s">
        <v>32</v>
      </c>
      <c r="Q106"/>
      <c r="R106"/>
      <c r="S106"/>
      <c r="T106"/>
      <c r="U106"/>
      <c r="V106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W106" s="198"/>
      <c r="AX106" s="198"/>
      <c r="AY106" s="198"/>
      <c r="AZ106" s="31"/>
      <c r="BA106" s="30"/>
      <c r="BB106" s="175"/>
      <c r="BC106" s="345"/>
      <c r="BD106" s="28"/>
      <c r="BG106" s="24"/>
      <c r="BH106" s="28"/>
    </row>
    <row r="107" spans="1:60" ht="13.5" customHeight="1">
      <c r="A107" s="22"/>
      <c r="B107" s="202"/>
      <c r="C107" s="282"/>
      <c r="D107" s="28"/>
      <c r="E107" s="28"/>
      <c r="F107" s="28"/>
      <c r="H107" s="62"/>
      <c r="I107" s="63"/>
      <c r="J107" s="63"/>
      <c r="K107" s="63"/>
      <c r="L107" s="64"/>
      <c r="M107" s="63"/>
      <c r="N107" s="65"/>
      <c r="O107" s="65"/>
      <c r="P107" s="82"/>
      <c r="Q107"/>
      <c r="R107"/>
      <c r="S107"/>
      <c r="T107"/>
      <c r="U107"/>
      <c r="V107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W107" s="198"/>
      <c r="AX107" s="198"/>
      <c r="AY107" s="198"/>
      <c r="AZ107" s="31"/>
      <c r="BA107" s="30"/>
      <c r="BB107" s="175"/>
      <c r="BC107" s="345"/>
      <c r="BD107" s="28"/>
      <c r="BG107" s="24"/>
      <c r="BH107" s="28"/>
    </row>
    <row r="108" spans="1:60" ht="13.5" customHeight="1">
      <c r="A108" s="22"/>
      <c r="B108" s="202"/>
      <c r="C108" s="282" t="s">
        <v>282</v>
      </c>
      <c r="D108" s="28"/>
      <c r="E108" s="28"/>
      <c r="F108" s="28"/>
      <c r="H108" s="163"/>
      <c r="I108" s="164"/>
      <c r="J108" s="165"/>
      <c r="K108" s="164"/>
      <c r="L108" s="165"/>
      <c r="M108" s="164"/>
      <c r="N108" s="166"/>
      <c r="O108" s="164"/>
      <c r="P108" s="165"/>
      <c r="Q108" s="165"/>
      <c r="R108" s="165"/>
      <c r="S108" s="167"/>
      <c r="T108" s="167"/>
      <c r="U108" s="167"/>
      <c r="V108" s="167"/>
      <c r="W108" s="167"/>
      <c r="X108" s="166"/>
      <c r="Y108" s="167"/>
      <c r="Z108" s="165"/>
      <c r="AA108" s="166"/>
      <c r="AB108" s="167"/>
      <c r="AC108" s="165"/>
      <c r="AD108" s="166"/>
      <c r="AE108" s="165"/>
      <c r="AF108" s="165"/>
      <c r="AG108" s="166"/>
      <c r="AH108" s="165"/>
      <c r="AI108" s="165"/>
      <c r="AJ108" s="168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0" t="s">
        <v>36</v>
      </c>
      <c r="AY108" s="198"/>
      <c r="AZ108" s="31"/>
      <c r="BA108" s="30"/>
      <c r="BB108" s="175"/>
      <c r="BC108" s="345"/>
      <c r="BD108" s="28"/>
      <c r="BG108" s="24"/>
      <c r="BH108" s="28"/>
    </row>
    <row r="109" spans="1:60" ht="13.5" customHeight="1">
      <c r="A109" s="22"/>
      <c r="B109" s="202"/>
      <c r="C109" s="282"/>
      <c r="D109" s="28"/>
      <c r="E109" s="28"/>
      <c r="F109" s="28"/>
      <c r="H109" s="169"/>
      <c r="I109" s="170"/>
      <c r="J109" s="171"/>
      <c r="K109" s="170"/>
      <c r="L109" s="171"/>
      <c r="M109" s="170"/>
      <c r="N109" s="172"/>
      <c r="O109" s="170"/>
      <c r="P109" s="171"/>
      <c r="Q109" s="171"/>
      <c r="R109" s="171"/>
      <c r="S109" s="173"/>
      <c r="T109" s="173"/>
      <c r="U109" s="173"/>
      <c r="V109" s="173"/>
      <c r="W109" s="173"/>
      <c r="X109" s="172"/>
      <c r="Y109" s="173"/>
      <c r="Z109" s="171"/>
      <c r="AA109" s="172"/>
      <c r="AB109" s="173"/>
      <c r="AC109" s="171"/>
      <c r="AD109" s="172"/>
      <c r="AE109" s="171"/>
      <c r="AF109" s="171"/>
      <c r="AG109" s="172"/>
      <c r="AH109" s="171"/>
      <c r="AI109" s="171"/>
      <c r="AJ109" s="174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22" t="s">
        <v>32</v>
      </c>
      <c r="AY109" s="198"/>
      <c r="AZ109" s="31"/>
      <c r="BA109" s="30"/>
      <c r="BB109" s="175"/>
      <c r="BC109" s="345"/>
      <c r="BD109" s="28"/>
      <c r="BG109" s="24"/>
      <c r="BH109" s="28"/>
    </row>
    <row r="110" spans="1:60" ht="13.5" customHeight="1">
      <c r="A110" s="22"/>
      <c r="B110" s="202"/>
      <c r="C110" s="282"/>
      <c r="D110" s="28"/>
      <c r="E110" s="28"/>
      <c r="F110" s="28"/>
      <c r="H110" s="62"/>
      <c r="I110" s="63"/>
      <c r="J110" s="63"/>
      <c r="K110" s="63"/>
      <c r="L110" s="64"/>
      <c r="M110" s="63"/>
      <c r="N110" s="65"/>
      <c r="O110" s="65"/>
      <c r="P110" s="82"/>
      <c r="Q110"/>
      <c r="R110"/>
      <c r="S110"/>
      <c r="T110"/>
      <c r="U110"/>
      <c r="V110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W110" s="198"/>
      <c r="AX110" s="198"/>
      <c r="AY110" s="198"/>
      <c r="AZ110" s="31"/>
      <c r="BA110" s="30"/>
      <c r="BB110" s="175"/>
      <c r="BC110" s="345"/>
      <c r="BD110" s="28"/>
      <c r="BG110" s="24"/>
      <c r="BH110" s="28"/>
    </row>
    <row r="111" spans="1:60" ht="13.5" customHeight="1">
      <c r="A111" s="22"/>
      <c r="B111" s="202"/>
      <c r="C111" s="342"/>
      <c r="D111" s="332"/>
      <c r="E111" s="65"/>
      <c r="F111" s="65"/>
      <c r="G111" s="65"/>
      <c r="H111" s="65"/>
      <c r="I111" s="65"/>
      <c r="J111" s="333"/>
      <c r="K111" s="334"/>
      <c r="L111" s="334"/>
      <c r="M111" s="334"/>
      <c r="N111"/>
      <c r="O111"/>
      <c r="P111"/>
      <c r="Q111"/>
      <c r="R111"/>
      <c r="S111"/>
      <c r="T111"/>
      <c r="U111"/>
      <c r="V111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198"/>
      <c r="AN111" s="198"/>
      <c r="AO111" s="198"/>
      <c r="AP111" s="198"/>
      <c r="AQ111" s="198"/>
      <c r="AR111" s="198"/>
      <c r="AS111" s="254"/>
      <c r="AT111" s="35"/>
      <c r="AU111" s="35"/>
      <c r="AV111" s="254"/>
      <c r="AW111" s="198"/>
      <c r="AX111" s="198"/>
      <c r="AY111" s="198"/>
      <c r="AZ111" s="31"/>
      <c r="BA111" s="30"/>
      <c r="BB111" s="175"/>
      <c r="BC111" s="345"/>
      <c r="BD111" s="28"/>
      <c r="BG111" s="24"/>
      <c r="BH111" s="28"/>
    </row>
    <row r="112" spans="1:60" ht="13.5" customHeight="1">
      <c r="A112" s="22"/>
      <c r="B112" s="202"/>
      <c r="C112" s="342"/>
      <c r="D112" s="332"/>
      <c r="E112" s="65"/>
      <c r="F112" s="65"/>
      <c r="G112" s="65"/>
      <c r="H112" s="65"/>
      <c r="I112" s="65"/>
      <c r="J112" s="333"/>
      <c r="K112" s="334"/>
      <c r="L112" s="334"/>
      <c r="M112" s="334"/>
      <c r="N112"/>
      <c r="O112"/>
      <c r="P112"/>
      <c r="Q112"/>
      <c r="R112"/>
      <c r="S112"/>
      <c r="T112"/>
      <c r="U112"/>
      <c r="V112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198"/>
      <c r="AN112" s="198"/>
      <c r="AO112" s="198"/>
      <c r="AP112" s="198"/>
      <c r="AQ112" s="198"/>
      <c r="AR112" s="198"/>
      <c r="AS112" s="254"/>
      <c r="AT112" s="35"/>
      <c r="AU112" s="35"/>
      <c r="AV112" s="254"/>
      <c r="AW112" s="198"/>
      <c r="AX112" s="198"/>
      <c r="AY112" s="198"/>
      <c r="AZ112" s="31"/>
      <c r="BA112" s="30"/>
      <c r="BB112" s="175"/>
      <c r="BC112" s="345"/>
      <c r="BD112" s="28"/>
      <c r="BG112" s="24"/>
      <c r="BH112" s="28"/>
    </row>
    <row r="113" spans="1:60" ht="5.15" customHeight="1">
      <c r="A113" s="22"/>
      <c r="B113" s="202"/>
      <c r="C113" s="315"/>
      <c r="D113" s="73"/>
      <c r="E113" s="73"/>
      <c r="F113" s="73"/>
      <c r="G113" s="73"/>
      <c r="H113" s="316"/>
      <c r="I113" s="275"/>
      <c r="J113" s="273"/>
      <c r="K113" s="275"/>
      <c r="L113" s="273"/>
      <c r="M113" s="317"/>
      <c r="N113" s="317"/>
      <c r="O113" s="270"/>
      <c r="P113" s="317"/>
      <c r="Q113" s="270"/>
      <c r="R113" s="317"/>
      <c r="S113" s="73"/>
      <c r="T113" s="73"/>
      <c r="U113" s="73"/>
      <c r="V113" s="73"/>
      <c r="W113" s="73"/>
      <c r="X113" s="316"/>
      <c r="Y113" s="275"/>
      <c r="Z113" s="273"/>
      <c r="AA113" s="275"/>
      <c r="AB113" s="273"/>
      <c r="AC113" s="317"/>
      <c r="AD113" s="317"/>
      <c r="AE113" s="270"/>
      <c r="AF113" s="317"/>
      <c r="AG113" s="270"/>
      <c r="AH113" s="317"/>
      <c r="AI113" s="276"/>
      <c r="AJ113" s="317"/>
      <c r="AK113" s="270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318"/>
      <c r="AW113" s="73"/>
      <c r="AX113" s="73"/>
      <c r="AY113" s="269"/>
      <c r="AZ113" s="269"/>
      <c r="BA113" s="319"/>
      <c r="BB113" s="320"/>
      <c r="BC113" s="344"/>
      <c r="BD113" s="28"/>
    </row>
    <row r="114" spans="1:60" ht="13.5" customHeight="1">
      <c r="A114" s="22"/>
      <c r="B114" s="202">
        <v>31</v>
      </c>
      <c r="C114" s="331"/>
      <c r="D114" s="332"/>
      <c r="E114" s="65"/>
      <c r="F114" s="65"/>
      <c r="G114" s="65"/>
      <c r="H114" s="65"/>
      <c r="I114" s="65"/>
      <c r="J114" s="1004"/>
      <c r="K114" s="1004"/>
      <c r="L114" s="1004"/>
      <c r="M114" s="1004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198"/>
      <c r="AN114" s="198"/>
      <c r="AO114" s="198"/>
      <c r="AP114" s="198"/>
      <c r="AQ114" s="198"/>
      <c r="AR114" s="198"/>
      <c r="AS114" s="198"/>
      <c r="AT114" s="198"/>
      <c r="AU114" s="198"/>
      <c r="AV114" s="198"/>
      <c r="AW114" s="198"/>
      <c r="AX114" s="198"/>
      <c r="AY114" s="198"/>
      <c r="AZ114" s="33"/>
      <c r="BA114" s="46"/>
      <c r="BB114" s="78"/>
      <c r="BC114" s="34"/>
      <c r="BD114" s="28"/>
      <c r="BG114" s="24"/>
      <c r="BH114" s="28"/>
    </row>
    <row r="115" spans="1:60" ht="14.15" customHeight="1">
      <c r="A115" s="22"/>
      <c r="B115" s="129"/>
      <c r="C115" s="346" t="s">
        <v>130</v>
      </c>
      <c r="D115" s="28"/>
      <c r="E115" s="28"/>
      <c r="F115" s="28"/>
      <c r="G115" s="28"/>
      <c r="S115" s="35"/>
      <c r="T115" s="35"/>
      <c r="U115" s="35"/>
      <c r="V115" s="35"/>
      <c r="Y115" s="35"/>
      <c r="Z115" s="35"/>
      <c r="AD115" s="35"/>
      <c r="AE115" s="35"/>
      <c r="AF115" s="35"/>
      <c r="AG115" s="35"/>
      <c r="AH115" s="35"/>
      <c r="AI115" s="35"/>
      <c r="AJ115" s="28"/>
      <c r="AK115" s="28"/>
      <c r="AL115" s="28"/>
      <c r="AM115" s="130"/>
      <c r="AN115" s="130"/>
      <c r="AO115" s="35"/>
      <c r="AP115" s="35"/>
      <c r="AQ115" s="35"/>
      <c r="AR115" s="35"/>
      <c r="AS115" s="35"/>
      <c r="AT115" s="35"/>
      <c r="AU115" s="35"/>
      <c r="AV115" s="35"/>
      <c r="AW115" s="35"/>
      <c r="AX115" s="65"/>
      <c r="AY115" s="65"/>
      <c r="AZ115" s="33"/>
      <c r="BA115" s="46"/>
      <c r="BB115" s="78"/>
      <c r="BC115" s="34"/>
      <c r="BD115" s="28"/>
      <c r="BG115" s="35"/>
    </row>
    <row r="116" spans="1:60" ht="5.15" customHeight="1">
      <c r="A116" s="22"/>
      <c r="B116" s="202"/>
      <c r="C116" s="296"/>
      <c r="D116" s="72"/>
      <c r="E116" s="72"/>
      <c r="F116" s="72"/>
      <c r="G116" s="72"/>
      <c r="H116" s="297"/>
      <c r="I116" s="278"/>
      <c r="J116" s="279"/>
      <c r="K116" s="278"/>
      <c r="L116" s="279"/>
      <c r="M116" s="298"/>
      <c r="N116" s="298"/>
      <c r="O116" s="263"/>
      <c r="P116" s="298"/>
      <c r="Q116" s="263"/>
      <c r="R116" s="298"/>
      <c r="S116" s="72"/>
      <c r="T116" s="72"/>
      <c r="U116" s="72"/>
      <c r="V116" s="72"/>
      <c r="W116" s="72"/>
      <c r="X116" s="297"/>
      <c r="Y116" s="278"/>
      <c r="Z116" s="279"/>
      <c r="AA116" s="278"/>
      <c r="AB116" s="279"/>
      <c r="AC116" s="298"/>
      <c r="AD116" s="298"/>
      <c r="AE116" s="263"/>
      <c r="AF116" s="298"/>
      <c r="AG116" s="263"/>
      <c r="AH116" s="298"/>
      <c r="AI116" s="280"/>
      <c r="AJ116" s="298"/>
      <c r="AK116" s="263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300"/>
      <c r="AW116" s="72"/>
      <c r="AX116" s="72"/>
      <c r="AY116" s="265"/>
      <c r="AZ116" s="33"/>
      <c r="BA116" s="46"/>
      <c r="BB116" s="78"/>
      <c r="BC116" s="34"/>
      <c r="BD116" s="28"/>
    </row>
    <row r="117" spans="1:60" ht="14.15" customHeight="1">
      <c r="A117" s="23"/>
      <c r="B117" s="351"/>
      <c r="C117" s="282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5"/>
      <c r="S117" s="35"/>
      <c r="T117" s="28"/>
      <c r="U117" s="28"/>
      <c r="V117" s="28"/>
      <c r="W117" s="28"/>
      <c r="X117" s="28"/>
      <c r="Y117" s="28"/>
      <c r="Z117" s="28"/>
      <c r="AC117" s="28"/>
      <c r="AD117" s="28"/>
      <c r="AE117" s="35"/>
      <c r="AF117" s="35"/>
      <c r="AG117" s="35"/>
      <c r="AH117" s="35"/>
      <c r="AI117" s="35"/>
      <c r="AJ117" s="28"/>
      <c r="AK117" s="28"/>
      <c r="AL117" s="28"/>
      <c r="AM117" s="35"/>
      <c r="AN117" s="35"/>
      <c r="AO117" s="135"/>
      <c r="AP117" s="136"/>
      <c r="AQ117" s="130"/>
      <c r="AR117" s="130"/>
      <c r="AS117" s="130"/>
      <c r="AT117" s="130"/>
      <c r="AU117" s="81"/>
      <c r="AV117" s="35"/>
      <c r="AW117" s="35"/>
      <c r="AX117" s="65"/>
      <c r="AY117" s="347"/>
      <c r="AZ117" s="33"/>
      <c r="BA117" s="46"/>
      <c r="BB117" s="78"/>
      <c r="BC117" s="34"/>
      <c r="BD117" s="28"/>
      <c r="BG117" s="35"/>
    </row>
    <row r="118" spans="1:60" ht="14.15" customHeight="1">
      <c r="A118" s="23"/>
      <c r="B118" s="351"/>
      <c r="C118" s="352"/>
      <c r="D118" s="348" t="s">
        <v>37</v>
      </c>
      <c r="E118" s="131"/>
      <c r="F118" s="131"/>
      <c r="G118" s="131"/>
      <c r="H118" s="132"/>
      <c r="I118" s="132"/>
      <c r="J118" s="106"/>
      <c r="K118" s="133"/>
      <c r="L118" s="134"/>
      <c r="M118" s="144"/>
      <c r="N118" s="144"/>
      <c r="O118" s="131"/>
      <c r="P118" s="134"/>
      <c r="Q118" s="107"/>
      <c r="R118" s="133" t="s">
        <v>39</v>
      </c>
      <c r="S118" s="134"/>
      <c r="T118" s="107"/>
      <c r="U118" s="107"/>
      <c r="V118" s="133" t="s">
        <v>43</v>
      </c>
      <c r="W118" s="134"/>
      <c r="X118" s="107"/>
      <c r="Y118" s="35"/>
      <c r="Z118" s="35"/>
      <c r="AC118" s="28"/>
      <c r="AD118" s="28"/>
      <c r="AE118" s="28"/>
      <c r="AF118" s="35"/>
      <c r="AG118" s="35"/>
      <c r="AH118" s="28"/>
      <c r="AI118" s="28"/>
      <c r="AJ118" s="28"/>
      <c r="AK118" s="81"/>
      <c r="AL118" s="28"/>
      <c r="AM118" s="28"/>
      <c r="AN118" s="28"/>
      <c r="AO118" s="28"/>
      <c r="AP118" s="28"/>
      <c r="AQ118" s="65"/>
      <c r="AR118" s="65"/>
      <c r="AS118" s="65"/>
      <c r="AT118" s="125"/>
      <c r="AU118" s="65"/>
      <c r="AV118" s="65"/>
      <c r="AW118" s="65"/>
      <c r="AX118" s="65"/>
      <c r="AY118" s="347"/>
      <c r="AZ118" s="33"/>
      <c r="BA118" s="46"/>
      <c r="BB118" s="78"/>
      <c r="BC118" s="34"/>
      <c r="BD118" s="28"/>
      <c r="BE118" s="35"/>
      <c r="BF118" s="35"/>
      <c r="BG118" s="35"/>
    </row>
    <row r="119" spans="1:60" ht="13.5" customHeight="1">
      <c r="A119" s="22"/>
      <c r="B119" s="353"/>
      <c r="C119" s="352"/>
      <c r="D119" s="349" t="s">
        <v>44</v>
      </c>
      <c r="E119" s="137"/>
      <c r="F119" s="137"/>
      <c r="G119" s="137"/>
      <c r="H119" s="137"/>
      <c r="I119" s="137"/>
      <c r="J119" s="137"/>
      <c r="K119" s="350"/>
      <c r="L119" s="139"/>
      <c r="M119" s="108"/>
      <c r="N119" s="108"/>
      <c r="O119" s="145"/>
      <c r="P119" s="139"/>
      <c r="Q119" s="109"/>
      <c r="R119" s="138" t="s">
        <v>40</v>
      </c>
      <c r="S119" s="139"/>
      <c r="T119" s="108"/>
      <c r="U119" s="109"/>
      <c r="V119" s="140"/>
      <c r="W119" s="141"/>
      <c r="X119" s="142"/>
      <c r="Y119" s="116"/>
      <c r="Z119" s="41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65"/>
      <c r="AR119" s="65"/>
      <c r="AS119" s="65"/>
      <c r="AT119" s="125"/>
      <c r="AU119" s="65"/>
      <c r="AV119" s="65"/>
      <c r="AW119" s="65"/>
      <c r="AX119" s="65"/>
      <c r="AY119" s="347"/>
      <c r="AZ119" s="33"/>
      <c r="BA119" s="46"/>
      <c r="BB119" s="78"/>
      <c r="BC119" s="34"/>
      <c r="BD119" s="28"/>
      <c r="BE119" s="35"/>
      <c r="BF119" s="35"/>
      <c r="BG119" s="35"/>
    </row>
    <row r="120" spans="1:60" ht="5.15" customHeight="1">
      <c r="A120" s="22"/>
      <c r="B120" s="202"/>
      <c r="C120" s="315"/>
      <c r="D120" s="73"/>
      <c r="E120" s="73"/>
      <c r="F120" s="73"/>
      <c r="G120" s="73"/>
      <c r="H120" s="316"/>
      <c r="I120" s="275"/>
      <c r="J120" s="273"/>
      <c r="K120" s="275"/>
      <c r="L120" s="273"/>
      <c r="M120" s="317"/>
      <c r="N120" s="317"/>
      <c r="O120" s="270"/>
      <c r="P120" s="317"/>
      <c r="Q120" s="270"/>
      <c r="R120" s="317"/>
      <c r="S120" s="73"/>
      <c r="T120" s="73"/>
      <c r="U120" s="73"/>
      <c r="V120" s="73"/>
      <c r="W120" s="73"/>
      <c r="X120" s="316"/>
      <c r="Y120" s="275"/>
      <c r="Z120" s="273"/>
      <c r="AA120" s="275"/>
      <c r="AB120" s="273"/>
      <c r="AC120" s="317"/>
      <c r="AD120" s="317"/>
      <c r="AE120" s="270"/>
      <c r="AF120" s="317"/>
      <c r="AG120" s="270"/>
      <c r="AH120" s="317"/>
      <c r="AI120" s="276"/>
      <c r="AJ120" s="317"/>
      <c r="AK120" s="270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318"/>
      <c r="AW120" s="73"/>
      <c r="AX120" s="73"/>
      <c r="AY120" s="277"/>
      <c r="AZ120" s="33"/>
      <c r="BA120" s="46"/>
      <c r="BB120" s="78"/>
      <c r="BC120" s="34"/>
      <c r="BD120" s="28"/>
    </row>
    <row r="121" spans="1:60" ht="14.15" customHeight="1">
      <c r="A121" s="22"/>
      <c r="B121" s="202">
        <v>35</v>
      </c>
      <c r="C121" s="331"/>
      <c r="D121" s="332"/>
      <c r="E121" s="65"/>
      <c r="F121" s="65"/>
      <c r="G121" s="65"/>
      <c r="H121" s="65"/>
      <c r="I121" s="65"/>
      <c r="J121" s="969"/>
      <c r="K121" s="969"/>
      <c r="L121" s="969"/>
      <c r="M121" s="969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125"/>
      <c r="AU121" s="65"/>
      <c r="AV121" s="65"/>
      <c r="AW121" s="65"/>
      <c r="AX121" s="65"/>
      <c r="AY121" s="65"/>
      <c r="AZ121" s="33"/>
      <c r="BA121" s="46"/>
      <c r="BB121" s="335"/>
      <c r="BC121" s="336"/>
      <c r="BD121" s="28"/>
      <c r="BG121" s="24"/>
      <c r="BH121" s="28"/>
    </row>
    <row r="122" spans="1:60" ht="14.15" customHeight="1">
      <c r="A122" s="22"/>
      <c r="B122" s="202">
        <v>35</v>
      </c>
      <c r="C122" s="346" t="s">
        <v>246</v>
      </c>
      <c r="D122" s="332"/>
      <c r="E122" s="65"/>
      <c r="F122" s="65"/>
      <c r="G122" s="65"/>
      <c r="H122" s="65"/>
      <c r="I122" s="65"/>
      <c r="J122" s="969"/>
      <c r="K122" s="969"/>
      <c r="L122" s="969"/>
      <c r="M122" s="969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125"/>
      <c r="AU122" s="65"/>
      <c r="AV122" s="65"/>
      <c r="AW122" s="65"/>
      <c r="AX122" s="65"/>
      <c r="AY122" s="65"/>
      <c r="AZ122" s="33"/>
      <c r="BA122" s="46"/>
      <c r="BB122" s="335"/>
      <c r="BC122" s="336"/>
      <c r="BD122" s="28"/>
      <c r="BG122" s="24"/>
      <c r="BH122" s="28"/>
    </row>
    <row r="123" spans="1:60" ht="14.15" customHeight="1">
      <c r="A123" s="22"/>
      <c r="B123" s="202">
        <v>35</v>
      </c>
      <c r="C123" s="331"/>
      <c r="D123" s="478" t="s">
        <v>247</v>
      </c>
      <c r="E123" s="65"/>
      <c r="F123" s="65"/>
      <c r="G123" s="65"/>
      <c r="H123" s="65"/>
      <c r="I123" s="65"/>
      <c r="J123" s="477"/>
      <c r="K123" s="477"/>
      <c r="L123" s="477"/>
      <c r="M123" s="477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125"/>
      <c r="AU123" s="65"/>
      <c r="AV123" s="65"/>
      <c r="AW123" s="65"/>
      <c r="AX123" s="65"/>
      <c r="AY123" s="65"/>
      <c r="AZ123" s="33"/>
      <c r="BA123" s="46"/>
      <c r="BB123" s="335"/>
      <c r="BC123" s="336"/>
      <c r="BD123" s="28"/>
      <c r="BG123" s="24"/>
      <c r="BH123" s="28"/>
    </row>
    <row r="124" spans="1:60" ht="14.15" customHeight="1">
      <c r="A124" s="22"/>
      <c r="B124" s="202">
        <v>35</v>
      </c>
      <c r="C124" s="331"/>
      <c r="D124" s="332"/>
      <c r="E124" s="65"/>
      <c r="F124" s="65"/>
      <c r="G124" s="65"/>
      <c r="H124" s="65"/>
      <c r="I124" s="65"/>
      <c r="J124" s="1008"/>
      <c r="K124" s="1008"/>
      <c r="L124" s="1008"/>
      <c r="M124" s="1008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125"/>
      <c r="AU124" s="65"/>
      <c r="AV124" s="65"/>
      <c r="AW124" s="65"/>
      <c r="AX124" s="65"/>
      <c r="AY124" s="65"/>
      <c r="AZ124" s="33"/>
      <c r="BA124" s="46"/>
      <c r="BB124" s="335"/>
      <c r="BC124" s="336"/>
      <c r="BD124" s="28"/>
      <c r="BG124" s="24"/>
      <c r="BH124" s="28"/>
    </row>
    <row r="125" spans="1:60" ht="5.15" customHeight="1">
      <c r="A125" s="22"/>
      <c r="B125" s="202"/>
      <c r="C125" s="296"/>
      <c r="D125" s="72"/>
      <c r="E125" s="72"/>
      <c r="F125" s="72"/>
      <c r="G125" s="72"/>
      <c r="H125" s="297"/>
      <c r="I125" s="278"/>
      <c r="J125" s="279"/>
      <c r="K125" s="278"/>
      <c r="L125" s="279"/>
      <c r="M125" s="298"/>
      <c r="N125" s="298"/>
      <c r="O125" s="263"/>
      <c r="P125" s="298"/>
      <c r="Q125" s="263"/>
      <c r="R125" s="298"/>
      <c r="S125" s="72"/>
      <c r="T125" s="72"/>
      <c r="U125" s="72"/>
      <c r="V125" s="72"/>
      <c r="W125" s="72"/>
      <c r="X125" s="297"/>
      <c r="Y125" s="278"/>
      <c r="Z125" s="279"/>
      <c r="AA125" s="278"/>
      <c r="AB125" s="279"/>
      <c r="AC125" s="298"/>
      <c r="AD125" s="298"/>
      <c r="AE125" s="263"/>
      <c r="AF125" s="298"/>
      <c r="AG125" s="263"/>
      <c r="AH125" s="298"/>
      <c r="AI125" s="280"/>
      <c r="AJ125" s="298"/>
      <c r="AK125" s="263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300"/>
      <c r="AW125" s="72"/>
      <c r="AX125" s="72"/>
      <c r="AY125" s="265"/>
      <c r="AZ125" s="33"/>
      <c r="BA125" s="46"/>
      <c r="BB125" s="78"/>
      <c r="BC125" s="34"/>
      <c r="BD125" s="28"/>
    </row>
    <row r="126" spans="1:60" ht="14.15" customHeight="1">
      <c r="A126" s="23"/>
      <c r="B126" s="351"/>
      <c r="C126" s="282"/>
      <c r="D126" s="28" t="s">
        <v>239</v>
      </c>
      <c r="E126" s="28"/>
      <c r="F126" s="28"/>
      <c r="G126" s="28"/>
      <c r="H126" s="468" t="s">
        <v>244</v>
      </c>
      <c r="I126" s="257"/>
      <c r="J126" s="258"/>
      <c r="K126" s="258"/>
      <c r="L126" s="258"/>
      <c r="M126" s="259"/>
      <c r="N126" s="258"/>
      <c r="O126" s="110"/>
      <c r="P126" s="261" t="s">
        <v>32</v>
      </c>
      <c r="Q126" s="25"/>
      <c r="R126" s="469" t="s">
        <v>245</v>
      </c>
      <c r="S126" s="470"/>
      <c r="T126" s="471"/>
      <c r="U126" s="471"/>
      <c r="V126" s="483"/>
      <c r="W126" s="472"/>
      <c r="X126" s="471"/>
      <c r="Y126" s="473"/>
      <c r="Z126" s="474"/>
      <c r="AB126" s="469" t="s">
        <v>287</v>
      </c>
      <c r="AC126" s="470"/>
      <c r="AD126" s="471"/>
      <c r="AE126" s="471"/>
      <c r="AF126" s="471"/>
      <c r="AG126" s="472"/>
      <c r="AH126" s="471"/>
      <c r="AI126" s="473"/>
      <c r="AJ126" s="472"/>
      <c r="AK126" s="479"/>
      <c r="AL126" s="479"/>
      <c r="AM126" s="473"/>
      <c r="AN126" s="473"/>
      <c r="AO126" s="471"/>
      <c r="AP126" s="480"/>
      <c r="AQ126" s="471"/>
      <c r="AR126" s="471"/>
      <c r="AS126" s="471"/>
      <c r="AT126" s="471"/>
      <c r="AU126" s="481"/>
      <c r="AV126" s="473"/>
      <c r="AW126" s="473"/>
      <c r="AX126" s="482"/>
      <c r="AY126" s="347"/>
      <c r="AZ126" s="33"/>
      <c r="BA126" s="46"/>
      <c r="BB126" s="78"/>
      <c r="BC126" s="34"/>
      <c r="BD126" s="28"/>
      <c r="BG126" s="35"/>
    </row>
    <row r="127" spans="1:60" ht="14.15" customHeight="1">
      <c r="A127" s="23"/>
      <c r="B127" s="351"/>
      <c r="C127" s="282"/>
      <c r="D127" s="28"/>
      <c r="E127" s="28"/>
      <c r="F127" s="28"/>
      <c r="G127" s="28"/>
      <c r="H127" s="469" t="s">
        <v>53</v>
      </c>
      <c r="I127" s="470"/>
      <c r="J127" s="471"/>
      <c r="K127" s="471"/>
      <c r="L127" s="471"/>
      <c r="M127" s="472"/>
      <c r="N127" s="471"/>
      <c r="O127" s="473"/>
      <c r="P127" s="472"/>
      <c r="Q127" s="479"/>
      <c r="R127" s="479"/>
      <c r="S127" s="473"/>
      <c r="T127" s="473"/>
      <c r="U127" s="471"/>
      <c r="V127" s="480"/>
      <c r="W127" s="471"/>
      <c r="X127" s="471"/>
      <c r="Y127" s="471"/>
      <c r="Z127" s="471"/>
      <c r="AA127" s="481"/>
      <c r="AB127" s="473"/>
      <c r="AC127" s="473"/>
      <c r="AD127" s="479"/>
      <c r="AE127" s="471"/>
      <c r="AF127" s="471"/>
      <c r="AG127" s="472"/>
      <c r="AH127" s="471"/>
      <c r="AI127" s="473"/>
      <c r="AJ127" s="472"/>
      <c r="AK127" s="479"/>
      <c r="AL127" s="479"/>
      <c r="AM127" s="473"/>
      <c r="AN127" s="473"/>
      <c r="AO127" s="471"/>
      <c r="AP127" s="480"/>
      <c r="AQ127" s="471"/>
      <c r="AR127" s="471"/>
      <c r="AS127" s="471"/>
      <c r="AT127" s="471"/>
      <c r="AU127" s="481"/>
      <c r="AV127" s="473"/>
      <c r="AW127" s="473"/>
      <c r="AX127" s="482"/>
      <c r="AY127" s="347"/>
      <c r="AZ127" s="33"/>
      <c r="BA127" s="46"/>
      <c r="BB127" s="78"/>
      <c r="BC127" s="34"/>
      <c r="BD127" s="28"/>
      <c r="BG127" s="35"/>
    </row>
    <row r="128" spans="1:60" ht="5.15" customHeight="1">
      <c r="A128" s="22"/>
      <c r="B128" s="202"/>
      <c r="C128" s="315"/>
      <c r="D128" s="73"/>
      <c r="E128" s="73"/>
      <c r="F128" s="73"/>
      <c r="G128" s="73"/>
      <c r="H128" s="316"/>
      <c r="I128" s="275"/>
      <c r="J128" s="273"/>
      <c r="K128" s="275"/>
      <c r="L128" s="273"/>
      <c r="M128" s="317"/>
      <c r="N128" s="317"/>
      <c r="O128" s="270"/>
      <c r="P128" s="317"/>
      <c r="Q128" s="270"/>
      <c r="R128" s="317"/>
      <c r="S128" s="73"/>
      <c r="T128" s="73"/>
      <c r="U128" s="73"/>
      <c r="V128" s="73"/>
      <c r="W128" s="73"/>
      <c r="X128" s="316"/>
      <c r="Y128" s="275"/>
      <c r="Z128" s="273"/>
      <c r="AA128" s="275"/>
      <c r="AB128" s="273"/>
      <c r="AC128" s="317"/>
      <c r="AD128" s="317"/>
      <c r="AE128" s="270"/>
      <c r="AF128" s="317"/>
      <c r="AG128" s="270"/>
      <c r="AH128" s="317"/>
      <c r="AI128" s="276"/>
      <c r="AJ128" s="317"/>
      <c r="AK128" s="270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318"/>
      <c r="AW128" s="73"/>
      <c r="AX128" s="73"/>
      <c r="AY128" s="277"/>
      <c r="AZ128" s="33"/>
      <c r="BA128" s="46"/>
      <c r="BB128" s="78"/>
      <c r="BC128" s="34"/>
      <c r="BD128" s="28"/>
    </row>
    <row r="129" spans="1:60" ht="5.15" customHeight="1">
      <c r="A129" s="22"/>
      <c r="B129" s="202"/>
      <c r="C129" s="476"/>
      <c r="D129" s="72"/>
      <c r="E129" s="72"/>
      <c r="F129" s="72"/>
      <c r="G129" s="72"/>
      <c r="H129" s="297"/>
      <c r="I129" s="278"/>
      <c r="J129" s="279"/>
      <c r="K129" s="278"/>
      <c r="L129" s="279"/>
      <c r="M129" s="298"/>
      <c r="N129" s="298"/>
      <c r="O129" s="263"/>
      <c r="P129" s="298"/>
      <c r="Q129" s="263"/>
      <c r="R129" s="298"/>
      <c r="S129" s="72"/>
      <c r="T129" s="72"/>
      <c r="U129" s="72"/>
      <c r="V129" s="72"/>
      <c r="W129" s="72"/>
      <c r="X129" s="297"/>
      <c r="Y129" s="278"/>
      <c r="Z129" s="279"/>
      <c r="AA129" s="278"/>
      <c r="AB129" s="279"/>
      <c r="AC129" s="298"/>
      <c r="AD129" s="298"/>
      <c r="AE129" s="263"/>
      <c r="AF129" s="298"/>
      <c r="AG129" s="263"/>
      <c r="AH129" s="298"/>
      <c r="AI129" s="280"/>
      <c r="AJ129" s="298"/>
      <c r="AK129" s="263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300"/>
      <c r="AW129" s="72"/>
      <c r="AX129" s="72"/>
      <c r="AY129" s="264"/>
      <c r="AZ129" s="33"/>
      <c r="BA129" s="46"/>
      <c r="BB129" s="78"/>
      <c r="BC129" s="34"/>
      <c r="BD129" s="28"/>
    </row>
    <row r="130" spans="1:60" ht="14.15" customHeight="1">
      <c r="A130" s="22"/>
      <c r="B130" s="202">
        <v>35</v>
      </c>
      <c r="C130" s="62" t="s">
        <v>242</v>
      </c>
      <c r="D130" s="332"/>
      <c r="E130" s="65"/>
      <c r="F130" s="65"/>
      <c r="G130" s="65"/>
      <c r="H130" s="65"/>
      <c r="I130" s="65"/>
      <c r="J130" s="969"/>
      <c r="K130" s="969"/>
      <c r="L130" s="969"/>
      <c r="M130" s="969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125"/>
      <c r="AU130" s="65"/>
      <c r="AV130" s="65"/>
      <c r="AW130" s="65"/>
      <c r="AX130" s="65"/>
      <c r="AY130" s="65"/>
      <c r="AZ130" s="33"/>
      <c r="BA130" s="46"/>
      <c r="BB130" s="335"/>
      <c r="BC130" s="336"/>
      <c r="BD130" s="28"/>
      <c r="BG130" s="24"/>
      <c r="BH130" s="28"/>
    </row>
    <row r="131" spans="1:60" ht="5.15" customHeight="1">
      <c r="A131" s="22"/>
      <c r="B131" s="202"/>
      <c r="C131" s="296"/>
      <c r="D131" s="72"/>
      <c r="E131" s="72"/>
      <c r="F131" s="72"/>
      <c r="G131" s="72"/>
      <c r="H131" s="297"/>
      <c r="I131" s="278"/>
      <c r="J131" s="279"/>
      <c r="K131" s="278"/>
      <c r="L131" s="279"/>
      <c r="M131" s="298"/>
      <c r="N131" s="298"/>
      <c r="O131" s="263"/>
      <c r="P131" s="298"/>
      <c r="Q131" s="263"/>
      <c r="R131" s="298"/>
      <c r="S131" s="72"/>
      <c r="T131" s="72"/>
      <c r="U131" s="72"/>
      <c r="V131" s="72"/>
      <c r="W131" s="72"/>
      <c r="X131" s="297"/>
      <c r="Y131" s="278"/>
      <c r="Z131" s="279"/>
      <c r="AA131" s="278"/>
      <c r="AB131" s="279"/>
      <c r="AC131" s="298"/>
      <c r="AD131" s="298"/>
      <c r="AE131" s="263"/>
      <c r="AF131" s="298"/>
      <c r="AG131" s="263"/>
      <c r="AH131" s="298"/>
      <c r="AI131" s="280"/>
      <c r="AJ131" s="298"/>
      <c r="AK131" s="263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300"/>
      <c r="AW131" s="72"/>
      <c r="AX131" s="72"/>
      <c r="AY131" s="265"/>
      <c r="AZ131" s="33"/>
      <c r="BA131" s="46"/>
      <c r="BB131" s="78"/>
      <c r="BC131" s="34"/>
      <c r="BD131" s="28"/>
    </row>
    <row r="132" spans="1:60" ht="14.15" customHeight="1">
      <c r="A132" s="23"/>
      <c r="B132" s="351"/>
      <c r="C132" s="282"/>
      <c r="D132" s="28" t="s">
        <v>239</v>
      </c>
      <c r="E132" s="28"/>
      <c r="F132" s="28"/>
      <c r="G132" s="28"/>
      <c r="H132" s="468" t="s">
        <v>240</v>
      </c>
      <c r="I132" s="257"/>
      <c r="J132" s="258"/>
      <c r="K132" s="258"/>
      <c r="L132" s="258"/>
      <c r="M132" s="259"/>
      <c r="N132" s="258"/>
      <c r="O132" s="110"/>
      <c r="P132" s="261" t="s">
        <v>32</v>
      </c>
      <c r="Q132" s="25"/>
      <c r="R132" s="469" t="s">
        <v>241</v>
      </c>
      <c r="S132" s="470"/>
      <c r="T132" s="471"/>
      <c r="U132" s="471"/>
      <c r="V132" s="483"/>
      <c r="W132" s="484" t="s">
        <v>253</v>
      </c>
      <c r="X132" s="471"/>
      <c r="Y132" s="473"/>
      <c r="Z132" s="474"/>
      <c r="AB132" s="529" t="s">
        <v>288</v>
      </c>
      <c r="AC132" s="530"/>
      <c r="AD132" s="531"/>
      <c r="AE132" s="531"/>
      <c r="AF132" s="531"/>
      <c r="AG132" s="532"/>
      <c r="AH132" s="531"/>
      <c r="AI132" s="533"/>
      <c r="AJ132" s="532"/>
      <c r="AK132" s="61"/>
      <c r="AL132" s="61"/>
      <c r="AM132" s="533"/>
      <c r="AN132" s="533"/>
      <c r="AO132" s="531"/>
      <c r="AP132" s="534"/>
      <c r="AQ132" s="531"/>
      <c r="AR132" s="531"/>
      <c r="AS132" s="531"/>
      <c r="AT132" s="531"/>
      <c r="AU132" s="535"/>
      <c r="AV132" s="533"/>
      <c r="AW132" s="533"/>
      <c r="AX132" s="70"/>
      <c r="AY132" s="347"/>
      <c r="AZ132" s="33"/>
      <c r="BA132" s="46"/>
      <c r="BB132" s="78"/>
      <c r="BC132" s="34"/>
      <c r="BD132" s="28"/>
      <c r="BG132" s="35"/>
    </row>
    <row r="133" spans="1:60" ht="14.15" customHeight="1">
      <c r="A133" s="23"/>
      <c r="B133" s="351"/>
      <c r="C133" s="282"/>
      <c r="D133" s="28"/>
      <c r="E133" s="28"/>
      <c r="F133" s="28"/>
      <c r="G133" s="28"/>
      <c r="H133" s="469" t="s">
        <v>252</v>
      </c>
      <c r="I133" s="470"/>
      <c r="J133" s="471"/>
      <c r="K133" s="471"/>
      <c r="L133" s="471"/>
      <c r="M133" s="472"/>
      <c r="N133" s="471"/>
      <c r="O133" s="473"/>
      <c r="P133" s="472"/>
      <c r="Q133" s="479"/>
      <c r="R133" s="479"/>
      <c r="S133" s="473"/>
      <c r="T133" s="473"/>
      <c r="U133" s="471"/>
      <c r="V133" s="480"/>
      <c r="W133" s="471"/>
      <c r="X133" s="471"/>
      <c r="Y133" s="471"/>
      <c r="Z133" s="471"/>
      <c r="AA133" s="481"/>
      <c r="AB133" s="473"/>
      <c r="AC133" s="473"/>
      <c r="AD133" s="479"/>
      <c r="AE133" s="471"/>
      <c r="AF133" s="471"/>
      <c r="AG133" s="472"/>
      <c r="AH133" s="471"/>
      <c r="AI133" s="473"/>
      <c r="AJ133" s="472"/>
      <c r="AK133" s="479"/>
      <c r="AL133" s="479"/>
      <c r="AM133" s="473"/>
      <c r="AN133" s="473"/>
      <c r="AO133" s="471"/>
      <c r="AP133" s="480"/>
      <c r="AQ133" s="471"/>
      <c r="AR133" s="471"/>
      <c r="AS133" s="471"/>
      <c r="AT133" s="471"/>
      <c r="AU133" s="481"/>
      <c r="AV133" s="473"/>
      <c r="AW133" s="473"/>
      <c r="AX133" s="482"/>
      <c r="AY133" s="347"/>
      <c r="AZ133" s="33"/>
      <c r="BA133" s="46"/>
      <c r="BB133" s="78"/>
      <c r="BC133" s="34"/>
      <c r="BD133" s="28"/>
      <c r="BG133" s="35"/>
    </row>
    <row r="134" spans="1:60" ht="5.15" customHeight="1">
      <c r="A134" s="22"/>
      <c r="B134" s="202"/>
      <c r="C134" s="315"/>
      <c r="D134" s="73"/>
      <c r="E134" s="73"/>
      <c r="F134" s="73"/>
      <c r="G134" s="73"/>
      <c r="H134" s="316"/>
      <c r="I134" s="275"/>
      <c r="J134" s="273"/>
      <c r="K134" s="275"/>
      <c r="L134" s="273"/>
      <c r="M134" s="317"/>
      <c r="N134" s="317"/>
      <c r="O134" s="270"/>
      <c r="P134" s="317"/>
      <c r="Q134" s="270"/>
      <c r="R134" s="317"/>
      <c r="S134" s="73"/>
      <c r="T134" s="73"/>
      <c r="U134" s="73"/>
      <c r="V134" s="73"/>
      <c r="W134" s="73"/>
      <c r="X134" s="316"/>
      <c r="Y134" s="275"/>
      <c r="Z134" s="273"/>
      <c r="AA134" s="275"/>
      <c r="AB134" s="273"/>
      <c r="AC134" s="317"/>
      <c r="AD134" s="317"/>
      <c r="AE134" s="270"/>
      <c r="AF134" s="317"/>
      <c r="AG134" s="270"/>
      <c r="AH134" s="317"/>
      <c r="AI134" s="276"/>
      <c r="AJ134" s="317"/>
      <c r="AK134" s="270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318"/>
      <c r="AW134" s="73"/>
      <c r="AX134" s="73"/>
      <c r="AY134" s="277"/>
      <c r="AZ134" s="33"/>
      <c r="BA134" s="46"/>
      <c r="BB134" s="78"/>
      <c r="BC134" s="34"/>
      <c r="BD134" s="28"/>
    </row>
    <row r="135" spans="1:60" ht="5.15" customHeight="1">
      <c r="A135" s="22"/>
      <c r="B135" s="202"/>
      <c r="C135" s="476"/>
      <c r="D135" s="72"/>
      <c r="E135" s="72"/>
      <c r="F135" s="72"/>
      <c r="G135" s="72"/>
      <c r="H135" s="297"/>
      <c r="I135" s="278"/>
      <c r="J135" s="279"/>
      <c r="K135" s="278"/>
      <c r="L135" s="279"/>
      <c r="M135" s="298"/>
      <c r="N135" s="298"/>
      <c r="O135" s="263"/>
      <c r="P135" s="298"/>
      <c r="Q135" s="263"/>
      <c r="R135" s="298"/>
      <c r="S135" s="72"/>
      <c r="T135" s="72"/>
      <c r="U135" s="72"/>
      <c r="V135" s="72"/>
      <c r="W135" s="72"/>
      <c r="X135" s="297"/>
      <c r="Y135" s="278"/>
      <c r="Z135" s="279"/>
      <c r="AA135" s="278"/>
      <c r="AB135" s="279"/>
      <c r="AC135" s="298"/>
      <c r="AD135" s="298"/>
      <c r="AE135" s="263"/>
      <c r="AF135" s="298"/>
      <c r="AG135" s="263"/>
      <c r="AH135" s="298"/>
      <c r="AI135" s="280"/>
      <c r="AJ135" s="298"/>
      <c r="AK135" s="263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300"/>
      <c r="AW135" s="72"/>
      <c r="AX135" s="72"/>
      <c r="AY135" s="264"/>
      <c r="AZ135" s="33"/>
      <c r="BA135" s="46"/>
      <c r="BB135" s="78"/>
      <c r="BC135" s="34"/>
      <c r="BD135" s="28"/>
    </row>
    <row r="136" spans="1:60" ht="14.15" customHeight="1">
      <c r="A136" s="22"/>
      <c r="B136" s="202">
        <v>35</v>
      </c>
      <c r="C136" s="62" t="s">
        <v>242</v>
      </c>
      <c r="D136" s="332"/>
      <c r="E136" s="65"/>
      <c r="F136" s="65"/>
      <c r="G136" s="65"/>
      <c r="H136" s="65"/>
      <c r="I136" s="65"/>
      <c r="J136" s="477"/>
      <c r="K136" s="477"/>
      <c r="L136" s="477"/>
      <c r="M136" s="477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125"/>
      <c r="AU136" s="65"/>
      <c r="AV136" s="65"/>
      <c r="AW136" s="65"/>
      <c r="AX136" s="65"/>
      <c r="AY136" s="65"/>
      <c r="AZ136" s="33"/>
      <c r="BA136" s="46"/>
      <c r="BB136" s="335"/>
      <c r="BC136" s="336"/>
      <c r="BD136" s="28"/>
      <c r="BG136" s="24"/>
      <c r="BH136" s="28"/>
    </row>
    <row r="137" spans="1:60" ht="14.15" customHeight="1">
      <c r="A137" s="22"/>
      <c r="B137" s="202">
        <v>35</v>
      </c>
      <c r="C137" s="331"/>
      <c r="D137" s="332"/>
      <c r="E137" s="65"/>
      <c r="F137" s="65"/>
      <c r="G137" s="65"/>
      <c r="H137" s="65"/>
      <c r="I137" s="65"/>
      <c r="J137" s="477"/>
      <c r="K137" s="477"/>
      <c r="L137" s="477"/>
      <c r="M137" s="477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125"/>
      <c r="AU137" s="65"/>
      <c r="AV137" s="65"/>
      <c r="AW137" s="65"/>
      <c r="AX137" s="65"/>
      <c r="AY137" s="65"/>
      <c r="AZ137" s="33"/>
      <c r="BA137" s="46"/>
      <c r="BB137" s="335"/>
      <c r="BC137" s="336"/>
      <c r="BD137" s="28"/>
      <c r="BG137" s="24"/>
      <c r="BH137" s="28"/>
    </row>
    <row r="138" spans="1:60" ht="14.15" customHeight="1">
      <c r="A138" s="22"/>
      <c r="B138" s="202">
        <v>35</v>
      </c>
      <c r="C138" s="346" t="s">
        <v>248</v>
      </c>
      <c r="D138" s="332"/>
      <c r="E138" s="65"/>
      <c r="F138" s="65"/>
      <c r="G138" s="65"/>
      <c r="H138" s="65"/>
      <c r="I138" s="65"/>
      <c r="J138" s="969"/>
      <c r="K138" s="969"/>
      <c r="L138" s="969"/>
      <c r="M138" s="969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125"/>
      <c r="AU138" s="65"/>
      <c r="AV138" s="65"/>
      <c r="AW138" s="65"/>
      <c r="AX138" s="65"/>
      <c r="AY138" s="65"/>
      <c r="AZ138" s="33"/>
      <c r="BA138" s="46"/>
      <c r="BB138" s="335"/>
      <c r="BC138" s="336"/>
      <c r="BD138" s="28"/>
      <c r="BG138" s="24"/>
      <c r="BH138" s="28"/>
    </row>
    <row r="139" spans="1:60" ht="5.15" customHeight="1">
      <c r="A139" s="22"/>
      <c r="B139" s="202"/>
      <c r="C139" s="296"/>
      <c r="D139" s="72"/>
      <c r="E139" s="72"/>
      <c r="F139" s="72"/>
      <c r="G139" s="72"/>
      <c r="H139" s="297"/>
      <c r="I139" s="278"/>
      <c r="J139" s="279"/>
      <c r="K139" s="278"/>
      <c r="L139" s="279"/>
      <c r="M139" s="298"/>
      <c r="N139" s="298"/>
      <c r="O139" s="263"/>
      <c r="P139" s="298"/>
      <c r="Q139" s="263"/>
      <c r="R139" s="298"/>
      <c r="S139" s="72"/>
      <c r="T139" s="72"/>
      <c r="U139" s="72"/>
      <c r="V139" s="72"/>
      <c r="W139" s="72"/>
      <c r="X139" s="297"/>
      <c r="Y139" s="278"/>
      <c r="Z139" s="279"/>
      <c r="AA139" s="278"/>
      <c r="AB139" s="279"/>
      <c r="AC139" s="298"/>
      <c r="AD139" s="298"/>
      <c r="AE139" s="263"/>
      <c r="AF139" s="298"/>
      <c r="AG139" s="263"/>
      <c r="AH139" s="298"/>
      <c r="AI139" s="280"/>
      <c r="AJ139" s="298"/>
      <c r="AK139" s="263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300"/>
      <c r="AW139" s="72"/>
      <c r="AX139" s="72"/>
      <c r="AY139" s="265"/>
      <c r="AZ139" s="33"/>
      <c r="BA139" s="46"/>
      <c r="BB139" s="335"/>
      <c r="BC139" s="336"/>
      <c r="BD139" s="28"/>
    </row>
    <row r="140" spans="1:60" ht="13.5" customHeight="1">
      <c r="A140" s="22"/>
      <c r="B140" s="45"/>
      <c r="C140" s="266"/>
      <c r="D140" s="28" t="s">
        <v>249</v>
      </c>
      <c r="E140" s="28"/>
      <c r="F140" s="28"/>
      <c r="G140" s="28"/>
      <c r="H140" s="24"/>
      <c r="I140" s="24"/>
      <c r="J140" s="24"/>
      <c r="K140" s="24"/>
      <c r="L140" s="24"/>
      <c r="M140" s="127"/>
      <c r="N140" s="75"/>
      <c r="O140" s="84"/>
      <c r="P140" s="84"/>
      <c r="Q140" s="85"/>
      <c r="R140" s="75"/>
      <c r="S140" s="75"/>
      <c r="T140" s="75"/>
      <c r="U140" s="84"/>
      <c r="V140" s="85"/>
      <c r="W140" s="75"/>
      <c r="X140" s="65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65"/>
      <c r="AY140" s="267"/>
      <c r="AZ140" s="33"/>
      <c r="BA140" s="46"/>
      <c r="BB140" s="335"/>
      <c r="BC140" s="336"/>
      <c r="BD140" s="28"/>
      <c r="BE140" s="35"/>
      <c r="BF140" s="35"/>
      <c r="BG140" s="35"/>
    </row>
    <row r="141" spans="1:60" ht="13.5" customHeight="1">
      <c r="A141" s="22"/>
      <c r="B141" s="45"/>
      <c r="C141" s="266"/>
      <c r="D141" s="28"/>
      <c r="E141" s="28"/>
      <c r="F141" s="28"/>
      <c r="G141" s="28"/>
      <c r="H141" s="348" t="s">
        <v>251</v>
      </c>
      <c r="I141" s="131"/>
      <c r="J141" s="131"/>
      <c r="K141" s="131"/>
      <c r="L141" s="132"/>
      <c r="M141" s="132"/>
      <c r="N141" s="106"/>
      <c r="O141" s="133"/>
      <c r="P141" s="134"/>
      <c r="Q141" s="133" t="s">
        <v>250</v>
      </c>
      <c r="R141" s="134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33" t="s">
        <v>43</v>
      </c>
      <c r="AM141" s="134"/>
      <c r="AN141" s="107"/>
      <c r="AO141" s="31"/>
      <c r="AP141" s="31"/>
      <c r="AQ141" s="31"/>
      <c r="AR141" s="31"/>
      <c r="AS141" s="31"/>
      <c r="AT141" s="31"/>
      <c r="AU141" s="31"/>
      <c r="AV141" s="31"/>
      <c r="AW141" s="31"/>
      <c r="AX141" s="65"/>
      <c r="AY141" s="267"/>
      <c r="AZ141" s="33"/>
      <c r="BA141" s="46"/>
      <c r="BB141" s="335"/>
      <c r="BC141" s="336"/>
      <c r="BD141" s="28"/>
      <c r="BE141" s="35"/>
      <c r="BF141" s="35"/>
      <c r="BG141" s="35"/>
    </row>
    <row r="142" spans="1:60" ht="13.5" customHeight="1">
      <c r="A142" s="22"/>
      <c r="B142" s="45"/>
      <c r="C142" s="266"/>
      <c r="D142" s="28"/>
      <c r="E142" s="28"/>
      <c r="F142" s="28"/>
      <c r="G142" s="28"/>
      <c r="H142" s="485" t="s">
        <v>254</v>
      </c>
      <c r="I142" s="137"/>
      <c r="J142" s="137"/>
      <c r="K142" s="137"/>
      <c r="L142" s="137"/>
      <c r="M142" s="137"/>
      <c r="N142" s="137"/>
      <c r="O142" s="350"/>
      <c r="P142" s="139"/>
      <c r="Q142" s="486" t="s">
        <v>53</v>
      </c>
      <c r="R142" s="139"/>
      <c r="S142" s="108"/>
      <c r="T142" s="108"/>
      <c r="U142" s="108"/>
      <c r="V142" s="156"/>
      <c r="W142" s="110"/>
      <c r="X142" s="110"/>
      <c r="Y142" s="156"/>
      <c r="Z142" s="156"/>
      <c r="AA142" s="110"/>
      <c r="AB142" s="110"/>
      <c r="AC142" s="37"/>
      <c r="AD142" s="37"/>
      <c r="AE142" s="37"/>
      <c r="AF142" s="37"/>
      <c r="AG142" s="37"/>
      <c r="AH142" s="37"/>
      <c r="AI142" s="37"/>
      <c r="AJ142" s="37"/>
      <c r="AK142" s="97"/>
      <c r="AL142" s="140"/>
      <c r="AM142" s="141"/>
      <c r="AN142" s="142"/>
      <c r="AO142" s="31"/>
      <c r="AP142" s="31"/>
      <c r="AQ142" s="31"/>
      <c r="AR142" s="31"/>
      <c r="AS142" s="31"/>
      <c r="AT142" s="31"/>
      <c r="AU142" s="31"/>
      <c r="AV142" s="31"/>
      <c r="AW142" s="31"/>
      <c r="AX142" s="65"/>
      <c r="AY142" s="267"/>
      <c r="AZ142" s="33"/>
      <c r="BA142" s="46"/>
      <c r="BB142" s="335"/>
      <c r="BC142" s="336"/>
      <c r="BD142" s="28"/>
      <c r="BE142" s="35"/>
      <c r="BF142" s="35"/>
      <c r="BG142" s="35"/>
    </row>
    <row r="143" spans="1:60" ht="13.5" customHeight="1">
      <c r="A143" s="22"/>
      <c r="B143" s="45"/>
      <c r="C143" s="266"/>
      <c r="D143" s="28"/>
      <c r="E143" s="28"/>
      <c r="F143" s="28"/>
      <c r="G143" s="28"/>
      <c r="H143" s="485" t="s">
        <v>255</v>
      </c>
      <c r="I143" s="137"/>
      <c r="J143" s="137"/>
      <c r="K143" s="137"/>
      <c r="L143" s="137"/>
      <c r="M143" s="137"/>
      <c r="N143" s="137"/>
      <c r="O143" s="350"/>
      <c r="P143" s="139"/>
      <c r="Q143" s="486" t="s">
        <v>53</v>
      </c>
      <c r="R143" s="139"/>
      <c r="S143" s="108"/>
      <c r="T143" s="108"/>
      <c r="U143" s="108"/>
      <c r="V143" s="156"/>
      <c r="W143" s="110"/>
      <c r="X143" s="110"/>
      <c r="Y143" s="156"/>
      <c r="Z143" s="156"/>
      <c r="AA143" s="110"/>
      <c r="AB143" s="110"/>
      <c r="AC143" s="37"/>
      <c r="AD143" s="37"/>
      <c r="AE143" s="37"/>
      <c r="AF143" s="37"/>
      <c r="AG143" s="37"/>
      <c r="AH143" s="37"/>
      <c r="AI143" s="37"/>
      <c r="AJ143" s="37"/>
      <c r="AK143" s="97"/>
      <c r="AL143" s="140"/>
      <c r="AM143" s="141"/>
      <c r="AN143" s="142"/>
      <c r="AO143" s="31"/>
      <c r="AP143" s="31"/>
      <c r="AQ143" s="31"/>
      <c r="AR143" s="31"/>
      <c r="AS143" s="31"/>
      <c r="AT143" s="31"/>
      <c r="AU143" s="31"/>
      <c r="AV143" s="31"/>
      <c r="AW143" s="31"/>
      <c r="AX143" s="65"/>
      <c r="AY143" s="267"/>
      <c r="AZ143" s="33"/>
      <c r="BA143" s="46"/>
      <c r="BB143" s="335"/>
      <c r="BC143" s="336"/>
      <c r="BD143" s="28"/>
      <c r="BE143" s="35"/>
      <c r="BF143" s="35"/>
      <c r="BG143" s="35"/>
    </row>
    <row r="144" spans="1:60" ht="13.5" customHeight="1">
      <c r="A144" s="22"/>
      <c r="B144" s="45"/>
      <c r="C144" s="266"/>
      <c r="D144" s="28"/>
      <c r="E144" s="28"/>
      <c r="F144" s="28"/>
      <c r="G144" s="28"/>
      <c r="H144" s="485" t="s">
        <v>256</v>
      </c>
      <c r="I144" s="137"/>
      <c r="J144" s="137"/>
      <c r="K144" s="137"/>
      <c r="L144" s="137"/>
      <c r="M144" s="137"/>
      <c r="N144" s="137"/>
      <c r="O144" s="350"/>
      <c r="P144" s="139"/>
      <c r="Q144" s="486" t="s">
        <v>53</v>
      </c>
      <c r="R144" s="139"/>
      <c r="S144" s="108"/>
      <c r="T144" s="108"/>
      <c r="U144" s="108"/>
      <c r="V144" s="156"/>
      <c r="W144" s="110"/>
      <c r="X144" s="110"/>
      <c r="Y144" s="156"/>
      <c r="Z144" s="156"/>
      <c r="AA144" s="110"/>
      <c r="AB144" s="110"/>
      <c r="AC144" s="37"/>
      <c r="AD144" s="37"/>
      <c r="AE144" s="37"/>
      <c r="AF144" s="37"/>
      <c r="AG144" s="37"/>
      <c r="AH144" s="37"/>
      <c r="AI144" s="37"/>
      <c r="AJ144" s="37"/>
      <c r="AK144" s="97"/>
      <c r="AL144" s="140"/>
      <c r="AM144" s="141"/>
      <c r="AN144" s="142"/>
      <c r="AO144" s="31"/>
      <c r="AP144" s="31"/>
      <c r="AQ144" s="31"/>
      <c r="AR144" s="31"/>
      <c r="AS144" s="31"/>
      <c r="AT144" s="31"/>
      <c r="AU144" s="31"/>
      <c r="AV144" s="31"/>
      <c r="AW144" s="31"/>
      <c r="AX144" s="65"/>
      <c r="AY144" s="267"/>
      <c r="AZ144" s="33"/>
      <c r="BA144" s="46"/>
      <c r="BB144" s="335"/>
      <c r="BC144" s="336"/>
      <c r="BD144" s="28"/>
      <c r="BE144" s="35"/>
      <c r="BF144" s="35"/>
      <c r="BG144" s="35"/>
    </row>
    <row r="145" spans="1:60" ht="5.15" customHeight="1">
      <c r="A145" s="22"/>
      <c r="B145" s="202"/>
      <c r="C145" s="315"/>
      <c r="D145" s="73"/>
      <c r="E145" s="73"/>
      <c r="F145" s="73"/>
      <c r="G145" s="73"/>
      <c r="H145" s="316"/>
      <c r="I145" s="275"/>
      <c r="J145" s="273"/>
      <c r="K145" s="275"/>
      <c r="L145" s="273"/>
      <c r="M145" s="317"/>
      <c r="N145" s="317"/>
      <c r="O145" s="270"/>
      <c r="P145" s="317"/>
      <c r="Q145" s="270"/>
      <c r="R145" s="317"/>
      <c r="S145" s="73"/>
      <c r="T145" s="73"/>
      <c r="U145" s="73"/>
      <c r="V145" s="73"/>
      <c r="W145" s="73"/>
      <c r="X145" s="316"/>
      <c r="Y145" s="275"/>
      <c r="Z145" s="273"/>
      <c r="AA145" s="275"/>
      <c r="AB145" s="273"/>
      <c r="AC145" s="317"/>
      <c r="AD145" s="317"/>
      <c r="AE145" s="270"/>
      <c r="AF145" s="317"/>
      <c r="AG145" s="270"/>
      <c r="AH145" s="317"/>
      <c r="AI145" s="276"/>
      <c r="AJ145" s="317"/>
      <c r="AK145" s="270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318"/>
      <c r="AW145" s="73"/>
      <c r="AX145" s="73"/>
      <c r="AY145" s="277"/>
      <c r="AZ145" s="33"/>
      <c r="BA145" s="46"/>
      <c r="BB145" s="335"/>
      <c r="BC145" s="336"/>
      <c r="BD145" s="28"/>
    </row>
    <row r="146" spans="1:60" ht="14.15" customHeight="1">
      <c r="A146" s="22"/>
      <c r="B146" s="202">
        <v>35</v>
      </c>
      <c r="C146" s="331"/>
      <c r="D146" s="332"/>
      <c r="E146" s="65"/>
      <c r="F146" s="65"/>
      <c r="G146" s="65"/>
      <c r="H146" s="65"/>
      <c r="I146" s="65"/>
      <c r="J146" s="969"/>
      <c r="K146" s="969"/>
      <c r="L146" s="969"/>
      <c r="M146" s="969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125"/>
      <c r="AU146" s="65"/>
      <c r="AV146" s="65"/>
      <c r="AW146" s="65"/>
      <c r="AX146" s="65"/>
      <c r="AY146" s="65"/>
      <c r="AZ146" s="33"/>
      <c r="BA146" s="46"/>
      <c r="BB146" s="78"/>
      <c r="BC146" s="34"/>
      <c r="BD146" s="28"/>
      <c r="BG146" s="24"/>
      <c r="BH146" s="28"/>
    </row>
    <row r="147" spans="1:60" ht="13.5" customHeight="1">
      <c r="A147" s="22"/>
      <c r="B147" s="202">
        <v>36</v>
      </c>
      <c r="C147" s="331"/>
      <c r="D147" s="332"/>
      <c r="E147" s="65"/>
      <c r="F147" s="65"/>
      <c r="G147" s="65"/>
      <c r="H147" s="65"/>
      <c r="I147" s="65"/>
      <c r="J147" s="969"/>
      <c r="K147" s="969"/>
      <c r="L147" s="969"/>
      <c r="M147" s="969"/>
      <c r="N147" s="63"/>
      <c r="O147" s="65"/>
      <c r="P147" s="65"/>
      <c r="Q147" s="65"/>
      <c r="R147" s="28"/>
      <c r="S147" s="28"/>
      <c r="T147" s="31"/>
      <c r="U147" s="31"/>
      <c r="V147" s="31"/>
      <c r="W147" s="31"/>
      <c r="X147" s="31"/>
      <c r="Y147" s="44"/>
      <c r="Z147" s="31"/>
      <c r="AA147" s="28"/>
      <c r="AB147" s="44"/>
      <c r="AC147" s="31"/>
      <c r="AD147" s="28"/>
      <c r="AE147" s="44"/>
      <c r="AF147" s="28"/>
      <c r="AG147" s="116"/>
      <c r="AH147" s="41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  <c r="AU147" s="116"/>
      <c r="AV147" s="116"/>
      <c r="AW147" s="116"/>
      <c r="AX147" s="116"/>
      <c r="AY147" s="116"/>
      <c r="AZ147" s="33"/>
      <c r="BA147" s="46"/>
      <c r="BB147" s="335"/>
      <c r="BC147" s="336"/>
      <c r="BD147" s="28"/>
      <c r="BG147" s="24"/>
      <c r="BH147" s="28"/>
    </row>
    <row r="148" spans="1:60" ht="13.5" customHeight="1">
      <c r="A148" s="22"/>
      <c r="B148" s="202">
        <v>37</v>
      </c>
      <c r="C148" s="331"/>
      <c r="D148" s="332"/>
      <c r="E148" s="65"/>
      <c r="F148" s="65"/>
      <c r="G148" s="65"/>
      <c r="H148" s="65"/>
      <c r="I148" s="65"/>
      <c r="J148" s="969"/>
      <c r="K148" s="969"/>
      <c r="L148" s="969"/>
      <c r="M148" s="969"/>
      <c r="N148" s="193"/>
      <c r="O148" s="195"/>
      <c r="P148" s="193"/>
      <c r="Q148" s="194"/>
      <c r="R148" s="194"/>
      <c r="S148" s="194"/>
      <c r="T148" s="196"/>
      <c r="U148" s="196"/>
      <c r="V148" s="196"/>
      <c r="W148" s="196"/>
      <c r="X148" s="196"/>
      <c r="Y148" s="195"/>
      <c r="Z148" s="196"/>
      <c r="AA148" s="194"/>
      <c r="AB148" s="195"/>
      <c r="AC148" s="196"/>
      <c r="AD148" s="194"/>
      <c r="AE148" s="195"/>
      <c r="AF148" s="194"/>
      <c r="AG148" s="194"/>
      <c r="AH148" s="195"/>
      <c r="AI148" s="194"/>
      <c r="AJ148" s="194"/>
      <c r="AK148" s="197"/>
      <c r="AL148" s="194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33"/>
      <c r="BA148" s="46"/>
      <c r="BB148" s="335"/>
      <c r="BC148" s="336"/>
      <c r="BD148" s="28"/>
      <c r="BG148" s="24"/>
      <c r="BH148" s="28"/>
    </row>
    <row r="149" spans="1:60">
      <c r="A149" s="22"/>
      <c r="B149" s="32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81"/>
      <c r="T149" s="81"/>
      <c r="U149" s="81"/>
      <c r="V149" s="81"/>
      <c r="W149" s="28"/>
      <c r="X149" s="28"/>
      <c r="Y149" s="81"/>
      <c r="Z149" s="81"/>
      <c r="AA149" s="28"/>
      <c r="AB149" s="28"/>
      <c r="AC149" s="28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31"/>
      <c r="AZ149" s="33"/>
      <c r="BA149" s="46"/>
      <c r="BB149" s="335"/>
      <c r="BC149" s="336"/>
    </row>
    <row r="150" spans="1:60">
      <c r="A150" s="155"/>
      <c r="B150" s="95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56"/>
      <c r="T150" s="156"/>
      <c r="U150" s="156"/>
      <c r="V150" s="156"/>
      <c r="W150" s="110"/>
      <c r="X150" s="110"/>
      <c r="Y150" s="156"/>
      <c r="Z150" s="156"/>
      <c r="AA150" s="110"/>
      <c r="AB150" s="110"/>
      <c r="AC150" s="110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  <c r="AU150" s="156"/>
      <c r="AV150" s="156"/>
      <c r="AW150" s="156"/>
      <c r="AX150" s="156"/>
      <c r="AY150" s="95"/>
      <c r="AZ150" s="95"/>
      <c r="BA150" s="157"/>
      <c r="BB150" s="355"/>
      <c r="BC150" s="356"/>
    </row>
  </sheetData>
  <mergeCells count="142">
    <mergeCell ref="AN1:AR1"/>
    <mergeCell ref="AS1:AU1"/>
    <mergeCell ref="AV2:AY2"/>
    <mergeCell ref="AZ2:BC3"/>
    <mergeCell ref="A3:H3"/>
    <mergeCell ref="I3:L3"/>
    <mergeCell ref="M3:W3"/>
    <mergeCell ref="X3:Z3"/>
    <mergeCell ref="AA3:AR3"/>
    <mergeCell ref="AS3:AU3"/>
    <mergeCell ref="AV3:AY3"/>
    <mergeCell ref="BB5:BC5"/>
    <mergeCell ref="R56:U56"/>
    <mergeCell ref="AI56:AL56"/>
    <mergeCell ref="AM56:AP56"/>
    <mergeCell ref="AQ56:AT56"/>
    <mergeCell ref="Z56:AD56"/>
    <mergeCell ref="AU56:AX56"/>
    <mergeCell ref="AV1:AY1"/>
    <mergeCell ref="A5:BA5"/>
    <mergeCell ref="AZ1:BC1"/>
    <mergeCell ref="A2:H2"/>
    <mergeCell ref="I2:L2"/>
    <mergeCell ref="M2:W2"/>
    <mergeCell ref="AK2:AM2"/>
    <mergeCell ref="AN2:AR2"/>
    <mergeCell ref="AS2:AU2"/>
    <mergeCell ref="A1:H1"/>
    <mergeCell ref="I1:L1"/>
    <mergeCell ref="M1:W1"/>
    <mergeCell ref="X1:Z2"/>
    <mergeCell ref="H47:L47"/>
    <mergeCell ref="H48:L48"/>
    <mergeCell ref="AA1:AJ2"/>
    <mergeCell ref="AK1:AM1"/>
    <mergeCell ref="BG56:BI56"/>
    <mergeCell ref="AY56:BB56"/>
    <mergeCell ref="BG57:BI57"/>
    <mergeCell ref="X80:AA80"/>
    <mergeCell ref="AB80:AE80"/>
    <mergeCell ref="AF80:AJ80"/>
    <mergeCell ref="AK80:AN80"/>
    <mergeCell ref="AO80:AR80"/>
    <mergeCell ref="BA80:BD80"/>
    <mergeCell ref="BE80:BH80"/>
    <mergeCell ref="AY57:BB57"/>
    <mergeCell ref="BC56:BF56"/>
    <mergeCell ref="BC57:BF57"/>
    <mergeCell ref="AI57:AL57"/>
    <mergeCell ref="AM57:AP57"/>
    <mergeCell ref="AQ57:AT57"/>
    <mergeCell ref="Z57:AD57"/>
    <mergeCell ref="AU57:AX57"/>
    <mergeCell ref="Z64:AC64"/>
    <mergeCell ref="R57:U57"/>
    <mergeCell ref="J114:M114"/>
    <mergeCell ref="N64:S64"/>
    <mergeCell ref="T64:Y64"/>
    <mergeCell ref="N70:S70"/>
    <mergeCell ref="T70:Y70"/>
    <mergeCell ref="Z70:AC70"/>
    <mergeCell ref="T97:Y97"/>
    <mergeCell ref="Z97:AC97"/>
    <mergeCell ref="AW91:AZ91"/>
    <mergeCell ref="AK85:AN85"/>
    <mergeCell ref="AO85:AR85"/>
    <mergeCell ref="AS85:AV85"/>
    <mergeCell ref="AW85:AZ85"/>
    <mergeCell ref="N96:S96"/>
    <mergeCell ref="T96:Y96"/>
    <mergeCell ref="Z96:AC96"/>
    <mergeCell ref="N101:S101"/>
    <mergeCell ref="T101:Y101"/>
    <mergeCell ref="Z101:AC101"/>
    <mergeCell ref="J147:M147"/>
    <mergeCell ref="R98:U98"/>
    <mergeCell ref="J148:M148"/>
    <mergeCell ref="BM81:BP81"/>
    <mergeCell ref="CC81:CE81"/>
    <mergeCell ref="X91:AA91"/>
    <mergeCell ref="AF91:AJ91"/>
    <mergeCell ref="AB91:AE91"/>
    <mergeCell ref="AK91:AN91"/>
    <mergeCell ref="AO91:AR91"/>
    <mergeCell ref="AS91:AV91"/>
    <mergeCell ref="BQ81:BT81"/>
    <mergeCell ref="J124:M124"/>
    <mergeCell ref="J130:M130"/>
    <mergeCell ref="J138:M138"/>
    <mergeCell ref="J146:M146"/>
    <mergeCell ref="J122:M122"/>
    <mergeCell ref="AS81:AV81"/>
    <mergeCell ref="AW81:AZ81"/>
    <mergeCell ref="BI81:BL81"/>
    <mergeCell ref="N102:S102"/>
    <mergeCell ref="T102:Y102"/>
    <mergeCell ref="Z102:AC102"/>
    <mergeCell ref="N97:S97"/>
    <mergeCell ref="J121:M121"/>
    <mergeCell ref="BY80:CB80"/>
    <mergeCell ref="BY81:CB81"/>
    <mergeCell ref="BU80:BX80"/>
    <mergeCell ref="BU81:BX81"/>
    <mergeCell ref="BA91:BD91"/>
    <mergeCell ref="BE91:BH91"/>
    <mergeCell ref="BI80:BL80"/>
    <mergeCell ref="J93:M93"/>
    <mergeCell ref="BM80:BP80"/>
    <mergeCell ref="AS80:AV80"/>
    <mergeCell ref="AW80:AZ80"/>
    <mergeCell ref="X86:AA86"/>
    <mergeCell ref="AB86:AE86"/>
    <mergeCell ref="AF86:AJ86"/>
    <mergeCell ref="AK86:AN86"/>
    <mergeCell ref="AO86:AR86"/>
    <mergeCell ref="AS86:AV86"/>
    <mergeCell ref="AW86:AZ86"/>
    <mergeCell ref="BA86:BD86"/>
    <mergeCell ref="BE86:BH86"/>
    <mergeCell ref="X85:AA85"/>
    <mergeCell ref="AB85:AE85"/>
    <mergeCell ref="AF85:AJ85"/>
    <mergeCell ref="CC80:CE80"/>
    <mergeCell ref="X81:AA81"/>
    <mergeCell ref="AB81:AE81"/>
    <mergeCell ref="AF81:AJ81"/>
    <mergeCell ref="AK81:AN81"/>
    <mergeCell ref="AO81:AR81"/>
    <mergeCell ref="BA81:BD81"/>
    <mergeCell ref="BE81:BH81"/>
    <mergeCell ref="BQ80:BT80"/>
    <mergeCell ref="BE85:BH85"/>
    <mergeCell ref="X90:AA90"/>
    <mergeCell ref="AB90:AE90"/>
    <mergeCell ref="AF90:AJ90"/>
    <mergeCell ref="AK90:AN90"/>
    <mergeCell ref="AO90:AR90"/>
    <mergeCell ref="AS90:AV90"/>
    <mergeCell ref="AW90:AZ90"/>
    <mergeCell ref="BA90:BD90"/>
    <mergeCell ref="BE90:BH90"/>
    <mergeCell ref="BA85:BD85"/>
  </mergeCells>
  <phoneticPr fontId="57"/>
  <conditionalFormatting sqref="AK85:AV86">
    <cfRule type="cellIs" dxfId="19" priority="4" operator="lessThan">
      <formula>0</formula>
    </cfRule>
  </conditionalFormatting>
  <conditionalFormatting sqref="AK90:AV91">
    <cfRule type="cellIs" dxfId="18" priority="2" operator="lessThan">
      <formula>0</formula>
    </cfRule>
  </conditionalFormatting>
  <conditionalFormatting sqref="BA80:BD81">
    <cfRule type="cellIs" dxfId="17" priority="14" operator="lessThan">
      <formula>0.3</formula>
    </cfRule>
  </conditionalFormatting>
  <conditionalFormatting sqref="BE80:BH81">
    <cfRule type="cellIs" dxfId="16" priority="13" operator="lessThan">
      <formula>0</formula>
    </cfRule>
  </conditionalFormatting>
  <conditionalFormatting sqref="BE85:BH86">
    <cfRule type="cellIs" dxfId="15" priority="3" operator="lessThan">
      <formula>0.3</formula>
    </cfRule>
  </conditionalFormatting>
  <conditionalFormatting sqref="BE90:BH91">
    <cfRule type="cellIs" dxfId="14" priority="1" operator="lessThan">
      <formula>0.3</formula>
    </cfRule>
  </conditionalFormatting>
  <conditionalFormatting sqref="BQ80:BT81">
    <cfRule type="cellIs" dxfId="13" priority="11" operator="lessThan">
      <formula>0.3</formula>
    </cfRule>
  </conditionalFormatting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4EBD-1876-4CED-B80F-E839595C5CAB}">
  <dimension ref="A1:CM117"/>
  <sheetViews>
    <sheetView showGridLines="0" zoomScaleNormal="100" zoomScaleSheetLayoutView="100" workbookViewId="0">
      <selection activeCell="Z20" sqref="Z20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81" customWidth="1"/>
    <col min="57" max="59" width="2.6328125" style="28" customWidth="1"/>
    <col min="60" max="128" width="2.6328125" style="35" customWidth="1"/>
    <col min="129" max="16384" width="9" style="35"/>
  </cols>
  <sheetData>
    <row r="1" spans="1:59" ht="12" customHeight="1">
      <c r="A1" s="754" t="s">
        <v>4</v>
      </c>
      <c r="B1" s="754"/>
      <c r="C1" s="754"/>
      <c r="D1" s="754"/>
      <c r="E1" s="754"/>
      <c r="F1" s="754"/>
      <c r="G1" s="754"/>
      <c r="H1" s="754"/>
      <c r="I1" s="737" t="s">
        <v>5</v>
      </c>
      <c r="J1" s="737"/>
      <c r="K1" s="737"/>
      <c r="L1" s="737"/>
      <c r="M1" s="752" t="str">
        <f>変更来歴!M1</f>
        <v>ヒロセ電機株式会社</v>
      </c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37" t="s">
        <v>7</v>
      </c>
      <c r="Y1" s="737"/>
      <c r="Z1" s="737"/>
      <c r="AA1" s="756" t="str">
        <f>変更来歴!AA1</f>
        <v>化学物質データ申請</v>
      </c>
      <c r="AB1" s="756"/>
      <c r="AC1" s="756"/>
      <c r="AD1" s="756"/>
      <c r="AE1" s="756"/>
      <c r="AF1" s="756"/>
      <c r="AG1" s="756"/>
      <c r="AH1" s="756"/>
      <c r="AI1" s="756"/>
      <c r="AJ1" s="756"/>
      <c r="AK1" s="741" t="s">
        <v>8</v>
      </c>
      <c r="AL1" s="741"/>
      <c r="AM1" s="741"/>
      <c r="AN1" s="742" t="str">
        <f>変更来歴!AP7</f>
        <v>古竹</v>
      </c>
      <c r="AO1" s="742"/>
      <c r="AP1" s="742"/>
      <c r="AQ1" s="742"/>
      <c r="AR1" s="742"/>
      <c r="AS1" s="741" t="s">
        <v>9</v>
      </c>
      <c r="AT1" s="741"/>
      <c r="AU1" s="741"/>
      <c r="AV1" s="744">
        <f>変更来歴!AL7</f>
        <v>46125</v>
      </c>
      <c r="AW1" s="757"/>
      <c r="AX1" s="757"/>
      <c r="AY1" s="757"/>
      <c r="AZ1" s="733" t="s">
        <v>10</v>
      </c>
      <c r="BA1" s="734"/>
      <c r="BB1" s="734"/>
      <c r="BC1" s="735"/>
    </row>
    <row r="2" spans="1:59">
      <c r="A2" s="736" t="s">
        <v>16</v>
      </c>
      <c r="B2" s="736"/>
      <c r="C2" s="736"/>
      <c r="D2" s="736"/>
      <c r="E2" s="736"/>
      <c r="F2" s="736"/>
      <c r="G2" s="736"/>
      <c r="H2" s="736"/>
      <c r="I2" s="737" t="s">
        <v>11</v>
      </c>
      <c r="J2" s="737"/>
      <c r="K2" s="737"/>
      <c r="L2" s="737"/>
      <c r="M2" s="791" t="str">
        <f>変更来歴!M2</f>
        <v>新環境証明書システム移行</v>
      </c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37"/>
      <c r="Y2" s="737"/>
      <c r="Z2" s="737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41" t="s">
        <v>12</v>
      </c>
      <c r="AL2" s="741"/>
      <c r="AM2" s="741"/>
      <c r="AN2" s="742" t="str">
        <f ca="1">INDIRECT("変更来歴!AP" &amp; COUNTA(変更来歴!AP7:'変更来歴'!AP39) + 6)</f>
        <v>古竹</v>
      </c>
      <c r="AO2" s="742"/>
      <c r="AP2" s="742"/>
      <c r="AQ2" s="742"/>
      <c r="AR2" s="742"/>
      <c r="AS2" s="741" t="s">
        <v>13</v>
      </c>
      <c r="AT2" s="741"/>
      <c r="AU2" s="741"/>
      <c r="AV2" s="744">
        <f ca="1">INDIRECT("変更来歴!AL" &amp; COUNTA(変更来歴!AL7:'変更来歴'!AL39) + 6)</f>
        <v>46190</v>
      </c>
      <c r="AW2" s="757"/>
      <c r="AX2" s="757"/>
      <c r="AY2" s="757"/>
      <c r="AZ2" s="745" t="str">
        <f>変更来歴!AX2</f>
        <v>IMWF-53</v>
      </c>
      <c r="BA2" s="746"/>
      <c r="BB2" s="746"/>
      <c r="BC2" s="747"/>
    </row>
    <row r="3" spans="1:59" ht="12" customHeight="1">
      <c r="A3" s="751" t="str">
        <f>変更来歴!A3</f>
        <v>画面設計書</v>
      </c>
      <c r="B3" s="751"/>
      <c r="C3" s="751"/>
      <c r="D3" s="751"/>
      <c r="E3" s="751"/>
      <c r="F3" s="751"/>
      <c r="G3" s="751"/>
      <c r="H3" s="751"/>
      <c r="I3" s="737" t="s">
        <v>14</v>
      </c>
      <c r="J3" s="737"/>
      <c r="K3" s="737"/>
      <c r="L3" s="737"/>
      <c r="M3" s="752" t="str">
        <f ca="1">RIGHT(CELL("filename",A1),LEN(CELL("filename",A1))-FIND("]",CELL("filename",A1)))</f>
        <v>外貨(技術原計)</v>
      </c>
      <c r="N3" s="752"/>
      <c r="O3" s="752"/>
      <c r="P3" s="752"/>
      <c r="Q3" s="752"/>
      <c r="R3" s="752"/>
      <c r="S3" s="752"/>
      <c r="T3" s="752"/>
      <c r="U3" s="752"/>
      <c r="V3" s="752"/>
      <c r="W3" s="752"/>
      <c r="X3" s="737" t="s">
        <v>27</v>
      </c>
      <c r="Y3" s="737"/>
      <c r="Z3" s="737"/>
      <c r="AA3" s="753" t="str">
        <f ca="1">MID(CELL("filename"),FIND("]",CELL("filename"))+1,LEN(CELL("filename"))) &amp; "画面"</f>
        <v>表紙画面</v>
      </c>
      <c r="AB3" s="753"/>
      <c r="AC3" s="753"/>
      <c r="AD3" s="753"/>
      <c r="AE3" s="753"/>
      <c r="AF3" s="753"/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41" t="s">
        <v>15</v>
      </c>
      <c r="AT3" s="741"/>
      <c r="AU3" s="741"/>
      <c r="AV3" s="757" t="str">
        <f ca="1">INDIRECT("変更来歴!A" &amp; COUNTA(変更来歴!A7:'変更来歴'!A39) + 6)</f>
        <v>dr1.5</v>
      </c>
      <c r="AW3" s="757"/>
      <c r="AX3" s="757"/>
      <c r="AY3" s="757"/>
      <c r="AZ3" s="748"/>
      <c r="BA3" s="749"/>
      <c r="BB3" s="749"/>
      <c r="BC3" s="750"/>
    </row>
    <row r="4" spans="1:59" ht="5.9" customHeight="1"/>
    <row r="5" spans="1:59" ht="13.5" customHeight="1">
      <c r="A5" s="792" t="str">
        <f ca="1">"画面レイアウト"&amp;"("&amp;MID(CELL("filename"),FIND("]",CELL("filename"))+1,LEN(CELL("filename")))&amp;")"</f>
        <v>画面レイアウト(表紙)</v>
      </c>
      <c r="B5" s="793"/>
      <c r="C5" s="793"/>
      <c r="D5" s="793"/>
      <c r="E5" s="793"/>
      <c r="F5" s="793"/>
      <c r="G5" s="793"/>
      <c r="H5" s="793"/>
      <c r="I5" s="793"/>
      <c r="J5" s="793"/>
      <c r="K5" s="793"/>
      <c r="L5" s="793"/>
      <c r="M5" s="793"/>
      <c r="N5" s="793"/>
      <c r="O5" s="793"/>
      <c r="P5" s="793"/>
      <c r="Q5" s="793"/>
      <c r="R5" s="793"/>
      <c r="S5" s="793"/>
      <c r="T5" s="793"/>
      <c r="U5" s="793"/>
      <c r="V5" s="793"/>
      <c r="W5" s="793"/>
      <c r="X5" s="793"/>
      <c r="Y5" s="793"/>
      <c r="Z5" s="793"/>
      <c r="AA5" s="793"/>
      <c r="AB5" s="793"/>
      <c r="AC5" s="793"/>
      <c r="AD5" s="793"/>
      <c r="AE5" s="793"/>
      <c r="AF5" s="793"/>
      <c r="AG5" s="793"/>
      <c r="AH5" s="793"/>
      <c r="AI5" s="793"/>
      <c r="AJ5" s="793"/>
      <c r="AK5" s="793"/>
      <c r="AL5" s="793"/>
      <c r="AM5" s="793"/>
      <c r="AN5" s="793"/>
      <c r="AO5" s="793"/>
      <c r="AP5" s="793"/>
      <c r="AQ5" s="793"/>
      <c r="AR5" s="793"/>
      <c r="AS5" s="793"/>
      <c r="AT5" s="793"/>
      <c r="AU5" s="793"/>
      <c r="AV5" s="793"/>
      <c r="AW5" s="793"/>
      <c r="AX5" s="793"/>
      <c r="AY5" s="793"/>
      <c r="AZ5" s="793"/>
      <c r="BA5" s="794"/>
      <c r="BB5" s="784" t="s">
        <v>24</v>
      </c>
      <c r="BC5" s="785"/>
      <c r="BD5" s="28"/>
    </row>
    <row r="6" spans="1:59" ht="13.5" customHeight="1">
      <c r="A6" s="27"/>
      <c r="B6" s="186">
        <v>1</v>
      </c>
      <c r="C6" s="186">
        <v>2</v>
      </c>
      <c r="D6" s="186">
        <v>3</v>
      </c>
      <c r="E6" s="186">
        <v>4</v>
      </c>
      <c r="F6" s="186">
        <v>5</v>
      </c>
      <c r="G6" s="186">
        <v>6</v>
      </c>
      <c r="H6" s="186">
        <v>7</v>
      </c>
      <c r="I6" s="186">
        <v>8</v>
      </c>
      <c r="J6" s="186">
        <v>9</v>
      </c>
      <c r="K6" s="186">
        <v>10</v>
      </c>
      <c r="L6" s="186">
        <v>11</v>
      </c>
      <c r="M6" s="186">
        <v>12</v>
      </c>
      <c r="N6" s="186">
        <v>13</v>
      </c>
      <c r="O6" s="186">
        <v>14</v>
      </c>
      <c r="P6" s="186">
        <v>15</v>
      </c>
      <c r="Q6" s="186">
        <v>16</v>
      </c>
      <c r="R6" s="186">
        <v>17</v>
      </c>
      <c r="S6" s="188">
        <v>18</v>
      </c>
      <c r="T6" s="188">
        <v>19</v>
      </c>
      <c r="U6" s="188">
        <v>20</v>
      </c>
      <c r="V6" s="188">
        <v>21</v>
      </c>
      <c r="W6" s="188">
        <v>22</v>
      </c>
      <c r="X6" s="188">
        <v>23</v>
      </c>
      <c r="Y6" s="188">
        <v>24</v>
      </c>
      <c r="Z6" s="188">
        <v>25</v>
      </c>
      <c r="AA6" s="188">
        <v>26</v>
      </c>
      <c r="AB6" s="188">
        <v>27</v>
      </c>
      <c r="AC6" s="188">
        <v>28</v>
      </c>
      <c r="AD6" s="188">
        <v>29</v>
      </c>
      <c r="AE6" s="188">
        <v>30</v>
      </c>
      <c r="AF6" s="188">
        <v>31</v>
      </c>
      <c r="AG6" s="188">
        <v>32</v>
      </c>
      <c r="AH6" s="188">
        <v>33</v>
      </c>
      <c r="AI6" s="188">
        <v>34</v>
      </c>
      <c r="AJ6" s="187">
        <v>35</v>
      </c>
      <c r="AK6" s="187">
        <v>36</v>
      </c>
      <c r="AL6" s="187">
        <v>37</v>
      </c>
      <c r="AM6" s="187">
        <v>38</v>
      </c>
      <c r="AN6" s="187">
        <v>39</v>
      </c>
      <c r="AO6" s="187">
        <v>40</v>
      </c>
      <c r="AP6" s="187">
        <v>41</v>
      </c>
      <c r="AQ6" s="187">
        <v>42</v>
      </c>
      <c r="AR6" s="187">
        <v>43</v>
      </c>
      <c r="AS6" s="187">
        <v>44</v>
      </c>
      <c r="AT6" s="187">
        <v>45</v>
      </c>
      <c r="AU6" s="187">
        <v>46</v>
      </c>
      <c r="AV6" s="187">
        <v>47</v>
      </c>
      <c r="AW6" s="187">
        <v>48</v>
      </c>
      <c r="AX6" s="187">
        <v>49</v>
      </c>
      <c r="AY6" s="187">
        <v>50</v>
      </c>
      <c r="AZ6" s="187">
        <v>51</v>
      </c>
      <c r="BA6" s="21"/>
      <c r="BB6" s="77"/>
      <c r="BC6" s="42"/>
      <c r="BD6" s="28"/>
    </row>
    <row r="7" spans="1:59" ht="18.75" customHeight="1">
      <c r="A7" s="29"/>
      <c r="B7" s="47" t="s">
        <v>46</v>
      </c>
      <c r="C7" s="36"/>
      <c r="D7" s="36"/>
      <c r="E7" s="36"/>
      <c r="F7" s="36"/>
      <c r="G7" s="36"/>
      <c r="H7" s="48"/>
      <c r="I7" s="36"/>
      <c r="J7" s="48"/>
      <c r="K7" s="36"/>
      <c r="L7" s="36"/>
      <c r="M7" s="36"/>
      <c r="N7" s="48" t="s">
        <v>285</v>
      </c>
      <c r="O7" s="36"/>
      <c r="P7" s="36"/>
      <c r="Q7" s="36"/>
      <c r="R7" s="49" t="s">
        <v>284</v>
      </c>
      <c r="S7" s="36"/>
      <c r="T7" s="36"/>
      <c r="U7" s="36"/>
      <c r="V7" s="36"/>
      <c r="W7" s="36"/>
      <c r="X7" s="36"/>
      <c r="Y7" s="49"/>
      <c r="Z7" s="36"/>
      <c r="AA7" s="36"/>
      <c r="AB7" s="36"/>
      <c r="AC7" s="36"/>
      <c r="AD7" s="36"/>
      <c r="AE7" s="49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0"/>
      <c r="AX7" s="50"/>
      <c r="AY7" s="50"/>
      <c r="AZ7" s="51"/>
      <c r="BA7" s="80" t="s">
        <v>29</v>
      </c>
      <c r="BB7" s="78"/>
      <c r="BC7" s="34"/>
      <c r="BD7" s="28"/>
    </row>
    <row r="8" spans="1:59" ht="18" customHeight="1">
      <c r="A8" s="29"/>
      <c r="B8" s="176"/>
      <c r="C8" s="177"/>
      <c r="D8" s="177"/>
      <c r="E8" s="177" t="s">
        <v>47</v>
      </c>
      <c r="F8" s="177"/>
      <c r="G8" s="177"/>
      <c r="H8" s="178"/>
      <c r="I8" s="178"/>
      <c r="J8" s="178"/>
      <c r="K8" s="178"/>
      <c r="L8" s="179"/>
      <c r="M8" s="178"/>
      <c r="N8" s="57"/>
      <c r="O8" s="57"/>
      <c r="P8" s="179"/>
      <c r="Q8" s="57"/>
      <c r="R8" s="57"/>
      <c r="S8" s="57"/>
      <c r="T8" s="180"/>
      <c r="U8" s="180"/>
      <c r="V8" s="180"/>
      <c r="W8" s="180"/>
      <c r="X8" s="181"/>
      <c r="Y8" s="178"/>
      <c r="Z8" s="178"/>
      <c r="AA8" s="178"/>
      <c r="AB8" s="179"/>
      <c r="AC8" s="178"/>
      <c r="AD8" s="57"/>
      <c r="AE8" s="57"/>
      <c r="AF8" s="179"/>
      <c r="AG8" s="177"/>
      <c r="AH8" s="177"/>
      <c r="AI8" s="182"/>
      <c r="AJ8" s="55"/>
      <c r="AK8" s="55"/>
      <c r="AL8" s="55"/>
      <c r="AM8" s="55"/>
      <c r="AN8" s="183"/>
      <c r="AO8" s="184"/>
      <c r="AP8" s="184"/>
      <c r="AQ8" s="55"/>
      <c r="AR8" s="55"/>
      <c r="AS8" s="55"/>
      <c r="AT8" s="56"/>
      <c r="AU8" s="55"/>
      <c r="AV8" s="57"/>
      <c r="AW8" s="57"/>
      <c r="AX8" s="57"/>
      <c r="AY8" s="177"/>
      <c r="AZ8" s="185"/>
      <c r="BA8" s="143"/>
      <c r="BB8" s="78"/>
      <c r="BC8" s="34"/>
      <c r="BD8" s="28"/>
    </row>
    <row r="9" spans="1:59" ht="13.5" customHeight="1">
      <c r="A9" s="22"/>
      <c r="B9" s="20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3"/>
      <c r="BA9" s="46"/>
      <c r="BB9" s="78"/>
      <c r="BC9" s="34"/>
      <c r="BD9" s="28"/>
    </row>
    <row r="10" spans="1:59" ht="13.5" customHeight="1">
      <c r="A10" s="22"/>
      <c r="B10" s="201"/>
      <c r="C10" s="43" t="s">
        <v>48</v>
      </c>
      <c r="D10" s="31"/>
      <c r="E10" s="31"/>
      <c r="F10" s="31" t="s">
        <v>52</v>
      </c>
      <c r="G10" s="31"/>
      <c r="H10" s="127" t="s">
        <v>51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63"/>
      <c r="U10" s="63"/>
      <c r="V10" s="63"/>
      <c r="W10" s="63"/>
      <c r="X10" s="62"/>
      <c r="Y10" s="63"/>
      <c r="Z10" s="63"/>
      <c r="AA10" s="63"/>
      <c r="AB10" s="64"/>
      <c r="AC10" s="63"/>
      <c r="AD10" s="65"/>
      <c r="AE10" s="65"/>
      <c r="AF10" s="65"/>
      <c r="AG10" s="65"/>
      <c r="AH10" s="65"/>
      <c r="AI10" s="75"/>
      <c r="AJ10" s="63"/>
      <c r="AK10" s="63"/>
      <c r="AL10" s="63"/>
      <c r="AM10" s="63"/>
      <c r="AN10" s="125"/>
      <c r="AO10" s="62"/>
      <c r="AP10" s="62"/>
      <c r="AQ10" s="63"/>
      <c r="AR10" s="63"/>
      <c r="AS10" s="63"/>
      <c r="AT10" s="64"/>
      <c r="AU10" s="63"/>
      <c r="AV10" s="65"/>
      <c r="AW10" s="65"/>
      <c r="AX10" s="65"/>
      <c r="AY10" s="31"/>
      <c r="AZ10" s="33"/>
      <c r="BA10" s="46"/>
      <c r="BB10" s="78"/>
      <c r="BC10" s="34"/>
      <c r="BD10" s="28"/>
    </row>
    <row r="11" spans="1:59" ht="13.5" customHeight="1">
      <c r="A11" s="22"/>
      <c r="B11" s="201"/>
      <c r="C11" s="43" t="s">
        <v>49</v>
      </c>
      <c r="D11" s="31"/>
      <c r="E11" s="31"/>
      <c r="F11" s="31" t="s">
        <v>52</v>
      </c>
      <c r="G11" s="31"/>
      <c r="H11" s="75" t="s">
        <v>53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63"/>
      <c r="U11" s="63"/>
      <c r="V11" s="63"/>
      <c r="W11" s="63"/>
      <c r="X11" s="62"/>
      <c r="Y11" s="63"/>
      <c r="Z11" s="63"/>
      <c r="AA11" s="63"/>
      <c r="AB11" s="64"/>
      <c r="AC11" s="63"/>
      <c r="AD11" s="65"/>
      <c r="AE11" s="65"/>
      <c r="AF11" s="65"/>
      <c r="AG11" s="65"/>
      <c r="AH11" s="65"/>
      <c r="AI11" s="75"/>
      <c r="AJ11" s="63"/>
      <c r="AK11" s="63"/>
      <c r="AL11" s="63"/>
      <c r="AM11" s="63"/>
      <c r="AN11" s="125"/>
      <c r="AO11" s="62"/>
      <c r="AP11" s="62"/>
      <c r="AQ11" s="63"/>
      <c r="AR11" s="63"/>
      <c r="AS11" s="63"/>
      <c r="AT11" s="64"/>
      <c r="AU11" s="63"/>
      <c r="AV11" s="65"/>
      <c r="AW11" s="65"/>
      <c r="AX11" s="65"/>
      <c r="AY11" s="31"/>
      <c r="AZ11" s="33"/>
      <c r="BA11" s="46"/>
      <c r="BB11" s="78"/>
      <c r="BC11" s="34"/>
      <c r="BD11" s="28"/>
    </row>
    <row r="12" spans="1:59" ht="13.5" customHeight="1">
      <c r="A12" s="22"/>
      <c r="B12" s="201"/>
      <c r="C12" s="43" t="s">
        <v>50</v>
      </c>
      <c r="D12" s="31"/>
      <c r="E12" s="31"/>
      <c r="F12" s="31" t="s">
        <v>52</v>
      </c>
      <c r="G12" s="31"/>
      <c r="H12" s="75" t="s">
        <v>54</v>
      </c>
      <c r="I12" s="75"/>
      <c r="J12" s="75"/>
      <c r="K12" s="75"/>
      <c r="L12" s="75" t="s">
        <v>55</v>
      </c>
      <c r="M12" s="75"/>
      <c r="N12" s="75"/>
      <c r="O12" s="75" t="s">
        <v>56</v>
      </c>
      <c r="P12" s="75"/>
      <c r="Q12" s="75"/>
      <c r="R12" s="75"/>
      <c r="S12" s="75"/>
      <c r="T12" s="63"/>
      <c r="U12" s="63"/>
      <c r="V12" s="63"/>
      <c r="W12" s="63"/>
      <c r="X12" s="62"/>
      <c r="Y12" s="63"/>
      <c r="Z12" s="63"/>
      <c r="AA12" s="63"/>
      <c r="AB12" s="64"/>
      <c r="AC12" s="63"/>
      <c r="AD12" s="65"/>
      <c r="AE12" s="65"/>
      <c r="AF12" s="65"/>
      <c r="AG12" s="65"/>
      <c r="AH12" s="65"/>
      <c r="AI12" s="75"/>
      <c r="AJ12" s="63"/>
      <c r="AK12" s="63"/>
      <c r="AL12" s="63"/>
      <c r="AM12" s="63"/>
      <c r="AN12" s="125"/>
      <c r="AO12" s="62"/>
      <c r="AP12" s="62"/>
      <c r="AQ12" s="63"/>
      <c r="AR12" s="63"/>
      <c r="AS12" s="63"/>
      <c r="AT12" s="64"/>
      <c r="AU12" s="63"/>
      <c r="AV12" s="65"/>
      <c r="AW12" s="65"/>
      <c r="AX12" s="65"/>
      <c r="AY12" s="31"/>
      <c r="AZ12" s="33"/>
      <c r="BA12" s="46"/>
      <c r="BB12" s="78"/>
      <c r="BC12" s="34"/>
      <c r="BD12" s="28"/>
    </row>
    <row r="13" spans="1:59" ht="13.5" customHeight="1">
      <c r="A13" s="22"/>
      <c r="B13" s="202">
        <v>1</v>
      </c>
      <c r="C13" s="203">
        <v>2</v>
      </c>
      <c r="D13" s="203">
        <v>3</v>
      </c>
      <c r="E13" s="203">
        <v>4</v>
      </c>
      <c r="F13" s="203">
        <v>5</v>
      </c>
      <c r="G13" s="203">
        <v>6</v>
      </c>
      <c r="H13" s="203">
        <v>7</v>
      </c>
      <c r="I13" s="203">
        <v>8</v>
      </c>
      <c r="J13" s="203">
        <v>9</v>
      </c>
      <c r="K13" s="203">
        <v>10</v>
      </c>
      <c r="L13" s="203">
        <v>11</v>
      </c>
      <c r="M13" s="203">
        <v>12</v>
      </c>
      <c r="N13" s="203">
        <v>13</v>
      </c>
      <c r="O13" s="203">
        <v>14</v>
      </c>
      <c r="P13" s="203">
        <v>15</v>
      </c>
      <c r="Q13" s="203">
        <v>16</v>
      </c>
      <c r="R13" s="203">
        <v>17</v>
      </c>
      <c r="S13" s="203">
        <v>18</v>
      </c>
      <c r="T13" s="203">
        <v>19</v>
      </c>
      <c r="U13" s="203">
        <v>20</v>
      </c>
      <c r="V13" s="203">
        <v>21</v>
      </c>
      <c r="W13" s="203">
        <v>22</v>
      </c>
      <c r="X13" s="203">
        <v>23</v>
      </c>
      <c r="Y13" s="203">
        <v>24</v>
      </c>
      <c r="Z13" s="203">
        <v>25</v>
      </c>
      <c r="AA13" s="203">
        <v>26</v>
      </c>
      <c r="AB13" s="203">
        <v>27</v>
      </c>
      <c r="AC13" s="203">
        <v>28</v>
      </c>
      <c r="AD13" s="203">
        <v>29</v>
      </c>
      <c r="AE13" s="203">
        <v>30</v>
      </c>
      <c r="AF13" s="203">
        <v>31</v>
      </c>
      <c r="AG13" s="203">
        <v>32</v>
      </c>
      <c r="AH13" s="203">
        <v>33</v>
      </c>
      <c r="AI13" s="203">
        <v>34</v>
      </c>
      <c r="AJ13" s="203">
        <v>35</v>
      </c>
      <c r="AK13" s="203">
        <v>36</v>
      </c>
      <c r="AL13" s="203">
        <v>37</v>
      </c>
      <c r="AM13" s="203">
        <v>38</v>
      </c>
      <c r="AN13" s="203">
        <v>39</v>
      </c>
      <c r="AO13" s="203">
        <v>40</v>
      </c>
      <c r="AP13" s="203"/>
      <c r="AQ13" s="203">
        <v>41</v>
      </c>
      <c r="AR13" s="203">
        <v>42</v>
      </c>
      <c r="AS13" s="203">
        <v>43</v>
      </c>
      <c r="AT13" s="203">
        <v>44</v>
      </c>
      <c r="AU13" s="203">
        <v>45</v>
      </c>
      <c r="AV13" s="203">
        <v>46</v>
      </c>
      <c r="AW13" s="203">
        <v>47</v>
      </c>
      <c r="AX13" s="65"/>
      <c r="AY13" s="31"/>
      <c r="AZ13" s="33"/>
      <c r="BA13" s="46"/>
      <c r="BB13" s="78"/>
      <c r="BC13" s="34"/>
      <c r="BD13" s="28"/>
      <c r="BE13" s="24"/>
      <c r="BF13" s="24"/>
    </row>
    <row r="14" spans="1:59" ht="13.5" customHeight="1">
      <c r="A14" s="22"/>
      <c r="B14" s="202">
        <v>2</v>
      </c>
      <c r="C14" s="204" t="s">
        <v>102</v>
      </c>
      <c r="D14" s="28"/>
      <c r="E14" s="28"/>
      <c r="F14" s="28"/>
      <c r="G14" s="28"/>
      <c r="H14" s="121"/>
      <c r="I14" s="62"/>
      <c r="J14" s="63"/>
      <c r="K14" s="62"/>
      <c r="L14" s="63"/>
      <c r="M14" s="69"/>
      <c r="N14" s="69"/>
      <c r="O14" s="65"/>
      <c r="P14" s="69"/>
      <c r="Q14" s="65"/>
      <c r="R14" s="69"/>
      <c r="S14" s="28"/>
      <c r="T14" s="28"/>
      <c r="U14" s="28"/>
      <c r="V14" s="28"/>
      <c r="W14" s="28"/>
      <c r="X14" s="121"/>
      <c r="Y14" s="62"/>
      <c r="Z14" s="63"/>
      <c r="AA14" s="62"/>
      <c r="AB14" s="63"/>
      <c r="AC14" s="69"/>
      <c r="AD14" s="69"/>
      <c r="AE14" s="65"/>
      <c r="AF14" s="69"/>
      <c r="AG14" s="65"/>
      <c r="AH14" s="69"/>
      <c r="AI14" s="64"/>
      <c r="AJ14" s="69"/>
      <c r="AK14" s="65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33"/>
      <c r="AW14" s="28"/>
      <c r="AX14" s="65"/>
      <c r="AY14" s="31"/>
      <c r="AZ14" s="33"/>
      <c r="BA14" s="46"/>
      <c r="BB14" s="78"/>
      <c r="BC14" s="34"/>
      <c r="BD14" s="28"/>
    </row>
    <row r="15" spans="1:59" ht="5.15" customHeight="1">
      <c r="A15" s="22"/>
      <c r="B15" s="202"/>
      <c r="C15" s="296"/>
      <c r="D15" s="72"/>
      <c r="E15" s="72"/>
      <c r="F15" s="72"/>
      <c r="G15" s="72"/>
      <c r="H15" s="297"/>
      <c r="I15" s="278"/>
      <c r="J15" s="279"/>
      <c r="K15" s="278"/>
      <c r="L15" s="279"/>
      <c r="M15" s="298"/>
      <c r="N15" s="298"/>
      <c r="O15" s="263"/>
      <c r="P15" s="298"/>
      <c r="Q15" s="263"/>
      <c r="R15" s="298"/>
      <c r="S15" s="281"/>
      <c r="T15" s="72"/>
      <c r="U15" s="72"/>
      <c r="V15" s="72"/>
      <c r="W15" s="72"/>
      <c r="X15" s="72"/>
      <c r="Y15" s="297"/>
      <c r="Z15" s="278"/>
      <c r="AA15" s="279"/>
      <c r="AB15" s="278"/>
      <c r="AC15" s="279"/>
      <c r="AD15" s="298"/>
      <c r="AE15" s="298"/>
      <c r="AF15" s="263"/>
      <c r="AG15" s="298"/>
      <c r="AH15" s="298"/>
      <c r="AI15" s="280"/>
      <c r="AJ15" s="298"/>
      <c r="AK15" s="263"/>
      <c r="AL15" s="72"/>
      <c r="AM15" s="72"/>
      <c r="AN15" s="72"/>
      <c r="AO15" s="72"/>
      <c r="AP15" s="72"/>
      <c r="AQ15" s="72"/>
      <c r="AR15" s="72"/>
      <c r="AS15" s="279"/>
      <c r="AT15" s="280"/>
      <c r="AU15" s="279"/>
      <c r="AV15" s="263"/>
      <c r="AW15" s="263"/>
      <c r="AX15" s="263"/>
      <c r="AY15" s="265"/>
      <c r="AZ15" s="33"/>
      <c r="BA15" s="46"/>
      <c r="BB15" s="78"/>
      <c r="BC15" s="34"/>
      <c r="BD15" s="28"/>
    </row>
    <row r="16" spans="1:59" ht="13.5" customHeight="1">
      <c r="A16" s="22"/>
      <c r="B16" s="45"/>
      <c r="C16" s="266" t="s">
        <v>103</v>
      </c>
      <c r="D16" s="28"/>
      <c r="E16" s="28"/>
      <c r="F16" s="28"/>
      <c r="G16" s="28"/>
      <c r="H16" s="255" t="s">
        <v>169</v>
      </c>
      <c r="I16" s="255"/>
      <c r="J16" s="255"/>
      <c r="K16" s="26"/>
      <c r="L16" s="26"/>
      <c r="M16" s="105"/>
      <c r="N16" s="100"/>
      <c r="O16" s="67"/>
      <c r="P16" s="67"/>
      <c r="Q16" s="101"/>
      <c r="R16" s="100"/>
      <c r="S16" s="100"/>
      <c r="T16" s="100"/>
      <c r="U16" s="67"/>
      <c r="V16" s="101"/>
      <c r="W16" s="100"/>
      <c r="X16" s="65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65"/>
      <c r="AY16" s="267"/>
      <c r="AZ16" s="33"/>
      <c r="BA16" s="46"/>
      <c r="BB16" s="78"/>
      <c r="BC16" s="34"/>
      <c r="BD16" s="28"/>
      <c r="BE16" s="35"/>
      <c r="BF16" s="35"/>
      <c r="BG16" s="35"/>
    </row>
    <row r="17" spans="1:59" ht="13.5" customHeight="1">
      <c r="A17" s="22"/>
      <c r="B17" s="202">
        <v>3</v>
      </c>
      <c r="C17" s="266" t="s">
        <v>57</v>
      </c>
      <c r="D17" s="31"/>
      <c r="E17" s="31"/>
      <c r="F17" s="31"/>
      <c r="G17" s="31"/>
      <c r="H17" s="58"/>
      <c r="I17" s="59"/>
      <c r="J17" s="59"/>
      <c r="K17" s="59"/>
      <c r="L17" s="60"/>
      <c r="M17" s="59"/>
      <c r="N17" s="61"/>
      <c r="O17" s="61"/>
      <c r="P17" s="61"/>
      <c r="Q17" s="61"/>
      <c r="R17" s="61"/>
      <c r="S17" s="128"/>
      <c r="T17" s="59"/>
      <c r="U17" s="59"/>
      <c r="V17" s="59"/>
      <c r="W17" s="59"/>
      <c r="X17" s="123"/>
      <c r="Y17" s="59"/>
      <c r="Z17" s="59"/>
      <c r="AA17" s="59"/>
      <c r="AB17" s="60"/>
      <c r="AC17" s="59"/>
      <c r="AD17" s="61"/>
      <c r="AE17" s="61"/>
      <c r="AF17" s="61"/>
      <c r="AG17" s="61"/>
      <c r="AH17" s="94"/>
      <c r="AI17" s="75"/>
      <c r="AJ17" s="63"/>
      <c r="AK17" s="63"/>
      <c r="AL17" s="63"/>
      <c r="AM17" s="63"/>
      <c r="AN17" s="125"/>
      <c r="AO17" s="62"/>
      <c r="AP17" s="62"/>
      <c r="AQ17" s="63"/>
      <c r="AR17" s="63"/>
      <c r="AS17" s="63"/>
      <c r="AT17" s="64"/>
      <c r="AU17" s="63"/>
      <c r="AV17" s="65"/>
      <c r="AW17" s="65"/>
      <c r="AX17" s="65"/>
      <c r="AY17" s="267"/>
      <c r="AZ17" s="33"/>
      <c r="BA17" s="46"/>
      <c r="BB17" s="78"/>
      <c r="BC17" s="34"/>
      <c r="BD17" s="28"/>
      <c r="BE17" s="35"/>
      <c r="BF17" s="35"/>
      <c r="BG17" s="35"/>
    </row>
    <row r="18" spans="1:59" ht="13.5" customHeight="1">
      <c r="A18" s="22"/>
      <c r="B18" s="201"/>
      <c r="C18" s="266" t="s">
        <v>38</v>
      </c>
      <c r="D18" s="31"/>
      <c r="E18" s="31"/>
      <c r="F18" s="31"/>
      <c r="G18" s="31"/>
      <c r="H18" s="58"/>
      <c r="I18" s="59"/>
      <c r="J18" s="59"/>
      <c r="K18" s="59"/>
      <c r="L18" s="60"/>
      <c r="M18" s="59"/>
      <c r="N18" s="61"/>
      <c r="O18" s="61"/>
      <c r="P18" s="61"/>
      <c r="Q18" s="189"/>
      <c r="R18" s="74"/>
      <c r="S18" s="75"/>
      <c r="T18" s="114" t="s">
        <v>58</v>
      </c>
      <c r="U18" s="31"/>
      <c r="V18" s="31"/>
      <c r="W18" s="31"/>
      <c r="X18" s="31"/>
      <c r="Y18" s="58"/>
      <c r="Z18" s="59"/>
      <c r="AA18" s="59"/>
      <c r="AB18" s="59"/>
      <c r="AC18" s="60"/>
      <c r="AD18" s="59"/>
      <c r="AE18" s="61"/>
      <c r="AF18" s="61"/>
      <c r="AG18" s="70"/>
      <c r="AH18" s="65"/>
      <c r="AI18" s="75"/>
      <c r="AJ18" s="63"/>
      <c r="AK18" s="75" t="s">
        <v>59</v>
      </c>
      <c r="AL18" s="63"/>
      <c r="AM18" s="63"/>
      <c r="AN18" s="63"/>
      <c r="AO18" s="63"/>
      <c r="AP18" s="58"/>
      <c r="AQ18" s="59"/>
      <c r="AR18" s="59"/>
      <c r="AS18" s="59"/>
      <c r="AT18" s="60"/>
      <c r="AU18" s="59"/>
      <c r="AV18" s="61"/>
      <c r="AW18" s="61"/>
      <c r="AX18" s="70"/>
      <c r="AY18" s="267"/>
      <c r="AZ18" s="33"/>
      <c r="BA18" s="46"/>
      <c r="BB18" s="78"/>
      <c r="BC18" s="34"/>
      <c r="BD18" s="28"/>
      <c r="BE18" s="35"/>
      <c r="BF18" s="35"/>
      <c r="BG18" s="35"/>
    </row>
    <row r="19" spans="1:59" ht="13.5" customHeight="1">
      <c r="A19" s="22"/>
      <c r="B19" s="201"/>
      <c r="C19" s="266" t="s">
        <v>60</v>
      </c>
      <c r="D19" s="31"/>
      <c r="E19" s="31"/>
      <c r="F19" s="31"/>
      <c r="G19" s="31"/>
      <c r="H19" s="58"/>
      <c r="I19" s="59"/>
      <c r="J19" s="59"/>
      <c r="K19" s="59"/>
      <c r="L19" s="60"/>
      <c r="M19" s="59"/>
      <c r="N19" s="61"/>
      <c r="O19" s="61"/>
      <c r="P19" s="99" t="s">
        <v>32</v>
      </c>
      <c r="Q19" s="94"/>
      <c r="R19" s="65"/>
      <c r="S19" s="35"/>
      <c r="T19" s="43" t="s">
        <v>61</v>
      </c>
      <c r="U19" s="63"/>
      <c r="V19" s="63"/>
      <c r="W19" s="63"/>
      <c r="X19" s="63"/>
      <c r="Y19" s="124" t="s">
        <v>69</v>
      </c>
      <c r="Z19" s="59"/>
      <c r="AA19" s="59"/>
      <c r="AB19" s="59"/>
      <c r="AC19" s="60"/>
      <c r="AD19" s="59"/>
      <c r="AE19" s="61"/>
      <c r="AF19" s="61"/>
      <c r="AG19" s="70"/>
      <c r="AH19" s="65"/>
      <c r="AI19" s="75"/>
      <c r="AJ19" s="63"/>
      <c r="AK19" s="63"/>
      <c r="AL19" s="63"/>
      <c r="AM19" s="63"/>
      <c r="AN19" s="125"/>
      <c r="AO19" s="62"/>
      <c r="AP19" s="62"/>
      <c r="AQ19" s="63"/>
      <c r="AR19" s="63"/>
      <c r="AS19" s="63"/>
      <c r="AT19" s="64"/>
      <c r="AU19" s="63"/>
      <c r="AV19" s="65"/>
      <c r="AW19" s="65"/>
      <c r="AX19" s="65"/>
      <c r="AY19" s="267"/>
      <c r="AZ19" s="33"/>
      <c r="BA19" s="46"/>
      <c r="BB19" s="78"/>
      <c r="BC19" s="34"/>
      <c r="BD19" s="28"/>
      <c r="BE19" s="35"/>
      <c r="BF19" s="35"/>
      <c r="BG19" s="35"/>
    </row>
    <row r="20" spans="1:59" ht="13.5" customHeight="1">
      <c r="A20" s="22"/>
      <c r="B20" s="201"/>
      <c r="C20" s="266" t="s">
        <v>105</v>
      </c>
      <c r="D20" s="31"/>
      <c r="E20" s="31"/>
      <c r="F20" s="31"/>
      <c r="G20" s="31"/>
      <c r="H20" s="58"/>
      <c r="I20" s="59"/>
      <c r="J20" s="59"/>
      <c r="K20" s="456">
        <v>0.05</v>
      </c>
      <c r="L20" s="299" t="s">
        <v>106</v>
      </c>
      <c r="M20" s="103"/>
      <c r="N20" s="74"/>
      <c r="O20" s="74"/>
      <c r="P20" s="74"/>
      <c r="Q20" s="65"/>
      <c r="R20" s="65"/>
      <c r="S20" s="35"/>
      <c r="T20" s="35"/>
      <c r="U20" s="35"/>
      <c r="V20" s="63"/>
      <c r="W20" s="63"/>
      <c r="X20" s="63"/>
      <c r="Y20" s="102"/>
      <c r="Z20" s="103"/>
      <c r="AA20" s="103"/>
      <c r="AB20" s="103"/>
      <c r="AC20" s="104"/>
      <c r="AD20" s="103"/>
      <c r="AE20" s="74"/>
      <c r="AF20" s="74"/>
      <c r="AG20" s="74"/>
      <c r="AH20" s="65"/>
      <c r="AI20" s="75"/>
      <c r="AJ20" s="63"/>
      <c r="AK20" s="63"/>
      <c r="AL20" s="63"/>
      <c r="AM20" s="63"/>
      <c r="AN20" s="125"/>
      <c r="AO20" s="62"/>
      <c r="AP20" s="62"/>
      <c r="AQ20" s="63"/>
      <c r="AR20" s="63"/>
      <c r="AS20" s="63"/>
      <c r="AT20" s="64"/>
      <c r="AU20" s="63"/>
      <c r="AV20" s="65"/>
      <c r="AW20" s="65"/>
      <c r="AX20" s="65"/>
      <c r="AY20" s="267"/>
      <c r="AZ20" s="33"/>
      <c r="BA20" s="46"/>
      <c r="BB20" s="78"/>
      <c r="BC20" s="34"/>
      <c r="BD20" s="28"/>
      <c r="BE20" s="35"/>
      <c r="BF20" s="35"/>
      <c r="BG20" s="35"/>
    </row>
    <row r="21" spans="1:59" ht="5.15" customHeight="1">
      <c r="A21" s="22"/>
      <c r="B21" s="201"/>
      <c r="C21" s="268"/>
      <c r="D21" s="269"/>
      <c r="E21" s="269"/>
      <c r="F21" s="269"/>
      <c r="G21" s="269"/>
      <c r="H21" s="275"/>
      <c r="I21" s="273"/>
      <c r="J21" s="273"/>
      <c r="K21" s="273"/>
      <c r="L21" s="276"/>
      <c r="M21" s="273"/>
      <c r="N21" s="270"/>
      <c r="O21" s="270"/>
      <c r="P21" s="270"/>
      <c r="Q21" s="270"/>
      <c r="R21" s="270"/>
      <c r="S21" s="271"/>
      <c r="T21" s="272"/>
      <c r="U21" s="273"/>
      <c r="V21" s="273"/>
      <c r="W21" s="273"/>
      <c r="X21" s="273"/>
      <c r="Y21" s="275"/>
      <c r="Z21" s="273"/>
      <c r="AA21" s="273"/>
      <c r="AB21" s="273"/>
      <c r="AC21" s="276"/>
      <c r="AD21" s="273"/>
      <c r="AE21" s="270"/>
      <c r="AF21" s="270"/>
      <c r="AG21" s="270"/>
      <c r="AH21" s="270"/>
      <c r="AI21" s="272"/>
      <c r="AJ21" s="273"/>
      <c r="AK21" s="273"/>
      <c r="AL21" s="273"/>
      <c r="AM21" s="273"/>
      <c r="AN21" s="274"/>
      <c r="AO21" s="275"/>
      <c r="AP21" s="275"/>
      <c r="AQ21" s="273"/>
      <c r="AR21" s="273"/>
      <c r="AS21" s="273"/>
      <c r="AT21" s="276"/>
      <c r="AU21" s="273"/>
      <c r="AV21" s="270"/>
      <c r="AW21" s="270"/>
      <c r="AX21" s="270"/>
      <c r="AY21" s="277"/>
      <c r="AZ21" s="33"/>
      <c r="BA21" s="46"/>
      <c r="BB21" s="78"/>
      <c r="BC21" s="34"/>
      <c r="BD21" s="28"/>
      <c r="BE21" s="35"/>
      <c r="BF21" s="35"/>
      <c r="BG21" s="35"/>
    </row>
    <row r="22" spans="1:59" ht="13.5" customHeight="1">
      <c r="A22" s="22"/>
      <c r="B22" s="32"/>
      <c r="C22" s="64"/>
      <c r="D22" s="62"/>
      <c r="E22" s="63"/>
      <c r="F22" s="63"/>
      <c r="G22" s="63"/>
      <c r="H22" s="69"/>
      <c r="I22" s="69"/>
      <c r="J22" s="65"/>
      <c r="K22" s="69"/>
      <c r="L22" s="65"/>
      <c r="M22" s="69"/>
      <c r="N22" s="64"/>
      <c r="O22" s="69"/>
      <c r="P22" s="65"/>
      <c r="Q22" s="28"/>
      <c r="R22" s="28"/>
      <c r="T22" s="31"/>
      <c r="U22" s="31"/>
      <c r="V22" s="31"/>
      <c r="W22" s="31"/>
      <c r="X22" s="31"/>
      <c r="Y22" s="44"/>
      <c r="Z22" s="31"/>
      <c r="AA22" s="28"/>
      <c r="AB22" s="44"/>
      <c r="AC22" s="31"/>
      <c r="AD22" s="28"/>
      <c r="AE22" s="44"/>
      <c r="AF22" s="28"/>
      <c r="AG22" s="28"/>
      <c r="AH22" s="28"/>
      <c r="AI22" s="28"/>
      <c r="AJ22" s="76"/>
      <c r="AK22" s="28"/>
      <c r="AL22" s="28"/>
      <c r="AM22" s="28"/>
      <c r="AN22" s="28"/>
      <c r="AO22" s="28"/>
      <c r="AP22" s="28"/>
      <c r="AQ22" s="28"/>
      <c r="AR22" s="28"/>
      <c r="AS22" s="63"/>
      <c r="AT22" s="64"/>
      <c r="AU22" s="63"/>
      <c r="AV22" s="65"/>
      <c r="AW22" s="65"/>
      <c r="AX22" s="65"/>
      <c r="AY22" s="31"/>
      <c r="AZ22" s="33"/>
      <c r="BA22" s="46"/>
      <c r="BB22" s="78"/>
      <c r="BC22" s="34"/>
      <c r="BD22" s="28"/>
    </row>
    <row r="23" spans="1:59" ht="13.5" customHeight="1">
      <c r="A23" s="22"/>
      <c r="B23" s="202">
        <v>2</v>
      </c>
      <c r="C23" s="204" t="s">
        <v>107</v>
      </c>
      <c r="D23" s="28"/>
      <c r="E23" s="28"/>
      <c r="F23" s="28"/>
      <c r="G23" s="28"/>
      <c r="H23" s="121"/>
      <c r="I23" s="62"/>
      <c r="J23" s="63"/>
      <c r="K23" s="62"/>
      <c r="L23" s="63"/>
      <c r="M23" s="69"/>
      <c r="N23" s="69"/>
      <c r="O23" s="65"/>
      <c r="P23" s="69"/>
      <c r="Q23" s="65"/>
      <c r="R23" s="69"/>
      <c r="S23" s="35"/>
      <c r="T23" s="28"/>
      <c r="U23" s="28"/>
      <c r="V23" s="28"/>
      <c r="W23" s="28"/>
      <c r="X23" s="28"/>
      <c r="Y23" s="121"/>
      <c r="Z23" s="62"/>
      <c r="AA23" s="63"/>
      <c r="AB23" s="62"/>
      <c r="AC23" s="63"/>
      <c r="AD23" s="69"/>
      <c r="AE23" s="69"/>
      <c r="AF23" s="65"/>
      <c r="AG23" s="69"/>
      <c r="AH23" s="69"/>
      <c r="AI23" s="64"/>
      <c r="AJ23" s="69"/>
      <c r="AK23" s="65"/>
      <c r="AL23" s="28"/>
      <c r="AM23" s="28"/>
      <c r="AN23" s="28"/>
      <c r="AO23" s="28"/>
      <c r="AP23" s="28"/>
      <c r="AQ23" s="28"/>
      <c r="AR23" s="28"/>
      <c r="AS23" s="63"/>
      <c r="AT23" s="64"/>
      <c r="AU23" s="63"/>
      <c r="AV23" s="65"/>
      <c r="AW23" s="65"/>
      <c r="AX23" s="65"/>
      <c r="AY23" s="31"/>
      <c r="AZ23" s="33"/>
      <c r="BA23" s="46"/>
      <c r="BB23" s="78"/>
      <c r="BC23" s="34"/>
      <c r="BD23" s="28"/>
    </row>
    <row r="24" spans="1:59" ht="5.15" customHeight="1">
      <c r="A24" s="22"/>
      <c r="B24" s="202"/>
      <c r="C24" s="296"/>
      <c r="D24" s="72"/>
      <c r="E24" s="72"/>
      <c r="F24" s="72"/>
      <c r="G24" s="72"/>
      <c r="H24" s="297"/>
      <c r="I24" s="278"/>
      <c r="J24" s="279"/>
      <c r="K24" s="278"/>
      <c r="L24" s="279"/>
      <c r="M24" s="298"/>
      <c r="N24" s="298"/>
      <c r="O24" s="263"/>
      <c r="P24" s="298"/>
      <c r="Q24" s="263"/>
      <c r="R24" s="298"/>
      <c r="S24" s="281"/>
      <c r="T24" s="72"/>
      <c r="U24" s="72"/>
      <c r="V24" s="72"/>
      <c r="W24" s="72"/>
      <c r="X24" s="72"/>
      <c r="Y24" s="297"/>
      <c r="Z24" s="278"/>
      <c r="AA24" s="279"/>
      <c r="AB24" s="278"/>
      <c r="AC24" s="279"/>
      <c r="AD24" s="298"/>
      <c r="AE24" s="298"/>
      <c r="AF24" s="263"/>
      <c r="AG24" s="298"/>
      <c r="AH24" s="298"/>
      <c r="AI24" s="280"/>
      <c r="AJ24" s="298"/>
      <c r="AK24" s="263"/>
      <c r="AL24" s="72"/>
      <c r="AM24" s="72"/>
      <c r="AN24" s="72"/>
      <c r="AO24" s="72"/>
      <c r="AP24" s="72"/>
      <c r="AQ24" s="72"/>
      <c r="AR24" s="72"/>
      <c r="AS24" s="279"/>
      <c r="AT24" s="280"/>
      <c r="AU24" s="279"/>
      <c r="AV24" s="263"/>
      <c r="AW24" s="263"/>
      <c r="AX24" s="263"/>
      <c r="AY24" s="265"/>
      <c r="AZ24" s="33"/>
      <c r="BA24" s="46"/>
      <c r="BB24" s="78"/>
      <c r="BC24" s="34"/>
      <c r="BD24" s="28"/>
    </row>
    <row r="25" spans="1:59" ht="13.5" customHeight="1">
      <c r="A25" s="22"/>
      <c r="B25" s="45"/>
      <c r="C25" s="266" t="s">
        <v>108</v>
      </c>
      <c r="D25" s="28"/>
      <c r="E25" s="28"/>
      <c r="F25" s="28"/>
      <c r="G25" s="28"/>
      <c r="H25" s="58"/>
      <c r="I25" s="59"/>
      <c r="J25" s="59"/>
      <c r="K25" s="59"/>
      <c r="L25" s="60"/>
      <c r="M25" s="59"/>
      <c r="N25" s="70"/>
      <c r="O25" s="94" t="s">
        <v>109</v>
      </c>
      <c r="Q25" s="64"/>
      <c r="R25" s="63"/>
      <c r="S25" s="35"/>
      <c r="T25" s="28" t="s">
        <v>118</v>
      </c>
      <c r="U25" s="28"/>
      <c r="V25" s="28"/>
      <c r="W25" s="28"/>
      <c r="Y25" s="58"/>
      <c r="Z25" s="59"/>
      <c r="AA25" s="59"/>
      <c r="AB25" s="59"/>
      <c r="AC25" s="60"/>
      <c r="AD25" s="59"/>
      <c r="AE25" s="61"/>
      <c r="AF25" s="70"/>
      <c r="AG25" s="94" t="s">
        <v>111</v>
      </c>
      <c r="AH25" s="28"/>
      <c r="AI25" s="28"/>
      <c r="AJ25" s="28"/>
      <c r="AK25" s="28" t="s">
        <v>112</v>
      </c>
      <c r="AL25" s="28"/>
      <c r="AM25" s="28"/>
      <c r="AN25" s="28"/>
      <c r="AO25" s="35"/>
      <c r="AP25" s="54"/>
      <c r="AQ25" s="55"/>
      <c r="AR25" s="55"/>
      <c r="AS25" s="55"/>
      <c r="AT25" s="56"/>
      <c r="AU25" s="55"/>
      <c r="AV25" s="57"/>
      <c r="AW25" s="66"/>
      <c r="AX25" s="94" t="s">
        <v>113</v>
      </c>
      <c r="AY25" s="283"/>
      <c r="AZ25" s="33"/>
      <c r="BA25" s="46"/>
      <c r="BB25" s="78"/>
      <c r="BC25" s="34"/>
      <c r="BD25" s="28"/>
      <c r="BE25" s="35"/>
      <c r="BF25" s="35"/>
      <c r="BG25" s="35"/>
    </row>
    <row r="26" spans="1:59" ht="13.5" customHeight="1">
      <c r="A26" s="22"/>
      <c r="B26" s="45"/>
      <c r="C26" s="282" t="s">
        <v>265</v>
      </c>
      <c r="D26" s="28"/>
      <c r="E26" s="28"/>
      <c r="F26" s="28"/>
      <c r="H26" s="58"/>
      <c r="I26" s="59"/>
      <c r="J26" s="59"/>
      <c r="K26" s="59"/>
      <c r="L26" s="60"/>
      <c r="M26" s="59"/>
      <c r="N26" s="61"/>
      <c r="O26" s="61"/>
      <c r="P26" s="70"/>
      <c r="Q26" s="64"/>
      <c r="R26" s="28"/>
      <c r="S26" s="35"/>
      <c r="T26" s="28" t="s">
        <v>263</v>
      </c>
      <c r="V26" s="28"/>
      <c r="W26" s="28"/>
      <c r="Y26" s="58"/>
      <c r="Z26" s="59"/>
      <c r="AA26" s="59"/>
      <c r="AB26" s="59"/>
      <c r="AC26" s="60"/>
      <c r="AD26" s="59"/>
      <c r="AE26" s="61"/>
      <c r="AF26" s="61"/>
      <c r="AG26" s="70"/>
      <c r="AH26" s="28"/>
      <c r="AI26" s="28"/>
      <c r="AJ26" s="28"/>
      <c r="AL26" s="28"/>
      <c r="AM26" s="28"/>
      <c r="AN26" s="28"/>
      <c r="AO26" s="35"/>
      <c r="AP26" s="62"/>
      <c r="AQ26" s="63"/>
      <c r="AR26" s="63"/>
      <c r="AS26" s="63"/>
      <c r="AT26" s="64"/>
      <c r="AU26" s="63"/>
      <c r="AV26" s="65"/>
      <c r="AW26" s="65"/>
      <c r="AX26" s="65"/>
      <c r="AY26" s="283"/>
      <c r="AZ26" s="33"/>
      <c r="BA26" s="46"/>
      <c r="BB26" s="78"/>
      <c r="BC26" s="34"/>
      <c r="BD26" s="28"/>
      <c r="BE26" s="35"/>
      <c r="BF26" s="35"/>
      <c r="BG26" s="35"/>
    </row>
    <row r="27" spans="1:59" ht="14.15" customHeight="1">
      <c r="A27" s="22"/>
      <c r="B27" s="256"/>
      <c r="C27" s="497" t="s">
        <v>271</v>
      </c>
      <c r="F27" s="285"/>
      <c r="G27" s="285"/>
      <c r="H27" s="98" t="s">
        <v>121</v>
      </c>
      <c r="I27" s="257"/>
      <c r="J27" s="258"/>
      <c r="K27" s="258"/>
      <c r="L27" s="258"/>
      <c r="M27" s="259"/>
      <c r="N27" s="258"/>
      <c r="O27" s="110"/>
      <c r="P27" s="260" t="s">
        <v>32</v>
      </c>
      <c r="R27" s="130"/>
      <c r="S27" s="35"/>
      <c r="T27" s="285" t="s">
        <v>272</v>
      </c>
      <c r="U27" s="35"/>
      <c r="V27" s="285"/>
      <c r="W27" s="285"/>
      <c r="X27" s="285"/>
      <c r="Y27" s="98" t="s">
        <v>122</v>
      </c>
      <c r="Z27" s="257"/>
      <c r="AA27" s="258"/>
      <c r="AB27" s="258"/>
      <c r="AC27" s="258"/>
      <c r="AD27" s="259"/>
      <c r="AE27" s="258"/>
      <c r="AF27" s="142"/>
      <c r="AG27" s="496" t="s">
        <v>32</v>
      </c>
      <c r="AH27" s="35"/>
      <c r="AI27" s="35"/>
      <c r="AJ27" s="285"/>
      <c r="AL27" s="35"/>
      <c r="AM27" s="285"/>
      <c r="AN27" s="35"/>
      <c r="AO27" s="35"/>
      <c r="AP27" s="26"/>
      <c r="AQ27" s="493"/>
      <c r="AR27" s="494"/>
      <c r="AS27" s="494"/>
      <c r="AT27" s="494"/>
      <c r="AU27" s="495"/>
      <c r="AV27" s="38"/>
      <c r="AW27" s="26"/>
      <c r="AX27" s="499"/>
      <c r="AY27" s="286"/>
      <c r="AZ27" s="33"/>
      <c r="BA27" s="46"/>
      <c r="BB27" s="78"/>
      <c r="BC27" s="34"/>
      <c r="BD27" s="35"/>
      <c r="BE27" s="35"/>
      <c r="BF27" s="35"/>
      <c r="BG27" s="35"/>
    </row>
    <row r="28" spans="1:59" ht="13.5" customHeight="1">
      <c r="A28" s="22"/>
      <c r="B28" s="45"/>
      <c r="C28" s="282" t="s">
        <v>266</v>
      </c>
      <c r="D28" s="28"/>
      <c r="E28" s="28"/>
      <c r="F28" s="28"/>
      <c r="H28" s="58"/>
      <c r="I28" s="59"/>
      <c r="J28" s="59"/>
      <c r="K28" s="59"/>
      <c r="L28" s="60"/>
      <c r="M28" s="59"/>
      <c r="N28" s="61"/>
      <c r="O28" s="61"/>
      <c r="P28" s="70"/>
      <c r="Q28" s="64"/>
      <c r="R28" s="28"/>
      <c r="S28" s="35"/>
      <c r="T28" s="28" t="s">
        <v>267</v>
      </c>
      <c r="U28" s="28"/>
      <c r="V28" s="28"/>
      <c r="W28" s="28"/>
      <c r="Y28" s="58"/>
      <c r="Z28" s="59"/>
      <c r="AA28" s="59"/>
      <c r="AB28" s="59"/>
      <c r="AC28" s="60"/>
      <c r="AD28" s="59"/>
      <c r="AE28" s="61"/>
      <c r="AF28" s="61"/>
      <c r="AG28" s="70"/>
      <c r="AH28" s="28"/>
      <c r="AI28" s="28"/>
      <c r="AJ28" s="28" t="s">
        <v>268</v>
      </c>
      <c r="AK28" s="28"/>
      <c r="AL28" s="28"/>
      <c r="AM28" s="28"/>
      <c r="AN28" s="28"/>
      <c r="AO28" s="35"/>
      <c r="AP28" s="58"/>
      <c r="AQ28" s="59"/>
      <c r="AR28" s="59"/>
      <c r="AS28" s="59"/>
      <c r="AT28" s="60"/>
      <c r="AU28" s="59"/>
      <c r="AV28" s="61"/>
      <c r="AW28" s="61"/>
      <c r="AX28" s="498"/>
      <c r="AY28" s="283"/>
      <c r="AZ28" s="33"/>
      <c r="BA28" s="46"/>
      <c r="BB28" s="78"/>
      <c r="BC28" s="34"/>
      <c r="BD28" s="28"/>
      <c r="BE28" s="35"/>
      <c r="BF28" s="35"/>
      <c r="BG28" s="35"/>
    </row>
    <row r="29" spans="1:59" ht="13.5" customHeight="1">
      <c r="A29" s="22"/>
      <c r="B29" s="45"/>
      <c r="C29" s="282" t="s">
        <v>117</v>
      </c>
      <c r="D29" s="28"/>
      <c r="E29" s="28"/>
      <c r="F29" s="28"/>
      <c r="H29" s="58"/>
      <c r="I29" s="59"/>
      <c r="J29" s="59"/>
      <c r="K29" s="59"/>
      <c r="L29" s="60"/>
      <c r="M29" s="59"/>
      <c r="N29" s="61"/>
      <c r="O29" s="61"/>
      <c r="P29" s="260" t="s">
        <v>32</v>
      </c>
      <c r="Q29" s="64"/>
      <c r="R29" s="28"/>
      <c r="S29" s="35"/>
      <c r="T29" s="26" t="s">
        <v>269</v>
      </c>
      <c r="U29" s="28"/>
      <c r="V29" s="28"/>
      <c r="W29" s="28"/>
      <c r="Y29" s="58"/>
      <c r="Z29" s="59"/>
      <c r="AA29" s="59"/>
      <c r="AB29" s="59"/>
      <c r="AC29" s="60"/>
      <c r="AD29" s="59"/>
      <c r="AE29" s="61"/>
      <c r="AF29" s="61"/>
      <c r="AG29" s="70"/>
      <c r="AH29" s="28"/>
      <c r="AI29" s="28"/>
      <c r="AJ29" s="28" t="s">
        <v>270</v>
      </c>
      <c r="AK29" s="28"/>
      <c r="AL29" s="28"/>
      <c r="AM29" s="28"/>
      <c r="AN29" s="28"/>
      <c r="AO29" s="35"/>
      <c r="AP29" s="58"/>
      <c r="AQ29" s="59"/>
      <c r="AR29" s="59"/>
      <c r="AS29" s="59"/>
      <c r="AT29" s="60"/>
      <c r="AU29" s="59"/>
      <c r="AV29" s="70"/>
      <c r="AW29" s="94" t="s">
        <v>264</v>
      </c>
      <c r="AX29" s="35"/>
      <c r="AY29" s="283"/>
      <c r="AZ29" s="33"/>
      <c r="BA29" s="46"/>
      <c r="BB29" s="78"/>
      <c r="BC29" s="34"/>
      <c r="BD29" s="28"/>
      <c r="BE29" s="35"/>
      <c r="BF29" s="35"/>
      <c r="BG29" s="35"/>
    </row>
    <row r="30" spans="1:59" ht="13.5" customHeight="1">
      <c r="A30" s="22"/>
      <c r="B30" s="32"/>
      <c r="C30" s="287" t="s">
        <v>123</v>
      </c>
      <c r="D30" s="41"/>
      <c r="E30" s="41"/>
      <c r="F30" s="41"/>
      <c r="G30" s="41"/>
      <c r="H30" s="163"/>
      <c r="I30" s="164"/>
      <c r="J30" s="165"/>
      <c r="K30" s="164"/>
      <c r="L30" s="165"/>
      <c r="M30" s="164"/>
      <c r="N30" s="166"/>
      <c r="O30" s="164"/>
      <c r="P30" s="165"/>
      <c r="Q30" s="165"/>
      <c r="R30" s="165"/>
      <c r="S30" s="167"/>
      <c r="T30" s="167"/>
      <c r="U30" s="167"/>
      <c r="V30" s="167"/>
      <c r="W30" s="167"/>
      <c r="X30" s="166"/>
      <c r="Y30" s="167"/>
      <c r="Z30" s="165"/>
      <c r="AA30" s="166"/>
      <c r="AB30" s="167"/>
      <c r="AC30" s="165"/>
      <c r="AD30" s="166"/>
      <c r="AE30" s="165"/>
      <c r="AF30" s="165"/>
      <c r="AG30" s="166"/>
      <c r="AH30" s="165"/>
      <c r="AI30" s="165"/>
      <c r="AJ30" s="168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0" t="s">
        <v>36</v>
      </c>
      <c r="AY30" s="283"/>
      <c r="AZ30" s="33"/>
      <c r="BA30" s="46"/>
      <c r="BB30" s="78"/>
      <c r="BC30" s="34"/>
      <c r="BD30" s="28"/>
      <c r="BE30" s="35"/>
      <c r="BF30" s="35"/>
      <c r="BG30" s="35"/>
    </row>
    <row r="31" spans="1:59" ht="13.5" customHeight="1">
      <c r="A31" s="22"/>
      <c r="B31" s="32"/>
      <c r="C31" s="287"/>
      <c r="D31" s="41"/>
      <c r="E31" s="41"/>
      <c r="F31" s="41"/>
      <c r="G31" s="41"/>
      <c r="H31" s="169"/>
      <c r="I31" s="170"/>
      <c r="J31" s="171"/>
      <c r="K31" s="170"/>
      <c r="L31" s="171"/>
      <c r="M31" s="170"/>
      <c r="N31" s="172"/>
      <c r="O31" s="170"/>
      <c r="P31" s="171"/>
      <c r="Q31" s="171"/>
      <c r="R31" s="171"/>
      <c r="S31" s="173"/>
      <c r="T31" s="173"/>
      <c r="U31" s="173"/>
      <c r="V31" s="173"/>
      <c r="W31" s="173"/>
      <c r="X31" s="172"/>
      <c r="Y31" s="173"/>
      <c r="Z31" s="171"/>
      <c r="AA31" s="172"/>
      <c r="AB31" s="173"/>
      <c r="AC31" s="171"/>
      <c r="AD31" s="172"/>
      <c r="AE31" s="171"/>
      <c r="AF31" s="171"/>
      <c r="AG31" s="172"/>
      <c r="AH31" s="171"/>
      <c r="AI31" s="171"/>
      <c r="AJ31" s="174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22" t="s">
        <v>32</v>
      </c>
      <c r="AY31" s="283"/>
      <c r="AZ31" s="33"/>
      <c r="BA31" s="46"/>
      <c r="BB31" s="78"/>
      <c r="BC31" s="34"/>
      <c r="BD31" s="28"/>
      <c r="BE31" s="35"/>
      <c r="BF31" s="35"/>
      <c r="BG31" s="35"/>
    </row>
    <row r="32" spans="1:59" ht="13.5" customHeight="1">
      <c r="A32" s="22"/>
      <c r="B32" s="32"/>
      <c r="C32" s="287" t="s">
        <v>125</v>
      </c>
      <c r="D32" s="41"/>
      <c r="E32" s="41"/>
      <c r="F32" s="41"/>
      <c r="G32" s="41"/>
      <c r="H32" s="163" t="s">
        <v>170</v>
      </c>
      <c r="I32" s="164"/>
      <c r="J32" s="165"/>
      <c r="K32" s="164"/>
      <c r="L32" s="165"/>
      <c r="M32" s="164"/>
      <c r="N32" s="166"/>
      <c r="O32" s="164"/>
      <c r="P32" s="165"/>
      <c r="Q32" s="165"/>
      <c r="R32" s="165"/>
      <c r="S32" s="167"/>
      <c r="T32" s="167"/>
      <c r="U32" s="167"/>
      <c r="V32" s="167"/>
      <c r="W32" s="167"/>
      <c r="X32" s="166"/>
      <c r="Y32" s="167"/>
      <c r="Z32" s="165"/>
      <c r="AA32" s="166"/>
      <c r="AB32" s="167"/>
      <c r="AC32" s="165"/>
      <c r="AD32" s="166"/>
      <c r="AE32" s="165"/>
      <c r="AF32" s="165"/>
      <c r="AG32" s="166"/>
      <c r="AH32" s="165"/>
      <c r="AI32" s="165"/>
      <c r="AJ32" s="168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0" t="s">
        <v>36</v>
      </c>
      <c r="AY32" s="283"/>
      <c r="AZ32" s="33"/>
      <c r="BA32" s="46"/>
      <c r="BB32" s="78"/>
      <c r="BC32" s="34"/>
      <c r="BD32" s="28"/>
      <c r="BE32" s="35"/>
      <c r="BF32" s="35"/>
      <c r="BG32" s="35"/>
    </row>
    <row r="33" spans="1:59" ht="13.5" customHeight="1">
      <c r="A33" s="22"/>
      <c r="B33" s="32"/>
      <c r="C33" s="287"/>
      <c r="D33" s="41"/>
      <c r="E33" s="41"/>
      <c r="F33" s="41"/>
      <c r="G33" s="41"/>
      <c r="H33" s="169"/>
      <c r="I33" s="170"/>
      <c r="J33" s="171"/>
      <c r="K33" s="170"/>
      <c r="L33" s="171"/>
      <c r="M33" s="170"/>
      <c r="N33" s="172"/>
      <c r="O33" s="170"/>
      <c r="P33" s="171"/>
      <c r="Q33" s="171"/>
      <c r="R33" s="171"/>
      <c r="S33" s="173"/>
      <c r="T33" s="173"/>
      <c r="U33" s="173"/>
      <c r="V33" s="173"/>
      <c r="W33" s="173"/>
      <c r="X33" s="172"/>
      <c r="Y33" s="173"/>
      <c r="Z33" s="171"/>
      <c r="AA33" s="172"/>
      <c r="AB33" s="173"/>
      <c r="AC33" s="171"/>
      <c r="AD33" s="172"/>
      <c r="AE33" s="171"/>
      <c r="AF33" s="171"/>
      <c r="AG33" s="172"/>
      <c r="AH33" s="171"/>
      <c r="AI33" s="171"/>
      <c r="AJ33" s="174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22" t="s">
        <v>32</v>
      </c>
      <c r="AY33" s="283"/>
      <c r="AZ33" s="33"/>
      <c r="BA33" s="46"/>
      <c r="BB33" s="78"/>
      <c r="BC33" s="34"/>
      <c r="BD33" s="28"/>
      <c r="BE33" s="35"/>
      <c r="BF33" s="35"/>
      <c r="BG33" s="35"/>
    </row>
    <row r="34" spans="1:59" ht="13.5" customHeight="1">
      <c r="A34" s="22"/>
      <c r="B34" s="32"/>
      <c r="C34" s="287" t="s">
        <v>126</v>
      </c>
      <c r="D34" s="41"/>
      <c r="E34" s="41"/>
      <c r="F34" s="41"/>
      <c r="G34" s="41"/>
      <c r="H34" s="163"/>
      <c r="I34" s="164"/>
      <c r="J34" s="165"/>
      <c r="K34" s="164"/>
      <c r="L34" s="165"/>
      <c r="M34" s="164"/>
      <c r="N34" s="166"/>
      <c r="O34" s="164"/>
      <c r="P34" s="165"/>
      <c r="Q34" s="165"/>
      <c r="R34" s="165"/>
      <c r="S34" s="167"/>
      <c r="T34" s="167"/>
      <c r="U34" s="167"/>
      <c r="V34" s="167"/>
      <c r="W34" s="167"/>
      <c r="X34" s="166"/>
      <c r="Y34" s="167"/>
      <c r="Z34" s="165"/>
      <c r="AA34" s="166"/>
      <c r="AB34" s="167"/>
      <c r="AC34" s="165"/>
      <c r="AD34" s="166"/>
      <c r="AE34" s="165"/>
      <c r="AF34" s="165"/>
      <c r="AG34" s="166"/>
      <c r="AH34" s="165"/>
      <c r="AI34" s="165"/>
      <c r="AJ34" s="168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0" t="s">
        <v>36</v>
      </c>
      <c r="AY34" s="283"/>
      <c r="AZ34" s="33"/>
      <c r="BA34" s="46"/>
      <c r="BB34" s="78"/>
      <c r="BC34" s="34"/>
      <c r="BD34" s="28"/>
      <c r="BE34" s="35"/>
      <c r="BF34" s="35"/>
      <c r="BG34" s="35"/>
    </row>
    <row r="35" spans="1:59" ht="13.5" customHeight="1">
      <c r="A35" s="22"/>
      <c r="B35" s="32"/>
      <c r="C35" s="287"/>
      <c r="D35" s="41"/>
      <c r="E35" s="41"/>
      <c r="F35" s="41"/>
      <c r="G35" s="41"/>
      <c r="H35" s="169"/>
      <c r="I35" s="170"/>
      <c r="J35" s="171"/>
      <c r="K35" s="170"/>
      <c r="L35" s="171"/>
      <c r="M35" s="170"/>
      <c r="N35" s="172"/>
      <c r="O35" s="170"/>
      <c r="P35" s="171"/>
      <c r="Q35" s="171"/>
      <c r="R35" s="171"/>
      <c r="S35" s="173"/>
      <c r="T35" s="173"/>
      <c r="U35" s="173"/>
      <c r="V35" s="173"/>
      <c r="W35" s="173"/>
      <c r="X35" s="172"/>
      <c r="Y35" s="173"/>
      <c r="Z35" s="171"/>
      <c r="AA35" s="172"/>
      <c r="AB35" s="173"/>
      <c r="AC35" s="171"/>
      <c r="AD35" s="172"/>
      <c r="AE35" s="171"/>
      <c r="AF35" s="171"/>
      <c r="AG35" s="172"/>
      <c r="AH35" s="171"/>
      <c r="AI35" s="171"/>
      <c r="AJ35" s="174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22" t="s">
        <v>32</v>
      </c>
      <c r="AY35" s="283"/>
      <c r="AZ35" s="33"/>
      <c r="BA35" s="46"/>
      <c r="BB35" s="78"/>
      <c r="BC35" s="34"/>
      <c r="BD35" s="28"/>
      <c r="BE35" s="35"/>
      <c r="BF35" s="35"/>
      <c r="BG35" s="35"/>
    </row>
    <row r="36" spans="1:59" ht="5.15" customHeight="1">
      <c r="A36" s="22"/>
      <c r="B36" s="32"/>
      <c r="C36" s="288"/>
      <c r="D36" s="289"/>
      <c r="E36" s="289"/>
      <c r="F36" s="289"/>
      <c r="G36" s="289"/>
      <c r="H36" s="290"/>
      <c r="I36" s="290"/>
      <c r="J36" s="291"/>
      <c r="K36" s="290"/>
      <c r="L36" s="291"/>
      <c r="M36" s="290"/>
      <c r="N36" s="292"/>
      <c r="O36" s="290"/>
      <c r="P36" s="291"/>
      <c r="Q36" s="291"/>
      <c r="R36" s="291"/>
      <c r="S36" s="293"/>
      <c r="T36" s="293"/>
      <c r="U36" s="293"/>
      <c r="V36" s="293"/>
      <c r="W36" s="293"/>
      <c r="X36" s="292"/>
      <c r="Y36" s="293"/>
      <c r="Z36" s="291"/>
      <c r="AA36" s="292"/>
      <c r="AB36" s="293"/>
      <c r="AC36" s="291"/>
      <c r="AD36" s="292"/>
      <c r="AE36" s="291"/>
      <c r="AF36" s="291"/>
      <c r="AG36" s="292"/>
      <c r="AH36" s="291"/>
      <c r="AI36" s="291"/>
      <c r="AJ36" s="294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291"/>
      <c r="AX36" s="276"/>
      <c r="AY36" s="295"/>
      <c r="AZ36" s="33"/>
      <c r="BA36" s="46"/>
      <c r="BB36" s="78"/>
      <c r="BC36" s="34"/>
      <c r="BD36" s="28"/>
      <c r="BE36" s="35"/>
      <c r="BF36" s="35"/>
      <c r="BG36" s="35"/>
    </row>
    <row r="37" spans="1:59" ht="13.5" customHeight="1">
      <c r="A37" s="22"/>
      <c r="B37" s="32"/>
      <c r="C37" s="41"/>
      <c r="D37" s="41"/>
      <c r="E37" s="41"/>
      <c r="F37" s="41"/>
      <c r="G37" s="41"/>
      <c r="H37" s="364"/>
      <c r="I37" s="364"/>
      <c r="J37" s="365"/>
      <c r="K37" s="364"/>
      <c r="L37" s="365"/>
      <c r="M37" s="364"/>
      <c r="N37" s="366"/>
      <c r="O37" s="364"/>
      <c r="P37" s="365"/>
      <c r="Q37" s="365"/>
      <c r="R37" s="365"/>
      <c r="S37" s="367"/>
      <c r="T37" s="367"/>
      <c r="U37" s="367"/>
      <c r="V37" s="367"/>
      <c r="W37" s="367"/>
      <c r="X37" s="366"/>
      <c r="Y37" s="367"/>
      <c r="Z37" s="365"/>
      <c r="AA37" s="366"/>
      <c r="AB37" s="367"/>
      <c r="AC37" s="365"/>
      <c r="AD37" s="366"/>
      <c r="AE37" s="365"/>
      <c r="AF37" s="365"/>
      <c r="AG37" s="366"/>
      <c r="AH37" s="365"/>
      <c r="AI37" s="365"/>
      <c r="AJ37" s="368"/>
      <c r="AK37" s="365"/>
      <c r="AL37" s="365"/>
      <c r="AM37" s="365"/>
      <c r="AN37" s="365"/>
      <c r="AO37" s="365"/>
      <c r="AP37" s="365"/>
      <c r="AQ37" s="365"/>
      <c r="AR37" s="365"/>
      <c r="AS37" s="365"/>
      <c r="AT37" s="365"/>
      <c r="AU37" s="365"/>
      <c r="AV37" s="365"/>
      <c r="AW37" s="365"/>
      <c r="AX37" s="280"/>
      <c r="AY37" s="63"/>
      <c r="AZ37" s="33"/>
      <c r="BA37" s="46"/>
      <c r="BB37" s="78"/>
      <c r="BC37" s="34"/>
      <c r="BD37" s="28"/>
      <c r="BE37" s="35"/>
      <c r="BF37" s="35"/>
      <c r="BG37" s="35"/>
    </row>
    <row r="38" spans="1:59" ht="13.5" customHeight="1">
      <c r="A38" s="22"/>
      <c r="B38" s="202">
        <v>5</v>
      </c>
      <c r="C38" s="204" t="s">
        <v>262</v>
      </c>
      <c r="D38" s="28"/>
      <c r="E38" s="28"/>
      <c r="F38" s="28"/>
      <c r="G38" s="28"/>
      <c r="H38" s="121"/>
      <c r="I38" s="62"/>
      <c r="J38" s="62"/>
      <c r="K38" s="63"/>
      <c r="L38" s="69"/>
      <c r="M38" s="69"/>
      <c r="N38" s="65"/>
      <c r="O38" s="69"/>
      <c r="P38" s="65"/>
      <c r="Q38" s="65"/>
      <c r="R38" s="69"/>
      <c r="S38" s="28"/>
      <c r="T38" s="28"/>
      <c r="U38" s="28"/>
      <c r="V38" s="28"/>
      <c r="W38" s="28"/>
      <c r="X38" s="121"/>
      <c r="Y38" s="62"/>
      <c r="Z38" s="63"/>
      <c r="AA38" s="62"/>
      <c r="AB38" s="63"/>
      <c r="AC38" s="69"/>
      <c r="AD38" s="69"/>
      <c r="AE38" s="65"/>
      <c r="AF38" s="69"/>
      <c r="AG38" s="65"/>
      <c r="AH38" s="69"/>
      <c r="AI38" s="64"/>
      <c r="AJ38" s="69"/>
      <c r="AK38" s="65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33"/>
      <c r="AW38" s="28"/>
      <c r="AX38" s="28"/>
      <c r="AY38" s="31"/>
      <c r="AZ38" s="33"/>
      <c r="BA38" s="46"/>
      <c r="BB38" s="159"/>
      <c r="BC38" s="115"/>
      <c r="BD38" s="28"/>
    </row>
    <row r="39" spans="1:59" ht="5.15" customHeight="1">
      <c r="A39" s="22"/>
      <c r="B39" s="202"/>
      <c r="C39" s="296"/>
      <c r="D39" s="72"/>
      <c r="E39" s="72"/>
      <c r="F39" s="72"/>
      <c r="G39" s="72"/>
      <c r="H39" s="297"/>
      <c r="I39" s="278"/>
      <c r="J39" s="278"/>
      <c r="K39" s="279"/>
      <c r="L39" s="298"/>
      <c r="M39" s="298"/>
      <c r="N39" s="263"/>
      <c r="O39" s="298"/>
      <c r="P39" s="263"/>
      <c r="Q39" s="263"/>
      <c r="R39" s="298"/>
      <c r="S39" s="72"/>
      <c r="T39" s="72"/>
      <c r="U39" s="72"/>
      <c r="V39" s="72"/>
      <c r="W39" s="72"/>
      <c r="X39" s="297"/>
      <c r="Y39" s="278"/>
      <c r="Z39" s="279"/>
      <c r="AA39" s="278"/>
      <c r="AB39" s="279"/>
      <c r="AC39" s="298"/>
      <c r="AD39" s="298"/>
      <c r="AE39" s="263"/>
      <c r="AF39" s="298"/>
      <c r="AG39" s="263"/>
      <c r="AH39" s="298"/>
      <c r="AI39" s="280"/>
      <c r="AJ39" s="298"/>
      <c r="AK39" s="263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300"/>
      <c r="AW39" s="72"/>
      <c r="AX39" s="72"/>
      <c r="AY39" s="265"/>
      <c r="AZ39" s="33"/>
      <c r="BA39" s="46"/>
      <c r="BB39" s="159"/>
      <c r="BC39" s="115"/>
      <c r="BD39" s="28"/>
    </row>
    <row r="40" spans="1:59" ht="13.9" customHeight="1">
      <c r="A40" s="22"/>
      <c r="B40" s="202"/>
      <c r="C40" s="501" t="s">
        <v>280</v>
      </c>
      <c r="D40" s="28"/>
      <c r="E40" s="28"/>
      <c r="F40" s="28"/>
      <c r="G40" s="86" t="s">
        <v>275</v>
      </c>
      <c r="H40" s="86"/>
      <c r="I40" s="86"/>
      <c r="J40" s="86"/>
      <c r="K40" s="86"/>
      <c r="L40" s="322"/>
      <c r="M40" s="75"/>
      <c r="N40" s="65"/>
      <c r="O40" s="69"/>
      <c r="P40" s="65"/>
      <c r="Q40" s="65"/>
      <c r="R40" s="69"/>
      <c r="S40" s="28"/>
      <c r="T40" s="28"/>
      <c r="U40" s="28"/>
      <c r="V40" s="28"/>
      <c r="W40" s="28"/>
      <c r="X40" s="121"/>
      <c r="Y40" s="62"/>
      <c r="Z40" s="63"/>
      <c r="AA40" s="62"/>
      <c r="AB40" s="63"/>
      <c r="AC40" s="69"/>
      <c r="AD40" s="69"/>
      <c r="AE40" s="65"/>
      <c r="AF40" s="69"/>
      <c r="AG40" s="65"/>
      <c r="AH40" s="69"/>
      <c r="AI40" s="64"/>
      <c r="AJ40" s="69"/>
      <c r="AK40" s="65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33"/>
      <c r="AW40" s="28"/>
      <c r="AX40" s="28"/>
      <c r="AY40" s="267"/>
      <c r="AZ40" s="33"/>
      <c r="BA40" s="46"/>
      <c r="BB40" s="159"/>
      <c r="BC40" s="115"/>
      <c r="BD40" s="28"/>
    </row>
    <row r="41" spans="1:59" ht="13.5" customHeight="1">
      <c r="A41" s="22"/>
      <c r="B41" s="202">
        <v>6</v>
      </c>
      <c r="C41" s="304" t="s">
        <v>31</v>
      </c>
      <c r="D41" s="205" t="s">
        <v>260</v>
      </c>
      <c r="E41" s="206"/>
      <c r="F41" s="206"/>
      <c r="G41" s="207"/>
      <c r="H41" s="208" t="s">
        <v>274</v>
      </c>
      <c r="I41" s="209"/>
      <c r="J41" s="209"/>
      <c r="K41" s="206"/>
      <c r="L41" s="207"/>
      <c r="M41" s="28"/>
      <c r="N41" s="28"/>
      <c r="O41" s="28"/>
      <c r="P41" s="28"/>
      <c r="Q41" s="28"/>
      <c r="R41" s="28"/>
      <c r="S41" s="35"/>
      <c r="T41" s="35"/>
      <c r="U41" s="35"/>
      <c r="V41" s="35"/>
      <c r="Y41" s="35"/>
      <c r="Z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11"/>
      <c r="AZ41" s="33"/>
      <c r="BA41" s="46"/>
      <c r="BB41" s="159"/>
      <c r="BC41" s="115"/>
      <c r="BD41" s="35"/>
      <c r="BE41" s="35"/>
      <c r="BF41" s="35"/>
      <c r="BG41" s="35"/>
    </row>
    <row r="42" spans="1:59" ht="13.5" customHeight="1">
      <c r="A42" s="22"/>
      <c r="B42" s="202">
        <v>8</v>
      </c>
      <c r="C42" s="308">
        <v>1</v>
      </c>
      <c r="D42" s="148" t="s">
        <v>147</v>
      </c>
      <c r="E42" s="149"/>
      <c r="F42" s="149"/>
      <c r="G42" s="151"/>
      <c r="H42" s="1019">
        <v>110</v>
      </c>
      <c r="I42" s="989"/>
      <c r="J42" s="989"/>
      <c r="K42" s="989"/>
      <c r="L42" s="990"/>
      <c r="M42" s="28"/>
      <c r="N42" s="28"/>
      <c r="O42" s="28"/>
      <c r="P42" s="28"/>
      <c r="Q42" s="28"/>
      <c r="R42" s="28"/>
      <c r="S42" s="35"/>
      <c r="T42" s="35"/>
      <c r="U42" s="35"/>
      <c r="V42" s="35"/>
      <c r="Y42" s="35"/>
      <c r="Z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11"/>
      <c r="AZ42" s="33"/>
      <c r="BA42" s="46"/>
      <c r="BB42" s="159"/>
      <c r="BC42" s="115"/>
      <c r="BD42" s="35"/>
      <c r="BE42" s="35"/>
      <c r="BF42" s="35"/>
      <c r="BG42" s="35"/>
    </row>
    <row r="43" spans="1:59" ht="13.5" customHeight="1">
      <c r="A43" s="22"/>
      <c r="B43" s="202">
        <v>9</v>
      </c>
      <c r="C43" s="308">
        <v>2</v>
      </c>
      <c r="D43" s="148" t="s">
        <v>261</v>
      </c>
      <c r="E43" s="149"/>
      <c r="F43" s="149"/>
      <c r="G43" s="151"/>
      <c r="H43" s="1019">
        <v>125</v>
      </c>
      <c r="I43" s="989"/>
      <c r="J43" s="989"/>
      <c r="K43" s="989"/>
      <c r="L43" s="990"/>
      <c r="M43" s="28"/>
      <c r="N43" s="28"/>
      <c r="O43" s="28"/>
      <c r="P43" s="28"/>
      <c r="Q43" s="28"/>
      <c r="R43" s="28"/>
      <c r="S43" s="35"/>
      <c r="T43" s="35"/>
      <c r="U43" s="35"/>
      <c r="V43" s="35"/>
      <c r="Y43" s="35"/>
      <c r="Z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11"/>
      <c r="AZ43" s="33"/>
      <c r="BA43" s="46"/>
      <c r="BB43" s="159"/>
      <c r="BC43" s="115"/>
      <c r="BD43" s="35"/>
      <c r="BE43" s="35"/>
      <c r="BF43" s="35"/>
      <c r="BG43" s="35"/>
    </row>
    <row r="44" spans="1:59" ht="5.15" customHeight="1">
      <c r="A44" s="22"/>
      <c r="B44" s="202"/>
      <c r="C44" s="315"/>
      <c r="D44" s="73"/>
      <c r="E44" s="73"/>
      <c r="F44" s="73"/>
      <c r="G44" s="73"/>
      <c r="H44" s="316"/>
      <c r="I44" s="275"/>
      <c r="J44" s="275"/>
      <c r="K44" s="273"/>
      <c r="L44" s="317"/>
      <c r="M44" s="317"/>
      <c r="N44" s="270"/>
      <c r="O44" s="317"/>
      <c r="P44" s="270"/>
      <c r="Q44" s="270"/>
      <c r="R44" s="317"/>
      <c r="S44" s="73"/>
      <c r="T44" s="73"/>
      <c r="U44" s="73"/>
      <c r="V44" s="73"/>
      <c r="W44" s="73"/>
      <c r="X44" s="316"/>
      <c r="Y44" s="275"/>
      <c r="Z44" s="273"/>
      <c r="AA44" s="275"/>
      <c r="AB44" s="273"/>
      <c r="AC44" s="317"/>
      <c r="AD44" s="317"/>
      <c r="AE44" s="270"/>
      <c r="AF44" s="317"/>
      <c r="AG44" s="270"/>
      <c r="AH44" s="317"/>
      <c r="AI44" s="276"/>
      <c r="AJ44" s="317"/>
      <c r="AK44" s="270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318"/>
      <c r="AW44" s="73"/>
      <c r="AX44" s="73"/>
      <c r="AY44" s="277"/>
      <c r="AZ44" s="33"/>
      <c r="BA44" s="46"/>
      <c r="BB44" s="159"/>
      <c r="BC44" s="115"/>
      <c r="BD44" s="28"/>
    </row>
    <row r="45" spans="1:59" ht="13.5" customHeight="1">
      <c r="A45" s="22"/>
      <c r="B45" s="202">
        <v>10</v>
      </c>
      <c r="C45" s="492"/>
      <c r="D45" s="65"/>
      <c r="E45" s="65"/>
      <c r="F45" s="65"/>
      <c r="G45" s="65"/>
      <c r="H45" s="65"/>
      <c r="I45" s="65"/>
      <c r="J45" s="65"/>
      <c r="K45" s="65"/>
      <c r="L45" s="65"/>
      <c r="M45" s="62"/>
      <c r="N45" s="63"/>
      <c r="O45" s="65"/>
      <c r="P45" s="65"/>
      <c r="Q45" s="64"/>
      <c r="R45" s="63"/>
      <c r="S45" s="190"/>
      <c r="T45" s="190"/>
      <c r="U45" s="191"/>
      <c r="V45" s="192"/>
      <c r="W45" s="190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33"/>
      <c r="BA45" s="46"/>
      <c r="BB45" s="159"/>
      <c r="BC45" s="115"/>
      <c r="BD45" s="28"/>
    </row>
    <row r="46" spans="1:59" ht="13.5" customHeight="1">
      <c r="A46" s="22"/>
      <c r="B46" s="202">
        <v>5</v>
      </c>
      <c r="C46" s="204" t="s">
        <v>62</v>
      </c>
      <c r="D46" s="28"/>
      <c r="E46" s="28"/>
      <c r="F46" s="28"/>
      <c r="G46" s="28"/>
      <c r="H46" s="121"/>
      <c r="I46" s="62"/>
      <c r="J46" s="63"/>
      <c r="K46" s="62"/>
      <c r="L46" s="63"/>
      <c r="M46" s="69"/>
      <c r="N46" s="69"/>
      <c r="O46" s="65"/>
      <c r="P46" s="69"/>
      <c r="Q46" s="65"/>
      <c r="R46" s="69"/>
      <c r="S46" s="28"/>
      <c r="T46" s="28"/>
      <c r="U46" s="28"/>
      <c r="V46" s="28"/>
      <c r="W46" s="28"/>
      <c r="X46" s="121"/>
      <c r="Y46" s="62"/>
      <c r="Z46" s="63"/>
      <c r="AA46" s="62"/>
      <c r="AB46" s="63"/>
      <c r="AC46" s="69"/>
      <c r="AD46" s="69"/>
      <c r="AE46" s="65"/>
      <c r="AF46" s="69"/>
      <c r="AG46" s="65"/>
      <c r="AH46" s="69"/>
      <c r="AI46" s="64"/>
      <c r="AJ46" s="69"/>
      <c r="AK46" s="65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33"/>
      <c r="AW46" s="28"/>
      <c r="AX46" s="28"/>
      <c r="AY46" s="31"/>
      <c r="AZ46" s="33"/>
      <c r="BA46" s="46"/>
      <c r="BB46" s="159"/>
      <c r="BC46" s="115"/>
      <c r="BD46" s="28"/>
    </row>
    <row r="47" spans="1:59" ht="5.15" customHeight="1">
      <c r="A47" s="22"/>
      <c r="B47" s="202"/>
      <c r="C47" s="296"/>
      <c r="D47" s="72"/>
      <c r="E47" s="72"/>
      <c r="F47" s="72"/>
      <c r="G47" s="72"/>
      <c r="H47" s="297"/>
      <c r="I47" s="278"/>
      <c r="J47" s="279"/>
      <c r="K47" s="278"/>
      <c r="L47" s="279"/>
      <c r="M47" s="298"/>
      <c r="N47" s="298"/>
      <c r="O47" s="263"/>
      <c r="P47" s="298"/>
      <c r="Q47" s="263"/>
      <c r="R47" s="298"/>
      <c r="S47" s="72"/>
      <c r="T47" s="72"/>
      <c r="U47" s="72"/>
      <c r="V47" s="72"/>
      <c r="W47" s="72"/>
      <c r="X47" s="297"/>
      <c r="Y47" s="278"/>
      <c r="Z47" s="279"/>
      <c r="AA47" s="278"/>
      <c r="AB47" s="279"/>
      <c r="AC47" s="298"/>
      <c r="AD47" s="298"/>
      <c r="AE47" s="263"/>
      <c r="AF47" s="298"/>
      <c r="AG47" s="263"/>
      <c r="AH47" s="298"/>
      <c r="AI47" s="280"/>
      <c r="AJ47" s="298"/>
      <c r="AK47" s="263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300"/>
      <c r="AW47" s="72"/>
      <c r="AX47" s="72"/>
      <c r="AY47" s="264"/>
      <c r="AZ47" s="264"/>
      <c r="BA47" s="301"/>
      <c r="BB47" s="302"/>
      <c r="BC47" s="303"/>
      <c r="BD47" s="28"/>
    </row>
    <row r="48" spans="1:59" ht="13.5" customHeight="1">
      <c r="A48" s="22"/>
      <c r="B48" s="45"/>
      <c r="C48" s="266"/>
      <c r="D48" s="28" t="s">
        <v>286</v>
      </c>
      <c r="E48" s="28"/>
      <c r="F48" s="28"/>
      <c r="G48" s="28"/>
      <c r="H48" s="86" t="s">
        <v>127</v>
      </c>
      <c r="I48" s="86"/>
      <c r="J48" s="86"/>
      <c r="K48" s="86"/>
      <c r="L48" s="86"/>
      <c r="M48" s="322"/>
      <c r="N48" s="87"/>
      <c r="O48" s="88"/>
      <c r="P48" s="88"/>
      <c r="Q48" s="89"/>
      <c r="R48" s="87"/>
      <c r="S48" s="87"/>
      <c r="T48" s="87"/>
      <c r="U48" s="88"/>
      <c r="V48" s="89"/>
      <c r="W48" s="87"/>
      <c r="X48" s="65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65"/>
      <c r="AY48" s="31"/>
      <c r="AZ48" s="52"/>
      <c r="BA48" s="93"/>
      <c r="BB48" s="327"/>
      <c r="BC48" s="328"/>
      <c r="BD48" s="28"/>
      <c r="BE48" s="35"/>
      <c r="BF48" s="35"/>
      <c r="BG48" s="35"/>
    </row>
    <row r="49" spans="1:91" ht="13.5" customHeight="1">
      <c r="A49" s="22"/>
      <c r="B49" s="202">
        <v>6</v>
      </c>
      <c r="C49" s="304" t="s">
        <v>31</v>
      </c>
      <c r="D49" s="205" t="s">
        <v>63</v>
      </c>
      <c r="E49" s="206"/>
      <c r="F49" s="206"/>
      <c r="G49" s="207"/>
      <c r="H49" s="208" t="s">
        <v>72</v>
      </c>
      <c r="I49" s="209"/>
      <c r="J49" s="209"/>
      <c r="K49" s="209"/>
      <c r="L49" s="206"/>
      <c r="M49" s="207"/>
      <c r="N49" s="205" t="s">
        <v>73</v>
      </c>
      <c r="O49" s="206"/>
      <c r="P49" s="206"/>
      <c r="Q49" s="207"/>
      <c r="R49" s="205" t="s">
        <v>74</v>
      </c>
      <c r="S49" s="206"/>
      <c r="T49" s="206"/>
      <c r="U49" s="206"/>
      <c r="V49" s="210" t="s">
        <v>290</v>
      </c>
      <c r="W49" s="211"/>
      <c r="X49" s="211"/>
      <c r="Y49" s="212"/>
      <c r="Z49" s="210" t="s">
        <v>276</v>
      </c>
      <c r="AA49" s="211"/>
      <c r="AB49" s="211"/>
      <c r="AC49" s="211"/>
      <c r="AD49" s="212"/>
      <c r="AE49" s="210" t="s">
        <v>223</v>
      </c>
      <c r="AF49" s="211"/>
      <c r="AG49" s="211"/>
      <c r="AH49" s="211"/>
      <c r="AI49" s="212"/>
      <c r="AJ49" s="210" t="s">
        <v>291</v>
      </c>
      <c r="AK49" s="211"/>
      <c r="AL49" s="211"/>
      <c r="AM49" s="212"/>
      <c r="AN49" s="210" t="s">
        <v>161</v>
      </c>
      <c r="AO49" s="211"/>
      <c r="AP49" s="211"/>
      <c r="AQ49" s="212"/>
      <c r="AR49" s="211" t="s">
        <v>151</v>
      </c>
      <c r="AS49" s="211"/>
      <c r="AT49" s="211"/>
      <c r="AU49" s="212"/>
      <c r="AV49" s="211" t="s">
        <v>196</v>
      </c>
      <c r="AW49" s="211"/>
      <c r="AX49" s="211"/>
      <c r="AY49" s="212"/>
      <c r="AZ49" s="210" t="s">
        <v>198</v>
      </c>
      <c r="BA49" s="211"/>
      <c r="BB49" s="211"/>
      <c r="BC49" s="212"/>
      <c r="BD49" s="210" t="s">
        <v>82</v>
      </c>
      <c r="BE49" s="211"/>
      <c r="BF49" s="211"/>
      <c r="BG49" s="212"/>
      <c r="BH49" s="210" t="s">
        <v>41</v>
      </c>
      <c r="BI49" s="211"/>
      <c r="BJ49" s="211"/>
      <c r="BK49" s="212"/>
      <c r="BL49" s="211" t="s">
        <v>155</v>
      </c>
      <c r="BM49" s="211"/>
      <c r="BN49" s="212"/>
      <c r="BO49" s="305" t="s">
        <v>85</v>
      </c>
      <c r="BP49" s="211"/>
      <c r="BQ49" s="211"/>
      <c r="BR49" s="212"/>
      <c r="BS49" s="211" t="s">
        <v>68</v>
      </c>
      <c r="BT49" s="211"/>
      <c r="BU49" s="211"/>
      <c r="BV49" s="212"/>
      <c r="BW49" s="28"/>
      <c r="BX49" s="28"/>
      <c r="BY49" s="28"/>
      <c r="BZ49" s="28"/>
      <c r="CA49" s="28"/>
    </row>
    <row r="50" spans="1:91" ht="13.5" customHeight="1">
      <c r="A50" s="22"/>
      <c r="B50" s="202">
        <v>7</v>
      </c>
      <c r="C50" s="306"/>
      <c r="D50" s="213" t="s">
        <v>29</v>
      </c>
      <c r="E50" s="216"/>
      <c r="F50" s="214"/>
      <c r="G50" s="215"/>
      <c r="H50" s="213" t="s">
        <v>29</v>
      </c>
      <c r="I50" s="216"/>
      <c r="J50" s="216"/>
      <c r="K50" s="216"/>
      <c r="L50" s="214"/>
      <c r="M50" s="215"/>
      <c r="N50" s="213" t="s">
        <v>29</v>
      </c>
      <c r="O50" s="214"/>
      <c r="P50" s="214"/>
      <c r="Q50" s="215"/>
      <c r="R50" s="213" t="s">
        <v>29</v>
      </c>
      <c r="S50" s="216"/>
      <c r="T50" s="214"/>
      <c r="U50" s="214"/>
      <c r="V50" s="217" t="s">
        <v>42</v>
      </c>
      <c r="W50" s="218"/>
      <c r="X50" s="219"/>
      <c r="Y50" s="220"/>
      <c r="Z50" s="217" t="s">
        <v>29</v>
      </c>
      <c r="AA50" s="218"/>
      <c r="AB50" s="218"/>
      <c r="AC50" s="219"/>
      <c r="AD50" s="220"/>
      <c r="AE50" s="217" t="s">
        <v>29</v>
      </c>
      <c r="AF50" s="218"/>
      <c r="AG50" s="218"/>
      <c r="AH50" s="219"/>
      <c r="AI50" s="220"/>
      <c r="AJ50" s="217" t="s">
        <v>42</v>
      </c>
      <c r="AK50" s="218"/>
      <c r="AL50" s="219"/>
      <c r="AM50" s="220"/>
      <c r="AN50" s="217" t="s">
        <v>29</v>
      </c>
      <c r="AO50" s="218"/>
      <c r="AP50" s="219"/>
      <c r="AQ50" s="220"/>
      <c r="AR50" s="218" t="s">
        <v>42</v>
      </c>
      <c r="AS50" s="218"/>
      <c r="AT50" s="219"/>
      <c r="AU50" s="220"/>
      <c r="AV50" s="218" t="s">
        <v>197</v>
      </c>
      <c r="AW50" s="218"/>
      <c r="AX50" s="219"/>
      <c r="AY50" s="220"/>
      <c r="AZ50" s="217" t="s">
        <v>154</v>
      </c>
      <c r="BA50" s="218"/>
      <c r="BB50" s="219"/>
      <c r="BC50" s="220"/>
      <c r="BD50" s="217" t="s">
        <v>154</v>
      </c>
      <c r="BE50" s="218"/>
      <c r="BF50" s="219"/>
      <c r="BG50" s="220"/>
      <c r="BH50" s="217" t="s">
        <v>199</v>
      </c>
      <c r="BI50" s="218"/>
      <c r="BJ50" s="219"/>
      <c r="BK50" s="220"/>
      <c r="BL50" s="218" t="s">
        <v>200</v>
      </c>
      <c r="BM50" s="218"/>
      <c r="BN50" s="220"/>
      <c r="BO50" s="307" t="s">
        <v>42</v>
      </c>
      <c r="BP50" s="218"/>
      <c r="BQ50" s="219"/>
      <c r="BR50" s="220"/>
      <c r="BS50" s="218" t="s">
        <v>42</v>
      </c>
      <c r="BT50" s="218"/>
      <c r="BU50" s="219"/>
      <c r="BV50" s="220"/>
      <c r="BW50" s="28"/>
      <c r="BX50" s="28"/>
      <c r="BY50" s="28"/>
      <c r="BZ50" s="28"/>
      <c r="CA50" s="28"/>
    </row>
    <row r="51" spans="1:91" ht="13.5" customHeight="1">
      <c r="A51" s="22"/>
      <c r="B51" s="202">
        <v>8</v>
      </c>
      <c r="C51" s="308">
        <v>1</v>
      </c>
      <c r="D51" s="148" t="s">
        <v>224</v>
      </c>
      <c r="E51" s="149"/>
      <c r="F51" s="149"/>
      <c r="G51" s="151"/>
      <c r="H51" s="242" t="s">
        <v>226</v>
      </c>
      <c r="I51" s="150"/>
      <c r="J51" s="150"/>
      <c r="K51" s="150"/>
      <c r="L51" s="161"/>
      <c r="M51" s="162"/>
      <c r="N51" s="242" t="s">
        <v>228</v>
      </c>
      <c r="O51" s="150"/>
      <c r="P51" s="150"/>
      <c r="Q51" s="99" t="s">
        <v>32</v>
      </c>
      <c r="R51" s="999">
        <v>200</v>
      </c>
      <c r="S51" s="1000"/>
      <c r="T51" s="1000"/>
      <c r="U51" s="1001"/>
      <c r="V51" s="148" t="s">
        <v>206</v>
      </c>
      <c r="W51" s="150"/>
      <c r="X51" s="150"/>
      <c r="Y51" s="99" t="s">
        <v>32</v>
      </c>
      <c r="Z51" s="988">
        <v>34690.32</v>
      </c>
      <c r="AA51" s="997"/>
      <c r="AB51" s="997"/>
      <c r="AC51" s="997"/>
      <c r="AD51" s="998"/>
      <c r="AE51" s="988">
        <v>46831.94</v>
      </c>
      <c r="AF51" s="997"/>
      <c r="AG51" s="997"/>
      <c r="AH51" s="997"/>
      <c r="AI51" s="998"/>
      <c r="AJ51" s="148" t="s">
        <v>147</v>
      </c>
      <c r="AK51" s="150"/>
      <c r="AL51" s="150"/>
      <c r="AM51" s="99" t="s">
        <v>32</v>
      </c>
      <c r="AN51" s="1013">
        <v>547.11950000000002</v>
      </c>
      <c r="AO51" s="1014"/>
      <c r="AP51" s="1014"/>
      <c r="AQ51" s="1015"/>
      <c r="AR51" s="1013">
        <v>560</v>
      </c>
      <c r="AS51" s="1014"/>
      <c r="AT51" s="1014"/>
      <c r="AU51" s="1015"/>
      <c r="AV51" s="1016">
        <v>4.4999999999999998E-2</v>
      </c>
      <c r="AW51" s="1017"/>
      <c r="AX51" s="1017"/>
      <c r="AY51" s="1018"/>
      <c r="AZ51" s="1013">
        <v>674</v>
      </c>
      <c r="BA51" s="1014"/>
      <c r="BB51" s="1014"/>
      <c r="BC51" s="1015"/>
      <c r="BD51" s="1013"/>
      <c r="BE51" s="1014"/>
      <c r="BF51" s="1014"/>
      <c r="BG51" s="1015"/>
      <c r="BH51" s="1013"/>
      <c r="BI51" s="1014"/>
      <c r="BJ51" s="1014"/>
      <c r="BK51" s="1015"/>
      <c r="BL51" s="1029"/>
      <c r="BM51" s="1030"/>
      <c r="BN51" s="1031"/>
      <c r="BO51" s="242"/>
      <c r="BP51" s="150"/>
      <c r="BQ51" s="150"/>
      <c r="BR51" s="152"/>
      <c r="BS51" s="149" t="s">
        <v>29</v>
      </c>
      <c r="BT51" s="150"/>
      <c r="BU51" s="150"/>
      <c r="BV51" s="152"/>
      <c r="BW51" s="28"/>
      <c r="BX51" s="28"/>
      <c r="BY51" s="28"/>
      <c r="BZ51" s="28"/>
      <c r="CA51" s="28"/>
    </row>
    <row r="52" spans="1:91" ht="13.5" customHeight="1">
      <c r="A52" s="22"/>
      <c r="B52" s="202">
        <v>9</v>
      </c>
      <c r="C52" s="308">
        <v>2</v>
      </c>
      <c r="D52" s="148" t="s">
        <v>225</v>
      </c>
      <c r="E52" s="149"/>
      <c r="F52" s="149"/>
      <c r="G52" s="151"/>
      <c r="H52" s="242" t="s">
        <v>227</v>
      </c>
      <c r="I52" s="150"/>
      <c r="J52" s="150"/>
      <c r="K52" s="150"/>
      <c r="L52" s="161"/>
      <c r="M52" s="162"/>
      <c r="N52" s="242" t="s">
        <v>228</v>
      </c>
      <c r="O52" s="150"/>
      <c r="P52" s="150"/>
      <c r="Q52" s="99" t="s">
        <v>32</v>
      </c>
      <c r="R52" s="999">
        <v>200</v>
      </c>
      <c r="S52" s="1000"/>
      <c r="T52" s="1000"/>
      <c r="U52" s="1001"/>
      <c r="V52" s="148" t="s">
        <v>206</v>
      </c>
      <c r="W52" s="150"/>
      <c r="X52" s="150"/>
      <c r="Y52" s="99" t="s">
        <v>32</v>
      </c>
      <c r="Z52" s="988">
        <v>11230.49</v>
      </c>
      <c r="AA52" s="997"/>
      <c r="AB52" s="997"/>
      <c r="AC52" s="997"/>
      <c r="AD52" s="998"/>
      <c r="AE52" s="988">
        <v>15161.17</v>
      </c>
      <c r="AF52" s="997"/>
      <c r="AG52" s="997"/>
      <c r="AH52" s="997"/>
      <c r="AI52" s="998"/>
      <c r="AJ52" s="148" t="s">
        <v>147</v>
      </c>
      <c r="AK52" s="150"/>
      <c r="AL52" s="150"/>
      <c r="AM52" s="99" t="s">
        <v>32</v>
      </c>
      <c r="AN52" s="1013">
        <v>177.12389999999999</v>
      </c>
      <c r="AO52" s="1014"/>
      <c r="AP52" s="1014"/>
      <c r="AQ52" s="1015"/>
      <c r="AR52" s="1013">
        <v>180</v>
      </c>
      <c r="AS52" s="1014"/>
      <c r="AT52" s="1014"/>
      <c r="AU52" s="1015"/>
      <c r="AV52" s="1016">
        <v>4.4999999999999998E-2</v>
      </c>
      <c r="AW52" s="1017"/>
      <c r="AX52" s="1017"/>
      <c r="AY52" s="1018"/>
      <c r="AZ52" s="1013">
        <v>218.2</v>
      </c>
      <c r="BA52" s="1014"/>
      <c r="BB52" s="1014"/>
      <c r="BC52" s="1015"/>
      <c r="BD52" s="1013"/>
      <c r="BE52" s="1014"/>
      <c r="BF52" s="1014"/>
      <c r="BG52" s="1015"/>
      <c r="BH52" s="1013"/>
      <c r="BI52" s="1014"/>
      <c r="BJ52" s="1014"/>
      <c r="BK52" s="1015"/>
      <c r="BL52" s="1029"/>
      <c r="BM52" s="1030"/>
      <c r="BN52" s="1031"/>
      <c r="BO52" s="242"/>
      <c r="BP52" s="150"/>
      <c r="BQ52" s="150"/>
      <c r="BR52" s="152"/>
      <c r="BS52" s="149" t="s">
        <v>29</v>
      </c>
      <c r="BT52" s="150"/>
      <c r="BU52" s="150"/>
      <c r="BV52" s="152"/>
      <c r="BW52" s="28"/>
      <c r="BX52" s="28"/>
      <c r="BY52" s="28"/>
      <c r="BZ52" s="28"/>
      <c r="CA52" s="28"/>
    </row>
    <row r="53" spans="1:91" ht="13.5" customHeight="1">
      <c r="A53" s="22"/>
      <c r="B53" s="202">
        <v>10</v>
      </c>
      <c r="C53" s="310"/>
      <c r="D53" s="65"/>
      <c r="E53" s="65"/>
      <c r="F53" s="65"/>
      <c r="G53" s="65"/>
      <c r="H53" s="65"/>
      <c r="I53" s="65"/>
      <c r="J53" s="65"/>
      <c r="K53" s="65"/>
      <c r="L53" s="65"/>
      <c r="M53" s="62"/>
      <c r="N53" s="63"/>
      <c r="O53" s="65"/>
      <c r="P53" s="65"/>
      <c r="Q53" s="64"/>
      <c r="R53" s="63"/>
      <c r="S53" s="190"/>
      <c r="T53" s="190"/>
      <c r="U53" s="191"/>
      <c r="V53" s="192"/>
      <c r="W53" s="190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31"/>
      <c r="BA53" s="35"/>
      <c r="BB53" s="35"/>
      <c r="BC53" s="311"/>
      <c r="BD53" s="28"/>
    </row>
    <row r="54" spans="1:91" ht="13.5" customHeight="1">
      <c r="A54" s="22"/>
      <c r="B54" s="202">
        <v>14</v>
      </c>
      <c r="C54" s="312"/>
      <c r="D54" s="65"/>
      <c r="E54" s="65"/>
      <c r="F54" s="65"/>
      <c r="G54" s="65"/>
      <c r="H54" s="65"/>
      <c r="I54" s="65"/>
      <c r="J54" s="65"/>
      <c r="K54" s="198"/>
      <c r="L54" s="65"/>
      <c r="M54" s="65"/>
      <c r="N54" s="65"/>
      <c r="O54" s="65"/>
      <c r="P54" s="65"/>
      <c r="Q54" s="198"/>
      <c r="R54" s="65"/>
      <c r="S54" s="65"/>
      <c r="T54" s="65"/>
      <c r="U54" s="198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125"/>
      <c r="AK54" s="112"/>
      <c r="AL54" s="62"/>
      <c r="AM54" s="63"/>
      <c r="AN54" s="63"/>
      <c r="AO54" s="63"/>
      <c r="AP54" s="63"/>
      <c r="AQ54" s="64"/>
      <c r="AR54" s="63"/>
      <c r="AS54" s="65"/>
      <c r="AT54" s="65"/>
      <c r="AU54" s="65"/>
      <c r="AV54" s="65"/>
      <c r="AW54" s="65"/>
      <c r="AX54" s="65"/>
      <c r="AY54" s="63"/>
      <c r="AZ54" s="31"/>
      <c r="BA54" s="35"/>
      <c r="BB54" s="35"/>
      <c r="BC54" s="311"/>
      <c r="BD54" s="28"/>
    </row>
    <row r="55" spans="1:91" ht="13.5" customHeight="1">
      <c r="A55" s="22"/>
      <c r="B55" s="202">
        <v>15</v>
      </c>
      <c r="C55" s="313" t="s">
        <v>70</v>
      </c>
      <c r="D55" s="223"/>
      <c r="E55" s="224"/>
      <c r="F55" s="223"/>
      <c r="G55" s="224"/>
      <c r="H55" s="225"/>
      <c r="I55" s="226"/>
      <c r="J55" s="227"/>
      <c r="K55" s="227"/>
      <c r="L55" s="227"/>
      <c r="M55" s="228"/>
      <c r="N55" s="227"/>
      <c r="O55" s="227"/>
      <c r="P55" s="227"/>
      <c r="Q55" s="229"/>
      <c r="R55" s="227"/>
      <c r="S55" s="227"/>
      <c r="T55" s="227"/>
      <c r="U55" s="227"/>
      <c r="V55" s="227"/>
      <c r="W55" s="229"/>
      <c r="X55" s="227"/>
      <c r="Y55" s="227"/>
      <c r="Z55" s="227"/>
      <c r="AA55" s="229"/>
      <c r="AB55" s="227"/>
      <c r="AC55" s="227"/>
      <c r="AD55" s="227"/>
      <c r="AE55" s="227"/>
      <c r="AF55" s="227"/>
      <c r="AG55" s="232"/>
      <c r="AH55" s="227"/>
      <c r="AI55" s="227"/>
      <c r="AJ55" s="227"/>
      <c r="AK55" s="227"/>
      <c r="AL55" s="227"/>
      <c r="AM55" s="227"/>
      <c r="AN55" s="227"/>
      <c r="AO55" s="227"/>
      <c r="AP55" s="227"/>
      <c r="AQ55" s="230"/>
      <c r="AR55" s="227"/>
      <c r="AS55" s="230"/>
      <c r="AT55" s="227"/>
      <c r="AU55" s="227"/>
      <c r="AV55" s="227"/>
      <c r="AW55" s="227"/>
      <c r="AX55" s="227"/>
      <c r="AY55" s="224"/>
      <c r="AZ55" s="224"/>
      <c r="BA55" s="231"/>
      <c r="BB55" s="231"/>
      <c r="BC55" s="314"/>
      <c r="BD55" s="28"/>
    </row>
    <row r="56" spans="1:91" ht="13.5" customHeight="1">
      <c r="A56" s="22"/>
      <c r="B56" s="202"/>
      <c r="C56" s="394"/>
      <c r="D56" s="62"/>
      <c r="E56" s="63"/>
      <c r="F56" s="62"/>
      <c r="G56" s="63"/>
      <c r="H56" s="398"/>
      <c r="I56" s="399"/>
      <c r="J56" s="74"/>
      <c r="K56" s="74"/>
      <c r="L56" s="74"/>
      <c r="M56" s="400"/>
      <c r="N56" s="74"/>
      <c r="O56" s="74"/>
      <c r="P56" s="74"/>
      <c r="Q56" s="401"/>
      <c r="R56" s="74"/>
      <c r="S56" s="74"/>
      <c r="T56" s="74"/>
      <c r="U56" s="74"/>
      <c r="V56" s="74"/>
      <c r="W56" s="401"/>
      <c r="X56" s="65"/>
      <c r="Y56" s="65"/>
      <c r="Z56" s="65"/>
      <c r="AA56" s="198"/>
      <c r="AB56" s="65"/>
      <c r="AC56" s="65"/>
      <c r="AD56" s="65"/>
      <c r="AE56" s="65"/>
      <c r="AF56" s="65"/>
      <c r="AG56" s="158"/>
      <c r="AH56" s="65"/>
      <c r="AI56" s="65"/>
      <c r="AJ56" s="65"/>
      <c r="AK56" s="65"/>
      <c r="AL56" s="65"/>
      <c r="AM56" s="65"/>
      <c r="AN56" s="65"/>
      <c r="AO56" s="65"/>
      <c r="AP56" s="65"/>
      <c r="AQ56" s="125"/>
      <c r="AR56" s="65"/>
      <c r="AS56" s="125"/>
      <c r="AT56" s="65"/>
      <c r="AU56" s="65"/>
      <c r="AV56" s="65"/>
      <c r="AW56" s="65"/>
      <c r="AX56" s="65"/>
      <c r="AY56" s="63"/>
      <c r="AZ56" s="103"/>
      <c r="BA56" s="396"/>
      <c r="BB56" s="396"/>
      <c r="BC56" s="397"/>
      <c r="BD56" s="28"/>
    </row>
    <row r="57" spans="1:91" ht="13.5" customHeight="1">
      <c r="A57" s="22"/>
      <c r="B57" s="202">
        <v>16</v>
      </c>
      <c r="C57" s="310"/>
      <c r="D57" s="65"/>
      <c r="E57" s="65"/>
      <c r="F57" s="65"/>
      <c r="G57" s="65"/>
      <c r="H57" s="65"/>
      <c r="I57" s="65"/>
      <c r="J57" s="65"/>
      <c r="K57" s="65"/>
      <c r="L57" s="65"/>
      <c r="M57" s="62"/>
      <c r="N57" s="65"/>
      <c r="O57" s="65"/>
      <c r="P57" s="63"/>
      <c r="Q57" s="64"/>
      <c r="R57" s="63"/>
      <c r="S57" s="111"/>
      <c r="T57" s="112"/>
      <c r="U57" s="111"/>
      <c r="V57" s="112"/>
      <c r="W57" s="111"/>
      <c r="X57" s="111"/>
      <c r="Y57" s="111"/>
      <c r="Z57" s="111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3"/>
      <c r="AZ57" s="31"/>
      <c r="BA57" s="30"/>
      <c r="BB57" s="175"/>
      <c r="BC57" s="326"/>
    </row>
    <row r="58" spans="1:91" ht="13.5" customHeight="1">
      <c r="A58" s="22"/>
      <c r="B58" s="202">
        <v>17</v>
      </c>
      <c r="C58" s="310"/>
      <c r="D58" s="65"/>
      <c r="E58" s="65"/>
      <c r="F58" s="65"/>
      <c r="G58" s="65"/>
      <c r="H58" s="126"/>
      <c r="I58" s="65"/>
      <c r="J58" s="65"/>
      <c r="K58" s="65"/>
      <c r="L58" s="198"/>
      <c r="M58" s="65"/>
      <c r="N58" s="65"/>
      <c r="O58" s="65"/>
      <c r="P58" s="198"/>
      <c r="Q58" s="65"/>
      <c r="R58" s="65"/>
      <c r="S58" s="65"/>
      <c r="T58" s="198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12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3"/>
      <c r="AZ58" s="31"/>
      <c r="BA58" s="30"/>
      <c r="BB58" s="175"/>
      <c r="BC58" s="326"/>
      <c r="BD58" s="28"/>
    </row>
    <row r="59" spans="1:91" ht="5.15" customHeight="1">
      <c r="A59" s="22"/>
      <c r="B59" s="202"/>
      <c r="C59" s="315"/>
      <c r="D59" s="73"/>
      <c r="E59" s="73"/>
      <c r="F59" s="73"/>
      <c r="G59" s="73"/>
      <c r="H59" s="316"/>
      <c r="I59" s="275"/>
      <c r="J59" s="273"/>
      <c r="K59" s="275"/>
      <c r="L59" s="273"/>
      <c r="M59" s="317"/>
      <c r="N59" s="317"/>
      <c r="O59" s="270"/>
      <c r="P59" s="317"/>
      <c r="Q59" s="270"/>
      <c r="R59" s="317"/>
      <c r="S59" s="73"/>
      <c r="T59" s="73"/>
      <c r="U59" s="73"/>
      <c r="V59" s="73"/>
      <c r="W59" s="73"/>
      <c r="X59" s="316"/>
      <c r="Y59" s="275"/>
      <c r="Z59" s="273"/>
      <c r="AA59" s="275"/>
      <c r="AB59" s="273"/>
      <c r="AC59" s="317"/>
      <c r="AD59" s="317"/>
      <c r="AE59" s="270"/>
      <c r="AF59" s="317"/>
      <c r="AG59" s="270"/>
      <c r="AH59" s="317"/>
      <c r="AI59" s="276"/>
      <c r="AJ59" s="317"/>
      <c r="AK59" s="270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318"/>
      <c r="AW59" s="73"/>
      <c r="AX59" s="73"/>
      <c r="AY59" s="269"/>
      <c r="AZ59" s="269"/>
      <c r="BA59" s="319"/>
      <c r="BB59" s="320"/>
      <c r="BC59" s="321"/>
      <c r="BD59" s="28"/>
    </row>
    <row r="60" spans="1:91" ht="13.5" customHeight="1">
      <c r="A60" s="22"/>
      <c r="B60" s="202">
        <v>18</v>
      </c>
      <c r="C60" s="75"/>
      <c r="D60" s="63"/>
      <c r="E60" s="63"/>
      <c r="F60" s="63"/>
      <c r="G60" s="63"/>
      <c r="H60" s="69"/>
      <c r="I60" s="69"/>
      <c r="J60" s="65"/>
      <c r="K60" s="69"/>
      <c r="L60" s="65"/>
      <c r="M60" s="69"/>
      <c r="N60" s="64"/>
      <c r="O60" s="69"/>
      <c r="P60" s="65"/>
      <c r="Q60" s="65"/>
      <c r="R60" s="65"/>
      <c r="S60" s="63"/>
      <c r="T60" s="63"/>
      <c r="U60" s="63"/>
      <c r="V60" s="63"/>
      <c r="W60" s="63"/>
      <c r="X60" s="64"/>
      <c r="Y60" s="63"/>
      <c r="Z60" s="65"/>
      <c r="AA60" s="64"/>
      <c r="AB60" s="63"/>
      <c r="AC60" s="65"/>
      <c r="AD60" s="64"/>
      <c r="AE60" s="65"/>
      <c r="AF60" s="65"/>
      <c r="AG60" s="64"/>
      <c r="AH60" s="65"/>
      <c r="AI60" s="65"/>
      <c r="AJ60" s="126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3"/>
      <c r="AZ60" s="264"/>
      <c r="BA60" s="301"/>
      <c r="BB60" s="302"/>
      <c r="BC60" s="343"/>
      <c r="BD60" s="28"/>
    </row>
    <row r="61" spans="1:91" ht="13.5" customHeight="1">
      <c r="A61" s="22"/>
      <c r="B61" s="202">
        <v>20</v>
      </c>
      <c r="C61" s="204" t="s">
        <v>77</v>
      </c>
      <c r="D61" s="28"/>
      <c r="E61" s="28"/>
      <c r="F61" s="28"/>
      <c r="G61" s="28"/>
      <c r="H61" s="121"/>
      <c r="I61" s="62"/>
      <c r="J61" s="63"/>
      <c r="K61" s="62"/>
      <c r="L61" s="63"/>
      <c r="M61" s="69"/>
      <c r="N61" s="69"/>
      <c r="O61" s="65"/>
      <c r="P61" s="69"/>
      <c r="Q61" s="65"/>
      <c r="R61" s="69"/>
      <c r="S61" s="28"/>
      <c r="T61" s="28"/>
      <c r="U61" s="28"/>
      <c r="V61" s="28"/>
      <c r="W61" s="28"/>
      <c r="X61" s="121"/>
      <c r="Y61" s="62"/>
      <c r="Z61" s="63"/>
      <c r="AA61" s="62"/>
      <c r="AB61" s="63"/>
      <c r="AC61" s="69"/>
      <c r="AD61" s="69"/>
      <c r="AE61" s="65"/>
      <c r="AF61" s="69"/>
      <c r="AG61" s="65"/>
      <c r="AH61" s="69"/>
      <c r="AI61" s="64"/>
      <c r="AJ61" s="69"/>
      <c r="AK61" s="65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33"/>
      <c r="AW61" s="28"/>
      <c r="AX61" s="28"/>
      <c r="AY61" s="31"/>
      <c r="AZ61" s="269"/>
      <c r="BA61" s="319"/>
      <c r="BB61" s="320"/>
      <c r="BC61" s="344"/>
      <c r="BD61" s="28"/>
    </row>
    <row r="62" spans="1:91" ht="5.15" customHeight="1">
      <c r="A62" s="22"/>
      <c r="B62" s="202"/>
      <c r="C62" s="296"/>
      <c r="D62" s="72"/>
      <c r="E62" s="72"/>
      <c r="F62" s="72"/>
      <c r="G62" s="72"/>
      <c r="H62" s="297"/>
      <c r="I62" s="278"/>
      <c r="J62" s="279"/>
      <c r="K62" s="278"/>
      <c r="L62" s="279"/>
      <c r="M62" s="298"/>
      <c r="N62" s="298"/>
      <c r="O62" s="263"/>
      <c r="P62" s="298"/>
      <c r="Q62" s="263"/>
      <c r="R62" s="298"/>
      <c r="S62" s="72"/>
      <c r="T62" s="72"/>
      <c r="U62" s="72"/>
      <c r="V62" s="72"/>
      <c r="W62" s="72"/>
      <c r="X62" s="297"/>
      <c r="Y62" s="278"/>
      <c r="Z62" s="279"/>
      <c r="AA62" s="278"/>
      <c r="AB62" s="279"/>
      <c r="AC62" s="298"/>
      <c r="AD62" s="298"/>
      <c r="AE62" s="263"/>
      <c r="AF62" s="298"/>
      <c r="AG62" s="263"/>
      <c r="AH62" s="298"/>
      <c r="AI62" s="280"/>
      <c r="AJ62" s="298"/>
      <c r="AK62" s="263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300"/>
      <c r="AW62" s="72"/>
      <c r="AX62" s="72"/>
      <c r="AY62" s="264"/>
      <c r="AZ62" s="264"/>
      <c r="BA62" s="301"/>
      <c r="BB62" s="302"/>
      <c r="BC62" s="303"/>
      <c r="BD62" s="28"/>
    </row>
    <row r="63" spans="1:91" ht="13.5" customHeight="1">
      <c r="A63" s="22"/>
      <c r="B63" s="202">
        <v>21</v>
      </c>
      <c r="C63" s="304" t="s">
        <v>31</v>
      </c>
      <c r="D63" s="234" t="s">
        <v>258</v>
      </c>
      <c r="E63" s="235"/>
      <c r="F63" s="234" t="s">
        <v>63</v>
      </c>
      <c r="G63" s="235"/>
      <c r="H63" s="235"/>
      <c r="I63" s="236"/>
      <c r="J63" s="237" t="s">
        <v>33</v>
      </c>
      <c r="K63" s="238"/>
      <c r="L63" s="238"/>
      <c r="M63" s="238"/>
      <c r="N63" s="235"/>
      <c r="O63" s="236"/>
      <c r="P63" s="239" t="s">
        <v>66</v>
      </c>
      <c r="Q63" s="240"/>
      <c r="R63" s="240"/>
      <c r="S63" s="241"/>
      <c r="T63" s="239" t="s">
        <v>150</v>
      </c>
      <c r="U63" s="240"/>
      <c r="V63" s="240"/>
      <c r="W63" s="241"/>
      <c r="X63" s="234" t="s">
        <v>78</v>
      </c>
      <c r="Y63" s="235"/>
      <c r="Z63" s="235"/>
      <c r="AA63" s="236"/>
      <c r="AB63" s="234" t="s">
        <v>79</v>
      </c>
      <c r="AC63" s="235"/>
      <c r="AD63" s="235"/>
      <c r="AE63" s="235"/>
      <c r="AF63" s="239" t="s">
        <v>64</v>
      </c>
      <c r="AG63" s="240"/>
      <c r="AH63" s="240"/>
      <c r="AI63" s="240"/>
      <c r="AJ63" s="241"/>
      <c r="AK63" s="240" t="s">
        <v>209</v>
      </c>
      <c r="AL63" s="240"/>
      <c r="AM63" s="240"/>
      <c r="AN63" s="241"/>
      <c r="AO63" s="240" t="s">
        <v>161</v>
      </c>
      <c r="AP63" s="240"/>
      <c r="AQ63" s="240"/>
      <c r="AR63" s="241"/>
      <c r="AS63" s="240" t="s">
        <v>210</v>
      </c>
      <c r="AT63" s="240"/>
      <c r="AU63" s="240"/>
      <c r="AV63" s="241"/>
      <c r="AW63" s="240" t="s">
        <v>65</v>
      </c>
      <c r="AX63" s="240"/>
      <c r="AY63" s="240"/>
      <c r="AZ63" s="241"/>
      <c r="BA63" s="239" t="s">
        <v>211</v>
      </c>
      <c r="BB63" s="240"/>
      <c r="BC63" s="240"/>
      <c r="BD63" s="241"/>
      <c r="BE63" s="239" t="s">
        <v>212</v>
      </c>
      <c r="BF63" s="240"/>
      <c r="BG63" s="240"/>
      <c r="BH63" s="240"/>
      <c r="BI63" s="239" t="s">
        <v>198</v>
      </c>
      <c r="BJ63" s="240"/>
      <c r="BK63" s="240"/>
      <c r="BL63" s="241"/>
      <c r="BM63" s="239" t="s">
        <v>213</v>
      </c>
      <c r="BN63" s="240"/>
      <c r="BO63" s="240"/>
      <c r="BP63" s="241"/>
      <c r="BQ63" s="239" t="s">
        <v>214</v>
      </c>
      <c r="BR63" s="240"/>
      <c r="BS63" s="240"/>
      <c r="BT63" s="241"/>
      <c r="BU63" s="239" t="s">
        <v>82</v>
      </c>
      <c r="BV63" s="240"/>
      <c r="BW63" s="240"/>
      <c r="BX63" s="241"/>
      <c r="BY63" s="239" t="s">
        <v>83</v>
      </c>
      <c r="BZ63" s="240"/>
      <c r="CA63" s="240"/>
      <c r="CB63" s="241"/>
      <c r="CC63" s="240" t="s">
        <v>84</v>
      </c>
      <c r="CD63" s="240"/>
      <c r="CE63" s="241"/>
      <c r="CF63" s="240" t="s">
        <v>85</v>
      </c>
      <c r="CG63" s="240"/>
      <c r="CH63" s="240"/>
      <c r="CI63" s="241"/>
      <c r="CJ63" s="240" t="s">
        <v>68</v>
      </c>
      <c r="CK63" s="240"/>
      <c r="CL63" s="240"/>
      <c r="CM63" s="241"/>
    </row>
    <row r="64" spans="1:91" ht="13.5" customHeight="1">
      <c r="A64" s="22"/>
      <c r="B64" s="202">
        <v>22</v>
      </c>
      <c r="C64" s="308">
        <v>1</v>
      </c>
      <c r="D64" s="148" t="str">
        <f>N51</f>
        <v>OPT</v>
      </c>
      <c r="E64" s="149"/>
      <c r="F64" s="148" t="str">
        <f>D51</f>
        <v>8311308000</v>
      </c>
      <c r="G64" s="149"/>
      <c r="H64" s="149"/>
      <c r="I64" s="151"/>
      <c r="J64" s="242" t="str">
        <f>H51</f>
        <v>BF4MC-(375161-01)</v>
      </c>
      <c r="K64" s="150"/>
      <c r="L64" s="150"/>
      <c r="M64" s="150"/>
      <c r="N64" s="161"/>
      <c r="O64" s="162"/>
      <c r="P64" s="148" t="s">
        <v>273</v>
      </c>
      <c r="Q64" s="150"/>
      <c r="R64" s="150"/>
      <c r="S64" s="162"/>
      <c r="T64" s="148" t="str">
        <f>AJ51</f>
        <v>USD</v>
      </c>
      <c r="U64" s="150"/>
      <c r="V64" s="150"/>
      <c r="W64" s="162"/>
      <c r="X64" s="999">
        <f>R51</f>
        <v>200</v>
      </c>
      <c r="Y64" s="1000"/>
      <c r="Z64" s="1000"/>
      <c r="AA64" s="1001"/>
      <c r="AB64" s="1013">
        <f>Z51/H42</f>
        <v>315.36654545454547</v>
      </c>
      <c r="AC64" s="1014"/>
      <c r="AD64" s="1014"/>
      <c r="AE64" s="1015"/>
      <c r="AF64" s="1013">
        <f>BH51</f>
        <v>0</v>
      </c>
      <c r="AG64" s="1014"/>
      <c r="AH64" s="1014"/>
      <c r="AI64" s="1014"/>
      <c r="AJ64" s="1015"/>
      <c r="AK64" s="1013">
        <f>AR51</f>
        <v>560</v>
      </c>
      <c r="AL64" s="1014"/>
      <c r="AM64" s="1014"/>
      <c r="AN64" s="1015"/>
      <c r="AO64" s="1013">
        <f>AN51</f>
        <v>547.11950000000002</v>
      </c>
      <c r="AP64" s="1014"/>
      <c r="AQ64" s="1014"/>
      <c r="AR64" s="1015"/>
      <c r="AS64" s="1013">
        <f>AN51/(1-AV51)</f>
        <v>572.90000000000009</v>
      </c>
      <c r="AT64" s="1014"/>
      <c r="AU64" s="1014"/>
      <c r="AV64" s="1015"/>
      <c r="AW64" s="1013">
        <f>AN51-(AS64*$K$20)</f>
        <v>518.47450000000003</v>
      </c>
      <c r="AX64" s="1014"/>
      <c r="AY64" s="1014"/>
      <c r="AZ64" s="1015"/>
      <c r="BA64" s="979">
        <f>(AO64-AS64*$K$20-AE51/H42)/(AE51/H42)</f>
        <v>0.21780551905387649</v>
      </c>
      <c r="BB64" s="980"/>
      <c r="BC64" s="980"/>
      <c r="BD64" s="981"/>
      <c r="BE64" s="991">
        <f>(AN51-AR51)/AR51</f>
        <v>-2.3000892857142827E-2</v>
      </c>
      <c r="BF64" s="992"/>
      <c r="BG64" s="992"/>
      <c r="BH64" s="993"/>
      <c r="BI64" s="1041">
        <f>AZ51</f>
        <v>674</v>
      </c>
      <c r="BJ64" s="1042"/>
      <c r="BK64" s="1042"/>
      <c r="BL64" s="1043"/>
      <c r="BM64" s="994">
        <f>1-AN51/(1-AV51)/AZ51</f>
        <v>0.14999999999999991</v>
      </c>
      <c r="BN64" s="995"/>
      <c r="BO64" s="995"/>
      <c r="BP64" s="996"/>
      <c r="BQ64" s="994">
        <f>1-(Z51/H42+AN51*AV51+AS64*$K$20)/AZ51</f>
        <v>0.45306836356892366</v>
      </c>
      <c r="BR64" s="995"/>
      <c r="BS64" s="995"/>
      <c r="BT64" s="996"/>
      <c r="BU64" s="1029">
        <f>BD51</f>
        <v>0</v>
      </c>
      <c r="BV64" s="1030"/>
      <c r="BW64" s="1030"/>
      <c r="BX64" s="1031"/>
      <c r="BY64" s="994" t="str">
        <f>IFERROR(1-AZ51/BD51,"")</f>
        <v/>
      </c>
      <c r="BZ64" s="995"/>
      <c r="CA64" s="995"/>
      <c r="CB64" s="996"/>
      <c r="CC64" s="985">
        <f>BL51</f>
        <v>0</v>
      </c>
      <c r="CD64" s="986"/>
      <c r="CE64" s="987"/>
      <c r="CF64" s="150"/>
      <c r="CG64" s="150"/>
      <c r="CH64" s="150"/>
      <c r="CI64" s="152"/>
      <c r="CJ64" s="149" t="s">
        <v>29</v>
      </c>
      <c r="CK64" s="150"/>
      <c r="CL64" s="150"/>
      <c r="CM64" s="152"/>
    </row>
    <row r="65" spans="1:91" ht="13.5" customHeight="1">
      <c r="A65" s="22"/>
      <c r="B65" s="202">
        <v>23</v>
      </c>
      <c r="C65" s="308">
        <v>2</v>
      </c>
      <c r="D65" s="148" t="str">
        <f>N52</f>
        <v>OPT</v>
      </c>
      <c r="E65" s="149"/>
      <c r="F65" s="148" t="str">
        <f>D52</f>
        <v>8311309000</v>
      </c>
      <c r="G65" s="149"/>
      <c r="H65" s="149"/>
      <c r="I65" s="151"/>
      <c r="J65" s="242" t="str">
        <f>H52</f>
        <v>BF4MC-(375168-01)</v>
      </c>
      <c r="K65" s="150"/>
      <c r="L65" s="150"/>
      <c r="M65" s="150"/>
      <c r="N65" s="161"/>
      <c r="O65" s="162"/>
      <c r="P65" s="148" t="s">
        <v>273</v>
      </c>
      <c r="Q65" s="150"/>
      <c r="R65" s="150"/>
      <c r="S65" s="162"/>
      <c r="T65" s="148" t="str">
        <f>AJ52</f>
        <v>USD</v>
      </c>
      <c r="U65" s="150"/>
      <c r="V65" s="150"/>
      <c r="W65" s="162"/>
      <c r="X65" s="999">
        <f>R52</f>
        <v>200</v>
      </c>
      <c r="Y65" s="1000"/>
      <c r="Z65" s="1000"/>
      <c r="AA65" s="1001"/>
      <c r="AB65" s="1013">
        <f>Z52/H42</f>
        <v>102.09536363636363</v>
      </c>
      <c r="AC65" s="1014"/>
      <c r="AD65" s="1014"/>
      <c r="AE65" s="1015"/>
      <c r="AF65" s="1013">
        <f>BH52</f>
        <v>0</v>
      </c>
      <c r="AG65" s="1014"/>
      <c r="AH65" s="1014"/>
      <c r="AI65" s="1014"/>
      <c r="AJ65" s="1015"/>
      <c r="AK65" s="1013">
        <f>AR52</f>
        <v>180</v>
      </c>
      <c r="AL65" s="1014"/>
      <c r="AM65" s="1014"/>
      <c r="AN65" s="1015"/>
      <c r="AO65" s="1013">
        <f>AN52</f>
        <v>177.12389999999999</v>
      </c>
      <c r="AP65" s="1014"/>
      <c r="AQ65" s="1014"/>
      <c r="AR65" s="1015"/>
      <c r="AS65" s="1013">
        <f>AN52/(1-AV52)</f>
        <v>185.47005235602094</v>
      </c>
      <c r="AT65" s="1014"/>
      <c r="AU65" s="1014"/>
      <c r="AV65" s="1015"/>
      <c r="AW65" s="1013">
        <f>AN52-(AS65*$K$20)</f>
        <v>167.85039738219893</v>
      </c>
      <c r="AX65" s="1014"/>
      <c r="AY65" s="1014"/>
      <c r="AZ65" s="1015"/>
      <c r="BA65" s="979">
        <f>(AO65-AS65*$K$20-AE52/H42)/(AE52/H42)</f>
        <v>0.21781786709349499</v>
      </c>
      <c r="BB65" s="980"/>
      <c r="BC65" s="980"/>
      <c r="BD65" s="981"/>
      <c r="BE65" s="991">
        <f>(AN52-AR52)/AR52</f>
        <v>-1.5978333333333379E-2</v>
      </c>
      <c r="BF65" s="992"/>
      <c r="BG65" s="992"/>
      <c r="BH65" s="993"/>
      <c r="BI65" s="1041">
        <f>AZ52</f>
        <v>218.2</v>
      </c>
      <c r="BJ65" s="1042"/>
      <c r="BK65" s="1042"/>
      <c r="BL65" s="1043"/>
      <c r="BM65" s="994">
        <f>1-AN52/(1-AV52)/AZ52</f>
        <v>0.14999976005489934</v>
      </c>
      <c r="BN65" s="995"/>
      <c r="BO65" s="995"/>
      <c r="BP65" s="996"/>
      <c r="BQ65" s="994">
        <f>1-(Z52/H42+AN52*AV52+AS65*$K$20)/AZ52</f>
        <v>0.45307313586542308</v>
      </c>
      <c r="BR65" s="995"/>
      <c r="BS65" s="995"/>
      <c r="BT65" s="996"/>
      <c r="BU65" s="1029">
        <f>BD52</f>
        <v>0</v>
      </c>
      <c r="BV65" s="1030"/>
      <c r="BW65" s="1030"/>
      <c r="BX65" s="1031"/>
      <c r="BY65" s="994" t="str">
        <f>IFERROR(1-AZ52/BD52,"")</f>
        <v/>
      </c>
      <c r="BZ65" s="995"/>
      <c r="CA65" s="995"/>
      <c r="CB65" s="996"/>
      <c r="CC65" s="985">
        <f>BL52</f>
        <v>0</v>
      </c>
      <c r="CD65" s="986"/>
      <c r="CE65" s="987"/>
      <c r="CF65" s="150"/>
      <c r="CG65" s="150"/>
      <c r="CH65" s="150"/>
      <c r="CI65" s="152"/>
      <c r="CJ65" s="149" t="s">
        <v>29</v>
      </c>
      <c r="CK65" s="150"/>
      <c r="CL65" s="150"/>
      <c r="CM65" s="152"/>
    </row>
    <row r="66" spans="1:91" ht="13.5" customHeight="1">
      <c r="A66" s="22"/>
      <c r="B66" s="202">
        <v>20</v>
      </c>
      <c r="C66" s="337" t="s">
        <v>279</v>
      </c>
      <c r="D66" s="28"/>
      <c r="E66" s="28"/>
      <c r="F66" s="28"/>
      <c r="G66" s="28"/>
      <c r="H66" s="121"/>
      <c r="I66" s="62"/>
      <c r="J66" s="63"/>
      <c r="K66" s="62"/>
      <c r="L66" s="63"/>
      <c r="M66" s="69"/>
      <c r="N66" s="69"/>
      <c r="O66" s="65"/>
      <c r="P66" s="69"/>
      <c r="Q66" s="65"/>
      <c r="R66" s="69"/>
      <c r="S66" s="28"/>
      <c r="T66" s="28"/>
      <c r="U66" s="28"/>
      <c r="V66" s="28"/>
      <c r="W66" s="28"/>
      <c r="X66" s="121"/>
      <c r="Y66" s="62"/>
      <c r="Z66" s="63"/>
      <c r="AA66" s="62"/>
      <c r="AB66" s="63"/>
      <c r="AC66" s="69"/>
      <c r="AD66" s="69"/>
      <c r="AE66" s="65"/>
      <c r="AF66" s="69"/>
      <c r="AG66" s="65"/>
      <c r="AH66" s="69"/>
      <c r="AI66" s="64"/>
      <c r="AJ66" s="69"/>
      <c r="AK66" s="65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33"/>
      <c r="AW66" s="28"/>
      <c r="AX66" s="28"/>
      <c r="AY66" s="31"/>
      <c r="AZ66" s="95"/>
      <c r="BA66" s="92"/>
      <c r="BB66" s="329"/>
      <c r="BC66" s="338"/>
      <c r="BD66" s="37"/>
      <c r="BE66" s="37"/>
    </row>
    <row r="67" spans="1:91" ht="13.5" customHeight="1">
      <c r="A67" s="22"/>
      <c r="B67" s="202">
        <v>24</v>
      </c>
      <c r="C67" s="304"/>
      <c r="D67" s="502" t="s">
        <v>278</v>
      </c>
      <c r="E67" s="503"/>
      <c r="F67" s="504" t="s">
        <v>292</v>
      </c>
      <c r="G67" s="503"/>
      <c r="H67" s="503"/>
      <c r="I67" s="505"/>
      <c r="J67" s="504" t="s">
        <v>29</v>
      </c>
      <c r="K67" s="506"/>
      <c r="L67" s="506"/>
      <c r="M67" s="506"/>
      <c r="N67" s="503"/>
      <c r="O67" s="505"/>
      <c r="P67" s="511" t="s">
        <v>29</v>
      </c>
      <c r="Q67" s="508"/>
      <c r="R67" s="508"/>
      <c r="S67" s="509"/>
      <c r="T67" s="504" t="s">
        <v>29</v>
      </c>
      <c r="U67" s="503"/>
      <c r="V67" s="503"/>
      <c r="W67" s="505"/>
      <c r="X67" s="508" t="s">
        <v>215</v>
      </c>
      <c r="Y67" s="503"/>
      <c r="Z67" s="503"/>
      <c r="AA67" s="503"/>
      <c r="AB67" s="507" t="s">
        <v>144</v>
      </c>
      <c r="AC67" s="503"/>
      <c r="AD67" s="503"/>
      <c r="AE67" s="503"/>
      <c r="AF67" s="507" t="s">
        <v>229</v>
      </c>
      <c r="AG67" s="508"/>
      <c r="AH67" s="508"/>
      <c r="AI67" s="508"/>
      <c r="AJ67" s="509"/>
      <c r="AK67" s="507" t="s">
        <v>218</v>
      </c>
      <c r="AL67" s="508"/>
      <c r="AM67" s="508"/>
      <c r="AN67" s="509"/>
      <c r="AO67" s="507" t="s">
        <v>219</v>
      </c>
      <c r="AP67" s="508"/>
      <c r="AQ67" s="508"/>
      <c r="AR67" s="509"/>
      <c r="AS67" s="507" t="s">
        <v>220</v>
      </c>
      <c r="AT67" s="508"/>
      <c r="AU67" s="508"/>
      <c r="AV67" s="508"/>
      <c r="AW67" s="507" t="s">
        <v>100</v>
      </c>
      <c r="AX67" s="508"/>
      <c r="AY67" s="508"/>
      <c r="AZ67" s="509"/>
      <c r="BA67" s="511" t="s">
        <v>221</v>
      </c>
      <c r="BB67" s="508"/>
      <c r="BC67" s="508"/>
      <c r="BD67" s="509"/>
      <c r="BE67" s="513" t="s">
        <v>222</v>
      </c>
      <c r="BF67" s="508"/>
      <c r="BG67" s="508"/>
      <c r="BH67" s="509"/>
      <c r="BI67" s="511" t="s">
        <v>29</v>
      </c>
      <c r="BJ67" s="508"/>
      <c r="BK67" s="508"/>
      <c r="BL67" s="509"/>
      <c r="BM67" s="513" t="s">
        <v>29</v>
      </c>
      <c r="BN67" s="508"/>
      <c r="BO67" s="508"/>
      <c r="BP67" s="509"/>
      <c r="BQ67" s="508"/>
      <c r="BR67" s="508"/>
      <c r="BS67" s="508"/>
      <c r="BT67" s="509"/>
      <c r="BU67" s="508"/>
      <c r="BV67" s="508"/>
      <c r="BW67" s="508"/>
      <c r="BX67" s="509"/>
      <c r="BY67" s="508"/>
      <c r="BZ67" s="508"/>
      <c r="CA67" s="508"/>
      <c r="CB67" s="509"/>
      <c r="CC67" s="513" t="s">
        <v>29</v>
      </c>
      <c r="CD67" s="508"/>
      <c r="CE67" s="509"/>
      <c r="CF67" s="508"/>
      <c r="CG67" s="508"/>
      <c r="CH67" s="508"/>
      <c r="CI67" s="509"/>
      <c r="CJ67" s="508"/>
      <c r="CK67" s="508"/>
      <c r="CL67" s="508"/>
      <c r="CM67" s="509"/>
    </row>
    <row r="68" spans="1:91" ht="13.5" customHeight="1">
      <c r="A68" s="22"/>
      <c r="B68" s="202">
        <v>24</v>
      </c>
      <c r="C68" s="461"/>
      <c r="D68" s="517"/>
      <c r="E68" s="518"/>
      <c r="F68" s="517"/>
      <c r="G68" s="518"/>
      <c r="H68" s="518"/>
      <c r="I68" s="519"/>
      <c r="J68" s="520"/>
      <c r="K68" s="521"/>
      <c r="L68" s="521"/>
      <c r="M68" s="521"/>
      <c r="N68" s="518"/>
      <c r="O68" s="519"/>
      <c r="P68" s="522"/>
      <c r="Q68" s="523"/>
      <c r="R68" s="523"/>
      <c r="S68" s="524"/>
      <c r="T68" s="517"/>
      <c r="U68" s="518"/>
      <c r="V68" s="518"/>
      <c r="W68" s="519"/>
      <c r="X68" s="523"/>
      <c r="Y68" s="518"/>
      <c r="Z68" s="518"/>
      <c r="AA68" s="518"/>
      <c r="AB68" s="522"/>
      <c r="AC68" s="518"/>
      <c r="AD68" s="518"/>
      <c r="AE68" s="518"/>
      <c r="AF68" s="522"/>
      <c r="AG68" s="523"/>
      <c r="AH68" s="523"/>
      <c r="AI68" s="523"/>
      <c r="AJ68" s="524"/>
      <c r="AK68" s="522"/>
      <c r="AL68" s="523"/>
      <c r="AM68" s="523"/>
      <c r="AN68" s="524"/>
      <c r="AO68" s="522"/>
      <c r="AP68" s="523"/>
      <c r="AQ68" s="523"/>
      <c r="AR68" s="524"/>
      <c r="AS68" s="522"/>
      <c r="AT68" s="523"/>
      <c r="AU68" s="523"/>
      <c r="AV68" s="523"/>
      <c r="AW68" s="522" t="s">
        <v>230</v>
      </c>
      <c r="AX68" s="523"/>
      <c r="AY68" s="523"/>
      <c r="AZ68" s="524"/>
      <c r="BA68" s="525" t="s">
        <v>29</v>
      </c>
      <c r="BB68" s="523"/>
      <c r="BC68" s="523"/>
      <c r="BD68" s="524"/>
      <c r="BE68" s="526" t="s">
        <v>231</v>
      </c>
      <c r="BF68" s="523"/>
      <c r="BG68" s="523"/>
      <c r="BH68" s="524"/>
      <c r="BI68" s="525" t="s">
        <v>29</v>
      </c>
      <c r="BJ68" s="523"/>
      <c r="BK68" s="523"/>
      <c r="BL68" s="524"/>
      <c r="BM68" s="526" t="s">
        <v>29</v>
      </c>
      <c r="BN68" s="523"/>
      <c r="BO68" s="523"/>
      <c r="BP68" s="524"/>
      <c r="BQ68" s="523"/>
      <c r="BR68" s="523"/>
      <c r="BS68" s="523"/>
      <c r="BT68" s="524"/>
      <c r="BU68" s="523"/>
      <c r="BV68" s="523"/>
      <c r="BW68" s="523"/>
      <c r="BX68" s="524"/>
      <c r="BY68" s="523"/>
      <c r="BZ68" s="523"/>
      <c r="CA68" s="523"/>
      <c r="CB68" s="524"/>
      <c r="CC68" s="526" t="s">
        <v>29</v>
      </c>
      <c r="CD68" s="523"/>
      <c r="CE68" s="524"/>
      <c r="CF68" s="523"/>
      <c r="CG68" s="523"/>
      <c r="CH68" s="523"/>
      <c r="CI68" s="524"/>
      <c r="CJ68" s="523"/>
      <c r="CK68" s="523"/>
      <c r="CL68" s="523"/>
      <c r="CM68" s="524"/>
    </row>
    <row r="69" spans="1:91" ht="13.5" customHeight="1">
      <c r="A69" s="22"/>
      <c r="B69" s="202">
        <v>25</v>
      </c>
      <c r="C69" s="308">
        <v>1</v>
      </c>
      <c r="D69" s="148" t="s">
        <v>228</v>
      </c>
      <c r="E69" s="149"/>
      <c r="F69" s="148" t="s">
        <v>147</v>
      </c>
      <c r="G69" s="149"/>
      <c r="H69" s="149"/>
      <c r="I69" s="151"/>
      <c r="J69" s="221"/>
      <c r="K69" s="222"/>
      <c r="L69" s="222"/>
      <c r="M69" s="222"/>
      <c r="N69" s="161"/>
      <c r="O69" s="162"/>
      <c r="P69" s="148"/>
      <c r="Q69" s="150"/>
      <c r="R69" s="150"/>
      <c r="S69" s="162"/>
      <c r="T69" s="119"/>
      <c r="U69" s="120"/>
      <c r="V69" s="120"/>
      <c r="W69" s="162"/>
      <c r="X69" s="988">
        <f>SUMPRODUCT(X$64:AA$65,AO$64:AR$65)</f>
        <v>144848.68</v>
      </c>
      <c r="Y69" s="997"/>
      <c r="Z69" s="997"/>
      <c r="AA69" s="998"/>
      <c r="AB69" s="988">
        <f>SUMPRODUCT(R$51:R$52,AE$51:AE$52)/H42</f>
        <v>112714.74545454545</v>
      </c>
      <c r="AC69" s="997"/>
      <c r="AD69" s="997"/>
      <c r="AE69" s="998"/>
      <c r="AF69" s="1005">
        <f>X69-AB69</f>
        <v>32133.93454545454</v>
      </c>
      <c r="AG69" s="1006"/>
      <c r="AH69" s="1006"/>
      <c r="AI69" s="1006"/>
      <c r="AJ69" s="1007"/>
      <c r="AK69" s="1058">
        <f>AF69/AB69</f>
        <v>0.2850907786365291</v>
      </c>
      <c r="AL69" s="1059"/>
      <c r="AM69" s="1059"/>
      <c r="AN69" s="1060"/>
      <c r="AO69" s="979">
        <f>AS69/(X69-AS69)</f>
        <v>-2.1292702702702691E-2</v>
      </c>
      <c r="AP69" s="980"/>
      <c r="AQ69" s="980"/>
      <c r="AR69" s="981"/>
      <c r="AS69" s="1061">
        <f>X$64*(AO$64-AK$64)+X$65*(AO$65-AK$65)</f>
        <v>-3151.3199999999983</v>
      </c>
      <c r="AT69" s="1062"/>
      <c r="AU69" s="1062"/>
      <c r="AV69" s="1063"/>
      <c r="AW69" s="1064">
        <f>SUMPRODUCT(X$64:AA$65,AK$64:AN$65)</f>
        <v>148000</v>
      </c>
      <c r="AX69" s="1065"/>
      <c r="AY69" s="1065"/>
      <c r="AZ69" s="1066"/>
      <c r="BA69" s="988">
        <f>SUMPRODUCT(X$64:AA$65,BI$64:BL$65)</f>
        <v>178440</v>
      </c>
      <c r="BB69" s="997"/>
      <c r="BC69" s="997"/>
      <c r="BD69" s="998"/>
      <c r="BE69" s="994">
        <f>1-(SUMPRODUCT(R$51:R$52,Z$51:Z$52)/107+(AN$51*AV$51+AN$51/(1-AV$51)*$K$20)*R$51+(AN$52*AV$52+AN$52/(1-AV$52)*$K$20)*R$52)/BA$75</f>
        <v>0.43995079106037671</v>
      </c>
      <c r="BF69" s="995"/>
      <c r="BG69" s="995"/>
      <c r="BH69" s="996"/>
      <c r="BI69" s="149" t="s">
        <v>29</v>
      </c>
      <c r="BJ69" s="150"/>
      <c r="BK69" s="150"/>
      <c r="BL69" s="152"/>
      <c r="BM69" s="149" t="s">
        <v>29</v>
      </c>
      <c r="BN69" s="150"/>
      <c r="BO69" s="150"/>
      <c r="BP69" s="152"/>
      <c r="BQ69" s="149" t="s">
        <v>29</v>
      </c>
      <c r="BR69" s="150"/>
      <c r="BS69" s="150"/>
      <c r="BT69" s="152"/>
      <c r="BU69" s="149" t="s">
        <v>29</v>
      </c>
      <c r="BV69" s="150"/>
      <c r="BW69" s="150"/>
      <c r="BX69" s="152"/>
      <c r="BY69" s="149" t="s">
        <v>29</v>
      </c>
      <c r="BZ69" s="150"/>
      <c r="CA69" s="150"/>
      <c r="CB69" s="152"/>
      <c r="CC69" s="149" t="s">
        <v>29</v>
      </c>
      <c r="CD69" s="150"/>
      <c r="CE69" s="152"/>
      <c r="CF69" s="149" t="s">
        <v>29</v>
      </c>
      <c r="CG69" s="150"/>
      <c r="CH69" s="150"/>
      <c r="CI69" s="152"/>
      <c r="CJ69" s="149" t="s">
        <v>29</v>
      </c>
      <c r="CK69" s="150"/>
      <c r="CL69" s="150"/>
      <c r="CM69" s="152"/>
    </row>
    <row r="70" spans="1:91" ht="13.5" customHeight="1">
      <c r="A70" s="22"/>
      <c r="B70" s="202">
        <v>25</v>
      </c>
      <c r="C70" s="308">
        <v>2</v>
      </c>
      <c r="D70" s="148" t="s">
        <v>228</v>
      </c>
      <c r="E70" s="149"/>
      <c r="F70" s="148" t="s">
        <v>206</v>
      </c>
      <c r="G70" s="149"/>
      <c r="H70" s="149"/>
      <c r="I70" s="151"/>
      <c r="J70" s="221"/>
      <c r="K70" s="222"/>
      <c r="L70" s="222"/>
      <c r="M70" s="222"/>
      <c r="N70" s="161"/>
      <c r="O70" s="162"/>
      <c r="P70" s="148"/>
      <c r="Q70" s="150"/>
      <c r="R70" s="150"/>
      <c r="S70" s="162"/>
      <c r="T70" s="119"/>
      <c r="U70" s="120"/>
      <c r="V70" s="120"/>
      <c r="W70" s="162"/>
      <c r="X70" s="976">
        <f>SUMPRODUCT(X$64:AA$65,AO$64:AR$65)*H42</f>
        <v>15933354.799999999</v>
      </c>
      <c r="Y70" s="977"/>
      <c r="Z70" s="977"/>
      <c r="AA70" s="978"/>
      <c r="AB70" s="976">
        <f>SUMPRODUCT(R$51:R$52,AE$51:AE$52)</f>
        <v>12398622</v>
      </c>
      <c r="AC70" s="977"/>
      <c r="AD70" s="977"/>
      <c r="AE70" s="978"/>
      <c r="AF70" s="1005">
        <f>X70-AB70</f>
        <v>3534732.7999999989</v>
      </c>
      <c r="AG70" s="1006"/>
      <c r="AH70" s="1006"/>
      <c r="AI70" s="1006"/>
      <c r="AJ70" s="1007"/>
      <c r="AK70" s="1058">
        <f>AF70/AB70</f>
        <v>0.28509077863652904</v>
      </c>
      <c r="AL70" s="1059"/>
      <c r="AM70" s="1059"/>
      <c r="AN70" s="1060"/>
      <c r="AO70" s="979">
        <f>AS70/(X70-AS70)</f>
        <v>-1.9774221377452075E-4</v>
      </c>
      <c r="AP70" s="980"/>
      <c r="AQ70" s="980"/>
      <c r="AR70" s="981"/>
      <c r="AS70" s="1035">
        <f>X$64*(AO$64-AK$64)+X$65*(AO$65-AK$65)</f>
        <v>-3151.3199999999983</v>
      </c>
      <c r="AT70" s="1036"/>
      <c r="AU70" s="1036"/>
      <c r="AV70" s="1037"/>
      <c r="AW70" s="1038">
        <f>SUMPRODUCT(X$64:AA$65,AK$64:AN$65)</f>
        <v>148000</v>
      </c>
      <c r="AX70" s="1039"/>
      <c r="AY70" s="1039"/>
      <c r="AZ70" s="1040"/>
      <c r="BA70" s="976">
        <f>SUMPRODUCT(X$64:AA$65,BI$64:BL$65)</f>
        <v>178440</v>
      </c>
      <c r="BB70" s="977"/>
      <c r="BC70" s="977"/>
      <c r="BD70" s="978"/>
      <c r="BE70" s="994">
        <f>1-(SUMPRODUCT(R$51:R$52,Z$51:Z$52)/107+(AN$51*AV$51+AN$51/(1-AV$51)*$K$20)*R$51+(AN$52*AV$52+AN$52/(1-AV$52)*$K$20)*R$52)/BA$75</f>
        <v>0.43995079106037671</v>
      </c>
      <c r="BF70" s="995"/>
      <c r="BG70" s="995"/>
      <c r="BH70" s="996"/>
      <c r="BI70" s="149" t="s">
        <v>29</v>
      </c>
      <c r="BJ70" s="150"/>
      <c r="BK70" s="150"/>
      <c r="BL70" s="152"/>
      <c r="BM70" s="149" t="s">
        <v>29</v>
      </c>
      <c r="BN70" s="150"/>
      <c r="BO70" s="150"/>
      <c r="BP70" s="152"/>
      <c r="BQ70" s="149" t="s">
        <v>29</v>
      </c>
      <c r="BR70" s="150"/>
      <c r="BS70" s="150"/>
      <c r="BT70" s="152"/>
      <c r="BU70" s="149" t="s">
        <v>29</v>
      </c>
      <c r="BV70" s="150"/>
      <c r="BW70" s="150"/>
      <c r="BX70" s="152"/>
      <c r="BY70" s="149" t="s">
        <v>29</v>
      </c>
      <c r="BZ70" s="150"/>
      <c r="CA70" s="150"/>
      <c r="CB70" s="152"/>
      <c r="CC70" s="149" t="s">
        <v>29</v>
      </c>
      <c r="CD70" s="150"/>
      <c r="CE70" s="152"/>
      <c r="CF70" s="149" t="s">
        <v>29</v>
      </c>
      <c r="CG70" s="150"/>
      <c r="CH70" s="150"/>
      <c r="CI70" s="152"/>
      <c r="CJ70" s="149" t="s">
        <v>29</v>
      </c>
      <c r="CK70" s="150"/>
      <c r="CL70" s="150"/>
      <c r="CM70" s="152"/>
    </row>
    <row r="71" spans="1:91" ht="13.5" customHeight="1">
      <c r="A71" s="22"/>
      <c r="B71" s="202">
        <v>20</v>
      </c>
      <c r="C71" s="337" t="s">
        <v>277</v>
      </c>
      <c r="D71" s="28"/>
      <c r="E71" s="28"/>
      <c r="F71" s="28"/>
      <c r="G71" s="28"/>
      <c r="H71" s="121"/>
      <c r="I71" s="62"/>
      <c r="J71" s="63"/>
      <c r="K71" s="62"/>
      <c r="L71" s="63"/>
      <c r="M71" s="69"/>
      <c r="N71" s="69"/>
      <c r="O71" s="65"/>
      <c r="P71" s="69"/>
      <c r="Q71" s="65"/>
      <c r="R71" s="69"/>
      <c r="S71" s="28"/>
      <c r="T71" s="28"/>
      <c r="U71" s="28"/>
      <c r="V71" s="28"/>
      <c r="W71" s="28"/>
      <c r="X71" s="121"/>
      <c r="Y71" s="62"/>
      <c r="Z71" s="63"/>
      <c r="AA71" s="62"/>
      <c r="AB71" s="63"/>
      <c r="AC71" s="69"/>
      <c r="AD71" s="69"/>
      <c r="AE71" s="65"/>
      <c r="AF71" s="69"/>
      <c r="AG71" s="65"/>
      <c r="AH71" s="69"/>
      <c r="AI71" s="64"/>
      <c r="AJ71" s="69"/>
      <c r="AK71" s="65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33"/>
      <c r="AW71" s="28"/>
      <c r="AX71" s="28"/>
      <c r="AY71" s="31"/>
      <c r="AZ71" s="95"/>
      <c r="BA71" s="92"/>
      <c r="BB71" s="329"/>
      <c r="BC71" s="338"/>
      <c r="BD71" s="37"/>
      <c r="BE71" s="37"/>
    </row>
    <row r="72" spans="1:91" ht="13.5" customHeight="1">
      <c r="A72" s="22"/>
      <c r="B72" s="202">
        <v>24</v>
      </c>
      <c r="C72" s="304"/>
      <c r="D72" s="243"/>
      <c r="E72" s="244"/>
      <c r="F72" s="243" t="s">
        <v>293</v>
      </c>
      <c r="G72" s="244"/>
      <c r="H72" s="244"/>
      <c r="I72" s="245"/>
      <c r="J72" s="246" t="s">
        <v>29</v>
      </c>
      <c r="K72" s="247"/>
      <c r="L72" s="247"/>
      <c r="M72" s="247"/>
      <c r="N72" s="244"/>
      <c r="O72" s="245"/>
      <c r="P72" s="253" t="s">
        <v>29</v>
      </c>
      <c r="Q72" s="249"/>
      <c r="R72" s="249"/>
      <c r="S72" s="250"/>
      <c r="T72" s="246" t="s">
        <v>29</v>
      </c>
      <c r="U72" s="244"/>
      <c r="V72" s="244"/>
      <c r="W72" s="245"/>
      <c r="X72" s="249" t="s">
        <v>215</v>
      </c>
      <c r="Y72" s="244"/>
      <c r="Z72" s="244"/>
      <c r="AA72" s="244"/>
      <c r="AB72" s="248" t="s">
        <v>144</v>
      </c>
      <c r="AC72" s="244"/>
      <c r="AD72" s="244"/>
      <c r="AE72" s="244"/>
      <c r="AF72" s="248" t="s">
        <v>229</v>
      </c>
      <c r="AG72" s="249"/>
      <c r="AH72" s="249"/>
      <c r="AI72" s="249"/>
      <c r="AJ72" s="250"/>
      <c r="AK72" s="248" t="s">
        <v>218</v>
      </c>
      <c r="AL72" s="249"/>
      <c r="AM72" s="249"/>
      <c r="AN72" s="250"/>
      <c r="AO72" s="248" t="s">
        <v>219</v>
      </c>
      <c r="AP72" s="249"/>
      <c r="AQ72" s="249"/>
      <c r="AR72" s="250"/>
      <c r="AS72" s="248" t="s">
        <v>220</v>
      </c>
      <c r="AT72" s="249"/>
      <c r="AU72" s="249"/>
      <c r="AV72" s="249"/>
      <c r="AW72" s="248" t="s">
        <v>100</v>
      </c>
      <c r="AX72" s="249"/>
      <c r="AY72" s="249"/>
      <c r="AZ72" s="250"/>
      <c r="BA72" s="253" t="s">
        <v>221</v>
      </c>
      <c r="BB72" s="249"/>
      <c r="BC72" s="249"/>
      <c r="BD72" s="250"/>
      <c r="BE72" s="251" t="s">
        <v>222</v>
      </c>
      <c r="BF72" s="249"/>
      <c r="BG72" s="249"/>
      <c r="BH72" s="250"/>
      <c r="BI72" s="253" t="s">
        <v>29</v>
      </c>
      <c r="BJ72" s="249"/>
      <c r="BK72" s="249"/>
      <c r="BL72" s="250"/>
      <c r="BM72" s="251" t="s">
        <v>29</v>
      </c>
      <c r="BN72" s="249"/>
      <c r="BO72" s="249"/>
      <c r="BP72" s="250"/>
      <c r="BQ72" s="249"/>
      <c r="BR72" s="249"/>
      <c r="BS72" s="249"/>
      <c r="BT72" s="250"/>
      <c r="BU72" s="249"/>
      <c r="BV72" s="249"/>
      <c r="BW72" s="249"/>
      <c r="BX72" s="250"/>
      <c r="BY72" s="249"/>
      <c r="BZ72" s="249"/>
      <c r="CA72" s="249"/>
      <c r="CB72" s="250"/>
      <c r="CC72" s="251" t="s">
        <v>29</v>
      </c>
      <c r="CD72" s="249"/>
      <c r="CE72" s="250"/>
      <c r="CF72" s="249"/>
      <c r="CG72" s="249"/>
      <c r="CH72" s="249"/>
      <c r="CI72" s="250"/>
      <c r="CJ72" s="249"/>
      <c r="CK72" s="249"/>
      <c r="CL72" s="249"/>
      <c r="CM72" s="250"/>
    </row>
    <row r="73" spans="1:91" ht="13.5" customHeight="1">
      <c r="A73" s="22"/>
      <c r="B73" s="202">
        <v>24</v>
      </c>
      <c r="C73" s="461"/>
      <c r="D73" s="462"/>
      <c r="E73" s="463"/>
      <c r="F73" s="462"/>
      <c r="G73" s="463"/>
      <c r="H73" s="463"/>
      <c r="I73" s="464"/>
      <c r="J73" s="465"/>
      <c r="K73" s="466"/>
      <c r="L73" s="466"/>
      <c r="M73" s="466"/>
      <c r="N73" s="463"/>
      <c r="O73" s="464"/>
      <c r="P73" s="467"/>
      <c r="Q73" s="458"/>
      <c r="R73" s="458"/>
      <c r="S73" s="459"/>
      <c r="T73" s="462"/>
      <c r="U73" s="463"/>
      <c r="V73" s="463"/>
      <c r="W73" s="464"/>
      <c r="X73" s="458"/>
      <c r="Y73" s="463"/>
      <c r="Z73" s="463"/>
      <c r="AA73" s="463"/>
      <c r="AB73" s="467"/>
      <c r="AC73" s="463"/>
      <c r="AD73" s="463"/>
      <c r="AE73" s="463"/>
      <c r="AF73" s="467"/>
      <c r="AG73" s="458"/>
      <c r="AH73" s="458"/>
      <c r="AI73" s="458"/>
      <c r="AJ73" s="459"/>
      <c r="AK73" s="467"/>
      <c r="AL73" s="458"/>
      <c r="AM73" s="458"/>
      <c r="AN73" s="459"/>
      <c r="AO73" s="467"/>
      <c r="AP73" s="458"/>
      <c r="AQ73" s="458"/>
      <c r="AR73" s="459"/>
      <c r="AS73" s="467"/>
      <c r="AT73" s="458"/>
      <c r="AU73" s="458"/>
      <c r="AV73" s="458"/>
      <c r="AW73" s="467" t="s">
        <v>230</v>
      </c>
      <c r="AX73" s="458"/>
      <c r="AY73" s="458"/>
      <c r="AZ73" s="459"/>
      <c r="BA73" s="457" t="s">
        <v>29</v>
      </c>
      <c r="BB73" s="458"/>
      <c r="BC73" s="458"/>
      <c r="BD73" s="459"/>
      <c r="BE73" s="460" t="s">
        <v>231</v>
      </c>
      <c r="BF73" s="458"/>
      <c r="BG73" s="458"/>
      <c r="BH73" s="459"/>
      <c r="BI73" s="457" t="s">
        <v>29</v>
      </c>
      <c r="BJ73" s="458"/>
      <c r="BK73" s="458"/>
      <c r="BL73" s="459"/>
      <c r="BM73" s="460" t="s">
        <v>29</v>
      </c>
      <c r="BN73" s="458"/>
      <c r="BO73" s="458"/>
      <c r="BP73" s="459"/>
      <c r="BQ73" s="458"/>
      <c r="BR73" s="458"/>
      <c r="BS73" s="458"/>
      <c r="BT73" s="459"/>
      <c r="BU73" s="458"/>
      <c r="BV73" s="458"/>
      <c r="BW73" s="458"/>
      <c r="BX73" s="459"/>
      <c r="BY73" s="458"/>
      <c r="BZ73" s="458"/>
      <c r="CA73" s="458"/>
      <c r="CB73" s="459"/>
      <c r="CC73" s="460" t="s">
        <v>29</v>
      </c>
      <c r="CD73" s="458"/>
      <c r="CE73" s="459"/>
      <c r="CF73" s="458"/>
      <c r="CG73" s="458"/>
      <c r="CH73" s="458"/>
      <c r="CI73" s="459"/>
      <c r="CJ73" s="458"/>
      <c r="CK73" s="458"/>
      <c r="CL73" s="458"/>
      <c r="CM73" s="459"/>
    </row>
    <row r="74" spans="1:91" ht="13.5" customHeight="1">
      <c r="A74" s="22"/>
      <c r="B74" s="202">
        <v>25</v>
      </c>
      <c r="C74" s="308"/>
      <c r="D74" s="148"/>
      <c r="E74" s="149"/>
      <c r="F74" s="148" t="s">
        <v>147</v>
      </c>
      <c r="G74" s="149"/>
      <c r="H74" s="149"/>
      <c r="I74" s="151"/>
      <c r="J74" s="221"/>
      <c r="K74" s="222"/>
      <c r="L74" s="222"/>
      <c r="M74" s="222"/>
      <c r="N74" s="161"/>
      <c r="O74" s="162"/>
      <c r="P74" s="148"/>
      <c r="Q74" s="150"/>
      <c r="R74" s="150"/>
      <c r="S74" s="162"/>
      <c r="T74" s="119"/>
      <c r="U74" s="120"/>
      <c r="V74" s="120"/>
      <c r="W74" s="162"/>
      <c r="X74" s="988">
        <f>SUMPRODUCT(X$64:AA$65,AO$64:AR$65)</f>
        <v>144848.68</v>
      </c>
      <c r="Y74" s="997"/>
      <c r="Z74" s="997"/>
      <c r="AA74" s="998"/>
      <c r="AB74" s="988">
        <f>SUMPRODUCT(R$51:R$52,AE$51:AE$52)/107</f>
        <v>115874.97196261682</v>
      </c>
      <c r="AC74" s="997"/>
      <c r="AD74" s="997"/>
      <c r="AE74" s="998"/>
      <c r="AF74" s="1005">
        <f>X74-AB74</f>
        <v>28973.70803738317</v>
      </c>
      <c r="AG74" s="1006"/>
      <c r="AH74" s="1006"/>
      <c r="AI74" s="1006"/>
      <c r="AJ74" s="1007"/>
      <c r="AK74" s="1058">
        <f>AF74/AB74</f>
        <v>0.25004284831007828</v>
      </c>
      <c r="AL74" s="1059"/>
      <c r="AM74" s="1059"/>
      <c r="AN74" s="1060"/>
      <c r="AO74" s="979">
        <f>AS74/(X74-AS74)</f>
        <v>-2.1292702702702691E-2</v>
      </c>
      <c r="AP74" s="980"/>
      <c r="AQ74" s="980"/>
      <c r="AR74" s="981"/>
      <c r="AS74" s="1061">
        <f>X$64*(AO$64-AK$64)+X$65*(AO$65-AK$65)</f>
        <v>-3151.3199999999983</v>
      </c>
      <c r="AT74" s="1062"/>
      <c r="AU74" s="1062"/>
      <c r="AV74" s="1063"/>
      <c r="AW74" s="1064">
        <f>SUMPRODUCT(X$64:AA$65,AK$64:AN$65)</f>
        <v>148000</v>
      </c>
      <c r="AX74" s="1065"/>
      <c r="AY74" s="1065"/>
      <c r="AZ74" s="1066"/>
      <c r="BA74" s="988">
        <f>SUMPRODUCT(X$64:AA$65,BI$64:BL$65)</f>
        <v>178440</v>
      </c>
      <c r="BB74" s="997"/>
      <c r="BC74" s="997"/>
      <c r="BD74" s="998"/>
      <c r="BE74" s="994">
        <f>1-(SUMPRODUCT(R$51:R$52,Z$51:Z$52)/107+(AN$51*AV$51+AN$51/(1-AV$51)*$K$20)*R$51+(AN$52*AV$52+AN$52/(1-AV$52)*$K$20)*R$52)/BA$75</f>
        <v>0.43995079106037671</v>
      </c>
      <c r="BF74" s="995"/>
      <c r="BG74" s="995"/>
      <c r="BH74" s="996"/>
      <c r="BI74" s="149" t="s">
        <v>29</v>
      </c>
      <c r="BJ74" s="150"/>
      <c r="BK74" s="150"/>
      <c r="BL74" s="152"/>
      <c r="BM74" s="149" t="s">
        <v>29</v>
      </c>
      <c r="BN74" s="150"/>
      <c r="BO74" s="150"/>
      <c r="BP74" s="152"/>
      <c r="BQ74" s="149" t="s">
        <v>29</v>
      </c>
      <c r="BR74" s="150"/>
      <c r="BS74" s="150"/>
      <c r="BT74" s="152"/>
      <c r="BU74" s="149" t="s">
        <v>29</v>
      </c>
      <c r="BV74" s="150"/>
      <c r="BW74" s="150"/>
      <c r="BX74" s="152"/>
      <c r="BY74" s="149" t="s">
        <v>29</v>
      </c>
      <c r="BZ74" s="150"/>
      <c r="CA74" s="150"/>
      <c r="CB74" s="152"/>
      <c r="CC74" s="149" t="s">
        <v>29</v>
      </c>
      <c r="CD74" s="150"/>
      <c r="CE74" s="152"/>
      <c r="CF74" s="149" t="s">
        <v>29</v>
      </c>
      <c r="CG74" s="150"/>
      <c r="CH74" s="150"/>
      <c r="CI74" s="152"/>
      <c r="CJ74" s="149" t="s">
        <v>29</v>
      </c>
      <c r="CK74" s="150"/>
      <c r="CL74" s="150"/>
      <c r="CM74" s="152"/>
    </row>
    <row r="75" spans="1:91" ht="13.5" customHeight="1">
      <c r="A75" s="22"/>
      <c r="B75" s="202">
        <v>25</v>
      </c>
      <c r="C75" s="308"/>
      <c r="D75" s="148"/>
      <c r="E75" s="149"/>
      <c r="F75" s="148" t="s">
        <v>206</v>
      </c>
      <c r="G75" s="149"/>
      <c r="H75" s="149"/>
      <c r="I75" s="151"/>
      <c r="J75" s="221"/>
      <c r="K75" s="222"/>
      <c r="L75" s="222"/>
      <c r="M75" s="222"/>
      <c r="N75" s="161"/>
      <c r="O75" s="162"/>
      <c r="P75" s="148"/>
      <c r="Q75" s="150"/>
      <c r="R75" s="150"/>
      <c r="S75" s="162"/>
      <c r="T75" s="119"/>
      <c r="U75" s="120"/>
      <c r="V75" s="120"/>
      <c r="W75" s="162"/>
      <c r="X75" s="976">
        <f>SUMPRODUCT(X$64:AA$65,AO$64:AR$65)</f>
        <v>144848.68</v>
      </c>
      <c r="Y75" s="977"/>
      <c r="Z75" s="977"/>
      <c r="AA75" s="978"/>
      <c r="AB75" s="976">
        <f>SUMPRODUCT(R$51:R$52,AE$51:AE$52)/107</f>
        <v>115874.97196261682</v>
      </c>
      <c r="AC75" s="977"/>
      <c r="AD75" s="977"/>
      <c r="AE75" s="978"/>
      <c r="AF75" s="1005">
        <f>X75-AB75</f>
        <v>28973.70803738317</v>
      </c>
      <c r="AG75" s="1006"/>
      <c r="AH75" s="1006"/>
      <c r="AI75" s="1006"/>
      <c r="AJ75" s="1007"/>
      <c r="AK75" s="1058">
        <f>AF75/AB75</f>
        <v>0.25004284831007828</v>
      </c>
      <c r="AL75" s="1059"/>
      <c r="AM75" s="1059"/>
      <c r="AN75" s="1060"/>
      <c r="AO75" s="979">
        <f>AS75/(X75-AS75)</f>
        <v>-2.1292702702702691E-2</v>
      </c>
      <c r="AP75" s="980"/>
      <c r="AQ75" s="980"/>
      <c r="AR75" s="981"/>
      <c r="AS75" s="1035">
        <f>X$64*(AO$64-AK$64)+X$65*(AO$65-AK$65)</f>
        <v>-3151.3199999999983</v>
      </c>
      <c r="AT75" s="1036"/>
      <c r="AU75" s="1036"/>
      <c r="AV75" s="1037"/>
      <c r="AW75" s="1038">
        <f>SUMPRODUCT(X$64:AA$65,AK$64:AN$65)</f>
        <v>148000</v>
      </c>
      <c r="AX75" s="1039"/>
      <c r="AY75" s="1039"/>
      <c r="AZ75" s="1040"/>
      <c r="BA75" s="976">
        <f>SUMPRODUCT(X$64:AA$65,BI$64:BL$65)</f>
        <v>178440</v>
      </c>
      <c r="BB75" s="977"/>
      <c r="BC75" s="977"/>
      <c r="BD75" s="978"/>
      <c r="BE75" s="994">
        <f>1-(SUMPRODUCT(R$51:R$52,Z$51:Z$52)/107+(AN$51*AV$51+AN$51/(1-AV$51)*$K$20)*R$51+(AN$52*AV$52+AN$52/(1-AV$52)*$K$20)*R$52)/BA$75</f>
        <v>0.43995079106037671</v>
      </c>
      <c r="BF75" s="995"/>
      <c r="BG75" s="995"/>
      <c r="BH75" s="996"/>
      <c r="BI75" s="149" t="s">
        <v>29</v>
      </c>
      <c r="BJ75" s="150"/>
      <c r="BK75" s="150"/>
      <c r="BL75" s="152"/>
      <c r="BM75" s="149" t="s">
        <v>29</v>
      </c>
      <c r="BN75" s="150"/>
      <c r="BO75" s="150"/>
      <c r="BP75" s="152"/>
      <c r="BQ75" s="149" t="s">
        <v>29</v>
      </c>
      <c r="BR75" s="150"/>
      <c r="BS75" s="150"/>
      <c r="BT75" s="152"/>
      <c r="BU75" s="149" t="s">
        <v>29</v>
      </c>
      <c r="BV75" s="150"/>
      <c r="BW75" s="150"/>
      <c r="BX75" s="152"/>
      <c r="BY75" s="149" t="s">
        <v>29</v>
      </c>
      <c r="BZ75" s="150"/>
      <c r="CA75" s="150"/>
      <c r="CB75" s="152"/>
      <c r="CC75" s="149" t="s">
        <v>29</v>
      </c>
      <c r="CD75" s="150"/>
      <c r="CE75" s="152"/>
      <c r="CF75" s="149" t="s">
        <v>29</v>
      </c>
      <c r="CG75" s="150"/>
      <c r="CH75" s="150"/>
      <c r="CI75" s="152"/>
      <c r="CJ75" s="149" t="s">
        <v>29</v>
      </c>
      <c r="CK75" s="150"/>
      <c r="CL75" s="150"/>
      <c r="CM75" s="152"/>
    </row>
    <row r="76" spans="1:91" ht="13.5" customHeight="1">
      <c r="A76" s="22"/>
      <c r="B76" s="202">
        <v>26</v>
      </c>
      <c r="C76" s="339"/>
      <c r="D76" s="75"/>
      <c r="E76" s="75"/>
      <c r="F76" s="75"/>
      <c r="G76" s="75"/>
      <c r="H76" s="199"/>
      <c r="I76" s="199"/>
      <c r="J76" s="200"/>
      <c r="K76" s="199"/>
      <c r="L76" s="200"/>
      <c r="M76" s="199"/>
      <c r="N76" s="199"/>
      <c r="O76" s="83"/>
      <c r="P76" s="84"/>
      <c r="Q76" s="84"/>
      <c r="R76" s="84"/>
      <c r="S76" s="75"/>
      <c r="T76" s="75"/>
      <c r="U76" s="75"/>
      <c r="V76" s="75"/>
      <c r="W76" s="75"/>
      <c r="X76" s="85"/>
      <c r="Y76" s="75"/>
      <c r="Z76" s="84"/>
      <c r="AA76" s="85"/>
      <c r="AB76" s="75"/>
      <c r="AC76" s="84"/>
      <c r="AD76" s="85"/>
      <c r="AE76" s="84"/>
      <c r="AF76" s="84"/>
      <c r="AG76" s="85"/>
      <c r="AH76" s="84"/>
      <c r="AI76" s="84"/>
      <c r="AJ76" s="90"/>
      <c r="AK76" s="84"/>
      <c r="AL76" s="84"/>
      <c r="AM76" s="84"/>
      <c r="AN76" s="84"/>
      <c r="AO76" s="84"/>
      <c r="AP76" s="84"/>
      <c r="AQ76" s="84"/>
      <c r="AR76" s="84"/>
      <c r="AS76" s="65"/>
      <c r="AT76" s="65"/>
      <c r="AU76" s="65"/>
      <c r="AV76" s="65"/>
      <c r="AW76" s="65"/>
      <c r="AX76" s="65"/>
      <c r="AY76" s="63"/>
      <c r="AZ76" s="31"/>
      <c r="BA76" s="30"/>
      <c r="BB76" s="175"/>
      <c r="BC76" s="343"/>
      <c r="BD76" s="1068"/>
      <c r="BE76" s="1069"/>
      <c r="BF76" s="1069"/>
    </row>
    <row r="77" spans="1:91" ht="13.5" customHeight="1">
      <c r="A77" s="22"/>
      <c r="B77" s="202">
        <v>29</v>
      </c>
      <c r="C77" s="342"/>
      <c r="D77" s="332"/>
      <c r="E77" s="65"/>
      <c r="F77" s="65"/>
      <c r="G77" s="65"/>
      <c r="H77" s="65"/>
      <c r="I77" s="65"/>
      <c r="J77" s="1002"/>
      <c r="K77" s="1003"/>
      <c r="L77" s="1003"/>
      <c r="M77" s="1003"/>
      <c r="N77"/>
      <c r="O77"/>
      <c r="P77"/>
      <c r="Q77"/>
      <c r="R77"/>
      <c r="S77"/>
      <c r="T77"/>
      <c r="U77"/>
      <c r="V77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198"/>
      <c r="AN77" s="198"/>
      <c r="AO77" s="198"/>
      <c r="AP77" s="198"/>
      <c r="AQ77" s="198"/>
      <c r="AR77" s="198"/>
      <c r="AS77" s="254"/>
      <c r="AT77" s="35"/>
      <c r="AU77" s="35"/>
      <c r="AV77" s="254"/>
      <c r="AW77" s="198"/>
      <c r="AX77" s="198"/>
      <c r="AY77" s="198"/>
      <c r="AZ77" s="31"/>
      <c r="BA77" s="30"/>
      <c r="BB77" s="175"/>
      <c r="BC77" s="345"/>
      <c r="BD77" s="28"/>
      <c r="BG77" s="24"/>
      <c r="BH77" s="28"/>
    </row>
    <row r="78" spans="1:91" ht="13.5" customHeight="1">
      <c r="A78" s="22"/>
      <c r="B78" s="202"/>
      <c r="C78" s="342"/>
      <c r="D78" s="332"/>
      <c r="E78" s="65"/>
      <c r="F78" s="65"/>
      <c r="G78" s="65"/>
      <c r="H78" s="65"/>
      <c r="I78" s="65"/>
      <c r="J78" s="333"/>
      <c r="K78" s="334"/>
      <c r="L78" s="334"/>
      <c r="M78" s="334"/>
      <c r="N78"/>
      <c r="O78"/>
      <c r="P78"/>
      <c r="Q78"/>
      <c r="R78"/>
      <c r="S78"/>
      <c r="T78"/>
      <c r="U78"/>
      <c r="V78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198"/>
      <c r="AN78" s="198"/>
      <c r="AO78" s="198"/>
      <c r="AP78" s="198"/>
      <c r="AQ78" s="198"/>
      <c r="AR78" s="198"/>
      <c r="AS78" s="254"/>
      <c r="AT78" s="35"/>
      <c r="AU78" s="35"/>
      <c r="AV78" s="254"/>
      <c r="AW78" s="198"/>
      <c r="AX78" s="198"/>
      <c r="AY78" s="198"/>
      <c r="AZ78" s="31"/>
      <c r="BA78" s="30"/>
      <c r="BB78" s="175"/>
      <c r="BC78" s="345"/>
      <c r="BD78" s="28"/>
      <c r="BG78" s="24"/>
      <c r="BH78" s="28"/>
    </row>
    <row r="79" spans="1:91" ht="13.5" customHeight="1">
      <c r="A79" s="22"/>
      <c r="B79" s="202"/>
      <c r="C79" s="342"/>
      <c r="D79" s="332"/>
      <c r="E79" s="65"/>
      <c r="F79" s="65"/>
      <c r="G79" s="65"/>
      <c r="H79" s="65"/>
      <c r="I79" s="65"/>
      <c r="J79" s="333"/>
      <c r="K79" s="334"/>
      <c r="L79" s="334"/>
      <c r="M79" s="334"/>
      <c r="N79"/>
      <c r="O79"/>
      <c r="P79"/>
      <c r="Q79"/>
      <c r="R79"/>
      <c r="S79"/>
      <c r="T79"/>
      <c r="U79"/>
      <c r="V79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198"/>
      <c r="AN79" s="198"/>
      <c r="AO79" s="198"/>
      <c r="AP79" s="198"/>
      <c r="AQ79" s="198"/>
      <c r="AR79" s="198"/>
      <c r="AS79" s="254"/>
      <c r="AT79" s="35"/>
      <c r="AU79" s="35"/>
      <c r="AV79" s="254"/>
      <c r="AW79" s="198"/>
      <c r="AX79" s="198"/>
      <c r="AY79" s="198"/>
      <c r="AZ79" s="31"/>
      <c r="BA79" s="30"/>
      <c r="BB79" s="175"/>
      <c r="BC79" s="345"/>
      <c r="BD79" s="28"/>
      <c r="BG79" s="24"/>
      <c r="BH79" s="28"/>
    </row>
    <row r="80" spans="1:91" ht="5.15" customHeight="1">
      <c r="A80" s="22"/>
      <c r="B80" s="202"/>
      <c r="C80" s="315"/>
      <c r="D80" s="73"/>
      <c r="E80" s="73"/>
      <c r="F80" s="73"/>
      <c r="G80" s="73"/>
      <c r="H80" s="316"/>
      <c r="I80" s="275"/>
      <c r="J80" s="273"/>
      <c r="K80" s="275"/>
      <c r="L80" s="273"/>
      <c r="M80" s="317"/>
      <c r="N80" s="317"/>
      <c r="O80" s="270"/>
      <c r="P80" s="317"/>
      <c r="Q80" s="270"/>
      <c r="R80" s="317"/>
      <c r="S80" s="73"/>
      <c r="T80" s="73"/>
      <c r="U80" s="73"/>
      <c r="V80" s="73"/>
      <c r="W80" s="73"/>
      <c r="X80" s="316"/>
      <c r="Y80" s="275"/>
      <c r="Z80" s="273"/>
      <c r="AA80" s="275"/>
      <c r="AB80" s="273"/>
      <c r="AC80" s="317"/>
      <c r="AD80" s="317"/>
      <c r="AE80" s="270"/>
      <c r="AF80" s="317"/>
      <c r="AG80" s="270"/>
      <c r="AH80" s="317"/>
      <c r="AI80" s="276"/>
      <c r="AJ80" s="317"/>
      <c r="AK80" s="270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318"/>
      <c r="AW80" s="73"/>
      <c r="AX80" s="73"/>
      <c r="AY80" s="269"/>
      <c r="AZ80" s="269"/>
      <c r="BA80" s="319"/>
      <c r="BB80" s="320"/>
      <c r="BC80" s="344"/>
      <c r="BD80" s="28"/>
    </row>
    <row r="81" spans="1:67" ht="13.5" customHeight="1">
      <c r="A81" s="22"/>
      <c r="B81" s="202">
        <v>31</v>
      </c>
      <c r="C81" s="331"/>
      <c r="D81" s="332"/>
      <c r="E81" s="65"/>
      <c r="F81" s="65"/>
      <c r="G81" s="65"/>
      <c r="H81" s="65"/>
      <c r="I81" s="65"/>
      <c r="J81" s="1004"/>
      <c r="K81" s="1004"/>
      <c r="L81" s="1004"/>
      <c r="M81" s="1004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198"/>
      <c r="AN81" s="198"/>
      <c r="AO81" s="198"/>
      <c r="AP81" s="198"/>
      <c r="AQ81" s="198"/>
      <c r="AR81" s="198"/>
      <c r="AS81" s="198"/>
      <c r="AT81" s="198"/>
      <c r="AU81" s="198"/>
      <c r="AV81" s="198"/>
      <c r="AW81" s="198"/>
      <c r="AX81" s="198"/>
      <c r="AY81" s="198"/>
      <c r="AZ81" s="33"/>
      <c r="BA81" s="46"/>
      <c r="BB81" s="78"/>
      <c r="BC81" s="34"/>
      <c r="BD81" s="28"/>
      <c r="BK81" s="1067"/>
      <c r="BL81" s="1067"/>
      <c r="BM81" s="1067"/>
      <c r="BN81" s="1067"/>
      <c r="BO81" s="1067"/>
    </row>
    <row r="82" spans="1:67" ht="14.15" customHeight="1">
      <c r="A82" s="22"/>
      <c r="B82" s="129"/>
      <c r="C82" s="346" t="s">
        <v>130</v>
      </c>
      <c r="D82" s="28"/>
      <c r="E82" s="28"/>
      <c r="F82" s="28"/>
      <c r="G82" s="28"/>
      <c r="S82" s="35"/>
      <c r="T82" s="35"/>
      <c r="U82" s="35"/>
      <c r="V82" s="35"/>
      <c r="Y82" s="35"/>
      <c r="Z82" s="35"/>
      <c r="AD82" s="35"/>
      <c r="AE82" s="35"/>
      <c r="AF82" s="35"/>
      <c r="AG82" s="35"/>
      <c r="AH82" s="35"/>
      <c r="AI82" s="35"/>
      <c r="AJ82" s="28"/>
      <c r="AK82" s="28"/>
      <c r="AL82" s="28"/>
      <c r="AM82" s="130"/>
      <c r="AN82" s="130"/>
      <c r="AO82" s="35"/>
      <c r="AP82" s="35"/>
      <c r="AQ82" s="35"/>
      <c r="AR82" s="35"/>
      <c r="AS82" s="35"/>
      <c r="AT82" s="35"/>
      <c r="AU82" s="35"/>
      <c r="AV82" s="35"/>
      <c r="AW82" s="35"/>
      <c r="AX82" s="65"/>
      <c r="AY82" s="65"/>
      <c r="AZ82" s="33"/>
      <c r="BA82" s="46"/>
      <c r="BB82" s="78"/>
      <c r="BC82" s="34"/>
      <c r="BD82" s="28"/>
      <c r="BE82" s="1057"/>
      <c r="BF82" s="1057"/>
      <c r="BG82" s="1057"/>
      <c r="BH82" s="1057"/>
    </row>
    <row r="83" spans="1:67" ht="5.15" customHeight="1">
      <c r="A83" s="22"/>
      <c r="B83" s="202"/>
      <c r="C83" s="296"/>
      <c r="D83" s="72"/>
      <c r="E83" s="72"/>
      <c r="F83" s="72"/>
      <c r="G83" s="72"/>
      <c r="H83" s="297"/>
      <c r="I83" s="278"/>
      <c r="J83" s="279"/>
      <c r="K83" s="278"/>
      <c r="L83" s="279"/>
      <c r="M83" s="298"/>
      <c r="N83" s="298"/>
      <c r="O83" s="263"/>
      <c r="P83" s="298"/>
      <c r="Q83" s="263"/>
      <c r="R83" s="298"/>
      <c r="S83" s="72"/>
      <c r="T83" s="72"/>
      <c r="U83" s="72"/>
      <c r="V83" s="72"/>
      <c r="W83" s="72"/>
      <c r="X83" s="297"/>
      <c r="Y83" s="278"/>
      <c r="Z83" s="279"/>
      <c r="AA83" s="278"/>
      <c r="AB83" s="279"/>
      <c r="AC83" s="298"/>
      <c r="AD83" s="298"/>
      <c r="AE83" s="263"/>
      <c r="AF83" s="298"/>
      <c r="AG83" s="263"/>
      <c r="AH83" s="298"/>
      <c r="AI83" s="280"/>
      <c r="AJ83" s="298"/>
      <c r="AK83" s="263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300"/>
      <c r="AW83" s="72"/>
      <c r="AX83" s="72"/>
      <c r="AY83" s="265"/>
      <c r="AZ83" s="33"/>
      <c r="BA83" s="46"/>
      <c r="BB83" s="78"/>
      <c r="BC83" s="34"/>
      <c r="BD83" s="28"/>
    </row>
    <row r="84" spans="1:67" ht="14.15" customHeight="1">
      <c r="A84" s="23"/>
      <c r="B84" s="351"/>
      <c r="C84" s="282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5"/>
      <c r="S84" s="35"/>
      <c r="T84" s="28"/>
      <c r="U84" s="28"/>
      <c r="V84" s="28"/>
      <c r="W84" s="28"/>
      <c r="X84" s="28"/>
      <c r="Y84" s="28"/>
      <c r="Z84" s="28"/>
      <c r="AC84" s="28"/>
      <c r="AD84" s="28"/>
      <c r="AE84" s="35"/>
      <c r="AF84" s="35"/>
      <c r="AG84" s="35"/>
      <c r="AH84" s="35"/>
      <c r="AI84" s="35"/>
      <c r="AJ84" s="28"/>
      <c r="AK84" s="28"/>
      <c r="AL84" s="28"/>
      <c r="AM84" s="35"/>
      <c r="AN84" s="35"/>
      <c r="AO84" s="135"/>
      <c r="AP84" s="136"/>
      <c r="AQ84" s="130"/>
      <c r="AR84" s="130"/>
      <c r="AS84" s="130"/>
      <c r="AT84" s="130"/>
      <c r="AU84" s="81"/>
      <c r="AV84" s="35"/>
      <c r="AW84" s="35"/>
      <c r="AX84" s="65"/>
      <c r="AY84" s="347"/>
      <c r="AZ84" s="33"/>
      <c r="BA84" s="46"/>
      <c r="BB84" s="78"/>
      <c r="BC84" s="34"/>
      <c r="BD84" s="28"/>
      <c r="BG84" s="35"/>
    </row>
    <row r="85" spans="1:67" ht="14.15" customHeight="1">
      <c r="A85" s="23"/>
      <c r="B85" s="351"/>
      <c r="C85" s="352"/>
      <c r="D85" s="348" t="s">
        <v>37</v>
      </c>
      <c r="E85" s="131"/>
      <c r="F85" s="131"/>
      <c r="G85" s="131"/>
      <c r="H85" s="132"/>
      <c r="I85" s="132"/>
      <c r="J85" s="106"/>
      <c r="K85" s="133"/>
      <c r="L85" s="134"/>
      <c r="M85" s="144"/>
      <c r="N85" s="144"/>
      <c r="O85" s="131"/>
      <c r="P85" s="134"/>
      <c r="Q85" s="107"/>
      <c r="R85" s="133" t="s">
        <v>39</v>
      </c>
      <c r="S85" s="134"/>
      <c r="T85" s="107"/>
      <c r="U85" s="107"/>
      <c r="V85" s="133" t="s">
        <v>43</v>
      </c>
      <c r="W85" s="134"/>
      <c r="X85" s="107"/>
      <c r="Y85" s="35"/>
      <c r="Z85" s="35"/>
      <c r="AC85" s="28"/>
      <c r="AD85" s="28"/>
      <c r="AE85" s="28"/>
      <c r="AF85" s="35"/>
      <c r="AG85" s="35"/>
      <c r="AH85" s="28"/>
      <c r="AI85" s="28"/>
      <c r="AJ85" s="28"/>
      <c r="AK85" s="81"/>
      <c r="AL85" s="28"/>
      <c r="AM85" s="28"/>
      <c r="AN85" s="28"/>
      <c r="AO85" s="28"/>
      <c r="AP85" s="28"/>
      <c r="AQ85" s="65"/>
      <c r="AR85" s="65"/>
      <c r="AS85" s="65"/>
      <c r="AT85" s="125"/>
      <c r="AU85" s="65"/>
      <c r="AV85" s="65"/>
      <c r="AW85" s="65"/>
      <c r="AX85" s="65"/>
      <c r="AY85" s="347"/>
      <c r="AZ85" s="33"/>
      <c r="BA85" s="46"/>
      <c r="BB85" s="78"/>
      <c r="BC85" s="34"/>
      <c r="BD85" s="28"/>
      <c r="BE85" s="35"/>
      <c r="BF85" s="35"/>
      <c r="BG85" s="35"/>
    </row>
    <row r="86" spans="1:67" ht="13.5" customHeight="1">
      <c r="A86" s="22"/>
      <c r="B86" s="353"/>
      <c r="C86" s="352"/>
      <c r="D86" s="349" t="s">
        <v>44</v>
      </c>
      <c r="E86" s="137"/>
      <c r="F86" s="137"/>
      <c r="G86" s="137"/>
      <c r="H86" s="137"/>
      <c r="I86" s="137"/>
      <c r="J86" s="137"/>
      <c r="K86" s="350"/>
      <c r="L86" s="139"/>
      <c r="M86" s="108"/>
      <c r="N86" s="108"/>
      <c r="O86" s="145"/>
      <c r="P86" s="139"/>
      <c r="Q86" s="109"/>
      <c r="R86" s="138" t="s">
        <v>40</v>
      </c>
      <c r="S86" s="139"/>
      <c r="T86" s="108"/>
      <c r="U86" s="109"/>
      <c r="V86" s="140"/>
      <c r="W86" s="141"/>
      <c r="X86" s="142"/>
      <c r="Y86" s="116"/>
      <c r="Z86" s="41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65"/>
      <c r="AR86" s="65"/>
      <c r="AS86" s="65"/>
      <c r="AT86" s="125"/>
      <c r="AU86" s="65"/>
      <c r="AV86" s="65"/>
      <c r="AW86" s="65"/>
      <c r="AX86" s="65"/>
      <c r="AY86" s="347"/>
      <c r="AZ86" s="33"/>
      <c r="BA86" s="46"/>
      <c r="BB86" s="78"/>
      <c r="BC86" s="34"/>
      <c r="BD86" s="28"/>
      <c r="BE86" s="35"/>
      <c r="BF86" s="35"/>
      <c r="BG86" s="35"/>
    </row>
    <row r="87" spans="1:67" ht="5.15" customHeight="1">
      <c r="A87" s="22"/>
      <c r="B87" s="202"/>
      <c r="C87" s="315"/>
      <c r="D87" s="73"/>
      <c r="E87" s="73"/>
      <c r="F87" s="73"/>
      <c r="G87" s="73"/>
      <c r="H87" s="316"/>
      <c r="I87" s="275"/>
      <c r="J87" s="273"/>
      <c r="K87" s="275"/>
      <c r="L87" s="273"/>
      <c r="M87" s="317"/>
      <c r="N87" s="317"/>
      <c r="O87" s="270"/>
      <c r="P87" s="317"/>
      <c r="Q87" s="270"/>
      <c r="R87" s="317"/>
      <c r="S87" s="73"/>
      <c r="T87" s="73"/>
      <c r="U87" s="73"/>
      <c r="V87" s="73"/>
      <c r="W87" s="73"/>
      <c r="X87" s="316"/>
      <c r="Y87" s="275"/>
      <c r="Z87" s="273"/>
      <c r="AA87" s="275"/>
      <c r="AB87" s="273"/>
      <c r="AC87" s="317"/>
      <c r="AD87" s="317"/>
      <c r="AE87" s="270"/>
      <c r="AF87" s="317"/>
      <c r="AG87" s="270"/>
      <c r="AH87" s="317"/>
      <c r="AI87" s="276"/>
      <c r="AJ87" s="317"/>
      <c r="AK87" s="270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318"/>
      <c r="AW87" s="73"/>
      <c r="AX87" s="73"/>
      <c r="AY87" s="277"/>
      <c r="AZ87" s="33"/>
      <c r="BA87" s="46"/>
      <c r="BB87" s="78"/>
      <c r="BC87" s="34"/>
      <c r="BD87" s="28"/>
    </row>
    <row r="88" spans="1:67" ht="14.15" customHeight="1">
      <c r="A88" s="22"/>
      <c r="B88" s="202">
        <v>35</v>
      </c>
      <c r="C88" s="331"/>
      <c r="D88" s="332"/>
      <c r="E88" s="65"/>
      <c r="F88" s="65"/>
      <c r="G88" s="65"/>
      <c r="H88" s="65"/>
      <c r="I88" s="65"/>
      <c r="J88" s="969"/>
      <c r="K88" s="969"/>
      <c r="L88" s="969"/>
      <c r="M88" s="969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125"/>
      <c r="AU88" s="65"/>
      <c r="AV88" s="65"/>
      <c r="AW88" s="65"/>
      <c r="AX88" s="65"/>
      <c r="AY88" s="65"/>
      <c r="AZ88" s="33"/>
      <c r="BA88" s="46"/>
      <c r="BB88" s="335"/>
      <c r="BC88" s="336"/>
      <c r="BD88" s="28"/>
      <c r="BG88" s="24"/>
      <c r="BH88" s="28"/>
    </row>
    <row r="89" spans="1:67" ht="14.15" customHeight="1">
      <c r="A89" s="22"/>
      <c r="B89" s="202">
        <v>35</v>
      </c>
      <c r="C89" s="346" t="s">
        <v>246</v>
      </c>
      <c r="D89" s="332"/>
      <c r="E89" s="65"/>
      <c r="F89" s="65"/>
      <c r="G89" s="65"/>
      <c r="H89" s="65"/>
      <c r="I89" s="65"/>
      <c r="J89" s="969"/>
      <c r="K89" s="969"/>
      <c r="L89" s="969"/>
      <c r="M89" s="969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125"/>
      <c r="AU89" s="65"/>
      <c r="AV89" s="65"/>
      <c r="AW89" s="65"/>
      <c r="AX89" s="65"/>
      <c r="AY89" s="65"/>
      <c r="AZ89" s="33"/>
      <c r="BA89" s="46"/>
      <c r="BB89" s="335"/>
      <c r="BC89" s="336"/>
      <c r="BD89" s="28"/>
      <c r="BG89" s="24"/>
      <c r="BH89" s="28"/>
    </row>
    <row r="90" spans="1:67" ht="14.15" customHeight="1">
      <c r="A90" s="22"/>
      <c r="B90" s="202">
        <v>35</v>
      </c>
      <c r="C90" s="331"/>
      <c r="D90" s="478" t="s">
        <v>247</v>
      </c>
      <c r="E90" s="65"/>
      <c r="F90" s="65"/>
      <c r="G90" s="65"/>
      <c r="H90" s="65"/>
      <c r="I90" s="65"/>
      <c r="J90" s="477"/>
      <c r="K90" s="477"/>
      <c r="L90" s="477"/>
      <c r="M90" s="477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125"/>
      <c r="AU90" s="65"/>
      <c r="AV90" s="65"/>
      <c r="AW90" s="65"/>
      <c r="AX90" s="65"/>
      <c r="AY90" s="65"/>
      <c r="AZ90" s="33"/>
      <c r="BA90" s="46"/>
      <c r="BB90" s="335"/>
      <c r="BC90" s="336"/>
      <c r="BD90" s="28"/>
      <c r="BG90" s="24"/>
      <c r="BH90" s="28"/>
    </row>
    <row r="91" spans="1:67" ht="14.15" customHeight="1">
      <c r="A91" s="22"/>
      <c r="B91" s="202">
        <v>35</v>
      </c>
      <c r="C91" s="331"/>
      <c r="D91" s="332"/>
      <c r="E91" s="65"/>
      <c r="F91" s="65"/>
      <c r="G91" s="65"/>
      <c r="H91" s="65"/>
      <c r="I91" s="65"/>
      <c r="J91" s="1008"/>
      <c r="K91" s="1008"/>
      <c r="L91" s="1008"/>
      <c r="M91" s="1008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125"/>
      <c r="AU91" s="65"/>
      <c r="AV91" s="65"/>
      <c r="AW91" s="65"/>
      <c r="AX91" s="65"/>
      <c r="AY91" s="65"/>
      <c r="AZ91" s="33"/>
      <c r="BA91" s="46"/>
      <c r="BB91" s="335"/>
      <c r="BC91" s="336"/>
      <c r="BD91" s="28"/>
      <c r="BG91" s="24"/>
      <c r="BH91" s="28"/>
    </row>
    <row r="92" spans="1:67" ht="5.15" customHeight="1">
      <c r="A92" s="22"/>
      <c r="B92" s="202"/>
      <c r="C92" s="296"/>
      <c r="D92" s="72"/>
      <c r="E92" s="72"/>
      <c r="F92" s="72"/>
      <c r="G92" s="72"/>
      <c r="H92" s="297"/>
      <c r="I92" s="278"/>
      <c r="J92" s="279"/>
      <c r="K92" s="278"/>
      <c r="L92" s="279"/>
      <c r="M92" s="298"/>
      <c r="N92" s="298"/>
      <c r="O92" s="263"/>
      <c r="P92" s="298"/>
      <c r="Q92" s="263"/>
      <c r="R92" s="298"/>
      <c r="S92" s="72"/>
      <c r="T92" s="72"/>
      <c r="U92" s="72"/>
      <c r="V92" s="72"/>
      <c r="W92" s="72"/>
      <c r="X92" s="297"/>
      <c r="Y92" s="278"/>
      <c r="Z92" s="279"/>
      <c r="AA92" s="278"/>
      <c r="AB92" s="279"/>
      <c r="AC92" s="298"/>
      <c r="AD92" s="298"/>
      <c r="AE92" s="263"/>
      <c r="AF92" s="298"/>
      <c r="AG92" s="263"/>
      <c r="AH92" s="298"/>
      <c r="AI92" s="280"/>
      <c r="AJ92" s="298"/>
      <c r="AK92" s="263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300"/>
      <c r="AW92" s="72"/>
      <c r="AX92" s="72"/>
      <c r="AY92" s="265"/>
      <c r="AZ92" s="33"/>
      <c r="BA92" s="46"/>
      <c r="BB92" s="78"/>
      <c r="BC92" s="34"/>
      <c r="BD92" s="28"/>
    </row>
    <row r="93" spans="1:67" ht="14.15" customHeight="1">
      <c r="A93" s="23"/>
      <c r="B93" s="351"/>
      <c r="C93" s="282"/>
      <c r="D93" s="28" t="s">
        <v>239</v>
      </c>
      <c r="E93" s="28"/>
      <c r="F93" s="28"/>
      <c r="G93" s="28"/>
      <c r="H93" s="468" t="s">
        <v>244</v>
      </c>
      <c r="I93" s="257"/>
      <c r="J93" s="258"/>
      <c r="K93" s="258"/>
      <c r="L93" s="258"/>
      <c r="M93" s="259"/>
      <c r="N93" s="258"/>
      <c r="O93" s="110"/>
      <c r="P93" s="261" t="s">
        <v>32</v>
      </c>
      <c r="Q93" s="25"/>
      <c r="R93" s="469" t="s">
        <v>245</v>
      </c>
      <c r="S93" s="470"/>
      <c r="T93" s="471"/>
      <c r="U93" s="471"/>
      <c r="V93" s="483"/>
      <c r="W93" s="472"/>
      <c r="X93" s="471"/>
      <c r="Y93" s="473"/>
      <c r="Z93" s="474"/>
      <c r="AB93" s="469" t="s">
        <v>287</v>
      </c>
      <c r="AC93" s="470"/>
      <c r="AD93" s="471"/>
      <c r="AE93" s="471"/>
      <c r="AF93" s="471"/>
      <c r="AG93" s="472"/>
      <c r="AH93" s="471"/>
      <c r="AI93" s="473"/>
      <c r="AJ93" s="472"/>
      <c r="AK93" s="479"/>
      <c r="AL93" s="479"/>
      <c r="AM93" s="473"/>
      <c r="AN93" s="473"/>
      <c r="AO93" s="471"/>
      <c r="AP93" s="480"/>
      <c r="AQ93" s="471"/>
      <c r="AR93" s="471"/>
      <c r="AS93" s="471"/>
      <c r="AT93" s="471"/>
      <c r="AU93" s="481"/>
      <c r="AV93" s="473"/>
      <c r="AW93" s="473"/>
      <c r="AX93" s="482"/>
      <c r="AY93" s="347"/>
      <c r="AZ93" s="33"/>
      <c r="BA93" s="46"/>
      <c r="BB93" s="78"/>
      <c r="BC93" s="34"/>
      <c r="BD93" s="28"/>
      <c r="BG93" s="35"/>
    </row>
    <row r="94" spans="1:67" ht="14.15" customHeight="1">
      <c r="A94" s="23"/>
      <c r="B94" s="351"/>
      <c r="C94" s="282"/>
      <c r="D94" s="28"/>
      <c r="E94" s="28"/>
      <c r="F94" s="28"/>
      <c r="G94" s="28"/>
      <c r="H94" s="469" t="s">
        <v>53</v>
      </c>
      <c r="I94" s="470"/>
      <c r="J94" s="471"/>
      <c r="K94" s="471"/>
      <c r="L94" s="471"/>
      <c r="M94" s="472"/>
      <c r="N94" s="471"/>
      <c r="O94" s="473"/>
      <c r="P94" s="472"/>
      <c r="Q94" s="479"/>
      <c r="R94" s="479"/>
      <c r="S94" s="473"/>
      <c r="T94" s="473"/>
      <c r="U94" s="471"/>
      <c r="V94" s="480"/>
      <c r="W94" s="471"/>
      <c r="X94" s="471"/>
      <c r="Y94" s="471"/>
      <c r="Z94" s="471"/>
      <c r="AA94" s="481"/>
      <c r="AB94" s="473"/>
      <c r="AC94" s="473"/>
      <c r="AD94" s="479"/>
      <c r="AE94" s="471"/>
      <c r="AF94" s="471"/>
      <c r="AG94" s="472"/>
      <c r="AH94" s="471"/>
      <c r="AI94" s="473"/>
      <c r="AJ94" s="472"/>
      <c r="AK94" s="479"/>
      <c r="AL94" s="479"/>
      <c r="AM94" s="473"/>
      <c r="AN94" s="473"/>
      <c r="AO94" s="471"/>
      <c r="AP94" s="480"/>
      <c r="AQ94" s="471"/>
      <c r="AR94" s="471"/>
      <c r="AS94" s="471"/>
      <c r="AT94" s="471"/>
      <c r="AU94" s="481"/>
      <c r="AV94" s="473"/>
      <c r="AW94" s="473"/>
      <c r="AX94" s="482"/>
      <c r="AY94" s="347"/>
      <c r="AZ94" s="33"/>
      <c r="BA94" s="46"/>
      <c r="BB94" s="78"/>
      <c r="BC94" s="34"/>
      <c r="BD94" s="28"/>
      <c r="BG94" s="35"/>
    </row>
    <row r="95" spans="1:67" ht="5.15" customHeight="1">
      <c r="A95" s="22"/>
      <c r="B95" s="202"/>
      <c r="C95" s="315"/>
      <c r="D95" s="73"/>
      <c r="E95" s="73"/>
      <c r="F95" s="73"/>
      <c r="G95" s="73"/>
      <c r="H95" s="316"/>
      <c r="I95" s="275"/>
      <c r="J95" s="273"/>
      <c r="K95" s="275"/>
      <c r="L95" s="273"/>
      <c r="M95" s="317"/>
      <c r="N95" s="317"/>
      <c r="O95" s="270"/>
      <c r="P95" s="317"/>
      <c r="Q95" s="270"/>
      <c r="R95" s="317"/>
      <c r="S95" s="73"/>
      <c r="T95" s="73"/>
      <c r="U95" s="73"/>
      <c r="V95" s="73"/>
      <c r="W95" s="73"/>
      <c r="X95" s="316"/>
      <c r="Y95" s="275"/>
      <c r="Z95" s="273"/>
      <c r="AA95" s="275"/>
      <c r="AB95" s="273"/>
      <c r="AC95" s="317"/>
      <c r="AD95" s="317"/>
      <c r="AE95" s="270"/>
      <c r="AF95" s="317"/>
      <c r="AG95" s="270"/>
      <c r="AH95" s="317"/>
      <c r="AI95" s="276"/>
      <c r="AJ95" s="317"/>
      <c r="AK95" s="270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318"/>
      <c r="AW95" s="73"/>
      <c r="AX95" s="73"/>
      <c r="AY95" s="277"/>
      <c r="AZ95" s="33"/>
      <c r="BA95" s="46"/>
      <c r="BB95" s="78"/>
      <c r="BC95" s="34"/>
      <c r="BD95" s="28"/>
    </row>
    <row r="96" spans="1:67" ht="5.15" customHeight="1">
      <c r="A96" s="22"/>
      <c r="B96" s="202"/>
      <c r="C96" s="476"/>
      <c r="D96" s="72"/>
      <c r="E96" s="72"/>
      <c r="F96" s="72"/>
      <c r="G96" s="72"/>
      <c r="H96" s="297"/>
      <c r="I96" s="278"/>
      <c r="J96" s="279"/>
      <c r="K96" s="278"/>
      <c r="L96" s="279"/>
      <c r="M96" s="298"/>
      <c r="N96" s="298"/>
      <c r="O96" s="263"/>
      <c r="P96" s="298"/>
      <c r="Q96" s="263"/>
      <c r="R96" s="298"/>
      <c r="S96" s="72"/>
      <c r="T96" s="72"/>
      <c r="U96" s="72"/>
      <c r="V96" s="72"/>
      <c r="W96" s="72"/>
      <c r="X96" s="297"/>
      <c r="Y96" s="278"/>
      <c r="Z96" s="279"/>
      <c r="AA96" s="278"/>
      <c r="AB96" s="279"/>
      <c r="AC96" s="298"/>
      <c r="AD96" s="298"/>
      <c r="AE96" s="263"/>
      <c r="AF96" s="298"/>
      <c r="AG96" s="263"/>
      <c r="AH96" s="298"/>
      <c r="AI96" s="280"/>
      <c r="AJ96" s="298"/>
      <c r="AK96" s="263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300"/>
      <c r="AW96" s="72"/>
      <c r="AX96" s="72"/>
      <c r="AY96" s="264"/>
      <c r="AZ96" s="33"/>
      <c r="BA96" s="46"/>
      <c r="BB96" s="78"/>
      <c r="BC96" s="34"/>
      <c r="BD96" s="28"/>
    </row>
    <row r="97" spans="1:60" ht="14.15" customHeight="1">
      <c r="A97" s="22"/>
      <c r="B97" s="202">
        <v>35</v>
      </c>
      <c r="C97" s="62" t="s">
        <v>242</v>
      </c>
      <c r="D97" s="332"/>
      <c r="E97" s="65"/>
      <c r="F97" s="65"/>
      <c r="G97" s="65"/>
      <c r="H97" s="65"/>
      <c r="I97" s="65"/>
      <c r="J97" s="969"/>
      <c r="K97" s="969"/>
      <c r="L97" s="969"/>
      <c r="M97" s="969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125"/>
      <c r="AU97" s="65"/>
      <c r="AV97" s="65"/>
      <c r="AW97" s="65"/>
      <c r="AX97" s="65"/>
      <c r="AY97" s="65"/>
      <c r="AZ97" s="33"/>
      <c r="BA97" s="46"/>
      <c r="BB97" s="335"/>
      <c r="BC97" s="336"/>
      <c r="BD97" s="28"/>
      <c r="BG97" s="24"/>
      <c r="BH97" s="28"/>
    </row>
    <row r="98" spans="1:60" ht="5.15" customHeight="1">
      <c r="A98" s="22"/>
      <c r="B98" s="202"/>
      <c r="C98" s="296"/>
      <c r="D98" s="72"/>
      <c r="E98" s="72"/>
      <c r="F98" s="72"/>
      <c r="G98" s="72"/>
      <c r="H98" s="297"/>
      <c r="I98" s="278"/>
      <c r="J98" s="279"/>
      <c r="K98" s="278"/>
      <c r="L98" s="279"/>
      <c r="M98" s="298"/>
      <c r="N98" s="298"/>
      <c r="O98" s="263"/>
      <c r="P98" s="298"/>
      <c r="Q98" s="263"/>
      <c r="R98" s="298"/>
      <c r="S98" s="72"/>
      <c r="T98" s="72"/>
      <c r="U98" s="72"/>
      <c r="V98" s="72"/>
      <c r="W98" s="72"/>
      <c r="X98" s="297"/>
      <c r="Y98" s="278"/>
      <c r="Z98" s="279"/>
      <c r="AA98" s="278"/>
      <c r="AB98" s="279"/>
      <c r="AC98" s="298"/>
      <c r="AD98" s="298"/>
      <c r="AE98" s="263"/>
      <c r="AF98" s="298"/>
      <c r="AG98" s="263"/>
      <c r="AH98" s="298"/>
      <c r="AI98" s="280"/>
      <c r="AJ98" s="298"/>
      <c r="AK98" s="263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300"/>
      <c r="AW98" s="72"/>
      <c r="AX98" s="72"/>
      <c r="AY98" s="265"/>
      <c r="AZ98" s="33"/>
      <c r="BA98" s="46"/>
      <c r="BB98" s="78"/>
      <c r="BC98" s="34"/>
      <c r="BD98" s="28"/>
    </row>
    <row r="99" spans="1:60" ht="14.15" customHeight="1">
      <c r="A99" s="23"/>
      <c r="B99" s="351"/>
      <c r="C99" s="282"/>
      <c r="D99" s="28" t="s">
        <v>239</v>
      </c>
      <c r="E99" s="28"/>
      <c r="F99" s="28"/>
      <c r="G99" s="28"/>
      <c r="H99" s="468" t="s">
        <v>240</v>
      </c>
      <c r="I99" s="257"/>
      <c r="J99" s="258"/>
      <c r="K99" s="258"/>
      <c r="L99" s="258"/>
      <c r="M99" s="259"/>
      <c r="N99" s="258"/>
      <c r="O99" s="110"/>
      <c r="P99" s="261" t="s">
        <v>32</v>
      </c>
      <c r="Q99" s="25"/>
      <c r="R99" s="469" t="s">
        <v>241</v>
      </c>
      <c r="S99" s="470"/>
      <c r="T99" s="471"/>
      <c r="U99" s="471"/>
      <c r="V99" s="483"/>
      <c r="W99" s="484" t="s">
        <v>253</v>
      </c>
      <c r="X99" s="471"/>
      <c r="Y99" s="473"/>
      <c r="Z99" s="474"/>
      <c r="AB99" s="529" t="s">
        <v>288</v>
      </c>
      <c r="AC99" s="530"/>
      <c r="AD99" s="531"/>
      <c r="AE99" s="531"/>
      <c r="AF99" s="531"/>
      <c r="AG99" s="532"/>
      <c r="AH99" s="531"/>
      <c r="AI99" s="533"/>
      <c r="AJ99" s="532"/>
      <c r="AK99" s="61"/>
      <c r="AL99" s="61"/>
      <c r="AM99" s="533"/>
      <c r="AN99" s="533"/>
      <c r="AO99" s="531"/>
      <c r="AP99" s="534"/>
      <c r="AQ99" s="531"/>
      <c r="AR99" s="531"/>
      <c r="AS99" s="531"/>
      <c r="AT99" s="531"/>
      <c r="AU99" s="535"/>
      <c r="AV99" s="533"/>
      <c r="AW99" s="533"/>
      <c r="AX99" s="70"/>
      <c r="AY99" s="347"/>
      <c r="AZ99" s="33"/>
      <c r="BA99" s="46"/>
      <c r="BB99" s="78"/>
      <c r="BC99" s="34"/>
      <c r="BD99" s="28"/>
      <c r="BG99" s="35"/>
    </row>
    <row r="100" spans="1:60" ht="14.15" customHeight="1">
      <c r="A100" s="23"/>
      <c r="B100" s="351"/>
      <c r="C100" s="282"/>
      <c r="D100" s="28"/>
      <c r="E100" s="28"/>
      <c r="F100" s="28"/>
      <c r="G100" s="28"/>
      <c r="H100" s="469" t="s">
        <v>252</v>
      </c>
      <c r="I100" s="470"/>
      <c r="J100" s="471"/>
      <c r="K100" s="471"/>
      <c r="L100" s="471"/>
      <c r="M100" s="472"/>
      <c r="N100" s="471"/>
      <c r="O100" s="473"/>
      <c r="P100" s="472"/>
      <c r="Q100" s="479"/>
      <c r="R100" s="479"/>
      <c r="S100" s="473"/>
      <c r="T100" s="473"/>
      <c r="U100" s="471"/>
      <c r="V100" s="480"/>
      <c r="W100" s="471"/>
      <c r="X100" s="471"/>
      <c r="Y100" s="471"/>
      <c r="Z100" s="471"/>
      <c r="AA100" s="481"/>
      <c r="AB100" s="473"/>
      <c r="AC100" s="473"/>
      <c r="AD100" s="479"/>
      <c r="AE100" s="471"/>
      <c r="AF100" s="471"/>
      <c r="AG100" s="472"/>
      <c r="AH100" s="471"/>
      <c r="AI100" s="473"/>
      <c r="AJ100" s="472"/>
      <c r="AK100" s="479"/>
      <c r="AL100" s="479"/>
      <c r="AM100" s="473"/>
      <c r="AN100" s="473"/>
      <c r="AO100" s="471"/>
      <c r="AP100" s="480"/>
      <c r="AQ100" s="471"/>
      <c r="AR100" s="471"/>
      <c r="AS100" s="471"/>
      <c r="AT100" s="471"/>
      <c r="AU100" s="481"/>
      <c r="AV100" s="473"/>
      <c r="AW100" s="473"/>
      <c r="AX100" s="482"/>
      <c r="AY100" s="347"/>
      <c r="AZ100" s="33"/>
      <c r="BA100" s="46"/>
      <c r="BB100" s="78"/>
      <c r="BC100" s="34"/>
      <c r="BD100" s="28"/>
      <c r="BG100" s="35"/>
    </row>
    <row r="101" spans="1:60" ht="5.15" customHeight="1">
      <c r="A101" s="22"/>
      <c r="B101" s="202"/>
      <c r="C101" s="315"/>
      <c r="D101" s="73"/>
      <c r="E101" s="73"/>
      <c r="F101" s="73"/>
      <c r="G101" s="73"/>
      <c r="H101" s="316"/>
      <c r="I101" s="275"/>
      <c r="J101" s="273"/>
      <c r="K101" s="275"/>
      <c r="L101" s="273"/>
      <c r="M101" s="317"/>
      <c r="N101" s="317"/>
      <c r="O101" s="270"/>
      <c r="P101" s="317"/>
      <c r="Q101" s="270"/>
      <c r="R101" s="317"/>
      <c r="S101" s="73"/>
      <c r="T101" s="73"/>
      <c r="U101" s="73"/>
      <c r="V101" s="73"/>
      <c r="W101" s="73"/>
      <c r="X101" s="316"/>
      <c r="Y101" s="275"/>
      <c r="Z101" s="273"/>
      <c r="AA101" s="275"/>
      <c r="AB101" s="273"/>
      <c r="AC101" s="317"/>
      <c r="AD101" s="317"/>
      <c r="AE101" s="270"/>
      <c r="AF101" s="317"/>
      <c r="AG101" s="270"/>
      <c r="AH101" s="317"/>
      <c r="AI101" s="276"/>
      <c r="AJ101" s="317"/>
      <c r="AK101" s="270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318"/>
      <c r="AW101" s="73"/>
      <c r="AX101" s="73"/>
      <c r="AY101" s="277"/>
      <c r="AZ101" s="33"/>
      <c r="BA101" s="46"/>
      <c r="BB101" s="78"/>
      <c r="BC101" s="34"/>
      <c r="BD101" s="28"/>
    </row>
    <row r="102" spans="1:60" ht="5.15" customHeight="1">
      <c r="A102" s="22"/>
      <c r="B102" s="202"/>
      <c r="C102" s="476"/>
      <c r="D102" s="72"/>
      <c r="E102" s="72"/>
      <c r="F102" s="72"/>
      <c r="G102" s="72"/>
      <c r="H102" s="297"/>
      <c r="I102" s="278"/>
      <c r="J102" s="279"/>
      <c r="K102" s="278"/>
      <c r="L102" s="279"/>
      <c r="M102" s="298"/>
      <c r="N102" s="298"/>
      <c r="O102" s="263"/>
      <c r="P102" s="298"/>
      <c r="Q102" s="263"/>
      <c r="R102" s="298"/>
      <c r="S102" s="72"/>
      <c r="T102" s="72"/>
      <c r="U102" s="72"/>
      <c r="V102" s="72"/>
      <c r="W102" s="72"/>
      <c r="X102" s="297"/>
      <c r="Y102" s="278"/>
      <c r="Z102" s="279"/>
      <c r="AA102" s="278"/>
      <c r="AB102" s="279"/>
      <c r="AC102" s="298"/>
      <c r="AD102" s="298"/>
      <c r="AE102" s="263"/>
      <c r="AF102" s="298"/>
      <c r="AG102" s="263"/>
      <c r="AH102" s="298"/>
      <c r="AI102" s="280"/>
      <c r="AJ102" s="298"/>
      <c r="AK102" s="263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300"/>
      <c r="AW102" s="72"/>
      <c r="AX102" s="72"/>
      <c r="AY102" s="264"/>
      <c r="AZ102" s="33"/>
      <c r="BA102" s="46"/>
      <c r="BB102" s="78"/>
      <c r="BC102" s="34"/>
      <c r="BD102" s="28"/>
    </row>
    <row r="103" spans="1:60" ht="14.15" customHeight="1">
      <c r="A103" s="22"/>
      <c r="B103" s="202">
        <v>35</v>
      </c>
      <c r="C103" s="62" t="s">
        <v>242</v>
      </c>
      <c r="D103" s="332"/>
      <c r="E103" s="65"/>
      <c r="F103" s="65"/>
      <c r="G103" s="65"/>
      <c r="H103" s="65"/>
      <c r="I103" s="65"/>
      <c r="J103" s="477"/>
      <c r="K103" s="477"/>
      <c r="L103" s="477"/>
      <c r="M103" s="477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125"/>
      <c r="AU103" s="65"/>
      <c r="AV103" s="65"/>
      <c r="AW103" s="65"/>
      <c r="AX103" s="65"/>
      <c r="AY103" s="65"/>
      <c r="AZ103" s="33"/>
      <c r="BA103" s="46"/>
      <c r="BB103" s="335"/>
      <c r="BC103" s="336"/>
      <c r="BD103" s="28"/>
      <c r="BG103" s="24"/>
      <c r="BH103" s="28"/>
    </row>
    <row r="104" spans="1:60" ht="14.15" customHeight="1">
      <c r="A104" s="22"/>
      <c r="B104" s="202">
        <v>35</v>
      </c>
      <c r="C104" s="331"/>
      <c r="D104" s="332"/>
      <c r="E104" s="65"/>
      <c r="F104" s="65"/>
      <c r="G104" s="65"/>
      <c r="H104" s="65"/>
      <c r="I104" s="65"/>
      <c r="J104" s="477"/>
      <c r="K104" s="477"/>
      <c r="L104" s="477"/>
      <c r="M104" s="477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125"/>
      <c r="AU104" s="65"/>
      <c r="AV104" s="65"/>
      <c r="AW104" s="65"/>
      <c r="AX104" s="65"/>
      <c r="AY104" s="65"/>
      <c r="AZ104" s="33"/>
      <c r="BA104" s="46"/>
      <c r="BB104" s="335"/>
      <c r="BC104" s="336"/>
      <c r="BD104" s="28"/>
      <c r="BG104" s="24"/>
      <c r="BH104" s="28"/>
    </row>
    <row r="105" spans="1:60" ht="14.15" customHeight="1">
      <c r="A105" s="22"/>
      <c r="B105" s="202">
        <v>35</v>
      </c>
      <c r="C105" s="346" t="s">
        <v>248</v>
      </c>
      <c r="D105" s="332"/>
      <c r="E105" s="65"/>
      <c r="F105" s="65"/>
      <c r="G105" s="65"/>
      <c r="H105" s="65"/>
      <c r="I105" s="65"/>
      <c r="J105" s="969"/>
      <c r="K105" s="969"/>
      <c r="L105" s="969"/>
      <c r="M105" s="969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125"/>
      <c r="AU105" s="65"/>
      <c r="AV105" s="65"/>
      <c r="AW105" s="65"/>
      <c r="AX105" s="65"/>
      <c r="AY105" s="65"/>
      <c r="AZ105" s="33"/>
      <c r="BA105" s="46"/>
      <c r="BB105" s="335"/>
      <c r="BC105" s="336"/>
      <c r="BD105" s="28"/>
      <c r="BG105" s="24"/>
      <c r="BH105" s="28"/>
    </row>
    <row r="106" spans="1:60" ht="5.15" customHeight="1">
      <c r="A106" s="22"/>
      <c r="B106" s="202"/>
      <c r="C106" s="296"/>
      <c r="D106" s="72"/>
      <c r="E106" s="72"/>
      <c r="F106" s="72"/>
      <c r="G106" s="72"/>
      <c r="H106" s="297"/>
      <c r="I106" s="278"/>
      <c r="J106" s="279"/>
      <c r="K106" s="278"/>
      <c r="L106" s="279"/>
      <c r="M106" s="298"/>
      <c r="N106" s="298"/>
      <c r="O106" s="263"/>
      <c r="P106" s="298"/>
      <c r="Q106" s="263"/>
      <c r="R106" s="298"/>
      <c r="S106" s="72"/>
      <c r="T106" s="72"/>
      <c r="U106" s="72"/>
      <c r="V106" s="72"/>
      <c r="W106" s="72"/>
      <c r="X106" s="297"/>
      <c r="Y106" s="278"/>
      <c r="Z106" s="279"/>
      <c r="AA106" s="278"/>
      <c r="AB106" s="279"/>
      <c r="AC106" s="298"/>
      <c r="AD106" s="298"/>
      <c r="AE106" s="263"/>
      <c r="AF106" s="298"/>
      <c r="AG106" s="263"/>
      <c r="AH106" s="298"/>
      <c r="AI106" s="280"/>
      <c r="AJ106" s="298"/>
      <c r="AK106" s="263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300"/>
      <c r="AW106" s="72"/>
      <c r="AX106" s="72"/>
      <c r="AY106" s="265"/>
      <c r="AZ106" s="33"/>
      <c r="BA106" s="46"/>
      <c r="BB106" s="335"/>
      <c r="BC106" s="336"/>
      <c r="BD106" s="28"/>
    </row>
    <row r="107" spans="1:60" ht="13.5" customHeight="1">
      <c r="A107" s="22"/>
      <c r="B107" s="45"/>
      <c r="C107" s="266"/>
      <c r="D107" s="28" t="s">
        <v>249</v>
      </c>
      <c r="E107" s="28"/>
      <c r="F107" s="28"/>
      <c r="G107" s="28"/>
      <c r="H107" s="24"/>
      <c r="I107" s="24"/>
      <c r="J107" s="24"/>
      <c r="K107" s="24"/>
      <c r="L107" s="24"/>
      <c r="M107" s="127"/>
      <c r="N107" s="75"/>
      <c r="O107" s="84"/>
      <c r="P107" s="84"/>
      <c r="Q107" s="85"/>
      <c r="R107" s="75"/>
      <c r="S107" s="75"/>
      <c r="T107" s="75"/>
      <c r="U107" s="84"/>
      <c r="V107" s="85"/>
      <c r="W107" s="75"/>
      <c r="X107" s="65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65"/>
      <c r="AY107" s="267"/>
      <c r="AZ107" s="33"/>
      <c r="BA107" s="46"/>
      <c r="BB107" s="335"/>
      <c r="BC107" s="336"/>
      <c r="BD107" s="28"/>
      <c r="BE107" s="35"/>
      <c r="BF107" s="35"/>
      <c r="BG107" s="35"/>
    </row>
    <row r="108" spans="1:60" ht="13.5" customHeight="1">
      <c r="A108" s="22"/>
      <c r="B108" s="45"/>
      <c r="C108" s="266"/>
      <c r="D108" s="28"/>
      <c r="E108" s="28"/>
      <c r="F108" s="28"/>
      <c r="G108" s="28"/>
      <c r="H108" s="348" t="s">
        <v>251</v>
      </c>
      <c r="I108" s="131"/>
      <c r="J108" s="131"/>
      <c r="K108" s="131"/>
      <c r="L108" s="132"/>
      <c r="M108" s="132"/>
      <c r="N108" s="106"/>
      <c r="O108" s="133"/>
      <c r="P108" s="134"/>
      <c r="Q108" s="133" t="s">
        <v>250</v>
      </c>
      <c r="R108" s="134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33" t="s">
        <v>43</v>
      </c>
      <c r="AM108" s="134"/>
      <c r="AN108" s="107"/>
      <c r="AO108" s="31"/>
      <c r="AP108" s="31"/>
      <c r="AQ108" s="31"/>
      <c r="AR108" s="31"/>
      <c r="AS108" s="31"/>
      <c r="AT108" s="31"/>
      <c r="AU108" s="31"/>
      <c r="AV108" s="31"/>
      <c r="AW108" s="31"/>
      <c r="AX108" s="65"/>
      <c r="AY108" s="267"/>
      <c r="AZ108" s="33"/>
      <c r="BA108" s="46"/>
      <c r="BB108" s="335"/>
      <c r="BC108" s="336"/>
      <c r="BD108" s="28"/>
      <c r="BE108" s="35"/>
      <c r="BF108" s="35"/>
      <c r="BG108" s="35"/>
    </row>
    <row r="109" spans="1:60" ht="13.5" customHeight="1">
      <c r="A109" s="22"/>
      <c r="B109" s="45"/>
      <c r="C109" s="266"/>
      <c r="D109" s="28"/>
      <c r="E109" s="28"/>
      <c r="F109" s="28"/>
      <c r="G109" s="28"/>
      <c r="H109" s="485" t="s">
        <v>254</v>
      </c>
      <c r="I109" s="137"/>
      <c r="J109" s="137"/>
      <c r="K109" s="137"/>
      <c r="L109" s="137"/>
      <c r="M109" s="137"/>
      <c r="N109" s="137"/>
      <c r="O109" s="350"/>
      <c r="P109" s="139"/>
      <c r="Q109" s="486" t="s">
        <v>53</v>
      </c>
      <c r="R109" s="139"/>
      <c r="S109" s="108"/>
      <c r="T109" s="108"/>
      <c r="U109" s="108"/>
      <c r="V109" s="156"/>
      <c r="W109" s="110"/>
      <c r="X109" s="110"/>
      <c r="Y109" s="156"/>
      <c r="Z109" s="156"/>
      <c r="AA109" s="110"/>
      <c r="AB109" s="110"/>
      <c r="AC109" s="37"/>
      <c r="AD109" s="37"/>
      <c r="AE109" s="37"/>
      <c r="AF109" s="37"/>
      <c r="AG109" s="37"/>
      <c r="AH109" s="37"/>
      <c r="AI109" s="37"/>
      <c r="AJ109" s="37"/>
      <c r="AK109" s="97"/>
      <c r="AL109" s="140"/>
      <c r="AM109" s="141"/>
      <c r="AN109" s="142"/>
      <c r="AO109" s="31"/>
      <c r="AP109" s="31"/>
      <c r="AQ109" s="31"/>
      <c r="AR109" s="31"/>
      <c r="AS109" s="31"/>
      <c r="AT109" s="31"/>
      <c r="AU109" s="31"/>
      <c r="AV109" s="31"/>
      <c r="AW109" s="31"/>
      <c r="AX109" s="65"/>
      <c r="AY109" s="267"/>
      <c r="AZ109" s="33"/>
      <c r="BA109" s="46"/>
      <c r="BB109" s="335"/>
      <c r="BC109" s="336"/>
      <c r="BD109" s="28"/>
      <c r="BE109" s="35"/>
      <c r="BF109" s="35"/>
      <c r="BG109" s="35"/>
    </row>
    <row r="110" spans="1:60" ht="13.5" customHeight="1">
      <c r="A110" s="22"/>
      <c r="B110" s="45"/>
      <c r="C110" s="266"/>
      <c r="D110" s="28"/>
      <c r="E110" s="28"/>
      <c r="F110" s="28"/>
      <c r="G110" s="28"/>
      <c r="H110" s="485" t="s">
        <v>255</v>
      </c>
      <c r="I110" s="137"/>
      <c r="J110" s="137"/>
      <c r="K110" s="137"/>
      <c r="L110" s="137"/>
      <c r="M110" s="137"/>
      <c r="N110" s="137"/>
      <c r="O110" s="350"/>
      <c r="P110" s="139"/>
      <c r="Q110" s="486" t="s">
        <v>53</v>
      </c>
      <c r="R110" s="139"/>
      <c r="S110" s="108"/>
      <c r="T110" s="108"/>
      <c r="U110" s="108"/>
      <c r="V110" s="156"/>
      <c r="W110" s="110"/>
      <c r="X110" s="110"/>
      <c r="Y110" s="156"/>
      <c r="Z110" s="156"/>
      <c r="AA110" s="110"/>
      <c r="AB110" s="110"/>
      <c r="AC110" s="37"/>
      <c r="AD110" s="37"/>
      <c r="AE110" s="37"/>
      <c r="AF110" s="37"/>
      <c r="AG110" s="37"/>
      <c r="AH110" s="37"/>
      <c r="AI110" s="37"/>
      <c r="AJ110" s="37"/>
      <c r="AK110" s="97"/>
      <c r="AL110" s="140"/>
      <c r="AM110" s="141"/>
      <c r="AN110" s="142"/>
      <c r="AO110" s="31"/>
      <c r="AP110" s="31"/>
      <c r="AQ110" s="31"/>
      <c r="AR110" s="31"/>
      <c r="AS110" s="31"/>
      <c r="AT110" s="31"/>
      <c r="AU110" s="31"/>
      <c r="AV110" s="31"/>
      <c r="AW110" s="31"/>
      <c r="AX110" s="65"/>
      <c r="AY110" s="267"/>
      <c r="AZ110" s="33"/>
      <c r="BA110" s="46"/>
      <c r="BB110" s="335"/>
      <c r="BC110" s="336"/>
      <c r="BD110" s="28"/>
      <c r="BE110" s="35"/>
      <c r="BF110" s="35"/>
      <c r="BG110" s="35"/>
    </row>
    <row r="111" spans="1:60" ht="13.5" customHeight="1">
      <c r="A111" s="22"/>
      <c r="B111" s="45"/>
      <c r="C111" s="266"/>
      <c r="D111" s="28"/>
      <c r="E111" s="28"/>
      <c r="F111" s="28"/>
      <c r="G111" s="28"/>
      <c r="H111" s="485" t="s">
        <v>256</v>
      </c>
      <c r="I111" s="137"/>
      <c r="J111" s="137"/>
      <c r="K111" s="137"/>
      <c r="L111" s="137"/>
      <c r="M111" s="137"/>
      <c r="N111" s="137"/>
      <c r="O111" s="350"/>
      <c r="P111" s="139"/>
      <c r="Q111" s="486" t="s">
        <v>53</v>
      </c>
      <c r="R111" s="139"/>
      <c r="S111" s="108"/>
      <c r="T111" s="108"/>
      <c r="U111" s="108"/>
      <c r="V111" s="156"/>
      <c r="W111" s="110"/>
      <c r="X111" s="110"/>
      <c r="Y111" s="156"/>
      <c r="Z111" s="156"/>
      <c r="AA111" s="110"/>
      <c r="AB111" s="110"/>
      <c r="AC111" s="37"/>
      <c r="AD111" s="37"/>
      <c r="AE111" s="37"/>
      <c r="AF111" s="37"/>
      <c r="AG111" s="37"/>
      <c r="AH111" s="37"/>
      <c r="AI111" s="37"/>
      <c r="AJ111" s="37"/>
      <c r="AK111" s="97"/>
      <c r="AL111" s="140"/>
      <c r="AM111" s="141"/>
      <c r="AN111" s="142"/>
      <c r="AO111" s="31"/>
      <c r="AP111" s="31"/>
      <c r="AQ111" s="31"/>
      <c r="AR111" s="31"/>
      <c r="AS111" s="31"/>
      <c r="AT111" s="31"/>
      <c r="AU111" s="31"/>
      <c r="AV111" s="31"/>
      <c r="AW111" s="31"/>
      <c r="AX111" s="65"/>
      <c r="AY111" s="267"/>
      <c r="AZ111" s="33"/>
      <c r="BA111" s="46"/>
      <c r="BB111" s="335"/>
      <c r="BC111" s="336"/>
      <c r="BD111" s="28"/>
      <c r="BE111" s="35"/>
      <c r="BF111" s="35"/>
      <c r="BG111" s="35"/>
    </row>
    <row r="112" spans="1:60" ht="5.15" customHeight="1">
      <c r="A112" s="22"/>
      <c r="B112" s="202"/>
      <c r="C112" s="315"/>
      <c r="D112" s="73"/>
      <c r="E112" s="73"/>
      <c r="F112" s="73"/>
      <c r="G112" s="73"/>
      <c r="H112" s="316"/>
      <c r="I112" s="275"/>
      <c r="J112" s="273"/>
      <c r="K112" s="275"/>
      <c r="L112" s="273"/>
      <c r="M112" s="317"/>
      <c r="N112" s="317"/>
      <c r="O112" s="270"/>
      <c r="P112" s="317"/>
      <c r="Q112" s="270"/>
      <c r="R112" s="317"/>
      <c r="S112" s="73"/>
      <c r="T112" s="73"/>
      <c r="U112" s="73"/>
      <c r="V112" s="73"/>
      <c r="W112" s="73"/>
      <c r="X112" s="316"/>
      <c r="Y112" s="275"/>
      <c r="Z112" s="273"/>
      <c r="AA112" s="275"/>
      <c r="AB112" s="273"/>
      <c r="AC112" s="317"/>
      <c r="AD112" s="317"/>
      <c r="AE112" s="270"/>
      <c r="AF112" s="317"/>
      <c r="AG112" s="270"/>
      <c r="AH112" s="317"/>
      <c r="AI112" s="276"/>
      <c r="AJ112" s="317"/>
      <c r="AK112" s="270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318"/>
      <c r="AW112" s="73"/>
      <c r="AX112" s="73"/>
      <c r="AY112" s="277"/>
      <c r="AZ112" s="33"/>
      <c r="BA112" s="46"/>
      <c r="BB112" s="335"/>
      <c r="BC112" s="336"/>
      <c r="BD112" s="28"/>
    </row>
    <row r="113" spans="1:60" ht="14.15" customHeight="1">
      <c r="A113" s="22"/>
      <c r="B113" s="202"/>
      <c r="C113" s="331"/>
      <c r="D113" s="332"/>
      <c r="E113" s="65"/>
      <c r="F113" s="65"/>
      <c r="G113" s="65"/>
      <c r="H113" s="65"/>
      <c r="I113" s="65"/>
      <c r="J113" s="354"/>
      <c r="K113" s="354"/>
      <c r="L113" s="354"/>
      <c r="M113" s="354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125"/>
      <c r="AU113" s="65"/>
      <c r="AV113" s="65"/>
      <c r="AW113" s="65"/>
      <c r="AX113" s="65"/>
      <c r="AY113" s="65"/>
      <c r="AZ113" s="33"/>
      <c r="BA113" s="46"/>
      <c r="BB113" s="335"/>
      <c r="BC113" s="336"/>
      <c r="BD113" s="28"/>
      <c r="BG113" s="24"/>
      <c r="BH113" s="28"/>
    </row>
    <row r="114" spans="1:60" ht="13.5" customHeight="1">
      <c r="A114" s="22"/>
      <c r="B114" s="202">
        <v>36</v>
      </c>
      <c r="C114" s="331"/>
      <c r="D114" s="332"/>
      <c r="E114" s="65"/>
      <c r="F114" s="65"/>
      <c r="G114" s="65"/>
      <c r="H114" s="65"/>
      <c r="I114" s="65"/>
      <c r="J114" s="969"/>
      <c r="K114" s="969"/>
      <c r="L114" s="969"/>
      <c r="M114" s="969"/>
      <c r="N114" s="63"/>
      <c r="O114" s="65"/>
      <c r="P114" s="65"/>
      <c r="Q114" s="65"/>
      <c r="R114" s="28"/>
      <c r="S114" s="28"/>
      <c r="T114" s="31"/>
      <c r="U114" s="31"/>
      <c r="V114" s="31"/>
      <c r="W114" s="31"/>
      <c r="X114" s="31"/>
      <c r="Y114" s="44"/>
      <c r="Z114" s="31"/>
      <c r="AA114" s="28"/>
      <c r="AB114" s="44"/>
      <c r="AC114" s="31"/>
      <c r="AD114" s="28"/>
      <c r="AE114" s="44"/>
      <c r="AF114" s="28"/>
      <c r="AG114" s="116"/>
      <c r="AH114" s="41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33"/>
      <c r="BA114" s="46"/>
      <c r="BB114" s="335"/>
      <c r="BC114" s="336"/>
      <c r="BD114" s="28"/>
      <c r="BG114" s="24"/>
      <c r="BH114" s="28"/>
    </row>
    <row r="115" spans="1:60" ht="13.5" customHeight="1">
      <c r="A115" s="22"/>
      <c r="B115" s="202">
        <v>37</v>
      </c>
      <c r="C115" s="331"/>
      <c r="D115" s="332"/>
      <c r="E115" s="65"/>
      <c r="F115" s="65"/>
      <c r="G115" s="65"/>
      <c r="H115" s="65"/>
      <c r="I115" s="65"/>
      <c r="J115" s="969"/>
      <c r="K115" s="969"/>
      <c r="L115" s="969"/>
      <c r="M115" s="969"/>
      <c r="N115" s="193"/>
      <c r="O115" s="195"/>
      <c r="P115" s="193"/>
      <c r="Q115" s="194"/>
      <c r="R115" s="194"/>
      <c r="S115" s="194"/>
      <c r="T115" s="196"/>
      <c r="U115" s="196"/>
      <c r="V115" s="196"/>
      <c r="W115" s="196"/>
      <c r="X115" s="196"/>
      <c r="Y115" s="195"/>
      <c r="Z115" s="196"/>
      <c r="AA115" s="194"/>
      <c r="AB115" s="195"/>
      <c r="AC115" s="196"/>
      <c r="AD115" s="194"/>
      <c r="AE115" s="195"/>
      <c r="AF115" s="194"/>
      <c r="AG115" s="194"/>
      <c r="AH115" s="195"/>
      <c r="AI115" s="194"/>
      <c r="AJ115" s="194"/>
      <c r="AK115" s="197"/>
      <c r="AL115" s="194"/>
      <c r="AM115" s="194"/>
      <c r="AN115" s="194"/>
      <c r="AO115" s="194"/>
      <c r="AP115" s="194"/>
      <c r="AQ115" s="194"/>
      <c r="AR115" s="194"/>
      <c r="AS115" s="194"/>
      <c r="AT115" s="194"/>
      <c r="AU115" s="194"/>
      <c r="AV115" s="194"/>
      <c r="AW115" s="194"/>
      <c r="AX115" s="194"/>
      <c r="AY115" s="194"/>
      <c r="AZ115" s="33"/>
      <c r="BA115" s="46"/>
      <c r="BB115" s="335"/>
      <c r="BC115" s="336"/>
      <c r="BD115" s="28"/>
      <c r="BG115" s="24"/>
      <c r="BH115" s="28"/>
    </row>
    <row r="116" spans="1:60">
      <c r="A116" s="22"/>
      <c r="B116" s="32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81"/>
      <c r="T116" s="81"/>
      <c r="U116" s="81"/>
      <c r="V116" s="81"/>
      <c r="W116" s="28"/>
      <c r="X116" s="28"/>
      <c r="Y116" s="81"/>
      <c r="Z116" s="81"/>
      <c r="AA116" s="28"/>
      <c r="AB116" s="28"/>
      <c r="AC116" s="28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31"/>
      <c r="AZ116" s="33"/>
      <c r="BA116" s="46"/>
      <c r="BB116" s="335"/>
      <c r="BC116" s="336"/>
    </row>
    <row r="117" spans="1:60">
      <c r="A117" s="155"/>
      <c r="B117" s="95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56"/>
      <c r="T117" s="156"/>
      <c r="U117" s="156"/>
      <c r="V117" s="156"/>
      <c r="W117" s="110"/>
      <c r="X117" s="110"/>
      <c r="Y117" s="156"/>
      <c r="Z117" s="156"/>
      <c r="AA117" s="110"/>
      <c r="AB117" s="110"/>
      <c r="AC117" s="110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56"/>
      <c r="AR117" s="156"/>
      <c r="AS117" s="156"/>
      <c r="AT117" s="156"/>
      <c r="AU117" s="156"/>
      <c r="AV117" s="156"/>
      <c r="AW117" s="156"/>
      <c r="AX117" s="156"/>
      <c r="AY117" s="95"/>
      <c r="AZ117" s="95"/>
      <c r="BA117" s="157"/>
      <c r="BB117" s="355"/>
      <c r="BC117" s="356"/>
    </row>
  </sheetData>
  <mergeCells count="127">
    <mergeCell ref="BK81:BO81"/>
    <mergeCell ref="I3:L3"/>
    <mergeCell ref="BB5:BC5"/>
    <mergeCell ref="R51:U51"/>
    <mergeCell ref="Z51:AD51"/>
    <mergeCell ref="AN51:AQ51"/>
    <mergeCell ref="AR51:AU51"/>
    <mergeCell ref="AV51:AY51"/>
    <mergeCell ref="AZ51:BC51"/>
    <mergeCell ref="BD51:BG51"/>
    <mergeCell ref="A5:BA5"/>
    <mergeCell ref="A3:H3"/>
    <mergeCell ref="BL52:BN52"/>
    <mergeCell ref="BH51:BK51"/>
    <mergeCell ref="BL51:BN51"/>
    <mergeCell ref="R52:U52"/>
    <mergeCell ref="Z52:AD52"/>
    <mergeCell ref="AN52:AQ52"/>
    <mergeCell ref="AR52:AU52"/>
    <mergeCell ref="AV52:AY52"/>
    <mergeCell ref="AZ52:BC52"/>
    <mergeCell ref="BD52:BG52"/>
    <mergeCell ref="BH52:BK52"/>
    <mergeCell ref="BD76:BF76"/>
    <mergeCell ref="AV2:AY2"/>
    <mergeCell ref="AZ2:BC3"/>
    <mergeCell ref="M3:W3"/>
    <mergeCell ref="X3:Z3"/>
    <mergeCell ref="AA3:AR3"/>
    <mergeCell ref="AS3:AU3"/>
    <mergeCell ref="AV3:AY3"/>
    <mergeCell ref="AN2:AR2"/>
    <mergeCell ref="AN1:AR1"/>
    <mergeCell ref="AS1:AU1"/>
    <mergeCell ref="AV1:AY1"/>
    <mergeCell ref="AZ1:BC1"/>
    <mergeCell ref="AS2:AU2"/>
    <mergeCell ref="A1:H1"/>
    <mergeCell ref="I1:L1"/>
    <mergeCell ref="M1:W1"/>
    <mergeCell ref="X1:Z2"/>
    <mergeCell ref="AA1:AJ2"/>
    <mergeCell ref="A2:H2"/>
    <mergeCell ref="I2:L2"/>
    <mergeCell ref="M2:W2"/>
    <mergeCell ref="AK2:AM2"/>
    <mergeCell ref="AK1:AM1"/>
    <mergeCell ref="BU64:BX64"/>
    <mergeCell ref="BY64:CB64"/>
    <mergeCell ref="CC64:CE64"/>
    <mergeCell ref="X65:AA65"/>
    <mergeCell ref="AB65:AE65"/>
    <mergeCell ref="AF65:AJ65"/>
    <mergeCell ref="AK65:AN65"/>
    <mergeCell ref="AO65:AR65"/>
    <mergeCell ref="AS65:AV65"/>
    <mergeCell ref="AW65:AZ65"/>
    <mergeCell ref="AW64:AZ64"/>
    <mergeCell ref="BA64:BD64"/>
    <mergeCell ref="BE64:BH64"/>
    <mergeCell ref="BI64:BL64"/>
    <mergeCell ref="BM64:BP64"/>
    <mergeCell ref="BQ64:BT64"/>
    <mergeCell ref="X64:AA64"/>
    <mergeCell ref="AB64:AE64"/>
    <mergeCell ref="CC65:CE65"/>
    <mergeCell ref="BI65:BL65"/>
    <mergeCell ref="BM65:BP65"/>
    <mergeCell ref="BQ65:BT65"/>
    <mergeCell ref="BU65:BX65"/>
    <mergeCell ref="BY65:CB65"/>
    <mergeCell ref="J115:M115"/>
    <mergeCell ref="AE51:AI51"/>
    <mergeCell ref="AE52:AI52"/>
    <mergeCell ref="AW75:AZ75"/>
    <mergeCell ref="J81:M81"/>
    <mergeCell ref="J88:M88"/>
    <mergeCell ref="J89:M89"/>
    <mergeCell ref="J91:M91"/>
    <mergeCell ref="J97:M97"/>
    <mergeCell ref="J105:M105"/>
    <mergeCell ref="AF64:AJ64"/>
    <mergeCell ref="AK64:AN64"/>
    <mergeCell ref="AO64:AR64"/>
    <mergeCell ref="AS64:AV64"/>
    <mergeCell ref="X75:AA75"/>
    <mergeCell ref="AB75:AE75"/>
    <mergeCell ref="AF75:AJ75"/>
    <mergeCell ref="AK75:AN75"/>
    <mergeCell ref="AO75:AR75"/>
    <mergeCell ref="AS75:AV75"/>
    <mergeCell ref="AS69:AV69"/>
    <mergeCell ref="AW69:AZ69"/>
    <mergeCell ref="J77:M77"/>
    <mergeCell ref="AW70:AZ70"/>
    <mergeCell ref="H42:L42"/>
    <mergeCell ref="H43:L43"/>
    <mergeCell ref="J114:M114"/>
    <mergeCell ref="X70:AA70"/>
    <mergeCell ref="AB70:AE70"/>
    <mergeCell ref="AF70:AJ70"/>
    <mergeCell ref="AK70:AN70"/>
    <mergeCell ref="AO70:AR70"/>
    <mergeCell ref="AS70:AV70"/>
    <mergeCell ref="BA70:BD70"/>
    <mergeCell ref="BE70:BH70"/>
    <mergeCell ref="BE82:BH82"/>
    <mergeCell ref="BA75:BD75"/>
    <mergeCell ref="BA65:BD65"/>
    <mergeCell ref="BE65:BH65"/>
    <mergeCell ref="BE75:BH75"/>
    <mergeCell ref="X69:AA69"/>
    <mergeCell ref="AB69:AE69"/>
    <mergeCell ref="AF69:AJ69"/>
    <mergeCell ref="AK69:AN69"/>
    <mergeCell ref="AO69:AR69"/>
    <mergeCell ref="BA69:BD69"/>
    <mergeCell ref="BE69:BH69"/>
    <mergeCell ref="X74:AA74"/>
    <mergeCell ref="AB74:AE74"/>
    <mergeCell ref="AF74:AJ74"/>
    <mergeCell ref="AK74:AN74"/>
    <mergeCell ref="AO74:AR74"/>
    <mergeCell ref="AS74:AV74"/>
    <mergeCell ref="AW74:AZ74"/>
    <mergeCell ref="BA74:BD74"/>
    <mergeCell ref="BE74:BH74"/>
  </mergeCells>
  <phoneticPr fontId="57"/>
  <conditionalFormatting sqref="AK69:AV70">
    <cfRule type="cellIs" dxfId="12" priority="4" operator="lessThan">
      <formula>0</formula>
    </cfRule>
  </conditionalFormatting>
  <conditionalFormatting sqref="AK74:AV75">
    <cfRule type="cellIs" dxfId="11" priority="2" operator="lessThan">
      <formula>0</formula>
    </cfRule>
  </conditionalFormatting>
  <conditionalFormatting sqref="BA64:BD65">
    <cfRule type="cellIs" dxfId="10" priority="10" operator="lessThan">
      <formula>0.3</formula>
    </cfRule>
  </conditionalFormatting>
  <conditionalFormatting sqref="BE64:BH65">
    <cfRule type="cellIs" dxfId="9" priority="14" operator="lessThan">
      <formula>0</formula>
    </cfRule>
  </conditionalFormatting>
  <conditionalFormatting sqref="BE69:BH70">
    <cfRule type="cellIs" dxfId="8" priority="3" operator="lessThan">
      <formula>0.3</formula>
    </cfRule>
  </conditionalFormatting>
  <conditionalFormatting sqref="BE74:BH75">
    <cfRule type="cellIs" dxfId="7" priority="1" operator="lessThan">
      <formula>0.3</formula>
    </cfRule>
  </conditionalFormatting>
  <conditionalFormatting sqref="BQ64:BT65">
    <cfRule type="cellIs" dxfId="6" priority="12" operator="lessThan">
      <formula>0.3</formula>
    </cfRule>
  </conditionalFormatting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F4CE-E231-4DB9-9A50-8A11224C626C}">
  <dimension ref="A1:CI113"/>
  <sheetViews>
    <sheetView showGridLines="0" topLeftCell="A5" zoomScaleNormal="100" zoomScaleSheetLayoutView="100" workbookViewId="0">
      <pane ySplit="2" topLeftCell="A7" activePane="bottomLeft" state="frozen"/>
      <selection activeCell="Z20" sqref="Z20"/>
      <selection pane="bottomLeft" activeCell="Z20" sqref="Z20"/>
    </sheetView>
  </sheetViews>
  <sheetFormatPr defaultColWidth="9" defaultRowHeight="13"/>
  <cols>
    <col min="1" max="18" width="2.6328125" style="35" customWidth="1"/>
    <col min="19" max="22" width="2.6328125" style="25" customWidth="1"/>
    <col min="23" max="24" width="2.6328125" style="35" customWidth="1"/>
    <col min="25" max="26" width="2.6328125" style="25" customWidth="1"/>
    <col min="27" max="29" width="2.6328125" style="35" customWidth="1"/>
    <col min="30" max="55" width="2.6328125" style="25" customWidth="1"/>
    <col min="56" max="56" width="2.6328125" style="81" customWidth="1"/>
    <col min="57" max="59" width="2.6328125" style="28" customWidth="1"/>
    <col min="60" max="128" width="2.6328125" style="35" customWidth="1"/>
    <col min="129" max="16384" width="9" style="35"/>
  </cols>
  <sheetData>
    <row r="1" spans="1:59" ht="12" customHeight="1">
      <c r="A1" s="754" t="s">
        <v>4</v>
      </c>
      <c r="B1" s="754"/>
      <c r="C1" s="754"/>
      <c r="D1" s="754"/>
      <c r="E1" s="754"/>
      <c r="F1" s="754"/>
      <c r="G1" s="754"/>
      <c r="H1" s="754"/>
      <c r="I1" s="737" t="s">
        <v>5</v>
      </c>
      <c r="J1" s="737"/>
      <c r="K1" s="737"/>
      <c r="L1" s="737"/>
      <c r="M1" s="752" t="str">
        <f>変更来歴!M1</f>
        <v>ヒロセ電機株式会社</v>
      </c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37" t="s">
        <v>7</v>
      </c>
      <c r="Y1" s="737"/>
      <c r="Z1" s="737"/>
      <c r="AA1" s="756" t="str">
        <f>変更来歴!AA1</f>
        <v>化学物質データ申請</v>
      </c>
      <c r="AB1" s="756"/>
      <c r="AC1" s="756"/>
      <c r="AD1" s="756"/>
      <c r="AE1" s="756"/>
      <c r="AF1" s="756"/>
      <c r="AG1" s="756"/>
      <c r="AH1" s="756"/>
      <c r="AI1" s="756"/>
      <c r="AJ1" s="756"/>
      <c r="AK1" s="741" t="s">
        <v>8</v>
      </c>
      <c r="AL1" s="741"/>
      <c r="AM1" s="741"/>
      <c r="AN1" s="742" t="str">
        <f>変更来歴!AP7</f>
        <v>古竹</v>
      </c>
      <c r="AO1" s="742"/>
      <c r="AP1" s="742"/>
      <c r="AQ1" s="742"/>
      <c r="AR1" s="742"/>
      <c r="AS1" s="741" t="s">
        <v>9</v>
      </c>
      <c r="AT1" s="741"/>
      <c r="AU1" s="741"/>
      <c r="AV1" s="744">
        <f>変更来歴!AL7</f>
        <v>46125</v>
      </c>
      <c r="AW1" s="757"/>
      <c r="AX1" s="757"/>
      <c r="AY1" s="757"/>
      <c r="AZ1" s="733" t="s">
        <v>10</v>
      </c>
      <c r="BA1" s="734"/>
      <c r="BB1" s="734"/>
      <c r="BC1" s="735"/>
    </row>
    <row r="2" spans="1:59">
      <c r="A2" s="736" t="s">
        <v>16</v>
      </c>
      <c r="B2" s="736"/>
      <c r="C2" s="736"/>
      <c r="D2" s="736"/>
      <c r="E2" s="736"/>
      <c r="F2" s="736"/>
      <c r="G2" s="736"/>
      <c r="H2" s="736"/>
      <c r="I2" s="737" t="s">
        <v>11</v>
      </c>
      <c r="J2" s="737"/>
      <c r="K2" s="737"/>
      <c r="L2" s="737"/>
      <c r="M2" s="791" t="str">
        <f>変更来歴!M2</f>
        <v>新環境証明書システム移行</v>
      </c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37"/>
      <c r="Y2" s="737"/>
      <c r="Z2" s="737"/>
      <c r="AA2" s="756"/>
      <c r="AB2" s="756"/>
      <c r="AC2" s="756"/>
      <c r="AD2" s="756"/>
      <c r="AE2" s="756"/>
      <c r="AF2" s="756"/>
      <c r="AG2" s="756"/>
      <c r="AH2" s="756"/>
      <c r="AI2" s="756"/>
      <c r="AJ2" s="756"/>
      <c r="AK2" s="741" t="s">
        <v>12</v>
      </c>
      <c r="AL2" s="741"/>
      <c r="AM2" s="741"/>
      <c r="AN2" s="742" t="str">
        <f ca="1">INDIRECT("変更来歴!AP" &amp; COUNTA(変更来歴!AP7:'変更来歴'!AP39) + 6)</f>
        <v>古竹</v>
      </c>
      <c r="AO2" s="742"/>
      <c r="AP2" s="742"/>
      <c r="AQ2" s="742"/>
      <c r="AR2" s="742"/>
      <c r="AS2" s="741" t="s">
        <v>13</v>
      </c>
      <c r="AT2" s="741"/>
      <c r="AU2" s="741"/>
      <c r="AV2" s="744">
        <f ca="1">INDIRECT("変更来歴!AL" &amp; COUNTA(変更来歴!AL7:'変更来歴'!AL39) + 6)</f>
        <v>46190</v>
      </c>
      <c r="AW2" s="757"/>
      <c r="AX2" s="757"/>
      <c r="AY2" s="757"/>
      <c r="AZ2" s="745" t="str">
        <f>変更来歴!AX2</f>
        <v>IMWF-53</v>
      </c>
      <c r="BA2" s="746"/>
      <c r="BB2" s="746"/>
      <c r="BC2" s="747"/>
    </row>
    <row r="3" spans="1:59" ht="12" customHeight="1">
      <c r="A3" s="751" t="str">
        <f>変更来歴!A3</f>
        <v>画面設計書</v>
      </c>
      <c r="B3" s="751"/>
      <c r="C3" s="751"/>
      <c r="D3" s="751"/>
      <c r="E3" s="751"/>
      <c r="F3" s="751"/>
      <c r="G3" s="751"/>
      <c r="H3" s="751"/>
      <c r="I3" s="737" t="s">
        <v>14</v>
      </c>
      <c r="J3" s="737"/>
      <c r="K3" s="737"/>
      <c r="L3" s="737"/>
      <c r="M3" s="752" t="str">
        <f ca="1">RIGHT(CELL("filename",A1),LEN(CELL("filename",A1))-FIND("]",CELL("filename",A1)))</f>
        <v>外貨(コリア原計)</v>
      </c>
      <c r="N3" s="752"/>
      <c r="O3" s="752"/>
      <c r="P3" s="752"/>
      <c r="Q3" s="752"/>
      <c r="R3" s="752"/>
      <c r="S3" s="752"/>
      <c r="T3" s="752"/>
      <c r="U3" s="752"/>
      <c r="V3" s="752"/>
      <c r="W3" s="752"/>
      <c r="X3" s="737" t="s">
        <v>27</v>
      </c>
      <c r="Y3" s="737"/>
      <c r="Z3" s="737"/>
      <c r="AA3" s="753" t="str">
        <f ca="1">MID(CELL("filename"),FIND("]",CELL("filename"))+1,LEN(CELL("filename"))) &amp; "画面"</f>
        <v>表紙画面</v>
      </c>
      <c r="AB3" s="753"/>
      <c r="AC3" s="753"/>
      <c r="AD3" s="753"/>
      <c r="AE3" s="753"/>
      <c r="AF3" s="753"/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41" t="s">
        <v>15</v>
      </c>
      <c r="AT3" s="741"/>
      <c r="AU3" s="741"/>
      <c r="AV3" s="757" t="str">
        <f ca="1">INDIRECT("変更来歴!A" &amp; COUNTA(変更来歴!A7:'変更来歴'!A39) + 6)</f>
        <v>dr1.5</v>
      </c>
      <c r="AW3" s="757"/>
      <c r="AX3" s="757"/>
      <c r="AY3" s="757"/>
      <c r="AZ3" s="748"/>
      <c r="BA3" s="749"/>
      <c r="BB3" s="749"/>
      <c r="BC3" s="750"/>
    </row>
    <row r="4" spans="1:59" ht="5.9" customHeight="1"/>
    <row r="5" spans="1:59" ht="13.5" customHeight="1">
      <c r="A5" s="792" t="str">
        <f ca="1">"画面レイアウト"&amp;"("&amp;MID(CELL("filename"),FIND("]",CELL("filename"))+1,LEN(CELL("filename")))&amp;")"</f>
        <v>画面レイアウト(表紙)</v>
      </c>
      <c r="B5" s="793"/>
      <c r="C5" s="793"/>
      <c r="D5" s="793"/>
      <c r="E5" s="793"/>
      <c r="F5" s="793"/>
      <c r="G5" s="793"/>
      <c r="H5" s="793"/>
      <c r="I5" s="793"/>
      <c r="J5" s="793"/>
      <c r="K5" s="793"/>
      <c r="L5" s="793"/>
      <c r="M5" s="793"/>
      <c r="N5" s="793"/>
      <c r="O5" s="793"/>
      <c r="P5" s="793"/>
      <c r="Q5" s="793"/>
      <c r="R5" s="793"/>
      <c r="S5" s="793"/>
      <c r="T5" s="793"/>
      <c r="U5" s="793"/>
      <c r="V5" s="793"/>
      <c r="W5" s="793"/>
      <c r="X5" s="793"/>
      <c r="Y5" s="793"/>
      <c r="Z5" s="793"/>
      <c r="AA5" s="793"/>
      <c r="AB5" s="793"/>
      <c r="AC5" s="793"/>
      <c r="AD5" s="793"/>
      <c r="AE5" s="793"/>
      <c r="AF5" s="793"/>
      <c r="AG5" s="793"/>
      <c r="AH5" s="793"/>
      <c r="AI5" s="793"/>
      <c r="AJ5" s="793"/>
      <c r="AK5" s="793"/>
      <c r="AL5" s="793"/>
      <c r="AM5" s="793"/>
      <c r="AN5" s="793"/>
      <c r="AO5" s="793"/>
      <c r="AP5" s="793"/>
      <c r="AQ5" s="793"/>
      <c r="AR5" s="793"/>
      <c r="AS5" s="793"/>
      <c r="AT5" s="793"/>
      <c r="AU5" s="793"/>
      <c r="AV5" s="793"/>
      <c r="AW5" s="793"/>
      <c r="AX5" s="793"/>
      <c r="AY5" s="793"/>
      <c r="AZ5" s="793"/>
      <c r="BA5" s="794"/>
      <c r="BB5" s="784" t="s">
        <v>24</v>
      </c>
      <c r="BC5" s="785"/>
      <c r="BD5" s="28"/>
    </row>
    <row r="6" spans="1:59" ht="13.5" customHeight="1">
      <c r="A6" s="27"/>
      <c r="B6" s="186">
        <v>1</v>
      </c>
      <c r="C6" s="186">
        <v>2</v>
      </c>
      <c r="D6" s="186">
        <v>3</v>
      </c>
      <c r="E6" s="186">
        <v>4</v>
      </c>
      <c r="F6" s="186">
        <v>5</v>
      </c>
      <c r="G6" s="186">
        <v>6</v>
      </c>
      <c r="H6" s="186">
        <v>7</v>
      </c>
      <c r="I6" s="186">
        <v>8</v>
      </c>
      <c r="J6" s="186">
        <v>9</v>
      </c>
      <c r="K6" s="186">
        <v>10</v>
      </c>
      <c r="L6" s="186">
        <v>11</v>
      </c>
      <c r="M6" s="186">
        <v>12</v>
      </c>
      <c r="N6" s="186">
        <v>13</v>
      </c>
      <c r="O6" s="186">
        <v>14</v>
      </c>
      <c r="P6" s="186">
        <v>15</v>
      </c>
      <c r="Q6" s="186">
        <v>16</v>
      </c>
      <c r="R6" s="186">
        <v>17</v>
      </c>
      <c r="S6" s="188">
        <v>18</v>
      </c>
      <c r="T6" s="188">
        <v>19</v>
      </c>
      <c r="U6" s="188">
        <v>20</v>
      </c>
      <c r="V6" s="188">
        <v>21</v>
      </c>
      <c r="W6" s="188">
        <v>22</v>
      </c>
      <c r="X6" s="188">
        <v>23</v>
      </c>
      <c r="Y6" s="188">
        <v>24</v>
      </c>
      <c r="Z6" s="188">
        <v>25</v>
      </c>
      <c r="AA6" s="188">
        <v>26</v>
      </c>
      <c r="AB6" s="188">
        <v>27</v>
      </c>
      <c r="AC6" s="188">
        <v>28</v>
      </c>
      <c r="AD6" s="188">
        <v>29</v>
      </c>
      <c r="AE6" s="188">
        <v>30</v>
      </c>
      <c r="AF6" s="188">
        <v>31</v>
      </c>
      <c r="AG6" s="188">
        <v>32</v>
      </c>
      <c r="AH6" s="188">
        <v>33</v>
      </c>
      <c r="AI6" s="188">
        <v>34</v>
      </c>
      <c r="AJ6" s="187">
        <v>35</v>
      </c>
      <c r="AK6" s="187">
        <v>36</v>
      </c>
      <c r="AL6" s="187">
        <v>37</v>
      </c>
      <c r="AM6" s="187">
        <v>38</v>
      </c>
      <c r="AN6" s="187">
        <v>39</v>
      </c>
      <c r="AO6" s="187">
        <v>40</v>
      </c>
      <c r="AP6" s="187">
        <v>41</v>
      </c>
      <c r="AQ6" s="187">
        <v>42</v>
      </c>
      <c r="AR6" s="187">
        <v>43</v>
      </c>
      <c r="AS6" s="187">
        <v>44</v>
      </c>
      <c r="AT6" s="187">
        <v>45</v>
      </c>
      <c r="AU6" s="187">
        <v>46</v>
      </c>
      <c r="AV6" s="187">
        <v>47</v>
      </c>
      <c r="AW6" s="187">
        <v>48</v>
      </c>
      <c r="AX6" s="187">
        <v>49</v>
      </c>
      <c r="AY6" s="187">
        <v>50</v>
      </c>
      <c r="AZ6" s="187">
        <v>51</v>
      </c>
      <c r="BA6" s="21"/>
      <c r="BB6" s="77"/>
      <c r="BC6" s="42"/>
      <c r="BD6" s="28"/>
    </row>
    <row r="7" spans="1:59" ht="18.75" customHeight="1">
      <c r="A7" s="29"/>
      <c r="B7" s="47" t="s">
        <v>46</v>
      </c>
      <c r="C7" s="36"/>
      <c r="D7" s="36"/>
      <c r="E7" s="36"/>
      <c r="F7" s="36"/>
      <c r="G7" s="36"/>
      <c r="H7" s="48"/>
      <c r="I7" s="36"/>
      <c r="J7" s="48"/>
      <c r="K7" s="36"/>
      <c r="L7" s="36"/>
      <c r="M7" s="36"/>
      <c r="N7" s="48" t="s">
        <v>285</v>
      </c>
      <c r="O7" s="36"/>
      <c r="P7" s="36"/>
      <c r="Q7" s="36"/>
      <c r="R7" s="49" t="s">
        <v>284</v>
      </c>
      <c r="S7" s="36"/>
      <c r="T7" s="36"/>
      <c r="U7" s="36"/>
      <c r="V7" s="36"/>
      <c r="W7" s="36"/>
      <c r="X7" s="36"/>
      <c r="Y7" s="49"/>
      <c r="Z7" s="36"/>
      <c r="AA7" s="36"/>
      <c r="AB7" s="36"/>
      <c r="AC7" s="36"/>
      <c r="AD7" s="36"/>
      <c r="AE7" s="49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0"/>
      <c r="AX7" s="50"/>
      <c r="AY7" s="50"/>
      <c r="AZ7" s="51"/>
      <c r="BA7" s="80" t="s">
        <v>29</v>
      </c>
      <c r="BB7" s="78"/>
      <c r="BC7" s="34"/>
      <c r="BD7" s="28"/>
    </row>
    <row r="8" spans="1:59" ht="18" customHeight="1">
      <c r="A8" s="29"/>
      <c r="B8" s="176"/>
      <c r="C8" s="177"/>
      <c r="D8" s="177"/>
      <c r="E8" s="177" t="s">
        <v>47</v>
      </c>
      <c r="F8" s="177"/>
      <c r="G8" s="177"/>
      <c r="H8" s="178"/>
      <c r="I8" s="178"/>
      <c r="J8" s="178"/>
      <c r="K8" s="178"/>
      <c r="L8" s="179"/>
      <c r="M8" s="178"/>
      <c r="N8" s="57"/>
      <c r="O8" s="57"/>
      <c r="P8" s="179"/>
      <c r="Q8" s="57"/>
      <c r="R8" s="57"/>
      <c r="S8" s="57"/>
      <c r="T8" s="180"/>
      <c r="U8" s="180"/>
      <c r="V8" s="180"/>
      <c r="W8" s="180"/>
      <c r="X8" s="181"/>
      <c r="Y8" s="178"/>
      <c r="Z8" s="178"/>
      <c r="AA8" s="178"/>
      <c r="AB8" s="179"/>
      <c r="AC8" s="178"/>
      <c r="AD8" s="57"/>
      <c r="AE8" s="57"/>
      <c r="AF8" s="179"/>
      <c r="AG8" s="177"/>
      <c r="AH8" s="177"/>
      <c r="AI8" s="182"/>
      <c r="AJ8" s="55"/>
      <c r="AK8" s="55"/>
      <c r="AL8" s="55"/>
      <c r="AM8" s="55"/>
      <c r="AN8" s="183"/>
      <c r="AO8" s="184"/>
      <c r="AP8" s="184"/>
      <c r="AQ8" s="55"/>
      <c r="AR8" s="55"/>
      <c r="AS8" s="55"/>
      <c r="AT8" s="56"/>
      <c r="AU8" s="55"/>
      <c r="AV8" s="57"/>
      <c r="AW8" s="57"/>
      <c r="AX8" s="57"/>
      <c r="AY8" s="177"/>
      <c r="AZ8" s="185"/>
      <c r="BA8" s="143"/>
      <c r="BB8" s="78"/>
      <c r="BC8" s="34"/>
      <c r="BD8" s="28"/>
    </row>
    <row r="9" spans="1:59" ht="13.5" customHeight="1">
      <c r="A9" s="22"/>
      <c r="B9" s="20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3"/>
      <c r="BA9" s="46"/>
      <c r="BB9" s="78"/>
      <c r="BC9" s="34"/>
      <c r="BD9" s="28"/>
    </row>
    <row r="10" spans="1:59" ht="13.5" customHeight="1">
      <c r="A10" s="22"/>
      <c r="B10" s="201"/>
      <c r="C10" s="43" t="s">
        <v>48</v>
      </c>
      <c r="D10" s="31"/>
      <c r="E10" s="31"/>
      <c r="F10" s="31" t="s">
        <v>52</v>
      </c>
      <c r="G10" s="31"/>
      <c r="H10" s="127" t="s">
        <v>51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63"/>
      <c r="U10" s="63"/>
      <c r="V10" s="63"/>
      <c r="W10" s="63"/>
      <c r="X10" s="62"/>
      <c r="Y10" s="63"/>
      <c r="Z10" s="63"/>
      <c r="AA10" s="63"/>
      <c r="AB10" s="64"/>
      <c r="AC10" s="63"/>
      <c r="AD10" s="65"/>
      <c r="AE10" s="65"/>
      <c r="AF10" s="65"/>
      <c r="AG10" s="65"/>
      <c r="AH10" s="65"/>
      <c r="AI10" s="75"/>
      <c r="AJ10" s="63"/>
      <c r="AK10" s="63"/>
      <c r="AL10" s="63"/>
      <c r="AM10" s="63"/>
      <c r="AN10" s="125"/>
      <c r="AO10" s="62"/>
      <c r="AP10" s="62"/>
      <c r="AQ10" s="63"/>
      <c r="AR10" s="63"/>
      <c r="AS10" s="63"/>
      <c r="AT10" s="64"/>
      <c r="AU10" s="63"/>
      <c r="AV10" s="65"/>
      <c r="AW10" s="65"/>
      <c r="AX10" s="65"/>
      <c r="AY10" s="31"/>
      <c r="AZ10" s="33"/>
      <c r="BA10" s="46"/>
      <c r="BB10" s="78"/>
      <c r="BC10" s="34"/>
      <c r="BD10" s="28"/>
    </row>
    <row r="11" spans="1:59" ht="13.5" customHeight="1">
      <c r="A11" s="22"/>
      <c r="B11" s="201"/>
      <c r="C11" s="43" t="s">
        <v>49</v>
      </c>
      <c r="D11" s="31"/>
      <c r="E11" s="31"/>
      <c r="F11" s="31" t="s">
        <v>52</v>
      </c>
      <c r="G11" s="31"/>
      <c r="H11" s="75" t="s">
        <v>53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63"/>
      <c r="U11" s="63"/>
      <c r="V11" s="63"/>
      <c r="W11" s="63"/>
      <c r="X11" s="62"/>
      <c r="Y11" s="63"/>
      <c r="Z11" s="63"/>
      <c r="AA11" s="63"/>
      <c r="AB11" s="64"/>
      <c r="AC11" s="63"/>
      <c r="AD11" s="65"/>
      <c r="AE11" s="65"/>
      <c r="AF11" s="65"/>
      <c r="AG11" s="65"/>
      <c r="AH11" s="65"/>
      <c r="AI11" s="75"/>
      <c r="AJ11" s="63"/>
      <c r="AK11" s="63"/>
      <c r="AL11" s="63"/>
      <c r="AM11" s="63"/>
      <c r="AN11" s="125"/>
      <c r="AO11" s="62"/>
      <c r="AP11" s="62"/>
      <c r="AQ11" s="63"/>
      <c r="AR11" s="63"/>
      <c r="AS11" s="63"/>
      <c r="AT11" s="64"/>
      <c r="AU11" s="63"/>
      <c r="AV11" s="65"/>
      <c r="AW11" s="65"/>
      <c r="AX11" s="65"/>
      <c r="AY11" s="31"/>
      <c r="AZ11" s="33"/>
      <c r="BA11" s="46"/>
      <c r="BB11" s="78"/>
      <c r="BC11" s="34"/>
      <c r="BD11" s="28"/>
    </row>
    <row r="12" spans="1:59" ht="13.5" customHeight="1">
      <c r="A12" s="22"/>
      <c r="B12" s="201"/>
      <c r="C12" s="43" t="s">
        <v>50</v>
      </c>
      <c r="D12" s="31"/>
      <c r="E12" s="31"/>
      <c r="F12" s="31" t="s">
        <v>52</v>
      </c>
      <c r="G12" s="31"/>
      <c r="H12" s="75" t="s">
        <v>54</v>
      </c>
      <c r="I12" s="75"/>
      <c r="J12" s="75"/>
      <c r="K12" s="75"/>
      <c r="L12" s="75" t="s">
        <v>55</v>
      </c>
      <c r="M12" s="75"/>
      <c r="N12" s="75"/>
      <c r="O12" s="75" t="s">
        <v>56</v>
      </c>
      <c r="P12" s="75"/>
      <c r="Q12" s="75"/>
      <c r="R12" s="75"/>
      <c r="S12" s="75"/>
      <c r="T12" s="63"/>
      <c r="U12" s="63"/>
      <c r="V12" s="63"/>
      <c r="W12" s="63"/>
      <c r="X12" s="62"/>
      <c r="Y12" s="63"/>
      <c r="Z12" s="63"/>
      <c r="AA12" s="63"/>
      <c r="AB12" s="64"/>
      <c r="AC12" s="63"/>
      <c r="AD12" s="65"/>
      <c r="AE12" s="65"/>
      <c r="AF12" s="65"/>
      <c r="AG12" s="65"/>
      <c r="AH12" s="65"/>
      <c r="AI12" s="75"/>
      <c r="AJ12" s="63"/>
      <c r="AK12" s="63"/>
      <c r="AL12" s="63"/>
      <c r="AM12" s="63"/>
      <c r="AN12" s="125"/>
      <c r="AO12" s="62"/>
      <c r="AP12" s="62"/>
      <c r="AQ12" s="63"/>
      <c r="AR12" s="63"/>
      <c r="AS12" s="63"/>
      <c r="AT12" s="64"/>
      <c r="AU12" s="63"/>
      <c r="AV12" s="65"/>
      <c r="AW12" s="65"/>
      <c r="AX12" s="65"/>
      <c r="AY12" s="31"/>
      <c r="AZ12" s="33"/>
      <c r="BA12" s="46"/>
      <c r="BB12" s="78"/>
      <c r="BC12" s="34"/>
      <c r="BD12" s="28"/>
    </row>
    <row r="13" spans="1:59" ht="13.5" customHeight="1">
      <c r="A13" s="22"/>
      <c r="B13" s="202">
        <v>1</v>
      </c>
      <c r="C13" s="203">
        <v>2</v>
      </c>
      <c r="D13" s="203">
        <v>3</v>
      </c>
      <c r="E13" s="203">
        <v>4</v>
      </c>
      <c r="F13" s="203">
        <v>5</v>
      </c>
      <c r="G13" s="203">
        <v>6</v>
      </c>
      <c r="H13" s="203">
        <v>7</v>
      </c>
      <c r="I13" s="203">
        <v>8</v>
      </c>
      <c r="J13" s="203">
        <v>9</v>
      </c>
      <c r="K13" s="203">
        <v>10</v>
      </c>
      <c r="L13" s="203">
        <v>11</v>
      </c>
      <c r="M13" s="203">
        <v>12</v>
      </c>
      <c r="N13" s="203">
        <v>13</v>
      </c>
      <c r="O13" s="203">
        <v>14</v>
      </c>
      <c r="P13" s="203">
        <v>15</v>
      </c>
      <c r="Q13" s="203">
        <v>16</v>
      </c>
      <c r="R13" s="203">
        <v>17</v>
      </c>
      <c r="S13" s="203">
        <v>18</v>
      </c>
      <c r="T13" s="203">
        <v>19</v>
      </c>
      <c r="U13" s="203">
        <v>20</v>
      </c>
      <c r="V13" s="203">
        <v>21</v>
      </c>
      <c r="W13" s="203">
        <v>22</v>
      </c>
      <c r="X13" s="203">
        <v>23</v>
      </c>
      <c r="Y13" s="203">
        <v>24</v>
      </c>
      <c r="Z13" s="203">
        <v>25</v>
      </c>
      <c r="AA13" s="203">
        <v>26</v>
      </c>
      <c r="AB13" s="203">
        <v>27</v>
      </c>
      <c r="AC13" s="203">
        <v>28</v>
      </c>
      <c r="AD13" s="203">
        <v>29</v>
      </c>
      <c r="AE13" s="203">
        <v>30</v>
      </c>
      <c r="AF13" s="203">
        <v>31</v>
      </c>
      <c r="AG13" s="203">
        <v>32</v>
      </c>
      <c r="AH13" s="203">
        <v>33</v>
      </c>
      <c r="AI13" s="203">
        <v>34</v>
      </c>
      <c r="AJ13" s="203">
        <v>35</v>
      </c>
      <c r="AK13" s="203">
        <v>36</v>
      </c>
      <c r="AL13" s="203">
        <v>37</v>
      </c>
      <c r="AM13" s="203">
        <v>38</v>
      </c>
      <c r="AN13" s="203">
        <v>39</v>
      </c>
      <c r="AO13" s="203">
        <v>40</v>
      </c>
      <c r="AP13" s="203"/>
      <c r="AQ13" s="203">
        <v>41</v>
      </c>
      <c r="AR13" s="203">
        <v>42</v>
      </c>
      <c r="AS13" s="203">
        <v>43</v>
      </c>
      <c r="AT13" s="203">
        <v>44</v>
      </c>
      <c r="AU13" s="203">
        <v>45</v>
      </c>
      <c r="AV13" s="203">
        <v>46</v>
      </c>
      <c r="AW13" s="203">
        <v>47</v>
      </c>
      <c r="AX13" s="65"/>
      <c r="AY13" s="31"/>
      <c r="AZ13" s="33"/>
      <c r="BA13" s="46"/>
      <c r="BB13" s="78"/>
      <c r="BC13" s="34"/>
      <c r="BD13" s="28"/>
      <c r="BE13" s="24"/>
      <c r="BF13" s="24"/>
    </row>
    <row r="14" spans="1:59" ht="13.5" customHeight="1">
      <c r="A14" s="22"/>
      <c r="B14" s="202">
        <v>2</v>
      </c>
      <c r="C14" s="204" t="s">
        <v>102</v>
      </c>
      <c r="D14" s="28"/>
      <c r="E14" s="28"/>
      <c r="F14" s="28"/>
      <c r="G14" s="28"/>
      <c r="H14" s="121"/>
      <c r="I14" s="62"/>
      <c r="J14" s="63"/>
      <c r="K14" s="62"/>
      <c r="L14" s="63"/>
      <c r="M14" s="69"/>
      <c r="N14" s="69"/>
      <c r="O14" s="65"/>
      <c r="P14" s="69"/>
      <c r="Q14" s="65"/>
      <c r="R14" s="69"/>
      <c r="S14" s="28"/>
      <c r="T14" s="28"/>
      <c r="U14" s="28"/>
      <c r="V14" s="28"/>
      <c r="W14" s="28"/>
      <c r="X14" s="121"/>
      <c r="Y14" s="62"/>
      <c r="Z14" s="63"/>
      <c r="AA14" s="62"/>
      <c r="AB14" s="63"/>
      <c r="AC14" s="69"/>
      <c r="AD14" s="69"/>
      <c r="AE14" s="65"/>
      <c r="AF14" s="69"/>
      <c r="AG14" s="65"/>
      <c r="AH14" s="69"/>
      <c r="AI14" s="64"/>
      <c r="AJ14" s="69"/>
      <c r="AK14" s="65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33"/>
      <c r="AW14" s="28"/>
      <c r="AX14" s="65"/>
      <c r="AY14" s="31"/>
      <c r="AZ14" s="33"/>
      <c r="BA14" s="46"/>
      <c r="BB14" s="78"/>
      <c r="BC14" s="34"/>
      <c r="BD14" s="28"/>
    </row>
    <row r="15" spans="1:59" ht="5.15" customHeight="1">
      <c r="A15" s="22"/>
      <c r="B15" s="202"/>
      <c r="C15" s="296"/>
      <c r="D15" s="72"/>
      <c r="E15" s="72"/>
      <c r="F15" s="72"/>
      <c r="G15" s="72"/>
      <c r="H15" s="297"/>
      <c r="I15" s="278"/>
      <c r="J15" s="279"/>
      <c r="K15" s="278"/>
      <c r="L15" s="279"/>
      <c r="M15" s="298"/>
      <c r="N15" s="298"/>
      <c r="O15" s="263"/>
      <c r="P15" s="298"/>
      <c r="Q15" s="263"/>
      <c r="R15" s="298"/>
      <c r="S15" s="281"/>
      <c r="T15" s="72"/>
      <c r="U15" s="72"/>
      <c r="V15" s="72"/>
      <c r="W15" s="72"/>
      <c r="X15" s="72"/>
      <c r="Y15" s="297"/>
      <c r="Z15" s="278"/>
      <c r="AA15" s="279"/>
      <c r="AB15" s="278"/>
      <c r="AC15" s="279"/>
      <c r="AD15" s="298"/>
      <c r="AE15" s="298"/>
      <c r="AF15" s="263"/>
      <c r="AG15" s="298"/>
      <c r="AH15" s="298"/>
      <c r="AI15" s="280"/>
      <c r="AJ15" s="298"/>
      <c r="AK15" s="263"/>
      <c r="AL15" s="72"/>
      <c r="AM15" s="72"/>
      <c r="AN15" s="72"/>
      <c r="AO15" s="72"/>
      <c r="AP15" s="72"/>
      <c r="AQ15" s="72"/>
      <c r="AR15" s="72"/>
      <c r="AS15" s="279"/>
      <c r="AT15" s="280"/>
      <c r="AU15" s="279"/>
      <c r="AV15" s="263"/>
      <c r="AW15" s="263"/>
      <c r="AX15" s="263"/>
      <c r="AY15" s="265"/>
      <c r="AZ15" s="33"/>
      <c r="BA15" s="46"/>
      <c r="BB15" s="78"/>
      <c r="BC15" s="34"/>
      <c r="BD15" s="28"/>
    </row>
    <row r="16" spans="1:59" ht="13.5" customHeight="1">
      <c r="A16" s="22"/>
      <c r="B16" s="45"/>
      <c r="C16" s="266" t="s">
        <v>103</v>
      </c>
      <c r="D16" s="28"/>
      <c r="E16" s="28"/>
      <c r="F16" s="28"/>
      <c r="G16" s="28"/>
      <c r="H16" s="255" t="s">
        <v>169</v>
      </c>
      <c r="I16" s="255"/>
      <c r="J16" s="255"/>
      <c r="K16" s="26"/>
      <c r="L16" s="26"/>
      <c r="M16" s="105"/>
      <c r="N16" s="100"/>
      <c r="O16" s="67"/>
      <c r="P16" s="67"/>
      <c r="Q16" s="101"/>
      <c r="R16" s="100"/>
      <c r="S16" s="100"/>
      <c r="T16" s="100"/>
      <c r="U16" s="67"/>
      <c r="V16" s="101"/>
      <c r="W16" s="100"/>
      <c r="X16" s="65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65"/>
      <c r="AY16" s="267"/>
      <c r="AZ16" s="33"/>
      <c r="BA16" s="46"/>
      <c r="BB16" s="78"/>
      <c r="BC16" s="34"/>
      <c r="BD16" s="28"/>
      <c r="BE16" s="35"/>
      <c r="BF16" s="35"/>
      <c r="BG16" s="35"/>
    </row>
    <row r="17" spans="1:59" ht="13.5" customHeight="1">
      <c r="A17" s="22"/>
      <c r="B17" s="202">
        <v>3</v>
      </c>
      <c r="C17" s="266" t="s">
        <v>57</v>
      </c>
      <c r="D17" s="31"/>
      <c r="E17" s="31"/>
      <c r="F17" s="31"/>
      <c r="G17" s="31"/>
      <c r="H17" s="58"/>
      <c r="I17" s="59"/>
      <c r="J17" s="59"/>
      <c r="K17" s="59"/>
      <c r="L17" s="60"/>
      <c r="M17" s="59"/>
      <c r="N17" s="61"/>
      <c r="O17" s="61"/>
      <c r="P17" s="61"/>
      <c r="Q17" s="61"/>
      <c r="R17" s="61"/>
      <c r="S17" s="128"/>
      <c r="T17" s="59"/>
      <c r="U17" s="59"/>
      <c r="V17" s="59"/>
      <c r="W17" s="59"/>
      <c r="X17" s="123"/>
      <c r="Y17" s="59"/>
      <c r="Z17" s="59"/>
      <c r="AA17" s="59"/>
      <c r="AB17" s="60"/>
      <c r="AC17" s="59"/>
      <c r="AD17" s="61"/>
      <c r="AE17" s="61"/>
      <c r="AF17" s="61"/>
      <c r="AG17" s="61"/>
      <c r="AH17" s="94"/>
      <c r="AI17" s="75"/>
      <c r="AJ17" s="63"/>
      <c r="AK17" s="63"/>
      <c r="AL17" s="63"/>
      <c r="AM17" s="63"/>
      <c r="AN17" s="125"/>
      <c r="AO17" s="62"/>
      <c r="AP17" s="62"/>
      <c r="AQ17" s="63"/>
      <c r="AR17" s="63"/>
      <c r="AS17" s="63"/>
      <c r="AT17" s="64"/>
      <c r="AU17" s="63"/>
      <c r="AV17" s="65"/>
      <c r="AW17" s="65"/>
      <c r="AX17" s="65"/>
      <c r="AY17" s="267"/>
      <c r="AZ17" s="33"/>
      <c r="BA17" s="46"/>
      <c r="BB17" s="78"/>
      <c r="BC17" s="34"/>
      <c r="BD17" s="28"/>
      <c r="BE17" s="35"/>
      <c r="BF17" s="35"/>
      <c r="BG17" s="35"/>
    </row>
    <row r="18" spans="1:59" ht="13.5" customHeight="1">
      <c r="A18" s="22"/>
      <c r="B18" s="201"/>
      <c r="C18" s="266" t="s">
        <v>38</v>
      </c>
      <c r="D18" s="31"/>
      <c r="E18" s="31"/>
      <c r="F18" s="31"/>
      <c r="G18" s="31"/>
      <c r="H18" s="58"/>
      <c r="I18" s="59"/>
      <c r="J18" s="59"/>
      <c r="K18" s="59"/>
      <c r="L18" s="60"/>
      <c r="M18" s="59"/>
      <c r="N18" s="61"/>
      <c r="O18" s="61"/>
      <c r="P18" s="61"/>
      <c r="Q18" s="189"/>
      <c r="R18" s="74"/>
      <c r="S18" s="75"/>
      <c r="T18" s="114" t="s">
        <v>58</v>
      </c>
      <c r="U18" s="31"/>
      <c r="V18" s="31"/>
      <c r="W18" s="31"/>
      <c r="X18" s="31"/>
      <c r="Y18" s="58"/>
      <c r="Z18" s="59"/>
      <c r="AA18" s="59"/>
      <c r="AB18" s="59"/>
      <c r="AC18" s="60"/>
      <c r="AD18" s="59"/>
      <c r="AE18" s="61"/>
      <c r="AF18" s="61"/>
      <c r="AG18" s="70"/>
      <c r="AH18" s="65"/>
      <c r="AI18" s="75"/>
      <c r="AJ18" s="63"/>
      <c r="AK18" s="75" t="s">
        <v>59</v>
      </c>
      <c r="AL18" s="63"/>
      <c r="AM18" s="63"/>
      <c r="AN18" s="63"/>
      <c r="AO18" s="63"/>
      <c r="AP18" s="58"/>
      <c r="AQ18" s="59"/>
      <c r="AR18" s="59"/>
      <c r="AS18" s="59"/>
      <c r="AT18" s="60"/>
      <c r="AU18" s="59"/>
      <c r="AV18" s="61"/>
      <c r="AW18" s="61"/>
      <c r="AX18" s="70"/>
      <c r="AY18" s="267"/>
      <c r="AZ18" s="33"/>
      <c r="BA18" s="46"/>
      <c r="BB18" s="78"/>
      <c r="BC18" s="34"/>
      <c r="BD18" s="28"/>
      <c r="BE18" s="35"/>
      <c r="BF18" s="35"/>
      <c r="BG18" s="35"/>
    </row>
    <row r="19" spans="1:59" ht="13.5" customHeight="1">
      <c r="A19" s="22"/>
      <c r="B19" s="201"/>
      <c r="C19" s="266" t="s">
        <v>60</v>
      </c>
      <c r="D19" s="31"/>
      <c r="E19" s="31"/>
      <c r="F19" s="31"/>
      <c r="G19" s="31"/>
      <c r="H19" s="58"/>
      <c r="I19" s="59"/>
      <c r="J19" s="59"/>
      <c r="K19" s="59"/>
      <c r="L19" s="60"/>
      <c r="M19" s="59"/>
      <c r="N19" s="61"/>
      <c r="O19" s="61"/>
      <c r="P19" s="99" t="s">
        <v>32</v>
      </c>
      <c r="Q19" s="94"/>
      <c r="R19" s="65"/>
      <c r="S19" s="35"/>
      <c r="T19" s="43" t="s">
        <v>61</v>
      </c>
      <c r="U19" s="63"/>
      <c r="V19" s="63"/>
      <c r="W19" s="63"/>
      <c r="X19" s="63"/>
      <c r="Y19" s="124" t="s">
        <v>69</v>
      </c>
      <c r="Z19" s="59"/>
      <c r="AA19" s="59"/>
      <c r="AB19" s="59"/>
      <c r="AC19" s="60"/>
      <c r="AD19" s="59"/>
      <c r="AE19" s="61"/>
      <c r="AF19" s="61"/>
      <c r="AG19" s="70"/>
      <c r="AH19" s="65"/>
      <c r="AI19" s="75"/>
      <c r="AJ19" s="63"/>
      <c r="AK19" s="63"/>
      <c r="AL19" s="63"/>
      <c r="AM19" s="63"/>
      <c r="AN19" s="125"/>
      <c r="AO19" s="62"/>
      <c r="AP19" s="62"/>
      <c r="AQ19" s="63"/>
      <c r="AR19" s="63"/>
      <c r="AS19" s="63"/>
      <c r="AT19" s="64"/>
      <c r="AU19" s="63"/>
      <c r="AV19" s="65"/>
      <c r="AW19" s="65"/>
      <c r="AX19" s="65"/>
      <c r="AY19" s="267"/>
      <c r="AZ19" s="33"/>
      <c r="BA19" s="46"/>
      <c r="BB19" s="78"/>
      <c r="BC19" s="34"/>
      <c r="BD19" s="28"/>
      <c r="BE19" s="35"/>
      <c r="BF19" s="35"/>
      <c r="BG19" s="35"/>
    </row>
    <row r="20" spans="1:59" ht="13.5" customHeight="1">
      <c r="A20" s="22"/>
      <c r="B20" s="201"/>
      <c r="C20" s="266" t="s">
        <v>105</v>
      </c>
      <c r="D20" s="31"/>
      <c r="E20" s="31"/>
      <c r="F20" s="31"/>
      <c r="G20" s="31"/>
      <c r="H20" s="58"/>
      <c r="I20" s="59"/>
      <c r="J20" s="59"/>
      <c r="K20" s="456">
        <v>0.05</v>
      </c>
      <c r="L20" s="299" t="s">
        <v>106</v>
      </c>
      <c r="M20" s="103"/>
      <c r="N20" s="74"/>
      <c r="O20" s="74"/>
      <c r="P20" s="74"/>
      <c r="Q20" s="65"/>
      <c r="R20" s="65"/>
      <c r="S20" s="35"/>
      <c r="T20" s="35"/>
      <c r="U20" s="35"/>
      <c r="V20" s="63"/>
      <c r="W20" s="63"/>
      <c r="X20" s="63"/>
      <c r="Y20" s="102"/>
      <c r="Z20" s="103"/>
      <c r="AA20" s="103"/>
      <c r="AB20" s="103"/>
      <c r="AC20" s="104"/>
      <c r="AD20" s="103"/>
      <c r="AE20" s="74"/>
      <c r="AF20" s="74"/>
      <c r="AG20" s="74"/>
      <c r="AH20" s="65"/>
      <c r="AI20" s="75"/>
      <c r="AJ20" s="63"/>
      <c r="AK20" s="63"/>
      <c r="AL20" s="63"/>
      <c r="AM20" s="63"/>
      <c r="AN20" s="125"/>
      <c r="AO20" s="62"/>
      <c r="AP20" s="62"/>
      <c r="AQ20" s="63"/>
      <c r="AR20" s="63"/>
      <c r="AS20" s="63"/>
      <c r="AT20" s="64"/>
      <c r="AU20" s="63"/>
      <c r="AV20" s="65"/>
      <c r="AW20" s="65"/>
      <c r="AX20" s="65"/>
      <c r="AY20" s="267"/>
      <c r="AZ20" s="33"/>
      <c r="BA20" s="46"/>
      <c r="BB20" s="78"/>
      <c r="BC20" s="34"/>
      <c r="BD20" s="28"/>
      <c r="BE20" s="35"/>
      <c r="BF20" s="35"/>
      <c r="BG20" s="35"/>
    </row>
    <row r="21" spans="1:59" ht="5.15" customHeight="1">
      <c r="A21" s="22"/>
      <c r="B21" s="201"/>
      <c r="C21" s="268"/>
      <c r="D21" s="269"/>
      <c r="E21" s="269"/>
      <c r="F21" s="269"/>
      <c r="G21" s="269"/>
      <c r="H21" s="275"/>
      <c r="I21" s="273"/>
      <c r="J21" s="273"/>
      <c r="K21" s="273"/>
      <c r="L21" s="276"/>
      <c r="M21" s="273"/>
      <c r="N21" s="270"/>
      <c r="O21" s="270"/>
      <c r="P21" s="270"/>
      <c r="Q21" s="270"/>
      <c r="R21" s="270"/>
      <c r="S21" s="271"/>
      <c r="T21" s="272"/>
      <c r="U21" s="273"/>
      <c r="V21" s="273"/>
      <c r="W21" s="273"/>
      <c r="X21" s="273"/>
      <c r="Y21" s="275"/>
      <c r="Z21" s="273"/>
      <c r="AA21" s="273"/>
      <c r="AB21" s="273"/>
      <c r="AC21" s="276"/>
      <c r="AD21" s="273"/>
      <c r="AE21" s="270"/>
      <c r="AF21" s="270"/>
      <c r="AG21" s="270"/>
      <c r="AH21" s="270"/>
      <c r="AI21" s="272"/>
      <c r="AJ21" s="273"/>
      <c r="AK21" s="273"/>
      <c r="AL21" s="273"/>
      <c r="AM21" s="273"/>
      <c r="AN21" s="274"/>
      <c r="AO21" s="275"/>
      <c r="AP21" s="275"/>
      <c r="AQ21" s="273"/>
      <c r="AR21" s="273"/>
      <c r="AS21" s="273"/>
      <c r="AT21" s="276"/>
      <c r="AU21" s="273"/>
      <c r="AV21" s="270"/>
      <c r="AW21" s="270"/>
      <c r="AX21" s="270"/>
      <c r="AY21" s="277"/>
      <c r="AZ21" s="33"/>
      <c r="BA21" s="46"/>
      <c r="BB21" s="78"/>
      <c r="BC21" s="34"/>
      <c r="BD21" s="28"/>
      <c r="BE21" s="35"/>
      <c r="BF21" s="35"/>
      <c r="BG21" s="35"/>
    </row>
    <row r="22" spans="1:59" ht="13.5" customHeight="1">
      <c r="A22" s="22"/>
      <c r="B22" s="32"/>
      <c r="C22" s="64"/>
      <c r="D22" s="62"/>
      <c r="E22" s="63"/>
      <c r="F22" s="63"/>
      <c r="G22" s="63"/>
      <c r="H22" s="69"/>
      <c r="I22" s="69"/>
      <c r="J22" s="65"/>
      <c r="K22" s="69"/>
      <c r="L22" s="65"/>
      <c r="M22" s="69"/>
      <c r="N22" s="64"/>
      <c r="O22" s="69"/>
      <c r="P22" s="65"/>
      <c r="Q22" s="28"/>
      <c r="R22" s="28"/>
      <c r="T22" s="31"/>
      <c r="U22" s="31"/>
      <c r="V22" s="31"/>
      <c r="W22" s="31"/>
      <c r="X22" s="31"/>
      <c r="Y22" s="44"/>
      <c r="Z22" s="31"/>
      <c r="AA22" s="28"/>
      <c r="AB22" s="44"/>
      <c r="AC22" s="31"/>
      <c r="AD22" s="28"/>
      <c r="AE22" s="44"/>
      <c r="AF22" s="28"/>
      <c r="AG22" s="28"/>
      <c r="AH22" s="28"/>
      <c r="AI22" s="28"/>
      <c r="AJ22" s="76"/>
      <c r="AK22" s="28"/>
      <c r="AL22" s="28"/>
      <c r="AM22" s="28"/>
      <c r="AN22" s="28"/>
      <c r="AO22" s="28"/>
      <c r="AP22" s="28"/>
      <c r="AQ22" s="28"/>
      <c r="AR22" s="28"/>
      <c r="AS22" s="63"/>
      <c r="AT22" s="64"/>
      <c r="AU22" s="63"/>
      <c r="AV22" s="65"/>
      <c r="AW22" s="65"/>
      <c r="AX22" s="65"/>
      <c r="AY22" s="31"/>
      <c r="AZ22" s="33"/>
      <c r="BA22" s="46"/>
      <c r="BB22" s="78"/>
      <c r="BC22" s="34"/>
      <c r="BD22" s="28"/>
    </row>
    <row r="23" spans="1:59" ht="13.5" customHeight="1">
      <c r="A23" s="22"/>
      <c r="B23" s="202">
        <v>2</v>
      </c>
      <c r="C23" s="204" t="s">
        <v>107</v>
      </c>
      <c r="D23" s="28"/>
      <c r="E23" s="28"/>
      <c r="F23" s="28"/>
      <c r="G23" s="28"/>
      <c r="H23" s="121"/>
      <c r="I23" s="62"/>
      <c r="J23" s="63"/>
      <c r="K23" s="62"/>
      <c r="L23" s="63"/>
      <c r="M23" s="69"/>
      <c r="N23" s="69"/>
      <c r="O23" s="65"/>
      <c r="P23" s="69"/>
      <c r="Q23" s="65"/>
      <c r="R23" s="69"/>
      <c r="S23" s="35"/>
      <c r="T23" s="28"/>
      <c r="U23" s="28"/>
      <c r="V23" s="28"/>
      <c r="W23" s="28"/>
      <c r="X23" s="28"/>
      <c r="Y23" s="121"/>
      <c r="Z23" s="62"/>
      <c r="AA23" s="63"/>
      <c r="AB23" s="62"/>
      <c r="AC23" s="63"/>
      <c r="AD23" s="69"/>
      <c r="AE23" s="69"/>
      <c r="AF23" s="65"/>
      <c r="AG23" s="69"/>
      <c r="AH23" s="69"/>
      <c r="AI23" s="64"/>
      <c r="AJ23" s="69"/>
      <c r="AK23" s="65"/>
      <c r="AL23" s="28"/>
      <c r="AM23" s="28"/>
      <c r="AN23" s="28"/>
      <c r="AO23" s="28"/>
      <c r="AP23" s="28"/>
      <c r="AQ23" s="28"/>
      <c r="AR23" s="28"/>
      <c r="AS23" s="63"/>
      <c r="AT23" s="64"/>
      <c r="AU23" s="63"/>
      <c r="AV23" s="65"/>
      <c r="AW23" s="65"/>
      <c r="AX23" s="65"/>
      <c r="AY23" s="31"/>
      <c r="AZ23" s="33"/>
      <c r="BA23" s="46"/>
      <c r="BB23" s="78"/>
      <c r="BC23" s="34"/>
      <c r="BD23" s="28"/>
    </row>
    <row r="24" spans="1:59" ht="5.15" customHeight="1">
      <c r="A24" s="22"/>
      <c r="B24" s="202"/>
      <c r="C24" s="296"/>
      <c r="D24" s="72"/>
      <c r="E24" s="72"/>
      <c r="F24" s="72"/>
      <c r="G24" s="72"/>
      <c r="H24" s="297"/>
      <c r="I24" s="278"/>
      <c r="J24" s="279"/>
      <c r="K24" s="278"/>
      <c r="L24" s="279"/>
      <c r="M24" s="298"/>
      <c r="N24" s="298"/>
      <c r="O24" s="263"/>
      <c r="P24" s="298"/>
      <c r="Q24" s="263"/>
      <c r="R24" s="298"/>
      <c r="S24" s="281"/>
      <c r="T24" s="72"/>
      <c r="U24" s="72"/>
      <c r="V24" s="72"/>
      <c r="W24" s="72"/>
      <c r="X24" s="72"/>
      <c r="Y24" s="297"/>
      <c r="Z24" s="278"/>
      <c r="AA24" s="279"/>
      <c r="AB24" s="278"/>
      <c r="AC24" s="279"/>
      <c r="AD24" s="298"/>
      <c r="AE24" s="298"/>
      <c r="AF24" s="263"/>
      <c r="AG24" s="298"/>
      <c r="AH24" s="298"/>
      <c r="AI24" s="280"/>
      <c r="AJ24" s="298"/>
      <c r="AK24" s="263"/>
      <c r="AL24" s="72"/>
      <c r="AM24" s="72"/>
      <c r="AN24" s="72"/>
      <c r="AO24" s="72"/>
      <c r="AP24" s="72"/>
      <c r="AQ24" s="72"/>
      <c r="AR24" s="72"/>
      <c r="AS24" s="279"/>
      <c r="AT24" s="280"/>
      <c r="AU24" s="279"/>
      <c r="AV24" s="263"/>
      <c r="AW24" s="263"/>
      <c r="AX24" s="263"/>
      <c r="AY24" s="265"/>
      <c r="AZ24" s="33"/>
      <c r="BA24" s="46"/>
      <c r="BB24" s="78"/>
      <c r="BC24" s="34"/>
      <c r="BD24" s="28"/>
    </row>
    <row r="25" spans="1:59" ht="13.5" customHeight="1">
      <c r="A25" s="22"/>
      <c r="B25" s="45"/>
      <c r="C25" s="266" t="s">
        <v>108</v>
      </c>
      <c r="D25" s="28"/>
      <c r="E25" s="28"/>
      <c r="F25" s="28"/>
      <c r="G25" s="28"/>
      <c r="H25" s="58"/>
      <c r="I25" s="59"/>
      <c r="J25" s="59"/>
      <c r="K25" s="59"/>
      <c r="L25" s="60"/>
      <c r="M25" s="59"/>
      <c r="N25" s="70"/>
      <c r="O25" s="94" t="s">
        <v>109</v>
      </c>
      <c r="Q25" s="64"/>
      <c r="R25" s="63"/>
      <c r="S25" s="35"/>
      <c r="T25" s="28" t="s">
        <v>118</v>
      </c>
      <c r="U25" s="28"/>
      <c r="V25" s="28"/>
      <c r="W25" s="28"/>
      <c r="Y25" s="58"/>
      <c r="Z25" s="59"/>
      <c r="AA25" s="59"/>
      <c r="AB25" s="59"/>
      <c r="AC25" s="60"/>
      <c r="AD25" s="59"/>
      <c r="AE25" s="61"/>
      <c r="AF25" s="70"/>
      <c r="AG25" s="94" t="s">
        <v>111</v>
      </c>
      <c r="AH25" s="28"/>
      <c r="AI25" s="28"/>
      <c r="AJ25" s="28"/>
      <c r="AK25" s="28" t="s">
        <v>112</v>
      </c>
      <c r="AL25" s="28"/>
      <c r="AM25" s="28"/>
      <c r="AN25" s="28"/>
      <c r="AO25" s="35"/>
      <c r="AP25" s="54"/>
      <c r="AQ25" s="55"/>
      <c r="AR25" s="55"/>
      <c r="AS25" s="55"/>
      <c r="AT25" s="56"/>
      <c r="AU25" s="55"/>
      <c r="AV25" s="57"/>
      <c r="AW25" s="66"/>
      <c r="AX25" s="94" t="s">
        <v>113</v>
      </c>
      <c r="AY25" s="283"/>
      <c r="AZ25" s="33"/>
      <c r="BA25" s="46"/>
      <c r="BB25" s="78"/>
      <c r="BC25" s="34"/>
      <c r="BD25" s="28"/>
      <c r="BE25" s="35"/>
      <c r="BF25" s="35"/>
      <c r="BG25" s="35"/>
    </row>
    <row r="26" spans="1:59" ht="13.5" customHeight="1">
      <c r="A26" s="22"/>
      <c r="B26" s="45"/>
      <c r="C26" s="282" t="s">
        <v>265</v>
      </c>
      <c r="D26" s="28"/>
      <c r="E26" s="28"/>
      <c r="F26" s="28"/>
      <c r="H26" s="58"/>
      <c r="I26" s="59"/>
      <c r="J26" s="59"/>
      <c r="K26" s="59"/>
      <c r="L26" s="60"/>
      <c r="M26" s="59"/>
      <c r="N26" s="61"/>
      <c r="O26" s="61"/>
      <c r="P26" s="70"/>
      <c r="Q26" s="64"/>
      <c r="R26" s="28"/>
      <c r="S26" s="35"/>
      <c r="T26" s="28" t="s">
        <v>263</v>
      </c>
      <c r="V26" s="28"/>
      <c r="W26" s="28"/>
      <c r="Y26" s="58"/>
      <c r="Z26" s="59"/>
      <c r="AA26" s="59"/>
      <c r="AB26" s="59"/>
      <c r="AC26" s="60"/>
      <c r="AD26" s="59"/>
      <c r="AE26" s="61"/>
      <c r="AF26" s="61"/>
      <c r="AG26" s="70"/>
      <c r="AH26" s="28"/>
      <c r="AI26" s="28"/>
      <c r="AJ26" s="28"/>
      <c r="AL26" s="28"/>
      <c r="AM26" s="28"/>
      <c r="AN26" s="28"/>
      <c r="AO26" s="35"/>
      <c r="AP26" s="62"/>
      <c r="AQ26" s="63"/>
      <c r="AR26" s="63"/>
      <c r="AS26" s="63"/>
      <c r="AT26" s="64"/>
      <c r="AU26" s="63"/>
      <c r="AV26" s="65"/>
      <c r="AW26" s="65"/>
      <c r="AX26" s="65"/>
      <c r="AY26" s="283"/>
      <c r="AZ26" s="33"/>
      <c r="BA26" s="46"/>
      <c r="BB26" s="78"/>
      <c r="BC26" s="34"/>
      <c r="BD26" s="28"/>
      <c r="BE26" s="35"/>
      <c r="BF26" s="35"/>
      <c r="BG26" s="35"/>
    </row>
    <row r="27" spans="1:59" ht="14.15" customHeight="1">
      <c r="A27" s="22"/>
      <c r="B27" s="256"/>
      <c r="C27" s="497" t="s">
        <v>271</v>
      </c>
      <c r="F27" s="285"/>
      <c r="G27" s="285"/>
      <c r="H27" s="98" t="s">
        <v>121</v>
      </c>
      <c r="I27" s="257"/>
      <c r="J27" s="258"/>
      <c r="K27" s="258"/>
      <c r="L27" s="258"/>
      <c r="M27" s="259"/>
      <c r="N27" s="258"/>
      <c r="O27" s="110"/>
      <c r="P27" s="260" t="s">
        <v>32</v>
      </c>
      <c r="R27" s="130"/>
      <c r="S27" s="35"/>
      <c r="T27" s="285" t="s">
        <v>272</v>
      </c>
      <c r="U27" s="35"/>
      <c r="V27" s="285"/>
      <c r="W27" s="285"/>
      <c r="X27" s="285"/>
      <c r="Y27" s="98" t="s">
        <v>122</v>
      </c>
      <c r="Z27" s="257"/>
      <c r="AA27" s="258"/>
      <c r="AB27" s="258"/>
      <c r="AC27" s="258"/>
      <c r="AD27" s="259"/>
      <c r="AE27" s="258"/>
      <c r="AF27" s="142"/>
      <c r="AG27" s="496" t="s">
        <v>32</v>
      </c>
      <c r="AH27" s="35"/>
      <c r="AI27" s="35"/>
      <c r="AJ27" s="285"/>
      <c r="AL27" s="35"/>
      <c r="AM27" s="285"/>
      <c r="AN27" s="35"/>
      <c r="AO27" s="35"/>
      <c r="AP27" s="26"/>
      <c r="AQ27" s="493"/>
      <c r="AR27" s="494"/>
      <c r="AS27" s="494"/>
      <c r="AT27" s="494"/>
      <c r="AU27" s="495"/>
      <c r="AV27" s="38"/>
      <c r="AW27" s="26"/>
      <c r="AX27" s="499"/>
      <c r="AY27" s="286"/>
      <c r="AZ27" s="33"/>
      <c r="BA27" s="46"/>
      <c r="BB27" s="78"/>
      <c r="BC27" s="34"/>
      <c r="BD27" s="35"/>
      <c r="BE27" s="35"/>
      <c r="BF27" s="35"/>
      <c r="BG27" s="35"/>
    </row>
    <row r="28" spans="1:59" ht="13.5" customHeight="1">
      <c r="A28" s="22"/>
      <c r="B28" s="45"/>
      <c r="C28" s="282" t="s">
        <v>266</v>
      </c>
      <c r="D28" s="28"/>
      <c r="E28" s="28"/>
      <c r="F28" s="28"/>
      <c r="H28" s="58"/>
      <c r="I28" s="59"/>
      <c r="J28" s="59"/>
      <c r="K28" s="59"/>
      <c r="L28" s="60"/>
      <c r="M28" s="59"/>
      <c r="N28" s="61"/>
      <c r="O28" s="61"/>
      <c r="P28" s="70"/>
      <c r="Q28" s="64"/>
      <c r="R28" s="28"/>
      <c r="S28" s="35"/>
      <c r="T28" s="28" t="s">
        <v>267</v>
      </c>
      <c r="U28" s="28"/>
      <c r="V28" s="28"/>
      <c r="W28" s="28"/>
      <c r="Y28" s="58"/>
      <c r="Z28" s="59"/>
      <c r="AA28" s="59"/>
      <c r="AB28" s="59"/>
      <c r="AC28" s="60"/>
      <c r="AD28" s="59"/>
      <c r="AE28" s="61"/>
      <c r="AF28" s="61"/>
      <c r="AG28" s="70"/>
      <c r="AH28" s="28"/>
      <c r="AI28" s="28"/>
      <c r="AJ28" s="28" t="s">
        <v>268</v>
      </c>
      <c r="AK28" s="28"/>
      <c r="AL28" s="28"/>
      <c r="AM28" s="28"/>
      <c r="AN28" s="28"/>
      <c r="AO28" s="35"/>
      <c r="AP28" s="58"/>
      <c r="AQ28" s="59"/>
      <c r="AR28" s="59"/>
      <c r="AS28" s="59"/>
      <c r="AT28" s="60"/>
      <c r="AU28" s="59"/>
      <c r="AV28" s="61"/>
      <c r="AW28" s="61"/>
      <c r="AX28" s="498"/>
      <c r="AY28" s="283"/>
      <c r="AZ28" s="33"/>
      <c r="BA28" s="46"/>
      <c r="BB28" s="78"/>
      <c r="BC28" s="34"/>
      <c r="BD28" s="28"/>
      <c r="BE28" s="35"/>
      <c r="BF28" s="35"/>
      <c r="BG28" s="35"/>
    </row>
    <row r="29" spans="1:59" ht="13.5" customHeight="1">
      <c r="A29" s="22"/>
      <c r="B29" s="45"/>
      <c r="C29" s="282" t="s">
        <v>117</v>
      </c>
      <c r="D29" s="28"/>
      <c r="E29" s="28"/>
      <c r="F29" s="28"/>
      <c r="H29" s="58"/>
      <c r="I29" s="59"/>
      <c r="J29" s="59"/>
      <c r="K29" s="59"/>
      <c r="L29" s="60"/>
      <c r="M29" s="59"/>
      <c r="N29" s="61"/>
      <c r="O29" s="61"/>
      <c r="P29" s="260" t="s">
        <v>32</v>
      </c>
      <c r="Q29" s="64"/>
      <c r="R29" s="28"/>
      <c r="S29" s="35"/>
      <c r="T29" s="26" t="s">
        <v>269</v>
      </c>
      <c r="U29" s="28"/>
      <c r="V29" s="28"/>
      <c r="W29" s="28"/>
      <c r="Y29" s="58"/>
      <c r="Z29" s="59"/>
      <c r="AA29" s="59"/>
      <c r="AB29" s="59"/>
      <c r="AC29" s="60"/>
      <c r="AD29" s="59"/>
      <c r="AE29" s="61"/>
      <c r="AF29" s="61"/>
      <c r="AG29" s="70"/>
      <c r="AH29" s="28"/>
      <c r="AI29" s="28"/>
      <c r="AJ29" s="28" t="s">
        <v>270</v>
      </c>
      <c r="AK29" s="28"/>
      <c r="AL29" s="28"/>
      <c r="AM29" s="28"/>
      <c r="AN29" s="28"/>
      <c r="AO29" s="35"/>
      <c r="AP29" s="58"/>
      <c r="AQ29" s="59"/>
      <c r="AR29" s="59"/>
      <c r="AS29" s="59"/>
      <c r="AT29" s="60"/>
      <c r="AU29" s="59"/>
      <c r="AV29" s="70"/>
      <c r="AW29" s="94" t="s">
        <v>264</v>
      </c>
      <c r="AX29" s="35"/>
      <c r="AY29" s="283"/>
      <c r="AZ29" s="33"/>
      <c r="BA29" s="46"/>
      <c r="BB29" s="78"/>
      <c r="BC29" s="34"/>
      <c r="BD29" s="28"/>
      <c r="BE29" s="35"/>
      <c r="BF29" s="35"/>
      <c r="BG29" s="35"/>
    </row>
    <row r="30" spans="1:59" ht="13.5" customHeight="1">
      <c r="A30" s="22"/>
      <c r="B30" s="32"/>
      <c r="C30" s="287" t="s">
        <v>123</v>
      </c>
      <c r="D30" s="41"/>
      <c r="E30" s="41"/>
      <c r="F30" s="41"/>
      <c r="G30" s="41"/>
      <c r="H30" s="163"/>
      <c r="I30" s="164"/>
      <c r="J30" s="165"/>
      <c r="K30" s="164"/>
      <c r="L30" s="165"/>
      <c r="M30" s="164"/>
      <c r="N30" s="166"/>
      <c r="O30" s="164"/>
      <c r="P30" s="165"/>
      <c r="Q30" s="165"/>
      <c r="R30" s="165"/>
      <c r="S30" s="167"/>
      <c r="T30" s="167"/>
      <c r="U30" s="167"/>
      <c r="V30" s="167"/>
      <c r="W30" s="167"/>
      <c r="X30" s="166"/>
      <c r="Y30" s="167"/>
      <c r="Z30" s="165"/>
      <c r="AA30" s="166"/>
      <c r="AB30" s="167"/>
      <c r="AC30" s="165"/>
      <c r="AD30" s="166"/>
      <c r="AE30" s="165"/>
      <c r="AF30" s="165"/>
      <c r="AG30" s="166"/>
      <c r="AH30" s="165"/>
      <c r="AI30" s="165"/>
      <c r="AJ30" s="168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0" t="s">
        <v>36</v>
      </c>
      <c r="AY30" s="283"/>
      <c r="AZ30" s="33"/>
      <c r="BA30" s="46"/>
      <c r="BB30" s="78"/>
      <c r="BC30" s="34"/>
      <c r="BD30" s="28"/>
      <c r="BE30" s="35"/>
      <c r="BF30" s="35"/>
      <c r="BG30" s="35"/>
    </row>
    <row r="31" spans="1:59" ht="13.5" customHeight="1">
      <c r="A31" s="22"/>
      <c r="B31" s="32"/>
      <c r="C31" s="287"/>
      <c r="D31" s="41"/>
      <c r="E31" s="41"/>
      <c r="F31" s="41"/>
      <c r="G31" s="41"/>
      <c r="H31" s="169"/>
      <c r="I31" s="170"/>
      <c r="J31" s="171"/>
      <c r="K31" s="170"/>
      <c r="L31" s="171"/>
      <c r="M31" s="170"/>
      <c r="N31" s="172"/>
      <c r="O31" s="170"/>
      <c r="P31" s="171"/>
      <c r="Q31" s="171"/>
      <c r="R31" s="171"/>
      <c r="S31" s="173"/>
      <c r="T31" s="173"/>
      <c r="U31" s="173"/>
      <c r="V31" s="173"/>
      <c r="W31" s="173"/>
      <c r="X31" s="172"/>
      <c r="Y31" s="173"/>
      <c r="Z31" s="171"/>
      <c r="AA31" s="172"/>
      <c r="AB31" s="173"/>
      <c r="AC31" s="171"/>
      <c r="AD31" s="172"/>
      <c r="AE31" s="171"/>
      <c r="AF31" s="171"/>
      <c r="AG31" s="172"/>
      <c r="AH31" s="171"/>
      <c r="AI31" s="171"/>
      <c r="AJ31" s="174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22" t="s">
        <v>32</v>
      </c>
      <c r="AY31" s="283"/>
      <c r="AZ31" s="33"/>
      <c r="BA31" s="46"/>
      <c r="BB31" s="78"/>
      <c r="BC31" s="34"/>
      <c r="BD31" s="28"/>
      <c r="BE31" s="35"/>
      <c r="BF31" s="35"/>
      <c r="BG31" s="35"/>
    </row>
    <row r="32" spans="1:59" ht="13.5" customHeight="1">
      <c r="A32" s="22"/>
      <c r="B32" s="32"/>
      <c r="C32" s="287" t="s">
        <v>125</v>
      </c>
      <c r="D32" s="41"/>
      <c r="E32" s="41"/>
      <c r="F32" s="41"/>
      <c r="G32" s="41"/>
      <c r="H32" s="163" t="s">
        <v>170</v>
      </c>
      <c r="I32" s="164"/>
      <c r="J32" s="165"/>
      <c r="K32" s="164"/>
      <c r="L32" s="165"/>
      <c r="M32" s="164"/>
      <c r="N32" s="166"/>
      <c r="O32" s="164"/>
      <c r="P32" s="165"/>
      <c r="Q32" s="165"/>
      <c r="R32" s="165"/>
      <c r="S32" s="167"/>
      <c r="T32" s="167"/>
      <c r="U32" s="167"/>
      <c r="V32" s="167"/>
      <c r="W32" s="167"/>
      <c r="X32" s="166"/>
      <c r="Y32" s="167"/>
      <c r="Z32" s="165"/>
      <c r="AA32" s="166"/>
      <c r="AB32" s="167"/>
      <c r="AC32" s="165"/>
      <c r="AD32" s="166"/>
      <c r="AE32" s="165"/>
      <c r="AF32" s="165"/>
      <c r="AG32" s="166"/>
      <c r="AH32" s="165"/>
      <c r="AI32" s="165"/>
      <c r="AJ32" s="168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0" t="s">
        <v>36</v>
      </c>
      <c r="AY32" s="283"/>
      <c r="AZ32" s="33"/>
      <c r="BA32" s="46"/>
      <c r="BB32" s="78"/>
      <c r="BC32" s="34"/>
      <c r="BD32" s="28"/>
      <c r="BE32" s="35"/>
      <c r="BF32" s="35"/>
      <c r="BG32" s="35"/>
    </row>
    <row r="33" spans="1:59" ht="13.5" customHeight="1">
      <c r="A33" s="22"/>
      <c r="B33" s="32"/>
      <c r="C33" s="287"/>
      <c r="D33" s="41"/>
      <c r="E33" s="41"/>
      <c r="F33" s="41"/>
      <c r="G33" s="41"/>
      <c r="H33" s="169"/>
      <c r="I33" s="170"/>
      <c r="J33" s="171"/>
      <c r="K33" s="170"/>
      <c r="L33" s="171"/>
      <c r="M33" s="170"/>
      <c r="N33" s="172"/>
      <c r="O33" s="170"/>
      <c r="P33" s="171"/>
      <c r="Q33" s="171"/>
      <c r="R33" s="171"/>
      <c r="S33" s="173"/>
      <c r="T33" s="173"/>
      <c r="U33" s="173"/>
      <c r="V33" s="173"/>
      <c r="W33" s="173"/>
      <c r="X33" s="172"/>
      <c r="Y33" s="173"/>
      <c r="Z33" s="171"/>
      <c r="AA33" s="172"/>
      <c r="AB33" s="173"/>
      <c r="AC33" s="171"/>
      <c r="AD33" s="172"/>
      <c r="AE33" s="171"/>
      <c r="AF33" s="171"/>
      <c r="AG33" s="172"/>
      <c r="AH33" s="171"/>
      <c r="AI33" s="171"/>
      <c r="AJ33" s="174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22" t="s">
        <v>32</v>
      </c>
      <c r="AY33" s="283"/>
      <c r="AZ33" s="33"/>
      <c r="BA33" s="46"/>
      <c r="BB33" s="78"/>
      <c r="BC33" s="34"/>
      <c r="BD33" s="28"/>
      <c r="BE33" s="35"/>
      <c r="BF33" s="35"/>
      <c r="BG33" s="35"/>
    </row>
    <row r="34" spans="1:59" ht="13.5" customHeight="1">
      <c r="A34" s="22"/>
      <c r="B34" s="32"/>
      <c r="C34" s="287" t="s">
        <v>126</v>
      </c>
      <c r="D34" s="41"/>
      <c r="E34" s="41"/>
      <c r="F34" s="41"/>
      <c r="G34" s="41"/>
      <c r="H34" s="163"/>
      <c r="I34" s="164"/>
      <c r="J34" s="165"/>
      <c r="K34" s="164"/>
      <c r="L34" s="165"/>
      <c r="M34" s="164"/>
      <c r="N34" s="166"/>
      <c r="O34" s="164"/>
      <c r="P34" s="165"/>
      <c r="Q34" s="165"/>
      <c r="R34" s="165"/>
      <c r="S34" s="167"/>
      <c r="T34" s="167"/>
      <c r="U34" s="167"/>
      <c r="V34" s="167"/>
      <c r="W34" s="167"/>
      <c r="X34" s="166"/>
      <c r="Y34" s="167"/>
      <c r="Z34" s="165"/>
      <c r="AA34" s="166"/>
      <c r="AB34" s="167"/>
      <c r="AC34" s="165"/>
      <c r="AD34" s="166"/>
      <c r="AE34" s="165"/>
      <c r="AF34" s="165"/>
      <c r="AG34" s="166"/>
      <c r="AH34" s="165"/>
      <c r="AI34" s="165"/>
      <c r="AJ34" s="168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0" t="s">
        <v>36</v>
      </c>
      <c r="AY34" s="283"/>
      <c r="AZ34" s="33"/>
      <c r="BA34" s="46"/>
      <c r="BB34" s="78"/>
      <c r="BC34" s="34"/>
      <c r="BD34" s="28"/>
      <c r="BE34" s="35"/>
      <c r="BF34" s="35"/>
      <c r="BG34" s="35"/>
    </row>
    <row r="35" spans="1:59" ht="13.5" customHeight="1">
      <c r="A35" s="22"/>
      <c r="B35" s="32"/>
      <c r="C35" s="287"/>
      <c r="D35" s="41"/>
      <c r="E35" s="41"/>
      <c r="F35" s="41"/>
      <c r="G35" s="41"/>
      <c r="H35" s="169"/>
      <c r="I35" s="170"/>
      <c r="J35" s="171"/>
      <c r="K35" s="170"/>
      <c r="L35" s="171"/>
      <c r="M35" s="170"/>
      <c r="N35" s="172"/>
      <c r="O35" s="170"/>
      <c r="P35" s="171"/>
      <c r="Q35" s="171"/>
      <c r="R35" s="171"/>
      <c r="S35" s="173"/>
      <c r="T35" s="173"/>
      <c r="U35" s="173"/>
      <c r="V35" s="173"/>
      <c r="W35" s="173"/>
      <c r="X35" s="172"/>
      <c r="Y35" s="173"/>
      <c r="Z35" s="171"/>
      <c r="AA35" s="172"/>
      <c r="AB35" s="173"/>
      <c r="AC35" s="171"/>
      <c r="AD35" s="172"/>
      <c r="AE35" s="171"/>
      <c r="AF35" s="171"/>
      <c r="AG35" s="172"/>
      <c r="AH35" s="171"/>
      <c r="AI35" s="171"/>
      <c r="AJ35" s="174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22" t="s">
        <v>32</v>
      </c>
      <c r="AY35" s="283"/>
      <c r="AZ35" s="33"/>
      <c r="BA35" s="46"/>
      <c r="BB35" s="78"/>
      <c r="BC35" s="34"/>
      <c r="BD35" s="28"/>
      <c r="BE35" s="35"/>
      <c r="BF35" s="35"/>
      <c r="BG35" s="35"/>
    </row>
    <row r="36" spans="1:59" ht="5.15" customHeight="1">
      <c r="A36" s="22"/>
      <c r="B36" s="32"/>
      <c r="C36" s="288"/>
      <c r="D36" s="289"/>
      <c r="E36" s="289"/>
      <c r="F36" s="289"/>
      <c r="G36" s="289"/>
      <c r="H36" s="290"/>
      <c r="I36" s="290"/>
      <c r="J36" s="291"/>
      <c r="K36" s="290"/>
      <c r="L36" s="291"/>
      <c r="M36" s="290"/>
      <c r="N36" s="292"/>
      <c r="O36" s="290"/>
      <c r="P36" s="291"/>
      <c r="Q36" s="291"/>
      <c r="R36" s="291"/>
      <c r="S36" s="293"/>
      <c r="T36" s="293"/>
      <c r="U36" s="293"/>
      <c r="V36" s="293"/>
      <c r="W36" s="293"/>
      <c r="X36" s="292"/>
      <c r="Y36" s="293"/>
      <c r="Z36" s="291"/>
      <c r="AA36" s="292"/>
      <c r="AB36" s="293"/>
      <c r="AC36" s="291"/>
      <c r="AD36" s="292"/>
      <c r="AE36" s="291"/>
      <c r="AF36" s="291"/>
      <c r="AG36" s="292"/>
      <c r="AH36" s="291"/>
      <c r="AI36" s="291"/>
      <c r="AJ36" s="294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291"/>
      <c r="AX36" s="276"/>
      <c r="AY36" s="295"/>
      <c r="AZ36" s="33"/>
      <c r="BA36" s="46"/>
      <c r="BB36" s="78"/>
      <c r="BC36" s="34"/>
      <c r="BD36" s="28"/>
      <c r="BE36" s="35"/>
      <c r="BF36" s="35"/>
      <c r="BG36" s="35"/>
    </row>
    <row r="37" spans="1:59" ht="13.5" customHeight="1">
      <c r="A37" s="22"/>
      <c r="B37" s="32"/>
      <c r="C37" s="41"/>
      <c r="D37" s="41"/>
      <c r="E37" s="41"/>
      <c r="F37" s="41"/>
      <c r="G37" s="41"/>
      <c r="H37" s="364"/>
      <c r="I37" s="364"/>
      <c r="J37" s="365"/>
      <c r="K37" s="364"/>
      <c r="L37" s="365"/>
      <c r="M37" s="364"/>
      <c r="N37" s="366"/>
      <c r="O37" s="364"/>
      <c r="P37" s="365"/>
      <c r="Q37" s="365"/>
      <c r="R37" s="365"/>
      <c r="S37" s="367"/>
      <c r="T37" s="367"/>
      <c r="U37" s="367"/>
      <c r="V37" s="367"/>
      <c r="W37" s="367"/>
      <c r="X37" s="366"/>
      <c r="Y37" s="367"/>
      <c r="Z37" s="365"/>
      <c r="AA37" s="366"/>
      <c r="AB37" s="367"/>
      <c r="AC37" s="365"/>
      <c r="AD37" s="366"/>
      <c r="AE37" s="365"/>
      <c r="AF37" s="365"/>
      <c r="AG37" s="366"/>
      <c r="AH37" s="365"/>
      <c r="AI37" s="365"/>
      <c r="AJ37" s="368"/>
      <c r="AK37" s="365"/>
      <c r="AL37" s="365"/>
      <c r="AM37" s="365"/>
      <c r="AN37" s="365"/>
      <c r="AO37" s="365"/>
      <c r="AP37" s="365"/>
      <c r="AQ37" s="365"/>
      <c r="AR37" s="365"/>
      <c r="AS37" s="365"/>
      <c r="AT37" s="365"/>
      <c r="AU37" s="365"/>
      <c r="AV37" s="365"/>
      <c r="AW37" s="365"/>
      <c r="AX37" s="280"/>
      <c r="AY37" s="279"/>
      <c r="AZ37" s="33"/>
      <c r="BA37" s="46"/>
      <c r="BB37" s="78"/>
      <c r="BC37" s="34"/>
      <c r="BD37" s="28"/>
      <c r="BE37" s="35"/>
      <c r="BF37" s="35"/>
      <c r="BG37" s="35"/>
    </row>
    <row r="38" spans="1:59" ht="13.5" customHeight="1">
      <c r="A38" s="22"/>
      <c r="B38" s="202">
        <v>5</v>
      </c>
      <c r="C38" s="204" t="s">
        <v>262</v>
      </c>
      <c r="D38" s="28"/>
      <c r="E38" s="28"/>
      <c r="F38" s="28"/>
      <c r="G38" s="28"/>
      <c r="H38" s="121"/>
      <c r="I38" s="62"/>
      <c r="J38" s="62"/>
      <c r="K38" s="63"/>
      <c r="L38" s="69"/>
      <c r="M38" s="69"/>
      <c r="N38" s="65"/>
      <c r="O38" s="69"/>
      <c r="P38" s="65"/>
      <c r="Q38" s="65"/>
      <c r="R38" s="69"/>
      <c r="S38" s="28"/>
      <c r="T38" s="28"/>
      <c r="U38" s="28"/>
      <c r="V38" s="28"/>
      <c r="W38" s="28"/>
      <c r="X38" s="121"/>
      <c r="Y38" s="62"/>
      <c r="Z38" s="63"/>
      <c r="AA38" s="62"/>
      <c r="AB38" s="63"/>
      <c r="AC38" s="69"/>
      <c r="AD38" s="69"/>
      <c r="AE38" s="65"/>
      <c r="AF38" s="69"/>
      <c r="AG38" s="65"/>
      <c r="AH38" s="69"/>
      <c r="AI38" s="64"/>
      <c r="AJ38" s="69"/>
      <c r="AK38" s="65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33"/>
      <c r="AW38" s="28"/>
      <c r="AX38" s="28"/>
      <c r="AY38" s="31"/>
      <c r="AZ38" s="33"/>
      <c r="BA38" s="46"/>
      <c r="BB38" s="159"/>
      <c r="BC38" s="115"/>
      <c r="BD38" s="28"/>
    </row>
    <row r="39" spans="1:59" ht="5.15" customHeight="1">
      <c r="A39" s="22"/>
      <c r="B39" s="202"/>
      <c r="C39" s="296"/>
      <c r="D39" s="72"/>
      <c r="E39" s="72"/>
      <c r="F39" s="72"/>
      <c r="G39" s="72"/>
      <c r="H39" s="297"/>
      <c r="I39" s="278"/>
      <c r="J39" s="278"/>
      <c r="K39" s="279"/>
      <c r="L39" s="298"/>
      <c r="M39" s="298"/>
      <c r="N39" s="263"/>
      <c r="O39" s="298"/>
      <c r="P39" s="263"/>
      <c r="Q39" s="263"/>
      <c r="R39" s="298"/>
      <c r="S39" s="72"/>
      <c r="T39" s="72"/>
      <c r="U39" s="72"/>
      <c r="V39" s="72"/>
      <c r="W39" s="72"/>
      <c r="X39" s="297"/>
      <c r="Y39" s="278"/>
      <c r="Z39" s="279"/>
      <c r="AA39" s="278"/>
      <c r="AB39" s="279"/>
      <c r="AC39" s="298"/>
      <c r="AD39" s="298"/>
      <c r="AE39" s="263"/>
      <c r="AF39" s="298"/>
      <c r="AG39" s="263"/>
      <c r="AH39" s="298"/>
      <c r="AI39" s="280"/>
      <c r="AJ39" s="298"/>
      <c r="AK39" s="263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300"/>
      <c r="AW39" s="72"/>
      <c r="AX39" s="72"/>
      <c r="AY39" s="265"/>
      <c r="AZ39" s="33"/>
      <c r="BA39" s="46"/>
      <c r="BB39" s="159"/>
      <c r="BC39" s="115"/>
      <c r="BD39" s="28"/>
    </row>
    <row r="40" spans="1:59" ht="13.9" customHeight="1">
      <c r="A40" s="22"/>
      <c r="B40" s="202"/>
      <c r="C40" s="501" t="s">
        <v>280</v>
      </c>
      <c r="D40" s="28"/>
      <c r="E40" s="28"/>
      <c r="F40" s="28"/>
      <c r="G40" s="86" t="s">
        <v>275</v>
      </c>
      <c r="H40" s="86"/>
      <c r="I40" s="86"/>
      <c r="J40" s="86"/>
      <c r="K40" s="86"/>
      <c r="L40" s="322"/>
      <c r="M40" s="75"/>
      <c r="N40" s="65"/>
      <c r="O40" s="69"/>
      <c r="P40" s="65"/>
      <c r="Q40" s="65"/>
      <c r="R40" s="69"/>
      <c r="S40" s="28"/>
      <c r="T40" s="28"/>
      <c r="U40" s="28"/>
      <c r="V40" s="28"/>
      <c r="W40" s="28"/>
      <c r="X40" s="121"/>
      <c r="Y40" s="62"/>
      <c r="Z40" s="63"/>
      <c r="AA40" s="62"/>
      <c r="AB40" s="63"/>
      <c r="AC40" s="69"/>
      <c r="AD40" s="69"/>
      <c r="AE40" s="65"/>
      <c r="AF40" s="69"/>
      <c r="AG40" s="65"/>
      <c r="AH40" s="69"/>
      <c r="AI40" s="64"/>
      <c r="AJ40" s="69"/>
      <c r="AK40" s="65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33"/>
      <c r="AW40" s="28"/>
      <c r="AX40" s="28"/>
      <c r="AY40" s="267"/>
      <c r="AZ40" s="33"/>
      <c r="BA40" s="46"/>
      <c r="BB40" s="159"/>
      <c r="BC40" s="115"/>
      <c r="BD40" s="28"/>
    </row>
    <row r="41" spans="1:59" ht="13.5" customHeight="1">
      <c r="A41" s="22"/>
      <c r="B41" s="202">
        <v>6</v>
      </c>
      <c r="C41" s="304" t="s">
        <v>31</v>
      </c>
      <c r="D41" s="205" t="s">
        <v>260</v>
      </c>
      <c r="E41" s="206"/>
      <c r="F41" s="206"/>
      <c r="G41" s="207"/>
      <c r="H41" s="208" t="s">
        <v>274</v>
      </c>
      <c r="I41" s="209"/>
      <c r="J41" s="209"/>
      <c r="K41" s="206"/>
      <c r="L41" s="207"/>
      <c r="M41" s="28"/>
      <c r="N41" s="28"/>
      <c r="O41" s="28"/>
      <c r="P41" s="28"/>
      <c r="Q41" s="28"/>
      <c r="R41" s="28"/>
      <c r="S41" s="35"/>
      <c r="T41" s="35"/>
      <c r="U41" s="35"/>
      <c r="V41" s="35"/>
      <c r="Y41" s="35"/>
      <c r="Z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11"/>
      <c r="AZ41" s="33"/>
      <c r="BA41" s="46"/>
      <c r="BB41" s="159"/>
      <c r="BC41" s="115"/>
      <c r="BD41" s="35"/>
      <c r="BE41" s="35"/>
      <c r="BF41" s="35"/>
      <c r="BG41" s="35"/>
    </row>
    <row r="42" spans="1:59" ht="13.5" customHeight="1">
      <c r="A42" s="22"/>
      <c r="B42" s="202">
        <v>8</v>
      </c>
      <c r="C42" s="308">
        <v>1</v>
      </c>
      <c r="D42" s="148" t="s">
        <v>147</v>
      </c>
      <c r="E42" s="149"/>
      <c r="F42" s="149"/>
      <c r="G42" s="151"/>
      <c r="H42" s="1019">
        <v>110</v>
      </c>
      <c r="I42" s="989"/>
      <c r="J42" s="989"/>
      <c r="K42" s="989"/>
      <c r="L42" s="990"/>
      <c r="M42" s="28"/>
      <c r="N42" s="28"/>
      <c r="O42" s="28"/>
      <c r="P42" s="28"/>
      <c r="Q42" s="28"/>
      <c r="R42" s="28"/>
      <c r="S42" s="35"/>
      <c r="T42" s="35"/>
      <c r="U42" s="35"/>
      <c r="V42" s="35"/>
      <c r="Y42" s="35"/>
      <c r="Z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11"/>
      <c r="AZ42" s="33"/>
      <c r="BA42" s="46"/>
      <c r="BB42" s="159"/>
      <c r="BC42" s="115"/>
      <c r="BD42" s="35"/>
      <c r="BE42" s="35"/>
      <c r="BF42" s="35"/>
      <c r="BG42" s="35"/>
    </row>
    <row r="43" spans="1:59" ht="13.5" customHeight="1">
      <c r="A43" s="22"/>
      <c r="B43" s="202">
        <v>9</v>
      </c>
      <c r="C43" s="308">
        <v>2</v>
      </c>
      <c r="D43" s="148" t="s">
        <v>261</v>
      </c>
      <c r="E43" s="149"/>
      <c r="F43" s="149"/>
      <c r="G43" s="151"/>
      <c r="H43" s="1019">
        <v>125</v>
      </c>
      <c r="I43" s="989"/>
      <c r="J43" s="989"/>
      <c r="K43" s="989"/>
      <c r="L43" s="990"/>
      <c r="M43" s="28"/>
      <c r="N43" s="28"/>
      <c r="O43" s="28"/>
      <c r="P43" s="28"/>
      <c r="Q43" s="28"/>
      <c r="R43" s="28"/>
      <c r="S43" s="35"/>
      <c r="T43" s="35"/>
      <c r="U43" s="35"/>
      <c r="V43" s="35"/>
      <c r="Y43" s="35"/>
      <c r="Z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11"/>
      <c r="AZ43" s="33"/>
      <c r="BA43" s="46"/>
      <c r="BB43" s="159"/>
      <c r="BC43" s="115"/>
      <c r="BD43" s="35"/>
      <c r="BE43" s="35"/>
      <c r="BF43" s="35"/>
      <c r="BG43" s="35"/>
    </row>
    <row r="44" spans="1:59" ht="5.15" customHeight="1">
      <c r="A44" s="22"/>
      <c r="B44" s="202"/>
      <c r="C44" s="315"/>
      <c r="D44" s="73"/>
      <c r="E44" s="73"/>
      <c r="F44" s="73"/>
      <c r="G44" s="73"/>
      <c r="H44" s="316"/>
      <c r="I44" s="275"/>
      <c r="J44" s="275"/>
      <c r="K44" s="273"/>
      <c r="L44" s="317"/>
      <c r="M44" s="317"/>
      <c r="N44" s="270"/>
      <c r="O44" s="317"/>
      <c r="P44" s="270"/>
      <c r="Q44" s="270"/>
      <c r="R44" s="317"/>
      <c r="S44" s="73"/>
      <c r="T44" s="73"/>
      <c r="U44" s="73"/>
      <c r="V44" s="73"/>
      <c r="W44" s="73"/>
      <c r="X44" s="316"/>
      <c r="Y44" s="275"/>
      <c r="Z44" s="273"/>
      <c r="AA44" s="275"/>
      <c r="AB44" s="273"/>
      <c r="AC44" s="317"/>
      <c r="AD44" s="317"/>
      <c r="AE44" s="270"/>
      <c r="AF44" s="317"/>
      <c r="AG44" s="270"/>
      <c r="AH44" s="317"/>
      <c r="AI44" s="276"/>
      <c r="AJ44" s="317"/>
      <c r="AK44" s="270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318"/>
      <c r="AW44" s="73"/>
      <c r="AX44" s="73"/>
      <c r="AY44" s="277"/>
      <c r="AZ44" s="33"/>
      <c r="BA44" s="46"/>
      <c r="BB44" s="159"/>
      <c r="BC44" s="115"/>
      <c r="BD44" s="28"/>
    </row>
    <row r="45" spans="1:59" ht="13.5" customHeight="1">
      <c r="A45" s="22"/>
      <c r="B45" s="202">
        <v>10</v>
      </c>
      <c r="C45" s="492"/>
      <c r="D45" s="65"/>
      <c r="E45" s="65"/>
      <c r="F45" s="65"/>
      <c r="G45" s="65"/>
      <c r="H45" s="65"/>
      <c r="I45" s="65"/>
      <c r="J45" s="65"/>
      <c r="K45" s="65"/>
      <c r="L45" s="65"/>
      <c r="M45" s="62"/>
      <c r="N45" s="63"/>
      <c r="O45" s="65"/>
      <c r="P45" s="65"/>
      <c r="Q45" s="64"/>
      <c r="R45" s="63"/>
      <c r="S45" s="190"/>
      <c r="T45" s="190"/>
      <c r="U45" s="191"/>
      <c r="V45" s="192"/>
      <c r="W45" s="190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33"/>
      <c r="BA45" s="46"/>
      <c r="BB45" s="159"/>
      <c r="BC45" s="115"/>
      <c r="BD45" s="28"/>
    </row>
    <row r="46" spans="1:59" ht="13.5" customHeight="1">
      <c r="A46" s="22"/>
      <c r="B46" s="202">
        <v>5</v>
      </c>
      <c r="C46" s="204" t="s">
        <v>62</v>
      </c>
      <c r="D46" s="28"/>
      <c r="E46" s="28"/>
      <c r="F46" s="28"/>
      <c r="G46" s="28"/>
      <c r="H46" s="121"/>
      <c r="I46" s="62"/>
      <c r="J46" s="63"/>
      <c r="K46" s="62"/>
      <c r="L46" s="63"/>
      <c r="M46" s="69"/>
      <c r="N46" s="69"/>
      <c r="O46" s="65"/>
      <c r="P46" s="69"/>
      <c r="Q46" s="65"/>
      <c r="R46" s="69"/>
      <c r="S46" s="28"/>
      <c r="T46" s="28"/>
      <c r="U46" s="28"/>
      <c r="V46" s="28"/>
      <c r="W46" s="28"/>
      <c r="X46" s="121"/>
      <c r="Y46" s="62"/>
      <c r="Z46" s="63"/>
      <c r="AA46" s="62"/>
      <c r="AB46" s="63"/>
      <c r="AC46" s="69"/>
      <c r="AD46" s="69"/>
      <c r="AE46" s="65"/>
      <c r="AF46" s="69"/>
      <c r="AG46" s="65"/>
      <c r="AH46" s="69"/>
      <c r="AI46" s="64"/>
      <c r="AJ46" s="69"/>
      <c r="AK46" s="65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33"/>
      <c r="AW46" s="28"/>
      <c r="AX46" s="28"/>
      <c r="AY46" s="31"/>
      <c r="AZ46" s="33"/>
      <c r="BA46" s="46"/>
      <c r="BB46" s="159"/>
      <c r="BC46" s="115"/>
      <c r="BD46" s="28"/>
    </row>
    <row r="47" spans="1:59" ht="5.15" customHeight="1">
      <c r="A47" s="22"/>
      <c r="B47" s="202"/>
      <c r="C47" s="296"/>
      <c r="D47" s="72"/>
      <c r="E47" s="72"/>
      <c r="F47" s="72"/>
      <c r="G47" s="72"/>
      <c r="H47" s="297"/>
      <c r="I47" s="278"/>
      <c r="J47" s="279"/>
      <c r="K47" s="278"/>
      <c r="L47" s="279"/>
      <c r="M47" s="298"/>
      <c r="N47" s="298"/>
      <c r="O47" s="263"/>
      <c r="P47" s="298"/>
      <c r="Q47" s="263"/>
      <c r="R47" s="298"/>
      <c r="S47" s="72"/>
      <c r="T47" s="72"/>
      <c r="U47" s="72"/>
      <c r="V47" s="72"/>
      <c r="W47" s="72"/>
      <c r="X47" s="297"/>
      <c r="Y47" s="278"/>
      <c r="Z47" s="279"/>
      <c r="AA47" s="278"/>
      <c r="AB47" s="279"/>
      <c r="AC47" s="298"/>
      <c r="AD47" s="298"/>
      <c r="AE47" s="263"/>
      <c r="AF47" s="298"/>
      <c r="AG47" s="263"/>
      <c r="AH47" s="298"/>
      <c r="AI47" s="280"/>
      <c r="AJ47" s="298"/>
      <c r="AK47" s="263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300"/>
      <c r="AW47" s="72"/>
      <c r="AX47" s="72"/>
      <c r="AY47" s="264"/>
      <c r="AZ47" s="264"/>
      <c r="BA47" s="301"/>
      <c r="BB47" s="302"/>
      <c r="BC47" s="303"/>
      <c r="BD47" s="28"/>
    </row>
    <row r="48" spans="1:59" ht="13.5" customHeight="1">
      <c r="A48" s="22"/>
      <c r="B48" s="45"/>
      <c r="C48" s="266"/>
      <c r="D48" s="28" t="s">
        <v>286</v>
      </c>
      <c r="E48" s="28"/>
      <c r="F48" s="28"/>
      <c r="G48" s="28"/>
      <c r="H48" s="86" t="s">
        <v>145</v>
      </c>
      <c r="I48" s="86"/>
      <c r="J48" s="86"/>
      <c r="K48" s="86"/>
      <c r="L48" s="86"/>
      <c r="M48" s="322"/>
      <c r="N48" s="87"/>
      <c r="O48" s="88"/>
      <c r="P48" s="88"/>
      <c r="Q48" s="89"/>
      <c r="R48" s="87"/>
      <c r="S48" s="87"/>
      <c r="T48" s="87"/>
      <c r="U48" s="88"/>
      <c r="V48" s="89"/>
      <c r="W48" s="87"/>
      <c r="X48" s="65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65"/>
      <c r="AY48" s="31"/>
      <c r="AZ48" s="52"/>
      <c r="BA48" s="93"/>
      <c r="BB48" s="327"/>
      <c r="BC48" s="328"/>
      <c r="BD48" s="28"/>
      <c r="BE48" s="35"/>
      <c r="BF48" s="35"/>
      <c r="BG48" s="35"/>
    </row>
    <row r="49" spans="1:87" ht="13.5" customHeight="1">
      <c r="A49" s="22"/>
      <c r="B49" s="202">
        <v>6</v>
      </c>
      <c r="C49" s="304" t="s">
        <v>31</v>
      </c>
      <c r="D49" s="205" t="s">
        <v>63</v>
      </c>
      <c r="E49" s="206"/>
      <c r="F49" s="206"/>
      <c r="G49" s="207"/>
      <c r="H49" s="208" t="s">
        <v>72</v>
      </c>
      <c r="I49" s="209"/>
      <c r="J49" s="209"/>
      <c r="K49" s="209"/>
      <c r="L49" s="206"/>
      <c r="M49" s="207"/>
      <c r="N49" s="205" t="s">
        <v>73</v>
      </c>
      <c r="O49" s="206"/>
      <c r="P49" s="206"/>
      <c r="Q49" s="207"/>
      <c r="R49" s="205" t="s">
        <v>74</v>
      </c>
      <c r="S49" s="206"/>
      <c r="T49" s="206"/>
      <c r="U49" s="206"/>
      <c r="V49" s="210" t="s">
        <v>290</v>
      </c>
      <c r="W49" s="211"/>
      <c r="X49" s="211"/>
      <c r="Y49" s="212"/>
      <c r="Z49" s="210" t="s">
        <v>149</v>
      </c>
      <c r="AA49" s="211"/>
      <c r="AB49" s="211"/>
      <c r="AC49" s="211"/>
      <c r="AD49" s="212"/>
      <c r="AE49" s="210" t="s">
        <v>291</v>
      </c>
      <c r="AF49" s="211"/>
      <c r="AG49" s="211"/>
      <c r="AH49" s="212"/>
      <c r="AI49" s="210" t="s">
        <v>161</v>
      </c>
      <c r="AJ49" s="211"/>
      <c r="AK49" s="211"/>
      <c r="AL49" s="212"/>
      <c r="AM49" s="211" t="s">
        <v>151</v>
      </c>
      <c r="AN49" s="211"/>
      <c r="AO49" s="211"/>
      <c r="AP49" s="212"/>
      <c r="AQ49" s="211" t="s">
        <v>196</v>
      </c>
      <c r="AR49" s="211"/>
      <c r="AS49" s="211"/>
      <c r="AT49" s="212"/>
      <c r="AU49" s="210" t="s">
        <v>198</v>
      </c>
      <c r="AV49" s="211"/>
      <c r="AW49" s="211"/>
      <c r="AX49" s="212"/>
      <c r="AY49" s="210" t="s">
        <v>82</v>
      </c>
      <c r="AZ49" s="211"/>
      <c r="BA49" s="211"/>
      <c r="BB49" s="212"/>
      <c r="BC49" s="210" t="s">
        <v>41</v>
      </c>
      <c r="BD49" s="211"/>
      <c r="BE49" s="211"/>
      <c r="BF49" s="212"/>
      <c r="BG49" s="211" t="s">
        <v>155</v>
      </c>
      <c r="BH49" s="211"/>
      <c r="BI49" s="212"/>
      <c r="BJ49" s="305" t="s">
        <v>85</v>
      </c>
      <c r="BK49" s="211"/>
      <c r="BL49" s="211"/>
      <c r="BM49" s="212"/>
      <c r="BN49" s="211" t="s">
        <v>68</v>
      </c>
      <c r="BO49" s="211"/>
      <c r="BP49" s="211"/>
      <c r="BQ49" s="212"/>
      <c r="BR49" s="28"/>
      <c r="BS49" s="28"/>
      <c r="BT49" s="28"/>
      <c r="BU49" s="28"/>
      <c r="BV49" s="28"/>
    </row>
    <row r="50" spans="1:87" ht="13.5" customHeight="1">
      <c r="A50" s="22"/>
      <c r="B50" s="202">
        <v>7</v>
      </c>
      <c r="C50" s="306"/>
      <c r="D50" s="213" t="s">
        <v>29</v>
      </c>
      <c r="E50" s="216"/>
      <c r="F50" s="214"/>
      <c r="G50" s="215"/>
      <c r="H50" s="213" t="s">
        <v>29</v>
      </c>
      <c r="I50" s="216"/>
      <c r="J50" s="216"/>
      <c r="K50" s="216"/>
      <c r="L50" s="214"/>
      <c r="M50" s="215"/>
      <c r="N50" s="213" t="s">
        <v>29</v>
      </c>
      <c r="O50" s="214"/>
      <c r="P50" s="214"/>
      <c r="Q50" s="215"/>
      <c r="R50" s="213" t="s">
        <v>29</v>
      </c>
      <c r="S50" s="216"/>
      <c r="T50" s="214"/>
      <c r="U50" s="214"/>
      <c r="V50" s="217" t="s">
        <v>42</v>
      </c>
      <c r="W50" s="218"/>
      <c r="X50" s="219"/>
      <c r="Y50" s="220"/>
      <c r="Z50" s="217" t="s">
        <v>29</v>
      </c>
      <c r="AA50" s="218"/>
      <c r="AB50" s="218"/>
      <c r="AC50" s="219"/>
      <c r="AD50" s="220"/>
      <c r="AE50" s="217" t="s">
        <v>42</v>
      </c>
      <c r="AF50" s="218"/>
      <c r="AG50" s="219"/>
      <c r="AH50" s="220"/>
      <c r="AI50" s="217" t="s">
        <v>29</v>
      </c>
      <c r="AJ50" s="218"/>
      <c r="AK50" s="219"/>
      <c r="AL50" s="220"/>
      <c r="AM50" s="218" t="s">
        <v>42</v>
      </c>
      <c r="AN50" s="218"/>
      <c r="AO50" s="219"/>
      <c r="AP50" s="220"/>
      <c r="AQ50" s="218" t="s">
        <v>197</v>
      </c>
      <c r="AR50" s="218"/>
      <c r="AS50" s="219"/>
      <c r="AT50" s="220"/>
      <c r="AU50" s="217" t="s">
        <v>154</v>
      </c>
      <c r="AV50" s="218"/>
      <c r="AW50" s="219"/>
      <c r="AX50" s="220"/>
      <c r="AY50" s="217" t="s">
        <v>154</v>
      </c>
      <c r="AZ50" s="218"/>
      <c r="BA50" s="219"/>
      <c r="BB50" s="220"/>
      <c r="BC50" s="217" t="s">
        <v>199</v>
      </c>
      <c r="BD50" s="218"/>
      <c r="BE50" s="219"/>
      <c r="BF50" s="220"/>
      <c r="BG50" s="218" t="s">
        <v>200</v>
      </c>
      <c r="BH50" s="218"/>
      <c r="BI50" s="220"/>
      <c r="BJ50" s="307" t="s">
        <v>42</v>
      </c>
      <c r="BK50" s="218"/>
      <c r="BL50" s="219"/>
      <c r="BM50" s="220"/>
      <c r="BN50" s="218" t="s">
        <v>42</v>
      </c>
      <c r="BO50" s="218"/>
      <c r="BP50" s="219"/>
      <c r="BQ50" s="220"/>
      <c r="BR50" s="28"/>
      <c r="BS50" s="28"/>
      <c r="BT50" s="28"/>
      <c r="BU50" s="28"/>
      <c r="BV50" s="28"/>
    </row>
    <row r="51" spans="1:87" ht="13.5" customHeight="1">
      <c r="A51" s="22"/>
      <c r="B51" s="202">
        <v>8</v>
      </c>
      <c r="C51" s="308">
        <v>1</v>
      </c>
      <c r="D51" s="148" t="s">
        <v>157</v>
      </c>
      <c r="E51" s="149"/>
      <c r="F51" s="149"/>
      <c r="G51" s="151"/>
      <c r="H51" s="242" t="s">
        <v>158</v>
      </c>
      <c r="I51" s="150"/>
      <c r="J51" s="150"/>
      <c r="K51" s="150"/>
      <c r="L51" s="161"/>
      <c r="M51" s="162"/>
      <c r="N51" s="242" t="s">
        <v>159</v>
      </c>
      <c r="O51" s="150"/>
      <c r="P51" s="150"/>
      <c r="Q51" s="99" t="s">
        <v>32</v>
      </c>
      <c r="R51" s="999">
        <v>70000</v>
      </c>
      <c r="S51" s="1000"/>
      <c r="T51" s="1000"/>
      <c r="U51" s="1001"/>
      <c r="V51" s="148" t="s">
        <v>147</v>
      </c>
      <c r="W51" s="150"/>
      <c r="X51" s="150"/>
      <c r="Y51" s="99" t="s">
        <v>32</v>
      </c>
      <c r="Z51" s="1013">
        <v>6.7299999999999999E-2</v>
      </c>
      <c r="AA51" s="1014"/>
      <c r="AB51" s="1014"/>
      <c r="AC51" s="1014"/>
      <c r="AD51" s="1015"/>
      <c r="AE51" s="148" t="s">
        <v>147</v>
      </c>
      <c r="AF51" s="150"/>
      <c r="AG51" s="150"/>
      <c r="AH51" s="99" t="s">
        <v>32</v>
      </c>
      <c r="AI51" s="1013">
        <v>0.1211</v>
      </c>
      <c r="AJ51" s="1014"/>
      <c r="AK51" s="1014"/>
      <c r="AL51" s="1015"/>
      <c r="AM51" s="1013">
        <v>0.12</v>
      </c>
      <c r="AN51" s="1014"/>
      <c r="AO51" s="1014"/>
      <c r="AP51" s="1015"/>
      <c r="AQ51" s="1016">
        <v>0.01</v>
      </c>
      <c r="AR51" s="1017"/>
      <c r="AS51" s="1017"/>
      <c r="AT51" s="1018"/>
      <c r="AU51" s="1013">
        <v>0.13589999999999999</v>
      </c>
      <c r="AV51" s="1014"/>
      <c r="AW51" s="1014"/>
      <c r="AX51" s="1015"/>
      <c r="AY51" s="1013">
        <v>0.151</v>
      </c>
      <c r="AZ51" s="1014"/>
      <c r="BA51" s="1014"/>
      <c r="BB51" s="1015"/>
      <c r="BC51" s="1013">
        <v>0.151</v>
      </c>
      <c r="BD51" s="1014"/>
      <c r="BE51" s="1014"/>
      <c r="BF51" s="1015"/>
      <c r="BG51" s="1029">
        <v>6.1000000000000004E-3</v>
      </c>
      <c r="BH51" s="1030"/>
      <c r="BI51" s="1031"/>
      <c r="BJ51" s="309" t="s">
        <v>207</v>
      </c>
      <c r="BK51" s="150"/>
      <c r="BL51" s="150"/>
      <c r="BM51" s="152"/>
      <c r="BN51" s="149" t="s">
        <v>29</v>
      </c>
      <c r="BO51" s="150"/>
      <c r="BP51" s="150"/>
      <c r="BQ51" s="152"/>
      <c r="BR51" s="28"/>
      <c r="BS51" s="28"/>
      <c r="BT51" s="28"/>
      <c r="BU51" s="28"/>
      <c r="BV51" s="28"/>
    </row>
    <row r="52" spans="1:87" ht="13.5" customHeight="1">
      <c r="A52" s="22"/>
      <c r="B52" s="202">
        <v>9</v>
      </c>
      <c r="C52" s="308">
        <v>2</v>
      </c>
      <c r="D52" s="148"/>
      <c r="E52" s="149"/>
      <c r="F52" s="149"/>
      <c r="G52" s="151"/>
      <c r="H52" s="242"/>
      <c r="I52" s="150"/>
      <c r="J52" s="150"/>
      <c r="K52" s="150"/>
      <c r="L52" s="161"/>
      <c r="M52" s="162"/>
      <c r="N52" s="242"/>
      <c r="O52" s="150"/>
      <c r="P52" s="150"/>
      <c r="Q52" s="99" t="s">
        <v>32</v>
      </c>
      <c r="R52" s="999"/>
      <c r="S52" s="1000"/>
      <c r="T52" s="1000"/>
      <c r="U52" s="1001"/>
      <c r="V52" s="148"/>
      <c r="W52" s="150"/>
      <c r="X52" s="150"/>
      <c r="Y52" s="99" t="s">
        <v>32</v>
      </c>
      <c r="Z52" s="988"/>
      <c r="AA52" s="997"/>
      <c r="AB52" s="997"/>
      <c r="AC52" s="997"/>
      <c r="AD52" s="998"/>
      <c r="AE52" s="148"/>
      <c r="AF52" s="150"/>
      <c r="AG52" s="150"/>
      <c r="AH52" s="99" t="s">
        <v>32</v>
      </c>
      <c r="AI52" s="1013"/>
      <c r="AJ52" s="1014"/>
      <c r="AK52" s="1014"/>
      <c r="AL52" s="1015"/>
      <c r="AM52" s="1013"/>
      <c r="AN52" s="1014"/>
      <c r="AO52" s="1014"/>
      <c r="AP52" s="1015"/>
      <c r="AQ52" s="1016"/>
      <c r="AR52" s="1017"/>
      <c r="AS52" s="1017"/>
      <c r="AT52" s="1018"/>
      <c r="AU52" s="1013"/>
      <c r="AV52" s="1014"/>
      <c r="AW52" s="1014"/>
      <c r="AX52" s="1015"/>
      <c r="AY52" s="1013"/>
      <c r="AZ52" s="1014"/>
      <c r="BA52" s="1014"/>
      <c r="BB52" s="1015"/>
      <c r="BC52" s="1013"/>
      <c r="BD52" s="1014"/>
      <c r="BE52" s="1014"/>
      <c r="BF52" s="1015"/>
      <c r="BG52" s="1029"/>
      <c r="BH52" s="1030"/>
      <c r="BI52" s="1031"/>
      <c r="BJ52" s="148"/>
      <c r="BK52" s="150"/>
      <c r="BL52" s="150"/>
      <c r="BM52" s="152"/>
      <c r="BN52" s="149"/>
      <c r="BO52" s="150"/>
      <c r="BP52" s="150"/>
      <c r="BQ52" s="152"/>
      <c r="BR52" s="28"/>
      <c r="BS52" s="28"/>
      <c r="BT52" s="28"/>
      <c r="BU52" s="28"/>
      <c r="BV52" s="28"/>
    </row>
    <row r="53" spans="1:87" ht="13.5" customHeight="1">
      <c r="A53" s="22"/>
      <c r="B53" s="202">
        <v>10</v>
      </c>
      <c r="C53" s="310"/>
      <c r="D53" s="65"/>
      <c r="E53" s="65"/>
      <c r="F53" s="65"/>
      <c r="G53" s="65"/>
      <c r="H53" s="65"/>
      <c r="I53" s="65"/>
      <c r="J53" s="65"/>
      <c r="K53" s="65"/>
      <c r="L53" s="65"/>
      <c r="M53" s="62"/>
      <c r="N53" s="63"/>
      <c r="O53" s="65"/>
      <c r="P53" s="65"/>
      <c r="Q53" s="64"/>
      <c r="R53" s="63"/>
      <c r="S53" s="190"/>
      <c r="T53" s="190"/>
      <c r="U53" s="191"/>
      <c r="V53" s="192"/>
      <c r="W53" s="190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31"/>
      <c r="BA53" s="35"/>
      <c r="BB53" s="35"/>
      <c r="BC53" s="311"/>
      <c r="BD53" s="28"/>
    </row>
    <row r="54" spans="1:87" ht="13.5" customHeight="1">
      <c r="A54" s="22"/>
      <c r="B54" s="202">
        <v>14</v>
      </c>
      <c r="C54" s="312"/>
      <c r="D54" s="65"/>
      <c r="E54" s="65"/>
      <c r="F54" s="65"/>
      <c r="G54" s="65"/>
      <c r="H54" s="65"/>
      <c r="I54" s="65"/>
      <c r="J54" s="65"/>
      <c r="K54" s="198"/>
      <c r="L54" s="65"/>
      <c r="M54" s="65"/>
      <c r="N54" s="65"/>
      <c r="O54" s="65"/>
      <c r="P54" s="65"/>
      <c r="Q54" s="198"/>
      <c r="R54" s="65"/>
      <c r="S54" s="65"/>
      <c r="T54" s="65"/>
      <c r="U54" s="198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125"/>
      <c r="AK54" s="112"/>
      <c r="AL54" s="62"/>
      <c r="AM54" s="63"/>
      <c r="AN54" s="63"/>
      <c r="AO54" s="63"/>
      <c r="AP54" s="63"/>
      <c r="AQ54" s="64"/>
      <c r="AR54" s="63"/>
      <c r="AS54" s="65"/>
      <c r="AT54" s="65"/>
      <c r="AU54" s="65"/>
      <c r="AV54" s="65"/>
      <c r="AW54" s="65"/>
      <c r="AX54" s="65"/>
      <c r="AY54" s="63"/>
      <c r="AZ54" s="31"/>
      <c r="BA54" s="35"/>
      <c r="BB54" s="35"/>
      <c r="BC54" s="311"/>
      <c r="BD54" s="28"/>
    </row>
    <row r="55" spans="1:87" ht="13.5" customHeight="1">
      <c r="A55" s="22"/>
      <c r="B55" s="202">
        <v>15</v>
      </c>
      <c r="C55" s="313" t="s">
        <v>70</v>
      </c>
      <c r="D55" s="223"/>
      <c r="E55" s="224"/>
      <c r="F55" s="223"/>
      <c r="G55" s="224"/>
      <c r="H55" s="225"/>
      <c r="I55" s="226"/>
      <c r="J55" s="227"/>
      <c r="K55" s="227"/>
      <c r="L55" s="227"/>
      <c r="M55" s="228"/>
      <c r="N55" s="227"/>
      <c r="O55" s="227"/>
      <c r="P55" s="227"/>
      <c r="Q55" s="229"/>
      <c r="R55" s="227"/>
      <c r="S55" s="227"/>
      <c r="T55" s="227"/>
      <c r="U55" s="227"/>
      <c r="V55" s="227"/>
      <c r="W55" s="229"/>
      <c r="X55" s="227"/>
      <c r="Y55" s="227"/>
      <c r="Z55" s="227"/>
      <c r="AA55" s="229"/>
      <c r="AB55" s="227"/>
      <c r="AC55" s="227"/>
      <c r="AD55" s="227"/>
      <c r="AE55" s="227"/>
      <c r="AF55" s="227"/>
      <c r="AG55" s="232"/>
      <c r="AH55" s="227"/>
      <c r="AI55" s="227"/>
      <c r="AJ55" s="227"/>
      <c r="AK55" s="227"/>
      <c r="AL55" s="227"/>
      <c r="AM55" s="227"/>
      <c r="AN55" s="227"/>
      <c r="AO55" s="227"/>
      <c r="AP55" s="227"/>
      <c r="AQ55" s="230"/>
      <c r="AR55" s="227"/>
      <c r="AS55" s="230"/>
      <c r="AT55" s="227"/>
      <c r="AU55" s="227"/>
      <c r="AV55" s="227"/>
      <c r="AW55" s="227"/>
      <c r="AX55" s="227"/>
      <c r="AY55" s="224"/>
      <c r="AZ55" s="224"/>
      <c r="BA55" s="231"/>
      <c r="BB55" s="231"/>
      <c r="BC55" s="314"/>
      <c r="BD55" s="28"/>
    </row>
    <row r="56" spans="1:87" ht="13.5" customHeight="1">
      <c r="A56" s="22"/>
      <c r="B56" s="202"/>
      <c r="C56" s="394"/>
      <c r="D56" s="62"/>
      <c r="E56" s="63"/>
      <c r="F56" s="62"/>
      <c r="G56" s="63"/>
      <c r="H56" s="398"/>
      <c r="I56" s="399"/>
      <c r="J56" s="74"/>
      <c r="K56" s="74"/>
      <c r="L56" s="74"/>
      <c r="M56" s="400"/>
      <c r="N56" s="74"/>
      <c r="O56" s="74"/>
      <c r="P56" s="74"/>
      <c r="Q56" s="401"/>
      <c r="R56" s="74"/>
      <c r="S56" s="74"/>
      <c r="T56" s="74"/>
      <c r="U56" s="74"/>
      <c r="V56" s="74"/>
      <c r="W56" s="401"/>
      <c r="X56" s="65"/>
      <c r="Y56" s="65"/>
      <c r="Z56" s="65"/>
      <c r="AA56" s="198"/>
      <c r="AB56" s="65"/>
      <c r="AC56" s="65"/>
      <c r="AD56" s="65"/>
      <c r="AE56" s="65"/>
      <c r="AF56" s="65"/>
      <c r="AG56" s="158"/>
      <c r="AH56" s="65"/>
      <c r="AI56" s="65"/>
      <c r="AJ56" s="65"/>
      <c r="AK56" s="65"/>
      <c r="AL56" s="65"/>
      <c r="AM56" s="65"/>
      <c r="AN56" s="65"/>
      <c r="AO56" s="65"/>
      <c r="AP56" s="65"/>
      <c r="AQ56" s="125"/>
      <c r="AR56" s="65"/>
      <c r="AS56" s="125"/>
      <c r="AT56" s="65"/>
      <c r="AU56" s="65"/>
      <c r="AV56" s="65"/>
      <c r="AW56" s="65"/>
      <c r="AX56" s="65"/>
      <c r="AY56" s="63"/>
      <c r="AZ56" s="103"/>
      <c r="BA56" s="396"/>
      <c r="BB56"/>
      <c r="BC56" s="397"/>
      <c r="BD56" s="28"/>
    </row>
    <row r="57" spans="1:87" ht="13.5" customHeight="1">
      <c r="A57" s="22"/>
      <c r="B57" s="202">
        <v>16</v>
      </c>
      <c r="C57" s="310"/>
      <c r="D57" s="65"/>
      <c r="E57" s="65"/>
      <c r="F57" s="65"/>
      <c r="G57" s="65"/>
      <c r="H57" s="65"/>
      <c r="I57" s="65"/>
      <c r="J57" s="65"/>
      <c r="K57" s="65"/>
      <c r="L57" s="65"/>
      <c r="M57" s="62"/>
      <c r="N57" s="65"/>
      <c r="O57" s="65"/>
      <c r="P57" s="63"/>
      <c r="Q57" s="64"/>
      <c r="R57" s="63"/>
      <c r="S57" s="111"/>
      <c r="T57" s="112"/>
      <c r="U57" s="111"/>
      <c r="V57" s="112"/>
      <c r="W57" s="111"/>
      <c r="X57" s="111"/>
      <c r="Y57" s="111"/>
      <c r="Z57" s="111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3"/>
      <c r="AZ57" s="53"/>
      <c r="BA57" s="323"/>
      <c r="BB57" s="324"/>
      <c r="BC57" s="326"/>
      <c r="BD57" s="28"/>
    </row>
    <row r="58" spans="1:87" ht="13.5" customHeight="1">
      <c r="A58" s="22"/>
      <c r="B58" s="202">
        <v>17</v>
      </c>
      <c r="C58" s="310"/>
      <c r="D58" s="65"/>
      <c r="E58" s="65"/>
      <c r="F58" s="65"/>
      <c r="G58" s="65"/>
      <c r="H58" s="126"/>
      <c r="I58" s="65"/>
      <c r="J58" s="65"/>
      <c r="K58" s="65"/>
      <c r="L58" s="198"/>
      <c r="M58" s="65"/>
      <c r="N58" s="65"/>
      <c r="O58" s="65"/>
      <c r="P58" s="198"/>
      <c r="Q58" s="65"/>
      <c r="R58" s="65"/>
      <c r="S58" s="65"/>
      <c r="T58" s="198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12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3"/>
      <c r="AZ58" s="31"/>
      <c r="BA58" s="30"/>
      <c r="BB58" s="175"/>
      <c r="BC58" s="326"/>
      <c r="BD58" s="28"/>
      <c r="BM58" s="1073">
        <f>1-(0.0673/0.1359)</f>
        <v>0.50478292862398821</v>
      </c>
      <c r="BN58" s="1073"/>
      <c r="BO58" s="1073"/>
      <c r="BP58" s="1073"/>
    </row>
    <row r="59" spans="1:87" ht="5.15" customHeight="1">
      <c r="A59" s="22"/>
      <c r="B59" s="202"/>
      <c r="C59" s="315"/>
      <c r="D59" s="73"/>
      <c r="E59" s="73"/>
      <c r="F59" s="73"/>
      <c r="G59" s="73"/>
      <c r="H59" s="316"/>
      <c r="I59" s="275"/>
      <c r="J59" s="273"/>
      <c r="K59" s="275"/>
      <c r="L59" s="273"/>
      <c r="M59" s="317"/>
      <c r="N59" s="317"/>
      <c r="O59" s="270"/>
      <c r="P59" s="317"/>
      <c r="Q59" s="270"/>
      <c r="R59" s="317"/>
      <c r="S59" s="73"/>
      <c r="T59" s="73"/>
      <c r="U59" s="73"/>
      <c r="V59" s="73"/>
      <c r="W59" s="73"/>
      <c r="X59" s="316"/>
      <c r="Y59" s="275"/>
      <c r="Z59" s="273"/>
      <c r="AA59" s="275"/>
      <c r="AB59" s="273"/>
      <c r="AC59" s="317"/>
      <c r="AD59" s="317"/>
      <c r="AE59" s="270"/>
      <c r="AF59" s="317"/>
      <c r="AG59" s="270"/>
      <c r="AH59" s="317"/>
      <c r="AI59" s="276"/>
      <c r="AJ59" s="317"/>
      <c r="AK59" s="270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318"/>
      <c r="AW59" s="73"/>
      <c r="AX59" s="73"/>
      <c r="AY59" s="269"/>
      <c r="AZ59" s="269"/>
      <c r="BA59" s="319"/>
      <c r="BB59" s="320"/>
      <c r="BC59" s="321"/>
      <c r="BD59" s="28"/>
    </row>
    <row r="60" spans="1:87" ht="13.5" customHeight="1">
      <c r="A60" s="22"/>
      <c r="B60" s="202">
        <v>18</v>
      </c>
      <c r="C60" s="75"/>
      <c r="D60" s="63"/>
      <c r="E60" s="63"/>
      <c r="F60" s="63"/>
      <c r="G60" s="63"/>
      <c r="H60" s="69"/>
      <c r="I60" s="69"/>
      <c r="J60" s="65"/>
      <c r="K60" s="69"/>
      <c r="L60" s="65"/>
      <c r="M60" s="69"/>
      <c r="N60" s="64"/>
      <c r="O60" s="69"/>
      <c r="P60" s="65"/>
      <c r="Q60" s="65"/>
      <c r="R60" s="65"/>
      <c r="S60" s="63"/>
      <c r="T60" s="63"/>
      <c r="U60" s="63"/>
      <c r="V60" s="63"/>
      <c r="W60" s="63"/>
      <c r="X60" s="64"/>
      <c r="Y60" s="63"/>
      <c r="Z60" s="65"/>
      <c r="AA60" s="64"/>
      <c r="AB60" s="63"/>
      <c r="AC60" s="65"/>
      <c r="AD60" s="64"/>
      <c r="AE60" s="65"/>
      <c r="AF60" s="65"/>
      <c r="AG60" s="64"/>
      <c r="AH60" s="65"/>
      <c r="AI60" s="65"/>
      <c r="AJ60" s="126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3"/>
      <c r="AZ60" s="264"/>
      <c r="BA60" s="301"/>
      <c r="BB60" s="302"/>
      <c r="BC60" s="343"/>
      <c r="BD60" s="28"/>
    </row>
    <row r="61" spans="1:87" ht="13.5" customHeight="1">
      <c r="A61" s="22"/>
      <c r="B61" s="202">
        <v>20</v>
      </c>
      <c r="C61" s="204" t="s">
        <v>77</v>
      </c>
      <c r="D61" s="28"/>
      <c r="E61" s="28"/>
      <c r="F61" s="28"/>
      <c r="G61" s="28"/>
      <c r="H61" s="121"/>
      <c r="I61" s="62"/>
      <c r="J61" s="63"/>
      <c r="K61" s="62"/>
      <c r="L61" s="63"/>
      <c r="M61" s="69"/>
      <c r="N61" s="69"/>
      <c r="O61" s="65"/>
      <c r="P61" s="69"/>
      <c r="Q61" s="65"/>
      <c r="R61" s="69"/>
      <c r="S61" s="28"/>
      <c r="T61" s="28"/>
      <c r="U61" s="28"/>
      <c r="V61" s="28"/>
      <c r="W61" s="28"/>
      <c r="X61" s="121"/>
      <c r="Y61" s="62"/>
      <c r="Z61" s="63"/>
      <c r="AA61" s="62"/>
      <c r="AB61" s="63"/>
      <c r="AC61" s="69"/>
      <c r="AD61" s="69"/>
      <c r="AE61" s="65"/>
      <c r="AF61" s="69"/>
      <c r="AG61" s="65"/>
      <c r="AH61" s="69"/>
      <c r="AI61" s="64"/>
      <c r="AJ61" s="69"/>
      <c r="AK61" s="65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33"/>
      <c r="AW61" s="28"/>
      <c r="AX61" s="28"/>
      <c r="AY61" s="31"/>
      <c r="AZ61" s="269"/>
      <c r="BA61" s="319"/>
      <c r="BB61" s="320"/>
      <c r="BC61" s="344"/>
      <c r="BD61" s="28"/>
    </row>
    <row r="62" spans="1:87" ht="5.15" customHeight="1">
      <c r="A62" s="22"/>
      <c r="B62" s="202"/>
      <c r="C62" s="296"/>
      <c r="D62" s="72"/>
      <c r="E62" s="72"/>
      <c r="F62" s="72"/>
      <c r="G62" s="72"/>
      <c r="H62" s="297"/>
      <c r="I62" s="278"/>
      <c r="J62" s="279"/>
      <c r="K62" s="278"/>
      <c r="L62" s="279"/>
      <c r="M62" s="298"/>
      <c r="N62" s="298"/>
      <c r="O62" s="263"/>
      <c r="P62" s="298"/>
      <c r="Q62" s="263"/>
      <c r="R62" s="298"/>
      <c r="S62" s="72"/>
      <c r="T62" s="72"/>
      <c r="U62" s="72"/>
      <c r="V62" s="72"/>
      <c r="W62" s="72"/>
      <c r="X62" s="297"/>
      <c r="Y62" s="278"/>
      <c r="Z62" s="279"/>
      <c r="AA62" s="278"/>
      <c r="AB62" s="279"/>
      <c r="AC62" s="298"/>
      <c r="AD62" s="298"/>
      <c r="AE62" s="263"/>
      <c r="AF62" s="298"/>
      <c r="AG62" s="263"/>
      <c r="AH62" s="298"/>
      <c r="AI62" s="280"/>
      <c r="AJ62" s="298"/>
      <c r="AK62" s="263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300"/>
      <c r="AW62" s="72"/>
      <c r="AX62" s="72"/>
      <c r="AY62" s="264"/>
      <c r="AZ62" s="264"/>
      <c r="BA62" s="301"/>
      <c r="BB62" s="302"/>
      <c r="BC62" s="303"/>
      <c r="BD62" s="28"/>
    </row>
    <row r="63" spans="1:87" ht="13.5" customHeight="1">
      <c r="A63" s="22"/>
      <c r="B63" s="202">
        <v>21</v>
      </c>
      <c r="C63" s="304" t="s">
        <v>31</v>
      </c>
      <c r="D63" s="234" t="s">
        <v>258</v>
      </c>
      <c r="E63" s="235"/>
      <c r="F63" s="234" t="s">
        <v>63</v>
      </c>
      <c r="G63" s="235"/>
      <c r="H63" s="235"/>
      <c r="I63" s="236"/>
      <c r="J63" s="237" t="s">
        <v>33</v>
      </c>
      <c r="K63" s="238"/>
      <c r="L63" s="238"/>
      <c r="M63" s="238"/>
      <c r="N63" s="235"/>
      <c r="O63" s="236"/>
      <c r="P63" s="239" t="s">
        <v>66</v>
      </c>
      <c r="Q63" s="240"/>
      <c r="R63" s="240"/>
      <c r="S63" s="241"/>
      <c r="T63" s="239" t="s">
        <v>150</v>
      </c>
      <c r="U63" s="240"/>
      <c r="V63" s="240"/>
      <c r="W63" s="241"/>
      <c r="X63" s="234" t="s">
        <v>78</v>
      </c>
      <c r="Y63" s="235"/>
      <c r="Z63" s="235"/>
      <c r="AA63" s="236"/>
      <c r="AB63" s="234" t="s">
        <v>149</v>
      </c>
      <c r="AC63" s="235"/>
      <c r="AD63" s="235"/>
      <c r="AE63" s="235"/>
      <c r="AF63" s="239" t="s">
        <v>64</v>
      </c>
      <c r="AG63" s="240"/>
      <c r="AH63" s="240"/>
      <c r="AI63" s="240"/>
      <c r="AJ63" s="241"/>
      <c r="AK63" s="240" t="s">
        <v>209</v>
      </c>
      <c r="AL63" s="240"/>
      <c r="AM63" s="240"/>
      <c r="AN63" s="241"/>
      <c r="AO63" s="240" t="s">
        <v>161</v>
      </c>
      <c r="AP63" s="240"/>
      <c r="AQ63" s="240"/>
      <c r="AR63" s="241"/>
      <c r="AS63" s="240" t="s">
        <v>210</v>
      </c>
      <c r="AT63" s="240"/>
      <c r="AU63" s="240"/>
      <c r="AV63" s="241"/>
      <c r="AW63" s="240" t="s">
        <v>65</v>
      </c>
      <c r="AX63" s="240"/>
      <c r="AY63" s="240"/>
      <c r="AZ63" s="241"/>
      <c r="BA63" s="239" t="s">
        <v>212</v>
      </c>
      <c r="BB63" s="240"/>
      <c r="BC63" s="240"/>
      <c r="BD63" s="240"/>
      <c r="BE63" s="239" t="s">
        <v>198</v>
      </c>
      <c r="BF63" s="240"/>
      <c r="BG63" s="240"/>
      <c r="BH63" s="241"/>
      <c r="BI63" s="239" t="s">
        <v>213</v>
      </c>
      <c r="BJ63" s="240"/>
      <c r="BK63" s="240"/>
      <c r="BL63" s="241"/>
      <c r="BM63" s="239" t="s">
        <v>235</v>
      </c>
      <c r="BN63" s="240"/>
      <c r="BO63" s="240"/>
      <c r="BP63" s="241"/>
      <c r="BQ63" s="239" t="s">
        <v>82</v>
      </c>
      <c r="BR63" s="240"/>
      <c r="BS63" s="240"/>
      <c r="BT63" s="241"/>
      <c r="BU63" s="239" t="s">
        <v>83</v>
      </c>
      <c r="BV63" s="240"/>
      <c r="BW63" s="240"/>
      <c r="BX63" s="241"/>
      <c r="BY63" s="240" t="s">
        <v>84</v>
      </c>
      <c r="BZ63" s="240"/>
      <c r="CA63" s="241"/>
      <c r="CB63" s="240" t="s">
        <v>85</v>
      </c>
      <c r="CC63" s="240"/>
      <c r="CD63" s="240"/>
      <c r="CE63" s="241"/>
      <c r="CF63" s="240" t="s">
        <v>68</v>
      </c>
      <c r="CG63" s="240"/>
      <c r="CH63" s="240"/>
      <c r="CI63" s="241"/>
    </row>
    <row r="64" spans="1:87" ht="13.5" customHeight="1">
      <c r="A64" s="22"/>
      <c r="B64" s="202">
        <v>22</v>
      </c>
      <c r="C64" s="308">
        <v>1</v>
      </c>
      <c r="D64" s="148" t="str">
        <f>N51</f>
        <v>KFH</v>
      </c>
      <c r="E64" s="149"/>
      <c r="F64" s="148" t="str">
        <f>D51</f>
        <v>4800215830</v>
      </c>
      <c r="G64" s="149"/>
      <c r="H64" s="149"/>
      <c r="I64" s="151"/>
      <c r="J64" s="242" t="str">
        <f>H51</f>
        <v>TF38-20S-0.5SV(830)</v>
      </c>
      <c r="K64" s="150"/>
      <c r="L64" s="150"/>
      <c r="M64" s="150"/>
      <c r="N64" s="161"/>
      <c r="O64" s="162"/>
      <c r="P64" s="148" t="s">
        <v>148</v>
      </c>
      <c r="Q64" s="150"/>
      <c r="R64" s="150"/>
      <c r="S64" s="162"/>
      <c r="T64" s="148" t="str">
        <f>AE51</f>
        <v>USD</v>
      </c>
      <c r="U64" s="150"/>
      <c r="V64" s="150"/>
      <c r="W64" s="162"/>
      <c r="X64" s="999">
        <f>R51</f>
        <v>70000</v>
      </c>
      <c r="Y64" s="1000"/>
      <c r="Z64" s="1000"/>
      <c r="AA64" s="1001"/>
      <c r="AB64" s="1013">
        <f>Z51</f>
        <v>6.7299999999999999E-2</v>
      </c>
      <c r="AC64" s="1014"/>
      <c r="AD64" s="1014"/>
      <c r="AE64" s="1015"/>
      <c r="AF64" s="1013">
        <f>BC51</f>
        <v>0.151</v>
      </c>
      <c r="AG64" s="1014"/>
      <c r="AH64" s="1014"/>
      <c r="AI64" s="1014"/>
      <c r="AJ64" s="1015"/>
      <c r="AK64" s="1013">
        <f>AM51</f>
        <v>0.12</v>
      </c>
      <c r="AL64" s="1014"/>
      <c r="AM64" s="1014"/>
      <c r="AN64" s="1015"/>
      <c r="AO64" s="1013">
        <f>AI51</f>
        <v>0.1211</v>
      </c>
      <c r="AP64" s="1014"/>
      <c r="AQ64" s="1014"/>
      <c r="AR64" s="1015"/>
      <c r="AS64" s="1013">
        <f>AI51/(1-AQ51)</f>
        <v>0.12232323232323232</v>
      </c>
      <c r="AT64" s="1014"/>
      <c r="AU64" s="1014"/>
      <c r="AV64" s="1015"/>
      <c r="AW64" s="1013">
        <f>AO64-(AS64*$K$20)</f>
        <v>0.11498383838383838</v>
      </c>
      <c r="AX64" s="1014"/>
      <c r="AY64" s="1014"/>
      <c r="AZ64" s="1015"/>
      <c r="BA64" s="991">
        <f>IFERROR((AI51-AM51)/AM51,"")</f>
        <v>9.1666666666666979E-3</v>
      </c>
      <c r="BB64" s="992"/>
      <c r="BC64" s="992"/>
      <c r="BD64" s="993"/>
      <c r="BE64" s="1041">
        <f>AU51</f>
        <v>0.13589999999999999</v>
      </c>
      <c r="BF64" s="1042"/>
      <c r="BG64" s="1042"/>
      <c r="BH64" s="1043"/>
      <c r="BI64" s="994">
        <f>1-AI51/(1-AQ51)/AU51</f>
        <v>9.990263191146187E-2</v>
      </c>
      <c r="BJ64" s="995"/>
      <c r="BK64" s="995"/>
      <c r="BL64" s="996"/>
      <c r="BM64" s="994">
        <f>1-AB64/BE64</f>
        <v>0.50478292862398821</v>
      </c>
      <c r="BN64" s="995"/>
      <c r="BO64" s="995"/>
      <c r="BP64" s="996"/>
      <c r="BQ64" s="1029">
        <f>AY51</f>
        <v>0.151</v>
      </c>
      <c r="BR64" s="1030"/>
      <c r="BS64" s="1030"/>
      <c r="BT64" s="1031"/>
      <c r="BU64" s="994">
        <f>1-AU51/AY51</f>
        <v>9.9999999999999978E-2</v>
      </c>
      <c r="BV64" s="995"/>
      <c r="BW64" s="995"/>
      <c r="BX64" s="996"/>
      <c r="BY64" s="1013">
        <f>BG51</f>
        <v>6.1000000000000004E-3</v>
      </c>
      <c r="BZ64" s="1014"/>
      <c r="CA64" s="1015"/>
      <c r="CB64" s="149" t="str">
        <f>BJ51</f>
        <v>JAE</v>
      </c>
      <c r="CC64" s="150"/>
      <c r="CD64" s="150"/>
      <c r="CE64" s="152"/>
      <c r="CF64" s="149" t="s">
        <v>29</v>
      </c>
      <c r="CG64" s="150"/>
      <c r="CH64" s="150"/>
      <c r="CI64" s="152"/>
    </row>
    <row r="65" spans="1:87" ht="13.5" customHeight="1">
      <c r="A65" s="22"/>
      <c r="B65" s="489">
        <v>20</v>
      </c>
      <c r="C65" s="204" t="s">
        <v>279</v>
      </c>
      <c r="D65" s="28"/>
      <c r="E65" s="28"/>
      <c r="F65" s="28"/>
      <c r="G65" s="28"/>
      <c r="H65" s="121"/>
      <c r="I65" s="62"/>
      <c r="J65" s="63"/>
      <c r="K65" s="62"/>
      <c r="L65" s="63"/>
      <c r="M65" s="69"/>
      <c r="N65" s="69"/>
      <c r="O65" s="65"/>
      <c r="P65" s="69"/>
      <c r="Q65" s="65"/>
      <c r="R65" s="69"/>
      <c r="S65" s="28"/>
      <c r="T65" s="28"/>
      <c r="U65" s="28"/>
      <c r="V65" s="28"/>
      <c r="W65" s="28"/>
      <c r="X65" s="121"/>
      <c r="Y65" s="62"/>
      <c r="Z65" s="63"/>
      <c r="AA65" s="62"/>
      <c r="AB65" s="63"/>
      <c r="AC65" s="69"/>
      <c r="AD65" s="69"/>
      <c r="AE65" s="65"/>
      <c r="AF65" s="69"/>
      <c r="AG65" s="65"/>
      <c r="AH65" s="69"/>
      <c r="AI65" s="64"/>
      <c r="AJ65" s="69"/>
      <c r="AK65" s="65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33"/>
      <c r="AW65" s="28"/>
      <c r="AX65" s="28"/>
      <c r="AY65" s="31"/>
      <c r="AZ65" s="52"/>
      <c r="BA65" s="93"/>
      <c r="BB65" s="327"/>
      <c r="BC65" s="328"/>
      <c r="BD65" s="26"/>
      <c r="BE65" s="26"/>
      <c r="BF65" s="26"/>
    </row>
    <row r="66" spans="1:87" ht="13.5" customHeight="1">
      <c r="A66" s="22"/>
      <c r="B66" s="202">
        <v>24</v>
      </c>
      <c r="C66" s="304"/>
      <c r="D66" s="502" t="s">
        <v>278</v>
      </c>
      <c r="E66" s="503"/>
      <c r="F66" s="504" t="s">
        <v>292</v>
      </c>
      <c r="G66" s="503"/>
      <c r="H66" s="503"/>
      <c r="I66" s="505"/>
      <c r="J66" s="504" t="s">
        <v>29</v>
      </c>
      <c r="K66" s="506"/>
      <c r="L66" s="506"/>
      <c r="M66" s="506"/>
      <c r="N66" s="503"/>
      <c r="O66" s="505"/>
      <c r="P66" s="511" t="s">
        <v>29</v>
      </c>
      <c r="Q66" s="508"/>
      <c r="R66" s="508"/>
      <c r="S66" s="509"/>
      <c r="T66" s="502"/>
      <c r="U66" s="503"/>
      <c r="V66" s="503"/>
      <c r="W66" s="505"/>
      <c r="X66" s="508" t="s">
        <v>238</v>
      </c>
      <c r="Y66" s="503"/>
      <c r="Z66" s="503"/>
      <c r="AA66" s="503"/>
      <c r="AB66" s="507" t="s">
        <v>233</v>
      </c>
      <c r="AC66" s="503"/>
      <c r="AD66" s="503"/>
      <c r="AE66" s="503"/>
      <c r="AF66" s="507" t="s">
        <v>234</v>
      </c>
      <c r="AG66" s="508"/>
      <c r="AH66" s="508"/>
      <c r="AI66" s="508"/>
      <c r="AJ66" s="509"/>
      <c r="AK66" s="507" t="s">
        <v>235</v>
      </c>
      <c r="AL66" s="508"/>
      <c r="AM66" s="508"/>
      <c r="AN66" s="509"/>
      <c r="AO66" s="507" t="s">
        <v>236</v>
      </c>
      <c r="AP66" s="508"/>
      <c r="AQ66" s="508"/>
      <c r="AR66" s="509"/>
      <c r="AS66" s="507" t="s">
        <v>237</v>
      </c>
      <c r="AT66" s="508"/>
      <c r="AU66" s="508"/>
      <c r="AV66" s="508"/>
      <c r="AW66" s="511" t="s">
        <v>29</v>
      </c>
      <c r="AX66" s="508"/>
      <c r="AY66" s="508"/>
      <c r="AZ66" s="509"/>
      <c r="BA66" s="511"/>
      <c r="BB66" s="508"/>
      <c r="BC66" s="508"/>
      <c r="BD66" s="509"/>
      <c r="BE66" s="513"/>
      <c r="BF66" s="508"/>
      <c r="BG66" s="508"/>
      <c r="BH66" s="509"/>
      <c r="BI66" s="513" t="s">
        <v>29</v>
      </c>
      <c r="BJ66" s="508"/>
      <c r="BK66" s="508"/>
      <c r="BL66" s="509"/>
      <c r="BM66" s="513" t="s">
        <v>29</v>
      </c>
      <c r="BN66" s="508"/>
      <c r="BO66" s="508"/>
      <c r="BP66" s="509"/>
      <c r="BQ66" s="513" t="s">
        <v>29</v>
      </c>
      <c r="BR66" s="508"/>
      <c r="BS66" s="508"/>
      <c r="BT66" s="509"/>
      <c r="BU66" s="508"/>
      <c r="BV66" s="508"/>
      <c r="BW66" s="508"/>
      <c r="BX66" s="509"/>
      <c r="BY66" s="513" t="s">
        <v>29</v>
      </c>
      <c r="BZ66" s="508"/>
      <c r="CA66" s="509"/>
      <c r="CB66" s="508"/>
      <c r="CC66" s="508"/>
      <c r="CD66" s="508"/>
      <c r="CE66" s="509"/>
      <c r="CF66" s="508"/>
      <c r="CG66" s="508"/>
      <c r="CH66" s="508"/>
      <c r="CI66" s="509"/>
    </row>
    <row r="67" spans="1:87" ht="13.5" customHeight="1">
      <c r="A67" s="22"/>
      <c r="B67" s="202">
        <v>25</v>
      </c>
      <c r="C67" s="308">
        <v>1</v>
      </c>
      <c r="D67" s="148" t="s">
        <v>159</v>
      </c>
      <c r="E67" s="149"/>
      <c r="F67" s="148" t="s">
        <v>147</v>
      </c>
      <c r="G67" s="149"/>
      <c r="H67" s="149"/>
      <c r="I67" s="151"/>
      <c r="J67" s="221"/>
      <c r="K67" s="222"/>
      <c r="L67" s="222"/>
      <c r="M67" s="222"/>
      <c r="N67" s="161"/>
      <c r="O67" s="162"/>
      <c r="P67" s="148"/>
      <c r="Q67" s="150"/>
      <c r="R67" s="150"/>
      <c r="S67" s="162"/>
      <c r="T67" s="119"/>
      <c r="U67" s="120"/>
      <c r="V67" s="120"/>
      <c r="W67" s="162"/>
      <c r="X67" s="988">
        <f>SUMPRODUCT(X$64:AA$64,BE$64:BH$64)</f>
        <v>9513</v>
      </c>
      <c r="Y67" s="997"/>
      <c r="Z67" s="997"/>
      <c r="AA67" s="998"/>
      <c r="AB67" s="988">
        <f>SUMPRODUCT(X$64:AA$64,AB$64:AE$64)</f>
        <v>4711</v>
      </c>
      <c r="AC67" s="997"/>
      <c r="AD67" s="997"/>
      <c r="AE67" s="998"/>
      <c r="AF67" s="988">
        <f>X67-AB67</f>
        <v>4802</v>
      </c>
      <c r="AG67" s="997"/>
      <c r="AH67" s="997"/>
      <c r="AI67" s="997"/>
      <c r="AJ67" s="998"/>
      <c r="AK67" s="979">
        <f>AF67/X67</f>
        <v>0.50478292862398821</v>
      </c>
      <c r="AL67" s="980"/>
      <c r="AM67" s="980"/>
      <c r="AN67" s="981"/>
      <c r="AO67" s="979">
        <f>IFERROR(AS67/(X67-AS67),"")</f>
        <v>0.13249999999999998</v>
      </c>
      <c r="AP67" s="980"/>
      <c r="AQ67" s="980"/>
      <c r="AR67" s="981"/>
      <c r="AS67" s="1070">
        <f>X$64*(BE$64-AK$64)</f>
        <v>1112.9999999999998</v>
      </c>
      <c r="AT67" s="1071"/>
      <c r="AU67" s="1071"/>
      <c r="AV67" s="1072"/>
      <c r="AW67" s="1038"/>
      <c r="AX67" s="1039"/>
      <c r="AY67" s="1039"/>
      <c r="AZ67" s="1040"/>
      <c r="BA67" s="976"/>
      <c r="BB67" s="977"/>
      <c r="BC67" s="977"/>
      <c r="BD67" s="978"/>
      <c r="BE67" s="994"/>
      <c r="BF67" s="995"/>
      <c r="BG67" s="995"/>
      <c r="BH67" s="996"/>
      <c r="BI67" s="149" t="s">
        <v>29</v>
      </c>
      <c r="BJ67" s="150"/>
      <c r="BK67" s="150"/>
      <c r="BL67" s="152"/>
      <c r="BM67" s="149" t="s">
        <v>29</v>
      </c>
      <c r="BN67" s="150"/>
      <c r="BO67" s="150"/>
      <c r="BP67" s="152"/>
      <c r="BQ67" s="149" t="s">
        <v>29</v>
      </c>
      <c r="BR67" s="150"/>
      <c r="BS67" s="150"/>
      <c r="BT67" s="152"/>
      <c r="BU67" s="149" t="s">
        <v>29</v>
      </c>
      <c r="BV67" s="150"/>
      <c r="BW67" s="150"/>
      <c r="BX67" s="152"/>
      <c r="BY67" s="149" t="s">
        <v>29</v>
      </c>
      <c r="BZ67" s="150"/>
      <c r="CA67" s="152"/>
      <c r="CB67" s="149" t="s">
        <v>29</v>
      </c>
      <c r="CC67" s="150"/>
      <c r="CD67" s="150"/>
      <c r="CE67" s="152"/>
      <c r="CF67" s="149" t="s">
        <v>29</v>
      </c>
      <c r="CG67" s="150"/>
      <c r="CH67" s="150"/>
      <c r="CI67" s="152"/>
    </row>
    <row r="68" spans="1:87" ht="13.5" customHeight="1">
      <c r="A68" s="22"/>
      <c r="B68" s="202">
        <v>25</v>
      </c>
      <c r="C68" s="308">
        <v>2</v>
      </c>
      <c r="D68" s="148" t="s">
        <v>159</v>
      </c>
      <c r="E68" s="149"/>
      <c r="F68" s="148" t="s">
        <v>206</v>
      </c>
      <c r="G68" s="149"/>
      <c r="H68" s="149"/>
      <c r="I68" s="151"/>
      <c r="J68" s="221"/>
      <c r="K68" s="222"/>
      <c r="L68" s="222"/>
      <c r="M68" s="222"/>
      <c r="N68" s="161"/>
      <c r="O68" s="162"/>
      <c r="P68" s="148"/>
      <c r="Q68" s="150"/>
      <c r="R68" s="150"/>
      <c r="S68" s="162"/>
      <c r="T68" s="119"/>
      <c r="U68" s="120"/>
      <c r="V68" s="120"/>
      <c r="W68" s="162"/>
      <c r="X68" s="976">
        <f>SUMPRODUCT(X$64:AA$64,BE$64:BH$64)</f>
        <v>9513</v>
      </c>
      <c r="Y68" s="977"/>
      <c r="Z68" s="977"/>
      <c r="AA68" s="978"/>
      <c r="AB68" s="976">
        <f>SUMPRODUCT(X$64:AA$64,AB$64:AE$64)</f>
        <v>4711</v>
      </c>
      <c r="AC68" s="977"/>
      <c r="AD68" s="977"/>
      <c r="AE68" s="978"/>
      <c r="AF68" s="976">
        <f>X68-AB68</f>
        <v>4802</v>
      </c>
      <c r="AG68" s="977"/>
      <c r="AH68" s="977"/>
      <c r="AI68" s="977"/>
      <c r="AJ68" s="978"/>
      <c r="AK68" s="979">
        <f>AF68/X68</f>
        <v>0.50478292862398821</v>
      </c>
      <c r="AL68" s="980"/>
      <c r="AM68" s="980"/>
      <c r="AN68" s="981"/>
      <c r="AO68" s="979">
        <f>IFERROR(AS68/(X68-AS68),"")</f>
        <v>0.13249999999999998</v>
      </c>
      <c r="AP68" s="980"/>
      <c r="AQ68" s="980"/>
      <c r="AR68" s="981"/>
      <c r="AS68" s="1035">
        <f>X$64*(BE$64-AK$64)</f>
        <v>1112.9999999999998</v>
      </c>
      <c r="AT68" s="1036"/>
      <c r="AU68" s="1036"/>
      <c r="AV68" s="1037"/>
      <c r="AW68" s="1038"/>
      <c r="AX68" s="1039"/>
      <c r="AY68" s="1039"/>
      <c r="AZ68" s="1040"/>
      <c r="BA68" s="976"/>
      <c r="BB68" s="977"/>
      <c r="BC68" s="977"/>
      <c r="BD68" s="978"/>
      <c r="BE68" s="994"/>
      <c r="BF68" s="995"/>
      <c r="BG68" s="995"/>
      <c r="BH68" s="996"/>
      <c r="BI68" s="149" t="s">
        <v>29</v>
      </c>
      <c r="BJ68" s="150"/>
      <c r="BK68" s="150"/>
      <c r="BL68" s="152"/>
      <c r="BM68" s="149" t="s">
        <v>29</v>
      </c>
      <c r="BN68" s="150"/>
      <c r="BO68" s="150"/>
      <c r="BP68" s="152"/>
      <c r="BQ68" s="149" t="s">
        <v>29</v>
      </c>
      <c r="BR68" s="150"/>
      <c r="BS68" s="150"/>
      <c r="BT68" s="152"/>
      <c r="BU68" s="149" t="s">
        <v>29</v>
      </c>
      <c r="BV68" s="150"/>
      <c r="BW68" s="150"/>
      <c r="BX68" s="152"/>
      <c r="BY68" s="149" t="s">
        <v>29</v>
      </c>
      <c r="BZ68" s="150"/>
      <c r="CA68" s="152"/>
      <c r="CB68" s="149" t="s">
        <v>29</v>
      </c>
      <c r="CC68" s="150"/>
      <c r="CD68" s="150"/>
      <c r="CE68" s="152"/>
      <c r="CF68" s="149" t="s">
        <v>29</v>
      </c>
      <c r="CG68" s="150"/>
      <c r="CH68" s="150"/>
      <c r="CI68" s="152"/>
    </row>
    <row r="69" spans="1:87" ht="13.5" customHeight="1">
      <c r="A69" s="22"/>
      <c r="B69" s="489">
        <v>20</v>
      </c>
      <c r="C69" s="204" t="s">
        <v>277</v>
      </c>
      <c r="D69" s="28"/>
      <c r="E69" s="28"/>
      <c r="F69" s="28"/>
      <c r="G69" s="28"/>
      <c r="H69" s="121"/>
      <c r="I69" s="62"/>
      <c r="J69" s="63"/>
      <c r="K69" s="62"/>
      <c r="L69" s="63"/>
      <c r="M69" s="69"/>
      <c r="N69" s="69"/>
      <c r="O69" s="65"/>
      <c r="P69" s="69"/>
      <c r="Q69" s="65"/>
      <c r="R69" s="69"/>
      <c r="S69" s="28"/>
      <c r="T69" s="28"/>
      <c r="U69" s="28"/>
      <c r="V69" s="28"/>
      <c r="W69" s="28"/>
      <c r="X69" s="121"/>
      <c r="Y69" s="62"/>
      <c r="Z69" s="63"/>
      <c r="AA69" s="62"/>
      <c r="AB69" s="63"/>
      <c r="AC69" s="69"/>
      <c r="AD69" s="69"/>
      <c r="AE69" s="65"/>
      <c r="AF69" s="69"/>
      <c r="AG69" s="65"/>
      <c r="AH69" s="69"/>
      <c r="AI69" s="64"/>
      <c r="AJ69" s="69"/>
      <c r="AK69" s="65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33"/>
      <c r="AW69" s="28"/>
      <c r="AX69" s="28"/>
      <c r="AY69" s="31"/>
      <c r="AZ69" s="52"/>
      <c r="BA69" s="93"/>
      <c r="BB69" s="327"/>
      <c r="BC69" s="328"/>
      <c r="BD69" s="26"/>
      <c r="BE69" s="26"/>
      <c r="BF69" s="26"/>
    </row>
    <row r="70" spans="1:87" ht="13.5" customHeight="1">
      <c r="A70" s="22"/>
      <c r="B70" s="202">
        <v>24</v>
      </c>
      <c r="C70" s="304"/>
      <c r="D70" s="243"/>
      <c r="E70" s="244"/>
      <c r="F70" s="243" t="s">
        <v>293</v>
      </c>
      <c r="G70" s="244"/>
      <c r="H70" s="244"/>
      <c r="I70" s="245"/>
      <c r="J70" s="246" t="s">
        <v>29</v>
      </c>
      <c r="K70" s="247"/>
      <c r="L70" s="247"/>
      <c r="M70" s="247"/>
      <c r="N70" s="244"/>
      <c r="O70" s="245"/>
      <c r="P70" s="248"/>
      <c r="Q70" s="249"/>
      <c r="R70" s="249"/>
      <c r="S70" s="250"/>
      <c r="T70" s="243"/>
      <c r="U70" s="244"/>
      <c r="V70" s="244"/>
      <c r="W70" s="245"/>
      <c r="X70" s="249" t="s">
        <v>238</v>
      </c>
      <c r="Y70" s="244"/>
      <c r="Z70" s="244"/>
      <c r="AA70" s="244"/>
      <c r="AB70" s="248" t="s">
        <v>233</v>
      </c>
      <c r="AC70" s="244"/>
      <c r="AD70" s="244"/>
      <c r="AE70" s="244"/>
      <c r="AF70" s="248" t="s">
        <v>234</v>
      </c>
      <c r="AG70" s="249"/>
      <c r="AH70" s="249"/>
      <c r="AI70" s="249"/>
      <c r="AJ70" s="250"/>
      <c r="AK70" s="248" t="s">
        <v>235</v>
      </c>
      <c r="AL70" s="249"/>
      <c r="AM70" s="249"/>
      <c r="AN70" s="250"/>
      <c r="AO70" s="248" t="s">
        <v>236</v>
      </c>
      <c r="AP70" s="249"/>
      <c r="AQ70" s="249"/>
      <c r="AR70" s="250"/>
      <c r="AS70" s="248" t="s">
        <v>237</v>
      </c>
      <c r="AT70" s="249"/>
      <c r="AU70" s="249"/>
      <c r="AV70" s="249"/>
      <c r="AW70" s="253" t="s">
        <v>29</v>
      </c>
      <c r="AX70" s="249"/>
      <c r="AY70" s="249"/>
      <c r="AZ70" s="250"/>
      <c r="BA70" s="253"/>
      <c r="BB70" s="249"/>
      <c r="BC70" s="249"/>
      <c r="BD70" s="250"/>
      <c r="BE70" s="251"/>
      <c r="BF70" s="249"/>
      <c r="BG70" s="249"/>
      <c r="BH70" s="250"/>
      <c r="BI70" s="251" t="s">
        <v>29</v>
      </c>
      <c r="BJ70" s="249"/>
      <c r="BK70" s="249"/>
      <c r="BL70" s="250"/>
      <c r="BM70" s="251" t="s">
        <v>29</v>
      </c>
      <c r="BN70" s="249"/>
      <c r="BO70" s="249"/>
      <c r="BP70" s="250"/>
      <c r="BQ70" s="251" t="s">
        <v>29</v>
      </c>
      <c r="BR70" s="249"/>
      <c r="BS70" s="249"/>
      <c r="BT70" s="250"/>
      <c r="BU70" s="249"/>
      <c r="BV70" s="249"/>
      <c r="BW70" s="249"/>
      <c r="BX70" s="250"/>
      <c r="BY70" s="251" t="s">
        <v>29</v>
      </c>
      <c r="BZ70" s="249"/>
      <c r="CA70" s="250"/>
      <c r="CB70" s="249"/>
      <c r="CC70" s="249"/>
      <c r="CD70" s="249"/>
      <c r="CE70" s="250"/>
      <c r="CF70" s="249"/>
      <c r="CG70" s="249"/>
      <c r="CH70" s="249"/>
      <c r="CI70" s="250"/>
    </row>
    <row r="71" spans="1:87" ht="13.5" customHeight="1">
      <c r="A71" s="22"/>
      <c r="B71" s="202">
        <v>25</v>
      </c>
      <c r="C71" s="308"/>
      <c r="D71" s="148"/>
      <c r="E71" s="149"/>
      <c r="F71" s="148" t="s">
        <v>147</v>
      </c>
      <c r="G71" s="149"/>
      <c r="H71" s="149"/>
      <c r="I71" s="151"/>
      <c r="J71" s="221"/>
      <c r="K71" s="222"/>
      <c r="L71" s="222"/>
      <c r="M71" s="222"/>
      <c r="N71" s="161"/>
      <c r="O71" s="162"/>
      <c r="P71" s="148"/>
      <c r="Q71" s="150"/>
      <c r="R71" s="150"/>
      <c r="S71" s="162"/>
      <c r="T71" s="119"/>
      <c r="U71" s="120"/>
      <c r="V71" s="120"/>
      <c r="W71" s="162"/>
      <c r="X71" s="988">
        <f>SUMPRODUCT(X$64:AA$64,BE$64:BH$64)</f>
        <v>9513</v>
      </c>
      <c r="Y71" s="997"/>
      <c r="Z71" s="997"/>
      <c r="AA71" s="998"/>
      <c r="AB71" s="988">
        <f>SUMPRODUCT(X$64:AA$64,AB$64:AE$64)</f>
        <v>4711</v>
      </c>
      <c r="AC71" s="997"/>
      <c r="AD71" s="997"/>
      <c r="AE71" s="998"/>
      <c r="AF71" s="988">
        <f>X71-AB71</f>
        <v>4802</v>
      </c>
      <c r="AG71" s="997"/>
      <c r="AH71" s="997"/>
      <c r="AI71" s="997"/>
      <c r="AJ71" s="998"/>
      <c r="AK71" s="979">
        <f>AF71/X71</f>
        <v>0.50478292862398821</v>
      </c>
      <c r="AL71" s="980"/>
      <c r="AM71" s="980"/>
      <c r="AN71" s="981"/>
      <c r="AO71" s="979">
        <f>IFERROR(AS71/(X71-AS71),"")</f>
        <v>0.13249999999999998</v>
      </c>
      <c r="AP71" s="980"/>
      <c r="AQ71" s="980"/>
      <c r="AR71" s="981"/>
      <c r="AS71" s="1070">
        <f>X$64*(BE$64-AK$64)</f>
        <v>1112.9999999999998</v>
      </c>
      <c r="AT71" s="1071"/>
      <c r="AU71" s="1071"/>
      <c r="AV71" s="1072"/>
      <c r="AW71" s="1038"/>
      <c r="AX71" s="1039"/>
      <c r="AY71" s="1039"/>
      <c r="AZ71" s="1040"/>
      <c r="BA71" s="976"/>
      <c r="BB71" s="977"/>
      <c r="BC71" s="977"/>
      <c r="BD71" s="978"/>
      <c r="BE71" s="994"/>
      <c r="BF71" s="995"/>
      <c r="BG71" s="995"/>
      <c r="BH71" s="996"/>
      <c r="BI71" s="149" t="s">
        <v>29</v>
      </c>
      <c r="BJ71" s="150"/>
      <c r="BK71" s="150"/>
      <c r="BL71" s="152"/>
      <c r="BM71" s="149" t="s">
        <v>29</v>
      </c>
      <c r="BN71" s="150"/>
      <c r="BO71" s="150"/>
      <c r="BP71" s="152"/>
      <c r="BQ71" s="149" t="s">
        <v>29</v>
      </c>
      <c r="BR71" s="150"/>
      <c r="BS71" s="150"/>
      <c r="BT71" s="152"/>
      <c r="BU71" s="149" t="s">
        <v>29</v>
      </c>
      <c r="BV71" s="150"/>
      <c r="BW71" s="150"/>
      <c r="BX71" s="152"/>
      <c r="BY71" s="149" t="s">
        <v>29</v>
      </c>
      <c r="BZ71" s="150"/>
      <c r="CA71" s="152"/>
      <c r="CB71" s="149" t="s">
        <v>29</v>
      </c>
      <c r="CC71" s="150"/>
      <c r="CD71" s="150"/>
      <c r="CE71" s="152"/>
      <c r="CF71" s="149" t="s">
        <v>29</v>
      </c>
      <c r="CG71" s="150"/>
      <c r="CH71" s="150"/>
      <c r="CI71" s="152"/>
    </row>
    <row r="72" spans="1:87" ht="13.5" customHeight="1">
      <c r="A72" s="22"/>
      <c r="B72" s="202">
        <v>25</v>
      </c>
      <c r="C72" s="308"/>
      <c r="D72" s="148"/>
      <c r="E72" s="149"/>
      <c r="F72" s="148" t="s">
        <v>206</v>
      </c>
      <c r="G72" s="149"/>
      <c r="H72" s="149"/>
      <c r="I72" s="151"/>
      <c r="J72" s="221"/>
      <c r="K72" s="222"/>
      <c r="L72" s="222"/>
      <c r="M72" s="222"/>
      <c r="N72" s="161"/>
      <c r="O72" s="162"/>
      <c r="P72" s="148"/>
      <c r="Q72" s="150"/>
      <c r="R72" s="150"/>
      <c r="S72" s="162"/>
      <c r="T72" s="119"/>
      <c r="U72" s="120"/>
      <c r="V72" s="120"/>
      <c r="W72" s="162"/>
      <c r="X72" s="976">
        <f>SUMPRODUCT(X$64:AA$64,BE$64:BH$64)</f>
        <v>9513</v>
      </c>
      <c r="Y72" s="977"/>
      <c r="Z72" s="977"/>
      <c r="AA72" s="978"/>
      <c r="AB72" s="976">
        <f>SUMPRODUCT(X$64:AA$64,AB$64:AE$64)</f>
        <v>4711</v>
      </c>
      <c r="AC72" s="977"/>
      <c r="AD72" s="977"/>
      <c r="AE72" s="978"/>
      <c r="AF72" s="976">
        <f>X72-AB72</f>
        <v>4802</v>
      </c>
      <c r="AG72" s="977"/>
      <c r="AH72" s="977"/>
      <c r="AI72" s="977"/>
      <c r="AJ72" s="978"/>
      <c r="AK72" s="979">
        <f>AF72/X72</f>
        <v>0.50478292862398821</v>
      </c>
      <c r="AL72" s="980"/>
      <c r="AM72" s="980"/>
      <c r="AN72" s="981"/>
      <c r="AO72" s="979">
        <f>IFERROR(AS72/(X72-AS72),"")</f>
        <v>0.13249999999999998</v>
      </c>
      <c r="AP72" s="980"/>
      <c r="AQ72" s="980"/>
      <c r="AR72" s="981"/>
      <c r="AS72" s="1035">
        <f>X$64*(BE$64-AK$64)</f>
        <v>1112.9999999999998</v>
      </c>
      <c r="AT72" s="1036"/>
      <c r="AU72" s="1036"/>
      <c r="AV72" s="1037"/>
      <c r="AW72" s="1038"/>
      <c r="AX72" s="1039"/>
      <c r="AY72" s="1039"/>
      <c r="AZ72" s="1040"/>
      <c r="BA72" s="976"/>
      <c r="BB72" s="977"/>
      <c r="BC72" s="977"/>
      <c r="BD72" s="978"/>
      <c r="BE72" s="994"/>
      <c r="BF72" s="995"/>
      <c r="BG72" s="995"/>
      <c r="BH72" s="996"/>
      <c r="BI72" s="149" t="s">
        <v>29</v>
      </c>
      <c r="BJ72" s="150"/>
      <c r="BK72" s="150"/>
      <c r="BL72" s="152"/>
      <c r="BM72" s="149" t="s">
        <v>29</v>
      </c>
      <c r="BN72" s="150"/>
      <c r="BO72" s="150"/>
      <c r="BP72" s="152"/>
      <c r="BQ72" s="149" t="s">
        <v>29</v>
      </c>
      <c r="BR72" s="150"/>
      <c r="BS72" s="150"/>
      <c r="BT72" s="152"/>
      <c r="BU72" s="149" t="s">
        <v>29</v>
      </c>
      <c r="BV72" s="150"/>
      <c r="BW72" s="150"/>
      <c r="BX72" s="152"/>
      <c r="BY72" s="149" t="s">
        <v>29</v>
      </c>
      <c r="BZ72" s="150"/>
      <c r="CA72" s="152"/>
      <c r="CB72" s="149" t="s">
        <v>29</v>
      </c>
      <c r="CC72" s="150"/>
      <c r="CD72" s="150"/>
      <c r="CE72" s="152"/>
      <c r="CF72" s="149" t="s">
        <v>29</v>
      </c>
      <c r="CG72" s="150"/>
      <c r="CH72" s="150"/>
      <c r="CI72" s="152"/>
    </row>
    <row r="73" spans="1:87" ht="13.5" customHeight="1">
      <c r="A73" s="22"/>
      <c r="B73" s="202">
        <v>26</v>
      </c>
      <c r="C73" s="339"/>
      <c r="D73" s="75"/>
      <c r="E73" s="75"/>
      <c r="F73" s="75"/>
      <c r="G73" s="75"/>
      <c r="H73" s="199"/>
      <c r="I73" s="199"/>
      <c r="J73" s="200"/>
      <c r="K73" s="199"/>
      <c r="L73" s="200"/>
      <c r="M73" s="199"/>
      <c r="N73" s="199"/>
      <c r="O73" s="83"/>
      <c r="P73" s="84"/>
      <c r="Q73" s="84"/>
      <c r="R73" s="84"/>
      <c r="S73" s="75"/>
      <c r="T73" s="75"/>
      <c r="U73" s="75"/>
      <c r="V73" s="75"/>
      <c r="W73" s="75"/>
      <c r="X73" s="85"/>
      <c r="Y73" s="75"/>
      <c r="Z73" s="84"/>
      <c r="AA73" s="85"/>
      <c r="AB73" s="75"/>
      <c r="AC73" s="84"/>
      <c r="AD73" s="85"/>
      <c r="AE73" s="84"/>
      <c r="AF73" s="84"/>
      <c r="AG73" s="85"/>
      <c r="AH73" s="84"/>
      <c r="AI73" s="84"/>
      <c r="AJ73" s="90"/>
      <c r="AK73" s="84"/>
      <c r="AL73" s="84"/>
      <c r="AM73" s="84"/>
      <c r="AN73" s="84"/>
      <c r="AO73" s="84"/>
      <c r="AP73" s="84"/>
      <c r="AQ73" s="84"/>
      <c r="AR73" s="84"/>
      <c r="AS73" s="65"/>
      <c r="AT73" s="65"/>
      <c r="AU73" s="65"/>
      <c r="AV73" s="65"/>
      <c r="AW73" s="65"/>
      <c r="AX73" s="65"/>
      <c r="AY73" s="63"/>
      <c r="AZ73" s="31"/>
      <c r="BA73" s="30"/>
      <c r="BB73" s="175"/>
      <c r="BC73" s="343"/>
      <c r="BD73" s="1068"/>
      <c r="BE73" s="1069"/>
      <c r="BF73" s="1069"/>
    </row>
    <row r="74" spans="1:87" ht="13.5" customHeight="1">
      <c r="A74" s="22"/>
      <c r="B74" s="202"/>
      <c r="C74" s="342"/>
      <c r="D74" s="332"/>
      <c r="E74" s="65"/>
      <c r="F74" s="65"/>
      <c r="G74" s="65"/>
      <c r="H74" s="65"/>
      <c r="I74" s="65"/>
      <c r="J74" s="333"/>
      <c r="K74" s="334"/>
      <c r="L74" s="334"/>
      <c r="M74" s="334"/>
      <c r="N74"/>
      <c r="O74"/>
      <c r="P74"/>
      <c r="Q74"/>
      <c r="R74"/>
      <c r="S74"/>
      <c r="T74"/>
      <c r="U74"/>
      <c r="V74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198"/>
      <c r="AN74" s="198"/>
      <c r="AO74" s="198"/>
      <c r="AP74" s="198"/>
      <c r="AQ74" s="198"/>
      <c r="AR74" s="198"/>
      <c r="AS74" s="254"/>
      <c r="AT74" s="35"/>
      <c r="AU74" s="35"/>
      <c r="AV74" s="254"/>
      <c r="AW74" s="198"/>
      <c r="AX74" s="198"/>
      <c r="AY74" s="198"/>
      <c r="AZ74" s="31"/>
      <c r="BA74" s="30"/>
      <c r="BB74" s="175"/>
      <c r="BC74" s="345"/>
      <c r="BD74" s="28"/>
      <c r="BG74" s="24"/>
      <c r="BH74" s="28"/>
    </row>
    <row r="75" spans="1:87" ht="13.5" customHeight="1">
      <c r="A75" s="22"/>
      <c r="B75" s="202"/>
      <c r="C75" s="342"/>
      <c r="D75" s="332"/>
      <c r="E75" s="65"/>
      <c r="F75" s="65"/>
      <c r="G75" s="65"/>
      <c r="H75" s="65"/>
      <c r="I75" s="65"/>
      <c r="J75" s="333"/>
      <c r="K75" s="334"/>
      <c r="L75" s="334"/>
      <c r="M75" s="334"/>
      <c r="N75"/>
      <c r="O75"/>
      <c r="P75"/>
      <c r="Q75"/>
      <c r="R75"/>
      <c r="S75"/>
      <c r="T75"/>
      <c r="U75"/>
      <c r="V7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198"/>
      <c r="AN75" s="198"/>
      <c r="AO75" s="198"/>
      <c r="AP75" s="198"/>
      <c r="AQ75" s="198"/>
      <c r="AR75" s="198"/>
      <c r="AS75" s="254"/>
      <c r="AT75" s="35"/>
      <c r="AU75" s="35"/>
      <c r="AV75" s="254"/>
      <c r="AW75" s="198"/>
      <c r="AX75" s="198"/>
      <c r="AY75" s="198"/>
      <c r="AZ75" s="31"/>
      <c r="BA75" s="30"/>
      <c r="BB75" s="175"/>
      <c r="BC75" s="345"/>
      <c r="BD75" s="28"/>
      <c r="BG75" s="24"/>
      <c r="BH75" s="28"/>
    </row>
    <row r="76" spans="1:87" ht="5.15" customHeight="1">
      <c r="A76" s="22"/>
      <c r="B76" s="202"/>
      <c r="C76" s="315"/>
      <c r="D76" s="73"/>
      <c r="E76" s="73"/>
      <c r="F76" s="73"/>
      <c r="G76" s="73"/>
      <c r="H76" s="316"/>
      <c r="I76" s="275"/>
      <c r="J76" s="273"/>
      <c r="K76" s="275"/>
      <c r="L76" s="273"/>
      <c r="M76" s="317"/>
      <c r="N76" s="317"/>
      <c r="O76" s="270"/>
      <c r="P76" s="317"/>
      <c r="Q76" s="270"/>
      <c r="R76" s="317"/>
      <c r="S76" s="73"/>
      <c r="T76" s="73"/>
      <c r="U76" s="73"/>
      <c r="V76" s="73"/>
      <c r="W76" s="73"/>
      <c r="X76" s="316"/>
      <c r="Y76" s="275"/>
      <c r="Z76" s="273"/>
      <c r="AA76" s="275"/>
      <c r="AB76" s="273"/>
      <c r="AC76" s="317"/>
      <c r="AD76" s="317"/>
      <c r="AE76" s="270"/>
      <c r="AF76" s="317"/>
      <c r="AG76" s="270"/>
      <c r="AH76" s="317"/>
      <c r="AI76" s="276"/>
      <c r="AJ76" s="317"/>
      <c r="AK76" s="270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318"/>
      <c r="AW76" s="73"/>
      <c r="AX76" s="73"/>
      <c r="AY76" s="269"/>
      <c r="AZ76" s="269"/>
      <c r="BA76" s="319"/>
      <c r="BB76" s="320"/>
      <c r="BC76" s="344"/>
      <c r="BD76" s="28"/>
    </row>
    <row r="77" spans="1:87" ht="13.5" customHeight="1">
      <c r="A77" s="22"/>
      <c r="B77" s="202">
        <v>31</v>
      </c>
      <c r="C77" s="331"/>
      <c r="D77" s="332"/>
      <c r="E77" s="65"/>
      <c r="F77" s="65"/>
      <c r="G77" s="65"/>
      <c r="H77" s="65"/>
      <c r="I77" s="65"/>
      <c r="J77" s="1004"/>
      <c r="K77" s="1004"/>
      <c r="L77" s="1004"/>
      <c r="M77" s="1004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198"/>
      <c r="AN77" s="198"/>
      <c r="AO77" s="198"/>
      <c r="AP77" s="198"/>
      <c r="AQ77" s="198"/>
      <c r="AR77" s="198"/>
      <c r="AS77" s="198"/>
      <c r="AT77" s="198"/>
      <c r="AU77" s="198"/>
      <c r="AV77" s="198"/>
      <c r="AW77" s="198"/>
      <c r="AX77" s="198"/>
      <c r="AY77" s="198"/>
      <c r="AZ77" s="33"/>
      <c r="BA77" s="46"/>
      <c r="BB77" s="78"/>
      <c r="BC77" s="34"/>
      <c r="BD77" s="28"/>
      <c r="BG77" s="24"/>
      <c r="BH77" s="28"/>
    </row>
    <row r="78" spans="1:87" ht="14.15" customHeight="1">
      <c r="A78" s="22"/>
      <c r="B78" s="129"/>
      <c r="C78" s="346" t="s">
        <v>130</v>
      </c>
      <c r="D78" s="28"/>
      <c r="E78" s="28"/>
      <c r="F78" s="28"/>
      <c r="G78" s="28"/>
      <c r="S78" s="35"/>
      <c r="T78" s="35"/>
      <c r="U78" s="35"/>
      <c r="V78" s="35"/>
      <c r="Y78" s="35"/>
      <c r="Z78" s="35"/>
      <c r="AD78" s="35"/>
      <c r="AE78" s="35"/>
      <c r="AF78" s="35"/>
      <c r="AG78" s="35"/>
      <c r="AH78" s="35"/>
      <c r="AI78" s="35"/>
      <c r="AJ78" s="28"/>
      <c r="AK78" s="28"/>
      <c r="AL78" s="28"/>
      <c r="AM78" s="130"/>
      <c r="AN78" s="130"/>
      <c r="AO78" s="35"/>
      <c r="AP78" s="35"/>
      <c r="AQ78" s="35"/>
      <c r="AR78" s="35"/>
      <c r="AS78" s="35"/>
      <c r="AT78" s="35"/>
      <c r="AU78" s="35"/>
      <c r="AV78" s="35"/>
      <c r="AW78" s="35"/>
      <c r="AX78" s="65"/>
      <c r="AY78" s="65"/>
      <c r="AZ78" s="33"/>
      <c r="BA78" s="46"/>
      <c r="BB78" s="78"/>
      <c r="BC78" s="34"/>
      <c r="BD78" s="28"/>
      <c r="BG78" s="35"/>
    </row>
    <row r="79" spans="1:87" ht="5.15" customHeight="1">
      <c r="A79" s="22"/>
      <c r="B79" s="202"/>
      <c r="C79" s="296"/>
      <c r="D79" s="72"/>
      <c r="E79" s="72"/>
      <c r="F79" s="72"/>
      <c r="G79" s="72"/>
      <c r="H79" s="297"/>
      <c r="I79" s="278"/>
      <c r="J79" s="279"/>
      <c r="K79" s="278"/>
      <c r="L79" s="279"/>
      <c r="M79" s="298"/>
      <c r="N79" s="298"/>
      <c r="O79" s="263"/>
      <c r="P79" s="298"/>
      <c r="Q79" s="263"/>
      <c r="R79" s="298"/>
      <c r="S79" s="72"/>
      <c r="T79" s="72"/>
      <c r="U79" s="72"/>
      <c r="V79" s="72"/>
      <c r="W79" s="72"/>
      <c r="X79" s="297"/>
      <c r="Y79" s="278"/>
      <c r="Z79" s="279"/>
      <c r="AA79" s="278"/>
      <c r="AB79" s="279"/>
      <c r="AC79" s="298"/>
      <c r="AD79" s="298"/>
      <c r="AE79" s="263"/>
      <c r="AF79" s="298"/>
      <c r="AG79" s="263"/>
      <c r="AH79" s="298"/>
      <c r="AI79" s="280"/>
      <c r="AJ79" s="298"/>
      <c r="AK79" s="263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300"/>
      <c r="AW79" s="72"/>
      <c r="AX79" s="72"/>
      <c r="AY79" s="265"/>
      <c r="AZ79" s="33"/>
      <c r="BA79" s="46"/>
      <c r="BB79" s="78"/>
      <c r="BC79" s="34"/>
      <c r="BD79" s="28"/>
    </row>
    <row r="80" spans="1:87" ht="14.15" customHeight="1">
      <c r="A80" s="23"/>
      <c r="B80" s="351"/>
      <c r="C80" s="282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5"/>
      <c r="S80" s="35"/>
      <c r="T80" s="28"/>
      <c r="U80" s="28"/>
      <c r="V80" s="28"/>
      <c r="W80" s="28"/>
      <c r="X80" s="28"/>
      <c r="Y80" s="28"/>
      <c r="Z80" s="28"/>
      <c r="AC80" s="28"/>
      <c r="AD80" s="28"/>
      <c r="AE80" s="35"/>
      <c r="AF80" s="35"/>
      <c r="AG80" s="35"/>
      <c r="AH80" s="35"/>
      <c r="AI80" s="35"/>
      <c r="AJ80" s="28"/>
      <c r="AK80" s="28"/>
      <c r="AL80" s="28"/>
      <c r="AM80" s="35"/>
      <c r="AN80" s="35"/>
      <c r="AO80" s="135"/>
      <c r="AP80" s="136"/>
      <c r="AQ80" s="130"/>
      <c r="AR80" s="130"/>
      <c r="AS80" s="130"/>
      <c r="AT80" s="130"/>
      <c r="AU80" s="81"/>
      <c r="AV80" s="35"/>
      <c r="AW80" s="35"/>
      <c r="AX80" s="65"/>
      <c r="AY80" s="347"/>
      <c r="AZ80" s="33"/>
      <c r="BA80" s="46"/>
      <c r="BB80" s="78"/>
      <c r="BC80" s="34"/>
      <c r="BD80" s="28"/>
      <c r="BG80" s="35"/>
    </row>
    <row r="81" spans="1:60" ht="14.15" customHeight="1">
      <c r="A81" s="23"/>
      <c r="B81" s="351"/>
      <c r="C81" s="352"/>
      <c r="D81" s="348" t="s">
        <v>37</v>
      </c>
      <c r="E81" s="131"/>
      <c r="F81" s="131"/>
      <c r="G81" s="131"/>
      <c r="H81" s="132"/>
      <c r="I81" s="132"/>
      <c r="J81" s="106"/>
      <c r="K81" s="133"/>
      <c r="L81" s="134"/>
      <c r="M81" s="144"/>
      <c r="N81" s="144"/>
      <c r="O81" s="131"/>
      <c r="P81" s="134"/>
      <c r="Q81" s="107"/>
      <c r="R81" s="133" t="s">
        <v>39</v>
      </c>
      <c r="S81" s="134"/>
      <c r="T81" s="107"/>
      <c r="U81" s="107"/>
      <c r="V81" s="133" t="s">
        <v>43</v>
      </c>
      <c r="W81" s="134"/>
      <c r="X81" s="107"/>
      <c r="Y81" s="35"/>
      <c r="Z81" s="35"/>
      <c r="AC81" s="28"/>
      <c r="AD81" s="28"/>
      <c r="AE81" s="28"/>
      <c r="AF81" s="35"/>
      <c r="AG81" s="35"/>
      <c r="AH81" s="28"/>
      <c r="AI81" s="28"/>
      <c r="AJ81" s="28"/>
      <c r="AK81" s="81"/>
      <c r="AL81" s="28"/>
      <c r="AM81" s="28"/>
      <c r="AN81" s="28"/>
      <c r="AO81" s="28"/>
      <c r="AP81" s="28"/>
      <c r="AQ81" s="65"/>
      <c r="AR81" s="65"/>
      <c r="AS81" s="65"/>
      <c r="AT81" s="125"/>
      <c r="AU81" s="65"/>
      <c r="AV81" s="65"/>
      <c r="AW81" s="65"/>
      <c r="AX81" s="65"/>
      <c r="AY81" s="347"/>
      <c r="AZ81" s="33"/>
      <c r="BA81" s="46"/>
      <c r="BB81" s="78"/>
      <c r="BC81" s="34"/>
      <c r="BD81" s="28"/>
      <c r="BE81" s="35"/>
      <c r="BF81" s="35"/>
      <c r="BG81" s="35"/>
    </row>
    <row r="82" spans="1:60" ht="13.5" customHeight="1">
      <c r="A82" s="22"/>
      <c r="B82" s="353"/>
      <c r="C82" s="352"/>
      <c r="D82" s="349" t="s">
        <v>44</v>
      </c>
      <c r="E82" s="137"/>
      <c r="F82" s="137"/>
      <c r="G82" s="137"/>
      <c r="H82" s="137"/>
      <c r="I82" s="137"/>
      <c r="J82" s="137"/>
      <c r="K82" s="350"/>
      <c r="L82" s="139"/>
      <c r="M82" s="108"/>
      <c r="N82" s="108"/>
      <c r="O82" s="145"/>
      <c r="P82" s="139"/>
      <c r="Q82" s="109"/>
      <c r="R82" s="138" t="s">
        <v>40</v>
      </c>
      <c r="S82" s="139"/>
      <c r="T82" s="108"/>
      <c r="U82" s="109"/>
      <c r="V82" s="140"/>
      <c r="W82" s="141"/>
      <c r="X82" s="142"/>
      <c r="Y82" s="116"/>
      <c r="Z82" s="41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65"/>
      <c r="AR82" s="65"/>
      <c r="AS82" s="65"/>
      <c r="AT82" s="125"/>
      <c r="AU82" s="65"/>
      <c r="AV82" s="65"/>
      <c r="AW82" s="65"/>
      <c r="AX82" s="65"/>
      <c r="AY82" s="347"/>
      <c r="AZ82" s="33"/>
      <c r="BA82" s="46"/>
      <c r="BB82" s="78"/>
      <c r="BC82" s="34"/>
      <c r="BD82" s="28"/>
      <c r="BE82" s="35"/>
      <c r="BF82" s="35"/>
      <c r="BG82" s="35"/>
    </row>
    <row r="83" spans="1:60" ht="5.15" customHeight="1">
      <c r="A83" s="22"/>
      <c r="B83" s="202"/>
      <c r="C83" s="315"/>
      <c r="D83" s="73"/>
      <c r="E83" s="73"/>
      <c r="F83" s="73"/>
      <c r="G83" s="73"/>
      <c r="H83" s="316"/>
      <c r="I83" s="275"/>
      <c r="J83" s="273"/>
      <c r="K83" s="275"/>
      <c r="L83" s="273"/>
      <c r="M83" s="317"/>
      <c r="N83" s="317"/>
      <c r="O83" s="270"/>
      <c r="P83" s="317"/>
      <c r="Q83" s="270"/>
      <c r="R83" s="317"/>
      <c r="S83" s="73"/>
      <c r="T83" s="73"/>
      <c r="U83" s="73"/>
      <c r="V83" s="73"/>
      <c r="W83" s="73"/>
      <c r="X83" s="316"/>
      <c r="Y83" s="275"/>
      <c r="Z83" s="273"/>
      <c r="AA83" s="275"/>
      <c r="AB83" s="273"/>
      <c r="AC83" s="317"/>
      <c r="AD83" s="317"/>
      <c r="AE83" s="270"/>
      <c r="AF83" s="317"/>
      <c r="AG83" s="270"/>
      <c r="AH83" s="317"/>
      <c r="AI83" s="276"/>
      <c r="AJ83" s="317"/>
      <c r="AK83" s="270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318"/>
      <c r="AW83" s="73"/>
      <c r="AX83" s="73"/>
      <c r="AY83" s="277"/>
      <c r="AZ83" s="33"/>
      <c r="BA83" s="46"/>
      <c r="BB83" s="78"/>
      <c r="BC83" s="34"/>
      <c r="BD83" s="28"/>
    </row>
    <row r="84" spans="1:60" ht="14.15" customHeight="1">
      <c r="A84" s="22"/>
      <c r="B84" s="202">
        <v>35</v>
      </c>
      <c r="C84" s="331"/>
      <c r="D84" s="332"/>
      <c r="E84" s="65"/>
      <c r="F84" s="65"/>
      <c r="G84" s="65"/>
      <c r="H84" s="65"/>
      <c r="I84" s="65"/>
      <c r="J84" s="969"/>
      <c r="K84" s="969"/>
      <c r="L84" s="969"/>
      <c r="M84" s="969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125"/>
      <c r="AU84" s="65"/>
      <c r="AV84" s="65"/>
      <c r="AW84" s="65"/>
      <c r="AX84" s="65"/>
      <c r="AY84" s="65"/>
      <c r="AZ84" s="33"/>
      <c r="BA84" s="46"/>
      <c r="BB84" s="335"/>
      <c r="BC84" s="336"/>
      <c r="BD84" s="28"/>
      <c r="BG84" s="24"/>
      <c r="BH84" s="28"/>
    </row>
    <row r="85" spans="1:60" ht="14.15" customHeight="1">
      <c r="A85" s="22"/>
      <c r="B85" s="202">
        <v>35</v>
      </c>
      <c r="C85" s="346" t="s">
        <v>246</v>
      </c>
      <c r="D85" s="332"/>
      <c r="E85" s="65"/>
      <c r="F85" s="65"/>
      <c r="G85" s="65"/>
      <c r="H85" s="65"/>
      <c r="I85" s="65"/>
      <c r="J85" s="969"/>
      <c r="K85" s="969"/>
      <c r="L85" s="969"/>
      <c r="M85" s="969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125"/>
      <c r="AU85" s="65"/>
      <c r="AV85" s="65"/>
      <c r="AW85" s="65"/>
      <c r="AX85" s="65"/>
      <c r="AY85" s="65"/>
      <c r="AZ85" s="33"/>
      <c r="BA85" s="46"/>
      <c r="BB85" s="335"/>
      <c r="BC85" s="336"/>
      <c r="BD85" s="28"/>
      <c r="BG85" s="24"/>
      <c r="BH85" s="28"/>
    </row>
    <row r="86" spans="1:60" ht="14.15" customHeight="1">
      <c r="A86" s="22"/>
      <c r="B86" s="202">
        <v>35</v>
      </c>
      <c r="C86" s="331"/>
      <c r="D86" s="478" t="s">
        <v>247</v>
      </c>
      <c r="E86" s="65"/>
      <c r="F86" s="65"/>
      <c r="G86" s="65"/>
      <c r="H86" s="65"/>
      <c r="I86" s="65"/>
      <c r="J86" s="477"/>
      <c r="K86" s="477"/>
      <c r="L86" s="477"/>
      <c r="M86" s="477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125"/>
      <c r="AU86" s="65"/>
      <c r="AV86" s="65"/>
      <c r="AW86" s="65"/>
      <c r="AX86" s="65"/>
      <c r="AY86" s="65"/>
      <c r="AZ86" s="33"/>
      <c r="BA86" s="46"/>
      <c r="BB86" s="335"/>
      <c r="BC86" s="336"/>
      <c r="BD86" s="28"/>
      <c r="BG86" s="24"/>
      <c r="BH86" s="28"/>
    </row>
    <row r="87" spans="1:60" ht="14.15" customHeight="1">
      <c r="A87" s="22"/>
      <c r="B87" s="202">
        <v>35</v>
      </c>
      <c r="C87" s="331"/>
      <c r="D87" s="332"/>
      <c r="E87" s="65"/>
      <c r="F87" s="65"/>
      <c r="G87" s="65"/>
      <c r="H87" s="65"/>
      <c r="I87" s="65"/>
      <c r="J87" s="1008"/>
      <c r="K87" s="1008"/>
      <c r="L87" s="1008"/>
      <c r="M87" s="1008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125"/>
      <c r="AU87" s="65"/>
      <c r="AV87" s="65"/>
      <c r="AW87" s="65"/>
      <c r="AX87" s="65"/>
      <c r="AY87" s="65"/>
      <c r="AZ87" s="33"/>
      <c r="BA87" s="46"/>
      <c r="BB87" s="335"/>
      <c r="BC87" s="336"/>
      <c r="BD87" s="28"/>
      <c r="BG87" s="24"/>
      <c r="BH87" s="28"/>
    </row>
    <row r="88" spans="1:60" ht="5.15" customHeight="1">
      <c r="A88" s="22"/>
      <c r="B88" s="202"/>
      <c r="C88" s="296"/>
      <c r="D88" s="72"/>
      <c r="E88" s="72"/>
      <c r="F88" s="72"/>
      <c r="G88" s="72"/>
      <c r="H88" s="297"/>
      <c r="I88" s="278"/>
      <c r="J88" s="279"/>
      <c r="K88" s="278"/>
      <c r="L88" s="279"/>
      <c r="M88" s="298"/>
      <c r="N88" s="298"/>
      <c r="O88" s="263"/>
      <c r="P88" s="298"/>
      <c r="Q88" s="263"/>
      <c r="R88" s="298"/>
      <c r="S88" s="72"/>
      <c r="T88" s="72"/>
      <c r="U88" s="72"/>
      <c r="V88" s="72"/>
      <c r="W88" s="72"/>
      <c r="X88" s="297"/>
      <c r="Y88" s="278"/>
      <c r="Z88" s="279"/>
      <c r="AA88" s="278"/>
      <c r="AB88" s="279"/>
      <c r="AC88" s="298"/>
      <c r="AD88" s="298"/>
      <c r="AE88" s="263"/>
      <c r="AF88" s="298"/>
      <c r="AG88" s="263"/>
      <c r="AH88" s="298"/>
      <c r="AI88" s="280"/>
      <c r="AJ88" s="298"/>
      <c r="AK88" s="263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300"/>
      <c r="AW88" s="72"/>
      <c r="AX88" s="72"/>
      <c r="AY88" s="265"/>
      <c r="AZ88" s="33"/>
      <c r="BA88" s="46"/>
      <c r="BB88" s="78"/>
      <c r="BC88" s="34"/>
      <c r="BD88" s="28"/>
    </row>
    <row r="89" spans="1:60" ht="14.15" customHeight="1">
      <c r="A89" s="23"/>
      <c r="B89" s="351"/>
      <c r="C89" s="282"/>
      <c r="D89" s="28" t="s">
        <v>239</v>
      </c>
      <c r="E89" s="28"/>
      <c r="F89" s="28"/>
      <c r="G89" s="28"/>
      <c r="H89" s="468" t="s">
        <v>244</v>
      </c>
      <c r="I89" s="257"/>
      <c r="J89" s="258"/>
      <c r="K89" s="258"/>
      <c r="L89" s="258"/>
      <c r="M89" s="259"/>
      <c r="N89" s="258"/>
      <c r="O89" s="110"/>
      <c r="P89" s="261" t="s">
        <v>32</v>
      </c>
      <c r="Q89" s="25"/>
      <c r="R89" s="469" t="s">
        <v>245</v>
      </c>
      <c r="S89" s="470"/>
      <c r="T89" s="471"/>
      <c r="U89" s="471"/>
      <c r="V89" s="483"/>
      <c r="W89" s="472"/>
      <c r="X89" s="471"/>
      <c r="Y89" s="473"/>
      <c r="Z89" s="474"/>
      <c r="AB89" s="469" t="s">
        <v>287</v>
      </c>
      <c r="AC89" s="470"/>
      <c r="AD89" s="471"/>
      <c r="AE89" s="471"/>
      <c r="AF89" s="471"/>
      <c r="AG89" s="472"/>
      <c r="AH89" s="471"/>
      <c r="AI89" s="473"/>
      <c r="AJ89" s="472"/>
      <c r="AK89" s="479"/>
      <c r="AL89" s="479"/>
      <c r="AM89" s="473"/>
      <c r="AN89" s="473"/>
      <c r="AO89" s="471"/>
      <c r="AP89" s="480"/>
      <c r="AQ89" s="471"/>
      <c r="AR89" s="471"/>
      <c r="AS89" s="471"/>
      <c r="AT89" s="471"/>
      <c r="AU89" s="481"/>
      <c r="AV89" s="473"/>
      <c r="AW89" s="473"/>
      <c r="AX89" s="482"/>
      <c r="AY89" s="347"/>
      <c r="AZ89" s="33"/>
      <c r="BA89" s="46"/>
      <c r="BB89" s="78"/>
      <c r="BC89" s="34"/>
      <c r="BD89" s="28"/>
      <c r="BG89" s="35"/>
    </row>
    <row r="90" spans="1:60" ht="14.15" customHeight="1">
      <c r="A90" s="23"/>
      <c r="B90" s="351"/>
      <c r="C90" s="282"/>
      <c r="D90" s="28"/>
      <c r="E90" s="28"/>
      <c r="F90" s="28"/>
      <c r="G90" s="28"/>
      <c r="H90" s="469" t="s">
        <v>53</v>
      </c>
      <c r="I90" s="470"/>
      <c r="J90" s="471"/>
      <c r="K90" s="471"/>
      <c r="L90" s="471"/>
      <c r="M90" s="472"/>
      <c r="N90" s="471"/>
      <c r="O90" s="473"/>
      <c r="P90" s="472"/>
      <c r="Q90" s="479"/>
      <c r="R90" s="479"/>
      <c r="S90" s="473"/>
      <c r="T90" s="473"/>
      <c r="U90" s="471"/>
      <c r="V90" s="480"/>
      <c r="W90" s="471"/>
      <c r="X90" s="471"/>
      <c r="Y90" s="471"/>
      <c r="Z90" s="471"/>
      <c r="AA90" s="481"/>
      <c r="AB90" s="473"/>
      <c r="AC90" s="473"/>
      <c r="AD90" s="479"/>
      <c r="AE90" s="471"/>
      <c r="AF90" s="471"/>
      <c r="AG90" s="472"/>
      <c r="AH90" s="471"/>
      <c r="AI90" s="473"/>
      <c r="AJ90" s="472"/>
      <c r="AK90" s="479"/>
      <c r="AL90" s="479"/>
      <c r="AM90" s="473"/>
      <c r="AN90" s="473"/>
      <c r="AO90" s="471"/>
      <c r="AP90" s="480"/>
      <c r="AQ90" s="471"/>
      <c r="AR90" s="471"/>
      <c r="AS90" s="471"/>
      <c r="AT90" s="471"/>
      <c r="AU90" s="481"/>
      <c r="AV90" s="473"/>
      <c r="AW90" s="473"/>
      <c r="AX90" s="482"/>
      <c r="AY90" s="347"/>
      <c r="AZ90" s="33"/>
      <c r="BA90" s="46"/>
      <c r="BB90" s="78"/>
      <c r="BC90" s="34"/>
      <c r="BD90" s="28"/>
      <c r="BG90" s="35"/>
    </row>
    <row r="91" spans="1:60" ht="5.15" customHeight="1">
      <c r="A91" s="22"/>
      <c r="B91" s="202"/>
      <c r="C91" s="315"/>
      <c r="D91" s="73"/>
      <c r="E91" s="73"/>
      <c r="F91" s="73"/>
      <c r="G91" s="73"/>
      <c r="H91" s="316"/>
      <c r="I91" s="275"/>
      <c r="J91" s="273"/>
      <c r="K91" s="275"/>
      <c r="L91" s="273"/>
      <c r="M91" s="317"/>
      <c r="N91" s="317"/>
      <c r="O91" s="270"/>
      <c r="P91" s="317"/>
      <c r="Q91" s="270"/>
      <c r="R91" s="317"/>
      <c r="S91" s="73"/>
      <c r="T91" s="73"/>
      <c r="U91" s="73"/>
      <c r="V91" s="73"/>
      <c r="W91" s="73"/>
      <c r="X91" s="316"/>
      <c r="Y91" s="275"/>
      <c r="Z91" s="273"/>
      <c r="AA91" s="275"/>
      <c r="AB91" s="273"/>
      <c r="AC91" s="317"/>
      <c r="AD91" s="317"/>
      <c r="AE91" s="270"/>
      <c r="AF91" s="317"/>
      <c r="AG91" s="270"/>
      <c r="AH91" s="317"/>
      <c r="AI91" s="276"/>
      <c r="AJ91" s="317"/>
      <c r="AK91" s="270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318"/>
      <c r="AW91" s="73"/>
      <c r="AX91" s="73"/>
      <c r="AY91" s="277"/>
      <c r="AZ91" s="33"/>
      <c r="BA91" s="46"/>
      <c r="BB91" s="78"/>
      <c r="BC91" s="34"/>
      <c r="BD91" s="28"/>
    </row>
    <row r="92" spans="1:60" ht="5.15" customHeight="1">
      <c r="A92" s="22"/>
      <c r="B92" s="202"/>
      <c r="C92" s="476"/>
      <c r="D92" s="72"/>
      <c r="E92" s="72"/>
      <c r="F92" s="72"/>
      <c r="G92" s="72"/>
      <c r="H92" s="297"/>
      <c r="I92" s="278"/>
      <c r="J92" s="279"/>
      <c r="K92" s="278"/>
      <c r="L92" s="279"/>
      <c r="M92" s="298"/>
      <c r="N92" s="298"/>
      <c r="O92" s="263"/>
      <c r="P92" s="298"/>
      <c r="Q92" s="263"/>
      <c r="R92" s="298"/>
      <c r="S92" s="72"/>
      <c r="T92" s="72"/>
      <c r="U92" s="72"/>
      <c r="V92" s="72"/>
      <c r="W92" s="72"/>
      <c r="X92" s="297"/>
      <c r="Y92" s="278"/>
      <c r="Z92" s="279"/>
      <c r="AA92" s="278"/>
      <c r="AB92" s="279"/>
      <c r="AC92" s="298"/>
      <c r="AD92" s="298"/>
      <c r="AE92" s="263"/>
      <c r="AF92" s="298"/>
      <c r="AG92" s="263"/>
      <c r="AH92" s="298"/>
      <c r="AI92" s="280"/>
      <c r="AJ92" s="298"/>
      <c r="AK92" s="263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300"/>
      <c r="AW92" s="72"/>
      <c r="AX92" s="72"/>
      <c r="AY92" s="264"/>
      <c r="AZ92" s="33"/>
      <c r="BA92" s="46"/>
      <c r="BB92" s="78"/>
      <c r="BC92" s="34"/>
      <c r="BD92" s="28"/>
    </row>
    <row r="93" spans="1:60" ht="14.15" customHeight="1">
      <c r="A93" s="22"/>
      <c r="B93" s="202">
        <v>35</v>
      </c>
      <c r="C93" s="62" t="s">
        <v>242</v>
      </c>
      <c r="D93" s="332"/>
      <c r="E93" s="65"/>
      <c r="F93" s="65"/>
      <c r="G93" s="65"/>
      <c r="H93" s="65"/>
      <c r="I93" s="65"/>
      <c r="J93" s="969"/>
      <c r="K93" s="969"/>
      <c r="L93" s="969"/>
      <c r="M93" s="969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125"/>
      <c r="AU93" s="65"/>
      <c r="AV93" s="65"/>
      <c r="AW93" s="65"/>
      <c r="AX93" s="65"/>
      <c r="AY93" s="65"/>
      <c r="AZ93" s="33"/>
      <c r="BA93" s="46"/>
      <c r="BB93" s="335"/>
      <c r="BC93" s="336"/>
      <c r="BD93" s="28"/>
      <c r="BG93" s="24"/>
      <c r="BH93" s="28"/>
    </row>
    <row r="94" spans="1:60" ht="5.15" customHeight="1">
      <c r="A94" s="22"/>
      <c r="B94" s="202"/>
      <c r="C94" s="296"/>
      <c r="D94" s="72"/>
      <c r="E94" s="72"/>
      <c r="F94" s="72"/>
      <c r="G94" s="72"/>
      <c r="H94" s="297"/>
      <c r="I94" s="278"/>
      <c r="J94" s="279"/>
      <c r="K94" s="278"/>
      <c r="L94" s="279"/>
      <c r="M94" s="298"/>
      <c r="N94" s="298"/>
      <c r="O94" s="263"/>
      <c r="P94" s="298"/>
      <c r="Q94" s="263"/>
      <c r="R94" s="298"/>
      <c r="S94" s="72"/>
      <c r="T94" s="72"/>
      <c r="U94" s="72"/>
      <c r="V94" s="72"/>
      <c r="W94" s="72"/>
      <c r="X94" s="297"/>
      <c r="Y94" s="278"/>
      <c r="Z94" s="279"/>
      <c r="AA94" s="278"/>
      <c r="AB94" s="279"/>
      <c r="AC94" s="298"/>
      <c r="AD94" s="298"/>
      <c r="AE94" s="263"/>
      <c r="AF94" s="298"/>
      <c r="AG94" s="263"/>
      <c r="AH94" s="298"/>
      <c r="AI94" s="280"/>
      <c r="AJ94" s="298"/>
      <c r="AK94" s="263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300"/>
      <c r="AW94" s="72"/>
      <c r="AX94" s="72"/>
      <c r="AY94" s="265"/>
      <c r="AZ94" s="33"/>
      <c r="BA94" s="46"/>
      <c r="BB94" s="78"/>
      <c r="BC94" s="34"/>
      <c r="BD94" s="28"/>
    </row>
    <row r="95" spans="1:60" ht="14.15" customHeight="1">
      <c r="A95" s="23"/>
      <c r="B95" s="351"/>
      <c r="C95" s="282"/>
      <c r="D95" s="28" t="s">
        <v>239</v>
      </c>
      <c r="E95" s="28"/>
      <c r="F95" s="28"/>
      <c r="G95" s="28"/>
      <c r="H95" s="468" t="s">
        <v>240</v>
      </c>
      <c r="I95" s="257"/>
      <c r="J95" s="258"/>
      <c r="K95" s="258"/>
      <c r="L95" s="258"/>
      <c r="M95" s="259"/>
      <c r="N95" s="258"/>
      <c r="O95" s="110"/>
      <c r="P95" s="261" t="s">
        <v>32</v>
      </c>
      <c r="Q95" s="25"/>
      <c r="R95" s="469" t="s">
        <v>241</v>
      </c>
      <c r="S95" s="470"/>
      <c r="T95" s="471"/>
      <c r="U95" s="471"/>
      <c r="V95" s="483"/>
      <c r="W95" s="484" t="s">
        <v>253</v>
      </c>
      <c r="X95" s="471"/>
      <c r="Y95" s="473"/>
      <c r="Z95" s="474"/>
      <c r="AB95" s="529" t="s">
        <v>288</v>
      </c>
      <c r="AC95" s="530"/>
      <c r="AD95" s="531"/>
      <c r="AE95" s="531"/>
      <c r="AF95" s="531"/>
      <c r="AG95" s="532"/>
      <c r="AH95" s="531"/>
      <c r="AI95" s="533"/>
      <c r="AJ95" s="532"/>
      <c r="AK95" s="61"/>
      <c r="AL95" s="61"/>
      <c r="AM95" s="533"/>
      <c r="AN95" s="533"/>
      <c r="AO95" s="531"/>
      <c r="AP95" s="534"/>
      <c r="AQ95" s="531"/>
      <c r="AR95" s="531"/>
      <c r="AS95" s="531"/>
      <c r="AT95" s="531"/>
      <c r="AU95" s="535"/>
      <c r="AV95" s="533"/>
      <c r="AW95" s="533"/>
      <c r="AX95" s="70"/>
      <c r="AY95" s="347"/>
      <c r="AZ95" s="33"/>
      <c r="BA95" s="46"/>
      <c r="BB95" s="78"/>
      <c r="BC95" s="34"/>
      <c r="BD95" s="28"/>
      <c r="BG95" s="35"/>
    </row>
    <row r="96" spans="1:60" ht="14.15" customHeight="1">
      <c r="A96" s="23"/>
      <c r="B96" s="351"/>
      <c r="C96" s="282"/>
      <c r="D96" s="28"/>
      <c r="E96" s="28"/>
      <c r="F96" s="28"/>
      <c r="G96" s="28"/>
      <c r="H96" s="469" t="s">
        <v>252</v>
      </c>
      <c r="I96" s="470"/>
      <c r="J96" s="471"/>
      <c r="K96" s="471"/>
      <c r="L96" s="471"/>
      <c r="M96" s="472"/>
      <c r="N96" s="471"/>
      <c r="O96" s="473"/>
      <c r="P96" s="472"/>
      <c r="Q96" s="479"/>
      <c r="R96" s="479"/>
      <c r="S96" s="473"/>
      <c r="T96" s="473"/>
      <c r="U96" s="471"/>
      <c r="V96" s="480"/>
      <c r="W96" s="471"/>
      <c r="X96" s="471"/>
      <c r="Y96" s="471"/>
      <c r="Z96" s="471"/>
      <c r="AA96" s="481"/>
      <c r="AB96" s="473"/>
      <c r="AC96" s="473"/>
      <c r="AD96" s="479"/>
      <c r="AE96" s="471"/>
      <c r="AF96" s="471"/>
      <c r="AG96" s="472"/>
      <c r="AH96" s="471"/>
      <c r="AI96" s="473"/>
      <c r="AJ96" s="472"/>
      <c r="AK96" s="479"/>
      <c r="AL96" s="479"/>
      <c r="AM96" s="473"/>
      <c r="AN96" s="473"/>
      <c r="AO96" s="471"/>
      <c r="AP96" s="480"/>
      <c r="AQ96" s="471"/>
      <c r="AR96" s="471"/>
      <c r="AS96" s="471"/>
      <c r="AT96" s="471"/>
      <c r="AU96" s="481"/>
      <c r="AV96" s="473"/>
      <c r="AW96" s="473"/>
      <c r="AX96" s="482"/>
      <c r="AY96" s="347"/>
      <c r="AZ96" s="33"/>
      <c r="BA96" s="46"/>
      <c r="BB96" s="78"/>
      <c r="BC96" s="34"/>
      <c r="BD96" s="28"/>
      <c r="BG96" s="35"/>
    </row>
    <row r="97" spans="1:60" ht="5.15" customHeight="1">
      <c r="A97" s="22"/>
      <c r="B97" s="202"/>
      <c r="C97" s="315"/>
      <c r="D97" s="73"/>
      <c r="E97" s="73"/>
      <c r="F97" s="73"/>
      <c r="G97" s="73"/>
      <c r="H97" s="316"/>
      <c r="I97" s="275"/>
      <c r="J97" s="273"/>
      <c r="K97" s="275"/>
      <c r="L97" s="273"/>
      <c r="M97" s="317"/>
      <c r="N97" s="317"/>
      <c r="O97" s="270"/>
      <c r="P97" s="317"/>
      <c r="Q97" s="270"/>
      <c r="R97" s="317"/>
      <c r="S97" s="73"/>
      <c r="T97" s="73"/>
      <c r="U97" s="73"/>
      <c r="V97" s="73"/>
      <c r="W97" s="73"/>
      <c r="X97" s="316"/>
      <c r="Y97" s="275"/>
      <c r="Z97" s="273"/>
      <c r="AA97" s="275"/>
      <c r="AB97" s="273"/>
      <c r="AC97" s="317"/>
      <c r="AD97" s="317"/>
      <c r="AE97" s="270"/>
      <c r="AF97" s="317"/>
      <c r="AG97" s="270"/>
      <c r="AH97" s="317"/>
      <c r="AI97" s="276"/>
      <c r="AJ97" s="317"/>
      <c r="AK97" s="270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318"/>
      <c r="AW97" s="73"/>
      <c r="AX97" s="73"/>
      <c r="AY97" s="277"/>
      <c r="AZ97" s="33"/>
      <c r="BA97" s="46"/>
      <c r="BB97" s="78"/>
      <c r="BC97" s="34"/>
      <c r="BD97" s="28"/>
    </row>
    <row r="98" spans="1:60" ht="5.15" customHeight="1">
      <c r="A98" s="22"/>
      <c r="B98" s="202"/>
      <c r="C98" s="476"/>
      <c r="D98" s="72"/>
      <c r="E98" s="72"/>
      <c r="F98" s="72"/>
      <c r="G98" s="72"/>
      <c r="H98" s="297"/>
      <c r="I98" s="278"/>
      <c r="J98" s="279"/>
      <c r="K98" s="278"/>
      <c r="L98" s="279"/>
      <c r="M98" s="298"/>
      <c r="N98" s="298"/>
      <c r="O98" s="263"/>
      <c r="P98" s="298"/>
      <c r="Q98" s="263"/>
      <c r="R98" s="298"/>
      <c r="S98" s="72"/>
      <c r="T98" s="72"/>
      <c r="U98" s="72"/>
      <c r="V98" s="72"/>
      <c r="W98" s="72"/>
      <c r="X98" s="297"/>
      <c r="Y98" s="278"/>
      <c r="Z98" s="279"/>
      <c r="AA98" s="278"/>
      <c r="AB98" s="279"/>
      <c r="AC98" s="298"/>
      <c r="AD98" s="298"/>
      <c r="AE98" s="263"/>
      <c r="AF98" s="298"/>
      <c r="AG98" s="263"/>
      <c r="AH98" s="298"/>
      <c r="AI98" s="280"/>
      <c r="AJ98" s="298"/>
      <c r="AK98" s="263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300"/>
      <c r="AW98" s="72"/>
      <c r="AX98" s="72"/>
      <c r="AY98" s="264"/>
      <c r="AZ98" s="33"/>
      <c r="BA98" s="46"/>
      <c r="BB98" s="78"/>
      <c r="BC98" s="34"/>
      <c r="BD98" s="28"/>
    </row>
    <row r="99" spans="1:60" ht="14.15" customHeight="1">
      <c r="A99" s="22"/>
      <c r="B99" s="202">
        <v>35</v>
      </c>
      <c r="C99" s="62" t="s">
        <v>242</v>
      </c>
      <c r="D99" s="332"/>
      <c r="E99" s="65"/>
      <c r="F99" s="65"/>
      <c r="G99" s="65"/>
      <c r="H99" s="65"/>
      <c r="I99" s="65"/>
      <c r="J99" s="477"/>
      <c r="K99" s="477"/>
      <c r="L99" s="477"/>
      <c r="M99" s="477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125"/>
      <c r="AU99" s="65"/>
      <c r="AV99" s="65"/>
      <c r="AW99" s="65"/>
      <c r="AX99" s="65"/>
      <c r="AY99" s="65"/>
      <c r="AZ99" s="33"/>
      <c r="BA99" s="46"/>
      <c r="BB99" s="335"/>
      <c r="BC99" s="336"/>
      <c r="BD99" s="28"/>
      <c r="BG99" s="24"/>
      <c r="BH99" s="28"/>
    </row>
    <row r="100" spans="1:60" ht="14.15" customHeight="1">
      <c r="A100" s="22"/>
      <c r="B100" s="202">
        <v>35</v>
      </c>
      <c r="C100" s="331"/>
      <c r="D100" s="332"/>
      <c r="E100" s="65"/>
      <c r="F100" s="65"/>
      <c r="G100" s="65"/>
      <c r="H100" s="65"/>
      <c r="I100" s="65"/>
      <c r="J100" s="477"/>
      <c r="K100" s="477"/>
      <c r="L100" s="477"/>
      <c r="M100" s="477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125"/>
      <c r="AU100" s="65"/>
      <c r="AV100" s="65"/>
      <c r="AW100" s="65"/>
      <c r="AX100" s="65"/>
      <c r="AY100" s="65"/>
      <c r="AZ100" s="33"/>
      <c r="BA100" s="46"/>
      <c r="BB100" s="335"/>
      <c r="BC100" s="336"/>
      <c r="BD100" s="28"/>
      <c r="BG100" s="24"/>
      <c r="BH100" s="28"/>
    </row>
    <row r="101" spans="1:60" ht="14.15" customHeight="1">
      <c r="A101" s="22"/>
      <c r="B101" s="202">
        <v>35</v>
      </c>
      <c r="C101" s="346" t="s">
        <v>248</v>
      </c>
      <c r="D101" s="332"/>
      <c r="E101" s="65"/>
      <c r="F101" s="65"/>
      <c r="G101" s="65"/>
      <c r="H101" s="65"/>
      <c r="I101" s="65"/>
      <c r="J101" s="969"/>
      <c r="K101" s="969"/>
      <c r="L101" s="969"/>
      <c r="M101" s="969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125"/>
      <c r="AU101" s="65"/>
      <c r="AV101" s="65"/>
      <c r="AW101" s="65"/>
      <c r="AX101" s="65"/>
      <c r="AY101" s="65"/>
      <c r="AZ101" s="33"/>
      <c r="BA101" s="46"/>
      <c r="BB101" s="335"/>
      <c r="BC101" s="336"/>
      <c r="BD101" s="28"/>
      <c r="BG101" s="24"/>
      <c r="BH101" s="28"/>
    </row>
    <row r="102" spans="1:60" ht="5.15" customHeight="1">
      <c r="A102" s="22"/>
      <c r="B102" s="202"/>
      <c r="C102" s="296"/>
      <c r="D102" s="72"/>
      <c r="E102" s="72"/>
      <c r="F102" s="72"/>
      <c r="G102" s="72"/>
      <c r="H102" s="297"/>
      <c r="I102" s="278"/>
      <c r="J102" s="279"/>
      <c r="K102" s="278"/>
      <c r="L102" s="279"/>
      <c r="M102" s="298"/>
      <c r="N102" s="298"/>
      <c r="O102" s="263"/>
      <c r="P102" s="298"/>
      <c r="Q102" s="263"/>
      <c r="R102" s="298"/>
      <c r="S102" s="72"/>
      <c r="T102" s="72"/>
      <c r="U102" s="72"/>
      <c r="V102" s="72"/>
      <c r="W102" s="72"/>
      <c r="X102" s="297"/>
      <c r="Y102" s="278"/>
      <c r="Z102" s="279"/>
      <c r="AA102" s="278"/>
      <c r="AB102" s="279"/>
      <c r="AC102" s="298"/>
      <c r="AD102" s="298"/>
      <c r="AE102" s="263"/>
      <c r="AF102" s="298"/>
      <c r="AG102" s="263"/>
      <c r="AH102" s="298"/>
      <c r="AI102" s="280"/>
      <c r="AJ102" s="298"/>
      <c r="AK102" s="263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300"/>
      <c r="AW102" s="72"/>
      <c r="AX102" s="72"/>
      <c r="AY102" s="265"/>
      <c r="AZ102" s="33"/>
      <c r="BA102" s="46"/>
      <c r="BB102" s="335"/>
      <c r="BC102" s="336"/>
      <c r="BD102" s="28"/>
    </row>
    <row r="103" spans="1:60" ht="13.5" customHeight="1">
      <c r="A103" s="22"/>
      <c r="B103" s="45"/>
      <c r="C103" s="266"/>
      <c r="D103" s="28" t="s">
        <v>249</v>
      </c>
      <c r="E103" s="28"/>
      <c r="F103" s="28"/>
      <c r="G103" s="28"/>
      <c r="H103" s="24"/>
      <c r="I103" s="24"/>
      <c r="J103" s="24"/>
      <c r="K103" s="24"/>
      <c r="L103" s="24"/>
      <c r="M103" s="127"/>
      <c r="N103" s="75"/>
      <c r="O103" s="84"/>
      <c r="P103" s="84"/>
      <c r="Q103" s="85"/>
      <c r="R103" s="75"/>
      <c r="S103" s="75"/>
      <c r="T103" s="75"/>
      <c r="U103" s="84"/>
      <c r="V103" s="85"/>
      <c r="W103" s="75"/>
      <c r="X103" s="65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65"/>
      <c r="AY103" s="267"/>
      <c r="AZ103" s="33"/>
      <c r="BA103" s="46"/>
      <c r="BB103" s="335"/>
      <c r="BC103" s="336"/>
      <c r="BD103" s="28"/>
      <c r="BE103" s="35"/>
      <c r="BF103" s="35"/>
      <c r="BG103" s="35"/>
    </row>
    <row r="104" spans="1:60" ht="13.5" customHeight="1">
      <c r="A104" s="22"/>
      <c r="B104" s="45"/>
      <c r="C104" s="266"/>
      <c r="D104" s="28"/>
      <c r="E104" s="28"/>
      <c r="F104" s="28"/>
      <c r="G104" s="28"/>
      <c r="H104" s="348" t="s">
        <v>251</v>
      </c>
      <c r="I104" s="131"/>
      <c r="J104" s="131"/>
      <c r="K104" s="131"/>
      <c r="L104" s="132"/>
      <c r="M104" s="132"/>
      <c r="N104" s="106"/>
      <c r="O104" s="133"/>
      <c r="P104" s="134"/>
      <c r="Q104" s="133" t="s">
        <v>250</v>
      </c>
      <c r="R104" s="134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33" t="s">
        <v>43</v>
      </c>
      <c r="AM104" s="134"/>
      <c r="AN104" s="107"/>
      <c r="AO104" s="31"/>
      <c r="AP104" s="31"/>
      <c r="AQ104" s="31"/>
      <c r="AR104" s="31"/>
      <c r="AS104" s="31"/>
      <c r="AT104" s="31"/>
      <c r="AU104" s="31"/>
      <c r="AV104" s="31"/>
      <c r="AW104" s="31"/>
      <c r="AX104" s="65"/>
      <c r="AY104" s="267"/>
      <c r="AZ104" s="33"/>
      <c r="BA104" s="46"/>
      <c r="BB104" s="335"/>
      <c r="BC104" s="336"/>
      <c r="BD104" s="28"/>
      <c r="BE104" s="35"/>
      <c r="BF104" s="35"/>
      <c r="BG104" s="35"/>
    </row>
    <row r="105" spans="1:60" ht="13.5" customHeight="1">
      <c r="A105" s="22"/>
      <c r="B105" s="45"/>
      <c r="C105" s="266"/>
      <c r="D105" s="28"/>
      <c r="E105" s="28"/>
      <c r="F105" s="28"/>
      <c r="G105" s="28"/>
      <c r="H105" s="485" t="s">
        <v>254</v>
      </c>
      <c r="I105" s="137"/>
      <c r="J105" s="137"/>
      <c r="K105" s="137"/>
      <c r="L105" s="137"/>
      <c r="M105" s="137"/>
      <c r="N105" s="137"/>
      <c r="O105" s="350"/>
      <c r="P105" s="139"/>
      <c r="Q105" s="486" t="s">
        <v>53</v>
      </c>
      <c r="R105" s="139"/>
      <c r="S105" s="108"/>
      <c r="T105" s="108"/>
      <c r="U105" s="108"/>
      <c r="V105" s="156"/>
      <c r="W105" s="110"/>
      <c r="X105" s="110"/>
      <c r="Y105" s="156"/>
      <c r="Z105" s="156"/>
      <c r="AA105" s="110"/>
      <c r="AB105" s="110"/>
      <c r="AC105" s="37"/>
      <c r="AD105" s="37"/>
      <c r="AE105" s="37"/>
      <c r="AF105" s="37"/>
      <c r="AG105" s="37"/>
      <c r="AH105" s="37"/>
      <c r="AI105" s="37"/>
      <c r="AJ105" s="37"/>
      <c r="AK105" s="97"/>
      <c r="AL105" s="140"/>
      <c r="AM105" s="141"/>
      <c r="AN105" s="142"/>
      <c r="AO105" s="31"/>
      <c r="AP105" s="31"/>
      <c r="AQ105" s="31"/>
      <c r="AR105" s="31"/>
      <c r="AS105" s="31"/>
      <c r="AT105" s="31"/>
      <c r="AU105" s="31"/>
      <c r="AV105" s="31"/>
      <c r="AW105" s="31"/>
      <c r="AX105" s="65"/>
      <c r="AY105" s="267"/>
      <c r="AZ105" s="33"/>
      <c r="BA105" s="46"/>
      <c r="BB105" s="335"/>
      <c r="BC105" s="336"/>
      <c r="BD105" s="28"/>
      <c r="BE105" s="35"/>
      <c r="BF105" s="35"/>
      <c r="BG105" s="35"/>
    </row>
    <row r="106" spans="1:60" ht="13.5" customHeight="1">
      <c r="A106" s="22"/>
      <c r="B106" s="45"/>
      <c r="C106" s="266"/>
      <c r="D106" s="28"/>
      <c r="E106" s="28"/>
      <c r="F106" s="28"/>
      <c r="G106" s="28"/>
      <c r="H106" s="485" t="s">
        <v>255</v>
      </c>
      <c r="I106" s="137"/>
      <c r="J106" s="137"/>
      <c r="K106" s="137"/>
      <c r="L106" s="137"/>
      <c r="M106" s="137"/>
      <c r="N106" s="137"/>
      <c r="O106" s="350"/>
      <c r="P106" s="139"/>
      <c r="Q106" s="486" t="s">
        <v>53</v>
      </c>
      <c r="R106" s="139"/>
      <c r="S106" s="108"/>
      <c r="T106" s="108"/>
      <c r="U106" s="108"/>
      <c r="V106" s="156"/>
      <c r="W106" s="110"/>
      <c r="X106" s="110"/>
      <c r="Y106" s="156"/>
      <c r="Z106" s="156"/>
      <c r="AA106" s="110"/>
      <c r="AB106" s="110"/>
      <c r="AC106" s="37"/>
      <c r="AD106" s="37"/>
      <c r="AE106" s="37"/>
      <c r="AF106" s="37"/>
      <c r="AG106" s="37"/>
      <c r="AH106" s="37"/>
      <c r="AI106" s="37"/>
      <c r="AJ106" s="37"/>
      <c r="AK106" s="97"/>
      <c r="AL106" s="140"/>
      <c r="AM106" s="141"/>
      <c r="AN106" s="142"/>
      <c r="AO106" s="31"/>
      <c r="AP106" s="31"/>
      <c r="AQ106" s="31"/>
      <c r="AR106" s="31"/>
      <c r="AS106" s="31"/>
      <c r="AT106" s="31"/>
      <c r="AU106" s="31"/>
      <c r="AV106" s="31"/>
      <c r="AW106" s="31"/>
      <c r="AX106" s="65"/>
      <c r="AY106" s="267"/>
      <c r="AZ106" s="33"/>
      <c r="BA106" s="46"/>
      <c r="BB106" s="335"/>
      <c r="BC106" s="336"/>
      <c r="BD106" s="28"/>
      <c r="BE106" s="35"/>
      <c r="BF106" s="35"/>
      <c r="BG106" s="35"/>
    </row>
    <row r="107" spans="1:60" ht="13.5" customHeight="1">
      <c r="A107" s="22"/>
      <c r="B107" s="45"/>
      <c r="C107" s="266"/>
      <c r="D107" s="28"/>
      <c r="E107" s="28"/>
      <c r="F107" s="28"/>
      <c r="G107" s="28"/>
      <c r="H107" s="485" t="s">
        <v>256</v>
      </c>
      <c r="I107" s="137"/>
      <c r="J107" s="137"/>
      <c r="K107" s="137"/>
      <c r="L107" s="137"/>
      <c r="M107" s="137"/>
      <c r="N107" s="137"/>
      <c r="O107" s="350"/>
      <c r="P107" s="139"/>
      <c r="Q107" s="486" t="s">
        <v>53</v>
      </c>
      <c r="R107" s="139"/>
      <c r="S107" s="108"/>
      <c r="T107" s="108"/>
      <c r="U107" s="108"/>
      <c r="V107" s="156"/>
      <c r="W107" s="110"/>
      <c r="X107" s="110"/>
      <c r="Y107" s="156"/>
      <c r="Z107" s="156"/>
      <c r="AA107" s="110"/>
      <c r="AB107" s="110"/>
      <c r="AC107" s="37"/>
      <c r="AD107" s="37"/>
      <c r="AE107" s="37"/>
      <c r="AF107" s="37"/>
      <c r="AG107" s="37"/>
      <c r="AH107" s="37"/>
      <c r="AI107" s="37"/>
      <c r="AJ107" s="37"/>
      <c r="AK107" s="97"/>
      <c r="AL107" s="140"/>
      <c r="AM107" s="141"/>
      <c r="AN107" s="142"/>
      <c r="AO107" s="31"/>
      <c r="AP107" s="31"/>
      <c r="AQ107" s="31"/>
      <c r="AR107" s="31"/>
      <c r="AS107" s="31"/>
      <c r="AT107" s="31"/>
      <c r="AU107" s="31"/>
      <c r="AV107" s="31"/>
      <c r="AW107" s="31"/>
      <c r="AX107" s="65"/>
      <c r="AY107" s="267"/>
      <c r="AZ107" s="33"/>
      <c r="BA107" s="46"/>
      <c r="BB107" s="335"/>
      <c r="BC107" s="336"/>
      <c r="BD107" s="28"/>
      <c r="BE107" s="35"/>
      <c r="BF107" s="35"/>
      <c r="BG107" s="35"/>
    </row>
    <row r="108" spans="1:60" ht="5.15" customHeight="1">
      <c r="A108" s="22"/>
      <c r="B108" s="202"/>
      <c r="C108" s="315"/>
      <c r="D108" s="73"/>
      <c r="E108" s="73"/>
      <c r="F108" s="73"/>
      <c r="G108" s="73"/>
      <c r="H108" s="316"/>
      <c r="I108" s="275"/>
      <c r="J108" s="273"/>
      <c r="K108" s="275"/>
      <c r="L108" s="273"/>
      <c r="M108" s="317"/>
      <c r="N108" s="317"/>
      <c r="O108" s="270"/>
      <c r="P108" s="317"/>
      <c r="Q108" s="270"/>
      <c r="R108" s="317"/>
      <c r="S108" s="73"/>
      <c r="T108" s="73"/>
      <c r="U108" s="73"/>
      <c r="V108" s="73"/>
      <c r="W108" s="73"/>
      <c r="X108" s="316"/>
      <c r="Y108" s="275"/>
      <c r="Z108" s="273"/>
      <c r="AA108" s="275"/>
      <c r="AB108" s="273"/>
      <c r="AC108" s="317"/>
      <c r="AD108" s="317"/>
      <c r="AE108" s="270"/>
      <c r="AF108" s="317"/>
      <c r="AG108" s="270"/>
      <c r="AH108" s="317"/>
      <c r="AI108" s="276"/>
      <c r="AJ108" s="317"/>
      <c r="AK108" s="270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318"/>
      <c r="AW108" s="73"/>
      <c r="AX108" s="73"/>
      <c r="AY108" s="277"/>
      <c r="AZ108" s="33"/>
      <c r="BA108" s="46"/>
      <c r="BB108" s="335"/>
      <c r="BC108" s="336"/>
      <c r="BD108" s="28"/>
    </row>
    <row r="109" spans="1:60" ht="14.15" customHeight="1">
      <c r="A109" s="22"/>
      <c r="B109" s="202"/>
      <c r="C109" s="331"/>
      <c r="D109" s="332"/>
      <c r="E109" s="65"/>
      <c r="F109" s="65"/>
      <c r="G109" s="65"/>
      <c r="H109" s="65"/>
      <c r="I109" s="65"/>
      <c r="J109" s="354"/>
      <c r="K109" s="354"/>
      <c r="L109" s="354"/>
      <c r="M109" s="354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125"/>
      <c r="AU109" s="65"/>
      <c r="AV109" s="65"/>
      <c r="AW109" s="65"/>
      <c r="AX109" s="65"/>
      <c r="AY109" s="65"/>
      <c r="AZ109" s="33"/>
      <c r="BA109" s="46"/>
      <c r="BB109" s="335"/>
      <c r="BC109" s="336"/>
      <c r="BD109" s="28"/>
      <c r="BG109" s="24"/>
      <c r="BH109" s="28"/>
    </row>
    <row r="110" spans="1:60" ht="13.5" customHeight="1">
      <c r="A110" s="22"/>
      <c r="B110" s="202">
        <v>36</v>
      </c>
      <c r="C110" s="331"/>
      <c r="D110" s="332"/>
      <c r="E110" s="65"/>
      <c r="F110" s="65"/>
      <c r="G110" s="65"/>
      <c r="H110" s="65"/>
      <c r="I110" s="65"/>
      <c r="J110" s="969"/>
      <c r="K110" s="969"/>
      <c r="L110" s="969"/>
      <c r="M110" s="969"/>
      <c r="N110" s="63"/>
      <c r="O110" s="65"/>
      <c r="P110" s="65"/>
      <c r="Q110" s="65"/>
      <c r="R110" s="28"/>
      <c r="S110" s="28"/>
      <c r="T110" s="31"/>
      <c r="U110" s="31"/>
      <c r="V110" s="31"/>
      <c r="W110" s="31"/>
      <c r="X110" s="31"/>
      <c r="Y110" s="44"/>
      <c r="Z110" s="31"/>
      <c r="AA110" s="28"/>
      <c r="AB110" s="44"/>
      <c r="AC110" s="31"/>
      <c r="AD110" s="28"/>
      <c r="AE110" s="44"/>
      <c r="AF110" s="28"/>
      <c r="AG110" s="116"/>
      <c r="AH110" s="41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  <c r="AX110" s="116"/>
      <c r="AY110" s="116"/>
      <c r="AZ110" s="33"/>
      <c r="BA110" s="46"/>
      <c r="BB110" s="335"/>
      <c r="BC110" s="336"/>
      <c r="BD110" s="28"/>
      <c r="BG110" s="24"/>
      <c r="BH110" s="28"/>
    </row>
    <row r="111" spans="1:60" ht="13.5" customHeight="1">
      <c r="A111" s="22"/>
      <c r="B111" s="202">
        <v>37</v>
      </c>
      <c r="C111" s="331"/>
      <c r="D111" s="332"/>
      <c r="E111" s="65"/>
      <c r="F111" s="65"/>
      <c r="G111" s="65"/>
      <c r="H111" s="65"/>
      <c r="I111" s="65"/>
      <c r="J111" s="969"/>
      <c r="K111" s="969"/>
      <c r="L111" s="969"/>
      <c r="M111" s="969"/>
      <c r="N111" s="193"/>
      <c r="O111" s="195"/>
      <c r="P111" s="193"/>
      <c r="Q111" s="194"/>
      <c r="R111" s="194"/>
      <c r="S111" s="194"/>
      <c r="T111" s="196"/>
      <c r="U111" s="196"/>
      <c r="V111" s="196"/>
      <c r="W111" s="196"/>
      <c r="X111" s="196"/>
      <c r="Y111" s="195"/>
      <c r="Z111" s="196"/>
      <c r="AA111" s="194"/>
      <c r="AB111" s="195"/>
      <c r="AC111" s="196"/>
      <c r="AD111" s="194"/>
      <c r="AE111" s="195"/>
      <c r="AF111" s="194"/>
      <c r="AG111" s="194"/>
      <c r="AH111" s="195"/>
      <c r="AI111" s="194"/>
      <c r="AJ111" s="194"/>
      <c r="AK111" s="197"/>
      <c r="AL111" s="194"/>
      <c r="AM111" s="194"/>
      <c r="AN111" s="194"/>
      <c r="AO111" s="194"/>
      <c r="AP111" s="194"/>
      <c r="AQ111" s="194"/>
      <c r="AR111" s="194"/>
      <c r="AS111" s="194"/>
      <c r="AT111" s="194"/>
      <c r="AU111" s="194"/>
      <c r="AV111" s="194"/>
      <c r="AW111" s="194"/>
      <c r="AX111" s="194"/>
      <c r="AY111" s="194"/>
      <c r="AZ111" s="33"/>
      <c r="BA111" s="46"/>
      <c r="BB111" s="335"/>
      <c r="BC111" s="336"/>
      <c r="BD111" s="28"/>
      <c r="BG111" s="24"/>
      <c r="BH111" s="28"/>
    </row>
    <row r="112" spans="1:60">
      <c r="A112" s="22"/>
      <c r="B112" s="32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81"/>
      <c r="T112" s="81"/>
      <c r="U112" s="81"/>
      <c r="V112" s="81"/>
      <c r="W112" s="28"/>
      <c r="X112" s="28"/>
      <c r="Y112" s="81"/>
      <c r="Z112" s="81"/>
      <c r="AA112" s="28"/>
      <c r="AB112" s="28"/>
      <c r="AC112" s="28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31"/>
      <c r="AZ112" s="33"/>
      <c r="BA112" s="46"/>
      <c r="BB112" s="335"/>
      <c r="BC112" s="336"/>
    </row>
    <row r="113" spans="1:55">
      <c r="A113" s="155"/>
      <c r="B113" s="95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56"/>
      <c r="T113" s="156"/>
      <c r="U113" s="156"/>
      <c r="V113" s="156"/>
      <c r="W113" s="110"/>
      <c r="X113" s="110"/>
      <c r="Y113" s="156"/>
      <c r="Z113" s="156"/>
      <c r="AA113" s="110"/>
      <c r="AB113" s="110"/>
      <c r="AC113" s="110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95"/>
      <c r="AZ113" s="95"/>
      <c r="BA113" s="157"/>
      <c r="BB113" s="355"/>
      <c r="BC113" s="356"/>
    </row>
  </sheetData>
  <mergeCells count="107">
    <mergeCell ref="AN1:AR1"/>
    <mergeCell ref="AS1:AU1"/>
    <mergeCell ref="AV1:AY1"/>
    <mergeCell ref="AZ1:BC1"/>
    <mergeCell ref="A2:H2"/>
    <mergeCell ref="I2:L2"/>
    <mergeCell ref="M2:W2"/>
    <mergeCell ref="AK2:AM2"/>
    <mergeCell ref="AN2:AR2"/>
    <mergeCell ref="AS2:AU2"/>
    <mergeCell ref="A1:H1"/>
    <mergeCell ref="I1:L1"/>
    <mergeCell ref="M1:W1"/>
    <mergeCell ref="X1:Z2"/>
    <mergeCell ref="AA1:AJ2"/>
    <mergeCell ref="AK1:AM1"/>
    <mergeCell ref="AV2:AY2"/>
    <mergeCell ref="AZ2:BC3"/>
    <mergeCell ref="A3:H3"/>
    <mergeCell ref="I3:L3"/>
    <mergeCell ref="M3:W3"/>
    <mergeCell ref="X3:Z3"/>
    <mergeCell ref="AA3:AR3"/>
    <mergeCell ref="AS3:AU3"/>
    <mergeCell ref="AV3:AY3"/>
    <mergeCell ref="A5:BA5"/>
    <mergeCell ref="BB5:BC5"/>
    <mergeCell ref="R51:U51"/>
    <mergeCell ref="Z51:AD51"/>
    <mergeCell ref="AI51:AL51"/>
    <mergeCell ref="AM51:AP51"/>
    <mergeCell ref="AQ51:AT51"/>
    <mergeCell ref="AU51:AX51"/>
    <mergeCell ref="AY51:BB51"/>
    <mergeCell ref="H42:L42"/>
    <mergeCell ref="H43:L43"/>
    <mergeCell ref="BC51:BF51"/>
    <mergeCell ref="BG51:BI51"/>
    <mergeCell ref="R52:U52"/>
    <mergeCell ref="Z52:AD52"/>
    <mergeCell ref="AI52:AL52"/>
    <mergeCell ref="AM52:AP52"/>
    <mergeCell ref="AQ52:AT52"/>
    <mergeCell ref="AU52:AX52"/>
    <mergeCell ref="AY52:BB52"/>
    <mergeCell ref="BC52:BF52"/>
    <mergeCell ref="BQ64:BT64"/>
    <mergeCell ref="BU64:BX64"/>
    <mergeCell ref="BY64:CA64"/>
    <mergeCell ref="AW64:AZ64"/>
    <mergeCell ref="BA64:BD64"/>
    <mergeCell ref="BE64:BH64"/>
    <mergeCell ref="BI64:BL64"/>
    <mergeCell ref="BM64:BP64"/>
    <mergeCell ref="BG52:BI52"/>
    <mergeCell ref="BM58:BP58"/>
    <mergeCell ref="AS64:AV64"/>
    <mergeCell ref="AS72:AV72"/>
    <mergeCell ref="AW72:AZ72"/>
    <mergeCell ref="BA72:BD72"/>
    <mergeCell ref="X68:AA68"/>
    <mergeCell ref="AB68:AE68"/>
    <mergeCell ref="BA68:BD68"/>
    <mergeCell ref="X64:AA64"/>
    <mergeCell ref="AB64:AE64"/>
    <mergeCell ref="AF64:AJ64"/>
    <mergeCell ref="AK64:AN64"/>
    <mergeCell ref="AO64:AR64"/>
    <mergeCell ref="X67:AA67"/>
    <mergeCell ref="AB67:AE67"/>
    <mergeCell ref="AF67:AJ67"/>
    <mergeCell ref="AK67:AN67"/>
    <mergeCell ref="AO67:AR67"/>
    <mergeCell ref="AS67:AV67"/>
    <mergeCell ref="AW67:AZ67"/>
    <mergeCell ref="BA67:BD67"/>
    <mergeCell ref="X71:AA71"/>
    <mergeCell ref="AB71:AE71"/>
    <mergeCell ref="J110:M110"/>
    <mergeCell ref="J111:M111"/>
    <mergeCell ref="J77:M77"/>
    <mergeCell ref="J84:M84"/>
    <mergeCell ref="BE72:BH72"/>
    <mergeCell ref="BD73:BF73"/>
    <mergeCell ref="J85:M85"/>
    <mergeCell ref="J87:M87"/>
    <mergeCell ref="J93:M93"/>
    <mergeCell ref="J101:M101"/>
    <mergeCell ref="X72:AA72"/>
    <mergeCell ref="AB72:AE72"/>
    <mergeCell ref="AF72:AJ72"/>
    <mergeCell ref="AK72:AN72"/>
    <mergeCell ref="AO72:AR72"/>
    <mergeCell ref="BE67:BH67"/>
    <mergeCell ref="BE68:BH68"/>
    <mergeCell ref="AF68:AJ68"/>
    <mergeCell ref="AK68:AN68"/>
    <mergeCell ref="AO68:AR68"/>
    <mergeCell ref="AS68:AV68"/>
    <mergeCell ref="AW68:AZ68"/>
    <mergeCell ref="AS71:AV71"/>
    <mergeCell ref="AW71:AZ71"/>
    <mergeCell ref="BA71:BD71"/>
    <mergeCell ref="BE71:BH71"/>
    <mergeCell ref="AF71:AJ71"/>
    <mergeCell ref="AK71:AN71"/>
    <mergeCell ref="AO71:AR71"/>
  </mergeCells>
  <phoneticPr fontId="57"/>
  <conditionalFormatting sqref="AK67:AV68">
    <cfRule type="cellIs" dxfId="5" priority="3" operator="lessThan">
      <formula>0</formula>
    </cfRule>
  </conditionalFormatting>
  <conditionalFormatting sqref="AK71:AV72">
    <cfRule type="cellIs" dxfId="4" priority="2" operator="lessThan">
      <formula>0</formula>
    </cfRule>
  </conditionalFormatting>
  <conditionalFormatting sqref="BA64:BD64">
    <cfRule type="cellIs" dxfId="3" priority="15" operator="lessThan">
      <formula>0</formula>
    </cfRule>
  </conditionalFormatting>
  <conditionalFormatting sqref="BE67:BH68">
    <cfRule type="cellIs" dxfId="2" priority="4" operator="lessThan">
      <formula>0.3</formula>
    </cfRule>
  </conditionalFormatting>
  <conditionalFormatting sqref="BE71:BH72">
    <cfRule type="cellIs" dxfId="1" priority="1" operator="lessThan">
      <formula>0.3</formula>
    </cfRule>
  </conditionalFormatting>
  <conditionalFormatting sqref="BM64:BP64">
    <cfRule type="cellIs" dxfId="0" priority="10" operator="lessThan">
      <formula>0.3</formula>
    </cfRule>
  </conditionalFormatting>
  <pageMargins left="0.39370078740157483" right="0.39370078740157483" top="0.39370078740157483" bottom="0.19685039370078741" header="0.19685039370078741" footer="0.19685039370078741"/>
  <pageSetup paperSize="9" scale="68" fitToHeight="6" orientation="portrait" r:id="rId1"/>
  <headerFooter>
    <oddFooter>&amp;L&amp;"-,太字"&amp;12©2016 Amazing-Activity Corporation All Rights Reserved&amp;C- &amp;P &amp; -&amp;R&amp;F_&amp;A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13</vt:i4>
      </vt:variant>
    </vt:vector>
  </HeadingPairs>
  <TitlesOfParts>
    <vt:vector size="27" baseType="lpstr">
      <vt:lpstr>表紙</vt:lpstr>
      <vt:lpstr>変更来歴</vt:lpstr>
      <vt:lpstr>化学物質データ申請確認画面</vt:lpstr>
      <vt:lpstr>画面項目</vt:lpstr>
      <vt:lpstr>処理詳細</vt:lpstr>
      <vt:lpstr>出力編集仕様</vt:lpstr>
      <vt:lpstr>ダウンロードCSVファイルについて</vt:lpstr>
      <vt:lpstr>選択画面</vt:lpstr>
      <vt:lpstr>円(PPM)</vt:lpstr>
      <vt:lpstr>円(技術原計)</vt:lpstr>
      <vt:lpstr>円(コリア原計)</vt:lpstr>
      <vt:lpstr>外貨(PPM)</vt:lpstr>
      <vt:lpstr>外貨(技術原計)</vt:lpstr>
      <vt:lpstr>外貨(コリア原計)</vt:lpstr>
      <vt:lpstr>ダウンロードCSVファイルについて!Print_Area</vt:lpstr>
      <vt:lpstr>'円(PPM)'!Print_Area</vt:lpstr>
      <vt:lpstr>'円(コリア原計)'!Print_Area</vt:lpstr>
      <vt:lpstr>'円(技術原計)'!Print_Area</vt:lpstr>
      <vt:lpstr>化学物質データ申請確認画面!Print_Area</vt:lpstr>
      <vt:lpstr>画面項目!Print_Area</vt:lpstr>
      <vt:lpstr>'外貨(PPM)'!Print_Area</vt:lpstr>
      <vt:lpstr>'外貨(コリア原計)'!Print_Area</vt:lpstr>
      <vt:lpstr>'外貨(技術原計)'!Print_Area</vt:lpstr>
      <vt:lpstr>出力編集仕様!Print_Area</vt:lpstr>
      <vt:lpstr>処理詳細!Print_Area</vt:lpstr>
      <vt:lpstr>選択画面!Print_Area</vt:lpstr>
      <vt:lpstr>表紙!Print_Area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kenmotsu</dc:creator>
  <cp:lastModifiedBy>アクティビティ アメージング</cp:lastModifiedBy>
  <cp:lastPrinted>2021-03-22T08:18:14Z</cp:lastPrinted>
  <dcterms:created xsi:type="dcterms:W3CDTF">2016-02-08T08:47:20Z</dcterms:created>
  <dcterms:modified xsi:type="dcterms:W3CDTF">2026-06-17T06:34:31Z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a0e77a3f-1e47-464d-ae6f-7268240382e6</vt:lpwstr>
  </property>
</Properties>
</file>