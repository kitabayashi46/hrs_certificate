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tmp" ContentType="image/png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5.xml" ContentType="application/vnd.openxmlformats-officedocument.drawing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A1040\Documents\古竹作成\基本設計書\"/>
    </mc:Choice>
  </mc:AlternateContent>
  <xr:revisionPtr revIDLastSave="0" documentId="13_ncr:1_{72CF3640-96D9-4299-BDC1-1E19E260E08E}" xr6:coauthVersionLast="47" xr6:coauthVersionMax="47" xr10:uidLastSave="{00000000-0000-0000-0000-000000000000}"/>
  <bookViews>
    <workbookView xWindow="28680" yWindow="-120" windowWidth="29040" windowHeight="15720" tabRatio="859" xr2:uid="{00000000-000D-0000-FFFF-FFFF00000000}"/>
  </bookViews>
  <sheets>
    <sheet name="表紙" sheetId="2" r:id="rId1"/>
    <sheet name="変更来歴" sheetId="3" r:id="rId2"/>
    <sheet name="管理者申請ログ確認画面" sheetId="73" r:id="rId3"/>
    <sheet name="化学物質データ申請完了画面(仮)" sheetId="67" state="hidden" r:id="rId4"/>
    <sheet name="管理者申請ログ確認画面(仮)" sheetId="74" state="hidden" r:id="rId5"/>
    <sheet name="画面項目" sheetId="71" r:id="rId6"/>
    <sheet name="画面状態" sheetId="72" state="hidden" r:id="rId7"/>
    <sheet name="外貨(コリア原計)" sheetId="66" state="hidden" r:id="rId8"/>
  </sheets>
  <definedNames>
    <definedName name="_2a1_" hidden="1">{"'Sheet1'!$A$3:$I$11"}</definedName>
    <definedName name="_a1" hidden="1">{"'Sheet1'!$A$3:$I$11"}</definedName>
    <definedName name="_xlnm._FilterDatabase" localSheetId="6" hidden="1">画面状態!$A$1:$AD$9</definedName>
    <definedName name="_Order1" hidden="1">255</definedName>
    <definedName name="a" hidden="1">{"'Sheet1'!$A$3:$I$11"}</definedName>
    <definedName name="AAA" hidden="1">{"'Sheet1'!$A$3:$I$11"}</definedName>
    <definedName name="aaaa" hidden="1">{"'Sheet1'!$A$3:$I$11"}</definedName>
    <definedName name="b" hidden="1">{"'Sheet1'!$A$3:$I$11"}</definedName>
    <definedName name="bb" hidden="1">{"'Sheet1'!$A$3:$I$11"}</definedName>
    <definedName name="bbb" hidden="1">{"'Sheet1'!$A$3:$I$11"}</definedName>
    <definedName name="bbbb" hidden="1">{"'Sheet1'!$A$3:$I$11"}</definedName>
    <definedName name="f" hidden="1">{"'Sheet1'!$A$3:$I$11"}</definedName>
    <definedName name="ff" hidden="1">{"'Sheet1'!$A$3:$I$11"}</definedName>
    <definedName name="HTML_CodePage" hidden="1">932</definedName>
    <definedName name="HTML_Control" hidden="1">{"'Sheet1'!$A$3:$I$11"}</definedName>
    <definedName name="HTML_Control2" hidden="1">{"'Sheet1'!$A$3:$I$11"}</definedName>
    <definedName name="HTML_Description" hidden="1">""</definedName>
    <definedName name="HTML_Email" hidden="1">""</definedName>
    <definedName name="HTML_Header" hidden="1">"Sheet1"</definedName>
    <definedName name="HTML_LastUpdate" hidden="1">"99/10/16"</definedName>
    <definedName name="HTML_LineAfter" hidden="1">FALSE</definedName>
    <definedName name="HTML_LineBefore" hidden="1">FALSE</definedName>
    <definedName name="HTML_Name" hidden="1">"清水秀樹"</definedName>
    <definedName name="HTML_OBDlg2" hidden="1">TRUE</definedName>
    <definedName name="HTML_OBDlg4" hidden="1">TRUE</definedName>
    <definedName name="HTML_OS" hidden="1">0</definedName>
    <definedName name="HTML_PathFile" hidden="1">"C:\My Documents\"</definedName>
    <definedName name="HTML_Title" hidden="1">"機能関連図"</definedName>
    <definedName name="i" hidden="1">{"'Sheet1'!$A$3:$I$11"}</definedName>
    <definedName name="IBD00110チェック仕様" hidden="1">{"'Sheet1'!$A$3:$I$11"}</definedName>
    <definedName name="IBE09000チェック仕様" hidden="1">{"'Sheet1'!$A$3:$I$11"}</definedName>
    <definedName name="ooo" hidden="1">{"'Sheet1'!$A$3:$I$11"}</definedName>
    <definedName name="_xlnm.Print_Area" localSheetId="3">'化学物質データ申請完了画面(仮)'!$A$1:$BC$54</definedName>
    <definedName name="_xlnm.Print_Area" localSheetId="5">画面項目!$A$1:$CJ$38</definedName>
    <definedName name="_xlnm.Print_Area" localSheetId="6">画面状態!$A$1:$CB$12</definedName>
    <definedName name="_xlnm.Print_Area" localSheetId="7">'外貨(コリア原計)'!$A$1:$BC$113</definedName>
    <definedName name="_xlnm.Print_Area" localSheetId="2">管理者申請ログ確認画面!$A$1:$BC$59</definedName>
    <definedName name="_xlnm.Print_Area" localSheetId="4">'管理者申請ログ確認画面(仮)'!$A$1:$BC$63</definedName>
    <definedName name="_xlnm.Print_Area" localSheetId="0">表紙!$A$1:$I$36</definedName>
    <definedName name="s" hidden="1">{"'Sheet1'!$A$3:$I$11"}</definedName>
    <definedName name="txtDatabaseName">"テキスト 8"</definedName>
    <definedName name="txtTableName">"テキスト 2"</definedName>
    <definedName name="txtUserName">"テキスト 4"</definedName>
    <definedName name="vvvv" hidden="1">{"'Sheet1'!$A$3:$I$11"}</definedName>
    <definedName name="wew" hidden="1">{"'Sheet1'!$A$3:$I$11"}</definedName>
    <definedName name="ああ" hidden="1">{"'Sheet1'!$A$3:$I$11"}</definedName>
    <definedName name="ささ" hidden="1">{"'Sheet1'!$A$3:$I$11"}</definedName>
    <definedName name="仮単価発注" hidden="1">{"'Sheet1'!$A$3:$I$11"}</definedName>
    <definedName name="荷札イレギュラー" hidden="1">{"'Sheet1'!$A$3:$I$11"}</definedName>
    <definedName name="画面遷移new" localSheetId="5" hidden="1">{"'画面仕様'!$C$22:$BY$40","'画面仕様'!$C$28:$BY$39"}</definedName>
    <definedName name="画面遷移new" localSheetId="6" hidden="1">{"'画面仕様'!$C$22:$BY$40","'画面仕様'!$C$28:$BY$39"}</definedName>
    <definedName name="画面遷移new" hidden="1">{"'画面仕様'!$C$22:$BY$40","'画面仕様'!$C$28:$BY$39"}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74" l="1"/>
  <c r="AA3" i="74"/>
  <c r="M3" i="74"/>
  <c r="A3" i="74"/>
  <c r="AZ2" i="74"/>
  <c r="M2" i="74"/>
  <c r="AV1" i="74"/>
  <c r="AN1" i="74"/>
  <c r="AA1" i="74"/>
  <c r="M1" i="74"/>
  <c r="AV3" i="74"/>
  <c r="AV2" i="74"/>
  <c r="AN2" i="74"/>
  <c r="A5" i="73" l="1"/>
  <c r="AA3" i="73"/>
  <c r="M3" i="73"/>
  <c r="A3" i="73"/>
  <c r="AZ2" i="73"/>
  <c r="M2" i="73"/>
  <c r="AV1" i="73"/>
  <c r="AN1" i="73"/>
  <c r="AA1" i="73"/>
  <c r="M1" i="73"/>
  <c r="AV3" i="73"/>
  <c r="AV2" i="73"/>
  <c r="AN2" i="73"/>
  <c r="A5" i="67" l="1"/>
  <c r="AA3" i="67"/>
  <c r="M3" i="67"/>
  <c r="A3" i="67"/>
  <c r="AZ2" i="67"/>
  <c r="M2" i="67"/>
  <c r="AV1" i="67"/>
  <c r="AN1" i="67"/>
  <c r="AA1" i="67"/>
  <c r="M1" i="67"/>
  <c r="BM58" i="66"/>
  <c r="AV2" i="67"/>
  <c r="AN2" i="67"/>
  <c r="AV3" i="67"/>
  <c r="BE64" i="66" l="1"/>
  <c r="AS64" i="66" l="1"/>
  <c r="D64" i="66"/>
  <c r="BA64" i="66" l="1"/>
  <c r="AB64" i="66"/>
  <c r="BM64" i="66" s="1"/>
  <c r="CB64" i="66"/>
  <c r="BU64" i="66"/>
  <c r="BQ64" i="66"/>
  <c r="BI64" i="66"/>
  <c r="AO64" i="66"/>
  <c r="AW64" i="66" s="1"/>
  <c r="AK64" i="66"/>
  <c r="AF64" i="66"/>
  <c r="X64" i="66"/>
  <c r="T64" i="66"/>
  <c r="J64" i="66"/>
  <c r="F64" i="66"/>
  <c r="BY64" i="66"/>
  <c r="A5" i="66"/>
  <c r="AA3" i="66"/>
  <c r="M3" i="66"/>
  <c r="A3" i="66"/>
  <c r="AZ2" i="66"/>
  <c r="M2" i="66"/>
  <c r="AV1" i="66"/>
  <c r="AN1" i="66"/>
  <c r="AA1" i="66"/>
  <c r="M1" i="66"/>
  <c r="AV2" i="66"/>
  <c r="AV3" i="66"/>
  <c r="AN2" i="66"/>
  <c r="AS71" i="66" l="1"/>
  <c r="AB71" i="66"/>
  <c r="X71" i="66"/>
  <c r="AF71" i="66" s="1"/>
  <c r="AK71" i="66" s="1"/>
  <c r="X67" i="66"/>
  <c r="AS67" i="66"/>
  <c r="AB67" i="66"/>
  <c r="AS68" i="66"/>
  <c r="AB68" i="66"/>
  <c r="X68" i="66"/>
  <c r="AS72" i="66"/>
  <c r="AB72" i="66"/>
  <c r="X72" i="66"/>
  <c r="AO67" i="66" l="1"/>
  <c r="AO71" i="66"/>
  <c r="AF67" i="66"/>
  <c r="AK67" i="66" s="1"/>
  <c r="AF72" i="66"/>
  <c r="AK72" i="66" s="1"/>
  <c r="AF68" i="66"/>
  <c r="AK68" i="66" s="1"/>
  <c r="AO68" i="66"/>
  <c r="AO72" i="66"/>
  <c r="AT1" i="3" l="1"/>
  <c r="AT3" i="3"/>
  <c r="B22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AF2" authorId="0" shapeId="0" xr:uid="{F561D017-3A61-43C4-A984-328E71636656}">
      <text>
        <r>
          <rPr>
            <sz val="9"/>
            <color indexed="81"/>
            <rFont val="ＭＳ Ｐゴシック"/>
            <family val="3"/>
            <charset val="128"/>
          </rPr>
          <t>OOTBは記入不要</t>
        </r>
      </text>
    </comment>
    <comment ref="Q3" authorId="0" shapeId="0" xr:uid="{A4EDC6A9-280F-4A66-A656-197BAE733652}">
      <text>
        <r>
          <rPr>
            <sz val="9"/>
            <color indexed="81"/>
            <rFont val="ＭＳ Ｐゴシック"/>
            <family val="3"/>
            <charset val="128"/>
          </rPr>
          <t>画面項目のコンポーネントの種類</t>
        </r>
      </text>
    </comment>
    <comment ref="X3" authorId="0" shapeId="0" xr:uid="{24BFC432-417E-4E52-AFF7-1491EEC8A00A}">
      <text>
        <r>
          <rPr>
            <sz val="9"/>
            <color indexed="81"/>
            <rFont val="ＭＳ Ｐゴシック"/>
            <family val="3"/>
            <charset val="128"/>
          </rPr>
          <t>表示内容が固定値を取り変わらない項目（見出しなど）を「固定」、導出元のデータ内容や入力値により変わる項目は「可変」を指定します。
「可変」は右隣の「IO」列は必ず記載します。</t>
        </r>
      </text>
    </comment>
    <comment ref="AB3" authorId="0" shapeId="0" xr:uid="{1F38E90E-6954-4964-88D3-409323D9CFBC}">
      <text>
        <r>
          <rPr>
            <sz val="9"/>
            <color indexed="8"/>
            <rFont val="ＭＳ Ｐゴシック"/>
            <family val="3"/>
            <charset val="128"/>
          </rPr>
          <t>ユーザが入力する項目は「I」、DB等から出力され動的な値が表示される項目は「O」を入力します。
出力された値をユーザが編集する場合は「I/O」を入力します。</t>
        </r>
      </text>
    </comment>
    <comment ref="AD3" authorId="0" shapeId="0" xr:uid="{5D42D0E3-A316-4933-AA7C-67F714F0F1F9}">
      <text>
        <r>
          <rPr>
            <sz val="9"/>
            <color indexed="81"/>
            <rFont val="ＭＳ Ｐゴシック"/>
            <family val="3"/>
            <charset val="128"/>
          </rPr>
          <t>項目レベルで、OOTBとしてアクセラレータが提供しているかどうかを記入する</t>
        </r>
      </text>
    </comment>
    <comment ref="AF3" authorId="0" shapeId="0" xr:uid="{FD31777B-F33A-4782-9C6F-289F1C0E4F92}">
      <text>
        <r>
          <rPr>
            <sz val="9"/>
            <color indexed="8"/>
            <rFont val="ＭＳ Ｐゴシック"/>
            <family val="3"/>
            <charset val="128"/>
          </rPr>
          <t>入力可能文字数を指定する
（入力ボックスの幅ではない）</t>
        </r>
      </text>
    </comment>
    <comment ref="AJ3" authorId="0" shapeId="0" xr:uid="{6984F9DF-49B2-4BF4-A67E-36E8C6826FB4}">
      <text>
        <r>
          <rPr>
            <sz val="9"/>
            <color indexed="81"/>
            <rFont val="ＭＳ Ｐゴシック"/>
            <family val="3"/>
            <charset val="128"/>
          </rPr>
          <t xml:space="preserve">表示ラベルのキー値
</t>
        </r>
      </text>
    </comment>
    <comment ref="AP3" authorId="0" shapeId="0" xr:uid="{5C63FB74-964E-479F-8857-368A9E1106B6}">
      <text>
        <r>
          <rPr>
            <sz val="9"/>
            <color indexed="81"/>
            <rFont val="ＭＳ Ｐゴシック"/>
            <family val="3"/>
            <charset val="128"/>
          </rPr>
          <t>Oに関しては必ず記載すること。
空の場合でも「-」を記入する</t>
        </r>
      </text>
    </comment>
    <comment ref="C4" authorId="0" shapeId="0" xr:uid="{C801FCEF-4677-471B-9D3B-1DF954253E25}">
      <text>
        <r>
          <rPr>
            <sz val="9"/>
            <color indexed="81"/>
            <rFont val="ＭＳ Ｐゴシック"/>
            <family val="3"/>
            <charset val="128"/>
          </rPr>
          <t>画面上をエリア分割した単位で記載する。
項番の一桁目として定義する。</t>
        </r>
      </text>
    </comment>
    <comment ref="J4" authorId="0" shapeId="0" xr:uid="{6FE5BC03-738F-4CFB-B700-10FF2EEACC1C}">
      <text>
        <r>
          <rPr>
            <sz val="9"/>
            <color indexed="81"/>
            <rFont val="ＭＳ Ｐゴシック"/>
            <family val="3"/>
            <charset val="128"/>
          </rPr>
          <t>項目に対する名称
Labelの項目名が表示名称とする
Hiddenパラメタは追記しない</t>
        </r>
      </text>
    </comment>
    <comment ref="C31" authorId="0" shapeId="0" xr:uid="{12354C7D-B239-4390-9389-DB556E49AB7F}">
      <text>
        <r>
          <rPr>
            <sz val="9"/>
            <color indexed="8"/>
            <rFont val="ＭＳ Ｐゴシック"/>
            <family val="3"/>
            <charset val="128"/>
          </rPr>
          <t>クライアントまたはサーバ処理の処理名を記入します。
サーバ処理の場合は処理ID同様、画面遷移図との整合性を確保する必要があります。</t>
        </r>
      </text>
    </comment>
    <comment ref="X31" authorId="0" shapeId="0" xr:uid="{0FCD6818-E7E5-4443-B04B-06EC80ECD928}">
      <text>
        <r>
          <rPr>
            <sz val="9"/>
            <color indexed="81"/>
            <rFont val="ＭＳ Ｐゴシック"/>
            <family val="3"/>
            <charset val="128"/>
          </rPr>
          <t>Java Scriptの関数を記載する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A1" authorId="0" shapeId="0" xr:uid="{48EC1868-31E5-4F70-922B-1A45FB23279D}">
      <text>
        <r>
          <rPr>
            <sz val="9"/>
            <color indexed="81"/>
            <rFont val="ＭＳ Ｐゴシック"/>
            <family val="3"/>
            <charset val="128"/>
          </rPr>
          <t>本シートは概要設計では空欄とし、詳細設計で追記します。</t>
        </r>
      </text>
    </comment>
    <comment ref="C2" authorId="0" shapeId="0" xr:uid="{30778FAF-FB0E-454E-8620-8AC3818921A9}">
      <text>
        <r>
          <rPr>
            <sz val="10"/>
            <color indexed="8"/>
            <rFont val="ＭＳ Ｐゴシック"/>
            <family val="3"/>
            <charset val="128"/>
          </rPr>
          <t>ユーザ操作等により入力可否などの画面状態が変化する画面項目を「画面項目」シートの「画面項目」と同じ形式で記入します。(項目はすべて記述)</t>
        </r>
        <r>
          <rPr>
            <b/>
            <sz val="10"/>
            <color indexed="8"/>
            <rFont val="ＭＳ Ｐゴシック"/>
            <family val="3"/>
            <charset val="128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</authors>
  <commentList>
    <comment ref="P19" authorId="0" shapeId="0" xr:uid="{B16F0910-2B25-48B0-AC84-D0F450AB68A7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1" authorId="0" shapeId="0" xr:uid="{91BDABE1-D4AF-4D5B-B352-20254FB23C28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H51" authorId="0" shapeId="0" xr:uid="{62CDB66E-96A3-4E83-9D95-D4E2C06B9625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V63" authorId="0" shapeId="0" xr:uid="{0DBD67A4-FF9E-46EB-B9C8-A2B692E652C6}">
      <text>
        <r>
          <rPr>
            <sz val="9"/>
            <color indexed="81"/>
            <rFont val="MS P ゴシック"/>
            <family val="3"/>
            <charset val="128"/>
          </rPr>
          <t>FOB価格/(1-物流コスト率)</t>
        </r>
      </text>
    </comment>
    <comment ref="AZ63" authorId="0" shapeId="0" xr:uid="{D26709B3-3714-4512-8EA6-BBCB3ABEB186}">
      <text>
        <r>
          <rPr>
            <sz val="9"/>
            <color indexed="81"/>
            <rFont val="MS P ゴシック"/>
            <family val="3"/>
            <charset val="128"/>
          </rPr>
          <t>FOB価格-(CIF価格*口銭率)</t>
        </r>
      </text>
    </comment>
    <comment ref="BD63" authorId="0" shapeId="0" xr:uid="{AA63994B-1D1B-48A9-954E-382465FEBBA7}">
      <text>
        <r>
          <rPr>
            <sz val="9"/>
            <color indexed="81"/>
            <rFont val="MS P ゴシック"/>
            <family val="3"/>
            <charset val="128"/>
          </rPr>
          <t>(FOB価格-従来FOB価格)/従来FOB価格</t>
        </r>
      </text>
    </comment>
    <comment ref="BL63" authorId="0" shapeId="0" xr:uid="{4847ED2C-045B-45EF-A3ED-4524C19E78DD}">
      <text>
        <r>
          <rPr>
            <sz val="9"/>
            <color indexed="81"/>
            <rFont val="MS P ゴシック"/>
            <family val="3"/>
            <charset val="128"/>
          </rPr>
          <t>1-FOB価格/(1-物流コスト率)/販社売価</t>
        </r>
      </text>
    </comment>
    <comment ref="BP63" authorId="0" shapeId="0" xr:uid="{0A221737-153F-4D5F-85C3-9D404C6E198A}">
      <text>
        <r>
          <rPr>
            <sz val="9"/>
            <color indexed="81"/>
            <rFont val="MS P ゴシック"/>
            <family val="3"/>
            <charset val="128"/>
          </rPr>
          <t>1-純原価/販社売価</t>
        </r>
      </text>
    </comment>
    <comment ref="BX63" authorId="0" shapeId="0" xr:uid="{73AFF1EF-3E0E-4720-98C8-71032E00FED5}">
      <text>
        <r>
          <rPr>
            <sz val="9"/>
            <color indexed="81"/>
            <rFont val="MS P ゴシック"/>
            <family val="3"/>
            <charset val="128"/>
          </rPr>
          <t>1-販社売価/代理店売価</t>
        </r>
      </text>
    </comment>
    <comment ref="AA66" authorId="0" shapeId="0" xr:uid="{430E6BB0-4127-4384-BC54-60CA61C14030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AE66" authorId="0" shapeId="0" xr:uid="{2FF6B129-4FE2-4056-9395-D341715CE753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66" authorId="0" shapeId="0" xr:uid="{124A21D9-B11E-440A-9251-38D6463B5ED4}">
      <text>
        <r>
          <rPr>
            <sz val="9"/>
            <color indexed="81"/>
            <rFont val="MS P ゴシック"/>
            <family val="3"/>
            <charset val="128"/>
          </rPr>
          <t>売上-純原価合計</t>
        </r>
      </text>
    </comment>
    <comment ref="AN66" authorId="0" shapeId="0" xr:uid="{39B1E842-0F08-4EE1-90A6-8A5B014B09D6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66" authorId="0" shapeId="0" xr:uid="{74834474-258D-4DD9-8E4D-73D629C279A5}">
      <text>
        <r>
          <rPr>
            <sz val="9"/>
            <color indexed="81"/>
            <rFont val="MS P ゴシック"/>
            <family val="3"/>
            <charset val="128"/>
          </rPr>
          <t>値引き額/(売上-値引額)</t>
        </r>
      </text>
    </comment>
    <comment ref="AV66" authorId="0" shapeId="0" xr:uid="{9A6D075A-CB09-4104-B0B5-77393C6BC79C}">
      <text>
        <r>
          <rPr>
            <sz val="9"/>
            <color indexed="81"/>
            <rFont val="MS P ゴシック"/>
            <family val="3"/>
            <charset val="128"/>
          </rPr>
          <t>数量x(販社売価-従来FOB価格)</t>
        </r>
      </text>
    </comment>
    <comment ref="AA70" authorId="0" shapeId="0" xr:uid="{CC6D866E-EB37-46D4-8CC8-94D22DA66F2C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AE70" authorId="0" shapeId="0" xr:uid="{E3B1403C-EDD2-4F49-B602-4CF89721539C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70" authorId="0" shapeId="0" xr:uid="{B597D182-914B-4079-9012-10863EB9E722}">
      <text>
        <r>
          <rPr>
            <sz val="9"/>
            <color indexed="81"/>
            <rFont val="MS P ゴシック"/>
            <family val="3"/>
            <charset val="128"/>
          </rPr>
          <t>売上-純原価合計</t>
        </r>
      </text>
    </comment>
    <comment ref="AN70" authorId="0" shapeId="0" xr:uid="{8734A2E2-1436-4500-9F85-28ADB0147A2C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70" authorId="0" shapeId="0" xr:uid="{DCE142C0-1C1D-4045-9C53-756E41C9714D}">
      <text>
        <r>
          <rPr>
            <sz val="9"/>
            <color indexed="81"/>
            <rFont val="MS P ゴシック"/>
            <family val="3"/>
            <charset val="128"/>
          </rPr>
          <t>値引き額/(売上-値引額)</t>
        </r>
      </text>
    </comment>
    <comment ref="AV70" authorId="0" shapeId="0" xr:uid="{D97FBD94-788C-4E96-8996-E4A87B5B2361}">
      <text>
        <r>
          <rPr>
            <sz val="9"/>
            <color indexed="81"/>
            <rFont val="MS P ゴシック"/>
            <family val="3"/>
            <charset val="128"/>
          </rPr>
          <t>数量x(販社売価-従来FOB価格)</t>
        </r>
      </text>
    </comment>
  </commentList>
</comments>
</file>

<file path=xl/sharedStrings.xml><?xml version="1.0" encoding="utf-8"?>
<sst xmlns="http://schemas.openxmlformats.org/spreadsheetml/2006/main" count="783" uniqueCount="434">
  <si>
    <t>HRS殿</t>
    <rPh sb="3" eb="4">
      <t>ドノ</t>
    </rPh>
    <phoneticPr fontId="12"/>
  </si>
  <si>
    <t>作成</t>
    <rPh sb="0" eb="2">
      <t>サクセイ</t>
    </rPh>
    <phoneticPr fontId="12"/>
  </si>
  <si>
    <t>照査</t>
    <rPh sb="0" eb="2">
      <t>ショウサ</t>
    </rPh>
    <phoneticPr fontId="12"/>
  </si>
  <si>
    <t>承認</t>
    <rPh sb="0" eb="2">
      <t>ショウニン</t>
    </rPh>
    <phoneticPr fontId="12"/>
  </si>
  <si>
    <t>文書名：</t>
    <rPh sb="0" eb="2">
      <t>ブンショ</t>
    </rPh>
    <rPh sb="2" eb="3">
      <t>メイ</t>
    </rPh>
    <phoneticPr fontId="12"/>
  </si>
  <si>
    <t>顧客名</t>
    <rPh sb="0" eb="2">
      <t>コキャク</t>
    </rPh>
    <rPh sb="2" eb="3">
      <t>メイ</t>
    </rPh>
    <phoneticPr fontId="12"/>
  </si>
  <si>
    <t>ヒロセ電機株式会社</t>
    <rPh sb="3" eb="5">
      <t>デンキ</t>
    </rPh>
    <rPh sb="5" eb="7">
      <t>カブシキ</t>
    </rPh>
    <rPh sb="7" eb="9">
      <t>カイシャ</t>
    </rPh>
    <phoneticPr fontId="12"/>
  </si>
  <si>
    <t>システム</t>
    <phoneticPr fontId="12"/>
  </si>
  <si>
    <t>作成者</t>
    <rPh sb="0" eb="2">
      <t>サクセイ</t>
    </rPh>
    <rPh sb="2" eb="3">
      <t>シャ</t>
    </rPh>
    <phoneticPr fontId="12"/>
  </si>
  <si>
    <t>作成日</t>
    <rPh sb="0" eb="3">
      <t>サクセイビ</t>
    </rPh>
    <phoneticPr fontId="12"/>
  </si>
  <si>
    <t>書類番号</t>
    <rPh sb="0" eb="2">
      <t>ショルイ</t>
    </rPh>
    <rPh sb="2" eb="4">
      <t>バンゴウ</t>
    </rPh>
    <phoneticPr fontId="12"/>
  </si>
  <si>
    <t>プロジェクト</t>
    <phoneticPr fontId="12"/>
  </si>
  <si>
    <t>修正者</t>
    <rPh sb="0" eb="2">
      <t>シュウセイ</t>
    </rPh>
    <rPh sb="2" eb="3">
      <t>シャ</t>
    </rPh>
    <phoneticPr fontId="12"/>
  </si>
  <si>
    <t>修正日</t>
    <rPh sb="0" eb="2">
      <t>シュウセイ</t>
    </rPh>
    <rPh sb="2" eb="3">
      <t>ビ</t>
    </rPh>
    <phoneticPr fontId="12"/>
  </si>
  <si>
    <t>内容</t>
    <rPh sb="0" eb="2">
      <t>ナイヨウ</t>
    </rPh>
    <phoneticPr fontId="12"/>
  </si>
  <si>
    <t>Rev</t>
    <phoneticPr fontId="12"/>
  </si>
  <si>
    <t>intra-mart Accel Platform</t>
    <phoneticPr fontId="12"/>
  </si>
  <si>
    <t>変更内容</t>
    <rPh sb="0" eb="2">
      <t>ヘンコウ</t>
    </rPh>
    <rPh sb="2" eb="4">
      <t>ナイヨウ</t>
    </rPh>
    <phoneticPr fontId="11"/>
  </si>
  <si>
    <t>変更・追加箇所</t>
    <rPh sb="0" eb="2">
      <t>ヘンコウ</t>
    </rPh>
    <rPh sb="3" eb="5">
      <t>ツイカ</t>
    </rPh>
    <rPh sb="5" eb="7">
      <t>カショ</t>
    </rPh>
    <phoneticPr fontId="11"/>
  </si>
  <si>
    <t>提出日</t>
    <rPh sb="0" eb="2">
      <t>テイシュツ</t>
    </rPh>
    <rPh sb="2" eb="3">
      <t>ビ</t>
    </rPh>
    <phoneticPr fontId="11"/>
  </si>
  <si>
    <t>作成者</t>
    <rPh sb="0" eb="3">
      <t>サクセイシャ</t>
    </rPh>
    <phoneticPr fontId="11"/>
  </si>
  <si>
    <t>承認者</t>
    <rPh sb="0" eb="2">
      <t>ショウニン</t>
    </rPh>
    <rPh sb="2" eb="3">
      <t>シャ</t>
    </rPh>
    <phoneticPr fontId="11"/>
  </si>
  <si>
    <t>備考</t>
    <rPh sb="0" eb="2">
      <t>ビコウ</t>
    </rPh>
    <phoneticPr fontId="11"/>
  </si>
  <si>
    <t>新規作成</t>
    <rPh sb="0" eb="2">
      <t>シンキ</t>
    </rPh>
    <rPh sb="2" eb="4">
      <t>サクセイ</t>
    </rPh>
    <phoneticPr fontId="49"/>
  </si>
  <si>
    <t>Rev.</t>
    <phoneticPr fontId="11"/>
  </si>
  <si>
    <t>変更来歴</t>
    <phoneticPr fontId="49"/>
  </si>
  <si>
    <t>画面設計書</t>
    <rPh sb="0" eb="2">
      <t>ガメン</t>
    </rPh>
    <rPh sb="2" eb="5">
      <t>セッケイショ</t>
    </rPh>
    <phoneticPr fontId="12"/>
  </si>
  <si>
    <t>画面名</t>
    <rPh sb="0" eb="2">
      <t>ガメン</t>
    </rPh>
    <rPh sb="2" eb="3">
      <t>メイ</t>
    </rPh>
    <phoneticPr fontId="49"/>
  </si>
  <si>
    <t>アメージングアクティビティ(株)</t>
    <rPh sb="13" eb="16">
      <t>カブシキガイシャ</t>
    </rPh>
    <phoneticPr fontId="12"/>
  </si>
  <si>
    <t/>
  </si>
  <si>
    <t>IMWF-53</t>
    <phoneticPr fontId="49"/>
  </si>
  <si>
    <t>No</t>
    <phoneticPr fontId="55"/>
  </si>
  <si>
    <t>▼</t>
    <phoneticPr fontId="55"/>
  </si>
  <si>
    <t>品名</t>
    <rPh sb="0" eb="1">
      <t>ヒンメイ</t>
    </rPh>
    <phoneticPr fontId="55"/>
  </si>
  <si>
    <t>▲</t>
    <phoneticPr fontId="55"/>
  </si>
  <si>
    <t>ファイル名</t>
    <rPh sb="4" eb="5">
      <t>メイ</t>
    </rPh>
    <phoneticPr fontId="55"/>
  </si>
  <si>
    <t>得意先コード</t>
    <rPh sb="0" eb="3">
      <t>トクイサキ</t>
    </rPh>
    <phoneticPr fontId="55"/>
  </si>
  <si>
    <t>サイズ</t>
    <phoneticPr fontId="55"/>
  </si>
  <si>
    <t>102 KB</t>
    <phoneticPr fontId="55"/>
  </si>
  <si>
    <t>得意先</t>
    <rPh sb="0" eb="3">
      <t>トクイサキ</t>
    </rPh>
    <phoneticPr fontId="59"/>
  </si>
  <si>
    <t>　</t>
    <phoneticPr fontId="55"/>
  </si>
  <si>
    <t>クリア</t>
    <phoneticPr fontId="55"/>
  </si>
  <si>
    <t>ファイル001.xlsx</t>
    <phoneticPr fontId="55"/>
  </si>
  <si>
    <t>単価上申(円販売一般品)</t>
    <rPh sb="0" eb="2">
      <t>タンカ</t>
    </rPh>
    <rPh sb="2" eb="4">
      <t>ジョウシン</t>
    </rPh>
    <rPh sb="5" eb="8">
      <t>エンハンバイ</t>
    </rPh>
    <rPh sb="8" eb="10">
      <t>イッパン</t>
    </rPh>
    <rPh sb="10" eb="11">
      <t>シナ</t>
    </rPh>
    <phoneticPr fontId="55"/>
  </si>
  <si>
    <t>過去の申請から内容コピー</t>
    <rPh sb="0" eb="2">
      <t>カコ</t>
    </rPh>
    <rPh sb="3" eb="5">
      <t>シンセイ</t>
    </rPh>
    <rPh sb="7" eb="9">
      <t>ナイヨウ</t>
    </rPh>
    <phoneticPr fontId="55"/>
  </si>
  <si>
    <t>起票日</t>
    <rPh sb="0" eb="3">
      <t>キヒョウビ</t>
    </rPh>
    <phoneticPr fontId="55"/>
  </si>
  <si>
    <t>所属</t>
    <rPh sb="0" eb="2">
      <t>ショゾク</t>
    </rPh>
    <phoneticPr fontId="55"/>
  </si>
  <si>
    <t>社員番号</t>
    <rPh sb="0" eb="2">
      <t>シャイン</t>
    </rPh>
    <rPh sb="2" eb="4">
      <t>バンゴウ</t>
    </rPh>
    <phoneticPr fontId="55"/>
  </si>
  <si>
    <t>2022/09/29</t>
    <phoneticPr fontId="55"/>
  </si>
  <si>
    <t>：</t>
    <phoneticPr fontId="55"/>
  </si>
  <si>
    <t>ヒロセ電機株式会社/管理本部/ＩＴ統括部/情報システム企画課</t>
    <phoneticPr fontId="55"/>
  </si>
  <si>
    <t>hirose</t>
    <phoneticPr fontId="55"/>
  </si>
  <si>
    <t>氏名　：</t>
    <rPh sb="0" eb="2">
      <t>シメイ</t>
    </rPh>
    <phoneticPr fontId="55"/>
  </si>
  <si>
    <t>システム担当者</t>
    <rPh sb="4" eb="7">
      <t>タントウシャ</t>
    </rPh>
    <phoneticPr fontId="55"/>
  </si>
  <si>
    <r>
      <t>タイトル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5"/>
  </si>
  <si>
    <r>
      <t>得意先名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トクイサキ</t>
    </rPh>
    <rPh sb="3" eb="4">
      <t>メイ</t>
    </rPh>
    <phoneticPr fontId="55"/>
  </si>
  <si>
    <t>客先担当者名</t>
    <rPh sb="0" eb="2">
      <t>キャクサキ</t>
    </rPh>
    <rPh sb="2" eb="6">
      <t>タントウシャメイ</t>
    </rPh>
    <phoneticPr fontId="55"/>
  </si>
  <si>
    <r>
      <t>案件種類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アンケン</t>
    </rPh>
    <rPh sb="2" eb="4">
      <t>シュルイ</t>
    </rPh>
    <phoneticPr fontId="55"/>
  </si>
  <si>
    <r>
      <t>希望承認期限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キボウ</t>
    </rPh>
    <rPh sb="2" eb="4">
      <t>ショウニン</t>
    </rPh>
    <rPh sb="4" eb="6">
      <t>キゲン</t>
    </rPh>
    <phoneticPr fontId="55"/>
  </si>
  <si>
    <t>申請価格入力</t>
    <rPh sb="0" eb="2">
      <t>シンセイ</t>
    </rPh>
    <rPh sb="2" eb="4">
      <t>カカク</t>
    </rPh>
    <rPh sb="4" eb="6">
      <t>ニュウリョク</t>
    </rPh>
    <phoneticPr fontId="55"/>
  </si>
  <si>
    <t>CL</t>
    <phoneticPr fontId="59"/>
  </si>
  <si>
    <t>得意先要求価格</t>
    <rPh sb="0" eb="3">
      <t>トクイサキ</t>
    </rPh>
    <rPh sb="3" eb="5">
      <t>ヨウキュウ</t>
    </rPh>
    <rPh sb="5" eb="7">
      <t>カカク</t>
    </rPh>
    <phoneticPr fontId="59"/>
  </si>
  <si>
    <t>申請価格</t>
    <rPh sb="0" eb="2">
      <t>シンセイ</t>
    </rPh>
    <rPh sb="2" eb="4">
      <t>カカク</t>
    </rPh>
    <phoneticPr fontId="59"/>
  </si>
  <si>
    <t>原計タイプ</t>
    <rPh sb="0" eb="2">
      <t>ゲンケイ</t>
    </rPh>
    <phoneticPr fontId="59"/>
  </si>
  <si>
    <t>備考</t>
    <rPh sb="0" eb="2">
      <t>ビコウ</t>
    </rPh>
    <phoneticPr fontId="59"/>
  </si>
  <si>
    <t>2022/9/29</t>
    <phoneticPr fontId="55"/>
  </si>
  <si>
    <r>
      <rPr>
        <b/>
        <sz val="10"/>
        <color theme="6" tint="0.39997558519241921"/>
        <rFont val="ＭＳ Ｐゴシック"/>
        <family val="3"/>
        <charset val="128"/>
        <scheme val="minor"/>
      </rPr>
      <t>＋</t>
    </r>
    <r>
      <rPr>
        <b/>
        <sz val="10"/>
        <color rgb="FF00B050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追加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←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挿入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FF0000"/>
        <rFont val="ＭＳ Ｐゴシック"/>
        <family val="3"/>
        <charset val="128"/>
        <scheme val="minor"/>
      </rPr>
      <t>－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削除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↑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 xml:space="preserve">上へ </t>
    </r>
    <r>
      <rPr>
        <b/>
        <sz val="10"/>
        <color rgb="FF00B0F0"/>
        <rFont val="ＭＳ Ｐゴシック"/>
        <family val="3"/>
        <charset val="128"/>
        <scheme val="minor"/>
      </rPr>
      <t>↓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下へ</t>
    </r>
    <rPh sb="7" eb="9">
      <t>ソウニュウ</t>
    </rPh>
    <phoneticPr fontId="55"/>
  </si>
  <si>
    <r>
      <t>品名</t>
    </r>
    <r>
      <rPr>
        <sz val="10"/>
        <color rgb="FFFF0000"/>
        <rFont val="ＭＳ Ｐゴシック"/>
        <family val="3"/>
        <charset val="128"/>
        <scheme val="minor"/>
      </rPr>
      <t>*</t>
    </r>
    <rPh sb="0" eb="1">
      <t>ヒンメイ</t>
    </rPh>
    <phoneticPr fontId="55"/>
  </si>
  <si>
    <r>
      <t>形</t>
    </r>
    <r>
      <rPr>
        <sz val="10"/>
        <color rgb="FFFF0000"/>
        <rFont val="ＭＳ Ｐゴシック"/>
        <family val="3"/>
        <charset val="128"/>
        <scheme val="minor"/>
      </rPr>
      <t>*</t>
    </r>
    <rPh sb="0" eb="1">
      <t>カタ</t>
    </rPh>
    <phoneticPr fontId="59"/>
  </si>
  <si>
    <r>
      <t>月間数量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ゲッカン</t>
    </rPh>
    <rPh sb="2" eb="4">
      <t>スウリョウ</t>
    </rPh>
    <phoneticPr fontId="59"/>
  </si>
  <si>
    <t>承認者確認用</t>
    <rPh sb="0" eb="3">
      <t>ショウニンシャ</t>
    </rPh>
    <rPh sb="3" eb="6">
      <t>カクニンヨウ</t>
    </rPh>
    <phoneticPr fontId="55"/>
  </si>
  <si>
    <t>数量pcs/月</t>
    <rPh sb="0" eb="2">
      <t>スウリョウ</t>
    </rPh>
    <rPh sb="6" eb="7">
      <t>ツキ</t>
    </rPh>
    <phoneticPr fontId="59"/>
  </si>
  <si>
    <t>代理店売価</t>
    <rPh sb="0" eb="3">
      <t>ダイリテン</t>
    </rPh>
    <rPh sb="3" eb="5">
      <t>バイカ</t>
    </rPh>
    <phoneticPr fontId="59"/>
  </si>
  <si>
    <t>代理店粗利率</t>
    <rPh sb="0" eb="3">
      <t>ダイリテン</t>
    </rPh>
    <rPh sb="3" eb="6">
      <t>アラリリツ</t>
    </rPh>
    <phoneticPr fontId="59"/>
  </si>
  <si>
    <t>ピン@</t>
    <phoneticPr fontId="59"/>
  </si>
  <si>
    <t>競合名</t>
    <rPh sb="0" eb="3">
      <t>キョウゴウメイ</t>
    </rPh>
    <phoneticPr fontId="59"/>
  </si>
  <si>
    <t>申請内容</t>
    <rPh sb="0" eb="2">
      <t>シンセイ</t>
    </rPh>
    <rPh sb="2" eb="4">
      <t>ナイヨウ</t>
    </rPh>
    <phoneticPr fontId="55"/>
  </si>
  <si>
    <t>起票区分</t>
    <rPh sb="0" eb="2">
      <t>キヒョウ</t>
    </rPh>
    <rPh sb="2" eb="4">
      <t>クブン</t>
    </rPh>
    <phoneticPr fontId="55"/>
  </si>
  <si>
    <t>口銭率</t>
    <rPh sb="0" eb="2">
      <t>コウセン</t>
    </rPh>
    <rPh sb="2" eb="3">
      <t>リツ</t>
    </rPh>
    <phoneticPr fontId="55"/>
  </si>
  <si>
    <t>☑ 口銭申請有り</t>
    <rPh sb="2" eb="4">
      <t>コウセン</t>
    </rPh>
    <rPh sb="4" eb="6">
      <t>シンセイ</t>
    </rPh>
    <rPh sb="6" eb="7">
      <t>アリ</t>
    </rPh>
    <phoneticPr fontId="55"/>
  </si>
  <si>
    <t>プロジェクト情報</t>
    <rPh sb="6" eb="8">
      <t>ジョウホウ</t>
    </rPh>
    <phoneticPr fontId="55"/>
  </si>
  <si>
    <t>工事金額</t>
    <rPh sb="0" eb="4">
      <t>コウジキンガク</t>
    </rPh>
    <phoneticPr fontId="55"/>
  </si>
  <si>
    <t>万円/月</t>
    <rPh sb="0" eb="2">
      <t>マンエン</t>
    </rPh>
    <rPh sb="3" eb="4">
      <t>ツキ</t>
    </rPh>
    <phoneticPr fontId="55"/>
  </si>
  <si>
    <t>ヵ月</t>
    <rPh sb="1" eb="2">
      <t>ゲツ</t>
    </rPh>
    <phoneticPr fontId="55"/>
  </si>
  <si>
    <t>総工事金額</t>
    <rPh sb="0" eb="5">
      <t>ソウコウジキンガク</t>
    </rPh>
    <phoneticPr fontId="55"/>
  </si>
  <si>
    <t>万円</t>
    <rPh sb="0" eb="2">
      <t>マンエン</t>
    </rPh>
    <phoneticPr fontId="55"/>
  </si>
  <si>
    <t>競合名</t>
    <rPh sb="0" eb="3">
      <t>キョウゴウメイ</t>
    </rPh>
    <phoneticPr fontId="55"/>
  </si>
  <si>
    <r>
      <t>継続期間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ケイゾク</t>
    </rPh>
    <rPh sb="2" eb="4">
      <t>キカン</t>
    </rPh>
    <phoneticPr fontId="55"/>
  </si>
  <si>
    <t>大分類A</t>
    <rPh sb="0" eb="3">
      <t>ダイブンルイ</t>
    </rPh>
    <phoneticPr fontId="55"/>
  </si>
  <si>
    <t>中分類B</t>
    <rPh sb="0" eb="3">
      <t>チュウブンルイ</t>
    </rPh>
    <phoneticPr fontId="55"/>
  </si>
  <si>
    <r>
      <t>申請理由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シンセイ</t>
    </rPh>
    <rPh sb="2" eb="4">
      <t>リユウ</t>
    </rPh>
    <phoneticPr fontId="55"/>
  </si>
  <si>
    <t>値引補填工事</t>
    <rPh sb="0" eb="2">
      <t>ネビ</t>
    </rPh>
    <rPh sb="2" eb="4">
      <t>ホテン</t>
    </rPh>
    <rPh sb="4" eb="6">
      <t>コウジ</t>
    </rPh>
    <phoneticPr fontId="55"/>
  </si>
  <si>
    <t>備考欄</t>
    <rPh sb="0" eb="3">
      <t>ビコウラン</t>
    </rPh>
    <phoneticPr fontId="55"/>
  </si>
  <si>
    <t>添付書類</t>
    <rPh sb="0" eb="2">
      <t>テンプ</t>
    </rPh>
    <rPh sb="2" eb="4">
      <t>ショルイ</t>
    </rPh>
    <phoneticPr fontId="55"/>
  </si>
  <si>
    <t>○ 技術原計 ○ PPM原計 ◎ コリア原計</t>
    <rPh sb="2" eb="4">
      <t>ギジュツ</t>
    </rPh>
    <rPh sb="4" eb="6">
      <t>ゲンケイ</t>
    </rPh>
    <rPh sb="12" eb="14">
      <t>ゲンケイ</t>
    </rPh>
    <rPh sb="20" eb="22">
      <t>ゲンケイ</t>
    </rPh>
    <phoneticPr fontId="55"/>
  </si>
  <si>
    <t>USD</t>
    <phoneticPr fontId="55"/>
  </si>
  <si>
    <t>コリア原計</t>
    <rPh sb="2" eb="4">
      <t>ゲンケイ</t>
    </rPh>
    <phoneticPr fontId="55"/>
  </si>
  <si>
    <t>純原価</t>
    <rPh sb="0" eb="1">
      <t>ジュン</t>
    </rPh>
    <rPh sb="1" eb="3">
      <t>ゲンカ</t>
    </rPh>
    <phoneticPr fontId="59"/>
  </si>
  <si>
    <t>申請通貨</t>
    <rPh sb="0" eb="2">
      <t>シンセイ</t>
    </rPh>
    <rPh sb="2" eb="4">
      <t>ツウカ</t>
    </rPh>
    <phoneticPr fontId="59"/>
  </si>
  <si>
    <r>
      <t>従来FOB価格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ジュウライ</t>
    </rPh>
    <rPh sb="5" eb="7">
      <t>カカク</t>
    </rPh>
    <phoneticPr fontId="59"/>
  </si>
  <si>
    <t>(外貨)</t>
    <rPh sb="0" eb="2">
      <t>ガイカ</t>
    </rPh>
    <phoneticPr fontId="55"/>
  </si>
  <si>
    <t>ピン@FOB</t>
    <phoneticPr fontId="59"/>
  </si>
  <si>
    <t>4800215830</t>
    <phoneticPr fontId="55"/>
  </si>
  <si>
    <t>TF38-20S-0.5SV(830)</t>
    <phoneticPr fontId="55"/>
  </si>
  <si>
    <t>KFH</t>
    <phoneticPr fontId="55"/>
  </si>
  <si>
    <t>FOB価格</t>
    <rPh sb="3" eb="5">
      <t>カカク</t>
    </rPh>
    <phoneticPr fontId="59"/>
  </si>
  <si>
    <t>◎ 単価上申書</t>
    <rPh sb="2" eb="4">
      <t>タンカ</t>
    </rPh>
    <rPh sb="4" eb="6">
      <t>ジョウシン</t>
    </rPh>
    <rPh sb="6" eb="7">
      <t>ショ</t>
    </rPh>
    <phoneticPr fontId="55"/>
  </si>
  <si>
    <t>値引きしなければならない理由を記載してください</t>
    <rPh sb="0" eb="2">
      <t>ネビ</t>
    </rPh>
    <rPh sb="12" eb="14">
      <t>リユウ</t>
    </rPh>
    <rPh sb="15" eb="17">
      <t>キサイ</t>
    </rPh>
    <phoneticPr fontId="55"/>
  </si>
  <si>
    <t>物流コスト率</t>
    <rPh sb="0" eb="2">
      <t>ブツリュウ</t>
    </rPh>
    <rPh sb="5" eb="6">
      <t>リツ</t>
    </rPh>
    <phoneticPr fontId="59"/>
  </si>
  <si>
    <t>(%)</t>
    <phoneticPr fontId="55"/>
  </si>
  <si>
    <t>販社売価</t>
    <rPh sb="0" eb="2">
      <t>ハンシャ</t>
    </rPh>
    <rPh sb="2" eb="4">
      <t>バイカ</t>
    </rPh>
    <phoneticPr fontId="59"/>
  </si>
  <si>
    <t>要求価格</t>
    <rPh sb="0" eb="1">
      <t>ヨウキュウ</t>
    </rPh>
    <rPh sb="1" eb="3">
      <t>カカク</t>
    </rPh>
    <phoneticPr fontId="55"/>
  </si>
  <si>
    <t>価格基準</t>
    <rPh sb="0" eb="1">
      <t>カカク</t>
    </rPh>
    <rPh sb="1" eb="3">
      <t>キジュン</t>
    </rPh>
    <phoneticPr fontId="55"/>
  </si>
  <si>
    <t>JPY</t>
    <phoneticPr fontId="55"/>
  </si>
  <si>
    <t>JAE</t>
    <phoneticPr fontId="55"/>
  </si>
  <si>
    <t>従来FOB価格</t>
    <rPh sb="0" eb="2">
      <t>ジュウライ</t>
    </rPh>
    <rPh sb="5" eb="7">
      <t>カカク</t>
    </rPh>
    <phoneticPr fontId="59"/>
  </si>
  <si>
    <t>CIF価格</t>
    <rPh sb="3" eb="5">
      <t>カカク</t>
    </rPh>
    <phoneticPr fontId="59"/>
  </si>
  <si>
    <t>FOB値引き率</t>
    <rPh sb="3" eb="5">
      <t>ネビ</t>
    </rPh>
    <rPh sb="6" eb="7">
      <t>リツ</t>
    </rPh>
    <phoneticPr fontId="59"/>
  </si>
  <si>
    <t>販社粗利率</t>
    <rPh sb="0" eb="2">
      <t>ハンシャ</t>
    </rPh>
    <rPh sb="2" eb="5">
      <t>アラリリツ</t>
    </rPh>
    <phoneticPr fontId="59"/>
  </si>
  <si>
    <t>純原価合計</t>
    <rPh sb="0" eb="1">
      <t>ジュン</t>
    </rPh>
    <rPh sb="1" eb="3">
      <t>ゲンカ</t>
    </rPh>
    <rPh sb="3" eb="5">
      <t>ゴウケイ</t>
    </rPh>
    <phoneticPr fontId="59"/>
  </si>
  <si>
    <t>連結粗利額</t>
    <rPh sb="0" eb="2">
      <t>レンケツ</t>
    </rPh>
    <rPh sb="2" eb="5">
      <t>アラリガク</t>
    </rPh>
    <phoneticPr fontId="59"/>
  </si>
  <si>
    <t>連結粗利率</t>
    <rPh sb="0" eb="2">
      <t>レンケツ</t>
    </rPh>
    <rPh sb="2" eb="5">
      <t>アラリリツ</t>
    </rPh>
    <phoneticPr fontId="59"/>
  </si>
  <si>
    <t>値引き率</t>
    <rPh sb="0" eb="2">
      <t>ネビ</t>
    </rPh>
    <rPh sb="3" eb="4">
      <t>リツ</t>
    </rPh>
    <phoneticPr fontId="55"/>
  </si>
  <si>
    <t>値引き額</t>
    <rPh sb="0" eb="2">
      <t>ネビ</t>
    </rPh>
    <rPh sb="3" eb="4">
      <t>ガク</t>
    </rPh>
    <phoneticPr fontId="55"/>
  </si>
  <si>
    <t>売上(連結)</t>
    <rPh sb="0" eb="2">
      <t>ウリアゲ</t>
    </rPh>
    <rPh sb="3" eb="5">
      <t>レンケツ</t>
    </rPh>
    <phoneticPr fontId="55"/>
  </si>
  <si>
    <r>
      <t>承認者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ショウニンシャ</t>
    </rPh>
    <phoneticPr fontId="55"/>
  </si>
  <si>
    <t>10347008</t>
    <phoneticPr fontId="55"/>
  </si>
  <si>
    <t>関　博一</t>
    <phoneticPr fontId="55"/>
  </si>
  <si>
    <r>
      <rPr>
        <b/>
        <sz val="10"/>
        <color rgb="FF00B050"/>
        <rFont val="ＭＳ Ｐゴシック"/>
        <family val="3"/>
        <charset val="128"/>
        <scheme val="minor"/>
      </rPr>
      <t>＋</t>
    </r>
    <r>
      <rPr>
        <sz val="10"/>
        <color theme="1"/>
        <rFont val="ＭＳ Ｐゴシック"/>
        <family val="3"/>
        <charset val="128"/>
        <scheme val="minor"/>
      </rPr>
      <t xml:space="preserve"> 承認者の追加</t>
    </r>
    <phoneticPr fontId="55"/>
  </si>
  <si>
    <t>10637000</t>
    <phoneticPr fontId="55"/>
  </si>
  <si>
    <t>古川　福待</t>
    <phoneticPr fontId="55"/>
  </si>
  <si>
    <t>承認者設定</t>
    <rPh sb="0" eb="3">
      <t>ショウニンシャ</t>
    </rPh>
    <rPh sb="3" eb="5">
      <t>セッテイ</t>
    </rPh>
    <phoneticPr fontId="55"/>
  </si>
  <si>
    <t>承認ルートは必要に応じて、「承認者の追加」をクリックして入力欄を増やしてください。 設定した承認ルートは、設定した承認者の上から順に回送されます。 最終承認者は、一番下に設定してください。</t>
    <phoneticPr fontId="55"/>
  </si>
  <si>
    <t>確認者設定</t>
    <rPh sb="0" eb="3">
      <t>カクニンシャ</t>
    </rPh>
    <rPh sb="3" eb="5">
      <t>セッテイ</t>
    </rPh>
    <phoneticPr fontId="55"/>
  </si>
  <si>
    <t>確認者一覧</t>
    <rPh sb="0" eb="3">
      <t>カクニンシャ</t>
    </rPh>
    <rPh sb="3" eb="5">
      <t>イチラン</t>
    </rPh>
    <phoneticPr fontId="55"/>
  </si>
  <si>
    <t>部門</t>
    <rPh sb="0" eb="2">
      <t>ブモン</t>
    </rPh>
    <phoneticPr fontId="55"/>
  </si>
  <si>
    <t>確認者名</t>
    <rPh sb="0" eb="4">
      <t>カクニンシャメイ</t>
    </rPh>
    <phoneticPr fontId="55"/>
  </si>
  <si>
    <t>ヒロセ電機株式会社/管理本部/ＩＴ統括部</t>
    <phoneticPr fontId="55"/>
  </si>
  <si>
    <t>部長</t>
    <rPh sb="0" eb="2">
      <t>ブチョウ</t>
    </rPh>
    <phoneticPr fontId="55"/>
  </si>
  <si>
    <t>志村 亜里沙</t>
    <rPh sb="0" eb="1">
      <t>シムラ</t>
    </rPh>
    <rPh sb="2" eb="5">
      <t>アリサ</t>
    </rPh>
    <phoneticPr fontId="55"/>
  </si>
  <si>
    <t>出水 瞳</t>
    <rPh sb="0" eb="1">
      <t>デミズ</t>
    </rPh>
    <rPh sb="2" eb="3">
      <t>ヒトミ</t>
    </rPh>
    <phoneticPr fontId="55"/>
  </si>
  <si>
    <t>松澤 朱海</t>
    <rPh sb="0" eb="1">
      <t>マツザワ</t>
    </rPh>
    <rPh sb="2" eb="3">
      <t>シュ</t>
    </rPh>
    <rPh sb="3" eb="4">
      <t>ウミ</t>
    </rPh>
    <phoneticPr fontId="55"/>
  </si>
  <si>
    <t>ｒ1.0</t>
    <phoneticPr fontId="49"/>
  </si>
  <si>
    <t>形</t>
    <rPh sb="0" eb="1">
      <t>カタ</t>
    </rPh>
    <phoneticPr fontId="59"/>
  </si>
  <si>
    <t>通貨</t>
    <rPh sb="0" eb="2">
      <t>ツウカ</t>
    </rPh>
    <phoneticPr fontId="59"/>
  </si>
  <si>
    <t>EUR</t>
    <phoneticPr fontId="55"/>
  </si>
  <si>
    <t>精算通貨</t>
    <rPh sb="0" eb="2">
      <t>セイサン</t>
    </rPh>
    <rPh sb="2" eb="4">
      <t>ツウカ</t>
    </rPh>
    <phoneticPr fontId="55"/>
  </si>
  <si>
    <t>SFDC工事番号</t>
    <rPh sb="4" eb="6">
      <t>コウジ</t>
    </rPh>
    <rPh sb="6" eb="8">
      <t>バンゴウ</t>
    </rPh>
    <phoneticPr fontId="55"/>
  </si>
  <si>
    <t>円/月</t>
    <rPh sb="0" eb="1">
      <t>エン</t>
    </rPh>
    <rPh sb="2" eb="3">
      <t>ツキ</t>
    </rPh>
    <phoneticPr fontId="55"/>
  </si>
  <si>
    <t>海外販社</t>
    <rPh sb="0" eb="2">
      <t>カイガイ</t>
    </rPh>
    <rPh sb="2" eb="4">
      <t>ハンシャ</t>
    </rPh>
    <phoneticPr fontId="55"/>
  </si>
  <si>
    <t>レップ社名</t>
    <rPh sb="3" eb="4">
      <t>シャ</t>
    </rPh>
    <rPh sb="4" eb="5">
      <t>メイ</t>
    </rPh>
    <phoneticPr fontId="55"/>
  </si>
  <si>
    <t>量産時期</t>
    <rPh sb="0" eb="2">
      <t>リョウサン</t>
    </rPh>
    <rPh sb="2" eb="4">
      <t>ジキ</t>
    </rPh>
    <phoneticPr fontId="55"/>
  </si>
  <si>
    <r>
      <t>用途</t>
    </r>
    <r>
      <rPr>
        <sz val="9"/>
        <color theme="1"/>
        <rFont val="ＭＳ Ｐゴシック"/>
        <family val="3"/>
        <charset val="128"/>
        <scheme val="minor"/>
      </rPr>
      <t>(アプリケーション)</t>
    </r>
    <rPh sb="0" eb="2">
      <t>ヨウト</t>
    </rPh>
    <phoneticPr fontId="55"/>
  </si>
  <si>
    <t>生産セット台数</t>
    <rPh sb="0" eb="2">
      <t>セイサン</t>
    </rPh>
    <rPh sb="5" eb="7">
      <t>ダイスウ</t>
    </rPh>
    <phoneticPr fontId="55"/>
  </si>
  <si>
    <t>プロジェクトピーク金額</t>
    <rPh sb="9" eb="11">
      <t>キンガク</t>
    </rPh>
    <phoneticPr fontId="55"/>
  </si>
  <si>
    <t>大分類</t>
    <rPh sb="0" eb="3">
      <t>ダイブンルイ</t>
    </rPh>
    <phoneticPr fontId="55"/>
  </si>
  <si>
    <t>中分類</t>
    <rPh sb="0" eb="3">
      <t>チュウブンルイ</t>
    </rPh>
    <phoneticPr fontId="55"/>
  </si>
  <si>
    <t>レート</t>
    <phoneticPr fontId="55"/>
  </si>
  <si>
    <t>○経営計画レート　○ 顧客契約レート　◎ その他のレート 　</t>
    <rPh sb="1" eb="3">
      <t>ケイエイ</t>
    </rPh>
    <rPh sb="3" eb="5">
      <t>ケイカク</t>
    </rPh>
    <rPh sb="13" eb="15">
      <t>ケイヤク</t>
    </rPh>
    <rPh sb="23" eb="24">
      <t>ホカ</t>
    </rPh>
    <phoneticPr fontId="55"/>
  </si>
  <si>
    <t>総合計</t>
    <rPh sb="0" eb="3">
      <t>ソウゴウケイ</t>
    </rPh>
    <phoneticPr fontId="55"/>
  </si>
  <si>
    <t>形</t>
    <rPh sb="0" eb="1">
      <t>カタ</t>
    </rPh>
    <phoneticPr fontId="55"/>
  </si>
  <si>
    <t>形小計</t>
    <rPh sb="0" eb="1">
      <t>カタ</t>
    </rPh>
    <rPh sb="1" eb="3">
      <t>ショウケイ</t>
    </rPh>
    <phoneticPr fontId="55"/>
  </si>
  <si>
    <r>
      <t>レートタイプ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5"/>
  </si>
  <si>
    <t>SA-PR123456</t>
    <phoneticPr fontId="55"/>
  </si>
  <si>
    <t>案件番号：</t>
    <phoneticPr fontId="55"/>
  </si>
  <si>
    <r>
      <t>原計タイプ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ゲンケイ</t>
    </rPh>
    <phoneticPr fontId="55"/>
  </si>
  <si>
    <t>コメント</t>
    <phoneticPr fontId="55"/>
  </si>
  <si>
    <t>コメント入力</t>
    <rPh sb="3" eb="5">
      <t>ニュウリョク</t>
    </rPh>
    <phoneticPr fontId="55"/>
  </si>
  <si>
    <r>
      <t>原計通貨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ゲンケイ</t>
    </rPh>
    <rPh sb="2" eb="4">
      <t>ツウカ</t>
    </rPh>
    <phoneticPr fontId="59"/>
  </si>
  <si>
    <r>
      <t>申請通貨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シンセイ</t>
    </rPh>
    <rPh sb="2" eb="4">
      <t>ツウカ</t>
    </rPh>
    <phoneticPr fontId="59"/>
  </si>
  <si>
    <t>表示通貨</t>
    <rPh sb="0" eb="1">
      <t>ヒョウジ</t>
    </rPh>
    <rPh sb="1" eb="3">
      <t>ツウカ</t>
    </rPh>
    <phoneticPr fontId="55"/>
  </si>
  <si>
    <t>表示通貨</t>
    <rPh sb="0" eb="2">
      <t>ヒョウジ</t>
    </rPh>
    <rPh sb="2" eb="4">
      <t>ツウカ</t>
    </rPh>
    <phoneticPr fontId="55"/>
  </si>
  <si>
    <t>古竹</t>
    <rPh sb="0" eb="2">
      <t>フルタケ</t>
    </rPh>
    <phoneticPr fontId="49"/>
  </si>
  <si>
    <t>化学物質データ</t>
    <rPh sb="0" eb="2">
      <t>カガクブッシツ</t>
    </rPh>
    <phoneticPr fontId="55"/>
  </si>
  <si>
    <r>
      <rPr>
        <sz val="10"/>
        <color rgb="FFFF9900"/>
        <rFont val="Meiryo UI"/>
        <family val="3"/>
        <charset val="128"/>
      </rPr>
      <t>ホーム</t>
    </r>
    <r>
      <rPr>
        <sz val="10"/>
        <rFont val="Meiryo UI"/>
        <family val="3"/>
        <charset val="128"/>
      </rPr>
      <t xml:space="preserve"> / 化学物質データ</t>
    </r>
    <rPh sb="5" eb="9">
      <t>カガクブッシツ</t>
    </rPh>
    <phoneticPr fontId="55"/>
  </si>
  <si>
    <t>機能仕様</t>
    <rPh sb="0" eb="4">
      <t>キノウシヨウ</t>
    </rPh>
    <phoneticPr fontId="55"/>
  </si>
  <si>
    <t>*採番については、2018年だけ2018-50000から採番する。</t>
  </si>
  <si>
    <t>2019年以後は20xx-00000という形で採番される。</t>
  </si>
  <si>
    <t>-</t>
    <phoneticPr fontId="59"/>
  </si>
  <si>
    <t>画面項目(Screen Items)</t>
    <rPh sb="0" eb="4">
      <t>ガメンコウモク</t>
    </rPh>
    <phoneticPr fontId="11"/>
  </si>
  <si>
    <t>必須記入</t>
    <rPh sb="0" eb="2">
      <t>ヒッス</t>
    </rPh>
    <rPh sb="2" eb="4">
      <t>キニュウ</t>
    </rPh>
    <phoneticPr fontId="11"/>
  </si>
  <si>
    <t>OOTB以外</t>
    <rPh sb="4" eb="6">
      <t>イガイ</t>
    </rPh>
    <phoneticPr fontId="11"/>
  </si>
  <si>
    <t>項番
(No)</t>
    <phoneticPr fontId="11"/>
  </si>
  <si>
    <t>項目名(Item Name)</t>
    <phoneticPr fontId="11"/>
  </si>
  <si>
    <t>論理項目種別
(Logical Item Type)</t>
    <phoneticPr fontId="11"/>
  </si>
  <si>
    <t>固定/可変
(Fixed/Variable)</t>
    <rPh sb="0" eb="5">
      <t>コテイカヘン</t>
    </rPh>
    <phoneticPr fontId="11"/>
  </si>
  <si>
    <t>I/O</t>
  </si>
  <si>
    <t>OOTB</t>
    <phoneticPr fontId="11"/>
  </si>
  <si>
    <t>入力桁数
(Input Digits)</t>
    <rPh sb="0" eb="2">
      <t>ニュウリョク</t>
    </rPh>
    <rPh sb="2" eb="4">
      <t>ケタスウ</t>
    </rPh>
    <phoneticPr fontId="11"/>
  </si>
  <si>
    <t>表示ラベルキー
（Display Label Key)</t>
    <rPh sb="0" eb="2">
      <t>ヒョウジ</t>
    </rPh>
    <phoneticPr fontId="11"/>
  </si>
  <si>
    <t>初期値
(Default Value)</t>
    <rPh sb="0" eb="3">
      <t>ショキチ</t>
    </rPh>
    <phoneticPr fontId="11"/>
  </si>
  <si>
    <t>備考
(Comment)</t>
    <rPh sb="0" eb="2">
      <t>ビコウ</t>
    </rPh>
    <phoneticPr fontId="11"/>
  </si>
  <si>
    <t>エリア
（Area）</t>
    <phoneticPr fontId="11"/>
  </si>
  <si>
    <t>項目名
(Item Name)</t>
    <phoneticPr fontId="11"/>
  </si>
  <si>
    <t>O</t>
  </si>
  <si>
    <t>Variable</t>
  </si>
  <si>
    <t>I</t>
  </si>
  <si>
    <t>×</t>
  </si>
  <si>
    <t>-</t>
  </si>
  <si>
    <t>Text Output</t>
  </si>
  <si>
    <t>処理項目(Process Items)</t>
    <rPh sb="0" eb="4">
      <t>ショリコウモク</t>
    </rPh>
    <phoneticPr fontId="11"/>
  </si>
  <si>
    <t>項番
(No)</t>
    <rPh sb="0" eb="2">
      <t>コウバン</t>
    </rPh>
    <phoneticPr fontId="11"/>
  </si>
  <si>
    <t>処理名
(Process Name)</t>
    <rPh sb="0" eb="3">
      <t>ショリメイ</t>
    </rPh>
    <phoneticPr fontId="11"/>
  </si>
  <si>
    <t>イベント発生元（論理項目名）
(Event Source(Logical Item Name))</t>
    <phoneticPr fontId="11"/>
  </si>
  <si>
    <t>イベント
(Event)</t>
    <phoneticPr fontId="11"/>
  </si>
  <si>
    <t>サーバ
／クライアント</t>
    <phoneticPr fontId="11"/>
  </si>
  <si>
    <t>遷移先画面ID
(Transition Destination Screen ID)</t>
    <rPh sb="0" eb="7">
      <t>センイサキガメン</t>
    </rPh>
    <phoneticPr fontId="11"/>
  </si>
  <si>
    <t>概要
(Comment)</t>
    <rPh sb="0" eb="2">
      <t>ガイヨウ</t>
    </rPh>
    <phoneticPr fontId="11"/>
  </si>
  <si>
    <t>利用可能な論理項目種別</t>
    <rPh sb="0" eb="11">
      <t>リヨウカノウロンリコウモクシュベツ</t>
    </rPh>
    <phoneticPr fontId="11"/>
  </si>
  <si>
    <t>固定/可変</t>
    <rPh sb="0" eb="2">
      <t>コテイ</t>
    </rPh>
    <rPh sb="3" eb="5">
      <t>カヘン</t>
    </rPh>
    <phoneticPr fontId="11"/>
  </si>
  <si>
    <t>Label</t>
    <phoneticPr fontId="11"/>
  </si>
  <si>
    <t>Fixed</t>
    <phoneticPr fontId="11"/>
  </si>
  <si>
    <t>○</t>
    <phoneticPr fontId="11"/>
  </si>
  <si>
    <t>全て利用</t>
    <rPh sb="0" eb="1">
      <t>スベ</t>
    </rPh>
    <rPh sb="2" eb="4">
      <t>リヨウ</t>
    </rPh>
    <phoneticPr fontId="11"/>
  </si>
  <si>
    <t>Manual Operation Button</t>
    <phoneticPr fontId="11"/>
  </si>
  <si>
    <t>Variable</t>
    <phoneticPr fontId="11"/>
  </si>
  <si>
    <t>△</t>
    <phoneticPr fontId="11"/>
  </si>
  <si>
    <t>一部利用</t>
    <rPh sb="0" eb="2">
      <t>イチブ</t>
    </rPh>
    <rPh sb="2" eb="4">
      <t>リヨウ</t>
    </rPh>
    <phoneticPr fontId="11"/>
  </si>
  <si>
    <t>Image Button</t>
    <phoneticPr fontId="11"/>
  </si>
  <si>
    <t>×</t>
    <phoneticPr fontId="11"/>
  </si>
  <si>
    <t>なし（新規作成）</t>
    <rPh sb="3" eb="5">
      <t>シンキ</t>
    </rPh>
    <rPh sb="5" eb="7">
      <t>サクセイ</t>
    </rPh>
    <phoneticPr fontId="11"/>
  </si>
  <si>
    <t>Anchor Text</t>
    <phoneticPr fontId="11"/>
  </si>
  <si>
    <t>Textbox</t>
    <phoneticPr fontId="11"/>
  </si>
  <si>
    <t>Text Box (with spin button)</t>
    <phoneticPr fontId="11"/>
  </si>
  <si>
    <t>Password</t>
    <phoneticPr fontId="11"/>
  </si>
  <si>
    <t>Text Area</t>
    <phoneticPr fontId="11"/>
  </si>
  <si>
    <t>File field</t>
    <phoneticPr fontId="11"/>
  </si>
  <si>
    <t>Radio Button</t>
    <phoneticPr fontId="11"/>
  </si>
  <si>
    <t>Dropdown List</t>
    <phoneticPr fontId="11"/>
  </si>
  <si>
    <t>Checkbox</t>
    <phoneticPr fontId="11"/>
  </si>
  <si>
    <t>Calendar</t>
    <phoneticPr fontId="11"/>
  </si>
  <si>
    <t>Time Input</t>
    <phoneticPr fontId="11"/>
  </si>
  <si>
    <t>Loop Table</t>
    <phoneticPr fontId="11"/>
  </si>
  <si>
    <t>Image</t>
    <phoneticPr fontId="11"/>
  </si>
  <si>
    <t>Hidden Field</t>
    <phoneticPr fontId="11"/>
  </si>
  <si>
    <t>Included Screen</t>
    <phoneticPr fontId="11"/>
  </si>
  <si>
    <t>Text Output</t>
    <phoneticPr fontId="11"/>
  </si>
  <si>
    <t>Other</t>
    <phoneticPr fontId="11"/>
  </si>
  <si>
    <t>画面状態 (Screen State)</t>
    <rPh sb="0" eb="4">
      <t>ガメンジョウタイ</t>
    </rPh>
    <phoneticPr fontId="11"/>
  </si>
  <si>
    <t>論理項目名
(Logical Item Name)</t>
    <rPh sb="0" eb="5">
      <t>ロンリコウモクメイ</t>
    </rPh>
    <phoneticPr fontId="11"/>
  </si>
  <si>
    <t>状態 (State)</t>
    <rPh sb="0" eb="2">
      <t>ジョウタイ</t>
    </rPh>
    <phoneticPr fontId="11"/>
  </si>
  <si>
    <t>初期表示</t>
    <rPh sb="0" eb="2">
      <t>ショキ</t>
    </rPh>
    <rPh sb="2" eb="4">
      <t>ヒョウジ</t>
    </rPh>
    <phoneticPr fontId="59"/>
  </si>
  <si>
    <t>Legend Name</t>
    <phoneticPr fontId="11"/>
  </si>
  <si>
    <t>Legend Value</t>
    <phoneticPr fontId="11"/>
  </si>
  <si>
    <t>Display(Active)</t>
    <phoneticPr fontId="11"/>
  </si>
  <si>
    <t>Display(In-Active)</t>
    <phoneticPr fontId="11"/>
  </si>
  <si>
    <t>●</t>
    <phoneticPr fontId="11"/>
  </si>
  <si>
    <t>Hidden</t>
    <phoneticPr fontId="11"/>
  </si>
  <si>
    <t>申請完了</t>
    <rPh sb="0" eb="4">
      <t>シンセイカンリョウ</t>
    </rPh>
    <phoneticPr fontId="55"/>
  </si>
  <si>
    <t>&lt;受付番号：2016-00043&gt; 化学物質データの申請が完了しました。</t>
    <phoneticPr fontId="55"/>
  </si>
  <si>
    <t>　申請完了メールを登録メールアドレスへ送信致しました。ご確認ください。</t>
    <phoneticPr fontId="55"/>
  </si>
  <si>
    <t>　・登録メールアドレス : user@mail.com</t>
    <phoneticPr fontId="55"/>
  </si>
  <si>
    <t>　・送信メールアドレス : GM_no-reply@hirose.com</t>
    <rPh sb="2" eb="4">
      <t>ソウシン</t>
    </rPh>
    <phoneticPr fontId="55"/>
  </si>
  <si>
    <t>　・メール件名 : &lt;HRS:2016-000043&gt; 化学物質データ申請完了</t>
    <phoneticPr fontId="55"/>
  </si>
  <si>
    <t>　　　申請されたデータは、まとめてzipファイルで出力致します。</t>
    <phoneticPr fontId="55"/>
  </si>
  <si>
    <t>　※　データを作成するのに時間がかかる場合がございます。データの作成が完了しましたら、完了メールを送信致します。</t>
    <phoneticPr fontId="55"/>
  </si>
  <si>
    <t>参考：サイト言語が日本語ではない場合に表示される英語コンテンツ</t>
    <rPh sb="0" eb="2">
      <t>サンコウ</t>
    </rPh>
    <rPh sb="6" eb="8">
      <t>ゲンゴ</t>
    </rPh>
    <rPh sb="9" eb="12">
      <t>ニホンゴ</t>
    </rPh>
    <rPh sb="16" eb="18">
      <t>バアイ</t>
    </rPh>
    <rPh sb="19" eb="21">
      <t>ヒョウジ</t>
    </rPh>
    <rPh sb="24" eb="26">
      <t>エイゴ</t>
    </rPh>
    <phoneticPr fontId="3"/>
  </si>
  <si>
    <t>Application Completion</t>
    <phoneticPr fontId="55"/>
  </si>
  <si>
    <t>&lt;Application NO:2016-0043&gt; Application of the chemical substance data has been completed.</t>
    <phoneticPr fontId="55"/>
  </si>
  <si>
    <t>　Could you confirm the acceptance confirmation e-mail?</t>
    <phoneticPr fontId="55"/>
  </si>
  <si>
    <t>　・Registered e-mail address  : user@mail.com</t>
    <phoneticPr fontId="55"/>
  </si>
  <si>
    <t>　・Source e-mail address  : GM_no-reply@hirose.com</t>
    <phoneticPr fontId="55"/>
  </si>
  <si>
    <t>　・Subject : &lt;HRS:2016-000043&gt; Chemical substance data application completion</t>
    <phoneticPr fontId="55"/>
  </si>
  <si>
    <t>　* It take some time to output the data.Once the data is now complete, we will send the completion mail.</t>
    <phoneticPr fontId="55"/>
  </si>
  <si>
    <t>　　We will output the data that has been filed in the ZIP file.</t>
    <phoneticPr fontId="55"/>
  </si>
  <si>
    <t>1. パンくずリストエリア</t>
  </si>
  <si>
    <t>1.1　パンくずリスト</t>
  </si>
  <si>
    <t>以下のようにパンくずリストを表示する。</t>
    <rPh sb="0" eb="2">
      <t>イカ</t>
    </rPh>
    <rPh sb="14" eb="16">
      <t>ヒョウジ</t>
    </rPh>
    <phoneticPr fontId="4"/>
  </si>
  <si>
    <t>『製品トップ &gt; 化学物質データ申請完了』</t>
    <rPh sb="1" eb="3">
      <t>セイヒン</t>
    </rPh>
    <rPh sb="9" eb="11">
      <t>カガク</t>
    </rPh>
    <rPh sb="11" eb="13">
      <t>ブッシツ</t>
    </rPh>
    <rPh sb="16" eb="18">
      <t>シンセイ</t>
    </rPh>
    <rPh sb="18" eb="20">
      <t>カンリョウ</t>
    </rPh>
    <phoneticPr fontId="4"/>
  </si>
  <si>
    <t>2. 申請完了表示エリア</t>
    <rPh sb="3" eb="5">
      <t>シンセイ</t>
    </rPh>
    <rPh sb="5" eb="7">
      <t>カンリョウ</t>
    </rPh>
    <rPh sb="7" eb="9">
      <t>ヒョウジ</t>
    </rPh>
    <phoneticPr fontId="3"/>
  </si>
  <si>
    <t>言語情報が"jp"の場合は日本語のコンテンツを、それ</t>
  </si>
  <si>
    <t>以外の場合は英語のコンテンツを表示する。</t>
  </si>
  <si>
    <t>2.1 申請完了情報</t>
    <rPh sb="4" eb="6">
      <t>シンセイ</t>
    </rPh>
    <rPh sb="6" eb="8">
      <t>カンリョウ</t>
    </rPh>
    <rPh sb="8" eb="10">
      <t>ジョウホウ</t>
    </rPh>
    <phoneticPr fontId="3"/>
  </si>
  <si>
    <t>受付番号：</t>
    <rPh sb="0" eb="2">
      <t>ウケツケ</t>
    </rPh>
    <rPh sb="2" eb="4">
      <t>バンゴウ</t>
    </rPh>
    <phoneticPr fontId="3"/>
  </si>
  <si>
    <t>申請データをyCommerceに登録する際に、</t>
    <rPh sb="0" eb="2">
      <t>シンセイ</t>
    </rPh>
    <rPh sb="16" eb="18">
      <t>トウロク</t>
    </rPh>
    <rPh sb="20" eb="21">
      <t>サイ</t>
    </rPh>
    <phoneticPr fontId="3"/>
  </si>
  <si>
    <t>hybrisのGeneratorを利用して生成されるシーケンス値。</t>
    <rPh sb="17" eb="19">
      <t>リヨウ</t>
    </rPh>
    <rPh sb="21" eb="23">
      <t>セイセイ</t>
    </rPh>
    <rPh sb="31" eb="32">
      <t>チ</t>
    </rPh>
    <phoneticPr fontId="3"/>
  </si>
  <si>
    <t>書式：暦年-シーケンス番号</t>
    <rPh sb="0" eb="2">
      <t>ショシキ</t>
    </rPh>
    <phoneticPr fontId="3"/>
  </si>
  <si>
    <t>2.2 登録メールアドレス</t>
    <rPh sb="4" eb="6">
      <t>トウロク</t>
    </rPh>
    <phoneticPr fontId="3"/>
  </si>
  <si>
    <t>申請者のアドレスが表示される。申請完了時のメールは、</t>
    <rPh sb="15" eb="17">
      <t>シンセイ</t>
    </rPh>
    <rPh sb="17" eb="19">
      <t>カンリョウ</t>
    </rPh>
    <rPh sb="19" eb="20">
      <t>ジ</t>
    </rPh>
    <phoneticPr fontId="3"/>
  </si>
  <si>
    <t>このアドレス宛に送信される</t>
    <rPh sb="6" eb="7">
      <t>アテ</t>
    </rPh>
    <rPh sb="8" eb="10">
      <t>ソウシン</t>
    </rPh>
    <phoneticPr fontId="3"/>
  </si>
  <si>
    <t>2.3 送信メールアドレス</t>
    <rPh sb="4" eb="6">
      <t>ソウシン</t>
    </rPh>
    <phoneticPr fontId="3"/>
  </si>
  <si>
    <t>送信メールアドレスは固定（汎用マスタから取得）。</t>
  </si>
  <si>
    <t>申請者宛に送信されるメールの"from"として本アドレス</t>
    <rPh sb="0" eb="3">
      <t>シンセイシャ</t>
    </rPh>
    <rPh sb="3" eb="4">
      <t>アテ</t>
    </rPh>
    <rPh sb="5" eb="7">
      <t>ソウシン</t>
    </rPh>
    <rPh sb="23" eb="24">
      <t>ホン</t>
    </rPh>
    <phoneticPr fontId="3"/>
  </si>
  <si>
    <t>が設定される。</t>
    <rPh sb="1" eb="3">
      <t>セッテイ</t>
    </rPh>
    <phoneticPr fontId="3"/>
  </si>
  <si>
    <t>2.4 化学物質データ画面へ戻る</t>
    <rPh sb="4" eb="6">
      <t>カガク</t>
    </rPh>
    <rPh sb="6" eb="8">
      <t>ブッシツ</t>
    </rPh>
    <rPh sb="11" eb="13">
      <t>ガメン</t>
    </rPh>
    <rPh sb="14" eb="15">
      <t>モド</t>
    </rPh>
    <phoneticPr fontId="3"/>
  </si>
  <si>
    <t xml:space="preserve">押下すると、一括申請リスト（化学物質データ画面）
</t>
    <rPh sb="0" eb="2">
      <t>オウカ</t>
    </rPh>
    <phoneticPr fontId="3"/>
  </si>
  <si>
    <t>へ移動する</t>
  </si>
  <si>
    <t>環境証明書申請</t>
    <rPh sb="0" eb="5">
      <t>カンキョウショウメイショ</t>
    </rPh>
    <rPh sb="5" eb="7">
      <t>シンセイ</t>
    </rPh>
    <phoneticPr fontId="55"/>
  </si>
  <si>
    <r>
      <t>申請者</t>
    </r>
    <r>
      <rPr>
        <sz val="9"/>
        <color rgb="FFFF0000"/>
        <rFont val="Meiryo UI"/>
        <family val="3"/>
        <charset val="128"/>
      </rPr>
      <t>*</t>
    </r>
    <rPh sb="0" eb="3">
      <t>シンセイシャ</t>
    </rPh>
    <phoneticPr fontId="55"/>
  </si>
  <si>
    <t>　古賀 敬子［kkoga@daitron.co.jp］</t>
    <rPh sb="1" eb="3">
      <t>コガ</t>
    </rPh>
    <rPh sb="4" eb="6">
      <t>ケイコ</t>
    </rPh>
    <phoneticPr fontId="55"/>
  </si>
  <si>
    <r>
      <t>受付番号</t>
    </r>
    <r>
      <rPr>
        <sz val="9"/>
        <color rgb="FFFF0000"/>
        <rFont val="Meiryo UI"/>
        <family val="3"/>
        <charset val="128"/>
      </rPr>
      <t>*</t>
    </r>
    <rPh sb="0" eb="4">
      <t>ウケツケバンゴウ</t>
    </rPh>
    <phoneticPr fontId="55"/>
  </si>
  <si>
    <t>提出企業名</t>
    <rPh sb="0" eb="5">
      <t>テイシュツキギョウメイ</t>
    </rPh>
    <phoneticPr fontId="55"/>
  </si>
  <si>
    <t>　BANDO DENSEN-THA</t>
    <phoneticPr fontId="55"/>
  </si>
  <si>
    <t>エンドユーザー</t>
    <phoneticPr fontId="55"/>
  </si>
  <si>
    <t>申請ステータス</t>
    <rPh sb="0" eb="2">
      <t>シンセイ</t>
    </rPh>
    <phoneticPr fontId="55"/>
  </si>
  <si>
    <t>　処理済み</t>
    <rPh sb="1" eb="4">
      <t>ショリズ</t>
    </rPh>
    <phoneticPr fontId="55"/>
  </si>
  <si>
    <r>
      <t>申請日</t>
    </r>
    <r>
      <rPr>
        <sz val="9"/>
        <color rgb="FFFF0000"/>
        <rFont val="Meiryo UI"/>
        <family val="3"/>
        <charset val="128"/>
      </rPr>
      <t>*</t>
    </r>
    <rPh sb="0" eb="3">
      <t>シンセイビ</t>
    </rPh>
    <phoneticPr fontId="55"/>
  </si>
  <si>
    <t>　2026/03/01</t>
    <phoneticPr fontId="55"/>
  </si>
  <si>
    <t>　KONICA MINOLTA</t>
    <phoneticPr fontId="55"/>
  </si>
  <si>
    <t>　2026-01327</t>
    <phoneticPr fontId="55"/>
  </si>
  <si>
    <t>CL-Code</t>
    <phoneticPr fontId="55"/>
  </si>
  <si>
    <t>　CL-12345</t>
    <phoneticPr fontId="55"/>
  </si>
  <si>
    <t>ハロゲンフリー証明書</t>
    <rPh sb="7" eb="10">
      <t>ショウメイショ</t>
    </rPh>
    <phoneticPr fontId="55"/>
  </si>
  <si>
    <t>ICP</t>
    <phoneticPr fontId="55"/>
  </si>
  <si>
    <t>　YES</t>
    <phoneticPr fontId="55"/>
  </si>
  <si>
    <t>chemSHERPA</t>
    <phoneticPr fontId="55"/>
  </si>
  <si>
    <t>RoHS適合証明書</t>
    <rPh sb="4" eb="9">
      <t>テキゴウショウメイショ</t>
    </rPh>
    <phoneticPr fontId="55"/>
  </si>
  <si>
    <t>成分表</t>
    <rPh sb="0" eb="3">
      <t>セイブンヒョウ</t>
    </rPh>
    <phoneticPr fontId="55"/>
  </si>
  <si>
    <t>SDS</t>
    <phoneticPr fontId="55"/>
  </si>
  <si>
    <t>SVHC調査報告書</t>
    <rPh sb="4" eb="9">
      <t>チョウサホウコクショ</t>
    </rPh>
    <phoneticPr fontId="55"/>
  </si>
  <si>
    <t>申請者</t>
    <rPh sb="0" eb="2">
      <t>シンセイシャ</t>
    </rPh>
    <phoneticPr fontId="55"/>
  </si>
  <si>
    <t>chen abby[abbchen@sinbon.c…</t>
    <phoneticPr fontId="55"/>
  </si>
  <si>
    <t>受付番号　⇅</t>
    <rPh sb="0" eb="3">
      <t>ウケツケバンゴウ</t>
    </rPh>
    <phoneticPr fontId="55"/>
  </si>
  <si>
    <t>2026-01324</t>
    <phoneticPr fontId="55"/>
  </si>
  <si>
    <t>提出先企業名　⇅</t>
    <rPh sb="0" eb="2">
      <t>テイシュツ</t>
    </rPh>
    <rPh sb="2" eb="3">
      <t>サキ</t>
    </rPh>
    <rPh sb="3" eb="5">
      <t>キギョウ</t>
    </rPh>
    <rPh sb="5" eb="6">
      <t>メイ</t>
    </rPh>
    <phoneticPr fontId="55"/>
  </si>
  <si>
    <t>801813</t>
    <phoneticPr fontId="55"/>
  </si>
  <si>
    <t>エンドユーザー　⇅</t>
    <phoneticPr fontId="55"/>
  </si>
  <si>
    <t>Garmin</t>
    <phoneticPr fontId="55"/>
  </si>
  <si>
    <t>申請ステータス　⇅</t>
    <rPh sb="0" eb="2">
      <t>シンセイ</t>
    </rPh>
    <phoneticPr fontId="55"/>
  </si>
  <si>
    <t>未処理</t>
    <rPh sb="0" eb="2">
      <t>ミショリ</t>
    </rPh>
    <phoneticPr fontId="55"/>
  </si>
  <si>
    <t>2026-01323</t>
    <phoneticPr fontId="55"/>
  </si>
  <si>
    <t>801580</t>
    <phoneticPr fontId="55"/>
  </si>
  <si>
    <t>Nexcom Standard</t>
    <phoneticPr fontId="55"/>
  </si>
  <si>
    <t>＜</t>
    <phoneticPr fontId="55"/>
  </si>
  <si>
    <t>/</t>
    <phoneticPr fontId="55"/>
  </si>
  <si>
    <t>＞</t>
    <phoneticPr fontId="55"/>
  </si>
  <si>
    <t>1. 環境証明書申請状況詳細</t>
    <rPh sb="3" eb="8">
      <t>カンキョウショウメイショ</t>
    </rPh>
    <rPh sb="8" eb="10">
      <t>シンセイ</t>
    </rPh>
    <rPh sb="10" eb="12">
      <t>ジョウキョウ</t>
    </rPh>
    <rPh sb="12" eb="14">
      <t>ショウサイ</t>
    </rPh>
    <phoneticPr fontId="55"/>
  </si>
  <si>
    <t>1.1　申請者</t>
    <rPh sb="4" eb="7">
      <t>シンセイシャ</t>
    </rPh>
    <phoneticPr fontId="55"/>
  </si>
  <si>
    <t>1.2　受付番号</t>
    <rPh sb="4" eb="8">
      <t>ウケツケバンゴウ</t>
    </rPh>
    <phoneticPr fontId="55"/>
  </si>
  <si>
    <t>1.3　提出企業名</t>
    <rPh sb="4" eb="9">
      <t>テイシュツキギョウメイ</t>
    </rPh>
    <phoneticPr fontId="55"/>
  </si>
  <si>
    <t>1.4　エンドユーザー</t>
    <phoneticPr fontId="55"/>
  </si>
  <si>
    <t>1.5　申請ステータス</t>
    <rPh sb="4" eb="6">
      <t>シンセイ</t>
    </rPh>
    <phoneticPr fontId="55"/>
  </si>
  <si>
    <t>1.6　申請日</t>
    <rPh sb="4" eb="6">
      <t>シンセイ</t>
    </rPh>
    <rPh sb="6" eb="7">
      <t>ビ</t>
    </rPh>
    <phoneticPr fontId="55"/>
  </si>
  <si>
    <t>1.7　CL-Code</t>
    <phoneticPr fontId="55"/>
  </si>
  <si>
    <t>1.8　RoHS適合証明書</t>
    <rPh sb="8" eb="13">
      <t>テキゴウショウメイショ</t>
    </rPh>
    <phoneticPr fontId="55"/>
  </si>
  <si>
    <t>1.9　ハロゲンフリー証明書</t>
    <rPh sb="11" eb="14">
      <t>ショウメイショ</t>
    </rPh>
    <phoneticPr fontId="55"/>
  </si>
  <si>
    <t>1.10　成分表</t>
    <rPh sb="5" eb="8">
      <t>セイブンヒョウ</t>
    </rPh>
    <phoneticPr fontId="55"/>
  </si>
  <si>
    <t>1.11　ICP</t>
    <phoneticPr fontId="55"/>
  </si>
  <si>
    <t>1.12　SDS</t>
    <phoneticPr fontId="55"/>
  </si>
  <si>
    <t>1.13　chemSHERPA</t>
    <phoneticPr fontId="55"/>
  </si>
  <si>
    <t>下記項目の申請状況のステータスを表示</t>
    <rPh sb="0" eb="4">
      <t>カキコウモク</t>
    </rPh>
    <rPh sb="5" eb="7">
      <t>シンセイ</t>
    </rPh>
    <rPh sb="7" eb="9">
      <t>ジョウキョウ</t>
    </rPh>
    <rPh sb="16" eb="18">
      <t>ヒョウジ</t>
    </rPh>
    <phoneticPr fontId="55"/>
  </si>
  <si>
    <t>HrsCustomer.uidを照合して該当の申請者の名前を表示</t>
    <phoneticPr fontId="55"/>
  </si>
  <si>
    <t>HrsChemicalSubstance.appNoを照合して該当の受付番号を表示</t>
  </si>
  <si>
    <t>HrsChemicalSubstance.clientCodeを照合して該当の提出企業名を表示</t>
    <phoneticPr fontId="55"/>
  </si>
  <si>
    <t>HrsChemicalSubstance.endUserを照合して該当のエンドユーザー名を表示</t>
    <phoneticPr fontId="55"/>
  </si>
  <si>
    <t>ChemicalSubstanceStatusを照合して「未処理/処理中/処理済み」を表示</t>
    <phoneticPr fontId="55"/>
  </si>
  <si>
    <t>HrsChemicalSubstance.creationtimeを照合して申請日を出力</t>
  </si>
  <si>
    <t>HrsChemicalSubstanceProduct.partNoを照合して該当のCLナンバーを出力する</t>
    <phoneticPr fontId="55"/>
  </si>
  <si>
    <t>HrsChemicalSubstanceEntry.requestedCertificatesの値を</t>
    <phoneticPr fontId="55"/>
  </si>
  <si>
    <t>AppEnumGroup.ChemicalSubstanceDataと照合し、「YES/空白」を表示</t>
  </si>
  <si>
    <t>RoHS適合証明書</t>
    <rPh sb="4" eb="6">
      <t>テキゴウ</t>
    </rPh>
    <rPh sb="6" eb="8">
      <t>ショウメイ</t>
    </rPh>
    <rPh sb="8" eb="9">
      <t>ショ</t>
    </rPh>
    <phoneticPr fontId="59"/>
  </si>
  <si>
    <t>環境証明書申請状況詳細エリア</t>
    <phoneticPr fontId="55"/>
  </si>
  <si>
    <t>ハロゲンフリー証明書</t>
    <rPh sb="7" eb="10">
      <t>ショウメイショ</t>
    </rPh>
    <phoneticPr fontId="59"/>
  </si>
  <si>
    <t>申請者</t>
    <rPh sb="0" eb="3">
      <t>シンセイシャ</t>
    </rPh>
    <phoneticPr fontId="55"/>
  </si>
  <si>
    <t>1.14　SVHC調査報告書</t>
    <rPh sb="9" eb="11">
      <t>チョウサ</t>
    </rPh>
    <rPh sb="11" eb="14">
      <t>ホウコクショ</t>
    </rPh>
    <phoneticPr fontId="55"/>
  </si>
  <si>
    <t>SVHC調査報告書</t>
    <phoneticPr fontId="55"/>
  </si>
  <si>
    <t>提出先企業名</t>
    <phoneticPr fontId="59"/>
  </si>
  <si>
    <t>エンドユーザー</t>
    <phoneticPr fontId="59"/>
  </si>
  <si>
    <t>受付番号</t>
    <rPh sb="0" eb="4">
      <t>ウケツケバンゴウ</t>
    </rPh>
    <phoneticPr fontId="55"/>
  </si>
  <si>
    <t>申請日</t>
    <rPh sb="0" eb="3">
      <t>シンセイビ</t>
    </rPh>
    <phoneticPr fontId="55"/>
  </si>
  <si>
    <t>検索結果におけるリクエストした申請者の値</t>
    <rPh sb="0" eb="4">
      <t>ケンサクケッカ</t>
    </rPh>
    <rPh sb="15" eb="18">
      <t>シンセイシャ</t>
    </rPh>
    <rPh sb="19" eb="20">
      <t>アタイ</t>
    </rPh>
    <phoneticPr fontId="55"/>
  </si>
  <si>
    <t>検索結果におけるリクエストしたRoHS証明書の値</t>
    <rPh sb="19" eb="22">
      <t>ショウメイショ</t>
    </rPh>
    <rPh sb="23" eb="24">
      <t>アタイ</t>
    </rPh>
    <phoneticPr fontId="59"/>
  </si>
  <si>
    <t>検索結果におけるリクエストしたハロゲンフリー証明書の値</t>
    <rPh sb="22" eb="25">
      <t>ショウメイショ</t>
    </rPh>
    <rPh sb="26" eb="27">
      <t>アタイ</t>
    </rPh>
    <phoneticPr fontId="59"/>
  </si>
  <si>
    <t>検索結果におけるリクエストした成分表の値</t>
    <rPh sb="15" eb="18">
      <t>セイブンヒョウ</t>
    </rPh>
    <rPh sb="19" eb="20">
      <t>アタイ</t>
    </rPh>
    <phoneticPr fontId="59"/>
  </si>
  <si>
    <t>検索結果におけるリクエストしたICPの値</t>
    <rPh sb="19" eb="20">
      <t>アタイ</t>
    </rPh>
    <phoneticPr fontId="59"/>
  </si>
  <si>
    <t>検索結果におけるリクエストしたSDSの値</t>
    <rPh sb="19" eb="20">
      <t>アタイ</t>
    </rPh>
    <phoneticPr fontId="59"/>
  </si>
  <si>
    <t>検索結果におけるリクエストしたchemSHERPAの値</t>
    <rPh sb="26" eb="27">
      <t>アタイ</t>
    </rPh>
    <phoneticPr fontId="59"/>
  </si>
  <si>
    <t>検索結果におけるリクエストしたSVHC調査報告書の値</t>
    <rPh sb="19" eb="24">
      <t>チョウサホウコクショ</t>
    </rPh>
    <rPh sb="25" eb="26">
      <t>アタイ</t>
    </rPh>
    <phoneticPr fontId="59"/>
  </si>
  <si>
    <t>検索結果におけるリクエストした受付番号の値</t>
    <rPh sb="0" eb="4">
      <t>ケンサクケッカ</t>
    </rPh>
    <rPh sb="15" eb="19">
      <t>ウケツケバンゴウ</t>
    </rPh>
    <rPh sb="20" eb="21">
      <t>アタイ</t>
    </rPh>
    <phoneticPr fontId="55"/>
  </si>
  <si>
    <t>検索結果におけるリクエストした提出企業名の値</t>
    <rPh sb="0" eb="4">
      <t>ケンサクケッカ</t>
    </rPh>
    <rPh sb="15" eb="20">
      <t>テイシュツキギョウメイ</t>
    </rPh>
    <rPh sb="21" eb="22">
      <t>アタイ</t>
    </rPh>
    <phoneticPr fontId="55"/>
  </si>
  <si>
    <t>検索結果におけるリクエストしたエンドユーザーの値</t>
    <rPh sb="0" eb="4">
      <t>ケンサクケッカ</t>
    </rPh>
    <rPh sb="23" eb="24">
      <t>アタイ</t>
    </rPh>
    <phoneticPr fontId="55"/>
  </si>
  <si>
    <t>検索結果におけるリクエストした申請ステータスの値</t>
    <rPh sb="0" eb="4">
      <t>ケンサクケッカ</t>
    </rPh>
    <rPh sb="15" eb="17">
      <t>シンセイ</t>
    </rPh>
    <rPh sb="23" eb="24">
      <t>アタイ</t>
    </rPh>
    <phoneticPr fontId="55"/>
  </si>
  <si>
    <t>検索結果におけるリクエストした申請日の値</t>
    <rPh sb="0" eb="4">
      <t>ケンサクケッカ</t>
    </rPh>
    <rPh sb="15" eb="18">
      <t>シンセイビ</t>
    </rPh>
    <rPh sb="19" eb="20">
      <t>アタイ</t>
    </rPh>
    <phoneticPr fontId="55"/>
  </si>
  <si>
    <t>検索結果におけるリクエストしたCL-Codeの値</t>
    <rPh sb="0" eb="4">
      <t>ケンサクケッカ</t>
    </rPh>
    <rPh sb="23" eb="24">
      <t>アタイ</t>
    </rPh>
    <phoneticPr fontId="55"/>
  </si>
  <si>
    <t>検索結果から該当の受付番号を表示</t>
    <rPh sb="0" eb="4">
      <t>ケンサクケッカ</t>
    </rPh>
    <phoneticPr fontId="55"/>
  </si>
  <si>
    <t>検索結果から該当の提出企業名を表示</t>
    <rPh sb="0" eb="4">
      <t>ケンサクケッカ</t>
    </rPh>
    <phoneticPr fontId="55"/>
  </si>
  <si>
    <t>検索結果から該当のエンドユーザー名を表示</t>
    <phoneticPr fontId="55"/>
  </si>
  <si>
    <t>検索結果から照合して「未処理/処理中/処理済み」を表示</t>
    <phoneticPr fontId="55"/>
  </si>
  <si>
    <t>検索結果から該当の申請日を出力</t>
    <rPh sb="6" eb="8">
      <t>ガイトウ</t>
    </rPh>
    <phoneticPr fontId="55"/>
  </si>
  <si>
    <t>検索結果から該当の「YES/空白」を表示</t>
    <rPh sb="6" eb="8">
      <t>ガイトウ</t>
    </rPh>
    <phoneticPr fontId="55"/>
  </si>
  <si>
    <t>検索結果から該当の「YES/空白」を表示</t>
    <rPh sb="0" eb="4">
      <t>ケンサクケッカ</t>
    </rPh>
    <rPh sb="6" eb="8">
      <t>ガイトウ</t>
    </rPh>
    <phoneticPr fontId="55"/>
  </si>
  <si>
    <t>検索結果から該当のCLナンバーを出力する</t>
    <rPh sb="0" eb="4">
      <t>ケンサクケッカ</t>
    </rPh>
    <phoneticPr fontId="55"/>
  </si>
  <si>
    <t>2. 環境証明書申請状況詳細</t>
    <rPh sb="3" eb="8">
      <t>カンキョウショウメイショ</t>
    </rPh>
    <rPh sb="8" eb="10">
      <t>シンセイ</t>
    </rPh>
    <rPh sb="10" eb="12">
      <t>ジョウキョウ</t>
    </rPh>
    <rPh sb="12" eb="14">
      <t>ショウサイ</t>
    </rPh>
    <phoneticPr fontId="55"/>
  </si>
  <si>
    <t>2.1　申請者</t>
    <rPh sb="4" eb="7">
      <t>シンセイシャ</t>
    </rPh>
    <phoneticPr fontId="55"/>
  </si>
  <si>
    <t>2.2　受付番号</t>
    <rPh sb="4" eb="8">
      <t>ウケツケバンゴウ</t>
    </rPh>
    <phoneticPr fontId="55"/>
  </si>
  <si>
    <t>2.3　提出企業名</t>
    <rPh sb="4" eb="9">
      <t>テイシュツキギョウメイ</t>
    </rPh>
    <phoneticPr fontId="55"/>
  </si>
  <si>
    <t>2.4　エンドユーザー</t>
  </si>
  <si>
    <t>2.5　申請ステータス</t>
    <rPh sb="4" eb="6">
      <t>シンセイ</t>
    </rPh>
    <phoneticPr fontId="55"/>
  </si>
  <si>
    <t>2.6　申請日</t>
    <rPh sb="4" eb="6">
      <t>シンセイ</t>
    </rPh>
    <rPh sb="6" eb="7">
      <t>ビ</t>
    </rPh>
    <phoneticPr fontId="55"/>
  </si>
  <si>
    <t>2.7　CL-Code</t>
  </si>
  <si>
    <t>2.8　RoHS適合証明書</t>
    <rPh sb="8" eb="13">
      <t>テキゴウショウメイショ</t>
    </rPh>
    <phoneticPr fontId="55"/>
  </si>
  <si>
    <t>2.9　ハロゲンフリー証明書</t>
    <rPh sb="11" eb="14">
      <t>ショウメイショ</t>
    </rPh>
    <phoneticPr fontId="55"/>
  </si>
  <si>
    <t>2.10　成分表</t>
    <rPh sb="5" eb="8">
      <t>セイブンヒョウ</t>
    </rPh>
    <phoneticPr fontId="55"/>
  </si>
  <si>
    <t>2.11　ICP</t>
  </si>
  <si>
    <t>2.12　SDS</t>
  </si>
  <si>
    <t>2.13　chemSHERPA</t>
  </si>
  <si>
    <t>2.14　SVHC調査報告書</t>
    <rPh sb="9" eb="11">
      <t>チョウサ</t>
    </rPh>
    <rPh sb="11" eb="14">
      <t>ホウコクショ</t>
    </rPh>
    <phoneticPr fontId="55"/>
  </si>
  <si>
    <t>1. 環境証明書申請検索</t>
    <rPh sb="3" eb="8">
      <t>カンキョウショウメイショ</t>
    </rPh>
    <rPh sb="8" eb="10">
      <t>シンセイ</t>
    </rPh>
    <rPh sb="10" eb="12">
      <t>ケンサク</t>
    </rPh>
    <phoneticPr fontId="55"/>
  </si>
  <si>
    <t>1.1　申請ログ検索欄</t>
    <rPh sb="4" eb="6">
      <t>シンセイ</t>
    </rPh>
    <rPh sb="8" eb="10">
      <t>ケンサク</t>
    </rPh>
    <rPh sb="10" eb="11">
      <t>ラン</t>
    </rPh>
    <phoneticPr fontId="55"/>
  </si>
  <si>
    <t>検索内容を入力、検索して結果を表示</t>
    <rPh sb="0" eb="2">
      <t>ケンサク</t>
    </rPh>
    <rPh sb="2" eb="4">
      <t>ナイヨウ</t>
    </rPh>
    <rPh sb="5" eb="7">
      <t>ニュウリョク</t>
    </rPh>
    <rPh sb="8" eb="10">
      <t>ケンサク</t>
    </rPh>
    <rPh sb="12" eb="14">
      <t>ケッカ</t>
    </rPh>
    <rPh sb="15" eb="17">
      <t>ヒョウジ</t>
    </rPh>
    <phoneticPr fontId="55"/>
  </si>
  <si>
    <t>検索結果から申請者の情報を表示</t>
    <rPh sb="0" eb="4">
      <t>ケンサクケッカ</t>
    </rPh>
    <rPh sb="6" eb="9">
      <t>シンセイシャ</t>
    </rPh>
    <rPh sb="10" eb="12">
      <t>ジョウホウ</t>
    </rPh>
    <phoneticPr fontId="55"/>
  </si>
  <si>
    <t>検索結果の数に応じて総ページ数を表示</t>
    <rPh sb="0" eb="4">
      <t>ケンサクケッカ</t>
    </rPh>
    <rPh sb="5" eb="6">
      <t>カズ</t>
    </rPh>
    <rPh sb="7" eb="8">
      <t>オウ</t>
    </rPh>
    <rPh sb="10" eb="11">
      <t>ソウ</t>
    </rPh>
    <rPh sb="14" eb="15">
      <t>スウ</t>
    </rPh>
    <rPh sb="16" eb="18">
      <t>ヒョウジ</t>
    </rPh>
    <phoneticPr fontId="55"/>
  </si>
  <si>
    <t>検索結果から受付番号の情報を表示</t>
    <rPh sb="0" eb="4">
      <t>ケンサクケッカ</t>
    </rPh>
    <rPh sb="6" eb="10">
      <t>ウケツケバンゴウ</t>
    </rPh>
    <rPh sb="11" eb="13">
      <t>ジョウホウ</t>
    </rPh>
    <phoneticPr fontId="55"/>
  </si>
  <si>
    <t>検索結果から提出企業名の情報を表示</t>
    <rPh sb="0" eb="4">
      <t>ケンサクケッカ</t>
    </rPh>
    <rPh sb="6" eb="11">
      <t>テイシュツキギョウメイ</t>
    </rPh>
    <rPh sb="12" eb="14">
      <t>ジョウホウ</t>
    </rPh>
    <phoneticPr fontId="55"/>
  </si>
  <si>
    <t>検索結果からエンドユーザーの情報を表示</t>
    <rPh sb="0" eb="4">
      <t>ケンサクケッカ</t>
    </rPh>
    <rPh sb="14" eb="16">
      <t>ジョウホウ</t>
    </rPh>
    <phoneticPr fontId="55"/>
  </si>
  <si>
    <t>検索結果から申請ステータスの情報を表示</t>
    <rPh sb="0" eb="4">
      <t>ケンサクケッカ</t>
    </rPh>
    <rPh sb="6" eb="8">
      <t>シンセイ</t>
    </rPh>
    <rPh sb="14" eb="16">
      <t>ジョウホウ</t>
    </rPh>
    <phoneticPr fontId="55"/>
  </si>
  <si>
    <t>2</t>
    <phoneticPr fontId="55"/>
  </si>
  <si>
    <t>1</t>
    <phoneticPr fontId="55"/>
  </si>
  <si>
    <t>環境証明書申請検索</t>
    <rPh sb="7" eb="9">
      <t>ケンサク</t>
    </rPh>
    <phoneticPr fontId="55"/>
  </si>
  <si>
    <t>申請ログ検索欄</t>
    <rPh sb="0" eb="2">
      <t>シンセイ</t>
    </rPh>
    <rPh sb="4" eb="6">
      <t>ケンサク</t>
    </rPh>
    <rPh sb="6" eb="7">
      <t>ラン</t>
    </rPh>
    <phoneticPr fontId="55"/>
  </si>
  <si>
    <t>申請者</t>
    <rPh sb="0" eb="2">
      <t>シンセイ</t>
    </rPh>
    <rPh sb="2" eb="3">
      <t>シャ</t>
    </rPh>
    <phoneticPr fontId="55"/>
  </si>
  <si>
    <t>受付番号</t>
    <rPh sb="0" eb="4">
      <t>ウケツケバンゴウ</t>
    </rPh>
    <phoneticPr fontId="59"/>
  </si>
  <si>
    <t>提出企業名</t>
    <rPh sb="0" eb="5">
      <t>テイシュツキギョウメイ</t>
    </rPh>
    <phoneticPr fontId="59"/>
  </si>
  <si>
    <t>検索結果表示ページ</t>
    <rPh sb="0" eb="2">
      <t>ケンサク</t>
    </rPh>
    <rPh sb="2" eb="4">
      <t>ケッカ</t>
    </rPh>
    <rPh sb="4" eb="6">
      <t>ヒョウジ</t>
    </rPh>
    <phoneticPr fontId="55"/>
  </si>
  <si>
    <t>申請ログ検索欄で検索した申請者一覧を表示</t>
    <rPh sb="0" eb="2">
      <t>シンセイ</t>
    </rPh>
    <rPh sb="4" eb="6">
      <t>ケンサク</t>
    </rPh>
    <rPh sb="6" eb="7">
      <t>ラン</t>
    </rPh>
    <rPh sb="8" eb="10">
      <t>ケンサク</t>
    </rPh>
    <rPh sb="12" eb="15">
      <t>シンセイシャ</t>
    </rPh>
    <rPh sb="15" eb="17">
      <t>イチラン</t>
    </rPh>
    <rPh sb="18" eb="20">
      <t>ヒョウジ</t>
    </rPh>
    <phoneticPr fontId="55"/>
  </si>
  <si>
    <t>申請ログ検索欄で検索した受付番号一覧を表示</t>
    <rPh sb="0" eb="2">
      <t>シンセイ</t>
    </rPh>
    <rPh sb="4" eb="6">
      <t>ケンサク</t>
    </rPh>
    <rPh sb="6" eb="7">
      <t>ラン</t>
    </rPh>
    <rPh sb="8" eb="10">
      <t>ケンサク</t>
    </rPh>
    <rPh sb="12" eb="16">
      <t>ウケツケバンゴウ</t>
    </rPh>
    <rPh sb="16" eb="18">
      <t>イチラン</t>
    </rPh>
    <rPh sb="19" eb="21">
      <t>ヒョウジ</t>
    </rPh>
    <phoneticPr fontId="55"/>
  </si>
  <si>
    <t>申請ログ検索欄で検索した提出企業名一覧を表示</t>
    <rPh sb="0" eb="2">
      <t>シンセイ</t>
    </rPh>
    <rPh sb="4" eb="6">
      <t>ケンサク</t>
    </rPh>
    <rPh sb="6" eb="7">
      <t>ラン</t>
    </rPh>
    <rPh sb="8" eb="10">
      <t>ケンサク</t>
    </rPh>
    <rPh sb="12" eb="17">
      <t>テイシュツキギョウメイ</t>
    </rPh>
    <rPh sb="17" eb="19">
      <t>イチラン</t>
    </rPh>
    <rPh sb="20" eb="22">
      <t>ヒョウジ</t>
    </rPh>
    <phoneticPr fontId="55"/>
  </si>
  <si>
    <t>申請ログ検索欄で検索したエンドユーザー一覧を表示</t>
    <rPh sb="0" eb="2">
      <t>シンセイ</t>
    </rPh>
    <rPh sb="4" eb="6">
      <t>ケンサク</t>
    </rPh>
    <rPh sb="6" eb="7">
      <t>ラン</t>
    </rPh>
    <rPh sb="8" eb="10">
      <t>ケンサク</t>
    </rPh>
    <rPh sb="19" eb="21">
      <t>イチラン</t>
    </rPh>
    <rPh sb="22" eb="24">
      <t>ヒョウジ</t>
    </rPh>
    <phoneticPr fontId="55"/>
  </si>
  <si>
    <t>申請ログ検索欄で検索した申請ステータス一覧を表示</t>
    <rPh sb="0" eb="2">
      <t>シンセイ</t>
    </rPh>
    <rPh sb="4" eb="6">
      <t>ケンサク</t>
    </rPh>
    <rPh sb="6" eb="7">
      <t>ラン</t>
    </rPh>
    <rPh sb="8" eb="10">
      <t>ケンサク</t>
    </rPh>
    <rPh sb="12" eb="14">
      <t>シンセイ</t>
    </rPh>
    <rPh sb="19" eb="21">
      <t>イチラン</t>
    </rPh>
    <rPh sb="22" eb="24">
      <t>ヒョウジ</t>
    </rPh>
    <phoneticPr fontId="55"/>
  </si>
  <si>
    <t>検索結果数に合わせて総ページ数を表示</t>
    <rPh sb="0" eb="4">
      <t>ケンサクケッカ</t>
    </rPh>
    <rPh sb="4" eb="5">
      <t>スウ</t>
    </rPh>
    <rPh sb="6" eb="7">
      <t>ア</t>
    </rPh>
    <rPh sb="10" eb="11">
      <t>ソウ</t>
    </rPh>
    <rPh sb="14" eb="15">
      <t>スウ</t>
    </rPh>
    <rPh sb="16" eb="18">
      <t>ヒョウジ</t>
    </rPh>
    <phoneticPr fontId="55"/>
  </si>
  <si>
    <t>1.2　期間指定申請ログ検索欄</t>
    <rPh sb="4" eb="6">
      <t>キカン</t>
    </rPh>
    <rPh sb="6" eb="8">
      <t>シテイ</t>
    </rPh>
    <rPh sb="8" eb="10">
      <t>シンセイ</t>
    </rPh>
    <rPh sb="12" eb="14">
      <t>ケンサク</t>
    </rPh>
    <rPh sb="14" eb="15">
      <t>ラン</t>
    </rPh>
    <phoneticPr fontId="55"/>
  </si>
  <si>
    <t>設定した期間内で申請されたログを検索する</t>
    <rPh sb="0" eb="2">
      <t>セッテイ</t>
    </rPh>
    <rPh sb="4" eb="7">
      <t>キカンナイ</t>
    </rPh>
    <rPh sb="8" eb="10">
      <t>シンセイ</t>
    </rPh>
    <rPh sb="16" eb="18">
      <t>ケンサク</t>
    </rPh>
    <phoneticPr fontId="55"/>
  </si>
  <si>
    <t>1.3　申請者</t>
    <rPh sb="4" eb="7">
      <t>シンセイシャ</t>
    </rPh>
    <phoneticPr fontId="55"/>
  </si>
  <si>
    <t>1.4　提出企業名</t>
    <rPh sb="4" eb="9">
      <t>テイシュツキギョウメイ</t>
    </rPh>
    <phoneticPr fontId="55"/>
  </si>
  <si>
    <t>1.5　エンドユーザー</t>
    <phoneticPr fontId="55"/>
  </si>
  <si>
    <t>1.7　申請日</t>
    <rPh sb="4" eb="6">
      <t>シンセイ</t>
    </rPh>
    <rPh sb="6" eb="7">
      <t>ビ</t>
    </rPh>
    <phoneticPr fontId="55"/>
  </si>
  <si>
    <t>1.8　検索結果表示ページ</t>
    <phoneticPr fontId="55"/>
  </si>
  <si>
    <t>1.6　申請ステータス</t>
    <rPh sb="4" eb="6">
      <t>シンセイ</t>
    </rPh>
    <phoneticPr fontId="55"/>
  </si>
  <si>
    <t>管理者ログ確認システム</t>
    <rPh sb="0" eb="3">
      <t>カンリシャ</t>
    </rPh>
    <rPh sb="5" eb="7">
      <t>カクニン</t>
    </rPh>
    <phoneticPr fontId="49"/>
  </si>
  <si>
    <t>管理画面</t>
    <rPh sb="0" eb="4">
      <t>カンリガメン</t>
    </rPh>
    <phoneticPr fontId="49"/>
  </si>
  <si>
    <t>ｒ1.1</t>
    <phoneticPr fontId="49"/>
  </si>
  <si>
    <t>期間指定申請ログ検索欄を追加</t>
    <rPh sb="0" eb="2">
      <t>キカン</t>
    </rPh>
    <rPh sb="2" eb="4">
      <t>シテイ</t>
    </rPh>
    <rPh sb="4" eb="6">
      <t>シンセイ</t>
    </rPh>
    <rPh sb="8" eb="10">
      <t>ケンサク</t>
    </rPh>
    <rPh sb="10" eb="11">
      <t>ラン</t>
    </rPh>
    <rPh sb="12" eb="14">
      <t>ツイカ</t>
    </rPh>
    <phoneticPr fontId="49"/>
  </si>
  <si>
    <t>管理者申請ログ確認画面</t>
    <phoneticPr fontId="49"/>
  </si>
  <si>
    <t>新環境証明書システム</t>
    <rPh sb="0" eb="6">
      <t>シンカンキョウショウメイショ</t>
    </rPh>
    <phoneticPr fontId="4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</si>
</sst>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76" formatCode="#,##0;\-#,##0;&quot;-&quot;"/>
    <numFmt numFmtId="177" formatCode="0.00_)"/>
    <numFmt numFmtId="178" formatCode="#,##0.00;[Red]\(#,##0.00\)"/>
    <numFmt numFmtId="179" formatCode="#,##0.00_);[Red]\(#,##0.00\)"/>
    <numFmt numFmtId="180" formatCode="#,##0_ "/>
    <numFmt numFmtId="181" formatCode="#,##0_);[Red]\(#,##0\)"/>
    <numFmt numFmtId="182" formatCode="0.0%"/>
    <numFmt numFmtId="183" formatCode="#,##0_ ;[Red]\-#,##0\ "/>
    <numFmt numFmtId="184" formatCode="#,##0.0000_);[Red]\(#,##0.0000\)"/>
    <numFmt numFmtId="185" formatCode="0.0000_);[Red]\(0.0000\)"/>
    <numFmt numFmtId="186" formatCode="0.0000_ "/>
    <numFmt numFmtId="187" formatCode="0_ "/>
  </numFmts>
  <fonts count="116">
    <font>
      <sz val="11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Arial Black"/>
      <family val="2"/>
    </font>
    <font>
      <sz val="12"/>
      <name val="ＭＳ Ｐゴシック"/>
      <family val="3"/>
      <charset val="128"/>
    </font>
    <font>
      <sz val="16"/>
      <name val="ＭＳ Ｐゴシック"/>
      <family val="3"/>
      <charset val="128"/>
    </font>
    <font>
      <b/>
      <u/>
      <sz val="10"/>
      <name val="ＭＳ Ｐゴシック"/>
      <family val="3"/>
      <charset val="128"/>
    </font>
    <font>
      <b/>
      <sz val="10"/>
      <name val="ＭＳ Ｐゴシック"/>
      <family val="3"/>
      <charset val="128"/>
    </font>
    <font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8"/>
      <name val="ＭＳ Ｐゴシック"/>
      <family val="3"/>
      <charset val="128"/>
    </font>
    <font>
      <sz val="11"/>
      <name val="ＭＳ 明朝"/>
      <family val="1"/>
      <charset val="128"/>
    </font>
    <font>
      <sz val="10"/>
      <color indexed="8"/>
      <name val="Arial"/>
      <family val="2"/>
    </font>
    <font>
      <b/>
      <sz val="10"/>
      <color indexed="9"/>
      <name val="ＭＳ ゴシック"/>
      <family val="3"/>
      <charset val="128"/>
    </font>
    <font>
      <b/>
      <sz val="8"/>
      <color indexed="9"/>
      <name val="ＭＳ ゴシック"/>
      <family val="3"/>
      <charset val="128"/>
    </font>
    <font>
      <b/>
      <sz val="8"/>
      <color indexed="8"/>
      <name val="ＭＳ ゴシック"/>
      <family val="3"/>
      <charset val="128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b/>
      <sz val="10"/>
      <color indexed="8"/>
      <name val="ＭＳ ゴシック"/>
      <family val="3"/>
      <charset val="128"/>
    </font>
    <font>
      <b/>
      <i/>
      <sz val="16"/>
      <name val="Helv"/>
      <family val="2"/>
    </font>
    <font>
      <sz val="10"/>
      <name val="Arial"/>
      <family val="2"/>
    </font>
    <font>
      <sz val="10"/>
      <color indexed="8"/>
      <name val="_x001b_$B#M#S_x001b_(B _x001b_$B%4%7%C%/_x001b_(B"/>
      <family val="1"/>
    </font>
    <font>
      <b/>
      <i/>
      <sz val="10"/>
      <color indexed="8"/>
      <name val="_x001b_$B#M#S_x001b_(B _x001b_$B%4%7%C%/_x001b_(B"/>
      <family val="1"/>
    </font>
    <font>
      <b/>
      <sz val="10"/>
      <color indexed="9"/>
      <name val="_x001b_$B#M#S_x001b_(B _x001b_$B%4%7%C%/_x001b_(B"/>
      <family val="1"/>
    </font>
    <font>
      <b/>
      <sz val="10"/>
      <color indexed="17"/>
      <name val="_x001b_$B#M#S_x001b_(B _x001b_$B%4%7%C%/_x001b_(B"/>
      <family val="1"/>
    </font>
    <font>
      <b/>
      <sz val="16"/>
      <color indexed="13"/>
      <name val="_x001b_$B#M#S_x001b_(B _x001b_$B%4%7%C%/_x001b_(B"/>
      <family val="1"/>
    </font>
    <font>
      <b/>
      <sz val="12"/>
      <color indexed="8"/>
      <name val="ＭＳ ゴシック"/>
      <family val="3"/>
      <charset val="128"/>
    </font>
    <font>
      <sz val="8"/>
      <color indexed="16"/>
      <name val="Century Schoolbook"/>
      <family val="1"/>
    </font>
    <font>
      <sz val="8"/>
      <color indexed="8"/>
      <name val="ＭＳ ゴシック"/>
      <family val="3"/>
      <charset val="128"/>
    </font>
    <font>
      <sz val="8"/>
      <color indexed="12"/>
      <name val="ＭＳ ゴシック"/>
      <family val="3"/>
      <charset val="128"/>
    </font>
    <font>
      <b/>
      <i/>
      <sz val="10"/>
      <name val="Times New Roman"/>
      <family val="1"/>
    </font>
    <font>
      <b/>
      <sz val="11"/>
      <name val="Helv"/>
      <family val="2"/>
    </font>
    <font>
      <b/>
      <sz val="9"/>
      <name val="Times New Roman"/>
      <family val="1"/>
    </font>
    <font>
      <sz val="8"/>
      <color indexed="8"/>
      <name val="Wingdings"/>
      <charset val="2"/>
    </font>
    <font>
      <sz val="11"/>
      <name val="明朝"/>
      <family val="3"/>
      <charset val="128"/>
    </font>
    <font>
      <sz val="14"/>
      <name val="ＭＳ 明朝"/>
      <family val="1"/>
      <charset val="128"/>
    </font>
    <font>
      <b/>
      <sz val="9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0"/>
      <color indexed="9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  <font>
      <sz val="10"/>
      <color theme="1"/>
      <name val="ＭＳ Ｐゴシック"/>
      <family val="3"/>
      <charset val="128"/>
      <scheme val="minor"/>
    </font>
    <font>
      <sz val="10"/>
      <name val="ＭＳ Ｐゴシック"/>
      <family val="3"/>
      <charset val="128"/>
      <scheme val="minor"/>
    </font>
    <font>
      <b/>
      <sz val="12"/>
      <color theme="0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  <font>
      <sz val="11"/>
      <color theme="0"/>
      <name val="ＭＳ Ｐゴシック"/>
      <family val="2"/>
      <charset val="128"/>
      <scheme val="minor"/>
    </font>
    <font>
      <sz val="10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scheme val="minor"/>
    </font>
    <font>
      <sz val="6"/>
      <name val="ＭＳ Ｐゴシック"/>
      <family val="2"/>
      <charset val="128"/>
      <scheme val="minor"/>
    </font>
    <font>
      <sz val="9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  <scheme val="minor"/>
    </font>
    <font>
      <u/>
      <sz val="9"/>
      <color theme="3" tint="0.39997558519241921"/>
      <name val="ＭＳ Ｐゴシック"/>
      <family val="3"/>
      <charset val="128"/>
      <scheme val="minor"/>
    </font>
    <font>
      <sz val="10"/>
      <color rgb="FFFF0000"/>
      <name val="ＭＳ Ｐゴシック"/>
      <family val="3"/>
      <charset val="128"/>
      <scheme val="minor"/>
    </font>
    <font>
      <sz val="10"/>
      <name val="ＭＳ Ｐゴシック"/>
      <family val="2"/>
      <charset val="128"/>
      <scheme val="minor"/>
    </font>
    <font>
      <sz val="11"/>
      <color theme="0" tint="-0.14999847407452621"/>
      <name val="ＭＳ Ｐゴシック"/>
      <family val="2"/>
      <charset val="128"/>
      <scheme val="minor"/>
    </font>
    <font>
      <sz val="11"/>
      <color rgb="FFFFFF00"/>
      <name val="ＭＳ Ｐゴシック"/>
      <family val="2"/>
      <charset val="128"/>
      <scheme val="minor"/>
    </font>
    <font>
      <b/>
      <sz val="14"/>
      <color theme="0"/>
      <name val="ＭＳ Ｐゴシック"/>
      <family val="3"/>
      <charset val="128"/>
      <scheme val="minor"/>
    </font>
    <font>
      <sz val="10"/>
      <color theme="0" tint="-0.34998626667073579"/>
      <name val="ＭＳ Ｐゴシック"/>
      <family val="3"/>
      <charset val="128"/>
      <scheme val="minor"/>
    </font>
    <font>
      <u/>
      <sz val="10"/>
      <name val="ＭＳ Ｐゴシック"/>
      <family val="3"/>
      <charset val="128"/>
      <scheme val="minor"/>
    </font>
    <font>
      <b/>
      <sz val="10"/>
      <color rgb="FF00B050"/>
      <name val="ＭＳ Ｐゴシック"/>
      <family val="3"/>
      <charset val="128"/>
      <scheme val="minor"/>
    </font>
    <font>
      <b/>
      <sz val="10"/>
      <color rgb="FFFF0000"/>
      <name val="ＭＳ Ｐゴシック"/>
      <family val="3"/>
      <charset val="128"/>
      <scheme val="minor"/>
    </font>
    <font>
      <sz val="10"/>
      <color theme="0" tint="-0.499984740745262"/>
      <name val="ＭＳ Ｐゴシック"/>
      <family val="3"/>
      <charset val="128"/>
      <scheme val="minor"/>
    </font>
    <font>
      <sz val="9"/>
      <color theme="1"/>
      <name val="ＭＳ Ｐゴシック"/>
      <family val="3"/>
      <charset val="128"/>
      <scheme val="minor"/>
    </font>
    <font>
      <b/>
      <sz val="10"/>
      <name val="ＭＳ Ｐゴシック"/>
      <family val="3"/>
      <charset val="128"/>
      <scheme val="minor"/>
    </font>
    <font>
      <b/>
      <sz val="10"/>
      <color theme="1"/>
      <name val="ＭＳ Ｐゴシック"/>
      <family val="3"/>
      <charset val="128"/>
      <scheme val="minor"/>
    </font>
    <font>
      <u/>
      <sz val="10"/>
      <color rgb="FF0070C0"/>
      <name val="ＭＳ Ｐゴシック"/>
      <family val="3"/>
      <charset val="128"/>
      <scheme val="minor"/>
    </font>
    <font>
      <sz val="10"/>
      <color theme="0"/>
      <name val="ＭＳ Ｐゴシック"/>
      <family val="3"/>
      <charset val="128"/>
      <scheme val="minor"/>
    </font>
    <font>
      <sz val="10"/>
      <color rgb="FF0000FF"/>
      <name val="ＭＳ Ｐゴシック"/>
      <family val="3"/>
      <charset val="128"/>
      <scheme val="minor"/>
    </font>
    <font>
      <strike/>
      <sz val="10"/>
      <color rgb="FFFF0000"/>
      <name val="ＭＳ Ｐゴシック"/>
      <family val="3"/>
      <charset val="128"/>
      <scheme val="minor"/>
    </font>
    <font>
      <b/>
      <sz val="12"/>
      <name val="Arial Black"/>
      <family val="2"/>
    </font>
    <font>
      <sz val="9"/>
      <color indexed="81"/>
      <name val="MS P ゴシック"/>
      <family val="3"/>
      <charset val="128"/>
    </font>
    <font>
      <b/>
      <sz val="10"/>
      <color rgb="FF00B0F0"/>
      <name val="ＭＳ Ｐゴシック"/>
      <family val="3"/>
      <charset val="128"/>
      <scheme val="minor"/>
    </font>
    <font>
      <sz val="10"/>
      <color theme="6" tint="0.39997558519241921"/>
      <name val="ＭＳ Ｐゴシック"/>
      <family val="3"/>
      <charset val="128"/>
      <scheme val="minor"/>
    </font>
    <font>
      <b/>
      <sz val="10"/>
      <color theme="6" tint="0.39997558519241921"/>
      <name val="ＭＳ Ｐゴシック"/>
      <family val="3"/>
      <charset val="128"/>
      <scheme val="minor"/>
    </font>
    <font>
      <sz val="9"/>
      <color rgb="FFFF0000"/>
      <name val="ＭＳ Ｐゴシック"/>
      <family val="3"/>
      <charset val="128"/>
      <scheme val="minor"/>
    </font>
    <font>
      <u/>
      <sz val="10"/>
      <color theme="1"/>
      <name val="ＭＳ Ｐゴシック"/>
      <family val="3"/>
      <charset val="128"/>
      <scheme val="minor"/>
    </font>
    <font>
      <sz val="9"/>
      <color rgb="FF0000FF"/>
      <name val="ＭＳ Ｐゴシック"/>
      <family val="3"/>
      <charset val="128"/>
      <scheme val="minor"/>
    </font>
    <font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sz val="10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b/>
      <sz val="10"/>
      <color theme="1"/>
      <name val="Meiryo UI"/>
      <family val="3"/>
      <charset val="128"/>
    </font>
    <font>
      <sz val="9"/>
      <name val="Meiryo UI"/>
      <family val="3"/>
      <charset val="128"/>
    </font>
    <font>
      <sz val="11"/>
      <name val="Meiryo UI"/>
      <family val="3"/>
      <charset val="128"/>
    </font>
    <font>
      <sz val="16"/>
      <name val="Meiryo UI"/>
      <family val="3"/>
      <charset val="128"/>
    </font>
    <font>
      <b/>
      <sz val="10"/>
      <name val="Meiryo UI"/>
      <family val="3"/>
      <charset val="128"/>
    </font>
    <font>
      <sz val="8"/>
      <name val="Meiryo UI"/>
      <family val="3"/>
      <charset val="128"/>
    </font>
    <font>
      <sz val="10"/>
      <color rgb="FFFF9900"/>
      <name val="Meiryo UI"/>
      <family val="3"/>
      <charset val="128"/>
    </font>
    <font>
      <sz val="9"/>
      <color theme="1"/>
      <name val="Meiryo UI"/>
      <family val="3"/>
      <charset val="128"/>
    </font>
    <font>
      <b/>
      <sz val="11"/>
      <name val="Meiryo UI"/>
      <family val="3"/>
      <charset val="128"/>
    </font>
    <font>
      <b/>
      <sz val="9"/>
      <name val="Meiryo UI"/>
      <family val="3"/>
      <charset val="128"/>
    </font>
    <font>
      <sz val="9"/>
      <color indexed="81"/>
      <name val="ＭＳ Ｐゴシック"/>
      <family val="3"/>
      <charset val="128"/>
    </font>
    <font>
      <sz val="9"/>
      <color indexed="8"/>
      <name val="ＭＳ Ｐゴシック"/>
      <family val="3"/>
      <charset val="128"/>
    </font>
    <font>
      <sz val="10"/>
      <color indexed="8"/>
      <name val="ＭＳ Ｐゴシック"/>
      <family val="3"/>
      <charset val="128"/>
    </font>
    <font>
      <b/>
      <sz val="10"/>
      <color indexed="8"/>
      <name val="ＭＳ Ｐゴシック"/>
      <family val="3"/>
      <charset val="128"/>
    </font>
    <font>
      <b/>
      <sz val="16"/>
      <name val="Meiryo UI"/>
      <family val="3"/>
      <charset val="128"/>
    </font>
    <font>
      <sz val="12"/>
      <name val="Meiryo UI"/>
      <family val="3"/>
      <charset val="128"/>
    </font>
    <font>
      <b/>
      <sz val="10"/>
      <color rgb="FF0066FF"/>
      <name val="Meiryo UI"/>
      <family val="3"/>
      <charset val="128"/>
    </font>
    <font>
      <sz val="9"/>
      <color rgb="FF5F5F5F"/>
      <name val="Meiryo UI"/>
      <family val="3"/>
      <charset val="128"/>
    </font>
    <font>
      <sz val="9"/>
      <color rgb="FFFF0000"/>
      <name val="Meiryo UI"/>
      <family val="3"/>
      <charset val="128"/>
    </font>
    <font>
      <sz val="10"/>
      <color theme="0" tint="-0.249977111117893"/>
      <name val="Meiryo UI"/>
      <family val="3"/>
      <charset val="128"/>
    </font>
    <font>
      <sz val="10"/>
      <color theme="8" tint="0.39997558519241921"/>
      <name val="Meiryo UI"/>
      <family val="3"/>
      <charset val="128"/>
    </font>
    <font>
      <sz val="7"/>
      <name val="Meiryo UI"/>
      <family val="3"/>
      <charset val="128"/>
    </font>
    <font>
      <sz val="7"/>
      <color theme="0" tint="-0.14999847407452621"/>
      <name val="Meiryo UI"/>
      <family val="3"/>
      <charset val="128"/>
    </font>
    <font>
      <sz val="7"/>
      <color rgb="FF3399FF"/>
      <name val="Meiryo UI"/>
      <family val="3"/>
      <charset val="128"/>
    </font>
  </fonts>
  <fills count="34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12"/>
      </patternFill>
    </fill>
    <fill>
      <patternFill patternType="solid">
        <fgColor indexed="9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3"/>
      </patternFill>
    </fill>
    <fill>
      <patternFill patternType="solid">
        <fgColor indexed="17"/>
      </patternFill>
    </fill>
    <fill>
      <patternFill patternType="solid">
        <fgColor indexed="43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465926084170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BEEF4"/>
        <bgColor indexed="64"/>
      </patternFill>
    </fill>
    <fill>
      <patternFill patternType="solid">
        <fgColor theme="0" tint="-4.9989318521683403E-2"/>
        <bgColor indexed="64"/>
      </patternFill>
    </fill>
  </fills>
  <borders count="73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0" tint="-0.499984740745262"/>
      </right>
      <top style="thin">
        <color indexed="64"/>
      </top>
      <bottom/>
      <diagonal/>
    </border>
    <border>
      <left style="thin">
        <color theme="0" tint="-0.499984740745262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0" tint="-0.499984740745262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 tint="-0.499984740745262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theme="0" tint="-0.499984740745262"/>
      </top>
      <bottom/>
      <diagonal/>
    </border>
    <border>
      <left/>
      <right style="thin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 style="thin">
        <color indexed="64"/>
      </bottom>
      <diagonal/>
    </border>
    <border>
      <left/>
      <right/>
      <top/>
      <bottom style="thin">
        <color theme="0" tint="-0.14999847407452621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/>
      <bottom style="thin">
        <color indexed="0"/>
      </bottom>
      <diagonal/>
    </border>
    <border>
      <left/>
      <right/>
      <top/>
      <bottom style="thin">
        <color indexed="0"/>
      </bottom>
      <diagonal/>
    </border>
    <border>
      <left/>
      <right style="thin">
        <color indexed="0"/>
      </right>
      <top/>
      <bottom style="thin">
        <color indexed="0"/>
      </bottom>
      <diagonal/>
    </border>
    <border>
      <left style="thin">
        <color indexed="0"/>
      </left>
      <right/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 style="thin">
        <color indexed="64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/>
      <right style="thin">
        <color indexed="64"/>
      </right>
      <top style="thin">
        <color indexed="0"/>
      </top>
      <bottom style="thin">
        <color indexed="0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thick">
        <color rgb="FF0066FF"/>
      </bottom>
      <diagonal/>
    </border>
    <border>
      <left style="thin">
        <color indexed="64"/>
      </left>
      <right/>
      <top/>
      <bottom style="thin">
        <color theme="0" tint="-0.14999847407452621"/>
      </bottom>
      <diagonal/>
    </border>
    <border>
      <left/>
      <right style="thin">
        <color indexed="64"/>
      </right>
      <top/>
      <bottom style="thin">
        <color theme="0" tint="-0.14999847407452621"/>
      </bottom>
      <diagonal/>
    </border>
    <border>
      <left style="thin">
        <color indexed="64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indexed="64"/>
      </right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  <border>
      <left style="thin">
        <color indexed="0"/>
      </left>
      <right/>
      <top style="thin">
        <color indexed="0"/>
      </top>
      <bottom style="thin">
        <color indexed="64"/>
      </bottom>
      <diagonal/>
    </border>
    <border>
      <left/>
      <right/>
      <top style="thin">
        <color indexed="0"/>
      </top>
      <bottom style="thin">
        <color indexed="64"/>
      </bottom>
      <diagonal/>
    </border>
    <border>
      <left/>
      <right style="thin">
        <color indexed="0"/>
      </right>
      <top style="thin">
        <color indexed="0"/>
      </top>
      <bottom style="thin">
        <color indexed="64"/>
      </bottom>
      <diagonal/>
    </border>
    <border>
      <left style="thin">
        <color indexed="64"/>
      </left>
      <right/>
      <top style="thin">
        <color theme="0" tint="-0.24994659260841701"/>
      </top>
      <bottom style="thin">
        <color theme="0" tint="-0.14996795556505021"/>
      </bottom>
      <diagonal/>
    </border>
    <border>
      <left/>
      <right/>
      <top style="thin">
        <color theme="0" tint="-0.24994659260841701"/>
      </top>
      <bottom style="thin">
        <color theme="0" tint="-0.14996795556505021"/>
      </bottom>
      <diagonal/>
    </border>
  </borders>
  <cellStyleXfs count="187">
    <xf numFmtId="0" fontId="0" fillId="0" borderId="0">
      <alignment vertical="center"/>
    </xf>
    <xf numFmtId="0" fontId="22" fillId="0" borderId="0"/>
    <xf numFmtId="0" fontId="22" fillId="0" borderId="0"/>
    <xf numFmtId="176" fontId="23" fillId="0" borderId="0" applyFill="0" applyBorder="0" applyAlignment="0"/>
    <xf numFmtId="0" fontId="24" fillId="3" borderId="0">
      <alignment horizontal="left"/>
    </xf>
    <xf numFmtId="0" fontId="25" fillId="3" borderId="0">
      <alignment horizontal="right"/>
    </xf>
    <xf numFmtId="0" fontId="26" fillId="4" borderId="0">
      <alignment horizontal="center"/>
    </xf>
    <xf numFmtId="0" fontId="25" fillId="3" borderId="0">
      <alignment horizontal="right"/>
    </xf>
    <xf numFmtId="0" fontId="26" fillId="4" borderId="0">
      <alignment horizontal="left"/>
    </xf>
    <xf numFmtId="0" fontId="27" fillId="0" borderId="0">
      <alignment horizontal="left"/>
    </xf>
    <xf numFmtId="38" fontId="28" fillId="5" borderId="0" applyNumberFormat="0" applyBorder="0" applyAlignment="0" applyProtection="0"/>
    <xf numFmtId="0" fontId="29" fillId="0" borderId="1" applyNumberFormat="0" applyAlignment="0" applyProtection="0">
      <alignment horizontal="left" vertical="center"/>
    </xf>
    <xf numFmtId="0" fontId="29" fillId="0" borderId="2">
      <alignment horizontal="left" vertical="center"/>
    </xf>
    <xf numFmtId="10" fontId="28" fillId="6" borderId="3" applyNumberFormat="0" applyBorder="0" applyAlignment="0" applyProtection="0"/>
    <xf numFmtId="0" fontId="24" fillId="3" borderId="0">
      <alignment horizontal="left"/>
    </xf>
    <xf numFmtId="0" fontId="30" fillId="4" borderId="0">
      <alignment horizontal="left"/>
    </xf>
    <xf numFmtId="177" fontId="31" fillId="0" borderId="0"/>
    <xf numFmtId="0" fontId="32" fillId="0" borderId="0"/>
    <xf numFmtId="178" fontId="33" fillId="4" borderId="0">
      <alignment horizontal="right"/>
    </xf>
    <xf numFmtId="0" fontId="34" fillId="7" borderId="0">
      <alignment horizontal="center"/>
    </xf>
    <xf numFmtId="0" fontId="35" fillId="8" borderId="0"/>
    <xf numFmtId="0" fontId="36" fillId="4" borderId="0" applyBorder="0">
      <alignment horizontal="centerContinuous"/>
    </xf>
    <xf numFmtId="0" fontId="37" fillId="8" borderId="0" applyBorder="0">
      <alignment horizontal="centerContinuous"/>
    </xf>
    <xf numFmtId="10" fontId="32" fillId="0" borderId="0" applyFont="0" applyFill="0" applyBorder="0" applyAlignment="0" applyProtection="0"/>
    <xf numFmtId="4" fontId="27" fillId="0" borderId="0">
      <alignment horizontal="right"/>
    </xf>
    <xf numFmtId="0" fontId="30" fillId="9" borderId="0">
      <alignment horizontal="center"/>
    </xf>
    <xf numFmtId="49" fontId="38" fillId="4" borderId="0">
      <alignment horizontal="center"/>
    </xf>
    <xf numFmtId="4" fontId="39" fillId="0" borderId="0">
      <alignment horizontal="right"/>
    </xf>
    <xf numFmtId="0" fontId="25" fillId="3" borderId="0">
      <alignment horizontal="center"/>
    </xf>
    <xf numFmtId="0" fontId="25" fillId="3" borderId="0">
      <alignment horizontal="centerContinuous"/>
    </xf>
    <xf numFmtId="0" fontId="40" fillId="4" borderId="0">
      <alignment horizontal="left"/>
    </xf>
    <xf numFmtId="49" fontId="40" fillId="4" borderId="0">
      <alignment horizontal="center"/>
    </xf>
    <xf numFmtId="0" fontId="24" fillId="3" borderId="0">
      <alignment horizontal="left"/>
    </xf>
    <xf numFmtId="49" fontId="40" fillId="4" borderId="0">
      <alignment horizontal="left"/>
    </xf>
    <xf numFmtId="0" fontId="24" fillId="3" borderId="0">
      <alignment horizontal="centerContinuous"/>
    </xf>
    <xf numFmtId="0" fontId="24" fillId="3" borderId="0">
      <alignment horizontal="right"/>
    </xf>
    <xf numFmtId="49" fontId="30" fillId="4" borderId="0">
      <alignment horizontal="left"/>
    </xf>
    <xf numFmtId="0" fontId="25" fillId="3" borderId="0">
      <alignment horizontal="right"/>
    </xf>
    <xf numFmtId="0" fontId="40" fillId="2" borderId="0">
      <alignment horizontal="center"/>
    </xf>
    <xf numFmtId="0" fontId="41" fillId="2" borderId="0">
      <alignment horizontal="center"/>
    </xf>
    <xf numFmtId="0" fontId="42" fillId="0" borderId="0">
      <alignment horizontal="left"/>
    </xf>
    <xf numFmtId="0" fontId="43" fillId="0" borderId="0"/>
    <xf numFmtId="0" fontId="44" fillId="0" borderId="0">
      <alignment horizontal="center"/>
    </xf>
    <xf numFmtId="0" fontId="45" fillId="4" borderId="0">
      <alignment horizontal="center"/>
    </xf>
    <xf numFmtId="0" fontId="46" fillId="0" borderId="0"/>
    <xf numFmtId="0" fontId="13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>
      <alignment vertical="center"/>
    </xf>
    <xf numFmtId="0" fontId="47" fillId="0" borderId="0"/>
    <xf numFmtId="0" fontId="10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58" fillId="0" borderId="0"/>
    <xf numFmtId="0" fontId="4" fillId="0" borderId="0">
      <alignment vertical="center"/>
    </xf>
    <xf numFmtId="0" fontId="61" fillId="0" borderId="0">
      <alignment vertical="center"/>
    </xf>
    <xf numFmtId="0" fontId="1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</cellStyleXfs>
  <cellXfs count="817">
    <xf numFmtId="0" fontId="0" fillId="0" borderId="0" xfId="0">
      <alignment vertical="center"/>
    </xf>
    <xf numFmtId="0" fontId="13" fillId="0" borderId="0" xfId="48"/>
    <xf numFmtId="0" fontId="14" fillId="0" borderId="0" xfId="48" applyFont="1"/>
    <xf numFmtId="0" fontId="15" fillId="0" borderId="3" xfId="48" applyFont="1" applyBorder="1" applyAlignment="1">
      <alignment horizontal="center"/>
    </xf>
    <xf numFmtId="14" fontId="15" fillId="0" borderId="4" xfId="48" applyNumberFormat="1" applyFont="1" applyBorder="1" applyAlignment="1">
      <alignment horizontal="center"/>
    </xf>
    <xf numFmtId="0" fontId="15" fillId="0" borderId="4" xfId="48" applyFont="1" applyBorder="1" applyAlignment="1">
      <alignment horizontal="center"/>
    </xf>
    <xf numFmtId="0" fontId="15" fillId="0" borderId="5" xfId="48" applyFont="1" applyBorder="1" applyAlignment="1">
      <alignment horizontal="center"/>
    </xf>
    <xf numFmtId="0" fontId="16" fillId="0" borderId="0" xfId="48" applyFont="1"/>
    <xf numFmtId="0" fontId="19" fillId="0" borderId="0" xfId="48" applyFont="1" applyAlignment="1">
      <alignment vertical="center"/>
    </xf>
    <xf numFmtId="0" fontId="15" fillId="14" borderId="0" xfId="48" applyFont="1" applyFill="1" applyAlignment="1">
      <alignment horizontal="center"/>
    </xf>
    <xf numFmtId="14" fontId="15" fillId="14" borderId="0" xfId="48" applyNumberFormat="1" applyFont="1" applyFill="1" applyAlignment="1">
      <alignment horizontal="center"/>
    </xf>
    <xf numFmtId="0" fontId="17" fillId="11" borderId="0" xfId="48" applyFont="1" applyFill="1" applyAlignment="1">
      <alignment vertical="center"/>
    </xf>
    <xf numFmtId="0" fontId="18" fillId="12" borderId="0" xfId="48" applyFont="1" applyFill="1" applyAlignment="1">
      <alignment vertical="center"/>
    </xf>
    <xf numFmtId="0" fontId="19" fillId="0" borderId="0" xfId="48" applyFont="1" applyAlignment="1">
      <alignment horizontal="left" vertical="center"/>
    </xf>
    <xf numFmtId="0" fontId="18" fillId="12" borderId="0" xfId="48" applyFont="1" applyFill="1" applyAlignment="1">
      <alignment horizontal="center" vertical="center"/>
    </xf>
    <xf numFmtId="0" fontId="19" fillId="0" borderId="0" xfId="48" applyFont="1" applyAlignment="1">
      <alignment horizontal="center" vertical="center"/>
    </xf>
    <xf numFmtId="14" fontId="19" fillId="0" borderId="0" xfId="48" applyNumberFormat="1" applyFont="1" applyAlignment="1">
      <alignment horizontal="center" vertical="center"/>
    </xf>
    <xf numFmtId="0" fontId="18" fillId="11" borderId="0" xfId="48" applyFont="1" applyFill="1" applyAlignment="1">
      <alignment vertical="center"/>
    </xf>
    <xf numFmtId="0" fontId="20" fillId="0" borderId="0" xfId="48" applyFont="1" applyAlignment="1">
      <alignment vertical="center"/>
    </xf>
    <xf numFmtId="49" fontId="19" fillId="0" borderId="0" xfId="48" applyNumberFormat="1" applyFont="1" applyAlignment="1">
      <alignment horizontal="center" vertical="center"/>
    </xf>
    <xf numFmtId="0" fontId="21" fillId="0" borderId="0" xfId="48" applyFont="1" applyAlignment="1">
      <alignment vertical="center"/>
    </xf>
    <xf numFmtId="49" fontId="19" fillId="14" borderId="13" xfId="0" applyNumberFormat="1" applyFont="1" applyFill="1" applyBorder="1" applyAlignment="1">
      <alignment vertical="top"/>
    </xf>
    <xf numFmtId="0" fontId="19" fillId="10" borderId="6" xfId="49" applyFont="1" applyFill="1" applyBorder="1" applyAlignment="1">
      <alignment horizontal="right" vertical="center"/>
    </xf>
    <xf numFmtId="0" fontId="51" fillId="14" borderId="6" xfId="49" applyFont="1" applyFill="1" applyBorder="1" applyAlignment="1">
      <alignment horizontal="right" vertical="center"/>
    </xf>
    <xf numFmtId="0" fontId="53" fillId="14" borderId="0" xfId="0" applyFont="1" applyFill="1">
      <alignment vertical="center"/>
    </xf>
    <xf numFmtId="0" fontId="0" fillId="14" borderId="0" xfId="0" applyFill="1" applyAlignment="1">
      <alignment vertical="center" wrapText="1"/>
    </xf>
    <xf numFmtId="0" fontId="52" fillId="14" borderId="8" xfId="0" applyFont="1" applyFill="1" applyBorder="1">
      <alignment vertical="center"/>
    </xf>
    <xf numFmtId="49" fontId="19" fillId="10" borderId="15" xfId="0" applyNumberFormat="1" applyFont="1" applyFill="1" applyBorder="1" applyAlignment="1">
      <alignment horizontal="center" vertical="center"/>
    </xf>
    <xf numFmtId="0" fontId="52" fillId="14" borderId="0" xfId="0" applyFont="1" applyFill="1">
      <alignment vertical="center"/>
    </xf>
    <xf numFmtId="49" fontId="19" fillId="10" borderId="6" xfId="0" applyNumberFormat="1" applyFont="1" applyFill="1" applyBorder="1" applyAlignment="1">
      <alignment horizontal="left" vertical="center"/>
    </xf>
    <xf numFmtId="0" fontId="57" fillId="14" borderId="0" xfId="161" applyFont="1" applyFill="1">
      <alignment vertical="center"/>
    </xf>
    <xf numFmtId="0" fontId="52" fillId="14" borderId="0" xfId="161" applyFont="1" applyFill="1">
      <alignment vertical="center"/>
    </xf>
    <xf numFmtId="0" fontId="52" fillId="14" borderId="6" xfId="161" applyFont="1" applyFill="1" applyBorder="1">
      <alignment vertical="center"/>
    </xf>
    <xf numFmtId="0" fontId="52" fillId="14" borderId="11" xfId="161" applyFont="1" applyFill="1" applyBorder="1">
      <alignment vertical="center"/>
    </xf>
    <xf numFmtId="0" fontId="19" fillId="10" borderId="9" xfId="46" applyFont="1" applyFill="1" applyBorder="1" applyAlignment="1">
      <alignment horizontal="centerContinuous"/>
    </xf>
    <xf numFmtId="0" fontId="0" fillId="14" borderId="0" xfId="0" applyFill="1">
      <alignment vertical="center"/>
    </xf>
    <xf numFmtId="0" fontId="56" fillId="18" borderId="2" xfId="161" applyFont="1" applyFill="1" applyBorder="1">
      <alignment vertical="center"/>
    </xf>
    <xf numFmtId="0" fontId="52" fillId="14" borderId="2" xfId="0" applyFont="1" applyFill="1" applyBorder="1">
      <alignment vertical="center"/>
    </xf>
    <xf numFmtId="0" fontId="0" fillId="14" borderId="8" xfId="0" applyFill="1" applyBorder="1">
      <alignment vertical="center"/>
    </xf>
    <xf numFmtId="0" fontId="52" fillId="14" borderId="0" xfId="161" applyFont="1" applyFill="1" applyAlignment="1">
      <alignment horizontal="left" vertical="center"/>
    </xf>
    <xf numFmtId="0" fontId="19" fillId="10" borderId="20" xfId="46" applyFont="1" applyFill="1" applyBorder="1" applyAlignment="1">
      <alignment horizontal="centerContinuous"/>
    </xf>
    <xf numFmtId="0" fontId="53" fillId="14" borderId="0" xfId="161" applyFont="1" applyFill="1">
      <alignment vertical="center"/>
    </xf>
    <xf numFmtId="0" fontId="52" fillId="14" borderId="0" xfId="161" applyFont="1" applyFill="1" applyAlignment="1">
      <alignment horizontal="center" vertical="center"/>
    </xf>
    <xf numFmtId="0" fontId="57" fillId="14" borderId="6" xfId="161" quotePrefix="1" applyFont="1" applyFill="1" applyBorder="1">
      <alignment vertical="center"/>
    </xf>
    <xf numFmtId="0" fontId="57" fillId="14" borderId="11" xfId="161" applyFont="1" applyFill="1" applyBorder="1">
      <alignment vertical="center"/>
    </xf>
    <xf numFmtId="0" fontId="67" fillId="18" borderId="10" xfId="161" applyFont="1" applyFill="1" applyBorder="1">
      <alignment vertical="center"/>
    </xf>
    <xf numFmtId="0" fontId="65" fillId="18" borderId="2" xfId="161" applyFont="1" applyFill="1" applyBorder="1">
      <alignment vertical="center"/>
    </xf>
    <xf numFmtId="0" fontId="66" fillId="18" borderId="2" xfId="161" applyFont="1" applyFill="1" applyBorder="1">
      <alignment vertical="center"/>
    </xf>
    <xf numFmtId="0" fontId="56" fillId="18" borderId="2" xfId="161" applyFont="1" applyFill="1" applyBorder="1" applyAlignment="1">
      <alignment horizontal="centerContinuous" vertical="center"/>
    </xf>
    <xf numFmtId="0" fontId="56" fillId="18" borderId="17" xfId="161" applyFont="1" applyFill="1" applyBorder="1" applyAlignment="1">
      <alignment horizontal="centerContinuous" vertical="center"/>
    </xf>
    <xf numFmtId="0" fontId="52" fillId="14" borderId="8" xfId="161" applyFont="1" applyFill="1" applyBorder="1">
      <alignment vertical="center"/>
    </xf>
    <xf numFmtId="0" fontId="52" fillId="14" borderId="12" xfId="161" applyFont="1" applyFill="1" applyBorder="1">
      <alignment vertical="center"/>
    </xf>
    <xf numFmtId="0" fontId="52" fillId="19" borderId="10" xfId="161" quotePrefix="1" applyFont="1" applyFill="1" applyBorder="1">
      <alignment vertical="center"/>
    </xf>
    <xf numFmtId="0" fontId="52" fillId="19" borderId="2" xfId="161" applyFont="1" applyFill="1" applyBorder="1">
      <alignment vertical="center"/>
    </xf>
    <xf numFmtId="0" fontId="52" fillId="19" borderId="2" xfId="161" applyFont="1" applyFill="1" applyBorder="1" applyAlignment="1">
      <alignment horizontal="center" vertical="center"/>
    </xf>
    <xf numFmtId="0" fontId="52" fillId="19" borderId="2" xfId="0" applyFont="1" applyFill="1" applyBorder="1">
      <alignment vertical="center"/>
    </xf>
    <xf numFmtId="0" fontId="52" fillId="0" borderId="10" xfId="161" quotePrefix="1" applyFont="1" applyBorder="1">
      <alignment vertical="center"/>
    </xf>
    <xf numFmtId="0" fontId="52" fillId="0" borderId="2" xfId="161" applyFont="1" applyBorder="1">
      <alignment vertical="center"/>
    </xf>
    <xf numFmtId="0" fontId="52" fillId="0" borderId="2" xfId="161" applyFont="1" applyBorder="1" applyAlignment="1">
      <alignment horizontal="center" vertical="center"/>
    </xf>
    <xf numFmtId="0" fontId="52" fillId="0" borderId="2" xfId="0" applyFont="1" applyBorder="1">
      <alignment vertical="center"/>
    </xf>
    <xf numFmtId="0" fontId="52" fillId="0" borderId="0" xfId="161" quotePrefix="1" applyFont="1">
      <alignment vertical="center"/>
    </xf>
    <xf numFmtId="0" fontId="52" fillId="0" borderId="0" xfId="161" applyFont="1">
      <alignment vertical="center"/>
    </xf>
    <xf numFmtId="0" fontId="52" fillId="0" borderId="0" xfId="161" applyFont="1" applyAlignment="1">
      <alignment horizontal="center" vertical="center"/>
    </xf>
    <xf numFmtId="0" fontId="52" fillId="0" borderId="0" xfId="0" applyFont="1">
      <alignment vertical="center"/>
    </xf>
    <xf numFmtId="0" fontId="52" fillId="19" borderId="17" xfId="0" applyFont="1" applyFill="1" applyBorder="1">
      <alignment vertical="center"/>
    </xf>
    <xf numFmtId="0" fontId="52" fillId="0" borderId="8" xfId="0" applyFont="1" applyBorder="1">
      <alignment vertical="center"/>
    </xf>
    <xf numFmtId="0" fontId="52" fillId="0" borderId="0" xfId="161" applyFont="1" applyAlignment="1">
      <alignment horizontal="left" vertical="center"/>
    </xf>
    <xf numFmtId="0" fontId="52" fillId="0" borderId="17" xfId="0" applyFont="1" applyBorder="1">
      <alignment vertical="center"/>
    </xf>
    <xf numFmtId="0" fontId="52" fillId="14" borderId="28" xfId="0" applyFont="1" applyFill="1" applyBorder="1">
      <alignment vertical="center"/>
    </xf>
    <xf numFmtId="0" fontId="52" fillId="14" borderId="31" xfId="0" applyFont="1" applyFill="1" applyBorder="1">
      <alignment vertical="center"/>
    </xf>
    <xf numFmtId="0" fontId="52" fillId="0" borderId="12" xfId="0" applyFont="1" applyBorder="1">
      <alignment vertical="center"/>
    </xf>
    <xf numFmtId="0" fontId="53" fillId="0" borderId="0" xfId="161" applyFont="1">
      <alignment vertical="center"/>
    </xf>
    <xf numFmtId="0" fontId="52" fillId="14" borderId="0" xfId="0" applyFont="1" applyFill="1" applyAlignment="1">
      <alignment horizontal="center" vertical="center"/>
    </xf>
    <xf numFmtId="0" fontId="19" fillId="10" borderId="19" xfId="46" applyFont="1" applyFill="1" applyBorder="1" applyAlignment="1">
      <alignment horizontal="centerContinuous"/>
    </xf>
    <xf numFmtId="0" fontId="19" fillId="10" borderId="16" xfId="46" applyFont="1" applyFill="1" applyBorder="1" applyAlignment="1">
      <alignment horizontal="centerContinuous"/>
    </xf>
    <xf numFmtId="0" fontId="56" fillId="14" borderId="11" xfId="161" quotePrefix="1" applyFont="1" applyFill="1" applyBorder="1" applyAlignment="1">
      <alignment horizontal="centerContinuous" vertical="center"/>
    </xf>
    <xf numFmtId="0" fontId="52" fillId="14" borderId="0" xfId="0" applyFont="1" applyFill="1" applyAlignment="1">
      <alignment vertical="center" wrapText="1"/>
    </xf>
    <xf numFmtId="0" fontId="53" fillId="0" borderId="0" xfId="161" applyFont="1" applyAlignment="1">
      <alignment horizontal="left" vertical="center"/>
    </xf>
    <xf numFmtId="0" fontId="53" fillId="0" borderId="0" xfId="0" applyFont="1">
      <alignment vertical="center"/>
    </xf>
    <xf numFmtId="0" fontId="53" fillId="0" borderId="0" xfId="161" applyFont="1" applyAlignment="1">
      <alignment horizontal="center" vertical="center"/>
    </xf>
    <xf numFmtId="0" fontId="53" fillId="14" borderId="8" xfId="0" applyFont="1" applyFill="1" applyBorder="1">
      <alignment vertical="center"/>
    </xf>
    <xf numFmtId="0" fontId="53" fillId="0" borderId="8" xfId="161" applyFont="1" applyBorder="1">
      <alignment vertical="center"/>
    </xf>
    <xf numFmtId="0" fontId="53" fillId="0" borderId="8" xfId="0" applyFont="1" applyBorder="1">
      <alignment vertical="center"/>
    </xf>
    <xf numFmtId="0" fontId="53" fillId="0" borderId="8" xfId="161" applyFont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57" fillId="14" borderId="8" xfId="161" applyFont="1" applyFill="1" applyBorder="1">
      <alignment vertical="center"/>
    </xf>
    <xf numFmtId="0" fontId="52" fillId="0" borderId="6" xfId="0" applyFont="1" applyBorder="1">
      <alignment vertical="center"/>
    </xf>
    <xf numFmtId="0" fontId="52" fillId="14" borderId="2" xfId="161" applyFont="1" applyFill="1" applyBorder="1">
      <alignment vertical="center"/>
    </xf>
    <xf numFmtId="0" fontId="52" fillId="14" borderId="17" xfId="0" applyFont="1" applyFill="1" applyBorder="1">
      <alignment vertical="center"/>
    </xf>
    <xf numFmtId="0" fontId="52" fillId="14" borderId="10" xfId="0" applyFont="1" applyFill="1" applyBorder="1">
      <alignment vertical="center"/>
    </xf>
    <xf numFmtId="0" fontId="53" fillId="14" borderId="3" xfId="161" applyFont="1" applyFill="1" applyBorder="1" applyAlignment="1">
      <alignment horizontal="center" vertical="center"/>
    </xf>
    <xf numFmtId="0" fontId="52" fillId="0" borderId="8" xfId="161" applyFont="1" applyBorder="1">
      <alignment vertical="center"/>
    </xf>
    <xf numFmtId="0" fontId="52" fillId="0" borderId="8" xfId="161" applyFont="1" applyBorder="1" applyAlignment="1">
      <alignment horizontal="center" vertical="center"/>
    </xf>
    <xf numFmtId="0" fontId="52" fillId="0" borderId="12" xfId="161" quotePrefix="1" applyFont="1" applyBorder="1">
      <alignment vertical="center"/>
    </xf>
    <xf numFmtId="0" fontId="52" fillId="0" borderId="12" xfId="161" applyFont="1" applyBorder="1">
      <alignment vertical="center"/>
    </xf>
    <xf numFmtId="0" fontId="52" fillId="0" borderId="12" xfId="161" applyFont="1" applyBorder="1" applyAlignment="1">
      <alignment horizontal="center" vertical="center"/>
    </xf>
    <xf numFmtId="0" fontId="52" fillId="0" borderId="8" xfId="161" quotePrefix="1" applyFont="1" applyBorder="1">
      <alignment vertical="center"/>
    </xf>
    <xf numFmtId="0" fontId="60" fillId="19" borderId="2" xfId="0" applyFont="1" applyFill="1" applyBorder="1" applyAlignment="1">
      <alignment horizontal="centerContinuous" vertical="center"/>
    </xf>
    <xf numFmtId="0" fontId="0" fillId="19" borderId="17" xfId="0" applyFill="1" applyBorder="1" applyAlignment="1">
      <alignment horizontal="centerContinuous" vertical="center"/>
    </xf>
    <xf numFmtId="0" fontId="0" fillId="14" borderId="2" xfId="0" applyFill="1" applyBorder="1" applyAlignment="1">
      <alignment horizontal="centerContinuous" vertical="center"/>
    </xf>
    <xf numFmtId="0" fontId="0" fillId="14" borderId="17" xfId="0" applyFill="1" applyBorder="1" applyAlignment="1">
      <alignment horizontal="centerContinuous" vertical="center"/>
    </xf>
    <xf numFmtId="0" fontId="0" fillId="14" borderId="2" xfId="0" applyFill="1" applyBorder="1">
      <alignment vertical="center"/>
    </xf>
    <xf numFmtId="0" fontId="72" fillId="0" borderId="0" xfId="161" applyFont="1">
      <alignment vertical="center"/>
    </xf>
    <xf numFmtId="0" fontId="72" fillId="0" borderId="0" xfId="0" applyFont="1">
      <alignment vertical="center"/>
    </xf>
    <xf numFmtId="0" fontId="53" fillId="14" borderId="12" xfId="161" applyFont="1" applyFill="1" applyBorder="1">
      <alignment vertical="center"/>
    </xf>
    <xf numFmtId="0" fontId="19" fillId="10" borderId="18" xfId="46" applyFont="1" applyFill="1" applyBorder="1" applyAlignment="1">
      <alignment horizontal="centerContinuous"/>
    </xf>
    <xf numFmtId="0" fontId="52" fillId="14" borderId="0" xfId="0" applyFont="1" applyFill="1" applyAlignment="1">
      <alignment horizontal="left" vertical="center"/>
    </xf>
    <xf numFmtId="0" fontId="60" fillId="0" borderId="10" xfId="161" quotePrefix="1" applyFont="1" applyBorder="1">
      <alignment vertical="center"/>
    </xf>
    <xf numFmtId="0" fontId="60" fillId="0" borderId="2" xfId="161" quotePrefix="1" applyFont="1" applyBorder="1">
      <alignment vertical="center"/>
    </xf>
    <xf numFmtId="0" fontId="52" fillId="0" borderId="0" xfId="161" quotePrefix="1" applyFont="1" applyAlignment="1">
      <alignment horizontal="left" vertical="center"/>
    </xf>
    <xf numFmtId="0" fontId="52" fillId="0" borderId="25" xfId="161" applyFont="1" applyBorder="1" applyAlignment="1">
      <alignment horizontal="center" vertical="center"/>
    </xf>
    <xf numFmtId="0" fontId="52" fillId="0" borderId="2" xfId="161" quotePrefix="1" applyFont="1" applyBorder="1">
      <alignment vertical="center"/>
    </xf>
    <xf numFmtId="14" fontId="52" fillId="0" borderId="10" xfId="161" quotePrefix="1" applyNumberFormat="1" applyFont="1" applyBorder="1">
      <alignment vertical="center"/>
    </xf>
    <xf numFmtId="0" fontId="52" fillId="0" borderId="0" xfId="0" applyFont="1" applyAlignment="1">
      <alignment vertical="center" wrapText="1"/>
    </xf>
    <xf numFmtId="0" fontId="52" fillId="0" borderId="0" xfId="0" applyFont="1" applyAlignment="1">
      <alignment horizontal="center" vertical="center"/>
    </xf>
    <xf numFmtId="0" fontId="53" fillId="0" borderId="0" xfId="161" quotePrefix="1" applyFont="1">
      <alignment vertical="center"/>
    </xf>
    <xf numFmtId="0" fontId="53" fillId="0" borderId="2" xfId="161" applyFont="1" applyBorder="1">
      <alignment vertical="center"/>
    </xf>
    <xf numFmtId="0" fontId="57" fillId="14" borderId="6" xfId="180" quotePrefix="1" applyFont="1" applyFill="1" applyBorder="1">
      <alignment vertical="center"/>
    </xf>
    <xf numFmtId="0" fontId="52" fillId="14" borderId="0" xfId="180" applyFont="1" applyFill="1">
      <alignment vertical="center"/>
    </xf>
    <xf numFmtId="0" fontId="53" fillId="19" borderId="2" xfId="180" applyFont="1" applyFill="1" applyBorder="1" applyAlignment="1">
      <alignment horizontal="centerContinuous" vertical="center"/>
    </xf>
    <xf numFmtId="0" fontId="60" fillId="19" borderId="2" xfId="180" applyFont="1" applyFill="1" applyBorder="1" applyAlignment="1">
      <alignment horizontal="centerContinuous" vertical="center"/>
    </xf>
    <xf numFmtId="0" fontId="53" fillId="19" borderId="10" xfId="180" applyFont="1" applyFill="1" applyBorder="1" applyAlignment="1">
      <alignment horizontal="centerContinuous" vertical="center"/>
    </xf>
    <xf numFmtId="0" fontId="52" fillId="19" borderId="2" xfId="180" applyFont="1" applyFill="1" applyBorder="1" applyAlignment="1">
      <alignment horizontal="centerContinuous" vertical="center"/>
    </xf>
    <xf numFmtId="0" fontId="52" fillId="0" borderId="0" xfId="180" applyFont="1">
      <alignment vertical="center"/>
    </xf>
    <xf numFmtId="0" fontId="64" fillId="14" borderId="0" xfId="180" applyFont="1" applyFill="1">
      <alignment vertical="center"/>
    </xf>
    <xf numFmtId="0" fontId="76" fillId="14" borderId="2" xfId="180" quotePrefix="1" applyFont="1" applyFill="1" applyBorder="1">
      <alignment vertical="center"/>
    </xf>
    <xf numFmtId="0" fontId="52" fillId="14" borderId="10" xfId="180" applyFont="1" applyFill="1" applyBorder="1" applyAlignment="1">
      <alignment horizontal="centerContinuous" vertical="center"/>
    </xf>
    <xf numFmtId="0" fontId="52" fillId="14" borderId="2" xfId="180" applyFont="1" applyFill="1" applyBorder="1" applyAlignment="1">
      <alignment horizontal="centerContinuous" vertical="center"/>
    </xf>
    <xf numFmtId="0" fontId="73" fillId="14" borderId="10" xfId="180" applyFont="1" applyFill="1" applyBorder="1" applyAlignment="1">
      <alignment horizontal="center" vertical="center"/>
    </xf>
    <xf numFmtId="0" fontId="52" fillId="14" borderId="2" xfId="180" applyFont="1" applyFill="1" applyBorder="1" applyAlignment="1">
      <alignment horizontal="left" vertical="center"/>
    </xf>
    <xf numFmtId="0" fontId="0" fillId="14" borderId="17" xfId="0" applyFill="1" applyBorder="1">
      <alignment vertical="center"/>
    </xf>
    <xf numFmtId="0" fontId="57" fillId="14" borderId="11" xfId="180" applyFont="1" applyFill="1" applyBorder="1">
      <alignment vertical="center"/>
    </xf>
    <xf numFmtId="0" fontId="0" fillId="19" borderId="2" xfId="0" applyFill="1" applyBorder="1" applyAlignment="1">
      <alignment horizontal="centerContinuous" vertical="center"/>
    </xf>
    <xf numFmtId="0" fontId="73" fillId="14" borderId="2" xfId="180" applyFont="1" applyFill="1" applyBorder="1" applyAlignment="1">
      <alignment horizontal="centerContinuous" vertical="center"/>
    </xf>
    <xf numFmtId="14" fontId="60" fillId="0" borderId="10" xfId="161" quotePrefix="1" applyNumberFormat="1" applyFont="1" applyBorder="1" applyAlignment="1">
      <alignment horizontal="centerContinuous" vertical="center"/>
    </xf>
    <xf numFmtId="14" fontId="60" fillId="0" borderId="2" xfId="161" quotePrefix="1" applyNumberFormat="1" applyFont="1" applyBorder="1" applyAlignment="1">
      <alignment horizontal="centerContinuous" vertical="center"/>
    </xf>
    <xf numFmtId="0" fontId="60" fillId="0" borderId="2" xfId="161" quotePrefix="1" applyFont="1" applyBorder="1" applyAlignment="1">
      <alignment horizontal="centerContinuous" vertical="center"/>
    </xf>
    <xf numFmtId="0" fontId="60" fillId="0" borderId="17" xfId="161" quotePrefix="1" applyFont="1" applyBorder="1" applyAlignment="1">
      <alignment horizontal="centerContinuous" vertical="center"/>
    </xf>
    <xf numFmtId="0" fontId="60" fillId="0" borderId="17" xfId="161" applyFont="1" applyBorder="1" applyAlignment="1">
      <alignment horizontal="centerContinuous" vertical="center"/>
    </xf>
    <xf numFmtId="0" fontId="19" fillId="10" borderId="7" xfId="49" applyFont="1" applyFill="1" applyBorder="1" applyAlignment="1">
      <alignment horizontal="right" vertical="center"/>
    </xf>
    <xf numFmtId="0" fontId="0" fillId="14" borderId="2" xfId="0" applyFill="1" applyBorder="1" applyAlignment="1">
      <alignment vertical="center" wrapText="1"/>
    </xf>
    <xf numFmtId="0" fontId="57" fillId="14" borderId="14" xfId="161" applyFont="1" applyFill="1" applyBorder="1">
      <alignment vertical="center"/>
    </xf>
    <xf numFmtId="0" fontId="77" fillId="0" borderId="0" xfId="0" applyFont="1">
      <alignment vertical="center"/>
    </xf>
    <xf numFmtId="0" fontId="19" fillId="10" borderId="26" xfId="46" applyFont="1" applyFill="1" applyBorder="1" applyAlignment="1">
      <alignment horizontal="centerContinuous"/>
    </xf>
    <xf numFmtId="0" fontId="52" fillId="0" borderId="23" xfId="161" applyFont="1" applyBorder="1" applyAlignment="1">
      <alignment horizontal="center" vertical="center"/>
    </xf>
    <xf numFmtId="0" fontId="62" fillId="0" borderId="2" xfId="161" applyFont="1" applyBorder="1" applyAlignment="1">
      <alignment horizontal="centerContinuous" vertical="center"/>
    </xf>
    <xf numFmtId="0" fontId="62" fillId="0" borderId="17" xfId="161" applyFont="1" applyBorder="1" applyAlignment="1">
      <alignment horizontal="centerContinuous" vertical="center"/>
    </xf>
    <xf numFmtId="0" fontId="68" fillId="0" borderId="15" xfId="161" applyFont="1" applyBorder="1" applyAlignment="1">
      <alignment horizontal="left" vertical="center"/>
    </xf>
    <xf numFmtId="0" fontId="68" fillId="0" borderId="12" xfId="161" applyFont="1" applyBorder="1" applyAlignment="1">
      <alignment horizontal="left" vertical="center"/>
    </xf>
    <xf numFmtId="0" fontId="68" fillId="0" borderId="12" xfId="0" applyFont="1" applyBorder="1">
      <alignment vertical="center"/>
    </xf>
    <xf numFmtId="0" fontId="68" fillId="0" borderId="12" xfId="161" applyFont="1" applyBorder="1" applyAlignment="1">
      <alignment horizontal="center" vertical="center"/>
    </xf>
    <xf numFmtId="0" fontId="68" fillId="0" borderId="12" xfId="161" applyFont="1" applyBorder="1">
      <alignment vertical="center"/>
    </xf>
    <xf numFmtId="0" fontId="68" fillId="0" borderId="12" xfId="0" applyFont="1" applyBorder="1" applyAlignment="1">
      <alignment horizontal="center" vertical="center"/>
    </xf>
    <xf numFmtId="0" fontId="68" fillId="0" borderId="7" xfId="161" applyFont="1" applyBorder="1" applyAlignment="1">
      <alignment horizontal="left" vertical="center"/>
    </xf>
    <xf numFmtId="0" fontId="68" fillId="0" borderId="8" xfId="161" applyFont="1" applyBorder="1" applyAlignment="1">
      <alignment horizontal="left" vertical="center"/>
    </xf>
    <xf numFmtId="0" fontId="68" fillId="0" borderId="8" xfId="0" applyFont="1" applyBorder="1">
      <alignment vertical="center"/>
    </xf>
    <xf numFmtId="0" fontId="68" fillId="0" borderId="8" xfId="161" applyFont="1" applyBorder="1" applyAlignment="1">
      <alignment horizontal="center" vertical="center"/>
    </xf>
    <xf numFmtId="0" fontId="68" fillId="0" borderId="8" xfId="161" applyFont="1" applyBorder="1">
      <alignment vertical="center"/>
    </xf>
    <xf numFmtId="0" fontId="68" fillId="0" borderId="8" xfId="0" applyFont="1" applyBorder="1" applyAlignment="1">
      <alignment horizontal="center" vertical="center"/>
    </xf>
    <xf numFmtId="0" fontId="19" fillId="10" borderId="0" xfId="46" applyFont="1" applyFill="1" applyAlignment="1">
      <alignment horizontal="centerContinuous"/>
    </xf>
    <xf numFmtId="0" fontId="57" fillId="19" borderId="10" xfId="180" applyFont="1" applyFill="1" applyBorder="1">
      <alignment vertical="center"/>
    </xf>
    <xf numFmtId="0" fontId="57" fillId="19" borderId="2" xfId="180" applyFont="1" applyFill="1" applyBorder="1">
      <alignment vertical="center"/>
    </xf>
    <xf numFmtId="0" fontId="52" fillId="19" borderId="2" xfId="180" applyFont="1" applyFill="1" applyBorder="1">
      <alignment vertical="center"/>
    </xf>
    <xf numFmtId="0" fontId="52" fillId="19" borderId="2" xfId="180" applyFont="1" applyFill="1" applyBorder="1" applyAlignment="1">
      <alignment horizontal="center" vertical="center"/>
    </xf>
    <xf numFmtId="0" fontId="0" fillId="19" borderId="2" xfId="0" applyFill="1" applyBorder="1">
      <alignment vertical="center"/>
    </xf>
    <xf numFmtId="0" fontId="52" fillId="19" borderId="2" xfId="180" quotePrefix="1" applyFont="1" applyFill="1" applyBorder="1">
      <alignment vertical="center"/>
    </xf>
    <xf numFmtId="0" fontId="64" fillId="19" borderId="2" xfId="161" applyFont="1" applyFill="1" applyBorder="1">
      <alignment vertical="center"/>
    </xf>
    <xf numFmtId="0" fontId="52" fillId="19" borderId="2" xfId="0" applyFont="1" applyFill="1" applyBorder="1" applyAlignment="1">
      <alignment vertical="center" wrapText="1"/>
    </xf>
    <xf numFmtId="0" fontId="52" fillId="19" borderId="2" xfId="161" quotePrefix="1" applyFont="1" applyFill="1" applyBorder="1">
      <alignment vertical="center"/>
    </xf>
    <xf numFmtId="0" fontId="57" fillId="19" borderId="17" xfId="180" applyFont="1" applyFill="1" applyBorder="1">
      <alignment vertical="center"/>
    </xf>
    <xf numFmtId="0" fontId="19" fillId="0" borderId="2" xfId="0" applyFont="1" applyBorder="1" applyAlignment="1">
      <alignment horizontal="center" vertical="top"/>
    </xf>
    <xf numFmtId="0" fontId="19" fillId="21" borderId="2" xfId="0" applyFont="1" applyFill="1" applyBorder="1" applyAlignment="1">
      <alignment horizontal="center" vertical="top"/>
    </xf>
    <xf numFmtId="0" fontId="19" fillId="22" borderId="2" xfId="0" applyFont="1" applyFill="1" applyBorder="1" applyAlignment="1">
      <alignment horizontal="center" vertical="top"/>
    </xf>
    <xf numFmtId="0" fontId="52" fillId="0" borderId="15" xfId="0" applyFont="1" applyBorder="1">
      <alignment vertical="center"/>
    </xf>
    <xf numFmtId="0" fontId="79" fillId="0" borderId="0" xfId="161" applyFont="1">
      <alignment vertical="center"/>
    </xf>
    <xf numFmtId="0" fontId="79" fillId="0" borderId="0" xfId="0" applyFont="1">
      <alignment vertical="center"/>
    </xf>
    <xf numFmtId="0" fontId="79" fillId="0" borderId="0" xfId="161" applyFont="1" applyAlignment="1">
      <alignment horizontal="center" vertical="center"/>
    </xf>
    <xf numFmtId="0" fontId="68" fillId="0" borderId="0" xfId="161" applyFont="1" applyAlignment="1">
      <alignment horizontal="left" vertical="center"/>
    </xf>
    <xf numFmtId="0" fontId="68" fillId="0" borderId="0" xfId="0" applyFont="1">
      <alignment vertical="center"/>
    </xf>
    <xf numFmtId="0" fontId="68" fillId="0" borderId="0" xfId="161" applyFont="1" applyAlignment="1">
      <alignment horizontal="center" vertical="center"/>
    </xf>
    <xf numFmtId="0" fontId="68" fillId="0" borderId="0" xfId="161" applyFont="1">
      <alignment vertical="center"/>
    </xf>
    <xf numFmtId="0" fontId="68" fillId="0" borderId="0" xfId="0" applyFont="1" applyAlignment="1">
      <alignment horizontal="center" vertical="center"/>
    </xf>
    <xf numFmtId="0" fontId="52" fillId="0" borderId="0" xfId="0" applyFont="1" applyAlignment="1">
      <alignment horizontal="left" vertical="center"/>
    </xf>
    <xf numFmtId="0" fontId="69" fillId="0" borderId="0" xfId="161" applyFont="1" applyAlignment="1">
      <alignment horizontal="left" vertical="center"/>
    </xf>
    <xf numFmtId="0" fontId="69" fillId="0" borderId="0" xfId="0" applyFont="1">
      <alignment vertical="center"/>
    </xf>
    <xf numFmtId="0" fontId="52" fillId="14" borderId="6" xfId="161" quotePrefix="1" applyFont="1" applyFill="1" applyBorder="1">
      <alignment vertical="center"/>
    </xf>
    <xf numFmtId="0" fontId="77" fillId="14" borderId="6" xfId="161" quotePrefix="1" applyFont="1" applyFill="1" applyBorder="1">
      <alignment vertical="center"/>
    </xf>
    <xf numFmtId="0" fontId="77" fillId="14" borderId="0" xfId="161" applyFont="1" applyFill="1">
      <alignment vertical="center"/>
    </xf>
    <xf numFmtId="0" fontId="75" fillId="14" borderId="0" xfId="0" applyFont="1" applyFill="1">
      <alignment vertical="center"/>
    </xf>
    <xf numFmtId="0" fontId="53" fillId="23" borderId="15" xfId="161" applyFont="1" applyFill="1" applyBorder="1" applyAlignment="1">
      <alignment horizontal="centerContinuous" vertical="center"/>
    </xf>
    <xf numFmtId="0" fontId="53" fillId="23" borderId="12" xfId="161" applyFont="1" applyFill="1" applyBorder="1" applyAlignment="1">
      <alignment horizontal="centerContinuous" vertical="center"/>
    </xf>
    <xf numFmtId="0" fontId="53" fillId="23" borderId="13" xfId="161" applyFont="1" applyFill="1" applyBorder="1" applyAlignment="1">
      <alignment horizontal="centerContinuous" vertical="center"/>
    </xf>
    <xf numFmtId="0" fontId="53" fillId="23" borderId="15" xfId="161" quotePrefix="1" applyFont="1" applyFill="1" applyBorder="1" applyAlignment="1">
      <alignment horizontal="centerContinuous" vertical="center"/>
    </xf>
    <xf numFmtId="0" fontId="53" fillId="23" borderId="12" xfId="161" quotePrefix="1" applyFont="1" applyFill="1" applyBorder="1" applyAlignment="1">
      <alignment horizontal="centerContinuous" vertical="center"/>
    </xf>
    <xf numFmtId="0" fontId="60" fillId="23" borderId="15" xfId="161" applyFont="1" applyFill="1" applyBorder="1" applyAlignment="1">
      <alignment horizontal="centerContinuous" vertical="center"/>
    </xf>
    <xf numFmtId="0" fontId="60" fillId="23" borderId="12" xfId="161" applyFont="1" applyFill="1" applyBorder="1" applyAlignment="1">
      <alignment horizontal="centerContinuous" vertical="center"/>
    </xf>
    <xf numFmtId="0" fontId="60" fillId="23" borderId="13" xfId="161" applyFont="1" applyFill="1" applyBorder="1" applyAlignment="1">
      <alignment horizontal="centerContinuous" vertical="center"/>
    </xf>
    <xf numFmtId="0" fontId="53" fillId="23" borderId="7" xfId="161" quotePrefix="1" applyFont="1" applyFill="1" applyBorder="1" applyAlignment="1">
      <alignment horizontal="centerContinuous" vertical="center"/>
    </xf>
    <xf numFmtId="0" fontId="53" fillId="23" borderId="8" xfId="161" applyFont="1" applyFill="1" applyBorder="1" applyAlignment="1">
      <alignment horizontal="centerContinuous" vertical="center"/>
    </xf>
    <xf numFmtId="0" fontId="53" fillId="23" borderId="14" xfId="161" applyFont="1" applyFill="1" applyBorder="1" applyAlignment="1">
      <alignment horizontal="centerContinuous" vertical="center"/>
    </xf>
    <xf numFmtId="0" fontId="53" fillId="23" borderId="8" xfId="161" quotePrefix="1" applyFont="1" applyFill="1" applyBorder="1" applyAlignment="1">
      <alignment horizontal="centerContinuous" vertical="center"/>
    </xf>
    <xf numFmtId="0" fontId="60" fillId="23" borderId="7" xfId="161" quotePrefix="1" applyFont="1" applyFill="1" applyBorder="1" applyAlignment="1">
      <alignment horizontal="centerContinuous" vertical="center"/>
    </xf>
    <xf numFmtId="0" fontId="60" fillId="23" borderId="8" xfId="161" quotePrefix="1" applyFont="1" applyFill="1" applyBorder="1" applyAlignment="1">
      <alignment horizontal="centerContinuous" vertical="center"/>
    </xf>
    <xf numFmtId="0" fontId="60" fillId="23" borderId="8" xfId="161" applyFont="1" applyFill="1" applyBorder="1" applyAlignment="1">
      <alignment horizontal="centerContinuous" vertical="center"/>
    </xf>
    <xf numFmtId="0" fontId="60" fillId="23" borderId="14" xfId="161" applyFont="1" applyFill="1" applyBorder="1" applyAlignment="1">
      <alignment horizontal="centerContinuous" vertical="center"/>
    </xf>
    <xf numFmtId="0" fontId="60" fillId="0" borderId="10" xfId="161" quotePrefix="1" applyFont="1" applyBorder="1" applyAlignment="1">
      <alignment horizontal="left" vertical="center"/>
    </xf>
    <xf numFmtId="0" fontId="60" fillId="0" borderId="2" xfId="161" quotePrefix="1" applyFont="1" applyBorder="1" applyAlignment="1">
      <alignment horizontal="left" vertical="center"/>
    </xf>
    <xf numFmtId="0" fontId="52" fillId="24" borderId="2" xfId="161" quotePrefix="1" applyFont="1" applyFill="1" applyBorder="1">
      <alignment vertical="center"/>
    </xf>
    <xf numFmtId="0" fontId="52" fillId="24" borderId="2" xfId="161" applyFont="1" applyFill="1" applyBorder="1">
      <alignment vertical="center"/>
    </xf>
    <xf numFmtId="0" fontId="53" fillId="24" borderId="2" xfId="0" applyFont="1" applyFill="1" applyBorder="1">
      <alignment vertical="center"/>
    </xf>
    <xf numFmtId="0" fontId="52" fillId="24" borderId="2" xfId="0" quotePrefix="1" applyFont="1" applyFill="1" applyBorder="1">
      <alignment vertical="center"/>
    </xf>
    <xf numFmtId="0" fontId="52" fillId="24" borderId="2" xfId="0" applyFont="1" applyFill="1" applyBorder="1">
      <alignment vertical="center"/>
    </xf>
    <xf numFmtId="0" fontId="52" fillId="24" borderId="2" xfId="0" applyFont="1" applyFill="1" applyBorder="1" applyAlignment="1">
      <alignment horizontal="center" vertical="center"/>
    </xf>
    <xf numFmtId="0" fontId="52" fillId="24" borderId="2" xfId="0" applyFont="1" applyFill="1" applyBorder="1" applyAlignment="1">
      <alignment horizontal="left" vertical="center"/>
    </xf>
    <xf numFmtId="0" fontId="52" fillId="24" borderId="2" xfId="0" applyFont="1" applyFill="1" applyBorder="1" applyAlignment="1">
      <alignment vertical="center" wrapText="1"/>
    </xf>
    <xf numFmtId="0" fontId="0" fillId="24" borderId="2" xfId="0" applyFill="1" applyBorder="1">
      <alignment vertical="center"/>
    </xf>
    <xf numFmtId="0" fontId="77" fillId="24" borderId="2" xfId="0" applyFont="1" applyFill="1" applyBorder="1">
      <alignment vertical="center"/>
    </xf>
    <xf numFmtId="0" fontId="78" fillId="14" borderId="0" xfId="0" applyFont="1" applyFill="1">
      <alignment vertical="center"/>
    </xf>
    <xf numFmtId="0" fontId="53" fillId="20" borderId="15" xfId="161" applyFont="1" applyFill="1" applyBorder="1" applyAlignment="1">
      <alignment horizontal="centerContinuous" vertical="center"/>
    </xf>
    <xf numFmtId="0" fontId="53" fillId="20" borderId="12" xfId="161" applyFont="1" applyFill="1" applyBorder="1" applyAlignment="1">
      <alignment horizontal="centerContinuous" vertical="center"/>
    </xf>
    <xf numFmtId="0" fontId="53" fillId="20" borderId="13" xfId="161" applyFont="1" applyFill="1" applyBorder="1" applyAlignment="1">
      <alignment horizontal="centerContinuous" vertical="center"/>
    </xf>
    <xf numFmtId="0" fontId="53" fillId="20" borderId="15" xfId="161" quotePrefix="1" applyFont="1" applyFill="1" applyBorder="1" applyAlignment="1">
      <alignment horizontal="centerContinuous" vertical="center"/>
    </xf>
    <xf numFmtId="0" fontId="53" fillId="20" borderId="12" xfId="161" quotePrefix="1" applyFont="1" applyFill="1" applyBorder="1" applyAlignment="1">
      <alignment horizontal="centerContinuous" vertical="center"/>
    </xf>
    <xf numFmtId="0" fontId="60" fillId="20" borderId="15" xfId="161" applyFont="1" applyFill="1" applyBorder="1" applyAlignment="1">
      <alignment horizontal="centerContinuous" vertical="center"/>
    </xf>
    <xf numFmtId="0" fontId="60" fillId="20" borderId="12" xfId="161" applyFont="1" applyFill="1" applyBorder="1" applyAlignment="1">
      <alignment horizontal="centerContinuous" vertical="center"/>
    </xf>
    <xf numFmtId="0" fontId="60" fillId="20" borderId="13" xfId="161" applyFont="1" applyFill="1" applyBorder="1" applyAlignment="1">
      <alignment horizontal="centerContinuous" vertical="center"/>
    </xf>
    <xf numFmtId="0" fontId="60" fillId="0" borderId="10" xfId="161" quotePrefix="1" applyFont="1" applyBorder="1" applyAlignment="1">
      <alignment horizontal="centerContinuous" vertical="center"/>
    </xf>
    <xf numFmtId="0" fontId="53" fillId="25" borderId="15" xfId="161" applyFont="1" applyFill="1" applyBorder="1" applyAlignment="1">
      <alignment horizontal="centerContinuous" vertical="center"/>
    </xf>
    <xf numFmtId="0" fontId="53" fillId="25" borderId="12" xfId="161" applyFont="1" applyFill="1" applyBorder="1" applyAlignment="1">
      <alignment horizontal="centerContinuous" vertical="center"/>
    </xf>
    <xf numFmtId="0" fontId="53" fillId="25" borderId="13" xfId="161" applyFont="1" applyFill="1" applyBorder="1" applyAlignment="1">
      <alignment horizontal="centerContinuous" vertical="center"/>
    </xf>
    <xf numFmtId="0" fontId="53" fillId="25" borderId="15" xfId="161" quotePrefix="1" applyFont="1" applyFill="1" applyBorder="1" applyAlignment="1">
      <alignment horizontal="centerContinuous" vertical="center"/>
    </xf>
    <xf numFmtId="0" fontId="53" fillId="25" borderId="12" xfId="161" quotePrefix="1" applyFont="1" applyFill="1" applyBorder="1" applyAlignment="1">
      <alignment horizontal="centerContinuous" vertical="center"/>
    </xf>
    <xf numFmtId="0" fontId="60" fillId="25" borderId="15" xfId="161" applyFont="1" applyFill="1" applyBorder="1" applyAlignment="1">
      <alignment horizontal="centerContinuous" vertical="center"/>
    </xf>
    <xf numFmtId="0" fontId="60" fillId="25" borderId="12" xfId="161" applyFont="1" applyFill="1" applyBorder="1" applyAlignment="1">
      <alignment horizontal="centerContinuous" vertical="center"/>
    </xf>
    <xf numFmtId="0" fontId="60" fillId="25" borderId="13" xfId="161" applyFont="1" applyFill="1" applyBorder="1" applyAlignment="1">
      <alignment horizontal="centerContinuous" vertical="center"/>
    </xf>
    <xf numFmtId="0" fontId="60" fillId="25" borderId="12" xfId="161" quotePrefix="1" applyFont="1" applyFill="1" applyBorder="1" applyAlignment="1">
      <alignment horizontal="centerContinuous" vertical="center"/>
    </xf>
    <xf numFmtId="0" fontId="60" fillId="25" borderId="15" xfId="161" quotePrefix="1" applyFont="1" applyFill="1" applyBorder="1" applyAlignment="1">
      <alignment horizontal="centerContinuous" vertical="center"/>
    </xf>
    <xf numFmtId="0" fontId="86" fillId="0" borderId="0" xfId="0" applyFont="1">
      <alignment vertical="center"/>
    </xf>
    <xf numFmtId="0" fontId="72" fillId="14" borderId="8" xfId="0" applyFont="1" applyFill="1" applyBorder="1">
      <alignment vertical="center"/>
    </xf>
    <xf numFmtId="0" fontId="52" fillId="14" borderId="6" xfId="180" applyFont="1" applyFill="1" applyBorder="1">
      <alignment vertical="center"/>
    </xf>
    <xf numFmtId="0" fontId="52" fillId="14" borderId="2" xfId="180" quotePrefix="1" applyFont="1" applyFill="1" applyBorder="1">
      <alignment vertical="center"/>
    </xf>
    <xf numFmtId="0" fontId="52" fillId="14" borderId="2" xfId="180" applyFont="1" applyFill="1" applyBorder="1">
      <alignment vertical="center"/>
    </xf>
    <xf numFmtId="0" fontId="52" fillId="14" borderId="2" xfId="180" applyFont="1" applyFill="1" applyBorder="1" applyAlignment="1">
      <alignment horizontal="center" vertical="center"/>
    </xf>
    <xf numFmtId="0" fontId="53" fillId="14" borderId="3" xfId="180" applyFont="1" applyFill="1" applyBorder="1" applyAlignment="1">
      <alignment horizontal="center" vertical="center"/>
    </xf>
    <xf numFmtId="0" fontId="52" fillId="14" borderId="3" xfId="180" applyFont="1" applyFill="1" applyBorder="1" applyAlignment="1">
      <alignment horizontal="center" vertical="center"/>
    </xf>
    <xf numFmtId="0" fontId="52" fillId="0" borderId="28" xfId="0" applyFont="1" applyBorder="1">
      <alignment vertical="center"/>
    </xf>
    <xf numFmtId="0" fontId="52" fillId="14" borderId="28" xfId="161" applyFont="1" applyFill="1" applyBorder="1">
      <alignment vertical="center"/>
    </xf>
    <xf numFmtId="0" fontId="52" fillId="14" borderId="29" xfId="161" applyFont="1" applyFill="1" applyBorder="1">
      <alignment vertical="center"/>
    </xf>
    <xf numFmtId="0" fontId="53" fillId="14" borderId="33" xfId="161" applyFont="1" applyFill="1" applyBorder="1">
      <alignment vertical="center"/>
    </xf>
    <xf numFmtId="0" fontId="52" fillId="14" borderId="34" xfId="161" applyFont="1" applyFill="1" applyBorder="1">
      <alignment vertical="center"/>
    </xf>
    <xf numFmtId="0" fontId="53" fillId="14" borderId="30" xfId="161" applyFont="1" applyFill="1" applyBorder="1">
      <alignment vertical="center"/>
    </xf>
    <xf numFmtId="0" fontId="52" fillId="14" borderId="31" xfId="161" applyFont="1" applyFill="1" applyBorder="1">
      <alignment vertical="center"/>
    </xf>
    <xf numFmtId="0" fontId="52" fillId="0" borderId="31" xfId="0" applyFont="1" applyBorder="1">
      <alignment vertical="center"/>
    </xf>
    <xf numFmtId="0" fontId="0" fillId="14" borderId="31" xfId="0" applyFill="1" applyBorder="1">
      <alignment vertical="center"/>
    </xf>
    <xf numFmtId="0" fontId="53" fillId="0" borderId="31" xfId="161" applyFont="1" applyBorder="1">
      <alignment vertical="center"/>
    </xf>
    <xf numFmtId="0" fontId="52" fillId="0" borderId="31" xfId="161" applyFont="1" applyBorder="1">
      <alignment vertical="center"/>
    </xf>
    <xf numFmtId="0" fontId="52" fillId="0" borderId="31" xfId="0" applyFont="1" applyBorder="1" applyAlignment="1">
      <alignment vertical="center" wrapText="1"/>
    </xf>
    <xf numFmtId="0" fontId="52" fillId="0" borderId="31" xfId="161" quotePrefix="1" applyFont="1" applyBorder="1">
      <alignment vertical="center"/>
    </xf>
    <xf numFmtId="0" fontId="52" fillId="0" borderId="31" xfId="161" applyFont="1" applyBorder="1" applyAlignment="1">
      <alignment horizontal="center" vertical="center"/>
    </xf>
    <xf numFmtId="0" fontId="52" fillId="14" borderId="32" xfId="161" applyFont="1" applyFill="1" applyBorder="1">
      <alignment vertical="center"/>
    </xf>
    <xf numFmtId="0" fontId="52" fillId="0" borderId="28" xfId="161" quotePrefix="1" applyFont="1" applyBorder="1">
      <alignment vertical="center"/>
    </xf>
    <xf numFmtId="0" fontId="52" fillId="0" borderId="28" xfId="161" applyFont="1" applyBorder="1">
      <alignment vertical="center"/>
    </xf>
    <xf numFmtId="0" fontId="52" fillId="0" borderId="28" xfId="161" applyFont="1" applyBorder="1" applyAlignment="1">
      <alignment horizontal="center" vertical="center"/>
    </xf>
    <xf numFmtId="0" fontId="0" fillId="14" borderId="28" xfId="0" applyFill="1" applyBorder="1">
      <alignment vertical="center"/>
    </xf>
    <xf numFmtId="0" fontId="52" fillId="14" borderId="33" xfId="0" applyFont="1" applyFill="1" applyBorder="1">
      <alignment vertical="center"/>
    </xf>
    <xf numFmtId="0" fontId="52" fillId="0" borderId="34" xfId="161" applyFont="1" applyBorder="1">
      <alignment vertical="center"/>
    </xf>
    <xf numFmtId="0" fontId="52" fillId="0" borderId="0" xfId="180" applyFont="1" applyAlignment="1">
      <alignment vertical="top"/>
    </xf>
    <xf numFmtId="0" fontId="52" fillId="14" borderId="34" xfId="180" applyFont="1" applyFill="1" applyBorder="1">
      <alignment vertical="center"/>
    </xf>
    <xf numFmtId="0" fontId="52" fillId="14" borderId="33" xfId="161" applyFont="1" applyFill="1" applyBorder="1" applyAlignment="1">
      <alignment horizontal="left" vertical="center"/>
    </xf>
    <xf numFmtId="0" fontId="52" fillId="14" borderId="30" xfId="161" applyFont="1" applyFill="1" applyBorder="1" applyAlignment="1">
      <alignment horizontal="left" vertical="center"/>
    </xf>
    <xf numFmtId="0" fontId="52" fillId="14" borderId="31" xfId="161" applyFont="1" applyFill="1" applyBorder="1" applyAlignment="1">
      <alignment horizontal="left" vertical="center"/>
    </xf>
    <xf numFmtId="0" fontId="68" fillId="0" borderId="31" xfId="161" applyFont="1" applyBorder="1" applyAlignment="1">
      <alignment horizontal="left" vertical="center"/>
    </xf>
    <xf numFmtId="0" fontId="68" fillId="0" borderId="31" xfId="0" applyFont="1" applyBorder="1">
      <alignment vertical="center"/>
    </xf>
    <xf numFmtId="0" fontId="68" fillId="0" borderId="31" xfId="161" applyFont="1" applyBorder="1" applyAlignment="1">
      <alignment horizontal="center" vertical="center"/>
    </xf>
    <xf numFmtId="0" fontId="68" fillId="0" borderId="31" xfId="161" applyFont="1" applyBorder="1">
      <alignment vertical="center"/>
    </xf>
    <xf numFmtId="0" fontId="68" fillId="0" borderId="31" xfId="0" applyFont="1" applyBorder="1" applyAlignment="1">
      <alignment horizontal="center" vertical="center"/>
    </xf>
    <xf numFmtId="0" fontId="52" fillId="0" borderId="32" xfId="161" applyFont="1" applyBorder="1">
      <alignment vertical="center"/>
    </xf>
    <xf numFmtId="0" fontId="75" fillId="14" borderId="27" xfId="0" applyFont="1" applyFill="1" applyBorder="1">
      <alignment vertical="center"/>
    </xf>
    <xf numFmtId="0" fontId="52" fillId="0" borderId="28" xfId="161" quotePrefix="1" applyFont="1" applyBorder="1" applyAlignment="1">
      <alignment horizontal="left" vertical="center"/>
    </xf>
    <xf numFmtId="0" fontId="52" fillId="0" borderId="28" xfId="161" applyFont="1" applyBorder="1" applyAlignment="1">
      <alignment horizontal="left" vertical="center"/>
    </xf>
    <xf numFmtId="0" fontId="53" fillId="0" borderId="15" xfId="161" applyFont="1" applyBorder="1">
      <alignment vertical="center"/>
    </xf>
    <xf numFmtId="0" fontId="78" fillId="14" borderId="28" xfId="0" applyFont="1" applyFill="1" applyBorder="1">
      <alignment vertical="center"/>
    </xf>
    <xf numFmtId="0" fontId="57" fillId="14" borderId="28" xfId="161" applyFont="1" applyFill="1" applyBorder="1">
      <alignment vertical="center"/>
    </xf>
    <xf numFmtId="0" fontId="19" fillId="10" borderId="28" xfId="46" applyFont="1" applyFill="1" applyBorder="1" applyAlignment="1">
      <alignment horizontal="centerContinuous"/>
    </xf>
    <xf numFmtId="0" fontId="19" fillId="10" borderId="29" xfId="46" applyFont="1" applyFill="1" applyBorder="1" applyAlignment="1">
      <alignment horizontal="centerContinuous"/>
    </xf>
    <xf numFmtId="0" fontId="60" fillId="19" borderId="35" xfId="161" applyFont="1" applyFill="1" applyBorder="1" applyAlignment="1">
      <alignment horizontal="center" vertical="center"/>
    </xf>
    <xf numFmtId="0" fontId="60" fillId="23" borderId="36" xfId="161" applyFont="1" applyFill="1" applyBorder="1" applyAlignment="1">
      <alignment horizontal="centerContinuous" vertical="center"/>
    </xf>
    <xf numFmtId="0" fontId="53" fillId="19" borderId="37" xfId="161" applyFont="1" applyFill="1" applyBorder="1" applyAlignment="1">
      <alignment horizontal="centerContinuous" vertical="center"/>
    </xf>
    <xf numFmtId="0" fontId="60" fillId="23" borderId="38" xfId="161" quotePrefix="1" applyFont="1" applyFill="1" applyBorder="1" applyAlignment="1">
      <alignment horizontal="centerContinuous" vertical="center"/>
    </xf>
    <xf numFmtId="0" fontId="52" fillId="19" borderId="39" xfId="161" quotePrefix="1" applyFont="1" applyFill="1" applyBorder="1" applyAlignment="1">
      <alignment horizontal="center" vertical="center"/>
    </xf>
    <xf numFmtId="14" fontId="60" fillId="0" borderId="40" xfId="161" quotePrefix="1" applyNumberFormat="1" applyFont="1" applyBorder="1" applyAlignment="1">
      <alignment horizontal="centerContinuous" vertical="center"/>
    </xf>
    <xf numFmtId="0" fontId="63" fillId="0" borderId="33" xfId="0" applyFont="1" applyBorder="1">
      <alignment vertical="center"/>
    </xf>
    <xf numFmtId="0" fontId="0" fillId="14" borderId="34" xfId="0" applyFill="1" applyBorder="1">
      <alignment vertical="center"/>
    </xf>
    <xf numFmtId="0" fontId="52" fillId="0" borderId="33" xfId="0" applyFont="1" applyBorder="1">
      <alignment vertical="center"/>
    </xf>
    <xf numFmtId="0" fontId="83" fillId="24" borderId="41" xfId="161" quotePrefix="1" applyFont="1" applyFill="1" applyBorder="1" applyAlignment="1">
      <alignment horizontal="left" vertical="center"/>
    </xf>
    <xf numFmtId="0" fontId="0" fillId="24" borderId="40" xfId="0" applyFill="1" applyBorder="1">
      <alignment vertical="center"/>
    </xf>
    <xf numFmtId="0" fontId="75" fillId="14" borderId="30" xfId="0" applyFont="1" applyFill="1" applyBorder="1">
      <alignment vertical="center"/>
    </xf>
    <xf numFmtId="0" fontId="52" fillId="0" borderId="31" xfId="161" quotePrefix="1" applyFont="1" applyBorder="1" applyAlignment="1">
      <alignment horizontal="left" vertical="center"/>
    </xf>
    <xf numFmtId="0" fontId="52" fillId="0" borderId="31" xfId="161" applyFont="1" applyBorder="1" applyAlignment="1">
      <alignment horizontal="left" vertical="center"/>
    </xf>
    <xf numFmtId="0" fontId="78" fillId="14" borderId="31" xfId="0" applyFont="1" applyFill="1" applyBorder="1">
      <alignment vertical="center"/>
    </xf>
    <xf numFmtId="0" fontId="57" fillId="14" borderId="31" xfId="161" applyFont="1" applyFill="1" applyBorder="1">
      <alignment vertical="center"/>
    </xf>
    <xf numFmtId="0" fontId="19" fillId="10" borderId="31" xfId="46" applyFont="1" applyFill="1" applyBorder="1" applyAlignment="1">
      <alignment horizontal="centerContinuous"/>
    </xf>
    <xf numFmtId="0" fontId="19" fillId="10" borderId="32" xfId="46" applyFont="1" applyFill="1" applyBorder="1" applyAlignment="1">
      <alignment horizontal="centerContinuous"/>
    </xf>
    <xf numFmtId="0" fontId="53" fillId="0" borderId="8" xfId="161" quotePrefix="1" applyFont="1" applyBorder="1">
      <alignment vertical="center"/>
    </xf>
    <xf numFmtId="0" fontId="57" fillId="14" borderId="12" xfId="161" applyFont="1" applyFill="1" applyBorder="1">
      <alignment vertical="center"/>
    </xf>
    <xf numFmtId="0" fontId="19" fillId="10" borderId="12" xfId="46" applyFont="1" applyFill="1" applyBorder="1" applyAlignment="1">
      <alignment horizontal="centerContinuous"/>
    </xf>
    <xf numFmtId="0" fontId="19" fillId="10" borderId="34" xfId="46" applyFont="1" applyFill="1" applyBorder="1" applyAlignment="1">
      <alignment horizontal="centerContinuous"/>
    </xf>
    <xf numFmtId="0" fontId="19" fillId="10" borderId="8" xfId="46" applyFont="1" applyFill="1" applyBorder="1" applyAlignment="1">
      <alignment horizontal="centerContinuous"/>
    </xf>
    <xf numFmtId="0" fontId="19" fillId="10" borderId="38" xfId="46" applyFont="1" applyFill="1" applyBorder="1" applyAlignment="1">
      <alignment horizontal="centerContinuous"/>
    </xf>
    <xf numFmtId="0" fontId="52" fillId="0" borderId="0" xfId="161" quotePrefix="1" applyFont="1" applyAlignment="1">
      <alignment horizontal="center" vertical="center"/>
    </xf>
    <xf numFmtId="0" fontId="73" fillId="0" borderId="0" xfId="0" applyFont="1">
      <alignment vertical="center"/>
    </xf>
    <xf numFmtId="179" fontId="60" fillId="0" borderId="0" xfId="161" quotePrefix="1" applyNumberFormat="1" applyFont="1" applyAlignment="1">
      <alignment horizontal="right" vertical="center"/>
    </xf>
    <xf numFmtId="0" fontId="60" fillId="0" borderId="0" xfId="161" quotePrefix="1" applyFont="1" applyAlignment="1">
      <alignment horizontal="right" vertical="center"/>
    </xf>
    <xf numFmtId="0" fontId="19" fillId="10" borderId="16" xfId="46" applyFont="1" applyFill="1" applyBorder="1" applyAlignment="1">
      <alignment horizontal="center"/>
    </xf>
    <xf numFmtId="0" fontId="19" fillId="10" borderId="9" xfId="46" applyFont="1" applyFill="1" applyBorder="1" applyAlignment="1">
      <alignment horizontal="center"/>
    </xf>
    <xf numFmtId="0" fontId="53" fillId="0" borderId="33" xfId="161" applyFont="1" applyBorder="1">
      <alignment vertical="center"/>
    </xf>
    <xf numFmtId="0" fontId="52" fillId="0" borderId="33" xfId="161" quotePrefix="1" applyFont="1" applyBorder="1" applyAlignment="1">
      <alignment horizontal="center" vertical="center"/>
    </xf>
    <xf numFmtId="0" fontId="19" fillId="10" borderId="42" xfId="46" applyFont="1" applyFill="1" applyBorder="1" applyAlignment="1">
      <alignment horizontal="centerContinuous"/>
    </xf>
    <xf numFmtId="0" fontId="19" fillId="10" borderId="43" xfId="46" applyFont="1" applyFill="1" applyBorder="1" applyAlignment="1">
      <alignment horizontal="centerContinuous"/>
    </xf>
    <xf numFmtId="0" fontId="19" fillId="10" borderId="11" xfId="46" applyFont="1" applyFill="1" applyBorder="1" applyAlignment="1">
      <alignment horizontal="centerContinuous"/>
    </xf>
    <xf numFmtId="0" fontId="74" fillId="14" borderId="0" xfId="180" applyFont="1" applyFill="1">
      <alignment vertical="center"/>
    </xf>
    <xf numFmtId="0" fontId="52" fillId="0" borderId="34" xfId="0" applyFont="1" applyBorder="1">
      <alignment vertical="center"/>
    </xf>
    <xf numFmtId="0" fontId="64" fillId="19" borderId="41" xfId="180" applyFont="1" applyFill="1" applyBorder="1" applyAlignment="1">
      <alignment horizontal="centerContinuous" vertical="center"/>
    </xf>
    <xf numFmtId="0" fontId="76" fillId="14" borderId="41" xfId="180" quotePrefix="1" applyFont="1" applyFill="1" applyBorder="1">
      <alignment vertical="center"/>
    </xf>
    <xf numFmtId="14" fontId="52" fillId="14" borderId="2" xfId="180" applyNumberFormat="1" applyFont="1" applyFill="1" applyBorder="1" applyAlignment="1">
      <alignment horizontal="centerContinuous" vertical="center"/>
    </xf>
    <xf numFmtId="0" fontId="52" fillId="14" borderId="44" xfId="0" applyFont="1" applyFill="1" applyBorder="1">
      <alignment vertical="center"/>
    </xf>
    <xf numFmtId="0" fontId="0" fillId="14" borderId="33" xfId="0" applyFill="1" applyBorder="1">
      <alignment vertical="center"/>
    </xf>
    <xf numFmtId="0" fontId="52" fillId="14" borderId="44" xfId="161" applyFont="1" applyFill="1" applyBorder="1">
      <alignment vertical="center"/>
    </xf>
    <xf numFmtId="183" fontId="60" fillId="0" borderId="0" xfId="161" quotePrefix="1" applyNumberFormat="1" applyFont="1" applyAlignment="1">
      <alignment horizontal="right" vertical="center"/>
    </xf>
    <xf numFmtId="0" fontId="19" fillId="10" borderId="21" xfId="46" applyFont="1" applyFill="1" applyBorder="1" applyAlignment="1">
      <alignment horizontal="center"/>
    </xf>
    <xf numFmtId="0" fontId="19" fillId="10" borderId="22" xfId="46" applyFont="1" applyFill="1" applyBorder="1" applyAlignment="1">
      <alignment horizontal="center"/>
    </xf>
    <xf numFmtId="0" fontId="68" fillId="0" borderId="28" xfId="161" applyFont="1" applyBorder="1" applyAlignment="1">
      <alignment horizontal="left" vertical="center"/>
    </xf>
    <xf numFmtId="0" fontId="68" fillId="0" borderId="28" xfId="0" applyFont="1" applyBorder="1">
      <alignment vertical="center"/>
    </xf>
    <xf numFmtId="0" fontId="68" fillId="0" borderId="28" xfId="161" applyFont="1" applyBorder="1" applyAlignment="1">
      <alignment horizontal="center" vertical="center"/>
    </xf>
    <xf numFmtId="0" fontId="68" fillId="0" borderId="28" xfId="161" applyFont="1" applyBorder="1">
      <alignment vertical="center"/>
    </xf>
    <xf numFmtId="0" fontId="68" fillId="0" borderId="28" xfId="0" applyFont="1" applyBorder="1" applyAlignment="1">
      <alignment horizontal="center" vertical="center"/>
    </xf>
    <xf numFmtId="0" fontId="83" fillId="0" borderId="33" xfId="161" quotePrefix="1" applyFont="1" applyBorder="1" applyAlignment="1">
      <alignment horizontal="left" vertical="center"/>
    </xf>
    <xf numFmtId="0" fontId="0" fillId="0" borderId="12" xfId="0" applyBorder="1">
      <alignment vertical="center"/>
    </xf>
    <xf numFmtId="0" fontId="0" fillId="0" borderId="34" xfId="0" applyBorder="1">
      <alignment vertical="center"/>
    </xf>
    <xf numFmtId="0" fontId="53" fillId="0" borderId="12" xfId="0" applyFont="1" applyBorder="1">
      <alignment vertical="center"/>
    </xf>
    <xf numFmtId="0" fontId="52" fillId="0" borderId="12" xfId="0" quotePrefix="1" applyFont="1" applyBorder="1">
      <alignment vertical="center"/>
    </xf>
    <xf numFmtId="0" fontId="52" fillId="0" borderId="12" xfId="0" applyFont="1" applyBorder="1" applyAlignment="1">
      <alignment horizontal="center" vertical="center"/>
    </xf>
    <xf numFmtId="0" fontId="52" fillId="0" borderId="12" xfId="0" applyFont="1" applyBorder="1" applyAlignment="1">
      <alignment horizontal="left" vertical="center"/>
    </xf>
    <xf numFmtId="9" fontId="52" fillId="0" borderId="2" xfId="161" applyNumberFormat="1" applyFont="1" applyBorder="1">
      <alignment vertical="center"/>
    </xf>
    <xf numFmtId="0" fontId="52" fillId="14" borderId="10" xfId="0" quotePrefix="1" applyFont="1" applyFill="1" applyBorder="1">
      <alignment vertical="center"/>
    </xf>
    <xf numFmtId="0" fontId="52" fillId="26" borderId="10" xfId="0" quotePrefix="1" applyFont="1" applyFill="1" applyBorder="1">
      <alignment vertical="center"/>
    </xf>
    <xf numFmtId="0" fontId="52" fillId="26" borderId="2" xfId="180" quotePrefix="1" applyFont="1" applyFill="1" applyBorder="1">
      <alignment vertical="center"/>
    </xf>
    <xf numFmtId="0" fontId="52" fillId="26" borderId="2" xfId="180" applyFont="1" applyFill="1" applyBorder="1">
      <alignment vertical="center"/>
    </xf>
    <xf numFmtId="0" fontId="52" fillId="26" borderId="2" xfId="180" applyFont="1" applyFill="1" applyBorder="1" applyAlignment="1">
      <alignment horizontal="center" vertical="center"/>
    </xf>
    <xf numFmtId="0" fontId="0" fillId="26" borderId="2" xfId="0" applyFill="1" applyBorder="1">
      <alignment vertical="center"/>
    </xf>
    <xf numFmtId="0" fontId="52" fillId="26" borderId="17" xfId="180" applyFont="1" applyFill="1" applyBorder="1" applyAlignment="1">
      <alignment horizontal="center" vertical="center"/>
    </xf>
    <xf numFmtId="0" fontId="75" fillId="14" borderId="28" xfId="0" applyFont="1" applyFill="1" applyBorder="1">
      <alignment vertical="center"/>
    </xf>
    <xf numFmtId="183" fontId="60" fillId="0" borderId="0" xfId="161" quotePrefix="1" applyNumberFormat="1" applyFont="1">
      <alignment vertical="center"/>
    </xf>
    <xf numFmtId="0" fontId="87" fillId="0" borderId="0" xfId="0" applyFont="1">
      <alignment vertical="center"/>
    </xf>
    <xf numFmtId="0" fontId="52" fillId="26" borderId="2" xfId="0" applyFont="1" applyFill="1" applyBorder="1">
      <alignment vertical="center"/>
    </xf>
    <xf numFmtId="0" fontId="64" fillId="26" borderId="2" xfId="180" applyFont="1" applyFill="1" applyBorder="1">
      <alignment vertical="center"/>
    </xf>
    <xf numFmtId="0" fontId="52" fillId="26" borderId="2" xfId="0" applyFont="1" applyFill="1" applyBorder="1" applyAlignment="1">
      <alignment vertical="center" wrapText="1"/>
    </xf>
    <xf numFmtId="0" fontId="52" fillId="26" borderId="17" xfId="0" applyFont="1" applyFill="1" applyBorder="1">
      <alignment vertical="center"/>
    </xf>
    <xf numFmtId="0" fontId="52" fillId="0" borderId="24" xfId="180" applyFont="1" applyBorder="1">
      <alignment vertical="center"/>
    </xf>
    <xf numFmtId="0" fontId="52" fillId="26" borderId="2" xfId="180" applyFont="1" applyFill="1" applyBorder="1" applyAlignment="1">
      <alignment horizontal="left" vertical="center"/>
    </xf>
    <xf numFmtId="0" fontId="53" fillId="14" borderId="41" xfId="180" quotePrefix="1" applyFont="1" applyFill="1" applyBorder="1">
      <alignment vertical="center"/>
    </xf>
    <xf numFmtId="0" fontId="52" fillId="14" borderId="10" xfId="180" quotePrefix="1" applyFont="1" applyFill="1" applyBorder="1" applyAlignment="1">
      <alignment horizontal="left" vertical="center"/>
    </xf>
    <xf numFmtId="0" fontId="77" fillId="14" borderId="44" xfId="161" quotePrefix="1" applyFont="1" applyFill="1" applyBorder="1">
      <alignment vertical="center"/>
    </xf>
    <xf numFmtId="0" fontId="63" fillId="0" borderId="28" xfId="0" applyFont="1" applyBorder="1">
      <alignment vertical="center"/>
    </xf>
    <xf numFmtId="0" fontId="52" fillId="14" borderId="8" xfId="180" quotePrefix="1" applyFont="1" applyFill="1" applyBorder="1">
      <alignment vertical="center"/>
    </xf>
    <xf numFmtId="0" fontId="52" fillId="14" borderId="8" xfId="180" applyFont="1" applyFill="1" applyBorder="1">
      <alignment vertical="center"/>
    </xf>
    <xf numFmtId="0" fontId="52" fillId="14" borderId="8" xfId="180" applyFont="1" applyFill="1" applyBorder="1" applyAlignment="1">
      <alignment horizontal="center" vertical="center"/>
    </xf>
    <xf numFmtId="0" fontId="52" fillId="14" borderId="25" xfId="180" applyFont="1" applyFill="1" applyBorder="1" applyAlignment="1">
      <alignment horizontal="center" vertical="center"/>
    </xf>
    <xf numFmtId="0" fontId="53" fillId="0" borderId="33" xfId="180" applyFont="1" applyBorder="1" applyAlignment="1">
      <alignment vertical="top"/>
    </xf>
    <xf numFmtId="0" fontId="53" fillId="14" borderId="17" xfId="180" applyFont="1" applyFill="1" applyBorder="1" applyAlignment="1">
      <alignment horizontal="center" vertical="center"/>
    </xf>
    <xf numFmtId="0" fontId="63" fillId="14" borderId="8" xfId="180" applyFont="1" applyFill="1" applyBorder="1" applyAlignment="1">
      <alignment horizontal="center" vertical="center"/>
    </xf>
    <xf numFmtId="0" fontId="52" fillId="14" borderId="45" xfId="0" applyFont="1" applyFill="1" applyBorder="1">
      <alignment vertical="center"/>
    </xf>
    <xf numFmtId="0" fontId="53" fillId="27" borderId="15" xfId="161" applyFont="1" applyFill="1" applyBorder="1" applyAlignment="1">
      <alignment horizontal="centerContinuous" vertical="center"/>
    </xf>
    <xf numFmtId="0" fontId="53" fillId="27" borderId="12" xfId="161" applyFont="1" applyFill="1" applyBorder="1" applyAlignment="1">
      <alignment horizontal="centerContinuous" vertical="center"/>
    </xf>
    <xf numFmtId="0" fontId="53" fillId="27" borderId="15" xfId="161" quotePrefix="1" applyFont="1" applyFill="1" applyBorder="1" applyAlignment="1">
      <alignment horizontal="centerContinuous" vertical="center"/>
    </xf>
    <xf numFmtId="0" fontId="53" fillId="27" borderId="13" xfId="161" applyFont="1" applyFill="1" applyBorder="1" applyAlignment="1">
      <alignment horizontal="centerContinuous" vertical="center"/>
    </xf>
    <xf numFmtId="0" fontId="53" fillId="27" borderId="12" xfId="161" quotePrefix="1" applyFont="1" applyFill="1" applyBorder="1" applyAlignment="1">
      <alignment horizontal="centerContinuous" vertical="center"/>
    </xf>
    <xf numFmtId="0" fontId="60" fillId="27" borderId="15" xfId="161" applyFont="1" applyFill="1" applyBorder="1" applyAlignment="1">
      <alignment horizontal="centerContinuous" vertical="center"/>
    </xf>
    <xf numFmtId="0" fontId="60" fillId="27" borderId="12" xfId="161" applyFont="1" applyFill="1" applyBorder="1" applyAlignment="1">
      <alignment horizontal="centerContinuous" vertical="center"/>
    </xf>
    <xf numFmtId="0" fontId="60" fillId="27" borderId="13" xfId="161" applyFont="1" applyFill="1" applyBorder="1" applyAlignment="1">
      <alignment horizontal="centerContinuous" vertical="center"/>
    </xf>
    <xf numFmtId="0" fontId="60" fillId="27" borderId="15" xfId="161" quotePrefix="1" applyFont="1" applyFill="1" applyBorder="1" applyAlignment="1">
      <alignment horizontal="centerContinuous" vertical="center"/>
    </xf>
    <xf numFmtId="0" fontId="60" fillId="27" borderId="12" xfId="161" quotePrefix="1" applyFont="1" applyFill="1" applyBorder="1" applyAlignment="1">
      <alignment horizontal="centerContinuous" vertical="center"/>
    </xf>
    <xf numFmtId="0" fontId="52" fillId="0" borderId="10" xfId="0" quotePrefix="1" applyFont="1" applyBorder="1">
      <alignment vertical="center"/>
    </xf>
    <xf numFmtId="0" fontId="52" fillId="0" borderId="2" xfId="180" quotePrefix="1" applyFont="1" applyBorder="1">
      <alignment vertical="center"/>
    </xf>
    <xf numFmtId="0" fontId="52" fillId="0" borderId="2" xfId="180" applyFont="1" applyBorder="1">
      <alignment vertical="center"/>
    </xf>
    <xf numFmtId="0" fontId="52" fillId="0" borderId="2" xfId="180" applyFont="1" applyBorder="1" applyAlignment="1">
      <alignment horizontal="center" vertical="center"/>
    </xf>
    <xf numFmtId="0" fontId="0" fillId="0" borderId="2" xfId="0" applyBorder="1">
      <alignment vertical="center"/>
    </xf>
    <xf numFmtId="0" fontId="64" fillId="0" borderId="2" xfId="180" applyFont="1" applyBorder="1">
      <alignment vertical="center"/>
    </xf>
    <xf numFmtId="0" fontId="52" fillId="0" borderId="2" xfId="0" applyFont="1" applyBorder="1" applyAlignment="1">
      <alignment vertical="center" wrapText="1"/>
    </xf>
    <xf numFmtId="0" fontId="89" fillId="10" borderId="16" xfId="46" applyFont="1" applyFill="1" applyBorder="1" applyAlignment="1">
      <alignment horizontal="centerContinuous"/>
    </xf>
    <xf numFmtId="0" fontId="89" fillId="10" borderId="9" xfId="46" applyFont="1" applyFill="1" applyBorder="1" applyAlignment="1">
      <alignment horizontal="centerContinuous"/>
    </xf>
    <xf numFmtId="0" fontId="90" fillId="14" borderId="0" xfId="0" applyFont="1" applyFill="1">
      <alignment vertical="center"/>
    </xf>
    <xf numFmtId="0" fontId="91" fillId="14" borderId="0" xfId="0" applyFont="1" applyFill="1">
      <alignment vertical="center"/>
    </xf>
    <xf numFmtId="0" fontId="89" fillId="10" borderId="6" xfId="49" applyFont="1" applyFill="1" applyBorder="1" applyAlignment="1">
      <alignment horizontal="right" vertical="center"/>
    </xf>
    <xf numFmtId="0" fontId="90" fillId="14" borderId="6" xfId="161" quotePrefix="1" applyFont="1" applyFill="1" applyBorder="1">
      <alignment vertical="center"/>
    </xf>
    <xf numFmtId="0" fontId="90" fillId="14" borderId="0" xfId="161" applyFont="1" applyFill="1">
      <alignment vertical="center"/>
    </xf>
    <xf numFmtId="0" fontId="90" fillId="14" borderId="11" xfId="161" applyFont="1" applyFill="1" applyBorder="1">
      <alignment vertical="center"/>
    </xf>
    <xf numFmtId="0" fontId="90" fillId="0" borderId="0" xfId="161" applyFont="1">
      <alignment vertical="center"/>
    </xf>
    <xf numFmtId="0" fontId="90" fillId="0" borderId="0" xfId="161" quotePrefix="1" applyFont="1">
      <alignment vertical="center"/>
    </xf>
    <xf numFmtId="0" fontId="90" fillId="0" borderId="0" xfId="161" applyFont="1" applyAlignment="1">
      <alignment horizontal="center" vertical="center"/>
    </xf>
    <xf numFmtId="0" fontId="90" fillId="0" borderId="0" xfId="0" applyFont="1">
      <alignment vertical="center"/>
    </xf>
    <xf numFmtId="0" fontId="88" fillId="14" borderId="6" xfId="161" quotePrefix="1" applyFont="1" applyFill="1" applyBorder="1">
      <alignment vertical="center"/>
    </xf>
    <xf numFmtId="0" fontId="92" fillId="14" borderId="0" xfId="0" applyFont="1" applyFill="1">
      <alignment vertical="center"/>
    </xf>
    <xf numFmtId="0" fontId="90" fillId="0" borderId="0" xfId="161" quotePrefix="1" applyFont="1" applyAlignment="1">
      <alignment horizontal="left" vertical="center"/>
    </xf>
    <xf numFmtId="0" fontId="90" fillId="0" borderId="0" xfId="161" applyFont="1" applyAlignment="1">
      <alignment horizontal="left" vertical="center"/>
    </xf>
    <xf numFmtId="0" fontId="89" fillId="10" borderId="16" xfId="46" applyFont="1" applyFill="1" applyBorder="1" applyAlignment="1">
      <alignment horizontal="center"/>
    </xf>
    <xf numFmtId="0" fontId="89" fillId="10" borderId="9" xfId="46" applyFont="1" applyFill="1" applyBorder="1" applyAlignment="1">
      <alignment horizontal="center"/>
    </xf>
    <xf numFmtId="0" fontId="90" fillId="14" borderId="0" xfId="0" applyFont="1" applyFill="1" applyAlignment="1">
      <alignment vertical="center" wrapText="1"/>
    </xf>
    <xf numFmtId="0" fontId="89" fillId="10" borderId="7" xfId="49" applyFont="1" applyFill="1" applyBorder="1" applyAlignment="1">
      <alignment horizontal="right" vertical="center"/>
    </xf>
    <xf numFmtId="0" fontId="91" fillId="14" borderId="0" xfId="0" applyFont="1" applyFill="1" applyAlignment="1">
      <alignment vertical="center" wrapText="1"/>
    </xf>
    <xf numFmtId="0" fontId="95" fillId="0" borderId="46" xfId="161" quotePrefix="1" applyFont="1" applyBorder="1">
      <alignment vertical="center"/>
    </xf>
    <xf numFmtId="0" fontId="89" fillId="0" borderId="46" xfId="161" applyFont="1" applyBorder="1">
      <alignment vertical="center"/>
    </xf>
    <xf numFmtId="0" fontId="90" fillId="0" borderId="46" xfId="161" applyFont="1" applyBorder="1">
      <alignment vertical="center"/>
    </xf>
    <xf numFmtId="0" fontId="90" fillId="0" borderId="46" xfId="161" quotePrefix="1" applyFont="1" applyBorder="1">
      <alignment vertical="center"/>
    </xf>
    <xf numFmtId="0" fontId="90" fillId="0" borderId="46" xfId="161" applyFont="1" applyBorder="1" applyAlignment="1">
      <alignment horizontal="center" vertical="center"/>
    </xf>
    <xf numFmtId="0" fontId="90" fillId="0" borderId="46" xfId="0" applyFont="1" applyBorder="1">
      <alignment vertical="center"/>
    </xf>
    <xf numFmtId="0" fontId="90" fillId="0" borderId="46" xfId="0" applyFont="1" applyBorder="1" applyAlignment="1">
      <alignment vertical="center" wrapText="1"/>
    </xf>
    <xf numFmtId="0" fontId="89" fillId="0" borderId="0" xfId="161" applyFont="1">
      <alignment vertical="center"/>
    </xf>
    <xf numFmtId="0" fontId="89" fillId="0" borderId="6" xfId="161" quotePrefix="1" applyFont="1" applyBorder="1">
      <alignment vertical="center"/>
    </xf>
    <xf numFmtId="0" fontId="94" fillId="0" borderId="0" xfId="0" applyFont="1">
      <alignment vertical="center"/>
    </xf>
    <xf numFmtId="0" fontId="89" fillId="0" borderId="0" xfId="161" quotePrefix="1" applyFont="1">
      <alignment vertical="center"/>
    </xf>
    <xf numFmtId="0" fontId="89" fillId="0" borderId="0" xfId="0" applyFont="1">
      <alignment vertical="center"/>
    </xf>
    <xf numFmtId="0" fontId="89" fillId="0" borderId="11" xfId="161" applyFont="1" applyBorder="1">
      <alignment vertical="center"/>
    </xf>
    <xf numFmtId="0" fontId="94" fillId="0" borderId="0" xfId="161" applyFont="1">
      <alignment vertical="center"/>
    </xf>
    <xf numFmtId="0" fontId="96" fillId="0" borderId="0" xfId="0" applyFont="1">
      <alignment vertical="center"/>
    </xf>
    <xf numFmtId="0" fontId="89" fillId="0" borderId="0" xfId="0" applyFont="1" applyAlignment="1">
      <alignment vertical="center" wrapText="1"/>
    </xf>
    <xf numFmtId="0" fontId="89" fillId="0" borderId="6" xfId="161" applyFont="1" applyBorder="1">
      <alignment vertical="center"/>
    </xf>
    <xf numFmtId="0" fontId="89" fillId="0" borderId="0" xfId="161" quotePrefix="1" applyFont="1" applyAlignment="1">
      <alignment horizontal="center" vertical="center"/>
    </xf>
    <xf numFmtId="0" fontId="93" fillId="0" borderId="0" xfId="0" applyFont="1">
      <alignment vertical="center"/>
    </xf>
    <xf numFmtId="0" fontId="89" fillId="0" borderId="0" xfId="0" applyFont="1" applyAlignment="1">
      <alignment horizontal="left" vertical="center"/>
    </xf>
    <xf numFmtId="0" fontId="89" fillId="0" borderId="14" xfId="161" applyFont="1" applyBorder="1">
      <alignment vertical="center"/>
    </xf>
    <xf numFmtId="0" fontId="97" fillId="14" borderId="0" xfId="0" applyFont="1" applyFill="1">
      <alignment vertical="center"/>
    </xf>
    <xf numFmtId="0" fontId="97" fillId="14" borderId="0" xfId="0" applyFont="1" applyFill="1" applyAlignment="1">
      <alignment horizontal="left" vertical="center"/>
    </xf>
    <xf numFmtId="0" fontId="97" fillId="19" borderId="0" xfId="0" applyFont="1" applyFill="1">
      <alignment vertical="center"/>
    </xf>
    <xf numFmtId="0" fontId="97" fillId="19" borderId="0" xfId="161" applyFont="1" applyFill="1">
      <alignment vertical="center"/>
    </xf>
    <xf numFmtId="0" fontId="97" fillId="19" borderId="0" xfId="161" applyFont="1" applyFill="1" applyAlignment="1">
      <alignment horizontal="center" vertical="center"/>
    </xf>
    <xf numFmtId="0" fontId="97" fillId="19" borderId="0" xfId="161" applyFont="1" applyFill="1" applyAlignment="1">
      <alignment horizontal="left" vertical="center"/>
    </xf>
    <xf numFmtId="0" fontId="89" fillId="19" borderId="6" xfId="161" quotePrefix="1" applyFont="1" applyFill="1" applyBorder="1">
      <alignment vertical="center"/>
    </xf>
    <xf numFmtId="0" fontId="93" fillId="19" borderId="0" xfId="0" applyFont="1" applyFill="1">
      <alignment vertical="center"/>
    </xf>
    <xf numFmtId="0" fontId="89" fillId="19" borderId="0" xfId="0" applyFont="1" applyFill="1">
      <alignment vertical="center"/>
    </xf>
    <xf numFmtId="0" fontId="97" fillId="19" borderId="0" xfId="0" applyFont="1" applyFill="1" applyAlignment="1">
      <alignment horizontal="center" vertical="center"/>
    </xf>
    <xf numFmtId="0" fontId="89" fillId="19" borderId="11" xfId="161" applyFont="1" applyFill="1" applyBorder="1">
      <alignment vertical="center"/>
    </xf>
    <xf numFmtId="0" fontId="89" fillId="19" borderId="0" xfId="161" quotePrefix="1" applyFont="1" applyFill="1">
      <alignment vertical="center"/>
    </xf>
    <xf numFmtId="0" fontId="73" fillId="14" borderId="0" xfId="0" applyFont="1" applyFill="1">
      <alignment vertical="center"/>
    </xf>
    <xf numFmtId="0" fontId="99" fillId="14" borderId="0" xfId="0" applyFont="1" applyFill="1">
      <alignment vertical="center"/>
    </xf>
    <xf numFmtId="0" fontId="93" fillId="28" borderId="0" xfId="0" applyFont="1" applyFill="1" applyAlignment="1">
      <alignment horizontal="left" vertical="center"/>
    </xf>
    <xf numFmtId="0" fontId="93" fillId="28" borderId="0" xfId="0" applyFont="1" applyFill="1">
      <alignment vertical="center"/>
    </xf>
    <xf numFmtId="0" fontId="93" fillId="14" borderId="0" xfId="0" applyFont="1" applyFill="1">
      <alignment vertical="center"/>
    </xf>
    <xf numFmtId="0" fontId="89" fillId="0" borderId="8" xfId="161" applyFont="1" applyBorder="1">
      <alignment vertical="center"/>
    </xf>
    <xf numFmtId="0" fontId="94" fillId="0" borderId="8" xfId="0" applyFont="1" applyBorder="1">
      <alignment vertical="center"/>
    </xf>
    <xf numFmtId="0" fontId="94" fillId="0" borderId="8" xfId="0" applyFont="1" applyBorder="1" applyAlignment="1">
      <alignment vertical="center" wrapText="1"/>
    </xf>
    <xf numFmtId="0" fontId="89" fillId="0" borderId="12" xfId="161" applyFont="1" applyBorder="1">
      <alignment vertical="center"/>
    </xf>
    <xf numFmtId="0" fontId="94" fillId="0" borderId="12" xfId="0" applyFont="1" applyBorder="1">
      <alignment vertical="center"/>
    </xf>
    <xf numFmtId="0" fontId="94" fillId="0" borderId="12" xfId="0" applyFont="1" applyBorder="1" applyAlignment="1">
      <alignment vertical="center" wrapText="1"/>
    </xf>
    <xf numFmtId="0" fontId="89" fillId="10" borderId="26" xfId="46" applyFont="1" applyFill="1" applyBorder="1" applyAlignment="1">
      <alignment horizontal="center"/>
    </xf>
    <xf numFmtId="0" fontId="89" fillId="10" borderId="18" xfId="46" applyFont="1" applyFill="1" applyBorder="1" applyAlignment="1">
      <alignment horizontal="center"/>
    </xf>
    <xf numFmtId="0" fontId="89" fillId="10" borderId="47" xfId="46" applyFont="1" applyFill="1" applyBorder="1" applyAlignment="1">
      <alignment horizontal="center"/>
    </xf>
    <xf numFmtId="0" fontId="94" fillId="0" borderId="0" xfId="45" applyFont="1">
      <alignment vertical="center"/>
    </xf>
    <xf numFmtId="0" fontId="94" fillId="28" borderId="0" xfId="186" applyFont="1" applyFill="1">
      <alignment vertical="center"/>
    </xf>
    <xf numFmtId="0" fontId="94" fillId="14" borderId="0" xfId="186" applyFont="1" applyFill="1">
      <alignment vertical="center"/>
    </xf>
    <xf numFmtId="0" fontId="94" fillId="0" borderId="0" xfId="186" applyFont="1">
      <alignment vertical="center"/>
    </xf>
    <xf numFmtId="0" fontId="89" fillId="28" borderId="0" xfId="186" applyFont="1" applyFill="1" applyProtection="1">
      <alignment vertical="center"/>
      <protection locked="0"/>
    </xf>
    <xf numFmtId="0" fontId="96" fillId="0" borderId="56" xfId="186" applyFont="1" applyBorder="1" applyAlignment="1">
      <alignment horizontal="left" vertical="center"/>
    </xf>
    <xf numFmtId="0" fontId="96" fillId="0" borderId="57" xfId="186" applyFont="1" applyBorder="1" applyAlignment="1">
      <alignment horizontal="left" vertical="center"/>
    </xf>
    <xf numFmtId="0" fontId="89" fillId="0" borderId="57" xfId="186" applyFont="1" applyBorder="1" applyAlignment="1">
      <alignment horizontal="left" vertical="center"/>
    </xf>
    <xf numFmtId="0" fontId="94" fillId="0" borderId="57" xfId="186" applyFont="1" applyBorder="1">
      <alignment vertical="center"/>
    </xf>
    <xf numFmtId="0" fontId="94" fillId="0" borderId="58" xfId="186" applyFont="1" applyBorder="1">
      <alignment vertical="center"/>
    </xf>
    <xf numFmtId="0" fontId="100" fillId="0" borderId="10" xfId="186" applyFont="1" applyBorder="1" applyProtection="1">
      <alignment vertical="center"/>
      <protection locked="0"/>
    </xf>
    <xf numFmtId="0" fontId="100" fillId="0" borderId="2" xfId="186" applyFont="1" applyBorder="1" applyProtection="1">
      <alignment vertical="center"/>
      <protection locked="0"/>
    </xf>
    <xf numFmtId="0" fontId="100" fillId="0" borderId="17" xfId="186" applyFont="1" applyBorder="1" applyProtection="1">
      <alignment vertical="center"/>
      <protection locked="0"/>
    </xf>
    <xf numFmtId="0" fontId="94" fillId="0" borderId="0" xfId="186" applyFont="1" applyProtection="1">
      <alignment vertical="center"/>
      <protection locked="0"/>
    </xf>
    <xf numFmtId="0" fontId="94" fillId="0" borderId="10" xfId="186" applyFont="1" applyBorder="1">
      <alignment vertical="center"/>
    </xf>
    <xf numFmtId="0" fontId="94" fillId="0" borderId="2" xfId="186" applyFont="1" applyBorder="1">
      <alignment vertical="center"/>
    </xf>
    <xf numFmtId="0" fontId="94" fillId="0" borderId="17" xfId="186" applyFont="1" applyBorder="1">
      <alignment vertical="center"/>
    </xf>
    <xf numFmtId="0" fontId="89" fillId="0" borderId="56" xfId="186" applyFont="1" applyBorder="1" applyAlignment="1">
      <alignment horizontal="left" vertical="center"/>
    </xf>
    <xf numFmtId="0" fontId="94" fillId="0" borderId="10" xfId="186" applyFont="1" applyBorder="1" applyProtection="1">
      <alignment vertical="center"/>
      <protection locked="0"/>
    </xf>
    <xf numFmtId="0" fontId="94" fillId="0" borderId="2" xfId="186" applyFont="1" applyBorder="1" applyProtection="1">
      <alignment vertical="center"/>
      <protection locked="0"/>
    </xf>
    <xf numFmtId="0" fontId="94" fillId="0" borderId="17" xfId="186" applyFont="1" applyBorder="1" applyProtection="1">
      <alignment vertical="center"/>
      <protection locked="0"/>
    </xf>
    <xf numFmtId="0" fontId="94" fillId="0" borderId="7" xfId="186" applyFont="1" applyBorder="1">
      <alignment vertical="center"/>
    </xf>
    <xf numFmtId="0" fontId="94" fillId="0" borderId="8" xfId="186" applyFont="1" applyBorder="1">
      <alignment vertical="center"/>
    </xf>
    <xf numFmtId="0" fontId="94" fillId="0" borderId="14" xfId="186" applyFont="1" applyBorder="1">
      <alignment vertical="center"/>
    </xf>
    <xf numFmtId="0" fontId="96" fillId="14" borderId="0" xfId="186" applyFont="1" applyFill="1">
      <alignment vertical="center"/>
    </xf>
    <xf numFmtId="0" fontId="101" fillId="14" borderId="0" xfId="186" applyFont="1" applyFill="1">
      <alignment vertical="center"/>
    </xf>
    <xf numFmtId="0" fontId="89" fillId="14" borderId="0" xfId="186" applyFont="1" applyFill="1" applyProtection="1">
      <alignment vertical="center"/>
      <protection locked="0"/>
    </xf>
    <xf numFmtId="0" fontId="94" fillId="14" borderId="0" xfId="186" applyFont="1" applyFill="1" applyAlignment="1">
      <alignment vertical="center" wrapText="1"/>
    </xf>
    <xf numFmtId="0" fontId="93" fillId="14" borderId="0" xfId="186" applyFont="1" applyFill="1" applyAlignment="1">
      <alignment vertical="center" wrapText="1"/>
    </xf>
    <xf numFmtId="0" fontId="89" fillId="14" borderId="0" xfId="186" applyFont="1" applyFill="1" applyAlignment="1">
      <alignment vertical="center" wrapText="1"/>
    </xf>
    <xf numFmtId="0" fontId="89" fillId="28" borderId="0" xfId="186" applyFont="1" applyFill="1">
      <alignment vertical="center"/>
    </xf>
    <xf numFmtId="0" fontId="106" fillId="0" borderId="46" xfId="161" quotePrefix="1" applyFont="1" applyBorder="1">
      <alignment vertical="center"/>
    </xf>
    <xf numFmtId="0" fontId="89" fillId="32" borderId="0" xfId="0" applyFont="1" applyFill="1">
      <alignment vertical="center"/>
    </xf>
    <xf numFmtId="0" fontId="97" fillId="32" borderId="0" xfId="0" applyFont="1" applyFill="1">
      <alignment vertical="center"/>
    </xf>
    <xf numFmtId="0" fontId="97" fillId="32" borderId="0" xfId="161" applyFont="1" applyFill="1">
      <alignment vertical="center"/>
    </xf>
    <xf numFmtId="0" fontId="89" fillId="32" borderId="0" xfId="161" applyFont="1" applyFill="1">
      <alignment vertical="center"/>
    </xf>
    <xf numFmtId="0" fontId="107" fillId="0" borderId="0" xfId="161" quotePrefix="1" applyFont="1">
      <alignment vertical="center"/>
    </xf>
    <xf numFmtId="0" fontId="89" fillId="0" borderId="15" xfId="161" quotePrefix="1" applyFont="1" applyBorder="1">
      <alignment vertical="center"/>
    </xf>
    <xf numFmtId="0" fontId="89" fillId="0" borderId="12" xfId="161" quotePrefix="1" applyFont="1" applyBorder="1">
      <alignment vertical="center"/>
    </xf>
    <xf numFmtId="0" fontId="89" fillId="0" borderId="13" xfId="161" quotePrefix="1" applyFont="1" applyBorder="1">
      <alignment vertical="center"/>
    </xf>
    <xf numFmtId="0" fontId="108" fillId="0" borderId="0" xfId="161" applyFont="1">
      <alignment vertical="center"/>
    </xf>
    <xf numFmtId="0" fontId="88" fillId="33" borderId="6" xfId="161" quotePrefix="1" applyFont="1" applyFill="1" applyBorder="1">
      <alignment vertical="center"/>
    </xf>
    <xf numFmtId="0" fontId="89" fillId="33" borderId="0" xfId="161" applyFont="1" applyFill="1">
      <alignment vertical="center"/>
    </xf>
    <xf numFmtId="0" fontId="89" fillId="33" borderId="0" xfId="161" quotePrefix="1" applyFont="1" applyFill="1">
      <alignment vertical="center"/>
    </xf>
    <xf numFmtId="0" fontId="97" fillId="33" borderId="0" xfId="0" applyFont="1" applyFill="1">
      <alignment vertical="center"/>
    </xf>
    <xf numFmtId="0" fontId="89" fillId="33" borderId="0" xfId="0" applyFont="1" applyFill="1" applyAlignment="1">
      <alignment vertical="center" wrapText="1"/>
    </xf>
    <xf numFmtId="0" fontId="89" fillId="33" borderId="0" xfId="0" applyFont="1" applyFill="1">
      <alignment vertical="center"/>
    </xf>
    <xf numFmtId="0" fontId="90" fillId="33" borderId="11" xfId="161" applyFont="1" applyFill="1" applyBorder="1">
      <alignment vertical="center"/>
    </xf>
    <xf numFmtId="0" fontId="90" fillId="33" borderId="6" xfId="161" quotePrefix="1" applyFont="1" applyFill="1" applyBorder="1">
      <alignment vertical="center"/>
    </xf>
    <xf numFmtId="0" fontId="90" fillId="33" borderId="0" xfId="0" applyFont="1" applyFill="1">
      <alignment vertical="center"/>
    </xf>
    <xf numFmtId="0" fontId="91" fillId="33" borderId="0" xfId="0" applyFont="1" applyFill="1">
      <alignment vertical="center"/>
    </xf>
    <xf numFmtId="0" fontId="90" fillId="33" borderId="0" xfId="161" applyFont="1" applyFill="1">
      <alignment vertical="center"/>
    </xf>
    <xf numFmtId="0" fontId="89" fillId="33" borderId="6" xfId="161" quotePrefix="1" applyFont="1" applyFill="1" applyBorder="1">
      <alignment vertical="center"/>
    </xf>
    <xf numFmtId="0" fontId="89" fillId="33" borderId="11" xfId="161" applyFont="1" applyFill="1" applyBorder="1">
      <alignment vertical="center"/>
    </xf>
    <xf numFmtId="0" fontId="94" fillId="33" borderId="0" xfId="161" applyFont="1" applyFill="1">
      <alignment vertical="center"/>
    </xf>
    <xf numFmtId="0" fontId="109" fillId="33" borderId="0" xfId="0" applyFont="1" applyFill="1">
      <alignment vertical="center"/>
    </xf>
    <xf numFmtId="0" fontId="89" fillId="33" borderId="60" xfId="161" applyFont="1" applyFill="1" applyBorder="1">
      <alignment vertical="center"/>
    </xf>
    <xf numFmtId="0" fontId="89" fillId="33" borderId="60" xfId="161" quotePrefix="1" applyFont="1" applyFill="1" applyBorder="1">
      <alignment vertical="center"/>
    </xf>
    <xf numFmtId="0" fontId="111" fillId="33" borderId="60" xfId="161" applyFont="1" applyFill="1" applyBorder="1">
      <alignment vertical="center"/>
    </xf>
    <xf numFmtId="0" fontId="90" fillId="14" borderId="61" xfId="0" applyFont="1" applyFill="1" applyBorder="1">
      <alignment vertical="center"/>
    </xf>
    <xf numFmtId="0" fontId="91" fillId="14" borderId="61" xfId="0" applyFont="1" applyFill="1" applyBorder="1">
      <alignment vertical="center"/>
    </xf>
    <xf numFmtId="0" fontId="89" fillId="0" borderId="61" xfId="0" applyFont="1" applyBorder="1">
      <alignment vertical="center"/>
    </xf>
    <xf numFmtId="0" fontId="89" fillId="10" borderId="26" xfId="46" applyFont="1" applyFill="1" applyBorder="1" applyAlignment="1">
      <alignment horizontal="centerContinuous"/>
    </xf>
    <xf numFmtId="0" fontId="89" fillId="10" borderId="18" xfId="46" applyFont="1" applyFill="1" applyBorder="1" applyAlignment="1">
      <alignment horizontal="centerContinuous"/>
    </xf>
    <xf numFmtId="0" fontId="89" fillId="10" borderId="12" xfId="46" applyFont="1" applyFill="1" applyBorder="1" applyAlignment="1">
      <alignment horizontal="center"/>
    </xf>
    <xf numFmtId="0" fontId="89" fillId="0" borderId="62" xfId="161" quotePrefix="1" applyFont="1" applyBorder="1">
      <alignment vertical="center"/>
    </xf>
    <xf numFmtId="0" fontId="96" fillId="0" borderId="46" xfId="161" quotePrefix="1" applyFont="1" applyBorder="1">
      <alignment vertical="center"/>
    </xf>
    <xf numFmtId="0" fontId="89" fillId="0" borderId="46" xfId="161" quotePrefix="1" applyFont="1" applyBorder="1">
      <alignment vertical="center"/>
    </xf>
    <xf numFmtId="0" fontId="89" fillId="0" borderId="63" xfId="161" applyFont="1" applyBorder="1">
      <alignment vertical="center"/>
    </xf>
    <xf numFmtId="0" fontId="89" fillId="0" borderId="64" xfId="161" applyFont="1" applyBorder="1">
      <alignment vertical="center"/>
    </xf>
    <xf numFmtId="0" fontId="89" fillId="0" borderId="65" xfId="161" quotePrefix="1" applyFont="1" applyBorder="1">
      <alignment vertical="center"/>
    </xf>
    <xf numFmtId="0" fontId="89" fillId="0" borderId="66" xfId="161" applyFont="1" applyBorder="1">
      <alignment vertical="center"/>
    </xf>
    <xf numFmtId="0" fontId="97" fillId="0" borderId="65" xfId="161" quotePrefix="1" applyFont="1" applyBorder="1">
      <alignment vertical="center"/>
    </xf>
    <xf numFmtId="0" fontId="89" fillId="0" borderId="67" xfId="161" quotePrefix="1" applyFont="1" applyBorder="1">
      <alignment vertical="center"/>
    </xf>
    <xf numFmtId="0" fontId="97" fillId="0" borderId="67" xfId="161" quotePrefix="1" applyFont="1" applyBorder="1">
      <alignment vertical="center"/>
    </xf>
    <xf numFmtId="0" fontId="97" fillId="0" borderId="0" xfId="161" quotePrefix="1" applyFont="1">
      <alignment vertical="center"/>
    </xf>
    <xf numFmtId="0" fontId="97" fillId="0" borderId="0" xfId="0" applyFont="1">
      <alignment vertical="center"/>
    </xf>
    <xf numFmtId="0" fontId="97" fillId="0" borderId="0" xfId="0" applyFont="1" applyAlignment="1">
      <alignment vertical="center" wrapText="1"/>
    </xf>
    <xf numFmtId="0" fontId="112" fillId="0" borderId="64" xfId="161" applyFont="1" applyBorder="1">
      <alignment vertical="center"/>
    </xf>
    <xf numFmtId="0" fontId="97" fillId="0" borderId="66" xfId="161" applyFont="1" applyBorder="1">
      <alignment vertical="center"/>
    </xf>
    <xf numFmtId="0" fontId="97" fillId="0" borderId="65" xfId="161" quotePrefix="1" applyFont="1" applyBorder="1" applyAlignment="1">
      <alignment horizontal="right" vertical="center"/>
    </xf>
    <xf numFmtId="0" fontId="113" fillId="0" borderId="65" xfId="161" quotePrefix="1" applyFont="1" applyBorder="1">
      <alignment vertical="center"/>
    </xf>
    <xf numFmtId="0" fontId="114" fillId="0" borderId="65" xfId="161" quotePrefix="1" applyFont="1" applyBorder="1" applyAlignment="1">
      <alignment horizontal="left" vertical="center"/>
    </xf>
    <xf numFmtId="0" fontId="113" fillId="33" borderId="65" xfId="161" quotePrefix="1" applyFont="1" applyFill="1" applyBorder="1" applyAlignment="1">
      <alignment horizontal="center" vertical="center"/>
    </xf>
    <xf numFmtId="0" fontId="113" fillId="0" borderId="65" xfId="161" quotePrefix="1" applyFont="1" applyBorder="1" applyAlignment="1">
      <alignment horizontal="center" vertical="center"/>
    </xf>
    <xf numFmtId="0" fontId="115" fillId="0" borderId="65" xfId="161" quotePrefix="1" applyFont="1" applyBorder="1">
      <alignment vertical="center"/>
    </xf>
    <xf numFmtId="0" fontId="89" fillId="28" borderId="0" xfId="0" applyFont="1" applyFill="1" applyAlignment="1">
      <alignment horizontal="left" vertical="center"/>
    </xf>
    <xf numFmtId="0" fontId="89" fillId="28" borderId="0" xfId="0" applyFont="1" applyFill="1">
      <alignment vertical="center"/>
    </xf>
    <xf numFmtId="0" fontId="89" fillId="14" borderId="0" xfId="0" applyFont="1" applyFill="1">
      <alignment vertical="center"/>
    </xf>
    <xf numFmtId="0" fontId="89" fillId="0" borderId="49" xfId="184" applyFont="1" applyBorder="1" applyAlignment="1" applyProtection="1">
      <alignment vertical="center" wrapText="1"/>
      <protection locked="0"/>
    </xf>
    <xf numFmtId="0" fontId="89" fillId="0" borderId="50" xfId="184" applyFont="1" applyBorder="1" applyAlignment="1" applyProtection="1">
      <alignment vertical="center" wrapText="1"/>
      <protection locked="0"/>
    </xf>
    <xf numFmtId="0" fontId="89" fillId="0" borderId="51" xfId="184" applyFont="1" applyBorder="1" applyAlignment="1" applyProtection="1">
      <alignment vertical="center" wrapText="1"/>
      <protection locked="0"/>
    </xf>
    <xf numFmtId="0" fontId="89" fillId="0" borderId="52" xfId="184" applyFont="1" applyBorder="1" applyAlignment="1">
      <alignment vertical="center" wrapText="1"/>
    </xf>
    <xf numFmtId="0" fontId="89" fillId="0" borderId="2" xfId="184" applyFont="1" applyBorder="1" applyAlignment="1">
      <alignment vertical="center" wrapText="1"/>
    </xf>
    <xf numFmtId="0" fontId="89" fillId="0" borderId="48" xfId="184" applyFont="1" applyBorder="1" applyAlignment="1">
      <alignment vertical="center" wrapText="1"/>
    </xf>
    <xf numFmtId="0" fontId="89" fillId="0" borderId="48" xfId="184" applyFont="1" applyBorder="1" applyAlignment="1">
      <alignment horizontal="left" vertical="center" wrapText="1"/>
    </xf>
    <xf numFmtId="0" fontId="94" fillId="0" borderId="0" xfId="184" applyFont="1">
      <alignment vertical="center"/>
    </xf>
    <xf numFmtId="0" fontId="96" fillId="0" borderId="0" xfId="161" quotePrefix="1" applyFont="1">
      <alignment vertical="center"/>
    </xf>
    <xf numFmtId="0" fontId="89" fillId="0" borderId="71" xfId="161" quotePrefix="1" applyFont="1" applyBorder="1">
      <alignment vertical="center"/>
    </xf>
    <xf numFmtId="0" fontId="89" fillId="0" borderId="72" xfId="161" quotePrefix="1" applyFont="1" applyBorder="1">
      <alignment vertical="center"/>
    </xf>
    <xf numFmtId="0" fontId="97" fillId="0" borderId="72" xfId="161" quotePrefix="1" applyFont="1" applyBorder="1">
      <alignment vertical="center"/>
    </xf>
    <xf numFmtId="0" fontId="97" fillId="14" borderId="72" xfId="0" applyFont="1" applyFill="1" applyBorder="1">
      <alignment vertical="center"/>
    </xf>
    <xf numFmtId="0" fontId="97" fillId="0" borderId="72" xfId="0" applyFont="1" applyBorder="1" applyAlignment="1">
      <alignment vertical="center" wrapText="1"/>
    </xf>
    <xf numFmtId="0" fontId="97" fillId="0" borderId="72" xfId="0" applyFont="1" applyBorder="1">
      <alignment vertical="center"/>
    </xf>
    <xf numFmtId="0" fontId="89" fillId="0" borderId="72" xfId="0" applyFont="1" applyBorder="1">
      <alignment vertical="center"/>
    </xf>
    <xf numFmtId="0" fontId="89" fillId="0" borderId="72" xfId="161" applyFont="1" applyBorder="1">
      <alignment vertical="center"/>
    </xf>
    <xf numFmtId="0" fontId="89" fillId="0" borderId="7" xfId="161" applyFont="1" applyBorder="1">
      <alignment vertical="center"/>
    </xf>
    <xf numFmtId="0" fontId="89" fillId="0" borderId="8" xfId="161" quotePrefix="1" applyFont="1" applyBorder="1">
      <alignment vertical="center"/>
    </xf>
    <xf numFmtId="0" fontId="89" fillId="10" borderId="21" xfId="46" applyFont="1" applyFill="1" applyBorder="1" applyAlignment="1">
      <alignment horizontal="centerContinuous"/>
    </xf>
    <xf numFmtId="0" fontId="89" fillId="10" borderId="22" xfId="46" applyFont="1" applyFill="1" applyBorder="1" applyAlignment="1">
      <alignment horizontal="centerContinuous"/>
    </xf>
    <xf numFmtId="0" fontId="19" fillId="0" borderId="0" xfId="48" applyFont="1" applyAlignment="1">
      <alignment horizontal="center" vertical="center" wrapText="1"/>
    </xf>
    <xf numFmtId="0" fontId="19" fillId="0" borderId="0" xfId="48" applyFont="1" applyAlignment="1">
      <alignment horizontal="center" vertical="center"/>
    </xf>
    <xf numFmtId="14" fontId="80" fillId="14" borderId="0" xfId="48" applyNumberFormat="1" applyFont="1" applyFill="1" applyAlignment="1">
      <alignment horizontal="center" vertical="center"/>
    </xf>
    <xf numFmtId="0" fontId="80" fillId="14" borderId="0" xfId="48" applyFont="1" applyFill="1" applyAlignment="1">
      <alignment horizontal="center" vertical="center"/>
    </xf>
    <xf numFmtId="0" fontId="15" fillId="0" borderId="3" xfId="48" applyFont="1" applyBorder="1" applyAlignment="1">
      <alignment horizontal="center"/>
    </xf>
    <xf numFmtId="0" fontId="15" fillId="14" borderId="0" xfId="48" applyFont="1" applyFill="1" applyAlignment="1">
      <alignment horizontal="center"/>
    </xf>
    <xf numFmtId="0" fontId="18" fillId="12" borderId="3" xfId="48" applyFont="1" applyFill="1" applyBorder="1" applyAlignment="1">
      <alignment horizontal="left" vertical="center"/>
    </xf>
    <xf numFmtId="0" fontId="19" fillId="0" borderId="3" xfId="48" applyFont="1" applyBorder="1" applyAlignment="1">
      <alignment horizontal="center" vertical="center"/>
    </xf>
    <xf numFmtId="0" fontId="19" fillId="0" borderId="3" xfId="48" applyFont="1" applyBorder="1" applyAlignment="1">
      <alignment horizontal="left" vertical="center"/>
    </xf>
    <xf numFmtId="14" fontId="19" fillId="0" borderId="3" xfId="48" applyNumberFormat="1" applyFont="1" applyBorder="1" applyAlignment="1">
      <alignment horizontal="center" vertical="center"/>
    </xf>
    <xf numFmtId="0" fontId="13" fillId="16" borderId="10" xfId="50" applyFill="1" applyBorder="1" applyAlignment="1">
      <alignment horizontal="center" vertical="center"/>
    </xf>
    <xf numFmtId="0" fontId="13" fillId="16" borderId="17" xfId="50" applyFill="1" applyBorder="1" applyAlignment="1">
      <alignment horizontal="center" vertical="center"/>
    </xf>
    <xf numFmtId="0" fontId="13" fillId="16" borderId="3" xfId="50" applyFill="1" applyBorder="1" applyAlignment="1">
      <alignment horizontal="left" vertical="center"/>
    </xf>
    <xf numFmtId="0" fontId="18" fillId="12" borderId="10" xfId="48" applyFont="1" applyFill="1" applyBorder="1" applyAlignment="1">
      <alignment horizontal="left" vertical="center"/>
    </xf>
    <xf numFmtId="0" fontId="18" fillId="12" borderId="2" xfId="48" applyFont="1" applyFill="1" applyBorder="1" applyAlignment="1">
      <alignment horizontal="left" vertical="center"/>
    </xf>
    <xf numFmtId="0" fontId="18" fillId="12" borderId="17" xfId="48" applyFont="1" applyFill="1" applyBorder="1" applyAlignment="1">
      <alignment horizontal="left" vertical="center"/>
    </xf>
    <xf numFmtId="0" fontId="48" fillId="15" borderId="24" xfId="48" applyFont="1" applyFill="1" applyBorder="1" applyAlignment="1">
      <alignment vertical="center"/>
    </xf>
    <xf numFmtId="0" fontId="18" fillId="12" borderId="3" xfId="48" applyFont="1" applyFill="1" applyBorder="1" applyAlignment="1">
      <alignment vertical="center"/>
    </xf>
    <xf numFmtId="0" fontId="20" fillId="0" borderId="10" xfId="48" applyFont="1" applyBorder="1" applyAlignment="1">
      <alignment vertical="center"/>
    </xf>
    <xf numFmtId="0" fontId="20" fillId="0" borderId="2" xfId="48" applyFont="1" applyBorder="1" applyAlignment="1">
      <alignment vertical="center"/>
    </xf>
    <xf numFmtId="0" fontId="20" fillId="0" borderId="17" xfId="48" applyFont="1" applyBorder="1" applyAlignment="1">
      <alignment vertical="center"/>
    </xf>
    <xf numFmtId="0" fontId="52" fillId="14" borderId="15" xfId="0" applyFont="1" applyFill="1" applyBorder="1" applyAlignment="1">
      <alignment vertical="center" wrapText="1"/>
    </xf>
    <xf numFmtId="0" fontId="52" fillId="14" borderId="12" xfId="0" applyFont="1" applyFill="1" applyBorder="1" applyAlignment="1">
      <alignment vertical="center" wrapText="1"/>
    </xf>
    <xf numFmtId="0" fontId="52" fillId="14" borderId="13" xfId="0" applyFont="1" applyFill="1" applyBorder="1" applyAlignment="1">
      <alignment vertical="center" wrapText="1"/>
    </xf>
    <xf numFmtId="0" fontId="52" fillId="14" borderId="7" xfId="0" applyFont="1" applyFill="1" applyBorder="1" applyAlignment="1">
      <alignment vertical="center" wrapText="1"/>
    </xf>
    <xf numFmtId="0" fontId="52" fillId="14" borderId="8" xfId="0" applyFont="1" applyFill="1" applyBorder="1" applyAlignment="1">
      <alignment vertical="center" wrapText="1"/>
    </xf>
    <xf numFmtId="0" fontId="52" fillId="14" borderId="14" xfId="0" applyFont="1" applyFill="1" applyBorder="1" applyAlignment="1">
      <alignment vertical="center" wrapText="1"/>
    </xf>
    <xf numFmtId="0" fontId="18" fillId="15" borderId="25" xfId="48" applyFont="1" applyFill="1" applyBorder="1" applyAlignment="1">
      <alignment vertical="center"/>
    </xf>
    <xf numFmtId="0" fontId="19" fillId="0" borderId="3" xfId="48" applyFont="1" applyBorder="1" applyAlignment="1">
      <alignment vertical="center"/>
    </xf>
    <xf numFmtId="0" fontId="52" fillId="14" borderId="3" xfId="0" applyFont="1" applyFill="1" applyBorder="1">
      <alignment vertical="center"/>
    </xf>
    <xf numFmtId="0" fontId="17" fillId="15" borderId="23" xfId="48" applyFont="1" applyFill="1" applyBorder="1" applyAlignment="1">
      <alignment vertical="center"/>
    </xf>
    <xf numFmtId="0" fontId="54" fillId="17" borderId="8" xfId="0" applyFont="1" applyFill="1" applyBorder="1" applyAlignment="1">
      <alignment horizontal="center" vertical="center"/>
    </xf>
    <xf numFmtId="0" fontId="52" fillId="14" borderId="3" xfId="0" applyFont="1" applyFill="1" applyBorder="1" applyAlignment="1">
      <alignment vertical="center" wrapText="1"/>
    </xf>
    <xf numFmtId="0" fontId="52" fillId="0" borderId="15" xfId="0" applyFont="1" applyBorder="1" applyAlignment="1">
      <alignment horizontal="center" vertical="center"/>
    </xf>
    <xf numFmtId="0" fontId="52" fillId="0" borderId="13" xfId="0" applyFont="1" applyBorder="1" applyAlignment="1">
      <alignment horizontal="center" vertical="center"/>
    </xf>
    <xf numFmtId="0" fontId="52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2" fillId="0" borderId="23" xfId="0" applyFont="1" applyBorder="1" applyAlignment="1">
      <alignment horizontal="center" vertical="center"/>
    </xf>
    <xf numFmtId="0" fontId="52" fillId="0" borderId="3" xfId="0" applyFont="1" applyBorder="1">
      <alignment vertical="center"/>
    </xf>
    <xf numFmtId="0" fontId="52" fillId="0" borderId="3" xfId="0" applyFont="1" applyBorder="1" applyAlignment="1">
      <alignment vertical="center" wrapText="1"/>
    </xf>
    <xf numFmtId="0" fontId="52" fillId="0" borderId="23" xfId="0" applyFont="1" applyBorder="1">
      <alignment vertical="center"/>
    </xf>
    <xf numFmtId="0" fontId="52" fillId="0" borderId="10" xfId="0" applyFont="1" applyBorder="1" applyAlignment="1">
      <alignment vertical="center" wrapText="1"/>
    </xf>
    <xf numFmtId="0" fontId="52" fillId="0" borderId="2" xfId="0" applyFont="1" applyBorder="1">
      <alignment vertical="center"/>
    </xf>
    <xf numFmtId="0" fontId="52" fillId="0" borderId="17" xfId="0" applyFont="1" applyBorder="1">
      <alignment vertical="center"/>
    </xf>
    <xf numFmtId="0" fontId="0" fillId="0" borderId="3" xfId="0" applyBorder="1">
      <alignment vertical="center"/>
    </xf>
    <xf numFmtId="14" fontId="52" fillId="0" borderId="3" xfId="0" applyNumberFormat="1" applyFont="1" applyBorder="1" applyAlignment="1">
      <alignment horizontal="center" vertical="center"/>
    </xf>
    <xf numFmtId="14" fontId="19" fillId="0" borderId="3" xfId="50" applyNumberFormat="1" applyFont="1" applyBorder="1" applyAlignment="1">
      <alignment horizontal="center" vertical="center"/>
    </xf>
    <xf numFmtId="0" fontId="19" fillId="0" borderId="3" xfId="50" applyFont="1" applyBorder="1" applyAlignment="1">
      <alignment horizontal="center" vertical="center"/>
    </xf>
    <xf numFmtId="14" fontId="19" fillId="0" borderId="10" xfId="50" applyNumberFormat="1" applyFont="1" applyBorder="1" applyAlignment="1">
      <alignment horizontal="center" vertical="center"/>
    </xf>
    <xf numFmtId="14" fontId="19" fillId="0" borderId="2" xfId="50" applyNumberFormat="1" applyFont="1" applyBorder="1" applyAlignment="1">
      <alignment horizontal="center" vertical="center"/>
    </xf>
    <xf numFmtId="14" fontId="19" fillId="0" borderId="17" xfId="50" applyNumberFormat="1" applyFont="1" applyBorder="1" applyAlignment="1">
      <alignment horizontal="center" vertical="center"/>
    </xf>
    <xf numFmtId="14" fontId="52" fillId="0" borderId="23" xfId="0" applyNumberFormat="1" applyFont="1" applyBorder="1" applyAlignment="1">
      <alignment horizontal="center" vertical="center"/>
    </xf>
    <xf numFmtId="187" fontId="113" fillId="0" borderId="65" xfId="161" quotePrefix="1" applyNumberFormat="1" applyFont="1" applyBorder="1" applyAlignment="1">
      <alignment horizontal="center" vertical="center"/>
    </xf>
    <xf numFmtId="0" fontId="20" fillId="0" borderId="3" xfId="48" applyFont="1" applyBorder="1" applyAlignment="1">
      <alignment vertical="center"/>
    </xf>
    <xf numFmtId="0" fontId="50" fillId="13" borderId="10" xfId="49" applyFont="1" applyFill="1" applyBorder="1" applyAlignment="1">
      <alignment horizontal="center" vertical="center"/>
    </xf>
    <xf numFmtId="0" fontId="50" fillId="13" borderId="2" xfId="49" applyFont="1" applyFill="1" applyBorder="1" applyAlignment="1">
      <alignment horizontal="center" vertical="center"/>
    </xf>
    <xf numFmtId="0" fontId="50" fillId="13" borderId="17" xfId="49" applyFont="1" applyFill="1" applyBorder="1" applyAlignment="1">
      <alignment horizontal="center" vertical="center"/>
    </xf>
    <xf numFmtId="0" fontId="19" fillId="10" borderId="10" xfId="46" applyFont="1" applyFill="1" applyBorder="1" applyAlignment="1">
      <alignment horizontal="center"/>
    </xf>
    <xf numFmtId="0" fontId="19" fillId="10" borderId="17" xfId="46" applyFont="1" applyFill="1" applyBorder="1" applyAlignment="1">
      <alignment horizontal="center"/>
    </xf>
    <xf numFmtId="183" fontId="97" fillId="19" borderId="0" xfId="161" quotePrefix="1" applyNumberFormat="1" applyFont="1" applyFill="1" applyAlignment="1">
      <alignment horizontal="right" vertical="center"/>
    </xf>
    <xf numFmtId="0" fontId="89" fillId="0" borderId="52" xfId="186" applyFont="1" applyBorder="1" applyAlignment="1">
      <alignment horizontal="left" vertical="center" wrapText="1"/>
    </xf>
    <xf numFmtId="0" fontId="89" fillId="0" borderId="2" xfId="186" applyFont="1" applyBorder="1" applyAlignment="1">
      <alignment horizontal="left" vertical="center" wrapText="1"/>
    </xf>
    <xf numFmtId="0" fontId="89" fillId="0" borderId="48" xfId="186" applyFont="1" applyBorder="1" applyAlignment="1">
      <alignment horizontal="left" vertical="center" wrapText="1"/>
    </xf>
    <xf numFmtId="0" fontId="89" fillId="0" borderId="10" xfId="184" applyFont="1" applyBorder="1" applyAlignment="1">
      <alignment horizontal="left" vertical="center" wrapText="1"/>
    </xf>
    <xf numFmtId="0" fontId="89" fillId="0" borderId="2" xfId="184" applyFont="1" applyBorder="1" applyAlignment="1">
      <alignment horizontal="left" vertical="center" wrapText="1"/>
    </xf>
    <xf numFmtId="0" fontId="89" fillId="0" borderId="17" xfId="184" applyFont="1" applyBorder="1" applyAlignment="1">
      <alignment horizontal="left" vertical="center" wrapText="1"/>
    </xf>
    <xf numFmtId="49" fontId="89" fillId="0" borderId="10" xfId="45" applyNumberFormat="1" applyFont="1" applyBorder="1" applyAlignment="1">
      <alignment horizontal="left" vertical="center" wrapText="1"/>
    </xf>
    <xf numFmtId="49" fontId="89" fillId="0" borderId="48" xfId="45" applyNumberFormat="1" applyFont="1" applyBorder="1" applyAlignment="1">
      <alignment horizontal="left" vertical="center" wrapText="1"/>
    </xf>
    <xf numFmtId="0" fontId="89" fillId="0" borderId="56" xfId="186" applyFont="1" applyBorder="1" applyAlignment="1" applyProtection="1">
      <alignment vertical="center" wrapText="1"/>
      <protection locked="0"/>
    </xf>
    <xf numFmtId="0" fontId="89" fillId="0" borderId="57" xfId="186" applyFont="1" applyBorder="1" applyAlignment="1" applyProtection="1">
      <alignment vertical="center" wrapText="1"/>
      <protection locked="0"/>
    </xf>
    <xf numFmtId="0" fontId="89" fillId="0" borderId="58" xfId="186" applyFont="1" applyBorder="1" applyAlignment="1" applyProtection="1">
      <alignment vertical="center" wrapText="1"/>
      <protection locked="0"/>
    </xf>
    <xf numFmtId="0" fontId="89" fillId="0" borderId="53" xfId="186" applyFont="1" applyBorder="1" applyAlignment="1" applyProtection="1">
      <alignment vertical="center" wrapText="1"/>
      <protection locked="0"/>
    </xf>
    <xf numFmtId="0" fontId="89" fillId="0" borderId="54" xfId="186" applyFont="1" applyBorder="1" applyAlignment="1" applyProtection="1">
      <alignment vertical="center" wrapText="1"/>
      <protection locked="0"/>
    </xf>
    <xf numFmtId="0" fontId="89" fillId="0" borderId="55" xfId="186" applyFont="1" applyBorder="1" applyAlignment="1" applyProtection="1">
      <alignment vertical="center" wrapText="1"/>
      <protection locked="0"/>
    </xf>
    <xf numFmtId="0" fontId="89" fillId="0" borderId="68" xfId="184" applyFont="1" applyBorder="1" applyAlignment="1" applyProtection="1">
      <alignment vertical="center" wrapText="1"/>
      <protection locked="0"/>
    </xf>
    <xf numFmtId="0" fontId="89" fillId="0" borderId="69" xfId="184" applyFont="1" applyBorder="1" applyAlignment="1" applyProtection="1">
      <alignment vertical="center" wrapText="1"/>
      <protection locked="0"/>
    </xf>
    <xf numFmtId="0" fontId="89" fillId="0" borderId="70" xfId="184" applyFont="1" applyBorder="1" applyAlignment="1" applyProtection="1">
      <alignment vertical="center" wrapText="1"/>
      <protection locked="0"/>
    </xf>
    <xf numFmtId="0" fontId="89" fillId="0" borderId="53" xfId="45" applyFont="1" applyBorder="1" applyAlignment="1">
      <alignment horizontal="center" vertical="center"/>
    </xf>
    <xf numFmtId="0" fontId="89" fillId="0" borderId="54" xfId="45" applyFont="1" applyBorder="1" applyAlignment="1">
      <alignment horizontal="center" vertical="center"/>
    </xf>
    <xf numFmtId="0" fontId="89" fillId="0" borderId="55" xfId="45" applyFont="1" applyBorder="1" applyAlignment="1">
      <alignment horizontal="center" vertical="center"/>
    </xf>
    <xf numFmtId="0" fontId="89" fillId="0" borderId="52" xfId="45" applyFont="1" applyBorder="1" applyAlignment="1" applyProtection="1">
      <alignment horizontal="center" vertical="center" wrapText="1"/>
      <protection locked="0"/>
    </xf>
    <xf numFmtId="0" fontId="89" fillId="0" borderId="48" xfId="45" applyFont="1" applyBorder="1" applyAlignment="1" applyProtection="1">
      <alignment horizontal="center" vertical="center" wrapText="1"/>
      <protection locked="0"/>
    </xf>
    <xf numFmtId="0" fontId="89" fillId="0" borderId="52" xfId="186" applyFont="1" applyBorder="1" applyAlignment="1">
      <alignment vertical="center" wrapText="1"/>
    </xf>
    <xf numFmtId="0" fontId="89" fillId="0" borderId="2" xfId="186" applyFont="1" applyBorder="1" applyAlignment="1">
      <alignment vertical="center" wrapText="1"/>
    </xf>
    <xf numFmtId="0" fontId="89" fillId="0" borderId="48" xfId="186" applyFont="1" applyBorder="1" applyAlignment="1">
      <alignment vertical="center" wrapText="1"/>
    </xf>
    <xf numFmtId="0" fontId="89" fillId="0" borderId="49" xfId="186" applyFont="1" applyBorder="1" applyAlignment="1" applyProtection="1">
      <alignment vertical="center" wrapText="1"/>
      <protection locked="0"/>
    </xf>
    <xf numFmtId="0" fontId="89" fillId="0" borderId="50" xfId="186" applyFont="1" applyBorder="1" applyAlignment="1" applyProtection="1">
      <alignment vertical="center" wrapText="1"/>
      <protection locked="0"/>
    </xf>
    <xf numFmtId="0" fontId="89" fillId="0" borderId="51" xfId="186" applyFont="1" applyBorder="1" applyAlignment="1" applyProtection="1">
      <alignment vertical="center" wrapText="1"/>
      <protection locked="0"/>
    </xf>
    <xf numFmtId="0" fontId="89" fillId="0" borderId="56" xfId="45" applyFont="1" applyBorder="1" applyAlignment="1" applyProtection="1">
      <alignment vertical="center" wrapText="1"/>
      <protection locked="0"/>
    </xf>
    <xf numFmtId="0" fontId="89" fillId="0" borderId="57" xfId="45" applyFont="1" applyBorder="1" applyAlignment="1" applyProtection="1">
      <alignment vertical="center" wrapText="1"/>
      <protection locked="0"/>
    </xf>
    <xf numFmtId="0" fontId="89" fillId="0" borderId="59" xfId="45" applyFont="1" applyBorder="1" applyAlignment="1" applyProtection="1">
      <alignment vertical="center" wrapText="1"/>
      <protection locked="0"/>
    </xf>
    <xf numFmtId="0" fontId="89" fillId="0" borderId="56" xfId="185" applyFont="1" applyBorder="1" applyAlignment="1" applyProtection="1">
      <alignment vertical="center" wrapText="1"/>
      <protection locked="0"/>
    </xf>
    <xf numFmtId="0" fontId="89" fillId="0" borderId="57" xfId="185" applyFont="1" applyBorder="1" applyAlignment="1" applyProtection="1">
      <alignment vertical="center" wrapText="1"/>
      <protection locked="0"/>
    </xf>
    <xf numFmtId="0" fontId="89" fillId="0" borderId="58" xfId="185" applyFont="1" applyBorder="1" applyAlignment="1" applyProtection="1">
      <alignment vertical="center" wrapText="1"/>
      <protection locked="0"/>
    </xf>
    <xf numFmtId="0" fontId="89" fillId="0" borderId="53" xfId="185" applyFont="1" applyBorder="1" applyAlignment="1" applyProtection="1">
      <alignment vertical="center" wrapText="1"/>
      <protection locked="0"/>
    </xf>
    <xf numFmtId="0" fontId="89" fillId="0" borderId="54" xfId="185" applyFont="1" applyBorder="1" applyAlignment="1" applyProtection="1">
      <alignment vertical="center" wrapText="1"/>
      <protection locked="0"/>
    </xf>
    <xf numFmtId="0" fontId="89" fillId="0" borderId="55" xfId="185" applyFont="1" applyBorder="1" applyAlignment="1" applyProtection="1">
      <alignment vertical="center" wrapText="1"/>
      <protection locked="0"/>
    </xf>
    <xf numFmtId="0" fontId="89" fillId="0" borderId="52" xfId="45" applyFont="1" applyBorder="1" applyAlignment="1">
      <alignment vertical="center" wrapText="1"/>
    </xf>
    <xf numFmtId="0" fontId="89" fillId="0" borderId="2" xfId="45" applyFont="1" applyBorder="1" applyAlignment="1">
      <alignment vertical="center" wrapText="1"/>
    </xf>
    <xf numFmtId="0" fontId="89" fillId="0" borderId="48" xfId="45" applyFont="1" applyBorder="1" applyAlignment="1">
      <alignment vertical="center" wrapText="1"/>
    </xf>
    <xf numFmtId="0" fontId="89" fillId="0" borderId="68" xfId="185" applyFont="1" applyBorder="1" applyAlignment="1" applyProtection="1">
      <alignment vertical="center" wrapText="1"/>
      <protection locked="0"/>
    </xf>
    <xf numFmtId="0" fontId="89" fillId="0" borderId="69" xfId="185" applyFont="1" applyBorder="1" applyAlignment="1" applyProtection="1">
      <alignment vertical="center" wrapText="1"/>
      <protection locked="0"/>
    </xf>
    <xf numFmtId="0" fontId="89" fillId="0" borderId="70" xfId="185" applyFont="1" applyBorder="1" applyAlignment="1" applyProtection="1">
      <alignment vertical="center" wrapText="1"/>
      <protection locked="0"/>
    </xf>
    <xf numFmtId="0" fontId="89" fillId="0" borderId="56" xfId="184" applyFont="1" applyBorder="1" applyAlignment="1" applyProtection="1">
      <alignment vertical="center" wrapText="1"/>
      <protection locked="0"/>
    </xf>
    <xf numFmtId="0" fontId="89" fillId="0" borderId="57" xfId="184" applyFont="1" applyBorder="1" applyAlignment="1" applyProtection="1">
      <alignment vertical="center" wrapText="1"/>
      <protection locked="0"/>
    </xf>
    <xf numFmtId="0" fontId="89" fillId="0" borderId="58" xfId="184" applyFont="1" applyBorder="1" applyAlignment="1" applyProtection="1">
      <alignment vertical="center" wrapText="1"/>
      <protection locked="0"/>
    </xf>
    <xf numFmtId="0" fontId="89" fillId="0" borderId="52" xfId="186" applyFont="1" applyBorder="1" applyAlignment="1" applyProtection="1">
      <alignment vertical="center" wrapText="1"/>
      <protection locked="0"/>
    </xf>
    <xf numFmtId="0" fontId="89" fillId="0" borderId="2" xfId="186" applyFont="1" applyBorder="1" applyAlignment="1" applyProtection="1">
      <alignment vertical="center" wrapText="1"/>
      <protection locked="0"/>
    </xf>
    <xf numFmtId="0" fontId="89" fillId="0" borderId="48" xfId="186" applyFont="1" applyBorder="1" applyAlignment="1" applyProtection="1">
      <alignment vertical="center" wrapText="1"/>
      <protection locked="0"/>
    </xf>
    <xf numFmtId="0" fontId="89" fillId="0" borderId="10" xfId="186" applyFont="1" applyBorder="1" applyAlignment="1">
      <alignment horizontal="left" vertical="center" wrapText="1"/>
    </xf>
    <xf numFmtId="0" fontId="89" fillId="0" borderId="17" xfId="186" applyFont="1" applyBorder="1" applyAlignment="1">
      <alignment horizontal="left" vertical="center" wrapText="1"/>
    </xf>
    <xf numFmtId="0" fontId="89" fillId="0" borderId="3" xfId="45" applyFont="1" applyBorder="1" applyAlignment="1" applyProtection="1">
      <alignment horizontal="left" vertical="center" wrapText="1"/>
      <protection locked="0"/>
    </xf>
    <xf numFmtId="0" fontId="89" fillId="0" borderId="52" xfId="184" applyFont="1" applyBorder="1" applyAlignment="1" applyProtection="1">
      <alignment horizontal="left" vertical="center" wrapText="1"/>
      <protection locked="0"/>
    </xf>
    <xf numFmtId="0" fontId="89" fillId="0" borderId="2" xfId="184" applyFont="1" applyBorder="1" applyAlignment="1" applyProtection="1">
      <alignment horizontal="left" vertical="center" wrapText="1"/>
      <protection locked="0"/>
    </xf>
    <xf numFmtId="0" fontId="89" fillId="0" borderId="10" xfId="186" applyFont="1" applyBorder="1" applyAlignment="1">
      <alignment horizontal="center" vertical="center" shrinkToFit="1"/>
    </xf>
    <xf numFmtId="0" fontId="89" fillId="0" borderId="2" xfId="186" applyFont="1" applyBorder="1" applyAlignment="1">
      <alignment horizontal="center" vertical="center" shrinkToFit="1"/>
    </xf>
    <xf numFmtId="0" fontId="89" fillId="0" borderId="17" xfId="186" applyFont="1" applyBorder="1" applyAlignment="1">
      <alignment horizontal="center" vertical="center" shrinkToFit="1"/>
    </xf>
    <xf numFmtId="0" fontId="89" fillId="14" borderId="3" xfId="186" applyFont="1" applyFill="1" applyBorder="1" applyAlignment="1">
      <alignment horizontal="left" vertical="center" wrapText="1"/>
    </xf>
    <xf numFmtId="0" fontId="89" fillId="0" borderId="10" xfId="45" applyFont="1" applyBorder="1" applyAlignment="1">
      <alignment horizontal="center" vertical="center" wrapText="1"/>
    </xf>
    <xf numFmtId="0" fontId="89" fillId="0" borderId="17" xfId="45" applyFont="1" applyBorder="1" applyAlignment="1">
      <alignment horizontal="center" vertical="center" wrapText="1"/>
    </xf>
    <xf numFmtId="0" fontId="89" fillId="0" borderId="10" xfId="186" applyFont="1" applyBorder="1" applyAlignment="1">
      <alignment horizontal="center" vertical="center" wrapText="1"/>
    </xf>
    <xf numFmtId="0" fontId="89" fillId="0" borderId="2" xfId="186" applyFont="1" applyBorder="1" applyAlignment="1">
      <alignment horizontal="center" vertical="center" wrapText="1"/>
    </xf>
    <xf numFmtId="0" fontId="89" fillId="0" borderId="48" xfId="186" applyFont="1" applyBorder="1" applyAlignment="1">
      <alignment horizontal="center" vertical="center" wrapText="1"/>
    </xf>
    <xf numFmtId="0" fontId="89" fillId="0" borderId="52" xfId="186" applyFont="1" applyBorder="1" applyAlignment="1">
      <alignment horizontal="center" vertical="center" wrapText="1"/>
    </xf>
    <xf numFmtId="0" fontId="89" fillId="0" borderId="17" xfId="186" applyFont="1" applyBorder="1" applyAlignment="1">
      <alignment horizontal="center" vertical="center" wrapText="1"/>
    </xf>
    <xf numFmtId="0" fontId="89" fillId="0" borderId="10" xfId="186" applyFont="1" applyBorder="1" applyAlignment="1">
      <alignment horizontal="left" vertical="center" wrapText="1" shrinkToFit="1"/>
    </xf>
    <xf numFmtId="0" fontId="89" fillId="0" borderId="2" xfId="186" applyFont="1" applyBorder="1" applyAlignment="1">
      <alignment horizontal="left" vertical="center" wrapText="1" shrinkToFit="1"/>
    </xf>
    <xf numFmtId="0" fontId="89" fillId="0" borderId="17" xfId="186" applyFont="1" applyBorder="1" applyAlignment="1">
      <alignment horizontal="left" vertical="center" wrapText="1" shrinkToFit="1"/>
    </xf>
    <xf numFmtId="0" fontId="89" fillId="0" borderId="10" xfId="45" applyFont="1" applyBorder="1" applyAlignment="1">
      <alignment horizontal="center" vertical="center" shrinkToFit="1"/>
    </xf>
    <xf numFmtId="0" fontId="89" fillId="0" borderId="2" xfId="45" applyFont="1" applyBorder="1" applyAlignment="1">
      <alignment horizontal="center" vertical="center" shrinkToFit="1"/>
    </xf>
    <xf numFmtId="0" fontId="89" fillId="0" borderId="17" xfId="45" applyFont="1" applyBorder="1" applyAlignment="1">
      <alignment horizontal="center" vertical="center" shrinkToFit="1"/>
    </xf>
    <xf numFmtId="0" fontId="89" fillId="0" borderId="10" xfId="45" applyFont="1" applyBorder="1" applyAlignment="1">
      <alignment horizontal="left" vertical="center" wrapText="1"/>
    </xf>
    <xf numFmtId="0" fontId="89" fillId="0" borderId="2" xfId="45" applyFont="1" applyBorder="1" applyAlignment="1">
      <alignment horizontal="left" vertical="center" wrapText="1"/>
    </xf>
    <xf numFmtId="0" fontId="89" fillId="0" borderId="17" xfId="45" applyFont="1" applyBorder="1" applyAlignment="1">
      <alignment horizontal="left" vertical="center" wrapText="1"/>
    </xf>
    <xf numFmtId="0" fontId="89" fillId="0" borderId="53" xfId="45" applyFont="1" applyBorder="1" applyAlignment="1" applyProtection="1">
      <alignment vertical="center" wrapText="1"/>
      <protection locked="0"/>
    </xf>
    <xf numFmtId="0" fontId="89" fillId="0" borderId="54" xfId="45" applyFont="1" applyBorder="1" applyAlignment="1" applyProtection="1">
      <alignment vertical="center" wrapText="1"/>
      <protection locked="0"/>
    </xf>
    <xf numFmtId="0" fontId="89" fillId="0" borderId="55" xfId="45" applyFont="1" applyBorder="1" applyAlignment="1" applyProtection="1">
      <alignment vertical="center" wrapText="1"/>
      <protection locked="0"/>
    </xf>
    <xf numFmtId="0" fontId="89" fillId="0" borderId="52" xfId="45" applyFont="1" applyBorder="1" applyAlignment="1" applyProtection="1">
      <alignment horizontal="left" vertical="center" shrinkToFit="1"/>
      <protection locked="0"/>
    </xf>
    <xf numFmtId="0" fontId="89" fillId="0" borderId="2" xfId="45" applyFont="1" applyBorder="1" applyAlignment="1" applyProtection="1">
      <alignment horizontal="left" vertical="center" shrinkToFit="1"/>
      <protection locked="0"/>
    </xf>
    <xf numFmtId="0" fontId="89" fillId="0" borderId="48" xfId="45" applyFont="1" applyBorder="1" applyAlignment="1" applyProtection="1">
      <alignment horizontal="left" vertical="center" shrinkToFit="1"/>
      <protection locked="0"/>
    </xf>
    <xf numFmtId="0" fontId="89" fillId="0" borderId="17" xfId="45" applyFont="1" applyBorder="1" applyAlignment="1" applyProtection="1">
      <alignment horizontal="left" vertical="center" shrinkToFit="1"/>
      <protection locked="0"/>
    </xf>
    <xf numFmtId="0" fontId="89" fillId="0" borderId="2" xfId="45" applyFont="1" applyBorder="1" applyAlignment="1">
      <alignment horizontal="center" vertical="center" wrapText="1"/>
    </xf>
    <xf numFmtId="0" fontId="89" fillId="0" borderId="48" xfId="45" applyFont="1" applyBorder="1" applyAlignment="1">
      <alignment horizontal="center" vertical="center" wrapText="1"/>
    </xf>
    <xf numFmtId="0" fontId="89" fillId="0" borderId="52" xfId="45" applyFont="1" applyBorder="1" applyAlignment="1">
      <alignment horizontal="center" vertical="center" wrapText="1"/>
    </xf>
    <xf numFmtId="0" fontId="96" fillId="30" borderId="3" xfId="186" applyFont="1" applyFill="1" applyBorder="1" applyAlignment="1">
      <alignment horizontal="center" vertical="center"/>
    </xf>
    <xf numFmtId="0" fontId="101" fillId="29" borderId="15" xfId="186" applyFont="1" applyFill="1" applyBorder="1" applyAlignment="1">
      <alignment horizontal="center" vertical="center" wrapText="1"/>
    </xf>
    <xf numFmtId="0" fontId="101" fillId="29" borderId="13" xfId="186" applyFont="1" applyFill="1" applyBorder="1" applyAlignment="1">
      <alignment horizontal="center" vertical="center" wrapText="1"/>
    </xf>
    <xf numFmtId="0" fontId="101" fillId="29" borderId="7" xfId="186" applyFont="1" applyFill="1" applyBorder="1" applyAlignment="1">
      <alignment horizontal="center" vertical="center" wrapText="1"/>
    </xf>
    <xf numFmtId="0" fontId="101" fillId="29" borderId="14" xfId="186" applyFont="1" applyFill="1" applyBorder="1" applyAlignment="1">
      <alignment horizontal="center" vertical="center" wrapText="1"/>
    </xf>
    <xf numFmtId="0" fontId="96" fillId="29" borderId="15" xfId="186" applyFont="1" applyFill="1" applyBorder="1" applyAlignment="1" applyProtection="1">
      <alignment horizontal="center" vertical="center" wrapText="1"/>
      <protection locked="0"/>
    </xf>
    <xf numFmtId="0" fontId="96" fillId="29" borderId="12" xfId="186" applyFont="1" applyFill="1" applyBorder="1" applyAlignment="1" applyProtection="1">
      <alignment horizontal="center" vertical="center" wrapText="1"/>
      <protection locked="0"/>
    </xf>
    <xf numFmtId="0" fontId="96" fillId="29" borderId="7" xfId="186" applyFont="1" applyFill="1" applyBorder="1" applyAlignment="1" applyProtection="1">
      <alignment horizontal="center" vertical="center" wrapText="1"/>
      <protection locked="0"/>
    </xf>
    <xf numFmtId="0" fontId="96" fillId="29" borderId="8" xfId="186" applyFont="1" applyFill="1" applyBorder="1" applyAlignment="1" applyProtection="1">
      <alignment horizontal="center" vertical="center" wrapText="1"/>
      <protection locked="0"/>
    </xf>
    <xf numFmtId="0" fontId="96" fillId="29" borderId="15" xfId="186" applyFont="1" applyFill="1" applyBorder="1" applyAlignment="1">
      <alignment horizontal="center" vertical="center" wrapText="1"/>
    </xf>
    <xf numFmtId="0" fontId="96" fillId="29" borderId="12" xfId="186" applyFont="1" applyFill="1" applyBorder="1" applyAlignment="1">
      <alignment horizontal="center" vertical="center" wrapText="1"/>
    </xf>
    <xf numFmtId="0" fontId="96" fillId="29" borderId="13" xfId="186" applyFont="1" applyFill="1" applyBorder="1" applyAlignment="1">
      <alignment horizontal="center" vertical="center" wrapText="1"/>
    </xf>
    <xf numFmtId="0" fontId="96" fillId="29" borderId="7" xfId="186" applyFont="1" applyFill="1" applyBorder="1" applyAlignment="1">
      <alignment horizontal="center" vertical="center" wrapText="1"/>
    </xf>
    <xf numFmtId="0" fontId="96" fillId="29" borderId="8" xfId="186" applyFont="1" applyFill="1" applyBorder="1" applyAlignment="1">
      <alignment horizontal="center" vertical="center" wrapText="1"/>
    </xf>
    <xf numFmtId="0" fontId="96" fillId="29" borderId="14" xfId="186" applyFont="1" applyFill="1" applyBorder="1" applyAlignment="1">
      <alignment horizontal="center" vertical="center" wrapText="1"/>
    </xf>
    <xf numFmtId="0" fontId="101" fillId="29" borderId="12" xfId="186" applyFont="1" applyFill="1" applyBorder="1" applyAlignment="1">
      <alignment horizontal="center" vertical="center" wrapText="1"/>
    </xf>
    <xf numFmtId="0" fontId="101" fillId="29" borderId="8" xfId="186" applyFont="1" applyFill="1" applyBorder="1" applyAlignment="1">
      <alignment horizontal="center" vertical="center" wrapText="1"/>
    </xf>
    <xf numFmtId="0" fontId="89" fillId="0" borderId="52" xfId="45" applyFont="1" applyBorder="1" applyAlignment="1" applyProtection="1">
      <alignment vertical="center" wrapText="1"/>
      <protection locked="0"/>
    </xf>
    <xf numFmtId="0" fontId="89" fillId="0" borderId="2" xfId="45" applyFont="1" applyBorder="1" applyAlignment="1" applyProtection="1">
      <alignment vertical="center" wrapText="1"/>
      <protection locked="0"/>
    </xf>
    <xf numFmtId="0" fontId="89" fillId="0" borderId="52" xfId="186" applyFont="1" applyBorder="1" applyAlignment="1" applyProtection="1">
      <alignment horizontal="center" vertical="center" wrapText="1"/>
      <protection locked="0"/>
    </xf>
    <xf numFmtId="0" fontId="89" fillId="0" borderId="2" xfId="186" applyFont="1" applyBorder="1" applyAlignment="1" applyProtection="1">
      <alignment horizontal="center" vertical="center" wrapText="1"/>
      <protection locked="0"/>
    </xf>
    <xf numFmtId="0" fontId="89" fillId="0" borderId="48" xfId="186" applyFont="1" applyBorder="1" applyAlignment="1" applyProtection="1">
      <alignment horizontal="center" vertical="center" wrapText="1"/>
      <protection locked="0"/>
    </xf>
    <xf numFmtId="0" fontId="89" fillId="0" borderId="52" xfId="186" applyFont="1" applyBorder="1" applyAlignment="1" applyProtection="1">
      <alignment horizontal="left" vertical="center" wrapText="1"/>
      <protection locked="0"/>
    </xf>
    <xf numFmtId="0" fontId="89" fillId="0" borderId="2" xfId="186" applyFont="1" applyBorder="1" applyAlignment="1" applyProtection="1">
      <alignment horizontal="left" vertical="center" wrapText="1"/>
      <protection locked="0"/>
    </xf>
    <xf numFmtId="0" fontId="89" fillId="0" borderId="48" xfId="186" applyFont="1" applyBorder="1" applyAlignment="1" applyProtection="1">
      <alignment horizontal="left" vertical="center" wrapText="1"/>
      <protection locked="0"/>
    </xf>
    <xf numFmtId="0" fontId="96" fillId="31" borderId="3" xfId="186" applyFont="1" applyFill="1" applyBorder="1" applyAlignment="1" applyProtection="1">
      <alignment horizontal="center" vertical="center" wrapText="1"/>
      <protection locked="0"/>
    </xf>
    <xf numFmtId="0" fontId="96" fillId="29" borderId="3" xfId="186" applyFont="1" applyFill="1" applyBorder="1" applyAlignment="1">
      <alignment horizontal="center" vertical="center" wrapText="1"/>
    </xf>
    <xf numFmtId="0" fontId="96" fillId="29" borderId="3" xfId="186" applyFont="1" applyFill="1" applyBorder="1" applyAlignment="1">
      <alignment horizontal="center" vertical="center"/>
    </xf>
    <xf numFmtId="0" fontId="96" fillId="30" borderId="23" xfId="186" applyFont="1" applyFill="1" applyBorder="1" applyAlignment="1">
      <alignment horizontal="center" vertical="center"/>
    </xf>
    <xf numFmtId="0" fontId="96" fillId="31" borderId="3" xfId="186" applyFont="1" applyFill="1" applyBorder="1" applyAlignment="1">
      <alignment horizontal="center" vertical="center"/>
    </xf>
    <xf numFmtId="0" fontId="89" fillId="31" borderId="3" xfId="186" applyFont="1" applyFill="1" applyBorder="1" applyAlignment="1">
      <alignment horizontal="center" vertical="center"/>
    </xf>
    <xf numFmtId="0" fontId="96" fillId="29" borderId="15" xfId="186" applyFont="1" applyFill="1" applyBorder="1" applyAlignment="1">
      <alignment horizontal="center" vertical="center"/>
    </xf>
    <xf numFmtId="0" fontId="96" fillId="29" borderId="13" xfId="186" applyFont="1" applyFill="1" applyBorder="1" applyAlignment="1">
      <alignment horizontal="center" vertical="center"/>
    </xf>
    <xf numFmtId="0" fontId="96" fillId="29" borderId="7" xfId="186" applyFont="1" applyFill="1" applyBorder="1" applyAlignment="1">
      <alignment horizontal="center" vertical="center"/>
    </xf>
    <xf numFmtId="0" fontId="96" fillId="29" borderId="14" xfId="186" applyFont="1" applyFill="1" applyBorder="1" applyAlignment="1">
      <alignment horizontal="center" vertical="center"/>
    </xf>
    <xf numFmtId="0" fontId="89" fillId="0" borderId="3" xfId="186" applyFont="1" applyBorder="1" applyAlignment="1">
      <alignment vertical="center" shrinkToFit="1"/>
    </xf>
    <xf numFmtId="0" fontId="89" fillId="0" borderId="3" xfId="186" applyFont="1" applyBorder="1" applyAlignment="1" applyProtection="1">
      <alignment vertical="center" shrinkToFit="1"/>
      <protection locked="0"/>
    </xf>
    <xf numFmtId="0" fontId="96" fillId="0" borderId="3" xfId="186" applyFont="1" applyBorder="1" applyAlignment="1">
      <alignment horizontal="center" vertical="center" shrinkToFit="1"/>
    </xf>
    <xf numFmtId="0" fontId="96" fillId="0" borderId="3" xfId="186" applyFont="1" applyBorder="1" applyAlignment="1" applyProtection="1">
      <alignment horizontal="center" vertical="center" shrinkToFit="1"/>
      <protection locked="0"/>
    </xf>
    <xf numFmtId="0" fontId="89" fillId="0" borderId="10" xfId="45" applyFont="1" applyBorder="1" applyAlignment="1">
      <alignment horizontal="left" vertical="center" shrinkToFit="1"/>
    </xf>
    <xf numFmtId="0" fontId="89" fillId="0" borderId="48" xfId="45" applyFont="1" applyBorder="1" applyAlignment="1">
      <alignment horizontal="left" vertical="center" shrinkToFit="1"/>
    </xf>
    <xf numFmtId="0" fontId="89" fillId="0" borderId="56" xfId="45" applyFont="1" applyBorder="1" applyAlignment="1" applyProtection="1">
      <alignment vertical="top" wrapText="1"/>
      <protection locked="0"/>
    </xf>
    <xf numFmtId="0" fontId="89" fillId="0" borderId="57" xfId="45" applyFont="1" applyBorder="1" applyAlignment="1" applyProtection="1">
      <alignment vertical="top" wrapText="1"/>
      <protection locked="0"/>
    </xf>
    <xf numFmtId="0" fontId="89" fillId="0" borderId="59" xfId="45" applyFont="1" applyBorder="1" applyAlignment="1" applyProtection="1">
      <alignment vertical="top" wrapText="1"/>
      <protection locked="0"/>
    </xf>
    <xf numFmtId="0" fontId="89" fillId="0" borderId="56" xfId="186" applyFont="1" applyBorder="1" applyAlignment="1" applyProtection="1">
      <alignment vertical="top" wrapText="1"/>
      <protection locked="0"/>
    </xf>
    <xf numFmtId="0" fontId="89" fillId="0" borderId="57" xfId="186" applyFont="1" applyBorder="1" applyAlignment="1" applyProtection="1">
      <alignment vertical="top" wrapText="1"/>
      <protection locked="0"/>
    </xf>
    <xf numFmtId="0" fontId="89" fillId="0" borderId="58" xfId="186" applyFont="1" applyBorder="1" applyAlignment="1" applyProtection="1">
      <alignment vertical="top" wrapText="1"/>
      <protection locked="0"/>
    </xf>
    <xf numFmtId="0" fontId="89" fillId="0" borderId="49" xfId="186" applyFont="1" applyBorder="1" applyAlignment="1" applyProtection="1">
      <alignment vertical="top" wrapText="1"/>
      <protection locked="0"/>
    </xf>
    <xf numFmtId="0" fontId="89" fillId="0" borderId="50" xfId="186" applyFont="1" applyBorder="1" applyAlignment="1" applyProtection="1">
      <alignment vertical="top" wrapText="1"/>
      <protection locked="0"/>
    </xf>
    <xf numFmtId="0" fontId="89" fillId="0" borderId="51" xfId="186" applyFont="1" applyBorder="1" applyAlignment="1" applyProtection="1">
      <alignment vertical="top" wrapText="1"/>
      <protection locked="0"/>
    </xf>
    <xf numFmtId="0" fontId="89" fillId="0" borderId="3" xfId="45" applyFont="1" applyBorder="1" applyAlignment="1" applyProtection="1">
      <alignment horizontal="left" vertical="top" wrapText="1"/>
      <protection locked="0"/>
    </xf>
    <xf numFmtId="0" fontId="89" fillId="0" borderId="52" xfId="186" applyFont="1" applyBorder="1" applyAlignment="1" applyProtection="1">
      <alignment vertical="top" wrapText="1"/>
      <protection locked="0"/>
    </xf>
    <xf numFmtId="0" fontId="89" fillId="0" borderId="2" xfId="186" applyFont="1" applyBorder="1" applyAlignment="1" applyProtection="1">
      <alignment vertical="top" wrapText="1"/>
      <protection locked="0"/>
    </xf>
    <xf numFmtId="0" fontId="89" fillId="0" borderId="48" xfId="186" applyFont="1" applyBorder="1" applyAlignment="1" applyProtection="1">
      <alignment vertical="top" wrapText="1"/>
      <protection locked="0"/>
    </xf>
    <xf numFmtId="0" fontId="89" fillId="0" borderId="3" xfId="186" applyFont="1" applyBorder="1" applyAlignment="1">
      <alignment horizontal="center" vertical="center" wrapText="1"/>
    </xf>
    <xf numFmtId="0" fontId="96" fillId="29" borderId="10" xfId="186" applyFont="1" applyFill="1" applyBorder="1" applyAlignment="1">
      <alignment horizontal="center" vertical="center"/>
    </xf>
    <xf numFmtId="0" fontId="96" fillId="29" borderId="2" xfId="186" applyFont="1" applyFill="1" applyBorder="1" applyAlignment="1">
      <alignment horizontal="center" vertical="center"/>
    </xf>
    <xf numFmtId="0" fontId="96" fillId="29" borderId="17" xfId="186" applyFont="1" applyFill="1" applyBorder="1" applyAlignment="1">
      <alignment horizontal="center" vertical="center"/>
    </xf>
    <xf numFmtId="180" fontId="60" fillId="0" borderId="10" xfId="161" quotePrefix="1" applyNumberFormat="1" applyFont="1" applyBorder="1" applyAlignment="1">
      <alignment horizontal="right" vertical="center"/>
    </xf>
    <xf numFmtId="180" fontId="60" fillId="0" borderId="2" xfId="161" quotePrefix="1" applyNumberFormat="1" applyFont="1" applyBorder="1" applyAlignment="1">
      <alignment horizontal="right" vertical="center"/>
    </xf>
    <xf numFmtId="180" fontId="60" fillId="0" borderId="17" xfId="161" quotePrefix="1" applyNumberFormat="1" applyFont="1" applyBorder="1" applyAlignment="1">
      <alignment horizontal="right" vertical="center"/>
    </xf>
    <xf numFmtId="184" fontId="60" fillId="0" borderId="10" xfId="161" quotePrefix="1" applyNumberFormat="1" applyFont="1" applyBorder="1" applyAlignment="1">
      <alignment horizontal="right" vertical="center"/>
    </xf>
    <xf numFmtId="184" fontId="60" fillId="0" borderId="2" xfId="161" quotePrefix="1" applyNumberFormat="1" applyFont="1" applyBorder="1" applyAlignment="1">
      <alignment horizontal="right" vertical="center"/>
    </xf>
    <xf numFmtId="184" fontId="60" fillId="0" borderId="17" xfId="161" quotePrefix="1" applyNumberFormat="1" applyFont="1" applyBorder="1" applyAlignment="1">
      <alignment horizontal="right" vertical="center"/>
    </xf>
    <xf numFmtId="10" fontId="60" fillId="0" borderId="10" xfId="161" quotePrefix="1" applyNumberFormat="1" applyFont="1" applyBorder="1" applyAlignment="1">
      <alignment horizontal="right" vertical="center"/>
    </xf>
    <xf numFmtId="10" fontId="60" fillId="0" borderId="2" xfId="161" quotePrefix="1" applyNumberFormat="1" applyFont="1" applyBorder="1" applyAlignment="1">
      <alignment horizontal="right" vertical="center"/>
    </xf>
    <xf numFmtId="10" fontId="60" fillId="0" borderId="17" xfId="161" quotePrefix="1" applyNumberFormat="1" applyFont="1" applyBorder="1" applyAlignment="1">
      <alignment horizontal="right" vertical="center"/>
    </xf>
    <xf numFmtId="0" fontId="60" fillId="0" borderId="10" xfId="161" quotePrefix="1" applyFont="1" applyBorder="1" applyAlignment="1">
      <alignment horizontal="right" vertical="center"/>
    </xf>
    <xf numFmtId="0" fontId="60" fillId="0" borderId="2" xfId="161" quotePrefix="1" applyFont="1" applyBorder="1" applyAlignment="1">
      <alignment horizontal="right" vertical="center"/>
    </xf>
    <xf numFmtId="0" fontId="60" fillId="0" borderId="17" xfId="161" quotePrefix="1" applyFont="1" applyBorder="1" applyAlignment="1">
      <alignment horizontal="right" vertical="center"/>
    </xf>
    <xf numFmtId="185" fontId="60" fillId="0" borderId="10" xfId="161" quotePrefix="1" applyNumberFormat="1" applyFont="1" applyBorder="1" applyAlignment="1">
      <alignment horizontal="right" vertical="center"/>
    </xf>
    <xf numFmtId="185" fontId="60" fillId="0" borderId="2" xfId="161" quotePrefix="1" applyNumberFormat="1" applyFont="1" applyBorder="1" applyAlignment="1">
      <alignment horizontal="right" vertical="center"/>
    </xf>
    <xf numFmtId="185" fontId="60" fillId="0" borderId="17" xfId="161" quotePrefix="1" applyNumberFormat="1" applyFont="1" applyBorder="1" applyAlignment="1">
      <alignment horizontal="right" vertical="center"/>
    </xf>
    <xf numFmtId="179" fontId="60" fillId="0" borderId="10" xfId="161" quotePrefix="1" applyNumberFormat="1" applyFont="1" applyBorder="1" applyAlignment="1">
      <alignment horizontal="right" vertical="center"/>
    </xf>
    <xf numFmtId="179" fontId="60" fillId="0" borderId="2" xfId="161" quotePrefix="1" applyNumberFormat="1" applyFont="1" applyBorder="1" applyAlignment="1">
      <alignment horizontal="right" vertical="center"/>
    </xf>
    <xf numFmtId="179" fontId="60" fillId="0" borderId="17" xfId="161" quotePrefix="1" applyNumberFormat="1" applyFont="1" applyBorder="1" applyAlignment="1">
      <alignment horizontal="right" vertical="center"/>
    </xf>
    <xf numFmtId="182" fontId="60" fillId="0" borderId="10" xfId="161" quotePrefix="1" applyNumberFormat="1" applyFont="1" applyBorder="1" applyAlignment="1">
      <alignment horizontal="right" vertical="center"/>
    </xf>
    <xf numFmtId="182" fontId="60" fillId="0" borderId="2" xfId="161" quotePrefix="1" applyNumberFormat="1" applyFont="1" applyBorder="1" applyAlignment="1">
      <alignment horizontal="right" vertical="center"/>
    </xf>
    <xf numFmtId="182" fontId="60" fillId="0" borderId="17" xfId="161" quotePrefix="1" applyNumberFormat="1" applyFont="1" applyBorder="1" applyAlignment="1">
      <alignment horizontal="right" vertical="center"/>
    </xf>
    <xf numFmtId="182" fontId="60" fillId="0" borderId="10" xfId="161" applyNumberFormat="1" applyFont="1" applyBorder="1" applyAlignment="1">
      <alignment horizontal="center" vertical="center"/>
    </xf>
    <xf numFmtId="182" fontId="60" fillId="0" borderId="2" xfId="161" applyNumberFormat="1" applyFont="1" applyBorder="1" applyAlignment="1">
      <alignment horizontal="center" vertical="center"/>
    </xf>
    <xf numFmtId="182" fontId="60" fillId="0" borderId="17" xfId="161" applyNumberFormat="1" applyFont="1" applyBorder="1" applyAlignment="1">
      <alignment horizontal="center" vertical="center"/>
    </xf>
    <xf numFmtId="185" fontId="60" fillId="0" borderId="10" xfId="161" quotePrefix="1" applyNumberFormat="1" applyFont="1" applyBorder="1" applyAlignment="1">
      <alignment horizontal="right" vertical="center" indent="1"/>
    </xf>
    <xf numFmtId="185" fontId="60" fillId="0" borderId="2" xfId="161" quotePrefix="1" applyNumberFormat="1" applyFont="1" applyBorder="1" applyAlignment="1">
      <alignment horizontal="right" vertical="center" indent="1"/>
    </xf>
    <xf numFmtId="185" fontId="60" fillId="0" borderId="17" xfId="161" quotePrefix="1" applyNumberFormat="1" applyFont="1" applyBorder="1" applyAlignment="1">
      <alignment horizontal="right" vertical="center" indent="1"/>
    </xf>
    <xf numFmtId="10" fontId="0" fillId="14" borderId="0" xfId="0" applyNumberFormat="1" applyFill="1" applyAlignment="1">
      <alignment horizontal="center" vertical="center"/>
    </xf>
    <xf numFmtId="180" fontId="60" fillId="0" borderId="10" xfId="161" quotePrefix="1" applyNumberFormat="1" applyFont="1" applyBorder="1" applyAlignment="1">
      <alignment horizontal="center" vertical="center"/>
    </xf>
    <xf numFmtId="180" fontId="60" fillId="0" borderId="2" xfId="161" quotePrefix="1" applyNumberFormat="1" applyFont="1" applyBorder="1" applyAlignment="1">
      <alignment horizontal="center" vertical="center"/>
    </xf>
    <xf numFmtId="180" fontId="60" fillId="0" borderId="17" xfId="161" quotePrefix="1" applyNumberFormat="1" applyFont="1" applyBorder="1" applyAlignment="1">
      <alignment horizontal="center" vertical="center"/>
    </xf>
    <xf numFmtId="183" fontId="60" fillId="0" borderId="10" xfId="161" applyNumberFormat="1" applyFont="1" applyBorder="1" applyAlignment="1">
      <alignment horizontal="right" vertical="center"/>
    </xf>
    <xf numFmtId="183" fontId="60" fillId="0" borderId="2" xfId="161" applyNumberFormat="1" applyFont="1" applyBorder="1" applyAlignment="1">
      <alignment horizontal="right" vertical="center"/>
    </xf>
    <xf numFmtId="183" fontId="60" fillId="0" borderId="17" xfId="161" applyNumberFormat="1" applyFont="1" applyBorder="1" applyAlignment="1">
      <alignment horizontal="right" vertical="center"/>
    </xf>
    <xf numFmtId="181" fontId="60" fillId="0" borderId="10" xfId="161" quotePrefix="1" applyNumberFormat="1" applyFont="1" applyBorder="1" applyAlignment="1">
      <alignment horizontal="right" vertical="center"/>
    </xf>
    <xf numFmtId="181" fontId="60" fillId="0" borderId="2" xfId="161" quotePrefix="1" applyNumberFormat="1" applyFont="1" applyBorder="1" applyAlignment="1">
      <alignment horizontal="right" vertical="center"/>
    </xf>
    <xf numFmtId="181" fontId="60" fillId="0" borderId="17" xfId="161" quotePrefix="1" applyNumberFormat="1" applyFont="1" applyBorder="1" applyAlignment="1">
      <alignment horizontal="right" vertical="center"/>
    </xf>
    <xf numFmtId="182" fontId="60" fillId="0" borderId="10" xfId="161" quotePrefix="1" applyNumberFormat="1" applyFont="1" applyBorder="1" applyAlignment="1">
      <alignment horizontal="center" vertical="center"/>
    </xf>
    <xf numFmtId="182" fontId="60" fillId="0" borderId="2" xfId="161" quotePrefix="1" applyNumberFormat="1" applyFont="1" applyBorder="1" applyAlignment="1">
      <alignment horizontal="center" vertical="center"/>
    </xf>
    <xf numFmtId="182" fontId="60" fillId="0" borderId="17" xfId="161" quotePrefix="1" applyNumberFormat="1" applyFont="1" applyBorder="1" applyAlignment="1">
      <alignment horizontal="center" vertical="center"/>
    </xf>
    <xf numFmtId="179" fontId="60" fillId="0" borderId="10" xfId="161" quotePrefix="1" applyNumberFormat="1" applyFont="1" applyBorder="1" applyAlignment="1">
      <alignment horizontal="center" vertical="center"/>
    </xf>
    <xf numFmtId="179" fontId="60" fillId="0" borderId="2" xfId="161" quotePrefix="1" applyNumberFormat="1" applyFont="1" applyBorder="1" applyAlignment="1">
      <alignment horizontal="center" vertical="center"/>
    </xf>
    <xf numFmtId="179" fontId="60" fillId="0" borderId="17" xfId="161" quotePrefix="1" applyNumberFormat="1" applyFont="1" applyBorder="1" applyAlignment="1">
      <alignment horizontal="center" vertical="center"/>
    </xf>
    <xf numFmtId="183" fontId="60" fillId="0" borderId="0" xfId="161" quotePrefix="1" applyNumberFormat="1" applyFont="1" applyAlignment="1">
      <alignment horizontal="right" vertical="center"/>
    </xf>
    <xf numFmtId="181" fontId="60" fillId="0" borderId="0" xfId="161" quotePrefix="1" applyNumberFormat="1" applyFont="1" applyAlignment="1">
      <alignment horizontal="right" vertical="center"/>
    </xf>
    <xf numFmtId="186" fontId="52" fillId="14" borderId="15" xfId="0" applyNumberFormat="1" applyFont="1" applyFill="1" applyBorder="1" applyAlignment="1">
      <alignment horizontal="center" vertical="center"/>
    </xf>
    <xf numFmtId="186" fontId="52" fillId="14" borderId="12" xfId="0" applyNumberFormat="1" applyFont="1" applyFill="1" applyBorder="1" applyAlignment="1">
      <alignment horizontal="center" vertical="center"/>
    </xf>
    <xf numFmtId="183" fontId="60" fillId="0" borderId="31" xfId="161" quotePrefix="1" applyNumberFormat="1" applyFont="1" applyBorder="1" applyAlignment="1">
      <alignment horizontal="right" vertical="center"/>
    </xf>
  </cellXfs>
  <cellStyles count="187">
    <cellStyle name="0301" xfId="1" xr:uid="{00000000-0005-0000-0000-000000000000}"/>
    <cellStyle name="0_x0014_標準_F_02?P_Dd080301" xfId="2" xr:uid="{00000000-0005-0000-0000-000001000000}"/>
    <cellStyle name="Calc Currency (0)" xfId="3" xr:uid="{00000000-0005-0000-0000-000002000000}"/>
    <cellStyle name="ColumnAttributeAbovePrompt" xfId="4" xr:uid="{00000000-0005-0000-0000-000003000000}"/>
    <cellStyle name="ColumnAttributePrompt" xfId="5" xr:uid="{00000000-0005-0000-0000-000004000000}"/>
    <cellStyle name="ColumnAttributeValue" xfId="6" xr:uid="{00000000-0005-0000-0000-000005000000}"/>
    <cellStyle name="ColumnHeadingPrompt" xfId="7" xr:uid="{00000000-0005-0000-0000-000006000000}"/>
    <cellStyle name="ColumnHeadingValue" xfId="8" xr:uid="{00000000-0005-0000-0000-000007000000}"/>
    <cellStyle name="entry" xfId="9" xr:uid="{00000000-0005-0000-0000-000008000000}"/>
    <cellStyle name="Grey" xfId="10" xr:uid="{00000000-0005-0000-0000-000009000000}"/>
    <cellStyle name="Header1" xfId="11" xr:uid="{00000000-0005-0000-0000-00000A000000}"/>
    <cellStyle name="Header2" xfId="12" xr:uid="{00000000-0005-0000-0000-00000B000000}"/>
    <cellStyle name="Input [yellow]" xfId="13" xr:uid="{00000000-0005-0000-0000-00000C000000}"/>
    <cellStyle name="LineItemPrompt" xfId="14" xr:uid="{00000000-0005-0000-0000-00000D000000}"/>
    <cellStyle name="LineItemValue" xfId="15" xr:uid="{00000000-0005-0000-0000-00000E000000}"/>
    <cellStyle name="Normal - Style1" xfId="16" xr:uid="{00000000-0005-0000-0000-00000F000000}"/>
    <cellStyle name="Normal_#18-Internet" xfId="17" xr:uid="{00000000-0005-0000-0000-000010000000}"/>
    <cellStyle name="OUTPUT AMOUNTS" xfId="18" xr:uid="{00000000-0005-0000-0000-000011000000}"/>
    <cellStyle name="OUTPUT COLUMN HEADINGS" xfId="19" xr:uid="{00000000-0005-0000-0000-000012000000}"/>
    <cellStyle name="OUTPUT LINE ITEMS" xfId="20" xr:uid="{00000000-0005-0000-0000-000013000000}"/>
    <cellStyle name="OUTPUT REPORT HEADING" xfId="21" xr:uid="{00000000-0005-0000-0000-000014000000}"/>
    <cellStyle name="OUTPUT REPORT TITLE" xfId="22" xr:uid="{00000000-0005-0000-0000-000015000000}"/>
    <cellStyle name="Percent [2]" xfId="23" xr:uid="{00000000-0005-0000-0000-000016000000}"/>
    <cellStyle name="price" xfId="24" xr:uid="{00000000-0005-0000-0000-000017000000}"/>
    <cellStyle name="ReportTitlePrompt" xfId="25" xr:uid="{00000000-0005-0000-0000-000018000000}"/>
    <cellStyle name="ReportTitleValue" xfId="26" xr:uid="{00000000-0005-0000-0000-000019000000}"/>
    <cellStyle name="revised" xfId="27" xr:uid="{00000000-0005-0000-0000-00001A000000}"/>
    <cellStyle name="RowAcctAbovePrompt" xfId="28" xr:uid="{00000000-0005-0000-0000-00001B000000}"/>
    <cellStyle name="RowAcctSOBAbovePrompt" xfId="29" xr:uid="{00000000-0005-0000-0000-00001C000000}"/>
    <cellStyle name="RowAcctSOBValue" xfId="30" xr:uid="{00000000-0005-0000-0000-00001D000000}"/>
    <cellStyle name="RowAcctValue" xfId="31" xr:uid="{00000000-0005-0000-0000-00001E000000}"/>
    <cellStyle name="RowAttrAbovePrompt" xfId="32" xr:uid="{00000000-0005-0000-0000-00001F000000}"/>
    <cellStyle name="RowAttrValue" xfId="33" xr:uid="{00000000-0005-0000-0000-000020000000}"/>
    <cellStyle name="RowColSetAbovePrompt" xfId="34" xr:uid="{00000000-0005-0000-0000-000021000000}"/>
    <cellStyle name="RowColSetLeftPrompt" xfId="35" xr:uid="{00000000-0005-0000-0000-000022000000}"/>
    <cellStyle name="RowColSetValue" xfId="36" xr:uid="{00000000-0005-0000-0000-000023000000}"/>
    <cellStyle name="RowLeftPrompt" xfId="37" xr:uid="{00000000-0005-0000-0000-000024000000}"/>
    <cellStyle name="SampleUsingFormatMask" xfId="38" xr:uid="{00000000-0005-0000-0000-000025000000}"/>
    <cellStyle name="SampleWithNoFormatMask" xfId="39" xr:uid="{00000000-0005-0000-0000-000026000000}"/>
    <cellStyle name="section" xfId="40" xr:uid="{00000000-0005-0000-0000-000027000000}"/>
    <cellStyle name="subhead" xfId="41" xr:uid="{00000000-0005-0000-0000-000028000000}"/>
    <cellStyle name="title" xfId="42" xr:uid="{00000000-0005-0000-0000-000029000000}"/>
    <cellStyle name="UploadThisRowValue" xfId="43" xr:uid="{00000000-0005-0000-0000-00002A000000}"/>
    <cellStyle name="_x001d__x000c_K_x0014__x000d_&gt;V_x0001_&gt;_x0014_n_x001e__x0007__x0001__x0001_" xfId="44" xr:uid="{00000000-0005-0000-0000-00002B000000}"/>
    <cellStyle name="標準" xfId="0" builtinId="0"/>
    <cellStyle name="標準 10" xfId="184" xr:uid="{EA538841-B3F7-4189-AE1D-AD4B02F64DDE}"/>
    <cellStyle name="標準 11" xfId="185" xr:uid="{9A33E0B3-3601-4446-AF7C-40986B16F916}"/>
    <cellStyle name="標準 12" xfId="186" xr:uid="{172743D3-6417-4394-B4C6-003C20754867}"/>
    <cellStyle name="標準 2" xfId="45" xr:uid="{00000000-0005-0000-0000-00002D000000}"/>
    <cellStyle name="標準 2 2" xfId="161" xr:uid="{00000000-0005-0000-0000-00002E000000}"/>
    <cellStyle name="標準 2 2 2 2" xfId="181" xr:uid="{00000000-0005-0000-0000-00002F000000}"/>
    <cellStyle name="標準 2 2 3 3" xfId="180" xr:uid="{00000000-0005-0000-0000-000030000000}"/>
    <cellStyle name="標準 2 2 3 3 2" xfId="183" xr:uid="{A9F8D5FD-FFE5-47DC-8F2A-256F756463B6}"/>
    <cellStyle name="標準 2 3" xfId="163" xr:uid="{00000000-0005-0000-0000-000031000000}"/>
    <cellStyle name="標準 3" xfId="46" xr:uid="{00000000-0005-0000-0000-000032000000}"/>
    <cellStyle name="標準 4" xfId="47" xr:uid="{00000000-0005-0000-0000-000033000000}"/>
    <cellStyle name="標準 5" xfId="52" xr:uid="{00000000-0005-0000-0000-000034000000}"/>
    <cellStyle name="標準 5 2" xfId="55" xr:uid="{00000000-0005-0000-0000-000035000000}"/>
    <cellStyle name="標準 5 2 2" xfId="61" xr:uid="{00000000-0005-0000-0000-000036000000}"/>
    <cellStyle name="標準 5 2 2 2" xfId="91" xr:uid="{00000000-0005-0000-0000-000037000000}"/>
    <cellStyle name="標準 5 2 2 2 2" xfId="137" xr:uid="{00000000-0005-0000-0000-000038000000}"/>
    <cellStyle name="標準 5 2 2 3" xfId="107" xr:uid="{00000000-0005-0000-0000-000039000000}"/>
    <cellStyle name="標準 5 2 2 3 2" xfId="153" xr:uid="{00000000-0005-0000-0000-00003A000000}"/>
    <cellStyle name="標準 5 2 2 4" xfId="81" xr:uid="{00000000-0005-0000-0000-00003B000000}"/>
    <cellStyle name="標準 5 2 2 4 2" xfId="177" xr:uid="{00000000-0005-0000-0000-00003C000000}"/>
    <cellStyle name="標準 5 2 2 5" xfId="127" xr:uid="{00000000-0005-0000-0000-00003D000000}"/>
    <cellStyle name="標準 5 2 3" xfId="65" xr:uid="{00000000-0005-0000-0000-00003E000000}"/>
    <cellStyle name="標準 5 2 3 2" xfId="95" xr:uid="{00000000-0005-0000-0000-00003F000000}"/>
    <cellStyle name="標準 5 2 3 2 2" xfId="141" xr:uid="{00000000-0005-0000-0000-000040000000}"/>
    <cellStyle name="標準 5 2 3 3" xfId="111" xr:uid="{00000000-0005-0000-0000-000041000000}"/>
    <cellStyle name="標準 5 2 3 3 2" xfId="157" xr:uid="{00000000-0005-0000-0000-000042000000}"/>
    <cellStyle name="標準 5 2 3 4" xfId="75" xr:uid="{00000000-0005-0000-0000-000043000000}"/>
    <cellStyle name="標準 5 2 3 4 2" xfId="171" xr:uid="{00000000-0005-0000-0000-000044000000}"/>
    <cellStyle name="標準 5 2 3 5" xfId="121" xr:uid="{00000000-0005-0000-0000-000045000000}"/>
    <cellStyle name="標準 5 2 4" xfId="85" xr:uid="{00000000-0005-0000-0000-000046000000}"/>
    <cellStyle name="標準 5 2 4 2" xfId="131" xr:uid="{00000000-0005-0000-0000-000047000000}"/>
    <cellStyle name="標準 5 2 5" xfId="101" xr:uid="{00000000-0005-0000-0000-000048000000}"/>
    <cellStyle name="標準 5 2 5 2" xfId="147" xr:uid="{00000000-0005-0000-0000-000049000000}"/>
    <cellStyle name="標準 5 2 6" xfId="71" xr:uid="{00000000-0005-0000-0000-00004A000000}"/>
    <cellStyle name="標準 5 2 6 2" xfId="167" xr:uid="{00000000-0005-0000-0000-00004B000000}"/>
    <cellStyle name="標準 5 2 7" xfId="117" xr:uid="{00000000-0005-0000-0000-00004C000000}"/>
    <cellStyle name="標準 5 3" xfId="58" xr:uid="{00000000-0005-0000-0000-00004D000000}"/>
    <cellStyle name="標準 5 3 2" xfId="88" xr:uid="{00000000-0005-0000-0000-00004E000000}"/>
    <cellStyle name="標準 5 3 2 2" xfId="134" xr:uid="{00000000-0005-0000-0000-00004F000000}"/>
    <cellStyle name="標準 5 3 3" xfId="104" xr:uid="{00000000-0005-0000-0000-000050000000}"/>
    <cellStyle name="標準 5 3 3 2" xfId="150" xr:uid="{00000000-0005-0000-0000-000051000000}"/>
    <cellStyle name="標準 5 3 4" xfId="78" xr:uid="{00000000-0005-0000-0000-000052000000}"/>
    <cellStyle name="標準 5 3 4 2" xfId="174" xr:uid="{00000000-0005-0000-0000-000053000000}"/>
    <cellStyle name="標準 5 3 5" xfId="124" xr:uid="{00000000-0005-0000-0000-000054000000}"/>
    <cellStyle name="標準 5 4" xfId="62" xr:uid="{00000000-0005-0000-0000-000055000000}"/>
    <cellStyle name="標準 5 4 2" xfId="92" xr:uid="{00000000-0005-0000-0000-000056000000}"/>
    <cellStyle name="標準 5 4 2 2" xfId="138" xr:uid="{00000000-0005-0000-0000-000057000000}"/>
    <cellStyle name="標準 5 4 3" xfId="108" xr:uid="{00000000-0005-0000-0000-000058000000}"/>
    <cellStyle name="標準 5 4 3 2" xfId="154" xr:uid="{00000000-0005-0000-0000-000059000000}"/>
    <cellStyle name="標準 5 4 4" xfId="72" xr:uid="{00000000-0005-0000-0000-00005A000000}"/>
    <cellStyle name="標準 5 4 4 2" xfId="168" xr:uid="{00000000-0005-0000-0000-00005B000000}"/>
    <cellStyle name="標準 5 4 5" xfId="118" xr:uid="{00000000-0005-0000-0000-00005C000000}"/>
    <cellStyle name="標準 5 5" xfId="82" xr:uid="{00000000-0005-0000-0000-00005D000000}"/>
    <cellStyle name="標準 5 5 2" xfId="128" xr:uid="{00000000-0005-0000-0000-00005E000000}"/>
    <cellStyle name="標準 5 6" xfId="98" xr:uid="{00000000-0005-0000-0000-00005F000000}"/>
    <cellStyle name="標準 5 6 2" xfId="144" xr:uid="{00000000-0005-0000-0000-000060000000}"/>
    <cellStyle name="標準 5 7" xfId="68" xr:uid="{00000000-0005-0000-0000-000061000000}"/>
    <cellStyle name="標準 5 7 2" xfId="164" xr:uid="{00000000-0005-0000-0000-000062000000}"/>
    <cellStyle name="標準 5 8" xfId="114" xr:uid="{00000000-0005-0000-0000-000063000000}"/>
    <cellStyle name="標準 6" xfId="53" xr:uid="{00000000-0005-0000-0000-000064000000}"/>
    <cellStyle name="標準 6 10" xfId="182" xr:uid="{00000000-0005-0000-0000-000065000000}"/>
    <cellStyle name="標準 6 2" xfId="56" xr:uid="{00000000-0005-0000-0000-000066000000}"/>
    <cellStyle name="標準 6 2 2" xfId="66" xr:uid="{00000000-0005-0000-0000-000067000000}"/>
    <cellStyle name="標準 6 2 2 2" xfId="112" xr:uid="{00000000-0005-0000-0000-000068000000}"/>
    <cellStyle name="標準 6 2 2 2 2" xfId="158" xr:uid="{00000000-0005-0000-0000-000069000000}"/>
    <cellStyle name="標準 6 2 2 3" xfId="96" xr:uid="{00000000-0005-0000-0000-00006A000000}"/>
    <cellStyle name="標準 6 2 2 3 2" xfId="178" xr:uid="{00000000-0005-0000-0000-00006B000000}"/>
    <cellStyle name="標準 6 2 2 4" xfId="142" xr:uid="{00000000-0005-0000-0000-00006C000000}"/>
    <cellStyle name="標準 6 2 3" xfId="86" xr:uid="{00000000-0005-0000-0000-00006D000000}"/>
    <cellStyle name="標準 6 2 3 2" xfId="132" xr:uid="{00000000-0005-0000-0000-00006E000000}"/>
    <cellStyle name="標準 6 2 4" xfId="102" xr:uid="{00000000-0005-0000-0000-00006F000000}"/>
    <cellStyle name="標準 6 2 4 2" xfId="148" xr:uid="{00000000-0005-0000-0000-000070000000}"/>
    <cellStyle name="標準 6 2 5" xfId="76" xr:uid="{00000000-0005-0000-0000-000071000000}"/>
    <cellStyle name="標準 6 2 5 2" xfId="172" xr:uid="{00000000-0005-0000-0000-000072000000}"/>
    <cellStyle name="標準 6 2 6" xfId="122" xr:uid="{00000000-0005-0000-0000-000073000000}"/>
    <cellStyle name="標準 6 3" xfId="59" xr:uid="{00000000-0005-0000-0000-000074000000}"/>
    <cellStyle name="標準 6 3 2" xfId="89" xr:uid="{00000000-0005-0000-0000-000075000000}"/>
    <cellStyle name="標準 6 3 2 2" xfId="135" xr:uid="{00000000-0005-0000-0000-000076000000}"/>
    <cellStyle name="標準 6 3 3" xfId="105" xr:uid="{00000000-0005-0000-0000-000077000000}"/>
    <cellStyle name="標準 6 3 3 2" xfId="151" xr:uid="{00000000-0005-0000-0000-000078000000}"/>
    <cellStyle name="標準 6 3 4" xfId="79" xr:uid="{00000000-0005-0000-0000-000079000000}"/>
    <cellStyle name="標準 6 3 4 2" xfId="175" xr:uid="{00000000-0005-0000-0000-00007A000000}"/>
    <cellStyle name="標準 6 3 5" xfId="125" xr:uid="{00000000-0005-0000-0000-00007B000000}"/>
    <cellStyle name="標準 6 4" xfId="63" xr:uid="{00000000-0005-0000-0000-00007C000000}"/>
    <cellStyle name="標準 6 4 2" xfId="93" xr:uid="{00000000-0005-0000-0000-00007D000000}"/>
    <cellStyle name="標準 6 4 2 2" xfId="139" xr:uid="{00000000-0005-0000-0000-00007E000000}"/>
    <cellStyle name="標準 6 4 3" xfId="109" xr:uid="{00000000-0005-0000-0000-00007F000000}"/>
    <cellStyle name="標準 6 4 3 2" xfId="155" xr:uid="{00000000-0005-0000-0000-000080000000}"/>
    <cellStyle name="標準 6 4 4" xfId="73" xr:uid="{00000000-0005-0000-0000-000081000000}"/>
    <cellStyle name="標準 6 4 4 2" xfId="169" xr:uid="{00000000-0005-0000-0000-000082000000}"/>
    <cellStyle name="標準 6 4 5" xfId="119" xr:uid="{00000000-0005-0000-0000-000083000000}"/>
    <cellStyle name="標準 6 5" xfId="83" xr:uid="{00000000-0005-0000-0000-000084000000}"/>
    <cellStyle name="標準 6 5 2" xfId="129" xr:uid="{00000000-0005-0000-0000-000085000000}"/>
    <cellStyle name="標準 6 6" xfId="99" xr:uid="{00000000-0005-0000-0000-000086000000}"/>
    <cellStyle name="標準 6 6 2" xfId="145" xr:uid="{00000000-0005-0000-0000-000087000000}"/>
    <cellStyle name="標準 6 7" xfId="69" xr:uid="{00000000-0005-0000-0000-000088000000}"/>
    <cellStyle name="標準 6 7 2" xfId="165" xr:uid="{00000000-0005-0000-0000-000089000000}"/>
    <cellStyle name="標準 6 8" xfId="115" xr:uid="{00000000-0005-0000-0000-00008A000000}"/>
    <cellStyle name="標準 7" xfId="54" xr:uid="{00000000-0005-0000-0000-00008B000000}"/>
    <cellStyle name="標準 7 2" xfId="57" xr:uid="{00000000-0005-0000-0000-00008C000000}"/>
    <cellStyle name="標準 7 2 2" xfId="67" xr:uid="{00000000-0005-0000-0000-00008D000000}"/>
    <cellStyle name="標準 7 2 2 2" xfId="113" xr:uid="{00000000-0005-0000-0000-00008E000000}"/>
    <cellStyle name="標準 7 2 2 2 2" xfId="159" xr:uid="{00000000-0005-0000-0000-00008F000000}"/>
    <cellStyle name="標準 7 2 2 3" xfId="97" xr:uid="{00000000-0005-0000-0000-000090000000}"/>
    <cellStyle name="標準 7 2 2 3 2" xfId="179" xr:uid="{00000000-0005-0000-0000-000091000000}"/>
    <cellStyle name="標準 7 2 2 4" xfId="143" xr:uid="{00000000-0005-0000-0000-000092000000}"/>
    <cellStyle name="標準 7 2 3" xfId="87" xr:uid="{00000000-0005-0000-0000-000093000000}"/>
    <cellStyle name="標準 7 2 3 2" xfId="133" xr:uid="{00000000-0005-0000-0000-000094000000}"/>
    <cellStyle name="標準 7 2 4" xfId="103" xr:uid="{00000000-0005-0000-0000-000095000000}"/>
    <cellStyle name="標準 7 2 4 2" xfId="149" xr:uid="{00000000-0005-0000-0000-000096000000}"/>
    <cellStyle name="標準 7 2 5" xfId="77" xr:uid="{00000000-0005-0000-0000-000097000000}"/>
    <cellStyle name="標準 7 2 5 2" xfId="173" xr:uid="{00000000-0005-0000-0000-000098000000}"/>
    <cellStyle name="標準 7 2 6" xfId="123" xr:uid="{00000000-0005-0000-0000-000099000000}"/>
    <cellStyle name="標準 7 3" xfId="60" xr:uid="{00000000-0005-0000-0000-00009A000000}"/>
    <cellStyle name="標準 7 3 2" xfId="90" xr:uid="{00000000-0005-0000-0000-00009B000000}"/>
    <cellStyle name="標準 7 3 2 2" xfId="136" xr:uid="{00000000-0005-0000-0000-00009C000000}"/>
    <cellStyle name="標準 7 3 3" xfId="106" xr:uid="{00000000-0005-0000-0000-00009D000000}"/>
    <cellStyle name="標準 7 3 3 2" xfId="152" xr:uid="{00000000-0005-0000-0000-00009E000000}"/>
    <cellStyle name="標準 7 3 4" xfId="80" xr:uid="{00000000-0005-0000-0000-00009F000000}"/>
    <cellStyle name="標準 7 3 4 2" xfId="176" xr:uid="{00000000-0005-0000-0000-0000A0000000}"/>
    <cellStyle name="標準 7 3 5" xfId="126" xr:uid="{00000000-0005-0000-0000-0000A1000000}"/>
    <cellStyle name="標準 7 4" xfId="64" xr:uid="{00000000-0005-0000-0000-0000A2000000}"/>
    <cellStyle name="標準 7 4 2" xfId="94" xr:uid="{00000000-0005-0000-0000-0000A3000000}"/>
    <cellStyle name="標準 7 4 2 2" xfId="140" xr:uid="{00000000-0005-0000-0000-0000A4000000}"/>
    <cellStyle name="標準 7 4 3" xfId="110" xr:uid="{00000000-0005-0000-0000-0000A5000000}"/>
    <cellStyle name="標準 7 4 3 2" xfId="156" xr:uid="{00000000-0005-0000-0000-0000A6000000}"/>
    <cellStyle name="標準 7 4 4" xfId="74" xr:uid="{00000000-0005-0000-0000-0000A7000000}"/>
    <cellStyle name="標準 7 4 4 2" xfId="170" xr:uid="{00000000-0005-0000-0000-0000A8000000}"/>
    <cellStyle name="標準 7 4 5" xfId="120" xr:uid="{00000000-0005-0000-0000-0000A9000000}"/>
    <cellStyle name="標準 7 5" xfId="84" xr:uid="{00000000-0005-0000-0000-0000AA000000}"/>
    <cellStyle name="標準 7 5 2" xfId="130" xr:uid="{00000000-0005-0000-0000-0000AB000000}"/>
    <cellStyle name="標準 7 6" xfId="100" xr:uid="{00000000-0005-0000-0000-0000AC000000}"/>
    <cellStyle name="標準 7 6 2" xfId="146" xr:uid="{00000000-0005-0000-0000-0000AD000000}"/>
    <cellStyle name="標準 7 7" xfId="70" xr:uid="{00000000-0005-0000-0000-0000AE000000}"/>
    <cellStyle name="標準 7 7 2" xfId="166" xr:uid="{00000000-0005-0000-0000-0000AF000000}"/>
    <cellStyle name="標準 7 8" xfId="116" xr:uid="{00000000-0005-0000-0000-0000B0000000}"/>
    <cellStyle name="標準 8" xfId="160" xr:uid="{00000000-0005-0000-0000-0000B1000000}"/>
    <cellStyle name="標準 9" xfId="162" xr:uid="{00000000-0005-0000-0000-0000B2000000}"/>
    <cellStyle name="標準_4システム概要" xfId="48" xr:uid="{00000000-0005-0000-0000-0000B3000000}"/>
    <cellStyle name="標準_SX-XXXX_HBP0010_詳細設計(sample)_1回打合せ完了" xfId="49" xr:uid="{00000000-0005-0000-0000-0000B5000000}"/>
    <cellStyle name="標準_要件ポイント説明書一覧_rd06_20060623" xfId="50" xr:uid="{00000000-0005-0000-0000-0000B6000000}"/>
    <cellStyle name="未定義" xfId="51" xr:uid="{00000000-0005-0000-0000-0000B7000000}"/>
  </cellStyles>
  <dxfs count="29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066FF"/>
      <color rgb="FFFFFFCC"/>
      <color rgb="FF3399FF"/>
      <color rgb="FF5F5F5F"/>
      <color rgb="FF777777"/>
      <color rgb="FFDBEEF4"/>
      <color rgb="FF339933"/>
      <color rgb="FF99FF99"/>
      <color rgb="FFFF9900"/>
      <color rgb="FF01328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tmp"/><Relationship Id="rId2" Type="http://schemas.openxmlformats.org/officeDocument/2006/relationships/image" Target="../media/image7.tmp"/><Relationship Id="rId1" Type="http://schemas.openxmlformats.org/officeDocument/2006/relationships/image" Target="../media/image6.tmp"/><Relationship Id="rId4" Type="http://schemas.openxmlformats.org/officeDocument/2006/relationships/image" Target="../media/image9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517797</xdr:colOff>
      <xdr:row>1</xdr:row>
      <xdr:rowOff>176893</xdr:rowOff>
    </xdr:from>
    <xdr:to>
      <xdr:col>8</xdr:col>
      <xdr:colOff>190137</xdr:colOff>
      <xdr:row>18</xdr:row>
      <xdr:rowOff>138806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476250" y="349250"/>
          <a:ext cx="7366000" cy="29908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271792" dir="3155679" algn="ctr" rotWithShape="0">
            <a:srgbClr val="808080">
              <a:alpha val="50000"/>
            </a:srgbClr>
          </a:outerShdw>
        </a:effectLst>
      </xdr:spPr>
      <xdr:txBody>
        <a:bodyPr vertOverflow="clip" wrap="square" lIns="54864" tIns="32004" rIns="54864" bIns="32004" anchor="ctr" upright="1"/>
        <a:lstStyle/>
        <a:p>
          <a:pPr algn="ctr" rtl="0">
            <a:lnSpc>
              <a:spcPts val="3500"/>
            </a:lnSpc>
            <a:defRPr sz="1000"/>
          </a:pPr>
          <a:endParaRPr lang="ja-JP" altLang="en-US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ヒロセ電機株式会社様</a:t>
          </a:r>
          <a:endParaRPr lang="en-US" altLang="ja-JP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新環境証明書</a:t>
          </a:r>
          <a:endParaRPr lang="ja-JP" altLang="en-US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画面設計書</a:t>
          </a:r>
          <a:endParaRPr lang="en-US" altLang="ja-JP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+mn-ea"/>
            </a:rPr>
            <a:t>画面</a:t>
          </a:r>
        </a:p>
      </xdr:txBody>
    </xdr:sp>
    <xdr:clientData/>
  </xdr:twoCellAnchor>
  <xdr:twoCellAnchor editAs="oneCell">
    <xdr:from>
      <xdr:col>0</xdr:col>
      <xdr:colOff>638175</xdr:colOff>
      <xdr:row>2</xdr:row>
      <xdr:rowOff>114300</xdr:rowOff>
    </xdr:from>
    <xdr:to>
      <xdr:col>2</xdr:col>
      <xdr:colOff>781050</xdr:colOff>
      <xdr:row>5</xdr:row>
      <xdr:rowOff>133350</xdr:rowOff>
    </xdr:to>
    <xdr:pic>
      <xdr:nvPicPr>
        <xdr:cNvPr id="82435" name="Picture 2">
          <a:extLst>
            <a:ext uri="{FF2B5EF4-FFF2-40B4-BE49-F238E27FC236}">
              <a16:creationId xmlns:a16="http://schemas.microsoft.com/office/drawing/2014/main" id="{00000000-0008-0000-0000-000003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5" y="476250"/>
          <a:ext cx="1914525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493032</xdr:colOff>
      <xdr:row>22</xdr:row>
      <xdr:rowOff>101963</xdr:rowOff>
    </xdr:from>
    <xdr:to>
      <xdr:col>5</xdr:col>
      <xdr:colOff>590008</xdr:colOff>
      <xdr:row>24</xdr:row>
      <xdr:rowOff>306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 bwMode="auto">
        <a:xfrm>
          <a:off x="3100705" y="4008120"/>
          <a:ext cx="2070856" cy="25930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文書番号：</a:t>
          </a:r>
          <a:r>
            <a:rPr lang="en-US" altLang="ja-JP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IMWF</a:t>
          </a:r>
          <a:r>
            <a:rPr lang="en-US" altLang="ja-JP" sz="1200">
              <a:effectLst/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rPr>
            <a:t>-53</a:t>
          </a:r>
          <a:endParaRPr lang="en-US" altLang="ja-JP" sz="1200" b="0" i="0" strike="noStrike">
            <a:solidFill>
              <a:srgbClr val="000000"/>
            </a:solidFill>
            <a:latin typeface="ＭＳ Ｐゴシック" panose="020B0600070205080204" pitchFamily="50" charset="-128"/>
            <a:ea typeface="ＭＳ Ｐゴシック" panose="020B0600070205080204" pitchFamily="50" charset="-128"/>
          </a:endParaRPr>
        </a:p>
      </xdr:txBody>
    </xdr:sp>
    <xdr:clientData/>
  </xdr:twoCellAnchor>
  <xdr:twoCellAnchor editAs="oneCell">
    <xdr:from>
      <xdr:col>6</xdr:col>
      <xdr:colOff>266700</xdr:colOff>
      <xdr:row>34</xdr:row>
      <xdr:rowOff>114300</xdr:rowOff>
    </xdr:from>
    <xdr:to>
      <xdr:col>8</xdr:col>
      <xdr:colOff>933450</xdr:colOff>
      <xdr:row>36</xdr:row>
      <xdr:rowOff>114300</xdr:rowOff>
    </xdr:to>
    <xdr:pic>
      <xdr:nvPicPr>
        <xdr:cNvPr id="82438" name="Picture 40" descr="logo_eimei">
          <a:extLst>
            <a:ext uri="{FF2B5EF4-FFF2-40B4-BE49-F238E27FC236}">
              <a16:creationId xmlns:a16="http://schemas.microsoft.com/office/drawing/2014/main" id="{00000000-0008-0000-0000-000006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6457950"/>
          <a:ext cx="2857500" cy="552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50</xdr:col>
      <xdr:colOff>38560</xdr:colOff>
      <xdr:row>25</xdr:row>
      <xdr:rowOff>28575</xdr:rowOff>
    </xdr:from>
    <xdr:to>
      <xdr:col>51</xdr:col>
      <xdr:colOff>96157</xdr:colOff>
      <xdr:row>46</xdr:row>
      <xdr:rowOff>82550</xdr:rowOff>
    </xdr:to>
    <xdr:grpSp>
      <xdr:nvGrpSpPr>
        <xdr:cNvPr id="43" name="グループ化 42">
          <a:extLst>
            <a:ext uri="{FF2B5EF4-FFF2-40B4-BE49-F238E27FC236}">
              <a16:creationId xmlns:a16="http://schemas.microsoft.com/office/drawing/2014/main" id="{190F2F8F-F26B-D4C4-428B-F09994C239EE}"/>
            </a:ext>
          </a:extLst>
        </xdr:cNvPr>
        <xdr:cNvGrpSpPr/>
      </xdr:nvGrpSpPr>
      <xdr:grpSpPr>
        <a:xfrm>
          <a:off x="9034393" y="3920067"/>
          <a:ext cx="237514" cy="3944408"/>
          <a:chOff x="9168639" y="1937727"/>
          <a:chExt cx="240770" cy="3921613"/>
        </a:xfrm>
      </xdr:grpSpPr>
      <xdr:pic>
        <xdr:nvPicPr>
          <xdr:cNvPr id="16" name="図 15">
            <a:extLst>
              <a:ext uri="{FF2B5EF4-FFF2-40B4-BE49-F238E27FC236}">
                <a16:creationId xmlns:a16="http://schemas.microsoft.com/office/drawing/2014/main" id="{B21E0430-3E48-64BE-F460-672D2AD6609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 flipH="1">
            <a:off x="9177705" y="1937727"/>
            <a:ext cx="221273" cy="1291736"/>
          </a:xfrm>
          <a:prstGeom prst="rect">
            <a:avLst/>
          </a:prstGeom>
        </xdr:spPr>
      </xdr:pic>
      <xdr:pic>
        <xdr:nvPicPr>
          <xdr:cNvPr id="18" name="図 17">
            <a:extLst>
              <a:ext uri="{FF2B5EF4-FFF2-40B4-BE49-F238E27FC236}">
                <a16:creationId xmlns:a16="http://schemas.microsoft.com/office/drawing/2014/main" id="{40647910-157D-4CCD-9218-37552E8E1E2F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"/>
          <a:srcRect l="1" t="75912" r="-1"/>
          <a:stretch>
            <a:fillRect/>
          </a:stretch>
        </xdr:blipFill>
        <xdr:spPr>
          <a:xfrm flipH="1">
            <a:off x="9190403" y="5543306"/>
            <a:ext cx="218098" cy="316034"/>
          </a:xfrm>
          <a:prstGeom prst="rect">
            <a:avLst/>
          </a:prstGeom>
        </xdr:spPr>
      </xdr:pic>
      <xdr:grpSp>
        <xdr:nvGrpSpPr>
          <xdr:cNvPr id="24" name="グループ化 23">
            <a:extLst>
              <a:ext uri="{FF2B5EF4-FFF2-40B4-BE49-F238E27FC236}">
                <a16:creationId xmlns:a16="http://schemas.microsoft.com/office/drawing/2014/main" id="{A89C33FA-1A55-BC59-6412-F6CC901DB773}"/>
              </a:ext>
            </a:extLst>
          </xdr:cNvPr>
          <xdr:cNvGrpSpPr/>
        </xdr:nvGrpSpPr>
        <xdr:grpSpPr>
          <a:xfrm>
            <a:off x="9186778" y="4750047"/>
            <a:ext cx="219456" cy="814126"/>
            <a:chOff x="9212945" y="4758421"/>
            <a:chExt cx="219980" cy="824592"/>
          </a:xfrm>
        </xdr:grpSpPr>
        <xdr:grpSp>
          <xdr:nvGrpSpPr>
            <xdr:cNvPr id="20" name="グループ化 19">
              <a:extLst>
                <a:ext uri="{FF2B5EF4-FFF2-40B4-BE49-F238E27FC236}">
                  <a16:creationId xmlns:a16="http://schemas.microsoft.com/office/drawing/2014/main" id="{FE300F40-3C8C-2723-043D-EBAA6D6043BB}"/>
                </a:ext>
              </a:extLst>
            </xdr:cNvPr>
            <xdr:cNvGrpSpPr/>
          </xdr:nvGrpSpPr>
          <xdr:grpSpPr>
            <a:xfrm>
              <a:off x="9210676" y="5174341"/>
              <a:ext cx="225424" cy="408672"/>
              <a:chOff x="9210676" y="5174341"/>
              <a:chExt cx="225424" cy="408672"/>
            </a:xfrm>
          </xdr:grpSpPr>
          <xdr:pic>
            <xdr:nvPicPr>
              <xdr:cNvPr id="17" name="図 16">
                <a:extLst>
                  <a:ext uri="{FF2B5EF4-FFF2-40B4-BE49-F238E27FC236}">
                    <a16:creationId xmlns:a16="http://schemas.microsoft.com/office/drawing/2014/main" id="{6209DF18-0471-4A53-883B-360416A15FF4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19" name="図 18">
                <a:extLst>
                  <a:ext uri="{FF2B5EF4-FFF2-40B4-BE49-F238E27FC236}">
                    <a16:creationId xmlns:a16="http://schemas.microsoft.com/office/drawing/2014/main" id="{BB8B9517-BC3E-4641-96A8-7DB256091C16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  <xdr:grpSp>
          <xdr:nvGrpSpPr>
            <xdr:cNvPr id="21" name="グループ化 20">
              <a:extLst>
                <a:ext uri="{FF2B5EF4-FFF2-40B4-BE49-F238E27FC236}">
                  <a16:creationId xmlns:a16="http://schemas.microsoft.com/office/drawing/2014/main" id="{902749EB-42E2-4211-8E40-54EEBA6ED787}"/>
                </a:ext>
              </a:extLst>
            </xdr:cNvPr>
            <xdr:cNvGrpSpPr/>
          </xdr:nvGrpSpPr>
          <xdr:grpSpPr>
            <a:xfrm>
              <a:off x="9216120" y="4755246"/>
              <a:ext cx="209549" cy="418197"/>
              <a:chOff x="9210676" y="5174341"/>
              <a:chExt cx="225424" cy="408672"/>
            </a:xfrm>
          </xdr:grpSpPr>
          <xdr:pic>
            <xdr:nvPicPr>
              <xdr:cNvPr id="22" name="図 21">
                <a:extLst>
                  <a:ext uri="{FF2B5EF4-FFF2-40B4-BE49-F238E27FC236}">
                    <a16:creationId xmlns:a16="http://schemas.microsoft.com/office/drawing/2014/main" id="{6ACEA208-2950-C167-2275-27316F07B70F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23" name="図 22">
                <a:extLst>
                  <a:ext uri="{FF2B5EF4-FFF2-40B4-BE49-F238E27FC236}">
                    <a16:creationId xmlns:a16="http://schemas.microsoft.com/office/drawing/2014/main" id="{25D2B1D6-7DB4-83F1-A16E-028537F9F6A2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</xdr:grpSp>
      <xdr:grpSp>
        <xdr:nvGrpSpPr>
          <xdr:cNvPr id="26" name="グループ化 25">
            <a:extLst>
              <a:ext uri="{FF2B5EF4-FFF2-40B4-BE49-F238E27FC236}">
                <a16:creationId xmlns:a16="http://schemas.microsoft.com/office/drawing/2014/main" id="{19C6AE78-C4E8-4EAA-B7E3-167B307E03FB}"/>
              </a:ext>
            </a:extLst>
          </xdr:cNvPr>
          <xdr:cNvGrpSpPr/>
        </xdr:nvGrpSpPr>
        <xdr:grpSpPr>
          <a:xfrm>
            <a:off x="9175896" y="3940040"/>
            <a:ext cx="235331" cy="817718"/>
            <a:chOff x="9212945" y="4758421"/>
            <a:chExt cx="219980" cy="824592"/>
          </a:xfrm>
        </xdr:grpSpPr>
        <xdr:grpSp>
          <xdr:nvGrpSpPr>
            <xdr:cNvPr id="27" name="グループ化 26">
              <a:extLst>
                <a:ext uri="{FF2B5EF4-FFF2-40B4-BE49-F238E27FC236}">
                  <a16:creationId xmlns:a16="http://schemas.microsoft.com/office/drawing/2014/main" id="{EAB3112D-8A22-094C-B73B-71E4B2C95AE9}"/>
                </a:ext>
              </a:extLst>
            </xdr:cNvPr>
            <xdr:cNvGrpSpPr/>
          </xdr:nvGrpSpPr>
          <xdr:grpSpPr>
            <a:xfrm>
              <a:off x="9210676" y="5174341"/>
              <a:ext cx="225424" cy="408672"/>
              <a:chOff x="9210676" y="5174341"/>
              <a:chExt cx="225424" cy="408672"/>
            </a:xfrm>
          </xdr:grpSpPr>
          <xdr:pic>
            <xdr:nvPicPr>
              <xdr:cNvPr id="34" name="図 33">
                <a:extLst>
                  <a:ext uri="{FF2B5EF4-FFF2-40B4-BE49-F238E27FC236}">
                    <a16:creationId xmlns:a16="http://schemas.microsoft.com/office/drawing/2014/main" id="{0E6C6FDC-7721-22B7-8F10-4E3C8A5051E4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35" name="図 34">
                <a:extLst>
                  <a:ext uri="{FF2B5EF4-FFF2-40B4-BE49-F238E27FC236}">
                    <a16:creationId xmlns:a16="http://schemas.microsoft.com/office/drawing/2014/main" id="{378260FB-D957-106D-CF12-3CF9C60E216A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  <xdr:grpSp>
          <xdr:nvGrpSpPr>
            <xdr:cNvPr id="28" name="グループ化 27">
              <a:extLst>
                <a:ext uri="{FF2B5EF4-FFF2-40B4-BE49-F238E27FC236}">
                  <a16:creationId xmlns:a16="http://schemas.microsoft.com/office/drawing/2014/main" id="{A014C297-24E8-A19E-D1CA-6923386E749B}"/>
                </a:ext>
              </a:extLst>
            </xdr:cNvPr>
            <xdr:cNvGrpSpPr/>
          </xdr:nvGrpSpPr>
          <xdr:grpSpPr>
            <a:xfrm>
              <a:off x="9216120" y="4755246"/>
              <a:ext cx="209549" cy="418197"/>
              <a:chOff x="9210676" y="5174341"/>
              <a:chExt cx="225424" cy="408672"/>
            </a:xfrm>
          </xdr:grpSpPr>
          <xdr:pic>
            <xdr:nvPicPr>
              <xdr:cNvPr id="29" name="図 28">
                <a:extLst>
                  <a:ext uri="{FF2B5EF4-FFF2-40B4-BE49-F238E27FC236}">
                    <a16:creationId xmlns:a16="http://schemas.microsoft.com/office/drawing/2014/main" id="{487BB4F3-B71D-5048-9875-12387967A56D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31" name="図 30">
                <a:extLst>
                  <a:ext uri="{FF2B5EF4-FFF2-40B4-BE49-F238E27FC236}">
                    <a16:creationId xmlns:a16="http://schemas.microsoft.com/office/drawing/2014/main" id="{4143FE76-3775-AD45-1B7A-830E9357BD07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</xdr:grpSp>
      <xdr:grpSp>
        <xdr:nvGrpSpPr>
          <xdr:cNvPr id="36" name="グループ化 35">
            <a:extLst>
              <a:ext uri="{FF2B5EF4-FFF2-40B4-BE49-F238E27FC236}">
                <a16:creationId xmlns:a16="http://schemas.microsoft.com/office/drawing/2014/main" id="{F8D44BF8-ACBD-430D-8787-2266044639F8}"/>
              </a:ext>
            </a:extLst>
          </xdr:cNvPr>
          <xdr:cNvGrpSpPr/>
        </xdr:nvGrpSpPr>
        <xdr:grpSpPr>
          <a:xfrm>
            <a:off x="9165464" y="3130138"/>
            <a:ext cx="232156" cy="810811"/>
            <a:chOff x="9212945" y="4758421"/>
            <a:chExt cx="219980" cy="824592"/>
          </a:xfrm>
        </xdr:grpSpPr>
        <xdr:grpSp>
          <xdr:nvGrpSpPr>
            <xdr:cNvPr id="37" name="グループ化 36">
              <a:extLst>
                <a:ext uri="{FF2B5EF4-FFF2-40B4-BE49-F238E27FC236}">
                  <a16:creationId xmlns:a16="http://schemas.microsoft.com/office/drawing/2014/main" id="{7B8FEB8A-CFDF-0DD5-6E59-72E96310EB3C}"/>
                </a:ext>
              </a:extLst>
            </xdr:cNvPr>
            <xdr:cNvGrpSpPr/>
          </xdr:nvGrpSpPr>
          <xdr:grpSpPr>
            <a:xfrm>
              <a:off x="9210676" y="5174341"/>
              <a:ext cx="225424" cy="408672"/>
              <a:chOff x="9210676" y="5174341"/>
              <a:chExt cx="225424" cy="408672"/>
            </a:xfrm>
          </xdr:grpSpPr>
          <xdr:pic>
            <xdr:nvPicPr>
              <xdr:cNvPr id="41" name="図 40">
                <a:extLst>
                  <a:ext uri="{FF2B5EF4-FFF2-40B4-BE49-F238E27FC236}">
                    <a16:creationId xmlns:a16="http://schemas.microsoft.com/office/drawing/2014/main" id="{42A4C229-A367-7DE7-A6BE-9FCACC178582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42" name="図 41">
                <a:extLst>
                  <a:ext uri="{FF2B5EF4-FFF2-40B4-BE49-F238E27FC236}">
                    <a16:creationId xmlns:a16="http://schemas.microsoft.com/office/drawing/2014/main" id="{6240F1CA-EF1F-43AF-84A8-AED872292523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  <xdr:grpSp>
          <xdr:nvGrpSpPr>
            <xdr:cNvPr id="38" name="グループ化 37">
              <a:extLst>
                <a:ext uri="{FF2B5EF4-FFF2-40B4-BE49-F238E27FC236}">
                  <a16:creationId xmlns:a16="http://schemas.microsoft.com/office/drawing/2014/main" id="{96921444-4C15-6954-0EAE-88B69A4A0C2F}"/>
                </a:ext>
              </a:extLst>
            </xdr:cNvPr>
            <xdr:cNvGrpSpPr/>
          </xdr:nvGrpSpPr>
          <xdr:grpSpPr>
            <a:xfrm>
              <a:off x="9216120" y="4755246"/>
              <a:ext cx="209549" cy="418197"/>
              <a:chOff x="9210676" y="5174341"/>
              <a:chExt cx="225424" cy="408672"/>
            </a:xfrm>
          </xdr:grpSpPr>
          <xdr:pic>
            <xdr:nvPicPr>
              <xdr:cNvPr id="39" name="図 38">
                <a:extLst>
                  <a:ext uri="{FF2B5EF4-FFF2-40B4-BE49-F238E27FC236}">
                    <a16:creationId xmlns:a16="http://schemas.microsoft.com/office/drawing/2014/main" id="{70EE92B0-9679-E525-CF04-C70906B7620C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40" name="図 39">
                <a:extLst>
                  <a:ext uri="{FF2B5EF4-FFF2-40B4-BE49-F238E27FC236}">
                    <a16:creationId xmlns:a16="http://schemas.microsoft.com/office/drawing/2014/main" id="{4CAEDF4E-5B3C-69DF-6858-3F9637402105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</xdr:grpSp>
    </xdr:grpSp>
    <xdr:clientData/>
  </xdr:twoCellAnchor>
  <xdr:twoCellAnchor>
    <xdr:from>
      <xdr:col>1</xdr:col>
      <xdr:colOff>38100</xdr:colOff>
      <xdr:row>25</xdr:row>
      <xdr:rowOff>69851</xdr:rowOff>
    </xdr:from>
    <xdr:to>
      <xdr:col>52</xdr:col>
      <xdr:colOff>9525</xdr:colOff>
      <xdr:row>46</xdr:row>
      <xdr:rowOff>52917</xdr:rowOff>
    </xdr:to>
    <xdr:sp macro="" textlink="">
      <xdr:nvSpPr>
        <xdr:cNvPr id="83" name="角丸四角形 78">
          <a:extLst>
            <a:ext uri="{FF2B5EF4-FFF2-40B4-BE49-F238E27FC236}">
              <a16:creationId xmlns:a16="http://schemas.microsoft.com/office/drawing/2014/main" id="{DB4E9FA1-C457-4182-B9F9-805BB5003144}"/>
            </a:ext>
          </a:extLst>
        </xdr:cNvPr>
        <xdr:cNvSpPr/>
      </xdr:nvSpPr>
      <xdr:spPr>
        <a:xfrm>
          <a:off x="218017" y="3774018"/>
          <a:ext cx="9147175" cy="3867149"/>
        </a:xfrm>
        <a:prstGeom prst="roundRect">
          <a:avLst/>
        </a:prstGeom>
        <a:noFill/>
        <a:ln w="63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</xdr:col>
      <xdr:colOff>22227</xdr:colOff>
      <xdr:row>8</xdr:row>
      <xdr:rowOff>26458</xdr:rowOff>
    </xdr:from>
    <xdr:to>
      <xdr:col>17</xdr:col>
      <xdr:colOff>170394</xdr:colOff>
      <xdr:row>9</xdr:row>
      <xdr:rowOff>123825</xdr:rowOff>
    </xdr:to>
    <xdr:grpSp>
      <xdr:nvGrpSpPr>
        <xdr:cNvPr id="88" name="グループ化 87">
          <a:extLst>
            <a:ext uri="{FF2B5EF4-FFF2-40B4-BE49-F238E27FC236}">
              <a16:creationId xmlns:a16="http://schemas.microsoft.com/office/drawing/2014/main" id="{FC36BA47-187E-71B5-09E2-F3D07F70FF1E}"/>
            </a:ext>
          </a:extLst>
        </xdr:cNvPr>
        <xdr:cNvGrpSpPr/>
      </xdr:nvGrpSpPr>
      <xdr:grpSpPr>
        <a:xfrm>
          <a:off x="745069" y="1204383"/>
          <a:ext cx="2483908" cy="249767"/>
          <a:chOff x="3101976" y="1619250"/>
          <a:chExt cx="2498725" cy="304800"/>
        </a:xfrm>
      </xdr:grpSpPr>
      <xdr:sp macro="" textlink="">
        <xdr:nvSpPr>
          <xdr:cNvPr id="85" name="四角形: 角を丸くする 84">
            <a:extLst>
              <a:ext uri="{FF2B5EF4-FFF2-40B4-BE49-F238E27FC236}">
                <a16:creationId xmlns:a16="http://schemas.microsoft.com/office/drawing/2014/main" id="{EE2F99A3-2055-432E-B9FB-6763BE2421FC}"/>
              </a:ext>
            </a:extLst>
          </xdr:cNvPr>
          <xdr:cNvSpPr/>
        </xdr:nvSpPr>
        <xdr:spPr>
          <a:xfrm>
            <a:off x="3101976" y="1619250"/>
            <a:ext cx="2498725" cy="304800"/>
          </a:xfrm>
          <a:prstGeom prst="roundRect">
            <a:avLst/>
          </a:prstGeom>
          <a:solidFill>
            <a:schemeClr val="bg1">
              <a:lumMod val="95000"/>
            </a:schemeClr>
          </a:solidFill>
          <a:ln w="12700"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lIns="36000" tIns="36000" rIns="36000" bIns="36000" rtlCol="0" anchor="ctr"/>
          <a:lstStyle/>
          <a:p>
            <a:pPr algn="l">
              <a:lnSpc>
                <a:spcPts val="900"/>
              </a:lnSpc>
            </a:pPr>
            <a:r>
              <a:rPr kumimoji="1" lang="ja-JP" altLang="en-US" sz="800">
                <a:solidFill>
                  <a:schemeClr val="bg1">
                    <a:lumMod val="6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入力して検索</a:t>
            </a:r>
            <a:endParaRPr kumimoji="1" lang="en-US" altLang="ja-JP" sz="800">
              <a:solidFill>
                <a:schemeClr val="bg1">
                  <a:lumMod val="65000"/>
                </a:schemeClr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pic>
        <xdr:nvPicPr>
          <xdr:cNvPr id="87" name="図 86">
            <a:extLst>
              <a:ext uri="{FF2B5EF4-FFF2-40B4-BE49-F238E27FC236}">
                <a16:creationId xmlns:a16="http://schemas.microsoft.com/office/drawing/2014/main" id="{A1982D0F-BA12-681C-E3EE-37B78BA3CA9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5334000" y="1638300"/>
            <a:ext cx="181000" cy="209579"/>
          </a:xfrm>
          <a:prstGeom prst="rect">
            <a:avLst/>
          </a:prstGeom>
        </xdr:spPr>
      </xdr:pic>
    </xdr:grpSp>
    <xdr:clientData/>
  </xdr:twoCellAnchor>
  <xdr:twoCellAnchor>
    <xdr:from>
      <xdr:col>51</xdr:col>
      <xdr:colOff>55356</xdr:colOff>
      <xdr:row>13</xdr:row>
      <xdr:rowOff>44450</xdr:rowOff>
    </xdr:from>
    <xdr:to>
      <xdr:col>52</xdr:col>
      <xdr:colOff>1584</xdr:colOff>
      <xdr:row>15</xdr:row>
      <xdr:rowOff>0</xdr:rowOff>
    </xdr:to>
    <xdr:grpSp>
      <xdr:nvGrpSpPr>
        <xdr:cNvPr id="172" name="グループ化 171">
          <a:extLst>
            <a:ext uri="{FF2B5EF4-FFF2-40B4-BE49-F238E27FC236}">
              <a16:creationId xmlns:a16="http://schemas.microsoft.com/office/drawing/2014/main" id="{42493288-82C3-A361-66A9-E9E73B490289}"/>
            </a:ext>
          </a:extLst>
        </xdr:cNvPr>
        <xdr:cNvGrpSpPr/>
      </xdr:nvGrpSpPr>
      <xdr:grpSpPr>
        <a:xfrm>
          <a:off x="9231106" y="2111375"/>
          <a:ext cx="126145" cy="396875"/>
          <a:chOff x="9285081" y="2111375"/>
          <a:chExt cx="127203" cy="431799"/>
        </a:xfrm>
      </xdr:grpSpPr>
      <xdr:pic>
        <xdr:nvPicPr>
          <xdr:cNvPr id="149" name="図 148">
            <a:extLst>
              <a:ext uri="{FF2B5EF4-FFF2-40B4-BE49-F238E27FC236}">
                <a16:creationId xmlns:a16="http://schemas.microsoft.com/office/drawing/2014/main" id="{D5774797-6046-EFCF-EF03-7CBAC6D4EA6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 flipH="1">
            <a:off x="9288243" y="2111375"/>
            <a:ext cx="104530" cy="318001"/>
          </a:xfrm>
          <a:prstGeom prst="rect">
            <a:avLst/>
          </a:prstGeom>
        </xdr:spPr>
      </xdr:pic>
      <xdr:pic>
        <xdr:nvPicPr>
          <xdr:cNvPr id="150" name="図 149">
            <a:extLst>
              <a:ext uri="{FF2B5EF4-FFF2-40B4-BE49-F238E27FC236}">
                <a16:creationId xmlns:a16="http://schemas.microsoft.com/office/drawing/2014/main" id="{6F2E7885-1B1F-0DEA-19AF-A682FF08072D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"/>
          <a:srcRect l="1" t="75912" r="-1"/>
          <a:stretch>
            <a:fillRect/>
          </a:stretch>
        </xdr:blipFill>
        <xdr:spPr>
          <a:xfrm flipH="1">
            <a:off x="9285081" y="2466926"/>
            <a:ext cx="118814" cy="76248"/>
          </a:xfrm>
          <a:prstGeom prst="rect">
            <a:avLst/>
          </a:prstGeom>
        </xdr:spPr>
      </xdr:pic>
      <xdr:grpSp>
        <xdr:nvGrpSpPr>
          <xdr:cNvPr id="151" name="グループ化 150">
            <a:extLst>
              <a:ext uri="{FF2B5EF4-FFF2-40B4-BE49-F238E27FC236}">
                <a16:creationId xmlns:a16="http://schemas.microsoft.com/office/drawing/2014/main" id="{A9DB36F4-EE5A-DD7E-6E99-31E8D0A38D52}"/>
              </a:ext>
            </a:extLst>
          </xdr:cNvPr>
          <xdr:cNvGrpSpPr/>
        </xdr:nvGrpSpPr>
        <xdr:grpSpPr>
          <a:xfrm>
            <a:off x="9299139" y="2297765"/>
            <a:ext cx="113145" cy="196420"/>
            <a:chOff x="9212945" y="4758421"/>
            <a:chExt cx="219980" cy="824592"/>
          </a:xfrm>
        </xdr:grpSpPr>
        <xdr:grpSp>
          <xdr:nvGrpSpPr>
            <xdr:cNvPr id="166" name="グループ化 165">
              <a:extLst>
                <a:ext uri="{FF2B5EF4-FFF2-40B4-BE49-F238E27FC236}">
                  <a16:creationId xmlns:a16="http://schemas.microsoft.com/office/drawing/2014/main" id="{C5DA51CD-F4D6-0D54-029B-C0146497ACBC}"/>
                </a:ext>
              </a:extLst>
            </xdr:cNvPr>
            <xdr:cNvGrpSpPr/>
          </xdr:nvGrpSpPr>
          <xdr:grpSpPr>
            <a:xfrm>
              <a:off x="9210676" y="5174341"/>
              <a:ext cx="225424" cy="408672"/>
              <a:chOff x="9210676" y="5174341"/>
              <a:chExt cx="225424" cy="408672"/>
            </a:xfrm>
          </xdr:grpSpPr>
          <xdr:pic>
            <xdr:nvPicPr>
              <xdr:cNvPr id="170" name="図 169">
                <a:extLst>
                  <a:ext uri="{FF2B5EF4-FFF2-40B4-BE49-F238E27FC236}">
                    <a16:creationId xmlns:a16="http://schemas.microsoft.com/office/drawing/2014/main" id="{D8595DBA-2C87-9541-9B79-EB42D746B519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171" name="図 170">
                <a:extLst>
                  <a:ext uri="{FF2B5EF4-FFF2-40B4-BE49-F238E27FC236}">
                    <a16:creationId xmlns:a16="http://schemas.microsoft.com/office/drawing/2014/main" id="{B6836E95-2A3A-3884-21E3-A99599259417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  <xdr:grpSp>
          <xdr:nvGrpSpPr>
            <xdr:cNvPr id="167" name="グループ化 166">
              <a:extLst>
                <a:ext uri="{FF2B5EF4-FFF2-40B4-BE49-F238E27FC236}">
                  <a16:creationId xmlns:a16="http://schemas.microsoft.com/office/drawing/2014/main" id="{DE32C7E2-7A4D-9348-B206-7B8BF3FDB080}"/>
                </a:ext>
              </a:extLst>
            </xdr:cNvPr>
            <xdr:cNvGrpSpPr/>
          </xdr:nvGrpSpPr>
          <xdr:grpSpPr>
            <a:xfrm>
              <a:off x="9216120" y="4755246"/>
              <a:ext cx="209549" cy="418197"/>
              <a:chOff x="9210676" y="5174341"/>
              <a:chExt cx="225424" cy="408672"/>
            </a:xfrm>
          </xdr:grpSpPr>
          <xdr:pic>
            <xdr:nvPicPr>
              <xdr:cNvPr id="168" name="図 167">
                <a:extLst>
                  <a:ext uri="{FF2B5EF4-FFF2-40B4-BE49-F238E27FC236}">
                    <a16:creationId xmlns:a16="http://schemas.microsoft.com/office/drawing/2014/main" id="{DEFF6C4C-8049-C94F-15FF-40138AED1630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169" name="図 168">
                <a:extLst>
                  <a:ext uri="{FF2B5EF4-FFF2-40B4-BE49-F238E27FC236}">
                    <a16:creationId xmlns:a16="http://schemas.microsoft.com/office/drawing/2014/main" id="{2F0B8B1A-11C2-BA27-5FAF-158B600FDFFC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</xdr:grpSp>
    </xdr:grpSp>
    <xdr:clientData/>
  </xdr:twoCellAnchor>
  <xdr:twoCellAnchor>
    <xdr:from>
      <xdr:col>14</xdr:col>
      <xdr:colOff>123826</xdr:colOff>
      <xdr:row>26</xdr:row>
      <xdr:rowOff>60323</xdr:rowOff>
    </xdr:from>
    <xdr:to>
      <xdr:col>17</xdr:col>
      <xdr:colOff>42334</xdr:colOff>
      <xdr:row>27</xdr:row>
      <xdr:rowOff>105833</xdr:rowOff>
    </xdr:to>
    <xdr:sp macro="" textlink="">
      <xdr:nvSpPr>
        <xdr:cNvPr id="258" name="正方形/長方形 257">
          <a:extLst>
            <a:ext uri="{FF2B5EF4-FFF2-40B4-BE49-F238E27FC236}">
              <a16:creationId xmlns:a16="http://schemas.microsoft.com/office/drawing/2014/main" id="{EA40F55B-DB7E-40FA-88D4-E11F9A8DC539}"/>
            </a:ext>
          </a:extLst>
        </xdr:cNvPr>
        <xdr:cNvSpPr/>
      </xdr:nvSpPr>
      <xdr:spPr>
        <a:xfrm>
          <a:off x="2642659" y="4505323"/>
          <a:ext cx="458258" cy="24659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8</xdr:col>
      <xdr:colOff>49741</xdr:colOff>
      <xdr:row>20</xdr:row>
      <xdr:rowOff>144991</xdr:rowOff>
    </xdr:from>
    <xdr:to>
      <xdr:col>17</xdr:col>
      <xdr:colOff>116417</xdr:colOff>
      <xdr:row>22</xdr:row>
      <xdr:rowOff>105833</xdr:rowOff>
    </xdr:to>
    <xdr:sp macro="" textlink="">
      <xdr:nvSpPr>
        <xdr:cNvPr id="259" name="線吹き出し 1 (枠付き) 12">
          <a:extLst>
            <a:ext uri="{FF2B5EF4-FFF2-40B4-BE49-F238E27FC236}">
              <a16:creationId xmlns:a16="http://schemas.microsoft.com/office/drawing/2014/main" id="{978D0A5C-2772-4C0B-AD36-93650A0BF555}"/>
            </a:ext>
          </a:extLst>
        </xdr:cNvPr>
        <xdr:cNvSpPr/>
      </xdr:nvSpPr>
      <xdr:spPr>
        <a:xfrm>
          <a:off x="1489074" y="3838574"/>
          <a:ext cx="1685926" cy="278342"/>
        </a:xfrm>
        <a:prstGeom prst="borderCallout1">
          <a:avLst>
            <a:gd name="adj1" fmla="val 99600"/>
            <a:gd name="adj2" fmla="val 1511"/>
            <a:gd name="adj3" fmla="val 155734"/>
            <a:gd name="adj4" fmla="val 146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．環境証明書申請状況詳細</a:t>
          </a:r>
        </a:p>
      </xdr:txBody>
    </xdr:sp>
    <xdr:clientData/>
  </xdr:twoCellAnchor>
  <xdr:twoCellAnchor>
    <xdr:from>
      <xdr:col>32</xdr:col>
      <xdr:colOff>116417</xdr:colOff>
      <xdr:row>26</xdr:row>
      <xdr:rowOff>87842</xdr:rowOff>
    </xdr:from>
    <xdr:to>
      <xdr:col>35</xdr:col>
      <xdr:colOff>39158</xdr:colOff>
      <xdr:row>27</xdr:row>
      <xdr:rowOff>110068</xdr:rowOff>
    </xdr:to>
    <xdr:sp macro="" textlink="">
      <xdr:nvSpPr>
        <xdr:cNvPr id="260" name="正方形/長方形 259">
          <a:extLst>
            <a:ext uri="{FF2B5EF4-FFF2-40B4-BE49-F238E27FC236}">
              <a16:creationId xmlns:a16="http://schemas.microsoft.com/office/drawing/2014/main" id="{D9010547-CB4C-48CE-A16C-FF9F68F919BA}"/>
            </a:ext>
          </a:extLst>
        </xdr:cNvPr>
        <xdr:cNvSpPr/>
      </xdr:nvSpPr>
      <xdr:spPr>
        <a:xfrm>
          <a:off x="5873750" y="4532842"/>
          <a:ext cx="462491" cy="223309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2.2</a:t>
          </a:r>
        </a:p>
      </xdr:txBody>
    </xdr:sp>
    <xdr:clientData/>
  </xdr:twoCellAnchor>
  <xdr:twoCellAnchor>
    <xdr:from>
      <xdr:col>14</xdr:col>
      <xdr:colOff>127000</xdr:colOff>
      <xdr:row>28</xdr:row>
      <xdr:rowOff>148166</xdr:rowOff>
    </xdr:from>
    <xdr:to>
      <xdr:col>17</xdr:col>
      <xdr:colOff>55033</xdr:colOff>
      <xdr:row>29</xdr:row>
      <xdr:rowOff>193676</xdr:rowOff>
    </xdr:to>
    <xdr:sp macro="" textlink="">
      <xdr:nvSpPr>
        <xdr:cNvPr id="261" name="正方形/長方形 260">
          <a:extLst>
            <a:ext uri="{FF2B5EF4-FFF2-40B4-BE49-F238E27FC236}">
              <a16:creationId xmlns:a16="http://schemas.microsoft.com/office/drawing/2014/main" id="{6C80C583-7EBC-47D6-A3D9-0B0A887FB4FC}"/>
            </a:ext>
          </a:extLst>
        </xdr:cNvPr>
        <xdr:cNvSpPr/>
      </xdr:nvSpPr>
      <xdr:spPr>
        <a:xfrm>
          <a:off x="2645833" y="4995333"/>
          <a:ext cx="467783" cy="24659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129116</xdr:colOff>
      <xdr:row>28</xdr:row>
      <xdr:rowOff>175685</xdr:rowOff>
    </xdr:from>
    <xdr:to>
      <xdr:col>35</xdr:col>
      <xdr:colOff>45507</xdr:colOff>
      <xdr:row>29</xdr:row>
      <xdr:rowOff>197911</xdr:rowOff>
    </xdr:to>
    <xdr:sp macro="" textlink="">
      <xdr:nvSpPr>
        <xdr:cNvPr id="262" name="正方形/長方形 261">
          <a:extLst>
            <a:ext uri="{FF2B5EF4-FFF2-40B4-BE49-F238E27FC236}">
              <a16:creationId xmlns:a16="http://schemas.microsoft.com/office/drawing/2014/main" id="{E93F330B-61FC-480A-B940-A2028D4778E2}"/>
            </a:ext>
          </a:extLst>
        </xdr:cNvPr>
        <xdr:cNvSpPr/>
      </xdr:nvSpPr>
      <xdr:spPr>
        <a:xfrm>
          <a:off x="5886449" y="5022852"/>
          <a:ext cx="456141" cy="223309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2.4</a:t>
          </a:r>
        </a:p>
      </xdr:txBody>
    </xdr:sp>
    <xdr:clientData/>
  </xdr:twoCellAnchor>
  <xdr:twoCellAnchor>
    <xdr:from>
      <xdr:col>14</xdr:col>
      <xdr:colOff>116416</xdr:colOff>
      <xdr:row>32</xdr:row>
      <xdr:rowOff>21167</xdr:rowOff>
    </xdr:from>
    <xdr:to>
      <xdr:col>17</xdr:col>
      <xdr:colOff>44449</xdr:colOff>
      <xdr:row>33</xdr:row>
      <xdr:rowOff>66677</xdr:rowOff>
    </xdr:to>
    <xdr:sp macro="" textlink="">
      <xdr:nvSpPr>
        <xdr:cNvPr id="263" name="正方形/長方形 262">
          <a:extLst>
            <a:ext uri="{FF2B5EF4-FFF2-40B4-BE49-F238E27FC236}">
              <a16:creationId xmlns:a16="http://schemas.microsoft.com/office/drawing/2014/main" id="{D76B6ED3-36F2-43F9-9FD0-9315BA38A4F6}"/>
            </a:ext>
          </a:extLst>
        </xdr:cNvPr>
        <xdr:cNvSpPr/>
      </xdr:nvSpPr>
      <xdr:spPr>
        <a:xfrm>
          <a:off x="2635249" y="5672667"/>
          <a:ext cx="467783" cy="24659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115357</xdr:colOff>
      <xdr:row>32</xdr:row>
      <xdr:rowOff>48686</xdr:rowOff>
    </xdr:from>
    <xdr:to>
      <xdr:col>35</xdr:col>
      <xdr:colOff>34923</xdr:colOff>
      <xdr:row>33</xdr:row>
      <xdr:rowOff>70912</xdr:rowOff>
    </xdr:to>
    <xdr:sp macro="" textlink="">
      <xdr:nvSpPr>
        <xdr:cNvPr id="264" name="正方形/長方形 263">
          <a:extLst>
            <a:ext uri="{FF2B5EF4-FFF2-40B4-BE49-F238E27FC236}">
              <a16:creationId xmlns:a16="http://schemas.microsoft.com/office/drawing/2014/main" id="{654E2140-8257-43D6-A81D-F12AD6ED5F54}"/>
            </a:ext>
          </a:extLst>
        </xdr:cNvPr>
        <xdr:cNvSpPr/>
      </xdr:nvSpPr>
      <xdr:spPr>
        <a:xfrm>
          <a:off x="5872690" y="5700186"/>
          <a:ext cx="459316" cy="223309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2.6</a:t>
          </a:r>
        </a:p>
      </xdr:txBody>
    </xdr:sp>
    <xdr:clientData/>
  </xdr:twoCellAnchor>
  <xdr:twoCellAnchor>
    <xdr:from>
      <xdr:col>14</xdr:col>
      <xdr:colOff>122765</xdr:colOff>
      <xdr:row>34</xdr:row>
      <xdr:rowOff>148169</xdr:rowOff>
    </xdr:from>
    <xdr:to>
      <xdr:col>17</xdr:col>
      <xdr:colOff>47623</xdr:colOff>
      <xdr:row>36</xdr:row>
      <xdr:rowOff>5296</xdr:rowOff>
    </xdr:to>
    <xdr:sp macro="" textlink="">
      <xdr:nvSpPr>
        <xdr:cNvPr id="265" name="正方形/長方形 264">
          <a:extLst>
            <a:ext uri="{FF2B5EF4-FFF2-40B4-BE49-F238E27FC236}">
              <a16:creationId xmlns:a16="http://schemas.microsoft.com/office/drawing/2014/main" id="{45D09E49-7550-4335-B7F9-1A3C66892956}"/>
            </a:ext>
          </a:extLst>
        </xdr:cNvPr>
        <xdr:cNvSpPr/>
      </xdr:nvSpPr>
      <xdr:spPr>
        <a:xfrm>
          <a:off x="2641598" y="6201836"/>
          <a:ext cx="464608" cy="25929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2.7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124881</xdr:colOff>
      <xdr:row>34</xdr:row>
      <xdr:rowOff>142879</xdr:rowOff>
    </xdr:from>
    <xdr:to>
      <xdr:col>35</xdr:col>
      <xdr:colOff>41272</xdr:colOff>
      <xdr:row>35</xdr:row>
      <xdr:rowOff>165105</xdr:rowOff>
    </xdr:to>
    <xdr:sp macro="" textlink="">
      <xdr:nvSpPr>
        <xdr:cNvPr id="266" name="正方形/長方形 265">
          <a:extLst>
            <a:ext uri="{FF2B5EF4-FFF2-40B4-BE49-F238E27FC236}">
              <a16:creationId xmlns:a16="http://schemas.microsoft.com/office/drawing/2014/main" id="{78718104-E017-42A6-B240-AE4417DE55F5}"/>
            </a:ext>
          </a:extLst>
        </xdr:cNvPr>
        <xdr:cNvSpPr/>
      </xdr:nvSpPr>
      <xdr:spPr>
        <a:xfrm>
          <a:off x="5882214" y="6196546"/>
          <a:ext cx="456141" cy="223309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2.8</a:t>
          </a:r>
        </a:p>
      </xdr:txBody>
    </xdr:sp>
    <xdr:clientData/>
  </xdr:twoCellAnchor>
  <xdr:twoCellAnchor>
    <xdr:from>
      <xdr:col>14</xdr:col>
      <xdr:colOff>106891</xdr:colOff>
      <xdr:row>37</xdr:row>
      <xdr:rowOff>131234</xdr:rowOff>
    </xdr:from>
    <xdr:to>
      <xdr:col>17</xdr:col>
      <xdr:colOff>41274</xdr:colOff>
      <xdr:row>39</xdr:row>
      <xdr:rowOff>11644</xdr:rowOff>
    </xdr:to>
    <xdr:sp macro="" textlink="">
      <xdr:nvSpPr>
        <xdr:cNvPr id="267" name="正方形/長方形 266">
          <a:extLst>
            <a:ext uri="{FF2B5EF4-FFF2-40B4-BE49-F238E27FC236}">
              <a16:creationId xmlns:a16="http://schemas.microsoft.com/office/drawing/2014/main" id="{0CDC817D-4093-44DD-8C5F-2056F2E6753A}"/>
            </a:ext>
          </a:extLst>
        </xdr:cNvPr>
        <xdr:cNvSpPr/>
      </xdr:nvSpPr>
      <xdr:spPr>
        <a:xfrm>
          <a:off x="2625724" y="6788151"/>
          <a:ext cx="474133" cy="24024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2.9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105832</xdr:colOff>
      <xdr:row>37</xdr:row>
      <xdr:rowOff>158753</xdr:rowOff>
    </xdr:from>
    <xdr:to>
      <xdr:col>35</xdr:col>
      <xdr:colOff>28573</xdr:colOff>
      <xdr:row>39</xdr:row>
      <xdr:rowOff>19054</xdr:rowOff>
    </xdr:to>
    <xdr:sp macro="" textlink="">
      <xdr:nvSpPr>
        <xdr:cNvPr id="268" name="正方形/長方形 267">
          <a:extLst>
            <a:ext uri="{FF2B5EF4-FFF2-40B4-BE49-F238E27FC236}">
              <a16:creationId xmlns:a16="http://schemas.microsoft.com/office/drawing/2014/main" id="{EBB74EBB-50FE-408B-AF27-6CEAF4292430}"/>
            </a:ext>
          </a:extLst>
        </xdr:cNvPr>
        <xdr:cNvSpPr/>
      </xdr:nvSpPr>
      <xdr:spPr>
        <a:xfrm>
          <a:off x="5863165" y="6815670"/>
          <a:ext cx="462491" cy="220134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2.10</a:t>
          </a:r>
        </a:p>
      </xdr:txBody>
    </xdr:sp>
    <xdr:clientData/>
  </xdr:twoCellAnchor>
  <xdr:twoCellAnchor>
    <xdr:from>
      <xdr:col>14</xdr:col>
      <xdr:colOff>119590</xdr:colOff>
      <xdr:row>40</xdr:row>
      <xdr:rowOff>138645</xdr:rowOff>
    </xdr:from>
    <xdr:to>
      <xdr:col>17</xdr:col>
      <xdr:colOff>47623</xdr:colOff>
      <xdr:row>42</xdr:row>
      <xdr:rowOff>89963</xdr:rowOff>
    </xdr:to>
    <xdr:sp macro="" textlink="">
      <xdr:nvSpPr>
        <xdr:cNvPr id="269" name="正方形/長方形 268">
          <a:extLst>
            <a:ext uri="{FF2B5EF4-FFF2-40B4-BE49-F238E27FC236}">
              <a16:creationId xmlns:a16="http://schemas.microsoft.com/office/drawing/2014/main" id="{BC136271-6F61-4FE4-B208-4AB8941BA8AE}"/>
            </a:ext>
          </a:extLst>
        </xdr:cNvPr>
        <xdr:cNvSpPr/>
      </xdr:nvSpPr>
      <xdr:spPr>
        <a:xfrm>
          <a:off x="2638423" y="7314145"/>
          <a:ext cx="467783" cy="268818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115356</xdr:colOff>
      <xdr:row>40</xdr:row>
      <xdr:rowOff>130180</xdr:rowOff>
    </xdr:from>
    <xdr:to>
      <xdr:col>35</xdr:col>
      <xdr:colOff>31747</xdr:colOff>
      <xdr:row>42</xdr:row>
      <xdr:rowOff>39164</xdr:rowOff>
    </xdr:to>
    <xdr:sp macro="" textlink="">
      <xdr:nvSpPr>
        <xdr:cNvPr id="270" name="正方形/長方形 269">
          <a:extLst>
            <a:ext uri="{FF2B5EF4-FFF2-40B4-BE49-F238E27FC236}">
              <a16:creationId xmlns:a16="http://schemas.microsoft.com/office/drawing/2014/main" id="{FBD3A884-8087-4FBF-9711-D670EFD14433}"/>
            </a:ext>
          </a:extLst>
        </xdr:cNvPr>
        <xdr:cNvSpPr/>
      </xdr:nvSpPr>
      <xdr:spPr>
        <a:xfrm>
          <a:off x="5872689" y="7305680"/>
          <a:ext cx="456141" cy="226484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2.12</a:t>
          </a:r>
        </a:p>
      </xdr:txBody>
    </xdr:sp>
    <xdr:clientData/>
  </xdr:twoCellAnchor>
  <xdr:twoCellAnchor>
    <xdr:from>
      <xdr:col>14</xdr:col>
      <xdr:colOff>137584</xdr:colOff>
      <xdr:row>43</xdr:row>
      <xdr:rowOff>114298</xdr:rowOff>
    </xdr:from>
    <xdr:to>
      <xdr:col>17</xdr:col>
      <xdr:colOff>62442</xdr:colOff>
      <xdr:row>45</xdr:row>
      <xdr:rowOff>62441</xdr:rowOff>
    </xdr:to>
    <xdr:sp macro="" textlink="">
      <xdr:nvSpPr>
        <xdr:cNvPr id="271" name="正方形/長方形 270">
          <a:extLst>
            <a:ext uri="{FF2B5EF4-FFF2-40B4-BE49-F238E27FC236}">
              <a16:creationId xmlns:a16="http://schemas.microsoft.com/office/drawing/2014/main" id="{2DC49CF3-1CE9-44E3-9071-70725A64078F}"/>
            </a:ext>
          </a:extLst>
        </xdr:cNvPr>
        <xdr:cNvSpPr/>
      </xdr:nvSpPr>
      <xdr:spPr>
        <a:xfrm>
          <a:off x="2656417" y="7766048"/>
          <a:ext cx="464608" cy="26564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130175</xdr:colOff>
      <xdr:row>43</xdr:row>
      <xdr:rowOff>105833</xdr:rowOff>
    </xdr:from>
    <xdr:to>
      <xdr:col>35</xdr:col>
      <xdr:colOff>46566</xdr:colOff>
      <xdr:row>45</xdr:row>
      <xdr:rowOff>11642</xdr:rowOff>
    </xdr:to>
    <xdr:sp macro="" textlink="">
      <xdr:nvSpPr>
        <xdr:cNvPr id="272" name="正方形/長方形 271">
          <a:extLst>
            <a:ext uri="{FF2B5EF4-FFF2-40B4-BE49-F238E27FC236}">
              <a16:creationId xmlns:a16="http://schemas.microsoft.com/office/drawing/2014/main" id="{E3D65567-71BF-4A56-B46F-9AB7FF3D6774}"/>
            </a:ext>
          </a:extLst>
        </xdr:cNvPr>
        <xdr:cNvSpPr/>
      </xdr:nvSpPr>
      <xdr:spPr>
        <a:xfrm>
          <a:off x="5887508" y="7757583"/>
          <a:ext cx="456141" cy="223309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2.14</a:t>
          </a:r>
        </a:p>
      </xdr:txBody>
    </xdr:sp>
    <xdr:clientData/>
  </xdr:twoCellAnchor>
  <xdr:twoCellAnchor>
    <xdr:from>
      <xdr:col>1</xdr:col>
      <xdr:colOff>155575</xdr:colOff>
      <xdr:row>6</xdr:row>
      <xdr:rowOff>127000</xdr:rowOff>
    </xdr:from>
    <xdr:to>
      <xdr:col>4</xdr:col>
      <xdr:colOff>80433</xdr:colOff>
      <xdr:row>8</xdr:row>
      <xdr:rowOff>52918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CBAB5B76-D60F-436F-A7D9-72587DD84D29}"/>
            </a:ext>
          </a:extLst>
        </xdr:cNvPr>
        <xdr:cNvSpPr/>
      </xdr:nvSpPr>
      <xdr:spPr>
        <a:xfrm>
          <a:off x="335492" y="984250"/>
          <a:ext cx="464608" cy="243418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21</xdr:col>
      <xdr:colOff>34924</xdr:colOff>
      <xdr:row>7</xdr:row>
      <xdr:rowOff>59267</xdr:rowOff>
    </xdr:from>
    <xdr:to>
      <xdr:col>23</xdr:col>
      <xdr:colOff>136524</xdr:colOff>
      <xdr:row>8</xdr:row>
      <xdr:rowOff>140760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89753D77-D4FA-4D3F-9BE3-A80BF39DA6B7}"/>
            </a:ext>
          </a:extLst>
        </xdr:cNvPr>
        <xdr:cNvSpPr/>
      </xdr:nvSpPr>
      <xdr:spPr>
        <a:xfrm>
          <a:off x="3813174" y="1075267"/>
          <a:ext cx="461433" cy="24024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</xdr:col>
      <xdr:colOff>95250</xdr:colOff>
      <xdr:row>11</xdr:row>
      <xdr:rowOff>69849</xdr:rowOff>
    </xdr:from>
    <xdr:to>
      <xdr:col>4</xdr:col>
      <xdr:colOff>13758</xdr:colOff>
      <xdr:row>12</xdr:row>
      <xdr:rowOff>151342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204CEC74-10F1-4FC3-9C11-1A6B791361E4}"/>
            </a:ext>
          </a:extLst>
        </xdr:cNvPr>
        <xdr:cNvSpPr/>
      </xdr:nvSpPr>
      <xdr:spPr>
        <a:xfrm>
          <a:off x="275167" y="1752599"/>
          <a:ext cx="458258" cy="24024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12</xdr:col>
      <xdr:colOff>45508</xdr:colOff>
      <xdr:row>11</xdr:row>
      <xdr:rowOff>67733</xdr:rowOff>
    </xdr:from>
    <xdr:to>
      <xdr:col>14</xdr:col>
      <xdr:colOff>147108</xdr:colOff>
      <xdr:row>12</xdr:row>
      <xdr:rowOff>155576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DB1EE322-BE2B-43CB-AD6C-7F0A794E72B6}"/>
            </a:ext>
          </a:extLst>
        </xdr:cNvPr>
        <xdr:cNvSpPr/>
      </xdr:nvSpPr>
      <xdr:spPr>
        <a:xfrm>
          <a:off x="2204508" y="1750483"/>
          <a:ext cx="461433" cy="24659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21</xdr:col>
      <xdr:colOff>48683</xdr:colOff>
      <xdr:row>11</xdr:row>
      <xdr:rowOff>42333</xdr:rowOff>
    </xdr:from>
    <xdr:to>
      <xdr:col>23</xdr:col>
      <xdr:colOff>143933</xdr:colOff>
      <xdr:row>12</xdr:row>
      <xdr:rowOff>127001</xdr:rowOff>
    </xdr:to>
    <xdr:sp macro="" textlink="">
      <xdr:nvSpPr>
        <xdr:cNvPr id="25" name="正方形/長方形 24">
          <a:extLst>
            <a:ext uri="{FF2B5EF4-FFF2-40B4-BE49-F238E27FC236}">
              <a16:creationId xmlns:a16="http://schemas.microsoft.com/office/drawing/2014/main" id="{772E6FC2-794E-47B7-953D-CD9C1537E62F}"/>
            </a:ext>
          </a:extLst>
        </xdr:cNvPr>
        <xdr:cNvSpPr/>
      </xdr:nvSpPr>
      <xdr:spPr>
        <a:xfrm>
          <a:off x="3826933" y="1725083"/>
          <a:ext cx="455083" cy="243418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30</xdr:col>
      <xdr:colOff>98425</xdr:colOff>
      <xdr:row>11</xdr:row>
      <xdr:rowOff>109008</xdr:rowOff>
    </xdr:from>
    <xdr:to>
      <xdr:col>33</xdr:col>
      <xdr:colOff>23283</xdr:colOff>
      <xdr:row>12</xdr:row>
      <xdr:rowOff>196851</xdr:rowOff>
    </xdr:to>
    <xdr:sp macro="" textlink="">
      <xdr:nvSpPr>
        <xdr:cNvPr id="30" name="正方形/長方形 29">
          <a:extLst>
            <a:ext uri="{FF2B5EF4-FFF2-40B4-BE49-F238E27FC236}">
              <a16:creationId xmlns:a16="http://schemas.microsoft.com/office/drawing/2014/main" id="{24A1FE9C-A8A4-426E-BF47-AFC0DFDCE137}"/>
            </a:ext>
          </a:extLst>
        </xdr:cNvPr>
        <xdr:cNvSpPr/>
      </xdr:nvSpPr>
      <xdr:spPr>
        <a:xfrm>
          <a:off x="5495925" y="1791758"/>
          <a:ext cx="464608" cy="24659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1.6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0</xdr:col>
      <xdr:colOff>120650</xdr:colOff>
      <xdr:row>4</xdr:row>
      <xdr:rowOff>123825</xdr:rowOff>
    </xdr:from>
    <xdr:to>
      <xdr:col>10</xdr:col>
      <xdr:colOff>10584</xdr:colOff>
      <xdr:row>6</xdr:row>
      <xdr:rowOff>66675</xdr:rowOff>
    </xdr:to>
    <xdr:sp macro="" textlink="">
      <xdr:nvSpPr>
        <xdr:cNvPr id="32" name="線吹き出し 1 (枠付き) 12">
          <a:extLst>
            <a:ext uri="{FF2B5EF4-FFF2-40B4-BE49-F238E27FC236}">
              <a16:creationId xmlns:a16="http://schemas.microsoft.com/office/drawing/2014/main" id="{B6FEE12B-E19B-4340-BA21-D3090BA8464B}"/>
            </a:ext>
          </a:extLst>
        </xdr:cNvPr>
        <xdr:cNvSpPr/>
      </xdr:nvSpPr>
      <xdr:spPr>
        <a:xfrm>
          <a:off x="120650" y="642408"/>
          <a:ext cx="1689101" cy="281517"/>
        </a:xfrm>
        <a:prstGeom prst="borderCallout1">
          <a:avLst>
            <a:gd name="adj1" fmla="val 99600"/>
            <a:gd name="adj2" fmla="val 1511"/>
            <a:gd name="adj3" fmla="val 163253"/>
            <a:gd name="adj4" fmla="val 7665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．環境証明書申請検索</a:t>
          </a:r>
        </a:p>
      </xdr:txBody>
    </xdr:sp>
    <xdr:clientData/>
  </xdr:twoCellAnchor>
  <xdr:twoCellAnchor>
    <xdr:from>
      <xdr:col>0</xdr:col>
      <xdr:colOff>178859</xdr:colOff>
      <xdr:row>6</xdr:row>
      <xdr:rowOff>130177</xdr:rowOff>
    </xdr:from>
    <xdr:to>
      <xdr:col>51</xdr:col>
      <xdr:colOff>143934</xdr:colOff>
      <xdr:row>17</xdr:row>
      <xdr:rowOff>95250</xdr:rowOff>
    </xdr:to>
    <xdr:sp macro="" textlink="">
      <xdr:nvSpPr>
        <xdr:cNvPr id="33" name="角丸四角形 78">
          <a:extLst>
            <a:ext uri="{FF2B5EF4-FFF2-40B4-BE49-F238E27FC236}">
              <a16:creationId xmlns:a16="http://schemas.microsoft.com/office/drawing/2014/main" id="{FCC34BC7-86DA-44E9-A1B5-7D09D5F73981}"/>
            </a:ext>
          </a:extLst>
        </xdr:cNvPr>
        <xdr:cNvSpPr/>
      </xdr:nvSpPr>
      <xdr:spPr>
        <a:xfrm>
          <a:off x="178859" y="987427"/>
          <a:ext cx="9140825" cy="1785406"/>
        </a:xfrm>
        <a:prstGeom prst="roundRect">
          <a:avLst/>
        </a:prstGeom>
        <a:noFill/>
        <a:ln w="63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40</xdr:col>
      <xdr:colOff>151341</xdr:colOff>
      <xdr:row>11</xdr:row>
      <xdr:rowOff>92074</xdr:rowOff>
    </xdr:from>
    <xdr:to>
      <xdr:col>43</xdr:col>
      <xdr:colOff>69849</xdr:colOff>
      <xdr:row>12</xdr:row>
      <xdr:rowOff>179917</xdr:rowOff>
    </xdr:to>
    <xdr:sp macro="" textlink="">
      <xdr:nvSpPr>
        <xdr:cNvPr id="44" name="正方形/長方形 43">
          <a:extLst>
            <a:ext uri="{FF2B5EF4-FFF2-40B4-BE49-F238E27FC236}">
              <a16:creationId xmlns:a16="http://schemas.microsoft.com/office/drawing/2014/main" id="{1FACCA63-B621-4FF2-A27B-EA2037F9315F}"/>
            </a:ext>
          </a:extLst>
        </xdr:cNvPr>
        <xdr:cNvSpPr/>
      </xdr:nvSpPr>
      <xdr:spPr>
        <a:xfrm>
          <a:off x="7348008" y="1774824"/>
          <a:ext cx="458258" cy="24659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1.7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23</xdr:col>
      <xdr:colOff>178859</xdr:colOff>
      <xdr:row>7</xdr:row>
      <xdr:rowOff>74084</xdr:rowOff>
    </xdr:from>
    <xdr:to>
      <xdr:col>40</xdr:col>
      <xdr:colOff>8239</xdr:colOff>
      <xdr:row>10</xdr:row>
      <xdr:rowOff>86246</xdr:rowOff>
    </xdr:to>
    <xdr:grpSp>
      <xdr:nvGrpSpPr>
        <xdr:cNvPr id="74" name="グループ化 73">
          <a:extLst>
            <a:ext uri="{FF2B5EF4-FFF2-40B4-BE49-F238E27FC236}">
              <a16:creationId xmlns:a16="http://schemas.microsoft.com/office/drawing/2014/main" id="{900C5CE3-0846-AE12-5BEE-3355F250A908}"/>
            </a:ext>
          </a:extLst>
        </xdr:cNvPr>
        <xdr:cNvGrpSpPr/>
      </xdr:nvGrpSpPr>
      <xdr:grpSpPr>
        <a:xfrm>
          <a:off x="4320117" y="1090084"/>
          <a:ext cx="2887964" cy="516987"/>
          <a:chOff x="4316942" y="1090084"/>
          <a:chExt cx="2887964" cy="520162"/>
        </a:xfrm>
      </xdr:grpSpPr>
      <xdr:pic>
        <xdr:nvPicPr>
          <xdr:cNvPr id="71" name="図 70">
            <a:extLst>
              <a:ext uri="{FF2B5EF4-FFF2-40B4-BE49-F238E27FC236}">
                <a16:creationId xmlns:a16="http://schemas.microsoft.com/office/drawing/2014/main" id="{E34C43D5-125B-44A3-AAC2-AD539A04CB01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3"/>
          <a:srcRect l="31114" b="2218"/>
          <a:stretch>
            <a:fillRect/>
          </a:stretch>
        </xdr:blipFill>
        <xdr:spPr>
          <a:xfrm>
            <a:off x="4780491" y="1090084"/>
            <a:ext cx="2424415" cy="520162"/>
          </a:xfrm>
          <a:prstGeom prst="rect">
            <a:avLst/>
          </a:prstGeom>
        </xdr:spPr>
      </xdr:pic>
      <xdr:sp macro="" textlink="">
        <xdr:nvSpPr>
          <xdr:cNvPr id="72" name="四角形: 角を丸くする 71">
            <a:extLst>
              <a:ext uri="{FF2B5EF4-FFF2-40B4-BE49-F238E27FC236}">
                <a16:creationId xmlns:a16="http://schemas.microsoft.com/office/drawing/2014/main" id="{C4746879-E27E-B7F8-2B6B-BE325F0946BC}"/>
              </a:ext>
            </a:extLst>
          </xdr:cNvPr>
          <xdr:cNvSpPr/>
        </xdr:nvSpPr>
        <xdr:spPr>
          <a:xfrm>
            <a:off x="4316942" y="1139825"/>
            <a:ext cx="483658" cy="179916"/>
          </a:xfrm>
          <a:prstGeom prst="roundRect">
            <a:avLst/>
          </a:prstGeom>
          <a:solidFill>
            <a:schemeClr val="bg1"/>
          </a:solidFill>
          <a:ln w="12700"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lIns="36000" tIns="36000" rIns="36000" bIns="36000" rtlCol="0" anchor="ctr"/>
          <a:lstStyle/>
          <a:p>
            <a:pPr algn="ctr">
              <a:lnSpc>
                <a:spcPts val="900"/>
              </a:lnSpc>
            </a:pPr>
            <a:r>
              <a:rPr kumimoji="1" lang="ja-JP" altLang="en-US" sz="700" b="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申請日</a:t>
            </a:r>
          </a:p>
        </xdr:txBody>
      </xdr:sp>
    </xdr:grpSp>
    <xdr:clientData/>
  </xdr:twoCellAnchor>
  <xdr:twoCellAnchor>
    <xdr:from>
      <xdr:col>23</xdr:col>
      <xdr:colOff>158752</xdr:colOff>
      <xdr:row>7</xdr:row>
      <xdr:rowOff>10583</xdr:rowOff>
    </xdr:from>
    <xdr:to>
      <xdr:col>39</xdr:col>
      <xdr:colOff>179916</xdr:colOff>
      <xdr:row>10</xdr:row>
      <xdr:rowOff>127000</xdr:rowOff>
    </xdr:to>
    <xdr:sp macro="" textlink="">
      <xdr:nvSpPr>
        <xdr:cNvPr id="73" name="角丸四角形 78">
          <a:extLst>
            <a:ext uri="{FF2B5EF4-FFF2-40B4-BE49-F238E27FC236}">
              <a16:creationId xmlns:a16="http://schemas.microsoft.com/office/drawing/2014/main" id="{4F6F327E-641B-4E67-9311-B2ABC006097A}"/>
            </a:ext>
          </a:extLst>
        </xdr:cNvPr>
        <xdr:cNvSpPr/>
      </xdr:nvSpPr>
      <xdr:spPr>
        <a:xfrm>
          <a:off x="4296835" y="1026583"/>
          <a:ext cx="2899831" cy="624417"/>
        </a:xfrm>
        <a:prstGeom prst="roundRect">
          <a:avLst/>
        </a:prstGeom>
        <a:noFill/>
        <a:ln w="6350">
          <a:solidFill>
            <a:srgbClr val="0066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36</xdr:col>
      <xdr:colOff>66675</xdr:colOff>
      <xdr:row>16</xdr:row>
      <xdr:rowOff>46566</xdr:rowOff>
    </xdr:from>
    <xdr:to>
      <xdr:col>38</xdr:col>
      <xdr:colOff>165100</xdr:colOff>
      <xdr:row>17</xdr:row>
      <xdr:rowOff>98426</xdr:rowOff>
    </xdr:to>
    <xdr:sp macro="" textlink="">
      <xdr:nvSpPr>
        <xdr:cNvPr id="75" name="正方形/長方形 74">
          <a:extLst>
            <a:ext uri="{FF2B5EF4-FFF2-40B4-BE49-F238E27FC236}">
              <a16:creationId xmlns:a16="http://schemas.microsoft.com/office/drawing/2014/main" id="{DFFC0944-0786-4D45-94A9-B3591E65F9D5}"/>
            </a:ext>
          </a:extLst>
        </xdr:cNvPr>
        <xdr:cNvSpPr/>
      </xdr:nvSpPr>
      <xdr:spPr>
        <a:xfrm>
          <a:off x="6543675" y="2713566"/>
          <a:ext cx="458258" cy="25294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1.8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57149</xdr:colOff>
      <xdr:row>6</xdr:row>
      <xdr:rowOff>38099</xdr:rowOff>
    </xdr:from>
    <xdr:to>
      <xdr:col>11</xdr:col>
      <xdr:colOff>76200</xdr:colOff>
      <xdr:row>7</xdr:row>
      <xdr:rowOff>28575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682C95B8-3F7A-4DAF-8268-80394F26F700}"/>
            </a:ext>
          </a:extLst>
        </xdr:cNvPr>
        <xdr:cNvSpPr/>
      </xdr:nvSpPr>
      <xdr:spPr>
        <a:xfrm>
          <a:off x="1685924" y="1952624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38100</xdr:colOff>
      <xdr:row>7</xdr:row>
      <xdr:rowOff>101600</xdr:rowOff>
    </xdr:from>
    <xdr:to>
      <xdr:col>10</xdr:col>
      <xdr:colOff>142875</xdr:colOff>
      <xdr:row>8</xdr:row>
      <xdr:rowOff>238125</xdr:rowOff>
    </xdr:to>
    <xdr:sp macro="" textlink="">
      <xdr:nvSpPr>
        <xdr:cNvPr id="3" name="線吹き出し 1 (枠付き) 12">
          <a:extLst>
            <a:ext uri="{FF2B5EF4-FFF2-40B4-BE49-F238E27FC236}">
              <a16:creationId xmlns:a16="http://schemas.microsoft.com/office/drawing/2014/main" id="{FC62FF29-570F-4F9B-9C2F-47B0304FC114}"/>
            </a:ext>
          </a:extLst>
        </xdr:cNvPr>
        <xdr:cNvSpPr/>
      </xdr:nvSpPr>
      <xdr:spPr>
        <a:xfrm>
          <a:off x="762000" y="2263775"/>
          <a:ext cx="1190625" cy="298450"/>
        </a:xfrm>
        <a:prstGeom prst="borderCallout1">
          <a:avLst>
            <a:gd name="adj1" fmla="val -4247"/>
            <a:gd name="adj2" fmla="val 28737"/>
            <a:gd name="adj3" fmla="val -21310"/>
            <a:gd name="adj4" fmla="val 882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．パンくずリストエリア</a:t>
          </a:r>
        </a:p>
      </xdr:txBody>
    </xdr:sp>
    <xdr:clientData/>
  </xdr:twoCellAnchor>
  <xdr:twoCellAnchor>
    <xdr:from>
      <xdr:col>30</xdr:col>
      <xdr:colOff>142874</xdr:colOff>
      <xdr:row>25</xdr:row>
      <xdr:rowOff>57149</xdr:rowOff>
    </xdr:from>
    <xdr:to>
      <xdr:col>42</xdr:col>
      <xdr:colOff>2023</xdr:colOff>
      <xdr:row>27</xdr:row>
      <xdr:rowOff>75314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9766FC07-CA38-4B27-997B-CDB3BC3C700C}"/>
            </a:ext>
          </a:extLst>
        </xdr:cNvPr>
        <xdr:cNvSpPr/>
      </xdr:nvSpPr>
      <xdr:spPr>
        <a:xfrm>
          <a:off x="5572124" y="5267324"/>
          <a:ext cx="2030849" cy="342015"/>
        </a:xfrm>
        <a:prstGeom prst="rect">
          <a:avLst/>
        </a:prstGeom>
        <a:solidFill>
          <a:srgbClr val="002879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ja-JP" sz="1000" kern="12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化学物質データ画面</a:t>
          </a:r>
          <a:r>
            <a:rPr kumimoji="1" lang="ja-JP" altLang="en-US" sz="1000" kern="12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へ戻る</a:t>
          </a:r>
          <a:endParaRPr lang="ja-JP" altLang="en-US" sz="500" b="1">
            <a:solidFill>
              <a:schemeClr val="bg1"/>
            </a:solidFill>
          </a:endParaRPr>
        </a:p>
      </xdr:txBody>
    </xdr:sp>
    <xdr:clientData/>
  </xdr:twoCellAnchor>
  <xdr:twoCellAnchor>
    <xdr:from>
      <xdr:col>33</xdr:col>
      <xdr:colOff>15875</xdr:colOff>
      <xdr:row>47</xdr:row>
      <xdr:rowOff>149225</xdr:rowOff>
    </xdr:from>
    <xdr:to>
      <xdr:col>42</xdr:col>
      <xdr:colOff>161006</xdr:colOff>
      <xdr:row>49</xdr:row>
      <xdr:rowOff>160732</xdr:rowOff>
    </xdr:to>
    <xdr:sp macro="" textlink="">
      <xdr:nvSpPr>
        <xdr:cNvPr id="40" name="正方形/長方形 39">
          <a:extLst>
            <a:ext uri="{FF2B5EF4-FFF2-40B4-BE49-F238E27FC236}">
              <a16:creationId xmlns:a16="http://schemas.microsoft.com/office/drawing/2014/main" id="{39B9BB04-0DAE-4545-AECB-09620800F276}"/>
            </a:ext>
          </a:extLst>
        </xdr:cNvPr>
        <xdr:cNvSpPr/>
      </xdr:nvSpPr>
      <xdr:spPr>
        <a:xfrm>
          <a:off x="5988050" y="8921750"/>
          <a:ext cx="1773906" cy="335357"/>
        </a:xfrm>
        <a:prstGeom prst="rect">
          <a:avLst/>
        </a:prstGeom>
        <a:solidFill>
          <a:srgbClr val="002879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ja-JP" sz="900" b="1">
              <a:solidFill>
                <a:schemeClr val="bg1"/>
              </a:solidFill>
            </a:rPr>
            <a:t>Back to  </a:t>
          </a:r>
        </a:p>
        <a:p>
          <a:pPr algn="ctr"/>
          <a:r>
            <a:rPr lang="en-US" altLang="ja-JP" sz="900" b="1">
              <a:solidFill>
                <a:schemeClr val="bg1"/>
              </a:solidFill>
            </a:rPr>
            <a:t>Application List to the Page </a:t>
          </a:r>
          <a:endParaRPr lang="ja-JP" altLang="en-US" sz="900" b="1">
            <a:solidFill>
              <a:schemeClr val="bg1"/>
            </a:solidFill>
          </a:endParaRPr>
        </a:p>
      </xdr:txBody>
    </xdr:sp>
    <xdr:clientData/>
  </xdr:twoCellAnchor>
  <xdr:twoCellAnchor>
    <xdr:from>
      <xdr:col>11</xdr:col>
      <xdr:colOff>66675</xdr:colOff>
      <xdr:row>12</xdr:row>
      <xdr:rowOff>19050</xdr:rowOff>
    </xdr:from>
    <xdr:to>
      <xdr:col>13</xdr:col>
      <xdr:colOff>85726</xdr:colOff>
      <xdr:row>13</xdr:row>
      <xdr:rowOff>114301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C6BCEC27-BD69-4027-BA0C-ED9150F8E4F7}"/>
            </a:ext>
          </a:extLst>
        </xdr:cNvPr>
        <xdr:cNvSpPr/>
      </xdr:nvSpPr>
      <xdr:spPr>
        <a:xfrm>
          <a:off x="2057400" y="3124200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</xdr:col>
      <xdr:colOff>158750</xdr:colOff>
      <xdr:row>13</xdr:row>
      <xdr:rowOff>139701</xdr:rowOff>
    </xdr:from>
    <xdr:to>
      <xdr:col>11</xdr:col>
      <xdr:colOff>114300</xdr:colOff>
      <xdr:row>15</xdr:row>
      <xdr:rowOff>1</xdr:rowOff>
    </xdr:to>
    <xdr:sp macro="" textlink="">
      <xdr:nvSpPr>
        <xdr:cNvPr id="43" name="角丸四角形 41">
          <a:extLst>
            <a:ext uri="{FF2B5EF4-FFF2-40B4-BE49-F238E27FC236}">
              <a16:creationId xmlns:a16="http://schemas.microsoft.com/office/drawing/2014/main" id="{360E833A-D559-42F9-A91B-98C48037E0CD}"/>
            </a:ext>
          </a:extLst>
        </xdr:cNvPr>
        <xdr:cNvSpPr/>
      </xdr:nvSpPr>
      <xdr:spPr>
        <a:xfrm>
          <a:off x="520700" y="3406776"/>
          <a:ext cx="1584325" cy="1841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6351</xdr:colOff>
      <xdr:row>19</xdr:row>
      <xdr:rowOff>38101</xdr:rowOff>
    </xdr:from>
    <xdr:to>
      <xdr:col>15</xdr:col>
      <xdr:colOff>28576</xdr:colOff>
      <xdr:row>20</xdr:row>
      <xdr:rowOff>9526</xdr:rowOff>
    </xdr:to>
    <xdr:sp macro="" textlink="">
      <xdr:nvSpPr>
        <xdr:cNvPr id="55" name="角丸四角形 58">
          <a:extLst>
            <a:ext uri="{FF2B5EF4-FFF2-40B4-BE49-F238E27FC236}">
              <a16:creationId xmlns:a16="http://schemas.microsoft.com/office/drawing/2014/main" id="{E0AEB866-6771-4F40-B3F7-EA614D054CD0}"/>
            </a:ext>
          </a:extLst>
        </xdr:cNvPr>
        <xdr:cNvSpPr/>
      </xdr:nvSpPr>
      <xdr:spPr>
        <a:xfrm>
          <a:off x="1454151" y="4276726"/>
          <a:ext cx="1289050" cy="1333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76200</xdr:colOff>
      <xdr:row>17</xdr:row>
      <xdr:rowOff>6351</xdr:rowOff>
    </xdr:from>
    <xdr:to>
      <xdr:col>15</xdr:col>
      <xdr:colOff>66675</xdr:colOff>
      <xdr:row>17</xdr:row>
      <xdr:rowOff>152401</xdr:rowOff>
    </xdr:to>
    <xdr:sp macro="" textlink="">
      <xdr:nvSpPr>
        <xdr:cNvPr id="56" name="角丸四角形 58">
          <a:extLst>
            <a:ext uri="{FF2B5EF4-FFF2-40B4-BE49-F238E27FC236}">
              <a16:creationId xmlns:a16="http://schemas.microsoft.com/office/drawing/2014/main" id="{44F47F0F-5E8D-4EA9-BEA5-C55400866A20}"/>
            </a:ext>
          </a:extLst>
        </xdr:cNvPr>
        <xdr:cNvSpPr/>
      </xdr:nvSpPr>
      <xdr:spPr>
        <a:xfrm>
          <a:off x="619125" y="3921126"/>
          <a:ext cx="2162175" cy="1460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66675</xdr:colOff>
      <xdr:row>18</xdr:row>
      <xdr:rowOff>0</xdr:rowOff>
    </xdr:from>
    <xdr:to>
      <xdr:col>18</xdr:col>
      <xdr:colOff>154779</xdr:colOff>
      <xdr:row>19</xdr:row>
      <xdr:rowOff>20864</xdr:rowOff>
    </xdr:to>
    <xdr:sp macro="" textlink="">
      <xdr:nvSpPr>
        <xdr:cNvPr id="57" name="角丸四角形 58">
          <a:extLst>
            <a:ext uri="{FF2B5EF4-FFF2-40B4-BE49-F238E27FC236}">
              <a16:creationId xmlns:a16="http://schemas.microsoft.com/office/drawing/2014/main" id="{E8042404-88B8-44CD-B2E1-A05D1B80AC62}"/>
            </a:ext>
          </a:extLst>
        </xdr:cNvPr>
        <xdr:cNvSpPr/>
      </xdr:nvSpPr>
      <xdr:spPr>
        <a:xfrm>
          <a:off x="609600" y="4076700"/>
          <a:ext cx="2802729" cy="182789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10</xdr:col>
      <xdr:colOff>171450</xdr:colOff>
      <xdr:row>19</xdr:row>
      <xdr:rowOff>152400</xdr:rowOff>
    </xdr:from>
    <xdr:to>
      <xdr:col>13</xdr:col>
      <xdr:colOff>9526</xdr:colOff>
      <xdr:row>21</xdr:row>
      <xdr:rowOff>85726</xdr:rowOff>
    </xdr:to>
    <xdr:sp macro="" textlink="">
      <xdr:nvSpPr>
        <xdr:cNvPr id="58" name="正方形/長方形 57">
          <a:extLst>
            <a:ext uri="{FF2B5EF4-FFF2-40B4-BE49-F238E27FC236}">
              <a16:creationId xmlns:a16="http://schemas.microsoft.com/office/drawing/2014/main" id="{3DCFDCC0-C5BE-4741-8FD2-DB85EDD0EDD3}"/>
            </a:ext>
          </a:extLst>
        </xdr:cNvPr>
        <xdr:cNvSpPr/>
      </xdr:nvSpPr>
      <xdr:spPr>
        <a:xfrm>
          <a:off x="1981200" y="4391025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15</xdr:col>
      <xdr:colOff>85725</xdr:colOff>
      <xdr:row>15</xdr:row>
      <xdr:rowOff>123825</xdr:rowOff>
    </xdr:from>
    <xdr:to>
      <xdr:col>17</xdr:col>
      <xdr:colOff>104776</xdr:colOff>
      <xdr:row>17</xdr:row>
      <xdr:rowOff>57151</xdr:rowOff>
    </xdr:to>
    <xdr:sp macro="" textlink="">
      <xdr:nvSpPr>
        <xdr:cNvPr id="59" name="正方形/長方形 58">
          <a:extLst>
            <a:ext uri="{FF2B5EF4-FFF2-40B4-BE49-F238E27FC236}">
              <a16:creationId xmlns:a16="http://schemas.microsoft.com/office/drawing/2014/main" id="{4E4C8E8D-C350-42DD-A024-9DC6A331D727}"/>
            </a:ext>
          </a:extLst>
        </xdr:cNvPr>
        <xdr:cNvSpPr/>
      </xdr:nvSpPr>
      <xdr:spPr>
        <a:xfrm>
          <a:off x="2800350" y="3714750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19</xdr:col>
      <xdr:colOff>9525</xdr:colOff>
      <xdr:row>17</xdr:row>
      <xdr:rowOff>47625</xdr:rowOff>
    </xdr:from>
    <xdr:to>
      <xdr:col>21</xdr:col>
      <xdr:colOff>28576</xdr:colOff>
      <xdr:row>18</xdr:row>
      <xdr:rowOff>142876</xdr:rowOff>
    </xdr:to>
    <xdr:sp macro="" textlink="">
      <xdr:nvSpPr>
        <xdr:cNvPr id="60" name="正方形/長方形 59">
          <a:extLst>
            <a:ext uri="{FF2B5EF4-FFF2-40B4-BE49-F238E27FC236}">
              <a16:creationId xmlns:a16="http://schemas.microsoft.com/office/drawing/2014/main" id="{F751E8F8-4521-45C1-BC19-B63DAEC078DC}"/>
            </a:ext>
          </a:extLst>
        </xdr:cNvPr>
        <xdr:cNvSpPr/>
      </xdr:nvSpPr>
      <xdr:spPr>
        <a:xfrm>
          <a:off x="3448050" y="3962400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29</xdr:col>
      <xdr:colOff>158750</xdr:colOff>
      <xdr:row>23</xdr:row>
      <xdr:rowOff>76200</xdr:rowOff>
    </xdr:from>
    <xdr:to>
      <xdr:col>31</xdr:col>
      <xdr:colOff>177801</xdr:colOff>
      <xdr:row>25</xdr:row>
      <xdr:rowOff>9526</xdr:rowOff>
    </xdr:to>
    <xdr:sp macro="" textlink="">
      <xdr:nvSpPr>
        <xdr:cNvPr id="61" name="正方形/長方形 60">
          <a:extLst>
            <a:ext uri="{FF2B5EF4-FFF2-40B4-BE49-F238E27FC236}">
              <a16:creationId xmlns:a16="http://schemas.microsoft.com/office/drawing/2014/main" id="{EC383D20-EA4A-4F0B-9A51-974E9BFF8FD0}"/>
            </a:ext>
          </a:extLst>
        </xdr:cNvPr>
        <xdr:cNvSpPr/>
      </xdr:nvSpPr>
      <xdr:spPr>
        <a:xfrm>
          <a:off x="5407025" y="4962525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11</xdr:col>
      <xdr:colOff>171450</xdr:colOff>
      <xdr:row>35</xdr:row>
      <xdr:rowOff>19050</xdr:rowOff>
    </xdr:from>
    <xdr:to>
      <xdr:col>14</xdr:col>
      <xdr:colOff>9526</xdr:colOff>
      <xdr:row>36</xdr:row>
      <xdr:rowOff>114301</xdr:rowOff>
    </xdr:to>
    <xdr:sp macro="" textlink="">
      <xdr:nvSpPr>
        <xdr:cNvPr id="62" name="正方形/長方形 61">
          <a:extLst>
            <a:ext uri="{FF2B5EF4-FFF2-40B4-BE49-F238E27FC236}">
              <a16:creationId xmlns:a16="http://schemas.microsoft.com/office/drawing/2014/main" id="{C7E6E9EF-BE92-4E64-B655-1E523806AEBD}"/>
            </a:ext>
          </a:extLst>
        </xdr:cNvPr>
        <xdr:cNvSpPr/>
      </xdr:nvSpPr>
      <xdr:spPr>
        <a:xfrm>
          <a:off x="2162175" y="6848475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</xdr:col>
      <xdr:colOff>28575</xdr:colOff>
      <xdr:row>36</xdr:row>
      <xdr:rowOff>139701</xdr:rowOff>
    </xdr:from>
    <xdr:to>
      <xdr:col>13</xdr:col>
      <xdr:colOff>38100</xdr:colOff>
      <xdr:row>38</xdr:row>
      <xdr:rowOff>9524</xdr:rowOff>
    </xdr:to>
    <xdr:sp macro="" textlink="">
      <xdr:nvSpPr>
        <xdr:cNvPr id="63" name="角丸四角形 41">
          <a:extLst>
            <a:ext uri="{FF2B5EF4-FFF2-40B4-BE49-F238E27FC236}">
              <a16:creationId xmlns:a16="http://schemas.microsoft.com/office/drawing/2014/main" id="{8C96DFB9-7331-495D-8099-C4CC9BD950A7}"/>
            </a:ext>
          </a:extLst>
        </xdr:cNvPr>
        <xdr:cNvSpPr/>
      </xdr:nvSpPr>
      <xdr:spPr>
        <a:xfrm>
          <a:off x="571500" y="7131051"/>
          <a:ext cx="1819275" cy="193673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</xdr:col>
      <xdr:colOff>57149</xdr:colOff>
      <xdr:row>42</xdr:row>
      <xdr:rowOff>38100</xdr:rowOff>
    </xdr:from>
    <xdr:to>
      <xdr:col>14</xdr:col>
      <xdr:colOff>142875</xdr:colOff>
      <xdr:row>43</xdr:row>
      <xdr:rowOff>9525</xdr:rowOff>
    </xdr:to>
    <xdr:sp macro="" textlink="">
      <xdr:nvSpPr>
        <xdr:cNvPr id="64" name="角丸四角形 58">
          <a:extLst>
            <a:ext uri="{FF2B5EF4-FFF2-40B4-BE49-F238E27FC236}">
              <a16:creationId xmlns:a16="http://schemas.microsoft.com/office/drawing/2014/main" id="{D8154431-9008-4B3D-9026-13FB17A5E48B}"/>
            </a:ext>
          </a:extLst>
        </xdr:cNvPr>
        <xdr:cNvSpPr/>
      </xdr:nvSpPr>
      <xdr:spPr>
        <a:xfrm>
          <a:off x="1323974" y="8001000"/>
          <a:ext cx="1352551" cy="1333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</xdr:col>
      <xdr:colOff>0</xdr:colOff>
      <xdr:row>40</xdr:row>
      <xdr:rowOff>6350</xdr:rowOff>
    </xdr:from>
    <xdr:to>
      <xdr:col>18</xdr:col>
      <xdr:colOff>152400</xdr:colOff>
      <xdr:row>41</xdr:row>
      <xdr:rowOff>9524</xdr:rowOff>
    </xdr:to>
    <xdr:sp macro="" textlink="">
      <xdr:nvSpPr>
        <xdr:cNvPr id="65" name="角丸四角形 58">
          <a:extLst>
            <a:ext uri="{FF2B5EF4-FFF2-40B4-BE49-F238E27FC236}">
              <a16:creationId xmlns:a16="http://schemas.microsoft.com/office/drawing/2014/main" id="{B9B92726-72C6-4AF7-882A-C1D44CA37A10}"/>
            </a:ext>
          </a:extLst>
        </xdr:cNvPr>
        <xdr:cNvSpPr/>
      </xdr:nvSpPr>
      <xdr:spPr>
        <a:xfrm>
          <a:off x="723900" y="7645400"/>
          <a:ext cx="2686050" cy="165099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171450</xdr:colOff>
      <xdr:row>40</xdr:row>
      <xdr:rowOff>158750</xdr:rowOff>
    </xdr:from>
    <xdr:to>
      <xdr:col>19</xdr:col>
      <xdr:colOff>78579</xdr:colOff>
      <xdr:row>42</xdr:row>
      <xdr:rowOff>20864</xdr:rowOff>
    </xdr:to>
    <xdr:sp macro="" textlink="">
      <xdr:nvSpPr>
        <xdr:cNvPr id="66" name="角丸四角形 58">
          <a:extLst>
            <a:ext uri="{FF2B5EF4-FFF2-40B4-BE49-F238E27FC236}">
              <a16:creationId xmlns:a16="http://schemas.microsoft.com/office/drawing/2014/main" id="{78F901D5-59F2-4CB7-BBC2-8C13605FCB48}"/>
            </a:ext>
          </a:extLst>
        </xdr:cNvPr>
        <xdr:cNvSpPr/>
      </xdr:nvSpPr>
      <xdr:spPr>
        <a:xfrm>
          <a:off x="714375" y="7797800"/>
          <a:ext cx="2802729" cy="185964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11</xdr:col>
      <xdr:colOff>92075</xdr:colOff>
      <xdr:row>42</xdr:row>
      <xdr:rowOff>152400</xdr:rowOff>
    </xdr:from>
    <xdr:to>
      <xdr:col>13</xdr:col>
      <xdr:colOff>114301</xdr:colOff>
      <xdr:row>44</xdr:row>
      <xdr:rowOff>85726</xdr:rowOff>
    </xdr:to>
    <xdr:sp macro="" textlink="">
      <xdr:nvSpPr>
        <xdr:cNvPr id="67" name="正方形/長方形 66">
          <a:extLst>
            <a:ext uri="{FF2B5EF4-FFF2-40B4-BE49-F238E27FC236}">
              <a16:creationId xmlns:a16="http://schemas.microsoft.com/office/drawing/2014/main" id="{142D7DDC-86C0-4BEA-86C4-91BFF70157AC}"/>
            </a:ext>
          </a:extLst>
        </xdr:cNvPr>
        <xdr:cNvSpPr/>
      </xdr:nvSpPr>
      <xdr:spPr>
        <a:xfrm>
          <a:off x="2082800" y="8115300"/>
          <a:ext cx="384176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15</xdr:col>
      <xdr:colOff>149225</xdr:colOff>
      <xdr:row>38</xdr:row>
      <xdr:rowOff>53975</xdr:rowOff>
    </xdr:from>
    <xdr:to>
      <xdr:col>17</xdr:col>
      <xdr:colOff>168276</xdr:colOff>
      <xdr:row>39</xdr:row>
      <xdr:rowOff>152401</xdr:rowOff>
    </xdr:to>
    <xdr:sp macro="" textlink="">
      <xdr:nvSpPr>
        <xdr:cNvPr id="68" name="正方形/長方形 67">
          <a:extLst>
            <a:ext uri="{FF2B5EF4-FFF2-40B4-BE49-F238E27FC236}">
              <a16:creationId xmlns:a16="http://schemas.microsoft.com/office/drawing/2014/main" id="{4E1CCB5D-8B31-45AD-A316-0C9F107A300B}"/>
            </a:ext>
          </a:extLst>
        </xdr:cNvPr>
        <xdr:cNvSpPr/>
      </xdr:nvSpPr>
      <xdr:spPr>
        <a:xfrm>
          <a:off x="2863850" y="7369175"/>
          <a:ext cx="381001" cy="26035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19</xdr:col>
      <xdr:colOff>114300</xdr:colOff>
      <xdr:row>40</xdr:row>
      <xdr:rowOff>47625</xdr:rowOff>
    </xdr:from>
    <xdr:to>
      <xdr:col>21</xdr:col>
      <xdr:colOff>133351</xdr:colOff>
      <xdr:row>41</xdr:row>
      <xdr:rowOff>142876</xdr:rowOff>
    </xdr:to>
    <xdr:sp macro="" textlink="">
      <xdr:nvSpPr>
        <xdr:cNvPr id="69" name="正方形/長方形 68">
          <a:extLst>
            <a:ext uri="{FF2B5EF4-FFF2-40B4-BE49-F238E27FC236}">
              <a16:creationId xmlns:a16="http://schemas.microsoft.com/office/drawing/2014/main" id="{2AA34BC8-0C7A-4670-B3C4-4758725A9255}"/>
            </a:ext>
          </a:extLst>
        </xdr:cNvPr>
        <xdr:cNvSpPr/>
      </xdr:nvSpPr>
      <xdr:spPr>
        <a:xfrm>
          <a:off x="3552825" y="7686675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30</xdr:col>
      <xdr:colOff>85725</xdr:colOff>
      <xdr:row>46</xdr:row>
      <xdr:rowOff>76200</xdr:rowOff>
    </xdr:from>
    <xdr:to>
      <xdr:col>32</xdr:col>
      <xdr:colOff>104776</xdr:colOff>
      <xdr:row>48</xdr:row>
      <xdr:rowOff>6351</xdr:rowOff>
    </xdr:to>
    <xdr:sp macro="" textlink="">
      <xdr:nvSpPr>
        <xdr:cNvPr id="70" name="正方形/長方形 69">
          <a:extLst>
            <a:ext uri="{FF2B5EF4-FFF2-40B4-BE49-F238E27FC236}">
              <a16:creationId xmlns:a16="http://schemas.microsoft.com/office/drawing/2014/main" id="{BDD42F0F-C81B-4378-81FB-6CF0CF5CC8AA}"/>
            </a:ext>
          </a:extLst>
        </xdr:cNvPr>
        <xdr:cNvSpPr/>
      </xdr:nvSpPr>
      <xdr:spPr>
        <a:xfrm>
          <a:off x="5514975" y="8686800"/>
          <a:ext cx="381001" cy="25400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50</xdr:col>
      <xdr:colOff>6810</xdr:colOff>
      <xdr:row>27</xdr:row>
      <xdr:rowOff>28575</xdr:rowOff>
    </xdr:from>
    <xdr:to>
      <xdr:col>51</xdr:col>
      <xdr:colOff>64407</xdr:colOff>
      <xdr:row>48</xdr:row>
      <xdr:rowOff>82550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22D51A07-AA28-471F-9428-E135A709E500}"/>
            </a:ext>
          </a:extLst>
        </xdr:cNvPr>
        <xdr:cNvGrpSpPr/>
      </xdr:nvGrpSpPr>
      <xdr:grpSpPr>
        <a:xfrm>
          <a:off x="9005818" y="4269317"/>
          <a:ext cx="237514" cy="3944408"/>
          <a:chOff x="9168639" y="1937727"/>
          <a:chExt cx="240770" cy="3921613"/>
        </a:xfrm>
      </xdr:grpSpPr>
      <xdr:pic>
        <xdr:nvPicPr>
          <xdr:cNvPr id="3" name="図 2">
            <a:extLst>
              <a:ext uri="{FF2B5EF4-FFF2-40B4-BE49-F238E27FC236}">
                <a16:creationId xmlns:a16="http://schemas.microsoft.com/office/drawing/2014/main" id="{1C27FA35-8E7A-E2B5-7316-02C7D9F61EE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 flipH="1">
            <a:off x="9177705" y="1937727"/>
            <a:ext cx="221273" cy="1291736"/>
          </a:xfrm>
          <a:prstGeom prst="rect">
            <a:avLst/>
          </a:prstGeom>
        </xdr:spPr>
      </xdr:pic>
      <xdr:pic>
        <xdr:nvPicPr>
          <xdr:cNvPr id="4" name="図 3">
            <a:extLst>
              <a:ext uri="{FF2B5EF4-FFF2-40B4-BE49-F238E27FC236}">
                <a16:creationId xmlns:a16="http://schemas.microsoft.com/office/drawing/2014/main" id="{1D6755EF-4035-AB4D-BFE2-8F13D6E4024D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"/>
          <a:srcRect l="1" t="75912" r="-1"/>
          <a:stretch>
            <a:fillRect/>
          </a:stretch>
        </xdr:blipFill>
        <xdr:spPr>
          <a:xfrm flipH="1">
            <a:off x="9190403" y="5543306"/>
            <a:ext cx="218098" cy="316034"/>
          </a:xfrm>
          <a:prstGeom prst="rect">
            <a:avLst/>
          </a:prstGeom>
        </xdr:spPr>
      </xdr:pic>
      <xdr:grpSp>
        <xdr:nvGrpSpPr>
          <xdr:cNvPr id="5" name="グループ化 4">
            <a:extLst>
              <a:ext uri="{FF2B5EF4-FFF2-40B4-BE49-F238E27FC236}">
                <a16:creationId xmlns:a16="http://schemas.microsoft.com/office/drawing/2014/main" id="{13EAAC30-A2CF-B212-96DE-1142EC724FB9}"/>
              </a:ext>
            </a:extLst>
          </xdr:cNvPr>
          <xdr:cNvGrpSpPr/>
        </xdr:nvGrpSpPr>
        <xdr:grpSpPr>
          <a:xfrm>
            <a:off x="9186778" y="4750047"/>
            <a:ext cx="219456" cy="814126"/>
            <a:chOff x="9212945" y="4758421"/>
            <a:chExt cx="219980" cy="824592"/>
          </a:xfrm>
        </xdr:grpSpPr>
        <xdr:grpSp>
          <xdr:nvGrpSpPr>
            <xdr:cNvPr id="20" name="グループ化 19">
              <a:extLst>
                <a:ext uri="{FF2B5EF4-FFF2-40B4-BE49-F238E27FC236}">
                  <a16:creationId xmlns:a16="http://schemas.microsoft.com/office/drawing/2014/main" id="{E429A228-323B-6B5B-8FD1-27CB2FB185D6}"/>
                </a:ext>
              </a:extLst>
            </xdr:cNvPr>
            <xdr:cNvGrpSpPr/>
          </xdr:nvGrpSpPr>
          <xdr:grpSpPr>
            <a:xfrm>
              <a:off x="9210676" y="5174341"/>
              <a:ext cx="225424" cy="408672"/>
              <a:chOff x="9210676" y="5174341"/>
              <a:chExt cx="225424" cy="408672"/>
            </a:xfrm>
          </xdr:grpSpPr>
          <xdr:pic>
            <xdr:nvPicPr>
              <xdr:cNvPr id="24" name="図 23">
                <a:extLst>
                  <a:ext uri="{FF2B5EF4-FFF2-40B4-BE49-F238E27FC236}">
                    <a16:creationId xmlns:a16="http://schemas.microsoft.com/office/drawing/2014/main" id="{66072BE3-A216-211E-18A7-450CBE1EDF32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25" name="図 24">
                <a:extLst>
                  <a:ext uri="{FF2B5EF4-FFF2-40B4-BE49-F238E27FC236}">
                    <a16:creationId xmlns:a16="http://schemas.microsoft.com/office/drawing/2014/main" id="{B4A33499-5660-74B9-D2FC-D4545091A0B6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  <xdr:grpSp>
          <xdr:nvGrpSpPr>
            <xdr:cNvPr id="21" name="グループ化 20">
              <a:extLst>
                <a:ext uri="{FF2B5EF4-FFF2-40B4-BE49-F238E27FC236}">
                  <a16:creationId xmlns:a16="http://schemas.microsoft.com/office/drawing/2014/main" id="{C188D055-A610-687F-06D6-0432840D1FFD}"/>
                </a:ext>
              </a:extLst>
            </xdr:cNvPr>
            <xdr:cNvGrpSpPr/>
          </xdr:nvGrpSpPr>
          <xdr:grpSpPr>
            <a:xfrm>
              <a:off x="9216120" y="4755246"/>
              <a:ext cx="209549" cy="418197"/>
              <a:chOff x="9210676" y="5174341"/>
              <a:chExt cx="225424" cy="408672"/>
            </a:xfrm>
          </xdr:grpSpPr>
          <xdr:pic>
            <xdr:nvPicPr>
              <xdr:cNvPr id="22" name="図 21">
                <a:extLst>
                  <a:ext uri="{FF2B5EF4-FFF2-40B4-BE49-F238E27FC236}">
                    <a16:creationId xmlns:a16="http://schemas.microsoft.com/office/drawing/2014/main" id="{32D4B2D6-219B-E94C-5AA7-AD0C8865E113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23" name="図 22">
                <a:extLst>
                  <a:ext uri="{FF2B5EF4-FFF2-40B4-BE49-F238E27FC236}">
                    <a16:creationId xmlns:a16="http://schemas.microsoft.com/office/drawing/2014/main" id="{AADFED9A-F582-8DD3-7229-1832A7659F3A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</xdr:grpSp>
      <xdr:grpSp>
        <xdr:nvGrpSpPr>
          <xdr:cNvPr id="6" name="グループ化 5">
            <a:extLst>
              <a:ext uri="{FF2B5EF4-FFF2-40B4-BE49-F238E27FC236}">
                <a16:creationId xmlns:a16="http://schemas.microsoft.com/office/drawing/2014/main" id="{99F34CD1-CD94-622A-624C-21A7B60EDE76}"/>
              </a:ext>
            </a:extLst>
          </xdr:cNvPr>
          <xdr:cNvGrpSpPr/>
        </xdr:nvGrpSpPr>
        <xdr:grpSpPr>
          <a:xfrm>
            <a:off x="9175896" y="3940040"/>
            <a:ext cx="235331" cy="817718"/>
            <a:chOff x="9212945" y="4758421"/>
            <a:chExt cx="219980" cy="824592"/>
          </a:xfrm>
        </xdr:grpSpPr>
        <xdr:grpSp>
          <xdr:nvGrpSpPr>
            <xdr:cNvPr id="14" name="グループ化 13">
              <a:extLst>
                <a:ext uri="{FF2B5EF4-FFF2-40B4-BE49-F238E27FC236}">
                  <a16:creationId xmlns:a16="http://schemas.microsoft.com/office/drawing/2014/main" id="{39840EC7-316A-521E-34F9-84357CAB7C94}"/>
                </a:ext>
              </a:extLst>
            </xdr:cNvPr>
            <xdr:cNvGrpSpPr/>
          </xdr:nvGrpSpPr>
          <xdr:grpSpPr>
            <a:xfrm>
              <a:off x="9210676" y="5174341"/>
              <a:ext cx="225424" cy="408672"/>
              <a:chOff x="9210676" y="5174341"/>
              <a:chExt cx="225424" cy="408672"/>
            </a:xfrm>
          </xdr:grpSpPr>
          <xdr:pic>
            <xdr:nvPicPr>
              <xdr:cNvPr id="18" name="図 17">
                <a:extLst>
                  <a:ext uri="{FF2B5EF4-FFF2-40B4-BE49-F238E27FC236}">
                    <a16:creationId xmlns:a16="http://schemas.microsoft.com/office/drawing/2014/main" id="{0638610C-04BC-C753-9167-94E4A1EE2BBD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19" name="図 18">
                <a:extLst>
                  <a:ext uri="{FF2B5EF4-FFF2-40B4-BE49-F238E27FC236}">
                    <a16:creationId xmlns:a16="http://schemas.microsoft.com/office/drawing/2014/main" id="{6FD0442F-F6C2-5209-DC83-0D4FC63925C8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  <xdr:grpSp>
          <xdr:nvGrpSpPr>
            <xdr:cNvPr id="15" name="グループ化 14">
              <a:extLst>
                <a:ext uri="{FF2B5EF4-FFF2-40B4-BE49-F238E27FC236}">
                  <a16:creationId xmlns:a16="http://schemas.microsoft.com/office/drawing/2014/main" id="{6E366654-64C6-339C-114B-FDD3772BF3E2}"/>
                </a:ext>
              </a:extLst>
            </xdr:cNvPr>
            <xdr:cNvGrpSpPr/>
          </xdr:nvGrpSpPr>
          <xdr:grpSpPr>
            <a:xfrm>
              <a:off x="9216120" y="4755246"/>
              <a:ext cx="209549" cy="418197"/>
              <a:chOff x="9210676" y="5174341"/>
              <a:chExt cx="225424" cy="408672"/>
            </a:xfrm>
          </xdr:grpSpPr>
          <xdr:pic>
            <xdr:nvPicPr>
              <xdr:cNvPr id="16" name="図 15">
                <a:extLst>
                  <a:ext uri="{FF2B5EF4-FFF2-40B4-BE49-F238E27FC236}">
                    <a16:creationId xmlns:a16="http://schemas.microsoft.com/office/drawing/2014/main" id="{F1215C45-4519-CB8C-8B22-388D3F21389C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17" name="図 16">
                <a:extLst>
                  <a:ext uri="{FF2B5EF4-FFF2-40B4-BE49-F238E27FC236}">
                    <a16:creationId xmlns:a16="http://schemas.microsoft.com/office/drawing/2014/main" id="{0D78208B-92DC-51A9-EC93-0B44C23D4749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</xdr:grpSp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60956FE8-0BC1-2712-D688-A0C7745DBAC0}"/>
              </a:ext>
            </a:extLst>
          </xdr:cNvPr>
          <xdr:cNvGrpSpPr/>
        </xdr:nvGrpSpPr>
        <xdr:grpSpPr>
          <a:xfrm>
            <a:off x="9165464" y="3130138"/>
            <a:ext cx="232156" cy="810811"/>
            <a:chOff x="9212945" y="4758421"/>
            <a:chExt cx="219980" cy="824592"/>
          </a:xfrm>
        </xdr:grpSpPr>
        <xdr:grpSp>
          <xdr:nvGrpSpPr>
            <xdr:cNvPr id="8" name="グループ化 7">
              <a:extLst>
                <a:ext uri="{FF2B5EF4-FFF2-40B4-BE49-F238E27FC236}">
                  <a16:creationId xmlns:a16="http://schemas.microsoft.com/office/drawing/2014/main" id="{7D8851A7-A1FB-38CA-A3DC-CF80C5583465}"/>
                </a:ext>
              </a:extLst>
            </xdr:cNvPr>
            <xdr:cNvGrpSpPr/>
          </xdr:nvGrpSpPr>
          <xdr:grpSpPr>
            <a:xfrm>
              <a:off x="9210676" y="5174341"/>
              <a:ext cx="225424" cy="408672"/>
              <a:chOff x="9210676" y="5174341"/>
              <a:chExt cx="225424" cy="408672"/>
            </a:xfrm>
          </xdr:grpSpPr>
          <xdr:pic>
            <xdr:nvPicPr>
              <xdr:cNvPr id="12" name="図 11">
                <a:extLst>
                  <a:ext uri="{FF2B5EF4-FFF2-40B4-BE49-F238E27FC236}">
                    <a16:creationId xmlns:a16="http://schemas.microsoft.com/office/drawing/2014/main" id="{72ABB14D-E679-4E21-8731-825AC19EF57D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13" name="図 12">
                <a:extLst>
                  <a:ext uri="{FF2B5EF4-FFF2-40B4-BE49-F238E27FC236}">
                    <a16:creationId xmlns:a16="http://schemas.microsoft.com/office/drawing/2014/main" id="{EFEEA11D-B579-C112-9698-0915B662C907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  <xdr:grpSp>
          <xdr:nvGrpSpPr>
            <xdr:cNvPr id="9" name="グループ化 8">
              <a:extLst>
                <a:ext uri="{FF2B5EF4-FFF2-40B4-BE49-F238E27FC236}">
                  <a16:creationId xmlns:a16="http://schemas.microsoft.com/office/drawing/2014/main" id="{347DE748-EC0E-5833-BDD1-36097E14A16F}"/>
                </a:ext>
              </a:extLst>
            </xdr:cNvPr>
            <xdr:cNvGrpSpPr/>
          </xdr:nvGrpSpPr>
          <xdr:grpSpPr>
            <a:xfrm>
              <a:off x="9216120" y="4755246"/>
              <a:ext cx="209549" cy="418197"/>
              <a:chOff x="9210676" y="5174341"/>
              <a:chExt cx="225424" cy="408672"/>
            </a:xfrm>
          </xdr:grpSpPr>
          <xdr:pic>
            <xdr:nvPicPr>
              <xdr:cNvPr id="10" name="図 9">
                <a:extLst>
                  <a:ext uri="{FF2B5EF4-FFF2-40B4-BE49-F238E27FC236}">
                    <a16:creationId xmlns:a16="http://schemas.microsoft.com/office/drawing/2014/main" id="{898970B2-5A96-8279-199E-B85DA333DE1F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11" name="図 10">
                <a:extLst>
                  <a:ext uri="{FF2B5EF4-FFF2-40B4-BE49-F238E27FC236}">
                    <a16:creationId xmlns:a16="http://schemas.microsoft.com/office/drawing/2014/main" id="{7755F46E-A93C-03FB-D1D3-E352DDDE53A0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</xdr:grpSp>
    </xdr:grpSp>
    <xdr:clientData/>
  </xdr:twoCellAnchor>
  <xdr:twoCellAnchor>
    <xdr:from>
      <xdr:col>1</xdr:col>
      <xdr:colOff>38100</xdr:colOff>
      <xdr:row>27</xdr:row>
      <xdr:rowOff>38101</xdr:rowOff>
    </xdr:from>
    <xdr:to>
      <xdr:col>52</xdr:col>
      <xdr:colOff>6350</xdr:colOff>
      <xdr:row>48</xdr:row>
      <xdr:rowOff>21167</xdr:rowOff>
    </xdr:to>
    <xdr:sp macro="" textlink="">
      <xdr:nvSpPr>
        <xdr:cNvPr id="26" name="角丸四角形 78">
          <a:extLst>
            <a:ext uri="{FF2B5EF4-FFF2-40B4-BE49-F238E27FC236}">
              <a16:creationId xmlns:a16="http://schemas.microsoft.com/office/drawing/2014/main" id="{CCB12839-E1CA-4FE9-9FE3-44F85A762A3C}"/>
            </a:ext>
          </a:extLst>
        </xdr:cNvPr>
        <xdr:cNvSpPr/>
      </xdr:nvSpPr>
      <xdr:spPr>
        <a:xfrm>
          <a:off x="219075" y="4333876"/>
          <a:ext cx="9201150" cy="3878791"/>
        </a:xfrm>
        <a:prstGeom prst="roundRect">
          <a:avLst/>
        </a:prstGeom>
        <a:noFill/>
        <a:ln w="63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19</xdr:col>
      <xdr:colOff>25401</xdr:colOff>
      <xdr:row>8</xdr:row>
      <xdr:rowOff>73025</xdr:rowOff>
    </xdr:from>
    <xdr:to>
      <xdr:col>32</xdr:col>
      <xdr:colOff>170393</xdr:colOff>
      <xdr:row>10</xdr:row>
      <xdr:rowOff>9525</xdr:rowOff>
    </xdr:to>
    <xdr:grpSp>
      <xdr:nvGrpSpPr>
        <xdr:cNvPr id="27" name="グループ化 26">
          <a:extLst>
            <a:ext uri="{FF2B5EF4-FFF2-40B4-BE49-F238E27FC236}">
              <a16:creationId xmlns:a16="http://schemas.microsoft.com/office/drawing/2014/main" id="{386B7B8A-8C2E-436C-994A-F02EB116C5E6}"/>
            </a:ext>
          </a:extLst>
        </xdr:cNvPr>
        <xdr:cNvGrpSpPr/>
      </xdr:nvGrpSpPr>
      <xdr:grpSpPr>
        <a:xfrm>
          <a:off x="3446993" y="1247775"/>
          <a:ext cx="2480733" cy="250825"/>
          <a:chOff x="3101976" y="1619250"/>
          <a:chExt cx="2498725" cy="304800"/>
        </a:xfrm>
      </xdr:grpSpPr>
      <xdr:sp macro="" textlink="">
        <xdr:nvSpPr>
          <xdr:cNvPr id="28" name="四角形: 角を丸くする 27">
            <a:extLst>
              <a:ext uri="{FF2B5EF4-FFF2-40B4-BE49-F238E27FC236}">
                <a16:creationId xmlns:a16="http://schemas.microsoft.com/office/drawing/2014/main" id="{9C86BD4A-FF70-E949-2318-4E9B7C3D4475}"/>
              </a:ext>
            </a:extLst>
          </xdr:cNvPr>
          <xdr:cNvSpPr/>
        </xdr:nvSpPr>
        <xdr:spPr>
          <a:xfrm>
            <a:off x="3101976" y="1619250"/>
            <a:ext cx="2498725" cy="304800"/>
          </a:xfrm>
          <a:prstGeom prst="roundRect">
            <a:avLst/>
          </a:prstGeom>
          <a:solidFill>
            <a:schemeClr val="bg1">
              <a:lumMod val="95000"/>
            </a:schemeClr>
          </a:solidFill>
          <a:ln w="12700"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lIns="36000" tIns="36000" rIns="36000" bIns="36000" rtlCol="0" anchor="ctr"/>
          <a:lstStyle/>
          <a:p>
            <a:pPr algn="l">
              <a:lnSpc>
                <a:spcPts val="900"/>
              </a:lnSpc>
            </a:pPr>
            <a:r>
              <a:rPr kumimoji="1" lang="ja-JP" altLang="en-US" sz="800">
                <a:solidFill>
                  <a:schemeClr val="bg1">
                    <a:lumMod val="6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入力して検索</a:t>
            </a:r>
            <a:endParaRPr kumimoji="1" lang="en-US" altLang="ja-JP" sz="800">
              <a:solidFill>
                <a:schemeClr val="bg1">
                  <a:lumMod val="65000"/>
                </a:schemeClr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pic>
        <xdr:nvPicPr>
          <xdr:cNvPr id="29" name="図 28">
            <a:extLst>
              <a:ext uri="{FF2B5EF4-FFF2-40B4-BE49-F238E27FC236}">
                <a16:creationId xmlns:a16="http://schemas.microsoft.com/office/drawing/2014/main" id="{36975558-65AA-6181-9403-2695AF09D93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5334000" y="1638300"/>
            <a:ext cx="181000" cy="209579"/>
          </a:xfrm>
          <a:prstGeom prst="rect">
            <a:avLst/>
          </a:prstGeom>
        </xdr:spPr>
      </xdr:pic>
    </xdr:grpSp>
    <xdr:clientData/>
  </xdr:twoCellAnchor>
  <xdr:twoCellAnchor>
    <xdr:from>
      <xdr:col>51</xdr:col>
      <xdr:colOff>55356</xdr:colOff>
      <xdr:row>13</xdr:row>
      <xdr:rowOff>47625</xdr:rowOff>
    </xdr:from>
    <xdr:to>
      <xdr:col>52</xdr:col>
      <xdr:colOff>1584</xdr:colOff>
      <xdr:row>15</xdr:row>
      <xdr:rowOff>38099</xdr:rowOff>
    </xdr:to>
    <xdr:grpSp>
      <xdr:nvGrpSpPr>
        <xdr:cNvPr id="30" name="グループ化 29">
          <a:extLst>
            <a:ext uri="{FF2B5EF4-FFF2-40B4-BE49-F238E27FC236}">
              <a16:creationId xmlns:a16="http://schemas.microsoft.com/office/drawing/2014/main" id="{97C61AB9-37FC-42C7-B9B9-64F8EFADDBD0}"/>
            </a:ext>
          </a:extLst>
        </xdr:cNvPr>
        <xdr:cNvGrpSpPr/>
      </xdr:nvGrpSpPr>
      <xdr:grpSpPr>
        <a:xfrm>
          <a:off x="9231106" y="2076450"/>
          <a:ext cx="126145" cy="438149"/>
          <a:chOff x="9285081" y="2111375"/>
          <a:chExt cx="127203" cy="431799"/>
        </a:xfrm>
      </xdr:grpSpPr>
      <xdr:pic>
        <xdr:nvPicPr>
          <xdr:cNvPr id="31" name="図 30">
            <a:extLst>
              <a:ext uri="{FF2B5EF4-FFF2-40B4-BE49-F238E27FC236}">
                <a16:creationId xmlns:a16="http://schemas.microsoft.com/office/drawing/2014/main" id="{2DD22C38-61E3-D64A-BA37-92D6C054C13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 flipH="1">
            <a:off x="9288243" y="2111375"/>
            <a:ext cx="104530" cy="318001"/>
          </a:xfrm>
          <a:prstGeom prst="rect">
            <a:avLst/>
          </a:prstGeom>
        </xdr:spPr>
      </xdr:pic>
      <xdr:pic>
        <xdr:nvPicPr>
          <xdr:cNvPr id="32" name="図 31">
            <a:extLst>
              <a:ext uri="{FF2B5EF4-FFF2-40B4-BE49-F238E27FC236}">
                <a16:creationId xmlns:a16="http://schemas.microsoft.com/office/drawing/2014/main" id="{86F3DB51-F100-D6EF-21A7-23D26A700187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"/>
          <a:srcRect l="1" t="75912" r="-1"/>
          <a:stretch>
            <a:fillRect/>
          </a:stretch>
        </xdr:blipFill>
        <xdr:spPr>
          <a:xfrm flipH="1">
            <a:off x="9285081" y="2466926"/>
            <a:ext cx="118814" cy="76248"/>
          </a:xfrm>
          <a:prstGeom prst="rect">
            <a:avLst/>
          </a:prstGeom>
        </xdr:spPr>
      </xdr:pic>
      <xdr:grpSp>
        <xdr:nvGrpSpPr>
          <xdr:cNvPr id="33" name="グループ化 32">
            <a:extLst>
              <a:ext uri="{FF2B5EF4-FFF2-40B4-BE49-F238E27FC236}">
                <a16:creationId xmlns:a16="http://schemas.microsoft.com/office/drawing/2014/main" id="{D1C14854-714F-6D26-BFAC-D341EA792D28}"/>
              </a:ext>
            </a:extLst>
          </xdr:cNvPr>
          <xdr:cNvGrpSpPr/>
        </xdr:nvGrpSpPr>
        <xdr:grpSpPr>
          <a:xfrm>
            <a:off x="9299139" y="2297765"/>
            <a:ext cx="113145" cy="196420"/>
            <a:chOff x="9212945" y="4758421"/>
            <a:chExt cx="219980" cy="824592"/>
          </a:xfrm>
        </xdr:grpSpPr>
        <xdr:grpSp>
          <xdr:nvGrpSpPr>
            <xdr:cNvPr id="34" name="グループ化 33">
              <a:extLst>
                <a:ext uri="{FF2B5EF4-FFF2-40B4-BE49-F238E27FC236}">
                  <a16:creationId xmlns:a16="http://schemas.microsoft.com/office/drawing/2014/main" id="{080B57D6-BB66-B55C-9316-4EF1D447A223}"/>
                </a:ext>
              </a:extLst>
            </xdr:cNvPr>
            <xdr:cNvGrpSpPr/>
          </xdr:nvGrpSpPr>
          <xdr:grpSpPr>
            <a:xfrm>
              <a:off x="9210676" y="5174341"/>
              <a:ext cx="225424" cy="408672"/>
              <a:chOff x="9210676" y="5174341"/>
              <a:chExt cx="225424" cy="408672"/>
            </a:xfrm>
          </xdr:grpSpPr>
          <xdr:pic>
            <xdr:nvPicPr>
              <xdr:cNvPr id="38" name="図 37">
                <a:extLst>
                  <a:ext uri="{FF2B5EF4-FFF2-40B4-BE49-F238E27FC236}">
                    <a16:creationId xmlns:a16="http://schemas.microsoft.com/office/drawing/2014/main" id="{7E9F7761-B201-BE70-8EDD-42BC28E150B4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39" name="図 38">
                <a:extLst>
                  <a:ext uri="{FF2B5EF4-FFF2-40B4-BE49-F238E27FC236}">
                    <a16:creationId xmlns:a16="http://schemas.microsoft.com/office/drawing/2014/main" id="{E96468C8-1B33-794A-057D-4FF76C48ED07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  <xdr:grpSp>
          <xdr:nvGrpSpPr>
            <xdr:cNvPr id="35" name="グループ化 34">
              <a:extLst>
                <a:ext uri="{FF2B5EF4-FFF2-40B4-BE49-F238E27FC236}">
                  <a16:creationId xmlns:a16="http://schemas.microsoft.com/office/drawing/2014/main" id="{4518C059-77D5-F231-B9E9-B4B7398B6BC6}"/>
                </a:ext>
              </a:extLst>
            </xdr:cNvPr>
            <xdr:cNvGrpSpPr/>
          </xdr:nvGrpSpPr>
          <xdr:grpSpPr>
            <a:xfrm>
              <a:off x="9216120" y="4755246"/>
              <a:ext cx="209549" cy="418197"/>
              <a:chOff x="9210676" y="5174341"/>
              <a:chExt cx="225424" cy="408672"/>
            </a:xfrm>
          </xdr:grpSpPr>
          <xdr:pic>
            <xdr:nvPicPr>
              <xdr:cNvPr id="36" name="図 35">
                <a:extLst>
                  <a:ext uri="{FF2B5EF4-FFF2-40B4-BE49-F238E27FC236}">
                    <a16:creationId xmlns:a16="http://schemas.microsoft.com/office/drawing/2014/main" id="{073C6081-7A93-52D9-B89C-66815C8267B8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37" name="図 36">
                <a:extLst>
                  <a:ext uri="{FF2B5EF4-FFF2-40B4-BE49-F238E27FC236}">
                    <a16:creationId xmlns:a16="http://schemas.microsoft.com/office/drawing/2014/main" id="{D364E551-AE0A-9B72-9776-B12160F418B7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</xdr:grpSp>
    </xdr:grpSp>
    <xdr:clientData/>
  </xdr:twoCellAnchor>
  <xdr:twoCellAnchor>
    <xdr:from>
      <xdr:col>14</xdr:col>
      <xdr:colOff>123826</xdr:colOff>
      <xdr:row>28</xdr:row>
      <xdr:rowOff>60323</xdr:rowOff>
    </xdr:from>
    <xdr:to>
      <xdr:col>17</xdr:col>
      <xdr:colOff>42334</xdr:colOff>
      <xdr:row>29</xdr:row>
      <xdr:rowOff>105833</xdr:rowOff>
    </xdr:to>
    <xdr:sp macro="" textlink="">
      <xdr:nvSpPr>
        <xdr:cNvPr id="40" name="正方形/長方形 39">
          <a:extLst>
            <a:ext uri="{FF2B5EF4-FFF2-40B4-BE49-F238E27FC236}">
              <a16:creationId xmlns:a16="http://schemas.microsoft.com/office/drawing/2014/main" id="{2F5CCCCE-1EDE-4318-BF6B-CA440B27E430}"/>
            </a:ext>
          </a:extLst>
        </xdr:cNvPr>
        <xdr:cNvSpPr/>
      </xdr:nvSpPr>
      <xdr:spPr>
        <a:xfrm>
          <a:off x="2654301" y="4556123"/>
          <a:ext cx="467783" cy="24236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8</xdr:col>
      <xdr:colOff>49741</xdr:colOff>
      <xdr:row>22</xdr:row>
      <xdr:rowOff>144991</xdr:rowOff>
    </xdr:from>
    <xdr:to>
      <xdr:col>17</xdr:col>
      <xdr:colOff>116417</xdr:colOff>
      <xdr:row>24</xdr:row>
      <xdr:rowOff>105833</xdr:rowOff>
    </xdr:to>
    <xdr:sp macro="" textlink="">
      <xdr:nvSpPr>
        <xdr:cNvPr id="41" name="線吹き出し 1 (枠付き) 12">
          <a:extLst>
            <a:ext uri="{FF2B5EF4-FFF2-40B4-BE49-F238E27FC236}">
              <a16:creationId xmlns:a16="http://schemas.microsoft.com/office/drawing/2014/main" id="{3DA030B1-7878-4B56-9AA9-BF7F4DFC3680}"/>
            </a:ext>
          </a:extLst>
        </xdr:cNvPr>
        <xdr:cNvSpPr/>
      </xdr:nvSpPr>
      <xdr:spPr>
        <a:xfrm>
          <a:off x="1494366" y="3875616"/>
          <a:ext cx="1698626" cy="284692"/>
        </a:xfrm>
        <a:prstGeom prst="borderCallout1">
          <a:avLst>
            <a:gd name="adj1" fmla="val 99600"/>
            <a:gd name="adj2" fmla="val 1511"/>
            <a:gd name="adj3" fmla="val 155734"/>
            <a:gd name="adj4" fmla="val 146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．環境証明書申請状況詳細</a:t>
          </a:r>
        </a:p>
      </xdr:txBody>
    </xdr:sp>
    <xdr:clientData/>
  </xdr:twoCellAnchor>
  <xdr:twoCellAnchor>
    <xdr:from>
      <xdr:col>32</xdr:col>
      <xdr:colOff>116417</xdr:colOff>
      <xdr:row>28</xdr:row>
      <xdr:rowOff>87842</xdr:rowOff>
    </xdr:from>
    <xdr:to>
      <xdr:col>35</xdr:col>
      <xdr:colOff>39158</xdr:colOff>
      <xdr:row>29</xdr:row>
      <xdr:rowOff>110068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69F74F84-EC73-48B8-8F60-F7D4675C0AD2}"/>
            </a:ext>
          </a:extLst>
        </xdr:cNvPr>
        <xdr:cNvSpPr/>
      </xdr:nvSpPr>
      <xdr:spPr>
        <a:xfrm>
          <a:off x="5907617" y="4580467"/>
          <a:ext cx="465666" cy="22225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1.2</a:t>
          </a:r>
        </a:p>
      </xdr:txBody>
    </xdr:sp>
    <xdr:clientData/>
  </xdr:twoCellAnchor>
  <xdr:twoCellAnchor>
    <xdr:from>
      <xdr:col>14</xdr:col>
      <xdr:colOff>127000</xdr:colOff>
      <xdr:row>30</xdr:row>
      <xdr:rowOff>148166</xdr:rowOff>
    </xdr:from>
    <xdr:to>
      <xdr:col>17</xdr:col>
      <xdr:colOff>55033</xdr:colOff>
      <xdr:row>31</xdr:row>
      <xdr:rowOff>193676</xdr:rowOff>
    </xdr:to>
    <xdr:sp macro="" textlink="">
      <xdr:nvSpPr>
        <xdr:cNvPr id="43" name="正方形/長方形 42">
          <a:extLst>
            <a:ext uri="{FF2B5EF4-FFF2-40B4-BE49-F238E27FC236}">
              <a16:creationId xmlns:a16="http://schemas.microsoft.com/office/drawing/2014/main" id="{F3777CBF-2AC1-4F35-AD55-3BA0298FEFCA}"/>
            </a:ext>
          </a:extLst>
        </xdr:cNvPr>
        <xdr:cNvSpPr/>
      </xdr:nvSpPr>
      <xdr:spPr>
        <a:xfrm>
          <a:off x="2657475" y="5040841"/>
          <a:ext cx="474133" cy="25188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129116</xdr:colOff>
      <xdr:row>30</xdr:row>
      <xdr:rowOff>175685</xdr:rowOff>
    </xdr:from>
    <xdr:to>
      <xdr:col>35</xdr:col>
      <xdr:colOff>45507</xdr:colOff>
      <xdr:row>31</xdr:row>
      <xdr:rowOff>197911</xdr:rowOff>
    </xdr:to>
    <xdr:sp macro="" textlink="">
      <xdr:nvSpPr>
        <xdr:cNvPr id="44" name="正方形/長方形 43">
          <a:extLst>
            <a:ext uri="{FF2B5EF4-FFF2-40B4-BE49-F238E27FC236}">
              <a16:creationId xmlns:a16="http://schemas.microsoft.com/office/drawing/2014/main" id="{9072E474-5020-41F1-8EBE-7E3909C7096E}"/>
            </a:ext>
          </a:extLst>
        </xdr:cNvPr>
        <xdr:cNvSpPr/>
      </xdr:nvSpPr>
      <xdr:spPr>
        <a:xfrm>
          <a:off x="5917141" y="5074710"/>
          <a:ext cx="465666" cy="22225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1.4</a:t>
          </a:r>
        </a:p>
      </xdr:txBody>
    </xdr:sp>
    <xdr:clientData/>
  </xdr:twoCellAnchor>
  <xdr:twoCellAnchor>
    <xdr:from>
      <xdr:col>14</xdr:col>
      <xdr:colOff>116416</xdr:colOff>
      <xdr:row>34</xdr:row>
      <xdr:rowOff>21167</xdr:rowOff>
    </xdr:from>
    <xdr:to>
      <xdr:col>17</xdr:col>
      <xdr:colOff>44449</xdr:colOff>
      <xdr:row>35</xdr:row>
      <xdr:rowOff>66677</xdr:rowOff>
    </xdr:to>
    <xdr:sp macro="" textlink="">
      <xdr:nvSpPr>
        <xdr:cNvPr id="45" name="正方形/長方形 44">
          <a:extLst>
            <a:ext uri="{FF2B5EF4-FFF2-40B4-BE49-F238E27FC236}">
              <a16:creationId xmlns:a16="http://schemas.microsoft.com/office/drawing/2014/main" id="{82D09D07-7950-4F11-A545-8A11334B90C4}"/>
            </a:ext>
          </a:extLst>
        </xdr:cNvPr>
        <xdr:cNvSpPr/>
      </xdr:nvSpPr>
      <xdr:spPr>
        <a:xfrm>
          <a:off x="2650066" y="5717117"/>
          <a:ext cx="474133" cy="24236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115357</xdr:colOff>
      <xdr:row>34</xdr:row>
      <xdr:rowOff>48686</xdr:rowOff>
    </xdr:from>
    <xdr:to>
      <xdr:col>35</xdr:col>
      <xdr:colOff>34923</xdr:colOff>
      <xdr:row>35</xdr:row>
      <xdr:rowOff>70912</xdr:rowOff>
    </xdr:to>
    <xdr:sp macro="" textlink="">
      <xdr:nvSpPr>
        <xdr:cNvPr id="46" name="正方形/長方形 45">
          <a:extLst>
            <a:ext uri="{FF2B5EF4-FFF2-40B4-BE49-F238E27FC236}">
              <a16:creationId xmlns:a16="http://schemas.microsoft.com/office/drawing/2014/main" id="{66FA5191-2C78-4790-942C-906DEB4F639B}"/>
            </a:ext>
          </a:extLst>
        </xdr:cNvPr>
        <xdr:cNvSpPr/>
      </xdr:nvSpPr>
      <xdr:spPr>
        <a:xfrm>
          <a:off x="5906557" y="5741461"/>
          <a:ext cx="459316" cy="22225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1.6</a:t>
          </a:r>
        </a:p>
      </xdr:txBody>
    </xdr:sp>
    <xdr:clientData/>
  </xdr:twoCellAnchor>
  <xdr:twoCellAnchor>
    <xdr:from>
      <xdr:col>14</xdr:col>
      <xdr:colOff>122765</xdr:colOff>
      <xdr:row>36</xdr:row>
      <xdr:rowOff>148169</xdr:rowOff>
    </xdr:from>
    <xdr:to>
      <xdr:col>17</xdr:col>
      <xdr:colOff>47623</xdr:colOff>
      <xdr:row>38</xdr:row>
      <xdr:rowOff>5296</xdr:rowOff>
    </xdr:to>
    <xdr:sp macro="" textlink="">
      <xdr:nvSpPr>
        <xdr:cNvPr id="47" name="正方形/長方形 46">
          <a:extLst>
            <a:ext uri="{FF2B5EF4-FFF2-40B4-BE49-F238E27FC236}">
              <a16:creationId xmlns:a16="http://schemas.microsoft.com/office/drawing/2014/main" id="{CA8D6CD9-43B6-4120-A88A-7CB6770EAD19}"/>
            </a:ext>
          </a:extLst>
        </xdr:cNvPr>
        <xdr:cNvSpPr/>
      </xdr:nvSpPr>
      <xdr:spPr>
        <a:xfrm>
          <a:off x="2659590" y="6240994"/>
          <a:ext cx="467783" cy="263527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1.7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124881</xdr:colOff>
      <xdr:row>36</xdr:row>
      <xdr:rowOff>142879</xdr:rowOff>
    </xdr:from>
    <xdr:to>
      <xdr:col>35</xdr:col>
      <xdr:colOff>41272</xdr:colOff>
      <xdr:row>37</xdr:row>
      <xdr:rowOff>165105</xdr:rowOff>
    </xdr:to>
    <xdr:sp macro="" textlink="">
      <xdr:nvSpPr>
        <xdr:cNvPr id="48" name="正方形/長方形 47">
          <a:extLst>
            <a:ext uri="{FF2B5EF4-FFF2-40B4-BE49-F238E27FC236}">
              <a16:creationId xmlns:a16="http://schemas.microsoft.com/office/drawing/2014/main" id="{57BF1E07-97C6-4AA0-A55C-581D5BAD65C4}"/>
            </a:ext>
          </a:extLst>
        </xdr:cNvPr>
        <xdr:cNvSpPr/>
      </xdr:nvSpPr>
      <xdr:spPr>
        <a:xfrm>
          <a:off x="5912906" y="6235704"/>
          <a:ext cx="462491" cy="22225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1.8</a:t>
          </a:r>
        </a:p>
      </xdr:txBody>
    </xdr:sp>
    <xdr:clientData/>
  </xdr:twoCellAnchor>
  <xdr:twoCellAnchor>
    <xdr:from>
      <xdr:col>14</xdr:col>
      <xdr:colOff>106891</xdr:colOff>
      <xdr:row>39</xdr:row>
      <xdr:rowOff>131234</xdr:rowOff>
    </xdr:from>
    <xdr:to>
      <xdr:col>17</xdr:col>
      <xdr:colOff>41274</xdr:colOff>
      <xdr:row>41</xdr:row>
      <xdr:rowOff>11644</xdr:rowOff>
    </xdr:to>
    <xdr:sp macro="" textlink="">
      <xdr:nvSpPr>
        <xdr:cNvPr id="49" name="正方形/長方形 48">
          <a:extLst>
            <a:ext uri="{FF2B5EF4-FFF2-40B4-BE49-F238E27FC236}">
              <a16:creationId xmlns:a16="http://schemas.microsoft.com/office/drawing/2014/main" id="{611A321E-AC48-4F25-AA7C-56104B6AD36F}"/>
            </a:ext>
          </a:extLst>
        </xdr:cNvPr>
        <xdr:cNvSpPr/>
      </xdr:nvSpPr>
      <xdr:spPr>
        <a:xfrm>
          <a:off x="2637366" y="6827309"/>
          <a:ext cx="480483" cy="23918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1.9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105832</xdr:colOff>
      <xdr:row>39</xdr:row>
      <xdr:rowOff>158753</xdr:rowOff>
    </xdr:from>
    <xdr:to>
      <xdr:col>35</xdr:col>
      <xdr:colOff>28573</xdr:colOff>
      <xdr:row>41</xdr:row>
      <xdr:rowOff>19054</xdr:rowOff>
    </xdr:to>
    <xdr:sp macro="" textlink="">
      <xdr:nvSpPr>
        <xdr:cNvPr id="50" name="正方形/長方形 49">
          <a:extLst>
            <a:ext uri="{FF2B5EF4-FFF2-40B4-BE49-F238E27FC236}">
              <a16:creationId xmlns:a16="http://schemas.microsoft.com/office/drawing/2014/main" id="{246794D0-6FF4-46A3-8395-EA92673D5CC7}"/>
            </a:ext>
          </a:extLst>
        </xdr:cNvPr>
        <xdr:cNvSpPr/>
      </xdr:nvSpPr>
      <xdr:spPr>
        <a:xfrm>
          <a:off x="5893857" y="6858003"/>
          <a:ext cx="472016" cy="2190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1.10</a:t>
          </a:r>
        </a:p>
      </xdr:txBody>
    </xdr:sp>
    <xdr:clientData/>
  </xdr:twoCellAnchor>
  <xdr:twoCellAnchor>
    <xdr:from>
      <xdr:col>14</xdr:col>
      <xdr:colOff>119590</xdr:colOff>
      <xdr:row>42</xdr:row>
      <xdr:rowOff>138645</xdr:rowOff>
    </xdr:from>
    <xdr:to>
      <xdr:col>17</xdr:col>
      <xdr:colOff>47623</xdr:colOff>
      <xdr:row>44</xdr:row>
      <xdr:rowOff>89963</xdr:rowOff>
    </xdr:to>
    <xdr:sp macro="" textlink="">
      <xdr:nvSpPr>
        <xdr:cNvPr id="51" name="正方形/長方形 50">
          <a:extLst>
            <a:ext uri="{FF2B5EF4-FFF2-40B4-BE49-F238E27FC236}">
              <a16:creationId xmlns:a16="http://schemas.microsoft.com/office/drawing/2014/main" id="{DDE57F61-D4EE-4AD6-A927-A6732A7783E8}"/>
            </a:ext>
          </a:extLst>
        </xdr:cNvPr>
        <xdr:cNvSpPr/>
      </xdr:nvSpPr>
      <xdr:spPr>
        <a:xfrm>
          <a:off x="2656415" y="7361770"/>
          <a:ext cx="470958" cy="268818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115356</xdr:colOff>
      <xdr:row>42</xdr:row>
      <xdr:rowOff>130180</xdr:rowOff>
    </xdr:from>
    <xdr:to>
      <xdr:col>35</xdr:col>
      <xdr:colOff>31747</xdr:colOff>
      <xdr:row>44</xdr:row>
      <xdr:rowOff>39164</xdr:rowOff>
    </xdr:to>
    <xdr:sp macro="" textlink="">
      <xdr:nvSpPr>
        <xdr:cNvPr id="52" name="正方形/長方形 51">
          <a:extLst>
            <a:ext uri="{FF2B5EF4-FFF2-40B4-BE49-F238E27FC236}">
              <a16:creationId xmlns:a16="http://schemas.microsoft.com/office/drawing/2014/main" id="{77A48C8B-93FC-4200-92ED-CE1F0105E6F8}"/>
            </a:ext>
          </a:extLst>
        </xdr:cNvPr>
        <xdr:cNvSpPr/>
      </xdr:nvSpPr>
      <xdr:spPr>
        <a:xfrm>
          <a:off x="5906556" y="7350130"/>
          <a:ext cx="456141" cy="232834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1.12</a:t>
          </a:r>
        </a:p>
      </xdr:txBody>
    </xdr:sp>
    <xdr:clientData/>
  </xdr:twoCellAnchor>
  <xdr:twoCellAnchor>
    <xdr:from>
      <xdr:col>14</xdr:col>
      <xdr:colOff>137584</xdr:colOff>
      <xdr:row>45</xdr:row>
      <xdr:rowOff>114298</xdr:rowOff>
    </xdr:from>
    <xdr:to>
      <xdr:col>17</xdr:col>
      <xdr:colOff>62442</xdr:colOff>
      <xdr:row>47</xdr:row>
      <xdr:rowOff>62441</xdr:rowOff>
    </xdr:to>
    <xdr:sp macro="" textlink="">
      <xdr:nvSpPr>
        <xdr:cNvPr id="53" name="正方形/長方形 52">
          <a:extLst>
            <a:ext uri="{FF2B5EF4-FFF2-40B4-BE49-F238E27FC236}">
              <a16:creationId xmlns:a16="http://schemas.microsoft.com/office/drawing/2014/main" id="{DAC0FEE8-4405-4549-80B4-4A5223FCE21D}"/>
            </a:ext>
          </a:extLst>
        </xdr:cNvPr>
        <xdr:cNvSpPr/>
      </xdr:nvSpPr>
      <xdr:spPr>
        <a:xfrm>
          <a:off x="2674409" y="7820023"/>
          <a:ext cx="467783" cy="275168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130175</xdr:colOff>
      <xdr:row>45</xdr:row>
      <xdr:rowOff>105833</xdr:rowOff>
    </xdr:from>
    <xdr:to>
      <xdr:col>35</xdr:col>
      <xdr:colOff>46566</xdr:colOff>
      <xdr:row>47</xdr:row>
      <xdr:rowOff>11642</xdr:rowOff>
    </xdr:to>
    <xdr:sp macro="" textlink="">
      <xdr:nvSpPr>
        <xdr:cNvPr id="54" name="正方形/長方形 53">
          <a:extLst>
            <a:ext uri="{FF2B5EF4-FFF2-40B4-BE49-F238E27FC236}">
              <a16:creationId xmlns:a16="http://schemas.microsoft.com/office/drawing/2014/main" id="{91CFA55E-43BE-4EBC-9AF0-E6B2A92A42EE}"/>
            </a:ext>
          </a:extLst>
        </xdr:cNvPr>
        <xdr:cNvSpPr/>
      </xdr:nvSpPr>
      <xdr:spPr>
        <a:xfrm>
          <a:off x="5921375" y="7808383"/>
          <a:ext cx="462491" cy="229659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1.14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109</xdr:row>
      <xdr:rowOff>0</xdr:rowOff>
    </xdr:from>
    <xdr:to>
      <xdr:col>22</xdr:col>
      <xdr:colOff>0</xdr:colOff>
      <xdr:row>111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A2175C6-7F03-4E61-8A76-3C36014DFC92}"/>
            </a:ext>
          </a:extLst>
        </xdr:cNvPr>
        <xdr:cNvSpPr/>
      </xdr:nvSpPr>
      <xdr:spPr>
        <a:xfrm>
          <a:off x="30003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109</xdr:row>
      <xdr:rowOff>0</xdr:rowOff>
    </xdr:from>
    <xdr:to>
      <xdr:col>30</xdr:col>
      <xdr:colOff>0</xdr:colOff>
      <xdr:row>111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C8BA7484-FB42-4FCF-9FFB-67708C27D0D9}"/>
            </a:ext>
          </a:extLst>
        </xdr:cNvPr>
        <xdr:cNvSpPr/>
      </xdr:nvSpPr>
      <xdr:spPr>
        <a:xfrm>
          <a:off x="46005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109</xdr:row>
      <xdr:rowOff>0</xdr:rowOff>
    </xdr:from>
    <xdr:to>
      <xdr:col>38</xdr:col>
      <xdr:colOff>0</xdr:colOff>
      <xdr:row>111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92615D9C-857B-4744-A6D7-A452763794BC}"/>
            </a:ext>
          </a:extLst>
        </xdr:cNvPr>
        <xdr:cNvSpPr/>
      </xdr:nvSpPr>
      <xdr:spPr>
        <a:xfrm>
          <a:off x="62007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EE679313-AA01-4378-BFE0-52E86C603938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180DFBDD-5FDC-439E-9F46-AEF523A2612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56</xdr:row>
      <xdr:rowOff>85725</xdr:rowOff>
    </xdr:from>
    <xdr:to>
      <xdr:col>7</xdr:col>
      <xdr:colOff>0</xdr:colOff>
      <xdr:row>58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BAEC1DF1-B2C4-4B33-84E5-D2B3604AB064}"/>
            </a:ext>
          </a:extLst>
        </xdr:cNvPr>
        <xdr:cNvSpPr/>
      </xdr:nvSpPr>
      <xdr:spPr>
        <a:xfrm>
          <a:off x="609600" y="10582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twoCellAnchor>
    <xdr:from>
      <xdr:col>3</xdr:col>
      <xdr:colOff>0</xdr:colOff>
      <xdr:row>73</xdr:row>
      <xdr:rowOff>85725</xdr:rowOff>
    </xdr:from>
    <xdr:to>
      <xdr:col>6</xdr:col>
      <xdr:colOff>190500</xdr:colOff>
      <xdr:row>75</xdr:row>
      <xdr:rowOff>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8399818F-5F0A-43FC-AAFC-D18B112A98C6}"/>
            </a:ext>
          </a:extLst>
        </xdr:cNvPr>
        <xdr:cNvSpPr/>
      </xdr:nvSpPr>
      <xdr:spPr>
        <a:xfrm>
          <a:off x="600075" y="1532572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79</xdr:row>
      <xdr:rowOff>0</xdr:rowOff>
    </xdr:from>
    <xdr:to>
      <xdr:col>8</xdr:col>
      <xdr:colOff>43669</xdr:colOff>
      <xdr:row>80</xdr:row>
      <xdr:rowOff>0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C1A87268-0949-40FC-B032-F9F28562860A}"/>
            </a:ext>
          </a:extLst>
        </xdr:cNvPr>
        <xdr:cNvSpPr/>
      </xdr:nvSpPr>
      <xdr:spPr>
        <a:xfrm>
          <a:off x="600075" y="16040100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79</xdr:row>
      <xdr:rowOff>0</xdr:rowOff>
    </xdr:from>
    <xdr:to>
      <xdr:col>12</xdr:col>
      <xdr:colOff>0</xdr:colOff>
      <xdr:row>80</xdr:row>
      <xdr:rowOff>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32F3DE82-4C82-422B-91F1-31FB8447F575}"/>
            </a:ext>
          </a:extLst>
        </xdr:cNvPr>
        <xdr:cNvSpPr/>
      </xdr:nvSpPr>
      <xdr:spPr>
        <a:xfrm>
          <a:off x="1756556" y="16040100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81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37DE3216-9508-47E8-8E92-4EA1590DE7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6392502"/>
          <a:ext cx="219106" cy="161948"/>
        </a:xfrm>
        <a:prstGeom prst="rect">
          <a:avLst/>
        </a:prstGeom>
      </xdr:spPr>
    </xdr:pic>
    <xdr:clientData/>
  </xdr:oneCellAnchor>
  <xdr:twoCellAnchor>
    <xdr:from>
      <xdr:col>45</xdr:col>
      <xdr:colOff>76200</xdr:colOff>
      <xdr:row>56</xdr:row>
      <xdr:rowOff>0</xdr:rowOff>
    </xdr:from>
    <xdr:to>
      <xdr:col>53</xdr:col>
      <xdr:colOff>66675</xdr:colOff>
      <xdr:row>59</xdr:row>
      <xdr:rowOff>66676</xdr:rowOff>
    </xdr:to>
    <xdr:sp macro="" textlink="">
      <xdr:nvSpPr>
        <xdr:cNvPr id="23" name="四角形吹き出し 11">
          <a:extLst>
            <a:ext uri="{FF2B5EF4-FFF2-40B4-BE49-F238E27FC236}">
              <a16:creationId xmlns:a16="http://schemas.microsoft.com/office/drawing/2014/main" id="{A2056365-3806-B7C9-F686-6612E6E03C17}"/>
            </a:ext>
          </a:extLst>
        </xdr:cNvPr>
        <xdr:cNvSpPr/>
      </xdr:nvSpPr>
      <xdr:spPr>
        <a:xfrm>
          <a:off x="9077325" y="11582399"/>
          <a:ext cx="1590675" cy="523877"/>
        </a:xfrm>
        <a:prstGeom prst="wedgeRectCallout">
          <a:avLst>
            <a:gd name="adj1" fmla="val 14928"/>
            <a:gd name="adj2" fmla="val 104761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申請価格の計算式を確認する</a:t>
          </a:r>
          <a:r>
            <a:rPr kumimoji="1" lang="en-US" altLang="ja-JP" sz="800">
              <a:solidFill>
                <a:sysClr val="windowText" lastClr="000000"/>
              </a:solidFill>
            </a:rPr>
            <a:t>2022.10.20  AA</a:t>
          </a: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FOB</a:t>
          </a:r>
          <a:r>
            <a:rPr kumimoji="1" lang="ja-JP" altLang="en-US" sz="800">
              <a:solidFill>
                <a:sysClr val="windowText" lastClr="000000"/>
              </a:solidFill>
            </a:rPr>
            <a:t>価格 </a:t>
          </a:r>
          <a:r>
            <a:rPr kumimoji="1" lang="en-US" altLang="ja-JP" sz="800">
              <a:solidFill>
                <a:sysClr val="windowText" lastClr="000000"/>
              </a:solidFill>
            </a:rPr>
            <a:t>- (CIF</a:t>
          </a:r>
          <a:r>
            <a:rPr kumimoji="1" lang="ja-JP" altLang="en-US" sz="800">
              <a:solidFill>
                <a:sysClr val="windowText" lastClr="000000"/>
              </a:solidFill>
            </a:rPr>
            <a:t>価格 * 口銭率</a:t>
          </a:r>
          <a:r>
            <a:rPr kumimoji="1" lang="en-US" altLang="ja-JP" sz="800">
              <a:solidFill>
                <a:sysClr val="windowText" lastClr="000000"/>
              </a:solidFill>
            </a:rPr>
            <a:t>)</a:t>
          </a:r>
        </a:p>
        <a:p>
          <a:pPr algn="l">
            <a:lnSpc>
              <a:spcPts val="900"/>
            </a:lnSpc>
          </a:pP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2</xdr:col>
      <xdr:colOff>0</xdr:colOff>
      <xdr:row>84</xdr:row>
      <xdr:rowOff>152400</xdr:rowOff>
    </xdr:from>
    <xdr:to>
      <xdr:col>3</xdr:col>
      <xdr:colOff>28</xdr:colOff>
      <xdr:row>86</xdr:row>
      <xdr:rowOff>19079</xdr:rowOff>
    </xdr:to>
    <xdr:pic>
      <xdr:nvPicPr>
        <xdr:cNvPr id="16" name="図 15" descr="画面の領域">
          <a:extLst>
            <a:ext uri="{FF2B5EF4-FFF2-40B4-BE49-F238E27FC236}">
              <a16:creationId xmlns:a16="http://schemas.microsoft.com/office/drawing/2014/main" id="{3B5E84CC-F78F-43BF-8F6C-9833420E55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49100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104</xdr:row>
      <xdr:rowOff>9502</xdr:rowOff>
    </xdr:from>
    <xdr:ext cx="219106" cy="161948"/>
    <xdr:pic>
      <xdr:nvPicPr>
        <xdr:cNvPr id="17" name="図 16" descr="画面の領域">
          <a:extLst>
            <a:ext uri="{FF2B5EF4-FFF2-40B4-BE49-F238E27FC236}">
              <a16:creationId xmlns:a16="http://schemas.microsoft.com/office/drawing/2014/main" id="{5D13003C-2616-4106-89D2-6F8DBD4A82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399220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105</xdr:row>
      <xdr:rowOff>9502</xdr:rowOff>
    </xdr:from>
    <xdr:ext cx="219106" cy="161948"/>
    <xdr:pic>
      <xdr:nvPicPr>
        <xdr:cNvPr id="18" name="図 17" descr="画面の領域">
          <a:extLst>
            <a:ext uri="{FF2B5EF4-FFF2-40B4-BE49-F238E27FC236}">
              <a16:creationId xmlns:a16="http://schemas.microsoft.com/office/drawing/2014/main" id="{856CBFCD-43ED-4526-91B6-2D2321C09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6365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106</xdr:row>
      <xdr:rowOff>9502</xdr:rowOff>
    </xdr:from>
    <xdr:ext cx="219106" cy="161948"/>
    <xdr:pic>
      <xdr:nvPicPr>
        <xdr:cNvPr id="19" name="図 18" descr="画面の領域">
          <a:extLst>
            <a:ext uri="{FF2B5EF4-FFF2-40B4-BE49-F238E27FC236}">
              <a16:creationId xmlns:a16="http://schemas.microsoft.com/office/drawing/2014/main" id="{0CB3E6E8-03EB-46A0-B28B-973242E684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35102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102</xdr:row>
      <xdr:rowOff>0</xdr:rowOff>
    </xdr:from>
    <xdr:ext cx="201083" cy="171450"/>
    <xdr:pic>
      <xdr:nvPicPr>
        <xdr:cNvPr id="20" name="図 19">
          <a:extLst>
            <a:ext uri="{FF2B5EF4-FFF2-40B4-BE49-F238E27FC236}">
              <a16:creationId xmlns:a16="http://schemas.microsoft.com/office/drawing/2014/main" id="{F27D5283-CCDF-4824-BA1A-C299DEE5159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398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22" name="図 21">
          <a:extLst>
            <a:ext uri="{FF2B5EF4-FFF2-40B4-BE49-F238E27FC236}">
              <a16:creationId xmlns:a16="http://schemas.microsoft.com/office/drawing/2014/main" id="{D8FA51ED-F86D-4D96-B7C0-0D32F27B115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26" name="図 25">
          <a:extLst>
            <a:ext uri="{FF2B5EF4-FFF2-40B4-BE49-F238E27FC236}">
              <a16:creationId xmlns:a16="http://schemas.microsoft.com/office/drawing/2014/main" id="{901EE48C-3B75-4389-8C13-C56CBCA9B1E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8" name="図 7">
          <a:extLst>
            <a:ext uri="{FF2B5EF4-FFF2-40B4-BE49-F238E27FC236}">
              <a16:creationId xmlns:a16="http://schemas.microsoft.com/office/drawing/2014/main" id="{CE2250BB-491C-4103-B119-BA7B62BF15B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88</xdr:row>
      <xdr:rowOff>0</xdr:rowOff>
    </xdr:from>
    <xdr:ext cx="201083" cy="171450"/>
    <xdr:pic>
      <xdr:nvPicPr>
        <xdr:cNvPr id="9" name="図 8">
          <a:extLst>
            <a:ext uri="{FF2B5EF4-FFF2-40B4-BE49-F238E27FC236}">
              <a16:creationId xmlns:a16="http://schemas.microsoft.com/office/drawing/2014/main" id="{BEE88940-0833-4D65-93A1-A1776DA5D46B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9255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94</xdr:row>
      <xdr:rowOff>0</xdr:rowOff>
    </xdr:from>
    <xdr:ext cx="201083" cy="171450"/>
    <xdr:pic>
      <xdr:nvPicPr>
        <xdr:cNvPr id="21" name="図 20">
          <a:extLst>
            <a:ext uri="{FF2B5EF4-FFF2-40B4-BE49-F238E27FC236}">
              <a16:creationId xmlns:a16="http://schemas.microsoft.com/office/drawing/2014/main" id="{1041A5B3-8B90-4609-BCD5-C2F7B8C5415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46113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123825</xdr:colOff>
      <xdr:row>56</xdr:row>
      <xdr:rowOff>85725</xdr:rowOff>
    </xdr:from>
    <xdr:to>
      <xdr:col>11</xdr:col>
      <xdr:colOff>114300</xdr:colOff>
      <xdr:row>58</xdr:row>
      <xdr:rowOff>0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8F4C95BB-93EA-4D0A-AC5D-31D2945DC518}"/>
            </a:ext>
          </a:extLst>
        </xdr:cNvPr>
        <xdr:cNvSpPr/>
      </xdr:nvSpPr>
      <xdr:spPr>
        <a:xfrm>
          <a:off x="1524000" y="88677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ln w="12700"/>
      </a:spPr>
      <a:bodyPr vertOverflow="clip" horzOverflow="clip" lIns="36000" tIns="36000" rIns="36000" bIns="36000" rtlCol="0" anchor="t"/>
      <a:lstStyle>
        <a:defPPr algn="l">
          <a:lnSpc>
            <a:spcPts val="900"/>
          </a:lnSpc>
          <a:defRPr kumimoji="1" sz="800">
            <a:solidFill>
              <a:sysClr val="windowText" lastClr="000000"/>
            </a:solidFill>
          </a:defRPr>
        </a:defPPr>
      </a:lstStyle>
      <a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a:style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1:T123"/>
  <sheetViews>
    <sheetView showGridLines="0" tabSelected="1" view="pageBreakPreview" zoomScaleNormal="80" zoomScaleSheetLayoutView="100" workbookViewId="0"/>
  </sheetViews>
  <sheetFormatPr defaultColWidth="8" defaultRowHeight="13"/>
  <cols>
    <col min="1" max="1" width="8.90625" style="1" customWidth="1"/>
    <col min="2" max="8" width="14.36328125" style="1" customWidth="1"/>
    <col min="9" max="9" width="13.6328125" style="1" customWidth="1"/>
    <col min="10" max="10" width="3.36328125" style="1" customWidth="1"/>
    <col min="11" max="11" width="23.7265625" style="1" customWidth="1"/>
    <col min="12" max="12" width="10" style="1" customWidth="1"/>
    <col min="13" max="13" width="23.36328125" style="1" customWidth="1"/>
    <col min="14" max="14" width="9.08984375" style="1" customWidth="1"/>
    <col min="15" max="15" width="19.90625" style="1" customWidth="1"/>
    <col min="16" max="16" width="6.7265625" style="1" customWidth="1"/>
    <col min="17" max="17" width="7.36328125" style="1" customWidth="1"/>
    <col min="18" max="18" width="6.7265625" style="1" customWidth="1"/>
    <col min="19" max="19" width="11" style="1" customWidth="1"/>
    <col min="20" max="20" width="9.90625" style="1" customWidth="1"/>
    <col min="21" max="21" width="8" style="1" customWidth="1"/>
    <col min="22" max="22" width="11.6328125" style="1" customWidth="1"/>
    <col min="23" max="16384" width="8" style="1"/>
  </cols>
  <sheetData>
    <row r="1" spans="12:12" ht="14.25" customHeight="1"/>
    <row r="2" spans="12:12" ht="14.25" customHeight="1"/>
    <row r="3" spans="12:12" ht="14.25" customHeight="1"/>
    <row r="4" spans="12:12" ht="14.25" customHeight="1"/>
    <row r="5" spans="12:12" ht="14.25" customHeight="1"/>
    <row r="6" spans="12:12" ht="14.25" customHeight="1"/>
    <row r="7" spans="12:12" ht="14.25" customHeight="1"/>
    <row r="8" spans="12:12" ht="14.25" customHeight="1"/>
    <row r="9" spans="12:12" ht="14.25" customHeight="1"/>
    <row r="10" spans="12:12" ht="14.25" customHeight="1">
      <c r="L10" s="2"/>
    </row>
    <row r="11" spans="12:12" ht="14.25" customHeight="1"/>
    <row r="12" spans="12:12" ht="14.25" customHeight="1"/>
    <row r="13" spans="12:12" ht="14.25" customHeight="1"/>
    <row r="14" spans="12:12" ht="14.25" customHeight="1"/>
    <row r="15" spans="12:12" ht="14.25" customHeight="1"/>
    <row r="16" spans="12:12" ht="14.25" customHeight="1"/>
    <row r="17" spans="2:8" ht="14.25" customHeight="1"/>
    <row r="18" spans="2:8" ht="14.25" customHeight="1"/>
    <row r="19" spans="2:8" ht="14.25" customHeight="1"/>
    <row r="20" spans="2:8" ht="14.25" customHeight="1"/>
    <row r="21" spans="2:8" ht="14.25" customHeight="1"/>
    <row r="22" spans="2:8" ht="14.25" customHeight="1">
      <c r="B22" s="569" t="str">
        <f ca="1">TEXT(変更来歴!AT2,"yyyy年 mm月 dd日") &amp; " " &amp; 変更来歴!AT3</f>
        <v>2026年 05月 18日 ｒ1.1</v>
      </c>
      <c r="C22" s="570"/>
      <c r="D22" s="570"/>
      <c r="E22" s="570"/>
      <c r="F22" s="570"/>
      <c r="G22" s="570"/>
      <c r="H22" s="570"/>
    </row>
    <row r="23" spans="2:8" ht="14.25" customHeight="1"/>
    <row r="24" spans="2:8" ht="14.25" customHeight="1"/>
    <row r="25" spans="2:8" ht="14.25" customHeight="1"/>
    <row r="26" spans="2:8" ht="14.25" customHeight="1"/>
    <row r="27" spans="2:8" ht="14.25" customHeight="1"/>
    <row r="28" spans="2:8" ht="14.25" customHeight="1">
      <c r="C28" s="571" t="s">
        <v>28</v>
      </c>
      <c r="D28" s="571"/>
      <c r="E28" s="571"/>
      <c r="F28" s="571" t="s">
        <v>0</v>
      </c>
      <c r="G28" s="571"/>
    </row>
    <row r="29" spans="2:8" ht="14.25" customHeight="1">
      <c r="C29" s="3" t="s">
        <v>1</v>
      </c>
      <c r="D29" s="3" t="s">
        <v>2</v>
      </c>
      <c r="E29" s="3" t="s">
        <v>3</v>
      </c>
      <c r="F29" s="3" t="s">
        <v>2</v>
      </c>
      <c r="G29" s="3" t="s">
        <v>3</v>
      </c>
    </row>
    <row r="30" spans="2:8" ht="14.25" customHeight="1">
      <c r="C30" s="4"/>
      <c r="D30" s="4"/>
      <c r="E30" s="4"/>
      <c r="F30" s="5"/>
      <c r="G30" s="5"/>
    </row>
    <row r="31" spans="2:8" ht="29.25" customHeight="1">
      <c r="C31" s="6"/>
      <c r="D31" s="6"/>
      <c r="E31" s="6"/>
      <c r="F31" s="6"/>
      <c r="G31" s="6"/>
    </row>
    <row r="32" spans="2:8" ht="14.25" customHeight="1"/>
    <row r="33" spans="3:20" ht="14.25" customHeight="1">
      <c r="C33" s="572"/>
      <c r="D33" s="572"/>
      <c r="E33" s="572"/>
      <c r="F33" s="572"/>
      <c r="G33" s="572"/>
      <c r="H33" s="7"/>
      <c r="I33" s="7"/>
    </row>
    <row r="34" spans="3:20" ht="14.25" customHeight="1">
      <c r="C34" s="9"/>
      <c r="D34" s="9"/>
      <c r="E34" s="9"/>
      <c r="F34" s="9"/>
      <c r="G34" s="9"/>
    </row>
    <row r="35" spans="3:20" ht="14.25" customHeight="1">
      <c r="C35" s="10"/>
      <c r="D35" s="10"/>
      <c r="E35" s="10"/>
      <c r="F35" s="9"/>
      <c r="G35" s="9"/>
    </row>
    <row r="36" spans="3:20" ht="29.25" customHeight="1">
      <c r="C36" s="9"/>
      <c r="D36" s="9"/>
      <c r="E36" s="9"/>
      <c r="F36" s="9"/>
      <c r="G36" s="9"/>
    </row>
    <row r="37" spans="3:20" ht="14.25" customHeight="1">
      <c r="K37" s="11"/>
      <c r="L37" s="12"/>
      <c r="M37" s="8"/>
      <c r="N37" s="12"/>
      <c r="O37" s="8"/>
      <c r="P37" s="14"/>
      <c r="Q37" s="15"/>
      <c r="R37" s="14"/>
      <c r="S37" s="16"/>
      <c r="T37" s="14"/>
    </row>
    <row r="38" spans="3:20" ht="14.25" customHeight="1">
      <c r="K38" s="17"/>
      <c r="L38" s="12"/>
      <c r="M38" s="18"/>
      <c r="N38" s="12"/>
      <c r="O38" s="8"/>
      <c r="P38" s="14"/>
      <c r="Q38" s="15"/>
      <c r="R38" s="14"/>
      <c r="S38" s="16"/>
      <c r="T38" s="567"/>
    </row>
    <row r="39" spans="3:20" ht="14.25" customHeight="1">
      <c r="K39" s="17"/>
      <c r="L39" s="12"/>
      <c r="M39" s="8"/>
      <c r="N39" s="12"/>
      <c r="O39" s="8"/>
      <c r="P39" s="8"/>
      <c r="Q39" s="8"/>
      <c r="R39" s="14"/>
      <c r="S39" s="19"/>
      <c r="T39" s="568"/>
    </row>
    <row r="40" spans="3:20" ht="14.25" customHeight="1"/>
    <row r="41" spans="3:20" ht="14.25" customHeight="1">
      <c r="K41" s="11"/>
      <c r="L41" s="12"/>
      <c r="M41" s="8"/>
      <c r="N41" s="12"/>
      <c r="O41" s="13"/>
      <c r="P41" s="14"/>
      <c r="Q41" s="15"/>
      <c r="R41" s="14"/>
      <c r="S41" s="16"/>
      <c r="T41" s="14"/>
    </row>
    <row r="42" spans="3:20" s="8" customFormat="1" ht="14.25" customHeight="1">
      <c r="K42" s="17"/>
      <c r="L42" s="12"/>
      <c r="M42" s="18"/>
      <c r="N42" s="12"/>
      <c r="P42" s="14"/>
      <c r="Q42" s="15"/>
      <c r="R42" s="14"/>
      <c r="S42" s="16"/>
      <c r="T42" s="567"/>
    </row>
    <row r="43" spans="3:20" s="8" customFormat="1" ht="14.25" customHeight="1">
      <c r="K43" s="17"/>
      <c r="L43" s="12"/>
      <c r="N43" s="12"/>
      <c r="R43" s="14"/>
      <c r="S43" s="19"/>
      <c r="T43" s="567"/>
    </row>
    <row r="44" spans="3:20" s="8" customFormat="1" ht="14.25" customHeight="1"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3:20" ht="14.25" customHeight="1">
      <c r="K45" s="11"/>
      <c r="L45" s="12"/>
      <c r="M45" s="8"/>
      <c r="N45" s="12"/>
      <c r="O45" s="13"/>
      <c r="P45" s="14"/>
      <c r="Q45" s="15"/>
      <c r="R45" s="14"/>
      <c r="S45" s="16"/>
      <c r="T45" s="14"/>
    </row>
    <row r="46" spans="3:20" ht="14.25" customHeight="1">
      <c r="K46" s="17"/>
      <c r="L46" s="12"/>
      <c r="M46" s="18"/>
      <c r="N46" s="12"/>
      <c r="O46" s="8"/>
      <c r="P46" s="14"/>
      <c r="Q46" s="15"/>
      <c r="R46" s="14"/>
      <c r="S46" s="16"/>
      <c r="T46" s="567"/>
    </row>
    <row r="47" spans="3:20" ht="14.25" customHeight="1">
      <c r="K47" s="17"/>
      <c r="L47" s="12"/>
      <c r="M47" s="8"/>
      <c r="N47" s="12"/>
      <c r="O47" s="8"/>
      <c r="P47" s="8"/>
      <c r="Q47" s="8"/>
      <c r="R47" s="14"/>
      <c r="S47" s="19"/>
      <c r="T47" s="567"/>
    </row>
    <row r="48" spans="3:20" ht="14.25" customHeight="1"/>
    <row r="49" spans="11:20" ht="14.25" customHeight="1">
      <c r="K49" s="11"/>
      <c r="L49" s="12"/>
      <c r="M49" s="8"/>
      <c r="N49" s="12"/>
      <c r="O49" s="13"/>
      <c r="P49" s="14"/>
      <c r="Q49" s="15"/>
      <c r="R49" s="14"/>
      <c r="S49" s="16"/>
      <c r="T49" s="14"/>
    </row>
    <row r="50" spans="11:20" ht="14.25" customHeight="1">
      <c r="K50" s="17"/>
      <c r="L50" s="12"/>
      <c r="M50" s="18"/>
      <c r="N50" s="12"/>
      <c r="O50" s="8"/>
      <c r="P50" s="14"/>
      <c r="Q50" s="15"/>
      <c r="R50" s="14"/>
      <c r="S50" s="16"/>
      <c r="T50" s="567"/>
    </row>
    <row r="51" spans="11:20" ht="14.25" customHeight="1">
      <c r="K51" s="17"/>
      <c r="L51" s="12"/>
      <c r="M51" s="8"/>
      <c r="N51" s="12"/>
      <c r="O51" s="8"/>
      <c r="P51" s="8"/>
      <c r="Q51" s="8"/>
      <c r="R51" s="14"/>
      <c r="S51" s="19"/>
      <c r="T51" s="567"/>
    </row>
    <row r="52" spans="11:20" ht="14.25" customHeight="1"/>
    <row r="53" spans="11:20" ht="14.25" customHeight="1">
      <c r="K53" s="11"/>
      <c r="L53" s="12"/>
      <c r="M53" s="8"/>
      <c r="N53" s="12"/>
      <c r="O53" s="13"/>
      <c r="P53" s="14"/>
      <c r="Q53" s="15"/>
      <c r="R53" s="14"/>
      <c r="S53" s="16"/>
      <c r="T53" s="14"/>
    </row>
    <row r="54" spans="11:20">
      <c r="K54" s="17"/>
      <c r="L54" s="12"/>
      <c r="M54" s="18"/>
      <c r="N54" s="12"/>
      <c r="O54" s="8"/>
      <c r="P54" s="14"/>
      <c r="Q54" s="15"/>
      <c r="R54" s="14"/>
      <c r="S54" s="16"/>
      <c r="T54" s="567"/>
    </row>
    <row r="55" spans="11:20">
      <c r="K55" s="17"/>
      <c r="L55" s="12"/>
      <c r="M55" s="8"/>
      <c r="N55" s="12"/>
      <c r="O55" s="8"/>
      <c r="P55" s="8"/>
      <c r="Q55" s="8"/>
      <c r="R55" s="14"/>
      <c r="S55" s="19"/>
      <c r="T55" s="568"/>
    </row>
    <row r="57" spans="11:20">
      <c r="K57" s="11"/>
      <c r="L57" s="12"/>
      <c r="M57" s="8"/>
      <c r="N57" s="12"/>
      <c r="O57" s="13"/>
      <c r="P57" s="14"/>
      <c r="Q57" s="15"/>
      <c r="R57" s="14"/>
      <c r="S57" s="16"/>
      <c r="T57" s="14"/>
    </row>
    <row r="58" spans="11:20">
      <c r="K58" s="17"/>
      <c r="L58" s="12"/>
      <c r="M58" s="18"/>
      <c r="N58" s="12"/>
      <c r="O58" s="8"/>
      <c r="P58" s="14"/>
      <c r="Q58" s="15"/>
      <c r="R58" s="14"/>
      <c r="S58" s="16"/>
      <c r="T58" s="567"/>
    </row>
    <row r="59" spans="11:20">
      <c r="K59" s="17"/>
      <c r="L59" s="12"/>
      <c r="M59" s="8"/>
      <c r="N59" s="12"/>
      <c r="O59" s="8"/>
      <c r="P59" s="8"/>
      <c r="Q59" s="8"/>
      <c r="R59" s="14"/>
      <c r="S59" s="19"/>
      <c r="T59" s="568"/>
    </row>
    <row r="61" spans="11:20">
      <c r="K61" s="11"/>
      <c r="L61" s="12"/>
      <c r="M61" s="8"/>
      <c r="N61" s="12"/>
      <c r="O61" s="13"/>
      <c r="P61" s="14"/>
      <c r="Q61" s="15"/>
      <c r="R61" s="14"/>
      <c r="S61" s="16"/>
      <c r="T61" s="14"/>
    </row>
    <row r="62" spans="11:20">
      <c r="K62" s="17"/>
      <c r="L62" s="12"/>
      <c r="M62" s="18"/>
      <c r="N62" s="12"/>
      <c r="O62" s="8"/>
      <c r="P62" s="14"/>
      <c r="Q62" s="15"/>
      <c r="R62" s="14"/>
      <c r="S62" s="16"/>
      <c r="T62" s="567"/>
    </row>
    <row r="63" spans="11:20">
      <c r="K63" s="17"/>
      <c r="L63" s="12"/>
      <c r="M63" s="8"/>
      <c r="N63" s="12"/>
      <c r="O63" s="8"/>
      <c r="P63" s="8"/>
      <c r="Q63" s="8"/>
      <c r="R63" s="14"/>
      <c r="S63" s="19"/>
      <c r="T63" s="568"/>
    </row>
    <row r="65" spans="11:20">
      <c r="K65" s="11"/>
      <c r="L65" s="12"/>
      <c r="M65" s="8"/>
      <c r="N65" s="12"/>
      <c r="O65" s="13"/>
      <c r="P65" s="14"/>
      <c r="Q65" s="15"/>
      <c r="R65" s="14"/>
      <c r="S65" s="16"/>
      <c r="T65" s="14"/>
    </row>
    <row r="66" spans="11:20">
      <c r="K66" s="17"/>
      <c r="L66" s="12"/>
      <c r="M66" s="18"/>
      <c r="N66" s="12"/>
      <c r="O66" s="8"/>
      <c r="P66" s="14"/>
      <c r="Q66" s="15"/>
      <c r="R66" s="14"/>
      <c r="S66" s="16"/>
      <c r="T66" s="567"/>
    </row>
    <row r="67" spans="11:20">
      <c r="K67" s="17"/>
      <c r="L67" s="12"/>
      <c r="M67" s="8"/>
      <c r="N67" s="12"/>
      <c r="O67" s="8"/>
      <c r="P67" s="8"/>
      <c r="Q67" s="8"/>
      <c r="R67" s="14"/>
      <c r="S67" s="19"/>
      <c r="T67" s="568"/>
    </row>
    <row r="69" spans="11:20">
      <c r="K69" s="11"/>
      <c r="L69" s="12"/>
      <c r="M69" s="8"/>
      <c r="N69" s="12"/>
      <c r="O69" s="13"/>
      <c r="P69" s="14"/>
      <c r="Q69" s="15"/>
      <c r="R69" s="14"/>
      <c r="S69" s="16"/>
      <c r="T69" s="14"/>
    </row>
    <row r="70" spans="11:20">
      <c r="K70" s="17"/>
      <c r="L70" s="12"/>
      <c r="M70" s="18"/>
      <c r="N70" s="12"/>
      <c r="O70" s="8"/>
      <c r="P70" s="14"/>
      <c r="Q70" s="15"/>
      <c r="R70" s="14"/>
      <c r="S70" s="16"/>
      <c r="T70" s="567"/>
    </row>
    <row r="71" spans="11:20">
      <c r="K71" s="17"/>
      <c r="L71" s="12"/>
      <c r="M71" s="20"/>
      <c r="N71" s="12"/>
      <c r="O71" s="8"/>
      <c r="P71" s="8"/>
      <c r="Q71" s="8"/>
      <c r="R71" s="14"/>
      <c r="S71" s="19"/>
      <c r="T71" s="568"/>
    </row>
    <row r="73" spans="11:20">
      <c r="K73" s="11"/>
      <c r="L73" s="12"/>
      <c r="M73" s="8"/>
      <c r="N73" s="12"/>
      <c r="O73" s="13"/>
      <c r="P73" s="14"/>
      <c r="Q73" s="15"/>
      <c r="R73" s="14"/>
      <c r="S73" s="16"/>
      <c r="T73" s="14"/>
    </row>
    <row r="74" spans="11:20">
      <c r="K74" s="17"/>
      <c r="L74" s="12"/>
      <c r="M74" s="18"/>
      <c r="N74" s="12"/>
      <c r="O74" s="8"/>
      <c r="P74" s="14"/>
      <c r="Q74" s="15"/>
      <c r="R74" s="14"/>
      <c r="S74" s="16"/>
      <c r="T74" s="567"/>
    </row>
    <row r="75" spans="11:20">
      <c r="K75" s="17"/>
      <c r="L75" s="12"/>
      <c r="M75" s="8"/>
      <c r="N75" s="12"/>
      <c r="O75" s="8"/>
      <c r="P75" s="8"/>
      <c r="Q75" s="8"/>
      <c r="R75" s="14"/>
      <c r="S75" s="19"/>
      <c r="T75" s="568"/>
    </row>
    <row r="77" spans="11:20">
      <c r="K77" s="11"/>
      <c r="L77" s="12"/>
      <c r="M77" s="8"/>
      <c r="N77" s="12"/>
      <c r="O77" s="13"/>
      <c r="P77" s="14"/>
      <c r="Q77" s="15"/>
      <c r="R77" s="14"/>
      <c r="S77" s="16"/>
      <c r="T77" s="14"/>
    </row>
    <row r="78" spans="11:20">
      <c r="K78" s="17"/>
      <c r="L78" s="12"/>
      <c r="M78" s="18"/>
      <c r="N78" s="12"/>
      <c r="O78" s="8"/>
      <c r="P78" s="14"/>
      <c r="Q78" s="15"/>
      <c r="R78" s="14"/>
      <c r="S78" s="16"/>
      <c r="T78" s="567"/>
    </row>
    <row r="79" spans="11:20">
      <c r="K79" s="17"/>
      <c r="L79" s="12"/>
      <c r="M79" s="20"/>
      <c r="N79" s="12"/>
      <c r="O79" s="8"/>
      <c r="P79" s="8"/>
      <c r="Q79" s="8"/>
      <c r="R79" s="14"/>
      <c r="S79" s="19"/>
      <c r="T79" s="568"/>
    </row>
    <row r="81" spans="11:20">
      <c r="K81" s="11"/>
      <c r="L81" s="12"/>
      <c r="M81" s="8"/>
      <c r="N81" s="12"/>
      <c r="O81" s="13"/>
      <c r="P81" s="14"/>
      <c r="Q81" s="15"/>
      <c r="R81" s="14"/>
      <c r="S81" s="16"/>
      <c r="T81" s="14"/>
    </row>
    <row r="82" spans="11:20">
      <c r="K82" s="17"/>
      <c r="L82" s="12"/>
      <c r="M82" s="18"/>
      <c r="N82" s="12"/>
      <c r="O82" s="8"/>
      <c r="P82" s="14"/>
      <c r="Q82" s="15"/>
      <c r="R82" s="14"/>
      <c r="S82" s="16"/>
      <c r="T82" s="567"/>
    </row>
    <row r="83" spans="11:20">
      <c r="K83" s="17"/>
      <c r="L83" s="12"/>
      <c r="M83" s="8"/>
      <c r="N83" s="12"/>
      <c r="O83" s="8"/>
      <c r="P83" s="8"/>
      <c r="Q83" s="8"/>
      <c r="R83" s="14"/>
      <c r="S83" s="19"/>
      <c r="T83" s="568"/>
    </row>
    <row r="85" spans="11:20">
      <c r="K85" s="11"/>
      <c r="L85" s="12"/>
      <c r="M85" s="8"/>
      <c r="N85" s="12"/>
      <c r="O85" s="13"/>
      <c r="P85" s="14"/>
      <c r="Q85" s="15"/>
      <c r="R85" s="14"/>
      <c r="S85" s="16"/>
      <c r="T85" s="14"/>
    </row>
    <row r="86" spans="11:20">
      <c r="K86" s="17"/>
      <c r="L86" s="12"/>
      <c r="M86" s="18"/>
      <c r="N86" s="12"/>
      <c r="O86" s="8"/>
      <c r="P86" s="14"/>
      <c r="Q86" s="15"/>
      <c r="R86" s="14"/>
      <c r="S86" s="16"/>
      <c r="T86" s="567"/>
    </row>
    <row r="87" spans="11:20">
      <c r="K87" s="17"/>
      <c r="L87" s="12"/>
      <c r="M87" s="8"/>
      <c r="N87" s="12"/>
      <c r="O87" s="8"/>
      <c r="P87" s="8"/>
      <c r="Q87" s="8"/>
      <c r="R87" s="14"/>
      <c r="S87" s="19"/>
      <c r="T87" s="568"/>
    </row>
    <row r="89" spans="11:20">
      <c r="K89" s="11"/>
      <c r="L89" s="12"/>
      <c r="M89" s="8"/>
      <c r="N89" s="12"/>
      <c r="O89" s="13"/>
      <c r="P89" s="14"/>
      <c r="Q89" s="15"/>
      <c r="R89" s="14"/>
      <c r="S89" s="16"/>
      <c r="T89" s="14"/>
    </row>
    <row r="90" spans="11:20">
      <c r="K90" s="17"/>
      <c r="L90" s="12"/>
      <c r="M90" s="18"/>
      <c r="N90" s="12"/>
      <c r="O90" s="8"/>
      <c r="P90" s="14"/>
      <c r="Q90" s="15"/>
      <c r="R90" s="14"/>
      <c r="S90" s="16"/>
      <c r="T90" s="567"/>
    </row>
    <row r="91" spans="11:20">
      <c r="K91" s="17"/>
      <c r="L91" s="12"/>
      <c r="M91" s="18"/>
      <c r="N91" s="12"/>
      <c r="O91" s="8"/>
      <c r="P91" s="8"/>
      <c r="Q91" s="8"/>
      <c r="R91" s="14"/>
      <c r="S91" s="19"/>
      <c r="T91" s="568"/>
    </row>
    <row r="93" spans="11:20">
      <c r="K93" s="11"/>
      <c r="L93" s="12"/>
      <c r="M93" s="8"/>
      <c r="N93" s="12"/>
      <c r="O93" s="13"/>
      <c r="P93" s="14"/>
      <c r="Q93" s="15"/>
      <c r="R93" s="14"/>
      <c r="S93" s="16"/>
      <c r="T93" s="14"/>
    </row>
    <row r="94" spans="11:20">
      <c r="K94" s="17"/>
      <c r="L94" s="12"/>
      <c r="M94" s="18"/>
      <c r="N94" s="12"/>
      <c r="O94" s="8"/>
      <c r="P94" s="14"/>
      <c r="Q94" s="15"/>
      <c r="R94" s="14"/>
      <c r="S94" s="16"/>
      <c r="T94" s="567"/>
    </row>
    <row r="95" spans="11:20">
      <c r="K95" s="17"/>
      <c r="L95" s="12"/>
      <c r="M95" s="20"/>
      <c r="N95" s="12"/>
      <c r="O95" s="8"/>
      <c r="P95" s="8"/>
      <c r="Q95" s="8"/>
      <c r="R95" s="14"/>
      <c r="S95" s="19"/>
      <c r="T95" s="568"/>
    </row>
    <row r="97" spans="11:20">
      <c r="K97" s="11"/>
      <c r="L97" s="12"/>
      <c r="M97" s="8"/>
      <c r="N97" s="12"/>
      <c r="O97" s="13"/>
      <c r="P97" s="14"/>
      <c r="Q97" s="15"/>
      <c r="R97" s="14"/>
      <c r="S97" s="16"/>
      <c r="T97" s="14"/>
    </row>
    <row r="98" spans="11:20">
      <c r="K98" s="17"/>
      <c r="L98" s="12"/>
      <c r="M98" s="18"/>
      <c r="N98" s="12"/>
      <c r="O98" s="8"/>
      <c r="P98" s="14"/>
      <c r="Q98" s="15"/>
      <c r="R98" s="14"/>
      <c r="S98" s="16"/>
      <c r="T98" s="567"/>
    </row>
    <row r="99" spans="11:20">
      <c r="K99" s="17"/>
      <c r="L99" s="12"/>
      <c r="M99" s="20"/>
      <c r="N99" s="12"/>
      <c r="O99" s="8"/>
      <c r="P99" s="8"/>
      <c r="Q99" s="8"/>
      <c r="R99" s="14"/>
      <c r="S99" s="19"/>
      <c r="T99" s="568"/>
    </row>
    <row r="101" spans="11:20">
      <c r="K101" s="11"/>
      <c r="L101" s="12"/>
      <c r="M101" s="8"/>
      <c r="N101" s="12"/>
      <c r="O101" s="13"/>
      <c r="P101" s="14"/>
      <c r="Q101" s="15"/>
      <c r="R101" s="14"/>
      <c r="S101" s="16"/>
      <c r="T101" s="14"/>
    </row>
    <row r="102" spans="11:20">
      <c r="K102" s="17"/>
      <c r="L102" s="12"/>
      <c r="M102" s="18"/>
      <c r="N102" s="12"/>
      <c r="O102" s="8"/>
      <c r="P102" s="14"/>
      <c r="Q102" s="15"/>
      <c r="R102" s="14"/>
      <c r="S102" s="16"/>
      <c r="T102" s="567"/>
    </row>
    <row r="103" spans="11:20">
      <c r="K103" s="17"/>
      <c r="L103" s="12"/>
      <c r="M103" s="8"/>
      <c r="N103" s="12"/>
      <c r="O103" s="8"/>
      <c r="P103" s="8"/>
      <c r="Q103" s="8"/>
      <c r="R103" s="14"/>
      <c r="S103" s="19"/>
      <c r="T103" s="568"/>
    </row>
    <row r="105" spans="11:20">
      <c r="K105" s="11"/>
      <c r="L105" s="12"/>
      <c r="M105" s="8"/>
      <c r="N105" s="12"/>
      <c r="O105" s="13"/>
      <c r="P105" s="14"/>
      <c r="Q105" s="15"/>
      <c r="R105" s="14"/>
      <c r="S105" s="16"/>
      <c r="T105" s="14"/>
    </row>
    <row r="106" spans="11:20">
      <c r="K106" s="17"/>
      <c r="L106" s="12"/>
      <c r="M106" s="18"/>
      <c r="N106" s="12"/>
      <c r="O106" s="8"/>
      <c r="P106" s="14"/>
      <c r="Q106" s="15"/>
      <c r="R106" s="14"/>
      <c r="S106" s="16"/>
      <c r="T106" s="567"/>
    </row>
    <row r="107" spans="11:20">
      <c r="K107" s="17"/>
      <c r="L107" s="12"/>
      <c r="M107" s="8"/>
      <c r="N107" s="12"/>
      <c r="O107" s="8"/>
      <c r="P107" s="8"/>
      <c r="Q107" s="8"/>
      <c r="R107" s="14"/>
      <c r="S107" s="19"/>
      <c r="T107" s="568"/>
    </row>
    <row r="109" spans="11:20">
      <c r="K109" s="11"/>
      <c r="L109" s="12"/>
      <c r="M109" s="8"/>
      <c r="N109" s="12"/>
      <c r="O109" s="13"/>
      <c r="P109" s="14"/>
      <c r="Q109" s="15"/>
      <c r="R109" s="14"/>
      <c r="S109" s="16"/>
      <c r="T109" s="14"/>
    </row>
    <row r="110" spans="11:20">
      <c r="K110" s="17"/>
      <c r="L110" s="12"/>
      <c r="M110" s="18"/>
      <c r="N110" s="12"/>
      <c r="O110" s="8"/>
      <c r="P110" s="14"/>
      <c r="Q110" s="15"/>
      <c r="R110" s="14"/>
      <c r="S110" s="16"/>
      <c r="T110" s="567"/>
    </row>
    <row r="111" spans="11:20">
      <c r="K111" s="17"/>
      <c r="L111" s="12"/>
      <c r="M111" s="8"/>
      <c r="N111" s="12"/>
      <c r="O111" s="8"/>
      <c r="P111" s="8"/>
      <c r="Q111" s="8"/>
      <c r="R111" s="14"/>
      <c r="S111" s="19"/>
      <c r="T111" s="568"/>
    </row>
    <row r="113" spans="11:20">
      <c r="K113" s="11"/>
      <c r="L113" s="12"/>
      <c r="M113" s="8"/>
      <c r="N113" s="12"/>
      <c r="O113" s="13"/>
      <c r="P113" s="14"/>
      <c r="Q113" s="15"/>
      <c r="R113" s="14"/>
      <c r="S113" s="16"/>
      <c r="T113" s="14"/>
    </row>
    <row r="114" spans="11:20">
      <c r="K114" s="17"/>
      <c r="L114" s="12"/>
      <c r="M114" s="18"/>
      <c r="N114" s="12"/>
      <c r="O114" s="8"/>
      <c r="P114" s="14"/>
      <c r="Q114" s="15"/>
      <c r="R114" s="14"/>
      <c r="S114" s="16"/>
      <c r="T114" s="567"/>
    </row>
    <row r="115" spans="11:20">
      <c r="K115" s="17"/>
      <c r="L115" s="12"/>
      <c r="M115" s="8"/>
      <c r="N115" s="12"/>
      <c r="O115" s="8"/>
      <c r="P115" s="8"/>
      <c r="Q115" s="8"/>
      <c r="R115" s="14"/>
      <c r="S115" s="19"/>
      <c r="T115" s="568"/>
    </row>
    <row r="117" spans="11:20">
      <c r="K117" s="11"/>
      <c r="L117" s="12"/>
      <c r="M117" s="8"/>
      <c r="N117" s="12"/>
      <c r="O117" s="13"/>
      <c r="P117" s="14"/>
      <c r="Q117" s="15"/>
      <c r="R117" s="14"/>
      <c r="S117" s="16"/>
      <c r="T117" s="14"/>
    </row>
    <row r="118" spans="11:20">
      <c r="K118" s="17"/>
      <c r="L118" s="12"/>
      <c r="M118" s="18"/>
      <c r="N118" s="12"/>
      <c r="O118" s="8"/>
      <c r="P118" s="14"/>
      <c r="Q118" s="15"/>
      <c r="R118" s="14"/>
      <c r="S118" s="16"/>
      <c r="T118" s="567"/>
    </row>
    <row r="119" spans="11:20">
      <c r="K119" s="17"/>
      <c r="L119" s="12"/>
      <c r="M119" s="8"/>
      <c r="N119" s="12"/>
      <c r="O119" s="8"/>
      <c r="P119" s="8"/>
      <c r="Q119" s="8"/>
      <c r="R119" s="14"/>
      <c r="S119" s="19"/>
      <c r="T119" s="568"/>
    </row>
    <row r="121" spans="11:20">
      <c r="K121" s="11"/>
      <c r="L121" s="12"/>
      <c r="M121" s="8"/>
      <c r="N121" s="12"/>
      <c r="O121" s="13"/>
      <c r="P121" s="14"/>
      <c r="Q121" s="15"/>
      <c r="R121" s="14"/>
      <c r="S121" s="16"/>
      <c r="T121" s="14"/>
    </row>
    <row r="122" spans="11:20">
      <c r="K122" s="17"/>
      <c r="L122" s="12"/>
      <c r="M122" s="18"/>
      <c r="N122" s="12"/>
      <c r="O122" s="8"/>
      <c r="P122" s="14"/>
      <c r="Q122" s="15"/>
      <c r="R122" s="14"/>
      <c r="S122" s="16"/>
      <c r="T122" s="567"/>
    </row>
    <row r="123" spans="11:20">
      <c r="K123" s="17"/>
      <c r="L123" s="12"/>
      <c r="M123" s="8"/>
      <c r="N123" s="12"/>
      <c r="O123" s="8"/>
      <c r="P123" s="8"/>
      <c r="Q123" s="8"/>
      <c r="R123" s="14"/>
      <c r="S123" s="19"/>
      <c r="T123" s="568"/>
    </row>
  </sheetData>
  <mergeCells count="27">
    <mergeCell ref="B22:H22"/>
    <mergeCell ref="T42:T43"/>
    <mergeCell ref="C28:E28"/>
    <mergeCell ref="F28:G28"/>
    <mergeCell ref="C33:E33"/>
    <mergeCell ref="F33:G33"/>
    <mergeCell ref="T38:T39"/>
    <mergeCell ref="T90:T91"/>
    <mergeCell ref="T46:T47"/>
    <mergeCell ref="T50:T51"/>
    <mergeCell ref="T54:T55"/>
    <mergeCell ref="T58:T59"/>
    <mergeCell ref="T62:T63"/>
    <mergeCell ref="T66:T67"/>
    <mergeCell ref="T70:T71"/>
    <mergeCell ref="T74:T75"/>
    <mergeCell ref="T78:T79"/>
    <mergeCell ref="T82:T83"/>
    <mergeCell ref="T86:T87"/>
    <mergeCell ref="T118:T119"/>
    <mergeCell ref="T122:T123"/>
    <mergeCell ref="T94:T95"/>
    <mergeCell ref="T98:T99"/>
    <mergeCell ref="T102:T103"/>
    <mergeCell ref="T106:T107"/>
    <mergeCell ref="T110:T111"/>
    <mergeCell ref="T114:T115"/>
  </mergeCells>
  <phoneticPr fontId="11"/>
  <printOptions horizontalCentered="1"/>
  <pageMargins left="0.39370078740157483" right="0.39370078740157483" top="0.39370078740157483" bottom="0.39370078740157483" header="0.19685039370078741" footer="0.19685039370078741"/>
  <pageSetup paperSize="9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BA34"/>
  <sheetViews>
    <sheetView view="pageBreakPreview" zoomScaleNormal="100" zoomScaleSheetLayoutView="100" workbookViewId="0">
      <selection sqref="A1:H1"/>
    </sheetView>
  </sheetViews>
  <sheetFormatPr defaultRowHeight="13"/>
  <cols>
    <col min="1" max="64" width="2.6328125" customWidth="1"/>
  </cols>
  <sheetData>
    <row r="1" spans="1:53" ht="12" customHeight="1">
      <c r="A1" s="597" t="s">
        <v>4</v>
      </c>
      <c r="B1" s="597"/>
      <c r="C1" s="597"/>
      <c r="D1" s="597"/>
      <c r="E1" s="597"/>
      <c r="F1" s="597"/>
      <c r="G1" s="597"/>
      <c r="H1" s="597"/>
      <c r="I1" s="584" t="s">
        <v>5</v>
      </c>
      <c r="J1" s="584"/>
      <c r="K1" s="584"/>
      <c r="L1" s="584"/>
      <c r="M1" s="595" t="s">
        <v>6</v>
      </c>
      <c r="N1" s="595"/>
      <c r="O1" s="595"/>
      <c r="P1" s="595"/>
      <c r="Q1" s="595"/>
      <c r="R1" s="595"/>
      <c r="S1" s="595"/>
      <c r="T1" s="595"/>
      <c r="U1" s="595"/>
      <c r="V1" s="595"/>
      <c r="W1" s="595"/>
      <c r="X1" s="584" t="s">
        <v>7</v>
      </c>
      <c r="Y1" s="584"/>
      <c r="Z1" s="584"/>
      <c r="AA1" s="599" t="s">
        <v>428</v>
      </c>
      <c r="AB1" s="599"/>
      <c r="AC1" s="599"/>
      <c r="AD1" s="599"/>
      <c r="AE1" s="599"/>
      <c r="AF1" s="599"/>
      <c r="AG1" s="599"/>
      <c r="AH1" s="599"/>
      <c r="AI1" s="599"/>
      <c r="AJ1" s="599"/>
      <c r="AK1" s="573" t="s">
        <v>8</v>
      </c>
      <c r="AL1" s="573"/>
      <c r="AM1" s="573"/>
      <c r="AN1" s="575" t="s">
        <v>172</v>
      </c>
      <c r="AO1" s="575"/>
      <c r="AP1" s="575"/>
      <c r="AQ1" s="573" t="s">
        <v>9</v>
      </c>
      <c r="AR1" s="573"/>
      <c r="AS1" s="573"/>
      <c r="AT1" s="576">
        <f>AL7</f>
        <v>46125</v>
      </c>
      <c r="AU1" s="576"/>
      <c r="AV1" s="576"/>
      <c r="AW1" s="576"/>
      <c r="AX1" s="580" t="s">
        <v>10</v>
      </c>
      <c r="AY1" s="581"/>
      <c r="AZ1" s="581"/>
      <c r="BA1" s="582"/>
    </row>
    <row r="2" spans="1:53">
      <c r="A2" s="583" t="s">
        <v>16</v>
      </c>
      <c r="B2" s="583"/>
      <c r="C2" s="583"/>
      <c r="D2" s="583"/>
      <c r="E2" s="583"/>
      <c r="F2" s="583"/>
      <c r="G2" s="583"/>
      <c r="H2" s="583"/>
      <c r="I2" s="584" t="s">
        <v>11</v>
      </c>
      <c r="J2" s="584"/>
      <c r="K2" s="584"/>
      <c r="L2" s="584"/>
      <c r="M2" s="585" t="s">
        <v>433</v>
      </c>
      <c r="N2" s="586"/>
      <c r="O2" s="586"/>
      <c r="P2" s="586"/>
      <c r="Q2" s="586"/>
      <c r="R2" s="586"/>
      <c r="S2" s="586"/>
      <c r="T2" s="586"/>
      <c r="U2" s="586"/>
      <c r="V2" s="586"/>
      <c r="W2" s="587"/>
      <c r="X2" s="584"/>
      <c r="Y2" s="584"/>
      <c r="Z2" s="584"/>
      <c r="AA2" s="599"/>
      <c r="AB2" s="599"/>
      <c r="AC2" s="599"/>
      <c r="AD2" s="599"/>
      <c r="AE2" s="599"/>
      <c r="AF2" s="599"/>
      <c r="AG2" s="599"/>
      <c r="AH2" s="599"/>
      <c r="AI2" s="599"/>
      <c r="AJ2" s="599"/>
      <c r="AK2" s="573" t="s">
        <v>12</v>
      </c>
      <c r="AL2" s="573"/>
      <c r="AM2" s="573"/>
      <c r="AN2" s="575" t="s">
        <v>172</v>
      </c>
      <c r="AO2" s="575"/>
      <c r="AP2" s="575"/>
      <c r="AQ2" s="573" t="s">
        <v>13</v>
      </c>
      <c r="AR2" s="573"/>
      <c r="AS2" s="573"/>
      <c r="AT2" s="576">
        <v>46160</v>
      </c>
      <c r="AU2" s="576"/>
      <c r="AV2" s="576"/>
      <c r="AW2" s="576"/>
      <c r="AX2" s="588" t="s">
        <v>30</v>
      </c>
      <c r="AY2" s="589"/>
      <c r="AZ2" s="589"/>
      <c r="BA2" s="590"/>
    </row>
    <row r="3" spans="1:53" ht="12" customHeight="1">
      <c r="A3" s="594" t="s">
        <v>26</v>
      </c>
      <c r="B3" s="594"/>
      <c r="C3" s="594"/>
      <c r="D3" s="594"/>
      <c r="E3" s="594"/>
      <c r="F3" s="594"/>
      <c r="G3" s="594"/>
      <c r="H3" s="594"/>
      <c r="I3" s="584" t="s">
        <v>14</v>
      </c>
      <c r="J3" s="584"/>
      <c r="K3" s="584"/>
      <c r="L3" s="584"/>
      <c r="M3" s="595"/>
      <c r="N3" s="595"/>
      <c r="O3" s="595"/>
      <c r="P3" s="595"/>
      <c r="Q3" s="595"/>
      <c r="R3" s="595"/>
      <c r="S3" s="595"/>
      <c r="T3" s="595"/>
      <c r="U3" s="595"/>
      <c r="V3" s="595"/>
      <c r="W3" s="595"/>
      <c r="X3" s="584" t="s">
        <v>27</v>
      </c>
      <c r="Y3" s="584"/>
      <c r="Z3" s="584"/>
      <c r="AA3" s="596" t="s">
        <v>429</v>
      </c>
      <c r="AB3" s="596"/>
      <c r="AC3" s="596"/>
      <c r="AD3" s="596"/>
      <c r="AE3" s="596"/>
      <c r="AF3" s="596"/>
      <c r="AG3" s="596"/>
      <c r="AH3" s="596"/>
      <c r="AI3" s="596"/>
      <c r="AJ3" s="596"/>
      <c r="AK3" s="596"/>
      <c r="AL3" s="596"/>
      <c r="AM3" s="596"/>
      <c r="AN3" s="596"/>
      <c r="AO3" s="596"/>
      <c r="AP3" s="596"/>
      <c r="AQ3" s="573" t="s">
        <v>15</v>
      </c>
      <c r="AR3" s="573"/>
      <c r="AS3" s="573"/>
      <c r="AT3" s="574" t="str">
        <f ca="1">INDIRECT("A" &amp; COUNTA(A7:A39) + 6)</f>
        <v>ｒ1.1</v>
      </c>
      <c r="AU3" s="574"/>
      <c r="AV3" s="574"/>
      <c r="AW3" s="574"/>
      <c r="AX3" s="591"/>
      <c r="AY3" s="592"/>
      <c r="AZ3" s="592"/>
      <c r="BA3" s="593"/>
    </row>
    <row r="4" spans="1:53" ht="5.9" customHeight="1"/>
    <row r="5" spans="1:53" ht="14">
      <c r="A5" s="598" t="s">
        <v>25</v>
      </c>
      <c r="B5" s="598"/>
      <c r="C5" s="598"/>
      <c r="D5" s="598"/>
      <c r="E5" s="598"/>
      <c r="F5" s="598"/>
      <c r="G5" s="598"/>
      <c r="H5" s="598"/>
      <c r="I5" s="598"/>
      <c r="J5" s="598"/>
      <c r="K5" s="598"/>
      <c r="L5" s="598"/>
      <c r="M5" s="598"/>
      <c r="N5" s="598"/>
      <c r="O5" s="598"/>
      <c r="P5" s="598"/>
      <c r="Q5" s="598"/>
      <c r="R5" s="598"/>
      <c r="S5" s="598"/>
      <c r="T5" s="598"/>
      <c r="U5" s="598"/>
      <c r="V5" s="598"/>
      <c r="W5" s="598"/>
      <c r="X5" s="598"/>
      <c r="Y5" s="598"/>
      <c r="Z5" s="598"/>
      <c r="AA5" s="598"/>
      <c r="AB5" s="598"/>
      <c r="AC5" s="598"/>
      <c r="AD5" s="598"/>
      <c r="AE5" s="598"/>
      <c r="AF5" s="598"/>
      <c r="AG5" s="598"/>
      <c r="AH5" s="598"/>
      <c r="AI5" s="598"/>
      <c r="AJ5" s="598"/>
      <c r="AK5" s="598"/>
      <c r="AL5" s="598"/>
      <c r="AM5" s="598"/>
      <c r="AN5" s="598"/>
      <c r="AO5" s="598"/>
      <c r="AP5" s="598"/>
      <c r="AQ5" s="598"/>
      <c r="AR5" s="598"/>
      <c r="AS5" s="598"/>
      <c r="AT5" s="598"/>
      <c r="AU5" s="598"/>
      <c r="AV5" s="598"/>
      <c r="AW5" s="598"/>
      <c r="AX5" s="598"/>
      <c r="AY5" s="598"/>
      <c r="AZ5" s="598"/>
      <c r="BA5" s="598"/>
    </row>
    <row r="6" spans="1:53">
      <c r="A6" s="577" t="s">
        <v>24</v>
      </c>
      <c r="B6" s="578"/>
      <c r="C6" s="579" t="s">
        <v>17</v>
      </c>
      <c r="D6" s="579"/>
      <c r="E6" s="579"/>
      <c r="F6" s="579"/>
      <c r="G6" s="579"/>
      <c r="H6" s="579"/>
      <c r="I6" s="579"/>
      <c r="J6" s="579"/>
      <c r="K6" s="579"/>
      <c r="L6" s="579"/>
      <c r="M6" s="579"/>
      <c r="N6" s="579"/>
      <c r="O6" s="579"/>
      <c r="P6" s="579"/>
      <c r="Q6" s="579" t="s">
        <v>18</v>
      </c>
      <c r="R6" s="579"/>
      <c r="S6" s="579"/>
      <c r="T6" s="579"/>
      <c r="U6" s="579"/>
      <c r="V6" s="579"/>
      <c r="W6" s="579"/>
      <c r="X6" s="579"/>
      <c r="Y6" s="579"/>
      <c r="Z6" s="579"/>
      <c r="AA6" s="579"/>
      <c r="AB6" s="579"/>
      <c r="AC6" s="579"/>
      <c r="AD6" s="579"/>
      <c r="AE6" s="579"/>
      <c r="AF6" s="579"/>
      <c r="AG6" s="579"/>
      <c r="AH6" s="579"/>
      <c r="AI6" s="579"/>
      <c r="AJ6" s="579"/>
      <c r="AK6" s="579"/>
      <c r="AL6" s="579" t="s">
        <v>19</v>
      </c>
      <c r="AM6" s="579"/>
      <c r="AN6" s="579"/>
      <c r="AO6" s="579"/>
      <c r="AP6" s="579" t="s">
        <v>20</v>
      </c>
      <c r="AQ6" s="579"/>
      <c r="AR6" s="579"/>
      <c r="AS6" s="579" t="s">
        <v>21</v>
      </c>
      <c r="AT6" s="579"/>
      <c r="AU6" s="579"/>
      <c r="AV6" s="579" t="s">
        <v>22</v>
      </c>
      <c r="AW6" s="579"/>
      <c r="AX6" s="579"/>
      <c r="AY6" s="579"/>
      <c r="AZ6" s="579"/>
      <c r="BA6" s="579"/>
    </row>
    <row r="7" spans="1:53">
      <c r="A7" s="602" t="s">
        <v>142</v>
      </c>
      <c r="B7" s="602"/>
      <c r="C7" s="605" t="s">
        <v>23</v>
      </c>
      <c r="D7" s="605"/>
      <c r="E7" s="605"/>
      <c r="F7" s="605"/>
      <c r="G7" s="605"/>
      <c r="H7" s="605"/>
      <c r="I7" s="605"/>
      <c r="J7" s="605"/>
      <c r="K7" s="605"/>
      <c r="L7" s="605"/>
      <c r="M7" s="605"/>
      <c r="N7" s="605"/>
      <c r="O7" s="605"/>
      <c r="P7" s="605"/>
      <c r="Q7" s="605"/>
      <c r="R7" s="605"/>
      <c r="S7" s="605"/>
      <c r="T7" s="605"/>
      <c r="U7" s="605"/>
      <c r="V7" s="605"/>
      <c r="W7" s="605"/>
      <c r="X7" s="605"/>
      <c r="Y7" s="605"/>
      <c r="Z7" s="605"/>
      <c r="AA7" s="605"/>
      <c r="AB7" s="605"/>
      <c r="AC7" s="605"/>
      <c r="AD7" s="605"/>
      <c r="AE7" s="605"/>
      <c r="AF7" s="605"/>
      <c r="AG7" s="605"/>
      <c r="AH7" s="605"/>
      <c r="AI7" s="605"/>
      <c r="AJ7" s="605"/>
      <c r="AK7" s="605"/>
      <c r="AL7" s="613">
        <v>46125</v>
      </c>
      <c r="AM7" s="614"/>
      <c r="AN7" s="614"/>
      <c r="AO7" s="614"/>
      <c r="AP7" s="605" t="s">
        <v>172</v>
      </c>
      <c r="AQ7" s="605"/>
      <c r="AR7" s="605"/>
      <c r="AS7" s="605"/>
      <c r="AT7" s="605"/>
      <c r="AU7" s="605"/>
      <c r="AV7" s="605"/>
      <c r="AW7" s="605"/>
      <c r="AX7" s="605"/>
      <c r="AY7" s="605"/>
      <c r="AZ7" s="605"/>
      <c r="BA7" s="605"/>
    </row>
    <row r="8" spans="1:53">
      <c r="A8" s="602" t="s">
        <v>430</v>
      </c>
      <c r="B8" s="602"/>
      <c r="C8" s="605" t="s">
        <v>431</v>
      </c>
      <c r="D8" s="605"/>
      <c r="E8" s="605"/>
      <c r="F8" s="605"/>
      <c r="G8" s="605"/>
      <c r="H8" s="605"/>
      <c r="I8" s="605"/>
      <c r="J8" s="605"/>
      <c r="K8" s="605"/>
      <c r="L8" s="605"/>
      <c r="M8" s="605"/>
      <c r="N8" s="605"/>
      <c r="O8" s="605"/>
      <c r="P8" s="605"/>
      <c r="Q8" s="608" t="s">
        <v>432</v>
      </c>
      <c r="R8" s="609"/>
      <c r="S8" s="609"/>
      <c r="T8" s="609"/>
      <c r="U8" s="609"/>
      <c r="V8" s="609"/>
      <c r="W8" s="609"/>
      <c r="X8" s="609"/>
      <c r="Y8" s="609"/>
      <c r="Z8" s="609"/>
      <c r="AA8" s="609"/>
      <c r="AB8" s="609"/>
      <c r="AC8" s="609"/>
      <c r="AD8" s="609"/>
      <c r="AE8" s="609"/>
      <c r="AF8" s="609"/>
      <c r="AG8" s="609"/>
      <c r="AH8" s="609"/>
      <c r="AI8" s="609"/>
      <c r="AJ8" s="609"/>
      <c r="AK8" s="610"/>
      <c r="AL8" s="615">
        <v>46160</v>
      </c>
      <c r="AM8" s="616"/>
      <c r="AN8" s="616"/>
      <c r="AO8" s="617"/>
      <c r="AP8" s="605" t="s">
        <v>172</v>
      </c>
      <c r="AQ8" s="605"/>
      <c r="AR8" s="605"/>
      <c r="AS8" s="605"/>
      <c r="AT8" s="605"/>
      <c r="AU8" s="605"/>
      <c r="AV8" s="605"/>
      <c r="AW8" s="605"/>
      <c r="AX8" s="605"/>
      <c r="AY8" s="605"/>
      <c r="AZ8" s="605"/>
      <c r="BA8" s="605"/>
    </row>
    <row r="9" spans="1:53">
      <c r="A9" s="600"/>
      <c r="B9" s="601"/>
      <c r="C9" s="605"/>
      <c r="D9" s="605"/>
      <c r="E9" s="605"/>
      <c r="F9" s="605"/>
      <c r="G9" s="605"/>
      <c r="H9" s="605"/>
      <c r="I9" s="605"/>
      <c r="J9" s="605"/>
      <c r="K9" s="605"/>
      <c r="L9" s="605"/>
      <c r="M9" s="605"/>
      <c r="N9" s="605"/>
      <c r="O9" s="605"/>
      <c r="P9" s="605"/>
      <c r="Q9" s="608"/>
      <c r="R9" s="609"/>
      <c r="S9" s="609"/>
      <c r="T9" s="609"/>
      <c r="U9" s="609"/>
      <c r="V9" s="609"/>
      <c r="W9" s="609"/>
      <c r="X9" s="609"/>
      <c r="Y9" s="609"/>
      <c r="Z9" s="609"/>
      <c r="AA9" s="609"/>
      <c r="AB9" s="609"/>
      <c r="AC9" s="609"/>
      <c r="AD9" s="609"/>
      <c r="AE9" s="609"/>
      <c r="AF9" s="609"/>
      <c r="AG9" s="609"/>
      <c r="AH9" s="609"/>
      <c r="AI9" s="609"/>
      <c r="AJ9" s="609"/>
      <c r="AK9" s="610"/>
      <c r="AL9" s="615"/>
      <c r="AM9" s="616"/>
      <c r="AN9" s="616"/>
      <c r="AO9" s="617"/>
      <c r="AP9" s="605"/>
      <c r="AQ9" s="605"/>
      <c r="AR9" s="605"/>
      <c r="AS9" s="605"/>
      <c r="AT9" s="605"/>
      <c r="AU9" s="605"/>
      <c r="AV9" s="605"/>
      <c r="AW9" s="605"/>
      <c r="AX9" s="605"/>
      <c r="AY9" s="605"/>
      <c r="AZ9" s="605"/>
      <c r="BA9" s="605"/>
    </row>
    <row r="10" spans="1:53">
      <c r="A10" s="602"/>
      <c r="B10" s="602"/>
      <c r="C10" s="605"/>
      <c r="D10" s="605"/>
      <c r="E10" s="605"/>
      <c r="F10" s="605"/>
      <c r="G10" s="605"/>
      <c r="H10" s="605"/>
      <c r="I10" s="605"/>
      <c r="J10" s="605"/>
      <c r="K10" s="605"/>
      <c r="L10" s="605"/>
      <c r="M10" s="605"/>
      <c r="N10" s="605"/>
      <c r="O10" s="605"/>
      <c r="P10" s="605"/>
      <c r="Q10" s="606"/>
      <c r="R10" s="605"/>
      <c r="S10" s="605"/>
      <c r="T10" s="605"/>
      <c r="U10" s="605"/>
      <c r="V10" s="605"/>
      <c r="W10" s="605"/>
      <c r="X10" s="605"/>
      <c r="Y10" s="605"/>
      <c r="Z10" s="605"/>
      <c r="AA10" s="605"/>
      <c r="AB10" s="605"/>
      <c r="AC10" s="605"/>
      <c r="AD10" s="605"/>
      <c r="AE10" s="605"/>
      <c r="AF10" s="605"/>
      <c r="AG10" s="605"/>
      <c r="AH10" s="605"/>
      <c r="AI10" s="605"/>
      <c r="AJ10" s="605"/>
      <c r="AK10" s="605"/>
      <c r="AL10" s="612"/>
      <c r="AM10" s="602"/>
      <c r="AN10" s="602"/>
      <c r="AO10" s="602"/>
      <c r="AP10" s="605"/>
      <c r="AQ10" s="605"/>
      <c r="AR10" s="605"/>
      <c r="AS10" s="605"/>
      <c r="AT10" s="605"/>
      <c r="AU10" s="605"/>
      <c r="AV10" s="605"/>
      <c r="AW10" s="605"/>
      <c r="AX10" s="605"/>
      <c r="AY10" s="605"/>
      <c r="AZ10" s="605"/>
      <c r="BA10" s="605"/>
    </row>
    <row r="11" spans="1:53">
      <c r="A11" s="602"/>
      <c r="B11" s="602"/>
      <c r="C11" s="606"/>
      <c r="D11" s="605"/>
      <c r="E11" s="605"/>
      <c r="F11" s="605"/>
      <c r="G11" s="605"/>
      <c r="H11" s="605"/>
      <c r="I11" s="605"/>
      <c r="J11" s="605"/>
      <c r="K11" s="605"/>
      <c r="L11" s="605"/>
      <c r="M11" s="605"/>
      <c r="N11" s="605"/>
      <c r="O11" s="605"/>
      <c r="P11" s="605"/>
      <c r="Q11" s="606"/>
      <c r="R11" s="605"/>
      <c r="S11" s="605"/>
      <c r="T11" s="605"/>
      <c r="U11" s="605"/>
      <c r="V11" s="605"/>
      <c r="W11" s="605"/>
      <c r="X11" s="605"/>
      <c r="Y11" s="605"/>
      <c r="Z11" s="605"/>
      <c r="AA11" s="605"/>
      <c r="AB11" s="605"/>
      <c r="AC11" s="605"/>
      <c r="AD11" s="605"/>
      <c r="AE11" s="605"/>
      <c r="AF11" s="605"/>
      <c r="AG11" s="605"/>
      <c r="AH11" s="605"/>
      <c r="AI11" s="605"/>
      <c r="AJ11" s="605"/>
      <c r="AK11" s="605"/>
      <c r="AL11" s="612"/>
      <c r="AM11" s="602"/>
      <c r="AN11" s="602"/>
      <c r="AO11" s="602"/>
      <c r="AP11" s="605"/>
      <c r="AQ11" s="605"/>
      <c r="AR11" s="605"/>
      <c r="AS11" s="605"/>
      <c r="AT11" s="605"/>
      <c r="AU11" s="605"/>
      <c r="AV11" s="605"/>
      <c r="AW11" s="605"/>
      <c r="AX11" s="605"/>
      <c r="AY11" s="605"/>
      <c r="AZ11" s="605"/>
      <c r="BA11" s="605"/>
    </row>
    <row r="12" spans="1:53">
      <c r="A12" s="602"/>
      <c r="B12" s="602"/>
      <c r="C12" s="605"/>
      <c r="D12" s="605"/>
      <c r="E12" s="605"/>
      <c r="F12" s="605"/>
      <c r="G12" s="605"/>
      <c r="H12" s="605"/>
      <c r="I12" s="605"/>
      <c r="J12" s="605"/>
      <c r="K12" s="605"/>
      <c r="L12" s="605"/>
      <c r="M12" s="605"/>
      <c r="N12" s="605"/>
      <c r="O12" s="605"/>
      <c r="P12" s="605"/>
      <c r="Q12" s="605"/>
      <c r="R12" s="605"/>
      <c r="S12" s="605"/>
      <c r="T12" s="605"/>
      <c r="U12" s="605"/>
      <c r="V12" s="605"/>
      <c r="W12" s="605"/>
      <c r="X12" s="605"/>
      <c r="Y12" s="605"/>
      <c r="Z12" s="605"/>
      <c r="AA12" s="605"/>
      <c r="AB12" s="605"/>
      <c r="AC12" s="605"/>
      <c r="AD12" s="605"/>
      <c r="AE12" s="605"/>
      <c r="AF12" s="605"/>
      <c r="AG12" s="605"/>
      <c r="AH12" s="605"/>
      <c r="AI12" s="605"/>
      <c r="AJ12" s="605"/>
      <c r="AK12" s="605"/>
      <c r="AL12" s="612"/>
      <c r="AM12" s="602"/>
      <c r="AN12" s="602"/>
      <c r="AO12" s="602"/>
      <c r="AP12" s="605"/>
      <c r="AQ12" s="605"/>
      <c r="AR12" s="605"/>
      <c r="AS12" s="605"/>
      <c r="AT12" s="605"/>
      <c r="AU12" s="605"/>
      <c r="AV12" s="605"/>
      <c r="AW12" s="605"/>
      <c r="AX12" s="605"/>
      <c r="AY12" s="605"/>
      <c r="AZ12" s="605"/>
      <c r="BA12" s="605"/>
    </row>
    <row r="13" spans="1:53">
      <c r="A13" s="604"/>
      <c r="B13" s="604"/>
      <c r="C13" s="607"/>
      <c r="D13" s="607"/>
      <c r="E13" s="607"/>
      <c r="F13" s="607"/>
      <c r="G13" s="607"/>
      <c r="H13" s="607"/>
      <c r="I13" s="607"/>
      <c r="J13" s="607"/>
      <c r="K13" s="607"/>
      <c r="L13" s="607"/>
      <c r="M13" s="607"/>
      <c r="N13" s="607"/>
      <c r="O13" s="607"/>
      <c r="P13" s="607"/>
      <c r="Q13" s="606"/>
      <c r="R13" s="605"/>
      <c r="S13" s="605"/>
      <c r="T13" s="605"/>
      <c r="U13" s="605"/>
      <c r="V13" s="605"/>
      <c r="W13" s="605"/>
      <c r="X13" s="605"/>
      <c r="Y13" s="605"/>
      <c r="Z13" s="605"/>
      <c r="AA13" s="605"/>
      <c r="AB13" s="605"/>
      <c r="AC13" s="605"/>
      <c r="AD13" s="605"/>
      <c r="AE13" s="605"/>
      <c r="AF13" s="605"/>
      <c r="AG13" s="605"/>
      <c r="AH13" s="605"/>
      <c r="AI13" s="605"/>
      <c r="AJ13" s="605"/>
      <c r="AK13" s="605"/>
      <c r="AL13" s="618"/>
      <c r="AM13" s="604"/>
      <c r="AN13" s="604"/>
      <c r="AO13" s="604"/>
      <c r="AP13" s="605"/>
      <c r="AQ13" s="605"/>
      <c r="AR13" s="605"/>
      <c r="AS13" s="607"/>
      <c r="AT13" s="607"/>
      <c r="AU13" s="607"/>
      <c r="AV13" s="607"/>
      <c r="AW13" s="607"/>
      <c r="AX13" s="607"/>
      <c r="AY13" s="607"/>
      <c r="AZ13" s="607"/>
      <c r="BA13" s="607"/>
    </row>
    <row r="14" spans="1:53">
      <c r="A14" s="602"/>
      <c r="B14" s="602"/>
      <c r="C14" s="605"/>
      <c r="D14" s="605"/>
      <c r="E14" s="605"/>
      <c r="F14" s="605"/>
      <c r="G14" s="605"/>
      <c r="H14" s="605"/>
      <c r="I14" s="605"/>
      <c r="J14" s="605"/>
      <c r="K14" s="605"/>
      <c r="L14" s="605"/>
      <c r="M14" s="605"/>
      <c r="N14" s="605"/>
      <c r="O14" s="605"/>
      <c r="P14" s="605"/>
      <c r="Q14" s="606"/>
      <c r="R14" s="605"/>
      <c r="S14" s="605"/>
      <c r="T14" s="605"/>
      <c r="U14" s="605"/>
      <c r="V14" s="605"/>
      <c r="W14" s="605"/>
      <c r="X14" s="605"/>
      <c r="Y14" s="605"/>
      <c r="Z14" s="605"/>
      <c r="AA14" s="605"/>
      <c r="AB14" s="605"/>
      <c r="AC14" s="605"/>
      <c r="AD14" s="605"/>
      <c r="AE14" s="605"/>
      <c r="AF14" s="605"/>
      <c r="AG14" s="605"/>
      <c r="AH14" s="605"/>
      <c r="AI14" s="605"/>
      <c r="AJ14" s="605"/>
      <c r="AK14" s="605"/>
      <c r="AL14" s="612"/>
      <c r="AM14" s="602"/>
      <c r="AN14" s="602"/>
      <c r="AO14" s="602"/>
      <c r="AP14" s="605"/>
      <c r="AQ14" s="605"/>
      <c r="AR14" s="605"/>
      <c r="AS14" s="605"/>
      <c r="AT14" s="605"/>
      <c r="AU14" s="605"/>
      <c r="AV14" s="605"/>
      <c r="AW14" s="605"/>
      <c r="AX14" s="605"/>
      <c r="AY14" s="605"/>
      <c r="AZ14" s="605"/>
      <c r="BA14" s="605"/>
    </row>
    <row r="15" spans="1:53">
      <c r="A15" s="602"/>
      <c r="B15" s="602"/>
      <c r="C15" s="605"/>
      <c r="D15" s="605"/>
      <c r="E15" s="605"/>
      <c r="F15" s="605"/>
      <c r="G15" s="605"/>
      <c r="H15" s="605"/>
      <c r="I15" s="605"/>
      <c r="J15" s="605"/>
      <c r="K15" s="605"/>
      <c r="L15" s="605"/>
      <c r="M15" s="605"/>
      <c r="N15" s="605"/>
      <c r="O15" s="605"/>
      <c r="P15" s="605"/>
      <c r="Q15" s="606"/>
      <c r="R15" s="605"/>
      <c r="S15" s="605"/>
      <c r="T15" s="605"/>
      <c r="U15" s="605"/>
      <c r="V15" s="605"/>
      <c r="W15" s="605"/>
      <c r="X15" s="605"/>
      <c r="Y15" s="605"/>
      <c r="Z15" s="605"/>
      <c r="AA15" s="605"/>
      <c r="AB15" s="605"/>
      <c r="AC15" s="605"/>
      <c r="AD15" s="605"/>
      <c r="AE15" s="605"/>
      <c r="AF15" s="605"/>
      <c r="AG15" s="605"/>
      <c r="AH15" s="605"/>
      <c r="AI15" s="605"/>
      <c r="AJ15" s="605"/>
      <c r="AK15" s="605"/>
      <c r="AL15" s="612"/>
      <c r="AM15" s="602"/>
      <c r="AN15" s="602"/>
      <c r="AO15" s="602"/>
      <c r="AP15" s="605"/>
      <c r="AQ15" s="605"/>
      <c r="AR15" s="605"/>
      <c r="AS15" s="605"/>
      <c r="AT15" s="605"/>
      <c r="AU15" s="605"/>
      <c r="AV15" s="605"/>
      <c r="AW15" s="605"/>
      <c r="AX15" s="605"/>
      <c r="AY15" s="605"/>
      <c r="AZ15" s="605"/>
      <c r="BA15" s="605"/>
    </row>
    <row r="16" spans="1:53">
      <c r="A16" s="602"/>
      <c r="B16" s="602"/>
      <c r="C16" s="605"/>
      <c r="D16" s="605"/>
      <c r="E16" s="605"/>
      <c r="F16" s="605"/>
      <c r="G16" s="605"/>
      <c r="H16" s="605"/>
      <c r="I16" s="605"/>
      <c r="J16" s="605"/>
      <c r="K16" s="605"/>
      <c r="L16" s="605"/>
      <c r="M16" s="605"/>
      <c r="N16" s="605"/>
      <c r="O16" s="605"/>
      <c r="P16" s="605"/>
      <c r="Q16" s="606"/>
      <c r="R16" s="605"/>
      <c r="S16" s="605"/>
      <c r="T16" s="605"/>
      <c r="U16" s="605"/>
      <c r="V16" s="605"/>
      <c r="W16" s="605"/>
      <c r="X16" s="605"/>
      <c r="Y16" s="605"/>
      <c r="Z16" s="605"/>
      <c r="AA16" s="605"/>
      <c r="AB16" s="605"/>
      <c r="AC16" s="605"/>
      <c r="AD16" s="605"/>
      <c r="AE16" s="605"/>
      <c r="AF16" s="605"/>
      <c r="AG16" s="605"/>
      <c r="AH16" s="605"/>
      <c r="AI16" s="605"/>
      <c r="AJ16" s="605"/>
      <c r="AK16" s="605"/>
      <c r="AL16" s="612"/>
      <c r="AM16" s="602"/>
      <c r="AN16" s="602"/>
      <c r="AO16" s="602"/>
      <c r="AP16" s="605"/>
      <c r="AQ16" s="605"/>
      <c r="AR16" s="605"/>
      <c r="AS16" s="605"/>
      <c r="AT16" s="605"/>
      <c r="AU16" s="605"/>
      <c r="AV16" s="605"/>
      <c r="AW16" s="605"/>
      <c r="AX16" s="605"/>
      <c r="AY16" s="605"/>
      <c r="AZ16" s="605"/>
      <c r="BA16" s="605"/>
    </row>
    <row r="17" spans="1:53">
      <c r="A17" s="603"/>
      <c r="B17" s="603"/>
      <c r="C17" s="605"/>
      <c r="D17" s="605"/>
      <c r="E17" s="605"/>
      <c r="F17" s="605"/>
      <c r="G17" s="605"/>
      <c r="H17" s="605"/>
      <c r="I17" s="605"/>
      <c r="J17" s="605"/>
      <c r="K17" s="605"/>
      <c r="L17" s="605"/>
      <c r="M17" s="605"/>
      <c r="N17" s="605"/>
      <c r="O17" s="605"/>
      <c r="P17" s="605"/>
      <c r="Q17" s="605"/>
      <c r="R17" s="611"/>
      <c r="S17" s="611"/>
      <c r="T17" s="611"/>
      <c r="U17" s="611"/>
      <c r="V17" s="611"/>
      <c r="W17" s="611"/>
      <c r="X17" s="611"/>
      <c r="Y17" s="611"/>
      <c r="Z17" s="611"/>
      <c r="AA17" s="611"/>
      <c r="AB17" s="611"/>
      <c r="AC17" s="611"/>
      <c r="AD17" s="611"/>
      <c r="AE17" s="611"/>
      <c r="AF17" s="611"/>
      <c r="AG17" s="611"/>
      <c r="AH17" s="611"/>
      <c r="AI17" s="611"/>
      <c r="AJ17" s="611"/>
      <c r="AK17" s="611"/>
      <c r="AL17" s="612"/>
      <c r="AM17" s="602"/>
      <c r="AN17" s="602"/>
      <c r="AO17" s="602"/>
      <c r="AP17" s="605"/>
      <c r="AQ17" s="611"/>
      <c r="AR17" s="611"/>
      <c r="AS17" s="611"/>
      <c r="AT17" s="611"/>
      <c r="AU17" s="611"/>
      <c r="AV17" s="611"/>
      <c r="AW17" s="611"/>
      <c r="AX17" s="611"/>
      <c r="AY17" s="611"/>
      <c r="AZ17" s="611"/>
      <c r="BA17" s="611"/>
    </row>
    <row r="18" spans="1:53">
      <c r="A18" s="603"/>
      <c r="B18" s="603"/>
      <c r="C18" s="605"/>
      <c r="D18" s="605"/>
      <c r="E18" s="605"/>
      <c r="F18" s="605"/>
      <c r="G18" s="605"/>
      <c r="H18" s="605"/>
      <c r="I18" s="605"/>
      <c r="J18" s="605"/>
      <c r="K18" s="605"/>
      <c r="L18" s="605"/>
      <c r="M18" s="605"/>
      <c r="N18" s="605"/>
      <c r="O18" s="605"/>
      <c r="P18" s="605"/>
      <c r="Q18" s="605"/>
      <c r="R18" s="611"/>
      <c r="S18" s="611"/>
      <c r="T18" s="611"/>
      <c r="U18" s="611"/>
      <c r="V18" s="611"/>
      <c r="W18" s="611"/>
      <c r="X18" s="611"/>
      <c r="Y18" s="611"/>
      <c r="Z18" s="611"/>
      <c r="AA18" s="611"/>
      <c r="AB18" s="611"/>
      <c r="AC18" s="611"/>
      <c r="AD18" s="611"/>
      <c r="AE18" s="611"/>
      <c r="AF18" s="611"/>
      <c r="AG18" s="611"/>
      <c r="AH18" s="611"/>
      <c r="AI18" s="611"/>
      <c r="AJ18" s="611"/>
      <c r="AK18" s="611"/>
      <c r="AL18" s="612"/>
      <c r="AM18" s="602"/>
      <c r="AN18" s="602"/>
      <c r="AO18" s="602"/>
      <c r="AP18" s="605"/>
      <c r="AQ18" s="611"/>
      <c r="AR18" s="611"/>
      <c r="AS18" s="611"/>
      <c r="AT18" s="611"/>
      <c r="AU18" s="611"/>
      <c r="AV18" s="611"/>
      <c r="AW18" s="611"/>
      <c r="AX18" s="611"/>
      <c r="AY18" s="611"/>
      <c r="AZ18" s="611"/>
      <c r="BA18" s="611"/>
    </row>
    <row r="19" spans="1:53">
      <c r="A19" s="602"/>
      <c r="B19" s="602"/>
      <c r="C19" s="605"/>
      <c r="D19" s="605"/>
      <c r="E19" s="605"/>
      <c r="F19" s="605"/>
      <c r="G19" s="605"/>
      <c r="H19" s="605"/>
      <c r="I19" s="605"/>
      <c r="J19" s="605"/>
      <c r="K19" s="605"/>
      <c r="L19" s="605"/>
      <c r="M19" s="605"/>
      <c r="N19" s="605"/>
      <c r="O19" s="605"/>
      <c r="P19" s="605"/>
      <c r="Q19" s="605"/>
      <c r="R19" s="605"/>
      <c r="S19" s="605"/>
      <c r="T19" s="605"/>
      <c r="U19" s="605"/>
      <c r="V19" s="605"/>
      <c r="W19" s="605"/>
      <c r="X19" s="605"/>
      <c r="Y19" s="605"/>
      <c r="Z19" s="605"/>
      <c r="AA19" s="605"/>
      <c r="AB19" s="605"/>
      <c r="AC19" s="605"/>
      <c r="AD19" s="605"/>
      <c r="AE19" s="605"/>
      <c r="AF19" s="605"/>
      <c r="AG19" s="605"/>
      <c r="AH19" s="605"/>
      <c r="AI19" s="605"/>
      <c r="AJ19" s="605"/>
      <c r="AK19" s="605"/>
      <c r="AL19" s="612"/>
      <c r="AM19" s="612"/>
      <c r="AN19" s="612"/>
      <c r="AO19" s="612"/>
      <c r="AP19" s="605"/>
      <c r="AQ19" s="605"/>
      <c r="AR19" s="605"/>
      <c r="AS19" s="605"/>
      <c r="AT19" s="605"/>
      <c r="AU19" s="605"/>
      <c r="AV19" s="605"/>
      <c r="AW19" s="605"/>
      <c r="AX19" s="605"/>
      <c r="AY19" s="605"/>
      <c r="AZ19" s="605"/>
      <c r="BA19" s="605"/>
    </row>
    <row r="20" spans="1:53">
      <c r="A20" s="602"/>
      <c r="B20" s="602"/>
      <c r="C20" s="605"/>
      <c r="D20" s="605"/>
      <c r="E20" s="605"/>
      <c r="F20" s="605"/>
      <c r="G20" s="605"/>
      <c r="H20" s="605"/>
      <c r="I20" s="605"/>
      <c r="J20" s="605"/>
      <c r="K20" s="605"/>
      <c r="L20" s="605"/>
      <c r="M20" s="605"/>
      <c r="N20" s="605"/>
      <c r="O20" s="605"/>
      <c r="P20" s="605"/>
      <c r="Q20" s="605"/>
      <c r="R20" s="605"/>
      <c r="S20" s="605"/>
      <c r="T20" s="605"/>
      <c r="U20" s="605"/>
      <c r="V20" s="605"/>
      <c r="W20" s="605"/>
      <c r="X20" s="605"/>
      <c r="Y20" s="605"/>
      <c r="Z20" s="605"/>
      <c r="AA20" s="605"/>
      <c r="AB20" s="605"/>
      <c r="AC20" s="605"/>
      <c r="AD20" s="605"/>
      <c r="AE20" s="605"/>
      <c r="AF20" s="605"/>
      <c r="AG20" s="605"/>
      <c r="AH20" s="605"/>
      <c r="AI20" s="605"/>
      <c r="AJ20" s="605"/>
      <c r="AK20" s="605"/>
      <c r="AL20" s="612"/>
      <c r="AM20" s="612"/>
      <c r="AN20" s="612"/>
      <c r="AO20" s="612"/>
      <c r="AP20" s="605"/>
      <c r="AQ20" s="605"/>
      <c r="AR20" s="605"/>
      <c r="AS20" s="605"/>
      <c r="AT20" s="605"/>
      <c r="AU20" s="605"/>
      <c r="AV20" s="605"/>
      <c r="AW20" s="605"/>
      <c r="AX20" s="605"/>
      <c r="AY20" s="605"/>
      <c r="AZ20" s="605"/>
      <c r="BA20" s="605"/>
    </row>
    <row r="21" spans="1:53" ht="13.5" customHeight="1">
      <c r="A21" s="602"/>
      <c r="B21" s="602"/>
      <c r="C21" s="605"/>
      <c r="D21" s="605"/>
      <c r="E21" s="605"/>
      <c r="F21" s="605"/>
      <c r="G21" s="605"/>
      <c r="H21" s="605"/>
      <c r="I21" s="605"/>
      <c r="J21" s="605"/>
      <c r="K21" s="605"/>
      <c r="L21" s="605"/>
      <c r="M21" s="605"/>
      <c r="N21" s="605"/>
      <c r="O21" s="605"/>
      <c r="P21" s="605"/>
      <c r="Q21" s="605"/>
      <c r="R21" s="611"/>
      <c r="S21" s="611"/>
      <c r="T21" s="611"/>
      <c r="U21" s="611"/>
      <c r="V21" s="611"/>
      <c r="W21" s="611"/>
      <c r="X21" s="611"/>
      <c r="Y21" s="611"/>
      <c r="Z21" s="611"/>
      <c r="AA21" s="611"/>
      <c r="AB21" s="611"/>
      <c r="AC21" s="611"/>
      <c r="AD21" s="611"/>
      <c r="AE21" s="611"/>
      <c r="AF21" s="611"/>
      <c r="AG21" s="611"/>
      <c r="AH21" s="611"/>
      <c r="AI21" s="611"/>
      <c r="AJ21" s="611"/>
      <c r="AK21" s="611"/>
      <c r="AL21" s="612"/>
      <c r="AM21" s="612"/>
      <c r="AN21" s="612"/>
      <c r="AO21" s="612"/>
      <c r="AP21" s="605"/>
      <c r="AQ21" s="605"/>
      <c r="AR21" s="605"/>
      <c r="AS21" s="605"/>
      <c r="AT21" s="605"/>
      <c r="AU21" s="605"/>
      <c r="AV21" s="605"/>
      <c r="AW21" s="605"/>
      <c r="AX21" s="605"/>
      <c r="AY21" s="605"/>
      <c r="AZ21" s="605"/>
      <c r="BA21" s="605"/>
    </row>
    <row r="22" spans="1:53">
      <c r="A22" s="602"/>
      <c r="B22" s="602"/>
      <c r="C22" s="605"/>
      <c r="D22" s="605"/>
      <c r="E22" s="605"/>
      <c r="F22" s="605"/>
      <c r="G22" s="605"/>
      <c r="H22" s="605"/>
      <c r="I22" s="605"/>
      <c r="J22" s="605"/>
      <c r="K22" s="605"/>
      <c r="L22" s="605"/>
      <c r="M22" s="605"/>
      <c r="N22" s="605"/>
      <c r="O22" s="605"/>
      <c r="P22" s="605"/>
      <c r="Q22" s="605"/>
      <c r="R22" s="605"/>
      <c r="S22" s="605"/>
      <c r="T22" s="605"/>
      <c r="U22" s="605"/>
      <c r="V22" s="605"/>
      <c r="W22" s="605"/>
      <c r="X22" s="605"/>
      <c r="Y22" s="605"/>
      <c r="Z22" s="605"/>
      <c r="AA22" s="605"/>
      <c r="AB22" s="605"/>
      <c r="AC22" s="605"/>
      <c r="AD22" s="605"/>
      <c r="AE22" s="605"/>
      <c r="AF22" s="605"/>
      <c r="AG22" s="605"/>
      <c r="AH22" s="605"/>
      <c r="AI22" s="605"/>
      <c r="AJ22" s="605"/>
      <c r="AK22" s="605"/>
      <c r="AL22" s="612"/>
      <c r="AM22" s="612"/>
      <c r="AN22" s="612"/>
      <c r="AO22" s="612"/>
      <c r="AP22" s="605"/>
      <c r="AQ22" s="605"/>
      <c r="AR22" s="605"/>
      <c r="AS22" s="605"/>
      <c r="AT22" s="605"/>
      <c r="AU22" s="605"/>
      <c r="AV22" s="605"/>
      <c r="AW22" s="605"/>
      <c r="AX22" s="605"/>
      <c r="AY22" s="605"/>
      <c r="AZ22" s="605"/>
      <c r="BA22" s="605"/>
    </row>
    <row r="23" spans="1:53">
      <c r="A23" s="602"/>
      <c r="B23" s="602"/>
      <c r="C23" s="605"/>
      <c r="D23" s="605"/>
      <c r="E23" s="605"/>
      <c r="F23" s="605"/>
      <c r="G23" s="605"/>
      <c r="H23" s="605"/>
      <c r="I23" s="605"/>
      <c r="J23" s="605"/>
      <c r="K23" s="605"/>
      <c r="L23" s="605"/>
      <c r="M23" s="605"/>
      <c r="N23" s="605"/>
      <c r="O23" s="605"/>
      <c r="P23" s="605"/>
      <c r="Q23" s="605"/>
      <c r="R23" s="611"/>
      <c r="S23" s="611"/>
      <c r="T23" s="611"/>
      <c r="U23" s="611"/>
      <c r="V23" s="611"/>
      <c r="W23" s="611"/>
      <c r="X23" s="611"/>
      <c r="Y23" s="611"/>
      <c r="Z23" s="611"/>
      <c r="AA23" s="611"/>
      <c r="AB23" s="611"/>
      <c r="AC23" s="611"/>
      <c r="AD23" s="611"/>
      <c r="AE23" s="611"/>
      <c r="AF23" s="611"/>
      <c r="AG23" s="611"/>
      <c r="AH23" s="611"/>
      <c r="AI23" s="611"/>
      <c r="AJ23" s="611"/>
      <c r="AK23" s="611"/>
      <c r="AL23" s="612"/>
      <c r="AM23" s="612"/>
      <c r="AN23" s="612"/>
      <c r="AO23" s="612"/>
      <c r="AP23" s="605"/>
      <c r="AQ23" s="605"/>
      <c r="AR23" s="605"/>
      <c r="AS23" s="605"/>
      <c r="AT23" s="605"/>
      <c r="AU23" s="605"/>
      <c r="AV23" s="605"/>
      <c r="AW23" s="605"/>
      <c r="AX23" s="605"/>
      <c r="AY23" s="605"/>
      <c r="AZ23" s="605"/>
      <c r="BA23" s="605"/>
    </row>
    <row r="24" spans="1:53">
      <c r="A24" s="602"/>
      <c r="B24" s="602"/>
      <c r="C24" s="605"/>
      <c r="D24" s="605"/>
      <c r="E24" s="605"/>
      <c r="F24" s="605"/>
      <c r="G24" s="605"/>
      <c r="H24" s="605"/>
      <c r="I24" s="605"/>
      <c r="J24" s="605"/>
      <c r="K24" s="605"/>
      <c r="L24" s="605"/>
      <c r="M24" s="605"/>
      <c r="N24" s="605"/>
      <c r="O24" s="605"/>
      <c r="P24" s="605"/>
      <c r="Q24" s="605"/>
      <c r="R24" s="605"/>
      <c r="S24" s="605"/>
      <c r="T24" s="605"/>
      <c r="U24" s="605"/>
      <c r="V24" s="605"/>
      <c r="W24" s="605"/>
      <c r="X24" s="605"/>
      <c r="Y24" s="605"/>
      <c r="Z24" s="605"/>
      <c r="AA24" s="605"/>
      <c r="AB24" s="605"/>
      <c r="AC24" s="605"/>
      <c r="AD24" s="605"/>
      <c r="AE24" s="605"/>
      <c r="AF24" s="605"/>
      <c r="AG24" s="605"/>
      <c r="AH24" s="605"/>
      <c r="AI24" s="605"/>
      <c r="AJ24" s="605"/>
      <c r="AK24" s="605"/>
      <c r="AL24" s="612"/>
      <c r="AM24" s="612"/>
      <c r="AN24" s="612"/>
      <c r="AO24" s="612"/>
      <c r="AP24" s="605"/>
      <c r="AQ24" s="605"/>
      <c r="AR24" s="605"/>
      <c r="AS24" s="605"/>
      <c r="AT24" s="605"/>
      <c r="AU24" s="605"/>
      <c r="AV24" s="605"/>
      <c r="AW24" s="605"/>
      <c r="AX24" s="605"/>
      <c r="AY24" s="605"/>
      <c r="AZ24" s="605"/>
      <c r="BA24" s="605"/>
    </row>
    <row r="25" spans="1:53">
      <c r="A25" s="602"/>
      <c r="B25" s="602"/>
      <c r="C25" s="605"/>
      <c r="D25" s="605"/>
      <c r="E25" s="605"/>
      <c r="F25" s="605"/>
      <c r="G25" s="605"/>
      <c r="H25" s="605"/>
      <c r="I25" s="605"/>
      <c r="J25" s="605"/>
      <c r="K25" s="605"/>
      <c r="L25" s="605"/>
      <c r="M25" s="605"/>
      <c r="N25" s="605"/>
      <c r="O25" s="605"/>
      <c r="P25" s="605"/>
      <c r="Q25" s="605"/>
      <c r="R25" s="605"/>
      <c r="S25" s="605"/>
      <c r="T25" s="605"/>
      <c r="U25" s="605"/>
      <c r="V25" s="605"/>
      <c r="W25" s="605"/>
      <c r="X25" s="605"/>
      <c r="Y25" s="605"/>
      <c r="Z25" s="605"/>
      <c r="AA25" s="605"/>
      <c r="AB25" s="605"/>
      <c r="AC25" s="605"/>
      <c r="AD25" s="605"/>
      <c r="AE25" s="605"/>
      <c r="AF25" s="605"/>
      <c r="AG25" s="605"/>
      <c r="AH25" s="605"/>
      <c r="AI25" s="605"/>
      <c r="AJ25" s="605"/>
      <c r="AK25" s="605"/>
      <c r="AL25" s="612"/>
      <c r="AM25" s="602"/>
      <c r="AN25" s="602"/>
      <c r="AO25" s="602"/>
      <c r="AP25" s="605"/>
      <c r="AQ25" s="605"/>
      <c r="AR25" s="605"/>
      <c r="AS25" s="605"/>
      <c r="AT25" s="605"/>
      <c r="AU25" s="605"/>
      <c r="AV25" s="605"/>
      <c r="AW25" s="605"/>
      <c r="AX25" s="605"/>
      <c r="AY25" s="605"/>
      <c r="AZ25" s="605"/>
      <c r="BA25" s="605"/>
    </row>
    <row r="26" spans="1:53">
      <c r="A26" s="602"/>
      <c r="B26" s="602"/>
      <c r="C26" s="605"/>
      <c r="D26" s="605"/>
      <c r="E26" s="605"/>
      <c r="F26" s="605"/>
      <c r="G26" s="605"/>
      <c r="H26" s="605"/>
      <c r="I26" s="605"/>
      <c r="J26" s="605"/>
      <c r="K26" s="605"/>
      <c r="L26" s="605"/>
      <c r="M26" s="605"/>
      <c r="N26" s="605"/>
      <c r="O26" s="605"/>
      <c r="P26" s="605"/>
      <c r="Q26" s="605"/>
      <c r="R26" s="605"/>
      <c r="S26" s="605"/>
      <c r="T26" s="605"/>
      <c r="U26" s="605"/>
      <c r="V26" s="605"/>
      <c r="W26" s="605"/>
      <c r="X26" s="605"/>
      <c r="Y26" s="605"/>
      <c r="Z26" s="605"/>
      <c r="AA26" s="605"/>
      <c r="AB26" s="605"/>
      <c r="AC26" s="605"/>
      <c r="AD26" s="605"/>
      <c r="AE26" s="605"/>
      <c r="AF26" s="605"/>
      <c r="AG26" s="605"/>
      <c r="AH26" s="605"/>
      <c r="AI26" s="605"/>
      <c r="AJ26" s="605"/>
      <c r="AK26" s="605"/>
      <c r="AL26" s="612"/>
      <c r="AM26" s="602"/>
      <c r="AN26" s="602"/>
      <c r="AO26" s="602"/>
      <c r="AP26" s="605"/>
      <c r="AQ26" s="605"/>
      <c r="AR26" s="605"/>
      <c r="AS26" s="605"/>
      <c r="AT26" s="605"/>
      <c r="AU26" s="605"/>
      <c r="AV26" s="605"/>
      <c r="AW26" s="605"/>
      <c r="AX26" s="605"/>
      <c r="AY26" s="605"/>
      <c r="AZ26" s="605"/>
      <c r="BA26" s="605"/>
    </row>
    <row r="27" spans="1:53">
      <c r="A27" s="602"/>
      <c r="B27" s="602"/>
      <c r="C27" s="605"/>
      <c r="D27" s="605"/>
      <c r="E27" s="605"/>
      <c r="F27" s="605"/>
      <c r="G27" s="605"/>
      <c r="H27" s="605"/>
      <c r="I27" s="605"/>
      <c r="J27" s="605"/>
      <c r="K27" s="605"/>
      <c r="L27" s="605"/>
      <c r="M27" s="605"/>
      <c r="N27" s="605"/>
      <c r="O27" s="605"/>
      <c r="P27" s="605"/>
      <c r="Q27" s="605"/>
      <c r="R27" s="605"/>
      <c r="S27" s="605"/>
      <c r="T27" s="605"/>
      <c r="U27" s="605"/>
      <c r="V27" s="605"/>
      <c r="W27" s="605"/>
      <c r="X27" s="605"/>
      <c r="Y27" s="605"/>
      <c r="Z27" s="605"/>
      <c r="AA27" s="605"/>
      <c r="AB27" s="605"/>
      <c r="AC27" s="605"/>
      <c r="AD27" s="605"/>
      <c r="AE27" s="605"/>
      <c r="AF27" s="605"/>
      <c r="AG27" s="605"/>
      <c r="AH27" s="605"/>
      <c r="AI27" s="605"/>
      <c r="AJ27" s="605"/>
      <c r="AK27" s="605"/>
      <c r="AL27" s="612"/>
      <c r="AM27" s="602"/>
      <c r="AN27" s="602"/>
      <c r="AO27" s="602"/>
      <c r="AP27" s="605"/>
      <c r="AQ27" s="605"/>
      <c r="AR27" s="605"/>
      <c r="AS27" s="605"/>
      <c r="AT27" s="605"/>
      <c r="AU27" s="605"/>
      <c r="AV27" s="605"/>
      <c r="AW27" s="605"/>
      <c r="AX27" s="605"/>
      <c r="AY27" s="605"/>
      <c r="AZ27" s="605"/>
      <c r="BA27" s="605"/>
    </row>
    <row r="28" spans="1:53">
      <c r="A28" s="602"/>
      <c r="B28" s="602"/>
      <c r="C28" s="605"/>
      <c r="D28" s="605"/>
      <c r="E28" s="605"/>
      <c r="F28" s="605"/>
      <c r="G28" s="605"/>
      <c r="H28" s="605"/>
      <c r="I28" s="605"/>
      <c r="J28" s="605"/>
      <c r="K28" s="605"/>
      <c r="L28" s="605"/>
      <c r="M28" s="605"/>
      <c r="N28" s="605"/>
      <c r="O28" s="605"/>
      <c r="P28" s="605"/>
      <c r="Q28" s="605"/>
      <c r="R28" s="605"/>
      <c r="S28" s="605"/>
      <c r="T28" s="605"/>
      <c r="U28" s="605"/>
      <c r="V28" s="605"/>
      <c r="W28" s="605"/>
      <c r="X28" s="605"/>
      <c r="Y28" s="605"/>
      <c r="Z28" s="605"/>
      <c r="AA28" s="605"/>
      <c r="AB28" s="605"/>
      <c r="AC28" s="605"/>
      <c r="AD28" s="605"/>
      <c r="AE28" s="605"/>
      <c r="AF28" s="605"/>
      <c r="AG28" s="605"/>
      <c r="AH28" s="605"/>
      <c r="AI28" s="605"/>
      <c r="AJ28" s="605"/>
      <c r="AK28" s="605"/>
      <c r="AL28" s="612"/>
      <c r="AM28" s="602"/>
      <c r="AN28" s="602"/>
      <c r="AO28" s="602"/>
      <c r="AP28" s="605"/>
      <c r="AQ28" s="605"/>
      <c r="AR28" s="605"/>
      <c r="AS28" s="605"/>
      <c r="AT28" s="605"/>
      <c r="AU28" s="605"/>
      <c r="AV28" s="605"/>
      <c r="AW28" s="605"/>
      <c r="AX28" s="605"/>
      <c r="AY28" s="605"/>
      <c r="AZ28" s="605"/>
      <c r="BA28" s="605"/>
    </row>
    <row r="29" spans="1:53">
      <c r="A29" s="602"/>
      <c r="B29" s="602"/>
      <c r="C29" s="605"/>
      <c r="D29" s="605"/>
      <c r="E29" s="605"/>
      <c r="F29" s="605"/>
      <c r="G29" s="605"/>
      <c r="H29" s="605"/>
      <c r="I29" s="605"/>
      <c r="J29" s="605"/>
      <c r="K29" s="605"/>
      <c r="L29" s="605"/>
      <c r="M29" s="605"/>
      <c r="N29" s="605"/>
      <c r="O29" s="605"/>
      <c r="P29" s="605"/>
      <c r="Q29" s="605"/>
      <c r="R29" s="605"/>
      <c r="S29" s="605"/>
      <c r="T29" s="605"/>
      <c r="U29" s="605"/>
      <c r="V29" s="605"/>
      <c r="W29" s="605"/>
      <c r="X29" s="605"/>
      <c r="Y29" s="605"/>
      <c r="Z29" s="605"/>
      <c r="AA29" s="605"/>
      <c r="AB29" s="605"/>
      <c r="AC29" s="605"/>
      <c r="AD29" s="605"/>
      <c r="AE29" s="605"/>
      <c r="AF29" s="605"/>
      <c r="AG29" s="605"/>
      <c r="AH29" s="605"/>
      <c r="AI29" s="605"/>
      <c r="AJ29" s="605"/>
      <c r="AK29" s="605"/>
      <c r="AL29" s="612"/>
      <c r="AM29" s="602"/>
      <c r="AN29" s="602"/>
      <c r="AO29" s="602"/>
      <c r="AP29" s="605"/>
      <c r="AQ29" s="605"/>
      <c r="AR29" s="605"/>
      <c r="AS29" s="605"/>
      <c r="AT29" s="605"/>
      <c r="AU29" s="605"/>
      <c r="AV29" s="605"/>
      <c r="AW29" s="605"/>
      <c r="AX29" s="605"/>
      <c r="AY29" s="605"/>
      <c r="AZ29" s="605"/>
      <c r="BA29" s="605"/>
    </row>
    <row r="30" spans="1:53">
      <c r="A30" s="602"/>
      <c r="B30" s="602"/>
      <c r="C30" s="605"/>
      <c r="D30" s="605"/>
      <c r="E30" s="605"/>
      <c r="F30" s="605"/>
      <c r="G30" s="605"/>
      <c r="H30" s="605"/>
      <c r="I30" s="605"/>
      <c r="J30" s="605"/>
      <c r="K30" s="605"/>
      <c r="L30" s="605"/>
      <c r="M30" s="605"/>
      <c r="N30" s="605"/>
      <c r="O30" s="605"/>
      <c r="P30" s="605"/>
      <c r="Q30" s="605"/>
      <c r="R30" s="605"/>
      <c r="S30" s="605"/>
      <c r="T30" s="605"/>
      <c r="U30" s="605"/>
      <c r="V30" s="605"/>
      <c r="W30" s="605"/>
      <c r="X30" s="605"/>
      <c r="Y30" s="605"/>
      <c r="Z30" s="605"/>
      <c r="AA30" s="605"/>
      <c r="AB30" s="605"/>
      <c r="AC30" s="605"/>
      <c r="AD30" s="605"/>
      <c r="AE30" s="605"/>
      <c r="AF30" s="605"/>
      <c r="AG30" s="605"/>
      <c r="AH30" s="605"/>
      <c r="AI30" s="605"/>
      <c r="AJ30" s="605"/>
      <c r="AK30" s="605"/>
      <c r="AL30" s="602"/>
      <c r="AM30" s="602"/>
      <c r="AN30" s="602"/>
      <c r="AO30" s="602"/>
      <c r="AP30" s="605"/>
      <c r="AQ30" s="605"/>
      <c r="AR30" s="605"/>
      <c r="AS30" s="605"/>
      <c r="AT30" s="605"/>
      <c r="AU30" s="605"/>
      <c r="AV30" s="605"/>
      <c r="AW30" s="605"/>
      <c r="AX30" s="605"/>
      <c r="AY30" s="605"/>
      <c r="AZ30" s="605"/>
      <c r="BA30" s="605"/>
    </row>
    <row r="31" spans="1:53">
      <c r="A31" s="602"/>
      <c r="B31" s="602"/>
      <c r="C31" s="605"/>
      <c r="D31" s="605"/>
      <c r="E31" s="605"/>
      <c r="F31" s="605"/>
      <c r="G31" s="605"/>
      <c r="H31" s="605"/>
      <c r="I31" s="605"/>
      <c r="J31" s="605"/>
      <c r="K31" s="605"/>
      <c r="L31" s="605"/>
      <c r="M31" s="605"/>
      <c r="N31" s="605"/>
      <c r="O31" s="605"/>
      <c r="P31" s="605"/>
      <c r="Q31" s="605"/>
      <c r="R31" s="605"/>
      <c r="S31" s="605"/>
      <c r="T31" s="605"/>
      <c r="U31" s="605"/>
      <c r="V31" s="605"/>
      <c r="W31" s="605"/>
      <c r="X31" s="605"/>
      <c r="Y31" s="605"/>
      <c r="Z31" s="605"/>
      <c r="AA31" s="605"/>
      <c r="AB31" s="605"/>
      <c r="AC31" s="605"/>
      <c r="AD31" s="605"/>
      <c r="AE31" s="605"/>
      <c r="AF31" s="605"/>
      <c r="AG31" s="605"/>
      <c r="AH31" s="605"/>
      <c r="AI31" s="605"/>
      <c r="AJ31" s="605"/>
      <c r="AK31" s="605"/>
      <c r="AL31" s="602"/>
      <c r="AM31" s="602"/>
      <c r="AN31" s="602"/>
      <c r="AO31" s="602"/>
      <c r="AP31" s="605"/>
      <c r="AQ31" s="605"/>
      <c r="AR31" s="605"/>
      <c r="AS31" s="605"/>
      <c r="AT31" s="605"/>
      <c r="AU31" s="605"/>
      <c r="AV31" s="605"/>
      <c r="AW31" s="605"/>
      <c r="AX31" s="605"/>
      <c r="AY31" s="605"/>
      <c r="AZ31" s="605"/>
      <c r="BA31" s="605"/>
    </row>
    <row r="32" spans="1:53">
      <c r="A32" s="602"/>
      <c r="B32" s="602"/>
      <c r="C32" s="605"/>
      <c r="D32" s="605"/>
      <c r="E32" s="605"/>
      <c r="F32" s="605"/>
      <c r="G32" s="605"/>
      <c r="H32" s="605"/>
      <c r="I32" s="605"/>
      <c r="J32" s="605"/>
      <c r="K32" s="605"/>
      <c r="L32" s="605"/>
      <c r="M32" s="605"/>
      <c r="N32" s="605"/>
      <c r="O32" s="605"/>
      <c r="P32" s="605"/>
      <c r="Q32" s="605"/>
      <c r="R32" s="605"/>
      <c r="S32" s="605"/>
      <c r="T32" s="605"/>
      <c r="U32" s="605"/>
      <c r="V32" s="605"/>
      <c r="W32" s="605"/>
      <c r="X32" s="605"/>
      <c r="Y32" s="605"/>
      <c r="Z32" s="605"/>
      <c r="AA32" s="605"/>
      <c r="AB32" s="605"/>
      <c r="AC32" s="605"/>
      <c r="AD32" s="605"/>
      <c r="AE32" s="605"/>
      <c r="AF32" s="605"/>
      <c r="AG32" s="605"/>
      <c r="AH32" s="605"/>
      <c r="AI32" s="605"/>
      <c r="AJ32" s="605"/>
      <c r="AK32" s="605"/>
      <c r="AL32" s="602"/>
      <c r="AM32" s="602"/>
      <c r="AN32" s="602"/>
      <c r="AO32" s="602"/>
      <c r="AP32" s="605"/>
      <c r="AQ32" s="605"/>
      <c r="AR32" s="605"/>
      <c r="AS32" s="605"/>
      <c r="AT32" s="605"/>
      <c r="AU32" s="605"/>
      <c r="AV32" s="605"/>
      <c r="AW32" s="605"/>
      <c r="AX32" s="605"/>
      <c r="AY32" s="605"/>
      <c r="AZ32" s="605"/>
      <c r="BA32" s="605"/>
    </row>
    <row r="33" spans="1:53">
      <c r="A33" s="602"/>
      <c r="B33" s="602"/>
      <c r="C33" s="605"/>
      <c r="D33" s="605"/>
      <c r="E33" s="605"/>
      <c r="F33" s="605"/>
      <c r="G33" s="605"/>
      <c r="H33" s="605"/>
      <c r="I33" s="605"/>
      <c r="J33" s="605"/>
      <c r="K33" s="605"/>
      <c r="L33" s="605"/>
      <c r="M33" s="605"/>
      <c r="N33" s="605"/>
      <c r="O33" s="605"/>
      <c r="P33" s="605"/>
      <c r="Q33" s="605"/>
      <c r="R33" s="605"/>
      <c r="S33" s="605"/>
      <c r="T33" s="605"/>
      <c r="U33" s="605"/>
      <c r="V33" s="605"/>
      <c r="W33" s="605"/>
      <c r="X33" s="605"/>
      <c r="Y33" s="605"/>
      <c r="Z33" s="605"/>
      <c r="AA33" s="605"/>
      <c r="AB33" s="605"/>
      <c r="AC33" s="605"/>
      <c r="AD33" s="605"/>
      <c r="AE33" s="605"/>
      <c r="AF33" s="605"/>
      <c r="AG33" s="605"/>
      <c r="AH33" s="605"/>
      <c r="AI33" s="605"/>
      <c r="AJ33" s="605"/>
      <c r="AK33" s="605"/>
      <c r="AL33" s="602"/>
      <c r="AM33" s="602"/>
      <c r="AN33" s="602"/>
      <c r="AO33" s="602"/>
      <c r="AP33" s="605"/>
      <c r="AQ33" s="605"/>
      <c r="AR33" s="605"/>
      <c r="AS33" s="605"/>
      <c r="AT33" s="605"/>
      <c r="AU33" s="605"/>
      <c r="AV33" s="605"/>
      <c r="AW33" s="605"/>
      <c r="AX33" s="605"/>
      <c r="AY33" s="605"/>
      <c r="AZ33" s="605"/>
      <c r="BA33" s="605"/>
    </row>
    <row r="34" spans="1:53">
      <c r="A34" s="602"/>
      <c r="B34" s="602"/>
      <c r="C34" s="605"/>
      <c r="D34" s="605"/>
      <c r="E34" s="605"/>
      <c r="F34" s="605"/>
      <c r="G34" s="605"/>
      <c r="H34" s="605"/>
      <c r="I34" s="605"/>
      <c r="J34" s="605"/>
      <c r="K34" s="605"/>
      <c r="L34" s="605"/>
      <c r="M34" s="605"/>
      <c r="N34" s="605"/>
      <c r="O34" s="605"/>
      <c r="P34" s="605"/>
      <c r="Q34" s="605"/>
      <c r="R34" s="605"/>
      <c r="S34" s="605"/>
      <c r="T34" s="605"/>
      <c r="U34" s="605"/>
      <c r="V34" s="605"/>
      <c r="W34" s="605"/>
      <c r="X34" s="605"/>
      <c r="Y34" s="605"/>
      <c r="Z34" s="605"/>
      <c r="AA34" s="605"/>
      <c r="AB34" s="605"/>
      <c r="AC34" s="605"/>
      <c r="AD34" s="605"/>
      <c r="AE34" s="605"/>
      <c r="AF34" s="605"/>
      <c r="AG34" s="605"/>
      <c r="AH34" s="605"/>
      <c r="AI34" s="605"/>
      <c r="AJ34" s="605"/>
      <c r="AK34" s="605"/>
      <c r="AL34" s="602"/>
      <c r="AM34" s="602"/>
      <c r="AN34" s="602"/>
      <c r="AO34" s="602"/>
      <c r="AP34" s="605"/>
      <c r="AQ34" s="605"/>
      <c r="AR34" s="605"/>
      <c r="AS34" s="605"/>
      <c r="AT34" s="605"/>
      <c r="AU34" s="605"/>
      <c r="AV34" s="605"/>
      <c r="AW34" s="605"/>
      <c r="AX34" s="605"/>
      <c r="AY34" s="605"/>
      <c r="AZ34" s="605"/>
      <c r="BA34" s="605"/>
    </row>
  </sheetData>
  <mergeCells count="229">
    <mergeCell ref="AL22:AO22"/>
    <mergeCell ref="AL23:AO23"/>
    <mergeCell ref="AL24:AO24"/>
    <mergeCell ref="AL25:AO25"/>
    <mergeCell ref="AL26:AO26"/>
    <mergeCell ref="Q24:AK24"/>
    <mergeCell ref="Q25:AK25"/>
    <mergeCell ref="Q26:AK26"/>
    <mergeCell ref="AP14:AR14"/>
    <mergeCell ref="Q16:AK16"/>
    <mergeCell ref="AL16:AO16"/>
    <mergeCell ref="AP16:AR16"/>
    <mergeCell ref="AV20:BA20"/>
    <mergeCell ref="AV21:BA21"/>
    <mergeCell ref="AV14:BA14"/>
    <mergeCell ref="AV15:BA15"/>
    <mergeCell ref="AS28:AU28"/>
    <mergeCell ref="AS30:AU30"/>
    <mergeCell ref="AS31:AU31"/>
    <mergeCell ref="AS25:AU25"/>
    <mergeCell ref="AP31:AR31"/>
    <mergeCell ref="AP27:AR27"/>
    <mergeCell ref="AP28:AR28"/>
    <mergeCell ref="AS16:AU16"/>
    <mergeCell ref="AP15:AR15"/>
    <mergeCell ref="AS26:AU26"/>
    <mergeCell ref="AS14:AU14"/>
    <mergeCell ref="AS15:AU15"/>
    <mergeCell ref="AV7:BA7"/>
    <mergeCell ref="AV8:BA8"/>
    <mergeCell ref="AV9:BA9"/>
    <mergeCell ref="AV10:BA10"/>
    <mergeCell ref="AV11:BA11"/>
    <mergeCell ref="AV12:BA12"/>
    <mergeCell ref="AV34:BA34"/>
    <mergeCell ref="AV24:BA24"/>
    <mergeCell ref="AV25:BA25"/>
    <mergeCell ref="AV26:BA26"/>
    <mergeCell ref="AV29:BA29"/>
    <mergeCell ref="AV30:BA30"/>
    <mergeCell ref="AV31:BA31"/>
    <mergeCell ref="AV27:BA27"/>
    <mergeCell ref="AV28:BA28"/>
    <mergeCell ref="AV32:BA32"/>
    <mergeCell ref="AV33:BA33"/>
    <mergeCell ref="AV13:BA13"/>
    <mergeCell ref="AV22:BA22"/>
    <mergeCell ref="AV23:BA23"/>
    <mergeCell ref="AV17:BA17"/>
    <mergeCell ref="AV18:BA18"/>
    <mergeCell ref="AV19:BA19"/>
    <mergeCell ref="AV16:BA16"/>
    <mergeCell ref="AS34:AU34"/>
    <mergeCell ref="AP34:AR34"/>
    <mergeCell ref="AS7:AU7"/>
    <mergeCell ref="AS8:AU8"/>
    <mergeCell ref="AS9:AU9"/>
    <mergeCell ref="AS10:AU10"/>
    <mergeCell ref="AS11:AU11"/>
    <mergeCell ref="AS12:AU12"/>
    <mergeCell ref="AS19:AU19"/>
    <mergeCell ref="AS20:AU20"/>
    <mergeCell ref="AS21:AU21"/>
    <mergeCell ref="AS13:AU13"/>
    <mergeCell ref="AS17:AU17"/>
    <mergeCell ref="AS18:AU18"/>
    <mergeCell ref="AS22:AU22"/>
    <mergeCell ref="AS23:AU23"/>
    <mergeCell ref="AS24:AU24"/>
    <mergeCell ref="AS29:AU29"/>
    <mergeCell ref="AS27:AU27"/>
    <mergeCell ref="AS32:AU32"/>
    <mergeCell ref="AS33:AU33"/>
    <mergeCell ref="AP24:AR24"/>
    <mergeCell ref="AP25:AR25"/>
    <mergeCell ref="AP32:AR32"/>
    <mergeCell ref="AL32:AO32"/>
    <mergeCell ref="AL33:AO33"/>
    <mergeCell ref="AL34:AO34"/>
    <mergeCell ref="AP7:AR7"/>
    <mergeCell ref="AP8:AR8"/>
    <mergeCell ref="AP9:AR9"/>
    <mergeCell ref="AP10:AR10"/>
    <mergeCell ref="AP18:AR18"/>
    <mergeCell ref="AP19:AR19"/>
    <mergeCell ref="AP20:AR20"/>
    <mergeCell ref="AP21:AR21"/>
    <mergeCell ref="AP11:AR11"/>
    <mergeCell ref="AP12:AR12"/>
    <mergeCell ref="AP13:AR13"/>
    <mergeCell ref="AP17:AR17"/>
    <mergeCell ref="AP22:AR22"/>
    <mergeCell ref="AP23:AR23"/>
    <mergeCell ref="AL30:AO30"/>
    <mergeCell ref="AL31:AO31"/>
    <mergeCell ref="AL20:AO20"/>
    <mergeCell ref="AP26:AR26"/>
    <mergeCell ref="AP29:AR29"/>
    <mergeCell ref="AP30:AR30"/>
    <mergeCell ref="AP33:AR33"/>
    <mergeCell ref="AL29:AO29"/>
    <mergeCell ref="AL27:AO27"/>
    <mergeCell ref="AL28:AO28"/>
    <mergeCell ref="Q29:AK29"/>
    <mergeCell ref="Q27:AK27"/>
    <mergeCell ref="Q28:AK28"/>
    <mergeCell ref="AL7:AO7"/>
    <mergeCell ref="AL8:AO8"/>
    <mergeCell ref="AL17:AO17"/>
    <mergeCell ref="AL18:AO18"/>
    <mergeCell ref="AL19:AO19"/>
    <mergeCell ref="AL9:AO9"/>
    <mergeCell ref="AL10:AO10"/>
    <mergeCell ref="AL11:AO11"/>
    <mergeCell ref="AL12:AO12"/>
    <mergeCell ref="AL13:AO13"/>
    <mergeCell ref="AL21:AO21"/>
    <mergeCell ref="Q17:AK17"/>
    <mergeCell ref="Q18:AK18"/>
    <mergeCell ref="Q22:AK22"/>
    <mergeCell ref="Q14:AK14"/>
    <mergeCell ref="AL14:AO14"/>
    <mergeCell ref="Q15:AK15"/>
    <mergeCell ref="AL15:AO15"/>
    <mergeCell ref="C34:P34"/>
    <mergeCell ref="Q7:AK7"/>
    <mergeCell ref="Q8:AK8"/>
    <mergeCell ref="Q9:AK9"/>
    <mergeCell ref="Q10:AK10"/>
    <mergeCell ref="Q11:AK11"/>
    <mergeCell ref="Q12:AK12"/>
    <mergeCell ref="Q19:AK19"/>
    <mergeCell ref="Q20:AK20"/>
    <mergeCell ref="Q21:AK21"/>
    <mergeCell ref="Q13:AK13"/>
    <mergeCell ref="Q34:AK34"/>
    <mergeCell ref="Q30:AK30"/>
    <mergeCell ref="Q31:AK31"/>
    <mergeCell ref="Q32:AK32"/>
    <mergeCell ref="Q33:AK33"/>
    <mergeCell ref="Q23:AK23"/>
    <mergeCell ref="C17:P17"/>
    <mergeCell ref="C14:P14"/>
    <mergeCell ref="C15:P15"/>
    <mergeCell ref="C16:P16"/>
    <mergeCell ref="C30:P30"/>
    <mergeCell ref="C31:P31"/>
    <mergeCell ref="C32:P32"/>
    <mergeCell ref="A11:B11"/>
    <mergeCell ref="A12:B12"/>
    <mergeCell ref="A13:B13"/>
    <mergeCell ref="A7:B7"/>
    <mergeCell ref="C33:P33"/>
    <mergeCell ref="C27:P27"/>
    <mergeCell ref="C28:P28"/>
    <mergeCell ref="C24:P24"/>
    <mergeCell ref="C25:P25"/>
    <mergeCell ref="C26:P26"/>
    <mergeCell ref="C29:P29"/>
    <mergeCell ref="C22:P22"/>
    <mergeCell ref="C23:P23"/>
    <mergeCell ref="C7:P7"/>
    <mergeCell ref="C8:P8"/>
    <mergeCell ref="C9:P9"/>
    <mergeCell ref="C10:P10"/>
    <mergeCell ref="C18:P18"/>
    <mergeCell ref="C19:P19"/>
    <mergeCell ref="C20:P20"/>
    <mergeCell ref="C21:P21"/>
    <mergeCell ref="C11:P11"/>
    <mergeCell ref="C12:P12"/>
    <mergeCell ref="C13:P13"/>
    <mergeCell ref="A8:B8"/>
    <mergeCell ref="A14:B14"/>
    <mergeCell ref="A34:B34"/>
    <mergeCell ref="A20:B20"/>
    <mergeCell ref="A21:B21"/>
    <mergeCell ref="A22:B22"/>
    <mergeCell ref="A29:B29"/>
    <mergeCell ref="A30:B30"/>
    <mergeCell ref="A31:B31"/>
    <mergeCell ref="A27:B27"/>
    <mergeCell ref="A28:B28"/>
    <mergeCell ref="A32:B32"/>
    <mergeCell ref="A33:B33"/>
    <mergeCell ref="A15:B15"/>
    <mergeCell ref="A16:B16"/>
    <mergeCell ref="A17:B17"/>
    <mergeCell ref="A18:B18"/>
    <mergeCell ref="A19:B19"/>
    <mergeCell ref="A23:B23"/>
    <mergeCell ref="A24:B24"/>
    <mergeCell ref="A25:B25"/>
    <mergeCell ref="A26:B26"/>
    <mergeCell ref="A9:B9"/>
    <mergeCell ref="A10:B10"/>
    <mergeCell ref="AX1:BA1"/>
    <mergeCell ref="A2:H2"/>
    <mergeCell ref="I2:L2"/>
    <mergeCell ref="M2:W2"/>
    <mergeCell ref="AK2:AM2"/>
    <mergeCell ref="AN2:AP2"/>
    <mergeCell ref="AP6:AR6"/>
    <mergeCell ref="AS6:AU6"/>
    <mergeCell ref="AT2:AW2"/>
    <mergeCell ref="AX2:BA3"/>
    <mergeCell ref="A3:H3"/>
    <mergeCell ref="I3:L3"/>
    <mergeCell ref="M3:W3"/>
    <mergeCell ref="X3:Z3"/>
    <mergeCell ref="AA3:AP3"/>
    <mergeCell ref="AQ3:AS3"/>
    <mergeCell ref="AV6:BA6"/>
    <mergeCell ref="AQ2:AS2"/>
    <mergeCell ref="A1:H1"/>
    <mergeCell ref="I1:L1"/>
    <mergeCell ref="A5:BA5"/>
    <mergeCell ref="M1:W1"/>
    <mergeCell ref="X1:Z2"/>
    <mergeCell ref="AA1:AJ2"/>
    <mergeCell ref="AK1:AM1"/>
    <mergeCell ref="AT3:AW3"/>
    <mergeCell ref="AN1:AP1"/>
    <mergeCell ref="AQ1:AS1"/>
    <mergeCell ref="AT1:AW1"/>
    <mergeCell ref="A6:B6"/>
    <mergeCell ref="C6:P6"/>
    <mergeCell ref="Q6:AK6"/>
    <mergeCell ref="AL6:AO6"/>
  </mergeCells>
  <phoneticPr fontId="49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>
    <oddFooter>&amp;L&amp;"-,太字"&amp;12©2016 Amazing-Activity Corporation All Rights Reserved&amp;C- &amp;P &amp; -&amp;R&amp;F_&amp;A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AC065-BD87-4621-ABBC-FC9DBFA86E89}">
  <dimension ref="A1:DX165"/>
  <sheetViews>
    <sheetView showGridLines="0" topLeftCell="A5" zoomScale="90" zoomScaleNormal="90" zoomScaleSheetLayoutView="100" workbookViewId="0">
      <pane ySplit="2" topLeftCell="A7" activePane="bottomLeft" state="frozen"/>
      <selection activeCell="A5" sqref="A5"/>
      <selection pane="bottomLeft" activeCell="BF14" sqref="BF14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76" customWidth="1"/>
    <col min="57" max="94" width="2.6328125" style="443" customWidth="1"/>
    <col min="95" max="95" width="0.26953125" style="443" customWidth="1"/>
    <col min="96" max="128" width="2.6328125" style="443" customWidth="1"/>
    <col min="129" max="16384" width="9" style="35"/>
  </cols>
  <sheetData>
    <row r="1" spans="1:86" ht="12" customHeight="1">
      <c r="A1" s="597" t="s">
        <v>4</v>
      </c>
      <c r="B1" s="597"/>
      <c r="C1" s="597"/>
      <c r="D1" s="597"/>
      <c r="E1" s="597"/>
      <c r="F1" s="597"/>
      <c r="G1" s="597"/>
      <c r="H1" s="597"/>
      <c r="I1" s="584" t="s">
        <v>5</v>
      </c>
      <c r="J1" s="584"/>
      <c r="K1" s="584"/>
      <c r="L1" s="584"/>
      <c r="M1" s="595" t="str">
        <f>変更来歴!M1</f>
        <v>ヒロセ電機株式会社</v>
      </c>
      <c r="N1" s="595"/>
      <c r="O1" s="595"/>
      <c r="P1" s="595"/>
      <c r="Q1" s="595"/>
      <c r="R1" s="595"/>
      <c r="S1" s="595"/>
      <c r="T1" s="595"/>
      <c r="U1" s="595"/>
      <c r="V1" s="595"/>
      <c r="W1" s="595"/>
      <c r="X1" s="584" t="s">
        <v>7</v>
      </c>
      <c r="Y1" s="584"/>
      <c r="Z1" s="584"/>
      <c r="AA1" s="599" t="str">
        <f>変更来歴!AA1</f>
        <v>管理者ログ確認システム</v>
      </c>
      <c r="AB1" s="599"/>
      <c r="AC1" s="599"/>
      <c r="AD1" s="599"/>
      <c r="AE1" s="599"/>
      <c r="AF1" s="599"/>
      <c r="AG1" s="599"/>
      <c r="AH1" s="599"/>
      <c r="AI1" s="599"/>
      <c r="AJ1" s="599"/>
      <c r="AK1" s="573" t="s">
        <v>8</v>
      </c>
      <c r="AL1" s="573"/>
      <c r="AM1" s="573"/>
      <c r="AN1" s="575" t="str">
        <f>変更来歴!AP7</f>
        <v>古竹</v>
      </c>
      <c r="AO1" s="575"/>
      <c r="AP1" s="575"/>
      <c r="AQ1" s="575"/>
      <c r="AR1" s="575"/>
      <c r="AS1" s="573" t="s">
        <v>9</v>
      </c>
      <c r="AT1" s="573"/>
      <c r="AU1" s="573"/>
      <c r="AV1" s="576">
        <f>変更来歴!AL7</f>
        <v>46125</v>
      </c>
      <c r="AW1" s="574"/>
      <c r="AX1" s="574"/>
      <c r="AY1" s="574"/>
      <c r="AZ1" s="580" t="s">
        <v>10</v>
      </c>
      <c r="BA1" s="581"/>
      <c r="BB1" s="581"/>
      <c r="BC1" s="582"/>
    </row>
    <row r="2" spans="1:86">
      <c r="A2" s="583" t="s">
        <v>16</v>
      </c>
      <c r="B2" s="583"/>
      <c r="C2" s="583"/>
      <c r="D2" s="583"/>
      <c r="E2" s="583"/>
      <c r="F2" s="583"/>
      <c r="G2" s="583"/>
      <c r="H2" s="583"/>
      <c r="I2" s="584" t="s">
        <v>11</v>
      </c>
      <c r="J2" s="584"/>
      <c r="K2" s="584"/>
      <c r="L2" s="584"/>
      <c r="M2" s="620" t="str">
        <f>変更来歴!M2</f>
        <v>新環境証明書システム</v>
      </c>
      <c r="N2" s="620"/>
      <c r="O2" s="620"/>
      <c r="P2" s="620"/>
      <c r="Q2" s="620"/>
      <c r="R2" s="620"/>
      <c r="S2" s="620"/>
      <c r="T2" s="620"/>
      <c r="U2" s="620"/>
      <c r="V2" s="620"/>
      <c r="W2" s="620"/>
      <c r="X2" s="584"/>
      <c r="Y2" s="584"/>
      <c r="Z2" s="584"/>
      <c r="AA2" s="599"/>
      <c r="AB2" s="599"/>
      <c r="AC2" s="599"/>
      <c r="AD2" s="599"/>
      <c r="AE2" s="599"/>
      <c r="AF2" s="599"/>
      <c r="AG2" s="599"/>
      <c r="AH2" s="599"/>
      <c r="AI2" s="599"/>
      <c r="AJ2" s="599"/>
      <c r="AK2" s="573" t="s">
        <v>12</v>
      </c>
      <c r="AL2" s="573"/>
      <c r="AM2" s="573"/>
      <c r="AN2" s="575" t="str">
        <f ca="1">INDIRECT("変更来歴!AP" &amp; COUNTA(変更来歴!AP7:'変更来歴'!AP39) + 6)</f>
        <v>古竹</v>
      </c>
      <c r="AO2" s="575"/>
      <c r="AP2" s="575"/>
      <c r="AQ2" s="575"/>
      <c r="AR2" s="575"/>
      <c r="AS2" s="573" t="s">
        <v>13</v>
      </c>
      <c r="AT2" s="573"/>
      <c r="AU2" s="573"/>
      <c r="AV2" s="576">
        <f ca="1">INDIRECT("変更来歴!AL" &amp; COUNTA(変更来歴!AL7:'変更来歴'!AL39) + 6)</f>
        <v>46160</v>
      </c>
      <c r="AW2" s="574"/>
      <c r="AX2" s="574"/>
      <c r="AY2" s="574"/>
      <c r="AZ2" s="588" t="str">
        <f>変更来歴!AX2</f>
        <v>IMWF-53</v>
      </c>
      <c r="BA2" s="589"/>
      <c r="BB2" s="589"/>
      <c r="BC2" s="590"/>
    </row>
    <row r="3" spans="1:86" ht="12" customHeight="1">
      <c r="A3" s="594" t="str">
        <f>変更来歴!A3</f>
        <v>画面設計書</v>
      </c>
      <c r="B3" s="594"/>
      <c r="C3" s="594"/>
      <c r="D3" s="594"/>
      <c r="E3" s="594"/>
      <c r="F3" s="594"/>
      <c r="G3" s="594"/>
      <c r="H3" s="594"/>
      <c r="I3" s="584" t="s">
        <v>14</v>
      </c>
      <c r="J3" s="584"/>
      <c r="K3" s="584"/>
      <c r="L3" s="584"/>
      <c r="M3" s="595" t="str">
        <f ca="1">RIGHT(CELL("filename",A1),LEN(CELL("filename",A1))-FIND("]",CELL("filename",A1)))</f>
        <v>管理者申請ログ確認画面</v>
      </c>
      <c r="N3" s="595"/>
      <c r="O3" s="595"/>
      <c r="P3" s="595"/>
      <c r="Q3" s="595"/>
      <c r="R3" s="595"/>
      <c r="S3" s="595"/>
      <c r="T3" s="595"/>
      <c r="U3" s="595"/>
      <c r="V3" s="595"/>
      <c r="W3" s="595"/>
      <c r="X3" s="584" t="s">
        <v>27</v>
      </c>
      <c r="Y3" s="584"/>
      <c r="Z3" s="584"/>
      <c r="AA3" s="596" t="str">
        <f ca="1">MID(CELL("filename"),FIND("]",CELL("filename"))+1,LEN(CELL("filename"))) &amp; "画面"</f>
        <v>変更来歴画面</v>
      </c>
      <c r="AB3" s="596"/>
      <c r="AC3" s="596"/>
      <c r="AD3" s="596"/>
      <c r="AE3" s="596"/>
      <c r="AF3" s="596"/>
      <c r="AG3" s="596"/>
      <c r="AH3" s="596"/>
      <c r="AI3" s="596"/>
      <c r="AJ3" s="596"/>
      <c r="AK3" s="596"/>
      <c r="AL3" s="596"/>
      <c r="AM3" s="596"/>
      <c r="AN3" s="596"/>
      <c r="AO3" s="596"/>
      <c r="AP3" s="596"/>
      <c r="AQ3" s="596"/>
      <c r="AR3" s="596"/>
      <c r="AS3" s="573" t="s">
        <v>15</v>
      </c>
      <c r="AT3" s="573"/>
      <c r="AU3" s="573"/>
      <c r="AV3" s="574" t="str">
        <f ca="1">INDIRECT("変更来歴!A" &amp; COUNTA(変更来歴!A7:'変更来歴'!A39) + 6)</f>
        <v>ｒ1.1</v>
      </c>
      <c r="AW3" s="574"/>
      <c r="AX3" s="574"/>
      <c r="AY3" s="574"/>
      <c r="AZ3" s="591"/>
      <c r="BA3" s="592"/>
      <c r="BB3" s="592"/>
      <c r="BC3" s="593"/>
    </row>
    <row r="4" spans="1:86" ht="5.9" customHeight="1"/>
    <row r="5" spans="1:86" ht="13.5" customHeight="1">
      <c r="A5" s="621" t="str">
        <f ca="1">"画面レイアウト"&amp;"("&amp;MID(CELL("filename"),FIND("]",CELL("filename"))+1,LEN(CELL("filename")))&amp;")"</f>
        <v>画面レイアウト(変更来歴)</v>
      </c>
      <c r="B5" s="622"/>
      <c r="C5" s="622"/>
      <c r="D5" s="622"/>
      <c r="E5" s="622"/>
      <c r="F5" s="622"/>
      <c r="G5" s="622"/>
      <c r="H5" s="622"/>
      <c r="I5" s="622"/>
      <c r="J5" s="622"/>
      <c r="K5" s="622"/>
      <c r="L5" s="622"/>
      <c r="M5" s="622"/>
      <c r="N5" s="622"/>
      <c r="O5" s="622"/>
      <c r="P5" s="622"/>
      <c r="Q5" s="622"/>
      <c r="R5" s="622"/>
      <c r="S5" s="622"/>
      <c r="T5" s="622"/>
      <c r="U5" s="622"/>
      <c r="V5" s="622"/>
      <c r="W5" s="622"/>
      <c r="X5" s="622"/>
      <c r="Y5" s="622"/>
      <c r="Z5" s="622"/>
      <c r="AA5" s="622"/>
      <c r="AB5" s="622"/>
      <c r="AC5" s="622"/>
      <c r="AD5" s="622"/>
      <c r="AE5" s="622"/>
      <c r="AF5" s="622"/>
      <c r="AG5" s="622"/>
      <c r="AH5" s="622"/>
      <c r="AI5" s="622"/>
      <c r="AJ5" s="622"/>
      <c r="AK5" s="622"/>
      <c r="AL5" s="622"/>
      <c r="AM5" s="622"/>
      <c r="AN5" s="622"/>
      <c r="AO5" s="622"/>
      <c r="AP5" s="622"/>
      <c r="AQ5" s="622"/>
      <c r="AR5" s="622"/>
      <c r="AS5" s="622"/>
      <c r="AT5" s="622"/>
      <c r="AU5" s="622"/>
      <c r="AV5" s="622"/>
      <c r="AW5" s="622"/>
      <c r="AX5" s="622"/>
      <c r="AY5" s="622"/>
      <c r="AZ5" s="622"/>
      <c r="BA5" s="623"/>
      <c r="BB5" s="624" t="s">
        <v>24</v>
      </c>
      <c r="BC5" s="625"/>
      <c r="BD5" s="28"/>
    </row>
    <row r="6" spans="1:86" ht="13.5" customHeight="1">
      <c r="A6" s="27"/>
      <c r="B6" s="170">
        <v>1</v>
      </c>
      <c r="C6" s="170">
        <v>2</v>
      </c>
      <c r="D6" s="170">
        <v>3</v>
      </c>
      <c r="E6" s="170">
        <v>4</v>
      </c>
      <c r="F6" s="170">
        <v>5</v>
      </c>
      <c r="G6" s="170">
        <v>6</v>
      </c>
      <c r="H6" s="170">
        <v>7</v>
      </c>
      <c r="I6" s="170">
        <v>8</v>
      </c>
      <c r="J6" s="170">
        <v>9</v>
      </c>
      <c r="K6" s="170">
        <v>10</v>
      </c>
      <c r="L6" s="170">
        <v>11</v>
      </c>
      <c r="M6" s="170">
        <v>12</v>
      </c>
      <c r="N6" s="170">
        <v>13</v>
      </c>
      <c r="O6" s="170">
        <v>14</v>
      </c>
      <c r="P6" s="170">
        <v>15</v>
      </c>
      <c r="Q6" s="170">
        <v>16</v>
      </c>
      <c r="R6" s="170">
        <v>17</v>
      </c>
      <c r="S6" s="172">
        <v>18</v>
      </c>
      <c r="T6" s="172">
        <v>19</v>
      </c>
      <c r="U6" s="172">
        <v>20</v>
      </c>
      <c r="V6" s="172">
        <v>21</v>
      </c>
      <c r="W6" s="172">
        <v>22</v>
      </c>
      <c r="X6" s="172">
        <v>23</v>
      </c>
      <c r="Y6" s="172">
        <v>24</v>
      </c>
      <c r="Z6" s="172">
        <v>25</v>
      </c>
      <c r="AA6" s="172">
        <v>26</v>
      </c>
      <c r="AB6" s="172">
        <v>27</v>
      </c>
      <c r="AC6" s="172">
        <v>28</v>
      </c>
      <c r="AD6" s="172">
        <v>29</v>
      </c>
      <c r="AE6" s="172">
        <v>30</v>
      </c>
      <c r="AF6" s="172">
        <v>31</v>
      </c>
      <c r="AG6" s="172">
        <v>32</v>
      </c>
      <c r="AH6" s="172">
        <v>33</v>
      </c>
      <c r="AI6" s="172">
        <v>34</v>
      </c>
      <c r="AJ6" s="171">
        <v>35</v>
      </c>
      <c r="AK6" s="171">
        <v>36</v>
      </c>
      <c r="AL6" s="171">
        <v>37</v>
      </c>
      <c r="AM6" s="171">
        <v>38</v>
      </c>
      <c r="AN6" s="171">
        <v>39</v>
      </c>
      <c r="AO6" s="171">
        <v>40</v>
      </c>
      <c r="AP6" s="171">
        <v>41</v>
      </c>
      <c r="AQ6" s="171">
        <v>42</v>
      </c>
      <c r="AR6" s="171">
        <v>43</v>
      </c>
      <c r="AS6" s="171">
        <v>44</v>
      </c>
      <c r="AT6" s="171">
        <v>45</v>
      </c>
      <c r="AU6" s="171">
        <v>46</v>
      </c>
      <c r="AV6" s="171">
        <v>47</v>
      </c>
      <c r="AW6" s="171">
        <v>48</v>
      </c>
      <c r="AX6" s="171">
        <v>49</v>
      </c>
      <c r="AY6" s="171">
        <v>50</v>
      </c>
      <c r="AZ6" s="171">
        <v>51</v>
      </c>
      <c r="BA6" s="21"/>
      <c r="BB6" s="73"/>
      <c r="BC6" s="40"/>
      <c r="BD6" s="28"/>
    </row>
    <row r="7" spans="1:86" ht="12.5" customHeight="1">
      <c r="A7" s="393"/>
      <c r="B7" s="494"/>
      <c r="C7" s="495"/>
      <c r="D7" s="495"/>
      <c r="E7" s="495"/>
      <c r="F7" s="495"/>
      <c r="G7" s="495"/>
      <c r="H7" s="495"/>
      <c r="I7" s="495"/>
      <c r="J7" s="495"/>
      <c r="K7" s="495"/>
      <c r="L7" s="495"/>
      <c r="M7" s="495"/>
      <c r="N7" s="495"/>
      <c r="O7" s="495"/>
      <c r="P7" s="495"/>
      <c r="Q7" s="495"/>
      <c r="R7" s="495"/>
      <c r="S7" s="495"/>
      <c r="T7" s="495"/>
      <c r="U7" s="495"/>
      <c r="V7" s="495"/>
      <c r="W7" s="495"/>
      <c r="X7" s="495"/>
      <c r="Y7" s="495"/>
      <c r="Z7" s="495"/>
      <c r="AA7" s="495"/>
      <c r="AB7" s="495"/>
      <c r="AC7" s="495"/>
      <c r="AD7" s="495"/>
      <c r="AE7" s="495"/>
      <c r="AF7" s="495"/>
      <c r="AG7" s="495"/>
      <c r="AH7" s="495"/>
      <c r="AI7" s="495"/>
      <c r="AJ7" s="495"/>
      <c r="AK7" s="495"/>
      <c r="AL7" s="495"/>
      <c r="AM7" s="495"/>
      <c r="AN7" s="495"/>
      <c r="AO7" s="495"/>
      <c r="AP7" s="495"/>
      <c r="AQ7" s="495"/>
      <c r="AR7" s="495"/>
      <c r="AS7" s="495"/>
      <c r="AT7" s="495"/>
      <c r="AU7" s="495"/>
      <c r="AV7" s="495"/>
      <c r="AW7" s="495"/>
      <c r="AX7" s="495"/>
      <c r="AY7" s="495"/>
      <c r="AZ7" s="496"/>
      <c r="BA7" s="422"/>
      <c r="BB7" s="405"/>
      <c r="BC7" s="406"/>
      <c r="BD7" s="391"/>
      <c r="BE7" s="391" t="s">
        <v>175</v>
      </c>
      <c r="BF7" s="391"/>
      <c r="BG7" s="391"/>
      <c r="BH7" s="391"/>
      <c r="BI7" s="391"/>
      <c r="BJ7" s="391"/>
      <c r="BK7" s="391"/>
      <c r="BL7" s="543"/>
      <c r="BM7" s="543"/>
      <c r="BN7" s="445"/>
      <c r="BO7" s="445"/>
      <c r="BP7" s="445"/>
      <c r="BQ7" s="445"/>
      <c r="BR7" s="445"/>
      <c r="BS7" s="444"/>
      <c r="BT7" s="444"/>
    </row>
    <row r="8" spans="1:86" s="443" customFormat="1" ht="12.5" customHeight="1">
      <c r="A8" s="393"/>
      <c r="B8" s="418"/>
      <c r="C8" s="420"/>
      <c r="D8" s="420"/>
      <c r="E8" s="420"/>
      <c r="F8" s="420"/>
      <c r="G8" s="420"/>
      <c r="H8" s="420"/>
      <c r="I8" s="420"/>
      <c r="J8" s="420"/>
      <c r="K8" s="420"/>
      <c r="L8" s="420"/>
      <c r="M8" s="420"/>
      <c r="N8" s="420"/>
      <c r="O8" s="420"/>
      <c r="P8" s="420"/>
      <c r="Q8" s="420"/>
      <c r="R8" s="420"/>
      <c r="S8" s="420"/>
      <c r="T8" s="420"/>
      <c r="U8" s="420"/>
      <c r="V8" s="420"/>
      <c r="W8" s="420"/>
      <c r="X8" s="420"/>
      <c r="Y8" s="420"/>
      <c r="Z8" s="420"/>
      <c r="AA8" s="420"/>
      <c r="AB8" s="420"/>
      <c r="AC8" s="420"/>
      <c r="AD8" s="420"/>
      <c r="AE8" s="420"/>
      <c r="AF8" s="420"/>
      <c r="AG8" s="420"/>
      <c r="AH8" s="420"/>
      <c r="AI8" s="420"/>
      <c r="AJ8" s="420"/>
      <c r="AK8" s="420"/>
      <c r="AL8" s="420"/>
      <c r="AM8" s="420"/>
      <c r="AN8" s="420"/>
      <c r="AO8" s="420"/>
      <c r="AP8" s="420"/>
      <c r="AQ8" s="420"/>
      <c r="AR8" s="420"/>
      <c r="AS8" s="420"/>
      <c r="AT8" s="420"/>
      <c r="AU8" s="420"/>
      <c r="AV8" s="420"/>
      <c r="AW8" s="420"/>
      <c r="AX8" s="420"/>
      <c r="AY8" s="420"/>
      <c r="AZ8" s="422"/>
      <c r="BA8" s="422"/>
      <c r="BB8" s="405"/>
      <c r="BC8" s="406"/>
      <c r="BD8" s="391"/>
      <c r="BE8" s="421" t="s">
        <v>397</v>
      </c>
      <c r="BF8" s="421"/>
      <c r="BG8" s="543"/>
      <c r="BH8" s="543"/>
      <c r="BI8" s="543"/>
      <c r="BJ8" s="543"/>
      <c r="BK8" s="543"/>
      <c r="BL8" s="391"/>
      <c r="BM8" s="391"/>
      <c r="BN8" s="444"/>
      <c r="BO8" s="444"/>
      <c r="BP8" s="444"/>
      <c r="BQ8" s="444"/>
      <c r="BR8" s="444"/>
      <c r="BS8" s="444"/>
      <c r="BT8" s="444"/>
      <c r="CD8" s="421"/>
      <c r="CE8" s="421"/>
      <c r="CF8" s="543"/>
      <c r="CG8" s="543"/>
      <c r="CH8" s="543"/>
    </row>
    <row r="9" spans="1:86" s="443" customFormat="1" ht="12.5" customHeight="1">
      <c r="A9" s="393"/>
      <c r="B9" s="418"/>
      <c r="C9" s="423"/>
      <c r="D9" s="419"/>
      <c r="E9" s="419"/>
      <c r="F9" s="419"/>
      <c r="G9" s="421"/>
      <c r="H9" s="431"/>
      <c r="I9" s="431"/>
      <c r="J9" s="431"/>
      <c r="K9" s="431"/>
      <c r="L9" s="431"/>
      <c r="M9" s="431"/>
      <c r="N9" s="431"/>
      <c r="O9" s="431"/>
      <c r="P9" s="431"/>
      <c r="Q9" s="431"/>
      <c r="R9" s="431"/>
      <c r="S9" s="431"/>
      <c r="T9" s="431"/>
      <c r="U9" s="431"/>
      <c r="V9" s="431"/>
      <c r="W9" s="431"/>
      <c r="X9" s="431"/>
      <c r="Y9" s="431"/>
      <c r="Z9" s="431"/>
      <c r="AA9" s="431"/>
      <c r="AB9" s="431"/>
      <c r="AC9" s="431"/>
      <c r="AD9" s="431"/>
      <c r="AE9" s="431"/>
      <c r="AF9" s="431"/>
      <c r="AG9" s="431"/>
      <c r="AH9" s="431"/>
      <c r="AI9" s="431"/>
      <c r="AJ9" s="431"/>
      <c r="AK9" s="431"/>
      <c r="AL9" s="431"/>
      <c r="AM9" s="431"/>
      <c r="AN9" s="431"/>
      <c r="AO9" s="431"/>
      <c r="AP9" s="431"/>
      <c r="AQ9" s="431"/>
      <c r="AR9" s="431"/>
      <c r="AS9" s="431"/>
      <c r="AT9" s="425"/>
      <c r="AU9" s="421"/>
      <c r="AV9" s="421"/>
      <c r="AW9" s="421"/>
      <c r="AX9" s="421"/>
      <c r="AY9" s="417"/>
      <c r="AZ9" s="422"/>
      <c r="BA9" s="422"/>
      <c r="BB9" s="389"/>
      <c r="BC9" s="390"/>
      <c r="BD9" s="391"/>
      <c r="BE9" s="543"/>
      <c r="BF9" s="391"/>
      <c r="BG9" s="28"/>
      <c r="BH9" s="421"/>
      <c r="BI9" s="543"/>
      <c r="BJ9" s="543"/>
      <c r="BK9" s="543"/>
      <c r="BL9" s="391"/>
      <c r="BM9" s="391"/>
      <c r="BN9" s="444"/>
      <c r="BO9" s="444"/>
      <c r="BP9" s="444"/>
      <c r="BQ9" s="444"/>
      <c r="BR9" s="444"/>
      <c r="BS9" s="444"/>
      <c r="BT9" s="444"/>
      <c r="CD9" s="543"/>
      <c r="CE9" s="391"/>
      <c r="CF9" s="28"/>
      <c r="CG9" s="421"/>
      <c r="CH9" s="543"/>
    </row>
    <row r="10" spans="1:86" s="443" customFormat="1" ht="15">
      <c r="A10" s="392"/>
      <c r="B10" s="426"/>
      <c r="C10" s="420"/>
      <c r="D10" s="420"/>
      <c r="E10" s="420"/>
      <c r="F10" s="420"/>
      <c r="G10" s="420"/>
      <c r="H10" s="420"/>
      <c r="I10" s="420"/>
      <c r="J10" s="420"/>
      <c r="K10" s="420"/>
      <c r="L10" s="420"/>
      <c r="M10" s="420"/>
      <c r="N10" s="420"/>
      <c r="O10" s="420"/>
      <c r="P10" s="420"/>
      <c r="Q10" s="420"/>
      <c r="R10" s="420"/>
      <c r="S10" s="420"/>
      <c r="T10" s="420"/>
      <c r="U10" s="420"/>
      <c r="V10" s="420"/>
      <c r="W10" s="420"/>
      <c r="X10" s="420"/>
      <c r="Y10" s="420"/>
      <c r="Z10" s="420"/>
      <c r="AA10" s="420"/>
      <c r="AB10" s="420"/>
      <c r="AC10" s="420"/>
      <c r="AD10" s="420"/>
      <c r="AE10" s="420"/>
      <c r="AF10" s="420"/>
      <c r="AG10" s="420"/>
      <c r="AH10" s="420"/>
      <c r="AI10" s="420"/>
      <c r="AJ10" s="420"/>
      <c r="AK10" s="420"/>
      <c r="AL10" s="420"/>
      <c r="AM10" s="420"/>
      <c r="AN10" s="420"/>
      <c r="AO10" s="420"/>
      <c r="AP10" s="420"/>
      <c r="AQ10" s="420"/>
      <c r="AR10" s="420"/>
      <c r="AS10" s="420"/>
      <c r="AT10" s="420"/>
      <c r="AU10" s="420"/>
      <c r="AV10" s="420"/>
      <c r="AW10" s="420"/>
      <c r="AX10" s="420"/>
      <c r="AY10" s="420"/>
      <c r="AZ10" s="422"/>
      <c r="BA10" s="422"/>
      <c r="BB10" s="519"/>
      <c r="BC10" s="520"/>
      <c r="BD10" s="407"/>
      <c r="BE10" s="444"/>
      <c r="BF10" s="444"/>
      <c r="BG10" s="391"/>
      <c r="BH10" s="444"/>
      <c r="BJ10" s="444"/>
      <c r="BN10" s="444"/>
      <c r="BO10" s="444"/>
      <c r="BP10" s="444"/>
      <c r="BQ10" s="444"/>
      <c r="BR10" s="444"/>
      <c r="BS10" s="444"/>
      <c r="BT10" s="444"/>
    </row>
    <row r="11" spans="1:86" s="443" customFormat="1" ht="12.5" customHeight="1">
      <c r="A11" s="393"/>
      <c r="B11" s="418"/>
      <c r="C11" s="420"/>
      <c r="D11" s="420"/>
      <c r="E11" s="420"/>
      <c r="F11" s="420"/>
      <c r="G11" s="420"/>
      <c r="H11" s="420"/>
      <c r="I11" s="420"/>
      <c r="J11" s="420"/>
      <c r="K11" s="420"/>
      <c r="L11" s="420"/>
      <c r="M11" s="420"/>
      <c r="N11" s="420"/>
      <c r="O11" s="420"/>
      <c r="P11" s="420"/>
      <c r="Q11" s="420"/>
      <c r="R11" s="420"/>
      <c r="S11" s="420"/>
      <c r="T11" s="420"/>
      <c r="U11" s="420"/>
      <c r="V11" s="420"/>
      <c r="W11" s="420"/>
      <c r="X11" s="420"/>
      <c r="Y11" s="420"/>
      <c r="Z11" s="420"/>
      <c r="AA11" s="420"/>
      <c r="AB11" s="420"/>
      <c r="AC11" s="420"/>
      <c r="AD11" s="420"/>
      <c r="AE11" s="420"/>
      <c r="AF11" s="420"/>
      <c r="AG11" s="420"/>
      <c r="AH11" s="420"/>
      <c r="AI11" s="420"/>
      <c r="AJ11" s="420"/>
      <c r="AK11" s="420"/>
      <c r="AL11" s="420"/>
      <c r="AM11" s="420"/>
      <c r="AN11" s="420"/>
      <c r="AO11" s="420"/>
      <c r="AP11" s="420"/>
      <c r="AQ11" s="420"/>
      <c r="AR11" s="420"/>
      <c r="AS11" s="420"/>
      <c r="AT11" s="420"/>
      <c r="AU11" s="420"/>
      <c r="AV11" s="420"/>
      <c r="AW11" s="420"/>
      <c r="AX11" s="420"/>
      <c r="AY11" s="420"/>
      <c r="AZ11" s="422"/>
      <c r="BA11" s="422"/>
      <c r="BB11" s="405"/>
      <c r="BC11" s="406"/>
      <c r="BD11" s="391"/>
      <c r="BE11" s="543"/>
      <c r="BF11" s="421" t="s">
        <v>398</v>
      </c>
      <c r="BG11" s="421"/>
      <c r="BH11" s="421"/>
      <c r="BI11" s="543"/>
      <c r="BJ11" s="543"/>
      <c r="BK11" s="543"/>
      <c r="BL11" s="391"/>
      <c r="BM11" s="391"/>
      <c r="BN11" s="444"/>
      <c r="BO11" s="444"/>
      <c r="BP11" s="444"/>
      <c r="BQ11" s="444"/>
      <c r="BR11" s="444"/>
      <c r="BS11" s="444"/>
      <c r="BT11" s="444"/>
      <c r="CD11" s="543"/>
      <c r="CE11" s="421"/>
      <c r="CF11" s="421"/>
      <c r="CG11" s="421"/>
      <c r="CH11" s="543"/>
    </row>
    <row r="12" spans="1:86" s="443" customFormat="1" ht="12.5" customHeight="1">
      <c r="A12" s="393"/>
      <c r="B12" s="418"/>
      <c r="C12" s="423"/>
      <c r="D12" s="419"/>
      <c r="E12" s="419"/>
      <c r="F12" s="419"/>
      <c r="G12" s="421"/>
      <c r="H12" s="431"/>
      <c r="I12" s="431"/>
      <c r="J12" s="431"/>
      <c r="K12" s="431"/>
      <c r="L12" s="431"/>
      <c r="M12" s="431"/>
      <c r="N12" s="431"/>
      <c r="O12" s="431"/>
      <c r="P12" s="431"/>
      <c r="Q12" s="431"/>
      <c r="R12" s="431"/>
      <c r="S12" s="431"/>
      <c r="T12" s="431"/>
      <c r="U12" s="431"/>
      <c r="V12" s="431"/>
      <c r="W12" s="431"/>
      <c r="X12" s="431"/>
      <c r="Y12" s="431"/>
      <c r="Z12" s="431"/>
      <c r="AA12" s="431"/>
      <c r="AB12" s="431"/>
      <c r="AC12" s="431"/>
      <c r="AD12" s="431"/>
      <c r="AE12" s="431"/>
      <c r="AF12" s="431"/>
      <c r="AG12" s="431"/>
      <c r="AH12" s="431"/>
      <c r="AI12" s="431"/>
      <c r="AJ12" s="431"/>
      <c r="AK12" s="431"/>
      <c r="AL12" s="431"/>
      <c r="AM12" s="431"/>
      <c r="AN12" s="431"/>
      <c r="AO12" s="431"/>
      <c r="AP12" s="431"/>
      <c r="AQ12" s="431"/>
      <c r="AR12" s="431"/>
      <c r="AS12" s="431"/>
      <c r="AT12" s="425"/>
      <c r="AU12" s="421"/>
      <c r="AV12" s="421"/>
      <c r="AW12" s="421"/>
      <c r="AX12" s="421"/>
      <c r="AY12" s="417"/>
      <c r="AZ12" s="422"/>
      <c r="BA12" s="422"/>
      <c r="BB12" s="389"/>
      <c r="BC12" s="390"/>
      <c r="BD12" s="391"/>
      <c r="BE12" s="421"/>
      <c r="BG12" s="391" t="s">
        <v>399</v>
      </c>
      <c r="BI12" s="543"/>
      <c r="BJ12" s="543"/>
      <c r="BK12" s="543"/>
      <c r="BL12" s="391"/>
      <c r="BM12" s="391"/>
      <c r="BN12" s="444"/>
      <c r="BO12" s="444"/>
      <c r="BP12" s="444"/>
      <c r="BQ12" s="444"/>
      <c r="BR12" s="444"/>
      <c r="BS12" s="444"/>
      <c r="BT12" s="444"/>
      <c r="CD12" s="421"/>
      <c r="CF12" s="391"/>
      <c r="CH12" s="543"/>
    </row>
    <row r="13" spans="1:86" s="443" customFormat="1" ht="17.5" customHeight="1">
      <c r="A13" s="393"/>
      <c r="B13" s="526"/>
      <c r="C13" s="527"/>
      <c r="D13" s="527"/>
      <c r="E13" s="529" t="s">
        <v>310</v>
      </c>
      <c r="F13" s="527"/>
      <c r="G13" s="527"/>
      <c r="H13" s="527"/>
      <c r="I13" s="527"/>
      <c r="J13" s="527"/>
      <c r="K13" s="527"/>
      <c r="L13" s="527"/>
      <c r="M13" s="527"/>
      <c r="N13" s="527"/>
      <c r="O13" s="529"/>
      <c r="P13" s="529" t="s">
        <v>312</v>
      </c>
      <c r="Q13" s="527"/>
      <c r="R13" s="527"/>
      <c r="S13" s="527"/>
      <c r="T13" s="527"/>
      <c r="U13" s="527"/>
      <c r="V13" s="527"/>
      <c r="W13" s="527"/>
      <c r="X13" s="529"/>
      <c r="Y13" s="529" t="s">
        <v>314</v>
      </c>
      <c r="Z13" s="527"/>
      <c r="AA13" s="527"/>
      <c r="AB13" s="527"/>
      <c r="AC13" s="527"/>
      <c r="AD13" s="527"/>
      <c r="AE13" s="527"/>
      <c r="AF13" s="527"/>
      <c r="AG13" s="527"/>
      <c r="AH13" s="529" t="s">
        <v>316</v>
      </c>
      <c r="AI13" s="527"/>
      <c r="AJ13" s="527"/>
      <c r="AK13" s="527"/>
      <c r="AL13" s="527"/>
      <c r="AM13" s="527"/>
      <c r="AN13" s="527"/>
      <c r="AO13" s="527"/>
      <c r="AP13" s="527"/>
      <c r="AQ13" s="527"/>
      <c r="AR13" s="529" t="s">
        <v>318</v>
      </c>
      <c r="AS13" s="527"/>
      <c r="AT13" s="527"/>
      <c r="AU13" s="527"/>
      <c r="AV13" s="527"/>
      <c r="AW13" s="527"/>
      <c r="AX13" s="527"/>
      <c r="AY13" s="527"/>
      <c r="AZ13" s="528"/>
      <c r="BA13" s="422"/>
      <c r="BB13" s="519"/>
      <c r="BC13" s="520"/>
      <c r="BD13" s="391"/>
      <c r="BE13" s="391"/>
      <c r="BH13" s="544"/>
      <c r="BI13" s="391"/>
      <c r="BJ13" s="391"/>
      <c r="BK13" s="391"/>
      <c r="BL13" s="391"/>
      <c r="BM13" s="391"/>
      <c r="BN13" s="444"/>
      <c r="BO13" s="444"/>
      <c r="BP13" s="444"/>
      <c r="BQ13" s="444"/>
      <c r="BR13" s="444"/>
      <c r="BS13" s="444"/>
      <c r="BT13" s="444"/>
      <c r="CD13" s="391"/>
      <c r="CE13" s="421"/>
      <c r="CF13" s="391"/>
      <c r="CG13" s="544"/>
      <c r="CH13" s="391"/>
    </row>
    <row r="14" spans="1:86" s="443" customFormat="1" ht="17.5" customHeight="1">
      <c r="A14" s="393"/>
      <c r="B14" s="526"/>
      <c r="C14" s="527"/>
      <c r="D14" s="527"/>
      <c r="E14" s="529" t="s">
        <v>311</v>
      </c>
      <c r="F14" s="527"/>
      <c r="G14" s="527"/>
      <c r="H14" s="527"/>
      <c r="I14" s="527"/>
      <c r="J14" s="527"/>
      <c r="K14" s="527"/>
      <c r="L14" s="527"/>
      <c r="M14" s="527"/>
      <c r="N14" s="527"/>
      <c r="O14" s="529"/>
      <c r="P14" s="529" t="s">
        <v>313</v>
      </c>
      <c r="Q14" s="527"/>
      <c r="R14" s="527"/>
      <c r="S14" s="527"/>
      <c r="T14" s="527"/>
      <c r="U14" s="527"/>
      <c r="V14" s="527"/>
      <c r="W14" s="527"/>
      <c r="X14" s="529"/>
      <c r="Y14" s="529" t="s">
        <v>315</v>
      </c>
      <c r="Z14" s="527"/>
      <c r="AA14" s="527"/>
      <c r="AB14" s="527"/>
      <c r="AC14" s="527"/>
      <c r="AD14" s="527"/>
      <c r="AE14" s="527"/>
      <c r="AF14" s="527"/>
      <c r="AG14" s="527"/>
      <c r="AH14" s="529" t="s">
        <v>317</v>
      </c>
      <c r="AI14" s="527"/>
      <c r="AJ14" s="527"/>
      <c r="AK14" s="527"/>
      <c r="AL14" s="527"/>
      <c r="AM14" s="527"/>
      <c r="AN14" s="527"/>
      <c r="AO14" s="527"/>
      <c r="AP14" s="527"/>
      <c r="AQ14" s="527"/>
      <c r="AR14" s="529" t="s">
        <v>319</v>
      </c>
      <c r="AS14" s="527"/>
      <c r="AT14" s="527"/>
      <c r="AU14" s="527"/>
      <c r="AV14" s="527"/>
      <c r="AW14" s="527"/>
      <c r="AX14" s="527"/>
      <c r="AY14" s="527"/>
      <c r="AZ14" s="422"/>
      <c r="BA14" s="422"/>
      <c r="BB14" s="405"/>
      <c r="BC14" s="406"/>
      <c r="BD14" s="391"/>
      <c r="BF14" s="421" t="s">
        <v>420</v>
      </c>
      <c r="BG14" s="391"/>
    </row>
    <row r="15" spans="1:86" s="443" customFormat="1" ht="17.5" customHeight="1">
      <c r="A15" s="393"/>
      <c r="B15" s="555"/>
      <c r="C15" s="556"/>
      <c r="D15" s="556"/>
      <c r="E15" s="557" t="s">
        <v>311</v>
      </c>
      <c r="F15" s="557"/>
      <c r="G15" s="557"/>
      <c r="H15" s="557"/>
      <c r="I15" s="557"/>
      <c r="J15" s="557"/>
      <c r="K15" s="557"/>
      <c r="L15" s="557"/>
      <c r="M15" s="557"/>
      <c r="N15" s="557"/>
      <c r="O15" s="557"/>
      <c r="P15" s="557" t="s">
        <v>320</v>
      </c>
      <c r="Q15" s="557"/>
      <c r="R15" s="557"/>
      <c r="S15" s="557"/>
      <c r="T15" s="557"/>
      <c r="U15" s="557"/>
      <c r="V15" s="557"/>
      <c r="W15" s="557"/>
      <c r="X15" s="557"/>
      <c r="Y15" s="557" t="s">
        <v>321</v>
      </c>
      <c r="Z15" s="557"/>
      <c r="AA15" s="557"/>
      <c r="AB15" s="557"/>
      <c r="AC15" s="557"/>
      <c r="AD15" s="557"/>
      <c r="AE15" s="557"/>
      <c r="AF15" s="557"/>
      <c r="AG15" s="557"/>
      <c r="AH15" s="557" t="s">
        <v>322</v>
      </c>
      <c r="AI15" s="557"/>
      <c r="AJ15" s="557"/>
      <c r="AK15" s="557"/>
      <c r="AL15" s="557"/>
      <c r="AM15" s="557"/>
      <c r="AN15" s="557"/>
      <c r="AO15" s="557"/>
      <c r="AP15" s="557"/>
      <c r="AQ15" s="557"/>
      <c r="AR15" s="557" t="s">
        <v>319</v>
      </c>
      <c r="AS15" s="558"/>
      <c r="AT15" s="559"/>
      <c r="AU15" s="560"/>
      <c r="AV15" s="561"/>
      <c r="AW15" s="561"/>
      <c r="AX15" s="561"/>
      <c r="AY15" s="562"/>
      <c r="AZ15" s="422"/>
      <c r="BA15" s="422"/>
      <c r="BB15" s="389"/>
      <c r="BC15" s="390"/>
      <c r="BD15" s="391"/>
      <c r="BG15" s="391" t="s">
        <v>421</v>
      </c>
    </row>
    <row r="16" spans="1:86" s="443" customFormat="1" ht="12.5" customHeight="1">
      <c r="A16" s="393"/>
      <c r="B16" s="418"/>
      <c r="C16" s="420"/>
      <c r="D16" s="420"/>
      <c r="E16" s="532"/>
      <c r="F16" s="532"/>
      <c r="G16" s="532"/>
      <c r="H16" s="532"/>
      <c r="I16" s="532"/>
      <c r="J16" s="532"/>
      <c r="K16" s="532"/>
      <c r="L16" s="532"/>
      <c r="M16" s="532"/>
      <c r="N16" s="532"/>
      <c r="O16" s="532"/>
      <c r="P16" s="532"/>
      <c r="Q16" s="532"/>
      <c r="R16" s="532"/>
      <c r="S16" s="532"/>
      <c r="T16" s="532"/>
      <c r="U16" s="532"/>
      <c r="V16" s="532"/>
      <c r="W16" s="532"/>
      <c r="X16" s="532"/>
      <c r="Y16" s="532"/>
      <c r="Z16" s="532"/>
      <c r="AA16" s="532"/>
      <c r="AB16" s="532"/>
      <c r="AC16" s="532"/>
      <c r="AD16" s="532"/>
      <c r="AE16" s="532"/>
      <c r="AF16" s="532"/>
      <c r="AG16" s="532"/>
      <c r="AH16" s="532"/>
      <c r="AI16" s="532"/>
      <c r="AJ16" s="532"/>
      <c r="AK16" s="532"/>
      <c r="AL16" s="532"/>
      <c r="AM16" s="532"/>
      <c r="AN16" s="532"/>
      <c r="AO16" s="532"/>
      <c r="AP16" s="532"/>
      <c r="AQ16" s="532"/>
      <c r="AR16" s="532"/>
      <c r="AS16" s="532"/>
      <c r="AT16" s="532"/>
      <c r="AU16" s="532"/>
      <c r="AV16" s="420"/>
      <c r="AW16" s="420"/>
      <c r="AX16" s="420"/>
      <c r="AY16" s="420"/>
      <c r="AZ16" s="422"/>
      <c r="BA16" s="422"/>
      <c r="BB16" s="405"/>
      <c r="BC16" s="406"/>
      <c r="BD16" s="391"/>
    </row>
    <row r="17" spans="1:86" s="443" customFormat="1" ht="16" customHeight="1">
      <c r="A17" s="393"/>
      <c r="B17" s="535"/>
      <c r="C17" s="527"/>
      <c r="D17" s="527"/>
      <c r="E17" s="529"/>
      <c r="F17" s="527"/>
      <c r="G17" s="527"/>
      <c r="H17" s="527"/>
      <c r="I17" s="527"/>
      <c r="J17" s="527"/>
      <c r="K17" s="527"/>
      <c r="L17" s="527"/>
      <c r="M17" s="527"/>
      <c r="N17" s="527"/>
      <c r="O17" s="529"/>
      <c r="P17" s="529"/>
      <c r="Q17" s="527"/>
      <c r="R17" s="527"/>
      <c r="S17" s="527"/>
      <c r="T17" s="527"/>
      <c r="U17" s="527"/>
      <c r="V17" s="527"/>
      <c r="W17" s="527"/>
      <c r="X17" s="529"/>
      <c r="Y17" s="529"/>
      <c r="Z17" s="527"/>
      <c r="AA17" s="527"/>
      <c r="AB17" s="527"/>
      <c r="AC17" s="527"/>
      <c r="AD17" s="527"/>
      <c r="AE17" s="527"/>
      <c r="AF17" s="527"/>
      <c r="AG17" s="527"/>
      <c r="AH17" s="529"/>
      <c r="AI17" s="527"/>
      <c r="AJ17" s="527"/>
      <c r="AK17" s="527"/>
      <c r="AL17" s="527"/>
      <c r="AM17" s="537"/>
      <c r="AN17" s="539" t="s">
        <v>323</v>
      </c>
      <c r="AO17" s="540">
        <v>1</v>
      </c>
      <c r="AP17" s="541" t="s">
        <v>324</v>
      </c>
      <c r="AQ17" s="619">
        <v>3034</v>
      </c>
      <c r="AR17" s="619"/>
      <c r="AS17" s="542" t="s">
        <v>325</v>
      </c>
      <c r="AT17" s="529"/>
      <c r="AU17" s="538"/>
      <c r="AV17" s="529"/>
      <c r="AW17" s="529"/>
      <c r="AX17" s="529"/>
      <c r="AY17" s="529"/>
      <c r="AZ17" s="536"/>
      <c r="BA17" s="422"/>
      <c r="BB17" s="389"/>
      <c r="BC17" s="390"/>
      <c r="BD17" s="391"/>
      <c r="BE17" s="391"/>
      <c r="BF17" s="421" t="s">
        <v>422</v>
      </c>
      <c r="BG17" s="391"/>
      <c r="BH17" s="544"/>
      <c r="BI17" s="391"/>
      <c r="BJ17" s="391"/>
      <c r="BK17" s="391"/>
      <c r="BL17" s="391"/>
      <c r="BM17" s="391"/>
      <c r="BN17" s="444"/>
      <c r="BO17" s="444"/>
      <c r="BP17" s="444"/>
      <c r="BQ17" s="444"/>
      <c r="BR17" s="444"/>
      <c r="BS17" s="444"/>
      <c r="BT17" s="444"/>
    </row>
    <row r="18" spans="1:86" s="443" customFormat="1" ht="12.5" customHeight="1">
      <c r="A18" s="393"/>
      <c r="B18" s="426"/>
      <c r="C18" s="420"/>
      <c r="D18" s="420"/>
      <c r="E18" s="420"/>
      <c r="F18" s="420"/>
      <c r="G18" s="420"/>
      <c r="H18" s="420"/>
      <c r="I18" s="420"/>
      <c r="J18" s="420"/>
      <c r="K18" s="420"/>
      <c r="L18" s="420"/>
      <c r="M18" s="420"/>
      <c r="N18" s="420"/>
      <c r="O18" s="420"/>
      <c r="P18" s="420"/>
      <c r="Q18" s="420"/>
      <c r="R18" s="420"/>
      <c r="S18" s="420"/>
      <c r="T18" s="420"/>
      <c r="U18" s="420"/>
      <c r="V18" s="420"/>
      <c r="W18" s="420"/>
      <c r="X18" s="420"/>
      <c r="Y18" s="420"/>
      <c r="Z18" s="420"/>
      <c r="AA18" s="420"/>
      <c r="AB18" s="420"/>
      <c r="AC18" s="420"/>
      <c r="AD18" s="420"/>
      <c r="AE18" s="420"/>
      <c r="AF18" s="420"/>
      <c r="AG18" s="420"/>
      <c r="AH18" s="420"/>
      <c r="AI18" s="420"/>
      <c r="AJ18" s="420"/>
      <c r="AK18" s="420"/>
      <c r="AL18" s="420"/>
      <c r="AM18" s="420"/>
      <c r="AN18" s="420"/>
      <c r="AO18" s="420"/>
      <c r="AP18" s="420"/>
      <c r="AQ18" s="420"/>
      <c r="AR18" s="420"/>
      <c r="AS18" s="420"/>
      <c r="AT18" s="420"/>
      <c r="AU18" s="420"/>
      <c r="AV18" s="420"/>
      <c r="AW18" s="420"/>
      <c r="AX18" s="420"/>
      <c r="AY18" s="420"/>
      <c r="AZ18" s="422"/>
      <c r="BA18" s="422"/>
      <c r="BB18" s="389"/>
      <c r="BC18" s="390"/>
      <c r="BD18" s="391"/>
      <c r="BE18" s="421"/>
      <c r="BG18" s="391" t="s">
        <v>400</v>
      </c>
      <c r="BI18" s="391"/>
      <c r="BJ18" s="391"/>
      <c r="BK18" s="391"/>
      <c r="BL18" s="391"/>
      <c r="BM18" s="391"/>
      <c r="BN18" s="444"/>
      <c r="BO18" s="444"/>
      <c r="BP18" s="444"/>
      <c r="BQ18" s="444"/>
      <c r="BR18" s="444"/>
      <c r="BS18" s="444"/>
      <c r="BT18" s="444"/>
    </row>
    <row r="19" spans="1:86" s="443" customFormat="1" ht="12.5" customHeight="1">
      <c r="A19" s="393"/>
      <c r="B19" s="418"/>
      <c r="C19" s="554"/>
      <c r="D19" s="420"/>
      <c r="E19" s="420"/>
      <c r="F19" s="420"/>
      <c r="G19" s="420"/>
      <c r="H19" s="420"/>
      <c r="I19" s="420"/>
      <c r="J19" s="420"/>
      <c r="K19" s="420"/>
      <c r="L19" s="420"/>
      <c r="M19" s="420"/>
      <c r="N19" s="420"/>
      <c r="O19" s="420"/>
      <c r="P19" s="420"/>
      <c r="Q19" s="420"/>
      <c r="R19" s="420"/>
      <c r="S19" s="420"/>
      <c r="T19" s="420"/>
      <c r="U19" s="420"/>
      <c r="V19" s="420"/>
      <c r="W19" s="420"/>
      <c r="X19" s="420"/>
      <c r="Y19" s="420"/>
      <c r="Z19" s="420"/>
      <c r="AA19" s="420"/>
      <c r="AB19" s="420"/>
      <c r="AC19" s="420"/>
      <c r="AD19" s="420"/>
      <c r="AE19" s="420"/>
      <c r="AF19" s="420"/>
      <c r="AG19" s="420"/>
      <c r="AH19" s="420"/>
      <c r="AI19" s="420"/>
      <c r="AJ19" s="420"/>
      <c r="AK19" s="420"/>
      <c r="AL19" s="420"/>
      <c r="AM19" s="420"/>
      <c r="AN19" s="420"/>
      <c r="AO19" s="420"/>
      <c r="AP19" s="420"/>
      <c r="AQ19" s="420"/>
      <c r="AR19" s="420"/>
      <c r="AS19" s="420"/>
      <c r="AT19" s="420"/>
      <c r="AU19" s="420"/>
      <c r="AV19" s="420"/>
      <c r="AW19" s="420"/>
      <c r="AX19" s="420"/>
      <c r="AY19" s="420"/>
      <c r="AZ19" s="422"/>
      <c r="BA19" s="422"/>
      <c r="BB19" s="405"/>
      <c r="BC19" s="406"/>
      <c r="BD19" s="391"/>
      <c r="BE19" s="391"/>
      <c r="BT19" s="444"/>
      <c r="CD19" s="421"/>
      <c r="CF19" s="391"/>
      <c r="CH19" s="391"/>
    </row>
    <row r="20" spans="1:86" s="443" customFormat="1" ht="12.5" customHeight="1">
      <c r="A20" s="393"/>
      <c r="B20" s="418"/>
      <c r="C20" s="423"/>
      <c r="D20" s="419"/>
      <c r="E20" s="419"/>
      <c r="F20" s="419"/>
      <c r="G20" s="421"/>
      <c r="H20" s="431"/>
      <c r="I20" s="431"/>
      <c r="J20" s="431"/>
      <c r="K20" s="431"/>
      <c r="L20" s="431"/>
      <c r="M20" s="431"/>
      <c r="N20" s="431"/>
      <c r="O20" s="431"/>
      <c r="P20" s="431"/>
      <c r="Q20" s="431"/>
      <c r="R20" s="431"/>
      <c r="S20" s="431"/>
      <c r="T20" s="431"/>
      <c r="U20" s="431"/>
      <c r="V20" s="431"/>
      <c r="W20" s="431"/>
      <c r="X20" s="431"/>
      <c r="Y20" s="431"/>
      <c r="Z20" s="431"/>
      <c r="AA20" s="431"/>
      <c r="AB20" s="431"/>
      <c r="AC20" s="431"/>
      <c r="AD20" s="431"/>
      <c r="AE20" s="431"/>
      <c r="AF20" s="431"/>
      <c r="AG20" s="431"/>
      <c r="AH20" s="431"/>
      <c r="AI20" s="431"/>
      <c r="AJ20" s="431"/>
      <c r="AK20" s="431"/>
      <c r="AL20" s="431"/>
      <c r="AM20" s="431"/>
      <c r="AN20" s="431"/>
      <c r="AO20" s="431"/>
      <c r="AP20" s="431"/>
      <c r="AQ20" s="431"/>
      <c r="AR20" s="431"/>
      <c r="AS20" s="431"/>
      <c r="AT20" s="425"/>
      <c r="AU20" s="421"/>
      <c r="AV20" s="421"/>
      <c r="AW20" s="421"/>
      <c r="AX20" s="421"/>
      <c r="AY20" s="417"/>
      <c r="AZ20" s="422"/>
      <c r="BA20" s="422"/>
      <c r="BB20" s="389"/>
      <c r="BC20" s="390"/>
      <c r="BD20" s="391"/>
      <c r="BE20" s="545"/>
      <c r="BT20" s="444"/>
      <c r="CD20" s="391"/>
      <c r="CE20" s="421"/>
      <c r="CF20" s="391"/>
      <c r="CG20" s="391"/>
      <c r="CH20" s="391"/>
    </row>
    <row r="21" spans="1:86" s="443" customFormat="1" ht="12.5" customHeight="1">
      <c r="A21" s="393"/>
      <c r="B21" s="426"/>
      <c r="C21" s="420"/>
      <c r="D21" s="420"/>
      <c r="E21" s="420"/>
      <c r="F21" s="420"/>
      <c r="G21" s="420"/>
      <c r="H21" s="420"/>
      <c r="I21" s="420"/>
      <c r="J21" s="420"/>
      <c r="K21" s="420"/>
      <c r="L21" s="420"/>
      <c r="M21" s="420"/>
      <c r="N21" s="420"/>
      <c r="O21" s="420"/>
      <c r="P21" s="420"/>
      <c r="Q21" s="420"/>
      <c r="R21" s="420"/>
      <c r="S21" s="420"/>
      <c r="T21" s="420"/>
      <c r="U21" s="420"/>
      <c r="V21" s="420"/>
      <c r="W21" s="420"/>
      <c r="X21" s="420"/>
      <c r="Y21" s="420"/>
      <c r="Z21" s="420"/>
      <c r="AA21" s="420"/>
      <c r="AB21" s="420"/>
      <c r="AC21" s="420"/>
      <c r="AD21" s="420"/>
      <c r="AE21" s="420"/>
      <c r="AF21" s="420"/>
      <c r="AG21" s="420"/>
      <c r="AH21" s="420"/>
      <c r="AI21" s="420"/>
      <c r="AJ21" s="420"/>
      <c r="AK21" s="420"/>
      <c r="AL21" s="420"/>
      <c r="AM21" s="420"/>
      <c r="AN21" s="420"/>
      <c r="AO21" s="420"/>
      <c r="AP21" s="420"/>
      <c r="AQ21" s="420"/>
      <c r="AR21" s="420"/>
      <c r="AS21" s="420"/>
      <c r="AT21" s="420"/>
      <c r="AU21" s="420"/>
      <c r="AV21" s="420"/>
      <c r="AW21" s="420"/>
      <c r="AX21" s="420"/>
      <c r="AY21" s="420"/>
      <c r="AZ21" s="422"/>
      <c r="BA21" s="422"/>
      <c r="BB21" s="389"/>
      <c r="BC21" s="390"/>
      <c r="BD21" s="391"/>
      <c r="BE21" s="391"/>
      <c r="BF21" s="421" t="s">
        <v>423</v>
      </c>
      <c r="BG21" s="391"/>
      <c r="BH21" s="391"/>
      <c r="BI21" s="391"/>
      <c r="BJ21" s="391"/>
      <c r="BK21" s="391"/>
      <c r="BL21" s="391"/>
      <c r="BM21" s="391"/>
      <c r="BN21" s="444"/>
      <c r="BO21" s="444"/>
      <c r="BP21" s="444"/>
      <c r="BQ21" s="444"/>
      <c r="BR21" s="444"/>
      <c r="BS21" s="444"/>
      <c r="BT21" s="444"/>
      <c r="CD21" s="545"/>
      <c r="CF21" s="391"/>
      <c r="CH21" s="391"/>
    </row>
    <row r="22" spans="1:86" s="443" customFormat="1" ht="12.5" customHeight="1">
      <c r="A22" s="393"/>
      <c r="B22" s="418"/>
      <c r="C22" s="423"/>
      <c r="D22" s="419"/>
      <c r="E22" s="419"/>
      <c r="F22" s="419"/>
      <c r="G22" s="421"/>
      <c r="H22" s="431"/>
      <c r="I22" s="431"/>
      <c r="J22" s="431"/>
      <c r="K22" s="431"/>
      <c r="L22" s="431"/>
      <c r="M22" s="431"/>
      <c r="N22" s="431"/>
      <c r="O22" s="431"/>
      <c r="P22" s="431"/>
      <c r="Q22" s="431"/>
      <c r="R22" s="431"/>
      <c r="S22" s="431"/>
      <c r="T22" s="431"/>
      <c r="U22" s="431"/>
      <c r="V22" s="431"/>
      <c r="W22" s="431"/>
      <c r="X22" s="431"/>
      <c r="Y22" s="431"/>
      <c r="Z22" s="431"/>
      <c r="AA22" s="431"/>
      <c r="AB22" s="431"/>
      <c r="AC22" s="431"/>
      <c r="AD22" s="431"/>
      <c r="AE22" s="431"/>
      <c r="AF22" s="431"/>
      <c r="AG22" s="431"/>
      <c r="AH22" s="431"/>
      <c r="AI22" s="431"/>
      <c r="AJ22" s="431"/>
      <c r="AK22" s="431"/>
      <c r="AL22" s="431"/>
      <c r="AM22" s="431"/>
      <c r="AN22" s="431"/>
      <c r="AO22" s="431"/>
      <c r="AP22" s="431"/>
      <c r="AQ22" s="431"/>
      <c r="AR22" s="431"/>
      <c r="AS22" s="431"/>
      <c r="AT22" s="425"/>
      <c r="AU22" s="421"/>
      <c r="AV22" s="421"/>
      <c r="AW22" s="421"/>
      <c r="AX22" s="421"/>
      <c r="AY22" s="417"/>
      <c r="AZ22" s="422"/>
      <c r="BA22" s="422"/>
      <c r="BB22" s="389"/>
      <c r="BC22" s="390"/>
      <c r="BD22" s="391"/>
      <c r="BE22" s="391"/>
      <c r="BG22" s="391" t="s">
        <v>402</v>
      </c>
      <c r="BI22" s="391"/>
      <c r="BJ22" s="391"/>
      <c r="BK22" s="391"/>
      <c r="BL22" s="391"/>
      <c r="BM22" s="391"/>
      <c r="BN22" s="444"/>
      <c r="BO22" s="444"/>
      <c r="BP22" s="444"/>
      <c r="BQ22" s="444"/>
      <c r="BR22" s="444"/>
      <c r="BS22" s="444"/>
      <c r="BT22" s="444"/>
      <c r="CD22" s="391"/>
      <c r="CH22" s="391"/>
    </row>
    <row r="23" spans="1:86" ht="12.5" customHeight="1">
      <c r="A23" s="393"/>
      <c r="B23" s="418"/>
      <c r="C23" s="497" t="s">
        <v>287</v>
      </c>
      <c r="D23" s="420"/>
      <c r="E23" s="420"/>
      <c r="F23" s="420"/>
      <c r="G23" s="420"/>
      <c r="H23" s="420"/>
      <c r="I23" s="420"/>
      <c r="J23" s="420"/>
      <c r="K23" s="420"/>
      <c r="L23" s="420"/>
      <c r="M23" s="420"/>
      <c r="N23" s="420"/>
      <c r="O23" s="420"/>
      <c r="P23" s="420"/>
      <c r="Q23" s="420"/>
      <c r="R23" s="420"/>
      <c r="S23" s="420"/>
      <c r="T23" s="420"/>
      <c r="U23" s="420"/>
      <c r="V23" s="420"/>
      <c r="W23" s="420"/>
      <c r="X23" s="420"/>
      <c r="Y23" s="420"/>
      <c r="Z23" s="420"/>
      <c r="AA23" s="420"/>
      <c r="AB23" s="420"/>
      <c r="AC23" s="420"/>
      <c r="AD23" s="420"/>
      <c r="AE23" s="420"/>
      <c r="AF23" s="420"/>
      <c r="AG23" s="420"/>
      <c r="AH23" s="420"/>
      <c r="AI23" s="420"/>
      <c r="AJ23" s="420"/>
      <c r="AK23" s="420"/>
      <c r="AL23" s="420"/>
      <c r="AM23" s="420"/>
      <c r="AN23" s="420"/>
      <c r="AO23" s="420"/>
      <c r="AP23" s="420"/>
      <c r="AQ23" s="420"/>
      <c r="AR23" s="420"/>
      <c r="AS23" s="431"/>
      <c r="AT23" s="425"/>
      <c r="AU23" s="421"/>
      <c r="AV23" s="417"/>
      <c r="AW23" s="417"/>
      <c r="AX23" s="421"/>
      <c r="AY23" s="417"/>
      <c r="AZ23" s="422"/>
      <c r="BA23" s="422"/>
      <c r="BB23" s="405"/>
      <c r="BC23" s="406"/>
      <c r="BD23" s="391"/>
      <c r="BE23" s="391"/>
      <c r="BI23" s="391"/>
      <c r="BJ23" s="391"/>
      <c r="BK23" s="391"/>
      <c r="BL23" s="391"/>
      <c r="BM23" s="391"/>
      <c r="BN23" s="444"/>
      <c r="BO23" s="444"/>
      <c r="BP23" s="444"/>
      <c r="BQ23" s="444"/>
      <c r="BR23" s="444"/>
      <c r="BS23" s="444"/>
      <c r="BT23" s="444"/>
      <c r="CD23" s="391"/>
      <c r="CE23" s="421"/>
      <c r="CF23" s="391"/>
      <c r="CG23" s="391"/>
      <c r="CH23" s="391"/>
    </row>
    <row r="24" spans="1:86" ht="5" customHeight="1" thickBot="1">
      <c r="A24" s="393"/>
      <c r="B24" s="394"/>
      <c r="C24" s="516"/>
      <c r="D24" s="516"/>
      <c r="E24" s="516"/>
      <c r="F24" s="517"/>
      <c r="G24" s="518"/>
      <c r="H24" s="431"/>
      <c r="I24" s="431"/>
      <c r="J24" s="431"/>
      <c r="K24" s="431"/>
      <c r="L24" s="431"/>
      <c r="M24" s="431"/>
      <c r="N24" s="431"/>
      <c r="O24" s="431"/>
      <c r="P24" s="431"/>
      <c r="Q24" s="431"/>
      <c r="R24" s="431"/>
      <c r="S24" s="431"/>
      <c r="T24" s="431"/>
      <c r="U24" s="431"/>
      <c r="V24" s="431"/>
      <c r="W24" s="431"/>
      <c r="X24" s="431"/>
      <c r="Y24" s="431"/>
      <c r="Z24" s="431"/>
      <c r="AA24" s="431"/>
      <c r="AB24" s="431"/>
      <c r="AC24" s="431"/>
      <c r="AD24" s="431"/>
      <c r="AE24" s="431"/>
      <c r="AF24" s="431"/>
      <c r="AG24" s="431"/>
      <c r="AH24" s="431"/>
      <c r="AI24" s="431"/>
      <c r="AJ24" s="431"/>
      <c r="AK24" s="431"/>
      <c r="AL24" s="431"/>
      <c r="AM24" s="431"/>
      <c r="AN24" s="431"/>
      <c r="AO24" s="431"/>
      <c r="AP24" s="431"/>
      <c r="AQ24" s="431"/>
      <c r="AR24" s="431"/>
      <c r="AS24" s="431"/>
      <c r="AT24" s="425"/>
      <c r="AU24" s="421"/>
      <c r="AV24" s="400"/>
      <c r="AW24" s="400"/>
      <c r="AX24" s="400"/>
      <c r="AY24" s="395"/>
      <c r="AZ24" s="396"/>
      <c r="BA24" s="396"/>
      <c r="BB24" s="389"/>
      <c r="BC24" s="390"/>
      <c r="BD24" s="391"/>
      <c r="CD24" s="391"/>
      <c r="CF24" s="391"/>
      <c r="CH24" s="391"/>
    </row>
    <row r="25" spans="1:86" ht="0.5" customHeight="1" thickTop="1">
      <c r="A25" s="393"/>
      <c r="B25" s="394"/>
      <c r="C25" s="391"/>
      <c r="D25" s="391"/>
      <c r="E25" s="391"/>
      <c r="F25" s="392"/>
      <c r="G25" s="421"/>
      <c r="H25" s="431"/>
      <c r="I25" s="431"/>
      <c r="J25" s="431"/>
      <c r="K25" s="431"/>
      <c r="L25" s="431"/>
      <c r="M25" s="431"/>
      <c r="N25" s="431"/>
      <c r="O25" s="431"/>
      <c r="P25" s="431"/>
      <c r="Q25" s="431"/>
      <c r="R25" s="431"/>
      <c r="S25" s="431"/>
      <c r="T25" s="431"/>
      <c r="U25" s="431"/>
      <c r="V25" s="431"/>
      <c r="W25" s="431"/>
      <c r="X25" s="431"/>
      <c r="Y25" s="431"/>
      <c r="Z25" s="431"/>
      <c r="AA25" s="431"/>
      <c r="AB25" s="431"/>
      <c r="AC25" s="431"/>
      <c r="AD25" s="431"/>
      <c r="AE25" s="431"/>
      <c r="AF25" s="431"/>
      <c r="AG25" s="431"/>
      <c r="AH25" s="431"/>
      <c r="AI25" s="431"/>
      <c r="AJ25" s="431"/>
      <c r="AK25" s="431"/>
      <c r="AL25" s="431"/>
      <c r="AM25" s="431"/>
      <c r="AN25" s="431"/>
      <c r="AO25" s="431"/>
      <c r="AP25" s="431"/>
      <c r="AQ25" s="431"/>
      <c r="AR25" s="431"/>
      <c r="AS25" s="431"/>
      <c r="AT25" s="425"/>
      <c r="AU25" s="421"/>
      <c r="AV25" s="400"/>
      <c r="AW25" s="400"/>
      <c r="AX25" s="400"/>
      <c r="AY25" s="395"/>
      <c r="AZ25" s="396"/>
      <c r="BA25" s="396"/>
      <c r="BB25" s="389"/>
      <c r="BC25" s="390"/>
      <c r="BD25" s="391"/>
      <c r="CD25" s="391"/>
      <c r="CE25" s="421"/>
      <c r="CF25" s="391"/>
      <c r="CG25" s="391"/>
      <c r="CH25" s="28"/>
    </row>
    <row r="26" spans="1:86" ht="15.5" customHeight="1">
      <c r="A26" s="393"/>
      <c r="B26" s="498"/>
      <c r="C26" s="499"/>
      <c r="D26" s="500"/>
      <c r="E26" s="500"/>
      <c r="F26" s="500"/>
      <c r="G26" s="500"/>
      <c r="H26" s="500"/>
      <c r="I26" s="500"/>
      <c r="J26" s="500"/>
      <c r="K26" s="500"/>
      <c r="L26" s="500"/>
      <c r="M26" s="500"/>
      <c r="N26" s="500"/>
      <c r="O26" s="500"/>
      <c r="P26" s="500"/>
      <c r="Q26" s="500"/>
      <c r="R26" s="500"/>
      <c r="S26" s="500"/>
      <c r="T26" s="500"/>
      <c r="U26" s="500"/>
      <c r="V26" s="500"/>
      <c r="W26" s="500"/>
      <c r="X26" s="500"/>
      <c r="Y26" s="500"/>
      <c r="Z26" s="500"/>
      <c r="AA26" s="500"/>
      <c r="AB26" s="500"/>
      <c r="AC26" s="500"/>
      <c r="AD26" s="500"/>
      <c r="AE26" s="500"/>
      <c r="AF26" s="500"/>
      <c r="AG26" s="500"/>
      <c r="AH26" s="500"/>
      <c r="AI26" s="500"/>
      <c r="AJ26" s="500"/>
      <c r="AK26" s="500"/>
      <c r="AL26" s="500"/>
      <c r="AM26" s="500"/>
      <c r="AN26" s="500"/>
      <c r="AO26" s="500"/>
      <c r="AP26" s="500"/>
      <c r="AQ26" s="500"/>
      <c r="AR26" s="500"/>
      <c r="AS26" s="501"/>
      <c r="AT26" s="502"/>
      <c r="AU26" s="503"/>
      <c r="AV26" s="499"/>
      <c r="AW26" s="499"/>
      <c r="AX26" s="503"/>
      <c r="AY26" s="499"/>
      <c r="AZ26" s="504"/>
      <c r="BA26" s="396"/>
      <c r="BB26" s="389"/>
      <c r="BC26" s="390"/>
      <c r="BD26" s="391"/>
      <c r="BE26" s="391"/>
      <c r="BF26" s="421" t="s">
        <v>424</v>
      </c>
      <c r="BG26" s="391"/>
      <c r="BH26" s="391"/>
      <c r="BI26" s="391"/>
      <c r="BJ26" s="391"/>
      <c r="BK26" s="391"/>
      <c r="BL26" s="391"/>
      <c r="BM26" s="391"/>
      <c r="BN26" s="444"/>
      <c r="BO26" s="444"/>
      <c r="BP26" s="444"/>
      <c r="BQ26" s="444"/>
      <c r="BR26" s="444"/>
      <c r="BS26" s="444"/>
      <c r="BT26" s="444"/>
      <c r="CD26" s="391"/>
      <c r="CF26" s="391"/>
      <c r="CH26" s="28"/>
    </row>
    <row r="27" spans="1:86" ht="15.5" customHeight="1">
      <c r="A27" s="393"/>
      <c r="B27" s="505"/>
      <c r="C27" s="512" t="s">
        <v>288</v>
      </c>
      <c r="D27" s="506"/>
      <c r="E27" s="506"/>
      <c r="F27" s="507"/>
      <c r="G27" s="503"/>
      <c r="H27" s="501"/>
      <c r="I27" s="501"/>
      <c r="J27" s="501"/>
      <c r="K27" s="501"/>
      <c r="L27" s="501"/>
      <c r="M27" s="501"/>
      <c r="N27" s="501"/>
      <c r="O27" s="501"/>
      <c r="P27" s="501"/>
      <c r="Q27" s="501"/>
      <c r="R27" s="501"/>
      <c r="S27" s="501"/>
      <c r="T27" s="501"/>
      <c r="U27" s="501"/>
      <c r="V27" s="501"/>
      <c r="W27" s="501"/>
      <c r="X27" s="501"/>
      <c r="Y27" s="501"/>
      <c r="Z27" s="501"/>
      <c r="AA27" s="501"/>
      <c r="AB27" s="512" t="s">
        <v>290</v>
      </c>
      <c r="AC27" s="501"/>
      <c r="AD27" s="501"/>
      <c r="AE27" s="501"/>
      <c r="AF27" s="501"/>
      <c r="AG27" s="501"/>
      <c r="AH27" s="501"/>
      <c r="AI27" s="501"/>
      <c r="AJ27" s="501"/>
      <c r="AK27" s="501"/>
      <c r="AL27" s="501"/>
      <c r="AM27" s="501"/>
      <c r="AN27" s="501"/>
      <c r="AO27" s="501"/>
      <c r="AP27" s="501"/>
      <c r="AQ27" s="501"/>
      <c r="AR27" s="502"/>
      <c r="AS27" s="503"/>
      <c r="AT27" s="506"/>
      <c r="AU27" s="506"/>
      <c r="AV27" s="506"/>
      <c r="AW27" s="508"/>
      <c r="AX27" s="506"/>
      <c r="AY27" s="508"/>
      <c r="AZ27" s="504"/>
      <c r="BA27" s="396"/>
      <c r="BB27" s="389"/>
      <c r="BC27" s="390"/>
      <c r="BD27" s="391"/>
      <c r="BE27" s="391"/>
      <c r="BG27" s="391" t="s">
        <v>403</v>
      </c>
      <c r="BI27" s="391"/>
      <c r="BJ27" s="391"/>
      <c r="BK27" s="391"/>
      <c r="BL27" s="391"/>
      <c r="BM27" s="391"/>
      <c r="BN27" s="444"/>
      <c r="BO27" s="444"/>
      <c r="BP27" s="444"/>
      <c r="BQ27" s="444"/>
      <c r="BR27" s="444"/>
      <c r="BS27" s="444"/>
      <c r="BT27" s="444"/>
      <c r="CD27" s="391"/>
      <c r="CF27" s="391"/>
      <c r="CH27" s="391"/>
    </row>
    <row r="28" spans="1:86" ht="15.5" customHeight="1">
      <c r="A28" s="393"/>
      <c r="B28" s="509"/>
      <c r="C28" s="513" t="s">
        <v>289</v>
      </c>
      <c r="D28" s="514"/>
      <c r="E28" s="514"/>
      <c r="F28" s="514"/>
      <c r="G28" s="514"/>
      <c r="H28" s="514"/>
      <c r="I28" s="514"/>
      <c r="J28" s="514"/>
      <c r="K28" s="514"/>
      <c r="L28" s="514"/>
      <c r="M28" s="514"/>
      <c r="N28" s="514"/>
      <c r="O28" s="514"/>
      <c r="P28" s="514"/>
      <c r="Q28" s="514"/>
      <c r="R28" s="514"/>
      <c r="S28" s="514"/>
      <c r="T28" s="514"/>
      <c r="U28" s="514"/>
      <c r="V28" s="514"/>
      <c r="W28" s="514"/>
      <c r="X28" s="514"/>
      <c r="Y28" s="500"/>
      <c r="Z28" s="500"/>
      <c r="AA28" s="500"/>
      <c r="AB28" s="513" t="s">
        <v>299</v>
      </c>
      <c r="AC28" s="514"/>
      <c r="AD28" s="514"/>
      <c r="AE28" s="514"/>
      <c r="AF28" s="514"/>
      <c r="AG28" s="514"/>
      <c r="AH28" s="514"/>
      <c r="AI28" s="514"/>
      <c r="AJ28" s="514"/>
      <c r="AK28" s="514"/>
      <c r="AL28" s="514"/>
      <c r="AM28" s="514"/>
      <c r="AN28" s="514"/>
      <c r="AO28" s="514"/>
      <c r="AP28" s="514"/>
      <c r="AQ28" s="514"/>
      <c r="AR28" s="514"/>
      <c r="AS28" s="514"/>
      <c r="AT28" s="514"/>
      <c r="AU28" s="514"/>
      <c r="AV28" s="514"/>
      <c r="AW28" s="514"/>
      <c r="AX28" s="500"/>
      <c r="AY28" s="500"/>
      <c r="AZ28" s="510"/>
      <c r="BA28" s="422"/>
      <c r="BB28" s="389"/>
      <c r="BC28" s="390"/>
      <c r="BD28" s="391"/>
      <c r="BE28" s="391"/>
      <c r="BF28" s="421"/>
      <c r="BG28" s="391"/>
      <c r="BH28" s="391"/>
      <c r="BI28" s="28"/>
      <c r="BJ28" s="391"/>
      <c r="BK28" s="391"/>
      <c r="BL28" s="391"/>
      <c r="BM28" s="391"/>
      <c r="BN28" s="444"/>
      <c r="BO28" s="444"/>
      <c r="BP28" s="444"/>
      <c r="BQ28" s="444"/>
      <c r="BR28" s="444"/>
      <c r="BS28" s="444"/>
      <c r="BT28" s="444"/>
      <c r="CD28" s="391"/>
      <c r="CE28" s="421"/>
      <c r="CF28" s="391"/>
      <c r="CG28" s="391"/>
      <c r="CH28" s="444"/>
    </row>
    <row r="29" spans="1:86" ht="15.5" customHeight="1">
      <c r="A29" s="393"/>
      <c r="B29" s="509"/>
      <c r="C29" s="511"/>
      <c r="D29" s="500"/>
      <c r="E29" s="500"/>
      <c r="F29" s="500"/>
      <c r="G29" s="500"/>
      <c r="H29" s="500"/>
      <c r="I29" s="500"/>
      <c r="J29" s="500"/>
      <c r="K29" s="500"/>
      <c r="L29" s="500"/>
      <c r="M29" s="500"/>
      <c r="N29" s="500"/>
      <c r="O29" s="500"/>
      <c r="P29" s="500"/>
      <c r="Q29" s="500"/>
      <c r="R29" s="500"/>
      <c r="S29" s="500"/>
      <c r="T29" s="500"/>
      <c r="U29" s="500"/>
      <c r="V29" s="500"/>
      <c r="W29" s="500"/>
      <c r="X29" s="500"/>
      <c r="Y29" s="500"/>
      <c r="Z29" s="500"/>
      <c r="AA29" s="500"/>
      <c r="AB29" s="500"/>
      <c r="AC29" s="500"/>
      <c r="AD29" s="500"/>
      <c r="AE29" s="500"/>
      <c r="AF29" s="500"/>
      <c r="AG29" s="500"/>
      <c r="AH29" s="500"/>
      <c r="AI29" s="500"/>
      <c r="AJ29" s="500"/>
      <c r="AK29" s="500"/>
      <c r="AL29" s="500"/>
      <c r="AM29" s="500"/>
      <c r="AN29" s="500"/>
      <c r="AO29" s="500"/>
      <c r="AP29" s="500"/>
      <c r="AQ29" s="500"/>
      <c r="AR29" s="500"/>
      <c r="AS29" s="501"/>
      <c r="AT29" s="502"/>
      <c r="AU29" s="503"/>
      <c r="AV29" s="503"/>
      <c r="AW29" s="503"/>
      <c r="AX29" s="503"/>
      <c r="AY29" s="499"/>
      <c r="AZ29" s="510"/>
      <c r="BA29" s="422"/>
      <c r="BB29" s="389"/>
      <c r="BC29" s="390"/>
      <c r="BD29" s="391"/>
      <c r="BE29" s="391"/>
      <c r="BF29" s="421" t="s">
        <v>427</v>
      </c>
      <c r="BG29" s="391"/>
      <c r="BH29" s="391"/>
      <c r="BI29" s="28"/>
      <c r="BJ29" s="391"/>
      <c r="BK29" s="391"/>
      <c r="BL29" s="391"/>
      <c r="BM29" s="391"/>
      <c r="BN29" s="444"/>
      <c r="BO29" s="444"/>
      <c r="BP29" s="444"/>
      <c r="BQ29" s="444"/>
      <c r="BR29" s="444"/>
      <c r="BS29" s="444"/>
      <c r="BT29" s="444"/>
      <c r="CD29" s="444"/>
      <c r="CE29" s="35"/>
      <c r="CF29" s="35"/>
      <c r="CG29" s="35"/>
      <c r="CH29" s="444"/>
    </row>
    <row r="30" spans="1:86" ht="15.5" customHeight="1">
      <c r="A30" s="393"/>
      <c r="B30" s="509"/>
      <c r="C30" s="512" t="s">
        <v>291</v>
      </c>
      <c r="D30" s="500"/>
      <c r="E30" s="500"/>
      <c r="F30" s="500"/>
      <c r="G30" s="500"/>
      <c r="H30" s="500"/>
      <c r="I30" s="500"/>
      <c r="J30" s="500"/>
      <c r="K30" s="500"/>
      <c r="L30" s="500"/>
      <c r="M30" s="500"/>
      <c r="N30" s="500"/>
      <c r="O30" s="500"/>
      <c r="P30" s="500"/>
      <c r="Q30" s="500"/>
      <c r="R30" s="500"/>
      <c r="S30" s="500"/>
      <c r="T30" s="500"/>
      <c r="U30" s="500"/>
      <c r="V30" s="500"/>
      <c r="W30" s="500"/>
      <c r="X30" s="500"/>
      <c r="Y30" s="500"/>
      <c r="Z30" s="500"/>
      <c r="AA30" s="500"/>
      <c r="AB30" s="512" t="s">
        <v>293</v>
      </c>
      <c r="AC30" s="500"/>
      <c r="AD30" s="500"/>
      <c r="AE30" s="500"/>
      <c r="AF30" s="500"/>
      <c r="AG30" s="500"/>
      <c r="AH30" s="500"/>
      <c r="AI30" s="500"/>
      <c r="AJ30" s="500"/>
      <c r="AK30" s="500"/>
      <c r="AL30" s="500"/>
      <c r="AM30" s="500"/>
      <c r="AN30" s="500"/>
      <c r="AO30" s="500"/>
      <c r="AP30" s="500"/>
      <c r="AQ30" s="500"/>
      <c r="AR30" s="500"/>
      <c r="AS30" s="501"/>
      <c r="AT30" s="502"/>
      <c r="AU30" s="503"/>
      <c r="AV30" s="503"/>
      <c r="AW30" s="503"/>
      <c r="AX30" s="503"/>
      <c r="AY30" s="499"/>
      <c r="AZ30" s="510"/>
      <c r="BA30" s="422"/>
      <c r="BB30" s="389"/>
      <c r="BC30" s="390"/>
      <c r="BD30" s="391"/>
      <c r="BE30" s="444"/>
      <c r="BG30" s="391" t="s">
        <v>404</v>
      </c>
      <c r="BI30" s="391"/>
      <c r="BJ30" s="391"/>
      <c r="BK30" s="391"/>
      <c r="BL30" s="391"/>
      <c r="BM30" s="391"/>
      <c r="BN30" s="444"/>
      <c r="BO30" s="444"/>
      <c r="BP30" s="444"/>
      <c r="BQ30" s="444"/>
      <c r="BR30" s="444"/>
      <c r="BS30" s="444"/>
      <c r="BT30" s="444"/>
      <c r="CD30" s="444"/>
      <c r="CE30" s="35"/>
      <c r="CF30" s="35"/>
      <c r="CG30" s="35"/>
      <c r="CH30" s="444"/>
    </row>
    <row r="31" spans="1:86" s="443" customFormat="1" ht="15.5" customHeight="1">
      <c r="A31" s="393"/>
      <c r="B31" s="509"/>
      <c r="C31" s="513" t="s">
        <v>292</v>
      </c>
      <c r="D31" s="514"/>
      <c r="E31" s="514"/>
      <c r="F31" s="514"/>
      <c r="G31" s="514"/>
      <c r="H31" s="514"/>
      <c r="I31" s="514"/>
      <c r="J31" s="514"/>
      <c r="K31" s="514"/>
      <c r="L31" s="514"/>
      <c r="M31" s="514"/>
      <c r="N31" s="514"/>
      <c r="O31" s="514"/>
      <c r="P31" s="514"/>
      <c r="Q31" s="514"/>
      <c r="R31" s="514"/>
      <c r="S31" s="514"/>
      <c r="T31" s="514"/>
      <c r="U31" s="514"/>
      <c r="V31" s="514"/>
      <c r="W31" s="514"/>
      <c r="X31" s="514"/>
      <c r="Y31" s="500"/>
      <c r="Z31" s="500"/>
      <c r="AA31" s="500"/>
      <c r="AB31" s="513" t="s">
        <v>298</v>
      </c>
      <c r="AC31" s="514"/>
      <c r="AD31" s="514"/>
      <c r="AE31" s="514"/>
      <c r="AF31" s="514"/>
      <c r="AG31" s="514"/>
      <c r="AH31" s="514"/>
      <c r="AI31" s="514"/>
      <c r="AJ31" s="514"/>
      <c r="AK31" s="514"/>
      <c r="AL31" s="514"/>
      <c r="AM31" s="514"/>
      <c r="AN31" s="514"/>
      <c r="AO31" s="514"/>
      <c r="AP31" s="514"/>
      <c r="AQ31" s="514"/>
      <c r="AR31" s="514"/>
      <c r="AS31" s="514"/>
      <c r="AT31" s="514"/>
      <c r="AU31" s="514"/>
      <c r="AV31" s="514"/>
      <c r="AW31" s="514"/>
      <c r="AX31" s="503"/>
      <c r="AY31" s="499"/>
      <c r="AZ31" s="510"/>
      <c r="BA31" s="422"/>
      <c r="BB31" s="389"/>
      <c r="BC31" s="390"/>
      <c r="BD31" s="391"/>
      <c r="BE31" s="444"/>
      <c r="BF31" s="35"/>
      <c r="BG31" s="35"/>
      <c r="BH31" s="35"/>
      <c r="BI31" s="444"/>
      <c r="BJ31" s="444"/>
      <c r="BK31" s="444"/>
      <c r="BL31" s="444"/>
      <c r="BM31" s="444"/>
      <c r="BN31" s="444"/>
      <c r="BO31" s="444"/>
      <c r="BP31" s="444"/>
      <c r="BQ31" s="444"/>
      <c r="BR31" s="444"/>
      <c r="BS31" s="444"/>
      <c r="BT31" s="444"/>
      <c r="CD31" s="444"/>
      <c r="CF31" s="391"/>
      <c r="CH31" s="444"/>
    </row>
    <row r="32" spans="1:86" s="443" customFormat="1" ht="15.5" customHeight="1">
      <c r="A32" s="393"/>
      <c r="B32" s="509"/>
      <c r="C32" s="499"/>
      <c r="D32" s="500"/>
      <c r="E32" s="500"/>
      <c r="F32" s="500"/>
      <c r="G32" s="500"/>
      <c r="H32" s="500"/>
      <c r="I32" s="500"/>
      <c r="J32" s="500"/>
      <c r="K32" s="500"/>
      <c r="L32" s="500"/>
      <c r="M32" s="500"/>
      <c r="N32" s="500"/>
      <c r="O32" s="500"/>
      <c r="P32" s="500"/>
      <c r="Q32" s="500"/>
      <c r="R32" s="500"/>
      <c r="S32" s="500"/>
      <c r="T32" s="500"/>
      <c r="U32" s="500"/>
      <c r="V32" s="500"/>
      <c r="W32" s="500"/>
      <c r="X32" s="500"/>
      <c r="Y32" s="500"/>
      <c r="Z32" s="500"/>
      <c r="AA32" s="500"/>
      <c r="AB32" s="500"/>
      <c r="AC32" s="500"/>
      <c r="AD32" s="500"/>
      <c r="AE32" s="500"/>
      <c r="AF32" s="500"/>
      <c r="AG32" s="500"/>
      <c r="AH32" s="500"/>
      <c r="AI32" s="500"/>
      <c r="AJ32" s="500"/>
      <c r="AK32" s="500"/>
      <c r="AL32" s="500"/>
      <c r="AM32" s="500"/>
      <c r="AN32" s="500"/>
      <c r="AO32" s="500"/>
      <c r="AP32" s="500"/>
      <c r="AQ32" s="500"/>
      <c r="AR32" s="500"/>
      <c r="AS32" s="501"/>
      <c r="AT32" s="502"/>
      <c r="AU32" s="503"/>
      <c r="AV32" s="499"/>
      <c r="AW32" s="499"/>
      <c r="AX32" s="503"/>
      <c r="AY32" s="499"/>
      <c r="AZ32" s="510"/>
      <c r="BA32" s="422"/>
      <c r="BB32" s="389"/>
      <c r="BC32" s="390"/>
      <c r="BD32" s="391"/>
      <c r="BE32" s="444"/>
      <c r="BF32" s="421" t="s">
        <v>425</v>
      </c>
      <c r="BG32" s="391"/>
      <c r="BH32" s="391"/>
      <c r="BI32" s="444"/>
      <c r="BJ32" s="444"/>
      <c r="BK32" s="444"/>
      <c r="BL32" s="444"/>
      <c r="BM32" s="444"/>
      <c r="BN32" s="444"/>
      <c r="BO32" s="444"/>
      <c r="BP32" s="444"/>
      <c r="BQ32" s="444"/>
      <c r="BR32" s="444"/>
      <c r="BS32" s="444"/>
      <c r="BT32" s="444"/>
      <c r="CD32" s="444"/>
      <c r="CF32" s="391"/>
      <c r="CH32" s="444"/>
    </row>
    <row r="33" spans="1:86" s="443" customFormat="1" ht="15.5" customHeight="1">
      <c r="A33" s="393"/>
      <c r="B33" s="509"/>
      <c r="C33" s="512" t="s">
        <v>294</v>
      </c>
      <c r="D33" s="500"/>
      <c r="E33" s="500"/>
      <c r="F33" s="500"/>
      <c r="G33" s="500"/>
      <c r="H33" s="500"/>
      <c r="I33" s="500"/>
      <c r="J33" s="500"/>
      <c r="K33" s="500"/>
      <c r="L33" s="500"/>
      <c r="M33" s="500"/>
      <c r="N33" s="500"/>
      <c r="O33" s="500"/>
      <c r="P33" s="500"/>
      <c r="Q33" s="500"/>
      <c r="R33" s="500"/>
      <c r="S33" s="500"/>
      <c r="T33" s="500"/>
      <c r="U33" s="500"/>
      <c r="V33" s="500"/>
      <c r="W33" s="500"/>
      <c r="X33" s="500"/>
      <c r="Y33" s="500"/>
      <c r="Z33" s="500"/>
      <c r="AA33" s="500"/>
      <c r="AB33" s="512" t="s">
        <v>296</v>
      </c>
      <c r="AC33" s="500"/>
      <c r="AD33" s="500"/>
      <c r="AE33" s="500"/>
      <c r="AF33" s="500"/>
      <c r="AG33" s="500"/>
      <c r="AH33" s="500"/>
      <c r="AI33" s="500"/>
      <c r="AJ33" s="500"/>
      <c r="AK33" s="500"/>
      <c r="AL33" s="500"/>
      <c r="AM33" s="500"/>
      <c r="AN33" s="500"/>
      <c r="AO33" s="500"/>
      <c r="AP33" s="500"/>
      <c r="AQ33" s="500"/>
      <c r="AR33" s="500"/>
      <c r="AS33" s="501"/>
      <c r="AT33" s="502"/>
      <c r="AU33" s="503"/>
      <c r="AV33" s="503"/>
      <c r="AW33" s="503"/>
      <c r="AX33" s="503"/>
      <c r="AY33" s="499"/>
      <c r="AZ33" s="510"/>
      <c r="BA33" s="422"/>
      <c r="BB33" s="389"/>
      <c r="BC33" s="390"/>
      <c r="BD33" s="391"/>
      <c r="BE33" s="444"/>
      <c r="BG33" s="391" t="s">
        <v>405</v>
      </c>
      <c r="BI33" s="444"/>
      <c r="BJ33" s="444"/>
      <c r="BK33" s="444"/>
      <c r="BL33" s="444"/>
      <c r="BM33" s="444"/>
      <c r="BN33" s="444"/>
      <c r="BO33" s="444"/>
      <c r="BP33" s="444"/>
      <c r="BQ33" s="444"/>
      <c r="BR33" s="444"/>
      <c r="BS33" s="444"/>
      <c r="BT33" s="444"/>
      <c r="CD33" s="444"/>
      <c r="CE33" s="421"/>
      <c r="CF33" s="391"/>
      <c r="CG33" s="391"/>
      <c r="CH33" s="444"/>
    </row>
    <row r="34" spans="1:86" s="443" customFormat="1" ht="15.5" customHeight="1">
      <c r="A34" s="393"/>
      <c r="B34" s="509"/>
      <c r="C34" s="515" t="s">
        <v>295</v>
      </c>
      <c r="D34" s="514"/>
      <c r="E34" s="514"/>
      <c r="F34" s="514"/>
      <c r="G34" s="514"/>
      <c r="H34" s="514"/>
      <c r="I34" s="514"/>
      <c r="J34" s="514"/>
      <c r="K34" s="514"/>
      <c r="L34" s="514"/>
      <c r="M34" s="514"/>
      <c r="N34" s="514"/>
      <c r="O34" s="514"/>
      <c r="P34" s="514"/>
      <c r="Q34" s="514"/>
      <c r="R34" s="514"/>
      <c r="S34" s="514"/>
      <c r="T34" s="514"/>
      <c r="U34" s="514"/>
      <c r="V34" s="514"/>
      <c r="W34" s="514"/>
      <c r="X34" s="514"/>
      <c r="Y34" s="500"/>
      <c r="Z34" s="500"/>
      <c r="AA34" s="500"/>
      <c r="AB34" s="515" t="s">
        <v>297</v>
      </c>
      <c r="AC34" s="514"/>
      <c r="AD34" s="514"/>
      <c r="AE34" s="514"/>
      <c r="AF34" s="514"/>
      <c r="AG34" s="514"/>
      <c r="AH34" s="514"/>
      <c r="AI34" s="514"/>
      <c r="AJ34" s="514"/>
      <c r="AK34" s="514"/>
      <c r="AL34" s="514"/>
      <c r="AM34" s="514"/>
      <c r="AN34" s="514"/>
      <c r="AO34" s="514"/>
      <c r="AP34" s="514"/>
      <c r="AQ34" s="514"/>
      <c r="AR34" s="514"/>
      <c r="AS34" s="514"/>
      <c r="AT34" s="514"/>
      <c r="AU34" s="514"/>
      <c r="AV34" s="514"/>
      <c r="AW34" s="514"/>
      <c r="AX34" s="503"/>
      <c r="AY34" s="499"/>
      <c r="AZ34" s="510"/>
      <c r="BA34" s="422"/>
      <c r="BB34" s="389"/>
      <c r="BC34" s="390"/>
      <c r="BD34" s="391"/>
      <c r="BE34" s="444"/>
      <c r="BG34" s="391"/>
      <c r="BI34" s="444"/>
      <c r="BJ34" s="444"/>
      <c r="BK34" s="444"/>
      <c r="BL34" s="444"/>
      <c r="BM34" s="444"/>
      <c r="BN34" s="444"/>
      <c r="BO34" s="444"/>
      <c r="BP34" s="444"/>
      <c r="BQ34" s="444"/>
      <c r="BR34" s="444"/>
      <c r="BS34" s="444"/>
      <c r="BT34" s="444"/>
      <c r="CD34" s="444"/>
      <c r="CF34" s="391"/>
      <c r="CH34" s="444"/>
    </row>
    <row r="35" spans="1:86" s="443" customFormat="1" ht="15.5" customHeight="1">
      <c r="A35" s="393"/>
      <c r="B35" s="509"/>
      <c r="C35" s="499"/>
      <c r="D35" s="500"/>
      <c r="E35" s="500"/>
      <c r="F35" s="500"/>
      <c r="G35" s="500"/>
      <c r="H35" s="500"/>
      <c r="I35" s="500"/>
      <c r="J35" s="500"/>
      <c r="K35" s="500"/>
      <c r="L35" s="500"/>
      <c r="M35" s="500"/>
      <c r="N35" s="500"/>
      <c r="O35" s="500"/>
      <c r="P35" s="500"/>
      <c r="Q35" s="500"/>
      <c r="R35" s="500"/>
      <c r="S35" s="500"/>
      <c r="T35" s="500"/>
      <c r="U35" s="500"/>
      <c r="V35" s="500"/>
      <c r="W35" s="500"/>
      <c r="X35" s="500"/>
      <c r="Y35" s="500"/>
      <c r="Z35" s="500"/>
      <c r="AA35" s="500"/>
      <c r="AB35" s="500"/>
      <c r="AC35" s="500"/>
      <c r="AD35" s="500"/>
      <c r="AE35" s="500"/>
      <c r="AF35" s="500"/>
      <c r="AG35" s="500"/>
      <c r="AH35" s="500"/>
      <c r="AI35" s="500"/>
      <c r="AJ35" s="500"/>
      <c r="AK35" s="500"/>
      <c r="AL35" s="500"/>
      <c r="AM35" s="500"/>
      <c r="AN35" s="500"/>
      <c r="AO35" s="500"/>
      <c r="AP35" s="500"/>
      <c r="AQ35" s="500"/>
      <c r="AR35" s="500"/>
      <c r="AS35" s="501"/>
      <c r="AT35" s="502"/>
      <c r="AU35" s="503"/>
      <c r="AV35" s="499"/>
      <c r="AW35" s="499"/>
      <c r="AX35" s="503"/>
      <c r="AY35" s="499"/>
      <c r="AZ35" s="510"/>
      <c r="BA35" s="422"/>
      <c r="BB35" s="389"/>
      <c r="BC35" s="390"/>
      <c r="BD35" s="391"/>
      <c r="BE35" s="444"/>
      <c r="BF35" s="421" t="s">
        <v>426</v>
      </c>
      <c r="BG35" s="391"/>
      <c r="BH35" s="391"/>
      <c r="BI35" s="444"/>
      <c r="BJ35" s="444"/>
      <c r="BK35" s="444"/>
      <c r="BL35" s="444"/>
      <c r="BM35" s="444"/>
      <c r="BN35" s="444"/>
      <c r="BO35" s="444"/>
      <c r="BP35" s="444"/>
      <c r="BQ35" s="444"/>
      <c r="BR35" s="444"/>
      <c r="BS35" s="444"/>
      <c r="BT35" s="444"/>
      <c r="CD35" s="444"/>
      <c r="CF35" s="391"/>
      <c r="CH35" s="444"/>
    </row>
    <row r="36" spans="1:86" s="443" customFormat="1" ht="15.5" customHeight="1">
      <c r="A36" s="393"/>
      <c r="B36" s="509"/>
      <c r="C36" s="512" t="s">
        <v>300</v>
      </c>
      <c r="D36" s="500"/>
      <c r="E36" s="500"/>
      <c r="F36" s="500"/>
      <c r="G36" s="500"/>
      <c r="H36" s="500"/>
      <c r="I36" s="500"/>
      <c r="J36" s="500"/>
      <c r="K36" s="500"/>
      <c r="L36" s="500"/>
      <c r="M36" s="500"/>
      <c r="N36" s="500"/>
      <c r="O36" s="500"/>
      <c r="P36" s="500"/>
      <c r="Q36" s="500"/>
      <c r="R36" s="500"/>
      <c r="S36" s="500"/>
      <c r="T36" s="500"/>
      <c r="U36" s="500"/>
      <c r="V36" s="500"/>
      <c r="W36" s="500"/>
      <c r="X36" s="500"/>
      <c r="Y36" s="500"/>
      <c r="Z36" s="500"/>
      <c r="AA36" s="500"/>
      <c r="AB36" s="512" t="s">
        <v>306</v>
      </c>
      <c r="AC36" s="500"/>
      <c r="AD36" s="500"/>
      <c r="AE36" s="500"/>
      <c r="AF36" s="500"/>
      <c r="AG36" s="500"/>
      <c r="AH36" s="500"/>
      <c r="AI36" s="500"/>
      <c r="AJ36" s="500"/>
      <c r="AK36" s="500"/>
      <c r="AL36" s="500"/>
      <c r="AM36" s="500"/>
      <c r="AN36" s="500"/>
      <c r="AO36" s="500"/>
      <c r="AP36" s="500"/>
      <c r="AQ36" s="500"/>
      <c r="AR36" s="500"/>
      <c r="AS36" s="501"/>
      <c r="AT36" s="502"/>
      <c r="AU36" s="503"/>
      <c r="AV36" s="503"/>
      <c r="AW36" s="503"/>
      <c r="AX36" s="503"/>
      <c r="AY36" s="499"/>
      <c r="AZ36" s="510"/>
      <c r="BA36" s="422"/>
      <c r="BB36" s="389"/>
      <c r="BC36" s="390"/>
      <c r="BD36" s="391"/>
      <c r="BE36" s="444"/>
      <c r="BG36" s="391" t="s">
        <v>401</v>
      </c>
      <c r="BI36" s="444"/>
      <c r="BJ36" s="444"/>
      <c r="BK36" s="444"/>
      <c r="BL36" s="444"/>
      <c r="BM36" s="444"/>
      <c r="BN36" s="444"/>
      <c r="BO36" s="444"/>
      <c r="BP36" s="444"/>
      <c r="BQ36" s="444"/>
      <c r="BR36" s="444"/>
      <c r="BS36" s="444"/>
      <c r="BT36" s="444"/>
      <c r="CD36" s="444"/>
      <c r="CE36" s="421"/>
      <c r="CF36" s="391"/>
      <c r="CG36" s="391"/>
      <c r="CH36" s="444"/>
    </row>
    <row r="37" spans="1:86" s="443" customFormat="1" ht="15.5" customHeight="1">
      <c r="A37" s="393"/>
      <c r="B37" s="509"/>
      <c r="C37" s="513" t="s">
        <v>301</v>
      </c>
      <c r="D37" s="514"/>
      <c r="E37" s="514"/>
      <c r="F37" s="514"/>
      <c r="G37" s="514"/>
      <c r="H37" s="514"/>
      <c r="I37" s="514"/>
      <c r="J37" s="514"/>
      <c r="K37" s="514"/>
      <c r="L37" s="514"/>
      <c r="M37" s="514"/>
      <c r="N37" s="514"/>
      <c r="O37" s="514"/>
      <c r="P37" s="514"/>
      <c r="Q37" s="514"/>
      <c r="R37" s="514"/>
      <c r="S37" s="514"/>
      <c r="T37" s="514"/>
      <c r="U37" s="514"/>
      <c r="V37" s="514"/>
      <c r="W37" s="514"/>
      <c r="X37" s="514"/>
      <c r="Y37" s="500"/>
      <c r="Z37" s="500"/>
      <c r="AA37" s="500"/>
      <c r="AB37" s="513"/>
      <c r="AC37" s="514"/>
      <c r="AD37" s="514"/>
      <c r="AE37" s="514"/>
      <c r="AF37" s="514"/>
      <c r="AG37" s="514"/>
      <c r="AH37" s="514"/>
      <c r="AI37" s="514"/>
      <c r="AJ37" s="514"/>
      <c r="AK37" s="514"/>
      <c r="AL37" s="514"/>
      <c r="AM37" s="514"/>
      <c r="AN37" s="514"/>
      <c r="AO37" s="514"/>
      <c r="AP37" s="514"/>
      <c r="AQ37" s="514"/>
      <c r="AR37" s="514"/>
      <c r="AS37" s="514"/>
      <c r="AT37" s="514"/>
      <c r="AU37" s="514"/>
      <c r="AV37" s="514"/>
      <c r="AW37" s="514"/>
      <c r="AX37" s="503"/>
      <c r="AY37" s="499"/>
      <c r="AZ37" s="510"/>
      <c r="BA37" s="422"/>
      <c r="BB37" s="389"/>
      <c r="BC37" s="390"/>
      <c r="BD37" s="391"/>
      <c r="BH37" s="444"/>
      <c r="BJ37" s="444"/>
      <c r="BK37" s="444"/>
      <c r="BL37" s="444"/>
      <c r="BM37" s="444"/>
      <c r="BN37" s="444"/>
      <c r="BO37" s="444"/>
      <c r="BP37" s="444"/>
      <c r="BQ37" s="444"/>
      <c r="BR37" s="444"/>
      <c r="BS37" s="444"/>
      <c r="BT37" s="444"/>
      <c r="CD37" s="444"/>
      <c r="CF37" s="391"/>
      <c r="CH37" s="444"/>
    </row>
    <row r="38" spans="1:86" s="443" customFormat="1" ht="15.5" customHeight="1">
      <c r="A38" s="393"/>
      <c r="B38" s="509"/>
      <c r="C38" s="499"/>
      <c r="D38" s="500"/>
      <c r="E38" s="500"/>
      <c r="F38" s="500"/>
      <c r="G38" s="500"/>
      <c r="H38" s="500"/>
      <c r="I38" s="500"/>
      <c r="J38" s="500"/>
      <c r="K38" s="500"/>
      <c r="L38" s="500"/>
      <c r="M38" s="500"/>
      <c r="N38" s="500"/>
      <c r="O38" s="500"/>
      <c r="P38" s="500"/>
      <c r="Q38" s="500"/>
      <c r="R38" s="500"/>
      <c r="S38" s="500"/>
      <c r="T38" s="500"/>
      <c r="U38" s="500"/>
      <c r="V38" s="500"/>
      <c r="W38" s="500"/>
      <c r="X38" s="500"/>
      <c r="Y38" s="500"/>
      <c r="Z38" s="500"/>
      <c r="AA38" s="500"/>
      <c r="AB38" s="500"/>
      <c r="AC38" s="500"/>
      <c r="AD38" s="500"/>
      <c r="AE38" s="500"/>
      <c r="AF38" s="500"/>
      <c r="AG38" s="500"/>
      <c r="AH38" s="500"/>
      <c r="AI38" s="500"/>
      <c r="AJ38" s="500"/>
      <c r="AK38" s="500"/>
      <c r="AL38" s="500"/>
      <c r="AM38" s="500"/>
      <c r="AN38" s="500"/>
      <c r="AO38" s="500"/>
      <c r="AP38" s="500"/>
      <c r="AQ38" s="500"/>
      <c r="AR38" s="500"/>
      <c r="AS38" s="501"/>
      <c r="AT38" s="502"/>
      <c r="AU38" s="503"/>
      <c r="AV38" s="499"/>
      <c r="AW38" s="499"/>
      <c r="AX38" s="503"/>
      <c r="AY38" s="499"/>
      <c r="AZ38" s="510"/>
      <c r="BA38" s="422"/>
      <c r="BB38" s="389"/>
      <c r="BC38" s="390"/>
      <c r="BD38" s="391"/>
      <c r="BE38" s="421" t="s">
        <v>382</v>
      </c>
      <c r="BF38" s="421"/>
      <c r="BG38" s="543"/>
      <c r="BH38" s="543"/>
      <c r="BJ38" s="543"/>
      <c r="BN38" s="444"/>
      <c r="BO38" s="444"/>
      <c r="BP38" s="444"/>
      <c r="BQ38" s="444"/>
      <c r="BR38" s="444"/>
      <c r="BS38" s="444"/>
      <c r="BT38" s="444"/>
      <c r="CD38" s="444"/>
      <c r="CH38" s="444"/>
    </row>
    <row r="39" spans="1:86" s="443" customFormat="1" ht="12.5" customHeight="1">
      <c r="A39" s="393"/>
      <c r="B39" s="509"/>
      <c r="C39" s="512" t="s">
        <v>302</v>
      </c>
      <c r="D39" s="500"/>
      <c r="E39" s="500"/>
      <c r="F39" s="500"/>
      <c r="G39" s="500"/>
      <c r="H39" s="500"/>
      <c r="I39" s="500"/>
      <c r="J39" s="500"/>
      <c r="K39" s="500"/>
      <c r="L39" s="500"/>
      <c r="M39" s="500"/>
      <c r="N39" s="500"/>
      <c r="O39" s="500"/>
      <c r="P39" s="500"/>
      <c r="Q39" s="500"/>
      <c r="R39" s="500"/>
      <c r="S39" s="500"/>
      <c r="T39" s="500"/>
      <c r="U39" s="500"/>
      <c r="V39" s="500"/>
      <c r="W39" s="500"/>
      <c r="X39" s="500"/>
      <c r="Y39" s="500"/>
      <c r="Z39" s="500"/>
      <c r="AA39" s="500"/>
      <c r="AB39" s="512" t="s">
        <v>307</v>
      </c>
      <c r="AC39" s="500"/>
      <c r="AD39" s="500"/>
      <c r="AE39" s="500"/>
      <c r="AF39" s="500"/>
      <c r="AG39" s="500"/>
      <c r="AH39" s="500"/>
      <c r="AI39" s="500"/>
      <c r="AJ39" s="500"/>
      <c r="AK39" s="500"/>
      <c r="AL39" s="500"/>
      <c r="AM39" s="500"/>
      <c r="AN39" s="500"/>
      <c r="AO39" s="500"/>
      <c r="AP39" s="500"/>
      <c r="AQ39" s="500"/>
      <c r="AR39" s="500"/>
      <c r="AS39" s="501"/>
      <c r="AT39" s="502"/>
      <c r="AU39" s="503"/>
      <c r="AV39" s="503"/>
      <c r="AW39" s="503"/>
      <c r="AX39" s="503"/>
      <c r="AY39" s="499"/>
      <c r="AZ39" s="510"/>
      <c r="BA39" s="422"/>
      <c r="BB39" s="389"/>
      <c r="BC39" s="390"/>
      <c r="BD39" s="391"/>
      <c r="BE39" s="543"/>
      <c r="BF39" s="391"/>
      <c r="BG39" s="28"/>
      <c r="BH39" s="421"/>
      <c r="BJ39" s="543"/>
      <c r="BN39" s="444"/>
      <c r="BO39" s="444"/>
      <c r="BP39" s="444"/>
      <c r="BQ39" s="444"/>
      <c r="BR39" s="444"/>
      <c r="BS39" s="444"/>
      <c r="BT39" s="444"/>
      <c r="CD39" s="444"/>
      <c r="CE39" s="421"/>
      <c r="CF39" s="391"/>
      <c r="CG39" s="391"/>
      <c r="CH39" s="444"/>
    </row>
    <row r="40" spans="1:86" s="443" customFormat="1" ht="12.5" customHeight="1">
      <c r="A40" s="393"/>
      <c r="B40" s="509"/>
      <c r="C40" s="513"/>
      <c r="D40" s="514"/>
      <c r="E40" s="514"/>
      <c r="F40" s="514"/>
      <c r="G40" s="514"/>
      <c r="H40" s="514"/>
      <c r="I40" s="514"/>
      <c r="J40" s="514"/>
      <c r="K40" s="514"/>
      <c r="L40" s="514"/>
      <c r="M40" s="514"/>
      <c r="N40" s="514"/>
      <c r="O40" s="514"/>
      <c r="P40" s="514"/>
      <c r="Q40" s="514"/>
      <c r="R40" s="514"/>
      <c r="S40" s="514"/>
      <c r="T40" s="514"/>
      <c r="U40" s="514"/>
      <c r="V40" s="514"/>
      <c r="W40" s="514"/>
      <c r="X40" s="514"/>
      <c r="Y40" s="500"/>
      <c r="Z40" s="500"/>
      <c r="AA40" s="500"/>
      <c r="AB40" s="513"/>
      <c r="AC40" s="514"/>
      <c r="AD40" s="514"/>
      <c r="AE40" s="514"/>
      <c r="AF40" s="514"/>
      <c r="AG40" s="514"/>
      <c r="AH40" s="514"/>
      <c r="AI40" s="514"/>
      <c r="AJ40" s="514"/>
      <c r="AK40" s="514"/>
      <c r="AL40" s="514"/>
      <c r="AM40" s="514"/>
      <c r="AN40" s="514"/>
      <c r="AO40" s="514"/>
      <c r="AP40" s="514"/>
      <c r="AQ40" s="514"/>
      <c r="AR40" s="514"/>
      <c r="AS40" s="514"/>
      <c r="AT40" s="514"/>
      <c r="AU40" s="514"/>
      <c r="AV40" s="514"/>
      <c r="AW40" s="514"/>
      <c r="AX40" s="503"/>
      <c r="AY40" s="499"/>
      <c r="AZ40" s="510"/>
      <c r="BA40" s="422"/>
      <c r="BB40" s="389"/>
      <c r="BC40" s="390"/>
      <c r="BD40" s="392"/>
      <c r="BE40" s="543"/>
      <c r="BF40" s="421" t="s">
        <v>383</v>
      </c>
      <c r="BG40" s="421"/>
      <c r="BH40" s="421"/>
      <c r="BJ40" s="543"/>
      <c r="BN40" s="444"/>
      <c r="BO40" s="444"/>
      <c r="BP40" s="444"/>
      <c r="BQ40" s="444"/>
      <c r="BR40" s="444"/>
      <c r="BS40" s="444"/>
      <c r="BT40" s="444"/>
      <c r="CD40" s="444"/>
      <c r="CF40" s="391"/>
    </row>
    <row r="41" spans="1:86" s="443" customFormat="1" ht="12.5" customHeight="1">
      <c r="A41" s="393"/>
      <c r="B41" s="509"/>
      <c r="C41" s="499"/>
      <c r="D41" s="500"/>
      <c r="E41" s="500"/>
      <c r="F41" s="500"/>
      <c r="G41" s="500"/>
      <c r="H41" s="500"/>
      <c r="I41" s="500"/>
      <c r="J41" s="500"/>
      <c r="K41" s="500"/>
      <c r="L41" s="500"/>
      <c r="M41" s="500"/>
      <c r="N41" s="500"/>
      <c r="O41" s="500"/>
      <c r="P41" s="500"/>
      <c r="Q41" s="500"/>
      <c r="R41" s="500"/>
      <c r="S41" s="500"/>
      <c r="T41" s="500"/>
      <c r="U41" s="500"/>
      <c r="V41" s="500"/>
      <c r="W41" s="500"/>
      <c r="X41" s="500"/>
      <c r="Y41" s="500"/>
      <c r="Z41" s="500"/>
      <c r="AA41" s="500"/>
      <c r="AB41" s="500"/>
      <c r="AC41" s="500"/>
      <c r="AD41" s="500"/>
      <c r="AE41" s="500"/>
      <c r="AF41" s="500"/>
      <c r="AG41" s="500"/>
      <c r="AH41" s="500"/>
      <c r="AI41" s="500"/>
      <c r="AJ41" s="500"/>
      <c r="AK41" s="500"/>
      <c r="AL41" s="500"/>
      <c r="AM41" s="500"/>
      <c r="AN41" s="500"/>
      <c r="AO41" s="500"/>
      <c r="AP41" s="500"/>
      <c r="AQ41" s="500"/>
      <c r="AR41" s="500"/>
      <c r="AS41" s="501"/>
      <c r="AT41" s="502"/>
      <c r="AU41" s="503"/>
      <c r="AV41" s="499"/>
      <c r="AW41" s="499"/>
      <c r="AX41" s="503"/>
      <c r="AY41" s="499"/>
      <c r="AZ41" s="510"/>
      <c r="BA41" s="422"/>
      <c r="BB41" s="389"/>
      <c r="BC41" s="390"/>
      <c r="BD41" s="392"/>
      <c r="BE41" s="421"/>
      <c r="BG41" s="391" t="s">
        <v>341</v>
      </c>
      <c r="BJ41" s="543"/>
      <c r="BN41" s="444"/>
      <c r="BO41" s="444"/>
      <c r="BP41" s="444"/>
      <c r="BQ41" s="444"/>
      <c r="BR41" s="444"/>
      <c r="BS41" s="444"/>
      <c r="BT41" s="444"/>
      <c r="CD41" s="444"/>
    </row>
    <row r="42" spans="1:86" s="443" customFormat="1" ht="12.5" customHeight="1">
      <c r="A42" s="393"/>
      <c r="B42" s="509"/>
      <c r="C42" s="512" t="s">
        <v>303</v>
      </c>
      <c r="D42" s="500"/>
      <c r="E42" s="500"/>
      <c r="F42" s="500"/>
      <c r="G42" s="500"/>
      <c r="H42" s="500"/>
      <c r="I42" s="500"/>
      <c r="J42" s="500"/>
      <c r="K42" s="500"/>
      <c r="L42" s="500"/>
      <c r="M42" s="500"/>
      <c r="N42" s="500"/>
      <c r="O42" s="500"/>
      <c r="P42" s="500"/>
      <c r="Q42" s="500"/>
      <c r="R42" s="500"/>
      <c r="S42" s="500"/>
      <c r="T42" s="500"/>
      <c r="U42" s="500"/>
      <c r="V42" s="500"/>
      <c r="W42" s="500"/>
      <c r="X42" s="500"/>
      <c r="Y42" s="500"/>
      <c r="Z42" s="500"/>
      <c r="AA42" s="500"/>
      <c r="AB42" s="512" t="s">
        <v>308</v>
      </c>
      <c r="AC42" s="500"/>
      <c r="AD42" s="500"/>
      <c r="AE42" s="500"/>
      <c r="AF42" s="500"/>
      <c r="AG42" s="500"/>
      <c r="AH42" s="500"/>
      <c r="AI42" s="500"/>
      <c r="AJ42" s="500"/>
      <c r="AK42" s="500"/>
      <c r="AL42" s="500"/>
      <c r="AM42" s="500"/>
      <c r="AN42" s="500"/>
      <c r="AO42" s="500"/>
      <c r="AP42" s="500"/>
      <c r="AQ42" s="500"/>
      <c r="AR42" s="500"/>
      <c r="AS42" s="501"/>
      <c r="AT42" s="502"/>
      <c r="AU42" s="503"/>
      <c r="AV42" s="503"/>
      <c r="AW42" s="503"/>
      <c r="AX42" s="503"/>
      <c r="AY42" s="499"/>
      <c r="AZ42" s="510"/>
      <c r="BA42" s="422"/>
      <c r="BB42" s="405"/>
      <c r="BC42" s="406"/>
      <c r="BD42" s="391"/>
      <c r="BE42" s="391"/>
      <c r="BJ42" s="391"/>
      <c r="BN42" s="444"/>
      <c r="BO42" s="444"/>
      <c r="BP42" s="444"/>
      <c r="BQ42" s="444"/>
      <c r="BR42" s="444"/>
      <c r="BS42" s="444"/>
      <c r="BT42" s="444"/>
      <c r="CD42" s="444"/>
      <c r="CE42" s="421"/>
      <c r="CF42" s="391"/>
      <c r="CG42" s="391"/>
      <c r="CH42" s="444"/>
    </row>
    <row r="43" spans="1:86" s="443" customFormat="1" ht="12.5" customHeight="1">
      <c r="A43" s="393"/>
      <c r="B43" s="509"/>
      <c r="C43" s="513" t="s">
        <v>304</v>
      </c>
      <c r="D43" s="514"/>
      <c r="E43" s="514"/>
      <c r="F43" s="514"/>
      <c r="G43" s="514"/>
      <c r="H43" s="514"/>
      <c r="I43" s="514"/>
      <c r="J43" s="514"/>
      <c r="K43" s="514"/>
      <c r="L43" s="514"/>
      <c r="M43" s="514"/>
      <c r="N43" s="514"/>
      <c r="O43" s="514"/>
      <c r="P43" s="514"/>
      <c r="Q43" s="514"/>
      <c r="R43" s="514"/>
      <c r="S43" s="514"/>
      <c r="T43" s="514"/>
      <c r="U43" s="514"/>
      <c r="V43" s="514"/>
      <c r="W43" s="514"/>
      <c r="X43" s="514"/>
      <c r="Y43" s="500"/>
      <c r="Z43" s="500"/>
      <c r="AA43" s="500"/>
      <c r="AB43" s="513"/>
      <c r="AC43" s="514"/>
      <c r="AD43" s="514"/>
      <c r="AE43" s="514"/>
      <c r="AF43" s="514"/>
      <c r="AG43" s="514"/>
      <c r="AH43" s="514"/>
      <c r="AI43" s="514"/>
      <c r="AJ43" s="514"/>
      <c r="AK43" s="514"/>
      <c r="AL43" s="514"/>
      <c r="AM43" s="514"/>
      <c r="AN43" s="514"/>
      <c r="AO43" s="514"/>
      <c r="AP43" s="514"/>
      <c r="AQ43" s="514"/>
      <c r="AR43" s="514"/>
      <c r="AS43" s="514"/>
      <c r="AT43" s="514"/>
      <c r="AU43" s="514"/>
      <c r="AV43" s="514"/>
      <c r="AW43" s="514"/>
      <c r="AX43" s="503"/>
      <c r="AY43" s="499"/>
      <c r="AZ43" s="510"/>
      <c r="BA43" s="422"/>
      <c r="BB43" s="405"/>
      <c r="BC43" s="406"/>
      <c r="BD43" s="391"/>
      <c r="BE43" s="421"/>
      <c r="BF43" s="421" t="s">
        <v>384</v>
      </c>
      <c r="BG43" s="391"/>
      <c r="BH43" s="544"/>
      <c r="BJ43" s="391"/>
      <c r="BN43" s="444"/>
      <c r="BO43" s="444"/>
      <c r="BP43" s="444"/>
      <c r="BQ43" s="444"/>
      <c r="BR43" s="444"/>
      <c r="BS43" s="444"/>
      <c r="BT43" s="444"/>
      <c r="CD43" s="444"/>
      <c r="CF43" s="391"/>
      <c r="CH43" s="444"/>
    </row>
    <row r="44" spans="1:86" s="443" customFormat="1" ht="12.5" customHeight="1">
      <c r="A44" s="393"/>
      <c r="B44" s="509"/>
      <c r="C44" s="499"/>
      <c r="D44" s="500"/>
      <c r="E44" s="500"/>
      <c r="F44" s="500"/>
      <c r="G44" s="500"/>
      <c r="H44" s="500"/>
      <c r="I44" s="500"/>
      <c r="J44" s="500"/>
      <c r="K44" s="500"/>
      <c r="L44" s="500"/>
      <c r="M44" s="500"/>
      <c r="N44" s="500"/>
      <c r="O44" s="500"/>
      <c r="P44" s="500"/>
      <c r="Q44" s="500"/>
      <c r="R44" s="500"/>
      <c r="S44" s="500"/>
      <c r="T44" s="500"/>
      <c r="U44" s="500"/>
      <c r="V44" s="500"/>
      <c r="W44" s="500"/>
      <c r="X44" s="500"/>
      <c r="Y44" s="500"/>
      <c r="Z44" s="500"/>
      <c r="AA44" s="500"/>
      <c r="AB44" s="500"/>
      <c r="AC44" s="500"/>
      <c r="AD44" s="500"/>
      <c r="AE44" s="500"/>
      <c r="AF44" s="500"/>
      <c r="AG44" s="500"/>
      <c r="AH44" s="500"/>
      <c r="AI44" s="500"/>
      <c r="AJ44" s="500"/>
      <c r="AK44" s="500"/>
      <c r="AL44" s="500"/>
      <c r="AM44" s="500"/>
      <c r="AN44" s="500"/>
      <c r="AO44" s="500"/>
      <c r="AP44" s="500"/>
      <c r="AQ44" s="500"/>
      <c r="AR44" s="500"/>
      <c r="AS44" s="501"/>
      <c r="AT44" s="502"/>
      <c r="AU44" s="503"/>
      <c r="AV44" s="499"/>
      <c r="AW44" s="499"/>
      <c r="AX44" s="503"/>
      <c r="AY44" s="499"/>
      <c r="AZ44" s="510"/>
      <c r="BA44" s="422"/>
      <c r="BB44" s="405"/>
      <c r="BC44" s="406"/>
      <c r="BD44" s="391"/>
      <c r="BE44" s="391"/>
      <c r="BG44" s="391" t="s">
        <v>374</v>
      </c>
      <c r="BJ44" s="391"/>
      <c r="BN44" s="444"/>
      <c r="BO44" s="444"/>
      <c r="BP44" s="444"/>
      <c r="BQ44" s="444"/>
      <c r="BR44" s="444"/>
      <c r="BS44" s="444"/>
      <c r="BT44" s="444"/>
      <c r="CD44" s="444"/>
      <c r="CF44" s="391"/>
      <c r="CH44" s="444"/>
    </row>
    <row r="45" spans="1:86" s="443" customFormat="1" ht="12.5" customHeight="1">
      <c r="A45" s="393"/>
      <c r="B45" s="509"/>
      <c r="C45" s="512" t="s">
        <v>305</v>
      </c>
      <c r="D45" s="500"/>
      <c r="E45" s="500"/>
      <c r="F45" s="500"/>
      <c r="G45" s="500"/>
      <c r="H45" s="500"/>
      <c r="I45" s="500"/>
      <c r="J45" s="500"/>
      <c r="K45" s="500"/>
      <c r="L45" s="500"/>
      <c r="M45" s="500"/>
      <c r="N45" s="500"/>
      <c r="O45" s="500"/>
      <c r="P45" s="500"/>
      <c r="Q45" s="500"/>
      <c r="R45" s="500"/>
      <c r="S45" s="500"/>
      <c r="T45" s="500"/>
      <c r="U45" s="500"/>
      <c r="V45" s="500"/>
      <c r="W45" s="500"/>
      <c r="X45" s="500"/>
      <c r="Y45" s="500"/>
      <c r="Z45" s="500"/>
      <c r="AA45" s="500"/>
      <c r="AB45" s="512" t="s">
        <v>309</v>
      </c>
      <c r="AC45" s="500"/>
      <c r="AD45" s="500"/>
      <c r="AE45" s="500"/>
      <c r="AF45" s="500"/>
      <c r="AG45" s="500"/>
      <c r="AH45" s="500"/>
      <c r="AI45" s="500"/>
      <c r="AJ45" s="500"/>
      <c r="AK45" s="500"/>
      <c r="AL45" s="500"/>
      <c r="AM45" s="500"/>
      <c r="AN45" s="500"/>
      <c r="AO45" s="500"/>
      <c r="AP45" s="500"/>
      <c r="AQ45" s="500"/>
      <c r="AR45" s="500"/>
      <c r="AS45" s="501"/>
      <c r="AT45" s="502"/>
      <c r="AU45" s="503"/>
      <c r="AV45" s="503"/>
      <c r="AW45" s="503"/>
      <c r="AX45" s="503"/>
      <c r="AY45" s="499"/>
      <c r="AZ45" s="510"/>
      <c r="BA45" s="422"/>
      <c r="BB45" s="405"/>
      <c r="BC45" s="406"/>
      <c r="BD45" s="391"/>
      <c r="BE45" s="545"/>
      <c r="BJ45" s="391"/>
      <c r="BN45" s="444"/>
      <c r="BO45" s="444"/>
      <c r="BP45" s="444"/>
      <c r="BQ45" s="444"/>
      <c r="BR45" s="444"/>
      <c r="BS45" s="444"/>
      <c r="BT45" s="444"/>
      <c r="CD45" s="444"/>
      <c r="CE45" s="421"/>
      <c r="CF45" s="391"/>
      <c r="CG45" s="391"/>
      <c r="CH45" s="444"/>
    </row>
    <row r="46" spans="1:86" s="443" customFormat="1" ht="12.5" customHeight="1">
      <c r="A46" s="393"/>
      <c r="B46" s="509"/>
      <c r="C46" s="513"/>
      <c r="D46" s="514"/>
      <c r="E46" s="514"/>
      <c r="F46" s="514"/>
      <c r="G46" s="514"/>
      <c r="H46" s="514"/>
      <c r="I46" s="514"/>
      <c r="J46" s="514"/>
      <c r="K46" s="514"/>
      <c r="L46" s="514"/>
      <c r="M46" s="514"/>
      <c r="N46" s="514"/>
      <c r="O46" s="514"/>
      <c r="P46" s="514"/>
      <c r="Q46" s="514"/>
      <c r="R46" s="514"/>
      <c r="S46" s="514"/>
      <c r="T46" s="514"/>
      <c r="U46" s="514"/>
      <c r="V46" s="514"/>
      <c r="W46" s="514"/>
      <c r="X46" s="514"/>
      <c r="Y46" s="500"/>
      <c r="Z46" s="500"/>
      <c r="AA46" s="500"/>
      <c r="AB46" s="513"/>
      <c r="AC46" s="514"/>
      <c r="AD46" s="514"/>
      <c r="AE46" s="514"/>
      <c r="AF46" s="514"/>
      <c r="AG46" s="514"/>
      <c r="AH46" s="514"/>
      <c r="AI46" s="514"/>
      <c r="AJ46" s="514"/>
      <c r="AK46" s="514"/>
      <c r="AL46" s="514"/>
      <c r="AM46" s="514"/>
      <c r="AN46" s="514"/>
      <c r="AO46" s="514"/>
      <c r="AP46" s="514"/>
      <c r="AQ46" s="514"/>
      <c r="AR46" s="514"/>
      <c r="AS46" s="514"/>
      <c r="AT46" s="514"/>
      <c r="AU46" s="514"/>
      <c r="AV46" s="514"/>
      <c r="AW46" s="514"/>
      <c r="AX46" s="503"/>
      <c r="AY46" s="499"/>
      <c r="AZ46" s="510"/>
      <c r="BA46" s="422"/>
      <c r="BB46" s="405"/>
      <c r="BC46" s="406"/>
      <c r="BD46" s="391"/>
      <c r="BE46" s="391"/>
      <c r="BF46" s="421" t="s">
        <v>385</v>
      </c>
      <c r="BG46" s="391"/>
      <c r="BH46" s="391"/>
      <c r="BJ46" s="391"/>
      <c r="BN46" s="444"/>
      <c r="BO46" s="444"/>
      <c r="BP46" s="444"/>
      <c r="BQ46" s="444"/>
      <c r="BR46" s="444"/>
      <c r="BS46" s="444"/>
      <c r="BT46" s="444"/>
      <c r="CD46" s="444"/>
      <c r="CF46" s="391"/>
      <c r="CH46" s="444"/>
    </row>
    <row r="47" spans="1:86" s="443" customFormat="1" ht="12.5" customHeight="1">
      <c r="A47" s="393"/>
      <c r="B47" s="509"/>
      <c r="C47" s="499"/>
      <c r="D47" s="500"/>
      <c r="E47" s="500"/>
      <c r="F47" s="500"/>
      <c r="G47" s="500"/>
      <c r="H47" s="500"/>
      <c r="I47" s="500"/>
      <c r="J47" s="500"/>
      <c r="K47" s="500"/>
      <c r="L47" s="500"/>
      <c r="M47" s="500"/>
      <c r="N47" s="500"/>
      <c r="O47" s="500"/>
      <c r="P47" s="500"/>
      <c r="Q47" s="500"/>
      <c r="R47" s="500"/>
      <c r="S47" s="500"/>
      <c r="T47" s="500"/>
      <c r="U47" s="500"/>
      <c r="V47" s="500"/>
      <c r="W47" s="500"/>
      <c r="X47" s="500"/>
      <c r="Y47" s="500"/>
      <c r="Z47" s="500"/>
      <c r="AA47" s="500"/>
      <c r="AB47" s="500"/>
      <c r="AC47" s="500"/>
      <c r="AD47" s="500"/>
      <c r="AE47" s="500"/>
      <c r="AF47" s="500"/>
      <c r="AG47" s="500"/>
      <c r="AH47" s="500"/>
      <c r="AI47" s="500"/>
      <c r="AJ47" s="500"/>
      <c r="AK47" s="500"/>
      <c r="AL47" s="500"/>
      <c r="AM47" s="500"/>
      <c r="AN47" s="500"/>
      <c r="AO47" s="500"/>
      <c r="AP47" s="500"/>
      <c r="AQ47" s="500"/>
      <c r="AR47" s="500"/>
      <c r="AS47" s="501"/>
      <c r="AT47" s="502"/>
      <c r="AU47" s="503"/>
      <c r="AV47" s="499"/>
      <c r="AW47" s="499"/>
      <c r="AX47" s="503"/>
      <c r="AY47" s="499"/>
      <c r="AZ47" s="510"/>
      <c r="BA47" s="422"/>
      <c r="BB47" s="405"/>
      <c r="BC47" s="406"/>
      <c r="BD47" s="391"/>
      <c r="BE47" s="391"/>
      <c r="BG47" s="391" t="s">
        <v>375</v>
      </c>
      <c r="BJ47" s="391"/>
      <c r="BN47" s="444"/>
      <c r="BO47" s="444"/>
      <c r="BP47" s="444"/>
      <c r="BQ47" s="444"/>
      <c r="BR47" s="444"/>
      <c r="BS47" s="444"/>
      <c r="BT47" s="444"/>
      <c r="CD47" s="444"/>
      <c r="CF47" s="391"/>
      <c r="CH47" s="444"/>
    </row>
    <row r="48" spans="1:86" s="443" customFormat="1" ht="12.5" customHeight="1">
      <c r="A48" s="393"/>
      <c r="B48" s="418"/>
      <c r="C48" s="420"/>
      <c r="D48" s="420"/>
      <c r="E48" s="420"/>
      <c r="F48" s="420"/>
      <c r="G48" s="420"/>
      <c r="H48" s="420"/>
      <c r="I48" s="420"/>
      <c r="J48" s="420"/>
      <c r="K48" s="420"/>
      <c r="L48" s="420"/>
      <c r="M48" s="420"/>
      <c r="N48" s="420"/>
      <c r="O48" s="420"/>
      <c r="P48" s="420"/>
      <c r="Q48" s="420"/>
      <c r="R48" s="420"/>
      <c r="S48" s="420"/>
      <c r="T48" s="420"/>
      <c r="U48" s="420"/>
      <c r="V48" s="420"/>
      <c r="W48" s="420"/>
      <c r="X48" s="420"/>
      <c r="Y48" s="420"/>
      <c r="Z48" s="420"/>
      <c r="AA48" s="420"/>
      <c r="AB48" s="420"/>
      <c r="AC48" s="420"/>
      <c r="AD48" s="420"/>
      <c r="AE48" s="420"/>
      <c r="AF48" s="420"/>
      <c r="AG48" s="420"/>
      <c r="AH48" s="420"/>
      <c r="AI48" s="420"/>
      <c r="AJ48" s="420"/>
      <c r="AK48" s="420"/>
      <c r="AL48" s="420"/>
      <c r="AM48" s="420"/>
      <c r="AN48" s="420"/>
      <c r="AO48" s="420"/>
      <c r="AP48" s="420"/>
      <c r="AQ48" s="420"/>
      <c r="AR48" s="420"/>
      <c r="AS48" s="420"/>
      <c r="AT48" s="420"/>
      <c r="AU48" s="420"/>
      <c r="AV48" s="420"/>
      <c r="AW48" s="420"/>
      <c r="AX48" s="420"/>
      <c r="AY48" s="420"/>
      <c r="AZ48" s="422"/>
      <c r="BA48" s="422"/>
      <c r="BB48" s="405"/>
      <c r="BC48" s="406"/>
      <c r="BD48" s="391"/>
      <c r="BE48" s="391"/>
      <c r="BJ48" s="391"/>
      <c r="BN48" s="444"/>
      <c r="BO48" s="444"/>
      <c r="BP48" s="444"/>
      <c r="BQ48" s="444"/>
      <c r="BR48" s="444"/>
      <c r="BS48" s="444"/>
      <c r="BT48" s="444"/>
      <c r="CD48" s="444"/>
      <c r="CE48" s="421"/>
      <c r="CF48" s="391"/>
      <c r="CG48" s="28"/>
      <c r="CH48" s="444"/>
    </row>
    <row r="49" spans="1:86" s="443" customFormat="1" ht="12.5" customHeight="1">
      <c r="A49" s="393"/>
      <c r="B49" s="426"/>
      <c r="C49" s="420"/>
      <c r="D49" s="420"/>
      <c r="E49" s="420"/>
      <c r="F49" s="420"/>
      <c r="G49" s="420"/>
      <c r="H49" s="420"/>
      <c r="I49" s="420"/>
      <c r="J49" s="420"/>
      <c r="K49" s="420"/>
      <c r="L49" s="420"/>
      <c r="M49" s="420"/>
      <c r="N49" s="420"/>
      <c r="O49" s="420"/>
      <c r="P49" s="420"/>
      <c r="Q49" s="420"/>
      <c r="R49" s="420"/>
      <c r="S49" s="420"/>
      <c r="T49" s="420"/>
      <c r="U49" s="420"/>
      <c r="V49" s="420"/>
      <c r="W49" s="420"/>
      <c r="X49" s="420"/>
      <c r="Y49" s="420"/>
      <c r="Z49" s="420"/>
      <c r="AA49" s="420"/>
      <c r="AB49" s="420"/>
      <c r="AC49" s="420"/>
      <c r="AD49" s="420"/>
      <c r="AE49" s="420"/>
      <c r="AF49" s="420"/>
      <c r="AG49" s="420"/>
      <c r="AH49" s="420"/>
      <c r="AI49" s="420"/>
      <c r="AJ49" s="420"/>
      <c r="AK49" s="420"/>
      <c r="AL49" s="420"/>
      <c r="AM49" s="420"/>
      <c r="AN49" s="420"/>
      <c r="AO49" s="420"/>
      <c r="AP49" s="420"/>
      <c r="AQ49" s="420"/>
      <c r="AR49" s="420"/>
      <c r="AS49" s="420"/>
      <c r="AT49" s="420"/>
      <c r="AU49" s="420"/>
      <c r="AV49" s="420"/>
      <c r="AW49" s="420"/>
      <c r="AX49" s="420"/>
      <c r="AY49" s="420"/>
      <c r="AZ49" s="422"/>
      <c r="BA49" s="422"/>
      <c r="BB49" s="389"/>
      <c r="BC49" s="390"/>
      <c r="BD49" s="391"/>
      <c r="BE49" s="391"/>
      <c r="BF49" s="421" t="s">
        <v>386</v>
      </c>
      <c r="BG49" s="391"/>
      <c r="BH49" s="391"/>
      <c r="BJ49" s="28"/>
      <c r="BN49" s="444"/>
      <c r="BO49" s="444"/>
      <c r="BP49" s="444"/>
      <c r="BQ49" s="444"/>
      <c r="BR49" s="444"/>
      <c r="BS49" s="444"/>
      <c r="BT49" s="444"/>
      <c r="CD49" s="444"/>
      <c r="CF49" s="391"/>
      <c r="CH49" s="444"/>
    </row>
    <row r="50" spans="1:86" s="443" customFormat="1" ht="12.5" customHeight="1">
      <c r="A50" s="393"/>
      <c r="B50" s="418"/>
      <c r="C50" s="420"/>
      <c r="D50" s="420"/>
      <c r="E50" s="420"/>
      <c r="F50" s="420"/>
      <c r="G50" s="420"/>
      <c r="H50" s="420"/>
      <c r="I50" s="420"/>
      <c r="J50" s="420"/>
      <c r="K50" s="420"/>
      <c r="L50" s="420"/>
      <c r="M50" s="420"/>
      <c r="N50" s="420"/>
      <c r="O50" s="420"/>
      <c r="P50" s="420"/>
      <c r="Q50" s="420"/>
      <c r="R50" s="420"/>
      <c r="S50" s="420"/>
      <c r="T50" s="420"/>
      <c r="U50" s="420"/>
      <c r="V50" s="420"/>
      <c r="W50" s="420"/>
      <c r="X50" s="420"/>
      <c r="Y50" s="420"/>
      <c r="Z50" s="420"/>
      <c r="AA50" s="420"/>
      <c r="AB50" s="420"/>
      <c r="AC50" s="420"/>
      <c r="AD50" s="420"/>
      <c r="AE50" s="420"/>
      <c r="AF50" s="420"/>
      <c r="AG50" s="420"/>
      <c r="AH50" s="420"/>
      <c r="AI50" s="420"/>
      <c r="AJ50" s="420"/>
      <c r="AK50" s="420"/>
      <c r="AL50" s="420"/>
      <c r="AM50" s="420"/>
      <c r="AN50" s="420"/>
      <c r="AO50" s="420"/>
      <c r="AP50" s="420"/>
      <c r="AQ50" s="420"/>
      <c r="AR50" s="420"/>
      <c r="AS50" s="420"/>
      <c r="AT50" s="420"/>
      <c r="AU50" s="420"/>
      <c r="AV50" s="420"/>
      <c r="AW50" s="420"/>
      <c r="AX50" s="420"/>
      <c r="AY50" s="420"/>
      <c r="AZ50" s="422"/>
      <c r="BA50" s="422"/>
      <c r="BB50" s="405"/>
      <c r="BC50" s="406"/>
      <c r="BD50" s="391"/>
      <c r="BE50" s="391"/>
      <c r="BG50" s="391" t="s">
        <v>376</v>
      </c>
      <c r="BJ50" s="28"/>
      <c r="BN50" s="444"/>
      <c r="BO50" s="444"/>
      <c r="BP50" s="444"/>
      <c r="BQ50" s="444"/>
      <c r="BR50" s="444"/>
      <c r="BS50" s="444"/>
      <c r="BT50" s="444"/>
      <c r="CD50" s="444"/>
      <c r="CE50" s="444"/>
      <c r="CF50" s="391"/>
      <c r="CG50" s="444"/>
      <c r="CH50" s="444"/>
    </row>
    <row r="51" spans="1:86" s="443" customFormat="1" ht="12.5" customHeight="1">
      <c r="A51" s="393"/>
      <c r="B51" s="418"/>
      <c r="C51" s="423"/>
      <c r="D51" s="419"/>
      <c r="E51" s="419"/>
      <c r="F51" s="419"/>
      <c r="G51" s="421"/>
      <c r="H51" s="431"/>
      <c r="I51" s="431"/>
      <c r="J51" s="431"/>
      <c r="K51" s="431"/>
      <c r="L51" s="431"/>
      <c r="M51" s="431"/>
      <c r="N51" s="431"/>
      <c r="O51" s="431"/>
      <c r="P51" s="431"/>
      <c r="Q51" s="431"/>
      <c r="R51" s="431"/>
      <c r="S51" s="431"/>
      <c r="T51" s="431"/>
      <c r="U51" s="431"/>
      <c r="V51" s="431"/>
      <c r="W51" s="431"/>
      <c r="X51" s="431"/>
      <c r="Y51" s="431"/>
      <c r="Z51" s="431"/>
      <c r="AA51" s="431"/>
      <c r="AB51" s="431"/>
      <c r="AC51" s="431"/>
      <c r="AD51" s="431"/>
      <c r="AE51" s="431"/>
      <c r="AF51" s="431"/>
      <c r="AG51" s="431"/>
      <c r="AH51" s="431"/>
      <c r="AI51" s="431"/>
      <c r="AJ51" s="431"/>
      <c r="AK51" s="431"/>
      <c r="AL51" s="431"/>
      <c r="AM51" s="431"/>
      <c r="AN51" s="431"/>
      <c r="AO51" s="431"/>
      <c r="AP51" s="431"/>
      <c r="AQ51" s="431"/>
      <c r="AR51" s="431"/>
      <c r="AS51" s="431"/>
      <c r="AT51" s="425"/>
      <c r="AU51" s="421"/>
      <c r="AV51" s="421"/>
      <c r="AW51" s="421"/>
      <c r="AX51" s="421"/>
      <c r="AY51" s="417"/>
      <c r="AZ51" s="422"/>
      <c r="BA51" s="422"/>
      <c r="BB51" s="389"/>
      <c r="BC51" s="390"/>
      <c r="BD51" s="391"/>
      <c r="BE51" s="391"/>
      <c r="BJ51" s="391"/>
      <c r="BN51" s="444"/>
      <c r="BO51" s="444"/>
      <c r="BP51" s="444"/>
      <c r="BQ51" s="444"/>
      <c r="BR51" s="444"/>
      <c r="BS51" s="444"/>
      <c r="BT51" s="444"/>
      <c r="CD51" s="444"/>
      <c r="CE51" s="421"/>
      <c r="CF51" s="391"/>
      <c r="CG51" s="28"/>
      <c r="CH51" s="444"/>
    </row>
    <row r="52" spans="1:86" s="443" customFormat="1" ht="12.5" customHeight="1">
      <c r="A52" s="393"/>
      <c r="B52" s="426"/>
      <c r="C52" s="420"/>
      <c r="D52" s="420"/>
      <c r="E52" s="420"/>
      <c r="F52" s="420"/>
      <c r="G52" s="420"/>
      <c r="H52" s="420"/>
      <c r="I52" s="420"/>
      <c r="J52" s="420"/>
      <c r="K52" s="420"/>
      <c r="L52" s="420"/>
      <c r="M52" s="420"/>
      <c r="N52" s="420"/>
      <c r="O52" s="420"/>
      <c r="P52" s="420"/>
      <c r="Q52" s="420"/>
      <c r="R52" s="420"/>
      <c r="S52" s="420"/>
      <c r="T52" s="420"/>
      <c r="U52" s="420"/>
      <c r="V52" s="420"/>
      <c r="W52" s="420"/>
      <c r="X52" s="420"/>
      <c r="Y52" s="420"/>
      <c r="Z52" s="420"/>
      <c r="AA52" s="420"/>
      <c r="AB52" s="420"/>
      <c r="AC52" s="420"/>
      <c r="AD52" s="420"/>
      <c r="AE52" s="420"/>
      <c r="AF52" s="420"/>
      <c r="AG52" s="420"/>
      <c r="AH52" s="420"/>
      <c r="AI52" s="420"/>
      <c r="AJ52" s="420"/>
      <c r="AK52" s="420"/>
      <c r="AL52" s="420"/>
      <c r="AM52" s="420"/>
      <c r="AN52" s="420"/>
      <c r="AO52" s="420"/>
      <c r="AP52" s="420"/>
      <c r="AQ52" s="420"/>
      <c r="AR52" s="420"/>
      <c r="AS52" s="420"/>
      <c r="AT52" s="420"/>
      <c r="AU52" s="420"/>
      <c r="AV52" s="420"/>
      <c r="AW52" s="420"/>
      <c r="AX52" s="420"/>
      <c r="AY52" s="420"/>
      <c r="AZ52" s="422"/>
      <c r="BA52" s="422"/>
      <c r="BB52" s="389"/>
      <c r="BC52" s="390"/>
      <c r="BD52" s="391"/>
      <c r="BE52" s="391"/>
      <c r="BF52" s="421" t="s">
        <v>387</v>
      </c>
      <c r="BG52" s="391"/>
      <c r="BH52" s="391"/>
      <c r="BJ52" s="444"/>
      <c r="BN52" s="444"/>
      <c r="BO52" s="444"/>
      <c r="BP52" s="444"/>
      <c r="BQ52" s="444"/>
      <c r="BR52" s="444"/>
      <c r="BS52" s="444"/>
      <c r="BT52" s="444"/>
      <c r="CD52" s="444"/>
      <c r="CF52" s="391"/>
      <c r="CH52" s="444"/>
    </row>
    <row r="53" spans="1:86" s="443" customFormat="1" ht="12.5" customHeight="1">
      <c r="A53" s="393"/>
      <c r="B53" s="418"/>
      <c r="C53" s="420"/>
      <c r="D53" s="420"/>
      <c r="E53" s="420"/>
      <c r="F53" s="420"/>
      <c r="G53" s="420"/>
      <c r="H53" s="420"/>
      <c r="I53" s="420"/>
      <c r="J53" s="420"/>
      <c r="K53" s="420"/>
      <c r="L53" s="420"/>
      <c r="M53" s="420"/>
      <c r="N53" s="420"/>
      <c r="O53" s="420"/>
      <c r="P53" s="420"/>
      <c r="Q53" s="420"/>
      <c r="R53" s="420"/>
      <c r="S53" s="420"/>
      <c r="T53" s="420"/>
      <c r="U53" s="420"/>
      <c r="V53" s="420"/>
      <c r="W53" s="420"/>
      <c r="X53" s="420"/>
      <c r="Y53" s="420"/>
      <c r="Z53" s="420"/>
      <c r="AA53" s="420"/>
      <c r="AB53" s="420"/>
      <c r="AC53" s="420"/>
      <c r="AD53" s="420"/>
      <c r="AE53" s="420"/>
      <c r="AF53" s="420"/>
      <c r="AG53" s="420"/>
      <c r="AH53" s="420"/>
      <c r="AI53" s="420"/>
      <c r="AJ53" s="420"/>
      <c r="AK53" s="420"/>
      <c r="AL53" s="420"/>
      <c r="AM53" s="420"/>
      <c r="AN53" s="420"/>
      <c r="AO53" s="420"/>
      <c r="AP53" s="420"/>
      <c r="AQ53" s="420"/>
      <c r="AR53" s="420"/>
      <c r="AS53" s="420"/>
      <c r="AT53" s="420"/>
      <c r="AU53" s="420"/>
      <c r="AV53" s="420"/>
      <c r="AW53" s="420"/>
      <c r="AX53" s="420"/>
      <c r="AY53" s="420"/>
      <c r="AZ53" s="422"/>
      <c r="BA53" s="422"/>
      <c r="BB53" s="405"/>
      <c r="BC53" s="406"/>
      <c r="BD53" s="391"/>
      <c r="BE53" s="444"/>
      <c r="BG53" s="391" t="s">
        <v>377</v>
      </c>
      <c r="BJ53" s="444"/>
      <c r="BN53" s="444"/>
      <c r="BO53" s="444"/>
      <c r="BP53" s="444"/>
      <c r="BQ53" s="444"/>
      <c r="BR53" s="444"/>
      <c r="BS53" s="444"/>
      <c r="BT53" s="444"/>
      <c r="CD53" s="444"/>
      <c r="CE53" s="444"/>
      <c r="CF53" s="391"/>
      <c r="CG53" s="444"/>
      <c r="CH53" s="444"/>
    </row>
    <row r="54" spans="1:86" s="443" customFormat="1" ht="12.5" customHeight="1">
      <c r="A54" s="393"/>
      <c r="B54" s="418"/>
      <c r="C54" s="423"/>
      <c r="D54" s="419"/>
      <c r="E54" s="419"/>
      <c r="F54" s="419"/>
      <c r="G54" s="421"/>
      <c r="H54" s="431"/>
      <c r="I54" s="431"/>
      <c r="J54" s="431"/>
      <c r="K54" s="431"/>
      <c r="L54" s="431"/>
      <c r="M54" s="431"/>
      <c r="N54" s="431"/>
      <c r="O54" s="431"/>
      <c r="P54" s="431"/>
      <c r="Q54" s="431"/>
      <c r="R54" s="431"/>
      <c r="S54" s="431"/>
      <c r="T54" s="431"/>
      <c r="U54" s="431"/>
      <c r="V54" s="431"/>
      <c r="W54" s="431"/>
      <c r="X54" s="431"/>
      <c r="Y54" s="431"/>
      <c r="Z54" s="431"/>
      <c r="AA54" s="431"/>
      <c r="AB54" s="431"/>
      <c r="AC54" s="431"/>
      <c r="AD54" s="431"/>
      <c r="AE54" s="431"/>
      <c r="AF54" s="431"/>
      <c r="AG54" s="431"/>
      <c r="AH54" s="431"/>
      <c r="AI54" s="431"/>
      <c r="AJ54" s="431"/>
      <c r="AK54" s="431"/>
      <c r="AL54" s="431"/>
      <c r="AM54" s="431"/>
      <c r="AN54" s="431"/>
      <c r="AO54" s="431"/>
      <c r="AP54" s="431"/>
      <c r="AQ54" s="431"/>
      <c r="AR54" s="431"/>
      <c r="AS54" s="431"/>
      <c r="AT54" s="425"/>
      <c r="AU54" s="421"/>
      <c r="AV54" s="421"/>
      <c r="AW54" s="421"/>
      <c r="AX54" s="421"/>
      <c r="AY54" s="417"/>
      <c r="AZ54" s="422"/>
      <c r="BA54" s="422"/>
      <c r="BB54" s="389"/>
      <c r="BC54" s="390"/>
      <c r="BD54" s="391"/>
      <c r="BE54" s="444"/>
      <c r="BG54" s="391"/>
      <c r="BJ54" s="444"/>
      <c r="BN54" s="444"/>
      <c r="BO54" s="444"/>
      <c r="BP54" s="444"/>
      <c r="BQ54" s="444"/>
      <c r="BR54" s="444"/>
      <c r="BS54" s="444"/>
      <c r="BT54" s="444"/>
      <c r="CD54" s="444"/>
      <c r="CE54" s="421"/>
      <c r="CF54" s="391"/>
      <c r="CG54" s="444"/>
      <c r="CH54" s="444"/>
    </row>
    <row r="55" spans="1:86" s="443" customFormat="1" ht="12.5" customHeight="1">
      <c r="A55" s="393"/>
      <c r="B55" s="426"/>
      <c r="C55" s="420"/>
      <c r="D55" s="420"/>
      <c r="E55" s="420"/>
      <c r="F55" s="420"/>
      <c r="G55" s="420"/>
      <c r="H55" s="420"/>
      <c r="I55" s="420"/>
      <c r="J55" s="420"/>
      <c r="K55" s="420"/>
      <c r="L55" s="420"/>
      <c r="M55" s="420"/>
      <c r="N55" s="420"/>
      <c r="O55" s="420"/>
      <c r="P55" s="420"/>
      <c r="Q55" s="420"/>
      <c r="R55" s="420"/>
      <c r="S55" s="420"/>
      <c r="T55" s="420"/>
      <c r="U55" s="420"/>
      <c r="V55" s="420"/>
      <c r="W55" s="420"/>
      <c r="X55" s="420"/>
      <c r="Y55" s="420"/>
      <c r="Z55" s="420"/>
      <c r="AA55" s="420"/>
      <c r="AB55" s="420"/>
      <c r="AC55" s="420"/>
      <c r="AD55" s="420"/>
      <c r="AE55" s="420"/>
      <c r="AF55" s="420"/>
      <c r="AG55" s="420"/>
      <c r="AH55" s="420"/>
      <c r="AI55" s="420"/>
      <c r="AJ55" s="420"/>
      <c r="AK55" s="420"/>
      <c r="AL55" s="420"/>
      <c r="AM55" s="420"/>
      <c r="AN55" s="420"/>
      <c r="AO55" s="420"/>
      <c r="AP55" s="420"/>
      <c r="AQ55" s="420"/>
      <c r="AR55" s="420"/>
      <c r="AS55" s="420"/>
      <c r="AT55" s="420"/>
      <c r="AU55" s="420"/>
      <c r="AV55" s="420"/>
      <c r="AW55" s="420"/>
      <c r="AX55" s="420"/>
      <c r="AY55" s="420"/>
      <c r="AZ55" s="422"/>
      <c r="BA55" s="422"/>
      <c r="BB55" s="389"/>
      <c r="BC55" s="390"/>
      <c r="BD55" s="391"/>
      <c r="BE55" s="444"/>
      <c r="BF55" s="421" t="s">
        <v>388</v>
      </c>
      <c r="BG55" s="391"/>
      <c r="BH55" s="391"/>
      <c r="BJ55" s="444"/>
      <c r="BN55" s="444"/>
      <c r="BO55" s="444"/>
      <c r="BP55" s="444"/>
      <c r="BQ55" s="444"/>
      <c r="BR55" s="444"/>
      <c r="BS55" s="444"/>
      <c r="BT55" s="444"/>
      <c r="CD55" s="444"/>
      <c r="CF55" s="391"/>
      <c r="CH55" s="444"/>
    </row>
    <row r="56" spans="1:86" s="443" customFormat="1" ht="12.5" customHeight="1">
      <c r="A56" s="393"/>
      <c r="B56" s="426"/>
      <c r="C56" s="420"/>
      <c r="D56" s="420"/>
      <c r="E56" s="420"/>
      <c r="F56" s="420"/>
      <c r="G56" s="420"/>
      <c r="H56" s="420"/>
      <c r="I56" s="420"/>
      <c r="J56" s="420"/>
      <c r="K56" s="420"/>
      <c r="L56" s="420"/>
      <c r="M56" s="420"/>
      <c r="N56" s="420"/>
      <c r="O56" s="420"/>
      <c r="P56" s="420"/>
      <c r="Q56" s="420"/>
      <c r="R56" s="420"/>
      <c r="S56" s="420"/>
      <c r="T56" s="420"/>
      <c r="U56" s="420"/>
      <c r="V56" s="420"/>
      <c r="W56" s="420"/>
      <c r="X56" s="420"/>
      <c r="Y56" s="420"/>
      <c r="Z56" s="420"/>
      <c r="AA56" s="420"/>
      <c r="AB56" s="420"/>
      <c r="AC56" s="420"/>
      <c r="AD56" s="420"/>
      <c r="AE56" s="420"/>
      <c r="AF56" s="420"/>
      <c r="AG56" s="420"/>
      <c r="AH56" s="420"/>
      <c r="AI56" s="420"/>
      <c r="AJ56" s="420"/>
      <c r="AK56" s="420"/>
      <c r="AL56" s="420"/>
      <c r="AM56" s="420"/>
      <c r="AN56" s="420"/>
      <c r="AO56" s="420"/>
      <c r="AP56" s="420"/>
      <c r="AQ56" s="420"/>
      <c r="AR56" s="420"/>
      <c r="AS56" s="420"/>
      <c r="AT56" s="420"/>
      <c r="AU56" s="420"/>
      <c r="AV56" s="420"/>
      <c r="AW56" s="420"/>
      <c r="AX56" s="420"/>
      <c r="AY56" s="420"/>
      <c r="AZ56" s="422"/>
      <c r="BA56" s="422"/>
      <c r="BB56" s="389"/>
      <c r="BC56" s="390"/>
      <c r="BD56" s="391"/>
      <c r="BE56" s="444"/>
      <c r="BG56" s="391" t="s">
        <v>378</v>
      </c>
      <c r="BJ56" s="444"/>
      <c r="BN56" s="444"/>
      <c r="BO56" s="444"/>
      <c r="BP56" s="444"/>
      <c r="BQ56" s="444"/>
      <c r="BR56" s="444"/>
      <c r="BS56" s="444"/>
      <c r="BT56" s="444"/>
    </row>
    <row r="57" spans="1:86" s="443" customFormat="1" ht="12.5" customHeight="1">
      <c r="A57" s="393"/>
      <c r="B57" s="418"/>
      <c r="C57" s="420"/>
      <c r="D57" s="420"/>
      <c r="E57" s="420"/>
      <c r="F57" s="420"/>
      <c r="G57" s="420"/>
      <c r="H57" s="420"/>
      <c r="I57" s="420"/>
      <c r="J57" s="420"/>
      <c r="K57" s="420"/>
      <c r="L57" s="420"/>
      <c r="M57" s="420"/>
      <c r="N57" s="420"/>
      <c r="O57" s="420"/>
      <c r="P57" s="420"/>
      <c r="Q57" s="420"/>
      <c r="R57" s="420"/>
      <c r="S57" s="420"/>
      <c r="T57" s="420"/>
      <c r="U57" s="420"/>
      <c r="V57" s="420"/>
      <c r="W57" s="420"/>
      <c r="X57" s="420"/>
      <c r="Y57" s="420"/>
      <c r="Z57" s="420"/>
      <c r="AA57" s="420"/>
      <c r="AB57" s="420"/>
      <c r="AC57" s="420"/>
      <c r="AD57" s="420"/>
      <c r="AE57" s="420"/>
      <c r="AF57" s="420"/>
      <c r="AG57" s="420"/>
      <c r="AH57" s="420"/>
      <c r="AI57" s="420"/>
      <c r="AJ57" s="420"/>
      <c r="AK57" s="420"/>
      <c r="AL57" s="420"/>
      <c r="AM57" s="420"/>
      <c r="AN57" s="420"/>
      <c r="AO57" s="420"/>
      <c r="AP57" s="420"/>
      <c r="AQ57" s="420"/>
      <c r="AR57" s="420"/>
      <c r="AS57" s="420"/>
      <c r="AT57" s="420"/>
      <c r="AU57" s="420"/>
      <c r="AV57" s="420"/>
      <c r="AW57" s="420"/>
      <c r="AX57" s="420"/>
      <c r="AY57" s="420"/>
      <c r="AZ57" s="422"/>
      <c r="BA57" s="422"/>
      <c r="BB57" s="405"/>
      <c r="BC57" s="406"/>
      <c r="BD57" s="391"/>
      <c r="BE57" s="444"/>
      <c r="BG57" s="391"/>
      <c r="BJ57" s="444"/>
      <c r="BN57" s="444"/>
      <c r="BO57" s="444"/>
      <c r="BP57" s="444"/>
      <c r="BQ57" s="444"/>
      <c r="BR57" s="444"/>
      <c r="BS57" s="444"/>
      <c r="BT57" s="444"/>
    </row>
    <row r="58" spans="1:86" s="443" customFormat="1" ht="12.5" customHeight="1">
      <c r="A58" s="393"/>
      <c r="B58" s="426"/>
      <c r="C58" s="420"/>
      <c r="D58" s="420"/>
      <c r="E58" s="420"/>
      <c r="F58" s="420"/>
      <c r="G58" s="420"/>
      <c r="H58" s="420"/>
      <c r="I58" s="420"/>
      <c r="J58" s="420"/>
      <c r="K58" s="420"/>
      <c r="L58" s="420"/>
      <c r="M58" s="420"/>
      <c r="N58" s="420"/>
      <c r="O58" s="420"/>
      <c r="P58" s="420"/>
      <c r="Q58" s="420"/>
      <c r="R58" s="420"/>
      <c r="S58" s="420"/>
      <c r="T58" s="420"/>
      <c r="U58" s="420"/>
      <c r="V58" s="420"/>
      <c r="W58" s="420"/>
      <c r="X58" s="420"/>
      <c r="Y58" s="420"/>
      <c r="Z58" s="420"/>
      <c r="AA58" s="420"/>
      <c r="AB58" s="420"/>
      <c r="AC58" s="420"/>
      <c r="AD58" s="420"/>
      <c r="AE58" s="420"/>
      <c r="AF58" s="420"/>
      <c r="AG58" s="420"/>
      <c r="AH58" s="420"/>
      <c r="AI58" s="420"/>
      <c r="AJ58" s="420"/>
      <c r="AK58" s="420"/>
      <c r="AL58" s="420"/>
      <c r="AM58" s="420"/>
      <c r="AN58" s="420"/>
      <c r="AO58" s="420"/>
      <c r="AP58" s="420"/>
      <c r="AQ58" s="420"/>
      <c r="AR58" s="420"/>
      <c r="AS58" s="420"/>
      <c r="AT58" s="420"/>
      <c r="AU58" s="420"/>
      <c r="AV58" s="420"/>
      <c r="AW58" s="420"/>
      <c r="AX58" s="420"/>
      <c r="AY58" s="420"/>
      <c r="AZ58" s="422"/>
      <c r="BA58" s="422"/>
      <c r="BB58" s="519"/>
      <c r="BC58" s="520"/>
      <c r="BD58" s="391"/>
      <c r="BE58" s="444"/>
      <c r="BF58" s="421" t="s">
        <v>389</v>
      </c>
      <c r="BG58" s="391"/>
      <c r="BH58" s="391"/>
      <c r="BJ58" s="444"/>
      <c r="BN58" s="444"/>
      <c r="BO58" s="444"/>
      <c r="BP58" s="444"/>
      <c r="BQ58" s="444"/>
      <c r="BR58" s="444"/>
      <c r="BS58" s="444"/>
      <c r="BT58" s="444"/>
    </row>
    <row r="59" spans="1:86" s="443" customFormat="1" ht="13.5">
      <c r="A59" s="393"/>
      <c r="B59" s="426"/>
      <c r="C59" s="420"/>
      <c r="D59" s="420"/>
      <c r="E59" s="420"/>
      <c r="F59" s="420"/>
      <c r="G59" s="420"/>
      <c r="H59" s="420"/>
      <c r="I59" s="420"/>
      <c r="J59" s="420"/>
      <c r="K59" s="420"/>
      <c r="L59" s="420"/>
      <c r="M59" s="420"/>
      <c r="N59" s="420"/>
      <c r="O59" s="420"/>
      <c r="P59" s="420"/>
      <c r="Q59" s="420"/>
      <c r="R59" s="420"/>
      <c r="S59" s="420"/>
      <c r="T59" s="420"/>
      <c r="U59" s="420"/>
      <c r="V59" s="420"/>
      <c r="W59" s="420"/>
      <c r="X59" s="420"/>
      <c r="Y59" s="420"/>
      <c r="Z59" s="420"/>
      <c r="AA59" s="420"/>
      <c r="AB59" s="420"/>
      <c r="AC59" s="420"/>
      <c r="AD59" s="420"/>
      <c r="AE59" s="420"/>
      <c r="AF59" s="420"/>
      <c r="AG59" s="420"/>
      <c r="AH59" s="420"/>
      <c r="AI59" s="420"/>
      <c r="AJ59" s="420"/>
      <c r="AK59" s="420"/>
      <c r="AL59" s="420"/>
      <c r="AM59" s="420"/>
      <c r="AN59" s="420"/>
      <c r="AO59" s="420"/>
      <c r="AP59" s="420"/>
      <c r="AQ59" s="420"/>
      <c r="AR59" s="420"/>
      <c r="AS59" s="420"/>
      <c r="AT59" s="420"/>
      <c r="AU59" s="420"/>
      <c r="AV59" s="420"/>
      <c r="AW59" s="420"/>
      <c r="AX59" s="420"/>
      <c r="AY59" s="420"/>
      <c r="AZ59" s="422"/>
      <c r="BA59" s="422"/>
      <c r="BB59" s="519"/>
      <c r="BC59" s="520"/>
      <c r="BD59" s="407"/>
      <c r="BE59" s="444"/>
      <c r="BG59" s="391" t="s">
        <v>381</v>
      </c>
      <c r="BJ59" s="444"/>
      <c r="BN59" s="444"/>
      <c r="BO59" s="444"/>
      <c r="BP59" s="444"/>
      <c r="BQ59" s="444"/>
      <c r="BR59" s="444"/>
      <c r="BS59" s="444"/>
      <c r="BT59" s="444"/>
    </row>
    <row r="60" spans="1:86" s="443" customFormat="1" ht="15">
      <c r="A60" s="392"/>
      <c r="B60" s="426"/>
      <c r="C60" s="420"/>
      <c r="D60" s="420"/>
      <c r="E60" s="420"/>
      <c r="F60" s="420"/>
      <c r="G60" s="420"/>
      <c r="H60" s="420"/>
      <c r="I60" s="420"/>
      <c r="J60" s="420"/>
      <c r="K60" s="420"/>
      <c r="L60" s="420"/>
      <c r="M60" s="420"/>
      <c r="N60" s="420"/>
      <c r="O60" s="420"/>
      <c r="P60" s="420"/>
      <c r="Q60" s="420"/>
      <c r="R60" s="420"/>
      <c r="S60" s="420"/>
      <c r="T60" s="420"/>
      <c r="U60" s="420"/>
      <c r="V60" s="420"/>
      <c r="W60" s="420"/>
      <c r="X60" s="420"/>
      <c r="Y60" s="420"/>
      <c r="Z60" s="420"/>
      <c r="AA60" s="420"/>
      <c r="AB60" s="420"/>
      <c r="AC60" s="420"/>
      <c r="AD60" s="420"/>
      <c r="AE60" s="420"/>
      <c r="AF60" s="420"/>
      <c r="AG60" s="420"/>
      <c r="AH60" s="420"/>
      <c r="AI60" s="420"/>
      <c r="AJ60" s="420"/>
      <c r="AK60" s="420"/>
      <c r="AL60" s="420"/>
      <c r="AM60" s="420"/>
      <c r="AN60" s="420"/>
      <c r="AO60" s="420"/>
      <c r="AP60" s="420"/>
      <c r="AQ60" s="420"/>
      <c r="AR60" s="420"/>
      <c r="AS60" s="420"/>
      <c r="AT60" s="420"/>
      <c r="AU60" s="420"/>
      <c r="AV60" s="420"/>
      <c r="AW60" s="420"/>
      <c r="AX60" s="420"/>
      <c r="AY60" s="420"/>
      <c r="AZ60" s="422"/>
      <c r="BA60" s="422"/>
      <c r="BB60" s="519"/>
      <c r="BC60" s="520"/>
      <c r="BD60" s="407"/>
      <c r="BE60" s="444"/>
      <c r="BG60" s="391"/>
      <c r="BJ60" s="444"/>
      <c r="BN60" s="444"/>
      <c r="BO60" s="444"/>
      <c r="BP60" s="444"/>
      <c r="BQ60" s="444"/>
      <c r="BR60" s="444"/>
      <c r="BS60" s="444"/>
      <c r="BT60" s="444"/>
    </row>
    <row r="61" spans="1:86" s="443" customFormat="1" ht="15">
      <c r="A61" s="392"/>
      <c r="B61" s="426"/>
      <c r="C61" s="420"/>
      <c r="D61" s="420"/>
      <c r="E61" s="420"/>
      <c r="F61" s="420"/>
      <c r="G61" s="420"/>
      <c r="H61" s="420"/>
      <c r="I61" s="420"/>
      <c r="J61" s="420"/>
      <c r="K61" s="420"/>
      <c r="L61" s="420"/>
      <c r="M61" s="420"/>
      <c r="N61" s="420"/>
      <c r="O61" s="420"/>
      <c r="P61" s="420"/>
      <c r="Q61" s="420"/>
      <c r="R61" s="420"/>
      <c r="S61" s="420"/>
      <c r="T61" s="420"/>
      <c r="U61" s="420"/>
      <c r="V61" s="420"/>
      <c r="W61" s="420"/>
      <c r="X61" s="420"/>
      <c r="Y61" s="420"/>
      <c r="Z61" s="420"/>
      <c r="AA61" s="420"/>
      <c r="AB61" s="420"/>
      <c r="AC61" s="420"/>
      <c r="AD61" s="420"/>
      <c r="AE61" s="420"/>
      <c r="AF61" s="420"/>
      <c r="AG61" s="420"/>
      <c r="AH61" s="420"/>
      <c r="AI61" s="420"/>
      <c r="AJ61" s="420"/>
      <c r="AK61" s="420"/>
      <c r="AL61" s="420"/>
      <c r="AM61" s="420"/>
      <c r="AN61" s="420"/>
      <c r="AO61" s="420"/>
      <c r="AP61" s="420"/>
      <c r="AQ61" s="420"/>
      <c r="AR61" s="420"/>
      <c r="AS61" s="420"/>
      <c r="AT61" s="420"/>
      <c r="AU61" s="420"/>
      <c r="AV61" s="420"/>
      <c r="AW61" s="420"/>
      <c r="AX61" s="420"/>
      <c r="AY61" s="420"/>
      <c r="AZ61" s="422"/>
      <c r="BA61" s="422"/>
      <c r="BB61" s="519"/>
      <c r="BC61" s="520"/>
      <c r="BD61" s="407"/>
      <c r="BE61" s="444"/>
      <c r="BF61" s="421" t="s">
        <v>390</v>
      </c>
      <c r="BG61" s="391"/>
      <c r="BH61" s="391"/>
      <c r="BJ61" s="444"/>
      <c r="BN61" s="444"/>
      <c r="BO61" s="444"/>
      <c r="BP61" s="444"/>
      <c r="BQ61" s="444"/>
      <c r="BR61" s="444"/>
      <c r="BS61" s="444"/>
      <c r="BT61" s="444"/>
    </row>
    <row r="62" spans="1:86" s="443" customFormat="1" ht="15">
      <c r="A62" s="392"/>
      <c r="B62" s="426"/>
      <c r="C62" s="420"/>
      <c r="D62" s="420"/>
      <c r="E62" s="420"/>
      <c r="F62" s="420"/>
      <c r="G62" s="420"/>
      <c r="H62" s="420"/>
      <c r="I62" s="420"/>
      <c r="J62" s="420"/>
      <c r="K62" s="420"/>
      <c r="L62" s="420"/>
      <c r="M62" s="420"/>
      <c r="N62" s="420"/>
      <c r="O62" s="420"/>
      <c r="P62" s="420"/>
      <c r="Q62" s="420"/>
      <c r="R62" s="420"/>
      <c r="S62" s="420"/>
      <c r="T62" s="420"/>
      <c r="U62" s="420"/>
      <c r="V62" s="420"/>
      <c r="W62" s="420"/>
      <c r="X62" s="420"/>
      <c r="Y62" s="420"/>
      <c r="Z62" s="420"/>
      <c r="AA62" s="420"/>
      <c r="AB62" s="420"/>
      <c r="AC62" s="420"/>
      <c r="AD62" s="420"/>
      <c r="AE62" s="420"/>
      <c r="AF62" s="420"/>
      <c r="AG62" s="420"/>
      <c r="AH62" s="420"/>
      <c r="AI62" s="420"/>
      <c r="AJ62" s="420"/>
      <c r="AK62" s="420"/>
      <c r="AL62" s="420"/>
      <c r="AM62" s="420"/>
      <c r="AN62" s="420"/>
      <c r="AO62" s="420"/>
      <c r="AP62" s="420"/>
      <c r="AQ62" s="420"/>
      <c r="AR62" s="420"/>
      <c r="AS62" s="420"/>
      <c r="AT62" s="420"/>
      <c r="AU62" s="420"/>
      <c r="AV62" s="420"/>
      <c r="AW62" s="420"/>
      <c r="AX62" s="420"/>
      <c r="AY62" s="420"/>
      <c r="AZ62" s="422"/>
      <c r="BA62" s="422"/>
      <c r="BB62" s="519"/>
      <c r="BC62" s="520"/>
      <c r="BD62" s="407"/>
      <c r="BE62" s="444"/>
      <c r="BG62" s="391" t="s">
        <v>380</v>
      </c>
      <c r="BJ62" s="444"/>
      <c r="BN62" s="444"/>
      <c r="BO62" s="444"/>
      <c r="BP62" s="444"/>
      <c r="BQ62" s="444"/>
      <c r="BR62" s="444"/>
      <c r="BS62" s="444"/>
      <c r="BT62" s="444"/>
    </row>
    <row r="63" spans="1:86" s="443" customFormat="1" ht="15">
      <c r="A63" s="392"/>
      <c r="B63" s="426"/>
      <c r="C63" s="420"/>
      <c r="D63" s="420"/>
      <c r="E63" s="420"/>
      <c r="F63" s="420"/>
      <c r="G63" s="420"/>
      <c r="H63" s="420"/>
      <c r="I63" s="420"/>
      <c r="J63" s="420"/>
      <c r="K63" s="420"/>
      <c r="L63" s="420"/>
      <c r="M63" s="420"/>
      <c r="N63" s="420"/>
      <c r="O63" s="420"/>
      <c r="P63" s="420"/>
      <c r="Q63" s="420"/>
      <c r="R63" s="420"/>
      <c r="S63" s="420"/>
      <c r="T63" s="420"/>
      <c r="U63" s="420"/>
      <c r="V63" s="420"/>
      <c r="W63" s="420"/>
      <c r="X63" s="420"/>
      <c r="Y63" s="420"/>
      <c r="Z63" s="420"/>
      <c r="AA63" s="420"/>
      <c r="AB63" s="420"/>
      <c r="AC63" s="420"/>
      <c r="AD63" s="420"/>
      <c r="AE63" s="420"/>
      <c r="AF63" s="420"/>
      <c r="AG63" s="420"/>
      <c r="AH63" s="420"/>
      <c r="AI63" s="420"/>
      <c r="AJ63" s="420"/>
      <c r="AK63" s="420"/>
      <c r="AL63" s="420"/>
      <c r="AM63" s="420"/>
      <c r="AN63" s="420"/>
      <c r="AO63" s="420"/>
      <c r="AP63" s="420"/>
      <c r="AQ63" s="420"/>
      <c r="AR63" s="420"/>
      <c r="AS63" s="420"/>
      <c r="AT63" s="420"/>
      <c r="AU63" s="420"/>
      <c r="AV63" s="420"/>
      <c r="AW63" s="420"/>
      <c r="AX63" s="420"/>
      <c r="AY63" s="420"/>
      <c r="AZ63" s="422"/>
      <c r="BA63" s="422"/>
      <c r="BB63" s="519"/>
      <c r="BC63" s="520"/>
      <c r="BD63" s="407"/>
      <c r="BE63" s="444"/>
      <c r="BJ63" s="444"/>
      <c r="BN63" s="444"/>
      <c r="BO63" s="444"/>
      <c r="BP63" s="444"/>
      <c r="BQ63" s="444"/>
      <c r="BR63" s="444"/>
      <c r="BS63" s="444"/>
      <c r="BT63" s="444"/>
    </row>
    <row r="64" spans="1:86" s="443" customFormat="1" ht="15">
      <c r="A64" s="392"/>
      <c r="B64" s="426"/>
      <c r="C64" s="420"/>
      <c r="D64" s="420"/>
      <c r="E64" s="420"/>
      <c r="F64" s="420"/>
      <c r="G64" s="420"/>
      <c r="H64" s="420"/>
      <c r="I64" s="420"/>
      <c r="J64" s="420"/>
      <c r="K64" s="420"/>
      <c r="L64" s="420"/>
      <c r="M64" s="420"/>
      <c r="N64" s="420"/>
      <c r="O64" s="420"/>
      <c r="P64" s="420"/>
      <c r="Q64" s="420"/>
      <c r="R64" s="420"/>
      <c r="S64" s="420"/>
      <c r="T64" s="420"/>
      <c r="U64" s="420"/>
      <c r="V64" s="420"/>
      <c r="W64" s="420"/>
      <c r="X64" s="420"/>
      <c r="Y64" s="420"/>
      <c r="Z64" s="420"/>
      <c r="AA64" s="420"/>
      <c r="AB64" s="420"/>
      <c r="AC64" s="420"/>
      <c r="AD64" s="420"/>
      <c r="AE64" s="420"/>
      <c r="AF64" s="420"/>
      <c r="AG64" s="420"/>
      <c r="AH64" s="420"/>
      <c r="AI64" s="420"/>
      <c r="AJ64" s="420"/>
      <c r="AK64" s="420"/>
      <c r="AL64" s="420"/>
      <c r="AM64" s="420"/>
      <c r="AN64" s="420"/>
      <c r="AO64" s="420"/>
      <c r="AP64" s="420"/>
      <c r="AQ64" s="420"/>
      <c r="AR64" s="420"/>
      <c r="AS64" s="420"/>
      <c r="AT64" s="420"/>
      <c r="AU64" s="420"/>
      <c r="AV64" s="420"/>
      <c r="AW64" s="420"/>
      <c r="AX64" s="420"/>
      <c r="AY64" s="420"/>
      <c r="AZ64" s="422"/>
      <c r="BA64" s="422"/>
      <c r="BB64" s="519"/>
      <c r="BC64" s="520"/>
      <c r="BD64" s="407"/>
      <c r="BE64" s="444"/>
      <c r="BF64" s="421" t="s">
        <v>391</v>
      </c>
      <c r="BG64" s="391"/>
      <c r="BH64" s="391"/>
      <c r="BN64" s="444"/>
      <c r="BO64" s="444"/>
      <c r="BP64" s="444"/>
      <c r="BQ64" s="444"/>
      <c r="BR64" s="444"/>
      <c r="BS64" s="444"/>
      <c r="BT64" s="444"/>
    </row>
    <row r="65" spans="1:72" s="443" customFormat="1" ht="15">
      <c r="A65" s="392"/>
      <c r="B65" s="426"/>
      <c r="C65" s="420"/>
      <c r="D65" s="420"/>
      <c r="E65" s="420"/>
      <c r="F65" s="420"/>
      <c r="G65" s="420"/>
      <c r="H65" s="420"/>
      <c r="I65" s="420"/>
      <c r="J65" s="420"/>
      <c r="K65" s="420"/>
      <c r="L65" s="420"/>
      <c r="M65" s="420"/>
      <c r="N65" s="420"/>
      <c r="O65" s="420"/>
      <c r="P65" s="420"/>
      <c r="Q65" s="420"/>
      <c r="R65" s="420"/>
      <c r="S65" s="420"/>
      <c r="T65" s="420"/>
      <c r="U65" s="420"/>
      <c r="V65" s="420"/>
      <c r="W65" s="420"/>
      <c r="X65" s="420"/>
      <c r="Y65" s="420"/>
      <c r="Z65" s="420"/>
      <c r="AA65" s="420"/>
      <c r="AB65" s="420"/>
      <c r="AC65" s="420"/>
      <c r="AD65" s="420"/>
      <c r="AE65" s="420"/>
      <c r="AF65" s="420"/>
      <c r="AG65" s="420"/>
      <c r="AH65" s="420"/>
      <c r="AI65" s="420"/>
      <c r="AJ65" s="420"/>
      <c r="AK65" s="420"/>
      <c r="AL65" s="420"/>
      <c r="AM65" s="420"/>
      <c r="AN65" s="420"/>
      <c r="AO65" s="420"/>
      <c r="AP65" s="420"/>
      <c r="AQ65" s="420"/>
      <c r="AR65" s="420"/>
      <c r="AS65" s="420"/>
      <c r="AT65" s="420"/>
      <c r="AU65" s="420"/>
      <c r="AV65" s="420"/>
      <c r="AW65" s="420"/>
      <c r="AX65" s="420"/>
      <c r="AY65" s="420"/>
      <c r="AZ65" s="422"/>
      <c r="BA65" s="422"/>
      <c r="BB65" s="519"/>
      <c r="BC65" s="520"/>
      <c r="BD65" s="407"/>
      <c r="BE65" s="444"/>
      <c r="BG65" s="391" t="s">
        <v>379</v>
      </c>
      <c r="BN65" s="444"/>
      <c r="BO65" s="444"/>
      <c r="BP65" s="444"/>
      <c r="BQ65" s="444"/>
      <c r="BR65" s="444"/>
      <c r="BS65" s="444"/>
      <c r="BT65" s="444"/>
    </row>
    <row r="66" spans="1:72" s="443" customFormat="1" ht="15">
      <c r="A66" s="392"/>
      <c r="B66" s="426"/>
      <c r="C66" s="420"/>
      <c r="D66" s="420"/>
      <c r="E66" s="420"/>
      <c r="F66" s="420"/>
      <c r="G66" s="420"/>
      <c r="H66" s="420"/>
      <c r="I66" s="420"/>
      <c r="J66" s="420"/>
      <c r="K66" s="420"/>
      <c r="L66" s="420"/>
      <c r="M66" s="420"/>
      <c r="N66" s="420"/>
      <c r="O66" s="420"/>
      <c r="P66" s="420"/>
      <c r="Q66" s="420"/>
      <c r="R66" s="420"/>
      <c r="S66" s="420"/>
      <c r="T66" s="420"/>
      <c r="U66" s="420"/>
      <c r="V66" s="420"/>
      <c r="W66" s="420"/>
      <c r="X66" s="420"/>
      <c r="Y66" s="420"/>
      <c r="Z66" s="420"/>
      <c r="AA66" s="420"/>
      <c r="AB66" s="420"/>
      <c r="AC66" s="420"/>
      <c r="AD66" s="420"/>
      <c r="AE66" s="420"/>
      <c r="AF66" s="420"/>
      <c r="AG66" s="420"/>
      <c r="AH66" s="420"/>
      <c r="AI66" s="420"/>
      <c r="AJ66" s="420"/>
      <c r="AK66" s="420"/>
      <c r="AL66" s="420"/>
      <c r="AM66" s="420"/>
      <c r="AN66" s="420"/>
      <c r="AO66" s="420"/>
      <c r="AP66" s="420"/>
      <c r="AQ66" s="420"/>
      <c r="AR66" s="420"/>
      <c r="AS66" s="420"/>
      <c r="AT66" s="420"/>
      <c r="AU66" s="420"/>
      <c r="AV66" s="420"/>
      <c r="AW66" s="420"/>
      <c r="AX66" s="420"/>
      <c r="AY66" s="420"/>
      <c r="AZ66" s="422"/>
      <c r="BA66" s="422"/>
      <c r="BB66" s="519"/>
      <c r="BC66" s="520"/>
      <c r="BD66" s="407"/>
      <c r="BE66" s="444"/>
      <c r="BJ66" s="444"/>
      <c r="BN66" s="444"/>
      <c r="BO66" s="444"/>
      <c r="BP66" s="444"/>
      <c r="BQ66" s="444"/>
      <c r="BR66" s="444"/>
      <c r="BS66" s="444"/>
      <c r="BT66" s="444"/>
    </row>
    <row r="67" spans="1:72" s="443" customFormat="1" ht="15">
      <c r="A67" s="392"/>
      <c r="B67" s="426"/>
      <c r="C67" s="420"/>
      <c r="D67" s="420"/>
      <c r="E67" s="420"/>
      <c r="F67" s="420"/>
      <c r="G67" s="420"/>
      <c r="H67" s="420"/>
      <c r="I67" s="420"/>
      <c r="J67" s="420"/>
      <c r="K67" s="420"/>
      <c r="L67" s="420"/>
      <c r="M67" s="420"/>
      <c r="N67" s="420"/>
      <c r="O67" s="420"/>
      <c r="P67" s="420"/>
      <c r="Q67" s="420"/>
      <c r="R67" s="420"/>
      <c r="S67" s="420"/>
      <c r="T67" s="420"/>
      <c r="U67" s="420"/>
      <c r="V67" s="420"/>
      <c r="W67" s="420"/>
      <c r="X67" s="420"/>
      <c r="Y67" s="420"/>
      <c r="Z67" s="420"/>
      <c r="AA67" s="420"/>
      <c r="AB67" s="420"/>
      <c r="AC67" s="420"/>
      <c r="AD67" s="420"/>
      <c r="AE67" s="420"/>
      <c r="AF67" s="420"/>
      <c r="AG67" s="420"/>
      <c r="AH67" s="420"/>
      <c r="AI67" s="420"/>
      <c r="AJ67" s="420"/>
      <c r="AK67" s="420"/>
      <c r="AL67" s="420"/>
      <c r="AM67" s="420"/>
      <c r="AN67" s="420"/>
      <c r="AO67" s="420"/>
      <c r="AP67" s="420"/>
      <c r="AQ67" s="420"/>
      <c r="AR67" s="420"/>
      <c r="AS67" s="420"/>
      <c r="AT67" s="420"/>
      <c r="AU67" s="420"/>
      <c r="AV67" s="420"/>
      <c r="AW67" s="420"/>
      <c r="AX67" s="420"/>
      <c r="AY67" s="420"/>
      <c r="AZ67" s="422"/>
      <c r="BA67" s="422"/>
      <c r="BB67" s="519"/>
      <c r="BC67" s="520"/>
      <c r="BD67" s="407"/>
      <c r="BE67" s="444"/>
      <c r="BF67" s="421" t="s">
        <v>392</v>
      </c>
      <c r="BG67" s="391"/>
      <c r="BH67" s="391"/>
      <c r="BJ67" s="444"/>
      <c r="BN67" s="444"/>
      <c r="BO67" s="444"/>
      <c r="BP67" s="444"/>
      <c r="BQ67" s="444"/>
      <c r="BR67" s="444"/>
      <c r="BS67" s="444"/>
      <c r="BT67" s="444"/>
    </row>
    <row r="68" spans="1:72" s="443" customFormat="1" ht="15">
      <c r="A68" s="392"/>
      <c r="B68" s="426"/>
      <c r="C68" s="420"/>
      <c r="D68" s="420"/>
      <c r="E68" s="420"/>
      <c r="F68" s="420"/>
      <c r="G68" s="420"/>
      <c r="H68" s="420"/>
      <c r="I68" s="420"/>
      <c r="J68" s="420"/>
      <c r="K68" s="420"/>
      <c r="L68" s="420"/>
      <c r="M68" s="420"/>
      <c r="N68" s="420"/>
      <c r="O68" s="420"/>
      <c r="P68" s="420"/>
      <c r="Q68" s="420"/>
      <c r="R68" s="420"/>
      <c r="S68" s="420"/>
      <c r="T68" s="420"/>
      <c r="U68" s="420"/>
      <c r="V68" s="420"/>
      <c r="W68" s="420"/>
      <c r="X68" s="420"/>
      <c r="Y68" s="420"/>
      <c r="Z68" s="420"/>
      <c r="AA68" s="420"/>
      <c r="AB68" s="420"/>
      <c r="AC68" s="420"/>
      <c r="AD68" s="420"/>
      <c r="AE68" s="420"/>
      <c r="AF68" s="420"/>
      <c r="AG68" s="420"/>
      <c r="AH68" s="420"/>
      <c r="AI68" s="420"/>
      <c r="AJ68" s="420"/>
      <c r="AK68" s="420"/>
      <c r="AL68" s="420"/>
      <c r="AM68" s="420"/>
      <c r="AN68" s="420"/>
      <c r="AO68" s="420"/>
      <c r="AP68" s="420"/>
      <c r="AQ68" s="420"/>
      <c r="AR68" s="420"/>
      <c r="AS68" s="420"/>
      <c r="AT68" s="420"/>
      <c r="AU68" s="420"/>
      <c r="AV68" s="420"/>
      <c r="AW68" s="420"/>
      <c r="AX68" s="420"/>
      <c r="AY68" s="420"/>
      <c r="AZ68" s="422"/>
      <c r="BA68" s="422"/>
      <c r="BB68" s="519"/>
      <c r="BC68" s="520"/>
      <c r="BD68" s="407"/>
      <c r="BE68" s="444"/>
      <c r="BG68" s="391" t="s">
        <v>379</v>
      </c>
      <c r="BJ68" s="444"/>
      <c r="BN68" s="444"/>
      <c r="BO68" s="444"/>
      <c r="BP68" s="444"/>
      <c r="BQ68" s="444"/>
      <c r="BR68" s="444"/>
      <c r="BS68" s="444"/>
      <c r="BT68" s="444"/>
    </row>
    <row r="69" spans="1:72" s="443" customFormat="1" ht="15">
      <c r="A69" s="392"/>
      <c r="B69" s="426"/>
      <c r="C69" s="420"/>
      <c r="D69" s="420"/>
      <c r="E69" s="420"/>
      <c r="F69" s="420"/>
      <c r="G69" s="420"/>
      <c r="H69" s="420"/>
      <c r="I69" s="420"/>
      <c r="J69" s="420"/>
      <c r="K69" s="420"/>
      <c r="L69" s="420"/>
      <c r="M69" s="420"/>
      <c r="N69" s="420"/>
      <c r="O69" s="420"/>
      <c r="P69" s="420"/>
      <c r="Q69" s="420"/>
      <c r="R69" s="420"/>
      <c r="S69" s="420"/>
      <c r="T69" s="420"/>
      <c r="U69" s="420"/>
      <c r="V69" s="420"/>
      <c r="W69" s="420"/>
      <c r="X69" s="420"/>
      <c r="Y69" s="420"/>
      <c r="Z69" s="420"/>
      <c r="AA69" s="420"/>
      <c r="AB69" s="420"/>
      <c r="AC69" s="420"/>
      <c r="AD69" s="420"/>
      <c r="AE69" s="420"/>
      <c r="AF69" s="420"/>
      <c r="AG69" s="420"/>
      <c r="AH69" s="420"/>
      <c r="AI69" s="420"/>
      <c r="AJ69" s="420"/>
      <c r="AK69" s="420"/>
      <c r="AL69" s="420"/>
      <c r="AM69" s="420"/>
      <c r="AN69" s="420"/>
      <c r="AO69" s="420"/>
      <c r="AP69" s="420"/>
      <c r="AQ69" s="420"/>
      <c r="AR69" s="420"/>
      <c r="AS69" s="420"/>
      <c r="AT69" s="420"/>
      <c r="AU69" s="420"/>
      <c r="AV69" s="420"/>
      <c r="AW69" s="420"/>
      <c r="AX69" s="420"/>
      <c r="AY69" s="420"/>
      <c r="AZ69" s="422"/>
      <c r="BA69" s="422"/>
      <c r="BB69" s="519"/>
      <c r="BC69" s="520"/>
      <c r="BD69" s="407"/>
      <c r="BE69" s="444"/>
      <c r="BG69" s="391"/>
      <c r="BJ69" s="444"/>
      <c r="BN69" s="444"/>
      <c r="BO69" s="444"/>
      <c r="BP69" s="444"/>
      <c r="BQ69" s="444"/>
      <c r="BR69" s="444"/>
      <c r="BS69" s="444"/>
      <c r="BT69" s="444"/>
    </row>
    <row r="70" spans="1:72" s="443" customFormat="1" ht="15">
      <c r="A70" s="392"/>
      <c r="B70" s="426"/>
      <c r="C70" s="420"/>
      <c r="D70" s="420"/>
      <c r="E70" s="420"/>
      <c r="F70" s="420"/>
      <c r="G70" s="420"/>
      <c r="H70" s="420"/>
      <c r="I70" s="420"/>
      <c r="J70" s="420"/>
      <c r="K70" s="420"/>
      <c r="L70" s="420"/>
      <c r="M70" s="420"/>
      <c r="N70" s="420"/>
      <c r="O70" s="420"/>
      <c r="P70" s="420"/>
      <c r="Q70" s="420"/>
      <c r="R70" s="420"/>
      <c r="S70" s="420"/>
      <c r="T70" s="420"/>
      <c r="U70" s="420"/>
      <c r="V70" s="420"/>
      <c r="W70" s="420"/>
      <c r="X70" s="420"/>
      <c r="Y70" s="420"/>
      <c r="Z70" s="420"/>
      <c r="AA70" s="420"/>
      <c r="AB70" s="420"/>
      <c r="AC70" s="420"/>
      <c r="AD70" s="420"/>
      <c r="AE70" s="420"/>
      <c r="AF70" s="420"/>
      <c r="AG70" s="420"/>
      <c r="AH70" s="420"/>
      <c r="AI70" s="420"/>
      <c r="AJ70" s="420"/>
      <c r="AK70" s="420"/>
      <c r="AL70" s="420"/>
      <c r="AM70" s="420"/>
      <c r="AN70" s="420"/>
      <c r="AO70" s="420"/>
      <c r="AP70" s="420"/>
      <c r="AQ70" s="420"/>
      <c r="AR70" s="420"/>
      <c r="AS70" s="420"/>
      <c r="AT70" s="420"/>
      <c r="AU70" s="420"/>
      <c r="AV70" s="420"/>
      <c r="AW70" s="420"/>
      <c r="AX70" s="420"/>
      <c r="AY70" s="420"/>
      <c r="AZ70" s="422"/>
      <c r="BA70" s="422"/>
      <c r="BB70" s="519"/>
      <c r="BC70" s="520"/>
      <c r="BD70" s="407"/>
      <c r="BE70" s="444"/>
      <c r="BF70" s="421" t="s">
        <v>393</v>
      </c>
      <c r="BG70" s="391"/>
      <c r="BH70" s="391"/>
      <c r="BJ70" s="444"/>
      <c r="BN70" s="444"/>
      <c r="BO70" s="444"/>
      <c r="BP70" s="444"/>
      <c r="BQ70" s="444"/>
      <c r="BR70" s="444"/>
      <c r="BS70" s="444"/>
      <c r="BT70" s="444"/>
    </row>
    <row r="71" spans="1:72" s="443" customFormat="1" ht="15">
      <c r="A71" s="392"/>
      <c r="B71" s="426"/>
      <c r="C71" s="420"/>
      <c r="D71" s="420"/>
      <c r="E71" s="420"/>
      <c r="F71" s="420"/>
      <c r="G71" s="420"/>
      <c r="H71" s="420"/>
      <c r="I71" s="420"/>
      <c r="J71" s="420"/>
      <c r="K71" s="420"/>
      <c r="L71" s="420"/>
      <c r="M71" s="420"/>
      <c r="N71" s="420"/>
      <c r="O71" s="420"/>
      <c r="P71" s="420"/>
      <c r="Q71" s="420"/>
      <c r="R71" s="420"/>
      <c r="S71" s="420"/>
      <c r="T71" s="420"/>
      <c r="U71" s="420"/>
      <c r="V71" s="420"/>
      <c r="W71" s="420"/>
      <c r="X71" s="420"/>
      <c r="Y71" s="420"/>
      <c r="Z71" s="420"/>
      <c r="AA71" s="420"/>
      <c r="AB71" s="420"/>
      <c r="AC71" s="420"/>
      <c r="AD71" s="420"/>
      <c r="AE71" s="420"/>
      <c r="AF71" s="420"/>
      <c r="AG71" s="420"/>
      <c r="AH71" s="420"/>
      <c r="AI71" s="420"/>
      <c r="AJ71" s="420"/>
      <c r="AK71" s="420"/>
      <c r="AL71" s="420"/>
      <c r="AM71" s="420"/>
      <c r="AN71" s="420"/>
      <c r="AO71" s="420"/>
      <c r="AP71" s="420"/>
      <c r="AQ71" s="420"/>
      <c r="AR71" s="420"/>
      <c r="AS71" s="420"/>
      <c r="AT71" s="420"/>
      <c r="AU71" s="420"/>
      <c r="AV71" s="420"/>
      <c r="AW71" s="420"/>
      <c r="AX71" s="420"/>
      <c r="AY71" s="420"/>
      <c r="AZ71" s="422"/>
      <c r="BA71" s="422"/>
      <c r="BB71" s="519"/>
      <c r="BC71" s="520"/>
      <c r="BD71" s="407"/>
      <c r="BE71" s="444"/>
      <c r="BG71" s="391" t="s">
        <v>379</v>
      </c>
      <c r="BJ71" s="444"/>
      <c r="BN71" s="444"/>
      <c r="BO71" s="444"/>
      <c r="BP71" s="444"/>
      <c r="BQ71" s="444"/>
      <c r="BR71" s="444"/>
      <c r="BS71" s="444"/>
      <c r="BT71" s="444"/>
    </row>
    <row r="72" spans="1:72" s="443" customFormat="1" ht="15">
      <c r="A72" s="392"/>
      <c r="B72" s="426"/>
      <c r="C72" s="420"/>
      <c r="D72" s="420"/>
      <c r="E72" s="420"/>
      <c r="F72" s="420"/>
      <c r="G72" s="420"/>
      <c r="H72" s="420"/>
      <c r="I72" s="420"/>
      <c r="J72" s="420"/>
      <c r="K72" s="420"/>
      <c r="L72" s="420"/>
      <c r="M72" s="420"/>
      <c r="N72" s="420"/>
      <c r="O72" s="420"/>
      <c r="P72" s="420"/>
      <c r="Q72" s="420"/>
      <c r="R72" s="420"/>
      <c r="S72" s="420"/>
      <c r="T72" s="420"/>
      <c r="U72" s="420"/>
      <c r="V72" s="420"/>
      <c r="W72" s="420"/>
      <c r="X72" s="420"/>
      <c r="Y72" s="420"/>
      <c r="Z72" s="420"/>
      <c r="AA72" s="420"/>
      <c r="AB72" s="420"/>
      <c r="AC72" s="420"/>
      <c r="AD72" s="420"/>
      <c r="AE72" s="420"/>
      <c r="AF72" s="420"/>
      <c r="AG72" s="420"/>
      <c r="AH72" s="420"/>
      <c r="AI72" s="420"/>
      <c r="AJ72" s="420"/>
      <c r="AK72" s="420"/>
      <c r="AL72" s="420"/>
      <c r="AM72" s="420"/>
      <c r="AN72" s="420"/>
      <c r="AO72" s="420"/>
      <c r="AP72" s="420"/>
      <c r="AQ72" s="420"/>
      <c r="AR72" s="420"/>
      <c r="AS72" s="420"/>
      <c r="AT72" s="420"/>
      <c r="AU72" s="420"/>
      <c r="AV72" s="420"/>
      <c r="AW72" s="420"/>
      <c r="AX72" s="420"/>
      <c r="AY72" s="420"/>
      <c r="AZ72" s="422"/>
      <c r="BA72" s="422"/>
      <c r="BB72" s="519"/>
      <c r="BC72" s="520"/>
      <c r="BD72" s="407"/>
      <c r="BE72" s="444"/>
      <c r="BG72" s="391"/>
      <c r="BJ72" s="444"/>
      <c r="BN72" s="444"/>
      <c r="BO72" s="444"/>
      <c r="BP72" s="444"/>
      <c r="BQ72" s="444"/>
      <c r="BR72" s="444"/>
      <c r="BS72" s="444"/>
      <c r="BT72" s="444"/>
    </row>
    <row r="73" spans="1:72" s="443" customFormat="1" ht="15">
      <c r="A73" s="392"/>
      <c r="B73" s="426"/>
      <c r="C73" s="420"/>
      <c r="D73" s="420"/>
      <c r="E73" s="420"/>
      <c r="F73" s="420"/>
      <c r="G73" s="420"/>
      <c r="H73" s="420"/>
      <c r="I73" s="420"/>
      <c r="J73" s="420"/>
      <c r="K73" s="420"/>
      <c r="L73" s="420"/>
      <c r="M73" s="420"/>
      <c r="N73" s="420"/>
      <c r="O73" s="420"/>
      <c r="P73" s="420"/>
      <c r="Q73" s="420"/>
      <c r="R73" s="420"/>
      <c r="S73" s="420"/>
      <c r="T73" s="420"/>
      <c r="U73" s="420"/>
      <c r="V73" s="420"/>
      <c r="W73" s="420"/>
      <c r="X73" s="420"/>
      <c r="Y73" s="420"/>
      <c r="Z73" s="420"/>
      <c r="AA73" s="420"/>
      <c r="AB73" s="420"/>
      <c r="AC73" s="420"/>
      <c r="AD73" s="420"/>
      <c r="AE73" s="420"/>
      <c r="AF73" s="420"/>
      <c r="AG73" s="420"/>
      <c r="AH73" s="420"/>
      <c r="AI73" s="420"/>
      <c r="AJ73" s="420"/>
      <c r="AK73" s="420"/>
      <c r="AL73" s="420"/>
      <c r="AM73" s="420"/>
      <c r="AN73" s="420"/>
      <c r="AO73" s="420"/>
      <c r="AP73" s="420"/>
      <c r="AQ73" s="420"/>
      <c r="AR73" s="420"/>
      <c r="AS73" s="420"/>
      <c r="AT73" s="420"/>
      <c r="AU73" s="420"/>
      <c r="AV73" s="420"/>
      <c r="AW73" s="420"/>
      <c r="AX73" s="420"/>
      <c r="AY73" s="420"/>
      <c r="AZ73" s="422"/>
      <c r="BA73" s="422"/>
      <c r="BB73" s="519"/>
      <c r="BC73" s="520"/>
      <c r="BD73" s="407"/>
      <c r="BE73" s="444"/>
      <c r="BF73" s="421" t="s">
        <v>394</v>
      </c>
      <c r="BG73" s="391"/>
      <c r="BH73" s="28"/>
      <c r="BJ73" s="444"/>
      <c r="BN73" s="444"/>
      <c r="BO73" s="444"/>
      <c r="BP73" s="444"/>
      <c r="BQ73" s="444"/>
      <c r="BR73" s="444"/>
      <c r="BS73" s="444"/>
      <c r="BT73" s="444"/>
    </row>
    <row r="74" spans="1:72" s="443" customFormat="1" ht="15">
      <c r="A74" s="392"/>
      <c r="B74" s="426"/>
      <c r="C74" s="420"/>
      <c r="D74" s="420"/>
      <c r="E74" s="420"/>
      <c r="F74" s="420"/>
      <c r="G74" s="420"/>
      <c r="H74" s="420"/>
      <c r="I74" s="420"/>
      <c r="J74" s="420"/>
      <c r="K74" s="420"/>
      <c r="L74" s="420"/>
      <c r="M74" s="420"/>
      <c r="N74" s="420"/>
      <c r="O74" s="420"/>
      <c r="P74" s="420"/>
      <c r="Q74" s="420"/>
      <c r="R74" s="420"/>
      <c r="S74" s="420"/>
      <c r="T74" s="420"/>
      <c r="U74" s="420"/>
      <c r="V74" s="420"/>
      <c r="W74" s="420"/>
      <c r="X74" s="420"/>
      <c r="Y74" s="420"/>
      <c r="Z74" s="420"/>
      <c r="AA74" s="420"/>
      <c r="AB74" s="420"/>
      <c r="AC74" s="420"/>
      <c r="AD74" s="420"/>
      <c r="AE74" s="420"/>
      <c r="AF74" s="420"/>
      <c r="AG74" s="420"/>
      <c r="AH74" s="420"/>
      <c r="AI74" s="420"/>
      <c r="AJ74" s="420"/>
      <c r="AK74" s="420"/>
      <c r="AL74" s="420"/>
      <c r="AM74" s="420"/>
      <c r="AN74" s="420"/>
      <c r="AO74" s="420"/>
      <c r="AP74" s="420"/>
      <c r="AQ74" s="420"/>
      <c r="AR74" s="420"/>
      <c r="AS74" s="420"/>
      <c r="AT74" s="420"/>
      <c r="AU74" s="420"/>
      <c r="AV74" s="420"/>
      <c r="AW74" s="420"/>
      <c r="AX74" s="420"/>
      <c r="AY74" s="420"/>
      <c r="AZ74" s="422"/>
      <c r="BA74" s="422"/>
      <c r="BB74" s="519"/>
      <c r="BC74" s="520"/>
      <c r="BD74" s="407"/>
      <c r="BE74" s="444"/>
      <c r="BG74" s="391" t="s">
        <v>379</v>
      </c>
      <c r="BJ74" s="444"/>
      <c r="BN74" s="444"/>
      <c r="BO74" s="444"/>
      <c r="BP74" s="444"/>
      <c r="BQ74" s="444"/>
      <c r="BR74" s="444"/>
      <c r="BS74" s="444"/>
      <c r="BT74" s="444"/>
    </row>
    <row r="75" spans="1:72" s="443" customFormat="1" ht="15">
      <c r="A75" s="392"/>
      <c r="B75" s="563"/>
      <c r="C75" s="564"/>
      <c r="D75" s="564"/>
      <c r="E75" s="564"/>
      <c r="F75" s="564"/>
      <c r="G75" s="564"/>
      <c r="H75" s="564"/>
      <c r="I75" s="564"/>
      <c r="J75" s="564"/>
      <c r="K75" s="564"/>
      <c r="L75" s="564"/>
      <c r="M75" s="564"/>
      <c r="N75" s="564"/>
      <c r="O75" s="564"/>
      <c r="P75" s="564"/>
      <c r="Q75" s="564"/>
      <c r="R75" s="564"/>
      <c r="S75" s="564"/>
      <c r="T75" s="564"/>
      <c r="U75" s="564"/>
      <c r="V75" s="564"/>
      <c r="W75" s="564"/>
      <c r="X75" s="564"/>
      <c r="Y75" s="564"/>
      <c r="Z75" s="564"/>
      <c r="AA75" s="564"/>
      <c r="AB75" s="564"/>
      <c r="AC75" s="564"/>
      <c r="AD75" s="564"/>
      <c r="AE75" s="564"/>
      <c r="AF75" s="564"/>
      <c r="AG75" s="564"/>
      <c r="AH75" s="564"/>
      <c r="AI75" s="564"/>
      <c r="AJ75" s="564"/>
      <c r="AK75" s="564"/>
      <c r="AL75" s="564"/>
      <c r="AM75" s="564"/>
      <c r="AN75" s="564"/>
      <c r="AO75" s="564"/>
      <c r="AP75" s="564"/>
      <c r="AQ75" s="564"/>
      <c r="AR75" s="564"/>
      <c r="AS75" s="564"/>
      <c r="AT75" s="564"/>
      <c r="AU75" s="564"/>
      <c r="AV75" s="564"/>
      <c r="AW75" s="564"/>
      <c r="AX75" s="564"/>
      <c r="AY75" s="564"/>
      <c r="AZ75" s="430"/>
      <c r="BA75" s="430"/>
      <c r="BB75" s="565"/>
      <c r="BC75" s="566"/>
      <c r="BD75" s="407"/>
      <c r="BE75" s="444"/>
      <c r="BF75" s="444"/>
      <c r="BG75" s="391"/>
      <c r="BH75" s="444"/>
      <c r="BJ75" s="444"/>
      <c r="BN75" s="444"/>
      <c r="BO75" s="444"/>
      <c r="BP75" s="444"/>
      <c r="BQ75" s="444"/>
      <c r="BR75" s="444"/>
      <c r="BS75" s="444"/>
      <c r="BT75" s="444"/>
    </row>
    <row r="76" spans="1:72" s="443" customFormat="1" ht="15">
      <c r="A76" s="392"/>
      <c r="B76" s="392"/>
      <c r="C76" s="392"/>
      <c r="D76" s="392"/>
      <c r="E76" s="392"/>
      <c r="F76" s="392"/>
      <c r="G76" s="392"/>
      <c r="H76" s="392"/>
      <c r="I76" s="392"/>
      <c r="J76" s="392"/>
      <c r="K76" s="392"/>
      <c r="L76" s="392"/>
      <c r="M76" s="392"/>
      <c r="N76" s="392"/>
      <c r="O76" s="392"/>
      <c r="P76" s="392"/>
      <c r="Q76" s="392"/>
      <c r="R76" s="392"/>
      <c r="S76" s="409"/>
      <c r="T76" s="409"/>
      <c r="U76" s="409"/>
      <c r="V76" s="409"/>
      <c r="W76" s="392"/>
      <c r="X76" s="392"/>
      <c r="Y76" s="409"/>
      <c r="Z76" s="409"/>
      <c r="AA76" s="392"/>
      <c r="AB76" s="392"/>
      <c r="AC76" s="392"/>
      <c r="AD76" s="409"/>
      <c r="AE76" s="409"/>
      <c r="AF76" s="409"/>
      <c r="AG76" s="409"/>
      <c r="AH76" s="409"/>
      <c r="AI76" s="409"/>
      <c r="AJ76" s="409"/>
      <c r="AK76" s="409"/>
      <c r="AL76" s="409"/>
      <c r="AM76" s="409"/>
      <c r="AN76" s="409"/>
      <c r="AO76" s="409"/>
      <c r="AP76" s="409"/>
      <c r="AQ76" s="409"/>
      <c r="AR76" s="409"/>
      <c r="AS76" s="409"/>
      <c r="AT76" s="409"/>
      <c r="AU76" s="409"/>
      <c r="AV76" s="409"/>
      <c r="AW76" s="409"/>
      <c r="AX76" s="409"/>
      <c r="AY76" s="409"/>
      <c r="AZ76" s="409"/>
      <c r="BA76" s="409"/>
      <c r="BB76" s="409"/>
      <c r="BC76" s="409"/>
      <c r="BD76" s="407"/>
      <c r="BE76" s="444"/>
      <c r="BF76" s="421" t="s">
        <v>395</v>
      </c>
      <c r="BG76" s="391"/>
      <c r="BH76" s="28"/>
      <c r="BJ76" s="444"/>
      <c r="BN76" s="444"/>
      <c r="BO76" s="444"/>
      <c r="BP76" s="444"/>
      <c r="BQ76" s="444"/>
      <c r="BR76" s="444"/>
      <c r="BS76" s="444"/>
      <c r="BT76" s="444"/>
    </row>
    <row r="77" spans="1:72" s="443" customFormat="1" ht="15">
      <c r="A77" s="392"/>
      <c r="B77" s="392"/>
      <c r="C77" s="392"/>
      <c r="D77" s="392"/>
      <c r="E77" s="392"/>
      <c r="F77" s="392"/>
      <c r="G77" s="392"/>
      <c r="H77" s="392"/>
      <c r="I77" s="392"/>
      <c r="J77" s="392"/>
      <c r="K77" s="392"/>
      <c r="L77" s="392"/>
      <c r="M77" s="392"/>
      <c r="N77" s="392"/>
      <c r="O77" s="392"/>
      <c r="P77" s="392"/>
      <c r="Q77" s="392"/>
      <c r="R77" s="392"/>
      <c r="S77" s="409"/>
      <c r="T77" s="409"/>
      <c r="U77" s="409"/>
      <c r="V77" s="409"/>
      <c r="W77" s="392"/>
      <c r="X77" s="392"/>
      <c r="Y77" s="409"/>
      <c r="Z77" s="409"/>
      <c r="AA77" s="392"/>
      <c r="AB77" s="392"/>
      <c r="AC77" s="392"/>
      <c r="AD77" s="409"/>
      <c r="AE77" s="409"/>
      <c r="AF77" s="409"/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409"/>
      <c r="AS77" s="409"/>
      <c r="AT77" s="409"/>
      <c r="AU77" s="409"/>
      <c r="AV77" s="409"/>
      <c r="AW77" s="409"/>
      <c r="AX77" s="409"/>
      <c r="AY77" s="409"/>
      <c r="AZ77" s="409"/>
      <c r="BA77" s="409"/>
      <c r="BB77" s="409"/>
      <c r="BC77" s="409"/>
      <c r="BD77" s="407"/>
      <c r="BE77" s="444"/>
      <c r="BG77" s="391" t="s">
        <v>379</v>
      </c>
      <c r="BJ77" s="444"/>
      <c r="BN77" s="444"/>
      <c r="BO77" s="444"/>
      <c r="BP77" s="444"/>
      <c r="BQ77" s="444"/>
      <c r="BR77" s="444"/>
      <c r="BS77" s="444"/>
      <c r="BT77" s="444"/>
    </row>
    <row r="78" spans="1:72" s="443" customFormat="1" ht="15">
      <c r="A78" s="392"/>
      <c r="B78" s="392"/>
      <c r="C78" s="392"/>
      <c r="D78" s="392"/>
      <c r="E78" s="392"/>
      <c r="F78" s="392"/>
      <c r="G78" s="392"/>
      <c r="H78" s="392"/>
      <c r="I78" s="392"/>
      <c r="J78" s="392"/>
      <c r="K78" s="392"/>
      <c r="L78" s="392"/>
      <c r="M78" s="392"/>
      <c r="N78" s="392"/>
      <c r="O78" s="392"/>
      <c r="P78" s="392"/>
      <c r="Q78" s="392"/>
      <c r="R78" s="392"/>
      <c r="S78" s="409"/>
      <c r="T78" s="409"/>
      <c r="U78" s="409"/>
      <c r="V78" s="409"/>
      <c r="W78" s="392"/>
      <c r="X78" s="392"/>
      <c r="Y78" s="409"/>
      <c r="Z78" s="409"/>
      <c r="AA78" s="392"/>
      <c r="AB78" s="392"/>
      <c r="AC78" s="392"/>
      <c r="AD78" s="409"/>
      <c r="AE78" s="409"/>
      <c r="AF78" s="409"/>
      <c r="AG78" s="409"/>
      <c r="AH78" s="409"/>
      <c r="AI78" s="409"/>
      <c r="AJ78" s="409"/>
      <c r="AK78" s="409"/>
      <c r="AL78" s="409"/>
      <c r="AM78" s="409"/>
      <c r="AN78" s="409"/>
      <c r="AO78" s="409"/>
      <c r="AP78" s="409"/>
      <c r="AQ78" s="409"/>
      <c r="AR78" s="409"/>
      <c r="AS78" s="409"/>
      <c r="AT78" s="409"/>
      <c r="AU78" s="409"/>
      <c r="AV78" s="409"/>
      <c r="AW78" s="409"/>
      <c r="AX78" s="409"/>
      <c r="AY78" s="409"/>
      <c r="AZ78" s="409"/>
      <c r="BA78" s="409"/>
      <c r="BB78" s="409"/>
      <c r="BC78" s="409"/>
      <c r="BD78" s="407"/>
      <c r="BE78" s="444"/>
      <c r="BF78" s="444"/>
      <c r="BG78" s="391"/>
      <c r="BH78" s="444"/>
      <c r="BJ78" s="444"/>
      <c r="BN78" s="444"/>
      <c r="BO78" s="444"/>
      <c r="BP78" s="444"/>
      <c r="BQ78" s="444"/>
      <c r="BR78" s="444"/>
      <c r="BS78" s="444"/>
      <c r="BT78" s="444"/>
    </row>
    <row r="79" spans="1:72" s="443" customFormat="1" ht="15">
      <c r="A79" s="392"/>
      <c r="B79" s="392"/>
      <c r="C79" s="392"/>
      <c r="D79" s="392"/>
      <c r="E79" s="392"/>
      <c r="F79" s="392"/>
      <c r="G79" s="392"/>
      <c r="H79" s="392"/>
      <c r="I79" s="392"/>
      <c r="J79" s="392"/>
      <c r="K79" s="392"/>
      <c r="L79" s="392"/>
      <c r="M79" s="392"/>
      <c r="N79" s="392"/>
      <c r="O79" s="392"/>
      <c r="P79" s="392"/>
      <c r="Q79" s="392"/>
      <c r="R79" s="392"/>
      <c r="S79" s="409"/>
      <c r="T79" s="409"/>
      <c r="U79" s="409"/>
      <c r="V79" s="409"/>
      <c r="W79" s="392"/>
      <c r="X79" s="392"/>
      <c r="Y79" s="409"/>
      <c r="Z79" s="409"/>
      <c r="AA79" s="392"/>
      <c r="AB79" s="392"/>
      <c r="AC79" s="392"/>
      <c r="AD79" s="409"/>
      <c r="AE79" s="409"/>
      <c r="AF79" s="409"/>
      <c r="AG79" s="409"/>
      <c r="AH79" s="409"/>
      <c r="AI79" s="409"/>
      <c r="AJ79" s="409"/>
      <c r="AK79" s="409"/>
      <c r="AL79" s="409"/>
      <c r="AM79" s="409"/>
      <c r="AN79" s="409"/>
      <c r="AO79" s="409"/>
      <c r="AP79" s="409"/>
      <c r="AQ79" s="409"/>
      <c r="AR79" s="409"/>
      <c r="AS79" s="409"/>
      <c r="AT79" s="409"/>
      <c r="AU79" s="409"/>
      <c r="AV79" s="409"/>
      <c r="AW79" s="409"/>
      <c r="AX79" s="409"/>
      <c r="AY79" s="409"/>
      <c r="AZ79" s="409"/>
      <c r="BA79" s="409"/>
      <c r="BB79" s="409"/>
      <c r="BC79" s="409"/>
      <c r="BD79" s="407"/>
      <c r="BE79" s="444"/>
      <c r="BF79" s="421" t="s">
        <v>396</v>
      </c>
      <c r="BG79" s="391"/>
      <c r="BH79" s="444"/>
      <c r="BJ79" s="444"/>
      <c r="BN79" s="444"/>
      <c r="BO79" s="444"/>
      <c r="BP79" s="444"/>
      <c r="BQ79" s="444"/>
      <c r="BR79" s="444"/>
      <c r="BS79" s="444"/>
      <c r="BT79" s="444"/>
    </row>
    <row r="80" spans="1:72" s="443" customFormat="1" ht="15">
      <c r="A80" s="392"/>
      <c r="B80" s="392"/>
      <c r="C80" s="392"/>
      <c r="D80" s="392"/>
      <c r="E80" s="392"/>
      <c r="F80" s="392"/>
      <c r="G80" s="392"/>
      <c r="H80" s="392"/>
      <c r="I80" s="392"/>
      <c r="J80" s="392"/>
      <c r="K80" s="392"/>
      <c r="L80" s="392"/>
      <c r="M80" s="392"/>
      <c r="N80" s="392"/>
      <c r="O80" s="392"/>
      <c r="P80" s="392"/>
      <c r="Q80" s="392"/>
      <c r="R80" s="392"/>
      <c r="S80" s="409"/>
      <c r="T80" s="409"/>
      <c r="U80" s="409"/>
      <c r="V80" s="409"/>
      <c r="W80" s="392"/>
      <c r="X80" s="392"/>
      <c r="Y80" s="409"/>
      <c r="Z80" s="409"/>
      <c r="AA80" s="392"/>
      <c r="AB80" s="392"/>
      <c r="AC80" s="392"/>
      <c r="AD80" s="409"/>
      <c r="AE80" s="409"/>
      <c r="AF80" s="409"/>
      <c r="AG80" s="409"/>
      <c r="AH80" s="409"/>
      <c r="AI80" s="409"/>
      <c r="AJ80" s="409"/>
      <c r="AK80" s="409"/>
      <c r="AL80" s="409"/>
      <c r="AM80" s="409"/>
      <c r="AN80" s="409"/>
      <c r="AO80" s="409"/>
      <c r="AP80" s="409"/>
      <c r="AQ80" s="409"/>
      <c r="AR80" s="409"/>
      <c r="AS80" s="409"/>
      <c r="AT80" s="409"/>
      <c r="AU80" s="409"/>
      <c r="AV80" s="409"/>
      <c r="AW80" s="409"/>
      <c r="AX80" s="409"/>
      <c r="AY80" s="409"/>
      <c r="AZ80" s="409"/>
      <c r="BA80" s="409"/>
      <c r="BB80" s="409"/>
      <c r="BC80" s="409"/>
      <c r="BD80" s="407"/>
      <c r="BE80" s="444"/>
      <c r="BG80" s="391" t="s">
        <v>379</v>
      </c>
      <c r="BJ80" s="444"/>
      <c r="BN80" s="444"/>
      <c r="BO80" s="444"/>
      <c r="BP80" s="444"/>
      <c r="BQ80" s="444"/>
      <c r="BR80" s="444"/>
      <c r="BS80" s="444"/>
      <c r="BT80" s="444"/>
    </row>
    <row r="81" spans="1:72" s="443" customFormat="1" ht="15">
      <c r="A81" s="392"/>
      <c r="B81" s="392"/>
      <c r="C81" s="392"/>
      <c r="D81" s="392"/>
      <c r="E81" s="392"/>
      <c r="F81" s="392"/>
      <c r="G81" s="392"/>
      <c r="H81" s="392"/>
      <c r="I81" s="392"/>
      <c r="J81" s="392"/>
      <c r="K81" s="392"/>
      <c r="L81" s="392"/>
      <c r="M81" s="392"/>
      <c r="N81" s="392"/>
      <c r="O81" s="392"/>
      <c r="P81" s="392"/>
      <c r="Q81" s="392"/>
      <c r="R81" s="392"/>
      <c r="S81" s="409"/>
      <c r="T81" s="409"/>
      <c r="U81" s="409"/>
      <c r="V81" s="409"/>
      <c r="W81" s="392"/>
      <c r="X81" s="392"/>
      <c r="Y81" s="409"/>
      <c r="Z81" s="409"/>
      <c r="AA81" s="392"/>
      <c r="AB81" s="392"/>
      <c r="AC81" s="392"/>
      <c r="AD81" s="409"/>
      <c r="AE81" s="409"/>
      <c r="AF81" s="409"/>
      <c r="AG81" s="409"/>
      <c r="AH81" s="409"/>
      <c r="AI81" s="409"/>
      <c r="AJ81" s="409"/>
      <c r="AK81" s="409"/>
      <c r="AL81" s="409"/>
      <c r="AM81" s="409"/>
      <c r="AN81" s="409"/>
      <c r="AO81" s="409"/>
      <c r="AP81" s="409"/>
      <c r="AQ81" s="409"/>
      <c r="AR81" s="409"/>
      <c r="AS81" s="409"/>
      <c r="AT81" s="409"/>
      <c r="AU81" s="409"/>
      <c r="AV81" s="409"/>
      <c r="AW81" s="409"/>
      <c r="AX81" s="409"/>
      <c r="AY81" s="409"/>
      <c r="AZ81" s="409"/>
      <c r="BA81" s="409"/>
      <c r="BB81" s="409"/>
      <c r="BC81" s="409"/>
      <c r="BD81" s="407"/>
      <c r="BN81" s="444"/>
      <c r="BO81" s="444"/>
      <c r="BP81" s="444"/>
      <c r="BQ81" s="444"/>
      <c r="BR81" s="444"/>
      <c r="BS81" s="444"/>
      <c r="BT81" s="444"/>
    </row>
    <row r="82" spans="1:72" s="443" customFormat="1" ht="15">
      <c r="A82" s="392"/>
      <c r="B82" s="392"/>
      <c r="C82" s="392"/>
      <c r="D82" s="392"/>
      <c r="E82" s="392"/>
      <c r="F82" s="392"/>
      <c r="G82" s="392"/>
      <c r="H82" s="392"/>
      <c r="I82" s="392"/>
      <c r="J82" s="392"/>
      <c r="K82" s="392"/>
      <c r="L82" s="392"/>
      <c r="M82" s="392"/>
      <c r="N82" s="392"/>
      <c r="O82" s="392"/>
      <c r="P82" s="392"/>
      <c r="Q82" s="392"/>
      <c r="R82" s="392"/>
      <c r="S82" s="409"/>
      <c r="T82" s="409"/>
      <c r="U82" s="409"/>
      <c r="V82" s="409"/>
      <c r="W82" s="392"/>
      <c r="X82" s="392"/>
      <c r="Y82" s="409"/>
      <c r="Z82" s="409"/>
      <c r="AA82" s="392"/>
      <c r="AB82" s="392"/>
      <c r="AC82" s="392"/>
      <c r="AD82" s="409"/>
      <c r="AE82" s="409"/>
      <c r="AF82" s="409"/>
      <c r="AG82" s="409"/>
      <c r="AH82" s="409"/>
      <c r="AI82" s="409"/>
      <c r="AJ82" s="409"/>
      <c r="AK82" s="409"/>
      <c r="AL82" s="409"/>
      <c r="AM82" s="409"/>
      <c r="AN82" s="409"/>
      <c r="AO82" s="409"/>
      <c r="AP82" s="409"/>
      <c r="AQ82" s="409"/>
      <c r="AR82" s="409"/>
      <c r="AS82" s="409"/>
      <c r="AT82" s="409"/>
      <c r="AU82" s="409"/>
      <c r="AV82" s="409"/>
      <c r="AW82" s="409"/>
      <c r="AX82" s="409"/>
      <c r="AY82" s="409"/>
      <c r="AZ82" s="409"/>
      <c r="BA82" s="409"/>
      <c r="BB82" s="409"/>
      <c r="BC82" s="409"/>
      <c r="BD82" s="407"/>
      <c r="BN82" s="444"/>
      <c r="BO82" s="444"/>
      <c r="BP82" s="444"/>
      <c r="BQ82" s="444"/>
      <c r="BR82" s="444"/>
      <c r="BS82" s="444"/>
      <c r="BT82" s="444"/>
    </row>
    <row r="83" spans="1:72" s="443" customFormat="1" ht="15">
      <c r="A83" s="392"/>
      <c r="B83" s="392"/>
      <c r="C83" s="392"/>
      <c r="D83" s="392"/>
      <c r="E83" s="392"/>
      <c r="F83" s="392"/>
      <c r="G83" s="392"/>
      <c r="H83" s="392"/>
      <c r="I83" s="392"/>
      <c r="J83" s="392"/>
      <c r="K83" s="392"/>
      <c r="L83" s="392"/>
      <c r="M83" s="392"/>
      <c r="N83" s="392"/>
      <c r="O83" s="392"/>
      <c r="P83" s="392"/>
      <c r="Q83" s="392"/>
      <c r="R83" s="392"/>
      <c r="S83" s="409"/>
      <c r="T83" s="409"/>
      <c r="U83" s="409"/>
      <c r="V83" s="409"/>
      <c r="W83" s="392"/>
      <c r="X83" s="392"/>
      <c r="Y83" s="409"/>
      <c r="Z83" s="409"/>
      <c r="AA83" s="392"/>
      <c r="AB83" s="392"/>
      <c r="AC83" s="392"/>
      <c r="AD83" s="409"/>
      <c r="AE83" s="409"/>
      <c r="AF83" s="409"/>
      <c r="AG83" s="409"/>
      <c r="AH83" s="409"/>
      <c r="AI83" s="409"/>
      <c r="AJ83" s="409"/>
      <c r="AK83" s="409"/>
      <c r="AL83" s="409"/>
      <c r="AM83" s="409"/>
      <c r="AN83" s="409"/>
      <c r="AO83" s="409"/>
      <c r="AP83" s="409"/>
      <c r="AQ83" s="409"/>
      <c r="AR83" s="409"/>
      <c r="AS83" s="409"/>
      <c r="AT83" s="409"/>
      <c r="AU83" s="409"/>
      <c r="AV83" s="409"/>
      <c r="AW83" s="409"/>
      <c r="AX83" s="409"/>
      <c r="AY83" s="409"/>
      <c r="AZ83" s="409"/>
      <c r="BA83" s="409"/>
      <c r="BB83" s="409"/>
      <c r="BC83" s="409"/>
      <c r="BD83" s="407"/>
      <c r="BE83" s="444"/>
      <c r="BF83" s="444"/>
      <c r="BG83" s="444"/>
      <c r="BH83" s="444"/>
      <c r="BI83" s="444"/>
      <c r="BJ83" s="444"/>
      <c r="BK83" s="444"/>
      <c r="BL83" s="444"/>
      <c r="BM83" s="444"/>
      <c r="BN83" s="444"/>
      <c r="BO83" s="444"/>
      <c r="BP83" s="444"/>
      <c r="BQ83" s="444"/>
      <c r="BR83" s="444"/>
      <c r="BS83" s="444"/>
      <c r="BT83" s="444"/>
    </row>
    <row r="84" spans="1:72" s="443" customFormat="1" ht="15">
      <c r="A84" s="392"/>
      <c r="B84" s="392"/>
      <c r="C84" s="392"/>
      <c r="D84" s="392"/>
      <c r="E84" s="392"/>
      <c r="F84" s="392"/>
      <c r="G84" s="392"/>
      <c r="H84" s="392"/>
      <c r="I84" s="392"/>
      <c r="J84" s="392"/>
      <c r="K84" s="392"/>
      <c r="L84" s="392"/>
      <c r="M84" s="392"/>
      <c r="N84" s="392"/>
      <c r="O84" s="392"/>
      <c r="P84" s="392"/>
      <c r="Q84" s="392"/>
      <c r="R84" s="392"/>
      <c r="S84" s="409"/>
      <c r="T84" s="409"/>
      <c r="U84" s="409"/>
      <c r="V84" s="409"/>
      <c r="W84" s="392"/>
      <c r="X84" s="392"/>
      <c r="Y84" s="409"/>
      <c r="Z84" s="409"/>
      <c r="AA84" s="392"/>
      <c r="AB84" s="392"/>
      <c r="AC84" s="392"/>
      <c r="AD84" s="409"/>
      <c r="AE84" s="409"/>
      <c r="AF84" s="409"/>
      <c r="AG84" s="409"/>
      <c r="AH84" s="409"/>
      <c r="AI84" s="409"/>
      <c r="AJ84" s="409"/>
      <c r="AK84" s="409"/>
      <c r="AL84" s="409"/>
      <c r="AM84" s="409"/>
      <c r="AN84" s="409"/>
      <c r="AO84" s="409"/>
      <c r="AP84" s="409"/>
      <c r="AQ84" s="409"/>
      <c r="AR84" s="409"/>
      <c r="AS84" s="409"/>
      <c r="AT84" s="409"/>
      <c r="AU84" s="409"/>
      <c r="AV84" s="409"/>
      <c r="AW84" s="409"/>
      <c r="AX84" s="409"/>
      <c r="AY84" s="409"/>
      <c r="AZ84" s="409"/>
      <c r="BA84" s="409"/>
      <c r="BB84" s="409"/>
      <c r="BC84" s="409"/>
      <c r="BD84" s="407"/>
      <c r="BE84" s="444"/>
      <c r="BF84" s="444"/>
      <c r="BG84" s="444"/>
      <c r="BH84" s="444"/>
      <c r="BI84" s="444"/>
      <c r="BJ84" s="444"/>
      <c r="BK84" s="444"/>
      <c r="BL84" s="444"/>
      <c r="BM84" s="444"/>
      <c r="BN84" s="444"/>
      <c r="BO84" s="444"/>
      <c r="BP84" s="444"/>
      <c r="BQ84" s="444"/>
      <c r="BR84" s="444"/>
      <c r="BS84" s="444"/>
      <c r="BT84" s="444"/>
    </row>
    <row r="85" spans="1:72" s="443" customFormat="1" ht="15">
      <c r="A85" s="392"/>
      <c r="B85" s="392"/>
      <c r="C85" s="392"/>
      <c r="D85" s="392"/>
      <c r="E85" s="392"/>
      <c r="F85" s="392"/>
      <c r="G85" s="392"/>
      <c r="H85" s="392"/>
      <c r="I85" s="392"/>
      <c r="J85" s="392"/>
      <c r="K85" s="392"/>
      <c r="L85" s="392"/>
      <c r="M85" s="392"/>
      <c r="N85" s="392"/>
      <c r="O85" s="392"/>
      <c r="P85" s="392"/>
      <c r="Q85" s="392"/>
      <c r="R85" s="392"/>
      <c r="S85" s="409"/>
      <c r="T85" s="409"/>
      <c r="U85" s="409"/>
      <c r="V85" s="409"/>
      <c r="W85" s="392"/>
      <c r="X85" s="392"/>
      <c r="Y85" s="409"/>
      <c r="Z85" s="409"/>
      <c r="AA85" s="392"/>
      <c r="AB85" s="392"/>
      <c r="AC85" s="392"/>
      <c r="AD85" s="409"/>
      <c r="AE85" s="409"/>
      <c r="AF85" s="409"/>
      <c r="AG85" s="409"/>
      <c r="AH85" s="409"/>
      <c r="AI85" s="409"/>
      <c r="AJ85" s="409"/>
      <c r="AK85" s="409"/>
      <c r="AL85" s="409"/>
      <c r="AM85" s="409"/>
      <c r="AN85" s="409"/>
      <c r="AO85" s="409"/>
      <c r="AP85" s="409"/>
      <c r="AQ85" s="409"/>
      <c r="AR85" s="409"/>
      <c r="AS85" s="409"/>
      <c r="AT85" s="409"/>
      <c r="AU85" s="409"/>
      <c r="AV85" s="409"/>
      <c r="AW85" s="409"/>
      <c r="AX85" s="409"/>
      <c r="AY85" s="409"/>
      <c r="AZ85" s="409"/>
      <c r="BA85" s="409"/>
      <c r="BB85" s="409"/>
      <c r="BC85" s="409"/>
      <c r="BD85" s="407"/>
      <c r="BE85" s="444"/>
      <c r="BF85" s="444"/>
      <c r="BG85" s="444"/>
      <c r="BH85" s="444"/>
      <c r="BI85" s="444"/>
      <c r="BJ85" s="444"/>
      <c r="BK85" s="444"/>
      <c r="BL85" s="444"/>
      <c r="BM85" s="444"/>
      <c r="BN85" s="444"/>
      <c r="BO85" s="444"/>
      <c r="BP85" s="444"/>
      <c r="BQ85" s="444"/>
      <c r="BR85" s="444"/>
      <c r="BS85" s="444"/>
      <c r="BT85" s="444"/>
    </row>
    <row r="86" spans="1:72" s="443" customFormat="1" ht="15">
      <c r="A86" s="392"/>
      <c r="B86" s="392"/>
      <c r="C86" s="392"/>
      <c r="D86" s="392"/>
      <c r="E86" s="392"/>
      <c r="F86" s="392"/>
      <c r="G86" s="392"/>
      <c r="H86" s="392"/>
      <c r="I86" s="392"/>
      <c r="J86" s="392"/>
      <c r="K86" s="392"/>
      <c r="L86" s="392"/>
      <c r="M86" s="392"/>
      <c r="N86" s="392"/>
      <c r="O86" s="392"/>
      <c r="P86" s="392"/>
      <c r="Q86" s="392"/>
      <c r="R86" s="392"/>
      <c r="S86" s="409"/>
      <c r="T86" s="409"/>
      <c r="U86" s="409"/>
      <c r="V86" s="409"/>
      <c r="W86" s="392"/>
      <c r="X86" s="392"/>
      <c r="Y86" s="409"/>
      <c r="Z86" s="409"/>
      <c r="AA86" s="392"/>
      <c r="AB86" s="392"/>
      <c r="AC86" s="392"/>
      <c r="AD86" s="409"/>
      <c r="AE86" s="409"/>
      <c r="AF86" s="409"/>
      <c r="AG86" s="409"/>
      <c r="AH86" s="409"/>
      <c r="AI86" s="409"/>
      <c r="AJ86" s="409"/>
      <c r="AK86" s="409"/>
      <c r="AL86" s="409"/>
      <c r="AM86" s="409"/>
      <c r="AN86" s="409"/>
      <c r="AO86" s="409"/>
      <c r="AP86" s="409"/>
      <c r="AQ86" s="409"/>
      <c r="AR86" s="409"/>
      <c r="AS86" s="409"/>
      <c r="AT86" s="409"/>
      <c r="AU86" s="409"/>
      <c r="AV86" s="409"/>
      <c r="AW86" s="409"/>
      <c r="AX86" s="409"/>
      <c r="AY86" s="409"/>
      <c r="AZ86" s="409"/>
      <c r="BA86" s="409"/>
      <c r="BB86" s="409"/>
      <c r="BC86" s="409"/>
      <c r="BD86" s="407"/>
      <c r="BE86" s="444"/>
      <c r="BF86" s="444"/>
      <c r="BG86" s="444"/>
      <c r="BH86" s="444"/>
      <c r="BI86" s="444"/>
      <c r="BJ86" s="444"/>
      <c r="BK86" s="444"/>
      <c r="BL86" s="444"/>
      <c r="BM86" s="444"/>
      <c r="BN86" s="444"/>
      <c r="BO86" s="444"/>
      <c r="BP86" s="444"/>
      <c r="BQ86" s="444"/>
      <c r="BR86" s="444"/>
      <c r="BS86" s="444"/>
      <c r="BT86" s="444"/>
    </row>
    <row r="87" spans="1:72" s="443" customFormat="1" ht="15">
      <c r="A87" s="392"/>
      <c r="B87" s="392"/>
      <c r="C87" s="392"/>
      <c r="D87" s="392"/>
      <c r="E87" s="392"/>
      <c r="F87" s="392"/>
      <c r="G87" s="392"/>
      <c r="H87" s="392"/>
      <c r="I87" s="392"/>
      <c r="J87" s="392"/>
      <c r="K87" s="392"/>
      <c r="L87" s="392"/>
      <c r="M87" s="392"/>
      <c r="N87" s="392"/>
      <c r="O87" s="392"/>
      <c r="P87" s="392"/>
      <c r="Q87" s="392"/>
      <c r="R87" s="392"/>
      <c r="S87" s="409"/>
      <c r="T87" s="409"/>
      <c r="U87" s="409"/>
      <c r="V87" s="409"/>
      <c r="W87" s="392"/>
      <c r="X87" s="392"/>
      <c r="Y87" s="409"/>
      <c r="Z87" s="409"/>
      <c r="AA87" s="392"/>
      <c r="AB87" s="392"/>
      <c r="AC87" s="392"/>
      <c r="AD87" s="409"/>
      <c r="AE87" s="409"/>
      <c r="AF87" s="409"/>
      <c r="AG87" s="409"/>
      <c r="AH87" s="409"/>
      <c r="AI87" s="409"/>
      <c r="AJ87" s="409"/>
      <c r="AK87" s="409"/>
      <c r="AL87" s="409"/>
      <c r="AM87" s="409"/>
      <c r="AN87" s="409"/>
      <c r="AO87" s="409"/>
      <c r="AP87" s="409"/>
      <c r="AQ87" s="409"/>
      <c r="AR87" s="409"/>
      <c r="AS87" s="409"/>
      <c r="AT87" s="409"/>
      <c r="AU87" s="409"/>
      <c r="AV87" s="409"/>
      <c r="AW87" s="409"/>
      <c r="AX87" s="409"/>
      <c r="AY87" s="409"/>
      <c r="AZ87" s="409"/>
      <c r="BA87" s="409"/>
      <c r="BB87" s="409"/>
      <c r="BC87" s="409"/>
      <c r="BD87" s="407"/>
      <c r="BE87" s="444"/>
      <c r="BF87" s="444"/>
      <c r="BG87" s="444"/>
      <c r="BH87" s="444"/>
      <c r="BI87" s="444"/>
      <c r="BJ87" s="444"/>
      <c r="BK87" s="444"/>
      <c r="BL87" s="444"/>
      <c r="BM87" s="444"/>
      <c r="BN87" s="444"/>
      <c r="BO87" s="444"/>
      <c r="BP87" s="444"/>
      <c r="BQ87" s="444"/>
      <c r="BR87" s="444"/>
      <c r="BS87" s="444"/>
      <c r="BT87" s="444"/>
    </row>
    <row r="88" spans="1:72" s="443" customFormat="1" ht="15">
      <c r="A88" s="392"/>
      <c r="B88" s="392"/>
      <c r="C88" s="392"/>
      <c r="D88" s="392"/>
      <c r="E88" s="392"/>
      <c r="F88" s="392"/>
      <c r="G88" s="392"/>
      <c r="H88" s="392"/>
      <c r="I88" s="392"/>
      <c r="J88" s="392"/>
      <c r="K88" s="392"/>
      <c r="L88" s="392"/>
      <c r="M88" s="392"/>
      <c r="N88" s="392"/>
      <c r="O88" s="392"/>
      <c r="P88" s="392"/>
      <c r="Q88" s="392"/>
      <c r="R88" s="392"/>
      <c r="S88" s="409"/>
      <c r="T88" s="409"/>
      <c r="U88" s="409"/>
      <c r="V88" s="409"/>
      <c r="W88" s="392"/>
      <c r="X88" s="392"/>
      <c r="Y88" s="409"/>
      <c r="Z88" s="409"/>
      <c r="AA88" s="392"/>
      <c r="AB88" s="392"/>
      <c r="AC88" s="392"/>
      <c r="AD88" s="409"/>
      <c r="AE88" s="409"/>
      <c r="AF88" s="409"/>
      <c r="AG88" s="409"/>
      <c r="AH88" s="409"/>
      <c r="AI88" s="409"/>
      <c r="AJ88" s="409"/>
      <c r="AK88" s="409"/>
      <c r="AL88" s="409"/>
      <c r="AM88" s="409"/>
      <c r="AN88" s="409"/>
      <c r="AO88" s="409"/>
      <c r="AP88" s="409"/>
      <c r="AQ88" s="409"/>
      <c r="AR88" s="409"/>
      <c r="AS88" s="409"/>
      <c r="AT88" s="409"/>
      <c r="AU88" s="409"/>
      <c r="AV88" s="409"/>
      <c r="AW88" s="409"/>
      <c r="AX88" s="409"/>
      <c r="AY88" s="409"/>
      <c r="AZ88" s="409"/>
      <c r="BA88" s="409"/>
      <c r="BB88" s="409"/>
      <c r="BC88" s="409"/>
      <c r="BD88" s="407"/>
      <c r="BE88" s="444"/>
      <c r="BF88" s="444"/>
      <c r="BG88" s="444"/>
      <c r="BH88" s="444"/>
      <c r="BI88" s="444"/>
      <c r="BJ88" s="444"/>
      <c r="BK88" s="444"/>
      <c r="BL88" s="444"/>
      <c r="BM88" s="444"/>
      <c r="BN88" s="444"/>
      <c r="BO88" s="444"/>
      <c r="BP88" s="444"/>
      <c r="BQ88" s="444"/>
      <c r="BR88" s="444"/>
      <c r="BS88" s="444"/>
      <c r="BT88" s="444"/>
    </row>
    <row r="89" spans="1:72" s="443" customFormat="1" ht="15">
      <c r="A89" s="392"/>
      <c r="B89" s="392"/>
      <c r="C89" s="392"/>
      <c r="D89" s="392"/>
      <c r="E89" s="392"/>
      <c r="F89" s="392"/>
      <c r="G89" s="392"/>
      <c r="H89" s="392"/>
      <c r="I89" s="392"/>
      <c r="J89" s="392"/>
      <c r="K89" s="392"/>
      <c r="L89" s="392"/>
      <c r="M89" s="392"/>
      <c r="N89" s="392"/>
      <c r="O89" s="392"/>
      <c r="P89" s="392"/>
      <c r="Q89" s="392"/>
      <c r="R89" s="392"/>
      <c r="S89" s="409"/>
      <c r="T89" s="409"/>
      <c r="U89" s="409"/>
      <c r="V89" s="409"/>
      <c r="W89" s="392"/>
      <c r="X89" s="392"/>
      <c r="Y89" s="409"/>
      <c r="Z89" s="409"/>
      <c r="AA89" s="392"/>
      <c r="AB89" s="392"/>
      <c r="AC89" s="392"/>
      <c r="AD89" s="409"/>
      <c r="AE89" s="409"/>
      <c r="AF89" s="409"/>
      <c r="AG89" s="409"/>
      <c r="AH89" s="409"/>
      <c r="AI89" s="409"/>
      <c r="AJ89" s="409"/>
      <c r="AK89" s="409"/>
      <c r="AL89" s="409"/>
      <c r="AM89" s="409"/>
      <c r="AN89" s="409"/>
      <c r="AO89" s="409"/>
      <c r="AP89" s="409"/>
      <c r="AQ89" s="409"/>
      <c r="AR89" s="409"/>
      <c r="AS89" s="409"/>
      <c r="AT89" s="409"/>
      <c r="AU89" s="409"/>
      <c r="AV89" s="409"/>
      <c r="AW89" s="409"/>
      <c r="AX89" s="409"/>
      <c r="AY89" s="409"/>
      <c r="AZ89" s="409"/>
      <c r="BA89" s="409"/>
      <c r="BB89" s="409"/>
      <c r="BC89" s="409"/>
      <c r="BD89" s="407"/>
      <c r="BE89" s="444"/>
      <c r="BF89" s="444"/>
      <c r="BG89" s="444"/>
      <c r="BH89" s="444"/>
      <c r="BI89" s="444"/>
      <c r="BJ89" s="444"/>
      <c r="BK89" s="444"/>
      <c r="BL89" s="444"/>
      <c r="BM89" s="444"/>
      <c r="BN89" s="444"/>
      <c r="BO89" s="444"/>
      <c r="BP89" s="444"/>
      <c r="BQ89" s="444"/>
      <c r="BR89" s="444"/>
      <c r="BS89" s="444"/>
      <c r="BT89" s="444"/>
    </row>
    <row r="90" spans="1:72" s="443" customFormat="1" ht="15">
      <c r="A90" s="392"/>
      <c r="B90" s="392"/>
      <c r="C90" s="392"/>
      <c r="D90" s="392"/>
      <c r="E90" s="392"/>
      <c r="F90" s="392"/>
      <c r="G90" s="392"/>
      <c r="H90" s="392"/>
      <c r="I90" s="392"/>
      <c r="J90" s="392"/>
      <c r="K90" s="392"/>
      <c r="L90" s="392"/>
      <c r="M90" s="392"/>
      <c r="N90" s="392"/>
      <c r="O90" s="392"/>
      <c r="P90" s="392"/>
      <c r="Q90" s="392"/>
      <c r="R90" s="392"/>
      <c r="S90" s="409"/>
      <c r="T90" s="409"/>
      <c r="U90" s="409"/>
      <c r="V90" s="409"/>
      <c r="W90" s="392"/>
      <c r="X90" s="392"/>
      <c r="Y90" s="409"/>
      <c r="Z90" s="409"/>
      <c r="AA90" s="392"/>
      <c r="AB90" s="392"/>
      <c r="AC90" s="392"/>
      <c r="AD90" s="409"/>
      <c r="AE90" s="409"/>
      <c r="AF90" s="409"/>
      <c r="AG90" s="409"/>
      <c r="AH90" s="409"/>
      <c r="AI90" s="409"/>
      <c r="AJ90" s="409"/>
      <c r="AK90" s="409"/>
      <c r="AL90" s="409"/>
      <c r="AM90" s="409"/>
      <c r="AN90" s="409"/>
      <c r="AO90" s="409"/>
      <c r="AP90" s="409"/>
      <c r="AQ90" s="409"/>
      <c r="AR90" s="409"/>
      <c r="AS90" s="409"/>
      <c r="AT90" s="409"/>
      <c r="AU90" s="409"/>
      <c r="AV90" s="409"/>
      <c r="AW90" s="409"/>
      <c r="AX90" s="409"/>
      <c r="AY90" s="409"/>
      <c r="AZ90" s="409"/>
      <c r="BA90" s="409"/>
      <c r="BB90" s="409"/>
      <c r="BC90" s="409"/>
      <c r="BD90" s="407"/>
      <c r="BE90" s="444"/>
      <c r="BF90" s="444"/>
      <c r="BG90" s="444"/>
      <c r="BH90" s="444"/>
      <c r="BI90" s="444"/>
      <c r="BJ90" s="444"/>
      <c r="BK90" s="444"/>
      <c r="BL90" s="444"/>
      <c r="BM90" s="444"/>
      <c r="BN90" s="444"/>
      <c r="BO90" s="444"/>
      <c r="BP90" s="444"/>
      <c r="BQ90" s="444"/>
      <c r="BR90" s="444"/>
      <c r="BS90" s="444"/>
      <c r="BT90" s="444"/>
    </row>
    <row r="91" spans="1:72" s="443" customFormat="1" ht="15">
      <c r="A91" s="392"/>
      <c r="B91" s="392"/>
      <c r="C91" s="392"/>
      <c r="D91" s="392"/>
      <c r="E91" s="392"/>
      <c r="F91" s="392"/>
      <c r="G91" s="392"/>
      <c r="H91" s="392"/>
      <c r="I91" s="392"/>
      <c r="J91" s="392"/>
      <c r="K91" s="392"/>
      <c r="L91" s="392"/>
      <c r="M91" s="392"/>
      <c r="N91" s="392"/>
      <c r="O91" s="392"/>
      <c r="P91" s="392"/>
      <c r="Q91" s="392"/>
      <c r="R91" s="392"/>
      <c r="S91" s="409"/>
      <c r="T91" s="409"/>
      <c r="U91" s="409"/>
      <c r="V91" s="409"/>
      <c r="W91" s="392"/>
      <c r="X91" s="392"/>
      <c r="Y91" s="409"/>
      <c r="Z91" s="409"/>
      <c r="AA91" s="392"/>
      <c r="AB91" s="392"/>
      <c r="AC91" s="392"/>
      <c r="AD91" s="409"/>
      <c r="AE91" s="409"/>
      <c r="AF91" s="409"/>
      <c r="AG91" s="409"/>
      <c r="AH91" s="409"/>
      <c r="AI91" s="409"/>
      <c r="AJ91" s="409"/>
      <c r="AK91" s="409"/>
      <c r="AL91" s="409"/>
      <c r="AM91" s="409"/>
      <c r="AN91" s="409"/>
      <c r="AO91" s="409"/>
      <c r="AP91" s="409"/>
      <c r="AQ91" s="409"/>
      <c r="AR91" s="409"/>
      <c r="AS91" s="409"/>
      <c r="AT91" s="409"/>
      <c r="AU91" s="409"/>
      <c r="AV91" s="409"/>
      <c r="AW91" s="409"/>
      <c r="AX91" s="409"/>
      <c r="AY91" s="409"/>
      <c r="AZ91" s="409"/>
      <c r="BA91" s="409"/>
      <c r="BB91" s="409"/>
      <c r="BC91" s="409"/>
      <c r="BD91" s="407"/>
      <c r="BE91" s="444"/>
      <c r="BF91" s="444"/>
      <c r="BG91" s="444"/>
      <c r="BH91" s="444"/>
      <c r="BI91" s="444"/>
      <c r="BJ91" s="444"/>
      <c r="BK91" s="444"/>
      <c r="BL91" s="444"/>
      <c r="BM91" s="444"/>
      <c r="BN91" s="444"/>
      <c r="BO91" s="444"/>
      <c r="BP91" s="444"/>
      <c r="BQ91" s="444"/>
      <c r="BR91" s="444"/>
      <c r="BS91" s="444"/>
      <c r="BT91" s="444"/>
    </row>
    <row r="92" spans="1:72" s="443" customFormat="1" ht="15">
      <c r="A92" s="392"/>
      <c r="B92" s="392"/>
      <c r="C92" s="392"/>
      <c r="D92" s="392"/>
      <c r="E92" s="392"/>
      <c r="F92" s="392"/>
      <c r="G92" s="392"/>
      <c r="H92" s="392"/>
      <c r="I92" s="392"/>
      <c r="J92" s="392"/>
      <c r="K92" s="392"/>
      <c r="L92" s="392"/>
      <c r="M92" s="392"/>
      <c r="N92" s="392"/>
      <c r="O92" s="392"/>
      <c r="P92" s="392"/>
      <c r="Q92" s="392"/>
      <c r="R92" s="392"/>
      <c r="S92" s="409"/>
      <c r="T92" s="409"/>
      <c r="U92" s="409"/>
      <c r="V92" s="409"/>
      <c r="W92" s="392"/>
      <c r="X92" s="392"/>
      <c r="Y92" s="409"/>
      <c r="Z92" s="409"/>
      <c r="AA92" s="392"/>
      <c r="AB92" s="392"/>
      <c r="AC92" s="392"/>
      <c r="AD92" s="409"/>
      <c r="AE92" s="409"/>
      <c r="AF92" s="409"/>
      <c r="AG92" s="409"/>
      <c r="AH92" s="409"/>
      <c r="AI92" s="409"/>
      <c r="AJ92" s="409"/>
      <c r="AK92" s="409"/>
      <c r="AL92" s="409"/>
      <c r="AM92" s="409"/>
      <c r="AN92" s="409"/>
      <c r="AO92" s="409"/>
      <c r="AP92" s="409"/>
      <c r="AQ92" s="409"/>
      <c r="AR92" s="409"/>
      <c r="AS92" s="409"/>
      <c r="AT92" s="409"/>
      <c r="AU92" s="409"/>
      <c r="AV92" s="409"/>
      <c r="AW92" s="409"/>
      <c r="AX92" s="409"/>
      <c r="AY92" s="409"/>
      <c r="AZ92" s="409"/>
      <c r="BA92" s="409"/>
      <c r="BB92" s="409"/>
      <c r="BC92" s="409"/>
      <c r="BD92" s="407"/>
      <c r="BE92" s="444"/>
      <c r="BF92" s="444"/>
      <c r="BG92" s="444"/>
      <c r="BH92" s="444"/>
      <c r="BI92" s="444"/>
      <c r="BJ92" s="444"/>
      <c r="BK92" s="444"/>
      <c r="BL92" s="444"/>
      <c r="BM92" s="444"/>
      <c r="BN92" s="444"/>
      <c r="BO92" s="444"/>
      <c r="BP92" s="444"/>
      <c r="BQ92" s="444"/>
      <c r="BR92" s="444"/>
      <c r="BS92" s="444"/>
      <c r="BT92" s="444"/>
    </row>
    <row r="93" spans="1:72" s="443" customFormat="1" ht="15">
      <c r="A93" s="392"/>
      <c r="B93" s="392"/>
      <c r="C93" s="392"/>
      <c r="D93" s="392"/>
      <c r="E93" s="392"/>
      <c r="F93" s="392"/>
      <c r="G93" s="392"/>
      <c r="H93" s="392"/>
      <c r="I93" s="392"/>
      <c r="J93" s="392"/>
      <c r="K93" s="392"/>
      <c r="L93" s="392"/>
      <c r="M93" s="392"/>
      <c r="N93" s="392"/>
      <c r="O93" s="392"/>
      <c r="P93" s="392"/>
      <c r="Q93" s="392"/>
      <c r="R93" s="392"/>
      <c r="S93" s="409"/>
      <c r="T93" s="409"/>
      <c r="U93" s="409"/>
      <c r="V93" s="409"/>
      <c r="W93" s="392"/>
      <c r="X93" s="392"/>
      <c r="Y93" s="409"/>
      <c r="Z93" s="409"/>
      <c r="AA93" s="392"/>
      <c r="AB93" s="392"/>
      <c r="AC93" s="392"/>
      <c r="AD93" s="409"/>
      <c r="AE93" s="409"/>
      <c r="AF93" s="409"/>
      <c r="AG93" s="409"/>
      <c r="AH93" s="409"/>
      <c r="AI93" s="409"/>
      <c r="AJ93" s="409"/>
      <c r="AK93" s="409"/>
      <c r="AL93" s="409"/>
      <c r="AM93" s="409"/>
      <c r="AN93" s="409"/>
      <c r="AO93" s="409"/>
      <c r="AP93" s="409"/>
      <c r="AQ93" s="409"/>
      <c r="AR93" s="409"/>
      <c r="AS93" s="409"/>
      <c r="AT93" s="409"/>
      <c r="AU93" s="409"/>
      <c r="AV93" s="409"/>
      <c r="AW93" s="409"/>
      <c r="AX93" s="409"/>
      <c r="AY93" s="409"/>
      <c r="AZ93" s="409"/>
      <c r="BA93" s="409"/>
      <c r="BB93" s="409"/>
      <c r="BC93" s="409"/>
      <c r="BD93" s="407"/>
      <c r="BE93" s="444"/>
      <c r="BF93" s="444"/>
      <c r="BG93" s="444"/>
      <c r="BH93" s="444"/>
      <c r="BI93" s="444"/>
      <c r="BJ93" s="444"/>
      <c r="BK93" s="444"/>
      <c r="BL93" s="444"/>
      <c r="BM93" s="444"/>
      <c r="BN93" s="444"/>
      <c r="BO93" s="444"/>
      <c r="BP93" s="444"/>
      <c r="BQ93" s="444"/>
      <c r="BR93" s="444"/>
      <c r="BS93" s="444"/>
      <c r="BT93" s="444"/>
    </row>
    <row r="94" spans="1:72" s="443" customFormat="1" ht="15">
      <c r="A94" s="392"/>
      <c r="B94" s="392"/>
      <c r="C94" s="392"/>
      <c r="D94" s="392"/>
      <c r="E94" s="392"/>
      <c r="F94" s="392"/>
      <c r="G94" s="392"/>
      <c r="H94" s="392"/>
      <c r="I94" s="392"/>
      <c r="J94" s="392"/>
      <c r="K94" s="392"/>
      <c r="L94" s="392"/>
      <c r="M94" s="392"/>
      <c r="N94" s="392"/>
      <c r="O94" s="392"/>
      <c r="P94" s="392"/>
      <c r="Q94" s="392"/>
      <c r="R94" s="392"/>
      <c r="S94" s="409"/>
      <c r="T94" s="409"/>
      <c r="U94" s="409"/>
      <c r="V94" s="409"/>
      <c r="W94" s="392"/>
      <c r="X94" s="392"/>
      <c r="Y94" s="409"/>
      <c r="Z94" s="409"/>
      <c r="AA94" s="392"/>
      <c r="AB94" s="392"/>
      <c r="AC94" s="392"/>
      <c r="AD94" s="409"/>
      <c r="AE94" s="409"/>
      <c r="AF94" s="409"/>
      <c r="AG94" s="409"/>
      <c r="AH94" s="409"/>
      <c r="AI94" s="409"/>
      <c r="AJ94" s="409"/>
      <c r="AK94" s="409"/>
      <c r="AL94" s="409"/>
      <c r="AM94" s="409"/>
      <c r="AN94" s="409"/>
      <c r="AO94" s="409"/>
      <c r="AP94" s="409"/>
      <c r="AQ94" s="409"/>
      <c r="AR94" s="409"/>
      <c r="AS94" s="409"/>
      <c r="AT94" s="409"/>
      <c r="AU94" s="409"/>
      <c r="AV94" s="409"/>
      <c r="AW94" s="409"/>
      <c r="AX94" s="409"/>
      <c r="AY94" s="409"/>
      <c r="AZ94" s="409"/>
      <c r="BA94" s="409"/>
      <c r="BB94" s="409"/>
      <c r="BC94" s="409"/>
      <c r="BD94" s="407"/>
      <c r="BE94" s="444"/>
      <c r="BF94" s="444"/>
      <c r="BG94" s="444"/>
      <c r="BH94" s="444"/>
      <c r="BI94" s="444"/>
      <c r="BJ94" s="444"/>
      <c r="BK94" s="444"/>
      <c r="BL94" s="444"/>
      <c r="BM94" s="444"/>
      <c r="BN94" s="444"/>
      <c r="BO94" s="444"/>
      <c r="BP94" s="444"/>
      <c r="BQ94" s="444"/>
      <c r="BR94" s="444"/>
      <c r="BS94" s="444"/>
      <c r="BT94" s="444"/>
    </row>
    <row r="95" spans="1:72" s="443" customFormat="1" ht="15">
      <c r="A95" s="392"/>
      <c r="B95" s="392"/>
      <c r="C95" s="392"/>
      <c r="D95" s="392"/>
      <c r="E95" s="392"/>
      <c r="F95" s="392"/>
      <c r="G95" s="392"/>
      <c r="H95" s="392"/>
      <c r="I95" s="392"/>
      <c r="J95" s="392"/>
      <c r="K95" s="392"/>
      <c r="L95" s="392"/>
      <c r="M95" s="392"/>
      <c r="N95" s="392"/>
      <c r="O95" s="392"/>
      <c r="P95" s="392"/>
      <c r="Q95" s="392"/>
      <c r="R95" s="392"/>
      <c r="S95" s="409"/>
      <c r="T95" s="409"/>
      <c r="U95" s="409"/>
      <c r="V95" s="409"/>
      <c r="W95" s="392"/>
      <c r="X95" s="392"/>
      <c r="Y95" s="409"/>
      <c r="Z95" s="409"/>
      <c r="AA95" s="392"/>
      <c r="AB95" s="392"/>
      <c r="AC95" s="392"/>
      <c r="AD95" s="409"/>
      <c r="AE95" s="409"/>
      <c r="AF95" s="409"/>
      <c r="AG95" s="409"/>
      <c r="AH95" s="409"/>
      <c r="AI95" s="409"/>
      <c r="AJ95" s="409"/>
      <c r="AK95" s="409"/>
      <c r="AL95" s="409"/>
      <c r="AM95" s="409"/>
      <c r="AN95" s="409"/>
      <c r="AO95" s="409"/>
      <c r="AP95" s="409"/>
      <c r="AQ95" s="409"/>
      <c r="AR95" s="409"/>
      <c r="AS95" s="409"/>
      <c r="AT95" s="409"/>
      <c r="AU95" s="409"/>
      <c r="AV95" s="409"/>
      <c r="AW95" s="409"/>
      <c r="AX95" s="409"/>
      <c r="AY95" s="409"/>
      <c r="AZ95" s="409"/>
      <c r="BA95" s="409"/>
      <c r="BB95" s="409"/>
      <c r="BC95" s="409"/>
      <c r="BD95" s="407"/>
      <c r="BE95" s="444"/>
      <c r="BF95" s="444"/>
      <c r="BG95" s="444"/>
      <c r="BH95" s="444"/>
      <c r="BI95" s="444"/>
      <c r="BJ95" s="444"/>
      <c r="BK95" s="444"/>
      <c r="BL95" s="444"/>
      <c r="BM95" s="444"/>
      <c r="BN95" s="444"/>
      <c r="BO95" s="444"/>
      <c r="BP95" s="444"/>
      <c r="BQ95" s="444"/>
      <c r="BR95" s="444"/>
      <c r="BS95" s="444"/>
      <c r="BT95" s="444"/>
    </row>
    <row r="96" spans="1:72" s="443" customFormat="1" ht="15">
      <c r="A96" s="392"/>
      <c r="B96" s="392"/>
      <c r="C96" s="392"/>
      <c r="D96" s="392"/>
      <c r="E96" s="392"/>
      <c r="F96" s="392"/>
      <c r="G96" s="392"/>
      <c r="H96" s="392"/>
      <c r="I96" s="392"/>
      <c r="J96" s="392"/>
      <c r="K96" s="392"/>
      <c r="L96" s="392"/>
      <c r="M96" s="392"/>
      <c r="N96" s="392"/>
      <c r="O96" s="392"/>
      <c r="P96" s="392"/>
      <c r="Q96" s="392"/>
      <c r="R96" s="392"/>
      <c r="S96" s="409"/>
      <c r="T96" s="409"/>
      <c r="U96" s="409"/>
      <c r="V96" s="409"/>
      <c r="W96" s="392"/>
      <c r="X96" s="392"/>
      <c r="Y96" s="409"/>
      <c r="Z96" s="409"/>
      <c r="AA96" s="392"/>
      <c r="AB96" s="392"/>
      <c r="AC96" s="392"/>
      <c r="AD96" s="409"/>
      <c r="AE96" s="409"/>
      <c r="AF96" s="409"/>
      <c r="AG96" s="409"/>
      <c r="AH96" s="409"/>
      <c r="AI96" s="409"/>
      <c r="AJ96" s="409"/>
      <c r="AK96" s="409"/>
      <c r="AL96" s="409"/>
      <c r="AM96" s="409"/>
      <c r="AN96" s="409"/>
      <c r="AO96" s="409"/>
      <c r="AP96" s="409"/>
      <c r="AQ96" s="409"/>
      <c r="AR96" s="409"/>
      <c r="AS96" s="409"/>
      <c r="AT96" s="409"/>
      <c r="AU96" s="409"/>
      <c r="AV96" s="409"/>
      <c r="AW96" s="409"/>
      <c r="AX96" s="409"/>
      <c r="AY96" s="409"/>
      <c r="AZ96" s="409"/>
      <c r="BA96" s="409"/>
      <c r="BB96" s="409"/>
      <c r="BC96" s="409"/>
      <c r="BD96" s="407"/>
      <c r="BE96" s="444"/>
      <c r="BF96" s="444"/>
      <c r="BG96" s="444"/>
      <c r="BH96" s="444"/>
      <c r="BI96" s="444"/>
      <c r="BJ96" s="444"/>
      <c r="BK96" s="444"/>
      <c r="BL96" s="444"/>
      <c r="BM96" s="444"/>
      <c r="BN96" s="444"/>
      <c r="BO96" s="444"/>
      <c r="BP96" s="444"/>
      <c r="BQ96" s="444"/>
      <c r="BR96" s="444"/>
      <c r="BS96" s="444"/>
      <c r="BT96" s="444"/>
    </row>
    <row r="97" spans="1:72" s="443" customFormat="1" ht="15">
      <c r="A97" s="392"/>
      <c r="B97" s="392"/>
      <c r="C97" s="392"/>
      <c r="D97" s="392"/>
      <c r="E97" s="392"/>
      <c r="F97" s="392"/>
      <c r="G97" s="392"/>
      <c r="H97" s="392"/>
      <c r="I97" s="392"/>
      <c r="J97" s="392"/>
      <c r="K97" s="392"/>
      <c r="L97" s="392"/>
      <c r="M97" s="392"/>
      <c r="N97" s="392"/>
      <c r="O97" s="392"/>
      <c r="P97" s="392"/>
      <c r="Q97" s="392"/>
      <c r="R97" s="392"/>
      <c r="S97" s="409"/>
      <c r="T97" s="409"/>
      <c r="U97" s="409"/>
      <c r="V97" s="409"/>
      <c r="W97" s="392"/>
      <c r="X97" s="392"/>
      <c r="Y97" s="409"/>
      <c r="Z97" s="409"/>
      <c r="AA97" s="392"/>
      <c r="AB97" s="392"/>
      <c r="AC97" s="392"/>
      <c r="AD97" s="409"/>
      <c r="AE97" s="409"/>
      <c r="AF97" s="409"/>
      <c r="AG97" s="409"/>
      <c r="AH97" s="409"/>
      <c r="AI97" s="409"/>
      <c r="AJ97" s="409"/>
      <c r="AK97" s="409"/>
      <c r="AL97" s="409"/>
      <c r="AM97" s="409"/>
      <c r="AN97" s="409"/>
      <c r="AO97" s="409"/>
      <c r="AP97" s="409"/>
      <c r="AQ97" s="409"/>
      <c r="AR97" s="409"/>
      <c r="AS97" s="409"/>
      <c r="AT97" s="409"/>
      <c r="AU97" s="409"/>
      <c r="AV97" s="409"/>
      <c r="AW97" s="409"/>
      <c r="AX97" s="409"/>
      <c r="AY97" s="409"/>
      <c r="AZ97" s="409"/>
      <c r="BA97" s="409"/>
      <c r="BB97" s="409"/>
      <c r="BC97" s="409"/>
      <c r="BD97" s="407"/>
      <c r="BE97" s="444"/>
      <c r="BF97" s="444"/>
      <c r="BG97" s="444"/>
      <c r="BH97" s="444"/>
      <c r="BI97" s="444"/>
      <c r="BJ97" s="444"/>
      <c r="BK97" s="444"/>
      <c r="BL97" s="444"/>
      <c r="BM97" s="444"/>
      <c r="BN97" s="444"/>
      <c r="BO97" s="444"/>
      <c r="BP97" s="444"/>
      <c r="BQ97" s="444"/>
      <c r="BR97" s="444"/>
      <c r="BS97" s="444"/>
      <c r="BT97" s="444"/>
    </row>
    <row r="98" spans="1:72" s="443" customFormat="1" ht="15">
      <c r="A98" s="392"/>
      <c r="B98" s="392"/>
      <c r="C98" s="392"/>
      <c r="D98" s="392"/>
      <c r="E98" s="392"/>
      <c r="F98" s="392"/>
      <c r="G98" s="392"/>
      <c r="H98" s="392"/>
      <c r="I98" s="392"/>
      <c r="J98" s="392"/>
      <c r="K98" s="392"/>
      <c r="L98" s="392"/>
      <c r="M98" s="392"/>
      <c r="N98" s="392"/>
      <c r="O98" s="392"/>
      <c r="P98" s="392"/>
      <c r="Q98" s="392"/>
      <c r="R98" s="392"/>
      <c r="S98" s="409"/>
      <c r="T98" s="409"/>
      <c r="U98" s="409"/>
      <c r="V98" s="409"/>
      <c r="W98" s="392"/>
      <c r="X98" s="392"/>
      <c r="Y98" s="409"/>
      <c r="Z98" s="409"/>
      <c r="AA98" s="392"/>
      <c r="AB98" s="392"/>
      <c r="AC98" s="392"/>
      <c r="AD98" s="409"/>
      <c r="AE98" s="409"/>
      <c r="AF98" s="409"/>
      <c r="AG98" s="409"/>
      <c r="AH98" s="409"/>
      <c r="AI98" s="409"/>
      <c r="AJ98" s="409"/>
      <c r="AK98" s="409"/>
      <c r="AL98" s="409"/>
      <c r="AM98" s="409"/>
      <c r="AN98" s="409"/>
      <c r="AO98" s="409"/>
      <c r="AP98" s="409"/>
      <c r="AQ98" s="409"/>
      <c r="AR98" s="409"/>
      <c r="AS98" s="409"/>
      <c r="AT98" s="409"/>
      <c r="AU98" s="409"/>
      <c r="AV98" s="409"/>
      <c r="AW98" s="409"/>
      <c r="AX98" s="409"/>
      <c r="AY98" s="409"/>
      <c r="AZ98" s="409"/>
      <c r="BA98" s="409"/>
      <c r="BB98" s="409"/>
      <c r="BC98" s="409"/>
      <c r="BD98" s="407"/>
      <c r="BE98" s="444"/>
      <c r="BF98" s="444"/>
      <c r="BG98" s="444"/>
      <c r="BH98" s="444"/>
      <c r="BI98" s="444"/>
      <c r="BJ98" s="444"/>
      <c r="BK98" s="444"/>
      <c r="BL98" s="444"/>
      <c r="BM98" s="444"/>
      <c r="BN98" s="444"/>
      <c r="BO98" s="444"/>
      <c r="BP98" s="444"/>
      <c r="BQ98" s="444"/>
      <c r="BR98" s="444"/>
      <c r="BS98" s="444"/>
      <c r="BT98" s="444"/>
    </row>
    <row r="99" spans="1:72" s="443" customFormat="1" ht="15">
      <c r="A99" s="392"/>
      <c r="B99" s="392"/>
      <c r="C99" s="392"/>
      <c r="D99" s="392"/>
      <c r="E99" s="392"/>
      <c r="F99" s="392"/>
      <c r="G99" s="392"/>
      <c r="H99" s="392"/>
      <c r="I99" s="392"/>
      <c r="J99" s="392"/>
      <c r="K99" s="392"/>
      <c r="L99" s="392"/>
      <c r="M99" s="392"/>
      <c r="N99" s="392"/>
      <c r="O99" s="392"/>
      <c r="P99" s="392"/>
      <c r="Q99" s="392"/>
      <c r="R99" s="392"/>
      <c r="S99" s="409"/>
      <c r="T99" s="409"/>
      <c r="U99" s="409"/>
      <c r="V99" s="409"/>
      <c r="W99" s="392"/>
      <c r="X99" s="392"/>
      <c r="Y99" s="409"/>
      <c r="Z99" s="409"/>
      <c r="AA99" s="392"/>
      <c r="AB99" s="392"/>
      <c r="AC99" s="392"/>
      <c r="AD99" s="409"/>
      <c r="AE99" s="409"/>
      <c r="AF99" s="409"/>
      <c r="AG99" s="409"/>
      <c r="AH99" s="409"/>
      <c r="AI99" s="409"/>
      <c r="AJ99" s="409"/>
      <c r="AK99" s="409"/>
      <c r="AL99" s="409"/>
      <c r="AM99" s="409"/>
      <c r="AN99" s="409"/>
      <c r="AO99" s="409"/>
      <c r="AP99" s="409"/>
      <c r="AQ99" s="409"/>
      <c r="AR99" s="409"/>
      <c r="AS99" s="409"/>
      <c r="AT99" s="409"/>
      <c r="AU99" s="409"/>
      <c r="AV99" s="409"/>
      <c r="AW99" s="409"/>
      <c r="AX99" s="409"/>
      <c r="AY99" s="409"/>
      <c r="AZ99" s="409"/>
      <c r="BA99" s="409"/>
      <c r="BB99" s="409"/>
      <c r="BC99" s="409"/>
      <c r="BD99" s="407"/>
      <c r="BE99" s="444"/>
      <c r="BF99" s="444"/>
      <c r="BG99" s="444"/>
      <c r="BH99" s="444"/>
      <c r="BI99" s="444"/>
      <c r="BJ99" s="444"/>
      <c r="BK99" s="444"/>
      <c r="BL99" s="444"/>
      <c r="BM99" s="444"/>
      <c r="BN99" s="444"/>
      <c r="BO99" s="444"/>
      <c r="BP99" s="444"/>
      <c r="BQ99" s="444"/>
      <c r="BR99" s="444"/>
      <c r="BS99" s="444"/>
      <c r="BT99" s="444"/>
    </row>
    <row r="100" spans="1:72" s="443" customFormat="1" ht="15">
      <c r="A100" s="392"/>
      <c r="B100" s="392"/>
      <c r="C100" s="392"/>
      <c r="D100" s="392"/>
      <c r="E100" s="392"/>
      <c r="F100" s="392"/>
      <c r="G100" s="392"/>
      <c r="H100" s="392"/>
      <c r="I100" s="392"/>
      <c r="J100" s="392"/>
      <c r="K100" s="392"/>
      <c r="L100" s="392"/>
      <c r="M100" s="392"/>
      <c r="N100" s="392"/>
      <c r="O100" s="392"/>
      <c r="P100" s="392"/>
      <c r="Q100" s="392"/>
      <c r="R100" s="392"/>
      <c r="S100" s="409"/>
      <c r="T100" s="409"/>
      <c r="U100" s="409"/>
      <c r="V100" s="409"/>
      <c r="W100" s="392"/>
      <c r="X100" s="392"/>
      <c r="Y100" s="409"/>
      <c r="Z100" s="409"/>
      <c r="AA100" s="392"/>
      <c r="AB100" s="392"/>
      <c r="AC100" s="392"/>
      <c r="AD100" s="409"/>
      <c r="AE100" s="409"/>
      <c r="AF100" s="409"/>
      <c r="AG100" s="409"/>
      <c r="AH100" s="409"/>
      <c r="AI100" s="409"/>
      <c r="AJ100" s="409"/>
      <c r="AK100" s="409"/>
      <c r="AL100" s="409"/>
      <c r="AM100" s="409"/>
      <c r="AN100" s="409"/>
      <c r="AO100" s="409"/>
      <c r="AP100" s="409"/>
      <c r="AQ100" s="409"/>
      <c r="AR100" s="409"/>
      <c r="AS100" s="409"/>
      <c r="AT100" s="409"/>
      <c r="AU100" s="409"/>
      <c r="AV100" s="409"/>
      <c r="AW100" s="409"/>
      <c r="AX100" s="409"/>
      <c r="AY100" s="409"/>
      <c r="AZ100" s="409"/>
      <c r="BA100" s="409"/>
      <c r="BB100" s="409"/>
      <c r="BC100" s="409"/>
      <c r="BD100" s="407"/>
      <c r="BE100" s="444"/>
      <c r="BF100" s="444"/>
      <c r="BG100" s="444"/>
      <c r="BH100" s="444"/>
      <c r="BI100" s="444"/>
      <c r="BJ100" s="444"/>
      <c r="BK100" s="444"/>
      <c r="BL100" s="444"/>
      <c r="BM100" s="444"/>
      <c r="BN100" s="444"/>
      <c r="BO100" s="444"/>
      <c r="BP100" s="444"/>
      <c r="BQ100" s="444"/>
      <c r="BR100" s="444"/>
      <c r="BS100" s="444"/>
      <c r="BT100" s="444"/>
    </row>
    <row r="101" spans="1:72" s="443" customFormat="1" ht="15">
      <c r="A101" s="392"/>
      <c r="B101" s="392"/>
      <c r="C101" s="392"/>
      <c r="D101" s="392"/>
      <c r="E101" s="392"/>
      <c r="F101" s="392"/>
      <c r="G101" s="392"/>
      <c r="H101" s="392"/>
      <c r="I101" s="392"/>
      <c r="J101" s="392"/>
      <c r="K101" s="392"/>
      <c r="L101" s="392"/>
      <c r="M101" s="392"/>
      <c r="N101" s="392"/>
      <c r="O101" s="392"/>
      <c r="P101" s="392"/>
      <c r="Q101" s="392"/>
      <c r="R101" s="392"/>
      <c r="S101" s="409"/>
      <c r="T101" s="409"/>
      <c r="U101" s="409"/>
      <c r="V101" s="409"/>
      <c r="W101" s="392"/>
      <c r="X101" s="392"/>
      <c r="Y101" s="409"/>
      <c r="Z101" s="409"/>
      <c r="AA101" s="392"/>
      <c r="AB101" s="392"/>
      <c r="AC101" s="392"/>
      <c r="AD101" s="409"/>
      <c r="AE101" s="409"/>
      <c r="AF101" s="409"/>
      <c r="AG101" s="409"/>
      <c r="AH101" s="409"/>
      <c r="AI101" s="409"/>
      <c r="AJ101" s="409"/>
      <c r="AK101" s="409"/>
      <c r="AL101" s="409"/>
      <c r="AM101" s="409"/>
      <c r="AN101" s="409"/>
      <c r="AO101" s="409"/>
      <c r="AP101" s="409"/>
      <c r="AQ101" s="409"/>
      <c r="AR101" s="409"/>
      <c r="AS101" s="409"/>
      <c r="AT101" s="409"/>
      <c r="AU101" s="409"/>
      <c r="AV101" s="409"/>
      <c r="AW101" s="409"/>
      <c r="AX101" s="409"/>
      <c r="AY101" s="409"/>
      <c r="AZ101" s="409"/>
      <c r="BA101" s="409"/>
      <c r="BB101" s="409"/>
      <c r="BC101" s="409"/>
      <c r="BD101" s="407"/>
      <c r="BE101" s="444"/>
      <c r="BF101" s="444"/>
      <c r="BG101" s="444"/>
      <c r="BH101" s="444"/>
      <c r="BI101" s="444"/>
      <c r="BJ101" s="444"/>
      <c r="BK101" s="444"/>
      <c r="BL101" s="444"/>
      <c r="BM101" s="444"/>
      <c r="BN101" s="444"/>
      <c r="BO101" s="444"/>
      <c r="BP101" s="444"/>
      <c r="BQ101" s="444"/>
      <c r="BR101" s="444"/>
      <c r="BS101" s="444"/>
      <c r="BT101" s="444"/>
    </row>
    <row r="102" spans="1:72" s="443" customFormat="1" ht="15">
      <c r="A102" s="392"/>
      <c r="B102" s="392"/>
      <c r="C102" s="392"/>
      <c r="D102" s="392"/>
      <c r="E102" s="392"/>
      <c r="F102" s="392"/>
      <c r="G102" s="392"/>
      <c r="H102" s="392"/>
      <c r="I102" s="392"/>
      <c r="J102" s="392"/>
      <c r="K102" s="392"/>
      <c r="L102" s="392"/>
      <c r="M102" s="392"/>
      <c r="N102" s="392"/>
      <c r="O102" s="392"/>
      <c r="P102" s="392"/>
      <c r="Q102" s="392"/>
      <c r="R102" s="392"/>
      <c r="S102" s="409"/>
      <c r="T102" s="409"/>
      <c r="U102" s="409"/>
      <c r="V102" s="409"/>
      <c r="W102" s="392"/>
      <c r="X102" s="392"/>
      <c r="Y102" s="409"/>
      <c r="Z102" s="409"/>
      <c r="AA102" s="392"/>
      <c r="AB102" s="392"/>
      <c r="AC102" s="392"/>
      <c r="AD102" s="409"/>
      <c r="AE102" s="409"/>
      <c r="AF102" s="409"/>
      <c r="AG102" s="409"/>
      <c r="AH102" s="409"/>
      <c r="AI102" s="409"/>
      <c r="AJ102" s="409"/>
      <c r="AK102" s="409"/>
      <c r="AL102" s="409"/>
      <c r="AM102" s="409"/>
      <c r="AN102" s="409"/>
      <c r="AO102" s="409"/>
      <c r="AP102" s="409"/>
      <c r="AQ102" s="409"/>
      <c r="AR102" s="409"/>
      <c r="AS102" s="409"/>
      <c r="AT102" s="409"/>
      <c r="AU102" s="409"/>
      <c r="AV102" s="409"/>
      <c r="AW102" s="409"/>
      <c r="AX102" s="409"/>
      <c r="AY102" s="409"/>
      <c r="AZ102" s="409"/>
      <c r="BA102" s="409"/>
      <c r="BB102" s="409"/>
      <c r="BC102" s="409"/>
      <c r="BD102" s="407"/>
      <c r="BE102" s="444"/>
      <c r="BF102" s="444"/>
      <c r="BG102" s="444"/>
      <c r="BH102" s="444"/>
      <c r="BI102" s="444"/>
      <c r="BJ102" s="444"/>
      <c r="BK102" s="444"/>
      <c r="BL102" s="444"/>
      <c r="BM102" s="444"/>
      <c r="BN102" s="444"/>
      <c r="BO102" s="444"/>
      <c r="BP102" s="444"/>
      <c r="BQ102" s="444"/>
      <c r="BR102" s="444"/>
      <c r="BS102" s="444"/>
      <c r="BT102" s="444"/>
    </row>
    <row r="103" spans="1:72" s="443" customFormat="1" ht="15">
      <c r="A103" s="392"/>
      <c r="B103" s="392"/>
      <c r="C103" s="392"/>
      <c r="D103" s="392"/>
      <c r="E103" s="392"/>
      <c r="F103" s="392"/>
      <c r="G103" s="392"/>
      <c r="H103" s="392"/>
      <c r="I103" s="392"/>
      <c r="J103" s="392"/>
      <c r="K103" s="392"/>
      <c r="L103" s="392"/>
      <c r="M103" s="392"/>
      <c r="N103" s="392"/>
      <c r="O103" s="392"/>
      <c r="P103" s="392"/>
      <c r="Q103" s="392"/>
      <c r="R103" s="392"/>
      <c r="S103" s="409"/>
      <c r="T103" s="409"/>
      <c r="U103" s="409"/>
      <c r="V103" s="409"/>
      <c r="W103" s="392"/>
      <c r="X103" s="392"/>
      <c r="Y103" s="409"/>
      <c r="Z103" s="409"/>
      <c r="AA103" s="392"/>
      <c r="AB103" s="392"/>
      <c r="AC103" s="392"/>
      <c r="AD103" s="409"/>
      <c r="AE103" s="409"/>
      <c r="AF103" s="409"/>
      <c r="AG103" s="409"/>
      <c r="AH103" s="409"/>
      <c r="AI103" s="409"/>
      <c r="AJ103" s="409"/>
      <c r="AK103" s="409"/>
      <c r="AL103" s="409"/>
      <c r="AM103" s="409"/>
      <c r="AN103" s="409"/>
      <c r="AO103" s="409"/>
      <c r="AP103" s="409"/>
      <c r="AQ103" s="409"/>
      <c r="AR103" s="409"/>
      <c r="AS103" s="409"/>
      <c r="AT103" s="409"/>
      <c r="AU103" s="409"/>
      <c r="AV103" s="409"/>
      <c r="AW103" s="409"/>
      <c r="AX103" s="409"/>
      <c r="AY103" s="409"/>
      <c r="AZ103" s="409"/>
      <c r="BA103" s="409"/>
      <c r="BB103" s="409"/>
      <c r="BC103" s="409"/>
      <c r="BD103" s="407"/>
      <c r="BE103" s="444"/>
      <c r="BF103" s="444"/>
      <c r="BG103" s="444"/>
      <c r="BH103" s="444"/>
      <c r="BI103" s="444"/>
      <c r="BJ103" s="444"/>
      <c r="BK103" s="444"/>
      <c r="BL103" s="444"/>
      <c r="BM103" s="444"/>
      <c r="BN103" s="444"/>
      <c r="BO103" s="444"/>
      <c r="BP103" s="444"/>
      <c r="BQ103" s="444"/>
      <c r="BR103" s="444"/>
      <c r="BS103" s="444"/>
      <c r="BT103" s="444"/>
    </row>
    <row r="104" spans="1:72" s="443" customFormat="1" ht="15">
      <c r="A104" s="392"/>
      <c r="B104" s="392"/>
      <c r="C104" s="392"/>
      <c r="D104" s="392"/>
      <c r="E104" s="392"/>
      <c r="F104" s="392"/>
      <c r="G104" s="392"/>
      <c r="H104" s="392"/>
      <c r="I104" s="392"/>
      <c r="J104" s="392"/>
      <c r="K104" s="392"/>
      <c r="L104" s="392"/>
      <c r="M104" s="392"/>
      <c r="N104" s="392"/>
      <c r="O104" s="392"/>
      <c r="P104" s="392"/>
      <c r="Q104" s="392"/>
      <c r="R104" s="392"/>
      <c r="S104" s="409"/>
      <c r="T104" s="409"/>
      <c r="U104" s="409"/>
      <c r="V104" s="409"/>
      <c r="W104" s="392"/>
      <c r="X104" s="392"/>
      <c r="Y104" s="409"/>
      <c r="Z104" s="409"/>
      <c r="AA104" s="392"/>
      <c r="AB104" s="392"/>
      <c r="AC104" s="392"/>
      <c r="AD104" s="409"/>
      <c r="AE104" s="409"/>
      <c r="AF104" s="409"/>
      <c r="AG104" s="409"/>
      <c r="AH104" s="409"/>
      <c r="AI104" s="409"/>
      <c r="AJ104" s="409"/>
      <c r="AK104" s="409"/>
      <c r="AL104" s="409"/>
      <c r="AM104" s="409"/>
      <c r="AN104" s="409"/>
      <c r="AO104" s="409"/>
      <c r="AP104" s="409"/>
      <c r="AQ104" s="409"/>
      <c r="AR104" s="409"/>
      <c r="AS104" s="409"/>
      <c r="AT104" s="409"/>
      <c r="AU104" s="409"/>
      <c r="AV104" s="409"/>
      <c r="AW104" s="409"/>
      <c r="AX104" s="409"/>
      <c r="AY104" s="409"/>
      <c r="AZ104" s="409"/>
      <c r="BA104" s="409"/>
      <c r="BB104" s="409"/>
      <c r="BC104" s="409"/>
      <c r="BD104" s="407"/>
      <c r="BE104" s="444"/>
      <c r="BF104" s="444"/>
      <c r="BG104" s="444"/>
      <c r="BH104" s="444"/>
      <c r="BI104" s="444"/>
      <c r="BJ104" s="444"/>
      <c r="BK104" s="444"/>
      <c r="BL104" s="444"/>
      <c r="BM104" s="444"/>
      <c r="BN104" s="444"/>
      <c r="BO104" s="444"/>
      <c r="BP104" s="444"/>
      <c r="BQ104" s="444"/>
      <c r="BR104" s="444"/>
      <c r="BS104" s="444"/>
      <c r="BT104" s="444"/>
    </row>
    <row r="105" spans="1:72" s="443" customFormat="1" ht="15">
      <c r="A105" s="392"/>
      <c r="B105" s="392"/>
      <c r="C105" s="392"/>
      <c r="D105" s="392"/>
      <c r="E105" s="392"/>
      <c r="F105" s="392"/>
      <c r="G105" s="392"/>
      <c r="H105" s="392"/>
      <c r="I105" s="392"/>
      <c r="J105" s="392"/>
      <c r="K105" s="392"/>
      <c r="L105" s="392"/>
      <c r="M105" s="392"/>
      <c r="N105" s="392"/>
      <c r="O105" s="392"/>
      <c r="P105" s="392"/>
      <c r="Q105" s="392"/>
      <c r="R105" s="392"/>
      <c r="S105" s="409"/>
      <c r="T105" s="409"/>
      <c r="U105" s="409"/>
      <c r="V105" s="409"/>
      <c r="W105" s="392"/>
      <c r="X105" s="392"/>
      <c r="Y105" s="409"/>
      <c r="Z105" s="409"/>
      <c r="AA105" s="392"/>
      <c r="AB105" s="392"/>
      <c r="AC105" s="392"/>
      <c r="AD105" s="409"/>
      <c r="AE105" s="409"/>
      <c r="AF105" s="409"/>
      <c r="AG105" s="409"/>
      <c r="AH105" s="409"/>
      <c r="AI105" s="409"/>
      <c r="AJ105" s="409"/>
      <c r="AK105" s="409"/>
      <c r="AL105" s="409"/>
      <c r="AM105" s="409"/>
      <c r="AN105" s="409"/>
      <c r="AO105" s="409"/>
      <c r="AP105" s="409"/>
      <c r="AQ105" s="409"/>
      <c r="AR105" s="409"/>
      <c r="AS105" s="409"/>
      <c r="AT105" s="409"/>
      <c r="AU105" s="409"/>
      <c r="AV105" s="409"/>
      <c r="AW105" s="409"/>
      <c r="AX105" s="409"/>
      <c r="AY105" s="409"/>
      <c r="AZ105" s="409"/>
      <c r="BA105" s="409"/>
      <c r="BB105" s="409"/>
      <c r="BC105" s="409"/>
      <c r="BD105" s="407"/>
      <c r="BE105" s="444"/>
      <c r="BF105" s="444"/>
      <c r="BG105" s="444"/>
      <c r="BH105" s="444"/>
      <c r="BI105" s="444"/>
      <c r="BJ105" s="444"/>
      <c r="BK105" s="444"/>
      <c r="BL105" s="444"/>
      <c r="BM105" s="444"/>
      <c r="BN105" s="444"/>
      <c r="BO105" s="444"/>
      <c r="BP105" s="444"/>
      <c r="BQ105" s="444"/>
      <c r="BR105" s="444"/>
      <c r="BS105" s="444"/>
      <c r="BT105" s="444"/>
    </row>
    <row r="106" spans="1:72" s="443" customFormat="1" ht="15">
      <c r="A106" s="392"/>
      <c r="B106" s="392"/>
      <c r="C106" s="392"/>
      <c r="D106" s="392"/>
      <c r="E106" s="392"/>
      <c r="F106" s="392"/>
      <c r="G106" s="392"/>
      <c r="H106" s="392"/>
      <c r="I106" s="392"/>
      <c r="J106" s="392"/>
      <c r="K106" s="392"/>
      <c r="L106" s="392"/>
      <c r="M106" s="392"/>
      <c r="N106" s="392"/>
      <c r="O106" s="392"/>
      <c r="P106" s="392"/>
      <c r="Q106" s="392"/>
      <c r="R106" s="392"/>
      <c r="S106" s="409"/>
      <c r="T106" s="409"/>
      <c r="U106" s="409"/>
      <c r="V106" s="409"/>
      <c r="W106" s="392"/>
      <c r="X106" s="392"/>
      <c r="Y106" s="409"/>
      <c r="Z106" s="409"/>
      <c r="AA106" s="392"/>
      <c r="AB106" s="392"/>
      <c r="AC106" s="392"/>
      <c r="AD106" s="409"/>
      <c r="AE106" s="409"/>
      <c r="AF106" s="409"/>
      <c r="AG106" s="409"/>
      <c r="AH106" s="409"/>
      <c r="AI106" s="409"/>
      <c r="AJ106" s="409"/>
      <c r="AK106" s="409"/>
      <c r="AL106" s="409"/>
      <c r="AM106" s="409"/>
      <c r="AN106" s="409"/>
      <c r="AO106" s="409"/>
      <c r="AP106" s="409"/>
      <c r="AQ106" s="409"/>
      <c r="AR106" s="409"/>
      <c r="AS106" s="409"/>
      <c r="AT106" s="409"/>
      <c r="AU106" s="409"/>
      <c r="AV106" s="409"/>
      <c r="AW106" s="409"/>
      <c r="AX106" s="409"/>
      <c r="AY106" s="409"/>
      <c r="AZ106" s="409"/>
      <c r="BA106" s="409"/>
      <c r="BB106" s="409"/>
      <c r="BC106" s="409"/>
      <c r="BD106" s="407"/>
      <c r="BE106" s="444"/>
      <c r="BF106" s="444"/>
      <c r="BG106" s="444"/>
      <c r="BH106" s="444"/>
      <c r="BI106" s="444"/>
      <c r="BJ106" s="444"/>
      <c r="BK106" s="444"/>
      <c r="BL106" s="444"/>
      <c r="BM106" s="444"/>
      <c r="BN106" s="444"/>
      <c r="BO106" s="444"/>
      <c r="BP106" s="444"/>
      <c r="BQ106" s="444"/>
      <c r="BR106" s="444"/>
      <c r="BS106" s="444"/>
      <c r="BT106" s="444"/>
    </row>
    <row r="107" spans="1:72" s="443" customFormat="1" ht="15">
      <c r="A107" s="392"/>
      <c r="B107" s="392"/>
      <c r="C107" s="392"/>
      <c r="D107" s="392"/>
      <c r="E107" s="392"/>
      <c r="F107" s="392"/>
      <c r="G107" s="392"/>
      <c r="H107" s="392"/>
      <c r="I107" s="392"/>
      <c r="J107" s="392"/>
      <c r="K107" s="392"/>
      <c r="L107" s="392"/>
      <c r="M107" s="392"/>
      <c r="N107" s="392"/>
      <c r="O107" s="392"/>
      <c r="P107" s="392"/>
      <c r="Q107" s="392"/>
      <c r="R107" s="392"/>
      <c r="S107" s="409"/>
      <c r="T107" s="409"/>
      <c r="U107" s="409"/>
      <c r="V107" s="409"/>
      <c r="W107" s="392"/>
      <c r="X107" s="392"/>
      <c r="Y107" s="409"/>
      <c r="Z107" s="409"/>
      <c r="AA107" s="392"/>
      <c r="AB107" s="392"/>
      <c r="AC107" s="392"/>
      <c r="AD107" s="409"/>
      <c r="AE107" s="409"/>
      <c r="AF107" s="409"/>
      <c r="AG107" s="409"/>
      <c r="AH107" s="409"/>
      <c r="AI107" s="409"/>
      <c r="AJ107" s="409"/>
      <c r="AK107" s="409"/>
      <c r="AL107" s="409"/>
      <c r="AM107" s="409"/>
      <c r="AN107" s="409"/>
      <c r="AO107" s="409"/>
      <c r="AP107" s="409"/>
      <c r="AQ107" s="409"/>
      <c r="AR107" s="409"/>
      <c r="AS107" s="409"/>
      <c r="AT107" s="409"/>
      <c r="AU107" s="409"/>
      <c r="AV107" s="409"/>
      <c r="AW107" s="409"/>
      <c r="AX107" s="409"/>
      <c r="AY107" s="409"/>
      <c r="AZ107" s="409"/>
      <c r="BA107" s="409"/>
      <c r="BB107" s="409"/>
      <c r="BC107" s="409"/>
      <c r="BD107" s="407"/>
      <c r="BE107" s="444"/>
      <c r="BF107" s="444"/>
      <c r="BG107" s="444"/>
      <c r="BH107" s="444"/>
      <c r="BI107" s="444"/>
      <c r="BJ107" s="444"/>
      <c r="BK107" s="444"/>
      <c r="BL107" s="444"/>
      <c r="BM107" s="444"/>
      <c r="BN107" s="444"/>
      <c r="BO107" s="444"/>
      <c r="BP107" s="444"/>
      <c r="BQ107" s="444"/>
      <c r="BR107" s="444"/>
      <c r="BS107" s="444"/>
      <c r="BT107" s="444"/>
    </row>
    <row r="108" spans="1:72" s="443" customFormat="1" ht="15">
      <c r="A108" s="392"/>
      <c r="B108" s="392"/>
      <c r="C108" s="392"/>
      <c r="D108" s="392"/>
      <c r="E108" s="392"/>
      <c r="F108" s="392"/>
      <c r="G108" s="392"/>
      <c r="H108" s="392"/>
      <c r="I108" s="392"/>
      <c r="J108" s="392"/>
      <c r="K108" s="392"/>
      <c r="L108" s="392"/>
      <c r="M108" s="392"/>
      <c r="N108" s="392"/>
      <c r="O108" s="392"/>
      <c r="P108" s="392"/>
      <c r="Q108" s="392"/>
      <c r="R108" s="392"/>
      <c r="S108" s="409"/>
      <c r="T108" s="409"/>
      <c r="U108" s="409"/>
      <c r="V108" s="409"/>
      <c r="W108" s="392"/>
      <c r="X108" s="392"/>
      <c r="Y108" s="409"/>
      <c r="Z108" s="409"/>
      <c r="AA108" s="392"/>
      <c r="AB108" s="392"/>
      <c r="AC108" s="392"/>
      <c r="AD108" s="409"/>
      <c r="AE108" s="409"/>
      <c r="AF108" s="409"/>
      <c r="AG108" s="409"/>
      <c r="AH108" s="409"/>
      <c r="AI108" s="409"/>
      <c r="AJ108" s="409"/>
      <c r="AK108" s="409"/>
      <c r="AL108" s="409"/>
      <c r="AM108" s="409"/>
      <c r="AN108" s="409"/>
      <c r="AO108" s="409"/>
      <c r="AP108" s="409"/>
      <c r="AQ108" s="409"/>
      <c r="AR108" s="409"/>
      <c r="AS108" s="409"/>
      <c r="AT108" s="409"/>
      <c r="AU108" s="409"/>
      <c r="AV108" s="409"/>
      <c r="AW108" s="409"/>
      <c r="AX108" s="409"/>
      <c r="AY108" s="409"/>
      <c r="AZ108" s="409"/>
      <c r="BA108" s="409"/>
      <c r="BB108" s="409"/>
      <c r="BC108" s="409"/>
      <c r="BD108" s="407"/>
      <c r="BE108" s="444"/>
      <c r="BF108" s="444"/>
      <c r="BG108" s="444"/>
      <c r="BH108" s="444"/>
      <c r="BI108" s="444"/>
      <c r="BJ108" s="444"/>
      <c r="BK108" s="444"/>
      <c r="BL108" s="444"/>
      <c r="BM108" s="444"/>
      <c r="BN108" s="444"/>
      <c r="BO108" s="444"/>
      <c r="BP108" s="444"/>
      <c r="BQ108" s="444"/>
      <c r="BR108" s="444"/>
      <c r="BS108" s="444"/>
      <c r="BT108" s="444"/>
    </row>
    <row r="109" spans="1:72" s="443" customFormat="1" ht="15">
      <c r="A109" s="392"/>
      <c r="B109" s="392"/>
      <c r="C109" s="392"/>
      <c r="D109" s="392"/>
      <c r="E109" s="392"/>
      <c r="F109" s="392"/>
      <c r="G109" s="392"/>
      <c r="H109" s="392"/>
      <c r="I109" s="392"/>
      <c r="J109" s="392"/>
      <c r="K109" s="392"/>
      <c r="L109" s="392"/>
      <c r="M109" s="392"/>
      <c r="N109" s="392"/>
      <c r="O109" s="392"/>
      <c r="P109" s="392"/>
      <c r="Q109" s="392"/>
      <c r="R109" s="392"/>
      <c r="S109" s="409"/>
      <c r="T109" s="409"/>
      <c r="U109" s="409"/>
      <c r="V109" s="409"/>
      <c r="W109" s="392"/>
      <c r="X109" s="392"/>
      <c r="Y109" s="409"/>
      <c r="Z109" s="409"/>
      <c r="AA109" s="392"/>
      <c r="AB109" s="392"/>
      <c r="AC109" s="392"/>
      <c r="AD109" s="409"/>
      <c r="AE109" s="409"/>
      <c r="AF109" s="409"/>
      <c r="AG109" s="409"/>
      <c r="AH109" s="409"/>
      <c r="AI109" s="409"/>
      <c r="AJ109" s="409"/>
      <c r="AK109" s="409"/>
      <c r="AL109" s="409"/>
      <c r="AM109" s="409"/>
      <c r="AN109" s="409"/>
      <c r="AO109" s="409"/>
      <c r="AP109" s="409"/>
      <c r="AQ109" s="409"/>
      <c r="AR109" s="409"/>
      <c r="AS109" s="409"/>
      <c r="AT109" s="409"/>
      <c r="AU109" s="409"/>
      <c r="AV109" s="409"/>
      <c r="AW109" s="409"/>
      <c r="AX109" s="409"/>
      <c r="AY109" s="409"/>
      <c r="AZ109" s="409"/>
      <c r="BA109" s="409"/>
      <c r="BB109" s="409"/>
      <c r="BC109" s="409"/>
      <c r="BD109" s="407"/>
      <c r="BE109" s="444"/>
      <c r="BF109" s="444"/>
      <c r="BG109" s="444"/>
      <c r="BH109" s="444"/>
      <c r="BI109" s="444"/>
      <c r="BJ109" s="444"/>
      <c r="BK109" s="444"/>
      <c r="BL109" s="444"/>
      <c r="BM109" s="444"/>
      <c r="BN109" s="444"/>
      <c r="BO109" s="444"/>
      <c r="BP109" s="444"/>
      <c r="BQ109" s="444"/>
      <c r="BR109" s="444"/>
      <c r="BS109" s="444"/>
      <c r="BT109" s="444"/>
    </row>
    <row r="110" spans="1:72" s="443" customFormat="1" ht="15">
      <c r="A110" s="392"/>
      <c r="B110" s="392"/>
      <c r="C110" s="392"/>
      <c r="D110" s="392"/>
      <c r="E110" s="392"/>
      <c r="F110" s="392"/>
      <c r="G110" s="392"/>
      <c r="H110" s="392"/>
      <c r="I110" s="392"/>
      <c r="J110" s="392"/>
      <c r="K110" s="392"/>
      <c r="L110" s="392"/>
      <c r="M110" s="392"/>
      <c r="N110" s="392"/>
      <c r="O110" s="392"/>
      <c r="P110" s="392"/>
      <c r="Q110" s="392"/>
      <c r="R110" s="392"/>
      <c r="S110" s="409"/>
      <c r="T110" s="409"/>
      <c r="U110" s="409"/>
      <c r="V110" s="409"/>
      <c r="W110" s="392"/>
      <c r="X110" s="392"/>
      <c r="Y110" s="409"/>
      <c r="Z110" s="409"/>
      <c r="AA110" s="392"/>
      <c r="AB110" s="392"/>
      <c r="AC110" s="392"/>
      <c r="AD110" s="409"/>
      <c r="AE110" s="409"/>
      <c r="AF110" s="409"/>
      <c r="AG110" s="409"/>
      <c r="AH110" s="409"/>
      <c r="AI110" s="409"/>
      <c r="AJ110" s="409"/>
      <c r="AK110" s="409"/>
      <c r="AL110" s="409"/>
      <c r="AM110" s="409"/>
      <c r="AN110" s="409"/>
      <c r="AO110" s="409"/>
      <c r="AP110" s="409"/>
      <c r="AQ110" s="409"/>
      <c r="AR110" s="409"/>
      <c r="AS110" s="409"/>
      <c r="AT110" s="409"/>
      <c r="AU110" s="409"/>
      <c r="AV110" s="409"/>
      <c r="AW110" s="409"/>
      <c r="AX110" s="409"/>
      <c r="AY110" s="409"/>
      <c r="AZ110" s="409"/>
      <c r="BA110" s="409"/>
      <c r="BB110" s="409"/>
      <c r="BC110" s="409"/>
      <c r="BD110" s="407"/>
      <c r="BE110" s="444"/>
      <c r="BF110" s="444"/>
      <c r="BG110" s="444"/>
      <c r="BH110" s="444"/>
      <c r="BI110" s="444"/>
      <c r="BJ110" s="444"/>
      <c r="BK110" s="444"/>
      <c r="BL110" s="444"/>
      <c r="BM110" s="444"/>
      <c r="BN110" s="444"/>
      <c r="BO110" s="444"/>
      <c r="BP110" s="444"/>
      <c r="BQ110" s="444"/>
      <c r="BR110" s="444"/>
      <c r="BS110" s="444"/>
      <c r="BT110" s="444"/>
    </row>
    <row r="111" spans="1:72" s="443" customFormat="1" ht="15">
      <c r="A111" s="392"/>
      <c r="B111" s="392"/>
      <c r="C111" s="392"/>
      <c r="D111" s="392"/>
      <c r="E111" s="392"/>
      <c r="F111" s="392"/>
      <c r="G111" s="392"/>
      <c r="H111" s="392"/>
      <c r="I111" s="392"/>
      <c r="J111" s="392"/>
      <c r="K111" s="392"/>
      <c r="L111" s="392"/>
      <c r="M111" s="392"/>
      <c r="N111" s="392"/>
      <c r="O111" s="392"/>
      <c r="P111" s="392"/>
      <c r="Q111" s="392"/>
      <c r="R111" s="392"/>
      <c r="S111" s="409"/>
      <c r="T111" s="409"/>
      <c r="U111" s="409"/>
      <c r="V111" s="409"/>
      <c r="W111" s="392"/>
      <c r="X111" s="392"/>
      <c r="Y111" s="409"/>
      <c r="Z111" s="409"/>
      <c r="AA111" s="392"/>
      <c r="AB111" s="392"/>
      <c r="AC111" s="392"/>
      <c r="AD111" s="409"/>
      <c r="AE111" s="409"/>
      <c r="AF111" s="409"/>
      <c r="AG111" s="409"/>
      <c r="AH111" s="409"/>
      <c r="AI111" s="409"/>
      <c r="AJ111" s="409"/>
      <c r="AK111" s="409"/>
      <c r="AL111" s="409"/>
      <c r="AM111" s="409"/>
      <c r="AN111" s="409"/>
      <c r="AO111" s="409"/>
      <c r="AP111" s="409"/>
      <c r="AQ111" s="409"/>
      <c r="AR111" s="409"/>
      <c r="AS111" s="409"/>
      <c r="AT111" s="409"/>
      <c r="AU111" s="409"/>
      <c r="AV111" s="409"/>
      <c r="AW111" s="409"/>
      <c r="AX111" s="409"/>
      <c r="AY111" s="409"/>
      <c r="AZ111" s="409"/>
      <c r="BA111" s="409"/>
      <c r="BB111" s="409"/>
      <c r="BC111" s="409"/>
      <c r="BD111" s="407"/>
      <c r="BE111" s="444"/>
      <c r="BF111" s="444"/>
      <c r="BG111" s="444"/>
      <c r="BH111" s="444"/>
      <c r="BI111" s="444"/>
      <c r="BJ111" s="444"/>
      <c r="BK111" s="444"/>
      <c r="BL111" s="444"/>
      <c r="BM111" s="444"/>
      <c r="BN111" s="444"/>
      <c r="BO111" s="444"/>
      <c r="BP111" s="444"/>
      <c r="BQ111" s="444"/>
      <c r="BR111" s="444"/>
      <c r="BS111" s="444"/>
      <c r="BT111" s="444"/>
    </row>
    <row r="112" spans="1:72" s="443" customFormat="1" ht="15">
      <c r="A112" s="392"/>
      <c r="B112" s="392"/>
      <c r="C112" s="392"/>
      <c r="D112" s="392"/>
      <c r="E112" s="392"/>
      <c r="F112" s="392"/>
      <c r="G112" s="392"/>
      <c r="H112" s="392"/>
      <c r="I112" s="392"/>
      <c r="J112" s="392"/>
      <c r="K112" s="392"/>
      <c r="L112" s="392"/>
      <c r="M112" s="392"/>
      <c r="N112" s="392"/>
      <c r="O112" s="392"/>
      <c r="P112" s="392"/>
      <c r="Q112" s="392"/>
      <c r="R112" s="392"/>
      <c r="S112" s="409"/>
      <c r="T112" s="409"/>
      <c r="U112" s="409"/>
      <c r="V112" s="409"/>
      <c r="W112" s="392"/>
      <c r="X112" s="392"/>
      <c r="Y112" s="409"/>
      <c r="Z112" s="409"/>
      <c r="AA112" s="392"/>
      <c r="AB112" s="392"/>
      <c r="AC112" s="392"/>
      <c r="AD112" s="409"/>
      <c r="AE112" s="409"/>
      <c r="AF112" s="409"/>
      <c r="AG112" s="409"/>
      <c r="AH112" s="409"/>
      <c r="AI112" s="409"/>
      <c r="AJ112" s="409"/>
      <c r="AK112" s="409"/>
      <c r="AL112" s="409"/>
      <c r="AM112" s="409"/>
      <c r="AN112" s="409"/>
      <c r="AO112" s="409"/>
      <c r="AP112" s="409"/>
      <c r="AQ112" s="409"/>
      <c r="AR112" s="409"/>
      <c r="AS112" s="409"/>
      <c r="AT112" s="409"/>
      <c r="AU112" s="409"/>
      <c r="AV112" s="409"/>
      <c r="AW112" s="409"/>
      <c r="AX112" s="409"/>
      <c r="AY112" s="409"/>
      <c r="AZ112" s="409"/>
      <c r="BA112" s="409"/>
      <c r="BB112" s="409"/>
      <c r="BC112" s="409"/>
      <c r="BD112" s="407"/>
      <c r="BE112" s="444"/>
      <c r="BF112" s="444"/>
      <c r="BG112" s="444"/>
      <c r="BH112" s="444"/>
      <c r="BI112" s="444"/>
      <c r="BJ112" s="444"/>
      <c r="BK112" s="444"/>
      <c r="BL112" s="444"/>
      <c r="BM112" s="444"/>
      <c r="BN112" s="444"/>
      <c r="BO112" s="444"/>
      <c r="BP112" s="444"/>
      <c r="BQ112" s="444"/>
      <c r="BR112" s="444"/>
      <c r="BS112" s="444"/>
      <c r="BT112" s="444"/>
    </row>
    <row r="113" spans="1:72" s="443" customFormat="1" ht="15">
      <c r="A113" s="392"/>
      <c r="B113" s="392"/>
      <c r="C113" s="392"/>
      <c r="D113" s="392"/>
      <c r="E113" s="392"/>
      <c r="F113" s="392"/>
      <c r="G113" s="392"/>
      <c r="H113" s="392"/>
      <c r="I113" s="392"/>
      <c r="J113" s="392"/>
      <c r="K113" s="392"/>
      <c r="L113" s="392"/>
      <c r="M113" s="392"/>
      <c r="N113" s="392"/>
      <c r="O113" s="392"/>
      <c r="P113" s="392"/>
      <c r="Q113" s="392"/>
      <c r="R113" s="392"/>
      <c r="S113" s="409"/>
      <c r="T113" s="409"/>
      <c r="U113" s="409"/>
      <c r="V113" s="409"/>
      <c r="W113" s="392"/>
      <c r="X113" s="392"/>
      <c r="Y113" s="409"/>
      <c r="Z113" s="409"/>
      <c r="AA113" s="392"/>
      <c r="AB113" s="392"/>
      <c r="AC113" s="392"/>
      <c r="AD113" s="409"/>
      <c r="AE113" s="409"/>
      <c r="AF113" s="409"/>
      <c r="AG113" s="409"/>
      <c r="AH113" s="409"/>
      <c r="AI113" s="409"/>
      <c r="AJ113" s="409"/>
      <c r="AK113" s="409"/>
      <c r="AL113" s="409"/>
      <c r="AM113" s="409"/>
      <c r="AN113" s="409"/>
      <c r="AO113" s="409"/>
      <c r="AP113" s="409"/>
      <c r="AQ113" s="409"/>
      <c r="AR113" s="409"/>
      <c r="AS113" s="409"/>
      <c r="AT113" s="409"/>
      <c r="AU113" s="409"/>
      <c r="AV113" s="409"/>
      <c r="AW113" s="409"/>
      <c r="AX113" s="409"/>
      <c r="AY113" s="409"/>
      <c r="AZ113" s="409"/>
      <c r="BA113" s="409"/>
      <c r="BB113" s="409"/>
      <c r="BC113" s="409"/>
      <c r="BD113" s="407"/>
      <c r="BE113" s="444"/>
      <c r="BF113" s="444"/>
      <c r="BG113" s="444"/>
      <c r="BH113" s="444"/>
      <c r="BI113" s="444"/>
      <c r="BJ113" s="444"/>
      <c r="BK113" s="444"/>
      <c r="BL113" s="444"/>
      <c r="BM113" s="444"/>
      <c r="BN113" s="444"/>
      <c r="BO113" s="444"/>
      <c r="BP113" s="444"/>
      <c r="BQ113" s="444"/>
      <c r="BR113" s="444"/>
      <c r="BS113" s="444"/>
      <c r="BT113" s="444"/>
    </row>
    <row r="114" spans="1:72" s="443" customFormat="1" ht="15">
      <c r="A114" s="392"/>
      <c r="B114" s="392"/>
      <c r="C114" s="392"/>
      <c r="D114" s="392"/>
      <c r="E114" s="392"/>
      <c r="F114" s="392"/>
      <c r="G114" s="392"/>
      <c r="H114" s="392"/>
      <c r="I114" s="392"/>
      <c r="J114" s="392"/>
      <c r="K114" s="392"/>
      <c r="L114" s="392"/>
      <c r="M114" s="392"/>
      <c r="N114" s="392"/>
      <c r="O114" s="392"/>
      <c r="P114" s="392"/>
      <c r="Q114" s="392"/>
      <c r="R114" s="392"/>
      <c r="S114" s="409"/>
      <c r="T114" s="409"/>
      <c r="U114" s="409"/>
      <c r="V114" s="409"/>
      <c r="W114" s="392"/>
      <c r="X114" s="392"/>
      <c r="Y114" s="409"/>
      <c r="Z114" s="409"/>
      <c r="AA114" s="392"/>
      <c r="AB114" s="392"/>
      <c r="AC114" s="392"/>
      <c r="AD114" s="409"/>
      <c r="AE114" s="409"/>
      <c r="AF114" s="409"/>
      <c r="AG114" s="409"/>
      <c r="AH114" s="409"/>
      <c r="AI114" s="409"/>
      <c r="AJ114" s="409"/>
      <c r="AK114" s="409"/>
      <c r="AL114" s="409"/>
      <c r="AM114" s="409"/>
      <c r="AN114" s="409"/>
      <c r="AO114" s="409"/>
      <c r="AP114" s="409"/>
      <c r="AQ114" s="409"/>
      <c r="AR114" s="409"/>
      <c r="AS114" s="409"/>
      <c r="AT114" s="409"/>
      <c r="AU114" s="409"/>
      <c r="AV114" s="409"/>
      <c r="AW114" s="409"/>
      <c r="AX114" s="409"/>
      <c r="AY114" s="409"/>
      <c r="AZ114" s="409"/>
      <c r="BA114" s="409"/>
      <c r="BB114" s="409"/>
      <c r="BC114" s="409"/>
      <c r="BD114" s="407"/>
      <c r="BE114" s="444"/>
      <c r="BF114" s="444"/>
      <c r="BG114" s="444"/>
      <c r="BH114" s="444"/>
      <c r="BI114" s="444"/>
      <c r="BJ114" s="444"/>
      <c r="BK114" s="444"/>
      <c r="BL114" s="444"/>
      <c r="BM114" s="444"/>
      <c r="BN114" s="444"/>
      <c r="BO114" s="444"/>
      <c r="BP114" s="444"/>
      <c r="BQ114" s="444"/>
      <c r="BR114" s="444"/>
      <c r="BS114" s="444"/>
      <c r="BT114" s="444"/>
    </row>
    <row r="115" spans="1:72" s="443" customFormat="1" ht="15">
      <c r="A115" s="392"/>
      <c r="B115" s="392"/>
      <c r="C115" s="392"/>
      <c r="D115" s="392"/>
      <c r="E115" s="392"/>
      <c r="F115" s="392"/>
      <c r="G115" s="392"/>
      <c r="H115" s="392"/>
      <c r="I115" s="392"/>
      <c r="J115" s="392"/>
      <c r="K115" s="392"/>
      <c r="L115" s="392"/>
      <c r="M115" s="392"/>
      <c r="N115" s="392"/>
      <c r="O115" s="392"/>
      <c r="P115" s="392"/>
      <c r="Q115" s="392"/>
      <c r="R115" s="392"/>
      <c r="S115" s="409"/>
      <c r="T115" s="409"/>
      <c r="U115" s="409"/>
      <c r="V115" s="409"/>
      <c r="W115" s="392"/>
      <c r="X115" s="392"/>
      <c r="Y115" s="409"/>
      <c r="Z115" s="409"/>
      <c r="AA115" s="392"/>
      <c r="AB115" s="392"/>
      <c r="AC115" s="392"/>
      <c r="AD115" s="409"/>
      <c r="AE115" s="409"/>
      <c r="AF115" s="409"/>
      <c r="AG115" s="409"/>
      <c r="AH115" s="409"/>
      <c r="AI115" s="409"/>
      <c r="AJ115" s="409"/>
      <c r="AK115" s="409"/>
      <c r="AL115" s="409"/>
      <c r="AM115" s="409"/>
      <c r="AN115" s="409"/>
      <c r="AO115" s="409"/>
      <c r="AP115" s="409"/>
      <c r="AQ115" s="409"/>
      <c r="AR115" s="409"/>
      <c r="AS115" s="409"/>
      <c r="AT115" s="409"/>
      <c r="AU115" s="409"/>
      <c r="AV115" s="409"/>
      <c r="AW115" s="409"/>
      <c r="AX115" s="409"/>
      <c r="AY115" s="409"/>
      <c r="AZ115" s="409"/>
      <c r="BA115" s="409"/>
      <c r="BB115" s="409"/>
      <c r="BC115" s="409"/>
      <c r="BD115" s="407"/>
      <c r="BE115" s="444"/>
      <c r="BF115" s="444"/>
      <c r="BG115" s="444"/>
      <c r="BH115" s="444"/>
      <c r="BI115" s="444"/>
      <c r="BJ115" s="444"/>
      <c r="BK115" s="444"/>
      <c r="BL115" s="444"/>
      <c r="BM115" s="444"/>
      <c r="BN115" s="444"/>
      <c r="BO115" s="444"/>
      <c r="BP115" s="444"/>
      <c r="BQ115" s="444"/>
      <c r="BR115" s="444"/>
      <c r="BS115" s="444"/>
      <c r="BT115" s="444"/>
    </row>
    <row r="116" spans="1:72" s="443" customFormat="1" ht="15">
      <c r="A116" s="392"/>
      <c r="B116" s="392"/>
      <c r="C116" s="392"/>
      <c r="D116" s="392"/>
      <c r="E116" s="392"/>
      <c r="F116" s="392"/>
      <c r="G116" s="392"/>
      <c r="H116" s="392"/>
      <c r="I116" s="392"/>
      <c r="J116" s="392"/>
      <c r="K116" s="392"/>
      <c r="L116" s="392"/>
      <c r="M116" s="392"/>
      <c r="N116" s="392"/>
      <c r="O116" s="392"/>
      <c r="P116" s="392"/>
      <c r="Q116" s="392"/>
      <c r="R116" s="392"/>
      <c r="S116" s="409"/>
      <c r="T116" s="409"/>
      <c r="U116" s="409"/>
      <c r="V116" s="409"/>
      <c r="W116" s="392"/>
      <c r="X116" s="392"/>
      <c r="Y116" s="409"/>
      <c r="Z116" s="409"/>
      <c r="AA116" s="392"/>
      <c r="AB116" s="392"/>
      <c r="AC116" s="392"/>
      <c r="AD116" s="409"/>
      <c r="AE116" s="409"/>
      <c r="AF116" s="409"/>
      <c r="AG116" s="409"/>
      <c r="AH116" s="409"/>
      <c r="AI116" s="409"/>
      <c r="AJ116" s="409"/>
      <c r="AK116" s="409"/>
      <c r="AL116" s="409"/>
      <c r="AM116" s="409"/>
      <c r="AN116" s="409"/>
      <c r="AO116" s="409"/>
      <c r="AP116" s="409"/>
      <c r="AQ116" s="409"/>
      <c r="AR116" s="409"/>
      <c r="AS116" s="409"/>
      <c r="AT116" s="409"/>
      <c r="AU116" s="409"/>
      <c r="AV116" s="409"/>
      <c r="AW116" s="409"/>
      <c r="AX116" s="409"/>
      <c r="AY116" s="409"/>
      <c r="AZ116" s="409"/>
      <c r="BA116" s="409"/>
      <c r="BB116" s="409"/>
      <c r="BC116" s="409"/>
      <c r="BD116" s="407"/>
      <c r="BE116" s="444"/>
      <c r="BF116" s="444"/>
      <c r="BG116" s="444"/>
      <c r="BH116" s="444"/>
      <c r="BI116" s="444"/>
      <c r="BJ116" s="444"/>
      <c r="BK116" s="444"/>
      <c r="BL116" s="444"/>
      <c r="BM116" s="444"/>
      <c r="BN116" s="444"/>
      <c r="BO116" s="444"/>
      <c r="BP116" s="444"/>
      <c r="BQ116" s="444"/>
      <c r="BR116" s="444"/>
      <c r="BS116" s="444"/>
      <c r="BT116" s="444"/>
    </row>
    <row r="117" spans="1:72" s="443" customFormat="1" ht="15">
      <c r="A117" s="392"/>
      <c r="B117" s="392"/>
      <c r="C117" s="392"/>
      <c r="D117" s="392"/>
      <c r="E117" s="392"/>
      <c r="F117" s="392"/>
      <c r="G117" s="392"/>
      <c r="H117" s="392"/>
      <c r="I117" s="392"/>
      <c r="J117" s="392"/>
      <c r="K117" s="392"/>
      <c r="L117" s="392"/>
      <c r="M117" s="392"/>
      <c r="N117" s="392"/>
      <c r="O117" s="392"/>
      <c r="P117" s="392"/>
      <c r="Q117" s="392"/>
      <c r="R117" s="392"/>
      <c r="S117" s="409"/>
      <c r="T117" s="409"/>
      <c r="U117" s="409"/>
      <c r="V117" s="409"/>
      <c r="W117" s="392"/>
      <c r="X117" s="392"/>
      <c r="Y117" s="409"/>
      <c r="Z117" s="409"/>
      <c r="AA117" s="392"/>
      <c r="AB117" s="392"/>
      <c r="AC117" s="392"/>
      <c r="AD117" s="409"/>
      <c r="AE117" s="409"/>
      <c r="AF117" s="409"/>
      <c r="AG117" s="409"/>
      <c r="AH117" s="409"/>
      <c r="AI117" s="409"/>
      <c r="AJ117" s="409"/>
      <c r="AK117" s="409"/>
      <c r="AL117" s="409"/>
      <c r="AM117" s="409"/>
      <c r="AN117" s="409"/>
      <c r="AO117" s="409"/>
      <c r="AP117" s="409"/>
      <c r="AQ117" s="409"/>
      <c r="AR117" s="409"/>
      <c r="AS117" s="409"/>
      <c r="AT117" s="409"/>
      <c r="AU117" s="409"/>
      <c r="AV117" s="409"/>
      <c r="AW117" s="409"/>
      <c r="AX117" s="409"/>
      <c r="AY117" s="409"/>
      <c r="AZ117" s="409"/>
      <c r="BA117" s="409"/>
      <c r="BB117" s="409"/>
      <c r="BC117" s="409"/>
      <c r="BD117" s="407"/>
      <c r="BE117" s="444"/>
      <c r="BF117" s="444"/>
      <c r="BG117" s="444"/>
      <c r="BH117" s="444"/>
      <c r="BI117" s="444"/>
      <c r="BJ117" s="444"/>
      <c r="BK117" s="444"/>
      <c r="BL117" s="444"/>
      <c r="BM117" s="444"/>
      <c r="BN117" s="444"/>
      <c r="BO117" s="444"/>
      <c r="BP117" s="444"/>
      <c r="BQ117" s="444"/>
      <c r="BR117" s="444"/>
      <c r="BS117" s="444"/>
      <c r="BT117" s="444"/>
    </row>
    <row r="118" spans="1:72" s="443" customFormat="1" ht="15">
      <c r="A118" s="392"/>
      <c r="B118" s="392"/>
      <c r="C118" s="392"/>
      <c r="D118" s="392"/>
      <c r="E118" s="392"/>
      <c r="F118" s="392"/>
      <c r="G118" s="392"/>
      <c r="H118" s="392"/>
      <c r="I118" s="392"/>
      <c r="J118" s="392"/>
      <c r="K118" s="392"/>
      <c r="L118" s="392"/>
      <c r="M118" s="392"/>
      <c r="N118" s="392"/>
      <c r="O118" s="392"/>
      <c r="P118" s="392"/>
      <c r="Q118" s="392"/>
      <c r="R118" s="392"/>
      <c r="S118" s="409"/>
      <c r="T118" s="409"/>
      <c r="U118" s="409"/>
      <c r="V118" s="409"/>
      <c r="W118" s="392"/>
      <c r="X118" s="392"/>
      <c r="Y118" s="409"/>
      <c r="Z118" s="409"/>
      <c r="AA118" s="392"/>
      <c r="AB118" s="392"/>
      <c r="AC118" s="392"/>
      <c r="AD118" s="409"/>
      <c r="AE118" s="409"/>
      <c r="AF118" s="409"/>
      <c r="AG118" s="409"/>
      <c r="AH118" s="409"/>
      <c r="AI118" s="409"/>
      <c r="AJ118" s="409"/>
      <c r="AK118" s="409"/>
      <c r="AL118" s="409"/>
      <c r="AM118" s="409"/>
      <c r="AN118" s="409"/>
      <c r="AO118" s="409"/>
      <c r="AP118" s="409"/>
      <c r="AQ118" s="409"/>
      <c r="AR118" s="409"/>
      <c r="AS118" s="409"/>
      <c r="AT118" s="409"/>
      <c r="AU118" s="409"/>
      <c r="AV118" s="409"/>
      <c r="AW118" s="409"/>
      <c r="AX118" s="409"/>
      <c r="AY118" s="409"/>
      <c r="AZ118" s="409"/>
      <c r="BA118" s="409"/>
      <c r="BB118" s="409"/>
      <c r="BC118" s="409"/>
      <c r="BD118" s="407"/>
      <c r="BE118" s="444"/>
      <c r="BF118" s="444"/>
      <c r="BG118" s="444"/>
      <c r="BH118" s="444"/>
      <c r="BI118" s="444"/>
      <c r="BJ118" s="444"/>
      <c r="BK118" s="444"/>
      <c r="BL118" s="444"/>
      <c r="BM118" s="444"/>
      <c r="BN118" s="444"/>
      <c r="BO118" s="444"/>
      <c r="BP118" s="444"/>
      <c r="BQ118" s="444"/>
      <c r="BR118" s="444"/>
      <c r="BS118" s="444"/>
      <c r="BT118" s="444"/>
    </row>
    <row r="119" spans="1:72" s="443" customFormat="1" ht="15">
      <c r="A119" s="392"/>
      <c r="B119" s="392"/>
      <c r="C119" s="392"/>
      <c r="D119" s="392"/>
      <c r="E119" s="392"/>
      <c r="F119" s="392"/>
      <c r="G119" s="392"/>
      <c r="H119" s="392"/>
      <c r="I119" s="392"/>
      <c r="J119" s="392"/>
      <c r="K119" s="392"/>
      <c r="L119" s="392"/>
      <c r="M119" s="392"/>
      <c r="N119" s="392"/>
      <c r="O119" s="392"/>
      <c r="P119" s="392"/>
      <c r="Q119" s="392"/>
      <c r="R119" s="392"/>
      <c r="S119" s="409"/>
      <c r="T119" s="409"/>
      <c r="U119" s="409"/>
      <c r="V119" s="409"/>
      <c r="W119" s="392"/>
      <c r="X119" s="392"/>
      <c r="Y119" s="409"/>
      <c r="Z119" s="409"/>
      <c r="AA119" s="392"/>
      <c r="AB119" s="392"/>
      <c r="AC119" s="392"/>
      <c r="AD119" s="409"/>
      <c r="AE119" s="409"/>
      <c r="AF119" s="409"/>
      <c r="AG119" s="409"/>
      <c r="AH119" s="409"/>
      <c r="AI119" s="409"/>
      <c r="AJ119" s="409"/>
      <c r="AK119" s="409"/>
      <c r="AL119" s="409"/>
      <c r="AM119" s="409"/>
      <c r="AN119" s="409"/>
      <c r="AO119" s="409"/>
      <c r="AP119" s="409"/>
      <c r="AQ119" s="409"/>
      <c r="AR119" s="409"/>
      <c r="AS119" s="409"/>
      <c r="AT119" s="409"/>
      <c r="AU119" s="409"/>
      <c r="AV119" s="409"/>
      <c r="AW119" s="409"/>
      <c r="AX119" s="409"/>
      <c r="AY119" s="409"/>
      <c r="AZ119" s="409"/>
      <c r="BA119" s="409"/>
      <c r="BB119" s="409"/>
      <c r="BC119" s="409"/>
      <c r="BD119" s="407"/>
      <c r="BE119" s="444"/>
      <c r="BF119" s="444"/>
      <c r="BG119" s="444"/>
      <c r="BH119" s="444"/>
      <c r="BI119" s="444"/>
      <c r="BJ119" s="444"/>
      <c r="BK119" s="444"/>
      <c r="BL119" s="444"/>
      <c r="BM119" s="444"/>
      <c r="BN119" s="444"/>
      <c r="BO119" s="444"/>
      <c r="BP119" s="444"/>
      <c r="BQ119" s="444"/>
      <c r="BR119" s="444"/>
      <c r="BS119" s="444"/>
      <c r="BT119" s="444"/>
    </row>
    <row r="120" spans="1:72" s="443" customFormat="1" ht="15">
      <c r="A120" s="392"/>
      <c r="B120" s="392"/>
      <c r="C120" s="392"/>
      <c r="D120" s="392"/>
      <c r="E120" s="392"/>
      <c r="F120" s="392"/>
      <c r="G120" s="392"/>
      <c r="H120" s="392"/>
      <c r="I120" s="392"/>
      <c r="J120" s="392"/>
      <c r="K120" s="392"/>
      <c r="L120" s="392"/>
      <c r="M120" s="392"/>
      <c r="N120" s="392"/>
      <c r="O120" s="392"/>
      <c r="P120" s="392"/>
      <c r="Q120" s="392"/>
      <c r="R120" s="392"/>
      <c r="S120" s="409"/>
      <c r="T120" s="409"/>
      <c r="U120" s="409"/>
      <c r="V120" s="409"/>
      <c r="W120" s="392"/>
      <c r="X120" s="392"/>
      <c r="Y120" s="409"/>
      <c r="Z120" s="409"/>
      <c r="AA120" s="392"/>
      <c r="AB120" s="392"/>
      <c r="AC120" s="392"/>
      <c r="AD120" s="409"/>
      <c r="AE120" s="409"/>
      <c r="AF120" s="409"/>
      <c r="AG120" s="409"/>
      <c r="AH120" s="409"/>
      <c r="AI120" s="409"/>
      <c r="AJ120" s="409"/>
      <c r="AK120" s="409"/>
      <c r="AL120" s="409"/>
      <c r="AM120" s="409"/>
      <c r="AN120" s="409"/>
      <c r="AO120" s="409"/>
      <c r="AP120" s="409"/>
      <c r="AQ120" s="409"/>
      <c r="AR120" s="409"/>
      <c r="AS120" s="409"/>
      <c r="AT120" s="409"/>
      <c r="AU120" s="409"/>
      <c r="AV120" s="409"/>
      <c r="AW120" s="409"/>
      <c r="AX120" s="409"/>
      <c r="AY120" s="409"/>
      <c r="AZ120" s="409"/>
      <c r="BA120" s="409"/>
      <c r="BB120" s="409"/>
      <c r="BC120" s="409"/>
      <c r="BD120" s="407"/>
      <c r="BE120" s="444"/>
      <c r="BF120" s="444"/>
      <c r="BG120" s="444"/>
      <c r="BH120" s="444"/>
      <c r="BI120" s="444"/>
      <c r="BJ120" s="444"/>
      <c r="BK120" s="444"/>
      <c r="BL120" s="444"/>
      <c r="BM120" s="444"/>
      <c r="BN120" s="444"/>
      <c r="BO120" s="444"/>
      <c r="BP120" s="444"/>
      <c r="BQ120" s="444"/>
      <c r="BR120" s="444"/>
      <c r="BS120" s="444"/>
      <c r="BT120" s="444"/>
    </row>
    <row r="121" spans="1:72" s="443" customFormat="1" ht="15">
      <c r="A121" s="392"/>
      <c r="B121" s="392"/>
      <c r="C121" s="392"/>
      <c r="D121" s="392"/>
      <c r="E121" s="392"/>
      <c r="F121" s="392"/>
      <c r="G121" s="392"/>
      <c r="H121" s="392"/>
      <c r="I121" s="392"/>
      <c r="J121" s="392"/>
      <c r="K121" s="392"/>
      <c r="L121" s="392"/>
      <c r="M121" s="392"/>
      <c r="N121" s="392"/>
      <c r="O121" s="392"/>
      <c r="P121" s="392"/>
      <c r="Q121" s="392"/>
      <c r="R121" s="392"/>
      <c r="S121" s="409"/>
      <c r="T121" s="409"/>
      <c r="U121" s="409"/>
      <c r="V121" s="409"/>
      <c r="W121" s="392"/>
      <c r="X121" s="392"/>
      <c r="Y121" s="409"/>
      <c r="Z121" s="409"/>
      <c r="AA121" s="392"/>
      <c r="AB121" s="392"/>
      <c r="AC121" s="392"/>
      <c r="AD121" s="409"/>
      <c r="AE121" s="409"/>
      <c r="AF121" s="409"/>
      <c r="AG121" s="409"/>
      <c r="AH121" s="409"/>
      <c r="AI121" s="409"/>
      <c r="AJ121" s="409"/>
      <c r="AK121" s="409"/>
      <c r="AL121" s="409"/>
      <c r="AM121" s="409"/>
      <c r="AN121" s="409"/>
      <c r="AO121" s="409"/>
      <c r="AP121" s="409"/>
      <c r="AQ121" s="409"/>
      <c r="AR121" s="409"/>
      <c r="AS121" s="409"/>
      <c r="AT121" s="409"/>
      <c r="AU121" s="409"/>
      <c r="AV121" s="409"/>
      <c r="AW121" s="409"/>
      <c r="AX121" s="409"/>
      <c r="AY121" s="409"/>
      <c r="AZ121" s="409"/>
      <c r="BA121" s="409"/>
      <c r="BB121" s="409"/>
      <c r="BC121" s="409"/>
      <c r="BD121" s="407"/>
      <c r="BE121" s="444"/>
      <c r="BF121" s="444"/>
      <c r="BG121" s="444"/>
      <c r="BH121" s="444"/>
      <c r="BI121" s="444"/>
      <c r="BJ121" s="444"/>
      <c r="BK121" s="444"/>
      <c r="BL121" s="444"/>
      <c r="BM121" s="444"/>
      <c r="BN121" s="444"/>
      <c r="BO121" s="444"/>
      <c r="BP121" s="444"/>
      <c r="BQ121" s="444"/>
      <c r="BR121" s="444"/>
      <c r="BS121" s="444"/>
      <c r="BT121" s="444"/>
    </row>
    <row r="122" spans="1:72" s="443" customFormat="1" ht="15">
      <c r="A122" s="392"/>
      <c r="B122" s="392"/>
      <c r="C122" s="392"/>
      <c r="D122" s="392"/>
      <c r="E122" s="392"/>
      <c r="F122" s="392"/>
      <c r="G122" s="392"/>
      <c r="H122" s="392"/>
      <c r="I122" s="392"/>
      <c r="J122" s="392"/>
      <c r="K122" s="392"/>
      <c r="L122" s="392"/>
      <c r="M122" s="392"/>
      <c r="N122" s="392"/>
      <c r="O122" s="392"/>
      <c r="P122" s="392"/>
      <c r="Q122" s="392"/>
      <c r="R122" s="392"/>
      <c r="S122" s="409"/>
      <c r="T122" s="409"/>
      <c r="U122" s="409"/>
      <c r="V122" s="409"/>
      <c r="W122" s="392"/>
      <c r="X122" s="392"/>
      <c r="Y122" s="409"/>
      <c r="Z122" s="409"/>
      <c r="AA122" s="392"/>
      <c r="AB122" s="392"/>
      <c r="AC122" s="392"/>
      <c r="AD122" s="409"/>
      <c r="AE122" s="409"/>
      <c r="AF122" s="409"/>
      <c r="AG122" s="409"/>
      <c r="AH122" s="409"/>
      <c r="AI122" s="409"/>
      <c r="AJ122" s="409"/>
      <c r="AK122" s="409"/>
      <c r="AL122" s="409"/>
      <c r="AM122" s="409"/>
      <c r="AN122" s="409"/>
      <c r="AO122" s="409"/>
      <c r="AP122" s="409"/>
      <c r="AQ122" s="409"/>
      <c r="AR122" s="409"/>
      <c r="AS122" s="409"/>
      <c r="AT122" s="409"/>
      <c r="AU122" s="409"/>
      <c r="AV122" s="409"/>
      <c r="AW122" s="409"/>
      <c r="AX122" s="409"/>
      <c r="AY122" s="409"/>
      <c r="AZ122" s="409"/>
      <c r="BA122" s="409"/>
      <c r="BB122" s="409"/>
      <c r="BC122" s="409"/>
      <c r="BD122" s="407"/>
      <c r="BE122" s="444"/>
      <c r="BF122" s="444"/>
      <c r="BG122" s="444"/>
      <c r="BH122" s="444"/>
      <c r="BI122" s="444"/>
      <c r="BJ122" s="444"/>
      <c r="BK122" s="444"/>
      <c r="BL122" s="444"/>
      <c r="BM122" s="444"/>
      <c r="BN122" s="444"/>
      <c r="BO122" s="444"/>
      <c r="BP122" s="444"/>
      <c r="BQ122" s="444"/>
      <c r="BR122" s="444"/>
      <c r="BS122" s="444"/>
      <c r="BT122" s="444"/>
    </row>
    <row r="123" spans="1:72" s="443" customFormat="1" ht="15">
      <c r="A123" s="392"/>
      <c r="B123" s="392"/>
      <c r="C123" s="392"/>
      <c r="D123" s="392"/>
      <c r="E123" s="392"/>
      <c r="F123" s="392"/>
      <c r="G123" s="392"/>
      <c r="H123" s="392"/>
      <c r="I123" s="392"/>
      <c r="J123" s="392"/>
      <c r="K123" s="392"/>
      <c r="L123" s="392"/>
      <c r="M123" s="392"/>
      <c r="N123" s="392"/>
      <c r="O123" s="392"/>
      <c r="P123" s="392"/>
      <c r="Q123" s="392"/>
      <c r="R123" s="392"/>
      <c r="S123" s="409"/>
      <c r="T123" s="409"/>
      <c r="U123" s="409"/>
      <c r="V123" s="409"/>
      <c r="W123" s="392"/>
      <c r="X123" s="392"/>
      <c r="Y123" s="409"/>
      <c r="Z123" s="409"/>
      <c r="AA123" s="392"/>
      <c r="AB123" s="392"/>
      <c r="AC123" s="392"/>
      <c r="AD123" s="409"/>
      <c r="AE123" s="409"/>
      <c r="AF123" s="409"/>
      <c r="AG123" s="409"/>
      <c r="AH123" s="409"/>
      <c r="AI123" s="409"/>
      <c r="AJ123" s="409"/>
      <c r="AK123" s="409"/>
      <c r="AL123" s="409"/>
      <c r="AM123" s="409"/>
      <c r="AN123" s="409"/>
      <c r="AO123" s="409"/>
      <c r="AP123" s="409"/>
      <c r="AQ123" s="409"/>
      <c r="AR123" s="409"/>
      <c r="AS123" s="409"/>
      <c r="AT123" s="409"/>
      <c r="AU123" s="409"/>
      <c r="AV123" s="409"/>
      <c r="AW123" s="409"/>
      <c r="AX123" s="409"/>
      <c r="AY123" s="409"/>
      <c r="AZ123" s="409"/>
      <c r="BA123" s="409"/>
      <c r="BB123" s="409"/>
      <c r="BC123" s="409"/>
      <c r="BD123" s="407"/>
      <c r="BE123" s="444"/>
      <c r="BF123" s="444"/>
      <c r="BG123" s="444"/>
      <c r="BH123" s="444"/>
      <c r="BI123" s="444"/>
      <c r="BJ123" s="444"/>
      <c r="BK123" s="444"/>
      <c r="BL123" s="444"/>
      <c r="BM123" s="444"/>
      <c r="BN123" s="444"/>
      <c r="BO123" s="444"/>
      <c r="BP123" s="444"/>
      <c r="BQ123" s="444"/>
      <c r="BR123" s="444"/>
      <c r="BS123" s="444"/>
      <c r="BT123" s="444"/>
    </row>
    <row r="124" spans="1:72" s="443" customFormat="1" ht="15">
      <c r="A124" s="392"/>
      <c r="B124" s="392"/>
      <c r="C124" s="392"/>
      <c r="D124" s="392"/>
      <c r="E124" s="392"/>
      <c r="F124" s="392"/>
      <c r="G124" s="392"/>
      <c r="H124" s="392"/>
      <c r="I124" s="392"/>
      <c r="J124" s="392"/>
      <c r="K124" s="392"/>
      <c r="L124" s="392"/>
      <c r="M124" s="392"/>
      <c r="N124" s="392"/>
      <c r="O124" s="392"/>
      <c r="P124" s="392"/>
      <c r="Q124" s="392"/>
      <c r="R124" s="392"/>
      <c r="S124" s="409"/>
      <c r="T124" s="409"/>
      <c r="U124" s="409"/>
      <c r="V124" s="409"/>
      <c r="W124" s="392"/>
      <c r="X124" s="392"/>
      <c r="Y124" s="409"/>
      <c r="Z124" s="409"/>
      <c r="AA124" s="392"/>
      <c r="AB124" s="392"/>
      <c r="AC124" s="392"/>
      <c r="AD124" s="409"/>
      <c r="AE124" s="409"/>
      <c r="AF124" s="409"/>
      <c r="AG124" s="409"/>
      <c r="AH124" s="409"/>
      <c r="AI124" s="409"/>
      <c r="AJ124" s="409"/>
      <c r="AK124" s="409"/>
      <c r="AL124" s="409"/>
      <c r="AM124" s="409"/>
      <c r="AN124" s="409"/>
      <c r="AO124" s="409"/>
      <c r="AP124" s="409"/>
      <c r="AQ124" s="409"/>
      <c r="AR124" s="409"/>
      <c r="AS124" s="409"/>
      <c r="AT124" s="409"/>
      <c r="AU124" s="409"/>
      <c r="AV124" s="409"/>
      <c r="AW124" s="409"/>
      <c r="AX124" s="409"/>
      <c r="AY124" s="409"/>
      <c r="AZ124" s="409"/>
      <c r="BA124" s="409"/>
      <c r="BB124" s="409"/>
      <c r="BC124" s="409"/>
      <c r="BD124" s="407"/>
      <c r="BE124" s="444"/>
      <c r="BF124" s="444"/>
      <c r="BG124" s="444"/>
      <c r="BH124" s="444"/>
      <c r="BI124" s="444"/>
      <c r="BJ124" s="444"/>
      <c r="BK124" s="444"/>
      <c r="BL124" s="444"/>
      <c r="BM124" s="444"/>
      <c r="BN124" s="444"/>
      <c r="BO124" s="444"/>
      <c r="BP124" s="444"/>
      <c r="BQ124" s="444"/>
      <c r="BR124" s="444"/>
      <c r="BS124" s="444"/>
      <c r="BT124" s="444"/>
    </row>
    <row r="125" spans="1:72" s="443" customFormat="1" ht="15">
      <c r="A125" s="392"/>
      <c r="B125" s="392"/>
      <c r="C125" s="392"/>
      <c r="D125" s="392"/>
      <c r="E125" s="392"/>
      <c r="F125" s="392"/>
      <c r="G125" s="392"/>
      <c r="H125" s="392"/>
      <c r="I125" s="392"/>
      <c r="J125" s="392"/>
      <c r="K125" s="392"/>
      <c r="L125" s="392"/>
      <c r="M125" s="392"/>
      <c r="N125" s="392"/>
      <c r="O125" s="392"/>
      <c r="P125" s="392"/>
      <c r="Q125" s="392"/>
      <c r="R125" s="392"/>
      <c r="S125" s="409"/>
      <c r="T125" s="409"/>
      <c r="U125" s="409"/>
      <c r="V125" s="409"/>
      <c r="W125" s="392"/>
      <c r="X125" s="392"/>
      <c r="Y125" s="409"/>
      <c r="Z125" s="409"/>
      <c r="AA125" s="392"/>
      <c r="AB125" s="392"/>
      <c r="AC125" s="392"/>
      <c r="AD125" s="409"/>
      <c r="AE125" s="409"/>
      <c r="AF125" s="409"/>
      <c r="AG125" s="409"/>
      <c r="AH125" s="409"/>
      <c r="AI125" s="409"/>
      <c r="AJ125" s="409"/>
      <c r="AK125" s="409"/>
      <c r="AL125" s="409"/>
      <c r="AM125" s="409"/>
      <c r="AN125" s="409"/>
      <c r="AO125" s="409"/>
      <c r="AP125" s="409"/>
      <c r="AQ125" s="409"/>
      <c r="AR125" s="409"/>
      <c r="AS125" s="409"/>
      <c r="AT125" s="409"/>
      <c r="AU125" s="409"/>
      <c r="AV125" s="409"/>
      <c r="AW125" s="409"/>
      <c r="AX125" s="409"/>
      <c r="AY125" s="409"/>
      <c r="AZ125" s="409"/>
      <c r="BA125" s="409"/>
      <c r="BB125" s="409"/>
      <c r="BC125" s="409"/>
      <c r="BD125" s="407"/>
      <c r="BE125" s="444"/>
      <c r="BF125" s="444"/>
      <c r="BG125" s="444"/>
      <c r="BH125" s="444"/>
      <c r="BI125" s="444"/>
      <c r="BJ125" s="444"/>
      <c r="BK125" s="444"/>
      <c r="BL125" s="444"/>
      <c r="BM125" s="444"/>
      <c r="BN125" s="444"/>
      <c r="BO125" s="444"/>
      <c r="BP125" s="444"/>
      <c r="BQ125" s="444"/>
      <c r="BR125" s="444"/>
      <c r="BS125" s="444"/>
      <c r="BT125" s="444"/>
    </row>
    <row r="126" spans="1:72" s="443" customFormat="1" ht="15">
      <c r="A126" s="392"/>
      <c r="B126" s="392"/>
      <c r="C126" s="392"/>
      <c r="D126" s="392"/>
      <c r="E126" s="392"/>
      <c r="F126" s="392"/>
      <c r="G126" s="392"/>
      <c r="H126" s="392"/>
      <c r="I126" s="392"/>
      <c r="J126" s="392"/>
      <c r="K126" s="392"/>
      <c r="L126" s="392"/>
      <c r="M126" s="392"/>
      <c r="N126" s="392"/>
      <c r="O126" s="392"/>
      <c r="P126" s="392"/>
      <c r="Q126" s="392"/>
      <c r="R126" s="392"/>
      <c r="S126" s="409"/>
      <c r="T126" s="409"/>
      <c r="U126" s="409"/>
      <c r="V126" s="409"/>
      <c r="W126" s="392"/>
      <c r="X126" s="392"/>
      <c r="Y126" s="409"/>
      <c r="Z126" s="409"/>
      <c r="AA126" s="392"/>
      <c r="AB126" s="392"/>
      <c r="AC126" s="392"/>
      <c r="AD126" s="409"/>
      <c r="AE126" s="409"/>
      <c r="AF126" s="409"/>
      <c r="AG126" s="409"/>
      <c r="AH126" s="409"/>
      <c r="AI126" s="409"/>
      <c r="AJ126" s="409"/>
      <c r="AK126" s="409"/>
      <c r="AL126" s="409"/>
      <c r="AM126" s="409"/>
      <c r="AN126" s="409"/>
      <c r="AO126" s="409"/>
      <c r="AP126" s="409"/>
      <c r="AQ126" s="409"/>
      <c r="AR126" s="409"/>
      <c r="AS126" s="409"/>
      <c r="AT126" s="409"/>
      <c r="AU126" s="409"/>
      <c r="AV126" s="409"/>
      <c r="AW126" s="409"/>
      <c r="AX126" s="409"/>
      <c r="AY126" s="409"/>
      <c r="AZ126" s="409"/>
      <c r="BA126" s="409"/>
      <c r="BB126" s="409"/>
      <c r="BC126" s="409"/>
      <c r="BD126" s="407"/>
      <c r="BE126" s="444"/>
      <c r="BF126" s="444"/>
      <c r="BG126" s="444"/>
      <c r="BH126" s="444"/>
      <c r="BI126" s="444"/>
      <c r="BJ126" s="444"/>
      <c r="BK126" s="444"/>
      <c r="BL126" s="444"/>
      <c r="BM126" s="444"/>
      <c r="BN126" s="444"/>
      <c r="BO126" s="444"/>
      <c r="BP126" s="444"/>
      <c r="BQ126" s="444"/>
      <c r="BR126" s="444"/>
      <c r="BS126" s="444"/>
      <c r="BT126" s="444"/>
    </row>
    <row r="127" spans="1:72" s="443" customFormat="1" ht="15">
      <c r="A127" s="392"/>
      <c r="B127" s="392"/>
      <c r="C127" s="392"/>
      <c r="D127" s="392"/>
      <c r="E127" s="392"/>
      <c r="F127" s="392"/>
      <c r="G127" s="392"/>
      <c r="H127" s="392"/>
      <c r="I127" s="392"/>
      <c r="J127" s="392"/>
      <c r="K127" s="392"/>
      <c r="L127" s="392"/>
      <c r="M127" s="392"/>
      <c r="N127" s="392"/>
      <c r="O127" s="392"/>
      <c r="P127" s="392"/>
      <c r="Q127" s="392"/>
      <c r="R127" s="392"/>
      <c r="S127" s="409"/>
      <c r="T127" s="409"/>
      <c r="U127" s="409"/>
      <c r="V127" s="409"/>
      <c r="W127" s="392"/>
      <c r="X127" s="392"/>
      <c r="Y127" s="409"/>
      <c r="Z127" s="409"/>
      <c r="AA127" s="392"/>
      <c r="AB127" s="392"/>
      <c r="AC127" s="392"/>
      <c r="AD127" s="409"/>
      <c r="AE127" s="409"/>
      <c r="AF127" s="409"/>
      <c r="AG127" s="409"/>
      <c r="AH127" s="409"/>
      <c r="AI127" s="409"/>
      <c r="AJ127" s="409"/>
      <c r="AK127" s="409"/>
      <c r="AL127" s="409"/>
      <c r="AM127" s="409"/>
      <c r="AN127" s="409"/>
      <c r="AO127" s="409"/>
      <c r="AP127" s="409"/>
      <c r="AQ127" s="409"/>
      <c r="AR127" s="409"/>
      <c r="AS127" s="409"/>
      <c r="AT127" s="409"/>
      <c r="AU127" s="409"/>
      <c r="AV127" s="409"/>
      <c r="AW127" s="409"/>
      <c r="AX127" s="409"/>
      <c r="AY127" s="409"/>
      <c r="AZ127" s="409"/>
      <c r="BA127" s="409"/>
      <c r="BB127" s="409"/>
      <c r="BC127" s="409"/>
      <c r="BD127" s="407"/>
      <c r="BE127" s="444"/>
      <c r="BF127" s="444"/>
      <c r="BG127" s="444"/>
      <c r="BH127" s="444"/>
      <c r="BI127" s="444"/>
      <c r="BJ127" s="444"/>
      <c r="BK127" s="444"/>
      <c r="BL127" s="444"/>
      <c r="BM127" s="444"/>
      <c r="BN127" s="444"/>
      <c r="BO127" s="444"/>
      <c r="BP127" s="444"/>
      <c r="BQ127" s="444"/>
      <c r="BR127" s="444"/>
      <c r="BS127" s="444"/>
      <c r="BT127" s="444"/>
    </row>
    <row r="128" spans="1:72" s="443" customFormat="1" ht="15">
      <c r="A128" s="392"/>
      <c r="B128" s="392"/>
      <c r="C128" s="392"/>
      <c r="D128" s="392"/>
      <c r="E128" s="392"/>
      <c r="F128" s="392"/>
      <c r="G128" s="392"/>
      <c r="H128" s="392"/>
      <c r="I128" s="392"/>
      <c r="J128" s="392"/>
      <c r="K128" s="392"/>
      <c r="L128" s="392"/>
      <c r="M128" s="392"/>
      <c r="N128" s="392"/>
      <c r="O128" s="392"/>
      <c r="P128" s="392"/>
      <c r="Q128" s="392"/>
      <c r="R128" s="392"/>
      <c r="S128" s="409"/>
      <c r="T128" s="409"/>
      <c r="U128" s="409"/>
      <c r="V128" s="409"/>
      <c r="W128" s="392"/>
      <c r="X128" s="392"/>
      <c r="Y128" s="409"/>
      <c r="Z128" s="409"/>
      <c r="AA128" s="392"/>
      <c r="AB128" s="392"/>
      <c r="AC128" s="392"/>
      <c r="AD128" s="409"/>
      <c r="AE128" s="409"/>
      <c r="AF128" s="409"/>
      <c r="AG128" s="409"/>
      <c r="AH128" s="409"/>
      <c r="AI128" s="409"/>
      <c r="AJ128" s="409"/>
      <c r="AK128" s="409"/>
      <c r="AL128" s="409"/>
      <c r="AM128" s="409"/>
      <c r="AN128" s="409"/>
      <c r="AO128" s="409"/>
      <c r="AP128" s="409"/>
      <c r="AQ128" s="409"/>
      <c r="AR128" s="409"/>
      <c r="AS128" s="409"/>
      <c r="AT128" s="409"/>
      <c r="AU128" s="409"/>
      <c r="AV128" s="409"/>
      <c r="AW128" s="409"/>
      <c r="AX128" s="409"/>
      <c r="AY128" s="409"/>
      <c r="AZ128" s="409"/>
      <c r="BA128" s="409"/>
      <c r="BB128" s="409"/>
      <c r="BC128" s="409"/>
      <c r="BD128" s="407"/>
      <c r="BE128" s="444"/>
      <c r="BF128" s="444"/>
      <c r="BG128" s="444"/>
      <c r="BH128" s="444"/>
      <c r="BI128" s="444"/>
      <c r="BJ128" s="444"/>
      <c r="BK128" s="444"/>
      <c r="BL128" s="444"/>
      <c r="BM128" s="444"/>
      <c r="BN128" s="444"/>
      <c r="BO128" s="444"/>
      <c r="BP128" s="444"/>
      <c r="BQ128" s="444"/>
      <c r="BR128" s="444"/>
      <c r="BS128" s="444"/>
      <c r="BT128" s="444"/>
    </row>
    <row r="129" spans="1:72" s="443" customFormat="1" ht="15">
      <c r="A129" s="392"/>
      <c r="B129" s="392"/>
      <c r="C129" s="392"/>
      <c r="D129" s="392"/>
      <c r="E129" s="392"/>
      <c r="F129" s="392"/>
      <c r="G129" s="392"/>
      <c r="H129" s="392"/>
      <c r="I129" s="392"/>
      <c r="J129" s="392"/>
      <c r="K129" s="392"/>
      <c r="L129" s="392"/>
      <c r="M129" s="392"/>
      <c r="N129" s="392"/>
      <c r="O129" s="392"/>
      <c r="P129" s="392"/>
      <c r="Q129" s="392"/>
      <c r="R129" s="392"/>
      <c r="S129" s="409"/>
      <c r="T129" s="409"/>
      <c r="U129" s="409"/>
      <c r="V129" s="409"/>
      <c r="W129" s="392"/>
      <c r="X129" s="392"/>
      <c r="Y129" s="409"/>
      <c r="Z129" s="409"/>
      <c r="AA129" s="392"/>
      <c r="AB129" s="392"/>
      <c r="AC129" s="392"/>
      <c r="AD129" s="409"/>
      <c r="AE129" s="409"/>
      <c r="AF129" s="409"/>
      <c r="AG129" s="409"/>
      <c r="AH129" s="409"/>
      <c r="AI129" s="409"/>
      <c r="AJ129" s="409"/>
      <c r="AK129" s="409"/>
      <c r="AL129" s="409"/>
      <c r="AM129" s="409"/>
      <c r="AN129" s="409"/>
      <c r="AO129" s="409"/>
      <c r="AP129" s="409"/>
      <c r="AQ129" s="409"/>
      <c r="AR129" s="409"/>
      <c r="AS129" s="409"/>
      <c r="AT129" s="409"/>
      <c r="AU129" s="409"/>
      <c r="AV129" s="409"/>
      <c r="AW129" s="409"/>
      <c r="AX129" s="409"/>
      <c r="AY129" s="409"/>
      <c r="AZ129" s="409"/>
      <c r="BA129" s="409"/>
      <c r="BB129" s="409"/>
      <c r="BC129" s="409"/>
      <c r="BD129" s="407"/>
      <c r="BE129" s="444"/>
      <c r="BF129" s="444"/>
      <c r="BG129" s="444"/>
      <c r="BH129" s="444"/>
      <c r="BI129" s="444"/>
      <c r="BJ129" s="444"/>
      <c r="BK129" s="444"/>
      <c r="BL129" s="444"/>
      <c r="BM129" s="444"/>
      <c r="BN129" s="444"/>
      <c r="BO129" s="444"/>
      <c r="BP129" s="444"/>
      <c r="BQ129" s="444"/>
      <c r="BR129" s="444"/>
      <c r="BS129" s="444"/>
      <c r="BT129" s="444"/>
    </row>
    <row r="130" spans="1:72" s="443" customFormat="1" ht="15">
      <c r="A130" s="392"/>
      <c r="B130" s="392"/>
      <c r="C130" s="392"/>
      <c r="D130" s="392"/>
      <c r="E130" s="392"/>
      <c r="F130" s="392"/>
      <c r="G130" s="392"/>
      <c r="H130" s="392"/>
      <c r="I130" s="392"/>
      <c r="J130" s="392"/>
      <c r="K130" s="392"/>
      <c r="L130" s="392"/>
      <c r="M130" s="392"/>
      <c r="N130" s="392"/>
      <c r="O130" s="392"/>
      <c r="P130" s="392"/>
      <c r="Q130" s="392"/>
      <c r="R130" s="392"/>
      <c r="S130" s="409"/>
      <c r="T130" s="409"/>
      <c r="U130" s="409"/>
      <c r="V130" s="409"/>
      <c r="W130" s="392"/>
      <c r="X130" s="392"/>
      <c r="Y130" s="409"/>
      <c r="Z130" s="409"/>
      <c r="AA130" s="392"/>
      <c r="AB130" s="392"/>
      <c r="AC130" s="392"/>
      <c r="AD130" s="409"/>
      <c r="AE130" s="409"/>
      <c r="AF130" s="409"/>
      <c r="AG130" s="409"/>
      <c r="AH130" s="409"/>
      <c r="AI130" s="409"/>
      <c r="AJ130" s="409"/>
      <c r="AK130" s="409"/>
      <c r="AL130" s="409"/>
      <c r="AM130" s="409"/>
      <c r="AN130" s="409"/>
      <c r="AO130" s="409"/>
      <c r="AP130" s="409"/>
      <c r="AQ130" s="409"/>
      <c r="AR130" s="409"/>
      <c r="AS130" s="409"/>
      <c r="AT130" s="409"/>
      <c r="AU130" s="409"/>
      <c r="AV130" s="409"/>
      <c r="AW130" s="409"/>
      <c r="AX130" s="409"/>
      <c r="AY130" s="409"/>
      <c r="AZ130" s="409"/>
      <c r="BA130" s="409"/>
      <c r="BB130" s="409"/>
      <c r="BC130" s="409"/>
      <c r="BD130" s="407"/>
      <c r="BE130" s="444"/>
      <c r="BF130" s="444"/>
      <c r="BG130" s="444"/>
      <c r="BH130" s="444"/>
      <c r="BI130" s="444"/>
      <c r="BJ130" s="444"/>
      <c r="BK130" s="444"/>
      <c r="BL130" s="444"/>
      <c r="BM130" s="444"/>
      <c r="BN130" s="444"/>
      <c r="BO130" s="444"/>
      <c r="BP130" s="444"/>
      <c r="BQ130" s="444"/>
      <c r="BR130" s="444"/>
      <c r="BS130" s="444"/>
      <c r="BT130" s="444"/>
    </row>
    <row r="131" spans="1:72" s="443" customFormat="1" ht="15">
      <c r="A131" s="392"/>
      <c r="B131" s="392"/>
      <c r="C131" s="392"/>
      <c r="D131" s="392"/>
      <c r="E131" s="392"/>
      <c r="F131" s="392"/>
      <c r="G131" s="392"/>
      <c r="H131" s="392"/>
      <c r="I131" s="392"/>
      <c r="J131" s="392"/>
      <c r="K131" s="392"/>
      <c r="L131" s="392"/>
      <c r="M131" s="392"/>
      <c r="N131" s="392"/>
      <c r="O131" s="392"/>
      <c r="P131" s="392"/>
      <c r="Q131" s="392"/>
      <c r="R131" s="392"/>
      <c r="S131" s="409"/>
      <c r="T131" s="409"/>
      <c r="U131" s="409"/>
      <c r="V131" s="409"/>
      <c r="W131" s="392"/>
      <c r="X131" s="392"/>
      <c r="Y131" s="409"/>
      <c r="Z131" s="409"/>
      <c r="AA131" s="392"/>
      <c r="AB131" s="392"/>
      <c r="AC131" s="392"/>
      <c r="AD131" s="409"/>
      <c r="AE131" s="409"/>
      <c r="AF131" s="409"/>
      <c r="AG131" s="409"/>
      <c r="AH131" s="409"/>
      <c r="AI131" s="409"/>
      <c r="AJ131" s="409"/>
      <c r="AK131" s="409"/>
      <c r="AL131" s="409"/>
      <c r="AM131" s="409"/>
      <c r="AN131" s="409"/>
      <c r="AO131" s="409"/>
      <c r="AP131" s="409"/>
      <c r="AQ131" s="409"/>
      <c r="AR131" s="409"/>
      <c r="AS131" s="409"/>
      <c r="AT131" s="409"/>
      <c r="AU131" s="409"/>
      <c r="AV131" s="409"/>
      <c r="AW131" s="409"/>
      <c r="AX131" s="409"/>
      <c r="AY131" s="409"/>
      <c r="AZ131" s="409"/>
      <c r="BA131" s="409"/>
      <c r="BB131" s="409"/>
      <c r="BC131" s="409"/>
      <c r="BD131" s="407"/>
      <c r="BE131" s="444"/>
      <c r="BF131" s="444"/>
      <c r="BG131" s="444"/>
      <c r="BH131" s="444"/>
      <c r="BI131" s="444"/>
      <c r="BJ131" s="444"/>
      <c r="BK131" s="444"/>
      <c r="BL131" s="444"/>
      <c r="BM131" s="444"/>
      <c r="BN131" s="444"/>
      <c r="BO131" s="444"/>
      <c r="BP131" s="444"/>
      <c r="BQ131" s="444"/>
      <c r="BR131" s="444"/>
      <c r="BS131" s="444"/>
      <c r="BT131" s="444"/>
    </row>
    <row r="132" spans="1:72" s="443" customFormat="1" ht="15">
      <c r="A132" s="392"/>
      <c r="B132" s="392"/>
      <c r="C132" s="392"/>
      <c r="D132" s="392"/>
      <c r="E132" s="392"/>
      <c r="F132" s="392"/>
      <c r="G132" s="392"/>
      <c r="H132" s="392"/>
      <c r="I132" s="392"/>
      <c r="J132" s="392"/>
      <c r="K132" s="392"/>
      <c r="L132" s="392"/>
      <c r="M132" s="392"/>
      <c r="N132" s="392"/>
      <c r="O132" s="392"/>
      <c r="P132" s="392"/>
      <c r="Q132" s="392"/>
      <c r="R132" s="392"/>
      <c r="S132" s="409"/>
      <c r="T132" s="409"/>
      <c r="U132" s="409"/>
      <c r="V132" s="409"/>
      <c r="W132" s="392"/>
      <c r="X132" s="392"/>
      <c r="Y132" s="409"/>
      <c r="Z132" s="409"/>
      <c r="AA132" s="392"/>
      <c r="AB132" s="392"/>
      <c r="AC132" s="392"/>
      <c r="AD132" s="409"/>
      <c r="AE132" s="409"/>
      <c r="AF132" s="409"/>
      <c r="AG132" s="409"/>
      <c r="AH132" s="409"/>
      <c r="AI132" s="409"/>
      <c r="AJ132" s="409"/>
      <c r="AK132" s="409"/>
      <c r="AL132" s="409"/>
      <c r="AM132" s="409"/>
      <c r="AN132" s="409"/>
      <c r="AO132" s="409"/>
      <c r="AP132" s="409"/>
      <c r="AQ132" s="409"/>
      <c r="AR132" s="409"/>
      <c r="AS132" s="409"/>
      <c r="AT132" s="409"/>
      <c r="AU132" s="409"/>
      <c r="AV132" s="409"/>
      <c r="AW132" s="409"/>
      <c r="AX132" s="409"/>
      <c r="AY132" s="409"/>
      <c r="AZ132" s="409"/>
      <c r="BA132" s="409"/>
      <c r="BB132" s="409"/>
      <c r="BC132" s="409"/>
      <c r="BD132" s="407"/>
      <c r="BE132" s="444"/>
      <c r="BF132" s="444"/>
      <c r="BG132" s="444"/>
      <c r="BH132" s="444"/>
      <c r="BI132" s="444"/>
      <c r="BJ132" s="444"/>
      <c r="BK132" s="444"/>
      <c r="BL132" s="444"/>
      <c r="BM132" s="444"/>
      <c r="BN132" s="444"/>
      <c r="BO132" s="444"/>
      <c r="BP132" s="444"/>
      <c r="BQ132" s="444"/>
      <c r="BR132" s="444"/>
      <c r="BS132" s="444"/>
      <c r="BT132" s="444"/>
    </row>
    <row r="133" spans="1:72" s="443" customFormat="1" ht="15">
      <c r="A133" s="392"/>
      <c r="B133" s="392"/>
      <c r="C133" s="392"/>
      <c r="D133" s="392"/>
      <c r="E133" s="392"/>
      <c r="F133" s="392"/>
      <c r="G133" s="392"/>
      <c r="H133" s="392"/>
      <c r="I133" s="392"/>
      <c r="J133" s="392"/>
      <c r="K133" s="392"/>
      <c r="L133" s="392"/>
      <c r="M133" s="392"/>
      <c r="N133" s="392"/>
      <c r="O133" s="392"/>
      <c r="P133" s="392"/>
      <c r="Q133" s="392"/>
      <c r="R133" s="392"/>
      <c r="S133" s="409"/>
      <c r="T133" s="409"/>
      <c r="U133" s="409"/>
      <c r="V133" s="409"/>
      <c r="W133" s="392"/>
      <c r="X133" s="392"/>
      <c r="Y133" s="409"/>
      <c r="Z133" s="409"/>
      <c r="AA133" s="392"/>
      <c r="AB133" s="392"/>
      <c r="AC133" s="392"/>
      <c r="AD133" s="409"/>
      <c r="AE133" s="409"/>
      <c r="AF133" s="409"/>
      <c r="AG133" s="409"/>
      <c r="AH133" s="409"/>
      <c r="AI133" s="409"/>
      <c r="AJ133" s="409"/>
      <c r="AK133" s="409"/>
      <c r="AL133" s="409"/>
      <c r="AM133" s="409"/>
      <c r="AN133" s="409"/>
      <c r="AO133" s="409"/>
      <c r="AP133" s="409"/>
      <c r="AQ133" s="409"/>
      <c r="AR133" s="409"/>
      <c r="AS133" s="409"/>
      <c r="AT133" s="409"/>
      <c r="AU133" s="409"/>
      <c r="AV133" s="409"/>
      <c r="AW133" s="409"/>
      <c r="AX133" s="409"/>
      <c r="AY133" s="409"/>
      <c r="AZ133" s="409"/>
      <c r="BA133" s="409"/>
      <c r="BB133" s="409"/>
      <c r="BC133" s="409"/>
      <c r="BD133" s="407"/>
      <c r="BE133" s="444"/>
      <c r="BF133" s="444"/>
      <c r="BG133" s="444"/>
      <c r="BH133" s="444"/>
      <c r="BI133" s="444"/>
      <c r="BJ133" s="444"/>
      <c r="BK133" s="444"/>
      <c r="BL133" s="444"/>
      <c r="BM133" s="444"/>
      <c r="BN133" s="444"/>
      <c r="BO133" s="444"/>
      <c r="BP133" s="444"/>
      <c r="BQ133" s="444"/>
      <c r="BR133" s="444"/>
      <c r="BS133" s="444"/>
      <c r="BT133" s="444"/>
    </row>
    <row r="134" spans="1:72" s="443" customFormat="1" ht="15">
      <c r="A134" s="392"/>
      <c r="B134" s="392"/>
      <c r="C134" s="392"/>
      <c r="D134" s="392"/>
      <c r="E134" s="392"/>
      <c r="F134" s="392"/>
      <c r="G134" s="392"/>
      <c r="H134" s="392"/>
      <c r="I134" s="392"/>
      <c r="J134" s="392"/>
      <c r="K134" s="392"/>
      <c r="L134" s="392"/>
      <c r="M134" s="392"/>
      <c r="N134" s="392"/>
      <c r="O134" s="392"/>
      <c r="P134" s="392"/>
      <c r="Q134" s="392"/>
      <c r="R134" s="392"/>
      <c r="S134" s="409"/>
      <c r="T134" s="409"/>
      <c r="U134" s="409"/>
      <c r="V134" s="409"/>
      <c r="W134" s="392"/>
      <c r="X134" s="392"/>
      <c r="Y134" s="409"/>
      <c r="Z134" s="409"/>
      <c r="AA134" s="392"/>
      <c r="AB134" s="392"/>
      <c r="AC134" s="392"/>
      <c r="AD134" s="409"/>
      <c r="AE134" s="409"/>
      <c r="AF134" s="409"/>
      <c r="AG134" s="409"/>
      <c r="AH134" s="409"/>
      <c r="AI134" s="409"/>
      <c r="AJ134" s="409"/>
      <c r="AK134" s="409"/>
      <c r="AL134" s="409"/>
      <c r="AM134" s="409"/>
      <c r="AN134" s="409"/>
      <c r="AO134" s="409"/>
      <c r="AP134" s="409"/>
      <c r="AQ134" s="409"/>
      <c r="AR134" s="409"/>
      <c r="AS134" s="409"/>
      <c r="AT134" s="409"/>
      <c r="AU134" s="409"/>
      <c r="AV134" s="409"/>
      <c r="AW134" s="409"/>
      <c r="AX134" s="409"/>
      <c r="AY134" s="409"/>
      <c r="AZ134" s="409"/>
      <c r="BA134" s="409"/>
      <c r="BB134" s="409"/>
      <c r="BC134" s="409"/>
      <c r="BD134" s="407"/>
      <c r="BE134" s="444"/>
      <c r="BF134" s="444"/>
      <c r="BG134" s="444"/>
      <c r="BH134" s="444"/>
      <c r="BI134" s="444"/>
      <c r="BJ134" s="444"/>
      <c r="BK134" s="444"/>
      <c r="BL134" s="444"/>
      <c r="BM134" s="444"/>
      <c r="BN134" s="444"/>
      <c r="BO134" s="444"/>
      <c r="BP134" s="444"/>
      <c r="BQ134" s="444"/>
      <c r="BR134" s="444"/>
      <c r="BS134" s="444"/>
      <c r="BT134" s="444"/>
    </row>
    <row r="135" spans="1:72" s="443" customFormat="1" ht="15">
      <c r="A135" s="392"/>
      <c r="B135" s="392"/>
      <c r="C135" s="392"/>
      <c r="D135" s="392"/>
      <c r="E135" s="392"/>
      <c r="F135" s="392"/>
      <c r="G135" s="392"/>
      <c r="H135" s="392"/>
      <c r="I135" s="392"/>
      <c r="J135" s="392"/>
      <c r="K135" s="392"/>
      <c r="L135" s="392"/>
      <c r="M135" s="392"/>
      <c r="N135" s="392"/>
      <c r="O135" s="392"/>
      <c r="P135" s="392"/>
      <c r="Q135" s="392"/>
      <c r="R135" s="392"/>
      <c r="S135" s="409"/>
      <c r="T135" s="409"/>
      <c r="U135" s="409"/>
      <c r="V135" s="409"/>
      <c r="W135" s="392"/>
      <c r="X135" s="392"/>
      <c r="Y135" s="409"/>
      <c r="Z135" s="409"/>
      <c r="AA135" s="392"/>
      <c r="AB135" s="392"/>
      <c r="AC135" s="392"/>
      <c r="AD135" s="409"/>
      <c r="AE135" s="409"/>
      <c r="AF135" s="409"/>
      <c r="AG135" s="409"/>
      <c r="AH135" s="409"/>
      <c r="AI135" s="409"/>
      <c r="AJ135" s="409"/>
      <c r="AK135" s="409"/>
      <c r="AL135" s="409"/>
      <c r="AM135" s="409"/>
      <c r="AN135" s="409"/>
      <c r="AO135" s="409"/>
      <c r="AP135" s="409"/>
      <c r="AQ135" s="409"/>
      <c r="AR135" s="409"/>
      <c r="AS135" s="409"/>
      <c r="AT135" s="409"/>
      <c r="AU135" s="409"/>
      <c r="AV135" s="409"/>
      <c r="AW135" s="409"/>
      <c r="AX135" s="409"/>
      <c r="AY135" s="409"/>
      <c r="AZ135" s="409"/>
      <c r="BA135" s="409"/>
      <c r="BB135" s="409"/>
      <c r="BC135" s="409"/>
      <c r="BD135" s="407"/>
      <c r="BE135" s="444"/>
      <c r="BF135" s="444"/>
      <c r="BG135" s="444"/>
      <c r="BH135" s="444"/>
      <c r="BI135" s="444"/>
      <c r="BJ135" s="444"/>
      <c r="BK135" s="444"/>
      <c r="BL135" s="444"/>
      <c r="BM135" s="444"/>
      <c r="BN135" s="444"/>
      <c r="BO135" s="444"/>
      <c r="BP135" s="444"/>
      <c r="BQ135" s="444"/>
      <c r="BR135" s="444"/>
      <c r="BS135" s="444"/>
      <c r="BT135" s="444"/>
    </row>
    <row r="136" spans="1:72" s="443" customFormat="1" ht="15">
      <c r="A136" s="392"/>
      <c r="B136" s="392"/>
      <c r="C136" s="392"/>
      <c r="D136" s="392"/>
      <c r="E136" s="392"/>
      <c r="F136" s="392"/>
      <c r="G136" s="392"/>
      <c r="H136" s="392"/>
      <c r="I136" s="392"/>
      <c r="J136" s="392"/>
      <c r="K136" s="392"/>
      <c r="L136" s="392"/>
      <c r="M136" s="392"/>
      <c r="N136" s="392"/>
      <c r="O136" s="392"/>
      <c r="P136" s="392"/>
      <c r="Q136" s="392"/>
      <c r="R136" s="392"/>
      <c r="S136" s="409"/>
      <c r="T136" s="409"/>
      <c r="U136" s="409"/>
      <c r="V136" s="409"/>
      <c r="W136" s="392"/>
      <c r="X136" s="392"/>
      <c r="Y136" s="409"/>
      <c r="Z136" s="409"/>
      <c r="AA136" s="392"/>
      <c r="AB136" s="392"/>
      <c r="AC136" s="392"/>
      <c r="AD136" s="409"/>
      <c r="AE136" s="409"/>
      <c r="AF136" s="409"/>
      <c r="AG136" s="409"/>
      <c r="AH136" s="409"/>
      <c r="AI136" s="409"/>
      <c r="AJ136" s="409"/>
      <c r="AK136" s="409"/>
      <c r="AL136" s="409"/>
      <c r="AM136" s="409"/>
      <c r="AN136" s="409"/>
      <c r="AO136" s="409"/>
      <c r="AP136" s="409"/>
      <c r="AQ136" s="409"/>
      <c r="AR136" s="409"/>
      <c r="AS136" s="409"/>
      <c r="AT136" s="409"/>
      <c r="AU136" s="409"/>
      <c r="AV136" s="409"/>
      <c r="AW136" s="409"/>
      <c r="AX136" s="409"/>
      <c r="AY136" s="409"/>
      <c r="AZ136" s="409"/>
      <c r="BA136" s="409"/>
      <c r="BB136" s="409"/>
      <c r="BC136" s="409"/>
      <c r="BD136" s="407"/>
      <c r="BE136" s="444"/>
      <c r="BF136" s="444"/>
      <c r="BG136" s="444"/>
      <c r="BH136" s="444"/>
      <c r="BI136" s="444"/>
      <c r="BJ136" s="444"/>
      <c r="BK136" s="444"/>
      <c r="BL136" s="444"/>
      <c r="BM136" s="444"/>
      <c r="BN136" s="444"/>
      <c r="BO136" s="444"/>
      <c r="BP136" s="444"/>
      <c r="BQ136" s="444"/>
      <c r="BR136" s="444"/>
      <c r="BS136" s="444"/>
      <c r="BT136" s="444"/>
    </row>
    <row r="137" spans="1:72" s="443" customFormat="1" ht="15">
      <c r="A137" s="392"/>
      <c r="B137" s="392"/>
      <c r="C137" s="392"/>
      <c r="D137" s="392"/>
      <c r="E137" s="392"/>
      <c r="F137" s="392"/>
      <c r="G137" s="392"/>
      <c r="H137" s="392"/>
      <c r="I137" s="392"/>
      <c r="J137" s="392"/>
      <c r="K137" s="392"/>
      <c r="L137" s="392"/>
      <c r="M137" s="392"/>
      <c r="N137" s="392"/>
      <c r="O137" s="392"/>
      <c r="P137" s="392"/>
      <c r="Q137" s="392"/>
      <c r="R137" s="392"/>
      <c r="S137" s="409"/>
      <c r="T137" s="409"/>
      <c r="U137" s="409"/>
      <c r="V137" s="409"/>
      <c r="W137" s="392"/>
      <c r="X137" s="392"/>
      <c r="Y137" s="409"/>
      <c r="Z137" s="409"/>
      <c r="AA137" s="392"/>
      <c r="AB137" s="392"/>
      <c r="AC137" s="392"/>
      <c r="AD137" s="409"/>
      <c r="AE137" s="409"/>
      <c r="AF137" s="409"/>
      <c r="AG137" s="409"/>
      <c r="AH137" s="409"/>
      <c r="AI137" s="409"/>
      <c r="AJ137" s="409"/>
      <c r="AK137" s="409"/>
      <c r="AL137" s="409"/>
      <c r="AM137" s="409"/>
      <c r="AN137" s="409"/>
      <c r="AO137" s="409"/>
      <c r="AP137" s="409"/>
      <c r="AQ137" s="409"/>
      <c r="AR137" s="409"/>
      <c r="AS137" s="409"/>
      <c r="AT137" s="409"/>
      <c r="AU137" s="409"/>
      <c r="AV137" s="409"/>
      <c r="AW137" s="409"/>
      <c r="AX137" s="409"/>
      <c r="AY137" s="409"/>
      <c r="AZ137" s="409"/>
      <c r="BA137" s="409"/>
      <c r="BB137" s="409"/>
      <c r="BC137" s="409"/>
      <c r="BD137" s="407"/>
      <c r="BE137" s="444"/>
      <c r="BF137" s="444"/>
      <c r="BG137" s="444"/>
      <c r="BH137" s="444"/>
      <c r="BI137" s="444"/>
      <c r="BJ137" s="444"/>
      <c r="BK137" s="444"/>
      <c r="BL137" s="444"/>
      <c r="BM137" s="444"/>
      <c r="BN137" s="444"/>
      <c r="BO137" s="444"/>
      <c r="BP137" s="444"/>
      <c r="BQ137" s="444"/>
      <c r="BR137" s="444"/>
      <c r="BS137" s="444"/>
      <c r="BT137" s="444"/>
    </row>
    <row r="138" spans="1:72" s="443" customFormat="1" ht="15">
      <c r="A138" s="392"/>
      <c r="B138" s="392"/>
      <c r="C138" s="392"/>
      <c r="D138" s="392"/>
      <c r="E138" s="392"/>
      <c r="F138" s="392"/>
      <c r="G138" s="392"/>
      <c r="H138" s="392"/>
      <c r="I138" s="392"/>
      <c r="J138" s="392"/>
      <c r="K138" s="392"/>
      <c r="L138" s="392"/>
      <c r="M138" s="392"/>
      <c r="N138" s="392"/>
      <c r="O138" s="392"/>
      <c r="P138" s="392"/>
      <c r="Q138" s="392"/>
      <c r="R138" s="392"/>
      <c r="S138" s="409"/>
      <c r="T138" s="409"/>
      <c r="U138" s="409"/>
      <c r="V138" s="409"/>
      <c r="W138" s="392"/>
      <c r="X138" s="392"/>
      <c r="Y138" s="409"/>
      <c r="Z138" s="409"/>
      <c r="AA138" s="392"/>
      <c r="AB138" s="392"/>
      <c r="AC138" s="392"/>
      <c r="AD138" s="409"/>
      <c r="AE138" s="409"/>
      <c r="AF138" s="409"/>
      <c r="AG138" s="409"/>
      <c r="AH138" s="409"/>
      <c r="AI138" s="409"/>
      <c r="AJ138" s="409"/>
      <c r="AK138" s="409"/>
      <c r="AL138" s="409"/>
      <c r="AM138" s="409"/>
      <c r="AN138" s="409"/>
      <c r="AO138" s="409"/>
      <c r="AP138" s="409"/>
      <c r="AQ138" s="409"/>
      <c r="AR138" s="409"/>
      <c r="AS138" s="409"/>
      <c r="AT138" s="409"/>
      <c r="AU138" s="409"/>
      <c r="AV138" s="409"/>
      <c r="AW138" s="409"/>
      <c r="AX138" s="409"/>
      <c r="AY138" s="409"/>
      <c r="AZ138" s="409"/>
      <c r="BA138" s="409"/>
      <c r="BB138" s="409"/>
      <c r="BC138" s="409"/>
      <c r="BD138" s="407"/>
      <c r="BE138" s="444"/>
      <c r="BF138" s="444"/>
      <c r="BG138" s="444"/>
      <c r="BH138" s="444"/>
      <c r="BI138" s="444"/>
      <c r="BJ138" s="444"/>
      <c r="BK138" s="444"/>
      <c r="BL138" s="444"/>
      <c r="BM138" s="444"/>
      <c r="BN138" s="444"/>
      <c r="BO138" s="444"/>
      <c r="BP138" s="444"/>
      <c r="BQ138" s="444"/>
      <c r="BR138" s="444"/>
      <c r="BS138" s="444"/>
      <c r="BT138" s="444"/>
    </row>
    <row r="139" spans="1:72" s="443" customFormat="1" ht="15">
      <c r="A139" s="392"/>
      <c r="B139" s="392"/>
      <c r="C139" s="392"/>
      <c r="D139" s="392"/>
      <c r="E139" s="392"/>
      <c r="F139" s="392"/>
      <c r="G139" s="392"/>
      <c r="H139" s="392"/>
      <c r="I139" s="392"/>
      <c r="J139" s="392"/>
      <c r="K139" s="392"/>
      <c r="L139" s="392"/>
      <c r="M139" s="392"/>
      <c r="N139" s="392"/>
      <c r="O139" s="392"/>
      <c r="P139" s="392"/>
      <c r="Q139" s="392"/>
      <c r="R139" s="392"/>
      <c r="S139" s="409"/>
      <c r="T139" s="409"/>
      <c r="U139" s="409"/>
      <c r="V139" s="409"/>
      <c r="W139" s="392"/>
      <c r="X139" s="392"/>
      <c r="Y139" s="409"/>
      <c r="Z139" s="409"/>
      <c r="AA139" s="392"/>
      <c r="AB139" s="392"/>
      <c r="AC139" s="392"/>
      <c r="AD139" s="409"/>
      <c r="AE139" s="409"/>
      <c r="AF139" s="409"/>
      <c r="AG139" s="409"/>
      <c r="AH139" s="409"/>
      <c r="AI139" s="409"/>
      <c r="AJ139" s="409"/>
      <c r="AK139" s="409"/>
      <c r="AL139" s="409"/>
      <c r="AM139" s="409"/>
      <c r="AN139" s="409"/>
      <c r="AO139" s="409"/>
      <c r="AP139" s="409"/>
      <c r="AQ139" s="409"/>
      <c r="AR139" s="409"/>
      <c r="AS139" s="409"/>
      <c r="AT139" s="409"/>
      <c r="AU139" s="409"/>
      <c r="AV139" s="409"/>
      <c r="AW139" s="409"/>
      <c r="AX139" s="409"/>
      <c r="AY139" s="409"/>
      <c r="AZ139" s="409"/>
      <c r="BA139" s="409"/>
      <c r="BB139" s="409"/>
      <c r="BC139" s="409"/>
      <c r="BD139" s="407"/>
      <c r="BE139" s="444"/>
      <c r="BF139" s="444"/>
      <c r="BG139" s="444"/>
      <c r="BH139" s="444"/>
      <c r="BI139" s="444"/>
      <c r="BJ139" s="444"/>
      <c r="BK139" s="444"/>
      <c r="BL139" s="444"/>
      <c r="BM139" s="444"/>
      <c r="BN139" s="444"/>
      <c r="BO139" s="444"/>
      <c r="BP139" s="444"/>
      <c r="BQ139" s="444"/>
      <c r="BR139" s="444"/>
      <c r="BS139" s="444"/>
      <c r="BT139" s="444"/>
    </row>
    <row r="140" spans="1:72" s="443" customFormat="1" ht="15">
      <c r="A140" s="392"/>
      <c r="B140" s="392"/>
      <c r="C140" s="392"/>
      <c r="D140" s="392"/>
      <c r="E140" s="392"/>
      <c r="F140" s="392"/>
      <c r="G140" s="392"/>
      <c r="H140" s="392"/>
      <c r="I140" s="392"/>
      <c r="J140" s="392"/>
      <c r="K140" s="392"/>
      <c r="L140" s="392"/>
      <c r="M140" s="392"/>
      <c r="N140" s="392"/>
      <c r="O140" s="392"/>
      <c r="P140" s="392"/>
      <c r="Q140" s="392"/>
      <c r="R140" s="392"/>
      <c r="S140" s="409"/>
      <c r="T140" s="409"/>
      <c r="U140" s="409"/>
      <c r="V140" s="409"/>
      <c r="W140" s="392"/>
      <c r="X140" s="392"/>
      <c r="Y140" s="409"/>
      <c r="Z140" s="409"/>
      <c r="AA140" s="392"/>
      <c r="AB140" s="392"/>
      <c r="AC140" s="392"/>
      <c r="AD140" s="409"/>
      <c r="AE140" s="409"/>
      <c r="AF140" s="409"/>
      <c r="AG140" s="409"/>
      <c r="AH140" s="409"/>
      <c r="AI140" s="409"/>
      <c r="AJ140" s="409"/>
      <c r="AK140" s="409"/>
      <c r="AL140" s="409"/>
      <c r="AM140" s="409"/>
      <c r="AN140" s="409"/>
      <c r="AO140" s="409"/>
      <c r="AP140" s="409"/>
      <c r="AQ140" s="409"/>
      <c r="AR140" s="409"/>
      <c r="AS140" s="409"/>
      <c r="AT140" s="409"/>
      <c r="AU140" s="409"/>
      <c r="AV140" s="409"/>
      <c r="AW140" s="409"/>
      <c r="AX140" s="409"/>
      <c r="AY140" s="409"/>
      <c r="AZ140" s="409"/>
      <c r="BA140" s="409"/>
      <c r="BB140" s="409"/>
      <c r="BC140" s="409"/>
      <c r="BD140" s="407"/>
      <c r="BE140" s="444"/>
      <c r="BF140" s="444"/>
      <c r="BG140" s="444"/>
      <c r="BH140" s="444"/>
      <c r="BI140" s="444"/>
      <c r="BJ140" s="444"/>
      <c r="BK140" s="444"/>
      <c r="BL140" s="444"/>
      <c r="BM140" s="444"/>
      <c r="BN140" s="444"/>
      <c r="BO140" s="444"/>
      <c r="BP140" s="444"/>
      <c r="BQ140" s="444"/>
      <c r="BR140" s="444"/>
      <c r="BS140" s="444"/>
      <c r="BT140" s="444"/>
    </row>
    <row r="141" spans="1:72" s="443" customFormat="1" ht="15">
      <c r="A141" s="392"/>
      <c r="B141" s="392"/>
      <c r="C141" s="392"/>
      <c r="D141" s="392"/>
      <c r="E141" s="392"/>
      <c r="F141" s="392"/>
      <c r="G141" s="392"/>
      <c r="H141" s="392"/>
      <c r="I141" s="392"/>
      <c r="J141" s="392"/>
      <c r="K141" s="392"/>
      <c r="L141" s="392"/>
      <c r="M141" s="392"/>
      <c r="N141" s="392"/>
      <c r="O141" s="392"/>
      <c r="P141" s="392"/>
      <c r="Q141" s="392"/>
      <c r="R141" s="392"/>
      <c r="S141" s="409"/>
      <c r="T141" s="409"/>
      <c r="U141" s="409"/>
      <c r="V141" s="409"/>
      <c r="W141" s="392"/>
      <c r="X141" s="392"/>
      <c r="Y141" s="409"/>
      <c r="Z141" s="409"/>
      <c r="AA141" s="392"/>
      <c r="AB141" s="392"/>
      <c r="AC141" s="392"/>
      <c r="AD141" s="409"/>
      <c r="AE141" s="409"/>
      <c r="AF141" s="409"/>
      <c r="AG141" s="409"/>
      <c r="AH141" s="409"/>
      <c r="AI141" s="409"/>
      <c r="AJ141" s="409"/>
      <c r="AK141" s="409"/>
      <c r="AL141" s="409"/>
      <c r="AM141" s="409"/>
      <c r="AN141" s="409"/>
      <c r="AO141" s="409"/>
      <c r="AP141" s="409"/>
      <c r="AQ141" s="409"/>
      <c r="AR141" s="409"/>
      <c r="AS141" s="409"/>
      <c r="AT141" s="409"/>
      <c r="AU141" s="409"/>
      <c r="AV141" s="409"/>
      <c r="AW141" s="409"/>
      <c r="AX141" s="409"/>
      <c r="AY141" s="409"/>
      <c r="AZ141" s="409"/>
      <c r="BA141" s="409"/>
      <c r="BB141" s="409"/>
      <c r="BC141" s="409"/>
      <c r="BD141" s="407"/>
      <c r="BE141" s="444"/>
      <c r="BF141" s="444"/>
      <c r="BG141" s="444"/>
      <c r="BH141" s="444"/>
      <c r="BI141" s="444"/>
      <c r="BJ141" s="444"/>
      <c r="BK141" s="444"/>
      <c r="BL141" s="444"/>
      <c r="BM141" s="444"/>
      <c r="BN141" s="444"/>
      <c r="BO141" s="444"/>
      <c r="BP141" s="444"/>
      <c r="BQ141" s="444"/>
      <c r="BR141" s="444"/>
      <c r="BS141" s="444"/>
      <c r="BT141" s="444"/>
    </row>
    <row r="142" spans="1:72" s="443" customFormat="1" ht="15">
      <c r="A142" s="392"/>
      <c r="B142" s="392"/>
      <c r="C142" s="392"/>
      <c r="D142" s="392"/>
      <c r="E142" s="392"/>
      <c r="F142" s="392"/>
      <c r="G142" s="392"/>
      <c r="H142" s="392"/>
      <c r="I142" s="392"/>
      <c r="J142" s="392"/>
      <c r="K142" s="392"/>
      <c r="L142" s="392"/>
      <c r="M142" s="392"/>
      <c r="N142" s="392"/>
      <c r="O142" s="392"/>
      <c r="P142" s="392"/>
      <c r="Q142" s="392"/>
      <c r="R142" s="392"/>
      <c r="S142" s="409"/>
      <c r="T142" s="409"/>
      <c r="U142" s="409"/>
      <c r="V142" s="409"/>
      <c r="W142" s="392"/>
      <c r="X142" s="392"/>
      <c r="Y142" s="409"/>
      <c r="Z142" s="409"/>
      <c r="AA142" s="392"/>
      <c r="AB142" s="392"/>
      <c r="AC142" s="392"/>
      <c r="AD142" s="409"/>
      <c r="AE142" s="409"/>
      <c r="AF142" s="409"/>
      <c r="AG142" s="409"/>
      <c r="AH142" s="409"/>
      <c r="AI142" s="409"/>
      <c r="AJ142" s="409"/>
      <c r="AK142" s="409"/>
      <c r="AL142" s="409"/>
      <c r="AM142" s="409"/>
      <c r="AN142" s="409"/>
      <c r="AO142" s="409"/>
      <c r="AP142" s="409"/>
      <c r="AQ142" s="409"/>
      <c r="AR142" s="409"/>
      <c r="AS142" s="409"/>
      <c r="AT142" s="409"/>
      <c r="AU142" s="409"/>
      <c r="AV142" s="409"/>
      <c r="AW142" s="409"/>
      <c r="AX142" s="409"/>
      <c r="AY142" s="409"/>
      <c r="AZ142" s="409"/>
      <c r="BA142" s="409"/>
      <c r="BB142" s="409"/>
      <c r="BC142" s="409"/>
      <c r="BD142" s="407"/>
      <c r="BE142" s="444"/>
      <c r="BF142" s="444"/>
      <c r="BG142" s="444"/>
      <c r="BH142" s="444"/>
      <c r="BI142" s="444"/>
      <c r="BJ142" s="444"/>
      <c r="BK142" s="444"/>
      <c r="BL142" s="444"/>
      <c r="BM142" s="444"/>
      <c r="BN142" s="444"/>
      <c r="BO142" s="444"/>
      <c r="BP142" s="444"/>
      <c r="BQ142" s="444"/>
      <c r="BR142" s="444"/>
      <c r="BS142" s="444"/>
      <c r="BT142" s="444"/>
    </row>
    <row r="143" spans="1:72" s="443" customFormat="1" ht="15">
      <c r="A143" s="392"/>
      <c r="B143" s="392"/>
      <c r="C143" s="392"/>
      <c r="D143" s="392"/>
      <c r="E143" s="392"/>
      <c r="F143" s="392"/>
      <c r="G143" s="392"/>
      <c r="H143" s="392"/>
      <c r="I143" s="392"/>
      <c r="J143" s="392"/>
      <c r="K143" s="392"/>
      <c r="L143" s="392"/>
      <c r="M143" s="392"/>
      <c r="N143" s="392"/>
      <c r="O143" s="392"/>
      <c r="P143" s="392"/>
      <c r="Q143" s="392"/>
      <c r="R143" s="392"/>
      <c r="S143" s="409"/>
      <c r="T143" s="409"/>
      <c r="U143" s="409"/>
      <c r="V143" s="409"/>
      <c r="W143" s="392"/>
      <c r="X143" s="392"/>
      <c r="Y143" s="409"/>
      <c r="Z143" s="409"/>
      <c r="AA143" s="392"/>
      <c r="AB143" s="392"/>
      <c r="AC143" s="392"/>
      <c r="AD143" s="409"/>
      <c r="AE143" s="409"/>
      <c r="AF143" s="409"/>
      <c r="AG143" s="409"/>
      <c r="AH143" s="409"/>
      <c r="AI143" s="409"/>
      <c r="AJ143" s="409"/>
      <c r="AK143" s="409"/>
      <c r="AL143" s="409"/>
      <c r="AM143" s="409"/>
      <c r="AN143" s="409"/>
      <c r="AO143" s="409"/>
      <c r="AP143" s="409"/>
      <c r="AQ143" s="409"/>
      <c r="AR143" s="409"/>
      <c r="AS143" s="409"/>
      <c r="AT143" s="409"/>
      <c r="AU143" s="409"/>
      <c r="AV143" s="409"/>
      <c r="AW143" s="409"/>
      <c r="AX143" s="409"/>
      <c r="AY143" s="409"/>
      <c r="AZ143" s="409"/>
      <c r="BA143" s="409"/>
      <c r="BB143" s="409"/>
      <c r="BC143" s="409"/>
      <c r="BD143" s="407"/>
      <c r="BE143" s="444"/>
      <c r="BF143" s="444"/>
      <c r="BG143" s="444"/>
      <c r="BH143" s="444"/>
      <c r="BI143" s="444"/>
      <c r="BJ143" s="444"/>
      <c r="BK143" s="444"/>
      <c r="BL143" s="444"/>
      <c r="BM143" s="444"/>
      <c r="BN143" s="444"/>
      <c r="BO143" s="444"/>
      <c r="BP143" s="444"/>
      <c r="BQ143" s="444"/>
      <c r="BR143" s="444"/>
      <c r="BS143" s="444"/>
      <c r="BT143" s="444"/>
    </row>
    <row r="144" spans="1:72" s="443" customFormat="1" ht="15">
      <c r="A144" s="392"/>
      <c r="B144" s="392"/>
      <c r="C144" s="392"/>
      <c r="D144" s="392"/>
      <c r="E144" s="392"/>
      <c r="F144" s="392"/>
      <c r="G144" s="392"/>
      <c r="H144" s="392"/>
      <c r="I144" s="392"/>
      <c r="J144" s="392"/>
      <c r="K144" s="392"/>
      <c r="L144" s="392"/>
      <c r="M144" s="392"/>
      <c r="N144" s="392"/>
      <c r="O144" s="392"/>
      <c r="P144" s="392"/>
      <c r="Q144" s="392"/>
      <c r="R144" s="392"/>
      <c r="S144" s="409"/>
      <c r="T144" s="409"/>
      <c r="U144" s="409"/>
      <c r="V144" s="409"/>
      <c r="W144" s="392"/>
      <c r="X144" s="392"/>
      <c r="Y144" s="409"/>
      <c r="Z144" s="409"/>
      <c r="AA144" s="392"/>
      <c r="AB144" s="392"/>
      <c r="AC144" s="392"/>
      <c r="AD144" s="409"/>
      <c r="AE144" s="409"/>
      <c r="AF144" s="409"/>
      <c r="AG144" s="409"/>
      <c r="AH144" s="409"/>
      <c r="AI144" s="409"/>
      <c r="AJ144" s="409"/>
      <c r="AK144" s="409"/>
      <c r="AL144" s="409"/>
      <c r="AM144" s="409"/>
      <c r="AN144" s="409"/>
      <c r="AO144" s="409"/>
      <c r="AP144" s="409"/>
      <c r="AQ144" s="409"/>
      <c r="AR144" s="409"/>
      <c r="AS144" s="409"/>
      <c r="AT144" s="409"/>
      <c r="AU144" s="409"/>
      <c r="AV144" s="409"/>
      <c r="AW144" s="409"/>
      <c r="AX144" s="409"/>
      <c r="AY144" s="409"/>
      <c r="AZ144" s="409"/>
      <c r="BA144" s="409"/>
      <c r="BB144" s="409"/>
      <c r="BC144" s="409"/>
      <c r="BD144" s="407"/>
      <c r="BE144" s="444"/>
      <c r="BF144" s="444"/>
      <c r="BG144" s="444"/>
      <c r="BH144" s="444"/>
      <c r="BI144" s="444"/>
      <c r="BJ144" s="444"/>
      <c r="BK144" s="444"/>
      <c r="BL144" s="444"/>
      <c r="BM144" s="444"/>
      <c r="BN144" s="444"/>
      <c r="BO144" s="444"/>
      <c r="BP144" s="444"/>
      <c r="BQ144" s="444"/>
      <c r="BR144" s="444"/>
      <c r="BS144" s="444"/>
      <c r="BT144" s="444"/>
    </row>
    <row r="145" spans="1:72" s="443" customFormat="1" ht="15">
      <c r="A145" s="392"/>
      <c r="B145" s="392"/>
      <c r="C145" s="392"/>
      <c r="D145" s="392"/>
      <c r="E145" s="392"/>
      <c r="F145" s="392"/>
      <c r="G145" s="392"/>
      <c r="H145" s="392"/>
      <c r="I145" s="392"/>
      <c r="J145" s="392"/>
      <c r="K145" s="392"/>
      <c r="L145" s="392"/>
      <c r="M145" s="392"/>
      <c r="N145" s="392"/>
      <c r="O145" s="392"/>
      <c r="P145" s="392"/>
      <c r="Q145" s="392"/>
      <c r="R145" s="392"/>
      <c r="S145" s="409"/>
      <c r="T145" s="409"/>
      <c r="U145" s="409"/>
      <c r="V145" s="409"/>
      <c r="W145" s="392"/>
      <c r="X145" s="392"/>
      <c r="Y145" s="409"/>
      <c r="Z145" s="409"/>
      <c r="AA145" s="392"/>
      <c r="AB145" s="392"/>
      <c r="AC145" s="392"/>
      <c r="AD145" s="409"/>
      <c r="AE145" s="409"/>
      <c r="AF145" s="409"/>
      <c r="AG145" s="409"/>
      <c r="AH145" s="409"/>
      <c r="AI145" s="409"/>
      <c r="AJ145" s="409"/>
      <c r="AK145" s="409"/>
      <c r="AL145" s="409"/>
      <c r="AM145" s="409"/>
      <c r="AN145" s="409"/>
      <c r="AO145" s="409"/>
      <c r="AP145" s="409"/>
      <c r="AQ145" s="409"/>
      <c r="AR145" s="409"/>
      <c r="AS145" s="409"/>
      <c r="AT145" s="409"/>
      <c r="AU145" s="409"/>
      <c r="AV145" s="409"/>
      <c r="AW145" s="409"/>
      <c r="AX145" s="409"/>
      <c r="AY145" s="409"/>
      <c r="AZ145" s="409"/>
      <c r="BA145" s="409"/>
      <c r="BB145" s="409"/>
      <c r="BC145" s="409"/>
      <c r="BD145" s="407"/>
      <c r="BE145" s="444"/>
      <c r="BF145" s="444"/>
      <c r="BG145" s="444"/>
      <c r="BH145" s="444"/>
      <c r="BI145" s="444"/>
      <c r="BJ145" s="444"/>
      <c r="BK145" s="444"/>
      <c r="BL145" s="444"/>
      <c r="BM145" s="444"/>
      <c r="BN145" s="444"/>
      <c r="BO145" s="444"/>
      <c r="BP145" s="444"/>
      <c r="BQ145" s="444"/>
      <c r="BR145" s="444"/>
      <c r="BS145" s="444"/>
      <c r="BT145" s="444"/>
    </row>
    <row r="146" spans="1:72" s="443" customFormat="1" ht="15">
      <c r="A146" s="392"/>
      <c r="B146" s="392"/>
      <c r="C146" s="392"/>
      <c r="D146" s="392"/>
      <c r="E146" s="392"/>
      <c r="F146" s="392"/>
      <c r="G146" s="392"/>
      <c r="H146" s="392"/>
      <c r="I146" s="392"/>
      <c r="J146" s="392"/>
      <c r="K146" s="392"/>
      <c r="L146" s="392"/>
      <c r="M146" s="392"/>
      <c r="N146" s="392"/>
      <c r="O146" s="392"/>
      <c r="P146" s="392"/>
      <c r="Q146" s="392"/>
      <c r="R146" s="392"/>
      <c r="S146" s="409"/>
      <c r="T146" s="409"/>
      <c r="U146" s="409"/>
      <c r="V146" s="409"/>
      <c r="W146" s="392"/>
      <c r="X146" s="392"/>
      <c r="Y146" s="409"/>
      <c r="Z146" s="409"/>
      <c r="AA146" s="392"/>
      <c r="AB146" s="392"/>
      <c r="AC146" s="392"/>
      <c r="AD146" s="409"/>
      <c r="AE146" s="409"/>
      <c r="AF146" s="409"/>
      <c r="AG146" s="409"/>
      <c r="AH146" s="409"/>
      <c r="AI146" s="409"/>
      <c r="AJ146" s="409"/>
      <c r="AK146" s="409"/>
      <c r="AL146" s="409"/>
      <c r="AM146" s="409"/>
      <c r="AN146" s="409"/>
      <c r="AO146" s="409"/>
      <c r="AP146" s="409"/>
      <c r="AQ146" s="409"/>
      <c r="AR146" s="409"/>
      <c r="AS146" s="409"/>
      <c r="AT146" s="409"/>
      <c r="AU146" s="409"/>
      <c r="AV146" s="409"/>
      <c r="AW146" s="409"/>
      <c r="AX146" s="409"/>
      <c r="AY146" s="409"/>
      <c r="AZ146" s="409"/>
      <c r="BA146" s="409"/>
      <c r="BB146" s="409"/>
      <c r="BC146" s="409"/>
      <c r="BD146" s="407"/>
      <c r="BE146" s="444"/>
      <c r="BF146" s="444"/>
      <c r="BG146" s="444"/>
      <c r="BH146" s="444"/>
      <c r="BI146" s="444"/>
      <c r="BJ146" s="444"/>
      <c r="BK146" s="444"/>
      <c r="BL146" s="444"/>
      <c r="BM146" s="444"/>
      <c r="BN146" s="444"/>
      <c r="BO146" s="444"/>
      <c r="BP146" s="444"/>
      <c r="BQ146" s="444"/>
      <c r="BR146" s="444"/>
      <c r="BS146" s="444"/>
      <c r="BT146" s="444"/>
    </row>
    <row r="147" spans="1:72" s="443" customFormat="1" ht="15">
      <c r="A147" s="392"/>
      <c r="B147" s="392"/>
      <c r="C147" s="392"/>
      <c r="D147" s="392"/>
      <c r="E147" s="392"/>
      <c r="F147" s="392"/>
      <c r="G147" s="392"/>
      <c r="H147" s="392"/>
      <c r="I147" s="392"/>
      <c r="J147" s="392"/>
      <c r="K147" s="392"/>
      <c r="L147" s="392"/>
      <c r="M147" s="392"/>
      <c r="N147" s="392"/>
      <c r="O147" s="392"/>
      <c r="P147" s="392"/>
      <c r="Q147" s="392"/>
      <c r="R147" s="392"/>
      <c r="S147" s="409"/>
      <c r="T147" s="409"/>
      <c r="U147" s="409"/>
      <c r="V147" s="409"/>
      <c r="W147" s="392"/>
      <c r="X147" s="392"/>
      <c r="Y147" s="409"/>
      <c r="Z147" s="409"/>
      <c r="AA147" s="392"/>
      <c r="AB147" s="392"/>
      <c r="AC147" s="392"/>
      <c r="AD147" s="409"/>
      <c r="AE147" s="409"/>
      <c r="AF147" s="409"/>
      <c r="AG147" s="409"/>
      <c r="AH147" s="409"/>
      <c r="AI147" s="409"/>
      <c r="AJ147" s="409"/>
      <c r="AK147" s="409"/>
      <c r="AL147" s="409"/>
      <c r="AM147" s="409"/>
      <c r="AN147" s="409"/>
      <c r="AO147" s="409"/>
      <c r="AP147" s="409"/>
      <c r="AQ147" s="409"/>
      <c r="AR147" s="409"/>
      <c r="AS147" s="409"/>
      <c r="AT147" s="409"/>
      <c r="AU147" s="409"/>
      <c r="AV147" s="409"/>
      <c r="AW147" s="409"/>
      <c r="AX147" s="409"/>
      <c r="AY147" s="409"/>
      <c r="AZ147" s="409"/>
      <c r="BA147" s="409"/>
      <c r="BB147" s="409"/>
      <c r="BC147" s="409"/>
      <c r="BD147" s="407"/>
      <c r="BE147" s="444"/>
      <c r="BF147" s="444"/>
      <c r="BG147" s="444"/>
      <c r="BH147" s="444"/>
      <c r="BI147" s="444"/>
      <c r="BJ147" s="444"/>
      <c r="BK147" s="444"/>
      <c r="BL147" s="444"/>
      <c r="BM147" s="444"/>
      <c r="BN147" s="444"/>
      <c r="BO147" s="444"/>
      <c r="BP147" s="444"/>
      <c r="BQ147" s="444"/>
      <c r="BR147" s="444"/>
      <c r="BS147" s="444"/>
      <c r="BT147" s="444"/>
    </row>
    <row r="148" spans="1:72" s="443" customFormat="1" ht="15">
      <c r="A148" s="392"/>
      <c r="B148" s="392"/>
      <c r="C148" s="392"/>
      <c r="D148" s="392"/>
      <c r="E148" s="392"/>
      <c r="F148" s="392"/>
      <c r="G148" s="392"/>
      <c r="H148" s="392"/>
      <c r="I148" s="392"/>
      <c r="J148" s="392"/>
      <c r="K148" s="392"/>
      <c r="L148" s="392"/>
      <c r="M148" s="392"/>
      <c r="N148" s="392"/>
      <c r="O148" s="392"/>
      <c r="P148" s="392"/>
      <c r="Q148" s="392"/>
      <c r="R148" s="392"/>
      <c r="S148" s="409"/>
      <c r="T148" s="409"/>
      <c r="U148" s="409"/>
      <c r="V148" s="409"/>
      <c r="W148" s="392"/>
      <c r="X148" s="392"/>
      <c r="Y148" s="409"/>
      <c r="Z148" s="409"/>
      <c r="AA148" s="392"/>
      <c r="AB148" s="392"/>
      <c r="AC148" s="392"/>
      <c r="AD148" s="409"/>
      <c r="AE148" s="409"/>
      <c r="AF148" s="409"/>
      <c r="AG148" s="409"/>
      <c r="AH148" s="409"/>
      <c r="AI148" s="409"/>
      <c r="AJ148" s="409"/>
      <c r="AK148" s="409"/>
      <c r="AL148" s="409"/>
      <c r="AM148" s="409"/>
      <c r="AN148" s="409"/>
      <c r="AO148" s="409"/>
      <c r="AP148" s="409"/>
      <c r="AQ148" s="409"/>
      <c r="AR148" s="409"/>
      <c r="AS148" s="409"/>
      <c r="AT148" s="409"/>
      <c r="AU148" s="409"/>
      <c r="AV148" s="409"/>
      <c r="AW148" s="409"/>
      <c r="AX148" s="409"/>
      <c r="AY148" s="409"/>
      <c r="AZ148" s="409"/>
      <c r="BA148" s="409"/>
      <c r="BB148" s="409"/>
      <c r="BC148" s="409"/>
      <c r="BD148" s="407"/>
      <c r="BE148" s="444"/>
      <c r="BF148" s="444"/>
      <c r="BG148" s="444"/>
      <c r="BH148" s="444"/>
      <c r="BI148" s="444"/>
      <c r="BJ148" s="444"/>
      <c r="BK148" s="444"/>
      <c r="BL148" s="444"/>
      <c r="BM148" s="444"/>
      <c r="BN148" s="444"/>
      <c r="BO148" s="444"/>
      <c r="BP148" s="444"/>
      <c r="BQ148" s="444"/>
      <c r="BR148" s="444"/>
      <c r="BS148" s="444"/>
      <c r="BT148" s="444"/>
    </row>
    <row r="149" spans="1:72" s="443" customFormat="1" ht="15">
      <c r="A149" s="392"/>
      <c r="B149" s="392"/>
      <c r="C149" s="392"/>
      <c r="D149" s="392"/>
      <c r="E149" s="392"/>
      <c r="F149" s="392"/>
      <c r="G149" s="392"/>
      <c r="H149" s="392"/>
      <c r="I149" s="392"/>
      <c r="J149" s="392"/>
      <c r="K149" s="392"/>
      <c r="L149" s="392"/>
      <c r="M149" s="392"/>
      <c r="N149" s="392"/>
      <c r="O149" s="392"/>
      <c r="P149" s="392"/>
      <c r="Q149" s="392"/>
      <c r="R149" s="392"/>
      <c r="S149" s="409"/>
      <c r="T149" s="409"/>
      <c r="U149" s="409"/>
      <c r="V149" s="409"/>
      <c r="W149" s="392"/>
      <c r="X149" s="392"/>
      <c r="Y149" s="409"/>
      <c r="Z149" s="409"/>
      <c r="AA149" s="392"/>
      <c r="AB149" s="392"/>
      <c r="AC149" s="392"/>
      <c r="AD149" s="409"/>
      <c r="AE149" s="409"/>
      <c r="AF149" s="409"/>
      <c r="AG149" s="409"/>
      <c r="AH149" s="409"/>
      <c r="AI149" s="409"/>
      <c r="AJ149" s="409"/>
      <c r="AK149" s="409"/>
      <c r="AL149" s="409"/>
      <c r="AM149" s="409"/>
      <c r="AN149" s="409"/>
      <c r="AO149" s="409"/>
      <c r="AP149" s="409"/>
      <c r="AQ149" s="409"/>
      <c r="AR149" s="409"/>
      <c r="AS149" s="409"/>
      <c r="AT149" s="409"/>
      <c r="AU149" s="409"/>
      <c r="AV149" s="409"/>
      <c r="AW149" s="409"/>
      <c r="AX149" s="409"/>
      <c r="AY149" s="409"/>
      <c r="AZ149" s="409"/>
      <c r="BA149" s="409"/>
      <c r="BB149" s="409"/>
      <c r="BC149" s="409"/>
      <c r="BD149" s="407"/>
      <c r="BE149" s="444"/>
      <c r="BF149" s="444"/>
      <c r="BG149" s="444"/>
      <c r="BH149" s="444"/>
      <c r="BI149" s="444"/>
      <c r="BJ149" s="444"/>
      <c r="BK149" s="444"/>
      <c r="BL149" s="444"/>
      <c r="BM149" s="444"/>
      <c r="BN149" s="444"/>
      <c r="BO149" s="444"/>
      <c r="BP149" s="444"/>
      <c r="BQ149" s="444"/>
      <c r="BR149" s="444"/>
      <c r="BS149" s="444"/>
      <c r="BT149" s="444"/>
    </row>
    <row r="150" spans="1:72" s="443" customFormat="1" ht="15">
      <c r="A150" s="392"/>
      <c r="B150" s="392"/>
      <c r="C150" s="392"/>
      <c r="D150" s="392"/>
      <c r="E150" s="392"/>
      <c r="F150" s="392"/>
      <c r="G150" s="392"/>
      <c r="H150" s="392"/>
      <c r="I150" s="392"/>
      <c r="J150" s="392"/>
      <c r="K150" s="392"/>
      <c r="L150" s="392"/>
      <c r="M150" s="392"/>
      <c r="N150" s="392"/>
      <c r="O150" s="392"/>
      <c r="P150" s="392"/>
      <c r="Q150" s="392"/>
      <c r="R150" s="392"/>
      <c r="S150" s="409"/>
      <c r="T150" s="409"/>
      <c r="U150" s="409"/>
      <c r="V150" s="409"/>
      <c r="W150" s="392"/>
      <c r="X150" s="392"/>
      <c r="Y150" s="409"/>
      <c r="Z150" s="409"/>
      <c r="AA150" s="392"/>
      <c r="AB150" s="392"/>
      <c r="AC150" s="392"/>
      <c r="AD150" s="409"/>
      <c r="AE150" s="409"/>
      <c r="AF150" s="409"/>
      <c r="AG150" s="409"/>
      <c r="AH150" s="409"/>
      <c r="AI150" s="409"/>
      <c r="AJ150" s="409"/>
      <c r="AK150" s="409"/>
      <c r="AL150" s="409"/>
      <c r="AM150" s="409"/>
      <c r="AN150" s="409"/>
      <c r="AO150" s="409"/>
      <c r="AP150" s="409"/>
      <c r="AQ150" s="409"/>
      <c r="AR150" s="409"/>
      <c r="AS150" s="409"/>
      <c r="AT150" s="409"/>
      <c r="AU150" s="409"/>
      <c r="AV150" s="409"/>
      <c r="AW150" s="409"/>
      <c r="AX150" s="409"/>
      <c r="AY150" s="409"/>
      <c r="AZ150" s="409"/>
      <c r="BA150" s="409"/>
      <c r="BB150" s="409"/>
      <c r="BC150" s="409"/>
      <c r="BD150" s="407"/>
      <c r="BE150" s="444"/>
      <c r="BF150" s="444"/>
      <c r="BG150" s="444"/>
      <c r="BH150" s="444"/>
      <c r="BI150" s="444"/>
      <c r="BJ150" s="444"/>
      <c r="BK150" s="444"/>
      <c r="BL150" s="444"/>
      <c r="BM150" s="444"/>
      <c r="BN150" s="444"/>
      <c r="BO150" s="444"/>
      <c r="BP150" s="444"/>
      <c r="BQ150" s="444"/>
      <c r="BR150" s="444"/>
      <c r="BS150" s="444"/>
      <c r="BT150" s="444"/>
    </row>
    <row r="151" spans="1:72" s="443" customFormat="1" ht="15">
      <c r="A151" s="392"/>
      <c r="B151" s="392"/>
      <c r="C151" s="392"/>
      <c r="D151" s="392"/>
      <c r="E151" s="392"/>
      <c r="F151" s="392"/>
      <c r="G151" s="392"/>
      <c r="H151" s="392"/>
      <c r="I151" s="392"/>
      <c r="J151" s="392"/>
      <c r="K151" s="392"/>
      <c r="L151" s="392"/>
      <c r="M151" s="392"/>
      <c r="N151" s="392"/>
      <c r="O151" s="392"/>
      <c r="P151" s="392"/>
      <c r="Q151" s="392"/>
      <c r="R151" s="392"/>
      <c r="S151" s="409"/>
      <c r="T151" s="409"/>
      <c r="U151" s="409"/>
      <c r="V151" s="409"/>
      <c r="W151" s="392"/>
      <c r="X151" s="392"/>
      <c r="Y151" s="409"/>
      <c r="Z151" s="409"/>
      <c r="AA151" s="392"/>
      <c r="AB151" s="392"/>
      <c r="AC151" s="392"/>
      <c r="AD151" s="409"/>
      <c r="AE151" s="409"/>
      <c r="AF151" s="409"/>
      <c r="AG151" s="409"/>
      <c r="AH151" s="409"/>
      <c r="AI151" s="409"/>
      <c r="AJ151" s="409"/>
      <c r="AK151" s="409"/>
      <c r="AL151" s="409"/>
      <c r="AM151" s="409"/>
      <c r="AN151" s="409"/>
      <c r="AO151" s="409"/>
      <c r="AP151" s="409"/>
      <c r="AQ151" s="409"/>
      <c r="AR151" s="409"/>
      <c r="AS151" s="409"/>
      <c r="AT151" s="409"/>
      <c r="AU151" s="409"/>
      <c r="AV151" s="409"/>
      <c r="AW151" s="409"/>
      <c r="AX151" s="409"/>
      <c r="AY151" s="409"/>
      <c r="AZ151" s="409"/>
      <c r="BA151" s="409"/>
      <c r="BB151" s="409"/>
      <c r="BC151" s="409"/>
      <c r="BD151" s="407"/>
      <c r="BE151" s="444"/>
      <c r="BF151" s="444"/>
      <c r="BG151" s="444"/>
      <c r="BH151" s="444"/>
      <c r="BI151" s="444"/>
      <c r="BJ151" s="444"/>
      <c r="BK151" s="444"/>
      <c r="BL151" s="444"/>
      <c r="BM151" s="444"/>
      <c r="BN151" s="444"/>
      <c r="BO151" s="444"/>
      <c r="BP151" s="444"/>
      <c r="BQ151" s="444"/>
      <c r="BR151" s="444"/>
      <c r="BS151" s="444"/>
      <c r="BT151" s="444"/>
    </row>
    <row r="152" spans="1:72" s="443" customFormat="1" ht="15">
      <c r="A152" s="392"/>
      <c r="B152" s="392"/>
      <c r="C152" s="392"/>
      <c r="D152" s="392"/>
      <c r="E152" s="392"/>
      <c r="F152" s="392"/>
      <c r="G152" s="392"/>
      <c r="H152" s="392"/>
      <c r="I152" s="392"/>
      <c r="J152" s="392"/>
      <c r="K152" s="392"/>
      <c r="L152" s="392"/>
      <c r="M152" s="392"/>
      <c r="N152" s="392"/>
      <c r="O152" s="392"/>
      <c r="P152" s="392"/>
      <c r="Q152" s="392"/>
      <c r="R152" s="392"/>
      <c r="S152" s="409"/>
      <c r="T152" s="409"/>
      <c r="U152" s="409"/>
      <c r="V152" s="409"/>
      <c r="W152" s="392"/>
      <c r="X152" s="392"/>
      <c r="Y152" s="409"/>
      <c r="Z152" s="409"/>
      <c r="AA152" s="392"/>
      <c r="AB152" s="392"/>
      <c r="AC152" s="392"/>
      <c r="AD152" s="409"/>
      <c r="AE152" s="409"/>
      <c r="AF152" s="409"/>
      <c r="AG152" s="409"/>
      <c r="AH152" s="409"/>
      <c r="AI152" s="409"/>
      <c r="AJ152" s="409"/>
      <c r="AK152" s="409"/>
      <c r="AL152" s="409"/>
      <c r="AM152" s="409"/>
      <c r="AN152" s="409"/>
      <c r="AO152" s="409"/>
      <c r="AP152" s="409"/>
      <c r="AQ152" s="409"/>
      <c r="AR152" s="409"/>
      <c r="AS152" s="409"/>
      <c r="AT152" s="409"/>
      <c r="AU152" s="409"/>
      <c r="AV152" s="409"/>
      <c r="AW152" s="409"/>
      <c r="AX152" s="409"/>
      <c r="AY152" s="409"/>
      <c r="AZ152" s="409"/>
      <c r="BA152" s="409"/>
      <c r="BB152" s="409"/>
      <c r="BC152" s="409"/>
      <c r="BD152" s="407"/>
      <c r="BE152" s="444"/>
      <c r="BF152" s="444"/>
      <c r="BG152" s="444"/>
      <c r="BH152" s="444"/>
      <c r="BI152" s="444"/>
      <c r="BJ152" s="444"/>
      <c r="BK152" s="444"/>
      <c r="BL152" s="444"/>
      <c r="BM152" s="444"/>
      <c r="BN152" s="444"/>
      <c r="BO152" s="444"/>
      <c r="BP152" s="444"/>
      <c r="BQ152" s="444"/>
      <c r="BR152" s="444"/>
      <c r="BS152" s="444"/>
      <c r="BT152" s="444"/>
    </row>
    <row r="153" spans="1:72" s="443" customFormat="1" ht="15">
      <c r="A153" s="392"/>
      <c r="B153" s="392"/>
      <c r="C153" s="392"/>
      <c r="D153" s="392"/>
      <c r="E153" s="392"/>
      <c r="F153" s="392"/>
      <c r="G153" s="392"/>
      <c r="H153" s="392"/>
      <c r="I153" s="392"/>
      <c r="J153" s="392"/>
      <c r="K153" s="392"/>
      <c r="L153" s="392"/>
      <c r="M153" s="392"/>
      <c r="N153" s="392"/>
      <c r="O153" s="392"/>
      <c r="P153" s="392"/>
      <c r="Q153" s="392"/>
      <c r="R153" s="392"/>
      <c r="S153" s="409"/>
      <c r="T153" s="409"/>
      <c r="U153" s="409"/>
      <c r="V153" s="409"/>
      <c r="W153" s="392"/>
      <c r="X153" s="392"/>
      <c r="Y153" s="409"/>
      <c r="Z153" s="409"/>
      <c r="AA153" s="392"/>
      <c r="AB153" s="392"/>
      <c r="AC153" s="392"/>
      <c r="AD153" s="409"/>
      <c r="AE153" s="409"/>
      <c r="AF153" s="409"/>
      <c r="AG153" s="409"/>
      <c r="AH153" s="409"/>
      <c r="AI153" s="409"/>
      <c r="AJ153" s="409"/>
      <c r="AK153" s="409"/>
      <c r="AL153" s="409"/>
      <c r="AM153" s="409"/>
      <c r="AN153" s="409"/>
      <c r="AO153" s="409"/>
      <c r="AP153" s="409"/>
      <c r="AQ153" s="409"/>
      <c r="AR153" s="409"/>
      <c r="AS153" s="409"/>
      <c r="AT153" s="409"/>
      <c r="AU153" s="409"/>
      <c r="AV153" s="409"/>
      <c r="AW153" s="409"/>
      <c r="AX153" s="409"/>
      <c r="AY153" s="409"/>
      <c r="AZ153" s="409"/>
      <c r="BA153" s="409"/>
      <c r="BB153" s="409"/>
      <c r="BC153" s="409"/>
      <c r="BD153" s="407"/>
      <c r="BE153" s="444"/>
      <c r="BF153" s="444"/>
      <c r="BG153" s="444"/>
      <c r="BH153" s="444"/>
      <c r="BI153" s="444"/>
      <c r="BJ153" s="444"/>
      <c r="BK153" s="444"/>
      <c r="BL153" s="444"/>
      <c r="BM153" s="444"/>
      <c r="BN153" s="444"/>
      <c r="BO153" s="444"/>
      <c r="BP153" s="444"/>
      <c r="BQ153" s="444"/>
      <c r="BR153" s="444"/>
      <c r="BS153" s="444"/>
      <c r="BT153" s="444"/>
    </row>
    <row r="154" spans="1:72" s="443" customFormat="1" ht="15">
      <c r="A154" s="392"/>
      <c r="B154" s="392"/>
      <c r="C154" s="392"/>
      <c r="D154" s="392"/>
      <c r="E154" s="392"/>
      <c r="F154" s="392"/>
      <c r="G154" s="392"/>
      <c r="H154" s="392"/>
      <c r="I154" s="392"/>
      <c r="J154" s="392"/>
      <c r="K154" s="392"/>
      <c r="L154" s="392"/>
      <c r="M154" s="392"/>
      <c r="N154" s="392"/>
      <c r="O154" s="392"/>
      <c r="P154" s="392"/>
      <c r="Q154" s="392"/>
      <c r="R154" s="392"/>
      <c r="S154" s="409"/>
      <c r="T154" s="409"/>
      <c r="U154" s="409"/>
      <c r="V154" s="409"/>
      <c r="W154" s="392"/>
      <c r="X154" s="392"/>
      <c r="Y154" s="409"/>
      <c r="Z154" s="409"/>
      <c r="AA154" s="392"/>
      <c r="AB154" s="392"/>
      <c r="AC154" s="392"/>
      <c r="AD154" s="409"/>
      <c r="AE154" s="409"/>
      <c r="AF154" s="409"/>
      <c r="AG154" s="409"/>
      <c r="AH154" s="409"/>
      <c r="AI154" s="409"/>
      <c r="AJ154" s="409"/>
      <c r="AK154" s="409"/>
      <c r="AL154" s="409"/>
      <c r="AM154" s="409"/>
      <c r="AN154" s="409"/>
      <c r="AO154" s="409"/>
      <c r="AP154" s="409"/>
      <c r="AQ154" s="409"/>
      <c r="AR154" s="409"/>
      <c r="AS154" s="409"/>
      <c r="AT154" s="409"/>
      <c r="AU154" s="409"/>
      <c r="AV154" s="409"/>
      <c r="AW154" s="409"/>
      <c r="AX154" s="409"/>
      <c r="AY154" s="409"/>
      <c r="AZ154" s="409"/>
      <c r="BA154" s="409"/>
      <c r="BB154" s="409"/>
      <c r="BC154" s="409"/>
      <c r="BD154" s="407"/>
      <c r="BE154" s="444"/>
      <c r="BF154" s="444"/>
      <c r="BG154" s="444"/>
      <c r="BH154" s="444"/>
      <c r="BI154" s="444"/>
      <c r="BJ154" s="444"/>
      <c r="BK154" s="444"/>
      <c r="BL154" s="444"/>
      <c r="BM154" s="444"/>
      <c r="BN154" s="444"/>
      <c r="BO154" s="444"/>
      <c r="BP154" s="444"/>
      <c r="BQ154" s="444"/>
      <c r="BR154" s="444"/>
      <c r="BS154" s="444"/>
      <c r="BT154" s="444"/>
    </row>
    <row r="155" spans="1:72" s="443" customFormat="1" ht="15">
      <c r="A155" s="392"/>
      <c r="B155" s="392"/>
      <c r="C155" s="392"/>
      <c r="D155" s="392"/>
      <c r="E155" s="392"/>
      <c r="F155" s="392"/>
      <c r="G155" s="392"/>
      <c r="H155" s="392"/>
      <c r="I155" s="392"/>
      <c r="J155" s="392"/>
      <c r="K155" s="392"/>
      <c r="L155" s="392"/>
      <c r="M155" s="392"/>
      <c r="N155" s="392"/>
      <c r="O155" s="392"/>
      <c r="P155" s="392"/>
      <c r="Q155" s="392"/>
      <c r="R155" s="392"/>
      <c r="S155" s="409"/>
      <c r="T155" s="409"/>
      <c r="U155" s="409"/>
      <c r="V155" s="409"/>
      <c r="W155" s="392"/>
      <c r="X155" s="392"/>
      <c r="Y155" s="409"/>
      <c r="Z155" s="409"/>
      <c r="AA155" s="392"/>
      <c r="AB155" s="392"/>
      <c r="AC155" s="392"/>
      <c r="AD155" s="409"/>
      <c r="AE155" s="409"/>
      <c r="AF155" s="409"/>
      <c r="AG155" s="409"/>
      <c r="AH155" s="409"/>
      <c r="AI155" s="409"/>
      <c r="AJ155" s="409"/>
      <c r="AK155" s="409"/>
      <c r="AL155" s="409"/>
      <c r="AM155" s="409"/>
      <c r="AN155" s="409"/>
      <c r="AO155" s="409"/>
      <c r="AP155" s="409"/>
      <c r="AQ155" s="409"/>
      <c r="AR155" s="409"/>
      <c r="AS155" s="409"/>
      <c r="AT155" s="409"/>
      <c r="AU155" s="409"/>
      <c r="AV155" s="409"/>
      <c r="AW155" s="409"/>
      <c r="AX155" s="409"/>
      <c r="AY155" s="409"/>
      <c r="AZ155" s="409"/>
      <c r="BA155" s="409"/>
      <c r="BB155" s="409"/>
      <c r="BC155" s="409"/>
      <c r="BD155" s="407"/>
      <c r="BE155" s="444"/>
      <c r="BF155" s="444"/>
      <c r="BG155" s="444"/>
      <c r="BH155" s="444"/>
      <c r="BI155" s="444"/>
      <c r="BJ155" s="444"/>
      <c r="BK155" s="444"/>
      <c r="BL155" s="444"/>
      <c r="BM155" s="444"/>
      <c r="BN155" s="444"/>
      <c r="BO155" s="444"/>
      <c r="BP155" s="444"/>
      <c r="BQ155" s="444"/>
      <c r="BR155" s="444"/>
      <c r="BS155" s="444"/>
      <c r="BT155" s="444"/>
    </row>
    <row r="156" spans="1:72" s="443" customFormat="1" ht="15">
      <c r="A156" s="392"/>
      <c r="B156" s="392"/>
      <c r="C156" s="392"/>
      <c r="D156" s="392"/>
      <c r="E156" s="392"/>
      <c r="F156" s="392"/>
      <c r="G156" s="392"/>
      <c r="H156" s="392"/>
      <c r="I156" s="392"/>
      <c r="J156" s="392"/>
      <c r="K156" s="392"/>
      <c r="L156" s="392"/>
      <c r="M156" s="392"/>
      <c r="N156" s="392"/>
      <c r="O156" s="392"/>
      <c r="P156" s="392"/>
      <c r="Q156" s="392"/>
      <c r="R156" s="392"/>
      <c r="S156" s="409"/>
      <c r="T156" s="409"/>
      <c r="U156" s="409"/>
      <c r="V156" s="409"/>
      <c r="W156" s="392"/>
      <c r="X156" s="392"/>
      <c r="Y156" s="409"/>
      <c r="Z156" s="409"/>
      <c r="AA156" s="392"/>
      <c r="AB156" s="392"/>
      <c r="AC156" s="392"/>
      <c r="AD156" s="409"/>
      <c r="AE156" s="409"/>
      <c r="AF156" s="409"/>
      <c r="AG156" s="409"/>
      <c r="AH156" s="409"/>
      <c r="AI156" s="409"/>
      <c r="AJ156" s="409"/>
      <c r="AK156" s="409"/>
      <c r="AL156" s="409"/>
      <c r="AM156" s="409"/>
      <c r="AN156" s="409"/>
      <c r="AO156" s="409"/>
      <c r="AP156" s="409"/>
      <c r="AQ156" s="409"/>
      <c r="AR156" s="409"/>
      <c r="AS156" s="409"/>
      <c r="AT156" s="409"/>
      <c r="AU156" s="409"/>
      <c r="AV156" s="409"/>
      <c r="AW156" s="409"/>
      <c r="AX156" s="409"/>
      <c r="AY156" s="409"/>
      <c r="AZ156" s="409"/>
      <c r="BA156" s="409"/>
      <c r="BB156" s="409"/>
      <c r="BC156" s="409"/>
      <c r="BD156" s="407"/>
      <c r="BE156" s="444"/>
      <c r="BF156" s="444"/>
      <c r="BG156" s="444"/>
      <c r="BH156" s="444"/>
      <c r="BI156" s="444"/>
      <c r="BJ156" s="444"/>
      <c r="BK156" s="444"/>
      <c r="BL156" s="444"/>
      <c r="BM156" s="444"/>
      <c r="BN156" s="444"/>
      <c r="BO156" s="444"/>
      <c r="BP156" s="444"/>
      <c r="BQ156" s="444"/>
      <c r="BR156" s="444"/>
      <c r="BS156" s="444"/>
      <c r="BT156" s="444"/>
    </row>
    <row r="157" spans="1:72" s="443" customFormat="1" ht="15">
      <c r="A157" s="392"/>
      <c r="B157" s="392"/>
      <c r="C157" s="392"/>
      <c r="D157" s="392"/>
      <c r="E157" s="392"/>
      <c r="F157" s="392"/>
      <c r="G157" s="392"/>
      <c r="H157" s="392"/>
      <c r="I157" s="392"/>
      <c r="J157" s="392"/>
      <c r="K157" s="392"/>
      <c r="L157" s="392"/>
      <c r="M157" s="392"/>
      <c r="N157" s="392"/>
      <c r="O157" s="392"/>
      <c r="P157" s="392"/>
      <c r="Q157" s="392"/>
      <c r="R157" s="392"/>
      <c r="S157" s="409"/>
      <c r="T157" s="409"/>
      <c r="U157" s="409"/>
      <c r="V157" s="409"/>
      <c r="W157" s="392"/>
      <c r="X157" s="392"/>
      <c r="Y157" s="409"/>
      <c r="Z157" s="409"/>
      <c r="AA157" s="392"/>
      <c r="AB157" s="392"/>
      <c r="AC157" s="392"/>
      <c r="AD157" s="409"/>
      <c r="AE157" s="409"/>
      <c r="AF157" s="409"/>
      <c r="AG157" s="409"/>
      <c r="AH157" s="409"/>
      <c r="AI157" s="409"/>
      <c r="AJ157" s="409"/>
      <c r="AK157" s="409"/>
      <c r="AL157" s="409"/>
      <c r="AM157" s="409"/>
      <c r="AN157" s="409"/>
      <c r="AO157" s="409"/>
      <c r="AP157" s="409"/>
      <c r="AQ157" s="409"/>
      <c r="AR157" s="409"/>
      <c r="AS157" s="409"/>
      <c r="AT157" s="409"/>
      <c r="AU157" s="409"/>
      <c r="AV157" s="409"/>
      <c r="AW157" s="409"/>
      <c r="AX157" s="409"/>
      <c r="AY157" s="409"/>
      <c r="AZ157" s="409"/>
      <c r="BA157" s="409"/>
      <c r="BB157" s="409"/>
      <c r="BC157" s="409"/>
      <c r="BD157" s="407"/>
      <c r="BE157" s="444"/>
      <c r="BF157" s="444"/>
      <c r="BG157" s="444"/>
      <c r="BH157" s="444"/>
      <c r="BI157" s="444"/>
      <c r="BJ157" s="444"/>
      <c r="BK157" s="444"/>
      <c r="BL157" s="444"/>
      <c r="BM157" s="444"/>
      <c r="BN157" s="444"/>
      <c r="BO157" s="444"/>
      <c r="BP157" s="444"/>
      <c r="BQ157" s="444"/>
      <c r="BR157" s="444"/>
      <c r="BS157" s="444"/>
      <c r="BT157" s="444"/>
    </row>
    <row r="158" spans="1:72" s="443" customFormat="1" ht="15">
      <c r="A158" s="392"/>
      <c r="B158" s="392"/>
      <c r="C158" s="392"/>
      <c r="D158" s="392"/>
      <c r="E158" s="392"/>
      <c r="F158" s="392"/>
      <c r="G158" s="392"/>
      <c r="H158" s="392"/>
      <c r="I158" s="392"/>
      <c r="J158" s="392"/>
      <c r="K158" s="392"/>
      <c r="L158" s="392"/>
      <c r="M158" s="392"/>
      <c r="N158" s="392"/>
      <c r="O158" s="392"/>
      <c r="P158" s="392"/>
      <c r="Q158" s="392"/>
      <c r="R158" s="392"/>
      <c r="S158" s="409"/>
      <c r="T158" s="409"/>
      <c r="U158" s="409"/>
      <c r="V158" s="409"/>
      <c r="W158" s="392"/>
      <c r="X158" s="392"/>
      <c r="Y158" s="409"/>
      <c r="Z158" s="409"/>
      <c r="AA158" s="392"/>
      <c r="AB158" s="392"/>
      <c r="AC158" s="392"/>
      <c r="AD158" s="409"/>
      <c r="AE158" s="409"/>
      <c r="AF158" s="409"/>
      <c r="AG158" s="409"/>
      <c r="AH158" s="409"/>
      <c r="AI158" s="409"/>
      <c r="AJ158" s="409"/>
      <c r="AK158" s="409"/>
      <c r="AL158" s="409"/>
      <c r="AM158" s="409"/>
      <c r="AN158" s="409"/>
      <c r="AO158" s="409"/>
      <c r="AP158" s="409"/>
      <c r="AQ158" s="409"/>
      <c r="AR158" s="409"/>
      <c r="AS158" s="409"/>
      <c r="AT158" s="409"/>
      <c r="AU158" s="409"/>
      <c r="AV158" s="409"/>
      <c r="AW158" s="409"/>
      <c r="AX158" s="409"/>
      <c r="AY158" s="409"/>
      <c r="AZ158" s="409"/>
      <c r="BA158" s="409"/>
      <c r="BB158" s="409"/>
      <c r="BC158" s="409"/>
      <c r="BD158" s="407"/>
      <c r="BE158" s="444"/>
      <c r="BF158" s="444"/>
      <c r="BG158" s="444"/>
      <c r="BH158" s="444"/>
      <c r="BI158" s="444"/>
      <c r="BJ158" s="444"/>
      <c r="BK158" s="444"/>
      <c r="BL158" s="444"/>
      <c r="BM158" s="444"/>
      <c r="BN158" s="444"/>
      <c r="BO158" s="444"/>
      <c r="BP158" s="444"/>
      <c r="BQ158" s="444"/>
      <c r="BR158" s="444"/>
      <c r="BS158" s="444"/>
      <c r="BT158" s="444"/>
    </row>
    <row r="159" spans="1:72" s="443" customFormat="1" ht="15">
      <c r="A159" s="392"/>
      <c r="B159" s="392"/>
      <c r="C159" s="392"/>
      <c r="D159" s="392"/>
      <c r="E159" s="392"/>
      <c r="F159" s="392"/>
      <c r="G159" s="392"/>
      <c r="H159" s="392"/>
      <c r="I159" s="392"/>
      <c r="J159" s="392"/>
      <c r="K159" s="392"/>
      <c r="L159" s="392"/>
      <c r="M159" s="392"/>
      <c r="N159" s="392"/>
      <c r="O159" s="392"/>
      <c r="P159" s="392"/>
      <c r="Q159" s="392"/>
      <c r="R159" s="392"/>
      <c r="S159" s="409"/>
      <c r="T159" s="409"/>
      <c r="U159" s="409"/>
      <c r="V159" s="409"/>
      <c r="W159" s="392"/>
      <c r="X159" s="392"/>
      <c r="Y159" s="409"/>
      <c r="Z159" s="409"/>
      <c r="AA159" s="392"/>
      <c r="AB159" s="392"/>
      <c r="AC159" s="392"/>
      <c r="AD159" s="409"/>
      <c r="AE159" s="409"/>
      <c r="AF159" s="409"/>
      <c r="AG159" s="409"/>
      <c r="AH159" s="409"/>
      <c r="AI159" s="409"/>
      <c r="AJ159" s="409"/>
      <c r="AK159" s="409"/>
      <c r="AL159" s="409"/>
      <c r="AM159" s="409"/>
      <c r="AN159" s="409"/>
      <c r="AO159" s="409"/>
      <c r="AP159" s="409"/>
      <c r="AQ159" s="409"/>
      <c r="AR159" s="409"/>
      <c r="AS159" s="409"/>
      <c r="AT159" s="409"/>
      <c r="AU159" s="409"/>
      <c r="AV159" s="409"/>
      <c r="AW159" s="409"/>
      <c r="AX159" s="409"/>
      <c r="AY159" s="409"/>
      <c r="AZ159" s="409"/>
      <c r="BA159" s="409"/>
      <c r="BB159" s="409"/>
      <c r="BC159" s="409"/>
      <c r="BD159" s="407"/>
      <c r="BE159" s="444"/>
      <c r="BF159" s="444"/>
      <c r="BG159" s="444"/>
      <c r="BH159" s="444"/>
      <c r="BI159" s="444"/>
      <c r="BJ159" s="444"/>
      <c r="BK159" s="444"/>
      <c r="BL159" s="444"/>
      <c r="BM159" s="444"/>
      <c r="BN159" s="444"/>
      <c r="BO159" s="444"/>
      <c r="BP159" s="444"/>
      <c r="BQ159" s="444"/>
      <c r="BR159" s="444"/>
      <c r="BS159" s="444"/>
      <c r="BT159" s="444"/>
    </row>
    <row r="160" spans="1:72" s="443" customFormat="1" ht="15">
      <c r="A160" s="392"/>
      <c r="B160" s="392"/>
      <c r="C160" s="392"/>
      <c r="D160" s="392"/>
      <c r="E160" s="392"/>
      <c r="F160" s="392"/>
      <c r="G160" s="392"/>
      <c r="H160" s="392"/>
      <c r="I160" s="392"/>
      <c r="J160" s="392"/>
      <c r="K160" s="392"/>
      <c r="L160" s="392"/>
      <c r="M160" s="392"/>
      <c r="N160" s="392"/>
      <c r="O160" s="392"/>
      <c r="P160" s="392"/>
      <c r="Q160" s="392"/>
      <c r="R160" s="392"/>
      <c r="S160" s="409"/>
      <c r="T160" s="409"/>
      <c r="U160" s="409"/>
      <c r="V160" s="409"/>
      <c r="W160" s="392"/>
      <c r="X160" s="392"/>
      <c r="Y160" s="409"/>
      <c r="Z160" s="409"/>
      <c r="AA160" s="392"/>
      <c r="AB160" s="392"/>
      <c r="AC160" s="392"/>
      <c r="AD160" s="409"/>
      <c r="AE160" s="409"/>
      <c r="AF160" s="409"/>
      <c r="AG160" s="409"/>
      <c r="AH160" s="409"/>
      <c r="AI160" s="409"/>
      <c r="AJ160" s="409"/>
      <c r="AK160" s="409"/>
      <c r="AL160" s="409"/>
      <c r="AM160" s="409"/>
      <c r="AN160" s="409"/>
      <c r="AO160" s="409"/>
      <c r="AP160" s="409"/>
      <c r="AQ160" s="409"/>
      <c r="AR160" s="409"/>
      <c r="AS160" s="409"/>
      <c r="AT160" s="409"/>
      <c r="AU160" s="409"/>
      <c r="AV160" s="409"/>
      <c r="AW160" s="409"/>
      <c r="AX160" s="409"/>
      <c r="AY160" s="409"/>
      <c r="AZ160" s="409"/>
      <c r="BA160" s="409"/>
      <c r="BB160" s="409"/>
      <c r="BC160" s="409"/>
      <c r="BD160" s="407"/>
      <c r="BE160" s="444"/>
      <c r="BF160" s="444"/>
      <c r="BG160" s="444"/>
      <c r="BH160" s="444"/>
      <c r="BI160" s="444"/>
      <c r="BJ160" s="444"/>
      <c r="BK160" s="444"/>
      <c r="BL160" s="444"/>
      <c r="BM160" s="444"/>
      <c r="BN160" s="444"/>
      <c r="BO160" s="444"/>
      <c r="BP160" s="444"/>
      <c r="BQ160" s="444"/>
      <c r="BR160" s="444"/>
      <c r="BS160" s="444"/>
      <c r="BT160" s="444"/>
    </row>
    <row r="161" spans="1:72" s="443" customFormat="1" ht="15">
      <c r="A161" s="392"/>
      <c r="B161" s="392"/>
      <c r="C161" s="392"/>
      <c r="D161" s="392"/>
      <c r="E161" s="392"/>
      <c r="F161" s="392"/>
      <c r="G161" s="392"/>
      <c r="H161" s="392"/>
      <c r="I161" s="392"/>
      <c r="J161" s="392"/>
      <c r="K161" s="392"/>
      <c r="L161" s="392"/>
      <c r="M161" s="392"/>
      <c r="N161" s="392"/>
      <c r="O161" s="392"/>
      <c r="P161" s="392"/>
      <c r="Q161" s="392"/>
      <c r="R161" s="392"/>
      <c r="S161" s="409"/>
      <c r="T161" s="409"/>
      <c r="U161" s="409"/>
      <c r="V161" s="409"/>
      <c r="W161" s="392"/>
      <c r="X161" s="392"/>
      <c r="Y161" s="409"/>
      <c r="Z161" s="409"/>
      <c r="AA161" s="392"/>
      <c r="AB161" s="392"/>
      <c r="AC161" s="392"/>
      <c r="AD161" s="409"/>
      <c r="AE161" s="409"/>
      <c r="AF161" s="409"/>
      <c r="AG161" s="409"/>
      <c r="AH161" s="409"/>
      <c r="AI161" s="409"/>
      <c r="AJ161" s="409"/>
      <c r="AK161" s="409"/>
      <c r="AL161" s="409"/>
      <c r="AM161" s="409"/>
      <c r="AN161" s="409"/>
      <c r="AO161" s="409"/>
      <c r="AP161" s="409"/>
      <c r="AQ161" s="409"/>
      <c r="AR161" s="409"/>
      <c r="AS161" s="409"/>
      <c r="AT161" s="409"/>
      <c r="AU161" s="409"/>
      <c r="AV161" s="409"/>
      <c r="AW161" s="409"/>
      <c r="AX161" s="409"/>
      <c r="AY161" s="409"/>
      <c r="AZ161" s="409"/>
      <c r="BA161" s="409"/>
      <c r="BB161" s="409"/>
      <c r="BC161" s="409"/>
      <c r="BD161" s="407"/>
      <c r="BE161" s="444"/>
      <c r="BF161" s="444"/>
      <c r="BG161" s="444"/>
      <c r="BH161" s="444"/>
      <c r="BI161" s="444"/>
      <c r="BJ161" s="444"/>
      <c r="BK161" s="444"/>
      <c r="BL161" s="444"/>
      <c r="BM161" s="444"/>
      <c r="BN161" s="444"/>
      <c r="BO161" s="444"/>
      <c r="BP161" s="444"/>
      <c r="BQ161" s="444"/>
      <c r="BR161" s="444"/>
      <c r="BS161" s="444"/>
      <c r="BT161" s="444"/>
    </row>
    <row r="162" spans="1:72" s="443" customFormat="1" ht="15">
      <c r="A162" s="392"/>
      <c r="B162" s="392"/>
      <c r="C162" s="392"/>
      <c r="D162" s="392"/>
      <c r="E162" s="392"/>
      <c r="F162" s="392"/>
      <c r="G162" s="392"/>
      <c r="H162" s="392"/>
      <c r="I162" s="392"/>
      <c r="J162" s="392"/>
      <c r="K162" s="392"/>
      <c r="L162" s="392"/>
      <c r="M162" s="392"/>
      <c r="N162" s="392"/>
      <c r="O162" s="392"/>
      <c r="P162" s="392"/>
      <c r="Q162" s="392"/>
      <c r="R162" s="392"/>
      <c r="S162" s="409"/>
      <c r="T162" s="409"/>
      <c r="U162" s="409"/>
      <c r="V162" s="409"/>
      <c r="W162" s="392"/>
      <c r="X162" s="392"/>
      <c r="Y162" s="409"/>
      <c r="Z162" s="409"/>
      <c r="AA162" s="392"/>
      <c r="AB162" s="392"/>
      <c r="AC162" s="392"/>
      <c r="AD162" s="409"/>
      <c r="AE162" s="409"/>
      <c r="AF162" s="409"/>
      <c r="AG162" s="409"/>
      <c r="AH162" s="409"/>
      <c r="AI162" s="409"/>
      <c r="AJ162" s="409"/>
      <c r="AK162" s="409"/>
      <c r="AL162" s="409"/>
      <c r="AM162" s="409"/>
      <c r="AN162" s="409"/>
      <c r="AO162" s="409"/>
      <c r="AP162" s="409"/>
      <c r="AQ162" s="409"/>
      <c r="AR162" s="409"/>
      <c r="AS162" s="409"/>
      <c r="AT162" s="409"/>
      <c r="AU162" s="409"/>
      <c r="AV162" s="409"/>
      <c r="AW162" s="409"/>
      <c r="AX162" s="409"/>
      <c r="AY162" s="409"/>
      <c r="AZ162" s="409"/>
      <c r="BA162" s="409"/>
      <c r="BB162" s="409"/>
      <c r="BC162" s="409"/>
      <c r="BD162" s="407"/>
      <c r="BE162" s="444"/>
      <c r="BF162" s="444"/>
      <c r="BG162" s="444"/>
      <c r="BH162" s="444"/>
      <c r="BI162" s="444"/>
      <c r="BJ162" s="444"/>
      <c r="BK162" s="444"/>
      <c r="BL162" s="444"/>
      <c r="BM162" s="444"/>
      <c r="BN162" s="444"/>
      <c r="BO162" s="444"/>
      <c r="BP162" s="444"/>
      <c r="BQ162" s="444"/>
      <c r="BR162" s="444"/>
      <c r="BS162" s="444"/>
      <c r="BT162" s="444"/>
    </row>
    <row r="163" spans="1:72" s="443" customFormat="1" ht="15">
      <c r="A163" s="392"/>
      <c r="B163" s="392"/>
      <c r="C163" s="392"/>
      <c r="D163" s="392"/>
      <c r="E163" s="392"/>
      <c r="F163" s="392"/>
      <c r="G163" s="392"/>
      <c r="H163" s="392"/>
      <c r="I163" s="392"/>
      <c r="J163" s="392"/>
      <c r="K163" s="392"/>
      <c r="L163" s="392"/>
      <c r="M163" s="392"/>
      <c r="N163" s="392"/>
      <c r="O163" s="392"/>
      <c r="P163" s="392"/>
      <c r="Q163" s="392"/>
      <c r="R163" s="392"/>
      <c r="S163" s="409"/>
      <c r="T163" s="409"/>
      <c r="U163" s="409"/>
      <c r="V163" s="409"/>
      <c r="W163" s="392"/>
      <c r="X163" s="392"/>
      <c r="Y163" s="409"/>
      <c r="Z163" s="409"/>
      <c r="AA163" s="392"/>
      <c r="AB163" s="392"/>
      <c r="AC163" s="392"/>
      <c r="AD163" s="409"/>
      <c r="AE163" s="409"/>
      <c r="AF163" s="409"/>
      <c r="AG163" s="409"/>
      <c r="AH163" s="409"/>
      <c r="AI163" s="409"/>
      <c r="AJ163" s="409"/>
      <c r="AK163" s="409"/>
      <c r="AL163" s="409"/>
      <c r="AM163" s="409"/>
      <c r="AN163" s="409"/>
      <c r="AO163" s="409"/>
      <c r="AP163" s="409"/>
      <c r="AQ163" s="409"/>
      <c r="AR163" s="409"/>
      <c r="AS163" s="409"/>
      <c r="AT163" s="409"/>
      <c r="AU163" s="409"/>
      <c r="AV163" s="409"/>
      <c r="AW163" s="409"/>
      <c r="AX163" s="409"/>
      <c r="AY163" s="409"/>
      <c r="AZ163" s="409"/>
      <c r="BA163" s="409"/>
      <c r="BB163" s="409"/>
      <c r="BC163" s="409"/>
      <c r="BD163" s="407"/>
      <c r="BE163" s="444"/>
      <c r="BF163" s="444"/>
      <c r="BG163" s="444"/>
      <c r="BH163" s="444"/>
      <c r="BI163" s="444"/>
      <c r="BJ163" s="444"/>
      <c r="BK163" s="444"/>
      <c r="BL163" s="444"/>
      <c r="BM163" s="444"/>
      <c r="BN163" s="444"/>
      <c r="BO163" s="444"/>
      <c r="BP163" s="444"/>
      <c r="BQ163" s="444"/>
      <c r="BR163" s="444"/>
      <c r="BS163" s="444"/>
      <c r="BT163" s="444"/>
    </row>
    <row r="164" spans="1:72" s="443" customFormat="1" ht="15">
      <c r="A164" s="392"/>
      <c r="B164" s="392"/>
      <c r="C164" s="392"/>
      <c r="D164" s="392"/>
      <c r="E164" s="392"/>
      <c r="F164" s="392"/>
      <c r="G164" s="392"/>
      <c r="H164" s="392"/>
      <c r="I164" s="392"/>
      <c r="J164" s="392"/>
      <c r="K164" s="392"/>
      <c r="L164" s="392"/>
      <c r="M164" s="392"/>
      <c r="N164" s="392"/>
      <c r="O164" s="392"/>
      <c r="P164" s="392"/>
      <c r="Q164" s="392"/>
      <c r="R164" s="392"/>
      <c r="S164" s="409"/>
      <c r="T164" s="409"/>
      <c r="U164" s="409"/>
      <c r="V164" s="409"/>
      <c r="W164" s="392"/>
      <c r="X164" s="392"/>
      <c r="Y164" s="409"/>
      <c r="Z164" s="409"/>
      <c r="AA164" s="392"/>
      <c r="AB164" s="392"/>
      <c r="AC164" s="392"/>
      <c r="AD164" s="409"/>
      <c r="AE164" s="409"/>
      <c r="AF164" s="409"/>
      <c r="AG164" s="409"/>
      <c r="AH164" s="409"/>
      <c r="AI164" s="409"/>
      <c r="AJ164" s="409"/>
      <c r="AK164" s="409"/>
      <c r="AL164" s="409"/>
      <c r="AM164" s="409"/>
      <c r="AN164" s="409"/>
      <c r="AO164" s="409"/>
      <c r="AP164" s="409"/>
      <c r="AQ164" s="409"/>
      <c r="AR164" s="409"/>
      <c r="AS164" s="409"/>
      <c r="AT164" s="409"/>
      <c r="AU164" s="409"/>
      <c r="AV164" s="409"/>
      <c r="AW164" s="409"/>
      <c r="AX164" s="409"/>
      <c r="AY164" s="409"/>
      <c r="AZ164" s="409"/>
      <c r="BA164" s="409"/>
      <c r="BB164" s="409"/>
      <c r="BC164" s="409"/>
      <c r="BD164" s="407"/>
      <c r="BE164" s="444"/>
      <c r="BF164" s="444"/>
      <c r="BG164" s="444"/>
      <c r="BH164" s="444"/>
      <c r="BI164" s="444"/>
      <c r="BJ164" s="444"/>
      <c r="BK164" s="444"/>
      <c r="BL164" s="444"/>
      <c r="BM164" s="444"/>
      <c r="BN164" s="444"/>
      <c r="BO164" s="444"/>
      <c r="BP164" s="444"/>
      <c r="BQ164" s="444"/>
      <c r="BR164" s="444"/>
      <c r="BS164" s="444"/>
      <c r="BT164" s="444"/>
    </row>
    <row r="165" spans="1:72" s="443" customFormat="1" ht="15">
      <c r="A165" s="392"/>
      <c r="B165" s="392"/>
      <c r="C165" s="392"/>
      <c r="D165" s="392"/>
      <c r="E165" s="392"/>
      <c r="F165" s="392"/>
      <c r="G165" s="392"/>
      <c r="H165" s="392"/>
      <c r="I165" s="392"/>
      <c r="J165" s="392"/>
      <c r="K165" s="392"/>
      <c r="L165" s="392"/>
      <c r="M165" s="392"/>
      <c r="N165" s="392"/>
      <c r="O165" s="392"/>
      <c r="P165" s="392"/>
      <c r="Q165" s="392"/>
      <c r="R165" s="392"/>
      <c r="S165" s="409"/>
      <c r="T165" s="409"/>
      <c r="U165" s="409"/>
      <c r="V165" s="409"/>
      <c r="W165" s="392"/>
      <c r="X165" s="392"/>
      <c r="Y165" s="409"/>
      <c r="Z165" s="409"/>
      <c r="AA165" s="392"/>
      <c r="AB165" s="392"/>
      <c r="AC165" s="392"/>
      <c r="AD165" s="409"/>
      <c r="AE165" s="409"/>
      <c r="AF165" s="409"/>
      <c r="AG165" s="409"/>
      <c r="AH165" s="409"/>
      <c r="AI165" s="409"/>
      <c r="AJ165" s="409"/>
      <c r="AK165" s="409"/>
      <c r="AL165" s="409"/>
      <c r="AM165" s="409"/>
      <c r="AN165" s="409"/>
      <c r="AO165" s="409"/>
      <c r="AP165" s="409"/>
      <c r="AQ165" s="409"/>
      <c r="AR165" s="409"/>
      <c r="AS165" s="409"/>
      <c r="AT165" s="409"/>
      <c r="AU165" s="409"/>
      <c r="AV165" s="409"/>
      <c r="AW165" s="409"/>
      <c r="AX165" s="409"/>
      <c r="AY165" s="409"/>
      <c r="AZ165" s="409"/>
      <c r="BA165" s="409"/>
      <c r="BB165" s="409"/>
      <c r="BC165" s="409"/>
      <c r="BD165" s="407"/>
      <c r="BE165" s="444"/>
      <c r="BF165" s="444"/>
      <c r="BG165" s="444"/>
      <c r="BH165" s="444"/>
      <c r="BI165" s="444"/>
      <c r="BJ165" s="444"/>
      <c r="BK165" s="444"/>
      <c r="BL165" s="444"/>
      <c r="BM165" s="444"/>
      <c r="BN165" s="444"/>
      <c r="BO165" s="444"/>
      <c r="BP165" s="444"/>
      <c r="BQ165" s="444"/>
      <c r="BR165" s="444"/>
      <c r="BS165" s="444"/>
      <c r="BT165" s="444"/>
    </row>
  </sheetData>
  <mergeCells count="28">
    <mergeCell ref="AS3:AU3"/>
    <mergeCell ref="AV3:AY3"/>
    <mergeCell ref="A1:H1"/>
    <mergeCell ref="I1:L1"/>
    <mergeCell ref="M1:W1"/>
    <mergeCell ref="X1:Z2"/>
    <mergeCell ref="AA1:AJ2"/>
    <mergeCell ref="A2:H2"/>
    <mergeCell ref="I2:L2"/>
    <mergeCell ref="M2:W2"/>
    <mergeCell ref="AK2:AM2"/>
    <mergeCell ref="AK1:AM1"/>
    <mergeCell ref="AZ1:BC1"/>
    <mergeCell ref="AS2:AU2"/>
    <mergeCell ref="AN2:AR2"/>
    <mergeCell ref="AQ17:AR17"/>
    <mergeCell ref="AN1:AR1"/>
    <mergeCell ref="AS1:AU1"/>
    <mergeCell ref="AV1:AY1"/>
    <mergeCell ref="A5:BA5"/>
    <mergeCell ref="BB5:BC5"/>
    <mergeCell ref="AV2:AY2"/>
    <mergeCell ref="AZ2:BC3"/>
    <mergeCell ref="A3:H3"/>
    <mergeCell ref="I3:L3"/>
    <mergeCell ref="M3:W3"/>
    <mergeCell ref="X3:Z3"/>
    <mergeCell ref="AA3:AR3"/>
  </mergeCells>
  <phoneticPr fontId="55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ignoredErrors>
    <ignoredError sqref="Y14:Y15" numberStoredAsText="1"/>
  </ignoredError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B1A54-81B2-48BE-B1DB-4F5E02549265}">
  <dimension ref="A1:DX200"/>
  <sheetViews>
    <sheetView showGridLines="0" topLeftCell="A5" zoomScaleNormal="100" zoomScaleSheetLayoutView="100" workbookViewId="0">
      <pane ySplit="2" topLeftCell="A7" activePane="bottomLeft" state="frozen"/>
      <selection activeCell="A5" sqref="A5"/>
      <selection pane="bottomLeft" activeCell="BE7" sqref="BE7:BG36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76" customWidth="1"/>
    <col min="57" max="128" width="2.6328125" style="443" customWidth="1"/>
    <col min="129" max="16384" width="9" style="35"/>
  </cols>
  <sheetData>
    <row r="1" spans="1:72" ht="12" customHeight="1">
      <c r="A1" s="597" t="s">
        <v>4</v>
      </c>
      <c r="B1" s="597"/>
      <c r="C1" s="597"/>
      <c r="D1" s="597"/>
      <c r="E1" s="597"/>
      <c r="F1" s="597"/>
      <c r="G1" s="597"/>
      <c r="H1" s="597"/>
      <c r="I1" s="584" t="s">
        <v>5</v>
      </c>
      <c r="J1" s="584"/>
      <c r="K1" s="584"/>
      <c r="L1" s="584"/>
      <c r="M1" s="595" t="str">
        <f>変更来歴!M1</f>
        <v>ヒロセ電機株式会社</v>
      </c>
      <c r="N1" s="595"/>
      <c r="O1" s="595"/>
      <c r="P1" s="595"/>
      <c r="Q1" s="595"/>
      <c r="R1" s="595"/>
      <c r="S1" s="595"/>
      <c r="T1" s="595"/>
      <c r="U1" s="595"/>
      <c r="V1" s="595"/>
      <c r="W1" s="595"/>
      <c r="X1" s="584" t="s">
        <v>7</v>
      </c>
      <c r="Y1" s="584"/>
      <c r="Z1" s="584"/>
      <c r="AA1" s="599" t="str">
        <f>変更来歴!AA1</f>
        <v>管理者ログ確認システム</v>
      </c>
      <c r="AB1" s="599"/>
      <c r="AC1" s="599"/>
      <c r="AD1" s="599"/>
      <c r="AE1" s="599"/>
      <c r="AF1" s="599"/>
      <c r="AG1" s="599"/>
      <c r="AH1" s="599"/>
      <c r="AI1" s="599"/>
      <c r="AJ1" s="599"/>
      <c r="AK1" s="573" t="s">
        <v>8</v>
      </c>
      <c r="AL1" s="573"/>
      <c r="AM1" s="573"/>
      <c r="AN1" s="575" t="str">
        <f>変更来歴!AP7</f>
        <v>古竹</v>
      </c>
      <c r="AO1" s="575"/>
      <c r="AP1" s="575"/>
      <c r="AQ1" s="575"/>
      <c r="AR1" s="575"/>
      <c r="AS1" s="573" t="s">
        <v>9</v>
      </c>
      <c r="AT1" s="573"/>
      <c r="AU1" s="573"/>
      <c r="AV1" s="576">
        <f>変更来歴!AL7</f>
        <v>46125</v>
      </c>
      <c r="AW1" s="574"/>
      <c r="AX1" s="574"/>
      <c r="AY1" s="574"/>
      <c r="AZ1" s="580" t="s">
        <v>10</v>
      </c>
      <c r="BA1" s="581"/>
      <c r="BB1" s="581"/>
      <c r="BC1" s="582"/>
    </row>
    <row r="2" spans="1:72">
      <c r="A2" s="583" t="s">
        <v>16</v>
      </c>
      <c r="B2" s="583"/>
      <c r="C2" s="583"/>
      <c r="D2" s="583"/>
      <c r="E2" s="583"/>
      <c r="F2" s="583"/>
      <c r="G2" s="583"/>
      <c r="H2" s="583"/>
      <c r="I2" s="584" t="s">
        <v>11</v>
      </c>
      <c r="J2" s="584"/>
      <c r="K2" s="584"/>
      <c r="L2" s="584"/>
      <c r="M2" s="620" t="str">
        <f>変更来歴!M2</f>
        <v>新環境証明書システム</v>
      </c>
      <c r="N2" s="620"/>
      <c r="O2" s="620"/>
      <c r="P2" s="620"/>
      <c r="Q2" s="620"/>
      <c r="R2" s="620"/>
      <c r="S2" s="620"/>
      <c r="T2" s="620"/>
      <c r="U2" s="620"/>
      <c r="V2" s="620"/>
      <c r="W2" s="620"/>
      <c r="X2" s="584"/>
      <c r="Y2" s="584"/>
      <c r="Z2" s="584"/>
      <c r="AA2" s="599"/>
      <c r="AB2" s="599"/>
      <c r="AC2" s="599"/>
      <c r="AD2" s="599"/>
      <c r="AE2" s="599"/>
      <c r="AF2" s="599"/>
      <c r="AG2" s="599"/>
      <c r="AH2" s="599"/>
      <c r="AI2" s="599"/>
      <c r="AJ2" s="599"/>
      <c r="AK2" s="573" t="s">
        <v>12</v>
      </c>
      <c r="AL2" s="573"/>
      <c r="AM2" s="573"/>
      <c r="AN2" s="575" t="str">
        <f ca="1">INDIRECT("変更来歴!AP" &amp; COUNTA(変更来歴!AP7:'変更来歴'!AP39) + 6)</f>
        <v>古竹</v>
      </c>
      <c r="AO2" s="575"/>
      <c r="AP2" s="575"/>
      <c r="AQ2" s="575"/>
      <c r="AR2" s="575"/>
      <c r="AS2" s="573" t="s">
        <v>13</v>
      </c>
      <c r="AT2" s="573"/>
      <c r="AU2" s="573"/>
      <c r="AV2" s="576">
        <f ca="1">INDIRECT("変更来歴!AL" &amp; COUNTA(変更来歴!AL7:'変更来歴'!AL39) + 6)</f>
        <v>46160</v>
      </c>
      <c r="AW2" s="574"/>
      <c r="AX2" s="574"/>
      <c r="AY2" s="574"/>
      <c r="AZ2" s="588" t="str">
        <f>変更来歴!AX2</f>
        <v>IMWF-53</v>
      </c>
      <c r="BA2" s="589"/>
      <c r="BB2" s="589"/>
      <c r="BC2" s="590"/>
    </row>
    <row r="3" spans="1:72" ht="12" customHeight="1">
      <c r="A3" s="594" t="str">
        <f>変更来歴!A3</f>
        <v>画面設計書</v>
      </c>
      <c r="B3" s="594"/>
      <c r="C3" s="594"/>
      <c r="D3" s="594"/>
      <c r="E3" s="594"/>
      <c r="F3" s="594"/>
      <c r="G3" s="594"/>
      <c r="H3" s="594"/>
      <c r="I3" s="584" t="s">
        <v>14</v>
      </c>
      <c r="J3" s="584"/>
      <c r="K3" s="584"/>
      <c r="L3" s="584"/>
      <c r="M3" s="595" t="str">
        <f ca="1">RIGHT(CELL("filename",A1),LEN(CELL("filename",A1))-FIND("]",CELL("filename",A1)))</f>
        <v>化学物質データ申請完了画面(仮)</v>
      </c>
      <c r="N3" s="595"/>
      <c r="O3" s="595"/>
      <c r="P3" s="595"/>
      <c r="Q3" s="595"/>
      <c r="R3" s="595"/>
      <c r="S3" s="595"/>
      <c r="T3" s="595"/>
      <c r="U3" s="595"/>
      <c r="V3" s="595"/>
      <c r="W3" s="595"/>
      <c r="X3" s="584" t="s">
        <v>27</v>
      </c>
      <c r="Y3" s="584"/>
      <c r="Z3" s="584"/>
      <c r="AA3" s="596" t="str">
        <f ca="1">MID(CELL("filename"),FIND("]",CELL("filename"))+1,LEN(CELL("filename"))) &amp; "画面"</f>
        <v>変更来歴画面</v>
      </c>
      <c r="AB3" s="596"/>
      <c r="AC3" s="596"/>
      <c r="AD3" s="596"/>
      <c r="AE3" s="596"/>
      <c r="AF3" s="596"/>
      <c r="AG3" s="596"/>
      <c r="AH3" s="596"/>
      <c r="AI3" s="596"/>
      <c r="AJ3" s="596"/>
      <c r="AK3" s="596"/>
      <c r="AL3" s="596"/>
      <c r="AM3" s="596"/>
      <c r="AN3" s="596"/>
      <c r="AO3" s="596"/>
      <c r="AP3" s="596"/>
      <c r="AQ3" s="596"/>
      <c r="AR3" s="596"/>
      <c r="AS3" s="573" t="s">
        <v>15</v>
      </c>
      <c r="AT3" s="573"/>
      <c r="AU3" s="573"/>
      <c r="AV3" s="574" t="str">
        <f ca="1">INDIRECT("変更来歴!A" &amp; COUNTA(変更来歴!A7:'変更来歴'!A39) + 6)</f>
        <v>ｒ1.1</v>
      </c>
      <c r="AW3" s="574"/>
      <c r="AX3" s="574"/>
      <c r="AY3" s="574"/>
      <c r="AZ3" s="591"/>
      <c r="BA3" s="592"/>
      <c r="BB3" s="592"/>
      <c r="BC3" s="593"/>
    </row>
    <row r="4" spans="1:72" ht="5.9" customHeight="1"/>
    <row r="5" spans="1:72" ht="13.5" customHeight="1">
      <c r="A5" s="621" t="str">
        <f ca="1">"画面レイアウト"&amp;"("&amp;MID(CELL("filename"),FIND("]",CELL("filename"))+1,LEN(CELL("filename")))&amp;")"</f>
        <v>画面レイアウト(変更来歴)</v>
      </c>
      <c r="B5" s="622"/>
      <c r="C5" s="622"/>
      <c r="D5" s="622"/>
      <c r="E5" s="622"/>
      <c r="F5" s="622"/>
      <c r="G5" s="622"/>
      <c r="H5" s="622"/>
      <c r="I5" s="622"/>
      <c r="J5" s="622"/>
      <c r="K5" s="622"/>
      <c r="L5" s="622"/>
      <c r="M5" s="622"/>
      <c r="N5" s="622"/>
      <c r="O5" s="622"/>
      <c r="P5" s="622"/>
      <c r="Q5" s="622"/>
      <c r="R5" s="622"/>
      <c r="S5" s="622"/>
      <c r="T5" s="622"/>
      <c r="U5" s="622"/>
      <c r="V5" s="622"/>
      <c r="W5" s="622"/>
      <c r="X5" s="622"/>
      <c r="Y5" s="622"/>
      <c r="Z5" s="622"/>
      <c r="AA5" s="622"/>
      <c r="AB5" s="622"/>
      <c r="AC5" s="622"/>
      <c r="AD5" s="622"/>
      <c r="AE5" s="622"/>
      <c r="AF5" s="622"/>
      <c r="AG5" s="622"/>
      <c r="AH5" s="622"/>
      <c r="AI5" s="622"/>
      <c r="AJ5" s="622"/>
      <c r="AK5" s="622"/>
      <c r="AL5" s="622"/>
      <c r="AM5" s="622"/>
      <c r="AN5" s="622"/>
      <c r="AO5" s="622"/>
      <c r="AP5" s="622"/>
      <c r="AQ5" s="622"/>
      <c r="AR5" s="622"/>
      <c r="AS5" s="622"/>
      <c r="AT5" s="622"/>
      <c r="AU5" s="622"/>
      <c r="AV5" s="622"/>
      <c r="AW5" s="622"/>
      <c r="AX5" s="622"/>
      <c r="AY5" s="622"/>
      <c r="AZ5" s="622"/>
      <c r="BA5" s="623"/>
      <c r="BB5" s="624" t="s">
        <v>24</v>
      </c>
      <c r="BC5" s="625"/>
      <c r="BD5" s="28"/>
    </row>
    <row r="6" spans="1:72" ht="13.5" customHeight="1">
      <c r="A6" s="27"/>
      <c r="B6" s="170">
        <v>1</v>
      </c>
      <c r="C6" s="170">
        <v>2</v>
      </c>
      <c r="D6" s="170">
        <v>3</v>
      </c>
      <c r="E6" s="170">
        <v>4</v>
      </c>
      <c r="F6" s="170">
        <v>5</v>
      </c>
      <c r="G6" s="170">
        <v>6</v>
      </c>
      <c r="H6" s="170">
        <v>7</v>
      </c>
      <c r="I6" s="170">
        <v>8</v>
      </c>
      <c r="J6" s="170">
        <v>9</v>
      </c>
      <c r="K6" s="170">
        <v>10</v>
      </c>
      <c r="L6" s="170">
        <v>11</v>
      </c>
      <c r="M6" s="170">
        <v>12</v>
      </c>
      <c r="N6" s="170">
        <v>13</v>
      </c>
      <c r="O6" s="170">
        <v>14</v>
      </c>
      <c r="P6" s="170">
        <v>15</v>
      </c>
      <c r="Q6" s="170">
        <v>16</v>
      </c>
      <c r="R6" s="170">
        <v>17</v>
      </c>
      <c r="S6" s="172">
        <v>18</v>
      </c>
      <c r="T6" s="172">
        <v>19</v>
      </c>
      <c r="U6" s="172">
        <v>20</v>
      </c>
      <c r="V6" s="172">
        <v>21</v>
      </c>
      <c r="W6" s="172">
        <v>22</v>
      </c>
      <c r="X6" s="172">
        <v>23</v>
      </c>
      <c r="Y6" s="172">
        <v>24</v>
      </c>
      <c r="Z6" s="172">
        <v>25</v>
      </c>
      <c r="AA6" s="172">
        <v>26</v>
      </c>
      <c r="AB6" s="172">
        <v>27</v>
      </c>
      <c r="AC6" s="172">
        <v>28</v>
      </c>
      <c r="AD6" s="172">
        <v>29</v>
      </c>
      <c r="AE6" s="172">
        <v>30</v>
      </c>
      <c r="AF6" s="172">
        <v>31</v>
      </c>
      <c r="AG6" s="172">
        <v>32</v>
      </c>
      <c r="AH6" s="172">
        <v>33</v>
      </c>
      <c r="AI6" s="172">
        <v>34</v>
      </c>
      <c r="AJ6" s="171">
        <v>35</v>
      </c>
      <c r="AK6" s="171">
        <v>36</v>
      </c>
      <c r="AL6" s="171">
        <v>37</v>
      </c>
      <c r="AM6" s="171">
        <v>38</v>
      </c>
      <c r="AN6" s="171">
        <v>39</v>
      </c>
      <c r="AO6" s="171">
        <v>40</v>
      </c>
      <c r="AP6" s="171">
        <v>41</v>
      </c>
      <c r="AQ6" s="171">
        <v>42</v>
      </c>
      <c r="AR6" s="171">
        <v>43</v>
      </c>
      <c r="AS6" s="171">
        <v>44</v>
      </c>
      <c r="AT6" s="171">
        <v>45</v>
      </c>
      <c r="AU6" s="171">
        <v>46</v>
      </c>
      <c r="AV6" s="171">
        <v>47</v>
      </c>
      <c r="AW6" s="171">
        <v>48</v>
      </c>
      <c r="AX6" s="171">
        <v>49</v>
      </c>
      <c r="AY6" s="171">
        <v>50</v>
      </c>
      <c r="AZ6" s="171">
        <v>51</v>
      </c>
      <c r="BA6" s="21"/>
      <c r="BB6" s="73"/>
      <c r="BC6" s="40"/>
      <c r="BD6" s="28"/>
    </row>
    <row r="7" spans="1:72" ht="21" customHeight="1">
      <c r="A7" s="393"/>
      <c r="B7" s="437"/>
      <c r="C7" s="442" t="s">
        <v>174</v>
      </c>
      <c r="D7" s="438"/>
      <c r="E7" s="439"/>
      <c r="F7" s="439"/>
      <c r="G7" s="439"/>
      <c r="H7" s="433"/>
      <c r="I7" s="433"/>
      <c r="J7" s="626"/>
      <c r="K7" s="626"/>
      <c r="L7" s="626"/>
      <c r="M7" s="626"/>
      <c r="N7" s="436"/>
      <c r="O7" s="435"/>
      <c r="P7" s="436"/>
      <c r="Q7" s="433"/>
      <c r="R7" s="433"/>
      <c r="S7" s="433"/>
      <c r="T7" s="434"/>
      <c r="U7" s="434"/>
      <c r="V7" s="434"/>
      <c r="W7" s="434"/>
      <c r="X7" s="434"/>
      <c r="Y7" s="435"/>
      <c r="Z7" s="434"/>
      <c r="AA7" s="433"/>
      <c r="AB7" s="435"/>
      <c r="AC7" s="434"/>
      <c r="AD7" s="433"/>
      <c r="AE7" s="435"/>
      <c r="AF7" s="433"/>
      <c r="AG7" s="433"/>
      <c r="AH7" s="435"/>
      <c r="AI7" s="433"/>
      <c r="AJ7" s="433"/>
      <c r="AK7" s="440"/>
      <c r="AL7" s="433"/>
      <c r="AM7" s="433"/>
      <c r="AN7" s="433"/>
      <c r="AO7" s="433"/>
      <c r="AP7" s="433"/>
      <c r="AQ7" s="433"/>
      <c r="AR7" s="433"/>
      <c r="AS7" s="433"/>
      <c r="AT7" s="439"/>
      <c r="AU7" s="439"/>
      <c r="AV7" s="439"/>
      <c r="AW7" s="439"/>
      <c r="AX7" s="439"/>
      <c r="AY7" s="439"/>
      <c r="AZ7" s="441"/>
      <c r="BA7" s="422"/>
      <c r="BB7" s="405"/>
      <c r="BC7" s="406"/>
      <c r="BD7" s="391"/>
      <c r="BE7" s="444" t="s">
        <v>175</v>
      </c>
      <c r="BF7" s="444"/>
      <c r="BG7" s="444"/>
      <c r="BH7" s="444"/>
      <c r="BI7" s="444"/>
      <c r="BJ7" s="444"/>
      <c r="BK7" s="444"/>
      <c r="BL7" s="445"/>
      <c r="BM7" s="445"/>
      <c r="BN7" s="445"/>
      <c r="BO7" s="445"/>
      <c r="BP7" s="445"/>
      <c r="BQ7" s="445"/>
      <c r="BR7" s="445"/>
      <c r="BS7" s="444"/>
      <c r="BT7" s="444"/>
    </row>
    <row r="8" spans="1:72" ht="12.5" customHeight="1">
      <c r="A8" s="393"/>
      <c r="B8" s="418"/>
      <c r="C8" s="427"/>
      <c r="D8" s="428"/>
      <c r="E8" s="421"/>
      <c r="F8" s="421"/>
      <c r="G8" s="421"/>
      <c r="H8" s="431"/>
      <c r="I8" s="431"/>
      <c r="J8" s="431"/>
      <c r="K8" s="431"/>
      <c r="L8" s="431"/>
      <c r="M8" s="431"/>
      <c r="N8" s="431"/>
      <c r="O8" s="431"/>
      <c r="P8" s="431"/>
      <c r="Q8" s="431"/>
      <c r="R8" s="431"/>
      <c r="S8" s="431"/>
      <c r="T8" s="431"/>
      <c r="U8" s="431"/>
      <c r="V8" s="431"/>
      <c r="W8" s="431"/>
      <c r="X8" s="431"/>
      <c r="Y8" s="431"/>
      <c r="Z8" s="431"/>
      <c r="AA8" s="431"/>
      <c r="AB8" s="431"/>
      <c r="AC8" s="431"/>
      <c r="AD8" s="431"/>
      <c r="AE8" s="431"/>
      <c r="AF8" s="431"/>
      <c r="AG8" s="431"/>
      <c r="AH8" s="431"/>
      <c r="AI8" s="431"/>
      <c r="AJ8" s="431"/>
      <c r="AK8" s="431"/>
      <c r="AL8" s="431"/>
      <c r="AM8" s="431"/>
      <c r="AN8" s="431"/>
      <c r="AO8" s="431"/>
      <c r="AP8" s="431"/>
      <c r="AQ8" s="431"/>
      <c r="AR8" s="431"/>
      <c r="AS8" s="432"/>
      <c r="AT8" s="429"/>
      <c r="AU8" s="429"/>
      <c r="AV8" s="429"/>
      <c r="AW8" s="429"/>
      <c r="AX8" s="429"/>
      <c r="AY8" s="429"/>
      <c r="AZ8" s="422"/>
      <c r="BA8" s="422"/>
      <c r="BB8" s="405"/>
      <c r="BC8" s="406"/>
      <c r="BD8" s="391"/>
      <c r="BE8" s="428" t="s">
        <v>265</v>
      </c>
      <c r="BF8" s="428"/>
      <c r="BG8" s="445"/>
      <c r="BH8" s="445"/>
      <c r="BI8" s="445"/>
      <c r="BJ8" s="445"/>
      <c r="BK8" s="445"/>
      <c r="BL8" s="444"/>
      <c r="BM8" s="444"/>
      <c r="BN8" s="444"/>
      <c r="BO8" s="444"/>
      <c r="BP8" s="444"/>
      <c r="BQ8" s="444"/>
      <c r="BR8" s="444"/>
      <c r="BS8" s="444"/>
      <c r="BT8" s="444"/>
    </row>
    <row r="9" spans="1:72" ht="24" customHeight="1">
      <c r="A9" s="393"/>
      <c r="B9" s="394"/>
      <c r="C9" s="411"/>
      <c r="D9" s="411"/>
      <c r="E9" s="411"/>
      <c r="F9" s="411"/>
      <c r="G9" s="411"/>
      <c r="H9" s="411"/>
      <c r="I9" s="411"/>
      <c r="J9" s="411"/>
      <c r="K9" s="411"/>
      <c r="L9" s="411"/>
      <c r="M9" s="411"/>
      <c r="N9" s="411"/>
      <c r="O9" s="411"/>
      <c r="P9" s="411"/>
      <c r="Q9" s="411"/>
      <c r="R9" s="411"/>
      <c r="S9" s="411"/>
      <c r="T9" s="412"/>
      <c r="U9" s="412"/>
      <c r="V9" s="412"/>
      <c r="W9" s="488" t="s">
        <v>173</v>
      </c>
      <c r="X9" s="410"/>
      <c r="Y9" s="410"/>
      <c r="Z9" s="412"/>
      <c r="AA9" s="412"/>
      <c r="AB9" s="414"/>
      <c r="AC9" s="412"/>
      <c r="AD9" s="415"/>
      <c r="AE9" s="415"/>
      <c r="AF9" s="415"/>
      <c r="AG9" s="415"/>
      <c r="AH9" s="415"/>
      <c r="AI9" s="411"/>
      <c r="AJ9" s="412"/>
      <c r="AK9" s="412"/>
      <c r="AL9" s="412"/>
      <c r="AM9" s="412"/>
      <c r="AN9" s="416"/>
      <c r="AO9" s="413"/>
      <c r="AP9" s="413"/>
      <c r="AQ9" s="412"/>
      <c r="AR9" s="412"/>
      <c r="AS9" s="412"/>
      <c r="AT9" s="412"/>
      <c r="AU9" s="412"/>
      <c r="AV9" s="412"/>
      <c r="AW9" s="412"/>
      <c r="AX9" s="412"/>
      <c r="AY9" s="412"/>
      <c r="AZ9" s="396"/>
      <c r="BA9" s="396"/>
      <c r="BB9" s="389"/>
      <c r="BC9" s="390"/>
      <c r="BD9" s="391"/>
      <c r="BE9" s="445"/>
      <c r="BF9" s="428" t="s">
        <v>266</v>
      </c>
      <c r="BG9" s="428"/>
      <c r="BH9" s="428"/>
      <c r="BI9" s="445"/>
      <c r="BJ9" s="445"/>
      <c r="BK9" s="445"/>
      <c r="BL9" s="444"/>
      <c r="BM9" s="444"/>
      <c r="BN9" s="444"/>
      <c r="BO9" s="444"/>
      <c r="BP9" s="444"/>
      <c r="BQ9" s="444"/>
      <c r="BR9" s="444"/>
      <c r="BS9" s="444"/>
      <c r="BT9" s="444"/>
    </row>
    <row r="10" spans="1:72" ht="12" customHeight="1">
      <c r="A10" s="393"/>
      <c r="B10" s="401"/>
      <c r="C10" s="402"/>
      <c r="D10" s="391"/>
      <c r="E10" s="391"/>
      <c r="F10" s="391"/>
      <c r="G10" s="391"/>
      <c r="H10" s="403"/>
      <c r="I10" s="398"/>
      <c r="J10" s="397"/>
      <c r="K10" s="398"/>
      <c r="L10" s="397"/>
      <c r="M10" s="404"/>
      <c r="N10" s="404"/>
      <c r="O10" s="400"/>
      <c r="P10" s="404"/>
      <c r="Q10" s="400"/>
      <c r="R10" s="404"/>
      <c r="S10" s="392"/>
      <c r="T10" s="391"/>
      <c r="U10" s="391"/>
      <c r="V10" s="391"/>
      <c r="W10" s="391"/>
      <c r="X10" s="391"/>
      <c r="Y10" s="403"/>
      <c r="Z10" s="398"/>
      <c r="AA10" s="397"/>
      <c r="AB10" s="398"/>
      <c r="AC10" s="397"/>
      <c r="AD10" s="404"/>
      <c r="AE10" s="404"/>
      <c r="AF10" s="400"/>
      <c r="AG10" s="404"/>
      <c r="AH10" s="404"/>
      <c r="AI10" s="399"/>
      <c r="AJ10" s="404"/>
      <c r="AK10" s="400"/>
      <c r="AL10" s="391"/>
      <c r="AM10" s="391"/>
      <c r="AN10" s="391"/>
      <c r="AO10" s="391"/>
      <c r="AP10" s="391"/>
      <c r="AQ10" s="391"/>
      <c r="AR10" s="391"/>
      <c r="AS10" s="397"/>
      <c r="AT10" s="399"/>
      <c r="AU10" s="397"/>
      <c r="AV10" s="400"/>
      <c r="AW10" s="400"/>
      <c r="AX10" s="400"/>
      <c r="AY10" s="395"/>
      <c r="AZ10" s="396"/>
      <c r="BA10" s="396"/>
      <c r="BB10" s="389"/>
      <c r="BC10" s="390"/>
      <c r="BD10" s="391"/>
      <c r="BE10" s="428"/>
      <c r="BF10" s="428"/>
      <c r="BG10" s="428" t="s">
        <v>267</v>
      </c>
      <c r="BH10" s="446"/>
      <c r="BI10" s="445"/>
      <c r="BJ10" s="445"/>
      <c r="BK10" s="445"/>
      <c r="BL10" s="444"/>
      <c r="BM10" s="444"/>
      <c r="BN10" s="444"/>
      <c r="BO10" s="444"/>
      <c r="BP10" s="444"/>
      <c r="BQ10" s="444"/>
      <c r="BR10" s="444"/>
      <c r="BS10" s="444"/>
      <c r="BT10" s="444"/>
    </row>
    <row r="11" spans="1:72" ht="12.5" customHeight="1">
      <c r="A11" s="393"/>
      <c r="B11" s="394"/>
      <c r="C11" s="391"/>
      <c r="D11" s="391"/>
      <c r="E11" s="391"/>
      <c r="F11" s="392"/>
      <c r="G11" s="421"/>
      <c r="H11" s="431"/>
      <c r="I11" s="431"/>
      <c r="J11" s="431"/>
      <c r="K11" s="431"/>
      <c r="L11" s="431"/>
      <c r="M11" s="431"/>
      <c r="N11" s="431"/>
      <c r="O11" s="431"/>
      <c r="P11" s="431"/>
      <c r="Q11" s="431"/>
      <c r="R11" s="431"/>
      <c r="S11" s="431"/>
      <c r="T11" s="431"/>
      <c r="U11" s="431"/>
      <c r="V11" s="431"/>
      <c r="W11" s="431"/>
      <c r="X11" s="431"/>
      <c r="Y11" s="431"/>
      <c r="Z11" s="431"/>
      <c r="AA11" s="431"/>
      <c r="AB11" s="431"/>
      <c r="AC11" s="431"/>
      <c r="AD11" s="431"/>
      <c r="AE11" s="431"/>
      <c r="AF11" s="431"/>
      <c r="AG11" s="431"/>
      <c r="AH11" s="431"/>
      <c r="AI11" s="431"/>
      <c r="AJ11" s="431"/>
      <c r="AK11" s="431"/>
      <c r="AL11" s="431"/>
      <c r="AM11" s="431"/>
      <c r="AN11" s="431"/>
      <c r="AO11" s="431"/>
      <c r="AP11" s="431"/>
      <c r="AQ11" s="431"/>
      <c r="AR11" s="431"/>
      <c r="AS11" s="431"/>
      <c r="AT11" s="425"/>
      <c r="AU11" s="421"/>
      <c r="AV11" s="400"/>
      <c r="AW11" s="400"/>
      <c r="AX11" s="400"/>
      <c r="AY11" s="395"/>
      <c r="AZ11" s="396"/>
      <c r="BA11" s="396"/>
      <c r="BB11" s="389"/>
      <c r="BC11" s="390"/>
      <c r="BD11" s="391"/>
      <c r="BE11" s="428"/>
      <c r="BF11" s="428"/>
      <c r="BG11" s="428" t="s">
        <v>268</v>
      </c>
      <c r="BH11" s="446"/>
      <c r="BI11" s="428"/>
      <c r="BJ11" s="445"/>
      <c r="BK11" s="445"/>
      <c r="BL11" s="444"/>
      <c r="BM11" s="444"/>
      <c r="BN11" s="444"/>
      <c r="BO11" s="444"/>
      <c r="BP11" s="444"/>
      <c r="BQ11" s="444"/>
      <c r="BR11" s="444"/>
      <c r="BS11" s="444"/>
      <c r="BT11" s="444"/>
    </row>
    <row r="12" spans="1:72" ht="12.5" customHeight="1">
      <c r="A12" s="393"/>
      <c r="B12" s="418"/>
      <c r="C12" s="417"/>
      <c r="D12" s="424" t="s">
        <v>248</v>
      </c>
      <c r="E12" s="419"/>
      <c r="F12" s="419"/>
      <c r="G12" s="421"/>
      <c r="H12" s="431"/>
      <c r="I12" s="431"/>
      <c r="J12" s="431"/>
      <c r="K12" s="431"/>
      <c r="L12" s="431"/>
      <c r="M12" s="431"/>
      <c r="N12" s="431"/>
      <c r="O12" s="431"/>
      <c r="P12" s="431"/>
      <c r="Q12" s="431"/>
      <c r="R12" s="431"/>
      <c r="S12" s="431"/>
      <c r="T12" s="431"/>
      <c r="U12" s="431"/>
      <c r="V12" s="431"/>
      <c r="W12" s="431"/>
      <c r="X12" s="431"/>
      <c r="Y12" s="431"/>
      <c r="Z12" s="431"/>
      <c r="AA12" s="431"/>
      <c r="AB12" s="431"/>
      <c r="AC12" s="431"/>
      <c r="AD12" s="431"/>
      <c r="AE12" s="431"/>
      <c r="AF12" s="431"/>
      <c r="AG12" s="431"/>
      <c r="AH12" s="431"/>
      <c r="AI12" s="431"/>
      <c r="AJ12" s="431"/>
      <c r="AK12" s="431"/>
      <c r="AL12" s="431"/>
      <c r="AM12" s="431"/>
      <c r="AN12" s="431"/>
      <c r="AO12" s="431"/>
      <c r="AP12" s="431"/>
      <c r="AQ12" s="431"/>
      <c r="AR12" s="431"/>
      <c r="AS12" s="431"/>
      <c r="AT12" s="425"/>
      <c r="AU12" s="421"/>
      <c r="AV12" s="417"/>
      <c r="AW12" s="417"/>
      <c r="AX12" s="421"/>
      <c r="AY12" s="417"/>
      <c r="AZ12" s="422"/>
      <c r="BA12" s="422"/>
      <c r="BB12" s="389"/>
      <c r="BC12" s="390"/>
      <c r="BD12" s="391"/>
      <c r="BE12" s="444"/>
      <c r="BF12" s="444"/>
      <c r="BG12" s="447"/>
      <c r="BH12" s="444"/>
      <c r="BI12" s="444"/>
      <c r="BJ12" s="444"/>
      <c r="BK12" s="444"/>
      <c r="BL12" s="444"/>
      <c r="BM12" s="444"/>
      <c r="BN12" s="444"/>
      <c r="BO12" s="444"/>
      <c r="BP12" s="444"/>
      <c r="BQ12" s="444"/>
      <c r="BR12" s="444"/>
      <c r="BS12" s="444"/>
      <c r="BT12" s="444"/>
    </row>
    <row r="13" spans="1:72" ht="12.5" customHeight="1">
      <c r="A13" s="393"/>
      <c r="B13" s="418"/>
      <c r="C13" s="423"/>
      <c r="D13" s="419"/>
      <c r="E13" s="419"/>
      <c r="F13" s="419"/>
      <c r="G13" s="421"/>
      <c r="H13" s="431"/>
      <c r="I13" s="431"/>
      <c r="J13" s="431"/>
      <c r="K13" s="431"/>
      <c r="L13" s="431"/>
      <c r="M13" s="431"/>
      <c r="N13" s="431"/>
      <c r="O13" s="431"/>
      <c r="P13" s="431"/>
      <c r="Q13" s="431"/>
      <c r="R13" s="431"/>
      <c r="S13" s="431"/>
      <c r="T13" s="431"/>
      <c r="U13" s="431"/>
      <c r="V13" s="431"/>
      <c r="W13" s="431"/>
      <c r="X13" s="431"/>
      <c r="Y13" s="431"/>
      <c r="Z13" s="431"/>
      <c r="AA13" s="431"/>
      <c r="AB13" s="431"/>
      <c r="AC13" s="431"/>
      <c r="AD13" s="431"/>
      <c r="AE13" s="431"/>
      <c r="AF13" s="431"/>
      <c r="AG13" s="431"/>
      <c r="AH13" s="431"/>
      <c r="AI13" s="431"/>
      <c r="AJ13" s="431"/>
      <c r="AK13" s="431"/>
      <c r="AL13" s="431"/>
      <c r="AM13" s="431"/>
      <c r="AN13" s="431"/>
      <c r="AO13" s="431"/>
      <c r="AP13" s="431"/>
      <c r="AQ13" s="431"/>
      <c r="AR13" s="431"/>
      <c r="AS13" s="431"/>
      <c r="AT13" s="425"/>
      <c r="AU13" s="421"/>
      <c r="AV13" s="421"/>
      <c r="AW13" s="421"/>
      <c r="AX13" s="421"/>
      <c r="AY13" s="417"/>
      <c r="AZ13" s="422"/>
      <c r="BA13" s="422"/>
      <c r="BB13" s="389"/>
      <c r="BC13" s="390"/>
      <c r="BD13" s="391"/>
      <c r="BE13" s="428" t="s">
        <v>269</v>
      </c>
      <c r="BF13" s="444"/>
      <c r="BG13" s="444"/>
      <c r="BH13" s="444"/>
      <c r="BI13" s="444"/>
      <c r="BJ13" s="444"/>
      <c r="BK13" s="444"/>
      <c r="BL13" s="444"/>
      <c r="BM13" s="444"/>
      <c r="BN13" s="444"/>
      <c r="BO13" s="444"/>
      <c r="BP13" s="444"/>
      <c r="BQ13" s="444"/>
      <c r="BR13" s="444"/>
      <c r="BS13" s="444"/>
      <c r="BT13" s="444"/>
    </row>
    <row r="14" spans="1:72" ht="12.5" customHeight="1">
      <c r="A14" s="393"/>
      <c r="B14" s="418"/>
      <c r="C14" s="424"/>
      <c r="D14" s="490"/>
      <c r="E14" s="490"/>
      <c r="F14" s="490"/>
      <c r="G14" s="490"/>
      <c r="H14" s="490"/>
      <c r="I14" s="490"/>
      <c r="J14" s="490"/>
      <c r="K14" s="490"/>
      <c r="L14" s="490"/>
      <c r="M14" s="490"/>
      <c r="N14" s="490"/>
      <c r="O14" s="490"/>
      <c r="P14" s="490"/>
      <c r="Q14" s="490"/>
      <c r="R14" s="490"/>
      <c r="S14" s="490"/>
      <c r="T14" s="490"/>
      <c r="U14" s="490"/>
      <c r="V14" s="490"/>
      <c r="W14" s="490"/>
      <c r="X14" s="490"/>
      <c r="Y14" s="490"/>
      <c r="Z14" s="490"/>
      <c r="AA14" s="490"/>
      <c r="AB14" s="490"/>
      <c r="AC14" s="490"/>
      <c r="AD14" s="490"/>
      <c r="AE14" s="490"/>
      <c r="AF14" s="490"/>
      <c r="AG14" s="490"/>
      <c r="AH14" s="490"/>
      <c r="AI14" s="490"/>
      <c r="AJ14" s="490"/>
      <c r="AK14" s="490"/>
      <c r="AL14" s="490"/>
      <c r="AM14" s="490"/>
      <c r="AN14" s="490"/>
      <c r="AO14" s="490"/>
      <c r="AP14" s="490"/>
      <c r="AQ14" s="490"/>
      <c r="AR14" s="490"/>
      <c r="AS14" s="431"/>
      <c r="AT14" s="425"/>
      <c r="AU14" s="421"/>
      <c r="AV14" s="421"/>
      <c r="AW14" s="421"/>
      <c r="AX14" s="421"/>
      <c r="AY14" s="417"/>
      <c r="AZ14" s="422"/>
      <c r="BA14" s="422"/>
      <c r="BB14" s="389"/>
      <c r="BC14" s="390"/>
      <c r="BD14" s="391"/>
      <c r="BE14" s="444"/>
      <c r="BF14" s="428" t="s">
        <v>270</v>
      </c>
      <c r="BG14" s="428"/>
      <c r="BH14" s="444"/>
      <c r="BI14" s="444"/>
      <c r="BJ14" s="444"/>
      <c r="BK14" s="444"/>
      <c r="BL14" s="444"/>
      <c r="BM14" s="444"/>
      <c r="BN14" s="444"/>
      <c r="BO14" s="444"/>
      <c r="BP14" s="444"/>
      <c r="BQ14" s="444"/>
      <c r="BR14" s="444"/>
      <c r="BS14" s="444"/>
      <c r="BT14" s="444"/>
    </row>
    <row r="15" spans="1:72" ht="12.5" customHeight="1">
      <c r="A15" s="393"/>
      <c r="B15" s="418"/>
      <c r="C15" s="417"/>
      <c r="D15" s="489" t="s">
        <v>249</v>
      </c>
      <c r="E15" s="489"/>
      <c r="F15" s="489"/>
      <c r="G15" s="489"/>
      <c r="H15" s="489"/>
      <c r="I15" s="489"/>
      <c r="J15" s="489"/>
      <c r="K15" s="489"/>
      <c r="L15" s="489"/>
      <c r="M15" s="489"/>
      <c r="N15" s="489"/>
      <c r="O15" s="489"/>
      <c r="P15" s="489"/>
      <c r="Q15" s="489"/>
      <c r="R15" s="489"/>
      <c r="S15" s="489"/>
      <c r="T15" s="489"/>
      <c r="U15" s="489"/>
      <c r="V15" s="489"/>
      <c r="W15" s="489"/>
      <c r="X15" s="489"/>
      <c r="Y15" s="489"/>
      <c r="Z15" s="489"/>
      <c r="AA15" s="489"/>
      <c r="AB15" s="489"/>
      <c r="AC15" s="489"/>
      <c r="AD15" s="489"/>
      <c r="AE15" s="489"/>
      <c r="AF15" s="489"/>
      <c r="AG15" s="489"/>
      <c r="AH15" s="489"/>
      <c r="AI15" s="489"/>
      <c r="AJ15" s="489"/>
      <c r="AK15" s="489"/>
      <c r="AL15" s="490"/>
      <c r="AM15" s="490"/>
      <c r="AN15" s="490"/>
      <c r="AO15" s="490"/>
      <c r="AP15" s="490"/>
      <c r="AQ15" s="490"/>
      <c r="AR15" s="490"/>
      <c r="AS15" s="431"/>
      <c r="AT15" s="425"/>
      <c r="AU15" s="421"/>
      <c r="AV15" s="417"/>
      <c r="AW15" s="417"/>
      <c r="AX15" s="421"/>
      <c r="AY15" s="417"/>
      <c r="AZ15" s="422"/>
      <c r="BA15" s="422"/>
      <c r="BB15" s="389"/>
      <c r="BC15" s="390"/>
      <c r="BD15" s="391"/>
      <c r="BE15" s="444"/>
      <c r="BF15" s="428" t="s">
        <v>271</v>
      </c>
      <c r="BG15" s="428"/>
      <c r="BH15" s="444"/>
      <c r="BI15" s="444"/>
      <c r="BJ15" s="444"/>
      <c r="BK15" s="444"/>
      <c r="BL15" s="444"/>
      <c r="BM15" s="444"/>
      <c r="BN15" s="444"/>
      <c r="BO15" s="444"/>
      <c r="BP15" s="444"/>
      <c r="BQ15" s="444"/>
      <c r="BR15" s="444"/>
      <c r="BS15" s="444"/>
      <c r="BT15" s="444"/>
    </row>
    <row r="16" spans="1:72" ht="12.5" customHeight="1">
      <c r="A16" s="393"/>
      <c r="B16" s="418"/>
      <c r="C16" s="417"/>
      <c r="D16" s="492"/>
      <c r="E16" s="492"/>
      <c r="F16" s="492"/>
      <c r="G16" s="492"/>
      <c r="H16" s="492"/>
      <c r="I16" s="492"/>
      <c r="J16" s="492"/>
      <c r="K16" s="492"/>
      <c r="L16" s="492"/>
      <c r="M16" s="492"/>
      <c r="N16" s="492"/>
      <c r="O16" s="492"/>
      <c r="P16" s="492"/>
      <c r="Q16" s="492"/>
      <c r="R16" s="492"/>
      <c r="S16" s="492"/>
      <c r="T16" s="492"/>
      <c r="U16" s="492"/>
      <c r="V16" s="492"/>
      <c r="W16" s="492"/>
      <c r="X16" s="492"/>
      <c r="Y16" s="492"/>
      <c r="Z16" s="492"/>
      <c r="AA16" s="492"/>
      <c r="AB16" s="492"/>
      <c r="AC16" s="492"/>
      <c r="AD16" s="492"/>
      <c r="AE16" s="492"/>
      <c r="AF16" s="492"/>
      <c r="AG16" s="492"/>
      <c r="AH16" s="492"/>
      <c r="AI16" s="492"/>
      <c r="AJ16" s="492"/>
      <c r="AK16" s="492"/>
      <c r="AL16" s="491"/>
      <c r="AM16" s="491"/>
      <c r="AN16" s="491"/>
      <c r="AO16" s="491"/>
      <c r="AP16" s="491"/>
      <c r="AQ16" s="491"/>
      <c r="AR16" s="491"/>
      <c r="AS16" s="431"/>
      <c r="AT16" s="425"/>
      <c r="AU16" s="421"/>
      <c r="AV16" s="421"/>
      <c r="AW16" s="421"/>
      <c r="AX16" s="421"/>
      <c r="AY16" s="417"/>
      <c r="AZ16" s="422"/>
      <c r="BA16" s="422"/>
      <c r="BB16" s="389"/>
      <c r="BC16" s="390"/>
      <c r="BD16" s="391"/>
      <c r="BE16" s="447"/>
      <c r="BF16" s="428"/>
      <c r="BG16" s="428"/>
      <c r="BH16" s="444"/>
      <c r="BI16" s="444"/>
      <c r="BJ16" s="444"/>
      <c r="BK16" s="444"/>
      <c r="BL16" s="444"/>
      <c r="BM16" s="444"/>
      <c r="BN16" s="444"/>
      <c r="BO16" s="444"/>
      <c r="BP16" s="444"/>
      <c r="BQ16" s="444"/>
      <c r="BR16" s="444"/>
      <c r="BS16" s="444"/>
      <c r="BT16" s="444"/>
    </row>
    <row r="17" spans="1:72" ht="12.5" customHeight="1">
      <c r="A17" s="393"/>
      <c r="B17" s="418"/>
      <c r="C17" s="417"/>
      <c r="D17" s="492" t="s">
        <v>250</v>
      </c>
      <c r="E17" s="492"/>
      <c r="F17" s="492"/>
      <c r="G17" s="492"/>
      <c r="H17" s="492"/>
      <c r="I17" s="492"/>
      <c r="J17" s="492"/>
      <c r="K17" s="492"/>
      <c r="L17" s="492"/>
      <c r="M17" s="492"/>
      <c r="N17" s="492"/>
      <c r="O17" s="492"/>
      <c r="P17" s="492"/>
      <c r="Q17" s="492"/>
      <c r="R17" s="492"/>
      <c r="S17" s="492"/>
      <c r="T17" s="492"/>
      <c r="U17" s="492"/>
      <c r="V17" s="492"/>
      <c r="W17" s="492"/>
      <c r="X17" s="492"/>
      <c r="Y17" s="492"/>
      <c r="Z17" s="492"/>
      <c r="AA17" s="492"/>
      <c r="AB17" s="492"/>
      <c r="AC17" s="492"/>
      <c r="AD17" s="492"/>
      <c r="AE17" s="492"/>
      <c r="AF17" s="492"/>
      <c r="AG17" s="492"/>
      <c r="AH17" s="492"/>
      <c r="AI17" s="492"/>
      <c r="AJ17" s="492"/>
      <c r="AK17" s="492"/>
      <c r="AL17" s="491"/>
      <c r="AM17" s="491"/>
      <c r="AN17" s="491"/>
      <c r="AO17" s="491"/>
      <c r="AP17" s="491"/>
      <c r="AQ17" s="491"/>
      <c r="AR17" s="491"/>
      <c r="AS17" s="431"/>
      <c r="AT17" s="425"/>
      <c r="AU17" s="421"/>
      <c r="AV17" s="421"/>
      <c r="AW17" s="421"/>
      <c r="AX17" s="421"/>
      <c r="AY17" s="417"/>
      <c r="AZ17" s="422"/>
      <c r="BA17" s="422"/>
      <c r="BB17" s="389"/>
      <c r="BC17" s="390"/>
      <c r="BD17" s="391"/>
      <c r="BE17" s="444"/>
      <c r="BF17" s="444" t="s">
        <v>272</v>
      </c>
      <c r="BG17" s="444"/>
      <c r="BH17" s="444"/>
      <c r="BI17" s="444"/>
      <c r="BJ17" s="444"/>
      <c r="BK17" s="444"/>
      <c r="BL17" s="444"/>
      <c r="BM17" s="444"/>
      <c r="BN17" s="444"/>
      <c r="BO17" s="444"/>
      <c r="BP17" s="444"/>
      <c r="BQ17" s="444"/>
      <c r="BR17" s="444"/>
      <c r="BS17" s="444"/>
      <c r="BT17" s="444"/>
    </row>
    <row r="18" spans="1:72" ht="12.5" customHeight="1">
      <c r="A18" s="393"/>
      <c r="B18" s="418"/>
      <c r="C18" s="417"/>
      <c r="D18" s="492" t="s">
        <v>251</v>
      </c>
      <c r="E18" s="492"/>
      <c r="F18" s="492"/>
      <c r="G18" s="492"/>
      <c r="H18" s="492"/>
      <c r="I18" s="492"/>
      <c r="J18" s="492"/>
      <c r="K18" s="492"/>
      <c r="L18" s="492"/>
      <c r="M18" s="492"/>
      <c r="N18" s="492"/>
      <c r="O18" s="492"/>
      <c r="P18" s="492"/>
      <c r="Q18" s="492"/>
      <c r="R18" s="492"/>
      <c r="S18" s="492"/>
      <c r="T18" s="492"/>
      <c r="U18" s="492"/>
      <c r="V18" s="492"/>
      <c r="W18" s="492"/>
      <c r="X18" s="492"/>
      <c r="Y18" s="492"/>
      <c r="Z18" s="492"/>
      <c r="AA18" s="492"/>
      <c r="AB18" s="492"/>
      <c r="AC18" s="492"/>
      <c r="AD18" s="492"/>
      <c r="AE18" s="492"/>
      <c r="AF18" s="492"/>
      <c r="AG18" s="492"/>
      <c r="AH18" s="492"/>
      <c r="AI18" s="492"/>
      <c r="AJ18" s="492"/>
      <c r="AK18" s="492"/>
      <c r="AL18" s="491"/>
      <c r="AM18" s="491"/>
      <c r="AN18" s="491"/>
      <c r="AO18" s="491"/>
      <c r="AP18" s="491"/>
      <c r="AQ18" s="491"/>
      <c r="AR18" s="491"/>
      <c r="AS18" s="431"/>
      <c r="AT18" s="425"/>
      <c r="AU18" s="421"/>
      <c r="AV18" s="421"/>
      <c r="AW18" s="421"/>
      <c r="AX18" s="421"/>
      <c r="AY18" s="417"/>
      <c r="AZ18" s="422"/>
      <c r="BA18" s="422"/>
      <c r="BB18" s="389"/>
      <c r="BC18" s="390"/>
      <c r="BD18" s="391"/>
      <c r="BE18" s="444"/>
      <c r="BF18" s="444"/>
      <c r="BG18" s="444" t="s">
        <v>273</v>
      </c>
      <c r="BH18" s="444"/>
      <c r="BI18" s="444"/>
      <c r="BJ18" s="444"/>
      <c r="BK18" s="444"/>
      <c r="BL18" s="444"/>
      <c r="BM18" s="444"/>
      <c r="BN18" s="444"/>
      <c r="BO18" s="444"/>
      <c r="BP18" s="444"/>
      <c r="BQ18" s="444"/>
      <c r="BR18" s="444"/>
      <c r="BS18" s="444"/>
      <c r="BT18" s="444"/>
    </row>
    <row r="19" spans="1:72" ht="12.5" customHeight="1">
      <c r="A19" s="393"/>
      <c r="B19" s="418"/>
      <c r="C19" s="423"/>
      <c r="D19" s="492" t="s">
        <v>252</v>
      </c>
      <c r="E19" s="492"/>
      <c r="F19" s="492"/>
      <c r="G19" s="492"/>
      <c r="H19" s="492"/>
      <c r="I19" s="492"/>
      <c r="J19" s="492"/>
      <c r="K19" s="492"/>
      <c r="L19" s="492"/>
      <c r="M19" s="492"/>
      <c r="N19" s="492"/>
      <c r="O19" s="492"/>
      <c r="P19" s="492"/>
      <c r="Q19" s="492"/>
      <c r="R19" s="492"/>
      <c r="S19" s="492"/>
      <c r="T19" s="492"/>
      <c r="U19" s="492"/>
      <c r="V19" s="492"/>
      <c r="W19" s="492"/>
      <c r="X19" s="492"/>
      <c r="Y19" s="492"/>
      <c r="Z19" s="492"/>
      <c r="AA19" s="492"/>
      <c r="AB19" s="492"/>
      <c r="AC19" s="492"/>
      <c r="AD19" s="492"/>
      <c r="AE19" s="492"/>
      <c r="AF19" s="492"/>
      <c r="AG19" s="492"/>
      <c r="AH19" s="492"/>
      <c r="AI19" s="492"/>
      <c r="AJ19" s="492"/>
      <c r="AK19" s="492"/>
      <c r="AL19" s="491"/>
      <c r="AM19" s="491"/>
      <c r="AN19" s="491"/>
      <c r="AO19" s="491"/>
      <c r="AP19" s="491"/>
      <c r="AQ19" s="491"/>
      <c r="AR19" s="491"/>
      <c r="AS19" s="431"/>
      <c r="AT19" s="425"/>
      <c r="AU19" s="421"/>
      <c r="AV19" s="421"/>
      <c r="AW19" s="421"/>
      <c r="AX19" s="421"/>
      <c r="AY19" s="417"/>
      <c r="AZ19" s="422"/>
      <c r="BA19" s="422"/>
      <c r="BB19" s="389"/>
      <c r="BC19" s="390"/>
      <c r="BD19" s="391"/>
      <c r="BE19" s="444"/>
      <c r="BF19" s="444"/>
      <c r="BG19" s="444" t="s">
        <v>274</v>
      </c>
      <c r="BH19" s="444"/>
      <c r="BI19" s="444"/>
      <c r="BJ19" s="444"/>
      <c r="BK19" s="444"/>
      <c r="BL19" s="444"/>
      <c r="BM19" s="444"/>
      <c r="BN19" s="444"/>
      <c r="BO19" s="444"/>
      <c r="BP19" s="444"/>
      <c r="BQ19" s="444"/>
      <c r="BR19" s="444"/>
      <c r="BS19" s="444"/>
      <c r="BT19" s="444"/>
    </row>
    <row r="20" spans="1:72" ht="12.5" customHeight="1">
      <c r="A20" s="393"/>
      <c r="B20" s="418"/>
      <c r="C20" s="417"/>
      <c r="D20" s="492" t="s">
        <v>253</v>
      </c>
      <c r="E20" s="492"/>
      <c r="F20" s="492"/>
      <c r="G20" s="492"/>
      <c r="H20" s="492"/>
      <c r="I20" s="492"/>
      <c r="J20" s="492"/>
      <c r="K20" s="492"/>
      <c r="L20" s="492"/>
      <c r="M20" s="492"/>
      <c r="N20" s="492"/>
      <c r="O20" s="492"/>
      <c r="P20" s="492"/>
      <c r="Q20" s="492"/>
      <c r="R20" s="492"/>
      <c r="S20" s="492"/>
      <c r="T20" s="492"/>
      <c r="U20" s="492"/>
      <c r="V20" s="492"/>
      <c r="W20" s="492"/>
      <c r="X20" s="492"/>
      <c r="Y20" s="492"/>
      <c r="Z20" s="492"/>
      <c r="AA20" s="492"/>
      <c r="AB20" s="492"/>
      <c r="AC20" s="492"/>
      <c r="AD20" s="492"/>
      <c r="AE20" s="492"/>
      <c r="AF20" s="492"/>
      <c r="AG20" s="492"/>
      <c r="AH20" s="492"/>
      <c r="AI20" s="492"/>
      <c r="AJ20" s="492"/>
      <c r="AK20" s="492"/>
      <c r="AL20" s="491"/>
      <c r="AM20" s="491"/>
      <c r="AN20" s="491"/>
      <c r="AO20" s="491"/>
      <c r="AP20" s="491"/>
      <c r="AQ20" s="491"/>
      <c r="AR20" s="491"/>
      <c r="AS20" s="431"/>
      <c r="AT20" s="425"/>
      <c r="AU20" s="421"/>
      <c r="AV20" s="421"/>
      <c r="AW20" s="421"/>
      <c r="AX20" s="421"/>
      <c r="AY20" s="417"/>
      <c r="AZ20" s="422"/>
      <c r="BA20" s="422"/>
      <c r="BB20" s="389"/>
      <c r="BC20" s="390"/>
      <c r="BD20" s="392"/>
      <c r="BE20" s="444"/>
      <c r="BF20" s="444"/>
      <c r="BG20" s="444" t="s">
        <v>275</v>
      </c>
      <c r="BH20" s="444"/>
      <c r="BI20" s="444"/>
      <c r="BJ20" s="444"/>
      <c r="BK20" s="444"/>
      <c r="BL20" s="444"/>
      <c r="BM20" s="444"/>
      <c r="BN20" s="444"/>
      <c r="BO20" s="444"/>
      <c r="BP20" s="444"/>
      <c r="BQ20" s="444"/>
      <c r="BR20" s="444"/>
      <c r="BS20" s="444"/>
      <c r="BT20" s="444"/>
    </row>
    <row r="21" spans="1:72" ht="12.5" customHeight="1">
      <c r="A21" s="393"/>
      <c r="B21" s="418"/>
      <c r="C21" s="427"/>
      <c r="D21" s="492"/>
      <c r="E21" s="492"/>
      <c r="F21" s="492"/>
      <c r="G21" s="492"/>
      <c r="H21" s="492"/>
      <c r="I21" s="492"/>
      <c r="J21" s="492"/>
      <c r="K21" s="492"/>
      <c r="L21" s="492"/>
      <c r="M21" s="492"/>
      <c r="N21" s="492"/>
      <c r="O21" s="492"/>
      <c r="P21" s="492"/>
      <c r="Q21" s="492"/>
      <c r="R21" s="492"/>
      <c r="S21" s="492"/>
      <c r="T21" s="492"/>
      <c r="U21" s="492"/>
      <c r="V21" s="492"/>
      <c r="W21" s="492"/>
      <c r="X21" s="492"/>
      <c r="Y21" s="492"/>
      <c r="Z21" s="492"/>
      <c r="AA21" s="492"/>
      <c r="AB21" s="492"/>
      <c r="AC21" s="492"/>
      <c r="AD21" s="492"/>
      <c r="AE21" s="492"/>
      <c r="AF21" s="492"/>
      <c r="AG21" s="492"/>
      <c r="AH21" s="492"/>
      <c r="AI21" s="492"/>
      <c r="AJ21" s="492"/>
      <c r="AK21" s="492"/>
      <c r="AL21" s="491"/>
      <c r="AM21" s="491"/>
      <c r="AN21" s="491"/>
      <c r="AO21" s="491"/>
      <c r="AP21" s="491"/>
      <c r="AQ21" s="491"/>
      <c r="AR21" s="491"/>
      <c r="AS21" s="431"/>
      <c r="AT21" s="421"/>
      <c r="AU21" s="421"/>
      <c r="AV21" s="421"/>
      <c r="AW21" s="421"/>
      <c r="AX21" s="421"/>
      <c r="AY21" s="421"/>
      <c r="AZ21" s="422"/>
      <c r="BA21" s="422"/>
      <c r="BB21" s="405"/>
      <c r="BC21" s="406"/>
      <c r="BD21" s="391"/>
      <c r="BE21" s="444"/>
      <c r="BF21" s="444"/>
      <c r="BG21" s="444" t="s">
        <v>276</v>
      </c>
      <c r="BH21" s="444"/>
      <c r="BI21" s="444"/>
      <c r="BJ21" s="444"/>
      <c r="BK21" s="444"/>
      <c r="BL21" s="444"/>
      <c r="BM21" s="444"/>
      <c r="BN21" s="444"/>
      <c r="BO21" s="444"/>
      <c r="BP21" s="444"/>
      <c r="BQ21" s="444"/>
      <c r="BR21" s="444"/>
      <c r="BS21" s="444"/>
      <c r="BT21" s="444"/>
    </row>
    <row r="22" spans="1:72" ht="12.5" customHeight="1">
      <c r="A22" s="393"/>
      <c r="B22" s="418"/>
      <c r="C22" s="427"/>
      <c r="D22" s="492" t="s">
        <v>255</v>
      </c>
      <c r="E22" s="492"/>
      <c r="F22" s="492"/>
      <c r="G22" s="492"/>
      <c r="H22" s="492"/>
      <c r="I22" s="492"/>
      <c r="J22" s="492"/>
      <c r="K22" s="492"/>
      <c r="L22" s="492"/>
      <c r="M22" s="492"/>
      <c r="N22" s="492"/>
      <c r="O22" s="492"/>
      <c r="P22" s="492"/>
      <c r="Q22" s="492"/>
      <c r="R22" s="492"/>
      <c r="S22" s="492"/>
      <c r="T22" s="492"/>
      <c r="U22" s="492"/>
      <c r="V22" s="492"/>
      <c r="W22" s="492"/>
      <c r="X22" s="492"/>
      <c r="Y22" s="492"/>
      <c r="Z22" s="492"/>
      <c r="AA22" s="492"/>
      <c r="AB22" s="492"/>
      <c r="AC22" s="492"/>
      <c r="AD22" s="492"/>
      <c r="AE22" s="492"/>
      <c r="AF22" s="492"/>
      <c r="AG22" s="492"/>
      <c r="AH22" s="492"/>
      <c r="AI22" s="492"/>
      <c r="AJ22" s="492"/>
      <c r="AK22" s="492"/>
      <c r="AL22" s="491"/>
      <c r="AM22" s="491"/>
      <c r="AN22" s="491"/>
      <c r="AO22" s="491"/>
      <c r="AP22" s="491"/>
      <c r="AQ22" s="491"/>
      <c r="AR22" s="491"/>
      <c r="AS22" s="431"/>
      <c r="AT22" s="425"/>
      <c r="AU22" s="421"/>
      <c r="AV22" s="421"/>
      <c r="AW22" s="421"/>
      <c r="AX22" s="421"/>
      <c r="AY22" s="421"/>
      <c r="AZ22" s="422"/>
      <c r="BA22" s="422"/>
      <c r="BB22" s="405"/>
      <c r="BC22" s="406"/>
      <c r="BD22" s="391"/>
      <c r="BE22" s="444"/>
      <c r="BF22" s="444"/>
      <c r="BG22" s="444" t="s">
        <v>176</v>
      </c>
      <c r="BH22" s="444"/>
      <c r="BI22" s="444"/>
      <c r="BJ22" s="444"/>
      <c r="BK22" s="444"/>
      <c r="BL22" s="444"/>
      <c r="BM22" s="444"/>
      <c r="BN22" s="444"/>
      <c r="BO22" s="444"/>
      <c r="BP22" s="444"/>
      <c r="BQ22" s="444"/>
      <c r="BR22" s="444"/>
      <c r="BS22" s="444"/>
      <c r="BT22" s="444"/>
    </row>
    <row r="23" spans="1:72" ht="12.5" customHeight="1">
      <c r="A23" s="393"/>
      <c r="B23" s="418"/>
      <c r="C23" s="427"/>
      <c r="D23" s="492" t="s">
        <v>254</v>
      </c>
      <c r="E23" s="492"/>
      <c r="F23" s="492"/>
      <c r="G23" s="492"/>
      <c r="H23" s="492"/>
      <c r="I23" s="492"/>
      <c r="J23" s="492"/>
      <c r="K23" s="492"/>
      <c r="L23" s="492"/>
      <c r="M23" s="492"/>
      <c r="N23" s="492"/>
      <c r="O23" s="492"/>
      <c r="P23" s="492"/>
      <c r="Q23" s="492"/>
      <c r="R23" s="492"/>
      <c r="S23" s="492"/>
      <c r="T23" s="492"/>
      <c r="U23" s="492"/>
      <c r="V23" s="492"/>
      <c r="W23" s="492"/>
      <c r="X23" s="492"/>
      <c r="Y23" s="492"/>
      <c r="Z23" s="492"/>
      <c r="AA23" s="492"/>
      <c r="AB23" s="492"/>
      <c r="AC23" s="492"/>
      <c r="AD23" s="492"/>
      <c r="AE23" s="492"/>
      <c r="AF23" s="492"/>
      <c r="AG23" s="492"/>
      <c r="AH23" s="492"/>
      <c r="AI23" s="492"/>
      <c r="AJ23" s="492"/>
      <c r="AK23" s="492"/>
      <c r="AL23" s="491"/>
      <c r="AM23" s="491"/>
      <c r="AN23" s="491"/>
      <c r="AO23" s="491"/>
      <c r="AP23" s="491"/>
      <c r="AQ23" s="491"/>
      <c r="AR23" s="491"/>
      <c r="AS23" s="432"/>
      <c r="AT23" s="429"/>
      <c r="AU23" s="429"/>
      <c r="AV23" s="429"/>
      <c r="AW23" s="429"/>
      <c r="AX23" s="429"/>
      <c r="AY23" s="429"/>
      <c r="AZ23" s="422"/>
      <c r="BA23" s="422"/>
      <c r="BB23" s="405"/>
      <c r="BC23" s="406"/>
      <c r="BD23" s="391"/>
      <c r="BE23" s="444"/>
      <c r="BF23" s="444"/>
      <c r="BG23" s="444" t="s">
        <v>177</v>
      </c>
      <c r="BH23" s="444"/>
      <c r="BI23" s="444"/>
      <c r="BJ23" s="444"/>
      <c r="BK23" s="444"/>
      <c r="BL23" s="444"/>
      <c r="BM23" s="444"/>
      <c r="BN23" s="444"/>
      <c r="BO23" s="444"/>
      <c r="BP23" s="444"/>
      <c r="BQ23" s="444"/>
      <c r="BR23" s="444"/>
      <c r="BS23" s="444"/>
      <c r="BT23" s="444"/>
    </row>
    <row r="24" spans="1:72" ht="12.5" customHeight="1">
      <c r="A24" s="393"/>
      <c r="B24" s="418"/>
      <c r="C24" s="427"/>
      <c r="D24" s="492"/>
      <c r="E24" s="492"/>
      <c r="F24" s="492"/>
      <c r="G24" s="492"/>
      <c r="H24" s="492"/>
      <c r="I24" s="492"/>
      <c r="J24" s="492"/>
      <c r="K24" s="492"/>
      <c r="L24" s="492"/>
      <c r="M24" s="492"/>
      <c r="N24" s="492"/>
      <c r="O24" s="492"/>
      <c r="P24" s="492"/>
      <c r="Q24" s="492"/>
      <c r="R24" s="492"/>
      <c r="S24" s="492"/>
      <c r="T24" s="492"/>
      <c r="U24" s="492"/>
      <c r="V24" s="492"/>
      <c r="W24" s="492"/>
      <c r="X24" s="492"/>
      <c r="Y24" s="492"/>
      <c r="Z24" s="492"/>
      <c r="AA24" s="492"/>
      <c r="AB24" s="492"/>
      <c r="AC24" s="492"/>
      <c r="AD24" s="492"/>
      <c r="AE24" s="492"/>
      <c r="AF24" s="492"/>
      <c r="AG24" s="492"/>
      <c r="AH24" s="492"/>
      <c r="AI24" s="492"/>
      <c r="AJ24" s="492"/>
      <c r="AK24" s="492"/>
      <c r="AL24" s="491"/>
      <c r="AM24" s="491"/>
      <c r="AN24" s="491"/>
      <c r="AO24" s="491"/>
      <c r="AP24" s="491"/>
      <c r="AQ24" s="491"/>
      <c r="AR24" s="491"/>
      <c r="AS24" s="431"/>
      <c r="AT24" s="421"/>
      <c r="AU24" s="421"/>
      <c r="AV24" s="421"/>
      <c r="AW24" s="421"/>
      <c r="AX24" s="421"/>
      <c r="AY24" s="421"/>
      <c r="AZ24" s="422"/>
      <c r="BA24" s="422"/>
      <c r="BB24" s="405"/>
      <c r="BC24" s="406"/>
      <c r="BD24" s="391"/>
      <c r="BE24" s="444"/>
      <c r="BF24" s="444"/>
      <c r="BG24" s="444"/>
      <c r="BH24" s="444"/>
      <c r="BI24" s="444"/>
      <c r="BJ24" s="444"/>
      <c r="BK24" s="444"/>
      <c r="BL24" s="444"/>
      <c r="BM24" s="444"/>
      <c r="BN24" s="444"/>
      <c r="BO24" s="444"/>
      <c r="BP24" s="444"/>
      <c r="BQ24" s="444"/>
      <c r="BR24" s="444"/>
      <c r="BS24" s="444"/>
      <c r="BT24" s="444"/>
    </row>
    <row r="25" spans="1:72" ht="12.5" customHeight="1">
      <c r="A25" s="393"/>
      <c r="B25" s="418"/>
      <c r="C25" s="420"/>
      <c r="D25" s="420"/>
      <c r="E25" s="420"/>
      <c r="F25" s="420"/>
      <c r="G25" s="420"/>
      <c r="H25" s="420"/>
      <c r="I25" s="420"/>
      <c r="J25" s="420"/>
      <c r="K25" s="420"/>
      <c r="L25" s="420"/>
      <c r="M25" s="420"/>
      <c r="N25" s="420"/>
      <c r="O25" s="420"/>
      <c r="P25" s="420"/>
      <c r="Q25" s="420"/>
      <c r="R25" s="420"/>
      <c r="S25" s="420"/>
      <c r="T25" s="420"/>
      <c r="U25" s="420"/>
      <c r="V25" s="420"/>
      <c r="W25" s="420"/>
      <c r="X25" s="420"/>
      <c r="Y25" s="420"/>
      <c r="Z25" s="420"/>
      <c r="AA25" s="420"/>
      <c r="AB25" s="420"/>
      <c r="AC25" s="420"/>
      <c r="AD25" s="420"/>
      <c r="AE25" s="420"/>
      <c r="AF25" s="420"/>
      <c r="AG25" s="420"/>
      <c r="AH25" s="420"/>
      <c r="AI25" s="420"/>
      <c r="AJ25" s="420"/>
      <c r="AK25" s="420"/>
      <c r="AL25" s="420"/>
      <c r="AM25" s="420"/>
      <c r="AN25" s="420"/>
      <c r="AO25" s="420"/>
      <c r="AP25" s="420"/>
      <c r="AQ25" s="420"/>
      <c r="AR25" s="420"/>
      <c r="AS25" s="420"/>
      <c r="AT25" s="420"/>
      <c r="AU25" s="420"/>
      <c r="AV25" s="420"/>
      <c r="AW25" s="420"/>
      <c r="AX25" s="420"/>
      <c r="AY25" s="420"/>
      <c r="AZ25" s="422"/>
      <c r="BA25" s="422"/>
      <c r="BB25" s="405"/>
      <c r="BC25" s="406"/>
      <c r="BD25" s="391"/>
      <c r="BE25" s="444"/>
      <c r="BF25" s="444" t="s">
        <v>277</v>
      </c>
      <c r="BG25" s="447"/>
      <c r="BH25" s="444"/>
      <c r="BI25" s="444"/>
      <c r="BJ25" s="444"/>
      <c r="BK25" s="444"/>
      <c r="BL25" s="444"/>
      <c r="BM25" s="444"/>
      <c r="BN25" s="444"/>
      <c r="BO25" s="444"/>
      <c r="BP25" s="444"/>
      <c r="BQ25" s="444"/>
      <c r="BR25" s="444"/>
      <c r="BS25" s="444"/>
      <c r="BT25" s="444"/>
    </row>
    <row r="26" spans="1:72" ht="12.5" customHeight="1">
      <c r="A26" s="393"/>
      <c r="B26" s="426"/>
      <c r="C26" s="420"/>
      <c r="D26" s="420"/>
      <c r="E26" s="420"/>
      <c r="F26" s="420"/>
      <c r="G26" s="420"/>
      <c r="H26" s="420"/>
      <c r="I26" s="420"/>
      <c r="J26" s="420"/>
      <c r="K26" s="420"/>
      <c r="L26" s="420"/>
      <c r="M26" s="420"/>
      <c r="N26" s="420"/>
      <c r="O26" s="420"/>
      <c r="P26" s="420"/>
      <c r="Q26" s="420"/>
      <c r="R26" s="420"/>
      <c r="S26" s="420"/>
      <c r="T26" s="420"/>
      <c r="U26" s="420"/>
      <c r="V26" s="420"/>
      <c r="W26" s="420"/>
      <c r="X26" s="420"/>
      <c r="Y26" s="420"/>
      <c r="Z26" s="420"/>
      <c r="AA26" s="420"/>
      <c r="AB26" s="420"/>
      <c r="AC26" s="420"/>
      <c r="AD26" s="420"/>
      <c r="AE26" s="420"/>
      <c r="AF26" s="420"/>
      <c r="AG26" s="420"/>
      <c r="AH26" s="420"/>
      <c r="AI26" s="420"/>
      <c r="AJ26" s="420"/>
      <c r="AK26" s="420"/>
      <c r="AL26" s="420"/>
      <c r="AM26" s="420"/>
      <c r="AN26" s="420"/>
      <c r="AO26" s="420"/>
      <c r="AP26" s="420"/>
      <c r="AQ26" s="420"/>
      <c r="AR26" s="420"/>
      <c r="AS26" s="420"/>
      <c r="AT26" s="420"/>
      <c r="AU26" s="420"/>
      <c r="AV26" s="420"/>
      <c r="AW26" s="420"/>
      <c r="AX26" s="420"/>
      <c r="AY26" s="420"/>
      <c r="AZ26" s="422"/>
      <c r="BA26" s="422"/>
      <c r="BB26" s="389"/>
      <c r="BC26" s="390"/>
      <c r="BD26" s="391"/>
      <c r="BE26" s="444"/>
      <c r="BF26" s="444"/>
      <c r="BG26" s="447" t="s">
        <v>278</v>
      </c>
      <c r="BH26" s="444"/>
      <c r="BI26" s="444"/>
      <c r="BJ26" s="444"/>
      <c r="BK26" s="444"/>
      <c r="BL26" s="444"/>
      <c r="BM26" s="444"/>
      <c r="BN26" s="444"/>
      <c r="BO26" s="444"/>
      <c r="BP26" s="444"/>
      <c r="BQ26" s="444"/>
      <c r="BR26" s="444"/>
      <c r="BS26" s="444"/>
      <c r="BT26" s="444"/>
    </row>
    <row r="27" spans="1:72" ht="12.5" customHeight="1">
      <c r="A27" s="393"/>
      <c r="B27" s="426"/>
      <c r="C27" s="420"/>
      <c r="D27" s="420"/>
      <c r="E27" s="420"/>
      <c r="F27" s="420"/>
      <c r="G27" s="420"/>
      <c r="H27" s="420"/>
      <c r="I27" s="420"/>
      <c r="J27" s="420"/>
      <c r="K27" s="420"/>
      <c r="L27" s="420"/>
      <c r="M27" s="420"/>
      <c r="N27" s="420"/>
      <c r="O27" s="420"/>
      <c r="P27" s="420"/>
      <c r="Q27" s="420"/>
      <c r="R27" s="420"/>
      <c r="S27" s="420"/>
      <c r="T27" s="420"/>
      <c r="U27" s="420"/>
      <c r="V27" s="420"/>
      <c r="W27" s="420"/>
      <c r="X27" s="420"/>
      <c r="Y27" s="420"/>
      <c r="Z27" s="420"/>
      <c r="AA27" s="420"/>
      <c r="AB27" s="420"/>
      <c r="AC27" s="420"/>
      <c r="AD27" s="420"/>
      <c r="AE27" s="420"/>
      <c r="AF27" s="420"/>
      <c r="AG27" s="420"/>
      <c r="AH27" s="420"/>
      <c r="AI27" s="420"/>
      <c r="AJ27" s="420"/>
      <c r="AK27" s="420"/>
      <c r="AL27" s="420"/>
      <c r="AM27" s="420"/>
      <c r="AN27" s="420"/>
      <c r="AO27" s="420"/>
      <c r="AP27" s="420"/>
      <c r="AQ27" s="420"/>
      <c r="AR27" s="420"/>
      <c r="AS27" s="420"/>
      <c r="AT27" s="420"/>
      <c r="AU27" s="420"/>
      <c r="AV27" s="420"/>
      <c r="AW27" s="420"/>
      <c r="AX27" s="420"/>
      <c r="AY27" s="420"/>
      <c r="AZ27" s="422"/>
      <c r="BA27" s="422"/>
      <c r="BB27" s="389"/>
      <c r="BC27" s="390"/>
      <c r="BD27" s="391"/>
      <c r="BE27" s="444"/>
      <c r="BF27" s="444"/>
      <c r="BG27" s="447" t="s">
        <v>279</v>
      </c>
      <c r="BH27" s="444"/>
      <c r="BI27" s="444"/>
      <c r="BJ27" s="444"/>
      <c r="BK27" s="444"/>
      <c r="BL27" s="444"/>
      <c r="BM27" s="444"/>
      <c r="BN27" s="444"/>
      <c r="BO27" s="444"/>
      <c r="BP27" s="444"/>
      <c r="BQ27" s="444"/>
      <c r="BR27" s="444"/>
      <c r="BS27" s="444"/>
      <c r="BT27" s="444"/>
    </row>
    <row r="28" spans="1:72" ht="12.5" customHeight="1">
      <c r="A28" s="393"/>
      <c r="B28" s="418"/>
      <c r="C28" s="420"/>
      <c r="D28" s="420"/>
      <c r="E28" s="420"/>
      <c r="F28" s="420"/>
      <c r="G28" s="420"/>
      <c r="H28" s="420"/>
      <c r="I28" s="420"/>
      <c r="J28" s="420"/>
      <c r="K28" s="420"/>
      <c r="L28" s="420"/>
      <c r="M28" s="420"/>
      <c r="N28" s="420"/>
      <c r="O28" s="420"/>
      <c r="P28" s="420"/>
      <c r="Q28" s="420"/>
      <c r="R28" s="420"/>
      <c r="S28" s="420"/>
      <c r="T28" s="420"/>
      <c r="U28" s="420"/>
      <c r="V28" s="420"/>
      <c r="W28" s="420"/>
      <c r="X28" s="420"/>
      <c r="Y28" s="420"/>
      <c r="Z28" s="420"/>
      <c r="AA28" s="420"/>
      <c r="AB28" s="420"/>
      <c r="AC28" s="420"/>
      <c r="AD28" s="420"/>
      <c r="AE28" s="420"/>
      <c r="AF28" s="420"/>
      <c r="AG28" s="420"/>
      <c r="AH28" s="420"/>
      <c r="AI28" s="420"/>
      <c r="AJ28" s="420"/>
      <c r="AK28" s="420"/>
      <c r="AL28" s="420"/>
      <c r="AM28" s="420"/>
      <c r="AN28" s="420"/>
      <c r="AO28" s="420"/>
      <c r="AP28" s="420"/>
      <c r="AQ28" s="420"/>
      <c r="AR28" s="420"/>
      <c r="AS28" s="420"/>
      <c r="AT28" s="420"/>
      <c r="AU28" s="420"/>
      <c r="AV28" s="420"/>
      <c r="AW28" s="420"/>
      <c r="AX28" s="420"/>
      <c r="AY28" s="420"/>
      <c r="AZ28" s="422"/>
      <c r="BA28" s="422"/>
      <c r="BB28" s="405"/>
      <c r="BC28" s="406"/>
      <c r="BD28" s="391"/>
      <c r="BE28" s="444"/>
      <c r="BF28" s="444"/>
      <c r="BG28" s="447"/>
      <c r="BH28" s="444"/>
      <c r="BI28" s="444"/>
      <c r="BJ28" s="444"/>
      <c r="BK28" s="444"/>
      <c r="BL28" s="444"/>
      <c r="BM28" s="444"/>
      <c r="BN28" s="444"/>
      <c r="BO28" s="444"/>
      <c r="BP28" s="444"/>
      <c r="BQ28" s="444"/>
      <c r="BR28" s="444"/>
      <c r="BS28" s="444"/>
      <c r="BT28" s="444"/>
    </row>
    <row r="29" spans="1:72" ht="12.5" customHeight="1">
      <c r="A29" s="393"/>
      <c r="B29" s="418"/>
      <c r="C29" s="423"/>
      <c r="D29" s="419"/>
      <c r="E29" s="419"/>
      <c r="F29" s="419"/>
      <c r="G29" s="421"/>
      <c r="H29" s="431"/>
      <c r="I29" s="431"/>
      <c r="J29" s="431"/>
      <c r="K29" s="431"/>
      <c r="L29" s="431"/>
      <c r="M29" s="431"/>
      <c r="N29" s="431"/>
      <c r="O29" s="431"/>
      <c r="P29" s="431"/>
      <c r="Q29" s="431"/>
      <c r="R29" s="431"/>
      <c r="S29" s="431"/>
      <c r="T29" s="431"/>
      <c r="U29" s="431"/>
      <c r="V29" s="431"/>
      <c r="W29" s="431"/>
      <c r="X29" s="431"/>
      <c r="Y29" s="431"/>
      <c r="Z29" s="431"/>
      <c r="AA29" s="431"/>
      <c r="AB29" s="431"/>
      <c r="AC29" s="431"/>
      <c r="AD29" s="431"/>
      <c r="AE29" s="431"/>
      <c r="AF29" s="431"/>
      <c r="AG29" s="431"/>
      <c r="AH29" s="431"/>
      <c r="AI29" s="431"/>
      <c r="AJ29" s="431"/>
      <c r="AK29" s="431"/>
      <c r="AL29" s="431"/>
      <c r="AM29" s="431"/>
      <c r="AN29" s="431"/>
      <c r="AO29" s="431"/>
      <c r="AP29" s="431"/>
      <c r="AQ29" s="431"/>
      <c r="AR29" s="431"/>
      <c r="AS29" s="431"/>
      <c r="AT29" s="425"/>
      <c r="AU29" s="421"/>
      <c r="AV29" s="421"/>
      <c r="AW29" s="421"/>
      <c r="AX29" s="421"/>
      <c r="AY29" s="417"/>
      <c r="AZ29" s="422"/>
      <c r="BA29" s="422"/>
      <c r="BB29" s="389"/>
      <c r="BC29" s="390"/>
      <c r="BD29" s="391"/>
      <c r="BE29" s="444"/>
      <c r="BF29" s="444" t="s">
        <v>280</v>
      </c>
      <c r="BG29" s="447"/>
      <c r="BH29" s="444"/>
      <c r="BI29" s="444"/>
      <c r="BJ29" s="444"/>
      <c r="BK29" s="444"/>
      <c r="BL29" s="444"/>
      <c r="BM29" s="444"/>
      <c r="BN29" s="444"/>
      <c r="BO29" s="444"/>
      <c r="BP29" s="444"/>
      <c r="BQ29" s="444"/>
      <c r="BR29" s="444"/>
      <c r="BS29" s="444"/>
      <c r="BT29" s="444"/>
    </row>
    <row r="30" spans="1:72" ht="12.5" customHeight="1">
      <c r="A30" s="393"/>
      <c r="B30" s="426"/>
      <c r="C30" s="420"/>
      <c r="D30" s="420"/>
      <c r="E30" s="420"/>
      <c r="F30" s="420"/>
      <c r="G30" s="420"/>
      <c r="H30" s="420"/>
      <c r="I30" s="420"/>
      <c r="J30" s="420"/>
      <c r="K30" s="420"/>
      <c r="L30" s="420"/>
      <c r="M30" s="420"/>
      <c r="N30" s="420"/>
      <c r="O30" s="420"/>
      <c r="P30" s="420"/>
      <c r="Q30" s="420"/>
      <c r="R30" s="420"/>
      <c r="S30" s="420"/>
      <c r="T30" s="420"/>
      <c r="U30" s="420"/>
      <c r="V30" s="420"/>
      <c r="W30" s="420"/>
      <c r="X30" s="420"/>
      <c r="Y30" s="420"/>
      <c r="Z30" s="420"/>
      <c r="AA30" s="420"/>
      <c r="AB30" s="420"/>
      <c r="AC30" s="420"/>
      <c r="AD30" s="420"/>
      <c r="AE30" s="420"/>
      <c r="AF30" s="420"/>
      <c r="AG30" s="420"/>
      <c r="AH30" s="420"/>
      <c r="AI30" s="420"/>
      <c r="AJ30" s="420"/>
      <c r="AK30" s="420"/>
      <c r="AL30" s="420"/>
      <c r="AM30" s="420"/>
      <c r="AN30" s="420"/>
      <c r="AO30" s="420"/>
      <c r="AP30" s="420"/>
      <c r="AQ30" s="420"/>
      <c r="AR30" s="420"/>
      <c r="AS30" s="420"/>
      <c r="AT30" s="420"/>
      <c r="AU30" s="420"/>
      <c r="AV30" s="420"/>
      <c r="AW30" s="420"/>
      <c r="AX30" s="420"/>
      <c r="AY30" s="420"/>
      <c r="AZ30" s="422"/>
      <c r="BA30" s="422"/>
      <c r="BB30" s="389"/>
      <c r="BC30" s="390"/>
      <c r="BD30" s="391"/>
      <c r="BE30" s="444"/>
      <c r="BF30" s="444"/>
      <c r="BG30" s="444" t="s">
        <v>281</v>
      </c>
      <c r="BH30" s="444"/>
      <c r="BI30" s="444"/>
      <c r="BJ30" s="444"/>
      <c r="BK30" s="444"/>
      <c r="BL30" s="444"/>
      <c r="BM30" s="444"/>
      <c r="BN30" s="444"/>
      <c r="BO30" s="444"/>
      <c r="BP30" s="444"/>
      <c r="BQ30" s="444"/>
      <c r="BR30" s="444"/>
      <c r="BS30" s="444"/>
      <c r="BT30" s="444"/>
    </row>
    <row r="31" spans="1:72" ht="12.5" customHeight="1">
      <c r="A31" s="393"/>
      <c r="B31" s="426"/>
      <c r="C31" s="420"/>
      <c r="D31" s="420"/>
      <c r="E31" s="420"/>
      <c r="F31" s="420"/>
      <c r="G31" s="420"/>
      <c r="H31" s="420"/>
      <c r="I31" s="420"/>
      <c r="J31" s="420"/>
      <c r="K31" s="420"/>
      <c r="L31" s="420"/>
      <c r="M31" s="420"/>
      <c r="N31" s="420"/>
      <c r="O31" s="420"/>
      <c r="P31" s="420"/>
      <c r="Q31" s="420"/>
      <c r="R31" s="420"/>
      <c r="S31" s="420"/>
      <c r="T31" s="420"/>
      <c r="U31" s="420"/>
      <c r="V31" s="420"/>
      <c r="W31" s="420"/>
      <c r="X31" s="420"/>
      <c r="Y31" s="420"/>
      <c r="Z31" s="420"/>
      <c r="AA31" s="420"/>
      <c r="AB31" s="420"/>
      <c r="AC31" s="420"/>
      <c r="AD31" s="420"/>
      <c r="AE31" s="420"/>
      <c r="AF31" s="420"/>
      <c r="AG31" s="420"/>
      <c r="AH31" s="420"/>
      <c r="AI31" s="420"/>
      <c r="AJ31" s="420"/>
      <c r="AK31" s="420"/>
      <c r="AL31" s="420"/>
      <c r="AM31" s="420"/>
      <c r="AN31" s="420"/>
      <c r="AO31" s="420"/>
      <c r="AP31" s="420"/>
      <c r="AQ31" s="420"/>
      <c r="AR31" s="420"/>
      <c r="AS31" s="420"/>
      <c r="AT31" s="420"/>
      <c r="AU31" s="420"/>
      <c r="AV31" s="420"/>
      <c r="AW31" s="420"/>
      <c r="AX31" s="420"/>
      <c r="AY31" s="420"/>
      <c r="AZ31" s="422"/>
      <c r="BA31" s="422"/>
      <c r="BB31" s="389"/>
      <c r="BC31" s="390"/>
      <c r="BD31" s="391"/>
      <c r="BE31" s="444"/>
      <c r="BF31" s="444"/>
      <c r="BG31" s="444" t="s">
        <v>282</v>
      </c>
      <c r="BH31" s="444"/>
      <c r="BI31" s="444"/>
      <c r="BJ31" s="444"/>
      <c r="BK31" s="444"/>
      <c r="BL31" s="444"/>
      <c r="BM31" s="444"/>
      <c r="BN31" s="444"/>
      <c r="BO31" s="444"/>
      <c r="BP31" s="444"/>
      <c r="BQ31" s="444"/>
      <c r="BR31" s="444"/>
      <c r="BS31" s="444"/>
      <c r="BT31" s="444"/>
    </row>
    <row r="32" spans="1:72" ht="12.5" customHeight="1">
      <c r="A32" s="393"/>
      <c r="B32" s="418"/>
      <c r="C32" s="493" t="s">
        <v>256</v>
      </c>
      <c r="D32" s="420"/>
      <c r="E32" s="420"/>
      <c r="F32" s="420"/>
      <c r="G32" s="420"/>
      <c r="H32" s="420"/>
      <c r="I32" s="420"/>
      <c r="J32" s="420"/>
      <c r="K32" s="420"/>
      <c r="L32" s="420"/>
      <c r="M32" s="420"/>
      <c r="N32" s="420"/>
      <c r="O32" s="420"/>
      <c r="P32" s="420"/>
      <c r="Q32" s="420"/>
      <c r="R32" s="420"/>
      <c r="S32" s="420"/>
      <c r="T32" s="420"/>
      <c r="U32" s="420"/>
      <c r="V32" s="420"/>
      <c r="W32" s="420"/>
      <c r="X32" s="420"/>
      <c r="Y32" s="420"/>
      <c r="Z32" s="420"/>
      <c r="AA32" s="420"/>
      <c r="AB32" s="420"/>
      <c r="AC32" s="420"/>
      <c r="AD32" s="420"/>
      <c r="AE32" s="420"/>
      <c r="AF32" s="420"/>
      <c r="AG32" s="420"/>
      <c r="AH32" s="420"/>
      <c r="AI32" s="420"/>
      <c r="AJ32" s="420"/>
      <c r="AK32" s="420"/>
      <c r="AL32" s="420"/>
      <c r="AM32" s="420"/>
      <c r="AN32" s="420"/>
      <c r="AO32" s="420"/>
      <c r="AP32" s="420"/>
      <c r="AQ32" s="420"/>
      <c r="AR32" s="420"/>
      <c r="AS32" s="420"/>
      <c r="AT32" s="420"/>
      <c r="AU32" s="420"/>
      <c r="AV32" s="420"/>
      <c r="AW32" s="420"/>
      <c r="AX32" s="420"/>
      <c r="AY32" s="420"/>
      <c r="AZ32" s="422"/>
      <c r="BA32" s="422"/>
      <c r="BB32" s="405"/>
      <c r="BC32" s="406"/>
      <c r="BD32" s="391"/>
      <c r="BE32" s="444"/>
      <c r="BF32" s="444"/>
      <c r="BG32" s="447" t="s">
        <v>283</v>
      </c>
      <c r="BH32" s="444"/>
      <c r="BI32" s="444"/>
      <c r="BJ32" s="444"/>
      <c r="BK32" s="444"/>
      <c r="BL32" s="444"/>
      <c r="BM32" s="444"/>
      <c r="BN32" s="444"/>
      <c r="BO32" s="444"/>
      <c r="BP32" s="444"/>
      <c r="BQ32" s="444"/>
      <c r="BR32" s="444"/>
      <c r="BS32" s="444"/>
      <c r="BT32" s="444"/>
    </row>
    <row r="33" spans="1:72" ht="12.5" customHeight="1">
      <c r="A33" s="393"/>
      <c r="B33" s="426"/>
      <c r="C33" s="420"/>
      <c r="D33" s="420"/>
      <c r="E33" s="420"/>
      <c r="F33" s="420"/>
      <c r="G33" s="420"/>
      <c r="H33" s="420"/>
      <c r="I33" s="420"/>
      <c r="J33" s="420"/>
      <c r="K33" s="420"/>
      <c r="L33" s="420"/>
      <c r="M33" s="420"/>
      <c r="N33" s="420"/>
      <c r="O33" s="420"/>
      <c r="P33" s="420"/>
      <c r="Q33" s="420"/>
      <c r="R33" s="420"/>
      <c r="S33" s="420"/>
      <c r="T33" s="420"/>
      <c r="U33" s="420"/>
      <c r="V33" s="420"/>
      <c r="W33" s="420"/>
      <c r="X33" s="420"/>
      <c r="Y33" s="420"/>
      <c r="Z33" s="420"/>
      <c r="AA33" s="420"/>
      <c r="AB33" s="420"/>
      <c r="AC33" s="420"/>
      <c r="AD33" s="420"/>
      <c r="AE33" s="420"/>
      <c r="AF33" s="420"/>
      <c r="AG33" s="420"/>
      <c r="AH33" s="420"/>
      <c r="AI33" s="420"/>
      <c r="AJ33" s="420"/>
      <c r="AK33" s="420"/>
      <c r="AL33" s="420"/>
      <c r="AM33" s="420"/>
      <c r="AN33" s="420"/>
      <c r="AO33" s="420"/>
      <c r="AP33" s="420"/>
      <c r="AQ33" s="420"/>
      <c r="AR33" s="420"/>
      <c r="AS33" s="420"/>
      <c r="AT33" s="420"/>
      <c r="AU33" s="420"/>
      <c r="AV33" s="420"/>
      <c r="AW33" s="420"/>
      <c r="AX33" s="420"/>
      <c r="AY33" s="420"/>
      <c r="AZ33" s="422"/>
      <c r="BA33" s="422"/>
      <c r="BB33" s="389"/>
      <c r="BC33" s="390"/>
      <c r="BD33" s="391"/>
      <c r="BE33" s="444"/>
      <c r="BF33" s="444"/>
      <c r="BG33" s="444"/>
      <c r="BH33" s="444"/>
      <c r="BI33" s="444"/>
      <c r="BJ33" s="444"/>
      <c r="BK33" s="444"/>
      <c r="BL33" s="444"/>
      <c r="BM33" s="444"/>
      <c r="BN33" s="444"/>
      <c r="BO33" s="444"/>
      <c r="BP33" s="444"/>
      <c r="BQ33" s="444"/>
      <c r="BR33" s="444"/>
      <c r="BS33" s="444"/>
      <c r="BT33" s="444"/>
    </row>
    <row r="34" spans="1:72" ht="12.5" customHeight="1">
      <c r="A34" s="393"/>
      <c r="B34" s="426"/>
      <c r="C34" s="420"/>
      <c r="D34" s="420"/>
      <c r="E34" s="420"/>
      <c r="F34" s="420"/>
      <c r="G34" s="420"/>
      <c r="H34" s="420"/>
      <c r="I34" s="420"/>
      <c r="J34" s="420"/>
      <c r="K34" s="420"/>
      <c r="L34" s="420"/>
      <c r="M34" s="420"/>
      <c r="N34" s="420"/>
      <c r="O34" s="420"/>
      <c r="P34" s="420"/>
      <c r="Q34" s="420"/>
      <c r="R34" s="420"/>
      <c r="S34" s="420"/>
      <c r="T34" s="420"/>
      <c r="U34" s="420"/>
      <c r="V34" s="420"/>
      <c r="W34" s="420"/>
      <c r="X34" s="420"/>
      <c r="Y34" s="420"/>
      <c r="Z34" s="420"/>
      <c r="AA34" s="420"/>
      <c r="AB34" s="420"/>
      <c r="AC34" s="420"/>
      <c r="AD34" s="420"/>
      <c r="AE34" s="420"/>
      <c r="AF34" s="420"/>
      <c r="AG34" s="420"/>
      <c r="AH34" s="420"/>
      <c r="AI34" s="420"/>
      <c r="AJ34" s="420"/>
      <c r="AK34" s="420"/>
      <c r="AL34" s="420"/>
      <c r="AM34" s="420"/>
      <c r="AN34" s="420"/>
      <c r="AO34" s="420"/>
      <c r="AP34" s="420"/>
      <c r="AQ34" s="420"/>
      <c r="AR34" s="420"/>
      <c r="AS34" s="420"/>
      <c r="AT34" s="420"/>
      <c r="AU34" s="420"/>
      <c r="AV34" s="420"/>
      <c r="AW34" s="420"/>
      <c r="AX34" s="420"/>
      <c r="AY34" s="420"/>
      <c r="AZ34" s="422"/>
      <c r="BA34" s="422"/>
      <c r="BB34" s="389"/>
      <c r="BC34" s="390"/>
      <c r="BD34" s="391"/>
      <c r="BE34" s="444"/>
      <c r="BF34" s="444" t="s">
        <v>284</v>
      </c>
      <c r="BG34" s="444"/>
      <c r="BH34" s="444"/>
      <c r="BI34" s="444"/>
      <c r="BJ34" s="444"/>
      <c r="BK34" s="444"/>
      <c r="BL34" s="444"/>
      <c r="BM34" s="444"/>
      <c r="BN34" s="444"/>
      <c r="BO34" s="444"/>
      <c r="BP34" s="444"/>
      <c r="BQ34" s="444"/>
      <c r="BR34" s="444"/>
      <c r="BS34" s="444"/>
      <c r="BT34" s="444"/>
    </row>
    <row r="35" spans="1:72" ht="12.5" customHeight="1">
      <c r="A35" s="393"/>
      <c r="B35" s="418"/>
      <c r="C35" s="417"/>
      <c r="D35" s="424" t="s">
        <v>257</v>
      </c>
      <c r="E35" s="419"/>
      <c r="F35" s="419"/>
      <c r="G35" s="421"/>
      <c r="H35" s="431"/>
      <c r="I35" s="431"/>
      <c r="J35" s="431"/>
      <c r="K35" s="431"/>
      <c r="L35" s="431"/>
      <c r="M35" s="431"/>
      <c r="N35" s="431"/>
      <c r="O35" s="431"/>
      <c r="P35" s="431"/>
      <c r="Q35" s="431"/>
      <c r="R35" s="431"/>
      <c r="S35" s="431"/>
      <c r="T35" s="431"/>
      <c r="U35" s="431"/>
      <c r="V35" s="431"/>
      <c r="W35" s="431"/>
      <c r="X35" s="431"/>
      <c r="Y35" s="431"/>
      <c r="Z35" s="431"/>
      <c r="AA35" s="431"/>
      <c r="AB35" s="431"/>
      <c r="AC35" s="431"/>
      <c r="AD35" s="431"/>
      <c r="AE35" s="431"/>
      <c r="AF35" s="431"/>
      <c r="AG35" s="431"/>
      <c r="AH35" s="431"/>
      <c r="AI35" s="431"/>
      <c r="AJ35" s="431"/>
      <c r="AK35" s="431"/>
      <c r="AL35" s="431"/>
      <c r="AM35" s="431"/>
      <c r="AN35" s="431"/>
      <c r="AO35" s="431"/>
      <c r="AP35" s="431"/>
      <c r="AQ35" s="431"/>
      <c r="AR35" s="431"/>
      <c r="AS35" s="431"/>
      <c r="AT35" s="425"/>
      <c r="AU35" s="421"/>
      <c r="AV35" s="417"/>
      <c r="AW35" s="417"/>
      <c r="AX35" s="421"/>
      <c r="AY35" s="417"/>
      <c r="AZ35" s="422"/>
      <c r="BA35" s="422"/>
      <c r="BB35" s="389"/>
      <c r="BC35" s="390"/>
      <c r="BD35" s="391"/>
      <c r="BE35" s="444"/>
      <c r="BF35" s="444"/>
      <c r="BG35" s="444" t="s">
        <v>285</v>
      </c>
      <c r="BH35" s="444"/>
      <c r="BI35" s="444"/>
      <c r="BJ35" s="444"/>
      <c r="BK35" s="444"/>
      <c r="BL35" s="444"/>
      <c r="BM35" s="444"/>
      <c r="BN35" s="444"/>
      <c r="BO35" s="444"/>
      <c r="BP35" s="444"/>
      <c r="BQ35" s="444"/>
      <c r="BR35" s="444"/>
      <c r="BS35" s="444"/>
      <c r="BT35" s="444"/>
    </row>
    <row r="36" spans="1:72" ht="12.5" customHeight="1">
      <c r="A36" s="393"/>
      <c r="B36" s="418"/>
      <c r="C36" s="423"/>
      <c r="D36" s="419"/>
      <c r="E36" s="419"/>
      <c r="F36" s="419"/>
      <c r="G36" s="421"/>
      <c r="H36" s="431"/>
      <c r="I36" s="431"/>
      <c r="J36" s="431"/>
      <c r="K36" s="431"/>
      <c r="L36" s="431"/>
      <c r="M36" s="431"/>
      <c r="N36" s="431"/>
      <c r="O36" s="431"/>
      <c r="P36" s="431"/>
      <c r="Q36" s="431"/>
      <c r="R36" s="431"/>
      <c r="S36" s="431"/>
      <c r="T36" s="431"/>
      <c r="U36" s="431"/>
      <c r="V36" s="431"/>
      <c r="W36" s="431"/>
      <c r="X36" s="431"/>
      <c r="Y36" s="431"/>
      <c r="Z36" s="431"/>
      <c r="AA36" s="431"/>
      <c r="AB36" s="431"/>
      <c r="AC36" s="431"/>
      <c r="AD36" s="431"/>
      <c r="AE36" s="431"/>
      <c r="AF36" s="431"/>
      <c r="AG36" s="431"/>
      <c r="AH36" s="431"/>
      <c r="AI36" s="431"/>
      <c r="AJ36" s="431"/>
      <c r="AK36" s="431"/>
      <c r="AL36" s="431"/>
      <c r="AM36" s="431"/>
      <c r="AN36" s="431"/>
      <c r="AO36" s="431"/>
      <c r="AP36" s="431"/>
      <c r="AQ36" s="431"/>
      <c r="AR36" s="431"/>
      <c r="AS36" s="431"/>
      <c r="AT36" s="425"/>
      <c r="AU36" s="421"/>
      <c r="AV36" s="421"/>
      <c r="AW36" s="421"/>
      <c r="AX36" s="421"/>
      <c r="AY36" s="417"/>
      <c r="AZ36" s="422"/>
      <c r="BA36" s="422"/>
      <c r="BB36" s="389"/>
      <c r="BC36" s="390"/>
      <c r="BD36" s="391"/>
      <c r="BE36" s="444"/>
      <c r="BF36" s="444"/>
      <c r="BG36" s="447" t="s">
        <v>286</v>
      </c>
      <c r="BH36" s="444"/>
      <c r="BI36" s="444"/>
      <c r="BJ36" s="444"/>
      <c r="BK36" s="444"/>
      <c r="BL36" s="444"/>
      <c r="BM36" s="444"/>
      <c r="BN36" s="444"/>
      <c r="BO36" s="444"/>
      <c r="BP36" s="444"/>
      <c r="BQ36" s="444"/>
      <c r="BR36" s="444"/>
      <c r="BS36" s="444"/>
      <c r="BT36" s="444"/>
    </row>
    <row r="37" spans="1:72" ht="12.5" customHeight="1">
      <c r="A37" s="393"/>
      <c r="B37" s="418"/>
      <c r="C37" s="424"/>
      <c r="D37" s="490"/>
      <c r="E37" s="490"/>
      <c r="F37" s="490"/>
      <c r="G37" s="490"/>
      <c r="H37" s="490"/>
      <c r="I37" s="490"/>
      <c r="J37" s="490"/>
      <c r="K37" s="490"/>
      <c r="L37" s="490"/>
      <c r="M37" s="490"/>
      <c r="N37" s="490"/>
      <c r="O37" s="490"/>
      <c r="P37" s="490"/>
      <c r="Q37" s="490"/>
      <c r="R37" s="490"/>
      <c r="S37" s="490"/>
      <c r="T37" s="490"/>
      <c r="U37" s="490"/>
      <c r="V37" s="490"/>
      <c r="W37" s="490"/>
      <c r="X37" s="490"/>
      <c r="Y37" s="490"/>
      <c r="Z37" s="490"/>
      <c r="AA37" s="490"/>
      <c r="AB37" s="490"/>
      <c r="AC37" s="490"/>
      <c r="AD37" s="490"/>
      <c r="AE37" s="490"/>
      <c r="AF37" s="490"/>
      <c r="AG37" s="490"/>
      <c r="AH37" s="490"/>
      <c r="AI37" s="490"/>
      <c r="AJ37" s="490"/>
      <c r="AK37" s="490"/>
      <c r="AL37" s="490"/>
      <c r="AM37" s="490"/>
      <c r="AN37" s="490"/>
      <c r="AO37" s="490"/>
      <c r="AP37" s="490"/>
      <c r="AQ37" s="490"/>
      <c r="AR37" s="490"/>
      <c r="AS37" s="431"/>
      <c r="AT37" s="425"/>
      <c r="AU37" s="421"/>
      <c r="AV37" s="421"/>
      <c r="AW37" s="421"/>
      <c r="AX37" s="421"/>
      <c r="AY37" s="417"/>
      <c r="AZ37" s="422"/>
      <c r="BA37" s="422"/>
      <c r="BB37" s="389"/>
      <c r="BC37" s="390"/>
      <c r="BD37" s="391"/>
      <c r="BE37" s="444"/>
      <c r="BF37" s="444"/>
      <c r="BG37" s="444"/>
      <c r="BH37" s="444"/>
      <c r="BI37" s="444"/>
      <c r="BJ37" s="444"/>
      <c r="BK37" s="444"/>
      <c r="BL37" s="444"/>
      <c r="BM37" s="444"/>
      <c r="BN37" s="444"/>
      <c r="BO37" s="444"/>
      <c r="BP37" s="444"/>
      <c r="BQ37" s="444"/>
      <c r="BR37" s="444"/>
      <c r="BS37" s="444"/>
      <c r="BT37" s="444"/>
    </row>
    <row r="38" spans="1:72" ht="12.5" customHeight="1">
      <c r="A38" s="393"/>
      <c r="B38" s="418"/>
      <c r="C38" s="417"/>
      <c r="D38" s="489" t="s">
        <v>258</v>
      </c>
      <c r="E38" s="489"/>
      <c r="F38" s="489"/>
      <c r="G38" s="489"/>
      <c r="H38" s="489"/>
      <c r="I38" s="489"/>
      <c r="J38" s="489"/>
      <c r="K38" s="489"/>
      <c r="L38" s="489"/>
      <c r="M38" s="489"/>
      <c r="N38" s="489"/>
      <c r="O38" s="489"/>
      <c r="P38" s="489"/>
      <c r="Q38" s="489"/>
      <c r="R38" s="489"/>
      <c r="S38" s="489"/>
      <c r="T38" s="489"/>
      <c r="U38" s="489"/>
      <c r="V38" s="489"/>
      <c r="W38" s="489"/>
      <c r="X38" s="489"/>
      <c r="Y38" s="489"/>
      <c r="Z38" s="489"/>
      <c r="AA38" s="489"/>
      <c r="AB38" s="489"/>
      <c r="AC38" s="489"/>
      <c r="AD38" s="489"/>
      <c r="AE38" s="489"/>
      <c r="AF38" s="489"/>
      <c r="AG38" s="489"/>
      <c r="AH38" s="489"/>
      <c r="AI38" s="489"/>
      <c r="AJ38" s="489"/>
      <c r="AK38" s="489"/>
      <c r="AL38" s="490"/>
      <c r="AM38" s="490"/>
      <c r="AN38" s="490"/>
      <c r="AO38" s="490"/>
      <c r="AP38" s="490"/>
      <c r="AQ38" s="490"/>
      <c r="AR38" s="490"/>
      <c r="AS38" s="431"/>
      <c r="AT38" s="425"/>
      <c r="AU38" s="421"/>
      <c r="AV38" s="417"/>
      <c r="AW38" s="417"/>
      <c r="AX38" s="421"/>
      <c r="AY38" s="417"/>
      <c r="AZ38" s="422"/>
      <c r="BA38" s="422"/>
      <c r="BB38" s="389"/>
      <c r="BC38" s="390"/>
      <c r="BD38" s="391"/>
      <c r="BE38" s="444"/>
      <c r="BF38" s="444"/>
      <c r="BG38" s="444"/>
      <c r="BH38" s="444"/>
      <c r="BI38" s="444"/>
      <c r="BJ38" s="444"/>
      <c r="BK38" s="444"/>
      <c r="BL38" s="444"/>
      <c r="BM38" s="444"/>
      <c r="BN38" s="444"/>
      <c r="BO38" s="444"/>
      <c r="BP38" s="444"/>
      <c r="BQ38" s="444"/>
      <c r="BR38" s="444"/>
      <c r="BS38" s="444"/>
      <c r="BT38" s="444"/>
    </row>
    <row r="39" spans="1:72" ht="12.5" customHeight="1">
      <c r="A39" s="393"/>
      <c r="B39" s="418"/>
      <c r="C39" s="417"/>
      <c r="D39" s="492"/>
      <c r="E39" s="492"/>
      <c r="F39" s="492"/>
      <c r="G39" s="492"/>
      <c r="H39" s="492"/>
      <c r="I39" s="492"/>
      <c r="J39" s="492"/>
      <c r="K39" s="492"/>
      <c r="L39" s="492"/>
      <c r="M39" s="492"/>
      <c r="N39" s="492"/>
      <c r="O39" s="492"/>
      <c r="P39" s="492"/>
      <c r="Q39" s="492"/>
      <c r="R39" s="492"/>
      <c r="S39" s="492"/>
      <c r="T39" s="492"/>
      <c r="U39" s="492"/>
      <c r="V39" s="492"/>
      <c r="W39" s="492"/>
      <c r="X39" s="492"/>
      <c r="Y39" s="492"/>
      <c r="Z39" s="492"/>
      <c r="AA39" s="492"/>
      <c r="AB39" s="492"/>
      <c r="AC39" s="492"/>
      <c r="AD39" s="492"/>
      <c r="AE39" s="492"/>
      <c r="AF39" s="492"/>
      <c r="AG39" s="492"/>
      <c r="AH39" s="492"/>
      <c r="AI39" s="492"/>
      <c r="AJ39" s="492"/>
      <c r="AK39" s="492"/>
      <c r="AL39" s="491"/>
      <c r="AM39" s="491"/>
      <c r="AN39" s="491"/>
      <c r="AO39" s="491"/>
      <c r="AP39" s="491"/>
      <c r="AQ39" s="491"/>
      <c r="AR39" s="491"/>
      <c r="AS39" s="431"/>
      <c r="AT39" s="425"/>
      <c r="AU39" s="421"/>
      <c r="AV39" s="421"/>
      <c r="AW39" s="421"/>
      <c r="AX39" s="421"/>
      <c r="AY39" s="417"/>
      <c r="AZ39" s="422"/>
      <c r="BA39" s="422"/>
      <c r="BB39" s="389"/>
      <c r="BC39" s="390"/>
      <c r="BD39" s="391"/>
      <c r="BE39" s="444"/>
      <c r="BF39" s="444"/>
      <c r="BG39" s="444"/>
      <c r="BH39" s="444"/>
      <c r="BI39" s="444"/>
      <c r="BJ39" s="444"/>
      <c r="BK39" s="444"/>
      <c r="BL39" s="444"/>
      <c r="BM39" s="444"/>
      <c r="BN39" s="444"/>
      <c r="BO39" s="444"/>
      <c r="BP39" s="444"/>
      <c r="BQ39" s="444"/>
      <c r="BR39" s="444"/>
      <c r="BS39" s="444"/>
      <c r="BT39" s="444"/>
    </row>
    <row r="40" spans="1:72" ht="12.5" customHeight="1">
      <c r="A40" s="393"/>
      <c r="B40" s="418"/>
      <c r="C40" s="417"/>
      <c r="D40" s="492" t="s">
        <v>259</v>
      </c>
      <c r="E40" s="492"/>
      <c r="F40" s="492"/>
      <c r="G40" s="492"/>
      <c r="H40" s="492"/>
      <c r="I40" s="492"/>
      <c r="J40" s="492"/>
      <c r="K40" s="492"/>
      <c r="L40" s="492"/>
      <c r="M40" s="492"/>
      <c r="N40" s="492"/>
      <c r="O40" s="492"/>
      <c r="P40" s="492"/>
      <c r="Q40" s="492"/>
      <c r="R40" s="492"/>
      <c r="S40" s="492"/>
      <c r="T40" s="492"/>
      <c r="U40" s="492"/>
      <c r="V40" s="492"/>
      <c r="W40" s="492"/>
      <c r="X40" s="492"/>
      <c r="Y40" s="492"/>
      <c r="Z40" s="492"/>
      <c r="AA40" s="492"/>
      <c r="AB40" s="492"/>
      <c r="AC40" s="492"/>
      <c r="AD40" s="492"/>
      <c r="AE40" s="492"/>
      <c r="AF40" s="492"/>
      <c r="AG40" s="492"/>
      <c r="AH40" s="492"/>
      <c r="AI40" s="492"/>
      <c r="AJ40" s="492"/>
      <c r="AK40" s="492"/>
      <c r="AL40" s="491"/>
      <c r="AM40" s="491"/>
      <c r="AN40" s="491"/>
      <c r="AO40" s="491"/>
      <c r="AP40" s="491"/>
      <c r="AQ40" s="491"/>
      <c r="AR40" s="491"/>
      <c r="AS40" s="431"/>
      <c r="AT40" s="425"/>
      <c r="AU40" s="421"/>
      <c r="AV40" s="421"/>
      <c r="AW40" s="421"/>
      <c r="AX40" s="421"/>
      <c r="AY40" s="417"/>
      <c r="AZ40" s="422"/>
      <c r="BA40" s="422"/>
      <c r="BB40" s="389"/>
      <c r="BC40" s="390"/>
      <c r="BD40" s="391"/>
      <c r="BE40" s="444"/>
      <c r="BF40" s="444"/>
      <c r="BG40" s="444"/>
      <c r="BH40" s="444"/>
      <c r="BI40" s="444"/>
      <c r="BJ40" s="444"/>
      <c r="BK40" s="444"/>
      <c r="BL40" s="444"/>
      <c r="BM40" s="444"/>
      <c r="BN40" s="444"/>
      <c r="BO40" s="444"/>
      <c r="BP40" s="444"/>
      <c r="BQ40" s="444"/>
      <c r="BR40" s="444"/>
      <c r="BS40" s="444"/>
      <c r="BT40" s="444"/>
    </row>
    <row r="41" spans="1:72" ht="12.5" customHeight="1">
      <c r="A41" s="393"/>
      <c r="B41" s="418"/>
      <c r="C41" s="417"/>
      <c r="D41" s="492" t="s">
        <v>260</v>
      </c>
      <c r="E41" s="492"/>
      <c r="F41" s="492"/>
      <c r="G41" s="492"/>
      <c r="H41" s="492"/>
      <c r="I41" s="492"/>
      <c r="J41" s="492"/>
      <c r="K41" s="492"/>
      <c r="L41" s="492"/>
      <c r="M41" s="492"/>
      <c r="N41" s="492"/>
      <c r="O41" s="492"/>
      <c r="P41" s="492"/>
      <c r="Q41" s="492"/>
      <c r="R41" s="492"/>
      <c r="S41" s="492"/>
      <c r="T41" s="492"/>
      <c r="U41" s="492"/>
      <c r="V41" s="492"/>
      <c r="W41" s="492"/>
      <c r="X41" s="492"/>
      <c r="Y41" s="492"/>
      <c r="Z41" s="492"/>
      <c r="AA41" s="492"/>
      <c r="AB41" s="492"/>
      <c r="AC41" s="492"/>
      <c r="AD41" s="492"/>
      <c r="AE41" s="492"/>
      <c r="AF41" s="492"/>
      <c r="AG41" s="492"/>
      <c r="AH41" s="492"/>
      <c r="AI41" s="492"/>
      <c r="AJ41" s="492"/>
      <c r="AK41" s="492"/>
      <c r="AL41" s="491"/>
      <c r="AM41" s="491"/>
      <c r="AN41" s="491"/>
      <c r="AO41" s="491"/>
      <c r="AP41" s="491"/>
      <c r="AQ41" s="491"/>
      <c r="AR41" s="491"/>
      <c r="AS41" s="431"/>
      <c r="AT41" s="425"/>
      <c r="AU41" s="421"/>
      <c r="AV41" s="421"/>
      <c r="AW41" s="421"/>
      <c r="AX41" s="421"/>
      <c r="AY41" s="417"/>
      <c r="AZ41" s="422"/>
      <c r="BA41" s="422"/>
      <c r="BB41" s="389"/>
      <c r="BC41" s="390"/>
      <c r="BD41" s="391"/>
      <c r="BE41" s="444"/>
      <c r="BF41" s="444"/>
      <c r="BG41" s="444"/>
      <c r="BH41" s="444"/>
      <c r="BI41" s="444"/>
      <c r="BJ41" s="444"/>
      <c r="BK41" s="444"/>
      <c r="BL41" s="444"/>
      <c r="BM41" s="444"/>
      <c r="BN41" s="444"/>
      <c r="BO41" s="444"/>
      <c r="BP41" s="444"/>
      <c r="BQ41" s="444"/>
      <c r="BR41" s="444"/>
      <c r="BS41" s="444"/>
      <c r="BT41" s="444"/>
    </row>
    <row r="42" spans="1:72" ht="12.5" customHeight="1">
      <c r="A42" s="393"/>
      <c r="B42" s="418"/>
      <c r="C42" s="423"/>
      <c r="D42" s="492" t="s">
        <v>261</v>
      </c>
      <c r="E42" s="492"/>
      <c r="F42" s="492"/>
      <c r="G42" s="492"/>
      <c r="H42" s="492"/>
      <c r="I42" s="492"/>
      <c r="J42" s="492"/>
      <c r="K42" s="492"/>
      <c r="L42" s="492"/>
      <c r="M42" s="492"/>
      <c r="N42" s="492"/>
      <c r="O42" s="492"/>
      <c r="P42" s="492"/>
      <c r="Q42" s="492"/>
      <c r="R42" s="492"/>
      <c r="S42" s="492"/>
      <c r="T42" s="492"/>
      <c r="U42" s="492"/>
      <c r="V42" s="492"/>
      <c r="W42" s="492"/>
      <c r="X42" s="492"/>
      <c r="Y42" s="492"/>
      <c r="Z42" s="492"/>
      <c r="AA42" s="492"/>
      <c r="AB42" s="492"/>
      <c r="AC42" s="492"/>
      <c r="AD42" s="492"/>
      <c r="AE42" s="492"/>
      <c r="AF42" s="492"/>
      <c r="AG42" s="492"/>
      <c r="AH42" s="492"/>
      <c r="AI42" s="492"/>
      <c r="AJ42" s="492"/>
      <c r="AK42" s="492"/>
      <c r="AL42" s="491"/>
      <c r="AM42" s="491"/>
      <c r="AN42" s="491"/>
      <c r="AO42" s="491"/>
      <c r="AP42" s="491"/>
      <c r="AQ42" s="491"/>
      <c r="AR42" s="491"/>
      <c r="AS42" s="431"/>
      <c r="AT42" s="425"/>
      <c r="AU42" s="421"/>
      <c r="AV42" s="421"/>
      <c r="AW42" s="421"/>
      <c r="AX42" s="421"/>
      <c r="AY42" s="417"/>
      <c r="AZ42" s="422"/>
      <c r="BA42" s="422"/>
      <c r="BB42" s="389"/>
      <c r="BC42" s="390"/>
      <c r="BD42" s="391"/>
      <c r="BE42" s="444"/>
      <c r="BF42" s="444"/>
      <c r="BG42" s="444"/>
      <c r="BH42" s="444"/>
      <c r="BI42" s="444"/>
      <c r="BJ42" s="444"/>
      <c r="BK42" s="444"/>
      <c r="BL42" s="444"/>
      <c r="BM42" s="444"/>
      <c r="BN42" s="444"/>
      <c r="BO42" s="444"/>
      <c r="BP42" s="444"/>
      <c r="BQ42" s="444"/>
      <c r="BR42" s="444"/>
      <c r="BS42" s="444"/>
      <c r="BT42" s="444"/>
    </row>
    <row r="43" spans="1:72" ht="12.5" customHeight="1">
      <c r="A43" s="393"/>
      <c r="B43" s="418"/>
      <c r="C43" s="417"/>
      <c r="D43" s="492" t="s">
        <v>262</v>
      </c>
      <c r="E43" s="492"/>
      <c r="F43" s="492"/>
      <c r="G43" s="492"/>
      <c r="H43" s="492"/>
      <c r="I43" s="492"/>
      <c r="J43" s="492"/>
      <c r="K43" s="492"/>
      <c r="L43" s="492"/>
      <c r="M43" s="492"/>
      <c r="N43" s="492"/>
      <c r="O43" s="492"/>
      <c r="P43" s="492"/>
      <c r="Q43" s="492"/>
      <c r="R43" s="492"/>
      <c r="S43" s="492"/>
      <c r="T43" s="492"/>
      <c r="U43" s="492"/>
      <c r="V43" s="492"/>
      <c r="W43" s="492"/>
      <c r="X43" s="492"/>
      <c r="Y43" s="492"/>
      <c r="Z43" s="492"/>
      <c r="AA43" s="492"/>
      <c r="AB43" s="492"/>
      <c r="AC43" s="492"/>
      <c r="AD43" s="492"/>
      <c r="AE43" s="492"/>
      <c r="AF43" s="492"/>
      <c r="AG43" s="492"/>
      <c r="AH43" s="492"/>
      <c r="AI43" s="492"/>
      <c r="AJ43" s="492"/>
      <c r="AK43" s="492"/>
      <c r="AL43" s="491"/>
      <c r="AM43" s="491"/>
      <c r="AN43" s="491"/>
      <c r="AO43" s="491"/>
      <c r="AP43" s="491"/>
      <c r="AQ43" s="491"/>
      <c r="AR43" s="491"/>
      <c r="AS43" s="431"/>
      <c r="AT43" s="425"/>
      <c r="AU43" s="421"/>
      <c r="AV43" s="421"/>
      <c r="AW43" s="421"/>
      <c r="AX43" s="421"/>
      <c r="AY43" s="417"/>
      <c r="AZ43" s="422"/>
      <c r="BA43" s="422"/>
      <c r="BB43" s="389"/>
      <c r="BC43" s="390"/>
      <c r="BD43" s="392"/>
      <c r="BE43" s="444"/>
      <c r="BF43" s="444"/>
      <c r="BG43" s="444"/>
      <c r="BH43" s="444"/>
      <c r="BI43" s="444"/>
      <c r="BJ43" s="444"/>
      <c r="BK43" s="444"/>
      <c r="BL43" s="444"/>
      <c r="BM43" s="444"/>
      <c r="BN43" s="444"/>
      <c r="BO43" s="444"/>
      <c r="BP43" s="444"/>
      <c r="BQ43" s="444"/>
      <c r="BR43" s="444"/>
      <c r="BS43" s="444"/>
      <c r="BT43" s="444"/>
    </row>
    <row r="44" spans="1:72" ht="12.5" customHeight="1">
      <c r="A44" s="393"/>
      <c r="B44" s="418"/>
      <c r="C44" s="427"/>
      <c r="D44" s="492"/>
      <c r="E44" s="492"/>
      <c r="F44" s="492"/>
      <c r="G44" s="492"/>
      <c r="H44" s="492"/>
      <c r="I44" s="492"/>
      <c r="J44" s="492"/>
      <c r="K44" s="492"/>
      <c r="L44" s="492"/>
      <c r="M44" s="492"/>
      <c r="N44" s="492"/>
      <c r="O44" s="492"/>
      <c r="P44" s="492"/>
      <c r="Q44" s="492"/>
      <c r="R44" s="492"/>
      <c r="S44" s="492"/>
      <c r="T44" s="492"/>
      <c r="U44" s="492"/>
      <c r="V44" s="492"/>
      <c r="W44" s="492"/>
      <c r="X44" s="492"/>
      <c r="Y44" s="492"/>
      <c r="Z44" s="492"/>
      <c r="AA44" s="492"/>
      <c r="AB44" s="492"/>
      <c r="AC44" s="492"/>
      <c r="AD44" s="492"/>
      <c r="AE44" s="492"/>
      <c r="AF44" s="492"/>
      <c r="AG44" s="492"/>
      <c r="AH44" s="492"/>
      <c r="AI44" s="492"/>
      <c r="AJ44" s="492"/>
      <c r="AK44" s="492"/>
      <c r="AL44" s="491"/>
      <c r="AM44" s="491"/>
      <c r="AN44" s="491"/>
      <c r="AO44" s="491"/>
      <c r="AP44" s="491"/>
      <c r="AQ44" s="491"/>
      <c r="AR44" s="491"/>
      <c r="AS44" s="431"/>
      <c r="AT44" s="421"/>
      <c r="AU44" s="421"/>
      <c r="AV44" s="421"/>
      <c r="AW44" s="421"/>
      <c r="AX44" s="421"/>
      <c r="AY44" s="421"/>
      <c r="AZ44" s="422"/>
      <c r="BA44" s="422"/>
      <c r="BB44" s="405"/>
      <c r="BC44" s="406"/>
      <c r="BD44" s="391"/>
      <c r="BE44" s="444"/>
      <c r="BF44" s="444"/>
      <c r="BG44" s="447"/>
      <c r="BH44" s="444"/>
      <c r="BI44" s="444"/>
      <c r="BJ44" s="444"/>
      <c r="BK44" s="444"/>
      <c r="BL44" s="444"/>
      <c r="BM44" s="444"/>
      <c r="BN44" s="444"/>
      <c r="BO44" s="444"/>
      <c r="BP44" s="444"/>
      <c r="BQ44" s="444"/>
      <c r="BR44" s="444"/>
      <c r="BS44" s="444"/>
      <c r="BT44" s="444"/>
    </row>
    <row r="45" spans="1:72" ht="12.5" customHeight="1">
      <c r="A45" s="393"/>
      <c r="B45" s="418"/>
      <c r="C45" s="427"/>
      <c r="D45" s="492" t="s">
        <v>263</v>
      </c>
      <c r="E45" s="492"/>
      <c r="F45" s="492"/>
      <c r="G45" s="492"/>
      <c r="H45" s="492"/>
      <c r="I45" s="492"/>
      <c r="J45" s="492"/>
      <c r="K45" s="492"/>
      <c r="L45" s="492"/>
      <c r="M45" s="492"/>
      <c r="N45" s="492"/>
      <c r="O45" s="492"/>
      <c r="P45" s="492"/>
      <c r="Q45" s="492"/>
      <c r="R45" s="492"/>
      <c r="S45" s="492"/>
      <c r="T45" s="492"/>
      <c r="U45" s="492"/>
      <c r="V45" s="492"/>
      <c r="W45" s="492"/>
      <c r="X45" s="492"/>
      <c r="Y45" s="492"/>
      <c r="Z45" s="492"/>
      <c r="AA45" s="492"/>
      <c r="AB45" s="492"/>
      <c r="AC45" s="492"/>
      <c r="AD45" s="492"/>
      <c r="AE45" s="492"/>
      <c r="AF45" s="492"/>
      <c r="AG45" s="492"/>
      <c r="AH45" s="492"/>
      <c r="AI45" s="492"/>
      <c r="AJ45" s="492"/>
      <c r="AK45" s="492"/>
      <c r="AL45" s="491"/>
      <c r="AM45" s="491"/>
      <c r="AN45" s="491"/>
      <c r="AO45" s="491"/>
      <c r="AP45" s="491"/>
      <c r="AQ45" s="491"/>
      <c r="AR45" s="491"/>
      <c r="AS45" s="431"/>
      <c r="AT45" s="425"/>
      <c r="AU45" s="421"/>
      <c r="AV45" s="421"/>
      <c r="AW45" s="421"/>
      <c r="AX45" s="421"/>
      <c r="AY45" s="421"/>
      <c r="AZ45" s="422"/>
      <c r="BA45" s="422"/>
      <c r="BB45" s="405"/>
      <c r="BC45" s="406"/>
      <c r="BD45" s="391"/>
      <c r="BE45" s="444"/>
      <c r="BF45" s="444"/>
      <c r="BG45" s="447"/>
      <c r="BH45" s="444"/>
      <c r="BI45" s="444"/>
      <c r="BJ45" s="444"/>
      <c r="BK45" s="444"/>
      <c r="BL45" s="444"/>
      <c r="BM45" s="444"/>
      <c r="BN45" s="444"/>
      <c r="BO45" s="444"/>
      <c r="BP45" s="444"/>
      <c r="BQ45" s="444"/>
      <c r="BR45" s="444"/>
      <c r="BS45" s="444"/>
      <c r="BT45" s="444"/>
    </row>
    <row r="46" spans="1:72" ht="12.5" customHeight="1">
      <c r="A46" s="393"/>
      <c r="B46" s="418"/>
      <c r="C46" s="427"/>
      <c r="D46" s="492" t="s">
        <v>264</v>
      </c>
      <c r="E46" s="492"/>
      <c r="F46" s="492"/>
      <c r="G46" s="492"/>
      <c r="H46" s="492"/>
      <c r="I46" s="492"/>
      <c r="J46" s="492"/>
      <c r="K46" s="492"/>
      <c r="L46" s="492"/>
      <c r="M46" s="492"/>
      <c r="N46" s="492"/>
      <c r="O46" s="492"/>
      <c r="P46" s="492"/>
      <c r="Q46" s="492"/>
      <c r="R46" s="492"/>
      <c r="S46" s="492"/>
      <c r="T46" s="492"/>
      <c r="U46" s="492"/>
      <c r="V46" s="492"/>
      <c r="W46" s="492"/>
      <c r="X46" s="492"/>
      <c r="Y46" s="492"/>
      <c r="Z46" s="492"/>
      <c r="AA46" s="492"/>
      <c r="AB46" s="492"/>
      <c r="AC46" s="492"/>
      <c r="AD46" s="492"/>
      <c r="AE46" s="492"/>
      <c r="AF46" s="492"/>
      <c r="AG46" s="492"/>
      <c r="AH46" s="492"/>
      <c r="AI46" s="492"/>
      <c r="AJ46" s="492"/>
      <c r="AK46" s="492"/>
      <c r="AL46" s="491"/>
      <c r="AM46" s="491"/>
      <c r="AN46" s="491"/>
      <c r="AO46" s="491"/>
      <c r="AP46" s="491"/>
      <c r="AQ46" s="491"/>
      <c r="AR46" s="491"/>
      <c r="AS46" s="432"/>
      <c r="AT46" s="429"/>
      <c r="AU46" s="429"/>
      <c r="AV46" s="429"/>
      <c r="AW46" s="429"/>
      <c r="AX46" s="429"/>
      <c r="AY46" s="429"/>
      <c r="AZ46" s="422"/>
      <c r="BA46" s="422"/>
      <c r="BB46" s="405"/>
      <c r="BC46" s="406"/>
      <c r="BD46" s="391"/>
      <c r="BE46" s="444"/>
      <c r="BF46" s="444"/>
      <c r="BG46" s="447"/>
      <c r="BH46" s="444"/>
      <c r="BI46" s="444"/>
      <c r="BJ46" s="444"/>
      <c r="BK46" s="444"/>
      <c r="BL46" s="444"/>
      <c r="BM46" s="444"/>
      <c r="BN46" s="444"/>
      <c r="BO46" s="444"/>
      <c r="BP46" s="444"/>
      <c r="BQ46" s="444"/>
      <c r="BR46" s="444"/>
      <c r="BS46" s="444"/>
      <c r="BT46" s="444"/>
    </row>
    <row r="47" spans="1:72" ht="12.5" customHeight="1">
      <c r="A47" s="393"/>
      <c r="B47" s="418"/>
      <c r="C47" s="427"/>
      <c r="D47" s="492"/>
      <c r="E47" s="492"/>
      <c r="F47" s="492"/>
      <c r="G47" s="492"/>
      <c r="H47" s="492"/>
      <c r="I47" s="492"/>
      <c r="J47" s="492"/>
      <c r="K47" s="492"/>
      <c r="L47" s="492"/>
      <c r="M47" s="492"/>
      <c r="N47" s="492"/>
      <c r="O47" s="492"/>
      <c r="P47" s="492"/>
      <c r="Q47" s="492"/>
      <c r="R47" s="492"/>
      <c r="S47" s="492"/>
      <c r="T47" s="492"/>
      <c r="U47" s="492"/>
      <c r="V47" s="492"/>
      <c r="W47" s="492"/>
      <c r="X47" s="492"/>
      <c r="Y47" s="492"/>
      <c r="Z47" s="492"/>
      <c r="AA47" s="492"/>
      <c r="AB47" s="492"/>
      <c r="AC47" s="492"/>
      <c r="AD47" s="492"/>
      <c r="AE47" s="492"/>
      <c r="AF47" s="492"/>
      <c r="AG47" s="492"/>
      <c r="AH47" s="492"/>
      <c r="AI47" s="492"/>
      <c r="AJ47" s="492"/>
      <c r="AK47" s="492"/>
      <c r="AL47" s="491"/>
      <c r="AM47" s="491"/>
      <c r="AN47" s="491"/>
      <c r="AO47" s="491"/>
      <c r="AP47" s="491"/>
      <c r="AQ47" s="491"/>
      <c r="AR47" s="491"/>
      <c r="AS47" s="431"/>
      <c r="AT47" s="421"/>
      <c r="AU47" s="421"/>
      <c r="AV47" s="421"/>
      <c r="AW47" s="421"/>
      <c r="AX47" s="421"/>
      <c r="AY47" s="421"/>
      <c r="AZ47" s="422"/>
      <c r="BA47" s="422"/>
      <c r="BB47" s="405"/>
      <c r="BC47" s="406"/>
      <c r="BD47" s="391"/>
      <c r="BE47" s="444"/>
      <c r="BF47" s="444"/>
      <c r="BG47" s="447"/>
      <c r="BH47" s="444"/>
      <c r="BI47" s="444"/>
      <c r="BJ47" s="444"/>
      <c r="BK47" s="444"/>
      <c r="BL47" s="444"/>
      <c r="BM47" s="444"/>
      <c r="BN47" s="444"/>
      <c r="BO47" s="444"/>
      <c r="BP47" s="444"/>
      <c r="BQ47" s="444"/>
      <c r="BR47" s="444"/>
      <c r="BS47" s="444"/>
      <c r="BT47" s="444"/>
    </row>
    <row r="48" spans="1:72" ht="12.5" customHeight="1">
      <c r="A48" s="393"/>
      <c r="B48" s="418"/>
      <c r="C48" s="420"/>
      <c r="D48" s="420"/>
      <c r="E48" s="420"/>
      <c r="F48" s="420"/>
      <c r="G48" s="420"/>
      <c r="H48" s="420"/>
      <c r="I48" s="420"/>
      <c r="J48" s="420"/>
      <c r="K48" s="420"/>
      <c r="L48" s="420"/>
      <c r="M48" s="420"/>
      <c r="N48" s="420"/>
      <c r="O48" s="420"/>
      <c r="P48" s="420"/>
      <c r="Q48" s="420"/>
      <c r="R48" s="420"/>
      <c r="S48" s="420"/>
      <c r="T48" s="420"/>
      <c r="U48" s="420"/>
      <c r="V48" s="420"/>
      <c r="W48" s="420"/>
      <c r="X48" s="420"/>
      <c r="Y48" s="420"/>
      <c r="Z48" s="420"/>
      <c r="AA48" s="420"/>
      <c r="AB48" s="420"/>
      <c r="AC48" s="420"/>
      <c r="AD48" s="420"/>
      <c r="AE48" s="420"/>
      <c r="AF48" s="420"/>
      <c r="AG48" s="420"/>
      <c r="AH48" s="420"/>
      <c r="AI48" s="420"/>
      <c r="AJ48" s="420"/>
      <c r="AK48" s="420"/>
      <c r="AL48" s="420"/>
      <c r="AM48" s="420"/>
      <c r="AN48" s="420"/>
      <c r="AO48" s="420"/>
      <c r="AP48" s="420"/>
      <c r="AQ48" s="420"/>
      <c r="AR48" s="420"/>
      <c r="AS48" s="420"/>
      <c r="AT48" s="420"/>
      <c r="AU48" s="420"/>
      <c r="AV48" s="420"/>
      <c r="AW48" s="420"/>
      <c r="AX48" s="420"/>
      <c r="AY48" s="420"/>
      <c r="AZ48" s="422"/>
      <c r="BA48" s="422"/>
      <c r="BB48" s="405"/>
      <c r="BC48" s="406"/>
      <c r="BD48" s="391"/>
      <c r="BE48" s="444"/>
      <c r="BF48" s="444"/>
      <c r="BG48" s="447"/>
      <c r="BH48" s="444"/>
      <c r="BI48" s="444"/>
      <c r="BJ48" s="444"/>
      <c r="BK48" s="444"/>
      <c r="BL48" s="444"/>
      <c r="BM48" s="444"/>
      <c r="BN48" s="444"/>
      <c r="BO48" s="444"/>
      <c r="BP48" s="444"/>
      <c r="BQ48" s="444"/>
      <c r="BR48" s="444"/>
      <c r="BS48" s="444"/>
      <c r="BT48" s="444"/>
    </row>
    <row r="49" spans="1:72" ht="12.5" customHeight="1">
      <c r="A49" s="393"/>
      <c r="B49" s="426"/>
      <c r="C49" s="420"/>
      <c r="D49" s="420"/>
      <c r="E49" s="420"/>
      <c r="F49" s="420"/>
      <c r="G49" s="420"/>
      <c r="H49" s="420"/>
      <c r="I49" s="420"/>
      <c r="J49" s="420"/>
      <c r="K49" s="420"/>
      <c r="L49" s="420"/>
      <c r="M49" s="420"/>
      <c r="N49" s="420"/>
      <c r="O49" s="420"/>
      <c r="P49" s="420"/>
      <c r="Q49" s="420"/>
      <c r="R49" s="420"/>
      <c r="S49" s="420"/>
      <c r="T49" s="420"/>
      <c r="U49" s="420"/>
      <c r="V49" s="420"/>
      <c r="W49" s="420"/>
      <c r="X49" s="420"/>
      <c r="Y49" s="420"/>
      <c r="Z49" s="420"/>
      <c r="AA49" s="420"/>
      <c r="AB49" s="420"/>
      <c r="AC49" s="420"/>
      <c r="AD49" s="420"/>
      <c r="AE49" s="420"/>
      <c r="AF49" s="420"/>
      <c r="AG49" s="420"/>
      <c r="AH49" s="420"/>
      <c r="AI49" s="420"/>
      <c r="AJ49" s="420"/>
      <c r="AK49" s="420"/>
      <c r="AL49" s="420"/>
      <c r="AM49" s="420"/>
      <c r="AN49" s="420"/>
      <c r="AO49" s="420"/>
      <c r="AP49" s="420"/>
      <c r="AQ49" s="420"/>
      <c r="AR49" s="420"/>
      <c r="AS49" s="420"/>
      <c r="AT49" s="420"/>
      <c r="AU49" s="420"/>
      <c r="AV49" s="420"/>
      <c r="AW49" s="420"/>
      <c r="AX49" s="420"/>
      <c r="AY49" s="420"/>
      <c r="AZ49" s="422"/>
      <c r="BA49" s="422"/>
      <c r="BB49" s="389"/>
      <c r="BC49" s="390"/>
      <c r="BD49" s="391"/>
      <c r="BE49" s="444"/>
      <c r="BF49" s="444"/>
      <c r="BG49" s="444"/>
      <c r="BH49" s="444"/>
      <c r="BI49" s="444"/>
      <c r="BJ49" s="444"/>
      <c r="BK49" s="444"/>
      <c r="BL49" s="444"/>
      <c r="BM49" s="444"/>
      <c r="BN49" s="444"/>
      <c r="BO49" s="444"/>
      <c r="BP49" s="444"/>
      <c r="BQ49" s="444"/>
      <c r="BR49" s="444"/>
      <c r="BS49" s="444"/>
      <c r="BT49" s="444"/>
    </row>
    <row r="50" spans="1:72" ht="12.5" customHeight="1">
      <c r="A50" s="393"/>
      <c r="B50" s="426"/>
      <c r="C50" s="420"/>
      <c r="D50" s="420"/>
      <c r="E50" s="420"/>
      <c r="F50" s="420"/>
      <c r="G50" s="420"/>
      <c r="H50" s="420"/>
      <c r="I50" s="420"/>
      <c r="J50" s="420"/>
      <c r="K50" s="420"/>
      <c r="L50" s="420"/>
      <c r="M50" s="420"/>
      <c r="N50" s="420"/>
      <c r="O50" s="420"/>
      <c r="P50" s="420"/>
      <c r="Q50" s="420"/>
      <c r="R50" s="420"/>
      <c r="S50" s="420"/>
      <c r="T50" s="420"/>
      <c r="U50" s="420"/>
      <c r="V50" s="420"/>
      <c r="W50" s="420"/>
      <c r="X50" s="420"/>
      <c r="Y50" s="420"/>
      <c r="Z50" s="420"/>
      <c r="AA50" s="420"/>
      <c r="AB50" s="420"/>
      <c r="AC50" s="420"/>
      <c r="AD50" s="420"/>
      <c r="AE50" s="420"/>
      <c r="AF50" s="420"/>
      <c r="AG50" s="420"/>
      <c r="AH50" s="420"/>
      <c r="AI50" s="420"/>
      <c r="AJ50" s="420"/>
      <c r="AK50" s="420"/>
      <c r="AL50" s="420"/>
      <c r="AM50" s="420"/>
      <c r="AN50" s="420"/>
      <c r="AO50" s="420"/>
      <c r="AP50" s="420"/>
      <c r="AQ50" s="420"/>
      <c r="AR50" s="420"/>
      <c r="AS50" s="420"/>
      <c r="AT50" s="420"/>
      <c r="AU50" s="420"/>
      <c r="AV50" s="420"/>
      <c r="AW50" s="420"/>
      <c r="AX50" s="420"/>
      <c r="AY50" s="420"/>
      <c r="AZ50" s="422"/>
      <c r="BA50" s="422"/>
      <c r="BB50" s="389"/>
      <c r="BC50" s="390"/>
      <c r="BD50" s="391"/>
      <c r="BE50" s="444"/>
      <c r="BF50" s="444"/>
      <c r="BG50" s="444"/>
      <c r="BH50" s="444"/>
      <c r="BI50" s="444"/>
      <c r="BJ50" s="444"/>
      <c r="BK50" s="444"/>
      <c r="BL50" s="444"/>
      <c r="BM50" s="444"/>
      <c r="BN50" s="444"/>
      <c r="BO50" s="444"/>
      <c r="BP50" s="444"/>
      <c r="BQ50" s="444"/>
      <c r="BR50" s="444"/>
      <c r="BS50" s="444"/>
      <c r="BT50" s="444"/>
    </row>
    <row r="51" spans="1:72" ht="12.5" customHeight="1">
      <c r="A51" s="393"/>
      <c r="B51" s="418"/>
      <c r="C51" s="420"/>
      <c r="D51" s="420"/>
      <c r="E51" s="420"/>
      <c r="F51" s="420"/>
      <c r="G51" s="420"/>
      <c r="H51" s="420"/>
      <c r="I51" s="420"/>
      <c r="J51" s="420"/>
      <c r="K51" s="420"/>
      <c r="L51" s="420"/>
      <c r="M51" s="420"/>
      <c r="N51" s="420"/>
      <c r="O51" s="420"/>
      <c r="P51" s="420"/>
      <c r="Q51" s="420"/>
      <c r="R51" s="420"/>
      <c r="S51" s="420"/>
      <c r="T51" s="420"/>
      <c r="U51" s="420"/>
      <c r="V51" s="420"/>
      <c r="W51" s="420"/>
      <c r="X51" s="420"/>
      <c r="Y51" s="420"/>
      <c r="Z51" s="420"/>
      <c r="AA51" s="420"/>
      <c r="AB51" s="420"/>
      <c r="AC51" s="420"/>
      <c r="AD51" s="420"/>
      <c r="AE51" s="420"/>
      <c r="AF51" s="420"/>
      <c r="AG51" s="420"/>
      <c r="AH51" s="420"/>
      <c r="AI51" s="420"/>
      <c r="AJ51" s="420"/>
      <c r="AK51" s="420"/>
      <c r="AL51" s="420"/>
      <c r="AM51" s="420"/>
      <c r="AN51" s="420"/>
      <c r="AO51" s="420"/>
      <c r="AP51" s="420"/>
      <c r="AQ51" s="420"/>
      <c r="AR51" s="420"/>
      <c r="AS51" s="420"/>
      <c r="AT51" s="420"/>
      <c r="AU51" s="420"/>
      <c r="AV51" s="420"/>
      <c r="AW51" s="420"/>
      <c r="AX51" s="420"/>
      <c r="AY51" s="420"/>
      <c r="AZ51" s="422"/>
      <c r="BA51" s="422"/>
      <c r="BB51" s="405"/>
      <c r="BC51" s="406"/>
      <c r="BD51" s="391"/>
      <c r="BE51" s="444"/>
      <c r="BF51" s="444"/>
      <c r="BG51" s="447"/>
      <c r="BH51" s="444"/>
      <c r="BI51" s="444"/>
      <c r="BJ51" s="444"/>
      <c r="BK51" s="444"/>
      <c r="BL51" s="444"/>
      <c r="BM51" s="444"/>
      <c r="BN51" s="444"/>
      <c r="BO51" s="444"/>
      <c r="BP51" s="444"/>
      <c r="BQ51" s="444"/>
      <c r="BR51" s="444"/>
      <c r="BS51" s="444"/>
      <c r="BT51" s="444"/>
    </row>
    <row r="52" spans="1:72" ht="12.5" customHeight="1">
      <c r="A52" s="393"/>
      <c r="B52" s="418"/>
      <c r="C52" s="420"/>
      <c r="D52" s="420"/>
      <c r="E52" s="420"/>
      <c r="F52" s="420"/>
      <c r="G52" s="420"/>
      <c r="H52" s="420"/>
      <c r="I52" s="420"/>
      <c r="J52" s="420"/>
      <c r="K52" s="420"/>
      <c r="L52" s="420"/>
      <c r="M52" s="420"/>
      <c r="N52" s="420"/>
      <c r="O52" s="420"/>
      <c r="P52" s="420"/>
      <c r="Q52" s="420"/>
      <c r="R52" s="420"/>
      <c r="S52" s="420"/>
      <c r="T52" s="420"/>
      <c r="U52" s="420"/>
      <c r="V52" s="420"/>
      <c r="W52" s="420"/>
      <c r="X52" s="420"/>
      <c r="Y52" s="420"/>
      <c r="Z52" s="420"/>
      <c r="AA52" s="420"/>
      <c r="AB52" s="420"/>
      <c r="AC52" s="420"/>
      <c r="AD52" s="420"/>
      <c r="AE52" s="420"/>
      <c r="AF52" s="420"/>
      <c r="AG52" s="420"/>
      <c r="AH52" s="420"/>
      <c r="AI52" s="420"/>
      <c r="AJ52" s="420"/>
      <c r="AK52" s="420"/>
      <c r="AL52" s="420"/>
      <c r="AM52" s="420"/>
      <c r="AN52" s="420"/>
      <c r="AO52" s="420"/>
      <c r="AP52" s="420"/>
      <c r="AQ52" s="420"/>
      <c r="AR52" s="420"/>
      <c r="AS52" s="420"/>
      <c r="AT52" s="420"/>
      <c r="AU52" s="420"/>
      <c r="AV52" s="420"/>
      <c r="AW52" s="420"/>
      <c r="AX52" s="420"/>
      <c r="AY52" s="420"/>
      <c r="AZ52" s="422"/>
      <c r="BA52" s="422"/>
      <c r="BB52" s="405"/>
      <c r="BC52" s="406"/>
      <c r="BD52" s="391"/>
      <c r="BE52" s="444"/>
      <c r="BF52" s="444"/>
      <c r="BG52" s="447"/>
      <c r="BH52" s="444"/>
      <c r="BI52" s="444"/>
      <c r="BJ52" s="444"/>
      <c r="BK52" s="444"/>
      <c r="BL52" s="444"/>
      <c r="BM52" s="444"/>
      <c r="BN52" s="444"/>
      <c r="BO52" s="444"/>
      <c r="BP52" s="444"/>
      <c r="BQ52" s="444"/>
      <c r="BR52" s="444"/>
      <c r="BS52" s="444"/>
      <c r="BT52" s="444"/>
    </row>
    <row r="53" spans="1:72" ht="12.5" customHeight="1">
      <c r="A53" s="393"/>
      <c r="B53" s="426"/>
      <c r="C53" s="420"/>
      <c r="D53" s="420"/>
      <c r="E53" s="420"/>
      <c r="F53" s="420"/>
      <c r="G53" s="420"/>
      <c r="H53" s="420"/>
      <c r="I53" s="420"/>
      <c r="J53" s="420"/>
      <c r="K53" s="420"/>
      <c r="L53" s="420"/>
      <c r="M53" s="420"/>
      <c r="N53" s="420"/>
      <c r="O53" s="420"/>
      <c r="P53" s="420"/>
      <c r="Q53" s="420"/>
      <c r="R53" s="420"/>
      <c r="S53" s="420"/>
      <c r="T53" s="420"/>
      <c r="U53" s="420"/>
      <c r="V53" s="420"/>
      <c r="W53" s="420"/>
      <c r="X53" s="420"/>
      <c r="Y53" s="420"/>
      <c r="Z53" s="420"/>
      <c r="AA53" s="420"/>
      <c r="AB53" s="420"/>
      <c r="AC53" s="420"/>
      <c r="AD53" s="420"/>
      <c r="AE53" s="420"/>
      <c r="AF53" s="420"/>
      <c r="AG53" s="420"/>
      <c r="AH53" s="420"/>
      <c r="AI53" s="420"/>
      <c r="AJ53" s="420"/>
      <c r="AK53" s="420"/>
      <c r="AL53" s="420"/>
      <c r="AM53" s="420"/>
      <c r="AN53" s="420"/>
      <c r="AO53" s="420"/>
      <c r="AP53" s="420"/>
      <c r="AQ53" s="420"/>
      <c r="AR53" s="420"/>
      <c r="AS53" s="420"/>
      <c r="AT53" s="420"/>
      <c r="AU53" s="420"/>
      <c r="AV53" s="420"/>
      <c r="AW53" s="420"/>
      <c r="AX53" s="420"/>
      <c r="AY53" s="420"/>
      <c r="AZ53" s="422"/>
      <c r="BA53" s="422"/>
      <c r="BB53" s="389"/>
      <c r="BC53" s="390"/>
      <c r="BD53" s="391"/>
      <c r="BE53" s="444"/>
      <c r="BF53" s="444"/>
      <c r="BG53" s="444"/>
      <c r="BH53" s="444"/>
      <c r="BI53" s="444"/>
      <c r="BJ53" s="444"/>
      <c r="BK53" s="444"/>
      <c r="BL53" s="444"/>
      <c r="BM53" s="444"/>
      <c r="BN53" s="444"/>
      <c r="BO53" s="444"/>
      <c r="BP53" s="444"/>
      <c r="BQ53" s="444"/>
      <c r="BR53" s="444"/>
      <c r="BS53" s="444"/>
      <c r="BT53" s="444"/>
    </row>
    <row r="54" spans="1:72" ht="15">
      <c r="A54" s="393"/>
      <c r="B54" s="451"/>
      <c r="C54" s="452"/>
      <c r="D54" s="452"/>
      <c r="E54" s="452"/>
      <c r="F54" s="452"/>
      <c r="G54" s="452"/>
      <c r="H54" s="452"/>
      <c r="I54" s="452"/>
      <c r="J54" s="452"/>
      <c r="K54" s="452"/>
      <c r="L54" s="452"/>
      <c r="M54" s="452"/>
      <c r="N54" s="452"/>
      <c r="O54" s="452"/>
      <c r="P54" s="452"/>
      <c r="Q54" s="452"/>
      <c r="R54" s="452"/>
      <c r="S54" s="453"/>
      <c r="T54" s="453"/>
      <c r="U54" s="453"/>
      <c r="V54" s="453"/>
      <c r="W54" s="452"/>
      <c r="X54" s="452"/>
      <c r="Y54" s="453"/>
      <c r="Z54" s="453"/>
      <c r="AA54" s="452"/>
      <c r="AB54" s="452"/>
      <c r="AC54" s="452"/>
      <c r="AD54" s="453"/>
      <c r="AE54" s="453"/>
      <c r="AF54" s="453"/>
      <c r="AG54" s="453"/>
      <c r="AH54" s="453"/>
      <c r="AI54" s="453"/>
      <c r="AJ54" s="453"/>
      <c r="AK54" s="453"/>
      <c r="AL54" s="453"/>
      <c r="AM54" s="453"/>
      <c r="AN54" s="453"/>
      <c r="AO54" s="453"/>
      <c r="AP54" s="453"/>
      <c r="AQ54" s="453"/>
      <c r="AR54" s="453"/>
      <c r="AS54" s="453"/>
      <c r="AT54" s="453"/>
      <c r="AU54" s="453"/>
      <c r="AV54" s="453"/>
      <c r="AW54" s="453"/>
      <c r="AX54" s="453"/>
      <c r="AY54" s="451"/>
      <c r="AZ54" s="451"/>
      <c r="BA54" s="422"/>
      <c r="BB54" s="454"/>
      <c r="BC54" s="455"/>
      <c r="BD54" s="407"/>
      <c r="BE54" s="444"/>
      <c r="BF54" s="444"/>
      <c r="BG54" s="444"/>
      <c r="BH54" s="444"/>
      <c r="BI54" s="444"/>
      <c r="BJ54" s="444"/>
      <c r="BK54" s="444"/>
      <c r="BL54" s="444"/>
      <c r="BM54" s="444"/>
      <c r="BN54" s="444"/>
      <c r="BO54" s="444"/>
      <c r="BP54" s="444"/>
      <c r="BQ54" s="444"/>
      <c r="BR54" s="444"/>
      <c r="BS54" s="444"/>
      <c r="BT54" s="444"/>
    </row>
    <row r="55" spans="1:72" ht="15">
      <c r="A55" s="408"/>
      <c r="B55" s="448"/>
      <c r="C55" s="449"/>
      <c r="D55" s="449"/>
      <c r="E55" s="449"/>
      <c r="F55" s="449"/>
      <c r="G55" s="449"/>
      <c r="H55" s="449"/>
      <c r="I55" s="449"/>
      <c r="J55" s="449"/>
      <c r="K55" s="449"/>
      <c r="L55" s="449"/>
      <c r="M55" s="449"/>
      <c r="N55" s="449"/>
      <c r="O55" s="449"/>
      <c r="P55" s="449"/>
      <c r="Q55" s="449"/>
      <c r="R55" s="449"/>
      <c r="S55" s="450"/>
      <c r="T55" s="450"/>
      <c r="U55" s="450"/>
      <c r="V55" s="450"/>
      <c r="W55" s="449"/>
      <c r="X55" s="449"/>
      <c r="Y55" s="450"/>
      <c r="Z55" s="450"/>
      <c r="AA55" s="449"/>
      <c r="AB55" s="449"/>
      <c r="AC55" s="449"/>
      <c r="AD55" s="450"/>
      <c r="AE55" s="450"/>
      <c r="AF55" s="450"/>
      <c r="AG55" s="450"/>
      <c r="AH55" s="450"/>
      <c r="AI55" s="450"/>
      <c r="AJ55" s="450"/>
      <c r="AK55" s="450"/>
      <c r="AL55" s="450"/>
      <c r="AM55" s="450"/>
      <c r="AN55" s="450"/>
      <c r="AO55" s="450"/>
      <c r="AP55" s="450"/>
      <c r="AQ55" s="450"/>
      <c r="AR55" s="450"/>
      <c r="AS55" s="450"/>
      <c r="AT55" s="450"/>
      <c r="AU55" s="450"/>
      <c r="AV55" s="450"/>
      <c r="AW55" s="450"/>
      <c r="AX55" s="450"/>
      <c r="AY55" s="448"/>
      <c r="AZ55" s="448"/>
      <c r="BA55" s="430"/>
      <c r="BB55" s="456"/>
      <c r="BC55" s="406"/>
      <c r="BD55" s="407"/>
      <c r="BE55" s="444"/>
      <c r="BF55" s="444"/>
      <c r="BG55" s="444"/>
      <c r="BH55" s="444"/>
      <c r="BI55" s="444"/>
      <c r="BJ55" s="444"/>
      <c r="BK55" s="444"/>
      <c r="BL55" s="444"/>
      <c r="BM55" s="444"/>
      <c r="BN55" s="444"/>
      <c r="BO55" s="444"/>
      <c r="BP55" s="444"/>
      <c r="BQ55" s="444"/>
      <c r="BR55" s="444"/>
      <c r="BS55" s="444"/>
      <c r="BT55" s="444"/>
    </row>
    <row r="56" spans="1:72" ht="15">
      <c r="A56" s="392"/>
      <c r="B56" s="392"/>
      <c r="C56" s="392"/>
      <c r="D56" s="392"/>
      <c r="E56" s="392"/>
      <c r="F56" s="392"/>
      <c r="G56" s="392"/>
      <c r="H56" s="392"/>
      <c r="I56" s="392"/>
      <c r="J56" s="392"/>
      <c r="K56" s="392"/>
      <c r="L56" s="392"/>
      <c r="M56" s="392"/>
      <c r="N56" s="392"/>
      <c r="O56" s="392"/>
      <c r="P56" s="392"/>
      <c r="Q56" s="392"/>
      <c r="R56" s="392"/>
      <c r="S56" s="409"/>
      <c r="T56" s="409"/>
      <c r="U56" s="409"/>
      <c r="V56" s="409"/>
      <c r="W56" s="392"/>
      <c r="X56" s="392"/>
      <c r="Y56" s="409"/>
      <c r="Z56" s="409"/>
      <c r="AA56" s="392"/>
      <c r="AB56" s="392"/>
      <c r="AC56" s="392"/>
      <c r="AD56" s="409"/>
      <c r="AE56" s="409"/>
      <c r="AF56" s="409"/>
      <c r="AG56" s="409"/>
      <c r="AH56" s="409"/>
      <c r="AI56" s="409"/>
      <c r="AJ56" s="409"/>
      <c r="AK56" s="409"/>
      <c r="AL56" s="409"/>
      <c r="AM56" s="409"/>
      <c r="AN56" s="409"/>
      <c r="AO56" s="409"/>
      <c r="AP56" s="409"/>
      <c r="AQ56" s="409"/>
      <c r="AR56" s="409"/>
      <c r="AS56" s="409"/>
      <c r="AT56" s="409"/>
      <c r="AU56" s="409"/>
      <c r="AV56" s="409"/>
      <c r="AW56" s="409"/>
      <c r="AX56" s="409"/>
      <c r="AY56" s="409"/>
      <c r="AZ56" s="409"/>
      <c r="BA56" s="409"/>
      <c r="BB56" s="409"/>
      <c r="BC56" s="409"/>
      <c r="BD56" s="407"/>
      <c r="BE56" s="444"/>
      <c r="BF56" s="444"/>
      <c r="BG56" s="444"/>
      <c r="BH56" s="444"/>
      <c r="BI56" s="444"/>
      <c r="BJ56" s="444"/>
      <c r="BK56" s="444"/>
      <c r="BL56" s="444"/>
      <c r="BM56" s="444"/>
      <c r="BN56" s="444"/>
      <c r="BO56" s="444"/>
      <c r="BP56" s="444"/>
      <c r="BQ56" s="444"/>
      <c r="BR56" s="444"/>
      <c r="BS56" s="444"/>
      <c r="BT56" s="444"/>
    </row>
    <row r="57" spans="1:72" ht="15">
      <c r="A57" s="392"/>
      <c r="B57" s="392"/>
      <c r="C57" s="392"/>
      <c r="D57" s="392"/>
      <c r="E57" s="392"/>
      <c r="F57" s="392"/>
      <c r="G57" s="392"/>
      <c r="H57" s="392"/>
      <c r="I57" s="392"/>
      <c r="J57" s="392"/>
      <c r="K57" s="392"/>
      <c r="L57" s="392"/>
      <c r="M57" s="392"/>
      <c r="N57" s="392"/>
      <c r="O57" s="392"/>
      <c r="P57" s="392"/>
      <c r="Q57" s="392"/>
      <c r="R57" s="392"/>
      <c r="S57" s="409"/>
      <c r="T57" s="409"/>
      <c r="U57" s="409"/>
      <c r="V57" s="409"/>
      <c r="W57" s="392"/>
      <c r="X57" s="392"/>
      <c r="Y57" s="409"/>
      <c r="Z57" s="409"/>
      <c r="AA57" s="392"/>
      <c r="AB57" s="392"/>
      <c r="AC57" s="392"/>
      <c r="AD57" s="409"/>
      <c r="AE57" s="409"/>
      <c r="AF57" s="409"/>
      <c r="AG57" s="409"/>
      <c r="AH57" s="409"/>
      <c r="AI57" s="409"/>
      <c r="AJ57" s="409"/>
      <c r="AK57" s="409"/>
      <c r="AL57" s="409"/>
      <c r="AM57" s="409"/>
      <c r="AN57" s="409"/>
      <c r="AO57" s="409"/>
      <c r="AP57" s="409"/>
      <c r="AQ57" s="409"/>
      <c r="AR57" s="409"/>
      <c r="AS57" s="409"/>
      <c r="AT57" s="409"/>
      <c r="AU57" s="409"/>
      <c r="AV57" s="409"/>
      <c r="AW57" s="409"/>
      <c r="AX57" s="409"/>
      <c r="AY57" s="409"/>
      <c r="AZ57" s="409"/>
      <c r="BA57" s="409"/>
      <c r="BB57" s="409"/>
      <c r="BC57" s="409"/>
      <c r="BD57" s="407"/>
      <c r="BE57" s="444"/>
      <c r="BF57" s="444"/>
      <c r="BG57" s="444"/>
      <c r="BH57" s="444"/>
      <c r="BI57" s="444"/>
      <c r="BJ57" s="444"/>
      <c r="BK57" s="444"/>
      <c r="BL57" s="444"/>
      <c r="BM57" s="444"/>
      <c r="BN57" s="444"/>
      <c r="BO57" s="444"/>
      <c r="BP57" s="444"/>
      <c r="BQ57" s="444"/>
      <c r="BR57" s="444"/>
      <c r="BS57" s="444"/>
      <c r="BT57" s="444"/>
    </row>
    <row r="58" spans="1:72" ht="15">
      <c r="A58" s="392"/>
      <c r="B58" s="392"/>
      <c r="C58" s="392"/>
      <c r="D58" s="392"/>
      <c r="E58" s="392"/>
      <c r="F58" s="392"/>
      <c r="G58" s="392"/>
      <c r="H58" s="392"/>
      <c r="I58" s="392"/>
      <c r="J58" s="392"/>
      <c r="K58" s="392"/>
      <c r="L58" s="392"/>
      <c r="M58" s="392"/>
      <c r="N58" s="392"/>
      <c r="O58" s="392"/>
      <c r="P58" s="392"/>
      <c r="Q58" s="392"/>
      <c r="R58" s="392"/>
      <c r="S58" s="409"/>
      <c r="T58" s="409"/>
      <c r="U58" s="409"/>
      <c r="V58" s="409"/>
      <c r="W58" s="392"/>
      <c r="X58" s="392"/>
      <c r="Y58" s="409"/>
      <c r="Z58" s="409"/>
      <c r="AA58" s="392"/>
      <c r="AB58" s="392"/>
      <c r="AC58" s="392"/>
      <c r="AD58" s="409"/>
      <c r="AE58" s="409"/>
      <c r="AF58" s="409"/>
      <c r="AG58" s="409"/>
      <c r="AH58" s="409"/>
      <c r="AI58" s="409"/>
      <c r="AJ58" s="409"/>
      <c r="AK58" s="409"/>
      <c r="AL58" s="409"/>
      <c r="AM58" s="409"/>
      <c r="AN58" s="409"/>
      <c r="AO58" s="409"/>
      <c r="AP58" s="409"/>
      <c r="AQ58" s="409"/>
      <c r="AR58" s="409"/>
      <c r="AS58" s="409"/>
      <c r="AT58" s="409"/>
      <c r="AU58" s="409"/>
      <c r="AV58" s="409"/>
      <c r="AW58" s="409"/>
      <c r="AX58" s="409"/>
      <c r="AY58" s="409"/>
      <c r="AZ58" s="409"/>
      <c r="BA58" s="409"/>
      <c r="BB58" s="409"/>
      <c r="BC58" s="409"/>
      <c r="BD58" s="407"/>
      <c r="BE58" s="444"/>
      <c r="BF58" s="444"/>
      <c r="BG58" s="444"/>
      <c r="BH58" s="444"/>
      <c r="BI58" s="444"/>
      <c r="BJ58" s="444"/>
      <c r="BK58" s="444"/>
      <c r="BL58" s="444"/>
      <c r="BM58" s="444"/>
      <c r="BN58" s="444"/>
      <c r="BO58" s="444"/>
      <c r="BP58" s="444"/>
      <c r="BQ58" s="444"/>
      <c r="BR58" s="444"/>
      <c r="BS58" s="444"/>
      <c r="BT58" s="444"/>
    </row>
    <row r="59" spans="1:72" ht="15">
      <c r="A59" s="392"/>
      <c r="B59" s="392"/>
      <c r="C59" s="392"/>
      <c r="D59" s="392"/>
      <c r="E59" s="392"/>
      <c r="F59" s="392"/>
      <c r="G59" s="392"/>
      <c r="H59" s="392"/>
      <c r="I59" s="392"/>
      <c r="J59" s="392"/>
      <c r="K59" s="392"/>
      <c r="L59" s="392"/>
      <c r="M59" s="392"/>
      <c r="N59" s="392"/>
      <c r="O59" s="392"/>
      <c r="P59" s="392"/>
      <c r="Q59" s="392"/>
      <c r="R59" s="392"/>
      <c r="S59" s="409"/>
      <c r="T59" s="409"/>
      <c r="U59" s="409"/>
      <c r="V59" s="409"/>
      <c r="W59" s="392"/>
      <c r="X59" s="392"/>
      <c r="Y59" s="409"/>
      <c r="Z59" s="409"/>
      <c r="AA59" s="392"/>
      <c r="AB59" s="392"/>
      <c r="AC59" s="392"/>
      <c r="AD59" s="409"/>
      <c r="AE59" s="409"/>
      <c r="AF59" s="409"/>
      <c r="AG59" s="409"/>
      <c r="AH59" s="409"/>
      <c r="AI59" s="409"/>
      <c r="AJ59" s="409"/>
      <c r="AK59" s="409"/>
      <c r="AL59" s="409"/>
      <c r="AM59" s="409"/>
      <c r="AN59" s="409"/>
      <c r="AO59" s="409"/>
      <c r="AP59" s="409"/>
      <c r="AQ59" s="409"/>
      <c r="AR59" s="409"/>
      <c r="AS59" s="409"/>
      <c r="AT59" s="409"/>
      <c r="AU59" s="409"/>
      <c r="AV59" s="409"/>
      <c r="AW59" s="409"/>
      <c r="AX59" s="409"/>
      <c r="AY59" s="409"/>
      <c r="AZ59" s="409"/>
      <c r="BA59" s="409"/>
      <c r="BB59" s="409"/>
      <c r="BC59" s="409"/>
      <c r="BD59" s="407"/>
      <c r="BE59" s="444"/>
      <c r="BF59" s="444"/>
      <c r="BG59" s="444"/>
      <c r="BH59" s="444"/>
      <c r="BI59" s="444"/>
      <c r="BJ59" s="444"/>
      <c r="BK59" s="444"/>
      <c r="BL59" s="444"/>
      <c r="BM59" s="444"/>
      <c r="BN59" s="444"/>
      <c r="BO59" s="444"/>
      <c r="BP59" s="444"/>
      <c r="BQ59" s="444"/>
      <c r="BR59" s="444"/>
      <c r="BS59" s="444"/>
      <c r="BT59" s="444"/>
    </row>
    <row r="60" spans="1:72" ht="15">
      <c r="A60" s="392"/>
      <c r="B60" s="392"/>
      <c r="C60" s="392"/>
      <c r="D60" s="392"/>
      <c r="E60" s="392"/>
      <c r="F60" s="392"/>
      <c r="G60" s="392"/>
      <c r="H60" s="392"/>
      <c r="I60" s="392"/>
      <c r="J60" s="392"/>
      <c r="K60" s="392"/>
      <c r="L60" s="392"/>
      <c r="M60" s="392"/>
      <c r="N60" s="392"/>
      <c r="O60" s="392"/>
      <c r="P60" s="392"/>
      <c r="Q60" s="392"/>
      <c r="R60" s="392"/>
      <c r="S60" s="409"/>
      <c r="T60" s="409"/>
      <c r="U60" s="409"/>
      <c r="V60" s="409"/>
      <c r="W60" s="392"/>
      <c r="X60" s="392"/>
      <c r="Y60" s="409"/>
      <c r="Z60" s="409"/>
      <c r="AA60" s="392"/>
      <c r="AB60" s="392"/>
      <c r="AC60" s="392"/>
      <c r="AD60" s="409"/>
      <c r="AE60" s="409"/>
      <c r="AF60" s="409"/>
      <c r="AG60" s="409"/>
      <c r="AH60" s="409"/>
      <c r="AI60" s="409"/>
      <c r="AJ60" s="409"/>
      <c r="AK60" s="409"/>
      <c r="AL60" s="409"/>
      <c r="AM60" s="409"/>
      <c r="AN60" s="409"/>
      <c r="AO60" s="409"/>
      <c r="AP60" s="409"/>
      <c r="AQ60" s="409"/>
      <c r="AR60" s="409"/>
      <c r="AS60" s="409"/>
      <c r="AT60" s="409"/>
      <c r="AU60" s="409"/>
      <c r="AV60" s="409"/>
      <c r="AW60" s="409"/>
      <c r="AX60" s="409"/>
      <c r="AY60" s="409"/>
      <c r="AZ60" s="409"/>
      <c r="BA60" s="409"/>
      <c r="BB60" s="409"/>
      <c r="BC60" s="409"/>
      <c r="BD60" s="407"/>
      <c r="BE60" s="444"/>
      <c r="BF60" s="444"/>
      <c r="BG60" s="444"/>
      <c r="BH60" s="444"/>
      <c r="BI60" s="444"/>
      <c r="BJ60" s="444"/>
      <c r="BK60" s="444"/>
      <c r="BL60" s="444"/>
      <c r="BM60" s="444"/>
      <c r="BN60" s="444"/>
      <c r="BO60" s="444"/>
      <c r="BP60" s="444"/>
      <c r="BQ60" s="444"/>
      <c r="BR60" s="444"/>
      <c r="BS60" s="444"/>
      <c r="BT60" s="444"/>
    </row>
    <row r="61" spans="1:72" ht="15">
      <c r="A61" s="392"/>
      <c r="B61" s="392"/>
      <c r="C61" s="392"/>
      <c r="D61" s="392"/>
      <c r="E61" s="392"/>
      <c r="F61" s="392"/>
      <c r="G61" s="392"/>
      <c r="H61" s="392"/>
      <c r="I61" s="392"/>
      <c r="J61" s="392"/>
      <c r="K61" s="392"/>
      <c r="L61" s="392"/>
      <c r="M61" s="392"/>
      <c r="N61" s="392"/>
      <c r="O61" s="392"/>
      <c r="P61" s="392"/>
      <c r="Q61" s="392"/>
      <c r="R61" s="392"/>
      <c r="S61" s="409"/>
      <c r="T61" s="409"/>
      <c r="U61" s="409"/>
      <c r="V61" s="409"/>
      <c r="W61" s="392"/>
      <c r="X61" s="392"/>
      <c r="Y61" s="409"/>
      <c r="Z61" s="409"/>
      <c r="AA61" s="392"/>
      <c r="AB61" s="392"/>
      <c r="AC61" s="392"/>
      <c r="AD61" s="409"/>
      <c r="AE61" s="409"/>
      <c r="AF61" s="409"/>
      <c r="AG61" s="409"/>
      <c r="AH61" s="409"/>
      <c r="AI61" s="409"/>
      <c r="AJ61" s="409"/>
      <c r="AK61" s="409"/>
      <c r="AL61" s="409"/>
      <c r="AM61" s="409"/>
      <c r="AN61" s="409"/>
      <c r="AO61" s="409"/>
      <c r="AP61" s="409"/>
      <c r="AQ61" s="409"/>
      <c r="AR61" s="409"/>
      <c r="AS61" s="409"/>
      <c r="AT61" s="409"/>
      <c r="AU61" s="409"/>
      <c r="AV61" s="409"/>
      <c r="AW61" s="409"/>
      <c r="AX61" s="409"/>
      <c r="AY61" s="409"/>
      <c r="AZ61" s="409"/>
      <c r="BA61" s="409"/>
      <c r="BB61" s="409"/>
      <c r="BC61" s="409"/>
      <c r="BD61" s="407"/>
      <c r="BE61" s="444"/>
      <c r="BF61" s="444"/>
      <c r="BG61" s="444"/>
      <c r="BH61" s="444"/>
      <c r="BI61" s="444"/>
      <c r="BJ61" s="444"/>
      <c r="BK61" s="444"/>
      <c r="BL61" s="444"/>
      <c r="BM61" s="444"/>
      <c r="BN61" s="444"/>
      <c r="BO61" s="444"/>
      <c r="BP61" s="444"/>
      <c r="BQ61" s="444"/>
      <c r="BR61" s="444"/>
      <c r="BS61" s="444"/>
      <c r="BT61" s="444"/>
    </row>
    <row r="62" spans="1:72" ht="15">
      <c r="A62" s="392"/>
      <c r="B62" s="392"/>
      <c r="C62" s="392"/>
      <c r="D62" s="392"/>
      <c r="E62" s="392"/>
      <c r="F62" s="392"/>
      <c r="G62" s="392"/>
      <c r="H62" s="392"/>
      <c r="I62" s="392"/>
      <c r="J62" s="392"/>
      <c r="K62" s="392"/>
      <c r="L62" s="392"/>
      <c r="M62" s="392"/>
      <c r="N62" s="392"/>
      <c r="O62" s="392"/>
      <c r="P62" s="392"/>
      <c r="Q62" s="392"/>
      <c r="R62" s="392"/>
      <c r="S62" s="409"/>
      <c r="T62" s="409"/>
      <c r="U62" s="409"/>
      <c r="V62" s="409"/>
      <c r="W62" s="392"/>
      <c r="X62" s="392"/>
      <c r="Y62" s="409"/>
      <c r="Z62" s="409"/>
      <c r="AA62" s="392"/>
      <c r="AB62" s="392"/>
      <c r="AC62" s="392"/>
      <c r="AD62" s="409"/>
      <c r="AE62" s="409"/>
      <c r="AF62" s="409"/>
      <c r="AG62" s="409"/>
      <c r="AH62" s="409"/>
      <c r="AI62" s="409"/>
      <c r="AJ62" s="409"/>
      <c r="AK62" s="409"/>
      <c r="AL62" s="409"/>
      <c r="AM62" s="409"/>
      <c r="AN62" s="409"/>
      <c r="AO62" s="409"/>
      <c r="AP62" s="409"/>
      <c r="AQ62" s="409"/>
      <c r="AR62" s="409"/>
      <c r="AS62" s="409"/>
      <c r="AT62" s="409"/>
      <c r="AU62" s="409"/>
      <c r="AV62" s="409"/>
      <c r="AW62" s="409"/>
      <c r="AX62" s="409"/>
      <c r="AY62" s="409"/>
      <c r="AZ62" s="409"/>
      <c r="BA62" s="409"/>
      <c r="BB62" s="409"/>
      <c r="BC62" s="409"/>
      <c r="BD62" s="407"/>
      <c r="BE62" s="444"/>
      <c r="BF62" s="444"/>
      <c r="BG62" s="444"/>
      <c r="BH62" s="444"/>
      <c r="BI62" s="444"/>
      <c r="BJ62" s="444"/>
      <c r="BK62" s="444"/>
      <c r="BL62" s="444"/>
      <c r="BM62" s="444"/>
      <c r="BN62" s="444"/>
      <c r="BO62" s="444"/>
      <c r="BP62" s="444"/>
      <c r="BQ62" s="444"/>
      <c r="BR62" s="444"/>
      <c r="BS62" s="444"/>
      <c r="BT62" s="444"/>
    </row>
    <row r="63" spans="1:72" ht="15">
      <c r="A63" s="392"/>
      <c r="B63" s="392"/>
      <c r="C63" s="392"/>
      <c r="D63" s="392"/>
      <c r="E63" s="392"/>
      <c r="F63" s="392"/>
      <c r="G63" s="392"/>
      <c r="H63" s="392"/>
      <c r="I63" s="392"/>
      <c r="J63" s="392"/>
      <c r="K63" s="392"/>
      <c r="L63" s="392"/>
      <c r="M63" s="392"/>
      <c r="N63" s="392"/>
      <c r="O63" s="392"/>
      <c r="P63" s="392"/>
      <c r="Q63" s="392"/>
      <c r="R63" s="392"/>
      <c r="S63" s="409"/>
      <c r="T63" s="409"/>
      <c r="U63" s="409"/>
      <c r="V63" s="409"/>
      <c r="W63" s="392"/>
      <c r="X63" s="392"/>
      <c r="Y63" s="409"/>
      <c r="Z63" s="409"/>
      <c r="AA63" s="392"/>
      <c r="AB63" s="392"/>
      <c r="AC63" s="392"/>
      <c r="AD63" s="409"/>
      <c r="AE63" s="409"/>
      <c r="AF63" s="409"/>
      <c r="AG63" s="409"/>
      <c r="AH63" s="409"/>
      <c r="AI63" s="409"/>
      <c r="AJ63" s="409"/>
      <c r="AK63" s="409"/>
      <c r="AL63" s="409"/>
      <c r="AM63" s="409"/>
      <c r="AN63" s="409"/>
      <c r="AO63" s="409"/>
      <c r="AP63" s="409"/>
      <c r="AQ63" s="409"/>
      <c r="AR63" s="409"/>
      <c r="AS63" s="409"/>
      <c r="AT63" s="409"/>
      <c r="AU63" s="409"/>
      <c r="AV63" s="409"/>
      <c r="AW63" s="409"/>
      <c r="AX63" s="409"/>
      <c r="AY63" s="409"/>
      <c r="AZ63" s="409"/>
      <c r="BA63" s="409"/>
      <c r="BB63" s="409"/>
      <c r="BC63" s="409"/>
      <c r="BD63" s="407"/>
      <c r="BE63" s="444"/>
      <c r="BF63" s="444"/>
      <c r="BG63" s="444"/>
      <c r="BH63" s="444"/>
      <c r="BI63" s="444"/>
      <c r="BJ63" s="444"/>
      <c r="BK63" s="444"/>
      <c r="BL63" s="444"/>
      <c r="BM63" s="444"/>
      <c r="BN63" s="444"/>
      <c r="BO63" s="444"/>
      <c r="BP63" s="444"/>
      <c r="BQ63" s="444"/>
      <c r="BR63" s="444"/>
      <c r="BS63" s="444"/>
      <c r="BT63" s="444"/>
    </row>
    <row r="64" spans="1:72" ht="15">
      <c r="A64" s="392"/>
      <c r="B64" s="392"/>
      <c r="C64" s="392"/>
      <c r="D64" s="392"/>
      <c r="E64" s="392"/>
      <c r="F64" s="392"/>
      <c r="G64" s="392"/>
      <c r="H64" s="392"/>
      <c r="I64" s="392"/>
      <c r="J64" s="392"/>
      <c r="K64" s="392"/>
      <c r="L64" s="392"/>
      <c r="M64" s="392"/>
      <c r="N64" s="392"/>
      <c r="O64" s="392"/>
      <c r="P64" s="392"/>
      <c r="Q64" s="392"/>
      <c r="R64" s="392"/>
      <c r="S64" s="409"/>
      <c r="T64" s="409"/>
      <c r="U64" s="409"/>
      <c r="V64" s="409"/>
      <c r="W64" s="392"/>
      <c r="X64" s="392"/>
      <c r="Y64" s="409"/>
      <c r="Z64" s="409"/>
      <c r="AA64" s="392"/>
      <c r="AB64" s="392"/>
      <c r="AC64" s="392"/>
      <c r="AD64" s="409"/>
      <c r="AE64" s="409"/>
      <c r="AF64" s="409"/>
      <c r="AG64" s="409"/>
      <c r="AH64" s="409"/>
      <c r="AI64" s="409"/>
      <c r="AJ64" s="409"/>
      <c r="AK64" s="409"/>
      <c r="AL64" s="409"/>
      <c r="AM64" s="409"/>
      <c r="AN64" s="409"/>
      <c r="AO64" s="409"/>
      <c r="AP64" s="409"/>
      <c r="AQ64" s="409"/>
      <c r="AR64" s="409"/>
      <c r="AS64" s="409"/>
      <c r="AT64" s="409"/>
      <c r="AU64" s="409"/>
      <c r="AV64" s="409"/>
      <c r="AW64" s="409"/>
      <c r="AX64" s="409"/>
      <c r="AY64" s="409"/>
      <c r="AZ64" s="409"/>
      <c r="BA64" s="409"/>
      <c r="BB64" s="409"/>
      <c r="BC64" s="409"/>
      <c r="BD64" s="407"/>
      <c r="BE64" s="444"/>
      <c r="BF64" s="444"/>
      <c r="BG64" s="444"/>
      <c r="BH64" s="444"/>
      <c r="BI64" s="444"/>
      <c r="BJ64" s="444"/>
      <c r="BK64" s="444"/>
      <c r="BL64" s="444"/>
      <c r="BM64" s="444"/>
      <c r="BN64" s="444"/>
      <c r="BO64" s="444"/>
      <c r="BP64" s="444"/>
      <c r="BQ64" s="444"/>
      <c r="BR64" s="444"/>
      <c r="BS64" s="444"/>
      <c r="BT64" s="444"/>
    </row>
    <row r="65" spans="1:72" ht="15">
      <c r="A65" s="392"/>
      <c r="B65" s="392"/>
      <c r="C65" s="392"/>
      <c r="D65" s="392"/>
      <c r="E65" s="392"/>
      <c r="F65" s="392"/>
      <c r="G65" s="392"/>
      <c r="H65" s="392"/>
      <c r="I65" s="392"/>
      <c r="J65" s="392"/>
      <c r="K65" s="392"/>
      <c r="L65" s="392"/>
      <c r="M65" s="392"/>
      <c r="N65" s="392"/>
      <c r="O65" s="392"/>
      <c r="P65" s="392"/>
      <c r="Q65" s="392"/>
      <c r="R65" s="392"/>
      <c r="S65" s="409"/>
      <c r="T65" s="409"/>
      <c r="U65" s="409"/>
      <c r="V65" s="409"/>
      <c r="W65" s="392"/>
      <c r="X65" s="392"/>
      <c r="Y65" s="409"/>
      <c r="Z65" s="409"/>
      <c r="AA65" s="392"/>
      <c r="AB65" s="392"/>
      <c r="AC65" s="392"/>
      <c r="AD65" s="409"/>
      <c r="AE65" s="409"/>
      <c r="AF65" s="409"/>
      <c r="AG65" s="409"/>
      <c r="AH65" s="409"/>
      <c r="AI65" s="409"/>
      <c r="AJ65" s="409"/>
      <c r="AK65" s="409"/>
      <c r="AL65" s="409"/>
      <c r="AM65" s="409"/>
      <c r="AN65" s="409"/>
      <c r="AO65" s="409"/>
      <c r="AP65" s="409"/>
      <c r="AQ65" s="409"/>
      <c r="AR65" s="409"/>
      <c r="AS65" s="409"/>
      <c r="AT65" s="409"/>
      <c r="AU65" s="409"/>
      <c r="AV65" s="409"/>
      <c r="AW65" s="409"/>
      <c r="AX65" s="409"/>
      <c r="AY65" s="409"/>
      <c r="AZ65" s="409"/>
      <c r="BA65" s="409"/>
      <c r="BB65" s="409"/>
      <c r="BC65" s="409"/>
      <c r="BD65" s="407"/>
      <c r="BE65" s="444"/>
      <c r="BF65" s="444"/>
      <c r="BG65" s="444"/>
      <c r="BH65" s="444"/>
      <c r="BI65" s="444"/>
      <c r="BJ65" s="444"/>
      <c r="BK65" s="444"/>
      <c r="BL65" s="444"/>
      <c r="BM65" s="444"/>
      <c r="BN65" s="444"/>
      <c r="BO65" s="444"/>
      <c r="BP65" s="444"/>
      <c r="BQ65" s="444"/>
      <c r="BR65" s="444"/>
      <c r="BS65" s="444"/>
      <c r="BT65" s="444"/>
    </row>
    <row r="66" spans="1:72" ht="15">
      <c r="A66" s="392"/>
      <c r="B66" s="392"/>
      <c r="C66" s="392"/>
      <c r="D66" s="392"/>
      <c r="E66" s="392"/>
      <c r="F66" s="392"/>
      <c r="G66" s="392"/>
      <c r="H66" s="392"/>
      <c r="I66" s="392"/>
      <c r="J66" s="392"/>
      <c r="K66" s="392"/>
      <c r="L66" s="392"/>
      <c r="M66" s="392"/>
      <c r="N66" s="392"/>
      <c r="O66" s="392"/>
      <c r="P66" s="392"/>
      <c r="Q66" s="392"/>
      <c r="R66" s="392"/>
      <c r="S66" s="409"/>
      <c r="T66" s="409"/>
      <c r="U66" s="409"/>
      <c r="V66" s="409"/>
      <c r="W66" s="392"/>
      <c r="X66" s="392"/>
      <c r="Y66" s="409"/>
      <c r="Z66" s="409"/>
      <c r="AA66" s="392"/>
      <c r="AB66" s="392"/>
      <c r="AC66" s="392"/>
      <c r="AD66" s="409"/>
      <c r="AE66" s="409"/>
      <c r="AF66" s="409"/>
      <c r="AG66" s="409"/>
      <c r="AH66" s="409"/>
      <c r="AI66" s="409"/>
      <c r="AJ66" s="409"/>
      <c r="AK66" s="409"/>
      <c r="AL66" s="409"/>
      <c r="AM66" s="409"/>
      <c r="AN66" s="409"/>
      <c r="AO66" s="409"/>
      <c r="AP66" s="409"/>
      <c r="AQ66" s="409"/>
      <c r="AR66" s="409"/>
      <c r="AS66" s="409"/>
      <c r="AT66" s="409"/>
      <c r="AU66" s="409"/>
      <c r="AV66" s="409"/>
      <c r="AW66" s="409"/>
      <c r="AX66" s="409"/>
      <c r="AY66" s="409"/>
      <c r="AZ66" s="409"/>
      <c r="BA66" s="409"/>
      <c r="BB66" s="409"/>
      <c r="BC66" s="409"/>
      <c r="BD66" s="407"/>
      <c r="BE66" s="444"/>
      <c r="BF66" s="444"/>
      <c r="BG66" s="444"/>
      <c r="BH66" s="444"/>
      <c r="BI66" s="444"/>
      <c r="BJ66" s="444"/>
      <c r="BK66" s="444"/>
      <c r="BL66" s="444"/>
      <c r="BM66" s="444"/>
      <c r="BN66" s="444"/>
      <c r="BO66" s="444"/>
      <c r="BP66" s="444"/>
      <c r="BQ66" s="444"/>
      <c r="BR66" s="444"/>
      <c r="BS66" s="444"/>
      <c r="BT66" s="444"/>
    </row>
    <row r="67" spans="1:72" ht="15">
      <c r="A67" s="392"/>
      <c r="B67" s="392"/>
      <c r="C67" s="392"/>
      <c r="D67" s="392"/>
      <c r="E67" s="392"/>
      <c r="F67" s="392"/>
      <c r="G67" s="392"/>
      <c r="H67" s="392"/>
      <c r="I67" s="392"/>
      <c r="J67" s="392"/>
      <c r="K67" s="392"/>
      <c r="L67" s="392"/>
      <c r="M67" s="392"/>
      <c r="N67" s="392"/>
      <c r="O67" s="392"/>
      <c r="P67" s="392"/>
      <c r="Q67" s="392"/>
      <c r="R67" s="392"/>
      <c r="S67" s="409"/>
      <c r="T67" s="409"/>
      <c r="U67" s="409"/>
      <c r="V67" s="409"/>
      <c r="W67" s="392"/>
      <c r="X67" s="392"/>
      <c r="Y67" s="409"/>
      <c r="Z67" s="409"/>
      <c r="AA67" s="392"/>
      <c r="AB67" s="392"/>
      <c r="AC67" s="392"/>
      <c r="AD67" s="409"/>
      <c r="AE67" s="409"/>
      <c r="AF67" s="409"/>
      <c r="AG67" s="409"/>
      <c r="AH67" s="409"/>
      <c r="AI67" s="409"/>
      <c r="AJ67" s="409"/>
      <c r="AK67" s="409"/>
      <c r="AL67" s="409"/>
      <c r="AM67" s="409"/>
      <c r="AN67" s="409"/>
      <c r="AO67" s="409"/>
      <c r="AP67" s="409"/>
      <c r="AQ67" s="409"/>
      <c r="AR67" s="409"/>
      <c r="AS67" s="409"/>
      <c r="AT67" s="409"/>
      <c r="AU67" s="409"/>
      <c r="AV67" s="409"/>
      <c r="AW67" s="409"/>
      <c r="AX67" s="409"/>
      <c r="AY67" s="409"/>
      <c r="AZ67" s="409"/>
      <c r="BA67" s="409"/>
      <c r="BB67" s="409"/>
      <c r="BC67" s="409"/>
      <c r="BD67" s="407"/>
      <c r="BE67" s="444"/>
      <c r="BF67" s="444"/>
      <c r="BG67" s="444"/>
      <c r="BH67" s="444"/>
      <c r="BI67" s="444"/>
      <c r="BJ67" s="444"/>
      <c r="BK67" s="444"/>
      <c r="BL67" s="444"/>
      <c r="BM67" s="444"/>
      <c r="BN67" s="444"/>
      <c r="BO67" s="444"/>
      <c r="BP67" s="444"/>
      <c r="BQ67" s="444"/>
      <c r="BR67" s="444"/>
      <c r="BS67" s="444"/>
      <c r="BT67" s="444"/>
    </row>
    <row r="68" spans="1:72" ht="15">
      <c r="A68" s="392"/>
      <c r="B68" s="392"/>
      <c r="C68" s="392"/>
      <c r="D68" s="392"/>
      <c r="E68" s="392"/>
      <c r="F68" s="392"/>
      <c r="G68" s="392"/>
      <c r="H68" s="392"/>
      <c r="I68" s="392"/>
      <c r="J68" s="392"/>
      <c r="K68" s="392"/>
      <c r="L68" s="392"/>
      <c r="M68" s="392"/>
      <c r="N68" s="392"/>
      <c r="O68" s="392"/>
      <c r="P68" s="392"/>
      <c r="Q68" s="392"/>
      <c r="R68" s="392"/>
      <c r="S68" s="409"/>
      <c r="T68" s="409"/>
      <c r="U68" s="409"/>
      <c r="V68" s="409"/>
      <c r="W68" s="392"/>
      <c r="X68" s="392"/>
      <c r="Y68" s="409"/>
      <c r="Z68" s="409"/>
      <c r="AA68" s="392"/>
      <c r="AB68" s="392"/>
      <c r="AC68" s="392"/>
      <c r="AD68" s="409"/>
      <c r="AE68" s="409"/>
      <c r="AF68" s="409"/>
      <c r="AG68" s="409"/>
      <c r="AH68" s="409"/>
      <c r="AI68" s="409"/>
      <c r="AJ68" s="409"/>
      <c r="AK68" s="409"/>
      <c r="AL68" s="409"/>
      <c r="AM68" s="409"/>
      <c r="AN68" s="409"/>
      <c r="AO68" s="409"/>
      <c r="AP68" s="409"/>
      <c r="AQ68" s="409"/>
      <c r="AR68" s="409"/>
      <c r="AS68" s="409"/>
      <c r="AT68" s="409"/>
      <c r="AU68" s="409"/>
      <c r="AV68" s="409"/>
      <c r="AW68" s="409"/>
      <c r="AX68" s="409"/>
      <c r="AY68" s="409"/>
      <c r="AZ68" s="409"/>
      <c r="BA68" s="409"/>
      <c r="BB68" s="409"/>
      <c r="BC68" s="409"/>
      <c r="BD68" s="407"/>
      <c r="BE68" s="444"/>
      <c r="BF68" s="444"/>
      <c r="BG68" s="444"/>
      <c r="BH68" s="444"/>
      <c r="BI68" s="444"/>
      <c r="BJ68" s="444"/>
      <c r="BK68" s="444"/>
      <c r="BL68" s="444"/>
      <c r="BM68" s="444"/>
      <c r="BN68" s="444"/>
      <c r="BO68" s="444"/>
      <c r="BP68" s="444"/>
      <c r="BQ68" s="444"/>
      <c r="BR68" s="444"/>
      <c r="BS68" s="444"/>
      <c r="BT68" s="444"/>
    </row>
    <row r="69" spans="1:72" ht="15">
      <c r="A69" s="392"/>
      <c r="B69" s="392"/>
      <c r="C69" s="392"/>
      <c r="D69" s="392"/>
      <c r="E69" s="392"/>
      <c r="F69" s="392"/>
      <c r="G69" s="392"/>
      <c r="H69" s="392"/>
      <c r="I69" s="392"/>
      <c r="J69" s="392"/>
      <c r="K69" s="392"/>
      <c r="L69" s="392"/>
      <c r="M69" s="392"/>
      <c r="N69" s="392"/>
      <c r="O69" s="392"/>
      <c r="P69" s="392"/>
      <c r="Q69" s="392"/>
      <c r="R69" s="392"/>
      <c r="S69" s="409"/>
      <c r="T69" s="409"/>
      <c r="U69" s="409"/>
      <c r="V69" s="409"/>
      <c r="W69" s="392"/>
      <c r="X69" s="392"/>
      <c r="Y69" s="409"/>
      <c r="Z69" s="409"/>
      <c r="AA69" s="392"/>
      <c r="AB69" s="392"/>
      <c r="AC69" s="392"/>
      <c r="AD69" s="409"/>
      <c r="AE69" s="409"/>
      <c r="AF69" s="409"/>
      <c r="AG69" s="409"/>
      <c r="AH69" s="409"/>
      <c r="AI69" s="409"/>
      <c r="AJ69" s="409"/>
      <c r="AK69" s="409"/>
      <c r="AL69" s="409"/>
      <c r="AM69" s="409"/>
      <c r="AN69" s="409"/>
      <c r="AO69" s="409"/>
      <c r="AP69" s="409"/>
      <c r="AQ69" s="409"/>
      <c r="AR69" s="409"/>
      <c r="AS69" s="409"/>
      <c r="AT69" s="409"/>
      <c r="AU69" s="409"/>
      <c r="AV69" s="409"/>
      <c r="AW69" s="409"/>
      <c r="AX69" s="409"/>
      <c r="AY69" s="409"/>
      <c r="AZ69" s="409"/>
      <c r="BA69" s="409"/>
      <c r="BB69" s="409"/>
      <c r="BC69" s="409"/>
      <c r="BD69" s="407"/>
      <c r="BE69" s="444"/>
      <c r="BF69" s="444"/>
      <c r="BG69" s="444"/>
      <c r="BH69" s="444"/>
      <c r="BI69" s="444"/>
      <c r="BJ69" s="444"/>
      <c r="BK69" s="444"/>
      <c r="BL69" s="444"/>
      <c r="BM69" s="444"/>
      <c r="BN69" s="444"/>
      <c r="BO69" s="444"/>
      <c r="BP69" s="444"/>
      <c r="BQ69" s="444"/>
      <c r="BR69" s="444"/>
      <c r="BS69" s="444"/>
      <c r="BT69" s="444"/>
    </row>
    <row r="70" spans="1:72" ht="15">
      <c r="A70" s="392"/>
      <c r="B70" s="392"/>
      <c r="C70" s="392"/>
      <c r="D70" s="392"/>
      <c r="E70" s="392"/>
      <c r="F70" s="392"/>
      <c r="G70" s="392"/>
      <c r="H70" s="392"/>
      <c r="I70" s="392"/>
      <c r="J70" s="392"/>
      <c r="K70" s="392"/>
      <c r="L70" s="392"/>
      <c r="M70" s="392"/>
      <c r="N70" s="392"/>
      <c r="O70" s="392"/>
      <c r="P70" s="392"/>
      <c r="Q70" s="392"/>
      <c r="R70" s="392"/>
      <c r="S70" s="409"/>
      <c r="T70" s="409"/>
      <c r="U70" s="409"/>
      <c r="V70" s="409"/>
      <c r="W70" s="392"/>
      <c r="X70" s="392"/>
      <c r="Y70" s="409"/>
      <c r="Z70" s="409"/>
      <c r="AA70" s="392"/>
      <c r="AB70" s="392"/>
      <c r="AC70" s="392"/>
      <c r="AD70" s="409"/>
      <c r="AE70" s="409"/>
      <c r="AF70" s="409"/>
      <c r="AG70" s="409"/>
      <c r="AH70" s="409"/>
      <c r="AI70" s="409"/>
      <c r="AJ70" s="409"/>
      <c r="AK70" s="409"/>
      <c r="AL70" s="409"/>
      <c r="AM70" s="409"/>
      <c r="AN70" s="409"/>
      <c r="AO70" s="409"/>
      <c r="AP70" s="409"/>
      <c r="AQ70" s="409"/>
      <c r="AR70" s="409"/>
      <c r="AS70" s="409"/>
      <c r="AT70" s="409"/>
      <c r="AU70" s="409"/>
      <c r="AV70" s="409"/>
      <c r="AW70" s="409"/>
      <c r="AX70" s="409"/>
      <c r="AY70" s="409"/>
      <c r="AZ70" s="409"/>
      <c r="BA70" s="409"/>
      <c r="BB70" s="409"/>
      <c r="BC70" s="409"/>
      <c r="BD70" s="407"/>
      <c r="BE70" s="444"/>
      <c r="BF70" s="444"/>
      <c r="BG70" s="444"/>
      <c r="BH70" s="444"/>
      <c r="BI70" s="444"/>
      <c r="BJ70" s="444"/>
      <c r="BK70" s="444"/>
      <c r="BL70" s="444"/>
      <c r="BM70" s="444"/>
      <c r="BN70" s="444"/>
      <c r="BO70" s="444"/>
      <c r="BP70" s="444"/>
      <c r="BQ70" s="444"/>
      <c r="BR70" s="444"/>
      <c r="BS70" s="444"/>
      <c r="BT70" s="444"/>
    </row>
    <row r="71" spans="1:72" ht="15">
      <c r="A71" s="392"/>
      <c r="B71" s="392"/>
      <c r="C71" s="392"/>
      <c r="D71" s="392"/>
      <c r="E71" s="392"/>
      <c r="F71" s="392"/>
      <c r="G71" s="392"/>
      <c r="H71" s="392"/>
      <c r="I71" s="392"/>
      <c r="J71" s="392"/>
      <c r="K71" s="392"/>
      <c r="L71" s="392"/>
      <c r="M71" s="392"/>
      <c r="N71" s="392"/>
      <c r="O71" s="392"/>
      <c r="P71" s="392"/>
      <c r="Q71" s="392"/>
      <c r="R71" s="392"/>
      <c r="S71" s="409"/>
      <c r="T71" s="409"/>
      <c r="U71" s="409"/>
      <c r="V71" s="409"/>
      <c r="W71" s="392"/>
      <c r="X71" s="392"/>
      <c r="Y71" s="409"/>
      <c r="Z71" s="409"/>
      <c r="AA71" s="392"/>
      <c r="AB71" s="392"/>
      <c r="AC71" s="392"/>
      <c r="AD71" s="409"/>
      <c r="AE71" s="409"/>
      <c r="AF71" s="409"/>
      <c r="AG71" s="409"/>
      <c r="AH71" s="409"/>
      <c r="AI71" s="409"/>
      <c r="AJ71" s="409"/>
      <c r="AK71" s="409"/>
      <c r="AL71" s="409"/>
      <c r="AM71" s="409"/>
      <c r="AN71" s="409"/>
      <c r="AO71" s="409"/>
      <c r="AP71" s="409"/>
      <c r="AQ71" s="409"/>
      <c r="AR71" s="409"/>
      <c r="AS71" s="409"/>
      <c r="AT71" s="409"/>
      <c r="AU71" s="409"/>
      <c r="AV71" s="409"/>
      <c r="AW71" s="409"/>
      <c r="AX71" s="409"/>
      <c r="AY71" s="409"/>
      <c r="AZ71" s="409"/>
      <c r="BA71" s="409"/>
      <c r="BB71" s="409"/>
      <c r="BC71" s="409"/>
      <c r="BD71" s="407"/>
      <c r="BE71" s="444"/>
      <c r="BF71" s="444"/>
      <c r="BG71" s="444"/>
      <c r="BH71" s="444"/>
      <c r="BI71" s="444"/>
      <c r="BJ71" s="444"/>
      <c r="BK71" s="444"/>
      <c r="BL71" s="444"/>
      <c r="BM71" s="444"/>
      <c r="BN71" s="444"/>
      <c r="BO71" s="444"/>
      <c r="BP71" s="444"/>
      <c r="BQ71" s="444"/>
      <c r="BR71" s="444"/>
      <c r="BS71" s="444"/>
      <c r="BT71" s="444"/>
    </row>
    <row r="72" spans="1:72" ht="15">
      <c r="A72" s="392"/>
      <c r="B72" s="392"/>
      <c r="C72" s="392"/>
      <c r="D72" s="392"/>
      <c r="E72" s="392"/>
      <c r="F72" s="392"/>
      <c r="G72" s="392"/>
      <c r="H72" s="392"/>
      <c r="I72" s="392"/>
      <c r="J72" s="392"/>
      <c r="K72" s="392"/>
      <c r="L72" s="392"/>
      <c r="M72" s="392"/>
      <c r="N72" s="392"/>
      <c r="O72" s="392"/>
      <c r="P72" s="392"/>
      <c r="Q72" s="392"/>
      <c r="R72" s="392"/>
      <c r="S72" s="409"/>
      <c r="T72" s="409"/>
      <c r="U72" s="409"/>
      <c r="V72" s="409"/>
      <c r="W72" s="392"/>
      <c r="X72" s="392"/>
      <c r="Y72" s="409"/>
      <c r="Z72" s="409"/>
      <c r="AA72" s="392"/>
      <c r="AB72" s="392"/>
      <c r="AC72" s="392"/>
      <c r="AD72" s="409"/>
      <c r="AE72" s="409"/>
      <c r="AF72" s="409"/>
      <c r="AG72" s="409"/>
      <c r="AH72" s="409"/>
      <c r="AI72" s="409"/>
      <c r="AJ72" s="409"/>
      <c r="AK72" s="409"/>
      <c r="AL72" s="409"/>
      <c r="AM72" s="409"/>
      <c r="AN72" s="409"/>
      <c r="AO72" s="409"/>
      <c r="AP72" s="409"/>
      <c r="AQ72" s="409"/>
      <c r="AR72" s="409"/>
      <c r="AS72" s="409"/>
      <c r="AT72" s="409"/>
      <c r="AU72" s="409"/>
      <c r="AV72" s="409"/>
      <c r="AW72" s="409"/>
      <c r="AX72" s="409"/>
      <c r="AY72" s="409"/>
      <c r="AZ72" s="409"/>
      <c r="BA72" s="409"/>
      <c r="BB72" s="409"/>
      <c r="BC72" s="409"/>
      <c r="BD72" s="407"/>
      <c r="BE72" s="444"/>
      <c r="BF72" s="444"/>
      <c r="BG72" s="444"/>
      <c r="BH72" s="444"/>
      <c r="BI72" s="444"/>
      <c r="BJ72" s="444"/>
      <c r="BK72" s="444"/>
      <c r="BL72" s="444"/>
      <c r="BM72" s="444"/>
      <c r="BN72" s="444"/>
      <c r="BO72" s="444"/>
      <c r="BP72" s="444"/>
      <c r="BQ72" s="444"/>
      <c r="BR72" s="444"/>
      <c r="BS72" s="444"/>
      <c r="BT72" s="444"/>
    </row>
    <row r="73" spans="1:72" ht="15">
      <c r="A73" s="392"/>
      <c r="B73" s="392"/>
      <c r="C73" s="392"/>
      <c r="D73" s="392"/>
      <c r="E73" s="392"/>
      <c r="F73" s="392"/>
      <c r="G73" s="392"/>
      <c r="H73" s="392"/>
      <c r="I73" s="392"/>
      <c r="J73" s="392"/>
      <c r="K73" s="392"/>
      <c r="L73" s="392"/>
      <c r="M73" s="392"/>
      <c r="N73" s="392"/>
      <c r="O73" s="392"/>
      <c r="P73" s="392"/>
      <c r="Q73" s="392"/>
      <c r="R73" s="392"/>
      <c r="S73" s="409"/>
      <c r="T73" s="409"/>
      <c r="U73" s="409"/>
      <c r="V73" s="409"/>
      <c r="W73" s="392"/>
      <c r="X73" s="392"/>
      <c r="Y73" s="409"/>
      <c r="Z73" s="409"/>
      <c r="AA73" s="392"/>
      <c r="AB73" s="392"/>
      <c r="AC73" s="392"/>
      <c r="AD73" s="409"/>
      <c r="AE73" s="409"/>
      <c r="AF73" s="409"/>
      <c r="AG73" s="409"/>
      <c r="AH73" s="409"/>
      <c r="AI73" s="409"/>
      <c r="AJ73" s="409"/>
      <c r="AK73" s="409"/>
      <c r="AL73" s="409"/>
      <c r="AM73" s="409"/>
      <c r="AN73" s="409"/>
      <c r="AO73" s="409"/>
      <c r="AP73" s="409"/>
      <c r="AQ73" s="409"/>
      <c r="AR73" s="409"/>
      <c r="AS73" s="409"/>
      <c r="AT73" s="409"/>
      <c r="AU73" s="409"/>
      <c r="AV73" s="409"/>
      <c r="AW73" s="409"/>
      <c r="AX73" s="409"/>
      <c r="AY73" s="409"/>
      <c r="AZ73" s="409"/>
      <c r="BA73" s="409"/>
      <c r="BB73" s="409"/>
      <c r="BC73" s="409"/>
      <c r="BD73" s="407"/>
      <c r="BE73" s="444"/>
      <c r="BF73" s="444"/>
      <c r="BG73" s="444"/>
      <c r="BH73" s="444"/>
      <c r="BI73" s="444"/>
      <c r="BJ73" s="444"/>
      <c r="BK73" s="444"/>
      <c r="BL73" s="444"/>
      <c r="BM73" s="444"/>
      <c r="BN73" s="444"/>
      <c r="BO73" s="444"/>
      <c r="BP73" s="444"/>
      <c r="BQ73" s="444"/>
      <c r="BR73" s="444"/>
      <c r="BS73" s="444"/>
      <c r="BT73" s="444"/>
    </row>
    <row r="74" spans="1:72" ht="15">
      <c r="A74" s="392"/>
      <c r="B74" s="392"/>
      <c r="C74" s="392"/>
      <c r="D74" s="392"/>
      <c r="E74" s="392"/>
      <c r="F74" s="392"/>
      <c r="G74" s="392"/>
      <c r="H74" s="392"/>
      <c r="I74" s="392"/>
      <c r="J74" s="392"/>
      <c r="K74" s="392"/>
      <c r="L74" s="392"/>
      <c r="M74" s="392"/>
      <c r="N74" s="392"/>
      <c r="O74" s="392"/>
      <c r="P74" s="392"/>
      <c r="Q74" s="392"/>
      <c r="R74" s="392"/>
      <c r="S74" s="409"/>
      <c r="T74" s="409"/>
      <c r="U74" s="409"/>
      <c r="V74" s="409"/>
      <c r="W74" s="392"/>
      <c r="X74" s="392"/>
      <c r="Y74" s="409"/>
      <c r="Z74" s="409"/>
      <c r="AA74" s="392"/>
      <c r="AB74" s="392"/>
      <c r="AC74" s="392"/>
      <c r="AD74" s="409"/>
      <c r="AE74" s="409"/>
      <c r="AF74" s="409"/>
      <c r="AG74" s="409"/>
      <c r="AH74" s="409"/>
      <c r="AI74" s="409"/>
      <c r="AJ74" s="409"/>
      <c r="AK74" s="409"/>
      <c r="AL74" s="409"/>
      <c r="AM74" s="409"/>
      <c r="AN74" s="409"/>
      <c r="AO74" s="409"/>
      <c r="AP74" s="409"/>
      <c r="AQ74" s="409"/>
      <c r="AR74" s="409"/>
      <c r="AS74" s="409"/>
      <c r="AT74" s="409"/>
      <c r="AU74" s="409"/>
      <c r="AV74" s="409"/>
      <c r="AW74" s="409"/>
      <c r="AX74" s="409"/>
      <c r="AY74" s="409"/>
      <c r="AZ74" s="409"/>
      <c r="BA74" s="409"/>
      <c r="BB74" s="409"/>
      <c r="BC74" s="409"/>
      <c r="BD74" s="407"/>
      <c r="BE74" s="444"/>
      <c r="BF74" s="444"/>
      <c r="BG74" s="444"/>
      <c r="BH74" s="444"/>
      <c r="BI74" s="444"/>
      <c r="BJ74" s="444"/>
      <c r="BK74" s="444"/>
      <c r="BL74" s="444"/>
      <c r="BM74" s="444"/>
      <c r="BN74" s="444"/>
      <c r="BO74" s="444"/>
      <c r="BP74" s="444"/>
      <c r="BQ74" s="444"/>
      <c r="BR74" s="444"/>
      <c r="BS74" s="444"/>
      <c r="BT74" s="444"/>
    </row>
    <row r="75" spans="1:72" ht="15">
      <c r="A75" s="392"/>
      <c r="B75" s="392"/>
      <c r="C75" s="392"/>
      <c r="D75" s="392"/>
      <c r="E75" s="392"/>
      <c r="F75" s="392"/>
      <c r="G75" s="392"/>
      <c r="H75" s="392"/>
      <c r="I75" s="392"/>
      <c r="J75" s="392"/>
      <c r="K75" s="392"/>
      <c r="L75" s="392"/>
      <c r="M75" s="392"/>
      <c r="N75" s="392"/>
      <c r="O75" s="392"/>
      <c r="P75" s="392"/>
      <c r="Q75" s="392"/>
      <c r="R75" s="392"/>
      <c r="S75" s="409"/>
      <c r="T75" s="409"/>
      <c r="U75" s="409"/>
      <c r="V75" s="409"/>
      <c r="W75" s="392"/>
      <c r="X75" s="392"/>
      <c r="Y75" s="409"/>
      <c r="Z75" s="409"/>
      <c r="AA75" s="392"/>
      <c r="AB75" s="392"/>
      <c r="AC75" s="392"/>
      <c r="AD75" s="409"/>
      <c r="AE75" s="409"/>
      <c r="AF75" s="409"/>
      <c r="AG75" s="409"/>
      <c r="AH75" s="409"/>
      <c r="AI75" s="409"/>
      <c r="AJ75" s="409"/>
      <c r="AK75" s="409"/>
      <c r="AL75" s="409"/>
      <c r="AM75" s="409"/>
      <c r="AN75" s="409"/>
      <c r="AO75" s="409"/>
      <c r="AP75" s="409"/>
      <c r="AQ75" s="409"/>
      <c r="AR75" s="409"/>
      <c r="AS75" s="409"/>
      <c r="AT75" s="409"/>
      <c r="AU75" s="409"/>
      <c r="AV75" s="409"/>
      <c r="AW75" s="409"/>
      <c r="AX75" s="409"/>
      <c r="AY75" s="409"/>
      <c r="AZ75" s="409"/>
      <c r="BA75" s="409"/>
      <c r="BB75" s="409"/>
      <c r="BC75" s="409"/>
      <c r="BD75" s="407"/>
      <c r="BE75" s="444"/>
      <c r="BF75" s="444"/>
      <c r="BG75" s="444"/>
      <c r="BH75" s="444"/>
      <c r="BI75" s="444"/>
      <c r="BJ75" s="444"/>
      <c r="BK75" s="444"/>
      <c r="BL75" s="444"/>
      <c r="BM75" s="444"/>
      <c r="BN75" s="444"/>
      <c r="BO75" s="444"/>
      <c r="BP75" s="444"/>
      <c r="BQ75" s="444"/>
      <c r="BR75" s="444"/>
      <c r="BS75" s="444"/>
      <c r="BT75" s="444"/>
    </row>
    <row r="76" spans="1:72" ht="15">
      <c r="A76" s="392"/>
      <c r="B76" s="392"/>
      <c r="C76" s="392"/>
      <c r="D76" s="392"/>
      <c r="E76" s="392"/>
      <c r="F76" s="392"/>
      <c r="G76" s="392"/>
      <c r="H76" s="392"/>
      <c r="I76" s="392"/>
      <c r="J76" s="392"/>
      <c r="K76" s="392"/>
      <c r="L76" s="392"/>
      <c r="M76" s="392"/>
      <c r="N76" s="392"/>
      <c r="O76" s="392"/>
      <c r="P76" s="392"/>
      <c r="Q76" s="392"/>
      <c r="R76" s="392"/>
      <c r="S76" s="409"/>
      <c r="T76" s="409"/>
      <c r="U76" s="409"/>
      <c r="V76" s="409"/>
      <c r="W76" s="392"/>
      <c r="X76" s="392"/>
      <c r="Y76" s="409"/>
      <c r="Z76" s="409"/>
      <c r="AA76" s="392"/>
      <c r="AB76" s="392"/>
      <c r="AC76" s="392"/>
      <c r="AD76" s="409"/>
      <c r="AE76" s="409"/>
      <c r="AF76" s="409"/>
      <c r="AG76" s="409"/>
      <c r="AH76" s="409"/>
      <c r="AI76" s="409"/>
      <c r="AJ76" s="409"/>
      <c r="AK76" s="409"/>
      <c r="AL76" s="409"/>
      <c r="AM76" s="409"/>
      <c r="AN76" s="409"/>
      <c r="AO76" s="409"/>
      <c r="AP76" s="409"/>
      <c r="AQ76" s="409"/>
      <c r="AR76" s="409"/>
      <c r="AS76" s="409"/>
      <c r="AT76" s="409"/>
      <c r="AU76" s="409"/>
      <c r="AV76" s="409"/>
      <c r="AW76" s="409"/>
      <c r="AX76" s="409"/>
      <c r="AY76" s="409"/>
      <c r="AZ76" s="409"/>
      <c r="BA76" s="409"/>
      <c r="BB76" s="409"/>
      <c r="BC76" s="409"/>
      <c r="BD76" s="407"/>
      <c r="BE76" s="444"/>
      <c r="BF76" s="444"/>
      <c r="BG76" s="444"/>
      <c r="BH76" s="444"/>
      <c r="BI76" s="444"/>
      <c r="BJ76" s="444"/>
      <c r="BK76" s="444"/>
      <c r="BL76" s="444"/>
      <c r="BM76" s="444"/>
      <c r="BN76" s="444"/>
      <c r="BO76" s="444"/>
      <c r="BP76" s="444"/>
      <c r="BQ76" s="444"/>
      <c r="BR76" s="444"/>
      <c r="BS76" s="444"/>
      <c r="BT76" s="444"/>
    </row>
    <row r="77" spans="1:72" ht="15">
      <c r="A77" s="392"/>
      <c r="B77" s="392"/>
      <c r="C77" s="392"/>
      <c r="D77" s="392"/>
      <c r="E77" s="392"/>
      <c r="F77" s="392"/>
      <c r="G77" s="392"/>
      <c r="H77" s="392"/>
      <c r="I77" s="392"/>
      <c r="J77" s="392"/>
      <c r="K77" s="392"/>
      <c r="L77" s="392"/>
      <c r="M77" s="392"/>
      <c r="N77" s="392"/>
      <c r="O77" s="392"/>
      <c r="P77" s="392"/>
      <c r="Q77" s="392"/>
      <c r="R77" s="392"/>
      <c r="S77" s="409"/>
      <c r="T77" s="409"/>
      <c r="U77" s="409"/>
      <c r="V77" s="409"/>
      <c r="W77" s="392"/>
      <c r="X77" s="392"/>
      <c r="Y77" s="409"/>
      <c r="Z77" s="409"/>
      <c r="AA77" s="392"/>
      <c r="AB77" s="392"/>
      <c r="AC77" s="392"/>
      <c r="AD77" s="409"/>
      <c r="AE77" s="409"/>
      <c r="AF77" s="409"/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409"/>
      <c r="AS77" s="409"/>
      <c r="AT77" s="409"/>
      <c r="AU77" s="409"/>
      <c r="AV77" s="409"/>
      <c r="AW77" s="409"/>
      <c r="AX77" s="409"/>
      <c r="AY77" s="409"/>
      <c r="AZ77" s="409"/>
      <c r="BA77" s="409"/>
      <c r="BB77" s="409"/>
      <c r="BC77" s="409"/>
      <c r="BD77" s="407"/>
      <c r="BE77" s="444"/>
      <c r="BF77" s="444"/>
      <c r="BG77" s="444"/>
      <c r="BH77" s="444"/>
      <c r="BI77" s="444"/>
      <c r="BJ77" s="444"/>
      <c r="BK77" s="444"/>
      <c r="BL77" s="444"/>
      <c r="BM77" s="444"/>
      <c r="BN77" s="444"/>
      <c r="BO77" s="444"/>
      <c r="BP77" s="444"/>
      <c r="BQ77" s="444"/>
      <c r="BR77" s="444"/>
      <c r="BS77" s="444"/>
      <c r="BT77" s="444"/>
    </row>
    <row r="78" spans="1:72" ht="15">
      <c r="A78" s="392"/>
      <c r="B78" s="392"/>
      <c r="C78" s="392"/>
      <c r="D78" s="392"/>
      <c r="E78" s="392"/>
      <c r="F78" s="392"/>
      <c r="G78" s="392"/>
      <c r="H78" s="392"/>
      <c r="I78" s="392"/>
      <c r="J78" s="392"/>
      <c r="K78" s="392"/>
      <c r="L78" s="392"/>
      <c r="M78" s="392"/>
      <c r="N78" s="392"/>
      <c r="O78" s="392"/>
      <c r="P78" s="392"/>
      <c r="Q78" s="392"/>
      <c r="R78" s="392"/>
      <c r="S78" s="409"/>
      <c r="T78" s="409"/>
      <c r="U78" s="409"/>
      <c r="V78" s="409"/>
      <c r="W78" s="392"/>
      <c r="X78" s="392"/>
      <c r="Y78" s="409"/>
      <c r="Z78" s="409"/>
      <c r="AA78" s="392"/>
      <c r="AB78" s="392"/>
      <c r="AC78" s="392"/>
      <c r="AD78" s="409"/>
      <c r="AE78" s="409"/>
      <c r="AF78" s="409"/>
      <c r="AG78" s="409"/>
      <c r="AH78" s="409"/>
      <c r="AI78" s="409"/>
      <c r="AJ78" s="409"/>
      <c r="AK78" s="409"/>
      <c r="AL78" s="409"/>
      <c r="AM78" s="409"/>
      <c r="AN78" s="409"/>
      <c r="AO78" s="409"/>
      <c r="AP78" s="409"/>
      <c r="AQ78" s="409"/>
      <c r="AR78" s="409"/>
      <c r="AS78" s="409"/>
      <c r="AT78" s="409"/>
      <c r="AU78" s="409"/>
      <c r="AV78" s="409"/>
      <c r="AW78" s="409"/>
      <c r="AX78" s="409"/>
      <c r="AY78" s="409"/>
      <c r="AZ78" s="409"/>
      <c r="BA78" s="409"/>
      <c r="BB78" s="409"/>
      <c r="BC78" s="409"/>
      <c r="BD78" s="407"/>
      <c r="BE78" s="444"/>
      <c r="BF78" s="444"/>
      <c r="BG78" s="444"/>
      <c r="BH78" s="444"/>
      <c r="BI78" s="444"/>
      <c r="BJ78" s="444"/>
      <c r="BK78" s="444"/>
      <c r="BL78" s="444"/>
      <c r="BM78" s="444"/>
      <c r="BN78" s="444"/>
      <c r="BO78" s="444"/>
      <c r="BP78" s="444"/>
      <c r="BQ78" s="444"/>
      <c r="BR78" s="444"/>
      <c r="BS78" s="444"/>
      <c r="BT78" s="444"/>
    </row>
    <row r="79" spans="1:72" ht="15">
      <c r="A79" s="392"/>
      <c r="B79" s="392"/>
      <c r="C79" s="392"/>
      <c r="D79" s="392"/>
      <c r="E79" s="392"/>
      <c r="F79" s="392"/>
      <c r="G79" s="392"/>
      <c r="H79" s="392"/>
      <c r="I79" s="392"/>
      <c r="J79" s="392"/>
      <c r="K79" s="392"/>
      <c r="L79" s="392"/>
      <c r="M79" s="392"/>
      <c r="N79" s="392"/>
      <c r="O79" s="392"/>
      <c r="P79" s="392"/>
      <c r="Q79" s="392"/>
      <c r="R79" s="392"/>
      <c r="S79" s="409"/>
      <c r="T79" s="409"/>
      <c r="U79" s="409"/>
      <c r="V79" s="409"/>
      <c r="W79" s="392"/>
      <c r="X79" s="392"/>
      <c r="Y79" s="409"/>
      <c r="Z79" s="409"/>
      <c r="AA79" s="392"/>
      <c r="AB79" s="392"/>
      <c r="AC79" s="392"/>
      <c r="AD79" s="409"/>
      <c r="AE79" s="409"/>
      <c r="AF79" s="409"/>
      <c r="AG79" s="409"/>
      <c r="AH79" s="409"/>
      <c r="AI79" s="409"/>
      <c r="AJ79" s="409"/>
      <c r="AK79" s="409"/>
      <c r="AL79" s="409"/>
      <c r="AM79" s="409"/>
      <c r="AN79" s="409"/>
      <c r="AO79" s="409"/>
      <c r="AP79" s="409"/>
      <c r="AQ79" s="409"/>
      <c r="AR79" s="409"/>
      <c r="AS79" s="409"/>
      <c r="AT79" s="409"/>
      <c r="AU79" s="409"/>
      <c r="AV79" s="409"/>
      <c r="AW79" s="409"/>
      <c r="AX79" s="409"/>
      <c r="AY79" s="409"/>
      <c r="AZ79" s="409"/>
      <c r="BA79" s="409"/>
      <c r="BB79" s="409"/>
      <c r="BC79" s="409"/>
      <c r="BD79" s="407"/>
      <c r="BE79" s="444"/>
      <c r="BF79" s="444"/>
      <c r="BG79" s="444"/>
      <c r="BH79" s="444"/>
      <c r="BI79" s="444"/>
      <c r="BJ79" s="444"/>
      <c r="BK79" s="444"/>
      <c r="BL79" s="444"/>
      <c r="BM79" s="444"/>
      <c r="BN79" s="444"/>
      <c r="BO79" s="444"/>
      <c r="BP79" s="444"/>
      <c r="BQ79" s="444"/>
      <c r="BR79" s="444"/>
      <c r="BS79" s="444"/>
      <c r="BT79" s="444"/>
    </row>
    <row r="80" spans="1:72" ht="15">
      <c r="A80" s="392"/>
      <c r="B80" s="392"/>
      <c r="C80" s="392"/>
      <c r="D80" s="392"/>
      <c r="E80" s="392"/>
      <c r="F80" s="392"/>
      <c r="G80" s="392"/>
      <c r="H80" s="392"/>
      <c r="I80" s="392"/>
      <c r="J80" s="392"/>
      <c r="K80" s="392"/>
      <c r="L80" s="392"/>
      <c r="M80" s="392"/>
      <c r="N80" s="392"/>
      <c r="O80" s="392"/>
      <c r="P80" s="392"/>
      <c r="Q80" s="392"/>
      <c r="R80" s="392"/>
      <c r="S80" s="409"/>
      <c r="T80" s="409"/>
      <c r="U80" s="409"/>
      <c r="V80" s="409"/>
      <c r="W80" s="392"/>
      <c r="X80" s="392"/>
      <c r="Y80" s="409"/>
      <c r="Z80" s="409"/>
      <c r="AA80" s="392"/>
      <c r="AB80" s="392"/>
      <c r="AC80" s="392"/>
      <c r="AD80" s="409"/>
      <c r="AE80" s="409"/>
      <c r="AF80" s="409"/>
      <c r="AG80" s="409"/>
      <c r="AH80" s="409"/>
      <c r="AI80" s="409"/>
      <c r="AJ80" s="409"/>
      <c r="AK80" s="409"/>
      <c r="AL80" s="409"/>
      <c r="AM80" s="409"/>
      <c r="AN80" s="409"/>
      <c r="AO80" s="409"/>
      <c r="AP80" s="409"/>
      <c r="AQ80" s="409"/>
      <c r="AR80" s="409"/>
      <c r="AS80" s="409"/>
      <c r="AT80" s="409"/>
      <c r="AU80" s="409"/>
      <c r="AV80" s="409"/>
      <c r="AW80" s="409"/>
      <c r="AX80" s="409"/>
      <c r="AY80" s="409"/>
      <c r="AZ80" s="409"/>
      <c r="BA80" s="409"/>
      <c r="BB80" s="409"/>
      <c r="BC80" s="409"/>
      <c r="BD80" s="407"/>
      <c r="BE80" s="444"/>
      <c r="BF80" s="444"/>
      <c r="BG80" s="444"/>
      <c r="BH80" s="444"/>
      <c r="BI80" s="444"/>
      <c r="BJ80" s="444"/>
      <c r="BK80" s="444"/>
      <c r="BL80" s="444"/>
      <c r="BM80" s="444"/>
      <c r="BN80" s="444"/>
      <c r="BO80" s="444"/>
      <c r="BP80" s="444"/>
      <c r="BQ80" s="444"/>
      <c r="BR80" s="444"/>
      <c r="BS80" s="444"/>
      <c r="BT80" s="444"/>
    </row>
    <row r="81" spans="1:72" ht="15">
      <c r="A81" s="392"/>
      <c r="B81" s="392"/>
      <c r="C81" s="392"/>
      <c r="D81" s="392"/>
      <c r="E81" s="392"/>
      <c r="F81" s="392"/>
      <c r="G81" s="392"/>
      <c r="H81" s="392"/>
      <c r="I81" s="392"/>
      <c r="J81" s="392"/>
      <c r="K81" s="392"/>
      <c r="L81" s="392"/>
      <c r="M81" s="392"/>
      <c r="N81" s="392"/>
      <c r="O81" s="392"/>
      <c r="P81" s="392"/>
      <c r="Q81" s="392"/>
      <c r="R81" s="392"/>
      <c r="S81" s="409"/>
      <c r="T81" s="409"/>
      <c r="U81" s="409"/>
      <c r="V81" s="409"/>
      <c r="W81" s="392"/>
      <c r="X81" s="392"/>
      <c r="Y81" s="409"/>
      <c r="Z81" s="409"/>
      <c r="AA81" s="392"/>
      <c r="AB81" s="392"/>
      <c r="AC81" s="392"/>
      <c r="AD81" s="409"/>
      <c r="AE81" s="409"/>
      <c r="AF81" s="409"/>
      <c r="AG81" s="409"/>
      <c r="AH81" s="409"/>
      <c r="AI81" s="409"/>
      <c r="AJ81" s="409"/>
      <c r="AK81" s="409"/>
      <c r="AL81" s="409"/>
      <c r="AM81" s="409"/>
      <c r="AN81" s="409"/>
      <c r="AO81" s="409"/>
      <c r="AP81" s="409"/>
      <c r="AQ81" s="409"/>
      <c r="AR81" s="409"/>
      <c r="AS81" s="409"/>
      <c r="AT81" s="409"/>
      <c r="AU81" s="409"/>
      <c r="AV81" s="409"/>
      <c r="AW81" s="409"/>
      <c r="AX81" s="409"/>
      <c r="AY81" s="409"/>
      <c r="AZ81" s="409"/>
      <c r="BA81" s="409"/>
      <c r="BB81" s="409"/>
      <c r="BC81" s="409"/>
      <c r="BD81" s="407"/>
      <c r="BE81" s="444"/>
      <c r="BF81" s="444"/>
      <c r="BG81" s="444"/>
      <c r="BH81" s="444"/>
      <c r="BI81" s="444"/>
      <c r="BJ81" s="444"/>
      <c r="BK81" s="444"/>
      <c r="BL81" s="444"/>
      <c r="BM81" s="444"/>
      <c r="BN81" s="444"/>
      <c r="BO81" s="444"/>
      <c r="BP81" s="444"/>
      <c r="BQ81" s="444"/>
      <c r="BR81" s="444"/>
      <c r="BS81" s="444"/>
      <c r="BT81" s="444"/>
    </row>
    <row r="82" spans="1:72" ht="15">
      <c r="A82" s="392"/>
      <c r="B82" s="392"/>
      <c r="C82" s="392"/>
      <c r="D82" s="392"/>
      <c r="E82" s="392"/>
      <c r="F82" s="392"/>
      <c r="G82" s="392"/>
      <c r="H82" s="392"/>
      <c r="I82" s="392"/>
      <c r="J82" s="392"/>
      <c r="K82" s="392"/>
      <c r="L82" s="392"/>
      <c r="M82" s="392"/>
      <c r="N82" s="392"/>
      <c r="O82" s="392"/>
      <c r="P82" s="392"/>
      <c r="Q82" s="392"/>
      <c r="R82" s="392"/>
      <c r="S82" s="409"/>
      <c r="T82" s="409"/>
      <c r="U82" s="409"/>
      <c r="V82" s="409"/>
      <c r="W82" s="392"/>
      <c r="X82" s="392"/>
      <c r="Y82" s="409"/>
      <c r="Z82" s="409"/>
      <c r="AA82" s="392"/>
      <c r="AB82" s="392"/>
      <c r="AC82" s="392"/>
      <c r="AD82" s="409"/>
      <c r="AE82" s="409"/>
      <c r="AF82" s="409"/>
      <c r="AG82" s="409"/>
      <c r="AH82" s="409"/>
      <c r="AI82" s="409"/>
      <c r="AJ82" s="409"/>
      <c r="AK82" s="409"/>
      <c r="AL82" s="409"/>
      <c r="AM82" s="409"/>
      <c r="AN82" s="409"/>
      <c r="AO82" s="409"/>
      <c r="AP82" s="409"/>
      <c r="AQ82" s="409"/>
      <c r="AR82" s="409"/>
      <c r="AS82" s="409"/>
      <c r="AT82" s="409"/>
      <c r="AU82" s="409"/>
      <c r="AV82" s="409"/>
      <c r="AW82" s="409"/>
      <c r="AX82" s="409"/>
      <c r="AY82" s="409"/>
      <c r="AZ82" s="409"/>
      <c r="BA82" s="409"/>
      <c r="BB82" s="409"/>
      <c r="BC82" s="409"/>
      <c r="BD82" s="407"/>
      <c r="BE82" s="444"/>
      <c r="BF82" s="444"/>
      <c r="BG82" s="444"/>
      <c r="BH82" s="444"/>
      <c r="BI82" s="444"/>
      <c r="BJ82" s="444"/>
      <c r="BK82" s="444"/>
      <c r="BL82" s="444"/>
      <c r="BM82" s="444"/>
      <c r="BN82" s="444"/>
      <c r="BO82" s="444"/>
      <c r="BP82" s="444"/>
      <c r="BQ82" s="444"/>
      <c r="BR82" s="444"/>
      <c r="BS82" s="444"/>
      <c r="BT82" s="444"/>
    </row>
    <row r="83" spans="1:72" ht="15">
      <c r="A83" s="392"/>
      <c r="B83" s="392"/>
      <c r="C83" s="392"/>
      <c r="D83" s="392"/>
      <c r="E83" s="392"/>
      <c r="F83" s="392"/>
      <c r="G83" s="392"/>
      <c r="H83" s="392"/>
      <c r="I83" s="392"/>
      <c r="J83" s="392"/>
      <c r="K83" s="392"/>
      <c r="L83" s="392"/>
      <c r="M83" s="392"/>
      <c r="N83" s="392"/>
      <c r="O83" s="392"/>
      <c r="P83" s="392"/>
      <c r="Q83" s="392"/>
      <c r="R83" s="392"/>
      <c r="S83" s="409"/>
      <c r="T83" s="409"/>
      <c r="U83" s="409"/>
      <c r="V83" s="409"/>
      <c r="W83" s="392"/>
      <c r="X83" s="392"/>
      <c r="Y83" s="409"/>
      <c r="Z83" s="409"/>
      <c r="AA83" s="392"/>
      <c r="AB83" s="392"/>
      <c r="AC83" s="392"/>
      <c r="AD83" s="409"/>
      <c r="AE83" s="409"/>
      <c r="AF83" s="409"/>
      <c r="AG83" s="409"/>
      <c r="AH83" s="409"/>
      <c r="AI83" s="409"/>
      <c r="AJ83" s="409"/>
      <c r="AK83" s="409"/>
      <c r="AL83" s="409"/>
      <c r="AM83" s="409"/>
      <c r="AN83" s="409"/>
      <c r="AO83" s="409"/>
      <c r="AP83" s="409"/>
      <c r="AQ83" s="409"/>
      <c r="AR83" s="409"/>
      <c r="AS83" s="409"/>
      <c r="AT83" s="409"/>
      <c r="AU83" s="409"/>
      <c r="AV83" s="409"/>
      <c r="AW83" s="409"/>
      <c r="AX83" s="409"/>
      <c r="AY83" s="409"/>
      <c r="AZ83" s="409"/>
      <c r="BA83" s="409"/>
      <c r="BB83" s="409"/>
      <c r="BC83" s="409"/>
      <c r="BD83" s="407"/>
      <c r="BE83" s="444"/>
      <c r="BF83" s="444"/>
      <c r="BG83" s="444"/>
      <c r="BH83" s="444"/>
      <c r="BI83" s="444"/>
      <c r="BJ83" s="444"/>
      <c r="BK83" s="444"/>
      <c r="BL83" s="444"/>
      <c r="BM83" s="444"/>
      <c r="BN83" s="444"/>
      <c r="BO83" s="444"/>
      <c r="BP83" s="444"/>
      <c r="BQ83" s="444"/>
      <c r="BR83" s="444"/>
      <c r="BS83" s="444"/>
      <c r="BT83" s="444"/>
    </row>
    <row r="84" spans="1:72" ht="15">
      <c r="A84" s="392"/>
      <c r="B84" s="392"/>
      <c r="C84" s="392"/>
      <c r="D84" s="392"/>
      <c r="E84" s="392"/>
      <c r="F84" s="392"/>
      <c r="G84" s="392"/>
      <c r="H84" s="392"/>
      <c r="I84" s="392"/>
      <c r="J84" s="392"/>
      <c r="K84" s="392"/>
      <c r="L84" s="392"/>
      <c r="M84" s="392"/>
      <c r="N84" s="392"/>
      <c r="O84" s="392"/>
      <c r="P84" s="392"/>
      <c r="Q84" s="392"/>
      <c r="R84" s="392"/>
      <c r="S84" s="409"/>
      <c r="T84" s="409"/>
      <c r="U84" s="409"/>
      <c r="V84" s="409"/>
      <c r="W84" s="392"/>
      <c r="X84" s="392"/>
      <c r="Y84" s="409"/>
      <c r="Z84" s="409"/>
      <c r="AA84" s="392"/>
      <c r="AB84" s="392"/>
      <c r="AC84" s="392"/>
      <c r="AD84" s="409"/>
      <c r="AE84" s="409"/>
      <c r="AF84" s="409"/>
      <c r="AG84" s="409"/>
      <c r="AH84" s="409"/>
      <c r="AI84" s="409"/>
      <c r="AJ84" s="409"/>
      <c r="AK84" s="409"/>
      <c r="AL84" s="409"/>
      <c r="AM84" s="409"/>
      <c r="AN84" s="409"/>
      <c r="AO84" s="409"/>
      <c r="AP84" s="409"/>
      <c r="AQ84" s="409"/>
      <c r="AR84" s="409"/>
      <c r="AS84" s="409"/>
      <c r="AT84" s="409"/>
      <c r="AU84" s="409"/>
      <c r="AV84" s="409"/>
      <c r="AW84" s="409"/>
      <c r="AX84" s="409"/>
      <c r="AY84" s="409"/>
      <c r="AZ84" s="409"/>
      <c r="BA84" s="409"/>
      <c r="BB84" s="409"/>
      <c r="BC84" s="409"/>
      <c r="BD84" s="407"/>
      <c r="BE84" s="444"/>
      <c r="BF84" s="444"/>
      <c r="BG84" s="444"/>
      <c r="BH84" s="444"/>
      <c r="BI84" s="444"/>
      <c r="BJ84" s="444"/>
      <c r="BK84" s="444"/>
      <c r="BL84" s="444"/>
      <c r="BM84" s="444"/>
      <c r="BN84" s="444"/>
      <c r="BO84" s="444"/>
      <c r="BP84" s="444"/>
      <c r="BQ84" s="444"/>
      <c r="BR84" s="444"/>
      <c r="BS84" s="444"/>
      <c r="BT84" s="444"/>
    </row>
    <row r="85" spans="1:72" ht="15">
      <c r="A85" s="392"/>
      <c r="B85" s="392"/>
      <c r="C85" s="392"/>
      <c r="D85" s="392"/>
      <c r="E85" s="392"/>
      <c r="F85" s="392"/>
      <c r="G85" s="392"/>
      <c r="H85" s="392"/>
      <c r="I85" s="392"/>
      <c r="J85" s="392"/>
      <c r="K85" s="392"/>
      <c r="L85" s="392"/>
      <c r="M85" s="392"/>
      <c r="N85" s="392"/>
      <c r="O85" s="392"/>
      <c r="P85" s="392"/>
      <c r="Q85" s="392"/>
      <c r="R85" s="392"/>
      <c r="S85" s="409"/>
      <c r="T85" s="409"/>
      <c r="U85" s="409"/>
      <c r="V85" s="409"/>
      <c r="W85" s="392"/>
      <c r="X85" s="392"/>
      <c r="Y85" s="409"/>
      <c r="Z85" s="409"/>
      <c r="AA85" s="392"/>
      <c r="AB85" s="392"/>
      <c r="AC85" s="392"/>
      <c r="AD85" s="409"/>
      <c r="AE85" s="409"/>
      <c r="AF85" s="409"/>
      <c r="AG85" s="409"/>
      <c r="AH85" s="409"/>
      <c r="AI85" s="409"/>
      <c r="AJ85" s="409"/>
      <c r="AK85" s="409"/>
      <c r="AL85" s="409"/>
      <c r="AM85" s="409"/>
      <c r="AN85" s="409"/>
      <c r="AO85" s="409"/>
      <c r="AP85" s="409"/>
      <c r="AQ85" s="409"/>
      <c r="AR85" s="409"/>
      <c r="AS85" s="409"/>
      <c r="AT85" s="409"/>
      <c r="AU85" s="409"/>
      <c r="AV85" s="409"/>
      <c r="AW85" s="409"/>
      <c r="AX85" s="409"/>
      <c r="AY85" s="409"/>
      <c r="AZ85" s="409"/>
      <c r="BA85" s="409"/>
      <c r="BB85" s="409"/>
      <c r="BC85" s="409"/>
      <c r="BD85" s="407"/>
      <c r="BE85" s="444"/>
      <c r="BF85" s="444"/>
      <c r="BG85" s="444"/>
      <c r="BH85" s="444"/>
      <c r="BI85" s="444"/>
      <c r="BJ85" s="444"/>
      <c r="BK85" s="444"/>
      <c r="BL85" s="444"/>
      <c r="BM85" s="444"/>
      <c r="BN85" s="444"/>
      <c r="BO85" s="444"/>
      <c r="BP85" s="444"/>
      <c r="BQ85" s="444"/>
      <c r="BR85" s="444"/>
      <c r="BS85" s="444"/>
      <c r="BT85" s="444"/>
    </row>
    <row r="86" spans="1:72" ht="15">
      <c r="A86" s="392"/>
      <c r="B86" s="392"/>
      <c r="C86" s="392"/>
      <c r="D86" s="392"/>
      <c r="E86" s="392"/>
      <c r="F86" s="392"/>
      <c r="G86" s="392"/>
      <c r="H86" s="392"/>
      <c r="I86" s="392"/>
      <c r="J86" s="392"/>
      <c r="K86" s="392"/>
      <c r="L86" s="392"/>
      <c r="M86" s="392"/>
      <c r="N86" s="392"/>
      <c r="O86" s="392"/>
      <c r="P86" s="392"/>
      <c r="Q86" s="392"/>
      <c r="R86" s="392"/>
      <c r="S86" s="409"/>
      <c r="T86" s="409"/>
      <c r="U86" s="409"/>
      <c r="V86" s="409"/>
      <c r="W86" s="392"/>
      <c r="X86" s="392"/>
      <c r="Y86" s="409"/>
      <c r="Z86" s="409"/>
      <c r="AA86" s="392"/>
      <c r="AB86" s="392"/>
      <c r="AC86" s="392"/>
      <c r="AD86" s="409"/>
      <c r="AE86" s="409"/>
      <c r="AF86" s="409"/>
      <c r="AG86" s="409"/>
      <c r="AH86" s="409"/>
      <c r="AI86" s="409"/>
      <c r="AJ86" s="409"/>
      <c r="AK86" s="409"/>
      <c r="AL86" s="409"/>
      <c r="AM86" s="409"/>
      <c r="AN86" s="409"/>
      <c r="AO86" s="409"/>
      <c r="AP86" s="409"/>
      <c r="AQ86" s="409"/>
      <c r="AR86" s="409"/>
      <c r="AS86" s="409"/>
      <c r="AT86" s="409"/>
      <c r="AU86" s="409"/>
      <c r="AV86" s="409"/>
      <c r="AW86" s="409"/>
      <c r="AX86" s="409"/>
      <c r="AY86" s="409"/>
      <c r="AZ86" s="409"/>
      <c r="BA86" s="409"/>
      <c r="BB86" s="409"/>
      <c r="BC86" s="409"/>
      <c r="BD86" s="407"/>
      <c r="BE86" s="444"/>
      <c r="BF86" s="444"/>
      <c r="BG86" s="444"/>
      <c r="BH86" s="444"/>
      <c r="BI86" s="444"/>
      <c r="BJ86" s="444"/>
      <c r="BK86" s="444"/>
      <c r="BL86" s="444"/>
      <c r="BM86" s="444"/>
      <c r="BN86" s="444"/>
      <c r="BO86" s="444"/>
      <c r="BP86" s="444"/>
      <c r="BQ86" s="444"/>
      <c r="BR86" s="444"/>
      <c r="BS86" s="444"/>
      <c r="BT86" s="444"/>
    </row>
    <row r="87" spans="1:72" ht="15">
      <c r="A87" s="392"/>
      <c r="B87" s="392"/>
      <c r="C87" s="392"/>
      <c r="D87" s="392"/>
      <c r="E87" s="392"/>
      <c r="F87" s="392"/>
      <c r="G87" s="392"/>
      <c r="H87" s="392"/>
      <c r="I87" s="392"/>
      <c r="J87" s="392"/>
      <c r="K87" s="392"/>
      <c r="L87" s="392"/>
      <c r="M87" s="392"/>
      <c r="N87" s="392"/>
      <c r="O87" s="392"/>
      <c r="P87" s="392"/>
      <c r="Q87" s="392"/>
      <c r="R87" s="392"/>
      <c r="S87" s="409"/>
      <c r="T87" s="409"/>
      <c r="U87" s="409"/>
      <c r="V87" s="409"/>
      <c r="W87" s="392"/>
      <c r="X87" s="392"/>
      <c r="Y87" s="409"/>
      <c r="Z87" s="409"/>
      <c r="AA87" s="392"/>
      <c r="AB87" s="392"/>
      <c r="AC87" s="392"/>
      <c r="AD87" s="409"/>
      <c r="AE87" s="409"/>
      <c r="AF87" s="409"/>
      <c r="AG87" s="409"/>
      <c r="AH87" s="409"/>
      <c r="AI87" s="409"/>
      <c r="AJ87" s="409"/>
      <c r="AK87" s="409"/>
      <c r="AL87" s="409"/>
      <c r="AM87" s="409"/>
      <c r="AN87" s="409"/>
      <c r="AO87" s="409"/>
      <c r="AP87" s="409"/>
      <c r="AQ87" s="409"/>
      <c r="AR87" s="409"/>
      <c r="AS87" s="409"/>
      <c r="AT87" s="409"/>
      <c r="AU87" s="409"/>
      <c r="AV87" s="409"/>
      <c r="AW87" s="409"/>
      <c r="AX87" s="409"/>
      <c r="AY87" s="409"/>
      <c r="AZ87" s="409"/>
      <c r="BA87" s="409"/>
      <c r="BB87" s="409"/>
      <c r="BC87" s="409"/>
      <c r="BD87" s="407"/>
      <c r="BE87" s="444"/>
      <c r="BF87" s="444"/>
      <c r="BG87" s="444"/>
      <c r="BH87" s="444"/>
      <c r="BI87" s="444"/>
      <c r="BJ87" s="444"/>
      <c r="BK87" s="444"/>
      <c r="BL87" s="444"/>
      <c r="BM87" s="444"/>
      <c r="BN87" s="444"/>
      <c r="BO87" s="444"/>
      <c r="BP87" s="444"/>
      <c r="BQ87" s="444"/>
      <c r="BR87" s="444"/>
      <c r="BS87" s="444"/>
      <c r="BT87" s="444"/>
    </row>
    <row r="88" spans="1:72" ht="15">
      <c r="A88" s="392"/>
      <c r="B88" s="392"/>
      <c r="C88" s="392"/>
      <c r="D88" s="392"/>
      <c r="E88" s="392"/>
      <c r="F88" s="392"/>
      <c r="G88" s="392"/>
      <c r="H88" s="392"/>
      <c r="I88" s="392"/>
      <c r="J88" s="392"/>
      <c r="K88" s="392"/>
      <c r="L88" s="392"/>
      <c r="M88" s="392"/>
      <c r="N88" s="392"/>
      <c r="O88" s="392"/>
      <c r="P88" s="392"/>
      <c r="Q88" s="392"/>
      <c r="R88" s="392"/>
      <c r="S88" s="409"/>
      <c r="T88" s="409"/>
      <c r="U88" s="409"/>
      <c r="V88" s="409"/>
      <c r="W88" s="392"/>
      <c r="X88" s="392"/>
      <c r="Y88" s="409"/>
      <c r="Z88" s="409"/>
      <c r="AA88" s="392"/>
      <c r="AB88" s="392"/>
      <c r="AC88" s="392"/>
      <c r="AD88" s="409"/>
      <c r="AE88" s="409"/>
      <c r="AF88" s="409"/>
      <c r="AG88" s="409"/>
      <c r="AH88" s="409"/>
      <c r="AI88" s="409"/>
      <c r="AJ88" s="409"/>
      <c r="AK88" s="409"/>
      <c r="AL88" s="409"/>
      <c r="AM88" s="409"/>
      <c r="AN88" s="409"/>
      <c r="AO88" s="409"/>
      <c r="AP88" s="409"/>
      <c r="AQ88" s="409"/>
      <c r="AR88" s="409"/>
      <c r="AS88" s="409"/>
      <c r="AT88" s="409"/>
      <c r="AU88" s="409"/>
      <c r="AV88" s="409"/>
      <c r="AW88" s="409"/>
      <c r="AX88" s="409"/>
      <c r="AY88" s="409"/>
      <c r="AZ88" s="409"/>
      <c r="BA88" s="409"/>
      <c r="BB88" s="409"/>
      <c r="BC88" s="409"/>
      <c r="BD88" s="407"/>
      <c r="BE88" s="444"/>
      <c r="BF88" s="444"/>
      <c r="BG88" s="444"/>
      <c r="BH88" s="444"/>
      <c r="BI88" s="444"/>
      <c r="BJ88" s="444"/>
      <c r="BK88" s="444"/>
      <c r="BL88" s="444"/>
      <c r="BM88" s="444"/>
      <c r="BN88" s="444"/>
      <c r="BO88" s="444"/>
      <c r="BP88" s="444"/>
      <c r="BQ88" s="444"/>
      <c r="BR88" s="444"/>
      <c r="BS88" s="444"/>
      <c r="BT88" s="444"/>
    </row>
    <row r="89" spans="1:72" ht="15">
      <c r="A89" s="392"/>
      <c r="B89" s="392"/>
      <c r="C89" s="392"/>
      <c r="D89" s="392"/>
      <c r="E89" s="392"/>
      <c r="F89" s="392"/>
      <c r="G89" s="392"/>
      <c r="H89" s="392"/>
      <c r="I89" s="392"/>
      <c r="J89" s="392"/>
      <c r="K89" s="392"/>
      <c r="L89" s="392"/>
      <c r="M89" s="392"/>
      <c r="N89" s="392"/>
      <c r="O89" s="392"/>
      <c r="P89" s="392"/>
      <c r="Q89" s="392"/>
      <c r="R89" s="392"/>
      <c r="S89" s="409"/>
      <c r="T89" s="409"/>
      <c r="U89" s="409"/>
      <c r="V89" s="409"/>
      <c r="W89" s="392"/>
      <c r="X89" s="392"/>
      <c r="Y89" s="409"/>
      <c r="Z89" s="409"/>
      <c r="AA89" s="392"/>
      <c r="AB89" s="392"/>
      <c r="AC89" s="392"/>
      <c r="AD89" s="409"/>
      <c r="AE89" s="409"/>
      <c r="AF89" s="409"/>
      <c r="AG89" s="409"/>
      <c r="AH89" s="409"/>
      <c r="AI89" s="409"/>
      <c r="AJ89" s="409"/>
      <c r="AK89" s="409"/>
      <c r="AL89" s="409"/>
      <c r="AM89" s="409"/>
      <c r="AN89" s="409"/>
      <c r="AO89" s="409"/>
      <c r="AP89" s="409"/>
      <c r="AQ89" s="409"/>
      <c r="AR89" s="409"/>
      <c r="AS89" s="409"/>
      <c r="AT89" s="409"/>
      <c r="AU89" s="409"/>
      <c r="AV89" s="409"/>
      <c r="AW89" s="409"/>
      <c r="AX89" s="409"/>
      <c r="AY89" s="409"/>
      <c r="AZ89" s="409"/>
      <c r="BA89" s="409"/>
      <c r="BB89" s="409"/>
      <c r="BC89" s="409"/>
      <c r="BD89" s="407"/>
      <c r="BE89" s="444"/>
      <c r="BF89" s="444"/>
      <c r="BG89" s="444"/>
      <c r="BH89" s="444"/>
      <c r="BI89" s="444"/>
      <c r="BJ89" s="444"/>
      <c r="BK89" s="444"/>
      <c r="BL89" s="444"/>
      <c r="BM89" s="444"/>
      <c r="BN89" s="444"/>
      <c r="BO89" s="444"/>
      <c r="BP89" s="444"/>
      <c r="BQ89" s="444"/>
      <c r="BR89" s="444"/>
      <c r="BS89" s="444"/>
      <c r="BT89" s="444"/>
    </row>
    <row r="90" spans="1:72" ht="15">
      <c r="A90" s="392"/>
      <c r="B90" s="392"/>
      <c r="C90" s="392"/>
      <c r="D90" s="392"/>
      <c r="E90" s="392"/>
      <c r="F90" s="392"/>
      <c r="G90" s="392"/>
      <c r="H90" s="392"/>
      <c r="I90" s="392"/>
      <c r="J90" s="392"/>
      <c r="K90" s="392"/>
      <c r="L90" s="392"/>
      <c r="M90" s="392"/>
      <c r="N90" s="392"/>
      <c r="O90" s="392"/>
      <c r="P90" s="392"/>
      <c r="Q90" s="392"/>
      <c r="R90" s="392"/>
      <c r="S90" s="409"/>
      <c r="T90" s="409"/>
      <c r="U90" s="409"/>
      <c r="V90" s="409"/>
      <c r="W90" s="392"/>
      <c r="X90" s="392"/>
      <c r="Y90" s="409"/>
      <c r="Z90" s="409"/>
      <c r="AA90" s="392"/>
      <c r="AB90" s="392"/>
      <c r="AC90" s="392"/>
      <c r="AD90" s="409"/>
      <c r="AE90" s="409"/>
      <c r="AF90" s="409"/>
      <c r="AG90" s="409"/>
      <c r="AH90" s="409"/>
      <c r="AI90" s="409"/>
      <c r="AJ90" s="409"/>
      <c r="AK90" s="409"/>
      <c r="AL90" s="409"/>
      <c r="AM90" s="409"/>
      <c r="AN90" s="409"/>
      <c r="AO90" s="409"/>
      <c r="AP90" s="409"/>
      <c r="AQ90" s="409"/>
      <c r="AR90" s="409"/>
      <c r="AS90" s="409"/>
      <c r="AT90" s="409"/>
      <c r="AU90" s="409"/>
      <c r="AV90" s="409"/>
      <c r="AW90" s="409"/>
      <c r="AX90" s="409"/>
      <c r="AY90" s="409"/>
      <c r="AZ90" s="409"/>
      <c r="BA90" s="409"/>
      <c r="BB90" s="409"/>
      <c r="BC90" s="409"/>
      <c r="BD90" s="407"/>
      <c r="BE90" s="444"/>
      <c r="BF90" s="444"/>
      <c r="BG90" s="444"/>
      <c r="BH90" s="444"/>
      <c r="BI90" s="444"/>
      <c r="BJ90" s="444"/>
      <c r="BK90" s="444"/>
      <c r="BL90" s="444"/>
      <c r="BM90" s="444"/>
      <c r="BN90" s="444"/>
      <c r="BO90" s="444"/>
      <c r="BP90" s="444"/>
      <c r="BQ90" s="444"/>
      <c r="BR90" s="444"/>
      <c r="BS90" s="444"/>
      <c r="BT90" s="444"/>
    </row>
    <row r="91" spans="1:72" ht="15">
      <c r="A91" s="392"/>
      <c r="B91" s="392"/>
      <c r="C91" s="392"/>
      <c r="D91" s="392"/>
      <c r="E91" s="392"/>
      <c r="F91" s="392"/>
      <c r="G91" s="392"/>
      <c r="H91" s="392"/>
      <c r="I91" s="392"/>
      <c r="J91" s="392"/>
      <c r="K91" s="392"/>
      <c r="L91" s="392"/>
      <c r="M91" s="392"/>
      <c r="N91" s="392"/>
      <c r="O91" s="392"/>
      <c r="P91" s="392"/>
      <c r="Q91" s="392"/>
      <c r="R91" s="392"/>
      <c r="S91" s="409"/>
      <c r="T91" s="409"/>
      <c r="U91" s="409"/>
      <c r="V91" s="409"/>
      <c r="W91" s="392"/>
      <c r="X91" s="392"/>
      <c r="Y91" s="409"/>
      <c r="Z91" s="409"/>
      <c r="AA91" s="392"/>
      <c r="AB91" s="392"/>
      <c r="AC91" s="392"/>
      <c r="AD91" s="409"/>
      <c r="AE91" s="409"/>
      <c r="AF91" s="409"/>
      <c r="AG91" s="409"/>
      <c r="AH91" s="409"/>
      <c r="AI91" s="409"/>
      <c r="AJ91" s="409"/>
      <c r="AK91" s="409"/>
      <c r="AL91" s="409"/>
      <c r="AM91" s="409"/>
      <c r="AN91" s="409"/>
      <c r="AO91" s="409"/>
      <c r="AP91" s="409"/>
      <c r="AQ91" s="409"/>
      <c r="AR91" s="409"/>
      <c r="AS91" s="409"/>
      <c r="AT91" s="409"/>
      <c r="AU91" s="409"/>
      <c r="AV91" s="409"/>
      <c r="AW91" s="409"/>
      <c r="AX91" s="409"/>
      <c r="AY91" s="409"/>
      <c r="AZ91" s="409"/>
      <c r="BA91" s="409"/>
      <c r="BB91" s="409"/>
      <c r="BC91" s="409"/>
      <c r="BD91" s="407"/>
      <c r="BE91" s="444"/>
      <c r="BF91" s="444"/>
      <c r="BG91" s="444"/>
      <c r="BH91" s="444"/>
      <c r="BI91" s="444"/>
      <c r="BJ91" s="444"/>
      <c r="BK91" s="444"/>
      <c r="BL91" s="444"/>
      <c r="BM91" s="444"/>
      <c r="BN91" s="444"/>
      <c r="BO91" s="444"/>
      <c r="BP91" s="444"/>
      <c r="BQ91" s="444"/>
      <c r="BR91" s="444"/>
      <c r="BS91" s="444"/>
      <c r="BT91" s="444"/>
    </row>
    <row r="92" spans="1:72" ht="15">
      <c r="A92" s="392"/>
      <c r="B92" s="392"/>
      <c r="C92" s="392"/>
      <c r="D92" s="392"/>
      <c r="E92" s="392"/>
      <c r="F92" s="392"/>
      <c r="G92" s="392"/>
      <c r="H92" s="392"/>
      <c r="I92" s="392"/>
      <c r="J92" s="392"/>
      <c r="K92" s="392"/>
      <c r="L92" s="392"/>
      <c r="M92" s="392"/>
      <c r="N92" s="392"/>
      <c r="O92" s="392"/>
      <c r="P92" s="392"/>
      <c r="Q92" s="392"/>
      <c r="R92" s="392"/>
      <c r="S92" s="409"/>
      <c r="T92" s="409"/>
      <c r="U92" s="409"/>
      <c r="V92" s="409"/>
      <c r="W92" s="392"/>
      <c r="X92" s="392"/>
      <c r="Y92" s="409"/>
      <c r="Z92" s="409"/>
      <c r="AA92" s="392"/>
      <c r="AB92" s="392"/>
      <c r="AC92" s="392"/>
      <c r="AD92" s="409"/>
      <c r="AE92" s="409"/>
      <c r="AF92" s="409"/>
      <c r="AG92" s="409"/>
      <c r="AH92" s="409"/>
      <c r="AI92" s="409"/>
      <c r="AJ92" s="409"/>
      <c r="AK92" s="409"/>
      <c r="AL92" s="409"/>
      <c r="AM92" s="409"/>
      <c r="AN92" s="409"/>
      <c r="AO92" s="409"/>
      <c r="AP92" s="409"/>
      <c r="AQ92" s="409"/>
      <c r="AR92" s="409"/>
      <c r="AS92" s="409"/>
      <c r="AT92" s="409"/>
      <c r="AU92" s="409"/>
      <c r="AV92" s="409"/>
      <c r="AW92" s="409"/>
      <c r="AX92" s="409"/>
      <c r="AY92" s="409"/>
      <c r="AZ92" s="409"/>
      <c r="BA92" s="409"/>
      <c r="BB92" s="409"/>
      <c r="BC92" s="409"/>
      <c r="BD92" s="407"/>
      <c r="BE92" s="444"/>
      <c r="BF92" s="444"/>
      <c r="BG92" s="444"/>
      <c r="BH92" s="444"/>
      <c r="BI92" s="444"/>
      <c r="BJ92" s="444"/>
      <c r="BK92" s="444"/>
      <c r="BL92" s="444"/>
      <c r="BM92" s="444"/>
      <c r="BN92" s="444"/>
      <c r="BO92" s="444"/>
      <c r="BP92" s="444"/>
      <c r="BQ92" s="444"/>
      <c r="BR92" s="444"/>
      <c r="BS92" s="444"/>
      <c r="BT92" s="444"/>
    </row>
    <row r="93" spans="1:72" ht="15">
      <c r="A93" s="392"/>
      <c r="B93" s="392"/>
      <c r="C93" s="392"/>
      <c r="D93" s="392"/>
      <c r="E93" s="392"/>
      <c r="F93" s="392"/>
      <c r="G93" s="392"/>
      <c r="H93" s="392"/>
      <c r="I93" s="392"/>
      <c r="J93" s="392"/>
      <c r="K93" s="392"/>
      <c r="L93" s="392"/>
      <c r="M93" s="392"/>
      <c r="N93" s="392"/>
      <c r="O93" s="392"/>
      <c r="P93" s="392"/>
      <c r="Q93" s="392"/>
      <c r="R93" s="392"/>
      <c r="S93" s="409"/>
      <c r="T93" s="409"/>
      <c r="U93" s="409"/>
      <c r="V93" s="409"/>
      <c r="W93" s="392"/>
      <c r="X93" s="392"/>
      <c r="Y93" s="409"/>
      <c r="Z93" s="409"/>
      <c r="AA93" s="392"/>
      <c r="AB93" s="392"/>
      <c r="AC93" s="392"/>
      <c r="AD93" s="409"/>
      <c r="AE93" s="409"/>
      <c r="AF93" s="409"/>
      <c r="AG93" s="409"/>
      <c r="AH93" s="409"/>
      <c r="AI93" s="409"/>
      <c r="AJ93" s="409"/>
      <c r="AK93" s="409"/>
      <c r="AL93" s="409"/>
      <c r="AM93" s="409"/>
      <c r="AN93" s="409"/>
      <c r="AO93" s="409"/>
      <c r="AP93" s="409"/>
      <c r="AQ93" s="409"/>
      <c r="AR93" s="409"/>
      <c r="AS93" s="409"/>
      <c r="AT93" s="409"/>
      <c r="AU93" s="409"/>
      <c r="AV93" s="409"/>
      <c r="AW93" s="409"/>
      <c r="AX93" s="409"/>
      <c r="AY93" s="409"/>
      <c r="AZ93" s="409"/>
      <c r="BA93" s="409"/>
      <c r="BB93" s="409"/>
      <c r="BC93" s="409"/>
      <c r="BD93" s="407"/>
      <c r="BE93" s="444"/>
      <c r="BF93" s="444"/>
      <c r="BG93" s="444"/>
      <c r="BH93" s="444"/>
      <c r="BI93" s="444"/>
      <c r="BJ93" s="444"/>
      <c r="BK93" s="444"/>
      <c r="BL93" s="444"/>
      <c r="BM93" s="444"/>
      <c r="BN93" s="444"/>
      <c r="BO93" s="444"/>
      <c r="BP93" s="444"/>
      <c r="BQ93" s="444"/>
      <c r="BR93" s="444"/>
      <c r="BS93" s="444"/>
      <c r="BT93" s="444"/>
    </row>
    <row r="94" spans="1:72" ht="15">
      <c r="A94" s="392"/>
      <c r="B94" s="392"/>
      <c r="C94" s="392"/>
      <c r="D94" s="392"/>
      <c r="E94" s="392"/>
      <c r="F94" s="392"/>
      <c r="G94" s="392"/>
      <c r="H94" s="392"/>
      <c r="I94" s="392"/>
      <c r="J94" s="392"/>
      <c r="K94" s="392"/>
      <c r="L94" s="392"/>
      <c r="M94" s="392"/>
      <c r="N94" s="392"/>
      <c r="O94" s="392"/>
      <c r="P94" s="392"/>
      <c r="Q94" s="392"/>
      <c r="R94" s="392"/>
      <c r="S94" s="409"/>
      <c r="T94" s="409"/>
      <c r="U94" s="409"/>
      <c r="V94" s="409"/>
      <c r="W94" s="392"/>
      <c r="X94" s="392"/>
      <c r="Y94" s="409"/>
      <c r="Z94" s="409"/>
      <c r="AA94" s="392"/>
      <c r="AB94" s="392"/>
      <c r="AC94" s="392"/>
      <c r="AD94" s="409"/>
      <c r="AE94" s="409"/>
      <c r="AF94" s="409"/>
      <c r="AG94" s="409"/>
      <c r="AH94" s="409"/>
      <c r="AI94" s="409"/>
      <c r="AJ94" s="409"/>
      <c r="AK94" s="409"/>
      <c r="AL94" s="409"/>
      <c r="AM94" s="409"/>
      <c r="AN94" s="409"/>
      <c r="AO94" s="409"/>
      <c r="AP94" s="409"/>
      <c r="AQ94" s="409"/>
      <c r="AR94" s="409"/>
      <c r="AS94" s="409"/>
      <c r="AT94" s="409"/>
      <c r="AU94" s="409"/>
      <c r="AV94" s="409"/>
      <c r="AW94" s="409"/>
      <c r="AX94" s="409"/>
      <c r="AY94" s="409"/>
      <c r="AZ94" s="409"/>
      <c r="BA94" s="409"/>
      <c r="BB94" s="409"/>
      <c r="BC94" s="409"/>
      <c r="BD94" s="407"/>
      <c r="BE94" s="444"/>
      <c r="BF94" s="444"/>
      <c r="BG94" s="444"/>
      <c r="BH94" s="444"/>
      <c r="BI94" s="444"/>
      <c r="BJ94" s="444"/>
      <c r="BK94" s="444"/>
      <c r="BL94" s="444"/>
      <c r="BM94" s="444"/>
      <c r="BN94" s="444"/>
      <c r="BO94" s="444"/>
      <c r="BP94" s="444"/>
      <c r="BQ94" s="444"/>
      <c r="BR94" s="444"/>
      <c r="BS94" s="444"/>
      <c r="BT94" s="444"/>
    </row>
    <row r="95" spans="1:72" ht="15">
      <c r="A95" s="392"/>
      <c r="B95" s="392"/>
      <c r="C95" s="392"/>
      <c r="D95" s="392"/>
      <c r="E95" s="392"/>
      <c r="F95" s="392"/>
      <c r="G95" s="392"/>
      <c r="H95" s="392"/>
      <c r="I95" s="392"/>
      <c r="J95" s="392"/>
      <c r="K95" s="392"/>
      <c r="L95" s="392"/>
      <c r="M95" s="392"/>
      <c r="N95" s="392"/>
      <c r="O95" s="392"/>
      <c r="P95" s="392"/>
      <c r="Q95" s="392"/>
      <c r="R95" s="392"/>
      <c r="S95" s="409"/>
      <c r="T95" s="409"/>
      <c r="U95" s="409"/>
      <c r="V95" s="409"/>
      <c r="W95" s="392"/>
      <c r="X95" s="392"/>
      <c r="Y95" s="409"/>
      <c r="Z95" s="409"/>
      <c r="AA95" s="392"/>
      <c r="AB95" s="392"/>
      <c r="AC95" s="392"/>
      <c r="AD95" s="409"/>
      <c r="AE95" s="409"/>
      <c r="AF95" s="409"/>
      <c r="AG95" s="409"/>
      <c r="AH95" s="409"/>
      <c r="AI95" s="409"/>
      <c r="AJ95" s="409"/>
      <c r="AK95" s="409"/>
      <c r="AL95" s="409"/>
      <c r="AM95" s="409"/>
      <c r="AN95" s="409"/>
      <c r="AO95" s="409"/>
      <c r="AP95" s="409"/>
      <c r="AQ95" s="409"/>
      <c r="AR95" s="409"/>
      <c r="AS95" s="409"/>
      <c r="AT95" s="409"/>
      <c r="AU95" s="409"/>
      <c r="AV95" s="409"/>
      <c r="AW95" s="409"/>
      <c r="AX95" s="409"/>
      <c r="AY95" s="409"/>
      <c r="AZ95" s="409"/>
      <c r="BA95" s="409"/>
      <c r="BB95" s="409"/>
      <c r="BC95" s="409"/>
      <c r="BD95" s="407"/>
      <c r="BE95" s="444"/>
      <c r="BF95" s="444"/>
      <c r="BG95" s="444"/>
      <c r="BH95" s="444"/>
      <c r="BI95" s="444"/>
      <c r="BJ95" s="444"/>
      <c r="BK95" s="444"/>
      <c r="BL95" s="444"/>
      <c r="BM95" s="444"/>
      <c r="BN95" s="444"/>
      <c r="BO95" s="444"/>
      <c r="BP95" s="444"/>
      <c r="BQ95" s="444"/>
      <c r="BR95" s="444"/>
      <c r="BS95" s="444"/>
      <c r="BT95" s="444"/>
    </row>
    <row r="96" spans="1:72" ht="15">
      <c r="A96" s="392"/>
      <c r="B96" s="392"/>
      <c r="C96" s="392"/>
      <c r="D96" s="392"/>
      <c r="E96" s="392"/>
      <c r="F96" s="392"/>
      <c r="G96" s="392"/>
      <c r="H96" s="392"/>
      <c r="I96" s="392"/>
      <c r="J96" s="392"/>
      <c r="K96" s="392"/>
      <c r="L96" s="392"/>
      <c r="M96" s="392"/>
      <c r="N96" s="392"/>
      <c r="O96" s="392"/>
      <c r="P96" s="392"/>
      <c r="Q96" s="392"/>
      <c r="R96" s="392"/>
      <c r="S96" s="409"/>
      <c r="T96" s="409"/>
      <c r="U96" s="409"/>
      <c r="V96" s="409"/>
      <c r="W96" s="392"/>
      <c r="X96" s="392"/>
      <c r="Y96" s="409"/>
      <c r="Z96" s="409"/>
      <c r="AA96" s="392"/>
      <c r="AB96" s="392"/>
      <c r="AC96" s="392"/>
      <c r="AD96" s="409"/>
      <c r="AE96" s="409"/>
      <c r="AF96" s="409"/>
      <c r="AG96" s="409"/>
      <c r="AH96" s="409"/>
      <c r="AI96" s="409"/>
      <c r="AJ96" s="409"/>
      <c r="AK96" s="409"/>
      <c r="AL96" s="409"/>
      <c r="AM96" s="409"/>
      <c r="AN96" s="409"/>
      <c r="AO96" s="409"/>
      <c r="AP96" s="409"/>
      <c r="AQ96" s="409"/>
      <c r="AR96" s="409"/>
      <c r="AS96" s="409"/>
      <c r="AT96" s="409"/>
      <c r="AU96" s="409"/>
      <c r="AV96" s="409"/>
      <c r="AW96" s="409"/>
      <c r="AX96" s="409"/>
      <c r="AY96" s="409"/>
      <c r="AZ96" s="409"/>
      <c r="BA96" s="409"/>
      <c r="BB96" s="409"/>
      <c r="BC96" s="409"/>
      <c r="BD96" s="407"/>
      <c r="BE96" s="444"/>
      <c r="BF96" s="444"/>
      <c r="BG96" s="444"/>
      <c r="BH96" s="444"/>
      <c r="BI96" s="444"/>
      <c r="BJ96" s="444"/>
      <c r="BK96" s="444"/>
      <c r="BL96" s="444"/>
      <c r="BM96" s="444"/>
      <c r="BN96" s="444"/>
      <c r="BO96" s="444"/>
      <c r="BP96" s="444"/>
      <c r="BQ96" s="444"/>
      <c r="BR96" s="444"/>
      <c r="BS96" s="444"/>
      <c r="BT96" s="444"/>
    </row>
    <row r="97" spans="1:72" ht="15">
      <c r="A97" s="392"/>
      <c r="B97" s="392"/>
      <c r="C97" s="392"/>
      <c r="D97" s="392"/>
      <c r="E97" s="392"/>
      <c r="F97" s="392"/>
      <c r="G97" s="392"/>
      <c r="H97" s="392"/>
      <c r="I97" s="392"/>
      <c r="J97" s="392"/>
      <c r="K97" s="392"/>
      <c r="L97" s="392"/>
      <c r="M97" s="392"/>
      <c r="N97" s="392"/>
      <c r="O97" s="392"/>
      <c r="P97" s="392"/>
      <c r="Q97" s="392"/>
      <c r="R97" s="392"/>
      <c r="S97" s="409"/>
      <c r="T97" s="409"/>
      <c r="U97" s="409"/>
      <c r="V97" s="409"/>
      <c r="W97" s="392"/>
      <c r="X97" s="392"/>
      <c r="Y97" s="409"/>
      <c r="Z97" s="409"/>
      <c r="AA97" s="392"/>
      <c r="AB97" s="392"/>
      <c r="AC97" s="392"/>
      <c r="AD97" s="409"/>
      <c r="AE97" s="409"/>
      <c r="AF97" s="409"/>
      <c r="AG97" s="409"/>
      <c r="AH97" s="409"/>
      <c r="AI97" s="409"/>
      <c r="AJ97" s="409"/>
      <c r="AK97" s="409"/>
      <c r="AL97" s="409"/>
      <c r="AM97" s="409"/>
      <c r="AN97" s="409"/>
      <c r="AO97" s="409"/>
      <c r="AP97" s="409"/>
      <c r="AQ97" s="409"/>
      <c r="AR97" s="409"/>
      <c r="AS97" s="409"/>
      <c r="AT97" s="409"/>
      <c r="AU97" s="409"/>
      <c r="AV97" s="409"/>
      <c r="AW97" s="409"/>
      <c r="AX97" s="409"/>
      <c r="AY97" s="409"/>
      <c r="AZ97" s="409"/>
      <c r="BA97" s="409"/>
      <c r="BB97" s="409"/>
      <c r="BC97" s="409"/>
      <c r="BD97" s="407"/>
      <c r="BE97" s="444"/>
      <c r="BF97" s="444"/>
      <c r="BG97" s="444"/>
      <c r="BH97" s="444"/>
      <c r="BI97" s="444"/>
      <c r="BJ97" s="444"/>
      <c r="BK97" s="444"/>
      <c r="BL97" s="444"/>
      <c r="BM97" s="444"/>
      <c r="BN97" s="444"/>
      <c r="BO97" s="444"/>
      <c r="BP97" s="444"/>
      <c r="BQ97" s="444"/>
      <c r="BR97" s="444"/>
      <c r="BS97" s="444"/>
      <c r="BT97" s="444"/>
    </row>
    <row r="98" spans="1:72" ht="15">
      <c r="A98" s="392"/>
      <c r="B98" s="392"/>
      <c r="C98" s="392"/>
      <c r="D98" s="392"/>
      <c r="E98" s="392"/>
      <c r="F98" s="392"/>
      <c r="G98" s="392"/>
      <c r="H98" s="392"/>
      <c r="I98" s="392"/>
      <c r="J98" s="392"/>
      <c r="K98" s="392"/>
      <c r="L98" s="392"/>
      <c r="M98" s="392"/>
      <c r="N98" s="392"/>
      <c r="O98" s="392"/>
      <c r="P98" s="392"/>
      <c r="Q98" s="392"/>
      <c r="R98" s="392"/>
      <c r="S98" s="409"/>
      <c r="T98" s="409"/>
      <c r="U98" s="409"/>
      <c r="V98" s="409"/>
      <c r="W98" s="392"/>
      <c r="X98" s="392"/>
      <c r="Y98" s="409"/>
      <c r="Z98" s="409"/>
      <c r="AA98" s="392"/>
      <c r="AB98" s="392"/>
      <c r="AC98" s="392"/>
      <c r="AD98" s="409"/>
      <c r="AE98" s="409"/>
      <c r="AF98" s="409"/>
      <c r="AG98" s="409"/>
      <c r="AH98" s="409"/>
      <c r="AI98" s="409"/>
      <c r="AJ98" s="409"/>
      <c r="AK98" s="409"/>
      <c r="AL98" s="409"/>
      <c r="AM98" s="409"/>
      <c r="AN98" s="409"/>
      <c r="AO98" s="409"/>
      <c r="AP98" s="409"/>
      <c r="AQ98" s="409"/>
      <c r="AR98" s="409"/>
      <c r="AS98" s="409"/>
      <c r="AT98" s="409"/>
      <c r="AU98" s="409"/>
      <c r="AV98" s="409"/>
      <c r="AW98" s="409"/>
      <c r="AX98" s="409"/>
      <c r="AY98" s="409"/>
      <c r="AZ98" s="409"/>
      <c r="BA98" s="409"/>
      <c r="BB98" s="409"/>
      <c r="BC98" s="409"/>
      <c r="BD98" s="407"/>
      <c r="BE98" s="444"/>
      <c r="BF98" s="444"/>
      <c r="BG98" s="444"/>
      <c r="BH98" s="444"/>
      <c r="BI98" s="444"/>
      <c r="BJ98" s="444"/>
      <c r="BK98" s="444"/>
      <c r="BL98" s="444"/>
      <c r="BM98" s="444"/>
      <c r="BN98" s="444"/>
      <c r="BO98" s="444"/>
      <c r="BP98" s="444"/>
      <c r="BQ98" s="444"/>
      <c r="BR98" s="444"/>
      <c r="BS98" s="444"/>
      <c r="BT98" s="444"/>
    </row>
    <row r="99" spans="1:72" ht="15">
      <c r="A99" s="392"/>
      <c r="B99" s="392"/>
      <c r="C99" s="392"/>
      <c r="D99" s="392"/>
      <c r="E99" s="392"/>
      <c r="F99" s="392"/>
      <c r="G99" s="392"/>
      <c r="H99" s="392"/>
      <c r="I99" s="392"/>
      <c r="J99" s="392"/>
      <c r="K99" s="392"/>
      <c r="L99" s="392"/>
      <c r="M99" s="392"/>
      <c r="N99" s="392"/>
      <c r="O99" s="392"/>
      <c r="P99" s="392"/>
      <c r="Q99" s="392"/>
      <c r="R99" s="392"/>
      <c r="S99" s="409"/>
      <c r="T99" s="409"/>
      <c r="U99" s="409"/>
      <c r="V99" s="409"/>
      <c r="W99" s="392"/>
      <c r="X99" s="392"/>
      <c r="Y99" s="409"/>
      <c r="Z99" s="409"/>
      <c r="AA99" s="392"/>
      <c r="AB99" s="392"/>
      <c r="AC99" s="392"/>
      <c r="AD99" s="409"/>
      <c r="AE99" s="409"/>
      <c r="AF99" s="409"/>
      <c r="AG99" s="409"/>
      <c r="AH99" s="409"/>
      <c r="AI99" s="409"/>
      <c r="AJ99" s="409"/>
      <c r="AK99" s="409"/>
      <c r="AL99" s="409"/>
      <c r="AM99" s="409"/>
      <c r="AN99" s="409"/>
      <c r="AO99" s="409"/>
      <c r="AP99" s="409"/>
      <c r="AQ99" s="409"/>
      <c r="AR99" s="409"/>
      <c r="AS99" s="409"/>
      <c r="AT99" s="409"/>
      <c r="AU99" s="409"/>
      <c r="AV99" s="409"/>
      <c r="AW99" s="409"/>
      <c r="AX99" s="409"/>
      <c r="AY99" s="409"/>
      <c r="AZ99" s="409"/>
      <c r="BA99" s="409"/>
      <c r="BB99" s="409"/>
      <c r="BC99" s="409"/>
      <c r="BD99" s="407"/>
      <c r="BE99" s="444"/>
      <c r="BF99" s="444"/>
      <c r="BG99" s="444"/>
      <c r="BH99" s="444"/>
      <c r="BI99" s="444"/>
      <c r="BJ99" s="444"/>
      <c r="BK99" s="444"/>
      <c r="BL99" s="444"/>
      <c r="BM99" s="444"/>
      <c r="BN99" s="444"/>
      <c r="BO99" s="444"/>
      <c r="BP99" s="444"/>
      <c r="BQ99" s="444"/>
      <c r="BR99" s="444"/>
      <c r="BS99" s="444"/>
      <c r="BT99" s="444"/>
    </row>
    <row r="100" spans="1:72" ht="15">
      <c r="A100" s="392"/>
      <c r="B100" s="392"/>
      <c r="C100" s="392"/>
      <c r="D100" s="392"/>
      <c r="E100" s="392"/>
      <c r="F100" s="392"/>
      <c r="G100" s="392"/>
      <c r="H100" s="392"/>
      <c r="I100" s="392"/>
      <c r="J100" s="392"/>
      <c r="K100" s="392"/>
      <c r="L100" s="392"/>
      <c r="M100" s="392"/>
      <c r="N100" s="392"/>
      <c r="O100" s="392"/>
      <c r="P100" s="392"/>
      <c r="Q100" s="392"/>
      <c r="R100" s="392"/>
      <c r="S100" s="409"/>
      <c r="T100" s="409"/>
      <c r="U100" s="409"/>
      <c r="V100" s="409"/>
      <c r="W100" s="392"/>
      <c r="X100" s="392"/>
      <c r="Y100" s="409"/>
      <c r="Z100" s="409"/>
      <c r="AA100" s="392"/>
      <c r="AB100" s="392"/>
      <c r="AC100" s="392"/>
      <c r="AD100" s="409"/>
      <c r="AE100" s="409"/>
      <c r="AF100" s="409"/>
      <c r="AG100" s="409"/>
      <c r="AH100" s="409"/>
      <c r="AI100" s="409"/>
      <c r="AJ100" s="409"/>
      <c r="AK100" s="409"/>
      <c r="AL100" s="409"/>
      <c r="AM100" s="409"/>
      <c r="AN100" s="409"/>
      <c r="AO100" s="409"/>
      <c r="AP100" s="409"/>
      <c r="AQ100" s="409"/>
      <c r="AR100" s="409"/>
      <c r="AS100" s="409"/>
      <c r="AT100" s="409"/>
      <c r="AU100" s="409"/>
      <c r="AV100" s="409"/>
      <c r="AW100" s="409"/>
      <c r="AX100" s="409"/>
      <c r="AY100" s="409"/>
      <c r="AZ100" s="409"/>
      <c r="BA100" s="409"/>
      <c r="BB100" s="409"/>
      <c r="BC100" s="409"/>
      <c r="BD100" s="407"/>
      <c r="BE100" s="444"/>
      <c r="BF100" s="444"/>
      <c r="BG100" s="444"/>
      <c r="BH100" s="444"/>
      <c r="BI100" s="444"/>
      <c r="BJ100" s="444"/>
      <c r="BK100" s="444"/>
      <c r="BL100" s="444"/>
      <c r="BM100" s="444"/>
      <c r="BN100" s="444"/>
      <c r="BO100" s="444"/>
      <c r="BP100" s="444"/>
      <c r="BQ100" s="444"/>
      <c r="BR100" s="444"/>
      <c r="BS100" s="444"/>
      <c r="BT100" s="444"/>
    </row>
    <row r="101" spans="1:72" ht="15">
      <c r="A101" s="392"/>
      <c r="B101" s="392"/>
      <c r="C101" s="392"/>
      <c r="D101" s="392"/>
      <c r="E101" s="392"/>
      <c r="F101" s="392"/>
      <c r="G101" s="392"/>
      <c r="H101" s="392"/>
      <c r="I101" s="392"/>
      <c r="J101" s="392"/>
      <c r="K101" s="392"/>
      <c r="L101" s="392"/>
      <c r="M101" s="392"/>
      <c r="N101" s="392"/>
      <c r="O101" s="392"/>
      <c r="P101" s="392"/>
      <c r="Q101" s="392"/>
      <c r="R101" s="392"/>
      <c r="S101" s="409"/>
      <c r="T101" s="409"/>
      <c r="U101" s="409"/>
      <c r="V101" s="409"/>
      <c r="W101" s="392"/>
      <c r="X101" s="392"/>
      <c r="Y101" s="409"/>
      <c r="Z101" s="409"/>
      <c r="AA101" s="392"/>
      <c r="AB101" s="392"/>
      <c r="AC101" s="392"/>
      <c r="AD101" s="409"/>
      <c r="AE101" s="409"/>
      <c r="AF101" s="409"/>
      <c r="AG101" s="409"/>
      <c r="AH101" s="409"/>
      <c r="AI101" s="409"/>
      <c r="AJ101" s="409"/>
      <c r="AK101" s="409"/>
      <c r="AL101" s="409"/>
      <c r="AM101" s="409"/>
      <c r="AN101" s="409"/>
      <c r="AO101" s="409"/>
      <c r="AP101" s="409"/>
      <c r="AQ101" s="409"/>
      <c r="AR101" s="409"/>
      <c r="AS101" s="409"/>
      <c r="AT101" s="409"/>
      <c r="AU101" s="409"/>
      <c r="AV101" s="409"/>
      <c r="AW101" s="409"/>
      <c r="AX101" s="409"/>
      <c r="AY101" s="409"/>
      <c r="AZ101" s="409"/>
      <c r="BA101" s="409"/>
      <c r="BB101" s="409"/>
      <c r="BC101" s="409"/>
      <c r="BD101" s="407"/>
      <c r="BE101" s="444"/>
      <c r="BF101" s="444"/>
      <c r="BG101" s="444"/>
      <c r="BH101" s="444"/>
      <c r="BI101" s="444"/>
      <c r="BJ101" s="444"/>
      <c r="BK101" s="444"/>
      <c r="BL101" s="444"/>
      <c r="BM101" s="444"/>
      <c r="BN101" s="444"/>
      <c r="BO101" s="444"/>
      <c r="BP101" s="444"/>
      <c r="BQ101" s="444"/>
      <c r="BR101" s="444"/>
      <c r="BS101" s="444"/>
      <c r="BT101" s="444"/>
    </row>
    <row r="102" spans="1:72" ht="15">
      <c r="A102" s="392"/>
      <c r="B102" s="392"/>
      <c r="C102" s="392"/>
      <c r="D102" s="392"/>
      <c r="E102" s="392"/>
      <c r="F102" s="392"/>
      <c r="G102" s="392"/>
      <c r="H102" s="392"/>
      <c r="I102" s="392"/>
      <c r="J102" s="392"/>
      <c r="K102" s="392"/>
      <c r="L102" s="392"/>
      <c r="M102" s="392"/>
      <c r="N102" s="392"/>
      <c r="O102" s="392"/>
      <c r="P102" s="392"/>
      <c r="Q102" s="392"/>
      <c r="R102" s="392"/>
      <c r="S102" s="409"/>
      <c r="T102" s="409"/>
      <c r="U102" s="409"/>
      <c r="V102" s="409"/>
      <c r="W102" s="392"/>
      <c r="X102" s="392"/>
      <c r="Y102" s="409"/>
      <c r="Z102" s="409"/>
      <c r="AA102" s="392"/>
      <c r="AB102" s="392"/>
      <c r="AC102" s="392"/>
      <c r="AD102" s="409"/>
      <c r="AE102" s="409"/>
      <c r="AF102" s="409"/>
      <c r="AG102" s="409"/>
      <c r="AH102" s="409"/>
      <c r="AI102" s="409"/>
      <c r="AJ102" s="409"/>
      <c r="AK102" s="409"/>
      <c r="AL102" s="409"/>
      <c r="AM102" s="409"/>
      <c r="AN102" s="409"/>
      <c r="AO102" s="409"/>
      <c r="AP102" s="409"/>
      <c r="AQ102" s="409"/>
      <c r="AR102" s="409"/>
      <c r="AS102" s="409"/>
      <c r="AT102" s="409"/>
      <c r="AU102" s="409"/>
      <c r="AV102" s="409"/>
      <c r="AW102" s="409"/>
      <c r="AX102" s="409"/>
      <c r="AY102" s="409"/>
      <c r="AZ102" s="409"/>
      <c r="BA102" s="409"/>
      <c r="BB102" s="409"/>
      <c r="BC102" s="409"/>
      <c r="BD102" s="407"/>
      <c r="BE102" s="444"/>
      <c r="BF102" s="444"/>
      <c r="BG102" s="444"/>
      <c r="BH102" s="444"/>
      <c r="BI102" s="444"/>
      <c r="BJ102" s="444"/>
      <c r="BK102" s="444"/>
      <c r="BL102" s="444"/>
      <c r="BM102" s="444"/>
      <c r="BN102" s="444"/>
      <c r="BO102" s="444"/>
      <c r="BP102" s="444"/>
      <c r="BQ102" s="444"/>
      <c r="BR102" s="444"/>
      <c r="BS102" s="444"/>
      <c r="BT102" s="444"/>
    </row>
    <row r="103" spans="1:72" ht="15">
      <c r="A103" s="392"/>
      <c r="B103" s="392"/>
      <c r="C103" s="392"/>
      <c r="D103" s="392"/>
      <c r="E103" s="392"/>
      <c r="F103" s="392"/>
      <c r="G103" s="392"/>
      <c r="H103" s="392"/>
      <c r="I103" s="392"/>
      <c r="J103" s="392"/>
      <c r="K103" s="392"/>
      <c r="L103" s="392"/>
      <c r="M103" s="392"/>
      <c r="N103" s="392"/>
      <c r="O103" s="392"/>
      <c r="P103" s="392"/>
      <c r="Q103" s="392"/>
      <c r="R103" s="392"/>
      <c r="S103" s="409"/>
      <c r="T103" s="409"/>
      <c r="U103" s="409"/>
      <c r="V103" s="409"/>
      <c r="W103" s="392"/>
      <c r="X103" s="392"/>
      <c r="Y103" s="409"/>
      <c r="Z103" s="409"/>
      <c r="AA103" s="392"/>
      <c r="AB103" s="392"/>
      <c r="AC103" s="392"/>
      <c r="AD103" s="409"/>
      <c r="AE103" s="409"/>
      <c r="AF103" s="409"/>
      <c r="AG103" s="409"/>
      <c r="AH103" s="409"/>
      <c r="AI103" s="409"/>
      <c r="AJ103" s="409"/>
      <c r="AK103" s="409"/>
      <c r="AL103" s="409"/>
      <c r="AM103" s="409"/>
      <c r="AN103" s="409"/>
      <c r="AO103" s="409"/>
      <c r="AP103" s="409"/>
      <c r="AQ103" s="409"/>
      <c r="AR103" s="409"/>
      <c r="AS103" s="409"/>
      <c r="AT103" s="409"/>
      <c r="AU103" s="409"/>
      <c r="AV103" s="409"/>
      <c r="AW103" s="409"/>
      <c r="AX103" s="409"/>
      <c r="AY103" s="409"/>
      <c r="AZ103" s="409"/>
      <c r="BA103" s="409"/>
      <c r="BB103" s="409"/>
      <c r="BC103" s="409"/>
      <c r="BD103" s="407"/>
      <c r="BE103" s="444"/>
      <c r="BF103" s="444"/>
      <c r="BG103" s="444"/>
      <c r="BH103" s="444"/>
      <c r="BI103" s="444"/>
      <c r="BJ103" s="444"/>
      <c r="BK103" s="444"/>
      <c r="BL103" s="444"/>
      <c r="BM103" s="444"/>
      <c r="BN103" s="444"/>
      <c r="BO103" s="444"/>
      <c r="BP103" s="444"/>
      <c r="BQ103" s="444"/>
      <c r="BR103" s="444"/>
      <c r="BS103" s="444"/>
      <c r="BT103" s="444"/>
    </row>
    <row r="104" spans="1:72" ht="15">
      <c r="A104" s="392"/>
      <c r="B104" s="392"/>
      <c r="C104" s="392"/>
      <c r="D104" s="392"/>
      <c r="E104" s="392"/>
      <c r="F104" s="392"/>
      <c r="G104" s="392"/>
      <c r="H104" s="392"/>
      <c r="I104" s="392"/>
      <c r="J104" s="392"/>
      <c r="K104" s="392"/>
      <c r="L104" s="392"/>
      <c r="M104" s="392"/>
      <c r="N104" s="392"/>
      <c r="O104" s="392"/>
      <c r="P104" s="392"/>
      <c r="Q104" s="392"/>
      <c r="R104" s="392"/>
      <c r="S104" s="409"/>
      <c r="T104" s="409"/>
      <c r="U104" s="409"/>
      <c r="V104" s="409"/>
      <c r="W104" s="392"/>
      <c r="X104" s="392"/>
      <c r="Y104" s="409"/>
      <c r="Z104" s="409"/>
      <c r="AA104" s="392"/>
      <c r="AB104" s="392"/>
      <c r="AC104" s="392"/>
      <c r="AD104" s="409"/>
      <c r="AE104" s="409"/>
      <c r="AF104" s="409"/>
      <c r="AG104" s="409"/>
      <c r="AH104" s="409"/>
      <c r="AI104" s="409"/>
      <c r="AJ104" s="409"/>
      <c r="AK104" s="409"/>
      <c r="AL104" s="409"/>
      <c r="AM104" s="409"/>
      <c r="AN104" s="409"/>
      <c r="AO104" s="409"/>
      <c r="AP104" s="409"/>
      <c r="AQ104" s="409"/>
      <c r="AR104" s="409"/>
      <c r="AS104" s="409"/>
      <c r="AT104" s="409"/>
      <c r="AU104" s="409"/>
      <c r="AV104" s="409"/>
      <c r="AW104" s="409"/>
      <c r="AX104" s="409"/>
      <c r="AY104" s="409"/>
      <c r="AZ104" s="409"/>
      <c r="BA104" s="409"/>
      <c r="BB104" s="409"/>
      <c r="BC104" s="409"/>
      <c r="BD104" s="407"/>
      <c r="BE104" s="444"/>
      <c r="BF104" s="444"/>
      <c r="BG104" s="444"/>
      <c r="BH104" s="444"/>
      <c r="BI104" s="444"/>
      <c r="BJ104" s="444"/>
      <c r="BK104" s="444"/>
      <c r="BL104" s="444"/>
      <c r="BM104" s="444"/>
      <c r="BN104" s="444"/>
      <c r="BO104" s="444"/>
      <c r="BP104" s="444"/>
      <c r="BQ104" s="444"/>
      <c r="BR104" s="444"/>
      <c r="BS104" s="444"/>
      <c r="BT104" s="444"/>
    </row>
    <row r="105" spans="1:72" ht="15">
      <c r="A105" s="392"/>
      <c r="B105" s="392"/>
      <c r="C105" s="392"/>
      <c r="D105" s="392"/>
      <c r="E105" s="392"/>
      <c r="F105" s="392"/>
      <c r="G105" s="392"/>
      <c r="H105" s="392"/>
      <c r="I105" s="392"/>
      <c r="J105" s="392"/>
      <c r="K105" s="392"/>
      <c r="L105" s="392"/>
      <c r="M105" s="392"/>
      <c r="N105" s="392"/>
      <c r="O105" s="392"/>
      <c r="P105" s="392"/>
      <c r="Q105" s="392"/>
      <c r="R105" s="392"/>
      <c r="S105" s="409"/>
      <c r="T105" s="409"/>
      <c r="U105" s="409"/>
      <c r="V105" s="409"/>
      <c r="W105" s="392"/>
      <c r="X105" s="392"/>
      <c r="Y105" s="409"/>
      <c r="Z105" s="409"/>
      <c r="AA105" s="392"/>
      <c r="AB105" s="392"/>
      <c r="AC105" s="392"/>
      <c r="AD105" s="409"/>
      <c r="AE105" s="409"/>
      <c r="AF105" s="409"/>
      <c r="AG105" s="409"/>
      <c r="AH105" s="409"/>
      <c r="AI105" s="409"/>
      <c r="AJ105" s="409"/>
      <c r="AK105" s="409"/>
      <c r="AL105" s="409"/>
      <c r="AM105" s="409"/>
      <c r="AN105" s="409"/>
      <c r="AO105" s="409"/>
      <c r="AP105" s="409"/>
      <c r="AQ105" s="409"/>
      <c r="AR105" s="409"/>
      <c r="AS105" s="409"/>
      <c r="AT105" s="409"/>
      <c r="AU105" s="409"/>
      <c r="AV105" s="409"/>
      <c r="AW105" s="409"/>
      <c r="AX105" s="409"/>
      <c r="AY105" s="409"/>
      <c r="AZ105" s="409"/>
      <c r="BA105" s="409"/>
      <c r="BB105" s="409"/>
      <c r="BC105" s="409"/>
      <c r="BD105" s="407"/>
      <c r="BE105" s="444"/>
      <c r="BF105" s="444"/>
      <c r="BG105" s="444"/>
      <c r="BH105" s="444"/>
      <c r="BI105" s="444"/>
      <c r="BJ105" s="444"/>
      <c r="BK105" s="444"/>
      <c r="BL105" s="444"/>
      <c r="BM105" s="444"/>
      <c r="BN105" s="444"/>
      <c r="BO105" s="444"/>
      <c r="BP105" s="444"/>
      <c r="BQ105" s="444"/>
      <c r="BR105" s="444"/>
      <c r="BS105" s="444"/>
      <c r="BT105" s="444"/>
    </row>
    <row r="106" spans="1:72" ht="15">
      <c r="A106" s="392"/>
      <c r="B106" s="392"/>
      <c r="C106" s="392"/>
      <c r="D106" s="392"/>
      <c r="E106" s="392"/>
      <c r="F106" s="392"/>
      <c r="G106" s="392"/>
      <c r="H106" s="392"/>
      <c r="I106" s="392"/>
      <c r="J106" s="392"/>
      <c r="K106" s="392"/>
      <c r="L106" s="392"/>
      <c r="M106" s="392"/>
      <c r="N106" s="392"/>
      <c r="O106" s="392"/>
      <c r="P106" s="392"/>
      <c r="Q106" s="392"/>
      <c r="R106" s="392"/>
      <c r="S106" s="409"/>
      <c r="T106" s="409"/>
      <c r="U106" s="409"/>
      <c r="V106" s="409"/>
      <c r="W106" s="392"/>
      <c r="X106" s="392"/>
      <c r="Y106" s="409"/>
      <c r="Z106" s="409"/>
      <c r="AA106" s="392"/>
      <c r="AB106" s="392"/>
      <c r="AC106" s="392"/>
      <c r="AD106" s="409"/>
      <c r="AE106" s="409"/>
      <c r="AF106" s="409"/>
      <c r="AG106" s="409"/>
      <c r="AH106" s="409"/>
      <c r="AI106" s="409"/>
      <c r="AJ106" s="409"/>
      <c r="AK106" s="409"/>
      <c r="AL106" s="409"/>
      <c r="AM106" s="409"/>
      <c r="AN106" s="409"/>
      <c r="AO106" s="409"/>
      <c r="AP106" s="409"/>
      <c r="AQ106" s="409"/>
      <c r="AR106" s="409"/>
      <c r="AS106" s="409"/>
      <c r="AT106" s="409"/>
      <c r="AU106" s="409"/>
      <c r="AV106" s="409"/>
      <c r="AW106" s="409"/>
      <c r="AX106" s="409"/>
      <c r="AY106" s="409"/>
      <c r="AZ106" s="409"/>
      <c r="BA106" s="409"/>
      <c r="BB106" s="409"/>
      <c r="BC106" s="409"/>
      <c r="BD106" s="407"/>
      <c r="BE106" s="444"/>
      <c r="BF106" s="444"/>
      <c r="BG106" s="444"/>
      <c r="BH106" s="444"/>
      <c r="BI106" s="444"/>
      <c r="BJ106" s="444"/>
      <c r="BK106" s="444"/>
      <c r="BL106" s="444"/>
      <c r="BM106" s="444"/>
      <c r="BN106" s="444"/>
      <c r="BO106" s="444"/>
      <c r="BP106" s="444"/>
      <c r="BQ106" s="444"/>
      <c r="BR106" s="444"/>
      <c r="BS106" s="444"/>
      <c r="BT106" s="444"/>
    </row>
    <row r="107" spans="1:72" ht="15">
      <c r="A107" s="392"/>
      <c r="B107" s="392"/>
      <c r="C107" s="392"/>
      <c r="D107" s="392"/>
      <c r="E107" s="392"/>
      <c r="F107" s="392"/>
      <c r="G107" s="392"/>
      <c r="H107" s="392"/>
      <c r="I107" s="392"/>
      <c r="J107" s="392"/>
      <c r="K107" s="392"/>
      <c r="L107" s="392"/>
      <c r="M107" s="392"/>
      <c r="N107" s="392"/>
      <c r="O107" s="392"/>
      <c r="P107" s="392"/>
      <c r="Q107" s="392"/>
      <c r="R107" s="392"/>
      <c r="S107" s="409"/>
      <c r="T107" s="409"/>
      <c r="U107" s="409"/>
      <c r="V107" s="409"/>
      <c r="W107" s="392"/>
      <c r="X107" s="392"/>
      <c r="Y107" s="409"/>
      <c r="Z107" s="409"/>
      <c r="AA107" s="392"/>
      <c r="AB107" s="392"/>
      <c r="AC107" s="392"/>
      <c r="AD107" s="409"/>
      <c r="AE107" s="409"/>
      <c r="AF107" s="409"/>
      <c r="AG107" s="409"/>
      <c r="AH107" s="409"/>
      <c r="AI107" s="409"/>
      <c r="AJ107" s="409"/>
      <c r="AK107" s="409"/>
      <c r="AL107" s="409"/>
      <c r="AM107" s="409"/>
      <c r="AN107" s="409"/>
      <c r="AO107" s="409"/>
      <c r="AP107" s="409"/>
      <c r="AQ107" s="409"/>
      <c r="AR107" s="409"/>
      <c r="AS107" s="409"/>
      <c r="AT107" s="409"/>
      <c r="AU107" s="409"/>
      <c r="AV107" s="409"/>
      <c r="AW107" s="409"/>
      <c r="AX107" s="409"/>
      <c r="AY107" s="409"/>
      <c r="AZ107" s="409"/>
      <c r="BA107" s="409"/>
      <c r="BB107" s="409"/>
      <c r="BC107" s="409"/>
      <c r="BD107" s="407"/>
      <c r="BE107" s="444"/>
      <c r="BF107" s="444"/>
      <c r="BG107" s="444"/>
      <c r="BH107" s="444"/>
      <c r="BI107" s="444"/>
      <c r="BJ107" s="444"/>
      <c r="BK107" s="444"/>
      <c r="BL107" s="444"/>
      <c r="BM107" s="444"/>
      <c r="BN107" s="444"/>
      <c r="BO107" s="444"/>
      <c r="BP107" s="444"/>
      <c r="BQ107" s="444"/>
      <c r="BR107" s="444"/>
      <c r="BS107" s="444"/>
      <c r="BT107" s="444"/>
    </row>
    <row r="108" spans="1:72" ht="15">
      <c r="A108" s="392"/>
      <c r="B108" s="392"/>
      <c r="C108" s="392"/>
      <c r="D108" s="392"/>
      <c r="E108" s="392"/>
      <c r="F108" s="392"/>
      <c r="G108" s="392"/>
      <c r="H108" s="392"/>
      <c r="I108" s="392"/>
      <c r="J108" s="392"/>
      <c r="K108" s="392"/>
      <c r="L108" s="392"/>
      <c r="M108" s="392"/>
      <c r="N108" s="392"/>
      <c r="O108" s="392"/>
      <c r="P108" s="392"/>
      <c r="Q108" s="392"/>
      <c r="R108" s="392"/>
      <c r="S108" s="409"/>
      <c r="T108" s="409"/>
      <c r="U108" s="409"/>
      <c r="V108" s="409"/>
      <c r="W108" s="392"/>
      <c r="X108" s="392"/>
      <c r="Y108" s="409"/>
      <c r="Z108" s="409"/>
      <c r="AA108" s="392"/>
      <c r="AB108" s="392"/>
      <c r="AC108" s="392"/>
      <c r="AD108" s="409"/>
      <c r="AE108" s="409"/>
      <c r="AF108" s="409"/>
      <c r="AG108" s="409"/>
      <c r="AH108" s="409"/>
      <c r="AI108" s="409"/>
      <c r="AJ108" s="409"/>
      <c r="AK108" s="409"/>
      <c r="AL108" s="409"/>
      <c r="AM108" s="409"/>
      <c r="AN108" s="409"/>
      <c r="AO108" s="409"/>
      <c r="AP108" s="409"/>
      <c r="AQ108" s="409"/>
      <c r="AR108" s="409"/>
      <c r="AS108" s="409"/>
      <c r="AT108" s="409"/>
      <c r="AU108" s="409"/>
      <c r="AV108" s="409"/>
      <c r="AW108" s="409"/>
      <c r="AX108" s="409"/>
      <c r="AY108" s="409"/>
      <c r="AZ108" s="409"/>
      <c r="BA108" s="409"/>
      <c r="BB108" s="409"/>
      <c r="BC108" s="409"/>
      <c r="BD108" s="407"/>
      <c r="BE108" s="444"/>
      <c r="BF108" s="444"/>
      <c r="BG108" s="444"/>
      <c r="BH108" s="444"/>
      <c r="BI108" s="444"/>
      <c r="BJ108" s="444"/>
      <c r="BK108" s="444"/>
      <c r="BL108" s="444"/>
      <c r="BM108" s="444"/>
      <c r="BN108" s="444"/>
      <c r="BO108" s="444"/>
      <c r="BP108" s="444"/>
      <c r="BQ108" s="444"/>
      <c r="BR108" s="444"/>
      <c r="BS108" s="444"/>
      <c r="BT108" s="444"/>
    </row>
    <row r="109" spans="1:72" ht="15">
      <c r="A109" s="392"/>
      <c r="B109" s="392"/>
      <c r="C109" s="392"/>
      <c r="D109" s="392"/>
      <c r="E109" s="392"/>
      <c r="F109" s="392"/>
      <c r="G109" s="392"/>
      <c r="H109" s="392"/>
      <c r="I109" s="392"/>
      <c r="J109" s="392"/>
      <c r="K109" s="392"/>
      <c r="L109" s="392"/>
      <c r="M109" s="392"/>
      <c r="N109" s="392"/>
      <c r="O109" s="392"/>
      <c r="P109" s="392"/>
      <c r="Q109" s="392"/>
      <c r="R109" s="392"/>
      <c r="S109" s="409"/>
      <c r="T109" s="409"/>
      <c r="U109" s="409"/>
      <c r="V109" s="409"/>
      <c r="W109" s="392"/>
      <c r="X109" s="392"/>
      <c r="Y109" s="409"/>
      <c r="Z109" s="409"/>
      <c r="AA109" s="392"/>
      <c r="AB109" s="392"/>
      <c r="AC109" s="392"/>
      <c r="AD109" s="409"/>
      <c r="AE109" s="409"/>
      <c r="AF109" s="409"/>
      <c r="AG109" s="409"/>
      <c r="AH109" s="409"/>
      <c r="AI109" s="409"/>
      <c r="AJ109" s="409"/>
      <c r="AK109" s="409"/>
      <c r="AL109" s="409"/>
      <c r="AM109" s="409"/>
      <c r="AN109" s="409"/>
      <c r="AO109" s="409"/>
      <c r="AP109" s="409"/>
      <c r="AQ109" s="409"/>
      <c r="AR109" s="409"/>
      <c r="AS109" s="409"/>
      <c r="AT109" s="409"/>
      <c r="AU109" s="409"/>
      <c r="AV109" s="409"/>
      <c r="AW109" s="409"/>
      <c r="AX109" s="409"/>
      <c r="AY109" s="409"/>
      <c r="AZ109" s="409"/>
      <c r="BA109" s="409"/>
      <c r="BB109" s="409"/>
      <c r="BC109" s="409"/>
      <c r="BD109" s="407"/>
      <c r="BE109" s="444"/>
      <c r="BF109" s="444"/>
      <c r="BG109" s="444"/>
      <c r="BH109" s="444"/>
      <c r="BI109" s="444"/>
      <c r="BJ109" s="444"/>
      <c r="BK109" s="444"/>
      <c r="BL109" s="444"/>
      <c r="BM109" s="444"/>
      <c r="BN109" s="444"/>
      <c r="BO109" s="444"/>
      <c r="BP109" s="444"/>
      <c r="BQ109" s="444"/>
      <c r="BR109" s="444"/>
      <c r="BS109" s="444"/>
      <c r="BT109" s="444"/>
    </row>
    <row r="110" spans="1:72" ht="15">
      <c r="A110" s="392"/>
      <c r="B110" s="392"/>
      <c r="C110" s="392"/>
      <c r="D110" s="392"/>
      <c r="E110" s="392"/>
      <c r="F110" s="392"/>
      <c r="G110" s="392"/>
      <c r="H110" s="392"/>
      <c r="I110" s="392"/>
      <c r="J110" s="392"/>
      <c r="K110" s="392"/>
      <c r="L110" s="392"/>
      <c r="M110" s="392"/>
      <c r="N110" s="392"/>
      <c r="O110" s="392"/>
      <c r="P110" s="392"/>
      <c r="Q110" s="392"/>
      <c r="R110" s="392"/>
      <c r="S110" s="409"/>
      <c r="T110" s="409"/>
      <c r="U110" s="409"/>
      <c r="V110" s="409"/>
      <c r="W110" s="392"/>
      <c r="X110" s="392"/>
      <c r="Y110" s="409"/>
      <c r="Z110" s="409"/>
      <c r="AA110" s="392"/>
      <c r="AB110" s="392"/>
      <c r="AC110" s="392"/>
      <c r="AD110" s="409"/>
      <c r="AE110" s="409"/>
      <c r="AF110" s="409"/>
      <c r="AG110" s="409"/>
      <c r="AH110" s="409"/>
      <c r="AI110" s="409"/>
      <c r="AJ110" s="409"/>
      <c r="AK110" s="409"/>
      <c r="AL110" s="409"/>
      <c r="AM110" s="409"/>
      <c r="AN110" s="409"/>
      <c r="AO110" s="409"/>
      <c r="AP110" s="409"/>
      <c r="AQ110" s="409"/>
      <c r="AR110" s="409"/>
      <c r="AS110" s="409"/>
      <c r="AT110" s="409"/>
      <c r="AU110" s="409"/>
      <c r="AV110" s="409"/>
      <c r="AW110" s="409"/>
      <c r="AX110" s="409"/>
      <c r="AY110" s="409"/>
      <c r="AZ110" s="409"/>
      <c r="BA110" s="409"/>
      <c r="BB110" s="409"/>
      <c r="BC110" s="409"/>
      <c r="BD110" s="407"/>
      <c r="BE110" s="444"/>
      <c r="BF110" s="444"/>
      <c r="BG110" s="444"/>
      <c r="BH110" s="444"/>
      <c r="BI110" s="444"/>
      <c r="BJ110" s="444"/>
      <c r="BK110" s="444"/>
      <c r="BL110" s="444"/>
      <c r="BM110" s="444"/>
      <c r="BN110" s="444"/>
      <c r="BO110" s="444"/>
      <c r="BP110" s="444"/>
      <c r="BQ110" s="444"/>
      <c r="BR110" s="444"/>
      <c r="BS110" s="444"/>
      <c r="BT110" s="444"/>
    </row>
    <row r="111" spans="1:72" ht="15">
      <c r="A111" s="392"/>
      <c r="B111" s="392"/>
      <c r="C111" s="392"/>
      <c r="D111" s="392"/>
      <c r="E111" s="392"/>
      <c r="F111" s="392"/>
      <c r="G111" s="392"/>
      <c r="H111" s="392"/>
      <c r="I111" s="392"/>
      <c r="J111" s="392"/>
      <c r="K111" s="392"/>
      <c r="L111" s="392"/>
      <c r="M111" s="392"/>
      <c r="N111" s="392"/>
      <c r="O111" s="392"/>
      <c r="P111" s="392"/>
      <c r="Q111" s="392"/>
      <c r="R111" s="392"/>
      <c r="S111" s="409"/>
      <c r="T111" s="409"/>
      <c r="U111" s="409"/>
      <c r="V111" s="409"/>
      <c r="W111" s="392"/>
      <c r="X111" s="392"/>
      <c r="Y111" s="409"/>
      <c r="Z111" s="409"/>
      <c r="AA111" s="392"/>
      <c r="AB111" s="392"/>
      <c r="AC111" s="392"/>
      <c r="AD111" s="409"/>
      <c r="AE111" s="409"/>
      <c r="AF111" s="409"/>
      <c r="AG111" s="409"/>
      <c r="AH111" s="409"/>
      <c r="AI111" s="409"/>
      <c r="AJ111" s="409"/>
      <c r="AK111" s="409"/>
      <c r="AL111" s="409"/>
      <c r="AM111" s="409"/>
      <c r="AN111" s="409"/>
      <c r="AO111" s="409"/>
      <c r="AP111" s="409"/>
      <c r="AQ111" s="409"/>
      <c r="AR111" s="409"/>
      <c r="AS111" s="409"/>
      <c r="AT111" s="409"/>
      <c r="AU111" s="409"/>
      <c r="AV111" s="409"/>
      <c r="AW111" s="409"/>
      <c r="AX111" s="409"/>
      <c r="AY111" s="409"/>
      <c r="AZ111" s="409"/>
      <c r="BA111" s="409"/>
      <c r="BB111" s="409"/>
      <c r="BC111" s="409"/>
      <c r="BD111" s="407"/>
      <c r="BE111" s="444"/>
      <c r="BF111" s="444"/>
      <c r="BG111" s="444"/>
      <c r="BH111" s="444"/>
      <c r="BI111" s="444"/>
      <c r="BJ111" s="444"/>
      <c r="BK111" s="444"/>
      <c r="BL111" s="444"/>
      <c r="BM111" s="444"/>
      <c r="BN111" s="444"/>
      <c r="BO111" s="444"/>
      <c r="BP111" s="444"/>
      <c r="BQ111" s="444"/>
      <c r="BR111" s="444"/>
      <c r="BS111" s="444"/>
      <c r="BT111" s="444"/>
    </row>
    <row r="112" spans="1:72" ht="15">
      <c r="A112" s="392"/>
      <c r="B112" s="392"/>
      <c r="C112" s="392"/>
      <c r="D112" s="392"/>
      <c r="E112" s="392"/>
      <c r="F112" s="392"/>
      <c r="G112" s="392"/>
      <c r="H112" s="392"/>
      <c r="I112" s="392"/>
      <c r="J112" s="392"/>
      <c r="K112" s="392"/>
      <c r="L112" s="392"/>
      <c r="M112" s="392"/>
      <c r="N112" s="392"/>
      <c r="O112" s="392"/>
      <c r="P112" s="392"/>
      <c r="Q112" s="392"/>
      <c r="R112" s="392"/>
      <c r="S112" s="409"/>
      <c r="T112" s="409"/>
      <c r="U112" s="409"/>
      <c r="V112" s="409"/>
      <c r="W112" s="392"/>
      <c r="X112" s="392"/>
      <c r="Y112" s="409"/>
      <c r="Z112" s="409"/>
      <c r="AA112" s="392"/>
      <c r="AB112" s="392"/>
      <c r="AC112" s="392"/>
      <c r="AD112" s="409"/>
      <c r="AE112" s="409"/>
      <c r="AF112" s="409"/>
      <c r="AG112" s="409"/>
      <c r="AH112" s="409"/>
      <c r="AI112" s="409"/>
      <c r="AJ112" s="409"/>
      <c r="AK112" s="409"/>
      <c r="AL112" s="409"/>
      <c r="AM112" s="409"/>
      <c r="AN112" s="409"/>
      <c r="AO112" s="409"/>
      <c r="AP112" s="409"/>
      <c r="AQ112" s="409"/>
      <c r="AR112" s="409"/>
      <c r="AS112" s="409"/>
      <c r="AT112" s="409"/>
      <c r="AU112" s="409"/>
      <c r="AV112" s="409"/>
      <c r="AW112" s="409"/>
      <c r="AX112" s="409"/>
      <c r="AY112" s="409"/>
      <c r="AZ112" s="409"/>
      <c r="BA112" s="409"/>
      <c r="BB112" s="409"/>
      <c r="BC112" s="409"/>
      <c r="BD112" s="407"/>
      <c r="BE112" s="444"/>
      <c r="BF112" s="444"/>
      <c r="BG112" s="444"/>
      <c r="BH112" s="444"/>
      <c r="BI112" s="444"/>
      <c r="BJ112" s="444"/>
      <c r="BK112" s="444"/>
      <c r="BL112" s="444"/>
      <c r="BM112" s="444"/>
      <c r="BN112" s="444"/>
      <c r="BO112" s="444"/>
      <c r="BP112" s="444"/>
      <c r="BQ112" s="444"/>
      <c r="BR112" s="444"/>
      <c r="BS112" s="444"/>
      <c r="BT112" s="444"/>
    </row>
    <row r="113" spans="1:72" ht="15">
      <c r="A113" s="392"/>
      <c r="B113" s="392"/>
      <c r="C113" s="392"/>
      <c r="D113" s="392"/>
      <c r="E113" s="392"/>
      <c r="F113" s="392"/>
      <c r="G113" s="392"/>
      <c r="H113" s="392"/>
      <c r="I113" s="392"/>
      <c r="J113" s="392"/>
      <c r="K113" s="392"/>
      <c r="L113" s="392"/>
      <c r="M113" s="392"/>
      <c r="N113" s="392"/>
      <c r="O113" s="392"/>
      <c r="P113" s="392"/>
      <c r="Q113" s="392"/>
      <c r="R113" s="392"/>
      <c r="S113" s="409"/>
      <c r="T113" s="409"/>
      <c r="U113" s="409"/>
      <c r="V113" s="409"/>
      <c r="W113" s="392"/>
      <c r="X113" s="392"/>
      <c r="Y113" s="409"/>
      <c r="Z113" s="409"/>
      <c r="AA113" s="392"/>
      <c r="AB113" s="392"/>
      <c r="AC113" s="392"/>
      <c r="AD113" s="409"/>
      <c r="AE113" s="409"/>
      <c r="AF113" s="409"/>
      <c r="AG113" s="409"/>
      <c r="AH113" s="409"/>
      <c r="AI113" s="409"/>
      <c r="AJ113" s="409"/>
      <c r="AK113" s="409"/>
      <c r="AL113" s="409"/>
      <c r="AM113" s="409"/>
      <c r="AN113" s="409"/>
      <c r="AO113" s="409"/>
      <c r="AP113" s="409"/>
      <c r="AQ113" s="409"/>
      <c r="AR113" s="409"/>
      <c r="AS113" s="409"/>
      <c r="AT113" s="409"/>
      <c r="AU113" s="409"/>
      <c r="AV113" s="409"/>
      <c r="AW113" s="409"/>
      <c r="AX113" s="409"/>
      <c r="AY113" s="409"/>
      <c r="AZ113" s="409"/>
      <c r="BA113" s="409"/>
      <c r="BB113" s="409"/>
      <c r="BC113" s="409"/>
      <c r="BD113" s="407"/>
      <c r="BE113" s="444"/>
      <c r="BF113" s="444"/>
      <c r="BG113" s="444"/>
      <c r="BH113" s="444"/>
      <c r="BI113" s="444"/>
      <c r="BJ113" s="444"/>
      <c r="BK113" s="444"/>
      <c r="BL113" s="444"/>
      <c r="BM113" s="444"/>
      <c r="BN113" s="444"/>
      <c r="BO113" s="444"/>
      <c r="BP113" s="444"/>
      <c r="BQ113" s="444"/>
      <c r="BR113" s="444"/>
      <c r="BS113" s="444"/>
      <c r="BT113" s="444"/>
    </row>
    <row r="114" spans="1:72" ht="15">
      <c r="A114" s="392"/>
      <c r="B114" s="392"/>
      <c r="C114" s="392"/>
      <c r="D114" s="392"/>
      <c r="E114" s="392"/>
      <c r="F114" s="392"/>
      <c r="G114" s="392"/>
      <c r="H114" s="392"/>
      <c r="I114" s="392"/>
      <c r="J114" s="392"/>
      <c r="K114" s="392"/>
      <c r="L114" s="392"/>
      <c r="M114" s="392"/>
      <c r="N114" s="392"/>
      <c r="O114" s="392"/>
      <c r="P114" s="392"/>
      <c r="Q114" s="392"/>
      <c r="R114" s="392"/>
      <c r="S114" s="409"/>
      <c r="T114" s="409"/>
      <c r="U114" s="409"/>
      <c r="V114" s="409"/>
      <c r="W114" s="392"/>
      <c r="X114" s="392"/>
      <c r="Y114" s="409"/>
      <c r="Z114" s="409"/>
      <c r="AA114" s="392"/>
      <c r="AB114" s="392"/>
      <c r="AC114" s="392"/>
      <c r="AD114" s="409"/>
      <c r="AE114" s="409"/>
      <c r="AF114" s="409"/>
      <c r="AG114" s="409"/>
      <c r="AH114" s="409"/>
      <c r="AI114" s="409"/>
      <c r="AJ114" s="409"/>
      <c r="AK114" s="409"/>
      <c r="AL114" s="409"/>
      <c r="AM114" s="409"/>
      <c r="AN114" s="409"/>
      <c r="AO114" s="409"/>
      <c r="AP114" s="409"/>
      <c r="AQ114" s="409"/>
      <c r="AR114" s="409"/>
      <c r="AS114" s="409"/>
      <c r="AT114" s="409"/>
      <c r="AU114" s="409"/>
      <c r="AV114" s="409"/>
      <c r="AW114" s="409"/>
      <c r="AX114" s="409"/>
      <c r="AY114" s="409"/>
      <c r="AZ114" s="409"/>
      <c r="BA114" s="409"/>
      <c r="BB114" s="409"/>
      <c r="BC114" s="409"/>
      <c r="BD114" s="407"/>
      <c r="BE114" s="444"/>
      <c r="BF114" s="444"/>
      <c r="BG114" s="444"/>
      <c r="BH114" s="444"/>
      <c r="BI114" s="444"/>
      <c r="BJ114" s="444"/>
      <c r="BK114" s="444"/>
      <c r="BL114" s="444"/>
      <c r="BM114" s="444"/>
      <c r="BN114" s="444"/>
      <c r="BO114" s="444"/>
      <c r="BP114" s="444"/>
      <c r="BQ114" s="444"/>
      <c r="BR114" s="444"/>
      <c r="BS114" s="444"/>
      <c r="BT114" s="444"/>
    </row>
    <row r="115" spans="1:72" ht="15">
      <c r="A115" s="392"/>
      <c r="B115" s="392"/>
      <c r="C115" s="392"/>
      <c r="D115" s="392"/>
      <c r="E115" s="392"/>
      <c r="F115" s="392"/>
      <c r="G115" s="392"/>
      <c r="H115" s="392"/>
      <c r="I115" s="392"/>
      <c r="J115" s="392"/>
      <c r="K115" s="392"/>
      <c r="L115" s="392"/>
      <c r="M115" s="392"/>
      <c r="N115" s="392"/>
      <c r="O115" s="392"/>
      <c r="P115" s="392"/>
      <c r="Q115" s="392"/>
      <c r="R115" s="392"/>
      <c r="S115" s="409"/>
      <c r="T115" s="409"/>
      <c r="U115" s="409"/>
      <c r="V115" s="409"/>
      <c r="W115" s="392"/>
      <c r="X115" s="392"/>
      <c r="Y115" s="409"/>
      <c r="Z115" s="409"/>
      <c r="AA115" s="392"/>
      <c r="AB115" s="392"/>
      <c r="AC115" s="392"/>
      <c r="AD115" s="409"/>
      <c r="AE115" s="409"/>
      <c r="AF115" s="409"/>
      <c r="AG115" s="409"/>
      <c r="AH115" s="409"/>
      <c r="AI115" s="409"/>
      <c r="AJ115" s="409"/>
      <c r="AK115" s="409"/>
      <c r="AL115" s="409"/>
      <c r="AM115" s="409"/>
      <c r="AN115" s="409"/>
      <c r="AO115" s="409"/>
      <c r="AP115" s="409"/>
      <c r="AQ115" s="409"/>
      <c r="AR115" s="409"/>
      <c r="AS115" s="409"/>
      <c r="AT115" s="409"/>
      <c r="AU115" s="409"/>
      <c r="AV115" s="409"/>
      <c r="AW115" s="409"/>
      <c r="AX115" s="409"/>
      <c r="AY115" s="409"/>
      <c r="AZ115" s="409"/>
      <c r="BA115" s="409"/>
      <c r="BB115" s="409"/>
      <c r="BC115" s="409"/>
      <c r="BD115" s="407"/>
      <c r="BE115" s="444"/>
      <c r="BF115" s="444"/>
      <c r="BG115" s="444"/>
      <c r="BH115" s="444"/>
      <c r="BI115" s="444"/>
      <c r="BJ115" s="444"/>
      <c r="BK115" s="444"/>
      <c r="BL115" s="444"/>
      <c r="BM115" s="444"/>
      <c r="BN115" s="444"/>
      <c r="BO115" s="444"/>
      <c r="BP115" s="444"/>
      <c r="BQ115" s="444"/>
      <c r="BR115" s="444"/>
      <c r="BS115" s="444"/>
      <c r="BT115" s="444"/>
    </row>
    <row r="116" spans="1:72" ht="15">
      <c r="A116" s="392"/>
      <c r="B116" s="392"/>
      <c r="C116" s="392"/>
      <c r="D116" s="392"/>
      <c r="E116" s="392"/>
      <c r="F116" s="392"/>
      <c r="G116" s="392"/>
      <c r="H116" s="392"/>
      <c r="I116" s="392"/>
      <c r="J116" s="392"/>
      <c r="K116" s="392"/>
      <c r="L116" s="392"/>
      <c r="M116" s="392"/>
      <c r="N116" s="392"/>
      <c r="O116" s="392"/>
      <c r="P116" s="392"/>
      <c r="Q116" s="392"/>
      <c r="R116" s="392"/>
      <c r="S116" s="409"/>
      <c r="T116" s="409"/>
      <c r="U116" s="409"/>
      <c r="V116" s="409"/>
      <c r="W116" s="392"/>
      <c r="X116" s="392"/>
      <c r="Y116" s="409"/>
      <c r="Z116" s="409"/>
      <c r="AA116" s="392"/>
      <c r="AB116" s="392"/>
      <c r="AC116" s="392"/>
      <c r="AD116" s="409"/>
      <c r="AE116" s="409"/>
      <c r="AF116" s="409"/>
      <c r="AG116" s="409"/>
      <c r="AH116" s="409"/>
      <c r="AI116" s="409"/>
      <c r="AJ116" s="409"/>
      <c r="AK116" s="409"/>
      <c r="AL116" s="409"/>
      <c r="AM116" s="409"/>
      <c r="AN116" s="409"/>
      <c r="AO116" s="409"/>
      <c r="AP116" s="409"/>
      <c r="AQ116" s="409"/>
      <c r="AR116" s="409"/>
      <c r="AS116" s="409"/>
      <c r="AT116" s="409"/>
      <c r="AU116" s="409"/>
      <c r="AV116" s="409"/>
      <c r="AW116" s="409"/>
      <c r="AX116" s="409"/>
      <c r="AY116" s="409"/>
      <c r="AZ116" s="409"/>
      <c r="BA116" s="409"/>
      <c r="BB116" s="409"/>
      <c r="BC116" s="409"/>
      <c r="BD116" s="407"/>
      <c r="BE116" s="444"/>
      <c r="BF116" s="444"/>
      <c r="BG116" s="444"/>
      <c r="BH116" s="444"/>
      <c r="BI116" s="444"/>
      <c r="BJ116" s="444"/>
      <c r="BK116" s="444"/>
      <c r="BL116" s="444"/>
      <c r="BM116" s="444"/>
      <c r="BN116" s="444"/>
      <c r="BO116" s="444"/>
      <c r="BP116" s="444"/>
      <c r="BQ116" s="444"/>
      <c r="BR116" s="444"/>
      <c r="BS116" s="444"/>
      <c r="BT116" s="444"/>
    </row>
    <row r="117" spans="1:72" ht="15">
      <c r="A117" s="392"/>
      <c r="B117" s="392"/>
      <c r="C117" s="392"/>
      <c r="D117" s="392"/>
      <c r="E117" s="392"/>
      <c r="F117" s="392"/>
      <c r="G117" s="392"/>
      <c r="H117" s="392"/>
      <c r="I117" s="392"/>
      <c r="J117" s="392"/>
      <c r="K117" s="392"/>
      <c r="L117" s="392"/>
      <c r="M117" s="392"/>
      <c r="N117" s="392"/>
      <c r="O117" s="392"/>
      <c r="P117" s="392"/>
      <c r="Q117" s="392"/>
      <c r="R117" s="392"/>
      <c r="S117" s="409"/>
      <c r="T117" s="409"/>
      <c r="U117" s="409"/>
      <c r="V117" s="409"/>
      <c r="W117" s="392"/>
      <c r="X117" s="392"/>
      <c r="Y117" s="409"/>
      <c r="Z117" s="409"/>
      <c r="AA117" s="392"/>
      <c r="AB117" s="392"/>
      <c r="AC117" s="392"/>
      <c r="AD117" s="409"/>
      <c r="AE117" s="409"/>
      <c r="AF117" s="409"/>
      <c r="AG117" s="409"/>
      <c r="AH117" s="409"/>
      <c r="AI117" s="409"/>
      <c r="AJ117" s="409"/>
      <c r="AK117" s="409"/>
      <c r="AL117" s="409"/>
      <c r="AM117" s="409"/>
      <c r="AN117" s="409"/>
      <c r="AO117" s="409"/>
      <c r="AP117" s="409"/>
      <c r="AQ117" s="409"/>
      <c r="AR117" s="409"/>
      <c r="AS117" s="409"/>
      <c r="AT117" s="409"/>
      <c r="AU117" s="409"/>
      <c r="AV117" s="409"/>
      <c r="AW117" s="409"/>
      <c r="AX117" s="409"/>
      <c r="AY117" s="409"/>
      <c r="AZ117" s="409"/>
      <c r="BA117" s="409"/>
      <c r="BB117" s="409"/>
      <c r="BC117" s="409"/>
      <c r="BD117" s="407"/>
      <c r="BE117" s="444"/>
      <c r="BF117" s="444"/>
      <c r="BG117" s="444"/>
      <c r="BH117" s="444"/>
      <c r="BI117" s="444"/>
      <c r="BJ117" s="444"/>
      <c r="BK117" s="444"/>
      <c r="BL117" s="444"/>
      <c r="BM117" s="444"/>
      <c r="BN117" s="444"/>
      <c r="BO117" s="444"/>
      <c r="BP117" s="444"/>
      <c r="BQ117" s="444"/>
      <c r="BR117" s="444"/>
      <c r="BS117" s="444"/>
      <c r="BT117" s="444"/>
    </row>
    <row r="118" spans="1:72" ht="15">
      <c r="A118" s="392"/>
      <c r="B118" s="392"/>
      <c r="C118" s="392"/>
      <c r="D118" s="392"/>
      <c r="E118" s="392"/>
      <c r="F118" s="392"/>
      <c r="G118" s="392"/>
      <c r="H118" s="392"/>
      <c r="I118" s="392"/>
      <c r="J118" s="392"/>
      <c r="K118" s="392"/>
      <c r="L118" s="392"/>
      <c r="M118" s="392"/>
      <c r="N118" s="392"/>
      <c r="O118" s="392"/>
      <c r="P118" s="392"/>
      <c r="Q118" s="392"/>
      <c r="R118" s="392"/>
      <c r="S118" s="409"/>
      <c r="T118" s="409"/>
      <c r="U118" s="409"/>
      <c r="V118" s="409"/>
      <c r="W118" s="392"/>
      <c r="X118" s="392"/>
      <c r="Y118" s="409"/>
      <c r="Z118" s="409"/>
      <c r="AA118" s="392"/>
      <c r="AB118" s="392"/>
      <c r="AC118" s="392"/>
      <c r="AD118" s="409"/>
      <c r="AE118" s="409"/>
      <c r="AF118" s="409"/>
      <c r="AG118" s="409"/>
      <c r="AH118" s="409"/>
      <c r="AI118" s="409"/>
      <c r="AJ118" s="409"/>
      <c r="AK118" s="409"/>
      <c r="AL118" s="409"/>
      <c r="AM118" s="409"/>
      <c r="AN118" s="409"/>
      <c r="AO118" s="409"/>
      <c r="AP118" s="409"/>
      <c r="AQ118" s="409"/>
      <c r="AR118" s="409"/>
      <c r="AS118" s="409"/>
      <c r="AT118" s="409"/>
      <c r="AU118" s="409"/>
      <c r="AV118" s="409"/>
      <c r="AW118" s="409"/>
      <c r="AX118" s="409"/>
      <c r="AY118" s="409"/>
      <c r="AZ118" s="409"/>
      <c r="BA118" s="409"/>
      <c r="BB118" s="409"/>
      <c r="BC118" s="409"/>
      <c r="BD118" s="407"/>
      <c r="BE118" s="444"/>
      <c r="BF118" s="444"/>
      <c r="BG118" s="444"/>
      <c r="BH118" s="444"/>
      <c r="BI118" s="444"/>
      <c r="BJ118" s="444"/>
      <c r="BK118" s="444"/>
      <c r="BL118" s="444"/>
      <c r="BM118" s="444"/>
      <c r="BN118" s="444"/>
      <c r="BO118" s="444"/>
      <c r="BP118" s="444"/>
      <c r="BQ118" s="444"/>
      <c r="BR118" s="444"/>
      <c r="BS118" s="444"/>
      <c r="BT118" s="444"/>
    </row>
    <row r="119" spans="1:72" ht="15">
      <c r="A119" s="392"/>
      <c r="B119" s="392"/>
      <c r="C119" s="392"/>
      <c r="D119" s="392"/>
      <c r="E119" s="392"/>
      <c r="F119" s="392"/>
      <c r="G119" s="392"/>
      <c r="H119" s="392"/>
      <c r="I119" s="392"/>
      <c r="J119" s="392"/>
      <c r="K119" s="392"/>
      <c r="L119" s="392"/>
      <c r="M119" s="392"/>
      <c r="N119" s="392"/>
      <c r="O119" s="392"/>
      <c r="P119" s="392"/>
      <c r="Q119" s="392"/>
      <c r="R119" s="392"/>
      <c r="S119" s="409"/>
      <c r="T119" s="409"/>
      <c r="U119" s="409"/>
      <c r="V119" s="409"/>
      <c r="W119" s="392"/>
      <c r="X119" s="392"/>
      <c r="Y119" s="409"/>
      <c r="Z119" s="409"/>
      <c r="AA119" s="392"/>
      <c r="AB119" s="392"/>
      <c r="AC119" s="392"/>
      <c r="AD119" s="409"/>
      <c r="AE119" s="409"/>
      <c r="AF119" s="409"/>
      <c r="AG119" s="409"/>
      <c r="AH119" s="409"/>
      <c r="AI119" s="409"/>
      <c r="AJ119" s="409"/>
      <c r="AK119" s="409"/>
      <c r="AL119" s="409"/>
      <c r="AM119" s="409"/>
      <c r="AN119" s="409"/>
      <c r="AO119" s="409"/>
      <c r="AP119" s="409"/>
      <c r="AQ119" s="409"/>
      <c r="AR119" s="409"/>
      <c r="AS119" s="409"/>
      <c r="AT119" s="409"/>
      <c r="AU119" s="409"/>
      <c r="AV119" s="409"/>
      <c r="AW119" s="409"/>
      <c r="AX119" s="409"/>
      <c r="AY119" s="409"/>
      <c r="AZ119" s="409"/>
      <c r="BA119" s="409"/>
      <c r="BB119" s="409"/>
      <c r="BC119" s="409"/>
      <c r="BD119" s="407"/>
      <c r="BE119" s="444"/>
      <c r="BF119" s="444"/>
      <c r="BG119" s="444"/>
      <c r="BH119" s="444"/>
      <c r="BI119" s="444"/>
      <c r="BJ119" s="444"/>
      <c r="BK119" s="444"/>
      <c r="BL119" s="444"/>
      <c r="BM119" s="444"/>
      <c r="BN119" s="444"/>
      <c r="BO119" s="444"/>
      <c r="BP119" s="444"/>
      <c r="BQ119" s="444"/>
      <c r="BR119" s="444"/>
      <c r="BS119" s="444"/>
      <c r="BT119" s="444"/>
    </row>
    <row r="120" spans="1:72" ht="15">
      <c r="A120" s="392"/>
      <c r="B120" s="392"/>
      <c r="C120" s="392"/>
      <c r="D120" s="392"/>
      <c r="E120" s="392"/>
      <c r="F120" s="392"/>
      <c r="G120" s="392"/>
      <c r="H120" s="392"/>
      <c r="I120" s="392"/>
      <c r="J120" s="392"/>
      <c r="K120" s="392"/>
      <c r="L120" s="392"/>
      <c r="M120" s="392"/>
      <c r="N120" s="392"/>
      <c r="O120" s="392"/>
      <c r="P120" s="392"/>
      <c r="Q120" s="392"/>
      <c r="R120" s="392"/>
      <c r="S120" s="409"/>
      <c r="T120" s="409"/>
      <c r="U120" s="409"/>
      <c r="V120" s="409"/>
      <c r="W120" s="392"/>
      <c r="X120" s="392"/>
      <c r="Y120" s="409"/>
      <c r="Z120" s="409"/>
      <c r="AA120" s="392"/>
      <c r="AB120" s="392"/>
      <c r="AC120" s="392"/>
      <c r="AD120" s="409"/>
      <c r="AE120" s="409"/>
      <c r="AF120" s="409"/>
      <c r="AG120" s="409"/>
      <c r="AH120" s="409"/>
      <c r="AI120" s="409"/>
      <c r="AJ120" s="409"/>
      <c r="AK120" s="409"/>
      <c r="AL120" s="409"/>
      <c r="AM120" s="409"/>
      <c r="AN120" s="409"/>
      <c r="AO120" s="409"/>
      <c r="AP120" s="409"/>
      <c r="AQ120" s="409"/>
      <c r="AR120" s="409"/>
      <c r="AS120" s="409"/>
      <c r="AT120" s="409"/>
      <c r="AU120" s="409"/>
      <c r="AV120" s="409"/>
      <c r="AW120" s="409"/>
      <c r="AX120" s="409"/>
      <c r="AY120" s="409"/>
      <c r="AZ120" s="409"/>
      <c r="BA120" s="409"/>
      <c r="BB120" s="409"/>
      <c r="BC120" s="409"/>
      <c r="BD120" s="407"/>
      <c r="BE120" s="444"/>
      <c r="BF120" s="444"/>
      <c r="BG120" s="444"/>
      <c r="BH120" s="444"/>
      <c r="BI120" s="444"/>
      <c r="BJ120" s="444"/>
      <c r="BK120" s="444"/>
      <c r="BL120" s="444"/>
      <c r="BM120" s="444"/>
      <c r="BN120" s="444"/>
      <c r="BO120" s="444"/>
      <c r="BP120" s="444"/>
      <c r="BQ120" s="444"/>
      <c r="BR120" s="444"/>
      <c r="BS120" s="444"/>
      <c r="BT120" s="444"/>
    </row>
    <row r="121" spans="1:72" ht="15">
      <c r="A121" s="392"/>
      <c r="B121" s="392"/>
      <c r="C121" s="392"/>
      <c r="D121" s="392"/>
      <c r="E121" s="392"/>
      <c r="F121" s="392"/>
      <c r="G121" s="392"/>
      <c r="H121" s="392"/>
      <c r="I121" s="392"/>
      <c r="J121" s="392"/>
      <c r="K121" s="392"/>
      <c r="L121" s="392"/>
      <c r="M121" s="392"/>
      <c r="N121" s="392"/>
      <c r="O121" s="392"/>
      <c r="P121" s="392"/>
      <c r="Q121" s="392"/>
      <c r="R121" s="392"/>
      <c r="S121" s="409"/>
      <c r="T121" s="409"/>
      <c r="U121" s="409"/>
      <c r="V121" s="409"/>
      <c r="W121" s="392"/>
      <c r="X121" s="392"/>
      <c r="Y121" s="409"/>
      <c r="Z121" s="409"/>
      <c r="AA121" s="392"/>
      <c r="AB121" s="392"/>
      <c r="AC121" s="392"/>
      <c r="AD121" s="409"/>
      <c r="AE121" s="409"/>
      <c r="AF121" s="409"/>
      <c r="AG121" s="409"/>
      <c r="AH121" s="409"/>
      <c r="AI121" s="409"/>
      <c r="AJ121" s="409"/>
      <c r="AK121" s="409"/>
      <c r="AL121" s="409"/>
      <c r="AM121" s="409"/>
      <c r="AN121" s="409"/>
      <c r="AO121" s="409"/>
      <c r="AP121" s="409"/>
      <c r="AQ121" s="409"/>
      <c r="AR121" s="409"/>
      <c r="AS121" s="409"/>
      <c r="AT121" s="409"/>
      <c r="AU121" s="409"/>
      <c r="AV121" s="409"/>
      <c r="AW121" s="409"/>
      <c r="AX121" s="409"/>
      <c r="AY121" s="409"/>
      <c r="AZ121" s="409"/>
      <c r="BA121" s="409"/>
      <c r="BB121" s="409"/>
      <c r="BC121" s="409"/>
      <c r="BD121" s="407"/>
      <c r="BE121" s="444"/>
      <c r="BF121" s="444"/>
      <c r="BG121" s="444"/>
      <c r="BH121" s="444"/>
      <c r="BI121" s="444"/>
      <c r="BJ121" s="444"/>
      <c r="BK121" s="444"/>
      <c r="BL121" s="444"/>
      <c r="BM121" s="444"/>
      <c r="BN121" s="444"/>
      <c r="BO121" s="444"/>
      <c r="BP121" s="444"/>
      <c r="BQ121" s="444"/>
      <c r="BR121" s="444"/>
      <c r="BS121" s="444"/>
      <c r="BT121" s="444"/>
    </row>
    <row r="122" spans="1:72" ht="15">
      <c r="A122" s="392"/>
      <c r="B122" s="392"/>
      <c r="C122" s="392"/>
      <c r="D122" s="392"/>
      <c r="E122" s="392"/>
      <c r="F122" s="392"/>
      <c r="G122" s="392"/>
      <c r="H122" s="392"/>
      <c r="I122" s="392"/>
      <c r="J122" s="392"/>
      <c r="K122" s="392"/>
      <c r="L122" s="392"/>
      <c r="M122" s="392"/>
      <c r="N122" s="392"/>
      <c r="O122" s="392"/>
      <c r="P122" s="392"/>
      <c r="Q122" s="392"/>
      <c r="R122" s="392"/>
      <c r="S122" s="409"/>
      <c r="T122" s="409"/>
      <c r="U122" s="409"/>
      <c r="V122" s="409"/>
      <c r="W122" s="392"/>
      <c r="X122" s="392"/>
      <c r="Y122" s="409"/>
      <c r="Z122" s="409"/>
      <c r="AA122" s="392"/>
      <c r="AB122" s="392"/>
      <c r="AC122" s="392"/>
      <c r="AD122" s="409"/>
      <c r="AE122" s="409"/>
      <c r="AF122" s="409"/>
      <c r="AG122" s="409"/>
      <c r="AH122" s="409"/>
      <c r="AI122" s="409"/>
      <c r="AJ122" s="409"/>
      <c r="AK122" s="409"/>
      <c r="AL122" s="409"/>
      <c r="AM122" s="409"/>
      <c r="AN122" s="409"/>
      <c r="AO122" s="409"/>
      <c r="AP122" s="409"/>
      <c r="AQ122" s="409"/>
      <c r="AR122" s="409"/>
      <c r="AS122" s="409"/>
      <c r="AT122" s="409"/>
      <c r="AU122" s="409"/>
      <c r="AV122" s="409"/>
      <c r="AW122" s="409"/>
      <c r="AX122" s="409"/>
      <c r="AY122" s="409"/>
      <c r="AZ122" s="409"/>
      <c r="BA122" s="409"/>
      <c r="BB122" s="409"/>
      <c r="BC122" s="409"/>
      <c r="BD122" s="407"/>
      <c r="BE122" s="444"/>
      <c r="BF122" s="444"/>
      <c r="BG122" s="444"/>
      <c r="BH122" s="444"/>
      <c r="BI122" s="444"/>
      <c r="BJ122" s="444"/>
      <c r="BK122" s="444"/>
      <c r="BL122" s="444"/>
      <c r="BM122" s="444"/>
      <c r="BN122" s="444"/>
      <c r="BO122" s="444"/>
      <c r="BP122" s="444"/>
      <c r="BQ122" s="444"/>
      <c r="BR122" s="444"/>
      <c r="BS122" s="444"/>
      <c r="BT122" s="444"/>
    </row>
    <row r="123" spans="1:72" ht="15">
      <c r="A123" s="392"/>
      <c r="B123" s="392"/>
      <c r="C123" s="392"/>
      <c r="D123" s="392"/>
      <c r="E123" s="392"/>
      <c r="F123" s="392"/>
      <c r="G123" s="392"/>
      <c r="H123" s="392"/>
      <c r="I123" s="392"/>
      <c r="J123" s="392"/>
      <c r="K123" s="392"/>
      <c r="L123" s="392"/>
      <c r="M123" s="392"/>
      <c r="N123" s="392"/>
      <c r="O123" s="392"/>
      <c r="P123" s="392"/>
      <c r="Q123" s="392"/>
      <c r="R123" s="392"/>
      <c r="S123" s="409"/>
      <c r="T123" s="409"/>
      <c r="U123" s="409"/>
      <c r="V123" s="409"/>
      <c r="W123" s="392"/>
      <c r="X123" s="392"/>
      <c r="Y123" s="409"/>
      <c r="Z123" s="409"/>
      <c r="AA123" s="392"/>
      <c r="AB123" s="392"/>
      <c r="AC123" s="392"/>
      <c r="AD123" s="409"/>
      <c r="AE123" s="409"/>
      <c r="AF123" s="409"/>
      <c r="AG123" s="409"/>
      <c r="AH123" s="409"/>
      <c r="AI123" s="409"/>
      <c r="AJ123" s="409"/>
      <c r="AK123" s="409"/>
      <c r="AL123" s="409"/>
      <c r="AM123" s="409"/>
      <c r="AN123" s="409"/>
      <c r="AO123" s="409"/>
      <c r="AP123" s="409"/>
      <c r="AQ123" s="409"/>
      <c r="AR123" s="409"/>
      <c r="AS123" s="409"/>
      <c r="AT123" s="409"/>
      <c r="AU123" s="409"/>
      <c r="AV123" s="409"/>
      <c r="AW123" s="409"/>
      <c r="AX123" s="409"/>
      <c r="AY123" s="409"/>
      <c r="AZ123" s="409"/>
      <c r="BA123" s="409"/>
      <c r="BB123" s="409"/>
      <c r="BC123" s="409"/>
      <c r="BD123" s="407"/>
      <c r="BE123" s="444"/>
      <c r="BF123" s="444"/>
      <c r="BG123" s="444"/>
      <c r="BH123" s="444"/>
      <c r="BI123" s="444"/>
      <c r="BJ123" s="444"/>
      <c r="BK123" s="444"/>
      <c r="BL123" s="444"/>
      <c r="BM123" s="444"/>
      <c r="BN123" s="444"/>
      <c r="BO123" s="444"/>
      <c r="BP123" s="444"/>
      <c r="BQ123" s="444"/>
      <c r="BR123" s="444"/>
      <c r="BS123" s="444"/>
      <c r="BT123" s="444"/>
    </row>
    <row r="124" spans="1:72" ht="15">
      <c r="A124" s="392"/>
      <c r="B124" s="392"/>
      <c r="C124" s="392"/>
      <c r="D124" s="392"/>
      <c r="E124" s="392"/>
      <c r="F124" s="392"/>
      <c r="G124" s="392"/>
      <c r="H124" s="392"/>
      <c r="I124" s="392"/>
      <c r="J124" s="392"/>
      <c r="K124" s="392"/>
      <c r="L124" s="392"/>
      <c r="M124" s="392"/>
      <c r="N124" s="392"/>
      <c r="O124" s="392"/>
      <c r="P124" s="392"/>
      <c r="Q124" s="392"/>
      <c r="R124" s="392"/>
      <c r="S124" s="409"/>
      <c r="T124" s="409"/>
      <c r="U124" s="409"/>
      <c r="V124" s="409"/>
      <c r="W124" s="392"/>
      <c r="X124" s="392"/>
      <c r="Y124" s="409"/>
      <c r="Z124" s="409"/>
      <c r="AA124" s="392"/>
      <c r="AB124" s="392"/>
      <c r="AC124" s="392"/>
      <c r="AD124" s="409"/>
      <c r="AE124" s="409"/>
      <c r="AF124" s="409"/>
      <c r="AG124" s="409"/>
      <c r="AH124" s="409"/>
      <c r="AI124" s="409"/>
      <c r="AJ124" s="409"/>
      <c r="AK124" s="409"/>
      <c r="AL124" s="409"/>
      <c r="AM124" s="409"/>
      <c r="AN124" s="409"/>
      <c r="AO124" s="409"/>
      <c r="AP124" s="409"/>
      <c r="AQ124" s="409"/>
      <c r="AR124" s="409"/>
      <c r="AS124" s="409"/>
      <c r="AT124" s="409"/>
      <c r="AU124" s="409"/>
      <c r="AV124" s="409"/>
      <c r="AW124" s="409"/>
      <c r="AX124" s="409"/>
      <c r="AY124" s="409"/>
      <c r="AZ124" s="409"/>
      <c r="BA124" s="409"/>
      <c r="BB124" s="409"/>
      <c r="BC124" s="409"/>
      <c r="BD124" s="407"/>
      <c r="BE124" s="444"/>
      <c r="BF124" s="444"/>
      <c r="BG124" s="444"/>
      <c r="BH124" s="444"/>
      <c r="BI124" s="444"/>
      <c r="BJ124" s="444"/>
      <c r="BK124" s="444"/>
      <c r="BL124" s="444"/>
      <c r="BM124" s="444"/>
      <c r="BN124" s="444"/>
      <c r="BO124" s="444"/>
      <c r="BP124" s="444"/>
      <c r="BQ124" s="444"/>
      <c r="BR124" s="444"/>
      <c r="BS124" s="444"/>
      <c r="BT124" s="444"/>
    </row>
    <row r="125" spans="1:72" ht="15">
      <c r="A125" s="392"/>
      <c r="B125" s="392"/>
      <c r="C125" s="392"/>
      <c r="D125" s="392"/>
      <c r="E125" s="392"/>
      <c r="F125" s="392"/>
      <c r="G125" s="392"/>
      <c r="H125" s="392"/>
      <c r="I125" s="392"/>
      <c r="J125" s="392"/>
      <c r="K125" s="392"/>
      <c r="L125" s="392"/>
      <c r="M125" s="392"/>
      <c r="N125" s="392"/>
      <c r="O125" s="392"/>
      <c r="P125" s="392"/>
      <c r="Q125" s="392"/>
      <c r="R125" s="392"/>
      <c r="S125" s="409"/>
      <c r="T125" s="409"/>
      <c r="U125" s="409"/>
      <c r="V125" s="409"/>
      <c r="W125" s="392"/>
      <c r="X125" s="392"/>
      <c r="Y125" s="409"/>
      <c r="Z125" s="409"/>
      <c r="AA125" s="392"/>
      <c r="AB125" s="392"/>
      <c r="AC125" s="392"/>
      <c r="AD125" s="409"/>
      <c r="AE125" s="409"/>
      <c r="AF125" s="409"/>
      <c r="AG125" s="409"/>
      <c r="AH125" s="409"/>
      <c r="AI125" s="409"/>
      <c r="AJ125" s="409"/>
      <c r="AK125" s="409"/>
      <c r="AL125" s="409"/>
      <c r="AM125" s="409"/>
      <c r="AN125" s="409"/>
      <c r="AO125" s="409"/>
      <c r="AP125" s="409"/>
      <c r="AQ125" s="409"/>
      <c r="AR125" s="409"/>
      <c r="AS125" s="409"/>
      <c r="AT125" s="409"/>
      <c r="AU125" s="409"/>
      <c r="AV125" s="409"/>
      <c r="AW125" s="409"/>
      <c r="AX125" s="409"/>
      <c r="AY125" s="409"/>
      <c r="AZ125" s="409"/>
      <c r="BA125" s="409"/>
      <c r="BB125" s="409"/>
      <c r="BC125" s="409"/>
      <c r="BD125" s="407"/>
      <c r="BE125" s="444"/>
      <c r="BF125" s="444"/>
      <c r="BG125" s="444"/>
      <c r="BH125" s="444"/>
      <c r="BI125" s="444"/>
      <c r="BJ125" s="444"/>
      <c r="BK125" s="444"/>
      <c r="BL125" s="444"/>
      <c r="BM125" s="444"/>
      <c r="BN125" s="444"/>
      <c r="BO125" s="444"/>
      <c r="BP125" s="444"/>
      <c r="BQ125" s="444"/>
      <c r="BR125" s="444"/>
      <c r="BS125" s="444"/>
      <c r="BT125" s="444"/>
    </row>
    <row r="126" spans="1:72" ht="15">
      <c r="A126" s="392"/>
      <c r="B126" s="392"/>
      <c r="C126" s="392"/>
      <c r="D126" s="392"/>
      <c r="E126" s="392"/>
      <c r="F126" s="392"/>
      <c r="G126" s="392"/>
      <c r="H126" s="392"/>
      <c r="I126" s="392"/>
      <c r="J126" s="392"/>
      <c r="K126" s="392"/>
      <c r="L126" s="392"/>
      <c r="M126" s="392"/>
      <c r="N126" s="392"/>
      <c r="O126" s="392"/>
      <c r="P126" s="392"/>
      <c r="Q126" s="392"/>
      <c r="R126" s="392"/>
      <c r="S126" s="409"/>
      <c r="T126" s="409"/>
      <c r="U126" s="409"/>
      <c r="V126" s="409"/>
      <c r="W126" s="392"/>
      <c r="X126" s="392"/>
      <c r="Y126" s="409"/>
      <c r="Z126" s="409"/>
      <c r="AA126" s="392"/>
      <c r="AB126" s="392"/>
      <c r="AC126" s="392"/>
      <c r="AD126" s="409"/>
      <c r="AE126" s="409"/>
      <c r="AF126" s="409"/>
      <c r="AG126" s="409"/>
      <c r="AH126" s="409"/>
      <c r="AI126" s="409"/>
      <c r="AJ126" s="409"/>
      <c r="AK126" s="409"/>
      <c r="AL126" s="409"/>
      <c r="AM126" s="409"/>
      <c r="AN126" s="409"/>
      <c r="AO126" s="409"/>
      <c r="AP126" s="409"/>
      <c r="AQ126" s="409"/>
      <c r="AR126" s="409"/>
      <c r="AS126" s="409"/>
      <c r="AT126" s="409"/>
      <c r="AU126" s="409"/>
      <c r="AV126" s="409"/>
      <c r="AW126" s="409"/>
      <c r="AX126" s="409"/>
      <c r="AY126" s="409"/>
      <c r="AZ126" s="409"/>
      <c r="BA126" s="409"/>
      <c r="BB126" s="409"/>
      <c r="BC126" s="409"/>
      <c r="BD126" s="407"/>
      <c r="BE126" s="444"/>
      <c r="BF126" s="444"/>
      <c r="BG126" s="444"/>
      <c r="BH126" s="444"/>
      <c r="BI126" s="444"/>
      <c r="BJ126" s="444"/>
      <c r="BK126" s="444"/>
      <c r="BL126" s="444"/>
      <c r="BM126" s="444"/>
      <c r="BN126" s="444"/>
      <c r="BO126" s="444"/>
      <c r="BP126" s="444"/>
      <c r="BQ126" s="444"/>
      <c r="BR126" s="444"/>
      <c r="BS126" s="444"/>
      <c r="BT126" s="444"/>
    </row>
    <row r="127" spans="1:72" ht="15">
      <c r="A127" s="392"/>
      <c r="B127" s="392"/>
      <c r="C127" s="392"/>
      <c r="D127" s="392"/>
      <c r="E127" s="392"/>
      <c r="F127" s="392"/>
      <c r="G127" s="392"/>
      <c r="H127" s="392"/>
      <c r="I127" s="392"/>
      <c r="J127" s="392"/>
      <c r="K127" s="392"/>
      <c r="L127" s="392"/>
      <c r="M127" s="392"/>
      <c r="N127" s="392"/>
      <c r="O127" s="392"/>
      <c r="P127" s="392"/>
      <c r="Q127" s="392"/>
      <c r="R127" s="392"/>
      <c r="S127" s="409"/>
      <c r="T127" s="409"/>
      <c r="U127" s="409"/>
      <c r="V127" s="409"/>
      <c r="W127" s="392"/>
      <c r="X127" s="392"/>
      <c r="Y127" s="409"/>
      <c r="Z127" s="409"/>
      <c r="AA127" s="392"/>
      <c r="AB127" s="392"/>
      <c r="AC127" s="392"/>
      <c r="AD127" s="409"/>
      <c r="AE127" s="409"/>
      <c r="AF127" s="409"/>
      <c r="AG127" s="409"/>
      <c r="AH127" s="409"/>
      <c r="AI127" s="409"/>
      <c r="AJ127" s="409"/>
      <c r="AK127" s="409"/>
      <c r="AL127" s="409"/>
      <c r="AM127" s="409"/>
      <c r="AN127" s="409"/>
      <c r="AO127" s="409"/>
      <c r="AP127" s="409"/>
      <c r="AQ127" s="409"/>
      <c r="AR127" s="409"/>
      <c r="AS127" s="409"/>
      <c r="AT127" s="409"/>
      <c r="AU127" s="409"/>
      <c r="AV127" s="409"/>
      <c r="AW127" s="409"/>
      <c r="AX127" s="409"/>
      <c r="AY127" s="409"/>
      <c r="AZ127" s="409"/>
      <c r="BA127" s="409"/>
      <c r="BB127" s="409"/>
      <c r="BC127" s="409"/>
      <c r="BD127" s="407"/>
      <c r="BE127" s="444"/>
      <c r="BF127" s="444"/>
      <c r="BG127" s="444"/>
      <c r="BH127" s="444"/>
      <c r="BI127" s="444"/>
      <c r="BJ127" s="444"/>
      <c r="BK127" s="444"/>
      <c r="BL127" s="444"/>
      <c r="BM127" s="444"/>
      <c r="BN127" s="444"/>
      <c r="BO127" s="444"/>
      <c r="BP127" s="444"/>
      <c r="BQ127" s="444"/>
      <c r="BR127" s="444"/>
      <c r="BS127" s="444"/>
      <c r="BT127" s="444"/>
    </row>
    <row r="128" spans="1:72" ht="15">
      <c r="A128" s="392"/>
      <c r="B128" s="392"/>
      <c r="C128" s="392"/>
      <c r="D128" s="392"/>
      <c r="E128" s="392"/>
      <c r="F128" s="392"/>
      <c r="G128" s="392"/>
      <c r="H128" s="392"/>
      <c r="I128" s="392"/>
      <c r="J128" s="392"/>
      <c r="K128" s="392"/>
      <c r="L128" s="392"/>
      <c r="M128" s="392"/>
      <c r="N128" s="392"/>
      <c r="O128" s="392"/>
      <c r="P128" s="392"/>
      <c r="Q128" s="392"/>
      <c r="R128" s="392"/>
      <c r="S128" s="409"/>
      <c r="T128" s="409"/>
      <c r="U128" s="409"/>
      <c r="V128" s="409"/>
      <c r="W128" s="392"/>
      <c r="X128" s="392"/>
      <c r="Y128" s="409"/>
      <c r="Z128" s="409"/>
      <c r="AA128" s="392"/>
      <c r="AB128" s="392"/>
      <c r="AC128" s="392"/>
      <c r="AD128" s="409"/>
      <c r="AE128" s="409"/>
      <c r="AF128" s="409"/>
      <c r="AG128" s="409"/>
      <c r="AH128" s="409"/>
      <c r="AI128" s="409"/>
      <c r="AJ128" s="409"/>
      <c r="AK128" s="409"/>
      <c r="AL128" s="409"/>
      <c r="AM128" s="409"/>
      <c r="AN128" s="409"/>
      <c r="AO128" s="409"/>
      <c r="AP128" s="409"/>
      <c r="AQ128" s="409"/>
      <c r="AR128" s="409"/>
      <c r="AS128" s="409"/>
      <c r="AT128" s="409"/>
      <c r="AU128" s="409"/>
      <c r="AV128" s="409"/>
      <c r="AW128" s="409"/>
      <c r="AX128" s="409"/>
      <c r="AY128" s="409"/>
      <c r="AZ128" s="409"/>
      <c r="BA128" s="409"/>
      <c r="BB128" s="409"/>
      <c r="BC128" s="409"/>
      <c r="BD128" s="407"/>
      <c r="BE128" s="444"/>
      <c r="BF128" s="444"/>
      <c r="BG128" s="444"/>
      <c r="BH128" s="444"/>
      <c r="BI128" s="444"/>
      <c r="BJ128" s="444"/>
      <c r="BK128" s="444"/>
      <c r="BL128" s="444"/>
      <c r="BM128" s="444"/>
      <c r="BN128" s="444"/>
      <c r="BO128" s="444"/>
      <c r="BP128" s="444"/>
      <c r="BQ128" s="444"/>
      <c r="BR128" s="444"/>
      <c r="BS128" s="444"/>
      <c r="BT128" s="444"/>
    </row>
    <row r="129" spans="1:72" ht="15">
      <c r="A129" s="392"/>
      <c r="B129" s="392"/>
      <c r="C129" s="392"/>
      <c r="D129" s="392"/>
      <c r="E129" s="392"/>
      <c r="F129" s="392"/>
      <c r="G129" s="392"/>
      <c r="H129" s="392"/>
      <c r="I129" s="392"/>
      <c r="J129" s="392"/>
      <c r="K129" s="392"/>
      <c r="L129" s="392"/>
      <c r="M129" s="392"/>
      <c r="N129" s="392"/>
      <c r="O129" s="392"/>
      <c r="P129" s="392"/>
      <c r="Q129" s="392"/>
      <c r="R129" s="392"/>
      <c r="S129" s="409"/>
      <c r="T129" s="409"/>
      <c r="U129" s="409"/>
      <c r="V129" s="409"/>
      <c r="W129" s="392"/>
      <c r="X129" s="392"/>
      <c r="Y129" s="409"/>
      <c r="Z129" s="409"/>
      <c r="AA129" s="392"/>
      <c r="AB129" s="392"/>
      <c r="AC129" s="392"/>
      <c r="AD129" s="409"/>
      <c r="AE129" s="409"/>
      <c r="AF129" s="409"/>
      <c r="AG129" s="409"/>
      <c r="AH129" s="409"/>
      <c r="AI129" s="409"/>
      <c r="AJ129" s="409"/>
      <c r="AK129" s="409"/>
      <c r="AL129" s="409"/>
      <c r="AM129" s="409"/>
      <c r="AN129" s="409"/>
      <c r="AO129" s="409"/>
      <c r="AP129" s="409"/>
      <c r="AQ129" s="409"/>
      <c r="AR129" s="409"/>
      <c r="AS129" s="409"/>
      <c r="AT129" s="409"/>
      <c r="AU129" s="409"/>
      <c r="AV129" s="409"/>
      <c r="AW129" s="409"/>
      <c r="AX129" s="409"/>
      <c r="AY129" s="409"/>
      <c r="AZ129" s="409"/>
      <c r="BA129" s="409"/>
      <c r="BB129" s="409"/>
      <c r="BC129" s="409"/>
      <c r="BD129" s="407"/>
      <c r="BE129" s="444"/>
      <c r="BF129" s="444"/>
      <c r="BG129" s="444"/>
      <c r="BH129" s="444"/>
      <c r="BI129" s="444"/>
      <c r="BJ129" s="444"/>
      <c r="BK129" s="444"/>
      <c r="BL129" s="444"/>
      <c r="BM129" s="444"/>
      <c r="BN129" s="444"/>
      <c r="BO129" s="444"/>
      <c r="BP129" s="444"/>
      <c r="BQ129" s="444"/>
      <c r="BR129" s="444"/>
      <c r="BS129" s="444"/>
      <c r="BT129" s="444"/>
    </row>
    <row r="130" spans="1:72" ht="15">
      <c r="A130" s="392"/>
      <c r="B130" s="392"/>
      <c r="C130" s="392"/>
      <c r="D130" s="392"/>
      <c r="E130" s="392"/>
      <c r="F130" s="392"/>
      <c r="G130" s="392"/>
      <c r="H130" s="392"/>
      <c r="I130" s="392"/>
      <c r="J130" s="392"/>
      <c r="K130" s="392"/>
      <c r="L130" s="392"/>
      <c r="M130" s="392"/>
      <c r="N130" s="392"/>
      <c r="O130" s="392"/>
      <c r="P130" s="392"/>
      <c r="Q130" s="392"/>
      <c r="R130" s="392"/>
      <c r="S130" s="409"/>
      <c r="T130" s="409"/>
      <c r="U130" s="409"/>
      <c r="V130" s="409"/>
      <c r="W130" s="392"/>
      <c r="X130" s="392"/>
      <c r="Y130" s="409"/>
      <c r="Z130" s="409"/>
      <c r="AA130" s="392"/>
      <c r="AB130" s="392"/>
      <c r="AC130" s="392"/>
      <c r="AD130" s="409"/>
      <c r="AE130" s="409"/>
      <c r="AF130" s="409"/>
      <c r="AG130" s="409"/>
      <c r="AH130" s="409"/>
      <c r="AI130" s="409"/>
      <c r="AJ130" s="409"/>
      <c r="AK130" s="409"/>
      <c r="AL130" s="409"/>
      <c r="AM130" s="409"/>
      <c r="AN130" s="409"/>
      <c r="AO130" s="409"/>
      <c r="AP130" s="409"/>
      <c r="AQ130" s="409"/>
      <c r="AR130" s="409"/>
      <c r="AS130" s="409"/>
      <c r="AT130" s="409"/>
      <c r="AU130" s="409"/>
      <c r="AV130" s="409"/>
      <c r="AW130" s="409"/>
      <c r="AX130" s="409"/>
      <c r="AY130" s="409"/>
      <c r="AZ130" s="409"/>
      <c r="BA130" s="409"/>
      <c r="BB130" s="409"/>
      <c r="BC130" s="409"/>
      <c r="BD130" s="407"/>
      <c r="BE130" s="444"/>
      <c r="BF130" s="444"/>
      <c r="BG130" s="444"/>
      <c r="BH130" s="444"/>
      <c r="BI130" s="444"/>
      <c r="BJ130" s="444"/>
      <c r="BK130" s="444"/>
      <c r="BL130" s="444"/>
      <c r="BM130" s="444"/>
      <c r="BN130" s="444"/>
      <c r="BO130" s="444"/>
      <c r="BP130" s="444"/>
      <c r="BQ130" s="444"/>
      <c r="BR130" s="444"/>
      <c r="BS130" s="444"/>
      <c r="BT130" s="444"/>
    </row>
    <row r="131" spans="1:72" ht="15">
      <c r="A131" s="392"/>
      <c r="B131" s="392"/>
      <c r="C131" s="392"/>
      <c r="D131" s="392"/>
      <c r="E131" s="392"/>
      <c r="F131" s="392"/>
      <c r="G131" s="392"/>
      <c r="H131" s="392"/>
      <c r="I131" s="392"/>
      <c r="J131" s="392"/>
      <c r="K131" s="392"/>
      <c r="L131" s="392"/>
      <c r="M131" s="392"/>
      <c r="N131" s="392"/>
      <c r="O131" s="392"/>
      <c r="P131" s="392"/>
      <c r="Q131" s="392"/>
      <c r="R131" s="392"/>
      <c r="S131" s="409"/>
      <c r="T131" s="409"/>
      <c r="U131" s="409"/>
      <c r="V131" s="409"/>
      <c r="W131" s="392"/>
      <c r="X131" s="392"/>
      <c r="Y131" s="409"/>
      <c r="Z131" s="409"/>
      <c r="AA131" s="392"/>
      <c r="AB131" s="392"/>
      <c r="AC131" s="392"/>
      <c r="AD131" s="409"/>
      <c r="AE131" s="409"/>
      <c r="AF131" s="409"/>
      <c r="AG131" s="409"/>
      <c r="AH131" s="409"/>
      <c r="AI131" s="409"/>
      <c r="AJ131" s="409"/>
      <c r="AK131" s="409"/>
      <c r="AL131" s="409"/>
      <c r="AM131" s="409"/>
      <c r="AN131" s="409"/>
      <c r="AO131" s="409"/>
      <c r="AP131" s="409"/>
      <c r="AQ131" s="409"/>
      <c r="AR131" s="409"/>
      <c r="AS131" s="409"/>
      <c r="AT131" s="409"/>
      <c r="AU131" s="409"/>
      <c r="AV131" s="409"/>
      <c r="AW131" s="409"/>
      <c r="AX131" s="409"/>
      <c r="AY131" s="409"/>
      <c r="AZ131" s="409"/>
      <c r="BA131" s="409"/>
      <c r="BB131" s="409"/>
      <c r="BC131" s="409"/>
      <c r="BD131" s="407"/>
      <c r="BE131" s="444"/>
      <c r="BF131" s="444"/>
      <c r="BG131" s="444"/>
      <c r="BH131" s="444"/>
      <c r="BI131" s="444"/>
      <c r="BJ131" s="444"/>
      <c r="BK131" s="444"/>
      <c r="BL131" s="444"/>
      <c r="BM131" s="444"/>
      <c r="BN131" s="444"/>
      <c r="BO131" s="444"/>
      <c r="BP131" s="444"/>
      <c r="BQ131" s="444"/>
      <c r="BR131" s="444"/>
      <c r="BS131" s="444"/>
      <c r="BT131" s="444"/>
    </row>
    <row r="132" spans="1:72" ht="15">
      <c r="A132" s="392"/>
      <c r="B132" s="392"/>
      <c r="C132" s="392"/>
      <c r="D132" s="392"/>
      <c r="E132" s="392"/>
      <c r="F132" s="392"/>
      <c r="G132" s="392"/>
      <c r="H132" s="392"/>
      <c r="I132" s="392"/>
      <c r="J132" s="392"/>
      <c r="K132" s="392"/>
      <c r="L132" s="392"/>
      <c r="M132" s="392"/>
      <c r="N132" s="392"/>
      <c r="O132" s="392"/>
      <c r="P132" s="392"/>
      <c r="Q132" s="392"/>
      <c r="R132" s="392"/>
      <c r="S132" s="409"/>
      <c r="T132" s="409"/>
      <c r="U132" s="409"/>
      <c r="V132" s="409"/>
      <c r="W132" s="392"/>
      <c r="X132" s="392"/>
      <c r="Y132" s="409"/>
      <c r="Z132" s="409"/>
      <c r="AA132" s="392"/>
      <c r="AB132" s="392"/>
      <c r="AC132" s="392"/>
      <c r="AD132" s="409"/>
      <c r="AE132" s="409"/>
      <c r="AF132" s="409"/>
      <c r="AG132" s="409"/>
      <c r="AH132" s="409"/>
      <c r="AI132" s="409"/>
      <c r="AJ132" s="409"/>
      <c r="AK132" s="409"/>
      <c r="AL132" s="409"/>
      <c r="AM132" s="409"/>
      <c r="AN132" s="409"/>
      <c r="AO132" s="409"/>
      <c r="AP132" s="409"/>
      <c r="AQ132" s="409"/>
      <c r="AR132" s="409"/>
      <c r="AS132" s="409"/>
      <c r="AT132" s="409"/>
      <c r="AU132" s="409"/>
      <c r="AV132" s="409"/>
      <c r="AW132" s="409"/>
      <c r="AX132" s="409"/>
      <c r="AY132" s="409"/>
      <c r="AZ132" s="409"/>
      <c r="BA132" s="409"/>
      <c r="BB132" s="409"/>
      <c r="BC132" s="409"/>
      <c r="BD132" s="407"/>
      <c r="BE132" s="444"/>
      <c r="BF132" s="444"/>
      <c r="BG132" s="444"/>
      <c r="BH132" s="444"/>
      <c r="BI132" s="444"/>
      <c r="BJ132" s="444"/>
      <c r="BK132" s="444"/>
      <c r="BL132" s="444"/>
      <c r="BM132" s="444"/>
      <c r="BN132" s="444"/>
      <c r="BO132" s="444"/>
      <c r="BP132" s="444"/>
      <c r="BQ132" s="444"/>
      <c r="BR132" s="444"/>
      <c r="BS132" s="444"/>
      <c r="BT132" s="444"/>
    </row>
    <row r="133" spans="1:72" ht="15">
      <c r="A133" s="392"/>
      <c r="B133" s="392"/>
      <c r="C133" s="392"/>
      <c r="D133" s="392"/>
      <c r="E133" s="392"/>
      <c r="F133" s="392"/>
      <c r="G133" s="392"/>
      <c r="H133" s="392"/>
      <c r="I133" s="392"/>
      <c r="J133" s="392"/>
      <c r="K133" s="392"/>
      <c r="L133" s="392"/>
      <c r="M133" s="392"/>
      <c r="N133" s="392"/>
      <c r="O133" s="392"/>
      <c r="P133" s="392"/>
      <c r="Q133" s="392"/>
      <c r="R133" s="392"/>
      <c r="S133" s="409"/>
      <c r="T133" s="409"/>
      <c r="U133" s="409"/>
      <c r="V133" s="409"/>
      <c r="W133" s="392"/>
      <c r="X133" s="392"/>
      <c r="Y133" s="409"/>
      <c r="Z133" s="409"/>
      <c r="AA133" s="392"/>
      <c r="AB133" s="392"/>
      <c r="AC133" s="392"/>
      <c r="AD133" s="409"/>
      <c r="AE133" s="409"/>
      <c r="AF133" s="409"/>
      <c r="AG133" s="409"/>
      <c r="AH133" s="409"/>
      <c r="AI133" s="409"/>
      <c r="AJ133" s="409"/>
      <c r="AK133" s="409"/>
      <c r="AL133" s="409"/>
      <c r="AM133" s="409"/>
      <c r="AN133" s="409"/>
      <c r="AO133" s="409"/>
      <c r="AP133" s="409"/>
      <c r="AQ133" s="409"/>
      <c r="AR133" s="409"/>
      <c r="AS133" s="409"/>
      <c r="AT133" s="409"/>
      <c r="AU133" s="409"/>
      <c r="AV133" s="409"/>
      <c r="AW133" s="409"/>
      <c r="AX133" s="409"/>
      <c r="AY133" s="409"/>
      <c r="AZ133" s="409"/>
      <c r="BA133" s="409"/>
      <c r="BB133" s="409"/>
      <c r="BC133" s="409"/>
      <c r="BD133" s="407"/>
      <c r="BE133" s="444"/>
      <c r="BF133" s="444"/>
      <c r="BG133" s="444"/>
      <c r="BH133" s="444"/>
      <c r="BI133" s="444"/>
      <c r="BJ133" s="444"/>
      <c r="BK133" s="444"/>
      <c r="BL133" s="444"/>
      <c r="BM133" s="444"/>
      <c r="BN133" s="444"/>
      <c r="BO133" s="444"/>
      <c r="BP133" s="444"/>
      <c r="BQ133" s="444"/>
      <c r="BR133" s="444"/>
      <c r="BS133" s="444"/>
      <c r="BT133" s="444"/>
    </row>
    <row r="134" spans="1:72" ht="15">
      <c r="A134" s="392"/>
      <c r="B134" s="392"/>
      <c r="C134" s="392"/>
      <c r="D134" s="392"/>
      <c r="E134" s="392"/>
      <c r="F134" s="392"/>
      <c r="G134" s="392"/>
      <c r="H134" s="392"/>
      <c r="I134" s="392"/>
      <c r="J134" s="392"/>
      <c r="K134" s="392"/>
      <c r="L134" s="392"/>
      <c r="M134" s="392"/>
      <c r="N134" s="392"/>
      <c r="O134" s="392"/>
      <c r="P134" s="392"/>
      <c r="Q134" s="392"/>
      <c r="R134" s="392"/>
      <c r="S134" s="409"/>
      <c r="T134" s="409"/>
      <c r="U134" s="409"/>
      <c r="V134" s="409"/>
      <c r="W134" s="392"/>
      <c r="X134" s="392"/>
      <c r="Y134" s="409"/>
      <c r="Z134" s="409"/>
      <c r="AA134" s="392"/>
      <c r="AB134" s="392"/>
      <c r="AC134" s="392"/>
      <c r="AD134" s="409"/>
      <c r="AE134" s="409"/>
      <c r="AF134" s="409"/>
      <c r="AG134" s="409"/>
      <c r="AH134" s="409"/>
      <c r="AI134" s="409"/>
      <c r="AJ134" s="409"/>
      <c r="AK134" s="409"/>
      <c r="AL134" s="409"/>
      <c r="AM134" s="409"/>
      <c r="AN134" s="409"/>
      <c r="AO134" s="409"/>
      <c r="AP134" s="409"/>
      <c r="AQ134" s="409"/>
      <c r="AR134" s="409"/>
      <c r="AS134" s="409"/>
      <c r="AT134" s="409"/>
      <c r="AU134" s="409"/>
      <c r="AV134" s="409"/>
      <c r="AW134" s="409"/>
      <c r="AX134" s="409"/>
      <c r="AY134" s="409"/>
      <c r="AZ134" s="409"/>
      <c r="BA134" s="409"/>
      <c r="BB134" s="409"/>
      <c r="BC134" s="409"/>
      <c r="BD134" s="407"/>
      <c r="BE134" s="444"/>
      <c r="BF134" s="444"/>
      <c r="BG134" s="444"/>
      <c r="BH134" s="444"/>
      <c r="BI134" s="444"/>
      <c r="BJ134" s="444"/>
      <c r="BK134" s="444"/>
      <c r="BL134" s="444"/>
      <c r="BM134" s="444"/>
      <c r="BN134" s="444"/>
      <c r="BO134" s="444"/>
      <c r="BP134" s="444"/>
      <c r="BQ134" s="444"/>
      <c r="BR134" s="444"/>
      <c r="BS134" s="444"/>
      <c r="BT134" s="444"/>
    </row>
    <row r="135" spans="1:72" ht="15">
      <c r="A135" s="392"/>
      <c r="B135" s="392"/>
      <c r="C135" s="392"/>
      <c r="D135" s="392"/>
      <c r="E135" s="392"/>
      <c r="F135" s="392"/>
      <c r="G135" s="392"/>
      <c r="H135" s="392"/>
      <c r="I135" s="392"/>
      <c r="J135" s="392"/>
      <c r="K135" s="392"/>
      <c r="L135" s="392"/>
      <c r="M135" s="392"/>
      <c r="N135" s="392"/>
      <c r="O135" s="392"/>
      <c r="P135" s="392"/>
      <c r="Q135" s="392"/>
      <c r="R135" s="392"/>
      <c r="S135" s="409"/>
      <c r="T135" s="409"/>
      <c r="U135" s="409"/>
      <c r="V135" s="409"/>
      <c r="W135" s="392"/>
      <c r="X135" s="392"/>
      <c r="Y135" s="409"/>
      <c r="Z135" s="409"/>
      <c r="AA135" s="392"/>
      <c r="AB135" s="392"/>
      <c r="AC135" s="392"/>
      <c r="AD135" s="409"/>
      <c r="AE135" s="409"/>
      <c r="AF135" s="409"/>
      <c r="AG135" s="409"/>
      <c r="AH135" s="409"/>
      <c r="AI135" s="409"/>
      <c r="AJ135" s="409"/>
      <c r="AK135" s="409"/>
      <c r="AL135" s="409"/>
      <c r="AM135" s="409"/>
      <c r="AN135" s="409"/>
      <c r="AO135" s="409"/>
      <c r="AP135" s="409"/>
      <c r="AQ135" s="409"/>
      <c r="AR135" s="409"/>
      <c r="AS135" s="409"/>
      <c r="AT135" s="409"/>
      <c r="AU135" s="409"/>
      <c r="AV135" s="409"/>
      <c r="AW135" s="409"/>
      <c r="AX135" s="409"/>
      <c r="AY135" s="409"/>
      <c r="AZ135" s="409"/>
      <c r="BA135" s="409"/>
      <c r="BB135" s="409"/>
      <c r="BC135" s="409"/>
      <c r="BD135" s="407"/>
      <c r="BE135" s="444"/>
      <c r="BF135" s="444"/>
      <c r="BG135" s="444"/>
      <c r="BH135" s="444"/>
      <c r="BI135" s="444"/>
      <c r="BJ135" s="444"/>
      <c r="BK135" s="444"/>
      <c r="BL135" s="444"/>
      <c r="BM135" s="444"/>
      <c r="BN135" s="444"/>
      <c r="BO135" s="444"/>
      <c r="BP135" s="444"/>
      <c r="BQ135" s="444"/>
      <c r="BR135" s="444"/>
      <c r="BS135" s="444"/>
      <c r="BT135" s="444"/>
    </row>
    <row r="136" spans="1:72" ht="15">
      <c r="A136" s="392"/>
      <c r="B136" s="392"/>
      <c r="C136" s="392"/>
      <c r="D136" s="392"/>
      <c r="E136" s="392"/>
      <c r="F136" s="392"/>
      <c r="G136" s="392"/>
      <c r="H136" s="392"/>
      <c r="I136" s="392"/>
      <c r="J136" s="392"/>
      <c r="K136" s="392"/>
      <c r="L136" s="392"/>
      <c r="M136" s="392"/>
      <c r="N136" s="392"/>
      <c r="O136" s="392"/>
      <c r="P136" s="392"/>
      <c r="Q136" s="392"/>
      <c r="R136" s="392"/>
      <c r="S136" s="409"/>
      <c r="T136" s="409"/>
      <c r="U136" s="409"/>
      <c r="V136" s="409"/>
      <c r="W136" s="392"/>
      <c r="X136" s="392"/>
      <c r="Y136" s="409"/>
      <c r="Z136" s="409"/>
      <c r="AA136" s="392"/>
      <c r="AB136" s="392"/>
      <c r="AC136" s="392"/>
      <c r="AD136" s="409"/>
      <c r="AE136" s="409"/>
      <c r="AF136" s="409"/>
      <c r="AG136" s="409"/>
      <c r="AH136" s="409"/>
      <c r="AI136" s="409"/>
      <c r="AJ136" s="409"/>
      <c r="AK136" s="409"/>
      <c r="AL136" s="409"/>
      <c r="AM136" s="409"/>
      <c r="AN136" s="409"/>
      <c r="AO136" s="409"/>
      <c r="AP136" s="409"/>
      <c r="AQ136" s="409"/>
      <c r="AR136" s="409"/>
      <c r="AS136" s="409"/>
      <c r="AT136" s="409"/>
      <c r="AU136" s="409"/>
      <c r="AV136" s="409"/>
      <c r="AW136" s="409"/>
      <c r="AX136" s="409"/>
      <c r="AY136" s="409"/>
      <c r="AZ136" s="409"/>
      <c r="BA136" s="409"/>
      <c r="BB136" s="409"/>
      <c r="BC136" s="409"/>
      <c r="BD136" s="407"/>
      <c r="BE136" s="444"/>
      <c r="BF136" s="444"/>
      <c r="BG136" s="444"/>
      <c r="BH136" s="444"/>
      <c r="BI136" s="444"/>
      <c r="BJ136" s="444"/>
      <c r="BK136" s="444"/>
      <c r="BL136" s="444"/>
      <c r="BM136" s="444"/>
      <c r="BN136" s="444"/>
      <c r="BO136" s="444"/>
      <c r="BP136" s="444"/>
      <c r="BQ136" s="444"/>
      <c r="BR136" s="444"/>
      <c r="BS136" s="444"/>
      <c r="BT136" s="444"/>
    </row>
    <row r="137" spans="1:72" ht="15">
      <c r="A137" s="392"/>
      <c r="B137" s="392"/>
      <c r="C137" s="392"/>
      <c r="D137" s="392"/>
      <c r="E137" s="392"/>
      <c r="F137" s="392"/>
      <c r="G137" s="392"/>
      <c r="H137" s="392"/>
      <c r="I137" s="392"/>
      <c r="J137" s="392"/>
      <c r="K137" s="392"/>
      <c r="L137" s="392"/>
      <c r="M137" s="392"/>
      <c r="N137" s="392"/>
      <c r="O137" s="392"/>
      <c r="P137" s="392"/>
      <c r="Q137" s="392"/>
      <c r="R137" s="392"/>
      <c r="S137" s="409"/>
      <c r="T137" s="409"/>
      <c r="U137" s="409"/>
      <c r="V137" s="409"/>
      <c r="W137" s="392"/>
      <c r="X137" s="392"/>
      <c r="Y137" s="409"/>
      <c r="Z137" s="409"/>
      <c r="AA137" s="392"/>
      <c r="AB137" s="392"/>
      <c r="AC137" s="392"/>
      <c r="AD137" s="409"/>
      <c r="AE137" s="409"/>
      <c r="AF137" s="409"/>
      <c r="AG137" s="409"/>
      <c r="AH137" s="409"/>
      <c r="AI137" s="409"/>
      <c r="AJ137" s="409"/>
      <c r="AK137" s="409"/>
      <c r="AL137" s="409"/>
      <c r="AM137" s="409"/>
      <c r="AN137" s="409"/>
      <c r="AO137" s="409"/>
      <c r="AP137" s="409"/>
      <c r="AQ137" s="409"/>
      <c r="AR137" s="409"/>
      <c r="AS137" s="409"/>
      <c r="AT137" s="409"/>
      <c r="AU137" s="409"/>
      <c r="AV137" s="409"/>
      <c r="AW137" s="409"/>
      <c r="AX137" s="409"/>
      <c r="AY137" s="409"/>
      <c r="AZ137" s="409"/>
      <c r="BA137" s="409"/>
      <c r="BB137" s="409"/>
      <c r="BC137" s="409"/>
      <c r="BD137" s="407"/>
      <c r="BE137" s="444"/>
      <c r="BF137" s="444"/>
      <c r="BG137" s="444"/>
      <c r="BH137" s="444"/>
      <c r="BI137" s="444"/>
      <c r="BJ137" s="444"/>
      <c r="BK137" s="444"/>
      <c r="BL137" s="444"/>
      <c r="BM137" s="444"/>
      <c r="BN137" s="444"/>
      <c r="BO137" s="444"/>
      <c r="BP137" s="444"/>
      <c r="BQ137" s="444"/>
      <c r="BR137" s="444"/>
      <c r="BS137" s="444"/>
      <c r="BT137" s="444"/>
    </row>
    <row r="138" spans="1:72" ht="15">
      <c r="A138" s="392"/>
      <c r="B138" s="392"/>
      <c r="C138" s="392"/>
      <c r="D138" s="392"/>
      <c r="E138" s="392"/>
      <c r="F138" s="392"/>
      <c r="G138" s="392"/>
      <c r="H138" s="392"/>
      <c r="I138" s="392"/>
      <c r="J138" s="392"/>
      <c r="K138" s="392"/>
      <c r="L138" s="392"/>
      <c r="M138" s="392"/>
      <c r="N138" s="392"/>
      <c r="O138" s="392"/>
      <c r="P138" s="392"/>
      <c r="Q138" s="392"/>
      <c r="R138" s="392"/>
      <c r="S138" s="409"/>
      <c r="T138" s="409"/>
      <c r="U138" s="409"/>
      <c r="V138" s="409"/>
      <c r="W138" s="392"/>
      <c r="X138" s="392"/>
      <c r="Y138" s="409"/>
      <c r="Z138" s="409"/>
      <c r="AA138" s="392"/>
      <c r="AB138" s="392"/>
      <c r="AC138" s="392"/>
      <c r="AD138" s="409"/>
      <c r="AE138" s="409"/>
      <c r="AF138" s="409"/>
      <c r="AG138" s="409"/>
      <c r="AH138" s="409"/>
      <c r="AI138" s="409"/>
      <c r="AJ138" s="409"/>
      <c r="AK138" s="409"/>
      <c r="AL138" s="409"/>
      <c r="AM138" s="409"/>
      <c r="AN138" s="409"/>
      <c r="AO138" s="409"/>
      <c r="AP138" s="409"/>
      <c r="AQ138" s="409"/>
      <c r="AR138" s="409"/>
      <c r="AS138" s="409"/>
      <c r="AT138" s="409"/>
      <c r="AU138" s="409"/>
      <c r="AV138" s="409"/>
      <c r="AW138" s="409"/>
      <c r="AX138" s="409"/>
      <c r="AY138" s="409"/>
      <c r="AZ138" s="409"/>
      <c r="BA138" s="409"/>
      <c r="BB138" s="409"/>
      <c r="BC138" s="409"/>
      <c r="BD138" s="407"/>
      <c r="BE138" s="444"/>
      <c r="BF138" s="444"/>
      <c r="BG138" s="444"/>
      <c r="BH138" s="444"/>
      <c r="BI138" s="444"/>
      <c r="BJ138" s="444"/>
      <c r="BK138" s="444"/>
      <c r="BL138" s="444"/>
      <c r="BM138" s="444"/>
      <c r="BN138" s="444"/>
      <c r="BO138" s="444"/>
      <c r="BP138" s="444"/>
      <c r="BQ138" s="444"/>
      <c r="BR138" s="444"/>
      <c r="BS138" s="444"/>
      <c r="BT138" s="444"/>
    </row>
    <row r="139" spans="1:72" ht="15">
      <c r="A139" s="392"/>
      <c r="B139" s="392"/>
      <c r="C139" s="392"/>
      <c r="D139" s="392"/>
      <c r="E139" s="392"/>
      <c r="F139" s="392"/>
      <c r="G139" s="392"/>
      <c r="H139" s="392"/>
      <c r="I139" s="392"/>
      <c r="J139" s="392"/>
      <c r="K139" s="392"/>
      <c r="L139" s="392"/>
      <c r="M139" s="392"/>
      <c r="N139" s="392"/>
      <c r="O139" s="392"/>
      <c r="P139" s="392"/>
      <c r="Q139" s="392"/>
      <c r="R139" s="392"/>
      <c r="S139" s="409"/>
      <c r="T139" s="409"/>
      <c r="U139" s="409"/>
      <c r="V139" s="409"/>
      <c r="W139" s="392"/>
      <c r="X139" s="392"/>
      <c r="Y139" s="409"/>
      <c r="Z139" s="409"/>
      <c r="AA139" s="392"/>
      <c r="AB139" s="392"/>
      <c r="AC139" s="392"/>
      <c r="AD139" s="409"/>
      <c r="AE139" s="409"/>
      <c r="AF139" s="409"/>
      <c r="AG139" s="409"/>
      <c r="AH139" s="409"/>
      <c r="AI139" s="409"/>
      <c r="AJ139" s="409"/>
      <c r="AK139" s="409"/>
      <c r="AL139" s="409"/>
      <c r="AM139" s="409"/>
      <c r="AN139" s="409"/>
      <c r="AO139" s="409"/>
      <c r="AP139" s="409"/>
      <c r="AQ139" s="409"/>
      <c r="AR139" s="409"/>
      <c r="AS139" s="409"/>
      <c r="AT139" s="409"/>
      <c r="AU139" s="409"/>
      <c r="AV139" s="409"/>
      <c r="AW139" s="409"/>
      <c r="AX139" s="409"/>
      <c r="AY139" s="409"/>
      <c r="AZ139" s="409"/>
      <c r="BA139" s="409"/>
      <c r="BB139" s="409"/>
      <c r="BC139" s="409"/>
      <c r="BD139" s="407"/>
      <c r="BE139" s="444"/>
      <c r="BF139" s="444"/>
      <c r="BG139" s="444"/>
      <c r="BH139" s="444"/>
      <c r="BI139" s="444"/>
      <c r="BJ139" s="444"/>
      <c r="BK139" s="444"/>
      <c r="BL139" s="444"/>
      <c r="BM139" s="444"/>
      <c r="BN139" s="444"/>
      <c r="BO139" s="444"/>
      <c r="BP139" s="444"/>
      <c r="BQ139" s="444"/>
      <c r="BR139" s="444"/>
      <c r="BS139" s="444"/>
      <c r="BT139" s="444"/>
    </row>
    <row r="140" spans="1:72" ht="15">
      <c r="A140" s="392"/>
      <c r="B140" s="392"/>
      <c r="C140" s="392"/>
      <c r="D140" s="392"/>
      <c r="E140" s="392"/>
      <c r="F140" s="392"/>
      <c r="G140" s="392"/>
      <c r="H140" s="392"/>
      <c r="I140" s="392"/>
      <c r="J140" s="392"/>
      <c r="K140" s="392"/>
      <c r="L140" s="392"/>
      <c r="M140" s="392"/>
      <c r="N140" s="392"/>
      <c r="O140" s="392"/>
      <c r="P140" s="392"/>
      <c r="Q140" s="392"/>
      <c r="R140" s="392"/>
      <c r="S140" s="409"/>
      <c r="T140" s="409"/>
      <c r="U140" s="409"/>
      <c r="V140" s="409"/>
      <c r="W140" s="392"/>
      <c r="X140" s="392"/>
      <c r="Y140" s="409"/>
      <c r="Z140" s="409"/>
      <c r="AA140" s="392"/>
      <c r="AB140" s="392"/>
      <c r="AC140" s="392"/>
      <c r="AD140" s="409"/>
      <c r="AE140" s="409"/>
      <c r="AF140" s="409"/>
      <c r="AG140" s="409"/>
      <c r="AH140" s="409"/>
      <c r="AI140" s="409"/>
      <c r="AJ140" s="409"/>
      <c r="AK140" s="409"/>
      <c r="AL140" s="409"/>
      <c r="AM140" s="409"/>
      <c r="AN140" s="409"/>
      <c r="AO140" s="409"/>
      <c r="AP140" s="409"/>
      <c r="AQ140" s="409"/>
      <c r="AR140" s="409"/>
      <c r="AS140" s="409"/>
      <c r="AT140" s="409"/>
      <c r="AU140" s="409"/>
      <c r="AV140" s="409"/>
      <c r="AW140" s="409"/>
      <c r="AX140" s="409"/>
      <c r="AY140" s="409"/>
      <c r="AZ140" s="409"/>
      <c r="BA140" s="409"/>
      <c r="BB140" s="409"/>
      <c r="BC140" s="409"/>
      <c r="BD140" s="407"/>
      <c r="BE140" s="444"/>
      <c r="BF140" s="444"/>
      <c r="BG140" s="444"/>
      <c r="BH140" s="444"/>
      <c r="BI140" s="444"/>
      <c r="BJ140" s="444"/>
      <c r="BK140" s="444"/>
      <c r="BL140" s="444"/>
      <c r="BM140" s="444"/>
      <c r="BN140" s="444"/>
      <c r="BO140" s="444"/>
      <c r="BP140" s="444"/>
      <c r="BQ140" s="444"/>
      <c r="BR140" s="444"/>
      <c r="BS140" s="444"/>
      <c r="BT140" s="444"/>
    </row>
    <row r="141" spans="1:72" ht="15">
      <c r="A141" s="392"/>
      <c r="B141" s="392"/>
      <c r="C141" s="392"/>
      <c r="D141" s="392"/>
      <c r="E141" s="392"/>
      <c r="F141" s="392"/>
      <c r="G141" s="392"/>
      <c r="H141" s="392"/>
      <c r="I141" s="392"/>
      <c r="J141" s="392"/>
      <c r="K141" s="392"/>
      <c r="L141" s="392"/>
      <c r="M141" s="392"/>
      <c r="N141" s="392"/>
      <c r="O141" s="392"/>
      <c r="P141" s="392"/>
      <c r="Q141" s="392"/>
      <c r="R141" s="392"/>
      <c r="S141" s="409"/>
      <c r="T141" s="409"/>
      <c r="U141" s="409"/>
      <c r="V141" s="409"/>
      <c r="W141" s="392"/>
      <c r="X141" s="392"/>
      <c r="Y141" s="409"/>
      <c r="Z141" s="409"/>
      <c r="AA141" s="392"/>
      <c r="AB141" s="392"/>
      <c r="AC141" s="392"/>
      <c r="AD141" s="409"/>
      <c r="AE141" s="409"/>
      <c r="AF141" s="409"/>
      <c r="AG141" s="409"/>
      <c r="AH141" s="409"/>
      <c r="AI141" s="409"/>
      <c r="AJ141" s="409"/>
      <c r="AK141" s="409"/>
      <c r="AL141" s="409"/>
      <c r="AM141" s="409"/>
      <c r="AN141" s="409"/>
      <c r="AO141" s="409"/>
      <c r="AP141" s="409"/>
      <c r="AQ141" s="409"/>
      <c r="AR141" s="409"/>
      <c r="AS141" s="409"/>
      <c r="AT141" s="409"/>
      <c r="AU141" s="409"/>
      <c r="AV141" s="409"/>
      <c r="AW141" s="409"/>
      <c r="AX141" s="409"/>
      <c r="AY141" s="409"/>
      <c r="AZ141" s="409"/>
      <c r="BA141" s="409"/>
      <c r="BB141" s="409"/>
      <c r="BC141" s="409"/>
      <c r="BD141" s="407"/>
      <c r="BE141" s="444"/>
      <c r="BF141" s="444"/>
      <c r="BG141" s="444"/>
      <c r="BH141" s="444"/>
      <c r="BI141" s="444"/>
      <c r="BJ141" s="444"/>
      <c r="BK141" s="444"/>
      <c r="BL141" s="444"/>
      <c r="BM141" s="444"/>
      <c r="BN141" s="444"/>
      <c r="BO141" s="444"/>
      <c r="BP141" s="444"/>
      <c r="BQ141" s="444"/>
      <c r="BR141" s="444"/>
      <c r="BS141" s="444"/>
      <c r="BT141" s="444"/>
    </row>
    <row r="142" spans="1:72" ht="15">
      <c r="A142" s="392"/>
      <c r="B142" s="392"/>
      <c r="C142" s="392"/>
      <c r="D142" s="392"/>
      <c r="E142" s="392"/>
      <c r="F142" s="392"/>
      <c r="G142" s="392"/>
      <c r="H142" s="392"/>
      <c r="I142" s="392"/>
      <c r="J142" s="392"/>
      <c r="K142" s="392"/>
      <c r="L142" s="392"/>
      <c r="M142" s="392"/>
      <c r="N142" s="392"/>
      <c r="O142" s="392"/>
      <c r="P142" s="392"/>
      <c r="Q142" s="392"/>
      <c r="R142" s="392"/>
      <c r="S142" s="409"/>
      <c r="T142" s="409"/>
      <c r="U142" s="409"/>
      <c r="V142" s="409"/>
      <c r="W142" s="392"/>
      <c r="X142" s="392"/>
      <c r="Y142" s="409"/>
      <c r="Z142" s="409"/>
      <c r="AA142" s="392"/>
      <c r="AB142" s="392"/>
      <c r="AC142" s="392"/>
      <c r="AD142" s="409"/>
      <c r="AE142" s="409"/>
      <c r="AF142" s="409"/>
      <c r="AG142" s="409"/>
      <c r="AH142" s="409"/>
      <c r="AI142" s="409"/>
      <c r="AJ142" s="409"/>
      <c r="AK142" s="409"/>
      <c r="AL142" s="409"/>
      <c r="AM142" s="409"/>
      <c r="AN142" s="409"/>
      <c r="AO142" s="409"/>
      <c r="AP142" s="409"/>
      <c r="AQ142" s="409"/>
      <c r="AR142" s="409"/>
      <c r="AS142" s="409"/>
      <c r="AT142" s="409"/>
      <c r="AU142" s="409"/>
      <c r="AV142" s="409"/>
      <c r="AW142" s="409"/>
      <c r="AX142" s="409"/>
      <c r="AY142" s="409"/>
      <c r="AZ142" s="409"/>
      <c r="BA142" s="409"/>
      <c r="BB142" s="409"/>
      <c r="BC142" s="409"/>
      <c r="BD142" s="407"/>
      <c r="BE142" s="444"/>
      <c r="BF142" s="444"/>
      <c r="BG142" s="444"/>
      <c r="BH142" s="444"/>
      <c r="BI142" s="444"/>
      <c r="BJ142" s="444"/>
      <c r="BK142" s="444"/>
      <c r="BL142" s="444"/>
      <c r="BM142" s="444"/>
      <c r="BN142" s="444"/>
      <c r="BO142" s="444"/>
      <c r="BP142" s="444"/>
      <c r="BQ142" s="444"/>
      <c r="BR142" s="444"/>
      <c r="BS142" s="444"/>
      <c r="BT142" s="444"/>
    </row>
    <row r="143" spans="1:72" ht="15">
      <c r="A143" s="392"/>
      <c r="B143" s="392"/>
      <c r="C143" s="392"/>
      <c r="D143" s="392"/>
      <c r="E143" s="392"/>
      <c r="F143" s="392"/>
      <c r="G143" s="392"/>
      <c r="H143" s="392"/>
      <c r="I143" s="392"/>
      <c r="J143" s="392"/>
      <c r="K143" s="392"/>
      <c r="L143" s="392"/>
      <c r="M143" s="392"/>
      <c r="N143" s="392"/>
      <c r="O143" s="392"/>
      <c r="P143" s="392"/>
      <c r="Q143" s="392"/>
      <c r="R143" s="392"/>
      <c r="S143" s="409"/>
      <c r="T143" s="409"/>
      <c r="U143" s="409"/>
      <c r="V143" s="409"/>
      <c r="W143" s="392"/>
      <c r="X143" s="392"/>
      <c r="Y143" s="409"/>
      <c r="Z143" s="409"/>
      <c r="AA143" s="392"/>
      <c r="AB143" s="392"/>
      <c r="AC143" s="392"/>
      <c r="AD143" s="409"/>
      <c r="AE143" s="409"/>
      <c r="AF143" s="409"/>
      <c r="AG143" s="409"/>
      <c r="AH143" s="409"/>
      <c r="AI143" s="409"/>
      <c r="AJ143" s="409"/>
      <c r="AK143" s="409"/>
      <c r="AL143" s="409"/>
      <c r="AM143" s="409"/>
      <c r="AN143" s="409"/>
      <c r="AO143" s="409"/>
      <c r="AP143" s="409"/>
      <c r="AQ143" s="409"/>
      <c r="AR143" s="409"/>
      <c r="AS143" s="409"/>
      <c r="AT143" s="409"/>
      <c r="AU143" s="409"/>
      <c r="AV143" s="409"/>
      <c r="AW143" s="409"/>
      <c r="AX143" s="409"/>
      <c r="AY143" s="409"/>
      <c r="AZ143" s="409"/>
      <c r="BA143" s="409"/>
      <c r="BB143" s="409"/>
      <c r="BC143" s="409"/>
      <c r="BD143" s="407"/>
      <c r="BE143" s="444"/>
      <c r="BF143" s="444"/>
      <c r="BG143" s="444"/>
      <c r="BH143" s="444"/>
      <c r="BI143" s="444"/>
      <c r="BJ143" s="444"/>
      <c r="BK143" s="444"/>
      <c r="BL143" s="444"/>
      <c r="BM143" s="444"/>
      <c r="BN143" s="444"/>
      <c r="BO143" s="444"/>
      <c r="BP143" s="444"/>
      <c r="BQ143" s="444"/>
      <c r="BR143" s="444"/>
      <c r="BS143" s="444"/>
      <c r="BT143" s="444"/>
    </row>
    <row r="144" spans="1:72" ht="15">
      <c r="A144" s="392"/>
      <c r="B144" s="392"/>
      <c r="C144" s="392"/>
      <c r="D144" s="392"/>
      <c r="E144" s="392"/>
      <c r="F144" s="392"/>
      <c r="G144" s="392"/>
      <c r="H144" s="392"/>
      <c r="I144" s="392"/>
      <c r="J144" s="392"/>
      <c r="K144" s="392"/>
      <c r="L144" s="392"/>
      <c r="M144" s="392"/>
      <c r="N144" s="392"/>
      <c r="O144" s="392"/>
      <c r="P144" s="392"/>
      <c r="Q144" s="392"/>
      <c r="R144" s="392"/>
      <c r="S144" s="409"/>
      <c r="T144" s="409"/>
      <c r="U144" s="409"/>
      <c r="V144" s="409"/>
      <c r="W144" s="392"/>
      <c r="X144" s="392"/>
      <c r="Y144" s="409"/>
      <c r="Z144" s="409"/>
      <c r="AA144" s="392"/>
      <c r="AB144" s="392"/>
      <c r="AC144" s="392"/>
      <c r="AD144" s="409"/>
      <c r="AE144" s="409"/>
      <c r="AF144" s="409"/>
      <c r="AG144" s="409"/>
      <c r="AH144" s="409"/>
      <c r="AI144" s="409"/>
      <c r="AJ144" s="409"/>
      <c r="AK144" s="409"/>
      <c r="AL144" s="409"/>
      <c r="AM144" s="409"/>
      <c r="AN144" s="409"/>
      <c r="AO144" s="409"/>
      <c r="AP144" s="409"/>
      <c r="AQ144" s="409"/>
      <c r="AR144" s="409"/>
      <c r="AS144" s="409"/>
      <c r="AT144" s="409"/>
      <c r="AU144" s="409"/>
      <c r="AV144" s="409"/>
      <c r="AW144" s="409"/>
      <c r="AX144" s="409"/>
      <c r="AY144" s="409"/>
      <c r="AZ144" s="409"/>
      <c r="BA144" s="409"/>
      <c r="BB144" s="409"/>
      <c r="BC144" s="409"/>
      <c r="BD144" s="407"/>
      <c r="BE144" s="444"/>
      <c r="BF144" s="444"/>
      <c r="BG144" s="444"/>
      <c r="BH144" s="444"/>
      <c r="BI144" s="444"/>
      <c r="BJ144" s="444"/>
      <c r="BK144" s="444"/>
      <c r="BL144" s="444"/>
      <c r="BM144" s="444"/>
      <c r="BN144" s="444"/>
      <c r="BO144" s="444"/>
      <c r="BP144" s="444"/>
      <c r="BQ144" s="444"/>
      <c r="BR144" s="444"/>
      <c r="BS144" s="444"/>
      <c r="BT144" s="444"/>
    </row>
    <row r="145" spans="1:72" ht="15">
      <c r="A145" s="392"/>
      <c r="B145" s="392"/>
      <c r="C145" s="392"/>
      <c r="D145" s="392"/>
      <c r="E145" s="392"/>
      <c r="F145" s="392"/>
      <c r="G145" s="392"/>
      <c r="H145" s="392"/>
      <c r="I145" s="392"/>
      <c r="J145" s="392"/>
      <c r="K145" s="392"/>
      <c r="L145" s="392"/>
      <c r="M145" s="392"/>
      <c r="N145" s="392"/>
      <c r="O145" s="392"/>
      <c r="P145" s="392"/>
      <c r="Q145" s="392"/>
      <c r="R145" s="392"/>
      <c r="S145" s="409"/>
      <c r="T145" s="409"/>
      <c r="U145" s="409"/>
      <c r="V145" s="409"/>
      <c r="W145" s="392"/>
      <c r="X145" s="392"/>
      <c r="Y145" s="409"/>
      <c r="Z145" s="409"/>
      <c r="AA145" s="392"/>
      <c r="AB145" s="392"/>
      <c r="AC145" s="392"/>
      <c r="AD145" s="409"/>
      <c r="AE145" s="409"/>
      <c r="AF145" s="409"/>
      <c r="AG145" s="409"/>
      <c r="AH145" s="409"/>
      <c r="AI145" s="409"/>
      <c r="AJ145" s="409"/>
      <c r="AK145" s="409"/>
      <c r="AL145" s="409"/>
      <c r="AM145" s="409"/>
      <c r="AN145" s="409"/>
      <c r="AO145" s="409"/>
      <c r="AP145" s="409"/>
      <c r="AQ145" s="409"/>
      <c r="AR145" s="409"/>
      <c r="AS145" s="409"/>
      <c r="AT145" s="409"/>
      <c r="AU145" s="409"/>
      <c r="AV145" s="409"/>
      <c r="AW145" s="409"/>
      <c r="AX145" s="409"/>
      <c r="AY145" s="409"/>
      <c r="AZ145" s="409"/>
      <c r="BA145" s="409"/>
      <c r="BB145" s="409"/>
      <c r="BC145" s="409"/>
      <c r="BD145" s="407"/>
      <c r="BE145" s="444"/>
      <c r="BF145" s="444"/>
      <c r="BG145" s="444"/>
      <c r="BH145" s="444"/>
      <c r="BI145" s="444"/>
      <c r="BJ145" s="444"/>
      <c r="BK145" s="444"/>
      <c r="BL145" s="444"/>
      <c r="BM145" s="444"/>
      <c r="BN145" s="444"/>
      <c r="BO145" s="444"/>
      <c r="BP145" s="444"/>
      <c r="BQ145" s="444"/>
      <c r="BR145" s="444"/>
      <c r="BS145" s="444"/>
      <c r="BT145" s="444"/>
    </row>
    <row r="146" spans="1:72" ht="15">
      <c r="A146" s="392"/>
      <c r="B146" s="392"/>
      <c r="C146" s="392"/>
      <c r="D146" s="392"/>
      <c r="E146" s="392"/>
      <c r="F146" s="392"/>
      <c r="G146" s="392"/>
      <c r="H146" s="392"/>
      <c r="I146" s="392"/>
      <c r="J146" s="392"/>
      <c r="K146" s="392"/>
      <c r="L146" s="392"/>
      <c r="M146" s="392"/>
      <c r="N146" s="392"/>
      <c r="O146" s="392"/>
      <c r="P146" s="392"/>
      <c r="Q146" s="392"/>
      <c r="R146" s="392"/>
      <c r="S146" s="409"/>
      <c r="T146" s="409"/>
      <c r="U146" s="409"/>
      <c r="V146" s="409"/>
      <c r="W146" s="392"/>
      <c r="X146" s="392"/>
      <c r="Y146" s="409"/>
      <c r="Z146" s="409"/>
      <c r="AA146" s="392"/>
      <c r="AB146" s="392"/>
      <c r="AC146" s="392"/>
      <c r="AD146" s="409"/>
      <c r="AE146" s="409"/>
      <c r="AF146" s="409"/>
      <c r="AG146" s="409"/>
      <c r="AH146" s="409"/>
      <c r="AI146" s="409"/>
      <c r="AJ146" s="409"/>
      <c r="AK146" s="409"/>
      <c r="AL146" s="409"/>
      <c r="AM146" s="409"/>
      <c r="AN146" s="409"/>
      <c r="AO146" s="409"/>
      <c r="AP146" s="409"/>
      <c r="AQ146" s="409"/>
      <c r="AR146" s="409"/>
      <c r="AS146" s="409"/>
      <c r="AT146" s="409"/>
      <c r="AU146" s="409"/>
      <c r="AV146" s="409"/>
      <c r="AW146" s="409"/>
      <c r="AX146" s="409"/>
      <c r="AY146" s="409"/>
      <c r="AZ146" s="409"/>
      <c r="BA146" s="409"/>
      <c r="BB146" s="409"/>
      <c r="BC146" s="409"/>
      <c r="BD146" s="407"/>
      <c r="BE146" s="444"/>
      <c r="BF146" s="444"/>
      <c r="BG146" s="444"/>
      <c r="BH146" s="444"/>
      <c r="BI146" s="444"/>
      <c r="BJ146" s="444"/>
      <c r="BK146" s="444"/>
      <c r="BL146" s="444"/>
      <c r="BM146" s="444"/>
      <c r="BN146" s="444"/>
      <c r="BO146" s="444"/>
      <c r="BP146" s="444"/>
      <c r="BQ146" s="444"/>
      <c r="BR146" s="444"/>
      <c r="BS146" s="444"/>
      <c r="BT146" s="444"/>
    </row>
    <row r="147" spans="1:72" ht="15">
      <c r="A147" s="392"/>
      <c r="B147" s="392"/>
      <c r="C147" s="392"/>
      <c r="D147" s="392"/>
      <c r="E147" s="392"/>
      <c r="F147" s="392"/>
      <c r="G147" s="392"/>
      <c r="H147" s="392"/>
      <c r="I147" s="392"/>
      <c r="J147" s="392"/>
      <c r="K147" s="392"/>
      <c r="L147" s="392"/>
      <c r="M147" s="392"/>
      <c r="N147" s="392"/>
      <c r="O147" s="392"/>
      <c r="P147" s="392"/>
      <c r="Q147" s="392"/>
      <c r="R147" s="392"/>
      <c r="S147" s="409"/>
      <c r="T147" s="409"/>
      <c r="U147" s="409"/>
      <c r="V147" s="409"/>
      <c r="W147" s="392"/>
      <c r="X147" s="392"/>
      <c r="Y147" s="409"/>
      <c r="Z147" s="409"/>
      <c r="AA147" s="392"/>
      <c r="AB147" s="392"/>
      <c r="AC147" s="392"/>
      <c r="AD147" s="409"/>
      <c r="AE147" s="409"/>
      <c r="AF147" s="409"/>
      <c r="AG147" s="409"/>
      <c r="AH147" s="409"/>
      <c r="AI147" s="409"/>
      <c r="AJ147" s="409"/>
      <c r="AK147" s="409"/>
      <c r="AL147" s="409"/>
      <c r="AM147" s="409"/>
      <c r="AN147" s="409"/>
      <c r="AO147" s="409"/>
      <c r="AP147" s="409"/>
      <c r="AQ147" s="409"/>
      <c r="AR147" s="409"/>
      <c r="AS147" s="409"/>
      <c r="AT147" s="409"/>
      <c r="AU147" s="409"/>
      <c r="AV147" s="409"/>
      <c r="AW147" s="409"/>
      <c r="AX147" s="409"/>
      <c r="AY147" s="409"/>
      <c r="AZ147" s="409"/>
      <c r="BA147" s="409"/>
      <c r="BB147" s="409"/>
      <c r="BC147" s="409"/>
      <c r="BD147" s="407"/>
      <c r="BE147" s="444"/>
      <c r="BF147" s="444"/>
      <c r="BG147" s="444"/>
      <c r="BH147" s="444"/>
      <c r="BI147" s="444"/>
      <c r="BJ147" s="444"/>
      <c r="BK147" s="444"/>
      <c r="BL147" s="444"/>
      <c r="BM147" s="444"/>
      <c r="BN147" s="444"/>
      <c r="BO147" s="444"/>
      <c r="BP147" s="444"/>
      <c r="BQ147" s="444"/>
      <c r="BR147" s="444"/>
      <c r="BS147" s="444"/>
      <c r="BT147" s="444"/>
    </row>
    <row r="148" spans="1:72" ht="15">
      <c r="A148" s="392"/>
      <c r="B148" s="392"/>
      <c r="C148" s="392"/>
      <c r="D148" s="392"/>
      <c r="E148" s="392"/>
      <c r="F148" s="392"/>
      <c r="G148" s="392"/>
      <c r="H148" s="392"/>
      <c r="I148" s="392"/>
      <c r="J148" s="392"/>
      <c r="K148" s="392"/>
      <c r="L148" s="392"/>
      <c r="M148" s="392"/>
      <c r="N148" s="392"/>
      <c r="O148" s="392"/>
      <c r="P148" s="392"/>
      <c r="Q148" s="392"/>
      <c r="R148" s="392"/>
      <c r="S148" s="409"/>
      <c r="T148" s="409"/>
      <c r="U148" s="409"/>
      <c r="V148" s="409"/>
      <c r="W148" s="392"/>
      <c r="X148" s="392"/>
      <c r="Y148" s="409"/>
      <c r="Z148" s="409"/>
      <c r="AA148" s="392"/>
      <c r="AB148" s="392"/>
      <c r="AC148" s="392"/>
      <c r="AD148" s="409"/>
      <c r="AE148" s="409"/>
      <c r="AF148" s="409"/>
      <c r="AG148" s="409"/>
      <c r="AH148" s="409"/>
      <c r="AI148" s="409"/>
      <c r="AJ148" s="409"/>
      <c r="AK148" s="409"/>
      <c r="AL148" s="409"/>
      <c r="AM148" s="409"/>
      <c r="AN148" s="409"/>
      <c r="AO148" s="409"/>
      <c r="AP148" s="409"/>
      <c r="AQ148" s="409"/>
      <c r="AR148" s="409"/>
      <c r="AS148" s="409"/>
      <c r="AT148" s="409"/>
      <c r="AU148" s="409"/>
      <c r="AV148" s="409"/>
      <c r="AW148" s="409"/>
      <c r="AX148" s="409"/>
      <c r="AY148" s="409"/>
      <c r="AZ148" s="409"/>
      <c r="BA148" s="409"/>
      <c r="BB148" s="409"/>
      <c r="BC148" s="409"/>
      <c r="BD148" s="407"/>
      <c r="BE148" s="444"/>
      <c r="BF148" s="444"/>
      <c r="BG148" s="444"/>
      <c r="BH148" s="444"/>
      <c r="BI148" s="444"/>
      <c r="BJ148" s="444"/>
      <c r="BK148" s="444"/>
      <c r="BL148" s="444"/>
      <c r="BM148" s="444"/>
      <c r="BN148" s="444"/>
      <c r="BO148" s="444"/>
      <c r="BP148" s="444"/>
      <c r="BQ148" s="444"/>
      <c r="BR148" s="444"/>
      <c r="BS148" s="444"/>
      <c r="BT148" s="444"/>
    </row>
    <row r="149" spans="1:72" ht="15">
      <c r="A149" s="392"/>
      <c r="B149" s="392"/>
      <c r="C149" s="392"/>
      <c r="D149" s="392"/>
      <c r="E149" s="392"/>
      <c r="F149" s="392"/>
      <c r="G149" s="392"/>
      <c r="H149" s="392"/>
      <c r="I149" s="392"/>
      <c r="J149" s="392"/>
      <c r="K149" s="392"/>
      <c r="L149" s="392"/>
      <c r="M149" s="392"/>
      <c r="N149" s="392"/>
      <c r="O149" s="392"/>
      <c r="P149" s="392"/>
      <c r="Q149" s="392"/>
      <c r="R149" s="392"/>
      <c r="S149" s="409"/>
      <c r="T149" s="409"/>
      <c r="U149" s="409"/>
      <c r="V149" s="409"/>
      <c r="W149" s="392"/>
      <c r="X149" s="392"/>
      <c r="Y149" s="409"/>
      <c r="Z149" s="409"/>
      <c r="AA149" s="392"/>
      <c r="AB149" s="392"/>
      <c r="AC149" s="392"/>
      <c r="AD149" s="409"/>
      <c r="AE149" s="409"/>
      <c r="AF149" s="409"/>
      <c r="AG149" s="409"/>
      <c r="AH149" s="409"/>
      <c r="AI149" s="409"/>
      <c r="AJ149" s="409"/>
      <c r="AK149" s="409"/>
      <c r="AL149" s="409"/>
      <c r="AM149" s="409"/>
      <c r="AN149" s="409"/>
      <c r="AO149" s="409"/>
      <c r="AP149" s="409"/>
      <c r="AQ149" s="409"/>
      <c r="AR149" s="409"/>
      <c r="AS149" s="409"/>
      <c r="AT149" s="409"/>
      <c r="AU149" s="409"/>
      <c r="AV149" s="409"/>
      <c r="AW149" s="409"/>
      <c r="AX149" s="409"/>
      <c r="AY149" s="409"/>
      <c r="AZ149" s="409"/>
      <c r="BA149" s="409"/>
      <c r="BB149" s="409"/>
      <c r="BC149" s="409"/>
      <c r="BD149" s="407"/>
      <c r="BE149" s="444"/>
      <c r="BF149" s="444"/>
      <c r="BG149" s="444"/>
      <c r="BH149" s="444"/>
      <c r="BI149" s="444"/>
      <c r="BJ149" s="444"/>
      <c r="BK149" s="444"/>
      <c r="BL149" s="444"/>
      <c r="BM149" s="444"/>
      <c r="BN149" s="444"/>
      <c r="BO149" s="444"/>
      <c r="BP149" s="444"/>
      <c r="BQ149" s="444"/>
      <c r="BR149" s="444"/>
      <c r="BS149" s="444"/>
      <c r="BT149" s="444"/>
    </row>
    <row r="150" spans="1:72" ht="15">
      <c r="A150" s="392"/>
      <c r="B150" s="392"/>
      <c r="C150" s="392"/>
      <c r="D150" s="392"/>
      <c r="E150" s="392"/>
      <c r="F150" s="392"/>
      <c r="G150" s="392"/>
      <c r="H150" s="392"/>
      <c r="I150" s="392"/>
      <c r="J150" s="392"/>
      <c r="K150" s="392"/>
      <c r="L150" s="392"/>
      <c r="M150" s="392"/>
      <c r="N150" s="392"/>
      <c r="O150" s="392"/>
      <c r="P150" s="392"/>
      <c r="Q150" s="392"/>
      <c r="R150" s="392"/>
      <c r="S150" s="409"/>
      <c r="T150" s="409"/>
      <c r="U150" s="409"/>
      <c r="V150" s="409"/>
      <c r="W150" s="392"/>
      <c r="X150" s="392"/>
      <c r="Y150" s="409"/>
      <c r="Z150" s="409"/>
      <c r="AA150" s="392"/>
      <c r="AB150" s="392"/>
      <c r="AC150" s="392"/>
      <c r="AD150" s="409"/>
      <c r="AE150" s="409"/>
      <c r="AF150" s="409"/>
      <c r="AG150" s="409"/>
      <c r="AH150" s="409"/>
      <c r="AI150" s="409"/>
      <c r="AJ150" s="409"/>
      <c r="AK150" s="409"/>
      <c r="AL150" s="409"/>
      <c r="AM150" s="409"/>
      <c r="AN150" s="409"/>
      <c r="AO150" s="409"/>
      <c r="AP150" s="409"/>
      <c r="AQ150" s="409"/>
      <c r="AR150" s="409"/>
      <c r="AS150" s="409"/>
      <c r="AT150" s="409"/>
      <c r="AU150" s="409"/>
      <c r="AV150" s="409"/>
      <c r="AW150" s="409"/>
      <c r="AX150" s="409"/>
      <c r="AY150" s="409"/>
      <c r="AZ150" s="409"/>
      <c r="BA150" s="409"/>
      <c r="BB150" s="409"/>
      <c r="BC150" s="409"/>
      <c r="BD150" s="407"/>
      <c r="BE150" s="444"/>
      <c r="BF150" s="444"/>
      <c r="BG150" s="444"/>
      <c r="BH150" s="444"/>
      <c r="BI150" s="444"/>
      <c r="BJ150" s="444"/>
      <c r="BK150" s="444"/>
      <c r="BL150" s="444"/>
      <c r="BM150" s="444"/>
      <c r="BN150" s="444"/>
      <c r="BO150" s="444"/>
      <c r="BP150" s="444"/>
      <c r="BQ150" s="444"/>
      <c r="BR150" s="444"/>
      <c r="BS150" s="444"/>
      <c r="BT150" s="444"/>
    </row>
    <row r="151" spans="1:72" ht="15">
      <c r="A151" s="392"/>
      <c r="B151" s="392"/>
      <c r="C151" s="392"/>
      <c r="D151" s="392"/>
      <c r="E151" s="392"/>
      <c r="F151" s="392"/>
      <c r="G151" s="392"/>
      <c r="H151" s="392"/>
      <c r="I151" s="392"/>
      <c r="J151" s="392"/>
      <c r="K151" s="392"/>
      <c r="L151" s="392"/>
      <c r="M151" s="392"/>
      <c r="N151" s="392"/>
      <c r="O151" s="392"/>
      <c r="P151" s="392"/>
      <c r="Q151" s="392"/>
      <c r="R151" s="392"/>
      <c r="S151" s="409"/>
      <c r="T151" s="409"/>
      <c r="U151" s="409"/>
      <c r="V151" s="409"/>
      <c r="W151" s="392"/>
      <c r="X151" s="392"/>
      <c r="Y151" s="409"/>
      <c r="Z151" s="409"/>
      <c r="AA151" s="392"/>
      <c r="AB151" s="392"/>
      <c r="AC151" s="392"/>
      <c r="AD151" s="409"/>
      <c r="AE151" s="409"/>
      <c r="AF151" s="409"/>
      <c r="AG151" s="409"/>
      <c r="AH151" s="409"/>
      <c r="AI151" s="409"/>
      <c r="AJ151" s="409"/>
      <c r="AK151" s="409"/>
      <c r="AL151" s="409"/>
      <c r="AM151" s="409"/>
      <c r="AN151" s="409"/>
      <c r="AO151" s="409"/>
      <c r="AP151" s="409"/>
      <c r="AQ151" s="409"/>
      <c r="AR151" s="409"/>
      <c r="AS151" s="409"/>
      <c r="AT151" s="409"/>
      <c r="AU151" s="409"/>
      <c r="AV151" s="409"/>
      <c r="AW151" s="409"/>
      <c r="AX151" s="409"/>
      <c r="AY151" s="409"/>
      <c r="AZ151" s="409"/>
      <c r="BA151" s="409"/>
      <c r="BB151" s="409"/>
      <c r="BC151" s="409"/>
      <c r="BD151" s="407"/>
      <c r="BE151" s="444"/>
      <c r="BF151" s="444"/>
      <c r="BG151" s="444"/>
      <c r="BH151" s="444"/>
      <c r="BI151" s="444"/>
      <c r="BJ151" s="444"/>
      <c r="BK151" s="444"/>
      <c r="BL151" s="444"/>
      <c r="BM151" s="444"/>
      <c r="BN151" s="444"/>
      <c r="BO151" s="444"/>
      <c r="BP151" s="444"/>
      <c r="BQ151" s="444"/>
      <c r="BR151" s="444"/>
      <c r="BS151" s="444"/>
      <c r="BT151" s="444"/>
    </row>
    <row r="152" spans="1:72" ht="15">
      <c r="A152" s="392"/>
      <c r="B152" s="392"/>
      <c r="C152" s="392"/>
      <c r="D152" s="392"/>
      <c r="E152" s="392"/>
      <c r="F152" s="392"/>
      <c r="G152" s="392"/>
      <c r="H152" s="392"/>
      <c r="I152" s="392"/>
      <c r="J152" s="392"/>
      <c r="K152" s="392"/>
      <c r="L152" s="392"/>
      <c r="M152" s="392"/>
      <c r="N152" s="392"/>
      <c r="O152" s="392"/>
      <c r="P152" s="392"/>
      <c r="Q152" s="392"/>
      <c r="R152" s="392"/>
      <c r="S152" s="409"/>
      <c r="T152" s="409"/>
      <c r="U152" s="409"/>
      <c r="V152" s="409"/>
      <c r="W152" s="392"/>
      <c r="X152" s="392"/>
      <c r="Y152" s="409"/>
      <c r="Z152" s="409"/>
      <c r="AA152" s="392"/>
      <c r="AB152" s="392"/>
      <c r="AC152" s="392"/>
      <c r="AD152" s="409"/>
      <c r="AE152" s="409"/>
      <c r="AF152" s="409"/>
      <c r="AG152" s="409"/>
      <c r="AH152" s="409"/>
      <c r="AI152" s="409"/>
      <c r="AJ152" s="409"/>
      <c r="AK152" s="409"/>
      <c r="AL152" s="409"/>
      <c r="AM152" s="409"/>
      <c r="AN152" s="409"/>
      <c r="AO152" s="409"/>
      <c r="AP152" s="409"/>
      <c r="AQ152" s="409"/>
      <c r="AR152" s="409"/>
      <c r="AS152" s="409"/>
      <c r="AT152" s="409"/>
      <c r="AU152" s="409"/>
      <c r="AV152" s="409"/>
      <c r="AW152" s="409"/>
      <c r="AX152" s="409"/>
      <c r="AY152" s="409"/>
      <c r="AZ152" s="409"/>
      <c r="BA152" s="409"/>
      <c r="BB152" s="409"/>
      <c r="BC152" s="409"/>
      <c r="BD152" s="407"/>
      <c r="BE152" s="444"/>
      <c r="BF152" s="444"/>
      <c r="BG152" s="444"/>
      <c r="BH152" s="444"/>
      <c r="BI152" s="444"/>
      <c r="BJ152" s="444"/>
      <c r="BK152" s="444"/>
      <c r="BL152" s="444"/>
      <c r="BM152" s="444"/>
      <c r="BN152" s="444"/>
      <c r="BO152" s="444"/>
      <c r="BP152" s="444"/>
      <c r="BQ152" s="444"/>
      <c r="BR152" s="444"/>
      <c r="BS152" s="444"/>
      <c r="BT152" s="444"/>
    </row>
    <row r="153" spans="1:72" ht="15">
      <c r="A153" s="392"/>
      <c r="B153" s="392"/>
      <c r="C153" s="392"/>
      <c r="D153" s="392"/>
      <c r="E153" s="392"/>
      <c r="F153" s="392"/>
      <c r="G153" s="392"/>
      <c r="H153" s="392"/>
      <c r="I153" s="392"/>
      <c r="J153" s="392"/>
      <c r="K153" s="392"/>
      <c r="L153" s="392"/>
      <c r="M153" s="392"/>
      <c r="N153" s="392"/>
      <c r="O153" s="392"/>
      <c r="P153" s="392"/>
      <c r="Q153" s="392"/>
      <c r="R153" s="392"/>
      <c r="S153" s="409"/>
      <c r="T153" s="409"/>
      <c r="U153" s="409"/>
      <c r="V153" s="409"/>
      <c r="W153" s="392"/>
      <c r="X153" s="392"/>
      <c r="Y153" s="409"/>
      <c r="Z153" s="409"/>
      <c r="AA153" s="392"/>
      <c r="AB153" s="392"/>
      <c r="AC153" s="392"/>
      <c r="AD153" s="409"/>
      <c r="AE153" s="409"/>
      <c r="AF153" s="409"/>
      <c r="AG153" s="409"/>
      <c r="AH153" s="409"/>
      <c r="AI153" s="409"/>
      <c r="AJ153" s="409"/>
      <c r="AK153" s="409"/>
      <c r="AL153" s="409"/>
      <c r="AM153" s="409"/>
      <c r="AN153" s="409"/>
      <c r="AO153" s="409"/>
      <c r="AP153" s="409"/>
      <c r="AQ153" s="409"/>
      <c r="AR153" s="409"/>
      <c r="AS153" s="409"/>
      <c r="AT153" s="409"/>
      <c r="AU153" s="409"/>
      <c r="AV153" s="409"/>
      <c r="AW153" s="409"/>
      <c r="AX153" s="409"/>
      <c r="AY153" s="409"/>
      <c r="AZ153" s="409"/>
      <c r="BA153" s="409"/>
      <c r="BB153" s="409"/>
      <c r="BC153" s="409"/>
      <c r="BD153" s="407"/>
      <c r="BE153" s="444"/>
      <c r="BF153" s="444"/>
      <c r="BG153" s="444"/>
      <c r="BH153" s="444"/>
      <c r="BI153" s="444"/>
      <c r="BJ153" s="444"/>
      <c r="BK153" s="444"/>
      <c r="BL153" s="444"/>
      <c r="BM153" s="444"/>
      <c r="BN153" s="444"/>
      <c r="BO153" s="444"/>
      <c r="BP153" s="444"/>
      <c r="BQ153" s="444"/>
      <c r="BR153" s="444"/>
      <c r="BS153" s="444"/>
      <c r="BT153" s="444"/>
    </row>
    <row r="154" spans="1:72" ht="15">
      <c r="A154" s="392"/>
      <c r="B154" s="392"/>
      <c r="C154" s="392"/>
      <c r="D154" s="392"/>
      <c r="E154" s="392"/>
      <c r="F154" s="392"/>
      <c r="G154" s="392"/>
      <c r="H154" s="392"/>
      <c r="I154" s="392"/>
      <c r="J154" s="392"/>
      <c r="K154" s="392"/>
      <c r="L154" s="392"/>
      <c r="M154" s="392"/>
      <c r="N154" s="392"/>
      <c r="O154" s="392"/>
      <c r="P154" s="392"/>
      <c r="Q154" s="392"/>
      <c r="R154" s="392"/>
      <c r="S154" s="409"/>
      <c r="T154" s="409"/>
      <c r="U154" s="409"/>
      <c r="V154" s="409"/>
      <c r="W154" s="392"/>
      <c r="X154" s="392"/>
      <c r="Y154" s="409"/>
      <c r="Z154" s="409"/>
      <c r="AA154" s="392"/>
      <c r="AB154" s="392"/>
      <c r="AC154" s="392"/>
      <c r="AD154" s="409"/>
      <c r="AE154" s="409"/>
      <c r="AF154" s="409"/>
      <c r="AG154" s="409"/>
      <c r="AH154" s="409"/>
      <c r="AI154" s="409"/>
      <c r="AJ154" s="409"/>
      <c r="AK154" s="409"/>
      <c r="AL154" s="409"/>
      <c r="AM154" s="409"/>
      <c r="AN154" s="409"/>
      <c r="AO154" s="409"/>
      <c r="AP154" s="409"/>
      <c r="AQ154" s="409"/>
      <c r="AR154" s="409"/>
      <c r="AS154" s="409"/>
      <c r="AT154" s="409"/>
      <c r="AU154" s="409"/>
      <c r="AV154" s="409"/>
      <c r="AW154" s="409"/>
      <c r="AX154" s="409"/>
      <c r="AY154" s="409"/>
      <c r="AZ154" s="409"/>
      <c r="BA154" s="409"/>
      <c r="BB154" s="409"/>
      <c r="BC154" s="409"/>
      <c r="BD154" s="407"/>
      <c r="BE154" s="444"/>
      <c r="BF154" s="444"/>
      <c r="BG154" s="444"/>
      <c r="BH154" s="444"/>
      <c r="BI154" s="444"/>
      <c r="BJ154" s="444"/>
      <c r="BK154" s="444"/>
      <c r="BL154" s="444"/>
      <c r="BM154" s="444"/>
      <c r="BN154" s="444"/>
      <c r="BO154" s="444"/>
      <c r="BP154" s="444"/>
      <c r="BQ154" s="444"/>
      <c r="BR154" s="444"/>
      <c r="BS154" s="444"/>
      <c r="BT154" s="444"/>
    </row>
    <row r="155" spans="1:72" ht="15">
      <c r="A155" s="392"/>
      <c r="B155" s="392"/>
      <c r="C155" s="392"/>
      <c r="D155" s="392"/>
      <c r="E155" s="392"/>
      <c r="F155" s="392"/>
      <c r="G155" s="392"/>
      <c r="H155" s="392"/>
      <c r="I155" s="392"/>
      <c r="J155" s="392"/>
      <c r="K155" s="392"/>
      <c r="L155" s="392"/>
      <c r="M155" s="392"/>
      <c r="N155" s="392"/>
      <c r="O155" s="392"/>
      <c r="P155" s="392"/>
      <c r="Q155" s="392"/>
      <c r="R155" s="392"/>
      <c r="S155" s="409"/>
      <c r="T155" s="409"/>
      <c r="U155" s="409"/>
      <c r="V155" s="409"/>
      <c r="W155" s="392"/>
      <c r="X155" s="392"/>
      <c r="Y155" s="409"/>
      <c r="Z155" s="409"/>
      <c r="AA155" s="392"/>
      <c r="AB155" s="392"/>
      <c r="AC155" s="392"/>
      <c r="AD155" s="409"/>
      <c r="AE155" s="409"/>
      <c r="AF155" s="409"/>
      <c r="AG155" s="409"/>
      <c r="AH155" s="409"/>
      <c r="AI155" s="409"/>
      <c r="AJ155" s="409"/>
      <c r="AK155" s="409"/>
      <c r="AL155" s="409"/>
      <c r="AM155" s="409"/>
      <c r="AN155" s="409"/>
      <c r="AO155" s="409"/>
      <c r="AP155" s="409"/>
      <c r="AQ155" s="409"/>
      <c r="AR155" s="409"/>
      <c r="AS155" s="409"/>
      <c r="AT155" s="409"/>
      <c r="AU155" s="409"/>
      <c r="AV155" s="409"/>
      <c r="AW155" s="409"/>
      <c r="AX155" s="409"/>
      <c r="AY155" s="409"/>
      <c r="AZ155" s="409"/>
      <c r="BA155" s="409"/>
      <c r="BB155" s="409"/>
      <c r="BC155" s="409"/>
      <c r="BD155" s="407"/>
      <c r="BE155" s="444"/>
      <c r="BF155" s="444"/>
      <c r="BG155" s="444"/>
      <c r="BH155" s="444"/>
      <c r="BI155" s="444"/>
      <c r="BJ155" s="444"/>
      <c r="BK155" s="444"/>
      <c r="BL155" s="444"/>
      <c r="BM155" s="444"/>
      <c r="BN155" s="444"/>
      <c r="BO155" s="444"/>
      <c r="BP155" s="444"/>
      <c r="BQ155" s="444"/>
      <c r="BR155" s="444"/>
      <c r="BS155" s="444"/>
      <c r="BT155" s="444"/>
    </row>
    <row r="156" spans="1:72" ht="15">
      <c r="A156" s="392"/>
      <c r="B156" s="392"/>
      <c r="C156" s="392"/>
      <c r="D156" s="392"/>
      <c r="E156" s="392"/>
      <c r="F156" s="392"/>
      <c r="G156" s="392"/>
      <c r="H156" s="392"/>
      <c r="I156" s="392"/>
      <c r="J156" s="392"/>
      <c r="K156" s="392"/>
      <c r="L156" s="392"/>
      <c r="M156" s="392"/>
      <c r="N156" s="392"/>
      <c r="O156" s="392"/>
      <c r="P156" s="392"/>
      <c r="Q156" s="392"/>
      <c r="R156" s="392"/>
      <c r="S156" s="409"/>
      <c r="T156" s="409"/>
      <c r="U156" s="409"/>
      <c r="V156" s="409"/>
      <c r="W156" s="392"/>
      <c r="X156" s="392"/>
      <c r="Y156" s="409"/>
      <c r="Z156" s="409"/>
      <c r="AA156" s="392"/>
      <c r="AB156" s="392"/>
      <c r="AC156" s="392"/>
      <c r="AD156" s="409"/>
      <c r="AE156" s="409"/>
      <c r="AF156" s="409"/>
      <c r="AG156" s="409"/>
      <c r="AH156" s="409"/>
      <c r="AI156" s="409"/>
      <c r="AJ156" s="409"/>
      <c r="AK156" s="409"/>
      <c r="AL156" s="409"/>
      <c r="AM156" s="409"/>
      <c r="AN156" s="409"/>
      <c r="AO156" s="409"/>
      <c r="AP156" s="409"/>
      <c r="AQ156" s="409"/>
      <c r="AR156" s="409"/>
      <c r="AS156" s="409"/>
      <c r="AT156" s="409"/>
      <c r="AU156" s="409"/>
      <c r="AV156" s="409"/>
      <c r="AW156" s="409"/>
      <c r="AX156" s="409"/>
      <c r="AY156" s="409"/>
      <c r="AZ156" s="409"/>
      <c r="BA156" s="409"/>
      <c r="BB156" s="409"/>
      <c r="BC156" s="409"/>
      <c r="BD156" s="407"/>
      <c r="BE156" s="444"/>
      <c r="BF156" s="444"/>
      <c r="BG156" s="444"/>
      <c r="BH156" s="444"/>
      <c r="BI156" s="444"/>
      <c r="BJ156" s="444"/>
      <c r="BK156" s="444"/>
      <c r="BL156" s="444"/>
      <c r="BM156" s="444"/>
      <c r="BN156" s="444"/>
      <c r="BO156" s="444"/>
      <c r="BP156" s="444"/>
      <c r="BQ156" s="444"/>
      <c r="BR156" s="444"/>
      <c r="BS156" s="444"/>
      <c r="BT156" s="444"/>
    </row>
    <row r="157" spans="1:72" ht="15">
      <c r="A157" s="392"/>
      <c r="B157" s="392"/>
      <c r="C157" s="392"/>
      <c r="D157" s="392"/>
      <c r="E157" s="392"/>
      <c r="F157" s="392"/>
      <c r="G157" s="392"/>
      <c r="H157" s="392"/>
      <c r="I157" s="392"/>
      <c r="J157" s="392"/>
      <c r="K157" s="392"/>
      <c r="L157" s="392"/>
      <c r="M157" s="392"/>
      <c r="N157" s="392"/>
      <c r="O157" s="392"/>
      <c r="P157" s="392"/>
      <c r="Q157" s="392"/>
      <c r="R157" s="392"/>
      <c r="S157" s="409"/>
      <c r="T157" s="409"/>
      <c r="U157" s="409"/>
      <c r="V157" s="409"/>
      <c r="W157" s="392"/>
      <c r="X157" s="392"/>
      <c r="Y157" s="409"/>
      <c r="Z157" s="409"/>
      <c r="AA157" s="392"/>
      <c r="AB157" s="392"/>
      <c r="AC157" s="392"/>
      <c r="AD157" s="409"/>
      <c r="AE157" s="409"/>
      <c r="AF157" s="409"/>
      <c r="AG157" s="409"/>
      <c r="AH157" s="409"/>
      <c r="AI157" s="409"/>
      <c r="AJ157" s="409"/>
      <c r="AK157" s="409"/>
      <c r="AL157" s="409"/>
      <c r="AM157" s="409"/>
      <c r="AN157" s="409"/>
      <c r="AO157" s="409"/>
      <c r="AP157" s="409"/>
      <c r="AQ157" s="409"/>
      <c r="AR157" s="409"/>
      <c r="AS157" s="409"/>
      <c r="AT157" s="409"/>
      <c r="AU157" s="409"/>
      <c r="AV157" s="409"/>
      <c r="AW157" s="409"/>
      <c r="AX157" s="409"/>
      <c r="AY157" s="409"/>
      <c r="AZ157" s="409"/>
      <c r="BA157" s="409"/>
      <c r="BB157" s="409"/>
      <c r="BC157" s="409"/>
      <c r="BD157" s="407"/>
      <c r="BE157" s="444"/>
      <c r="BF157" s="444"/>
      <c r="BG157" s="444"/>
      <c r="BH157" s="444"/>
      <c r="BI157" s="444"/>
      <c r="BJ157" s="444"/>
      <c r="BK157" s="444"/>
      <c r="BL157" s="444"/>
      <c r="BM157" s="444"/>
      <c r="BN157" s="444"/>
      <c r="BO157" s="444"/>
      <c r="BP157" s="444"/>
      <c r="BQ157" s="444"/>
      <c r="BR157" s="444"/>
      <c r="BS157" s="444"/>
      <c r="BT157" s="444"/>
    </row>
    <row r="158" spans="1:72" ht="15">
      <c r="A158" s="392"/>
      <c r="B158" s="392"/>
      <c r="C158" s="392"/>
      <c r="D158" s="392"/>
      <c r="E158" s="392"/>
      <c r="F158" s="392"/>
      <c r="G158" s="392"/>
      <c r="H158" s="392"/>
      <c r="I158" s="392"/>
      <c r="J158" s="392"/>
      <c r="K158" s="392"/>
      <c r="L158" s="392"/>
      <c r="M158" s="392"/>
      <c r="N158" s="392"/>
      <c r="O158" s="392"/>
      <c r="P158" s="392"/>
      <c r="Q158" s="392"/>
      <c r="R158" s="392"/>
      <c r="S158" s="409"/>
      <c r="T158" s="409"/>
      <c r="U158" s="409"/>
      <c r="V158" s="409"/>
      <c r="W158" s="392"/>
      <c r="X158" s="392"/>
      <c r="Y158" s="409"/>
      <c r="Z158" s="409"/>
      <c r="AA158" s="392"/>
      <c r="AB158" s="392"/>
      <c r="AC158" s="392"/>
      <c r="AD158" s="409"/>
      <c r="AE158" s="409"/>
      <c r="AF158" s="409"/>
      <c r="AG158" s="409"/>
      <c r="AH158" s="409"/>
      <c r="AI158" s="409"/>
      <c r="AJ158" s="409"/>
      <c r="AK158" s="409"/>
      <c r="AL158" s="409"/>
      <c r="AM158" s="409"/>
      <c r="AN158" s="409"/>
      <c r="AO158" s="409"/>
      <c r="AP158" s="409"/>
      <c r="AQ158" s="409"/>
      <c r="AR158" s="409"/>
      <c r="AS158" s="409"/>
      <c r="AT158" s="409"/>
      <c r="AU158" s="409"/>
      <c r="AV158" s="409"/>
      <c r="AW158" s="409"/>
      <c r="AX158" s="409"/>
      <c r="AY158" s="409"/>
      <c r="AZ158" s="409"/>
      <c r="BA158" s="409"/>
      <c r="BB158" s="409"/>
      <c r="BC158" s="409"/>
      <c r="BD158" s="407"/>
      <c r="BE158" s="444"/>
      <c r="BF158" s="444"/>
      <c r="BG158" s="444"/>
      <c r="BH158" s="444"/>
      <c r="BI158" s="444"/>
      <c r="BJ158" s="444"/>
      <c r="BK158" s="444"/>
      <c r="BL158" s="444"/>
      <c r="BM158" s="444"/>
      <c r="BN158" s="444"/>
      <c r="BO158" s="444"/>
      <c r="BP158" s="444"/>
      <c r="BQ158" s="444"/>
      <c r="BR158" s="444"/>
      <c r="BS158" s="444"/>
      <c r="BT158" s="444"/>
    </row>
    <row r="159" spans="1:72" ht="15">
      <c r="A159" s="392"/>
      <c r="B159" s="392"/>
      <c r="C159" s="392"/>
      <c r="D159" s="392"/>
      <c r="E159" s="392"/>
      <c r="F159" s="392"/>
      <c r="G159" s="392"/>
      <c r="H159" s="392"/>
      <c r="I159" s="392"/>
      <c r="J159" s="392"/>
      <c r="K159" s="392"/>
      <c r="L159" s="392"/>
      <c r="M159" s="392"/>
      <c r="N159" s="392"/>
      <c r="O159" s="392"/>
      <c r="P159" s="392"/>
      <c r="Q159" s="392"/>
      <c r="R159" s="392"/>
      <c r="S159" s="409"/>
      <c r="T159" s="409"/>
      <c r="U159" s="409"/>
      <c r="V159" s="409"/>
      <c r="W159" s="392"/>
      <c r="X159" s="392"/>
      <c r="Y159" s="409"/>
      <c r="Z159" s="409"/>
      <c r="AA159" s="392"/>
      <c r="AB159" s="392"/>
      <c r="AC159" s="392"/>
      <c r="AD159" s="409"/>
      <c r="AE159" s="409"/>
      <c r="AF159" s="409"/>
      <c r="AG159" s="409"/>
      <c r="AH159" s="409"/>
      <c r="AI159" s="409"/>
      <c r="AJ159" s="409"/>
      <c r="AK159" s="409"/>
      <c r="AL159" s="409"/>
      <c r="AM159" s="409"/>
      <c r="AN159" s="409"/>
      <c r="AO159" s="409"/>
      <c r="AP159" s="409"/>
      <c r="AQ159" s="409"/>
      <c r="AR159" s="409"/>
      <c r="AS159" s="409"/>
      <c r="AT159" s="409"/>
      <c r="AU159" s="409"/>
      <c r="AV159" s="409"/>
      <c r="AW159" s="409"/>
      <c r="AX159" s="409"/>
      <c r="AY159" s="409"/>
      <c r="AZ159" s="409"/>
      <c r="BA159" s="409"/>
      <c r="BB159" s="409"/>
      <c r="BC159" s="409"/>
      <c r="BD159" s="407"/>
      <c r="BE159" s="444"/>
      <c r="BF159" s="444"/>
      <c r="BG159" s="444"/>
      <c r="BH159" s="444"/>
      <c r="BI159" s="444"/>
      <c r="BJ159" s="444"/>
      <c r="BK159" s="444"/>
      <c r="BL159" s="444"/>
      <c r="BM159" s="444"/>
      <c r="BN159" s="444"/>
      <c r="BO159" s="444"/>
      <c r="BP159" s="444"/>
      <c r="BQ159" s="444"/>
      <c r="BR159" s="444"/>
      <c r="BS159" s="444"/>
      <c r="BT159" s="444"/>
    </row>
    <row r="160" spans="1:72" ht="15">
      <c r="A160" s="392"/>
      <c r="B160" s="392"/>
      <c r="C160" s="392"/>
      <c r="D160" s="392"/>
      <c r="E160" s="392"/>
      <c r="F160" s="392"/>
      <c r="G160" s="392"/>
      <c r="H160" s="392"/>
      <c r="I160" s="392"/>
      <c r="J160" s="392"/>
      <c r="K160" s="392"/>
      <c r="L160" s="392"/>
      <c r="M160" s="392"/>
      <c r="N160" s="392"/>
      <c r="O160" s="392"/>
      <c r="P160" s="392"/>
      <c r="Q160" s="392"/>
      <c r="R160" s="392"/>
      <c r="S160" s="409"/>
      <c r="T160" s="409"/>
      <c r="U160" s="409"/>
      <c r="V160" s="409"/>
      <c r="W160" s="392"/>
      <c r="X160" s="392"/>
      <c r="Y160" s="409"/>
      <c r="Z160" s="409"/>
      <c r="AA160" s="392"/>
      <c r="AB160" s="392"/>
      <c r="AC160" s="392"/>
      <c r="AD160" s="409"/>
      <c r="AE160" s="409"/>
      <c r="AF160" s="409"/>
      <c r="AG160" s="409"/>
      <c r="AH160" s="409"/>
      <c r="AI160" s="409"/>
      <c r="AJ160" s="409"/>
      <c r="AK160" s="409"/>
      <c r="AL160" s="409"/>
      <c r="AM160" s="409"/>
      <c r="AN160" s="409"/>
      <c r="AO160" s="409"/>
      <c r="AP160" s="409"/>
      <c r="AQ160" s="409"/>
      <c r="AR160" s="409"/>
      <c r="AS160" s="409"/>
      <c r="AT160" s="409"/>
      <c r="AU160" s="409"/>
      <c r="AV160" s="409"/>
      <c r="AW160" s="409"/>
      <c r="AX160" s="409"/>
      <c r="AY160" s="409"/>
      <c r="AZ160" s="409"/>
      <c r="BA160" s="409"/>
      <c r="BB160" s="409"/>
      <c r="BC160" s="409"/>
      <c r="BD160" s="407"/>
      <c r="BE160" s="444"/>
      <c r="BF160" s="444"/>
      <c r="BG160" s="444"/>
      <c r="BH160" s="444"/>
      <c r="BI160" s="444"/>
      <c r="BJ160" s="444"/>
      <c r="BK160" s="444"/>
      <c r="BL160" s="444"/>
      <c r="BM160" s="444"/>
      <c r="BN160" s="444"/>
      <c r="BO160" s="444"/>
      <c r="BP160" s="444"/>
      <c r="BQ160" s="444"/>
      <c r="BR160" s="444"/>
      <c r="BS160" s="444"/>
      <c r="BT160" s="444"/>
    </row>
    <row r="161" spans="1:72" ht="15">
      <c r="A161" s="392"/>
      <c r="B161" s="392"/>
      <c r="C161" s="392"/>
      <c r="D161" s="392"/>
      <c r="E161" s="392"/>
      <c r="F161" s="392"/>
      <c r="G161" s="392"/>
      <c r="H161" s="392"/>
      <c r="I161" s="392"/>
      <c r="J161" s="392"/>
      <c r="K161" s="392"/>
      <c r="L161" s="392"/>
      <c r="M161" s="392"/>
      <c r="N161" s="392"/>
      <c r="O161" s="392"/>
      <c r="P161" s="392"/>
      <c r="Q161" s="392"/>
      <c r="R161" s="392"/>
      <c r="S161" s="409"/>
      <c r="T161" s="409"/>
      <c r="U161" s="409"/>
      <c r="V161" s="409"/>
      <c r="W161" s="392"/>
      <c r="X161" s="392"/>
      <c r="Y161" s="409"/>
      <c r="Z161" s="409"/>
      <c r="AA161" s="392"/>
      <c r="AB161" s="392"/>
      <c r="AC161" s="392"/>
      <c r="AD161" s="409"/>
      <c r="AE161" s="409"/>
      <c r="AF161" s="409"/>
      <c r="AG161" s="409"/>
      <c r="AH161" s="409"/>
      <c r="AI161" s="409"/>
      <c r="AJ161" s="409"/>
      <c r="AK161" s="409"/>
      <c r="AL161" s="409"/>
      <c r="AM161" s="409"/>
      <c r="AN161" s="409"/>
      <c r="AO161" s="409"/>
      <c r="AP161" s="409"/>
      <c r="AQ161" s="409"/>
      <c r="AR161" s="409"/>
      <c r="AS161" s="409"/>
      <c r="AT161" s="409"/>
      <c r="AU161" s="409"/>
      <c r="AV161" s="409"/>
      <c r="AW161" s="409"/>
      <c r="AX161" s="409"/>
      <c r="AY161" s="409"/>
      <c r="AZ161" s="409"/>
      <c r="BA161" s="409"/>
      <c r="BB161" s="409"/>
      <c r="BC161" s="409"/>
      <c r="BD161" s="407"/>
      <c r="BE161" s="444"/>
      <c r="BF161" s="444"/>
      <c r="BG161" s="444"/>
      <c r="BH161" s="444"/>
      <c r="BI161" s="444"/>
      <c r="BJ161" s="444"/>
      <c r="BK161" s="444"/>
      <c r="BL161" s="444"/>
      <c r="BM161" s="444"/>
      <c r="BN161" s="444"/>
      <c r="BO161" s="444"/>
      <c r="BP161" s="444"/>
      <c r="BQ161" s="444"/>
      <c r="BR161" s="444"/>
      <c r="BS161" s="444"/>
      <c r="BT161" s="444"/>
    </row>
    <row r="162" spans="1:72" ht="15">
      <c r="A162" s="392"/>
      <c r="B162" s="392"/>
      <c r="C162" s="392"/>
      <c r="D162" s="392"/>
      <c r="E162" s="392"/>
      <c r="F162" s="392"/>
      <c r="G162" s="392"/>
      <c r="H162" s="392"/>
      <c r="I162" s="392"/>
      <c r="J162" s="392"/>
      <c r="K162" s="392"/>
      <c r="L162" s="392"/>
      <c r="M162" s="392"/>
      <c r="N162" s="392"/>
      <c r="O162" s="392"/>
      <c r="P162" s="392"/>
      <c r="Q162" s="392"/>
      <c r="R162" s="392"/>
      <c r="S162" s="409"/>
      <c r="T162" s="409"/>
      <c r="U162" s="409"/>
      <c r="V162" s="409"/>
      <c r="W162" s="392"/>
      <c r="X162" s="392"/>
      <c r="Y162" s="409"/>
      <c r="Z162" s="409"/>
      <c r="AA162" s="392"/>
      <c r="AB162" s="392"/>
      <c r="AC162" s="392"/>
      <c r="AD162" s="409"/>
      <c r="AE162" s="409"/>
      <c r="AF162" s="409"/>
      <c r="AG162" s="409"/>
      <c r="AH162" s="409"/>
      <c r="AI162" s="409"/>
      <c r="AJ162" s="409"/>
      <c r="AK162" s="409"/>
      <c r="AL162" s="409"/>
      <c r="AM162" s="409"/>
      <c r="AN162" s="409"/>
      <c r="AO162" s="409"/>
      <c r="AP162" s="409"/>
      <c r="AQ162" s="409"/>
      <c r="AR162" s="409"/>
      <c r="AS162" s="409"/>
      <c r="AT162" s="409"/>
      <c r="AU162" s="409"/>
      <c r="AV162" s="409"/>
      <c r="AW162" s="409"/>
      <c r="AX162" s="409"/>
      <c r="AY162" s="409"/>
      <c r="AZ162" s="409"/>
      <c r="BA162" s="409"/>
      <c r="BB162" s="409"/>
      <c r="BC162" s="409"/>
      <c r="BD162" s="407"/>
      <c r="BE162" s="444"/>
      <c r="BF162" s="444"/>
      <c r="BG162" s="444"/>
      <c r="BH162" s="444"/>
      <c r="BI162" s="444"/>
      <c r="BJ162" s="444"/>
      <c r="BK162" s="444"/>
      <c r="BL162" s="444"/>
      <c r="BM162" s="444"/>
      <c r="BN162" s="444"/>
      <c r="BO162" s="444"/>
      <c r="BP162" s="444"/>
      <c r="BQ162" s="444"/>
      <c r="BR162" s="444"/>
      <c r="BS162" s="444"/>
      <c r="BT162" s="444"/>
    </row>
    <row r="163" spans="1:72" ht="15">
      <c r="A163" s="392"/>
      <c r="B163" s="392"/>
      <c r="C163" s="392"/>
      <c r="D163" s="392"/>
      <c r="E163" s="392"/>
      <c r="F163" s="392"/>
      <c r="G163" s="392"/>
      <c r="H163" s="392"/>
      <c r="I163" s="392"/>
      <c r="J163" s="392"/>
      <c r="K163" s="392"/>
      <c r="L163" s="392"/>
      <c r="M163" s="392"/>
      <c r="N163" s="392"/>
      <c r="O163" s="392"/>
      <c r="P163" s="392"/>
      <c r="Q163" s="392"/>
      <c r="R163" s="392"/>
      <c r="S163" s="409"/>
      <c r="T163" s="409"/>
      <c r="U163" s="409"/>
      <c r="V163" s="409"/>
      <c r="W163" s="392"/>
      <c r="X163" s="392"/>
      <c r="Y163" s="409"/>
      <c r="Z163" s="409"/>
      <c r="AA163" s="392"/>
      <c r="AB163" s="392"/>
      <c r="AC163" s="392"/>
      <c r="AD163" s="409"/>
      <c r="AE163" s="409"/>
      <c r="AF163" s="409"/>
      <c r="AG163" s="409"/>
      <c r="AH163" s="409"/>
      <c r="AI163" s="409"/>
      <c r="AJ163" s="409"/>
      <c r="AK163" s="409"/>
      <c r="AL163" s="409"/>
      <c r="AM163" s="409"/>
      <c r="AN163" s="409"/>
      <c r="AO163" s="409"/>
      <c r="AP163" s="409"/>
      <c r="AQ163" s="409"/>
      <c r="AR163" s="409"/>
      <c r="AS163" s="409"/>
      <c r="AT163" s="409"/>
      <c r="AU163" s="409"/>
      <c r="AV163" s="409"/>
      <c r="AW163" s="409"/>
      <c r="AX163" s="409"/>
      <c r="AY163" s="409"/>
      <c r="AZ163" s="409"/>
      <c r="BA163" s="409"/>
      <c r="BB163" s="409"/>
      <c r="BC163" s="409"/>
      <c r="BD163" s="407"/>
      <c r="BE163" s="444"/>
      <c r="BF163" s="444"/>
      <c r="BG163" s="444"/>
      <c r="BH163" s="444"/>
      <c r="BI163" s="444"/>
      <c r="BJ163" s="444"/>
      <c r="BK163" s="444"/>
      <c r="BL163" s="444"/>
      <c r="BM163" s="444"/>
      <c r="BN163" s="444"/>
      <c r="BO163" s="444"/>
      <c r="BP163" s="444"/>
      <c r="BQ163" s="444"/>
      <c r="BR163" s="444"/>
      <c r="BS163" s="444"/>
      <c r="BT163" s="444"/>
    </row>
    <row r="164" spans="1:72" ht="15">
      <c r="A164" s="392"/>
      <c r="B164" s="392"/>
      <c r="C164" s="392"/>
      <c r="D164" s="392"/>
      <c r="E164" s="392"/>
      <c r="F164" s="392"/>
      <c r="G164" s="392"/>
      <c r="H164" s="392"/>
      <c r="I164" s="392"/>
      <c r="J164" s="392"/>
      <c r="K164" s="392"/>
      <c r="L164" s="392"/>
      <c r="M164" s="392"/>
      <c r="N164" s="392"/>
      <c r="O164" s="392"/>
      <c r="P164" s="392"/>
      <c r="Q164" s="392"/>
      <c r="R164" s="392"/>
      <c r="S164" s="409"/>
      <c r="T164" s="409"/>
      <c r="U164" s="409"/>
      <c r="V164" s="409"/>
      <c r="W164" s="392"/>
      <c r="X164" s="392"/>
      <c r="Y164" s="409"/>
      <c r="Z164" s="409"/>
      <c r="AA164" s="392"/>
      <c r="AB164" s="392"/>
      <c r="AC164" s="392"/>
      <c r="AD164" s="409"/>
      <c r="AE164" s="409"/>
      <c r="AF164" s="409"/>
      <c r="AG164" s="409"/>
      <c r="AH164" s="409"/>
      <c r="AI164" s="409"/>
      <c r="AJ164" s="409"/>
      <c r="AK164" s="409"/>
      <c r="AL164" s="409"/>
      <c r="AM164" s="409"/>
      <c r="AN164" s="409"/>
      <c r="AO164" s="409"/>
      <c r="AP164" s="409"/>
      <c r="AQ164" s="409"/>
      <c r="AR164" s="409"/>
      <c r="AS164" s="409"/>
      <c r="AT164" s="409"/>
      <c r="AU164" s="409"/>
      <c r="AV164" s="409"/>
      <c r="AW164" s="409"/>
      <c r="AX164" s="409"/>
      <c r="AY164" s="409"/>
      <c r="AZ164" s="409"/>
      <c r="BA164" s="409"/>
      <c r="BB164" s="409"/>
      <c r="BC164" s="409"/>
      <c r="BD164" s="407"/>
      <c r="BE164" s="444"/>
      <c r="BF164" s="444"/>
      <c r="BG164" s="444"/>
      <c r="BH164" s="444"/>
      <c r="BI164" s="444"/>
      <c r="BJ164" s="444"/>
      <c r="BK164" s="444"/>
      <c r="BL164" s="444"/>
      <c r="BM164" s="444"/>
      <c r="BN164" s="444"/>
      <c r="BO164" s="444"/>
      <c r="BP164" s="444"/>
      <c r="BQ164" s="444"/>
      <c r="BR164" s="444"/>
      <c r="BS164" s="444"/>
      <c r="BT164" s="444"/>
    </row>
    <row r="165" spans="1:72" ht="15">
      <c r="A165" s="392"/>
      <c r="B165" s="392"/>
      <c r="C165" s="392"/>
      <c r="D165" s="392"/>
      <c r="E165" s="392"/>
      <c r="F165" s="392"/>
      <c r="G165" s="392"/>
      <c r="H165" s="392"/>
      <c r="I165" s="392"/>
      <c r="J165" s="392"/>
      <c r="K165" s="392"/>
      <c r="L165" s="392"/>
      <c r="M165" s="392"/>
      <c r="N165" s="392"/>
      <c r="O165" s="392"/>
      <c r="P165" s="392"/>
      <c r="Q165" s="392"/>
      <c r="R165" s="392"/>
      <c r="S165" s="409"/>
      <c r="T165" s="409"/>
      <c r="U165" s="409"/>
      <c r="V165" s="409"/>
      <c r="W165" s="392"/>
      <c r="X165" s="392"/>
      <c r="Y165" s="409"/>
      <c r="Z165" s="409"/>
      <c r="AA165" s="392"/>
      <c r="AB165" s="392"/>
      <c r="AC165" s="392"/>
      <c r="AD165" s="409"/>
      <c r="AE165" s="409"/>
      <c r="AF165" s="409"/>
      <c r="AG165" s="409"/>
      <c r="AH165" s="409"/>
      <c r="AI165" s="409"/>
      <c r="AJ165" s="409"/>
      <c r="AK165" s="409"/>
      <c r="AL165" s="409"/>
      <c r="AM165" s="409"/>
      <c r="AN165" s="409"/>
      <c r="AO165" s="409"/>
      <c r="AP165" s="409"/>
      <c r="AQ165" s="409"/>
      <c r="AR165" s="409"/>
      <c r="AS165" s="409"/>
      <c r="AT165" s="409"/>
      <c r="AU165" s="409"/>
      <c r="AV165" s="409"/>
      <c r="AW165" s="409"/>
      <c r="AX165" s="409"/>
      <c r="AY165" s="409"/>
      <c r="AZ165" s="409"/>
      <c r="BA165" s="409"/>
      <c r="BB165" s="409"/>
      <c r="BC165" s="409"/>
      <c r="BD165" s="407"/>
      <c r="BE165" s="444"/>
      <c r="BF165" s="444"/>
      <c r="BG165" s="444"/>
      <c r="BH165" s="444"/>
      <c r="BI165" s="444"/>
      <c r="BJ165" s="444"/>
      <c r="BK165" s="444"/>
      <c r="BL165" s="444"/>
      <c r="BM165" s="444"/>
      <c r="BN165" s="444"/>
      <c r="BO165" s="444"/>
      <c r="BP165" s="444"/>
      <c r="BQ165" s="444"/>
      <c r="BR165" s="444"/>
      <c r="BS165" s="444"/>
      <c r="BT165" s="444"/>
    </row>
    <row r="166" spans="1:72" ht="15">
      <c r="A166" s="392"/>
      <c r="B166" s="392"/>
      <c r="C166" s="392"/>
      <c r="D166" s="392"/>
      <c r="E166" s="392"/>
      <c r="F166" s="392"/>
      <c r="G166" s="392"/>
      <c r="H166" s="392"/>
      <c r="I166" s="392"/>
      <c r="J166" s="392"/>
      <c r="K166" s="392"/>
      <c r="L166" s="392"/>
      <c r="M166" s="392"/>
      <c r="N166" s="392"/>
      <c r="O166" s="392"/>
      <c r="P166" s="392"/>
      <c r="Q166" s="392"/>
      <c r="R166" s="392"/>
      <c r="S166" s="409"/>
      <c r="T166" s="409"/>
      <c r="U166" s="409"/>
      <c r="V166" s="409"/>
      <c r="W166" s="392"/>
      <c r="X166" s="392"/>
      <c r="Y166" s="409"/>
      <c r="Z166" s="409"/>
      <c r="AA166" s="392"/>
      <c r="AB166" s="392"/>
      <c r="AC166" s="392"/>
      <c r="AD166" s="409"/>
      <c r="AE166" s="409"/>
      <c r="AF166" s="409"/>
      <c r="AG166" s="409"/>
      <c r="AH166" s="409"/>
      <c r="AI166" s="409"/>
      <c r="AJ166" s="409"/>
      <c r="AK166" s="409"/>
      <c r="AL166" s="409"/>
      <c r="AM166" s="409"/>
      <c r="AN166" s="409"/>
      <c r="AO166" s="409"/>
      <c r="AP166" s="409"/>
      <c r="AQ166" s="409"/>
      <c r="AR166" s="409"/>
      <c r="AS166" s="409"/>
      <c r="AT166" s="409"/>
      <c r="AU166" s="409"/>
      <c r="AV166" s="409"/>
      <c r="AW166" s="409"/>
      <c r="AX166" s="409"/>
      <c r="AY166" s="409"/>
      <c r="AZ166" s="409"/>
      <c r="BA166" s="409"/>
      <c r="BB166" s="409"/>
      <c r="BC166" s="409"/>
      <c r="BD166" s="407"/>
      <c r="BE166" s="444"/>
      <c r="BF166" s="444"/>
      <c r="BG166" s="444"/>
      <c r="BH166" s="444"/>
      <c r="BI166" s="444"/>
      <c r="BJ166" s="444"/>
      <c r="BK166" s="444"/>
      <c r="BL166" s="444"/>
      <c r="BM166" s="444"/>
      <c r="BN166" s="444"/>
      <c r="BO166" s="444"/>
      <c r="BP166" s="444"/>
      <c r="BQ166" s="444"/>
      <c r="BR166" s="444"/>
      <c r="BS166" s="444"/>
      <c r="BT166" s="444"/>
    </row>
    <row r="167" spans="1:72" ht="15">
      <c r="A167" s="392"/>
      <c r="B167" s="392"/>
      <c r="C167" s="392"/>
      <c r="D167" s="392"/>
      <c r="E167" s="392"/>
      <c r="F167" s="392"/>
      <c r="G167" s="392"/>
      <c r="H167" s="392"/>
      <c r="I167" s="392"/>
      <c r="J167" s="392"/>
      <c r="K167" s="392"/>
      <c r="L167" s="392"/>
      <c r="M167" s="392"/>
      <c r="N167" s="392"/>
      <c r="O167" s="392"/>
      <c r="P167" s="392"/>
      <c r="Q167" s="392"/>
      <c r="R167" s="392"/>
      <c r="S167" s="409"/>
      <c r="T167" s="409"/>
      <c r="U167" s="409"/>
      <c r="V167" s="409"/>
      <c r="W167" s="392"/>
      <c r="X167" s="392"/>
      <c r="Y167" s="409"/>
      <c r="Z167" s="409"/>
      <c r="AA167" s="392"/>
      <c r="AB167" s="392"/>
      <c r="AC167" s="392"/>
      <c r="AD167" s="409"/>
      <c r="AE167" s="409"/>
      <c r="AF167" s="409"/>
      <c r="AG167" s="409"/>
      <c r="AH167" s="409"/>
      <c r="AI167" s="409"/>
      <c r="AJ167" s="409"/>
      <c r="AK167" s="409"/>
      <c r="AL167" s="409"/>
      <c r="AM167" s="409"/>
      <c r="AN167" s="409"/>
      <c r="AO167" s="409"/>
      <c r="AP167" s="409"/>
      <c r="AQ167" s="409"/>
      <c r="AR167" s="409"/>
      <c r="AS167" s="409"/>
      <c r="AT167" s="409"/>
      <c r="AU167" s="409"/>
      <c r="AV167" s="409"/>
      <c r="AW167" s="409"/>
      <c r="AX167" s="409"/>
      <c r="AY167" s="409"/>
      <c r="AZ167" s="409"/>
      <c r="BA167" s="409"/>
      <c r="BB167" s="409"/>
      <c r="BC167" s="409"/>
      <c r="BD167" s="407"/>
      <c r="BE167" s="444"/>
      <c r="BF167" s="444"/>
      <c r="BG167" s="444"/>
      <c r="BH167" s="444"/>
      <c r="BI167" s="444"/>
      <c r="BJ167" s="444"/>
      <c r="BK167" s="444"/>
      <c r="BL167" s="444"/>
      <c r="BM167" s="444"/>
      <c r="BN167" s="444"/>
      <c r="BO167" s="444"/>
      <c r="BP167" s="444"/>
      <c r="BQ167" s="444"/>
      <c r="BR167" s="444"/>
      <c r="BS167" s="444"/>
      <c r="BT167" s="444"/>
    </row>
    <row r="168" spans="1:72" ht="15">
      <c r="A168" s="392"/>
      <c r="B168" s="392"/>
      <c r="C168" s="392"/>
      <c r="D168" s="392"/>
      <c r="E168" s="392"/>
      <c r="F168" s="392"/>
      <c r="G168" s="392"/>
      <c r="H168" s="392"/>
      <c r="I168" s="392"/>
      <c r="J168" s="392"/>
      <c r="K168" s="392"/>
      <c r="L168" s="392"/>
      <c r="M168" s="392"/>
      <c r="N168" s="392"/>
      <c r="O168" s="392"/>
      <c r="P168" s="392"/>
      <c r="Q168" s="392"/>
      <c r="R168" s="392"/>
      <c r="S168" s="409"/>
      <c r="T168" s="409"/>
      <c r="U168" s="409"/>
      <c r="V168" s="409"/>
      <c r="W168" s="392"/>
      <c r="X168" s="392"/>
      <c r="Y168" s="409"/>
      <c r="Z168" s="409"/>
      <c r="AA168" s="392"/>
      <c r="AB168" s="392"/>
      <c r="AC168" s="392"/>
      <c r="AD168" s="409"/>
      <c r="AE168" s="409"/>
      <c r="AF168" s="409"/>
      <c r="AG168" s="409"/>
      <c r="AH168" s="409"/>
      <c r="AI168" s="409"/>
      <c r="AJ168" s="409"/>
      <c r="AK168" s="409"/>
      <c r="AL168" s="409"/>
      <c r="AM168" s="409"/>
      <c r="AN168" s="409"/>
      <c r="AO168" s="409"/>
      <c r="AP168" s="409"/>
      <c r="AQ168" s="409"/>
      <c r="AR168" s="409"/>
      <c r="AS168" s="409"/>
      <c r="AT168" s="409"/>
      <c r="AU168" s="409"/>
      <c r="AV168" s="409"/>
      <c r="AW168" s="409"/>
      <c r="AX168" s="409"/>
      <c r="AY168" s="409"/>
      <c r="AZ168" s="409"/>
      <c r="BA168" s="409"/>
      <c r="BB168" s="409"/>
      <c r="BC168" s="409"/>
      <c r="BD168" s="407"/>
      <c r="BE168" s="444"/>
      <c r="BF168" s="444"/>
      <c r="BG168" s="444"/>
      <c r="BH168" s="444"/>
      <c r="BI168" s="444"/>
      <c r="BJ168" s="444"/>
      <c r="BK168" s="444"/>
      <c r="BL168" s="444"/>
      <c r="BM168" s="444"/>
      <c r="BN168" s="444"/>
      <c r="BO168" s="444"/>
      <c r="BP168" s="444"/>
      <c r="BQ168" s="444"/>
      <c r="BR168" s="444"/>
      <c r="BS168" s="444"/>
      <c r="BT168" s="444"/>
    </row>
    <row r="169" spans="1:72" ht="15">
      <c r="A169" s="392"/>
      <c r="B169" s="392"/>
      <c r="C169" s="392"/>
      <c r="D169" s="392"/>
      <c r="E169" s="392"/>
      <c r="F169" s="392"/>
      <c r="G169" s="392"/>
      <c r="H169" s="392"/>
      <c r="I169" s="392"/>
      <c r="J169" s="392"/>
      <c r="K169" s="392"/>
      <c r="L169" s="392"/>
      <c r="M169" s="392"/>
      <c r="N169" s="392"/>
      <c r="O169" s="392"/>
      <c r="P169" s="392"/>
      <c r="Q169" s="392"/>
      <c r="R169" s="392"/>
      <c r="S169" s="409"/>
      <c r="T169" s="409"/>
      <c r="U169" s="409"/>
      <c r="V169" s="409"/>
      <c r="W169" s="392"/>
      <c r="X169" s="392"/>
      <c r="Y169" s="409"/>
      <c r="Z169" s="409"/>
      <c r="AA169" s="392"/>
      <c r="AB169" s="392"/>
      <c r="AC169" s="392"/>
      <c r="AD169" s="409"/>
      <c r="AE169" s="409"/>
      <c r="AF169" s="409"/>
      <c r="AG169" s="409"/>
      <c r="AH169" s="409"/>
      <c r="AI169" s="409"/>
      <c r="AJ169" s="409"/>
      <c r="AK169" s="409"/>
      <c r="AL169" s="409"/>
      <c r="AM169" s="409"/>
      <c r="AN169" s="409"/>
      <c r="AO169" s="409"/>
      <c r="AP169" s="409"/>
      <c r="AQ169" s="409"/>
      <c r="AR169" s="409"/>
      <c r="AS169" s="409"/>
      <c r="AT169" s="409"/>
      <c r="AU169" s="409"/>
      <c r="AV169" s="409"/>
      <c r="AW169" s="409"/>
      <c r="AX169" s="409"/>
      <c r="AY169" s="409"/>
      <c r="AZ169" s="409"/>
      <c r="BA169" s="409"/>
      <c r="BB169" s="409"/>
      <c r="BC169" s="409"/>
      <c r="BD169" s="407"/>
      <c r="BE169" s="444"/>
      <c r="BF169" s="444"/>
      <c r="BG169" s="444"/>
      <c r="BH169" s="444"/>
      <c r="BI169" s="444"/>
      <c r="BJ169" s="444"/>
      <c r="BK169" s="444"/>
      <c r="BL169" s="444"/>
      <c r="BM169" s="444"/>
      <c r="BN169" s="444"/>
      <c r="BO169" s="444"/>
      <c r="BP169" s="444"/>
      <c r="BQ169" s="444"/>
      <c r="BR169" s="444"/>
      <c r="BS169" s="444"/>
      <c r="BT169" s="444"/>
    </row>
    <row r="170" spans="1:72" ht="15">
      <c r="A170" s="392"/>
      <c r="B170" s="392"/>
      <c r="C170" s="392"/>
      <c r="D170" s="392"/>
      <c r="E170" s="392"/>
      <c r="F170" s="392"/>
      <c r="G170" s="392"/>
      <c r="H170" s="392"/>
      <c r="I170" s="392"/>
      <c r="J170" s="392"/>
      <c r="K170" s="392"/>
      <c r="L170" s="392"/>
      <c r="M170" s="392"/>
      <c r="N170" s="392"/>
      <c r="O170" s="392"/>
      <c r="P170" s="392"/>
      <c r="Q170" s="392"/>
      <c r="R170" s="392"/>
      <c r="S170" s="409"/>
      <c r="T170" s="409"/>
      <c r="U170" s="409"/>
      <c r="V170" s="409"/>
      <c r="W170" s="392"/>
      <c r="X170" s="392"/>
      <c r="Y170" s="409"/>
      <c r="Z170" s="409"/>
      <c r="AA170" s="392"/>
      <c r="AB170" s="392"/>
      <c r="AC170" s="392"/>
      <c r="AD170" s="409"/>
      <c r="AE170" s="409"/>
      <c r="AF170" s="409"/>
      <c r="AG170" s="409"/>
      <c r="AH170" s="409"/>
      <c r="AI170" s="409"/>
      <c r="AJ170" s="409"/>
      <c r="AK170" s="409"/>
      <c r="AL170" s="409"/>
      <c r="AM170" s="409"/>
      <c r="AN170" s="409"/>
      <c r="AO170" s="409"/>
      <c r="AP170" s="409"/>
      <c r="AQ170" s="409"/>
      <c r="AR170" s="409"/>
      <c r="AS170" s="409"/>
      <c r="AT170" s="409"/>
      <c r="AU170" s="409"/>
      <c r="AV170" s="409"/>
      <c r="AW170" s="409"/>
      <c r="AX170" s="409"/>
      <c r="AY170" s="409"/>
      <c r="AZ170" s="409"/>
      <c r="BA170" s="409"/>
      <c r="BB170" s="409"/>
      <c r="BC170" s="409"/>
      <c r="BD170" s="407"/>
      <c r="BE170" s="444"/>
      <c r="BF170" s="444"/>
      <c r="BG170" s="444"/>
      <c r="BH170" s="444"/>
      <c r="BI170" s="444"/>
      <c r="BJ170" s="444"/>
      <c r="BK170" s="444"/>
      <c r="BL170" s="444"/>
      <c r="BM170" s="444"/>
      <c r="BN170" s="444"/>
      <c r="BO170" s="444"/>
      <c r="BP170" s="444"/>
      <c r="BQ170" s="444"/>
      <c r="BR170" s="444"/>
      <c r="BS170" s="444"/>
      <c r="BT170" s="444"/>
    </row>
    <row r="171" spans="1:72" ht="15">
      <c r="A171" s="392"/>
      <c r="B171" s="392"/>
      <c r="C171" s="392"/>
      <c r="D171" s="392"/>
      <c r="E171" s="392"/>
      <c r="F171" s="392"/>
      <c r="G171" s="392"/>
      <c r="H171" s="392"/>
      <c r="I171" s="392"/>
      <c r="J171" s="392"/>
      <c r="K171" s="392"/>
      <c r="L171" s="392"/>
      <c r="M171" s="392"/>
      <c r="N171" s="392"/>
      <c r="O171" s="392"/>
      <c r="P171" s="392"/>
      <c r="Q171" s="392"/>
      <c r="R171" s="392"/>
      <c r="S171" s="409"/>
      <c r="T171" s="409"/>
      <c r="U171" s="409"/>
      <c r="V171" s="409"/>
      <c r="W171" s="392"/>
      <c r="X171" s="392"/>
      <c r="Y171" s="409"/>
      <c r="Z171" s="409"/>
      <c r="AA171" s="392"/>
      <c r="AB171" s="392"/>
      <c r="AC171" s="392"/>
      <c r="AD171" s="409"/>
      <c r="AE171" s="409"/>
      <c r="AF171" s="409"/>
      <c r="AG171" s="409"/>
      <c r="AH171" s="409"/>
      <c r="AI171" s="409"/>
      <c r="AJ171" s="409"/>
      <c r="AK171" s="409"/>
      <c r="AL171" s="409"/>
      <c r="AM171" s="409"/>
      <c r="AN171" s="409"/>
      <c r="AO171" s="409"/>
      <c r="AP171" s="409"/>
      <c r="AQ171" s="409"/>
      <c r="AR171" s="409"/>
      <c r="AS171" s="409"/>
      <c r="AT171" s="409"/>
      <c r="AU171" s="409"/>
      <c r="AV171" s="409"/>
      <c r="AW171" s="409"/>
      <c r="AX171" s="409"/>
      <c r="AY171" s="409"/>
      <c r="AZ171" s="409"/>
      <c r="BA171" s="409"/>
      <c r="BB171" s="409"/>
      <c r="BC171" s="409"/>
      <c r="BD171" s="407"/>
      <c r="BE171" s="444"/>
      <c r="BF171" s="444"/>
      <c r="BG171" s="444"/>
      <c r="BH171" s="444"/>
      <c r="BI171" s="444"/>
      <c r="BJ171" s="444"/>
      <c r="BK171" s="444"/>
      <c r="BL171" s="444"/>
      <c r="BM171" s="444"/>
      <c r="BN171" s="444"/>
      <c r="BO171" s="444"/>
      <c r="BP171" s="444"/>
      <c r="BQ171" s="444"/>
      <c r="BR171" s="444"/>
      <c r="BS171" s="444"/>
      <c r="BT171" s="444"/>
    </row>
    <row r="172" spans="1:72" ht="15">
      <c r="A172" s="392"/>
      <c r="B172" s="392"/>
      <c r="C172" s="392"/>
      <c r="D172" s="392"/>
      <c r="E172" s="392"/>
      <c r="F172" s="392"/>
      <c r="G172" s="392"/>
      <c r="H172" s="392"/>
      <c r="I172" s="392"/>
      <c r="J172" s="392"/>
      <c r="K172" s="392"/>
      <c r="L172" s="392"/>
      <c r="M172" s="392"/>
      <c r="N172" s="392"/>
      <c r="O172" s="392"/>
      <c r="P172" s="392"/>
      <c r="Q172" s="392"/>
      <c r="R172" s="392"/>
      <c r="S172" s="409"/>
      <c r="T172" s="409"/>
      <c r="U172" s="409"/>
      <c r="V172" s="409"/>
      <c r="W172" s="392"/>
      <c r="X172" s="392"/>
      <c r="Y172" s="409"/>
      <c r="Z172" s="409"/>
      <c r="AA172" s="392"/>
      <c r="AB172" s="392"/>
      <c r="AC172" s="392"/>
      <c r="AD172" s="409"/>
      <c r="AE172" s="409"/>
      <c r="AF172" s="409"/>
      <c r="AG172" s="409"/>
      <c r="AH172" s="409"/>
      <c r="AI172" s="409"/>
      <c r="AJ172" s="409"/>
      <c r="AK172" s="409"/>
      <c r="AL172" s="409"/>
      <c r="AM172" s="409"/>
      <c r="AN172" s="409"/>
      <c r="AO172" s="409"/>
      <c r="AP172" s="409"/>
      <c r="AQ172" s="409"/>
      <c r="AR172" s="409"/>
      <c r="AS172" s="409"/>
      <c r="AT172" s="409"/>
      <c r="AU172" s="409"/>
      <c r="AV172" s="409"/>
      <c r="AW172" s="409"/>
      <c r="AX172" s="409"/>
      <c r="AY172" s="409"/>
      <c r="AZ172" s="409"/>
      <c r="BA172" s="409"/>
      <c r="BB172" s="409"/>
      <c r="BC172" s="409"/>
      <c r="BD172" s="407"/>
      <c r="BE172" s="444"/>
      <c r="BF172" s="444"/>
      <c r="BG172" s="444"/>
      <c r="BH172" s="444"/>
      <c r="BI172" s="444"/>
      <c r="BJ172" s="444"/>
      <c r="BK172" s="444"/>
      <c r="BL172" s="444"/>
      <c r="BM172" s="444"/>
      <c r="BN172" s="444"/>
      <c r="BO172" s="444"/>
      <c r="BP172" s="444"/>
      <c r="BQ172" s="444"/>
      <c r="BR172" s="444"/>
      <c r="BS172" s="444"/>
      <c r="BT172" s="444"/>
    </row>
    <row r="173" spans="1:72" ht="15">
      <c r="A173" s="392"/>
      <c r="B173" s="392"/>
      <c r="C173" s="392"/>
      <c r="D173" s="392"/>
      <c r="E173" s="392"/>
      <c r="F173" s="392"/>
      <c r="G173" s="392"/>
      <c r="H173" s="392"/>
      <c r="I173" s="392"/>
      <c r="J173" s="392"/>
      <c r="K173" s="392"/>
      <c r="L173" s="392"/>
      <c r="M173" s="392"/>
      <c r="N173" s="392"/>
      <c r="O173" s="392"/>
      <c r="P173" s="392"/>
      <c r="Q173" s="392"/>
      <c r="R173" s="392"/>
      <c r="S173" s="409"/>
      <c r="T173" s="409"/>
      <c r="U173" s="409"/>
      <c r="V173" s="409"/>
      <c r="W173" s="392"/>
      <c r="X173" s="392"/>
      <c r="Y173" s="409"/>
      <c r="Z173" s="409"/>
      <c r="AA173" s="392"/>
      <c r="AB173" s="392"/>
      <c r="AC173" s="392"/>
      <c r="AD173" s="409"/>
      <c r="AE173" s="409"/>
      <c r="AF173" s="409"/>
      <c r="AG173" s="409"/>
      <c r="AH173" s="409"/>
      <c r="AI173" s="409"/>
      <c r="AJ173" s="409"/>
      <c r="AK173" s="409"/>
      <c r="AL173" s="409"/>
      <c r="AM173" s="409"/>
      <c r="AN173" s="409"/>
      <c r="AO173" s="409"/>
      <c r="AP173" s="409"/>
      <c r="AQ173" s="409"/>
      <c r="AR173" s="409"/>
      <c r="AS173" s="409"/>
      <c r="AT173" s="409"/>
      <c r="AU173" s="409"/>
      <c r="AV173" s="409"/>
      <c r="AW173" s="409"/>
      <c r="AX173" s="409"/>
      <c r="AY173" s="409"/>
      <c r="AZ173" s="409"/>
      <c r="BA173" s="409"/>
      <c r="BB173" s="409"/>
      <c r="BC173" s="409"/>
      <c r="BD173" s="407"/>
      <c r="BE173" s="444"/>
      <c r="BF173" s="444"/>
      <c r="BG173" s="444"/>
      <c r="BH173" s="444"/>
      <c r="BI173" s="444"/>
      <c r="BJ173" s="444"/>
      <c r="BK173" s="444"/>
      <c r="BL173" s="444"/>
      <c r="BM173" s="444"/>
      <c r="BN173" s="444"/>
      <c r="BO173" s="444"/>
      <c r="BP173" s="444"/>
      <c r="BQ173" s="444"/>
      <c r="BR173" s="444"/>
      <c r="BS173" s="444"/>
      <c r="BT173" s="444"/>
    </row>
    <row r="174" spans="1:72" ht="15">
      <c r="A174" s="392"/>
      <c r="B174" s="392"/>
      <c r="C174" s="392"/>
      <c r="D174" s="392"/>
      <c r="E174" s="392"/>
      <c r="F174" s="392"/>
      <c r="G174" s="392"/>
      <c r="H174" s="392"/>
      <c r="I174" s="392"/>
      <c r="J174" s="392"/>
      <c r="K174" s="392"/>
      <c r="L174" s="392"/>
      <c r="M174" s="392"/>
      <c r="N174" s="392"/>
      <c r="O174" s="392"/>
      <c r="P174" s="392"/>
      <c r="Q174" s="392"/>
      <c r="R174" s="392"/>
      <c r="S174" s="409"/>
      <c r="T174" s="409"/>
      <c r="U174" s="409"/>
      <c r="V174" s="409"/>
      <c r="W174" s="392"/>
      <c r="X174" s="392"/>
      <c r="Y174" s="409"/>
      <c r="Z174" s="409"/>
      <c r="AA174" s="392"/>
      <c r="AB174" s="392"/>
      <c r="AC174" s="392"/>
      <c r="AD174" s="409"/>
      <c r="AE174" s="409"/>
      <c r="AF174" s="409"/>
      <c r="AG174" s="409"/>
      <c r="AH174" s="409"/>
      <c r="AI174" s="409"/>
      <c r="AJ174" s="409"/>
      <c r="AK174" s="409"/>
      <c r="AL174" s="409"/>
      <c r="AM174" s="409"/>
      <c r="AN174" s="409"/>
      <c r="AO174" s="409"/>
      <c r="AP174" s="409"/>
      <c r="AQ174" s="409"/>
      <c r="AR174" s="409"/>
      <c r="AS174" s="409"/>
      <c r="AT174" s="409"/>
      <c r="AU174" s="409"/>
      <c r="AV174" s="409"/>
      <c r="AW174" s="409"/>
      <c r="AX174" s="409"/>
      <c r="AY174" s="409"/>
      <c r="AZ174" s="409"/>
      <c r="BA174" s="409"/>
      <c r="BB174" s="409"/>
      <c r="BC174" s="409"/>
      <c r="BD174" s="407"/>
      <c r="BE174" s="444"/>
      <c r="BF174" s="444"/>
      <c r="BG174" s="444"/>
      <c r="BH174" s="444"/>
      <c r="BI174" s="444"/>
      <c r="BJ174" s="444"/>
      <c r="BK174" s="444"/>
      <c r="BL174" s="444"/>
      <c r="BM174" s="444"/>
      <c r="BN174" s="444"/>
      <c r="BO174" s="444"/>
      <c r="BP174" s="444"/>
      <c r="BQ174" s="444"/>
      <c r="BR174" s="444"/>
      <c r="BS174" s="444"/>
      <c r="BT174" s="444"/>
    </row>
    <row r="175" spans="1:72" ht="15">
      <c r="A175" s="392"/>
      <c r="B175" s="392"/>
      <c r="C175" s="392"/>
      <c r="D175" s="392"/>
      <c r="E175" s="392"/>
      <c r="F175" s="392"/>
      <c r="G175" s="392"/>
      <c r="H175" s="392"/>
      <c r="I175" s="392"/>
      <c r="J175" s="392"/>
      <c r="K175" s="392"/>
      <c r="L175" s="392"/>
      <c r="M175" s="392"/>
      <c r="N175" s="392"/>
      <c r="O175" s="392"/>
      <c r="P175" s="392"/>
      <c r="Q175" s="392"/>
      <c r="R175" s="392"/>
      <c r="S175" s="409"/>
      <c r="T175" s="409"/>
      <c r="U175" s="409"/>
      <c r="V175" s="409"/>
      <c r="W175" s="392"/>
      <c r="X175" s="392"/>
      <c r="Y175" s="409"/>
      <c r="Z175" s="409"/>
      <c r="AA175" s="392"/>
      <c r="AB175" s="392"/>
      <c r="AC175" s="392"/>
      <c r="AD175" s="409"/>
      <c r="AE175" s="409"/>
      <c r="AF175" s="409"/>
      <c r="AG175" s="409"/>
      <c r="AH175" s="409"/>
      <c r="AI175" s="409"/>
      <c r="AJ175" s="409"/>
      <c r="AK175" s="409"/>
      <c r="AL175" s="409"/>
      <c r="AM175" s="409"/>
      <c r="AN175" s="409"/>
      <c r="AO175" s="409"/>
      <c r="AP175" s="409"/>
      <c r="AQ175" s="409"/>
      <c r="AR175" s="409"/>
      <c r="AS175" s="409"/>
      <c r="AT175" s="409"/>
      <c r="AU175" s="409"/>
      <c r="AV175" s="409"/>
      <c r="AW175" s="409"/>
      <c r="AX175" s="409"/>
      <c r="AY175" s="409"/>
      <c r="AZ175" s="409"/>
      <c r="BA175" s="409"/>
      <c r="BB175" s="409"/>
      <c r="BC175" s="409"/>
      <c r="BD175" s="407"/>
      <c r="BE175" s="444"/>
      <c r="BF175" s="444"/>
      <c r="BG175" s="444"/>
      <c r="BH175" s="444"/>
      <c r="BI175" s="444"/>
      <c r="BJ175" s="444"/>
      <c r="BK175" s="444"/>
      <c r="BL175" s="444"/>
      <c r="BM175" s="444"/>
      <c r="BN175" s="444"/>
      <c r="BO175" s="444"/>
      <c r="BP175" s="444"/>
      <c r="BQ175" s="444"/>
      <c r="BR175" s="444"/>
      <c r="BS175" s="444"/>
      <c r="BT175" s="444"/>
    </row>
    <row r="176" spans="1:72" ht="15">
      <c r="A176" s="392"/>
      <c r="B176" s="392"/>
      <c r="C176" s="392"/>
      <c r="D176" s="392"/>
      <c r="E176" s="392"/>
      <c r="F176" s="392"/>
      <c r="G176" s="392"/>
      <c r="H176" s="392"/>
      <c r="I176" s="392"/>
      <c r="J176" s="392"/>
      <c r="K176" s="392"/>
      <c r="L176" s="392"/>
      <c r="M176" s="392"/>
      <c r="N176" s="392"/>
      <c r="O176" s="392"/>
      <c r="P176" s="392"/>
      <c r="Q176" s="392"/>
      <c r="R176" s="392"/>
      <c r="S176" s="409"/>
      <c r="T176" s="409"/>
      <c r="U176" s="409"/>
      <c r="V176" s="409"/>
      <c r="W176" s="392"/>
      <c r="X176" s="392"/>
      <c r="Y176" s="409"/>
      <c r="Z176" s="409"/>
      <c r="AA176" s="392"/>
      <c r="AB176" s="392"/>
      <c r="AC176" s="392"/>
      <c r="AD176" s="409"/>
      <c r="AE176" s="409"/>
      <c r="AF176" s="409"/>
      <c r="AG176" s="409"/>
      <c r="AH176" s="409"/>
      <c r="AI176" s="409"/>
      <c r="AJ176" s="409"/>
      <c r="AK176" s="409"/>
      <c r="AL176" s="409"/>
      <c r="AM176" s="409"/>
      <c r="AN176" s="409"/>
      <c r="AO176" s="409"/>
      <c r="AP176" s="409"/>
      <c r="AQ176" s="409"/>
      <c r="AR176" s="409"/>
      <c r="AS176" s="409"/>
      <c r="AT176" s="409"/>
      <c r="AU176" s="409"/>
      <c r="AV176" s="409"/>
      <c r="AW176" s="409"/>
      <c r="AX176" s="409"/>
      <c r="AY176" s="409"/>
      <c r="AZ176" s="409"/>
      <c r="BA176" s="409"/>
      <c r="BB176" s="409"/>
      <c r="BC176" s="409"/>
      <c r="BD176" s="407"/>
      <c r="BE176" s="444"/>
      <c r="BF176" s="444"/>
      <c r="BG176" s="444"/>
      <c r="BH176" s="444"/>
      <c r="BI176" s="444"/>
      <c r="BJ176" s="444"/>
      <c r="BK176" s="444"/>
      <c r="BL176" s="444"/>
      <c r="BM176" s="444"/>
      <c r="BN176" s="444"/>
      <c r="BO176" s="444"/>
      <c r="BP176" s="444"/>
      <c r="BQ176" s="444"/>
      <c r="BR176" s="444"/>
      <c r="BS176" s="444"/>
      <c r="BT176" s="444"/>
    </row>
    <row r="177" spans="1:72" ht="15">
      <c r="A177" s="392"/>
      <c r="B177" s="392"/>
      <c r="C177" s="392"/>
      <c r="D177" s="392"/>
      <c r="E177" s="392"/>
      <c r="F177" s="392"/>
      <c r="G177" s="392"/>
      <c r="H177" s="392"/>
      <c r="I177" s="392"/>
      <c r="J177" s="392"/>
      <c r="K177" s="392"/>
      <c r="L177" s="392"/>
      <c r="M177" s="392"/>
      <c r="N177" s="392"/>
      <c r="O177" s="392"/>
      <c r="P177" s="392"/>
      <c r="Q177" s="392"/>
      <c r="R177" s="392"/>
      <c r="S177" s="409"/>
      <c r="T177" s="409"/>
      <c r="U177" s="409"/>
      <c r="V177" s="409"/>
      <c r="W177" s="392"/>
      <c r="X177" s="392"/>
      <c r="Y177" s="409"/>
      <c r="Z177" s="409"/>
      <c r="AA177" s="392"/>
      <c r="AB177" s="392"/>
      <c r="AC177" s="392"/>
      <c r="AD177" s="409"/>
      <c r="AE177" s="409"/>
      <c r="AF177" s="409"/>
      <c r="AG177" s="409"/>
      <c r="AH177" s="409"/>
      <c r="AI177" s="409"/>
      <c r="AJ177" s="409"/>
      <c r="AK177" s="409"/>
      <c r="AL177" s="409"/>
      <c r="AM177" s="409"/>
      <c r="AN177" s="409"/>
      <c r="AO177" s="409"/>
      <c r="AP177" s="409"/>
      <c r="AQ177" s="409"/>
      <c r="AR177" s="409"/>
      <c r="AS177" s="409"/>
      <c r="AT177" s="409"/>
      <c r="AU177" s="409"/>
      <c r="AV177" s="409"/>
      <c r="AW177" s="409"/>
      <c r="AX177" s="409"/>
      <c r="AY177" s="409"/>
      <c r="AZ177" s="409"/>
      <c r="BA177" s="409"/>
      <c r="BB177" s="409"/>
      <c r="BC177" s="409"/>
      <c r="BD177" s="407"/>
      <c r="BE177" s="444"/>
      <c r="BF177" s="444"/>
      <c r="BG177" s="444"/>
      <c r="BH177" s="444"/>
      <c r="BI177" s="444"/>
      <c r="BJ177" s="444"/>
      <c r="BK177" s="444"/>
      <c r="BL177" s="444"/>
      <c r="BM177" s="444"/>
      <c r="BN177" s="444"/>
      <c r="BO177" s="444"/>
      <c r="BP177" s="444"/>
      <c r="BQ177" s="444"/>
      <c r="BR177" s="444"/>
      <c r="BS177" s="444"/>
      <c r="BT177" s="444"/>
    </row>
    <row r="178" spans="1:72" ht="15">
      <c r="A178" s="392"/>
      <c r="B178" s="392"/>
      <c r="C178" s="392"/>
      <c r="D178" s="392"/>
      <c r="E178" s="392"/>
      <c r="F178" s="392"/>
      <c r="G178" s="392"/>
      <c r="H178" s="392"/>
      <c r="I178" s="392"/>
      <c r="J178" s="392"/>
      <c r="K178" s="392"/>
      <c r="L178" s="392"/>
      <c r="M178" s="392"/>
      <c r="N178" s="392"/>
      <c r="O178" s="392"/>
      <c r="P178" s="392"/>
      <c r="Q178" s="392"/>
      <c r="R178" s="392"/>
      <c r="S178" s="409"/>
      <c r="T178" s="409"/>
      <c r="U178" s="409"/>
      <c r="V178" s="409"/>
      <c r="W178" s="392"/>
      <c r="X178" s="392"/>
      <c r="Y178" s="409"/>
      <c r="Z178" s="409"/>
      <c r="AA178" s="392"/>
      <c r="AB178" s="392"/>
      <c r="AC178" s="392"/>
      <c r="AD178" s="409"/>
      <c r="AE178" s="409"/>
      <c r="AF178" s="409"/>
      <c r="AG178" s="409"/>
      <c r="AH178" s="409"/>
      <c r="AI178" s="409"/>
      <c r="AJ178" s="409"/>
      <c r="AK178" s="409"/>
      <c r="AL178" s="409"/>
      <c r="AM178" s="409"/>
      <c r="AN178" s="409"/>
      <c r="AO178" s="409"/>
      <c r="AP178" s="409"/>
      <c r="AQ178" s="409"/>
      <c r="AR178" s="409"/>
      <c r="AS178" s="409"/>
      <c r="AT178" s="409"/>
      <c r="AU178" s="409"/>
      <c r="AV178" s="409"/>
      <c r="AW178" s="409"/>
      <c r="AX178" s="409"/>
      <c r="AY178" s="409"/>
      <c r="AZ178" s="409"/>
      <c r="BA178" s="409"/>
      <c r="BB178" s="409"/>
      <c r="BC178" s="409"/>
      <c r="BD178" s="407"/>
      <c r="BE178" s="444"/>
      <c r="BF178" s="444"/>
      <c r="BG178" s="444"/>
      <c r="BH178" s="444"/>
      <c r="BI178" s="444"/>
      <c r="BJ178" s="444"/>
      <c r="BK178" s="444"/>
      <c r="BL178" s="444"/>
      <c r="BM178" s="444"/>
      <c r="BN178" s="444"/>
      <c r="BO178" s="444"/>
      <c r="BP178" s="444"/>
      <c r="BQ178" s="444"/>
      <c r="BR178" s="444"/>
      <c r="BS178" s="444"/>
      <c r="BT178" s="444"/>
    </row>
    <row r="179" spans="1:72" ht="15">
      <c r="A179" s="392"/>
      <c r="B179" s="392"/>
      <c r="C179" s="392"/>
      <c r="D179" s="392"/>
      <c r="E179" s="392"/>
      <c r="F179" s="392"/>
      <c r="G179" s="392"/>
      <c r="H179" s="392"/>
      <c r="I179" s="392"/>
      <c r="J179" s="392"/>
      <c r="K179" s="392"/>
      <c r="L179" s="392"/>
      <c r="M179" s="392"/>
      <c r="N179" s="392"/>
      <c r="O179" s="392"/>
      <c r="P179" s="392"/>
      <c r="Q179" s="392"/>
      <c r="R179" s="392"/>
      <c r="S179" s="409"/>
      <c r="T179" s="409"/>
      <c r="U179" s="409"/>
      <c r="V179" s="409"/>
      <c r="W179" s="392"/>
      <c r="X179" s="392"/>
      <c r="Y179" s="409"/>
      <c r="Z179" s="409"/>
      <c r="AA179" s="392"/>
      <c r="AB179" s="392"/>
      <c r="AC179" s="392"/>
      <c r="AD179" s="409"/>
      <c r="AE179" s="409"/>
      <c r="AF179" s="409"/>
      <c r="AG179" s="409"/>
      <c r="AH179" s="409"/>
      <c r="AI179" s="409"/>
      <c r="AJ179" s="409"/>
      <c r="AK179" s="409"/>
      <c r="AL179" s="409"/>
      <c r="AM179" s="409"/>
      <c r="AN179" s="409"/>
      <c r="AO179" s="409"/>
      <c r="AP179" s="409"/>
      <c r="AQ179" s="409"/>
      <c r="AR179" s="409"/>
      <c r="AS179" s="409"/>
      <c r="AT179" s="409"/>
      <c r="AU179" s="409"/>
      <c r="AV179" s="409"/>
      <c r="AW179" s="409"/>
      <c r="AX179" s="409"/>
      <c r="AY179" s="409"/>
      <c r="AZ179" s="409"/>
      <c r="BA179" s="409"/>
      <c r="BB179" s="409"/>
      <c r="BC179" s="409"/>
      <c r="BD179" s="407"/>
      <c r="BE179" s="444"/>
      <c r="BF179" s="444"/>
      <c r="BG179" s="444"/>
      <c r="BH179" s="444"/>
      <c r="BI179" s="444"/>
      <c r="BJ179" s="444"/>
      <c r="BK179" s="444"/>
      <c r="BL179" s="444"/>
      <c r="BM179" s="444"/>
      <c r="BN179" s="444"/>
      <c r="BO179" s="444"/>
      <c r="BP179" s="444"/>
      <c r="BQ179" s="444"/>
      <c r="BR179" s="444"/>
      <c r="BS179" s="444"/>
      <c r="BT179" s="444"/>
    </row>
    <row r="180" spans="1:72" ht="15">
      <c r="A180" s="392"/>
      <c r="B180" s="392"/>
      <c r="C180" s="392"/>
      <c r="D180" s="392"/>
      <c r="E180" s="392"/>
      <c r="F180" s="392"/>
      <c r="G180" s="392"/>
      <c r="H180" s="392"/>
      <c r="I180" s="392"/>
      <c r="J180" s="392"/>
      <c r="K180" s="392"/>
      <c r="L180" s="392"/>
      <c r="M180" s="392"/>
      <c r="N180" s="392"/>
      <c r="O180" s="392"/>
      <c r="P180" s="392"/>
      <c r="Q180" s="392"/>
      <c r="R180" s="392"/>
      <c r="S180" s="409"/>
      <c r="T180" s="409"/>
      <c r="U180" s="409"/>
      <c r="V180" s="409"/>
      <c r="W180" s="392"/>
      <c r="X180" s="392"/>
      <c r="Y180" s="409"/>
      <c r="Z180" s="409"/>
      <c r="AA180" s="392"/>
      <c r="AB180" s="392"/>
      <c r="AC180" s="392"/>
      <c r="AD180" s="409"/>
      <c r="AE180" s="409"/>
      <c r="AF180" s="409"/>
      <c r="AG180" s="409"/>
      <c r="AH180" s="409"/>
      <c r="AI180" s="409"/>
      <c r="AJ180" s="409"/>
      <c r="AK180" s="409"/>
      <c r="AL180" s="409"/>
      <c r="AM180" s="409"/>
      <c r="AN180" s="409"/>
      <c r="AO180" s="409"/>
      <c r="AP180" s="409"/>
      <c r="AQ180" s="409"/>
      <c r="AR180" s="409"/>
      <c r="AS180" s="409"/>
      <c r="AT180" s="409"/>
      <c r="AU180" s="409"/>
      <c r="AV180" s="409"/>
      <c r="AW180" s="409"/>
      <c r="AX180" s="409"/>
      <c r="AY180" s="409"/>
      <c r="AZ180" s="409"/>
      <c r="BA180" s="409"/>
      <c r="BB180" s="409"/>
      <c r="BC180" s="409"/>
      <c r="BD180" s="407"/>
      <c r="BE180" s="444"/>
      <c r="BF180" s="444"/>
      <c r="BG180" s="444"/>
      <c r="BH180" s="444"/>
      <c r="BI180" s="444"/>
      <c r="BJ180" s="444"/>
      <c r="BK180" s="444"/>
      <c r="BL180" s="444"/>
      <c r="BM180" s="444"/>
      <c r="BN180" s="444"/>
      <c r="BO180" s="444"/>
      <c r="BP180" s="444"/>
      <c r="BQ180" s="444"/>
      <c r="BR180" s="444"/>
      <c r="BS180" s="444"/>
      <c r="BT180" s="444"/>
    </row>
    <row r="181" spans="1:72" ht="15">
      <c r="A181" s="392"/>
      <c r="B181" s="392"/>
      <c r="C181" s="392"/>
      <c r="D181" s="392"/>
      <c r="E181" s="392"/>
      <c r="F181" s="392"/>
      <c r="G181" s="392"/>
      <c r="H181" s="392"/>
      <c r="I181" s="392"/>
      <c r="J181" s="392"/>
      <c r="K181" s="392"/>
      <c r="L181" s="392"/>
      <c r="M181" s="392"/>
      <c r="N181" s="392"/>
      <c r="O181" s="392"/>
      <c r="P181" s="392"/>
      <c r="Q181" s="392"/>
      <c r="R181" s="392"/>
      <c r="S181" s="409"/>
      <c r="T181" s="409"/>
      <c r="U181" s="409"/>
      <c r="V181" s="409"/>
      <c r="W181" s="392"/>
      <c r="X181" s="392"/>
      <c r="Y181" s="409"/>
      <c r="Z181" s="409"/>
      <c r="AA181" s="392"/>
      <c r="AB181" s="392"/>
      <c r="AC181" s="392"/>
      <c r="AD181" s="409"/>
      <c r="AE181" s="409"/>
      <c r="AF181" s="409"/>
      <c r="AG181" s="409"/>
      <c r="AH181" s="409"/>
      <c r="AI181" s="409"/>
      <c r="AJ181" s="409"/>
      <c r="AK181" s="409"/>
      <c r="AL181" s="409"/>
      <c r="AM181" s="409"/>
      <c r="AN181" s="409"/>
      <c r="AO181" s="409"/>
      <c r="AP181" s="409"/>
      <c r="AQ181" s="409"/>
      <c r="AR181" s="409"/>
      <c r="AS181" s="409"/>
      <c r="AT181" s="409"/>
      <c r="AU181" s="409"/>
      <c r="AV181" s="409"/>
      <c r="AW181" s="409"/>
      <c r="AX181" s="409"/>
      <c r="AY181" s="409"/>
      <c r="AZ181" s="409"/>
      <c r="BA181" s="409"/>
      <c r="BB181" s="409"/>
      <c r="BC181" s="409"/>
      <c r="BD181" s="407"/>
      <c r="BE181" s="444"/>
      <c r="BF181" s="444"/>
      <c r="BG181" s="444"/>
      <c r="BH181" s="444"/>
      <c r="BI181" s="444"/>
      <c r="BJ181" s="444"/>
      <c r="BK181" s="444"/>
      <c r="BL181" s="444"/>
      <c r="BM181" s="444"/>
      <c r="BN181" s="444"/>
      <c r="BO181" s="444"/>
      <c r="BP181" s="444"/>
      <c r="BQ181" s="444"/>
      <c r="BR181" s="444"/>
      <c r="BS181" s="444"/>
      <c r="BT181" s="444"/>
    </row>
    <row r="182" spans="1:72" ht="15">
      <c r="A182" s="392"/>
      <c r="B182" s="392"/>
      <c r="C182" s="392"/>
      <c r="D182" s="392"/>
      <c r="E182" s="392"/>
      <c r="F182" s="392"/>
      <c r="G182" s="392"/>
      <c r="H182" s="392"/>
      <c r="I182" s="392"/>
      <c r="J182" s="392"/>
      <c r="K182" s="392"/>
      <c r="L182" s="392"/>
      <c r="M182" s="392"/>
      <c r="N182" s="392"/>
      <c r="O182" s="392"/>
      <c r="P182" s="392"/>
      <c r="Q182" s="392"/>
      <c r="R182" s="392"/>
      <c r="S182" s="409"/>
      <c r="T182" s="409"/>
      <c r="U182" s="409"/>
      <c r="V182" s="409"/>
      <c r="W182" s="392"/>
      <c r="X182" s="392"/>
      <c r="Y182" s="409"/>
      <c r="Z182" s="409"/>
      <c r="AA182" s="392"/>
      <c r="AB182" s="392"/>
      <c r="AC182" s="392"/>
      <c r="AD182" s="409"/>
      <c r="AE182" s="409"/>
      <c r="AF182" s="409"/>
      <c r="AG182" s="409"/>
      <c r="AH182" s="409"/>
      <c r="AI182" s="409"/>
      <c r="AJ182" s="409"/>
      <c r="AK182" s="409"/>
      <c r="AL182" s="409"/>
      <c r="AM182" s="409"/>
      <c r="AN182" s="409"/>
      <c r="AO182" s="409"/>
      <c r="AP182" s="409"/>
      <c r="AQ182" s="409"/>
      <c r="AR182" s="409"/>
      <c r="AS182" s="409"/>
      <c r="AT182" s="409"/>
      <c r="AU182" s="409"/>
      <c r="AV182" s="409"/>
      <c r="AW182" s="409"/>
      <c r="AX182" s="409"/>
      <c r="AY182" s="409"/>
      <c r="AZ182" s="409"/>
      <c r="BA182" s="409"/>
      <c r="BB182" s="409"/>
      <c r="BC182" s="409"/>
      <c r="BD182" s="407"/>
      <c r="BE182" s="444"/>
      <c r="BF182" s="444"/>
      <c r="BG182" s="444"/>
      <c r="BH182" s="444"/>
      <c r="BI182" s="444"/>
      <c r="BJ182" s="444"/>
      <c r="BK182" s="444"/>
      <c r="BL182" s="444"/>
      <c r="BM182" s="444"/>
      <c r="BN182" s="444"/>
      <c r="BO182" s="444"/>
      <c r="BP182" s="444"/>
      <c r="BQ182" s="444"/>
      <c r="BR182" s="444"/>
      <c r="BS182" s="444"/>
      <c r="BT182" s="444"/>
    </row>
    <row r="183" spans="1:72" ht="15">
      <c r="A183" s="392"/>
      <c r="B183" s="392"/>
      <c r="C183" s="392"/>
      <c r="D183" s="392"/>
      <c r="E183" s="392"/>
      <c r="F183" s="392"/>
      <c r="G183" s="392"/>
      <c r="H183" s="392"/>
      <c r="I183" s="392"/>
      <c r="J183" s="392"/>
      <c r="K183" s="392"/>
      <c r="L183" s="392"/>
      <c r="M183" s="392"/>
      <c r="N183" s="392"/>
      <c r="O183" s="392"/>
      <c r="P183" s="392"/>
      <c r="Q183" s="392"/>
      <c r="R183" s="392"/>
      <c r="S183" s="409"/>
      <c r="T183" s="409"/>
      <c r="U183" s="409"/>
      <c r="V183" s="409"/>
      <c r="W183" s="392"/>
      <c r="X183" s="392"/>
      <c r="Y183" s="409"/>
      <c r="Z183" s="409"/>
      <c r="AA183" s="392"/>
      <c r="AB183" s="392"/>
      <c r="AC183" s="392"/>
      <c r="AD183" s="409"/>
      <c r="AE183" s="409"/>
      <c r="AF183" s="409"/>
      <c r="AG183" s="409"/>
      <c r="AH183" s="409"/>
      <c r="AI183" s="409"/>
      <c r="AJ183" s="409"/>
      <c r="AK183" s="409"/>
      <c r="AL183" s="409"/>
      <c r="AM183" s="409"/>
      <c r="AN183" s="409"/>
      <c r="AO183" s="409"/>
      <c r="AP183" s="409"/>
      <c r="AQ183" s="409"/>
      <c r="AR183" s="409"/>
      <c r="AS183" s="409"/>
      <c r="AT183" s="409"/>
      <c r="AU183" s="409"/>
      <c r="AV183" s="409"/>
      <c r="AW183" s="409"/>
      <c r="AX183" s="409"/>
      <c r="AY183" s="409"/>
      <c r="AZ183" s="409"/>
      <c r="BA183" s="409"/>
      <c r="BB183" s="409"/>
      <c r="BC183" s="409"/>
      <c r="BD183" s="407"/>
      <c r="BE183" s="444"/>
      <c r="BF183" s="444"/>
      <c r="BG183" s="444"/>
      <c r="BH183" s="444"/>
      <c r="BI183" s="444"/>
      <c r="BJ183" s="444"/>
      <c r="BK183" s="444"/>
      <c r="BL183" s="444"/>
      <c r="BM183" s="444"/>
      <c r="BN183" s="444"/>
      <c r="BO183" s="444"/>
      <c r="BP183" s="444"/>
      <c r="BQ183" s="444"/>
      <c r="BR183" s="444"/>
      <c r="BS183" s="444"/>
      <c r="BT183" s="444"/>
    </row>
    <row r="184" spans="1:72" ht="15">
      <c r="A184" s="392"/>
      <c r="B184" s="392"/>
      <c r="C184" s="392"/>
      <c r="D184" s="392"/>
      <c r="E184" s="392"/>
      <c r="F184" s="392"/>
      <c r="G184" s="392"/>
      <c r="H184" s="392"/>
      <c r="I184" s="392"/>
      <c r="J184" s="392"/>
      <c r="K184" s="392"/>
      <c r="L184" s="392"/>
      <c r="M184" s="392"/>
      <c r="N184" s="392"/>
      <c r="O184" s="392"/>
      <c r="P184" s="392"/>
      <c r="Q184" s="392"/>
      <c r="R184" s="392"/>
      <c r="S184" s="409"/>
      <c r="T184" s="409"/>
      <c r="U184" s="409"/>
      <c r="V184" s="409"/>
      <c r="W184" s="392"/>
      <c r="X184" s="392"/>
      <c r="Y184" s="409"/>
      <c r="Z184" s="409"/>
      <c r="AA184" s="392"/>
      <c r="AB184" s="392"/>
      <c r="AC184" s="392"/>
      <c r="AD184" s="409"/>
      <c r="AE184" s="409"/>
      <c r="AF184" s="409"/>
      <c r="AG184" s="409"/>
      <c r="AH184" s="409"/>
      <c r="AI184" s="409"/>
      <c r="AJ184" s="409"/>
      <c r="AK184" s="409"/>
      <c r="AL184" s="409"/>
      <c r="AM184" s="409"/>
      <c r="AN184" s="409"/>
      <c r="AO184" s="409"/>
      <c r="AP184" s="409"/>
      <c r="AQ184" s="409"/>
      <c r="AR184" s="409"/>
      <c r="AS184" s="409"/>
      <c r="AT184" s="409"/>
      <c r="AU184" s="409"/>
      <c r="AV184" s="409"/>
      <c r="AW184" s="409"/>
      <c r="AX184" s="409"/>
      <c r="AY184" s="409"/>
      <c r="AZ184" s="409"/>
      <c r="BA184" s="409"/>
      <c r="BB184" s="409"/>
      <c r="BC184" s="409"/>
      <c r="BD184" s="407"/>
      <c r="BE184" s="444"/>
      <c r="BF184" s="444"/>
      <c r="BG184" s="444"/>
      <c r="BH184" s="444"/>
      <c r="BI184" s="444"/>
      <c r="BJ184" s="444"/>
      <c r="BK184" s="444"/>
      <c r="BL184" s="444"/>
      <c r="BM184" s="444"/>
      <c r="BN184" s="444"/>
      <c r="BO184" s="444"/>
      <c r="BP184" s="444"/>
      <c r="BQ184" s="444"/>
      <c r="BR184" s="444"/>
      <c r="BS184" s="444"/>
      <c r="BT184" s="444"/>
    </row>
    <row r="185" spans="1:72" ht="15">
      <c r="A185" s="392"/>
      <c r="B185" s="392"/>
      <c r="C185" s="392"/>
      <c r="D185" s="392"/>
      <c r="E185" s="392"/>
      <c r="F185" s="392"/>
      <c r="G185" s="392"/>
      <c r="H185" s="392"/>
      <c r="I185" s="392"/>
      <c r="J185" s="392"/>
      <c r="K185" s="392"/>
      <c r="L185" s="392"/>
      <c r="M185" s="392"/>
      <c r="N185" s="392"/>
      <c r="O185" s="392"/>
      <c r="P185" s="392"/>
      <c r="Q185" s="392"/>
      <c r="R185" s="392"/>
      <c r="S185" s="409"/>
      <c r="T185" s="409"/>
      <c r="U185" s="409"/>
      <c r="V185" s="409"/>
      <c r="W185" s="392"/>
      <c r="X185" s="392"/>
      <c r="Y185" s="409"/>
      <c r="Z185" s="409"/>
      <c r="AA185" s="392"/>
      <c r="AB185" s="392"/>
      <c r="AC185" s="392"/>
      <c r="AD185" s="409"/>
      <c r="AE185" s="409"/>
      <c r="AF185" s="409"/>
      <c r="AG185" s="409"/>
      <c r="AH185" s="409"/>
      <c r="AI185" s="409"/>
      <c r="AJ185" s="409"/>
      <c r="AK185" s="409"/>
      <c r="AL185" s="409"/>
      <c r="AM185" s="409"/>
      <c r="AN185" s="409"/>
      <c r="AO185" s="409"/>
      <c r="AP185" s="409"/>
      <c r="AQ185" s="409"/>
      <c r="AR185" s="409"/>
      <c r="AS185" s="409"/>
      <c r="AT185" s="409"/>
      <c r="AU185" s="409"/>
      <c r="AV185" s="409"/>
      <c r="AW185" s="409"/>
      <c r="AX185" s="409"/>
      <c r="AY185" s="409"/>
      <c r="AZ185" s="409"/>
      <c r="BA185" s="409"/>
      <c r="BB185" s="409"/>
      <c r="BC185" s="409"/>
      <c r="BD185" s="407"/>
      <c r="BE185" s="444"/>
      <c r="BF185" s="444"/>
      <c r="BG185" s="444"/>
      <c r="BH185" s="444"/>
      <c r="BI185" s="444"/>
      <c r="BJ185" s="444"/>
      <c r="BK185" s="444"/>
      <c r="BL185" s="444"/>
      <c r="BM185" s="444"/>
      <c r="BN185" s="444"/>
      <c r="BO185" s="444"/>
      <c r="BP185" s="444"/>
      <c r="BQ185" s="444"/>
      <c r="BR185" s="444"/>
      <c r="BS185" s="444"/>
      <c r="BT185" s="444"/>
    </row>
    <row r="186" spans="1:72" ht="15">
      <c r="A186" s="392"/>
      <c r="B186" s="392"/>
      <c r="C186" s="392"/>
      <c r="D186" s="392"/>
      <c r="E186" s="392"/>
      <c r="F186" s="392"/>
      <c r="G186" s="392"/>
      <c r="H186" s="392"/>
      <c r="I186" s="392"/>
      <c r="J186" s="392"/>
      <c r="K186" s="392"/>
      <c r="L186" s="392"/>
      <c r="M186" s="392"/>
      <c r="N186" s="392"/>
      <c r="O186" s="392"/>
      <c r="P186" s="392"/>
      <c r="Q186" s="392"/>
      <c r="R186" s="392"/>
      <c r="S186" s="409"/>
      <c r="T186" s="409"/>
      <c r="U186" s="409"/>
      <c r="V186" s="409"/>
      <c r="W186" s="392"/>
      <c r="X186" s="392"/>
      <c r="Y186" s="409"/>
      <c r="Z186" s="409"/>
      <c r="AA186" s="392"/>
      <c r="AB186" s="392"/>
      <c r="AC186" s="392"/>
      <c r="AD186" s="409"/>
      <c r="AE186" s="409"/>
      <c r="AF186" s="409"/>
      <c r="AG186" s="409"/>
      <c r="AH186" s="409"/>
      <c r="AI186" s="409"/>
      <c r="AJ186" s="409"/>
      <c r="AK186" s="409"/>
      <c r="AL186" s="409"/>
      <c r="AM186" s="409"/>
      <c r="AN186" s="409"/>
      <c r="AO186" s="409"/>
      <c r="AP186" s="409"/>
      <c r="AQ186" s="409"/>
      <c r="AR186" s="409"/>
      <c r="AS186" s="409"/>
      <c r="AT186" s="409"/>
      <c r="AU186" s="409"/>
      <c r="AV186" s="409"/>
      <c r="AW186" s="409"/>
      <c r="AX186" s="409"/>
      <c r="AY186" s="409"/>
      <c r="AZ186" s="409"/>
      <c r="BA186" s="409"/>
      <c r="BB186" s="409"/>
      <c r="BC186" s="409"/>
      <c r="BD186" s="407"/>
      <c r="BE186" s="444"/>
      <c r="BF186" s="444"/>
      <c r="BG186" s="444"/>
      <c r="BH186" s="444"/>
      <c r="BI186" s="444"/>
      <c r="BJ186" s="444"/>
      <c r="BK186" s="444"/>
      <c r="BL186" s="444"/>
      <c r="BM186" s="444"/>
      <c r="BN186" s="444"/>
      <c r="BO186" s="444"/>
      <c r="BP186" s="444"/>
      <c r="BQ186" s="444"/>
      <c r="BR186" s="444"/>
      <c r="BS186" s="444"/>
      <c r="BT186" s="444"/>
    </row>
    <row r="187" spans="1:72" ht="15">
      <c r="A187" s="392"/>
      <c r="B187" s="392"/>
      <c r="C187" s="392"/>
      <c r="D187" s="392"/>
      <c r="E187" s="392"/>
      <c r="F187" s="392"/>
      <c r="G187" s="392"/>
      <c r="H187" s="392"/>
      <c r="I187" s="392"/>
      <c r="J187" s="392"/>
      <c r="K187" s="392"/>
      <c r="L187" s="392"/>
      <c r="M187" s="392"/>
      <c r="N187" s="392"/>
      <c r="O187" s="392"/>
      <c r="P187" s="392"/>
      <c r="Q187" s="392"/>
      <c r="R187" s="392"/>
      <c r="S187" s="409"/>
      <c r="T187" s="409"/>
      <c r="U187" s="409"/>
      <c r="V187" s="409"/>
      <c r="W187" s="392"/>
      <c r="X187" s="392"/>
      <c r="Y187" s="409"/>
      <c r="Z187" s="409"/>
      <c r="AA187" s="392"/>
      <c r="AB187" s="392"/>
      <c r="AC187" s="392"/>
      <c r="AD187" s="409"/>
      <c r="AE187" s="409"/>
      <c r="AF187" s="409"/>
      <c r="AG187" s="409"/>
      <c r="AH187" s="409"/>
      <c r="AI187" s="409"/>
      <c r="AJ187" s="409"/>
      <c r="AK187" s="409"/>
      <c r="AL187" s="409"/>
      <c r="AM187" s="409"/>
      <c r="AN187" s="409"/>
      <c r="AO187" s="409"/>
      <c r="AP187" s="409"/>
      <c r="AQ187" s="409"/>
      <c r="AR187" s="409"/>
      <c r="AS187" s="409"/>
      <c r="AT187" s="409"/>
      <c r="AU187" s="409"/>
      <c r="AV187" s="409"/>
      <c r="AW187" s="409"/>
      <c r="AX187" s="409"/>
      <c r="AY187" s="409"/>
      <c r="AZ187" s="409"/>
      <c r="BA187" s="409"/>
      <c r="BB187" s="409"/>
      <c r="BC187" s="409"/>
      <c r="BD187" s="407"/>
      <c r="BE187" s="444"/>
      <c r="BF187" s="444"/>
      <c r="BG187" s="444"/>
      <c r="BH187" s="444"/>
      <c r="BI187" s="444"/>
      <c r="BJ187" s="444"/>
      <c r="BK187" s="444"/>
      <c r="BL187" s="444"/>
      <c r="BM187" s="444"/>
      <c r="BN187" s="444"/>
      <c r="BO187" s="444"/>
      <c r="BP187" s="444"/>
      <c r="BQ187" s="444"/>
      <c r="BR187" s="444"/>
      <c r="BS187" s="444"/>
      <c r="BT187" s="444"/>
    </row>
    <row r="188" spans="1:72" ht="15">
      <c r="A188" s="392"/>
      <c r="B188" s="392"/>
      <c r="C188" s="392"/>
      <c r="D188" s="392"/>
      <c r="E188" s="392"/>
      <c r="F188" s="392"/>
      <c r="G188" s="392"/>
      <c r="H188" s="392"/>
      <c r="I188" s="392"/>
      <c r="J188" s="392"/>
      <c r="K188" s="392"/>
      <c r="L188" s="392"/>
      <c r="M188" s="392"/>
      <c r="N188" s="392"/>
      <c r="O188" s="392"/>
      <c r="P188" s="392"/>
      <c r="Q188" s="392"/>
      <c r="R188" s="392"/>
      <c r="S188" s="409"/>
      <c r="T188" s="409"/>
      <c r="U188" s="409"/>
      <c r="V188" s="409"/>
      <c r="W188" s="392"/>
      <c r="X188" s="392"/>
      <c r="Y188" s="409"/>
      <c r="Z188" s="409"/>
      <c r="AA188" s="392"/>
      <c r="AB188" s="392"/>
      <c r="AC188" s="392"/>
      <c r="AD188" s="409"/>
      <c r="AE188" s="409"/>
      <c r="AF188" s="409"/>
      <c r="AG188" s="409"/>
      <c r="AH188" s="409"/>
      <c r="AI188" s="409"/>
      <c r="AJ188" s="409"/>
      <c r="AK188" s="409"/>
      <c r="AL188" s="409"/>
      <c r="AM188" s="409"/>
      <c r="AN188" s="409"/>
      <c r="AO188" s="409"/>
      <c r="AP188" s="409"/>
      <c r="AQ188" s="409"/>
      <c r="AR188" s="409"/>
      <c r="AS188" s="409"/>
      <c r="AT188" s="409"/>
      <c r="AU188" s="409"/>
      <c r="AV188" s="409"/>
      <c r="AW188" s="409"/>
      <c r="AX188" s="409"/>
      <c r="AY188" s="409"/>
      <c r="AZ188" s="409"/>
      <c r="BA188" s="409"/>
      <c r="BB188" s="409"/>
      <c r="BC188" s="409"/>
      <c r="BD188" s="407"/>
      <c r="BE188" s="444"/>
      <c r="BF188" s="444"/>
      <c r="BG188" s="444"/>
      <c r="BH188" s="444"/>
      <c r="BI188" s="444"/>
      <c r="BJ188" s="444"/>
      <c r="BK188" s="444"/>
      <c r="BL188" s="444"/>
      <c r="BM188" s="444"/>
      <c r="BN188" s="444"/>
      <c r="BO188" s="444"/>
      <c r="BP188" s="444"/>
      <c r="BQ188" s="444"/>
      <c r="BR188" s="444"/>
      <c r="BS188" s="444"/>
      <c r="BT188" s="444"/>
    </row>
    <row r="189" spans="1:72" ht="15">
      <c r="A189" s="392"/>
      <c r="B189" s="392"/>
      <c r="C189" s="392"/>
      <c r="D189" s="392"/>
      <c r="E189" s="392"/>
      <c r="F189" s="392"/>
      <c r="G189" s="392"/>
      <c r="H189" s="392"/>
      <c r="I189" s="392"/>
      <c r="J189" s="392"/>
      <c r="K189" s="392"/>
      <c r="L189" s="392"/>
      <c r="M189" s="392"/>
      <c r="N189" s="392"/>
      <c r="O189" s="392"/>
      <c r="P189" s="392"/>
      <c r="Q189" s="392"/>
      <c r="R189" s="392"/>
      <c r="S189" s="409"/>
      <c r="T189" s="409"/>
      <c r="U189" s="409"/>
      <c r="V189" s="409"/>
      <c r="W189" s="392"/>
      <c r="X189" s="392"/>
      <c r="Y189" s="409"/>
      <c r="Z189" s="409"/>
      <c r="AA189" s="392"/>
      <c r="AB189" s="392"/>
      <c r="AC189" s="392"/>
      <c r="AD189" s="409"/>
      <c r="AE189" s="409"/>
      <c r="AF189" s="409"/>
      <c r="AG189" s="409"/>
      <c r="AH189" s="409"/>
      <c r="AI189" s="409"/>
      <c r="AJ189" s="409"/>
      <c r="AK189" s="409"/>
      <c r="AL189" s="409"/>
      <c r="AM189" s="409"/>
      <c r="AN189" s="409"/>
      <c r="AO189" s="409"/>
      <c r="AP189" s="409"/>
      <c r="AQ189" s="409"/>
      <c r="AR189" s="409"/>
      <c r="AS189" s="409"/>
      <c r="AT189" s="409"/>
      <c r="AU189" s="409"/>
      <c r="AV189" s="409"/>
      <c r="AW189" s="409"/>
      <c r="AX189" s="409"/>
      <c r="AY189" s="409"/>
      <c r="AZ189" s="409"/>
      <c r="BA189" s="409"/>
      <c r="BB189" s="409"/>
      <c r="BC189" s="409"/>
      <c r="BD189" s="407"/>
      <c r="BE189" s="444"/>
      <c r="BF189" s="444"/>
      <c r="BG189" s="444"/>
      <c r="BH189" s="444"/>
      <c r="BI189" s="444"/>
      <c r="BJ189" s="444"/>
      <c r="BK189" s="444"/>
      <c r="BL189" s="444"/>
      <c r="BM189" s="444"/>
      <c r="BN189" s="444"/>
      <c r="BO189" s="444"/>
      <c r="BP189" s="444"/>
      <c r="BQ189" s="444"/>
      <c r="BR189" s="444"/>
      <c r="BS189" s="444"/>
      <c r="BT189" s="444"/>
    </row>
    <row r="190" spans="1:72" ht="15">
      <c r="A190" s="392"/>
      <c r="B190" s="392"/>
      <c r="C190" s="392"/>
      <c r="D190" s="392"/>
      <c r="E190" s="392"/>
      <c r="F190" s="392"/>
      <c r="G190" s="392"/>
      <c r="H190" s="392"/>
      <c r="I190" s="392"/>
      <c r="J190" s="392"/>
      <c r="K190" s="392"/>
      <c r="L190" s="392"/>
      <c r="M190" s="392"/>
      <c r="N190" s="392"/>
      <c r="O190" s="392"/>
      <c r="P190" s="392"/>
      <c r="Q190" s="392"/>
      <c r="R190" s="392"/>
      <c r="S190" s="409"/>
      <c r="T190" s="409"/>
      <c r="U190" s="409"/>
      <c r="V190" s="409"/>
      <c r="W190" s="392"/>
      <c r="X190" s="392"/>
      <c r="Y190" s="409"/>
      <c r="Z190" s="409"/>
      <c r="AA190" s="392"/>
      <c r="AB190" s="392"/>
      <c r="AC190" s="392"/>
      <c r="AD190" s="409"/>
      <c r="AE190" s="409"/>
      <c r="AF190" s="409"/>
      <c r="AG190" s="409"/>
      <c r="AH190" s="409"/>
      <c r="AI190" s="409"/>
      <c r="AJ190" s="409"/>
      <c r="AK190" s="409"/>
      <c r="AL190" s="409"/>
      <c r="AM190" s="409"/>
      <c r="AN190" s="409"/>
      <c r="AO190" s="409"/>
      <c r="AP190" s="409"/>
      <c r="AQ190" s="409"/>
      <c r="AR190" s="409"/>
      <c r="AS190" s="409"/>
      <c r="AT190" s="409"/>
      <c r="AU190" s="409"/>
      <c r="AV190" s="409"/>
      <c r="AW190" s="409"/>
      <c r="AX190" s="409"/>
      <c r="AY190" s="409"/>
      <c r="AZ190" s="409"/>
      <c r="BA190" s="409"/>
      <c r="BB190" s="409"/>
      <c r="BC190" s="409"/>
      <c r="BD190" s="407"/>
      <c r="BE190" s="444"/>
      <c r="BF190" s="444"/>
      <c r="BG190" s="444"/>
      <c r="BH190" s="444"/>
      <c r="BI190" s="444"/>
      <c r="BJ190" s="444"/>
      <c r="BK190" s="444"/>
      <c r="BL190" s="444"/>
      <c r="BM190" s="444"/>
      <c r="BN190" s="444"/>
      <c r="BO190" s="444"/>
      <c r="BP190" s="444"/>
      <c r="BQ190" s="444"/>
      <c r="BR190" s="444"/>
      <c r="BS190" s="444"/>
      <c r="BT190" s="444"/>
    </row>
    <row r="191" spans="1:72" ht="15">
      <c r="A191" s="392"/>
      <c r="B191" s="392"/>
      <c r="C191" s="392"/>
      <c r="D191" s="392"/>
      <c r="E191" s="392"/>
      <c r="F191" s="392"/>
      <c r="G191" s="392"/>
      <c r="H191" s="392"/>
      <c r="I191" s="392"/>
      <c r="J191" s="392"/>
      <c r="K191" s="392"/>
      <c r="L191" s="392"/>
      <c r="M191" s="392"/>
      <c r="N191" s="392"/>
      <c r="O191" s="392"/>
      <c r="P191" s="392"/>
      <c r="Q191" s="392"/>
      <c r="R191" s="392"/>
      <c r="S191" s="409"/>
      <c r="T191" s="409"/>
      <c r="U191" s="409"/>
      <c r="V191" s="409"/>
      <c r="W191" s="392"/>
      <c r="X191" s="392"/>
      <c r="Y191" s="409"/>
      <c r="Z191" s="409"/>
      <c r="AA191" s="392"/>
      <c r="AB191" s="392"/>
      <c r="AC191" s="392"/>
      <c r="AD191" s="409"/>
      <c r="AE191" s="409"/>
      <c r="AF191" s="409"/>
      <c r="AG191" s="409"/>
      <c r="AH191" s="409"/>
      <c r="AI191" s="409"/>
      <c r="AJ191" s="409"/>
      <c r="AK191" s="409"/>
      <c r="AL191" s="409"/>
      <c r="AM191" s="409"/>
      <c r="AN191" s="409"/>
      <c r="AO191" s="409"/>
      <c r="AP191" s="409"/>
      <c r="AQ191" s="409"/>
      <c r="AR191" s="409"/>
      <c r="AS191" s="409"/>
      <c r="AT191" s="409"/>
      <c r="AU191" s="409"/>
      <c r="AV191" s="409"/>
      <c r="AW191" s="409"/>
      <c r="AX191" s="409"/>
      <c r="AY191" s="409"/>
      <c r="AZ191" s="409"/>
      <c r="BA191" s="409"/>
      <c r="BB191" s="409"/>
      <c r="BC191" s="409"/>
      <c r="BD191" s="407"/>
      <c r="BE191" s="444"/>
      <c r="BF191" s="444"/>
      <c r="BG191" s="444"/>
      <c r="BH191" s="444"/>
      <c r="BI191" s="444"/>
      <c r="BJ191" s="444"/>
      <c r="BK191" s="444"/>
      <c r="BL191" s="444"/>
      <c r="BM191" s="444"/>
      <c r="BN191" s="444"/>
      <c r="BO191" s="444"/>
      <c r="BP191" s="444"/>
      <c r="BQ191" s="444"/>
      <c r="BR191" s="444"/>
      <c r="BS191" s="444"/>
      <c r="BT191" s="444"/>
    </row>
    <row r="192" spans="1:72" ht="15">
      <c r="A192" s="392"/>
      <c r="B192" s="392"/>
      <c r="C192" s="392"/>
      <c r="D192" s="392"/>
      <c r="E192" s="392"/>
      <c r="F192" s="392"/>
      <c r="G192" s="392"/>
      <c r="H192" s="392"/>
      <c r="I192" s="392"/>
      <c r="J192" s="392"/>
      <c r="K192" s="392"/>
      <c r="L192" s="392"/>
      <c r="M192" s="392"/>
      <c r="N192" s="392"/>
      <c r="O192" s="392"/>
      <c r="P192" s="392"/>
      <c r="Q192" s="392"/>
      <c r="R192" s="392"/>
      <c r="S192" s="409"/>
      <c r="T192" s="409"/>
      <c r="U192" s="409"/>
      <c r="V192" s="409"/>
      <c r="W192" s="392"/>
      <c r="X192" s="392"/>
      <c r="Y192" s="409"/>
      <c r="Z192" s="409"/>
      <c r="AA192" s="392"/>
      <c r="AB192" s="392"/>
      <c r="AC192" s="392"/>
      <c r="AD192" s="409"/>
      <c r="AE192" s="409"/>
      <c r="AF192" s="409"/>
      <c r="AG192" s="409"/>
      <c r="AH192" s="409"/>
      <c r="AI192" s="409"/>
      <c r="AJ192" s="409"/>
      <c r="AK192" s="409"/>
      <c r="AL192" s="409"/>
      <c r="AM192" s="409"/>
      <c r="AN192" s="409"/>
      <c r="AO192" s="409"/>
      <c r="AP192" s="409"/>
      <c r="AQ192" s="409"/>
      <c r="AR192" s="409"/>
      <c r="AS192" s="409"/>
      <c r="AT192" s="409"/>
      <c r="AU192" s="409"/>
      <c r="AV192" s="409"/>
      <c r="AW192" s="409"/>
      <c r="AX192" s="409"/>
      <c r="AY192" s="409"/>
      <c r="AZ192" s="409"/>
      <c r="BA192" s="409"/>
      <c r="BB192" s="409"/>
      <c r="BC192" s="409"/>
      <c r="BD192" s="407"/>
      <c r="BE192" s="444"/>
      <c r="BF192" s="444"/>
      <c r="BG192" s="444"/>
      <c r="BH192" s="444"/>
      <c r="BI192" s="444"/>
      <c r="BJ192" s="444"/>
      <c r="BK192" s="444"/>
      <c r="BL192" s="444"/>
      <c r="BM192" s="444"/>
      <c r="BN192" s="444"/>
      <c r="BO192" s="444"/>
      <c r="BP192" s="444"/>
      <c r="BQ192" s="444"/>
      <c r="BR192" s="444"/>
      <c r="BS192" s="444"/>
      <c r="BT192" s="444"/>
    </row>
    <row r="193" spans="1:72" ht="15">
      <c r="A193" s="392"/>
      <c r="B193" s="392"/>
      <c r="C193" s="392"/>
      <c r="D193" s="392"/>
      <c r="E193" s="392"/>
      <c r="F193" s="392"/>
      <c r="G193" s="392"/>
      <c r="H193" s="392"/>
      <c r="I193" s="392"/>
      <c r="J193" s="392"/>
      <c r="K193" s="392"/>
      <c r="L193" s="392"/>
      <c r="M193" s="392"/>
      <c r="N193" s="392"/>
      <c r="O193" s="392"/>
      <c r="P193" s="392"/>
      <c r="Q193" s="392"/>
      <c r="R193" s="392"/>
      <c r="S193" s="409"/>
      <c r="T193" s="409"/>
      <c r="U193" s="409"/>
      <c r="V193" s="409"/>
      <c r="W193" s="392"/>
      <c r="X193" s="392"/>
      <c r="Y193" s="409"/>
      <c r="Z193" s="409"/>
      <c r="AA193" s="392"/>
      <c r="AB193" s="392"/>
      <c r="AC193" s="392"/>
      <c r="AD193" s="409"/>
      <c r="AE193" s="409"/>
      <c r="AF193" s="409"/>
      <c r="AG193" s="409"/>
      <c r="AH193" s="409"/>
      <c r="AI193" s="409"/>
      <c r="AJ193" s="409"/>
      <c r="AK193" s="409"/>
      <c r="AL193" s="409"/>
      <c r="AM193" s="409"/>
      <c r="AN193" s="409"/>
      <c r="AO193" s="409"/>
      <c r="AP193" s="409"/>
      <c r="AQ193" s="409"/>
      <c r="AR193" s="409"/>
      <c r="AS193" s="409"/>
      <c r="AT193" s="409"/>
      <c r="AU193" s="409"/>
      <c r="AV193" s="409"/>
      <c r="AW193" s="409"/>
      <c r="AX193" s="409"/>
      <c r="AY193" s="409"/>
      <c r="AZ193" s="409"/>
      <c r="BA193" s="409"/>
      <c r="BB193" s="409"/>
      <c r="BC193" s="409"/>
      <c r="BD193" s="407"/>
      <c r="BE193" s="444"/>
      <c r="BF193" s="444"/>
      <c r="BG193" s="444"/>
      <c r="BH193" s="444"/>
      <c r="BI193" s="444"/>
      <c r="BJ193" s="444"/>
      <c r="BK193" s="444"/>
      <c r="BL193" s="444"/>
      <c r="BM193" s="444"/>
      <c r="BN193" s="444"/>
      <c r="BO193" s="444"/>
      <c r="BP193" s="444"/>
      <c r="BQ193" s="444"/>
      <c r="BR193" s="444"/>
      <c r="BS193" s="444"/>
      <c r="BT193" s="444"/>
    </row>
    <row r="194" spans="1:72" ht="15">
      <c r="A194" s="392"/>
      <c r="B194" s="392"/>
      <c r="C194" s="392"/>
      <c r="D194" s="392"/>
      <c r="E194" s="392"/>
      <c r="F194" s="392"/>
      <c r="G194" s="392"/>
      <c r="H194" s="392"/>
      <c r="I194" s="392"/>
      <c r="J194" s="392"/>
      <c r="K194" s="392"/>
      <c r="L194" s="392"/>
      <c r="M194" s="392"/>
      <c r="N194" s="392"/>
      <c r="O194" s="392"/>
      <c r="P194" s="392"/>
      <c r="Q194" s="392"/>
      <c r="R194" s="392"/>
      <c r="S194" s="409"/>
      <c r="T194" s="409"/>
      <c r="U194" s="409"/>
      <c r="V194" s="409"/>
      <c r="W194" s="392"/>
      <c r="X194" s="392"/>
      <c r="Y194" s="409"/>
      <c r="Z194" s="409"/>
      <c r="AA194" s="392"/>
      <c r="AB194" s="392"/>
      <c r="AC194" s="392"/>
      <c r="AD194" s="409"/>
      <c r="AE194" s="409"/>
      <c r="AF194" s="409"/>
      <c r="AG194" s="409"/>
      <c r="AH194" s="409"/>
      <c r="AI194" s="409"/>
      <c r="AJ194" s="409"/>
      <c r="AK194" s="409"/>
      <c r="AL194" s="409"/>
      <c r="AM194" s="409"/>
      <c r="AN194" s="409"/>
      <c r="AO194" s="409"/>
      <c r="AP194" s="409"/>
      <c r="AQ194" s="409"/>
      <c r="AR194" s="409"/>
      <c r="AS194" s="409"/>
      <c r="AT194" s="409"/>
      <c r="AU194" s="409"/>
      <c r="AV194" s="409"/>
      <c r="AW194" s="409"/>
      <c r="AX194" s="409"/>
      <c r="AY194" s="409"/>
      <c r="AZ194" s="409"/>
      <c r="BA194" s="409"/>
      <c r="BB194" s="409"/>
      <c r="BC194" s="409"/>
      <c r="BD194" s="407"/>
      <c r="BE194" s="444"/>
      <c r="BF194" s="444"/>
      <c r="BG194" s="444"/>
      <c r="BH194" s="444"/>
      <c r="BI194" s="444"/>
      <c r="BJ194" s="444"/>
      <c r="BK194" s="444"/>
      <c r="BL194" s="444"/>
      <c r="BM194" s="444"/>
      <c r="BN194" s="444"/>
      <c r="BO194" s="444"/>
      <c r="BP194" s="444"/>
      <c r="BQ194" s="444"/>
      <c r="BR194" s="444"/>
      <c r="BS194" s="444"/>
      <c r="BT194" s="444"/>
    </row>
    <row r="195" spans="1:72" ht="15">
      <c r="A195" s="392"/>
      <c r="B195" s="392"/>
      <c r="C195" s="392"/>
      <c r="D195" s="392"/>
      <c r="E195" s="392"/>
      <c r="F195" s="392"/>
      <c r="G195" s="392"/>
      <c r="H195" s="392"/>
      <c r="I195" s="392"/>
      <c r="J195" s="392"/>
      <c r="K195" s="392"/>
      <c r="L195" s="392"/>
      <c r="M195" s="392"/>
      <c r="N195" s="392"/>
      <c r="O195" s="392"/>
      <c r="P195" s="392"/>
      <c r="Q195" s="392"/>
      <c r="R195" s="392"/>
      <c r="S195" s="409"/>
      <c r="T195" s="409"/>
      <c r="U195" s="409"/>
      <c r="V195" s="409"/>
      <c r="W195" s="392"/>
      <c r="X195" s="392"/>
      <c r="Y195" s="409"/>
      <c r="Z195" s="409"/>
      <c r="AA195" s="392"/>
      <c r="AB195" s="392"/>
      <c r="AC195" s="392"/>
      <c r="AD195" s="409"/>
      <c r="AE195" s="409"/>
      <c r="AF195" s="409"/>
      <c r="AG195" s="409"/>
      <c r="AH195" s="409"/>
      <c r="AI195" s="409"/>
      <c r="AJ195" s="409"/>
      <c r="AK195" s="409"/>
      <c r="AL195" s="409"/>
      <c r="AM195" s="409"/>
      <c r="AN195" s="409"/>
      <c r="AO195" s="409"/>
      <c r="AP195" s="409"/>
      <c r="AQ195" s="409"/>
      <c r="AR195" s="409"/>
      <c r="AS195" s="409"/>
      <c r="AT195" s="409"/>
      <c r="AU195" s="409"/>
      <c r="AV195" s="409"/>
      <c r="AW195" s="409"/>
      <c r="AX195" s="409"/>
      <c r="AY195" s="409"/>
      <c r="AZ195" s="409"/>
      <c r="BA195" s="409"/>
      <c r="BB195" s="409"/>
      <c r="BC195" s="409"/>
      <c r="BD195" s="407"/>
      <c r="BE195" s="444"/>
      <c r="BF195" s="444"/>
      <c r="BG195" s="444"/>
      <c r="BH195" s="444"/>
      <c r="BI195" s="444"/>
      <c r="BJ195" s="444"/>
      <c r="BK195" s="444"/>
      <c r="BL195" s="444"/>
      <c r="BM195" s="444"/>
      <c r="BN195" s="444"/>
      <c r="BO195" s="444"/>
      <c r="BP195" s="444"/>
      <c r="BQ195" s="444"/>
      <c r="BR195" s="444"/>
      <c r="BS195" s="444"/>
      <c r="BT195" s="444"/>
    </row>
    <row r="196" spans="1:72" ht="15">
      <c r="A196" s="392"/>
      <c r="B196" s="392"/>
      <c r="C196" s="392"/>
      <c r="D196" s="392"/>
      <c r="E196" s="392"/>
      <c r="F196" s="392"/>
      <c r="G196" s="392"/>
      <c r="H196" s="392"/>
      <c r="I196" s="392"/>
      <c r="J196" s="392"/>
      <c r="K196" s="392"/>
      <c r="L196" s="392"/>
      <c r="M196" s="392"/>
      <c r="N196" s="392"/>
      <c r="O196" s="392"/>
      <c r="P196" s="392"/>
      <c r="Q196" s="392"/>
      <c r="R196" s="392"/>
      <c r="S196" s="409"/>
      <c r="T196" s="409"/>
      <c r="U196" s="409"/>
      <c r="V196" s="409"/>
      <c r="W196" s="392"/>
      <c r="X196" s="392"/>
      <c r="Y196" s="409"/>
      <c r="Z196" s="409"/>
      <c r="AA196" s="392"/>
      <c r="AB196" s="392"/>
      <c r="AC196" s="392"/>
      <c r="AD196" s="409"/>
      <c r="AE196" s="409"/>
      <c r="AF196" s="409"/>
      <c r="AG196" s="409"/>
      <c r="AH196" s="409"/>
      <c r="AI196" s="409"/>
      <c r="AJ196" s="409"/>
      <c r="AK196" s="409"/>
      <c r="AL196" s="409"/>
      <c r="AM196" s="409"/>
      <c r="AN196" s="409"/>
      <c r="AO196" s="409"/>
      <c r="AP196" s="409"/>
      <c r="AQ196" s="409"/>
      <c r="AR196" s="409"/>
      <c r="AS196" s="409"/>
      <c r="AT196" s="409"/>
      <c r="AU196" s="409"/>
      <c r="AV196" s="409"/>
      <c r="AW196" s="409"/>
      <c r="AX196" s="409"/>
      <c r="AY196" s="409"/>
      <c r="AZ196" s="409"/>
      <c r="BA196" s="409"/>
      <c r="BB196" s="409"/>
      <c r="BC196" s="409"/>
      <c r="BD196" s="407"/>
      <c r="BE196" s="444"/>
      <c r="BF196" s="444"/>
      <c r="BG196" s="444"/>
      <c r="BH196" s="444"/>
      <c r="BI196" s="444"/>
      <c r="BJ196" s="444"/>
      <c r="BK196" s="444"/>
      <c r="BL196" s="444"/>
      <c r="BM196" s="444"/>
      <c r="BN196" s="444"/>
      <c r="BO196" s="444"/>
      <c r="BP196" s="444"/>
      <c r="BQ196" s="444"/>
      <c r="BR196" s="444"/>
      <c r="BS196" s="444"/>
      <c r="BT196" s="444"/>
    </row>
    <row r="197" spans="1:72" ht="15">
      <c r="A197" s="392"/>
      <c r="B197" s="392"/>
      <c r="C197" s="392"/>
      <c r="D197" s="392"/>
      <c r="E197" s="392"/>
      <c r="F197" s="392"/>
      <c r="G197" s="392"/>
      <c r="H197" s="392"/>
      <c r="I197" s="392"/>
      <c r="J197" s="392"/>
      <c r="K197" s="392"/>
      <c r="L197" s="392"/>
      <c r="M197" s="392"/>
      <c r="N197" s="392"/>
      <c r="O197" s="392"/>
      <c r="P197" s="392"/>
      <c r="Q197" s="392"/>
      <c r="R197" s="392"/>
      <c r="S197" s="409"/>
      <c r="T197" s="409"/>
      <c r="U197" s="409"/>
      <c r="V197" s="409"/>
      <c r="W197" s="392"/>
      <c r="X197" s="392"/>
      <c r="Y197" s="409"/>
      <c r="Z197" s="409"/>
      <c r="AA197" s="392"/>
      <c r="AB197" s="392"/>
      <c r="AC197" s="392"/>
      <c r="AD197" s="409"/>
      <c r="AE197" s="409"/>
      <c r="AF197" s="409"/>
      <c r="AG197" s="409"/>
      <c r="AH197" s="409"/>
      <c r="AI197" s="409"/>
      <c r="AJ197" s="409"/>
      <c r="AK197" s="409"/>
      <c r="AL197" s="409"/>
      <c r="AM197" s="409"/>
      <c r="AN197" s="409"/>
      <c r="AO197" s="409"/>
      <c r="AP197" s="409"/>
      <c r="AQ197" s="409"/>
      <c r="AR197" s="409"/>
      <c r="AS197" s="409"/>
      <c r="AT197" s="409"/>
      <c r="AU197" s="409"/>
      <c r="AV197" s="409"/>
      <c r="AW197" s="409"/>
      <c r="AX197" s="409"/>
      <c r="AY197" s="409"/>
      <c r="AZ197" s="409"/>
      <c r="BA197" s="409"/>
      <c r="BB197" s="409"/>
      <c r="BC197" s="409"/>
      <c r="BD197" s="407"/>
      <c r="BE197" s="444"/>
      <c r="BF197" s="444"/>
      <c r="BG197" s="444"/>
      <c r="BH197" s="444"/>
      <c r="BI197" s="444"/>
      <c r="BJ197" s="444"/>
      <c r="BK197" s="444"/>
      <c r="BL197" s="444"/>
      <c r="BM197" s="444"/>
      <c r="BN197" s="444"/>
      <c r="BO197" s="444"/>
      <c r="BP197" s="444"/>
      <c r="BQ197" s="444"/>
      <c r="BR197" s="444"/>
      <c r="BS197" s="444"/>
      <c r="BT197" s="444"/>
    </row>
    <row r="198" spans="1:72" ht="15">
      <c r="A198" s="392"/>
      <c r="B198" s="392"/>
      <c r="C198" s="392"/>
      <c r="D198" s="392"/>
      <c r="E198" s="392"/>
      <c r="F198" s="392"/>
      <c r="G198" s="392"/>
      <c r="H198" s="392"/>
      <c r="I198" s="392"/>
      <c r="J198" s="392"/>
      <c r="K198" s="392"/>
      <c r="L198" s="392"/>
      <c r="M198" s="392"/>
      <c r="N198" s="392"/>
      <c r="O198" s="392"/>
      <c r="P198" s="392"/>
      <c r="Q198" s="392"/>
      <c r="R198" s="392"/>
      <c r="S198" s="409"/>
      <c r="T198" s="409"/>
      <c r="U198" s="409"/>
      <c r="V198" s="409"/>
      <c r="W198" s="392"/>
      <c r="X198" s="392"/>
      <c r="Y198" s="409"/>
      <c r="Z198" s="409"/>
      <c r="AA198" s="392"/>
      <c r="AB198" s="392"/>
      <c r="AC198" s="392"/>
      <c r="AD198" s="409"/>
      <c r="AE198" s="409"/>
      <c r="AF198" s="409"/>
      <c r="AG198" s="409"/>
      <c r="AH198" s="409"/>
      <c r="AI198" s="409"/>
      <c r="AJ198" s="409"/>
      <c r="AK198" s="409"/>
      <c r="AL198" s="409"/>
      <c r="AM198" s="409"/>
      <c r="AN198" s="409"/>
      <c r="AO198" s="409"/>
      <c r="AP198" s="409"/>
      <c r="AQ198" s="409"/>
      <c r="AR198" s="409"/>
      <c r="AS198" s="409"/>
      <c r="AT198" s="409"/>
      <c r="AU198" s="409"/>
      <c r="AV198" s="409"/>
      <c r="AW198" s="409"/>
      <c r="AX198" s="409"/>
      <c r="AY198" s="409"/>
      <c r="AZ198" s="409"/>
      <c r="BA198" s="409"/>
      <c r="BB198" s="409"/>
      <c r="BC198" s="409"/>
      <c r="BD198" s="407"/>
      <c r="BE198" s="444"/>
      <c r="BF198" s="444"/>
      <c r="BG198" s="444"/>
      <c r="BH198" s="444"/>
      <c r="BI198" s="444"/>
      <c r="BJ198" s="444"/>
      <c r="BK198" s="444"/>
      <c r="BL198" s="444"/>
      <c r="BM198" s="444"/>
      <c r="BN198" s="444"/>
      <c r="BO198" s="444"/>
      <c r="BP198" s="444"/>
      <c r="BQ198" s="444"/>
      <c r="BR198" s="444"/>
      <c r="BS198" s="444"/>
      <c r="BT198" s="444"/>
    </row>
    <row r="199" spans="1:72" ht="15">
      <c r="A199" s="392"/>
      <c r="B199" s="392"/>
      <c r="C199" s="392"/>
      <c r="D199" s="392"/>
      <c r="E199" s="392"/>
      <c r="F199" s="392"/>
      <c r="G199" s="392"/>
      <c r="H199" s="392"/>
      <c r="I199" s="392"/>
      <c r="J199" s="392"/>
      <c r="K199" s="392"/>
      <c r="L199" s="392"/>
      <c r="M199" s="392"/>
      <c r="N199" s="392"/>
      <c r="O199" s="392"/>
      <c r="P199" s="392"/>
      <c r="Q199" s="392"/>
      <c r="R199" s="392"/>
      <c r="S199" s="409"/>
      <c r="T199" s="409"/>
      <c r="U199" s="409"/>
      <c r="V199" s="409"/>
      <c r="W199" s="392"/>
      <c r="X199" s="392"/>
      <c r="Y199" s="409"/>
      <c r="Z199" s="409"/>
      <c r="AA199" s="392"/>
      <c r="AB199" s="392"/>
      <c r="AC199" s="392"/>
      <c r="AD199" s="409"/>
      <c r="AE199" s="409"/>
      <c r="AF199" s="409"/>
      <c r="AG199" s="409"/>
      <c r="AH199" s="409"/>
      <c r="AI199" s="409"/>
      <c r="AJ199" s="409"/>
      <c r="AK199" s="409"/>
      <c r="AL199" s="409"/>
      <c r="AM199" s="409"/>
      <c r="AN199" s="409"/>
      <c r="AO199" s="409"/>
      <c r="AP199" s="409"/>
      <c r="AQ199" s="409"/>
      <c r="AR199" s="409"/>
      <c r="AS199" s="409"/>
      <c r="AT199" s="409"/>
      <c r="AU199" s="409"/>
      <c r="AV199" s="409"/>
      <c r="AW199" s="409"/>
      <c r="AX199" s="409"/>
      <c r="AY199" s="409"/>
      <c r="AZ199" s="409"/>
      <c r="BA199" s="409"/>
      <c r="BB199" s="409"/>
      <c r="BC199" s="409"/>
      <c r="BD199" s="407"/>
      <c r="BE199" s="444"/>
      <c r="BF199" s="444"/>
      <c r="BG199" s="444"/>
      <c r="BH199" s="444"/>
      <c r="BI199" s="444"/>
      <c r="BJ199" s="444"/>
      <c r="BK199" s="444"/>
      <c r="BL199" s="444"/>
      <c r="BM199" s="444"/>
      <c r="BN199" s="444"/>
      <c r="BO199" s="444"/>
      <c r="BP199" s="444"/>
      <c r="BQ199" s="444"/>
      <c r="BR199" s="444"/>
      <c r="BS199" s="444"/>
      <c r="BT199" s="444"/>
    </row>
    <row r="200" spans="1:72" ht="15">
      <c r="A200" s="392"/>
      <c r="B200" s="392"/>
      <c r="C200" s="392"/>
      <c r="D200" s="392"/>
      <c r="E200" s="392"/>
      <c r="F200" s="392"/>
      <c r="G200" s="392"/>
      <c r="H200" s="392"/>
      <c r="I200" s="392"/>
      <c r="J200" s="392"/>
      <c r="K200" s="392"/>
      <c r="L200" s="392"/>
      <c r="M200" s="392"/>
      <c r="N200" s="392"/>
      <c r="O200" s="392"/>
      <c r="P200" s="392"/>
      <c r="Q200" s="392"/>
      <c r="R200" s="392"/>
      <c r="S200" s="409"/>
      <c r="T200" s="409"/>
      <c r="U200" s="409"/>
      <c r="V200" s="409"/>
      <c r="W200" s="392"/>
      <c r="X200" s="392"/>
      <c r="Y200" s="409"/>
      <c r="Z200" s="409"/>
      <c r="AA200" s="392"/>
      <c r="AB200" s="392"/>
      <c r="AC200" s="392"/>
      <c r="AD200" s="409"/>
      <c r="AE200" s="409"/>
      <c r="AF200" s="409"/>
      <c r="AG200" s="409"/>
      <c r="AH200" s="409"/>
      <c r="AI200" s="409"/>
      <c r="AJ200" s="409"/>
      <c r="AK200" s="409"/>
      <c r="AL200" s="409"/>
      <c r="AM200" s="409"/>
      <c r="AN200" s="409"/>
      <c r="AO200" s="409"/>
      <c r="AP200" s="409"/>
      <c r="AQ200" s="409"/>
      <c r="AR200" s="409"/>
      <c r="AS200" s="409"/>
      <c r="AT200" s="409"/>
      <c r="AU200" s="409"/>
      <c r="AV200" s="409"/>
      <c r="AW200" s="409"/>
      <c r="AX200" s="409"/>
      <c r="AY200" s="409"/>
      <c r="AZ200" s="409"/>
      <c r="BA200" s="409"/>
      <c r="BB200" s="409"/>
      <c r="BC200" s="409"/>
      <c r="BD200" s="407"/>
      <c r="BE200" s="444"/>
      <c r="BF200" s="444"/>
      <c r="BG200" s="444"/>
      <c r="BH200" s="444"/>
      <c r="BI200" s="444"/>
      <c r="BJ200" s="444"/>
      <c r="BK200" s="444"/>
      <c r="BL200" s="444"/>
      <c r="BM200" s="444"/>
      <c r="BN200" s="444"/>
      <c r="BO200" s="444"/>
      <c r="BP200" s="444"/>
      <c r="BQ200" s="444"/>
      <c r="BR200" s="444"/>
      <c r="BS200" s="444"/>
      <c r="BT200" s="444"/>
    </row>
  </sheetData>
  <mergeCells count="28"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J7:M7"/>
    <mergeCell ref="A5:BA5"/>
    <mergeCell ref="BB5:BC5"/>
    <mergeCell ref="AV2:AY2"/>
    <mergeCell ref="AZ2:BC3"/>
    <mergeCell ref="A3:H3"/>
    <mergeCell ref="I3:L3"/>
    <mergeCell ref="M3:W3"/>
    <mergeCell ref="X3:Z3"/>
    <mergeCell ref="AA3:AR3"/>
    <mergeCell ref="AS3:AU3"/>
    <mergeCell ref="AV3:AY3"/>
  </mergeCells>
  <phoneticPr fontId="55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F7620-94DF-4533-824E-0AD5AC851393}">
  <dimension ref="A1:DX168"/>
  <sheetViews>
    <sheetView showGridLines="0" topLeftCell="A5" zoomScale="90" zoomScaleNormal="90" zoomScaleSheetLayoutView="100" workbookViewId="0">
      <pane ySplit="2" topLeftCell="A7" activePane="bottomLeft" state="frozen"/>
      <selection activeCell="A5" sqref="A5"/>
      <selection pane="bottomLeft" activeCell="AS39" sqref="AR39:AS39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76" customWidth="1"/>
    <col min="57" max="94" width="2.6328125" style="443" customWidth="1"/>
    <col min="95" max="95" width="0.26953125" style="443" customWidth="1"/>
    <col min="96" max="128" width="2.6328125" style="443" customWidth="1"/>
    <col min="129" max="16384" width="9" style="35"/>
  </cols>
  <sheetData>
    <row r="1" spans="1:72" ht="12" customHeight="1">
      <c r="A1" s="597" t="s">
        <v>4</v>
      </c>
      <c r="B1" s="597"/>
      <c r="C1" s="597"/>
      <c r="D1" s="597"/>
      <c r="E1" s="597"/>
      <c r="F1" s="597"/>
      <c r="G1" s="597"/>
      <c r="H1" s="597"/>
      <c r="I1" s="584" t="s">
        <v>5</v>
      </c>
      <c r="J1" s="584"/>
      <c r="K1" s="584"/>
      <c r="L1" s="584"/>
      <c r="M1" s="595" t="str">
        <f>変更来歴!M1</f>
        <v>ヒロセ電機株式会社</v>
      </c>
      <c r="N1" s="595"/>
      <c r="O1" s="595"/>
      <c r="P1" s="595"/>
      <c r="Q1" s="595"/>
      <c r="R1" s="595"/>
      <c r="S1" s="595"/>
      <c r="T1" s="595"/>
      <c r="U1" s="595"/>
      <c r="V1" s="595"/>
      <c r="W1" s="595"/>
      <c r="X1" s="584" t="s">
        <v>7</v>
      </c>
      <c r="Y1" s="584"/>
      <c r="Z1" s="584"/>
      <c r="AA1" s="599" t="str">
        <f>変更来歴!AA1</f>
        <v>管理者ログ確認システム</v>
      </c>
      <c r="AB1" s="599"/>
      <c r="AC1" s="599"/>
      <c r="AD1" s="599"/>
      <c r="AE1" s="599"/>
      <c r="AF1" s="599"/>
      <c r="AG1" s="599"/>
      <c r="AH1" s="599"/>
      <c r="AI1" s="599"/>
      <c r="AJ1" s="599"/>
      <c r="AK1" s="573" t="s">
        <v>8</v>
      </c>
      <c r="AL1" s="573"/>
      <c r="AM1" s="573"/>
      <c r="AN1" s="575" t="str">
        <f>変更来歴!AP7</f>
        <v>古竹</v>
      </c>
      <c r="AO1" s="575"/>
      <c r="AP1" s="575"/>
      <c r="AQ1" s="575"/>
      <c r="AR1" s="575"/>
      <c r="AS1" s="573" t="s">
        <v>9</v>
      </c>
      <c r="AT1" s="573"/>
      <c r="AU1" s="573"/>
      <c r="AV1" s="576">
        <f>変更来歴!AL7</f>
        <v>46125</v>
      </c>
      <c r="AW1" s="574"/>
      <c r="AX1" s="574"/>
      <c r="AY1" s="574"/>
      <c r="AZ1" s="580" t="s">
        <v>10</v>
      </c>
      <c r="BA1" s="581"/>
      <c r="BB1" s="581"/>
      <c r="BC1" s="582"/>
    </row>
    <row r="2" spans="1:72">
      <c r="A2" s="583" t="s">
        <v>16</v>
      </c>
      <c r="B2" s="583"/>
      <c r="C2" s="583"/>
      <c r="D2" s="583"/>
      <c r="E2" s="583"/>
      <c r="F2" s="583"/>
      <c r="G2" s="583"/>
      <c r="H2" s="583"/>
      <c r="I2" s="584" t="s">
        <v>11</v>
      </c>
      <c r="J2" s="584"/>
      <c r="K2" s="584"/>
      <c r="L2" s="584"/>
      <c r="M2" s="620" t="str">
        <f>変更来歴!M2</f>
        <v>新環境証明書システム</v>
      </c>
      <c r="N2" s="620"/>
      <c r="O2" s="620"/>
      <c r="P2" s="620"/>
      <c r="Q2" s="620"/>
      <c r="R2" s="620"/>
      <c r="S2" s="620"/>
      <c r="T2" s="620"/>
      <c r="U2" s="620"/>
      <c r="V2" s="620"/>
      <c r="W2" s="620"/>
      <c r="X2" s="584"/>
      <c r="Y2" s="584"/>
      <c r="Z2" s="584"/>
      <c r="AA2" s="599"/>
      <c r="AB2" s="599"/>
      <c r="AC2" s="599"/>
      <c r="AD2" s="599"/>
      <c r="AE2" s="599"/>
      <c r="AF2" s="599"/>
      <c r="AG2" s="599"/>
      <c r="AH2" s="599"/>
      <c r="AI2" s="599"/>
      <c r="AJ2" s="599"/>
      <c r="AK2" s="573" t="s">
        <v>12</v>
      </c>
      <c r="AL2" s="573"/>
      <c r="AM2" s="573"/>
      <c r="AN2" s="575" t="str">
        <f ca="1">INDIRECT("変更来歴!AP" &amp; COUNTA(変更来歴!AP7:'変更来歴'!AP39) + 6)</f>
        <v>古竹</v>
      </c>
      <c r="AO2" s="575"/>
      <c r="AP2" s="575"/>
      <c r="AQ2" s="575"/>
      <c r="AR2" s="575"/>
      <c r="AS2" s="573" t="s">
        <v>13</v>
      </c>
      <c r="AT2" s="573"/>
      <c r="AU2" s="573"/>
      <c r="AV2" s="576">
        <f ca="1">INDIRECT("変更来歴!AL" &amp; COUNTA(変更来歴!AL7:'変更来歴'!AL39) + 6)</f>
        <v>46160</v>
      </c>
      <c r="AW2" s="574"/>
      <c r="AX2" s="574"/>
      <c r="AY2" s="574"/>
      <c r="AZ2" s="588" t="str">
        <f>変更来歴!AX2</f>
        <v>IMWF-53</v>
      </c>
      <c r="BA2" s="589"/>
      <c r="BB2" s="589"/>
      <c r="BC2" s="590"/>
    </row>
    <row r="3" spans="1:72" ht="12" customHeight="1">
      <c r="A3" s="594" t="str">
        <f>変更来歴!A3</f>
        <v>画面設計書</v>
      </c>
      <c r="B3" s="594"/>
      <c r="C3" s="594"/>
      <c r="D3" s="594"/>
      <c r="E3" s="594"/>
      <c r="F3" s="594"/>
      <c r="G3" s="594"/>
      <c r="H3" s="594"/>
      <c r="I3" s="584" t="s">
        <v>14</v>
      </c>
      <c r="J3" s="584"/>
      <c r="K3" s="584"/>
      <c r="L3" s="584"/>
      <c r="M3" s="595" t="str">
        <f ca="1">RIGHT(CELL("filename",A1),LEN(CELL("filename",A1))-FIND("]",CELL("filename",A1)))</f>
        <v>管理者申請ログ確認画面(仮)</v>
      </c>
      <c r="N3" s="595"/>
      <c r="O3" s="595"/>
      <c r="P3" s="595"/>
      <c r="Q3" s="595"/>
      <c r="R3" s="595"/>
      <c r="S3" s="595"/>
      <c r="T3" s="595"/>
      <c r="U3" s="595"/>
      <c r="V3" s="595"/>
      <c r="W3" s="595"/>
      <c r="X3" s="584" t="s">
        <v>27</v>
      </c>
      <c r="Y3" s="584"/>
      <c r="Z3" s="584"/>
      <c r="AA3" s="596" t="str">
        <f ca="1">MID(CELL("filename"),FIND("]",CELL("filename"))+1,LEN(CELL("filename"))) &amp; "画面"</f>
        <v>変更来歴画面</v>
      </c>
      <c r="AB3" s="596"/>
      <c r="AC3" s="596"/>
      <c r="AD3" s="596"/>
      <c r="AE3" s="596"/>
      <c r="AF3" s="596"/>
      <c r="AG3" s="596"/>
      <c r="AH3" s="596"/>
      <c r="AI3" s="596"/>
      <c r="AJ3" s="596"/>
      <c r="AK3" s="596"/>
      <c r="AL3" s="596"/>
      <c r="AM3" s="596"/>
      <c r="AN3" s="596"/>
      <c r="AO3" s="596"/>
      <c r="AP3" s="596"/>
      <c r="AQ3" s="596"/>
      <c r="AR3" s="596"/>
      <c r="AS3" s="573" t="s">
        <v>15</v>
      </c>
      <c r="AT3" s="573"/>
      <c r="AU3" s="573"/>
      <c r="AV3" s="574" t="str">
        <f ca="1">INDIRECT("変更来歴!A" &amp; COUNTA(変更来歴!A7:'変更来歴'!A39) + 6)</f>
        <v>ｒ1.1</v>
      </c>
      <c r="AW3" s="574"/>
      <c r="AX3" s="574"/>
      <c r="AY3" s="574"/>
      <c r="AZ3" s="591"/>
      <c r="BA3" s="592"/>
      <c r="BB3" s="592"/>
      <c r="BC3" s="593"/>
    </row>
    <row r="4" spans="1:72" ht="5.9" customHeight="1"/>
    <row r="5" spans="1:72" ht="13.5" customHeight="1">
      <c r="A5" s="621" t="str">
        <f ca="1">"画面レイアウト"&amp;"("&amp;MID(CELL("filename"),FIND("]",CELL("filename"))+1,LEN(CELL("filename")))&amp;")"</f>
        <v>画面レイアウト(変更来歴)</v>
      </c>
      <c r="B5" s="622"/>
      <c r="C5" s="622"/>
      <c r="D5" s="622"/>
      <c r="E5" s="622"/>
      <c r="F5" s="622"/>
      <c r="G5" s="622"/>
      <c r="H5" s="622"/>
      <c r="I5" s="622"/>
      <c r="J5" s="622"/>
      <c r="K5" s="622"/>
      <c r="L5" s="622"/>
      <c r="M5" s="622"/>
      <c r="N5" s="622"/>
      <c r="O5" s="622"/>
      <c r="P5" s="622"/>
      <c r="Q5" s="622"/>
      <c r="R5" s="622"/>
      <c r="S5" s="622"/>
      <c r="T5" s="622"/>
      <c r="U5" s="622"/>
      <c r="V5" s="622"/>
      <c r="W5" s="622"/>
      <c r="X5" s="622"/>
      <c r="Y5" s="622"/>
      <c r="Z5" s="622"/>
      <c r="AA5" s="622"/>
      <c r="AB5" s="622"/>
      <c r="AC5" s="622"/>
      <c r="AD5" s="622"/>
      <c r="AE5" s="622"/>
      <c r="AF5" s="622"/>
      <c r="AG5" s="622"/>
      <c r="AH5" s="622"/>
      <c r="AI5" s="622"/>
      <c r="AJ5" s="622"/>
      <c r="AK5" s="622"/>
      <c r="AL5" s="622"/>
      <c r="AM5" s="622"/>
      <c r="AN5" s="622"/>
      <c r="AO5" s="622"/>
      <c r="AP5" s="622"/>
      <c r="AQ5" s="622"/>
      <c r="AR5" s="622"/>
      <c r="AS5" s="622"/>
      <c r="AT5" s="622"/>
      <c r="AU5" s="622"/>
      <c r="AV5" s="622"/>
      <c r="AW5" s="622"/>
      <c r="AX5" s="622"/>
      <c r="AY5" s="622"/>
      <c r="AZ5" s="622"/>
      <c r="BA5" s="623"/>
      <c r="BB5" s="624" t="s">
        <v>24</v>
      </c>
      <c r="BC5" s="625"/>
      <c r="BD5" s="28"/>
    </row>
    <row r="6" spans="1:72" ht="13.5" customHeight="1">
      <c r="A6" s="27"/>
      <c r="B6" s="170">
        <v>1</v>
      </c>
      <c r="C6" s="170">
        <v>2</v>
      </c>
      <c r="D6" s="170">
        <v>3</v>
      </c>
      <c r="E6" s="170">
        <v>4</v>
      </c>
      <c r="F6" s="170">
        <v>5</v>
      </c>
      <c r="G6" s="170">
        <v>6</v>
      </c>
      <c r="H6" s="170">
        <v>7</v>
      </c>
      <c r="I6" s="170">
        <v>8</v>
      </c>
      <c r="J6" s="170">
        <v>9</v>
      </c>
      <c r="K6" s="170">
        <v>10</v>
      </c>
      <c r="L6" s="170">
        <v>11</v>
      </c>
      <c r="M6" s="170">
        <v>12</v>
      </c>
      <c r="N6" s="170">
        <v>13</v>
      </c>
      <c r="O6" s="170">
        <v>14</v>
      </c>
      <c r="P6" s="170">
        <v>15</v>
      </c>
      <c r="Q6" s="170">
        <v>16</v>
      </c>
      <c r="R6" s="170">
        <v>17</v>
      </c>
      <c r="S6" s="172">
        <v>18</v>
      </c>
      <c r="T6" s="172">
        <v>19</v>
      </c>
      <c r="U6" s="172">
        <v>20</v>
      </c>
      <c r="V6" s="172">
        <v>21</v>
      </c>
      <c r="W6" s="172">
        <v>22</v>
      </c>
      <c r="X6" s="172">
        <v>23</v>
      </c>
      <c r="Y6" s="172">
        <v>24</v>
      </c>
      <c r="Z6" s="172">
        <v>25</v>
      </c>
      <c r="AA6" s="172">
        <v>26</v>
      </c>
      <c r="AB6" s="172">
        <v>27</v>
      </c>
      <c r="AC6" s="172">
        <v>28</v>
      </c>
      <c r="AD6" s="172">
        <v>29</v>
      </c>
      <c r="AE6" s="172">
        <v>30</v>
      </c>
      <c r="AF6" s="172">
        <v>31</v>
      </c>
      <c r="AG6" s="172">
        <v>32</v>
      </c>
      <c r="AH6" s="172">
        <v>33</v>
      </c>
      <c r="AI6" s="172">
        <v>34</v>
      </c>
      <c r="AJ6" s="171">
        <v>35</v>
      </c>
      <c r="AK6" s="171">
        <v>36</v>
      </c>
      <c r="AL6" s="171">
        <v>37</v>
      </c>
      <c r="AM6" s="171">
        <v>38</v>
      </c>
      <c r="AN6" s="171">
        <v>39</v>
      </c>
      <c r="AO6" s="171">
        <v>40</v>
      </c>
      <c r="AP6" s="171">
        <v>41</v>
      </c>
      <c r="AQ6" s="171">
        <v>42</v>
      </c>
      <c r="AR6" s="171">
        <v>43</v>
      </c>
      <c r="AS6" s="171">
        <v>44</v>
      </c>
      <c r="AT6" s="171">
        <v>45</v>
      </c>
      <c r="AU6" s="171">
        <v>46</v>
      </c>
      <c r="AV6" s="171">
        <v>47</v>
      </c>
      <c r="AW6" s="171">
        <v>48</v>
      </c>
      <c r="AX6" s="171">
        <v>49</v>
      </c>
      <c r="AY6" s="171">
        <v>50</v>
      </c>
      <c r="AZ6" s="171">
        <v>51</v>
      </c>
      <c r="BA6" s="21"/>
      <c r="BB6" s="73"/>
      <c r="BC6" s="40"/>
      <c r="BD6" s="28"/>
    </row>
    <row r="7" spans="1:72" ht="12.5" customHeight="1">
      <c r="A7" s="393"/>
      <c r="B7" s="494"/>
      <c r="C7" s="495"/>
      <c r="D7" s="495"/>
      <c r="E7" s="495"/>
      <c r="F7" s="495"/>
      <c r="G7" s="495"/>
      <c r="H7" s="495"/>
      <c r="I7" s="495"/>
      <c r="J7" s="495"/>
      <c r="K7" s="495"/>
      <c r="L7" s="495"/>
      <c r="M7" s="495"/>
      <c r="N7" s="495"/>
      <c r="O7" s="495"/>
      <c r="P7" s="495"/>
      <c r="Q7" s="495"/>
      <c r="R7" s="495"/>
      <c r="S7" s="495"/>
      <c r="T7" s="495"/>
      <c r="U7" s="495"/>
      <c r="V7" s="495"/>
      <c r="W7" s="495"/>
      <c r="X7" s="495"/>
      <c r="Y7" s="495"/>
      <c r="Z7" s="495"/>
      <c r="AA7" s="495"/>
      <c r="AB7" s="495"/>
      <c r="AC7" s="495"/>
      <c r="AD7" s="495"/>
      <c r="AE7" s="495"/>
      <c r="AF7" s="495"/>
      <c r="AG7" s="495"/>
      <c r="AH7" s="495"/>
      <c r="AI7" s="495"/>
      <c r="AJ7" s="495"/>
      <c r="AK7" s="495"/>
      <c r="AL7" s="495"/>
      <c r="AM7" s="495"/>
      <c r="AN7" s="495"/>
      <c r="AO7" s="495"/>
      <c r="AP7" s="495"/>
      <c r="AQ7" s="495"/>
      <c r="AR7" s="495"/>
      <c r="AS7" s="495"/>
      <c r="AT7" s="495"/>
      <c r="AU7" s="495"/>
      <c r="AV7" s="495"/>
      <c r="AW7" s="495"/>
      <c r="AX7" s="495"/>
      <c r="AY7" s="495"/>
      <c r="AZ7" s="496"/>
      <c r="BA7" s="422"/>
      <c r="BB7" s="405"/>
      <c r="BC7" s="406"/>
      <c r="BD7" s="391"/>
      <c r="BE7" s="391" t="s">
        <v>175</v>
      </c>
      <c r="BF7" s="391"/>
      <c r="BG7" s="391"/>
      <c r="BH7" s="391"/>
      <c r="BI7" s="391"/>
      <c r="BJ7" s="391"/>
      <c r="BK7" s="391"/>
      <c r="BL7" s="543"/>
      <c r="BM7" s="543"/>
      <c r="BN7" s="445"/>
      <c r="BO7" s="445"/>
      <c r="BP7" s="445"/>
      <c r="BQ7" s="445"/>
      <c r="BR7" s="445"/>
      <c r="BS7" s="444"/>
      <c r="BT7" s="444"/>
    </row>
    <row r="8" spans="1:72" s="443" customFormat="1" ht="12.5" customHeight="1">
      <c r="A8" s="393"/>
      <c r="B8" s="418"/>
      <c r="C8" s="420"/>
      <c r="D8" s="420"/>
      <c r="E8" s="420"/>
      <c r="F8" s="420"/>
      <c r="G8" s="420"/>
      <c r="H8" s="420"/>
      <c r="I8" s="420"/>
      <c r="J8" s="420"/>
      <c r="K8" s="420"/>
      <c r="L8" s="420"/>
      <c r="M8" s="420"/>
      <c r="N8" s="420"/>
      <c r="O8" s="420"/>
      <c r="P8" s="420"/>
      <c r="Q8" s="420"/>
      <c r="R8" s="420"/>
      <c r="S8" s="420"/>
      <c r="T8" s="420"/>
      <c r="U8" s="420"/>
      <c r="V8" s="420"/>
      <c r="W8" s="420"/>
      <c r="X8" s="420"/>
      <c r="Y8" s="420"/>
      <c r="Z8" s="420"/>
      <c r="AA8" s="420"/>
      <c r="AB8" s="420"/>
      <c r="AC8" s="420"/>
      <c r="AD8" s="420"/>
      <c r="AE8" s="420"/>
      <c r="AF8" s="420"/>
      <c r="AG8" s="420"/>
      <c r="AH8" s="420"/>
      <c r="AI8" s="420"/>
      <c r="AJ8" s="420"/>
      <c r="AK8" s="420"/>
      <c r="AL8" s="420"/>
      <c r="AM8" s="420"/>
      <c r="AN8" s="420"/>
      <c r="AO8" s="420"/>
      <c r="AP8" s="420"/>
      <c r="AQ8" s="420"/>
      <c r="AR8" s="420"/>
      <c r="AS8" s="420"/>
      <c r="AT8" s="420"/>
      <c r="AU8" s="420"/>
      <c r="AV8" s="420"/>
      <c r="AW8" s="420"/>
      <c r="AX8" s="420"/>
      <c r="AY8" s="420"/>
      <c r="AZ8" s="422"/>
      <c r="BA8" s="422"/>
      <c r="BB8" s="405"/>
      <c r="BC8" s="406"/>
      <c r="BD8" s="391"/>
      <c r="BE8" s="421" t="s">
        <v>326</v>
      </c>
      <c r="BF8" s="421"/>
      <c r="BG8" s="543"/>
      <c r="BH8" s="543"/>
      <c r="BI8" s="543"/>
      <c r="BJ8" s="543"/>
      <c r="BK8" s="543"/>
      <c r="BL8" s="391"/>
      <c r="BM8" s="391"/>
      <c r="BN8" s="444"/>
      <c r="BO8" s="444"/>
      <c r="BP8" s="444"/>
      <c r="BQ8" s="444"/>
      <c r="BR8" s="444"/>
      <c r="BS8" s="444"/>
      <c r="BT8" s="444"/>
    </row>
    <row r="9" spans="1:72" s="443" customFormat="1" ht="12.5" customHeight="1">
      <c r="A9" s="393"/>
      <c r="B9" s="418"/>
      <c r="C9" s="423"/>
      <c r="D9" s="419"/>
      <c r="E9" s="419"/>
      <c r="F9" s="419"/>
      <c r="G9" s="421"/>
      <c r="H9" s="431"/>
      <c r="I9" s="431"/>
      <c r="J9" s="431"/>
      <c r="K9" s="431"/>
      <c r="L9" s="431"/>
      <c r="M9" s="431"/>
      <c r="N9" s="431"/>
      <c r="O9" s="431"/>
      <c r="P9" s="431"/>
      <c r="Q9" s="431"/>
      <c r="R9" s="431"/>
      <c r="S9" s="431"/>
      <c r="T9" s="431"/>
      <c r="U9" s="431"/>
      <c r="V9" s="431"/>
      <c r="W9" s="431"/>
      <c r="X9" s="431"/>
      <c r="Y9" s="431"/>
      <c r="Z9" s="431"/>
      <c r="AA9" s="431"/>
      <c r="AB9" s="431"/>
      <c r="AC9" s="431"/>
      <c r="AD9" s="431"/>
      <c r="AE9" s="431"/>
      <c r="AF9" s="431"/>
      <c r="AG9" s="431"/>
      <c r="AH9" s="431"/>
      <c r="AI9" s="431"/>
      <c r="AJ9" s="431"/>
      <c r="AK9" s="431"/>
      <c r="AL9" s="431"/>
      <c r="AM9" s="431"/>
      <c r="AN9" s="431"/>
      <c r="AO9" s="431"/>
      <c r="AP9" s="431"/>
      <c r="AQ9" s="431"/>
      <c r="AR9" s="431"/>
      <c r="AS9" s="431"/>
      <c r="AT9" s="425"/>
      <c r="AU9" s="421"/>
      <c r="AV9" s="421"/>
      <c r="AW9" s="421"/>
      <c r="AX9" s="421"/>
      <c r="AY9" s="417"/>
      <c r="AZ9" s="422"/>
      <c r="BA9" s="422"/>
      <c r="BB9" s="389"/>
      <c r="BC9" s="390"/>
      <c r="BD9" s="391"/>
      <c r="BE9" s="543"/>
      <c r="BF9" s="391" t="s">
        <v>340</v>
      </c>
      <c r="BG9" s="28"/>
      <c r="BH9" s="421"/>
      <c r="BI9" s="543"/>
      <c r="BJ9" s="543"/>
      <c r="BK9" s="543"/>
      <c r="BL9" s="391"/>
      <c r="BM9" s="391"/>
      <c r="BN9" s="444"/>
      <c r="BO9" s="444"/>
      <c r="BP9" s="444"/>
      <c r="BQ9" s="444"/>
      <c r="BR9" s="444"/>
      <c r="BS9" s="444"/>
      <c r="BT9" s="444"/>
    </row>
    <row r="10" spans="1:72" s="443" customFormat="1" ht="12.5" customHeight="1">
      <c r="A10" s="393"/>
      <c r="B10" s="426"/>
      <c r="C10" s="420"/>
      <c r="D10" s="420"/>
      <c r="E10" s="420"/>
      <c r="F10" s="420"/>
      <c r="G10" s="420"/>
      <c r="H10" s="420"/>
      <c r="I10" s="420"/>
      <c r="J10" s="420"/>
      <c r="K10" s="420"/>
      <c r="L10" s="420"/>
      <c r="M10" s="420"/>
      <c r="N10" s="420"/>
      <c r="O10" s="420"/>
      <c r="P10" s="420"/>
      <c r="Q10" s="420"/>
      <c r="R10" s="420"/>
      <c r="S10" s="420"/>
      <c r="T10" s="420"/>
      <c r="U10" s="420"/>
      <c r="V10" s="420"/>
      <c r="W10" s="420"/>
      <c r="X10" s="420"/>
      <c r="Y10" s="420"/>
      <c r="Z10" s="420"/>
      <c r="AA10" s="420"/>
      <c r="AB10" s="420"/>
      <c r="AC10" s="420"/>
      <c r="AD10" s="420"/>
      <c r="AE10" s="420"/>
      <c r="AF10" s="420"/>
      <c r="AG10" s="420"/>
      <c r="AH10" s="420"/>
      <c r="AI10" s="420"/>
      <c r="AJ10" s="420"/>
      <c r="AK10" s="420"/>
      <c r="AL10" s="420"/>
      <c r="AM10" s="420"/>
      <c r="AN10" s="420"/>
      <c r="AO10" s="420"/>
      <c r="AP10" s="420"/>
      <c r="AQ10" s="420"/>
      <c r="AR10" s="420"/>
      <c r="AS10" s="420"/>
      <c r="AT10" s="420"/>
      <c r="AU10" s="420"/>
      <c r="AV10" s="420"/>
      <c r="AW10" s="420"/>
      <c r="AX10" s="420"/>
      <c r="AY10" s="420"/>
      <c r="AZ10" s="422"/>
      <c r="BA10" s="422"/>
      <c r="BB10" s="519"/>
      <c r="BC10" s="520"/>
      <c r="BD10" s="391"/>
      <c r="BE10" s="391"/>
      <c r="BF10" s="28"/>
      <c r="BG10" s="28"/>
      <c r="BH10" s="391"/>
      <c r="BI10" s="391"/>
      <c r="BJ10" s="391"/>
      <c r="BK10" s="391"/>
      <c r="BL10" s="391"/>
      <c r="BM10" s="391"/>
      <c r="BN10" s="444"/>
      <c r="BO10" s="444"/>
      <c r="BP10" s="444"/>
      <c r="BQ10" s="444"/>
      <c r="BR10" s="444"/>
      <c r="BS10" s="444"/>
      <c r="BT10" s="444"/>
    </row>
    <row r="11" spans="1:72" s="443" customFormat="1" ht="12.5" customHeight="1">
      <c r="A11" s="393"/>
      <c r="B11" s="418"/>
      <c r="C11" s="420"/>
      <c r="D11" s="420"/>
      <c r="E11" s="420"/>
      <c r="F11" s="420"/>
      <c r="G11" s="420"/>
      <c r="H11" s="420"/>
      <c r="I11" s="420"/>
      <c r="J11" s="420"/>
      <c r="K11" s="420"/>
      <c r="L11" s="420"/>
      <c r="M11" s="420"/>
      <c r="N11" s="420"/>
      <c r="O11" s="420"/>
      <c r="P11" s="420"/>
      <c r="Q11" s="420"/>
      <c r="R11" s="420"/>
      <c r="S11" s="420"/>
      <c r="T11" s="420"/>
      <c r="U11" s="420"/>
      <c r="V11" s="420"/>
      <c r="W11" s="420"/>
      <c r="X11" s="420"/>
      <c r="Y11" s="420"/>
      <c r="Z11" s="420"/>
      <c r="AA11" s="420"/>
      <c r="AB11" s="420"/>
      <c r="AC11" s="420"/>
      <c r="AD11" s="420"/>
      <c r="AE11" s="420"/>
      <c r="AF11" s="420"/>
      <c r="AG11" s="420"/>
      <c r="AH11" s="420"/>
      <c r="AI11" s="420"/>
      <c r="AJ11" s="420"/>
      <c r="AK11" s="420"/>
      <c r="AL11" s="420"/>
      <c r="AM11" s="420"/>
      <c r="AN11" s="420"/>
      <c r="AO11" s="420"/>
      <c r="AP11" s="420"/>
      <c r="AQ11" s="420"/>
      <c r="AR11" s="420"/>
      <c r="AS11" s="420"/>
      <c r="AT11" s="420"/>
      <c r="AU11" s="420"/>
      <c r="AV11" s="420"/>
      <c r="AW11" s="420"/>
      <c r="AX11" s="420"/>
      <c r="AY11" s="420"/>
      <c r="AZ11" s="422"/>
      <c r="BA11" s="422"/>
      <c r="BB11" s="405"/>
      <c r="BC11" s="406"/>
      <c r="BD11" s="391"/>
      <c r="BE11" s="543"/>
      <c r="BF11" s="421" t="s">
        <v>327</v>
      </c>
      <c r="BG11" s="421"/>
      <c r="BH11" s="421"/>
      <c r="BI11" s="543"/>
      <c r="BJ11" s="543"/>
      <c r="BK11" s="543"/>
      <c r="BL11" s="391"/>
      <c r="BM11" s="391"/>
      <c r="BN11" s="444"/>
      <c r="BO11" s="444"/>
      <c r="BP11" s="444"/>
      <c r="BQ11" s="444"/>
      <c r="BR11" s="444"/>
      <c r="BS11" s="444"/>
      <c r="BT11" s="444"/>
    </row>
    <row r="12" spans="1:72" s="443" customFormat="1" ht="12.5" customHeight="1">
      <c r="A12" s="393"/>
      <c r="B12" s="418"/>
      <c r="C12" s="423"/>
      <c r="D12" s="419"/>
      <c r="E12" s="419"/>
      <c r="F12" s="419"/>
      <c r="G12" s="421"/>
      <c r="H12" s="431"/>
      <c r="I12" s="431"/>
      <c r="J12" s="431"/>
      <c r="K12" s="431"/>
      <c r="L12" s="431"/>
      <c r="M12" s="431"/>
      <c r="N12" s="431"/>
      <c r="O12" s="431"/>
      <c r="P12" s="431"/>
      <c r="Q12" s="431"/>
      <c r="R12" s="431"/>
      <c r="S12" s="431"/>
      <c r="T12" s="431"/>
      <c r="U12" s="431"/>
      <c r="V12" s="431"/>
      <c r="W12" s="431"/>
      <c r="X12" s="431"/>
      <c r="Y12" s="431"/>
      <c r="Z12" s="431"/>
      <c r="AA12" s="431"/>
      <c r="AB12" s="431"/>
      <c r="AC12" s="431"/>
      <c r="AD12" s="431"/>
      <c r="AE12" s="431"/>
      <c r="AF12" s="431"/>
      <c r="AG12" s="431"/>
      <c r="AH12" s="431"/>
      <c r="AI12" s="431"/>
      <c r="AJ12" s="431"/>
      <c r="AK12" s="431"/>
      <c r="AL12" s="431"/>
      <c r="AM12" s="431"/>
      <c r="AN12" s="431"/>
      <c r="AO12" s="431"/>
      <c r="AP12" s="431"/>
      <c r="AQ12" s="431"/>
      <c r="AR12" s="431"/>
      <c r="AS12" s="431"/>
      <c r="AT12" s="425"/>
      <c r="AU12" s="421"/>
      <c r="AV12" s="421"/>
      <c r="AW12" s="421"/>
      <c r="AX12" s="421"/>
      <c r="AY12" s="417"/>
      <c r="AZ12" s="422"/>
      <c r="BA12" s="422"/>
      <c r="BB12" s="389"/>
      <c r="BC12" s="390"/>
      <c r="BD12" s="391"/>
      <c r="BE12" s="421"/>
      <c r="BG12" s="391" t="s">
        <v>341</v>
      </c>
      <c r="BI12" s="543"/>
      <c r="BJ12" s="543"/>
      <c r="BK12" s="543"/>
      <c r="BL12" s="391"/>
      <c r="BM12" s="391"/>
      <c r="BN12" s="444"/>
      <c r="BO12" s="444"/>
      <c r="BP12" s="444"/>
      <c r="BQ12" s="444"/>
      <c r="BR12" s="444"/>
      <c r="BS12" s="444"/>
      <c r="BT12" s="444"/>
    </row>
    <row r="13" spans="1:72" s="443" customFormat="1" ht="17.5" customHeight="1">
      <c r="A13" s="393"/>
      <c r="B13" s="526"/>
      <c r="C13" s="527"/>
      <c r="D13" s="527"/>
      <c r="E13" s="529" t="s">
        <v>310</v>
      </c>
      <c r="F13" s="527"/>
      <c r="G13" s="527"/>
      <c r="H13" s="527"/>
      <c r="I13" s="527"/>
      <c r="J13" s="527"/>
      <c r="K13" s="527"/>
      <c r="L13" s="527"/>
      <c r="M13" s="527"/>
      <c r="N13" s="527"/>
      <c r="O13" s="529"/>
      <c r="P13" s="529" t="s">
        <v>312</v>
      </c>
      <c r="Q13" s="527"/>
      <c r="R13" s="527"/>
      <c r="S13" s="527"/>
      <c r="T13" s="527"/>
      <c r="U13" s="527"/>
      <c r="V13" s="527"/>
      <c r="W13" s="527"/>
      <c r="X13" s="529"/>
      <c r="Y13" s="529" t="s">
        <v>314</v>
      </c>
      <c r="Z13" s="527"/>
      <c r="AA13" s="527"/>
      <c r="AB13" s="527"/>
      <c r="AC13" s="527"/>
      <c r="AD13" s="527"/>
      <c r="AE13" s="527"/>
      <c r="AF13" s="527"/>
      <c r="AG13" s="527"/>
      <c r="AH13" s="529" t="s">
        <v>316</v>
      </c>
      <c r="AI13" s="527"/>
      <c r="AJ13" s="527"/>
      <c r="AK13" s="527"/>
      <c r="AL13" s="527"/>
      <c r="AM13" s="527"/>
      <c r="AN13" s="527"/>
      <c r="AO13" s="527"/>
      <c r="AP13" s="527"/>
      <c r="AQ13" s="527"/>
      <c r="AR13" s="529" t="s">
        <v>318</v>
      </c>
      <c r="AS13" s="527"/>
      <c r="AT13" s="527"/>
      <c r="AU13" s="527"/>
      <c r="AV13" s="527"/>
      <c r="AW13" s="527"/>
      <c r="AX13" s="527"/>
      <c r="AY13" s="527"/>
      <c r="AZ13" s="528"/>
      <c r="BA13" s="422"/>
      <c r="BB13" s="519"/>
      <c r="BC13" s="520"/>
      <c r="BD13" s="391"/>
      <c r="BE13" s="391"/>
      <c r="BG13" s="391"/>
      <c r="BI13" s="391"/>
      <c r="BJ13" s="391"/>
      <c r="BK13" s="391"/>
      <c r="BL13" s="391"/>
      <c r="BM13" s="391"/>
      <c r="BN13" s="444"/>
      <c r="BO13" s="444"/>
      <c r="BP13" s="444"/>
      <c r="BQ13" s="444"/>
      <c r="BR13" s="444"/>
      <c r="BS13" s="444"/>
      <c r="BT13" s="444"/>
    </row>
    <row r="14" spans="1:72" s="443" customFormat="1" ht="17.5" customHeight="1">
      <c r="A14" s="393"/>
      <c r="B14" s="526"/>
      <c r="C14" s="527"/>
      <c r="D14" s="527"/>
      <c r="E14" s="529" t="s">
        <v>311</v>
      </c>
      <c r="F14" s="527"/>
      <c r="G14" s="527"/>
      <c r="H14" s="527"/>
      <c r="I14" s="527"/>
      <c r="J14" s="527"/>
      <c r="K14" s="527"/>
      <c r="L14" s="527"/>
      <c r="M14" s="527"/>
      <c r="N14" s="527"/>
      <c r="O14" s="529"/>
      <c r="P14" s="529" t="s">
        <v>313</v>
      </c>
      <c r="Q14" s="527"/>
      <c r="R14" s="527"/>
      <c r="S14" s="527"/>
      <c r="T14" s="527"/>
      <c r="U14" s="527"/>
      <c r="V14" s="527"/>
      <c r="W14" s="527"/>
      <c r="X14" s="529"/>
      <c r="Y14" s="529" t="s">
        <v>315</v>
      </c>
      <c r="Z14" s="527"/>
      <c r="AA14" s="527"/>
      <c r="AB14" s="527"/>
      <c r="AC14" s="527"/>
      <c r="AD14" s="527"/>
      <c r="AE14" s="527"/>
      <c r="AF14" s="527"/>
      <c r="AG14" s="527"/>
      <c r="AH14" s="529" t="s">
        <v>317</v>
      </c>
      <c r="AI14" s="527"/>
      <c r="AJ14" s="527"/>
      <c r="AK14" s="527"/>
      <c r="AL14" s="527"/>
      <c r="AM14" s="527"/>
      <c r="AN14" s="527"/>
      <c r="AO14" s="527"/>
      <c r="AP14" s="527"/>
      <c r="AQ14" s="527"/>
      <c r="AR14" s="529" t="s">
        <v>319</v>
      </c>
      <c r="AS14" s="527"/>
      <c r="AT14" s="527"/>
      <c r="AU14" s="527"/>
      <c r="AV14" s="527"/>
      <c r="AW14" s="527"/>
      <c r="AX14" s="527"/>
      <c r="AY14" s="527"/>
      <c r="AZ14" s="422"/>
      <c r="BA14" s="422"/>
      <c r="BB14" s="405"/>
      <c r="BC14" s="406"/>
      <c r="BD14" s="391"/>
      <c r="BE14" s="421"/>
      <c r="BF14" s="421" t="s">
        <v>328</v>
      </c>
      <c r="BG14" s="391"/>
      <c r="BH14" s="544"/>
      <c r="BI14" s="391"/>
      <c r="BJ14" s="391"/>
      <c r="BK14" s="391"/>
      <c r="BL14" s="391"/>
      <c r="BM14" s="391"/>
      <c r="BN14" s="444"/>
      <c r="BO14" s="444"/>
      <c r="BP14" s="444"/>
      <c r="BQ14" s="444"/>
      <c r="BR14" s="444"/>
      <c r="BS14" s="444"/>
      <c r="BT14" s="444"/>
    </row>
    <row r="15" spans="1:72" s="443" customFormat="1" ht="17.5" customHeight="1">
      <c r="A15" s="393"/>
      <c r="B15" s="418"/>
      <c r="C15" s="530"/>
      <c r="D15" s="530"/>
      <c r="E15" s="531" t="s">
        <v>311</v>
      </c>
      <c r="F15" s="532"/>
      <c r="G15" s="532"/>
      <c r="H15" s="532"/>
      <c r="I15" s="532"/>
      <c r="J15" s="532"/>
      <c r="K15" s="532"/>
      <c r="L15" s="532"/>
      <c r="M15" s="532"/>
      <c r="N15" s="532"/>
      <c r="O15" s="532"/>
      <c r="P15" s="532" t="s">
        <v>320</v>
      </c>
      <c r="Q15" s="532"/>
      <c r="R15" s="532"/>
      <c r="S15" s="532"/>
      <c r="T15" s="532"/>
      <c r="U15" s="532"/>
      <c r="V15" s="532"/>
      <c r="W15" s="532"/>
      <c r="X15" s="532"/>
      <c r="Y15" s="532" t="s">
        <v>321</v>
      </c>
      <c r="Z15" s="532"/>
      <c r="AA15" s="532"/>
      <c r="AB15" s="532"/>
      <c r="AC15" s="532"/>
      <c r="AD15" s="532"/>
      <c r="AE15" s="532"/>
      <c r="AF15" s="532"/>
      <c r="AG15" s="532"/>
      <c r="AH15" s="532" t="s">
        <v>322</v>
      </c>
      <c r="AI15" s="532"/>
      <c r="AJ15" s="532"/>
      <c r="AK15" s="532"/>
      <c r="AL15" s="532"/>
      <c r="AM15" s="532"/>
      <c r="AN15" s="532"/>
      <c r="AO15" s="532"/>
      <c r="AP15" s="532"/>
      <c r="AQ15" s="532"/>
      <c r="AR15" s="532" t="s">
        <v>319</v>
      </c>
      <c r="AS15" s="431"/>
      <c r="AT15" s="534"/>
      <c r="AU15" s="533"/>
      <c r="AV15" s="421"/>
      <c r="AW15" s="421"/>
      <c r="AX15" s="421"/>
      <c r="AY15" s="417"/>
      <c r="AZ15" s="422"/>
      <c r="BA15" s="422"/>
      <c r="BB15" s="389"/>
      <c r="BC15" s="390"/>
      <c r="BD15" s="391"/>
      <c r="BE15" s="391"/>
      <c r="BG15" s="391" t="s">
        <v>342</v>
      </c>
      <c r="BI15" s="391"/>
      <c r="BJ15" s="391"/>
      <c r="BK15" s="391"/>
      <c r="BL15" s="391"/>
      <c r="BM15" s="391"/>
      <c r="BN15" s="444"/>
      <c r="BO15" s="444"/>
      <c r="BP15" s="444"/>
      <c r="BQ15" s="444"/>
      <c r="BR15" s="444"/>
      <c r="BS15" s="444"/>
      <c r="BT15" s="444"/>
    </row>
    <row r="16" spans="1:72" s="443" customFormat="1" ht="17.5" customHeight="1">
      <c r="A16" s="393"/>
      <c r="B16" s="426"/>
      <c r="C16" s="420"/>
      <c r="D16" s="420"/>
      <c r="E16" s="532"/>
      <c r="F16" s="532"/>
      <c r="G16" s="532"/>
      <c r="H16" s="532"/>
      <c r="I16" s="532"/>
      <c r="J16" s="532"/>
      <c r="K16" s="532"/>
      <c r="L16" s="532"/>
      <c r="M16" s="532"/>
      <c r="N16" s="532"/>
      <c r="O16" s="532"/>
      <c r="P16" s="532"/>
      <c r="Q16" s="532"/>
      <c r="R16" s="532"/>
      <c r="S16" s="532"/>
      <c r="T16" s="532"/>
      <c r="U16" s="532"/>
      <c r="V16" s="532"/>
      <c r="W16" s="532"/>
      <c r="X16" s="532"/>
      <c r="Y16" s="532"/>
      <c r="Z16" s="532"/>
      <c r="AA16" s="532"/>
      <c r="AB16" s="532"/>
      <c r="AC16" s="532"/>
      <c r="AD16" s="532"/>
      <c r="AE16" s="532"/>
      <c r="AF16" s="532"/>
      <c r="AG16" s="532"/>
      <c r="AH16" s="532"/>
      <c r="AI16" s="532"/>
      <c r="AJ16" s="532"/>
      <c r="AK16" s="532"/>
      <c r="AL16" s="532"/>
      <c r="AM16" s="532"/>
      <c r="AN16" s="532"/>
      <c r="AO16" s="532"/>
      <c r="AP16" s="532"/>
      <c r="AQ16" s="532"/>
      <c r="AR16" s="532"/>
      <c r="AS16" s="532"/>
      <c r="AT16" s="532"/>
      <c r="AU16" s="532"/>
      <c r="AV16" s="420"/>
      <c r="AW16" s="420"/>
      <c r="AX16" s="420"/>
      <c r="AY16" s="420"/>
      <c r="AZ16" s="422"/>
      <c r="BA16" s="422"/>
      <c r="BB16" s="519"/>
      <c r="BC16" s="520"/>
      <c r="BD16" s="391"/>
      <c r="BE16" s="391"/>
      <c r="BG16" s="391"/>
      <c r="BI16" s="391"/>
      <c r="BJ16" s="391"/>
      <c r="BK16" s="391"/>
      <c r="BL16" s="391"/>
      <c r="BM16" s="391"/>
      <c r="BN16" s="444"/>
      <c r="BO16" s="444"/>
      <c r="BP16" s="444"/>
      <c r="BQ16" s="444"/>
      <c r="BR16" s="444"/>
      <c r="BS16" s="444"/>
      <c r="BT16" s="444"/>
    </row>
    <row r="17" spans="1:72" s="443" customFormat="1" ht="12.5" customHeight="1">
      <c r="A17" s="393"/>
      <c r="B17" s="418"/>
      <c r="C17" s="420"/>
      <c r="D17" s="420"/>
      <c r="E17" s="532"/>
      <c r="F17" s="532"/>
      <c r="G17" s="532"/>
      <c r="H17" s="532"/>
      <c r="I17" s="532"/>
      <c r="J17" s="532"/>
      <c r="K17" s="532"/>
      <c r="L17" s="532"/>
      <c r="M17" s="532"/>
      <c r="N17" s="532"/>
      <c r="O17" s="532"/>
      <c r="P17" s="532"/>
      <c r="Q17" s="532"/>
      <c r="R17" s="532"/>
      <c r="S17" s="532"/>
      <c r="T17" s="532"/>
      <c r="U17" s="532"/>
      <c r="V17" s="532"/>
      <c r="W17" s="532"/>
      <c r="X17" s="532"/>
      <c r="Y17" s="532"/>
      <c r="Z17" s="532"/>
      <c r="AA17" s="532"/>
      <c r="AB17" s="532"/>
      <c r="AC17" s="532"/>
      <c r="AD17" s="532"/>
      <c r="AE17" s="532"/>
      <c r="AF17" s="532"/>
      <c r="AG17" s="532"/>
      <c r="AH17" s="532"/>
      <c r="AI17" s="532"/>
      <c r="AJ17" s="532"/>
      <c r="AK17" s="532"/>
      <c r="AL17" s="532"/>
      <c r="AM17" s="532"/>
      <c r="AN17" s="532"/>
      <c r="AO17" s="532"/>
      <c r="AP17" s="532"/>
      <c r="AQ17" s="532"/>
      <c r="AR17" s="532"/>
      <c r="AS17" s="532"/>
      <c r="AT17" s="532"/>
      <c r="AU17" s="532"/>
      <c r="AV17" s="420"/>
      <c r="AW17" s="420"/>
      <c r="AX17" s="420"/>
      <c r="AY17" s="420"/>
      <c r="AZ17" s="422"/>
      <c r="BA17" s="422"/>
      <c r="BB17" s="405"/>
      <c r="BC17" s="406"/>
      <c r="BD17" s="391"/>
      <c r="BE17" s="545"/>
      <c r="BF17" s="421" t="s">
        <v>329</v>
      </c>
      <c r="BG17" s="391"/>
      <c r="BH17" s="391"/>
      <c r="BI17" s="391"/>
      <c r="BJ17" s="391"/>
      <c r="BK17" s="391"/>
      <c r="BL17" s="391"/>
      <c r="BM17" s="391"/>
      <c r="BN17" s="444"/>
      <c r="BO17" s="444"/>
      <c r="BP17" s="444"/>
      <c r="BQ17" s="444"/>
      <c r="BR17" s="444"/>
      <c r="BS17" s="444"/>
      <c r="BT17" s="444"/>
    </row>
    <row r="18" spans="1:72" s="443" customFormat="1" ht="16" customHeight="1">
      <c r="A18" s="393"/>
      <c r="B18" s="535"/>
      <c r="C18" s="527"/>
      <c r="D18" s="527"/>
      <c r="E18" s="529"/>
      <c r="F18" s="527"/>
      <c r="G18" s="527"/>
      <c r="H18" s="527"/>
      <c r="I18" s="527"/>
      <c r="J18" s="527"/>
      <c r="K18" s="527"/>
      <c r="L18" s="527"/>
      <c r="M18" s="527"/>
      <c r="N18" s="527"/>
      <c r="O18" s="529"/>
      <c r="P18" s="529"/>
      <c r="Q18" s="527"/>
      <c r="R18" s="527"/>
      <c r="S18" s="527"/>
      <c r="T18" s="527"/>
      <c r="U18" s="527"/>
      <c r="V18" s="527"/>
      <c r="W18" s="527"/>
      <c r="X18" s="529"/>
      <c r="Y18" s="529"/>
      <c r="Z18" s="527"/>
      <c r="AA18" s="527"/>
      <c r="AB18" s="527"/>
      <c r="AC18" s="527"/>
      <c r="AD18" s="527"/>
      <c r="AE18" s="527"/>
      <c r="AF18" s="527"/>
      <c r="AG18" s="527"/>
      <c r="AH18" s="529"/>
      <c r="AI18" s="527"/>
      <c r="AJ18" s="527"/>
      <c r="AK18" s="527"/>
      <c r="AL18" s="527"/>
      <c r="AM18" s="537"/>
      <c r="AN18" s="539" t="s">
        <v>323</v>
      </c>
      <c r="AO18" s="540">
        <v>1</v>
      </c>
      <c r="AP18" s="541" t="s">
        <v>324</v>
      </c>
      <c r="AQ18" s="619">
        <v>3034</v>
      </c>
      <c r="AR18" s="619"/>
      <c r="AS18" s="542" t="s">
        <v>325</v>
      </c>
      <c r="AT18" s="529"/>
      <c r="AU18" s="538"/>
      <c r="AV18" s="529"/>
      <c r="AW18" s="529"/>
      <c r="AX18" s="529"/>
      <c r="AY18" s="529"/>
      <c r="AZ18" s="536"/>
      <c r="BA18" s="422"/>
      <c r="BB18" s="389"/>
      <c r="BC18" s="390"/>
      <c r="BD18" s="391"/>
      <c r="BE18" s="391"/>
      <c r="BG18" s="391" t="s">
        <v>343</v>
      </c>
      <c r="BI18" s="391"/>
      <c r="BJ18" s="391"/>
      <c r="BK18" s="391"/>
      <c r="BL18" s="391"/>
      <c r="BM18" s="391"/>
      <c r="BN18" s="444"/>
      <c r="BO18" s="444"/>
      <c r="BP18" s="444"/>
      <c r="BQ18" s="444"/>
      <c r="BR18" s="444"/>
      <c r="BS18" s="444"/>
      <c r="BT18" s="444"/>
    </row>
    <row r="19" spans="1:72" s="443" customFormat="1" ht="12.5" customHeight="1">
      <c r="A19" s="393"/>
      <c r="B19" s="426"/>
      <c r="C19" s="420"/>
      <c r="D19" s="420"/>
      <c r="E19" s="420"/>
      <c r="F19" s="420"/>
      <c r="G19" s="420"/>
      <c r="H19" s="420"/>
      <c r="I19" s="420"/>
      <c r="J19" s="420"/>
      <c r="K19" s="420"/>
      <c r="L19" s="420"/>
      <c r="M19" s="420"/>
      <c r="N19" s="420"/>
      <c r="O19" s="420"/>
      <c r="P19" s="420"/>
      <c r="Q19" s="420"/>
      <c r="R19" s="420"/>
      <c r="S19" s="420"/>
      <c r="T19" s="420"/>
      <c r="U19" s="420"/>
      <c r="V19" s="420"/>
      <c r="W19" s="420"/>
      <c r="X19" s="420"/>
      <c r="Y19" s="420"/>
      <c r="Z19" s="420"/>
      <c r="AA19" s="420"/>
      <c r="AB19" s="420"/>
      <c r="AC19" s="420"/>
      <c r="AD19" s="420"/>
      <c r="AE19" s="420"/>
      <c r="AF19" s="420"/>
      <c r="AG19" s="420"/>
      <c r="AH19" s="420"/>
      <c r="AI19" s="420"/>
      <c r="AJ19" s="420"/>
      <c r="AK19" s="420"/>
      <c r="AL19" s="420"/>
      <c r="AM19" s="420"/>
      <c r="AN19" s="420"/>
      <c r="AO19" s="420"/>
      <c r="AP19" s="420"/>
      <c r="AQ19" s="420"/>
      <c r="AR19" s="420"/>
      <c r="AS19" s="420"/>
      <c r="AT19" s="420"/>
      <c r="AU19" s="420"/>
      <c r="AV19" s="420"/>
      <c r="AW19" s="420"/>
      <c r="AX19" s="420"/>
      <c r="AY19" s="420"/>
      <c r="AZ19" s="422"/>
      <c r="BA19" s="422"/>
      <c r="BB19" s="389"/>
      <c r="BC19" s="390"/>
      <c r="BD19" s="391"/>
      <c r="BE19" s="391"/>
      <c r="BI19" s="391"/>
      <c r="BJ19" s="391"/>
      <c r="BK19" s="391"/>
      <c r="BL19" s="391"/>
      <c r="BM19" s="391"/>
      <c r="BN19" s="444"/>
      <c r="BO19" s="444"/>
      <c r="BP19" s="444"/>
      <c r="BQ19" s="444"/>
      <c r="BR19" s="444"/>
      <c r="BS19" s="444"/>
      <c r="BT19" s="444"/>
    </row>
    <row r="20" spans="1:72" s="443" customFormat="1" ht="12.5" customHeight="1">
      <c r="A20" s="393"/>
      <c r="B20" s="522"/>
      <c r="C20" s="523"/>
      <c r="D20" s="524"/>
      <c r="E20" s="524"/>
      <c r="F20" s="524"/>
      <c r="G20" s="524"/>
      <c r="H20" s="524"/>
      <c r="I20" s="524"/>
      <c r="J20" s="524"/>
      <c r="K20" s="524"/>
      <c r="L20" s="524"/>
      <c r="M20" s="524"/>
      <c r="N20" s="524"/>
      <c r="O20" s="524"/>
      <c r="P20" s="524"/>
      <c r="Q20" s="524"/>
      <c r="R20" s="524"/>
      <c r="S20" s="524"/>
      <c r="T20" s="524"/>
      <c r="U20" s="524"/>
      <c r="V20" s="524"/>
      <c r="W20" s="524"/>
      <c r="X20" s="524"/>
      <c r="Y20" s="524"/>
      <c r="Z20" s="524"/>
      <c r="AA20" s="524"/>
      <c r="AB20" s="524"/>
      <c r="AC20" s="524"/>
      <c r="AD20" s="524"/>
      <c r="AE20" s="524"/>
      <c r="AF20" s="524"/>
      <c r="AG20" s="524"/>
      <c r="AH20" s="524"/>
      <c r="AI20" s="524"/>
      <c r="AJ20" s="524"/>
      <c r="AK20" s="524"/>
      <c r="AL20" s="524"/>
      <c r="AM20" s="524"/>
      <c r="AN20" s="524"/>
      <c r="AO20" s="524"/>
      <c r="AP20" s="524"/>
      <c r="AQ20" s="524"/>
      <c r="AR20" s="524"/>
      <c r="AS20" s="524"/>
      <c r="AT20" s="524"/>
      <c r="AU20" s="524"/>
      <c r="AV20" s="524"/>
      <c r="AW20" s="524"/>
      <c r="AX20" s="524"/>
      <c r="AY20" s="524"/>
      <c r="AZ20" s="525"/>
      <c r="BA20" s="422"/>
      <c r="BB20" s="405"/>
      <c r="BC20" s="406"/>
      <c r="BD20" s="391"/>
      <c r="BE20" s="391"/>
      <c r="BF20" s="421" t="s">
        <v>330</v>
      </c>
      <c r="BG20" s="391"/>
      <c r="BH20" s="391"/>
      <c r="BI20" s="391"/>
      <c r="BJ20" s="391"/>
      <c r="BK20" s="391"/>
      <c r="BL20" s="391"/>
      <c r="BM20" s="391"/>
      <c r="BN20" s="444"/>
      <c r="BO20" s="444"/>
      <c r="BP20" s="444"/>
      <c r="BQ20" s="444"/>
      <c r="BR20" s="444"/>
      <c r="BS20" s="444"/>
      <c r="BT20" s="444"/>
    </row>
    <row r="21" spans="1:72" s="443" customFormat="1" ht="12.5" customHeight="1">
      <c r="A21" s="393"/>
      <c r="B21" s="418"/>
      <c r="C21" s="423"/>
      <c r="D21" s="419"/>
      <c r="E21" s="419"/>
      <c r="F21" s="419"/>
      <c r="G21" s="421"/>
      <c r="H21" s="431"/>
      <c r="I21" s="431"/>
      <c r="J21" s="431"/>
      <c r="K21" s="431"/>
      <c r="L21" s="431"/>
      <c r="M21" s="431"/>
      <c r="N21" s="431"/>
      <c r="O21" s="431"/>
      <c r="P21" s="431"/>
      <c r="Q21" s="431"/>
      <c r="R21" s="431"/>
      <c r="S21" s="431"/>
      <c r="T21" s="431"/>
      <c r="U21" s="431"/>
      <c r="V21" s="431"/>
      <c r="W21" s="431"/>
      <c r="X21" s="431"/>
      <c r="Y21" s="431"/>
      <c r="Z21" s="431"/>
      <c r="AA21" s="431"/>
      <c r="AB21" s="431"/>
      <c r="AC21" s="431"/>
      <c r="AD21" s="431"/>
      <c r="AE21" s="431"/>
      <c r="AF21" s="431"/>
      <c r="AG21" s="431"/>
      <c r="AH21" s="431"/>
      <c r="AI21" s="431"/>
      <c r="AJ21" s="431"/>
      <c r="AK21" s="431"/>
      <c r="AL21" s="431"/>
      <c r="AM21" s="431"/>
      <c r="AN21" s="431"/>
      <c r="AO21" s="431"/>
      <c r="AP21" s="431"/>
      <c r="AQ21" s="431"/>
      <c r="AR21" s="431"/>
      <c r="AS21" s="431"/>
      <c r="AT21" s="425"/>
      <c r="AU21" s="421"/>
      <c r="AV21" s="421"/>
      <c r="AW21" s="421"/>
      <c r="AX21" s="421"/>
      <c r="AY21" s="417"/>
      <c r="AZ21" s="422"/>
      <c r="BA21" s="422"/>
      <c r="BB21" s="389"/>
      <c r="BC21" s="390"/>
      <c r="BD21" s="391"/>
      <c r="BE21" s="391"/>
      <c r="BG21" s="391" t="s">
        <v>344</v>
      </c>
      <c r="BI21" s="391"/>
      <c r="BJ21" s="391"/>
      <c r="BK21" s="391"/>
      <c r="BL21" s="391"/>
      <c r="BM21" s="391"/>
      <c r="BN21" s="444"/>
      <c r="BO21" s="444"/>
      <c r="BP21" s="444"/>
      <c r="BQ21" s="444"/>
      <c r="BR21" s="444"/>
      <c r="BS21" s="444"/>
      <c r="BT21" s="444"/>
    </row>
    <row r="22" spans="1:72" s="443" customFormat="1" ht="12.5" customHeight="1">
      <c r="A22" s="393"/>
      <c r="B22" s="426"/>
      <c r="C22" s="420"/>
      <c r="D22" s="420"/>
      <c r="E22" s="420"/>
      <c r="F22" s="420"/>
      <c r="G22" s="420"/>
      <c r="H22" s="420"/>
      <c r="I22" s="420"/>
      <c r="J22" s="420"/>
      <c r="K22" s="420"/>
      <c r="L22" s="420"/>
      <c r="M22" s="420"/>
      <c r="N22" s="420"/>
      <c r="O22" s="420"/>
      <c r="P22" s="420"/>
      <c r="Q22" s="420"/>
      <c r="R22" s="420"/>
      <c r="S22" s="420"/>
      <c r="T22" s="420"/>
      <c r="U22" s="420"/>
      <c r="V22" s="420"/>
      <c r="W22" s="420"/>
      <c r="X22" s="420"/>
      <c r="Y22" s="420"/>
      <c r="Z22" s="420"/>
      <c r="AA22" s="420"/>
      <c r="AB22" s="420"/>
      <c r="AC22" s="420"/>
      <c r="AD22" s="420"/>
      <c r="AE22" s="420"/>
      <c r="AF22" s="420"/>
      <c r="AG22" s="420"/>
      <c r="AH22" s="420"/>
      <c r="AI22" s="420"/>
      <c r="AJ22" s="420"/>
      <c r="AK22" s="420"/>
      <c r="AL22" s="420"/>
      <c r="AM22" s="420"/>
      <c r="AN22" s="420"/>
      <c r="AO22" s="420"/>
      <c r="AP22" s="420"/>
      <c r="AQ22" s="420"/>
      <c r="AR22" s="420"/>
      <c r="AS22" s="420"/>
      <c r="AT22" s="420"/>
      <c r="AU22" s="420"/>
      <c r="AV22" s="420"/>
      <c r="AW22" s="420"/>
      <c r="AX22" s="420"/>
      <c r="AY22" s="420"/>
      <c r="AZ22" s="422"/>
      <c r="BA22" s="422"/>
      <c r="BB22" s="389"/>
      <c r="BC22" s="390"/>
      <c r="BD22" s="391"/>
      <c r="BE22" s="391"/>
      <c r="BG22" s="391"/>
      <c r="BI22" s="391"/>
      <c r="BJ22" s="391"/>
      <c r="BK22" s="391"/>
      <c r="BL22" s="391"/>
      <c r="BM22" s="391"/>
      <c r="BN22" s="444"/>
      <c r="BO22" s="444"/>
      <c r="BP22" s="444"/>
      <c r="BQ22" s="444"/>
      <c r="BR22" s="444"/>
      <c r="BS22" s="444"/>
      <c r="BT22" s="444"/>
    </row>
    <row r="23" spans="1:72" s="443" customFormat="1" ht="12.5" customHeight="1">
      <c r="A23" s="393"/>
      <c r="B23" s="426"/>
      <c r="C23" s="420"/>
      <c r="D23" s="420"/>
      <c r="E23" s="420"/>
      <c r="F23" s="420"/>
      <c r="G23" s="420"/>
      <c r="H23" s="420"/>
      <c r="I23" s="420"/>
      <c r="J23" s="420"/>
      <c r="K23" s="420"/>
      <c r="L23" s="420"/>
      <c r="M23" s="420"/>
      <c r="N23" s="420"/>
      <c r="O23" s="420"/>
      <c r="P23" s="420"/>
      <c r="Q23" s="420"/>
      <c r="R23" s="420"/>
      <c r="S23" s="420"/>
      <c r="T23" s="420"/>
      <c r="U23" s="420"/>
      <c r="V23" s="420"/>
      <c r="W23" s="420"/>
      <c r="X23" s="420"/>
      <c r="Y23" s="420"/>
      <c r="Z23" s="420"/>
      <c r="AA23" s="420"/>
      <c r="AB23" s="420"/>
      <c r="AC23" s="420"/>
      <c r="AD23" s="420"/>
      <c r="AE23" s="420"/>
      <c r="AF23" s="420"/>
      <c r="AG23" s="420"/>
      <c r="AH23" s="420"/>
      <c r="AI23" s="420"/>
      <c r="AJ23" s="420"/>
      <c r="AK23" s="420"/>
      <c r="AL23" s="420"/>
      <c r="AM23" s="420"/>
      <c r="AN23" s="420"/>
      <c r="AO23" s="420"/>
      <c r="AP23" s="420"/>
      <c r="AQ23" s="420"/>
      <c r="AR23" s="420"/>
      <c r="AS23" s="420"/>
      <c r="AT23" s="420"/>
      <c r="AU23" s="420"/>
      <c r="AV23" s="420"/>
      <c r="AW23" s="420"/>
      <c r="AX23" s="420"/>
      <c r="AY23" s="420"/>
      <c r="AZ23" s="422"/>
      <c r="BA23" s="422"/>
      <c r="BB23" s="389"/>
      <c r="BC23" s="390"/>
      <c r="BD23" s="391"/>
      <c r="BE23" s="391"/>
      <c r="BF23" s="421" t="s">
        <v>331</v>
      </c>
      <c r="BG23" s="391"/>
      <c r="BH23" s="391"/>
      <c r="BI23" s="28"/>
      <c r="BJ23" s="391"/>
      <c r="BK23" s="391"/>
      <c r="BL23" s="391"/>
      <c r="BM23" s="391"/>
      <c r="BN23" s="444"/>
      <c r="BO23" s="444"/>
      <c r="BP23" s="444"/>
      <c r="BQ23" s="444"/>
      <c r="BR23" s="444"/>
      <c r="BS23" s="444"/>
      <c r="BT23" s="444"/>
    </row>
    <row r="24" spans="1:72" s="443" customFormat="1" ht="12.5" customHeight="1">
      <c r="A24" s="393"/>
      <c r="B24" s="418"/>
      <c r="C24" s="423"/>
      <c r="D24" s="419"/>
      <c r="E24" s="419"/>
      <c r="F24" s="419"/>
      <c r="G24" s="421"/>
      <c r="H24" s="431"/>
      <c r="I24" s="431"/>
      <c r="J24" s="431"/>
      <c r="K24" s="431"/>
      <c r="L24" s="431"/>
      <c r="M24" s="431"/>
      <c r="N24" s="431"/>
      <c r="O24" s="431"/>
      <c r="P24" s="431"/>
      <c r="Q24" s="431"/>
      <c r="R24" s="431"/>
      <c r="S24" s="431"/>
      <c r="T24" s="431"/>
      <c r="U24" s="431"/>
      <c r="V24" s="431"/>
      <c r="W24" s="431"/>
      <c r="X24" s="431"/>
      <c r="Y24" s="431"/>
      <c r="Z24" s="431"/>
      <c r="AA24" s="431"/>
      <c r="AB24" s="431"/>
      <c r="AC24" s="431"/>
      <c r="AD24" s="431"/>
      <c r="AE24" s="431"/>
      <c r="AF24" s="431"/>
      <c r="AG24" s="431"/>
      <c r="AH24" s="431"/>
      <c r="AI24" s="431"/>
      <c r="AJ24" s="431"/>
      <c r="AK24" s="431"/>
      <c r="AL24" s="431"/>
      <c r="AM24" s="431"/>
      <c r="AN24" s="431"/>
      <c r="AO24" s="431"/>
      <c r="AP24" s="431"/>
      <c r="AQ24" s="431"/>
      <c r="AR24" s="431"/>
      <c r="AS24" s="431"/>
      <c r="AT24" s="425"/>
      <c r="AU24" s="421"/>
      <c r="AV24" s="421"/>
      <c r="AW24" s="421"/>
      <c r="AX24" s="421"/>
      <c r="AY24" s="417"/>
      <c r="AZ24" s="422"/>
      <c r="BA24" s="422"/>
      <c r="BB24" s="389"/>
      <c r="BC24" s="390"/>
      <c r="BD24" s="391"/>
      <c r="BE24" s="391"/>
      <c r="BG24" s="391" t="s">
        <v>345</v>
      </c>
      <c r="BI24" s="28"/>
      <c r="BJ24" s="391"/>
      <c r="BK24" s="391"/>
      <c r="BL24" s="391"/>
      <c r="BM24" s="391"/>
      <c r="BN24" s="444"/>
      <c r="BO24" s="444"/>
      <c r="BP24" s="444"/>
      <c r="BQ24" s="444"/>
      <c r="BR24" s="444"/>
      <c r="BS24" s="444"/>
      <c r="BT24" s="444"/>
    </row>
    <row r="25" spans="1:72" ht="12.5" customHeight="1">
      <c r="A25" s="393"/>
      <c r="B25" s="418"/>
      <c r="C25" s="497" t="s">
        <v>287</v>
      </c>
      <c r="D25" s="420"/>
      <c r="E25" s="420"/>
      <c r="F25" s="420"/>
      <c r="G25" s="420"/>
      <c r="H25" s="420"/>
      <c r="I25" s="420"/>
      <c r="J25" s="420"/>
      <c r="K25" s="420"/>
      <c r="L25" s="420"/>
      <c r="M25" s="420"/>
      <c r="N25" s="420"/>
      <c r="O25" s="420"/>
      <c r="P25" s="420"/>
      <c r="Q25" s="420"/>
      <c r="R25" s="420"/>
      <c r="S25" s="420"/>
      <c r="T25" s="420"/>
      <c r="U25" s="420"/>
      <c r="V25" s="420"/>
      <c r="W25" s="420"/>
      <c r="X25" s="420"/>
      <c r="Y25" s="420"/>
      <c r="Z25" s="420"/>
      <c r="AA25" s="420"/>
      <c r="AB25" s="420"/>
      <c r="AC25" s="420"/>
      <c r="AD25" s="420"/>
      <c r="AE25" s="420"/>
      <c r="AF25" s="420"/>
      <c r="AG25" s="420"/>
      <c r="AH25" s="420"/>
      <c r="AI25" s="420"/>
      <c r="AJ25" s="420"/>
      <c r="AK25" s="420"/>
      <c r="AL25" s="420"/>
      <c r="AM25" s="420"/>
      <c r="AN25" s="420"/>
      <c r="AO25" s="420"/>
      <c r="AP25" s="420"/>
      <c r="AQ25" s="420"/>
      <c r="AR25" s="420"/>
      <c r="AS25" s="431"/>
      <c r="AT25" s="425"/>
      <c r="AU25" s="421"/>
      <c r="AV25" s="417"/>
      <c r="AW25" s="417"/>
      <c r="AX25" s="421"/>
      <c r="AY25" s="417"/>
      <c r="AZ25" s="422"/>
      <c r="BA25" s="422"/>
      <c r="BB25" s="405"/>
      <c r="BC25" s="406"/>
      <c r="BD25" s="391"/>
      <c r="BE25" s="391"/>
      <c r="BG25" s="391"/>
      <c r="BI25" s="391"/>
      <c r="BJ25" s="391"/>
      <c r="BK25" s="391"/>
      <c r="BL25" s="391"/>
      <c r="BM25" s="391"/>
      <c r="BN25" s="444"/>
      <c r="BO25" s="444"/>
      <c r="BP25" s="444"/>
      <c r="BQ25" s="444"/>
      <c r="BR25" s="444"/>
      <c r="BS25" s="444"/>
      <c r="BT25" s="444"/>
    </row>
    <row r="26" spans="1:72" ht="5" customHeight="1" thickBot="1">
      <c r="A26" s="393"/>
      <c r="B26" s="394"/>
      <c r="C26" s="516"/>
      <c r="D26" s="516"/>
      <c r="E26" s="516"/>
      <c r="F26" s="517"/>
      <c r="G26" s="518"/>
      <c r="H26" s="431"/>
      <c r="I26" s="431"/>
      <c r="J26" s="431"/>
      <c r="K26" s="431"/>
      <c r="L26" s="431"/>
      <c r="M26" s="431"/>
      <c r="N26" s="431"/>
      <c r="O26" s="431"/>
      <c r="P26" s="431"/>
      <c r="Q26" s="431"/>
      <c r="R26" s="431"/>
      <c r="S26" s="431"/>
      <c r="T26" s="431"/>
      <c r="U26" s="431"/>
      <c r="V26" s="431"/>
      <c r="W26" s="431"/>
      <c r="X26" s="431"/>
      <c r="Y26" s="431"/>
      <c r="Z26" s="431"/>
      <c r="AA26" s="431"/>
      <c r="AB26" s="431"/>
      <c r="AC26" s="431"/>
      <c r="AD26" s="431"/>
      <c r="AE26" s="431"/>
      <c r="AF26" s="431"/>
      <c r="AG26" s="431"/>
      <c r="AH26" s="431"/>
      <c r="AI26" s="431"/>
      <c r="AJ26" s="431"/>
      <c r="AK26" s="431"/>
      <c r="AL26" s="431"/>
      <c r="AM26" s="431"/>
      <c r="AN26" s="431"/>
      <c r="AO26" s="431"/>
      <c r="AP26" s="431"/>
      <c r="AQ26" s="431"/>
      <c r="AR26" s="431"/>
      <c r="AS26" s="431"/>
      <c r="AT26" s="425"/>
      <c r="AU26" s="421"/>
      <c r="AV26" s="400"/>
      <c r="AW26" s="400"/>
      <c r="AX26" s="400"/>
      <c r="AY26" s="395"/>
      <c r="AZ26" s="396"/>
      <c r="BA26" s="396"/>
      <c r="BB26" s="389"/>
      <c r="BC26" s="390"/>
      <c r="BD26" s="391"/>
      <c r="BE26" s="444"/>
      <c r="BG26" s="391"/>
      <c r="BI26" s="444"/>
      <c r="BJ26" s="444"/>
      <c r="BK26" s="444"/>
      <c r="BL26" s="444"/>
      <c r="BM26" s="444"/>
      <c r="BN26" s="444"/>
      <c r="BO26" s="444"/>
      <c r="BP26" s="444"/>
      <c r="BQ26" s="444"/>
      <c r="BR26" s="444"/>
      <c r="BS26" s="444"/>
      <c r="BT26" s="444"/>
    </row>
    <row r="27" spans="1:72" ht="0.5" customHeight="1" thickTop="1">
      <c r="A27" s="393"/>
      <c r="B27" s="394"/>
      <c r="C27" s="391"/>
      <c r="D27" s="391"/>
      <c r="E27" s="391"/>
      <c r="F27" s="392"/>
      <c r="G27" s="421"/>
      <c r="H27" s="431"/>
      <c r="I27" s="431"/>
      <c r="J27" s="431"/>
      <c r="K27" s="431"/>
      <c r="L27" s="431"/>
      <c r="M27" s="431"/>
      <c r="N27" s="431"/>
      <c r="O27" s="431"/>
      <c r="P27" s="431"/>
      <c r="Q27" s="431"/>
      <c r="R27" s="431"/>
      <c r="S27" s="431"/>
      <c r="T27" s="431"/>
      <c r="U27" s="431"/>
      <c r="V27" s="431"/>
      <c r="W27" s="431"/>
      <c r="X27" s="431"/>
      <c r="Y27" s="431"/>
      <c r="Z27" s="431"/>
      <c r="AA27" s="431"/>
      <c r="AB27" s="431"/>
      <c r="AC27" s="431"/>
      <c r="AD27" s="431"/>
      <c r="AE27" s="431"/>
      <c r="AF27" s="431"/>
      <c r="AG27" s="431"/>
      <c r="AH27" s="431"/>
      <c r="AI27" s="431"/>
      <c r="AJ27" s="431"/>
      <c r="AK27" s="431"/>
      <c r="AL27" s="431"/>
      <c r="AM27" s="431"/>
      <c r="AN27" s="431"/>
      <c r="AO27" s="431"/>
      <c r="AP27" s="431"/>
      <c r="AQ27" s="431"/>
      <c r="AR27" s="431"/>
      <c r="AS27" s="431"/>
      <c r="AT27" s="425"/>
      <c r="AU27" s="421"/>
      <c r="AV27" s="400"/>
      <c r="AW27" s="400"/>
      <c r="AX27" s="400"/>
      <c r="AY27" s="395"/>
      <c r="AZ27" s="396"/>
      <c r="BA27" s="396"/>
      <c r="BB27" s="389"/>
      <c r="BC27" s="390"/>
      <c r="BD27" s="391"/>
      <c r="BE27" s="444"/>
      <c r="BG27" s="391"/>
      <c r="BH27" s="391"/>
      <c r="BI27" s="444"/>
      <c r="BJ27" s="444"/>
      <c r="BK27" s="444"/>
      <c r="BL27" s="444"/>
      <c r="BM27" s="444"/>
      <c r="BN27" s="444"/>
      <c r="BO27" s="444"/>
      <c r="BP27" s="444"/>
      <c r="BQ27" s="444"/>
      <c r="BR27" s="444"/>
      <c r="BS27" s="444"/>
      <c r="BT27" s="444"/>
    </row>
    <row r="28" spans="1:72" ht="15.5" customHeight="1">
      <c r="A28" s="393"/>
      <c r="B28" s="498"/>
      <c r="C28" s="499"/>
      <c r="D28" s="500"/>
      <c r="E28" s="500"/>
      <c r="F28" s="500"/>
      <c r="G28" s="500"/>
      <c r="H28" s="500"/>
      <c r="I28" s="500"/>
      <c r="J28" s="500"/>
      <c r="K28" s="500"/>
      <c r="L28" s="500"/>
      <c r="M28" s="500"/>
      <c r="N28" s="500"/>
      <c r="O28" s="500"/>
      <c r="P28" s="500"/>
      <c r="Q28" s="500"/>
      <c r="R28" s="500"/>
      <c r="S28" s="500"/>
      <c r="T28" s="500"/>
      <c r="U28" s="500"/>
      <c r="V28" s="500"/>
      <c r="W28" s="500"/>
      <c r="X28" s="500"/>
      <c r="Y28" s="500"/>
      <c r="Z28" s="500"/>
      <c r="AA28" s="500"/>
      <c r="AB28" s="500"/>
      <c r="AC28" s="500"/>
      <c r="AD28" s="500"/>
      <c r="AE28" s="500"/>
      <c r="AF28" s="500"/>
      <c r="AG28" s="500"/>
      <c r="AH28" s="500"/>
      <c r="AI28" s="500"/>
      <c r="AJ28" s="500"/>
      <c r="AK28" s="500"/>
      <c r="AL28" s="500"/>
      <c r="AM28" s="500"/>
      <c r="AN28" s="500"/>
      <c r="AO28" s="500"/>
      <c r="AP28" s="500"/>
      <c r="AQ28" s="500"/>
      <c r="AR28" s="500"/>
      <c r="AS28" s="501"/>
      <c r="AT28" s="502"/>
      <c r="AU28" s="503"/>
      <c r="AV28" s="499"/>
      <c r="AW28" s="499"/>
      <c r="AX28" s="503"/>
      <c r="AY28" s="499"/>
      <c r="AZ28" s="504"/>
      <c r="BA28" s="396"/>
      <c r="BB28" s="389"/>
      <c r="BC28" s="390"/>
      <c r="BD28" s="391"/>
      <c r="BE28" s="444"/>
      <c r="BF28" s="421" t="s">
        <v>332</v>
      </c>
      <c r="BG28" s="391"/>
      <c r="BH28" s="391"/>
      <c r="BI28" s="444"/>
      <c r="BJ28" s="444"/>
      <c r="BK28" s="444"/>
      <c r="BL28" s="444"/>
      <c r="BM28" s="444"/>
      <c r="BN28" s="444"/>
      <c r="BO28" s="444"/>
      <c r="BP28" s="444"/>
      <c r="BQ28" s="444"/>
      <c r="BR28" s="444"/>
      <c r="BS28" s="444"/>
      <c r="BT28" s="444"/>
    </row>
    <row r="29" spans="1:72" ht="15.5" customHeight="1">
      <c r="A29" s="393"/>
      <c r="B29" s="505"/>
      <c r="C29" s="512" t="s">
        <v>288</v>
      </c>
      <c r="D29" s="506"/>
      <c r="E29" s="506"/>
      <c r="F29" s="507"/>
      <c r="G29" s="503"/>
      <c r="H29" s="501"/>
      <c r="I29" s="501"/>
      <c r="J29" s="501"/>
      <c r="K29" s="501"/>
      <c r="L29" s="501"/>
      <c r="M29" s="501"/>
      <c r="N29" s="501"/>
      <c r="O29" s="501"/>
      <c r="P29" s="501"/>
      <c r="Q29" s="501"/>
      <c r="R29" s="501"/>
      <c r="S29" s="501"/>
      <c r="T29" s="501"/>
      <c r="U29" s="501"/>
      <c r="V29" s="501"/>
      <c r="W29" s="501"/>
      <c r="X29" s="501"/>
      <c r="Y29" s="501"/>
      <c r="Z29" s="501"/>
      <c r="AA29" s="501"/>
      <c r="AB29" s="512" t="s">
        <v>290</v>
      </c>
      <c r="AC29" s="501"/>
      <c r="AD29" s="501"/>
      <c r="AE29" s="501"/>
      <c r="AF29" s="501"/>
      <c r="AG29" s="501"/>
      <c r="AH29" s="501"/>
      <c r="AI29" s="501"/>
      <c r="AJ29" s="501"/>
      <c r="AK29" s="501"/>
      <c r="AL29" s="501"/>
      <c r="AM29" s="501"/>
      <c r="AN29" s="501"/>
      <c r="AO29" s="501"/>
      <c r="AP29" s="501"/>
      <c r="AQ29" s="501"/>
      <c r="AR29" s="502"/>
      <c r="AS29" s="503"/>
      <c r="AT29" s="506"/>
      <c r="AU29" s="506"/>
      <c r="AV29" s="506"/>
      <c r="AW29" s="508"/>
      <c r="AX29" s="506"/>
      <c r="AY29" s="508"/>
      <c r="AZ29" s="504"/>
      <c r="BA29" s="396"/>
      <c r="BB29" s="389"/>
      <c r="BC29" s="390"/>
      <c r="BD29" s="391"/>
      <c r="BE29" s="444"/>
      <c r="BG29" s="391" t="s">
        <v>346</v>
      </c>
      <c r="BI29" s="444"/>
      <c r="BJ29" s="444"/>
      <c r="BK29" s="444"/>
      <c r="BL29" s="444"/>
      <c r="BM29" s="444"/>
      <c r="BN29" s="444"/>
      <c r="BO29" s="444"/>
      <c r="BP29" s="444"/>
      <c r="BQ29" s="444"/>
      <c r="BR29" s="444"/>
      <c r="BS29" s="444"/>
      <c r="BT29" s="444"/>
    </row>
    <row r="30" spans="1:72" ht="15.5" customHeight="1">
      <c r="A30" s="393"/>
      <c r="B30" s="509"/>
      <c r="C30" s="513" t="s">
        <v>289</v>
      </c>
      <c r="D30" s="514"/>
      <c r="E30" s="514"/>
      <c r="F30" s="514"/>
      <c r="G30" s="514"/>
      <c r="H30" s="514"/>
      <c r="I30" s="514"/>
      <c r="J30" s="514"/>
      <c r="K30" s="514"/>
      <c r="L30" s="514"/>
      <c r="M30" s="514"/>
      <c r="N30" s="514"/>
      <c r="O30" s="514"/>
      <c r="P30" s="514"/>
      <c r="Q30" s="514"/>
      <c r="R30" s="514"/>
      <c r="S30" s="514"/>
      <c r="T30" s="514"/>
      <c r="U30" s="514"/>
      <c r="V30" s="514"/>
      <c r="W30" s="514"/>
      <c r="X30" s="514"/>
      <c r="Y30" s="500"/>
      <c r="Z30" s="500"/>
      <c r="AA30" s="500"/>
      <c r="AB30" s="513" t="s">
        <v>299</v>
      </c>
      <c r="AC30" s="514"/>
      <c r="AD30" s="514"/>
      <c r="AE30" s="514"/>
      <c r="AF30" s="514"/>
      <c r="AG30" s="514"/>
      <c r="AH30" s="514"/>
      <c r="AI30" s="514"/>
      <c r="AJ30" s="514"/>
      <c r="AK30" s="514"/>
      <c r="AL30" s="514"/>
      <c r="AM30" s="514"/>
      <c r="AN30" s="514"/>
      <c r="AO30" s="514"/>
      <c r="AP30" s="514"/>
      <c r="AQ30" s="514"/>
      <c r="AR30" s="514"/>
      <c r="AS30" s="514"/>
      <c r="AT30" s="514"/>
      <c r="AU30" s="514"/>
      <c r="AV30" s="514"/>
      <c r="AW30" s="514"/>
      <c r="AX30" s="500"/>
      <c r="AY30" s="500"/>
      <c r="AZ30" s="510"/>
      <c r="BA30" s="422"/>
      <c r="BB30" s="389"/>
      <c r="BC30" s="390"/>
      <c r="BD30" s="391"/>
      <c r="BE30" s="444"/>
      <c r="BG30" s="391"/>
      <c r="BI30" s="444"/>
      <c r="BJ30" s="444"/>
      <c r="BK30" s="444"/>
      <c r="BL30" s="444"/>
      <c r="BM30" s="444"/>
      <c r="BN30" s="444"/>
      <c r="BO30" s="444"/>
      <c r="BP30" s="444"/>
      <c r="BQ30" s="444"/>
      <c r="BR30" s="444"/>
      <c r="BS30" s="444"/>
      <c r="BT30" s="444"/>
    </row>
    <row r="31" spans="1:72" ht="15.5" customHeight="1">
      <c r="A31" s="393"/>
      <c r="B31" s="509"/>
      <c r="C31" s="511"/>
      <c r="D31" s="500"/>
      <c r="E31" s="500"/>
      <c r="F31" s="500"/>
      <c r="G31" s="500"/>
      <c r="H31" s="500"/>
      <c r="I31" s="500"/>
      <c r="J31" s="500"/>
      <c r="K31" s="500"/>
      <c r="L31" s="500"/>
      <c r="M31" s="500"/>
      <c r="N31" s="500"/>
      <c r="O31" s="500"/>
      <c r="P31" s="500"/>
      <c r="Q31" s="500"/>
      <c r="R31" s="500"/>
      <c r="S31" s="500"/>
      <c r="T31" s="500"/>
      <c r="U31" s="500"/>
      <c r="V31" s="500"/>
      <c r="W31" s="500"/>
      <c r="X31" s="500"/>
      <c r="Y31" s="500"/>
      <c r="Z31" s="500"/>
      <c r="AA31" s="500"/>
      <c r="AB31" s="500"/>
      <c r="AC31" s="500"/>
      <c r="AD31" s="500"/>
      <c r="AE31" s="500"/>
      <c r="AF31" s="500"/>
      <c r="AG31" s="500"/>
      <c r="AH31" s="500"/>
      <c r="AI31" s="500"/>
      <c r="AJ31" s="500"/>
      <c r="AK31" s="500"/>
      <c r="AL31" s="500"/>
      <c r="AM31" s="500"/>
      <c r="AN31" s="500"/>
      <c r="AO31" s="500"/>
      <c r="AP31" s="500"/>
      <c r="AQ31" s="500"/>
      <c r="AR31" s="500"/>
      <c r="AS31" s="501"/>
      <c r="AT31" s="502"/>
      <c r="AU31" s="503"/>
      <c r="AV31" s="503"/>
      <c r="AW31" s="503"/>
      <c r="AX31" s="503"/>
      <c r="AY31" s="499"/>
      <c r="AZ31" s="510"/>
      <c r="BA31" s="422"/>
      <c r="BB31" s="389"/>
      <c r="BC31" s="390"/>
      <c r="BD31" s="391"/>
      <c r="BE31" s="444"/>
      <c r="BF31" s="421" t="s">
        <v>333</v>
      </c>
      <c r="BG31" s="391"/>
      <c r="BH31" s="391"/>
      <c r="BI31" s="444"/>
      <c r="BJ31" s="444"/>
      <c r="BK31" s="444"/>
      <c r="BL31" s="444"/>
      <c r="BM31" s="444"/>
      <c r="BN31" s="444"/>
      <c r="BO31" s="444"/>
      <c r="BP31" s="444"/>
      <c r="BQ31" s="444"/>
      <c r="BR31" s="444"/>
      <c r="BS31" s="444"/>
      <c r="BT31" s="444"/>
    </row>
    <row r="32" spans="1:72" ht="15.5" customHeight="1">
      <c r="A32" s="393"/>
      <c r="B32" s="509"/>
      <c r="C32" s="512" t="s">
        <v>291</v>
      </c>
      <c r="D32" s="500"/>
      <c r="E32" s="500"/>
      <c r="F32" s="500"/>
      <c r="G32" s="500"/>
      <c r="H32" s="500"/>
      <c r="I32" s="500"/>
      <c r="J32" s="500"/>
      <c r="K32" s="500"/>
      <c r="L32" s="500"/>
      <c r="M32" s="500"/>
      <c r="N32" s="500"/>
      <c r="O32" s="500"/>
      <c r="P32" s="500"/>
      <c r="Q32" s="500"/>
      <c r="R32" s="500"/>
      <c r="S32" s="500"/>
      <c r="T32" s="500"/>
      <c r="U32" s="500"/>
      <c r="V32" s="500"/>
      <c r="W32" s="500"/>
      <c r="X32" s="500"/>
      <c r="Y32" s="500"/>
      <c r="Z32" s="500"/>
      <c r="AA32" s="500"/>
      <c r="AB32" s="512" t="s">
        <v>293</v>
      </c>
      <c r="AC32" s="500"/>
      <c r="AD32" s="500"/>
      <c r="AE32" s="500"/>
      <c r="AF32" s="500"/>
      <c r="AG32" s="500"/>
      <c r="AH32" s="500"/>
      <c r="AI32" s="500"/>
      <c r="AJ32" s="500"/>
      <c r="AK32" s="500"/>
      <c r="AL32" s="500"/>
      <c r="AM32" s="500"/>
      <c r="AN32" s="500"/>
      <c r="AO32" s="500"/>
      <c r="AP32" s="500"/>
      <c r="AQ32" s="500"/>
      <c r="AR32" s="500"/>
      <c r="AS32" s="501"/>
      <c r="AT32" s="502"/>
      <c r="AU32" s="503"/>
      <c r="AV32" s="503"/>
      <c r="AW32" s="503"/>
      <c r="AX32" s="503"/>
      <c r="AY32" s="499"/>
      <c r="AZ32" s="510"/>
      <c r="BA32" s="422"/>
      <c r="BB32" s="389"/>
      <c r="BC32" s="390"/>
      <c r="BD32" s="391"/>
      <c r="BE32" s="444"/>
      <c r="BG32" s="391" t="s">
        <v>347</v>
      </c>
      <c r="BI32" s="444"/>
      <c r="BJ32" s="444"/>
      <c r="BK32" s="444"/>
      <c r="BL32" s="444"/>
      <c r="BM32" s="444"/>
      <c r="BN32" s="444"/>
      <c r="BO32" s="444"/>
      <c r="BP32" s="444"/>
      <c r="BQ32" s="444"/>
      <c r="BR32" s="444"/>
      <c r="BS32" s="444"/>
      <c r="BT32" s="444"/>
    </row>
    <row r="33" spans="1:72" s="443" customFormat="1" ht="15.5" customHeight="1">
      <c r="A33" s="393"/>
      <c r="B33" s="509"/>
      <c r="C33" s="513" t="s">
        <v>292</v>
      </c>
      <c r="D33" s="514"/>
      <c r="E33" s="514"/>
      <c r="F33" s="514"/>
      <c r="G33" s="514"/>
      <c r="H33" s="514"/>
      <c r="I33" s="514"/>
      <c r="J33" s="514"/>
      <c r="K33" s="514"/>
      <c r="L33" s="514"/>
      <c r="M33" s="514"/>
      <c r="N33" s="514"/>
      <c r="O33" s="514"/>
      <c r="P33" s="514"/>
      <c r="Q33" s="514"/>
      <c r="R33" s="514"/>
      <c r="S33" s="514"/>
      <c r="T33" s="514"/>
      <c r="U33" s="514"/>
      <c r="V33" s="514"/>
      <c r="W33" s="514"/>
      <c r="X33" s="514"/>
      <c r="Y33" s="500"/>
      <c r="Z33" s="500"/>
      <c r="AA33" s="500"/>
      <c r="AB33" s="513" t="s">
        <v>298</v>
      </c>
      <c r="AC33" s="514"/>
      <c r="AD33" s="514"/>
      <c r="AE33" s="514"/>
      <c r="AF33" s="514"/>
      <c r="AG33" s="514"/>
      <c r="AH33" s="514"/>
      <c r="AI33" s="514"/>
      <c r="AJ33" s="514"/>
      <c r="AK33" s="514"/>
      <c r="AL33" s="514"/>
      <c r="AM33" s="514"/>
      <c r="AN33" s="514"/>
      <c r="AO33" s="514"/>
      <c r="AP33" s="514"/>
      <c r="AQ33" s="514"/>
      <c r="AR33" s="514"/>
      <c r="AS33" s="514"/>
      <c r="AT33" s="514"/>
      <c r="AU33" s="514"/>
      <c r="AV33" s="514"/>
      <c r="AW33" s="514"/>
      <c r="AX33" s="503"/>
      <c r="AY33" s="499"/>
      <c r="AZ33" s="510"/>
      <c r="BA33" s="422"/>
      <c r="BB33" s="389"/>
      <c r="BC33" s="390"/>
      <c r="BD33" s="391"/>
      <c r="BE33" s="444"/>
      <c r="BG33" s="391"/>
      <c r="BI33" s="444"/>
      <c r="BJ33" s="444"/>
      <c r="BK33" s="444"/>
      <c r="BL33" s="444"/>
      <c r="BM33" s="444"/>
      <c r="BN33" s="444"/>
      <c r="BO33" s="444"/>
      <c r="BP33" s="444"/>
      <c r="BQ33" s="444"/>
      <c r="BR33" s="444"/>
      <c r="BS33" s="444"/>
      <c r="BT33" s="444"/>
    </row>
    <row r="34" spans="1:72" s="443" customFormat="1" ht="15.5" customHeight="1">
      <c r="A34" s="393"/>
      <c r="B34" s="509"/>
      <c r="C34" s="499"/>
      <c r="D34" s="500"/>
      <c r="E34" s="500"/>
      <c r="F34" s="500"/>
      <c r="G34" s="500"/>
      <c r="H34" s="500"/>
      <c r="I34" s="500"/>
      <c r="J34" s="500"/>
      <c r="K34" s="500"/>
      <c r="L34" s="500"/>
      <c r="M34" s="500"/>
      <c r="N34" s="500"/>
      <c r="O34" s="500"/>
      <c r="P34" s="500"/>
      <c r="Q34" s="500"/>
      <c r="R34" s="500"/>
      <c r="S34" s="500"/>
      <c r="T34" s="500"/>
      <c r="U34" s="500"/>
      <c r="V34" s="500"/>
      <c r="W34" s="500"/>
      <c r="X34" s="500"/>
      <c r="Y34" s="500"/>
      <c r="Z34" s="500"/>
      <c r="AA34" s="500"/>
      <c r="AB34" s="500"/>
      <c r="AC34" s="500"/>
      <c r="AD34" s="500"/>
      <c r="AE34" s="500"/>
      <c r="AF34" s="500"/>
      <c r="AG34" s="500"/>
      <c r="AH34" s="500"/>
      <c r="AI34" s="500"/>
      <c r="AJ34" s="500"/>
      <c r="AK34" s="500"/>
      <c r="AL34" s="500"/>
      <c r="AM34" s="500"/>
      <c r="AN34" s="500"/>
      <c r="AO34" s="500"/>
      <c r="AP34" s="500"/>
      <c r="AQ34" s="500"/>
      <c r="AR34" s="500"/>
      <c r="AS34" s="501"/>
      <c r="AT34" s="502"/>
      <c r="AU34" s="503"/>
      <c r="AV34" s="499"/>
      <c r="AW34" s="499"/>
      <c r="AX34" s="503"/>
      <c r="AY34" s="499"/>
      <c r="AZ34" s="510"/>
      <c r="BA34" s="422"/>
      <c r="BB34" s="389"/>
      <c r="BC34" s="390"/>
      <c r="BD34" s="391"/>
      <c r="BE34" s="444"/>
      <c r="BF34" s="421" t="s">
        <v>334</v>
      </c>
      <c r="BG34" s="391"/>
      <c r="BH34" s="391"/>
      <c r="BI34" s="444"/>
      <c r="BJ34" s="444"/>
      <c r="BK34" s="444"/>
      <c r="BL34" s="444"/>
      <c r="BM34" s="444"/>
      <c r="BN34" s="444"/>
      <c r="BO34" s="444"/>
      <c r="BP34" s="444"/>
      <c r="BQ34" s="444"/>
      <c r="BR34" s="444"/>
      <c r="BS34" s="444"/>
      <c r="BT34" s="444"/>
    </row>
    <row r="35" spans="1:72" s="443" customFormat="1" ht="15.5" customHeight="1">
      <c r="A35" s="393"/>
      <c r="B35" s="509"/>
      <c r="C35" s="512" t="s">
        <v>294</v>
      </c>
      <c r="D35" s="500"/>
      <c r="E35" s="500"/>
      <c r="F35" s="500"/>
      <c r="G35" s="500"/>
      <c r="H35" s="500"/>
      <c r="I35" s="500"/>
      <c r="J35" s="500"/>
      <c r="K35" s="500"/>
      <c r="L35" s="500"/>
      <c r="M35" s="500"/>
      <c r="N35" s="500"/>
      <c r="O35" s="500"/>
      <c r="P35" s="500"/>
      <c r="Q35" s="500"/>
      <c r="R35" s="500"/>
      <c r="S35" s="500"/>
      <c r="T35" s="500"/>
      <c r="U35" s="500"/>
      <c r="V35" s="500"/>
      <c r="W35" s="500"/>
      <c r="X35" s="500"/>
      <c r="Y35" s="500"/>
      <c r="Z35" s="500"/>
      <c r="AA35" s="500"/>
      <c r="AB35" s="512" t="s">
        <v>296</v>
      </c>
      <c r="AC35" s="500"/>
      <c r="AD35" s="500"/>
      <c r="AE35" s="500"/>
      <c r="AF35" s="500"/>
      <c r="AG35" s="500"/>
      <c r="AH35" s="500"/>
      <c r="AI35" s="500"/>
      <c r="AJ35" s="500"/>
      <c r="AK35" s="500"/>
      <c r="AL35" s="500"/>
      <c r="AM35" s="500"/>
      <c r="AN35" s="500"/>
      <c r="AO35" s="500"/>
      <c r="AP35" s="500"/>
      <c r="AQ35" s="500"/>
      <c r="AR35" s="500"/>
      <c r="AS35" s="501"/>
      <c r="AT35" s="502"/>
      <c r="AU35" s="503"/>
      <c r="AV35" s="503"/>
      <c r="AW35" s="503"/>
      <c r="AX35" s="503"/>
      <c r="AY35" s="499"/>
      <c r="AZ35" s="510"/>
      <c r="BA35" s="422"/>
      <c r="BB35" s="389"/>
      <c r="BC35" s="390"/>
      <c r="BD35" s="391"/>
      <c r="BE35" s="444"/>
      <c r="BG35" s="391" t="s">
        <v>348</v>
      </c>
      <c r="BI35" s="444"/>
      <c r="BJ35" s="444"/>
      <c r="BK35" s="444"/>
      <c r="BL35" s="444"/>
      <c r="BM35" s="444"/>
      <c r="BN35" s="444"/>
      <c r="BO35" s="444"/>
      <c r="BP35" s="444"/>
      <c r="BQ35" s="444"/>
      <c r="BR35" s="444"/>
      <c r="BS35" s="444"/>
      <c r="BT35" s="444"/>
    </row>
    <row r="36" spans="1:72" s="443" customFormat="1" ht="15.5" customHeight="1">
      <c r="A36" s="393"/>
      <c r="B36" s="509"/>
      <c r="C36" s="515" t="s">
        <v>295</v>
      </c>
      <c r="D36" s="514"/>
      <c r="E36" s="514"/>
      <c r="F36" s="514"/>
      <c r="G36" s="514"/>
      <c r="H36" s="514"/>
      <c r="I36" s="514"/>
      <c r="J36" s="514"/>
      <c r="K36" s="514"/>
      <c r="L36" s="514"/>
      <c r="M36" s="514"/>
      <c r="N36" s="514"/>
      <c r="O36" s="514"/>
      <c r="P36" s="514"/>
      <c r="Q36" s="514"/>
      <c r="R36" s="514"/>
      <c r="S36" s="514"/>
      <c r="T36" s="514"/>
      <c r="U36" s="514"/>
      <c r="V36" s="514"/>
      <c r="W36" s="514"/>
      <c r="X36" s="514"/>
      <c r="Y36" s="500"/>
      <c r="Z36" s="500"/>
      <c r="AA36" s="500"/>
      <c r="AB36" s="515" t="s">
        <v>297</v>
      </c>
      <c r="AC36" s="514"/>
      <c r="AD36" s="514"/>
      <c r="AE36" s="514"/>
      <c r="AF36" s="514"/>
      <c r="AG36" s="514"/>
      <c r="AH36" s="514"/>
      <c r="AI36" s="514"/>
      <c r="AJ36" s="514"/>
      <c r="AK36" s="514"/>
      <c r="AL36" s="514"/>
      <c r="AM36" s="514"/>
      <c r="AN36" s="514"/>
      <c r="AO36" s="514"/>
      <c r="AP36" s="514"/>
      <c r="AQ36" s="514"/>
      <c r="AR36" s="514"/>
      <c r="AS36" s="514"/>
      <c r="AT36" s="514"/>
      <c r="AU36" s="514"/>
      <c r="AV36" s="514"/>
      <c r="AW36" s="514"/>
      <c r="AX36" s="503"/>
      <c r="AY36" s="499"/>
      <c r="AZ36" s="510"/>
      <c r="BA36" s="422"/>
      <c r="BB36" s="389"/>
      <c r="BC36" s="390"/>
      <c r="BD36" s="391"/>
      <c r="BE36" s="444"/>
      <c r="BG36" s="391" t="s">
        <v>349</v>
      </c>
      <c r="BI36" s="444"/>
      <c r="BJ36" s="444"/>
      <c r="BK36" s="444"/>
      <c r="BL36" s="444"/>
      <c r="BM36" s="444"/>
      <c r="BN36" s="444"/>
      <c r="BO36" s="444"/>
      <c r="BP36" s="444"/>
      <c r="BQ36" s="444"/>
      <c r="BR36" s="444"/>
      <c r="BS36" s="444"/>
      <c r="BT36" s="444"/>
    </row>
    <row r="37" spans="1:72" s="443" customFormat="1" ht="15.5" customHeight="1">
      <c r="A37" s="393"/>
      <c r="B37" s="509"/>
      <c r="C37" s="499"/>
      <c r="D37" s="500"/>
      <c r="E37" s="500"/>
      <c r="F37" s="500"/>
      <c r="G37" s="500"/>
      <c r="H37" s="500"/>
      <c r="I37" s="500"/>
      <c r="J37" s="500"/>
      <c r="K37" s="500"/>
      <c r="L37" s="500"/>
      <c r="M37" s="500"/>
      <c r="N37" s="500"/>
      <c r="O37" s="500"/>
      <c r="P37" s="500"/>
      <c r="Q37" s="500"/>
      <c r="R37" s="500"/>
      <c r="S37" s="500"/>
      <c r="T37" s="500"/>
      <c r="U37" s="500"/>
      <c r="V37" s="500"/>
      <c r="W37" s="500"/>
      <c r="X37" s="500"/>
      <c r="Y37" s="500"/>
      <c r="Z37" s="500"/>
      <c r="AA37" s="500"/>
      <c r="AB37" s="500"/>
      <c r="AC37" s="500"/>
      <c r="AD37" s="500"/>
      <c r="AE37" s="500"/>
      <c r="AF37" s="500"/>
      <c r="AG37" s="500"/>
      <c r="AH37" s="500"/>
      <c r="AI37" s="500"/>
      <c r="AJ37" s="500"/>
      <c r="AK37" s="500"/>
      <c r="AL37" s="500"/>
      <c r="AM37" s="500"/>
      <c r="AN37" s="500"/>
      <c r="AO37" s="500"/>
      <c r="AP37" s="500"/>
      <c r="AQ37" s="500"/>
      <c r="AR37" s="500"/>
      <c r="AS37" s="501"/>
      <c r="AT37" s="502"/>
      <c r="AU37" s="503"/>
      <c r="AV37" s="499"/>
      <c r="AW37" s="499"/>
      <c r="AX37" s="503"/>
      <c r="AY37" s="499"/>
      <c r="AZ37" s="510"/>
      <c r="BA37" s="422"/>
      <c r="BB37" s="389"/>
      <c r="BC37" s="390"/>
      <c r="BD37" s="391"/>
      <c r="BE37" s="444"/>
      <c r="BG37" s="391"/>
      <c r="BI37" s="444"/>
      <c r="BJ37" s="444"/>
      <c r="BK37" s="444"/>
      <c r="BL37" s="444"/>
      <c r="BM37" s="444"/>
      <c r="BN37" s="444"/>
      <c r="BO37" s="444"/>
      <c r="BP37" s="444"/>
      <c r="BQ37" s="444"/>
      <c r="BR37" s="444"/>
      <c r="BS37" s="444"/>
      <c r="BT37" s="444"/>
    </row>
    <row r="38" spans="1:72" s="443" customFormat="1" ht="15.5" customHeight="1">
      <c r="A38" s="393"/>
      <c r="B38" s="509"/>
      <c r="C38" s="512" t="s">
        <v>300</v>
      </c>
      <c r="D38" s="500"/>
      <c r="E38" s="500"/>
      <c r="F38" s="500"/>
      <c r="G38" s="500"/>
      <c r="H38" s="500"/>
      <c r="I38" s="500"/>
      <c r="J38" s="500"/>
      <c r="K38" s="500"/>
      <c r="L38" s="500"/>
      <c r="M38" s="500"/>
      <c r="N38" s="500"/>
      <c r="O38" s="500"/>
      <c r="P38" s="500"/>
      <c r="Q38" s="500"/>
      <c r="R38" s="500"/>
      <c r="S38" s="500"/>
      <c r="T38" s="500"/>
      <c r="U38" s="500"/>
      <c r="V38" s="500"/>
      <c r="W38" s="500"/>
      <c r="X38" s="500"/>
      <c r="Y38" s="500"/>
      <c r="Z38" s="500"/>
      <c r="AA38" s="500"/>
      <c r="AB38" s="512" t="s">
        <v>306</v>
      </c>
      <c r="AC38" s="500"/>
      <c r="AD38" s="500"/>
      <c r="AE38" s="500"/>
      <c r="AF38" s="500"/>
      <c r="AG38" s="500"/>
      <c r="AH38" s="500"/>
      <c r="AI38" s="500"/>
      <c r="AJ38" s="500"/>
      <c r="AK38" s="500"/>
      <c r="AL38" s="500"/>
      <c r="AM38" s="500"/>
      <c r="AN38" s="500"/>
      <c r="AO38" s="500"/>
      <c r="AP38" s="500"/>
      <c r="AQ38" s="500"/>
      <c r="AR38" s="500"/>
      <c r="AS38" s="501"/>
      <c r="AT38" s="502"/>
      <c r="AU38" s="503"/>
      <c r="AV38" s="503"/>
      <c r="AW38" s="503"/>
      <c r="AX38" s="503"/>
      <c r="AY38" s="499"/>
      <c r="AZ38" s="510"/>
      <c r="BA38" s="422"/>
      <c r="BB38" s="389"/>
      <c r="BC38" s="390"/>
      <c r="BD38" s="391"/>
      <c r="BE38" s="444"/>
      <c r="BF38" s="421" t="s">
        <v>335</v>
      </c>
      <c r="BG38" s="391"/>
      <c r="BH38" s="391"/>
      <c r="BI38" s="444"/>
      <c r="BJ38" s="444"/>
      <c r="BK38" s="444"/>
      <c r="BL38" s="444"/>
      <c r="BM38" s="444"/>
      <c r="BN38" s="444"/>
      <c r="BO38" s="444"/>
      <c r="BP38" s="444"/>
      <c r="BQ38" s="444"/>
      <c r="BR38" s="444"/>
      <c r="BS38" s="444"/>
      <c r="BT38" s="444"/>
    </row>
    <row r="39" spans="1:72" s="443" customFormat="1" ht="15.5" customHeight="1">
      <c r="A39" s="393"/>
      <c r="B39" s="509"/>
      <c r="C39" s="513" t="s">
        <v>301</v>
      </c>
      <c r="D39" s="514"/>
      <c r="E39" s="514"/>
      <c r="F39" s="514"/>
      <c r="G39" s="514"/>
      <c r="H39" s="514"/>
      <c r="I39" s="514"/>
      <c r="J39" s="514"/>
      <c r="K39" s="514"/>
      <c r="L39" s="514"/>
      <c r="M39" s="514"/>
      <c r="N39" s="514"/>
      <c r="O39" s="514"/>
      <c r="P39" s="514"/>
      <c r="Q39" s="514"/>
      <c r="R39" s="514"/>
      <c r="S39" s="514"/>
      <c r="T39" s="514"/>
      <c r="U39" s="514"/>
      <c r="V39" s="514"/>
      <c r="W39" s="514"/>
      <c r="X39" s="514"/>
      <c r="Y39" s="500"/>
      <c r="Z39" s="500"/>
      <c r="AA39" s="500"/>
      <c r="AB39" s="513"/>
      <c r="AC39" s="514"/>
      <c r="AD39" s="514"/>
      <c r="AE39" s="514"/>
      <c r="AF39" s="514"/>
      <c r="AG39" s="514"/>
      <c r="AH39" s="514"/>
      <c r="AI39" s="514"/>
      <c r="AJ39" s="514"/>
      <c r="AK39" s="514"/>
      <c r="AL39" s="514"/>
      <c r="AM39" s="514"/>
      <c r="AN39" s="514"/>
      <c r="AO39" s="514"/>
      <c r="AP39" s="514"/>
      <c r="AQ39" s="514"/>
      <c r="AR39" s="514"/>
      <c r="AS39" s="514"/>
      <c r="AT39" s="514"/>
      <c r="AU39" s="514"/>
      <c r="AV39" s="514"/>
      <c r="AW39" s="514"/>
      <c r="AX39" s="503"/>
      <c r="AY39" s="499"/>
      <c r="AZ39" s="510"/>
      <c r="BA39" s="422"/>
      <c r="BB39" s="389"/>
      <c r="BC39" s="390"/>
      <c r="BD39" s="391"/>
      <c r="BE39" s="444"/>
      <c r="BG39" s="391" t="s">
        <v>348</v>
      </c>
      <c r="BJ39" s="444"/>
      <c r="BK39" s="444"/>
      <c r="BL39" s="444"/>
      <c r="BM39" s="444"/>
      <c r="BN39" s="444"/>
      <c r="BO39" s="444"/>
      <c r="BP39" s="444"/>
      <c r="BQ39" s="444"/>
      <c r="BR39" s="444"/>
      <c r="BS39" s="444"/>
      <c r="BT39" s="444"/>
    </row>
    <row r="40" spans="1:72" s="443" customFormat="1" ht="15.5" customHeight="1">
      <c r="A40" s="393"/>
      <c r="B40" s="509"/>
      <c r="C40" s="499"/>
      <c r="D40" s="500"/>
      <c r="E40" s="500"/>
      <c r="F40" s="500"/>
      <c r="G40" s="500"/>
      <c r="H40" s="500"/>
      <c r="I40" s="500"/>
      <c r="J40" s="500"/>
      <c r="K40" s="500"/>
      <c r="L40" s="500"/>
      <c r="M40" s="500"/>
      <c r="N40" s="500"/>
      <c r="O40" s="500"/>
      <c r="P40" s="500"/>
      <c r="Q40" s="500"/>
      <c r="R40" s="500"/>
      <c r="S40" s="500"/>
      <c r="T40" s="500"/>
      <c r="U40" s="500"/>
      <c r="V40" s="500"/>
      <c r="W40" s="500"/>
      <c r="X40" s="500"/>
      <c r="Y40" s="500"/>
      <c r="Z40" s="500"/>
      <c r="AA40" s="500"/>
      <c r="AB40" s="500"/>
      <c r="AC40" s="500"/>
      <c r="AD40" s="500"/>
      <c r="AE40" s="500"/>
      <c r="AF40" s="500"/>
      <c r="AG40" s="500"/>
      <c r="AH40" s="500"/>
      <c r="AI40" s="500"/>
      <c r="AJ40" s="500"/>
      <c r="AK40" s="500"/>
      <c r="AL40" s="500"/>
      <c r="AM40" s="500"/>
      <c r="AN40" s="500"/>
      <c r="AO40" s="500"/>
      <c r="AP40" s="500"/>
      <c r="AQ40" s="500"/>
      <c r="AR40" s="500"/>
      <c r="AS40" s="501"/>
      <c r="AT40" s="502"/>
      <c r="AU40" s="503"/>
      <c r="AV40" s="499"/>
      <c r="AW40" s="499"/>
      <c r="AX40" s="503"/>
      <c r="AY40" s="499"/>
      <c r="AZ40" s="510"/>
      <c r="BA40" s="422"/>
      <c r="BB40" s="389"/>
      <c r="BC40" s="390"/>
      <c r="BD40" s="391"/>
      <c r="BE40" s="444"/>
      <c r="BG40" s="391" t="s">
        <v>349</v>
      </c>
      <c r="BJ40" s="444"/>
      <c r="BK40" s="444"/>
      <c r="BL40" s="444"/>
      <c r="BM40" s="444"/>
      <c r="BN40" s="444"/>
      <c r="BO40" s="444"/>
      <c r="BP40" s="444"/>
      <c r="BQ40" s="444"/>
      <c r="BR40" s="444"/>
      <c r="BS40" s="444"/>
      <c r="BT40" s="444"/>
    </row>
    <row r="41" spans="1:72" s="443" customFormat="1" ht="12.5" customHeight="1">
      <c r="A41" s="393"/>
      <c r="B41" s="509"/>
      <c r="C41" s="512" t="s">
        <v>302</v>
      </c>
      <c r="D41" s="500"/>
      <c r="E41" s="500"/>
      <c r="F41" s="500"/>
      <c r="G41" s="500"/>
      <c r="H41" s="500"/>
      <c r="I41" s="500"/>
      <c r="J41" s="500"/>
      <c r="K41" s="500"/>
      <c r="L41" s="500"/>
      <c r="M41" s="500"/>
      <c r="N41" s="500"/>
      <c r="O41" s="500"/>
      <c r="P41" s="500"/>
      <c r="Q41" s="500"/>
      <c r="R41" s="500"/>
      <c r="S41" s="500"/>
      <c r="T41" s="500"/>
      <c r="U41" s="500"/>
      <c r="V41" s="500"/>
      <c r="W41" s="500"/>
      <c r="X41" s="500"/>
      <c r="Y41" s="500"/>
      <c r="Z41" s="500"/>
      <c r="AA41" s="500"/>
      <c r="AB41" s="512" t="s">
        <v>307</v>
      </c>
      <c r="AC41" s="500"/>
      <c r="AD41" s="500"/>
      <c r="AE41" s="500"/>
      <c r="AF41" s="500"/>
      <c r="AG41" s="500"/>
      <c r="AH41" s="500"/>
      <c r="AI41" s="500"/>
      <c r="AJ41" s="500"/>
      <c r="AK41" s="500"/>
      <c r="AL41" s="500"/>
      <c r="AM41" s="500"/>
      <c r="AN41" s="500"/>
      <c r="AO41" s="500"/>
      <c r="AP41" s="500"/>
      <c r="AQ41" s="500"/>
      <c r="AR41" s="500"/>
      <c r="AS41" s="501"/>
      <c r="AT41" s="502"/>
      <c r="AU41" s="503"/>
      <c r="AV41" s="503"/>
      <c r="AW41" s="503"/>
      <c r="AX41" s="503"/>
      <c r="AY41" s="499"/>
      <c r="AZ41" s="510"/>
      <c r="BA41" s="422"/>
      <c r="BB41" s="389"/>
      <c r="BC41" s="390"/>
      <c r="BD41" s="391"/>
      <c r="BE41" s="444"/>
      <c r="BG41" s="391"/>
      <c r="BI41" s="444"/>
      <c r="BJ41" s="444"/>
      <c r="BK41" s="444"/>
      <c r="BL41" s="444"/>
      <c r="BM41" s="444"/>
      <c r="BN41" s="444"/>
      <c r="BO41" s="444"/>
      <c r="BP41" s="444"/>
      <c r="BQ41" s="444"/>
      <c r="BR41" s="444"/>
      <c r="BS41" s="444"/>
      <c r="BT41" s="444"/>
    </row>
    <row r="42" spans="1:72" s="443" customFormat="1" ht="12.5" customHeight="1">
      <c r="A42" s="393"/>
      <c r="B42" s="509"/>
      <c r="C42" s="513"/>
      <c r="D42" s="514"/>
      <c r="E42" s="514"/>
      <c r="F42" s="514"/>
      <c r="G42" s="514"/>
      <c r="H42" s="514"/>
      <c r="I42" s="514"/>
      <c r="J42" s="514"/>
      <c r="K42" s="514"/>
      <c r="L42" s="514"/>
      <c r="M42" s="514"/>
      <c r="N42" s="514"/>
      <c r="O42" s="514"/>
      <c r="P42" s="514"/>
      <c r="Q42" s="514"/>
      <c r="R42" s="514"/>
      <c r="S42" s="514"/>
      <c r="T42" s="514"/>
      <c r="U42" s="514"/>
      <c r="V42" s="514"/>
      <c r="W42" s="514"/>
      <c r="X42" s="514"/>
      <c r="Y42" s="500"/>
      <c r="Z42" s="500"/>
      <c r="AA42" s="500"/>
      <c r="AB42" s="513"/>
      <c r="AC42" s="514"/>
      <c r="AD42" s="514"/>
      <c r="AE42" s="514"/>
      <c r="AF42" s="514"/>
      <c r="AG42" s="514"/>
      <c r="AH42" s="514"/>
      <c r="AI42" s="514"/>
      <c r="AJ42" s="514"/>
      <c r="AK42" s="514"/>
      <c r="AL42" s="514"/>
      <c r="AM42" s="514"/>
      <c r="AN42" s="514"/>
      <c r="AO42" s="514"/>
      <c r="AP42" s="514"/>
      <c r="AQ42" s="514"/>
      <c r="AR42" s="514"/>
      <c r="AS42" s="514"/>
      <c r="AT42" s="514"/>
      <c r="AU42" s="514"/>
      <c r="AV42" s="514"/>
      <c r="AW42" s="514"/>
      <c r="AX42" s="503"/>
      <c r="AY42" s="499"/>
      <c r="AZ42" s="510"/>
      <c r="BA42" s="422"/>
      <c r="BB42" s="389"/>
      <c r="BC42" s="390"/>
      <c r="BD42" s="392"/>
      <c r="BE42" s="444"/>
      <c r="BF42" s="421" t="s">
        <v>336</v>
      </c>
      <c r="BG42" s="391"/>
      <c r="BH42" s="391"/>
      <c r="BI42" s="444"/>
      <c r="BJ42" s="444"/>
      <c r="BK42" s="444"/>
      <c r="BL42" s="444"/>
      <c r="BM42" s="444"/>
      <c r="BN42" s="444"/>
      <c r="BO42" s="444"/>
      <c r="BP42" s="444"/>
      <c r="BQ42" s="444"/>
      <c r="BR42" s="444"/>
      <c r="BS42" s="444"/>
      <c r="BT42" s="444"/>
    </row>
    <row r="43" spans="1:72" s="443" customFormat="1" ht="12.5" customHeight="1">
      <c r="A43" s="393"/>
      <c r="B43" s="509"/>
      <c r="C43" s="499"/>
      <c r="D43" s="500"/>
      <c r="E43" s="500"/>
      <c r="F43" s="500"/>
      <c r="G43" s="500"/>
      <c r="H43" s="500"/>
      <c r="I43" s="500"/>
      <c r="J43" s="500"/>
      <c r="K43" s="500"/>
      <c r="L43" s="500"/>
      <c r="M43" s="500"/>
      <c r="N43" s="500"/>
      <c r="O43" s="500"/>
      <c r="P43" s="500"/>
      <c r="Q43" s="500"/>
      <c r="R43" s="500"/>
      <c r="S43" s="500"/>
      <c r="T43" s="500"/>
      <c r="U43" s="500"/>
      <c r="V43" s="500"/>
      <c r="W43" s="500"/>
      <c r="X43" s="500"/>
      <c r="Y43" s="500"/>
      <c r="Z43" s="500"/>
      <c r="AA43" s="500"/>
      <c r="AB43" s="500"/>
      <c r="AC43" s="500"/>
      <c r="AD43" s="500"/>
      <c r="AE43" s="500"/>
      <c r="AF43" s="500"/>
      <c r="AG43" s="500"/>
      <c r="AH43" s="500"/>
      <c r="AI43" s="500"/>
      <c r="AJ43" s="500"/>
      <c r="AK43" s="500"/>
      <c r="AL43" s="500"/>
      <c r="AM43" s="500"/>
      <c r="AN43" s="500"/>
      <c r="AO43" s="500"/>
      <c r="AP43" s="500"/>
      <c r="AQ43" s="500"/>
      <c r="AR43" s="500"/>
      <c r="AS43" s="501"/>
      <c r="AT43" s="502"/>
      <c r="AU43" s="503"/>
      <c r="AV43" s="499"/>
      <c r="AW43" s="499"/>
      <c r="AX43" s="503"/>
      <c r="AY43" s="499"/>
      <c r="AZ43" s="510"/>
      <c r="BA43" s="422"/>
      <c r="BB43" s="389"/>
      <c r="BC43" s="390"/>
      <c r="BD43" s="392"/>
      <c r="BE43" s="444"/>
      <c r="BG43" s="391" t="s">
        <v>348</v>
      </c>
      <c r="BI43" s="444"/>
      <c r="BJ43" s="444"/>
      <c r="BK43" s="444"/>
      <c r="BL43" s="444"/>
      <c r="BM43" s="444"/>
      <c r="BN43" s="444"/>
      <c r="BO43" s="444"/>
      <c r="BP43" s="444"/>
      <c r="BQ43" s="444"/>
      <c r="BR43" s="444"/>
      <c r="BS43" s="444"/>
      <c r="BT43" s="444"/>
    </row>
    <row r="44" spans="1:72" s="443" customFormat="1" ht="12.5" customHeight="1">
      <c r="A44" s="393"/>
      <c r="B44" s="509"/>
      <c r="C44" s="512" t="s">
        <v>303</v>
      </c>
      <c r="D44" s="500"/>
      <c r="E44" s="500"/>
      <c r="F44" s="500"/>
      <c r="G44" s="500"/>
      <c r="H44" s="500"/>
      <c r="I44" s="500"/>
      <c r="J44" s="500"/>
      <c r="K44" s="500"/>
      <c r="L44" s="500"/>
      <c r="M44" s="500"/>
      <c r="N44" s="500"/>
      <c r="O44" s="500"/>
      <c r="P44" s="500"/>
      <c r="Q44" s="500"/>
      <c r="R44" s="500"/>
      <c r="S44" s="500"/>
      <c r="T44" s="500"/>
      <c r="U44" s="500"/>
      <c r="V44" s="500"/>
      <c r="W44" s="500"/>
      <c r="X44" s="500"/>
      <c r="Y44" s="500"/>
      <c r="Z44" s="500"/>
      <c r="AA44" s="500"/>
      <c r="AB44" s="512" t="s">
        <v>308</v>
      </c>
      <c r="AC44" s="500"/>
      <c r="AD44" s="500"/>
      <c r="AE44" s="500"/>
      <c r="AF44" s="500"/>
      <c r="AG44" s="500"/>
      <c r="AH44" s="500"/>
      <c r="AI44" s="500"/>
      <c r="AJ44" s="500"/>
      <c r="AK44" s="500"/>
      <c r="AL44" s="500"/>
      <c r="AM44" s="500"/>
      <c r="AN44" s="500"/>
      <c r="AO44" s="500"/>
      <c r="AP44" s="500"/>
      <c r="AQ44" s="500"/>
      <c r="AR44" s="500"/>
      <c r="AS44" s="501"/>
      <c r="AT44" s="502"/>
      <c r="AU44" s="503"/>
      <c r="AV44" s="503"/>
      <c r="AW44" s="503"/>
      <c r="AX44" s="503"/>
      <c r="AY44" s="499"/>
      <c r="AZ44" s="510"/>
      <c r="BA44" s="422"/>
      <c r="BB44" s="405"/>
      <c r="BC44" s="406"/>
      <c r="BD44" s="391"/>
      <c r="BE44" s="444"/>
      <c r="BG44" s="391" t="s">
        <v>349</v>
      </c>
      <c r="BI44" s="444"/>
      <c r="BJ44" s="444"/>
      <c r="BK44" s="444"/>
      <c r="BL44" s="444"/>
      <c r="BM44" s="444"/>
      <c r="BN44" s="444"/>
      <c r="BO44" s="444"/>
      <c r="BP44" s="444"/>
      <c r="BQ44" s="444"/>
      <c r="BR44" s="444"/>
      <c r="BS44" s="444"/>
      <c r="BT44" s="444"/>
    </row>
    <row r="45" spans="1:72" s="443" customFormat="1" ht="12.5" customHeight="1">
      <c r="A45" s="393"/>
      <c r="B45" s="509"/>
      <c r="C45" s="513" t="s">
        <v>304</v>
      </c>
      <c r="D45" s="514"/>
      <c r="E45" s="514"/>
      <c r="F45" s="514"/>
      <c r="G45" s="514"/>
      <c r="H45" s="514"/>
      <c r="I45" s="514"/>
      <c r="J45" s="514"/>
      <c r="K45" s="514"/>
      <c r="L45" s="514"/>
      <c r="M45" s="514"/>
      <c r="N45" s="514"/>
      <c r="O45" s="514"/>
      <c r="P45" s="514"/>
      <c r="Q45" s="514"/>
      <c r="R45" s="514"/>
      <c r="S45" s="514"/>
      <c r="T45" s="514"/>
      <c r="U45" s="514"/>
      <c r="V45" s="514"/>
      <c r="W45" s="514"/>
      <c r="X45" s="514"/>
      <c r="Y45" s="500"/>
      <c r="Z45" s="500"/>
      <c r="AA45" s="500"/>
      <c r="AB45" s="513"/>
      <c r="AC45" s="514"/>
      <c r="AD45" s="514"/>
      <c r="AE45" s="514"/>
      <c r="AF45" s="514"/>
      <c r="AG45" s="514"/>
      <c r="AH45" s="514"/>
      <c r="AI45" s="514"/>
      <c r="AJ45" s="514"/>
      <c r="AK45" s="514"/>
      <c r="AL45" s="514"/>
      <c r="AM45" s="514"/>
      <c r="AN45" s="514"/>
      <c r="AO45" s="514"/>
      <c r="AP45" s="514"/>
      <c r="AQ45" s="514"/>
      <c r="AR45" s="514"/>
      <c r="AS45" s="514"/>
      <c r="AT45" s="514"/>
      <c r="AU45" s="514"/>
      <c r="AV45" s="514"/>
      <c r="AW45" s="514"/>
      <c r="AX45" s="503"/>
      <c r="AY45" s="499"/>
      <c r="AZ45" s="510"/>
      <c r="BA45" s="422"/>
      <c r="BB45" s="405"/>
      <c r="BC45" s="406"/>
      <c r="BD45" s="391"/>
      <c r="BE45" s="444"/>
      <c r="BG45" s="391"/>
      <c r="BI45" s="444"/>
      <c r="BJ45" s="444"/>
      <c r="BK45" s="444"/>
      <c r="BL45" s="444"/>
      <c r="BM45" s="444"/>
      <c r="BN45" s="444"/>
      <c r="BO45" s="444"/>
      <c r="BP45" s="444"/>
      <c r="BQ45" s="444"/>
      <c r="BR45" s="444"/>
      <c r="BS45" s="444"/>
      <c r="BT45" s="444"/>
    </row>
    <row r="46" spans="1:72" s="443" customFormat="1" ht="12.5" customHeight="1">
      <c r="A46" s="393"/>
      <c r="B46" s="509"/>
      <c r="C46" s="499"/>
      <c r="D46" s="500"/>
      <c r="E46" s="500"/>
      <c r="F46" s="500"/>
      <c r="G46" s="500"/>
      <c r="H46" s="500"/>
      <c r="I46" s="500"/>
      <c r="J46" s="500"/>
      <c r="K46" s="500"/>
      <c r="L46" s="500"/>
      <c r="M46" s="500"/>
      <c r="N46" s="500"/>
      <c r="O46" s="500"/>
      <c r="P46" s="500"/>
      <c r="Q46" s="500"/>
      <c r="R46" s="500"/>
      <c r="S46" s="500"/>
      <c r="T46" s="500"/>
      <c r="U46" s="500"/>
      <c r="V46" s="500"/>
      <c r="W46" s="500"/>
      <c r="X46" s="500"/>
      <c r="Y46" s="500"/>
      <c r="Z46" s="500"/>
      <c r="AA46" s="500"/>
      <c r="AB46" s="500"/>
      <c r="AC46" s="500"/>
      <c r="AD46" s="500"/>
      <c r="AE46" s="500"/>
      <c r="AF46" s="500"/>
      <c r="AG46" s="500"/>
      <c r="AH46" s="500"/>
      <c r="AI46" s="500"/>
      <c r="AJ46" s="500"/>
      <c r="AK46" s="500"/>
      <c r="AL46" s="500"/>
      <c r="AM46" s="500"/>
      <c r="AN46" s="500"/>
      <c r="AO46" s="500"/>
      <c r="AP46" s="500"/>
      <c r="AQ46" s="500"/>
      <c r="AR46" s="500"/>
      <c r="AS46" s="501"/>
      <c r="AT46" s="502"/>
      <c r="AU46" s="503"/>
      <c r="AV46" s="499"/>
      <c r="AW46" s="499"/>
      <c r="AX46" s="503"/>
      <c r="AY46" s="499"/>
      <c r="AZ46" s="510"/>
      <c r="BA46" s="422"/>
      <c r="BB46" s="405"/>
      <c r="BC46" s="406"/>
      <c r="BD46" s="391"/>
      <c r="BE46" s="444"/>
      <c r="BF46" s="421" t="s">
        <v>337</v>
      </c>
      <c r="BG46" s="391"/>
      <c r="BH46" s="391"/>
      <c r="BI46" s="444"/>
      <c r="BJ46" s="444"/>
      <c r="BK46" s="444"/>
      <c r="BL46" s="444"/>
      <c r="BM46" s="444"/>
      <c r="BN46" s="444"/>
      <c r="BO46" s="444"/>
      <c r="BP46" s="444"/>
      <c r="BQ46" s="444"/>
      <c r="BR46" s="444"/>
      <c r="BS46" s="444"/>
      <c r="BT46" s="444"/>
    </row>
    <row r="47" spans="1:72" s="443" customFormat="1" ht="12.5" customHeight="1">
      <c r="A47" s="393"/>
      <c r="B47" s="509"/>
      <c r="C47" s="512" t="s">
        <v>305</v>
      </c>
      <c r="D47" s="500"/>
      <c r="E47" s="500"/>
      <c r="F47" s="500"/>
      <c r="G47" s="500"/>
      <c r="H47" s="500"/>
      <c r="I47" s="500"/>
      <c r="J47" s="500"/>
      <c r="K47" s="500"/>
      <c r="L47" s="500"/>
      <c r="M47" s="500"/>
      <c r="N47" s="500"/>
      <c r="O47" s="500"/>
      <c r="P47" s="500"/>
      <c r="Q47" s="500"/>
      <c r="R47" s="500"/>
      <c r="S47" s="500"/>
      <c r="T47" s="500"/>
      <c r="U47" s="500"/>
      <c r="V47" s="500"/>
      <c r="W47" s="500"/>
      <c r="X47" s="500"/>
      <c r="Y47" s="500"/>
      <c r="Z47" s="500"/>
      <c r="AA47" s="500"/>
      <c r="AB47" s="512" t="s">
        <v>309</v>
      </c>
      <c r="AC47" s="500"/>
      <c r="AD47" s="500"/>
      <c r="AE47" s="500"/>
      <c r="AF47" s="500"/>
      <c r="AG47" s="500"/>
      <c r="AH47" s="500"/>
      <c r="AI47" s="500"/>
      <c r="AJ47" s="500"/>
      <c r="AK47" s="500"/>
      <c r="AL47" s="500"/>
      <c r="AM47" s="500"/>
      <c r="AN47" s="500"/>
      <c r="AO47" s="500"/>
      <c r="AP47" s="500"/>
      <c r="AQ47" s="500"/>
      <c r="AR47" s="500"/>
      <c r="AS47" s="501"/>
      <c r="AT47" s="502"/>
      <c r="AU47" s="503"/>
      <c r="AV47" s="503"/>
      <c r="AW47" s="503"/>
      <c r="AX47" s="503"/>
      <c r="AY47" s="499"/>
      <c r="AZ47" s="510"/>
      <c r="BA47" s="422"/>
      <c r="BB47" s="405"/>
      <c r="BC47" s="406"/>
      <c r="BD47" s="391"/>
      <c r="BE47" s="444"/>
      <c r="BG47" s="391" t="s">
        <v>348</v>
      </c>
      <c r="BI47" s="444"/>
      <c r="BJ47" s="444"/>
      <c r="BK47" s="444"/>
      <c r="BL47" s="444"/>
      <c r="BM47" s="444"/>
      <c r="BN47" s="444"/>
      <c r="BO47" s="444"/>
      <c r="BP47" s="444"/>
      <c r="BQ47" s="444"/>
      <c r="BR47" s="444"/>
      <c r="BS47" s="444"/>
      <c r="BT47" s="444"/>
    </row>
    <row r="48" spans="1:72" s="443" customFormat="1" ht="12.5" customHeight="1">
      <c r="A48" s="393"/>
      <c r="B48" s="509"/>
      <c r="C48" s="513"/>
      <c r="D48" s="514"/>
      <c r="E48" s="514"/>
      <c r="F48" s="514"/>
      <c r="G48" s="514"/>
      <c r="H48" s="514"/>
      <c r="I48" s="514"/>
      <c r="J48" s="514"/>
      <c r="K48" s="514"/>
      <c r="L48" s="514"/>
      <c r="M48" s="514"/>
      <c r="N48" s="514"/>
      <c r="O48" s="514"/>
      <c r="P48" s="514"/>
      <c r="Q48" s="514"/>
      <c r="R48" s="514"/>
      <c r="S48" s="514"/>
      <c r="T48" s="514"/>
      <c r="U48" s="514"/>
      <c r="V48" s="514"/>
      <c r="W48" s="514"/>
      <c r="X48" s="514"/>
      <c r="Y48" s="500"/>
      <c r="Z48" s="500"/>
      <c r="AA48" s="500"/>
      <c r="AB48" s="513"/>
      <c r="AC48" s="514"/>
      <c r="AD48" s="514"/>
      <c r="AE48" s="514"/>
      <c r="AF48" s="514"/>
      <c r="AG48" s="514"/>
      <c r="AH48" s="514"/>
      <c r="AI48" s="514"/>
      <c r="AJ48" s="514"/>
      <c r="AK48" s="514"/>
      <c r="AL48" s="514"/>
      <c r="AM48" s="514"/>
      <c r="AN48" s="514"/>
      <c r="AO48" s="514"/>
      <c r="AP48" s="514"/>
      <c r="AQ48" s="514"/>
      <c r="AR48" s="514"/>
      <c r="AS48" s="514"/>
      <c r="AT48" s="514"/>
      <c r="AU48" s="514"/>
      <c r="AV48" s="514"/>
      <c r="AW48" s="514"/>
      <c r="AX48" s="503"/>
      <c r="AY48" s="499"/>
      <c r="AZ48" s="510"/>
      <c r="BA48" s="422"/>
      <c r="BB48" s="405"/>
      <c r="BC48" s="406"/>
      <c r="BD48" s="391"/>
      <c r="BE48" s="444"/>
      <c r="BG48" s="391" t="s">
        <v>349</v>
      </c>
      <c r="BI48" s="444"/>
      <c r="BJ48" s="444"/>
      <c r="BK48" s="444"/>
      <c r="BL48" s="444"/>
      <c r="BM48" s="444"/>
      <c r="BN48" s="444"/>
      <c r="BO48" s="444"/>
      <c r="BP48" s="444"/>
      <c r="BQ48" s="444"/>
      <c r="BR48" s="444"/>
      <c r="BS48" s="444"/>
      <c r="BT48" s="444"/>
    </row>
    <row r="49" spans="1:72" s="443" customFormat="1" ht="12.5" customHeight="1">
      <c r="A49" s="393"/>
      <c r="B49" s="509"/>
      <c r="C49" s="499"/>
      <c r="D49" s="500"/>
      <c r="E49" s="500"/>
      <c r="F49" s="500"/>
      <c r="G49" s="500"/>
      <c r="H49" s="500"/>
      <c r="I49" s="500"/>
      <c r="J49" s="500"/>
      <c r="K49" s="500"/>
      <c r="L49" s="500"/>
      <c r="M49" s="500"/>
      <c r="N49" s="500"/>
      <c r="O49" s="500"/>
      <c r="P49" s="500"/>
      <c r="Q49" s="500"/>
      <c r="R49" s="500"/>
      <c r="S49" s="500"/>
      <c r="T49" s="500"/>
      <c r="U49" s="500"/>
      <c r="V49" s="500"/>
      <c r="W49" s="500"/>
      <c r="X49" s="500"/>
      <c r="Y49" s="500"/>
      <c r="Z49" s="500"/>
      <c r="AA49" s="500"/>
      <c r="AB49" s="500"/>
      <c r="AC49" s="500"/>
      <c r="AD49" s="500"/>
      <c r="AE49" s="500"/>
      <c r="AF49" s="500"/>
      <c r="AG49" s="500"/>
      <c r="AH49" s="500"/>
      <c r="AI49" s="500"/>
      <c r="AJ49" s="500"/>
      <c r="AK49" s="500"/>
      <c r="AL49" s="500"/>
      <c r="AM49" s="500"/>
      <c r="AN49" s="500"/>
      <c r="AO49" s="500"/>
      <c r="AP49" s="500"/>
      <c r="AQ49" s="500"/>
      <c r="AR49" s="500"/>
      <c r="AS49" s="501"/>
      <c r="AT49" s="502"/>
      <c r="AU49" s="503"/>
      <c r="AV49" s="499"/>
      <c r="AW49" s="499"/>
      <c r="AX49" s="503"/>
      <c r="AY49" s="499"/>
      <c r="AZ49" s="510"/>
      <c r="BA49" s="422"/>
      <c r="BB49" s="405"/>
      <c r="BC49" s="406"/>
      <c r="BD49" s="391"/>
      <c r="BE49" s="444"/>
      <c r="BG49" s="391"/>
      <c r="BI49" s="444"/>
      <c r="BJ49" s="444"/>
      <c r="BK49" s="444"/>
      <c r="BL49" s="444"/>
      <c r="BM49" s="444"/>
      <c r="BN49" s="444"/>
      <c r="BO49" s="444"/>
      <c r="BP49" s="444"/>
      <c r="BQ49" s="444"/>
      <c r="BR49" s="444"/>
      <c r="BS49" s="444"/>
      <c r="BT49" s="444"/>
    </row>
    <row r="50" spans="1:72" s="443" customFormat="1" ht="12.5" customHeight="1">
      <c r="A50" s="393"/>
      <c r="B50" s="418"/>
      <c r="C50" s="420"/>
      <c r="D50" s="420"/>
      <c r="E50" s="420"/>
      <c r="F50" s="420"/>
      <c r="G50" s="420"/>
      <c r="H50" s="420"/>
      <c r="I50" s="420"/>
      <c r="J50" s="420"/>
      <c r="K50" s="420"/>
      <c r="L50" s="420"/>
      <c r="M50" s="420"/>
      <c r="N50" s="420"/>
      <c r="O50" s="420"/>
      <c r="P50" s="420"/>
      <c r="Q50" s="420"/>
      <c r="R50" s="420"/>
      <c r="S50" s="420"/>
      <c r="T50" s="420"/>
      <c r="U50" s="420"/>
      <c r="V50" s="420"/>
      <c r="W50" s="420"/>
      <c r="X50" s="420"/>
      <c r="Y50" s="420"/>
      <c r="Z50" s="420"/>
      <c r="AA50" s="420"/>
      <c r="AB50" s="420"/>
      <c r="AC50" s="420"/>
      <c r="AD50" s="420"/>
      <c r="AE50" s="420"/>
      <c r="AF50" s="420"/>
      <c r="AG50" s="420"/>
      <c r="AH50" s="420"/>
      <c r="AI50" s="420"/>
      <c r="AJ50" s="420"/>
      <c r="AK50" s="420"/>
      <c r="AL50" s="420"/>
      <c r="AM50" s="420"/>
      <c r="AN50" s="420"/>
      <c r="AO50" s="420"/>
      <c r="AP50" s="420"/>
      <c r="AQ50" s="420"/>
      <c r="AR50" s="420"/>
      <c r="AS50" s="420"/>
      <c r="AT50" s="420"/>
      <c r="AU50" s="420"/>
      <c r="AV50" s="420"/>
      <c r="AW50" s="420"/>
      <c r="AX50" s="420"/>
      <c r="AY50" s="420"/>
      <c r="AZ50" s="422"/>
      <c r="BA50" s="422"/>
      <c r="BB50" s="405"/>
      <c r="BC50" s="406"/>
      <c r="BD50" s="391"/>
      <c r="BE50" s="444"/>
      <c r="BF50" s="421" t="s">
        <v>338</v>
      </c>
      <c r="BG50" s="391"/>
      <c r="BH50" s="28"/>
      <c r="BI50" s="444"/>
      <c r="BJ50" s="444"/>
      <c r="BK50" s="444"/>
      <c r="BL50" s="444"/>
      <c r="BM50" s="444"/>
      <c r="BN50" s="444"/>
      <c r="BO50" s="444"/>
      <c r="BP50" s="444"/>
      <c r="BQ50" s="444"/>
      <c r="BR50" s="444"/>
      <c r="BS50" s="444"/>
      <c r="BT50" s="444"/>
    </row>
    <row r="51" spans="1:72" s="443" customFormat="1" ht="12.5" customHeight="1">
      <c r="A51" s="393"/>
      <c r="B51" s="426"/>
      <c r="C51" s="420"/>
      <c r="D51" s="420"/>
      <c r="E51" s="420"/>
      <c r="F51" s="420"/>
      <c r="G51" s="420"/>
      <c r="H51" s="420"/>
      <c r="I51" s="420"/>
      <c r="J51" s="420"/>
      <c r="K51" s="420"/>
      <c r="L51" s="420"/>
      <c r="M51" s="420"/>
      <c r="N51" s="420"/>
      <c r="O51" s="420"/>
      <c r="P51" s="420"/>
      <c r="Q51" s="420"/>
      <c r="R51" s="420"/>
      <c r="S51" s="420"/>
      <c r="T51" s="420"/>
      <c r="U51" s="420"/>
      <c r="V51" s="420"/>
      <c r="W51" s="420"/>
      <c r="X51" s="420"/>
      <c r="Y51" s="420"/>
      <c r="Z51" s="420"/>
      <c r="AA51" s="420"/>
      <c r="AB51" s="420"/>
      <c r="AC51" s="420"/>
      <c r="AD51" s="420"/>
      <c r="AE51" s="420"/>
      <c r="AF51" s="420"/>
      <c r="AG51" s="420"/>
      <c r="AH51" s="420"/>
      <c r="AI51" s="420"/>
      <c r="AJ51" s="420"/>
      <c r="AK51" s="420"/>
      <c r="AL51" s="420"/>
      <c r="AM51" s="420"/>
      <c r="AN51" s="420"/>
      <c r="AO51" s="420"/>
      <c r="AP51" s="420"/>
      <c r="AQ51" s="420"/>
      <c r="AR51" s="420"/>
      <c r="AS51" s="420"/>
      <c r="AT51" s="420"/>
      <c r="AU51" s="420"/>
      <c r="AV51" s="420"/>
      <c r="AW51" s="420"/>
      <c r="AX51" s="420"/>
      <c r="AY51" s="420"/>
      <c r="AZ51" s="422"/>
      <c r="BA51" s="422"/>
      <c r="BB51" s="389"/>
      <c r="BC51" s="390"/>
      <c r="BD51" s="391"/>
      <c r="BE51" s="444"/>
      <c r="BG51" s="391" t="s">
        <v>348</v>
      </c>
      <c r="BI51" s="444"/>
      <c r="BJ51" s="444"/>
      <c r="BK51" s="444"/>
      <c r="BL51" s="444"/>
      <c r="BM51" s="444"/>
      <c r="BN51" s="444"/>
      <c r="BO51" s="444"/>
      <c r="BP51" s="444"/>
      <c r="BQ51" s="444"/>
      <c r="BR51" s="444"/>
      <c r="BS51" s="444"/>
      <c r="BT51" s="444"/>
    </row>
    <row r="52" spans="1:72" s="443" customFormat="1" ht="12.5" customHeight="1">
      <c r="A52" s="393"/>
      <c r="B52" s="426"/>
      <c r="C52" s="420"/>
      <c r="D52" s="420"/>
      <c r="E52" s="420"/>
      <c r="F52" s="420"/>
      <c r="G52" s="420"/>
      <c r="H52" s="420"/>
      <c r="I52" s="420"/>
      <c r="J52" s="420"/>
      <c r="K52" s="420"/>
      <c r="L52" s="420"/>
      <c r="M52" s="420"/>
      <c r="N52" s="420"/>
      <c r="O52" s="420"/>
      <c r="P52" s="420"/>
      <c r="Q52" s="420"/>
      <c r="R52" s="420"/>
      <c r="S52" s="420"/>
      <c r="T52" s="420"/>
      <c r="U52" s="420"/>
      <c r="V52" s="420"/>
      <c r="W52" s="420"/>
      <c r="X52" s="420"/>
      <c r="Y52" s="420"/>
      <c r="Z52" s="420"/>
      <c r="AA52" s="420"/>
      <c r="AB52" s="420"/>
      <c r="AC52" s="420"/>
      <c r="AD52" s="420"/>
      <c r="AE52" s="420"/>
      <c r="AF52" s="420"/>
      <c r="AG52" s="420"/>
      <c r="AH52" s="420"/>
      <c r="AI52" s="420"/>
      <c r="AJ52" s="420"/>
      <c r="AK52" s="420"/>
      <c r="AL52" s="420"/>
      <c r="AM52" s="420"/>
      <c r="AN52" s="420"/>
      <c r="AO52" s="420"/>
      <c r="AP52" s="420"/>
      <c r="AQ52" s="420"/>
      <c r="AR52" s="420"/>
      <c r="AS52" s="420"/>
      <c r="AT52" s="420"/>
      <c r="AU52" s="420"/>
      <c r="AV52" s="420"/>
      <c r="AW52" s="420"/>
      <c r="AX52" s="420"/>
      <c r="AY52" s="420"/>
      <c r="AZ52" s="422"/>
      <c r="BA52" s="422"/>
      <c r="BB52" s="389"/>
      <c r="BC52" s="390"/>
      <c r="BD52" s="391"/>
      <c r="BE52" s="444"/>
      <c r="BG52" s="391" t="s">
        <v>349</v>
      </c>
      <c r="BI52" s="444"/>
      <c r="BJ52" s="444"/>
      <c r="BK52" s="444"/>
      <c r="BL52" s="444"/>
      <c r="BM52" s="444"/>
      <c r="BN52" s="444"/>
      <c r="BO52" s="444"/>
      <c r="BP52" s="444"/>
      <c r="BQ52" s="444"/>
      <c r="BR52" s="444"/>
      <c r="BS52" s="444"/>
      <c r="BT52" s="444"/>
    </row>
    <row r="53" spans="1:72" s="443" customFormat="1" ht="12.5" customHeight="1">
      <c r="A53" s="393"/>
      <c r="B53" s="418"/>
      <c r="C53" s="420"/>
      <c r="D53" s="420"/>
      <c r="E53" s="420"/>
      <c r="F53" s="420"/>
      <c r="G53" s="420"/>
      <c r="H53" s="420"/>
      <c r="I53" s="420"/>
      <c r="J53" s="420"/>
      <c r="K53" s="420"/>
      <c r="L53" s="420"/>
      <c r="M53" s="420"/>
      <c r="N53" s="420"/>
      <c r="O53" s="420"/>
      <c r="P53" s="420"/>
      <c r="Q53" s="420"/>
      <c r="R53" s="420"/>
      <c r="S53" s="420"/>
      <c r="T53" s="420"/>
      <c r="U53" s="420"/>
      <c r="V53" s="420"/>
      <c r="W53" s="420"/>
      <c r="X53" s="420"/>
      <c r="Y53" s="420"/>
      <c r="Z53" s="420"/>
      <c r="AA53" s="420"/>
      <c r="AB53" s="420"/>
      <c r="AC53" s="420"/>
      <c r="AD53" s="420"/>
      <c r="AE53" s="420"/>
      <c r="AF53" s="420"/>
      <c r="AG53" s="420"/>
      <c r="AH53" s="420"/>
      <c r="AI53" s="420"/>
      <c r="AJ53" s="420"/>
      <c r="AK53" s="420"/>
      <c r="AL53" s="420"/>
      <c r="AM53" s="420"/>
      <c r="AN53" s="420"/>
      <c r="AO53" s="420"/>
      <c r="AP53" s="420"/>
      <c r="AQ53" s="420"/>
      <c r="AR53" s="420"/>
      <c r="AS53" s="420"/>
      <c r="AT53" s="420"/>
      <c r="AU53" s="420"/>
      <c r="AV53" s="420"/>
      <c r="AW53" s="420"/>
      <c r="AX53" s="420"/>
      <c r="AY53" s="420"/>
      <c r="AZ53" s="422"/>
      <c r="BA53" s="422"/>
      <c r="BB53" s="405"/>
      <c r="BC53" s="406"/>
      <c r="BD53" s="391"/>
      <c r="BE53" s="444"/>
      <c r="BF53" s="444"/>
      <c r="BG53" s="391"/>
      <c r="BH53" s="444"/>
      <c r="BI53" s="444"/>
      <c r="BJ53" s="444"/>
      <c r="BK53" s="444"/>
      <c r="BL53" s="444"/>
      <c r="BM53" s="444"/>
      <c r="BN53" s="444"/>
      <c r="BO53" s="444"/>
      <c r="BP53" s="444"/>
      <c r="BQ53" s="444"/>
      <c r="BR53" s="444"/>
      <c r="BS53" s="444"/>
      <c r="BT53" s="444"/>
    </row>
    <row r="54" spans="1:72" s="443" customFormat="1" ht="12.5" customHeight="1">
      <c r="A54" s="393"/>
      <c r="B54" s="418"/>
      <c r="C54" s="423"/>
      <c r="D54" s="419"/>
      <c r="E54" s="419"/>
      <c r="F54" s="419"/>
      <c r="G54" s="421"/>
      <c r="H54" s="431"/>
      <c r="I54" s="431"/>
      <c r="J54" s="431"/>
      <c r="K54" s="431"/>
      <c r="L54" s="431"/>
      <c r="M54" s="431"/>
      <c r="N54" s="431"/>
      <c r="O54" s="431"/>
      <c r="P54" s="431"/>
      <c r="Q54" s="431"/>
      <c r="R54" s="431"/>
      <c r="S54" s="431"/>
      <c r="T54" s="431"/>
      <c r="U54" s="431"/>
      <c r="V54" s="431"/>
      <c r="W54" s="431"/>
      <c r="X54" s="431"/>
      <c r="Y54" s="431"/>
      <c r="Z54" s="431"/>
      <c r="AA54" s="431"/>
      <c r="AB54" s="431"/>
      <c r="AC54" s="431"/>
      <c r="AD54" s="431"/>
      <c r="AE54" s="431"/>
      <c r="AF54" s="431"/>
      <c r="AG54" s="431"/>
      <c r="AH54" s="431"/>
      <c r="AI54" s="431"/>
      <c r="AJ54" s="431"/>
      <c r="AK54" s="431"/>
      <c r="AL54" s="431"/>
      <c r="AM54" s="431"/>
      <c r="AN54" s="431"/>
      <c r="AO54" s="431"/>
      <c r="AP54" s="431"/>
      <c r="AQ54" s="431"/>
      <c r="AR54" s="431"/>
      <c r="AS54" s="431"/>
      <c r="AT54" s="425"/>
      <c r="AU54" s="421"/>
      <c r="AV54" s="421"/>
      <c r="AW54" s="421"/>
      <c r="AX54" s="421"/>
      <c r="AY54" s="417"/>
      <c r="AZ54" s="422"/>
      <c r="BA54" s="422"/>
      <c r="BB54" s="389"/>
      <c r="BC54" s="390"/>
      <c r="BD54" s="391"/>
      <c r="BE54" s="444"/>
      <c r="BF54" s="421" t="s">
        <v>339</v>
      </c>
      <c r="BG54" s="391"/>
      <c r="BH54" s="28"/>
      <c r="BI54" s="444"/>
      <c r="BJ54" s="444"/>
      <c r="BK54" s="444"/>
      <c r="BL54" s="444"/>
      <c r="BM54" s="444"/>
      <c r="BN54" s="444"/>
      <c r="BO54" s="444"/>
      <c r="BP54" s="444"/>
      <c r="BQ54" s="444"/>
      <c r="BR54" s="444"/>
      <c r="BS54" s="444"/>
      <c r="BT54" s="444"/>
    </row>
    <row r="55" spans="1:72" s="443" customFormat="1" ht="12.5" customHeight="1">
      <c r="A55" s="393"/>
      <c r="B55" s="426"/>
      <c r="C55" s="420"/>
      <c r="D55" s="420"/>
      <c r="E55" s="420"/>
      <c r="F55" s="420"/>
      <c r="G55" s="420"/>
      <c r="H55" s="420"/>
      <c r="I55" s="420"/>
      <c r="J55" s="420"/>
      <c r="K55" s="420"/>
      <c r="L55" s="420"/>
      <c r="M55" s="420"/>
      <c r="N55" s="420"/>
      <c r="O55" s="420"/>
      <c r="P55" s="420"/>
      <c r="Q55" s="420"/>
      <c r="R55" s="420"/>
      <c r="S55" s="420"/>
      <c r="T55" s="420"/>
      <c r="U55" s="420"/>
      <c r="V55" s="420"/>
      <c r="W55" s="420"/>
      <c r="X55" s="420"/>
      <c r="Y55" s="420"/>
      <c r="Z55" s="420"/>
      <c r="AA55" s="420"/>
      <c r="AB55" s="420"/>
      <c r="AC55" s="420"/>
      <c r="AD55" s="420"/>
      <c r="AE55" s="420"/>
      <c r="AF55" s="420"/>
      <c r="AG55" s="420"/>
      <c r="AH55" s="420"/>
      <c r="AI55" s="420"/>
      <c r="AJ55" s="420"/>
      <c r="AK55" s="420"/>
      <c r="AL55" s="420"/>
      <c r="AM55" s="420"/>
      <c r="AN55" s="420"/>
      <c r="AO55" s="420"/>
      <c r="AP55" s="420"/>
      <c r="AQ55" s="420"/>
      <c r="AR55" s="420"/>
      <c r="AS55" s="420"/>
      <c r="AT55" s="420"/>
      <c r="AU55" s="420"/>
      <c r="AV55" s="420"/>
      <c r="AW55" s="420"/>
      <c r="AX55" s="420"/>
      <c r="AY55" s="420"/>
      <c r="AZ55" s="422"/>
      <c r="BA55" s="422"/>
      <c r="BB55" s="389"/>
      <c r="BC55" s="390"/>
      <c r="BD55" s="391"/>
      <c r="BE55" s="444"/>
      <c r="BG55" s="391" t="s">
        <v>348</v>
      </c>
      <c r="BI55" s="444"/>
      <c r="BJ55" s="444"/>
      <c r="BK55" s="444"/>
      <c r="BL55" s="444"/>
      <c r="BM55" s="444"/>
      <c r="BN55" s="444"/>
      <c r="BO55" s="444"/>
      <c r="BP55" s="444"/>
      <c r="BQ55" s="444"/>
      <c r="BR55" s="444"/>
      <c r="BS55" s="444"/>
      <c r="BT55" s="444"/>
    </row>
    <row r="56" spans="1:72" s="443" customFormat="1" ht="12.5" customHeight="1">
      <c r="A56" s="393"/>
      <c r="B56" s="426"/>
      <c r="C56" s="420"/>
      <c r="D56" s="420"/>
      <c r="E56" s="420"/>
      <c r="F56" s="420"/>
      <c r="G56" s="420"/>
      <c r="H56" s="420"/>
      <c r="I56" s="420"/>
      <c r="J56" s="420"/>
      <c r="K56" s="420"/>
      <c r="L56" s="420"/>
      <c r="M56" s="420"/>
      <c r="N56" s="420"/>
      <c r="O56" s="420"/>
      <c r="P56" s="420"/>
      <c r="Q56" s="420"/>
      <c r="R56" s="420"/>
      <c r="S56" s="420"/>
      <c r="T56" s="420"/>
      <c r="U56" s="420"/>
      <c r="V56" s="420"/>
      <c r="W56" s="420"/>
      <c r="X56" s="420"/>
      <c r="Y56" s="420"/>
      <c r="Z56" s="420"/>
      <c r="AA56" s="420"/>
      <c r="AB56" s="420"/>
      <c r="AC56" s="420"/>
      <c r="AD56" s="420"/>
      <c r="AE56" s="420"/>
      <c r="AF56" s="420"/>
      <c r="AG56" s="420"/>
      <c r="AH56" s="420"/>
      <c r="AI56" s="420"/>
      <c r="AJ56" s="420"/>
      <c r="AK56" s="420"/>
      <c r="AL56" s="420"/>
      <c r="AM56" s="420"/>
      <c r="AN56" s="420"/>
      <c r="AO56" s="420"/>
      <c r="AP56" s="420"/>
      <c r="AQ56" s="420"/>
      <c r="AR56" s="420"/>
      <c r="AS56" s="420"/>
      <c r="AT56" s="420"/>
      <c r="AU56" s="420"/>
      <c r="AV56" s="420"/>
      <c r="AW56" s="420"/>
      <c r="AX56" s="420"/>
      <c r="AY56" s="420"/>
      <c r="AZ56" s="422"/>
      <c r="BA56" s="422"/>
      <c r="BB56" s="389"/>
      <c r="BC56" s="390"/>
      <c r="BD56" s="391"/>
      <c r="BE56" s="444"/>
      <c r="BF56" s="444"/>
      <c r="BG56" s="391" t="s">
        <v>349</v>
      </c>
      <c r="BH56" s="444"/>
      <c r="BI56" s="444"/>
      <c r="BJ56" s="444"/>
      <c r="BK56" s="444"/>
      <c r="BL56" s="444"/>
      <c r="BM56" s="444"/>
      <c r="BN56" s="444"/>
      <c r="BO56" s="444"/>
      <c r="BP56" s="444"/>
      <c r="BQ56" s="444"/>
      <c r="BR56" s="444"/>
      <c r="BS56" s="444"/>
      <c r="BT56" s="444"/>
    </row>
    <row r="57" spans="1:72" s="443" customFormat="1" ht="12.5" customHeight="1">
      <c r="A57" s="393"/>
      <c r="B57" s="418"/>
      <c r="C57" s="420"/>
      <c r="D57" s="420"/>
      <c r="E57" s="420"/>
      <c r="F57" s="420"/>
      <c r="G57" s="420"/>
      <c r="H57" s="420"/>
      <c r="I57" s="420"/>
      <c r="J57" s="420"/>
      <c r="K57" s="420"/>
      <c r="L57" s="420"/>
      <c r="M57" s="420"/>
      <c r="N57" s="420"/>
      <c r="O57" s="420"/>
      <c r="P57" s="420"/>
      <c r="Q57" s="420"/>
      <c r="R57" s="420"/>
      <c r="S57" s="420"/>
      <c r="T57" s="420"/>
      <c r="U57" s="420"/>
      <c r="V57" s="420"/>
      <c r="W57" s="420"/>
      <c r="X57" s="420"/>
      <c r="Y57" s="420"/>
      <c r="Z57" s="420"/>
      <c r="AA57" s="420"/>
      <c r="AB57" s="420"/>
      <c r="AC57" s="420"/>
      <c r="AD57" s="420"/>
      <c r="AE57" s="420"/>
      <c r="AF57" s="420"/>
      <c r="AG57" s="420"/>
      <c r="AH57" s="420"/>
      <c r="AI57" s="420"/>
      <c r="AJ57" s="420"/>
      <c r="AK57" s="420"/>
      <c r="AL57" s="420"/>
      <c r="AM57" s="420"/>
      <c r="AN57" s="420"/>
      <c r="AO57" s="420"/>
      <c r="AP57" s="420"/>
      <c r="AQ57" s="420"/>
      <c r="AR57" s="420"/>
      <c r="AS57" s="420"/>
      <c r="AT57" s="420"/>
      <c r="AU57" s="420"/>
      <c r="AV57" s="420"/>
      <c r="AW57" s="420"/>
      <c r="AX57" s="420"/>
      <c r="AY57" s="420"/>
      <c r="AZ57" s="422"/>
      <c r="BA57" s="422"/>
      <c r="BB57" s="405"/>
      <c r="BC57" s="406"/>
      <c r="BD57" s="391"/>
      <c r="BE57" s="444"/>
      <c r="BF57" s="444"/>
      <c r="BG57" s="391"/>
      <c r="BH57" s="444"/>
      <c r="BI57" s="444"/>
      <c r="BJ57" s="444"/>
      <c r="BK57" s="444"/>
      <c r="BL57" s="444"/>
      <c r="BM57" s="444"/>
      <c r="BN57" s="444"/>
      <c r="BO57" s="444"/>
      <c r="BP57" s="444"/>
      <c r="BQ57" s="444"/>
      <c r="BR57" s="444"/>
      <c r="BS57" s="444"/>
      <c r="BT57" s="444"/>
    </row>
    <row r="58" spans="1:72" s="443" customFormat="1" ht="12.5" customHeight="1">
      <c r="A58" s="393"/>
      <c r="B58" s="418"/>
      <c r="C58" s="423"/>
      <c r="D58" s="419"/>
      <c r="E58" s="419"/>
      <c r="F58" s="419"/>
      <c r="G58" s="421"/>
      <c r="H58" s="431"/>
      <c r="I58" s="431"/>
      <c r="J58" s="431"/>
      <c r="K58" s="431"/>
      <c r="L58" s="431"/>
      <c r="M58" s="431"/>
      <c r="N58" s="431"/>
      <c r="O58" s="431"/>
      <c r="P58" s="431"/>
      <c r="Q58" s="431"/>
      <c r="R58" s="431"/>
      <c r="S58" s="431"/>
      <c r="T58" s="431"/>
      <c r="U58" s="431"/>
      <c r="V58" s="431"/>
      <c r="W58" s="431"/>
      <c r="X58" s="431"/>
      <c r="Y58" s="431"/>
      <c r="Z58" s="431"/>
      <c r="AA58" s="431"/>
      <c r="AB58" s="431"/>
      <c r="AC58" s="431"/>
      <c r="AD58" s="431"/>
      <c r="AE58" s="431"/>
      <c r="AF58" s="431"/>
      <c r="AG58" s="431"/>
      <c r="AH58" s="431"/>
      <c r="AI58" s="431"/>
      <c r="AJ58" s="431"/>
      <c r="AK58" s="431"/>
      <c r="AL58" s="431"/>
      <c r="AM58" s="431"/>
      <c r="AN58" s="431"/>
      <c r="AO58" s="431"/>
      <c r="AP58" s="431"/>
      <c r="AQ58" s="431"/>
      <c r="AR58" s="431"/>
      <c r="AS58" s="431"/>
      <c r="AT58" s="425"/>
      <c r="AU58" s="421"/>
      <c r="AV58" s="421"/>
      <c r="AW58" s="421"/>
      <c r="AX58" s="421"/>
      <c r="AY58" s="417"/>
      <c r="AZ58" s="422"/>
      <c r="BA58" s="422"/>
      <c r="BB58" s="389"/>
      <c r="BC58" s="390"/>
      <c r="BD58" s="391"/>
      <c r="BE58" s="444"/>
      <c r="BF58" s="421" t="s">
        <v>354</v>
      </c>
      <c r="BG58" s="391"/>
      <c r="BH58" s="444"/>
      <c r="BI58" s="444"/>
      <c r="BJ58" s="444"/>
      <c r="BK58" s="444"/>
      <c r="BL58" s="444"/>
      <c r="BM58" s="444"/>
      <c r="BN58" s="444"/>
      <c r="BO58" s="444"/>
      <c r="BP58" s="444"/>
      <c r="BQ58" s="444"/>
      <c r="BR58" s="444"/>
      <c r="BS58" s="444"/>
      <c r="BT58" s="444"/>
    </row>
    <row r="59" spans="1:72" s="443" customFormat="1" ht="12.5" customHeight="1">
      <c r="A59" s="393"/>
      <c r="B59" s="426"/>
      <c r="C59" s="420"/>
      <c r="D59" s="420"/>
      <c r="E59" s="420"/>
      <c r="F59" s="420"/>
      <c r="G59" s="420"/>
      <c r="H59" s="420"/>
      <c r="I59" s="420"/>
      <c r="J59" s="420"/>
      <c r="K59" s="420"/>
      <c r="L59" s="420"/>
      <c r="M59" s="420"/>
      <c r="N59" s="420"/>
      <c r="O59" s="420"/>
      <c r="P59" s="420"/>
      <c r="Q59" s="420"/>
      <c r="R59" s="420"/>
      <c r="S59" s="420"/>
      <c r="T59" s="420"/>
      <c r="U59" s="420"/>
      <c r="V59" s="420"/>
      <c r="W59" s="420"/>
      <c r="X59" s="420"/>
      <c r="Y59" s="420"/>
      <c r="Z59" s="420"/>
      <c r="AA59" s="420"/>
      <c r="AB59" s="420"/>
      <c r="AC59" s="420"/>
      <c r="AD59" s="420"/>
      <c r="AE59" s="420"/>
      <c r="AF59" s="420"/>
      <c r="AG59" s="420"/>
      <c r="AH59" s="420"/>
      <c r="AI59" s="420"/>
      <c r="AJ59" s="420"/>
      <c r="AK59" s="420"/>
      <c r="AL59" s="420"/>
      <c r="AM59" s="420"/>
      <c r="AN59" s="420"/>
      <c r="AO59" s="420"/>
      <c r="AP59" s="420"/>
      <c r="AQ59" s="420"/>
      <c r="AR59" s="420"/>
      <c r="AS59" s="420"/>
      <c r="AT59" s="420"/>
      <c r="AU59" s="420"/>
      <c r="AV59" s="420"/>
      <c r="AW59" s="420"/>
      <c r="AX59" s="420"/>
      <c r="AY59" s="420"/>
      <c r="AZ59" s="422"/>
      <c r="BA59" s="422"/>
      <c r="BB59" s="389"/>
      <c r="BC59" s="390"/>
      <c r="BD59" s="391"/>
      <c r="BE59" s="444"/>
      <c r="BG59" s="391" t="s">
        <v>348</v>
      </c>
      <c r="BI59" s="444"/>
      <c r="BJ59" s="444"/>
      <c r="BK59" s="444"/>
      <c r="BL59" s="444"/>
      <c r="BM59" s="444"/>
      <c r="BN59" s="444"/>
      <c r="BO59" s="444"/>
      <c r="BP59" s="444"/>
      <c r="BQ59" s="444"/>
      <c r="BR59" s="444"/>
      <c r="BS59" s="444"/>
      <c r="BT59" s="444"/>
    </row>
    <row r="60" spans="1:72" s="443" customFormat="1" ht="12.5" customHeight="1">
      <c r="A60" s="393"/>
      <c r="B60" s="426"/>
      <c r="C60" s="420"/>
      <c r="D60" s="420"/>
      <c r="E60" s="420"/>
      <c r="F60" s="420"/>
      <c r="G60" s="420"/>
      <c r="H60" s="420"/>
      <c r="I60" s="420"/>
      <c r="J60" s="420"/>
      <c r="K60" s="420"/>
      <c r="L60" s="420"/>
      <c r="M60" s="420"/>
      <c r="N60" s="420"/>
      <c r="O60" s="420"/>
      <c r="P60" s="420"/>
      <c r="Q60" s="420"/>
      <c r="R60" s="420"/>
      <c r="S60" s="420"/>
      <c r="T60" s="420"/>
      <c r="U60" s="420"/>
      <c r="V60" s="420"/>
      <c r="W60" s="420"/>
      <c r="X60" s="420"/>
      <c r="Y60" s="420"/>
      <c r="Z60" s="420"/>
      <c r="AA60" s="420"/>
      <c r="AB60" s="420"/>
      <c r="AC60" s="420"/>
      <c r="AD60" s="420"/>
      <c r="AE60" s="420"/>
      <c r="AF60" s="420"/>
      <c r="AG60" s="420"/>
      <c r="AH60" s="420"/>
      <c r="AI60" s="420"/>
      <c r="AJ60" s="420"/>
      <c r="AK60" s="420"/>
      <c r="AL60" s="420"/>
      <c r="AM60" s="420"/>
      <c r="AN60" s="420"/>
      <c r="AO60" s="420"/>
      <c r="AP60" s="420"/>
      <c r="AQ60" s="420"/>
      <c r="AR60" s="420"/>
      <c r="AS60" s="420"/>
      <c r="AT60" s="420"/>
      <c r="AU60" s="420"/>
      <c r="AV60" s="420"/>
      <c r="AW60" s="420"/>
      <c r="AX60" s="420"/>
      <c r="AY60" s="420"/>
      <c r="AZ60" s="422"/>
      <c r="BA60" s="422"/>
      <c r="BB60" s="389"/>
      <c r="BC60" s="390"/>
      <c r="BD60" s="391"/>
      <c r="BE60" s="444"/>
      <c r="BF60" s="444"/>
      <c r="BG60" s="391" t="s">
        <v>349</v>
      </c>
      <c r="BH60" s="444"/>
      <c r="BI60" s="444"/>
      <c r="BJ60" s="444"/>
      <c r="BK60" s="444"/>
      <c r="BL60" s="444"/>
      <c r="BM60" s="444"/>
      <c r="BN60" s="444"/>
      <c r="BO60" s="444"/>
      <c r="BP60" s="444"/>
      <c r="BQ60" s="444"/>
      <c r="BR60" s="444"/>
      <c r="BS60" s="444"/>
      <c r="BT60" s="444"/>
    </row>
    <row r="61" spans="1:72" s="443" customFormat="1" ht="12.5" customHeight="1">
      <c r="A61" s="393"/>
      <c r="B61" s="418"/>
      <c r="C61" s="420"/>
      <c r="D61" s="420"/>
      <c r="E61" s="420"/>
      <c r="F61" s="420"/>
      <c r="G61" s="420"/>
      <c r="H61" s="420"/>
      <c r="I61" s="420"/>
      <c r="J61" s="420"/>
      <c r="K61" s="420"/>
      <c r="L61" s="420"/>
      <c r="M61" s="420"/>
      <c r="N61" s="420"/>
      <c r="O61" s="420"/>
      <c r="P61" s="420"/>
      <c r="Q61" s="420"/>
      <c r="R61" s="420"/>
      <c r="S61" s="420"/>
      <c r="T61" s="420"/>
      <c r="U61" s="420"/>
      <c r="V61" s="420"/>
      <c r="W61" s="420"/>
      <c r="X61" s="420"/>
      <c r="Y61" s="420"/>
      <c r="Z61" s="420"/>
      <c r="AA61" s="420"/>
      <c r="AB61" s="420"/>
      <c r="AC61" s="420"/>
      <c r="AD61" s="420"/>
      <c r="AE61" s="420"/>
      <c r="AF61" s="420"/>
      <c r="AG61" s="420"/>
      <c r="AH61" s="420"/>
      <c r="AI61" s="420"/>
      <c r="AJ61" s="420"/>
      <c r="AK61" s="420"/>
      <c r="AL61" s="420"/>
      <c r="AM61" s="420"/>
      <c r="AN61" s="420"/>
      <c r="AO61" s="420"/>
      <c r="AP61" s="420"/>
      <c r="AQ61" s="420"/>
      <c r="AR61" s="420"/>
      <c r="AS61" s="420"/>
      <c r="AT61" s="420"/>
      <c r="AU61" s="420"/>
      <c r="AV61" s="420"/>
      <c r="AW61" s="420"/>
      <c r="AX61" s="420"/>
      <c r="AY61" s="420"/>
      <c r="AZ61" s="422"/>
      <c r="BA61" s="422"/>
      <c r="BB61" s="405"/>
      <c r="BC61" s="406"/>
      <c r="BD61" s="391"/>
      <c r="BE61" s="444"/>
      <c r="BF61" s="444"/>
      <c r="BG61" s="444"/>
      <c r="BH61" s="444"/>
      <c r="BI61" s="444"/>
      <c r="BJ61" s="444"/>
      <c r="BK61" s="444"/>
      <c r="BL61" s="444"/>
      <c r="BM61" s="444"/>
      <c r="BN61" s="444"/>
      <c r="BO61" s="444"/>
      <c r="BP61" s="444"/>
      <c r="BQ61" s="444"/>
      <c r="BR61" s="444"/>
      <c r="BS61" s="444"/>
      <c r="BT61" s="444"/>
    </row>
    <row r="62" spans="1:72" s="443" customFormat="1" ht="12.5" customHeight="1">
      <c r="A62" s="393"/>
      <c r="B62" s="426"/>
      <c r="C62" s="420"/>
      <c r="D62" s="420"/>
      <c r="E62" s="420"/>
      <c r="F62" s="420"/>
      <c r="G62" s="420"/>
      <c r="H62" s="420"/>
      <c r="I62" s="420"/>
      <c r="J62" s="420"/>
      <c r="K62" s="420"/>
      <c r="L62" s="420"/>
      <c r="M62" s="420"/>
      <c r="N62" s="420"/>
      <c r="O62" s="420"/>
      <c r="P62" s="420"/>
      <c r="Q62" s="420"/>
      <c r="R62" s="420"/>
      <c r="S62" s="420"/>
      <c r="T62" s="420"/>
      <c r="U62" s="420"/>
      <c r="V62" s="420"/>
      <c r="W62" s="420"/>
      <c r="X62" s="420"/>
      <c r="Y62" s="420"/>
      <c r="Z62" s="420"/>
      <c r="AA62" s="420"/>
      <c r="AB62" s="420"/>
      <c r="AC62" s="420"/>
      <c r="AD62" s="420"/>
      <c r="AE62" s="420"/>
      <c r="AF62" s="420"/>
      <c r="AG62" s="420"/>
      <c r="AH62" s="420"/>
      <c r="AI62" s="420"/>
      <c r="AJ62" s="420"/>
      <c r="AK62" s="420"/>
      <c r="AL62" s="420"/>
      <c r="AM62" s="420"/>
      <c r="AN62" s="420"/>
      <c r="AO62" s="420"/>
      <c r="AP62" s="420"/>
      <c r="AQ62" s="420"/>
      <c r="AR62" s="420"/>
      <c r="AS62" s="420"/>
      <c r="AT62" s="420"/>
      <c r="AU62" s="420"/>
      <c r="AV62" s="420"/>
      <c r="AW62" s="420"/>
      <c r="AX62" s="420"/>
      <c r="AY62" s="420"/>
      <c r="AZ62" s="422"/>
      <c r="BA62" s="422"/>
      <c r="BB62" s="519"/>
      <c r="BC62" s="520"/>
      <c r="BD62" s="391"/>
      <c r="BE62" s="444"/>
      <c r="BF62" s="444"/>
      <c r="BG62" s="444"/>
      <c r="BH62" s="444"/>
      <c r="BI62" s="444"/>
      <c r="BJ62" s="444"/>
      <c r="BK62" s="444"/>
      <c r="BL62" s="444"/>
      <c r="BM62" s="444"/>
      <c r="BN62" s="444"/>
      <c r="BO62" s="444"/>
      <c r="BP62" s="444"/>
      <c r="BQ62" s="444"/>
      <c r="BR62" s="444"/>
      <c r="BS62" s="444"/>
      <c r="BT62" s="444"/>
    </row>
    <row r="63" spans="1:72" s="443" customFormat="1" ht="15">
      <c r="A63" s="393"/>
      <c r="B63" s="451"/>
      <c r="C63" s="452"/>
      <c r="D63" s="452"/>
      <c r="E63" s="452"/>
      <c r="F63" s="452"/>
      <c r="G63" s="452"/>
      <c r="H63" s="452"/>
      <c r="I63" s="452"/>
      <c r="J63" s="452"/>
      <c r="K63" s="452"/>
      <c r="L63" s="452"/>
      <c r="M63" s="452"/>
      <c r="N63" s="452"/>
      <c r="O63" s="452"/>
      <c r="P63" s="452"/>
      <c r="Q63" s="452"/>
      <c r="R63" s="452"/>
      <c r="S63" s="453"/>
      <c r="T63" s="453"/>
      <c r="U63" s="453"/>
      <c r="V63" s="453"/>
      <c r="W63" s="452"/>
      <c r="X63" s="452"/>
      <c r="Y63" s="453"/>
      <c r="Z63" s="453"/>
      <c r="AA63" s="452"/>
      <c r="AB63" s="452"/>
      <c r="AC63" s="452"/>
      <c r="AD63" s="453"/>
      <c r="AE63" s="453"/>
      <c r="AF63" s="453"/>
      <c r="AG63" s="453"/>
      <c r="AH63" s="453"/>
      <c r="AI63" s="453"/>
      <c r="AJ63" s="453"/>
      <c r="AK63" s="453"/>
      <c r="AL63" s="453"/>
      <c r="AM63" s="453"/>
      <c r="AN63" s="453"/>
      <c r="AO63" s="453"/>
      <c r="AP63" s="453"/>
      <c r="AQ63" s="453"/>
      <c r="AR63" s="453"/>
      <c r="AS63" s="453"/>
      <c r="AT63" s="453"/>
      <c r="AU63" s="453"/>
      <c r="AV63" s="453"/>
      <c r="AW63" s="453"/>
      <c r="AX63" s="453"/>
      <c r="AY63" s="451"/>
      <c r="AZ63" s="451"/>
      <c r="BA63" s="417"/>
      <c r="BB63" s="521"/>
      <c r="BC63" s="521"/>
      <c r="BD63" s="407"/>
      <c r="BE63" s="444"/>
      <c r="BF63" s="444"/>
      <c r="BG63" s="444"/>
      <c r="BH63" s="444"/>
      <c r="BI63" s="444"/>
      <c r="BJ63" s="444"/>
      <c r="BK63" s="444"/>
      <c r="BL63" s="444"/>
      <c r="BM63" s="444"/>
      <c r="BN63" s="444"/>
      <c r="BO63" s="444"/>
      <c r="BP63" s="444"/>
      <c r="BQ63" s="444"/>
      <c r="BR63" s="444"/>
      <c r="BS63" s="444"/>
      <c r="BT63" s="444"/>
    </row>
    <row r="64" spans="1:72" s="443" customFormat="1" ht="15">
      <c r="A64" s="392"/>
      <c r="B64" s="392"/>
      <c r="C64" s="392"/>
      <c r="D64" s="392"/>
      <c r="E64" s="392"/>
      <c r="F64" s="392"/>
      <c r="G64" s="392"/>
      <c r="H64" s="392"/>
      <c r="I64" s="392"/>
      <c r="J64" s="392"/>
      <c r="K64" s="392"/>
      <c r="L64" s="392"/>
      <c r="M64" s="392"/>
      <c r="N64" s="392"/>
      <c r="O64" s="392"/>
      <c r="P64" s="392"/>
      <c r="Q64" s="392"/>
      <c r="R64" s="392"/>
      <c r="S64" s="409"/>
      <c r="T64" s="409"/>
      <c r="U64" s="409"/>
      <c r="V64" s="409"/>
      <c r="W64" s="392"/>
      <c r="X64" s="392"/>
      <c r="Y64" s="409"/>
      <c r="Z64" s="409"/>
      <c r="AA64" s="392"/>
      <c r="AB64" s="392"/>
      <c r="AC64" s="392"/>
      <c r="AD64" s="409"/>
      <c r="AE64" s="409"/>
      <c r="AF64" s="409"/>
      <c r="AG64" s="409"/>
      <c r="AH64" s="409"/>
      <c r="AI64" s="409"/>
      <c r="AJ64" s="409"/>
      <c r="AK64" s="409"/>
      <c r="AL64" s="409"/>
      <c r="AM64" s="409"/>
      <c r="AN64" s="409"/>
      <c r="AO64" s="409"/>
      <c r="AP64" s="409"/>
      <c r="AQ64" s="409"/>
      <c r="AR64" s="409"/>
      <c r="AS64" s="409"/>
      <c r="AT64" s="409"/>
      <c r="AU64" s="409"/>
      <c r="AV64" s="409"/>
      <c r="AW64" s="409"/>
      <c r="AX64" s="409"/>
      <c r="AY64" s="409"/>
      <c r="AZ64" s="409"/>
      <c r="BA64" s="409"/>
      <c r="BB64" s="409"/>
      <c r="BC64" s="409"/>
      <c r="BD64" s="407"/>
      <c r="BE64" s="444"/>
      <c r="BF64" s="444"/>
      <c r="BG64" s="444"/>
      <c r="BH64" s="444"/>
      <c r="BI64" s="444"/>
      <c r="BJ64" s="444"/>
      <c r="BK64" s="444"/>
      <c r="BL64" s="444"/>
      <c r="BM64" s="444"/>
      <c r="BN64" s="444"/>
      <c r="BO64" s="444"/>
      <c r="BP64" s="444"/>
      <c r="BQ64" s="444"/>
      <c r="BR64" s="444"/>
      <c r="BS64" s="444"/>
      <c r="BT64" s="444"/>
    </row>
    <row r="65" spans="1:72" s="443" customFormat="1" ht="15">
      <c r="A65" s="392"/>
      <c r="B65" s="392"/>
      <c r="C65" s="392"/>
      <c r="D65" s="392"/>
      <c r="E65" s="392"/>
      <c r="F65" s="392"/>
      <c r="G65" s="392"/>
      <c r="H65" s="392"/>
      <c r="I65" s="392"/>
      <c r="J65" s="392"/>
      <c r="K65" s="392"/>
      <c r="L65" s="392"/>
      <c r="M65" s="392"/>
      <c r="N65" s="392"/>
      <c r="O65" s="392"/>
      <c r="P65" s="392"/>
      <c r="Q65" s="392"/>
      <c r="R65" s="392"/>
      <c r="S65" s="409"/>
      <c r="T65" s="409"/>
      <c r="U65" s="409"/>
      <c r="V65" s="409"/>
      <c r="W65" s="392"/>
      <c r="X65" s="392"/>
      <c r="Y65" s="409"/>
      <c r="Z65" s="409"/>
      <c r="AA65" s="392"/>
      <c r="AB65" s="392"/>
      <c r="AC65" s="392"/>
      <c r="AD65" s="409"/>
      <c r="AE65" s="409"/>
      <c r="AF65" s="409"/>
      <c r="AG65" s="409"/>
      <c r="AH65" s="409"/>
      <c r="AI65" s="409"/>
      <c r="AJ65" s="409"/>
      <c r="AK65" s="409"/>
      <c r="AL65" s="409"/>
      <c r="AM65" s="409"/>
      <c r="AN65" s="409"/>
      <c r="AO65" s="409"/>
      <c r="AP65" s="409"/>
      <c r="AQ65" s="409"/>
      <c r="AR65" s="409"/>
      <c r="AS65" s="409"/>
      <c r="AT65" s="409"/>
      <c r="AU65" s="409"/>
      <c r="AV65" s="409"/>
      <c r="AW65" s="409"/>
      <c r="AX65" s="409"/>
      <c r="AY65" s="409"/>
      <c r="AZ65" s="409"/>
      <c r="BA65" s="409"/>
      <c r="BB65" s="409"/>
      <c r="BC65" s="409"/>
      <c r="BD65" s="407"/>
      <c r="BE65" s="444"/>
      <c r="BF65" s="444"/>
      <c r="BG65" s="444"/>
      <c r="BH65" s="444"/>
      <c r="BI65" s="444"/>
      <c r="BJ65" s="444"/>
      <c r="BK65" s="444"/>
      <c r="BL65" s="444"/>
      <c r="BM65" s="444"/>
      <c r="BN65" s="444"/>
      <c r="BO65" s="444"/>
      <c r="BP65" s="444"/>
      <c r="BQ65" s="444"/>
      <c r="BR65" s="444"/>
      <c r="BS65" s="444"/>
      <c r="BT65" s="444"/>
    </row>
    <row r="66" spans="1:72" s="443" customFormat="1" ht="15">
      <c r="A66" s="392"/>
      <c r="B66" s="392"/>
      <c r="C66" s="392"/>
      <c r="D66" s="392"/>
      <c r="E66" s="392"/>
      <c r="F66" s="392"/>
      <c r="G66" s="392"/>
      <c r="H66" s="392"/>
      <c r="I66" s="392"/>
      <c r="J66" s="392"/>
      <c r="K66" s="392"/>
      <c r="L66" s="392"/>
      <c r="M66" s="392"/>
      <c r="N66" s="392"/>
      <c r="O66" s="392"/>
      <c r="P66" s="392"/>
      <c r="Q66" s="392"/>
      <c r="R66" s="392"/>
      <c r="S66" s="409"/>
      <c r="T66" s="409"/>
      <c r="U66" s="409"/>
      <c r="V66" s="409"/>
      <c r="W66" s="392"/>
      <c r="X66" s="392"/>
      <c r="Y66" s="409"/>
      <c r="Z66" s="409"/>
      <c r="AA66" s="392"/>
      <c r="AB66" s="392"/>
      <c r="AC66" s="392"/>
      <c r="AD66" s="409"/>
      <c r="AE66" s="409"/>
      <c r="AF66" s="409"/>
      <c r="AG66" s="409"/>
      <c r="AH66" s="409"/>
      <c r="AI66" s="409"/>
      <c r="AJ66" s="409"/>
      <c r="AK66" s="409"/>
      <c r="AL66" s="409"/>
      <c r="AM66" s="409"/>
      <c r="AN66" s="409"/>
      <c r="AO66" s="409"/>
      <c r="AP66" s="409"/>
      <c r="AQ66" s="409"/>
      <c r="AR66" s="409"/>
      <c r="AS66" s="409"/>
      <c r="AT66" s="409"/>
      <c r="AU66" s="409"/>
      <c r="AV66" s="409"/>
      <c r="AW66" s="409"/>
      <c r="AX66" s="409"/>
      <c r="AY66" s="409"/>
      <c r="AZ66" s="409"/>
      <c r="BA66" s="409"/>
      <c r="BB66" s="409"/>
      <c r="BC66" s="409"/>
      <c r="BD66" s="407"/>
      <c r="BE66" s="444"/>
      <c r="BF66" s="444"/>
      <c r="BG66" s="444"/>
      <c r="BH66" s="444"/>
      <c r="BI66" s="444"/>
      <c r="BJ66" s="444"/>
      <c r="BK66" s="444"/>
      <c r="BL66" s="444"/>
      <c r="BM66" s="444"/>
      <c r="BN66" s="444"/>
      <c r="BO66" s="444"/>
      <c r="BP66" s="444"/>
      <c r="BQ66" s="444"/>
      <c r="BR66" s="444"/>
      <c r="BS66" s="444"/>
      <c r="BT66" s="444"/>
    </row>
    <row r="67" spans="1:72" s="443" customFormat="1" ht="15">
      <c r="A67" s="392"/>
      <c r="B67" s="392"/>
      <c r="C67" s="392"/>
      <c r="D67" s="392"/>
      <c r="E67" s="392"/>
      <c r="F67" s="392"/>
      <c r="G67" s="392"/>
      <c r="H67" s="392"/>
      <c r="I67" s="392"/>
      <c r="J67" s="392"/>
      <c r="K67" s="392"/>
      <c r="L67" s="392"/>
      <c r="M67" s="392"/>
      <c r="N67" s="392"/>
      <c r="O67" s="392"/>
      <c r="P67" s="392"/>
      <c r="Q67" s="392"/>
      <c r="R67" s="392"/>
      <c r="S67" s="409"/>
      <c r="T67" s="409"/>
      <c r="U67" s="409"/>
      <c r="V67" s="409"/>
      <c r="W67" s="392"/>
      <c r="X67" s="392"/>
      <c r="Y67" s="409"/>
      <c r="Z67" s="409"/>
      <c r="AA67" s="392"/>
      <c r="AB67" s="392"/>
      <c r="AC67" s="392"/>
      <c r="AD67" s="409"/>
      <c r="AE67" s="409"/>
      <c r="AF67" s="409"/>
      <c r="AG67" s="409"/>
      <c r="AH67" s="409"/>
      <c r="AI67" s="409"/>
      <c r="AJ67" s="409"/>
      <c r="AK67" s="409"/>
      <c r="AL67" s="409"/>
      <c r="AM67" s="409"/>
      <c r="AN67" s="409"/>
      <c r="AO67" s="409"/>
      <c r="AP67" s="409"/>
      <c r="AQ67" s="409"/>
      <c r="AR67" s="409"/>
      <c r="AS67" s="409"/>
      <c r="AT67" s="409"/>
      <c r="AU67" s="409"/>
      <c r="AV67" s="409"/>
      <c r="AW67" s="409"/>
      <c r="AX67" s="409"/>
      <c r="AY67" s="409"/>
      <c r="AZ67" s="409"/>
      <c r="BA67" s="409"/>
      <c r="BB67" s="409"/>
      <c r="BC67" s="409"/>
      <c r="BD67" s="407"/>
      <c r="BE67" s="444"/>
      <c r="BF67" s="444"/>
      <c r="BG67" s="444"/>
      <c r="BH67" s="444"/>
      <c r="BI67" s="444"/>
      <c r="BJ67" s="444"/>
      <c r="BK67" s="444"/>
      <c r="BL67" s="444"/>
      <c r="BM67" s="444"/>
      <c r="BN67" s="444"/>
      <c r="BO67" s="444"/>
      <c r="BP67" s="444"/>
      <c r="BQ67" s="444"/>
      <c r="BR67" s="444"/>
      <c r="BS67" s="444"/>
      <c r="BT67" s="444"/>
    </row>
    <row r="68" spans="1:72" s="443" customFormat="1" ht="15">
      <c r="A68" s="392"/>
      <c r="B68" s="392"/>
      <c r="C68" s="392"/>
      <c r="D68" s="392"/>
      <c r="E68" s="392"/>
      <c r="F68" s="392"/>
      <c r="G68" s="392"/>
      <c r="H68" s="392"/>
      <c r="I68" s="392"/>
      <c r="J68" s="392"/>
      <c r="K68" s="392"/>
      <c r="L68" s="392"/>
      <c r="M68" s="392"/>
      <c r="N68" s="392"/>
      <c r="O68" s="392"/>
      <c r="P68" s="392"/>
      <c r="Q68" s="392"/>
      <c r="R68" s="392"/>
      <c r="S68" s="409"/>
      <c r="T68" s="409"/>
      <c r="U68" s="409"/>
      <c r="V68" s="409"/>
      <c r="W68" s="392"/>
      <c r="X68" s="392"/>
      <c r="Y68" s="409"/>
      <c r="Z68" s="409"/>
      <c r="AA68" s="392"/>
      <c r="AB68" s="392"/>
      <c r="AC68" s="392"/>
      <c r="AD68" s="409"/>
      <c r="AE68" s="409"/>
      <c r="AF68" s="409"/>
      <c r="AG68" s="409"/>
      <c r="AH68" s="409"/>
      <c r="AI68" s="409"/>
      <c r="AJ68" s="409"/>
      <c r="AK68" s="409"/>
      <c r="AL68" s="409"/>
      <c r="AM68" s="409"/>
      <c r="AN68" s="409"/>
      <c r="AO68" s="409"/>
      <c r="AP68" s="409"/>
      <c r="AQ68" s="409"/>
      <c r="AR68" s="409"/>
      <c r="AS68" s="409"/>
      <c r="AT68" s="409"/>
      <c r="AU68" s="409"/>
      <c r="AV68" s="409"/>
      <c r="AW68" s="409"/>
      <c r="AX68" s="409"/>
      <c r="AY68" s="409"/>
      <c r="AZ68" s="409"/>
      <c r="BA68" s="409"/>
      <c r="BB68" s="409"/>
      <c r="BC68" s="409"/>
      <c r="BD68" s="407"/>
      <c r="BE68" s="444"/>
      <c r="BF68" s="444"/>
      <c r="BG68" s="444"/>
      <c r="BH68" s="444"/>
      <c r="BI68" s="444"/>
      <c r="BJ68" s="444"/>
      <c r="BK68" s="444"/>
      <c r="BL68" s="444"/>
      <c r="BM68" s="444"/>
      <c r="BN68" s="444"/>
      <c r="BO68" s="444"/>
      <c r="BP68" s="444"/>
      <c r="BQ68" s="444"/>
      <c r="BR68" s="444"/>
      <c r="BS68" s="444"/>
      <c r="BT68" s="444"/>
    </row>
    <row r="69" spans="1:72" s="443" customFormat="1" ht="15">
      <c r="A69" s="392"/>
      <c r="B69" s="392"/>
      <c r="C69" s="392"/>
      <c r="D69" s="392"/>
      <c r="E69" s="392"/>
      <c r="F69" s="392"/>
      <c r="G69" s="392"/>
      <c r="H69" s="392"/>
      <c r="I69" s="392"/>
      <c r="J69" s="392"/>
      <c r="K69" s="392"/>
      <c r="L69" s="392"/>
      <c r="M69" s="392"/>
      <c r="N69" s="392"/>
      <c r="O69" s="392"/>
      <c r="P69" s="392"/>
      <c r="Q69" s="392"/>
      <c r="R69" s="392"/>
      <c r="S69" s="409"/>
      <c r="T69" s="409"/>
      <c r="U69" s="409"/>
      <c r="V69" s="409"/>
      <c r="W69" s="392"/>
      <c r="X69" s="392"/>
      <c r="Y69" s="409"/>
      <c r="Z69" s="409"/>
      <c r="AA69" s="392"/>
      <c r="AB69" s="392"/>
      <c r="AC69" s="392"/>
      <c r="AD69" s="409"/>
      <c r="AE69" s="409"/>
      <c r="AF69" s="409"/>
      <c r="AG69" s="409"/>
      <c r="AH69" s="409"/>
      <c r="AI69" s="409"/>
      <c r="AJ69" s="409"/>
      <c r="AK69" s="409"/>
      <c r="AL69" s="409"/>
      <c r="AM69" s="409"/>
      <c r="AN69" s="409"/>
      <c r="AO69" s="409"/>
      <c r="AP69" s="409"/>
      <c r="AQ69" s="409"/>
      <c r="AR69" s="409"/>
      <c r="AS69" s="409"/>
      <c r="AT69" s="409"/>
      <c r="AU69" s="409"/>
      <c r="AV69" s="409"/>
      <c r="AW69" s="409"/>
      <c r="AX69" s="409"/>
      <c r="AY69" s="409"/>
      <c r="AZ69" s="409"/>
      <c r="BA69" s="409"/>
      <c r="BB69" s="409"/>
      <c r="BC69" s="409"/>
      <c r="BD69" s="407"/>
      <c r="BE69" s="444"/>
      <c r="BF69" s="444"/>
      <c r="BG69" s="444"/>
      <c r="BH69" s="444"/>
      <c r="BI69" s="444"/>
      <c r="BJ69" s="444"/>
      <c r="BK69" s="444"/>
      <c r="BL69" s="444"/>
      <c r="BM69" s="444"/>
      <c r="BN69" s="444"/>
      <c r="BO69" s="444"/>
      <c r="BP69" s="444"/>
      <c r="BQ69" s="444"/>
      <c r="BR69" s="444"/>
      <c r="BS69" s="444"/>
      <c r="BT69" s="444"/>
    </row>
    <row r="70" spans="1:72" s="443" customFormat="1" ht="15">
      <c r="A70" s="392"/>
      <c r="B70" s="392"/>
      <c r="C70" s="392"/>
      <c r="D70" s="392"/>
      <c r="E70" s="392"/>
      <c r="F70" s="392"/>
      <c r="G70" s="392"/>
      <c r="H70" s="392"/>
      <c r="I70" s="392"/>
      <c r="J70" s="392"/>
      <c r="K70" s="392"/>
      <c r="L70" s="392"/>
      <c r="M70" s="392"/>
      <c r="N70" s="392"/>
      <c r="O70" s="392"/>
      <c r="P70" s="392"/>
      <c r="Q70" s="392"/>
      <c r="R70" s="392"/>
      <c r="S70" s="409"/>
      <c r="T70" s="409"/>
      <c r="U70" s="409"/>
      <c r="V70" s="409"/>
      <c r="W70" s="392"/>
      <c r="X70" s="392"/>
      <c r="Y70" s="409"/>
      <c r="Z70" s="409"/>
      <c r="AA70" s="392"/>
      <c r="AB70" s="392"/>
      <c r="AC70" s="392"/>
      <c r="AD70" s="409"/>
      <c r="AE70" s="409"/>
      <c r="AF70" s="409"/>
      <c r="AG70" s="409"/>
      <c r="AH70" s="409"/>
      <c r="AI70" s="409"/>
      <c r="AJ70" s="409"/>
      <c r="AK70" s="409"/>
      <c r="AL70" s="409"/>
      <c r="AM70" s="409"/>
      <c r="AN70" s="409"/>
      <c r="AO70" s="409"/>
      <c r="AP70" s="409"/>
      <c r="AQ70" s="409"/>
      <c r="AR70" s="409"/>
      <c r="AS70" s="409"/>
      <c r="AT70" s="409"/>
      <c r="AU70" s="409"/>
      <c r="AV70" s="409"/>
      <c r="AW70" s="409"/>
      <c r="AX70" s="409"/>
      <c r="AY70" s="409"/>
      <c r="AZ70" s="409"/>
      <c r="BA70" s="409"/>
      <c r="BB70" s="409"/>
      <c r="BC70" s="409"/>
      <c r="BD70" s="407"/>
      <c r="BE70" s="444"/>
      <c r="BF70" s="444"/>
      <c r="BG70" s="444"/>
      <c r="BH70" s="444"/>
      <c r="BI70" s="444"/>
      <c r="BJ70" s="444"/>
      <c r="BK70" s="444"/>
      <c r="BL70" s="444"/>
      <c r="BM70" s="444"/>
      <c r="BN70" s="444"/>
      <c r="BO70" s="444"/>
      <c r="BP70" s="444"/>
      <c r="BQ70" s="444"/>
      <c r="BR70" s="444"/>
      <c r="BS70" s="444"/>
      <c r="BT70" s="444"/>
    </row>
    <row r="71" spans="1:72" s="443" customFormat="1" ht="15">
      <c r="A71" s="392"/>
      <c r="B71" s="392"/>
      <c r="C71" s="392"/>
      <c r="D71" s="392"/>
      <c r="E71" s="392"/>
      <c r="F71" s="392"/>
      <c r="G71" s="392"/>
      <c r="H71" s="392"/>
      <c r="I71" s="392"/>
      <c r="J71" s="392"/>
      <c r="K71" s="392"/>
      <c r="L71" s="392"/>
      <c r="M71" s="392"/>
      <c r="N71" s="392"/>
      <c r="O71" s="392"/>
      <c r="P71" s="392"/>
      <c r="Q71" s="392"/>
      <c r="R71" s="392"/>
      <c r="S71" s="409"/>
      <c r="T71" s="409"/>
      <c r="U71" s="409"/>
      <c r="V71" s="409"/>
      <c r="W71" s="392"/>
      <c r="X71" s="392"/>
      <c r="Y71" s="409"/>
      <c r="Z71" s="409"/>
      <c r="AA71" s="392"/>
      <c r="AB71" s="392"/>
      <c r="AC71" s="392"/>
      <c r="AD71" s="409"/>
      <c r="AE71" s="409"/>
      <c r="AF71" s="409"/>
      <c r="AG71" s="409"/>
      <c r="AH71" s="409"/>
      <c r="AI71" s="409"/>
      <c r="AJ71" s="409"/>
      <c r="AK71" s="409"/>
      <c r="AL71" s="409"/>
      <c r="AM71" s="409"/>
      <c r="AN71" s="409"/>
      <c r="AO71" s="409"/>
      <c r="AP71" s="409"/>
      <c r="AQ71" s="409"/>
      <c r="AR71" s="409"/>
      <c r="AS71" s="409"/>
      <c r="AT71" s="409"/>
      <c r="AU71" s="409"/>
      <c r="AV71" s="409"/>
      <c r="AW71" s="409"/>
      <c r="AX71" s="409"/>
      <c r="AY71" s="409"/>
      <c r="AZ71" s="409"/>
      <c r="BA71" s="409"/>
      <c r="BB71" s="409"/>
      <c r="BC71" s="409"/>
      <c r="BD71" s="407"/>
      <c r="BE71" s="444"/>
      <c r="BF71" s="444"/>
      <c r="BG71" s="444"/>
      <c r="BH71" s="444"/>
      <c r="BI71" s="444"/>
      <c r="BJ71" s="444"/>
      <c r="BK71" s="444"/>
      <c r="BL71" s="444"/>
      <c r="BM71" s="444"/>
      <c r="BN71" s="444"/>
      <c r="BO71" s="444"/>
      <c r="BP71" s="444"/>
      <c r="BQ71" s="444"/>
      <c r="BR71" s="444"/>
      <c r="BS71" s="444"/>
      <c r="BT71" s="444"/>
    </row>
    <row r="72" spans="1:72" s="443" customFormat="1" ht="15">
      <c r="A72" s="392"/>
      <c r="B72" s="392"/>
      <c r="C72" s="392"/>
      <c r="D72" s="392"/>
      <c r="E72" s="392"/>
      <c r="F72" s="392"/>
      <c r="G72" s="392"/>
      <c r="H72" s="392"/>
      <c r="I72" s="392"/>
      <c r="J72" s="392"/>
      <c r="K72" s="392"/>
      <c r="L72" s="392"/>
      <c r="M72" s="392"/>
      <c r="N72" s="392"/>
      <c r="O72" s="392"/>
      <c r="P72" s="392"/>
      <c r="Q72" s="392"/>
      <c r="R72" s="392"/>
      <c r="S72" s="409"/>
      <c r="T72" s="409"/>
      <c r="U72" s="409"/>
      <c r="V72" s="409"/>
      <c r="W72" s="392"/>
      <c r="X72" s="392"/>
      <c r="Y72" s="409"/>
      <c r="Z72" s="409"/>
      <c r="AA72" s="392"/>
      <c r="AB72" s="392"/>
      <c r="AC72" s="392"/>
      <c r="AD72" s="409"/>
      <c r="AE72" s="409"/>
      <c r="AF72" s="409"/>
      <c r="AG72" s="409"/>
      <c r="AH72" s="409"/>
      <c r="AI72" s="409"/>
      <c r="AJ72" s="409"/>
      <c r="AK72" s="409"/>
      <c r="AL72" s="409"/>
      <c r="AM72" s="409"/>
      <c r="AN72" s="409"/>
      <c r="AO72" s="409"/>
      <c r="AP72" s="409"/>
      <c r="AQ72" s="409"/>
      <c r="AR72" s="409"/>
      <c r="AS72" s="409"/>
      <c r="AT72" s="409"/>
      <c r="AU72" s="409"/>
      <c r="AV72" s="409"/>
      <c r="AW72" s="409"/>
      <c r="AX72" s="409"/>
      <c r="AY72" s="409"/>
      <c r="AZ72" s="409"/>
      <c r="BA72" s="409"/>
      <c r="BB72" s="409"/>
      <c r="BC72" s="409"/>
      <c r="BD72" s="407"/>
      <c r="BE72" s="444"/>
      <c r="BF72" s="444"/>
      <c r="BG72" s="444"/>
      <c r="BH72" s="444"/>
      <c r="BI72" s="444"/>
      <c r="BJ72" s="444"/>
      <c r="BK72" s="444"/>
      <c r="BL72" s="444"/>
      <c r="BM72" s="444"/>
      <c r="BN72" s="444"/>
      <c r="BO72" s="444"/>
      <c r="BP72" s="444"/>
      <c r="BQ72" s="444"/>
      <c r="BR72" s="444"/>
      <c r="BS72" s="444"/>
      <c r="BT72" s="444"/>
    </row>
    <row r="73" spans="1:72" s="443" customFormat="1" ht="15">
      <c r="A73" s="392"/>
      <c r="B73" s="392"/>
      <c r="C73" s="392"/>
      <c r="D73" s="392"/>
      <c r="E73" s="392"/>
      <c r="F73" s="392"/>
      <c r="G73" s="392"/>
      <c r="H73" s="392"/>
      <c r="I73" s="392"/>
      <c r="J73" s="392"/>
      <c r="K73" s="392"/>
      <c r="L73" s="392"/>
      <c r="M73" s="392"/>
      <c r="N73" s="392"/>
      <c r="O73" s="392"/>
      <c r="P73" s="392"/>
      <c r="Q73" s="392"/>
      <c r="R73" s="392"/>
      <c r="S73" s="409"/>
      <c r="T73" s="409"/>
      <c r="U73" s="409"/>
      <c r="V73" s="409"/>
      <c r="W73" s="392"/>
      <c r="X73" s="392"/>
      <c r="Y73" s="409"/>
      <c r="Z73" s="409"/>
      <c r="AA73" s="392"/>
      <c r="AB73" s="392"/>
      <c r="AC73" s="392"/>
      <c r="AD73" s="409"/>
      <c r="AE73" s="409"/>
      <c r="AF73" s="409"/>
      <c r="AG73" s="409"/>
      <c r="AH73" s="409"/>
      <c r="AI73" s="409"/>
      <c r="AJ73" s="409"/>
      <c r="AK73" s="409"/>
      <c r="AL73" s="409"/>
      <c r="AM73" s="409"/>
      <c r="AN73" s="409"/>
      <c r="AO73" s="409"/>
      <c r="AP73" s="409"/>
      <c r="AQ73" s="409"/>
      <c r="AR73" s="409"/>
      <c r="AS73" s="409"/>
      <c r="AT73" s="409"/>
      <c r="AU73" s="409"/>
      <c r="AV73" s="409"/>
      <c r="AW73" s="409"/>
      <c r="AX73" s="409"/>
      <c r="AY73" s="409"/>
      <c r="AZ73" s="409"/>
      <c r="BA73" s="409"/>
      <c r="BB73" s="409"/>
      <c r="BC73" s="409"/>
      <c r="BD73" s="407"/>
      <c r="BE73" s="444"/>
      <c r="BF73" s="444"/>
      <c r="BG73" s="444"/>
      <c r="BH73" s="444"/>
      <c r="BI73" s="444"/>
      <c r="BJ73" s="444"/>
      <c r="BK73" s="444"/>
      <c r="BL73" s="444"/>
      <c r="BM73" s="444"/>
      <c r="BN73" s="444"/>
      <c r="BO73" s="444"/>
      <c r="BP73" s="444"/>
      <c r="BQ73" s="444"/>
      <c r="BR73" s="444"/>
      <c r="BS73" s="444"/>
      <c r="BT73" s="444"/>
    </row>
    <row r="74" spans="1:72" s="443" customFormat="1" ht="15">
      <c r="A74" s="392"/>
      <c r="B74" s="392"/>
      <c r="C74" s="392"/>
      <c r="D74" s="392"/>
      <c r="E74" s="392"/>
      <c r="F74" s="392"/>
      <c r="G74" s="392"/>
      <c r="H74" s="392"/>
      <c r="I74" s="392"/>
      <c r="J74" s="392"/>
      <c r="K74" s="392"/>
      <c r="L74" s="392"/>
      <c r="M74" s="392"/>
      <c r="N74" s="392"/>
      <c r="O74" s="392"/>
      <c r="P74" s="392"/>
      <c r="Q74" s="392"/>
      <c r="R74" s="392"/>
      <c r="S74" s="409"/>
      <c r="T74" s="409"/>
      <c r="U74" s="409"/>
      <c r="V74" s="409"/>
      <c r="W74" s="392"/>
      <c r="X74" s="392"/>
      <c r="Y74" s="409"/>
      <c r="Z74" s="409"/>
      <c r="AA74" s="392"/>
      <c r="AB74" s="392"/>
      <c r="AC74" s="392"/>
      <c r="AD74" s="409"/>
      <c r="AE74" s="409"/>
      <c r="AF74" s="409"/>
      <c r="AG74" s="409"/>
      <c r="AH74" s="409"/>
      <c r="AI74" s="409"/>
      <c r="AJ74" s="409"/>
      <c r="AK74" s="409"/>
      <c r="AL74" s="409"/>
      <c r="AM74" s="409"/>
      <c r="AN74" s="409"/>
      <c r="AO74" s="409"/>
      <c r="AP74" s="409"/>
      <c r="AQ74" s="409"/>
      <c r="AR74" s="409"/>
      <c r="AS74" s="409"/>
      <c r="AT74" s="409"/>
      <c r="AU74" s="409"/>
      <c r="AV74" s="409"/>
      <c r="AW74" s="409"/>
      <c r="AX74" s="409"/>
      <c r="AY74" s="409"/>
      <c r="AZ74" s="409"/>
      <c r="BA74" s="409"/>
      <c r="BB74" s="409"/>
      <c r="BC74" s="409"/>
      <c r="BD74" s="407"/>
      <c r="BE74" s="444"/>
      <c r="BF74" s="444"/>
      <c r="BG74" s="444"/>
      <c r="BH74" s="444"/>
      <c r="BI74" s="444"/>
      <c r="BJ74" s="444"/>
      <c r="BK74" s="444"/>
      <c r="BL74" s="444"/>
      <c r="BM74" s="444"/>
      <c r="BN74" s="444"/>
      <c r="BO74" s="444"/>
      <c r="BP74" s="444"/>
      <c r="BQ74" s="444"/>
      <c r="BR74" s="444"/>
      <c r="BS74" s="444"/>
      <c r="BT74" s="444"/>
    </row>
    <row r="75" spans="1:72" s="443" customFormat="1" ht="15">
      <c r="A75" s="392"/>
      <c r="B75" s="392"/>
      <c r="C75" s="392"/>
      <c r="D75" s="392"/>
      <c r="E75" s="392"/>
      <c r="F75" s="392"/>
      <c r="G75" s="392"/>
      <c r="H75" s="392"/>
      <c r="I75" s="392"/>
      <c r="J75" s="392"/>
      <c r="K75" s="392"/>
      <c r="L75" s="392"/>
      <c r="M75" s="392"/>
      <c r="N75" s="392"/>
      <c r="O75" s="392"/>
      <c r="P75" s="392"/>
      <c r="Q75" s="392"/>
      <c r="R75" s="392"/>
      <c r="S75" s="409"/>
      <c r="T75" s="409"/>
      <c r="U75" s="409"/>
      <c r="V75" s="409"/>
      <c r="W75" s="392"/>
      <c r="X75" s="392"/>
      <c r="Y75" s="409"/>
      <c r="Z75" s="409"/>
      <c r="AA75" s="392"/>
      <c r="AB75" s="392"/>
      <c r="AC75" s="392"/>
      <c r="AD75" s="409"/>
      <c r="AE75" s="409"/>
      <c r="AF75" s="409"/>
      <c r="AG75" s="409"/>
      <c r="AH75" s="409"/>
      <c r="AI75" s="409"/>
      <c r="AJ75" s="409"/>
      <c r="AK75" s="409"/>
      <c r="AL75" s="409"/>
      <c r="AM75" s="409"/>
      <c r="AN75" s="409"/>
      <c r="AO75" s="409"/>
      <c r="AP75" s="409"/>
      <c r="AQ75" s="409"/>
      <c r="AR75" s="409"/>
      <c r="AS75" s="409"/>
      <c r="AT75" s="409"/>
      <c r="AU75" s="409"/>
      <c r="AV75" s="409"/>
      <c r="AW75" s="409"/>
      <c r="AX75" s="409"/>
      <c r="AY75" s="409"/>
      <c r="AZ75" s="409"/>
      <c r="BA75" s="409"/>
      <c r="BB75" s="409"/>
      <c r="BC75" s="409"/>
      <c r="BD75" s="407"/>
      <c r="BE75" s="444"/>
      <c r="BF75" s="444"/>
      <c r="BG75" s="444"/>
      <c r="BH75" s="444"/>
      <c r="BI75" s="444"/>
      <c r="BJ75" s="444"/>
      <c r="BK75" s="444"/>
      <c r="BL75" s="444"/>
      <c r="BM75" s="444"/>
      <c r="BN75" s="444"/>
      <c r="BO75" s="444"/>
      <c r="BP75" s="444"/>
      <c r="BQ75" s="444"/>
      <c r="BR75" s="444"/>
      <c r="BS75" s="444"/>
      <c r="BT75" s="444"/>
    </row>
    <row r="76" spans="1:72" s="443" customFormat="1" ht="15">
      <c r="A76" s="392"/>
      <c r="B76" s="392"/>
      <c r="C76" s="392"/>
      <c r="D76" s="392"/>
      <c r="E76" s="392"/>
      <c r="F76" s="392"/>
      <c r="G76" s="392"/>
      <c r="H76" s="392"/>
      <c r="I76" s="392"/>
      <c r="J76" s="392"/>
      <c r="K76" s="392"/>
      <c r="L76" s="392"/>
      <c r="M76" s="392"/>
      <c r="N76" s="392"/>
      <c r="O76" s="392"/>
      <c r="P76" s="392"/>
      <c r="Q76" s="392"/>
      <c r="R76" s="392"/>
      <c r="S76" s="409"/>
      <c r="T76" s="409"/>
      <c r="U76" s="409"/>
      <c r="V76" s="409"/>
      <c r="W76" s="392"/>
      <c r="X76" s="392"/>
      <c r="Y76" s="409"/>
      <c r="Z76" s="409"/>
      <c r="AA76" s="392"/>
      <c r="AB76" s="392"/>
      <c r="AC76" s="392"/>
      <c r="AD76" s="409"/>
      <c r="AE76" s="409"/>
      <c r="AF76" s="409"/>
      <c r="AG76" s="409"/>
      <c r="AH76" s="409"/>
      <c r="AI76" s="409"/>
      <c r="AJ76" s="409"/>
      <c r="AK76" s="409"/>
      <c r="AL76" s="409"/>
      <c r="AM76" s="409"/>
      <c r="AN76" s="409"/>
      <c r="AO76" s="409"/>
      <c r="AP76" s="409"/>
      <c r="AQ76" s="409"/>
      <c r="AR76" s="409"/>
      <c r="AS76" s="409"/>
      <c r="AT76" s="409"/>
      <c r="AU76" s="409"/>
      <c r="AV76" s="409"/>
      <c r="AW76" s="409"/>
      <c r="AX76" s="409"/>
      <c r="AY76" s="409"/>
      <c r="AZ76" s="409"/>
      <c r="BA76" s="409"/>
      <c r="BB76" s="409"/>
      <c r="BC76" s="409"/>
      <c r="BD76" s="407"/>
      <c r="BE76" s="444"/>
      <c r="BF76" s="444"/>
      <c r="BG76" s="444"/>
      <c r="BH76" s="444"/>
      <c r="BI76" s="444"/>
      <c r="BJ76" s="444"/>
      <c r="BK76" s="444"/>
      <c r="BL76" s="444"/>
      <c r="BM76" s="444"/>
      <c r="BN76" s="444"/>
      <c r="BO76" s="444"/>
      <c r="BP76" s="444"/>
      <c r="BQ76" s="444"/>
      <c r="BR76" s="444"/>
      <c r="BS76" s="444"/>
      <c r="BT76" s="444"/>
    </row>
    <row r="77" spans="1:72" s="443" customFormat="1" ht="15">
      <c r="A77" s="392"/>
      <c r="B77" s="392"/>
      <c r="C77" s="392"/>
      <c r="D77" s="392"/>
      <c r="E77" s="392"/>
      <c r="F77" s="392"/>
      <c r="G77" s="392"/>
      <c r="H77" s="392"/>
      <c r="I77" s="392"/>
      <c r="J77" s="392"/>
      <c r="K77" s="392"/>
      <c r="L77" s="392"/>
      <c r="M77" s="392"/>
      <c r="N77" s="392"/>
      <c r="O77" s="392"/>
      <c r="P77" s="392"/>
      <c r="Q77" s="392"/>
      <c r="R77" s="392"/>
      <c r="S77" s="409"/>
      <c r="T77" s="409"/>
      <c r="U77" s="409"/>
      <c r="V77" s="409"/>
      <c r="W77" s="392"/>
      <c r="X77" s="392"/>
      <c r="Y77" s="409"/>
      <c r="Z77" s="409"/>
      <c r="AA77" s="392"/>
      <c r="AB77" s="392"/>
      <c r="AC77" s="392"/>
      <c r="AD77" s="409"/>
      <c r="AE77" s="409"/>
      <c r="AF77" s="409"/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409"/>
      <c r="AS77" s="409"/>
      <c r="AT77" s="409"/>
      <c r="AU77" s="409"/>
      <c r="AV77" s="409"/>
      <c r="AW77" s="409"/>
      <c r="AX77" s="409"/>
      <c r="AY77" s="409"/>
      <c r="AZ77" s="409"/>
      <c r="BA77" s="409"/>
      <c r="BB77" s="409"/>
      <c r="BC77" s="409"/>
      <c r="BD77" s="407"/>
      <c r="BE77" s="444"/>
      <c r="BF77" s="444"/>
      <c r="BG77" s="444"/>
      <c r="BH77" s="444"/>
      <c r="BI77" s="444"/>
      <c r="BJ77" s="444"/>
      <c r="BK77" s="444"/>
      <c r="BL77" s="444"/>
      <c r="BM77" s="444"/>
      <c r="BN77" s="444"/>
      <c r="BO77" s="444"/>
      <c r="BP77" s="444"/>
      <c r="BQ77" s="444"/>
      <c r="BR77" s="444"/>
      <c r="BS77" s="444"/>
      <c r="BT77" s="444"/>
    </row>
    <row r="78" spans="1:72" s="443" customFormat="1" ht="15">
      <c r="A78" s="392"/>
      <c r="B78" s="392"/>
      <c r="C78" s="392"/>
      <c r="D78" s="392"/>
      <c r="E78" s="392"/>
      <c r="F78" s="392"/>
      <c r="G78" s="392"/>
      <c r="H78" s="392"/>
      <c r="I78" s="392"/>
      <c r="J78" s="392"/>
      <c r="K78" s="392"/>
      <c r="L78" s="392"/>
      <c r="M78" s="392"/>
      <c r="N78" s="392"/>
      <c r="O78" s="392"/>
      <c r="P78" s="392"/>
      <c r="Q78" s="392"/>
      <c r="R78" s="392"/>
      <c r="S78" s="409"/>
      <c r="T78" s="409"/>
      <c r="U78" s="409"/>
      <c r="V78" s="409"/>
      <c r="W78" s="392"/>
      <c r="X78" s="392"/>
      <c r="Y78" s="409"/>
      <c r="Z78" s="409"/>
      <c r="AA78" s="392"/>
      <c r="AB78" s="392"/>
      <c r="AC78" s="392"/>
      <c r="AD78" s="409"/>
      <c r="AE78" s="409"/>
      <c r="AF78" s="409"/>
      <c r="AG78" s="409"/>
      <c r="AH78" s="409"/>
      <c r="AI78" s="409"/>
      <c r="AJ78" s="409"/>
      <c r="AK78" s="409"/>
      <c r="AL78" s="409"/>
      <c r="AM78" s="409"/>
      <c r="AN78" s="409"/>
      <c r="AO78" s="409"/>
      <c r="AP78" s="409"/>
      <c r="AQ78" s="409"/>
      <c r="AR78" s="409"/>
      <c r="AS78" s="409"/>
      <c r="AT78" s="409"/>
      <c r="AU78" s="409"/>
      <c r="AV78" s="409"/>
      <c r="AW78" s="409"/>
      <c r="AX78" s="409"/>
      <c r="AY78" s="409"/>
      <c r="AZ78" s="409"/>
      <c r="BA78" s="409"/>
      <c r="BB78" s="409"/>
      <c r="BC78" s="409"/>
      <c r="BD78" s="407"/>
      <c r="BE78" s="444"/>
      <c r="BF78" s="444"/>
      <c r="BG78" s="444"/>
      <c r="BH78" s="444"/>
      <c r="BI78" s="444"/>
      <c r="BJ78" s="444"/>
      <c r="BK78" s="444"/>
      <c r="BL78" s="444"/>
      <c r="BM78" s="444"/>
      <c r="BN78" s="444"/>
      <c r="BO78" s="444"/>
      <c r="BP78" s="444"/>
      <c r="BQ78" s="444"/>
      <c r="BR78" s="444"/>
      <c r="BS78" s="444"/>
      <c r="BT78" s="444"/>
    </row>
    <row r="79" spans="1:72" s="443" customFormat="1" ht="15">
      <c r="A79" s="392"/>
      <c r="B79" s="392"/>
      <c r="C79" s="392"/>
      <c r="D79" s="392"/>
      <c r="E79" s="392"/>
      <c r="F79" s="392"/>
      <c r="G79" s="392"/>
      <c r="H79" s="392"/>
      <c r="I79" s="392"/>
      <c r="J79" s="392"/>
      <c r="K79" s="392"/>
      <c r="L79" s="392"/>
      <c r="M79" s="392"/>
      <c r="N79" s="392"/>
      <c r="O79" s="392"/>
      <c r="P79" s="392"/>
      <c r="Q79" s="392"/>
      <c r="R79" s="392"/>
      <c r="S79" s="409"/>
      <c r="T79" s="409"/>
      <c r="U79" s="409"/>
      <c r="V79" s="409"/>
      <c r="W79" s="392"/>
      <c r="X79" s="392"/>
      <c r="Y79" s="409"/>
      <c r="Z79" s="409"/>
      <c r="AA79" s="392"/>
      <c r="AB79" s="392"/>
      <c r="AC79" s="392"/>
      <c r="AD79" s="409"/>
      <c r="AE79" s="409"/>
      <c r="AF79" s="409"/>
      <c r="AG79" s="409"/>
      <c r="AH79" s="409"/>
      <c r="AI79" s="409"/>
      <c r="AJ79" s="409"/>
      <c r="AK79" s="409"/>
      <c r="AL79" s="409"/>
      <c r="AM79" s="409"/>
      <c r="AN79" s="409"/>
      <c r="AO79" s="409"/>
      <c r="AP79" s="409"/>
      <c r="AQ79" s="409"/>
      <c r="AR79" s="409"/>
      <c r="AS79" s="409"/>
      <c r="AT79" s="409"/>
      <c r="AU79" s="409"/>
      <c r="AV79" s="409"/>
      <c r="AW79" s="409"/>
      <c r="AX79" s="409"/>
      <c r="AY79" s="409"/>
      <c r="AZ79" s="409"/>
      <c r="BA79" s="409"/>
      <c r="BB79" s="409"/>
      <c r="BC79" s="409"/>
      <c r="BD79" s="407"/>
      <c r="BE79" s="444"/>
      <c r="BF79" s="444"/>
      <c r="BG79" s="444"/>
      <c r="BH79" s="444"/>
      <c r="BI79" s="444"/>
      <c r="BJ79" s="444"/>
      <c r="BK79" s="444"/>
      <c r="BL79" s="444"/>
      <c r="BM79" s="444"/>
      <c r="BN79" s="444"/>
      <c r="BO79" s="444"/>
      <c r="BP79" s="444"/>
      <c r="BQ79" s="444"/>
      <c r="BR79" s="444"/>
      <c r="BS79" s="444"/>
      <c r="BT79" s="444"/>
    </row>
    <row r="80" spans="1:72" s="443" customFormat="1" ht="15">
      <c r="A80" s="392"/>
      <c r="B80" s="392"/>
      <c r="C80" s="392"/>
      <c r="D80" s="392"/>
      <c r="E80" s="392"/>
      <c r="F80" s="392"/>
      <c r="G80" s="392"/>
      <c r="H80" s="392"/>
      <c r="I80" s="392"/>
      <c r="J80" s="392"/>
      <c r="K80" s="392"/>
      <c r="L80" s="392"/>
      <c r="M80" s="392"/>
      <c r="N80" s="392"/>
      <c r="O80" s="392"/>
      <c r="P80" s="392"/>
      <c r="Q80" s="392"/>
      <c r="R80" s="392"/>
      <c r="S80" s="409"/>
      <c r="T80" s="409"/>
      <c r="U80" s="409"/>
      <c r="V80" s="409"/>
      <c r="W80" s="392"/>
      <c r="X80" s="392"/>
      <c r="Y80" s="409"/>
      <c r="Z80" s="409"/>
      <c r="AA80" s="392"/>
      <c r="AB80" s="392"/>
      <c r="AC80" s="392"/>
      <c r="AD80" s="409"/>
      <c r="AE80" s="409"/>
      <c r="AF80" s="409"/>
      <c r="AG80" s="409"/>
      <c r="AH80" s="409"/>
      <c r="AI80" s="409"/>
      <c r="AJ80" s="409"/>
      <c r="AK80" s="409"/>
      <c r="AL80" s="409"/>
      <c r="AM80" s="409"/>
      <c r="AN80" s="409"/>
      <c r="AO80" s="409"/>
      <c r="AP80" s="409"/>
      <c r="AQ80" s="409"/>
      <c r="AR80" s="409"/>
      <c r="AS80" s="409"/>
      <c r="AT80" s="409"/>
      <c r="AU80" s="409"/>
      <c r="AV80" s="409"/>
      <c r="AW80" s="409"/>
      <c r="AX80" s="409"/>
      <c r="AY80" s="409"/>
      <c r="AZ80" s="409"/>
      <c r="BA80" s="409"/>
      <c r="BB80" s="409"/>
      <c r="BC80" s="409"/>
      <c r="BD80" s="407"/>
      <c r="BE80" s="444"/>
      <c r="BF80" s="444"/>
      <c r="BG80" s="444"/>
      <c r="BH80" s="444"/>
      <c r="BI80" s="444"/>
      <c r="BJ80" s="444"/>
      <c r="BK80" s="444"/>
      <c r="BL80" s="444"/>
      <c r="BM80" s="444"/>
      <c r="BN80" s="444"/>
      <c r="BO80" s="444"/>
      <c r="BP80" s="444"/>
      <c r="BQ80" s="444"/>
      <c r="BR80" s="444"/>
      <c r="BS80" s="444"/>
      <c r="BT80" s="444"/>
    </row>
    <row r="81" spans="1:72" s="443" customFormat="1" ht="15">
      <c r="A81" s="392"/>
      <c r="B81" s="392"/>
      <c r="C81" s="392"/>
      <c r="D81" s="392"/>
      <c r="E81" s="392"/>
      <c r="F81" s="392"/>
      <c r="G81" s="392"/>
      <c r="H81" s="392"/>
      <c r="I81" s="392"/>
      <c r="J81" s="392"/>
      <c r="K81" s="392"/>
      <c r="L81" s="392"/>
      <c r="M81" s="392"/>
      <c r="N81" s="392"/>
      <c r="O81" s="392"/>
      <c r="P81" s="392"/>
      <c r="Q81" s="392"/>
      <c r="R81" s="392"/>
      <c r="S81" s="409"/>
      <c r="T81" s="409"/>
      <c r="U81" s="409"/>
      <c r="V81" s="409"/>
      <c r="W81" s="392"/>
      <c r="X81" s="392"/>
      <c r="Y81" s="409"/>
      <c r="Z81" s="409"/>
      <c r="AA81" s="392"/>
      <c r="AB81" s="392"/>
      <c r="AC81" s="392"/>
      <c r="AD81" s="409"/>
      <c r="AE81" s="409"/>
      <c r="AF81" s="409"/>
      <c r="AG81" s="409"/>
      <c r="AH81" s="409"/>
      <c r="AI81" s="409"/>
      <c r="AJ81" s="409"/>
      <c r="AK81" s="409"/>
      <c r="AL81" s="409"/>
      <c r="AM81" s="409"/>
      <c r="AN81" s="409"/>
      <c r="AO81" s="409"/>
      <c r="AP81" s="409"/>
      <c r="AQ81" s="409"/>
      <c r="AR81" s="409"/>
      <c r="AS81" s="409"/>
      <c r="AT81" s="409"/>
      <c r="AU81" s="409"/>
      <c r="AV81" s="409"/>
      <c r="AW81" s="409"/>
      <c r="AX81" s="409"/>
      <c r="AY81" s="409"/>
      <c r="AZ81" s="409"/>
      <c r="BA81" s="409"/>
      <c r="BB81" s="409"/>
      <c r="BC81" s="409"/>
      <c r="BD81" s="407"/>
      <c r="BE81" s="444"/>
      <c r="BF81" s="444"/>
      <c r="BG81" s="444"/>
      <c r="BH81" s="444"/>
      <c r="BI81" s="444"/>
      <c r="BJ81" s="444"/>
      <c r="BK81" s="444"/>
      <c r="BL81" s="444"/>
      <c r="BM81" s="444"/>
      <c r="BN81" s="444"/>
      <c r="BO81" s="444"/>
      <c r="BP81" s="444"/>
      <c r="BQ81" s="444"/>
      <c r="BR81" s="444"/>
      <c r="BS81" s="444"/>
      <c r="BT81" s="444"/>
    </row>
    <row r="82" spans="1:72" s="443" customFormat="1" ht="15">
      <c r="A82" s="392"/>
      <c r="B82" s="392"/>
      <c r="C82" s="392"/>
      <c r="D82" s="392"/>
      <c r="E82" s="392"/>
      <c r="F82" s="392"/>
      <c r="G82" s="392"/>
      <c r="H82" s="392"/>
      <c r="I82" s="392"/>
      <c r="J82" s="392"/>
      <c r="K82" s="392"/>
      <c r="L82" s="392"/>
      <c r="M82" s="392"/>
      <c r="N82" s="392"/>
      <c r="O82" s="392"/>
      <c r="P82" s="392"/>
      <c r="Q82" s="392"/>
      <c r="R82" s="392"/>
      <c r="S82" s="409"/>
      <c r="T82" s="409"/>
      <c r="U82" s="409"/>
      <c r="V82" s="409"/>
      <c r="W82" s="392"/>
      <c r="X82" s="392"/>
      <c r="Y82" s="409"/>
      <c r="Z82" s="409"/>
      <c r="AA82" s="392"/>
      <c r="AB82" s="392"/>
      <c r="AC82" s="392"/>
      <c r="AD82" s="409"/>
      <c r="AE82" s="409"/>
      <c r="AF82" s="409"/>
      <c r="AG82" s="409"/>
      <c r="AH82" s="409"/>
      <c r="AI82" s="409"/>
      <c r="AJ82" s="409"/>
      <c r="AK82" s="409"/>
      <c r="AL82" s="409"/>
      <c r="AM82" s="409"/>
      <c r="AN82" s="409"/>
      <c r="AO82" s="409"/>
      <c r="AP82" s="409"/>
      <c r="AQ82" s="409"/>
      <c r="AR82" s="409"/>
      <c r="AS82" s="409"/>
      <c r="AT82" s="409"/>
      <c r="AU82" s="409"/>
      <c r="AV82" s="409"/>
      <c r="AW82" s="409"/>
      <c r="AX82" s="409"/>
      <c r="AY82" s="409"/>
      <c r="AZ82" s="409"/>
      <c r="BA82" s="409"/>
      <c r="BB82" s="409"/>
      <c r="BC82" s="409"/>
      <c r="BD82" s="407"/>
      <c r="BE82" s="444"/>
      <c r="BF82" s="444"/>
      <c r="BG82" s="444"/>
      <c r="BH82" s="444"/>
      <c r="BI82" s="444"/>
      <c r="BJ82" s="444"/>
      <c r="BK82" s="444"/>
      <c r="BL82" s="444"/>
      <c r="BM82" s="444"/>
      <c r="BN82" s="444"/>
      <c r="BO82" s="444"/>
      <c r="BP82" s="444"/>
      <c r="BQ82" s="444"/>
      <c r="BR82" s="444"/>
      <c r="BS82" s="444"/>
      <c r="BT82" s="444"/>
    </row>
    <row r="83" spans="1:72" s="443" customFormat="1" ht="15">
      <c r="A83" s="392"/>
      <c r="B83" s="392"/>
      <c r="C83" s="392"/>
      <c r="D83" s="392"/>
      <c r="E83" s="392"/>
      <c r="F83" s="392"/>
      <c r="G83" s="392"/>
      <c r="H83" s="392"/>
      <c r="I83" s="392"/>
      <c r="J83" s="392"/>
      <c r="K83" s="392"/>
      <c r="L83" s="392"/>
      <c r="M83" s="392"/>
      <c r="N83" s="392"/>
      <c r="O83" s="392"/>
      <c r="P83" s="392"/>
      <c r="Q83" s="392"/>
      <c r="R83" s="392"/>
      <c r="S83" s="409"/>
      <c r="T83" s="409"/>
      <c r="U83" s="409"/>
      <c r="V83" s="409"/>
      <c r="W83" s="392"/>
      <c r="X83" s="392"/>
      <c r="Y83" s="409"/>
      <c r="Z83" s="409"/>
      <c r="AA83" s="392"/>
      <c r="AB83" s="392"/>
      <c r="AC83" s="392"/>
      <c r="AD83" s="409"/>
      <c r="AE83" s="409"/>
      <c r="AF83" s="409"/>
      <c r="AG83" s="409"/>
      <c r="AH83" s="409"/>
      <c r="AI83" s="409"/>
      <c r="AJ83" s="409"/>
      <c r="AK83" s="409"/>
      <c r="AL83" s="409"/>
      <c r="AM83" s="409"/>
      <c r="AN83" s="409"/>
      <c r="AO83" s="409"/>
      <c r="AP83" s="409"/>
      <c r="AQ83" s="409"/>
      <c r="AR83" s="409"/>
      <c r="AS83" s="409"/>
      <c r="AT83" s="409"/>
      <c r="AU83" s="409"/>
      <c r="AV83" s="409"/>
      <c r="AW83" s="409"/>
      <c r="AX83" s="409"/>
      <c r="AY83" s="409"/>
      <c r="AZ83" s="409"/>
      <c r="BA83" s="409"/>
      <c r="BB83" s="409"/>
      <c r="BC83" s="409"/>
      <c r="BD83" s="407"/>
      <c r="BE83" s="444"/>
      <c r="BF83" s="444"/>
      <c r="BG83" s="444"/>
      <c r="BH83" s="444"/>
      <c r="BI83" s="444"/>
      <c r="BJ83" s="444"/>
      <c r="BK83" s="444"/>
      <c r="BL83" s="444"/>
      <c r="BM83" s="444"/>
      <c r="BN83" s="444"/>
      <c r="BO83" s="444"/>
      <c r="BP83" s="444"/>
      <c r="BQ83" s="444"/>
      <c r="BR83" s="444"/>
      <c r="BS83" s="444"/>
      <c r="BT83" s="444"/>
    </row>
    <row r="84" spans="1:72" s="443" customFormat="1" ht="15">
      <c r="A84" s="392"/>
      <c r="B84" s="392"/>
      <c r="C84" s="392"/>
      <c r="D84" s="392"/>
      <c r="E84" s="392"/>
      <c r="F84" s="392"/>
      <c r="G84" s="392"/>
      <c r="H84" s="392"/>
      <c r="I84" s="392"/>
      <c r="J84" s="392"/>
      <c r="K84" s="392"/>
      <c r="L84" s="392"/>
      <c r="M84" s="392"/>
      <c r="N84" s="392"/>
      <c r="O84" s="392"/>
      <c r="P84" s="392"/>
      <c r="Q84" s="392"/>
      <c r="R84" s="392"/>
      <c r="S84" s="409"/>
      <c r="T84" s="409"/>
      <c r="U84" s="409"/>
      <c r="V84" s="409"/>
      <c r="W84" s="392"/>
      <c r="X84" s="392"/>
      <c r="Y84" s="409"/>
      <c r="Z84" s="409"/>
      <c r="AA84" s="392"/>
      <c r="AB84" s="392"/>
      <c r="AC84" s="392"/>
      <c r="AD84" s="409"/>
      <c r="AE84" s="409"/>
      <c r="AF84" s="409"/>
      <c r="AG84" s="409"/>
      <c r="AH84" s="409"/>
      <c r="AI84" s="409"/>
      <c r="AJ84" s="409"/>
      <c r="AK84" s="409"/>
      <c r="AL84" s="409"/>
      <c r="AM84" s="409"/>
      <c r="AN84" s="409"/>
      <c r="AO84" s="409"/>
      <c r="AP84" s="409"/>
      <c r="AQ84" s="409"/>
      <c r="AR84" s="409"/>
      <c r="AS84" s="409"/>
      <c r="AT84" s="409"/>
      <c r="AU84" s="409"/>
      <c r="AV84" s="409"/>
      <c r="AW84" s="409"/>
      <c r="AX84" s="409"/>
      <c r="AY84" s="409"/>
      <c r="AZ84" s="409"/>
      <c r="BA84" s="409"/>
      <c r="BB84" s="409"/>
      <c r="BC84" s="409"/>
      <c r="BD84" s="407"/>
      <c r="BE84" s="444"/>
      <c r="BF84" s="444"/>
      <c r="BG84" s="444"/>
      <c r="BH84" s="444"/>
      <c r="BI84" s="444"/>
      <c r="BJ84" s="444"/>
      <c r="BK84" s="444"/>
      <c r="BL84" s="444"/>
      <c r="BM84" s="444"/>
      <c r="BN84" s="444"/>
      <c r="BO84" s="444"/>
      <c r="BP84" s="444"/>
      <c r="BQ84" s="444"/>
      <c r="BR84" s="444"/>
      <c r="BS84" s="444"/>
      <c r="BT84" s="444"/>
    </row>
    <row r="85" spans="1:72" s="443" customFormat="1" ht="15">
      <c r="A85" s="392"/>
      <c r="B85" s="392"/>
      <c r="C85" s="392"/>
      <c r="D85" s="392"/>
      <c r="E85" s="392"/>
      <c r="F85" s="392"/>
      <c r="G85" s="392"/>
      <c r="H85" s="392"/>
      <c r="I85" s="392"/>
      <c r="J85" s="392"/>
      <c r="K85" s="392"/>
      <c r="L85" s="392"/>
      <c r="M85" s="392"/>
      <c r="N85" s="392"/>
      <c r="O85" s="392"/>
      <c r="P85" s="392"/>
      <c r="Q85" s="392"/>
      <c r="R85" s="392"/>
      <c r="S85" s="409"/>
      <c r="T85" s="409"/>
      <c r="U85" s="409"/>
      <c r="V85" s="409"/>
      <c r="W85" s="392"/>
      <c r="X85" s="392"/>
      <c r="Y85" s="409"/>
      <c r="Z85" s="409"/>
      <c r="AA85" s="392"/>
      <c r="AB85" s="392"/>
      <c r="AC85" s="392"/>
      <c r="AD85" s="409"/>
      <c r="AE85" s="409"/>
      <c r="AF85" s="409"/>
      <c r="AG85" s="409"/>
      <c r="AH85" s="409"/>
      <c r="AI85" s="409"/>
      <c r="AJ85" s="409"/>
      <c r="AK85" s="409"/>
      <c r="AL85" s="409"/>
      <c r="AM85" s="409"/>
      <c r="AN85" s="409"/>
      <c r="AO85" s="409"/>
      <c r="AP85" s="409"/>
      <c r="AQ85" s="409"/>
      <c r="AR85" s="409"/>
      <c r="AS85" s="409"/>
      <c r="AT85" s="409"/>
      <c r="AU85" s="409"/>
      <c r="AV85" s="409"/>
      <c r="AW85" s="409"/>
      <c r="AX85" s="409"/>
      <c r="AY85" s="409"/>
      <c r="AZ85" s="409"/>
      <c r="BA85" s="409"/>
      <c r="BB85" s="409"/>
      <c r="BC85" s="409"/>
      <c r="BD85" s="407"/>
      <c r="BE85" s="444"/>
      <c r="BF85" s="444"/>
      <c r="BG85" s="444"/>
      <c r="BH85" s="444"/>
      <c r="BI85" s="444"/>
      <c r="BJ85" s="444"/>
      <c r="BK85" s="444"/>
      <c r="BL85" s="444"/>
      <c r="BM85" s="444"/>
      <c r="BN85" s="444"/>
      <c r="BO85" s="444"/>
      <c r="BP85" s="444"/>
      <c r="BQ85" s="444"/>
      <c r="BR85" s="444"/>
      <c r="BS85" s="444"/>
      <c r="BT85" s="444"/>
    </row>
    <row r="86" spans="1:72" s="443" customFormat="1" ht="15">
      <c r="A86" s="392"/>
      <c r="B86" s="392"/>
      <c r="C86" s="392"/>
      <c r="D86" s="392"/>
      <c r="E86" s="392"/>
      <c r="F86" s="392"/>
      <c r="G86" s="392"/>
      <c r="H86" s="392"/>
      <c r="I86" s="392"/>
      <c r="J86" s="392"/>
      <c r="K86" s="392"/>
      <c r="L86" s="392"/>
      <c r="M86" s="392"/>
      <c r="N86" s="392"/>
      <c r="O86" s="392"/>
      <c r="P86" s="392"/>
      <c r="Q86" s="392"/>
      <c r="R86" s="392"/>
      <c r="S86" s="409"/>
      <c r="T86" s="409"/>
      <c r="U86" s="409"/>
      <c r="V86" s="409"/>
      <c r="W86" s="392"/>
      <c r="X86" s="392"/>
      <c r="Y86" s="409"/>
      <c r="Z86" s="409"/>
      <c r="AA86" s="392"/>
      <c r="AB86" s="392"/>
      <c r="AC86" s="392"/>
      <c r="AD86" s="409"/>
      <c r="AE86" s="409"/>
      <c r="AF86" s="409"/>
      <c r="AG86" s="409"/>
      <c r="AH86" s="409"/>
      <c r="AI86" s="409"/>
      <c r="AJ86" s="409"/>
      <c r="AK86" s="409"/>
      <c r="AL86" s="409"/>
      <c r="AM86" s="409"/>
      <c r="AN86" s="409"/>
      <c r="AO86" s="409"/>
      <c r="AP86" s="409"/>
      <c r="AQ86" s="409"/>
      <c r="AR86" s="409"/>
      <c r="AS86" s="409"/>
      <c r="AT86" s="409"/>
      <c r="AU86" s="409"/>
      <c r="AV86" s="409"/>
      <c r="AW86" s="409"/>
      <c r="AX86" s="409"/>
      <c r="AY86" s="409"/>
      <c r="AZ86" s="409"/>
      <c r="BA86" s="409"/>
      <c r="BB86" s="409"/>
      <c r="BC86" s="409"/>
      <c r="BD86" s="407"/>
      <c r="BE86" s="444"/>
      <c r="BF86" s="444"/>
      <c r="BG86" s="444"/>
      <c r="BH86" s="444"/>
      <c r="BI86" s="444"/>
      <c r="BJ86" s="444"/>
      <c r="BK86" s="444"/>
      <c r="BL86" s="444"/>
      <c r="BM86" s="444"/>
      <c r="BN86" s="444"/>
      <c r="BO86" s="444"/>
      <c r="BP86" s="444"/>
      <c r="BQ86" s="444"/>
      <c r="BR86" s="444"/>
      <c r="BS86" s="444"/>
      <c r="BT86" s="444"/>
    </row>
    <row r="87" spans="1:72" s="443" customFormat="1" ht="15">
      <c r="A87" s="392"/>
      <c r="B87" s="392"/>
      <c r="C87" s="392"/>
      <c r="D87" s="392"/>
      <c r="E87" s="392"/>
      <c r="F87" s="392"/>
      <c r="G87" s="392"/>
      <c r="H87" s="392"/>
      <c r="I87" s="392"/>
      <c r="J87" s="392"/>
      <c r="K87" s="392"/>
      <c r="L87" s="392"/>
      <c r="M87" s="392"/>
      <c r="N87" s="392"/>
      <c r="O87" s="392"/>
      <c r="P87" s="392"/>
      <c r="Q87" s="392"/>
      <c r="R87" s="392"/>
      <c r="S87" s="409"/>
      <c r="T87" s="409"/>
      <c r="U87" s="409"/>
      <c r="V87" s="409"/>
      <c r="W87" s="392"/>
      <c r="X87" s="392"/>
      <c r="Y87" s="409"/>
      <c r="Z87" s="409"/>
      <c r="AA87" s="392"/>
      <c r="AB87" s="392"/>
      <c r="AC87" s="392"/>
      <c r="AD87" s="409"/>
      <c r="AE87" s="409"/>
      <c r="AF87" s="409"/>
      <c r="AG87" s="409"/>
      <c r="AH87" s="409"/>
      <c r="AI87" s="409"/>
      <c r="AJ87" s="409"/>
      <c r="AK87" s="409"/>
      <c r="AL87" s="409"/>
      <c r="AM87" s="409"/>
      <c r="AN87" s="409"/>
      <c r="AO87" s="409"/>
      <c r="AP87" s="409"/>
      <c r="AQ87" s="409"/>
      <c r="AR87" s="409"/>
      <c r="AS87" s="409"/>
      <c r="AT87" s="409"/>
      <c r="AU87" s="409"/>
      <c r="AV87" s="409"/>
      <c r="AW87" s="409"/>
      <c r="AX87" s="409"/>
      <c r="AY87" s="409"/>
      <c r="AZ87" s="409"/>
      <c r="BA87" s="409"/>
      <c r="BB87" s="409"/>
      <c r="BC87" s="409"/>
      <c r="BD87" s="407"/>
      <c r="BE87" s="444"/>
      <c r="BF87" s="444"/>
      <c r="BG87" s="444"/>
      <c r="BH87" s="444"/>
      <c r="BI87" s="444"/>
      <c r="BJ87" s="444"/>
      <c r="BK87" s="444"/>
      <c r="BL87" s="444"/>
      <c r="BM87" s="444"/>
      <c r="BN87" s="444"/>
      <c r="BO87" s="444"/>
      <c r="BP87" s="444"/>
      <c r="BQ87" s="444"/>
      <c r="BR87" s="444"/>
      <c r="BS87" s="444"/>
      <c r="BT87" s="444"/>
    </row>
    <row r="88" spans="1:72" s="443" customFormat="1" ht="15">
      <c r="A88" s="392"/>
      <c r="B88" s="392"/>
      <c r="C88" s="392"/>
      <c r="D88" s="392"/>
      <c r="E88" s="392"/>
      <c r="F88" s="392"/>
      <c r="G88" s="392"/>
      <c r="H88" s="392"/>
      <c r="I88" s="392"/>
      <c r="J88" s="392"/>
      <c r="K88" s="392"/>
      <c r="L88" s="392"/>
      <c r="M88" s="392"/>
      <c r="N88" s="392"/>
      <c r="O88" s="392"/>
      <c r="P88" s="392"/>
      <c r="Q88" s="392"/>
      <c r="R88" s="392"/>
      <c r="S88" s="409"/>
      <c r="T88" s="409"/>
      <c r="U88" s="409"/>
      <c r="V88" s="409"/>
      <c r="W88" s="392"/>
      <c r="X88" s="392"/>
      <c r="Y88" s="409"/>
      <c r="Z88" s="409"/>
      <c r="AA88" s="392"/>
      <c r="AB88" s="392"/>
      <c r="AC88" s="392"/>
      <c r="AD88" s="409"/>
      <c r="AE88" s="409"/>
      <c r="AF88" s="409"/>
      <c r="AG88" s="409"/>
      <c r="AH88" s="409"/>
      <c r="AI88" s="409"/>
      <c r="AJ88" s="409"/>
      <c r="AK88" s="409"/>
      <c r="AL88" s="409"/>
      <c r="AM88" s="409"/>
      <c r="AN88" s="409"/>
      <c r="AO88" s="409"/>
      <c r="AP88" s="409"/>
      <c r="AQ88" s="409"/>
      <c r="AR88" s="409"/>
      <c r="AS88" s="409"/>
      <c r="AT88" s="409"/>
      <c r="AU88" s="409"/>
      <c r="AV88" s="409"/>
      <c r="AW88" s="409"/>
      <c r="AX88" s="409"/>
      <c r="AY88" s="409"/>
      <c r="AZ88" s="409"/>
      <c r="BA88" s="409"/>
      <c r="BB88" s="409"/>
      <c r="BC88" s="409"/>
      <c r="BD88" s="407"/>
      <c r="BE88" s="444"/>
      <c r="BF88" s="444"/>
      <c r="BG88" s="444"/>
      <c r="BH88" s="444"/>
      <c r="BI88" s="444"/>
      <c r="BJ88" s="444"/>
      <c r="BK88" s="444"/>
      <c r="BL88" s="444"/>
      <c r="BM88" s="444"/>
      <c r="BN88" s="444"/>
      <c r="BO88" s="444"/>
      <c r="BP88" s="444"/>
      <c r="BQ88" s="444"/>
      <c r="BR88" s="444"/>
      <c r="BS88" s="444"/>
      <c r="BT88" s="444"/>
    </row>
    <row r="89" spans="1:72" s="443" customFormat="1" ht="15">
      <c r="A89" s="392"/>
      <c r="B89" s="392"/>
      <c r="C89" s="392"/>
      <c r="D89" s="392"/>
      <c r="E89" s="392"/>
      <c r="F89" s="392"/>
      <c r="G89" s="392"/>
      <c r="H89" s="392"/>
      <c r="I89" s="392"/>
      <c r="J89" s="392"/>
      <c r="K89" s="392"/>
      <c r="L89" s="392"/>
      <c r="M89" s="392"/>
      <c r="N89" s="392"/>
      <c r="O89" s="392"/>
      <c r="P89" s="392"/>
      <c r="Q89" s="392"/>
      <c r="R89" s="392"/>
      <c r="S89" s="409"/>
      <c r="T89" s="409"/>
      <c r="U89" s="409"/>
      <c r="V89" s="409"/>
      <c r="W89" s="392"/>
      <c r="X89" s="392"/>
      <c r="Y89" s="409"/>
      <c r="Z89" s="409"/>
      <c r="AA89" s="392"/>
      <c r="AB89" s="392"/>
      <c r="AC89" s="392"/>
      <c r="AD89" s="409"/>
      <c r="AE89" s="409"/>
      <c r="AF89" s="409"/>
      <c r="AG89" s="409"/>
      <c r="AH89" s="409"/>
      <c r="AI89" s="409"/>
      <c r="AJ89" s="409"/>
      <c r="AK89" s="409"/>
      <c r="AL89" s="409"/>
      <c r="AM89" s="409"/>
      <c r="AN89" s="409"/>
      <c r="AO89" s="409"/>
      <c r="AP89" s="409"/>
      <c r="AQ89" s="409"/>
      <c r="AR89" s="409"/>
      <c r="AS89" s="409"/>
      <c r="AT89" s="409"/>
      <c r="AU89" s="409"/>
      <c r="AV89" s="409"/>
      <c r="AW89" s="409"/>
      <c r="AX89" s="409"/>
      <c r="AY89" s="409"/>
      <c r="AZ89" s="409"/>
      <c r="BA89" s="409"/>
      <c r="BB89" s="409"/>
      <c r="BC89" s="409"/>
      <c r="BD89" s="407"/>
      <c r="BE89" s="444"/>
      <c r="BF89" s="444"/>
      <c r="BG89" s="444"/>
      <c r="BH89" s="444"/>
      <c r="BI89" s="444"/>
      <c r="BJ89" s="444"/>
      <c r="BK89" s="444"/>
      <c r="BL89" s="444"/>
      <c r="BM89" s="444"/>
      <c r="BN89" s="444"/>
      <c r="BO89" s="444"/>
      <c r="BP89" s="444"/>
      <c r="BQ89" s="444"/>
      <c r="BR89" s="444"/>
      <c r="BS89" s="444"/>
      <c r="BT89" s="444"/>
    </row>
    <row r="90" spans="1:72" s="443" customFormat="1" ht="15">
      <c r="A90" s="392"/>
      <c r="B90" s="392"/>
      <c r="C90" s="392"/>
      <c r="D90" s="392"/>
      <c r="E90" s="392"/>
      <c r="F90" s="392"/>
      <c r="G90" s="392"/>
      <c r="H90" s="392"/>
      <c r="I90" s="392"/>
      <c r="J90" s="392"/>
      <c r="K90" s="392"/>
      <c r="L90" s="392"/>
      <c r="M90" s="392"/>
      <c r="N90" s="392"/>
      <c r="O90" s="392"/>
      <c r="P90" s="392"/>
      <c r="Q90" s="392"/>
      <c r="R90" s="392"/>
      <c r="S90" s="409"/>
      <c r="T90" s="409"/>
      <c r="U90" s="409"/>
      <c r="V90" s="409"/>
      <c r="W90" s="392"/>
      <c r="X90" s="392"/>
      <c r="Y90" s="409"/>
      <c r="Z90" s="409"/>
      <c r="AA90" s="392"/>
      <c r="AB90" s="392"/>
      <c r="AC90" s="392"/>
      <c r="AD90" s="409"/>
      <c r="AE90" s="409"/>
      <c r="AF90" s="409"/>
      <c r="AG90" s="409"/>
      <c r="AH90" s="409"/>
      <c r="AI90" s="409"/>
      <c r="AJ90" s="409"/>
      <c r="AK90" s="409"/>
      <c r="AL90" s="409"/>
      <c r="AM90" s="409"/>
      <c r="AN90" s="409"/>
      <c r="AO90" s="409"/>
      <c r="AP90" s="409"/>
      <c r="AQ90" s="409"/>
      <c r="AR90" s="409"/>
      <c r="AS90" s="409"/>
      <c r="AT90" s="409"/>
      <c r="AU90" s="409"/>
      <c r="AV90" s="409"/>
      <c r="AW90" s="409"/>
      <c r="AX90" s="409"/>
      <c r="AY90" s="409"/>
      <c r="AZ90" s="409"/>
      <c r="BA90" s="409"/>
      <c r="BB90" s="409"/>
      <c r="BC90" s="409"/>
      <c r="BD90" s="407"/>
      <c r="BE90" s="444"/>
      <c r="BF90" s="444"/>
      <c r="BG90" s="444"/>
      <c r="BH90" s="444"/>
      <c r="BI90" s="444"/>
      <c r="BJ90" s="444"/>
      <c r="BK90" s="444"/>
      <c r="BL90" s="444"/>
      <c r="BM90" s="444"/>
      <c r="BN90" s="444"/>
      <c r="BO90" s="444"/>
      <c r="BP90" s="444"/>
      <c r="BQ90" s="444"/>
      <c r="BR90" s="444"/>
      <c r="BS90" s="444"/>
      <c r="BT90" s="444"/>
    </row>
    <row r="91" spans="1:72" s="443" customFormat="1" ht="15">
      <c r="A91" s="392"/>
      <c r="B91" s="392"/>
      <c r="C91" s="392"/>
      <c r="D91" s="392"/>
      <c r="E91" s="392"/>
      <c r="F91" s="392"/>
      <c r="G91" s="392"/>
      <c r="H91" s="392"/>
      <c r="I91" s="392"/>
      <c r="J91" s="392"/>
      <c r="K91" s="392"/>
      <c r="L91" s="392"/>
      <c r="M91" s="392"/>
      <c r="N91" s="392"/>
      <c r="O91" s="392"/>
      <c r="P91" s="392"/>
      <c r="Q91" s="392"/>
      <c r="R91" s="392"/>
      <c r="S91" s="409"/>
      <c r="T91" s="409"/>
      <c r="U91" s="409"/>
      <c r="V91" s="409"/>
      <c r="W91" s="392"/>
      <c r="X91" s="392"/>
      <c r="Y91" s="409"/>
      <c r="Z91" s="409"/>
      <c r="AA91" s="392"/>
      <c r="AB91" s="392"/>
      <c r="AC91" s="392"/>
      <c r="AD91" s="409"/>
      <c r="AE91" s="409"/>
      <c r="AF91" s="409"/>
      <c r="AG91" s="409"/>
      <c r="AH91" s="409"/>
      <c r="AI91" s="409"/>
      <c r="AJ91" s="409"/>
      <c r="AK91" s="409"/>
      <c r="AL91" s="409"/>
      <c r="AM91" s="409"/>
      <c r="AN91" s="409"/>
      <c r="AO91" s="409"/>
      <c r="AP91" s="409"/>
      <c r="AQ91" s="409"/>
      <c r="AR91" s="409"/>
      <c r="AS91" s="409"/>
      <c r="AT91" s="409"/>
      <c r="AU91" s="409"/>
      <c r="AV91" s="409"/>
      <c r="AW91" s="409"/>
      <c r="AX91" s="409"/>
      <c r="AY91" s="409"/>
      <c r="AZ91" s="409"/>
      <c r="BA91" s="409"/>
      <c r="BB91" s="409"/>
      <c r="BC91" s="409"/>
      <c r="BD91" s="407"/>
      <c r="BE91" s="444"/>
      <c r="BF91" s="444"/>
      <c r="BG91" s="444"/>
      <c r="BH91" s="444"/>
      <c r="BI91" s="444"/>
      <c r="BJ91" s="444"/>
      <c r="BK91" s="444"/>
      <c r="BL91" s="444"/>
      <c r="BM91" s="444"/>
      <c r="BN91" s="444"/>
      <c r="BO91" s="444"/>
      <c r="BP91" s="444"/>
      <c r="BQ91" s="444"/>
      <c r="BR91" s="444"/>
      <c r="BS91" s="444"/>
      <c r="BT91" s="444"/>
    </row>
    <row r="92" spans="1:72" s="443" customFormat="1" ht="15">
      <c r="A92" s="392"/>
      <c r="B92" s="392"/>
      <c r="C92" s="392"/>
      <c r="D92" s="392"/>
      <c r="E92" s="392"/>
      <c r="F92" s="392"/>
      <c r="G92" s="392"/>
      <c r="H92" s="392"/>
      <c r="I92" s="392"/>
      <c r="J92" s="392"/>
      <c r="K92" s="392"/>
      <c r="L92" s="392"/>
      <c r="M92" s="392"/>
      <c r="N92" s="392"/>
      <c r="O92" s="392"/>
      <c r="P92" s="392"/>
      <c r="Q92" s="392"/>
      <c r="R92" s="392"/>
      <c r="S92" s="409"/>
      <c r="T92" s="409"/>
      <c r="U92" s="409"/>
      <c r="V92" s="409"/>
      <c r="W92" s="392"/>
      <c r="X92" s="392"/>
      <c r="Y92" s="409"/>
      <c r="Z92" s="409"/>
      <c r="AA92" s="392"/>
      <c r="AB92" s="392"/>
      <c r="AC92" s="392"/>
      <c r="AD92" s="409"/>
      <c r="AE92" s="409"/>
      <c r="AF92" s="409"/>
      <c r="AG92" s="409"/>
      <c r="AH92" s="409"/>
      <c r="AI92" s="409"/>
      <c r="AJ92" s="409"/>
      <c r="AK92" s="409"/>
      <c r="AL92" s="409"/>
      <c r="AM92" s="409"/>
      <c r="AN92" s="409"/>
      <c r="AO92" s="409"/>
      <c r="AP92" s="409"/>
      <c r="AQ92" s="409"/>
      <c r="AR92" s="409"/>
      <c r="AS92" s="409"/>
      <c r="AT92" s="409"/>
      <c r="AU92" s="409"/>
      <c r="AV92" s="409"/>
      <c r="AW92" s="409"/>
      <c r="AX92" s="409"/>
      <c r="AY92" s="409"/>
      <c r="AZ92" s="409"/>
      <c r="BA92" s="409"/>
      <c r="BB92" s="409"/>
      <c r="BC92" s="409"/>
      <c r="BD92" s="407"/>
      <c r="BE92" s="444"/>
      <c r="BF92" s="444"/>
      <c r="BG92" s="444"/>
      <c r="BH92" s="444"/>
      <c r="BI92" s="444"/>
      <c r="BJ92" s="444"/>
      <c r="BK92" s="444"/>
      <c r="BL92" s="444"/>
      <c r="BM92" s="444"/>
      <c r="BN92" s="444"/>
      <c r="BO92" s="444"/>
      <c r="BP92" s="444"/>
      <c r="BQ92" s="444"/>
      <c r="BR92" s="444"/>
      <c r="BS92" s="444"/>
      <c r="BT92" s="444"/>
    </row>
    <row r="93" spans="1:72" s="443" customFormat="1" ht="15">
      <c r="A93" s="392"/>
      <c r="B93" s="392"/>
      <c r="C93" s="392"/>
      <c r="D93" s="392"/>
      <c r="E93" s="392"/>
      <c r="F93" s="392"/>
      <c r="G93" s="392"/>
      <c r="H93" s="392"/>
      <c r="I93" s="392"/>
      <c r="J93" s="392"/>
      <c r="K93" s="392"/>
      <c r="L93" s="392"/>
      <c r="M93" s="392"/>
      <c r="N93" s="392"/>
      <c r="O93" s="392"/>
      <c r="P93" s="392"/>
      <c r="Q93" s="392"/>
      <c r="R93" s="392"/>
      <c r="S93" s="409"/>
      <c r="T93" s="409"/>
      <c r="U93" s="409"/>
      <c r="V93" s="409"/>
      <c r="W93" s="392"/>
      <c r="X93" s="392"/>
      <c r="Y93" s="409"/>
      <c r="Z93" s="409"/>
      <c r="AA93" s="392"/>
      <c r="AB93" s="392"/>
      <c r="AC93" s="392"/>
      <c r="AD93" s="409"/>
      <c r="AE93" s="409"/>
      <c r="AF93" s="409"/>
      <c r="AG93" s="409"/>
      <c r="AH93" s="409"/>
      <c r="AI93" s="409"/>
      <c r="AJ93" s="409"/>
      <c r="AK93" s="409"/>
      <c r="AL93" s="409"/>
      <c r="AM93" s="409"/>
      <c r="AN93" s="409"/>
      <c r="AO93" s="409"/>
      <c r="AP93" s="409"/>
      <c r="AQ93" s="409"/>
      <c r="AR93" s="409"/>
      <c r="AS93" s="409"/>
      <c r="AT93" s="409"/>
      <c r="AU93" s="409"/>
      <c r="AV93" s="409"/>
      <c r="AW93" s="409"/>
      <c r="AX93" s="409"/>
      <c r="AY93" s="409"/>
      <c r="AZ93" s="409"/>
      <c r="BA93" s="409"/>
      <c r="BB93" s="409"/>
      <c r="BC93" s="409"/>
      <c r="BD93" s="407"/>
      <c r="BE93" s="444"/>
      <c r="BF93" s="444"/>
      <c r="BG93" s="444"/>
      <c r="BH93" s="444"/>
      <c r="BI93" s="444"/>
      <c r="BJ93" s="444"/>
      <c r="BK93" s="444"/>
      <c r="BL93" s="444"/>
      <c r="BM93" s="444"/>
      <c r="BN93" s="444"/>
      <c r="BO93" s="444"/>
      <c r="BP93" s="444"/>
      <c r="BQ93" s="444"/>
      <c r="BR93" s="444"/>
      <c r="BS93" s="444"/>
      <c r="BT93" s="444"/>
    </row>
    <row r="94" spans="1:72" s="443" customFormat="1" ht="15">
      <c r="A94" s="392"/>
      <c r="B94" s="392"/>
      <c r="C94" s="392"/>
      <c r="D94" s="392"/>
      <c r="E94" s="392"/>
      <c r="F94" s="392"/>
      <c r="G94" s="392"/>
      <c r="H94" s="392"/>
      <c r="I94" s="392"/>
      <c r="J94" s="392"/>
      <c r="K94" s="392"/>
      <c r="L94" s="392"/>
      <c r="M94" s="392"/>
      <c r="N94" s="392"/>
      <c r="O94" s="392"/>
      <c r="P94" s="392"/>
      <c r="Q94" s="392"/>
      <c r="R94" s="392"/>
      <c r="S94" s="409"/>
      <c r="T94" s="409"/>
      <c r="U94" s="409"/>
      <c r="V94" s="409"/>
      <c r="W94" s="392"/>
      <c r="X94" s="392"/>
      <c r="Y94" s="409"/>
      <c r="Z94" s="409"/>
      <c r="AA94" s="392"/>
      <c r="AB94" s="392"/>
      <c r="AC94" s="392"/>
      <c r="AD94" s="409"/>
      <c r="AE94" s="409"/>
      <c r="AF94" s="409"/>
      <c r="AG94" s="409"/>
      <c r="AH94" s="409"/>
      <c r="AI94" s="409"/>
      <c r="AJ94" s="409"/>
      <c r="AK94" s="409"/>
      <c r="AL94" s="409"/>
      <c r="AM94" s="409"/>
      <c r="AN94" s="409"/>
      <c r="AO94" s="409"/>
      <c r="AP94" s="409"/>
      <c r="AQ94" s="409"/>
      <c r="AR94" s="409"/>
      <c r="AS94" s="409"/>
      <c r="AT94" s="409"/>
      <c r="AU94" s="409"/>
      <c r="AV94" s="409"/>
      <c r="AW94" s="409"/>
      <c r="AX94" s="409"/>
      <c r="AY94" s="409"/>
      <c r="AZ94" s="409"/>
      <c r="BA94" s="409"/>
      <c r="BB94" s="409"/>
      <c r="BC94" s="409"/>
      <c r="BD94" s="407"/>
      <c r="BE94" s="444"/>
      <c r="BF94" s="444"/>
      <c r="BG94" s="444"/>
      <c r="BH94" s="444"/>
      <c r="BI94" s="444"/>
      <c r="BJ94" s="444"/>
      <c r="BK94" s="444"/>
      <c r="BL94" s="444"/>
      <c r="BM94" s="444"/>
      <c r="BN94" s="444"/>
      <c r="BO94" s="444"/>
      <c r="BP94" s="444"/>
      <c r="BQ94" s="444"/>
      <c r="BR94" s="444"/>
      <c r="BS94" s="444"/>
      <c r="BT94" s="444"/>
    </row>
    <row r="95" spans="1:72" s="443" customFormat="1" ht="15">
      <c r="A95" s="392"/>
      <c r="B95" s="392"/>
      <c r="C95" s="392"/>
      <c r="D95" s="392"/>
      <c r="E95" s="392"/>
      <c r="F95" s="392"/>
      <c r="G95" s="392"/>
      <c r="H95" s="392"/>
      <c r="I95" s="392"/>
      <c r="J95" s="392"/>
      <c r="K95" s="392"/>
      <c r="L95" s="392"/>
      <c r="M95" s="392"/>
      <c r="N95" s="392"/>
      <c r="O95" s="392"/>
      <c r="P95" s="392"/>
      <c r="Q95" s="392"/>
      <c r="R95" s="392"/>
      <c r="S95" s="409"/>
      <c r="T95" s="409"/>
      <c r="U95" s="409"/>
      <c r="V95" s="409"/>
      <c r="W95" s="392"/>
      <c r="X95" s="392"/>
      <c r="Y95" s="409"/>
      <c r="Z95" s="409"/>
      <c r="AA95" s="392"/>
      <c r="AB95" s="392"/>
      <c r="AC95" s="392"/>
      <c r="AD95" s="409"/>
      <c r="AE95" s="409"/>
      <c r="AF95" s="409"/>
      <c r="AG95" s="409"/>
      <c r="AH95" s="409"/>
      <c r="AI95" s="409"/>
      <c r="AJ95" s="409"/>
      <c r="AK95" s="409"/>
      <c r="AL95" s="409"/>
      <c r="AM95" s="409"/>
      <c r="AN95" s="409"/>
      <c r="AO95" s="409"/>
      <c r="AP95" s="409"/>
      <c r="AQ95" s="409"/>
      <c r="AR95" s="409"/>
      <c r="AS95" s="409"/>
      <c r="AT95" s="409"/>
      <c r="AU95" s="409"/>
      <c r="AV95" s="409"/>
      <c r="AW95" s="409"/>
      <c r="AX95" s="409"/>
      <c r="AY95" s="409"/>
      <c r="AZ95" s="409"/>
      <c r="BA95" s="409"/>
      <c r="BB95" s="409"/>
      <c r="BC95" s="409"/>
      <c r="BD95" s="407"/>
      <c r="BE95" s="444"/>
      <c r="BF95" s="444"/>
      <c r="BG95" s="444"/>
      <c r="BH95" s="444"/>
      <c r="BI95" s="444"/>
      <c r="BJ95" s="444"/>
      <c r="BK95" s="444"/>
      <c r="BL95" s="444"/>
      <c r="BM95" s="444"/>
      <c r="BN95" s="444"/>
      <c r="BO95" s="444"/>
      <c r="BP95" s="444"/>
      <c r="BQ95" s="444"/>
      <c r="BR95" s="444"/>
      <c r="BS95" s="444"/>
      <c r="BT95" s="444"/>
    </row>
    <row r="96" spans="1:72" s="443" customFormat="1" ht="15">
      <c r="A96" s="392"/>
      <c r="B96" s="392"/>
      <c r="C96" s="392"/>
      <c r="D96" s="392"/>
      <c r="E96" s="392"/>
      <c r="F96" s="392"/>
      <c r="G96" s="392"/>
      <c r="H96" s="392"/>
      <c r="I96" s="392"/>
      <c r="J96" s="392"/>
      <c r="K96" s="392"/>
      <c r="L96" s="392"/>
      <c r="M96" s="392"/>
      <c r="N96" s="392"/>
      <c r="O96" s="392"/>
      <c r="P96" s="392"/>
      <c r="Q96" s="392"/>
      <c r="R96" s="392"/>
      <c r="S96" s="409"/>
      <c r="T96" s="409"/>
      <c r="U96" s="409"/>
      <c r="V96" s="409"/>
      <c r="W96" s="392"/>
      <c r="X96" s="392"/>
      <c r="Y96" s="409"/>
      <c r="Z96" s="409"/>
      <c r="AA96" s="392"/>
      <c r="AB96" s="392"/>
      <c r="AC96" s="392"/>
      <c r="AD96" s="409"/>
      <c r="AE96" s="409"/>
      <c r="AF96" s="409"/>
      <c r="AG96" s="409"/>
      <c r="AH96" s="409"/>
      <c r="AI96" s="409"/>
      <c r="AJ96" s="409"/>
      <c r="AK96" s="409"/>
      <c r="AL96" s="409"/>
      <c r="AM96" s="409"/>
      <c r="AN96" s="409"/>
      <c r="AO96" s="409"/>
      <c r="AP96" s="409"/>
      <c r="AQ96" s="409"/>
      <c r="AR96" s="409"/>
      <c r="AS96" s="409"/>
      <c r="AT96" s="409"/>
      <c r="AU96" s="409"/>
      <c r="AV96" s="409"/>
      <c r="AW96" s="409"/>
      <c r="AX96" s="409"/>
      <c r="AY96" s="409"/>
      <c r="AZ96" s="409"/>
      <c r="BA96" s="409"/>
      <c r="BB96" s="409"/>
      <c r="BC96" s="409"/>
      <c r="BD96" s="407"/>
      <c r="BE96" s="444"/>
      <c r="BF96" s="444"/>
      <c r="BG96" s="444"/>
      <c r="BH96" s="444"/>
      <c r="BI96" s="444"/>
      <c r="BJ96" s="444"/>
      <c r="BK96" s="444"/>
      <c r="BL96" s="444"/>
      <c r="BM96" s="444"/>
      <c r="BN96" s="444"/>
      <c r="BO96" s="444"/>
      <c r="BP96" s="444"/>
      <c r="BQ96" s="444"/>
      <c r="BR96" s="444"/>
      <c r="BS96" s="444"/>
      <c r="BT96" s="444"/>
    </row>
    <row r="97" spans="1:72" s="443" customFormat="1" ht="15">
      <c r="A97" s="392"/>
      <c r="B97" s="392"/>
      <c r="C97" s="392"/>
      <c r="D97" s="392"/>
      <c r="E97" s="392"/>
      <c r="F97" s="392"/>
      <c r="G97" s="392"/>
      <c r="H97" s="392"/>
      <c r="I97" s="392"/>
      <c r="J97" s="392"/>
      <c r="K97" s="392"/>
      <c r="L97" s="392"/>
      <c r="M97" s="392"/>
      <c r="N97" s="392"/>
      <c r="O97" s="392"/>
      <c r="P97" s="392"/>
      <c r="Q97" s="392"/>
      <c r="R97" s="392"/>
      <c r="S97" s="409"/>
      <c r="T97" s="409"/>
      <c r="U97" s="409"/>
      <c r="V97" s="409"/>
      <c r="W97" s="392"/>
      <c r="X97" s="392"/>
      <c r="Y97" s="409"/>
      <c r="Z97" s="409"/>
      <c r="AA97" s="392"/>
      <c r="AB97" s="392"/>
      <c r="AC97" s="392"/>
      <c r="AD97" s="409"/>
      <c r="AE97" s="409"/>
      <c r="AF97" s="409"/>
      <c r="AG97" s="409"/>
      <c r="AH97" s="409"/>
      <c r="AI97" s="409"/>
      <c r="AJ97" s="409"/>
      <c r="AK97" s="409"/>
      <c r="AL97" s="409"/>
      <c r="AM97" s="409"/>
      <c r="AN97" s="409"/>
      <c r="AO97" s="409"/>
      <c r="AP97" s="409"/>
      <c r="AQ97" s="409"/>
      <c r="AR97" s="409"/>
      <c r="AS97" s="409"/>
      <c r="AT97" s="409"/>
      <c r="AU97" s="409"/>
      <c r="AV97" s="409"/>
      <c r="AW97" s="409"/>
      <c r="AX97" s="409"/>
      <c r="AY97" s="409"/>
      <c r="AZ97" s="409"/>
      <c r="BA97" s="409"/>
      <c r="BB97" s="409"/>
      <c r="BC97" s="409"/>
      <c r="BD97" s="407"/>
      <c r="BE97" s="444"/>
      <c r="BF97" s="444"/>
      <c r="BG97" s="444"/>
      <c r="BH97" s="444"/>
      <c r="BI97" s="444"/>
      <c r="BJ97" s="444"/>
      <c r="BK97" s="444"/>
      <c r="BL97" s="444"/>
      <c r="BM97" s="444"/>
      <c r="BN97" s="444"/>
      <c r="BO97" s="444"/>
      <c r="BP97" s="444"/>
      <c r="BQ97" s="444"/>
      <c r="BR97" s="444"/>
      <c r="BS97" s="444"/>
      <c r="BT97" s="444"/>
    </row>
    <row r="98" spans="1:72" s="443" customFormat="1" ht="15">
      <c r="A98" s="392"/>
      <c r="B98" s="392"/>
      <c r="C98" s="392"/>
      <c r="D98" s="392"/>
      <c r="E98" s="392"/>
      <c r="F98" s="392"/>
      <c r="G98" s="392"/>
      <c r="H98" s="392"/>
      <c r="I98" s="392"/>
      <c r="J98" s="392"/>
      <c r="K98" s="392"/>
      <c r="L98" s="392"/>
      <c r="M98" s="392"/>
      <c r="N98" s="392"/>
      <c r="O98" s="392"/>
      <c r="P98" s="392"/>
      <c r="Q98" s="392"/>
      <c r="R98" s="392"/>
      <c r="S98" s="409"/>
      <c r="T98" s="409"/>
      <c r="U98" s="409"/>
      <c r="V98" s="409"/>
      <c r="W98" s="392"/>
      <c r="X98" s="392"/>
      <c r="Y98" s="409"/>
      <c r="Z98" s="409"/>
      <c r="AA98" s="392"/>
      <c r="AB98" s="392"/>
      <c r="AC98" s="392"/>
      <c r="AD98" s="409"/>
      <c r="AE98" s="409"/>
      <c r="AF98" s="409"/>
      <c r="AG98" s="409"/>
      <c r="AH98" s="409"/>
      <c r="AI98" s="409"/>
      <c r="AJ98" s="409"/>
      <c r="AK98" s="409"/>
      <c r="AL98" s="409"/>
      <c r="AM98" s="409"/>
      <c r="AN98" s="409"/>
      <c r="AO98" s="409"/>
      <c r="AP98" s="409"/>
      <c r="AQ98" s="409"/>
      <c r="AR98" s="409"/>
      <c r="AS98" s="409"/>
      <c r="AT98" s="409"/>
      <c r="AU98" s="409"/>
      <c r="AV98" s="409"/>
      <c r="AW98" s="409"/>
      <c r="AX98" s="409"/>
      <c r="AY98" s="409"/>
      <c r="AZ98" s="409"/>
      <c r="BA98" s="409"/>
      <c r="BB98" s="409"/>
      <c r="BC98" s="409"/>
      <c r="BD98" s="407"/>
      <c r="BE98" s="444"/>
      <c r="BF98" s="444"/>
      <c r="BG98" s="444"/>
      <c r="BH98" s="444"/>
      <c r="BI98" s="444"/>
      <c r="BJ98" s="444"/>
      <c r="BK98" s="444"/>
      <c r="BL98" s="444"/>
      <c r="BM98" s="444"/>
      <c r="BN98" s="444"/>
      <c r="BO98" s="444"/>
      <c r="BP98" s="444"/>
      <c r="BQ98" s="444"/>
      <c r="BR98" s="444"/>
      <c r="BS98" s="444"/>
      <c r="BT98" s="444"/>
    </row>
    <row r="99" spans="1:72" s="443" customFormat="1" ht="15">
      <c r="A99" s="392"/>
      <c r="B99" s="392"/>
      <c r="C99" s="392"/>
      <c r="D99" s="392"/>
      <c r="E99" s="392"/>
      <c r="F99" s="392"/>
      <c r="G99" s="392"/>
      <c r="H99" s="392"/>
      <c r="I99" s="392"/>
      <c r="J99" s="392"/>
      <c r="K99" s="392"/>
      <c r="L99" s="392"/>
      <c r="M99" s="392"/>
      <c r="N99" s="392"/>
      <c r="O99" s="392"/>
      <c r="P99" s="392"/>
      <c r="Q99" s="392"/>
      <c r="R99" s="392"/>
      <c r="S99" s="409"/>
      <c r="T99" s="409"/>
      <c r="U99" s="409"/>
      <c r="V99" s="409"/>
      <c r="W99" s="392"/>
      <c r="X99" s="392"/>
      <c r="Y99" s="409"/>
      <c r="Z99" s="409"/>
      <c r="AA99" s="392"/>
      <c r="AB99" s="392"/>
      <c r="AC99" s="392"/>
      <c r="AD99" s="409"/>
      <c r="AE99" s="409"/>
      <c r="AF99" s="409"/>
      <c r="AG99" s="409"/>
      <c r="AH99" s="409"/>
      <c r="AI99" s="409"/>
      <c r="AJ99" s="409"/>
      <c r="AK99" s="409"/>
      <c r="AL99" s="409"/>
      <c r="AM99" s="409"/>
      <c r="AN99" s="409"/>
      <c r="AO99" s="409"/>
      <c r="AP99" s="409"/>
      <c r="AQ99" s="409"/>
      <c r="AR99" s="409"/>
      <c r="AS99" s="409"/>
      <c r="AT99" s="409"/>
      <c r="AU99" s="409"/>
      <c r="AV99" s="409"/>
      <c r="AW99" s="409"/>
      <c r="AX99" s="409"/>
      <c r="AY99" s="409"/>
      <c r="AZ99" s="409"/>
      <c r="BA99" s="409"/>
      <c r="BB99" s="409"/>
      <c r="BC99" s="409"/>
      <c r="BD99" s="407"/>
      <c r="BE99" s="444"/>
      <c r="BF99" s="444"/>
      <c r="BG99" s="444"/>
      <c r="BH99" s="444"/>
      <c r="BI99" s="444"/>
      <c r="BJ99" s="444"/>
      <c r="BK99" s="444"/>
      <c r="BL99" s="444"/>
      <c r="BM99" s="444"/>
      <c r="BN99" s="444"/>
      <c r="BO99" s="444"/>
      <c r="BP99" s="444"/>
      <c r="BQ99" s="444"/>
      <c r="BR99" s="444"/>
      <c r="BS99" s="444"/>
      <c r="BT99" s="444"/>
    </row>
    <row r="100" spans="1:72" s="443" customFormat="1" ht="15">
      <c r="A100" s="392"/>
      <c r="B100" s="392"/>
      <c r="C100" s="392"/>
      <c r="D100" s="392"/>
      <c r="E100" s="392"/>
      <c r="F100" s="392"/>
      <c r="G100" s="392"/>
      <c r="H100" s="392"/>
      <c r="I100" s="392"/>
      <c r="J100" s="392"/>
      <c r="K100" s="392"/>
      <c r="L100" s="392"/>
      <c r="M100" s="392"/>
      <c r="N100" s="392"/>
      <c r="O100" s="392"/>
      <c r="P100" s="392"/>
      <c r="Q100" s="392"/>
      <c r="R100" s="392"/>
      <c r="S100" s="409"/>
      <c r="T100" s="409"/>
      <c r="U100" s="409"/>
      <c r="V100" s="409"/>
      <c r="W100" s="392"/>
      <c r="X100" s="392"/>
      <c r="Y100" s="409"/>
      <c r="Z100" s="409"/>
      <c r="AA100" s="392"/>
      <c r="AB100" s="392"/>
      <c r="AC100" s="392"/>
      <c r="AD100" s="409"/>
      <c r="AE100" s="409"/>
      <c r="AF100" s="409"/>
      <c r="AG100" s="409"/>
      <c r="AH100" s="409"/>
      <c r="AI100" s="409"/>
      <c r="AJ100" s="409"/>
      <c r="AK100" s="409"/>
      <c r="AL100" s="409"/>
      <c r="AM100" s="409"/>
      <c r="AN100" s="409"/>
      <c r="AO100" s="409"/>
      <c r="AP100" s="409"/>
      <c r="AQ100" s="409"/>
      <c r="AR100" s="409"/>
      <c r="AS100" s="409"/>
      <c r="AT100" s="409"/>
      <c r="AU100" s="409"/>
      <c r="AV100" s="409"/>
      <c r="AW100" s="409"/>
      <c r="AX100" s="409"/>
      <c r="AY100" s="409"/>
      <c r="AZ100" s="409"/>
      <c r="BA100" s="409"/>
      <c r="BB100" s="409"/>
      <c r="BC100" s="409"/>
      <c r="BD100" s="407"/>
      <c r="BE100" s="444"/>
      <c r="BF100" s="444"/>
      <c r="BG100" s="444"/>
      <c r="BH100" s="444"/>
      <c r="BI100" s="444"/>
      <c r="BJ100" s="444"/>
      <c r="BK100" s="444"/>
      <c r="BL100" s="444"/>
      <c r="BM100" s="444"/>
      <c r="BN100" s="444"/>
      <c r="BO100" s="444"/>
      <c r="BP100" s="444"/>
      <c r="BQ100" s="444"/>
      <c r="BR100" s="444"/>
      <c r="BS100" s="444"/>
      <c r="BT100" s="444"/>
    </row>
    <row r="101" spans="1:72" s="443" customFormat="1" ht="15">
      <c r="A101" s="392"/>
      <c r="B101" s="392"/>
      <c r="C101" s="392"/>
      <c r="D101" s="392"/>
      <c r="E101" s="392"/>
      <c r="F101" s="392"/>
      <c r="G101" s="392"/>
      <c r="H101" s="392"/>
      <c r="I101" s="392"/>
      <c r="J101" s="392"/>
      <c r="K101" s="392"/>
      <c r="L101" s="392"/>
      <c r="M101" s="392"/>
      <c r="N101" s="392"/>
      <c r="O101" s="392"/>
      <c r="P101" s="392"/>
      <c r="Q101" s="392"/>
      <c r="R101" s="392"/>
      <c r="S101" s="409"/>
      <c r="T101" s="409"/>
      <c r="U101" s="409"/>
      <c r="V101" s="409"/>
      <c r="W101" s="392"/>
      <c r="X101" s="392"/>
      <c r="Y101" s="409"/>
      <c r="Z101" s="409"/>
      <c r="AA101" s="392"/>
      <c r="AB101" s="392"/>
      <c r="AC101" s="392"/>
      <c r="AD101" s="409"/>
      <c r="AE101" s="409"/>
      <c r="AF101" s="409"/>
      <c r="AG101" s="409"/>
      <c r="AH101" s="409"/>
      <c r="AI101" s="409"/>
      <c r="AJ101" s="409"/>
      <c r="AK101" s="409"/>
      <c r="AL101" s="409"/>
      <c r="AM101" s="409"/>
      <c r="AN101" s="409"/>
      <c r="AO101" s="409"/>
      <c r="AP101" s="409"/>
      <c r="AQ101" s="409"/>
      <c r="AR101" s="409"/>
      <c r="AS101" s="409"/>
      <c r="AT101" s="409"/>
      <c r="AU101" s="409"/>
      <c r="AV101" s="409"/>
      <c r="AW101" s="409"/>
      <c r="AX101" s="409"/>
      <c r="AY101" s="409"/>
      <c r="AZ101" s="409"/>
      <c r="BA101" s="409"/>
      <c r="BB101" s="409"/>
      <c r="BC101" s="409"/>
      <c r="BD101" s="407"/>
      <c r="BE101" s="444"/>
      <c r="BF101" s="444"/>
      <c r="BG101" s="444"/>
      <c r="BH101" s="444"/>
      <c r="BI101" s="444"/>
      <c r="BJ101" s="444"/>
      <c r="BK101" s="444"/>
      <c r="BL101" s="444"/>
      <c r="BM101" s="444"/>
      <c r="BN101" s="444"/>
      <c r="BO101" s="444"/>
      <c r="BP101" s="444"/>
      <c r="BQ101" s="444"/>
      <c r="BR101" s="444"/>
      <c r="BS101" s="444"/>
      <c r="BT101" s="444"/>
    </row>
    <row r="102" spans="1:72" s="443" customFormat="1" ht="15">
      <c r="A102" s="392"/>
      <c r="B102" s="392"/>
      <c r="C102" s="392"/>
      <c r="D102" s="392"/>
      <c r="E102" s="392"/>
      <c r="F102" s="392"/>
      <c r="G102" s="392"/>
      <c r="H102" s="392"/>
      <c r="I102" s="392"/>
      <c r="J102" s="392"/>
      <c r="K102" s="392"/>
      <c r="L102" s="392"/>
      <c r="M102" s="392"/>
      <c r="N102" s="392"/>
      <c r="O102" s="392"/>
      <c r="P102" s="392"/>
      <c r="Q102" s="392"/>
      <c r="R102" s="392"/>
      <c r="S102" s="409"/>
      <c r="T102" s="409"/>
      <c r="U102" s="409"/>
      <c r="V102" s="409"/>
      <c r="W102" s="392"/>
      <c r="X102" s="392"/>
      <c r="Y102" s="409"/>
      <c r="Z102" s="409"/>
      <c r="AA102" s="392"/>
      <c r="AB102" s="392"/>
      <c r="AC102" s="392"/>
      <c r="AD102" s="409"/>
      <c r="AE102" s="409"/>
      <c r="AF102" s="409"/>
      <c r="AG102" s="409"/>
      <c r="AH102" s="409"/>
      <c r="AI102" s="409"/>
      <c r="AJ102" s="409"/>
      <c r="AK102" s="409"/>
      <c r="AL102" s="409"/>
      <c r="AM102" s="409"/>
      <c r="AN102" s="409"/>
      <c r="AO102" s="409"/>
      <c r="AP102" s="409"/>
      <c r="AQ102" s="409"/>
      <c r="AR102" s="409"/>
      <c r="AS102" s="409"/>
      <c r="AT102" s="409"/>
      <c r="AU102" s="409"/>
      <c r="AV102" s="409"/>
      <c r="AW102" s="409"/>
      <c r="AX102" s="409"/>
      <c r="AY102" s="409"/>
      <c r="AZ102" s="409"/>
      <c r="BA102" s="409"/>
      <c r="BB102" s="409"/>
      <c r="BC102" s="409"/>
      <c r="BD102" s="407"/>
      <c r="BE102" s="444"/>
      <c r="BF102" s="444"/>
      <c r="BG102" s="444"/>
      <c r="BH102" s="444"/>
      <c r="BI102" s="444"/>
      <c r="BJ102" s="444"/>
      <c r="BK102" s="444"/>
      <c r="BL102" s="444"/>
      <c r="BM102" s="444"/>
      <c r="BN102" s="444"/>
      <c r="BO102" s="444"/>
      <c r="BP102" s="444"/>
      <c r="BQ102" s="444"/>
      <c r="BR102" s="444"/>
      <c r="BS102" s="444"/>
      <c r="BT102" s="444"/>
    </row>
    <row r="103" spans="1:72" s="443" customFormat="1" ht="15">
      <c r="A103" s="392"/>
      <c r="B103" s="392"/>
      <c r="C103" s="392"/>
      <c r="D103" s="392"/>
      <c r="E103" s="392"/>
      <c r="F103" s="392"/>
      <c r="G103" s="392"/>
      <c r="H103" s="392"/>
      <c r="I103" s="392"/>
      <c r="J103" s="392"/>
      <c r="K103" s="392"/>
      <c r="L103" s="392"/>
      <c r="M103" s="392"/>
      <c r="N103" s="392"/>
      <c r="O103" s="392"/>
      <c r="P103" s="392"/>
      <c r="Q103" s="392"/>
      <c r="R103" s="392"/>
      <c r="S103" s="409"/>
      <c r="T103" s="409"/>
      <c r="U103" s="409"/>
      <c r="V103" s="409"/>
      <c r="W103" s="392"/>
      <c r="X103" s="392"/>
      <c r="Y103" s="409"/>
      <c r="Z103" s="409"/>
      <c r="AA103" s="392"/>
      <c r="AB103" s="392"/>
      <c r="AC103" s="392"/>
      <c r="AD103" s="409"/>
      <c r="AE103" s="409"/>
      <c r="AF103" s="409"/>
      <c r="AG103" s="409"/>
      <c r="AH103" s="409"/>
      <c r="AI103" s="409"/>
      <c r="AJ103" s="409"/>
      <c r="AK103" s="409"/>
      <c r="AL103" s="409"/>
      <c r="AM103" s="409"/>
      <c r="AN103" s="409"/>
      <c r="AO103" s="409"/>
      <c r="AP103" s="409"/>
      <c r="AQ103" s="409"/>
      <c r="AR103" s="409"/>
      <c r="AS103" s="409"/>
      <c r="AT103" s="409"/>
      <c r="AU103" s="409"/>
      <c r="AV103" s="409"/>
      <c r="AW103" s="409"/>
      <c r="AX103" s="409"/>
      <c r="AY103" s="409"/>
      <c r="AZ103" s="409"/>
      <c r="BA103" s="409"/>
      <c r="BB103" s="409"/>
      <c r="BC103" s="409"/>
      <c r="BD103" s="407"/>
      <c r="BE103" s="444"/>
      <c r="BF103" s="444"/>
      <c r="BG103" s="444"/>
      <c r="BH103" s="444"/>
      <c r="BI103" s="444"/>
      <c r="BJ103" s="444"/>
      <c r="BK103" s="444"/>
      <c r="BL103" s="444"/>
      <c r="BM103" s="444"/>
      <c r="BN103" s="444"/>
      <c r="BO103" s="444"/>
      <c r="BP103" s="444"/>
      <c r="BQ103" s="444"/>
      <c r="BR103" s="444"/>
      <c r="BS103" s="444"/>
      <c r="BT103" s="444"/>
    </row>
    <row r="104" spans="1:72" s="443" customFormat="1" ht="15">
      <c r="A104" s="392"/>
      <c r="B104" s="392"/>
      <c r="C104" s="392"/>
      <c r="D104" s="392"/>
      <c r="E104" s="392"/>
      <c r="F104" s="392"/>
      <c r="G104" s="392"/>
      <c r="H104" s="392"/>
      <c r="I104" s="392"/>
      <c r="J104" s="392"/>
      <c r="K104" s="392"/>
      <c r="L104" s="392"/>
      <c r="M104" s="392"/>
      <c r="N104" s="392"/>
      <c r="O104" s="392"/>
      <c r="P104" s="392"/>
      <c r="Q104" s="392"/>
      <c r="R104" s="392"/>
      <c r="S104" s="409"/>
      <c r="T104" s="409"/>
      <c r="U104" s="409"/>
      <c r="V104" s="409"/>
      <c r="W104" s="392"/>
      <c r="X104" s="392"/>
      <c r="Y104" s="409"/>
      <c r="Z104" s="409"/>
      <c r="AA104" s="392"/>
      <c r="AB104" s="392"/>
      <c r="AC104" s="392"/>
      <c r="AD104" s="409"/>
      <c r="AE104" s="409"/>
      <c r="AF104" s="409"/>
      <c r="AG104" s="409"/>
      <c r="AH104" s="409"/>
      <c r="AI104" s="409"/>
      <c r="AJ104" s="409"/>
      <c r="AK104" s="409"/>
      <c r="AL104" s="409"/>
      <c r="AM104" s="409"/>
      <c r="AN104" s="409"/>
      <c r="AO104" s="409"/>
      <c r="AP104" s="409"/>
      <c r="AQ104" s="409"/>
      <c r="AR104" s="409"/>
      <c r="AS104" s="409"/>
      <c r="AT104" s="409"/>
      <c r="AU104" s="409"/>
      <c r="AV104" s="409"/>
      <c r="AW104" s="409"/>
      <c r="AX104" s="409"/>
      <c r="AY104" s="409"/>
      <c r="AZ104" s="409"/>
      <c r="BA104" s="409"/>
      <c r="BB104" s="409"/>
      <c r="BC104" s="409"/>
      <c r="BD104" s="407"/>
      <c r="BE104" s="444"/>
      <c r="BF104" s="444"/>
      <c r="BG104" s="444"/>
      <c r="BH104" s="444"/>
      <c r="BI104" s="444"/>
      <c r="BJ104" s="444"/>
      <c r="BK104" s="444"/>
      <c r="BL104" s="444"/>
      <c r="BM104" s="444"/>
      <c r="BN104" s="444"/>
      <c r="BO104" s="444"/>
      <c r="BP104" s="444"/>
      <c r="BQ104" s="444"/>
      <c r="BR104" s="444"/>
      <c r="BS104" s="444"/>
      <c r="BT104" s="444"/>
    </row>
    <row r="105" spans="1:72" s="443" customFormat="1" ht="15">
      <c r="A105" s="392"/>
      <c r="B105" s="392"/>
      <c r="C105" s="392"/>
      <c r="D105" s="392"/>
      <c r="E105" s="392"/>
      <c r="F105" s="392"/>
      <c r="G105" s="392"/>
      <c r="H105" s="392"/>
      <c r="I105" s="392"/>
      <c r="J105" s="392"/>
      <c r="K105" s="392"/>
      <c r="L105" s="392"/>
      <c r="M105" s="392"/>
      <c r="N105" s="392"/>
      <c r="O105" s="392"/>
      <c r="P105" s="392"/>
      <c r="Q105" s="392"/>
      <c r="R105" s="392"/>
      <c r="S105" s="409"/>
      <c r="T105" s="409"/>
      <c r="U105" s="409"/>
      <c r="V105" s="409"/>
      <c r="W105" s="392"/>
      <c r="X105" s="392"/>
      <c r="Y105" s="409"/>
      <c r="Z105" s="409"/>
      <c r="AA105" s="392"/>
      <c r="AB105" s="392"/>
      <c r="AC105" s="392"/>
      <c r="AD105" s="409"/>
      <c r="AE105" s="409"/>
      <c r="AF105" s="409"/>
      <c r="AG105" s="409"/>
      <c r="AH105" s="409"/>
      <c r="AI105" s="409"/>
      <c r="AJ105" s="409"/>
      <c r="AK105" s="409"/>
      <c r="AL105" s="409"/>
      <c r="AM105" s="409"/>
      <c r="AN105" s="409"/>
      <c r="AO105" s="409"/>
      <c r="AP105" s="409"/>
      <c r="AQ105" s="409"/>
      <c r="AR105" s="409"/>
      <c r="AS105" s="409"/>
      <c r="AT105" s="409"/>
      <c r="AU105" s="409"/>
      <c r="AV105" s="409"/>
      <c r="AW105" s="409"/>
      <c r="AX105" s="409"/>
      <c r="AY105" s="409"/>
      <c r="AZ105" s="409"/>
      <c r="BA105" s="409"/>
      <c r="BB105" s="409"/>
      <c r="BC105" s="409"/>
      <c r="BD105" s="407"/>
      <c r="BE105" s="444"/>
      <c r="BF105" s="444"/>
      <c r="BG105" s="444"/>
      <c r="BH105" s="444"/>
      <c r="BI105" s="444"/>
      <c r="BJ105" s="444"/>
      <c r="BK105" s="444"/>
      <c r="BL105" s="444"/>
      <c r="BM105" s="444"/>
      <c r="BN105" s="444"/>
      <c r="BO105" s="444"/>
      <c r="BP105" s="444"/>
      <c r="BQ105" s="444"/>
      <c r="BR105" s="444"/>
      <c r="BS105" s="444"/>
      <c r="BT105" s="444"/>
    </row>
    <row r="106" spans="1:72" s="443" customFormat="1" ht="15">
      <c r="A106" s="392"/>
      <c r="B106" s="392"/>
      <c r="C106" s="392"/>
      <c r="D106" s="392"/>
      <c r="E106" s="392"/>
      <c r="F106" s="392"/>
      <c r="G106" s="392"/>
      <c r="H106" s="392"/>
      <c r="I106" s="392"/>
      <c r="J106" s="392"/>
      <c r="K106" s="392"/>
      <c r="L106" s="392"/>
      <c r="M106" s="392"/>
      <c r="N106" s="392"/>
      <c r="O106" s="392"/>
      <c r="P106" s="392"/>
      <c r="Q106" s="392"/>
      <c r="R106" s="392"/>
      <c r="S106" s="409"/>
      <c r="T106" s="409"/>
      <c r="U106" s="409"/>
      <c r="V106" s="409"/>
      <c r="W106" s="392"/>
      <c r="X106" s="392"/>
      <c r="Y106" s="409"/>
      <c r="Z106" s="409"/>
      <c r="AA106" s="392"/>
      <c r="AB106" s="392"/>
      <c r="AC106" s="392"/>
      <c r="AD106" s="409"/>
      <c r="AE106" s="409"/>
      <c r="AF106" s="409"/>
      <c r="AG106" s="409"/>
      <c r="AH106" s="409"/>
      <c r="AI106" s="409"/>
      <c r="AJ106" s="409"/>
      <c r="AK106" s="409"/>
      <c r="AL106" s="409"/>
      <c r="AM106" s="409"/>
      <c r="AN106" s="409"/>
      <c r="AO106" s="409"/>
      <c r="AP106" s="409"/>
      <c r="AQ106" s="409"/>
      <c r="AR106" s="409"/>
      <c r="AS106" s="409"/>
      <c r="AT106" s="409"/>
      <c r="AU106" s="409"/>
      <c r="AV106" s="409"/>
      <c r="AW106" s="409"/>
      <c r="AX106" s="409"/>
      <c r="AY106" s="409"/>
      <c r="AZ106" s="409"/>
      <c r="BA106" s="409"/>
      <c r="BB106" s="409"/>
      <c r="BC106" s="409"/>
      <c r="BD106" s="407"/>
      <c r="BE106" s="444"/>
      <c r="BF106" s="444"/>
      <c r="BG106" s="444"/>
      <c r="BH106" s="444"/>
      <c r="BI106" s="444"/>
      <c r="BJ106" s="444"/>
      <c r="BK106" s="444"/>
      <c r="BL106" s="444"/>
      <c r="BM106" s="444"/>
      <c r="BN106" s="444"/>
      <c r="BO106" s="444"/>
      <c r="BP106" s="444"/>
      <c r="BQ106" s="444"/>
      <c r="BR106" s="444"/>
      <c r="BS106" s="444"/>
      <c r="BT106" s="444"/>
    </row>
    <row r="107" spans="1:72" s="443" customFormat="1" ht="15">
      <c r="A107" s="392"/>
      <c r="B107" s="392"/>
      <c r="C107" s="392"/>
      <c r="D107" s="392"/>
      <c r="E107" s="392"/>
      <c r="F107" s="392"/>
      <c r="G107" s="392"/>
      <c r="H107" s="392"/>
      <c r="I107" s="392"/>
      <c r="J107" s="392"/>
      <c r="K107" s="392"/>
      <c r="L107" s="392"/>
      <c r="M107" s="392"/>
      <c r="N107" s="392"/>
      <c r="O107" s="392"/>
      <c r="P107" s="392"/>
      <c r="Q107" s="392"/>
      <c r="R107" s="392"/>
      <c r="S107" s="409"/>
      <c r="T107" s="409"/>
      <c r="U107" s="409"/>
      <c r="V107" s="409"/>
      <c r="W107" s="392"/>
      <c r="X107" s="392"/>
      <c r="Y107" s="409"/>
      <c r="Z107" s="409"/>
      <c r="AA107" s="392"/>
      <c r="AB107" s="392"/>
      <c r="AC107" s="392"/>
      <c r="AD107" s="409"/>
      <c r="AE107" s="409"/>
      <c r="AF107" s="409"/>
      <c r="AG107" s="409"/>
      <c r="AH107" s="409"/>
      <c r="AI107" s="409"/>
      <c r="AJ107" s="409"/>
      <c r="AK107" s="409"/>
      <c r="AL107" s="409"/>
      <c r="AM107" s="409"/>
      <c r="AN107" s="409"/>
      <c r="AO107" s="409"/>
      <c r="AP107" s="409"/>
      <c r="AQ107" s="409"/>
      <c r="AR107" s="409"/>
      <c r="AS107" s="409"/>
      <c r="AT107" s="409"/>
      <c r="AU107" s="409"/>
      <c r="AV107" s="409"/>
      <c r="AW107" s="409"/>
      <c r="AX107" s="409"/>
      <c r="AY107" s="409"/>
      <c r="AZ107" s="409"/>
      <c r="BA107" s="409"/>
      <c r="BB107" s="409"/>
      <c r="BC107" s="409"/>
      <c r="BD107" s="407"/>
      <c r="BE107" s="444"/>
      <c r="BF107" s="444"/>
      <c r="BG107" s="444"/>
      <c r="BH107" s="444"/>
      <c r="BI107" s="444"/>
      <c r="BJ107" s="444"/>
      <c r="BK107" s="444"/>
      <c r="BL107" s="444"/>
      <c r="BM107" s="444"/>
      <c r="BN107" s="444"/>
      <c r="BO107" s="444"/>
      <c r="BP107" s="444"/>
      <c r="BQ107" s="444"/>
      <c r="BR107" s="444"/>
      <c r="BS107" s="444"/>
      <c r="BT107" s="444"/>
    </row>
    <row r="108" spans="1:72" s="443" customFormat="1" ht="15">
      <c r="A108" s="392"/>
      <c r="B108" s="392"/>
      <c r="C108" s="392"/>
      <c r="D108" s="392"/>
      <c r="E108" s="392"/>
      <c r="F108" s="392"/>
      <c r="G108" s="392"/>
      <c r="H108" s="392"/>
      <c r="I108" s="392"/>
      <c r="J108" s="392"/>
      <c r="K108" s="392"/>
      <c r="L108" s="392"/>
      <c r="M108" s="392"/>
      <c r="N108" s="392"/>
      <c r="O108" s="392"/>
      <c r="P108" s="392"/>
      <c r="Q108" s="392"/>
      <c r="R108" s="392"/>
      <c r="S108" s="409"/>
      <c r="T108" s="409"/>
      <c r="U108" s="409"/>
      <c r="V108" s="409"/>
      <c r="W108" s="392"/>
      <c r="X108" s="392"/>
      <c r="Y108" s="409"/>
      <c r="Z108" s="409"/>
      <c r="AA108" s="392"/>
      <c r="AB108" s="392"/>
      <c r="AC108" s="392"/>
      <c r="AD108" s="409"/>
      <c r="AE108" s="409"/>
      <c r="AF108" s="409"/>
      <c r="AG108" s="409"/>
      <c r="AH108" s="409"/>
      <c r="AI108" s="409"/>
      <c r="AJ108" s="409"/>
      <c r="AK108" s="409"/>
      <c r="AL108" s="409"/>
      <c r="AM108" s="409"/>
      <c r="AN108" s="409"/>
      <c r="AO108" s="409"/>
      <c r="AP108" s="409"/>
      <c r="AQ108" s="409"/>
      <c r="AR108" s="409"/>
      <c r="AS108" s="409"/>
      <c r="AT108" s="409"/>
      <c r="AU108" s="409"/>
      <c r="AV108" s="409"/>
      <c r="AW108" s="409"/>
      <c r="AX108" s="409"/>
      <c r="AY108" s="409"/>
      <c r="AZ108" s="409"/>
      <c r="BA108" s="409"/>
      <c r="BB108" s="409"/>
      <c r="BC108" s="409"/>
      <c r="BD108" s="407"/>
      <c r="BE108" s="444"/>
      <c r="BF108" s="444"/>
      <c r="BG108" s="444"/>
      <c r="BH108" s="444"/>
      <c r="BI108" s="444"/>
      <c r="BJ108" s="444"/>
      <c r="BK108" s="444"/>
      <c r="BL108" s="444"/>
      <c r="BM108" s="444"/>
      <c r="BN108" s="444"/>
      <c r="BO108" s="444"/>
      <c r="BP108" s="444"/>
      <c r="BQ108" s="444"/>
      <c r="BR108" s="444"/>
      <c r="BS108" s="444"/>
      <c r="BT108" s="444"/>
    </row>
    <row r="109" spans="1:72" s="443" customFormat="1" ht="15">
      <c r="A109" s="392"/>
      <c r="B109" s="392"/>
      <c r="C109" s="392"/>
      <c r="D109" s="392"/>
      <c r="E109" s="392"/>
      <c r="F109" s="392"/>
      <c r="G109" s="392"/>
      <c r="H109" s="392"/>
      <c r="I109" s="392"/>
      <c r="J109" s="392"/>
      <c r="K109" s="392"/>
      <c r="L109" s="392"/>
      <c r="M109" s="392"/>
      <c r="N109" s="392"/>
      <c r="O109" s="392"/>
      <c r="P109" s="392"/>
      <c r="Q109" s="392"/>
      <c r="R109" s="392"/>
      <c r="S109" s="409"/>
      <c r="T109" s="409"/>
      <c r="U109" s="409"/>
      <c r="V109" s="409"/>
      <c r="W109" s="392"/>
      <c r="X109" s="392"/>
      <c r="Y109" s="409"/>
      <c r="Z109" s="409"/>
      <c r="AA109" s="392"/>
      <c r="AB109" s="392"/>
      <c r="AC109" s="392"/>
      <c r="AD109" s="409"/>
      <c r="AE109" s="409"/>
      <c r="AF109" s="409"/>
      <c r="AG109" s="409"/>
      <c r="AH109" s="409"/>
      <c r="AI109" s="409"/>
      <c r="AJ109" s="409"/>
      <c r="AK109" s="409"/>
      <c r="AL109" s="409"/>
      <c r="AM109" s="409"/>
      <c r="AN109" s="409"/>
      <c r="AO109" s="409"/>
      <c r="AP109" s="409"/>
      <c r="AQ109" s="409"/>
      <c r="AR109" s="409"/>
      <c r="AS109" s="409"/>
      <c r="AT109" s="409"/>
      <c r="AU109" s="409"/>
      <c r="AV109" s="409"/>
      <c r="AW109" s="409"/>
      <c r="AX109" s="409"/>
      <c r="AY109" s="409"/>
      <c r="AZ109" s="409"/>
      <c r="BA109" s="409"/>
      <c r="BB109" s="409"/>
      <c r="BC109" s="409"/>
      <c r="BD109" s="407"/>
      <c r="BE109" s="444"/>
      <c r="BF109" s="444"/>
      <c r="BG109" s="444"/>
      <c r="BH109" s="444"/>
      <c r="BI109" s="444"/>
      <c r="BJ109" s="444"/>
      <c r="BK109" s="444"/>
      <c r="BL109" s="444"/>
      <c r="BM109" s="444"/>
      <c r="BN109" s="444"/>
      <c r="BO109" s="444"/>
      <c r="BP109" s="444"/>
      <c r="BQ109" s="444"/>
      <c r="BR109" s="444"/>
      <c r="BS109" s="444"/>
      <c r="BT109" s="444"/>
    </row>
    <row r="110" spans="1:72" s="443" customFormat="1" ht="15">
      <c r="A110" s="392"/>
      <c r="B110" s="392"/>
      <c r="C110" s="392"/>
      <c r="D110" s="392"/>
      <c r="E110" s="392"/>
      <c r="F110" s="392"/>
      <c r="G110" s="392"/>
      <c r="H110" s="392"/>
      <c r="I110" s="392"/>
      <c r="J110" s="392"/>
      <c r="K110" s="392"/>
      <c r="L110" s="392"/>
      <c r="M110" s="392"/>
      <c r="N110" s="392"/>
      <c r="O110" s="392"/>
      <c r="P110" s="392"/>
      <c r="Q110" s="392"/>
      <c r="R110" s="392"/>
      <c r="S110" s="409"/>
      <c r="T110" s="409"/>
      <c r="U110" s="409"/>
      <c r="V110" s="409"/>
      <c r="W110" s="392"/>
      <c r="X110" s="392"/>
      <c r="Y110" s="409"/>
      <c r="Z110" s="409"/>
      <c r="AA110" s="392"/>
      <c r="AB110" s="392"/>
      <c r="AC110" s="392"/>
      <c r="AD110" s="409"/>
      <c r="AE110" s="409"/>
      <c r="AF110" s="409"/>
      <c r="AG110" s="409"/>
      <c r="AH110" s="409"/>
      <c r="AI110" s="409"/>
      <c r="AJ110" s="409"/>
      <c r="AK110" s="409"/>
      <c r="AL110" s="409"/>
      <c r="AM110" s="409"/>
      <c r="AN110" s="409"/>
      <c r="AO110" s="409"/>
      <c r="AP110" s="409"/>
      <c r="AQ110" s="409"/>
      <c r="AR110" s="409"/>
      <c r="AS110" s="409"/>
      <c r="AT110" s="409"/>
      <c r="AU110" s="409"/>
      <c r="AV110" s="409"/>
      <c r="AW110" s="409"/>
      <c r="AX110" s="409"/>
      <c r="AY110" s="409"/>
      <c r="AZ110" s="409"/>
      <c r="BA110" s="409"/>
      <c r="BB110" s="409"/>
      <c r="BC110" s="409"/>
      <c r="BD110" s="407"/>
      <c r="BE110" s="444"/>
      <c r="BF110" s="444"/>
      <c r="BG110" s="444"/>
      <c r="BH110" s="444"/>
      <c r="BI110" s="444"/>
      <c r="BJ110" s="444"/>
      <c r="BK110" s="444"/>
      <c r="BL110" s="444"/>
      <c r="BM110" s="444"/>
      <c r="BN110" s="444"/>
      <c r="BO110" s="444"/>
      <c r="BP110" s="444"/>
      <c r="BQ110" s="444"/>
      <c r="BR110" s="444"/>
      <c r="BS110" s="444"/>
      <c r="BT110" s="444"/>
    </row>
    <row r="111" spans="1:72" s="443" customFormat="1" ht="15">
      <c r="A111" s="392"/>
      <c r="B111" s="392"/>
      <c r="C111" s="392"/>
      <c r="D111" s="392"/>
      <c r="E111" s="392"/>
      <c r="F111" s="392"/>
      <c r="G111" s="392"/>
      <c r="H111" s="392"/>
      <c r="I111" s="392"/>
      <c r="J111" s="392"/>
      <c r="K111" s="392"/>
      <c r="L111" s="392"/>
      <c r="M111" s="392"/>
      <c r="N111" s="392"/>
      <c r="O111" s="392"/>
      <c r="P111" s="392"/>
      <c r="Q111" s="392"/>
      <c r="R111" s="392"/>
      <c r="S111" s="409"/>
      <c r="T111" s="409"/>
      <c r="U111" s="409"/>
      <c r="V111" s="409"/>
      <c r="W111" s="392"/>
      <c r="X111" s="392"/>
      <c r="Y111" s="409"/>
      <c r="Z111" s="409"/>
      <c r="AA111" s="392"/>
      <c r="AB111" s="392"/>
      <c r="AC111" s="392"/>
      <c r="AD111" s="409"/>
      <c r="AE111" s="409"/>
      <c r="AF111" s="409"/>
      <c r="AG111" s="409"/>
      <c r="AH111" s="409"/>
      <c r="AI111" s="409"/>
      <c r="AJ111" s="409"/>
      <c r="AK111" s="409"/>
      <c r="AL111" s="409"/>
      <c r="AM111" s="409"/>
      <c r="AN111" s="409"/>
      <c r="AO111" s="409"/>
      <c r="AP111" s="409"/>
      <c r="AQ111" s="409"/>
      <c r="AR111" s="409"/>
      <c r="AS111" s="409"/>
      <c r="AT111" s="409"/>
      <c r="AU111" s="409"/>
      <c r="AV111" s="409"/>
      <c r="AW111" s="409"/>
      <c r="AX111" s="409"/>
      <c r="AY111" s="409"/>
      <c r="AZ111" s="409"/>
      <c r="BA111" s="409"/>
      <c r="BB111" s="409"/>
      <c r="BC111" s="409"/>
      <c r="BD111" s="407"/>
      <c r="BE111" s="444"/>
      <c r="BF111" s="444"/>
      <c r="BG111" s="444"/>
      <c r="BH111" s="444"/>
      <c r="BI111" s="444"/>
      <c r="BJ111" s="444"/>
      <c r="BK111" s="444"/>
      <c r="BL111" s="444"/>
      <c r="BM111" s="444"/>
      <c r="BN111" s="444"/>
      <c r="BO111" s="444"/>
      <c r="BP111" s="444"/>
      <c r="BQ111" s="444"/>
      <c r="BR111" s="444"/>
      <c r="BS111" s="444"/>
      <c r="BT111" s="444"/>
    </row>
    <row r="112" spans="1:72" s="443" customFormat="1" ht="15">
      <c r="A112" s="392"/>
      <c r="B112" s="392"/>
      <c r="C112" s="392"/>
      <c r="D112" s="392"/>
      <c r="E112" s="392"/>
      <c r="F112" s="392"/>
      <c r="G112" s="392"/>
      <c r="H112" s="392"/>
      <c r="I112" s="392"/>
      <c r="J112" s="392"/>
      <c r="K112" s="392"/>
      <c r="L112" s="392"/>
      <c r="M112" s="392"/>
      <c r="N112" s="392"/>
      <c r="O112" s="392"/>
      <c r="P112" s="392"/>
      <c r="Q112" s="392"/>
      <c r="R112" s="392"/>
      <c r="S112" s="409"/>
      <c r="T112" s="409"/>
      <c r="U112" s="409"/>
      <c r="V112" s="409"/>
      <c r="W112" s="392"/>
      <c r="X112" s="392"/>
      <c r="Y112" s="409"/>
      <c r="Z112" s="409"/>
      <c r="AA112" s="392"/>
      <c r="AB112" s="392"/>
      <c r="AC112" s="392"/>
      <c r="AD112" s="409"/>
      <c r="AE112" s="409"/>
      <c r="AF112" s="409"/>
      <c r="AG112" s="409"/>
      <c r="AH112" s="409"/>
      <c r="AI112" s="409"/>
      <c r="AJ112" s="409"/>
      <c r="AK112" s="409"/>
      <c r="AL112" s="409"/>
      <c r="AM112" s="409"/>
      <c r="AN112" s="409"/>
      <c r="AO112" s="409"/>
      <c r="AP112" s="409"/>
      <c r="AQ112" s="409"/>
      <c r="AR112" s="409"/>
      <c r="AS112" s="409"/>
      <c r="AT112" s="409"/>
      <c r="AU112" s="409"/>
      <c r="AV112" s="409"/>
      <c r="AW112" s="409"/>
      <c r="AX112" s="409"/>
      <c r="AY112" s="409"/>
      <c r="AZ112" s="409"/>
      <c r="BA112" s="409"/>
      <c r="BB112" s="409"/>
      <c r="BC112" s="409"/>
      <c r="BD112" s="407"/>
      <c r="BE112" s="444"/>
      <c r="BF112" s="444"/>
      <c r="BG112" s="444"/>
      <c r="BH112" s="444"/>
      <c r="BI112" s="444"/>
      <c r="BJ112" s="444"/>
      <c r="BK112" s="444"/>
      <c r="BL112" s="444"/>
      <c r="BM112" s="444"/>
      <c r="BN112" s="444"/>
      <c r="BO112" s="444"/>
      <c r="BP112" s="444"/>
      <c r="BQ112" s="444"/>
      <c r="BR112" s="444"/>
      <c r="BS112" s="444"/>
      <c r="BT112" s="444"/>
    </row>
    <row r="113" spans="1:72" s="443" customFormat="1" ht="15">
      <c r="A113" s="392"/>
      <c r="B113" s="392"/>
      <c r="C113" s="392"/>
      <c r="D113" s="392"/>
      <c r="E113" s="392"/>
      <c r="F113" s="392"/>
      <c r="G113" s="392"/>
      <c r="H113" s="392"/>
      <c r="I113" s="392"/>
      <c r="J113" s="392"/>
      <c r="K113" s="392"/>
      <c r="L113" s="392"/>
      <c r="M113" s="392"/>
      <c r="N113" s="392"/>
      <c r="O113" s="392"/>
      <c r="P113" s="392"/>
      <c r="Q113" s="392"/>
      <c r="R113" s="392"/>
      <c r="S113" s="409"/>
      <c r="T113" s="409"/>
      <c r="U113" s="409"/>
      <c r="V113" s="409"/>
      <c r="W113" s="392"/>
      <c r="X113" s="392"/>
      <c r="Y113" s="409"/>
      <c r="Z113" s="409"/>
      <c r="AA113" s="392"/>
      <c r="AB113" s="392"/>
      <c r="AC113" s="392"/>
      <c r="AD113" s="409"/>
      <c r="AE113" s="409"/>
      <c r="AF113" s="409"/>
      <c r="AG113" s="409"/>
      <c r="AH113" s="409"/>
      <c r="AI113" s="409"/>
      <c r="AJ113" s="409"/>
      <c r="AK113" s="409"/>
      <c r="AL113" s="409"/>
      <c r="AM113" s="409"/>
      <c r="AN113" s="409"/>
      <c r="AO113" s="409"/>
      <c r="AP113" s="409"/>
      <c r="AQ113" s="409"/>
      <c r="AR113" s="409"/>
      <c r="AS113" s="409"/>
      <c r="AT113" s="409"/>
      <c r="AU113" s="409"/>
      <c r="AV113" s="409"/>
      <c r="AW113" s="409"/>
      <c r="AX113" s="409"/>
      <c r="AY113" s="409"/>
      <c r="AZ113" s="409"/>
      <c r="BA113" s="409"/>
      <c r="BB113" s="409"/>
      <c r="BC113" s="409"/>
      <c r="BD113" s="407"/>
      <c r="BE113" s="444"/>
      <c r="BF113" s="444"/>
      <c r="BG113" s="444"/>
      <c r="BH113" s="444"/>
      <c r="BI113" s="444"/>
      <c r="BJ113" s="444"/>
      <c r="BK113" s="444"/>
      <c r="BL113" s="444"/>
      <c r="BM113" s="444"/>
      <c r="BN113" s="444"/>
      <c r="BO113" s="444"/>
      <c r="BP113" s="444"/>
      <c r="BQ113" s="444"/>
      <c r="BR113" s="444"/>
      <c r="BS113" s="444"/>
      <c r="BT113" s="444"/>
    </row>
    <row r="114" spans="1:72" s="443" customFormat="1" ht="15">
      <c r="A114" s="392"/>
      <c r="B114" s="392"/>
      <c r="C114" s="392"/>
      <c r="D114" s="392"/>
      <c r="E114" s="392"/>
      <c r="F114" s="392"/>
      <c r="G114" s="392"/>
      <c r="H114" s="392"/>
      <c r="I114" s="392"/>
      <c r="J114" s="392"/>
      <c r="K114" s="392"/>
      <c r="L114" s="392"/>
      <c r="M114" s="392"/>
      <c r="N114" s="392"/>
      <c r="O114" s="392"/>
      <c r="P114" s="392"/>
      <c r="Q114" s="392"/>
      <c r="R114" s="392"/>
      <c r="S114" s="409"/>
      <c r="T114" s="409"/>
      <c r="U114" s="409"/>
      <c r="V114" s="409"/>
      <c r="W114" s="392"/>
      <c r="X114" s="392"/>
      <c r="Y114" s="409"/>
      <c r="Z114" s="409"/>
      <c r="AA114" s="392"/>
      <c r="AB114" s="392"/>
      <c r="AC114" s="392"/>
      <c r="AD114" s="409"/>
      <c r="AE114" s="409"/>
      <c r="AF114" s="409"/>
      <c r="AG114" s="409"/>
      <c r="AH114" s="409"/>
      <c r="AI114" s="409"/>
      <c r="AJ114" s="409"/>
      <c r="AK114" s="409"/>
      <c r="AL114" s="409"/>
      <c r="AM114" s="409"/>
      <c r="AN114" s="409"/>
      <c r="AO114" s="409"/>
      <c r="AP114" s="409"/>
      <c r="AQ114" s="409"/>
      <c r="AR114" s="409"/>
      <c r="AS114" s="409"/>
      <c r="AT114" s="409"/>
      <c r="AU114" s="409"/>
      <c r="AV114" s="409"/>
      <c r="AW114" s="409"/>
      <c r="AX114" s="409"/>
      <c r="AY114" s="409"/>
      <c r="AZ114" s="409"/>
      <c r="BA114" s="409"/>
      <c r="BB114" s="409"/>
      <c r="BC114" s="409"/>
      <c r="BD114" s="407"/>
      <c r="BE114" s="444"/>
      <c r="BF114" s="444"/>
      <c r="BG114" s="444"/>
      <c r="BH114" s="444"/>
      <c r="BI114" s="444"/>
      <c r="BJ114" s="444"/>
      <c r="BK114" s="444"/>
      <c r="BL114" s="444"/>
      <c r="BM114" s="444"/>
      <c r="BN114" s="444"/>
      <c r="BO114" s="444"/>
      <c r="BP114" s="444"/>
      <c r="BQ114" s="444"/>
      <c r="BR114" s="444"/>
      <c r="BS114" s="444"/>
      <c r="BT114" s="444"/>
    </row>
    <row r="115" spans="1:72" s="443" customFormat="1" ht="15">
      <c r="A115" s="392"/>
      <c r="B115" s="392"/>
      <c r="C115" s="392"/>
      <c r="D115" s="392"/>
      <c r="E115" s="392"/>
      <c r="F115" s="392"/>
      <c r="G115" s="392"/>
      <c r="H115" s="392"/>
      <c r="I115" s="392"/>
      <c r="J115" s="392"/>
      <c r="K115" s="392"/>
      <c r="L115" s="392"/>
      <c r="M115" s="392"/>
      <c r="N115" s="392"/>
      <c r="O115" s="392"/>
      <c r="P115" s="392"/>
      <c r="Q115" s="392"/>
      <c r="R115" s="392"/>
      <c r="S115" s="409"/>
      <c r="T115" s="409"/>
      <c r="U115" s="409"/>
      <c r="V115" s="409"/>
      <c r="W115" s="392"/>
      <c r="X115" s="392"/>
      <c r="Y115" s="409"/>
      <c r="Z115" s="409"/>
      <c r="AA115" s="392"/>
      <c r="AB115" s="392"/>
      <c r="AC115" s="392"/>
      <c r="AD115" s="409"/>
      <c r="AE115" s="409"/>
      <c r="AF115" s="409"/>
      <c r="AG115" s="409"/>
      <c r="AH115" s="409"/>
      <c r="AI115" s="409"/>
      <c r="AJ115" s="409"/>
      <c r="AK115" s="409"/>
      <c r="AL115" s="409"/>
      <c r="AM115" s="409"/>
      <c r="AN115" s="409"/>
      <c r="AO115" s="409"/>
      <c r="AP115" s="409"/>
      <c r="AQ115" s="409"/>
      <c r="AR115" s="409"/>
      <c r="AS115" s="409"/>
      <c r="AT115" s="409"/>
      <c r="AU115" s="409"/>
      <c r="AV115" s="409"/>
      <c r="AW115" s="409"/>
      <c r="AX115" s="409"/>
      <c r="AY115" s="409"/>
      <c r="AZ115" s="409"/>
      <c r="BA115" s="409"/>
      <c r="BB115" s="409"/>
      <c r="BC115" s="409"/>
      <c r="BD115" s="407"/>
      <c r="BE115" s="444"/>
      <c r="BF115" s="444"/>
      <c r="BG115" s="444"/>
      <c r="BH115" s="444"/>
      <c r="BI115" s="444"/>
      <c r="BJ115" s="444"/>
      <c r="BK115" s="444"/>
      <c r="BL115" s="444"/>
      <c r="BM115" s="444"/>
      <c r="BN115" s="444"/>
      <c r="BO115" s="444"/>
      <c r="BP115" s="444"/>
      <c r="BQ115" s="444"/>
      <c r="BR115" s="444"/>
      <c r="BS115" s="444"/>
      <c r="BT115" s="444"/>
    </row>
    <row r="116" spans="1:72" s="443" customFormat="1" ht="15">
      <c r="A116" s="392"/>
      <c r="B116" s="392"/>
      <c r="C116" s="392"/>
      <c r="D116" s="392"/>
      <c r="E116" s="392"/>
      <c r="F116" s="392"/>
      <c r="G116" s="392"/>
      <c r="H116" s="392"/>
      <c r="I116" s="392"/>
      <c r="J116" s="392"/>
      <c r="K116" s="392"/>
      <c r="L116" s="392"/>
      <c r="M116" s="392"/>
      <c r="N116" s="392"/>
      <c r="O116" s="392"/>
      <c r="P116" s="392"/>
      <c r="Q116" s="392"/>
      <c r="R116" s="392"/>
      <c r="S116" s="409"/>
      <c r="T116" s="409"/>
      <c r="U116" s="409"/>
      <c r="V116" s="409"/>
      <c r="W116" s="392"/>
      <c r="X116" s="392"/>
      <c r="Y116" s="409"/>
      <c r="Z116" s="409"/>
      <c r="AA116" s="392"/>
      <c r="AB116" s="392"/>
      <c r="AC116" s="392"/>
      <c r="AD116" s="409"/>
      <c r="AE116" s="409"/>
      <c r="AF116" s="409"/>
      <c r="AG116" s="409"/>
      <c r="AH116" s="409"/>
      <c r="AI116" s="409"/>
      <c r="AJ116" s="409"/>
      <c r="AK116" s="409"/>
      <c r="AL116" s="409"/>
      <c r="AM116" s="409"/>
      <c r="AN116" s="409"/>
      <c r="AO116" s="409"/>
      <c r="AP116" s="409"/>
      <c r="AQ116" s="409"/>
      <c r="AR116" s="409"/>
      <c r="AS116" s="409"/>
      <c r="AT116" s="409"/>
      <c r="AU116" s="409"/>
      <c r="AV116" s="409"/>
      <c r="AW116" s="409"/>
      <c r="AX116" s="409"/>
      <c r="AY116" s="409"/>
      <c r="AZ116" s="409"/>
      <c r="BA116" s="409"/>
      <c r="BB116" s="409"/>
      <c r="BC116" s="409"/>
      <c r="BD116" s="407"/>
      <c r="BE116" s="444"/>
      <c r="BF116" s="444"/>
      <c r="BG116" s="444"/>
      <c r="BH116" s="444"/>
      <c r="BI116" s="444"/>
      <c r="BJ116" s="444"/>
      <c r="BK116" s="444"/>
      <c r="BL116" s="444"/>
      <c r="BM116" s="444"/>
      <c r="BN116" s="444"/>
      <c r="BO116" s="444"/>
      <c r="BP116" s="444"/>
      <c r="BQ116" s="444"/>
      <c r="BR116" s="444"/>
      <c r="BS116" s="444"/>
      <c r="BT116" s="444"/>
    </row>
    <row r="117" spans="1:72" s="443" customFormat="1" ht="15">
      <c r="A117" s="392"/>
      <c r="B117" s="392"/>
      <c r="C117" s="392"/>
      <c r="D117" s="392"/>
      <c r="E117" s="392"/>
      <c r="F117" s="392"/>
      <c r="G117" s="392"/>
      <c r="H117" s="392"/>
      <c r="I117" s="392"/>
      <c r="J117" s="392"/>
      <c r="K117" s="392"/>
      <c r="L117" s="392"/>
      <c r="M117" s="392"/>
      <c r="N117" s="392"/>
      <c r="O117" s="392"/>
      <c r="P117" s="392"/>
      <c r="Q117" s="392"/>
      <c r="R117" s="392"/>
      <c r="S117" s="409"/>
      <c r="T117" s="409"/>
      <c r="U117" s="409"/>
      <c r="V117" s="409"/>
      <c r="W117" s="392"/>
      <c r="X117" s="392"/>
      <c r="Y117" s="409"/>
      <c r="Z117" s="409"/>
      <c r="AA117" s="392"/>
      <c r="AB117" s="392"/>
      <c r="AC117" s="392"/>
      <c r="AD117" s="409"/>
      <c r="AE117" s="409"/>
      <c r="AF117" s="409"/>
      <c r="AG117" s="409"/>
      <c r="AH117" s="409"/>
      <c r="AI117" s="409"/>
      <c r="AJ117" s="409"/>
      <c r="AK117" s="409"/>
      <c r="AL117" s="409"/>
      <c r="AM117" s="409"/>
      <c r="AN117" s="409"/>
      <c r="AO117" s="409"/>
      <c r="AP117" s="409"/>
      <c r="AQ117" s="409"/>
      <c r="AR117" s="409"/>
      <c r="AS117" s="409"/>
      <c r="AT117" s="409"/>
      <c r="AU117" s="409"/>
      <c r="AV117" s="409"/>
      <c r="AW117" s="409"/>
      <c r="AX117" s="409"/>
      <c r="AY117" s="409"/>
      <c r="AZ117" s="409"/>
      <c r="BA117" s="409"/>
      <c r="BB117" s="409"/>
      <c r="BC117" s="409"/>
      <c r="BD117" s="407"/>
      <c r="BE117" s="444"/>
      <c r="BF117" s="444"/>
      <c r="BG117" s="444"/>
      <c r="BH117" s="444"/>
      <c r="BI117" s="444"/>
      <c r="BJ117" s="444"/>
      <c r="BK117" s="444"/>
      <c r="BL117" s="444"/>
      <c r="BM117" s="444"/>
      <c r="BN117" s="444"/>
      <c r="BO117" s="444"/>
      <c r="BP117" s="444"/>
      <c r="BQ117" s="444"/>
      <c r="BR117" s="444"/>
      <c r="BS117" s="444"/>
      <c r="BT117" s="444"/>
    </row>
    <row r="118" spans="1:72" s="443" customFormat="1" ht="15">
      <c r="A118" s="392"/>
      <c r="B118" s="392"/>
      <c r="C118" s="392"/>
      <c r="D118" s="392"/>
      <c r="E118" s="392"/>
      <c r="F118" s="392"/>
      <c r="G118" s="392"/>
      <c r="H118" s="392"/>
      <c r="I118" s="392"/>
      <c r="J118" s="392"/>
      <c r="K118" s="392"/>
      <c r="L118" s="392"/>
      <c r="M118" s="392"/>
      <c r="N118" s="392"/>
      <c r="O118" s="392"/>
      <c r="P118" s="392"/>
      <c r="Q118" s="392"/>
      <c r="R118" s="392"/>
      <c r="S118" s="409"/>
      <c r="T118" s="409"/>
      <c r="U118" s="409"/>
      <c r="V118" s="409"/>
      <c r="W118" s="392"/>
      <c r="X118" s="392"/>
      <c r="Y118" s="409"/>
      <c r="Z118" s="409"/>
      <c r="AA118" s="392"/>
      <c r="AB118" s="392"/>
      <c r="AC118" s="392"/>
      <c r="AD118" s="409"/>
      <c r="AE118" s="409"/>
      <c r="AF118" s="409"/>
      <c r="AG118" s="409"/>
      <c r="AH118" s="409"/>
      <c r="AI118" s="409"/>
      <c r="AJ118" s="409"/>
      <c r="AK118" s="409"/>
      <c r="AL118" s="409"/>
      <c r="AM118" s="409"/>
      <c r="AN118" s="409"/>
      <c r="AO118" s="409"/>
      <c r="AP118" s="409"/>
      <c r="AQ118" s="409"/>
      <c r="AR118" s="409"/>
      <c r="AS118" s="409"/>
      <c r="AT118" s="409"/>
      <c r="AU118" s="409"/>
      <c r="AV118" s="409"/>
      <c r="AW118" s="409"/>
      <c r="AX118" s="409"/>
      <c r="AY118" s="409"/>
      <c r="AZ118" s="409"/>
      <c r="BA118" s="409"/>
      <c r="BB118" s="409"/>
      <c r="BC118" s="409"/>
      <c r="BD118" s="407"/>
      <c r="BE118" s="444"/>
      <c r="BF118" s="444"/>
      <c r="BG118" s="444"/>
      <c r="BH118" s="444"/>
      <c r="BI118" s="444"/>
      <c r="BJ118" s="444"/>
      <c r="BK118" s="444"/>
      <c r="BL118" s="444"/>
      <c r="BM118" s="444"/>
      <c r="BN118" s="444"/>
      <c r="BO118" s="444"/>
      <c r="BP118" s="444"/>
      <c r="BQ118" s="444"/>
      <c r="BR118" s="444"/>
      <c r="BS118" s="444"/>
      <c r="BT118" s="444"/>
    </row>
    <row r="119" spans="1:72" s="443" customFormat="1" ht="15">
      <c r="A119" s="392"/>
      <c r="B119" s="392"/>
      <c r="C119" s="392"/>
      <c r="D119" s="392"/>
      <c r="E119" s="392"/>
      <c r="F119" s="392"/>
      <c r="G119" s="392"/>
      <c r="H119" s="392"/>
      <c r="I119" s="392"/>
      <c r="J119" s="392"/>
      <c r="K119" s="392"/>
      <c r="L119" s="392"/>
      <c r="M119" s="392"/>
      <c r="N119" s="392"/>
      <c r="O119" s="392"/>
      <c r="P119" s="392"/>
      <c r="Q119" s="392"/>
      <c r="R119" s="392"/>
      <c r="S119" s="409"/>
      <c r="T119" s="409"/>
      <c r="U119" s="409"/>
      <c r="V119" s="409"/>
      <c r="W119" s="392"/>
      <c r="X119" s="392"/>
      <c r="Y119" s="409"/>
      <c r="Z119" s="409"/>
      <c r="AA119" s="392"/>
      <c r="AB119" s="392"/>
      <c r="AC119" s="392"/>
      <c r="AD119" s="409"/>
      <c r="AE119" s="409"/>
      <c r="AF119" s="409"/>
      <c r="AG119" s="409"/>
      <c r="AH119" s="409"/>
      <c r="AI119" s="409"/>
      <c r="AJ119" s="409"/>
      <c r="AK119" s="409"/>
      <c r="AL119" s="409"/>
      <c r="AM119" s="409"/>
      <c r="AN119" s="409"/>
      <c r="AO119" s="409"/>
      <c r="AP119" s="409"/>
      <c r="AQ119" s="409"/>
      <c r="AR119" s="409"/>
      <c r="AS119" s="409"/>
      <c r="AT119" s="409"/>
      <c r="AU119" s="409"/>
      <c r="AV119" s="409"/>
      <c r="AW119" s="409"/>
      <c r="AX119" s="409"/>
      <c r="AY119" s="409"/>
      <c r="AZ119" s="409"/>
      <c r="BA119" s="409"/>
      <c r="BB119" s="409"/>
      <c r="BC119" s="409"/>
      <c r="BD119" s="407"/>
      <c r="BE119" s="444"/>
      <c r="BF119" s="444"/>
      <c r="BG119" s="444"/>
      <c r="BH119" s="444"/>
      <c r="BI119" s="444"/>
      <c r="BJ119" s="444"/>
      <c r="BK119" s="444"/>
      <c r="BL119" s="444"/>
      <c r="BM119" s="444"/>
      <c r="BN119" s="444"/>
      <c r="BO119" s="444"/>
      <c r="BP119" s="444"/>
      <c r="BQ119" s="444"/>
      <c r="BR119" s="444"/>
      <c r="BS119" s="444"/>
      <c r="BT119" s="444"/>
    </row>
    <row r="120" spans="1:72" s="443" customFormat="1" ht="15">
      <c r="A120" s="392"/>
      <c r="B120" s="392"/>
      <c r="C120" s="392"/>
      <c r="D120" s="392"/>
      <c r="E120" s="392"/>
      <c r="F120" s="392"/>
      <c r="G120" s="392"/>
      <c r="H120" s="392"/>
      <c r="I120" s="392"/>
      <c r="J120" s="392"/>
      <c r="K120" s="392"/>
      <c r="L120" s="392"/>
      <c r="M120" s="392"/>
      <c r="N120" s="392"/>
      <c r="O120" s="392"/>
      <c r="P120" s="392"/>
      <c r="Q120" s="392"/>
      <c r="R120" s="392"/>
      <c r="S120" s="409"/>
      <c r="T120" s="409"/>
      <c r="U120" s="409"/>
      <c r="V120" s="409"/>
      <c r="W120" s="392"/>
      <c r="X120" s="392"/>
      <c r="Y120" s="409"/>
      <c r="Z120" s="409"/>
      <c r="AA120" s="392"/>
      <c r="AB120" s="392"/>
      <c r="AC120" s="392"/>
      <c r="AD120" s="409"/>
      <c r="AE120" s="409"/>
      <c r="AF120" s="409"/>
      <c r="AG120" s="409"/>
      <c r="AH120" s="409"/>
      <c r="AI120" s="409"/>
      <c r="AJ120" s="409"/>
      <c r="AK120" s="409"/>
      <c r="AL120" s="409"/>
      <c r="AM120" s="409"/>
      <c r="AN120" s="409"/>
      <c r="AO120" s="409"/>
      <c r="AP120" s="409"/>
      <c r="AQ120" s="409"/>
      <c r="AR120" s="409"/>
      <c r="AS120" s="409"/>
      <c r="AT120" s="409"/>
      <c r="AU120" s="409"/>
      <c r="AV120" s="409"/>
      <c r="AW120" s="409"/>
      <c r="AX120" s="409"/>
      <c r="AY120" s="409"/>
      <c r="AZ120" s="409"/>
      <c r="BA120" s="409"/>
      <c r="BB120" s="409"/>
      <c r="BC120" s="409"/>
      <c r="BD120" s="407"/>
      <c r="BE120" s="444"/>
      <c r="BF120" s="444"/>
      <c r="BG120" s="444"/>
      <c r="BH120" s="444"/>
      <c r="BI120" s="444"/>
      <c r="BJ120" s="444"/>
      <c r="BK120" s="444"/>
      <c r="BL120" s="444"/>
      <c r="BM120" s="444"/>
      <c r="BN120" s="444"/>
      <c r="BO120" s="444"/>
      <c r="BP120" s="444"/>
      <c r="BQ120" s="444"/>
      <c r="BR120" s="444"/>
      <c r="BS120" s="444"/>
      <c r="BT120" s="444"/>
    </row>
    <row r="121" spans="1:72" s="443" customFormat="1" ht="15">
      <c r="A121" s="392"/>
      <c r="B121" s="392"/>
      <c r="C121" s="392"/>
      <c r="D121" s="392"/>
      <c r="E121" s="392"/>
      <c r="F121" s="392"/>
      <c r="G121" s="392"/>
      <c r="H121" s="392"/>
      <c r="I121" s="392"/>
      <c r="J121" s="392"/>
      <c r="K121" s="392"/>
      <c r="L121" s="392"/>
      <c r="M121" s="392"/>
      <c r="N121" s="392"/>
      <c r="O121" s="392"/>
      <c r="P121" s="392"/>
      <c r="Q121" s="392"/>
      <c r="R121" s="392"/>
      <c r="S121" s="409"/>
      <c r="T121" s="409"/>
      <c r="U121" s="409"/>
      <c r="V121" s="409"/>
      <c r="W121" s="392"/>
      <c r="X121" s="392"/>
      <c r="Y121" s="409"/>
      <c r="Z121" s="409"/>
      <c r="AA121" s="392"/>
      <c r="AB121" s="392"/>
      <c r="AC121" s="392"/>
      <c r="AD121" s="409"/>
      <c r="AE121" s="409"/>
      <c r="AF121" s="409"/>
      <c r="AG121" s="409"/>
      <c r="AH121" s="409"/>
      <c r="AI121" s="409"/>
      <c r="AJ121" s="409"/>
      <c r="AK121" s="409"/>
      <c r="AL121" s="409"/>
      <c r="AM121" s="409"/>
      <c r="AN121" s="409"/>
      <c r="AO121" s="409"/>
      <c r="AP121" s="409"/>
      <c r="AQ121" s="409"/>
      <c r="AR121" s="409"/>
      <c r="AS121" s="409"/>
      <c r="AT121" s="409"/>
      <c r="AU121" s="409"/>
      <c r="AV121" s="409"/>
      <c r="AW121" s="409"/>
      <c r="AX121" s="409"/>
      <c r="AY121" s="409"/>
      <c r="AZ121" s="409"/>
      <c r="BA121" s="409"/>
      <c r="BB121" s="409"/>
      <c r="BC121" s="409"/>
      <c r="BD121" s="407"/>
      <c r="BE121" s="444"/>
      <c r="BF121" s="444"/>
      <c r="BG121" s="444"/>
      <c r="BH121" s="444"/>
      <c r="BI121" s="444"/>
      <c r="BJ121" s="444"/>
      <c r="BK121" s="444"/>
      <c r="BL121" s="444"/>
      <c r="BM121" s="444"/>
      <c r="BN121" s="444"/>
      <c r="BO121" s="444"/>
      <c r="BP121" s="444"/>
      <c r="BQ121" s="444"/>
      <c r="BR121" s="444"/>
      <c r="BS121" s="444"/>
      <c r="BT121" s="444"/>
    </row>
    <row r="122" spans="1:72" s="443" customFormat="1" ht="15">
      <c r="A122" s="392"/>
      <c r="B122" s="392"/>
      <c r="C122" s="392"/>
      <c r="D122" s="392"/>
      <c r="E122" s="392"/>
      <c r="F122" s="392"/>
      <c r="G122" s="392"/>
      <c r="H122" s="392"/>
      <c r="I122" s="392"/>
      <c r="J122" s="392"/>
      <c r="K122" s="392"/>
      <c r="L122" s="392"/>
      <c r="M122" s="392"/>
      <c r="N122" s="392"/>
      <c r="O122" s="392"/>
      <c r="P122" s="392"/>
      <c r="Q122" s="392"/>
      <c r="R122" s="392"/>
      <c r="S122" s="409"/>
      <c r="T122" s="409"/>
      <c r="U122" s="409"/>
      <c r="V122" s="409"/>
      <c r="W122" s="392"/>
      <c r="X122" s="392"/>
      <c r="Y122" s="409"/>
      <c r="Z122" s="409"/>
      <c r="AA122" s="392"/>
      <c r="AB122" s="392"/>
      <c r="AC122" s="392"/>
      <c r="AD122" s="409"/>
      <c r="AE122" s="409"/>
      <c r="AF122" s="409"/>
      <c r="AG122" s="409"/>
      <c r="AH122" s="409"/>
      <c r="AI122" s="409"/>
      <c r="AJ122" s="409"/>
      <c r="AK122" s="409"/>
      <c r="AL122" s="409"/>
      <c r="AM122" s="409"/>
      <c r="AN122" s="409"/>
      <c r="AO122" s="409"/>
      <c r="AP122" s="409"/>
      <c r="AQ122" s="409"/>
      <c r="AR122" s="409"/>
      <c r="AS122" s="409"/>
      <c r="AT122" s="409"/>
      <c r="AU122" s="409"/>
      <c r="AV122" s="409"/>
      <c r="AW122" s="409"/>
      <c r="AX122" s="409"/>
      <c r="AY122" s="409"/>
      <c r="AZ122" s="409"/>
      <c r="BA122" s="409"/>
      <c r="BB122" s="409"/>
      <c r="BC122" s="409"/>
      <c r="BD122" s="407"/>
      <c r="BE122" s="444"/>
      <c r="BF122" s="444"/>
      <c r="BG122" s="444"/>
      <c r="BH122" s="444"/>
      <c r="BI122" s="444"/>
      <c r="BJ122" s="444"/>
      <c r="BK122" s="444"/>
      <c r="BL122" s="444"/>
      <c r="BM122" s="444"/>
      <c r="BN122" s="444"/>
      <c r="BO122" s="444"/>
      <c r="BP122" s="444"/>
      <c r="BQ122" s="444"/>
      <c r="BR122" s="444"/>
      <c r="BS122" s="444"/>
      <c r="BT122" s="444"/>
    </row>
    <row r="123" spans="1:72" s="443" customFormat="1" ht="15">
      <c r="A123" s="392"/>
      <c r="B123" s="392"/>
      <c r="C123" s="392"/>
      <c r="D123" s="392"/>
      <c r="E123" s="392"/>
      <c r="F123" s="392"/>
      <c r="G123" s="392"/>
      <c r="H123" s="392"/>
      <c r="I123" s="392"/>
      <c r="J123" s="392"/>
      <c r="K123" s="392"/>
      <c r="L123" s="392"/>
      <c r="M123" s="392"/>
      <c r="N123" s="392"/>
      <c r="O123" s="392"/>
      <c r="P123" s="392"/>
      <c r="Q123" s="392"/>
      <c r="R123" s="392"/>
      <c r="S123" s="409"/>
      <c r="T123" s="409"/>
      <c r="U123" s="409"/>
      <c r="V123" s="409"/>
      <c r="W123" s="392"/>
      <c r="X123" s="392"/>
      <c r="Y123" s="409"/>
      <c r="Z123" s="409"/>
      <c r="AA123" s="392"/>
      <c r="AB123" s="392"/>
      <c r="AC123" s="392"/>
      <c r="AD123" s="409"/>
      <c r="AE123" s="409"/>
      <c r="AF123" s="409"/>
      <c r="AG123" s="409"/>
      <c r="AH123" s="409"/>
      <c r="AI123" s="409"/>
      <c r="AJ123" s="409"/>
      <c r="AK123" s="409"/>
      <c r="AL123" s="409"/>
      <c r="AM123" s="409"/>
      <c r="AN123" s="409"/>
      <c r="AO123" s="409"/>
      <c r="AP123" s="409"/>
      <c r="AQ123" s="409"/>
      <c r="AR123" s="409"/>
      <c r="AS123" s="409"/>
      <c r="AT123" s="409"/>
      <c r="AU123" s="409"/>
      <c r="AV123" s="409"/>
      <c r="AW123" s="409"/>
      <c r="AX123" s="409"/>
      <c r="AY123" s="409"/>
      <c r="AZ123" s="409"/>
      <c r="BA123" s="409"/>
      <c r="BB123" s="409"/>
      <c r="BC123" s="409"/>
      <c r="BD123" s="407"/>
      <c r="BE123" s="444"/>
      <c r="BF123" s="444"/>
      <c r="BG123" s="444"/>
      <c r="BH123" s="444"/>
      <c r="BI123" s="444"/>
      <c r="BJ123" s="444"/>
      <c r="BK123" s="444"/>
      <c r="BL123" s="444"/>
      <c r="BM123" s="444"/>
      <c r="BN123" s="444"/>
      <c r="BO123" s="444"/>
      <c r="BP123" s="444"/>
      <c r="BQ123" s="444"/>
      <c r="BR123" s="444"/>
      <c r="BS123" s="444"/>
      <c r="BT123" s="444"/>
    </row>
    <row r="124" spans="1:72" s="443" customFormat="1" ht="15">
      <c r="A124" s="392"/>
      <c r="B124" s="392"/>
      <c r="C124" s="392"/>
      <c r="D124" s="392"/>
      <c r="E124" s="392"/>
      <c r="F124" s="392"/>
      <c r="G124" s="392"/>
      <c r="H124" s="392"/>
      <c r="I124" s="392"/>
      <c r="J124" s="392"/>
      <c r="K124" s="392"/>
      <c r="L124" s="392"/>
      <c r="M124" s="392"/>
      <c r="N124" s="392"/>
      <c r="O124" s="392"/>
      <c r="P124" s="392"/>
      <c r="Q124" s="392"/>
      <c r="R124" s="392"/>
      <c r="S124" s="409"/>
      <c r="T124" s="409"/>
      <c r="U124" s="409"/>
      <c r="V124" s="409"/>
      <c r="W124" s="392"/>
      <c r="X124" s="392"/>
      <c r="Y124" s="409"/>
      <c r="Z124" s="409"/>
      <c r="AA124" s="392"/>
      <c r="AB124" s="392"/>
      <c r="AC124" s="392"/>
      <c r="AD124" s="409"/>
      <c r="AE124" s="409"/>
      <c r="AF124" s="409"/>
      <c r="AG124" s="409"/>
      <c r="AH124" s="409"/>
      <c r="AI124" s="409"/>
      <c r="AJ124" s="409"/>
      <c r="AK124" s="409"/>
      <c r="AL124" s="409"/>
      <c r="AM124" s="409"/>
      <c r="AN124" s="409"/>
      <c r="AO124" s="409"/>
      <c r="AP124" s="409"/>
      <c r="AQ124" s="409"/>
      <c r="AR124" s="409"/>
      <c r="AS124" s="409"/>
      <c r="AT124" s="409"/>
      <c r="AU124" s="409"/>
      <c r="AV124" s="409"/>
      <c r="AW124" s="409"/>
      <c r="AX124" s="409"/>
      <c r="AY124" s="409"/>
      <c r="AZ124" s="409"/>
      <c r="BA124" s="409"/>
      <c r="BB124" s="409"/>
      <c r="BC124" s="409"/>
      <c r="BD124" s="407"/>
      <c r="BE124" s="444"/>
      <c r="BF124" s="444"/>
      <c r="BG124" s="444"/>
      <c r="BH124" s="444"/>
      <c r="BI124" s="444"/>
      <c r="BJ124" s="444"/>
      <c r="BK124" s="444"/>
      <c r="BL124" s="444"/>
      <c r="BM124" s="444"/>
      <c r="BN124" s="444"/>
      <c r="BO124" s="444"/>
      <c r="BP124" s="444"/>
      <c r="BQ124" s="444"/>
      <c r="BR124" s="444"/>
      <c r="BS124" s="444"/>
      <c r="BT124" s="444"/>
    </row>
    <row r="125" spans="1:72" s="443" customFormat="1" ht="15">
      <c r="A125" s="392"/>
      <c r="B125" s="392"/>
      <c r="C125" s="392"/>
      <c r="D125" s="392"/>
      <c r="E125" s="392"/>
      <c r="F125" s="392"/>
      <c r="G125" s="392"/>
      <c r="H125" s="392"/>
      <c r="I125" s="392"/>
      <c r="J125" s="392"/>
      <c r="K125" s="392"/>
      <c r="L125" s="392"/>
      <c r="M125" s="392"/>
      <c r="N125" s="392"/>
      <c r="O125" s="392"/>
      <c r="P125" s="392"/>
      <c r="Q125" s="392"/>
      <c r="R125" s="392"/>
      <c r="S125" s="409"/>
      <c r="T125" s="409"/>
      <c r="U125" s="409"/>
      <c r="V125" s="409"/>
      <c r="W125" s="392"/>
      <c r="X125" s="392"/>
      <c r="Y125" s="409"/>
      <c r="Z125" s="409"/>
      <c r="AA125" s="392"/>
      <c r="AB125" s="392"/>
      <c r="AC125" s="392"/>
      <c r="AD125" s="409"/>
      <c r="AE125" s="409"/>
      <c r="AF125" s="409"/>
      <c r="AG125" s="409"/>
      <c r="AH125" s="409"/>
      <c r="AI125" s="409"/>
      <c r="AJ125" s="409"/>
      <c r="AK125" s="409"/>
      <c r="AL125" s="409"/>
      <c r="AM125" s="409"/>
      <c r="AN125" s="409"/>
      <c r="AO125" s="409"/>
      <c r="AP125" s="409"/>
      <c r="AQ125" s="409"/>
      <c r="AR125" s="409"/>
      <c r="AS125" s="409"/>
      <c r="AT125" s="409"/>
      <c r="AU125" s="409"/>
      <c r="AV125" s="409"/>
      <c r="AW125" s="409"/>
      <c r="AX125" s="409"/>
      <c r="AY125" s="409"/>
      <c r="AZ125" s="409"/>
      <c r="BA125" s="409"/>
      <c r="BB125" s="409"/>
      <c r="BC125" s="409"/>
      <c r="BD125" s="407"/>
      <c r="BE125" s="444"/>
      <c r="BF125" s="444"/>
      <c r="BG125" s="444"/>
      <c r="BH125" s="444"/>
      <c r="BI125" s="444"/>
      <c r="BJ125" s="444"/>
      <c r="BK125" s="444"/>
      <c r="BL125" s="444"/>
      <c r="BM125" s="444"/>
      <c r="BN125" s="444"/>
      <c r="BO125" s="444"/>
      <c r="BP125" s="444"/>
      <c r="BQ125" s="444"/>
      <c r="BR125" s="444"/>
      <c r="BS125" s="444"/>
      <c r="BT125" s="444"/>
    </row>
    <row r="126" spans="1:72" s="443" customFormat="1" ht="15">
      <c r="A126" s="392"/>
      <c r="B126" s="392"/>
      <c r="C126" s="392"/>
      <c r="D126" s="392"/>
      <c r="E126" s="392"/>
      <c r="F126" s="392"/>
      <c r="G126" s="392"/>
      <c r="H126" s="392"/>
      <c r="I126" s="392"/>
      <c r="J126" s="392"/>
      <c r="K126" s="392"/>
      <c r="L126" s="392"/>
      <c r="M126" s="392"/>
      <c r="N126" s="392"/>
      <c r="O126" s="392"/>
      <c r="P126" s="392"/>
      <c r="Q126" s="392"/>
      <c r="R126" s="392"/>
      <c r="S126" s="409"/>
      <c r="T126" s="409"/>
      <c r="U126" s="409"/>
      <c r="V126" s="409"/>
      <c r="W126" s="392"/>
      <c r="X126" s="392"/>
      <c r="Y126" s="409"/>
      <c r="Z126" s="409"/>
      <c r="AA126" s="392"/>
      <c r="AB126" s="392"/>
      <c r="AC126" s="392"/>
      <c r="AD126" s="409"/>
      <c r="AE126" s="409"/>
      <c r="AF126" s="409"/>
      <c r="AG126" s="409"/>
      <c r="AH126" s="409"/>
      <c r="AI126" s="409"/>
      <c r="AJ126" s="409"/>
      <c r="AK126" s="409"/>
      <c r="AL126" s="409"/>
      <c r="AM126" s="409"/>
      <c r="AN126" s="409"/>
      <c r="AO126" s="409"/>
      <c r="AP126" s="409"/>
      <c r="AQ126" s="409"/>
      <c r="AR126" s="409"/>
      <c r="AS126" s="409"/>
      <c r="AT126" s="409"/>
      <c r="AU126" s="409"/>
      <c r="AV126" s="409"/>
      <c r="AW126" s="409"/>
      <c r="AX126" s="409"/>
      <c r="AY126" s="409"/>
      <c r="AZ126" s="409"/>
      <c r="BA126" s="409"/>
      <c r="BB126" s="409"/>
      <c r="BC126" s="409"/>
      <c r="BD126" s="407"/>
      <c r="BE126" s="444"/>
      <c r="BF126" s="444"/>
      <c r="BG126" s="444"/>
      <c r="BH126" s="444"/>
      <c r="BI126" s="444"/>
      <c r="BJ126" s="444"/>
      <c r="BK126" s="444"/>
      <c r="BL126" s="444"/>
      <c r="BM126" s="444"/>
      <c r="BN126" s="444"/>
      <c r="BO126" s="444"/>
      <c r="BP126" s="444"/>
      <c r="BQ126" s="444"/>
      <c r="BR126" s="444"/>
      <c r="BS126" s="444"/>
      <c r="BT126" s="444"/>
    </row>
    <row r="127" spans="1:72" s="443" customFormat="1" ht="15">
      <c r="A127" s="392"/>
      <c r="B127" s="392"/>
      <c r="C127" s="392"/>
      <c r="D127" s="392"/>
      <c r="E127" s="392"/>
      <c r="F127" s="392"/>
      <c r="G127" s="392"/>
      <c r="H127" s="392"/>
      <c r="I127" s="392"/>
      <c r="J127" s="392"/>
      <c r="K127" s="392"/>
      <c r="L127" s="392"/>
      <c r="M127" s="392"/>
      <c r="N127" s="392"/>
      <c r="O127" s="392"/>
      <c r="P127" s="392"/>
      <c r="Q127" s="392"/>
      <c r="R127" s="392"/>
      <c r="S127" s="409"/>
      <c r="T127" s="409"/>
      <c r="U127" s="409"/>
      <c r="V127" s="409"/>
      <c r="W127" s="392"/>
      <c r="X127" s="392"/>
      <c r="Y127" s="409"/>
      <c r="Z127" s="409"/>
      <c r="AA127" s="392"/>
      <c r="AB127" s="392"/>
      <c r="AC127" s="392"/>
      <c r="AD127" s="409"/>
      <c r="AE127" s="409"/>
      <c r="AF127" s="409"/>
      <c r="AG127" s="409"/>
      <c r="AH127" s="409"/>
      <c r="AI127" s="409"/>
      <c r="AJ127" s="409"/>
      <c r="AK127" s="409"/>
      <c r="AL127" s="409"/>
      <c r="AM127" s="409"/>
      <c r="AN127" s="409"/>
      <c r="AO127" s="409"/>
      <c r="AP127" s="409"/>
      <c r="AQ127" s="409"/>
      <c r="AR127" s="409"/>
      <c r="AS127" s="409"/>
      <c r="AT127" s="409"/>
      <c r="AU127" s="409"/>
      <c r="AV127" s="409"/>
      <c r="AW127" s="409"/>
      <c r="AX127" s="409"/>
      <c r="AY127" s="409"/>
      <c r="AZ127" s="409"/>
      <c r="BA127" s="409"/>
      <c r="BB127" s="409"/>
      <c r="BC127" s="409"/>
      <c r="BD127" s="407"/>
      <c r="BE127" s="444"/>
      <c r="BF127" s="444"/>
      <c r="BG127" s="444"/>
      <c r="BH127" s="444"/>
      <c r="BI127" s="444"/>
      <c r="BJ127" s="444"/>
      <c r="BK127" s="444"/>
      <c r="BL127" s="444"/>
      <c r="BM127" s="444"/>
      <c r="BN127" s="444"/>
      <c r="BO127" s="444"/>
      <c r="BP127" s="444"/>
      <c r="BQ127" s="444"/>
      <c r="BR127" s="444"/>
      <c r="BS127" s="444"/>
      <c r="BT127" s="444"/>
    </row>
    <row r="128" spans="1:72" s="443" customFormat="1" ht="15">
      <c r="A128" s="392"/>
      <c r="B128" s="392"/>
      <c r="C128" s="392"/>
      <c r="D128" s="392"/>
      <c r="E128" s="392"/>
      <c r="F128" s="392"/>
      <c r="G128" s="392"/>
      <c r="H128" s="392"/>
      <c r="I128" s="392"/>
      <c r="J128" s="392"/>
      <c r="K128" s="392"/>
      <c r="L128" s="392"/>
      <c r="M128" s="392"/>
      <c r="N128" s="392"/>
      <c r="O128" s="392"/>
      <c r="P128" s="392"/>
      <c r="Q128" s="392"/>
      <c r="R128" s="392"/>
      <c r="S128" s="409"/>
      <c r="T128" s="409"/>
      <c r="U128" s="409"/>
      <c r="V128" s="409"/>
      <c r="W128" s="392"/>
      <c r="X128" s="392"/>
      <c r="Y128" s="409"/>
      <c r="Z128" s="409"/>
      <c r="AA128" s="392"/>
      <c r="AB128" s="392"/>
      <c r="AC128" s="392"/>
      <c r="AD128" s="409"/>
      <c r="AE128" s="409"/>
      <c r="AF128" s="409"/>
      <c r="AG128" s="409"/>
      <c r="AH128" s="409"/>
      <c r="AI128" s="409"/>
      <c r="AJ128" s="409"/>
      <c r="AK128" s="409"/>
      <c r="AL128" s="409"/>
      <c r="AM128" s="409"/>
      <c r="AN128" s="409"/>
      <c r="AO128" s="409"/>
      <c r="AP128" s="409"/>
      <c r="AQ128" s="409"/>
      <c r="AR128" s="409"/>
      <c r="AS128" s="409"/>
      <c r="AT128" s="409"/>
      <c r="AU128" s="409"/>
      <c r="AV128" s="409"/>
      <c r="AW128" s="409"/>
      <c r="AX128" s="409"/>
      <c r="AY128" s="409"/>
      <c r="AZ128" s="409"/>
      <c r="BA128" s="409"/>
      <c r="BB128" s="409"/>
      <c r="BC128" s="409"/>
      <c r="BD128" s="407"/>
      <c r="BE128" s="444"/>
      <c r="BF128" s="444"/>
      <c r="BG128" s="444"/>
      <c r="BH128" s="444"/>
      <c r="BI128" s="444"/>
      <c r="BJ128" s="444"/>
      <c r="BK128" s="444"/>
      <c r="BL128" s="444"/>
      <c r="BM128" s="444"/>
      <c r="BN128" s="444"/>
      <c r="BO128" s="444"/>
      <c r="BP128" s="444"/>
      <c r="BQ128" s="444"/>
      <c r="BR128" s="444"/>
      <c r="BS128" s="444"/>
      <c r="BT128" s="444"/>
    </row>
    <row r="129" spans="1:72" s="443" customFormat="1" ht="15">
      <c r="A129" s="392"/>
      <c r="B129" s="392"/>
      <c r="C129" s="392"/>
      <c r="D129" s="392"/>
      <c r="E129" s="392"/>
      <c r="F129" s="392"/>
      <c r="G129" s="392"/>
      <c r="H129" s="392"/>
      <c r="I129" s="392"/>
      <c r="J129" s="392"/>
      <c r="K129" s="392"/>
      <c r="L129" s="392"/>
      <c r="M129" s="392"/>
      <c r="N129" s="392"/>
      <c r="O129" s="392"/>
      <c r="P129" s="392"/>
      <c r="Q129" s="392"/>
      <c r="R129" s="392"/>
      <c r="S129" s="409"/>
      <c r="T129" s="409"/>
      <c r="U129" s="409"/>
      <c r="V129" s="409"/>
      <c r="W129" s="392"/>
      <c r="X129" s="392"/>
      <c r="Y129" s="409"/>
      <c r="Z129" s="409"/>
      <c r="AA129" s="392"/>
      <c r="AB129" s="392"/>
      <c r="AC129" s="392"/>
      <c r="AD129" s="409"/>
      <c r="AE129" s="409"/>
      <c r="AF129" s="409"/>
      <c r="AG129" s="409"/>
      <c r="AH129" s="409"/>
      <c r="AI129" s="409"/>
      <c r="AJ129" s="409"/>
      <c r="AK129" s="409"/>
      <c r="AL129" s="409"/>
      <c r="AM129" s="409"/>
      <c r="AN129" s="409"/>
      <c r="AO129" s="409"/>
      <c r="AP129" s="409"/>
      <c r="AQ129" s="409"/>
      <c r="AR129" s="409"/>
      <c r="AS129" s="409"/>
      <c r="AT129" s="409"/>
      <c r="AU129" s="409"/>
      <c r="AV129" s="409"/>
      <c r="AW129" s="409"/>
      <c r="AX129" s="409"/>
      <c r="AY129" s="409"/>
      <c r="AZ129" s="409"/>
      <c r="BA129" s="409"/>
      <c r="BB129" s="409"/>
      <c r="BC129" s="409"/>
      <c r="BD129" s="407"/>
      <c r="BE129" s="444"/>
      <c r="BF129" s="444"/>
      <c r="BG129" s="444"/>
      <c r="BH129" s="444"/>
      <c r="BI129" s="444"/>
      <c r="BJ129" s="444"/>
      <c r="BK129" s="444"/>
      <c r="BL129" s="444"/>
      <c r="BM129" s="444"/>
      <c r="BN129" s="444"/>
      <c r="BO129" s="444"/>
      <c r="BP129" s="444"/>
      <c r="BQ129" s="444"/>
      <c r="BR129" s="444"/>
      <c r="BS129" s="444"/>
      <c r="BT129" s="444"/>
    </row>
    <row r="130" spans="1:72" s="443" customFormat="1" ht="15">
      <c r="A130" s="392"/>
      <c r="B130" s="392"/>
      <c r="C130" s="392"/>
      <c r="D130" s="392"/>
      <c r="E130" s="392"/>
      <c r="F130" s="392"/>
      <c r="G130" s="392"/>
      <c r="H130" s="392"/>
      <c r="I130" s="392"/>
      <c r="J130" s="392"/>
      <c r="K130" s="392"/>
      <c r="L130" s="392"/>
      <c r="M130" s="392"/>
      <c r="N130" s="392"/>
      <c r="O130" s="392"/>
      <c r="P130" s="392"/>
      <c r="Q130" s="392"/>
      <c r="R130" s="392"/>
      <c r="S130" s="409"/>
      <c r="T130" s="409"/>
      <c r="U130" s="409"/>
      <c r="V130" s="409"/>
      <c r="W130" s="392"/>
      <c r="X130" s="392"/>
      <c r="Y130" s="409"/>
      <c r="Z130" s="409"/>
      <c r="AA130" s="392"/>
      <c r="AB130" s="392"/>
      <c r="AC130" s="392"/>
      <c r="AD130" s="409"/>
      <c r="AE130" s="409"/>
      <c r="AF130" s="409"/>
      <c r="AG130" s="409"/>
      <c r="AH130" s="409"/>
      <c r="AI130" s="409"/>
      <c r="AJ130" s="409"/>
      <c r="AK130" s="409"/>
      <c r="AL130" s="409"/>
      <c r="AM130" s="409"/>
      <c r="AN130" s="409"/>
      <c r="AO130" s="409"/>
      <c r="AP130" s="409"/>
      <c r="AQ130" s="409"/>
      <c r="AR130" s="409"/>
      <c r="AS130" s="409"/>
      <c r="AT130" s="409"/>
      <c r="AU130" s="409"/>
      <c r="AV130" s="409"/>
      <c r="AW130" s="409"/>
      <c r="AX130" s="409"/>
      <c r="AY130" s="409"/>
      <c r="AZ130" s="409"/>
      <c r="BA130" s="409"/>
      <c r="BB130" s="409"/>
      <c r="BC130" s="409"/>
      <c r="BD130" s="407"/>
      <c r="BE130" s="444"/>
      <c r="BF130" s="444"/>
      <c r="BG130" s="444"/>
      <c r="BH130" s="444"/>
      <c r="BI130" s="444"/>
      <c r="BJ130" s="444"/>
      <c r="BK130" s="444"/>
      <c r="BL130" s="444"/>
      <c r="BM130" s="444"/>
      <c r="BN130" s="444"/>
      <c r="BO130" s="444"/>
      <c r="BP130" s="444"/>
      <c r="BQ130" s="444"/>
      <c r="BR130" s="444"/>
      <c r="BS130" s="444"/>
      <c r="BT130" s="444"/>
    </row>
    <row r="131" spans="1:72" s="443" customFormat="1" ht="15">
      <c r="A131" s="392"/>
      <c r="B131" s="392"/>
      <c r="C131" s="392"/>
      <c r="D131" s="392"/>
      <c r="E131" s="392"/>
      <c r="F131" s="392"/>
      <c r="G131" s="392"/>
      <c r="H131" s="392"/>
      <c r="I131" s="392"/>
      <c r="J131" s="392"/>
      <c r="K131" s="392"/>
      <c r="L131" s="392"/>
      <c r="M131" s="392"/>
      <c r="N131" s="392"/>
      <c r="O131" s="392"/>
      <c r="P131" s="392"/>
      <c r="Q131" s="392"/>
      <c r="R131" s="392"/>
      <c r="S131" s="409"/>
      <c r="T131" s="409"/>
      <c r="U131" s="409"/>
      <c r="V131" s="409"/>
      <c r="W131" s="392"/>
      <c r="X131" s="392"/>
      <c r="Y131" s="409"/>
      <c r="Z131" s="409"/>
      <c r="AA131" s="392"/>
      <c r="AB131" s="392"/>
      <c r="AC131" s="392"/>
      <c r="AD131" s="409"/>
      <c r="AE131" s="409"/>
      <c r="AF131" s="409"/>
      <c r="AG131" s="409"/>
      <c r="AH131" s="409"/>
      <c r="AI131" s="409"/>
      <c r="AJ131" s="409"/>
      <c r="AK131" s="409"/>
      <c r="AL131" s="409"/>
      <c r="AM131" s="409"/>
      <c r="AN131" s="409"/>
      <c r="AO131" s="409"/>
      <c r="AP131" s="409"/>
      <c r="AQ131" s="409"/>
      <c r="AR131" s="409"/>
      <c r="AS131" s="409"/>
      <c r="AT131" s="409"/>
      <c r="AU131" s="409"/>
      <c r="AV131" s="409"/>
      <c r="AW131" s="409"/>
      <c r="AX131" s="409"/>
      <c r="AY131" s="409"/>
      <c r="AZ131" s="409"/>
      <c r="BA131" s="409"/>
      <c r="BB131" s="409"/>
      <c r="BC131" s="409"/>
      <c r="BD131" s="407"/>
      <c r="BE131" s="444"/>
      <c r="BF131" s="444"/>
      <c r="BG131" s="444"/>
      <c r="BH131" s="444"/>
      <c r="BI131" s="444"/>
      <c r="BJ131" s="444"/>
      <c r="BK131" s="444"/>
      <c r="BL131" s="444"/>
      <c r="BM131" s="444"/>
      <c r="BN131" s="444"/>
      <c r="BO131" s="444"/>
      <c r="BP131" s="444"/>
      <c r="BQ131" s="444"/>
      <c r="BR131" s="444"/>
      <c r="BS131" s="444"/>
      <c r="BT131" s="444"/>
    </row>
    <row r="132" spans="1:72" s="443" customFormat="1" ht="15">
      <c r="A132" s="392"/>
      <c r="B132" s="392"/>
      <c r="C132" s="392"/>
      <c r="D132" s="392"/>
      <c r="E132" s="392"/>
      <c r="F132" s="392"/>
      <c r="G132" s="392"/>
      <c r="H132" s="392"/>
      <c r="I132" s="392"/>
      <c r="J132" s="392"/>
      <c r="K132" s="392"/>
      <c r="L132" s="392"/>
      <c r="M132" s="392"/>
      <c r="N132" s="392"/>
      <c r="O132" s="392"/>
      <c r="P132" s="392"/>
      <c r="Q132" s="392"/>
      <c r="R132" s="392"/>
      <c r="S132" s="409"/>
      <c r="T132" s="409"/>
      <c r="U132" s="409"/>
      <c r="V132" s="409"/>
      <c r="W132" s="392"/>
      <c r="X132" s="392"/>
      <c r="Y132" s="409"/>
      <c r="Z132" s="409"/>
      <c r="AA132" s="392"/>
      <c r="AB132" s="392"/>
      <c r="AC132" s="392"/>
      <c r="AD132" s="409"/>
      <c r="AE132" s="409"/>
      <c r="AF132" s="409"/>
      <c r="AG132" s="409"/>
      <c r="AH132" s="409"/>
      <c r="AI132" s="409"/>
      <c r="AJ132" s="409"/>
      <c r="AK132" s="409"/>
      <c r="AL132" s="409"/>
      <c r="AM132" s="409"/>
      <c r="AN132" s="409"/>
      <c r="AO132" s="409"/>
      <c r="AP132" s="409"/>
      <c r="AQ132" s="409"/>
      <c r="AR132" s="409"/>
      <c r="AS132" s="409"/>
      <c r="AT132" s="409"/>
      <c r="AU132" s="409"/>
      <c r="AV132" s="409"/>
      <c r="AW132" s="409"/>
      <c r="AX132" s="409"/>
      <c r="AY132" s="409"/>
      <c r="AZ132" s="409"/>
      <c r="BA132" s="409"/>
      <c r="BB132" s="409"/>
      <c r="BC132" s="409"/>
      <c r="BD132" s="407"/>
      <c r="BE132" s="444"/>
      <c r="BF132" s="444"/>
      <c r="BG132" s="444"/>
      <c r="BH132" s="444"/>
      <c r="BI132" s="444"/>
      <c r="BJ132" s="444"/>
      <c r="BK132" s="444"/>
      <c r="BL132" s="444"/>
      <c r="BM132" s="444"/>
      <c r="BN132" s="444"/>
      <c r="BO132" s="444"/>
      <c r="BP132" s="444"/>
      <c r="BQ132" s="444"/>
      <c r="BR132" s="444"/>
      <c r="BS132" s="444"/>
      <c r="BT132" s="444"/>
    </row>
    <row r="133" spans="1:72" s="443" customFormat="1" ht="15">
      <c r="A133" s="392"/>
      <c r="B133" s="392"/>
      <c r="C133" s="392"/>
      <c r="D133" s="392"/>
      <c r="E133" s="392"/>
      <c r="F133" s="392"/>
      <c r="G133" s="392"/>
      <c r="H133" s="392"/>
      <c r="I133" s="392"/>
      <c r="J133" s="392"/>
      <c r="K133" s="392"/>
      <c r="L133" s="392"/>
      <c r="M133" s="392"/>
      <c r="N133" s="392"/>
      <c r="O133" s="392"/>
      <c r="P133" s="392"/>
      <c r="Q133" s="392"/>
      <c r="R133" s="392"/>
      <c r="S133" s="409"/>
      <c r="T133" s="409"/>
      <c r="U133" s="409"/>
      <c r="V133" s="409"/>
      <c r="W133" s="392"/>
      <c r="X133" s="392"/>
      <c r="Y133" s="409"/>
      <c r="Z133" s="409"/>
      <c r="AA133" s="392"/>
      <c r="AB133" s="392"/>
      <c r="AC133" s="392"/>
      <c r="AD133" s="409"/>
      <c r="AE133" s="409"/>
      <c r="AF133" s="409"/>
      <c r="AG133" s="409"/>
      <c r="AH133" s="409"/>
      <c r="AI133" s="409"/>
      <c r="AJ133" s="409"/>
      <c r="AK133" s="409"/>
      <c r="AL133" s="409"/>
      <c r="AM133" s="409"/>
      <c r="AN133" s="409"/>
      <c r="AO133" s="409"/>
      <c r="AP133" s="409"/>
      <c r="AQ133" s="409"/>
      <c r="AR133" s="409"/>
      <c r="AS133" s="409"/>
      <c r="AT133" s="409"/>
      <c r="AU133" s="409"/>
      <c r="AV133" s="409"/>
      <c r="AW133" s="409"/>
      <c r="AX133" s="409"/>
      <c r="AY133" s="409"/>
      <c r="AZ133" s="409"/>
      <c r="BA133" s="409"/>
      <c r="BB133" s="409"/>
      <c r="BC133" s="409"/>
      <c r="BD133" s="407"/>
      <c r="BE133" s="444"/>
      <c r="BF133" s="444"/>
      <c r="BG133" s="444"/>
      <c r="BH133" s="444"/>
      <c r="BI133" s="444"/>
      <c r="BJ133" s="444"/>
      <c r="BK133" s="444"/>
      <c r="BL133" s="444"/>
      <c r="BM133" s="444"/>
      <c r="BN133" s="444"/>
      <c r="BO133" s="444"/>
      <c r="BP133" s="444"/>
      <c r="BQ133" s="444"/>
      <c r="BR133" s="444"/>
      <c r="BS133" s="444"/>
      <c r="BT133" s="444"/>
    </row>
    <row r="134" spans="1:72" s="443" customFormat="1" ht="15">
      <c r="A134" s="392"/>
      <c r="B134" s="392"/>
      <c r="C134" s="392"/>
      <c r="D134" s="392"/>
      <c r="E134" s="392"/>
      <c r="F134" s="392"/>
      <c r="G134" s="392"/>
      <c r="H134" s="392"/>
      <c r="I134" s="392"/>
      <c r="J134" s="392"/>
      <c r="K134" s="392"/>
      <c r="L134" s="392"/>
      <c r="M134" s="392"/>
      <c r="N134" s="392"/>
      <c r="O134" s="392"/>
      <c r="P134" s="392"/>
      <c r="Q134" s="392"/>
      <c r="R134" s="392"/>
      <c r="S134" s="409"/>
      <c r="T134" s="409"/>
      <c r="U134" s="409"/>
      <c r="V134" s="409"/>
      <c r="W134" s="392"/>
      <c r="X134" s="392"/>
      <c r="Y134" s="409"/>
      <c r="Z134" s="409"/>
      <c r="AA134" s="392"/>
      <c r="AB134" s="392"/>
      <c r="AC134" s="392"/>
      <c r="AD134" s="409"/>
      <c r="AE134" s="409"/>
      <c r="AF134" s="409"/>
      <c r="AG134" s="409"/>
      <c r="AH134" s="409"/>
      <c r="AI134" s="409"/>
      <c r="AJ134" s="409"/>
      <c r="AK134" s="409"/>
      <c r="AL134" s="409"/>
      <c r="AM134" s="409"/>
      <c r="AN134" s="409"/>
      <c r="AO134" s="409"/>
      <c r="AP134" s="409"/>
      <c r="AQ134" s="409"/>
      <c r="AR134" s="409"/>
      <c r="AS134" s="409"/>
      <c r="AT134" s="409"/>
      <c r="AU134" s="409"/>
      <c r="AV134" s="409"/>
      <c r="AW134" s="409"/>
      <c r="AX134" s="409"/>
      <c r="AY134" s="409"/>
      <c r="AZ134" s="409"/>
      <c r="BA134" s="409"/>
      <c r="BB134" s="409"/>
      <c r="BC134" s="409"/>
      <c r="BD134" s="407"/>
      <c r="BE134" s="444"/>
      <c r="BF134" s="444"/>
      <c r="BG134" s="444"/>
      <c r="BH134" s="444"/>
      <c r="BI134" s="444"/>
      <c r="BJ134" s="444"/>
      <c r="BK134" s="444"/>
      <c r="BL134" s="444"/>
      <c r="BM134" s="444"/>
      <c r="BN134" s="444"/>
      <c r="BO134" s="444"/>
      <c r="BP134" s="444"/>
      <c r="BQ134" s="444"/>
      <c r="BR134" s="444"/>
      <c r="BS134" s="444"/>
      <c r="BT134" s="444"/>
    </row>
    <row r="135" spans="1:72" s="443" customFormat="1" ht="15">
      <c r="A135" s="392"/>
      <c r="B135" s="392"/>
      <c r="C135" s="392"/>
      <c r="D135" s="392"/>
      <c r="E135" s="392"/>
      <c r="F135" s="392"/>
      <c r="G135" s="392"/>
      <c r="H135" s="392"/>
      <c r="I135" s="392"/>
      <c r="J135" s="392"/>
      <c r="K135" s="392"/>
      <c r="L135" s="392"/>
      <c r="M135" s="392"/>
      <c r="N135" s="392"/>
      <c r="O135" s="392"/>
      <c r="P135" s="392"/>
      <c r="Q135" s="392"/>
      <c r="R135" s="392"/>
      <c r="S135" s="409"/>
      <c r="T135" s="409"/>
      <c r="U135" s="409"/>
      <c r="V135" s="409"/>
      <c r="W135" s="392"/>
      <c r="X135" s="392"/>
      <c r="Y135" s="409"/>
      <c r="Z135" s="409"/>
      <c r="AA135" s="392"/>
      <c r="AB135" s="392"/>
      <c r="AC135" s="392"/>
      <c r="AD135" s="409"/>
      <c r="AE135" s="409"/>
      <c r="AF135" s="409"/>
      <c r="AG135" s="409"/>
      <c r="AH135" s="409"/>
      <c r="AI135" s="409"/>
      <c r="AJ135" s="409"/>
      <c r="AK135" s="409"/>
      <c r="AL135" s="409"/>
      <c r="AM135" s="409"/>
      <c r="AN135" s="409"/>
      <c r="AO135" s="409"/>
      <c r="AP135" s="409"/>
      <c r="AQ135" s="409"/>
      <c r="AR135" s="409"/>
      <c r="AS135" s="409"/>
      <c r="AT135" s="409"/>
      <c r="AU135" s="409"/>
      <c r="AV135" s="409"/>
      <c r="AW135" s="409"/>
      <c r="AX135" s="409"/>
      <c r="AY135" s="409"/>
      <c r="AZ135" s="409"/>
      <c r="BA135" s="409"/>
      <c r="BB135" s="409"/>
      <c r="BC135" s="409"/>
      <c r="BD135" s="407"/>
      <c r="BE135" s="444"/>
      <c r="BF135" s="444"/>
      <c r="BG135" s="444"/>
      <c r="BH135" s="444"/>
      <c r="BI135" s="444"/>
      <c r="BJ135" s="444"/>
      <c r="BK135" s="444"/>
      <c r="BL135" s="444"/>
      <c r="BM135" s="444"/>
      <c r="BN135" s="444"/>
      <c r="BO135" s="444"/>
      <c r="BP135" s="444"/>
      <c r="BQ135" s="444"/>
      <c r="BR135" s="444"/>
      <c r="BS135" s="444"/>
      <c r="BT135" s="444"/>
    </row>
    <row r="136" spans="1:72" s="443" customFormat="1" ht="15">
      <c r="A136" s="392"/>
      <c r="B136" s="392"/>
      <c r="C136" s="392"/>
      <c r="D136" s="392"/>
      <c r="E136" s="392"/>
      <c r="F136" s="392"/>
      <c r="G136" s="392"/>
      <c r="H136" s="392"/>
      <c r="I136" s="392"/>
      <c r="J136" s="392"/>
      <c r="K136" s="392"/>
      <c r="L136" s="392"/>
      <c r="M136" s="392"/>
      <c r="N136" s="392"/>
      <c r="O136" s="392"/>
      <c r="P136" s="392"/>
      <c r="Q136" s="392"/>
      <c r="R136" s="392"/>
      <c r="S136" s="409"/>
      <c r="T136" s="409"/>
      <c r="U136" s="409"/>
      <c r="V136" s="409"/>
      <c r="W136" s="392"/>
      <c r="X136" s="392"/>
      <c r="Y136" s="409"/>
      <c r="Z136" s="409"/>
      <c r="AA136" s="392"/>
      <c r="AB136" s="392"/>
      <c r="AC136" s="392"/>
      <c r="AD136" s="409"/>
      <c r="AE136" s="409"/>
      <c r="AF136" s="409"/>
      <c r="AG136" s="409"/>
      <c r="AH136" s="409"/>
      <c r="AI136" s="409"/>
      <c r="AJ136" s="409"/>
      <c r="AK136" s="409"/>
      <c r="AL136" s="409"/>
      <c r="AM136" s="409"/>
      <c r="AN136" s="409"/>
      <c r="AO136" s="409"/>
      <c r="AP136" s="409"/>
      <c r="AQ136" s="409"/>
      <c r="AR136" s="409"/>
      <c r="AS136" s="409"/>
      <c r="AT136" s="409"/>
      <c r="AU136" s="409"/>
      <c r="AV136" s="409"/>
      <c r="AW136" s="409"/>
      <c r="AX136" s="409"/>
      <c r="AY136" s="409"/>
      <c r="AZ136" s="409"/>
      <c r="BA136" s="409"/>
      <c r="BB136" s="409"/>
      <c r="BC136" s="409"/>
      <c r="BD136" s="407"/>
      <c r="BE136" s="444"/>
      <c r="BF136" s="444"/>
      <c r="BG136" s="444"/>
      <c r="BH136" s="444"/>
      <c r="BI136" s="444"/>
      <c r="BJ136" s="444"/>
      <c r="BK136" s="444"/>
      <c r="BL136" s="444"/>
      <c r="BM136" s="444"/>
      <c r="BN136" s="444"/>
      <c r="BO136" s="444"/>
      <c r="BP136" s="444"/>
      <c r="BQ136" s="444"/>
      <c r="BR136" s="444"/>
      <c r="BS136" s="444"/>
      <c r="BT136" s="444"/>
    </row>
    <row r="137" spans="1:72" s="443" customFormat="1" ht="15">
      <c r="A137" s="392"/>
      <c r="B137" s="392"/>
      <c r="C137" s="392"/>
      <c r="D137" s="392"/>
      <c r="E137" s="392"/>
      <c r="F137" s="392"/>
      <c r="G137" s="392"/>
      <c r="H137" s="392"/>
      <c r="I137" s="392"/>
      <c r="J137" s="392"/>
      <c r="K137" s="392"/>
      <c r="L137" s="392"/>
      <c r="M137" s="392"/>
      <c r="N137" s="392"/>
      <c r="O137" s="392"/>
      <c r="P137" s="392"/>
      <c r="Q137" s="392"/>
      <c r="R137" s="392"/>
      <c r="S137" s="409"/>
      <c r="T137" s="409"/>
      <c r="U137" s="409"/>
      <c r="V137" s="409"/>
      <c r="W137" s="392"/>
      <c r="X137" s="392"/>
      <c r="Y137" s="409"/>
      <c r="Z137" s="409"/>
      <c r="AA137" s="392"/>
      <c r="AB137" s="392"/>
      <c r="AC137" s="392"/>
      <c r="AD137" s="409"/>
      <c r="AE137" s="409"/>
      <c r="AF137" s="409"/>
      <c r="AG137" s="409"/>
      <c r="AH137" s="409"/>
      <c r="AI137" s="409"/>
      <c r="AJ137" s="409"/>
      <c r="AK137" s="409"/>
      <c r="AL137" s="409"/>
      <c r="AM137" s="409"/>
      <c r="AN137" s="409"/>
      <c r="AO137" s="409"/>
      <c r="AP137" s="409"/>
      <c r="AQ137" s="409"/>
      <c r="AR137" s="409"/>
      <c r="AS137" s="409"/>
      <c r="AT137" s="409"/>
      <c r="AU137" s="409"/>
      <c r="AV137" s="409"/>
      <c r="AW137" s="409"/>
      <c r="AX137" s="409"/>
      <c r="AY137" s="409"/>
      <c r="AZ137" s="409"/>
      <c r="BA137" s="409"/>
      <c r="BB137" s="409"/>
      <c r="BC137" s="409"/>
      <c r="BD137" s="407"/>
      <c r="BE137" s="444"/>
      <c r="BF137" s="444"/>
      <c r="BG137" s="444"/>
      <c r="BH137" s="444"/>
      <c r="BI137" s="444"/>
      <c r="BJ137" s="444"/>
      <c r="BK137" s="444"/>
      <c r="BL137" s="444"/>
      <c r="BM137" s="444"/>
      <c r="BN137" s="444"/>
      <c r="BO137" s="444"/>
      <c r="BP137" s="444"/>
      <c r="BQ137" s="444"/>
      <c r="BR137" s="444"/>
      <c r="BS137" s="444"/>
      <c r="BT137" s="444"/>
    </row>
    <row r="138" spans="1:72" s="443" customFormat="1" ht="15">
      <c r="A138" s="392"/>
      <c r="B138" s="392"/>
      <c r="C138" s="392"/>
      <c r="D138" s="392"/>
      <c r="E138" s="392"/>
      <c r="F138" s="392"/>
      <c r="G138" s="392"/>
      <c r="H138" s="392"/>
      <c r="I138" s="392"/>
      <c r="J138" s="392"/>
      <c r="K138" s="392"/>
      <c r="L138" s="392"/>
      <c r="M138" s="392"/>
      <c r="N138" s="392"/>
      <c r="O138" s="392"/>
      <c r="P138" s="392"/>
      <c r="Q138" s="392"/>
      <c r="R138" s="392"/>
      <c r="S138" s="409"/>
      <c r="T138" s="409"/>
      <c r="U138" s="409"/>
      <c r="V138" s="409"/>
      <c r="W138" s="392"/>
      <c r="X138" s="392"/>
      <c r="Y138" s="409"/>
      <c r="Z138" s="409"/>
      <c r="AA138" s="392"/>
      <c r="AB138" s="392"/>
      <c r="AC138" s="392"/>
      <c r="AD138" s="409"/>
      <c r="AE138" s="409"/>
      <c r="AF138" s="409"/>
      <c r="AG138" s="409"/>
      <c r="AH138" s="409"/>
      <c r="AI138" s="409"/>
      <c r="AJ138" s="409"/>
      <c r="AK138" s="409"/>
      <c r="AL138" s="409"/>
      <c r="AM138" s="409"/>
      <c r="AN138" s="409"/>
      <c r="AO138" s="409"/>
      <c r="AP138" s="409"/>
      <c r="AQ138" s="409"/>
      <c r="AR138" s="409"/>
      <c r="AS138" s="409"/>
      <c r="AT138" s="409"/>
      <c r="AU138" s="409"/>
      <c r="AV138" s="409"/>
      <c r="AW138" s="409"/>
      <c r="AX138" s="409"/>
      <c r="AY138" s="409"/>
      <c r="AZ138" s="409"/>
      <c r="BA138" s="409"/>
      <c r="BB138" s="409"/>
      <c r="BC138" s="409"/>
      <c r="BD138" s="407"/>
      <c r="BE138" s="444"/>
      <c r="BF138" s="444"/>
      <c r="BG138" s="444"/>
      <c r="BH138" s="444"/>
      <c r="BI138" s="444"/>
      <c r="BJ138" s="444"/>
      <c r="BK138" s="444"/>
      <c r="BL138" s="444"/>
      <c r="BM138" s="444"/>
      <c r="BN138" s="444"/>
      <c r="BO138" s="444"/>
      <c r="BP138" s="444"/>
      <c r="BQ138" s="444"/>
      <c r="BR138" s="444"/>
      <c r="BS138" s="444"/>
      <c r="BT138" s="444"/>
    </row>
    <row r="139" spans="1:72" s="443" customFormat="1" ht="15">
      <c r="A139" s="392"/>
      <c r="B139" s="392"/>
      <c r="C139" s="392"/>
      <c r="D139" s="392"/>
      <c r="E139" s="392"/>
      <c r="F139" s="392"/>
      <c r="G139" s="392"/>
      <c r="H139" s="392"/>
      <c r="I139" s="392"/>
      <c r="J139" s="392"/>
      <c r="K139" s="392"/>
      <c r="L139" s="392"/>
      <c r="M139" s="392"/>
      <c r="N139" s="392"/>
      <c r="O139" s="392"/>
      <c r="P139" s="392"/>
      <c r="Q139" s="392"/>
      <c r="R139" s="392"/>
      <c r="S139" s="409"/>
      <c r="T139" s="409"/>
      <c r="U139" s="409"/>
      <c r="V139" s="409"/>
      <c r="W139" s="392"/>
      <c r="X139" s="392"/>
      <c r="Y139" s="409"/>
      <c r="Z139" s="409"/>
      <c r="AA139" s="392"/>
      <c r="AB139" s="392"/>
      <c r="AC139" s="392"/>
      <c r="AD139" s="409"/>
      <c r="AE139" s="409"/>
      <c r="AF139" s="409"/>
      <c r="AG139" s="409"/>
      <c r="AH139" s="409"/>
      <c r="AI139" s="409"/>
      <c r="AJ139" s="409"/>
      <c r="AK139" s="409"/>
      <c r="AL139" s="409"/>
      <c r="AM139" s="409"/>
      <c r="AN139" s="409"/>
      <c r="AO139" s="409"/>
      <c r="AP139" s="409"/>
      <c r="AQ139" s="409"/>
      <c r="AR139" s="409"/>
      <c r="AS139" s="409"/>
      <c r="AT139" s="409"/>
      <c r="AU139" s="409"/>
      <c r="AV139" s="409"/>
      <c r="AW139" s="409"/>
      <c r="AX139" s="409"/>
      <c r="AY139" s="409"/>
      <c r="AZ139" s="409"/>
      <c r="BA139" s="409"/>
      <c r="BB139" s="409"/>
      <c r="BC139" s="409"/>
      <c r="BD139" s="407"/>
      <c r="BE139" s="444"/>
      <c r="BF139" s="444"/>
      <c r="BG139" s="444"/>
      <c r="BH139" s="444"/>
      <c r="BI139" s="444"/>
      <c r="BJ139" s="444"/>
      <c r="BK139" s="444"/>
      <c r="BL139" s="444"/>
      <c r="BM139" s="444"/>
      <c r="BN139" s="444"/>
      <c r="BO139" s="444"/>
      <c r="BP139" s="444"/>
      <c r="BQ139" s="444"/>
      <c r="BR139" s="444"/>
      <c r="BS139" s="444"/>
      <c r="BT139" s="444"/>
    </row>
    <row r="140" spans="1:72" s="443" customFormat="1" ht="15">
      <c r="A140" s="392"/>
      <c r="B140" s="392"/>
      <c r="C140" s="392"/>
      <c r="D140" s="392"/>
      <c r="E140" s="392"/>
      <c r="F140" s="392"/>
      <c r="G140" s="392"/>
      <c r="H140" s="392"/>
      <c r="I140" s="392"/>
      <c r="J140" s="392"/>
      <c r="K140" s="392"/>
      <c r="L140" s="392"/>
      <c r="M140" s="392"/>
      <c r="N140" s="392"/>
      <c r="O140" s="392"/>
      <c r="P140" s="392"/>
      <c r="Q140" s="392"/>
      <c r="R140" s="392"/>
      <c r="S140" s="409"/>
      <c r="T140" s="409"/>
      <c r="U140" s="409"/>
      <c r="V140" s="409"/>
      <c r="W140" s="392"/>
      <c r="X140" s="392"/>
      <c r="Y140" s="409"/>
      <c r="Z140" s="409"/>
      <c r="AA140" s="392"/>
      <c r="AB140" s="392"/>
      <c r="AC140" s="392"/>
      <c r="AD140" s="409"/>
      <c r="AE140" s="409"/>
      <c r="AF140" s="409"/>
      <c r="AG140" s="409"/>
      <c r="AH140" s="409"/>
      <c r="AI140" s="409"/>
      <c r="AJ140" s="409"/>
      <c r="AK140" s="409"/>
      <c r="AL140" s="409"/>
      <c r="AM140" s="409"/>
      <c r="AN140" s="409"/>
      <c r="AO140" s="409"/>
      <c r="AP140" s="409"/>
      <c r="AQ140" s="409"/>
      <c r="AR140" s="409"/>
      <c r="AS140" s="409"/>
      <c r="AT140" s="409"/>
      <c r="AU140" s="409"/>
      <c r="AV140" s="409"/>
      <c r="AW140" s="409"/>
      <c r="AX140" s="409"/>
      <c r="AY140" s="409"/>
      <c r="AZ140" s="409"/>
      <c r="BA140" s="409"/>
      <c r="BB140" s="409"/>
      <c r="BC140" s="409"/>
      <c r="BD140" s="407"/>
      <c r="BE140" s="444"/>
      <c r="BF140" s="444"/>
      <c r="BG140" s="444"/>
      <c r="BH140" s="444"/>
      <c r="BI140" s="444"/>
      <c r="BJ140" s="444"/>
      <c r="BK140" s="444"/>
      <c r="BL140" s="444"/>
      <c r="BM140" s="444"/>
      <c r="BN140" s="444"/>
      <c r="BO140" s="444"/>
      <c r="BP140" s="444"/>
      <c r="BQ140" s="444"/>
      <c r="BR140" s="444"/>
      <c r="BS140" s="444"/>
      <c r="BT140" s="444"/>
    </row>
    <row r="141" spans="1:72" s="443" customFormat="1" ht="15">
      <c r="A141" s="392"/>
      <c r="B141" s="392"/>
      <c r="C141" s="392"/>
      <c r="D141" s="392"/>
      <c r="E141" s="392"/>
      <c r="F141" s="392"/>
      <c r="G141" s="392"/>
      <c r="H141" s="392"/>
      <c r="I141" s="392"/>
      <c r="J141" s="392"/>
      <c r="K141" s="392"/>
      <c r="L141" s="392"/>
      <c r="M141" s="392"/>
      <c r="N141" s="392"/>
      <c r="O141" s="392"/>
      <c r="P141" s="392"/>
      <c r="Q141" s="392"/>
      <c r="R141" s="392"/>
      <c r="S141" s="409"/>
      <c r="T141" s="409"/>
      <c r="U141" s="409"/>
      <c r="V141" s="409"/>
      <c r="W141" s="392"/>
      <c r="X141" s="392"/>
      <c r="Y141" s="409"/>
      <c r="Z141" s="409"/>
      <c r="AA141" s="392"/>
      <c r="AB141" s="392"/>
      <c r="AC141" s="392"/>
      <c r="AD141" s="409"/>
      <c r="AE141" s="409"/>
      <c r="AF141" s="409"/>
      <c r="AG141" s="409"/>
      <c r="AH141" s="409"/>
      <c r="AI141" s="409"/>
      <c r="AJ141" s="409"/>
      <c r="AK141" s="409"/>
      <c r="AL141" s="409"/>
      <c r="AM141" s="409"/>
      <c r="AN141" s="409"/>
      <c r="AO141" s="409"/>
      <c r="AP141" s="409"/>
      <c r="AQ141" s="409"/>
      <c r="AR141" s="409"/>
      <c r="AS141" s="409"/>
      <c r="AT141" s="409"/>
      <c r="AU141" s="409"/>
      <c r="AV141" s="409"/>
      <c r="AW141" s="409"/>
      <c r="AX141" s="409"/>
      <c r="AY141" s="409"/>
      <c r="AZ141" s="409"/>
      <c r="BA141" s="409"/>
      <c r="BB141" s="409"/>
      <c r="BC141" s="409"/>
      <c r="BD141" s="407"/>
      <c r="BE141" s="444"/>
      <c r="BF141" s="444"/>
      <c r="BG141" s="444"/>
      <c r="BH141" s="444"/>
      <c r="BI141" s="444"/>
      <c r="BJ141" s="444"/>
      <c r="BK141" s="444"/>
      <c r="BL141" s="444"/>
      <c r="BM141" s="444"/>
      <c r="BN141" s="444"/>
      <c r="BO141" s="444"/>
      <c r="BP141" s="444"/>
      <c r="BQ141" s="444"/>
      <c r="BR141" s="444"/>
      <c r="BS141" s="444"/>
      <c r="BT141" s="444"/>
    </row>
    <row r="142" spans="1:72" s="443" customFormat="1" ht="15">
      <c r="A142" s="392"/>
      <c r="B142" s="392"/>
      <c r="C142" s="392"/>
      <c r="D142" s="392"/>
      <c r="E142" s="392"/>
      <c r="F142" s="392"/>
      <c r="G142" s="392"/>
      <c r="H142" s="392"/>
      <c r="I142" s="392"/>
      <c r="J142" s="392"/>
      <c r="K142" s="392"/>
      <c r="L142" s="392"/>
      <c r="M142" s="392"/>
      <c r="N142" s="392"/>
      <c r="O142" s="392"/>
      <c r="P142" s="392"/>
      <c r="Q142" s="392"/>
      <c r="R142" s="392"/>
      <c r="S142" s="409"/>
      <c r="T142" s="409"/>
      <c r="U142" s="409"/>
      <c r="V142" s="409"/>
      <c r="W142" s="392"/>
      <c r="X142" s="392"/>
      <c r="Y142" s="409"/>
      <c r="Z142" s="409"/>
      <c r="AA142" s="392"/>
      <c r="AB142" s="392"/>
      <c r="AC142" s="392"/>
      <c r="AD142" s="409"/>
      <c r="AE142" s="409"/>
      <c r="AF142" s="409"/>
      <c r="AG142" s="409"/>
      <c r="AH142" s="409"/>
      <c r="AI142" s="409"/>
      <c r="AJ142" s="409"/>
      <c r="AK142" s="409"/>
      <c r="AL142" s="409"/>
      <c r="AM142" s="409"/>
      <c r="AN142" s="409"/>
      <c r="AO142" s="409"/>
      <c r="AP142" s="409"/>
      <c r="AQ142" s="409"/>
      <c r="AR142" s="409"/>
      <c r="AS142" s="409"/>
      <c r="AT142" s="409"/>
      <c r="AU142" s="409"/>
      <c r="AV142" s="409"/>
      <c r="AW142" s="409"/>
      <c r="AX142" s="409"/>
      <c r="AY142" s="409"/>
      <c r="AZ142" s="409"/>
      <c r="BA142" s="409"/>
      <c r="BB142" s="409"/>
      <c r="BC142" s="409"/>
      <c r="BD142" s="407"/>
      <c r="BE142" s="444"/>
      <c r="BF142" s="444"/>
      <c r="BG142" s="444"/>
      <c r="BH142" s="444"/>
      <c r="BI142" s="444"/>
      <c r="BJ142" s="444"/>
      <c r="BK142" s="444"/>
      <c r="BL142" s="444"/>
      <c r="BM142" s="444"/>
      <c r="BN142" s="444"/>
      <c r="BO142" s="444"/>
      <c r="BP142" s="444"/>
      <c r="BQ142" s="444"/>
      <c r="BR142" s="444"/>
      <c r="BS142" s="444"/>
      <c r="BT142" s="444"/>
    </row>
    <row r="143" spans="1:72" s="443" customFormat="1" ht="15">
      <c r="A143" s="392"/>
      <c r="B143" s="392"/>
      <c r="C143" s="392"/>
      <c r="D143" s="392"/>
      <c r="E143" s="392"/>
      <c r="F143" s="392"/>
      <c r="G143" s="392"/>
      <c r="H143" s="392"/>
      <c r="I143" s="392"/>
      <c r="J143" s="392"/>
      <c r="K143" s="392"/>
      <c r="L143" s="392"/>
      <c r="M143" s="392"/>
      <c r="N143" s="392"/>
      <c r="O143" s="392"/>
      <c r="P143" s="392"/>
      <c r="Q143" s="392"/>
      <c r="R143" s="392"/>
      <c r="S143" s="409"/>
      <c r="T143" s="409"/>
      <c r="U143" s="409"/>
      <c r="V143" s="409"/>
      <c r="W143" s="392"/>
      <c r="X143" s="392"/>
      <c r="Y143" s="409"/>
      <c r="Z143" s="409"/>
      <c r="AA143" s="392"/>
      <c r="AB143" s="392"/>
      <c r="AC143" s="392"/>
      <c r="AD143" s="409"/>
      <c r="AE143" s="409"/>
      <c r="AF143" s="409"/>
      <c r="AG143" s="409"/>
      <c r="AH143" s="409"/>
      <c r="AI143" s="409"/>
      <c r="AJ143" s="409"/>
      <c r="AK143" s="409"/>
      <c r="AL143" s="409"/>
      <c r="AM143" s="409"/>
      <c r="AN143" s="409"/>
      <c r="AO143" s="409"/>
      <c r="AP143" s="409"/>
      <c r="AQ143" s="409"/>
      <c r="AR143" s="409"/>
      <c r="AS143" s="409"/>
      <c r="AT143" s="409"/>
      <c r="AU143" s="409"/>
      <c r="AV143" s="409"/>
      <c r="AW143" s="409"/>
      <c r="AX143" s="409"/>
      <c r="AY143" s="409"/>
      <c r="AZ143" s="409"/>
      <c r="BA143" s="409"/>
      <c r="BB143" s="409"/>
      <c r="BC143" s="409"/>
      <c r="BD143" s="407"/>
      <c r="BE143" s="444"/>
      <c r="BF143" s="444"/>
      <c r="BG143" s="444"/>
      <c r="BH143" s="444"/>
      <c r="BI143" s="444"/>
      <c r="BJ143" s="444"/>
      <c r="BK143" s="444"/>
      <c r="BL143" s="444"/>
      <c r="BM143" s="444"/>
      <c r="BN143" s="444"/>
      <c r="BO143" s="444"/>
      <c r="BP143" s="444"/>
      <c r="BQ143" s="444"/>
      <c r="BR143" s="444"/>
      <c r="BS143" s="444"/>
      <c r="BT143" s="444"/>
    </row>
    <row r="144" spans="1:72" s="443" customFormat="1" ht="15">
      <c r="A144" s="392"/>
      <c r="B144" s="392"/>
      <c r="C144" s="392"/>
      <c r="D144" s="392"/>
      <c r="E144" s="392"/>
      <c r="F144" s="392"/>
      <c r="G144" s="392"/>
      <c r="H144" s="392"/>
      <c r="I144" s="392"/>
      <c r="J144" s="392"/>
      <c r="K144" s="392"/>
      <c r="L144" s="392"/>
      <c r="M144" s="392"/>
      <c r="N144" s="392"/>
      <c r="O144" s="392"/>
      <c r="P144" s="392"/>
      <c r="Q144" s="392"/>
      <c r="R144" s="392"/>
      <c r="S144" s="409"/>
      <c r="T144" s="409"/>
      <c r="U144" s="409"/>
      <c r="V144" s="409"/>
      <c r="W144" s="392"/>
      <c r="X144" s="392"/>
      <c r="Y144" s="409"/>
      <c r="Z144" s="409"/>
      <c r="AA144" s="392"/>
      <c r="AB144" s="392"/>
      <c r="AC144" s="392"/>
      <c r="AD144" s="409"/>
      <c r="AE144" s="409"/>
      <c r="AF144" s="409"/>
      <c r="AG144" s="409"/>
      <c r="AH144" s="409"/>
      <c r="AI144" s="409"/>
      <c r="AJ144" s="409"/>
      <c r="AK144" s="409"/>
      <c r="AL144" s="409"/>
      <c r="AM144" s="409"/>
      <c r="AN144" s="409"/>
      <c r="AO144" s="409"/>
      <c r="AP144" s="409"/>
      <c r="AQ144" s="409"/>
      <c r="AR144" s="409"/>
      <c r="AS144" s="409"/>
      <c r="AT144" s="409"/>
      <c r="AU144" s="409"/>
      <c r="AV144" s="409"/>
      <c r="AW144" s="409"/>
      <c r="AX144" s="409"/>
      <c r="AY144" s="409"/>
      <c r="AZ144" s="409"/>
      <c r="BA144" s="409"/>
      <c r="BB144" s="409"/>
      <c r="BC144" s="409"/>
      <c r="BD144" s="407"/>
      <c r="BE144" s="444"/>
      <c r="BF144" s="444"/>
      <c r="BG144" s="444"/>
      <c r="BH144" s="444"/>
      <c r="BI144" s="444"/>
      <c r="BJ144" s="444"/>
      <c r="BK144" s="444"/>
      <c r="BL144" s="444"/>
      <c r="BM144" s="444"/>
      <c r="BN144" s="444"/>
      <c r="BO144" s="444"/>
      <c r="BP144" s="444"/>
      <c r="BQ144" s="444"/>
      <c r="BR144" s="444"/>
      <c r="BS144" s="444"/>
      <c r="BT144" s="444"/>
    </row>
    <row r="145" spans="1:72" s="443" customFormat="1" ht="15">
      <c r="A145" s="392"/>
      <c r="B145" s="392"/>
      <c r="C145" s="392"/>
      <c r="D145" s="392"/>
      <c r="E145" s="392"/>
      <c r="F145" s="392"/>
      <c r="G145" s="392"/>
      <c r="H145" s="392"/>
      <c r="I145" s="392"/>
      <c r="J145" s="392"/>
      <c r="K145" s="392"/>
      <c r="L145" s="392"/>
      <c r="M145" s="392"/>
      <c r="N145" s="392"/>
      <c r="O145" s="392"/>
      <c r="P145" s="392"/>
      <c r="Q145" s="392"/>
      <c r="R145" s="392"/>
      <c r="S145" s="409"/>
      <c r="T145" s="409"/>
      <c r="U145" s="409"/>
      <c r="V145" s="409"/>
      <c r="W145" s="392"/>
      <c r="X145" s="392"/>
      <c r="Y145" s="409"/>
      <c r="Z145" s="409"/>
      <c r="AA145" s="392"/>
      <c r="AB145" s="392"/>
      <c r="AC145" s="392"/>
      <c r="AD145" s="409"/>
      <c r="AE145" s="409"/>
      <c r="AF145" s="409"/>
      <c r="AG145" s="409"/>
      <c r="AH145" s="409"/>
      <c r="AI145" s="409"/>
      <c r="AJ145" s="409"/>
      <c r="AK145" s="409"/>
      <c r="AL145" s="409"/>
      <c r="AM145" s="409"/>
      <c r="AN145" s="409"/>
      <c r="AO145" s="409"/>
      <c r="AP145" s="409"/>
      <c r="AQ145" s="409"/>
      <c r="AR145" s="409"/>
      <c r="AS145" s="409"/>
      <c r="AT145" s="409"/>
      <c r="AU145" s="409"/>
      <c r="AV145" s="409"/>
      <c r="AW145" s="409"/>
      <c r="AX145" s="409"/>
      <c r="AY145" s="409"/>
      <c r="AZ145" s="409"/>
      <c r="BA145" s="409"/>
      <c r="BB145" s="409"/>
      <c r="BC145" s="409"/>
      <c r="BD145" s="407"/>
      <c r="BE145" s="444"/>
      <c r="BF145" s="444"/>
      <c r="BG145" s="444"/>
      <c r="BH145" s="444"/>
      <c r="BI145" s="444"/>
      <c r="BJ145" s="444"/>
      <c r="BK145" s="444"/>
      <c r="BL145" s="444"/>
      <c r="BM145" s="444"/>
      <c r="BN145" s="444"/>
      <c r="BO145" s="444"/>
      <c r="BP145" s="444"/>
      <c r="BQ145" s="444"/>
      <c r="BR145" s="444"/>
      <c r="BS145" s="444"/>
      <c r="BT145" s="444"/>
    </row>
    <row r="146" spans="1:72" s="443" customFormat="1" ht="15">
      <c r="A146" s="392"/>
      <c r="B146" s="392"/>
      <c r="C146" s="392"/>
      <c r="D146" s="392"/>
      <c r="E146" s="392"/>
      <c r="F146" s="392"/>
      <c r="G146" s="392"/>
      <c r="H146" s="392"/>
      <c r="I146" s="392"/>
      <c r="J146" s="392"/>
      <c r="K146" s="392"/>
      <c r="L146" s="392"/>
      <c r="M146" s="392"/>
      <c r="N146" s="392"/>
      <c r="O146" s="392"/>
      <c r="P146" s="392"/>
      <c r="Q146" s="392"/>
      <c r="R146" s="392"/>
      <c r="S146" s="409"/>
      <c r="T146" s="409"/>
      <c r="U146" s="409"/>
      <c r="V146" s="409"/>
      <c r="W146" s="392"/>
      <c r="X146" s="392"/>
      <c r="Y146" s="409"/>
      <c r="Z146" s="409"/>
      <c r="AA146" s="392"/>
      <c r="AB146" s="392"/>
      <c r="AC146" s="392"/>
      <c r="AD146" s="409"/>
      <c r="AE146" s="409"/>
      <c r="AF146" s="409"/>
      <c r="AG146" s="409"/>
      <c r="AH146" s="409"/>
      <c r="AI146" s="409"/>
      <c r="AJ146" s="409"/>
      <c r="AK146" s="409"/>
      <c r="AL146" s="409"/>
      <c r="AM146" s="409"/>
      <c r="AN146" s="409"/>
      <c r="AO146" s="409"/>
      <c r="AP146" s="409"/>
      <c r="AQ146" s="409"/>
      <c r="AR146" s="409"/>
      <c r="AS146" s="409"/>
      <c r="AT146" s="409"/>
      <c r="AU146" s="409"/>
      <c r="AV146" s="409"/>
      <c r="AW146" s="409"/>
      <c r="AX146" s="409"/>
      <c r="AY146" s="409"/>
      <c r="AZ146" s="409"/>
      <c r="BA146" s="409"/>
      <c r="BB146" s="409"/>
      <c r="BC146" s="409"/>
      <c r="BD146" s="407"/>
      <c r="BE146" s="444"/>
      <c r="BF146" s="444"/>
      <c r="BG146" s="444"/>
      <c r="BH146" s="444"/>
      <c r="BI146" s="444"/>
      <c r="BJ146" s="444"/>
      <c r="BK146" s="444"/>
      <c r="BL146" s="444"/>
      <c r="BM146" s="444"/>
      <c r="BN146" s="444"/>
      <c r="BO146" s="444"/>
      <c r="BP146" s="444"/>
      <c r="BQ146" s="444"/>
      <c r="BR146" s="444"/>
      <c r="BS146" s="444"/>
      <c r="BT146" s="444"/>
    </row>
    <row r="147" spans="1:72" s="443" customFormat="1" ht="15">
      <c r="A147" s="392"/>
      <c r="B147" s="392"/>
      <c r="C147" s="392"/>
      <c r="D147" s="392"/>
      <c r="E147" s="392"/>
      <c r="F147" s="392"/>
      <c r="G147" s="392"/>
      <c r="H147" s="392"/>
      <c r="I147" s="392"/>
      <c r="J147" s="392"/>
      <c r="K147" s="392"/>
      <c r="L147" s="392"/>
      <c r="M147" s="392"/>
      <c r="N147" s="392"/>
      <c r="O147" s="392"/>
      <c r="P147" s="392"/>
      <c r="Q147" s="392"/>
      <c r="R147" s="392"/>
      <c r="S147" s="409"/>
      <c r="T147" s="409"/>
      <c r="U147" s="409"/>
      <c r="V147" s="409"/>
      <c r="W147" s="392"/>
      <c r="X147" s="392"/>
      <c r="Y147" s="409"/>
      <c r="Z147" s="409"/>
      <c r="AA147" s="392"/>
      <c r="AB147" s="392"/>
      <c r="AC147" s="392"/>
      <c r="AD147" s="409"/>
      <c r="AE147" s="409"/>
      <c r="AF147" s="409"/>
      <c r="AG147" s="409"/>
      <c r="AH147" s="409"/>
      <c r="AI147" s="409"/>
      <c r="AJ147" s="409"/>
      <c r="AK147" s="409"/>
      <c r="AL147" s="409"/>
      <c r="AM147" s="409"/>
      <c r="AN147" s="409"/>
      <c r="AO147" s="409"/>
      <c r="AP147" s="409"/>
      <c r="AQ147" s="409"/>
      <c r="AR147" s="409"/>
      <c r="AS147" s="409"/>
      <c r="AT147" s="409"/>
      <c r="AU147" s="409"/>
      <c r="AV147" s="409"/>
      <c r="AW147" s="409"/>
      <c r="AX147" s="409"/>
      <c r="AY147" s="409"/>
      <c r="AZ147" s="409"/>
      <c r="BA147" s="409"/>
      <c r="BB147" s="409"/>
      <c r="BC147" s="409"/>
      <c r="BD147" s="407"/>
      <c r="BE147" s="444"/>
      <c r="BF147" s="444"/>
      <c r="BG147" s="444"/>
      <c r="BH147" s="444"/>
      <c r="BI147" s="444"/>
      <c r="BJ147" s="444"/>
      <c r="BK147" s="444"/>
      <c r="BL147" s="444"/>
      <c r="BM147" s="444"/>
      <c r="BN147" s="444"/>
      <c r="BO147" s="444"/>
      <c r="BP147" s="444"/>
      <c r="BQ147" s="444"/>
      <c r="BR147" s="444"/>
      <c r="BS147" s="444"/>
      <c r="BT147" s="444"/>
    </row>
    <row r="148" spans="1:72" s="443" customFormat="1" ht="15">
      <c r="A148" s="392"/>
      <c r="B148" s="392"/>
      <c r="C148" s="392"/>
      <c r="D148" s="392"/>
      <c r="E148" s="392"/>
      <c r="F148" s="392"/>
      <c r="G148" s="392"/>
      <c r="H148" s="392"/>
      <c r="I148" s="392"/>
      <c r="J148" s="392"/>
      <c r="K148" s="392"/>
      <c r="L148" s="392"/>
      <c r="M148" s="392"/>
      <c r="N148" s="392"/>
      <c r="O148" s="392"/>
      <c r="P148" s="392"/>
      <c r="Q148" s="392"/>
      <c r="R148" s="392"/>
      <c r="S148" s="409"/>
      <c r="T148" s="409"/>
      <c r="U148" s="409"/>
      <c r="V148" s="409"/>
      <c r="W148" s="392"/>
      <c r="X148" s="392"/>
      <c r="Y148" s="409"/>
      <c r="Z148" s="409"/>
      <c r="AA148" s="392"/>
      <c r="AB148" s="392"/>
      <c r="AC148" s="392"/>
      <c r="AD148" s="409"/>
      <c r="AE148" s="409"/>
      <c r="AF148" s="409"/>
      <c r="AG148" s="409"/>
      <c r="AH148" s="409"/>
      <c r="AI148" s="409"/>
      <c r="AJ148" s="409"/>
      <c r="AK148" s="409"/>
      <c r="AL148" s="409"/>
      <c r="AM148" s="409"/>
      <c r="AN148" s="409"/>
      <c r="AO148" s="409"/>
      <c r="AP148" s="409"/>
      <c r="AQ148" s="409"/>
      <c r="AR148" s="409"/>
      <c r="AS148" s="409"/>
      <c r="AT148" s="409"/>
      <c r="AU148" s="409"/>
      <c r="AV148" s="409"/>
      <c r="AW148" s="409"/>
      <c r="AX148" s="409"/>
      <c r="AY148" s="409"/>
      <c r="AZ148" s="409"/>
      <c r="BA148" s="409"/>
      <c r="BB148" s="409"/>
      <c r="BC148" s="409"/>
      <c r="BD148" s="407"/>
      <c r="BE148" s="444"/>
      <c r="BF148" s="444"/>
      <c r="BG148" s="444"/>
      <c r="BH148" s="444"/>
      <c r="BI148" s="444"/>
      <c r="BJ148" s="444"/>
      <c r="BK148" s="444"/>
      <c r="BL148" s="444"/>
      <c r="BM148" s="444"/>
      <c r="BN148" s="444"/>
      <c r="BO148" s="444"/>
      <c r="BP148" s="444"/>
      <c r="BQ148" s="444"/>
      <c r="BR148" s="444"/>
      <c r="BS148" s="444"/>
      <c r="BT148" s="444"/>
    </row>
    <row r="149" spans="1:72" s="443" customFormat="1" ht="15">
      <c r="A149" s="392"/>
      <c r="B149" s="392"/>
      <c r="C149" s="392"/>
      <c r="D149" s="392"/>
      <c r="E149" s="392"/>
      <c r="F149" s="392"/>
      <c r="G149" s="392"/>
      <c r="H149" s="392"/>
      <c r="I149" s="392"/>
      <c r="J149" s="392"/>
      <c r="K149" s="392"/>
      <c r="L149" s="392"/>
      <c r="M149" s="392"/>
      <c r="N149" s="392"/>
      <c r="O149" s="392"/>
      <c r="P149" s="392"/>
      <c r="Q149" s="392"/>
      <c r="R149" s="392"/>
      <c r="S149" s="409"/>
      <c r="T149" s="409"/>
      <c r="U149" s="409"/>
      <c r="V149" s="409"/>
      <c r="W149" s="392"/>
      <c r="X149" s="392"/>
      <c r="Y149" s="409"/>
      <c r="Z149" s="409"/>
      <c r="AA149" s="392"/>
      <c r="AB149" s="392"/>
      <c r="AC149" s="392"/>
      <c r="AD149" s="409"/>
      <c r="AE149" s="409"/>
      <c r="AF149" s="409"/>
      <c r="AG149" s="409"/>
      <c r="AH149" s="409"/>
      <c r="AI149" s="409"/>
      <c r="AJ149" s="409"/>
      <c r="AK149" s="409"/>
      <c r="AL149" s="409"/>
      <c r="AM149" s="409"/>
      <c r="AN149" s="409"/>
      <c r="AO149" s="409"/>
      <c r="AP149" s="409"/>
      <c r="AQ149" s="409"/>
      <c r="AR149" s="409"/>
      <c r="AS149" s="409"/>
      <c r="AT149" s="409"/>
      <c r="AU149" s="409"/>
      <c r="AV149" s="409"/>
      <c r="AW149" s="409"/>
      <c r="AX149" s="409"/>
      <c r="AY149" s="409"/>
      <c r="AZ149" s="409"/>
      <c r="BA149" s="409"/>
      <c r="BB149" s="409"/>
      <c r="BC149" s="409"/>
      <c r="BD149" s="407"/>
      <c r="BE149" s="444"/>
      <c r="BF149" s="444"/>
      <c r="BG149" s="444"/>
      <c r="BH149" s="444"/>
      <c r="BI149" s="444"/>
      <c r="BJ149" s="444"/>
      <c r="BK149" s="444"/>
      <c r="BL149" s="444"/>
      <c r="BM149" s="444"/>
      <c r="BN149" s="444"/>
      <c r="BO149" s="444"/>
      <c r="BP149" s="444"/>
      <c r="BQ149" s="444"/>
      <c r="BR149" s="444"/>
      <c r="BS149" s="444"/>
      <c r="BT149" s="444"/>
    </row>
    <row r="150" spans="1:72" s="443" customFormat="1" ht="15">
      <c r="A150" s="392"/>
      <c r="B150" s="392"/>
      <c r="C150" s="392"/>
      <c r="D150" s="392"/>
      <c r="E150" s="392"/>
      <c r="F150" s="392"/>
      <c r="G150" s="392"/>
      <c r="H150" s="392"/>
      <c r="I150" s="392"/>
      <c r="J150" s="392"/>
      <c r="K150" s="392"/>
      <c r="L150" s="392"/>
      <c r="M150" s="392"/>
      <c r="N150" s="392"/>
      <c r="O150" s="392"/>
      <c r="P150" s="392"/>
      <c r="Q150" s="392"/>
      <c r="R150" s="392"/>
      <c r="S150" s="409"/>
      <c r="T150" s="409"/>
      <c r="U150" s="409"/>
      <c r="V150" s="409"/>
      <c r="W150" s="392"/>
      <c r="X150" s="392"/>
      <c r="Y150" s="409"/>
      <c r="Z150" s="409"/>
      <c r="AA150" s="392"/>
      <c r="AB150" s="392"/>
      <c r="AC150" s="392"/>
      <c r="AD150" s="409"/>
      <c r="AE150" s="409"/>
      <c r="AF150" s="409"/>
      <c r="AG150" s="409"/>
      <c r="AH150" s="409"/>
      <c r="AI150" s="409"/>
      <c r="AJ150" s="409"/>
      <c r="AK150" s="409"/>
      <c r="AL150" s="409"/>
      <c r="AM150" s="409"/>
      <c r="AN150" s="409"/>
      <c r="AO150" s="409"/>
      <c r="AP150" s="409"/>
      <c r="AQ150" s="409"/>
      <c r="AR150" s="409"/>
      <c r="AS150" s="409"/>
      <c r="AT150" s="409"/>
      <c r="AU150" s="409"/>
      <c r="AV150" s="409"/>
      <c r="AW150" s="409"/>
      <c r="AX150" s="409"/>
      <c r="AY150" s="409"/>
      <c r="AZ150" s="409"/>
      <c r="BA150" s="409"/>
      <c r="BB150" s="409"/>
      <c r="BC150" s="409"/>
      <c r="BD150" s="407"/>
      <c r="BE150" s="444"/>
      <c r="BF150" s="444"/>
      <c r="BG150" s="444"/>
      <c r="BH150" s="444"/>
      <c r="BI150" s="444"/>
      <c r="BJ150" s="444"/>
      <c r="BK150" s="444"/>
      <c r="BL150" s="444"/>
      <c r="BM150" s="444"/>
      <c r="BN150" s="444"/>
      <c r="BO150" s="444"/>
      <c r="BP150" s="444"/>
      <c r="BQ150" s="444"/>
      <c r="BR150" s="444"/>
      <c r="BS150" s="444"/>
      <c r="BT150" s="444"/>
    </row>
    <row r="151" spans="1:72" s="443" customFormat="1" ht="15">
      <c r="A151" s="392"/>
      <c r="B151" s="392"/>
      <c r="C151" s="392"/>
      <c r="D151" s="392"/>
      <c r="E151" s="392"/>
      <c r="F151" s="392"/>
      <c r="G151" s="392"/>
      <c r="H151" s="392"/>
      <c r="I151" s="392"/>
      <c r="J151" s="392"/>
      <c r="K151" s="392"/>
      <c r="L151" s="392"/>
      <c r="M151" s="392"/>
      <c r="N151" s="392"/>
      <c r="O151" s="392"/>
      <c r="P151" s="392"/>
      <c r="Q151" s="392"/>
      <c r="R151" s="392"/>
      <c r="S151" s="409"/>
      <c r="T151" s="409"/>
      <c r="U151" s="409"/>
      <c r="V151" s="409"/>
      <c r="W151" s="392"/>
      <c r="X151" s="392"/>
      <c r="Y151" s="409"/>
      <c r="Z151" s="409"/>
      <c r="AA151" s="392"/>
      <c r="AB151" s="392"/>
      <c r="AC151" s="392"/>
      <c r="AD151" s="409"/>
      <c r="AE151" s="409"/>
      <c r="AF151" s="409"/>
      <c r="AG151" s="409"/>
      <c r="AH151" s="409"/>
      <c r="AI151" s="409"/>
      <c r="AJ151" s="409"/>
      <c r="AK151" s="409"/>
      <c r="AL151" s="409"/>
      <c r="AM151" s="409"/>
      <c r="AN151" s="409"/>
      <c r="AO151" s="409"/>
      <c r="AP151" s="409"/>
      <c r="AQ151" s="409"/>
      <c r="AR151" s="409"/>
      <c r="AS151" s="409"/>
      <c r="AT151" s="409"/>
      <c r="AU151" s="409"/>
      <c r="AV151" s="409"/>
      <c r="AW151" s="409"/>
      <c r="AX151" s="409"/>
      <c r="AY151" s="409"/>
      <c r="AZ151" s="409"/>
      <c r="BA151" s="409"/>
      <c r="BB151" s="409"/>
      <c r="BC151" s="409"/>
      <c r="BD151" s="407"/>
      <c r="BE151" s="444"/>
      <c r="BF151" s="444"/>
      <c r="BG151" s="444"/>
      <c r="BH151" s="444"/>
      <c r="BI151" s="444"/>
      <c r="BJ151" s="444"/>
      <c r="BK151" s="444"/>
      <c r="BL151" s="444"/>
      <c r="BM151" s="444"/>
      <c r="BN151" s="444"/>
      <c r="BO151" s="444"/>
      <c r="BP151" s="444"/>
      <c r="BQ151" s="444"/>
      <c r="BR151" s="444"/>
      <c r="BS151" s="444"/>
      <c r="BT151" s="444"/>
    </row>
    <row r="152" spans="1:72" s="443" customFormat="1" ht="15">
      <c r="A152" s="392"/>
      <c r="B152" s="392"/>
      <c r="C152" s="392"/>
      <c r="D152" s="392"/>
      <c r="E152" s="392"/>
      <c r="F152" s="392"/>
      <c r="G152" s="392"/>
      <c r="H152" s="392"/>
      <c r="I152" s="392"/>
      <c r="J152" s="392"/>
      <c r="K152" s="392"/>
      <c r="L152" s="392"/>
      <c r="M152" s="392"/>
      <c r="N152" s="392"/>
      <c r="O152" s="392"/>
      <c r="P152" s="392"/>
      <c r="Q152" s="392"/>
      <c r="R152" s="392"/>
      <c r="S152" s="409"/>
      <c r="T152" s="409"/>
      <c r="U152" s="409"/>
      <c r="V152" s="409"/>
      <c r="W152" s="392"/>
      <c r="X152" s="392"/>
      <c r="Y152" s="409"/>
      <c r="Z152" s="409"/>
      <c r="AA152" s="392"/>
      <c r="AB152" s="392"/>
      <c r="AC152" s="392"/>
      <c r="AD152" s="409"/>
      <c r="AE152" s="409"/>
      <c r="AF152" s="409"/>
      <c r="AG152" s="409"/>
      <c r="AH152" s="409"/>
      <c r="AI152" s="409"/>
      <c r="AJ152" s="409"/>
      <c r="AK152" s="409"/>
      <c r="AL152" s="409"/>
      <c r="AM152" s="409"/>
      <c r="AN152" s="409"/>
      <c r="AO152" s="409"/>
      <c r="AP152" s="409"/>
      <c r="AQ152" s="409"/>
      <c r="AR152" s="409"/>
      <c r="AS152" s="409"/>
      <c r="AT152" s="409"/>
      <c r="AU152" s="409"/>
      <c r="AV152" s="409"/>
      <c r="AW152" s="409"/>
      <c r="AX152" s="409"/>
      <c r="AY152" s="409"/>
      <c r="AZ152" s="409"/>
      <c r="BA152" s="409"/>
      <c r="BB152" s="409"/>
      <c r="BC152" s="409"/>
      <c r="BD152" s="407"/>
      <c r="BE152" s="444"/>
      <c r="BF152" s="444"/>
      <c r="BG152" s="444"/>
      <c r="BH152" s="444"/>
      <c r="BI152" s="444"/>
      <c r="BJ152" s="444"/>
      <c r="BK152" s="444"/>
      <c r="BL152" s="444"/>
      <c r="BM152" s="444"/>
      <c r="BN152" s="444"/>
      <c r="BO152" s="444"/>
      <c r="BP152" s="444"/>
      <c r="BQ152" s="444"/>
      <c r="BR152" s="444"/>
      <c r="BS152" s="444"/>
      <c r="BT152" s="444"/>
    </row>
    <row r="153" spans="1:72" s="443" customFormat="1" ht="15">
      <c r="A153" s="392"/>
      <c r="B153" s="392"/>
      <c r="C153" s="392"/>
      <c r="D153" s="392"/>
      <c r="E153" s="392"/>
      <c r="F153" s="392"/>
      <c r="G153" s="392"/>
      <c r="H153" s="392"/>
      <c r="I153" s="392"/>
      <c r="J153" s="392"/>
      <c r="K153" s="392"/>
      <c r="L153" s="392"/>
      <c r="M153" s="392"/>
      <c r="N153" s="392"/>
      <c r="O153" s="392"/>
      <c r="P153" s="392"/>
      <c r="Q153" s="392"/>
      <c r="R153" s="392"/>
      <c r="S153" s="409"/>
      <c r="T153" s="409"/>
      <c r="U153" s="409"/>
      <c r="V153" s="409"/>
      <c r="W153" s="392"/>
      <c r="X153" s="392"/>
      <c r="Y153" s="409"/>
      <c r="Z153" s="409"/>
      <c r="AA153" s="392"/>
      <c r="AB153" s="392"/>
      <c r="AC153" s="392"/>
      <c r="AD153" s="409"/>
      <c r="AE153" s="409"/>
      <c r="AF153" s="409"/>
      <c r="AG153" s="409"/>
      <c r="AH153" s="409"/>
      <c r="AI153" s="409"/>
      <c r="AJ153" s="409"/>
      <c r="AK153" s="409"/>
      <c r="AL153" s="409"/>
      <c r="AM153" s="409"/>
      <c r="AN153" s="409"/>
      <c r="AO153" s="409"/>
      <c r="AP153" s="409"/>
      <c r="AQ153" s="409"/>
      <c r="AR153" s="409"/>
      <c r="AS153" s="409"/>
      <c r="AT153" s="409"/>
      <c r="AU153" s="409"/>
      <c r="AV153" s="409"/>
      <c r="AW153" s="409"/>
      <c r="AX153" s="409"/>
      <c r="AY153" s="409"/>
      <c r="AZ153" s="409"/>
      <c r="BA153" s="409"/>
      <c r="BB153" s="409"/>
      <c r="BC153" s="409"/>
      <c r="BD153" s="407"/>
      <c r="BE153" s="444"/>
      <c r="BF153" s="444"/>
      <c r="BG153" s="444"/>
      <c r="BH153" s="444"/>
      <c r="BI153" s="444"/>
      <c r="BJ153" s="444"/>
      <c r="BK153" s="444"/>
      <c r="BL153" s="444"/>
      <c r="BM153" s="444"/>
      <c r="BN153" s="444"/>
      <c r="BO153" s="444"/>
      <c r="BP153" s="444"/>
      <c r="BQ153" s="444"/>
      <c r="BR153" s="444"/>
      <c r="BS153" s="444"/>
      <c r="BT153" s="444"/>
    </row>
    <row r="154" spans="1:72" s="443" customFormat="1" ht="15">
      <c r="A154" s="392"/>
      <c r="B154" s="392"/>
      <c r="C154" s="392"/>
      <c r="D154" s="392"/>
      <c r="E154" s="392"/>
      <c r="F154" s="392"/>
      <c r="G154" s="392"/>
      <c r="H154" s="392"/>
      <c r="I154" s="392"/>
      <c r="J154" s="392"/>
      <c r="K154" s="392"/>
      <c r="L154" s="392"/>
      <c r="M154" s="392"/>
      <c r="N154" s="392"/>
      <c r="O154" s="392"/>
      <c r="P154" s="392"/>
      <c r="Q154" s="392"/>
      <c r="R154" s="392"/>
      <c r="S154" s="409"/>
      <c r="T154" s="409"/>
      <c r="U154" s="409"/>
      <c r="V154" s="409"/>
      <c r="W154" s="392"/>
      <c r="X154" s="392"/>
      <c r="Y154" s="409"/>
      <c r="Z154" s="409"/>
      <c r="AA154" s="392"/>
      <c r="AB154" s="392"/>
      <c r="AC154" s="392"/>
      <c r="AD154" s="409"/>
      <c r="AE154" s="409"/>
      <c r="AF154" s="409"/>
      <c r="AG154" s="409"/>
      <c r="AH154" s="409"/>
      <c r="AI154" s="409"/>
      <c r="AJ154" s="409"/>
      <c r="AK154" s="409"/>
      <c r="AL154" s="409"/>
      <c r="AM154" s="409"/>
      <c r="AN154" s="409"/>
      <c r="AO154" s="409"/>
      <c r="AP154" s="409"/>
      <c r="AQ154" s="409"/>
      <c r="AR154" s="409"/>
      <c r="AS154" s="409"/>
      <c r="AT154" s="409"/>
      <c r="AU154" s="409"/>
      <c r="AV154" s="409"/>
      <c r="AW154" s="409"/>
      <c r="AX154" s="409"/>
      <c r="AY154" s="409"/>
      <c r="AZ154" s="409"/>
      <c r="BA154" s="409"/>
      <c r="BB154" s="409"/>
      <c r="BC154" s="409"/>
      <c r="BD154" s="407"/>
      <c r="BE154" s="444"/>
      <c r="BF154" s="444"/>
      <c r="BG154" s="444"/>
      <c r="BH154" s="444"/>
      <c r="BI154" s="444"/>
      <c r="BJ154" s="444"/>
      <c r="BK154" s="444"/>
      <c r="BL154" s="444"/>
      <c r="BM154" s="444"/>
      <c r="BN154" s="444"/>
      <c r="BO154" s="444"/>
      <c r="BP154" s="444"/>
      <c r="BQ154" s="444"/>
      <c r="BR154" s="444"/>
      <c r="BS154" s="444"/>
      <c r="BT154" s="444"/>
    </row>
    <row r="155" spans="1:72" s="443" customFormat="1" ht="15">
      <c r="A155" s="392"/>
      <c r="B155" s="392"/>
      <c r="C155" s="392"/>
      <c r="D155" s="392"/>
      <c r="E155" s="392"/>
      <c r="F155" s="392"/>
      <c r="G155" s="392"/>
      <c r="H155" s="392"/>
      <c r="I155" s="392"/>
      <c r="J155" s="392"/>
      <c r="K155" s="392"/>
      <c r="L155" s="392"/>
      <c r="M155" s="392"/>
      <c r="N155" s="392"/>
      <c r="O155" s="392"/>
      <c r="P155" s="392"/>
      <c r="Q155" s="392"/>
      <c r="R155" s="392"/>
      <c r="S155" s="409"/>
      <c r="T155" s="409"/>
      <c r="U155" s="409"/>
      <c r="V155" s="409"/>
      <c r="W155" s="392"/>
      <c r="X155" s="392"/>
      <c r="Y155" s="409"/>
      <c r="Z155" s="409"/>
      <c r="AA155" s="392"/>
      <c r="AB155" s="392"/>
      <c r="AC155" s="392"/>
      <c r="AD155" s="409"/>
      <c r="AE155" s="409"/>
      <c r="AF155" s="409"/>
      <c r="AG155" s="409"/>
      <c r="AH155" s="409"/>
      <c r="AI155" s="409"/>
      <c r="AJ155" s="409"/>
      <c r="AK155" s="409"/>
      <c r="AL155" s="409"/>
      <c r="AM155" s="409"/>
      <c r="AN155" s="409"/>
      <c r="AO155" s="409"/>
      <c r="AP155" s="409"/>
      <c r="AQ155" s="409"/>
      <c r="AR155" s="409"/>
      <c r="AS155" s="409"/>
      <c r="AT155" s="409"/>
      <c r="AU155" s="409"/>
      <c r="AV155" s="409"/>
      <c r="AW155" s="409"/>
      <c r="AX155" s="409"/>
      <c r="AY155" s="409"/>
      <c r="AZ155" s="409"/>
      <c r="BA155" s="409"/>
      <c r="BB155" s="409"/>
      <c r="BC155" s="409"/>
      <c r="BD155" s="407"/>
      <c r="BE155" s="444"/>
      <c r="BF155" s="444"/>
      <c r="BG155" s="444"/>
      <c r="BH155" s="444"/>
      <c r="BI155" s="444"/>
      <c r="BJ155" s="444"/>
      <c r="BK155" s="444"/>
      <c r="BL155" s="444"/>
      <c r="BM155" s="444"/>
      <c r="BN155" s="444"/>
      <c r="BO155" s="444"/>
      <c r="BP155" s="444"/>
      <c r="BQ155" s="444"/>
      <c r="BR155" s="444"/>
      <c r="BS155" s="444"/>
      <c r="BT155" s="444"/>
    </row>
    <row r="156" spans="1:72" s="443" customFormat="1" ht="15">
      <c r="A156" s="392"/>
      <c r="B156" s="392"/>
      <c r="C156" s="392"/>
      <c r="D156" s="392"/>
      <c r="E156" s="392"/>
      <c r="F156" s="392"/>
      <c r="G156" s="392"/>
      <c r="H156" s="392"/>
      <c r="I156" s="392"/>
      <c r="J156" s="392"/>
      <c r="K156" s="392"/>
      <c r="L156" s="392"/>
      <c r="M156" s="392"/>
      <c r="N156" s="392"/>
      <c r="O156" s="392"/>
      <c r="P156" s="392"/>
      <c r="Q156" s="392"/>
      <c r="R156" s="392"/>
      <c r="S156" s="409"/>
      <c r="T156" s="409"/>
      <c r="U156" s="409"/>
      <c r="V156" s="409"/>
      <c r="W156" s="392"/>
      <c r="X156" s="392"/>
      <c r="Y156" s="409"/>
      <c r="Z156" s="409"/>
      <c r="AA156" s="392"/>
      <c r="AB156" s="392"/>
      <c r="AC156" s="392"/>
      <c r="AD156" s="409"/>
      <c r="AE156" s="409"/>
      <c r="AF156" s="409"/>
      <c r="AG156" s="409"/>
      <c r="AH156" s="409"/>
      <c r="AI156" s="409"/>
      <c r="AJ156" s="409"/>
      <c r="AK156" s="409"/>
      <c r="AL156" s="409"/>
      <c r="AM156" s="409"/>
      <c r="AN156" s="409"/>
      <c r="AO156" s="409"/>
      <c r="AP156" s="409"/>
      <c r="AQ156" s="409"/>
      <c r="AR156" s="409"/>
      <c r="AS156" s="409"/>
      <c r="AT156" s="409"/>
      <c r="AU156" s="409"/>
      <c r="AV156" s="409"/>
      <c r="AW156" s="409"/>
      <c r="AX156" s="409"/>
      <c r="AY156" s="409"/>
      <c r="AZ156" s="409"/>
      <c r="BA156" s="409"/>
      <c r="BB156" s="409"/>
      <c r="BC156" s="409"/>
      <c r="BD156" s="407"/>
      <c r="BE156" s="444"/>
      <c r="BF156" s="444"/>
      <c r="BG156" s="444"/>
      <c r="BH156" s="444"/>
      <c r="BI156" s="444"/>
      <c r="BJ156" s="444"/>
      <c r="BK156" s="444"/>
      <c r="BL156" s="444"/>
      <c r="BM156" s="444"/>
      <c r="BN156" s="444"/>
      <c r="BO156" s="444"/>
      <c r="BP156" s="444"/>
      <c r="BQ156" s="444"/>
      <c r="BR156" s="444"/>
      <c r="BS156" s="444"/>
      <c r="BT156" s="444"/>
    </row>
    <row r="157" spans="1:72" s="443" customFormat="1" ht="15">
      <c r="A157" s="392"/>
      <c r="B157" s="392"/>
      <c r="C157" s="392"/>
      <c r="D157" s="392"/>
      <c r="E157" s="392"/>
      <c r="F157" s="392"/>
      <c r="G157" s="392"/>
      <c r="H157" s="392"/>
      <c r="I157" s="392"/>
      <c r="J157" s="392"/>
      <c r="K157" s="392"/>
      <c r="L157" s="392"/>
      <c r="M157" s="392"/>
      <c r="N157" s="392"/>
      <c r="O157" s="392"/>
      <c r="P157" s="392"/>
      <c r="Q157" s="392"/>
      <c r="R157" s="392"/>
      <c r="S157" s="409"/>
      <c r="T157" s="409"/>
      <c r="U157" s="409"/>
      <c r="V157" s="409"/>
      <c r="W157" s="392"/>
      <c r="X157" s="392"/>
      <c r="Y157" s="409"/>
      <c r="Z157" s="409"/>
      <c r="AA157" s="392"/>
      <c r="AB157" s="392"/>
      <c r="AC157" s="392"/>
      <c r="AD157" s="409"/>
      <c r="AE157" s="409"/>
      <c r="AF157" s="409"/>
      <c r="AG157" s="409"/>
      <c r="AH157" s="409"/>
      <c r="AI157" s="409"/>
      <c r="AJ157" s="409"/>
      <c r="AK157" s="409"/>
      <c r="AL157" s="409"/>
      <c r="AM157" s="409"/>
      <c r="AN157" s="409"/>
      <c r="AO157" s="409"/>
      <c r="AP157" s="409"/>
      <c r="AQ157" s="409"/>
      <c r="AR157" s="409"/>
      <c r="AS157" s="409"/>
      <c r="AT157" s="409"/>
      <c r="AU157" s="409"/>
      <c r="AV157" s="409"/>
      <c r="AW157" s="409"/>
      <c r="AX157" s="409"/>
      <c r="AY157" s="409"/>
      <c r="AZ157" s="409"/>
      <c r="BA157" s="409"/>
      <c r="BB157" s="409"/>
      <c r="BC157" s="409"/>
      <c r="BD157" s="407"/>
      <c r="BE157" s="444"/>
      <c r="BF157" s="444"/>
      <c r="BG157" s="444"/>
      <c r="BH157" s="444"/>
      <c r="BI157" s="444"/>
      <c r="BJ157" s="444"/>
      <c r="BK157" s="444"/>
      <c r="BL157" s="444"/>
      <c r="BM157" s="444"/>
      <c r="BN157" s="444"/>
      <c r="BO157" s="444"/>
      <c r="BP157" s="444"/>
      <c r="BQ157" s="444"/>
      <c r="BR157" s="444"/>
      <c r="BS157" s="444"/>
      <c r="BT157" s="444"/>
    </row>
    <row r="158" spans="1:72" s="443" customFormat="1" ht="15">
      <c r="A158" s="392"/>
      <c r="B158" s="392"/>
      <c r="C158" s="392"/>
      <c r="D158" s="392"/>
      <c r="E158" s="392"/>
      <c r="F158" s="392"/>
      <c r="G158" s="392"/>
      <c r="H158" s="392"/>
      <c r="I158" s="392"/>
      <c r="J158" s="392"/>
      <c r="K158" s="392"/>
      <c r="L158" s="392"/>
      <c r="M158" s="392"/>
      <c r="N158" s="392"/>
      <c r="O158" s="392"/>
      <c r="P158" s="392"/>
      <c r="Q158" s="392"/>
      <c r="R158" s="392"/>
      <c r="S158" s="409"/>
      <c r="T158" s="409"/>
      <c r="U158" s="409"/>
      <c r="V158" s="409"/>
      <c r="W158" s="392"/>
      <c r="X158" s="392"/>
      <c r="Y158" s="409"/>
      <c r="Z158" s="409"/>
      <c r="AA158" s="392"/>
      <c r="AB158" s="392"/>
      <c r="AC158" s="392"/>
      <c r="AD158" s="409"/>
      <c r="AE158" s="409"/>
      <c r="AF158" s="409"/>
      <c r="AG158" s="409"/>
      <c r="AH158" s="409"/>
      <c r="AI158" s="409"/>
      <c r="AJ158" s="409"/>
      <c r="AK158" s="409"/>
      <c r="AL158" s="409"/>
      <c r="AM158" s="409"/>
      <c r="AN158" s="409"/>
      <c r="AO158" s="409"/>
      <c r="AP158" s="409"/>
      <c r="AQ158" s="409"/>
      <c r="AR158" s="409"/>
      <c r="AS158" s="409"/>
      <c r="AT158" s="409"/>
      <c r="AU158" s="409"/>
      <c r="AV158" s="409"/>
      <c r="AW158" s="409"/>
      <c r="AX158" s="409"/>
      <c r="AY158" s="409"/>
      <c r="AZ158" s="409"/>
      <c r="BA158" s="409"/>
      <c r="BB158" s="409"/>
      <c r="BC158" s="409"/>
      <c r="BD158" s="407"/>
      <c r="BE158" s="444"/>
      <c r="BF158" s="444"/>
      <c r="BG158" s="444"/>
      <c r="BH158" s="444"/>
      <c r="BI158" s="444"/>
      <c r="BJ158" s="444"/>
      <c r="BK158" s="444"/>
      <c r="BL158" s="444"/>
      <c r="BM158" s="444"/>
      <c r="BN158" s="444"/>
      <c r="BO158" s="444"/>
      <c r="BP158" s="444"/>
      <c r="BQ158" s="444"/>
      <c r="BR158" s="444"/>
      <c r="BS158" s="444"/>
      <c r="BT158" s="444"/>
    </row>
    <row r="159" spans="1:72" s="443" customFormat="1" ht="15">
      <c r="A159" s="392"/>
      <c r="B159" s="392"/>
      <c r="C159" s="392"/>
      <c r="D159" s="392"/>
      <c r="E159" s="392"/>
      <c r="F159" s="392"/>
      <c r="G159" s="392"/>
      <c r="H159" s="392"/>
      <c r="I159" s="392"/>
      <c r="J159" s="392"/>
      <c r="K159" s="392"/>
      <c r="L159" s="392"/>
      <c r="M159" s="392"/>
      <c r="N159" s="392"/>
      <c r="O159" s="392"/>
      <c r="P159" s="392"/>
      <c r="Q159" s="392"/>
      <c r="R159" s="392"/>
      <c r="S159" s="409"/>
      <c r="T159" s="409"/>
      <c r="U159" s="409"/>
      <c r="V159" s="409"/>
      <c r="W159" s="392"/>
      <c r="X159" s="392"/>
      <c r="Y159" s="409"/>
      <c r="Z159" s="409"/>
      <c r="AA159" s="392"/>
      <c r="AB159" s="392"/>
      <c r="AC159" s="392"/>
      <c r="AD159" s="409"/>
      <c r="AE159" s="409"/>
      <c r="AF159" s="409"/>
      <c r="AG159" s="409"/>
      <c r="AH159" s="409"/>
      <c r="AI159" s="409"/>
      <c r="AJ159" s="409"/>
      <c r="AK159" s="409"/>
      <c r="AL159" s="409"/>
      <c r="AM159" s="409"/>
      <c r="AN159" s="409"/>
      <c r="AO159" s="409"/>
      <c r="AP159" s="409"/>
      <c r="AQ159" s="409"/>
      <c r="AR159" s="409"/>
      <c r="AS159" s="409"/>
      <c r="AT159" s="409"/>
      <c r="AU159" s="409"/>
      <c r="AV159" s="409"/>
      <c r="AW159" s="409"/>
      <c r="AX159" s="409"/>
      <c r="AY159" s="409"/>
      <c r="AZ159" s="409"/>
      <c r="BA159" s="409"/>
      <c r="BB159" s="409"/>
      <c r="BC159" s="409"/>
      <c r="BD159" s="407"/>
      <c r="BE159" s="444"/>
      <c r="BF159" s="444"/>
      <c r="BG159" s="444"/>
      <c r="BH159" s="444"/>
      <c r="BI159" s="444"/>
      <c r="BJ159" s="444"/>
      <c r="BK159" s="444"/>
      <c r="BL159" s="444"/>
      <c r="BM159" s="444"/>
      <c r="BN159" s="444"/>
      <c r="BO159" s="444"/>
      <c r="BP159" s="444"/>
      <c r="BQ159" s="444"/>
      <c r="BR159" s="444"/>
      <c r="BS159" s="444"/>
      <c r="BT159" s="444"/>
    </row>
    <row r="160" spans="1:72" s="443" customFormat="1" ht="15">
      <c r="A160" s="392"/>
      <c r="B160" s="392"/>
      <c r="C160" s="392"/>
      <c r="D160" s="392"/>
      <c r="E160" s="392"/>
      <c r="F160" s="392"/>
      <c r="G160" s="392"/>
      <c r="H160" s="392"/>
      <c r="I160" s="392"/>
      <c r="J160" s="392"/>
      <c r="K160" s="392"/>
      <c r="L160" s="392"/>
      <c r="M160" s="392"/>
      <c r="N160" s="392"/>
      <c r="O160" s="392"/>
      <c r="P160" s="392"/>
      <c r="Q160" s="392"/>
      <c r="R160" s="392"/>
      <c r="S160" s="409"/>
      <c r="T160" s="409"/>
      <c r="U160" s="409"/>
      <c r="V160" s="409"/>
      <c r="W160" s="392"/>
      <c r="X160" s="392"/>
      <c r="Y160" s="409"/>
      <c r="Z160" s="409"/>
      <c r="AA160" s="392"/>
      <c r="AB160" s="392"/>
      <c r="AC160" s="392"/>
      <c r="AD160" s="409"/>
      <c r="AE160" s="409"/>
      <c r="AF160" s="409"/>
      <c r="AG160" s="409"/>
      <c r="AH160" s="409"/>
      <c r="AI160" s="409"/>
      <c r="AJ160" s="409"/>
      <c r="AK160" s="409"/>
      <c r="AL160" s="409"/>
      <c r="AM160" s="409"/>
      <c r="AN160" s="409"/>
      <c r="AO160" s="409"/>
      <c r="AP160" s="409"/>
      <c r="AQ160" s="409"/>
      <c r="AR160" s="409"/>
      <c r="AS160" s="409"/>
      <c r="AT160" s="409"/>
      <c r="AU160" s="409"/>
      <c r="AV160" s="409"/>
      <c r="AW160" s="409"/>
      <c r="AX160" s="409"/>
      <c r="AY160" s="409"/>
      <c r="AZ160" s="409"/>
      <c r="BA160" s="409"/>
      <c r="BB160" s="409"/>
      <c r="BC160" s="409"/>
      <c r="BD160" s="407"/>
      <c r="BE160" s="444"/>
      <c r="BF160" s="444"/>
      <c r="BG160" s="444"/>
      <c r="BH160" s="444"/>
      <c r="BI160" s="444"/>
      <c r="BJ160" s="444"/>
      <c r="BK160" s="444"/>
      <c r="BL160" s="444"/>
      <c r="BM160" s="444"/>
      <c r="BN160" s="444"/>
      <c r="BO160" s="444"/>
      <c r="BP160" s="444"/>
      <c r="BQ160" s="444"/>
      <c r="BR160" s="444"/>
      <c r="BS160" s="444"/>
      <c r="BT160" s="444"/>
    </row>
    <row r="161" spans="1:72" s="443" customFormat="1" ht="15">
      <c r="A161" s="392"/>
      <c r="B161" s="392"/>
      <c r="C161" s="392"/>
      <c r="D161" s="392"/>
      <c r="E161" s="392"/>
      <c r="F161" s="392"/>
      <c r="G161" s="392"/>
      <c r="H161" s="392"/>
      <c r="I161" s="392"/>
      <c r="J161" s="392"/>
      <c r="K161" s="392"/>
      <c r="L161" s="392"/>
      <c r="M161" s="392"/>
      <c r="N161" s="392"/>
      <c r="O161" s="392"/>
      <c r="P161" s="392"/>
      <c r="Q161" s="392"/>
      <c r="R161" s="392"/>
      <c r="S161" s="409"/>
      <c r="T161" s="409"/>
      <c r="U161" s="409"/>
      <c r="V161" s="409"/>
      <c r="W161" s="392"/>
      <c r="X161" s="392"/>
      <c r="Y161" s="409"/>
      <c r="Z161" s="409"/>
      <c r="AA161" s="392"/>
      <c r="AB161" s="392"/>
      <c r="AC161" s="392"/>
      <c r="AD161" s="409"/>
      <c r="AE161" s="409"/>
      <c r="AF161" s="409"/>
      <c r="AG161" s="409"/>
      <c r="AH161" s="409"/>
      <c r="AI161" s="409"/>
      <c r="AJ161" s="409"/>
      <c r="AK161" s="409"/>
      <c r="AL161" s="409"/>
      <c r="AM161" s="409"/>
      <c r="AN161" s="409"/>
      <c r="AO161" s="409"/>
      <c r="AP161" s="409"/>
      <c r="AQ161" s="409"/>
      <c r="AR161" s="409"/>
      <c r="AS161" s="409"/>
      <c r="AT161" s="409"/>
      <c r="AU161" s="409"/>
      <c r="AV161" s="409"/>
      <c r="AW161" s="409"/>
      <c r="AX161" s="409"/>
      <c r="AY161" s="409"/>
      <c r="AZ161" s="409"/>
      <c r="BA161" s="409"/>
      <c r="BB161" s="409"/>
      <c r="BC161" s="409"/>
      <c r="BD161" s="407"/>
      <c r="BE161" s="444"/>
      <c r="BF161" s="444"/>
      <c r="BG161" s="444"/>
      <c r="BH161" s="444"/>
      <c r="BI161" s="444"/>
      <c r="BJ161" s="444"/>
      <c r="BK161" s="444"/>
      <c r="BL161" s="444"/>
      <c r="BM161" s="444"/>
      <c r="BN161" s="444"/>
      <c r="BO161" s="444"/>
      <c r="BP161" s="444"/>
      <c r="BQ161" s="444"/>
      <c r="BR161" s="444"/>
      <c r="BS161" s="444"/>
      <c r="BT161" s="444"/>
    </row>
    <row r="162" spans="1:72" s="443" customFormat="1" ht="15">
      <c r="A162" s="392"/>
      <c r="B162" s="392"/>
      <c r="C162" s="392"/>
      <c r="D162" s="392"/>
      <c r="E162" s="392"/>
      <c r="F162" s="392"/>
      <c r="G162" s="392"/>
      <c r="H162" s="392"/>
      <c r="I162" s="392"/>
      <c r="J162" s="392"/>
      <c r="K162" s="392"/>
      <c r="L162" s="392"/>
      <c r="M162" s="392"/>
      <c r="N162" s="392"/>
      <c r="O162" s="392"/>
      <c r="P162" s="392"/>
      <c r="Q162" s="392"/>
      <c r="R162" s="392"/>
      <c r="S162" s="409"/>
      <c r="T162" s="409"/>
      <c r="U162" s="409"/>
      <c r="V162" s="409"/>
      <c r="W162" s="392"/>
      <c r="X162" s="392"/>
      <c r="Y162" s="409"/>
      <c r="Z162" s="409"/>
      <c r="AA162" s="392"/>
      <c r="AB162" s="392"/>
      <c r="AC162" s="392"/>
      <c r="AD162" s="409"/>
      <c r="AE162" s="409"/>
      <c r="AF162" s="409"/>
      <c r="AG162" s="409"/>
      <c r="AH162" s="409"/>
      <c r="AI162" s="409"/>
      <c r="AJ162" s="409"/>
      <c r="AK162" s="409"/>
      <c r="AL162" s="409"/>
      <c r="AM162" s="409"/>
      <c r="AN162" s="409"/>
      <c r="AO162" s="409"/>
      <c r="AP162" s="409"/>
      <c r="AQ162" s="409"/>
      <c r="AR162" s="409"/>
      <c r="AS162" s="409"/>
      <c r="AT162" s="409"/>
      <c r="AU162" s="409"/>
      <c r="AV162" s="409"/>
      <c r="AW162" s="409"/>
      <c r="AX162" s="409"/>
      <c r="AY162" s="409"/>
      <c r="AZ162" s="409"/>
      <c r="BA162" s="409"/>
      <c r="BB162" s="409"/>
      <c r="BC162" s="409"/>
      <c r="BD162" s="407"/>
      <c r="BE162" s="444"/>
      <c r="BF162" s="444"/>
      <c r="BG162" s="444"/>
      <c r="BH162" s="444"/>
      <c r="BI162" s="444"/>
      <c r="BJ162" s="444"/>
      <c r="BK162" s="444"/>
      <c r="BL162" s="444"/>
      <c r="BM162" s="444"/>
      <c r="BN162" s="444"/>
      <c r="BO162" s="444"/>
      <c r="BP162" s="444"/>
      <c r="BQ162" s="444"/>
      <c r="BR162" s="444"/>
      <c r="BS162" s="444"/>
      <c r="BT162" s="444"/>
    </row>
    <row r="163" spans="1:72" s="443" customFormat="1" ht="15">
      <c r="A163" s="392"/>
      <c r="B163" s="392"/>
      <c r="C163" s="392"/>
      <c r="D163" s="392"/>
      <c r="E163" s="392"/>
      <c r="F163" s="392"/>
      <c r="G163" s="392"/>
      <c r="H163" s="392"/>
      <c r="I163" s="392"/>
      <c r="J163" s="392"/>
      <c r="K163" s="392"/>
      <c r="L163" s="392"/>
      <c r="M163" s="392"/>
      <c r="N163" s="392"/>
      <c r="O163" s="392"/>
      <c r="P163" s="392"/>
      <c r="Q163" s="392"/>
      <c r="R163" s="392"/>
      <c r="S163" s="409"/>
      <c r="T163" s="409"/>
      <c r="U163" s="409"/>
      <c r="V163" s="409"/>
      <c r="W163" s="392"/>
      <c r="X163" s="392"/>
      <c r="Y163" s="409"/>
      <c r="Z163" s="409"/>
      <c r="AA163" s="392"/>
      <c r="AB163" s="392"/>
      <c r="AC163" s="392"/>
      <c r="AD163" s="409"/>
      <c r="AE163" s="409"/>
      <c r="AF163" s="409"/>
      <c r="AG163" s="409"/>
      <c r="AH163" s="409"/>
      <c r="AI163" s="409"/>
      <c r="AJ163" s="409"/>
      <c r="AK163" s="409"/>
      <c r="AL163" s="409"/>
      <c r="AM163" s="409"/>
      <c r="AN163" s="409"/>
      <c r="AO163" s="409"/>
      <c r="AP163" s="409"/>
      <c r="AQ163" s="409"/>
      <c r="AR163" s="409"/>
      <c r="AS163" s="409"/>
      <c r="AT163" s="409"/>
      <c r="AU163" s="409"/>
      <c r="AV163" s="409"/>
      <c r="AW163" s="409"/>
      <c r="AX163" s="409"/>
      <c r="AY163" s="409"/>
      <c r="AZ163" s="409"/>
      <c r="BA163" s="409"/>
      <c r="BB163" s="409"/>
      <c r="BC163" s="409"/>
      <c r="BD163" s="407"/>
      <c r="BE163" s="444"/>
      <c r="BF163" s="444"/>
      <c r="BG163" s="444"/>
      <c r="BH163" s="444"/>
      <c r="BI163" s="444"/>
      <c r="BJ163" s="444"/>
      <c r="BK163" s="444"/>
      <c r="BL163" s="444"/>
      <c r="BM163" s="444"/>
      <c r="BN163" s="444"/>
      <c r="BO163" s="444"/>
      <c r="BP163" s="444"/>
      <c r="BQ163" s="444"/>
      <c r="BR163" s="444"/>
      <c r="BS163" s="444"/>
      <c r="BT163" s="444"/>
    </row>
    <row r="164" spans="1:72" s="443" customFormat="1" ht="15">
      <c r="A164" s="392"/>
      <c r="B164" s="392"/>
      <c r="C164" s="392"/>
      <c r="D164" s="392"/>
      <c r="E164" s="392"/>
      <c r="F164" s="392"/>
      <c r="G164" s="392"/>
      <c r="H164" s="392"/>
      <c r="I164" s="392"/>
      <c r="J164" s="392"/>
      <c r="K164" s="392"/>
      <c r="L164" s="392"/>
      <c r="M164" s="392"/>
      <c r="N164" s="392"/>
      <c r="O164" s="392"/>
      <c r="P164" s="392"/>
      <c r="Q164" s="392"/>
      <c r="R164" s="392"/>
      <c r="S164" s="409"/>
      <c r="T164" s="409"/>
      <c r="U164" s="409"/>
      <c r="V164" s="409"/>
      <c r="W164" s="392"/>
      <c r="X164" s="392"/>
      <c r="Y164" s="409"/>
      <c r="Z164" s="409"/>
      <c r="AA164" s="392"/>
      <c r="AB164" s="392"/>
      <c r="AC164" s="392"/>
      <c r="AD164" s="409"/>
      <c r="AE164" s="409"/>
      <c r="AF164" s="409"/>
      <c r="AG164" s="409"/>
      <c r="AH164" s="409"/>
      <c r="AI164" s="409"/>
      <c r="AJ164" s="409"/>
      <c r="AK164" s="409"/>
      <c r="AL164" s="409"/>
      <c r="AM164" s="409"/>
      <c r="AN164" s="409"/>
      <c r="AO164" s="409"/>
      <c r="AP164" s="409"/>
      <c r="AQ164" s="409"/>
      <c r="AR164" s="409"/>
      <c r="AS164" s="409"/>
      <c r="AT164" s="409"/>
      <c r="AU164" s="409"/>
      <c r="AV164" s="409"/>
      <c r="AW164" s="409"/>
      <c r="AX164" s="409"/>
      <c r="AY164" s="409"/>
      <c r="AZ164" s="409"/>
      <c r="BA164" s="409"/>
      <c r="BB164" s="409"/>
      <c r="BC164" s="409"/>
      <c r="BD164" s="407"/>
      <c r="BE164" s="444"/>
      <c r="BF164" s="444"/>
      <c r="BG164" s="444"/>
      <c r="BH164" s="444"/>
      <c r="BI164" s="444"/>
      <c r="BJ164" s="444"/>
      <c r="BK164" s="444"/>
      <c r="BL164" s="444"/>
      <c r="BM164" s="444"/>
      <c r="BN164" s="444"/>
      <c r="BO164" s="444"/>
      <c r="BP164" s="444"/>
      <c r="BQ164" s="444"/>
      <c r="BR164" s="444"/>
      <c r="BS164" s="444"/>
      <c r="BT164" s="444"/>
    </row>
    <row r="165" spans="1:72" s="443" customFormat="1" ht="15">
      <c r="A165" s="392"/>
      <c r="B165" s="392"/>
      <c r="C165" s="392"/>
      <c r="D165" s="392"/>
      <c r="E165" s="392"/>
      <c r="F165" s="392"/>
      <c r="G165" s="392"/>
      <c r="H165" s="392"/>
      <c r="I165" s="392"/>
      <c r="J165" s="392"/>
      <c r="K165" s="392"/>
      <c r="L165" s="392"/>
      <c r="M165" s="392"/>
      <c r="N165" s="392"/>
      <c r="O165" s="392"/>
      <c r="P165" s="392"/>
      <c r="Q165" s="392"/>
      <c r="R165" s="392"/>
      <c r="S165" s="409"/>
      <c r="T165" s="409"/>
      <c r="U165" s="409"/>
      <c r="V165" s="409"/>
      <c r="W165" s="392"/>
      <c r="X165" s="392"/>
      <c r="Y165" s="409"/>
      <c r="Z165" s="409"/>
      <c r="AA165" s="392"/>
      <c r="AB165" s="392"/>
      <c r="AC165" s="392"/>
      <c r="AD165" s="409"/>
      <c r="AE165" s="409"/>
      <c r="AF165" s="409"/>
      <c r="AG165" s="409"/>
      <c r="AH165" s="409"/>
      <c r="AI165" s="409"/>
      <c r="AJ165" s="409"/>
      <c r="AK165" s="409"/>
      <c r="AL165" s="409"/>
      <c r="AM165" s="409"/>
      <c r="AN165" s="409"/>
      <c r="AO165" s="409"/>
      <c r="AP165" s="409"/>
      <c r="AQ165" s="409"/>
      <c r="AR165" s="409"/>
      <c r="AS165" s="409"/>
      <c r="AT165" s="409"/>
      <c r="AU165" s="409"/>
      <c r="AV165" s="409"/>
      <c r="AW165" s="409"/>
      <c r="AX165" s="409"/>
      <c r="AY165" s="409"/>
      <c r="AZ165" s="409"/>
      <c r="BA165" s="409"/>
      <c r="BB165" s="409"/>
      <c r="BC165" s="409"/>
      <c r="BD165" s="407"/>
      <c r="BE165" s="444"/>
      <c r="BF165" s="444"/>
      <c r="BG165" s="444"/>
      <c r="BH165" s="444"/>
      <c r="BI165" s="444"/>
      <c r="BJ165" s="444"/>
      <c r="BK165" s="444"/>
      <c r="BL165" s="444"/>
      <c r="BM165" s="444"/>
      <c r="BN165" s="444"/>
      <c r="BO165" s="444"/>
      <c r="BP165" s="444"/>
      <c r="BQ165" s="444"/>
      <c r="BR165" s="444"/>
      <c r="BS165" s="444"/>
      <c r="BT165" s="444"/>
    </row>
    <row r="166" spans="1:72" s="443" customFormat="1" ht="15">
      <c r="A166" s="392"/>
      <c r="B166" s="392"/>
      <c r="C166" s="392"/>
      <c r="D166" s="392"/>
      <c r="E166" s="392"/>
      <c r="F166" s="392"/>
      <c r="G166" s="392"/>
      <c r="H166" s="392"/>
      <c r="I166" s="392"/>
      <c r="J166" s="392"/>
      <c r="K166" s="392"/>
      <c r="L166" s="392"/>
      <c r="M166" s="392"/>
      <c r="N166" s="392"/>
      <c r="O166" s="392"/>
      <c r="P166" s="392"/>
      <c r="Q166" s="392"/>
      <c r="R166" s="392"/>
      <c r="S166" s="409"/>
      <c r="T166" s="409"/>
      <c r="U166" s="409"/>
      <c r="V166" s="409"/>
      <c r="W166" s="392"/>
      <c r="X166" s="392"/>
      <c r="Y166" s="409"/>
      <c r="Z166" s="409"/>
      <c r="AA166" s="392"/>
      <c r="AB166" s="392"/>
      <c r="AC166" s="392"/>
      <c r="AD166" s="409"/>
      <c r="AE166" s="409"/>
      <c r="AF166" s="409"/>
      <c r="AG166" s="409"/>
      <c r="AH166" s="409"/>
      <c r="AI166" s="409"/>
      <c r="AJ166" s="409"/>
      <c r="AK166" s="409"/>
      <c r="AL166" s="409"/>
      <c r="AM166" s="409"/>
      <c r="AN166" s="409"/>
      <c r="AO166" s="409"/>
      <c r="AP166" s="409"/>
      <c r="AQ166" s="409"/>
      <c r="AR166" s="409"/>
      <c r="AS166" s="409"/>
      <c r="AT166" s="409"/>
      <c r="AU166" s="409"/>
      <c r="AV166" s="409"/>
      <c r="AW166" s="409"/>
      <c r="AX166" s="409"/>
      <c r="AY166" s="409"/>
      <c r="AZ166" s="409"/>
      <c r="BA166" s="409"/>
      <c r="BB166" s="409"/>
      <c r="BC166" s="409"/>
      <c r="BD166" s="407"/>
      <c r="BE166" s="444"/>
      <c r="BF166" s="444"/>
      <c r="BG166" s="444"/>
      <c r="BH166" s="444"/>
      <c r="BI166" s="444"/>
      <c r="BJ166" s="444"/>
      <c r="BK166" s="444"/>
      <c r="BL166" s="444"/>
      <c r="BM166" s="444"/>
      <c r="BN166" s="444"/>
      <c r="BO166" s="444"/>
      <c r="BP166" s="444"/>
      <c r="BQ166" s="444"/>
      <c r="BR166" s="444"/>
      <c r="BS166" s="444"/>
      <c r="BT166" s="444"/>
    </row>
    <row r="167" spans="1:72" s="443" customFormat="1" ht="15">
      <c r="A167" s="392"/>
      <c r="B167" s="392"/>
      <c r="C167" s="392"/>
      <c r="D167" s="392"/>
      <c r="E167" s="392"/>
      <c r="F167" s="392"/>
      <c r="G167" s="392"/>
      <c r="H167" s="392"/>
      <c r="I167" s="392"/>
      <c r="J167" s="392"/>
      <c r="K167" s="392"/>
      <c r="L167" s="392"/>
      <c r="M167" s="392"/>
      <c r="N167" s="392"/>
      <c r="O167" s="392"/>
      <c r="P167" s="392"/>
      <c r="Q167" s="392"/>
      <c r="R167" s="392"/>
      <c r="S167" s="409"/>
      <c r="T167" s="409"/>
      <c r="U167" s="409"/>
      <c r="V167" s="409"/>
      <c r="W167" s="392"/>
      <c r="X167" s="392"/>
      <c r="Y167" s="409"/>
      <c r="Z167" s="409"/>
      <c r="AA167" s="392"/>
      <c r="AB167" s="392"/>
      <c r="AC167" s="392"/>
      <c r="AD167" s="409"/>
      <c r="AE167" s="409"/>
      <c r="AF167" s="409"/>
      <c r="AG167" s="409"/>
      <c r="AH167" s="409"/>
      <c r="AI167" s="409"/>
      <c r="AJ167" s="409"/>
      <c r="AK167" s="409"/>
      <c r="AL167" s="409"/>
      <c r="AM167" s="409"/>
      <c r="AN167" s="409"/>
      <c r="AO167" s="409"/>
      <c r="AP167" s="409"/>
      <c r="AQ167" s="409"/>
      <c r="AR167" s="409"/>
      <c r="AS167" s="409"/>
      <c r="AT167" s="409"/>
      <c r="AU167" s="409"/>
      <c r="AV167" s="409"/>
      <c r="AW167" s="409"/>
      <c r="AX167" s="409"/>
      <c r="AY167" s="409"/>
      <c r="AZ167" s="409"/>
      <c r="BA167" s="409"/>
      <c r="BB167" s="409"/>
      <c r="BC167" s="409"/>
      <c r="BD167" s="407"/>
      <c r="BE167" s="444"/>
      <c r="BF167" s="444"/>
      <c r="BG167" s="444"/>
      <c r="BH167" s="444"/>
      <c r="BI167" s="444"/>
      <c r="BJ167" s="444"/>
      <c r="BK167" s="444"/>
      <c r="BL167" s="444"/>
      <c r="BM167" s="444"/>
      <c r="BN167" s="444"/>
      <c r="BO167" s="444"/>
      <c r="BP167" s="444"/>
      <c r="BQ167" s="444"/>
      <c r="BR167" s="444"/>
      <c r="BS167" s="444"/>
      <c r="BT167" s="444"/>
    </row>
    <row r="168" spans="1:72" s="443" customFormat="1" ht="15">
      <c r="A168" s="392"/>
      <c r="B168" s="392"/>
      <c r="C168" s="392"/>
      <c r="D168" s="392"/>
      <c r="E168" s="392"/>
      <c r="F168" s="392"/>
      <c r="G168" s="392"/>
      <c r="H168" s="392"/>
      <c r="I168" s="392"/>
      <c r="J168" s="392"/>
      <c r="K168" s="392"/>
      <c r="L168" s="392"/>
      <c r="M168" s="392"/>
      <c r="N168" s="392"/>
      <c r="O168" s="392"/>
      <c r="P168" s="392"/>
      <c r="Q168" s="392"/>
      <c r="R168" s="392"/>
      <c r="S168" s="409"/>
      <c r="T168" s="409"/>
      <c r="U168" s="409"/>
      <c r="V168" s="409"/>
      <c r="W168" s="392"/>
      <c r="X168" s="392"/>
      <c r="Y168" s="409"/>
      <c r="Z168" s="409"/>
      <c r="AA168" s="392"/>
      <c r="AB168" s="392"/>
      <c r="AC168" s="392"/>
      <c r="AD168" s="409"/>
      <c r="AE168" s="409"/>
      <c r="AF168" s="409"/>
      <c r="AG168" s="409"/>
      <c r="AH168" s="409"/>
      <c r="AI168" s="409"/>
      <c r="AJ168" s="409"/>
      <c r="AK168" s="409"/>
      <c r="AL168" s="409"/>
      <c r="AM168" s="409"/>
      <c r="AN168" s="409"/>
      <c r="AO168" s="409"/>
      <c r="AP168" s="409"/>
      <c r="AQ168" s="409"/>
      <c r="AR168" s="409"/>
      <c r="AS168" s="409"/>
      <c r="AT168" s="409"/>
      <c r="AU168" s="409"/>
      <c r="AV168" s="409"/>
      <c r="AW168" s="409"/>
      <c r="AX168" s="409"/>
      <c r="AY168" s="409"/>
      <c r="AZ168" s="409"/>
      <c r="BA168" s="409"/>
      <c r="BB168" s="409"/>
      <c r="BC168" s="409"/>
      <c r="BD168" s="407"/>
      <c r="BE168" s="444"/>
      <c r="BF168" s="444"/>
      <c r="BG168" s="444"/>
      <c r="BH168" s="444"/>
      <c r="BI168" s="444"/>
      <c r="BJ168" s="444"/>
      <c r="BK168" s="444"/>
      <c r="BL168" s="444"/>
      <c r="BM168" s="444"/>
      <c r="BN168" s="444"/>
      <c r="BO168" s="444"/>
      <c r="BP168" s="444"/>
      <c r="BQ168" s="444"/>
      <c r="BR168" s="444"/>
      <c r="BS168" s="444"/>
      <c r="BT168" s="444"/>
    </row>
  </sheetData>
  <mergeCells count="28"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5:BA5"/>
    <mergeCell ref="BB5:BC5"/>
    <mergeCell ref="AQ18:AR18"/>
    <mergeCell ref="AV2:AY2"/>
    <mergeCell ref="AZ2:BC3"/>
    <mergeCell ref="A3:H3"/>
    <mergeCell ref="I3:L3"/>
    <mergeCell ref="M3:W3"/>
    <mergeCell ref="X3:Z3"/>
    <mergeCell ref="AA3:AR3"/>
    <mergeCell ref="AS3:AU3"/>
    <mergeCell ref="AV3:AY3"/>
  </mergeCells>
  <phoneticPr fontId="55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FAAE0-DBE0-4938-867E-22E36C2392CC}">
  <sheetPr>
    <pageSetUpPr fitToPage="1"/>
  </sheetPr>
  <dimension ref="A1:CI61"/>
  <sheetViews>
    <sheetView showGridLines="0" view="pageBreakPreview" zoomScale="85" zoomScaleNormal="70" zoomScaleSheetLayoutView="85" workbookViewId="0">
      <selection activeCell="Q35" sqref="Q35:W35"/>
    </sheetView>
  </sheetViews>
  <sheetFormatPr defaultColWidth="2.6328125" defaultRowHeight="15"/>
  <cols>
    <col min="1" max="10" width="2.6328125" style="460" customWidth="1"/>
    <col min="11" max="16" width="3.26953125" style="460" customWidth="1"/>
    <col min="17" max="22" width="2.6328125" style="460" customWidth="1"/>
    <col min="23" max="38" width="2.6328125" style="460"/>
    <col min="39" max="39" width="2.6328125" style="460" customWidth="1"/>
    <col min="40" max="61" width="2.6328125" style="460"/>
    <col min="62" max="62" width="2.6328125" style="460" customWidth="1"/>
    <col min="63" max="248" width="2.6328125" style="460"/>
    <col min="249" max="249" width="4" style="460" customWidth="1"/>
    <col min="250" max="281" width="2.6328125" style="460"/>
    <col min="282" max="282" width="2.6328125" style="460" customWidth="1"/>
    <col min="283" max="504" width="2.6328125" style="460"/>
    <col min="505" max="505" width="4" style="460" customWidth="1"/>
    <col min="506" max="537" width="2.6328125" style="460"/>
    <col min="538" max="538" width="2.6328125" style="460" customWidth="1"/>
    <col min="539" max="760" width="2.6328125" style="460"/>
    <col min="761" max="761" width="4" style="460" customWidth="1"/>
    <col min="762" max="793" width="2.6328125" style="460"/>
    <col min="794" max="794" width="2.6328125" style="460" customWidth="1"/>
    <col min="795" max="1016" width="2.6328125" style="460"/>
    <col min="1017" max="1017" width="4" style="460" customWidth="1"/>
    <col min="1018" max="1049" width="2.6328125" style="460"/>
    <col min="1050" max="1050" width="2.6328125" style="460" customWidth="1"/>
    <col min="1051" max="1272" width="2.6328125" style="460"/>
    <col min="1273" max="1273" width="4" style="460" customWidth="1"/>
    <col min="1274" max="1305" width="2.6328125" style="460"/>
    <col min="1306" max="1306" width="2.6328125" style="460" customWidth="1"/>
    <col min="1307" max="1528" width="2.6328125" style="460"/>
    <col min="1529" max="1529" width="4" style="460" customWidth="1"/>
    <col min="1530" max="1561" width="2.6328125" style="460"/>
    <col min="1562" max="1562" width="2.6328125" style="460" customWidth="1"/>
    <col min="1563" max="1784" width="2.6328125" style="460"/>
    <col min="1785" max="1785" width="4" style="460" customWidth="1"/>
    <col min="1786" max="1817" width="2.6328125" style="460"/>
    <col min="1818" max="1818" width="2.6328125" style="460" customWidth="1"/>
    <col min="1819" max="2040" width="2.6328125" style="460"/>
    <col min="2041" max="2041" width="4" style="460" customWidth="1"/>
    <col min="2042" max="2073" width="2.6328125" style="460"/>
    <col min="2074" max="2074" width="2.6328125" style="460" customWidth="1"/>
    <col min="2075" max="2296" width="2.6328125" style="460"/>
    <col min="2297" max="2297" width="4" style="460" customWidth="1"/>
    <col min="2298" max="2329" width="2.6328125" style="460"/>
    <col min="2330" max="2330" width="2.6328125" style="460" customWidth="1"/>
    <col min="2331" max="2552" width="2.6328125" style="460"/>
    <col min="2553" max="2553" width="4" style="460" customWidth="1"/>
    <col min="2554" max="2585" width="2.6328125" style="460"/>
    <col min="2586" max="2586" width="2.6328125" style="460" customWidth="1"/>
    <col min="2587" max="2808" width="2.6328125" style="460"/>
    <col min="2809" max="2809" width="4" style="460" customWidth="1"/>
    <col min="2810" max="2841" width="2.6328125" style="460"/>
    <col min="2842" max="2842" width="2.6328125" style="460" customWidth="1"/>
    <col min="2843" max="3064" width="2.6328125" style="460"/>
    <col min="3065" max="3065" width="4" style="460" customWidth="1"/>
    <col min="3066" max="3097" width="2.6328125" style="460"/>
    <col min="3098" max="3098" width="2.6328125" style="460" customWidth="1"/>
    <col min="3099" max="3320" width="2.6328125" style="460"/>
    <col min="3321" max="3321" width="4" style="460" customWidth="1"/>
    <col min="3322" max="3353" width="2.6328125" style="460"/>
    <col min="3354" max="3354" width="2.6328125" style="460" customWidth="1"/>
    <col min="3355" max="3576" width="2.6328125" style="460"/>
    <col min="3577" max="3577" width="4" style="460" customWidth="1"/>
    <col min="3578" max="3609" width="2.6328125" style="460"/>
    <col min="3610" max="3610" width="2.6328125" style="460" customWidth="1"/>
    <col min="3611" max="3832" width="2.6328125" style="460"/>
    <col min="3833" max="3833" width="4" style="460" customWidth="1"/>
    <col min="3834" max="3865" width="2.6328125" style="460"/>
    <col min="3866" max="3866" width="2.6328125" style="460" customWidth="1"/>
    <col min="3867" max="4088" width="2.6328125" style="460"/>
    <col min="4089" max="4089" width="4" style="460" customWidth="1"/>
    <col min="4090" max="4121" width="2.6328125" style="460"/>
    <col min="4122" max="4122" width="2.6328125" style="460" customWidth="1"/>
    <col min="4123" max="4344" width="2.6328125" style="460"/>
    <col min="4345" max="4345" width="4" style="460" customWidth="1"/>
    <col min="4346" max="4377" width="2.6328125" style="460"/>
    <col min="4378" max="4378" width="2.6328125" style="460" customWidth="1"/>
    <col min="4379" max="4600" width="2.6328125" style="460"/>
    <col min="4601" max="4601" width="4" style="460" customWidth="1"/>
    <col min="4602" max="4633" width="2.6328125" style="460"/>
    <col min="4634" max="4634" width="2.6328125" style="460" customWidth="1"/>
    <col min="4635" max="4856" width="2.6328125" style="460"/>
    <col min="4857" max="4857" width="4" style="460" customWidth="1"/>
    <col min="4858" max="4889" width="2.6328125" style="460"/>
    <col min="4890" max="4890" width="2.6328125" style="460" customWidth="1"/>
    <col min="4891" max="5112" width="2.6328125" style="460"/>
    <col min="5113" max="5113" width="4" style="460" customWidth="1"/>
    <col min="5114" max="5145" width="2.6328125" style="460"/>
    <col min="5146" max="5146" width="2.6328125" style="460" customWidth="1"/>
    <col min="5147" max="5368" width="2.6328125" style="460"/>
    <col min="5369" max="5369" width="4" style="460" customWidth="1"/>
    <col min="5370" max="5401" width="2.6328125" style="460"/>
    <col min="5402" max="5402" width="2.6328125" style="460" customWidth="1"/>
    <col min="5403" max="5624" width="2.6328125" style="460"/>
    <col min="5625" max="5625" width="4" style="460" customWidth="1"/>
    <col min="5626" max="5657" width="2.6328125" style="460"/>
    <col min="5658" max="5658" width="2.6328125" style="460" customWidth="1"/>
    <col min="5659" max="5880" width="2.6328125" style="460"/>
    <col min="5881" max="5881" width="4" style="460" customWidth="1"/>
    <col min="5882" max="5913" width="2.6328125" style="460"/>
    <col min="5914" max="5914" width="2.6328125" style="460" customWidth="1"/>
    <col min="5915" max="6136" width="2.6328125" style="460"/>
    <col min="6137" max="6137" width="4" style="460" customWidth="1"/>
    <col min="6138" max="6169" width="2.6328125" style="460"/>
    <col min="6170" max="6170" width="2.6328125" style="460" customWidth="1"/>
    <col min="6171" max="6392" width="2.6328125" style="460"/>
    <col min="6393" max="6393" width="4" style="460" customWidth="1"/>
    <col min="6394" max="6425" width="2.6328125" style="460"/>
    <col min="6426" max="6426" width="2.6328125" style="460" customWidth="1"/>
    <col min="6427" max="6648" width="2.6328125" style="460"/>
    <col min="6649" max="6649" width="4" style="460" customWidth="1"/>
    <col min="6650" max="6681" width="2.6328125" style="460"/>
    <col min="6682" max="6682" width="2.6328125" style="460" customWidth="1"/>
    <col min="6683" max="6904" width="2.6328125" style="460"/>
    <col min="6905" max="6905" width="4" style="460" customWidth="1"/>
    <col min="6906" max="6937" width="2.6328125" style="460"/>
    <col min="6938" max="6938" width="2.6328125" style="460" customWidth="1"/>
    <col min="6939" max="7160" width="2.6328125" style="460"/>
    <col min="7161" max="7161" width="4" style="460" customWidth="1"/>
    <col min="7162" max="7193" width="2.6328125" style="460"/>
    <col min="7194" max="7194" width="2.6328125" style="460" customWidth="1"/>
    <col min="7195" max="7416" width="2.6328125" style="460"/>
    <col min="7417" max="7417" width="4" style="460" customWidth="1"/>
    <col min="7418" max="7449" width="2.6328125" style="460"/>
    <col min="7450" max="7450" width="2.6328125" style="460" customWidth="1"/>
    <col min="7451" max="7672" width="2.6328125" style="460"/>
    <col min="7673" max="7673" width="4" style="460" customWidth="1"/>
    <col min="7674" max="7705" width="2.6328125" style="460"/>
    <col min="7706" max="7706" width="2.6328125" style="460" customWidth="1"/>
    <col min="7707" max="7928" width="2.6328125" style="460"/>
    <col min="7929" max="7929" width="4" style="460" customWidth="1"/>
    <col min="7930" max="7961" width="2.6328125" style="460"/>
    <col min="7962" max="7962" width="2.6328125" style="460" customWidth="1"/>
    <col min="7963" max="8184" width="2.6328125" style="460"/>
    <col min="8185" max="8185" width="4" style="460" customWidth="1"/>
    <col min="8186" max="8217" width="2.6328125" style="460"/>
    <col min="8218" max="8218" width="2.6328125" style="460" customWidth="1"/>
    <col min="8219" max="8440" width="2.6328125" style="460"/>
    <col min="8441" max="8441" width="4" style="460" customWidth="1"/>
    <col min="8442" max="8473" width="2.6328125" style="460"/>
    <col min="8474" max="8474" width="2.6328125" style="460" customWidth="1"/>
    <col min="8475" max="8696" width="2.6328125" style="460"/>
    <col min="8697" max="8697" width="4" style="460" customWidth="1"/>
    <col min="8698" max="8729" width="2.6328125" style="460"/>
    <col min="8730" max="8730" width="2.6328125" style="460" customWidth="1"/>
    <col min="8731" max="8952" width="2.6328125" style="460"/>
    <col min="8953" max="8953" width="4" style="460" customWidth="1"/>
    <col min="8954" max="8985" width="2.6328125" style="460"/>
    <col min="8986" max="8986" width="2.6328125" style="460" customWidth="1"/>
    <col min="8987" max="9208" width="2.6328125" style="460"/>
    <col min="9209" max="9209" width="4" style="460" customWidth="1"/>
    <col min="9210" max="9241" width="2.6328125" style="460"/>
    <col min="9242" max="9242" width="2.6328125" style="460" customWidth="1"/>
    <col min="9243" max="9464" width="2.6328125" style="460"/>
    <col min="9465" max="9465" width="4" style="460" customWidth="1"/>
    <col min="9466" max="9497" width="2.6328125" style="460"/>
    <col min="9498" max="9498" width="2.6328125" style="460" customWidth="1"/>
    <col min="9499" max="9720" width="2.6328125" style="460"/>
    <col min="9721" max="9721" width="4" style="460" customWidth="1"/>
    <col min="9722" max="9753" width="2.6328125" style="460"/>
    <col min="9754" max="9754" width="2.6328125" style="460" customWidth="1"/>
    <col min="9755" max="9976" width="2.6328125" style="460"/>
    <col min="9977" max="9977" width="4" style="460" customWidth="1"/>
    <col min="9978" max="10009" width="2.6328125" style="460"/>
    <col min="10010" max="10010" width="2.6328125" style="460" customWidth="1"/>
    <col min="10011" max="10232" width="2.6328125" style="460"/>
    <col min="10233" max="10233" width="4" style="460" customWidth="1"/>
    <col min="10234" max="10265" width="2.6328125" style="460"/>
    <col min="10266" max="10266" width="2.6328125" style="460" customWidth="1"/>
    <col min="10267" max="10488" width="2.6328125" style="460"/>
    <col min="10489" max="10489" width="4" style="460" customWidth="1"/>
    <col min="10490" max="10521" width="2.6328125" style="460"/>
    <col min="10522" max="10522" width="2.6328125" style="460" customWidth="1"/>
    <col min="10523" max="10744" width="2.6328125" style="460"/>
    <col min="10745" max="10745" width="4" style="460" customWidth="1"/>
    <col min="10746" max="10777" width="2.6328125" style="460"/>
    <col min="10778" max="10778" width="2.6328125" style="460" customWidth="1"/>
    <col min="10779" max="11000" width="2.6328125" style="460"/>
    <col min="11001" max="11001" width="4" style="460" customWidth="1"/>
    <col min="11002" max="11033" width="2.6328125" style="460"/>
    <col min="11034" max="11034" width="2.6328125" style="460" customWidth="1"/>
    <col min="11035" max="11256" width="2.6328125" style="460"/>
    <col min="11257" max="11257" width="4" style="460" customWidth="1"/>
    <col min="11258" max="11289" width="2.6328125" style="460"/>
    <col min="11290" max="11290" width="2.6328125" style="460" customWidth="1"/>
    <col min="11291" max="11512" width="2.6328125" style="460"/>
    <col min="11513" max="11513" width="4" style="460" customWidth="1"/>
    <col min="11514" max="11545" width="2.6328125" style="460"/>
    <col min="11546" max="11546" width="2.6328125" style="460" customWidth="1"/>
    <col min="11547" max="11768" width="2.6328125" style="460"/>
    <col min="11769" max="11769" width="4" style="460" customWidth="1"/>
    <col min="11770" max="11801" width="2.6328125" style="460"/>
    <col min="11802" max="11802" width="2.6328125" style="460" customWidth="1"/>
    <col min="11803" max="12024" width="2.6328125" style="460"/>
    <col min="12025" max="12025" width="4" style="460" customWidth="1"/>
    <col min="12026" max="12057" width="2.6328125" style="460"/>
    <col min="12058" max="12058" width="2.6328125" style="460" customWidth="1"/>
    <col min="12059" max="12280" width="2.6328125" style="460"/>
    <col min="12281" max="12281" width="4" style="460" customWidth="1"/>
    <col min="12282" max="12313" width="2.6328125" style="460"/>
    <col min="12314" max="12314" width="2.6328125" style="460" customWidth="1"/>
    <col min="12315" max="12536" width="2.6328125" style="460"/>
    <col min="12537" max="12537" width="4" style="460" customWidth="1"/>
    <col min="12538" max="12569" width="2.6328125" style="460"/>
    <col min="12570" max="12570" width="2.6328125" style="460" customWidth="1"/>
    <col min="12571" max="12792" width="2.6328125" style="460"/>
    <col min="12793" max="12793" width="4" style="460" customWidth="1"/>
    <col min="12794" max="12825" width="2.6328125" style="460"/>
    <col min="12826" max="12826" width="2.6328125" style="460" customWidth="1"/>
    <col min="12827" max="13048" width="2.6328125" style="460"/>
    <col min="13049" max="13049" width="4" style="460" customWidth="1"/>
    <col min="13050" max="13081" width="2.6328125" style="460"/>
    <col min="13082" max="13082" width="2.6328125" style="460" customWidth="1"/>
    <col min="13083" max="13304" width="2.6328125" style="460"/>
    <col min="13305" max="13305" width="4" style="460" customWidth="1"/>
    <col min="13306" max="13337" width="2.6328125" style="460"/>
    <col min="13338" max="13338" width="2.6328125" style="460" customWidth="1"/>
    <col min="13339" max="13560" width="2.6328125" style="460"/>
    <col min="13561" max="13561" width="4" style="460" customWidth="1"/>
    <col min="13562" max="13593" width="2.6328125" style="460"/>
    <col min="13594" max="13594" width="2.6328125" style="460" customWidth="1"/>
    <col min="13595" max="13816" width="2.6328125" style="460"/>
    <col min="13817" max="13817" width="4" style="460" customWidth="1"/>
    <col min="13818" max="13849" width="2.6328125" style="460"/>
    <col min="13850" max="13850" width="2.6328125" style="460" customWidth="1"/>
    <col min="13851" max="14072" width="2.6328125" style="460"/>
    <col min="14073" max="14073" width="4" style="460" customWidth="1"/>
    <col min="14074" max="14105" width="2.6328125" style="460"/>
    <col min="14106" max="14106" width="2.6328125" style="460" customWidth="1"/>
    <col min="14107" max="14328" width="2.6328125" style="460"/>
    <col min="14329" max="14329" width="4" style="460" customWidth="1"/>
    <col min="14330" max="14361" width="2.6328125" style="460"/>
    <col min="14362" max="14362" width="2.6328125" style="460" customWidth="1"/>
    <col min="14363" max="14584" width="2.6328125" style="460"/>
    <col min="14585" max="14585" width="4" style="460" customWidth="1"/>
    <col min="14586" max="14617" width="2.6328125" style="460"/>
    <col min="14618" max="14618" width="2.6328125" style="460" customWidth="1"/>
    <col min="14619" max="14840" width="2.6328125" style="460"/>
    <col min="14841" max="14841" width="4" style="460" customWidth="1"/>
    <col min="14842" max="14873" width="2.6328125" style="460"/>
    <col min="14874" max="14874" width="2.6328125" style="460" customWidth="1"/>
    <col min="14875" max="15096" width="2.6328125" style="460"/>
    <col min="15097" max="15097" width="4" style="460" customWidth="1"/>
    <col min="15098" max="15129" width="2.6328125" style="460"/>
    <col min="15130" max="15130" width="2.6328125" style="460" customWidth="1"/>
    <col min="15131" max="15352" width="2.6328125" style="460"/>
    <col min="15353" max="15353" width="4" style="460" customWidth="1"/>
    <col min="15354" max="15385" width="2.6328125" style="460"/>
    <col min="15386" max="15386" width="2.6328125" style="460" customWidth="1"/>
    <col min="15387" max="15608" width="2.6328125" style="460"/>
    <col min="15609" max="15609" width="4" style="460" customWidth="1"/>
    <col min="15610" max="15641" width="2.6328125" style="460"/>
    <col min="15642" max="15642" width="2.6328125" style="460" customWidth="1"/>
    <col min="15643" max="15864" width="2.6328125" style="460"/>
    <col min="15865" max="15865" width="4" style="460" customWidth="1"/>
    <col min="15866" max="15897" width="2.6328125" style="460"/>
    <col min="15898" max="15898" width="2.6328125" style="460" customWidth="1"/>
    <col min="15899" max="16120" width="2.6328125" style="460"/>
    <col min="16121" max="16121" width="4" style="460" customWidth="1"/>
    <col min="16122" max="16153" width="2.6328125" style="460"/>
    <col min="16154" max="16154" width="2.6328125" style="460" customWidth="1"/>
    <col min="16155" max="16384" width="2.6328125" style="460"/>
  </cols>
  <sheetData>
    <row r="1" spans="1:87" ht="12.75" customHeight="1">
      <c r="A1" s="739" t="s">
        <v>179</v>
      </c>
      <c r="B1" s="739"/>
      <c r="C1" s="739"/>
      <c r="D1" s="739"/>
      <c r="E1" s="739"/>
      <c r="F1" s="739"/>
      <c r="G1" s="739"/>
      <c r="H1" s="739"/>
      <c r="I1" s="739"/>
      <c r="J1" s="458"/>
      <c r="K1" s="458"/>
      <c r="L1" s="458"/>
      <c r="M1" s="458"/>
      <c r="N1" s="458"/>
      <c r="O1" s="458"/>
      <c r="P1" s="458"/>
      <c r="Q1" s="458"/>
      <c r="R1" s="458"/>
      <c r="S1" s="458"/>
      <c r="T1" s="458"/>
      <c r="U1" s="458"/>
      <c r="V1" s="458"/>
      <c r="W1" s="458"/>
      <c r="X1" s="458"/>
      <c r="Y1" s="458"/>
      <c r="Z1" s="458"/>
      <c r="AA1" s="458"/>
      <c r="AB1" s="458"/>
      <c r="AC1" s="458"/>
      <c r="AD1" s="458"/>
      <c r="AE1" s="458"/>
      <c r="AF1" s="458"/>
      <c r="AG1" s="458"/>
      <c r="AH1" s="458"/>
      <c r="AI1" s="458"/>
      <c r="AJ1" s="458"/>
      <c r="AK1" s="458"/>
      <c r="AL1" s="458"/>
      <c r="AM1" s="458"/>
      <c r="AN1" s="458"/>
      <c r="AO1" s="458"/>
      <c r="AP1" s="458"/>
      <c r="AQ1" s="458"/>
      <c r="AR1" s="458"/>
      <c r="AS1" s="458"/>
      <c r="AT1" s="458"/>
      <c r="AU1" s="458"/>
      <c r="AV1" s="458"/>
      <c r="AW1" s="458"/>
      <c r="AX1" s="458"/>
      <c r="AY1" s="458"/>
      <c r="AZ1" s="458"/>
      <c r="BA1" s="458"/>
      <c r="BB1" s="458"/>
      <c r="BC1" s="458"/>
      <c r="BD1" s="458"/>
      <c r="BE1" s="458"/>
      <c r="BF1" s="458"/>
      <c r="BG1" s="458"/>
      <c r="BH1" s="458"/>
      <c r="BI1" s="458"/>
      <c r="BJ1" s="458"/>
      <c r="BK1" s="458"/>
      <c r="BL1" s="458"/>
      <c r="BM1" s="458"/>
      <c r="BN1" s="458"/>
      <c r="BO1" s="458"/>
      <c r="BP1" s="458"/>
      <c r="BQ1" s="458"/>
      <c r="BR1" s="458"/>
      <c r="BS1" s="458"/>
      <c r="BT1" s="458"/>
      <c r="BU1" s="458"/>
      <c r="BV1" s="458"/>
      <c r="BW1" s="458"/>
      <c r="BX1" s="458"/>
      <c r="BY1" s="458"/>
      <c r="BZ1" s="458"/>
      <c r="CA1" s="458"/>
      <c r="CB1" s="458"/>
      <c r="CC1" s="458"/>
      <c r="CD1" s="458"/>
      <c r="CE1" s="458"/>
      <c r="CF1" s="458"/>
      <c r="CG1" s="458"/>
      <c r="CH1" s="459"/>
      <c r="CI1" s="459"/>
    </row>
    <row r="2" spans="1:87" ht="12.75" customHeight="1">
      <c r="A2" s="740" t="s">
        <v>180</v>
      </c>
      <c r="B2" s="740"/>
      <c r="C2" s="740"/>
      <c r="D2" s="740"/>
      <c r="E2" s="740"/>
      <c r="F2" s="740"/>
      <c r="G2" s="740"/>
      <c r="H2" s="740"/>
      <c r="I2" s="740"/>
      <c r="J2" s="740"/>
      <c r="K2" s="740"/>
      <c r="L2" s="740"/>
      <c r="M2" s="740"/>
      <c r="N2" s="740"/>
      <c r="O2" s="740"/>
      <c r="P2" s="740"/>
      <c r="Q2" s="740"/>
      <c r="R2" s="740"/>
      <c r="S2" s="740"/>
      <c r="T2" s="740"/>
      <c r="U2" s="740"/>
      <c r="V2" s="740"/>
      <c r="W2" s="740"/>
      <c r="X2" s="740"/>
      <c r="Y2" s="740"/>
      <c r="Z2" s="740"/>
      <c r="AA2" s="740"/>
      <c r="AB2" s="740"/>
      <c r="AC2" s="740"/>
      <c r="AD2" s="740"/>
      <c r="AE2" s="740"/>
      <c r="AF2" s="741" t="s">
        <v>181</v>
      </c>
      <c r="AG2" s="741"/>
      <c r="AH2" s="741"/>
      <c r="AI2" s="741"/>
      <c r="AJ2" s="741"/>
      <c r="AK2" s="741"/>
      <c r="AL2" s="741"/>
      <c r="AM2" s="741"/>
      <c r="AN2" s="741"/>
      <c r="AO2" s="741"/>
      <c r="AP2" s="741"/>
      <c r="AQ2" s="741"/>
      <c r="AR2" s="741"/>
      <c r="AS2" s="741"/>
      <c r="AT2" s="741"/>
      <c r="AU2" s="741"/>
      <c r="AV2" s="741"/>
      <c r="AW2" s="741"/>
      <c r="AX2" s="741"/>
      <c r="AY2" s="741"/>
      <c r="AZ2" s="741"/>
      <c r="BA2" s="741"/>
      <c r="BB2" s="741"/>
      <c r="BC2" s="741"/>
      <c r="BD2" s="741"/>
      <c r="BE2" s="741"/>
      <c r="BF2" s="741"/>
      <c r="BG2" s="741"/>
      <c r="BH2" s="741"/>
      <c r="BI2" s="741"/>
      <c r="BJ2" s="741"/>
      <c r="BK2" s="741"/>
      <c r="BL2" s="741"/>
      <c r="BM2" s="741"/>
      <c r="BN2" s="741"/>
      <c r="BO2" s="741"/>
      <c r="BP2" s="741"/>
      <c r="BQ2" s="741"/>
      <c r="BR2" s="741"/>
      <c r="BS2" s="741"/>
      <c r="BT2" s="741"/>
      <c r="BU2" s="741"/>
      <c r="BV2" s="741"/>
      <c r="BW2" s="741"/>
      <c r="BX2" s="741"/>
      <c r="BY2" s="741"/>
      <c r="BZ2" s="741"/>
      <c r="CA2" s="741"/>
      <c r="CB2" s="741"/>
      <c r="CC2" s="741"/>
      <c r="CD2" s="741"/>
      <c r="CE2" s="741"/>
      <c r="CF2" s="741"/>
      <c r="CG2" s="741"/>
      <c r="CH2" s="741"/>
      <c r="CI2" s="741"/>
    </row>
    <row r="3" spans="1:87" ht="27.75" customHeight="1">
      <c r="A3" s="737" t="s">
        <v>182</v>
      </c>
      <c r="B3" s="738"/>
      <c r="C3" s="738" t="s">
        <v>183</v>
      </c>
      <c r="D3" s="738"/>
      <c r="E3" s="738"/>
      <c r="F3" s="738"/>
      <c r="G3" s="738"/>
      <c r="H3" s="738"/>
      <c r="I3" s="738"/>
      <c r="J3" s="738"/>
      <c r="K3" s="738"/>
      <c r="L3" s="738"/>
      <c r="M3" s="738"/>
      <c r="N3" s="738"/>
      <c r="O3" s="738"/>
      <c r="P3" s="738"/>
      <c r="Q3" s="737" t="s">
        <v>184</v>
      </c>
      <c r="R3" s="738"/>
      <c r="S3" s="738"/>
      <c r="T3" s="738"/>
      <c r="U3" s="738"/>
      <c r="V3" s="738"/>
      <c r="W3" s="738"/>
      <c r="X3" s="737" t="s">
        <v>185</v>
      </c>
      <c r="Y3" s="738"/>
      <c r="Z3" s="738"/>
      <c r="AA3" s="738"/>
      <c r="AB3" s="738" t="s">
        <v>186</v>
      </c>
      <c r="AC3" s="738"/>
      <c r="AD3" s="742" t="s">
        <v>187</v>
      </c>
      <c r="AE3" s="743"/>
      <c r="AF3" s="737" t="s">
        <v>188</v>
      </c>
      <c r="AG3" s="738"/>
      <c r="AH3" s="738"/>
      <c r="AI3" s="738"/>
      <c r="AJ3" s="737" t="s">
        <v>189</v>
      </c>
      <c r="AK3" s="738"/>
      <c r="AL3" s="738"/>
      <c r="AM3" s="738"/>
      <c r="AN3" s="738"/>
      <c r="AO3" s="738"/>
      <c r="AP3" s="720" t="s">
        <v>190</v>
      </c>
      <c r="AQ3" s="721"/>
      <c r="AR3" s="721"/>
      <c r="AS3" s="721"/>
      <c r="AT3" s="721"/>
      <c r="AU3" s="721"/>
      <c r="AV3" s="721"/>
      <c r="AW3" s="721"/>
      <c r="AX3" s="721"/>
      <c r="AY3" s="721"/>
      <c r="AZ3" s="722"/>
      <c r="BA3" s="737" t="s">
        <v>191</v>
      </c>
      <c r="BB3" s="737"/>
      <c r="BC3" s="737"/>
      <c r="BD3" s="737"/>
      <c r="BE3" s="737"/>
      <c r="BF3" s="737"/>
      <c r="BG3" s="737"/>
      <c r="BH3" s="737"/>
      <c r="BI3" s="737"/>
      <c r="BJ3" s="737"/>
      <c r="BK3" s="737"/>
      <c r="BL3" s="737"/>
      <c r="BM3" s="737"/>
      <c r="BN3" s="737"/>
      <c r="BO3" s="737"/>
      <c r="BP3" s="737"/>
      <c r="BQ3" s="737"/>
      <c r="BR3" s="737"/>
      <c r="BS3" s="737"/>
      <c r="BT3" s="737"/>
      <c r="BU3" s="737"/>
      <c r="BV3" s="737"/>
      <c r="BW3" s="737"/>
      <c r="BX3" s="737"/>
      <c r="BY3" s="737"/>
      <c r="BZ3" s="737"/>
      <c r="CA3" s="737"/>
      <c r="CB3" s="737"/>
      <c r="CC3" s="737"/>
      <c r="CD3" s="737"/>
      <c r="CE3" s="737"/>
      <c r="CF3" s="737"/>
      <c r="CG3" s="737"/>
      <c r="CH3" s="737"/>
      <c r="CI3" s="737"/>
    </row>
    <row r="4" spans="1:87" ht="27.75" customHeight="1">
      <c r="A4" s="738"/>
      <c r="B4" s="738"/>
      <c r="C4" s="736" t="s">
        <v>192</v>
      </c>
      <c r="D4" s="736"/>
      <c r="E4" s="736"/>
      <c r="F4" s="736"/>
      <c r="G4" s="736"/>
      <c r="H4" s="736"/>
      <c r="I4" s="736"/>
      <c r="J4" s="736" t="s">
        <v>193</v>
      </c>
      <c r="K4" s="736"/>
      <c r="L4" s="736"/>
      <c r="M4" s="736"/>
      <c r="N4" s="736"/>
      <c r="O4" s="736"/>
      <c r="P4" s="736"/>
      <c r="Q4" s="738"/>
      <c r="R4" s="738"/>
      <c r="S4" s="738"/>
      <c r="T4" s="738"/>
      <c r="U4" s="738"/>
      <c r="V4" s="738"/>
      <c r="W4" s="738"/>
      <c r="X4" s="738"/>
      <c r="Y4" s="738"/>
      <c r="Z4" s="738"/>
      <c r="AA4" s="738"/>
      <c r="AB4" s="738"/>
      <c r="AC4" s="738"/>
      <c r="AD4" s="744"/>
      <c r="AE4" s="745"/>
      <c r="AF4" s="738"/>
      <c r="AG4" s="738"/>
      <c r="AH4" s="738"/>
      <c r="AI4" s="738"/>
      <c r="AJ4" s="738"/>
      <c r="AK4" s="738"/>
      <c r="AL4" s="738"/>
      <c r="AM4" s="738"/>
      <c r="AN4" s="738"/>
      <c r="AO4" s="738"/>
      <c r="AP4" s="723"/>
      <c r="AQ4" s="724"/>
      <c r="AR4" s="724"/>
      <c r="AS4" s="724"/>
      <c r="AT4" s="724"/>
      <c r="AU4" s="724"/>
      <c r="AV4" s="724"/>
      <c r="AW4" s="724"/>
      <c r="AX4" s="724"/>
      <c r="AY4" s="724"/>
      <c r="AZ4" s="725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  <c r="BW4" s="737"/>
      <c r="BX4" s="737"/>
      <c r="BY4" s="737"/>
      <c r="BZ4" s="737"/>
      <c r="CA4" s="737"/>
      <c r="CB4" s="737"/>
      <c r="CC4" s="737"/>
      <c r="CD4" s="737"/>
      <c r="CE4" s="737"/>
      <c r="CF4" s="737"/>
      <c r="CG4" s="737"/>
      <c r="CH4" s="737"/>
      <c r="CI4" s="737"/>
    </row>
    <row r="5" spans="1:87" ht="31" customHeight="1">
      <c r="A5" s="633" t="s">
        <v>407</v>
      </c>
      <c r="B5" s="634"/>
      <c r="C5" s="652" t="s">
        <v>408</v>
      </c>
      <c r="D5" s="653"/>
      <c r="E5" s="653"/>
      <c r="F5" s="653"/>
      <c r="G5" s="653"/>
      <c r="H5" s="653"/>
      <c r="I5" s="654"/>
      <c r="J5" s="673"/>
      <c r="K5" s="674"/>
      <c r="L5" s="674"/>
      <c r="M5" s="674"/>
      <c r="N5" s="674"/>
      <c r="O5" s="674"/>
      <c r="P5" s="675"/>
      <c r="Q5" s="638"/>
      <c r="R5" s="639"/>
      <c r="S5" s="639"/>
      <c r="T5" s="639"/>
      <c r="U5" s="639"/>
      <c r="V5" s="639"/>
      <c r="W5" s="640"/>
      <c r="X5" s="644"/>
      <c r="Y5" s="645"/>
      <c r="Z5" s="645"/>
      <c r="AA5" s="646"/>
      <c r="AB5" s="647"/>
      <c r="AC5" s="648"/>
      <c r="AD5" s="647"/>
      <c r="AE5" s="648"/>
      <c r="AF5" s="649"/>
      <c r="AG5" s="650"/>
      <c r="AH5" s="650"/>
      <c r="AI5" s="650"/>
      <c r="AJ5" s="649"/>
      <c r="AK5" s="650"/>
      <c r="AL5" s="650"/>
      <c r="AM5" s="650"/>
      <c r="AN5" s="650"/>
      <c r="AO5" s="651"/>
      <c r="AP5" s="627"/>
      <c r="AQ5" s="628"/>
      <c r="AR5" s="628"/>
      <c r="AS5" s="628"/>
      <c r="AT5" s="628"/>
      <c r="AU5" s="628"/>
      <c r="AV5" s="628"/>
      <c r="AW5" s="628"/>
      <c r="AX5" s="628"/>
      <c r="AY5" s="628"/>
      <c r="AZ5" s="629"/>
      <c r="BA5" s="676"/>
      <c r="BB5" s="628"/>
      <c r="BC5" s="628"/>
      <c r="BD5" s="628"/>
      <c r="BE5" s="628"/>
      <c r="BF5" s="628"/>
      <c r="BG5" s="628"/>
      <c r="BH5" s="628"/>
      <c r="BI5" s="628"/>
      <c r="BJ5" s="628"/>
      <c r="BK5" s="628"/>
      <c r="BL5" s="628"/>
      <c r="BM5" s="628"/>
      <c r="BN5" s="628"/>
      <c r="BO5" s="628"/>
      <c r="BP5" s="628"/>
      <c r="BQ5" s="628"/>
      <c r="BR5" s="628"/>
      <c r="BS5" s="628"/>
      <c r="BT5" s="628"/>
      <c r="BU5" s="628"/>
      <c r="BV5" s="628"/>
      <c r="BW5" s="628"/>
      <c r="BX5" s="628"/>
      <c r="BY5" s="628"/>
      <c r="BZ5" s="628"/>
      <c r="CA5" s="628"/>
      <c r="CB5" s="628"/>
      <c r="CC5" s="628"/>
      <c r="CD5" s="628"/>
      <c r="CE5" s="628"/>
      <c r="CF5" s="628"/>
      <c r="CG5" s="628"/>
      <c r="CH5" s="628"/>
      <c r="CI5" s="677"/>
    </row>
    <row r="6" spans="1:87" s="553" customFormat="1" ht="15.5" customHeight="1">
      <c r="A6" s="633">
        <v>1.1000000000000001</v>
      </c>
      <c r="B6" s="634"/>
      <c r="C6" s="546"/>
      <c r="D6" s="547"/>
      <c r="E6" s="547"/>
      <c r="F6" s="547"/>
      <c r="G6" s="547"/>
      <c r="H6" s="547"/>
      <c r="I6" s="548"/>
      <c r="J6" s="670" t="s">
        <v>409</v>
      </c>
      <c r="K6" s="671"/>
      <c r="L6" s="671"/>
      <c r="M6" s="671"/>
      <c r="N6" s="671"/>
      <c r="O6" s="671"/>
      <c r="P6" s="672"/>
      <c r="Q6" s="641" t="s">
        <v>199</v>
      </c>
      <c r="R6" s="642"/>
      <c r="S6" s="642"/>
      <c r="T6" s="642"/>
      <c r="U6" s="642"/>
      <c r="V6" s="642"/>
      <c r="W6" s="643"/>
      <c r="X6" s="644" t="s">
        <v>195</v>
      </c>
      <c r="Y6" s="645"/>
      <c r="Z6" s="645"/>
      <c r="AA6" s="646"/>
      <c r="AB6" s="647" t="s">
        <v>196</v>
      </c>
      <c r="AC6" s="648"/>
      <c r="AD6" s="647" t="s">
        <v>197</v>
      </c>
      <c r="AE6" s="648"/>
      <c r="AF6" s="649" t="s">
        <v>178</v>
      </c>
      <c r="AG6" s="650"/>
      <c r="AH6" s="650"/>
      <c r="AI6" s="651"/>
      <c r="AJ6" s="649"/>
      <c r="AK6" s="650"/>
      <c r="AL6" s="650"/>
      <c r="AM6" s="650"/>
      <c r="AN6" s="650"/>
      <c r="AO6" s="651"/>
      <c r="AP6" s="627" t="s">
        <v>178</v>
      </c>
      <c r="AQ6" s="628"/>
      <c r="AR6" s="628"/>
      <c r="AS6" s="628"/>
      <c r="AT6" s="628"/>
      <c r="AU6" s="628"/>
      <c r="AV6" s="628"/>
      <c r="AW6" s="628"/>
      <c r="AX6" s="628"/>
      <c r="AY6" s="628"/>
      <c r="AZ6" s="629"/>
      <c r="BA6" s="630"/>
      <c r="BB6" s="631"/>
      <c r="BC6" s="631"/>
      <c r="BD6" s="631"/>
      <c r="BE6" s="631"/>
      <c r="BF6" s="631"/>
      <c r="BG6" s="631"/>
      <c r="BH6" s="631"/>
      <c r="BI6" s="631"/>
      <c r="BJ6" s="631"/>
      <c r="BK6" s="631"/>
      <c r="BL6" s="631"/>
      <c r="BM6" s="631"/>
      <c r="BN6" s="631"/>
      <c r="BO6" s="631"/>
      <c r="BP6" s="631"/>
      <c r="BQ6" s="631"/>
      <c r="BR6" s="631"/>
      <c r="BS6" s="631"/>
      <c r="BT6" s="631"/>
      <c r="BU6" s="631"/>
      <c r="BV6" s="631"/>
      <c r="BW6" s="631"/>
      <c r="BX6" s="631"/>
      <c r="BY6" s="631"/>
      <c r="BZ6" s="631"/>
      <c r="CA6" s="631"/>
      <c r="CB6" s="631"/>
      <c r="CC6" s="631"/>
      <c r="CD6" s="631"/>
      <c r="CE6" s="631"/>
      <c r="CF6" s="631"/>
      <c r="CG6" s="631"/>
      <c r="CH6" s="631"/>
      <c r="CI6" s="632"/>
    </row>
    <row r="7" spans="1:87" s="553" customFormat="1" ht="15.5" customHeight="1">
      <c r="A7" s="633">
        <v>1.2</v>
      </c>
      <c r="B7" s="634"/>
      <c r="C7" s="546"/>
      <c r="D7" s="547"/>
      <c r="E7" s="547"/>
      <c r="F7" s="547"/>
      <c r="G7" s="547"/>
      <c r="H7" s="547"/>
      <c r="I7" s="548"/>
      <c r="J7" s="670" t="s">
        <v>410</v>
      </c>
      <c r="K7" s="671"/>
      <c r="L7" s="671"/>
      <c r="M7" s="671"/>
      <c r="N7" s="671"/>
      <c r="O7" s="671"/>
      <c r="P7" s="672"/>
      <c r="Q7" s="641" t="s">
        <v>199</v>
      </c>
      <c r="R7" s="642"/>
      <c r="S7" s="642"/>
      <c r="T7" s="642"/>
      <c r="U7" s="642"/>
      <c r="V7" s="642"/>
      <c r="W7" s="643"/>
      <c r="X7" s="644" t="s">
        <v>195</v>
      </c>
      <c r="Y7" s="645"/>
      <c r="Z7" s="645"/>
      <c r="AA7" s="646"/>
      <c r="AB7" s="647" t="s">
        <v>194</v>
      </c>
      <c r="AC7" s="648"/>
      <c r="AD7" s="647" t="s">
        <v>197</v>
      </c>
      <c r="AE7" s="648"/>
      <c r="AF7" s="649" t="s">
        <v>178</v>
      </c>
      <c r="AG7" s="650"/>
      <c r="AH7" s="650"/>
      <c r="AI7" s="651"/>
      <c r="AJ7" s="649"/>
      <c r="AK7" s="650"/>
      <c r="AL7" s="650"/>
      <c r="AM7" s="650"/>
      <c r="AN7" s="650"/>
      <c r="AO7" s="651"/>
      <c r="AP7" s="627" t="s">
        <v>178</v>
      </c>
      <c r="AQ7" s="628"/>
      <c r="AR7" s="628"/>
      <c r="AS7" s="628"/>
      <c r="AT7" s="628"/>
      <c r="AU7" s="628"/>
      <c r="AV7" s="628"/>
      <c r="AW7" s="628"/>
      <c r="AX7" s="628"/>
      <c r="AY7" s="628"/>
      <c r="AZ7" s="629"/>
      <c r="BA7" s="630" t="s">
        <v>414</v>
      </c>
      <c r="BB7" s="631"/>
      <c r="BC7" s="631"/>
      <c r="BD7" s="631"/>
      <c r="BE7" s="631"/>
      <c r="BF7" s="631"/>
      <c r="BG7" s="631"/>
      <c r="BH7" s="631"/>
      <c r="BI7" s="631"/>
      <c r="BJ7" s="631"/>
      <c r="BK7" s="631"/>
      <c r="BL7" s="631"/>
      <c r="BM7" s="631"/>
      <c r="BN7" s="631"/>
      <c r="BO7" s="631"/>
      <c r="BP7" s="631"/>
      <c r="BQ7" s="631"/>
      <c r="BR7" s="631"/>
      <c r="BS7" s="631"/>
      <c r="BT7" s="631"/>
      <c r="BU7" s="631"/>
      <c r="BV7" s="631"/>
      <c r="BW7" s="631"/>
      <c r="BX7" s="631"/>
      <c r="BY7" s="631"/>
      <c r="BZ7" s="631"/>
      <c r="CA7" s="631"/>
      <c r="CB7" s="631"/>
      <c r="CC7" s="631"/>
      <c r="CD7" s="631"/>
      <c r="CE7" s="631"/>
      <c r="CF7" s="631"/>
      <c r="CG7" s="631"/>
      <c r="CH7" s="631"/>
      <c r="CI7" s="632"/>
    </row>
    <row r="8" spans="1:87" ht="15.75" customHeight="1">
      <c r="A8" s="633">
        <v>1.3</v>
      </c>
      <c r="B8" s="634"/>
      <c r="C8" s="655"/>
      <c r="D8" s="656"/>
      <c r="E8" s="656"/>
      <c r="F8" s="656"/>
      <c r="G8" s="656"/>
      <c r="H8" s="656"/>
      <c r="I8" s="657"/>
      <c r="J8" s="658" t="s">
        <v>411</v>
      </c>
      <c r="K8" s="659"/>
      <c r="L8" s="659"/>
      <c r="M8" s="659"/>
      <c r="N8" s="659"/>
      <c r="O8" s="659"/>
      <c r="P8" s="660"/>
      <c r="Q8" s="667" t="s">
        <v>199</v>
      </c>
      <c r="R8" s="668"/>
      <c r="S8" s="668"/>
      <c r="T8" s="668"/>
      <c r="U8" s="668"/>
      <c r="V8" s="668"/>
      <c r="W8" s="669"/>
      <c r="X8" s="644" t="s">
        <v>195</v>
      </c>
      <c r="Y8" s="645"/>
      <c r="Z8" s="645"/>
      <c r="AA8" s="646"/>
      <c r="AB8" s="647" t="s">
        <v>194</v>
      </c>
      <c r="AC8" s="648"/>
      <c r="AD8" s="647" t="s">
        <v>197</v>
      </c>
      <c r="AE8" s="648"/>
      <c r="AF8" s="649" t="s">
        <v>178</v>
      </c>
      <c r="AG8" s="650"/>
      <c r="AH8" s="650"/>
      <c r="AI8" s="651"/>
      <c r="AJ8" s="664"/>
      <c r="AK8" s="665"/>
      <c r="AL8" s="665"/>
      <c r="AM8" s="665"/>
      <c r="AN8" s="665"/>
      <c r="AO8" s="666"/>
      <c r="AP8" s="627" t="s">
        <v>178</v>
      </c>
      <c r="AQ8" s="628"/>
      <c r="AR8" s="628"/>
      <c r="AS8" s="628"/>
      <c r="AT8" s="628"/>
      <c r="AU8" s="628"/>
      <c r="AV8" s="628"/>
      <c r="AW8" s="628"/>
      <c r="AX8" s="628"/>
      <c r="AY8" s="628"/>
      <c r="AZ8" s="629"/>
      <c r="BA8" s="630" t="s">
        <v>415</v>
      </c>
      <c r="BB8" s="631"/>
      <c r="BC8" s="631"/>
      <c r="BD8" s="631"/>
      <c r="BE8" s="631"/>
      <c r="BF8" s="631"/>
      <c r="BG8" s="631"/>
      <c r="BH8" s="631"/>
      <c r="BI8" s="631"/>
      <c r="BJ8" s="631"/>
      <c r="BK8" s="631"/>
      <c r="BL8" s="631"/>
      <c r="BM8" s="631"/>
      <c r="BN8" s="631"/>
      <c r="BO8" s="631"/>
      <c r="BP8" s="631"/>
      <c r="BQ8" s="631"/>
      <c r="BR8" s="631"/>
      <c r="BS8" s="631"/>
      <c r="BT8" s="631"/>
      <c r="BU8" s="631"/>
      <c r="BV8" s="631"/>
      <c r="BW8" s="631"/>
      <c r="BX8" s="631"/>
      <c r="BY8" s="631"/>
      <c r="BZ8" s="631"/>
      <c r="CA8" s="631"/>
      <c r="CB8" s="631"/>
      <c r="CC8" s="631"/>
      <c r="CD8" s="631"/>
      <c r="CE8" s="631"/>
      <c r="CF8" s="631"/>
      <c r="CG8" s="631"/>
      <c r="CH8" s="631"/>
      <c r="CI8" s="632"/>
    </row>
    <row r="9" spans="1:87" ht="15.5" customHeight="1">
      <c r="A9" s="633">
        <v>1.4</v>
      </c>
      <c r="B9" s="634"/>
      <c r="C9" s="655"/>
      <c r="D9" s="656"/>
      <c r="E9" s="656"/>
      <c r="F9" s="656"/>
      <c r="G9" s="656"/>
      <c r="H9" s="656"/>
      <c r="I9" s="657"/>
      <c r="J9" s="658" t="s">
        <v>412</v>
      </c>
      <c r="K9" s="659"/>
      <c r="L9" s="659"/>
      <c r="M9" s="659"/>
      <c r="N9" s="659"/>
      <c r="O9" s="659"/>
      <c r="P9" s="660"/>
      <c r="Q9" s="661" t="s">
        <v>199</v>
      </c>
      <c r="R9" s="662"/>
      <c r="S9" s="662"/>
      <c r="T9" s="662"/>
      <c r="U9" s="662"/>
      <c r="V9" s="662"/>
      <c r="W9" s="663"/>
      <c r="X9" s="644" t="s">
        <v>195</v>
      </c>
      <c r="Y9" s="645"/>
      <c r="Z9" s="645"/>
      <c r="AA9" s="646"/>
      <c r="AB9" s="647" t="s">
        <v>194</v>
      </c>
      <c r="AC9" s="648"/>
      <c r="AD9" s="647" t="s">
        <v>197</v>
      </c>
      <c r="AE9" s="648"/>
      <c r="AF9" s="649" t="s">
        <v>178</v>
      </c>
      <c r="AG9" s="650"/>
      <c r="AH9" s="650"/>
      <c r="AI9" s="651"/>
      <c r="AJ9" s="664"/>
      <c r="AK9" s="665"/>
      <c r="AL9" s="665"/>
      <c r="AM9" s="665"/>
      <c r="AN9" s="665"/>
      <c r="AO9" s="666"/>
      <c r="AP9" s="627" t="s">
        <v>178</v>
      </c>
      <c r="AQ9" s="628"/>
      <c r="AR9" s="628"/>
      <c r="AS9" s="628"/>
      <c r="AT9" s="628"/>
      <c r="AU9" s="628"/>
      <c r="AV9" s="628"/>
      <c r="AW9" s="628"/>
      <c r="AX9" s="628"/>
      <c r="AY9" s="628"/>
      <c r="AZ9" s="629"/>
      <c r="BA9" s="630" t="s">
        <v>416</v>
      </c>
      <c r="BB9" s="631"/>
      <c r="BC9" s="631"/>
      <c r="BD9" s="631"/>
      <c r="BE9" s="631"/>
      <c r="BF9" s="631"/>
      <c r="BG9" s="631"/>
      <c r="BH9" s="631"/>
      <c r="BI9" s="631"/>
      <c r="BJ9" s="631"/>
      <c r="BK9" s="631"/>
      <c r="BL9" s="631"/>
      <c r="BM9" s="631"/>
      <c r="BN9" s="631"/>
      <c r="BO9" s="631"/>
      <c r="BP9" s="631"/>
      <c r="BQ9" s="631"/>
      <c r="BR9" s="631"/>
      <c r="BS9" s="631"/>
      <c r="BT9" s="631"/>
      <c r="BU9" s="631"/>
      <c r="BV9" s="631"/>
      <c r="BW9" s="631"/>
      <c r="BX9" s="631"/>
      <c r="BY9" s="631"/>
      <c r="BZ9" s="631"/>
      <c r="CA9" s="631"/>
      <c r="CB9" s="631"/>
      <c r="CC9" s="631"/>
      <c r="CD9" s="631"/>
      <c r="CE9" s="631"/>
      <c r="CF9" s="631"/>
      <c r="CG9" s="631"/>
      <c r="CH9" s="631"/>
      <c r="CI9" s="632"/>
    </row>
    <row r="10" spans="1:87" ht="15.75" customHeight="1">
      <c r="A10" s="633">
        <v>1.5</v>
      </c>
      <c r="B10" s="634"/>
      <c r="C10" s="652"/>
      <c r="D10" s="653"/>
      <c r="E10" s="653"/>
      <c r="F10" s="653"/>
      <c r="G10" s="653"/>
      <c r="H10" s="653"/>
      <c r="I10" s="654"/>
      <c r="J10" s="638" t="s">
        <v>293</v>
      </c>
      <c r="K10" s="639"/>
      <c r="L10" s="639"/>
      <c r="M10" s="639"/>
      <c r="N10" s="639"/>
      <c r="O10" s="639"/>
      <c r="P10" s="640"/>
      <c r="Q10" s="641" t="s">
        <v>199</v>
      </c>
      <c r="R10" s="642"/>
      <c r="S10" s="642"/>
      <c r="T10" s="642"/>
      <c r="U10" s="642"/>
      <c r="V10" s="642"/>
      <c r="W10" s="643"/>
      <c r="X10" s="644" t="s">
        <v>195</v>
      </c>
      <c r="Y10" s="645"/>
      <c r="Z10" s="645"/>
      <c r="AA10" s="646"/>
      <c r="AB10" s="647" t="s">
        <v>194</v>
      </c>
      <c r="AC10" s="648"/>
      <c r="AD10" s="647" t="s">
        <v>197</v>
      </c>
      <c r="AE10" s="648"/>
      <c r="AF10" s="649" t="s">
        <v>178</v>
      </c>
      <c r="AG10" s="650"/>
      <c r="AH10" s="650"/>
      <c r="AI10" s="651"/>
      <c r="AJ10" s="649"/>
      <c r="AK10" s="650"/>
      <c r="AL10" s="650"/>
      <c r="AM10" s="650"/>
      <c r="AN10" s="650"/>
      <c r="AO10" s="651"/>
      <c r="AP10" s="627" t="s">
        <v>178</v>
      </c>
      <c r="AQ10" s="628"/>
      <c r="AR10" s="628"/>
      <c r="AS10" s="628"/>
      <c r="AT10" s="628"/>
      <c r="AU10" s="628"/>
      <c r="AV10" s="628"/>
      <c r="AW10" s="628"/>
      <c r="AX10" s="628"/>
      <c r="AY10" s="628"/>
      <c r="AZ10" s="629"/>
      <c r="BA10" s="630" t="s">
        <v>417</v>
      </c>
      <c r="BB10" s="631"/>
      <c r="BC10" s="631"/>
      <c r="BD10" s="631"/>
      <c r="BE10" s="631"/>
      <c r="BF10" s="631"/>
      <c r="BG10" s="631"/>
      <c r="BH10" s="631"/>
      <c r="BI10" s="631"/>
      <c r="BJ10" s="631"/>
      <c r="BK10" s="631"/>
      <c r="BL10" s="631"/>
      <c r="BM10" s="631"/>
      <c r="BN10" s="631"/>
      <c r="BO10" s="631"/>
      <c r="BP10" s="631"/>
      <c r="BQ10" s="631"/>
      <c r="BR10" s="631"/>
      <c r="BS10" s="631"/>
      <c r="BT10" s="631"/>
      <c r="BU10" s="631"/>
      <c r="BV10" s="631"/>
      <c r="BW10" s="631"/>
      <c r="BX10" s="631"/>
      <c r="BY10" s="631"/>
      <c r="BZ10" s="631"/>
      <c r="CA10" s="631"/>
      <c r="CB10" s="631"/>
      <c r="CC10" s="631"/>
      <c r="CD10" s="631"/>
      <c r="CE10" s="631"/>
      <c r="CF10" s="631"/>
      <c r="CG10" s="631"/>
      <c r="CH10" s="631"/>
      <c r="CI10" s="632"/>
    </row>
    <row r="11" spans="1:87" ht="15.5" customHeight="1">
      <c r="A11" s="633">
        <v>1.6</v>
      </c>
      <c r="B11" s="634"/>
      <c r="C11" s="635"/>
      <c r="D11" s="636"/>
      <c r="E11" s="636"/>
      <c r="F11" s="636"/>
      <c r="G11" s="636"/>
      <c r="H11" s="636"/>
      <c r="I11" s="637"/>
      <c r="J11" s="638" t="s">
        <v>294</v>
      </c>
      <c r="K11" s="639"/>
      <c r="L11" s="639"/>
      <c r="M11" s="639"/>
      <c r="N11" s="639"/>
      <c r="O11" s="639"/>
      <c r="P11" s="640"/>
      <c r="Q11" s="641" t="s">
        <v>199</v>
      </c>
      <c r="R11" s="642"/>
      <c r="S11" s="642"/>
      <c r="T11" s="642"/>
      <c r="U11" s="642"/>
      <c r="V11" s="642"/>
      <c r="W11" s="643"/>
      <c r="X11" s="644" t="s">
        <v>195</v>
      </c>
      <c r="Y11" s="645"/>
      <c r="Z11" s="645"/>
      <c r="AA11" s="646"/>
      <c r="AB11" s="647" t="s">
        <v>194</v>
      </c>
      <c r="AC11" s="648"/>
      <c r="AD11" s="647" t="s">
        <v>197</v>
      </c>
      <c r="AE11" s="648"/>
      <c r="AF11" s="649" t="s">
        <v>178</v>
      </c>
      <c r="AG11" s="650"/>
      <c r="AH11" s="650"/>
      <c r="AI11" s="651"/>
      <c r="AJ11" s="649"/>
      <c r="AK11" s="650"/>
      <c r="AL11" s="650"/>
      <c r="AM11" s="650"/>
      <c r="AN11" s="650"/>
      <c r="AO11" s="651"/>
      <c r="AP11" s="627" t="s">
        <v>178</v>
      </c>
      <c r="AQ11" s="628"/>
      <c r="AR11" s="628"/>
      <c r="AS11" s="628"/>
      <c r="AT11" s="628"/>
      <c r="AU11" s="628"/>
      <c r="AV11" s="628"/>
      <c r="AW11" s="628"/>
      <c r="AX11" s="628"/>
      <c r="AY11" s="628"/>
      <c r="AZ11" s="629"/>
      <c r="BA11" s="630" t="s">
        <v>418</v>
      </c>
      <c r="BB11" s="631"/>
      <c r="BC11" s="631"/>
      <c r="BD11" s="631"/>
      <c r="BE11" s="631"/>
      <c r="BF11" s="631"/>
      <c r="BG11" s="631"/>
      <c r="BH11" s="631"/>
      <c r="BI11" s="631"/>
      <c r="BJ11" s="631"/>
      <c r="BK11" s="631"/>
      <c r="BL11" s="631"/>
      <c r="BM11" s="631"/>
      <c r="BN11" s="631"/>
      <c r="BO11" s="631"/>
      <c r="BP11" s="631"/>
      <c r="BQ11" s="631"/>
      <c r="BR11" s="631"/>
      <c r="BS11" s="631"/>
      <c r="BT11" s="631"/>
      <c r="BU11" s="631"/>
      <c r="BV11" s="631"/>
      <c r="BW11" s="631"/>
      <c r="BX11" s="631"/>
      <c r="BY11" s="631"/>
      <c r="BZ11" s="631"/>
      <c r="CA11" s="631"/>
      <c r="CB11" s="631"/>
      <c r="CC11" s="631"/>
      <c r="CD11" s="631"/>
      <c r="CE11" s="631"/>
      <c r="CF11" s="631"/>
      <c r="CG11" s="631"/>
      <c r="CH11" s="631"/>
      <c r="CI11" s="632"/>
    </row>
    <row r="12" spans="1:87" ht="15.5" customHeight="1">
      <c r="A12" s="633">
        <v>1.7</v>
      </c>
      <c r="B12" s="634"/>
      <c r="C12" s="635"/>
      <c r="D12" s="636"/>
      <c r="E12" s="636"/>
      <c r="F12" s="636"/>
      <c r="G12" s="636"/>
      <c r="H12" s="636"/>
      <c r="I12" s="637"/>
      <c r="J12" s="638" t="s">
        <v>413</v>
      </c>
      <c r="K12" s="639"/>
      <c r="L12" s="639"/>
      <c r="M12" s="639"/>
      <c r="N12" s="639"/>
      <c r="O12" s="639"/>
      <c r="P12" s="640"/>
      <c r="Q12" s="641" t="s">
        <v>199</v>
      </c>
      <c r="R12" s="642"/>
      <c r="S12" s="642"/>
      <c r="T12" s="642"/>
      <c r="U12" s="642"/>
      <c r="V12" s="642"/>
      <c r="W12" s="643"/>
      <c r="X12" s="644" t="s">
        <v>195</v>
      </c>
      <c r="Y12" s="645"/>
      <c r="Z12" s="645"/>
      <c r="AA12" s="646"/>
      <c r="AB12" s="647" t="s">
        <v>194</v>
      </c>
      <c r="AC12" s="648"/>
      <c r="AD12" s="647" t="s">
        <v>197</v>
      </c>
      <c r="AE12" s="648"/>
      <c r="AF12" s="649" t="s">
        <v>178</v>
      </c>
      <c r="AG12" s="650"/>
      <c r="AH12" s="650"/>
      <c r="AI12" s="651"/>
      <c r="AJ12" s="649"/>
      <c r="AK12" s="650"/>
      <c r="AL12" s="650"/>
      <c r="AM12" s="650"/>
      <c r="AN12" s="650"/>
      <c r="AO12" s="651"/>
      <c r="AP12" s="627" t="s">
        <v>178</v>
      </c>
      <c r="AQ12" s="628"/>
      <c r="AR12" s="628"/>
      <c r="AS12" s="628"/>
      <c r="AT12" s="628"/>
      <c r="AU12" s="628"/>
      <c r="AV12" s="628"/>
      <c r="AW12" s="628"/>
      <c r="AX12" s="628"/>
      <c r="AY12" s="628"/>
      <c r="AZ12" s="629"/>
      <c r="BA12" s="630" t="s">
        <v>419</v>
      </c>
      <c r="BB12" s="631"/>
      <c r="BC12" s="631"/>
      <c r="BD12" s="631"/>
      <c r="BE12" s="631"/>
      <c r="BF12" s="631"/>
      <c r="BG12" s="631"/>
      <c r="BH12" s="631"/>
      <c r="BI12" s="631"/>
      <c r="BJ12" s="631"/>
      <c r="BK12" s="631"/>
      <c r="BL12" s="631"/>
      <c r="BM12" s="631"/>
      <c r="BN12" s="631"/>
      <c r="BO12" s="631"/>
      <c r="BP12" s="631"/>
      <c r="BQ12" s="631"/>
      <c r="BR12" s="631"/>
      <c r="BS12" s="631"/>
      <c r="BT12" s="631"/>
      <c r="BU12" s="631"/>
      <c r="BV12" s="631"/>
      <c r="BW12" s="631"/>
      <c r="BX12" s="631"/>
      <c r="BY12" s="631"/>
      <c r="BZ12" s="631"/>
      <c r="CA12" s="631"/>
      <c r="CB12" s="631"/>
      <c r="CC12" s="631"/>
      <c r="CD12" s="631"/>
      <c r="CE12" s="631"/>
      <c r="CF12" s="631"/>
      <c r="CG12" s="631"/>
      <c r="CH12" s="631"/>
      <c r="CI12" s="632"/>
    </row>
    <row r="13" spans="1:87" ht="31" customHeight="1">
      <c r="A13" s="633" t="s">
        <v>406</v>
      </c>
      <c r="B13" s="634"/>
      <c r="C13" s="652" t="s">
        <v>351</v>
      </c>
      <c r="D13" s="653"/>
      <c r="E13" s="653"/>
      <c r="F13" s="653"/>
      <c r="G13" s="653"/>
      <c r="H13" s="653"/>
      <c r="I13" s="654"/>
      <c r="J13" s="673"/>
      <c r="K13" s="674"/>
      <c r="L13" s="674"/>
      <c r="M13" s="674"/>
      <c r="N13" s="674"/>
      <c r="O13" s="674"/>
      <c r="P13" s="675"/>
      <c r="Q13" s="638"/>
      <c r="R13" s="639"/>
      <c r="S13" s="639"/>
      <c r="T13" s="639"/>
      <c r="U13" s="639"/>
      <c r="V13" s="639"/>
      <c r="W13" s="640"/>
      <c r="X13" s="644"/>
      <c r="Y13" s="645"/>
      <c r="Z13" s="645"/>
      <c r="AA13" s="646"/>
      <c r="AB13" s="647"/>
      <c r="AC13" s="648"/>
      <c r="AD13" s="647"/>
      <c r="AE13" s="648"/>
      <c r="AF13" s="649"/>
      <c r="AG13" s="650"/>
      <c r="AH13" s="650"/>
      <c r="AI13" s="650"/>
      <c r="AJ13" s="649"/>
      <c r="AK13" s="650"/>
      <c r="AL13" s="650"/>
      <c r="AM13" s="650"/>
      <c r="AN13" s="650"/>
      <c r="AO13" s="651"/>
      <c r="AP13" s="627"/>
      <c r="AQ13" s="628"/>
      <c r="AR13" s="628"/>
      <c r="AS13" s="628"/>
      <c r="AT13" s="628"/>
      <c r="AU13" s="628"/>
      <c r="AV13" s="628"/>
      <c r="AW13" s="628"/>
      <c r="AX13" s="628"/>
      <c r="AY13" s="628"/>
      <c r="AZ13" s="629"/>
      <c r="BA13" s="676"/>
      <c r="BB13" s="628"/>
      <c r="BC13" s="628"/>
      <c r="BD13" s="628"/>
      <c r="BE13" s="628"/>
      <c r="BF13" s="628"/>
      <c r="BG13" s="628"/>
      <c r="BH13" s="628"/>
      <c r="BI13" s="628"/>
      <c r="BJ13" s="628"/>
      <c r="BK13" s="628"/>
      <c r="BL13" s="628"/>
      <c r="BM13" s="628"/>
      <c r="BN13" s="628"/>
      <c r="BO13" s="628"/>
      <c r="BP13" s="628"/>
      <c r="BQ13" s="628"/>
      <c r="BR13" s="628"/>
      <c r="BS13" s="628"/>
      <c r="BT13" s="628"/>
      <c r="BU13" s="628"/>
      <c r="BV13" s="628"/>
      <c r="BW13" s="628"/>
      <c r="BX13" s="628"/>
      <c r="BY13" s="628"/>
      <c r="BZ13" s="628"/>
      <c r="CA13" s="628"/>
      <c r="CB13" s="628"/>
      <c r="CC13" s="628"/>
      <c r="CD13" s="628"/>
      <c r="CE13" s="628"/>
      <c r="CF13" s="628"/>
      <c r="CG13" s="628"/>
      <c r="CH13" s="628"/>
      <c r="CI13" s="677"/>
    </row>
    <row r="14" spans="1:87" s="553" customFormat="1" ht="15.5" customHeight="1">
      <c r="A14" s="633">
        <v>2.1</v>
      </c>
      <c r="B14" s="634"/>
      <c r="C14" s="546"/>
      <c r="D14" s="547"/>
      <c r="E14" s="547"/>
      <c r="F14" s="547"/>
      <c r="G14" s="547"/>
      <c r="H14" s="547"/>
      <c r="I14" s="548"/>
      <c r="J14" s="670" t="s">
        <v>353</v>
      </c>
      <c r="K14" s="671"/>
      <c r="L14" s="671"/>
      <c r="M14" s="671"/>
      <c r="N14" s="671"/>
      <c r="O14" s="671"/>
      <c r="P14" s="672"/>
      <c r="Q14" s="641" t="s">
        <v>199</v>
      </c>
      <c r="R14" s="642"/>
      <c r="S14" s="642"/>
      <c r="T14" s="642"/>
      <c r="U14" s="642"/>
      <c r="V14" s="642"/>
      <c r="W14" s="643"/>
      <c r="X14" s="644" t="s">
        <v>195</v>
      </c>
      <c r="Y14" s="645"/>
      <c r="Z14" s="645"/>
      <c r="AA14" s="646"/>
      <c r="AB14" s="647" t="s">
        <v>194</v>
      </c>
      <c r="AC14" s="648"/>
      <c r="AD14" s="647" t="s">
        <v>197</v>
      </c>
      <c r="AE14" s="648"/>
      <c r="AF14" s="649" t="s">
        <v>178</v>
      </c>
      <c r="AG14" s="650"/>
      <c r="AH14" s="650"/>
      <c r="AI14" s="651"/>
      <c r="AJ14" s="649"/>
      <c r="AK14" s="650"/>
      <c r="AL14" s="650"/>
      <c r="AM14" s="650"/>
      <c r="AN14" s="650"/>
      <c r="AO14" s="651"/>
      <c r="AP14" s="627" t="s">
        <v>178</v>
      </c>
      <c r="AQ14" s="628"/>
      <c r="AR14" s="628"/>
      <c r="AS14" s="628"/>
      <c r="AT14" s="628"/>
      <c r="AU14" s="628"/>
      <c r="AV14" s="628"/>
      <c r="AW14" s="628"/>
      <c r="AX14" s="628"/>
      <c r="AY14" s="628"/>
      <c r="AZ14" s="629"/>
      <c r="BA14" s="630" t="s">
        <v>360</v>
      </c>
      <c r="BB14" s="631"/>
      <c r="BC14" s="631"/>
      <c r="BD14" s="631"/>
      <c r="BE14" s="631"/>
      <c r="BF14" s="631"/>
      <c r="BG14" s="631"/>
      <c r="BH14" s="631"/>
      <c r="BI14" s="631"/>
      <c r="BJ14" s="631"/>
      <c r="BK14" s="631"/>
      <c r="BL14" s="631"/>
      <c r="BM14" s="631"/>
      <c r="BN14" s="631"/>
      <c r="BO14" s="631"/>
      <c r="BP14" s="631"/>
      <c r="BQ14" s="631"/>
      <c r="BR14" s="631"/>
      <c r="BS14" s="631"/>
      <c r="BT14" s="631"/>
      <c r="BU14" s="631"/>
      <c r="BV14" s="631"/>
      <c r="BW14" s="631"/>
      <c r="BX14" s="631"/>
      <c r="BY14" s="631"/>
      <c r="BZ14" s="631"/>
      <c r="CA14" s="631"/>
      <c r="CB14" s="631"/>
      <c r="CC14" s="631"/>
      <c r="CD14" s="631"/>
      <c r="CE14" s="631"/>
      <c r="CF14" s="631"/>
      <c r="CG14" s="631"/>
      <c r="CH14" s="631"/>
      <c r="CI14" s="632"/>
    </row>
    <row r="15" spans="1:87" s="553" customFormat="1" ht="15.5" customHeight="1">
      <c r="A15" s="633">
        <v>2.2000000000000002</v>
      </c>
      <c r="B15" s="634"/>
      <c r="C15" s="546"/>
      <c r="D15" s="547"/>
      <c r="E15" s="547"/>
      <c r="F15" s="547"/>
      <c r="G15" s="547"/>
      <c r="H15" s="547"/>
      <c r="I15" s="548"/>
      <c r="J15" s="670" t="s">
        <v>358</v>
      </c>
      <c r="K15" s="671"/>
      <c r="L15" s="671"/>
      <c r="M15" s="671"/>
      <c r="N15" s="671"/>
      <c r="O15" s="671"/>
      <c r="P15" s="672"/>
      <c r="Q15" s="641" t="s">
        <v>199</v>
      </c>
      <c r="R15" s="642"/>
      <c r="S15" s="642"/>
      <c r="T15" s="642"/>
      <c r="U15" s="642"/>
      <c r="V15" s="642"/>
      <c r="W15" s="643"/>
      <c r="X15" s="644" t="s">
        <v>195</v>
      </c>
      <c r="Y15" s="645"/>
      <c r="Z15" s="645"/>
      <c r="AA15" s="646"/>
      <c r="AB15" s="647"/>
      <c r="AC15" s="648"/>
      <c r="AD15" s="647" t="s">
        <v>197</v>
      </c>
      <c r="AE15" s="648"/>
      <c r="AF15" s="649" t="s">
        <v>178</v>
      </c>
      <c r="AG15" s="650"/>
      <c r="AH15" s="650"/>
      <c r="AI15" s="651"/>
      <c r="AJ15" s="649"/>
      <c r="AK15" s="650"/>
      <c r="AL15" s="650"/>
      <c r="AM15" s="650"/>
      <c r="AN15" s="650"/>
      <c r="AO15" s="651"/>
      <c r="AP15" s="627" t="s">
        <v>178</v>
      </c>
      <c r="AQ15" s="628"/>
      <c r="AR15" s="628"/>
      <c r="AS15" s="628"/>
      <c r="AT15" s="628"/>
      <c r="AU15" s="628"/>
      <c r="AV15" s="628"/>
      <c r="AW15" s="628"/>
      <c r="AX15" s="628"/>
      <c r="AY15" s="628"/>
      <c r="AZ15" s="629"/>
      <c r="BA15" s="630" t="s">
        <v>368</v>
      </c>
      <c r="BB15" s="631"/>
      <c r="BC15" s="631"/>
      <c r="BD15" s="631"/>
      <c r="BE15" s="631"/>
      <c r="BF15" s="631"/>
      <c r="BG15" s="631"/>
      <c r="BH15" s="631"/>
      <c r="BI15" s="631"/>
      <c r="BJ15" s="631"/>
      <c r="BK15" s="631"/>
      <c r="BL15" s="631"/>
      <c r="BM15" s="631"/>
      <c r="BN15" s="631"/>
      <c r="BO15" s="631"/>
      <c r="BP15" s="631"/>
      <c r="BQ15" s="631"/>
      <c r="BR15" s="631"/>
      <c r="BS15" s="631"/>
      <c r="BT15" s="631"/>
      <c r="BU15" s="631"/>
      <c r="BV15" s="631"/>
      <c r="BW15" s="631"/>
      <c r="BX15" s="631"/>
      <c r="BY15" s="631"/>
      <c r="BZ15" s="631"/>
      <c r="CA15" s="631"/>
      <c r="CB15" s="631"/>
      <c r="CC15" s="631"/>
      <c r="CD15" s="631"/>
      <c r="CE15" s="631"/>
      <c r="CF15" s="631"/>
      <c r="CG15" s="631"/>
      <c r="CH15" s="631"/>
      <c r="CI15" s="632"/>
    </row>
    <row r="16" spans="1:87" ht="15.75" customHeight="1">
      <c r="A16" s="633">
        <v>2.2999999999999998</v>
      </c>
      <c r="B16" s="634"/>
      <c r="C16" s="655"/>
      <c r="D16" s="656"/>
      <c r="E16" s="656"/>
      <c r="F16" s="656"/>
      <c r="G16" s="656"/>
      <c r="H16" s="656"/>
      <c r="I16" s="657"/>
      <c r="J16" s="658" t="s">
        <v>356</v>
      </c>
      <c r="K16" s="659"/>
      <c r="L16" s="659"/>
      <c r="M16" s="659"/>
      <c r="N16" s="659"/>
      <c r="O16" s="659"/>
      <c r="P16" s="660"/>
      <c r="Q16" s="667" t="s">
        <v>199</v>
      </c>
      <c r="R16" s="668"/>
      <c r="S16" s="668"/>
      <c r="T16" s="668"/>
      <c r="U16" s="668"/>
      <c r="V16" s="668"/>
      <c r="W16" s="669"/>
      <c r="X16" s="644" t="s">
        <v>195</v>
      </c>
      <c r="Y16" s="645"/>
      <c r="Z16" s="645"/>
      <c r="AA16" s="646"/>
      <c r="AB16" s="647"/>
      <c r="AC16" s="648"/>
      <c r="AD16" s="647" t="s">
        <v>197</v>
      </c>
      <c r="AE16" s="648"/>
      <c r="AF16" s="649" t="s">
        <v>178</v>
      </c>
      <c r="AG16" s="650"/>
      <c r="AH16" s="650"/>
      <c r="AI16" s="651"/>
      <c r="AJ16" s="664"/>
      <c r="AK16" s="665"/>
      <c r="AL16" s="665"/>
      <c r="AM16" s="665"/>
      <c r="AN16" s="665"/>
      <c r="AO16" s="666"/>
      <c r="AP16" s="627" t="s">
        <v>178</v>
      </c>
      <c r="AQ16" s="628"/>
      <c r="AR16" s="628"/>
      <c r="AS16" s="628"/>
      <c r="AT16" s="628"/>
      <c r="AU16" s="628"/>
      <c r="AV16" s="628"/>
      <c r="AW16" s="628"/>
      <c r="AX16" s="628"/>
      <c r="AY16" s="628"/>
      <c r="AZ16" s="629"/>
      <c r="BA16" s="630" t="s">
        <v>369</v>
      </c>
      <c r="BB16" s="631"/>
      <c r="BC16" s="631"/>
      <c r="BD16" s="631"/>
      <c r="BE16" s="631"/>
      <c r="BF16" s="631"/>
      <c r="BG16" s="631"/>
      <c r="BH16" s="631"/>
      <c r="BI16" s="631"/>
      <c r="BJ16" s="631"/>
      <c r="BK16" s="631"/>
      <c r="BL16" s="631"/>
      <c r="BM16" s="631"/>
      <c r="BN16" s="631"/>
      <c r="BO16" s="631"/>
      <c r="BP16" s="631"/>
      <c r="BQ16" s="631"/>
      <c r="BR16" s="631"/>
      <c r="BS16" s="631"/>
      <c r="BT16" s="631"/>
      <c r="BU16" s="631"/>
      <c r="BV16" s="631"/>
      <c r="BW16" s="631"/>
      <c r="BX16" s="631"/>
      <c r="BY16" s="631"/>
      <c r="BZ16" s="631"/>
      <c r="CA16" s="631"/>
      <c r="CB16" s="631"/>
      <c r="CC16" s="631"/>
      <c r="CD16" s="631"/>
      <c r="CE16" s="631"/>
      <c r="CF16" s="631"/>
      <c r="CG16" s="631"/>
      <c r="CH16" s="631"/>
      <c r="CI16" s="632"/>
    </row>
    <row r="17" spans="1:87" ht="15.5" customHeight="1">
      <c r="A17" s="633">
        <v>2.4</v>
      </c>
      <c r="B17" s="634"/>
      <c r="C17" s="655"/>
      <c r="D17" s="656"/>
      <c r="E17" s="656"/>
      <c r="F17" s="656"/>
      <c r="G17" s="656"/>
      <c r="H17" s="656"/>
      <c r="I17" s="657"/>
      <c r="J17" s="658" t="s">
        <v>357</v>
      </c>
      <c r="K17" s="659"/>
      <c r="L17" s="659"/>
      <c r="M17" s="659"/>
      <c r="N17" s="659"/>
      <c r="O17" s="659"/>
      <c r="P17" s="660"/>
      <c r="Q17" s="661" t="s">
        <v>199</v>
      </c>
      <c r="R17" s="662"/>
      <c r="S17" s="662"/>
      <c r="T17" s="662"/>
      <c r="U17" s="662"/>
      <c r="V17" s="662"/>
      <c r="W17" s="663"/>
      <c r="X17" s="644" t="s">
        <v>195</v>
      </c>
      <c r="Y17" s="645"/>
      <c r="Z17" s="645"/>
      <c r="AA17" s="646"/>
      <c r="AB17" s="647"/>
      <c r="AC17" s="648"/>
      <c r="AD17" s="647" t="s">
        <v>197</v>
      </c>
      <c r="AE17" s="648"/>
      <c r="AF17" s="649" t="s">
        <v>178</v>
      </c>
      <c r="AG17" s="650"/>
      <c r="AH17" s="650"/>
      <c r="AI17" s="651"/>
      <c r="AJ17" s="664"/>
      <c r="AK17" s="665"/>
      <c r="AL17" s="665"/>
      <c r="AM17" s="665"/>
      <c r="AN17" s="665"/>
      <c r="AO17" s="666"/>
      <c r="AP17" s="627" t="s">
        <v>178</v>
      </c>
      <c r="AQ17" s="628"/>
      <c r="AR17" s="628"/>
      <c r="AS17" s="628"/>
      <c r="AT17" s="628"/>
      <c r="AU17" s="628"/>
      <c r="AV17" s="628"/>
      <c r="AW17" s="628"/>
      <c r="AX17" s="628"/>
      <c r="AY17" s="628"/>
      <c r="AZ17" s="629"/>
      <c r="BA17" s="630" t="s">
        <v>370</v>
      </c>
      <c r="BB17" s="631"/>
      <c r="BC17" s="631"/>
      <c r="BD17" s="631"/>
      <c r="BE17" s="631"/>
      <c r="BF17" s="631"/>
      <c r="BG17" s="631"/>
      <c r="BH17" s="631"/>
      <c r="BI17" s="631"/>
      <c r="BJ17" s="631"/>
      <c r="BK17" s="631"/>
      <c r="BL17" s="631"/>
      <c r="BM17" s="631"/>
      <c r="BN17" s="631"/>
      <c r="BO17" s="631"/>
      <c r="BP17" s="631"/>
      <c r="BQ17" s="631"/>
      <c r="BR17" s="631"/>
      <c r="BS17" s="631"/>
      <c r="BT17" s="631"/>
      <c r="BU17" s="631"/>
      <c r="BV17" s="631"/>
      <c r="BW17" s="631"/>
      <c r="BX17" s="631"/>
      <c r="BY17" s="631"/>
      <c r="BZ17" s="631"/>
      <c r="CA17" s="631"/>
      <c r="CB17" s="631"/>
      <c r="CC17" s="631"/>
      <c r="CD17" s="631"/>
      <c r="CE17" s="631"/>
      <c r="CF17" s="631"/>
      <c r="CG17" s="631"/>
      <c r="CH17" s="631"/>
      <c r="CI17" s="632"/>
    </row>
    <row r="18" spans="1:87" ht="15.75" customHeight="1">
      <c r="A18" s="633">
        <v>2.5</v>
      </c>
      <c r="B18" s="634"/>
      <c r="C18" s="652"/>
      <c r="D18" s="653"/>
      <c r="E18" s="653"/>
      <c r="F18" s="653"/>
      <c r="G18" s="653"/>
      <c r="H18" s="653"/>
      <c r="I18" s="654"/>
      <c r="J18" s="638" t="s">
        <v>294</v>
      </c>
      <c r="K18" s="639"/>
      <c r="L18" s="639"/>
      <c r="M18" s="639"/>
      <c r="N18" s="639"/>
      <c r="O18" s="639"/>
      <c r="P18" s="640"/>
      <c r="Q18" s="641" t="s">
        <v>199</v>
      </c>
      <c r="R18" s="642"/>
      <c r="S18" s="642"/>
      <c r="T18" s="642"/>
      <c r="U18" s="642"/>
      <c r="V18" s="642"/>
      <c r="W18" s="643"/>
      <c r="X18" s="644" t="s">
        <v>195</v>
      </c>
      <c r="Y18" s="645"/>
      <c r="Z18" s="645"/>
      <c r="AA18" s="646"/>
      <c r="AB18" s="647"/>
      <c r="AC18" s="648"/>
      <c r="AD18" s="647" t="s">
        <v>197</v>
      </c>
      <c r="AE18" s="648"/>
      <c r="AF18" s="649" t="s">
        <v>178</v>
      </c>
      <c r="AG18" s="650"/>
      <c r="AH18" s="650"/>
      <c r="AI18" s="651"/>
      <c r="AJ18" s="649"/>
      <c r="AK18" s="650"/>
      <c r="AL18" s="650"/>
      <c r="AM18" s="650"/>
      <c r="AN18" s="650"/>
      <c r="AO18" s="651"/>
      <c r="AP18" s="627" t="s">
        <v>178</v>
      </c>
      <c r="AQ18" s="628"/>
      <c r="AR18" s="628"/>
      <c r="AS18" s="628"/>
      <c r="AT18" s="628"/>
      <c r="AU18" s="628"/>
      <c r="AV18" s="628"/>
      <c r="AW18" s="628"/>
      <c r="AX18" s="628"/>
      <c r="AY18" s="628"/>
      <c r="AZ18" s="629"/>
      <c r="BA18" s="630" t="s">
        <v>371</v>
      </c>
      <c r="BB18" s="631"/>
      <c r="BC18" s="631"/>
      <c r="BD18" s="631"/>
      <c r="BE18" s="631"/>
      <c r="BF18" s="631"/>
      <c r="BG18" s="631"/>
      <c r="BH18" s="631"/>
      <c r="BI18" s="631"/>
      <c r="BJ18" s="631"/>
      <c r="BK18" s="631"/>
      <c r="BL18" s="631"/>
      <c r="BM18" s="631"/>
      <c r="BN18" s="631"/>
      <c r="BO18" s="631"/>
      <c r="BP18" s="631"/>
      <c r="BQ18" s="631"/>
      <c r="BR18" s="631"/>
      <c r="BS18" s="631"/>
      <c r="BT18" s="631"/>
      <c r="BU18" s="631"/>
      <c r="BV18" s="631"/>
      <c r="BW18" s="631"/>
      <c r="BX18" s="631"/>
      <c r="BY18" s="631"/>
      <c r="BZ18" s="631"/>
      <c r="CA18" s="631"/>
      <c r="CB18" s="631"/>
      <c r="CC18" s="631"/>
      <c r="CD18" s="631"/>
      <c r="CE18" s="631"/>
      <c r="CF18" s="631"/>
      <c r="CG18" s="631"/>
      <c r="CH18" s="631"/>
      <c r="CI18" s="632"/>
    </row>
    <row r="19" spans="1:87" ht="15.5" customHeight="1">
      <c r="A19" s="633">
        <v>2.6</v>
      </c>
      <c r="B19" s="634"/>
      <c r="C19" s="635"/>
      <c r="D19" s="636"/>
      <c r="E19" s="636"/>
      <c r="F19" s="636"/>
      <c r="G19" s="636"/>
      <c r="H19" s="636"/>
      <c r="I19" s="637"/>
      <c r="J19" s="638" t="s">
        <v>359</v>
      </c>
      <c r="K19" s="639"/>
      <c r="L19" s="639"/>
      <c r="M19" s="639"/>
      <c r="N19" s="639"/>
      <c r="O19" s="639"/>
      <c r="P19" s="640"/>
      <c r="Q19" s="641" t="s">
        <v>199</v>
      </c>
      <c r="R19" s="642"/>
      <c r="S19" s="642"/>
      <c r="T19" s="642"/>
      <c r="U19" s="642"/>
      <c r="V19" s="642"/>
      <c r="W19" s="643"/>
      <c r="X19" s="644" t="s">
        <v>195</v>
      </c>
      <c r="Y19" s="645"/>
      <c r="Z19" s="645"/>
      <c r="AA19" s="646"/>
      <c r="AB19" s="647"/>
      <c r="AC19" s="648"/>
      <c r="AD19" s="647" t="s">
        <v>197</v>
      </c>
      <c r="AE19" s="648"/>
      <c r="AF19" s="649" t="s">
        <v>178</v>
      </c>
      <c r="AG19" s="650"/>
      <c r="AH19" s="650"/>
      <c r="AI19" s="651"/>
      <c r="AJ19" s="649"/>
      <c r="AK19" s="650"/>
      <c r="AL19" s="650"/>
      <c r="AM19" s="650"/>
      <c r="AN19" s="650"/>
      <c r="AO19" s="651"/>
      <c r="AP19" s="627" t="s">
        <v>178</v>
      </c>
      <c r="AQ19" s="628"/>
      <c r="AR19" s="628"/>
      <c r="AS19" s="628"/>
      <c r="AT19" s="628"/>
      <c r="AU19" s="628"/>
      <c r="AV19" s="628"/>
      <c r="AW19" s="628"/>
      <c r="AX19" s="628"/>
      <c r="AY19" s="628"/>
      <c r="AZ19" s="629"/>
      <c r="BA19" s="630" t="s">
        <v>372</v>
      </c>
      <c r="BB19" s="631"/>
      <c r="BC19" s="631"/>
      <c r="BD19" s="631"/>
      <c r="BE19" s="631"/>
      <c r="BF19" s="631"/>
      <c r="BG19" s="631"/>
      <c r="BH19" s="631"/>
      <c r="BI19" s="631"/>
      <c r="BJ19" s="631"/>
      <c r="BK19" s="631"/>
      <c r="BL19" s="631"/>
      <c r="BM19" s="631"/>
      <c r="BN19" s="631"/>
      <c r="BO19" s="631"/>
      <c r="BP19" s="631"/>
      <c r="BQ19" s="631"/>
      <c r="BR19" s="631"/>
      <c r="BS19" s="631"/>
      <c r="BT19" s="631"/>
      <c r="BU19" s="631"/>
      <c r="BV19" s="631"/>
      <c r="BW19" s="631"/>
      <c r="BX19" s="631"/>
      <c r="BY19" s="631"/>
      <c r="BZ19" s="631"/>
      <c r="CA19" s="631"/>
      <c r="CB19" s="631"/>
      <c r="CC19" s="631"/>
      <c r="CD19" s="631"/>
      <c r="CE19" s="631"/>
      <c r="CF19" s="631"/>
      <c r="CG19" s="631"/>
      <c r="CH19" s="631"/>
      <c r="CI19" s="632"/>
    </row>
    <row r="20" spans="1:87" ht="15.5" customHeight="1">
      <c r="A20" s="633">
        <v>2.7</v>
      </c>
      <c r="B20" s="634"/>
      <c r="C20" s="635"/>
      <c r="D20" s="636"/>
      <c r="E20" s="636"/>
      <c r="F20" s="636"/>
      <c r="G20" s="636"/>
      <c r="H20" s="636"/>
      <c r="I20" s="637"/>
      <c r="J20" s="638" t="s">
        <v>300</v>
      </c>
      <c r="K20" s="639"/>
      <c r="L20" s="639"/>
      <c r="M20" s="639"/>
      <c r="N20" s="639"/>
      <c r="O20" s="639"/>
      <c r="P20" s="640"/>
      <c r="Q20" s="641" t="s">
        <v>199</v>
      </c>
      <c r="R20" s="642"/>
      <c r="S20" s="642"/>
      <c r="T20" s="642"/>
      <c r="U20" s="642"/>
      <c r="V20" s="642"/>
      <c r="W20" s="643"/>
      <c r="X20" s="644" t="s">
        <v>195</v>
      </c>
      <c r="Y20" s="645"/>
      <c r="Z20" s="645"/>
      <c r="AA20" s="646"/>
      <c r="AB20" s="647"/>
      <c r="AC20" s="648"/>
      <c r="AD20" s="647" t="s">
        <v>197</v>
      </c>
      <c r="AE20" s="648"/>
      <c r="AF20" s="649" t="s">
        <v>178</v>
      </c>
      <c r="AG20" s="650"/>
      <c r="AH20" s="650"/>
      <c r="AI20" s="651"/>
      <c r="AJ20" s="649"/>
      <c r="AK20" s="650"/>
      <c r="AL20" s="650"/>
      <c r="AM20" s="650"/>
      <c r="AN20" s="650"/>
      <c r="AO20" s="651"/>
      <c r="AP20" s="627" t="s">
        <v>178</v>
      </c>
      <c r="AQ20" s="628"/>
      <c r="AR20" s="628"/>
      <c r="AS20" s="628"/>
      <c r="AT20" s="628"/>
      <c r="AU20" s="628"/>
      <c r="AV20" s="628"/>
      <c r="AW20" s="628"/>
      <c r="AX20" s="628"/>
      <c r="AY20" s="628"/>
      <c r="AZ20" s="629"/>
      <c r="BA20" s="630" t="s">
        <v>373</v>
      </c>
      <c r="BB20" s="631"/>
      <c r="BC20" s="631"/>
      <c r="BD20" s="631"/>
      <c r="BE20" s="631"/>
      <c r="BF20" s="631"/>
      <c r="BG20" s="631"/>
      <c r="BH20" s="631"/>
      <c r="BI20" s="631"/>
      <c r="BJ20" s="631"/>
      <c r="BK20" s="631"/>
      <c r="BL20" s="631"/>
      <c r="BM20" s="631"/>
      <c r="BN20" s="631"/>
      <c r="BO20" s="631"/>
      <c r="BP20" s="631"/>
      <c r="BQ20" s="631"/>
      <c r="BR20" s="631"/>
      <c r="BS20" s="631"/>
      <c r="BT20" s="631"/>
      <c r="BU20" s="631"/>
      <c r="BV20" s="631"/>
      <c r="BW20" s="631"/>
      <c r="BX20" s="631"/>
      <c r="BY20" s="631"/>
      <c r="BZ20" s="631"/>
      <c r="CA20" s="631"/>
      <c r="CB20" s="631"/>
      <c r="CC20" s="631"/>
      <c r="CD20" s="631"/>
      <c r="CE20" s="631"/>
      <c r="CF20" s="631"/>
      <c r="CG20" s="631"/>
      <c r="CH20" s="631"/>
      <c r="CI20" s="632"/>
    </row>
    <row r="21" spans="1:87" s="553" customFormat="1" ht="15.5" customHeight="1">
      <c r="A21" s="633">
        <v>2.8</v>
      </c>
      <c r="B21" s="634"/>
      <c r="C21" s="546"/>
      <c r="D21" s="547"/>
      <c r="E21" s="547"/>
      <c r="F21" s="547"/>
      <c r="G21" s="547"/>
      <c r="H21" s="547"/>
      <c r="I21" s="548"/>
      <c r="J21" s="670" t="s">
        <v>350</v>
      </c>
      <c r="K21" s="671"/>
      <c r="L21" s="671"/>
      <c r="M21" s="671"/>
      <c r="N21" s="671"/>
      <c r="O21" s="671"/>
      <c r="P21" s="672"/>
      <c r="Q21" s="641" t="s">
        <v>199</v>
      </c>
      <c r="R21" s="642"/>
      <c r="S21" s="642"/>
      <c r="T21" s="642"/>
      <c r="U21" s="642"/>
      <c r="V21" s="642"/>
      <c r="W21" s="643"/>
      <c r="X21" s="644" t="s">
        <v>195</v>
      </c>
      <c r="Y21" s="645"/>
      <c r="Z21" s="645"/>
      <c r="AA21" s="646"/>
      <c r="AB21" s="647"/>
      <c r="AC21" s="648"/>
      <c r="AD21" s="647" t="s">
        <v>197</v>
      </c>
      <c r="AE21" s="648"/>
      <c r="AF21" s="649" t="s">
        <v>178</v>
      </c>
      <c r="AG21" s="650"/>
      <c r="AH21" s="650"/>
      <c r="AI21" s="651"/>
      <c r="AJ21" s="549"/>
      <c r="AK21" s="550"/>
      <c r="AL21" s="550"/>
      <c r="AM21" s="550"/>
      <c r="AN21" s="550"/>
      <c r="AO21" s="551"/>
      <c r="AP21" s="679" t="s">
        <v>178</v>
      </c>
      <c r="AQ21" s="680"/>
      <c r="AR21" s="680"/>
      <c r="AS21" s="680"/>
      <c r="AT21" s="680"/>
      <c r="AU21" s="680"/>
      <c r="AV21" s="680"/>
      <c r="AW21" s="680"/>
      <c r="AX21" s="680"/>
      <c r="AY21" s="680"/>
      <c r="AZ21" s="552"/>
      <c r="BA21" s="630" t="s">
        <v>361</v>
      </c>
      <c r="BB21" s="631"/>
      <c r="BC21" s="631"/>
      <c r="BD21" s="631"/>
      <c r="BE21" s="631"/>
      <c r="BF21" s="631"/>
      <c r="BG21" s="631"/>
      <c r="BH21" s="631"/>
      <c r="BI21" s="631"/>
      <c r="BJ21" s="631"/>
      <c r="BK21" s="631"/>
      <c r="BL21" s="631"/>
      <c r="BM21" s="631"/>
      <c r="BN21" s="631"/>
      <c r="BO21" s="631"/>
      <c r="BP21" s="631"/>
      <c r="BQ21" s="631"/>
      <c r="BR21" s="631"/>
      <c r="BS21" s="631"/>
      <c r="BT21" s="631"/>
      <c r="BU21" s="631"/>
      <c r="BV21" s="631"/>
      <c r="BW21" s="631"/>
      <c r="BX21" s="631"/>
      <c r="BY21" s="631"/>
      <c r="BZ21" s="631"/>
      <c r="CA21" s="631"/>
      <c r="CB21" s="631"/>
      <c r="CC21" s="631"/>
      <c r="CD21" s="631"/>
      <c r="CE21" s="631"/>
      <c r="CF21" s="631"/>
      <c r="CG21" s="631"/>
      <c r="CH21" s="631"/>
      <c r="CI21" s="632"/>
    </row>
    <row r="22" spans="1:87" s="553" customFormat="1" ht="15.5" customHeight="1">
      <c r="A22" s="633">
        <v>2.9</v>
      </c>
      <c r="B22" s="634"/>
      <c r="C22" s="546"/>
      <c r="D22" s="547"/>
      <c r="E22" s="547"/>
      <c r="F22" s="547"/>
      <c r="G22" s="547"/>
      <c r="H22" s="547"/>
      <c r="I22" s="548"/>
      <c r="J22" s="670" t="s">
        <v>352</v>
      </c>
      <c r="K22" s="671"/>
      <c r="L22" s="671"/>
      <c r="M22" s="671"/>
      <c r="N22" s="671"/>
      <c r="O22" s="671"/>
      <c r="P22" s="672"/>
      <c r="Q22" s="641" t="s">
        <v>199</v>
      </c>
      <c r="R22" s="642"/>
      <c r="S22" s="642"/>
      <c r="T22" s="642"/>
      <c r="U22" s="642"/>
      <c r="V22" s="642"/>
      <c r="W22" s="643"/>
      <c r="X22" s="644" t="s">
        <v>195</v>
      </c>
      <c r="Y22" s="645"/>
      <c r="Z22" s="645"/>
      <c r="AA22" s="646"/>
      <c r="AB22" s="647"/>
      <c r="AC22" s="648"/>
      <c r="AD22" s="647" t="s">
        <v>197</v>
      </c>
      <c r="AE22" s="648"/>
      <c r="AF22" s="649" t="s">
        <v>178</v>
      </c>
      <c r="AG22" s="650"/>
      <c r="AH22" s="650"/>
      <c r="AI22" s="651"/>
      <c r="AJ22" s="549"/>
      <c r="AK22" s="550"/>
      <c r="AL22" s="550"/>
      <c r="AM22" s="550"/>
      <c r="AN22" s="550"/>
      <c r="AO22" s="551"/>
      <c r="AP22" s="679" t="s">
        <v>178</v>
      </c>
      <c r="AQ22" s="680"/>
      <c r="AR22" s="680"/>
      <c r="AS22" s="680"/>
      <c r="AT22" s="680"/>
      <c r="AU22" s="680"/>
      <c r="AV22" s="680"/>
      <c r="AW22" s="680"/>
      <c r="AX22" s="680"/>
      <c r="AY22" s="680"/>
      <c r="AZ22" s="552"/>
      <c r="BA22" s="630" t="s">
        <v>362</v>
      </c>
      <c r="BB22" s="631"/>
      <c r="BC22" s="631"/>
      <c r="BD22" s="631"/>
      <c r="BE22" s="631"/>
      <c r="BF22" s="631"/>
      <c r="BG22" s="631"/>
      <c r="BH22" s="631"/>
      <c r="BI22" s="631"/>
      <c r="BJ22" s="631"/>
      <c r="BK22" s="631"/>
      <c r="BL22" s="631"/>
      <c r="BM22" s="631"/>
      <c r="BN22" s="631"/>
      <c r="BO22" s="631"/>
      <c r="BP22" s="631"/>
      <c r="BQ22" s="631"/>
      <c r="BR22" s="631"/>
      <c r="BS22" s="631"/>
      <c r="BT22" s="631"/>
      <c r="BU22" s="631"/>
      <c r="BV22" s="631"/>
      <c r="BW22" s="631"/>
      <c r="BX22" s="631"/>
      <c r="BY22" s="631"/>
      <c r="BZ22" s="631"/>
      <c r="CA22" s="631"/>
      <c r="CB22" s="631"/>
      <c r="CC22" s="631"/>
      <c r="CD22" s="631"/>
      <c r="CE22" s="631"/>
      <c r="CF22" s="631"/>
      <c r="CG22" s="631"/>
      <c r="CH22" s="631"/>
      <c r="CI22" s="632"/>
    </row>
    <row r="23" spans="1:87" ht="15.75" customHeight="1">
      <c r="A23" s="633">
        <v>2.1</v>
      </c>
      <c r="B23" s="634"/>
      <c r="C23" s="655"/>
      <c r="D23" s="656"/>
      <c r="E23" s="656"/>
      <c r="F23" s="656"/>
      <c r="G23" s="656"/>
      <c r="H23" s="656"/>
      <c r="I23" s="657"/>
      <c r="J23" s="678" t="s">
        <v>307</v>
      </c>
      <c r="K23" s="678"/>
      <c r="L23" s="678"/>
      <c r="M23" s="678"/>
      <c r="N23" s="678"/>
      <c r="O23" s="678"/>
      <c r="P23" s="678"/>
      <c r="Q23" s="641" t="s">
        <v>199</v>
      </c>
      <c r="R23" s="642"/>
      <c r="S23" s="642"/>
      <c r="T23" s="642"/>
      <c r="U23" s="642"/>
      <c r="V23" s="642"/>
      <c r="W23" s="643"/>
      <c r="X23" s="644" t="s">
        <v>195</v>
      </c>
      <c r="Y23" s="645"/>
      <c r="Z23" s="645"/>
      <c r="AA23" s="646"/>
      <c r="AB23" s="647"/>
      <c r="AC23" s="648"/>
      <c r="AD23" s="647" t="s">
        <v>197</v>
      </c>
      <c r="AE23" s="648"/>
      <c r="AF23" s="649" t="s">
        <v>178</v>
      </c>
      <c r="AG23" s="650"/>
      <c r="AH23" s="650"/>
      <c r="AI23" s="651"/>
      <c r="AJ23" s="664"/>
      <c r="AK23" s="665"/>
      <c r="AL23" s="665"/>
      <c r="AM23" s="665"/>
      <c r="AN23" s="665"/>
      <c r="AO23" s="666"/>
      <c r="AP23" s="627" t="s">
        <v>178</v>
      </c>
      <c r="AQ23" s="628"/>
      <c r="AR23" s="628"/>
      <c r="AS23" s="628"/>
      <c r="AT23" s="628"/>
      <c r="AU23" s="628"/>
      <c r="AV23" s="628"/>
      <c r="AW23" s="628"/>
      <c r="AX23" s="628"/>
      <c r="AY23" s="628"/>
      <c r="AZ23" s="629"/>
      <c r="BA23" s="630" t="s">
        <v>363</v>
      </c>
      <c r="BB23" s="631"/>
      <c r="BC23" s="631"/>
      <c r="BD23" s="631"/>
      <c r="BE23" s="631"/>
      <c r="BF23" s="631"/>
      <c r="BG23" s="631"/>
      <c r="BH23" s="631"/>
      <c r="BI23" s="631"/>
      <c r="BJ23" s="631"/>
      <c r="BK23" s="631"/>
      <c r="BL23" s="631"/>
      <c r="BM23" s="631"/>
      <c r="BN23" s="631"/>
      <c r="BO23" s="631"/>
      <c r="BP23" s="631"/>
      <c r="BQ23" s="631"/>
      <c r="BR23" s="631"/>
      <c r="BS23" s="631"/>
      <c r="BT23" s="631"/>
      <c r="BU23" s="631"/>
      <c r="BV23" s="631"/>
      <c r="BW23" s="631"/>
      <c r="BX23" s="631"/>
      <c r="BY23" s="631"/>
      <c r="BZ23" s="631"/>
      <c r="CA23" s="631"/>
      <c r="CB23" s="631"/>
      <c r="CC23" s="631"/>
      <c r="CD23" s="631"/>
      <c r="CE23" s="631"/>
      <c r="CF23" s="631"/>
      <c r="CG23" s="631"/>
      <c r="CH23" s="631"/>
      <c r="CI23" s="632"/>
    </row>
    <row r="24" spans="1:87" ht="15.5" customHeight="1">
      <c r="A24" s="633">
        <v>2.11</v>
      </c>
      <c r="B24" s="634"/>
      <c r="C24" s="655"/>
      <c r="D24" s="656"/>
      <c r="E24" s="656"/>
      <c r="F24" s="656"/>
      <c r="G24" s="656"/>
      <c r="H24" s="656"/>
      <c r="I24" s="657"/>
      <c r="J24" s="678" t="s">
        <v>303</v>
      </c>
      <c r="K24" s="678"/>
      <c r="L24" s="678"/>
      <c r="M24" s="678"/>
      <c r="N24" s="678"/>
      <c r="O24" s="678"/>
      <c r="P24" s="678"/>
      <c r="Q24" s="641" t="s">
        <v>199</v>
      </c>
      <c r="R24" s="642"/>
      <c r="S24" s="642"/>
      <c r="T24" s="642"/>
      <c r="U24" s="642"/>
      <c r="V24" s="642"/>
      <c r="W24" s="643"/>
      <c r="X24" s="644" t="s">
        <v>195</v>
      </c>
      <c r="Y24" s="645"/>
      <c r="Z24" s="645"/>
      <c r="AA24" s="646"/>
      <c r="AB24" s="647"/>
      <c r="AC24" s="648"/>
      <c r="AD24" s="647" t="s">
        <v>197</v>
      </c>
      <c r="AE24" s="648"/>
      <c r="AF24" s="649" t="s">
        <v>178</v>
      </c>
      <c r="AG24" s="650"/>
      <c r="AH24" s="650"/>
      <c r="AI24" s="651"/>
      <c r="AJ24" s="664"/>
      <c r="AK24" s="665"/>
      <c r="AL24" s="665"/>
      <c r="AM24" s="665"/>
      <c r="AN24" s="665"/>
      <c r="AO24" s="666"/>
      <c r="AP24" s="627" t="s">
        <v>178</v>
      </c>
      <c r="AQ24" s="628"/>
      <c r="AR24" s="628"/>
      <c r="AS24" s="628"/>
      <c r="AT24" s="628"/>
      <c r="AU24" s="628"/>
      <c r="AV24" s="628"/>
      <c r="AW24" s="628"/>
      <c r="AX24" s="628"/>
      <c r="AY24" s="628"/>
      <c r="AZ24" s="629"/>
      <c r="BA24" s="630" t="s">
        <v>364</v>
      </c>
      <c r="BB24" s="631"/>
      <c r="BC24" s="631"/>
      <c r="BD24" s="631"/>
      <c r="BE24" s="631"/>
      <c r="BF24" s="631"/>
      <c r="BG24" s="631"/>
      <c r="BH24" s="631"/>
      <c r="BI24" s="631"/>
      <c r="BJ24" s="631"/>
      <c r="BK24" s="631"/>
      <c r="BL24" s="631"/>
      <c r="BM24" s="631"/>
      <c r="BN24" s="631"/>
      <c r="BO24" s="631"/>
      <c r="BP24" s="631"/>
      <c r="BQ24" s="631"/>
      <c r="BR24" s="631"/>
      <c r="BS24" s="631"/>
      <c r="BT24" s="631"/>
      <c r="BU24" s="631"/>
      <c r="BV24" s="631"/>
      <c r="BW24" s="631"/>
      <c r="BX24" s="631"/>
      <c r="BY24" s="631"/>
      <c r="BZ24" s="631"/>
      <c r="CA24" s="631"/>
      <c r="CB24" s="631"/>
      <c r="CC24" s="631"/>
      <c r="CD24" s="631"/>
      <c r="CE24" s="631"/>
      <c r="CF24" s="631"/>
      <c r="CG24" s="631"/>
      <c r="CH24" s="631"/>
      <c r="CI24" s="632"/>
    </row>
    <row r="25" spans="1:87" ht="15.75" customHeight="1">
      <c r="A25" s="633">
        <v>2.12</v>
      </c>
      <c r="B25" s="634"/>
      <c r="C25" s="652"/>
      <c r="D25" s="653"/>
      <c r="E25" s="653"/>
      <c r="F25" s="653"/>
      <c r="G25" s="653"/>
      <c r="H25" s="653"/>
      <c r="I25" s="654"/>
      <c r="J25" s="638" t="s">
        <v>308</v>
      </c>
      <c r="K25" s="639"/>
      <c r="L25" s="639"/>
      <c r="M25" s="639"/>
      <c r="N25" s="639"/>
      <c r="O25" s="639"/>
      <c r="P25" s="640"/>
      <c r="Q25" s="641" t="s">
        <v>199</v>
      </c>
      <c r="R25" s="642"/>
      <c r="S25" s="642"/>
      <c r="T25" s="642"/>
      <c r="U25" s="642"/>
      <c r="V25" s="642"/>
      <c r="W25" s="643"/>
      <c r="X25" s="644" t="s">
        <v>195</v>
      </c>
      <c r="Y25" s="645"/>
      <c r="Z25" s="645"/>
      <c r="AA25" s="646"/>
      <c r="AB25" s="647"/>
      <c r="AC25" s="648"/>
      <c r="AD25" s="647" t="s">
        <v>197</v>
      </c>
      <c r="AE25" s="648"/>
      <c r="AF25" s="728"/>
      <c r="AG25" s="729"/>
      <c r="AH25" s="729"/>
      <c r="AI25" s="729"/>
      <c r="AJ25" s="730"/>
      <c r="AK25" s="731"/>
      <c r="AL25" s="731"/>
      <c r="AM25" s="731"/>
      <c r="AN25" s="731"/>
      <c r="AO25" s="732"/>
      <c r="AP25" s="733" t="s">
        <v>178</v>
      </c>
      <c r="AQ25" s="734"/>
      <c r="AR25" s="734"/>
      <c r="AS25" s="734"/>
      <c r="AT25" s="734"/>
      <c r="AU25" s="734"/>
      <c r="AV25" s="734"/>
      <c r="AW25" s="734"/>
      <c r="AX25" s="734"/>
      <c r="AY25" s="734"/>
      <c r="AZ25" s="735"/>
      <c r="BA25" s="630" t="s">
        <v>365</v>
      </c>
      <c r="BB25" s="631"/>
      <c r="BC25" s="631"/>
      <c r="BD25" s="631"/>
      <c r="BE25" s="631"/>
      <c r="BF25" s="631"/>
      <c r="BG25" s="631"/>
      <c r="BH25" s="631"/>
      <c r="BI25" s="631"/>
      <c r="BJ25" s="631"/>
      <c r="BK25" s="631"/>
      <c r="BL25" s="631"/>
      <c r="BM25" s="631"/>
      <c r="BN25" s="631"/>
      <c r="BO25" s="631"/>
      <c r="BP25" s="631"/>
      <c r="BQ25" s="631"/>
      <c r="BR25" s="631"/>
      <c r="BS25" s="631"/>
      <c r="BT25" s="631"/>
      <c r="BU25" s="631"/>
      <c r="BV25" s="631"/>
      <c r="BW25" s="631"/>
      <c r="BX25" s="631"/>
      <c r="BY25" s="631"/>
      <c r="BZ25" s="631"/>
      <c r="CA25" s="631"/>
      <c r="CB25" s="631"/>
      <c r="CC25" s="631"/>
      <c r="CD25" s="631"/>
      <c r="CE25" s="631"/>
      <c r="CF25" s="631"/>
      <c r="CG25" s="631"/>
      <c r="CH25" s="631"/>
      <c r="CI25" s="632"/>
    </row>
    <row r="26" spans="1:87" ht="15.5" customHeight="1">
      <c r="A26" s="633">
        <v>2.13</v>
      </c>
      <c r="B26" s="634"/>
      <c r="C26" s="635"/>
      <c r="D26" s="636"/>
      <c r="E26" s="636"/>
      <c r="F26" s="636"/>
      <c r="G26" s="636"/>
      <c r="H26" s="636"/>
      <c r="I26" s="637"/>
      <c r="J26" s="638" t="s">
        <v>305</v>
      </c>
      <c r="K26" s="639"/>
      <c r="L26" s="639"/>
      <c r="M26" s="639"/>
      <c r="N26" s="639"/>
      <c r="O26" s="639"/>
      <c r="P26" s="640"/>
      <c r="Q26" s="641" t="s">
        <v>199</v>
      </c>
      <c r="R26" s="642"/>
      <c r="S26" s="642"/>
      <c r="T26" s="642"/>
      <c r="U26" s="642"/>
      <c r="V26" s="642"/>
      <c r="W26" s="643"/>
      <c r="X26" s="644" t="s">
        <v>195</v>
      </c>
      <c r="Y26" s="645"/>
      <c r="Z26" s="645"/>
      <c r="AA26" s="646"/>
      <c r="AB26" s="647"/>
      <c r="AC26" s="648"/>
      <c r="AD26" s="647" t="s">
        <v>197</v>
      </c>
      <c r="AE26" s="648"/>
      <c r="AF26" s="649" t="s">
        <v>178</v>
      </c>
      <c r="AG26" s="650"/>
      <c r="AH26" s="650"/>
      <c r="AI26" s="651"/>
      <c r="AJ26" s="649"/>
      <c r="AK26" s="650"/>
      <c r="AL26" s="650"/>
      <c r="AM26" s="650"/>
      <c r="AN26" s="650"/>
      <c r="AO26" s="651"/>
      <c r="AP26" s="627" t="s">
        <v>178</v>
      </c>
      <c r="AQ26" s="628"/>
      <c r="AR26" s="628"/>
      <c r="AS26" s="628"/>
      <c r="AT26" s="628"/>
      <c r="AU26" s="628"/>
      <c r="AV26" s="628"/>
      <c r="AW26" s="628"/>
      <c r="AX26" s="628"/>
      <c r="AY26" s="628"/>
      <c r="AZ26" s="629"/>
      <c r="BA26" s="630" t="s">
        <v>366</v>
      </c>
      <c r="BB26" s="631"/>
      <c r="BC26" s="631"/>
      <c r="BD26" s="631"/>
      <c r="BE26" s="631"/>
      <c r="BF26" s="631"/>
      <c r="BG26" s="631"/>
      <c r="BH26" s="631"/>
      <c r="BI26" s="631"/>
      <c r="BJ26" s="631"/>
      <c r="BK26" s="631"/>
      <c r="BL26" s="631"/>
      <c r="BM26" s="631"/>
      <c r="BN26" s="631"/>
      <c r="BO26" s="631"/>
      <c r="BP26" s="631"/>
      <c r="BQ26" s="631"/>
      <c r="BR26" s="631"/>
      <c r="BS26" s="631"/>
      <c r="BT26" s="631"/>
      <c r="BU26" s="631"/>
      <c r="BV26" s="631"/>
      <c r="BW26" s="631"/>
      <c r="BX26" s="631"/>
      <c r="BY26" s="631"/>
      <c r="BZ26" s="631"/>
      <c r="CA26" s="631"/>
      <c r="CB26" s="631"/>
      <c r="CC26" s="631"/>
      <c r="CD26" s="631"/>
      <c r="CE26" s="631"/>
      <c r="CF26" s="631"/>
      <c r="CG26" s="631"/>
      <c r="CH26" s="631"/>
      <c r="CI26" s="632"/>
    </row>
    <row r="27" spans="1:87" ht="15.5" customHeight="1">
      <c r="A27" s="633">
        <v>2.14</v>
      </c>
      <c r="B27" s="634"/>
      <c r="C27" s="635"/>
      <c r="D27" s="636"/>
      <c r="E27" s="636"/>
      <c r="F27" s="636"/>
      <c r="G27" s="636"/>
      <c r="H27" s="636"/>
      <c r="I27" s="637"/>
      <c r="J27" s="638" t="s">
        <v>355</v>
      </c>
      <c r="K27" s="639"/>
      <c r="L27" s="639"/>
      <c r="M27" s="639"/>
      <c r="N27" s="639"/>
      <c r="O27" s="639"/>
      <c r="P27" s="640"/>
      <c r="Q27" s="641" t="s">
        <v>199</v>
      </c>
      <c r="R27" s="642"/>
      <c r="S27" s="642"/>
      <c r="T27" s="642"/>
      <c r="U27" s="642"/>
      <c r="V27" s="642"/>
      <c r="W27" s="643"/>
      <c r="X27" s="644" t="s">
        <v>195</v>
      </c>
      <c r="Y27" s="645"/>
      <c r="Z27" s="645"/>
      <c r="AA27" s="646"/>
      <c r="AB27" s="647"/>
      <c r="AC27" s="648"/>
      <c r="AD27" s="647" t="s">
        <v>197</v>
      </c>
      <c r="AE27" s="648"/>
      <c r="AF27" s="649" t="s">
        <v>178</v>
      </c>
      <c r="AG27" s="650"/>
      <c r="AH27" s="650"/>
      <c r="AI27" s="651"/>
      <c r="AJ27" s="649"/>
      <c r="AK27" s="650"/>
      <c r="AL27" s="650"/>
      <c r="AM27" s="650"/>
      <c r="AN27" s="650"/>
      <c r="AO27" s="651"/>
      <c r="AP27" s="627" t="s">
        <v>178</v>
      </c>
      <c r="AQ27" s="628"/>
      <c r="AR27" s="628"/>
      <c r="AS27" s="628"/>
      <c r="AT27" s="628"/>
      <c r="AU27" s="628"/>
      <c r="AV27" s="628"/>
      <c r="AW27" s="628"/>
      <c r="AX27" s="628"/>
      <c r="AY27" s="628"/>
      <c r="AZ27" s="629"/>
      <c r="BA27" s="630" t="s">
        <v>367</v>
      </c>
      <c r="BB27" s="631"/>
      <c r="BC27" s="631"/>
      <c r="BD27" s="631"/>
      <c r="BE27" s="631"/>
      <c r="BF27" s="631"/>
      <c r="BG27" s="631"/>
      <c r="BH27" s="631"/>
      <c r="BI27" s="631"/>
      <c r="BJ27" s="631"/>
      <c r="BK27" s="631"/>
      <c r="BL27" s="631"/>
      <c r="BM27" s="631"/>
      <c r="BN27" s="631"/>
      <c r="BO27" s="631"/>
      <c r="BP27" s="631"/>
      <c r="BQ27" s="631"/>
      <c r="BR27" s="631"/>
      <c r="BS27" s="631"/>
      <c r="BT27" s="631"/>
      <c r="BU27" s="631"/>
      <c r="BV27" s="631"/>
      <c r="BW27" s="631"/>
      <c r="BX27" s="631"/>
      <c r="BY27" s="631"/>
      <c r="BZ27" s="631"/>
      <c r="CA27" s="631"/>
      <c r="CB27" s="631"/>
      <c r="CC27" s="631"/>
      <c r="CD27" s="631"/>
      <c r="CE27" s="631"/>
      <c r="CF27" s="631"/>
      <c r="CG27" s="631"/>
      <c r="CH27" s="631"/>
      <c r="CI27" s="632"/>
    </row>
    <row r="28" spans="1:87">
      <c r="A28" s="633"/>
      <c r="B28" s="634"/>
      <c r="C28" s="635"/>
      <c r="D28" s="636"/>
      <c r="E28" s="636"/>
      <c r="F28" s="636"/>
      <c r="G28" s="636"/>
      <c r="H28" s="636"/>
      <c r="I28" s="637"/>
      <c r="J28" s="673"/>
      <c r="K28" s="674"/>
      <c r="L28" s="674"/>
      <c r="M28" s="674"/>
      <c r="N28" s="674"/>
      <c r="O28" s="674"/>
      <c r="P28" s="675"/>
      <c r="Q28" s="673"/>
      <c r="R28" s="674"/>
      <c r="S28" s="674"/>
      <c r="T28" s="674"/>
      <c r="U28" s="674"/>
      <c r="V28" s="674"/>
      <c r="W28" s="675"/>
      <c r="X28" s="644"/>
      <c r="Y28" s="645"/>
      <c r="Z28" s="645"/>
      <c r="AA28" s="646"/>
      <c r="AB28" s="647"/>
      <c r="AC28" s="648"/>
      <c r="AD28" s="647"/>
      <c r="AE28" s="648"/>
      <c r="AF28" s="649"/>
      <c r="AG28" s="650"/>
      <c r="AH28" s="650"/>
      <c r="AI28" s="651"/>
      <c r="AJ28" s="649"/>
      <c r="AK28" s="650"/>
      <c r="AL28" s="650"/>
      <c r="AM28" s="650"/>
      <c r="AN28" s="650"/>
      <c r="AO28" s="651"/>
      <c r="AP28" s="627"/>
      <c r="AQ28" s="628"/>
      <c r="AR28" s="628"/>
      <c r="AS28" s="628"/>
      <c r="AT28" s="628"/>
      <c r="AU28" s="628"/>
      <c r="AV28" s="628"/>
      <c r="AW28" s="628"/>
      <c r="AX28" s="628"/>
      <c r="AY28" s="628"/>
      <c r="AZ28" s="629"/>
      <c r="BA28" s="676"/>
      <c r="BB28" s="628"/>
      <c r="BC28" s="628"/>
      <c r="BD28" s="628"/>
      <c r="BE28" s="628"/>
      <c r="BF28" s="628"/>
      <c r="BG28" s="628"/>
      <c r="BH28" s="628"/>
      <c r="BI28" s="628"/>
      <c r="BJ28" s="628"/>
      <c r="BK28" s="628"/>
      <c r="BL28" s="628"/>
      <c r="BM28" s="628"/>
      <c r="BN28" s="628"/>
      <c r="BO28" s="628"/>
      <c r="BP28" s="628"/>
      <c r="BQ28" s="628"/>
      <c r="BR28" s="628"/>
      <c r="BS28" s="628"/>
      <c r="BT28" s="628"/>
      <c r="BU28" s="628"/>
      <c r="BV28" s="628"/>
      <c r="BW28" s="628"/>
      <c r="BX28" s="628"/>
      <c r="BY28" s="628"/>
      <c r="BZ28" s="628"/>
      <c r="CA28" s="628"/>
      <c r="CB28" s="628"/>
      <c r="CC28" s="628"/>
      <c r="CD28" s="628"/>
      <c r="CE28" s="628"/>
      <c r="CF28" s="628"/>
      <c r="CG28" s="628"/>
      <c r="CH28" s="628"/>
      <c r="CI28" s="677"/>
    </row>
    <row r="29" spans="1:87">
      <c r="A29" s="458"/>
      <c r="B29" s="458"/>
      <c r="C29" s="458"/>
      <c r="D29" s="458"/>
      <c r="E29" s="458"/>
      <c r="F29" s="458"/>
      <c r="G29" s="458"/>
      <c r="H29" s="458"/>
      <c r="I29" s="458"/>
      <c r="J29" s="458"/>
      <c r="K29" s="458"/>
      <c r="L29" s="458"/>
      <c r="M29" s="458"/>
      <c r="N29" s="458"/>
      <c r="O29" s="458"/>
      <c r="P29" s="458"/>
      <c r="Q29" s="458"/>
      <c r="R29" s="458"/>
      <c r="S29" s="458"/>
      <c r="T29" s="458"/>
      <c r="U29" s="458"/>
      <c r="V29" s="458"/>
      <c r="W29" s="458"/>
      <c r="X29" s="458"/>
      <c r="Y29" s="458"/>
      <c r="Z29" s="458"/>
      <c r="AA29" s="458"/>
      <c r="AB29" s="458"/>
      <c r="AC29" s="458"/>
      <c r="AD29" s="458"/>
      <c r="AE29" s="458"/>
      <c r="AF29" s="458"/>
      <c r="AG29" s="458"/>
      <c r="AH29" s="458"/>
      <c r="AI29" s="458"/>
      <c r="AJ29" s="461"/>
      <c r="AK29" s="461"/>
      <c r="AL29" s="461"/>
      <c r="AM29" s="461"/>
      <c r="AN29" s="458"/>
      <c r="AO29" s="458"/>
      <c r="AP29" s="458"/>
      <c r="AQ29" s="458"/>
      <c r="AR29" s="458"/>
      <c r="AS29" s="458"/>
      <c r="AT29" s="458"/>
      <c r="AU29" s="458"/>
      <c r="AV29" s="458"/>
      <c r="AW29" s="458"/>
      <c r="AX29" s="458"/>
      <c r="AY29" s="458"/>
      <c r="AZ29" s="458"/>
      <c r="BA29" s="458"/>
      <c r="BB29" s="458"/>
      <c r="BC29" s="458"/>
      <c r="BD29" s="458"/>
      <c r="BE29" s="458"/>
      <c r="BF29" s="458"/>
      <c r="BG29" s="458"/>
      <c r="BH29" s="458"/>
      <c r="BI29" s="458"/>
      <c r="BJ29" s="458"/>
      <c r="BK29" s="458"/>
      <c r="BL29" s="458"/>
      <c r="BM29" s="458"/>
      <c r="BN29" s="458"/>
      <c r="BO29" s="458"/>
      <c r="BP29" s="458"/>
      <c r="BQ29" s="458"/>
      <c r="BR29" s="458"/>
      <c r="BS29" s="458"/>
      <c r="BT29" s="458"/>
      <c r="BU29" s="458"/>
      <c r="BV29" s="458"/>
      <c r="BW29" s="458"/>
      <c r="BX29" s="458"/>
      <c r="BY29" s="458"/>
      <c r="BZ29" s="458"/>
      <c r="CA29" s="458"/>
      <c r="CB29" s="458"/>
      <c r="CC29" s="458"/>
      <c r="CD29" s="458"/>
      <c r="CE29" s="458"/>
      <c r="CF29" s="458"/>
      <c r="CG29" s="458"/>
      <c r="CH29" s="458"/>
      <c r="CI29" s="458"/>
    </row>
    <row r="30" spans="1:87">
      <c r="A30" s="711" t="s">
        <v>200</v>
      </c>
      <c r="B30" s="711"/>
      <c r="C30" s="711"/>
      <c r="D30" s="711"/>
      <c r="E30" s="711"/>
      <c r="F30" s="711"/>
      <c r="G30" s="711"/>
      <c r="H30" s="711"/>
      <c r="I30" s="458"/>
      <c r="J30" s="458"/>
      <c r="K30" s="458"/>
      <c r="L30" s="458"/>
      <c r="M30" s="458"/>
      <c r="N30" s="458"/>
      <c r="O30" s="458"/>
      <c r="P30" s="458"/>
      <c r="Q30" s="458"/>
      <c r="R30" s="458"/>
      <c r="S30" s="458"/>
      <c r="T30" s="458"/>
      <c r="U30" s="458"/>
      <c r="V30" s="458"/>
      <c r="W30" s="458"/>
      <c r="X30" s="458"/>
      <c r="Y30" s="458"/>
      <c r="Z30" s="458"/>
      <c r="AA30" s="458"/>
      <c r="AB30" s="458"/>
      <c r="AC30" s="458"/>
      <c r="AD30" s="458"/>
      <c r="AE30" s="458"/>
      <c r="AF30" s="458"/>
      <c r="AG30" s="458"/>
      <c r="AH30" s="458"/>
      <c r="AI30" s="458"/>
      <c r="AJ30" s="458"/>
      <c r="AK30" s="458"/>
      <c r="AL30" s="458"/>
      <c r="AM30" s="458"/>
      <c r="AN30" s="458"/>
      <c r="AO30" s="458"/>
      <c r="AP30" s="458"/>
      <c r="AQ30" s="458"/>
      <c r="AR30" s="458"/>
      <c r="AS30" s="458"/>
      <c r="AT30" s="458"/>
      <c r="AU30" s="458"/>
      <c r="AV30" s="458"/>
      <c r="AW30" s="458"/>
      <c r="AX30" s="458"/>
      <c r="AY30" s="458"/>
      <c r="AZ30" s="458"/>
      <c r="BA30" s="458"/>
      <c r="BB30" s="458"/>
      <c r="BC30" s="458"/>
      <c r="BD30" s="458"/>
      <c r="BE30" s="458"/>
      <c r="BF30" s="458"/>
      <c r="BG30" s="458"/>
      <c r="BH30" s="458"/>
      <c r="BI30" s="458"/>
      <c r="BJ30" s="458"/>
      <c r="BK30" s="458"/>
      <c r="BL30" s="458"/>
      <c r="BM30" s="458"/>
      <c r="BN30" s="458"/>
      <c r="BO30" s="458"/>
      <c r="BP30" s="458"/>
      <c r="BQ30" s="458"/>
      <c r="BR30" s="458"/>
      <c r="BS30" s="458"/>
      <c r="BT30" s="458"/>
      <c r="BU30" s="458"/>
      <c r="BV30" s="458"/>
      <c r="BW30" s="458"/>
      <c r="BX30" s="458"/>
      <c r="BY30" s="458"/>
      <c r="BZ30" s="458"/>
      <c r="CA30" s="458"/>
      <c r="CB30" s="458"/>
      <c r="CC30" s="458"/>
      <c r="CD30" s="458"/>
      <c r="CE30" s="458"/>
      <c r="CF30" s="458"/>
      <c r="CG30" s="458"/>
      <c r="CH30" s="459"/>
      <c r="CI30" s="459"/>
    </row>
    <row r="31" spans="1:87" ht="21" customHeight="1">
      <c r="A31" s="712" t="s">
        <v>201</v>
      </c>
      <c r="B31" s="713"/>
      <c r="C31" s="716" t="s">
        <v>202</v>
      </c>
      <c r="D31" s="717"/>
      <c r="E31" s="717"/>
      <c r="F31" s="717"/>
      <c r="G31" s="717"/>
      <c r="H31" s="717"/>
      <c r="I31" s="717"/>
      <c r="J31" s="720" t="s">
        <v>203</v>
      </c>
      <c r="K31" s="721"/>
      <c r="L31" s="721"/>
      <c r="M31" s="721"/>
      <c r="N31" s="721"/>
      <c r="O31" s="721"/>
      <c r="P31" s="721"/>
      <c r="Q31" s="721"/>
      <c r="R31" s="721"/>
      <c r="S31" s="721"/>
      <c r="T31" s="721"/>
      <c r="U31" s="721"/>
      <c r="V31" s="721"/>
      <c r="W31" s="722"/>
      <c r="X31" s="720" t="s">
        <v>204</v>
      </c>
      <c r="Y31" s="721"/>
      <c r="Z31" s="721"/>
      <c r="AA31" s="721"/>
      <c r="AB31" s="721"/>
      <c r="AC31" s="721"/>
      <c r="AD31" s="721"/>
      <c r="AE31" s="712" t="s">
        <v>205</v>
      </c>
      <c r="AF31" s="726"/>
      <c r="AG31" s="726"/>
      <c r="AH31" s="726"/>
      <c r="AI31" s="726"/>
      <c r="AJ31" s="726"/>
      <c r="AK31" s="726"/>
      <c r="AL31" s="713"/>
      <c r="AM31" s="720" t="s">
        <v>206</v>
      </c>
      <c r="AN31" s="721"/>
      <c r="AO31" s="721"/>
      <c r="AP31" s="721"/>
      <c r="AQ31" s="721"/>
      <c r="AR31" s="721"/>
      <c r="AS31" s="721"/>
      <c r="AT31" s="721"/>
      <c r="AU31" s="721"/>
      <c r="AV31" s="722"/>
      <c r="AW31" s="720" t="s">
        <v>207</v>
      </c>
      <c r="AX31" s="721"/>
      <c r="AY31" s="721"/>
      <c r="AZ31" s="721"/>
      <c r="BA31" s="721"/>
      <c r="BB31" s="721"/>
      <c r="BC31" s="721"/>
      <c r="BD31" s="721"/>
      <c r="BE31" s="721"/>
      <c r="BF31" s="721"/>
      <c r="BG31" s="721"/>
      <c r="BH31" s="721"/>
      <c r="BI31" s="721"/>
      <c r="BJ31" s="721"/>
      <c r="BK31" s="721"/>
      <c r="BL31" s="721"/>
      <c r="BM31" s="721"/>
      <c r="BN31" s="721"/>
      <c r="BO31" s="721"/>
      <c r="BP31" s="721"/>
      <c r="BQ31" s="721"/>
      <c r="BR31" s="721"/>
      <c r="BS31" s="721"/>
      <c r="BT31" s="721"/>
      <c r="BU31" s="721"/>
      <c r="BV31" s="721"/>
      <c r="BW31" s="721"/>
      <c r="BX31" s="721"/>
      <c r="BY31" s="721"/>
      <c r="BZ31" s="721"/>
      <c r="CA31" s="721"/>
      <c r="CB31" s="721"/>
      <c r="CC31" s="721"/>
      <c r="CD31" s="721"/>
      <c r="CE31" s="721"/>
      <c r="CF31" s="721"/>
      <c r="CG31" s="721"/>
      <c r="CH31" s="721"/>
      <c r="CI31" s="722"/>
    </row>
    <row r="32" spans="1:87" ht="21" customHeight="1">
      <c r="A32" s="714"/>
      <c r="B32" s="715"/>
      <c r="C32" s="718"/>
      <c r="D32" s="719"/>
      <c r="E32" s="719"/>
      <c r="F32" s="719"/>
      <c r="G32" s="719"/>
      <c r="H32" s="719"/>
      <c r="I32" s="719"/>
      <c r="J32" s="723"/>
      <c r="K32" s="724"/>
      <c r="L32" s="724"/>
      <c r="M32" s="724"/>
      <c r="N32" s="724"/>
      <c r="O32" s="724"/>
      <c r="P32" s="724"/>
      <c r="Q32" s="724"/>
      <c r="R32" s="724"/>
      <c r="S32" s="724"/>
      <c r="T32" s="724"/>
      <c r="U32" s="724"/>
      <c r="V32" s="724"/>
      <c r="W32" s="725"/>
      <c r="X32" s="723"/>
      <c r="Y32" s="724"/>
      <c r="Z32" s="724"/>
      <c r="AA32" s="724"/>
      <c r="AB32" s="724"/>
      <c r="AC32" s="724"/>
      <c r="AD32" s="724"/>
      <c r="AE32" s="714"/>
      <c r="AF32" s="727"/>
      <c r="AG32" s="727"/>
      <c r="AH32" s="727"/>
      <c r="AI32" s="727"/>
      <c r="AJ32" s="727"/>
      <c r="AK32" s="727"/>
      <c r="AL32" s="715"/>
      <c r="AM32" s="723"/>
      <c r="AN32" s="724"/>
      <c r="AO32" s="724"/>
      <c r="AP32" s="724"/>
      <c r="AQ32" s="724"/>
      <c r="AR32" s="724"/>
      <c r="AS32" s="724"/>
      <c r="AT32" s="724"/>
      <c r="AU32" s="724"/>
      <c r="AV32" s="725"/>
      <c r="AW32" s="723"/>
      <c r="AX32" s="724"/>
      <c r="AY32" s="724"/>
      <c r="AZ32" s="724"/>
      <c r="BA32" s="724"/>
      <c r="BB32" s="724"/>
      <c r="BC32" s="724"/>
      <c r="BD32" s="724"/>
      <c r="BE32" s="724"/>
      <c r="BF32" s="724"/>
      <c r="BG32" s="724"/>
      <c r="BH32" s="724"/>
      <c r="BI32" s="724"/>
      <c r="BJ32" s="724"/>
      <c r="BK32" s="724"/>
      <c r="BL32" s="724"/>
      <c r="BM32" s="724"/>
      <c r="BN32" s="724"/>
      <c r="BO32" s="724"/>
      <c r="BP32" s="724"/>
      <c r="BQ32" s="724"/>
      <c r="BR32" s="724"/>
      <c r="BS32" s="724"/>
      <c r="BT32" s="724"/>
      <c r="BU32" s="724"/>
      <c r="BV32" s="724"/>
      <c r="BW32" s="724"/>
      <c r="BX32" s="724"/>
      <c r="BY32" s="724"/>
      <c r="BZ32" s="724"/>
      <c r="CA32" s="724"/>
      <c r="CB32" s="724"/>
      <c r="CC32" s="724"/>
      <c r="CD32" s="724"/>
      <c r="CE32" s="724"/>
      <c r="CF32" s="724"/>
      <c r="CG32" s="724"/>
      <c r="CH32" s="724"/>
      <c r="CI32" s="725"/>
    </row>
    <row r="33" spans="1:87" s="457" customFormat="1" ht="42.75" customHeight="1">
      <c r="A33" s="685">
        <v>1</v>
      </c>
      <c r="B33" s="686"/>
      <c r="C33" s="701"/>
      <c r="D33" s="702"/>
      <c r="E33" s="702"/>
      <c r="F33" s="702"/>
      <c r="G33" s="702"/>
      <c r="H33" s="702"/>
      <c r="I33" s="703"/>
      <c r="J33" s="704"/>
      <c r="K33" s="705"/>
      <c r="L33" s="705"/>
      <c r="M33" s="705"/>
      <c r="N33" s="705"/>
      <c r="O33" s="705"/>
      <c r="P33" s="706"/>
      <c r="Q33" s="704"/>
      <c r="R33" s="705"/>
      <c r="S33" s="705"/>
      <c r="T33" s="705"/>
      <c r="U33" s="705"/>
      <c r="V33" s="705"/>
      <c r="W33" s="707"/>
      <c r="X33" s="685"/>
      <c r="Y33" s="708"/>
      <c r="Z33" s="708"/>
      <c r="AA33" s="708"/>
      <c r="AB33" s="708"/>
      <c r="AC33" s="708"/>
      <c r="AD33" s="709"/>
      <c r="AE33" s="710"/>
      <c r="AF33" s="708"/>
      <c r="AG33" s="708"/>
      <c r="AH33" s="708"/>
      <c r="AI33" s="708"/>
      <c r="AJ33" s="708"/>
      <c r="AK33" s="708"/>
      <c r="AL33" s="686"/>
      <c r="AM33" s="695"/>
      <c r="AN33" s="696"/>
      <c r="AO33" s="696"/>
      <c r="AP33" s="696"/>
      <c r="AQ33" s="696"/>
      <c r="AR33" s="696"/>
      <c r="AS33" s="696"/>
      <c r="AT33" s="696"/>
      <c r="AU33" s="696"/>
      <c r="AV33" s="697"/>
      <c r="AW33" s="698"/>
      <c r="AX33" s="699"/>
      <c r="AY33" s="699"/>
      <c r="AZ33" s="699"/>
      <c r="BA33" s="699"/>
      <c r="BB33" s="699"/>
      <c r="BC33" s="699"/>
      <c r="BD33" s="699"/>
      <c r="BE33" s="699"/>
      <c r="BF33" s="699"/>
      <c r="BG33" s="699"/>
      <c r="BH33" s="699"/>
      <c r="BI33" s="699"/>
      <c r="BJ33" s="699"/>
      <c r="BK33" s="699"/>
      <c r="BL33" s="699"/>
      <c r="BM33" s="699"/>
      <c r="BN33" s="699"/>
      <c r="BO33" s="699"/>
      <c r="BP33" s="699"/>
      <c r="BQ33" s="699"/>
      <c r="BR33" s="699"/>
      <c r="BS33" s="699"/>
      <c r="BT33" s="699"/>
      <c r="BU33" s="699"/>
      <c r="BV33" s="699"/>
      <c r="BW33" s="699"/>
      <c r="BX33" s="699"/>
      <c r="BY33" s="699"/>
      <c r="BZ33" s="699"/>
      <c r="CA33" s="699"/>
      <c r="CB33" s="699"/>
      <c r="CC33" s="699"/>
      <c r="CD33" s="699"/>
      <c r="CE33" s="699"/>
      <c r="CF33" s="699"/>
      <c r="CG33" s="699"/>
      <c r="CH33" s="699"/>
      <c r="CI33" s="700"/>
    </row>
    <row r="34" spans="1:87" s="459" customFormat="1" ht="33" customHeight="1">
      <c r="A34" s="685">
        <v>2</v>
      </c>
      <c r="B34" s="686"/>
      <c r="C34" s="673"/>
      <c r="D34" s="674"/>
      <c r="E34" s="674"/>
      <c r="F34" s="674"/>
      <c r="G34" s="674"/>
      <c r="H34" s="674"/>
      <c r="I34" s="675"/>
      <c r="J34" s="652"/>
      <c r="K34" s="653"/>
      <c r="L34" s="653"/>
      <c r="M34" s="653"/>
      <c r="N34" s="653"/>
      <c r="O34" s="653"/>
      <c r="P34" s="654"/>
      <c r="Q34" s="673"/>
      <c r="R34" s="674"/>
      <c r="S34" s="674"/>
      <c r="T34" s="674"/>
      <c r="U34" s="674"/>
      <c r="V34" s="674"/>
      <c r="W34" s="675"/>
      <c r="X34" s="687"/>
      <c r="Y34" s="688"/>
      <c r="Z34" s="688"/>
      <c r="AA34" s="688"/>
      <c r="AB34" s="688"/>
      <c r="AC34" s="688"/>
      <c r="AD34" s="689"/>
      <c r="AE34" s="690"/>
      <c r="AF34" s="688"/>
      <c r="AG34" s="688"/>
      <c r="AH34" s="688"/>
      <c r="AI34" s="688"/>
      <c r="AJ34" s="688"/>
      <c r="AK34" s="688"/>
      <c r="AL34" s="691"/>
      <c r="AM34" s="692"/>
      <c r="AN34" s="693"/>
      <c r="AO34" s="693"/>
      <c r="AP34" s="693"/>
      <c r="AQ34" s="693"/>
      <c r="AR34" s="693"/>
      <c r="AS34" s="693"/>
      <c r="AT34" s="693"/>
      <c r="AU34" s="693"/>
      <c r="AV34" s="694"/>
      <c r="AW34" s="684"/>
      <c r="AX34" s="684"/>
      <c r="AY34" s="684"/>
      <c r="AZ34" s="684"/>
      <c r="BA34" s="684"/>
      <c r="BB34" s="684"/>
      <c r="BC34" s="684"/>
      <c r="BD34" s="684"/>
      <c r="BE34" s="684"/>
      <c r="BF34" s="684"/>
      <c r="BG34" s="684"/>
      <c r="BH34" s="684"/>
      <c r="BI34" s="684"/>
      <c r="BJ34" s="684"/>
      <c r="BK34" s="684"/>
      <c r="BL34" s="684"/>
      <c r="BM34" s="684"/>
      <c r="BN34" s="684"/>
      <c r="BO34" s="684"/>
      <c r="BP34" s="684"/>
      <c r="BQ34" s="684"/>
      <c r="BR34" s="684"/>
      <c r="BS34" s="684"/>
      <c r="BT34" s="684"/>
      <c r="BU34" s="684"/>
      <c r="BV34" s="684"/>
      <c r="BW34" s="684"/>
      <c r="BX34" s="684"/>
      <c r="BY34" s="684"/>
      <c r="BZ34" s="684"/>
      <c r="CA34" s="684"/>
      <c r="CB34" s="684"/>
      <c r="CC34" s="684"/>
      <c r="CD34" s="684"/>
      <c r="CE34" s="684"/>
      <c r="CF34" s="684"/>
      <c r="CG34" s="684"/>
      <c r="CH34" s="684"/>
      <c r="CI34" s="684"/>
    </row>
    <row r="35" spans="1:87" s="459" customFormat="1">
      <c r="A35" s="685">
        <v>3</v>
      </c>
      <c r="B35" s="686"/>
      <c r="C35" s="673"/>
      <c r="D35" s="674"/>
      <c r="E35" s="674"/>
      <c r="F35" s="674"/>
      <c r="G35" s="674"/>
      <c r="H35" s="674"/>
      <c r="I35" s="675"/>
      <c r="J35" s="652"/>
      <c r="K35" s="653"/>
      <c r="L35" s="653"/>
      <c r="M35" s="653"/>
      <c r="N35" s="653"/>
      <c r="O35" s="653"/>
      <c r="P35" s="654"/>
      <c r="Q35" s="673"/>
      <c r="R35" s="674"/>
      <c r="S35" s="674"/>
      <c r="T35" s="674"/>
      <c r="U35" s="674"/>
      <c r="V35" s="674"/>
      <c r="W35" s="675"/>
      <c r="X35" s="687"/>
      <c r="Y35" s="688"/>
      <c r="Z35" s="688"/>
      <c r="AA35" s="688"/>
      <c r="AB35" s="688"/>
      <c r="AC35" s="688"/>
      <c r="AD35" s="689"/>
      <c r="AE35" s="690"/>
      <c r="AF35" s="688"/>
      <c r="AG35" s="688"/>
      <c r="AH35" s="688"/>
      <c r="AI35" s="688"/>
      <c r="AJ35" s="688"/>
      <c r="AK35" s="688"/>
      <c r="AL35" s="691"/>
      <c r="AM35" s="681"/>
      <c r="AN35" s="682"/>
      <c r="AO35" s="682"/>
      <c r="AP35" s="682"/>
      <c r="AQ35" s="682"/>
      <c r="AR35" s="682"/>
      <c r="AS35" s="682"/>
      <c r="AT35" s="682"/>
      <c r="AU35" s="682"/>
      <c r="AV35" s="683"/>
      <c r="AW35" s="684"/>
      <c r="AX35" s="684"/>
      <c r="AY35" s="684"/>
      <c r="AZ35" s="684"/>
      <c r="BA35" s="684"/>
      <c r="BB35" s="684"/>
      <c r="BC35" s="684"/>
      <c r="BD35" s="684"/>
      <c r="BE35" s="684"/>
      <c r="BF35" s="684"/>
      <c r="BG35" s="684"/>
      <c r="BH35" s="684"/>
      <c r="BI35" s="684"/>
      <c r="BJ35" s="684"/>
      <c r="BK35" s="684"/>
      <c r="BL35" s="684"/>
      <c r="BM35" s="684"/>
      <c r="BN35" s="684"/>
      <c r="BO35" s="684"/>
      <c r="BP35" s="684"/>
      <c r="BQ35" s="684"/>
      <c r="BR35" s="684"/>
      <c r="BS35" s="684"/>
      <c r="BT35" s="684"/>
      <c r="BU35" s="684"/>
      <c r="BV35" s="684"/>
      <c r="BW35" s="684"/>
      <c r="BX35" s="684"/>
      <c r="BY35" s="684"/>
      <c r="BZ35" s="684"/>
      <c r="CA35" s="684"/>
      <c r="CB35" s="684"/>
      <c r="CC35" s="684"/>
      <c r="CD35" s="684"/>
      <c r="CE35" s="684"/>
      <c r="CF35" s="684"/>
      <c r="CG35" s="684"/>
      <c r="CH35" s="684"/>
      <c r="CI35" s="684"/>
    </row>
    <row r="36" spans="1:87">
      <c r="A36" s="685">
        <v>4</v>
      </c>
      <c r="B36" s="686"/>
      <c r="C36" s="635"/>
      <c r="D36" s="636"/>
      <c r="E36" s="636"/>
      <c r="F36" s="636"/>
      <c r="G36" s="636"/>
      <c r="H36" s="636"/>
      <c r="I36" s="637"/>
      <c r="J36" s="652"/>
      <c r="K36" s="653"/>
      <c r="L36" s="653"/>
      <c r="M36" s="653"/>
      <c r="N36" s="653"/>
      <c r="O36" s="653"/>
      <c r="P36" s="654"/>
      <c r="Q36" s="635"/>
      <c r="R36" s="636"/>
      <c r="S36" s="636"/>
      <c r="T36" s="636"/>
      <c r="U36" s="636"/>
      <c r="V36" s="636"/>
      <c r="W36" s="637"/>
      <c r="X36" s="687"/>
      <c r="Y36" s="688"/>
      <c r="Z36" s="688"/>
      <c r="AA36" s="688"/>
      <c r="AB36" s="688"/>
      <c r="AC36" s="688"/>
      <c r="AD36" s="689"/>
      <c r="AE36" s="690"/>
      <c r="AF36" s="688"/>
      <c r="AG36" s="688"/>
      <c r="AH36" s="688"/>
      <c r="AI36" s="688"/>
      <c r="AJ36" s="688"/>
      <c r="AK36" s="688"/>
      <c r="AL36" s="691"/>
      <c r="AM36" s="681"/>
      <c r="AN36" s="682"/>
      <c r="AO36" s="682"/>
      <c r="AP36" s="682"/>
      <c r="AQ36" s="682"/>
      <c r="AR36" s="682"/>
      <c r="AS36" s="682"/>
      <c r="AT36" s="682"/>
      <c r="AU36" s="682"/>
      <c r="AV36" s="683"/>
      <c r="AW36" s="684"/>
      <c r="AX36" s="684"/>
      <c r="AY36" s="684"/>
      <c r="AZ36" s="684"/>
      <c r="BA36" s="684"/>
      <c r="BB36" s="684"/>
      <c r="BC36" s="684"/>
      <c r="BD36" s="684"/>
      <c r="BE36" s="684"/>
      <c r="BF36" s="684"/>
      <c r="BG36" s="684"/>
      <c r="BH36" s="684"/>
      <c r="BI36" s="684"/>
      <c r="BJ36" s="684"/>
      <c r="BK36" s="684"/>
      <c r="BL36" s="684"/>
      <c r="BM36" s="684"/>
      <c r="BN36" s="684"/>
      <c r="BO36" s="684"/>
      <c r="BP36" s="684"/>
      <c r="BQ36" s="684"/>
      <c r="BR36" s="684"/>
      <c r="BS36" s="684"/>
      <c r="BT36" s="684"/>
      <c r="BU36" s="684"/>
      <c r="BV36" s="684"/>
      <c r="BW36" s="684"/>
      <c r="BX36" s="684"/>
      <c r="BY36" s="684"/>
      <c r="BZ36" s="684"/>
      <c r="CA36" s="684"/>
      <c r="CB36" s="684"/>
      <c r="CC36" s="684"/>
      <c r="CD36" s="684"/>
      <c r="CE36" s="684"/>
      <c r="CF36" s="684"/>
      <c r="CG36" s="684"/>
      <c r="CH36" s="684"/>
      <c r="CI36" s="684"/>
    </row>
    <row r="37" spans="1:87">
      <c r="A37" s="685">
        <v>5</v>
      </c>
      <c r="B37" s="686"/>
      <c r="C37" s="673"/>
      <c r="D37" s="674"/>
      <c r="E37" s="674"/>
      <c r="F37" s="674"/>
      <c r="G37" s="674"/>
      <c r="H37" s="674"/>
      <c r="I37" s="675"/>
      <c r="J37" s="652"/>
      <c r="K37" s="653"/>
      <c r="L37" s="653"/>
      <c r="M37" s="653"/>
      <c r="N37" s="653"/>
      <c r="O37" s="653"/>
      <c r="P37" s="654"/>
      <c r="Q37" s="673"/>
      <c r="R37" s="674"/>
      <c r="S37" s="674"/>
      <c r="T37" s="674"/>
      <c r="U37" s="674"/>
      <c r="V37" s="674"/>
      <c r="W37" s="675"/>
      <c r="X37" s="687"/>
      <c r="Y37" s="688"/>
      <c r="Z37" s="688"/>
      <c r="AA37" s="688"/>
      <c r="AB37" s="688"/>
      <c r="AC37" s="688"/>
      <c r="AD37" s="689"/>
      <c r="AE37" s="690"/>
      <c r="AF37" s="688"/>
      <c r="AG37" s="688"/>
      <c r="AH37" s="688"/>
      <c r="AI37" s="688"/>
      <c r="AJ37" s="688"/>
      <c r="AK37" s="688"/>
      <c r="AL37" s="691"/>
      <c r="AM37" s="681"/>
      <c r="AN37" s="682"/>
      <c r="AO37" s="682"/>
      <c r="AP37" s="682"/>
      <c r="AQ37" s="682"/>
      <c r="AR37" s="682"/>
      <c r="AS37" s="682"/>
      <c r="AT37" s="682"/>
      <c r="AU37" s="682"/>
      <c r="AV37" s="683"/>
      <c r="AW37" s="684"/>
      <c r="AX37" s="684"/>
      <c r="AY37" s="684"/>
      <c r="AZ37" s="684"/>
      <c r="BA37" s="684"/>
      <c r="BB37" s="684"/>
      <c r="BC37" s="684"/>
      <c r="BD37" s="684"/>
      <c r="BE37" s="684"/>
      <c r="BF37" s="684"/>
      <c r="BG37" s="684"/>
      <c r="BH37" s="684"/>
      <c r="BI37" s="684"/>
      <c r="BJ37" s="684"/>
      <c r="BK37" s="684"/>
      <c r="BL37" s="684"/>
      <c r="BM37" s="684"/>
      <c r="BN37" s="684"/>
      <c r="BO37" s="684"/>
      <c r="BP37" s="684"/>
      <c r="BQ37" s="684"/>
      <c r="BR37" s="684"/>
      <c r="BS37" s="684"/>
      <c r="BT37" s="684"/>
      <c r="BU37" s="684"/>
      <c r="BV37" s="684"/>
      <c r="BW37" s="684"/>
      <c r="BX37" s="684"/>
      <c r="BY37" s="684"/>
      <c r="BZ37" s="684"/>
      <c r="CA37" s="684"/>
      <c r="CB37" s="684"/>
      <c r="CC37" s="684"/>
      <c r="CD37" s="684"/>
      <c r="CE37" s="684"/>
      <c r="CF37" s="684"/>
      <c r="CG37" s="684"/>
      <c r="CH37" s="684"/>
      <c r="CI37" s="684"/>
    </row>
    <row r="40" spans="1:87">
      <c r="C40" s="462" t="s">
        <v>208</v>
      </c>
      <c r="D40" s="463"/>
      <c r="E40" s="464"/>
      <c r="F40" s="465"/>
      <c r="G40" s="465"/>
      <c r="H40" s="465"/>
      <c r="I40" s="465"/>
      <c r="J40" s="465"/>
      <c r="K40" s="465"/>
      <c r="L40" s="466"/>
      <c r="P40" s="467" t="s">
        <v>209</v>
      </c>
      <c r="Q40" s="468"/>
      <c r="R40" s="468"/>
      <c r="S40" s="469"/>
      <c r="T40" s="470"/>
      <c r="U40" s="467" t="s">
        <v>186</v>
      </c>
      <c r="V40" s="469"/>
      <c r="Y40" s="471" t="s">
        <v>187</v>
      </c>
      <c r="Z40" s="472"/>
      <c r="AA40" s="471"/>
      <c r="AB40" s="472"/>
      <c r="AC40" s="472"/>
      <c r="AD40" s="472"/>
      <c r="AE40" s="473"/>
    </row>
    <row r="41" spans="1:87">
      <c r="C41" s="474" t="s">
        <v>210</v>
      </c>
      <c r="D41" s="464"/>
      <c r="E41" s="464"/>
      <c r="F41" s="465"/>
      <c r="G41" s="465"/>
      <c r="H41" s="465"/>
      <c r="I41" s="464"/>
      <c r="J41" s="465"/>
      <c r="K41" s="465"/>
      <c r="L41" s="466"/>
      <c r="P41" s="475" t="s">
        <v>211</v>
      </c>
      <c r="Q41" s="476"/>
      <c r="R41" s="476"/>
      <c r="S41" s="477"/>
      <c r="T41" s="470"/>
      <c r="U41" s="475" t="s">
        <v>196</v>
      </c>
      <c r="V41" s="477"/>
      <c r="Y41" s="471" t="s">
        <v>212</v>
      </c>
      <c r="Z41" s="472"/>
      <c r="AA41" s="471" t="s">
        <v>213</v>
      </c>
      <c r="AB41" s="472"/>
      <c r="AC41" s="472"/>
      <c r="AD41" s="472"/>
      <c r="AE41" s="473"/>
    </row>
    <row r="42" spans="1:87">
      <c r="C42" s="474" t="s">
        <v>214</v>
      </c>
      <c r="D42" s="464"/>
      <c r="E42" s="464"/>
      <c r="F42" s="465"/>
      <c r="G42" s="465"/>
      <c r="H42" s="465"/>
      <c r="I42" s="464"/>
      <c r="J42" s="465"/>
      <c r="K42" s="465"/>
      <c r="L42" s="466"/>
      <c r="P42" s="475" t="s">
        <v>215</v>
      </c>
      <c r="Q42" s="476"/>
      <c r="R42" s="476"/>
      <c r="S42" s="477"/>
      <c r="T42" s="470"/>
      <c r="U42" s="475" t="s">
        <v>194</v>
      </c>
      <c r="V42" s="477"/>
      <c r="Y42" s="471" t="s">
        <v>216</v>
      </c>
      <c r="Z42" s="472"/>
      <c r="AA42" s="471" t="s">
        <v>217</v>
      </c>
      <c r="AB42" s="472"/>
      <c r="AC42" s="472"/>
      <c r="AD42" s="472"/>
      <c r="AE42" s="473"/>
    </row>
    <row r="43" spans="1:87">
      <c r="C43" s="474" t="s">
        <v>218</v>
      </c>
      <c r="D43" s="464"/>
      <c r="E43" s="464"/>
      <c r="F43" s="465"/>
      <c r="G43" s="465"/>
      <c r="H43" s="465"/>
      <c r="I43" s="464"/>
      <c r="J43" s="465"/>
      <c r="K43" s="465"/>
      <c r="L43" s="466"/>
      <c r="T43" s="470"/>
      <c r="U43" s="475" t="s">
        <v>186</v>
      </c>
      <c r="V43" s="477"/>
      <c r="Y43" s="478" t="s">
        <v>219</v>
      </c>
      <c r="Z43" s="479"/>
      <c r="AA43" s="478" t="s">
        <v>220</v>
      </c>
      <c r="AB43" s="479"/>
      <c r="AC43" s="479"/>
      <c r="AD43" s="479"/>
      <c r="AE43" s="480"/>
    </row>
    <row r="44" spans="1:87">
      <c r="C44" s="474" t="s">
        <v>221</v>
      </c>
      <c r="D44" s="464"/>
      <c r="E44" s="464"/>
      <c r="F44" s="465"/>
      <c r="G44" s="465"/>
      <c r="H44" s="465"/>
      <c r="I44" s="464"/>
      <c r="J44" s="465"/>
      <c r="K44" s="465"/>
      <c r="L44" s="466"/>
      <c r="T44" s="470"/>
      <c r="U44" s="475" t="s">
        <v>198</v>
      </c>
      <c r="V44" s="477"/>
      <c r="Z44" s="481"/>
      <c r="AA44" s="481"/>
      <c r="AB44" s="481"/>
      <c r="AC44" s="481"/>
      <c r="AD44" s="481"/>
      <c r="AE44" s="481"/>
      <c r="AF44" s="481"/>
      <c r="AG44" s="481"/>
      <c r="AH44" s="481"/>
      <c r="AI44" s="481"/>
      <c r="AJ44" s="481"/>
      <c r="AK44" s="481"/>
      <c r="AL44" s="481"/>
      <c r="AM44" s="481"/>
      <c r="AN44" s="481"/>
      <c r="AO44" s="481"/>
      <c r="AP44" s="481"/>
      <c r="AQ44" s="481"/>
      <c r="AR44" s="481"/>
      <c r="AS44" s="481"/>
      <c r="AT44" s="481"/>
      <c r="AU44" s="482"/>
      <c r="AV44" s="482"/>
      <c r="AW44" s="482"/>
      <c r="AX44" s="482"/>
      <c r="AY44" s="481"/>
      <c r="AZ44" s="481"/>
      <c r="BA44" s="481"/>
      <c r="BB44" s="481"/>
      <c r="BC44" s="481"/>
      <c r="BD44" s="481"/>
      <c r="BE44" s="481"/>
      <c r="BF44" s="481"/>
      <c r="BG44" s="481"/>
    </row>
    <row r="45" spans="1:87">
      <c r="C45" s="474" t="s">
        <v>222</v>
      </c>
      <c r="D45" s="464"/>
      <c r="E45" s="464"/>
      <c r="F45" s="465"/>
      <c r="G45" s="465"/>
      <c r="H45" s="465"/>
      <c r="I45" s="464"/>
      <c r="J45" s="465"/>
      <c r="K45" s="465"/>
      <c r="L45" s="466"/>
      <c r="Z45" s="483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4"/>
      <c r="AQ45" s="484"/>
      <c r="AR45" s="484"/>
      <c r="AS45" s="484"/>
      <c r="AT45" s="484"/>
      <c r="AU45" s="485"/>
      <c r="AV45" s="485"/>
      <c r="AW45" s="485"/>
      <c r="AX45" s="485"/>
      <c r="AY45" s="486"/>
      <c r="AZ45" s="486"/>
      <c r="BA45" s="486"/>
      <c r="BB45" s="486"/>
      <c r="BC45" s="486"/>
      <c r="BD45" s="486"/>
      <c r="BE45" s="486"/>
      <c r="BF45" s="486"/>
      <c r="BG45" s="486"/>
    </row>
    <row r="46" spans="1:87">
      <c r="C46" s="474" t="s">
        <v>223</v>
      </c>
      <c r="D46" s="464"/>
      <c r="E46" s="464"/>
      <c r="F46" s="465"/>
      <c r="G46" s="465"/>
      <c r="H46" s="465"/>
      <c r="I46" s="464"/>
      <c r="J46" s="465"/>
      <c r="K46" s="465"/>
      <c r="L46" s="466"/>
      <c r="Z46" s="483"/>
      <c r="AA46" s="483"/>
      <c r="AB46" s="483"/>
      <c r="AC46" s="483"/>
      <c r="AD46" s="483"/>
      <c r="AE46" s="483"/>
      <c r="AF46" s="483"/>
      <c r="AG46" s="483"/>
      <c r="AH46" s="483"/>
      <c r="AI46" s="483"/>
      <c r="AJ46" s="483"/>
      <c r="AK46" s="483"/>
      <c r="AL46" s="483"/>
      <c r="AM46" s="483"/>
      <c r="AN46" s="483"/>
      <c r="AO46" s="483"/>
      <c r="AP46" s="484"/>
      <c r="AQ46" s="484"/>
      <c r="AR46" s="484"/>
      <c r="AS46" s="484"/>
      <c r="AT46" s="484"/>
      <c r="AU46" s="485"/>
      <c r="AV46" s="485"/>
      <c r="AW46" s="485"/>
      <c r="AX46" s="485"/>
      <c r="AY46" s="486"/>
      <c r="AZ46" s="486"/>
      <c r="BA46" s="486"/>
      <c r="BB46" s="486"/>
      <c r="BC46" s="486"/>
      <c r="BD46" s="486"/>
      <c r="BE46" s="486"/>
      <c r="BF46" s="486"/>
      <c r="BG46" s="486"/>
    </row>
    <row r="47" spans="1:87">
      <c r="C47" s="474" t="s">
        <v>224</v>
      </c>
      <c r="D47" s="464"/>
      <c r="E47" s="464"/>
      <c r="F47" s="465"/>
      <c r="G47" s="465"/>
      <c r="H47" s="465"/>
      <c r="I47" s="464"/>
      <c r="J47" s="465"/>
      <c r="K47" s="465"/>
      <c r="L47" s="466"/>
      <c r="Z47" s="483"/>
      <c r="AA47" s="483"/>
      <c r="AB47" s="483"/>
      <c r="AC47" s="483"/>
      <c r="AD47" s="483"/>
      <c r="AE47" s="483"/>
      <c r="AF47" s="483"/>
      <c r="AG47" s="483"/>
      <c r="AH47" s="483"/>
      <c r="AI47" s="483"/>
      <c r="AJ47" s="483"/>
      <c r="AK47" s="483"/>
      <c r="AL47" s="483"/>
      <c r="AM47" s="483"/>
      <c r="AN47" s="483"/>
      <c r="AO47" s="483"/>
      <c r="AP47" s="484"/>
      <c r="AQ47" s="484"/>
      <c r="AR47" s="484"/>
      <c r="AS47" s="484"/>
      <c r="AT47" s="484"/>
      <c r="AU47" s="485"/>
      <c r="AV47" s="485"/>
      <c r="AW47" s="485"/>
      <c r="AX47" s="485"/>
      <c r="AY47" s="486"/>
      <c r="AZ47" s="486"/>
      <c r="BA47" s="486"/>
      <c r="BB47" s="486"/>
      <c r="BC47" s="486"/>
      <c r="BD47" s="486"/>
      <c r="BE47" s="486"/>
      <c r="BF47" s="486"/>
      <c r="BG47" s="486"/>
    </row>
    <row r="48" spans="1:87">
      <c r="C48" s="474" t="s">
        <v>225</v>
      </c>
      <c r="D48" s="464"/>
      <c r="E48" s="464"/>
      <c r="F48" s="465"/>
      <c r="G48" s="465"/>
      <c r="H48" s="465"/>
      <c r="I48" s="464"/>
      <c r="J48" s="465"/>
      <c r="K48" s="465"/>
      <c r="L48" s="466"/>
      <c r="Z48" s="483"/>
      <c r="AA48" s="483"/>
      <c r="AB48" s="483"/>
      <c r="AC48" s="483"/>
      <c r="AD48" s="483"/>
      <c r="AE48" s="483"/>
      <c r="AF48" s="483"/>
      <c r="AG48" s="483"/>
      <c r="AH48" s="483"/>
      <c r="AI48" s="483"/>
      <c r="AJ48" s="483"/>
      <c r="AK48" s="483"/>
      <c r="AL48" s="483"/>
      <c r="AM48" s="483"/>
      <c r="AN48" s="483"/>
      <c r="AO48" s="483"/>
      <c r="AP48" s="484"/>
      <c r="AQ48" s="484"/>
      <c r="AR48" s="484"/>
      <c r="AS48" s="484"/>
      <c r="AT48" s="484"/>
      <c r="AU48" s="485"/>
      <c r="AV48" s="485"/>
      <c r="AW48" s="485"/>
      <c r="AX48" s="485"/>
      <c r="AY48" s="486"/>
      <c r="AZ48" s="486"/>
      <c r="BA48" s="486"/>
      <c r="BB48" s="486"/>
      <c r="BC48" s="486"/>
      <c r="BD48" s="486"/>
      <c r="BE48" s="486"/>
      <c r="BF48" s="486"/>
      <c r="BG48" s="486"/>
    </row>
    <row r="49" spans="3:12">
      <c r="C49" s="474" t="s">
        <v>226</v>
      </c>
      <c r="D49" s="464"/>
      <c r="E49" s="464"/>
      <c r="F49" s="465"/>
      <c r="G49" s="465"/>
      <c r="H49" s="465"/>
      <c r="I49" s="464"/>
      <c r="J49" s="465"/>
      <c r="K49" s="465"/>
      <c r="L49" s="466"/>
    </row>
    <row r="50" spans="3:12">
      <c r="C50" s="474" t="s">
        <v>227</v>
      </c>
      <c r="D50" s="464"/>
      <c r="E50" s="464"/>
      <c r="F50" s="465"/>
      <c r="G50" s="465"/>
      <c r="H50" s="465"/>
      <c r="I50" s="464"/>
      <c r="J50" s="465"/>
      <c r="K50" s="465"/>
      <c r="L50" s="466"/>
    </row>
    <row r="51" spans="3:12">
      <c r="C51" s="474" t="s">
        <v>228</v>
      </c>
      <c r="D51" s="464"/>
      <c r="E51" s="464"/>
      <c r="F51" s="465"/>
      <c r="G51" s="465"/>
      <c r="H51" s="465"/>
      <c r="I51" s="464"/>
      <c r="J51" s="465"/>
      <c r="K51" s="465"/>
      <c r="L51" s="466"/>
    </row>
    <row r="52" spans="3:12">
      <c r="C52" s="474" t="s">
        <v>229</v>
      </c>
      <c r="D52" s="464"/>
      <c r="E52" s="464"/>
      <c r="F52" s="465"/>
      <c r="G52" s="465"/>
      <c r="H52" s="465"/>
      <c r="I52" s="464"/>
      <c r="J52" s="465"/>
      <c r="K52" s="465"/>
      <c r="L52" s="466"/>
    </row>
    <row r="53" spans="3:12">
      <c r="C53" s="474" t="s">
        <v>230</v>
      </c>
      <c r="D53" s="464"/>
      <c r="E53" s="464"/>
      <c r="F53" s="465"/>
      <c r="G53" s="465"/>
      <c r="H53" s="465"/>
      <c r="I53" s="464"/>
      <c r="J53" s="465"/>
      <c r="K53" s="465"/>
      <c r="L53" s="466"/>
    </row>
    <row r="54" spans="3:12">
      <c r="C54" s="474" t="s">
        <v>231</v>
      </c>
      <c r="D54" s="464"/>
      <c r="E54" s="464"/>
      <c r="F54" s="465"/>
      <c r="G54" s="465"/>
      <c r="H54" s="465"/>
      <c r="I54" s="464"/>
      <c r="J54" s="465"/>
      <c r="K54" s="465"/>
      <c r="L54" s="466"/>
    </row>
    <row r="55" spans="3:12">
      <c r="C55" s="474" t="s">
        <v>232</v>
      </c>
      <c r="D55" s="464"/>
      <c r="E55" s="464"/>
      <c r="F55" s="465"/>
      <c r="G55" s="465"/>
      <c r="H55" s="465"/>
      <c r="I55" s="464"/>
      <c r="J55" s="465"/>
      <c r="K55" s="465"/>
      <c r="L55" s="466"/>
    </row>
    <row r="56" spans="3:12">
      <c r="C56" s="474" t="s">
        <v>233</v>
      </c>
      <c r="D56" s="464"/>
      <c r="E56" s="464"/>
      <c r="F56" s="465"/>
      <c r="G56" s="465"/>
      <c r="H56" s="465"/>
      <c r="I56" s="464"/>
      <c r="J56" s="465"/>
      <c r="K56" s="465"/>
      <c r="L56" s="466"/>
    </row>
    <row r="57" spans="3:12">
      <c r="C57" s="474" t="s">
        <v>234</v>
      </c>
      <c r="D57" s="464"/>
      <c r="E57" s="464"/>
      <c r="F57" s="465"/>
      <c r="G57" s="465"/>
      <c r="H57" s="465"/>
      <c r="I57" s="464"/>
      <c r="J57" s="465"/>
      <c r="K57" s="465"/>
      <c r="L57" s="466"/>
    </row>
    <row r="58" spans="3:12">
      <c r="C58" s="474" t="s">
        <v>235</v>
      </c>
      <c r="D58" s="464"/>
      <c r="E58" s="464"/>
      <c r="F58" s="465"/>
      <c r="G58" s="465"/>
      <c r="H58" s="465"/>
      <c r="I58" s="464"/>
      <c r="J58" s="465"/>
      <c r="K58" s="465"/>
      <c r="L58" s="466"/>
    </row>
    <row r="59" spans="3:12">
      <c r="C59" s="474" t="s">
        <v>236</v>
      </c>
      <c r="D59" s="464"/>
      <c r="E59" s="464"/>
      <c r="F59" s="465"/>
      <c r="G59" s="465"/>
      <c r="H59" s="465"/>
      <c r="I59" s="464"/>
      <c r="J59" s="465"/>
      <c r="K59" s="465"/>
      <c r="L59" s="466"/>
    </row>
    <row r="60" spans="3:12">
      <c r="C60" s="474" t="s">
        <v>237</v>
      </c>
      <c r="D60" s="464"/>
      <c r="E60" s="464"/>
      <c r="F60" s="465"/>
      <c r="G60" s="465"/>
      <c r="H60" s="465"/>
      <c r="I60" s="464"/>
      <c r="J60" s="465"/>
      <c r="K60" s="465"/>
      <c r="L60" s="466"/>
    </row>
    <row r="61" spans="3:12">
      <c r="C61" s="474" t="s">
        <v>198</v>
      </c>
      <c r="D61" s="464"/>
      <c r="E61" s="464"/>
      <c r="F61" s="465"/>
      <c r="G61" s="465"/>
      <c r="H61" s="465"/>
      <c r="I61" s="464"/>
      <c r="J61" s="465"/>
      <c r="K61" s="465"/>
      <c r="L61" s="466"/>
    </row>
  </sheetData>
  <mergeCells count="319">
    <mergeCell ref="C4:I4"/>
    <mergeCell ref="J4:P4"/>
    <mergeCell ref="AF3:AI4"/>
    <mergeCell ref="AJ3:AO4"/>
    <mergeCell ref="AP3:AZ4"/>
    <mergeCell ref="BA3:CI4"/>
    <mergeCell ref="A1:I1"/>
    <mergeCell ref="A2:AE2"/>
    <mergeCell ref="AF2:CI2"/>
    <mergeCell ref="A3:B4"/>
    <mergeCell ref="C3:P3"/>
    <mergeCell ref="Q3:W4"/>
    <mergeCell ref="X3:AA4"/>
    <mergeCell ref="AB3:AC4"/>
    <mergeCell ref="AD3:AE4"/>
    <mergeCell ref="AP13:AZ13"/>
    <mergeCell ref="BA13:CI13"/>
    <mergeCell ref="A13:B13"/>
    <mergeCell ref="C13:I13"/>
    <mergeCell ref="J13:P13"/>
    <mergeCell ref="Q13:W13"/>
    <mergeCell ref="X13:AA13"/>
    <mergeCell ref="AB13:AC13"/>
    <mergeCell ref="AD13:AE13"/>
    <mergeCell ref="AF13:AI13"/>
    <mergeCell ref="AJ13:AO13"/>
    <mergeCell ref="AJ14:AO14"/>
    <mergeCell ref="AP14:AZ14"/>
    <mergeCell ref="BA14:CI14"/>
    <mergeCell ref="A14:B14"/>
    <mergeCell ref="J14:P14"/>
    <mergeCell ref="Q14:W14"/>
    <mergeCell ref="X14:AA14"/>
    <mergeCell ref="AB14:AC14"/>
    <mergeCell ref="AD14:AE14"/>
    <mergeCell ref="AF14:AI14"/>
    <mergeCell ref="AF24:AI24"/>
    <mergeCell ref="AJ24:AO24"/>
    <mergeCell ref="AP24:AZ24"/>
    <mergeCell ref="BA24:CI24"/>
    <mergeCell ref="A24:B24"/>
    <mergeCell ref="C24:I24"/>
    <mergeCell ref="J24:P24"/>
    <mergeCell ref="Q24:W24"/>
    <mergeCell ref="X24:AA24"/>
    <mergeCell ref="AB24:AC24"/>
    <mergeCell ref="AD24:AE24"/>
    <mergeCell ref="AD25:AE25"/>
    <mergeCell ref="AF25:AI25"/>
    <mergeCell ref="AJ25:AO25"/>
    <mergeCell ref="AP25:AZ25"/>
    <mergeCell ref="BA25:CI25"/>
    <mergeCell ref="A25:B25"/>
    <mergeCell ref="C25:I25"/>
    <mergeCell ref="J25:P25"/>
    <mergeCell ref="Q25:W25"/>
    <mergeCell ref="X25:AA25"/>
    <mergeCell ref="AB25:AC25"/>
    <mergeCell ref="BA26:CI26"/>
    <mergeCell ref="AB26:AC26"/>
    <mergeCell ref="AD26:AE26"/>
    <mergeCell ref="AF26:AI26"/>
    <mergeCell ref="AJ26:AO26"/>
    <mergeCell ref="AP26:AZ26"/>
    <mergeCell ref="A26:B26"/>
    <mergeCell ref="C26:I26"/>
    <mergeCell ref="J26:P26"/>
    <mergeCell ref="Q26:W26"/>
    <mergeCell ref="X26:AA26"/>
    <mergeCell ref="AD27:AE27"/>
    <mergeCell ref="AF27:AI27"/>
    <mergeCell ref="AJ27:AO27"/>
    <mergeCell ref="AP27:AZ27"/>
    <mergeCell ref="BA27:CI27"/>
    <mergeCell ref="A27:B27"/>
    <mergeCell ref="C27:I27"/>
    <mergeCell ref="J27:P27"/>
    <mergeCell ref="Q27:W27"/>
    <mergeCell ref="X27:AA27"/>
    <mergeCell ref="AB27:AC27"/>
    <mergeCell ref="BA28:CI28"/>
    <mergeCell ref="AB28:AC28"/>
    <mergeCell ref="AD28:AE28"/>
    <mergeCell ref="AF28:AI28"/>
    <mergeCell ref="AJ28:AO28"/>
    <mergeCell ref="AP28:AZ28"/>
    <mergeCell ref="A28:B28"/>
    <mergeCell ref="C28:I28"/>
    <mergeCell ref="J28:P28"/>
    <mergeCell ref="Q28:W28"/>
    <mergeCell ref="X28:AA28"/>
    <mergeCell ref="AM33:AV33"/>
    <mergeCell ref="AW33:CI33"/>
    <mergeCell ref="A33:B33"/>
    <mergeCell ref="C33:I33"/>
    <mergeCell ref="J33:P33"/>
    <mergeCell ref="Q33:W33"/>
    <mergeCell ref="X33:AD33"/>
    <mergeCell ref="AE33:AL33"/>
    <mergeCell ref="A30:H30"/>
    <mergeCell ref="A31:B32"/>
    <mergeCell ref="C31:I32"/>
    <mergeCell ref="J31:W32"/>
    <mergeCell ref="X31:AD32"/>
    <mergeCell ref="AE31:AL32"/>
    <mergeCell ref="AM31:AV32"/>
    <mergeCell ref="AW31:CI32"/>
    <mergeCell ref="AM35:AV35"/>
    <mergeCell ref="AW35:CI35"/>
    <mergeCell ref="A35:B35"/>
    <mergeCell ref="C35:I35"/>
    <mergeCell ref="J35:P35"/>
    <mergeCell ref="Q35:W35"/>
    <mergeCell ref="X35:AD35"/>
    <mergeCell ref="AE35:AL35"/>
    <mergeCell ref="AM34:AV34"/>
    <mergeCell ref="AW34:CI34"/>
    <mergeCell ref="A34:B34"/>
    <mergeCell ref="C34:I34"/>
    <mergeCell ref="J34:P34"/>
    <mergeCell ref="Q34:W34"/>
    <mergeCell ref="X34:AD34"/>
    <mergeCell ref="AE34:AL34"/>
    <mergeCell ref="AM37:AV37"/>
    <mergeCell ref="AW37:CI37"/>
    <mergeCell ref="A37:B37"/>
    <mergeCell ref="C37:I37"/>
    <mergeCell ref="J37:P37"/>
    <mergeCell ref="Q37:W37"/>
    <mergeCell ref="X37:AD37"/>
    <mergeCell ref="AE37:AL37"/>
    <mergeCell ref="AM36:AV36"/>
    <mergeCell ref="AW36:CI36"/>
    <mergeCell ref="A36:B36"/>
    <mergeCell ref="C36:I36"/>
    <mergeCell ref="J36:P36"/>
    <mergeCell ref="Q36:W36"/>
    <mergeCell ref="X36:AD36"/>
    <mergeCell ref="AE36:AL36"/>
    <mergeCell ref="AP21:AY21"/>
    <mergeCell ref="BA21:CI21"/>
    <mergeCell ref="A22:B22"/>
    <mergeCell ref="J22:P22"/>
    <mergeCell ref="Q22:W22"/>
    <mergeCell ref="X22:AA22"/>
    <mergeCell ref="AB22:AC22"/>
    <mergeCell ref="AD22:AE22"/>
    <mergeCell ref="AP22:AY22"/>
    <mergeCell ref="BA22:CI22"/>
    <mergeCell ref="J23:P23"/>
    <mergeCell ref="Q23:W23"/>
    <mergeCell ref="X23:AA23"/>
    <mergeCell ref="AB23:AC23"/>
    <mergeCell ref="AD23:AE23"/>
    <mergeCell ref="AF23:AI23"/>
    <mergeCell ref="AJ23:AO23"/>
    <mergeCell ref="A21:B21"/>
    <mergeCell ref="J21:P21"/>
    <mergeCell ref="Q21:W21"/>
    <mergeCell ref="X21:AA21"/>
    <mergeCell ref="AB21:AC21"/>
    <mergeCell ref="AD21:AE21"/>
    <mergeCell ref="AP23:AZ23"/>
    <mergeCell ref="BA23:CI23"/>
    <mergeCell ref="A15:B15"/>
    <mergeCell ref="J15:P15"/>
    <mergeCell ref="Q15:W15"/>
    <mergeCell ref="X15:AA15"/>
    <mergeCell ref="AB15:AC15"/>
    <mergeCell ref="AD15:AE15"/>
    <mergeCell ref="BA15:CI15"/>
    <mergeCell ref="A16:B16"/>
    <mergeCell ref="C16:I16"/>
    <mergeCell ref="J16:P16"/>
    <mergeCell ref="Q16:W16"/>
    <mergeCell ref="X16:AA16"/>
    <mergeCell ref="AB16:AC16"/>
    <mergeCell ref="AD16:AE16"/>
    <mergeCell ref="AF16:AI16"/>
    <mergeCell ref="AJ16:AO16"/>
    <mergeCell ref="AP16:AZ16"/>
    <mergeCell ref="BA16:CI16"/>
    <mergeCell ref="A17:B17"/>
    <mergeCell ref="C17:I17"/>
    <mergeCell ref="A23:B23"/>
    <mergeCell ref="C23:I23"/>
    <mergeCell ref="J17:P17"/>
    <mergeCell ref="Q17:W17"/>
    <mergeCell ref="X17:AA17"/>
    <mergeCell ref="AB17:AC17"/>
    <mergeCell ref="AD17:AE17"/>
    <mergeCell ref="AF17:AI17"/>
    <mergeCell ref="AJ17:AO17"/>
    <mergeCell ref="AP17:AZ17"/>
    <mergeCell ref="BA17:CI17"/>
    <mergeCell ref="AP18:AZ18"/>
    <mergeCell ref="BA18:CI18"/>
    <mergeCell ref="A19:B19"/>
    <mergeCell ref="C19:I19"/>
    <mergeCell ref="J19:P19"/>
    <mergeCell ref="Q19:W19"/>
    <mergeCell ref="X19:AA19"/>
    <mergeCell ref="AB19:AC19"/>
    <mergeCell ref="AD19:AE19"/>
    <mergeCell ref="AF19:AI19"/>
    <mergeCell ref="AJ19:AO19"/>
    <mergeCell ref="AP19:AZ19"/>
    <mergeCell ref="BA19:CI19"/>
    <mergeCell ref="A18:B18"/>
    <mergeCell ref="C18:I18"/>
    <mergeCell ref="J18:P18"/>
    <mergeCell ref="Q18:W18"/>
    <mergeCell ref="X18:AA18"/>
    <mergeCell ref="AB18:AC18"/>
    <mergeCell ref="AD18:AE18"/>
    <mergeCell ref="AF18:AI18"/>
    <mergeCell ref="AJ18:AO18"/>
    <mergeCell ref="A20:B20"/>
    <mergeCell ref="C20:I20"/>
    <mergeCell ref="J20:P20"/>
    <mergeCell ref="Q20:W20"/>
    <mergeCell ref="X20:AA20"/>
    <mergeCell ref="AB20:AC20"/>
    <mergeCell ref="AD20:AE20"/>
    <mergeCell ref="AF20:AI20"/>
    <mergeCell ref="AJ20:AO20"/>
    <mergeCell ref="AP20:AZ20"/>
    <mergeCell ref="BA20:CI20"/>
    <mergeCell ref="AF15:AI15"/>
    <mergeCell ref="AJ15:AO15"/>
    <mergeCell ref="AP15:AZ15"/>
    <mergeCell ref="AF21:AI21"/>
    <mergeCell ref="AF22:AI22"/>
    <mergeCell ref="A5:B5"/>
    <mergeCell ref="C5:I5"/>
    <mergeCell ref="J5:P5"/>
    <mergeCell ref="Q5:W5"/>
    <mergeCell ref="X5:AA5"/>
    <mergeCell ref="AB5:AC5"/>
    <mergeCell ref="AD5:AE5"/>
    <mergeCell ref="AF5:AI5"/>
    <mergeCell ref="AJ5:AO5"/>
    <mergeCell ref="AP5:AZ5"/>
    <mergeCell ref="BA5:CI5"/>
    <mergeCell ref="A6:B6"/>
    <mergeCell ref="J6:P6"/>
    <mergeCell ref="Q6:W6"/>
    <mergeCell ref="X6:AA6"/>
    <mergeCell ref="AB6:AC6"/>
    <mergeCell ref="AD6:AE6"/>
    <mergeCell ref="AF6:AI6"/>
    <mergeCell ref="AJ6:AO6"/>
    <mergeCell ref="AP6:AZ6"/>
    <mergeCell ref="BA6:CI6"/>
    <mergeCell ref="A7:B7"/>
    <mergeCell ref="J7:P7"/>
    <mergeCell ref="Q7:W7"/>
    <mergeCell ref="X7:AA7"/>
    <mergeCell ref="AB7:AC7"/>
    <mergeCell ref="AD7:AE7"/>
    <mergeCell ref="AF7:AI7"/>
    <mergeCell ref="AJ7:AO7"/>
    <mergeCell ref="AP7:AZ7"/>
    <mergeCell ref="BA7:CI7"/>
    <mergeCell ref="AP8:AZ8"/>
    <mergeCell ref="BA8:CI8"/>
    <mergeCell ref="A9:B9"/>
    <mergeCell ref="C9:I9"/>
    <mergeCell ref="J9:P9"/>
    <mergeCell ref="Q9:W9"/>
    <mergeCell ref="X9:AA9"/>
    <mergeCell ref="AB9:AC9"/>
    <mergeCell ref="AD9:AE9"/>
    <mergeCell ref="AF9:AI9"/>
    <mergeCell ref="AJ9:AO9"/>
    <mergeCell ref="AP9:AZ9"/>
    <mergeCell ref="BA9:CI9"/>
    <mergeCell ref="A8:B8"/>
    <mergeCell ref="C8:I8"/>
    <mergeCell ref="J8:P8"/>
    <mergeCell ref="Q8:W8"/>
    <mergeCell ref="X8:AA8"/>
    <mergeCell ref="AB8:AC8"/>
    <mergeCell ref="AD8:AE8"/>
    <mergeCell ref="AF8:AI8"/>
    <mergeCell ref="AJ8:AO8"/>
    <mergeCell ref="AP10:AZ10"/>
    <mergeCell ref="BA10:CI10"/>
    <mergeCell ref="A11:B11"/>
    <mergeCell ref="C11:I11"/>
    <mergeCell ref="J11:P11"/>
    <mergeCell ref="Q11:W11"/>
    <mergeCell ref="X11:AA11"/>
    <mergeCell ref="AB11:AC11"/>
    <mergeCell ref="AD11:AE11"/>
    <mergeCell ref="AF11:AI11"/>
    <mergeCell ref="AJ11:AO11"/>
    <mergeCell ref="AP11:AZ11"/>
    <mergeCell ref="BA11:CI11"/>
    <mergeCell ref="A10:B10"/>
    <mergeCell ref="C10:I10"/>
    <mergeCell ref="J10:P10"/>
    <mergeCell ref="Q10:W10"/>
    <mergeCell ref="X10:AA10"/>
    <mergeCell ref="AB10:AC10"/>
    <mergeCell ref="AD10:AE10"/>
    <mergeCell ref="AF10:AI10"/>
    <mergeCell ref="AJ10:AO10"/>
    <mergeCell ref="AP12:AZ12"/>
    <mergeCell ref="BA12:CI12"/>
    <mergeCell ref="A12:B12"/>
    <mergeCell ref="C12:I12"/>
    <mergeCell ref="J12:P12"/>
    <mergeCell ref="Q12:W12"/>
    <mergeCell ref="X12:AA12"/>
    <mergeCell ref="AB12:AC12"/>
    <mergeCell ref="AD12:AE12"/>
    <mergeCell ref="AF12:AI12"/>
    <mergeCell ref="AJ12:AO12"/>
  </mergeCells>
  <phoneticPr fontId="55"/>
  <conditionalFormatting sqref="AF8:AI9">
    <cfRule type="expression" dxfId="28" priority="3" stopIfTrue="1">
      <formula>FIND("○",$AD8:$AE10)</formula>
    </cfRule>
  </conditionalFormatting>
  <conditionalFormatting sqref="AF16:AI17">
    <cfRule type="expression" dxfId="27" priority="17" stopIfTrue="1">
      <formula>FIND("○",$AD16:$AE18)</formula>
    </cfRule>
  </conditionalFormatting>
  <conditionalFormatting sqref="AF21:AI24">
    <cfRule type="expression" dxfId="26" priority="19" stopIfTrue="1">
      <formula>FIND("○",$AD21:$AE23)</formula>
    </cfRule>
  </conditionalFormatting>
  <conditionalFormatting sqref="AF25:AJ25">
    <cfRule type="expression" dxfId="25" priority="39" stopIfTrue="1">
      <formula>FIND("○",$AD25:$AE28)</formula>
    </cfRule>
  </conditionalFormatting>
  <conditionalFormatting sqref="AF5:AP5">
    <cfRule type="expression" dxfId="24" priority="12" stopIfTrue="1">
      <formula>FIND("○",$AD5:$AE20)</formula>
    </cfRule>
  </conditionalFormatting>
  <conditionalFormatting sqref="AF6:AP7">
    <cfRule type="expression" dxfId="23" priority="5" stopIfTrue="1">
      <formula>FIND("○",$AD6:$AE8)</formula>
    </cfRule>
  </conditionalFormatting>
  <conditionalFormatting sqref="AF10:AP12">
    <cfRule type="expression" dxfId="22" priority="7" stopIfTrue="1">
      <formula>FIND("○",$AD10:$AE12)</formula>
    </cfRule>
  </conditionalFormatting>
  <conditionalFormatting sqref="AF13:AP13">
    <cfRule type="expression" dxfId="21" priority="37" stopIfTrue="1">
      <formula>FIND("○",$AD13:$AE28)</formula>
    </cfRule>
  </conditionalFormatting>
  <conditionalFormatting sqref="AF14:AP15">
    <cfRule type="expression" dxfId="20" priority="23" stopIfTrue="1">
      <formula>FIND("○",$AD14:$AE16)</formula>
    </cfRule>
  </conditionalFormatting>
  <conditionalFormatting sqref="AF18:AP20">
    <cfRule type="expression" dxfId="19" priority="25" stopIfTrue="1">
      <formula>FIND("○",$AD18:$AE20)</formula>
    </cfRule>
  </conditionalFormatting>
  <conditionalFormatting sqref="AF26:AP27">
    <cfRule type="expression" dxfId="18" priority="34" stopIfTrue="1">
      <formula>FIND("○",$AD26:$AE28)</formula>
    </cfRule>
  </conditionalFormatting>
  <conditionalFormatting sqref="AF28:AP28 BA28">
    <cfRule type="expression" dxfId="17" priority="40" stopIfTrue="1">
      <formula>FIND("○",$AD28:$AE28)</formula>
    </cfRule>
  </conditionalFormatting>
  <conditionalFormatting sqref="AJ8:AO9">
    <cfRule type="expression" dxfId="16" priority="8" stopIfTrue="1">
      <formula>FIND("○",$AD8:$AE8)</formula>
    </cfRule>
  </conditionalFormatting>
  <conditionalFormatting sqref="AJ16:AO17">
    <cfRule type="expression" dxfId="15" priority="26" stopIfTrue="1">
      <formula>FIND("○",$AD16:$AE16)</formula>
    </cfRule>
  </conditionalFormatting>
  <conditionalFormatting sqref="AJ23:AO24 AP25">
    <cfRule type="expression" dxfId="14" priority="38" stopIfTrue="1">
      <formula>FIND("○",$AD23:$AE27)</formula>
    </cfRule>
  </conditionalFormatting>
  <conditionalFormatting sqref="AP8:AP9">
    <cfRule type="expression" dxfId="13" priority="1" stopIfTrue="1">
      <formula>FIND("○",$AD8:$AE10)</formula>
    </cfRule>
  </conditionalFormatting>
  <conditionalFormatting sqref="AP16:AP17">
    <cfRule type="expression" dxfId="12" priority="15" stopIfTrue="1">
      <formula>FIND("○",$AD16:$AE18)</formula>
    </cfRule>
  </conditionalFormatting>
  <conditionalFormatting sqref="AP21:AP22">
    <cfRule type="expression" dxfId="11" priority="49" stopIfTrue="1">
      <formula>FIND("○",$AD21:$AE57)</formula>
    </cfRule>
  </conditionalFormatting>
  <conditionalFormatting sqref="AP23:AP24">
    <cfRule type="expression" dxfId="10" priority="14" stopIfTrue="1">
      <formula>FIND("○",$AD23:$AE25)</formula>
    </cfRule>
  </conditionalFormatting>
  <conditionalFormatting sqref="BA5">
    <cfRule type="expression" dxfId="9" priority="11" stopIfTrue="1">
      <formula>FIND("○",$AD5:$AE20)</formula>
    </cfRule>
  </conditionalFormatting>
  <conditionalFormatting sqref="BA6:BA12">
    <cfRule type="expression" dxfId="8" priority="13" stopIfTrue="1">
      <formula>FIND("○",$AD6:$AE53)</formula>
    </cfRule>
  </conditionalFormatting>
  <conditionalFormatting sqref="BA13">
    <cfRule type="expression" dxfId="7" priority="36" stopIfTrue="1">
      <formula>FIND("○",$AD13:$AE28)</formula>
    </cfRule>
  </conditionalFormatting>
  <conditionalFormatting sqref="BA14:BA27 AJ21:AO22">
    <cfRule type="expression" dxfId="6" priority="47" stopIfTrue="1">
      <formula>FIND("○",$AD14:$AE61)</formula>
    </cfRule>
  </conditionalFormatting>
  <dataValidations count="17">
    <dataValidation type="list" allowBlank="1" showInputMessage="1" showErrorMessage="1" sqref="AB5:AC5" xr:uid="{C9EC0397-85B6-47F7-BC0B-3A4C598735B4}">
      <formula1>$U$41:$U$43</formula1>
    </dataValidation>
    <dataValidation type="list" allowBlank="1" showInputMessage="1" showErrorMessage="1" sqref="WKV983031:WKW983068 AD14:AD15 AD25:AD28 WAZ16:WBA20 VRD16:VRE20 VHH16:VHI20 UXL16:UXM20 UNP16:UNQ20 UDT16:UDU20 TTX16:TTY20 TKB16:TKC20 TAF16:TAG20 SQJ16:SQK20 SGN16:SGO20 RWR16:RWS20 RMV16:RMW20 RCZ16:RDA20 QTD16:QTE20 QJH16:QJI20 PZL16:PZM20 PPP16:PPQ20 PFT16:PFU20 OVX16:OVY20 OMB16:OMC20 OCF16:OCG20 NSJ16:NSK20 NIN16:NIO20 MYR16:MYS20 MOV16:MOW20 MEZ16:MFA20 LVD16:LVE20 LLH16:LLI20 LBL16:LBM20 KRP16:KRQ20 KHT16:KHU20 JXX16:JXY20 JOB16:JOC20 JEF16:JEG20 IUJ16:IUK20 IKN16:IKO20 IAR16:IAS20 HQV16:HQW20 HGZ16:HHA20 GXD16:GXE20 GNH16:GNI20 GDL16:GDM20 FTP16:FTQ20 FJT16:FJU20 EZX16:EZY20 EQB16:EQC20 EGF16:EGG20 DWJ16:DWK20 DMN16:DMO20 DCR16:DCS20 CSV16:CSW20 CIZ16:CJA20 BZD16:BZE20 BPH16:BPI20 BFL16:BFM20 AVP16:AVQ20 ALT16:ALU20 ABX16:ABY20 SB16:SC20 IF16:IG20 WUR16:WUS20 WKV8:WKW13 AD18:AD20 AD13:AE13 WUR8:WUS13 IF8:IG13 SB8:SC13 ABX8:ABY13 ALT8:ALU13 AVP8:AVQ13 BFL8:BFM13 BPH8:BPI13 BZD8:BZE13 CIZ8:CJA13 CSV8:CSW13 DCR8:DCS13 DMN8:DMO13 DWJ8:DWK13 EGF8:EGG13 EQB8:EQC13 EZX8:EZY13 FJT8:FJU13 FTP8:FTQ13 GDL8:GDM13 GNH8:GNI13 GXD8:GXE13 HGZ8:HHA13 HQV8:HQW13 IAR8:IAS13 IKN8:IKO13 IUJ8:IUK13 JEF8:JEG13 JOB8:JOC13 JXX8:JXY13 KHT8:KHU13 KRP8:KRQ13 LBL8:LBM13 LLH8:LLI13 LVD8:LVE13 MEZ8:MFA13 MOV8:MOW13 MYR8:MYS13 NIN8:NIO13 NSJ8:NSK13 OCF8:OCG13 OMB8:OMC13 OVX8:OVY13 PFT8:PFU13 PPP8:PPQ13 PZL8:PZM13 QJH8:QJI13 QTD8:QTE13 RCZ8:RDA13 RMV8:RMW13 RWR8:RWS13 SGN8:SGO13 SQJ8:SQK13 TAF8:TAG13 TKB8:TKC13 TTX8:TTY13 UDT8:UDU13 UNP8:UNQ13 UXL8:UXM13 VHH8:VHI13 VRD8:VRE13 WAZ8:WBA13 WKV16:WKW20 WKV23:WKW28 WAZ23:WBA28 VRD23:VRE28 VHH23:VHI28 UXL23:UXM28 UNP23:UNQ28 UDT23:UDU28 TTX23:TTY28 TKB23:TKC28 TAF23:TAG28 SQJ23:SQK28 SGN23:SGO28 RWR23:RWS28 RMV23:RMW28 RCZ23:RDA28 QTD23:QTE28 QJH23:QJI28 PZL23:PZM28 PPP23:PPQ28 PFT23:PFU28 OVX23:OVY28 OMB23:OMC28 OCF23:OCG28 NSJ23:NSK28 NIN23:NIO28 MYR23:MYS28 MOV23:MOW28 MEZ23:MFA28 LVD23:LVE28 LLH23:LLI28 LBL23:LBM28 KRP23:KRQ28 KHT23:KHU28 JXX23:JXY28 JOB23:JOC28 JEF23:JEG28 IUJ23:IUK28 IKN23:IKO28 IAR23:IAS28 HQV23:HQW28 HGZ23:HHA28 GXD23:GXE28 GNH23:GNI28 GDL23:GDM28 FTP23:FTQ28 FJT23:FJU28 EZX23:EZY28 EQB23:EQC28 EGF23:EGG28 DWJ23:DWK28 DMN23:DMO28 DCR23:DCS28 CSV23:CSW28 CIZ23:CJA28 BZD23:BZE28 BPH23:BPI28 BFL23:BFM28 AVP23:AVQ28 ALT23:ALU28 ABX23:ABY28 SB23:SC28 IF23:IG28 AD65527:AE65564 WUR23:WUS28 IF65527:IG65564 SB65527:SC65564 ABX65527:ABY65564 ALT65527:ALU65564 AVP65527:AVQ65564 BFL65527:BFM65564 BPH65527:BPI65564 BZD65527:BZE65564 CIZ65527:CJA65564 CSV65527:CSW65564 DCR65527:DCS65564 DMN65527:DMO65564 DWJ65527:DWK65564 EGF65527:EGG65564 EQB65527:EQC65564 EZX65527:EZY65564 FJT65527:FJU65564 FTP65527:FTQ65564 GDL65527:GDM65564 GNH65527:GNI65564 GXD65527:GXE65564 HGZ65527:HHA65564 HQV65527:HQW65564 IAR65527:IAS65564 IKN65527:IKO65564 IUJ65527:IUK65564 JEF65527:JEG65564 JOB65527:JOC65564 JXX65527:JXY65564 KHT65527:KHU65564 KRP65527:KRQ65564 LBL65527:LBM65564 LLH65527:LLI65564 LVD65527:LVE65564 MEZ65527:MFA65564 MOV65527:MOW65564 MYR65527:MYS65564 NIN65527:NIO65564 NSJ65527:NSK65564 OCF65527:OCG65564 OMB65527:OMC65564 OVX65527:OVY65564 PFT65527:PFU65564 PPP65527:PPQ65564 PZL65527:PZM65564 QJH65527:QJI65564 QTD65527:QTE65564 RCZ65527:RDA65564 RMV65527:RMW65564 RWR65527:RWS65564 SGN65527:SGO65564 SQJ65527:SQK65564 TAF65527:TAG65564 TKB65527:TKC65564 TTX65527:TTY65564 UDT65527:UDU65564 UNP65527:UNQ65564 UXL65527:UXM65564 VHH65527:VHI65564 VRD65527:VRE65564 WAZ65527:WBA65564 WKV65527:WKW65564 WUR65527:WUS65564 AD131063:AE131100 IF131063:IG131100 SB131063:SC131100 ABX131063:ABY131100 ALT131063:ALU131100 AVP131063:AVQ131100 BFL131063:BFM131100 BPH131063:BPI131100 BZD131063:BZE131100 CIZ131063:CJA131100 CSV131063:CSW131100 DCR131063:DCS131100 DMN131063:DMO131100 DWJ131063:DWK131100 EGF131063:EGG131100 EQB131063:EQC131100 EZX131063:EZY131100 FJT131063:FJU131100 FTP131063:FTQ131100 GDL131063:GDM131100 GNH131063:GNI131100 GXD131063:GXE131100 HGZ131063:HHA131100 HQV131063:HQW131100 IAR131063:IAS131100 IKN131063:IKO131100 IUJ131063:IUK131100 JEF131063:JEG131100 JOB131063:JOC131100 JXX131063:JXY131100 KHT131063:KHU131100 KRP131063:KRQ131100 LBL131063:LBM131100 LLH131063:LLI131100 LVD131063:LVE131100 MEZ131063:MFA131100 MOV131063:MOW131100 MYR131063:MYS131100 NIN131063:NIO131100 NSJ131063:NSK131100 OCF131063:OCG131100 OMB131063:OMC131100 OVX131063:OVY131100 PFT131063:PFU131100 PPP131063:PPQ131100 PZL131063:PZM131100 QJH131063:QJI131100 QTD131063:QTE131100 RCZ131063:RDA131100 RMV131063:RMW131100 RWR131063:RWS131100 SGN131063:SGO131100 SQJ131063:SQK131100 TAF131063:TAG131100 TKB131063:TKC131100 TTX131063:TTY131100 UDT131063:UDU131100 UNP131063:UNQ131100 UXL131063:UXM131100 VHH131063:VHI131100 VRD131063:VRE131100 WAZ131063:WBA131100 WKV131063:WKW131100 WUR131063:WUS131100 AD196599:AE196636 IF196599:IG196636 SB196599:SC196636 ABX196599:ABY196636 ALT196599:ALU196636 AVP196599:AVQ196636 BFL196599:BFM196636 BPH196599:BPI196636 BZD196599:BZE196636 CIZ196599:CJA196636 CSV196599:CSW196636 DCR196599:DCS196636 DMN196599:DMO196636 DWJ196599:DWK196636 EGF196599:EGG196636 EQB196599:EQC196636 EZX196599:EZY196636 FJT196599:FJU196636 FTP196599:FTQ196636 GDL196599:GDM196636 GNH196599:GNI196636 GXD196599:GXE196636 HGZ196599:HHA196636 HQV196599:HQW196636 IAR196599:IAS196636 IKN196599:IKO196636 IUJ196599:IUK196636 JEF196599:JEG196636 JOB196599:JOC196636 JXX196599:JXY196636 KHT196599:KHU196636 KRP196599:KRQ196636 LBL196599:LBM196636 LLH196599:LLI196636 LVD196599:LVE196636 MEZ196599:MFA196636 MOV196599:MOW196636 MYR196599:MYS196636 NIN196599:NIO196636 NSJ196599:NSK196636 OCF196599:OCG196636 OMB196599:OMC196636 OVX196599:OVY196636 PFT196599:PFU196636 PPP196599:PPQ196636 PZL196599:PZM196636 QJH196599:QJI196636 QTD196599:QTE196636 RCZ196599:RDA196636 RMV196599:RMW196636 RWR196599:RWS196636 SGN196599:SGO196636 SQJ196599:SQK196636 TAF196599:TAG196636 TKB196599:TKC196636 TTX196599:TTY196636 UDT196599:UDU196636 UNP196599:UNQ196636 UXL196599:UXM196636 VHH196599:VHI196636 VRD196599:VRE196636 WAZ196599:WBA196636 WKV196599:WKW196636 WUR196599:WUS196636 AD262135:AE262172 IF262135:IG262172 SB262135:SC262172 ABX262135:ABY262172 ALT262135:ALU262172 AVP262135:AVQ262172 BFL262135:BFM262172 BPH262135:BPI262172 BZD262135:BZE262172 CIZ262135:CJA262172 CSV262135:CSW262172 DCR262135:DCS262172 DMN262135:DMO262172 DWJ262135:DWK262172 EGF262135:EGG262172 EQB262135:EQC262172 EZX262135:EZY262172 FJT262135:FJU262172 FTP262135:FTQ262172 GDL262135:GDM262172 GNH262135:GNI262172 GXD262135:GXE262172 HGZ262135:HHA262172 HQV262135:HQW262172 IAR262135:IAS262172 IKN262135:IKO262172 IUJ262135:IUK262172 JEF262135:JEG262172 JOB262135:JOC262172 JXX262135:JXY262172 KHT262135:KHU262172 KRP262135:KRQ262172 LBL262135:LBM262172 LLH262135:LLI262172 LVD262135:LVE262172 MEZ262135:MFA262172 MOV262135:MOW262172 MYR262135:MYS262172 NIN262135:NIO262172 NSJ262135:NSK262172 OCF262135:OCG262172 OMB262135:OMC262172 OVX262135:OVY262172 PFT262135:PFU262172 PPP262135:PPQ262172 PZL262135:PZM262172 QJH262135:QJI262172 QTD262135:QTE262172 RCZ262135:RDA262172 RMV262135:RMW262172 RWR262135:RWS262172 SGN262135:SGO262172 SQJ262135:SQK262172 TAF262135:TAG262172 TKB262135:TKC262172 TTX262135:TTY262172 UDT262135:UDU262172 UNP262135:UNQ262172 UXL262135:UXM262172 VHH262135:VHI262172 VRD262135:VRE262172 WAZ262135:WBA262172 WKV262135:WKW262172 WUR262135:WUS262172 AD327671:AE327708 IF327671:IG327708 SB327671:SC327708 ABX327671:ABY327708 ALT327671:ALU327708 AVP327671:AVQ327708 BFL327671:BFM327708 BPH327671:BPI327708 BZD327671:BZE327708 CIZ327671:CJA327708 CSV327671:CSW327708 DCR327671:DCS327708 DMN327671:DMO327708 DWJ327671:DWK327708 EGF327671:EGG327708 EQB327671:EQC327708 EZX327671:EZY327708 FJT327671:FJU327708 FTP327671:FTQ327708 GDL327671:GDM327708 GNH327671:GNI327708 GXD327671:GXE327708 HGZ327671:HHA327708 HQV327671:HQW327708 IAR327671:IAS327708 IKN327671:IKO327708 IUJ327671:IUK327708 JEF327671:JEG327708 JOB327671:JOC327708 JXX327671:JXY327708 KHT327671:KHU327708 KRP327671:KRQ327708 LBL327671:LBM327708 LLH327671:LLI327708 LVD327671:LVE327708 MEZ327671:MFA327708 MOV327671:MOW327708 MYR327671:MYS327708 NIN327671:NIO327708 NSJ327671:NSK327708 OCF327671:OCG327708 OMB327671:OMC327708 OVX327671:OVY327708 PFT327671:PFU327708 PPP327671:PPQ327708 PZL327671:PZM327708 QJH327671:QJI327708 QTD327671:QTE327708 RCZ327671:RDA327708 RMV327671:RMW327708 RWR327671:RWS327708 SGN327671:SGO327708 SQJ327671:SQK327708 TAF327671:TAG327708 TKB327671:TKC327708 TTX327671:TTY327708 UDT327671:UDU327708 UNP327671:UNQ327708 UXL327671:UXM327708 VHH327671:VHI327708 VRD327671:VRE327708 WAZ327671:WBA327708 WKV327671:WKW327708 WUR327671:WUS327708 AD393207:AE393244 IF393207:IG393244 SB393207:SC393244 ABX393207:ABY393244 ALT393207:ALU393244 AVP393207:AVQ393244 BFL393207:BFM393244 BPH393207:BPI393244 BZD393207:BZE393244 CIZ393207:CJA393244 CSV393207:CSW393244 DCR393207:DCS393244 DMN393207:DMO393244 DWJ393207:DWK393244 EGF393207:EGG393244 EQB393207:EQC393244 EZX393207:EZY393244 FJT393207:FJU393244 FTP393207:FTQ393244 GDL393207:GDM393244 GNH393207:GNI393244 GXD393207:GXE393244 HGZ393207:HHA393244 HQV393207:HQW393244 IAR393207:IAS393244 IKN393207:IKO393244 IUJ393207:IUK393244 JEF393207:JEG393244 JOB393207:JOC393244 JXX393207:JXY393244 KHT393207:KHU393244 KRP393207:KRQ393244 LBL393207:LBM393244 LLH393207:LLI393244 LVD393207:LVE393244 MEZ393207:MFA393244 MOV393207:MOW393244 MYR393207:MYS393244 NIN393207:NIO393244 NSJ393207:NSK393244 OCF393207:OCG393244 OMB393207:OMC393244 OVX393207:OVY393244 PFT393207:PFU393244 PPP393207:PPQ393244 PZL393207:PZM393244 QJH393207:QJI393244 QTD393207:QTE393244 RCZ393207:RDA393244 RMV393207:RMW393244 RWR393207:RWS393244 SGN393207:SGO393244 SQJ393207:SQK393244 TAF393207:TAG393244 TKB393207:TKC393244 TTX393207:TTY393244 UDT393207:UDU393244 UNP393207:UNQ393244 UXL393207:UXM393244 VHH393207:VHI393244 VRD393207:VRE393244 WAZ393207:WBA393244 WKV393207:WKW393244 WUR393207:WUS393244 AD458743:AE458780 IF458743:IG458780 SB458743:SC458780 ABX458743:ABY458780 ALT458743:ALU458780 AVP458743:AVQ458780 BFL458743:BFM458780 BPH458743:BPI458780 BZD458743:BZE458780 CIZ458743:CJA458780 CSV458743:CSW458780 DCR458743:DCS458780 DMN458743:DMO458780 DWJ458743:DWK458780 EGF458743:EGG458780 EQB458743:EQC458780 EZX458743:EZY458780 FJT458743:FJU458780 FTP458743:FTQ458780 GDL458743:GDM458780 GNH458743:GNI458780 GXD458743:GXE458780 HGZ458743:HHA458780 HQV458743:HQW458780 IAR458743:IAS458780 IKN458743:IKO458780 IUJ458743:IUK458780 JEF458743:JEG458780 JOB458743:JOC458780 JXX458743:JXY458780 KHT458743:KHU458780 KRP458743:KRQ458780 LBL458743:LBM458780 LLH458743:LLI458780 LVD458743:LVE458780 MEZ458743:MFA458780 MOV458743:MOW458780 MYR458743:MYS458780 NIN458743:NIO458780 NSJ458743:NSK458780 OCF458743:OCG458780 OMB458743:OMC458780 OVX458743:OVY458780 PFT458743:PFU458780 PPP458743:PPQ458780 PZL458743:PZM458780 QJH458743:QJI458780 QTD458743:QTE458780 RCZ458743:RDA458780 RMV458743:RMW458780 RWR458743:RWS458780 SGN458743:SGO458780 SQJ458743:SQK458780 TAF458743:TAG458780 TKB458743:TKC458780 TTX458743:TTY458780 UDT458743:UDU458780 UNP458743:UNQ458780 UXL458743:UXM458780 VHH458743:VHI458780 VRD458743:VRE458780 WAZ458743:WBA458780 WKV458743:WKW458780 WUR458743:WUS458780 AD524279:AE524316 IF524279:IG524316 SB524279:SC524316 ABX524279:ABY524316 ALT524279:ALU524316 AVP524279:AVQ524316 BFL524279:BFM524316 BPH524279:BPI524316 BZD524279:BZE524316 CIZ524279:CJA524316 CSV524279:CSW524316 DCR524279:DCS524316 DMN524279:DMO524316 DWJ524279:DWK524316 EGF524279:EGG524316 EQB524279:EQC524316 EZX524279:EZY524316 FJT524279:FJU524316 FTP524279:FTQ524316 GDL524279:GDM524316 GNH524279:GNI524316 GXD524279:GXE524316 HGZ524279:HHA524316 HQV524279:HQW524316 IAR524279:IAS524316 IKN524279:IKO524316 IUJ524279:IUK524316 JEF524279:JEG524316 JOB524279:JOC524316 JXX524279:JXY524316 KHT524279:KHU524316 KRP524279:KRQ524316 LBL524279:LBM524316 LLH524279:LLI524316 LVD524279:LVE524316 MEZ524279:MFA524316 MOV524279:MOW524316 MYR524279:MYS524316 NIN524279:NIO524316 NSJ524279:NSK524316 OCF524279:OCG524316 OMB524279:OMC524316 OVX524279:OVY524316 PFT524279:PFU524316 PPP524279:PPQ524316 PZL524279:PZM524316 QJH524279:QJI524316 QTD524279:QTE524316 RCZ524279:RDA524316 RMV524279:RMW524316 RWR524279:RWS524316 SGN524279:SGO524316 SQJ524279:SQK524316 TAF524279:TAG524316 TKB524279:TKC524316 TTX524279:TTY524316 UDT524279:UDU524316 UNP524279:UNQ524316 UXL524279:UXM524316 VHH524279:VHI524316 VRD524279:VRE524316 WAZ524279:WBA524316 WKV524279:WKW524316 WUR524279:WUS524316 AD589815:AE589852 IF589815:IG589852 SB589815:SC589852 ABX589815:ABY589852 ALT589815:ALU589852 AVP589815:AVQ589852 BFL589815:BFM589852 BPH589815:BPI589852 BZD589815:BZE589852 CIZ589815:CJA589852 CSV589815:CSW589852 DCR589815:DCS589852 DMN589815:DMO589852 DWJ589815:DWK589852 EGF589815:EGG589852 EQB589815:EQC589852 EZX589815:EZY589852 FJT589815:FJU589852 FTP589815:FTQ589852 GDL589815:GDM589852 GNH589815:GNI589852 GXD589815:GXE589852 HGZ589815:HHA589852 HQV589815:HQW589852 IAR589815:IAS589852 IKN589815:IKO589852 IUJ589815:IUK589852 JEF589815:JEG589852 JOB589815:JOC589852 JXX589815:JXY589852 KHT589815:KHU589852 KRP589815:KRQ589852 LBL589815:LBM589852 LLH589815:LLI589852 LVD589815:LVE589852 MEZ589815:MFA589852 MOV589815:MOW589852 MYR589815:MYS589852 NIN589815:NIO589852 NSJ589815:NSK589852 OCF589815:OCG589852 OMB589815:OMC589852 OVX589815:OVY589852 PFT589815:PFU589852 PPP589815:PPQ589852 PZL589815:PZM589852 QJH589815:QJI589852 QTD589815:QTE589852 RCZ589815:RDA589852 RMV589815:RMW589852 RWR589815:RWS589852 SGN589815:SGO589852 SQJ589815:SQK589852 TAF589815:TAG589852 TKB589815:TKC589852 TTX589815:TTY589852 UDT589815:UDU589852 UNP589815:UNQ589852 UXL589815:UXM589852 VHH589815:VHI589852 VRD589815:VRE589852 WAZ589815:WBA589852 WKV589815:WKW589852 WUR589815:WUS589852 AD655351:AE655388 IF655351:IG655388 SB655351:SC655388 ABX655351:ABY655388 ALT655351:ALU655388 AVP655351:AVQ655388 BFL655351:BFM655388 BPH655351:BPI655388 BZD655351:BZE655388 CIZ655351:CJA655388 CSV655351:CSW655388 DCR655351:DCS655388 DMN655351:DMO655388 DWJ655351:DWK655388 EGF655351:EGG655388 EQB655351:EQC655388 EZX655351:EZY655388 FJT655351:FJU655388 FTP655351:FTQ655388 GDL655351:GDM655388 GNH655351:GNI655388 GXD655351:GXE655388 HGZ655351:HHA655388 HQV655351:HQW655388 IAR655351:IAS655388 IKN655351:IKO655388 IUJ655351:IUK655388 JEF655351:JEG655388 JOB655351:JOC655388 JXX655351:JXY655388 KHT655351:KHU655388 KRP655351:KRQ655388 LBL655351:LBM655388 LLH655351:LLI655388 LVD655351:LVE655388 MEZ655351:MFA655388 MOV655351:MOW655388 MYR655351:MYS655388 NIN655351:NIO655388 NSJ655351:NSK655388 OCF655351:OCG655388 OMB655351:OMC655388 OVX655351:OVY655388 PFT655351:PFU655388 PPP655351:PPQ655388 PZL655351:PZM655388 QJH655351:QJI655388 QTD655351:QTE655388 RCZ655351:RDA655388 RMV655351:RMW655388 RWR655351:RWS655388 SGN655351:SGO655388 SQJ655351:SQK655388 TAF655351:TAG655388 TKB655351:TKC655388 TTX655351:TTY655388 UDT655351:UDU655388 UNP655351:UNQ655388 UXL655351:UXM655388 VHH655351:VHI655388 VRD655351:VRE655388 WAZ655351:WBA655388 WKV655351:WKW655388 WUR655351:WUS655388 AD720887:AE720924 IF720887:IG720924 SB720887:SC720924 ABX720887:ABY720924 ALT720887:ALU720924 AVP720887:AVQ720924 BFL720887:BFM720924 BPH720887:BPI720924 BZD720887:BZE720924 CIZ720887:CJA720924 CSV720887:CSW720924 DCR720887:DCS720924 DMN720887:DMO720924 DWJ720887:DWK720924 EGF720887:EGG720924 EQB720887:EQC720924 EZX720887:EZY720924 FJT720887:FJU720924 FTP720887:FTQ720924 GDL720887:GDM720924 GNH720887:GNI720924 GXD720887:GXE720924 HGZ720887:HHA720924 HQV720887:HQW720924 IAR720887:IAS720924 IKN720887:IKO720924 IUJ720887:IUK720924 JEF720887:JEG720924 JOB720887:JOC720924 JXX720887:JXY720924 KHT720887:KHU720924 KRP720887:KRQ720924 LBL720887:LBM720924 LLH720887:LLI720924 LVD720887:LVE720924 MEZ720887:MFA720924 MOV720887:MOW720924 MYR720887:MYS720924 NIN720887:NIO720924 NSJ720887:NSK720924 OCF720887:OCG720924 OMB720887:OMC720924 OVX720887:OVY720924 PFT720887:PFU720924 PPP720887:PPQ720924 PZL720887:PZM720924 QJH720887:QJI720924 QTD720887:QTE720924 RCZ720887:RDA720924 RMV720887:RMW720924 RWR720887:RWS720924 SGN720887:SGO720924 SQJ720887:SQK720924 TAF720887:TAG720924 TKB720887:TKC720924 TTX720887:TTY720924 UDT720887:UDU720924 UNP720887:UNQ720924 UXL720887:UXM720924 VHH720887:VHI720924 VRD720887:VRE720924 WAZ720887:WBA720924 WKV720887:WKW720924 WUR720887:WUS720924 AD786423:AE786460 IF786423:IG786460 SB786423:SC786460 ABX786423:ABY786460 ALT786423:ALU786460 AVP786423:AVQ786460 BFL786423:BFM786460 BPH786423:BPI786460 BZD786423:BZE786460 CIZ786423:CJA786460 CSV786423:CSW786460 DCR786423:DCS786460 DMN786423:DMO786460 DWJ786423:DWK786460 EGF786423:EGG786460 EQB786423:EQC786460 EZX786423:EZY786460 FJT786423:FJU786460 FTP786423:FTQ786460 GDL786423:GDM786460 GNH786423:GNI786460 GXD786423:GXE786460 HGZ786423:HHA786460 HQV786423:HQW786460 IAR786423:IAS786460 IKN786423:IKO786460 IUJ786423:IUK786460 JEF786423:JEG786460 JOB786423:JOC786460 JXX786423:JXY786460 KHT786423:KHU786460 KRP786423:KRQ786460 LBL786423:LBM786460 LLH786423:LLI786460 LVD786423:LVE786460 MEZ786423:MFA786460 MOV786423:MOW786460 MYR786423:MYS786460 NIN786423:NIO786460 NSJ786423:NSK786460 OCF786423:OCG786460 OMB786423:OMC786460 OVX786423:OVY786460 PFT786423:PFU786460 PPP786423:PPQ786460 PZL786423:PZM786460 QJH786423:QJI786460 QTD786423:QTE786460 RCZ786423:RDA786460 RMV786423:RMW786460 RWR786423:RWS786460 SGN786423:SGO786460 SQJ786423:SQK786460 TAF786423:TAG786460 TKB786423:TKC786460 TTX786423:TTY786460 UDT786423:UDU786460 UNP786423:UNQ786460 UXL786423:UXM786460 VHH786423:VHI786460 VRD786423:VRE786460 WAZ786423:WBA786460 WKV786423:WKW786460 WUR786423:WUS786460 AD851959:AE851996 IF851959:IG851996 SB851959:SC851996 ABX851959:ABY851996 ALT851959:ALU851996 AVP851959:AVQ851996 BFL851959:BFM851996 BPH851959:BPI851996 BZD851959:BZE851996 CIZ851959:CJA851996 CSV851959:CSW851996 DCR851959:DCS851996 DMN851959:DMO851996 DWJ851959:DWK851996 EGF851959:EGG851996 EQB851959:EQC851996 EZX851959:EZY851996 FJT851959:FJU851996 FTP851959:FTQ851996 GDL851959:GDM851996 GNH851959:GNI851996 GXD851959:GXE851996 HGZ851959:HHA851996 HQV851959:HQW851996 IAR851959:IAS851996 IKN851959:IKO851996 IUJ851959:IUK851996 JEF851959:JEG851996 JOB851959:JOC851996 JXX851959:JXY851996 KHT851959:KHU851996 KRP851959:KRQ851996 LBL851959:LBM851996 LLH851959:LLI851996 LVD851959:LVE851996 MEZ851959:MFA851996 MOV851959:MOW851996 MYR851959:MYS851996 NIN851959:NIO851996 NSJ851959:NSK851996 OCF851959:OCG851996 OMB851959:OMC851996 OVX851959:OVY851996 PFT851959:PFU851996 PPP851959:PPQ851996 PZL851959:PZM851996 QJH851959:QJI851996 QTD851959:QTE851996 RCZ851959:RDA851996 RMV851959:RMW851996 RWR851959:RWS851996 SGN851959:SGO851996 SQJ851959:SQK851996 TAF851959:TAG851996 TKB851959:TKC851996 TTX851959:TTY851996 UDT851959:UDU851996 UNP851959:UNQ851996 UXL851959:UXM851996 VHH851959:VHI851996 VRD851959:VRE851996 WAZ851959:WBA851996 WKV851959:WKW851996 WUR851959:WUS851996 AD917495:AE917532 IF917495:IG917532 SB917495:SC917532 ABX917495:ABY917532 ALT917495:ALU917532 AVP917495:AVQ917532 BFL917495:BFM917532 BPH917495:BPI917532 BZD917495:BZE917532 CIZ917495:CJA917532 CSV917495:CSW917532 DCR917495:DCS917532 DMN917495:DMO917532 DWJ917495:DWK917532 EGF917495:EGG917532 EQB917495:EQC917532 EZX917495:EZY917532 FJT917495:FJU917532 FTP917495:FTQ917532 GDL917495:GDM917532 GNH917495:GNI917532 GXD917495:GXE917532 HGZ917495:HHA917532 HQV917495:HQW917532 IAR917495:IAS917532 IKN917495:IKO917532 IUJ917495:IUK917532 JEF917495:JEG917532 JOB917495:JOC917532 JXX917495:JXY917532 KHT917495:KHU917532 KRP917495:KRQ917532 LBL917495:LBM917532 LLH917495:LLI917532 LVD917495:LVE917532 MEZ917495:MFA917532 MOV917495:MOW917532 MYR917495:MYS917532 NIN917495:NIO917532 NSJ917495:NSK917532 OCF917495:OCG917532 OMB917495:OMC917532 OVX917495:OVY917532 PFT917495:PFU917532 PPP917495:PPQ917532 PZL917495:PZM917532 QJH917495:QJI917532 QTD917495:QTE917532 RCZ917495:RDA917532 RMV917495:RMW917532 RWR917495:RWS917532 SGN917495:SGO917532 SQJ917495:SQK917532 TAF917495:TAG917532 TKB917495:TKC917532 TTX917495:TTY917532 UDT917495:UDU917532 UNP917495:UNQ917532 UXL917495:UXM917532 VHH917495:VHI917532 VRD917495:VRE917532 WAZ917495:WBA917532 WKV917495:WKW917532 WUR917495:WUS917532 AD983031:AE983068 IF983031:IG983068 SB983031:SC983068 ABX983031:ABY983068 ALT983031:ALU983068 AVP983031:AVQ983068 BFL983031:BFM983068 BPH983031:BPI983068 BZD983031:BZE983068 CIZ983031:CJA983068 CSV983031:CSW983068 DCR983031:DCS983068 DMN983031:DMO983068 DWJ983031:DWK983068 EGF983031:EGG983068 EQB983031:EQC983068 EZX983031:EZY983068 FJT983031:FJU983068 FTP983031:FTQ983068 GDL983031:GDM983068 GNH983031:GNI983068 GXD983031:GXE983068 HGZ983031:HHA983068 HQV983031:HQW983068 IAR983031:IAS983068 IKN983031:IKO983068 IUJ983031:IUK983068 JEF983031:JEG983068 JOB983031:JOC983068 JXX983031:JXY983068 KHT983031:KHU983068 KRP983031:KRQ983068 LBL983031:LBM983068 LLH983031:LLI983068 LVD983031:LVE983068 MEZ983031:MFA983068 MOV983031:MOW983068 MYR983031:MYS983068 NIN983031:NIO983068 NSJ983031:NSK983068 OCF983031:OCG983068 OMB983031:OMC983068 OVX983031:OVY983068 PFT983031:PFU983068 PPP983031:PPQ983068 PZL983031:PZM983068 QJH983031:QJI983068 QTD983031:QTE983068 RCZ983031:RDA983068 RMV983031:RMW983068 RWR983031:RWS983068 SGN983031:SGO983068 SQJ983031:SQK983068 TAF983031:TAG983068 TKB983031:TKC983068 TTX983031:TTY983068 UDT983031:UDU983068 UNP983031:UNQ983068 UXL983031:UXM983068 VHH983031:VHI983068 VRD983031:VRE983068 WAZ983031:WBA983068 WUR983031:WUS983068 AD6:AD7 WKV5:WKW5 AD10:AD12 AD5:AE5 WUR5:WUS5 IF5:IG5 SB5:SC5 ABX5:ABY5 ALT5:ALU5 AVP5:AVQ5 BFL5:BFM5 BPH5:BPI5 BZD5:BZE5 CIZ5:CJA5 CSV5:CSW5 DCR5:DCS5 DMN5:DMO5 DWJ5:DWK5 EGF5:EGG5 EQB5:EQC5 EZX5:EZY5 FJT5:FJU5 FTP5:FTQ5 GDL5:GDM5 GNH5:GNI5 GXD5:GXE5 HGZ5:HHA5 HQV5:HQW5 IAR5:IAS5 IKN5:IKO5 IUJ5:IUK5 JEF5:JEG5 JOB5:JOC5 JXX5:JXY5 KHT5:KHU5 KRP5:KRQ5 LBL5:LBM5 LLH5:LLI5 LVD5:LVE5 MEZ5:MFA5 MOV5:MOW5 MYR5:MYS5 NIN5:NIO5 NSJ5:NSK5 OCF5:OCG5 OMB5:OMC5 OVX5:OVY5 PFT5:PFU5 PPP5:PPQ5 PZL5:PZM5 QJH5:QJI5 QTD5:QTE5 RCZ5:RDA5 RMV5:RMW5 RWR5:RWS5 SGN5:SGO5 SQJ5:SQK5 TAF5:TAG5 TKB5:TKC5 TTX5:TTY5 UDT5:UDU5 UNP5:UNQ5 UXL5:UXM5 VHH5:VHI5 VRD5:VRE5 WAZ5:WBA5" xr:uid="{7F741ADB-7D40-4213-987F-898B83BA6503}">
      <formula1>$Y$41:$Y$43</formula1>
    </dataValidation>
    <dataValidation type="list" allowBlank="1" showInputMessage="1" showErrorMessage="1" sqref="AE983072:AL983077 IG983072:IN983077 SC983072:SJ983077 ABY983072:ACF983077 ALU983072:AMB983077 AVQ983072:AVX983077 BFM983072:BFT983077 BPI983072:BPP983077 BZE983072:BZL983077 CJA983072:CJH983077 CSW983072:CTD983077 DCS983072:DCZ983077 DMO983072:DMV983077 DWK983072:DWR983077 EGG983072:EGN983077 EQC983072:EQJ983077 EZY983072:FAF983077 FJU983072:FKB983077 FTQ983072:FTX983077 GDM983072:GDT983077 GNI983072:GNP983077 GXE983072:GXL983077 HHA983072:HHH983077 HQW983072:HRD983077 IAS983072:IAZ983077 IKO983072:IKV983077 IUK983072:IUR983077 JEG983072:JEN983077 JOC983072:JOJ983077 JXY983072:JYF983077 KHU983072:KIB983077 KRQ983072:KRX983077 LBM983072:LBT983077 LLI983072:LLP983077 LVE983072:LVL983077 MFA983072:MFH983077 MOW983072:MPD983077 MYS983072:MYZ983077 NIO983072:NIV983077 NSK983072:NSR983077 OCG983072:OCN983077 OMC983072:OMJ983077 OVY983072:OWF983077 PFU983072:PGB983077 PPQ983072:PPX983077 PZM983072:PZT983077 QJI983072:QJP983077 QTE983072:QTL983077 RDA983072:RDH983077 RMW983072:RND983077 RWS983072:RWZ983077 SGO983072:SGV983077 SQK983072:SQR983077 TAG983072:TAN983077 TKC983072:TKJ983077 TTY983072:TUF983077 UDU983072:UEB983077 UNQ983072:UNX983077 UXM983072:UXT983077 VHI983072:VHP983077 VRE983072:VRL983077 WBA983072:WBH983077 WKW983072:WLD983077 WUS983072:WUZ983077 AE65568:AL65573 IG65568:IN65573 SC65568:SJ65573 ABY65568:ACF65573 ALU65568:AMB65573 AVQ65568:AVX65573 BFM65568:BFT65573 BPI65568:BPP65573 BZE65568:BZL65573 CJA65568:CJH65573 CSW65568:CTD65573 DCS65568:DCZ65573 DMO65568:DMV65573 DWK65568:DWR65573 EGG65568:EGN65573 EQC65568:EQJ65573 EZY65568:FAF65573 FJU65568:FKB65573 FTQ65568:FTX65573 GDM65568:GDT65573 GNI65568:GNP65573 GXE65568:GXL65573 HHA65568:HHH65573 HQW65568:HRD65573 IAS65568:IAZ65573 IKO65568:IKV65573 IUK65568:IUR65573 JEG65568:JEN65573 JOC65568:JOJ65573 JXY65568:JYF65573 KHU65568:KIB65573 KRQ65568:KRX65573 LBM65568:LBT65573 LLI65568:LLP65573 LVE65568:LVL65573 MFA65568:MFH65573 MOW65568:MPD65573 MYS65568:MYZ65573 NIO65568:NIV65573 NSK65568:NSR65573 OCG65568:OCN65573 OMC65568:OMJ65573 OVY65568:OWF65573 PFU65568:PGB65573 PPQ65568:PPX65573 PZM65568:PZT65573 QJI65568:QJP65573 QTE65568:QTL65573 RDA65568:RDH65573 RMW65568:RND65573 RWS65568:RWZ65573 SGO65568:SGV65573 SQK65568:SQR65573 TAG65568:TAN65573 TKC65568:TKJ65573 TTY65568:TUF65573 UDU65568:UEB65573 UNQ65568:UNX65573 UXM65568:UXT65573 VHI65568:VHP65573 VRE65568:VRL65573 WBA65568:WBH65573 WKW65568:WLD65573 WUS65568:WUZ65573 AE131104:AL131109 IG131104:IN131109 SC131104:SJ131109 ABY131104:ACF131109 ALU131104:AMB131109 AVQ131104:AVX131109 BFM131104:BFT131109 BPI131104:BPP131109 BZE131104:BZL131109 CJA131104:CJH131109 CSW131104:CTD131109 DCS131104:DCZ131109 DMO131104:DMV131109 DWK131104:DWR131109 EGG131104:EGN131109 EQC131104:EQJ131109 EZY131104:FAF131109 FJU131104:FKB131109 FTQ131104:FTX131109 GDM131104:GDT131109 GNI131104:GNP131109 GXE131104:GXL131109 HHA131104:HHH131109 HQW131104:HRD131109 IAS131104:IAZ131109 IKO131104:IKV131109 IUK131104:IUR131109 JEG131104:JEN131109 JOC131104:JOJ131109 JXY131104:JYF131109 KHU131104:KIB131109 KRQ131104:KRX131109 LBM131104:LBT131109 LLI131104:LLP131109 LVE131104:LVL131109 MFA131104:MFH131109 MOW131104:MPD131109 MYS131104:MYZ131109 NIO131104:NIV131109 NSK131104:NSR131109 OCG131104:OCN131109 OMC131104:OMJ131109 OVY131104:OWF131109 PFU131104:PGB131109 PPQ131104:PPX131109 PZM131104:PZT131109 QJI131104:QJP131109 QTE131104:QTL131109 RDA131104:RDH131109 RMW131104:RND131109 RWS131104:RWZ131109 SGO131104:SGV131109 SQK131104:SQR131109 TAG131104:TAN131109 TKC131104:TKJ131109 TTY131104:TUF131109 UDU131104:UEB131109 UNQ131104:UNX131109 UXM131104:UXT131109 VHI131104:VHP131109 VRE131104:VRL131109 WBA131104:WBH131109 WKW131104:WLD131109 WUS131104:WUZ131109 AE196640:AL196645 IG196640:IN196645 SC196640:SJ196645 ABY196640:ACF196645 ALU196640:AMB196645 AVQ196640:AVX196645 BFM196640:BFT196645 BPI196640:BPP196645 BZE196640:BZL196645 CJA196640:CJH196645 CSW196640:CTD196645 DCS196640:DCZ196645 DMO196640:DMV196645 DWK196640:DWR196645 EGG196640:EGN196645 EQC196640:EQJ196645 EZY196640:FAF196645 FJU196640:FKB196645 FTQ196640:FTX196645 GDM196640:GDT196645 GNI196640:GNP196645 GXE196640:GXL196645 HHA196640:HHH196645 HQW196640:HRD196645 IAS196640:IAZ196645 IKO196640:IKV196645 IUK196640:IUR196645 JEG196640:JEN196645 JOC196640:JOJ196645 JXY196640:JYF196645 KHU196640:KIB196645 KRQ196640:KRX196645 LBM196640:LBT196645 LLI196640:LLP196645 LVE196640:LVL196645 MFA196640:MFH196645 MOW196640:MPD196645 MYS196640:MYZ196645 NIO196640:NIV196645 NSK196640:NSR196645 OCG196640:OCN196645 OMC196640:OMJ196645 OVY196640:OWF196645 PFU196640:PGB196645 PPQ196640:PPX196645 PZM196640:PZT196645 QJI196640:QJP196645 QTE196640:QTL196645 RDA196640:RDH196645 RMW196640:RND196645 RWS196640:RWZ196645 SGO196640:SGV196645 SQK196640:SQR196645 TAG196640:TAN196645 TKC196640:TKJ196645 TTY196640:TUF196645 UDU196640:UEB196645 UNQ196640:UNX196645 UXM196640:UXT196645 VHI196640:VHP196645 VRE196640:VRL196645 WBA196640:WBH196645 WKW196640:WLD196645 WUS196640:WUZ196645 AE262176:AL262181 IG262176:IN262181 SC262176:SJ262181 ABY262176:ACF262181 ALU262176:AMB262181 AVQ262176:AVX262181 BFM262176:BFT262181 BPI262176:BPP262181 BZE262176:BZL262181 CJA262176:CJH262181 CSW262176:CTD262181 DCS262176:DCZ262181 DMO262176:DMV262181 DWK262176:DWR262181 EGG262176:EGN262181 EQC262176:EQJ262181 EZY262176:FAF262181 FJU262176:FKB262181 FTQ262176:FTX262181 GDM262176:GDT262181 GNI262176:GNP262181 GXE262176:GXL262181 HHA262176:HHH262181 HQW262176:HRD262181 IAS262176:IAZ262181 IKO262176:IKV262181 IUK262176:IUR262181 JEG262176:JEN262181 JOC262176:JOJ262181 JXY262176:JYF262181 KHU262176:KIB262181 KRQ262176:KRX262181 LBM262176:LBT262181 LLI262176:LLP262181 LVE262176:LVL262181 MFA262176:MFH262181 MOW262176:MPD262181 MYS262176:MYZ262181 NIO262176:NIV262181 NSK262176:NSR262181 OCG262176:OCN262181 OMC262176:OMJ262181 OVY262176:OWF262181 PFU262176:PGB262181 PPQ262176:PPX262181 PZM262176:PZT262181 QJI262176:QJP262181 QTE262176:QTL262181 RDA262176:RDH262181 RMW262176:RND262181 RWS262176:RWZ262181 SGO262176:SGV262181 SQK262176:SQR262181 TAG262176:TAN262181 TKC262176:TKJ262181 TTY262176:TUF262181 UDU262176:UEB262181 UNQ262176:UNX262181 UXM262176:UXT262181 VHI262176:VHP262181 VRE262176:VRL262181 WBA262176:WBH262181 WKW262176:WLD262181 WUS262176:WUZ262181 AE327712:AL327717 IG327712:IN327717 SC327712:SJ327717 ABY327712:ACF327717 ALU327712:AMB327717 AVQ327712:AVX327717 BFM327712:BFT327717 BPI327712:BPP327717 BZE327712:BZL327717 CJA327712:CJH327717 CSW327712:CTD327717 DCS327712:DCZ327717 DMO327712:DMV327717 DWK327712:DWR327717 EGG327712:EGN327717 EQC327712:EQJ327717 EZY327712:FAF327717 FJU327712:FKB327717 FTQ327712:FTX327717 GDM327712:GDT327717 GNI327712:GNP327717 GXE327712:GXL327717 HHA327712:HHH327717 HQW327712:HRD327717 IAS327712:IAZ327717 IKO327712:IKV327717 IUK327712:IUR327717 JEG327712:JEN327717 JOC327712:JOJ327717 JXY327712:JYF327717 KHU327712:KIB327717 KRQ327712:KRX327717 LBM327712:LBT327717 LLI327712:LLP327717 LVE327712:LVL327717 MFA327712:MFH327717 MOW327712:MPD327717 MYS327712:MYZ327717 NIO327712:NIV327717 NSK327712:NSR327717 OCG327712:OCN327717 OMC327712:OMJ327717 OVY327712:OWF327717 PFU327712:PGB327717 PPQ327712:PPX327717 PZM327712:PZT327717 QJI327712:QJP327717 QTE327712:QTL327717 RDA327712:RDH327717 RMW327712:RND327717 RWS327712:RWZ327717 SGO327712:SGV327717 SQK327712:SQR327717 TAG327712:TAN327717 TKC327712:TKJ327717 TTY327712:TUF327717 UDU327712:UEB327717 UNQ327712:UNX327717 UXM327712:UXT327717 VHI327712:VHP327717 VRE327712:VRL327717 WBA327712:WBH327717 WKW327712:WLD327717 WUS327712:WUZ327717 AE393248:AL393253 IG393248:IN393253 SC393248:SJ393253 ABY393248:ACF393253 ALU393248:AMB393253 AVQ393248:AVX393253 BFM393248:BFT393253 BPI393248:BPP393253 BZE393248:BZL393253 CJA393248:CJH393253 CSW393248:CTD393253 DCS393248:DCZ393253 DMO393248:DMV393253 DWK393248:DWR393253 EGG393248:EGN393253 EQC393248:EQJ393253 EZY393248:FAF393253 FJU393248:FKB393253 FTQ393248:FTX393253 GDM393248:GDT393253 GNI393248:GNP393253 GXE393248:GXL393253 HHA393248:HHH393253 HQW393248:HRD393253 IAS393248:IAZ393253 IKO393248:IKV393253 IUK393248:IUR393253 JEG393248:JEN393253 JOC393248:JOJ393253 JXY393248:JYF393253 KHU393248:KIB393253 KRQ393248:KRX393253 LBM393248:LBT393253 LLI393248:LLP393253 LVE393248:LVL393253 MFA393248:MFH393253 MOW393248:MPD393253 MYS393248:MYZ393253 NIO393248:NIV393253 NSK393248:NSR393253 OCG393248:OCN393253 OMC393248:OMJ393253 OVY393248:OWF393253 PFU393248:PGB393253 PPQ393248:PPX393253 PZM393248:PZT393253 QJI393248:QJP393253 QTE393248:QTL393253 RDA393248:RDH393253 RMW393248:RND393253 RWS393248:RWZ393253 SGO393248:SGV393253 SQK393248:SQR393253 TAG393248:TAN393253 TKC393248:TKJ393253 TTY393248:TUF393253 UDU393248:UEB393253 UNQ393248:UNX393253 UXM393248:UXT393253 VHI393248:VHP393253 VRE393248:VRL393253 WBA393248:WBH393253 WKW393248:WLD393253 WUS393248:WUZ393253 AE458784:AL458789 IG458784:IN458789 SC458784:SJ458789 ABY458784:ACF458789 ALU458784:AMB458789 AVQ458784:AVX458789 BFM458784:BFT458789 BPI458784:BPP458789 BZE458784:BZL458789 CJA458784:CJH458789 CSW458784:CTD458789 DCS458784:DCZ458789 DMO458784:DMV458789 DWK458784:DWR458789 EGG458784:EGN458789 EQC458784:EQJ458789 EZY458784:FAF458789 FJU458784:FKB458789 FTQ458784:FTX458789 GDM458784:GDT458789 GNI458784:GNP458789 GXE458784:GXL458789 HHA458784:HHH458789 HQW458784:HRD458789 IAS458784:IAZ458789 IKO458784:IKV458789 IUK458784:IUR458789 JEG458784:JEN458789 JOC458784:JOJ458789 JXY458784:JYF458789 KHU458784:KIB458789 KRQ458784:KRX458789 LBM458784:LBT458789 LLI458784:LLP458789 LVE458784:LVL458789 MFA458784:MFH458789 MOW458784:MPD458789 MYS458784:MYZ458789 NIO458784:NIV458789 NSK458784:NSR458789 OCG458784:OCN458789 OMC458784:OMJ458789 OVY458784:OWF458789 PFU458784:PGB458789 PPQ458784:PPX458789 PZM458784:PZT458789 QJI458784:QJP458789 QTE458784:QTL458789 RDA458784:RDH458789 RMW458784:RND458789 RWS458784:RWZ458789 SGO458784:SGV458789 SQK458784:SQR458789 TAG458784:TAN458789 TKC458784:TKJ458789 TTY458784:TUF458789 UDU458784:UEB458789 UNQ458784:UNX458789 UXM458784:UXT458789 VHI458784:VHP458789 VRE458784:VRL458789 WBA458784:WBH458789 WKW458784:WLD458789 WUS458784:WUZ458789 AE524320:AL524325 IG524320:IN524325 SC524320:SJ524325 ABY524320:ACF524325 ALU524320:AMB524325 AVQ524320:AVX524325 BFM524320:BFT524325 BPI524320:BPP524325 BZE524320:BZL524325 CJA524320:CJH524325 CSW524320:CTD524325 DCS524320:DCZ524325 DMO524320:DMV524325 DWK524320:DWR524325 EGG524320:EGN524325 EQC524320:EQJ524325 EZY524320:FAF524325 FJU524320:FKB524325 FTQ524320:FTX524325 GDM524320:GDT524325 GNI524320:GNP524325 GXE524320:GXL524325 HHA524320:HHH524325 HQW524320:HRD524325 IAS524320:IAZ524325 IKO524320:IKV524325 IUK524320:IUR524325 JEG524320:JEN524325 JOC524320:JOJ524325 JXY524320:JYF524325 KHU524320:KIB524325 KRQ524320:KRX524325 LBM524320:LBT524325 LLI524320:LLP524325 LVE524320:LVL524325 MFA524320:MFH524325 MOW524320:MPD524325 MYS524320:MYZ524325 NIO524320:NIV524325 NSK524320:NSR524325 OCG524320:OCN524325 OMC524320:OMJ524325 OVY524320:OWF524325 PFU524320:PGB524325 PPQ524320:PPX524325 PZM524320:PZT524325 QJI524320:QJP524325 QTE524320:QTL524325 RDA524320:RDH524325 RMW524320:RND524325 RWS524320:RWZ524325 SGO524320:SGV524325 SQK524320:SQR524325 TAG524320:TAN524325 TKC524320:TKJ524325 TTY524320:TUF524325 UDU524320:UEB524325 UNQ524320:UNX524325 UXM524320:UXT524325 VHI524320:VHP524325 VRE524320:VRL524325 WBA524320:WBH524325 WKW524320:WLD524325 WUS524320:WUZ524325 AE589856:AL589861 IG589856:IN589861 SC589856:SJ589861 ABY589856:ACF589861 ALU589856:AMB589861 AVQ589856:AVX589861 BFM589856:BFT589861 BPI589856:BPP589861 BZE589856:BZL589861 CJA589856:CJH589861 CSW589856:CTD589861 DCS589856:DCZ589861 DMO589856:DMV589861 DWK589856:DWR589861 EGG589856:EGN589861 EQC589856:EQJ589861 EZY589856:FAF589861 FJU589856:FKB589861 FTQ589856:FTX589861 GDM589856:GDT589861 GNI589856:GNP589861 GXE589856:GXL589861 HHA589856:HHH589861 HQW589856:HRD589861 IAS589856:IAZ589861 IKO589856:IKV589861 IUK589856:IUR589861 JEG589856:JEN589861 JOC589856:JOJ589861 JXY589856:JYF589861 KHU589856:KIB589861 KRQ589856:KRX589861 LBM589856:LBT589861 LLI589856:LLP589861 LVE589856:LVL589861 MFA589856:MFH589861 MOW589856:MPD589861 MYS589856:MYZ589861 NIO589856:NIV589861 NSK589856:NSR589861 OCG589856:OCN589861 OMC589856:OMJ589861 OVY589856:OWF589861 PFU589856:PGB589861 PPQ589856:PPX589861 PZM589856:PZT589861 QJI589856:QJP589861 QTE589856:QTL589861 RDA589856:RDH589861 RMW589856:RND589861 RWS589856:RWZ589861 SGO589856:SGV589861 SQK589856:SQR589861 TAG589856:TAN589861 TKC589856:TKJ589861 TTY589856:TUF589861 UDU589856:UEB589861 UNQ589856:UNX589861 UXM589856:UXT589861 VHI589856:VHP589861 VRE589856:VRL589861 WBA589856:WBH589861 WKW589856:WLD589861 WUS589856:WUZ589861 AE655392:AL655397 IG655392:IN655397 SC655392:SJ655397 ABY655392:ACF655397 ALU655392:AMB655397 AVQ655392:AVX655397 BFM655392:BFT655397 BPI655392:BPP655397 BZE655392:BZL655397 CJA655392:CJH655397 CSW655392:CTD655397 DCS655392:DCZ655397 DMO655392:DMV655397 DWK655392:DWR655397 EGG655392:EGN655397 EQC655392:EQJ655397 EZY655392:FAF655397 FJU655392:FKB655397 FTQ655392:FTX655397 GDM655392:GDT655397 GNI655392:GNP655397 GXE655392:GXL655397 HHA655392:HHH655397 HQW655392:HRD655397 IAS655392:IAZ655397 IKO655392:IKV655397 IUK655392:IUR655397 JEG655392:JEN655397 JOC655392:JOJ655397 JXY655392:JYF655397 KHU655392:KIB655397 KRQ655392:KRX655397 LBM655392:LBT655397 LLI655392:LLP655397 LVE655392:LVL655397 MFA655392:MFH655397 MOW655392:MPD655397 MYS655392:MYZ655397 NIO655392:NIV655397 NSK655392:NSR655397 OCG655392:OCN655397 OMC655392:OMJ655397 OVY655392:OWF655397 PFU655392:PGB655397 PPQ655392:PPX655397 PZM655392:PZT655397 QJI655392:QJP655397 QTE655392:QTL655397 RDA655392:RDH655397 RMW655392:RND655397 RWS655392:RWZ655397 SGO655392:SGV655397 SQK655392:SQR655397 TAG655392:TAN655397 TKC655392:TKJ655397 TTY655392:TUF655397 UDU655392:UEB655397 UNQ655392:UNX655397 UXM655392:UXT655397 VHI655392:VHP655397 VRE655392:VRL655397 WBA655392:WBH655397 WKW655392:WLD655397 WUS655392:WUZ655397 AE720928:AL720933 IG720928:IN720933 SC720928:SJ720933 ABY720928:ACF720933 ALU720928:AMB720933 AVQ720928:AVX720933 BFM720928:BFT720933 BPI720928:BPP720933 BZE720928:BZL720933 CJA720928:CJH720933 CSW720928:CTD720933 DCS720928:DCZ720933 DMO720928:DMV720933 DWK720928:DWR720933 EGG720928:EGN720933 EQC720928:EQJ720933 EZY720928:FAF720933 FJU720928:FKB720933 FTQ720928:FTX720933 GDM720928:GDT720933 GNI720928:GNP720933 GXE720928:GXL720933 HHA720928:HHH720933 HQW720928:HRD720933 IAS720928:IAZ720933 IKO720928:IKV720933 IUK720928:IUR720933 JEG720928:JEN720933 JOC720928:JOJ720933 JXY720928:JYF720933 KHU720928:KIB720933 KRQ720928:KRX720933 LBM720928:LBT720933 LLI720928:LLP720933 LVE720928:LVL720933 MFA720928:MFH720933 MOW720928:MPD720933 MYS720928:MYZ720933 NIO720928:NIV720933 NSK720928:NSR720933 OCG720928:OCN720933 OMC720928:OMJ720933 OVY720928:OWF720933 PFU720928:PGB720933 PPQ720928:PPX720933 PZM720928:PZT720933 QJI720928:QJP720933 QTE720928:QTL720933 RDA720928:RDH720933 RMW720928:RND720933 RWS720928:RWZ720933 SGO720928:SGV720933 SQK720928:SQR720933 TAG720928:TAN720933 TKC720928:TKJ720933 TTY720928:TUF720933 UDU720928:UEB720933 UNQ720928:UNX720933 UXM720928:UXT720933 VHI720928:VHP720933 VRE720928:VRL720933 WBA720928:WBH720933 WKW720928:WLD720933 WUS720928:WUZ720933 AE786464:AL786469 IG786464:IN786469 SC786464:SJ786469 ABY786464:ACF786469 ALU786464:AMB786469 AVQ786464:AVX786469 BFM786464:BFT786469 BPI786464:BPP786469 BZE786464:BZL786469 CJA786464:CJH786469 CSW786464:CTD786469 DCS786464:DCZ786469 DMO786464:DMV786469 DWK786464:DWR786469 EGG786464:EGN786469 EQC786464:EQJ786469 EZY786464:FAF786469 FJU786464:FKB786469 FTQ786464:FTX786469 GDM786464:GDT786469 GNI786464:GNP786469 GXE786464:GXL786469 HHA786464:HHH786469 HQW786464:HRD786469 IAS786464:IAZ786469 IKO786464:IKV786469 IUK786464:IUR786469 JEG786464:JEN786469 JOC786464:JOJ786469 JXY786464:JYF786469 KHU786464:KIB786469 KRQ786464:KRX786469 LBM786464:LBT786469 LLI786464:LLP786469 LVE786464:LVL786469 MFA786464:MFH786469 MOW786464:MPD786469 MYS786464:MYZ786469 NIO786464:NIV786469 NSK786464:NSR786469 OCG786464:OCN786469 OMC786464:OMJ786469 OVY786464:OWF786469 PFU786464:PGB786469 PPQ786464:PPX786469 PZM786464:PZT786469 QJI786464:QJP786469 QTE786464:QTL786469 RDA786464:RDH786469 RMW786464:RND786469 RWS786464:RWZ786469 SGO786464:SGV786469 SQK786464:SQR786469 TAG786464:TAN786469 TKC786464:TKJ786469 TTY786464:TUF786469 UDU786464:UEB786469 UNQ786464:UNX786469 UXM786464:UXT786469 VHI786464:VHP786469 VRE786464:VRL786469 WBA786464:WBH786469 WKW786464:WLD786469 WUS786464:WUZ786469 AE852000:AL852005 IG852000:IN852005 SC852000:SJ852005 ABY852000:ACF852005 ALU852000:AMB852005 AVQ852000:AVX852005 BFM852000:BFT852005 BPI852000:BPP852005 BZE852000:BZL852005 CJA852000:CJH852005 CSW852000:CTD852005 DCS852000:DCZ852005 DMO852000:DMV852005 DWK852000:DWR852005 EGG852000:EGN852005 EQC852000:EQJ852005 EZY852000:FAF852005 FJU852000:FKB852005 FTQ852000:FTX852005 GDM852000:GDT852005 GNI852000:GNP852005 GXE852000:GXL852005 HHA852000:HHH852005 HQW852000:HRD852005 IAS852000:IAZ852005 IKO852000:IKV852005 IUK852000:IUR852005 JEG852000:JEN852005 JOC852000:JOJ852005 JXY852000:JYF852005 KHU852000:KIB852005 KRQ852000:KRX852005 LBM852000:LBT852005 LLI852000:LLP852005 LVE852000:LVL852005 MFA852000:MFH852005 MOW852000:MPD852005 MYS852000:MYZ852005 NIO852000:NIV852005 NSK852000:NSR852005 OCG852000:OCN852005 OMC852000:OMJ852005 OVY852000:OWF852005 PFU852000:PGB852005 PPQ852000:PPX852005 PZM852000:PZT852005 QJI852000:QJP852005 QTE852000:QTL852005 RDA852000:RDH852005 RMW852000:RND852005 RWS852000:RWZ852005 SGO852000:SGV852005 SQK852000:SQR852005 TAG852000:TAN852005 TKC852000:TKJ852005 TTY852000:TUF852005 UDU852000:UEB852005 UNQ852000:UNX852005 UXM852000:UXT852005 VHI852000:VHP852005 VRE852000:VRL852005 WBA852000:WBH852005 WKW852000:WLD852005 WUS852000:WUZ852005 AE917536:AL917541 IG917536:IN917541 SC917536:SJ917541 ABY917536:ACF917541 ALU917536:AMB917541 AVQ917536:AVX917541 BFM917536:BFT917541 BPI917536:BPP917541 BZE917536:BZL917541 CJA917536:CJH917541 CSW917536:CTD917541 DCS917536:DCZ917541 DMO917536:DMV917541 DWK917536:DWR917541 EGG917536:EGN917541 EQC917536:EQJ917541 EZY917536:FAF917541 FJU917536:FKB917541 FTQ917536:FTX917541 GDM917536:GDT917541 GNI917536:GNP917541 GXE917536:GXL917541 HHA917536:HHH917541 HQW917536:HRD917541 IAS917536:IAZ917541 IKO917536:IKV917541 IUK917536:IUR917541 JEG917536:JEN917541 JOC917536:JOJ917541 JXY917536:JYF917541 KHU917536:KIB917541 KRQ917536:KRX917541 LBM917536:LBT917541 LLI917536:LLP917541 LVE917536:LVL917541 MFA917536:MFH917541 MOW917536:MPD917541 MYS917536:MYZ917541 NIO917536:NIV917541 NSK917536:NSR917541 OCG917536:OCN917541 OMC917536:OMJ917541 OVY917536:OWF917541 PFU917536:PGB917541 PPQ917536:PPX917541 PZM917536:PZT917541 QJI917536:QJP917541 QTE917536:QTL917541 RDA917536:RDH917541 RMW917536:RND917541 RWS917536:RWZ917541 SGO917536:SGV917541 SQK917536:SQR917541 TAG917536:TAN917541 TKC917536:TKJ917541 TTY917536:TUF917541 UDU917536:UEB917541 UNQ917536:UNX917541 UXM917536:UXT917541 VHI917536:VHP917541 VRE917536:VRL917541 WBA917536:WBH917541 WKW917536:WLD917541 WUS917536:WUZ917541 AE33:AL37 WKW33:WLD35 WBA33:WBH35 VRE33:VRL35 VHI33:VHP35 UXM33:UXT35 UNQ33:UNX35 UDU33:UEB35 TTY33:TUF35 TKC33:TKJ35 TAG33:TAN35 SQK33:SQR35 SGO33:SGV35 RWS33:RWZ35 RMW33:RND35 RDA33:RDH35 QTE33:QTL35 QJI33:QJP35 PZM33:PZT35 PPQ33:PPX35 PFU33:PGB35 OVY33:OWF35 OMC33:OMJ35 OCG33:OCN35 NSK33:NSR35 NIO33:NIV35 MYS33:MYZ35 MOW33:MPD35 MFA33:MFH35 LVE33:LVL35 LLI33:LLP35 LBM33:LBT35 KRQ33:KRX35 KHU33:KIB35 JXY33:JYF35 JOC33:JOJ35 JEG33:JEN35 IUK33:IUR35 IKO33:IKV35 IAS33:IAZ35 HQW33:HRD35 HHA33:HHH35 GXE33:GXL35 GNI33:GNP35 GDM33:GDT35 FTQ33:FTX35 FJU33:FKB35 EZY33:FAF35 EQC33:EQJ35 EGG33:EGN35 DWK33:DWR35 DMO33:DMV35 DCS33:DCZ35 CSW33:CTD35 CJA33:CJH35 BZE33:BZL35 BPI33:BPP35 BFM33:BFT35 AVQ33:AVX35 ALU33:AMB35 ABY33:ACF35 SC33:SJ35 IG33:IN35 WUS33:WUZ35" xr:uid="{D6A3EB15-7472-48CD-947F-668776E87D0F}">
      <formula1>"サーバ,クライアント"</formula1>
    </dataValidation>
    <dataValidation type="list" allowBlank="1" showInputMessage="1" showErrorMessage="1" sqref="WUP983031:WUQ983034 WUP18:WUQ20 ID18:IE20 RZ18:SA20 ABV18:ABW20 ALR18:ALS20 AVN18:AVO20 BFJ18:BFK20 BPF18:BPG20 BZB18:BZC20 CIX18:CIY20 CST18:CSU20 DCP18:DCQ20 DML18:DMM20 DWH18:DWI20 EGD18:EGE20 EPZ18:EQA20 EZV18:EZW20 FJR18:FJS20 FTN18:FTO20 GDJ18:GDK20 GNF18:GNG20 GXB18:GXC20 HGX18:HGY20 HQT18:HQU20 IAP18:IAQ20 IKL18:IKM20 IUH18:IUI20 JED18:JEE20 JNZ18:JOA20 JXV18:JXW20 KHR18:KHS20 KRN18:KRO20 LBJ18:LBK20 LLF18:LLG20 LVB18:LVC20 MEX18:MEY20 MOT18:MOU20 MYP18:MYQ20 NIL18:NIM20 NSH18:NSI20 OCD18:OCE20 OLZ18:OMA20 OVV18:OVW20 PFR18:PFS20 PPN18:PPO20 PZJ18:PZK20 QJF18:QJG20 QTB18:QTC20 RCX18:RCY20 RMT18:RMU20 RWP18:RWQ20 SGL18:SGM20 SQH18:SQI20 TAD18:TAE20 TJZ18:TKA20 TTV18:TTW20 UDR18:UDS20 UNN18:UNO20 UXJ18:UXK20 VHF18:VHG20 VRB18:VRC20 WAX18:WAY20 WKT18:WKU20 WKT10:WKU13 WUP25:WUQ28 ID25:IE28 RZ25:SA28 ABV25:ABW28 ALR25:ALS28 AVN25:AVO28 BFJ25:BFK28 BPF25:BPG28 BZB25:BZC28 CIX25:CIY28 CST25:CSU28 DCP25:DCQ28 DML25:DMM28 DWH25:DWI28 EGD25:EGE28 EPZ25:EQA28 EZV25:EZW28 FJR25:FJS28 FTN25:FTO28 GDJ25:GDK28 GNF25:GNG28 GXB25:GXC28 HGX25:HGY28 HQT25:HQU28 IAP25:IAQ28 IKL25:IKM28 IUH25:IUI28 JED25:JEE28 JNZ25:JOA28 JXV25:JXW28 KHR25:KHS28 KRN25:KRO28 LBJ25:LBK28 LLF25:LLG28 LVB25:LVC28 MEX25:MEY28 MOT25:MOU28 MYP25:MYQ28 NIL25:NIM28 NSH25:NSI28 OCD25:OCE28 OLZ25:OMA28 OVV25:OVW28 PFR25:PFS28 PPN25:PPO28 PZJ25:PZK28 QJF25:QJG28 QTB25:QTC28 RCX25:RCY28 RMT25:RMU28 RWP25:RWQ28 SGL25:SGM28 SQH25:SQI28 TAD25:TAE28 TJZ25:TKA28 TTV25:TTW28 UDR25:UDS28 UNN25:UNO28 UXJ25:UXK28 VHF25:VHG28 VRB25:VRC28 WAX25:WAY28 WKT25:WKU28 WUP10:WUQ13 ID10:IE13 RZ10:SA13 ABV10:ABW13 ALR10:ALS13 AVN10:AVO13 BFJ10:BFK13 BPF10:BPG13 BZB10:BZC13 CIX10:CIY13 CST10:CSU13 DCP10:DCQ13 DML10:DMM13 DWH10:DWI13 EGD10:EGE13 EPZ10:EQA13 EZV10:EZW13 FJR10:FJS13 FTN10:FTO13 GDJ10:GDK13 GNF10:GNG13 GXB10:GXC13 HGX10:HGY13 HQT10:HQU13 IAP10:IAQ13 IKL10:IKM13 IUH10:IUI13 JED10:JEE13 JNZ10:JOA13 JXV10:JXW13 KHR10:KHS13 KRN10:KRO13 LBJ10:LBK13 LLF10:LLG13 LVB10:LVC13 MEX10:MEY13 MOT10:MOU13 MYP10:MYQ13 NIL10:NIM13 NSH10:NSI13 OCD10:OCE13 OLZ10:OMA13 OVV10:OVW13 PFR10:PFS13 PPN10:PPO13 PZJ10:PZK13 QJF10:QJG13 QTB10:QTC13 RCX10:RCY13 RMT10:RMU13 RWP10:RWQ13 SGL10:SGM13 SQH10:SQI13 TAD10:TAE13 TJZ10:TKA13 TTV10:TTW13 UDR10:UDS13 UNN10:UNO13 UXJ10:UXK13 VHF10:VHG13 VRB10:VRC13 WAX10:WAY13 WKT983031:WKU983034 AB65527:AC65530 ID65527:IE65530 RZ65527:SA65530 ABV65527:ABW65530 ALR65527:ALS65530 AVN65527:AVO65530 BFJ65527:BFK65530 BPF65527:BPG65530 BZB65527:BZC65530 CIX65527:CIY65530 CST65527:CSU65530 DCP65527:DCQ65530 DML65527:DMM65530 DWH65527:DWI65530 EGD65527:EGE65530 EPZ65527:EQA65530 EZV65527:EZW65530 FJR65527:FJS65530 FTN65527:FTO65530 GDJ65527:GDK65530 GNF65527:GNG65530 GXB65527:GXC65530 HGX65527:HGY65530 HQT65527:HQU65530 IAP65527:IAQ65530 IKL65527:IKM65530 IUH65527:IUI65530 JED65527:JEE65530 JNZ65527:JOA65530 JXV65527:JXW65530 KHR65527:KHS65530 KRN65527:KRO65530 LBJ65527:LBK65530 LLF65527:LLG65530 LVB65527:LVC65530 MEX65527:MEY65530 MOT65527:MOU65530 MYP65527:MYQ65530 NIL65527:NIM65530 NSH65527:NSI65530 OCD65527:OCE65530 OLZ65527:OMA65530 OVV65527:OVW65530 PFR65527:PFS65530 PPN65527:PPO65530 PZJ65527:PZK65530 QJF65527:QJG65530 QTB65527:QTC65530 RCX65527:RCY65530 RMT65527:RMU65530 RWP65527:RWQ65530 SGL65527:SGM65530 SQH65527:SQI65530 TAD65527:TAE65530 TJZ65527:TKA65530 TTV65527:TTW65530 UDR65527:UDS65530 UNN65527:UNO65530 UXJ65527:UXK65530 VHF65527:VHG65530 VRB65527:VRC65530 WAX65527:WAY65530 WKT65527:WKU65530 WUP65527:WUQ65530 AB131063:AC131066 ID131063:IE131066 RZ131063:SA131066 ABV131063:ABW131066 ALR131063:ALS131066 AVN131063:AVO131066 BFJ131063:BFK131066 BPF131063:BPG131066 BZB131063:BZC131066 CIX131063:CIY131066 CST131063:CSU131066 DCP131063:DCQ131066 DML131063:DMM131066 DWH131063:DWI131066 EGD131063:EGE131066 EPZ131063:EQA131066 EZV131063:EZW131066 FJR131063:FJS131066 FTN131063:FTO131066 GDJ131063:GDK131066 GNF131063:GNG131066 GXB131063:GXC131066 HGX131063:HGY131066 HQT131063:HQU131066 IAP131063:IAQ131066 IKL131063:IKM131066 IUH131063:IUI131066 JED131063:JEE131066 JNZ131063:JOA131066 JXV131063:JXW131066 KHR131063:KHS131066 KRN131063:KRO131066 LBJ131063:LBK131066 LLF131063:LLG131066 LVB131063:LVC131066 MEX131063:MEY131066 MOT131063:MOU131066 MYP131063:MYQ131066 NIL131063:NIM131066 NSH131063:NSI131066 OCD131063:OCE131066 OLZ131063:OMA131066 OVV131063:OVW131066 PFR131063:PFS131066 PPN131063:PPO131066 PZJ131063:PZK131066 QJF131063:QJG131066 QTB131063:QTC131066 RCX131063:RCY131066 RMT131063:RMU131066 RWP131063:RWQ131066 SGL131063:SGM131066 SQH131063:SQI131066 TAD131063:TAE131066 TJZ131063:TKA131066 TTV131063:TTW131066 UDR131063:UDS131066 UNN131063:UNO131066 UXJ131063:UXK131066 VHF131063:VHG131066 VRB131063:VRC131066 WAX131063:WAY131066 WKT131063:WKU131066 WUP131063:WUQ131066 AB196599:AC196602 ID196599:IE196602 RZ196599:SA196602 ABV196599:ABW196602 ALR196599:ALS196602 AVN196599:AVO196602 BFJ196599:BFK196602 BPF196599:BPG196602 BZB196599:BZC196602 CIX196599:CIY196602 CST196599:CSU196602 DCP196599:DCQ196602 DML196599:DMM196602 DWH196599:DWI196602 EGD196599:EGE196602 EPZ196599:EQA196602 EZV196599:EZW196602 FJR196599:FJS196602 FTN196599:FTO196602 GDJ196599:GDK196602 GNF196599:GNG196602 GXB196599:GXC196602 HGX196599:HGY196602 HQT196599:HQU196602 IAP196599:IAQ196602 IKL196599:IKM196602 IUH196599:IUI196602 JED196599:JEE196602 JNZ196599:JOA196602 JXV196599:JXW196602 KHR196599:KHS196602 KRN196599:KRO196602 LBJ196599:LBK196602 LLF196599:LLG196602 LVB196599:LVC196602 MEX196599:MEY196602 MOT196599:MOU196602 MYP196599:MYQ196602 NIL196599:NIM196602 NSH196599:NSI196602 OCD196599:OCE196602 OLZ196599:OMA196602 OVV196599:OVW196602 PFR196599:PFS196602 PPN196599:PPO196602 PZJ196599:PZK196602 QJF196599:QJG196602 QTB196599:QTC196602 RCX196599:RCY196602 RMT196599:RMU196602 RWP196599:RWQ196602 SGL196599:SGM196602 SQH196599:SQI196602 TAD196599:TAE196602 TJZ196599:TKA196602 TTV196599:TTW196602 UDR196599:UDS196602 UNN196599:UNO196602 UXJ196599:UXK196602 VHF196599:VHG196602 VRB196599:VRC196602 WAX196599:WAY196602 WKT196599:WKU196602 WUP196599:WUQ196602 AB262135:AC262138 ID262135:IE262138 RZ262135:SA262138 ABV262135:ABW262138 ALR262135:ALS262138 AVN262135:AVO262138 BFJ262135:BFK262138 BPF262135:BPG262138 BZB262135:BZC262138 CIX262135:CIY262138 CST262135:CSU262138 DCP262135:DCQ262138 DML262135:DMM262138 DWH262135:DWI262138 EGD262135:EGE262138 EPZ262135:EQA262138 EZV262135:EZW262138 FJR262135:FJS262138 FTN262135:FTO262138 GDJ262135:GDK262138 GNF262135:GNG262138 GXB262135:GXC262138 HGX262135:HGY262138 HQT262135:HQU262138 IAP262135:IAQ262138 IKL262135:IKM262138 IUH262135:IUI262138 JED262135:JEE262138 JNZ262135:JOA262138 JXV262135:JXW262138 KHR262135:KHS262138 KRN262135:KRO262138 LBJ262135:LBK262138 LLF262135:LLG262138 LVB262135:LVC262138 MEX262135:MEY262138 MOT262135:MOU262138 MYP262135:MYQ262138 NIL262135:NIM262138 NSH262135:NSI262138 OCD262135:OCE262138 OLZ262135:OMA262138 OVV262135:OVW262138 PFR262135:PFS262138 PPN262135:PPO262138 PZJ262135:PZK262138 QJF262135:QJG262138 QTB262135:QTC262138 RCX262135:RCY262138 RMT262135:RMU262138 RWP262135:RWQ262138 SGL262135:SGM262138 SQH262135:SQI262138 TAD262135:TAE262138 TJZ262135:TKA262138 TTV262135:TTW262138 UDR262135:UDS262138 UNN262135:UNO262138 UXJ262135:UXK262138 VHF262135:VHG262138 VRB262135:VRC262138 WAX262135:WAY262138 WKT262135:WKU262138 WUP262135:WUQ262138 AB327671:AC327674 ID327671:IE327674 RZ327671:SA327674 ABV327671:ABW327674 ALR327671:ALS327674 AVN327671:AVO327674 BFJ327671:BFK327674 BPF327671:BPG327674 BZB327671:BZC327674 CIX327671:CIY327674 CST327671:CSU327674 DCP327671:DCQ327674 DML327671:DMM327674 DWH327671:DWI327674 EGD327671:EGE327674 EPZ327671:EQA327674 EZV327671:EZW327674 FJR327671:FJS327674 FTN327671:FTO327674 GDJ327671:GDK327674 GNF327671:GNG327674 GXB327671:GXC327674 HGX327671:HGY327674 HQT327671:HQU327674 IAP327671:IAQ327674 IKL327671:IKM327674 IUH327671:IUI327674 JED327671:JEE327674 JNZ327671:JOA327674 JXV327671:JXW327674 KHR327671:KHS327674 KRN327671:KRO327674 LBJ327671:LBK327674 LLF327671:LLG327674 LVB327671:LVC327674 MEX327671:MEY327674 MOT327671:MOU327674 MYP327671:MYQ327674 NIL327671:NIM327674 NSH327671:NSI327674 OCD327671:OCE327674 OLZ327671:OMA327674 OVV327671:OVW327674 PFR327671:PFS327674 PPN327671:PPO327674 PZJ327671:PZK327674 QJF327671:QJG327674 QTB327671:QTC327674 RCX327671:RCY327674 RMT327671:RMU327674 RWP327671:RWQ327674 SGL327671:SGM327674 SQH327671:SQI327674 TAD327671:TAE327674 TJZ327671:TKA327674 TTV327671:TTW327674 UDR327671:UDS327674 UNN327671:UNO327674 UXJ327671:UXK327674 VHF327671:VHG327674 VRB327671:VRC327674 WAX327671:WAY327674 WKT327671:WKU327674 WUP327671:WUQ327674 AB393207:AC393210 ID393207:IE393210 RZ393207:SA393210 ABV393207:ABW393210 ALR393207:ALS393210 AVN393207:AVO393210 BFJ393207:BFK393210 BPF393207:BPG393210 BZB393207:BZC393210 CIX393207:CIY393210 CST393207:CSU393210 DCP393207:DCQ393210 DML393207:DMM393210 DWH393207:DWI393210 EGD393207:EGE393210 EPZ393207:EQA393210 EZV393207:EZW393210 FJR393207:FJS393210 FTN393207:FTO393210 GDJ393207:GDK393210 GNF393207:GNG393210 GXB393207:GXC393210 HGX393207:HGY393210 HQT393207:HQU393210 IAP393207:IAQ393210 IKL393207:IKM393210 IUH393207:IUI393210 JED393207:JEE393210 JNZ393207:JOA393210 JXV393207:JXW393210 KHR393207:KHS393210 KRN393207:KRO393210 LBJ393207:LBK393210 LLF393207:LLG393210 LVB393207:LVC393210 MEX393207:MEY393210 MOT393207:MOU393210 MYP393207:MYQ393210 NIL393207:NIM393210 NSH393207:NSI393210 OCD393207:OCE393210 OLZ393207:OMA393210 OVV393207:OVW393210 PFR393207:PFS393210 PPN393207:PPO393210 PZJ393207:PZK393210 QJF393207:QJG393210 QTB393207:QTC393210 RCX393207:RCY393210 RMT393207:RMU393210 RWP393207:RWQ393210 SGL393207:SGM393210 SQH393207:SQI393210 TAD393207:TAE393210 TJZ393207:TKA393210 TTV393207:TTW393210 UDR393207:UDS393210 UNN393207:UNO393210 UXJ393207:UXK393210 VHF393207:VHG393210 VRB393207:VRC393210 WAX393207:WAY393210 WKT393207:WKU393210 WUP393207:WUQ393210 AB458743:AC458746 ID458743:IE458746 RZ458743:SA458746 ABV458743:ABW458746 ALR458743:ALS458746 AVN458743:AVO458746 BFJ458743:BFK458746 BPF458743:BPG458746 BZB458743:BZC458746 CIX458743:CIY458746 CST458743:CSU458746 DCP458743:DCQ458746 DML458743:DMM458746 DWH458743:DWI458746 EGD458743:EGE458746 EPZ458743:EQA458746 EZV458743:EZW458746 FJR458743:FJS458746 FTN458743:FTO458746 GDJ458743:GDK458746 GNF458743:GNG458746 GXB458743:GXC458746 HGX458743:HGY458746 HQT458743:HQU458746 IAP458743:IAQ458746 IKL458743:IKM458746 IUH458743:IUI458746 JED458743:JEE458746 JNZ458743:JOA458746 JXV458743:JXW458746 KHR458743:KHS458746 KRN458743:KRO458746 LBJ458743:LBK458746 LLF458743:LLG458746 LVB458743:LVC458746 MEX458743:MEY458746 MOT458743:MOU458746 MYP458743:MYQ458746 NIL458743:NIM458746 NSH458743:NSI458746 OCD458743:OCE458746 OLZ458743:OMA458746 OVV458743:OVW458746 PFR458743:PFS458746 PPN458743:PPO458746 PZJ458743:PZK458746 QJF458743:QJG458746 QTB458743:QTC458746 RCX458743:RCY458746 RMT458743:RMU458746 RWP458743:RWQ458746 SGL458743:SGM458746 SQH458743:SQI458746 TAD458743:TAE458746 TJZ458743:TKA458746 TTV458743:TTW458746 UDR458743:UDS458746 UNN458743:UNO458746 UXJ458743:UXK458746 VHF458743:VHG458746 VRB458743:VRC458746 WAX458743:WAY458746 WKT458743:WKU458746 WUP458743:WUQ458746 AB524279:AC524282 ID524279:IE524282 RZ524279:SA524282 ABV524279:ABW524282 ALR524279:ALS524282 AVN524279:AVO524282 BFJ524279:BFK524282 BPF524279:BPG524282 BZB524279:BZC524282 CIX524279:CIY524282 CST524279:CSU524282 DCP524279:DCQ524282 DML524279:DMM524282 DWH524279:DWI524282 EGD524279:EGE524282 EPZ524279:EQA524282 EZV524279:EZW524282 FJR524279:FJS524282 FTN524279:FTO524282 GDJ524279:GDK524282 GNF524279:GNG524282 GXB524279:GXC524282 HGX524279:HGY524282 HQT524279:HQU524282 IAP524279:IAQ524282 IKL524279:IKM524282 IUH524279:IUI524282 JED524279:JEE524282 JNZ524279:JOA524282 JXV524279:JXW524282 KHR524279:KHS524282 KRN524279:KRO524282 LBJ524279:LBK524282 LLF524279:LLG524282 LVB524279:LVC524282 MEX524279:MEY524282 MOT524279:MOU524282 MYP524279:MYQ524282 NIL524279:NIM524282 NSH524279:NSI524282 OCD524279:OCE524282 OLZ524279:OMA524282 OVV524279:OVW524282 PFR524279:PFS524282 PPN524279:PPO524282 PZJ524279:PZK524282 QJF524279:QJG524282 QTB524279:QTC524282 RCX524279:RCY524282 RMT524279:RMU524282 RWP524279:RWQ524282 SGL524279:SGM524282 SQH524279:SQI524282 TAD524279:TAE524282 TJZ524279:TKA524282 TTV524279:TTW524282 UDR524279:UDS524282 UNN524279:UNO524282 UXJ524279:UXK524282 VHF524279:VHG524282 VRB524279:VRC524282 WAX524279:WAY524282 WKT524279:WKU524282 WUP524279:WUQ524282 AB589815:AC589818 ID589815:IE589818 RZ589815:SA589818 ABV589815:ABW589818 ALR589815:ALS589818 AVN589815:AVO589818 BFJ589815:BFK589818 BPF589815:BPG589818 BZB589815:BZC589818 CIX589815:CIY589818 CST589815:CSU589818 DCP589815:DCQ589818 DML589815:DMM589818 DWH589815:DWI589818 EGD589815:EGE589818 EPZ589815:EQA589818 EZV589815:EZW589818 FJR589815:FJS589818 FTN589815:FTO589818 GDJ589815:GDK589818 GNF589815:GNG589818 GXB589815:GXC589818 HGX589815:HGY589818 HQT589815:HQU589818 IAP589815:IAQ589818 IKL589815:IKM589818 IUH589815:IUI589818 JED589815:JEE589818 JNZ589815:JOA589818 JXV589815:JXW589818 KHR589815:KHS589818 KRN589815:KRO589818 LBJ589815:LBK589818 LLF589815:LLG589818 LVB589815:LVC589818 MEX589815:MEY589818 MOT589815:MOU589818 MYP589815:MYQ589818 NIL589815:NIM589818 NSH589815:NSI589818 OCD589815:OCE589818 OLZ589815:OMA589818 OVV589815:OVW589818 PFR589815:PFS589818 PPN589815:PPO589818 PZJ589815:PZK589818 QJF589815:QJG589818 QTB589815:QTC589818 RCX589815:RCY589818 RMT589815:RMU589818 RWP589815:RWQ589818 SGL589815:SGM589818 SQH589815:SQI589818 TAD589815:TAE589818 TJZ589815:TKA589818 TTV589815:TTW589818 UDR589815:UDS589818 UNN589815:UNO589818 UXJ589815:UXK589818 VHF589815:VHG589818 VRB589815:VRC589818 WAX589815:WAY589818 WKT589815:WKU589818 WUP589815:WUQ589818 AB655351:AC655354 ID655351:IE655354 RZ655351:SA655354 ABV655351:ABW655354 ALR655351:ALS655354 AVN655351:AVO655354 BFJ655351:BFK655354 BPF655351:BPG655354 BZB655351:BZC655354 CIX655351:CIY655354 CST655351:CSU655354 DCP655351:DCQ655354 DML655351:DMM655354 DWH655351:DWI655354 EGD655351:EGE655354 EPZ655351:EQA655354 EZV655351:EZW655354 FJR655351:FJS655354 FTN655351:FTO655354 GDJ655351:GDK655354 GNF655351:GNG655354 GXB655351:GXC655354 HGX655351:HGY655354 HQT655351:HQU655354 IAP655351:IAQ655354 IKL655351:IKM655354 IUH655351:IUI655354 JED655351:JEE655354 JNZ655351:JOA655354 JXV655351:JXW655354 KHR655351:KHS655354 KRN655351:KRO655354 LBJ655351:LBK655354 LLF655351:LLG655354 LVB655351:LVC655354 MEX655351:MEY655354 MOT655351:MOU655354 MYP655351:MYQ655354 NIL655351:NIM655354 NSH655351:NSI655354 OCD655351:OCE655354 OLZ655351:OMA655354 OVV655351:OVW655354 PFR655351:PFS655354 PPN655351:PPO655354 PZJ655351:PZK655354 QJF655351:QJG655354 QTB655351:QTC655354 RCX655351:RCY655354 RMT655351:RMU655354 RWP655351:RWQ655354 SGL655351:SGM655354 SQH655351:SQI655354 TAD655351:TAE655354 TJZ655351:TKA655354 TTV655351:TTW655354 UDR655351:UDS655354 UNN655351:UNO655354 UXJ655351:UXK655354 VHF655351:VHG655354 VRB655351:VRC655354 WAX655351:WAY655354 WKT655351:WKU655354 WUP655351:WUQ655354 AB720887:AC720890 ID720887:IE720890 RZ720887:SA720890 ABV720887:ABW720890 ALR720887:ALS720890 AVN720887:AVO720890 BFJ720887:BFK720890 BPF720887:BPG720890 BZB720887:BZC720890 CIX720887:CIY720890 CST720887:CSU720890 DCP720887:DCQ720890 DML720887:DMM720890 DWH720887:DWI720890 EGD720887:EGE720890 EPZ720887:EQA720890 EZV720887:EZW720890 FJR720887:FJS720890 FTN720887:FTO720890 GDJ720887:GDK720890 GNF720887:GNG720890 GXB720887:GXC720890 HGX720887:HGY720890 HQT720887:HQU720890 IAP720887:IAQ720890 IKL720887:IKM720890 IUH720887:IUI720890 JED720887:JEE720890 JNZ720887:JOA720890 JXV720887:JXW720890 KHR720887:KHS720890 KRN720887:KRO720890 LBJ720887:LBK720890 LLF720887:LLG720890 LVB720887:LVC720890 MEX720887:MEY720890 MOT720887:MOU720890 MYP720887:MYQ720890 NIL720887:NIM720890 NSH720887:NSI720890 OCD720887:OCE720890 OLZ720887:OMA720890 OVV720887:OVW720890 PFR720887:PFS720890 PPN720887:PPO720890 PZJ720887:PZK720890 QJF720887:QJG720890 QTB720887:QTC720890 RCX720887:RCY720890 RMT720887:RMU720890 RWP720887:RWQ720890 SGL720887:SGM720890 SQH720887:SQI720890 TAD720887:TAE720890 TJZ720887:TKA720890 TTV720887:TTW720890 UDR720887:UDS720890 UNN720887:UNO720890 UXJ720887:UXK720890 VHF720887:VHG720890 VRB720887:VRC720890 WAX720887:WAY720890 WKT720887:WKU720890 WUP720887:WUQ720890 AB786423:AC786426 ID786423:IE786426 RZ786423:SA786426 ABV786423:ABW786426 ALR786423:ALS786426 AVN786423:AVO786426 BFJ786423:BFK786426 BPF786423:BPG786426 BZB786423:BZC786426 CIX786423:CIY786426 CST786423:CSU786426 DCP786423:DCQ786426 DML786423:DMM786426 DWH786423:DWI786426 EGD786423:EGE786426 EPZ786423:EQA786426 EZV786423:EZW786426 FJR786423:FJS786426 FTN786423:FTO786426 GDJ786423:GDK786426 GNF786423:GNG786426 GXB786423:GXC786426 HGX786423:HGY786426 HQT786423:HQU786426 IAP786423:IAQ786426 IKL786423:IKM786426 IUH786423:IUI786426 JED786423:JEE786426 JNZ786423:JOA786426 JXV786423:JXW786426 KHR786423:KHS786426 KRN786423:KRO786426 LBJ786423:LBK786426 LLF786423:LLG786426 LVB786423:LVC786426 MEX786423:MEY786426 MOT786423:MOU786426 MYP786423:MYQ786426 NIL786423:NIM786426 NSH786423:NSI786426 OCD786423:OCE786426 OLZ786423:OMA786426 OVV786423:OVW786426 PFR786423:PFS786426 PPN786423:PPO786426 PZJ786423:PZK786426 QJF786423:QJG786426 QTB786423:QTC786426 RCX786423:RCY786426 RMT786423:RMU786426 RWP786423:RWQ786426 SGL786423:SGM786426 SQH786423:SQI786426 TAD786423:TAE786426 TJZ786423:TKA786426 TTV786423:TTW786426 UDR786423:UDS786426 UNN786423:UNO786426 UXJ786423:UXK786426 VHF786423:VHG786426 VRB786423:VRC786426 WAX786423:WAY786426 WKT786423:WKU786426 WUP786423:WUQ786426 AB851959:AC851962 ID851959:IE851962 RZ851959:SA851962 ABV851959:ABW851962 ALR851959:ALS851962 AVN851959:AVO851962 BFJ851959:BFK851962 BPF851959:BPG851962 BZB851959:BZC851962 CIX851959:CIY851962 CST851959:CSU851962 DCP851959:DCQ851962 DML851959:DMM851962 DWH851959:DWI851962 EGD851959:EGE851962 EPZ851959:EQA851962 EZV851959:EZW851962 FJR851959:FJS851962 FTN851959:FTO851962 GDJ851959:GDK851962 GNF851959:GNG851962 GXB851959:GXC851962 HGX851959:HGY851962 HQT851959:HQU851962 IAP851959:IAQ851962 IKL851959:IKM851962 IUH851959:IUI851962 JED851959:JEE851962 JNZ851959:JOA851962 JXV851959:JXW851962 KHR851959:KHS851962 KRN851959:KRO851962 LBJ851959:LBK851962 LLF851959:LLG851962 LVB851959:LVC851962 MEX851959:MEY851962 MOT851959:MOU851962 MYP851959:MYQ851962 NIL851959:NIM851962 NSH851959:NSI851962 OCD851959:OCE851962 OLZ851959:OMA851962 OVV851959:OVW851962 PFR851959:PFS851962 PPN851959:PPO851962 PZJ851959:PZK851962 QJF851959:QJG851962 QTB851959:QTC851962 RCX851959:RCY851962 RMT851959:RMU851962 RWP851959:RWQ851962 SGL851959:SGM851962 SQH851959:SQI851962 TAD851959:TAE851962 TJZ851959:TKA851962 TTV851959:TTW851962 UDR851959:UDS851962 UNN851959:UNO851962 UXJ851959:UXK851962 VHF851959:VHG851962 VRB851959:VRC851962 WAX851959:WAY851962 WKT851959:WKU851962 WUP851959:WUQ851962 AB917495:AC917498 ID917495:IE917498 RZ917495:SA917498 ABV917495:ABW917498 ALR917495:ALS917498 AVN917495:AVO917498 BFJ917495:BFK917498 BPF917495:BPG917498 BZB917495:BZC917498 CIX917495:CIY917498 CST917495:CSU917498 DCP917495:DCQ917498 DML917495:DMM917498 DWH917495:DWI917498 EGD917495:EGE917498 EPZ917495:EQA917498 EZV917495:EZW917498 FJR917495:FJS917498 FTN917495:FTO917498 GDJ917495:GDK917498 GNF917495:GNG917498 GXB917495:GXC917498 HGX917495:HGY917498 HQT917495:HQU917498 IAP917495:IAQ917498 IKL917495:IKM917498 IUH917495:IUI917498 JED917495:JEE917498 JNZ917495:JOA917498 JXV917495:JXW917498 KHR917495:KHS917498 KRN917495:KRO917498 LBJ917495:LBK917498 LLF917495:LLG917498 LVB917495:LVC917498 MEX917495:MEY917498 MOT917495:MOU917498 MYP917495:MYQ917498 NIL917495:NIM917498 NSH917495:NSI917498 OCD917495:OCE917498 OLZ917495:OMA917498 OVV917495:OVW917498 PFR917495:PFS917498 PPN917495:PPO917498 PZJ917495:PZK917498 QJF917495:QJG917498 QTB917495:QTC917498 RCX917495:RCY917498 RMT917495:RMU917498 RWP917495:RWQ917498 SGL917495:SGM917498 SQH917495:SQI917498 TAD917495:TAE917498 TJZ917495:TKA917498 TTV917495:TTW917498 UDR917495:UDS917498 UNN917495:UNO917498 UXJ917495:UXK917498 VHF917495:VHG917498 VRB917495:VRC917498 WAX917495:WAY917498 WKT917495:WKU917498 WUP917495:WUQ917498 AB983031:AC983034 ID983031:IE983034 RZ983031:SA983034 ABV983031:ABW983034 ALR983031:ALS983034 AVN983031:AVO983034 BFJ983031:BFK983034 BPF983031:BPG983034 BZB983031:BZC983034 CIX983031:CIY983034 CST983031:CSU983034 DCP983031:DCQ983034 DML983031:DMM983034 DWH983031:DWI983034 EGD983031:EGE983034 EPZ983031:EQA983034 EZV983031:EZW983034 FJR983031:FJS983034 FTN983031:FTO983034 GDJ983031:GDK983034 GNF983031:GNG983034 GXB983031:GXC983034 HGX983031:HGY983034 HQT983031:HQU983034 IAP983031:IAQ983034 IKL983031:IKM983034 IUH983031:IUI983034 JED983031:JEE983034 JNZ983031:JOA983034 JXV983031:JXW983034 KHR983031:KHS983034 KRN983031:KRO983034 LBJ983031:LBK983034 LLF983031:LLG983034 LVB983031:LVC983034 MEX983031:MEY983034 MOT983031:MOU983034 MYP983031:MYQ983034 NIL983031:NIM983034 NSH983031:NSI983034 OCD983031:OCE983034 OLZ983031:OMA983034 OVV983031:OVW983034 PFR983031:PFS983034 PPN983031:PPO983034 PZJ983031:PZK983034 QJF983031:QJG983034 QTB983031:QTC983034 RCX983031:RCY983034 RMT983031:RMU983034 RWP983031:RWQ983034 SGL983031:SGM983034 SQH983031:SQI983034 TAD983031:TAE983034 TJZ983031:TKA983034 TTV983031:TTW983034 UDR983031:UDS983034 UNN983031:UNO983034 UXJ983031:UXK983034 VHF983031:VHG983034 VRB983031:VRC983034 WAX983031:WAY983034 WKT5:WKU5 WUP5:WUQ5 ID5:IE5 RZ5:SA5 ABV5:ABW5 ALR5:ALS5 AVN5:AVO5 BFJ5:BFK5 BPF5:BPG5 BZB5:BZC5 CIX5:CIY5 CST5:CSU5 DCP5:DCQ5 DML5:DMM5 DWH5:DWI5 EGD5:EGE5 EPZ5:EQA5 EZV5:EZW5 FJR5:FJS5 FTN5:FTO5 GDJ5:GDK5 GNF5:GNG5 GXB5:GXC5 HGX5:HGY5 HQT5:HQU5 IAP5:IAQ5 IKL5:IKM5 IUH5:IUI5 JED5:JEE5 JNZ5:JOA5 JXV5:JXW5 KHR5:KHS5 KRN5:KRO5 LBJ5:LBK5 LLF5:LLG5 LVB5:LVC5 MEX5:MEY5 MOT5:MOU5 MYP5:MYQ5 NIL5:NIM5 NSH5:NSI5 OCD5:OCE5 OLZ5:OMA5 OVV5:OVW5 PFR5:PFS5 PPN5:PPO5 PZJ5:PZK5 QJF5:QJG5 QTB5:QTC5 RCX5:RCY5 RMT5:RMU5 RWP5:RWQ5 SGL5:SGM5 SQH5:SQI5 TAD5:TAE5 TJZ5:TKA5 TTV5:TTW5 UDR5:UDS5 UNN5:UNO5 UXJ5:UXK5 VHF5:VHG5 VRB5:VRC5 WAX5:WAY5" xr:uid="{3DC1F73A-00DD-4BE4-B442-B55094DA9F4B}">
      <formula1>$U$50:$U$53</formula1>
    </dataValidation>
    <dataValidation type="list" allowBlank="1" showInputMessage="1" showErrorMessage="1" sqref="WUP983035:WUQ983068 WKT16:WKU17 WAX16:WAY17 VRB16:VRC17 VHF16:VHG17 UXJ16:UXK17 UNN16:UNO17 UDR16:UDS17 TTV16:TTW17 TJZ16:TKA17 TAD16:TAE17 SQH16:SQI17 SGL16:SGM17 RWP16:RWQ17 RMT16:RMU17 RCX16:RCY17 QTB16:QTC17 QJF16:QJG17 PZJ16:PZK17 PPN16:PPO17 PFR16:PFS17 OVV16:OVW17 OLZ16:OMA17 OCD16:OCE17 NSH16:NSI17 NIL16:NIM17 MYP16:MYQ17 MOT16:MOU17 MEX16:MEY17 LVB16:LVC17 LLF16:LLG17 LBJ16:LBK17 KRN16:KRO17 KHR16:KHS17 JXV16:JXW17 JNZ16:JOA17 JED16:JEE17 IUH16:IUI17 IKL16:IKM17 IAP16:IAQ17 HQT16:HQU17 HGX16:HGY17 GXB16:GXC17 GNF16:GNG17 GDJ16:GDK17 FTN16:FTO17 FJR16:FJS17 EZV16:EZW17 EPZ16:EQA17 EGD16:EGE17 DWH16:DWI17 DML16:DMM17 DCP16:DCQ17 CST16:CSU17 CIX16:CIY17 BZB16:BZC17 BPF16:BPG17 BFJ16:BFK17 AVN16:AVO17 ALR16:ALS17 ABV16:ABW17 RZ16:SA17 ID16:IE17 WUP16:WUQ17 WKT23:WKU24 WAX23:WAY24 VRB23:VRC24 VHF23:VHG24 UXJ23:UXK24 UNN23:UNO24 UDR23:UDS24 TTV23:TTW24 TJZ23:TKA24 TAD23:TAE24 SQH23:SQI24 SGL23:SGM24 RWP23:RWQ24 RMT23:RMU24 RCX23:RCY24 QTB23:QTC24 QJF23:QJG24 PZJ23:PZK24 PPN23:PPO24 PFR23:PFS24 OVV23:OVW24 OLZ23:OMA24 OCD23:OCE24 NSH23:NSI24 NIL23:NIM24 MYP23:MYQ24 MOT23:MOU24 MEX23:MEY24 LVB23:LVC24 LLF23:LLG24 LBJ23:LBK24 KRN23:KRO24 KHR23:KHS24 JXV23:JXW24 JNZ23:JOA24 JED23:JEE24 IUH23:IUI24 IKL23:IKM24 IAP23:IAQ24 HQT23:HQU24 HGX23:HGY24 GXB23:GXC24 GNF23:GNG24 GDJ23:GDK24 FTN23:FTO24 FJR23:FJS24 EZV23:EZW24 EPZ23:EQA24 EGD23:EGE24 DWH23:DWI24 DML23:DMM24 DCP23:DCQ24 CST23:CSU24 CIX23:CIY24 BZB23:BZC24 BPF23:BPG24 BFJ23:BFK24 AVN23:AVO24 ALR23:ALS24 ABV23:ABW24 RZ23:SA24 ID23:IE24 WUP23:WUQ24 WKT983035:WKU983068 AB65531:AC65564 ID65531:IE65564 RZ65531:SA65564 ABV65531:ABW65564 ALR65531:ALS65564 AVN65531:AVO65564 BFJ65531:BFK65564 BPF65531:BPG65564 BZB65531:BZC65564 CIX65531:CIY65564 CST65531:CSU65564 DCP65531:DCQ65564 DML65531:DMM65564 DWH65531:DWI65564 EGD65531:EGE65564 EPZ65531:EQA65564 EZV65531:EZW65564 FJR65531:FJS65564 FTN65531:FTO65564 GDJ65531:GDK65564 GNF65531:GNG65564 GXB65531:GXC65564 HGX65531:HGY65564 HQT65531:HQU65564 IAP65531:IAQ65564 IKL65531:IKM65564 IUH65531:IUI65564 JED65531:JEE65564 JNZ65531:JOA65564 JXV65531:JXW65564 KHR65531:KHS65564 KRN65531:KRO65564 LBJ65531:LBK65564 LLF65531:LLG65564 LVB65531:LVC65564 MEX65531:MEY65564 MOT65531:MOU65564 MYP65531:MYQ65564 NIL65531:NIM65564 NSH65531:NSI65564 OCD65531:OCE65564 OLZ65531:OMA65564 OVV65531:OVW65564 PFR65531:PFS65564 PPN65531:PPO65564 PZJ65531:PZK65564 QJF65531:QJG65564 QTB65531:QTC65564 RCX65531:RCY65564 RMT65531:RMU65564 RWP65531:RWQ65564 SGL65531:SGM65564 SQH65531:SQI65564 TAD65531:TAE65564 TJZ65531:TKA65564 TTV65531:TTW65564 UDR65531:UDS65564 UNN65531:UNO65564 UXJ65531:UXK65564 VHF65531:VHG65564 VRB65531:VRC65564 WAX65531:WAY65564 WKT65531:WKU65564 WUP65531:WUQ65564 AB131067:AC131100 ID131067:IE131100 RZ131067:SA131100 ABV131067:ABW131100 ALR131067:ALS131100 AVN131067:AVO131100 BFJ131067:BFK131100 BPF131067:BPG131100 BZB131067:BZC131100 CIX131067:CIY131100 CST131067:CSU131100 DCP131067:DCQ131100 DML131067:DMM131100 DWH131067:DWI131100 EGD131067:EGE131100 EPZ131067:EQA131100 EZV131067:EZW131100 FJR131067:FJS131100 FTN131067:FTO131100 GDJ131067:GDK131100 GNF131067:GNG131100 GXB131067:GXC131100 HGX131067:HGY131100 HQT131067:HQU131100 IAP131067:IAQ131100 IKL131067:IKM131100 IUH131067:IUI131100 JED131067:JEE131100 JNZ131067:JOA131100 JXV131067:JXW131100 KHR131067:KHS131100 KRN131067:KRO131100 LBJ131067:LBK131100 LLF131067:LLG131100 LVB131067:LVC131100 MEX131067:MEY131100 MOT131067:MOU131100 MYP131067:MYQ131100 NIL131067:NIM131100 NSH131067:NSI131100 OCD131067:OCE131100 OLZ131067:OMA131100 OVV131067:OVW131100 PFR131067:PFS131100 PPN131067:PPO131100 PZJ131067:PZK131100 QJF131067:QJG131100 QTB131067:QTC131100 RCX131067:RCY131100 RMT131067:RMU131100 RWP131067:RWQ131100 SGL131067:SGM131100 SQH131067:SQI131100 TAD131067:TAE131100 TJZ131067:TKA131100 TTV131067:TTW131100 UDR131067:UDS131100 UNN131067:UNO131100 UXJ131067:UXK131100 VHF131067:VHG131100 VRB131067:VRC131100 WAX131067:WAY131100 WKT131067:WKU131100 WUP131067:WUQ131100 AB196603:AC196636 ID196603:IE196636 RZ196603:SA196636 ABV196603:ABW196636 ALR196603:ALS196636 AVN196603:AVO196636 BFJ196603:BFK196636 BPF196603:BPG196636 BZB196603:BZC196636 CIX196603:CIY196636 CST196603:CSU196636 DCP196603:DCQ196636 DML196603:DMM196636 DWH196603:DWI196636 EGD196603:EGE196636 EPZ196603:EQA196636 EZV196603:EZW196636 FJR196603:FJS196636 FTN196603:FTO196636 GDJ196603:GDK196636 GNF196603:GNG196636 GXB196603:GXC196636 HGX196603:HGY196636 HQT196603:HQU196636 IAP196603:IAQ196636 IKL196603:IKM196636 IUH196603:IUI196636 JED196603:JEE196636 JNZ196603:JOA196636 JXV196603:JXW196636 KHR196603:KHS196636 KRN196603:KRO196636 LBJ196603:LBK196636 LLF196603:LLG196636 LVB196603:LVC196636 MEX196603:MEY196636 MOT196603:MOU196636 MYP196603:MYQ196636 NIL196603:NIM196636 NSH196603:NSI196636 OCD196603:OCE196636 OLZ196603:OMA196636 OVV196603:OVW196636 PFR196603:PFS196636 PPN196603:PPO196636 PZJ196603:PZK196636 QJF196603:QJG196636 QTB196603:QTC196636 RCX196603:RCY196636 RMT196603:RMU196636 RWP196603:RWQ196636 SGL196603:SGM196636 SQH196603:SQI196636 TAD196603:TAE196636 TJZ196603:TKA196636 TTV196603:TTW196636 UDR196603:UDS196636 UNN196603:UNO196636 UXJ196603:UXK196636 VHF196603:VHG196636 VRB196603:VRC196636 WAX196603:WAY196636 WKT196603:WKU196636 WUP196603:WUQ196636 AB262139:AC262172 ID262139:IE262172 RZ262139:SA262172 ABV262139:ABW262172 ALR262139:ALS262172 AVN262139:AVO262172 BFJ262139:BFK262172 BPF262139:BPG262172 BZB262139:BZC262172 CIX262139:CIY262172 CST262139:CSU262172 DCP262139:DCQ262172 DML262139:DMM262172 DWH262139:DWI262172 EGD262139:EGE262172 EPZ262139:EQA262172 EZV262139:EZW262172 FJR262139:FJS262172 FTN262139:FTO262172 GDJ262139:GDK262172 GNF262139:GNG262172 GXB262139:GXC262172 HGX262139:HGY262172 HQT262139:HQU262172 IAP262139:IAQ262172 IKL262139:IKM262172 IUH262139:IUI262172 JED262139:JEE262172 JNZ262139:JOA262172 JXV262139:JXW262172 KHR262139:KHS262172 KRN262139:KRO262172 LBJ262139:LBK262172 LLF262139:LLG262172 LVB262139:LVC262172 MEX262139:MEY262172 MOT262139:MOU262172 MYP262139:MYQ262172 NIL262139:NIM262172 NSH262139:NSI262172 OCD262139:OCE262172 OLZ262139:OMA262172 OVV262139:OVW262172 PFR262139:PFS262172 PPN262139:PPO262172 PZJ262139:PZK262172 QJF262139:QJG262172 QTB262139:QTC262172 RCX262139:RCY262172 RMT262139:RMU262172 RWP262139:RWQ262172 SGL262139:SGM262172 SQH262139:SQI262172 TAD262139:TAE262172 TJZ262139:TKA262172 TTV262139:TTW262172 UDR262139:UDS262172 UNN262139:UNO262172 UXJ262139:UXK262172 VHF262139:VHG262172 VRB262139:VRC262172 WAX262139:WAY262172 WKT262139:WKU262172 WUP262139:WUQ262172 AB327675:AC327708 ID327675:IE327708 RZ327675:SA327708 ABV327675:ABW327708 ALR327675:ALS327708 AVN327675:AVO327708 BFJ327675:BFK327708 BPF327675:BPG327708 BZB327675:BZC327708 CIX327675:CIY327708 CST327675:CSU327708 DCP327675:DCQ327708 DML327675:DMM327708 DWH327675:DWI327708 EGD327675:EGE327708 EPZ327675:EQA327708 EZV327675:EZW327708 FJR327675:FJS327708 FTN327675:FTO327708 GDJ327675:GDK327708 GNF327675:GNG327708 GXB327675:GXC327708 HGX327675:HGY327708 HQT327675:HQU327708 IAP327675:IAQ327708 IKL327675:IKM327708 IUH327675:IUI327708 JED327675:JEE327708 JNZ327675:JOA327708 JXV327675:JXW327708 KHR327675:KHS327708 KRN327675:KRO327708 LBJ327675:LBK327708 LLF327675:LLG327708 LVB327675:LVC327708 MEX327675:MEY327708 MOT327675:MOU327708 MYP327675:MYQ327708 NIL327675:NIM327708 NSH327675:NSI327708 OCD327675:OCE327708 OLZ327675:OMA327708 OVV327675:OVW327708 PFR327675:PFS327708 PPN327675:PPO327708 PZJ327675:PZK327708 QJF327675:QJG327708 QTB327675:QTC327708 RCX327675:RCY327708 RMT327675:RMU327708 RWP327675:RWQ327708 SGL327675:SGM327708 SQH327675:SQI327708 TAD327675:TAE327708 TJZ327675:TKA327708 TTV327675:TTW327708 UDR327675:UDS327708 UNN327675:UNO327708 UXJ327675:UXK327708 VHF327675:VHG327708 VRB327675:VRC327708 WAX327675:WAY327708 WKT327675:WKU327708 WUP327675:WUQ327708 AB393211:AC393244 ID393211:IE393244 RZ393211:SA393244 ABV393211:ABW393244 ALR393211:ALS393244 AVN393211:AVO393244 BFJ393211:BFK393244 BPF393211:BPG393244 BZB393211:BZC393244 CIX393211:CIY393244 CST393211:CSU393244 DCP393211:DCQ393244 DML393211:DMM393244 DWH393211:DWI393244 EGD393211:EGE393244 EPZ393211:EQA393244 EZV393211:EZW393244 FJR393211:FJS393244 FTN393211:FTO393244 GDJ393211:GDK393244 GNF393211:GNG393244 GXB393211:GXC393244 HGX393211:HGY393244 HQT393211:HQU393244 IAP393211:IAQ393244 IKL393211:IKM393244 IUH393211:IUI393244 JED393211:JEE393244 JNZ393211:JOA393244 JXV393211:JXW393244 KHR393211:KHS393244 KRN393211:KRO393244 LBJ393211:LBK393244 LLF393211:LLG393244 LVB393211:LVC393244 MEX393211:MEY393244 MOT393211:MOU393244 MYP393211:MYQ393244 NIL393211:NIM393244 NSH393211:NSI393244 OCD393211:OCE393244 OLZ393211:OMA393244 OVV393211:OVW393244 PFR393211:PFS393244 PPN393211:PPO393244 PZJ393211:PZK393244 QJF393211:QJG393244 QTB393211:QTC393244 RCX393211:RCY393244 RMT393211:RMU393244 RWP393211:RWQ393244 SGL393211:SGM393244 SQH393211:SQI393244 TAD393211:TAE393244 TJZ393211:TKA393244 TTV393211:TTW393244 UDR393211:UDS393244 UNN393211:UNO393244 UXJ393211:UXK393244 VHF393211:VHG393244 VRB393211:VRC393244 WAX393211:WAY393244 WKT393211:WKU393244 WUP393211:WUQ393244 AB458747:AC458780 ID458747:IE458780 RZ458747:SA458780 ABV458747:ABW458780 ALR458747:ALS458780 AVN458747:AVO458780 BFJ458747:BFK458780 BPF458747:BPG458780 BZB458747:BZC458780 CIX458747:CIY458780 CST458747:CSU458780 DCP458747:DCQ458780 DML458747:DMM458780 DWH458747:DWI458780 EGD458747:EGE458780 EPZ458747:EQA458780 EZV458747:EZW458780 FJR458747:FJS458780 FTN458747:FTO458780 GDJ458747:GDK458780 GNF458747:GNG458780 GXB458747:GXC458780 HGX458747:HGY458780 HQT458747:HQU458780 IAP458747:IAQ458780 IKL458747:IKM458780 IUH458747:IUI458780 JED458747:JEE458780 JNZ458747:JOA458780 JXV458747:JXW458780 KHR458747:KHS458780 KRN458747:KRO458780 LBJ458747:LBK458780 LLF458747:LLG458780 LVB458747:LVC458780 MEX458747:MEY458780 MOT458747:MOU458780 MYP458747:MYQ458780 NIL458747:NIM458780 NSH458747:NSI458780 OCD458747:OCE458780 OLZ458747:OMA458780 OVV458747:OVW458780 PFR458747:PFS458780 PPN458747:PPO458780 PZJ458747:PZK458780 QJF458747:QJG458780 QTB458747:QTC458780 RCX458747:RCY458780 RMT458747:RMU458780 RWP458747:RWQ458780 SGL458747:SGM458780 SQH458747:SQI458780 TAD458747:TAE458780 TJZ458747:TKA458780 TTV458747:TTW458780 UDR458747:UDS458780 UNN458747:UNO458780 UXJ458747:UXK458780 VHF458747:VHG458780 VRB458747:VRC458780 WAX458747:WAY458780 WKT458747:WKU458780 WUP458747:WUQ458780 AB524283:AC524316 ID524283:IE524316 RZ524283:SA524316 ABV524283:ABW524316 ALR524283:ALS524316 AVN524283:AVO524316 BFJ524283:BFK524316 BPF524283:BPG524316 BZB524283:BZC524316 CIX524283:CIY524316 CST524283:CSU524316 DCP524283:DCQ524316 DML524283:DMM524316 DWH524283:DWI524316 EGD524283:EGE524316 EPZ524283:EQA524316 EZV524283:EZW524316 FJR524283:FJS524316 FTN524283:FTO524316 GDJ524283:GDK524316 GNF524283:GNG524316 GXB524283:GXC524316 HGX524283:HGY524316 HQT524283:HQU524316 IAP524283:IAQ524316 IKL524283:IKM524316 IUH524283:IUI524316 JED524283:JEE524316 JNZ524283:JOA524316 JXV524283:JXW524316 KHR524283:KHS524316 KRN524283:KRO524316 LBJ524283:LBK524316 LLF524283:LLG524316 LVB524283:LVC524316 MEX524283:MEY524316 MOT524283:MOU524316 MYP524283:MYQ524316 NIL524283:NIM524316 NSH524283:NSI524316 OCD524283:OCE524316 OLZ524283:OMA524316 OVV524283:OVW524316 PFR524283:PFS524316 PPN524283:PPO524316 PZJ524283:PZK524316 QJF524283:QJG524316 QTB524283:QTC524316 RCX524283:RCY524316 RMT524283:RMU524316 RWP524283:RWQ524316 SGL524283:SGM524316 SQH524283:SQI524316 TAD524283:TAE524316 TJZ524283:TKA524316 TTV524283:TTW524316 UDR524283:UDS524316 UNN524283:UNO524316 UXJ524283:UXK524316 VHF524283:VHG524316 VRB524283:VRC524316 WAX524283:WAY524316 WKT524283:WKU524316 WUP524283:WUQ524316 AB589819:AC589852 ID589819:IE589852 RZ589819:SA589852 ABV589819:ABW589852 ALR589819:ALS589852 AVN589819:AVO589852 BFJ589819:BFK589852 BPF589819:BPG589852 BZB589819:BZC589852 CIX589819:CIY589852 CST589819:CSU589852 DCP589819:DCQ589852 DML589819:DMM589852 DWH589819:DWI589852 EGD589819:EGE589852 EPZ589819:EQA589852 EZV589819:EZW589852 FJR589819:FJS589852 FTN589819:FTO589852 GDJ589819:GDK589852 GNF589819:GNG589852 GXB589819:GXC589852 HGX589819:HGY589852 HQT589819:HQU589852 IAP589819:IAQ589852 IKL589819:IKM589852 IUH589819:IUI589852 JED589819:JEE589852 JNZ589819:JOA589852 JXV589819:JXW589852 KHR589819:KHS589852 KRN589819:KRO589852 LBJ589819:LBK589852 LLF589819:LLG589852 LVB589819:LVC589852 MEX589819:MEY589852 MOT589819:MOU589852 MYP589819:MYQ589852 NIL589819:NIM589852 NSH589819:NSI589852 OCD589819:OCE589852 OLZ589819:OMA589852 OVV589819:OVW589852 PFR589819:PFS589852 PPN589819:PPO589852 PZJ589819:PZK589852 QJF589819:QJG589852 QTB589819:QTC589852 RCX589819:RCY589852 RMT589819:RMU589852 RWP589819:RWQ589852 SGL589819:SGM589852 SQH589819:SQI589852 TAD589819:TAE589852 TJZ589819:TKA589852 TTV589819:TTW589852 UDR589819:UDS589852 UNN589819:UNO589852 UXJ589819:UXK589852 VHF589819:VHG589852 VRB589819:VRC589852 WAX589819:WAY589852 WKT589819:WKU589852 WUP589819:WUQ589852 AB655355:AC655388 ID655355:IE655388 RZ655355:SA655388 ABV655355:ABW655388 ALR655355:ALS655388 AVN655355:AVO655388 BFJ655355:BFK655388 BPF655355:BPG655388 BZB655355:BZC655388 CIX655355:CIY655388 CST655355:CSU655388 DCP655355:DCQ655388 DML655355:DMM655388 DWH655355:DWI655388 EGD655355:EGE655388 EPZ655355:EQA655388 EZV655355:EZW655388 FJR655355:FJS655388 FTN655355:FTO655388 GDJ655355:GDK655388 GNF655355:GNG655388 GXB655355:GXC655388 HGX655355:HGY655388 HQT655355:HQU655388 IAP655355:IAQ655388 IKL655355:IKM655388 IUH655355:IUI655388 JED655355:JEE655388 JNZ655355:JOA655388 JXV655355:JXW655388 KHR655355:KHS655388 KRN655355:KRO655388 LBJ655355:LBK655388 LLF655355:LLG655388 LVB655355:LVC655388 MEX655355:MEY655388 MOT655355:MOU655388 MYP655355:MYQ655388 NIL655355:NIM655388 NSH655355:NSI655388 OCD655355:OCE655388 OLZ655355:OMA655388 OVV655355:OVW655388 PFR655355:PFS655388 PPN655355:PPO655388 PZJ655355:PZK655388 QJF655355:QJG655388 QTB655355:QTC655388 RCX655355:RCY655388 RMT655355:RMU655388 RWP655355:RWQ655388 SGL655355:SGM655388 SQH655355:SQI655388 TAD655355:TAE655388 TJZ655355:TKA655388 TTV655355:TTW655388 UDR655355:UDS655388 UNN655355:UNO655388 UXJ655355:UXK655388 VHF655355:VHG655388 VRB655355:VRC655388 WAX655355:WAY655388 WKT655355:WKU655388 WUP655355:WUQ655388 AB720891:AC720924 ID720891:IE720924 RZ720891:SA720924 ABV720891:ABW720924 ALR720891:ALS720924 AVN720891:AVO720924 BFJ720891:BFK720924 BPF720891:BPG720924 BZB720891:BZC720924 CIX720891:CIY720924 CST720891:CSU720924 DCP720891:DCQ720924 DML720891:DMM720924 DWH720891:DWI720924 EGD720891:EGE720924 EPZ720891:EQA720924 EZV720891:EZW720924 FJR720891:FJS720924 FTN720891:FTO720924 GDJ720891:GDK720924 GNF720891:GNG720924 GXB720891:GXC720924 HGX720891:HGY720924 HQT720891:HQU720924 IAP720891:IAQ720924 IKL720891:IKM720924 IUH720891:IUI720924 JED720891:JEE720924 JNZ720891:JOA720924 JXV720891:JXW720924 KHR720891:KHS720924 KRN720891:KRO720924 LBJ720891:LBK720924 LLF720891:LLG720924 LVB720891:LVC720924 MEX720891:MEY720924 MOT720891:MOU720924 MYP720891:MYQ720924 NIL720891:NIM720924 NSH720891:NSI720924 OCD720891:OCE720924 OLZ720891:OMA720924 OVV720891:OVW720924 PFR720891:PFS720924 PPN720891:PPO720924 PZJ720891:PZK720924 QJF720891:QJG720924 QTB720891:QTC720924 RCX720891:RCY720924 RMT720891:RMU720924 RWP720891:RWQ720924 SGL720891:SGM720924 SQH720891:SQI720924 TAD720891:TAE720924 TJZ720891:TKA720924 TTV720891:TTW720924 UDR720891:UDS720924 UNN720891:UNO720924 UXJ720891:UXK720924 VHF720891:VHG720924 VRB720891:VRC720924 WAX720891:WAY720924 WKT720891:WKU720924 WUP720891:WUQ720924 AB786427:AC786460 ID786427:IE786460 RZ786427:SA786460 ABV786427:ABW786460 ALR786427:ALS786460 AVN786427:AVO786460 BFJ786427:BFK786460 BPF786427:BPG786460 BZB786427:BZC786460 CIX786427:CIY786460 CST786427:CSU786460 DCP786427:DCQ786460 DML786427:DMM786460 DWH786427:DWI786460 EGD786427:EGE786460 EPZ786427:EQA786460 EZV786427:EZW786460 FJR786427:FJS786460 FTN786427:FTO786460 GDJ786427:GDK786460 GNF786427:GNG786460 GXB786427:GXC786460 HGX786427:HGY786460 HQT786427:HQU786460 IAP786427:IAQ786460 IKL786427:IKM786460 IUH786427:IUI786460 JED786427:JEE786460 JNZ786427:JOA786460 JXV786427:JXW786460 KHR786427:KHS786460 KRN786427:KRO786460 LBJ786427:LBK786460 LLF786427:LLG786460 LVB786427:LVC786460 MEX786427:MEY786460 MOT786427:MOU786460 MYP786427:MYQ786460 NIL786427:NIM786460 NSH786427:NSI786460 OCD786427:OCE786460 OLZ786427:OMA786460 OVV786427:OVW786460 PFR786427:PFS786460 PPN786427:PPO786460 PZJ786427:PZK786460 QJF786427:QJG786460 QTB786427:QTC786460 RCX786427:RCY786460 RMT786427:RMU786460 RWP786427:RWQ786460 SGL786427:SGM786460 SQH786427:SQI786460 TAD786427:TAE786460 TJZ786427:TKA786460 TTV786427:TTW786460 UDR786427:UDS786460 UNN786427:UNO786460 UXJ786427:UXK786460 VHF786427:VHG786460 VRB786427:VRC786460 WAX786427:WAY786460 WKT786427:WKU786460 WUP786427:WUQ786460 AB851963:AC851996 ID851963:IE851996 RZ851963:SA851996 ABV851963:ABW851996 ALR851963:ALS851996 AVN851963:AVO851996 BFJ851963:BFK851996 BPF851963:BPG851996 BZB851963:BZC851996 CIX851963:CIY851996 CST851963:CSU851996 DCP851963:DCQ851996 DML851963:DMM851996 DWH851963:DWI851996 EGD851963:EGE851996 EPZ851963:EQA851996 EZV851963:EZW851996 FJR851963:FJS851996 FTN851963:FTO851996 GDJ851963:GDK851996 GNF851963:GNG851996 GXB851963:GXC851996 HGX851963:HGY851996 HQT851963:HQU851996 IAP851963:IAQ851996 IKL851963:IKM851996 IUH851963:IUI851996 JED851963:JEE851996 JNZ851963:JOA851996 JXV851963:JXW851996 KHR851963:KHS851996 KRN851963:KRO851996 LBJ851963:LBK851996 LLF851963:LLG851996 LVB851963:LVC851996 MEX851963:MEY851996 MOT851963:MOU851996 MYP851963:MYQ851996 NIL851963:NIM851996 NSH851963:NSI851996 OCD851963:OCE851996 OLZ851963:OMA851996 OVV851963:OVW851996 PFR851963:PFS851996 PPN851963:PPO851996 PZJ851963:PZK851996 QJF851963:QJG851996 QTB851963:QTC851996 RCX851963:RCY851996 RMT851963:RMU851996 RWP851963:RWQ851996 SGL851963:SGM851996 SQH851963:SQI851996 TAD851963:TAE851996 TJZ851963:TKA851996 TTV851963:TTW851996 UDR851963:UDS851996 UNN851963:UNO851996 UXJ851963:UXK851996 VHF851963:VHG851996 VRB851963:VRC851996 WAX851963:WAY851996 WKT851963:WKU851996 WUP851963:WUQ851996 AB917499:AC917532 ID917499:IE917532 RZ917499:SA917532 ABV917499:ABW917532 ALR917499:ALS917532 AVN917499:AVO917532 BFJ917499:BFK917532 BPF917499:BPG917532 BZB917499:BZC917532 CIX917499:CIY917532 CST917499:CSU917532 DCP917499:DCQ917532 DML917499:DMM917532 DWH917499:DWI917532 EGD917499:EGE917532 EPZ917499:EQA917532 EZV917499:EZW917532 FJR917499:FJS917532 FTN917499:FTO917532 GDJ917499:GDK917532 GNF917499:GNG917532 GXB917499:GXC917532 HGX917499:HGY917532 HQT917499:HQU917532 IAP917499:IAQ917532 IKL917499:IKM917532 IUH917499:IUI917532 JED917499:JEE917532 JNZ917499:JOA917532 JXV917499:JXW917532 KHR917499:KHS917532 KRN917499:KRO917532 LBJ917499:LBK917532 LLF917499:LLG917532 LVB917499:LVC917532 MEX917499:MEY917532 MOT917499:MOU917532 MYP917499:MYQ917532 NIL917499:NIM917532 NSH917499:NSI917532 OCD917499:OCE917532 OLZ917499:OMA917532 OVV917499:OVW917532 PFR917499:PFS917532 PPN917499:PPO917532 PZJ917499:PZK917532 QJF917499:QJG917532 QTB917499:QTC917532 RCX917499:RCY917532 RMT917499:RMU917532 RWP917499:RWQ917532 SGL917499:SGM917532 SQH917499:SQI917532 TAD917499:TAE917532 TJZ917499:TKA917532 TTV917499:TTW917532 UDR917499:UDS917532 UNN917499:UNO917532 UXJ917499:UXK917532 VHF917499:VHG917532 VRB917499:VRC917532 WAX917499:WAY917532 WKT917499:WKU917532 WUP917499:WUQ917532 AB983035:AC983068 ID983035:IE983068 RZ983035:SA983068 ABV983035:ABW983068 ALR983035:ALS983068 AVN983035:AVO983068 BFJ983035:BFK983068 BPF983035:BPG983068 BZB983035:BZC983068 CIX983035:CIY983068 CST983035:CSU983068 DCP983035:DCQ983068 DML983035:DMM983068 DWH983035:DWI983068 EGD983035:EGE983068 EPZ983035:EQA983068 EZV983035:EZW983068 FJR983035:FJS983068 FTN983035:FTO983068 GDJ983035:GDK983068 GNF983035:GNG983068 GXB983035:GXC983068 HGX983035:HGY983068 HQT983035:HQU983068 IAP983035:IAQ983068 IKL983035:IKM983068 IUH983035:IUI983068 JED983035:JEE983068 JNZ983035:JOA983068 JXV983035:JXW983068 KHR983035:KHS983068 KRN983035:KRO983068 LBJ983035:LBK983068 LLF983035:LLG983068 LVB983035:LVC983068 MEX983035:MEY983068 MOT983035:MOU983068 MYP983035:MYQ983068 NIL983035:NIM983068 NSH983035:NSI983068 OCD983035:OCE983068 OLZ983035:OMA983068 OVV983035:OVW983068 PFR983035:PFS983068 PPN983035:PPO983068 PZJ983035:PZK983068 QJF983035:QJG983068 QTB983035:QTC983068 RCX983035:RCY983068 RMT983035:RMU983068 RWP983035:RWQ983068 SGL983035:SGM983068 SQH983035:SQI983068 TAD983035:TAE983068 TJZ983035:TKA983068 TTV983035:TTW983068 UDR983035:UDS983068 UNN983035:UNO983068 UXJ983035:UXK983068 VHF983035:VHG983068 VRB983035:VRC983068 WAX983035:WAY983068 WKT8:WKU9 WAX8:WAY9 VRB8:VRC9 VHF8:VHG9 UXJ8:UXK9 UNN8:UNO9 UDR8:UDS9 TTV8:TTW9 TJZ8:TKA9 TAD8:TAE9 SQH8:SQI9 SGL8:SGM9 RWP8:RWQ9 RMT8:RMU9 RCX8:RCY9 QTB8:QTC9 QJF8:QJG9 PZJ8:PZK9 PPN8:PPO9 PFR8:PFS9 OVV8:OVW9 OLZ8:OMA9 OCD8:OCE9 NSH8:NSI9 NIL8:NIM9 MYP8:MYQ9 MOT8:MOU9 MEX8:MEY9 LVB8:LVC9 LLF8:LLG9 LBJ8:LBK9 KRN8:KRO9 KHR8:KHS9 JXV8:JXW9 JNZ8:JOA9 JED8:JEE9 IUH8:IUI9 IKL8:IKM9 IAP8:IAQ9 HQT8:HQU9 HGX8:HGY9 GXB8:GXC9 GNF8:GNG9 GDJ8:GDK9 FTN8:FTO9 FJR8:FJS9 EZV8:EZW9 EPZ8:EQA9 EGD8:EGE9 DWH8:DWI9 DML8:DMM9 DCP8:DCQ9 CST8:CSU9 CIX8:CIY9 BZB8:BZC9 BPF8:BPG9 BFJ8:BFK9 AVN8:AVO9 ALR8:ALS9 ABV8:ABW9 RZ8:SA9 ID8:IE9 WUP8:WUQ9 AB6:AC28" xr:uid="{614965A1-724A-4D30-806A-3782FAFDD09E}">
      <formula1>$U$41:$U$44</formula1>
    </dataValidation>
    <dataValidation type="list" allowBlank="1" showInputMessage="1" showErrorMessage="1" sqref="WUE983031:WUO983068 WKI16:WKS20 WAM16:WAW20 VQQ16:VRA20 VGU16:VHE20 UWY16:UXI20 UNC16:UNM20 UDG16:UDQ20 TTK16:TTU20 TJO16:TJY20 SZS16:TAC20 SPW16:SQG20 SGA16:SGK20 RWE16:RWO20 RMI16:RMS20 RCM16:RCW20 QSQ16:QTA20 QIU16:QJE20 PYY16:PZI20 PPC16:PPM20 PFG16:PFQ20 OVK16:OVU20 OLO16:OLY20 OBS16:OCC20 NRW16:NSG20 NIA16:NIK20 MYE16:MYO20 MOI16:MOS20 MEM16:MEW20 LUQ16:LVA20 LKU16:LLE20 LAY16:LBI20 KRC16:KRM20 KHG16:KHQ20 JXK16:JXU20 JNO16:JNY20 JDS16:JEC20 ITW16:IUG20 IKA16:IKK20 IAE16:IAO20 HQI16:HQS20 HGM16:HGW20 GWQ16:GXA20 GMU16:GNE20 GCY16:GDI20 FTC16:FTM20 FJG16:FJQ20 EZK16:EZU20 EPO16:EPY20 EFS16:EGC20 DVW16:DWG20 DMA16:DMK20 DCE16:DCO20 CSI16:CSS20 CIM16:CIW20 BYQ16:BZA20 BOU16:BPE20 BEY16:BFI20 AVC16:AVM20 ALG16:ALQ20 ABK16:ABU20 RO16:RY20 HS16:IC20 WUE16:WUO20 WKI8:WKS13 Q28:W28 Q13:W13 WUE8:WUO13 HS8:IC13 RO8:RY13 ABK8:ABU13 ALG8:ALQ13 AVC8:AVM13 BEY8:BFI13 BOU8:BPE13 BYQ8:BZA13 CIM8:CIW13 CSI8:CSS13 DCE8:DCO13 DMA8:DMK13 DVW8:DWG13 EFS8:EGC13 EPO8:EPY13 EZK8:EZU13 FJG8:FJQ13 FTC8:FTM13 GCY8:GDI13 GMU8:GNE13 GWQ8:GXA13 HGM8:HGW13 HQI8:HQS13 IAE8:IAO13 IKA8:IKK13 ITW8:IUG13 JDS8:JEC13 JNO8:JNY13 JXK8:JXU13 KHG8:KHQ13 KRC8:KRM13 LAY8:LBI13 LKU8:LLE13 LUQ8:LVA13 MEM8:MEW13 MOI8:MOS13 MYE8:MYO13 NIA8:NIK13 NRW8:NSG13 OBS8:OCC13 OLO8:OLY13 OVK8:OVU13 PFG8:PFQ13 PPC8:PPM13 PYY8:PZI13 QIU8:QJE13 QSQ8:QTA13 RCM8:RCW13 RMI8:RMS13 RWE8:RWO13 SGA8:SGK13 SPW8:SQG13 SZS8:TAC13 TJO8:TJY13 TTK8:TTU13 UDG8:UDQ13 UNC8:UNM13 UWY8:UXI13 VGU8:VHE13 VQQ8:VRA13 WAM8:WAW13 WKI23:WKS28 WAM23:WAW28 VQQ23:VRA28 VGU23:VHE28 UWY23:UXI28 UNC23:UNM28 UDG23:UDQ28 TTK23:TTU28 TJO23:TJY28 SZS23:TAC28 SPW23:SQG28 SGA23:SGK28 RWE23:RWO28 RMI23:RMS28 RCM23:RCW28 QSQ23:QTA28 QIU23:QJE28 PYY23:PZI28 PPC23:PPM28 PFG23:PFQ28 OVK23:OVU28 OLO23:OLY28 OBS23:OCC28 NRW23:NSG28 NIA23:NIK28 MYE23:MYO28 MOI23:MOS28 MEM23:MEW28 LUQ23:LVA28 LKU23:LLE28 LAY23:LBI28 KRC23:KRM28 KHG23:KHQ28 JXK23:JXU28 JNO23:JNY28 JDS23:JEC28 ITW23:IUG28 IKA23:IKK28 IAE23:IAO28 HQI23:HQS28 HGM23:HGW28 GWQ23:GXA28 GMU23:GNE28 GCY23:GDI28 FTC23:FTM28 FJG23:FJQ28 EZK23:EZU28 EPO23:EPY28 EFS23:EGC28 DVW23:DWG28 DMA23:DMK28 DCE23:DCO28 CSI23:CSS28 CIM23:CIW28 BYQ23:BZA28 BOU23:BPE28 BEY23:BFI28 AVC23:AVM28 ALG23:ALQ28 ABK23:ABU28 RO23:RY28 HS23:IC28 WUE23:WUO28 Q65527:AA65564 HS65527:IC65564 RO65527:RY65564 ABK65527:ABU65564 ALG65527:ALQ65564 AVC65527:AVM65564 BEY65527:BFI65564 BOU65527:BPE65564 BYQ65527:BZA65564 CIM65527:CIW65564 CSI65527:CSS65564 DCE65527:DCO65564 DMA65527:DMK65564 DVW65527:DWG65564 EFS65527:EGC65564 EPO65527:EPY65564 EZK65527:EZU65564 FJG65527:FJQ65564 FTC65527:FTM65564 GCY65527:GDI65564 GMU65527:GNE65564 GWQ65527:GXA65564 HGM65527:HGW65564 HQI65527:HQS65564 IAE65527:IAO65564 IKA65527:IKK65564 ITW65527:IUG65564 JDS65527:JEC65564 JNO65527:JNY65564 JXK65527:JXU65564 KHG65527:KHQ65564 KRC65527:KRM65564 LAY65527:LBI65564 LKU65527:LLE65564 LUQ65527:LVA65564 MEM65527:MEW65564 MOI65527:MOS65564 MYE65527:MYO65564 NIA65527:NIK65564 NRW65527:NSG65564 OBS65527:OCC65564 OLO65527:OLY65564 OVK65527:OVU65564 PFG65527:PFQ65564 PPC65527:PPM65564 PYY65527:PZI65564 QIU65527:QJE65564 QSQ65527:QTA65564 RCM65527:RCW65564 RMI65527:RMS65564 RWE65527:RWO65564 SGA65527:SGK65564 SPW65527:SQG65564 SZS65527:TAC65564 TJO65527:TJY65564 TTK65527:TTU65564 UDG65527:UDQ65564 UNC65527:UNM65564 UWY65527:UXI65564 VGU65527:VHE65564 VQQ65527:VRA65564 WAM65527:WAW65564 WKI65527:WKS65564 WUE65527:WUO65564 Q131063:AA131100 HS131063:IC131100 RO131063:RY131100 ABK131063:ABU131100 ALG131063:ALQ131100 AVC131063:AVM131100 BEY131063:BFI131100 BOU131063:BPE131100 BYQ131063:BZA131100 CIM131063:CIW131100 CSI131063:CSS131100 DCE131063:DCO131100 DMA131063:DMK131100 DVW131063:DWG131100 EFS131063:EGC131100 EPO131063:EPY131100 EZK131063:EZU131100 FJG131063:FJQ131100 FTC131063:FTM131100 GCY131063:GDI131100 GMU131063:GNE131100 GWQ131063:GXA131100 HGM131063:HGW131100 HQI131063:HQS131100 IAE131063:IAO131100 IKA131063:IKK131100 ITW131063:IUG131100 JDS131063:JEC131100 JNO131063:JNY131100 JXK131063:JXU131100 KHG131063:KHQ131100 KRC131063:KRM131100 LAY131063:LBI131100 LKU131063:LLE131100 LUQ131063:LVA131100 MEM131063:MEW131100 MOI131063:MOS131100 MYE131063:MYO131100 NIA131063:NIK131100 NRW131063:NSG131100 OBS131063:OCC131100 OLO131063:OLY131100 OVK131063:OVU131100 PFG131063:PFQ131100 PPC131063:PPM131100 PYY131063:PZI131100 QIU131063:QJE131100 QSQ131063:QTA131100 RCM131063:RCW131100 RMI131063:RMS131100 RWE131063:RWO131100 SGA131063:SGK131100 SPW131063:SQG131100 SZS131063:TAC131100 TJO131063:TJY131100 TTK131063:TTU131100 UDG131063:UDQ131100 UNC131063:UNM131100 UWY131063:UXI131100 VGU131063:VHE131100 VQQ131063:VRA131100 WAM131063:WAW131100 WKI131063:WKS131100 WUE131063:WUO131100 Q196599:AA196636 HS196599:IC196636 RO196599:RY196636 ABK196599:ABU196636 ALG196599:ALQ196636 AVC196599:AVM196636 BEY196599:BFI196636 BOU196599:BPE196636 BYQ196599:BZA196636 CIM196599:CIW196636 CSI196599:CSS196636 DCE196599:DCO196636 DMA196599:DMK196636 DVW196599:DWG196636 EFS196599:EGC196636 EPO196599:EPY196636 EZK196599:EZU196636 FJG196599:FJQ196636 FTC196599:FTM196636 GCY196599:GDI196636 GMU196599:GNE196636 GWQ196599:GXA196636 HGM196599:HGW196636 HQI196599:HQS196636 IAE196599:IAO196636 IKA196599:IKK196636 ITW196599:IUG196636 JDS196599:JEC196636 JNO196599:JNY196636 JXK196599:JXU196636 KHG196599:KHQ196636 KRC196599:KRM196636 LAY196599:LBI196636 LKU196599:LLE196636 LUQ196599:LVA196636 MEM196599:MEW196636 MOI196599:MOS196636 MYE196599:MYO196636 NIA196599:NIK196636 NRW196599:NSG196636 OBS196599:OCC196636 OLO196599:OLY196636 OVK196599:OVU196636 PFG196599:PFQ196636 PPC196599:PPM196636 PYY196599:PZI196636 QIU196599:QJE196636 QSQ196599:QTA196636 RCM196599:RCW196636 RMI196599:RMS196636 RWE196599:RWO196636 SGA196599:SGK196636 SPW196599:SQG196636 SZS196599:TAC196636 TJO196599:TJY196636 TTK196599:TTU196636 UDG196599:UDQ196636 UNC196599:UNM196636 UWY196599:UXI196636 VGU196599:VHE196636 VQQ196599:VRA196636 WAM196599:WAW196636 WKI196599:WKS196636 WUE196599:WUO196636 Q262135:AA262172 HS262135:IC262172 RO262135:RY262172 ABK262135:ABU262172 ALG262135:ALQ262172 AVC262135:AVM262172 BEY262135:BFI262172 BOU262135:BPE262172 BYQ262135:BZA262172 CIM262135:CIW262172 CSI262135:CSS262172 DCE262135:DCO262172 DMA262135:DMK262172 DVW262135:DWG262172 EFS262135:EGC262172 EPO262135:EPY262172 EZK262135:EZU262172 FJG262135:FJQ262172 FTC262135:FTM262172 GCY262135:GDI262172 GMU262135:GNE262172 GWQ262135:GXA262172 HGM262135:HGW262172 HQI262135:HQS262172 IAE262135:IAO262172 IKA262135:IKK262172 ITW262135:IUG262172 JDS262135:JEC262172 JNO262135:JNY262172 JXK262135:JXU262172 KHG262135:KHQ262172 KRC262135:KRM262172 LAY262135:LBI262172 LKU262135:LLE262172 LUQ262135:LVA262172 MEM262135:MEW262172 MOI262135:MOS262172 MYE262135:MYO262172 NIA262135:NIK262172 NRW262135:NSG262172 OBS262135:OCC262172 OLO262135:OLY262172 OVK262135:OVU262172 PFG262135:PFQ262172 PPC262135:PPM262172 PYY262135:PZI262172 QIU262135:QJE262172 QSQ262135:QTA262172 RCM262135:RCW262172 RMI262135:RMS262172 RWE262135:RWO262172 SGA262135:SGK262172 SPW262135:SQG262172 SZS262135:TAC262172 TJO262135:TJY262172 TTK262135:TTU262172 UDG262135:UDQ262172 UNC262135:UNM262172 UWY262135:UXI262172 VGU262135:VHE262172 VQQ262135:VRA262172 WAM262135:WAW262172 WKI262135:WKS262172 WUE262135:WUO262172 Q327671:AA327708 HS327671:IC327708 RO327671:RY327708 ABK327671:ABU327708 ALG327671:ALQ327708 AVC327671:AVM327708 BEY327671:BFI327708 BOU327671:BPE327708 BYQ327671:BZA327708 CIM327671:CIW327708 CSI327671:CSS327708 DCE327671:DCO327708 DMA327671:DMK327708 DVW327671:DWG327708 EFS327671:EGC327708 EPO327671:EPY327708 EZK327671:EZU327708 FJG327671:FJQ327708 FTC327671:FTM327708 GCY327671:GDI327708 GMU327671:GNE327708 GWQ327671:GXA327708 HGM327671:HGW327708 HQI327671:HQS327708 IAE327671:IAO327708 IKA327671:IKK327708 ITW327671:IUG327708 JDS327671:JEC327708 JNO327671:JNY327708 JXK327671:JXU327708 KHG327671:KHQ327708 KRC327671:KRM327708 LAY327671:LBI327708 LKU327671:LLE327708 LUQ327671:LVA327708 MEM327671:MEW327708 MOI327671:MOS327708 MYE327671:MYO327708 NIA327671:NIK327708 NRW327671:NSG327708 OBS327671:OCC327708 OLO327671:OLY327708 OVK327671:OVU327708 PFG327671:PFQ327708 PPC327671:PPM327708 PYY327671:PZI327708 QIU327671:QJE327708 QSQ327671:QTA327708 RCM327671:RCW327708 RMI327671:RMS327708 RWE327671:RWO327708 SGA327671:SGK327708 SPW327671:SQG327708 SZS327671:TAC327708 TJO327671:TJY327708 TTK327671:TTU327708 UDG327671:UDQ327708 UNC327671:UNM327708 UWY327671:UXI327708 VGU327671:VHE327708 VQQ327671:VRA327708 WAM327671:WAW327708 WKI327671:WKS327708 WUE327671:WUO327708 Q393207:AA393244 HS393207:IC393244 RO393207:RY393244 ABK393207:ABU393244 ALG393207:ALQ393244 AVC393207:AVM393244 BEY393207:BFI393244 BOU393207:BPE393244 BYQ393207:BZA393244 CIM393207:CIW393244 CSI393207:CSS393244 DCE393207:DCO393244 DMA393207:DMK393244 DVW393207:DWG393244 EFS393207:EGC393244 EPO393207:EPY393244 EZK393207:EZU393244 FJG393207:FJQ393244 FTC393207:FTM393244 GCY393207:GDI393244 GMU393207:GNE393244 GWQ393207:GXA393244 HGM393207:HGW393244 HQI393207:HQS393244 IAE393207:IAO393244 IKA393207:IKK393244 ITW393207:IUG393244 JDS393207:JEC393244 JNO393207:JNY393244 JXK393207:JXU393244 KHG393207:KHQ393244 KRC393207:KRM393244 LAY393207:LBI393244 LKU393207:LLE393244 LUQ393207:LVA393244 MEM393207:MEW393244 MOI393207:MOS393244 MYE393207:MYO393244 NIA393207:NIK393244 NRW393207:NSG393244 OBS393207:OCC393244 OLO393207:OLY393244 OVK393207:OVU393244 PFG393207:PFQ393244 PPC393207:PPM393244 PYY393207:PZI393244 QIU393207:QJE393244 QSQ393207:QTA393244 RCM393207:RCW393244 RMI393207:RMS393244 RWE393207:RWO393244 SGA393207:SGK393244 SPW393207:SQG393244 SZS393207:TAC393244 TJO393207:TJY393244 TTK393207:TTU393244 UDG393207:UDQ393244 UNC393207:UNM393244 UWY393207:UXI393244 VGU393207:VHE393244 VQQ393207:VRA393244 WAM393207:WAW393244 WKI393207:WKS393244 WUE393207:WUO393244 Q458743:AA458780 HS458743:IC458780 RO458743:RY458780 ABK458743:ABU458780 ALG458743:ALQ458780 AVC458743:AVM458780 BEY458743:BFI458780 BOU458743:BPE458780 BYQ458743:BZA458780 CIM458743:CIW458780 CSI458743:CSS458780 DCE458743:DCO458780 DMA458743:DMK458780 DVW458743:DWG458780 EFS458743:EGC458780 EPO458743:EPY458780 EZK458743:EZU458780 FJG458743:FJQ458780 FTC458743:FTM458780 GCY458743:GDI458780 GMU458743:GNE458780 GWQ458743:GXA458780 HGM458743:HGW458780 HQI458743:HQS458780 IAE458743:IAO458780 IKA458743:IKK458780 ITW458743:IUG458780 JDS458743:JEC458780 JNO458743:JNY458780 JXK458743:JXU458780 KHG458743:KHQ458780 KRC458743:KRM458780 LAY458743:LBI458780 LKU458743:LLE458780 LUQ458743:LVA458780 MEM458743:MEW458780 MOI458743:MOS458780 MYE458743:MYO458780 NIA458743:NIK458780 NRW458743:NSG458780 OBS458743:OCC458780 OLO458743:OLY458780 OVK458743:OVU458780 PFG458743:PFQ458780 PPC458743:PPM458780 PYY458743:PZI458780 QIU458743:QJE458780 QSQ458743:QTA458780 RCM458743:RCW458780 RMI458743:RMS458780 RWE458743:RWO458780 SGA458743:SGK458780 SPW458743:SQG458780 SZS458743:TAC458780 TJO458743:TJY458780 TTK458743:TTU458780 UDG458743:UDQ458780 UNC458743:UNM458780 UWY458743:UXI458780 VGU458743:VHE458780 VQQ458743:VRA458780 WAM458743:WAW458780 WKI458743:WKS458780 WUE458743:WUO458780 Q524279:AA524316 HS524279:IC524316 RO524279:RY524316 ABK524279:ABU524316 ALG524279:ALQ524316 AVC524279:AVM524316 BEY524279:BFI524316 BOU524279:BPE524316 BYQ524279:BZA524316 CIM524279:CIW524316 CSI524279:CSS524316 DCE524279:DCO524316 DMA524279:DMK524316 DVW524279:DWG524316 EFS524279:EGC524316 EPO524279:EPY524316 EZK524279:EZU524316 FJG524279:FJQ524316 FTC524279:FTM524316 GCY524279:GDI524316 GMU524279:GNE524316 GWQ524279:GXA524316 HGM524279:HGW524316 HQI524279:HQS524316 IAE524279:IAO524316 IKA524279:IKK524316 ITW524279:IUG524316 JDS524279:JEC524316 JNO524279:JNY524316 JXK524279:JXU524316 KHG524279:KHQ524316 KRC524279:KRM524316 LAY524279:LBI524316 LKU524279:LLE524316 LUQ524279:LVA524316 MEM524279:MEW524316 MOI524279:MOS524316 MYE524279:MYO524316 NIA524279:NIK524316 NRW524279:NSG524316 OBS524279:OCC524316 OLO524279:OLY524316 OVK524279:OVU524316 PFG524279:PFQ524316 PPC524279:PPM524316 PYY524279:PZI524316 QIU524279:QJE524316 QSQ524279:QTA524316 RCM524279:RCW524316 RMI524279:RMS524316 RWE524279:RWO524316 SGA524279:SGK524316 SPW524279:SQG524316 SZS524279:TAC524316 TJO524279:TJY524316 TTK524279:TTU524316 UDG524279:UDQ524316 UNC524279:UNM524316 UWY524279:UXI524316 VGU524279:VHE524316 VQQ524279:VRA524316 WAM524279:WAW524316 WKI524279:WKS524316 WUE524279:WUO524316 Q589815:AA589852 HS589815:IC589852 RO589815:RY589852 ABK589815:ABU589852 ALG589815:ALQ589852 AVC589815:AVM589852 BEY589815:BFI589852 BOU589815:BPE589852 BYQ589815:BZA589852 CIM589815:CIW589852 CSI589815:CSS589852 DCE589815:DCO589852 DMA589815:DMK589852 DVW589815:DWG589852 EFS589815:EGC589852 EPO589815:EPY589852 EZK589815:EZU589852 FJG589815:FJQ589852 FTC589815:FTM589852 GCY589815:GDI589852 GMU589815:GNE589852 GWQ589815:GXA589852 HGM589815:HGW589852 HQI589815:HQS589852 IAE589815:IAO589852 IKA589815:IKK589852 ITW589815:IUG589852 JDS589815:JEC589852 JNO589815:JNY589852 JXK589815:JXU589852 KHG589815:KHQ589852 KRC589815:KRM589852 LAY589815:LBI589852 LKU589815:LLE589852 LUQ589815:LVA589852 MEM589815:MEW589852 MOI589815:MOS589852 MYE589815:MYO589852 NIA589815:NIK589852 NRW589815:NSG589852 OBS589815:OCC589852 OLO589815:OLY589852 OVK589815:OVU589852 PFG589815:PFQ589852 PPC589815:PPM589852 PYY589815:PZI589852 QIU589815:QJE589852 QSQ589815:QTA589852 RCM589815:RCW589852 RMI589815:RMS589852 RWE589815:RWO589852 SGA589815:SGK589852 SPW589815:SQG589852 SZS589815:TAC589852 TJO589815:TJY589852 TTK589815:TTU589852 UDG589815:UDQ589852 UNC589815:UNM589852 UWY589815:UXI589852 VGU589815:VHE589852 VQQ589815:VRA589852 WAM589815:WAW589852 WKI589815:WKS589852 WUE589815:WUO589852 Q655351:AA655388 HS655351:IC655388 RO655351:RY655388 ABK655351:ABU655388 ALG655351:ALQ655388 AVC655351:AVM655388 BEY655351:BFI655388 BOU655351:BPE655388 BYQ655351:BZA655388 CIM655351:CIW655388 CSI655351:CSS655388 DCE655351:DCO655388 DMA655351:DMK655388 DVW655351:DWG655388 EFS655351:EGC655388 EPO655351:EPY655388 EZK655351:EZU655388 FJG655351:FJQ655388 FTC655351:FTM655388 GCY655351:GDI655388 GMU655351:GNE655388 GWQ655351:GXA655388 HGM655351:HGW655388 HQI655351:HQS655388 IAE655351:IAO655388 IKA655351:IKK655388 ITW655351:IUG655388 JDS655351:JEC655388 JNO655351:JNY655388 JXK655351:JXU655388 KHG655351:KHQ655388 KRC655351:KRM655388 LAY655351:LBI655388 LKU655351:LLE655388 LUQ655351:LVA655388 MEM655351:MEW655388 MOI655351:MOS655388 MYE655351:MYO655388 NIA655351:NIK655388 NRW655351:NSG655388 OBS655351:OCC655388 OLO655351:OLY655388 OVK655351:OVU655388 PFG655351:PFQ655388 PPC655351:PPM655388 PYY655351:PZI655388 QIU655351:QJE655388 QSQ655351:QTA655388 RCM655351:RCW655388 RMI655351:RMS655388 RWE655351:RWO655388 SGA655351:SGK655388 SPW655351:SQG655388 SZS655351:TAC655388 TJO655351:TJY655388 TTK655351:TTU655388 UDG655351:UDQ655388 UNC655351:UNM655388 UWY655351:UXI655388 VGU655351:VHE655388 VQQ655351:VRA655388 WAM655351:WAW655388 WKI655351:WKS655388 WUE655351:WUO655388 Q720887:AA720924 HS720887:IC720924 RO720887:RY720924 ABK720887:ABU720924 ALG720887:ALQ720924 AVC720887:AVM720924 BEY720887:BFI720924 BOU720887:BPE720924 BYQ720887:BZA720924 CIM720887:CIW720924 CSI720887:CSS720924 DCE720887:DCO720924 DMA720887:DMK720924 DVW720887:DWG720924 EFS720887:EGC720924 EPO720887:EPY720924 EZK720887:EZU720924 FJG720887:FJQ720924 FTC720887:FTM720924 GCY720887:GDI720924 GMU720887:GNE720924 GWQ720887:GXA720924 HGM720887:HGW720924 HQI720887:HQS720924 IAE720887:IAO720924 IKA720887:IKK720924 ITW720887:IUG720924 JDS720887:JEC720924 JNO720887:JNY720924 JXK720887:JXU720924 KHG720887:KHQ720924 KRC720887:KRM720924 LAY720887:LBI720924 LKU720887:LLE720924 LUQ720887:LVA720924 MEM720887:MEW720924 MOI720887:MOS720924 MYE720887:MYO720924 NIA720887:NIK720924 NRW720887:NSG720924 OBS720887:OCC720924 OLO720887:OLY720924 OVK720887:OVU720924 PFG720887:PFQ720924 PPC720887:PPM720924 PYY720887:PZI720924 QIU720887:QJE720924 QSQ720887:QTA720924 RCM720887:RCW720924 RMI720887:RMS720924 RWE720887:RWO720924 SGA720887:SGK720924 SPW720887:SQG720924 SZS720887:TAC720924 TJO720887:TJY720924 TTK720887:TTU720924 UDG720887:UDQ720924 UNC720887:UNM720924 UWY720887:UXI720924 VGU720887:VHE720924 VQQ720887:VRA720924 WAM720887:WAW720924 WKI720887:WKS720924 WUE720887:WUO720924 Q786423:AA786460 HS786423:IC786460 RO786423:RY786460 ABK786423:ABU786460 ALG786423:ALQ786460 AVC786423:AVM786460 BEY786423:BFI786460 BOU786423:BPE786460 BYQ786423:BZA786460 CIM786423:CIW786460 CSI786423:CSS786460 DCE786423:DCO786460 DMA786423:DMK786460 DVW786423:DWG786460 EFS786423:EGC786460 EPO786423:EPY786460 EZK786423:EZU786460 FJG786423:FJQ786460 FTC786423:FTM786460 GCY786423:GDI786460 GMU786423:GNE786460 GWQ786423:GXA786460 HGM786423:HGW786460 HQI786423:HQS786460 IAE786423:IAO786460 IKA786423:IKK786460 ITW786423:IUG786460 JDS786423:JEC786460 JNO786423:JNY786460 JXK786423:JXU786460 KHG786423:KHQ786460 KRC786423:KRM786460 LAY786423:LBI786460 LKU786423:LLE786460 LUQ786423:LVA786460 MEM786423:MEW786460 MOI786423:MOS786460 MYE786423:MYO786460 NIA786423:NIK786460 NRW786423:NSG786460 OBS786423:OCC786460 OLO786423:OLY786460 OVK786423:OVU786460 PFG786423:PFQ786460 PPC786423:PPM786460 PYY786423:PZI786460 QIU786423:QJE786460 QSQ786423:QTA786460 RCM786423:RCW786460 RMI786423:RMS786460 RWE786423:RWO786460 SGA786423:SGK786460 SPW786423:SQG786460 SZS786423:TAC786460 TJO786423:TJY786460 TTK786423:TTU786460 UDG786423:UDQ786460 UNC786423:UNM786460 UWY786423:UXI786460 VGU786423:VHE786460 VQQ786423:VRA786460 WAM786423:WAW786460 WKI786423:WKS786460 WUE786423:WUO786460 Q851959:AA851996 HS851959:IC851996 RO851959:RY851996 ABK851959:ABU851996 ALG851959:ALQ851996 AVC851959:AVM851996 BEY851959:BFI851996 BOU851959:BPE851996 BYQ851959:BZA851996 CIM851959:CIW851996 CSI851959:CSS851996 DCE851959:DCO851996 DMA851959:DMK851996 DVW851959:DWG851996 EFS851959:EGC851996 EPO851959:EPY851996 EZK851959:EZU851996 FJG851959:FJQ851996 FTC851959:FTM851996 GCY851959:GDI851996 GMU851959:GNE851996 GWQ851959:GXA851996 HGM851959:HGW851996 HQI851959:HQS851996 IAE851959:IAO851996 IKA851959:IKK851996 ITW851959:IUG851996 JDS851959:JEC851996 JNO851959:JNY851996 JXK851959:JXU851996 KHG851959:KHQ851996 KRC851959:KRM851996 LAY851959:LBI851996 LKU851959:LLE851996 LUQ851959:LVA851996 MEM851959:MEW851996 MOI851959:MOS851996 MYE851959:MYO851996 NIA851959:NIK851996 NRW851959:NSG851996 OBS851959:OCC851996 OLO851959:OLY851996 OVK851959:OVU851996 PFG851959:PFQ851996 PPC851959:PPM851996 PYY851959:PZI851996 QIU851959:QJE851996 QSQ851959:QTA851996 RCM851959:RCW851996 RMI851959:RMS851996 RWE851959:RWO851996 SGA851959:SGK851996 SPW851959:SQG851996 SZS851959:TAC851996 TJO851959:TJY851996 TTK851959:TTU851996 UDG851959:UDQ851996 UNC851959:UNM851996 UWY851959:UXI851996 VGU851959:VHE851996 VQQ851959:VRA851996 WAM851959:WAW851996 WKI851959:WKS851996 WUE851959:WUO851996 Q917495:AA917532 HS917495:IC917532 RO917495:RY917532 ABK917495:ABU917532 ALG917495:ALQ917532 AVC917495:AVM917532 BEY917495:BFI917532 BOU917495:BPE917532 BYQ917495:BZA917532 CIM917495:CIW917532 CSI917495:CSS917532 DCE917495:DCO917532 DMA917495:DMK917532 DVW917495:DWG917532 EFS917495:EGC917532 EPO917495:EPY917532 EZK917495:EZU917532 FJG917495:FJQ917532 FTC917495:FTM917532 GCY917495:GDI917532 GMU917495:GNE917532 GWQ917495:GXA917532 HGM917495:HGW917532 HQI917495:HQS917532 IAE917495:IAO917532 IKA917495:IKK917532 ITW917495:IUG917532 JDS917495:JEC917532 JNO917495:JNY917532 JXK917495:JXU917532 KHG917495:KHQ917532 KRC917495:KRM917532 LAY917495:LBI917532 LKU917495:LLE917532 LUQ917495:LVA917532 MEM917495:MEW917532 MOI917495:MOS917532 MYE917495:MYO917532 NIA917495:NIK917532 NRW917495:NSG917532 OBS917495:OCC917532 OLO917495:OLY917532 OVK917495:OVU917532 PFG917495:PFQ917532 PPC917495:PPM917532 PYY917495:PZI917532 QIU917495:QJE917532 QSQ917495:QTA917532 RCM917495:RCW917532 RMI917495:RMS917532 RWE917495:RWO917532 SGA917495:SGK917532 SPW917495:SQG917532 SZS917495:TAC917532 TJO917495:TJY917532 TTK917495:TTU917532 UDG917495:UDQ917532 UNC917495:UNM917532 UWY917495:UXI917532 VGU917495:VHE917532 VQQ917495:VRA917532 WAM917495:WAW917532 WKI917495:WKS917532 WUE917495:WUO917532 Q983031:AA983068 HS983031:IC983068 RO983031:RY983068 ABK983031:ABU983068 ALG983031:ALQ983068 AVC983031:AVM983068 BEY983031:BFI983068 BOU983031:BPE983068 BYQ983031:BZA983068 CIM983031:CIW983068 CSI983031:CSS983068 DCE983031:DCO983068 DMA983031:DMK983068 DVW983031:DWG983068 EFS983031:EGC983068 EPO983031:EPY983068 EZK983031:EZU983068 FJG983031:FJQ983068 FTC983031:FTM983068 GCY983031:GDI983068 GMU983031:GNE983068 GWQ983031:GXA983068 HGM983031:HGW983068 HQI983031:HQS983068 IAE983031:IAO983068 IKA983031:IKK983068 ITW983031:IUG983068 JDS983031:JEC983068 JNO983031:JNY983068 JXK983031:JXU983068 KHG983031:KHQ983068 KRC983031:KRM983068 LAY983031:LBI983068 LKU983031:LLE983068 LUQ983031:LVA983068 MEM983031:MEW983068 MOI983031:MOS983068 MYE983031:MYO983068 NIA983031:NIK983068 NRW983031:NSG983068 OBS983031:OCC983068 OLO983031:OLY983068 OVK983031:OVU983068 PFG983031:PFQ983068 PPC983031:PPM983068 PYY983031:PZI983068 QIU983031:QJE983068 QSQ983031:QTA983068 RCM983031:RCW983068 RMI983031:RMS983068 RWE983031:RWO983068 SGA983031:SGK983068 SPW983031:SQG983068 SZS983031:TAC983068 TJO983031:TJY983068 TTK983031:TTU983068 UDG983031:UDQ983068 UNC983031:UNM983068 UWY983031:UXI983068 VGU983031:VHE983068 VQQ983031:VRA983068 WAM983031:WAW983068 WKI983031:WKS983068 WKI5:WKS5 Q5:W5 WUE5:WUO5 HS5:IC5 RO5:RY5 ABK5:ABU5 ALG5:ALQ5 AVC5:AVM5 BEY5:BFI5 BOU5:BPE5 BYQ5:BZA5 CIM5:CIW5 CSI5:CSS5 DCE5:DCO5 DMA5:DMK5 DVW5:DWG5 EFS5:EGC5 EPO5:EPY5 EZK5:EZU5 FJG5:FJQ5 FTC5:FTM5 GCY5:GDI5 GMU5:GNE5 GWQ5:GXA5 HGM5:HGW5 HQI5:HQS5 IAE5:IAO5 IKA5:IKK5 ITW5:IUG5 JDS5:JEC5 JNO5:JNY5 JXK5:JXU5 KHG5:KHQ5 KRC5:KRM5 LAY5:LBI5 LKU5:LLE5 LUQ5:LVA5 MEM5:MEW5 MOI5:MOS5 MYE5:MYO5 NIA5:NIK5 NRW5:NSG5 OBS5:OCC5 OLO5:OLY5 OVK5:OVU5 PFG5:PFQ5 PPC5:PPM5 PYY5:PZI5 QIU5:QJE5 QSQ5:QTA5 RCM5:RCW5 RMI5:RMS5 RWE5:RWO5 SGA5:SGK5 SPW5:SQG5 SZS5:TAC5 TJO5:TJY5 TTK5:TTU5 UDG5:UDQ5 UNC5:UNM5 UWY5:UXI5 VGU5:VHE5 VQQ5:VRA5 WAM5:WAW5" xr:uid="{CB432012-6181-458C-BFBE-53785076ECAE}">
      <formula1>$C$41:$C$61</formula1>
    </dataValidation>
    <dataValidation type="list" allowBlank="1" showInputMessage="1" showErrorMessage="1" sqref="AU45:AX48 IW45:IZ48 SS45:SV48 ACO45:ACR48 AMK45:AMN48 AWG45:AWJ48 BGC45:BGF48 BPY45:BQB48 BZU45:BZX48 CJQ45:CJT48 CTM45:CTP48 DDI45:DDL48 DNE45:DNH48 DXA45:DXD48 EGW45:EGZ48 EQS45:EQV48 FAO45:FAR48 FKK45:FKN48 FUG45:FUJ48 GEC45:GEF48 GNY45:GOB48 GXU45:GXX48 HHQ45:HHT48 HRM45:HRP48 IBI45:IBL48 ILE45:ILH48 IVA45:IVD48 JEW45:JEZ48 JOS45:JOV48 JYO45:JYR48 KIK45:KIN48 KSG45:KSJ48 LCC45:LCF48 LLY45:LMB48 LVU45:LVX48 MFQ45:MFT48 MPM45:MPP48 MZI45:MZL48 NJE45:NJH48 NTA45:NTD48 OCW45:OCZ48 OMS45:OMV48 OWO45:OWR48 PGK45:PGN48 PQG45:PQJ48 QAC45:QAF48 QJY45:QKB48 QTU45:QTX48 RDQ45:RDT48 RNM45:RNP48 RXI45:RXL48 SHE45:SHH48 SRA45:SRD48 TAW45:TAZ48 TKS45:TKV48 TUO45:TUR48 UEK45:UEN48 UOG45:UOJ48 UYC45:UYF48 VHY45:VIB48 VRU45:VRX48 WBQ45:WBT48 WLM45:WLP48 WVI45:WVL48 AU65581:AX65584 IW65581:IZ65584 SS65581:SV65584 ACO65581:ACR65584 AMK65581:AMN65584 AWG65581:AWJ65584 BGC65581:BGF65584 BPY65581:BQB65584 BZU65581:BZX65584 CJQ65581:CJT65584 CTM65581:CTP65584 DDI65581:DDL65584 DNE65581:DNH65584 DXA65581:DXD65584 EGW65581:EGZ65584 EQS65581:EQV65584 FAO65581:FAR65584 FKK65581:FKN65584 FUG65581:FUJ65584 GEC65581:GEF65584 GNY65581:GOB65584 GXU65581:GXX65584 HHQ65581:HHT65584 HRM65581:HRP65584 IBI65581:IBL65584 ILE65581:ILH65584 IVA65581:IVD65584 JEW65581:JEZ65584 JOS65581:JOV65584 JYO65581:JYR65584 KIK65581:KIN65584 KSG65581:KSJ65584 LCC65581:LCF65584 LLY65581:LMB65584 LVU65581:LVX65584 MFQ65581:MFT65584 MPM65581:MPP65584 MZI65581:MZL65584 NJE65581:NJH65584 NTA65581:NTD65584 OCW65581:OCZ65584 OMS65581:OMV65584 OWO65581:OWR65584 PGK65581:PGN65584 PQG65581:PQJ65584 QAC65581:QAF65584 QJY65581:QKB65584 QTU65581:QTX65584 RDQ65581:RDT65584 RNM65581:RNP65584 RXI65581:RXL65584 SHE65581:SHH65584 SRA65581:SRD65584 TAW65581:TAZ65584 TKS65581:TKV65584 TUO65581:TUR65584 UEK65581:UEN65584 UOG65581:UOJ65584 UYC65581:UYF65584 VHY65581:VIB65584 VRU65581:VRX65584 WBQ65581:WBT65584 WLM65581:WLP65584 WVI65581:WVL65584 AU131117:AX131120 IW131117:IZ131120 SS131117:SV131120 ACO131117:ACR131120 AMK131117:AMN131120 AWG131117:AWJ131120 BGC131117:BGF131120 BPY131117:BQB131120 BZU131117:BZX131120 CJQ131117:CJT131120 CTM131117:CTP131120 DDI131117:DDL131120 DNE131117:DNH131120 DXA131117:DXD131120 EGW131117:EGZ131120 EQS131117:EQV131120 FAO131117:FAR131120 FKK131117:FKN131120 FUG131117:FUJ131120 GEC131117:GEF131120 GNY131117:GOB131120 GXU131117:GXX131120 HHQ131117:HHT131120 HRM131117:HRP131120 IBI131117:IBL131120 ILE131117:ILH131120 IVA131117:IVD131120 JEW131117:JEZ131120 JOS131117:JOV131120 JYO131117:JYR131120 KIK131117:KIN131120 KSG131117:KSJ131120 LCC131117:LCF131120 LLY131117:LMB131120 LVU131117:LVX131120 MFQ131117:MFT131120 MPM131117:MPP131120 MZI131117:MZL131120 NJE131117:NJH131120 NTA131117:NTD131120 OCW131117:OCZ131120 OMS131117:OMV131120 OWO131117:OWR131120 PGK131117:PGN131120 PQG131117:PQJ131120 QAC131117:QAF131120 QJY131117:QKB131120 QTU131117:QTX131120 RDQ131117:RDT131120 RNM131117:RNP131120 RXI131117:RXL131120 SHE131117:SHH131120 SRA131117:SRD131120 TAW131117:TAZ131120 TKS131117:TKV131120 TUO131117:TUR131120 UEK131117:UEN131120 UOG131117:UOJ131120 UYC131117:UYF131120 VHY131117:VIB131120 VRU131117:VRX131120 WBQ131117:WBT131120 WLM131117:WLP131120 WVI131117:WVL131120 AU196653:AX196656 IW196653:IZ196656 SS196653:SV196656 ACO196653:ACR196656 AMK196653:AMN196656 AWG196653:AWJ196656 BGC196653:BGF196656 BPY196653:BQB196656 BZU196653:BZX196656 CJQ196653:CJT196656 CTM196653:CTP196656 DDI196653:DDL196656 DNE196653:DNH196656 DXA196653:DXD196656 EGW196653:EGZ196656 EQS196653:EQV196656 FAO196653:FAR196656 FKK196653:FKN196656 FUG196653:FUJ196656 GEC196653:GEF196656 GNY196653:GOB196656 GXU196653:GXX196656 HHQ196653:HHT196656 HRM196653:HRP196656 IBI196653:IBL196656 ILE196653:ILH196656 IVA196653:IVD196656 JEW196653:JEZ196656 JOS196653:JOV196656 JYO196653:JYR196656 KIK196653:KIN196656 KSG196653:KSJ196656 LCC196653:LCF196656 LLY196653:LMB196656 LVU196653:LVX196656 MFQ196653:MFT196656 MPM196653:MPP196656 MZI196653:MZL196656 NJE196653:NJH196656 NTA196653:NTD196656 OCW196653:OCZ196656 OMS196653:OMV196656 OWO196653:OWR196656 PGK196653:PGN196656 PQG196653:PQJ196656 QAC196653:QAF196656 QJY196653:QKB196656 QTU196653:QTX196656 RDQ196653:RDT196656 RNM196653:RNP196656 RXI196653:RXL196656 SHE196653:SHH196656 SRA196653:SRD196656 TAW196653:TAZ196656 TKS196653:TKV196656 TUO196653:TUR196656 UEK196653:UEN196656 UOG196653:UOJ196656 UYC196653:UYF196656 VHY196653:VIB196656 VRU196653:VRX196656 WBQ196653:WBT196656 WLM196653:WLP196656 WVI196653:WVL196656 AU262189:AX262192 IW262189:IZ262192 SS262189:SV262192 ACO262189:ACR262192 AMK262189:AMN262192 AWG262189:AWJ262192 BGC262189:BGF262192 BPY262189:BQB262192 BZU262189:BZX262192 CJQ262189:CJT262192 CTM262189:CTP262192 DDI262189:DDL262192 DNE262189:DNH262192 DXA262189:DXD262192 EGW262189:EGZ262192 EQS262189:EQV262192 FAO262189:FAR262192 FKK262189:FKN262192 FUG262189:FUJ262192 GEC262189:GEF262192 GNY262189:GOB262192 GXU262189:GXX262192 HHQ262189:HHT262192 HRM262189:HRP262192 IBI262189:IBL262192 ILE262189:ILH262192 IVA262189:IVD262192 JEW262189:JEZ262192 JOS262189:JOV262192 JYO262189:JYR262192 KIK262189:KIN262192 KSG262189:KSJ262192 LCC262189:LCF262192 LLY262189:LMB262192 LVU262189:LVX262192 MFQ262189:MFT262192 MPM262189:MPP262192 MZI262189:MZL262192 NJE262189:NJH262192 NTA262189:NTD262192 OCW262189:OCZ262192 OMS262189:OMV262192 OWO262189:OWR262192 PGK262189:PGN262192 PQG262189:PQJ262192 QAC262189:QAF262192 QJY262189:QKB262192 QTU262189:QTX262192 RDQ262189:RDT262192 RNM262189:RNP262192 RXI262189:RXL262192 SHE262189:SHH262192 SRA262189:SRD262192 TAW262189:TAZ262192 TKS262189:TKV262192 TUO262189:TUR262192 UEK262189:UEN262192 UOG262189:UOJ262192 UYC262189:UYF262192 VHY262189:VIB262192 VRU262189:VRX262192 WBQ262189:WBT262192 WLM262189:WLP262192 WVI262189:WVL262192 AU327725:AX327728 IW327725:IZ327728 SS327725:SV327728 ACO327725:ACR327728 AMK327725:AMN327728 AWG327725:AWJ327728 BGC327725:BGF327728 BPY327725:BQB327728 BZU327725:BZX327728 CJQ327725:CJT327728 CTM327725:CTP327728 DDI327725:DDL327728 DNE327725:DNH327728 DXA327725:DXD327728 EGW327725:EGZ327728 EQS327725:EQV327728 FAO327725:FAR327728 FKK327725:FKN327728 FUG327725:FUJ327728 GEC327725:GEF327728 GNY327725:GOB327728 GXU327725:GXX327728 HHQ327725:HHT327728 HRM327725:HRP327728 IBI327725:IBL327728 ILE327725:ILH327728 IVA327725:IVD327728 JEW327725:JEZ327728 JOS327725:JOV327728 JYO327725:JYR327728 KIK327725:KIN327728 KSG327725:KSJ327728 LCC327725:LCF327728 LLY327725:LMB327728 LVU327725:LVX327728 MFQ327725:MFT327728 MPM327725:MPP327728 MZI327725:MZL327728 NJE327725:NJH327728 NTA327725:NTD327728 OCW327725:OCZ327728 OMS327725:OMV327728 OWO327725:OWR327728 PGK327725:PGN327728 PQG327725:PQJ327728 QAC327725:QAF327728 QJY327725:QKB327728 QTU327725:QTX327728 RDQ327725:RDT327728 RNM327725:RNP327728 RXI327725:RXL327728 SHE327725:SHH327728 SRA327725:SRD327728 TAW327725:TAZ327728 TKS327725:TKV327728 TUO327725:TUR327728 UEK327725:UEN327728 UOG327725:UOJ327728 UYC327725:UYF327728 VHY327725:VIB327728 VRU327725:VRX327728 WBQ327725:WBT327728 WLM327725:WLP327728 WVI327725:WVL327728 AU393261:AX393264 IW393261:IZ393264 SS393261:SV393264 ACO393261:ACR393264 AMK393261:AMN393264 AWG393261:AWJ393264 BGC393261:BGF393264 BPY393261:BQB393264 BZU393261:BZX393264 CJQ393261:CJT393264 CTM393261:CTP393264 DDI393261:DDL393264 DNE393261:DNH393264 DXA393261:DXD393264 EGW393261:EGZ393264 EQS393261:EQV393264 FAO393261:FAR393264 FKK393261:FKN393264 FUG393261:FUJ393264 GEC393261:GEF393264 GNY393261:GOB393264 GXU393261:GXX393264 HHQ393261:HHT393264 HRM393261:HRP393264 IBI393261:IBL393264 ILE393261:ILH393264 IVA393261:IVD393264 JEW393261:JEZ393264 JOS393261:JOV393264 JYO393261:JYR393264 KIK393261:KIN393264 KSG393261:KSJ393264 LCC393261:LCF393264 LLY393261:LMB393264 LVU393261:LVX393264 MFQ393261:MFT393264 MPM393261:MPP393264 MZI393261:MZL393264 NJE393261:NJH393264 NTA393261:NTD393264 OCW393261:OCZ393264 OMS393261:OMV393264 OWO393261:OWR393264 PGK393261:PGN393264 PQG393261:PQJ393264 QAC393261:QAF393264 QJY393261:QKB393264 QTU393261:QTX393264 RDQ393261:RDT393264 RNM393261:RNP393264 RXI393261:RXL393264 SHE393261:SHH393264 SRA393261:SRD393264 TAW393261:TAZ393264 TKS393261:TKV393264 TUO393261:TUR393264 UEK393261:UEN393264 UOG393261:UOJ393264 UYC393261:UYF393264 VHY393261:VIB393264 VRU393261:VRX393264 WBQ393261:WBT393264 WLM393261:WLP393264 WVI393261:WVL393264 AU458797:AX458800 IW458797:IZ458800 SS458797:SV458800 ACO458797:ACR458800 AMK458797:AMN458800 AWG458797:AWJ458800 BGC458797:BGF458800 BPY458797:BQB458800 BZU458797:BZX458800 CJQ458797:CJT458800 CTM458797:CTP458800 DDI458797:DDL458800 DNE458797:DNH458800 DXA458797:DXD458800 EGW458797:EGZ458800 EQS458797:EQV458800 FAO458797:FAR458800 FKK458797:FKN458800 FUG458797:FUJ458800 GEC458797:GEF458800 GNY458797:GOB458800 GXU458797:GXX458800 HHQ458797:HHT458800 HRM458797:HRP458800 IBI458797:IBL458800 ILE458797:ILH458800 IVA458797:IVD458800 JEW458797:JEZ458800 JOS458797:JOV458800 JYO458797:JYR458800 KIK458797:KIN458800 KSG458797:KSJ458800 LCC458797:LCF458800 LLY458797:LMB458800 LVU458797:LVX458800 MFQ458797:MFT458800 MPM458797:MPP458800 MZI458797:MZL458800 NJE458797:NJH458800 NTA458797:NTD458800 OCW458797:OCZ458800 OMS458797:OMV458800 OWO458797:OWR458800 PGK458797:PGN458800 PQG458797:PQJ458800 QAC458797:QAF458800 QJY458797:QKB458800 QTU458797:QTX458800 RDQ458797:RDT458800 RNM458797:RNP458800 RXI458797:RXL458800 SHE458797:SHH458800 SRA458797:SRD458800 TAW458797:TAZ458800 TKS458797:TKV458800 TUO458797:TUR458800 UEK458797:UEN458800 UOG458797:UOJ458800 UYC458797:UYF458800 VHY458797:VIB458800 VRU458797:VRX458800 WBQ458797:WBT458800 WLM458797:WLP458800 WVI458797:WVL458800 AU524333:AX524336 IW524333:IZ524336 SS524333:SV524336 ACO524333:ACR524336 AMK524333:AMN524336 AWG524333:AWJ524336 BGC524333:BGF524336 BPY524333:BQB524336 BZU524333:BZX524336 CJQ524333:CJT524336 CTM524333:CTP524336 DDI524333:DDL524336 DNE524333:DNH524336 DXA524333:DXD524336 EGW524333:EGZ524336 EQS524333:EQV524336 FAO524333:FAR524336 FKK524333:FKN524336 FUG524333:FUJ524336 GEC524333:GEF524336 GNY524333:GOB524336 GXU524333:GXX524336 HHQ524333:HHT524336 HRM524333:HRP524336 IBI524333:IBL524336 ILE524333:ILH524336 IVA524333:IVD524336 JEW524333:JEZ524336 JOS524333:JOV524336 JYO524333:JYR524336 KIK524333:KIN524336 KSG524333:KSJ524336 LCC524333:LCF524336 LLY524333:LMB524336 LVU524333:LVX524336 MFQ524333:MFT524336 MPM524333:MPP524336 MZI524333:MZL524336 NJE524333:NJH524336 NTA524333:NTD524336 OCW524333:OCZ524336 OMS524333:OMV524336 OWO524333:OWR524336 PGK524333:PGN524336 PQG524333:PQJ524336 QAC524333:QAF524336 QJY524333:QKB524336 QTU524333:QTX524336 RDQ524333:RDT524336 RNM524333:RNP524336 RXI524333:RXL524336 SHE524333:SHH524336 SRA524333:SRD524336 TAW524333:TAZ524336 TKS524333:TKV524336 TUO524333:TUR524336 UEK524333:UEN524336 UOG524333:UOJ524336 UYC524333:UYF524336 VHY524333:VIB524336 VRU524333:VRX524336 WBQ524333:WBT524336 WLM524333:WLP524336 WVI524333:WVL524336 AU589869:AX589872 IW589869:IZ589872 SS589869:SV589872 ACO589869:ACR589872 AMK589869:AMN589872 AWG589869:AWJ589872 BGC589869:BGF589872 BPY589869:BQB589872 BZU589869:BZX589872 CJQ589869:CJT589872 CTM589869:CTP589872 DDI589869:DDL589872 DNE589869:DNH589872 DXA589869:DXD589872 EGW589869:EGZ589872 EQS589869:EQV589872 FAO589869:FAR589872 FKK589869:FKN589872 FUG589869:FUJ589872 GEC589869:GEF589872 GNY589869:GOB589872 GXU589869:GXX589872 HHQ589869:HHT589872 HRM589869:HRP589872 IBI589869:IBL589872 ILE589869:ILH589872 IVA589869:IVD589872 JEW589869:JEZ589872 JOS589869:JOV589872 JYO589869:JYR589872 KIK589869:KIN589872 KSG589869:KSJ589872 LCC589869:LCF589872 LLY589869:LMB589872 LVU589869:LVX589872 MFQ589869:MFT589872 MPM589869:MPP589872 MZI589869:MZL589872 NJE589869:NJH589872 NTA589869:NTD589872 OCW589869:OCZ589872 OMS589869:OMV589872 OWO589869:OWR589872 PGK589869:PGN589872 PQG589869:PQJ589872 QAC589869:QAF589872 QJY589869:QKB589872 QTU589869:QTX589872 RDQ589869:RDT589872 RNM589869:RNP589872 RXI589869:RXL589872 SHE589869:SHH589872 SRA589869:SRD589872 TAW589869:TAZ589872 TKS589869:TKV589872 TUO589869:TUR589872 UEK589869:UEN589872 UOG589869:UOJ589872 UYC589869:UYF589872 VHY589869:VIB589872 VRU589869:VRX589872 WBQ589869:WBT589872 WLM589869:WLP589872 WVI589869:WVL589872 AU655405:AX655408 IW655405:IZ655408 SS655405:SV655408 ACO655405:ACR655408 AMK655405:AMN655408 AWG655405:AWJ655408 BGC655405:BGF655408 BPY655405:BQB655408 BZU655405:BZX655408 CJQ655405:CJT655408 CTM655405:CTP655408 DDI655405:DDL655408 DNE655405:DNH655408 DXA655405:DXD655408 EGW655405:EGZ655408 EQS655405:EQV655408 FAO655405:FAR655408 FKK655405:FKN655408 FUG655405:FUJ655408 GEC655405:GEF655408 GNY655405:GOB655408 GXU655405:GXX655408 HHQ655405:HHT655408 HRM655405:HRP655408 IBI655405:IBL655408 ILE655405:ILH655408 IVA655405:IVD655408 JEW655405:JEZ655408 JOS655405:JOV655408 JYO655405:JYR655408 KIK655405:KIN655408 KSG655405:KSJ655408 LCC655405:LCF655408 LLY655405:LMB655408 LVU655405:LVX655408 MFQ655405:MFT655408 MPM655405:MPP655408 MZI655405:MZL655408 NJE655405:NJH655408 NTA655405:NTD655408 OCW655405:OCZ655408 OMS655405:OMV655408 OWO655405:OWR655408 PGK655405:PGN655408 PQG655405:PQJ655408 QAC655405:QAF655408 QJY655405:QKB655408 QTU655405:QTX655408 RDQ655405:RDT655408 RNM655405:RNP655408 RXI655405:RXL655408 SHE655405:SHH655408 SRA655405:SRD655408 TAW655405:TAZ655408 TKS655405:TKV655408 TUO655405:TUR655408 UEK655405:UEN655408 UOG655405:UOJ655408 UYC655405:UYF655408 VHY655405:VIB655408 VRU655405:VRX655408 WBQ655405:WBT655408 WLM655405:WLP655408 WVI655405:WVL655408 AU720941:AX720944 IW720941:IZ720944 SS720941:SV720944 ACO720941:ACR720944 AMK720941:AMN720944 AWG720941:AWJ720944 BGC720941:BGF720944 BPY720941:BQB720944 BZU720941:BZX720944 CJQ720941:CJT720944 CTM720941:CTP720944 DDI720941:DDL720944 DNE720941:DNH720944 DXA720941:DXD720944 EGW720941:EGZ720944 EQS720941:EQV720944 FAO720941:FAR720944 FKK720941:FKN720944 FUG720941:FUJ720944 GEC720941:GEF720944 GNY720941:GOB720944 GXU720941:GXX720944 HHQ720941:HHT720944 HRM720941:HRP720944 IBI720941:IBL720944 ILE720941:ILH720944 IVA720941:IVD720944 JEW720941:JEZ720944 JOS720941:JOV720944 JYO720941:JYR720944 KIK720941:KIN720944 KSG720941:KSJ720944 LCC720941:LCF720944 LLY720941:LMB720944 LVU720941:LVX720944 MFQ720941:MFT720944 MPM720941:MPP720944 MZI720941:MZL720944 NJE720941:NJH720944 NTA720941:NTD720944 OCW720941:OCZ720944 OMS720941:OMV720944 OWO720941:OWR720944 PGK720941:PGN720944 PQG720941:PQJ720944 QAC720941:QAF720944 QJY720941:QKB720944 QTU720941:QTX720944 RDQ720941:RDT720944 RNM720941:RNP720944 RXI720941:RXL720944 SHE720941:SHH720944 SRA720941:SRD720944 TAW720941:TAZ720944 TKS720941:TKV720944 TUO720941:TUR720944 UEK720941:UEN720944 UOG720941:UOJ720944 UYC720941:UYF720944 VHY720941:VIB720944 VRU720941:VRX720944 WBQ720941:WBT720944 WLM720941:WLP720944 WVI720941:WVL720944 AU786477:AX786480 IW786477:IZ786480 SS786477:SV786480 ACO786477:ACR786480 AMK786477:AMN786480 AWG786477:AWJ786480 BGC786477:BGF786480 BPY786477:BQB786480 BZU786477:BZX786480 CJQ786477:CJT786480 CTM786477:CTP786480 DDI786477:DDL786480 DNE786477:DNH786480 DXA786477:DXD786480 EGW786477:EGZ786480 EQS786477:EQV786480 FAO786477:FAR786480 FKK786477:FKN786480 FUG786477:FUJ786480 GEC786477:GEF786480 GNY786477:GOB786480 GXU786477:GXX786480 HHQ786477:HHT786480 HRM786477:HRP786480 IBI786477:IBL786480 ILE786477:ILH786480 IVA786477:IVD786480 JEW786477:JEZ786480 JOS786477:JOV786480 JYO786477:JYR786480 KIK786477:KIN786480 KSG786477:KSJ786480 LCC786477:LCF786480 LLY786477:LMB786480 LVU786477:LVX786480 MFQ786477:MFT786480 MPM786477:MPP786480 MZI786477:MZL786480 NJE786477:NJH786480 NTA786477:NTD786480 OCW786477:OCZ786480 OMS786477:OMV786480 OWO786477:OWR786480 PGK786477:PGN786480 PQG786477:PQJ786480 QAC786477:QAF786480 QJY786477:QKB786480 QTU786477:QTX786480 RDQ786477:RDT786480 RNM786477:RNP786480 RXI786477:RXL786480 SHE786477:SHH786480 SRA786477:SRD786480 TAW786477:TAZ786480 TKS786477:TKV786480 TUO786477:TUR786480 UEK786477:UEN786480 UOG786477:UOJ786480 UYC786477:UYF786480 VHY786477:VIB786480 VRU786477:VRX786480 WBQ786477:WBT786480 WLM786477:WLP786480 WVI786477:WVL786480 AU852013:AX852016 IW852013:IZ852016 SS852013:SV852016 ACO852013:ACR852016 AMK852013:AMN852016 AWG852013:AWJ852016 BGC852013:BGF852016 BPY852013:BQB852016 BZU852013:BZX852016 CJQ852013:CJT852016 CTM852013:CTP852016 DDI852013:DDL852016 DNE852013:DNH852016 DXA852013:DXD852016 EGW852013:EGZ852016 EQS852013:EQV852016 FAO852013:FAR852016 FKK852013:FKN852016 FUG852013:FUJ852016 GEC852013:GEF852016 GNY852013:GOB852016 GXU852013:GXX852016 HHQ852013:HHT852016 HRM852013:HRP852016 IBI852013:IBL852016 ILE852013:ILH852016 IVA852013:IVD852016 JEW852013:JEZ852016 JOS852013:JOV852016 JYO852013:JYR852016 KIK852013:KIN852016 KSG852013:KSJ852016 LCC852013:LCF852016 LLY852013:LMB852016 LVU852013:LVX852016 MFQ852013:MFT852016 MPM852013:MPP852016 MZI852013:MZL852016 NJE852013:NJH852016 NTA852013:NTD852016 OCW852013:OCZ852016 OMS852013:OMV852016 OWO852013:OWR852016 PGK852013:PGN852016 PQG852013:PQJ852016 QAC852013:QAF852016 QJY852013:QKB852016 QTU852013:QTX852016 RDQ852013:RDT852016 RNM852013:RNP852016 RXI852013:RXL852016 SHE852013:SHH852016 SRA852013:SRD852016 TAW852013:TAZ852016 TKS852013:TKV852016 TUO852013:TUR852016 UEK852013:UEN852016 UOG852013:UOJ852016 UYC852013:UYF852016 VHY852013:VIB852016 VRU852013:VRX852016 WBQ852013:WBT852016 WLM852013:WLP852016 WVI852013:WVL852016 AU917549:AX917552 IW917549:IZ917552 SS917549:SV917552 ACO917549:ACR917552 AMK917549:AMN917552 AWG917549:AWJ917552 BGC917549:BGF917552 BPY917549:BQB917552 BZU917549:BZX917552 CJQ917549:CJT917552 CTM917549:CTP917552 DDI917549:DDL917552 DNE917549:DNH917552 DXA917549:DXD917552 EGW917549:EGZ917552 EQS917549:EQV917552 FAO917549:FAR917552 FKK917549:FKN917552 FUG917549:FUJ917552 GEC917549:GEF917552 GNY917549:GOB917552 GXU917549:GXX917552 HHQ917549:HHT917552 HRM917549:HRP917552 IBI917549:IBL917552 ILE917549:ILH917552 IVA917549:IVD917552 JEW917549:JEZ917552 JOS917549:JOV917552 JYO917549:JYR917552 KIK917549:KIN917552 KSG917549:KSJ917552 LCC917549:LCF917552 LLY917549:LMB917552 LVU917549:LVX917552 MFQ917549:MFT917552 MPM917549:MPP917552 MZI917549:MZL917552 NJE917549:NJH917552 NTA917549:NTD917552 OCW917549:OCZ917552 OMS917549:OMV917552 OWO917549:OWR917552 PGK917549:PGN917552 PQG917549:PQJ917552 QAC917549:QAF917552 QJY917549:QKB917552 QTU917549:QTX917552 RDQ917549:RDT917552 RNM917549:RNP917552 RXI917549:RXL917552 SHE917549:SHH917552 SRA917549:SRD917552 TAW917549:TAZ917552 TKS917549:TKV917552 TUO917549:TUR917552 UEK917549:UEN917552 UOG917549:UOJ917552 UYC917549:UYF917552 VHY917549:VIB917552 VRU917549:VRX917552 WBQ917549:WBT917552 WLM917549:WLP917552 WVI917549:WVL917552 AU983085:AX983088 IW983085:IZ983088 SS983085:SV983088 ACO983085:ACR983088 AMK983085:AMN983088 AWG983085:AWJ983088 BGC983085:BGF983088 BPY983085:BQB983088 BZU983085:BZX983088 CJQ983085:CJT983088 CTM983085:CTP983088 DDI983085:DDL983088 DNE983085:DNH983088 DXA983085:DXD983088 EGW983085:EGZ983088 EQS983085:EQV983088 FAO983085:FAR983088 FKK983085:FKN983088 FUG983085:FUJ983088 GEC983085:GEF983088 GNY983085:GOB983088 GXU983085:GXX983088 HHQ983085:HHT983088 HRM983085:HRP983088 IBI983085:IBL983088 ILE983085:ILH983088 IVA983085:IVD983088 JEW983085:JEZ983088 JOS983085:JOV983088 JYO983085:JYR983088 KIK983085:KIN983088 KSG983085:KSJ983088 LCC983085:LCF983088 LLY983085:LMB983088 LVU983085:LVX983088 MFQ983085:MFT983088 MPM983085:MPP983088 MZI983085:MZL983088 NJE983085:NJH983088 NTA983085:NTD983088 OCW983085:OCZ983088 OMS983085:OMV983088 OWO983085:OWR983088 PGK983085:PGN983088 PQG983085:PQJ983088 QAC983085:QAF983088 QJY983085:QKB983088 QTU983085:QTX983088 RDQ983085:RDT983088 RNM983085:RNP983088 RXI983085:RXL983088 SHE983085:SHH983088 SRA983085:SRD983088 TAW983085:TAZ983088 TKS983085:TKV983088 TUO983085:TUR983088 UEK983085:UEN983088 UOG983085:UOJ983088 UYC983085:UYF983088 VHY983085:VIB983088 VRU983085:VRX983088 WBQ983085:WBT983088 WLM983085:WLP983088 WVI983085:WVL983088 AP65575:AS65575 IR65575:IU65575 SN65575:SQ65575 ACJ65575:ACM65575 AMF65575:AMI65575 AWB65575:AWE65575 BFX65575:BGA65575 BPT65575:BPW65575 BZP65575:BZS65575 CJL65575:CJO65575 CTH65575:CTK65575 DDD65575:DDG65575 DMZ65575:DNC65575 DWV65575:DWY65575 EGR65575:EGU65575 EQN65575:EQQ65575 FAJ65575:FAM65575 FKF65575:FKI65575 FUB65575:FUE65575 GDX65575:GEA65575 GNT65575:GNW65575 GXP65575:GXS65575 HHL65575:HHO65575 HRH65575:HRK65575 IBD65575:IBG65575 IKZ65575:ILC65575 IUV65575:IUY65575 JER65575:JEU65575 JON65575:JOQ65575 JYJ65575:JYM65575 KIF65575:KII65575 KSB65575:KSE65575 LBX65575:LCA65575 LLT65575:LLW65575 LVP65575:LVS65575 MFL65575:MFO65575 MPH65575:MPK65575 MZD65575:MZG65575 NIZ65575:NJC65575 NSV65575:NSY65575 OCR65575:OCU65575 OMN65575:OMQ65575 OWJ65575:OWM65575 PGF65575:PGI65575 PQB65575:PQE65575 PZX65575:QAA65575 QJT65575:QJW65575 QTP65575:QTS65575 RDL65575:RDO65575 RNH65575:RNK65575 RXD65575:RXG65575 SGZ65575:SHC65575 SQV65575:SQY65575 TAR65575:TAU65575 TKN65575:TKQ65575 TUJ65575:TUM65575 UEF65575:UEI65575 UOB65575:UOE65575 UXX65575:UYA65575 VHT65575:VHW65575 VRP65575:VRS65575 WBL65575:WBO65575 WLH65575:WLK65575 WVD65575:WVG65575 AP131111:AS131111 IR131111:IU131111 SN131111:SQ131111 ACJ131111:ACM131111 AMF131111:AMI131111 AWB131111:AWE131111 BFX131111:BGA131111 BPT131111:BPW131111 BZP131111:BZS131111 CJL131111:CJO131111 CTH131111:CTK131111 DDD131111:DDG131111 DMZ131111:DNC131111 DWV131111:DWY131111 EGR131111:EGU131111 EQN131111:EQQ131111 FAJ131111:FAM131111 FKF131111:FKI131111 FUB131111:FUE131111 GDX131111:GEA131111 GNT131111:GNW131111 GXP131111:GXS131111 HHL131111:HHO131111 HRH131111:HRK131111 IBD131111:IBG131111 IKZ131111:ILC131111 IUV131111:IUY131111 JER131111:JEU131111 JON131111:JOQ131111 JYJ131111:JYM131111 KIF131111:KII131111 KSB131111:KSE131111 LBX131111:LCA131111 LLT131111:LLW131111 LVP131111:LVS131111 MFL131111:MFO131111 MPH131111:MPK131111 MZD131111:MZG131111 NIZ131111:NJC131111 NSV131111:NSY131111 OCR131111:OCU131111 OMN131111:OMQ131111 OWJ131111:OWM131111 PGF131111:PGI131111 PQB131111:PQE131111 PZX131111:QAA131111 QJT131111:QJW131111 QTP131111:QTS131111 RDL131111:RDO131111 RNH131111:RNK131111 RXD131111:RXG131111 SGZ131111:SHC131111 SQV131111:SQY131111 TAR131111:TAU131111 TKN131111:TKQ131111 TUJ131111:TUM131111 UEF131111:UEI131111 UOB131111:UOE131111 UXX131111:UYA131111 VHT131111:VHW131111 VRP131111:VRS131111 WBL131111:WBO131111 WLH131111:WLK131111 WVD131111:WVG131111 AP196647:AS196647 IR196647:IU196647 SN196647:SQ196647 ACJ196647:ACM196647 AMF196647:AMI196647 AWB196647:AWE196647 BFX196647:BGA196647 BPT196647:BPW196647 BZP196647:BZS196647 CJL196647:CJO196647 CTH196647:CTK196647 DDD196647:DDG196647 DMZ196647:DNC196647 DWV196647:DWY196647 EGR196647:EGU196647 EQN196647:EQQ196647 FAJ196647:FAM196647 FKF196647:FKI196647 FUB196647:FUE196647 GDX196647:GEA196647 GNT196647:GNW196647 GXP196647:GXS196647 HHL196647:HHO196647 HRH196647:HRK196647 IBD196647:IBG196647 IKZ196647:ILC196647 IUV196647:IUY196647 JER196647:JEU196647 JON196647:JOQ196647 JYJ196647:JYM196647 KIF196647:KII196647 KSB196647:KSE196647 LBX196647:LCA196647 LLT196647:LLW196647 LVP196647:LVS196647 MFL196647:MFO196647 MPH196647:MPK196647 MZD196647:MZG196647 NIZ196647:NJC196647 NSV196647:NSY196647 OCR196647:OCU196647 OMN196647:OMQ196647 OWJ196647:OWM196647 PGF196647:PGI196647 PQB196647:PQE196647 PZX196647:QAA196647 QJT196647:QJW196647 QTP196647:QTS196647 RDL196647:RDO196647 RNH196647:RNK196647 RXD196647:RXG196647 SGZ196647:SHC196647 SQV196647:SQY196647 TAR196647:TAU196647 TKN196647:TKQ196647 TUJ196647:TUM196647 UEF196647:UEI196647 UOB196647:UOE196647 UXX196647:UYA196647 VHT196647:VHW196647 VRP196647:VRS196647 WBL196647:WBO196647 WLH196647:WLK196647 WVD196647:WVG196647 AP262183:AS262183 IR262183:IU262183 SN262183:SQ262183 ACJ262183:ACM262183 AMF262183:AMI262183 AWB262183:AWE262183 BFX262183:BGA262183 BPT262183:BPW262183 BZP262183:BZS262183 CJL262183:CJO262183 CTH262183:CTK262183 DDD262183:DDG262183 DMZ262183:DNC262183 DWV262183:DWY262183 EGR262183:EGU262183 EQN262183:EQQ262183 FAJ262183:FAM262183 FKF262183:FKI262183 FUB262183:FUE262183 GDX262183:GEA262183 GNT262183:GNW262183 GXP262183:GXS262183 HHL262183:HHO262183 HRH262183:HRK262183 IBD262183:IBG262183 IKZ262183:ILC262183 IUV262183:IUY262183 JER262183:JEU262183 JON262183:JOQ262183 JYJ262183:JYM262183 KIF262183:KII262183 KSB262183:KSE262183 LBX262183:LCA262183 LLT262183:LLW262183 LVP262183:LVS262183 MFL262183:MFO262183 MPH262183:MPK262183 MZD262183:MZG262183 NIZ262183:NJC262183 NSV262183:NSY262183 OCR262183:OCU262183 OMN262183:OMQ262183 OWJ262183:OWM262183 PGF262183:PGI262183 PQB262183:PQE262183 PZX262183:QAA262183 QJT262183:QJW262183 QTP262183:QTS262183 RDL262183:RDO262183 RNH262183:RNK262183 RXD262183:RXG262183 SGZ262183:SHC262183 SQV262183:SQY262183 TAR262183:TAU262183 TKN262183:TKQ262183 TUJ262183:TUM262183 UEF262183:UEI262183 UOB262183:UOE262183 UXX262183:UYA262183 VHT262183:VHW262183 VRP262183:VRS262183 WBL262183:WBO262183 WLH262183:WLK262183 WVD262183:WVG262183 AP327719:AS327719 IR327719:IU327719 SN327719:SQ327719 ACJ327719:ACM327719 AMF327719:AMI327719 AWB327719:AWE327719 BFX327719:BGA327719 BPT327719:BPW327719 BZP327719:BZS327719 CJL327719:CJO327719 CTH327719:CTK327719 DDD327719:DDG327719 DMZ327719:DNC327719 DWV327719:DWY327719 EGR327719:EGU327719 EQN327719:EQQ327719 FAJ327719:FAM327719 FKF327719:FKI327719 FUB327719:FUE327719 GDX327719:GEA327719 GNT327719:GNW327719 GXP327719:GXS327719 HHL327719:HHO327719 HRH327719:HRK327719 IBD327719:IBG327719 IKZ327719:ILC327719 IUV327719:IUY327719 JER327719:JEU327719 JON327719:JOQ327719 JYJ327719:JYM327719 KIF327719:KII327719 KSB327719:KSE327719 LBX327719:LCA327719 LLT327719:LLW327719 LVP327719:LVS327719 MFL327719:MFO327719 MPH327719:MPK327719 MZD327719:MZG327719 NIZ327719:NJC327719 NSV327719:NSY327719 OCR327719:OCU327719 OMN327719:OMQ327719 OWJ327719:OWM327719 PGF327719:PGI327719 PQB327719:PQE327719 PZX327719:QAA327719 QJT327719:QJW327719 QTP327719:QTS327719 RDL327719:RDO327719 RNH327719:RNK327719 RXD327719:RXG327719 SGZ327719:SHC327719 SQV327719:SQY327719 TAR327719:TAU327719 TKN327719:TKQ327719 TUJ327719:TUM327719 UEF327719:UEI327719 UOB327719:UOE327719 UXX327719:UYA327719 VHT327719:VHW327719 VRP327719:VRS327719 WBL327719:WBO327719 WLH327719:WLK327719 WVD327719:WVG327719 AP393255:AS393255 IR393255:IU393255 SN393255:SQ393255 ACJ393255:ACM393255 AMF393255:AMI393255 AWB393255:AWE393255 BFX393255:BGA393255 BPT393255:BPW393255 BZP393255:BZS393255 CJL393255:CJO393255 CTH393255:CTK393255 DDD393255:DDG393255 DMZ393255:DNC393255 DWV393255:DWY393255 EGR393255:EGU393255 EQN393255:EQQ393255 FAJ393255:FAM393255 FKF393255:FKI393255 FUB393255:FUE393255 GDX393255:GEA393255 GNT393255:GNW393255 GXP393255:GXS393255 HHL393255:HHO393255 HRH393255:HRK393255 IBD393255:IBG393255 IKZ393255:ILC393255 IUV393255:IUY393255 JER393255:JEU393255 JON393255:JOQ393255 JYJ393255:JYM393255 KIF393255:KII393255 KSB393255:KSE393255 LBX393255:LCA393255 LLT393255:LLW393255 LVP393255:LVS393255 MFL393255:MFO393255 MPH393255:MPK393255 MZD393255:MZG393255 NIZ393255:NJC393255 NSV393255:NSY393255 OCR393255:OCU393255 OMN393255:OMQ393255 OWJ393255:OWM393255 PGF393255:PGI393255 PQB393255:PQE393255 PZX393255:QAA393255 QJT393255:QJW393255 QTP393255:QTS393255 RDL393255:RDO393255 RNH393255:RNK393255 RXD393255:RXG393255 SGZ393255:SHC393255 SQV393255:SQY393255 TAR393255:TAU393255 TKN393255:TKQ393255 TUJ393255:TUM393255 UEF393255:UEI393255 UOB393255:UOE393255 UXX393255:UYA393255 VHT393255:VHW393255 VRP393255:VRS393255 WBL393255:WBO393255 WLH393255:WLK393255 WVD393255:WVG393255 AP458791:AS458791 IR458791:IU458791 SN458791:SQ458791 ACJ458791:ACM458791 AMF458791:AMI458791 AWB458791:AWE458791 BFX458791:BGA458791 BPT458791:BPW458791 BZP458791:BZS458791 CJL458791:CJO458791 CTH458791:CTK458791 DDD458791:DDG458791 DMZ458791:DNC458791 DWV458791:DWY458791 EGR458791:EGU458791 EQN458791:EQQ458791 FAJ458791:FAM458791 FKF458791:FKI458791 FUB458791:FUE458791 GDX458791:GEA458791 GNT458791:GNW458791 GXP458791:GXS458791 HHL458791:HHO458791 HRH458791:HRK458791 IBD458791:IBG458791 IKZ458791:ILC458791 IUV458791:IUY458791 JER458791:JEU458791 JON458791:JOQ458791 JYJ458791:JYM458791 KIF458791:KII458791 KSB458791:KSE458791 LBX458791:LCA458791 LLT458791:LLW458791 LVP458791:LVS458791 MFL458791:MFO458791 MPH458791:MPK458791 MZD458791:MZG458791 NIZ458791:NJC458791 NSV458791:NSY458791 OCR458791:OCU458791 OMN458791:OMQ458791 OWJ458791:OWM458791 PGF458791:PGI458791 PQB458791:PQE458791 PZX458791:QAA458791 QJT458791:QJW458791 QTP458791:QTS458791 RDL458791:RDO458791 RNH458791:RNK458791 RXD458791:RXG458791 SGZ458791:SHC458791 SQV458791:SQY458791 TAR458791:TAU458791 TKN458791:TKQ458791 TUJ458791:TUM458791 UEF458791:UEI458791 UOB458791:UOE458791 UXX458791:UYA458791 VHT458791:VHW458791 VRP458791:VRS458791 WBL458791:WBO458791 WLH458791:WLK458791 WVD458791:WVG458791 AP524327:AS524327 IR524327:IU524327 SN524327:SQ524327 ACJ524327:ACM524327 AMF524327:AMI524327 AWB524327:AWE524327 BFX524327:BGA524327 BPT524327:BPW524327 BZP524327:BZS524327 CJL524327:CJO524327 CTH524327:CTK524327 DDD524327:DDG524327 DMZ524327:DNC524327 DWV524327:DWY524327 EGR524327:EGU524327 EQN524327:EQQ524327 FAJ524327:FAM524327 FKF524327:FKI524327 FUB524327:FUE524327 GDX524327:GEA524327 GNT524327:GNW524327 GXP524327:GXS524327 HHL524327:HHO524327 HRH524327:HRK524327 IBD524327:IBG524327 IKZ524327:ILC524327 IUV524327:IUY524327 JER524327:JEU524327 JON524327:JOQ524327 JYJ524327:JYM524327 KIF524327:KII524327 KSB524327:KSE524327 LBX524327:LCA524327 LLT524327:LLW524327 LVP524327:LVS524327 MFL524327:MFO524327 MPH524327:MPK524327 MZD524327:MZG524327 NIZ524327:NJC524327 NSV524327:NSY524327 OCR524327:OCU524327 OMN524327:OMQ524327 OWJ524327:OWM524327 PGF524327:PGI524327 PQB524327:PQE524327 PZX524327:QAA524327 QJT524327:QJW524327 QTP524327:QTS524327 RDL524327:RDO524327 RNH524327:RNK524327 RXD524327:RXG524327 SGZ524327:SHC524327 SQV524327:SQY524327 TAR524327:TAU524327 TKN524327:TKQ524327 TUJ524327:TUM524327 UEF524327:UEI524327 UOB524327:UOE524327 UXX524327:UYA524327 VHT524327:VHW524327 VRP524327:VRS524327 WBL524327:WBO524327 WLH524327:WLK524327 WVD524327:WVG524327 AP589863:AS589863 IR589863:IU589863 SN589863:SQ589863 ACJ589863:ACM589863 AMF589863:AMI589863 AWB589863:AWE589863 BFX589863:BGA589863 BPT589863:BPW589863 BZP589863:BZS589863 CJL589863:CJO589863 CTH589863:CTK589863 DDD589863:DDG589863 DMZ589863:DNC589863 DWV589863:DWY589863 EGR589863:EGU589863 EQN589863:EQQ589863 FAJ589863:FAM589863 FKF589863:FKI589863 FUB589863:FUE589863 GDX589863:GEA589863 GNT589863:GNW589863 GXP589863:GXS589863 HHL589863:HHO589863 HRH589863:HRK589863 IBD589863:IBG589863 IKZ589863:ILC589863 IUV589863:IUY589863 JER589863:JEU589863 JON589863:JOQ589863 JYJ589863:JYM589863 KIF589863:KII589863 KSB589863:KSE589863 LBX589863:LCA589863 LLT589863:LLW589863 LVP589863:LVS589863 MFL589863:MFO589863 MPH589863:MPK589863 MZD589863:MZG589863 NIZ589863:NJC589863 NSV589863:NSY589863 OCR589863:OCU589863 OMN589863:OMQ589863 OWJ589863:OWM589863 PGF589863:PGI589863 PQB589863:PQE589863 PZX589863:QAA589863 QJT589863:QJW589863 QTP589863:QTS589863 RDL589863:RDO589863 RNH589863:RNK589863 RXD589863:RXG589863 SGZ589863:SHC589863 SQV589863:SQY589863 TAR589863:TAU589863 TKN589863:TKQ589863 TUJ589863:TUM589863 UEF589863:UEI589863 UOB589863:UOE589863 UXX589863:UYA589863 VHT589863:VHW589863 VRP589863:VRS589863 WBL589863:WBO589863 WLH589863:WLK589863 WVD589863:WVG589863 AP655399:AS655399 IR655399:IU655399 SN655399:SQ655399 ACJ655399:ACM655399 AMF655399:AMI655399 AWB655399:AWE655399 BFX655399:BGA655399 BPT655399:BPW655399 BZP655399:BZS655399 CJL655399:CJO655399 CTH655399:CTK655399 DDD655399:DDG655399 DMZ655399:DNC655399 DWV655399:DWY655399 EGR655399:EGU655399 EQN655399:EQQ655399 FAJ655399:FAM655399 FKF655399:FKI655399 FUB655399:FUE655399 GDX655399:GEA655399 GNT655399:GNW655399 GXP655399:GXS655399 HHL655399:HHO655399 HRH655399:HRK655399 IBD655399:IBG655399 IKZ655399:ILC655399 IUV655399:IUY655399 JER655399:JEU655399 JON655399:JOQ655399 JYJ655399:JYM655399 KIF655399:KII655399 KSB655399:KSE655399 LBX655399:LCA655399 LLT655399:LLW655399 LVP655399:LVS655399 MFL655399:MFO655399 MPH655399:MPK655399 MZD655399:MZG655399 NIZ655399:NJC655399 NSV655399:NSY655399 OCR655399:OCU655399 OMN655399:OMQ655399 OWJ655399:OWM655399 PGF655399:PGI655399 PQB655399:PQE655399 PZX655399:QAA655399 QJT655399:QJW655399 QTP655399:QTS655399 RDL655399:RDO655399 RNH655399:RNK655399 RXD655399:RXG655399 SGZ655399:SHC655399 SQV655399:SQY655399 TAR655399:TAU655399 TKN655399:TKQ655399 TUJ655399:TUM655399 UEF655399:UEI655399 UOB655399:UOE655399 UXX655399:UYA655399 VHT655399:VHW655399 VRP655399:VRS655399 WBL655399:WBO655399 WLH655399:WLK655399 WVD655399:WVG655399 AP720935:AS720935 IR720935:IU720935 SN720935:SQ720935 ACJ720935:ACM720935 AMF720935:AMI720935 AWB720935:AWE720935 BFX720935:BGA720935 BPT720935:BPW720935 BZP720935:BZS720935 CJL720935:CJO720935 CTH720935:CTK720935 DDD720935:DDG720935 DMZ720935:DNC720935 DWV720935:DWY720935 EGR720935:EGU720935 EQN720935:EQQ720935 FAJ720935:FAM720935 FKF720935:FKI720935 FUB720935:FUE720935 GDX720935:GEA720935 GNT720935:GNW720935 GXP720935:GXS720935 HHL720935:HHO720935 HRH720935:HRK720935 IBD720935:IBG720935 IKZ720935:ILC720935 IUV720935:IUY720935 JER720935:JEU720935 JON720935:JOQ720935 JYJ720935:JYM720935 KIF720935:KII720935 KSB720935:KSE720935 LBX720935:LCA720935 LLT720935:LLW720935 LVP720935:LVS720935 MFL720935:MFO720935 MPH720935:MPK720935 MZD720935:MZG720935 NIZ720935:NJC720935 NSV720935:NSY720935 OCR720935:OCU720935 OMN720935:OMQ720935 OWJ720935:OWM720935 PGF720935:PGI720935 PQB720935:PQE720935 PZX720935:QAA720935 QJT720935:QJW720935 QTP720935:QTS720935 RDL720935:RDO720935 RNH720935:RNK720935 RXD720935:RXG720935 SGZ720935:SHC720935 SQV720935:SQY720935 TAR720935:TAU720935 TKN720935:TKQ720935 TUJ720935:TUM720935 UEF720935:UEI720935 UOB720935:UOE720935 UXX720935:UYA720935 VHT720935:VHW720935 VRP720935:VRS720935 WBL720935:WBO720935 WLH720935:WLK720935 WVD720935:WVG720935 AP786471:AS786471 IR786471:IU786471 SN786471:SQ786471 ACJ786471:ACM786471 AMF786471:AMI786471 AWB786471:AWE786471 BFX786471:BGA786471 BPT786471:BPW786471 BZP786471:BZS786471 CJL786471:CJO786471 CTH786471:CTK786471 DDD786471:DDG786471 DMZ786471:DNC786471 DWV786471:DWY786471 EGR786471:EGU786471 EQN786471:EQQ786471 FAJ786471:FAM786471 FKF786471:FKI786471 FUB786471:FUE786471 GDX786471:GEA786471 GNT786471:GNW786471 GXP786471:GXS786471 HHL786471:HHO786471 HRH786471:HRK786471 IBD786471:IBG786471 IKZ786471:ILC786471 IUV786471:IUY786471 JER786471:JEU786471 JON786471:JOQ786471 JYJ786471:JYM786471 KIF786471:KII786471 KSB786471:KSE786471 LBX786471:LCA786471 LLT786471:LLW786471 LVP786471:LVS786471 MFL786471:MFO786471 MPH786471:MPK786471 MZD786471:MZG786471 NIZ786471:NJC786471 NSV786471:NSY786471 OCR786471:OCU786471 OMN786471:OMQ786471 OWJ786471:OWM786471 PGF786471:PGI786471 PQB786471:PQE786471 PZX786471:QAA786471 QJT786471:QJW786471 QTP786471:QTS786471 RDL786471:RDO786471 RNH786471:RNK786471 RXD786471:RXG786471 SGZ786471:SHC786471 SQV786471:SQY786471 TAR786471:TAU786471 TKN786471:TKQ786471 TUJ786471:TUM786471 UEF786471:UEI786471 UOB786471:UOE786471 UXX786471:UYA786471 VHT786471:VHW786471 VRP786471:VRS786471 WBL786471:WBO786471 WLH786471:WLK786471 WVD786471:WVG786471 AP852007:AS852007 IR852007:IU852007 SN852007:SQ852007 ACJ852007:ACM852007 AMF852007:AMI852007 AWB852007:AWE852007 BFX852007:BGA852007 BPT852007:BPW852007 BZP852007:BZS852007 CJL852007:CJO852007 CTH852007:CTK852007 DDD852007:DDG852007 DMZ852007:DNC852007 DWV852007:DWY852007 EGR852007:EGU852007 EQN852007:EQQ852007 FAJ852007:FAM852007 FKF852007:FKI852007 FUB852007:FUE852007 GDX852007:GEA852007 GNT852007:GNW852007 GXP852007:GXS852007 HHL852007:HHO852007 HRH852007:HRK852007 IBD852007:IBG852007 IKZ852007:ILC852007 IUV852007:IUY852007 JER852007:JEU852007 JON852007:JOQ852007 JYJ852007:JYM852007 KIF852007:KII852007 KSB852007:KSE852007 LBX852007:LCA852007 LLT852007:LLW852007 LVP852007:LVS852007 MFL852007:MFO852007 MPH852007:MPK852007 MZD852007:MZG852007 NIZ852007:NJC852007 NSV852007:NSY852007 OCR852007:OCU852007 OMN852007:OMQ852007 OWJ852007:OWM852007 PGF852007:PGI852007 PQB852007:PQE852007 PZX852007:QAA852007 QJT852007:QJW852007 QTP852007:QTS852007 RDL852007:RDO852007 RNH852007:RNK852007 RXD852007:RXG852007 SGZ852007:SHC852007 SQV852007:SQY852007 TAR852007:TAU852007 TKN852007:TKQ852007 TUJ852007:TUM852007 UEF852007:UEI852007 UOB852007:UOE852007 UXX852007:UYA852007 VHT852007:VHW852007 VRP852007:VRS852007 WBL852007:WBO852007 WLH852007:WLK852007 WVD852007:WVG852007 AP917543:AS917543 IR917543:IU917543 SN917543:SQ917543 ACJ917543:ACM917543 AMF917543:AMI917543 AWB917543:AWE917543 BFX917543:BGA917543 BPT917543:BPW917543 BZP917543:BZS917543 CJL917543:CJO917543 CTH917543:CTK917543 DDD917543:DDG917543 DMZ917543:DNC917543 DWV917543:DWY917543 EGR917543:EGU917543 EQN917543:EQQ917543 FAJ917543:FAM917543 FKF917543:FKI917543 FUB917543:FUE917543 GDX917543:GEA917543 GNT917543:GNW917543 GXP917543:GXS917543 HHL917543:HHO917543 HRH917543:HRK917543 IBD917543:IBG917543 IKZ917543:ILC917543 IUV917543:IUY917543 JER917543:JEU917543 JON917543:JOQ917543 JYJ917543:JYM917543 KIF917543:KII917543 KSB917543:KSE917543 LBX917543:LCA917543 LLT917543:LLW917543 LVP917543:LVS917543 MFL917543:MFO917543 MPH917543:MPK917543 MZD917543:MZG917543 NIZ917543:NJC917543 NSV917543:NSY917543 OCR917543:OCU917543 OMN917543:OMQ917543 OWJ917543:OWM917543 PGF917543:PGI917543 PQB917543:PQE917543 PZX917543:QAA917543 QJT917543:QJW917543 QTP917543:QTS917543 RDL917543:RDO917543 RNH917543:RNK917543 RXD917543:RXG917543 SGZ917543:SHC917543 SQV917543:SQY917543 TAR917543:TAU917543 TKN917543:TKQ917543 TUJ917543:TUM917543 UEF917543:UEI917543 UOB917543:UOE917543 UXX917543:UYA917543 VHT917543:VHW917543 VRP917543:VRS917543 WBL917543:WBO917543 WLH917543:WLK917543 WVD917543:WVG917543 AP983079:AS983079 IR983079:IU983079 SN983079:SQ983079 ACJ983079:ACM983079 AMF983079:AMI983079 AWB983079:AWE983079 BFX983079:BGA983079 BPT983079:BPW983079 BZP983079:BZS983079 CJL983079:CJO983079 CTH983079:CTK983079 DDD983079:DDG983079 DMZ983079:DNC983079 DWV983079:DWY983079 EGR983079:EGU983079 EQN983079:EQQ983079 FAJ983079:FAM983079 FKF983079:FKI983079 FUB983079:FUE983079 GDX983079:GEA983079 GNT983079:GNW983079 GXP983079:GXS983079 HHL983079:HHO983079 HRH983079:HRK983079 IBD983079:IBG983079 IKZ983079:ILC983079 IUV983079:IUY983079 JER983079:JEU983079 JON983079:JOQ983079 JYJ983079:JYM983079 KIF983079:KII983079 KSB983079:KSE983079 LBX983079:LCA983079 LLT983079:LLW983079 LVP983079:LVS983079 MFL983079:MFO983079 MPH983079:MPK983079 MZD983079:MZG983079 NIZ983079:NJC983079 NSV983079:NSY983079 OCR983079:OCU983079 OMN983079:OMQ983079 OWJ983079:OWM983079 PGF983079:PGI983079 PQB983079:PQE983079 PZX983079:QAA983079 QJT983079:QJW983079 QTP983079:QTS983079 RDL983079:RDO983079 RNH983079:RNK983079 RXD983079:RXG983079 SGZ983079:SHC983079 SQV983079:SQY983079 TAR983079:TAU983079 TKN983079:TKQ983079 TUJ983079:TUM983079 UEF983079:UEI983079 UOB983079:UOE983079 UXX983079:UYA983079 VHT983079:VHW983079 VRP983079:VRS983079 WBL983079:WBO983079 WLH983079:WLK983079 WVD983079:WVG983079 AK983078:AN983078 IM983078:IP983078 SI983078:SL983078 ACE983078:ACH983078 AMA983078:AMD983078 AVW983078:AVZ983078 BFS983078:BFV983078 BPO983078:BPR983078 BZK983078:BZN983078 CJG983078:CJJ983078 CTC983078:CTF983078 DCY983078:DDB983078 DMU983078:DMX983078 DWQ983078:DWT983078 EGM983078:EGP983078 EQI983078:EQL983078 FAE983078:FAH983078 FKA983078:FKD983078 FTW983078:FTZ983078 GDS983078:GDV983078 GNO983078:GNR983078 GXK983078:GXN983078 HHG983078:HHJ983078 HRC983078:HRF983078 IAY983078:IBB983078 IKU983078:IKX983078 IUQ983078:IUT983078 JEM983078:JEP983078 JOI983078:JOL983078 JYE983078:JYH983078 KIA983078:KID983078 KRW983078:KRZ983078 LBS983078:LBV983078 LLO983078:LLR983078 LVK983078:LVN983078 MFG983078:MFJ983078 MPC983078:MPF983078 MYY983078:MZB983078 NIU983078:NIX983078 NSQ983078:NST983078 OCM983078:OCP983078 OMI983078:OML983078 OWE983078:OWH983078 PGA983078:PGD983078 PPW983078:PPZ983078 PZS983078:PZV983078 QJO983078:QJR983078 QTK983078:QTN983078 RDG983078:RDJ983078 RNC983078:RNF983078 RWY983078:RXB983078 SGU983078:SGX983078 SQQ983078:SQT983078 TAM983078:TAP983078 TKI983078:TKL983078 TUE983078:TUH983078 UEA983078:UED983078 UNW983078:UNZ983078 UXS983078:UXV983078 VHO983078:VHR983078 VRK983078:VRN983078 WBG983078:WBJ983078 WLC983078:WLF983078 WUY983078:WVB983078 AK65574:AN65574 IM65574:IP65574 SI65574:SL65574 ACE65574:ACH65574 AMA65574:AMD65574 AVW65574:AVZ65574 BFS65574:BFV65574 BPO65574:BPR65574 BZK65574:BZN65574 CJG65574:CJJ65574 CTC65574:CTF65574 DCY65574:DDB65574 DMU65574:DMX65574 DWQ65574:DWT65574 EGM65574:EGP65574 EQI65574:EQL65574 FAE65574:FAH65574 FKA65574:FKD65574 FTW65574:FTZ65574 GDS65574:GDV65574 GNO65574:GNR65574 GXK65574:GXN65574 HHG65574:HHJ65574 HRC65574:HRF65574 IAY65574:IBB65574 IKU65574:IKX65574 IUQ65574:IUT65574 JEM65574:JEP65574 JOI65574:JOL65574 JYE65574:JYH65574 KIA65574:KID65574 KRW65574:KRZ65574 LBS65574:LBV65574 LLO65574:LLR65574 LVK65574:LVN65574 MFG65574:MFJ65574 MPC65574:MPF65574 MYY65574:MZB65574 NIU65574:NIX65574 NSQ65574:NST65574 OCM65574:OCP65574 OMI65574:OML65574 OWE65574:OWH65574 PGA65574:PGD65574 PPW65574:PPZ65574 PZS65574:PZV65574 QJO65574:QJR65574 QTK65574:QTN65574 RDG65574:RDJ65574 RNC65574:RNF65574 RWY65574:RXB65574 SGU65574:SGX65574 SQQ65574:SQT65574 TAM65574:TAP65574 TKI65574:TKL65574 TUE65574:TUH65574 UEA65574:UED65574 UNW65574:UNZ65574 UXS65574:UXV65574 VHO65574:VHR65574 VRK65574:VRN65574 WBG65574:WBJ65574 WLC65574:WLF65574 WUY65574:WVB65574 AK131110:AN131110 IM131110:IP131110 SI131110:SL131110 ACE131110:ACH131110 AMA131110:AMD131110 AVW131110:AVZ131110 BFS131110:BFV131110 BPO131110:BPR131110 BZK131110:BZN131110 CJG131110:CJJ131110 CTC131110:CTF131110 DCY131110:DDB131110 DMU131110:DMX131110 DWQ131110:DWT131110 EGM131110:EGP131110 EQI131110:EQL131110 FAE131110:FAH131110 FKA131110:FKD131110 FTW131110:FTZ131110 GDS131110:GDV131110 GNO131110:GNR131110 GXK131110:GXN131110 HHG131110:HHJ131110 HRC131110:HRF131110 IAY131110:IBB131110 IKU131110:IKX131110 IUQ131110:IUT131110 JEM131110:JEP131110 JOI131110:JOL131110 JYE131110:JYH131110 KIA131110:KID131110 KRW131110:KRZ131110 LBS131110:LBV131110 LLO131110:LLR131110 LVK131110:LVN131110 MFG131110:MFJ131110 MPC131110:MPF131110 MYY131110:MZB131110 NIU131110:NIX131110 NSQ131110:NST131110 OCM131110:OCP131110 OMI131110:OML131110 OWE131110:OWH131110 PGA131110:PGD131110 PPW131110:PPZ131110 PZS131110:PZV131110 QJO131110:QJR131110 QTK131110:QTN131110 RDG131110:RDJ131110 RNC131110:RNF131110 RWY131110:RXB131110 SGU131110:SGX131110 SQQ131110:SQT131110 TAM131110:TAP131110 TKI131110:TKL131110 TUE131110:TUH131110 UEA131110:UED131110 UNW131110:UNZ131110 UXS131110:UXV131110 VHO131110:VHR131110 VRK131110:VRN131110 WBG131110:WBJ131110 WLC131110:WLF131110 WUY131110:WVB131110 AK196646:AN196646 IM196646:IP196646 SI196646:SL196646 ACE196646:ACH196646 AMA196646:AMD196646 AVW196646:AVZ196646 BFS196646:BFV196646 BPO196646:BPR196646 BZK196646:BZN196646 CJG196646:CJJ196646 CTC196646:CTF196646 DCY196646:DDB196646 DMU196646:DMX196646 DWQ196646:DWT196646 EGM196646:EGP196646 EQI196646:EQL196646 FAE196646:FAH196646 FKA196646:FKD196646 FTW196646:FTZ196646 GDS196646:GDV196646 GNO196646:GNR196646 GXK196646:GXN196646 HHG196646:HHJ196646 HRC196646:HRF196646 IAY196646:IBB196646 IKU196646:IKX196646 IUQ196646:IUT196646 JEM196646:JEP196646 JOI196646:JOL196646 JYE196646:JYH196646 KIA196646:KID196646 KRW196646:KRZ196646 LBS196646:LBV196646 LLO196646:LLR196646 LVK196646:LVN196646 MFG196646:MFJ196646 MPC196646:MPF196646 MYY196646:MZB196646 NIU196646:NIX196646 NSQ196646:NST196646 OCM196646:OCP196646 OMI196646:OML196646 OWE196646:OWH196646 PGA196646:PGD196646 PPW196646:PPZ196646 PZS196646:PZV196646 QJO196646:QJR196646 QTK196646:QTN196646 RDG196646:RDJ196646 RNC196646:RNF196646 RWY196646:RXB196646 SGU196646:SGX196646 SQQ196646:SQT196646 TAM196646:TAP196646 TKI196646:TKL196646 TUE196646:TUH196646 UEA196646:UED196646 UNW196646:UNZ196646 UXS196646:UXV196646 VHO196646:VHR196646 VRK196646:VRN196646 WBG196646:WBJ196646 WLC196646:WLF196646 WUY196646:WVB196646 AK262182:AN262182 IM262182:IP262182 SI262182:SL262182 ACE262182:ACH262182 AMA262182:AMD262182 AVW262182:AVZ262182 BFS262182:BFV262182 BPO262182:BPR262182 BZK262182:BZN262182 CJG262182:CJJ262182 CTC262182:CTF262182 DCY262182:DDB262182 DMU262182:DMX262182 DWQ262182:DWT262182 EGM262182:EGP262182 EQI262182:EQL262182 FAE262182:FAH262182 FKA262182:FKD262182 FTW262182:FTZ262182 GDS262182:GDV262182 GNO262182:GNR262182 GXK262182:GXN262182 HHG262182:HHJ262182 HRC262182:HRF262182 IAY262182:IBB262182 IKU262182:IKX262182 IUQ262182:IUT262182 JEM262182:JEP262182 JOI262182:JOL262182 JYE262182:JYH262182 KIA262182:KID262182 KRW262182:KRZ262182 LBS262182:LBV262182 LLO262182:LLR262182 LVK262182:LVN262182 MFG262182:MFJ262182 MPC262182:MPF262182 MYY262182:MZB262182 NIU262182:NIX262182 NSQ262182:NST262182 OCM262182:OCP262182 OMI262182:OML262182 OWE262182:OWH262182 PGA262182:PGD262182 PPW262182:PPZ262182 PZS262182:PZV262182 QJO262182:QJR262182 QTK262182:QTN262182 RDG262182:RDJ262182 RNC262182:RNF262182 RWY262182:RXB262182 SGU262182:SGX262182 SQQ262182:SQT262182 TAM262182:TAP262182 TKI262182:TKL262182 TUE262182:TUH262182 UEA262182:UED262182 UNW262182:UNZ262182 UXS262182:UXV262182 VHO262182:VHR262182 VRK262182:VRN262182 WBG262182:WBJ262182 WLC262182:WLF262182 WUY262182:WVB262182 AK327718:AN327718 IM327718:IP327718 SI327718:SL327718 ACE327718:ACH327718 AMA327718:AMD327718 AVW327718:AVZ327718 BFS327718:BFV327718 BPO327718:BPR327718 BZK327718:BZN327718 CJG327718:CJJ327718 CTC327718:CTF327718 DCY327718:DDB327718 DMU327718:DMX327718 DWQ327718:DWT327718 EGM327718:EGP327718 EQI327718:EQL327718 FAE327718:FAH327718 FKA327718:FKD327718 FTW327718:FTZ327718 GDS327718:GDV327718 GNO327718:GNR327718 GXK327718:GXN327718 HHG327718:HHJ327718 HRC327718:HRF327718 IAY327718:IBB327718 IKU327718:IKX327718 IUQ327718:IUT327718 JEM327718:JEP327718 JOI327718:JOL327718 JYE327718:JYH327718 KIA327718:KID327718 KRW327718:KRZ327718 LBS327718:LBV327718 LLO327718:LLR327718 LVK327718:LVN327718 MFG327718:MFJ327718 MPC327718:MPF327718 MYY327718:MZB327718 NIU327718:NIX327718 NSQ327718:NST327718 OCM327718:OCP327718 OMI327718:OML327718 OWE327718:OWH327718 PGA327718:PGD327718 PPW327718:PPZ327718 PZS327718:PZV327718 QJO327718:QJR327718 QTK327718:QTN327718 RDG327718:RDJ327718 RNC327718:RNF327718 RWY327718:RXB327718 SGU327718:SGX327718 SQQ327718:SQT327718 TAM327718:TAP327718 TKI327718:TKL327718 TUE327718:TUH327718 UEA327718:UED327718 UNW327718:UNZ327718 UXS327718:UXV327718 VHO327718:VHR327718 VRK327718:VRN327718 WBG327718:WBJ327718 WLC327718:WLF327718 WUY327718:WVB327718 AK393254:AN393254 IM393254:IP393254 SI393254:SL393254 ACE393254:ACH393254 AMA393254:AMD393254 AVW393254:AVZ393254 BFS393254:BFV393254 BPO393254:BPR393254 BZK393254:BZN393254 CJG393254:CJJ393254 CTC393254:CTF393254 DCY393254:DDB393254 DMU393254:DMX393254 DWQ393254:DWT393254 EGM393254:EGP393254 EQI393254:EQL393254 FAE393254:FAH393254 FKA393254:FKD393254 FTW393254:FTZ393254 GDS393254:GDV393254 GNO393254:GNR393254 GXK393254:GXN393254 HHG393254:HHJ393254 HRC393254:HRF393254 IAY393254:IBB393254 IKU393254:IKX393254 IUQ393254:IUT393254 JEM393254:JEP393254 JOI393254:JOL393254 JYE393254:JYH393254 KIA393254:KID393254 KRW393254:KRZ393254 LBS393254:LBV393254 LLO393254:LLR393254 LVK393254:LVN393254 MFG393254:MFJ393254 MPC393254:MPF393254 MYY393254:MZB393254 NIU393254:NIX393254 NSQ393254:NST393254 OCM393254:OCP393254 OMI393254:OML393254 OWE393254:OWH393254 PGA393254:PGD393254 PPW393254:PPZ393254 PZS393254:PZV393254 QJO393254:QJR393254 QTK393254:QTN393254 RDG393254:RDJ393254 RNC393254:RNF393254 RWY393254:RXB393254 SGU393254:SGX393254 SQQ393254:SQT393254 TAM393254:TAP393254 TKI393254:TKL393254 TUE393254:TUH393254 UEA393254:UED393254 UNW393254:UNZ393254 UXS393254:UXV393254 VHO393254:VHR393254 VRK393254:VRN393254 WBG393254:WBJ393254 WLC393254:WLF393254 WUY393254:WVB393254 AK458790:AN458790 IM458790:IP458790 SI458790:SL458790 ACE458790:ACH458790 AMA458790:AMD458790 AVW458790:AVZ458790 BFS458790:BFV458790 BPO458790:BPR458790 BZK458790:BZN458790 CJG458790:CJJ458790 CTC458790:CTF458790 DCY458790:DDB458790 DMU458790:DMX458790 DWQ458790:DWT458790 EGM458790:EGP458790 EQI458790:EQL458790 FAE458790:FAH458790 FKA458790:FKD458790 FTW458790:FTZ458790 GDS458790:GDV458790 GNO458790:GNR458790 GXK458790:GXN458790 HHG458790:HHJ458790 HRC458790:HRF458790 IAY458790:IBB458790 IKU458790:IKX458790 IUQ458790:IUT458790 JEM458790:JEP458790 JOI458790:JOL458790 JYE458790:JYH458790 KIA458790:KID458790 KRW458790:KRZ458790 LBS458790:LBV458790 LLO458790:LLR458790 LVK458790:LVN458790 MFG458790:MFJ458790 MPC458790:MPF458790 MYY458790:MZB458790 NIU458790:NIX458790 NSQ458790:NST458790 OCM458790:OCP458790 OMI458790:OML458790 OWE458790:OWH458790 PGA458790:PGD458790 PPW458790:PPZ458790 PZS458790:PZV458790 QJO458790:QJR458790 QTK458790:QTN458790 RDG458790:RDJ458790 RNC458790:RNF458790 RWY458790:RXB458790 SGU458790:SGX458790 SQQ458790:SQT458790 TAM458790:TAP458790 TKI458790:TKL458790 TUE458790:TUH458790 UEA458790:UED458790 UNW458790:UNZ458790 UXS458790:UXV458790 VHO458790:VHR458790 VRK458790:VRN458790 WBG458790:WBJ458790 WLC458790:WLF458790 WUY458790:WVB458790 AK524326:AN524326 IM524326:IP524326 SI524326:SL524326 ACE524326:ACH524326 AMA524326:AMD524326 AVW524326:AVZ524326 BFS524326:BFV524326 BPO524326:BPR524326 BZK524326:BZN524326 CJG524326:CJJ524326 CTC524326:CTF524326 DCY524326:DDB524326 DMU524326:DMX524326 DWQ524326:DWT524326 EGM524326:EGP524326 EQI524326:EQL524326 FAE524326:FAH524326 FKA524326:FKD524326 FTW524326:FTZ524326 GDS524326:GDV524326 GNO524326:GNR524326 GXK524326:GXN524326 HHG524326:HHJ524326 HRC524326:HRF524326 IAY524326:IBB524326 IKU524326:IKX524326 IUQ524326:IUT524326 JEM524326:JEP524326 JOI524326:JOL524326 JYE524326:JYH524326 KIA524326:KID524326 KRW524326:KRZ524326 LBS524326:LBV524326 LLO524326:LLR524326 LVK524326:LVN524326 MFG524326:MFJ524326 MPC524326:MPF524326 MYY524326:MZB524326 NIU524326:NIX524326 NSQ524326:NST524326 OCM524326:OCP524326 OMI524326:OML524326 OWE524326:OWH524326 PGA524326:PGD524326 PPW524326:PPZ524326 PZS524326:PZV524326 QJO524326:QJR524326 QTK524326:QTN524326 RDG524326:RDJ524326 RNC524326:RNF524326 RWY524326:RXB524326 SGU524326:SGX524326 SQQ524326:SQT524326 TAM524326:TAP524326 TKI524326:TKL524326 TUE524326:TUH524326 UEA524326:UED524326 UNW524326:UNZ524326 UXS524326:UXV524326 VHO524326:VHR524326 VRK524326:VRN524326 WBG524326:WBJ524326 WLC524326:WLF524326 WUY524326:WVB524326 AK589862:AN589862 IM589862:IP589862 SI589862:SL589862 ACE589862:ACH589862 AMA589862:AMD589862 AVW589862:AVZ589862 BFS589862:BFV589862 BPO589862:BPR589862 BZK589862:BZN589862 CJG589862:CJJ589862 CTC589862:CTF589862 DCY589862:DDB589862 DMU589862:DMX589862 DWQ589862:DWT589862 EGM589862:EGP589862 EQI589862:EQL589862 FAE589862:FAH589862 FKA589862:FKD589862 FTW589862:FTZ589862 GDS589862:GDV589862 GNO589862:GNR589862 GXK589862:GXN589862 HHG589862:HHJ589862 HRC589862:HRF589862 IAY589862:IBB589862 IKU589862:IKX589862 IUQ589862:IUT589862 JEM589862:JEP589862 JOI589862:JOL589862 JYE589862:JYH589862 KIA589862:KID589862 KRW589862:KRZ589862 LBS589862:LBV589862 LLO589862:LLR589862 LVK589862:LVN589862 MFG589862:MFJ589862 MPC589862:MPF589862 MYY589862:MZB589862 NIU589862:NIX589862 NSQ589862:NST589862 OCM589862:OCP589862 OMI589862:OML589862 OWE589862:OWH589862 PGA589862:PGD589862 PPW589862:PPZ589862 PZS589862:PZV589862 QJO589862:QJR589862 QTK589862:QTN589862 RDG589862:RDJ589862 RNC589862:RNF589862 RWY589862:RXB589862 SGU589862:SGX589862 SQQ589862:SQT589862 TAM589862:TAP589862 TKI589862:TKL589862 TUE589862:TUH589862 UEA589862:UED589862 UNW589862:UNZ589862 UXS589862:UXV589862 VHO589862:VHR589862 VRK589862:VRN589862 WBG589862:WBJ589862 WLC589862:WLF589862 WUY589862:WVB589862 AK655398:AN655398 IM655398:IP655398 SI655398:SL655398 ACE655398:ACH655398 AMA655398:AMD655398 AVW655398:AVZ655398 BFS655398:BFV655398 BPO655398:BPR655398 BZK655398:BZN655398 CJG655398:CJJ655398 CTC655398:CTF655398 DCY655398:DDB655398 DMU655398:DMX655398 DWQ655398:DWT655398 EGM655398:EGP655398 EQI655398:EQL655398 FAE655398:FAH655398 FKA655398:FKD655398 FTW655398:FTZ655398 GDS655398:GDV655398 GNO655398:GNR655398 GXK655398:GXN655398 HHG655398:HHJ655398 HRC655398:HRF655398 IAY655398:IBB655398 IKU655398:IKX655398 IUQ655398:IUT655398 JEM655398:JEP655398 JOI655398:JOL655398 JYE655398:JYH655398 KIA655398:KID655398 KRW655398:KRZ655398 LBS655398:LBV655398 LLO655398:LLR655398 LVK655398:LVN655398 MFG655398:MFJ655398 MPC655398:MPF655398 MYY655398:MZB655398 NIU655398:NIX655398 NSQ655398:NST655398 OCM655398:OCP655398 OMI655398:OML655398 OWE655398:OWH655398 PGA655398:PGD655398 PPW655398:PPZ655398 PZS655398:PZV655398 QJO655398:QJR655398 QTK655398:QTN655398 RDG655398:RDJ655398 RNC655398:RNF655398 RWY655398:RXB655398 SGU655398:SGX655398 SQQ655398:SQT655398 TAM655398:TAP655398 TKI655398:TKL655398 TUE655398:TUH655398 UEA655398:UED655398 UNW655398:UNZ655398 UXS655398:UXV655398 VHO655398:VHR655398 VRK655398:VRN655398 WBG655398:WBJ655398 WLC655398:WLF655398 WUY655398:WVB655398 AK720934:AN720934 IM720934:IP720934 SI720934:SL720934 ACE720934:ACH720934 AMA720934:AMD720934 AVW720934:AVZ720934 BFS720934:BFV720934 BPO720934:BPR720934 BZK720934:BZN720934 CJG720934:CJJ720934 CTC720934:CTF720934 DCY720934:DDB720934 DMU720934:DMX720934 DWQ720934:DWT720934 EGM720934:EGP720934 EQI720934:EQL720934 FAE720934:FAH720934 FKA720934:FKD720934 FTW720934:FTZ720934 GDS720934:GDV720934 GNO720934:GNR720934 GXK720934:GXN720934 HHG720934:HHJ720934 HRC720934:HRF720934 IAY720934:IBB720934 IKU720934:IKX720934 IUQ720934:IUT720934 JEM720934:JEP720934 JOI720934:JOL720934 JYE720934:JYH720934 KIA720934:KID720934 KRW720934:KRZ720934 LBS720934:LBV720934 LLO720934:LLR720934 LVK720934:LVN720934 MFG720934:MFJ720934 MPC720934:MPF720934 MYY720934:MZB720934 NIU720934:NIX720934 NSQ720934:NST720934 OCM720934:OCP720934 OMI720934:OML720934 OWE720934:OWH720934 PGA720934:PGD720934 PPW720934:PPZ720934 PZS720934:PZV720934 QJO720934:QJR720934 QTK720934:QTN720934 RDG720934:RDJ720934 RNC720934:RNF720934 RWY720934:RXB720934 SGU720934:SGX720934 SQQ720934:SQT720934 TAM720934:TAP720934 TKI720934:TKL720934 TUE720934:TUH720934 UEA720934:UED720934 UNW720934:UNZ720934 UXS720934:UXV720934 VHO720934:VHR720934 VRK720934:VRN720934 WBG720934:WBJ720934 WLC720934:WLF720934 WUY720934:WVB720934 AK786470:AN786470 IM786470:IP786470 SI786470:SL786470 ACE786470:ACH786470 AMA786470:AMD786470 AVW786470:AVZ786470 BFS786470:BFV786470 BPO786470:BPR786470 BZK786470:BZN786470 CJG786470:CJJ786470 CTC786470:CTF786470 DCY786470:DDB786470 DMU786470:DMX786470 DWQ786470:DWT786470 EGM786470:EGP786470 EQI786470:EQL786470 FAE786470:FAH786470 FKA786470:FKD786470 FTW786470:FTZ786470 GDS786470:GDV786470 GNO786470:GNR786470 GXK786470:GXN786470 HHG786470:HHJ786470 HRC786470:HRF786470 IAY786470:IBB786470 IKU786470:IKX786470 IUQ786470:IUT786470 JEM786470:JEP786470 JOI786470:JOL786470 JYE786470:JYH786470 KIA786470:KID786470 KRW786470:KRZ786470 LBS786470:LBV786470 LLO786470:LLR786470 LVK786470:LVN786470 MFG786470:MFJ786470 MPC786470:MPF786470 MYY786470:MZB786470 NIU786470:NIX786470 NSQ786470:NST786470 OCM786470:OCP786470 OMI786470:OML786470 OWE786470:OWH786470 PGA786470:PGD786470 PPW786470:PPZ786470 PZS786470:PZV786470 QJO786470:QJR786470 QTK786470:QTN786470 RDG786470:RDJ786470 RNC786470:RNF786470 RWY786470:RXB786470 SGU786470:SGX786470 SQQ786470:SQT786470 TAM786470:TAP786470 TKI786470:TKL786470 TUE786470:TUH786470 UEA786470:UED786470 UNW786470:UNZ786470 UXS786470:UXV786470 VHO786470:VHR786470 VRK786470:VRN786470 WBG786470:WBJ786470 WLC786470:WLF786470 WUY786470:WVB786470 AK852006:AN852006 IM852006:IP852006 SI852006:SL852006 ACE852006:ACH852006 AMA852006:AMD852006 AVW852006:AVZ852006 BFS852006:BFV852006 BPO852006:BPR852006 BZK852006:BZN852006 CJG852006:CJJ852006 CTC852006:CTF852006 DCY852006:DDB852006 DMU852006:DMX852006 DWQ852006:DWT852006 EGM852006:EGP852006 EQI852006:EQL852006 FAE852006:FAH852006 FKA852006:FKD852006 FTW852006:FTZ852006 GDS852006:GDV852006 GNO852006:GNR852006 GXK852006:GXN852006 HHG852006:HHJ852006 HRC852006:HRF852006 IAY852006:IBB852006 IKU852006:IKX852006 IUQ852006:IUT852006 JEM852006:JEP852006 JOI852006:JOL852006 JYE852006:JYH852006 KIA852006:KID852006 KRW852006:KRZ852006 LBS852006:LBV852006 LLO852006:LLR852006 LVK852006:LVN852006 MFG852006:MFJ852006 MPC852006:MPF852006 MYY852006:MZB852006 NIU852006:NIX852006 NSQ852006:NST852006 OCM852006:OCP852006 OMI852006:OML852006 OWE852006:OWH852006 PGA852006:PGD852006 PPW852006:PPZ852006 PZS852006:PZV852006 QJO852006:QJR852006 QTK852006:QTN852006 RDG852006:RDJ852006 RNC852006:RNF852006 RWY852006:RXB852006 SGU852006:SGX852006 SQQ852006:SQT852006 TAM852006:TAP852006 TKI852006:TKL852006 TUE852006:TUH852006 UEA852006:UED852006 UNW852006:UNZ852006 UXS852006:UXV852006 VHO852006:VHR852006 VRK852006:VRN852006 WBG852006:WBJ852006 WLC852006:WLF852006 WUY852006:WVB852006 AK917542:AN917542 IM917542:IP917542 SI917542:SL917542 ACE917542:ACH917542 AMA917542:AMD917542 AVW917542:AVZ917542 BFS917542:BFV917542 BPO917542:BPR917542 BZK917542:BZN917542 CJG917542:CJJ917542 CTC917542:CTF917542 DCY917542:DDB917542 DMU917542:DMX917542 DWQ917542:DWT917542 EGM917542:EGP917542 EQI917542:EQL917542 FAE917542:FAH917542 FKA917542:FKD917542 FTW917542:FTZ917542 GDS917542:GDV917542 GNO917542:GNR917542 GXK917542:GXN917542 HHG917542:HHJ917542 HRC917542:HRF917542 IAY917542:IBB917542 IKU917542:IKX917542 IUQ917542:IUT917542 JEM917542:JEP917542 JOI917542:JOL917542 JYE917542:JYH917542 KIA917542:KID917542 KRW917542:KRZ917542 LBS917542:LBV917542 LLO917542:LLR917542 LVK917542:LVN917542 MFG917542:MFJ917542 MPC917542:MPF917542 MYY917542:MZB917542 NIU917542:NIX917542 NSQ917542:NST917542 OCM917542:OCP917542 OMI917542:OML917542 OWE917542:OWH917542 PGA917542:PGD917542 PPW917542:PPZ917542 PZS917542:PZV917542 QJO917542:QJR917542 QTK917542:QTN917542 RDG917542:RDJ917542 RNC917542:RNF917542 RWY917542:RXB917542 SGU917542:SGX917542 SQQ917542:SQT917542 TAM917542:TAP917542 TKI917542:TKL917542 TUE917542:TUH917542 UEA917542:UED917542 UNW917542:UNZ917542 UXS917542:UXV917542 VHO917542:VHR917542 VRK917542:VRN917542 WBG917542:WBJ917542 WLC917542:WLF917542 WUY917542:WVB917542" xr:uid="{66B5B723-262E-47E0-A8D6-E9817CA62E30}">
      <formula1>"○"</formula1>
    </dataValidation>
    <dataValidation type="list" allowBlank="1" showInputMessage="1" showErrorMessage="1" sqref="AT65575:AW65575 IV65575:IY65575 SR65575:SU65575 ACN65575:ACQ65575 AMJ65575:AMM65575 AWF65575:AWI65575 BGB65575:BGE65575 BPX65575:BQA65575 BZT65575:BZW65575 CJP65575:CJS65575 CTL65575:CTO65575 DDH65575:DDK65575 DND65575:DNG65575 DWZ65575:DXC65575 EGV65575:EGY65575 EQR65575:EQU65575 FAN65575:FAQ65575 FKJ65575:FKM65575 FUF65575:FUI65575 GEB65575:GEE65575 GNX65575:GOA65575 GXT65575:GXW65575 HHP65575:HHS65575 HRL65575:HRO65575 IBH65575:IBK65575 ILD65575:ILG65575 IUZ65575:IVC65575 JEV65575:JEY65575 JOR65575:JOU65575 JYN65575:JYQ65575 KIJ65575:KIM65575 KSF65575:KSI65575 LCB65575:LCE65575 LLX65575:LMA65575 LVT65575:LVW65575 MFP65575:MFS65575 MPL65575:MPO65575 MZH65575:MZK65575 NJD65575:NJG65575 NSZ65575:NTC65575 OCV65575:OCY65575 OMR65575:OMU65575 OWN65575:OWQ65575 PGJ65575:PGM65575 PQF65575:PQI65575 QAB65575:QAE65575 QJX65575:QKA65575 QTT65575:QTW65575 RDP65575:RDS65575 RNL65575:RNO65575 RXH65575:RXK65575 SHD65575:SHG65575 SQZ65575:SRC65575 TAV65575:TAY65575 TKR65575:TKU65575 TUN65575:TUQ65575 UEJ65575:UEM65575 UOF65575:UOI65575 UYB65575:UYE65575 VHX65575:VIA65575 VRT65575:VRW65575 WBP65575:WBS65575 WLL65575:WLO65575 WVH65575:WVK65575 AT131111:AW131111 IV131111:IY131111 SR131111:SU131111 ACN131111:ACQ131111 AMJ131111:AMM131111 AWF131111:AWI131111 BGB131111:BGE131111 BPX131111:BQA131111 BZT131111:BZW131111 CJP131111:CJS131111 CTL131111:CTO131111 DDH131111:DDK131111 DND131111:DNG131111 DWZ131111:DXC131111 EGV131111:EGY131111 EQR131111:EQU131111 FAN131111:FAQ131111 FKJ131111:FKM131111 FUF131111:FUI131111 GEB131111:GEE131111 GNX131111:GOA131111 GXT131111:GXW131111 HHP131111:HHS131111 HRL131111:HRO131111 IBH131111:IBK131111 ILD131111:ILG131111 IUZ131111:IVC131111 JEV131111:JEY131111 JOR131111:JOU131111 JYN131111:JYQ131111 KIJ131111:KIM131111 KSF131111:KSI131111 LCB131111:LCE131111 LLX131111:LMA131111 LVT131111:LVW131111 MFP131111:MFS131111 MPL131111:MPO131111 MZH131111:MZK131111 NJD131111:NJG131111 NSZ131111:NTC131111 OCV131111:OCY131111 OMR131111:OMU131111 OWN131111:OWQ131111 PGJ131111:PGM131111 PQF131111:PQI131111 QAB131111:QAE131111 QJX131111:QKA131111 QTT131111:QTW131111 RDP131111:RDS131111 RNL131111:RNO131111 RXH131111:RXK131111 SHD131111:SHG131111 SQZ131111:SRC131111 TAV131111:TAY131111 TKR131111:TKU131111 TUN131111:TUQ131111 UEJ131111:UEM131111 UOF131111:UOI131111 UYB131111:UYE131111 VHX131111:VIA131111 VRT131111:VRW131111 WBP131111:WBS131111 WLL131111:WLO131111 WVH131111:WVK131111 AT196647:AW196647 IV196647:IY196647 SR196647:SU196647 ACN196647:ACQ196647 AMJ196647:AMM196647 AWF196647:AWI196647 BGB196647:BGE196647 BPX196647:BQA196647 BZT196647:BZW196647 CJP196647:CJS196647 CTL196647:CTO196647 DDH196647:DDK196647 DND196647:DNG196647 DWZ196647:DXC196647 EGV196647:EGY196647 EQR196647:EQU196647 FAN196647:FAQ196647 FKJ196647:FKM196647 FUF196647:FUI196647 GEB196647:GEE196647 GNX196647:GOA196647 GXT196647:GXW196647 HHP196647:HHS196647 HRL196647:HRO196647 IBH196647:IBK196647 ILD196647:ILG196647 IUZ196647:IVC196647 JEV196647:JEY196647 JOR196647:JOU196647 JYN196647:JYQ196647 KIJ196647:KIM196647 KSF196647:KSI196647 LCB196647:LCE196647 LLX196647:LMA196647 LVT196647:LVW196647 MFP196647:MFS196647 MPL196647:MPO196647 MZH196647:MZK196647 NJD196647:NJG196647 NSZ196647:NTC196647 OCV196647:OCY196647 OMR196647:OMU196647 OWN196647:OWQ196647 PGJ196647:PGM196647 PQF196647:PQI196647 QAB196647:QAE196647 QJX196647:QKA196647 QTT196647:QTW196647 RDP196647:RDS196647 RNL196647:RNO196647 RXH196647:RXK196647 SHD196647:SHG196647 SQZ196647:SRC196647 TAV196647:TAY196647 TKR196647:TKU196647 TUN196647:TUQ196647 UEJ196647:UEM196647 UOF196647:UOI196647 UYB196647:UYE196647 VHX196647:VIA196647 VRT196647:VRW196647 WBP196647:WBS196647 WLL196647:WLO196647 WVH196647:WVK196647 AT262183:AW262183 IV262183:IY262183 SR262183:SU262183 ACN262183:ACQ262183 AMJ262183:AMM262183 AWF262183:AWI262183 BGB262183:BGE262183 BPX262183:BQA262183 BZT262183:BZW262183 CJP262183:CJS262183 CTL262183:CTO262183 DDH262183:DDK262183 DND262183:DNG262183 DWZ262183:DXC262183 EGV262183:EGY262183 EQR262183:EQU262183 FAN262183:FAQ262183 FKJ262183:FKM262183 FUF262183:FUI262183 GEB262183:GEE262183 GNX262183:GOA262183 GXT262183:GXW262183 HHP262183:HHS262183 HRL262183:HRO262183 IBH262183:IBK262183 ILD262183:ILG262183 IUZ262183:IVC262183 JEV262183:JEY262183 JOR262183:JOU262183 JYN262183:JYQ262183 KIJ262183:KIM262183 KSF262183:KSI262183 LCB262183:LCE262183 LLX262183:LMA262183 LVT262183:LVW262183 MFP262183:MFS262183 MPL262183:MPO262183 MZH262183:MZK262183 NJD262183:NJG262183 NSZ262183:NTC262183 OCV262183:OCY262183 OMR262183:OMU262183 OWN262183:OWQ262183 PGJ262183:PGM262183 PQF262183:PQI262183 QAB262183:QAE262183 QJX262183:QKA262183 QTT262183:QTW262183 RDP262183:RDS262183 RNL262183:RNO262183 RXH262183:RXK262183 SHD262183:SHG262183 SQZ262183:SRC262183 TAV262183:TAY262183 TKR262183:TKU262183 TUN262183:TUQ262183 UEJ262183:UEM262183 UOF262183:UOI262183 UYB262183:UYE262183 VHX262183:VIA262183 VRT262183:VRW262183 WBP262183:WBS262183 WLL262183:WLO262183 WVH262183:WVK262183 AT327719:AW327719 IV327719:IY327719 SR327719:SU327719 ACN327719:ACQ327719 AMJ327719:AMM327719 AWF327719:AWI327719 BGB327719:BGE327719 BPX327719:BQA327719 BZT327719:BZW327719 CJP327719:CJS327719 CTL327719:CTO327719 DDH327719:DDK327719 DND327719:DNG327719 DWZ327719:DXC327719 EGV327719:EGY327719 EQR327719:EQU327719 FAN327719:FAQ327719 FKJ327719:FKM327719 FUF327719:FUI327719 GEB327719:GEE327719 GNX327719:GOA327719 GXT327719:GXW327719 HHP327719:HHS327719 HRL327719:HRO327719 IBH327719:IBK327719 ILD327719:ILG327719 IUZ327719:IVC327719 JEV327719:JEY327719 JOR327719:JOU327719 JYN327719:JYQ327719 KIJ327719:KIM327719 KSF327719:KSI327719 LCB327719:LCE327719 LLX327719:LMA327719 LVT327719:LVW327719 MFP327719:MFS327719 MPL327719:MPO327719 MZH327719:MZK327719 NJD327719:NJG327719 NSZ327719:NTC327719 OCV327719:OCY327719 OMR327719:OMU327719 OWN327719:OWQ327719 PGJ327719:PGM327719 PQF327719:PQI327719 QAB327719:QAE327719 QJX327719:QKA327719 QTT327719:QTW327719 RDP327719:RDS327719 RNL327719:RNO327719 RXH327719:RXK327719 SHD327719:SHG327719 SQZ327719:SRC327719 TAV327719:TAY327719 TKR327719:TKU327719 TUN327719:TUQ327719 UEJ327719:UEM327719 UOF327719:UOI327719 UYB327719:UYE327719 VHX327719:VIA327719 VRT327719:VRW327719 WBP327719:WBS327719 WLL327719:WLO327719 WVH327719:WVK327719 AT393255:AW393255 IV393255:IY393255 SR393255:SU393255 ACN393255:ACQ393255 AMJ393255:AMM393255 AWF393255:AWI393255 BGB393255:BGE393255 BPX393255:BQA393255 BZT393255:BZW393255 CJP393255:CJS393255 CTL393255:CTO393255 DDH393255:DDK393255 DND393255:DNG393255 DWZ393255:DXC393255 EGV393255:EGY393255 EQR393255:EQU393255 FAN393255:FAQ393255 FKJ393255:FKM393255 FUF393255:FUI393255 GEB393255:GEE393255 GNX393255:GOA393255 GXT393255:GXW393255 HHP393255:HHS393255 HRL393255:HRO393255 IBH393255:IBK393255 ILD393255:ILG393255 IUZ393255:IVC393255 JEV393255:JEY393255 JOR393255:JOU393255 JYN393255:JYQ393255 KIJ393255:KIM393255 KSF393255:KSI393255 LCB393255:LCE393255 LLX393255:LMA393255 LVT393255:LVW393255 MFP393255:MFS393255 MPL393255:MPO393255 MZH393255:MZK393255 NJD393255:NJG393255 NSZ393255:NTC393255 OCV393255:OCY393255 OMR393255:OMU393255 OWN393255:OWQ393255 PGJ393255:PGM393255 PQF393255:PQI393255 QAB393255:QAE393255 QJX393255:QKA393255 QTT393255:QTW393255 RDP393255:RDS393255 RNL393255:RNO393255 RXH393255:RXK393255 SHD393255:SHG393255 SQZ393255:SRC393255 TAV393255:TAY393255 TKR393255:TKU393255 TUN393255:TUQ393255 UEJ393255:UEM393255 UOF393255:UOI393255 UYB393255:UYE393255 VHX393255:VIA393255 VRT393255:VRW393255 WBP393255:WBS393255 WLL393255:WLO393255 WVH393255:WVK393255 AT458791:AW458791 IV458791:IY458791 SR458791:SU458791 ACN458791:ACQ458791 AMJ458791:AMM458791 AWF458791:AWI458791 BGB458791:BGE458791 BPX458791:BQA458791 BZT458791:BZW458791 CJP458791:CJS458791 CTL458791:CTO458791 DDH458791:DDK458791 DND458791:DNG458791 DWZ458791:DXC458791 EGV458791:EGY458791 EQR458791:EQU458791 FAN458791:FAQ458791 FKJ458791:FKM458791 FUF458791:FUI458791 GEB458791:GEE458791 GNX458791:GOA458791 GXT458791:GXW458791 HHP458791:HHS458791 HRL458791:HRO458791 IBH458791:IBK458791 ILD458791:ILG458791 IUZ458791:IVC458791 JEV458791:JEY458791 JOR458791:JOU458791 JYN458791:JYQ458791 KIJ458791:KIM458791 KSF458791:KSI458791 LCB458791:LCE458791 LLX458791:LMA458791 LVT458791:LVW458791 MFP458791:MFS458791 MPL458791:MPO458791 MZH458791:MZK458791 NJD458791:NJG458791 NSZ458791:NTC458791 OCV458791:OCY458791 OMR458791:OMU458791 OWN458791:OWQ458791 PGJ458791:PGM458791 PQF458791:PQI458791 QAB458791:QAE458791 QJX458791:QKA458791 QTT458791:QTW458791 RDP458791:RDS458791 RNL458791:RNO458791 RXH458791:RXK458791 SHD458791:SHG458791 SQZ458791:SRC458791 TAV458791:TAY458791 TKR458791:TKU458791 TUN458791:TUQ458791 UEJ458791:UEM458791 UOF458791:UOI458791 UYB458791:UYE458791 VHX458791:VIA458791 VRT458791:VRW458791 WBP458791:WBS458791 WLL458791:WLO458791 WVH458791:WVK458791 AT524327:AW524327 IV524327:IY524327 SR524327:SU524327 ACN524327:ACQ524327 AMJ524327:AMM524327 AWF524327:AWI524327 BGB524327:BGE524327 BPX524327:BQA524327 BZT524327:BZW524327 CJP524327:CJS524327 CTL524327:CTO524327 DDH524327:DDK524327 DND524327:DNG524327 DWZ524327:DXC524327 EGV524327:EGY524327 EQR524327:EQU524327 FAN524327:FAQ524327 FKJ524327:FKM524327 FUF524327:FUI524327 GEB524327:GEE524327 GNX524327:GOA524327 GXT524327:GXW524327 HHP524327:HHS524327 HRL524327:HRO524327 IBH524327:IBK524327 ILD524327:ILG524327 IUZ524327:IVC524327 JEV524327:JEY524327 JOR524327:JOU524327 JYN524327:JYQ524327 KIJ524327:KIM524327 KSF524327:KSI524327 LCB524327:LCE524327 LLX524327:LMA524327 LVT524327:LVW524327 MFP524327:MFS524327 MPL524327:MPO524327 MZH524327:MZK524327 NJD524327:NJG524327 NSZ524327:NTC524327 OCV524327:OCY524327 OMR524327:OMU524327 OWN524327:OWQ524327 PGJ524327:PGM524327 PQF524327:PQI524327 QAB524327:QAE524327 QJX524327:QKA524327 QTT524327:QTW524327 RDP524327:RDS524327 RNL524327:RNO524327 RXH524327:RXK524327 SHD524327:SHG524327 SQZ524327:SRC524327 TAV524327:TAY524327 TKR524327:TKU524327 TUN524327:TUQ524327 UEJ524327:UEM524327 UOF524327:UOI524327 UYB524327:UYE524327 VHX524327:VIA524327 VRT524327:VRW524327 WBP524327:WBS524327 WLL524327:WLO524327 WVH524327:WVK524327 AT589863:AW589863 IV589863:IY589863 SR589863:SU589863 ACN589863:ACQ589863 AMJ589863:AMM589863 AWF589863:AWI589863 BGB589863:BGE589863 BPX589863:BQA589863 BZT589863:BZW589863 CJP589863:CJS589863 CTL589863:CTO589863 DDH589863:DDK589863 DND589863:DNG589863 DWZ589863:DXC589863 EGV589863:EGY589863 EQR589863:EQU589863 FAN589863:FAQ589863 FKJ589863:FKM589863 FUF589863:FUI589863 GEB589863:GEE589863 GNX589863:GOA589863 GXT589863:GXW589863 HHP589863:HHS589863 HRL589863:HRO589863 IBH589863:IBK589863 ILD589863:ILG589863 IUZ589863:IVC589863 JEV589863:JEY589863 JOR589863:JOU589863 JYN589863:JYQ589863 KIJ589863:KIM589863 KSF589863:KSI589863 LCB589863:LCE589863 LLX589863:LMA589863 LVT589863:LVW589863 MFP589863:MFS589863 MPL589863:MPO589863 MZH589863:MZK589863 NJD589863:NJG589863 NSZ589863:NTC589863 OCV589863:OCY589863 OMR589863:OMU589863 OWN589863:OWQ589863 PGJ589863:PGM589863 PQF589863:PQI589863 QAB589863:QAE589863 QJX589863:QKA589863 QTT589863:QTW589863 RDP589863:RDS589863 RNL589863:RNO589863 RXH589863:RXK589863 SHD589863:SHG589863 SQZ589863:SRC589863 TAV589863:TAY589863 TKR589863:TKU589863 TUN589863:TUQ589863 UEJ589863:UEM589863 UOF589863:UOI589863 UYB589863:UYE589863 VHX589863:VIA589863 VRT589863:VRW589863 WBP589863:WBS589863 WLL589863:WLO589863 WVH589863:WVK589863 AT655399:AW655399 IV655399:IY655399 SR655399:SU655399 ACN655399:ACQ655399 AMJ655399:AMM655399 AWF655399:AWI655399 BGB655399:BGE655399 BPX655399:BQA655399 BZT655399:BZW655399 CJP655399:CJS655399 CTL655399:CTO655399 DDH655399:DDK655399 DND655399:DNG655399 DWZ655399:DXC655399 EGV655399:EGY655399 EQR655399:EQU655399 FAN655399:FAQ655399 FKJ655399:FKM655399 FUF655399:FUI655399 GEB655399:GEE655399 GNX655399:GOA655399 GXT655399:GXW655399 HHP655399:HHS655399 HRL655399:HRO655399 IBH655399:IBK655399 ILD655399:ILG655399 IUZ655399:IVC655399 JEV655399:JEY655399 JOR655399:JOU655399 JYN655399:JYQ655399 KIJ655399:KIM655399 KSF655399:KSI655399 LCB655399:LCE655399 LLX655399:LMA655399 LVT655399:LVW655399 MFP655399:MFS655399 MPL655399:MPO655399 MZH655399:MZK655399 NJD655399:NJG655399 NSZ655399:NTC655399 OCV655399:OCY655399 OMR655399:OMU655399 OWN655399:OWQ655399 PGJ655399:PGM655399 PQF655399:PQI655399 QAB655399:QAE655399 QJX655399:QKA655399 QTT655399:QTW655399 RDP655399:RDS655399 RNL655399:RNO655399 RXH655399:RXK655399 SHD655399:SHG655399 SQZ655399:SRC655399 TAV655399:TAY655399 TKR655399:TKU655399 TUN655399:TUQ655399 UEJ655399:UEM655399 UOF655399:UOI655399 UYB655399:UYE655399 VHX655399:VIA655399 VRT655399:VRW655399 WBP655399:WBS655399 WLL655399:WLO655399 WVH655399:WVK655399 AT720935:AW720935 IV720935:IY720935 SR720935:SU720935 ACN720935:ACQ720935 AMJ720935:AMM720935 AWF720935:AWI720935 BGB720935:BGE720935 BPX720935:BQA720935 BZT720935:BZW720935 CJP720935:CJS720935 CTL720935:CTO720935 DDH720935:DDK720935 DND720935:DNG720935 DWZ720935:DXC720935 EGV720935:EGY720935 EQR720935:EQU720935 FAN720935:FAQ720935 FKJ720935:FKM720935 FUF720935:FUI720935 GEB720935:GEE720935 GNX720935:GOA720935 GXT720935:GXW720935 HHP720935:HHS720935 HRL720935:HRO720935 IBH720935:IBK720935 ILD720935:ILG720935 IUZ720935:IVC720935 JEV720935:JEY720935 JOR720935:JOU720935 JYN720935:JYQ720935 KIJ720935:KIM720935 KSF720935:KSI720935 LCB720935:LCE720935 LLX720935:LMA720935 LVT720935:LVW720935 MFP720935:MFS720935 MPL720935:MPO720935 MZH720935:MZK720935 NJD720935:NJG720935 NSZ720935:NTC720935 OCV720935:OCY720935 OMR720935:OMU720935 OWN720935:OWQ720935 PGJ720935:PGM720935 PQF720935:PQI720935 QAB720935:QAE720935 QJX720935:QKA720935 QTT720935:QTW720935 RDP720935:RDS720935 RNL720935:RNO720935 RXH720935:RXK720935 SHD720935:SHG720935 SQZ720935:SRC720935 TAV720935:TAY720935 TKR720935:TKU720935 TUN720935:TUQ720935 UEJ720935:UEM720935 UOF720935:UOI720935 UYB720935:UYE720935 VHX720935:VIA720935 VRT720935:VRW720935 WBP720935:WBS720935 WLL720935:WLO720935 WVH720935:WVK720935 AT786471:AW786471 IV786471:IY786471 SR786471:SU786471 ACN786471:ACQ786471 AMJ786471:AMM786471 AWF786471:AWI786471 BGB786471:BGE786471 BPX786471:BQA786471 BZT786471:BZW786471 CJP786471:CJS786471 CTL786471:CTO786471 DDH786471:DDK786471 DND786471:DNG786471 DWZ786471:DXC786471 EGV786471:EGY786471 EQR786471:EQU786471 FAN786471:FAQ786471 FKJ786471:FKM786471 FUF786471:FUI786471 GEB786471:GEE786471 GNX786471:GOA786471 GXT786471:GXW786471 HHP786471:HHS786471 HRL786471:HRO786471 IBH786471:IBK786471 ILD786471:ILG786471 IUZ786471:IVC786471 JEV786471:JEY786471 JOR786471:JOU786471 JYN786471:JYQ786471 KIJ786471:KIM786471 KSF786471:KSI786471 LCB786471:LCE786471 LLX786471:LMA786471 LVT786471:LVW786471 MFP786471:MFS786471 MPL786471:MPO786471 MZH786471:MZK786471 NJD786471:NJG786471 NSZ786471:NTC786471 OCV786471:OCY786471 OMR786471:OMU786471 OWN786471:OWQ786471 PGJ786471:PGM786471 PQF786471:PQI786471 QAB786471:QAE786471 QJX786471:QKA786471 QTT786471:QTW786471 RDP786471:RDS786471 RNL786471:RNO786471 RXH786471:RXK786471 SHD786471:SHG786471 SQZ786471:SRC786471 TAV786471:TAY786471 TKR786471:TKU786471 TUN786471:TUQ786471 UEJ786471:UEM786471 UOF786471:UOI786471 UYB786471:UYE786471 VHX786471:VIA786471 VRT786471:VRW786471 WBP786471:WBS786471 WLL786471:WLO786471 WVH786471:WVK786471 AT852007:AW852007 IV852007:IY852007 SR852007:SU852007 ACN852007:ACQ852007 AMJ852007:AMM852007 AWF852007:AWI852007 BGB852007:BGE852007 BPX852007:BQA852007 BZT852007:BZW852007 CJP852007:CJS852007 CTL852007:CTO852007 DDH852007:DDK852007 DND852007:DNG852007 DWZ852007:DXC852007 EGV852007:EGY852007 EQR852007:EQU852007 FAN852007:FAQ852007 FKJ852007:FKM852007 FUF852007:FUI852007 GEB852007:GEE852007 GNX852007:GOA852007 GXT852007:GXW852007 HHP852007:HHS852007 HRL852007:HRO852007 IBH852007:IBK852007 ILD852007:ILG852007 IUZ852007:IVC852007 JEV852007:JEY852007 JOR852007:JOU852007 JYN852007:JYQ852007 KIJ852007:KIM852007 KSF852007:KSI852007 LCB852007:LCE852007 LLX852007:LMA852007 LVT852007:LVW852007 MFP852007:MFS852007 MPL852007:MPO852007 MZH852007:MZK852007 NJD852007:NJG852007 NSZ852007:NTC852007 OCV852007:OCY852007 OMR852007:OMU852007 OWN852007:OWQ852007 PGJ852007:PGM852007 PQF852007:PQI852007 QAB852007:QAE852007 QJX852007:QKA852007 QTT852007:QTW852007 RDP852007:RDS852007 RNL852007:RNO852007 RXH852007:RXK852007 SHD852007:SHG852007 SQZ852007:SRC852007 TAV852007:TAY852007 TKR852007:TKU852007 TUN852007:TUQ852007 UEJ852007:UEM852007 UOF852007:UOI852007 UYB852007:UYE852007 VHX852007:VIA852007 VRT852007:VRW852007 WBP852007:WBS852007 WLL852007:WLO852007 WVH852007:WVK852007 AT917543:AW917543 IV917543:IY917543 SR917543:SU917543 ACN917543:ACQ917543 AMJ917543:AMM917543 AWF917543:AWI917543 BGB917543:BGE917543 BPX917543:BQA917543 BZT917543:BZW917543 CJP917543:CJS917543 CTL917543:CTO917543 DDH917543:DDK917543 DND917543:DNG917543 DWZ917543:DXC917543 EGV917543:EGY917543 EQR917543:EQU917543 FAN917543:FAQ917543 FKJ917543:FKM917543 FUF917543:FUI917543 GEB917543:GEE917543 GNX917543:GOA917543 GXT917543:GXW917543 HHP917543:HHS917543 HRL917543:HRO917543 IBH917543:IBK917543 ILD917543:ILG917543 IUZ917543:IVC917543 JEV917543:JEY917543 JOR917543:JOU917543 JYN917543:JYQ917543 KIJ917543:KIM917543 KSF917543:KSI917543 LCB917543:LCE917543 LLX917543:LMA917543 LVT917543:LVW917543 MFP917543:MFS917543 MPL917543:MPO917543 MZH917543:MZK917543 NJD917543:NJG917543 NSZ917543:NTC917543 OCV917543:OCY917543 OMR917543:OMU917543 OWN917543:OWQ917543 PGJ917543:PGM917543 PQF917543:PQI917543 QAB917543:QAE917543 QJX917543:QKA917543 QTT917543:QTW917543 RDP917543:RDS917543 RNL917543:RNO917543 RXH917543:RXK917543 SHD917543:SHG917543 SQZ917543:SRC917543 TAV917543:TAY917543 TKR917543:TKU917543 TUN917543:TUQ917543 UEJ917543:UEM917543 UOF917543:UOI917543 UYB917543:UYE917543 VHX917543:VIA917543 VRT917543:VRW917543 WBP917543:WBS917543 WLL917543:WLO917543 WVH917543:WVK917543 AT983079:AW983079 IV983079:IY983079 SR983079:SU983079 ACN983079:ACQ983079 AMJ983079:AMM983079 AWF983079:AWI983079 BGB983079:BGE983079 BPX983079:BQA983079 BZT983079:BZW983079 CJP983079:CJS983079 CTL983079:CTO983079 DDH983079:DDK983079 DND983079:DNG983079 DWZ983079:DXC983079 EGV983079:EGY983079 EQR983079:EQU983079 FAN983079:FAQ983079 FKJ983079:FKM983079 FUF983079:FUI983079 GEB983079:GEE983079 GNX983079:GOA983079 GXT983079:GXW983079 HHP983079:HHS983079 HRL983079:HRO983079 IBH983079:IBK983079 ILD983079:ILG983079 IUZ983079:IVC983079 JEV983079:JEY983079 JOR983079:JOU983079 JYN983079:JYQ983079 KIJ983079:KIM983079 KSF983079:KSI983079 LCB983079:LCE983079 LLX983079:LMA983079 LVT983079:LVW983079 MFP983079:MFS983079 MPL983079:MPO983079 MZH983079:MZK983079 NJD983079:NJG983079 NSZ983079:NTC983079 OCV983079:OCY983079 OMR983079:OMU983079 OWN983079:OWQ983079 PGJ983079:PGM983079 PQF983079:PQI983079 QAB983079:QAE983079 QJX983079:QKA983079 QTT983079:QTW983079 RDP983079:RDS983079 RNL983079:RNO983079 RXH983079:RXK983079 SHD983079:SHG983079 SQZ983079:SRC983079 TAV983079:TAY983079 TKR983079:TKU983079 TUN983079:TUQ983079 UEJ983079:UEM983079 UOF983079:UOI983079 UYB983079:UYE983079 VHX983079:VIA983079 VRT983079:VRW983079 WBP983079:WBS983079 WLL983079:WLO983079 WVH983079:WVK983079 AO983078:AR983078 IQ983078:IT983078 SM983078:SP983078 ACI983078:ACL983078 AME983078:AMH983078 AWA983078:AWD983078 BFW983078:BFZ983078 BPS983078:BPV983078 BZO983078:BZR983078 CJK983078:CJN983078 CTG983078:CTJ983078 DDC983078:DDF983078 DMY983078:DNB983078 DWU983078:DWX983078 EGQ983078:EGT983078 EQM983078:EQP983078 FAI983078:FAL983078 FKE983078:FKH983078 FUA983078:FUD983078 GDW983078:GDZ983078 GNS983078:GNV983078 GXO983078:GXR983078 HHK983078:HHN983078 HRG983078:HRJ983078 IBC983078:IBF983078 IKY983078:ILB983078 IUU983078:IUX983078 JEQ983078:JET983078 JOM983078:JOP983078 JYI983078:JYL983078 KIE983078:KIH983078 KSA983078:KSD983078 LBW983078:LBZ983078 LLS983078:LLV983078 LVO983078:LVR983078 MFK983078:MFN983078 MPG983078:MPJ983078 MZC983078:MZF983078 NIY983078:NJB983078 NSU983078:NSX983078 OCQ983078:OCT983078 OMM983078:OMP983078 OWI983078:OWL983078 PGE983078:PGH983078 PQA983078:PQD983078 PZW983078:PZZ983078 QJS983078:QJV983078 QTO983078:QTR983078 RDK983078:RDN983078 RNG983078:RNJ983078 RXC983078:RXF983078 SGY983078:SHB983078 SQU983078:SQX983078 TAQ983078:TAT983078 TKM983078:TKP983078 TUI983078:TUL983078 UEE983078:UEH983078 UOA983078:UOD983078 UXW983078:UXZ983078 VHS983078:VHV983078 VRO983078:VRR983078 WBK983078:WBN983078 WLG983078:WLJ983078 WVC983078:WVF983078 AO65574:AR65574 IQ65574:IT65574 SM65574:SP65574 ACI65574:ACL65574 AME65574:AMH65574 AWA65574:AWD65574 BFW65574:BFZ65574 BPS65574:BPV65574 BZO65574:BZR65574 CJK65574:CJN65574 CTG65574:CTJ65574 DDC65574:DDF65574 DMY65574:DNB65574 DWU65574:DWX65574 EGQ65574:EGT65574 EQM65574:EQP65574 FAI65574:FAL65574 FKE65574:FKH65574 FUA65574:FUD65574 GDW65574:GDZ65574 GNS65574:GNV65574 GXO65574:GXR65574 HHK65574:HHN65574 HRG65574:HRJ65574 IBC65574:IBF65574 IKY65574:ILB65574 IUU65574:IUX65574 JEQ65574:JET65574 JOM65574:JOP65574 JYI65574:JYL65574 KIE65574:KIH65574 KSA65574:KSD65574 LBW65574:LBZ65574 LLS65574:LLV65574 LVO65574:LVR65574 MFK65574:MFN65574 MPG65574:MPJ65574 MZC65574:MZF65574 NIY65574:NJB65574 NSU65574:NSX65574 OCQ65574:OCT65574 OMM65574:OMP65574 OWI65574:OWL65574 PGE65574:PGH65574 PQA65574:PQD65574 PZW65574:PZZ65574 QJS65574:QJV65574 QTO65574:QTR65574 RDK65574:RDN65574 RNG65574:RNJ65574 RXC65574:RXF65574 SGY65574:SHB65574 SQU65574:SQX65574 TAQ65574:TAT65574 TKM65574:TKP65574 TUI65574:TUL65574 UEE65574:UEH65574 UOA65574:UOD65574 UXW65574:UXZ65574 VHS65574:VHV65574 VRO65574:VRR65574 WBK65574:WBN65574 WLG65574:WLJ65574 WVC65574:WVF65574 AO131110:AR131110 IQ131110:IT131110 SM131110:SP131110 ACI131110:ACL131110 AME131110:AMH131110 AWA131110:AWD131110 BFW131110:BFZ131110 BPS131110:BPV131110 BZO131110:BZR131110 CJK131110:CJN131110 CTG131110:CTJ131110 DDC131110:DDF131110 DMY131110:DNB131110 DWU131110:DWX131110 EGQ131110:EGT131110 EQM131110:EQP131110 FAI131110:FAL131110 FKE131110:FKH131110 FUA131110:FUD131110 GDW131110:GDZ131110 GNS131110:GNV131110 GXO131110:GXR131110 HHK131110:HHN131110 HRG131110:HRJ131110 IBC131110:IBF131110 IKY131110:ILB131110 IUU131110:IUX131110 JEQ131110:JET131110 JOM131110:JOP131110 JYI131110:JYL131110 KIE131110:KIH131110 KSA131110:KSD131110 LBW131110:LBZ131110 LLS131110:LLV131110 LVO131110:LVR131110 MFK131110:MFN131110 MPG131110:MPJ131110 MZC131110:MZF131110 NIY131110:NJB131110 NSU131110:NSX131110 OCQ131110:OCT131110 OMM131110:OMP131110 OWI131110:OWL131110 PGE131110:PGH131110 PQA131110:PQD131110 PZW131110:PZZ131110 QJS131110:QJV131110 QTO131110:QTR131110 RDK131110:RDN131110 RNG131110:RNJ131110 RXC131110:RXF131110 SGY131110:SHB131110 SQU131110:SQX131110 TAQ131110:TAT131110 TKM131110:TKP131110 TUI131110:TUL131110 UEE131110:UEH131110 UOA131110:UOD131110 UXW131110:UXZ131110 VHS131110:VHV131110 VRO131110:VRR131110 WBK131110:WBN131110 WLG131110:WLJ131110 WVC131110:WVF131110 AO196646:AR196646 IQ196646:IT196646 SM196646:SP196646 ACI196646:ACL196646 AME196646:AMH196646 AWA196646:AWD196646 BFW196646:BFZ196646 BPS196646:BPV196646 BZO196646:BZR196646 CJK196646:CJN196646 CTG196646:CTJ196646 DDC196646:DDF196646 DMY196646:DNB196646 DWU196646:DWX196646 EGQ196646:EGT196646 EQM196646:EQP196646 FAI196646:FAL196646 FKE196646:FKH196646 FUA196646:FUD196646 GDW196646:GDZ196646 GNS196646:GNV196646 GXO196646:GXR196646 HHK196646:HHN196646 HRG196646:HRJ196646 IBC196646:IBF196646 IKY196646:ILB196646 IUU196646:IUX196646 JEQ196646:JET196646 JOM196646:JOP196646 JYI196646:JYL196646 KIE196646:KIH196646 KSA196646:KSD196646 LBW196646:LBZ196646 LLS196646:LLV196646 LVO196646:LVR196646 MFK196646:MFN196646 MPG196646:MPJ196646 MZC196646:MZF196646 NIY196646:NJB196646 NSU196646:NSX196646 OCQ196646:OCT196646 OMM196646:OMP196646 OWI196646:OWL196646 PGE196646:PGH196646 PQA196646:PQD196646 PZW196646:PZZ196646 QJS196646:QJV196646 QTO196646:QTR196646 RDK196646:RDN196646 RNG196646:RNJ196646 RXC196646:RXF196646 SGY196646:SHB196646 SQU196646:SQX196646 TAQ196646:TAT196646 TKM196646:TKP196646 TUI196646:TUL196646 UEE196646:UEH196646 UOA196646:UOD196646 UXW196646:UXZ196646 VHS196646:VHV196646 VRO196646:VRR196646 WBK196646:WBN196646 WLG196646:WLJ196646 WVC196646:WVF196646 AO262182:AR262182 IQ262182:IT262182 SM262182:SP262182 ACI262182:ACL262182 AME262182:AMH262182 AWA262182:AWD262182 BFW262182:BFZ262182 BPS262182:BPV262182 BZO262182:BZR262182 CJK262182:CJN262182 CTG262182:CTJ262182 DDC262182:DDF262182 DMY262182:DNB262182 DWU262182:DWX262182 EGQ262182:EGT262182 EQM262182:EQP262182 FAI262182:FAL262182 FKE262182:FKH262182 FUA262182:FUD262182 GDW262182:GDZ262182 GNS262182:GNV262182 GXO262182:GXR262182 HHK262182:HHN262182 HRG262182:HRJ262182 IBC262182:IBF262182 IKY262182:ILB262182 IUU262182:IUX262182 JEQ262182:JET262182 JOM262182:JOP262182 JYI262182:JYL262182 KIE262182:KIH262182 KSA262182:KSD262182 LBW262182:LBZ262182 LLS262182:LLV262182 LVO262182:LVR262182 MFK262182:MFN262182 MPG262182:MPJ262182 MZC262182:MZF262182 NIY262182:NJB262182 NSU262182:NSX262182 OCQ262182:OCT262182 OMM262182:OMP262182 OWI262182:OWL262182 PGE262182:PGH262182 PQA262182:PQD262182 PZW262182:PZZ262182 QJS262182:QJV262182 QTO262182:QTR262182 RDK262182:RDN262182 RNG262182:RNJ262182 RXC262182:RXF262182 SGY262182:SHB262182 SQU262182:SQX262182 TAQ262182:TAT262182 TKM262182:TKP262182 TUI262182:TUL262182 UEE262182:UEH262182 UOA262182:UOD262182 UXW262182:UXZ262182 VHS262182:VHV262182 VRO262182:VRR262182 WBK262182:WBN262182 WLG262182:WLJ262182 WVC262182:WVF262182 AO327718:AR327718 IQ327718:IT327718 SM327718:SP327718 ACI327718:ACL327718 AME327718:AMH327718 AWA327718:AWD327718 BFW327718:BFZ327718 BPS327718:BPV327718 BZO327718:BZR327718 CJK327718:CJN327718 CTG327718:CTJ327718 DDC327718:DDF327718 DMY327718:DNB327718 DWU327718:DWX327718 EGQ327718:EGT327718 EQM327718:EQP327718 FAI327718:FAL327718 FKE327718:FKH327718 FUA327718:FUD327718 GDW327718:GDZ327718 GNS327718:GNV327718 GXO327718:GXR327718 HHK327718:HHN327718 HRG327718:HRJ327718 IBC327718:IBF327718 IKY327718:ILB327718 IUU327718:IUX327718 JEQ327718:JET327718 JOM327718:JOP327718 JYI327718:JYL327718 KIE327718:KIH327718 KSA327718:KSD327718 LBW327718:LBZ327718 LLS327718:LLV327718 LVO327718:LVR327718 MFK327718:MFN327718 MPG327718:MPJ327718 MZC327718:MZF327718 NIY327718:NJB327718 NSU327718:NSX327718 OCQ327718:OCT327718 OMM327718:OMP327718 OWI327718:OWL327718 PGE327718:PGH327718 PQA327718:PQD327718 PZW327718:PZZ327718 QJS327718:QJV327718 QTO327718:QTR327718 RDK327718:RDN327718 RNG327718:RNJ327718 RXC327718:RXF327718 SGY327718:SHB327718 SQU327718:SQX327718 TAQ327718:TAT327718 TKM327718:TKP327718 TUI327718:TUL327718 UEE327718:UEH327718 UOA327718:UOD327718 UXW327718:UXZ327718 VHS327718:VHV327718 VRO327718:VRR327718 WBK327718:WBN327718 WLG327718:WLJ327718 WVC327718:WVF327718 AO393254:AR393254 IQ393254:IT393254 SM393254:SP393254 ACI393254:ACL393254 AME393254:AMH393254 AWA393254:AWD393254 BFW393254:BFZ393254 BPS393254:BPV393254 BZO393254:BZR393254 CJK393254:CJN393254 CTG393254:CTJ393254 DDC393254:DDF393254 DMY393254:DNB393254 DWU393254:DWX393254 EGQ393254:EGT393254 EQM393254:EQP393254 FAI393254:FAL393254 FKE393254:FKH393254 FUA393254:FUD393254 GDW393254:GDZ393254 GNS393254:GNV393254 GXO393254:GXR393254 HHK393254:HHN393254 HRG393254:HRJ393254 IBC393254:IBF393254 IKY393254:ILB393254 IUU393254:IUX393254 JEQ393254:JET393254 JOM393254:JOP393254 JYI393254:JYL393254 KIE393254:KIH393254 KSA393254:KSD393254 LBW393254:LBZ393254 LLS393254:LLV393254 LVO393254:LVR393254 MFK393254:MFN393254 MPG393254:MPJ393254 MZC393254:MZF393254 NIY393254:NJB393254 NSU393254:NSX393254 OCQ393254:OCT393254 OMM393254:OMP393254 OWI393254:OWL393254 PGE393254:PGH393254 PQA393254:PQD393254 PZW393254:PZZ393254 QJS393254:QJV393254 QTO393254:QTR393254 RDK393254:RDN393254 RNG393254:RNJ393254 RXC393254:RXF393254 SGY393254:SHB393254 SQU393254:SQX393254 TAQ393254:TAT393254 TKM393254:TKP393254 TUI393254:TUL393254 UEE393254:UEH393254 UOA393254:UOD393254 UXW393254:UXZ393254 VHS393254:VHV393254 VRO393254:VRR393254 WBK393254:WBN393254 WLG393254:WLJ393254 WVC393254:WVF393254 AO458790:AR458790 IQ458790:IT458790 SM458790:SP458790 ACI458790:ACL458790 AME458790:AMH458790 AWA458790:AWD458790 BFW458790:BFZ458790 BPS458790:BPV458790 BZO458790:BZR458790 CJK458790:CJN458790 CTG458790:CTJ458790 DDC458790:DDF458790 DMY458790:DNB458790 DWU458790:DWX458790 EGQ458790:EGT458790 EQM458790:EQP458790 FAI458790:FAL458790 FKE458790:FKH458790 FUA458790:FUD458790 GDW458790:GDZ458790 GNS458790:GNV458790 GXO458790:GXR458790 HHK458790:HHN458790 HRG458790:HRJ458790 IBC458790:IBF458790 IKY458790:ILB458790 IUU458790:IUX458790 JEQ458790:JET458790 JOM458790:JOP458790 JYI458790:JYL458790 KIE458790:KIH458790 KSA458790:KSD458790 LBW458790:LBZ458790 LLS458790:LLV458790 LVO458790:LVR458790 MFK458790:MFN458790 MPG458790:MPJ458790 MZC458790:MZF458790 NIY458790:NJB458790 NSU458790:NSX458790 OCQ458790:OCT458790 OMM458790:OMP458790 OWI458790:OWL458790 PGE458790:PGH458790 PQA458790:PQD458790 PZW458790:PZZ458790 QJS458790:QJV458790 QTO458790:QTR458790 RDK458790:RDN458790 RNG458790:RNJ458790 RXC458790:RXF458790 SGY458790:SHB458790 SQU458790:SQX458790 TAQ458790:TAT458790 TKM458790:TKP458790 TUI458790:TUL458790 UEE458790:UEH458790 UOA458790:UOD458790 UXW458790:UXZ458790 VHS458790:VHV458790 VRO458790:VRR458790 WBK458790:WBN458790 WLG458790:WLJ458790 WVC458790:WVF458790 AO524326:AR524326 IQ524326:IT524326 SM524326:SP524326 ACI524326:ACL524326 AME524326:AMH524326 AWA524326:AWD524326 BFW524326:BFZ524326 BPS524326:BPV524326 BZO524326:BZR524326 CJK524326:CJN524326 CTG524326:CTJ524326 DDC524326:DDF524326 DMY524326:DNB524326 DWU524326:DWX524326 EGQ524326:EGT524326 EQM524326:EQP524326 FAI524326:FAL524326 FKE524326:FKH524326 FUA524326:FUD524326 GDW524326:GDZ524326 GNS524326:GNV524326 GXO524326:GXR524326 HHK524326:HHN524326 HRG524326:HRJ524326 IBC524326:IBF524326 IKY524326:ILB524326 IUU524326:IUX524326 JEQ524326:JET524326 JOM524326:JOP524326 JYI524326:JYL524326 KIE524326:KIH524326 KSA524326:KSD524326 LBW524326:LBZ524326 LLS524326:LLV524326 LVO524326:LVR524326 MFK524326:MFN524326 MPG524326:MPJ524326 MZC524326:MZF524326 NIY524326:NJB524326 NSU524326:NSX524326 OCQ524326:OCT524326 OMM524326:OMP524326 OWI524326:OWL524326 PGE524326:PGH524326 PQA524326:PQD524326 PZW524326:PZZ524326 QJS524326:QJV524326 QTO524326:QTR524326 RDK524326:RDN524326 RNG524326:RNJ524326 RXC524326:RXF524326 SGY524326:SHB524326 SQU524326:SQX524326 TAQ524326:TAT524326 TKM524326:TKP524326 TUI524326:TUL524326 UEE524326:UEH524326 UOA524326:UOD524326 UXW524326:UXZ524326 VHS524326:VHV524326 VRO524326:VRR524326 WBK524326:WBN524326 WLG524326:WLJ524326 WVC524326:WVF524326 AO589862:AR589862 IQ589862:IT589862 SM589862:SP589862 ACI589862:ACL589862 AME589862:AMH589862 AWA589862:AWD589862 BFW589862:BFZ589862 BPS589862:BPV589862 BZO589862:BZR589862 CJK589862:CJN589862 CTG589862:CTJ589862 DDC589862:DDF589862 DMY589862:DNB589862 DWU589862:DWX589862 EGQ589862:EGT589862 EQM589862:EQP589862 FAI589862:FAL589862 FKE589862:FKH589862 FUA589862:FUD589862 GDW589862:GDZ589862 GNS589862:GNV589862 GXO589862:GXR589862 HHK589862:HHN589862 HRG589862:HRJ589862 IBC589862:IBF589862 IKY589862:ILB589862 IUU589862:IUX589862 JEQ589862:JET589862 JOM589862:JOP589862 JYI589862:JYL589862 KIE589862:KIH589862 KSA589862:KSD589862 LBW589862:LBZ589862 LLS589862:LLV589862 LVO589862:LVR589862 MFK589862:MFN589862 MPG589862:MPJ589862 MZC589862:MZF589862 NIY589862:NJB589862 NSU589862:NSX589862 OCQ589862:OCT589862 OMM589862:OMP589862 OWI589862:OWL589862 PGE589862:PGH589862 PQA589862:PQD589862 PZW589862:PZZ589862 QJS589862:QJV589862 QTO589862:QTR589862 RDK589862:RDN589862 RNG589862:RNJ589862 RXC589862:RXF589862 SGY589862:SHB589862 SQU589862:SQX589862 TAQ589862:TAT589862 TKM589862:TKP589862 TUI589862:TUL589862 UEE589862:UEH589862 UOA589862:UOD589862 UXW589862:UXZ589862 VHS589862:VHV589862 VRO589862:VRR589862 WBK589862:WBN589862 WLG589862:WLJ589862 WVC589862:WVF589862 AO655398:AR655398 IQ655398:IT655398 SM655398:SP655398 ACI655398:ACL655398 AME655398:AMH655398 AWA655398:AWD655398 BFW655398:BFZ655398 BPS655398:BPV655398 BZO655398:BZR655398 CJK655398:CJN655398 CTG655398:CTJ655398 DDC655398:DDF655398 DMY655398:DNB655398 DWU655398:DWX655398 EGQ655398:EGT655398 EQM655398:EQP655398 FAI655398:FAL655398 FKE655398:FKH655398 FUA655398:FUD655398 GDW655398:GDZ655398 GNS655398:GNV655398 GXO655398:GXR655398 HHK655398:HHN655398 HRG655398:HRJ655398 IBC655398:IBF655398 IKY655398:ILB655398 IUU655398:IUX655398 JEQ655398:JET655398 JOM655398:JOP655398 JYI655398:JYL655398 KIE655398:KIH655398 KSA655398:KSD655398 LBW655398:LBZ655398 LLS655398:LLV655398 LVO655398:LVR655398 MFK655398:MFN655398 MPG655398:MPJ655398 MZC655398:MZF655398 NIY655398:NJB655398 NSU655398:NSX655398 OCQ655398:OCT655398 OMM655398:OMP655398 OWI655398:OWL655398 PGE655398:PGH655398 PQA655398:PQD655398 PZW655398:PZZ655398 QJS655398:QJV655398 QTO655398:QTR655398 RDK655398:RDN655398 RNG655398:RNJ655398 RXC655398:RXF655398 SGY655398:SHB655398 SQU655398:SQX655398 TAQ655398:TAT655398 TKM655398:TKP655398 TUI655398:TUL655398 UEE655398:UEH655398 UOA655398:UOD655398 UXW655398:UXZ655398 VHS655398:VHV655398 VRO655398:VRR655398 WBK655398:WBN655398 WLG655398:WLJ655398 WVC655398:WVF655398 AO720934:AR720934 IQ720934:IT720934 SM720934:SP720934 ACI720934:ACL720934 AME720934:AMH720934 AWA720934:AWD720934 BFW720934:BFZ720934 BPS720934:BPV720934 BZO720934:BZR720934 CJK720934:CJN720934 CTG720934:CTJ720934 DDC720934:DDF720934 DMY720934:DNB720934 DWU720934:DWX720934 EGQ720934:EGT720934 EQM720934:EQP720934 FAI720934:FAL720934 FKE720934:FKH720934 FUA720934:FUD720934 GDW720934:GDZ720934 GNS720934:GNV720934 GXO720934:GXR720934 HHK720934:HHN720934 HRG720934:HRJ720934 IBC720934:IBF720934 IKY720934:ILB720934 IUU720934:IUX720934 JEQ720934:JET720934 JOM720934:JOP720934 JYI720934:JYL720934 KIE720934:KIH720934 KSA720934:KSD720934 LBW720934:LBZ720934 LLS720934:LLV720934 LVO720934:LVR720934 MFK720934:MFN720934 MPG720934:MPJ720934 MZC720934:MZF720934 NIY720934:NJB720934 NSU720934:NSX720934 OCQ720934:OCT720934 OMM720934:OMP720934 OWI720934:OWL720934 PGE720934:PGH720934 PQA720934:PQD720934 PZW720934:PZZ720934 QJS720934:QJV720934 QTO720934:QTR720934 RDK720934:RDN720934 RNG720934:RNJ720934 RXC720934:RXF720934 SGY720934:SHB720934 SQU720934:SQX720934 TAQ720934:TAT720934 TKM720934:TKP720934 TUI720934:TUL720934 UEE720934:UEH720934 UOA720934:UOD720934 UXW720934:UXZ720934 VHS720934:VHV720934 VRO720934:VRR720934 WBK720934:WBN720934 WLG720934:WLJ720934 WVC720934:WVF720934 AO786470:AR786470 IQ786470:IT786470 SM786470:SP786470 ACI786470:ACL786470 AME786470:AMH786470 AWA786470:AWD786470 BFW786470:BFZ786470 BPS786470:BPV786470 BZO786470:BZR786470 CJK786470:CJN786470 CTG786470:CTJ786470 DDC786470:DDF786470 DMY786470:DNB786470 DWU786470:DWX786470 EGQ786470:EGT786470 EQM786470:EQP786470 FAI786470:FAL786470 FKE786470:FKH786470 FUA786470:FUD786470 GDW786470:GDZ786470 GNS786470:GNV786470 GXO786470:GXR786470 HHK786470:HHN786470 HRG786470:HRJ786470 IBC786470:IBF786470 IKY786470:ILB786470 IUU786470:IUX786470 JEQ786470:JET786470 JOM786470:JOP786470 JYI786470:JYL786470 KIE786470:KIH786470 KSA786470:KSD786470 LBW786470:LBZ786470 LLS786470:LLV786470 LVO786470:LVR786470 MFK786470:MFN786470 MPG786470:MPJ786470 MZC786470:MZF786470 NIY786470:NJB786470 NSU786470:NSX786470 OCQ786470:OCT786470 OMM786470:OMP786470 OWI786470:OWL786470 PGE786470:PGH786470 PQA786470:PQD786470 PZW786470:PZZ786470 QJS786470:QJV786470 QTO786470:QTR786470 RDK786470:RDN786470 RNG786470:RNJ786470 RXC786470:RXF786470 SGY786470:SHB786470 SQU786470:SQX786470 TAQ786470:TAT786470 TKM786470:TKP786470 TUI786470:TUL786470 UEE786470:UEH786470 UOA786470:UOD786470 UXW786470:UXZ786470 VHS786470:VHV786470 VRO786470:VRR786470 WBK786470:WBN786470 WLG786470:WLJ786470 WVC786470:WVF786470 AO852006:AR852006 IQ852006:IT852006 SM852006:SP852006 ACI852006:ACL852006 AME852006:AMH852006 AWA852006:AWD852006 BFW852006:BFZ852006 BPS852006:BPV852006 BZO852006:BZR852006 CJK852006:CJN852006 CTG852006:CTJ852006 DDC852006:DDF852006 DMY852006:DNB852006 DWU852006:DWX852006 EGQ852006:EGT852006 EQM852006:EQP852006 FAI852006:FAL852006 FKE852006:FKH852006 FUA852006:FUD852006 GDW852006:GDZ852006 GNS852006:GNV852006 GXO852006:GXR852006 HHK852006:HHN852006 HRG852006:HRJ852006 IBC852006:IBF852006 IKY852006:ILB852006 IUU852006:IUX852006 JEQ852006:JET852006 JOM852006:JOP852006 JYI852006:JYL852006 KIE852006:KIH852006 KSA852006:KSD852006 LBW852006:LBZ852006 LLS852006:LLV852006 LVO852006:LVR852006 MFK852006:MFN852006 MPG852006:MPJ852006 MZC852006:MZF852006 NIY852006:NJB852006 NSU852006:NSX852006 OCQ852006:OCT852006 OMM852006:OMP852006 OWI852006:OWL852006 PGE852006:PGH852006 PQA852006:PQD852006 PZW852006:PZZ852006 QJS852006:QJV852006 QTO852006:QTR852006 RDK852006:RDN852006 RNG852006:RNJ852006 RXC852006:RXF852006 SGY852006:SHB852006 SQU852006:SQX852006 TAQ852006:TAT852006 TKM852006:TKP852006 TUI852006:TUL852006 UEE852006:UEH852006 UOA852006:UOD852006 UXW852006:UXZ852006 VHS852006:VHV852006 VRO852006:VRR852006 WBK852006:WBN852006 WLG852006:WLJ852006 WVC852006:WVF852006 AO917542:AR917542 IQ917542:IT917542 SM917542:SP917542 ACI917542:ACL917542 AME917542:AMH917542 AWA917542:AWD917542 BFW917542:BFZ917542 BPS917542:BPV917542 BZO917542:BZR917542 CJK917542:CJN917542 CTG917542:CTJ917542 DDC917542:DDF917542 DMY917542:DNB917542 DWU917542:DWX917542 EGQ917542:EGT917542 EQM917542:EQP917542 FAI917542:FAL917542 FKE917542:FKH917542 FUA917542:FUD917542 GDW917542:GDZ917542 GNS917542:GNV917542 GXO917542:GXR917542 HHK917542:HHN917542 HRG917542:HRJ917542 IBC917542:IBF917542 IKY917542:ILB917542 IUU917542:IUX917542 JEQ917542:JET917542 JOM917542:JOP917542 JYI917542:JYL917542 KIE917542:KIH917542 KSA917542:KSD917542 LBW917542:LBZ917542 LLS917542:LLV917542 LVO917542:LVR917542 MFK917542:MFN917542 MPG917542:MPJ917542 MZC917542:MZF917542 NIY917542:NJB917542 NSU917542:NSX917542 OCQ917542:OCT917542 OMM917542:OMP917542 OWI917542:OWL917542 PGE917542:PGH917542 PQA917542:PQD917542 PZW917542:PZZ917542 QJS917542:QJV917542 QTO917542:QTR917542 RDK917542:RDN917542 RNG917542:RNJ917542 RXC917542:RXF917542 SGY917542:SHB917542 SQU917542:SQX917542 TAQ917542:TAT917542 TKM917542:TKP917542 TUI917542:TUL917542 UEE917542:UEH917542 UOA917542:UOD917542 UXW917542:UXZ917542 VHS917542:VHV917542 VRO917542:VRR917542 WBK917542:WBN917542 WLG917542:WLJ917542 WVC917542:WVF917542" xr:uid="{D78D8900-DA4D-4C74-9AF5-020A8FBE042C}">
      <formula1>"○, ○（オンライン処理設計書なし）"</formula1>
    </dataValidation>
    <dataValidation type="list" allowBlank="1" showInputMessage="1" showErrorMessage="1" sqref="X13:AA13 X28:AA28 X5:AA5" xr:uid="{C5F42439-242A-4FEC-BFD2-90E21202392D}">
      <formula1>$P$41:$P$42</formula1>
    </dataValidation>
    <dataValidation type="list" allowBlank="1" showInputMessage="1" showErrorMessage="1" sqref="AD21:AE24 WAZ14:WBA15 VRD14:VRE15 VHH14:VHI15 UXL14:UXM15 UNP14:UNQ15 UDT14:UDU15 TTX14:TTY15 TKB14:TKC15 TAF14:TAG15 SQJ14:SQK15 SGN14:SGO15 RWR14:RWS15 RMV14:RMW15 RCZ14:RDA15 QTD14:QTE15 QJH14:QJI15 PZL14:PZM15 PPP14:PPQ15 PFT14:PFU15 OVX14:OVY15 OMB14:OMC15 OCF14:OCG15 NSJ14:NSK15 NIN14:NIO15 MYR14:MYS15 MOV14:MOW15 MEZ14:MFA15 LVD14:LVE15 LLH14:LLI15 LBL14:LBM15 KRP14:KRQ15 KHT14:KHU15 JXX14:JXY15 JOB14:JOC15 JEF14:JEG15 IUJ14:IUK15 IKN14:IKO15 IAR14:IAS15 HQV14:HQW15 HGZ14:HHA15 GXD14:GXE15 GNH14:GNI15 GDL14:GDM15 FTP14:FTQ15 FJT14:FJU15 EZX14:EZY15 EQB14:EQC15 EGF14:EGG15 DWJ14:DWK15 DMN14:DMO15 DCR14:DCS15 CSV14:CSW15 CIZ14:CJA15 BZD14:BZE15 BPH14:BPI15 BFL14:BFM15 AVP14:AVQ15 ALT14:ALU15 ABX14:ABY15 SB14:SC15 IF14:IG15 WUR14:WUS15 WKV14:WKW15 WKV21:WKW22 WAZ21:WBA22 VRD21:VRE22 VHH21:VHI22 UXL21:UXM22 UNP21:UNQ22 UDT21:UDU22 TTX21:TTY22 TKB21:TKC22 TAF21:TAG22 SQJ21:SQK22 SGN21:SGO22 RWR21:RWS22 RMV21:RMW22 RCZ21:RDA22 QTD21:QTE22 QJH21:QJI22 PZL21:PZM22 PPP21:PPQ22 PFT21:PFU22 OVX21:OVY22 OMB21:OMC22 OCF21:OCG22 NSJ21:NSK22 NIN21:NIO22 MYR21:MYS22 MOV21:MOW22 MEZ21:MFA22 LVD21:LVE22 LLH21:LLI22 LBL21:LBM22 KRP21:KRQ22 KHT21:KHU22 JXX21:JXY22 JOB21:JOC22 JEF21:JEG22 IUJ21:IUK22 IKN21:IKO22 IAR21:IAS22 HQV21:HQW22 HGZ21:HHA22 GXD21:GXE22 GNH21:GNI22 GDL21:GDM22 FTP21:FTQ22 FJT21:FJU22 EZX21:EZY22 EQB21:EQC22 EGF21:EGG22 DWJ21:DWK22 DMN21:DMO22 DCR21:DCS22 CSV21:CSW22 CIZ21:CJA22 BZD21:BZE22 BPH21:BPI22 BFL21:BFM22 AVP21:AVQ22 ALT21:ALU22 ABX21:ABY22 SB21:SC22 IF21:IG22 WUR21:WUS22 WAZ6:WBA7 VRD6:VRE7 VHH6:VHI7 UXL6:UXM7 UNP6:UNQ7 UDT6:UDU7 TTX6:TTY7 TKB6:TKC7 TAF6:TAG7 SQJ6:SQK7 SGN6:SGO7 RWR6:RWS7 RMV6:RMW7 RCZ6:RDA7 QTD6:QTE7 QJH6:QJI7 PZL6:PZM7 PPP6:PPQ7 PFT6:PFU7 OVX6:OVY7 OMB6:OMC7 OCF6:OCG7 NSJ6:NSK7 NIN6:NIO7 MYR6:MYS7 MOV6:MOW7 MEZ6:MFA7 LVD6:LVE7 LLH6:LLI7 LBL6:LBM7 KRP6:KRQ7 KHT6:KHU7 JXX6:JXY7 JOB6:JOC7 JEF6:JEG7 IUJ6:IUK7 IKN6:IKO7 IAR6:IAS7 HQV6:HQW7 HGZ6:HHA7 GXD6:GXE7 GNH6:GNI7 GDL6:GDM7 FTP6:FTQ7 FJT6:FJU7 EZX6:EZY7 EQB6:EQC7 EGF6:EGG7 DWJ6:DWK7 DMN6:DMO7 DCR6:DCS7 CSV6:CSW7 CIZ6:CJA7 BZD6:BZE7 BPH6:BPI7 BFL6:BFM7 AVP6:AVQ7 ALT6:ALU7 ABX6:ABY7 SB6:SC7 IF6:IG7 WUR6:WUS7 WKV6:WKW7" xr:uid="{07361856-81A0-463C-A48A-614BF8AF0B17}">
      <formula1>$Y$53:$Y$55</formula1>
    </dataValidation>
    <dataValidation type="list" allowBlank="1" showInputMessage="1" showErrorMessage="1" sqref="WKT21:WKU22 WAX14:WAY15 VRB14:VRC15 VHF14:VHG15 UXJ14:UXK15 UNN14:UNO15 UDR14:UDS15 TTV14:TTW15 TJZ14:TKA15 TAD14:TAE15 SQH14:SQI15 SGL14:SGM15 RWP14:RWQ15 RMT14:RMU15 RCX14:RCY15 QTB14:QTC15 QJF14:QJG15 PZJ14:PZK15 PPN14:PPO15 PFR14:PFS15 OVV14:OVW15 OLZ14:OMA15 OCD14:OCE15 NSH14:NSI15 NIL14:NIM15 MYP14:MYQ15 MOT14:MOU15 MEX14:MEY15 LVB14:LVC15 LLF14:LLG15 LBJ14:LBK15 KRN14:KRO15 KHR14:KHS15 JXV14:JXW15 JNZ14:JOA15 JED14:JEE15 IUH14:IUI15 IKL14:IKM15 IAP14:IAQ15 HQT14:HQU15 HGX14:HGY15 GXB14:GXC15 GNF14:GNG15 GDJ14:GDK15 FTN14:FTO15 FJR14:FJS15 EZV14:EZW15 EPZ14:EQA15 EGD14:EGE15 DWH14:DWI15 DML14:DMM15 DCP14:DCQ15 CST14:CSU15 CIX14:CIY15 BZB14:BZC15 BPF14:BPG15 BFJ14:BFK15 AVN14:AVO15 ALR14:ALS15 ABV14:ABW15 RZ14:SA15 ID14:IE15 WUP14:WUQ15 WKT14:WKU15 WAX21:WAY22 VRB21:VRC22 VHF21:VHG22 UXJ21:UXK22 UNN21:UNO22 UDR21:UDS22 TTV21:TTW22 TJZ21:TKA22 TAD21:TAE22 SQH21:SQI22 SGL21:SGM22 RWP21:RWQ22 RMT21:RMU22 RCX21:RCY22 QTB21:QTC22 QJF21:QJG22 PZJ21:PZK22 PPN21:PPO22 PFR21:PFS22 OVV21:OVW22 OLZ21:OMA22 OCD21:OCE22 NSH21:NSI22 NIL21:NIM22 MYP21:MYQ22 MOT21:MOU22 MEX21:MEY22 LVB21:LVC22 LLF21:LLG22 LBJ21:LBK22 KRN21:KRO22 KHR21:KHS22 JXV21:JXW22 JNZ21:JOA22 JED21:JEE22 IUH21:IUI22 IKL21:IKM22 IAP21:IAQ22 HQT21:HQU22 HGX21:HGY22 GXB21:GXC22 GNF21:GNG22 GDJ21:GDK22 FTN21:FTO22 FJR21:FJS22 EZV21:EZW22 EPZ21:EQA22 EGD21:EGE22 DWH21:DWI22 DML21:DMM22 DCP21:DCQ22 CST21:CSU22 CIX21:CIY22 BZB21:BZC22 BPF21:BPG22 BFJ21:BFK22 AVN21:AVO22 ALR21:ALS22 ABV21:ABW22 RZ21:SA22 ID21:IE22 WUP21:WUQ22 WAX6:WAY7 VRB6:VRC7 VHF6:VHG7 UXJ6:UXK7 UNN6:UNO7 UDR6:UDS7 TTV6:TTW7 TJZ6:TKA7 TAD6:TAE7 SQH6:SQI7 SGL6:SGM7 RWP6:RWQ7 RMT6:RMU7 RCX6:RCY7 QTB6:QTC7 QJF6:QJG7 PZJ6:PZK7 PPN6:PPO7 PFR6:PFS7 OVV6:OVW7 OLZ6:OMA7 OCD6:OCE7 NSH6:NSI7 NIL6:NIM7 MYP6:MYQ7 MOT6:MOU7 MEX6:MEY7 LVB6:LVC7 LLF6:LLG7 LBJ6:LBK7 KRN6:KRO7 KHR6:KHS7 JXV6:JXW7 JNZ6:JOA7 JED6:JEE7 IUH6:IUI7 IKL6:IKM7 IAP6:IAQ7 HQT6:HQU7 HGX6:HGY7 GXB6:GXC7 GNF6:GNG7 GDJ6:GDK7 FTN6:FTO7 FJR6:FJS7 EZV6:EZW7 EPZ6:EQA7 EGD6:EGE7 DWH6:DWI7 DML6:DMM7 DCP6:DCQ7 CST6:CSU7 CIX6:CIY7 BZB6:BZC7 BPF6:BPG7 BFJ6:BFK7 AVN6:AVO7 ALR6:ALS7 ABV6:ABW7 RZ6:SA7 ID6:IE7 WUP6:WUQ7 WKT6:WKU7" xr:uid="{AB27FFD7-6499-4F85-83B3-5512AFE3350C}">
      <formula1>$U$53:$U$56</formula1>
    </dataValidation>
    <dataValidation type="list" allowBlank="1" showInputMessage="1" showErrorMessage="1" sqref="Q18:W27 Q14:W15 WAM14:WAW15 VQQ14:VRA15 VGU14:VHE15 UWY14:UXI15 UNC14:UNM15 UDG14:UDQ15 TTK14:TTU15 TJO14:TJY15 SZS14:TAC15 SPW14:SQG15 SGA14:SGK15 RWE14:RWO15 RMI14:RMS15 RCM14:RCW15 QSQ14:QTA15 QIU14:QJE15 PYY14:PZI15 PPC14:PPM15 PFG14:PFQ15 OVK14:OVU15 OLO14:OLY15 OBS14:OCC15 NRW14:NSG15 NIA14:NIK15 MYE14:MYO15 MOI14:MOS15 MEM14:MEW15 LUQ14:LVA15 LKU14:LLE15 LAY14:LBI15 KRC14:KRM15 KHG14:KHQ15 JXK14:JXU15 JNO14:JNY15 JDS14:JEC15 ITW14:IUG15 IKA14:IKK15 IAE14:IAO15 HQI14:HQS15 HGM14:HGW15 GWQ14:GXA15 GMU14:GNE15 GCY14:GDI15 FTC14:FTM15 FJG14:FJQ15 EZK14:EZU15 EPO14:EPY15 EFS14:EGC15 DVW14:DWG15 DMA14:DMK15 DCE14:DCO15 CSI14:CSS15 CIM14:CIW15 BYQ14:BZA15 BOU14:BPE15 BEY14:BFI15 AVC14:AVM15 ALG14:ALQ15 ABK14:ABU15 RO14:RY15 HS14:IC15 WUE14:WUO15 WKI14:WKS15 WKI21:WKS22 WAM21:WAW22 VQQ21:VRA22 VGU21:VHE22 UWY21:UXI22 UNC21:UNM22 UDG21:UDQ22 TTK21:TTU22 TJO21:TJY22 SZS21:TAC22 SPW21:SQG22 SGA21:SGK22 RWE21:RWO22 RMI21:RMS22 RCM21:RCW22 QSQ21:QTA22 QIU21:QJE22 PYY21:PZI22 PPC21:PPM22 PFG21:PFQ22 OVK21:OVU22 OLO21:OLY22 OBS21:OCC22 NRW21:NSG22 NIA21:NIK22 MYE21:MYO22 MOI21:MOS22 MEM21:MEW22 LUQ21:LVA22 LKU21:LLE22 LAY21:LBI22 KRC21:KRM22 KHG21:KHQ22 JXK21:JXU22 JNO21:JNY22 JDS21:JEC22 ITW21:IUG22 IKA21:IKK22 IAE21:IAO22 HQI21:HQS22 HGM21:HGW22 GWQ21:GXA22 GMU21:GNE22 GCY21:GDI22 FTC21:FTM22 FJG21:FJQ22 EZK21:EZU22 EPO21:EPY22 EFS21:EGC22 DVW21:DWG22 DMA21:DMK22 DCE21:DCO22 CSI21:CSS22 CIM21:CIW22 BYQ21:BZA22 BOU21:BPE22 BEY21:BFI22 AVC21:AVM22 ALG21:ALQ22 ABK21:ABU22 RO21:RY22 HS21:IC22 WUE21:WUO22 Q10:W12 Q6:W7 WAM6:WAW7 VQQ6:VRA7 VGU6:VHE7 UWY6:UXI7 UNC6:UNM7 UDG6:UDQ7 TTK6:TTU7 TJO6:TJY7 SZS6:TAC7 SPW6:SQG7 SGA6:SGK7 RWE6:RWO7 RMI6:RMS7 RCM6:RCW7 QSQ6:QTA7 QIU6:QJE7 PYY6:PZI7 PPC6:PPM7 PFG6:PFQ7 OVK6:OVU7 OLO6:OLY7 OBS6:OCC7 NRW6:NSG7 NIA6:NIK7 MYE6:MYO7 MOI6:MOS7 MEM6:MEW7 LUQ6:LVA7 LKU6:LLE7 LAY6:LBI7 KRC6:KRM7 KHG6:KHQ7 JXK6:JXU7 JNO6:JNY7 JDS6:JEC7 ITW6:IUG7 IKA6:IKK7 IAE6:IAO7 HQI6:HQS7 HGM6:HGW7 GWQ6:GXA7 GMU6:GNE7 GCY6:GDI7 FTC6:FTM7 FJG6:FJQ7 EZK6:EZU7 EPO6:EPY7 EFS6:EGC7 DVW6:DWG7 DMA6:DMK7 DCE6:DCO7 CSI6:CSS7 CIM6:CIW7 BYQ6:BZA7 BOU6:BPE7 BEY6:BFI7 AVC6:AVM7 ALG6:ALQ7 ABK6:ABU7 RO6:RY7 HS6:IC7 WUE6:WUO7 WKI6:WKS7" xr:uid="{9006E94F-4F1C-49DD-88E9-69EBC29F36D2}">
      <formula1>$C$53:$C$73</formula1>
    </dataValidation>
    <dataValidation type="list" allowBlank="1" showInputMessage="1" showErrorMessage="1" sqref="X14:AA27 X6:AA12" xr:uid="{0034401A-7D94-450C-84B4-514156374B00}">
      <formula1>$P$46:$P$47</formula1>
    </dataValidation>
    <dataValidation type="list" allowBlank="1" showInputMessage="1" showErrorMessage="1" sqref="Q16:W16 Q8:W8" xr:uid="{5FE70215-0BEC-49D6-8997-ECDB33B48430}">
      <formula1>$C$46:$C$66</formula1>
    </dataValidation>
    <dataValidation type="list" allowBlank="1" showInputMessage="1" showErrorMessage="1" sqref="AD16 AD8" xr:uid="{691C811D-5C32-41D3-A457-FD7F53FD4BA7}">
      <formula1>$Y$46:$Y$48</formula1>
    </dataValidation>
    <dataValidation type="list" allowBlank="1" showInputMessage="1" showErrorMessage="1" sqref="AD17 AD9" xr:uid="{1BBC8612-90C4-4F0B-92C4-62565828E533}">
      <formula1>$Y$50:$Y$52</formula1>
    </dataValidation>
    <dataValidation type="list" allowBlank="1" showInputMessage="1" showErrorMessage="1" sqref="Q17:W17 Q9:W9" xr:uid="{F86BE9A5-D01A-4CD6-A9D3-A359DD2C84D3}">
      <formula1>$C$50:$C$70</formula1>
    </dataValidation>
  </dataValidations>
  <pageMargins left="0.7" right="0.7" top="0.75" bottom="0.75" header="0.3" footer="0.3"/>
  <pageSetup paperSize="9" scale="56" fitToHeight="0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CF027-8D07-4890-B248-7B3501D322C0}">
  <sheetPr>
    <pageSetUpPr fitToPage="1"/>
  </sheetPr>
  <dimension ref="A1:AD17"/>
  <sheetViews>
    <sheetView showGridLines="0" view="pageBreakPreview" zoomScale="80" zoomScaleNormal="85" zoomScaleSheetLayoutView="80" workbookViewId="0">
      <selection activeCell="U22" sqref="U22"/>
    </sheetView>
  </sheetViews>
  <sheetFormatPr defaultColWidth="2.6328125" defaultRowHeight="15"/>
  <cols>
    <col min="1" max="10" width="2.6328125" style="460" customWidth="1"/>
    <col min="11" max="16" width="3.26953125" style="460" customWidth="1"/>
    <col min="17" max="30" width="2.6328125" style="460" customWidth="1"/>
    <col min="31" max="16384" width="2.6328125" style="460"/>
  </cols>
  <sheetData>
    <row r="1" spans="1:30" ht="13.5" customHeight="1">
      <c r="A1" s="711" t="s">
        <v>238</v>
      </c>
      <c r="B1" s="711"/>
      <c r="C1" s="711"/>
      <c r="D1" s="711"/>
      <c r="E1" s="711"/>
      <c r="F1" s="711"/>
      <c r="G1" s="711"/>
      <c r="H1" s="711"/>
      <c r="I1" s="711"/>
      <c r="J1" s="711"/>
      <c r="K1" s="487"/>
      <c r="L1" s="487"/>
      <c r="M1" s="487"/>
      <c r="N1" s="487"/>
      <c r="O1" s="487"/>
      <c r="P1" s="487"/>
      <c r="Q1" s="487"/>
      <c r="R1" s="487"/>
      <c r="S1" s="487"/>
      <c r="T1" s="487"/>
      <c r="U1" s="487"/>
      <c r="V1" s="487"/>
      <c r="W1" s="487"/>
      <c r="X1" s="487"/>
      <c r="Y1" s="487"/>
      <c r="Z1" s="487"/>
      <c r="AA1" s="487"/>
      <c r="AB1" s="487"/>
      <c r="AC1" s="487"/>
      <c r="AD1" s="487"/>
    </row>
    <row r="2" spans="1:30" ht="13.5" customHeight="1">
      <c r="A2" s="737" t="s">
        <v>201</v>
      </c>
      <c r="B2" s="738"/>
      <c r="C2" s="737" t="s">
        <v>239</v>
      </c>
      <c r="D2" s="738"/>
      <c r="E2" s="738"/>
      <c r="F2" s="738"/>
      <c r="G2" s="738"/>
      <c r="H2" s="738"/>
      <c r="I2" s="738"/>
      <c r="J2" s="738"/>
      <c r="K2" s="738"/>
      <c r="L2" s="738"/>
      <c r="M2" s="738"/>
      <c r="N2" s="738"/>
      <c r="O2" s="738"/>
      <c r="P2" s="738"/>
      <c r="Q2" s="766" t="s">
        <v>240</v>
      </c>
      <c r="R2" s="767"/>
      <c r="S2" s="767"/>
      <c r="T2" s="767"/>
      <c r="U2" s="767"/>
      <c r="V2" s="767"/>
      <c r="W2" s="767"/>
      <c r="X2" s="767"/>
      <c r="Y2" s="767"/>
      <c r="Z2" s="767"/>
      <c r="AA2" s="767"/>
      <c r="AB2" s="767"/>
      <c r="AC2" s="767"/>
      <c r="AD2" s="768"/>
    </row>
    <row r="3" spans="1:30" ht="38.25" customHeight="1">
      <c r="A3" s="738"/>
      <c r="B3" s="738"/>
      <c r="C3" s="738"/>
      <c r="D3" s="738"/>
      <c r="E3" s="738"/>
      <c r="F3" s="738"/>
      <c r="G3" s="738"/>
      <c r="H3" s="738"/>
      <c r="I3" s="738"/>
      <c r="J3" s="738"/>
      <c r="K3" s="738"/>
      <c r="L3" s="738"/>
      <c r="M3" s="738"/>
      <c r="N3" s="738"/>
      <c r="O3" s="738"/>
      <c r="P3" s="738"/>
      <c r="Q3" s="765" t="s">
        <v>241</v>
      </c>
      <c r="R3" s="765"/>
      <c r="S3" s="765"/>
      <c r="T3" s="765"/>
      <c r="U3" s="765"/>
      <c r="V3" s="765"/>
      <c r="W3" s="765"/>
      <c r="X3" s="765"/>
      <c r="Y3" s="765"/>
      <c r="Z3" s="765"/>
      <c r="AA3" s="765"/>
      <c r="AB3" s="765"/>
      <c r="AC3" s="765"/>
      <c r="AD3" s="765"/>
    </row>
    <row r="4" spans="1:30" ht="13.5" customHeight="1">
      <c r="A4" s="750"/>
      <c r="B4" s="751"/>
      <c r="C4" s="758"/>
      <c r="D4" s="759"/>
      <c r="E4" s="759"/>
      <c r="F4" s="759"/>
      <c r="G4" s="759"/>
      <c r="H4" s="759"/>
      <c r="I4" s="760"/>
      <c r="J4" s="762"/>
      <c r="K4" s="763"/>
      <c r="L4" s="763"/>
      <c r="M4" s="763"/>
      <c r="N4" s="763"/>
      <c r="O4" s="763"/>
      <c r="P4" s="764"/>
      <c r="Q4" s="710"/>
      <c r="R4" s="708"/>
      <c r="S4" s="708"/>
      <c r="T4" s="708"/>
      <c r="U4" s="708"/>
      <c r="V4" s="708"/>
      <c r="W4" s="686"/>
      <c r="X4" s="710"/>
      <c r="Y4" s="708"/>
      <c r="Z4" s="708"/>
      <c r="AA4" s="708"/>
      <c r="AB4" s="708"/>
      <c r="AC4" s="708"/>
      <c r="AD4" s="686"/>
    </row>
    <row r="5" spans="1:30" ht="13.5" customHeight="1">
      <c r="A5" s="750"/>
      <c r="B5" s="751"/>
      <c r="C5" s="758"/>
      <c r="D5" s="759"/>
      <c r="E5" s="759"/>
      <c r="F5" s="759"/>
      <c r="G5" s="759"/>
      <c r="H5" s="759"/>
      <c r="I5" s="760"/>
      <c r="J5" s="762"/>
      <c r="K5" s="763"/>
      <c r="L5" s="763"/>
      <c r="M5" s="763"/>
      <c r="N5" s="763"/>
      <c r="O5" s="763"/>
      <c r="P5" s="764"/>
      <c r="Q5" s="710"/>
      <c r="R5" s="708"/>
      <c r="S5" s="708"/>
      <c r="T5" s="708"/>
      <c r="U5" s="708"/>
      <c r="V5" s="708"/>
      <c r="W5" s="686"/>
      <c r="X5" s="710"/>
      <c r="Y5" s="708"/>
      <c r="Z5" s="708"/>
      <c r="AA5" s="708"/>
      <c r="AB5" s="708"/>
      <c r="AC5" s="708"/>
      <c r="AD5" s="686"/>
    </row>
    <row r="6" spans="1:30" ht="13.5" customHeight="1">
      <c r="A6" s="750"/>
      <c r="B6" s="751"/>
      <c r="C6" s="752"/>
      <c r="D6" s="753"/>
      <c r="E6" s="753"/>
      <c r="F6" s="753"/>
      <c r="G6" s="753"/>
      <c r="H6" s="753"/>
      <c r="I6" s="754"/>
      <c r="J6" s="761"/>
      <c r="K6" s="761"/>
      <c r="L6" s="761"/>
      <c r="M6" s="761"/>
      <c r="N6" s="761"/>
      <c r="O6" s="761"/>
      <c r="P6" s="761"/>
      <c r="Q6" s="710"/>
      <c r="R6" s="708"/>
      <c r="S6" s="708"/>
      <c r="T6" s="708"/>
      <c r="U6" s="708"/>
      <c r="V6" s="708"/>
      <c r="W6" s="686"/>
      <c r="X6" s="710"/>
      <c r="Y6" s="708"/>
      <c r="Z6" s="708"/>
      <c r="AA6" s="708"/>
      <c r="AB6" s="708"/>
      <c r="AC6" s="708"/>
      <c r="AD6" s="686"/>
    </row>
    <row r="7" spans="1:30" ht="13.5" customHeight="1">
      <c r="A7" s="750"/>
      <c r="B7" s="751"/>
      <c r="C7" s="758"/>
      <c r="D7" s="759"/>
      <c r="E7" s="759"/>
      <c r="F7" s="759"/>
      <c r="G7" s="759"/>
      <c r="H7" s="759"/>
      <c r="I7" s="760"/>
      <c r="J7" s="752"/>
      <c r="K7" s="753"/>
      <c r="L7" s="753"/>
      <c r="M7" s="753"/>
      <c r="N7" s="753"/>
      <c r="O7" s="753"/>
      <c r="P7" s="754"/>
      <c r="Q7" s="710"/>
      <c r="R7" s="708"/>
      <c r="S7" s="708"/>
      <c r="T7" s="708"/>
      <c r="U7" s="708"/>
      <c r="V7" s="708"/>
      <c r="W7" s="686"/>
      <c r="X7" s="710"/>
      <c r="Y7" s="708"/>
      <c r="Z7" s="708"/>
      <c r="AA7" s="708"/>
      <c r="AB7" s="708"/>
      <c r="AC7" s="708"/>
      <c r="AD7" s="686"/>
    </row>
    <row r="8" spans="1:30" ht="13.5" customHeight="1">
      <c r="A8" s="750"/>
      <c r="B8" s="751"/>
      <c r="C8" s="755"/>
      <c r="D8" s="756"/>
      <c r="E8" s="756"/>
      <c r="F8" s="756"/>
      <c r="G8" s="756"/>
      <c r="H8" s="756"/>
      <c r="I8" s="757"/>
      <c r="J8" s="752"/>
      <c r="K8" s="753"/>
      <c r="L8" s="753"/>
      <c r="M8" s="753"/>
      <c r="N8" s="753"/>
      <c r="O8" s="753"/>
      <c r="P8" s="754"/>
      <c r="Q8" s="710"/>
      <c r="R8" s="708"/>
      <c r="S8" s="708"/>
      <c r="T8" s="708"/>
      <c r="U8" s="708"/>
      <c r="V8" s="708"/>
      <c r="W8" s="686"/>
      <c r="X8" s="710"/>
      <c r="Y8" s="708"/>
      <c r="Z8" s="708"/>
      <c r="AA8" s="708"/>
      <c r="AB8" s="708"/>
      <c r="AC8" s="708"/>
      <c r="AD8" s="686"/>
    </row>
    <row r="9" spans="1:30" ht="13.5" customHeight="1">
      <c r="A9" s="750"/>
      <c r="B9" s="751"/>
      <c r="C9" s="755"/>
      <c r="D9" s="756"/>
      <c r="E9" s="756"/>
      <c r="F9" s="756"/>
      <c r="G9" s="756"/>
      <c r="H9" s="756"/>
      <c r="I9" s="757"/>
      <c r="J9" s="752"/>
      <c r="K9" s="753"/>
      <c r="L9" s="753"/>
      <c r="M9" s="753"/>
      <c r="N9" s="753"/>
      <c r="O9" s="753"/>
      <c r="P9" s="754"/>
      <c r="Q9" s="710"/>
      <c r="R9" s="708"/>
      <c r="S9" s="708"/>
      <c r="T9" s="708"/>
      <c r="U9" s="708"/>
      <c r="V9" s="708"/>
      <c r="W9" s="686"/>
      <c r="X9" s="710"/>
      <c r="Y9" s="708"/>
      <c r="Z9" s="708"/>
      <c r="AA9" s="708"/>
      <c r="AB9" s="708"/>
      <c r="AC9" s="708"/>
      <c r="AD9" s="686"/>
    </row>
    <row r="10" spans="1:30" ht="13.5" customHeight="1">
      <c r="A10" s="750"/>
      <c r="B10" s="751"/>
      <c r="C10" s="638"/>
      <c r="D10" s="639"/>
      <c r="E10" s="639"/>
      <c r="F10" s="639"/>
      <c r="G10" s="639"/>
      <c r="H10" s="639"/>
      <c r="I10" s="640"/>
      <c r="J10" s="752"/>
      <c r="K10" s="753"/>
      <c r="L10" s="753"/>
      <c r="M10" s="753"/>
      <c r="N10" s="753"/>
      <c r="O10" s="753"/>
      <c r="P10" s="754"/>
      <c r="Q10" s="710"/>
      <c r="R10" s="708"/>
      <c r="S10" s="708"/>
      <c r="T10" s="708"/>
      <c r="U10" s="708"/>
      <c r="V10" s="708"/>
      <c r="W10" s="686"/>
      <c r="X10" s="710"/>
      <c r="Y10" s="708"/>
      <c r="Z10" s="708"/>
      <c r="AA10" s="708"/>
      <c r="AB10" s="708"/>
      <c r="AC10" s="708"/>
      <c r="AD10" s="686"/>
    </row>
    <row r="11" spans="1:30" ht="13.5" customHeight="1">
      <c r="A11" s="750"/>
      <c r="B11" s="751"/>
      <c r="C11" s="638"/>
      <c r="D11" s="639"/>
      <c r="E11" s="639"/>
      <c r="F11" s="639"/>
      <c r="G11" s="639"/>
      <c r="H11" s="639"/>
      <c r="I11" s="640"/>
      <c r="J11" s="752"/>
      <c r="K11" s="753"/>
      <c r="L11" s="753"/>
      <c r="M11" s="753"/>
      <c r="N11" s="753"/>
      <c r="O11" s="753"/>
      <c r="P11" s="754"/>
      <c r="Q11" s="710"/>
      <c r="R11" s="708"/>
      <c r="S11" s="708"/>
      <c r="T11" s="708"/>
      <c r="U11" s="708"/>
      <c r="V11" s="708"/>
      <c r="W11" s="686"/>
      <c r="X11" s="710"/>
      <c r="Y11" s="708"/>
      <c r="Z11" s="708"/>
      <c r="AA11" s="708"/>
      <c r="AB11" s="708"/>
      <c r="AC11" s="708"/>
      <c r="AD11" s="686"/>
    </row>
    <row r="12" spans="1:30" ht="13.5" customHeight="1"/>
    <row r="13" spans="1:30" ht="13.5" customHeight="1"/>
    <row r="14" spans="1:30" ht="13.5" customHeight="1">
      <c r="D14" s="748" t="s">
        <v>242</v>
      </c>
      <c r="E14" s="748"/>
      <c r="F14" s="748"/>
      <c r="G14" s="748"/>
      <c r="H14" s="748"/>
      <c r="I14" s="748"/>
      <c r="J14" s="748"/>
      <c r="K14" s="749" t="s">
        <v>243</v>
      </c>
      <c r="L14" s="749"/>
      <c r="M14" s="749"/>
      <c r="N14" s="749"/>
      <c r="O14" s="749"/>
      <c r="P14" s="749"/>
    </row>
    <row r="15" spans="1:30" ht="13.5" customHeight="1">
      <c r="D15" s="746" t="s">
        <v>244</v>
      </c>
      <c r="E15" s="746"/>
      <c r="F15" s="746"/>
      <c r="G15" s="746"/>
      <c r="H15" s="746"/>
      <c r="I15" s="746"/>
      <c r="J15" s="746"/>
      <c r="K15" s="747" t="s">
        <v>212</v>
      </c>
      <c r="L15" s="747"/>
      <c r="M15" s="747"/>
      <c r="N15" s="747"/>
      <c r="O15" s="747"/>
      <c r="P15" s="747"/>
    </row>
    <row r="16" spans="1:30" ht="13.5" customHeight="1">
      <c r="D16" s="746" t="s">
        <v>245</v>
      </c>
      <c r="E16" s="746"/>
      <c r="F16" s="746"/>
      <c r="G16" s="746"/>
      <c r="H16" s="746"/>
      <c r="I16" s="746"/>
      <c r="J16" s="746"/>
      <c r="K16" s="747" t="s">
        <v>246</v>
      </c>
      <c r="L16" s="747"/>
      <c r="M16" s="747"/>
      <c r="N16" s="747"/>
      <c r="O16" s="747"/>
      <c r="P16" s="747"/>
    </row>
    <row r="17" spans="4:16" ht="13.5" customHeight="1">
      <c r="D17" s="746" t="s">
        <v>247</v>
      </c>
      <c r="E17" s="746"/>
      <c r="F17" s="746"/>
      <c r="G17" s="746"/>
      <c r="H17" s="746"/>
      <c r="I17" s="746"/>
      <c r="J17" s="746"/>
      <c r="K17" s="747" t="s">
        <v>219</v>
      </c>
      <c r="L17" s="747"/>
      <c r="M17" s="747"/>
      <c r="N17" s="747"/>
      <c r="O17" s="747"/>
      <c r="P17" s="747"/>
    </row>
  </sheetData>
  <mergeCells count="54">
    <mergeCell ref="X3:AD3"/>
    <mergeCell ref="A1:J1"/>
    <mergeCell ref="A2:B3"/>
    <mergeCell ref="C2:P3"/>
    <mergeCell ref="Q2:AD2"/>
    <mergeCell ref="Q3:W3"/>
    <mergeCell ref="A4:B4"/>
    <mergeCell ref="C4:I4"/>
    <mergeCell ref="J4:P4"/>
    <mergeCell ref="Q4:W4"/>
    <mergeCell ref="X4:AD4"/>
    <mergeCell ref="A5:B5"/>
    <mergeCell ref="C5:I5"/>
    <mergeCell ref="J5:P5"/>
    <mergeCell ref="Q5:W5"/>
    <mergeCell ref="X5:AD5"/>
    <mergeCell ref="A6:B6"/>
    <mergeCell ref="C6:I6"/>
    <mergeCell ref="J6:P6"/>
    <mergeCell ref="Q6:W6"/>
    <mergeCell ref="X6:AD6"/>
    <mergeCell ref="A7:B7"/>
    <mergeCell ref="C7:I7"/>
    <mergeCell ref="J7:P7"/>
    <mergeCell ref="Q7:W7"/>
    <mergeCell ref="X7:AD7"/>
    <mergeCell ref="A8:B8"/>
    <mergeCell ref="C8:I8"/>
    <mergeCell ref="J8:P8"/>
    <mergeCell ref="Q8:W8"/>
    <mergeCell ref="X8:AD8"/>
    <mergeCell ref="A9:B9"/>
    <mergeCell ref="C9:I9"/>
    <mergeCell ref="J9:P9"/>
    <mergeCell ref="Q9:W9"/>
    <mergeCell ref="X9:AD9"/>
    <mergeCell ref="Q11:W11"/>
    <mergeCell ref="X11:AD11"/>
    <mergeCell ref="A10:B10"/>
    <mergeCell ref="C10:I10"/>
    <mergeCell ref="J10:P10"/>
    <mergeCell ref="Q10:W10"/>
    <mergeCell ref="X10:AD10"/>
    <mergeCell ref="D14:J14"/>
    <mergeCell ref="K14:P14"/>
    <mergeCell ref="A11:B11"/>
    <mergeCell ref="C11:I11"/>
    <mergeCell ref="J11:P11"/>
    <mergeCell ref="D15:J15"/>
    <mergeCell ref="K15:P15"/>
    <mergeCell ref="D16:J16"/>
    <mergeCell ref="K16:P16"/>
    <mergeCell ref="D17:J17"/>
    <mergeCell ref="K17:P17"/>
  </mergeCells>
  <phoneticPr fontId="55"/>
  <dataValidations count="1">
    <dataValidation type="list" allowBlank="1" showInputMessage="1" showErrorMessage="1" sqref="Q4:AD11" xr:uid="{86F05633-290B-4AC6-9839-9E9B6E3B5361}">
      <formula1>$K$15:$K$17</formula1>
    </dataValidation>
  </dataValidations>
  <pageMargins left="0.7" right="0.7" top="0.75" bottom="0.75" header="0.3" footer="0.3"/>
  <pageSetup paperSize="9" scale="62" fitToHeight="0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8F4CE-E231-4DB9-9A50-8A11224C626C}">
  <dimension ref="A1:CI113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76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597" t="s">
        <v>4</v>
      </c>
      <c r="B1" s="597"/>
      <c r="C1" s="597"/>
      <c r="D1" s="597"/>
      <c r="E1" s="597"/>
      <c r="F1" s="597"/>
      <c r="G1" s="597"/>
      <c r="H1" s="597"/>
      <c r="I1" s="584" t="s">
        <v>5</v>
      </c>
      <c r="J1" s="584"/>
      <c r="K1" s="584"/>
      <c r="L1" s="584"/>
      <c r="M1" s="595" t="str">
        <f>変更来歴!M1</f>
        <v>ヒロセ電機株式会社</v>
      </c>
      <c r="N1" s="595"/>
      <c r="O1" s="595"/>
      <c r="P1" s="595"/>
      <c r="Q1" s="595"/>
      <c r="R1" s="595"/>
      <c r="S1" s="595"/>
      <c r="T1" s="595"/>
      <c r="U1" s="595"/>
      <c r="V1" s="595"/>
      <c r="W1" s="595"/>
      <c r="X1" s="584" t="s">
        <v>7</v>
      </c>
      <c r="Y1" s="584"/>
      <c r="Z1" s="584"/>
      <c r="AA1" s="599" t="str">
        <f>変更来歴!AA1</f>
        <v>管理者ログ確認システム</v>
      </c>
      <c r="AB1" s="599"/>
      <c r="AC1" s="599"/>
      <c r="AD1" s="599"/>
      <c r="AE1" s="599"/>
      <c r="AF1" s="599"/>
      <c r="AG1" s="599"/>
      <c r="AH1" s="599"/>
      <c r="AI1" s="599"/>
      <c r="AJ1" s="599"/>
      <c r="AK1" s="573" t="s">
        <v>8</v>
      </c>
      <c r="AL1" s="573"/>
      <c r="AM1" s="573"/>
      <c r="AN1" s="575" t="str">
        <f>変更来歴!AP7</f>
        <v>古竹</v>
      </c>
      <c r="AO1" s="575"/>
      <c r="AP1" s="575"/>
      <c r="AQ1" s="575"/>
      <c r="AR1" s="575"/>
      <c r="AS1" s="573" t="s">
        <v>9</v>
      </c>
      <c r="AT1" s="573"/>
      <c r="AU1" s="573"/>
      <c r="AV1" s="576">
        <f>変更来歴!AL7</f>
        <v>46125</v>
      </c>
      <c r="AW1" s="574"/>
      <c r="AX1" s="574"/>
      <c r="AY1" s="574"/>
      <c r="AZ1" s="580" t="s">
        <v>10</v>
      </c>
      <c r="BA1" s="581"/>
      <c r="BB1" s="581"/>
      <c r="BC1" s="582"/>
    </row>
    <row r="2" spans="1:59">
      <c r="A2" s="583" t="s">
        <v>16</v>
      </c>
      <c r="B2" s="583"/>
      <c r="C2" s="583"/>
      <c r="D2" s="583"/>
      <c r="E2" s="583"/>
      <c r="F2" s="583"/>
      <c r="G2" s="583"/>
      <c r="H2" s="583"/>
      <c r="I2" s="584" t="s">
        <v>11</v>
      </c>
      <c r="J2" s="584"/>
      <c r="K2" s="584"/>
      <c r="L2" s="584"/>
      <c r="M2" s="620" t="str">
        <f>変更来歴!M2</f>
        <v>新環境証明書システム</v>
      </c>
      <c r="N2" s="620"/>
      <c r="O2" s="620"/>
      <c r="P2" s="620"/>
      <c r="Q2" s="620"/>
      <c r="R2" s="620"/>
      <c r="S2" s="620"/>
      <c r="T2" s="620"/>
      <c r="U2" s="620"/>
      <c r="V2" s="620"/>
      <c r="W2" s="620"/>
      <c r="X2" s="584"/>
      <c r="Y2" s="584"/>
      <c r="Z2" s="584"/>
      <c r="AA2" s="599"/>
      <c r="AB2" s="599"/>
      <c r="AC2" s="599"/>
      <c r="AD2" s="599"/>
      <c r="AE2" s="599"/>
      <c r="AF2" s="599"/>
      <c r="AG2" s="599"/>
      <c r="AH2" s="599"/>
      <c r="AI2" s="599"/>
      <c r="AJ2" s="599"/>
      <c r="AK2" s="573" t="s">
        <v>12</v>
      </c>
      <c r="AL2" s="573"/>
      <c r="AM2" s="573"/>
      <c r="AN2" s="575" t="str">
        <f ca="1">INDIRECT("変更来歴!AP" &amp; COUNTA(変更来歴!AP7:'変更来歴'!AP39) + 6)</f>
        <v>古竹</v>
      </c>
      <c r="AO2" s="575"/>
      <c r="AP2" s="575"/>
      <c r="AQ2" s="575"/>
      <c r="AR2" s="575"/>
      <c r="AS2" s="573" t="s">
        <v>13</v>
      </c>
      <c r="AT2" s="573"/>
      <c r="AU2" s="573"/>
      <c r="AV2" s="576">
        <f ca="1">INDIRECT("変更来歴!AL" &amp; COUNTA(変更来歴!AL7:'変更来歴'!AL39) + 6)</f>
        <v>46160</v>
      </c>
      <c r="AW2" s="574"/>
      <c r="AX2" s="574"/>
      <c r="AY2" s="574"/>
      <c r="AZ2" s="588" t="str">
        <f>変更来歴!AX2</f>
        <v>IMWF-53</v>
      </c>
      <c r="BA2" s="589"/>
      <c r="BB2" s="589"/>
      <c r="BC2" s="590"/>
    </row>
    <row r="3" spans="1:59" ht="12" customHeight="1">
      <c r="A3" s="594" t="str">
        <f>変更来歴!A3</f>
        <v>画面設計書</v>
      </c>
      <c r="B3" s="594"/>
      <c r="C3" s="594"/>
      <c r="D3" s="594"/>
      <c r="E3" s="594"/>
      <c r="F3" s="594"/>
      <c r="G3" s="594"/>
      <c r="H3" s="594"/>
      <c r="I3" s="584" t="s">
        <v>14</v>
      </c>
      <c r="J3" s="584"/>
      <c r="K3" s="584"/>
      <c r="L3" s="584"/>
      <c r="M3" s="595" t="str">
        <f ca="1">RIGHT(CELL("filename",A1),LEN(CELL("filename",A1))-FIND("]",CELL("filename",A1)))</f>
        <v>外貨(コリア原計)</v>
      </c>
      <c r="N3" s="595"/>
      <c r="O3" s="595"/>
      <c r="P3" s="595"/>
      <c r="Q3" s="595"/>
      <c r="R3" s="595"/>
      <c r="S3" s="595"/>
      <c r="T3" s="595"/>
      <c r="U3" s="595"/>
      <c r="V3" s="595"/>
      <c r="W3" s="595"/>
      <c r="X3" s="584" t="s">
        <v>27</v>
      </c>
      <c r="Y3" s="584"/>
      <c r="Z3" s="584"/>
      <c r="AA3" s="596" t="str">
        <f ca="1">MID(CELL("filename"),FIND("]",CELL("filename"))+1,LEN(CELL("filename"))) &amp; "画面"</f>
        <v>変更来歴画面</v>
      </c>
      <c r="AB3" s="596"/>
      <c r="AC3" s="596"/>
      <c r="AD3" s="596"/>
      <c r="AE3" s="596"/>
      <c r="AF3" s="596"/>
      <c r="AG3" s="596"/>
      <c r="AH3" s="596"/>
      <c r="AI3" s="596"/>
      <c r="AJ3" s="596"/>
      <c r="AK3" s="596"/>
      <c r="AL3" s="596"/>
      <c r="AM3" s="596"/>
      <c r="AN3" s="596"/>
      <c r="AO3" s="596"/>
      <c r="AP3" s="596"/>
      <c r="AQ3" s="596"/>
      <c r="AR3" s="596"/>
      <c r="AS3" s="573" t="s">
        <v>15</v>
      </c>
      <c r="AT3" s="573"/>
      <c r="AU3" s="573"/>
      <c r="AV3" s="574" t="str">
        <f ca="1">INDIRECT("変更来歴!A" &amp; COUNTA(変更来歴!A7:'変更来歴'!A39) + 6)</f>
        <v>ｒ1.1</v>
      </c>
      <c r="AW3" s="574"/>
      <c r="AX3" s="574"/>
      <c r="AY3" s="574"/>
      <c r="AZ3" s="591"/>
      <c r="BA3" s="592"/>
      <c r="BB3" s="592"/>
      <c r="BC3" s="593"/>
    </row>
    <row r="4" spans="1:59" ht="5.9" customHeight="1"/>
    <row r="5" spans="1:59" ht="13.5" customHeight="1">
      <c r="A5" s="621" t="str">
        <f ca="1">"画面レイアウト"&amp;"("&amp;MID(CELL("filename"),FIND("]",CELL("filename"))+1,LEN(CELL("filename")))&amp;")"</f>
        <v>画面レイアウト(変更来歴)</v>
      </c>
      <c r="B5" s="622"/>
      <c r="C5" s="622"/>
      <c r="D5" s="622"/>
      <c r="E5" s="622"/>
      <c r="F5" s="622"/>
      <c r="G5" s="622"/>
      <c r="H5" s="622"/>
      <c r="I5" s="622"/>
      <c r="J5" s="622"/>
      <c r="K5" s="622"/>
      <c r="L5" s="622"/>
      <c r="M5" s="622"/>
      <c r="N5" s="622"/>
      <c r="O5" s="622"/>
      <c r="P5" s="622"/>
      <c r="Q5" s="622"/>
      <c r="R5" s="622"/>
      <c r="S5" s="622"/>
      <c r="T5" s="622"/>
      <c r="U5" s="622"/>
      <c r="V5" s="622"/>
      <c r="W5" s="622"/>
      <c r="X5" s="622"/>
      <c r="Y5" s="622"/>
      <c r="Z5" s="622"/>
      <c r="AA5" s="622"/>
      <c r="AB5" s="622"/>
      <c r="AC5" s="622"/>
      <c r="AD5" s="622"/>
      <c r="AE5" s="622"/>
      <c r="AF5" s="622"/>
      <c r="AG5" s="622"/>
      <c r="AH5" s="622"/>
      <c r="AI5" s="622"/>
      <c r="AJ5" s="622"/>
      <c r="AK5" s="622"/>
      <c r="AL5" s="622"/>
      <c r="AM5" s="622"/>
      <c r="AN5" s="622"/>
      <c r="AO5" s="622"/>
      <c r="AP5" s="622"/>
      <c r="AQ5" s="622"/>
      <c r="AR5" s="622"/>
      <c r="AS5" s="622"/>
      <c r="AT5" s="622"/>
      <c r="AU5" s="622"/>
      <c r="AV5" s="622"/>
      <c r="AW5" s="622"/>
      <c r="AX5" s="622"/>
      <c r="AY5" s="622"/>
      <c r="AZ5" s="622"/>
      <c r="BA5" s="623"/>
      <c r="BB5" s="624" t="s">
        <v>24</v>
      </c>
      <c r="BC5" s="625"/>
      <c r="BD5" s="28"/>
    </row>
    <row r="6" spans="1:59" ht="13.5" customHeight="1">
      <c r="A6" s="27"/>
      <c r="B6" s="170">
        <v>1</v>
      </c>
      <c r="C6" s="170">
        <v>2</v>
      </c>
      <c r="D6" s="170">
        <v>3</v>
      </c>
      <c r="E6" s="170">
        <v>4</v>
      </c>
      <c r="F6" s="170">
        <v>5</v>
      </c>
      <c r="G6" s="170">
        <v>6</v>
      </c>
      <c r="H6" s="170">
        <v>7</v>
      </c>
      <c r="I6" s="170">
        <v>8</v>
      </c>
      <c r="J6" s="170">
        <v>9</v>
      </c>
      <c r="K6" s="170">
        <v>10</v>
      </c>
      <c r="L6" s="170">
        <v>11</v>
      </c>
      <c r="M6" s="170">
        <v>12</v>
      </c>
      <c r="N6" s="170">
        <v>13</v>
      </c>
      <c r="O6" s="170">
        <v>14</v>
      </c>
      <c r="P6" s="170">
        <v>15</v>
      </c>
      <c r="Q6" s="170">
        <v>16</v>
      </c>
      <c r="R6" s="170">
        <v>17</v>
      </c>
      <c r="S6" s="172">
        <v>18</v>
      </c>
      <c r="T6" s="172">
        <v>19</v>
      </c>
      <c r="U6" s="172">
        <v>20</v>
      </c>
      <c r="V6" s="172">
        <v>21</v>
      </c>
      <c r="W6" s="172">
        <v>22</v>
      </c>
      <c r="X6" s="172">
        <v>23</v>
      </c>
      <c r="Y6" s="172">
        <v>24</v>
      </c>
      <c r="Z6" s="172">
        <v>25</v>
      </c>
      <c r="AA6" s="172">
        <v>26</v>
      </c>
      <c r="AB6" s="172">
        <v>27</v>
      </c>
      <c r="AC6" s="172">
        <v>28</v>
      </c>
      <c r="AD6" s="172">
        <v>29</v>
      </c>
      <c r="AE6" s="172">
        <v>30</v>
      </c>
      <c r="AF6" s="172">
        <v>31</v>
      </c>
      <c r="AG6" s="172">
        <v>32</v>
      </c>
      <c r="AH6" s="172">
        <v>33</v>
      </c>
      <c r="AI6" s="172">
        <v>34</v>
      </c>
      <c r="AJ6" s="171">
        <v>35</v>
      </c>
      <c r="AK6" s="171">
        <v>36</v>
      </c>
      <c r="AL6" s="171">
        <v>37</v>
      </c>
      <c r="AM6" s="171">
        <v>38</v>
      </c>
      <c r="AN6" s="171">
        <v>39</v>
      </c>
      <c r="AO6" s="171">
        <v>40</v>
      </c>
      <c r="AP6" s="171">
        <v>41</v>
      </c>
      <c r="AQ6" s="171">
        <v>42</v>
      </c>
      <c r="AR6" s="171">
        <v>43</v>
      </c>
      <c r="AS6" s="171">
        <v>44</v>
      </c>
      <c r="AT6" s="171">
        <v>45</v>
      </c>
      <c r="AU6" s="171">
        <v>46</v>
      </c>
      <c r="AV6" s="171">
        <v>47</v>
      </c>
      <c r="AW6" s="171">
        <v>48</v>
      </c>
      <c r="AX6" s="171">
        <v>49</v>
      </c>
      <c r="AY6" s="171">
        <v>50</v>
      </c>
      <c r="AZ6" s="171">
        <v>51</v>
      </c>
      <c r="BA6" s="21"/>
      <c r="BB6" s="73"/>
      <c r="BC6" s="40"/>
      <c r="BD6" s="28"/>
    </row>
    <row r="7" spans="1:59" ht="18.75" customHeight="1">
      <c r="A7" s="29"/>
      <c r="B7" s="45" t="s">
        <v>43</v>
      </c>
      <c r="C7" s="36"/>
      <c r="D7" s="36"/>
      <c r="E7" s="36"/>
      <c r="F7" s="36"/>
      <c r="G7" s="36"/>
      <c r="H7" s="46"/>
      <c r="I7" s="36"/>
      <c r="J7" s="46"/>
      <c r="K7" s="36"/>
      <c r="L7" s="36"/>
      <c r="M7" s="36"/>
      <c r="N7" s="46" t="s">
        <v>164</v>
      </c>
      <c r="O7" s="36"/>
      <c r="P7" s="36"/>
      <c r="Q7" s="36"/>
      <c r="R7" s="47" t="s">
        <v>163</v>
      </c>
      <c r="S7" s="36"/>
      <c r="T7" s="36"/>
      <c r="U7" s="36"/>
      <c r="V7" s="36"/>
      <c r="W7" s="36"/>
      <c r="X7" s="36"/>
      <c r="Y7" s="47"/>
      <c r="Z7" s="36"/>
      <c r="AA7" s="36"/>
      <c r="AB7" s="36"/>
      <c r="AC7" s="36"/>
      <c r="AD7" s="36"/>
      <c r="AE7" s="47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48"/>
      <c r="AX7" s="48"/>
      <c r="AY7" s="48"/>
      <c r="AZ7" s="49"/>
      <c r="BA7" s="75" t="s">
        <v>29</v>
      </c>
      <c r="BB7" s="74"/>
      <c r="BC7" s="34"/>
      <c r="BD7" s="28"/>
    </row>
    <row r="8" spans="1:59" ht="18" customHeight="1">
      <c r="A8" s="29"/>
      <c r="B8" s="160"/>
      <c r="C8" s="161"/>
      <c r="D8" s="161"/>
      <c r="E8" s="161" t="s">
        <v>44</v>
      </c>
      <c r="F8" s="161"/>
      <c r="G8" s="161"/>
      <c r="H8" s="162"/>
      <c r="I8" s="162"/>
      <c r="J8" s="162"/>
      <c r="K8" s="162"/>
      <c r="L8" s="163"/>
      <c r="M8" s="162"/>
      <c r="N8" s="55"/>
      <c r="O8" s="55"/>
      <c r="P8" s="163"/>
      <c r="Q8" s="55"/>
      <c r="R8" s="55"/>
      <c r="S8" s="55"/>
      <c r="T8" s="164"/>
      <c r="U8" s="164"/>
      <c r="V8" s="164"/>
      <c r="W8" s="164"/>
      <c r="X8" s="165"/>
      <c r="Y8" s="162"/>
      <c r="Z8" s="162"/>
      <c r="AA8" s="162"/>
      <c r="AB8" s="163"/>
      <c r="AC8" s="162"/>
      <c r="AD8" s="55"/>
      <c r="AE8" s="55"/>
      <c r="AF8" s="163"/>
      <c r="AG8" s="161"/>
      <c r="AH8" s="161"/>
      <c r="AI8" s="166"/>
      <c r="AJ8" s="53"/>
      <c r="AK8" s="53"/>
      <c r="AL8" s="53"/>
      <c r="AM8" s="53"/>
      <c r="AN8" s="167"/>
      <c r="AO8" s="168"/>
      <c r="AP8" s="168"/>
      <c r="AQ8" s="53"/>
      <c r="AR8" s="53"/>
      <c r="AS8" s="53"/>
      <c r="AT8" s="54"/>
      <c r="AU8" s="53"/>
      <c r="AV8" s="55"/>
      <c r="AW8" s="55"/>
      <c r="AX8" s="55"/>
      <c r="AY8" s="161"/>
      <c r="AZ8" s="169"/>
      <c r="BA8" s="131"/>
      <c r="BB8" s="74"/>
      <c r="BC8" s="34"/>
      <c r="BD8" s="28"/>
    </row>
    <row r="9" spans="1:59" ht="13.5" customHeight="1">
      <c r="A9" s="22"/>
      <c r="B9" s="185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4"/>
      <c r="BB9" s="74"/>
      <c r="BC9" s="34"/>
      <c r="BD9" s="28"/>
    </row>
    <row r="10" spans="1:59" ht="13.5" customHeight="1">
      <c r="A10" s="22"/>
      <c r="B10" s="185"/>
      <c r="C10" s="41" t="s">
        <v>45</v>
      </c>
      <c r="D10" s="31"/>
      <c r="E10" s="31"/>
      <c r="F10" s="31" t="s">
        <v>49</v>
      </c>
      <c r="G10" s="31"/>
      <c r="H10" s="115" t="s">
        <v>48</v>
      </c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61"/>
      <c r="U10" s="61"/>
      <c r="V10" s="61"/>
      <c r="W10" s="61"/>
      <c r="X10" s="60"/>
      <c r="Y10" s="61"/>
      <c r="Z10" s="61"/>
      <c r="AA10" s="61"/>
      <c r="AB10" s="62"/>
      <c r="AC10" s="61"/>
      <c r="AD10" s="63"/>
      <c r="AE10" s="63"/>
      <c r="AF10" s="63"/>
      <c r="AG10" s="63"/>
      <c r="AH10" s="63"/>
      <c r="AI10" s="71"/>
      <c r="AJ10" s="61"/>
      <c r="AK10" s="61"/>
      <c r="AL10" s="61"/>
      <c r="AM10" s="61"/>
      <c r="AN10" s="113"/>
      <c r="AO10" s="60"/>
      <c r="AP10" s="60"/>
      <c r="AQ10" s="61"/>
      <c r="AR10" s="61"/>
      <c r="AS10" s="61"/>
      <c r="AT10" s="62"/>
      <c r="AU10" s="61"/>
      <c r="AV10" s="63"/>
      <c r="AW10" s="63"/>
      <c r="AX10" s="63"/>
      <c r="AY10" s="31"/>
      <c r="AZ10" s="33"/>
      <c r="BA10" s="44"/>
      <c r="BB10" s="74"/>
      <c r="BC10" s="34"/>
      <c r="BD10" s="28"/>
    </row>
    <row r="11" spans="1:59" ht="13.5" customHeight="1">
      <c r="A11" s="22"/>
      <c r="B11" s="185"/>
      <c r="C11" s="41" t="s">
        <v>46</v>
      </c>
      <c r="D11" s="31"/>
      <c r="E11" s="31"/>
      <c r="F11" s="31" t="s">
        <v>49</v>
      </c>
      <c r="G11" s="31"/>
      <c r="H11" s="71" t="s">
        <v>50</v>
      </c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61"/>
      <c r="U11" s="61"/>
      <c r="V11" s="61"/>
      <c r="W11" s="61"/>
      <c r="X11" s="60"/>
      <c r="Y11" s="61"/>
      <c r="Z11" s="61"/>
      <c r="AA11" s="61"/>
      <c r="AB11" s="62"/>
      <c r="AC11" s="61"/>
      <c r="AD11" s="63"/>
      <c r="AE11" s="63"/>
      <c r="AF11" s="63"/>
      <c r="AG11" s="63"/>
      <c r="AH11" s="63"/>
      <c r="AI11" s="71"/>
      <c r="AJ11" s="61"/>
      <c r="AK11" s="61"/>
      <c r="AL11" s="61"/>
      <c r="AM11" s="61"/>
      <c r="AN11" s="113"/>
      <c r="AO11" s="60"/>
      <c r="AP11" s="60"/>
      <c r="AQ11" s="61"/>
      <c r="AR11" s="61"/>
      <c r="AS11" s="61"/>
      <c r="AT11" s="62"/>
      <c r="AU11" s="61"/>
      <c r="AV11" s="63"/>
      <c r="AW11" s="63"/>
      <c r="AX11" s="63"/>
      <c r="AY11" s="31"/>
      <c r="AZ11" s="33"/>
      <c r="BA11" s="44"/>
      <c r="BB11" s="74"/>
      <c r="BC11" s="34"/>
      <c r="BD11" s="28"/>
    </row>
    <row r="12" spans="1:59" ht="13.5" customHeight="1">
      <c r="A12" s="22"/>
      <c r="B12" s="185"/>
      <c r="C12" s="41" t="s">
        <v>47</v>
      </c>
      <c r="D12" s="31"/>
      <c r="E12" s="31"/>
      <c r="F12" s="31" t="s">
        <v>49</v>
      </c>
      <c r="G12" s="31"/>
      <c r="H12" s="71" t="s">
        <v>51</v>
      </c>
      <c r="I12" s="71"/>
      <c r="J12" s="71"/>
      <c r="K12" s="71"/>
      <c r="L12" s="71" t="s">
        <v>52</v>
      </c>
      <c r="M12" s="71"/>
      <c r="N12" s="71"/>
      <c r="O12" s="71" t="s">
        <v>53</v>
      </c>
      <c r="P12" s="71"/>
      <c r="Q12" s="71"/>
      <c r="R12" s="71"/>
      <c r="S12" s="71"/>
      <c r="T12" s="61"/>
      <c r="U12" s="61"/>
      <c r="V12" s="61"/>
      <c r="W12" s="61"/>
      <c r="X12" s="60"/>
      <c r="Y12" s="61"/>
      <c r="Z12" s="61"/>
      <c r="AA12" s="61"/>
      <c r="AB12" s="62"/>
      <c r="AC12" s="61"/>
      <c r="AD12" s="63"/>
      <c r="AE12" s="63"/>
      <c r="AF12" s="63"/>
      <c r="AG12" s="63"/>
      <c r="AH12" s="63"/>
      <c r="AI12" s="71"/>
      <c r="AJ12" s="61"/>
      <c r="AK12" s="61"/>
      <c r="AL12" s="61"/>
      <c r="AM12" s="61"/>
      <c r="AN12" s="113"/>
      <c r="AO12" s="60"/>
      <c r="AP12" s="60"/>
      <c r="AQ12" s="61"/>
      <c r="AR12" s="61"/>
      <c r="AS12" s="61"/>
      <c r="AT12" s="62"/>
      <c r="AU12" s="61"/>
      <c r="AV12" s="63"/>
      <c r="AW12" s="63"/>
      <c r="AX12" s="63"/>
      <c r="AY12" s="31"/>
      <c r="AZ12" s="33"/>
      <c r="BA12" s="44"/>
      <c r="BB12" s="74"/>
      <c r="BC12" s="34"/>
      <c r="BD12" s="28"/>
    </row>
    <row r="13" spans="1:59" ht="13.5" customHeight="1">
      <c r="A13" s="22"/>
      <c r="B13" s="186">
        <v>1</v>
      </c>
      <c r="C13" s="187">
        <v>2</v>
      </c>
      <c r="D13" s="187">
        <v>3</v>
      </c>
      <c r="E13" s="187">
        <v>4</v>
      </c>
      <c r="F13" s="187">
        <v>5</v>
      </c>
      <c r="G13" s="187">
        <v>6</v>
      </c>
      <c r="H13" s="187">
        <v>7</v>
      </c>
      <c r="I13" s="187">
        <v>8</v>
      </c>
      <c r="J13" s="187">
        <v>9</v>
      </c>
      <c r="K13" s="187">
        <v>10</v>
      </c>
      <c r="L13" s="187">
        <v>11</v>
      </c>
      <c r="M13" s="187">
        <v>12</v>
      </c>
      <c r="N13" s="187">
        <v>13</v>
      </c>
      <c r="O13" s="187">
        <v>14</v>
      </c>
      <c r="P13" s="187">
        <v>15</v>
      </c>
      <c r="Q13" s="187">
        <v>16</v>
      </c>
      <c r="R13" s="187">
        <v>17</v>
      </c>
      <c r="S13" s="187">
        <v>18</v>
      </c>
      <c r="T13" s="187">
        <v>19</v>
      </c>
      <c r="U13" s="187">
        <v>20</v>
      </c>
      <c r="V13" s="187">
        <v>21</v>
      </c>
      <c r="W13" s="187">
        <v>22</v>
      </c>
      <c r="X13" s="187">
        <v>23</v>
      </c>
      <c r="Y13" s="187">
        <v>24</v>
      </c>
      <c r="Z13" s="187">
        <v>25</v>
      </c>
      <c r="AA13" s="187">
        <v>26</v>
      </c>
      <c r="AB13" s="187">
        <v>27</v>
      </c>
      <c r="AC13" s="187">
        <v>28</v>
      </c>
      <c r="AD13" s="187">
        <v>29</v>
      </c>
      <c r="AE13" s="187">
        <v>30</v>
      </c>
      <c r="AF13" s="187">
        <v>31</v>
      </c>
      <c r="AG13" s="187">
        <v>32</v>
      </c>
      <c r="AH13" s="187">
        <v>33</v>
      </c>
      <c r="AI13" s="187">
        <v>34</v>
      </c>
      <c r="AJ13" s="187">
        <v>35</v>
      </c>
      <c r="AK13" s="187">
        <v>36</v>
      </c>
      <c r="AL13" s="187">
        <v>37</v>
      </c>
      <c r="AM13" s="187">
        <v>38</v>
      </c>
      <c r="AN13" s="187">
        <v>39</v>
      </c>
      <c r="AO13" s="187">
        <v>40</v>
      </c>
      <c r="AP13" s="187"/>
      <c r="AQ13" s="187">
        <v>41</v>
      </c>
      <c r="AR13" s="187">
        <v>42</v>
      </c>
      <c r="AS13" s="187">
        <v>43</v>
      </c>
      <c r="AT13" s="187">
        <v>44</v>
      </c>
      <c r="AU13" s="187">
        <v>45</v>
      </c>
      <c r="AV13" s="187">
        <v>46</v>
      </c>
      <c r="AW13" s="187">
        <v>47</v>
      </c>
      <c r="AX13" s="63"/>
      <c r="AY13" s="31"/>
      <c r="AZ13" s="33"/>
      <c r="BA13" s="44"/>
      <c r="BB13" s="74"/>
      <c r="BC13" s="34"/>
      <c r="BD13" s="28"/>
      <c r="BE13" s="24"/>
      <c r="BF13" s="24"/>
    </row>
    <row r="14" spans="1:59" ht="13.5" customHeight="1">
      <c r="A14" s="22"/>
      <c r="B14" s="186">
        <v>2</v>
      </c>
      <c r="C14" s="188" t="s">
        <v>76</v>
      </c>
      <c r="D14" s="28"/>
      <c r="E14" s="28"/>
      <c r="F14" s="28"/>
      <c r="G14" s="28"/>
      <c r="H14" s="109"/>
      <c r="I14" s="60"/>
      <c r="J14" s="61"/>
      <c r="K14" s="60"/>
      <c r="L14" s="61"/>
      <c r="M14" s="66"/>
      <c r="N14" s="66"/>
      <c r="O14" s="63"/>
      <c r="P14" s="66"/>
      <c r="Q14" s="63"/>
      <c r="R14" s="66"/>
      <c r="S14" s="28"/>
      <c r="T14" s="28"/>
      <c r="U14" s="28"/>
      <c r="V14" s="28"/>
      <c r="W14" s="28"/>
      <c r="X14" s="109"/>
      <c r="Y14" s="60"/>
      <c r="Z14" s="61"/>
      <c r="AA14" s="60"/>
      <c r="AB14" s="61"/>
      <c r="AC14" s="66"/>
      <c r="AD14" s="66"/>
      <c r="AE14" s="63"/>
      <c r="AF14" s="66"/>
      <c r="AG14" s="63"/>
      <c r="AH14" s="66"/>
      <c r="AI14" s="62"/>
      <c r="AJ14" s="66"/>
      <c r="AK14" s="63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17"/>
      <c r="AW14" s="28"/>
      <c r="AX14" s="63"/>
      <c r="AY14" s="31"/>
      <c r="AZ14" s="33"/>
      <c r="BA14" s="44"/>
      <c r="BB14" s="74"/>
      <c r="BC14" s="34"/>
      <c r="BD14" s="28"/>
    </row>
    <row r="15" spans="1:59" ht="5.15" customHeight="1">
      <c r="A15" s="22"/>
      <c r="B15" s="186"/>
      <c r="C15" s="277"/>
      <c r="D15" s="68"/>
      <c r="E15" s="68"/>
      <c r="F15" s="68"/>
      <c r="G15" s="68"/>
      <c r="H15" s="278"/>
      <c r="I15" s="260"/>
      <c r="J15" s="261"/>
      <c r="K15" s="260"/>
      <c r="L15" s="261"/>
      <c r="M15" s="279"/>
      <c r="N15" s="279"/>
      <c r="O15" s="245"/>
      <c r="P15" s="279"/>
      <c r="Q15" s="245"/>
      <c r="R15" s="279"/>
      <c r="S15" s="263"/>
      <c r="T15" s="68"/>
      <c r="U15" s="68"/>
      <c r="V15" s="68"/>
      <c r="W15" s="68"/>
      <c r="X15" s="68"/>
      <c r="Y15" s="278"/>
      <c r="Z15" s="260"/>
      <c r="AA15" s="261"/>
      <c r="AB15" s="260"/>
      <c r="AC15" s="261"/>
      <c r="AD15" s="279"/>
      <c r="AE15" s="279"/>
      <c r="AF15" s="245"/>
      <c r="AG15" s="279"/>
      <c r="AH15" s="279"/>
      <c r="AI15" s="262"/>
      <c r="AJ15" s="279"/>
      <c r="AK15" s="245"/>
      <c r="AL15" s="68"/>
      <c r="AM15" s="68"/>
      <c r="AN15" s="68"/>
      <c r="AO15" s="68"/>
      <c r="AP15" s="68"/>
      <c r="AQ15" s="68"/>
      <c r="AR15" s="68"/>
      <c r="AS15" s="261"/>
      <c r="AT15" s="262"/>
      <c r="AU15" s="261"/>
      <c r="AV15" s="245"/>
      <c r="AW15" s="245"/>
      <c r="AX15" s="245"/>
      <c r="AY15" s="247"/>
      <c r="AZ15" s="33"/>
      <c r="BA15" s="44"/>
      <c r="BB15" s="74"/>
      <c r="BC15" s="34"/>
      <c r="BD15" s="28"/>
    </row>
    <row r="16" spans="1:59" ht="13.5" customHeight="1">
      <c r="A16" s="22"/>
      <c r="B16" s="43"/>
      <c r="C16" s="248" t="s">
        <v>77</v>
      </c>
      <c r="D16" s="28"/>
      <c r="E16" s="28"/>
      <c r="F16" s="28"/>
      <c r="G16" s="28"/>
      <c r="H16" s="238" t="s">
        <v>106</v>
      </c>
      <c r="I16" s="238"/>
      <c r="J16" s="238"/>
      <c r="K16" s="26"/>
      <c r="L16" s="26"/>
      <c r="M16" s="96"/>
      <c r="N16" s="91"/>
      <c r="O16" s="65"/>
      <c r="P16" s="65"/>
      <c r="Q16" s="92"/>
      <c r="R16" s="91"/>
      <c r="S16" s="91"/>
      <c r="T16" s="91"/>
      <c r="U16" s="65"/>
      <c r="V16" s="92"/>
      <c r="W16" s="91"/>
      <c r="X16" s="63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3"/>
      <c r="AY16" s="249"/>
      <c r="AZ16" s="33"/>
      <c r="BA16" s="44"/>
      <c r="BB16" s="74"/>
      <c r="BC16" s="34"/>
      <c r="BD16" s="28"/>
      <c r="BE16" s="35"/>
      <c r="BF16" s="35"/>
      <c r="BG16" s="35"/>
    </row>
    <row r="17" spans="1:59" ht="13.5" customHeight="1">
      <c r="A17" s="22"/>
      <c r="B17" s="186">
        <v>3</v>
      </c>
      <c r="C17" s="248" t="s">
        <v>54</v>
      </c>
      <c r="D17" s="31"/>
      <c r="E17" s="31"/>
      <c r="F17" s="31"/>
      <c r="G17" s="31"/>
      <c r="H17" s="56"/>
      <c r="I17" s="57"/>
      <c r="J17" s="57"/>
      <c r="K17" s="57"/>
      <c r="L17" s="58"/>
      <c r="M17" s="57"/>
      <c r="N17" s="59"/>
      <c r="O17" s="59"/>
      <c r="P17" s="59"/>
      <c r="Q17" s="59"/>
      <c r="R17" s="59"/>
      <c r="S17" s="116"/>
      <c r="T17" s="57"/>
      <c r="U17" s="57"/>
      <c r="V17" s="57"/>
      <c r="W17" s="57"/>
      <c r="X17" s="111"/>
      <c r="Y17" s="57"/>
      <c r="Z17" s="57"/>
      <c r="AA17" s="57"/>
      <c r="AB17" s="58"/>
      <c r="AC17" s="57"/>
      <c r="AD17" s="59"/>
      <c r="AE17" s="59"/>
      <c r="AF17" s="59"/>
      <c r="AG17" s="59"/>
      <c r="AH17" s="86"/>
      <c r="AI17" s="71"/>
      <c r="AJ17" s="61"/>
      <c r="AK17" s="61"/>
      <c r="AL17" s="61"/>
      <c r="AM17" s="61"/>
      <c r="AN17" s="113"/>
      <c r="AO17" s="60"/>
      <c r="AP17" s="60"/>
      <c r="AQ17" s="61"/>
      <c r="AR17" s="61"/>
      <c r="AS17" s="61"/>
      <c r="AT17" s="62"/>
      <c r="AU17" s="61"/>
      <c r="AV17" s="63"/>
      <c r="AW17" s="63"/>
      <c r="AX17" s="63"/>
      <c r="AY17" s="249"/>
      <c r="AZ17" s="33"/>
      <c r="BA17" s="44"/>
      <c r="BB17" s="74"/>
      <c r="BC17" s="34"/>
      <c r="BD17" s="28"/>
      <c r="BE17" s="35"/>
      <c r="BF17" s="35"/>
      <c r="BG17" s="35"/>
    </row>
    <row r="18" spans="1:59" ht="13.5" customHeight="1">
      <c r="A18" s="22"/>
      <c r="B18" s="185"/>
      <c r="C18" s="248" t="s">
        <v>36</v>
      </c>
      <c r="D18" s="31"/>
      <c r="E18" s="31"/>
      <c r="F18" s="31"/>
      <c r="G18" s="31"/>
      <c r="H18" s="56"/>
      <c r="I18" s="57"/>
      <c r="J18" s="57"/>
      <c r="K18" s="57"/>
      <c r="L18" s="58"/>
      <c r="M18" s="57"/>
      <c r="N18" s="59"/>
      <c r="O18" s="59"/>
      <c r="P18" s="59"/>
      <c r="Q18" s="173"/>
      <c r="R18" s="70"/>
      <c r="S18" s="71"/>
      <c r="T18" s="104" t="s">
        <v>55</v>
      </c>
      <c r="U18" s="31"/>
      <c r="V18" s="31"/>
      <c r="W18" s="31"/>
      <c r="X18" s="31"/>
      <c r="Y18" s="56"/>
      <c r="Z18" s="57"/>
      <c r="AA18" s="57"/>
      <c r="AB18" s="57"/>
      <c r="AC18" s="58"/>
      <c r="AD18" s="57"/>
      <c r="AE18" s="59"/>
      <c r="AF18" s="59"/>
      <c r="AG18" s="67"/>
      <c r="AH18" s="63"/>
      <c r="AI18" s="71"/>
      <c r="AJ18" s="61"/>
      <c r="AK18" s="71" t="s">
        <v>56</v>
      </c>
      <c r="AL18" s="61"/>
      <c r="AM18" s="61"/>
      <c r="AN18" s="61"/>
      <c r="AO18" s="61"/>
      <c r="AP18" s="56"/>
      <c r="AQ18" s="57"/>
      <c r="AR18" s="57"/>
      <c r="AS18" s="57"/>
      <c r="AT18" s="58"/>
      <c r="AU18" s="57"/>
      <c r="AV18" s="59"/>
      <c r="AW18" s="59"/>
      <c r="AX18" s="67"/>
      <c r="AY18" s="249"/>
      <c r="AZ18" s="33"/>
      <c r="BA18" s="44"/>
      <c r="BB18" s="74"/>
      <c r="BC18" s="34"/>
      <c r="BD18" s="28"/>
      <c r="BE18" s="35"/>
      <c r="BF18" s="35"/>
      <c r="BG18" s="35"/>
    </row>
    <row r="19" spans="1:59" ht="13.5" customHeight="1">
      <c r="A19" s="22"/>
      <c r="B19" s="185"/>
      <c r="C19" s="248" t="s">
        <v>57</v>
      </c>
      <c r="D19" s="31"/>
      <c r="E19" s="31"/>
      <c r="F19" s="31"/>
      <c r="G19" s="31"/>
      <c r="H19" s="56"/>
      <c r="I19" s="57"/>
      <c r="J19" s="57"/>
      <c r="K19" s="57"/>
      <c r="L19" s="58"/>
      <c r="M19" s="57"/>
      <c r="N19" s="59"/>
      <c r="O19" s="59"/>
      <c r="P19" s="90" t="s">
        <v>32</v>
      </c>
      <c r="Q19" s="86"/>
      <c r="R19" s="63"/>
      <c r="S19" s="35"/>
      <c r="T19" s="41" t="s">
        <v>58</v>
      </c>
      <c r="U19" s="61"/>
      <c r="V19" s="61"/>
      <c r="W19" s="61"/>
      <c r="X19" s="61"/>
      <c r="Y19" s="112" t="s">
        <v>65</v>
      </c>
      <c r="Z19" s="57"/>
      <c r="AA19" s="57"/>
      <c r="AB19" s="57"/>
      <c r="AC19" s="58"/>
      <c r="AD19" s="57"/>
      <c r="AE19" s="59"/>
      <c r="AF19" s="59"/>
      <c r="AG19" s="67"/>
      <c r="AH19" s="63"/>
      <c r="AI19" s="71"/>
      <c r="AJ19" s="61"/>
      <c r="AK19" s="61"/>
      <c r="AL19" s="61"/>
      <c r="AM19" s="61"/>
      <c r="AN19" s="113"/>
      <c r="AO19" s="60"/>
      <c r="AP19" s="60"/>
      <c r="AQ19" s="61"/>
      <c r="AR19" s="61"/>
      <c r="AS19" s="61"/>
      <c r="AT19" s="62"/>
      <c r="AU19" s="61"/>
      <c r="AV19" s="63"/>
      <c r="AW19" s="63"/>
      <c r="AX19" s="63"/>
      <c r="AY19" s="249"/>
      <c r="AZ19" s="33"/>
      <c r="BA19" s="44"/>
      <c r="BB19" s="74"/>
      <c r="BC19" s="34"/>
      <c r="BD19" s="28"/>
      <c r="BE19" s="35"/>
      <c r="BF19" s="35"/>
      <c r="BG19" s="35"/>
    </row>
    <row r="20" spans="1:59" ht="13.5" customHeight="1">
      <c r="A20" s="22"/>
      <c r="B20" s="185"/>
      <c r="C20" s="248" t="s">
        <v>78</v>
      </c>
      <c r="D20" s="31"/>
      <c r="E20" s="31"/>
      <c r="F20" s="31"/>
      <c r="G20" s="31"/>
      <c r="H20" s="56"/>
      <c r="I20" s="57"/>
      <c r="J20" s="57"/>
      <c r="K20" s="343">
        <v>0.05</v>
      </c>
      <c r="L20" s="280" t="s">
        <v>79</v>
      </c>
      <c r="M20" s="94"/>
      <c r="N20" s="70"/>
      <c r="O20" s="70"/>
      <c r="P20" s="70"/>
      <c r="Q20" s="63"/>
      <c r="R20" s="63"/>
      <c r="S20" s="35"/>
      <c r="T20" s="35"/>
      <c r="U20" s="35"/>
      <c r="V20" s="61"/>
      <c r="W20" s="61"/>
      <c r="X20" s="61"/>
      <c r="Y20" s="93"/>
      <c r="Z20" s="94"/>
      <c r="AA20" s="94"/>
      <c r="AB20" s="94"/>
      <c r="AC20" s="95"/>
      <c r="AD20" s="94"/>
      <c r="AE20" s="70"/>
      <c r="AF20" s="70"/>
      <c r="AG20" s="70"/>
      <c r="AH20" s="63"/>
      <c r="AI20" s="71"/>
      <c r="AJ20" s="61"/>
      <c r="AK20" s="61"/>
      <c r="AL20" s="61"/>
      <c r="AM20" s="61"/>
      <c r="AN20" s="113"/>
      <c r="AO20" s="60"/>
      <c r="AP20" s="60"/>
      <c r="AQ20" s="61"/>
      <c r="AR20" s="61"/>
      <c r="AS20" s="61"/>
      <c r="AT20" s="62"/>
      <c r="AU20" s="61"/>
      <c r="AV20" s="63"/>
      <c r="AW20" s="63"/>
      <c r="AX20" s="63"/>
      <c r="AY20" s="249"/>
      <c r="AZ20" s="33"/>
      <c r="BA20" s="44"/>
      <c r="BB20" s="74"/>
      <c r="BC20" s="34"/>
      <c r="BD20" s="28"/>
      <c r="BE20" s="35"/>
      <c r="BF20" s="35"/>
      <c r="BG20" s="35"/>
    </row>
    <row r="21" spans="1:59" ht="5.15" customHeight="1">
      <c r="A21" s="22"/>
      <c r="B21" s="185"/>
      <c r="C21" s="250"/>
      <c r="D21" s="251"/>
      <c r="E21" s="251"/>
      <c r="F21" s="251"/>
      <c r="G21" s="251"/>
      <c r="H21" s="257"/>
      <c r="I21" s="255"/>
      <c r="J21" s="255"/>
      <c r="K21" s="255"/>
      <c r="L21" s="258"/>
      <c r="M21" s="255"/>
      <c r="N21" s="252"/>
      <c r="O21" s="252"/>
      <c r="P21" s="252"/>
      <c r="Q21" s="252"/>
      <c r="R21" s="252"/>
      <c r="S21" s="253"/>
      <c r="T21" s="254"/>
      <c r="U21" s="255"/>
      <c r="V21" s="255"/>
      <c r="W21" s="255"/>
      <c r="X21" s="255"/>
      <c r="Y21" s="257"/>
      <c r="Z21" s="255"/>
      <c r="AA21" s="255"/>
      <c r="AB21" s="255"/>
      <c r="AC21" s="258"/>
      <c r="AD21" s="255"/>
      <c r="AE21" s="252"/>
      <c r="AF21" s="252"/>
      <c r="AG21" s="252"/>
      <c r="AH21" s="252"/>
      <c r="AI21" s="254"/>
      <c r="AJ21" s="255"/>
      <c r="AK21" s="255"/>
      <c r="AL21" s="255"/>
      <c r="AM21" s="255"/>
      <c r="AN21" s="256"/>
      <c r="AO21" s="257"/>
      <c r="AP21" s="257"/>
      <c r="AQ21" s="255"/>
      <c r="AR21" s="255"/>
      <c r="AS21" s="255"/>
      <c r="AT21" s="258"/>
      <c r="AU21" s="255"/>
      <c r="AV21" s="252"/>
      <c r="AW21" s="252"/>
      <c r="AX21" s="252"/>
      <c r="AY21" s="259"/>
      <c r="AZ21" s="33"/>
      <c r="BA21" s="44"/>
      <c r="BB21" s="74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2"/>
      <c r="D22" s="60"/>
      <c r="E22" s="61"/>
      <c r="F22" s="61"/>
      <c r="G22" s="61"/>
      <c r="H22" s="66"/>
      <c r="I22" s="66"/>
      <c r="J22" s="63"/>
      <c r="K22" s="66"/>
      <c r="L22" s="63"/>
      <c r="M22" s="66"/>
      <c r="N22" s="62"/>
      <c r="O22" s="66"/>
      <c r="P22" s="63"/>
      <c r="Q22" s="28"/>
      <c r="R22" s="28"/>
      <c r="T22" s="31"/>
      <c r="U22" s="31"/>
      <c r="V22" s="31"/>
      <c r="W22" s="31"/>
      <c r="X22" s="31"/>
      <c r="Y22" s="42"/>
      <c r="Z22" s="31"/>
      <c r="AA22" s="28"/>
      <c r="AB22" s="42"/>
      <c r="AC22" s="31"/>
      <c r="AD22" s="28"/>
      <c r="AE22" s="42"/>
      <c r="AF22" s="28"/>
      <c r="AG22" s="28"/>
      <c r="AH22" s="28"/>
      <c r="AI22" s="28"/>
      <c r="AJ22" s="72"/>
      <c r="AK22" s="28"/>
      <c r="AL22" s="28"/>
      <c r="AM22" s="28"/>
      <c r="AN22" s="28"/>
      <c r="AO22" s="28"/>
      <c r="AP22" s="28"/>
      <c r="AQ22" s="28"/>
      <c r="AR22" s="28"/>
      <c r="AS22" s="61"/>
      <c r="AT22" s="62"/>
      <c r="AU22" s="61"/>
      <c r="AV22" s="63"/>
      <c r="AW22" s="63"/>
      <c r="AX22" s="63"/>
      <c r="AY22" s="31"/>
      <c r="AZ22" s="33"/>
      <c r="BA22" s="44"/>
      <c r="BB22" s="74"/>
      <c r="BC22" s="34"/>
      <c r="BD22" s="28"/>
    </row>
    <row r="23" spans="1:59" ht="13.5" customHeight="1">
      <c r="A23" s="22"/>
      <c r="B23" s="186">
        <v>2</v>
      </c>
      <c r="C23" s="188" t="s">
        <v>80</v>
      </c>
      <c r="D23" s="28"/>
      <c r="E23" s="28"/>
      <c r="F23" s="28"/>
      <c r="G23" s="28"/>
      <c r="H23" s="109"/>
      <c r="I23" s="60"/>
      <c r="J23" s="61"/>
      <c r="K23" s="60"/>
      <c r="L23" s="61"/>
      <c r="M23" s="66"/>
      <c r="N23" s="66"/>
      <c r="O23" s="63"/>
      <c r="P23" s="66"/>
      <c r="Q23" s="63"/>
      <c r="R23" s="66"/>
      <c r="S23" s="35"/>
      <c r="T23" s="28"/>
      <c r="U23" s="28"/>
      <c r="V23" s="28"/>
      <c r="W23" s="28"/>
      <c r="X23" s="28"/>
      <c r="Y23" s="109"/>
      <c r="Z23" s="60"/>
      <c r="AA23" s="61"/>
      <c r="AB23" s="60"/>
      <c r="AC23" s="61"/>
      <c r="AD23" s="66"/>
      <c r="AE23" s="66"/>
      <c r="AF23" s="63"/>
      <c r="AG23" s="66"/>
      <c r="AH23" s="66"/>
      <c r="AI23" s="62"/>
      <c r="AJ23" s="66"/>
      <c r="AK23" s="63"/>
      <c r="AL23" s="28"/>
      <c r="AM23" s="28"/>
      <c r="AN23" s="28"/>
      <c r="AO23" s="28"/>
      <c r="AP23" s="28"/>
      <c r="AQ23" s="28"/>
      <c r="AR23" s="28"/>
      <c r="AS23" s="61"/>
      <c r="AT23" s="62"/>
      <c r="AU23" s="61"/>
      <c r="AV23" s="63"/>
      <c r="AW23" s="63"/>
      <c r="AX23" s="63"/>
      <c r="AY23" s="31"/>
      <c r="AZ23" s="33"/>
      <c r="BA23" s="44"/>
      <c r="BB23" s="74"/>
      <c r="BC23" s="34"/>
      <c r="BD23" s="28"/>
    </row>
    <row r="24" spans="1:59" ht="5.15" customHeight="1">
      <c r="A24" s="22"/>
      <c r="B24" s="186"/>
      <c r="C24" s="277"/>
      <c r="D24" s="68"/>
      <c r="E24" s="68"/>
      <c r="F24" s="68"/>
      <c r="G24" s="68"/>
      <c r="H24" s="278"/>
      <c r="I24" s="260"/>
      <c r="J24" s="261"/>
      <c r="K24" s="260"/>
      <c r="L24" s="261"/>
      <c r="M24" s="279"/>
      <c r="N24" s="279"/>
      <c r="O24" s="245"/>
      <c r="P24" s="279"/>
      <c r="Q24" s="245"/>
      <c r="R24" s="279"/>
      <c r="S24" s="263"/>
      <c r="T24" s="68"/>
      <c r="U24" s="68"/>
      <c r="V24" s="68"/>
      <c r="W24" s="68"/>
      <c r="X24" s="68"/>
      <c r="Y24" s="278"/>
      <c r="Z24" s="260"/>
      <c r="AA24" s="261"/>
      <c r="AB24" s="260"/>
      <c r="AC24" s="261"/>
      <c r="AD24" s="279"/>
      <c r="AE24" s="279"/>
      <c r="AF24" s="245"/>
      <c r="AG24" s="279"/>
      <c r="AH24" s="279"/>
      <c r="AI24" s="262"/>
      <c r="AJ24" s="279"/>
      <c r="AK24" s="245"/>
      <c r="AL24" s="68"/>
      <c r="AM24" s="68"/>
      <c r="AN24" s="68"/>
      <c r="AO24" s="68"/>
      <c r="AP24" s="68"/>
      <c r="AQ24" s="68"/>
      <c r="AR24" s="68"/>
      <c r="AS24" s="261"/>
      <c r="AT24" s="262"/>
      <c r="AU24" s="261"/>
      <c r="AV24" s="245"/>
      <c r="AW24" s="245"/>
      <c r="AX24" s="245"/>
      <c r="AY24" s="247"/>
      <c r="AZ24" s="33"/>
      <c r="BA24" s="44"/>
      <c r="BB24" s="74"/>
      <c r="BC24" s="34"/>
      <c r="BD24" s="28"/>
    </row>
    <row r="25" spans="1:59" ht="13.5" customHeight="1">
      <c r="A25" s="22"/>
      <c r="B25" s="43"/>
      <c r="C25" s="248" t="s">
        <v>81</v>
      </c>
      <c r="D25" s="28"/>
      <c r="E25" s="28"/>
      <c r="F25" s="28"/>
      <c r="G25" s="28"/>
      <c r="H25" s="56"/>
      <c r="I25" s="57"/>
      <c r="J25" s="57"/>
      <c r="K25" s="57"/>
      <c r="L25" s="58"/>
      <c r="M25" s="57"/>
      <c r="N25" s="67"/>
      <c r="O25" s="86" t="s">
        <v>82</v>
      </c>
      <c r="Q25" s="62"/>
      <c r="R25" s="61"/>
      <c r="S25" s="35"/>
      <c r="T25" s="28" t="s">
        <v>87</v>
      </c>
      <c r="U25" s="28"/>
      <c r="V25" s="28"/>
      <c r="W25" s="28"/>
      <c r="Y25" s="56"/>
      <c r="Z25" s="57"/>
      <c r="AA25" s="57"/>
      <c r="AB25" s="57"/>
      <c r="AC25" s="58"/>
      <c r="AD25" s="57"/>
      <c r="AE25" s="59"/>
      <c r="AF25" s="67"/>
      <c r="AG25" s="86" t="s">
        <v>83</v>
      </c>
      <c r="AH25" s="28"/>
      <c r="AI25" s="28"/>
      <c r="AJ25" s="28"/>
      <c r="AK25" s="28" t="s">
        <v>84</v>
      </c>
      <c r="AL25" s="28"/>
      <c r="AM25" s="28"/>
      <c r="AN25" s="28"/>
      <c r="AO25" s="35"/>
      <c r="AP25" s="52"/>
      <c r="AQ25" s="53"/>
      <c r="AR25" s="53"/>
      <c r="AS25" s="53"/>
      <c r="AT25" s="54"/>
      <c r="AU25" s="53"/>
      <c r="AV25" s="55"/>
      <c r="AW25" s="64"/>
      <c r="AX25" s="86" t="s">
        <v>85</v>
      </c>
      <c r="AY25" s="265"/>
      <c r="AZ25" s="33"/>
      <c r="BA25" s="44"/>
      <c r="BB25" s="74"/>
      <c r="BC25" s="34"/>
      <c r="BD25" s="28"/>
      <c r="BE25" s="35"/>
      <c r="BF25" s="35"/>
      <c r="BG25" s="35"/>
    </row>
    <row r="26" spans="1:59" ht="13.5" customHeight="1">
      <c r="A26" s="22"/>
      <c r="B26" s="43"/>
      <c r="C26" s="264" t="s">
        <v>149</v>
      </c>
      <c r="D26" s="28"/>
      <c r="E26" s="28"/>
      <c r="F26" s="28"/>
      <c r="H26" s="56"/>
      <c r="I26" s="57"/>
      <c r="J26" s="57"/>
      <c r="K26" s="57"/>
      <c r="L26" s="58"/>
      <c r="M26" s="57"/>
      <c r="N26" s="59"/>
      <c r="O26" s="59"/>
      <c r="P26" s="67"/>
      <c r="Q26" s="62"/>
      <c r="R26" s="28"/>
      <c r="S26" s="35"/>
      <c r="T26" s="28" t="s">
        <v>147</v>
      </c>
      <c r="V26" s="28"/>
      <c r="W26" s="28"/>
      <c r="Y26" s="56"/>
      <c r="Z26" s="57"/>
      <c r="AA26" s="57"/>
      <c r="AB26" s="57"/>
      <c r="AC26" s="58"/>
      <c r="AD26" s="57"/>
      <c r="AE26" s="59"/>
      <c r="AF26" s="59"/>
      <c r="AG26" s="67"/>
      <c r="AH26" s="28"/>
      <c r="AI26" s="28"/>
      <c r="AJ26" s="28"/>
      <c r="AL26" s="28"/>
      <c r="AM26" s="28"/>
      <c r="AN26" s="28"/>
      <c r="AO26" s="35"/>
      <c r="AP26" s="60"/>
      <c r="AQ26" s="61"/>
      <c r="AR26" s="61"/>
      <c r="AS26" s="61"/>
      <c r="AT26" s="62"/>
      <c r="AU26" s="61"/>
      <c r="AV26" s="63"/>
      <c r="AW26" s="63"/>
      <c r="AX26" s="63"/>
      <c r="AY26" s="265"/>
      <c r="AZ26" s="33"/>
      <c r="BA26" s="44"/>
      <c r="BB26" s="74"/>
      <c r="BC26" s="34"/>
      <c r="BD26" s="28"/>
      <c r="BE26" s="35"/>
      <c r="BF26" s="35"/>
      <c r="BG26" s="35"/>
    </row>
    <row r="27" spans="1:59" ht="14.15" customHeight="1">
      <c r="A27" s="22"/>
      <c r="B27" s="239"/>
      <c r="C27" s="368" t="s">
        <v>155</v>
      </c>
      <c r="F27" s="266"/>
      <c r="G27" s="266"/>
      <c r="H27" s="89" t="s">
        <v>88</v>
      </c>
      <c r="I27" s="240"/>
      <c r="J27" s="241"/>
      <c r="K27" s="241"/>
      <c r="L27" s="241"/>
      <c r="M27" s="242"/>
      <c r="N27" s="241"/>
      <c r="O27" s="101"/>
      <c r="P27" s="243" t="s">
        <v>32</v>
      </c>
      <c r="R27" s="118"/>
      <c r="S27" s="35"/>
      <c r="T27" s="266" t="s">
        <v>156</v>
      </c>
      <c r="U27" s="35"/>
      <c r="V27" s="266"/>
      <c r="W27" s="266"/>
      <c r="X27" s="266"/>
      <c r="Y27" s="89" t="s">
        <v>89</v>
      </c>
      <c r="Z27" s="240"/>
      <c r="AA27" s="241"/>
      <c r="AB27" s="241"/>
      <c r="AC27" s="241"/>
      <c r="AD27" s="242"/>
      <c r="AE27" s="241"/>
      <c r="AF27" s="130"/>
      <c r="AG27" s="367" t="s">
        <v>32</v>
      </c>
      <c r="AH27" s="35"/>
      <c r="AI27" s="35"/>
      <c r="AJ27" s="266"/>
      <c r="AL27" s="35"/>
      <c r="AM27" s="266"/>
      <c r="AN27" s="35"/>
      <c r="AO27" s="35"/>
      <c r="AP27" s="26"/>
      <c r="AQ27" s="364"/>
      <c r="AR27" s="365"/>
      <c r="AS27" s="365"/>
      <c r="AT27" s="365"/>
      <c r="AU27" s="366"/>
      <c r="AV27" s="38"/>
      <c r="AW27" s="26"/>
      <c r="AX27" s="370"/>
      <c r="AY27" s="267"/>
      <c r="AZ27" s="33"/>
      <c r="BA27" s="44"/>
      <c r="BB27" s="74"/>
      <c r="BC27" s="34"/>
      <c r="BD27" s="35"/>
      <c r="BE27" s="35"/>
      <c r="BF27" s="35"/>
      <c r="BG27" s="35"/>
    </row>
    <row r="28" spans="1:59" ht="13.5" customHeight="1">
      <c r="A28" s="22"/>
      <c r="B28" s="43"/>
      <c r="C28" s="264" t="s">
        <v>150</v>
      </c>
      <c r="D28" s="28"/>
      <c r="E28" s="28"/>
      <c r="F28" s="28"/>
      <c r="H28" s="56"/>
      <c r="I28" s="57"/>
      <c r="J28" s="57"/>
      <c r="K28" s="57"/>
      <c r="L28" s="58"/>
      <c r="M28" s="57"/>
      <c r="N28" s="59"/>
      <c r="O28" s="59"/>
      <c r="P28" s="67"/>
      <c r="Q28" s="62"/>
      <c r="R28" s="28"/>
      <c r="S28" s="35"/>
      <c r="T28" s="28" t="s">
        <v>151</v>
      </c>
      <c r="U28" s="28"/>
      <c r="V28" s="28"/>
      <c r="W28" s="28"/>
      <c r="Y28" s="56"/>
      <c r="Z28" s="57"/>
      <c r="AA28" s="57"/>
      <c r="AB28" s="57"/>
      <c r="AC28" s="58"/>
      <c r="AD28" s="57"/>
      <c r="AE28" s="59"/>
      <c r="AF28" s="59"/>
      <c r="AG28" s="67"/>
      <c r="AH28" s="28"/>
      <c r="AI28" s="28"/>
      <c r="AJ28" s="28" t="s">
        <v>152</v>
      </c>
      <c r="AK28" s="28"/>
      <c r="AL28" s="28"/>
      <c r="AM28" s="28"/>
      <c r="AN28" s="28"/>
      <c r="AO28" s="35"/>
      <c r="AP28" s="56"/>
      <c r="AQ28" s="57"/>
      <c r="AR28" s="57"/>
      <c r="AS28" s="57"/>
      <c r="AT28" s="58"/>
      <c r="AU28" s="57"/>
      <c r="AV28" s="59"/>
      <c r="AW28" s="59"/>
      <c r="AX28" s="369"/>
      <c r="AY28" s="265"/>
      <c r="AZ28" s="33"/>
      <c r="BA28" s="44"/>
      <c r="BB28" s="74"/>
      <c r="BC28" s="34"/>
      <c r="BD28" s="28"/>
      <c r="BE28" s="35"/>
      <c r="BF28" s="35"/>
      <c r="BG28" s="35"/>
    </row>
    <row r="29" spans="1:59" ht="13.5" customHeight="1">
      <c r="A29" s="22"/>
      <c r="B29" s="43"/>
      <c r="C29" s="264" t="s">
        <v>86</v>
      </c>
      <c r="D29" s="28"/>
      <c r="E29" s="28"/>
      <c r="F29" s="28"/>
      <c r="H29" s="56"/>
      <c r="I29" s="57"/>
      <c r="J29" s="57"/>
      <c r="K29" s="57"/>
      <c r="L29" s="58"/>
      <c r="M29" s="57"/>
      <c r="N29" s="59"/>
      <c r="O29" s="59"/>
      <c r="P29" s="243" t="s">
        <v>32</v>
      </c>
      <c r="Q29" s="62"/>
      <c r="R29" s="28"/>
      <c r="S29" s="35"/>
      <c r="T29" s="26" t="s">
        <v>153</v>
      </c>
      <c r="U29" s="28"/>
      <c r="V29" s="28"/>
      <c r="W29" s="28"/>
      <c r="Y29" s="56"/>
      <c r="Z29" s="57"/>
      <c r="AA29" s="57"/>
      <c r="AB29" s="57"/>
      <c r="AC29" s="58"/>
      <c r="AD29" s="57"/>
      <c r="AE29" s="59"/>
      <c r="AF29" s="59"/>
      <c r="AG29" s="67"/>
      <c r="AH29" s="28"/>
      <c r="AI29" s="28"/>
      <c r="AJ29" s="28" t="s">
        <v>154</v>
      </c>
      <c r="AK29" s="28"/>
      <c r="AL29" s="28"/>
      <c r="AM29" s="28"/>
      <c r="AN29" s="28"/>
      <c r="AO29" s="35"/>
      <c r="AP29" s="56"/>
      <c r="AQ29" s="57"/>
      <c r="AR29" s="57"/>
      <c r="AS29" s="57"/>
      <c r="AT29" s="58"/>
      <c r="AU29" s="57"/>
      <c r="AV29" s="67"/>
      <c r="AW29" s="86" t="s">
        <v>148</v>
      </c>
      <c r="AX29" s="35"/>
      <c r="AY29" s="265"/>
      <c r="AZ29" s="33"/>
      <c r="BA29" s="44"/>
      <c r="BB29" s="74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68" t="s">
        <v>90</v>
      </c>
      <c r="D30" s="39"/>
      <c r="E30" s="39"/>
      <c r="F30" s="39"/>
      <c r="G30" s="39"/>
      <c r="H30" s="147"/>
      <c r="I30" s="148"/>
      <c r="J30" s="149"/>
      <c r="K30" s="148"/>
      <c r="L30" s="149"/>
      <c r="M30" s="148"/>
      <c r="N30" s="150"/>
      <c r="O30" s="148"/>
      <c r="P30" s="149"/>
      <c r="Q30" s="149"/>
      <c r="R30" s="149"/>
      <c r="S30" s="151"/>
      <c r="T30" s="151"/>
      <c r="U30" s="151"/>
      <c r="V30" s="151"/>
      <c r="W30" s="151"/>
      <c r="X30" s="150"/>
      <c r="Y30" s="151"/>
      <c r="Z30" s="149"/>
      <c r="AA30" s="150"/>
      <c r="AB30" s="151"/>
      <c r="AC30" s="149"/>
      <c r="AD30" s="150"/>
      <c r="AE30" s="149"/>
      <c r="AF30" s="149"/>
      <c r="AG30" s="150"/>
      <c r="AH30" s="149"/>
      <c r="AI30" s="149"/>
      <c r="AJ30" s="152"/>
      <c r="AK30" s="149"/>
      <c r="AL30" s="149"/>
      <c r="AM30" s="149"/>
      <c r="AN30" s="149"/>
      <c r="AO30" s="149"/>
      <c r="AP30" s="149"/>
      <c r="AQ30" s="149"/>
      <c r="AR30" s="149"/>
      <c r="AS30" s="149"/>
      <c r="AT30" s="149"/>
      <c r="AU30" s="149"/>
      <c r="AV30" s="149"/>
      <c r="AW30" s="149"/>
      <c r="AX30" s="144" t="s">
        <v>34</v>
      </c>
      <c r="AY30" s="265"/>
      <c r="AZ30" s="33"/>
      <c r="BA30" s="44"/>
      <c r="BB30" s="74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68"/>
      <c r="D31" s="39"/>
      <c r="E31" s="39"/>
      <c r="F31" s="39"/>
      <c r="G31" s="39"/>
      <c r="H31" s="153"/>
      <c r="I31" s="154"/>
      <c r="J31" s="155"/>
      <c r="K31" s="154"/>
      <c r="L31" s="155"/>
      <c r="M31" s="154"/>
      <c r="N31" s="156"/>
      <c r="O31" s="154"/>
      <c r="P31" s="155"/>
      <c r="Q31" s="155"/>
      <c r="R31" s="155"/>
      <c r="S31" s="157"/>
      <c r="T31" s="157"/>
      <c r="U31" s="157"/>
      <c r="V31" s="157"/>
      <c r="W31" s="157"/>
      <c r="X31" s="156"/>
      <c r="Y31" s="157"/>
      <c r="Z31" s="155"/>
      <c r="AA31" s="156"/>
      <c r="AB31" s="157"/>
      <c r="AC31" s="155"/>
      <c r="AD31" s="156"/>
      <c r="AE31" s="155"/>
      <c r="AF31" s="155"/>
      <c r="AG31" s="156"/>
      <c r="AH31" s="155"/>
      <c r="AI31" s="155"/>
      <c r="AJ31" s="158"/>
      <c r="AK31" s="155"/>
      <c r="AL31" s="155"/>
      <c r="AM31" s="155"/>
      <c r="AN31" s="155"/>
      <c r="AO31" s="155"/>
      <c r="AP31" s="155"/>
      <c r="AQ31" s="155"/>
      <c r="AR31" s="155"/>
      <c r="AS31" s="155"/>
      <c r="AT31" s="155"/>
      <c r="AU31" s="155"/>
      <c r="AV31" s="155"/>
      <c r="AW31" s="155"/>
      <c r="AX31" s="110" t="s">
        <v>32</v>
      </c>
      <c r="AY31" s="265"/>
      <c r="AZ31" s="33"/>
      <c r="BA31" s="44"/>
      <c r="BB31" s="74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68" t="s">
        <v>91</v>
      </c>
      <c r="D32" s="39"/>
      <c r="E32" s="39"/>
      <c r="F32" s="39"/>
      <c r="G32" s="39"/>
      <c r="H32" s="147" t="s">
        <v>107</v>
      </c>
      <c r="I32" s="148"/>
      <c r="J32" s="149"/>
      <c r="K32" s="148"/>
      <c r="L32" s="149"/>
      <c r="M32" s="148"/>
      <c r="N32" s="150"/>
      <c r="O32" s="148"/>
      <c r="P32" s="149"/>
      <c r="Q32" s="149"/>
      <c r="R32" s="149"/>
      <c r="S32" s="151"/>
      <c r="T32" s="151"/>
      <c r="U32" s="151"/>
      <c r="V32" s="151"/>
      <c r="W32" s="151"/>
      <c r="X32" s="150"/>
      <c r="Y32" s="151"/>
      <c r="Z32" s="149"/>
      <c r="AA32" s="150"/>
      <c r="AB32" s="151"/>
      <c r="AC32" s="149"/>
      <c r="AD32" s="150"/>
      <c r="AE32" s="149"/>
      <c r="AF32" s="149"/>
      <c r="AG32" s="150"/>
      <c r="AH32" s="149"/>
      <c r="AI32" s="149"/>
      <c r="AJ32" s="152"/>
      <c r="AK32" s="149"/>
      <c r="AL32" s="149"/>
      <c r="AM32" s="149"/>
      <c r="AN32" s="149"/>
      <c r="AO32" s="149"/>
      <c r="AP32" s="149"/>
      <c r="AQ32" s="149"/>
      <c r="AR32" s="149"/>
      <c r="AS32" s="149"/>
      <c r="AT32" s="149"/>
      <c r="AU32" s="149"/>
      <c r="AV32" s="149"/>
      <c r="AW32" s="149"/>
      <c r="AX32" s="144" t="s">
        <v>34</v>
      </c>
      <c r="AY32" s="265"/>
      <c r="AZ32" s="33"/>
      <c r="BA32" s="44"/>
      <c r="BB32" s="74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68"/>
      <c r="D33" s="39"/>
      <c r="E33" s="39"/>
      <c r="F33" s="39"/>
      <c r="G33" s="39"/>
      <c r="H33" s="153"/>
      <c r="I33" s="154"/>
      <c r="J33" s="155"/>
      <c r="K33" s="154"/>
      <c r="L33" s="155"/>
      <c r="M33" s="154"/>
      <c r="N33" s="156"/>
      <c r="O33" s="154"/>
      <c r="P33" s="155"/>
      <c r="Q33" s="155"/>
      <c r="R33" s="155"/>
      <c r="S33" s="157"/>
      <c r="T33" s="157"/>
      <c r="U33" s="157"/>
      <c r="V33" s="157"/>
      <c r="W33" s="157"/>
      <c r="X33" s="156"/>
      <c r="Y33" s="157"/>
      <c r="Z33" s="155"/>
      <c r="AA33" s="156"/>
      <c r="AB33" s="157"/>
      <c r="AC33" s="155"/>
      <c r="AD33" s="156"/>
      <c r="AE33" s="155"/>
      <c r="AF33" s="155"/>
      <c r="AG33" s="156"/>
      <c r="AH33" s="155"/>
      <c r="AI33" s="155"/>
      <c r="AJ33" s="158"/>
      <c r="AK33" s="155"/>
      <c r="AL33" s="155"/>
      <c r="AM33" s="155"/>
      <c r="AN33" s="155"/>
      <c r="AO33" s="155"/>
      <c r="AP33" s="155"/>
      <c r="AQ33" s="155"/>
      <c r="AR33" s="155"/>
      <c r="AS33" s="155"/>
      <c r="AT33" s="155"/>
      <c r="AU33" s="155"/>
      <c r="AV33" s="155"/>
      <c r="AW33" s="155"/>
      <c r="AX33" s="110" t="s">
        <v>32</v>
      </c>
      <c r="AY33" s="265"/>
      <c r="AZ33" s="33"/>
      <c r="BA33" s="44"/>
      <c r="BB33" s="74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68" t="s">
        <v>92</v>
      </c>
      <c r="D34" s="39"/>
      <c r="E34" s="39"/>
      <c r="F34" s="39"/>
      <c r="G34" s="39"/>
      <c r="H34" s="147"/>
      <c r="I34" s="148"/>
      <c r="J34" s="149"/>
      <c r="K34" s="148"/>
      <c r="L34" s="149"/>
      <c r="M34" s="148"/>
      <c r="N34" s="150"/>
      <c r="O34" s="148"/>
      <c r="P34" s="149"/>
      <c r="Q34" s="149"/>
      <c r="R34" s="149"/>
      <c r="S34" s="151"/>
      <c r="T34" s="151"/>
      <c r="U34" s="151"/>
      <c r="V34" s="151"/>
      <c r="W34" s="151"/>
      <c r="X34" s="150"/>
      <c r="Y34" s="151"/>
      <c r="Z34" s="149"/>
      <c r="AA34" s="150"/>
      <c r="AB34" s="151"/>
      <c r="AC34" s="149"/>
      <c r="AD34" s="150"/>
      <c r="AE34" s="149"/>
      <c r="AF34" s="149"/>
      <c r="AG34" s="150"/>
      <c r="AH34" s="149"/>
      <c r="AI34" s="149"/>
      <c r="AJ34" s="152"/>
      <c r="AK34" s="149"/>
      <c r="AL34" s="149"/>
      <c r="AM34" s="149"/>
      <c r="AN34" s="149"/>
      <c r="AO34" s="149"/>
      <c r="AP34" s="149"/>
      <c r="AQ34" s="149"/>
      <c r="AR34" s="149"/>
      <c r="AS34" s="149"/>
      <c r="AT34" s="149"/>
      <c r="AU34" s="149"/>
      <c r="AV34" s="149"/>
      <c r="AW34" s="149"/>
      <c r="AX34" s="144" t="s">
        <v>34</v>
      </c>
      <c r="AY34" s="265"/>
      <c r="AZ34" s="33"/>
      <c r="BA34" s="44"/>
      <c r="BB34" s="74"/>
      <c r="BC34" s="34"/>
      <c r="BD34" s="28"/>
      <c r="BE34" s="35"/>
      <c r="BF34" s="35"/>
      <c r="BG34" s="35"/>
    </row>
    <row r="35" spans="1:59" ht="13.5" customHeight="1">
      <c r="A35" s="22"/>
      <c r="B35" s="32"/>
      <c r="C35" s="268"/>
      <c r="D35" s="39"/>
      <c r="E35" s="39"/>
      <c r="F35" s="39"/>
      <c r="G35" s="39"/>
      <c r="H35" s="153"/>
      <c r="I35" s="154"/>
      <c r="J35" s="155"/>
      <c r="K35" s="154"/>
      <c r="L35" s="155"/>
      <c r="M35" s="154"/>
      <c r="N35" s="156"/>
      <c r="O35" s="154"/>
      <c r="P35" s="155"/>
      <c r="Q35" s="155"/>
      <c r="R35" s="155"/>
      <c r="S35" s="157"/>
      <c r="T35" s="157"/>
      <c r="U35" s="157"/>
      <c r="V35" s="157"/>
      <c r="W35" s="157"/>
      <c r="X35" s="156"/>
      <c r="Y35" s="157"/>
      <c r="Z35" s="155"/>
      <c r="AA35" s="156"/>
      <c r="AB35" s="157"/>
      <c r="AC35" s="155"/>
      <c r="AD35" s="156"/>
      <c r="AE35" s="155"/>
      <c r="AF35" s="155"/>
      <c r="AG35" s="156"/>
      <c r="AH35" s="155"/>
      <c r="AI35" s="155"/>
      <c r="AJ35" s="158"/>
      <c r="AK35" s="155"/>
      <c r="AL35" s="155"/>
      <c r="AM35" s="155"/>
      <c r="AN35" s="155"/>
      <c r="AO35" s="155"/>
      <c r="AP35" s="155"/>
      <c r="AQ35" s="155"/>
      <c r="AR35" s="155"/>
      <c r="AS35" s="155"/>
      <c r="AT35" s="155"/>
      <c r="AU35" s="155"/>
      <c r="AV35" s="155"/>
      <c r="AW35" s="155"/>
      <c r="AX35" s="110" t="s">
        <v>32</v>
      </c>
      <c r="AY35" s="265"/>
      <c r="AZ35" s="33"/>
      <c r="BA35" s="44"/>
      <c r="BB35" s="74"/>
      <c r="BC35" s="34"/>
      <c r="BD35" s="28"/>
      <c r="BE35" s="35"/>
      <c r="BF35" s="35"/>
      <c r="BG35" s="35"/>
    </row>
    <row r="36" spans="1:59" ht="5.15" customHeight="1">
      <c r="A36" s="22"/>
      <c r="B36" s="32"/>
      <c r="C36" s="269"/>
      <c r="D36" s="270"/>
      <c r="E36" s="270"/>
      <c r="F36" s="270"/>
      <c r="G36" s="270"/>
      <c r="H36" s="271"/>
      <c r="I36" s="271"/>
      <c r="J36" s="272"/>
      <c r="K36" s="271"/>
      <c r="L36" s="272"/>
      <c r="M36" s="271"/>
      <c r="N36" s="273"/>
      <c r="O36" s="271"/>
      <c r="P36" s="272"/>
      <c r="Q36" s="272"/>
      <c r="R36" s="272"/>
      <c r="S36" s="274"/>
      <c r="T36" s="274"/>
      <c r="U36" s="274"/>
      <c r="V36" s="274"/>
      <c r="W36" s="274"/>
      <c r="X36" s="273"/>
      <c r="Y36" s="274"/>
      <c r="Z36" s="272"/>
      <c r="AA36" s="273"/>
      <c r="AB36" s="274"/>
      <c r="AC36" s="272"/>
      <c r="AD36" s="273"/>
      <c r="AE36" s="272"/>
      <c r="AF36" s="272"/>
      <c r="AG36" s="273"/>
      <c r="AH36" s="272"/>
      <c r="AI36" s="272"/>
      <c r="AJ36" s="275"/>
      <c r="AK36" s="272"/>
      <c r="AL36" s="272"/>
      <c r="AM36" s="272"/>
      <c r="AN36" s="272"/>
      <c r="AO36" s="272"/>
      <c r="AP36" s="272"/>
      <c r="AQ36" s="272"/>
      <c r="AR36" s="272"/>
      <c r="AS36" s="272"/>
      <c r="AT36" s="272"/>
      <c r="AU36" s="272"/>
      <c r="AV36" s="272"/>
      <c r="AW36" s="272"/>
      <c r="AX36" s="258"/>
      <c r="AY36" s="276"/>
      <c r="AZ36" s="33"/>
      <c r="BA36" s="44"/>
      <c r="BB36" s="74"/>
      <c r="BC36" s="34"/>
      <c r="BD36" s="28"/>
      <c r="BE36" s="35"/>
      <c r="BF36" s="35"/>
      <c r="BG36" s="35"/>
    </row>
    <row r="37" spans="1:59" ht="13.5" customHeight="1">
      <c r="A37" s="22"/>
      <c r="B37" s="32"/>
      <c r="C37" s="39"/>
      <c r="D37" s="39"/>
      <c r="E37" s="39"/>
      <c r="F37" s="39"/>
      <c r="G37" s="39"/>
      <c r="H37" s="331"/>
      <c r="I37" s="331"/>
      <c r="J37" s="332"/>
      <c r="K37" s="331"/>
      <c r="L37" s="332"/>
      <c r="M37" s="331"/>
      <c r="N37" s="333"/>
      <c r="O37" s="331"/>
      <c r="P37" s="332"/>
      <c r="Q37" s="332"/>
      <c r="R37" s="332"/>
      <c r="S37" s="334"/>
      <c r="T37" s="334"/>
      <c r="U37" s="334"/>
      <c r="V37" s="334"/>
      <c r="W37" s="334"/>
      <c r="X37" s="333"/>
      <c r="Y37" s="334"/>
      <c r="Z37" s="332"/>
      <c r="AA37" s="333"/>
      <c r="AB37" s="334"/>
      <c r="AC37" s="332"/>
      <c r="AD37" s="333"/>
      <c r="AE37" s="332"/>
      <c r="AF37" s="332"/>
      <c r="AG37" s="333"/>
      <c r="AH37" s="332"/>
      <c r="AI37" s="332"/>
      <c r="AJ37" s="335"/>
      <c r="AK37" s="332"/>
      <c r="AL37" s="332"/>
      <c r="AM37" s="332"/>
      <c r="AN37" s="332"/>
      <c r="AO37" s="332"/>
      <c r="AP37" s="332"/>
      <c r="AQ37" s="332"/>
      <c r="AR37" s="332"/>
      <c r="AS37" s="332"/>
      <c r="AT37" s="332"/>
      <c r="AU37" s="332"/>
      <c r="AV37" s="332"/>
      <c r="AW37" s="332"/>
      <c r="AX37" s="262"/>
      <c r="AY37" s="261"/>
      <c r="AZ37" s="33"/>
      <c r="BA37" s="44"/>
      <c r="BB37" s="74"/>
      <c r="BC37" s="34"/>
      <c r="BD37" s="28"/>
      <c r="BE37" s="35"/>
      <c r="BF37" s="35"/>
      <c r="BG37" s="35"/>
    </row>
    <row r="38" spans="1:59" ht="13.5" customHeight="1">
      <c r="A38" s="22"/>
      <c r="B38" s="186">
        <v>5</v>
      </c>
      <c r="C38" s="188" t="s">
        <v>146</v>
      </c>
      <c r="D38" s="28"/>
      <c r="E38" s="28"/>
      <c r="F38" s="28"/>
      <c r="G38" s="28"/>
      <c r="H38" s="109"/>
      <c r="I38" s="60"/>
      <c r="J38" s="60"/>
      <c r="K38" s="61"/>
      <c r="L38" s="66"/>
      <c r="M38" s="66"/>
      <c r="N38" s="63"/>
      <c r="O38" s="66"/>
      <c r="P38" s="63"/>
      <c r="Q38" s="63"/>
      <c r="R38" s="66"/>
      <c r="S38" s="28"/>
      <c r="T38" s="28"/>
      <c r="U38" s="28"/>
      <c r="V38" s="28"/>
      <c r="W38" s="28"/>
      <c r="X38" s="109"/>
      <c r="Y38" s="60"/>
      <c r="Z38" s="61"/>
      <c r="AA38" s="60"/>
      <c r="AB38" s="61"/>
      <c r="AC38" s="66"/>
      <c r="AD38" s="66"/>
      <c r="AE38" s="63"/>
      <c r="AF38" s="66"/>
      <c r="AG38" s="63"/>
      <c r="AH38" s="66"/>
      <c r="AI38" s="62"/>
      <c r="AJ38" s="66"/>
      <c r="AK38" s="63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17"/>
      <c r="AW38" s="28"/>
      <c r="AX38" s="28"/>
      <c r="AY38" s="31"/>
      <c r="AZ38" s="33"/>
      <c r="BA38" s="44"/>
      <c r="BB38" s="143"/>
      <c r="BC38" s="105"/>
      <c r="BD38" s="28"/>
    </row>
    <row r="39" spans="1:59" ht="5.15" customHeight="1">
      <c r="A39" s="22"/>
      <c r="B39" s="186"/>
      <c r="C39" s="277"/>
      <c r="D39" s="68"/>
      <c r="E39" s="68"/>
      <c r="F39" s="68"/>
      <c r="G39" s="68"/>
      <c r="H39" s="278"/>
      <c r="I39" s="260"/>
      <c r="J39" s="260"/>
      <c r="K39" s="261"/>
      <c r="L39" s="279"/>
      <c r="M39" s="279"/>
      <c r="N39" s="245"/>
      <c r="O39" s="279"/>
      <c r="P39" s="245"/>
      <c r="Q39" s="245"/>
      <c r="R39" s="279"/>
      <c r="S39" s="68"/>
      <c r="T39" s="68"/>
      <c r="U39" s="68"/>
      <c r="V39" s="68"/>
      <c r="W39" s="68"/>
      <c r="X39" s="278"/>
      <c r="Y39" s="260"/>
      <c r="Z39" s="261"/>
      <c r="AA39" s="260"/>
      <c r="AB39" s="261"/>
      <c r="AC39" s="279"/>
      <c r="AD39" s="279"/>
      <c r="AE39" s="245"/>
      <c r="AF39" s="279"/>
      <c r="AG39" s="245"/>
      <c r="AH39" s="279"/>
      <c r="AI39" s="262"/>
      <c r="AJ39" s="279"/>
      <c r="AK39" s="245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281"/>
      <c r="AW39" s="68"/>
      <c r="AX39" s="68"/>
      <c r="AY39" s="247"/>
      <c r="AZ39" s="33"/>
      <c r="BA39" s="44"/>
      <c r="BB39" s="143"/>
      <c r="BC39" s="105"/>
      <c r="BD39" s="28"/>
    </row>
    <row r="40" spans="1:59" ht="13.9" customHeight="1">
      <c r="A40" s="22"/>
      <c r="B40" s="186"/>
      <c r="C40" s="371" t="s">
        <v>162</v>
      </c>
      <c r="D40" s="28"/>
      <c r="E40" s="28"/>
      <c r="F40" s="28"/>
      <c r="G40" s="80" t="s">
        <v>158</v>
      </c>
      <c r="H40" s="80"/>
      <c r="I40" s="80"/>
      <c r="J40" s="80"/>
      <c r="K40" s="80"/>
      <c r="L40" s="303"/>
      <c r="M40" s="71"/>
      <c r="N40" s="63"/>
      <c r="O40" s="66"/>
      <c r="P40" s="63"/>
      <c r="Q40" s="63"/>
      <c r="R40" s="66"/>
      <c r="S40" s="28"/>
      <c r="T40" s="28"/>
      <c r="U40" s="28"/>
      <c r="V40" s="28"/>
      <c r="W40" s="28"/>
      <c r="X40" s="109"/>
      <c r="Y40" s="60"/>
      <c r="Z40" s="61"/>
      <c r="AA40" s="60"/>
      <c r="AB40" s="61"/>
      <c r="AC40" s="66"/>
      <c r="AD40" s="66"/>
      <c r="AE40" s="63"/>
      <c r="AF40" s="66"/>
      <c r="AG40" s="63"/>
      <c r="AH40" s="66"/>
      <c r="AI40" s="62"/>
      <c r="AJ40" s="66"/>
      <c r="AK40" s="63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17"/>
      <c r="AW40" s="28"/>
      <c r="AX40" s="28"/>
      <c r="AY40" s="249"/>
      <c r="AZ40" s="33"/>
      <c r="BA40" s="44"/>
      <c r="BB40" s="143"/>
      <c r="BC40" s="105"/>
      <c r="BD40" s="28"/>
    </row>
    <row r="41" spans="1:59" ht="13.5" customHeight="1">
      <c r="A41" s="22"/>
      <c r="B41" s="186">
        <v>6</v>
      </c>
      <c r="C41" s="285" t="s">
        <v>31</v>
      </c>
      <c r="D41" s="189" t="s">
        <v>144</v>
      </c>
      <c r="E41" s="190"/>
      <c r="F41" s="190"/>
      <c r="G41" s="191"/>
      <c r="H41" s="192" t="s">
        <v>157</v>
      </c>
      <c r="I41" s="193"/>
      <c r="J41" s="193"/>
      <c r="K41" s="190"/>
      <c r="L41" s="191"/>
      <c r="M41" s="28"/>
      <c r="N41" s="28"/>
      <c r="O41" s="28"/>
      <c r="P41" s="28"/>
      <c r="Q41" s="28"/>
      <c r="R41" s="28"/>
      <c r="S41" s="35"/>
      <c r="T41" s="35"/>
      <c r="U41" s="35"/>
      <c r="V41" s="35"/>
      <c r="Y41" s="35"/>
      <c r="Z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292"/>
      <c r="AZ41" s="33"/>
      <c r="BA41" s="44"/>
      <c r="BB41" s="143"/>
      <c r="BC41" s="105"/>
      <c r="BD41" s="35"/>
      <c r="BE41" s="35"/>
      <c r="BF41" s="35"/>
      <c r="BG41" s="35"/>
    </row>
    <row r="42" spans="1:59" ht="13.5" customHeight="1">
      <c r="A42" s="22"/>
      <c r="B42" s="186">
        <v>8</v>
      </c>
      <c r="C42" s="289">
        <v>1</v>
      </c>
      <c r="D42" s="134" t="s">
        <v>95</v>
      </c>
      <c r="E42" s="135"/>
      <c r="F42" s="135"/>
      <c r="G42" s="137"/>
      <c r="H42" s="778">
        <v>110</v>
      </c>
      <c r="I42" s="779"/>
      <c r="J42" s="779"/>
      <c r="K42" s="779"/>
      <c r="L42" s="780"/>
      <c r="M42" s="28"/>
      <c r="N42" s="28"/>
      <c r="O42" s="28"/>
      <c r="P42" s="28"/>
      <c r="Q42" s="28"/>
      <c r="R42" s="28"/>
      <c r="S42" s="35"/>
      <c r="T42" s="35"/>
      <c r="U42" s="35"/>
      <c r="V42" s="35"/>
      <c r="Y42" s="35"/>
      <c r="Z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292"/>
      <c r="AZ42" s="33"/>
      <c r="BA42" s="44"/>
      <c r="BB42" s="143"/>
      <c r="BC42" s="105"/>
      <c r="BD42" s="35"/>
      <c r="BE42" s="35"/>
      <c r="BF42" s="35"/>
      <c r="BG42" s="35"/>
    </row>
    <row r="43" spans="1:59" ht="13.5" customHeight="1">
      <c r="A43" s="22"/>
      <c r="B43" s="186">
        <v>9</v>
      </c>
      <c r="C43" s="289">
        <v>2</v>
      </c>
      <c r="D43" s="134" t="s">
        <v>145</v>
      </c>
      <c r="E43" s="135"/>
      <c r="F43" s="135"/>
      <c r="G43" s="137"/>
      <c r="H43" s="778">
        <v>125</v>
      </c>
      <c r="I43" s="779"/>
      <c r="J43" s="779"/>
      <c r="K43" s="779"/>
      <c r="L43" s="780"/>
      <c r="M43" s="28"/>
      <c r="N43" s="28"/>
      <c r="O43" s="28"/>
      <c r="P43" s="28"/>
      <c r="Q43" s="28"/>
      <c r="R43" s="28"/>
      <c r="S43" s="35"/>
      <c r="T43" s="35"/>
      <c r="U43" s="35"/>
      <c r="V43" s="35"/>
      <c r="Y43" s="35"/>
      <c r="Z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292"/>
      <c r="AZ43" s="33"/>
      <c r="BA43" s="44"/>
      <c r="BB43" s="143"/>
      <c r="BC43" s="105"/>
      <c r="BD43" s="35"/>
      <c r="BE43" s="35"/>
      <c r="BF43" s="35"/>
      <c r="BG43" s="35"/>
    </row>
    <row r="44" spans="1:59" ht="5.15" customHeight="1">
      <c r="A44" s="22"/>
      <c r="B44" s="186"/>
      <c r="C44" s="296"/>
      <c r="D44" s="69"/>
      <c r="E44" s="69"/>
      <c r="F44" s="69"/>
      <c r="G44" s="69"/>
      <c r="H44" s="297"/>
      <c r="I44" s="257"/>
      <c r="J44" s="257"/>
      <c r="K44" s="255"/>
      <c r="L44" s="298"/>
      <c r="M44" s="298"/>
      <c r="N44" s="252"/>
      <c r="O44" s="298"/>
      <c r="P44" s="252"/>
      <c r="Q44" s="252"/>
      <c r="R44" s="298"/>
      <c r="S44" s="69"/>
      <c r="T44" s="69"/>
      <c r="U44" s="69"/>
      <c r="V44" s="69"/>
      <c r="W44" s="69"/>
      <c r="X44" s="297"/>
      <c r="Y44" s="257"/>
      <c r="Z44" s="255"/>
      <c r="AA44" s="257"/>
      <c r="AB44" s="255"/>
      <c r="AC44" s="298"/>
      <c r="AD44" s="298"/>
      <c r="AE44" s="252"/>
      <c r="AF44" s="298"/>
      <c r="AG44" s="252"/>
      <c r="AH44" s="298"/>
      <c r="AI44" s="258"/>
      <c r="AJ44" s="298"/>
      <c r="AK44" s="252"/>
      <c r="AL44" s="69"/>
      <c r="AM44" s="69"/>
      <c r="AN44" s="69"/>
      <c r="AO44" s="69"/>
      <c r="AP44" s="69"/>
      <c r="AQ44" s="69"/>
      <c r="AR44" s="69"/>
      <c r="AS44" s="69"/>
      <c r="AT44" s="69"/>
      <c r="AU44" s="69"/>
      <c r="AV44" s="299"/>
      <c r="AW44" s="69"/>
      <c r="AX44" s="69"/>
      <c r="AY44" s="259"/>
      <c r="AZ44" s="33"/>
      <c r="BA44" s="44"/>
      <c r="BB44" s="143"/>
      <c r="BC44" s="105"/>
      <c r="BD44" s="28"/>
    </row>
    <row r="45" spans="1:59" ht="13.5" customHeight="1">
      <c r="A45" s="22"/>
      <c r="B45" s="186">
        <v>10</v>
      </c>
      <c r="C45" s="363"/>
      <c r="D45" s="63"/>
      <c r="E45" s="63"/>
      <c r="F45" s="63"/>
      <c r="G45" s="63"/>
      <c r="H45" s="63"/>
      <c r="I45" s="63"/>
      <c r="J45" s="63"/>
      <c r="K45" s="63"/>
      <c r="L45" s="63"/>
      <c r="M45" s="60"/>
      <c r="N45" s="61"/>
      <c r="O45" s="63"/>
      <c r="P45" s="63"/>
      <c r="Q45" s="62"/>
      <c r="R45" s="61"/>
      <c r="S45" s="174"/>
      <c r="T45" s="174"/>
      <c r="U45" s="175"/>
      <c r="V45" s="176"/>
      <c r="W45" s="174"/>
      <c r="X45" s="63"/>
      <c r="Y45" s="63"/>
      <c r="Z45" s="63"/>
      <c r="AA45" s="63"/>
      <c r="AB45" s="63"/>
      <c r="AC45" s="63"/>
      <c r="AD45" s="63"/>
      <c r="AE45" s="63"/>
      <c r="AF45" s="63"/>
      <c r="AG45" s="63"/>
      <c r="AH45" s="63"/>
      <c r="AI45" s="63"/>
      <c r="AJ45" s="63"/>
      <c r="AK45" s="63"/>
      <c r="AL45" s="63"/>
      <c r="AM45" s="61"/>
      <c r="AN45" s="61"/>
      <c r="AO45" s="61"/>
      <c r="AP45" s="61"/>
      <c r="AQ45" s="61"/>
      <c r="AR45" s="61"/>
      <c r="AS45" s="61"/>
      <c r="AT45" s="61"/>
      <c r="AU45" s="61"/>
      <c r="AV45" s="61"/>
      <c r="AW45" s="61"/>
      <c r="AX45" s="61"/>
      <c r="AY45" s="61"/>
      <c r="AZ45" s="33"/>
      <c r="BA45" s="44"/>
      <c r="BB45" s="143"/>
      <c r="BC45" s="105"/>
      <c r="BD45" s="28"/>
    </row>
    <row r="46" spans="1:59" ht="13.5" customHeight="1">
      <c r="A46" s="22"/>
      <c r="B46" s="186">
        <v>5</v>
      </c>
      <c r="C46" s="188" t="s">
        <v>59</v>
      </c>
      <c r="D46" s="28"/>
      <c r="E46" s="28"/>
      <c r="F46" s="28"/>
      <c r="G46" s="28"/>
      <c r="H46" s="109"/>
      <c r="I46" s="60"/>
      <c r="J46" s="61"/>
      <c r="K46" s="60"/>
      <c r="L46" s="61"/>
      <c r="M46" s="66"/>
      <c r="N46" s="66"/>
      <c r="O46" s="63"/>
      <c r="P46" s="66"/>
      <c r="Q46" s="63"/>
      <c r="R46" s="66"/>
      <c r="S46" s="28"/>
      <c r="T46" s="28"/>
      <c r="U46" s="28"/>
      <c r="V46" s="28"/>
      <c r="W46" s="28"/>
      <c r="X46" s="109"/>
      <c r="Y46" s="60"/>
      <c r="Z46" s="61"/>
      <c r="AA46" s="60"/>
      <c r="AB46" s="61"/>
      <c r="AC46" s="66"/>
      <c r="AD46" s="66"/>
      <c r="AE46" s="63"/>
      <c r="AF46" s="66"/>
      <c r="AG46" s="63"/>
      <c r="AH46" s="66"/>
      <c r="AI46" s="62"/>
      <c r="AJ46" s="66"/>
      <c r="AK46" s="63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17"/>
      <c r="AW46" s="28"/>
      <c r="AX46" s="28"/>
      <c r="AY46" s="31"/>
      <c r="AZ46" s="33"/>
      <c r="BA46" s="44"/>
      <c r="BB46" s="143"/>
      <c r="BC46" s="105"/>
      <c r="BD46" s="28"/>
    </row>
    <row r="47" spans="1:59" ht="5.15" customHeight="1">
      <c r="A47" s="22"/>
      <c r="B47" s="186"/>
      <c r="C47" s="277"/>
      <c r="D47" s="68"/>
      <c r="E47" s="68"/>
      <c r="F47" s="68"/>
      <c r="G47" s="68"/>
      <c r="H47" s="278"/>
      <c r="I47" s="260"/>
      <c r="J47" s="261"/>
      <c r="K47" s="260"/>
      <c r="L47" s="261"/>
      <c r="M47" s="279"/>
      <c r="N47" s="279"/>
      <c r="O47" s="245"/>
      <c r="P47" s="279"/>
      <c r="Q47" s="245"/>
      <c r="R47" s="279"/>
      <c r="S47" s="68"/>
      <c r="T47" s="68"/>
      <c r="U47" s="68"/>
      <c r="V47" s="68"/>
      <c r="W47" s="68"/>
      <c r="X47" s="278"/>
      <c r="Y47" s="260"/>
      <c r="Z47" s="261"/>
      <c r="AA47" s="260"/>
      <c r="AB47" s="261"/>
      <c r="AC47" s="279"/>
      <c r="AD47" s="279"/>
      <c r="AE47" s="245"/>
      <c r="AF47" s="279"/>
      <c r="AG47" s="245"/>
      <c r="AH47" s="279"/>
      <c r="AI47" s="262"/>
      <c r="AJ47" s="279"/>
      <c r="AK47" s="245"/>
      <c r="AL47" s="68"/>
      <c r="AM47" s="68"/>
      <c r="AN47" s="68"/>
      <c r="AO47" s="68"/>
      <c r="AP47" s="68"/>
      <c r="AQ47" s="68"/>
      <c r="AR47" s="68"/>
      <c r="AS47" s="68"/>
      <c r="AT47" s="68"/>
      <c r="AU47" s="68"/>
      <c r="AV47" s="281"/>
      <c r="AW47" s="68"/>
      <c r="AX47" s="68"/>
      <c r="AY47" s="246"/>
      <c r="AZ47" s="246"/>
      <c r="BA47" s="282"/>
      <c r="BB47" s="283"/>
      <c r="BC47" s="284"/>
      <c r="BD47" s="28"/>
    </row>
    <row r="48" spans="1:59" ht="13.5" customHeight="1">
      <c r="A48" s="22"/>
      <c r="B48" s="43"/>
      <c r="C48" s="248"/>
      <c r="D48" s="28" t="s">
        <v>165</v>
      </c>
      <c r="E48" s="28"/>
      <c r="F48" s="28"/>
      <c r="G48" s="28"/>
      <c r="H48" s="80" t="s">
        <v>94</v>
      </c>
      <c r="I48" s="80"/>
      <c r="J48" s="80"/>
      <c r="K48" s="80"/>
      <c r="L48" s="80"/>
      <c r="M48" s="303"/>
      <c r="N48" s="81"/>
      <c r="O48" s="82"/>
      <c r="P48" s="82"/>
      <c r="Q48" s="83"/>
      <c r="R48" s="81"/>
      <c r="S48" s="81"/>
      <c r="T48" s="81"/>
      <c r="U48" s="82"/>
      <c r="V48" s="83"/>
      <c r="W48" s="81"/>
      <c r="X48" s="63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63"/>
      <c r="AY48" s="31"/>
      <c r="AZ48" s="50"/>
      <c r="BA48" s="85"/>
      <c r="BB48" s="307"/>
      <c r="BC48" s="308"/>
      <c r="BD48" s="28"/>
      <c r="BE48" s="35"/>
      <c r="BF48" s="35"/>
      <c r="BG48" s="35"/>
    </row>
    <row r="49" spans="1:87" ht="13.5" customHeight="1">
      <c r="A49" s="22"/>
      <c r="B49" s="186">
        <v>6</v>
      </c>
      <c r="C49" s="285" t="s">
        <v>31</v>
      </c>
      <c r="D49" s="189" t="s">
        <v>60</v>
      </c>
      <c r="E49" s="190"/>
      <c r="F49" s="190"/>
      <c r="G49" s="191"/>
      <c r="H49" s="192" t="s">
        <v>67</v>
      </c>
      <c r="I49" s="193"/>
      <c r="J49" s="193"/>
      <c r="K49" s="193"/>
      <c r="L49" s="190"/>
      <c r="M49" s="191"/>
      <c r="N49" s="189" t="s">
        <v>68</v>
      </c>
      <c r="O49" s="190"/>
      <c r="P49" s="190"/>
      <c r="Q49" s="191"/>
      <c r="R49" s="189" t="s">
        <v>69</v>
      </c>
      <c r="S49" s="190"/>
      <c r="T49" s="190"/>
      <c r="U49" s="190"/>
      <c r="V49" s="194" t="s">
        <v>168</v>
      </c>
      <c r="W49" s="195"/>
      <c r="X49" s="195"/>
      <c r="Y49" s="196"/>
      <c r="Z49" s="194" t="s">
        <v>97</v>
      </c>
      <c r="AA49" s="195"/>
      <c r="AB49" s="195"/>
      <c r="AC49" s="195"/>
      <c r="AD49" s="196"/>
      <c r="AE49" s="194" t="s">
        <v>169</v>
      </c>
      <c r="AF49" s="195"/>
      <c r="AG49" s="195"/>
      <c r="AH49" s="196"/>
      <c r="AI49" s="194" t="s">
        <v>105</v>
      </c>
      <c r="AJ49" s="195"/>
      <c r="AK49" s="195"/>
      <c r="AL49" s="196"/>
      <c r="AM49" s="195" t="s">
        <v>99</v>
      </c>
      <c r="AN49" s="195"/>
      <c r="AO49" s="195"/>
      <c r="AP49" s="196"/>
      <c r="AQ49" s="195" t="s">
        <v>108</v>
      </c>
      <c r="AR49" s="195"/>
      <c r="AS49" s="195"/>
      <c r="AT49" s="196"/>
      <c r="AU49" s="194" t="s">
        <v>110</v>
      </c>
      <c r="AV49" s="195"/>
      <c r="AW49" s="195"/>
      <c r="AX49" s="196"/>
      <c r="AY49" s="194" t="s">
        <v>72</v>
      </c>
      <c r="AZ49" s="195"/>
      <c r="BA49" s="195"/>
      <c r="BB49" s="196"/>
      <c r="BC49" s="194" t="s">
        <v>39</v>
      </c>
      <c r="BD49" s="195"/>
      <c r="BE49" s="195"/>
      <c r="BF49" s="196"/>
      <c r="BG49" s="195" t="s">
        <v>101</v>
      </c>
      <c r="BH49" s="195"/>
      <c r="BI49" s="196"/>
      <c r="BJ49" s="286" t="s">
        <v>75</v>
      </c>
      <c r="BK49" s="195"/>
      <c r="BL49" s="195"/>
      <c r="BM49" s="196"/>
      <c r="BN49" s="195" t="s">
        <v>64</v>
      </c>
      <c r="BO49" s="195"/>
      <c r="BP49" s="195"/>
      <c r="BQ49" s="196"/>
      <c r="BR49" s="28"/>
      <c r="BS49" s="28"/>
      <c r="BT49" s="28"/>
      <c r="BU49" s="28"/>
      <c r="BV49" s="28"/>
    </row>
    <row r="50" spans="1:87" ht="13.5" customHeight="1">
      <c r="A50" s="22"/>
      <c r="B50" s="186">
        <v>7</v>
      </c>
      <c r="C50" s="287"/>
      <c r="D50" s="197" t="s">
        <v>29</v>
      </c>
      <c r="E50" s="200"/>
      <c r="F50" s="198"/>
      <c r="G50" s="199"/>
      <c r="H50" s="197" t="s">
        <v>29</v>
      </c>
      <c r="I50" s="200"/>
      <c r="J50" s="200"/>
      <c r="K50" s="200"/>
      <c r="L50" s="198"/>
      <c r="M50" s="199"/>
      <c r="N50" s="197" t="s">
        <v>29</v>
      </c>
      <c r="O50" s="198"/>
      <c r="P50" s="198"/>
      <c r="Q50" s="199"/>
      <c r="R50" s="197" t="s">
        <v>29</v>
      </c>
      <c r="S50" s="200"/>
      <c r="T50" s="198"/>
      <c r="U50" s="198"/>
      <c r="V50" s="201" t="s">
        <v>40</v>
      </c>
      <c r="W50" s="202"/>
      <c r="X50" s="203"/>
      <c r="Y50" s="204"/>
      <c r="Z50" s="201" t="s">
        <v>29</v>
      </c>
      <c r="AA50" s="202"/>
      <c r="AB50" s="202"/>
      <c r="AC50" s="203"/>
      <c r="AD50" s="204"/>
      <c r="AE50" s="201" t="s">
        <v>40</v>
      </c>
      <c r="AF50" s="202"/>
      <c r="AG50" s="203"/>
      <c r="AH50" s="204"/>
      <c r="AI50" s="201" t="s">
        <v>29</v>
      </c>
      <c r="AJ50" s="202"/>
      <c r="AK50" s="203"/>
      <c r="AL50" s="204"/>
      <c r="AM50" s="202" t="s">
        <v>40</v>
      </c>
      <c r="AN50" s="202"/>
      <c r="AO50" s="203"/>
      <c r="AP50" s="204"/>
      <c r="AQ50" s="202" t="s">
        <v>109</v>
      </c>
      <c r="AR50" s="202"/>
      <c r="AS50" s="203"/>
      <c r="AT50" s="204"/>
      <c r="AU50" s="201" t="s">
        <v>100</v>
      </c>
      <c r="AV50" s="202"/>
      <c r="AW50" s="203"/>
      <c r="AX50" s="204"/>
      <c r="AY50" s="201" t="s">
        <v>100</v>
      </c>
      <c r="AZ50" s="202"/>
      <c r="BA50" s="203"/>
      <c r="BB50" s="204"/>
      <c r="BC50" s="201" t="s">
        <v>111</v>
      </c>
      <c r="BD50" s="202"/>
      <c r="BE50" s="203"/>
      <c r="BF50" s="204"/>
      <c r="BG50" s="202" t="s">
        <v>112</v>
      </c>
      <c r="BH50" s="202"/>
      <c r="BI50" s="204"/>
      <c r="BJ50" s="288" t="s">
        <v>40</v>
      </c>
      <c r="BK50" s="202"/>
      <c r="BL50" s="203"/>
      <c r="BM50" s="204"/>
      <c r="BN50" s="202" t="s">
        <v>40</v>
      </c>
      <c r="BO50" s="202"/>
      <c r="BP50" s="203"/>
      <c r="BQ50" s="204"/>
      <c r="BR50" s="28"/>
      <c r="BS50" s="28"/>
      <c r="BT50" s="28"/>
      <c r="BU50" s="28"/>
      <c r="BV50" s="28"/>
    </row>
    <row r="51" spans="1:87" ht="13.5" customHeight="1">
      <c r="A51" s="22"/>
      <c r="B51" s="186">
        <v>8</v>
      </c>
      <c r="C51" s="289">
        <v>1</v>
      </c>
      <c r="D51" s="134" t="s">
        <v>102</v>
      </c>
      <c r="E51" s="135"/>
      <c r="F51" s="135"/>
      <c r="G51" s="137"/>
      <c r="H51" s="226" t="s">
        <v>103</v>
      </c>
      <c r="I51" s="136"/>
      <c r="J51" s="136"/>
      <c r="K51" s="136"/>
      <c r="L51" s="145"/>
      <c r="M51" s="146"/>
      <c r="N51" s="226" t="s">
        <v>104</v>
      </c>
      <c r="O51" s="136"/>
      <c r="P51" s="136"/>
      <c r="Q51" s="90" t="s">
        <v>32</v>
      </c>
      <c r="R51" s="769">
        <v>70000</v>
      </c>
      <c r="S51" s="770"/>
      <c r="T51" s="770"/>
      <c r="U51" s="771"/>
      <c r="V51" s="134" t="s">
        <v>95</v>
      </c>
      <c r="W51" s="136"/>
      <c r="X51" s="136"/>
      <c r="Y51" s="90" t="s">
        <v>32</v>
      </c>
      <c r="Z51" s="772">
        <v>6.7299999999999999E-2</v>
      </c>
      <c r="AA51" s="773"/>
      <c r="AB51" s="773"/>
      <c r="AC51" s="773"/>
      <c r="AD51" s="774"/>
      <c r="AE51" s="134" t="s">
        <v>95</v>
      </c>
      <c r="AF51" s="136"/>
      <c r="AG51" s="136"/>
      <c r="AH51" s="90" t="s">
        <v>32</v>
      </c>
      <c r="AI51" s="772">
        <v>0.1211</v>
      </c>
      <c r="AJ51" s="773"/>
      <c r="AK51" s="773"/>
      <c r="AL51" s="774"/>
      <c r="AM51" s="772">
        <v>0.12</v>
      </c>
      <c r="AN51" s="773"/>
      <c r="AO51" s="773"/>
      <c r="AP51" s="774"/>
      <c r="AQ51" s="775">
        <v>0.01</v>
      </c>
      <c r="AR51" s="776"/>
      <c r="AS51" s="776"/>
      <c r="AT51" s="777"/>
      <c r="AU51" s="772">
        <v>0.13589999999999999</v>
      </c>
      <c r="AV51" s="773"/>
      <c r="AW51" s="773"/>
      <c r="AX51" s="774"/>
      <c r="AY51" s="772">
        <v>0.151</v>
      </c>
      <c r="AZ51" s="773"/>
      <c r="BA51" s="773"/>
      <c r="BB51" s="774"/>
      <c r="BC51" s="772">
        <v>0.151</v>
      </c>
      <c r="BD51" s="773"/>
      <c r="BE51" s="773"/>
      <c r="BF51" s="774"/>
      <c r="BG51" s="781">
        <v>6.1000000000000004E-3</v>
      </c>
      <c r="BH51" s="782"/>
      <c r="BI51" s="783"/>
      <c r="BJ51" s="290" t="s">
        <v>114</v>
      </c>
      <c r="BK51" s="136"/>
      <c r="BL51" s="136"/>
      <c r="BM51" s="138"/>
      <c r="BN51" s="135" t="s">
        <v>29</v>
      </c>
      <c r="BO51" s="136"/>
      <c r="BP51" s="136"/>
      <c r="BQ51" s="138"/>
      <c r="BR51" s="28"/>
      <c r="BS51" s="28"/>
      <c r="BT51" s="28"/>
      <c r="BU51" s="28"/>
      <c r="BV51" s="28"/>
    </row>
    <row r="52" spans="1:87" ht="13.5" customHeight="1">
      <c r="A52" s="22"/>
      <c r="B52" s="186">
        <v>9</v>
      </c>
      <c r="C52" s="289">
        <v>2</v>
      </c>
      <c r="D52" s="134"/>
      <c r="E52" s="135"/>
      <c r="F52" s="135"/>
      <c r="G52" s="137"/>
      <c r="H52" s="226"/>
      <c r="I52" s="136"/>
      <c r="J52" s="136"/>
      <c r="K52" s="136"/>
      <c r="L52" s="145"/>
      <c r="M52" s="146"/>
      <c r="N52" s="226"/>
      <c r="O52" s="136"/>
      <c r="P52" s="136"/>
      <c r="Q52" s="90" t="s">
        <v>32</v>
      </c>
      <c r="R52" s="769"/>
      <c r="S52" s="770"/>
      <c r="T52" s="770"/>
      <c r="U52" s="771"/>
      <c r="V52" s="134"/>
      <c r="W52" s="136"/>
      <c r="X52" s="136"/>
      <c r="Y52" s="90" t="s">
        <v>32</v>
      </c>
      <c r="Z52" s="784"/>
      <c r="AA52" s="785"/>
      <c r="AB52" s="785"/>
      <c r="AC52" s="785"/>
      <c r="AD52" s="786"/>
      <c r="AE52" s="134"/>
      <c r="AF52" s="136"/>
      <c r="AG52" s="136"/>
      <c r="AH52" s="90" t="s">
        <v>32</v>
      </c>
      <c r="AI52" s="772"/>
      <c r="AJ52" s="773"/>
      <c r="AK52" s="773"/>
      <c r="AL52" s="774"/>
      <c r="AM52" s="772"/>
      <c r="AN52" s="773"/>
      <c r="AO52" s="773"/>
      <c r="AP52" s="774"/>
      <c r="AQ52" s="775"/>
      <c r="AR52" s="776"/>
      <c r="AS52" s="776"/>
      <c r="AT52" s="777"/>
      <c r="AU52" s="772"/>
      <c r="AV52" s="773"/>
      <c r="AW52" s="773"/>
      <c r="AX52" s="774"/>
      <c r="AY52" s="772"/>
      <c r="AZ52" s="773"/>
      <c r="BA52" s="773"/>
      <c r="BB52" s="774"/>
      <c r="BC52" s="772"/>
      <c r="BD52" s="773"/>
      <c r="BE52" s="773"/>
      <c r="BF52" s="774"/>
      <c r="BG52" s="781"/>
      <c r="BH52" s="782"/>
      <c r="BI52" s="783"/>
      <c r="BJ52" s="134"/>
      <c r="BK52" s="136"/>
      <c r="BL52" s="136"/>
      <c r="BM52" s="138"/>
      <c r="BN52" s="135"/>
      <c r="BO52" s="136"/>
      <c r="BP52" s="136"/>
      <c r="BQ52" s="138"/>
      <c r="BR52" s="28"/>
      <c r="BS52" s="28"/>
      <c r="BT52" s="28"/>
      <c r="BU52" s="28"/>
      <c r="BV52" s="28"/>
    </row>
    <row r="53" spans="1:87" ht="13.5" customHeight="1">
      <c r="A53" s="22"/>
      <c r="B53" s="186">
        <v>10</v>
      </c>
      <c r="C53" s="291"/>
      <c r="D53" s="63"/>
      <c r="E53" s="63"/>
      <c r="F53" s="63"/>
      <c r="G53" s="63"/>
      <c r="H53" s="63"/>
      <c r="I53" s="63"/>
      <c r="J53" s="63"/>
      <c r="K53" s="63"/>
      <c r="L53" s="63"/>
      <c r="M53" s="60"/>
      <c r="N53" s="61"/>
      <c r="O53" s="63"/>
      <c r="P53" s="63"/>
      <c r="Q53" s="62"/>
      <c r="R53" s="61"/>
      <c r="S53" s="174"/>
      <c r="T53" s="174"/>
      <c r="U53" s="175"/>
      <c r="V53" s="176"/>
      <c r="W53" s="174"/>
      <c r="X53" s="63"/>
      <c r="Y53" s="63"/>
      <c r="Z53" s="63"/>
      <c r="AA53" s="63"/>
      <c r="AB53" s="63"/>
      <c r="AC53" s="63"/>
      <c r="AD53" s="63"/>
      <c r="AE53" s="63"/>
      <c r="AF53" s="63"/>
      <c r="AG53" s="63"/>
      <c r="AH53" s="63"/>
      <c r="AI53" s="63"/>
      <c r="AJ53" s="63"/>
      <c r="AK53" s="63"/>
      <c r="AL53" s="63"/>
      <c r="AM53" s="61"/>
      <c r="AN53" s="61"/>
      <c r="AO53" s="61"/>
      <c r="AP53" s="61"/>
      <c r="AQ53" s="61"/>
      <c r="AR53" s="61"/>
      <c r="AS53" s="61"/>
      <c r="AT53" s="61"/>
      <c r="AU53" s="61"/>
      <c r="AV53" s="61"/>
      <c r="AW53" s="61"/>
      <c r="AX53" s="61"/>
      <c r="AY53" s="61"/>
      <c r="AZ53" s="31"/>
      <c r="BA53" s="35"/>
      <c r="BB53" s="35"/>
      <c r="BC53" s="292"/>
      <c r="BD53" s="28"/>
    </row>
    <row r="54" spans="1:87" ht="13.5" customHeight="1">
      <c r="A54" s="22"/>
      <c r="B54" s="186">
        <v>14</v>
      </c>
      <c r="C54" s="293"/>
      <c r="D54" s="63"/>
      <c r="E54" s="63"/>
      <c r="F54" s="63"/>
      <c r="G54" s="63"/>
      <c r="H54" s="63"/>
      <c r="I54" s="63"/>
      <c r="J54" s="63"/>
      <c r="K54" s="182"/>
      <c r="L54" s="63"/>
      <c r="M54" s="63"/>
      <c r="N54" s="63"/>
      <c r="O54" s="63"/>
      <c r="P54" s="63"/>
      <c r="Q54" s="182"/>
      <c r="R54" s="63"/>
      <c r="S54" s="63"/>
      <c r="T54" s="63"/>
      <c r="U54" s="182"/>
      <c r="V54" s="63"/>
      <c r="W54" s="63"/>
      <c r="X54" s="63"/>
      <c r="Y54" s="63"/>
      <c r="Z54" s="63"/>
      <c r="AA54" s="63"/>
      <c r="AB54" s="63"/>
      <c r="AC54" s="63"/>
      <c r="AD54" s="63"/>
      <c r="AE54" s="63"/>
      <c r="AF54" s="63"/>
      <c r="AG54" s="63"/>
      <c r="AH54" s="63"/>
      <c r="AI54" s="63"/>
      <c r="AJ54" s="113"/>
      <c r="AK54" s="103"/>
      <c r="AL54" s="60"/>
      <c r="AM54" s="61"/>
      <c r="AN54" s="61"/>
      <c r="AO54" s="61"/>
      <c r="AP54" s="61"/>
      <c r="AQ54" s="62"/>
      <c r="AR54" s="61"/>
      <c r="AS54" s="63"/>
      <c r="AT54" s="63"/>
      <c r="AU54" s="63"/>
      <c r="AV54" s="63"/>
      <c r="AW54" s="63"/>
      <c r="AX54" s="63"/>
      <c r="AY54" s="61"/>
      <c r="AZ54" s="31"/>
      <c r="BA54" s="35"/>
      <c r="BB54" s="35"/>
      <c r="BC54" s="292"/>
      <c r="BD54" s="28"/>
    </row>
    <row r="55" spans="1:87" ht="13.5" customHeight="1">
      <c r="A55" s="22"/>
      <c r="B55" s="186">
        <v>15</v>
      </c>
      <c r="C55" s="294" t="s">
        <v>66</v>
      </c>
      <c r="D55" s="207"/>
      <c r="E55" s="208"/>
      <c r="F55" s="207"/>
      <c r="G55" s="208"/>
      <c r="H55" s="209"/>
      <c r="I55" s="210"/>
      <c r="J55" s="211"/>
      <c r="K55" s="211"/>
      <c r="L55" s="211"/>
      <c r="M55" s="212"/>
      <c r="N55" s="211"/>
      <c r="O55" s="211"/>
      <c r="P55" s="211"/>
      <c r="Q55" s="213"/>
      <c r="R55" s="211"/>
      <c r="S55" s="211"/>
      <c r="T55" s="211"/>
      <c r="U55" s="211"/>
      <c r="V55" s="211"/>
      <c r="W55" s="213"/>
      <c r="X55" s="211"/>
      <c r="Y55" s="211"/>
      <c r="Z55" s="211"/>
      <c r="AA55" s="213"/>
      <c r="AB55" s="211"/>
      <c r="AC55" s="211"/>
      <c r="AD55" s="211"/>
      <c r="AE55" s="211"/>
      <c r="AF55" s="211"/>
      <c r="AG55" s="216"/>
      <c r="AH55" s="211"/>
      <c r="AI55" s="211"/>
      <c r="AJ55" s="211"/>
      <c r="AK55" s="211"/>
      <c r="AL55" s="211"/>
      <c r="AM55" s="211"/>
      <c r="AN55" s="211"/>
      <c r="AO55" s="211"/>
      <c r="AP55" s="211"/>
      <c r="AQ55" s="214"/>
      <c r="AR55" s="211"/>
      <c r="AS55" s="214"/>
      <c r="AT55" s="211"/>
      <c r="AU55" s="211"/>
      <c r="AV55" s="211"/>
      <c r="AW55" s="211"/>
      <c r="AX55" s="211"/>
      <c r="AY55" s="208"/>
      <c r="AZ55" s="208"/>
      <c r="BA55" s="215"/>
      <c r="BB55" s="215"/>
      <c r="BC55" s="295"/>
      <c r="BD55" s="28"/>
    </row>
    <row r="56" spans="1:87" ht="13.5" customHeight="1">
      <c r="A56" s="22"/>
      <c r="B56" s="186"/>
      <c r="C56" s="336"/>
      <c r="D56" s="60"/>
      <c r="E56" s="61"/>
      <c r="F56" s="60"/>
      <c r="G56" s="61"/>
      <c r="H56" s="339"/>
      <c r="I56" s="340"/>
      <c r="J56" s="70"/>
      <c r="K56" s="70"/>
      <c r="L56" s="70"/>
      <c r="M56" s="341"/>
      <c r="N56" s="70"/>
      <c r="O56" s="70"/>
      <c r="P56" s="70"/>
      <c r="Q56" s="342"/>
      <c r="R56" s="70"/>
      <c r="S56" s="70"/>
      <c r="T56" s="70"/>
      <c r="U56" s="70"/>
      <c r="V56" s="70"/>
      <c r="W56" s="342"/>
      <c r="X56" s="63"/>
      <c r="Y56" s="63"/>
      <c r="Z56" s="63"/>
      <c r="AA56" s="182"/>
      <c r="AB56" s="63"/>
      <c r="AC56" s="63"/>
      <c r="AD56" s="63"/>
      <c r="AE56" s="63"/>
      <c r="AF56" s="63"/>
      <c r="AG56" s="142"/>
      <c r="AH56" s="63"/>
      <c r="AI56" s="63"/>
      <c r="AJ56" s="63"/>
      <c r="AK56" s="63"/>
      <c r="AL56" s="63"/>
      <c r="AM56" s="63"/>
      <c r="AN56" s="63"/>
      <c r="AO56" s="63"/>
      <c r="AP56" s="63"/>
      <c r="AQ56" s="113"/>
      <c r="AR56" s="63"/>
      <c r="AS56" s="113"/>
      <c r="AT56" s="63"/>
      <c r="AU56" s="63"/>
      <c r="AV56" s="63"/>
      <c r="AW56" s="63"/>
      <c r="AX56" s="63"/>
      <c r="AY56" s="61"/>
      <c r="AZ56" s="94"/>
      <c r="BA56" s="337"/>
      <c r="BB56"/>
      <c r="BC56" s="338"/>
      <c r="BD56" s="28"/>
    </row>
    <row r="57" spans="1:87" ht="13.5" customHeight="1">
      <c r="A57" s="22"/>
      <c r="B57" s="186">
        <v>16</v>
      </c>
      <c r="C57" s="291"/>
      <c r="D57" s="63"/>
      <c r="E57" s="63"/>
      <c r="F57" s="63"/>
      <c r="G57" s="63"/>
      <c r="H57" s="63"/>
      <c r="I57" s="63"/>
      <c r="J57" s="63"/>
      <c r="K57" s="63"/>
      <c r="L57" s="63"/>
      <c r="M57" s="60"/>
      <c r="N57" s="63"/>
      <c r="O57" s="63"/>
      <c r="P57" s="61"/>
      <c r="Q57" s="62"/>
      <c r="R57" s="61"/>
      <c r="S57" s="102"/>
      <c r="T57" s="103"/>
      <c r="U57" s="102"/>
      <c r="V57" s="103"/>
      <c r="W57" s="102"/>
      <c r="X57" s="102"/>
      <c r="Y57" s="102"/>
      <c r="Z57" s="102"/>
      <c r="AA57" s="63"/>
      <c r="AB57" s="63"/>
      <c r="AC57" s="63"/>
      <c r="AD57" s="63"/>
      <c r="AE57" s="63"/>
      <c r="AF57" s="63"/>
      <c r="AG57" s="63"/>
      <c r="AH57" s="63"/>
      <c r="AI57" s="63"/>
      <c r="AJ57" s="63"/>
      <c r="AK57" s="63"/>
      <c r="AL57" s="63"/>
      <c r="AM57" s="63"/>
      <c r="AN57" s="63"/>
      <c r="AO57" s="63"/>
      <c r="AP57" s="63"/>
      <c r="AQ57" s="63"/>
      <c r="AR57" s="63"/>
      <c r="AS57" s="63"/>
      <c r="AT57" s="63"/>
      <c r="AU57" s="63"/>
      <c r="AV57" s="63"/>
      <c r="AW57" s="63"/>
      <c r="AX57" s="63"/>
      <c r="AY57" s="61"/>
      <c r="AZ57" s="51"/>
      <c r="BA57" s="304"/>
      <c r="BB57" s="305"/>
      <c r="BC57" s="306"/>
      <c r="BD57" s="28"/>
    </row>
    <row r="58" spans="1:87" ht="13.5" customHeight="1">
      <c r="A58" s="22"/>
      <c r="B58" s="186">
        <v>17</v>
      </c>
      <c r="C58" s="291"/>
      <c r="D58" s="63"/>
      <c r="E58" s="63"/>
      <c r="F58" s="63"/>
      <c r="G58" s="63"/>
      <c r="H58" s="114"/>
      <c r="I58" s="63"/>
      <c r="J58" s="63"/>
      <c r="K58" s="63"/>
      <c r="L58" s="182"/>
      <c r="M58" s="63"/>
      <c r="N58" s="63"/>
      <c r="O58" s="63"/>
      <c r="P58" s="182"/>
      <c r="Q58" s="63"/>
      <c r="R58" s="63"/>
      <c r="S58" s="63"/>
      <c r="T58" s="182"/>
      <c r="U58" s="63"/>
      <c r="V58" s="63"/>
      <c r="W58" s="63"/>
      <c r="X58" s="63"/>
      <c r="Y58" s="63"/>
      <c r="Z58" s="63"/>
      <c r="AA58" s="63"/>
      <c r="AB58" s="63"/>
      <c r="AC58" s="63"/>
      <c r="AD58" s="63"/>
      <c r="AE58" s="63"/>
      <c r="AF58" s="63"/>
      <c r="AG58" s="63"/>
      <c r="AH58" s="63"/>
      <c r="AI58" s="63"/>
      <c r="AJ58" s="63"/>
      <c r="AK58" s="113"/>
      <c r="AL58" s="63"/>
      <c r="AM58" s="63"/>
      <c r="AN58" s="63"/>
      <c r="AO58" s="63"/>
      <c r="AP58" s="63"/>
      <c r="AQ58" s="63"/>
      <c r="AR58" s="63"/>
      <c r="AS58" s="63"/>
      <c r="AT58" s="63"/>
      <c r="AU58" s="63"/>
      <c r="AV58" s="63"/>
      <c r="AW58" s="63"/>
      <c r="AX58" s="63"/>
      <c r="AY58" s="61"/>
      <c r="AZ58" s="31"/>
      <c r="BA58" s="30"/>
      <c r="BB58" s="159"/>
      <c r="BC58" s="306"/>
      <c r="BD58" s="28"/>
      <c r="BM58" s="796">
        <f>1-(0.0673/0.1359)</f>
        <v>0.50478292862398821</v>
      </c>
      <c r="BN58" s="796"/>
      <c r="BO58" s="796"/>
      <c r="BP58" s="796"/>
    </row>
    <row r="59" spans="1:87" ht="5.15" customHeight="1">
      <c r="A59" s="22"/>
      <c r="B59" s="186"/>
      <c r="C59" s="296"/>
      <c r="D59" s="69"/>
      <c r="E59" s="69"/>
      <c r="F59" s="69"/>
      <c r="G59" s="69"/>
      <c r="H59" s="297"/>
      <c r="I59" s="257"/>
      <c r="J59" s="255"/>
      <c r="K59" s="257"/>
      <c r="L59" s="255"/>
      <c r="M59" s="298"/>
      <c r="N59" s="298"/>
      <c r="O59" s="252"/>
      <c r="P59" s="298"/>
      <c r="Q59" s="252"/>
      <c r="R59" s="298"/>
      <c r="S59" s="69"/>
      <c r="T59" s="69"/>
      <c r="U59" s="69"/>
      <c r="V59" s="69"/>
      <c r="W59" s="69"/>
      <c r="X59" s="297"/>
      <c r="Y59" s="257"/>
      <c r="Z59" s="255"/>
      <c r="AA59" s="257"/>
      <c r="AB59" s="255"/>
      <c r="AC59" s="298"/>
      <c r="AD59" s="298"/>
      <c r="AE59" s="252"/>
      <c r="AF59" s="298"/>
      <c r="AG59" s="252"/>
      <c r="AH59" s="298"/>
      <c r="AI59" s="258"/>
      <c r="AJ59" s="298"/>
      <c r="AK59" s="252"/>
      <c r="AL59" s="69"/>
      <c r="AM59" s="69"/>
      <c r="AN59" s="69"/>
      <c r="AO59" s="69"/>
      <c r="AP59" s="69"/>
      <c r="AQ59" s="69"/>
      <c r="AR59" s="69"/>
      <c r="AS59" s="69"/>
      <c r="AT59" s="69"/>
      <c r="AU59" s="69"/>
      <c r="AV59" s="299"/>
      <c r="AW59" s="69"/>
      <c r="AX59" s="69"/>
      <c r="AY59" s="251"/>
      <c r="AZ59" s="251"/>
      <c r="BA59" s="300"/>
      <c r="BB59" s="301"/>
      <c r="BC59" s="302"/>
      <c r="BD59" s="28"/>
    </row>
    <row r="60" spans="1:87" ht="13.5" customHeight="1">
      <c r="A60" s="22"/>
      <c r="B60" s="186">
        <v>18</v>
      </c>
      <c r="C60" s="71"/>
      <c r="D60" s="61"/>
      <c r="E60" s="61"/>
      <c r="F60" s="61"/>
      <c r="G60" s="61"/>
      <c r="H60" s="66"/>
      <c r="I60" s="66"/>
      <c r="J60" s="63"/>
      <c r="K60" s="66"/>
      <c r="L60" s="63"/>
      <c r="M60" s="66"/>
      <c r="N60" s="62"/>
      <c r="O60" s="66"/>
      <c r="P60" s="63"/>
      <c r="Q60" s="63"/>
      <c r="R60" s="63"/>
      <c r="S60" s="61"/>
      <c r="T60" s="61"/>
      <c r="U60" s="61"/>
      <c r="V60" s="61"/>
      <c r="W60" s="61"/>
      <c r="X60" s="62"/>
      <c r="Y60" s="61"/>
      <c r="Z60" s="63"/>
      <c r="AA60" s="62"/>
      <c r="AB60" s="61"/>
      <c r="AC60" s="63"/>
      <c r="AD60" s="62"/>
      <c r="AE60" s="63"/>
      <c r="AF60" s="63"/>
      <c r="AG60" s="62"/>
      <c r="AH60" s="63"/>
      <c r="AI60" s="63"/>
      <c r="AJ60" s="114"/>
      <c r="AK60" s="63"/>
      <c r="AL60" s="63"/>
      <c r="AM60" s="63"/>
      <c r="AN60" s="63"/>
      <c r="AO60" s="63"/>
      <c r="AP60" s="63"/>
      <c r="AQ60" s="63"/>
      <c r="AR60" s="63"/>
      <c r="AS60" s="63"/>
      <c r="AT60" s="63"/>
      <c r="AU60" s="63"/>
      <c r="AV60" s="63"/>
      <c r="AW60" s="63"/>
      <c r="AX60" s="63"/>
      <c r="AY60" s="61"/>
      <c r="AZ60" s="246"/>
      <c r="BA60" s="282"/>
      <c r="BB60" s="283"/>
      <c r="BC60" s="317"/>
      <c r="BD60" s="28"/>
    </row>
    <row r="61" spans="1:87" ht="13.5" customHeight="1">
      <c r="A61" s="22"/>
      <c r="B61" s="186">
        <v>20</v>
      </c>
      <c r="C61" s="188" t="s">
        <v>70</v>
      </c>
      <c r="D61" s="28"/>
      <c r="E61" s="28"/>
      <c r="F61" s="28"/>
      <c r="G61" s="28"/>
      <c r="H61" s="109"/>
      <c r="I61" s="60"/>
      <c r="J61" s="61"/>
      <c r="K61" s="60"/>
      <c r="L61" s="61"/>
      <c r="M61" s="66"/>
      <c r="N61" s="66"/>
      <c r="O61" s="63"/>
      <c r="P61" s="66"/>
      <c r="Q61" s="63"/>
      <c r="R61" s="66"/>
      <c r="S61" s="28"/>
      <c r="T61" s="28"/>
      <c r="U61" s="28"/>
      <c r="V61" s="28"/>
      <c r="W61" s="28"/>
      <c r="X61" s="109"/>
      <c r="Y61" s="60"/>
      <c r="Z61" s="61"/>
      <c r="AA61" s="60"/>
      <c r="AB61" s="61"/>
      <c r="AC61" s="66"/>
      <c r="AD61" s="66"/>
      <c r="AE61" s="63"/>
      <c r="AF61" s="66"/>
      <c r="AG61" s="63"/>
      <c r="AH61" s="66"/>
      <c r="AI61" s="62"/>
      <c r="AJ61" s="66"/>
      <c r="AK61" s="63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17"/>
      <c r="AW61" s="28"/>
      <c r="AX61" s="28"/>
      <c r="AY61" s="31"/>
      <c r="AZ61" s="251"/>
      <c r="BA61" s="300"/>
      <c r="BB61" s="301"/>
      <c r="BC61" s="318"/>
      <c r="BD61" s="28"/>
    </row>
    <row r="62" spans="1:87" ht="5.15" customHeight="1">
      <c r="A62" s="22"/>
      <c r="B62" s="186"/>
      <c r="C62" s="277"/>
      <c r="D62" s="68"/>
      <c r="E62" s="68"/>
      <c r="F62" s="68"/>
      <c r="G62" s="68"/>
      <c r="H62" s="278"/>
      <c r="I62" s="260"/>
      <c r="J62" s="261"/>
      <c r="K62" s="260"/>
      <c r="L62" s="261"/>
      <c r="M62" s="279"/>
      <c r="N62" s="279"/>
      <c r="O62" s="245"/>
      <c r="P62" s="279"/>
      <c r="Q62" s="245"/>
      <c r="R62" s="279"/>
      <c r="S62" s="68"/>
      <c r="T62" s="68"/>
      <c r="U62" s="68"/>
      <c r="V62" s="68"/>
      <c r="W62" s="68"/>
      <c r="X62" s="278"/>
      <c r="Y62" s="260"/>
      <c r="Z62" s="261"/>
      <c r="AA62" s="260"/>
      <c r="AB62" s="261"/>
      <c r="AC62" s="279"/>
      <c r="AD62" s="279"/>
      <c r="AE62" s="245"/>
      <c r="AF62" s="279"/>
      <c r="AG62" s="245"/>
      <c r="AH62" s="279"/>
      <c r="AI62" s="262"/>
      <c r="AJ62" s="279"/>
      <c r="AK62" s="245"/>
      <c r="AL62" s="68"/>
      <c r="AM62" s="68"/>
      <c r="AN62" s="68"/>
      <c r="AO62" s="68"/>
      <c r="AP62" s="68"/>
      <c r="AQ62" s="68"/>
      <c r="AR62" s="68"/>
      <c r="AS62" s="68"/>
      <c r="AT62" s="68"/>
      <c r="AU62" s="68"/>
      <c r="AV62" s="281"/>
      <c r="AW62" s="68"/>
      <c r="AX62" s="68"/>
      <c r="AY62" s="246"/>
      <c r="AZ62" s="246"/>
      <c r="BA62" s="282"/>
      <c r="BB62" s="283"/>
      <c r="BC62" s="284"/>
      <c r="BD62" s="28"/>
    </row>
    <row r="63" spans="1:87" ht="13.5" customHeight="1">
      <c r="A63" s="22"/>
      <c r="B63" s="186">
        <v>21</v>
      </c>
      <c r="C63" s="285" t="s">
        <v>31</v>
      </c>
      <c r="D63" s="218" t="s">
        <v>143</v>
      </c>
      <c r="E63" s="219"/>
      <c r="F63" s="218" t="s">
        <v>60</v>
      </c>
      <c r="G63" s="219"/>
      <c r="H63" s="219"/>
      <c r="I63" s="220"/>
      <c r="J63" s="221" t="s">
        <v>33</v>
      </c>
      <c r="K63" s="222"/>
      <c r="L63" s="222"/>
      <c r="M63" s="222"/>
      <c r="N63" s="219"/>
      <c r="O63" s="220"/>
      <c r="P63" s="223" t="s">
        <v>63</v>
      </c>
      <c r="Q63" s="224"/>
      <c r="R63" s="224"/>
      <c r="S63" s="225"/>
      <c r="T63" s="223" t="s">
        <v>98</v>
      </c>
      <c r="U63" s="224"/>
      <c r="V63" s="224"/>
      <c r="W63" s="225"/>
      <c r="X63" s="218" t="s">
        <v>71</v>
      </c>
      <c r="Y63" s="219"/>
      <c r="Z63" s="219"/>
      <c r="AA63" s="220"/>
      <c r="AB63" s="218" t="s">
        <v>97</v>
      </c>
      <c r="AC63" s="219"/>
      <c r="AD63" s="219"/>
      <c r="AE63" s="219"/>
      <c r="AF63" s="223" t="s">
        <v>61</v>
      </c>
      <c r="AG63" s="224"/>
      <c r="AH63" s="224"/>
      <c r="AI63" s="224"/>
      <c r="AJ63" s="225"/>
      <c r="AK63" s="224" t="s">
        <v>115</v>
      </c>
      <c r="AL63" s="224"/>
      <c r="AM63" s="224"/>
      <c r="AN63" s="225"/>
      <c r="AO63" s="224" t="s">
        <v>105</v>
      </c>
      <c r="AP63" s="224"/>
      <c r="AQ63" s="224"/>
      <c r="AR63" s="225"/>
      <c r="AS63" s="224" t="s">
        <v>116</v>
      </c>
      <c r="AT63" s="224"/>
      <c r="AU63" s="224"/>
      <c r="AV63" s="225"/>
      <c r="AW63" s="224" t="s">
        <v>62</v>
      </c>
      <c r="AX63" s="224"/>
      <c r="AY63" s="224"/>
      <c r="AZ63" s="225"/>
      <c r="BA63" s="223" t="s">
        <v>117</v>
      </c>
      <c r="BB63" s="224"/>
      <c r="BC63" s="224"/>
      <c r="BD63" s="224"/>
      <c r="BE63" s="223" t="s">
        <v>110</v>
      </c>
      <c r="BF63" s="224"/>
      <c r="BG63" s="224"/>
      <c r="BH63" s="225"/>
      <c r="BI63" s="223" t="s">
        <v>118</v>
      </c>
      <c r="BJ63" s="224"/>
      <c r="BK63" s="224"/>
      <c r="BL63" s="225"/>
      <c r="BM63" s="223" t="s">
        <v>121</v>
      </c>
      <c r="BN63" s="224"/>
      <c r="BO63" s="224"/>
      <c r="BP63" s="225"/>
      <c r="BQ63" s="223" t="s">
        <v>72</v>
      </c>
      <c r="BR63" s="224"/>
      <c r="BS63" s="224"/>
      <c r="BT63" s="225"/>
      <c r="BU63" s="223" t="s">
        <v>73</v>
      </c>
      <c r="BV63" s="224"/>
      <c r="BW63" s="224"/>
      <c r="BX63" s="225"/>
      <c r="BY63" s="224" t="s">
        <v>74</v>
      </c>
      <c r="BZ63" s="224"/>
      <c r="CA63" s="225"/>
      <c r="CB63" s="224" t="s">
        <v>75</v>
      </c>
      <c r="CC63" s="224"/>
      <c r="CD63" s="224"/>
      <c r="CE63" s="225"/>
      <c r="CF63" s="224" t="s">
        <v>64</v>
      </c>
      <c r="CG63" s="224"/>
      <c r="CH63" s="224"/>
      <c r="CI63" s="225"/>
    </row>
    <row r="64" spans="1:87" ht="13.5" customHeight="1">
      <c r="A64" s="22"/>
      <c r="B64" s="186">
        <v>22</v>
      </c>
      <c r="C64" s="289">
        <v>1</v>
      </c>
      <c r="D64" s="134" t="str">
        <f>N51</f>
        <v>KFH</v>
      </c>
      <c r="E64" s="135"/>
      <c r="F64" s="134" t="str">
        <f>D51</f>
        <v>4800215830</v>
      </c>
      <c r="G64" s="135"/>
      <c r="H64" s="135"/>
      <c r="I64" s="137"/>
      <c r="J64" s="226" t="str">
        <f>H51</f>
        <v>TF38-20S-0.5SV(830)</v>
      </c>
      <c r="K64" s="136"/>
      <c r="L64" s="136"/>
      <c r="M64" s="136"/>
      <c r="N64" s="145"/>
      <c r="O64" s="146"/>
      <c r="P64" s="134" t="s">
        <v>96</v>
      </c>
      <c r="Q64" s="136"/>
      <c r="R64" s="136"/>
      <c r="S64" s="146"/>
      <c r="T64" s="134" t="str">
        <f>AE51</f>
        <v>USD</v>
      </c>
      <c r="U64" s="136"/>
      <c r="V64" s="136"/>
      <c r="W64" s="146"/>
      <c r="X64" s="769">
        <f>R51</f>
        <v>70000</v>
      </c>
      <c r="Y64" s="770"/>
      <c r="Z64" s="770"/>
      <c r="AA64" s="771"/>
      <c r="AB64" s="772">
        <f>Z51</f>
        <v>6.7299999999999999E-2</v>
      </c>
      <c r="AC64" s="773"/>
      <c r="AD64" s="773"/>
      <c r="AE64" s="774"/>
      <c r="AF64" s="772">
        <f>BC51</f>
        <v>0.151</v>
      </c>
      <c r="AG64" s="773"/>
      <c r="AH64" s="773"/>
      <c r="AI64" s="773"/>
      <c r="AJ64" s="774"/>
      <c r="AK64" s="772">
        <f>AM51</f>
        <v>0.12</v>
      </c>
      <c r="AL64" s="773"/>
      <c r="AM64" s="773"/>
      <c r="AN64" s="774"/>
      <c r="AO64" s="772">
        <f>AI51</f>
        <v>0.1211</v>
      </c>
      <c r="AP64" s="773"/>
      <c r="AQ64" s="773"/>
      <c r="AR64" s="774"/>
      <c r="AS64" s="772">
        <f>AI51/(1-AQ51)</f>
        <v>0.12232323232323232</v>
      </c>
      <c r="AT64" s="773"/>
      <c r="AU64" s="773"/>
      <c r="AV64" s="774"/>
      <c r="AW64" s="772">
        <f>AO64-(AS64*$K$20)</f>
        <v>0.11498383838383838</v>
      </c>
      <c r="AX64" s="773"/>
      <c r="AY64" s="773"/>
      <c r="AZ64" s="774"/>
      <c r="BA64" s="790">
        <f>IFERROR((AI51-AM51)/AM51,"")</f>
        <v>9.1666666666666979E-3</v>
      </c>
      <c r="BB64" s="791"/>
      <c r="BC64" s="791"/>
      <c r="BD64" s="792"/>
      <c r="BE64" s="793">
        <f>AU51</f>
        <v>0.13589999999999999</v>
      </c>
      <c r="BF64" s="794"/>
      <c r="BG64" s="794"/>
      <c r="BH64" s="795"/>
      <c r="BI64" s="787">
        <f>1-AI51/(1-AQ51)/AU51</f>
        <v>9.990263191146187E-2</v>
      </c>
      <c r="BJ64" s="788"/>
      <c r="BK64" s="788"/>
      <c r="BL64" s="789"/>
      <c r="BM64" s="787">
        <f>1-AB64/BE64</f>
        <v>0.50478292862398821</v>
      </c>
      <c r="BN64" s="788"/>
      <c r="BO64" s="788"/>
      <c r="BP64" s="789"/>
      <c r="BQ64" s="781">
        <f>AY51</f>
        <v>0.151</v>
      </c>
      <c r="BR64" s="782"/>
      <c r="BS64" s="782"/>
      <c r="BT64" s="783"/>
      <c r="BU64" s="787">
        <f>1-AU51/AY51</f>
        <v>9.9999999999999978E-2</v>
      </c>
      <c r="BV64" s="788"/>
      <c r="BW64" s="788"/>
      <c r="BX64" s="789"/>
      <c r="BY64" s="772">
        <f>BG51</f>
        <v>6.1000000000000004E-3</v>
      </c>
      <c r="BZ64" s="773"/>
      <c r="CA64" s="774"/>
      <c r="CB64" s="135" t="str">
        <f>BJ51</f>
        <v>JAE</v>
      </c>
      <c r="CC64" s="136"/>
      <c r="CD64" s="136"/>
      <c r="CE64" s="138"/>
      <c r="CF64" s="135" t="s">
        <v>29</v>
      </c>
      <c r="CG64" s="136"/>
      <c r="CH64" s="136"/>
      <c r="CI64" s="138"/>
    </row>
    <row r="65" spans="1:87" ht="13.5" customHeight="1">
      <c r="A65" s="22"/>
      <c r="B65" s="362">
        <v>20</v>
      </c>
      <c r="C65" s="188" t="s">
        <v>161</v>
      </c>
      <c r="D65" s="28"/>
      <c r="E65" s="28"/>
      <c r="F65" s="28"/>
      <c r="G65" s="28"/>
      <c r="H65" s="109"/>
      <c r="I65" s="60"/>
      <c r="J65" s="61"/>
      <c r="K65" s="60"/>
      <c r="L65" s="61"/>
      <c r="M65" s="66"/>
      <c r="N65" s="66"/>
      <c r="O65" s="63"/>
      <c r="P65" s="66"/>
      <c r="Q65" s="63"/>
      <c r="R65" s="66"/>
      <c r="S65" s="28"/>
      <c r="T65" s="28"/>
      <c r="U65" s="28"/>
      <c r="V65" s="28"/>
      <c r="W65" s="28"/>
      <c r="X65" s="109"/>
      <c r="Y65" s="60"/>
      <c r="Z65" s="61"/>
      <c r="AA65" s="60"/>
      <c r="AB65" s="61"/>
      <c r="AC65" s="66"/>
      <c r="AD65" s="66"/>
      <c r="AE65" s="63"/>
      <c r="AF65" s="66"/>
      <c r="AG65" s="63"/>
      <c r="AH65" s="66"/>
      <c r="AI65" s="62"/>
      <c r="AJ65" s="66"/>
      <c r="AK65" s="63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17"/>
      <c r="AW65" s="28"/>
      <c r="AX65" s="28"/>
      <c r="AY65" s="31"/>
      <c r="AZ65" s="50"/>
      <c r="BA65" s="85"/>
      <c r="BB65" s="307"/>
      <c r="BC65" s="308"/>
      <c r="BD65" s="26"/>
      <c r="BE65" s="26"/>
      <c r="BF65" s="26"/>
    </row>
    <row r="66" spans="1:87" ht="13.5" customHeight="1">
      <c r="A66" s="22"/>
      <c r="B66" s="186">
        <v>24</v>
      </c>
      <c r="C66" s="285"/>
      <c r="D66" s="372" t="s">
        <v>160</v>
      </c>
      <c r="E66" s="373"/>
      <c r="F66" s="374" t="s">
        <v>170</v>
      </c>
      <c r="G66" s="373"/>
      <c r="H66" s="373"/>
      <c r="I66" s="375"/>
      <c r="J66" s="374" t="s">
        <v>29</v>
      </c>
      <c r="K66" s="376"/>
      <c r="L66" s="376"/>
      <c r="M66" s="376"/>
      <c r="N66" s="373"/>
      <c r="O66" s="375"/>
      <c r="P66" s="380" t="s">
        <v>29</v>
      </c>
      <c r="Q66" s="378"/>
      <c r="R66" s="378"/>
      <c r="S66" s="379"/>
      <c r="T66" s="372"/>
      <c r="U66" s="373"/>
      <c r="V66" s="373"/>
      <c r="W66" s="375"/>
      <c r="X66" s="378" t="s">
        <v>124</v>
      </c>
      <c r="Y66" s="373"/>
      <c r="Z66" s="373"/>
      <c r="AA66" s="373"/>
      <c r="AB66" s="377" t="s">
        <v>119</v>
      </c>
      <c r="AC66" s="373"/>
      <c r="AD66" s="373"/>
      <c r="AE66" s="373"/>
      <c r="AF66" s="377" t="s">
        <v>120</v>
      </c>
      <c r="AG66" s="378"/>
      <c r="AH66" s="378"/>
      <c r="AI66" s="378"/>
      <c r="AJ66" s="379"/>
      <c r="AK66" s="377" t="s">
        <v>121</v>
      </c>
      <c r="AL66" s="378"/>
      <c r="AM66" s="378"/>
      <c r="AN66" s="379"/>
      <c r="AO66" s="377" t="s">
        <v>122</v>
      </c>
      <c r="AP66" s="378"/>
      <c r="AQ66" s="378"/>
      <c r="AR66" s="379"/>
      <c r="AS66" s="377" t="s">
        <v>123</v>
      </c>
      <c r="AT66" s="378"/>
      <c r="AU66" s="378"/>
      <c r="AV66" s="378"/>
      <c r="AW66" s="380" t="s">
        <v>29</v>
      </c>
      <c r="AX66" s="378"/>
      <c r="AY66" s="378"/>
      <c r="AZ66" s="379"/>
      <c r="BA66" s="380"/>
      <c r="BB66" s="378"/>
      <c r="BC66" s="378"/>
      <c r="BD66" s="379"/>
      <c r="BE66" s="381"/>
      <c r="BF66" s="378"/>
      <c r="BG66" s="378"/>
      <c r="BH66" s="379"/>
      <c r="BI66" s="381" t="s">
        <v>29</v>
      </c>
      <c r="BJ66" s="378"/>
      <c r="BK66" s="378"/>
      <c r="BL66" s="379"/>
      <c r="BM66" s="381" t="s">
        <v>29</v>
      </c>
      <c r="BN66" s="378"/>
      <c r="BO66" s="378"/>
      <c r="BP66" s="379"/>
      <c r="BQ66" s="381" t="s">
        <v>29</v>
      </c>
      <c r="BR66" s="378"/>
      <c r="BS66" s="378"/>
      <c r="BT66" s="379"/>
      <c r="BU66" s="378"/>
      <c r="BV66" s="378"/>
      <c r="BW66" s="378"/>
      <c r="BX66" s="379"/>
      <c r="BY66" s="381" t="s">
        <v>29</v>
      </c>
      <c r="BZ66" s="378"/>
      <c r="CA66" s="379"/>
      <c r="CB66" s="378"/>
      <c r="CC66" s="378"/>
      <c r="CD66" s="378"/>
      <c r="CE66" s="379"/>
      <c r="CF66" s="378"/>
      <c r="CG66" s="378"/>
      <c r="CH66" s="378"/>
      <c r="CI66" s="379"/>
    </row>
    <row r="67" spans="1:87" ht="13.5" customHeight="1">
      <c r="A67" s="22"/>
      <c r="B67" s="186">
        <v>25</v>
      </c>
      <c r="C67" s="289">
        <v>1</v>
      </c>
      <c r="D67" s="134" t="s">
        <v>104</v>
      </c>
      <c r="E67" s="135"/>
      <c r="F67" s="134" t="s">
        <v>95</v>
      </c>
      <c r="G67" s="135"/>
      <c r="H67" s="135"/>
      <c r="I67" s="137"/>
      <c r="J67" s="205"/>
      <c r="K67" s="206"/>
      <c r="L67" s="206"/>
      <c r="M67" s="206"/>
      <c r="N67" s="145"/>
      <c r="O67" s="146"/>
      <c r="P67" s="134"/>
      <c r="Q67" s="136"/>
      <c r="R67" s="136"/>
      <c r="S67" s="146"/>
      <c r="T67" s="107"/>
      <c r="U67" s="108"/>
      <c r="V67" s="108"/>
      <c r="W67" s="146"/>
      <c r="X67" s="784">
        <f>SUMPRODUCT(X$64:AA$64,BE$64:BH$64)</f>
        <v>9513</v>
      </c>
      <c r="Y67" s="785"/>
      <c r="Z67" s="785"/>
      <c r="AA67" s="786"/>
      <c r="AB67" s="784">
        <f>SUMPRODUCT(X$64:AA$64,AB$64:AE$64)</f>
        <v>4711</v>
      </c>
      <c r="AC67" s="785"/>
      <c r="AD67" s="785"/>
      <c r="AE67" s="786"/>
      <c r="AF67" s="784">
        <f>X67-AB67</f>
        <v>4802</v>
      </c>
      <c r="AG67" s="785"/>
      <c r="AH67" s="785"/>
      <c r="AI67" s="785"/>
      <c r="AJ67" s="786"/>
      <c r="AK67" s="806">
        <f>AF67/X67</f>
        <v>0.50478292862398821</v>
      </c>
      <c r="AL67" s="807"/>
      <c r="AM67" s="807"/>
      <c r="AN67" s="808"/>
      <c r="AO67" s="806">
        <f>IFERROR(AS67/(X67-AS67),"")</f>
        <v>0.13249999999999998</v>
      </c>
      <c r="AP67" s="807"/>
      <c r="AQ67" s="807"/>
      <c r="AR67" s="808"/>
      <c r="AS67" s="809">
        <f>X$64*(BE$64-AK$64)</f>
        <v>1112.9999999999998</v>
      </c>
      <c r="AT67" s="810"/>
      <c r="AU67" s="810"/>
      <c r="AV67" s="811"/>
      <c r="AW67" s="800"/>
      <c r="AX67" s="801"/>
      <c r="AY67" s="801"/>
      <c r="AZ67" s="802"/>
      <c r="BA67" s="803"/>
      <c r="BB67" s="804"/>
      <c r="BC67" s="804"/>
      <c r="BD67" s="805"/>
      <c r="BE67" s="787"/>
      <c r="BF67" s="788"/>
      <c r="BG67" s="788"/>
      <c r="BH67" s="789"/>
      <c r="BI67" s="135" t="s">
        <v>29</v>
      </c>
      <c r="BJ67" s="136"/>
      <c r="BK67" s="136"/>
      <c r="BL67" s="138"/>
      <c r="BM67" s="135" t="s">
        <v>29</v>
      </c>
      <c r="BN67" s="136"/>
      <c r="BO67" s="136"/>
      <c r="BP67" s="138"/>
      <c r="BQ67" s="135" t="s">
        <v>29</v>
      </c>
      <c r="BR67" s="136"/>
      <c r="BS67" s="136"/>
      <c r="BT67" s="138"/>
      <c r="BU67" s="135" t="s">
        <v>29</v>
      </c>
      <c r="BV67" s="136"/>
      <c r="BW67" s="136"/>
      <c r="BX67" s="138"/>
      <c r="BY67" s="135" t="s">
        <v>29</v>
      </c>
      <c r="BZ67" s="136"/>
      <c r="CA67" s="138"/>
      <c r="CB67" s="135" t="s">
        <v>29</v>
      </c>
      <c r="CC67" s="136"/>
      <c r="CD67" s="136"/>
      <c r="CE67" s="138"/>
      <c r="CF67" s="135" t="s">
        <v>29</v>
      </c>
      <c r="CG67" s="136"/>
      <c r="CH67" s="136"/>
      <c r="CI67" s="138"/>
    </row>
    <row r="68" spans="1:87" ht="13.5" customHeight="1">
      <c r="A68" s="22"/>
      <c r="B68" s="186">
        <v>25</v>
      </c>
      <c r="C68" s="289">
        <v>2</v>
      </c>
      <c r="D68" s="134" t="s">
        <v>104</v>
      </c>
      <c r="E68" s="135"/>
      <c r="F68" s="134" t="s">
        <v>113</v>
      </c>
      <c r="G68" s="135"/>
      <c r="H68" s="135"/>
      <c r="I68" s="137"/>
      <c r="J68" s="205"/>
      <c r="K68" s="206"/>
      <c r="L68" s="206"/>
      <c r="M68" s="206"/>
      <c r="N68" s="145"/>
      <c r="O68" s="146"/>
      <c r="P68" s="134"/>
      <c r="Q68" s="136"/>
      <c r="R68" s="136"/>
      <c r="S68" s="146"/>
      <c r="T68" s="107"/>
      <c r="U68" s="108"/>
      <c r="V68" s="108"/>
      <c r="W68" s="146"/>
      <c r="X68" s="803">
        <f>SUMPRODUCT(X$64:AA$64,BE$64:BH$64)</f>
        <v>9513</v>
      </c>
      <c r="Y68" s="804"/>
      <c r="Z68" s="804"/>
      <c r="AA68" s="805"/>
      <c r="AB68" s="803">
        <f>SUMPRODUCT(X$64:AA$64,AB$64:AE$64)</f>
        <v>4711</v>
      </c>
      <c r="AC68" s="804"/>
      <c r="AD68" s="804"/>
      <c r="AE68" s="805"/>
      <c r="AF68" s="803">
        <f>X68-AB68</f>
        <v>4802</v>
      </c>
      <c r="AG68" s="804"/>
      <c r="AH68" s="804"/>
      <c r="AI68" s="804"/>
      <c r="AJ68" s="805"/>
      <c r="AK68" s="806">
        <f>AF68/X68</f>
        <v>0.50478292862398821</v>
      </c>
      <c r="AL68" s="807"/>
      <c r="AM68" s="807"/>
      <c r="AN68" s="808"/>
      <c r="AO68" s="806">
        <f>IFERROR(AS68/(X68-AS68),"")</f>
        <v>0.13249999999999998</v>
      </c>
      <c r="AP68" s="807"/>
      <c r="AQ68" s="807"/>
      <c r="AR68" s="808"/>
      <c r="AS68" s="797">
        <f>X$64*(BE$64-AK$64)</f>
        <v>1112.9999999999998</v>
      </c>
      <c r="AT68" s="798"/>
      <c r="AU68" s="798"/>
      <c r="AV68" s="799"/>
      <c r="AW68" s="800"/>
      <c r="AX68" s="801"/>
      <c r="AY68" s="801"/>
      <c r="AZ68" s="802"/>
      <c r="BA68" s="803"/>
      <c r="BB68" s="804"/>
      <c r="BC68" s="804"/>
      <c r="BD68" s="805"/>
      <c r="BE68" s="787"/>
      <c r="BF68" s="788"/>
      <c r="BG68" s="788"/>
      <c r="BH68" s="789"/>
      <c r="BI68" s="135" t="s">
        <v>29</v>
      </c>
      <c r="BJ68" s="136"/>
      <c r="BK68" s="136"/>
      <c r="BL68" s="138"/>
      <c r="BM68" s="135" t="s">
        <v>29</v>
      </c>
      <c r="BN68" s="136"/>
      <c r="BO68" s="136"/>
      <c r="BP68" s="138"/>
      <c r="BQ68" s="135" t="s">
        <v>29</v>
      </c>
      <c r="BR68" s="136"/>
      <c r="BS68" s="136"/>
      <c r="BT68" s="138"/>
      <c r="BU68" s="135" t="s">
        <v>29</v>
      </c>
      <c r="BV68" s="136"/>
      <c r="BW68" s="136"/>
      <c r="BX68" s="138"/>
      <c r="BY68" s="135" t="s">
        <v>29</v>
      </c>
      <c r="BZ68" s="136"/>
      <c r="CA68" s="138"/>
      <c r="CB68" s="135" t="s">
        <v>29</v>
      </c>
      <c r="CC68" s="136"/>
      <c r="CD68" s="136"/>
      <c r="CE68" s="138"/>
      <c r="CF68" s="135" t="s">
        <v>29</v>
      </c>
      <c r="CG68" s="136"/>
      <c r="CH68" s="136"/>
      <c r="CI68" s="138"/>
    </row>
    <row r="69" spans="1:87" ht="13.5" customHeight="1">
      <c r="A69" s="22"/>
      <c r="B69" s="362">
        <v>20</v>
      </c>
      <c r="C69" s="188" t="s">
        <v>159</v>
      </c>
      <c r="D69" s="28"/>
      <c r="E69" s="28"/>
      <c r="F69" s="28"/>
      <c r="G69" s="28"/>
      <c r="H69" s="109"/>
      <c r="I69" s="60"/>
      <c r="J69" s="61"/>
      <c r="K69" s="60"/>
      <c r="L69" s="61"/>
      <c r="M69" s="66"/>
      <c r="N69" s="66"/>
      <c r="O69" s="63"/>
      <c r="P69" s="66"/>
      <c r="Q69" s="63"/>
      <c r="R69" s="66"/>
      <c r="S69" s="28"/>
      <c r="T69" s="28"/>
      <c r="U69" s="28"/>
      <c r="V69" s="28"/>
      <c r="W69" s="28"/>
      <c r="X69" s="109"/>
      <c r="Y69" s="60"/>
      <c r="Z69" s="61"/>
      <c r="AA69" s="60"/>
      <c r="AB69" s="61"/>
      <c r="AC69" s="66"/>
      <c r="AD69" s="66"/>
      <c r="AE69" s="63"/>
      <c r="AF69" s="66"/>
      <c r="AG69" s="63"/>
      <c r="AH69" s="66"/>
      <c r="AI69" s="62"/>
      <c r="AJ69" s="66"/>
      <c r="AK69" s="63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17"/>
      <c r="AW69" s="28"/>
      <c r="AX69" s="28"/>
      <c r="AY69" s="31"/>
      <c r="AZ69" s="50"/>
      <c r="BA69" s="85"/>
      <c r="BB69" s="307"/>
      <c r="BC69" s="308"/>
      <c r="BD69" s="26"/>
      <c r="BE69" s="26"/>
      <c r="BF69" s="26"/>
    </row>
    <row r="70" spans="1:87" ht="13.5" customHeight="1">
      <c r="A70" s="22"/>
      <c r="B70" s="186">
        <v>24</v>
      </c>
      <c r="C70" s="285"/>
      <c r="D70" s="227"/>
      <c r="E70" s="228"/>
      <c r="F70" s="227" t="s">
        <v>171</v>
      </c>
      <c r="G70" s="228"/>
      <c r="H70" s="228"/>
      <c r="I70" s="229"/>
      <c r="J70" s="230" t="s">
        <v>29</v>
      </c>
      <c r="K70" s="231"/>
      <c r="L70" s="231"/>
      <c r="M70" s="231"/>
      <c r="N70" s="228"/>
      <c r="O70" s="229"/>
      <c r="P70" s="232"/>
      <c r="Q70" s="233"/>
      <c r="R70" s="233"/>
      <c r="S70" s="234"/>
      <c r="T70" s="227"/>
      <c r="U70" s="228"/>
      <c r="V70" s="228"/>
      <c r="W70" s="229"/>
      <c r="X70" s="233" t="s">
        <v>124</v>
      </c>
      <c r="Y70" s="228"/>
      <c r="Z70" s="228"/>
      <c r="AA70" s="228"/>
      <c r="AB70" s="232" t="s">
        <v>119</v>
      </c>
      <c r="AC70" s="228"/>
      <c r="AD70" s="228"/>
      <c r="AE70" s="228"/>
      <c r="AF70" s="232" t="s">
        <v>120</v>
      </c>
      <c r="AG70" s="233"/>
      <c r="AH70" s="233"/>
      <c r="AI70" s="233"/>
      <c r="AJ70" s="234"/>
      <c r="AK70" s="232" t="s">
        <v>121</v>
      </c>
      <c r="AL70" s="233"/>
      <c r="AM70" s="233"/>
      <c r="AN70" s="234"/>
      <c r="AO70" s="232" t="s">
        <v>122</v>
      </c>
      <c r="AP70" s="233"/>
      <c r="AQ70" s="233"/>
      <c r="AR70" s="234"/>
      <c r="AS70" s="232" t="s">
        <v>123</v>
      </c>
      <c r="AT70" s="233"/>
      <c r="AU70" s="233"/>
      <c r="AV70" s="233"/>
      <c r="AW70" s="236" t="s">
        <v>29</v>
      </c>
      <c r="AX70" s="233"/>
      <c r="AY70" s="233"/>
      <c r="AZ70" s="234"/>
      <c r="BA70" s="236"/>
      <c r="BB70" s="233"/>
      <c r="BC70" s="233"/>
      <c r="BD70" s="234"/>
      <c r="BE70" s="235"/>
      <c r="BF70" s="233"/>
      <c r="BG70" s="233"/>
      <c r="BH70" s="234"/>
      <c r="BI70" s="235" t="s">
        <v>29</v>
      </c>
      <c r="BJ70" s="233"/>
      <c r="BK70" s="233"/>
      <c r="BL70" s="234"/>
      <c r="BM70" s="235" t="s">
        <v>29</v>
      </c>
      <c r="BN70" s="233"/>
      <c r="BO70" s="233"/>
      <c r="BP70" s="234"/>
      <c r="BQ70" s="235" t="s">
        <v>29</v>
      </c>
      <c r="BR70" s="233"/>
      <c r="BS70" s="233"/>
      <c r="BT70" s="234"/>
      <c r="BU70" s="233"/>
      <c r="BV70" s="233"/>
      <c r="BW70" s="233"/>
      <c r="BX70" s="234"/>
      <c r="BY70" s="235" t="s">
        <v>29</v>
      </c>
      <c r="BZ70" s="233"/>
      <c r="CA70" s="234"/>
      <c r="CB70" s="233"/>
      <c r="CC70" s="233"/>
      <c r="CD70" s="233"/>
      <c r="CE70" s="234"/>
      <c r="CF70" s="233"/>
      <c r="CG70" s="233"/>
      <c r="CH70" s="233"/>
      <c r="CI70" s="234"/>
    </row>
    <row r="71" spans="1:87" ht="13.5" customHeight="1">
      <c r="A71" s="22"/>
      <c r="B71" s="186">
        <v>25</v>
      </c>
      <c r="C71" s="289"/>
      <c r="D71" s="134"/>
      <c r="E71" s="135"/>
      <c r="F71" s="134" t="s">
        <v>95</v>
      </c>
      <c r="G71" s="135"/>
      <c r="H71" s="135"/>
      <c r="I71" s="137"/>
      <c r="J71" s="205"/>
      <c r="K71" s="206"/>
      <c r="L71" s="206"/>
      <c r="M71" s="206"/>
      <c r="N71" s="145"/>
      <c r="O71" s="146"/>
      <c r="P71" s="134"/>
      <c r="Q71" s="136"/>
      <c r="R71" s="136"/>
      <c r="S71" s="146"/>
      <c r="T71" s="107"/>
      <c r="U71" s="108"/>
      <c r="V71" s="108"/>
      <c r="W71" s="146"/>
      <c r="X71" s="784">
        <f>SUMPRODUCT(X$64:AA$64,BE$64:BH$64)</f>
        <v>9513</v>
      </c>
      <c r="Y71" s="785"/>
      <c r="Z71" s="785"/>
      <c r="AA71" s="786"/>
      <c r="AB71" s="784">
        <f>SUMPRODUCT(X$64:AA$64,AB$64:AE$64)</f>
        <v>4711</v>
      </c>
      <c r="AC71" s="785"/>
      <c r="AD71" s="785"/>
      <c r="AE71" s="786"/>
      <c r="AF71" s="784">
        <f>X71-AB71</f>
        <v>4802</v>
      </c>
      <c r="AG71" s="785"/>
      <c r="AH71" s="785"/>
      <c r="AI71" s="785"/>
      <c r="AJ71" s="786"/>
      <c r="AK71" s="806">
        <f>AF71/X71</f>
        <v>0.50478292862398821</v>
      </c>
      <c r="AL71" s="807"/>
      <c r="AM71" s="807"/>
      <c r="AN71" s="808"/>
      <c r="AO71" s="806">
        <f>IFERROR(AS71/(X71-AS71),"")</f>
        <v>0.13249999999999998</v>
      </c>
      <c r="AP71" s="807"/>
      <c r="AQ71" s="807"/>
      <c r="AR71" s="808"/>
      <c r="AS71" s="809">
        <f>X$64*(BE$64-AK$64)</f>
        <v>1112.9999999999998</v>
      </c>
      <c r="AT71" s="810"/>
      <c r="AU71" s="810"/>
      <c r="AV71" s="811"/>
      <c r="AW71" s="800"/>
      <c r="AX71" s="801"/>
      <c r="AY71" s="801"/>
      <c r="AZ71" s="802"/>
      <c r="BA71" s="803"/>
      <c r="BB71" s="804"/>
      <c r="BC71" s="804"/>
      <c r="BD71" s="805"/>
      <c r="BE71" s="787"/>
      <c r="BF71" s="788"/>
      <c r="BG71" s="788"/>
      <c r="BH71" s="789"/>
      <c r="BI71" s="135" t="s">
        <v>29</v>
      </c>
      <c r="BJ71" s="136"/>
      <c r="BK71" s="136"/>
      <c r="BL71" s="138"/>
      <c r="BM71" s="135" t="s">
        <v>29</v>
      </c>
      <c r="BN71" s="136"/>
      <c r="BO71" s="136"/>
      <c r="BP71" s="138"/>
      <c r="BQ71" s="135" t="s">
        <v>29</v>
      </c>
      <c r="BR71" s="136"/>
      <c r="BS71" s="136"/>
      <c r="BT71" s="138"/>
      <c r="BU71" s="135" t="s">
        <v>29</v>
      </c>
      <c r="BV71" s="136"/>
      <c r="BW71" s="136"/>
      <c r="BX71" s="138"/>
      <c r="BY71" s="135" t="s">
        <v>29</v>
      </c>
      <c r="BZ71" s="136"/>
      <c r="CA71" s="138"/>
      <c r="CB71" s="135" t="s">
        <v>29</v>
      </c>
      <c r="CC71" s="136"/>
      <c r="CD71" s="136"/>
      <c r="CE71" s="138"/>
      <c r="CF71" s="135" t="s">
        <v>29</v>
      </c>
      <c r="CG71" s="136"/>
      <c r="CH71" s="136"/>
      <c r="CI71" s="138"/>
    </row>
    <row r="72" spans="1:87" ht="13.5" customHeight="1">
      <c r="A72" s="22"/>
      <c r="B72" s="186">
        <v>25</v>
      </c>
      <c r="C72" s="289"/>
      <c r="D72" s="134"/>
      <c r="E72" s="135"/>
      <c r="F72" s="134" t="s">
        <v>113</v>
      </c>
      <c r="G72" s="135"/>
      <c r="H72" s="135"/>
      <c r="I72" s="137"/>
      <c r="J72" s="205"/>
      <c r="K72" s="206"/>
      <c r="L72" s="206"/>
      <c r="M72" s="206"/>
      <c r="N72" s="145"/>
      <c r="O72" s="146"/>
      <c r="P72" s="134"/>
      <c r="Q72" s="136"/>
      <c r="R72" s="136"/>
      <c r="S72" s="146"/>
      <c r="T72" s="107"/>
      <c r="U72" s="108"/>
      <c r="V72" s="108"/>
      <c r="W72" s="146"/>
      <c r="X72" s="803">
        <f>SUMPRODUCT(X$64:AA$64,BE$64:BH$64)</f>
        <v>9513</v>
      </c>
      <c r="Y72" s="804"/>
      <c r="Z72" s="804"/>
      <c r="AA72" s="805"/>
      <c r="AB72" s="803">
        <f>SUMPRODUCT(X$64:AA$64,AB$64:AE$64)</f>
        <v>4711</v>
      </c>
      <c r="AC72" s="804"/>
      <c r="AD72" s="804"/>
      <c r="AE72" s="805"/>
      <c r="AF72" s="803">
        <f>X72-AB72</f>
        <v>4802</v>
      </c>
      <c r="AG72" s="804"/>
      <c r="AH72" s="804"/>
      <c r="AI72" s="804"/>
      <c r="AJ72" s="805"/>
      <c r="AK72" s="806">
        <f>AF72/X72</f>
        <v>0.50478292862398821</v>
      </c>
      <c r="AL72" s="807"/>
      <c r="AM72" s="807"/>
      <c r="AN72" s="808"/>
      <c r="AO72" s="806">
        <f>IFERROR(AS72/(X72-AS72),"")</f>
        <v>0.13249999999999998</v>
      </c>
      <c r="AP72" s="807"/>
      <c r="AQ72" s="807"/>
      <c r="AR72" s="808"/>
      <c r="AS72" s="797">
        <f>X$64*(BE$64-AK$64)</f>
        <v>1112.9999999999998</v>
      </c>
      <c r="AT72" s="798"/>
      <c r="AU72" s="798"/>
      <c r="AV72" s="799"/>
      <c r="AW72" s="800"/>
      <c r="AX72" s="801"/>
      <c r="AY72" s="801"/>
      <c r="AZ72" s="802"/>
      <c r="BA72" s="803"/>
      <c r="BB72" s="804"/>
      <c r="BC72" s="804"/>
      <c r="BD72" s="805"/>
      <c r="BE72" s="787"/>
      <c r="BF72" s="788"/>
      <c r="BG72" s="788"/>
      <c r="BH72" s="789"/>
      <c r="BI72" s="135" t="s">
        <v>29</v>
      </c>
      <c r="BJ72" s="136"/>
      <c r="BK72" s="136"/>
      <c r="BL72" s="138"/>
      <c r="BM72" s="135" t="s">
        <v>29</v>
      </c>
      <c r="BN72" s="136"/>
      <c r="BO72" s="136"/>
      <c r="BP72" s="138"/>
      <c r="BQ72" s="135" t="s">
        <v>29</v>
      </c>
      <c r="BR72" s="136"/>
      <c r="BS72" s="136"/>
      <c r="BT72" s="138"/>
      <c r="BU72" s="135" t="s">
        <v>29</v>
      </c>
      <c r="BV72" s="136"/>
      <c r="BW72" s="136"/>
      <c r="BX72" s="138"/>
      <c r="BY72" s="135" t="s">
        <v>29</v>
      </c>
      <c r="BZ72" s="136"/>
      <c r="CA72" s="138"/>
      <c r="CB72" s="135" t="s">
        <v>29</v>
      </c>
      <c r="CC72" s="136"/>
      <c r="CD72" s="136"/>
      <c r="CE72" s="138"/>
      <c r="CF72" s="135" t="s">
        <v>29</v>
      </c>
      <c r="CG72" s="136"/>
      <c r="CH72" s="136"/>
      <c r="CI72" s="138"/>
    </row>
    <row r="73" spans="1:87" ht="13.5" customHeight="1">
      <c r="A73" s="22"/>
      <c r="B73" s="186">
        <v>26</v>
      </c>
      <c r="C73" s="315"/>
      <c r="D73" s="71"/>
      <c r="E73" s="71"/>
      <c r="F73" s="71"/>
      <c r="G73" s="71"/>
      <c r="H73" s="183"/>
      <c r="I73" s="183"/>
      <c r="J73" s="184"/>
      <c r="K73" s="183"/>
      <c r="L73" s="184"/>
      <c r="M73" s="183"/>
      <c r="N73" s="183"/>
      <c r="O73" s="77"/>
      <c r="P73" s="78"/>
      <c r="Q73" s="78"/>
      <c r="R73" s="78"/>
      <c r="S73" s="71"/>
      <c r="T73" s="71"/>
      <c r="U73" s="71"/>
      <c r="V73" s="71"/>
      <c r="W73" s="71"/>
      <c r="X73" s="79"/>
      <c r="Y73" s="71"/>
      <c r="Z73" s="78"/>
      <c r="AA73" s="79"/>
      <c r="AB73" s="71"/>
      <c r="AC73" s="78"/>
      <c r="AD73" s="79"/>
      <c r="AE73" s="78"/>
      <c r="AF73" s="78"/>
      <c r="AG73" s="79"/>
      <c r="AH73" s="78"/>
      <c r="AI73" s="78"/>
      <c r="AJ73" s="84"/>
      <c r="AK73" s="78"/>
      <c r="AL73" s="78"/>
      <c r="AM73" s="78"/>
      <c r="AN73" s="78"/>
      <c r="AO73" s="78"/>
      <c r="AP73" s="78"/>
      <c r="AQ73" s="78"/>
      <c r="AR73" s="78"/>
      <c r="AS73" s="63"/>
      <c r="AT73" s="63"/>
      <c r="AU73" s="63"/>
      <c r="AV73" s="63"/>
      <c r="AW73" s="63"/>
      <c r="AX73" s="63"/>
      <c r="AY73" s="61"/>
      <c r="AZ73" s="31"/>
      <c r="BA73" s="30"/>
      <c r="BB73" s="159"/>
      <c r="BC73" s="317"/>
      <c r="BD73" s="814"/>
      <c r="BE73" s="815"/>
      <c r="BF73" s="815"/>
    </row>
    <row r="74" spans="1:87" ht="13.5" customHeight="1">
      <c r="A74" s="22"/>
      <c r="B74" s="186"/>
      <c r="C74" s="316"/>
      <c r="D74" s="310"/>
      <c r="E74" s="63"/>
      <c r="F74" s="63"/>
      <c r="G74" s="63"/>
      <c r="H74" s="63"/>
      <c r="I74" s="63"/>
      <c r="J74" s="311"/>
      <c r="K74" s="312"/>
      <c r="L74" s="312"/>
      <c r="M74" s="312"/>
      <c r="N74"/>
      <c r="O74"/>
      <c r="P74"/>
      <c r="Q74"/>
      <c r="R74"/>
      <c r="S74"/>
      <c r="T74"/>
      <c r="U74"/>
      <c r="V74"/>
      <c r="W74" s="63"/>
      <c r="X74" s="63"/>
      <c r="Y74" s="63"/>
      <c r="Z74" s="63"/>
      <c r="AA74" s="63"/>
      <c r="AB74" s="63"/>
      <c r="AC74" s="63"/>
      <c r="AD74" s="63"/>
      <c r="AE74" s="63"/>
      <c r="AF74" s="63"/>
      <c r="AG74" s="63"/>
      <c r="AH74" s="63"/>
      <c r="AI74" s="63"/>
      <c r="AJ74" s="63"/>
      <c r="AK74" s="63"/>
      <c r="AL74" s="63"/>
      <c r="AM74" s="182"/>
      <c r="AN74" s="182"/>
      <c r="AO74" s="182"/>
      <c r="AP74" s="182"/>
      <c r="AQ74" s="182"/>
      <c r="AR74" s="182"/>
      <c r="AS74" s="237"/>
      <c r="AT74" s="35"/>
      <c r="AU74" s="35"/>
      <c r="AV74" s="237"/>
      <c r="AW74" s="182"/>
      <c r="AX74" s="182"/>
      <c r="AY74" s="182"/>
      <c r="AZ74" s="31"/>
      <c r="BA74" s="30"/>
      <c r="BB74" s="159"/>
      <c r="BC74" s="319"/>
      <c r="BD74" s="28"/>
      <c r="BG74" s="24"/>
      <c r="BH74" s="28"/>
    </row>
    <row r="75" spans="1:87" ht="13.5" customHeight="1">
      <c r="A75" s="22"/>
      <c r="B75" s="186"/>
      <c r="C75" s="316"/>
      <c r="D75" s="310"/>
      <c r="E75" s="63"/>
      <c r="F75" s="63"/>
      <c r="G75" s="63"/>
      <c r="H75" s="63"/>
      <c r="I75" s="63"/>
      <c r="J75" s="311"/>
      <c r="K75" s="312"/>
      <c r="L75" s="312"/>
      <c r="M75" s="312"/>
      <c r="N75"/>
      <c r="O75"/>
      <c r="P75"/>
      <c r="Q75"/>
      <c r="R75"/>
      <c r="S75"/>
      <c r="T75"/>
      <c r="U75"/>
      <c r="V75"/>
      <c r="W75" s="63"/>
      <c r="X75" s="63"/>
      <c r="Y75" s="63"/>
      <c r="Z75" s="63"/>
      <c r="AA75" s="63"/>
      <c r="AB75" s="63"/>
      <c r="AC75" s="63"/>
      <c r="AD75" s="63"/>
      <c r="AE75" s="63"/>
      <c r="AF75" s="63"/>
      <c r="AG75" s="63"/>
      <c r="AH75" s="63"/>
      <c r="AI75" s="63"/>
      <c r="AJ75" s="63"/>
      <c r="AK75" s="63"/>
      <c r="AL75" s="63"/>
      <c r="AM75" s="182"/>
      <c r="AN75" s="182"/>
      <c r="AO75" s="182"/>
      <c r="AP75" s="182"/>
      <c r="AQ75" s="182"/>
      <c r="AR75" s="182"/>
      <c r="AS75" s="237"/>
      <c r="AT75" s="35"/>
      <c r="AU75" s="35"/>
      <c r="AV75" s="237"/>
      <c r="AW75" s="182"/>
      <c r="AX75" s="182"/>
      <c r="AY75" s="182"/>
      <c r="AZ75" s="31"/>
      <c r="BA75" s="30"/>
      <c r="BB75" s="159"/>
      <c r="BC75" s="319"/>
      <c r="BD75" s="28"/>
      <c r="BG75" s="24"/>
      <c r="BH75" s="28"/>
    </row>
    <row r="76" spans="1:87" ht="5.15" customHeight="1">
      <c r="A76" s="22"/>
      <c r="B76" s="186"/>
      <c r="C76" s="296"/>
      <c r="D76" s="69"/>
      <c r="E76" s="69"/>
      <c r="F76" s="69"/>
      <c r="G76" s="69"/>
      <c r="H76" s="297"/>
      <c r="I76" s="257"/>
      <c r="J76" s="255"/>
      <c r="K76" s="257"/>
      <c r="L76" s="255"/>
      <c r="M76" s="298"/>
      <c r="N76" s="298"/>
      <c r="O76" s="252"/>
      <c r="P76" s="298"/>
      <c r="Q76" s="252"/>
      <c r="R76" s="298"/>
      <c r="S76" s="69"/>
      <c r="T76" s="69"/>
      <c r="U76" s="69"/>
      <c r="V76" s="69"/>
      <c r="W76" s="69"/>
      <c r="X76" s="297"/>
      <c r="Y76" s="257"/>
      <c r="Z76" s="255"/>
      <c r="AA76" s="257"/>
      <c r="AB76" s="255"/>
      <c r="AC76" s="298"/>
      <c r="AD76" s="298"/>
      <c r="AE76" s="252"/>
      <c r="AF76" s="298"/>
      <c r="AG76" s="252"/>
      <c r="AH76" s="298"/>
      <c r="AI76" s="258"/>
      <c r="AJ76" s="298"/>
      <c r="AK76" s="252"/>
      <c r="AL76" s="69"/>
      <c r="AM76" s="69"/>
      <c r="AN76" s="69"/>
      <c r="AO76" s="69"/>
      <c r="AP76" s="69"/>
      <c r="AQ76" s="69"/>
      <c r="AR76" s="69"/>
      <c r="AS76" s="69"/>
      <c r="AT76" s="69"/>
      <c r="AU76" s="69"/>
      <c r="AV76" s="299"/>
      <c r="AW76" s="69"/>
      <c r="AX76" s="69"/>
      <c r="AY76" s="251"/>
      <c r="AZ76" s="251"/>
      <c r="BA76" s="300"/>
      <c r="BB76" s="301"/>
      <c r="BC76" s="318"/>
      <c r="BD76" s="28"/>
    </row>
    <row r="77" spans="1:87" ht="13.5" customHeight="1">
      <c r="A77" s="22"/>
      <c r="B77" s="186">
        <v>31</v>
      </c>
      <c r="C77" s="309"/>
      <c r="D77" s="310"/>
      <c r="E77" s="63"/>
      <c r="F77" s="63"/>
      <c r="G77" s="63"/>
      <c r="H77" s="63"/>
      <c r="I77" s="63"/>
      <c r="J77" s="813"/>
      <c r="K77" s="813"/>
      <c r="L77" s="813"/>
      <c r="M77" s="81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  <c r="AA77" s="63"/>
      <c r="AB77" s="63"/>
      <c r="AC77" s="63"/>
      <c r="AD77" s="63"/>
      <c r="AE77" s="63"/>
      <c r="AF77" s="63"/>
      <c r="AG77" s="63"/>
      <c r="AH77" s="63"/>
      <c r="AI77" s="63"/>
      <c r="AJ77" s="63"/>
      <c r="AK77" s="63"/>
      <c r="AL77" s="63"/>
      <c r="AM77" s="182"/>
      <c r="AN77" s="182"/>
      <c r="AO77" s="182"/>
      <c r="AP77" s="182"/>
      <c r="AQ77" s="182"/>
      <c r="AR77" s="182"/>
      <c r="AS77" s="182"/>
      <c r="AT77" s="182"/>
      <c r="AU77" s="182"/>
      <c r="AV77" s="182"/>
      <c r="AW77" s="182"/>
      <c r="AX77" s="182"/>
      <c r="AY77" s="182"/>
      <c r="AZ77" s="33"/>
      <c r="BA77" s="44"/>
      <c r="BB77" s="74"/>
      <c r="BC77" s="34"/>
      <c r="BD77" s="28"/>
      <c r="BG77" s="24"/>
      <c r="BH77" s="28"/>
    </row>
    <row r="78" spans="1:87" ht="14.15" customHeight="1">
      <c r="A78" s="22"/>
      <c r="B78" s="117"/>
      <c r="C78" s="320" t="s">
        <v>93</v>
      </c>
      <c r="D78" s="28"/>
      <c r="E78" s="28"/>
      <c r="F78" s="28"/>
      <c r="G78" s="28"/>
      <c r="S78" s="35"/>
      <c r="T78" s="35"/>
      <c r="U78" s="35"/>
      <c r="V78" s="35"/>
      <c r="Y78" s="35"/>
      <c r="Z78" s="35"/>
      <c r="AD78" s="35"/>
      <c r="AE78" s="35"/>
      <c r="AF78" s="35"/>
      <c r="AG78" s="35"/>
      <c r="AH78" s="35"/>
      <c r="AI78" s="35"/>
      <c r="AJ78" s="28"/>
      <c r="AK78" s="28"/>
      <c r="AL78" s="28"/>
      <c r="AM78" s="118"/>
      <c r="AN78" s="118"/>
      <c r="AO78" s="35"/>
      <c r="AP78" s="35"/>
      <c r="AQ78" s="35"/>
      <c r="AR78" s="35"/>
      <c r="AS78" s="35"/>
      <c r="AT78" s="35"/>
      <c r="AU78" s="35"/>
      <c r="AV78" s="35"/>
      <c r="AW78" s="35"/>
      <c r="AX78" s="63"/>
      <c r="AY78" s="63"/>
      <c r="AZ78" s="33"/>
      <c r="BA78" s="44"/>
      <c r="BB78" s="74"/>
      <c r="BC78" s="34"/>
      <c r="BD78" s="28"/>
      <c r="BG78" s="35"/>
    </row>
    <row r="79" spans="1:87" ht="5.15" customHeight="1">
      <c r="A79" s="22"/>
      <c r="B79" s="186"/>
      <c r="C79" s="277"/>
      <c r="D79" s="68"/>
      <c r="E79" s="68"/>
      <c r="F79" s="68"/>
      <c r="G79" s="68"/>
      <c r="H79" s="278"/>
      <c r="I79" s="260"/>
      <c r="J79" s="261"/>
      <c r="K79" s="260"/>
      <c r="L79" s="261"/>
      <c r="M79" s="279"/>
      <c r="N79" s="279"/>
      <c r="O79" s="245"/>
      <c r="P79" s="279"/>
      <c r="Q79" s="245"/>
      <c r="R79" s="279"/>
      <c r="S79" s="68"/>
      <c r="T79" s="68"/>
      <c r="U79" s="68"/>
      <c r="V79" s="68"/>
      <c r="W79" s="68"/>
      <c r="X79" s="278"/>
      <c r="Y79" s="260"/>
      <c r="Z79" s="261"/>
      <c r="AA79" s="260"/>
      <c r="AB79" s="261"/>
      <c r="AC79" s="279"/>
      <c r="AD79" s="279"/>
      <c r="AE79" s="245"/>
      <c r="AF79" s="279"/>
      <c r="AG79" s="245"/>
      <c r="AH79" s="279"/>
      <c r="AI79" s="262"/>
      <c r="AJ79" s="279"/>
      <c r="AK79" s="245"/>
      <c r="AL79" s="68"/>
      <c r="AM79" s="68"/>
      <c r="AN79" s="68"/>
      <c r="AO79" s="68"/>
      <c r="AP79" s="68"/>
      <c r="AQ79" s="68"/>
      <c r="AR79" s="68"/>
      <c r="AS79" s="68"/>
      <c r="AT79" s="68"/>
      <c r="AU79" s="68"/>
      <c r="AV79" s="281"/>
      <c r="AW79" s="68"/>
      <c r="AX79" s="68"/>
      <c r="AY79" s="247"/>
      <c r="AZ79" s="33"/>
      <c r="BA79" s="44"/>
      <c r="BB79" s="74"/>
      <c r="BC79" s="34"/>
      <c r="BD79" s="28"/>
    </row>
    <row r="80" spans="1:87" ht="14.15" customHeight="1">
      <c r="A80" s="23"/>
      <c r="B80" s="325"/>
      <c r="C80" s="264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5"/>
      <c r="S80" s="35"/>
      <c r="T80" s="28"/>
      <c r="U80" s="28"/>
      <c r="V80" s="28"/>
      <c r="W80" s="28"/>
      <c r="X80" s="28"/>
      <c r="Y80" s="28"/>
      <c r="Z80" s="28"/>
      <c r="AC80" s="28"/>
      <c r="AD80" s="28"/>
      <c r="AE80" s="35"/>
      <c r="AF80" s="35"/>
      <c r="AG80" s="35"/>
      <c r="AH80" s="35"/>
      <c r="AI80" s="35"/>
      <c r="AJ80" s="28"/>
      <c r="AK80" s="28"/>
      <c r="AL80" s="28"/>
      <c r="AM80" s="35"/>
      <c r="AN80" s="35"/>
      <c r="AO80" s="123"/>
      <c r="AP80" s="124"/>
      <c r="AQ80" s="118"/>
      <c r="AR80" s="118"/>
      <c r="AS80" s="118"/>
      <c r="AT80" s="118"/>
      <c r="AU80" s="76"/>
      <c r="AV80" s="35"/>
      <c r="AW80" s="35"/>
      <c r="AX80" s="63"/>
      <c r="AY80" s="321"/>
      <c r="AZ80" s="33"/>
      <c r="BA80" s="44"/>
      <c r="BB80" s="74"/>
      <c r="BC80" s="34"/>
      <c r="BD80" s="28"/>
      <c r="BG80" s="35"/>
    </row>
    <row r="81" spans="1:60" ht="14.15" customHeight="1">
      <c r="A81" s="23"/>
      <c r="B81" s="325"/>
      <c r="C81" s="326"/>
      <c r="D81" s="322" t="s">
        <v>35</v>
      </c>
      <c r="E81" s="119"/>
      <c r="F81" s="119"/>
      <c r="G81" s="119"/>
      <c r="H81" s="120"/>
      <c r="I81" s="120"/>
      <c r="J81" s="97"/>
      <c r="K81" s="121"/>
      <c r="L81" s="122"/>
      <c r="M81" s="132"/>
      <c r="N81" s="132"/>
      <c r="O81" s="119"/>
      <c r="P81" s="122"/>
      <c r="Q81" s="98"/>
      <c r="R81" s="121" t="s">
        <v>37</v>
      </c>
      <c r="S81" s="122"/>
      <c r="T81" s="98"/>
      <c r="U81" s="98"/>
      <c r="V81" s="121" t="s">
        <v>41</v>
      </c>
      <c r="W81" s="122"/>
      <c r="X81" s="98"/>
      <c r="Y81" s="35"/>
      <c r="Z81" s="35"/>
      <c r="AC81" s="28"/>
      <c r="AD81" s="28"/>
      <c r="AE81" s="28"/>
      <c r="AF81" s="35"/>
      <c r="AG81" s="35"/>
      <c r="AH81" s="28"/>
      <c r="AI81" s="28"/>
      <c r="AJ81" s="28"/>
      <c r="AK81" s="76"/>
      <c r="AL81" s="28"/>
      <c r="AM81" s="28"/>
      <c r="AN81" s="28"/>
      <c r="AO81" s="28"/>
      <c r="AP81" s="28"/>
      <c r="AQ81" s="63"/>
      <c r="AR81" s="63"/>
      <c r="AS81" s="63"/>
      <c r="AT81" s="113"/>
      <c r="AU81" s="63"/>
      <c r="AV81" s="63"/>
      <c r="AW81" s="63"/>
      <c r="AX81" s="63"/>
      <c r="AY81" s="321"/>
      <c r="AZ81" s="33"/>
      <c r="BA81" s="44"/>
      <c r="BB81" s="74"/>
      <c r="BC81" s="34"/>
      <c r="BD81" s="28"/>
      <c r="BE81" s="35"/>
      <c r="BF81" s="35"/>
      <c r="BG81" s="35"/>
    </row>
    <row r="82" spans="1:60" ht="13.5" customHeight="1">
      <c r="A82" s="22"/>
      <c r="B82" s="327"/>
      <c r="C82" s="326"/>
      <c r="D82" s="323" t="s">
        <v>42</v>
      </c>
      <c r="E82" s="125"/>
      <c r="F82" s="125"/>
      <c r="G82" s="125"/>
      <c r="H82" s="125"/>
      <c r="I82" s="125"/>
      <c r="J82" s="125"/>
      <c r="K82" s="324"/>
      <c r="L82" s="127"/>
      <c r="M82" s="99"/>
      <c r="N82" s="99"/>
      <c r="O82" s="133"/>
      <c r="P82" s="127"/>
      <c r="Q82" s="100"/>
      <c r="R82" s="126" t="s">
        <v>38</v>
      </c>
      <c r="S82" s="127"/>
      <c r="T82" s="99"/>
      <c r="U82" s="100"/>
      <c r="V82" s="128"/>
      <c r="W82" s="129"/>
      <c r="X82" s="130"/>
      <c r="Y82" s="106"/>
      <c r="Z82" s="39"/>
      <c r="AA82" s="106"/>
      <c r="AB82" s="106"/>
      <c r="AC82" s="106"/>
      <c r="AD82" s="106"/>
      <c r="AE82" s="106"/>
      <c r="AF82" s="106"/>
      <c r="AG82" s="106"/>
      <c r="AH82" s="106"/>
      <c r="AI82" s="106"/>
      <c r="AJ82" s="106"/>
      <c r="AK82" s="106"/>
      <c r="AL82" s="106"/>
      <c r="AM82" s="106"/>
      <c r="AN82" s="106"/>
      <c r="AO82" s="106"/>
      <c r="AP82" s="106"/>
      <c r="AQ82" s="63"/>
      <c r="AR82" s="63"/>
      <c r="AS82" s="63"/>
      <c r="AT82" s="113"/>
      <c r="AU82" s="63"/>
      <c r="AV82" s="63"/>
      <c r="AW82" s="63"/>
      <c r="AX82" s="63"/>
      <c r="AY82" s="321"/>
      <c r="AZ82" s="33"/>
      <c r="BA82" s="44"/>
      <c r="BB82" s="74"/>
      <c r="BC82" s="34"/>
      <c r="BD82" s="28"/>
      <c r="BE82" s="35"/>
      <c r="BF82" s="35"/>
      <c r="BG82" s="35"/>
    </row>
    <row r="83" spans="1:60" ht="5.15" customHeight="1">
      <c r="A83" s="22"/>
      <c r="B83" s="186"/>
      <c r="C83" s="296"/>
      <c r="D83" s="69"/>
      <c r="E83" s="69"/>
      <c r="F83" s="69"/>
      <c r="G83" s="69"/>
      <c r="H83" s="297"/>
      <c r="I83" s="257"/>
      <c r="J83" s="255"/>
      <c r="K83" s="257"/>
      <c r="L83" s="255"/>
      <c r="M83" s="298"/>
      <c r="N83" s="298"/>
      <c r="O83" s="252"/>
      <c r="P83" s="298"/>
      <c r="Q83" s="252"/>
      <c r="R83" s="298"/>
      <c r="S83" s="69"/>
      <c r="T83" s="69"/>
      <c r="U83" s="69"/>
      <c r="V83" s="69"/>
      <c r="W83" s="69"/>
      <c r="X83" s="297"/>
      <c r="Y83" s="257"/>
      <c r="Z83" s="255"/>
      <c r="AA83" s="257"/>
      <c r="AB83" s="255"/>
      <c r="AC83" s="298"/>
      <c r="AD83" s="298"/>
      <c r="AE83" s="252"/>
      <c r="AF83" s="298"/>
      <c r="AG83" s="252"/>
      <c r="AH83" s="298"/>
      <c r="AI83" s="258"/>
      <c r="AJ83" s="298"/>
      <c r="AK83" s="252"/>
      <c r="AL83" s="69"/>
      <c r="AM83" s="69"/>
      <c r="AN83" s="69"/>
      <c r="AO83" s="69"/>
      <c r="AP83" s="69"/>
      <c r="AQ83" s="69"/>
      <c r="AR83" s="69"/>
      <c r="AS83" s="69"/>
      <c r="AT83" s="69"/>
      <c r="AU83" s="69"/>
      <c r="AV83" s="299"/>
      <c r="AW83" s="69"/>
      <c r="AX83" s="69"/>
      <c r="AY83" s="259"/>
      <c r="AZ83" s="33"/>
      <c r="BA83" s="44"/>
      <c r="BB83" s="74"/>
      <c r="BC83" s="34"/>
      <c r="BD83" s="28"/>
    </row>
    <row r="84" spans="1:60" ht="14.15" customHeight="1">
      <c r="A84" s="22"/>
      <c r="B84" s="186">
        <v>35</v>
      </c>
      <c r="C84" s="309"/>
      <c r="D84" s="310"/>
      <c r="E84" s="63"/>
      <c r="F84" s="63"/>
      <c r="G84" s="63"/>
      <c r="H84" s="63"/>
      <c r="I84" s="63"/>
      <c r="J84" s="812"/>
      <c r="K84" s="812"/>
      <c r="L84" s="812"/>
      <c r="M84" s="812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63"/>
      <c r="AB84" s="63"/>
      <c r="AC84" s="63"/>
      <c r="AD84" s="63"/>
      <c r="AE84" s="63"/>
      <c r="AF84" s="63"/>
      <c r="AG84" s="63"/>
      <c r="AH84" s="63"/>
      <c r="AI84" s="63"/>
      <c r="AJ84" s="63"/>
      <c r="AK84" s="63"/>
      <c r="AL84" s="63"/>
      <c r="AM84" s="63"/>
      <c r="AN84" s="63"/>
      <c r="AO84" s="63"/>
      <c r="AP84" s="63"/>
      <c r="AQ84" s="63"/>
      <c r="AR84" s="63"/>
      <c r="AS84" s="63"/>
      <c r="AT84" s="113"/>
      <c r="AU84" s="63"/>
      <c r="AV84" s="63"/>
      <c r="AW84" s="63"/>
      <c r="AX84" s="63"/>
      <c r="AY84" s="63"/>
      <c r="AZ84" s="33"/>
      <c r="BA84" s="44"/>
      <c r="BB84" s="313"/>
      <c r="BC84" s="314"/>
      <c r="BD84" s="28"/>
      <c r="BG84" s="24"/>
      <c r="BH84" s="28"/>
    </row>
    <row r="85" spans="1:60" ht="14.15" customHeight="1">
      <c r="A85" s="22"/>
      <c r="B85" s="186">
        <v>35</v>
      </c>
      <c r="C85" s="320" t="s">
        <v>131</v>
      </c>
      <c r="D85" s="310"/>
      <c r="E85" s="63"/>
      <c r="F85" s="63"/>
      <c r="G85" s="63"/>
      <c r="H85" s="63"/>
      <c r="I85" s="63"/>
      <c r="J85" s="812"/>
      <c r="K85" s="812"/>
      <c r="L85" s="812"/>
      <c r="M85" s="812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  <c r="AB85" s="63"/>
      <c r="AC85" s="63"/>
      <c r="AD85" s="63"/>
      <c r="AE85" s="63"/>
      <c r="AF85" s="63"/>
      <c r="AG85" s="63"/>
      <c r="AH85" s="63"/>
      <c r="AI85" s="63"/>
      <c r="AJ85" s="63"/>
      <c r="AK85" s="63"/>
      <c r="AL85" s="63"/>
      <c r="AM85" s="63"/>
      <c r="AN85" s="63"/>
      <c r="AO85" s="63"/>
      <c r="AP85" s="63"/>
      <c r="AQ85" s="63"/>
      <c r="AR85" s="63"/>
      <c r="AS85" s="63"/>
      <c r="AT85" s="113"/>
      <c r="AU85" s="63"/>
      <c r="AV85" s="63"/>
      <c r="AW85" s="63"/>
      <c r="AX85" s="63"/>
      <c r="AY85" s="63"/>
      <c r="AZ85" s="33"/>
      <c r="BA85" s="44"/>
      <c r="BB85" s="313"/>
      <c r="BC85" s="314"/>
      <c r="BD85" s="28"/>
      <c r="BG85" s="24"/>
      <c r="BH85" s="28"/>
    </row>
    <row r="86" spans="1:60" ht="14.15" customHeight="1">
      <c r="A86" s="22"/>
      <c r="B86" s="186">
        <v>35</v>
      </c>
      <c r="C86" s="309"/>
      <c r="D86" s="353" t="s">
        <v>132</v>
      </c>
      <c r="E86" s="63"/>
      <c r="F86" s="63"/>
      <c r="G86" s="63"/>
      <c r="H86" s="63"/>
      <c r="I86" s="63"/>
      <c r="J86" s="352"/>
      <c r="K86" s="352"/>
      <c r="L86" s="352"/>
      <c r="M86" s="352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  <c r="AA86" s="63"/>
      <c r="AB86" s="63"/>
      <c r="AC86" s="63"/>
      <c r="AD86" s="63"/>
      <c r="AE86" s="63"/>
      <c r="AF86" s="63"/>
      <c r="AG86" s="63"/>
      <c r="AH86" s="63"/>
      <c r="AI86" s="63"/>
      <c r="AJ86" s="63"/>
      <c r="AK86" s="63"/>
      <c r="AL86" s="63"/>
      <c r="AM86" s="63"/>
      <c r="AN86" s="63"/>
      <c r="AO86" s="63"/>
      <c r="AP86" s="63"/>
      <c r="AQ86" s="63"/>
      <c r="AR86" s="63"/>
      <c r="AS86" s="63"/>
      <c r="AT86" s="113"/>
      <c r="AU86" s="63"/>
      <c r="AV86" s="63"/>
      <c r="AW86" s="63"/>
      <c r="AX86" s="63"/>
      <c r="AY86" s="63"/>
      <c r="AZ86" s="33"/>
      <c r="BA86" s="44"/>
      <c r="BB86" s="313"/>
      <c r="BC86" s="314"/>
      <c r="BD86" s="28"/>
      <c r="BG86" s="24"/>
      <c r="BH86" s="28"/>
    </row>
    <row r="87" spans="1:60" ht="14.15" customHeight="1">
      <c r="A87" s="22"/>
      <c r="B87" s="186">
        <v>35</v>
      </c>
      <c r="C87" s="309"/>
      <c r="D87" s="310"/>
      <c r="E87" s="63"/>
      <c r="F87" s="63"/>
      <c r="G87" s="63"/>
      <c r="H87" s="63"/>
      <c r="I87" s="63"/>
      <c r="J87" s="816"/>
      <c r="K87" s="816"/>
      <c r="L87" s="816"/>
      <c r="M87" s="816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63"/>
      <c r="AB87" s="63"/>
      <c r="AC87" s="63"/>
      <c r="AD87" s="63"/>
      <c r="AE87" s="63"/>
      <c r="AF87" s="63"/>
      <c r="AG87" s="63"/>
      <c r="AH87" s="63"/>
      <c r="AI87" s="63"/>
      <c r="AJ87" s="63"/>
      <c r="AK87" s="63"/>
      <c r="AL87" s="63"/>
      <c r="AM87" s="63"/>
      <c r="AN87" s="63"/>
      <c r="AO87" s="63"/>
      <c r="AP87" s="63"/>
      <c r="AQ87" s="63"/>
      <c r="AR87" s="63"/>
      <c r="AS87" s="63"/>
      <c r="AT87" s="113"/>
      <c r="AU87" s="63"/>
      <c r="AV87" s="63"/>
      <c r="AW87" s="63"/>
      <c r="AX87" s="63"/>
      <c r="AY87" s="63"/>
      <c r="AZ87" s="33"/>
      <c r="BA87" s="44"/>
      <c r="BB87" s="313"/>
      <c r="BC87" s="314"/>
      <c r="BD87" s="28"/>
      <c r="BG87" s="24"/>
      <c r="BH87" s="28"/>
    </row>
    <row r="88" spans="1:60" ht="5.15" customHeight="1">
      <c r="A88" s="22"/>
      <c r="B88" s="186"/>
      <c r="C88" s="277"/>
      <c r="D88" s="68"/>
      <c r="E88" s="68"/>
      <c r="F88" s="68"/>
      <c r="G88" s="68"/>
      <c r="H88" s="278"/>
      <c r="I88" s="260"/>
      <c r="J88" s="261"/>
      <c r="K88" s="260"/>
      <c r="L88" s="261"/>
      <c r="M88" s="279"/>
      <c r="N88" s="279"/>
      <c r="O88" s="245"/>
      <c r="P88" s="279"/>
      <c r="Q88" s="245"/>
      <c r="R88" s="279"/>
      <c r="S88" s="68"/>
      <c r="T88" s="68"/>
      <c r="U88" s="68"/>
      <c r="V88" s="68"/>
      <c r="W88" s="68"/>
      <c r="X88" s="278"/>
      <c r="Y88" s="260"/>
      <c r="Z88" s="261"/>
      <c r="AA88" s="260"/>
      <c r="AB88" s="261"/>
      <c r="AC88" s="279"/>
      <c r="AD88" s="279"/>
      <c r="AE88" s="245"/>
      <c r="AF88" s="279"/>
      <c r="AG88" s="245"/>
      <c r="AH88" s="279"/>
      <c r="AI88" s="262"/>
      <c r="AJ88" s="279"/>
      <c r="AK88" s="245"/>
      <c r="AL88" s="68"/>
      <c r="AM88" s="68"/>
      <c r="AN88" s="68"/>
      <c r="AO88" s="68"/>
      <c r="AP88" s="68"/>
      <c r="AQ88" s="68"/>
      <c r="AR88" s="68"/>
      <c r="AS88" s="68"/>
      <c r="AT88" s="68"/>
      <c r="AU88" s="68"/>
      <c r="AV88" s="281"/>
      <c r="AW88" s="68"/>
      <c r="AX88" s="68"/>
      <c r="AY88" s="247"/>
      <c r="AZ88" s="33"/>
      <c r="BA88" s="44"/>
      <c r="BB88" s="74"/>
      <c r="BC88" s="34"/>
      <c r="BD88" s="28"/>
    </row>
    <row r="89" spans="1:60" ht="14.15" customHeight="1">
      <c r="A89" s="23"/>
      <c r="B89" s="325"/>
      <c r="C89" s="264"/>
      <c r="D89" s="28" t="s">
        <v>125</v>
      </c>
      <c r="E89" s="28"/>
      <c r="F89" s="28"/>
      <c r="G89" s="28"/>
      <c r="H89" s="344" t="s">
        <v>129</v>
      </c>
      <c r="I89" s="240"/>
      <c r="J89" s="241"/>
      <c r="K89" s="241"/>
      <c r="L89" s="241"/>
      <c r="M89" s="242"/>
      <c r="N89" s="241"/>
      <c r="O89" s="101"/>
      <c r="P89" s="244" t="s">
        <v>32</v>
      </c>
      <c r="Q89" s="25"/>
      <c r="R89" s="345" t="s">
        <v>130</v>
      </c>
      <c r="S89" s="346"/>
      <c r="T89" s="347"/>
      <c r="U89" s="347"/>
      <c r="V89" s="358"/>
      <c r="W89" s="348"/>
      <c r="X89" s="347"/>
      <c r="Y89" s="349"/>
      <c r="Z89" s="350"/>
      <c r="AB89" s="345" t="s">
        <v>166</v>
      </c>
      <c r="AC89" s="346"/>
      <c r="AD89" s="347"/>
      <c r="AE89" s="347"/>
      <c r="AF89" s="347"/>
      <c r="AG89" s="348"/>
      <c r="AH89" s="347"/>
      <c r="AI89" s="349"/>
      <c r="AJ89" s="348"/>
      <c r="AK89" s="354"/>
      <c r="AL89" s="354"/>
      <c r="AM89" s="349"/>
      <c r="AN89" s="349"/>
      <c r="AO89" s="347"/>
      <c r="AP89" s="355"/>
      <c r="AQ89" s="347"/>
      <c r="AR89" s="347"/>
      <c r="AS89" s="347"/>
      <c r="AT89" s="347"/>
      <c r="AU89" s="356"/>
      <c r="AV89" s="349"/>
      <c r="AW89" s="349"/>
      <c r="AX89" s="357"/>
      <c r="AY89" s="321"/>
      <c r="AZ89" s="33"/>
      <c r="BA89" s="44"/>
      <c r="BB89" s="74"/>
      <c r="BC89" s="34"/>
      <c r="BD89" s="28"/>
      <c r="BG89" s="35"/>
    </row>
    <row r="90" spans="1:60" ht="14.15" customHeight="1">
      <c r="A90" s="23"/>
      <c r="B90" s="325"/>
      <c r="C90" s="264"/>
      <c r="D90" s="28"/>
      <c r="E90" s="28"/>
      <c r="F90" s="28"/>
      <c r="G90" s="28"/>
      <c r="H90" s="345" t="s">
        <v>50</v>
      </c>
      <c r="I90" s="346"/>
      <c r="J90" s="347"/>
      <c r="K90" s="347"/>
      <c r="L90" s="347"/>
      <c r="M90" s="348"/>
      <c r="N90" s="347"/>
      <c r="O90" s="349"/>
      <c r="P90" s="348"/>
      <c r="Q90" s="354"/>
      <c r="R90" s="354"/>
      <c r="S90" s="349"/>
      <c r="T90" s="349"/>
      <c r="U90" s="347"/>
      <c r="V90" s="355"/>
      <c r="W90" s="347"/>
      <c r="X90" s="347"/>
      <c r="Y90" s="347"/>
      <c r="Z90" s="347"/>
      <c r="AA90" s="356"/>
      <c r="AB90" s="349"/>
      <c r="AC90" s="349"/>
      <c r="AD90" s="354"/>
      <c r="AE90" s="347"/>
      <c r="AF90" s="347"/>
      <c r="AG90" s="348"/>
      <c r="AH90" s="347"/>
      <c r="AI90" s="349"/>
      <c r="AJ90" s="348"/>
      <c r="AK90" s="354"/>
      <c r="AL90" s="354"/>
      <c r="AM90" s="349"/>
      <c r="AN90" s="349"/>
      <c r="AO90" s="347"/>
      <c r="AP90" s="355"/>
      <c r="AQ90" s="347"/>
      <c r="AR90" s="347"/>
      <c r="AS90" s="347"/>
      <c r="AT90" s="347"/>
      <c r="AU90" s="356"/>
      <c r="AV90" s="349"/>
      <c r="AW90" s="349"/>
      <c r="AX90" s="357"/>
      <c r="AY90" s="321"/>
      <c r="AZ90" s="33"/>
      <c r="BA90" s="44"/>
      <c r="BB90" s="74"/>
      <c r="BC90" s="34"/>
      <c r="BD90" s="28"/>
      <c r="BG90" s="35"/>
    </row>
    <row r="91" spans="1:60" ht="5.15" customHeight="1">
      <c r="A91" s="22"/>
      <c r="B91" s="186"/>
      <c r="C91" s="296"/>
      <c r="D91" s="69"/>
      <c r="E91" s="69"/>
      <c r="F91" s="69"/>
      <c r="G91" s="69"/>
      <c r="H91" s="297"/>
      <c r="I91" s="257"/>
      <c r="J91" s="255"/>
      <c r="K91" s="257"/>
      <c r="L91" s="255"/>
      <c r="M91" s="298"/>
      <c r="N91" s="298"/>
      <c r="O91" s="252"/>
      <c r="P91" s="298"/>
      <c r="Q91" s="252"/>
      <c r="R91" s="298"/>
      <c r="S91" s="69"/>
      <c r="T91" s="69"/>
      <c r="U91" s="69"/>
      <c r="V91" s="69"/>
      <c r="W91" s="69"/>
      <c r="X91" s="297"/>
      <c r="Y91" s="257"/>
      <c r="Z91" s="255"/>
      <c r="AA91" s="257"/>
      <c r="AB91" s="255"/>
      <c r="AC91" s="298"/>
      <c r="AD91" s="298"/>
      <c r="AE91" s="252"/>
      <c r="AF91" s="298"/>
      <c r="AG91" s="252"/>
      <c r="AH91" s="298"/>
      <c r="AI91" s="258"/>
      <c r="AJ91" s="298"/>
      <c r="AK91" s="252"/>
      <c r="AL91" s="69"/>
      <c r="AM91" s="69"/>
      <c r="AN91" s="69"/>
      <c r="AO91" s="69"/>
      <c r="AP91" s="69"/>
      <c r="AQ91" s="69"/>
      <c r="AR91" s="69"/>
      <c r="AS91" s="69"/>
      <c r="AT91" s="69"/>
      <c r="AU91" s="69"/>
      <c r="AV91" s="299"/>
      <c r="AW91" s="69"/>
      <c r="AX91" s="69"/>
      <c r="AY91" s="259"/>
      <c r="AZ91" s="33"/>
      <c r="BA91" s="44"/>
      <c r="BB91" s="74"/>
      <c r="BC91" s="34"/>
      <c r="BD91" s="28"/>
    </row>
    <row r="92" spans="1:60" ht="5.15" customHeight="1">
      <c r="A92" s="22"/>
      <c r="B92" s="186"/>
      <c r="C92" s="351"/>
      <c r="D92" s="68"/>
      <c r="E92" s="68"/>
      <c r="F92" s="68"/>
      <c r="G92" s="68"/>
      <c r="H92" s="278"/>
      <c r="I92" s="260"/>
      <c r="J92" s="261"/>
      <c r="K92" s="260"/>
      <c r="L92" s="261"/>
      <c r="M92" s="279"/>
      <c r="N92" s="279"/>
      <c r="O92" s="245"/>
      <c r="P92" s="279"/>
      <c r="Q92" s="245"/>
      <c r="R92" s="279"/>
      <c r="S92" s="68"/>
      <c r="T92" s="68"/>
      <c r="U92" s="68"/>
      <c r="V92" s="68"/>
      <c r="W92" s="68"/>
      <c r="X92" s="278"/>
      <c r="Y92" s="260"/>
      <c r="Z92" s="261"/>
      <c r="AA92" s="260"/>
      <c r="AB92" s="261"/>
      <c r="AC92" s="279"/>
      <c r="AD92" s="279"/>
      <c r="AE92" s="245"/>
      <c r="AF92" s="279"/>
      <c r="AG92" s="245"/>
      <c r="AH92" s="279"/>
      <c r="AI92" s="262"/>
      <c r="AJ92" s="279"/>
      <c r="AK92" s="245"/>
      <c r="AL92" s="68"/>
      <c r="AM92" s="68"/>
      <c r="AN92" s="68"/>
      <c r="AO92" s="68"/>
      <c r="AP92" s="68"/>
      <c r="AQ92" s="68"/>
      <c r="AR92" s="68"/>
      <c r="AS92" s="68"/>
      <c r="AT92" s="68"/>
      <c r="AU92" s="68"/>
      <c r="AV92" s="281"/>
      <c r="AW92" s="68"/>
      <c r="AX92" s="68"/>
      <c r="AY92" s="246"/>
      <c r="AZ92" s="33"/>
      <c r="BA92" s="44"/>
      <c r="BB92" s="74"/>
      <c r="BC92" s="34"/>
      <c r="BD92" s="28"/>
    </row>
    <row r="93" spans="1:60" ht="14.15" customHeight="1">
      <c r="A93" s="22"/>
      <c r="B93" s="186">
        <v>35</v>
      </c>
      <c r="C93" s="60" t="s">
        <v>128</v>
      </c>
      <c r="D93" s="310"/>
      <c r="E93" s="63"/>
      <c r="F93" s="63"/>
      <c r="G93" s="63"/>
      <c r="H93" s="63"/>
      <c r="I93" s="63"/>
      <c r="J93" s="812"/>
      <c r="K93" s="812"/>
      <c r="L93" s="812"/>
      <c r="M93" s="812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63"/>
      <c r="AB93" s="63"/>
      <c r="AC93" s="63"/>
      <c r="AD93" s="63"/>
      <c r="AE93" s="63"/>
      <c r="AF93" s="63"/>
      <c r="AG93" s="63"/>
      <c r="AH93" s="63"/>
      <c r="AI93" s="63"/>
      <c r="AJ93" s="63"/>
      <c r="AK93" s="63"/>
      <c r="AL93" s="63"/>
      <c r="AM93" s="63"/>
      <c r="AN93" s="63"/>
      <c r="AO93" s="63"/>
      <c r="AP93" s="63"/>
      <c r="AQ93" s="63"/>
      <c r="AR93" s="63"/>
      <c r="AS93" s="63"/>
      <c r="AT93" s="113"/>
      <c r="AU93" s="63"/>
      <c r="AV93" s="63"/>
      <c r="AW93" s="63"/>
      <c r="AX93" s="63"/>
      <c r="AY93" s="63"/>
      <c r="AZ93" s="33"/>
      <c r="BA93" s="44"/>
      <c r="BB93" s="313"/>
      <c r="BC93" s="314"/>
      <c r="BD93" s="28"/>
      <c r="BG93" s="24"/>
      <c r="BH93" s="28"/>
    </row>
    <row r="94" spans="1:60" ht="5.15" customHeight="1">
      <c r="A94" s="22"/>
      <c r="B94" s="186"/>
      <c r="C94" s="277"/>
      <c r="D94" s="68"/>
      <c r="E94" s="68"/>
      <c r="F94" s="68"/>
      <c r="G94" s="68"/>
      <c r="H94" s="278"/>
      <c r="I94" s="260"/>
      <c r="J94" s="261"/>
      <c r="K94" s="260"/>
      <c r="L94" s="261"/>
      <c r="M94" s="279"/>
      <c r="N94" s="279"/>
      <c r="O94" s="245"/>
      <c r="P94" s="279"/>
      <c r="Q94" s="245"/>
      <c r="R94" s="279"/>
      <c r="S94" s="68"/>
      <c r="T94" s="68"/>
      <c r="U94" s="68"/>
      <c r="V94" s="68"/>
      <c r="W94" s="68"/>
      <c r="X94" s="278"/>
      <c r="Y94" s="260"/>
      <c r="Z94" s="261"/>
      <c r="AA94" s="260"/>
      <c r="AB94" s="261"/>
      <c r="AC94" s="279"/>
      <c r="AD94" s="279"/>
      <c r="AE94" s="245"/>
      <c r="AF94" s="279"/>
      <c r="AG94" s="245"/>
      <c r="AH94" s="279"/>
      <c r="AI94" s="262"/>
      <c r="AJ94" s="279"/>
      <c r="AK94" s="245"/>
      <c r="AL94" s="68"/>
      <c r="AM94" s="68"/>
      <c r="AN94" s="68"/>
      <c r="AO94" s="68"/>
      <c r="AP94" s="68"/>
      <c r="AQ94" s="68"/>
      <c r="AR94" s="68"/>
      <c r="AS94" s="68"/>
      <c r="AT94" s="68"/>
      <c r="AU94" s="68"/>
      <c r="AV94" s="281"/>
      <c r="AW94" s="68"/>
      <c r="AX94" s="68"/>
      <c r="AY94" s="247"/>
      <c r="AZ94" s="33"/>
      <c r="BA94" s="44"/>
      <c r="BB94" s="74"/>
      <c r="BC94" s="34"/>
      <c r="BD94" s="28"/>
    </row>
    <row r="95" spans="1:60" ht="14.15" customHeight="1">
      <c r="A95" s="23"/>
      <c r="B95" s="325"/>
      <c r="C95" s="264"/>
      <c r="D95" s="28" t="s">
        <v>125</v>
      </c>
      <c r="E95" s="28"/>
      <c r="F95" s="28"/>
      <c r="G95" s="28"/>
      <c r="H95" s="344" t="s">
        <v>126</v>
      </c>
      <c r="I95" s="240"/>
      <c r="J95" s="241"/>
      <c r="K95" s="241"/>
      <c r="L95" s="241"/>
      <c r="M95" s="242"/>
      <c r="N95" s="241"/>
      <c r="O95" s="101"/>
      <c r="P95" s="244" t="s">
        <v>32</v>
      </c>
      <c r="Q95" s="25"/>
      <c r="R95" s="345" t="s">
        <v>127</v>
      </c>
      <c r="S95" s="346"/>
      <c r="T95" s="347"/>
      <c r="U95" s="347"/>
      <c r="V95" s="358"/>
      <c r="W95" s="359" t="s">
        <v>138</v>
      </c>
      <c r="X95" s="347"/>
      <c r="Y95" s="349"/>
      <c r="Z95" s="350"/>
      <c r="AB95" s="382" t="s">
        <v>167</v>
      </c>
      <c r="AC95" s="383"/>
      <c r="AD95" s="384"/>
      <c r="AE95" s="384"/>
      <c r="AF95" s="384"/>
      <c r="AG95" s="385"/>
      <c r="AH95" s="384"/>
      <c r="AI95" s="386"/>
      <c r="AJ95" s="385"/>
      <c r="AK95" s="59"/>
      <c r="AL95" s="59"/>
      <c r="AM95" s="386"/>
      <c r="AN95" s="386"/>
      <c r="AO95" s="384"/>
      <c r="AP95" s="387"/>
      <c r="AQ95" s="384"/>
      <c r="AR95" s="384"/>
      <c r="AS95" s="384"/>
      <c r="AT95" s="384"/>
      <c r="AU95" s="388"/>
      <c r="AV95" s="386"/>
      <c r="AW95" s="386"/>
      <c r="AX95" s="67"/>
      <c r="AY95" s="321"/>
      <c r="AZ95" s="33"/>
      <c r="BA95" s="44"/>
      <c r="BB95" s="74"/>
      <c r="BC95" s="34"/>
      <c r="BD95" s="28"/>
      <c r="BG95" s="35"/>
    </row>
    <row r="96" spans="1:60" ht="14.15" customHeight="1">
      <c r="A96" s="23"/>
      <c r="B96" s="325"/>
      <c r="C96" s="264"/>
      <c r="D96" s="28"/>
      <c r="E96" s="28"/>
      <c r="F96" s="28"/>
      <c r="G96" s="28"/>
      <c r="H96" s="345" t="s">
        <v>137</v>
      </c>
      <c r="I96" s="346"/>
      <c r="J96" s="347"/>
      <c r="K96" s="347"/>
      <c r="L96" s="347"/>
      <c r="M96" s="348"/>
      <c r="N96" s="347"/>
      <c r="O96" s="349"/>
      <c r="P96" s="348"/>
      <c r="Q96" s="354"/>
      <c r="R96" s="354"/>
      <c r="S96" s="349"/>
      <c r="T96" s="349"/>
      <c r="U96" s="347"/>
      <c r="V96" s="355"/>
      <c r="W96" s="347"/>
      <c r="X96" s="347"/>
      <c r="Y96" s="347"/>
      <c r="Z96" s="347"/>
      <c r="AA96" s="356"/>
      <c r="AB96" s="349"/>
      <c r="AC96" s="349"/>
      <c r="AD96" s="354"/>
      <c r="AE96" s="347"/>
      <c r="AF96" s="347"/>
      <c r="AG96" s="348"/>
      <c r="AH96" s="347"/>
      <c r="AI96" s="349"/>
      <c r="AJ96" s="348"/>
      <c r="AK96" s="354"/>
      <c r="AL96" s="354"/>
      <c r="AM96" s="349"/>
      <c r="AN96" s="349"/>
      <c r="AO96" s="347"/>
      <c r="AP96" s="355"/>
      <c r="AQ96" s="347"/>
      <c r="AR96" s="347"/>
      <c r="AS96" s="347"/>
      <c r="AT96" s="347"/>
      <c r="AU96" s="356"/>
      <c r="AV96" s="349"/>
      <c r="AW96" s="349"/>
      <c r="AX96" s="357"/>
      <c r="AY96" s="321"/>
      <c r="AZ96" s="33"/>
      <c r="BA96" s="44"/>
      <c r="BB96" s="74"/>
      <c r="BC96" s="34"/>
      <c r="BD96" s="28"/>
      <c r="BG96" s="35"/>
    </row>
    <row r="97" spans="1:60" ht="5.15" customHeight="1">
      <c r="A97" s="22"/>
      <c r="B97" s="186"/>
      <c r="C97" s="296"/>
      <c r="D97" s="69"/>
      <c r="E97" s="69"/>
      <c r="F97" s="69"/>
      <c r="G97" s="69"/>
      <c r="H97" s="297"/>
      <c r="I97" s="257"/>
      <c r="J97" s="255"/>
      <c r="K97" s="257"/>
      <c r="L97" s="255"/>
      <c r="M97" s="298"/>
      <c r="N97" s="298"/>
      <c r="O97" s="252"/>
      <c r="P97" s="298"/>
      <c r="Q97" s="252"/>
      <c r="R97" s="298"/>
      <c r="S97" s="69"/>
      <c r="T97" s="69"/>
      <c r="U97" s="69"/>
      <c r="V97" s="69"/>
      <c r="W97" s="69"/>
      <c r="X97" s="297"/>
      <c r="Y97" s="257"/>
      <c r="Z97" s="255"/>
      <c r="AA97" s="257"/>
      <c r="AB97" s="255"/>
      <c r="AC97" s="298"/>
      <c r="AD97" s="298"/>
      <c r="AE97" s="252"/>
      <c r="AF97" s="298"/>
      <c r="AG97" s="252"/>
      <c r="AH97" s="298"/>
      <c r="AI97" s="258"/>
      <c r="AJ97" s="298"/>
      <c r="AK97" s="252"/>
      <c r="AL97" s="69"/>
      <c r="AM97" s="69"/>
      <c r="AN97" s="69"/>
      <c r="AO97" s="69"/>
      <c r="AP97" s="69"/>
      <c r="AQ97" s="69"/>
      <c r="AR97" s="69"/>
      <c r="AS97" s="69"/>
      <c r="AT97" s="69"/>
      <c r="AU97" s="69"/>
      <c r="AV97" s="299"/>
      <c r="AW97" s="69"/>
      <c r="AX97" s="69"/>
      <c r="AY97" s="259"/>
      <c r="AZ97" s="33"/>
      <c r="BA97" s="44"/>
      <c r="BB97" s="74"/>
      <c r="BC97" s="34"/>
      <c r="BD97" s="28"/>
    </row>
    <row r="98" spans="1:60" ht="5.15" customHeight="1">
      <c r="A98" s="22"/>
      <c r="B98" s="186"/>
      <c r="C98" s="351"/>
      <c r="D98" s="68"/>
      <c r="E98" s="68"/>
      <c r="F98" s="68"/>
      <c r="G98" s="68"/>
      <c r="H98" s="278"/>
      <c r="I98" s="260"/>
      <c r="J98" s="261"/>
      <c r="K98" s="260"/>
      <c r="L98" s="261"/>
      <c r="M98" s="279"/>
      <c r="N98" s="279"/>
      <c r="O98" s="245"/>
      <c r="P98" s="279"/>
      <c r="Q98" s="245"/>
      <c r="R98" s="279"/>
      <c r="S98" s="68"/>
      <c r="T98" s="68"/>
      <c r="U98" s="68"/>
      <c r="V98" s="68"/>
      <c r="W98" s="68"/>
      <c r="X98" s="278"/>
      <c r="Y98" s="260"/>
      <c r="Z98" s="261"/>
      <c r="AA98" s="260"/>
      <c r="AB98" s="261"/>
      <c r="AC98" s="279"/>
      <c r="AD98" s="279"/>
      <c r="AE98" s="245"/>
      <c r="AF98" s="279"/>
      <c r="AG98" s="245"/>
      <c r="AH98" s="279"/>
      <c r="AI98" s="262"/>
      <c r="AJ98" s="279"/>
      <c r="AK98" s="245"/>
      <c r="AL98" s="68"/>
      <c r="AM98" s="68"/>
      <c r="AN98" s="68"/>
      <c r="AO98" s="68"/>
      <c r="AP98" s="68"/>
      <c r="AQ98" s="68"/>
      <c r="AR98" s="68"/>
      <c r="AS98" s="68"/>
      <c r="AT98" s="68"/>
      <c r="AU98" s="68"/>
      <c r="AV98" s="281"/>
      <c r="AW98" s="68"/>
      <c r="AX98" s="68"/>
      <c r="AY98" s="246"/>
      <c r="AZ98" s="33"/>
      <c r="BA98" s="44"/>
      <c r="BB98" s="74"/>
      <c r="BC98" s="34"/>
      <c r="BD98" s="28"/>
    </row>
    <row r="99" spans="1:60" ht="14.15" customHeight="1">
      <c r="A99" s="22"/>
      <c r="B99" s="186">
        <v>35</v>
      </c>
      <c r="C99" s="60" t="s">
        <v>128</v>
      </c>
      <c r="D99" s="310"/>
      <c r="E99" s="63"/>
      <c r="F99" s="63"/>
      <c r="G99" s="63"/>
      <c r="H99" s="63"/>
      <c r="I99" s="63"/>
      <c r="J99" s="352"/>
      <c r="K99" s="352"/>
      <c r="L99" s="352"/>
      <c r="M99" s="352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63"/>
      <c r="AB99" s="63"/>
      <c r="AC99" s="63"/>
      <c r="AD99" s="63"/>
      <c r="AE99" s="63"/>
      <c r="AF99" s="63"/>
      <c r="AG99" s="63"/>
      <c r="AH99" s="63"/>
      <c r="AI99" s="63"/>
      <c r="AJ99" s="63"/>
      <c r="AK99" s="63"/>
      <c r="AL99" s="63"/>
      <c r="AM99" s="63"/>
      <c r="AN99" s="63"/>
      <c r="AO99" s="63"/>
      <c r="AP99" s="63"/>
      <c r="AQ99" s="63"/>
      <c r="AR99" s="63"/>
      <c r="AS99" s="63"/>
      <c r="AT99" s="113"/>
      <c r="AU99" s="63"/>
      <c r="AV99" s="63"/>
      <c r="AW99" s="63"/>
      <c r="AX99" s="63"/>
      <c r="AY99" s="63"/>
      <c r="AZ99" s="33"/>
      <c r="BA99" s="44"/>
      <c r="BB99" s="313"/>
      <c r="BC99" s="314"/>
      <c r="BD99" s="28"/>
      <c r="BG99" s="24"/>
      <c r="BH99" s="28"/>
    </row>
    <row r="100" spans="1:60" ht="14.15" customHeight="1">
      <c r="A100" s="22"/>
      <c r="B100" s="186">
        <v>35</v>
      </c>
      <c r="C100" s="309"/>
      <c r="D100" s="310"/>
      <c r="E100" s="63"/>
      <c r="F100" s="63"/>
      <c r="G100" s="63"/>
      <c r="H100" s="63"/>
      <c r="I100" s="63"/>
      <c r="J100" s="352"/>
      <c r="K100" s="352"/>
      <c r="L100" s="352"/>
      <c r="M100" s="352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  <c r="AA100" s="63"/>
      <c r="AB100" s="63"/>
      <c r="AC100" s="63"/>
      <c r="AD100" s="63"/>
      <c r="AE100" s="63"/>
      <c r="AF100" s="63"/>
      <c r="AG100" s="63"/>
      <c r="AH100" s="63"/>
      <c r="AI100" s="63"/>
      <c r="AJ100" s="63"/>
      <c r="AK100" s="63"/>
      <c r="AL100" s="63"/>
      <c r="AM100" s="63"/>
      <c r="AN100" s="63"/>
      <c r="AO100" s="63"/>
      <c r="AP100" s="63"/>
      <c r="AQ100" s="63"/>
      <c r="AR100" s="63"/>
      <c r="AS100" s="63"/>
      <c r="AT100" s="113"/>
      <c r="AU100" s="63"/>
      <c r="AV100" s="63"/>
      <c r="AW100" s="63"/>
      <c r="AX100" s="63"/>
      <c r="AY100" s="63"/>
      <c r="AZ100" s="33"/>
      <c r="BA100" s="44"/>
      <c r="BB100" s="313"/>
      <c r="BC100" s="314"/>
      <c r="BD100" s="28"/>
      <c r="BG100" s="24"/>
      <c r="BH100" s="28"/>
    </row>
    <row r="101" spans="1:60" ht="14.15" customHeight="1">
      <c r="A101" s="22"/>
      <c r="B101" s="186">
        <v>35</v>
      </c>
      <c r="C101" s="320" t="s">
        <v>133</v>
      </c>
      <c r="D101" s="310"/>
      <c r="E101" s="63"/>
      <c r="F101" s="63"/>
      <c r="G101" s="63"/>
      <c r="H101" s="63"/>
      <c r="I101" s="63"/>
      <c r="J101" s="812"/>
      <c r="K101" s="812"/>
      <c r="L101" s="812"/>
      <c r="M101" s="812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63"/>
      <c r="AB101" s="63"/>
      <c r="AC101" s="63"/>
      <c r="AD101" s="63"/>
      <c r="AE101" s="63"/>
      <c r="AF101" s="63"/>
      <c r="AG101" s="63"/>
      <c r="AH101" s="63"/>
      <c r="AI101" s="63"/>
      <c r="AJ101" s="63"/>
      <c r="AK101" s="63"/>
      <c r="AL101" s="63"/>
      <c r="AM101" s="63"/>
      <c r="AN101" s="63"/>
      <c r="AO101" s="63"/>
      <c r="AP101" s="63"/>
      <c r="AQ101" s="63"/>
      <c r="AR101" s="63"/>
      <c r="AS101" s="63"/>
      <c r="AT101" s="113"/>
      <c r="AU101" s="63"/>
      <c r="AV101" s="63"/>
      <c r="AW101" s="63"/>
      <c r="AX101" s="63"/>
      <c r="AY101" s="63"/>
      <c r="AZ101" s="33"/>
      <c r="BA101" s="44"/>
      <c r="BB101" s="313"/>
      <c r="BC101" s="314"/>
      <c r="BD101" s="28"/>
      <c r="BG101" s="24"/>
      <c r="BH101" s="28"/>
    </row>
    <row r="102" spans="1:60" ht="5.15" customHeight="1">
      <c r="A102" s="22"/>
      <c r="B102" s="186"/>
      <c r="C102" s="277"/>
      <c r="D102" s="68"/>
      <c r="E102" s="68"/>
      <c r="F102" s="68"/>
      <c r="G102" s="68"/>
      <c r="H102" s="278"/>
      <c r="I102" s="260"/>
      <c r="J102" s="261"/>
      <c r="K102" s="260"/>
      <c r="L102" s="261"/>
      <c r="M102" s="279"/>
      <c r="N102" s="279"/>
      <c r="O102" s="245"/>
      <c r="P102" s="279"/>
      <c r="Q102" s="245"/>
      <c r="R102" s="279"/>
      <c r="S102" s="68"/>
      <c r="T102" s="68"/>
      <c r="U102" s="68"/>
      <c r="V102" s="68"/>
      <c r="W102" s="68"/>
      <c r="X102" s="278"/>
      <c r="Y102" s="260"/>
      <c r="Z102" s="261"/>
      <c r="AA102" s="260"/>
      <c r="AB102" s="261"/>
      <c r="AC102" s="279"/>
      <c r="AD102" s="279"/>
      <c r="AE102" s="245"/>
      <c r="AF102" s="279"/>
      <c r="AG102" s="245"/>
      <c r="AH102" s="279"/>
      <c r="AI102" s="262"/>
      <c r="AJ102" s="279"/>
      <c r="AK102" s="245"/>
      <c r="AL102" s="68"/>
      <c r="AM102" s="68"/>
      <c r="AN102" s="68"/>
      <c r="AO102" s="68"/>
      <c r="AP102" s="68"/>
      <c r="AQ102" s="68"/>
      <c r="AR102" s="68"/>
      <c r="AS102" s="68"/>
      <c r="AT102" s="68"/>
      <c r="AU102" s="68"/>
      <c r="AV102" s="281"/>
      <c r="AW102" s="68"/>
      <c r="AX102" s="68"/>
      <c r="AY102" s="247"/>
      <c r="AZ102" s="33"/>
      <c r="BA102" s="44"/>
      <c r="BB102" s="313"/>
      <c r="BC102" s="314"/>
      <c r="BD102" s="28"/>
    </row>
    <row r="103" spans="1:60" ht="13.5" customHeight="1">
      <c r="A103" s="22"/>
      <c r="B103" s="43"/>
      <c r="C103" s="248"/>
      <c r="D103" s="28" t="s">
        <v>134</v>
      </c>
      <c r="E103" s="28"/>
      <c r="F103" s="28"/>
      <c r="G103" s="28"/>
      <c r="H103" s="24"/>
      <c r="I103" s="24"/>
      <c r="J103" s="24"/>
      <c r="K103" s="24"/>
      <c r="L103" s="24"/>
      <c r="M103" s="115"/>
      <c r="N103" s="71"/>
      <c r="O103" s="78"/>
      <c r="P103" s="78"/>
      <c r="Q103" s="79"/>
      <c r="R103" s="71"/>
      <c r="S103" s="71"/>
      <c r="T103" s="71"/>
      <c r="U103" s="78"/>
      <c r="V103" s="79"/>
      <c r="W103" s="71"/>
      <c r="X103" s="63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  <c r="AI103" s="28"/>
      <c r="AJ103" s="28"/>
      <c r="AK103" s="28"/>
      <c r="AL103" s="28"/>
      <c r="AM103" s="31"/>
      <c r="AN103" s="31"/>
      <c r="AO103" s="31"/>
      <c r="AP103" s="31"/>
      <c r="AQ103" s="31"/>
      <c r="AR103" s="31"/>
      <c r="AS103" s="31"/>
      <c r="AT103" s="31"/>
      <c r="AU103" s="31"/>
      <c r="AV103" s="31"/>
      <c r="AW103" s="31"/>
      <c r="AX103" s="63"/>
      <c r="AY103" s="249"/>
      <c r="AZ103" s="33"/>
      <c r="BA103" s="44"/>
      <c r="BB103" s="313"/>
      <c r="BC103" s="314"/>
      <c r="BD103" s="28"/>
      <c r="BE103" s="35"/>
      <c r="BF103" s="35"/>
      <c r="BG103" s="35"/>
    </row>
    <row r="104" spans="1:60" ht="13.5" customHeight="1">
      <c r="A104" s="22"/>
      <c r="B104" s="43"/>
      <c r="C104" s="248"/>
      <c r="D104" s="28"/>
      <c r="E104" s="28"/>
      <c r="F104" s="28"/>
      <c r="G104" s="28"/>
      <c r="H104" s="322" t="s">
        <v>136</v>
      </c>
      <c r="I104" s="119"/>
      <c r="J104" s="119"/>
      <c r="K104" s="119"/>
      <c r="L104" s="120"/>
      <c r="M104" s="120"/>
      <c r="N104" s="97"/>
      <c r="O104" s="121"/>
      <c r="P104" s="122"/>
      <c r="Q104" s="121" t="s">
        <v>135</v>
      </c>
      <c r="R104" s="122"/>
      <c r="S104" s="98"/>
      <c r="T104" s="98"/>
      <c r="U104" s="98"/>
      <c r="V104" s="98"/>
      <c r="W104" s="98"/>
      <c r="X104" s="98"/>
      <c r="Y104" s="98"/>
      <c r="Z104" s="98"/>
      <c r="AA104" s="98"/>
      <c r="AB104" s="98"/>
      <c r="AC104" s="98"/>
      <c r="AD104" s="98"/>
      <c r="AE104" s="98"/>
      <c r="AF104" s="98"/>
      <c r="AG104" s="98"/>
      <c r="AH104" s="98"/>
      <c r="AI104" s="98"/>
      <c r="AJ104" s="98"/>
      <c r="AK104" s="98"/>
      <c r="AL104" s="121" t="s">
        <v>41</v>
      </c>
      <c r="AM104" s="122"/>
      <c r="AN104" s="98"/>
      <c r="AO104" s="31"/>
      <c r="AP104" s="31"/>
      <c r="AQ104" s="31"/>
      <c r="AR104" s="31"/>
      <c r="AS104" s="31"/>
      <c r="AT104" s="31"/>
      <c r="AU104" s="31"/>
      <c r="AV104" s="31"/>
      <c r="AW104" s="31"/>
      <c r="AX104" s="63"/>
      <c r="AY104" s="249"/>
      <c r="AZ104" s="33"/>
      <c r="BA104" s="44"/>
      <c r="BB104" s="313"/>
      <c r="BC104" s="314"/>
      <c r="BD104" s="28"/>
      <c r="BE104" s="35"/>
      <c r="BF104" s="35"/>
      <c r="BG104" s="35"/>
    </row>
    <row r="105" spans="1:60" ht="13.5" customHeight="1">
      <c r="A105" s="22"/>
      <c r="B105" s="43"/>
      <c r="C105" s="248"/>
      <c r="D105" s="28"/>
      <c r="E105" s="28"/>
      <c r="F105" s="28"/>
      <c r="G105" s="28"/>
      <c r="H105" s="360" t="s">
        <v>139</v>
      </c>
      <c r="I105" s="125"/>
      <c r="J105" s="125"/>
      <c r="K105" s="125"/>
      <c r="L105" s="125"/>
      <c r="M105" s="125"/>
      <c r="N105" s="125"/>
      <c r="O105" s="324"/>
      <c r="P105" s="127"/>
      <c r="Q105" s="361" t="s">
        <v>50</v>
      </c>
      <c r="R105" s="127"/>
      <c r="S105" s="99"/>
      <c r="T105" s="99"/>
      <c r="U105" s="99"/>
      <c r="V105" s="140"/>
      <c r="W105" s="101"/>
      <c r="X105" s="101"/>
      <c r="Y105" s="140"/>
      <c r="Z105" s="140"/>
      <c r="AA105" s="101"/>
      <c r="AB105" s="101"/>
      <c r="AC105" s="37"/>
      <c r="AD105" s="37"/>
      <c r="AE105" s="37"/>
      <c r="AF105" s="37"/>
      <c r="AG105" s="37"/>
      <c r="AH105" s="37"/>
      <c r="AI105" s="37"/>
      <c r="AJ105" s="37"/>
      <c r="AK105" s="88"/>
      <c r="AL105" s="128"/>
      <c r="AM105" s="129"/>
      <c r="AN105" s="130"/>
      <c r="AO105" s="31"/>
      <c r="AP105" s="31"/>
      <c r="AQ105" s="31"/>
      <c r="AR105" s="31"/>
      <c r="AS105" s="31"/>
      <c r="AT105" s="31"/>
      <c r="AU105" s="31"/>
      <c r="AV105" s="31"/>
      <c r="AW105" s="31"/>
      <c r="AX105" s="63"/>
      <c r="AY105" s="249"/>
      <c r="AZ105" s="33"/>
      <c r="BA105" s="44"/>
      <c r="BB105" s="313"/>
      <c r="BC105" s="314"/>
      <c r="BD105" s="28"/>
      <c r="BE105" s="35"/>
      <c r="BF105" s="35"/>
      <c r="BG105" s="35"/>
    </row>
    <row r="106" spans="1:60" ht="13.5" customHeight="1">
      <c r="A106" s="22"/>
      <c r="B106" s="43"/>
      <c r="C106" s="248"/>
      <c r="D106" s="28"/>
      <c r="E106" s="28"/>
      <c r="F106" s="28"/>
      <c r="G106" s="28"/>
      <c r="H106" s="360" t="s">
        <v>140</v>
      </c>
      <c r="I106" s="125"/>
      <c r="J106" s="125"/>
      <c r="K106" s="125"/>
      <c r="L106" s="125"/>
      <c r="M106" s="125"/>
      <c r="N106" s="125"/>
      <c r="O106" s="324"/>
      <c r="P106" s="127"/>
      <c r="Q106" s="361" t="s">
        <v>50</v>
      </c>
      <c r="R106" s="127"/>
      <c r="S106" s="99"/>
      <c r="T106" s="99"/>
      <c r="U106" s="99"/>
      <c r="V106" s="140"/>
      <c r="W106" s="101"/>
      <c r="X106" s="101"/>
      <c r="Y106" s="140"/>
      <c r="Z106" s="140"/>
      <c r="AA106" s="101"/>
      <c r="AB106" s="101"/>
      <c r="AC106" s="37"/>
      <c r="AD106" s="37"/>
      <c r="AE106" s="37"/>
      <c r="AF106" s="37"/>
      <c r="AG106" s="37"/>
      <c r="AH106" s="37"/>
      <c r="AI106" s="37"/>
      <c r="AJ106" s="37"/>
      <c r="AK106" s="88"/>
      <c r="AL106" s="128"/>
      <c r="AM106" s="129"/>
      <c r="AN106" s="130"/>
      <c r="AO106" s="31"/>
      <c r="AP106" s="31"/>
      <c r="AQ106" s="31"/>
      <c r="AR106" s="31"/>
      <c r="AS106" s="31"/>
      <c r="AT106" s="31"/>
      <c r="AU106" s="31"/>
      <c r="AV106" s="31"/>
      <c r="AW106" s="31"/>
      <c r="AX106" s="63"/>
      <c r="AY106" s="249"/>
      <c r="AZ106" s="33"/>
      <c r="BA106" s="44"/>
      <c r="BB106" s="313"/>
      <c r="BC106" s="314"/>
      <c r="BD106" s="28"/>
      <c r="BE106" s="35"/>
      <c r="BF106" s="35"/>
      <c r="BG106" s="35"/>
    </row>
    <row r="107" spans="1:60" ht="13.5" customHeight="1">
      <c r="A107" s="22"/>
      <c r="B107" s="43"/>
      <c r="C107" s="248"/>
      <c r="D107" s="28"/>
      <c r="E107" s="28"/>
      <c r="F107" s="28"/>
      <c r="G107" s="28"/>
      <c r="H107" s="360" t="s">
        <v>141</v>
      </c>
      <c r="I107" s="125"/>
      <c r="J107" s="125"/>
      <c r="K107" s="125"/>
      <c r="L107" s="125"/>
      <c r="M107" s="125"/>
      <c r="N107" s="125"/>
      <c r="O107" s="324"/>
      <c r="P107" s="127"/>
      <c r="Q107" s="361" t="s">
        <v>50</v>
      </c>
      <c r="R107" s="127"/>
      <c r="S107" s="99"/>
      <c r="T107" s="99"/>
      <c r="U107" s="99"/>
      <c r="V107" s="140"/>
      <c r="W107" s="101"/>
      <c r="X107" s="101"/>
      <c r="Y107" s="140"/>
      <c r="Z107" s="140"/>
      <c r="AA107" s="101"/>
      <c r="AB107" s="101"/>
      <c r="AC107" s="37"/>
      <c r="AD107" s="37"/>
      <c r="AE107" s="37"/>
      <c r="AF107" s="37"/>
      <c r="AG107" s="37"/>
      <c r="AH107" s="37"/>
      <c r="AI107" s="37"/>
      <c r="AJ107" s="37"/>
      <c r="AK107" s="88"/>
      <c r="AL107" s="128"/>
      <c r="AM107" s="129"/>
      <c r="AN107" s="130"/>
      <c r="AO107" s="31"/>
      <c r="AP107" s="31"/>
      <c r="AQ107" s="31"/>
      <c r="AR107" s="31"/>
      <c r="AS107" s="31"/>
      <c r="AT107" s="31"/>
      <c r="AU107" s="31"/>
      <c r="AV107" s="31"/>
      <c r="AW107" s="31"/>
      <c r="AX107" s="63"/>
      <c r="AY107" s="249"/>
      <c r="AZ107" s="33"/>
      <c r="BA107" s="44"/>
      <c r="BB107" s="313"/>
      <c r="BC107" s="314"/>
      <c r="BD107" s="28"/>
      <c r="BE107" s="35"/>
      <c r="BF107" s="35"/>
      <c r="BG107" s="35"/>
    </row>
    <row r="108" spans="1:60" ht="5.15" customHeight="1">
      <c r="A108" s="22"/>
      <c r="B108" s="186"/>
      <c r="C108" s="296"/>
      <c r="D108" s="69"/>
      <c r="E108" s="69"/>
      <c r="F108" s="69"/>
      <c r="G108" s="69"/>
      <c r="H108" s="297"/>
      <c r="I108" s="257"/>
      <c r="J108" s="255"/>
      <c r="K108" s="257"/>
      <c r="L108" s="255"/>
      <c r="M108" s="298"/>
      <c r="N108" s="298"/>
      <c r="O108" s="252"/>
      <c r="P108" s="298"/>
      <c r="Q108" s="252"/>
      <c r="R108" s="298"/>
      <c r="S108" s="69"/>
      <c r="T108" s="69"/>
      <c r="U108" s="69"/>
      <c r="V108" s="69"/>
      <c r="W108" s="69"/>
      <c r="X108" s="297"/>
      <c r="Y108" s="257"/>
      <c r="Z108" s="255"/>
      <c r="AA108" s="257"/>
      <c r="AB108" s="255"/>
      <c r="AC108" s="298"/>
      <c r="AD108" s="298"/>
      <c r="AE108" s="252"/>
      <c r="AF108" s="298"/>
      <c r="AG108" s="252"/>
      <c r="AH108" s="298"/>
      <c r="AI108" s="258"/>
      <c r="AJ108" s="298"/>
      <c r="AK108" s="252"/>
      <c r="AL108" s="69"/>
      <c r="AM108" s="69"/>
      <c r="AN108" s="69"/>
      <c r="AO108" s="69"/>
      <c r="AP108" s="69"/>
      <c r="AQ108" s="69"/>
      <c r="AR108" s="69"/>
      <c r="AS108" s="69"/>
      <c r="AT108" s="69"/>
      <c r="AU108" s="69"/>
      <c r="AV108" s="299"/>
      <c r="AW108" s="69"/>
      <c r="AX108" s="69"/>
      <c r="AY108" s="259"/>
      <c r="AZ108" s="33"/>
      <c r="BA108" s="44"/>
      <c r="BB108" s="313"/>
      <c r="BC108" s="314"/>
      <c r="BD108" s="28"/>
    </row>
    <row r="109" spans="1:60" ht="14.15" customHeight="1">
      <c r="A109" s="22"/>
      <c r="B109" s="186"/>
      <c r="C109" s="309"/>
      <c r="D109" s="310"/>
      <c r="E109" s="63"/>
      <c r="F109" s="63"/>
      <c r="G109" s="63"/>
      <c r="H109" s="63"/>
      <c r="I109" s="63"/>
      <c r="J109" s="328"/>
      <c r="K109" s="328"/>
      <c r="L109" s="328"/>
      <c r="M109" s="328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63"/>
      <c r="AF109" s="63"/>
      <c r="AG109" s="63"/>
      <c r="AH109" s="63"/>
      <c r="AI109" s="63"/>
      <c r="AJ109" s="63"/>
      <c r="AK109" s="63"/>
      <c r="AL109" s="63"/>
      <c r="AM109" s="63"/>
      <c r="AN109" s="63"/>
      <c r="AO109" s="63"/>
      <c r="AP109" s="63"/>
      <c r="AQ109" s="63"/>
      <c r="AR109" s="63"/>
      <c r="AS109" s="63"/>
      <c r="AT109" s="113"/>
      <c r="AU109" s="63"/>
      <c r="AV109" s="63"/>
      <c r="AW109" s="63"/>
      <c r="AX109" s="63"/>
      <c r="AY109" s="63"/>
      <c r="AZ109" s="33"/>
      <c r="BA109" s="44"/>
      <c r="BB109" s="313"/>
      <c r="BC109" s="314"/>
      <c r="BD109" s="28"/>
      <c r="BG109" s="24"/>
      <c r="BH109" s="28"/>
    </row>
    <row r="110" spans="1:60" ht="13.5" customHeight="1">
      <c r="A110" s="22"/>
      <c r="B110" s="186">
        <v>36</v>
      </c>
      <c r="C110" s="309"/>
      <c r="D110" s="310"/>
      <c r="E110" s="63"/>
      <c r="F110" s="63"/>
      <c r="G110" s="63"/>
      <c r="H110" s="63"/>
      <c r="I110" s="63"/>
      <c r="J110" s="812"/>
      <c r="K110" s="812"/>
      <c r="L110" s="812"/>
      <c r="M110" s="812"/>
      <c r="N110" s="61"/>
      <c r="O110" s="63"/>
      <c r="P110" s="63"/>
      <c r="Q110" s="63"/>
      <c r="R110" s="28"/>
      <c r="S110" s="28"/>
      <c r="T110" s="31"/>
      <c r="U110" s="31"/>
      <c r="V110" s="31"/>
      <c r="W110" s="31"/>
      <c r="X110" s="31"/>
      <c r="Y110" s="42"/>
      <c r="Z110" s="31"/>
      <c r="AA110" s="28"/>
      <c r="AB110" s="42"/>
      <c r="AC110" s="31"/>
      <c r="AD110" s="28"/>
      <c r="AE110" s="42"/>
      <c r="AF110" s="28"/>
      <c r="AG110" s="106"/>
      <c r="AH110" s="39"/>
      <c r="AI110" s="106"/>
      <c r="AJ110" s="106"/>
      <c r="AK110" s="106"/>
      <c r="AL110" s="106"/>
      <c r="AM110" s="106"/>
      <c r="AN110" s="106"/>
      <c r="AO110" s="106"/>
      <c r="AP110" s="106"/>
      <c r="AQ110" s="106"/>
      <c r="AR110" s="106"/>
      <c r="AS110" s="106"/>
      <c r="AT110" s="106"/>
      <c r="AU110" s="106"/>
      <c r="AV110" s="106"/>
      <c r="AW110" s="106"/>
      <c r="AX110" s="106"/>
      <c r="AY110" s="106"/>
      <c r="AZ110" s="33"/>
      <c r="BA110" s="44"/>
      <c r="BB110" s="313"/>
      <c r="BC110" s="314"/>
      <c r="BD110" s="28"/>
      <c r="BG110" s="24"/>
      <c r="BH110" s="28"/>
    </row>
    <row r="111" spans="1:60" ht="13.5" customHeight="1">
      <c r="A111" s="22"/>
      <c r="B111" s="186">
        <v>37</v>
      </c>
      <c r="C111" s="309"/>
      <c r="D111" s="310"/>
      <c r="E111" s="63"/>
      <c r="F111" s="63"/>
      <c r="G111" s="63"/>
      <c r="H111" s="63"/>
      <c r="I111" s="63"/>
      <c r="J111" s="812"/>
      <c r="K111" s="812"/>
      <c r="L111" s="812"/>
      <c r="M111" s="812"/>
      <c r="N111" s="177"/>
      <c r="O111" s="179"/>
      <c r="P111" s="177"/>
      <c r="Q111" s="178"/>
      <c r="R111" s="178"/>
      <c r="S111" s="178"/>
      <c r="T111" s="180"/>
      <c r="U111" s="180"/>
      <c r="V111" s="180"/>
      <c r="W111" s="180"/>
      <c r="X111" s="180"/>
      <c r="Y111" s="179"/>
      <c r="Z111" s="180"/>
      <c r="AA111" s="178"/>
      <c r="AB111" s="179"/>
      <c r="AC111" s="180"/>
      <c r="AD111" s="178"/>
      <c r="AE111" s="179"/>
      <c r="AF111" s="178"/>
      <c r="AG111" s="178"/>
      <c r="AH111" s="179"/>
      <c r="AI111" s="178"/>
      <c r="AJ111" s="178"/>
      <c r="AK111" s="181"/>
      <c r="AL111" s="178"/>
      <c r="AM111" s="178"/>
      <c r="AN111" s="178"/>
      <c r="AO111" s="178"/>
      <c r="AP111" s="178"/>
      <c r="AQ111" s="178"/>
      <c r="AR111" s="178"/>
      <c r="AS111" s="178"/>
      <c r="AT111" s="178"/>
      <c r="AU111" s="178"/>
      <c r="AV111" s="178"/>
      <c r="AW111" s="178"/>
      <c r="AX111" s="178"/>
      <c r="AY111" s="178"/>
      <c r="AZ111" s="33"/>
      <c r="BA111" s="44"/>
      <c r="BB111" s="313"/>
      <c r="BC111" s="314"/>
      <c r="BD111" s="28"/>
      <c r="BG111" s="24"/>
      <c r="BH111" s="28"/>
    </row>
    <row r="112" spans="1:60">
      <c r="A112" s="22"/>
      <c r="B112" s="32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76"/>
      <c r="T112" s="76"/>
      <c r="U112" s="76"/>
      <c r="V112" s="76"/>
      <c r="W112" s="28"/>
      <c r="X112" s="28"/>
      <c r="Y112" s="76"/>
      <c r="Z112" s="76"/>
      <c r="AA112" s="28"/>
      <c r="AB112" s="28"/>
      <c r="AC112" s="28"/>
      <c r="AD112" s="76"/>
      <c r="AE112" s="76"/>
      <c r="AF112" s="76"/>
      <c r="AG112" s="76"/>
      <c r="AH112" s="76"/>
      <c r="AI112" s="76"/>
      <c r="AJ112" s="76"/>
      <c r="AK112" s="76"/>
      <c r="AL112" s="76"/>
      <c r="AM112" s="76"/>
      <c r="AN112" s="76"/>
      <c r="AO112" s="76"/>
      <c r="AP112" s="76"/>
      <c r="AQ112" s="76"/>
      <c r="AR112" s="76"/>
      <c r="AS112" s="76"/>
      <c r="AT112" s="76"/>
      <c r="AU112" s="76"/>
      <c r="AV112" s="76"/>
      <c r="AW112" s="76"/>
      <c r="AX112" s="76"/>
      <c r="AY112" s="31"/>
      <c r="AZ112" s="33"/>
      <c r="BA112" s="44"/>
      <c r="BB112" s="313"/>
      <c r="BC112" s="314"/>
    </row>
    <row r="113" spans="1:55">
      <c r="A113" s="139"/>
      <c r="B113" s="87"/>
      <c r="C113" s="101"/>
      <c r="D113" s="101"/>
      <c r="E113" s="101"/>
      <c r="F113" s="101"/>
      <c r="G113" s="101"/>
      <c r="H113" s="101"/>
      <c r="I113" s="101"/>
      <c r="J113" s="101"/>
      <c r="K113" s="101"/>
      <c r="L113" s="101"/>
      <c r="M113" s="101"/>
      <c r="N113" s="101"/>
      <c r="O113" s="101"/>
      <c r="P113" s="101"/>
      <c r="Q113" s="101"/>
      <c r="R113" s="101"/>
      <c r="S113" s="140"/>
      <c r="T113" s="140"/>
      <c r="U113" s="140"/>
      <c r="V113" s="140"/>
      <c r="W113" s="101"/>
      <c r="X113" s="101"/>
      <c r="Y113" s="140"/>
      <c r="Z113" s="140"/>
      <c r="AA113" s="101"/>
      <c r="AB113" s="101"/>
      <c r="AC113" s="101"/>
      <c r="AD113" s="140"/>
      <c r="AE113" s="140"/>
      <c r="AF113" s="140"/>
      <c r="AG113" s="140"/>
      <c r="AH113" s="140"/>
      <c r="AI113" s="140"/>
      <c r="AJ113" s="140"/>
      <c r="AK113" s="140"/>
      <c r="AL113" s="140"/>
      <c r="AM113" s="140"/>
      <c r="AN113" s="140"/>
      <c r="AO113" s="140"/>
      <c r="AP113" s="140"/>
      <c r="AQ113" s="140"/>
      <c r="AR113" s="140"/>
      <c r="AS113" s="140"/>
      <c r="AT113" s="140"/>
      <c r="AU113" s="140"/>
      <c r="AV113" s="140"/>
      <c r="AW113" s="140"/>
      <c r="AX113" s="140"/>
      <c r="AY113" s="87"/>
      <c r="AZ113" s="87"/>
      <c r="BA113" s="141"/>
      <c r="BB113" s="329"/>
      <c r="BC113" s="330"/>
    </row>
  </sheetData>
  <mergeCells count="107">
    <mergeCell ref="BE67:BH67"/>
    <mergeCell ref="BE68:BH68"/>
    <mergeCell ref="AF68:AJ68"/>
    <mergeCell ref="AK68:AN68"/>
    <mergeCell ref="AO68:AR68"/>
    <mergeCell ref="AS68:AV68"/>
    <mergeCell ref="AW68:AZ68"/>
    <mergeCell ref="AS71:AV71"/>
    <mergeCell ref="AW71:AZ71"/>
    <mergeCell ref="BA71:BD71"/>
    <mergeCell ref="BE71:BH71"/>
    <mergeCell ref="AF71:AJ71"/>
    <mergeCell ref="AK71:AN71"/>
    <mergeCell ref="AO71:AR71"/>
    <mergeCell ref="J110:M110"/>
    <mergeCell ref="J111:M111"/>
    <mergeCell ref="J77:M77"/>
    <mergeCell ref="J84:M84"/>
    <mergeCell ref="BE72:BH72"/>
    <mergeCell ref="BD73:BF73"/>
    <mergeCell ref="J85:M85"/>
    <mergeCell ref="J87:M87"/>
    <mergeCell ref="J93:M93"/>
    <mergeCell ref="J101:M101"/>
    <mergeCell ref="X72:AA72"/>
    <mergeCell ref="AB72:AE72"/>
    <mergeCell ref="AF72:AJ72"/>
    <mergeCell ref="AK72:AN72"/>
    <mergeCell ref="AO72:AR72"/>
    <mergeCell ref="AS64:AV64"/>
    <mergeCell ref="AS72:AV72"/>
    <mergeCell ref="AW72:AZ72"/>
    <mergeCell ref="BA72:BD72"/>
    <mergeCell ref="X68:AA68"/>
    <mergeCell ref="AB68:AE68"/>
    <mergeCell ref="BA68:BD68"/>
    <mergeCell ref="X64:AA64"/>
    <mergeCell ref="AB64:AE64"/>
    <mergeCell ref="AF64:AJ64"/>
    <mergeCell ref="AK64:AN64"/>
    <mergeCell ref="AO64:AR64"/>
    <mergeCell ref="X67:AA67"/>
    <mergeCell ref="AB67:AE67"/>
    <mergeCell ref="AF67:AJ67"/>
    <mergeCell ref="AK67:AN67"/>
    <mergeCell ref="AO67:AR67"/>
    <mergeCell ref="AS67:AV67"/>
    <mergeCell ref="AW67:AZ67"/>
    <mergeCell ref="BA67:BD67"/>
    <mergeCell ref="X71:AA71"/>
    <mergeCell ref="AB71:AE71"/>
    <mergeCell ref="BQ64:BT64"/>
    <mergeCell ref="BU64:BX64"/>
    <mergeCell ref="BY64:CA64"/>
    <mergeCell ref="AW64:AZ64"/>
    <mergeCell ref="BA64:BD64"/>
    <mergeCell ref="BE64:BH64"/>
    <mergeCell ref="BI64:BL64"/>
    <mergeCell ref="BM64:BP64"/>
    <mergeCell ref="BG52:BI52"/>
    <mergeCell ref="BM58:BP58"/>
    <mergeCell ref="BG51:BI51"/>
    <mergeCell ref="R52:U52"/>
    <mergeCell ref="Z52:AD52"/>
    <mergeCell ref="AI52:AL52"/>
    <mergeCell ref="AM52:AP52"/>
    <mergeCell ref="AQ52:AT52"/>
    <mergeCell ref="AU52:AX52"/>
    <mergeCell ref="AY52:BB52"/>
    <mergeCell ref="BC52:BF52"/>
    <mergeCell ref="AV3:AY3"/>
    <mergeCell ref="A5:BA5"/>
    <mergeCell ref="BB5:BC5"/>
    <mergeCell ref="R51:U51"/>
    <mergeCell ref="Z51:AD51"/>
    <mergeCell ref="AI51:AL51"/>
    <mergeCell ref="AM51:AP51"/>
    <mergeCell ref="AQ51:AT51"/>
    <mergeCell ref="AU51:AX51"/>
    <mergeCell ref="AY51:BB51"/>
    <mergeCell ref="H42:L42"/>
    <mergeCell ref="H43:L43"/>
    <mergeCell ref="BC51:BF51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V2:AY2"/>
    <mergeCell ref="AZ2:BC3"/>
    <mergeCell ref="A3:H3"/>
    <mergeCell ref="I3:L3"/>
    <mergeCell ref="M3:W3"/>
    <mergeCell ref="X3:Z3"/>
    <mergeCell ref="AA3:AR3"/>
    <mergeCell ref="AS3:AU3"/>
  </mergeCells>
  <phoneticPr fontId="55"/>
  <conditionalFormatting sqref="AK67:AV68">
    <cfRule type="cellIs" dxfId="5" priority="3" operator="lessThan">
      <formula>0</formula>
    </cfRule>
  </conditionalFormatting>
  <conditionalFormatting sqref="AK71:AV72">
    <cfRule type="cellIs" dxfId="4" priority="2" operator="lessThan">
      <formula>0</formula>
    </cfRule>
  </conditionalFormatting>
  <conditionalFormatting sqref="BA64:BD64">
    <cfRule type="cellIs" dxfId="3" priority="15" operator="lessThan">
      <formula>0</formula>
    </cfRule>
  </conditionalFormatting>
  <conditionalFormatting sqref="BE67:BH68">
    <cfRule type="cellIs" dxfId="2" priority="4" operator="lessThan">
      <formula>0.3</formula>
    </cfRule>
  </conditionalFormatting>
  <conditionalFormatting sqref="BE71:BH72">
    <cfRule type="cellIs" dxfId="1" priority="1" operator="lessThan">
      <formula>0.3</formula>
    </cfRule>
  </conditionalFormatting>
  <conditionalFormatting sqref="BM64:BP64">
    <cfRule type="cellIs" dxfId="0" priority="10" operator="lessThan">
      <formula>0.3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8</vt:i4>
      </vt:variant>
      <vt:variant>
        <vt:lpstr>名前付き一覧</vt:lpstr>
      </vt:variant>
      <vt:variant>
        <vt:i4>7</vt:i4>
      </vt:variant>
    </vt:vector>
  </HeadingPairs>
  <TitlesOfParts>
    <vt:vector size="15" baseType="lpstr">
      <vt:lpstr>表紙</vt:lpstr>
      <vt:lpstr>変更来歴</vt:lpstr>
      <vt:lpstr>管理者申請ログ確認画面</vt:lpstr>
      <vt:lpstr>化学物質データ申請完了画面(仮)</vt:lpstr>
      <vt:lpstr>管理者申請ログ確認画面(仮)</vt:lpstr>
      <vt:lpstr>画面項目</vt:lpstr>
      <vt:lpstr>画面状態</vt:lpstr>
      <vt:lpstr>外貨(コリア原計)</vt:lpstr>
      <vt:lpstr>'化学物質データ申請完了画面(仮)'!Print_Area</vt:lpstr>
      <vt:lpstr>画面項目!Print_Area</vt:lpstr>
      <vt:lpstr>画面状態!Print_Area</vt:lpstr>
      <vt:lpstr>'外貨(コリア原計)'!Print_Area</vt:lpstr>
      <vt:lpstr>管理者申請ログ確認画面!Print_Area</vt:lpstr>
      <vt:lpstr>'管理者申請ログ確認画面(仮)'!Print_Area</vt:lpstr>
      <vt:lpstr>表紙!Print_Area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kenmotsu</dc:creator>
  <cp:lastModifiedBy>アクティビティ アメージング</cp:lastModifiedBy>
  <cp:lastPrinted>2021-03-22T08:18:14Z</cp:lastPrinted>
  <dcterms:created xsi:type="dcterms:W3CDTF">2016-02-08T08:47:20Z</dcterms:created>
  <dcterms:modified xsi:type="dcterms:W3CDTF">2026-05-18T09:09:50Z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a0e77a3f-1e47-464d-ae6f-7268240382e6</vt:lpwstr>
  </property>
</Properties>
</file>