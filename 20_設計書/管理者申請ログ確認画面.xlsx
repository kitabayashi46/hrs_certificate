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638F5EF3-929E-4439-A0B0-39E935E28E2C}" xr6:coauthVersionLast="47" xr6:coauthVersionMax="47" xr10:uidLastSave="{00000000-0000-0000-0000-000000000000}"/>
  <bookViews>
    <workbookView xWindow="31950" yWindow="165" windowWidth="25725" windowHeight="15975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画面項目" sheetId="71" r:id="rId4"/>
    <sheet name="処理詳細" sheetId="75" r:id="rId5"/>
  </sheets>
  <definedNames>
    <definedName name="_2a1_" localSheetId="4" hidden="1">{"'Sheet1'!$A$3:$I$11"}</definedName>
    <definedName name="_2a1_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4" hidden="1">{"'Sheet1'!$A$3:$I$11"}</definedName>
    <definedName name="a" hidden="1">{"'Sheet1'!$A$3:$I$11"}</definedName>
    <definedName name="AAA" localSheetId="4" hidden="1">{"'Sheet1'!$A$3:$I$11"}</definedName>
    <definedName name="AAA" hidden="1">{"'Sheet1'!$A$3:$I$11"}</definedName>
    <definedName name="aaaa" localSheetId="4" hidden="1">{"'Sheet1'!$A$3:$I$11"}</definedName>
    <definedName name="aaaa" hidden="1">{"'Sheet1'!$A$3:$I$11"}</definedName>
    <definedName name="b" localSheetId="4" hidden="1">{"'Sheet1'!$A$3:$I$11"}</definedName>
    <definedName name="b" hidden="1">{"'Sheet1'!$A$3:$I$11"}</definedName>
    <definedName name="bb" localSheetId="4" hidden="1">{"'Sheet1'!$A$3:$I$11"}</definedName>
    <definedName name="bb" hidden="1">{"'Sheet1'!$A$3:$I$11"}</definedName>
    <definedName name="bbb" localSheetId="4" hidden="1">{"'Sheet1'!$A$3:$I$11"}</definedName>
    <definedName name="bbb" hidden="1">{"'Sheet1'!$A$3:$I$11"}</definedName>
    <definedName name="bbbb" localSheetId="4" hidden="1">{"'Sheet1'!$A$3:$I$11"}</definedName>
    <definedName name="bbbb" hidden="1">{"'Sheet1'!$A$3:$I$11"}</definedName>
    <definedName name="f" localSheetId="4" hidden="1">{"'Sheet1'!$A$3:$I$11"}</definedName>
    <definedName name="f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4" hidden="1">{"'Sheet1'!$A$3:$I$11"}</definedName>
    <definedName name="HTML_Control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4" hidden="1">{"'Sheet1'!$A$3:$I$11"}</definedName>
    <definedName name="i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4" hidden="1">{"'Sheet1'!$A$3:$I$11"}</definedName>
    <definedName name="ooo" hidden="1">{"'Sheet1'!$A$3:$I$11"}</definedName>
    <definedName name="_xlnm.Print_Area" localSheetId="3">画面項目!$A$1:$CB$32</definedName>
    <definedName name="_xlnm.Print_Area" localSheetId="2">管理者申請ログ確認画面!$A$1:$BC$59</definedName>
    <definedName name="_xlnm.Print_Area" localSheetId="4">処理詳細!$A$1:$CH$35</definedName>
    <definedName name="_xlnm.Print_Area" localSheetId="0">表紙!$A$1:$I$36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4" hidden="1">{"'Sheet1'!$A$3:$I$11"}</definedName>
    <definedName name="vvvv" hidden="1">{"'Sheet1'!$A$3:$I$11"}</definedName>
    <definedName name="wew" localSheetId="4" hidden="1">{"'Sheet1'!$A$3:$I$11"}</definedName>
    <definedName name="wew" hidden="1">{"'Sheet1'!$A$3:$I$11"}</definedName>
    <definedName name="ああ" localSheetId="4" hidden="1">{"'Sheet1'!$A$3:$I$11"}</definedName>
    <definedName name="ああ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3" i="73"/>
  <c r="AN2" i="73"/>
  <c r="AV2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AA25B527-EBC0-4C2F-BB81-3872D917A179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B8865F23-4681-472C-BBB2-057DB886CE3E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<sst xmlns="http://schemas.openxmlformats.org/spreadsheetml/2006/main" count="175" uniqueCount="137">
  <si>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</si>
  <si>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</si>
  <si>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</si>
  <si>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</si>
  <si>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</si>
  <si>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</si>
  <si>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</si>
  <si>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</si>
  <si>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</si>
  <si>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</si>
  <si>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</si>
  <si>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</si>
  <si>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</si>
  <si>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</si>
  <si>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</si>
  <si>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</si>
  <si>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</si>
  <si>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</si>
  <si>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</si>
  <si>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</si>
  <si>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</si>
  <si>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</si>
  <si>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</si>
  <si>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</si>
  <si>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</si>
  <si>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</si>
  <si>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</si>
  <si>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</si>
  <si>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</si>
  <si>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IMWF-53</t>
    <phoneticPr fontId="51"/>
  </si>
  <si>
    <t>ｒ1.0</t>
    <phoneticPr fontId="51"/>
  </si>
  <si>
    <t>古竹</t>
    <rPh sb="0" eb="2">
      <t>フルタケ</t>
    </rPh>
    <phoneticPr fontId="5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</si>
  <si>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</si>
  <si>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</si>
  <si>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</si>
  <si>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</si>
  <si>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</si>
  <si>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</si>
  <si>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</si>
  <si>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</si>
  <si>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環境証明書申請</t>
    <rPh sb="0" eb="5">
      <t>カンキョウショウメイショ</t>
    </rPh>
    <rPh sb="5" eb="7">
      <t>シンセイ</t>
    </rPh>
    <phoneticPr fontId="55"/>
  </si>
  <si>
    <t>　古賀 敬子［kkoga@daitron.co.jp］</t>
    <rPh sb="1" eb="3">
      <t>コガ</t>
    </rPh>
    <rPh sb="4" eb="6">
      <t>ケイコ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</si>
  <si>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</si>
  <si>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</si>
  <si>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</si>
  <si>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</si>
  <si>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</si>
  <si>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</si>
  <si>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</si>
  <si>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</si>
  <si>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</si>
  <si>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</si>
  <si>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</si>
  <si>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</si>
  <si>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</si>
  <si>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</si>
  <si>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</si>
  <si>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</si>
  <si>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</si>
  <si>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</si>
  <si>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</si>
  <si>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</si>
  <si>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</si>
  <si>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</si>
  <si>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</si>
  <si>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</si>
  <si>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</si>
  <si>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</si>
  <si>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</si>
  <si>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</si>
  <si>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</si>
  <si>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</si>
  <si>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</si>
  <si>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</si>
  <si>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</si>
  <si>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</si>
  <si>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RoHS適合証明書</t>
    <rPh sb="4" eb="6">
      <t>テキゴウ</t>
    </rPh>
    <rPh sb="6" eb="8">
      <t>ショウメイ</t>
    </rPh>
    <rPh sb="8" eb="9">
      <t>ショ</t>
    </rPh>
    <phoneticPr fontId="57"/>
  </si>
  <si>
    <t>環境証明書申請状況詳細エリア</t>
    <phoneticPr fontId="55"/>
  </si>
  <si>
    <t>ハロゲンフリー証明書</t>
    <rPh sb="7" eb="10">
      <t>ショウメイショ</t>
    </rPh>
    <phoneticPr fontId="57"/>
  </si>
  <si>
    <t>申請者</t>
    <rPh sb="0" eb="3">
      <t>シンセイシャ</t>
    </rPh>
    <phoneticPr fontId="55"/>
  </si>
  <si>
    <t>SVHC調査報告書</t>
    <phoneticPr fontId="55"/>
  </si>
  <si>
    <t>提出先企業名</t>
    <phoneticPr fontId="57"/>
  </si>
  <si>
    <t>エンドユーザー</t>
    <phoneticPr fontId="57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</si>
  <si>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</si>
  <si>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</si>
  <si>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</si>
  <si>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</si>
  <si>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</si>
  <si>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</si>
  <si>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7"/>
  </si>
  <si>
    <t>提出企業名</t>
    <rPh sb="0" eb="5">
      <t>テイシュツキギョウメイ</t>
    </rPh>
    <phoneticPr fontId="57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</si>
  <si>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</si>
  <si>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管理者ログ確認システム</t>
    <rPh sb="0" eb="3">
      <t>カンリシャ</t>
    </rPh>
    <rPh sb="5" eb="7">
      <t>カクニン</t>
    </rPh>
    <phoneticPr fontId="51"/>
  </si>
  <si>
    <t>管理画面</t>
    <rPh sb="0" eb="4">
      <t>カンリガメン</t>
    </rPh>
    <phoneticPr fontId="51"/>
  </si>
  <si>
    <t>ｒ1.1</t>
    <phoneticPr fontId="51"/>
  </si>
  <si>
    <t>期間指定申請ログ検索欄を追加</t>
    <rPh sb="0" eb="2">
      <t>キカン</t>
    </rPh>
    <rPh sb="2" eb="4">
      <t>シテイ</t>
    </rPh>
    <rPh sb="4" eb="6">
      <t>シンセイ</t>
    </rPh>
    <rPh sb="8" eb="10">
      <t>ケンサク</t>
    </rPh>
    <rPh sb="10" eb="11">
      <t>ラン</t>
    </rPh>
    <rPh sb="12" eb="14">
      <t>ツイカ</t>
    </rPh>
    <phoneticPr fontId="51"/>
  </si>
  <si>
    <t>管理者申請ログ確認画面</t>
    <phoneticPr fontId="51"/>
  </si>
  <si>
    <t>新環境証明書システム</t>
    <rPh sb="0" eb="6">
      <t>シンカンキョウショウメイショ</t>
    </rPh>
    <phoneticPr fontId="51"/>
  </si>
  <si>
    <t>指定期間申請ログ検索欄</t>
    <rPh sb="0" eb="2">
      <t>シテイ</t>
    </rPh>
    <rPh sb="2" eb="4">
      <t>キカン</t>
    </rPh>
    <rPh sb="4" eb="6">
      <t>シンセイ</t>
    </rPh>
    <rPh sb="8" eb="10">
      <t>ケンサク</t>
    </rPh>
    <rPh sb="10" eb="11">
      <t>ラン</t>
    </rPh>
    <phoneticPr fontId="55"/>
  </si>
  <si>
    <t>1.2</t>
    <phoneticPr fontId="55"/>
  </si>
  <si>
    <t>2.10</t>
    <phoneticPr fontId="55"/>
  </si>
  <si>
    <t>導出元
(Source)</t>
    <rPh sb="0" eb="3">
      <t>ドウシュツモト</t>
    </rPh>
    <phoneticPr fontId="13"/>
  </si>
  <si>
    <t>入力した期間内のログを表示する</t>
    <rPh sb="0" eb="2">
      <t>ニュウリョク</t>
    </rPh>
    <rPh sb="4" eb="7">
      <t>キカンナイ</t>
    </rPh>
    <rPh sb="11" eb="13">
      <t>ヒョウジ</t>
    </rPh>
    <phoneticPr fontId="55"/>
  </si>
  <si>
    <t>証明書申請 ユーザーコード</t>
    <rPh sb="0" eb="3">
      <t>ショウメイショ</t>
    </rPh>
    <rPh sb="3" eb="5">
      <t>シンセイ</t>
    </rPh>
    <phoneticPr fontId="55"/>
  </si>
  <si>
    <t>証明書申請 受付番号</t>
    <rPh sb="0" eb="3">
      <t>ショウメイショ</t>
    </rPh>
    <rPh sb="3" eb="5">
      <t>シンセイ</t>
    </rPh>
    <rPh sb="6" eb="10">
      <t>ウケツケバンゴウ</t>
    </rPh>
    <phoneticPr fontId="55"/>
  </si>
  <si>
    <t>証明書申請 提出先企業名</t>
    <rPh sb="0" eb="3">
      <t>ショウメイショ</t>
    </rPh>
    <rPh sb="3" eb="5">
      <t>シンセイ</t>
    </rPh>
    <rPh sb="6" eb="12">
      <t>テイシュツサキキギョウメイ</t>
    </rPh>
    <phoneticPr fontId="55"/>
  </si>
  <si>
    <t>証明書申請 エンドユーザー</t>
    <rPh sb="0" eb="3">
      <t>ショウメイショ</t>
    </rPh>
    <rPh sb="3" eb="5">
      <t>シンセイ</t>
    </rPh>
    <phoneticPr fontId="55"/>
  </si>
  <si>
    <t>証明書申請 ステータス</t>
    <rPh sb="0" eb="3">
      <t>ショウメイショ</t>
    </rPh>
    <rPh sb="3" eb="5">
      <t>シンセイ</t>
    </rPh>
    <phoneticPr fontId="55"/>
  </si>
  <si>
    <t>証明書申請 申請日</t>
    <rPh sb="0" eb="3">
      <t>ショウメイショ</t>
    </rPh>
    <rPh sb="3" eb="5">
      <t>シンセイ</t>
    </rPh>
    <rPh sb="6" eb="9">
      <t>シンセイビ</t>
    </rPh>
    <phoneticPr fontId="55"/>
  </si>
  <si>
    <t>証明書申請入力 CLコード</t>
    <rPh sb="0" eb="3">
      <t>ショウメイショ</t>
    </rPh>
    <rPh sb="3" eb="5">
      <t>シンセイ</t>
    </rPh>
    <rPh sb="5" eb="7">
      <t>ニュウリョク</t>
    </rPh>
    <phoneticPr fontId="55"/>
  </si>
  <si>
    <t>証明書申請入力 RoHS適合証明書</t>
    <rPh sb="0" eb="3">
      <t>ショウメイショ</t>
    </rPh>
    <rPh sb="3" eb="5">
      <t>シンセイ</t>
    </rPh>
    <rPh sb="5" eb="7">
      <t>ニュウリョク</t>
    </rPh>
    <rPh sb="12" eb="17">
      <t>テキゴウショウメイショ</t>
    </rPh>
    <phoneticPr fontId="55"/>
  </si>
  <si>
    <t>証明書申請入力 ハロゲンフリー証明書</t>
    <rPh sb="0" eb="3">
      <t>ショウメイショ</t>
    </rPh>
    <rPh sb="3" eb="5">
      <t>シンセイ</t>
    </rPh>
    <rPh sb="5" eb="7">
      <t>ニュウリョク</t>
    </rPh>
    <rPh sb="15" eb="18">
      <t>ショウメイショ</t>
    </rPh>
    <phoneticPr fontId="55"/>
  </si>
  <si>
    <t>証明書申請入力 成分表</t>
    <rPh sb="0" eb="3">
      <t>ショウメイショ</t>
    </rPh>
    <rPh sb="3" eb="5">
      <t>シンセイ</t>
    </rPh>
    <rPh sb="5" eb="7">
      <t>ニュウリョク</t>
    </rPh>
    <rPh sb="8" eb="11">
      <t>セイブンヒョウ</t>
    </rPh>
    <phoneticPr fontId="55"/>
  </si>
  <si>
    <t>証明書申請入力 ICP</t>
    <rPh sb="0" eb="3">
      <t>ショウメイショ</t>
    </rPh>
    <rPh sb="3" eb="5">
      <t>シンセイ</t>
    </rPh>
    <rPh sb="5" eb="7">
      <t>ニュウリョク</t>
    </rPh>
    <phoneticPr fontId="55"/>
  </si>
  <si>
    <t>証明書申請入力 SDS</t>
    <rPh sb="0" eb="3">
      <t>ショウメイショ</t>
    </rPh>
    <rPh sb="3" eb="5">
      <t>シンセイ</t>
    </rPh>
    <rPh sb="5" eb="7">
      <t>ニュウリョク</t>
    </rPh>
    <phoneticPr fontId="55"/>
  </si>
  <si>
    <t>証明書申請入力 chemSHERPA</t>
    <rPh sb="0" eb="3">
      <t>ショウメイショ</t>
    </rPh>
    <rPh sb="3" eb="5">
      <t>シンセイ</t>
    </rPh>
    <rPh sb="5" eb="7">
      <t>ニュウリョク</t>
    </rPh>
    <phoneticPr fontId="55"/>
  </si>
  <si>
    <t>証明書申請入力 SVHC調査報告書</t>
    <rPh sb="0" eb="3">
      <t>ショウメイショ</t>
    </rPh>
    <rPh sb="3" eb="5">
      <t>シンセイ</t>
    </rPh>
    <rPh sb="5" eb="7">
      <t>ニュウリョク</t>
    </rPh>
    <rPh sb="12" eb="17">
      <t>チョウサホウコクショ</t>
    </rPh>
    <phoneticPr fontId="55"/>
  </si>
  <si>
    <t>フォーマット
(Format)</t>
    <phoneticPr fontId="13"/>
  </si>
  <si>
    <t>処理詳細</t>
    <rPh sb="0" eb="2">
      <t>ショリ</t>
    </rPh>
    <rPh sb="2" eb="4">
      <t>ショウサイ</t>
    </rPh>
    <phoneticPr fontId="13"/>
  </si>
  <si>
    <t>1.3</t>
  </si>
  <si>
    <t>1.4</t>
  </si>
  <si>
    <t>1.5</t>
  </si>
  <si>
    <t>1.6</t>
  </si>
  <si>
    <t>1.7</t>
  </si>
  <si>
    <t>1.8</t>
  </si>
  <si>
    <t>1.9</t>
    <phoneticPr fontId="55"/>
  </si>
  <si>
    <t>申請者ログ検索欄</t>
    <rPh sb="0" eb="2">
      <t>シンセイ</t>
    </rPh>
    <rPh sb="2" eb="3">
      <t>シャ</t>
    </rPh>
    <rPh sb="5" eb="7">
      <t>ケンサク</t>
    </rPh>
    <rPh sb="7" eb="8">
      <t>ラン</t>
    </rPh>
    <phoneticPr fontId="55"/>
  </si>
  <si>
    <t>ログ検索ボタン</t>
    <rPh sb="2" eb="4">
      <t>ケンサク</t>
    </rPh>
    <phoneticPr fontId="55"/>
  </si>
  <si>
    <t>申請者ログ検索欄または指定期間申請ログ検索欄に入力後、検索ボタン押下で対象を絞り込む</t>
    <rPh sb="0" eb="3">
      <t>シンセイシャ</t>
    </rPh>
    <rPh sb="5" eb="7">
      <t>ケンサク</t>
    </rPh>
    <rPh sb="7" eb="8">
      <t>ラン</t>
    </rPh>
    <rPh sb="23" eb="26">
      <t>ニュウリョクゴ</t>
    </rPh>
    <rPh sb="27" eb="29">
      <t>ケンサク</t>
    </rPh>
    <rPh sb="32" eb="34">
      <t>オウカ</t>
    </rPh>
    <rPh sb="35" eb="37">
      <t>タイショウ</t>
    </rPh>
    <rPh sb="38" eb="39">
      <t>シボ</t>
    </rPh>
    <rPh sb="40" eb="41">
      <t>コ</t>
    </rPh>
    <phoneticPr fontId="55"/>
  </si>
  <si>
    <t>検索したい申請者の入力</t>
    <rPh sb="0" eb="2">
      <t>ケンサク</t>
    </rPh>
    <rPh sb="5" eb="8">
      <t>シンセイシャ</t>
    </rPh>
    <rPh sb="9" eb="11">
      <t>ニュウリョク</t>
    </rPh>
    <phoneticPr fontId="55"/>
  </si>
  <si>
    <t>ブランク</t>
    <phoneticPr fontId="55"/>
  </si>
  <si>
    <t>1.　　「検索」ボタンを押下時</t>
    <rPh sb="5" eb="7">
      <t>ケンサク</t>
    </rPh>
    <rPh sb="12" eb="14">
      <t>オウカ</t>
    </rPh>
    <rPh sb="14" eb="15">
      <t>ジ</t>
    </rPh>
    <phoneticPr fontId="55"/>
  </si>
  <si>
    <t>申請者ログ検索欄または指定期間申請ログ検索欄に条件を入力</t>
    <rPh sb="23" eb="25">
      <t>ジョウケン</t>
    </rPh>
    <rPh sb="26" eb="28">
      <t>ニュウリョク</t>
    </rPh>
    <phoneticPr fontId="55"/>
  </si>
  <si>
    <t>入力チェック</t>
    <rPh sb="0" eb="2">
      <t>ニュウリョク</t>
    </rPh>
    <phoneticPr fontId="55"/>
  </si>
  <si>
    <t>2.　　「環境証明書申請状況詳細」表示</t>
    <rPh sb="17" eb="19">
      <t>ヒョウジ</t>
    </rPh>
    <phoneticPr fontId="55"/>
  </si>
  <si>
    <t>環境証明書申請検索に表示されている申請ログの対象行を押下</t>
    <rPh sb="10" eb="12">
      <t>ヒョウジ</t>
    </rPh>
    <rPh sb="17" eb="19">
      <t>シンセイ</t>
    </rPh>
    <rPh sb="22" eb="24">
      <t>タイショウ</t>
    </rPh>
    <rPh sb="24" eb="25">
      <t>ギョウ</t>
    </rPh>
    <rPh sb="26" eb="28">
      <t>オウカ</t>
    </rPh>
    <phoneticPr fontId="55"/>
  </si>
  <si>
    <t>機能詳細</t>
    <rPh sb="0" eb="4">
      <t>キノウショウサイ</t>
    </rPh>
    <phoneticPr fontId="5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</si>
</sst>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\-#,##0;&quot;-&quot;"/>
    <numFmt numFmtId="177" formatCode="0.00_)"/>
    <numFmt numFmtId="178" formatCode="#,##0.00;[Red]\(#,##0.00\)"/>
    <numFmt numFmtId="179" formatCode="0_ "/>
  </numFmts>
  <fonts count="80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  <font>
      <b/>
      <sz val="11"/>
      <name val="Meiryo UI"/>
      <family val="3"/>
      <charset val="128"/>
    </font>
  </fonts>
  <fills count="2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4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6" fillId="0" borderId="0"/>
    <xf numFmtId="0" fontId="6" fillId="0" borderId="0">
      <alignment vertical="center"/>
    </xf>
    <xf numFmtId="0" fontId="58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90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1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0" fontId="0" fillId="14" borderId="0" xfId="0" applyFill="1">
      <alignment vertical="center"/>
    </xf>
    <xf numFmtId="0" fontId="21" fillId="10" borderId="20" xfId="46" applyFont="1" applyFill="1" applyBorder="1" applyAlignment="1">
      <alignment horizontal="centerContinuous"/>
    </xf>
    <xf numFmtId="0" fontId="21" fillId="10" borderId="19" xfId="46" applyFont="1" applyFill="1" applyBorder="1" applyAlignment="1">
      <alignment horizontal="centerContinuous"/>
    </xf>
    <xf numFmtId="0" fontId="53" fillId="14" borderId="0" xfId="0" applyFont="1" applyFill="1" applyAlignment="1">
      <alignment vertical="center" wrapText="1"/>
    </xf>
    <xf numFmtId="0" fontId="21" fillId="0" borderId="2" xfId="0" applyFont="1" applyBorder="1" applyAlignment="1">
      <alignment horizontal="center" vertical="top"/>
    </xf>
    <xf numFmtId="0" fontId="21" fillId="18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center" vertical="top"/>
    </xf>
    <xf numFmtId="0" fontId="62" fillId="10" borderId="16" xfId="46" applyFont="1" applyFill="1" applyBorder="1" applyAlignment="1">
      <alignment horizontal="centerContinuous"/>
    </xf>
    <xf numFmtId="0" fontId="62" fillId="10" borderId="9" xfId="46" applyFont="1" applyFill="1" applyBorder="1" applyAlignment="1">
      <alignment horizontal="centerContinuous"/>
    </xf>
    <xf numFmtId="0" fontId="63" fillId="14" borderId="0" xfId="0" applyFont="1" applyFill="1">
      <alignment vertical="center"/>
    </xf>
    <xf numFmtId="0" fontId="64" fillId="14" borderId="0" xfId="0" applyFont="1" applyFill="1">
      <alignment vertical="center"/>
    </xf>
    <xf numFmtId="0" fontId="62" fillId="10" borderId="6" xfId="49" applyFont="1" applyFill="1" applyBorder="1" applyAlignment="1">
      <alignment horizontal="right" vertical="center"/>
    </xf>
    <xf numFmtId="0" fontId="63" fillId="14" borderId="6" xfId="161" quotePrefix="1" applyFont="1" applyFill="1" applyBorder="1">
      <alignment vertical="center"/>
    </xf>
    <xf numFmtId="0" fontId="63" fillId="14" borderId="0" xfId="161" applyFont="1" applyFill="1">
      <alignment vertical="center"/>
    </xf>
    <xf numFmtId="0" fontId="63" fillId="14" borderId="11" xfId="161" applyFont="1" applyFill="1" applyBorder="1">
      <alignment vertical="center"/>
    </xf>
    <xf numFmtId="0" fontId="63" fillId="0" borderId="0" xfId="0" applyFont="1">
      <alignment vertical="center"/>
    </xf>
    <xf numFmtId="0" fontId="62" fillId="10" borderId="16" xfId="46" applyFont="1" applyFill="1" applyBorder="1" applyAlignment="1">
      <alignment horizontal="center"/>
    </xf>
    <xf numFmtId="0" fontId="62" fillId="10" borderId="9" xfId="46" applyFont="1" applyFill="1" applyBorder="1" applyAlignment="1">
      <alignment horizontal="center"/>
    </xf>
    <xf numFmtId="0" fontId="63" fillId="14" borderId="0" xfId="0" applyFont="1" applyFill="1" applyAlignment="1">
      <alignment vertical="center" wrapText="1"/>
    </xf>
    <xf numFmtId="0" fontId="64" fillId="14" borderId="0" xfId="0" applyFont="1" applyFill="1" applyAlignment="1">
      <alignment vertical="center" wrapText="1"/>
    </xf>
    <xf numFmtId="0" fontId="62" fillId="0" borderId="0" xfId="161" applyFont="1">
      <alignment vertical="center"/>
    </xf>
    <xf numFmtId="0" fontId="62" fillId="0" borderId="6" xfId="161" quotePrefix="1" applyFont="1" applyBorder="1">
      <alignment vertical="center"/>
    </xf>
    <xf numFmtId="0" fontId="66" fillId="0" borderId="0" xfId="0" applyFont="1">
      <alignment vertical="center"/>
    </xf>
    <xf numFmtId="0" fontId="62" fillId="0" borderId="0" xfId="161" quotePrefix="1" applyFont="1">
      <alignment vertical="center"/>
    </xf>
    <xf numFmtId="0" fontId="62" fillId="0" borderId="0" xfId="0" applyFont="1">
      <alignment vertical="center"/>
    </xf>
    <xf numFmtId="0" fontId="62" fillId="0" borderId="11" xfId="161" applyFont="1" applyBorder="1">
      <alignment vertical="center"/>
    </xf>
    <xf numFmtId="0" fontId="66" fillId="0" borderId="0" xfId="161" applyFont="1">
      <alignment vertical="center"/>
    </xf>
    <xf numFmtId="0" fontId="62" fillId="0" borderId="0" xfId="0" applyFont="1" applyAlignment="1">
      <alignment vertical="center" wrapText="1"/>
    </xf>
    <xf numFmtId="0" fontId="62" fillId="0" borderId="6" xfId="161" applyFont="1" applyBorder="1">
      <alignment vertical="center"/>
    </xf>
    <xf numFmtId="0" fontId="62" fillId="0" borderId="14" xfId="161" applyFont="1" applyBorder="1">
      <alignment vertical="center"/>
    </xf>
    <xf numFmtId="0" fontId="68" fillId="14" borderId="0" xfId="0" applyFont="1" applyFill="1">
      <alignment vertical="center"/>
    </xf>
    <xf numFmtId="0" fontId="59" fillId="14" borderId="0" xfId="0" applyFont="1" applyFill="1">
      <alignment vertical="center"/>
    </xf>
    <xf numFmtId="0" fontId="69" fillId="14" borderId="0" xfId="0" applyFont="1" applyFill="1">
      <alignment vertical="center"/>
    </xf>
    <xf numFmtId="0" fontId="65" fillId="20" borderId="0" xfId="0" applyFont="1" applyFill="1" applyAlignment="1">
      <alignment horizontal="left" vertical="center"/>
    </xf>
    <xf numFmtId="0" fontId="66" fillId="20" borderId="0" xfId="186" applyFont="1" applyFill="1">
      <alignment vertical="center"/>
    </xf>
    <xf numFmtId="0" fontId="66" fillId="14" borderId="0" xfId="186" applyFont="1" applyFill="1">
      <alignment vertical="center"/>
    </xf>
    <xf numFmtId="0" fontId="66" fillId="0" borderId="0" xfId="186" applyFont="1">
      <alignment vertical="center"/>
    </xf>
    <xf numFmtId="0" fontId="62" fillId="0" borderId="15" xfId="161" quotePrefix="1" applyFont="1" applyBorder="1">
      <alignment vertical="center"/>
    </xf>
    <xf numFmtId="0" fontId="62" fillId="0" borderId="12" xfId="161" quotePrefix="1" applyFont="1" applyBorder="1">
      <alignment vertical="center"/>
    </xf>
    <xf numFmtId="0" fontId="62" fillId="0" borderId="13" xfId="161" quotePrefix="1" applyFont="1" applyBorder="1">
      <alignment vertical="center"/>
    </xf>
    <xf numFmtId="0" fontId="72" fillId="0" borderId="0" xfId="161" applyFont="1">
      <alignment vertical="center"/>
    </xf>
    <xf numFmtId="0" fontId="61" fillId="24" borderId="6" xfId="161" quotePrefix="1" applyFont="1" applyFill="1" applyBorder="1">
      <alignment vertical="center"/>
    </xf>
    <xf numFmtId="0" fontId="62" fillId="24" borderId="0" xfId="161" applyFont="1" applyFill="1">
      <alignment vertical="center"/>
    </xf>
    <xf numFmtId="0" fontId="62" fillId="24" borderId="0" xfId="161" quotePrefix="1" applyFont="1" applyFill="1">
      <alignment vertical="center"/>
    </xf>
    <xf numFmtId="0" fontId="68" fillId="24" borderId="0" xfId="0" applyFont="1" applyFill="1">
      <alignment vertical="center"/>
    </xf>
    <xf numFmtId="0" fontId="62" fillId="24" borderId="0" xfId="0" applyFont="1" applyFill="1" applyAlignment="1">
      <alignment vertical="center" wrapText="1"/>
    </xf>
    <xf numFmtId="0" fontId="62" fillId="24" borderId="0" xfId="0" applyFont="1" applyFill="1">
      <alignment vertical="center"/>
    </xf>
    <xf numFmtId="0" fontId="63" fillId="24" borderId="11" xfId="161" applyFont="1" applyFill="1" applyBorder="1">
      <alignment vertical="center"/>
    </xf>
    <xf numFmtId="0" fontId="63" fillId="24" borderId="6" xfId="161" quotePrefix="1" applyFont="1" applyFill="1" applyBorder="1">
      <alignment vertical="center"/>
    </xf>
    <xf numFmtId="0" fontId="63" fillId="24" borderId="0" xfId="0" applyFont="1" applyFill="1">
      <alignment vertical="center"/>
    </xf>
    <xf numFmtId="0" fontId="64" fillId="24" borderId="0" xfId="0" applyFont="1" applyFill="1">
      <alignment vertical="center"/>
    </xf>
    <xf numFmtId="0" fontId="63" fillId="24" borderId="0" xfId="161" applyFont="1" applyFill="1">
      <alignment vertical="center"/>
    </xf>
    <xf numFmtId="0" fontId="62" fillId="24" borderId="6" xfId="161" quotePrefix="1" applyFont="1" applyFill="1" applyBorder="1">
      <alignment vertical="center"/>
    </xf>
    <xf numFmtId="0" fontId="62" fillId="24" borderId="11" xfId="161" applyFont="1" applyFill="1" applyBorder="1">
      <alignment vertical="center"/>
    </xf>
    <xf numFmtId="0" fontId="66" fillId="24" borderId="0" xfId="161" applyFont="1" applyFill="1">
      <alignment vertical="center"/>
    </xf>
    <xf numFmtId="0" fontId="73" fillId="24" borderId="0" xfId="0" applyFont="1" applyFill="1">
      <alignment vertical="center"/>
    </xf>
    <xf numFmtId="0" fontId="62" fillId="24" borderId="39" xfId="161" applyFont="1" applyFill="1" applyBorder="1">
      <alignment vertical="center"/>
    </xf>
    <xf numFmtId="0" fontId="62" fillId="24" borderId="39" xfId="161" quotePrefix="1" applyFont="1" applyFill="1" applyBorder="1">
      <alignment vertical="center"/>
    </xf>
    <xf numFmtId="0" fontId="74" fillId="24" borderId="39" xfId="161" applyFont="1" applyFill="1" applyBorder="1">
      <alignment vertical="center"/>
    </xf>
    <xf numFmtId="0" fontId="63" fillId="14" borderId="40" xfId="0" applyFont="1" applyFill="1" applyBorder="1">
      <alignment vertical="center"/>
    </xf>
    <xf numFmtId="0" fontId="64" fillId="14" borderId="40" xfId="0" applyFont="1" applyFill="1" applyBorder="1">
      <alignment vertical="center"/>
    </xf>
    <xf numFmtId="0" fontId="62" fillId="0" borderId="40" xfId="0" applyFont="1" applyBorder="1">
      <alignment vertical="center"/>
    </xf>
    <xf numFmtId="0" fontId="62" fillId="10" borderId="26" xfId="46" applyFont="1" applyFill="1" applyBorder="1" applyAlignment="1">
      <alignment horizontal="centerContinuous"/>
    </xf>
    <xf numFmtId="0" fontId="62" fillId="10" borderId="18" xfId="46" applyFont="1" applyFill="1" applyBorder="1" applyAlignment="1">
      <alignment horizontal="centerContinuous"/>
    </xf>
    <xf numFmtId="0" fontId="62" fillId="0" borderId="41" xfId="161" applyFont="1" applyBorder="1">
      <alignment vertical="center"/>
    </xf>
    <xf numFmtId="0" fontId="62" fillId="0" borderId="42" xfId="161" quotePrefix="1" applyFont="1" applyBorder="1">
      <alignment vertical="center"/>
    </xf>
    <xf numFmtId="0" fontId="62" fillId="0" borderId="43" xfId="161" applyFont="1" applyBorder="1">
      <alignment vertical="center"/>
    </xf>
    <xf numFmtId="0" fontId="68" fillId="0" borderId="42" xfId="161" quotePrefix="1" applyFont="1" applyBorder="1">
      <alignment vertical="center"/>
    </xf>
    <xf numFmtId="0" fontId="68" fillId="0" borderId="0" xfId="161" quotePrefix="1" applyFont="1">
      <alignment vertical="center"/>
    </xf>
    <xf numFmtId="0" fontId="75" fillId="0" borderId="41" xfId="161" applyFont="1" applyBorder="1">
      <alignment vertical="center"/>
    </xf>
    <xf numFmtId="0" fontId="68" fillId="0" borderId="43" xfId="161" applyFont="1" applyBorder="1">
      <alignment vertical="center"/>
    </xf>
    <xf numFmtId="0" fontId="68" fillId="0" borderId="42" xfId="161" quotePrefix="1" applyFont="1" applyBorder="1" applyAlignment="1">
      <alignment horizontal="right" vertical="center"/>
    </xf>
    <xf numFmtId="0" fontId="76" fillId="0" borderId="42" xfId="161" quotePrefix="1" applyFont="1" applyBorder="1">
      <alignment vertical="center"/>
    </xf>
    <xf numFmtId="0" fontId="77" fillId="0" borderId="42" xfId="161" quotePrefix="1" applyFont="1" applyBorder="1" applyAlignment="1">
      <alignment horizontal="left" vertical="center"/>
    </xf>
    <xf numFmtId="0" fontId="76" fillId="24" borderId="42" xfId="161" quotePrefix="1" applyFont="1" applyFill="1" applyBorder="1" applyAlignment="1">
      <alignment horizontal="center" vertical="center"/>
    </xf>
    <xf numFmtId="0" fontId="76" fillId="0" borderId="42" xfId="161" quotePrefix="1" applyFont="1" applyBorder="1" applyAlignment="1">
      <alignment horizontal="center" vertical="center"/>
    </xf>
    <xf numFmtId="0" fontId="78" fillId="0" borderId="42" xfId="161" quotePrefix="1" applyFont="1" applyBorder="1">
      <alignment vertical="center"/>
    </xf>
    <xf numFmtId="0" fontId="62" fillId="20" borderId="0" xfId="0" applyFont="1" applyFill="1" applyAlignment="1">
      <alignment horizontal="left" vertical="center"/>
    </xf>
    <xf numFmtId="0" fontId="62" fillId="20" borderId="0" xfId="0" applyFont="1" applyFill="1">
      <alignment vertical="center"/>
    </xf>
    <xf numFmtId="0" fontId="62" fillId="14" borderId="0" xfId="0" applyFont="1" applyFill="1">
      <alignment vertical="center"/>
    </xf>
    <xf numFmtId="0" fontId="62" fillId="0" borderId="28" xfId="184" applyFont="1" applyBorder="1" applyAlignment="1" applyProtection="1">
      <alignment vertical="center" wrapText="1"/>
      <protection locked="0"/>
    </xf>
    <xf numFmtId="0" fontId="62" fillId="0" borderId="29" xfId="184" applyFont="1" applyBorder="1" applyAlignment="1" applyProtection="1">
      <alignment vertical="center" wrapText="1"/>
      <protection locked="0"/>
    </xf>
    <xf numFmtId="0" fontId="62" fillId="0" borderId="30" xfId="184" applyFont="1" applyBorder="1" applyAlignment="1" applyProtection="1">
      <alignment vertical="center" wrapText="1"/>
      <protection locked="0"/>
    </xf>
    <xf numFmtId="0" fontId="62" fillId="0" borderId="27" xfId="184" applyFont="1" applyBorder="1" applyAlignment="1">
      <alignment horizontal="left" vertical="center" wrapText="1"/>
    </xf>
    <xf numFmtId="0" fontId="66" fillId="0" borderId="0" xfId="184" applyFont="1">
      <alignment vertical="center"/>
    </xf>
    <xf numFmtId="0" fontId="67" fillId="0" borderId="0" xfId="161" quotePrefix="1" applyFont="1">
      <alignment vertical="center"/>
    </xf>
    <xf numFmtId="0" fontId="62" fillId="0" borderId="44" xfId="161" quotePrefix="1" applyFont="1" applyBorder="1">
      <alignment vertical="center"/>
    </xf>
    <xf numFmtId="0" fontId="62" fillId="0" borderId="45" xfId="161" quotePrefix="1" applyFont="1" applyBorder="1">
      <alignment vertical="center"/>
    </xf>
    <xf numFmtId="0" fontId="68" fillId="0" borderId="45" xfId="161" quotePrefix="1" applyFont="1" applyBorder="1">
      <alignment vertical="center"/>
    </xf>
    <xf numFmtId="0" fontId="68" fillId="14" borderId="45" xfId="0" applyFont="1" applyFill="1" applyBorder="1">
      <alignment vertical="center"/>
    </xf>
    <xf numFmtId="0" fontId="68" fillId="0" borderId="45" xfId="0" applyFont="1" applyBorder="1" applyAlignment="1">
      <alignment vertical="center" wrapText="1"/>
    </xf>
    <xf numFmtId="0" fontId="68" fillId="0" borderId="45" xfId="0" applyFont="1" applyBorder="1">
      <alignment vertical="center"/>
    </xf>
    <xf numFmtId="0" fontId="62" fillId="0" borderId="45" xfId="0" applyFont="1" applyBorder="1">
      <alignment vertical="center"/>
    </xf>
    <xf numFmtId="0" fontId="62" fillId="0" borderId="45" xfId="161" applyFont="1" applyBorder="1">
      <alignment vertical="center"/>
    </xf>
    <xf numFmtId="0" fontId="62" fillId="0" borderId="7" xfId="161" applyFont="1" applyBorder="1">
      <alignment vertical="center"/>
    </xf>
    <xf numFmtId="0" fontId="62" fillId="0" borderId="8" xfId="161" quotePrefix="1" applyFont="1" applyBorder="1">
      <alignment vertical="center"/>
    </xf>
    <xf numFmtId="0" fontId="62" fillId="10" borderId="21" xfId="46" applyFont="1" applyFill="1" applyBorder="1" applyAlignment="1">
      <alignment horizontal="centerContinuous"/>
    </xf>
    <xf numFmtId="0" fontId="62" fillId="10" borderId="22" xfId="46" applyFont="1" applyFill="1" applyBorder="1" applyAlignment="1">
      <alignment horizontal="centerContinuous"/>
    </xf>
    <xf numFmtId="0" fontId="66" fillId="20" borderId="0" xfId="0" applyFont="1" applyFill="1">
      <alignment vertical="center"/>
    </xf>
    <xf numFmtId="0" fontId="62" fillId="0" borderId="2" xfId="184" applyFont="1" applyBorder="1" applyAlignment="1">
      <alignment horizontal="left" vertical="center" wrapText="1"/>
    </xf>
    <xf numFmtId="0" fontId="66" fillId="20" borderId="0" xfId="184" applyFont="1" applyFill="1">
      <alignment vertical="center"/>
    </xf>
    <xf numFmtId="0" fontId="62" fillId="0" borderId="31" xfId="184" applyFont="1" applyBorder="1" applyAlignment="1">
      <alignment horizontal="left" vertical="center" wrapText="1"/>
    </xf>
    <xf numFmtId="0" fontId="66" fillId="0" borderId="0" xfId="187" applyFont="1">
      <alignment vertical="center"/>
    </xf>
    <xf numFmtId="0" fontId="66" fillId="0" borderId="15" xfId="187" applyFont="1" applyBorder="1">
      <alignment vertical="center"/>
    </xf>
    <xf numFmtId="0" fontId="66" fillId="0" borderId="12" xfId="187" applyFont="1" applyBorder="1">
      <alignment vertical="center"/>
    </xf>
    <xf numFmtId="0" fontId="66" fillId="0" borderId="13" xfId="187" applyFont="1" applyBorder="1">
      <alignment vertical="center"/>
    </xf>
    <xf numFmtId="0" fontId="66" fillId="0" borderId="6" xfId="187" applyFont="1" applyBorder="1">
      <alignment vertical="center"/>
    </xf>
    <xf numFmtId="0" fontId="66" fillId="0" borderId="11" xfId="187" applyFont="1" applyBorder="1">
      <alignment vertical="center"/>
    </xf>
    <xf numFmtId="0" fontId="66" fillId="0" borderId="7" xfId="187" applyFont="1" applyBorder="1">
      <alignment vertical="center"/>
    </xf>
    <xf numFmtId="0" fontId="66" fillId="0" borderId="8" xfId="187" applyFont="1" applyBorder="1">
      <alignment vertical="center"/>
    </xf>
    <xf numFmtId="0" fontId="66" fillId="0" borderId="14" xfId="187" applyFont="1" applyBorder="1">
      <alignment vertical="center"/>
    </xf>
    <xf numFmtId="0" fontId="66" fillId="0" borderId="0" xfId="188" applyFont="1">
      <alignment vertical="center"/>
    </xf>
    <xf numFmtId="14" fontId="60" fillId="14" borderId="0" xfId="48" applyNumberFormat="1" applyFont="1" applyFill="1" applyAlignment="1">
      <alignment horizontal="center" vertical="center"/>
    </xf>
    <xf numFmtId="0" fontId="60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3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3" fillId="0" borderId="23" xfId="0" applyNumberFormat="1" applyFont="1" applyBorder="1" applyAlignment="1">
      <alignment horizontal="center" vertical="center"/>
    </xf>
    <xf numFmtId="0" fontId="53" fillId="0" borderId="23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0" fontId="68" fillId="14" borderId="0" xfId="0" applyFont="1" applyFill="1" applyAlignment="1">
      <alignment horizontal="center" vertical="center"/>
    </xf>
    <xf numFmtId="179" fontId="76" fillId="0" borderId="42" xfId="161" quotePrefix="1" applyNumberFormat="1" applyFont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49" fontId="62" fillId="0" borderId="10" xfId="45" applyNumberFormat="1" applyFont="1" applyBorder="1" applyAlignment="1">
      <alignment horizontal="left" vertical="center" wrapText="1"/>
    </xf>
    <xf numFmtId="49" fontId="62" fillId="0" borderId="27" xfId="45" applyNumberFormat="1" applyFont="1" applyBorder="1" applyAlignment="1">
      <alignment horizontal="left" vertical="center" wrapText="1"/>
    </xf>
    <xf numFmtId="0" fontId="62" fillId="0" borderId="35" xfId="184" applyFont="1" applyBorder="1" applyAlignment="1" applyProtection="1">
      <alignment vertical="center" wrapText="1"/>
      <protection locked="0"/>
    </xf>
    <xf numFmtId="0" fontId="62" fillId="0" borderId="36" xfId="184" applyFont="1" applyBorder="1" applyAlignment="1" applyProtection="1">
      <alignment vertical="center" wrapText="1"/>
      <protection locked="0"/>
    </xf>
    <xf numFmtId="0" fontId="62" fillId="0" borderId="37" xfId="184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>
      <alignment horizontal="left" vertical="center" wrapText="1"/>
    </xf>
    <xf numFmtId="0" fontId="62" fillId="0" borderId="2" xfId="186" applyFont="1" applyBorder="1" applyAlignment="1">
      <alignment horizontal="left" vertical="center" wrapText="1"/>
    </xf>
    <xf numFmtId="0" fontId="62" fillId="0" borderId="27" xfId="186" applyFont="1" applyBorder="1" applyAlignment="1">
      <alignment horizontal="left" vertical="center" wrapText="1"/>
    </xf>
    <xf numFmtId="0" fontId="62" fillId="0" borderId="31" xfId="184" applyFont="1" applyBorder="1" applyAlignment="1">
      <alignment horizontal="left" vertical="center" wrapText="1"/>
    </xf>
    <xf numFmtId="0" fontId="62" fillId="0" borderId="2" xfId="184" applyFont="1" applyBorder="1" applyAlignment="1">
      <alignment horizontal="left" vertical="center" wrapText="1"/>
    </xf>
    <xf numFmtId="0" fontId="62" fillId="0" borderId="31" xfId="45" applyFont="1" applyBorder="1" applyAlignment="1" applyProtection="1">
      <alignment horizontal="left" vertical="center" wrapText="1"/>
      <protection locked="0"/>
    </xf>
    <xf numFmtId="0" fontId="62" fillId="0" borderId="2" xfId="45" applyFont="1" applyBorder="1" applyAlignment="1" applyProtection="1">
      <alignment horizontal="left" vertical="center" wrapText="1"/>
      <protection locked="0"/>
    </xf>
    <xf numFmtId="0" fontId="62" fillId="0" borderId="17" xfId="45" applyFont="1" applyBorder="1" applyAlignment="1" applyProtection="1">
      <alignment horizontal="left" vertical="center" wrapText="1"/>
      <protection locked="0"/>
    </xf>
    <xf numFmtId="0" fontId="62" fillId="0" borderId="10" xfId="184" applyFont="1" applyBorder="1" applyAlignment="1">
      <alignment horizontal="left" vertical="center" wrapText="1"/>
    </xf>
    <xf numFmtId="0" fontId="62" fillId="0" borderId="17" xfId="184" applyFont="1" applyBorder="1" applyAlignment="1">
      <alignment horizontal="left" vertical="center" wrapText="1"/>
    </xf>
    <xf numFmtId="0" fontId="67" fillId="22" borderId="23" xfId="186" applyFont="1" applyFill="1" applyBorder="1" applyAlignment="1">
      <alignment horizontal="center" vertical="center"/>
    </xf>
    <xf numFmtId="0" fontId="67" fillId="23" borderId="3" xfId="186" applyFont="1" applyFill="1" applyBorder="1" applyAlignment="1">
      <alignment horizontal="center" vertical="center"/>
    </xf>
    <xf numFmtId="0" fontId="62" fillId="23" borderId="3" xfId="186" applyFont="1" applyFill="1" applyBorder="1" applyAlignment="1">
      <alignment horizontal="center" vertical="center"/>
    </xf>
    <xf numFmtId="0" fontId="67" fillId="21" borderId="3" xfId="186" applyFont="1" applyFill="1" applyBorder="1" applyAlignment="1">
      <alignment horizontal="center" vertical="center" wrapText="1"/>
    </xf>
    <xf numFmtId="0" fontId="67" fillId="21" borderId="3" xfId="186" applyFont="1" applyFill="1" applyBorder="1" applyAlignment="1">
      <alignment horizontal="center" vertical="center"/>
    </xf>
    <xf numFmtId="0" fontId="62" fillId="0" borderId="10" xfId="186" applyFont="1" applyBorder="1" applyAlignment="1">
      <alignment horizontal="left" vertical="center" wrapText="1"/>
    </xf>
    <xf numFmtId="0" fontId="62" fillId="0" borderId="17" xfId="186" applyFont="1" applyBorder="1" applyAlignment="1">
      <alignment horizontal="left" vertical="center" wrapText="1"/>
    </xf>
    <xf numFmtId="0" fontId="62" fillId="0" borderId="28" xfId="186" applyFont="1" applyBorder="1" applyAlignment="1" applyProtection="1">
      <alignment vertical="center" wrapText="1"/>
      <protection locked="0"/>
    </xf>
    <xf numFmtId="0" fontId="62" fillId="0" borderId="29" xfId="186" applyFont="1" applyBorder="1" applyAlignment="1" applyProtection="1">
      <alignment vertical="center" wrapText="1"/>
      <protection locked="0"/>
    </xf>
    <xf numFmtId="0" fontId="62" fillId="0" borderId="30" xfId="186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 applyProtection="1">
      <alignment vertical="center" wrapText="1"/>
      <protection locked="0"/>
    </xf>
    <xf numFmtId="0" fontId="62" fillId="0" borderId="2" xfId="186" applyFont="1" applyBorder="1" applyAlignment="1" applyProtection="1">
      <alignment vertical="center" wrapText="1"/>
      <protection locked="0"/>
    </xf>
    <xf numFmtId="0" fontId="62" fillId="0" borderId="27" xfId="186" applyFont="1" applyBorder="1" applyAlignment="1" applyProtection="1">
      <alignment vertical="center" wrapText="1"/>
      <protection locked="0"/>
    </xf>
    <xf numFmtId="0" fontId="62" fillId="0" borderId="31" xfId="0" applyFont="1" applyBorder="1" applyAlignment="1" applyProtection="1">
      <alignment horizontal="left" vertical="center" wrapText="1"/>
      <protection locked="0"/>
    </xf>
    <xf numFmtId="0" fontId="62" fillId="0" borderId="2" xfId="0" applyFont="1" applyBorder="1" applyAlignment="1" applyProtection="1">
      <alignment horizontal="left" vertical="center" wrapText="1"/>
      <protection locked="0"/>
    </xf>
    <xf numFmtId="0" fontId="62" fillId="0" borderId="17" xfId="0" applyFont="1" applyBorder="1" applyAlignment="1" applyProtection="1">
      <alignment horizontal="left" vertical="center" wrapText="1"/>
      <protection locked="0"/>
    </xf>
    <xf numFmtId="0" fontId="67" fillId="23" borderId="3" xfId="186" applyFont="1" applyFill="1" applyBorder="1" applyAlignment="1" applyProtection="1">
      <alignment horizontal="center" vertical="center" wrapText="1"/>
      <protection locked="0"/>
    </xf>
    <xf numFmtId="0" fontId="67" fillId="21" borderId="15" xfId="186" applyFont="1" applyFill="1" applyBorder="1" applyAlignment="1">
      <alignment horizontal="center" vertical="center" wrapText="1"/>
    </xf>
    <xf numFmtId="0" fontId="67" fillId="21" borderId="12" xfId="186" applyFont="1" applyFill="1" applyBorder="1" applyAlignment="1">
      <alignment horizontal="center" vertical="center" wrapText="1"/>
    </xf>
    <xf numFmtId="0" fontId="67" fillId="21" borderId="13" xfId="186" applyFont="1" applyFill="1" applyBorder="1" applyAlignment="1">
      <alignment horizontal="center" vertical="center" wrapText="1"/>
    </xf>
    <xf numFmtId="0" fontId="67" fillId="21" borderId="7" xfId="186" applyFont="1" applyFill="1" applyBorder="1" applyAlignment="1">
      <alignment horizontal="center" vertical="center" wrapText="1"/>
    </xf>
    <xf numFmtId="0" fontId="67" fillId="21" borderId="8" xfId="186" applyFont="1" applyFill="1" applyBorder="1" applyAlignment="1">
      <alignment horizontal="center" vertical="center" wrapText="1"/>
    </xf>
    <xf numFmtId="0" fontId="67" fillId="21" borderId="14" xfId="186" applyFont="1" applyFill="1" applyBorder="1" applyAlignment="1">
      <alignment horizontal="center" vertical="center" wrapText="1"/>
    </xf>
    <xf numFmtId="0" fontId="62" fillId="0" borderId="35" xfId="45" applyFont="1" applyBorder="1" applyAlignment="1" applyProtection="1">
      <alignment vertical="center" wrapText="1"/>
      <protection locked="0"/>
    </xf>
    <xf numFmtId="0" fontId="62" fillId="0" borderId="36" xfId="45" applyFont="1" applyBorder="1" applyAlignment="1" applyProtection="1">
      <alignment vertical="center" wrapText="1"/>
      <protection locked="0"/>
    </xf>
    <xf numFmtId="0" fontId="62" fillId="0" borderId="38" xfId="45" applyFont="1" applyBorder="1" applyAlignment="1" applyProtection="1">
      <alignment vertical="center" wrapText="1"/>
      <protection locked="0"/>
    </xf>
    <xf numFmtId="0" fontId="62" fillId="0" borderId="35" xfId="185" applyFont="1" applyBorder="1" applyAlignment="1" applyProtection="1">
      <alignment vertical="center" wrapText="1"/>
      <protection locked="0"/>
    </xf>
    <xf numFmtId="0" fontId="62" fillId="0" borderId="36" xfId="185" applyFont="1" applyBorder="1" applyAlignment="1" applyProtection="1">
      <alignment vertical="center" wrapText="1"/>
      <protection locked="0"/>
    </xf>
    <xf numFmtId="0" fontId="62" fillId="0" borderId="37" xfId="185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>
      <alignment horizontal="center" vertical="center" wrapText="1"/>
    </xf>
    <xf numFmtId="0" fontId="62" fillId="0" borderId="2" xfId="186" applyFont="1" applyBorder="1" applyAlignment="1">
      <alignment horizontal="center" vertical="center" wrapText="1"/>
    </xf>
    <xf numFmtId="0" fontId="62" fillId="0" borderId="27" xfId="186" applyFont="1" applyBorder="1" applyAlignment="1">
      <alignment horizontal="center" vertical="center" wrapText="1"/>
    </xf>
    <xf numFmtId="0" fontId="62" fillId="0" borderId="3" xfId="45" applyFont="1" applyBorder="1" applyAlignment="1" applyProtection="1">
      <alignment horizontal="left" vertical="center" wrapText="1"/>
      <protection locked="0"/>
    </xf>
    <xf numFmtId="0" fontId="62" fillId="0" borderId="35" xfId="186" applyFont="1" applyBorder="1" applyAlignment="1" applyProtection="1">
      <alignment vertical="center" wrapText="1"/>
      <protection locked="0"/>
    </xf>
    <xf numFmtId="0" fontId="62" fillId="0" borderId="36" xfId="186" applyFont="1" applyBorder="1" applyAlignment="1" applyProtection="1">
      <alignment vertical="center" wrapText="1"/>
      <protection locked="0"/>
    </xf>
    <xf numFmtId="0" fontId="62" fillId="0" borderId="37" xfId="186" applyFont="1" applyBorder="1" applyAlignment="1" applyProtection="1">
      <alignment vertical="center" wrapText="1"/>
      <protection locked="0"/>
    </xf>
    <xf numFmtId="0" fontId="62" fillId="0" borderId="32" xfId="186" applyFont="1" applyBorder="1" applyAlignment="1" applyProtection="1">
      <alignment vertical="center" wrapText="1"/>
      <protection locked="0"/>
    </xf>
    <xf numFmtId="0" fontId="62" fillId="0" borderId="33" xfId="186" applyFont="1" applyBorder="1" applyAlignment="1" applyProtection="1">
      <alignment vertical="center" wrapText="1"/>
      <protection locked="0"/>
    </xf>
    <xf numFmtId="0" fontId="62" fillId="0" borderId="34" xfId="186" applyFont="1" applyBorder="1" applyAlignment="1" applyProtection="1">
      <alignment vertical="center" wrapText="1"/>
      <protection locked="0"/>
    </xf>
    <xf numFmtId="0" fontId="62" fillId="0" borderId="31" xfId="186" applyFont="1" applyBorder="1" applyAlignment="1" applyProtection="1">
      <alignment horizontal="left" vertical="center" wrapText="1"/>
      <protection locked="0"/>
    </xf>
    <xf numFmtId="0" fontId="62" fillId="0" borderId="2" xfId="186" applyFont="1" applyBorder="1" applyAlignment="1" applyProtection="1">
      <alignment horizontal="left" vertical="center" wrapText="1"/>
      <protection locked="0"/>
    </xf>
    <xf numFmtId="0" fontId="62" fillId="0" borderId="27" xfId="186" applyFont="1" applyBorder="1" applyAlignment="1" applyProtection="1">
      <alignment horizontal="left" vertical="center" wrapText="1"/>
      <protection locked="0"/>
    </xf>
    <xf numFmtId="0" fontId="62" fillId="0" borderId="31" xfId="184" applyFont="1" applyBorder="1" applyAlignment="1" applyProtection="1">
      <alignment horizontal="left" vertical="center" wrapText="1"/>
      <protection locked="0"/>
    </xf>
    <xf numFmtId="0" fontId="62" fillId="0" borderId="2" xfId="184" applyFont="1" applyBorder="1" applyAlignment="1" applyProtection="1">
      <alignment horizontal="left" vertical="center" wrapText="1"/>
      <protection locked="0"/>
    </xf>
    <xf numFmtId="0" fontId="67" fillId="21" borderId="15" xfId="0" applyFont="1" applyFill="1" applyBorder="1" applyAlignment="1">
      <alignment horizontal="center" vertical="center" wrapText="1"/>
    </xf>
    <xf numFmtId="0" fontId="67" fillId="21" borderId="12" xfId="0" applyFont="1" applyFill="1" applyBorder="1" applyAlignment="1">
      <alignment horizontal="center" vertical="center" wrapText="1"/>
    </xf>
    <xf numFmtId="0" fontId="67" fillId="21" borderId="13" xfId="0" applyFont="1" applyFill="1" applyBorder="1" applyAlignment="1">
      <alignment horizontal="center" vertical="center" wrapText="1"/>
    </xf>
    <xf numFmtId="0" fontId="67" fillId="21" borderId="7" xfId="0" applyFont="1" applyFill="1" applyBorder="1" applyAlignment="1">
      <alignment horizontal="center" vertical="center" wrapText="1"/>
    </xf>
    <xf numFmtId="0" fontId="67" fillId="21" borderId="8" xfId="0" applyFont="1" applyFill="1" applyBorder="1" applyAlignment="1">
      <alignment horizontal="center" vertical="center" wrapText="1"/>
    </xf>
    <xf numFmtId="0" fontId="67" fillId="21" borderId="14" xfId="0" applyFont="1" applyFill="1" applyBorder="1" applyAlignment="1">
      <alignment horizontal="center" vertical="center" wrapText="1"/>
    </xf>
    <xf numFmtId="0" fontId="67" fillId="21" borderId="15" xfId="184" applyFont="1" applyFill="1" applyBorder="1" applyAlignment="1">
      <alignment horizontal="center" vertical="center" wrapText="1"/>
    </xf>
    <xf numFmtId="0" fontId="67" fillId="21" borderId="12" xfId="184" applyFont="1" applyFill="1" applyBorder="1" applyAlignment="1">
      <alignment horizontal="center" vertical="center" wrapText="1"/>
    </xf>
    <xf numFmtId="0" fontId="67" fillId="21" borderId="7" xfId="184" applyFont="1" applyFill="1" applyBorder="1" applyAlignment="1">
      <alignment horizontal="center" vertical="center" wrapText="1"/>
    </xf>
    <xf numFmtId="0" fontId="67" fillId="21" borderId="8" xfId="184" applyFont="1" applyFill="1" applyBorder="1" applyAlignment="1">
      <alignment horizontal="center" vertical="center" wrapText="1"/>
    </xf>
    <xf numFmtId="0" fontId="62" fillId="0" borderId="31" xfId="184" applyFont="1" applyBorder="1" applyAlignment="1">
      <alignment horizontal="center" vertical="center" wrapText="1"/>
    </xf>
    <xf numFmtId="0" fontId="62" fillId="0" borderId="2" xfId="184" applyFont="1" applyBorder="1" applyAlignment="1">
      <alignment horizontal="center" vertical="center" wrapText="1"/>
    </xf>
    <xf numFmtId="0" fontId="62" fillId="0" borderId="27" xfId="184" applyFont="1" applyBorder="1" applyAlignment="1">
      <alignment horizontal="center" vertical="center" wrapText="1"/>
    </xf>
    <xf numFmtId="0" fontId="79" fillId="22" borderId="23" xfId="187" applyFont="1" applyFill="1" applyBorder="1" applyAlignment="1">
      <alignment horizontal="center" vertical="center"/>
    </xf>
    <xf numFmtId="0" fontId="69" fillId="25" borderId="15" xfId="0" applyFont="1" applyFill="1" applyBorder="1" applyAlignment="1">
      <alignment horizontal="center" vertical="center"/>
    </xf>
    <xf numFmtId="0" fontId="69" fillId="25" borderId="12" xfId="0" applyFont="1" applyFill="1" applyBorder="1" applyAlignment="1">
      <alignment horizontal="center" vertical="center"/>
    </xf>
    <xf numFmtId="0" fontId="69" fillId="25" borderId="13" xfId="0" applyFont="1" applyFill="1" applyBorder="1" applyAlignment="1">
      <alignment horizontal="center" vertical="center"/>
    </xf>
    <xf numFmtId="0" fontId="65" fillId="14" borderId="15" xfId="0" applyFont="1" applyFill="1" applyBorder="1">
      <alignment vertical="center"/>
    </xf>
    <xf numFmtId="0" fontId="59" fillId="14" borderId="12" xfId="0" applyFont="1" applyFill="1" applyBorder="1">
      <alignment vertical="center"/>
    </xf>
    <xf numFmtId="0" fontId="65" fillId="20" borderId="12" xfId="0" applyFont="1" applyFill="1" applyBorder="1" applyAlignment="1">
      <alignment horizontal="left" vertical="center"/>
    </xf>
    <xf numFmtId="0" fontId="69" fillId="14" borderId="12" xfId="0" applyFont="1" applyFill="1" applyBorder="1">
      <alignment vertical="center"/>
    </xf>
    <xf numFmtId="0" fontId="59" fillId="14" borderId="13" xfId="0" applyFont="1" applyFill="1" applyBorder="1">
      <alignment vertical="center"/>
    </xf>
    <xf numFmtId="0" fontId="65" fillId="20" borderId="6" xfId="0" applyFont="1" applyFill="1" applyBorder="1" applyAlignment="1">
      <alignment horizontal="left" vertical="center"/>
    </xf>
    <xf numFmtId="0" fontId="65" fillId="0" borderId="0" xfId="0" applyFont="1">
      <alignment vertical="center"/>
    </xf>
    <xf numFmtId="0" fontId="59" fillId="14" borderId="11" xfId="0" applyFont="1" applyFill="1" applyBorder="1">
      <alignment vertical="center"/>
    </xf>
    <xf numFmtId="0" fontId="65" fillId="0" borderId="6" xfId="0" applyFont="1" applyBorder="1">
      <alignment vertical="center"/>
    </xf>
    <xf numFmtId="0" fontId="65" fillId="20" borderId="0" xfId="0" applyFont="1" applyFill="1">
      <alignment vertical="center"/>
    </xf>
    <xf numFmtId="0" fontId="69" fillId="14" borderId="6" xfId="0" applyFont="1" applyFill="1" applyBorder="1">
      <alignment vertical="center"/>
    </xf>
    <xf numFmtId="0" fontId="65" fillId="14" borderId="0" xfId="0" applyFont="1" applyFill="1">
      <alignment vertical="center"/>
    </xf>
    <xf numFmtId="0" fontId="69" fillId="14" borderId="7" xfId="0" applyFont="1" applyFill="1" applyBorder="1">
      <alignment vertical="center"/>
    </xf>
    <xf numFmtId="0" fontId="69" fillId="14" borderId="8" xfId="0" applyFont="1" applyFill="1" applyBorder="1">
      <alignment vertical="center"/>
    </xf>
    <xf numFmtId="0" fontId="65" fillId="14" borderId="8" xfId="0" applyFont="1" applyFill="1" applyBorder="1">
      <alignment vertical="center"/>
    </xf>
    <xf numFmtId="0" fontId="59" fillId="14" borderId="8" xfId="0" applyFont="1" applyFill="1" applyBorder="1">
      <alignment vertical="center"/>
    </xf>
    <xf numFmtId="0" fontId="59" fillId="14" borderId="14" xfId="0" applyFont="1" applyFill="1" applyBorder="1">
      <alignment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12 2" xfId="187" xr:uid="{A34EAAE1-9B86-44A8-B46A-2FD627B1FC53}"/>
    <cellStyle name="標準 12 2 2" xfId="188" xr:uid="{5110D688-9D28-4EC7-B024-02C722656B28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管理者申請ログ確認画面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25</xdr:row>
      <xdr:rowOff>28575</xdr:rowOff>
    </xdr:from>
    <xdr:to>
      <xdr:col>51</xdr:col>
      <xdr:colOff>96157</xdr:colOff>
      <xdr:row>46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9200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25</xdr:row>
      <xdr:rowOff>34926</xdr:rowOff>
    </xdr:from>
    <xdr:to>
      <xdr:col>52</xdr:col>
      <xdr:colOff>6350</xdr:colOff>
      <xdr:row>46</xdr:row>
      <xdr:rowOff>17992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929593"/>
          <a:ext cx="9144000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51</xdr:col>
      <xdr:colOff>55356</xdr:colOff>
      <xdr:row>13</xdr:row>
      <xdr:rowOff>44450</xdr:rowOff>
    </xdr:from>
    <xdr:to>
      <xdr:col>52</xdr:col>
      <xdr:colOff>1584</xdr:colOff>
      <xdr:row>15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21113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26</xdr:row>
      <xdr:rowOff>60323</xdr:rowOff>
    </xdr:from>
    <xdr:to>
      <xdr:col>17</xdr:col>
      <xdr:colOff>42334</xdr:colOff>
      <xdr:row>27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20</xdr:row>
      <xdr:rowOff>144991</xdr:rowOff>
    </xdr:from>
    <xdr:to>
      <xdr:col>17</xdr:col>
      <xdr:colOff>116417</xdr:colOff>
      <xdr:row>22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26</xdr:row>
      <xdr:rowOff>87842</xdr:rowOff>
    </xdr:from>
    <xdr:to>
      <xdr:col>35</xdr:col>
      <xdr:colOff>39158</xdr:colOff>
      <xdr:row>27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28</xdr:row>
      <xdr:rowOff>148166</xdr:rowOff>
    </xdr:from>
    <xdr:to>
      <xdr:col>17</xdr:col>
      <xdr:colOff>55033</xdr:colOff>
      <xdr:row>29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28</xdr:row>
      <xdr:rowOff>175685</xdr:rowOff>
    </xdr:from>
    <xdr:to>
      <xdr:col>35</xdr:col>
      <xdr:colOff>45507</xdr:colOff>
      <xdr:row>29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32</xdr:row>
      <xdr:rowOff>21167</xdr:rowOff>
    </xdr:from>
    <xdr:to>
      <xdr:col>17</xdr:col>
      <xdr:colOff>44449</xdr:colOff>
      <xdr:row>33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32</xdr:row>
      <xdr:rowOff>48686</xdr:rowOff>
    </xdr:from>
    <xdr:to>
      <xdr:col>35</xdr:col>
      <xdr:colOff>34923</xdr:colOff>
      <xdr:row>33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34</xdr:row>
      <xdr:rowOff>148169</xdr:rowOff>
    </xdr:from>
    <xdr:to>
      <xdr:col>17</xdr:col>
      <xdr:colOff>47623</xdr:colOff>
      <xdr:row>36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34</xdr:row>
      <xdr:rowOff>142879</xdr:rowOff>
    </xdr:from>
    <xdr:to>
      <xdr:col>35</xdr:col>
      <xdr:colOff>41272</xdr:colOff>
      <xdr:row>35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37</xdr:row>
      <xdr:rowOff>131234</xdr:rowOff>
    </xdr:from>
    <xdr:to>
      <xdr:col>17</xdr:col>
      <xdr:colOff>41274</xdr:colOff>
      <xdr:row>39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37</xdr:row>
      <xdr:rowOff>158753</xdr:rowOff>
    </xdr:from>
    <xdr:to>
      <xdr:col>35</xdr:col>
      <xdr:colOff>28573</xdr:colOff>
      <xdr:row>39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40</xdr:row>
      <xdr:rowOff>138645</xdr:rowOff>
    </xdr:from>
    <xdr:to>
      <xdr:col>17</xdr:col>
      <xdr:colOff>47623</xdr:colOff>
      <xdr:row>42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40</xdr:row>
      <xdr:rowOff>130180</xdr:rowOff>
    </xdr:from>
    <xdr:to>
      <xdr:col>35</xdr:col>
      <xdr:colOff>31747</xdr:colOff>
      <xdr:row>42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43</xdr:row>
      <xdr:rowOff>114298</xdr:rowOff>
    </xdr:from>
    <xdr:to>
      <xdr:col>17</xdr:col>
      <xdr:colOff>62442</xdr:colOff>
      <xdr:row>45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43</xdr:row>
      <xdr:rowOff>105833</xdr:rowOff>
    </xdr:from>
    <xdr:to>
      <xdr:col>35</xdr:col>
      <xdr:colOff>46566</xdr:colOff>
      <xdr:row>45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</xdr:col>
      <xdr:colOff>155575</xdr:colOff>
      <xdr:row>6</xdr:row>
      <xdr:rowOff>127000</xdr:rowOff>
    </xdr:from>
    <xdr:to>
      <xdr:col>4</xdr:col>
      <xdr:colOff>80433</xdr:colOff>
      <xdr:row>8</xdr:row>
      <xdr:rowOff>52918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335492" y="984250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34924</xdr:colOff>
      <xdr:row>7</xdr:row>
      <xdr:rowOff>59267</xdr:rowOff>
    </xdr:from>
    <xdr:to>
      <xdr:col>23</xdr:col>
      <xdr:colOff>136524</xdr:colOff>
      <xdr:row>8</xdr:row>
      <xdr:rowOff>140760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3813174" y="1075267"/>
          <a:ext cx="4614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95250</xdr:colOff>
      <xdr:row>11</xdr:row>
      <xdr:rowOff>69849</xdr:rowOff>
    </xdr:from>
    <xdr:to>
      <xdr:col>4</xdr:col>
      <xdr:colOff>13758</xdr:colOff>
      <xdr:row>12</xdr:row>
      <xdr:rowOff>151342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75167" y="1752599"/>
          <a:ext cx="458258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13758</xdr:colOff>
      <xdr:row>11</xdr:row>
      <xdr:rowOff>109008</xdr:rowOff>
    </xdr:from>
    <xdr:to>
      <xdr:col>14</xdr:col>
      <xdr:colOff>109008</xdr:colOff>
      <xdr:row>12</xdr:row>
      <xdr:rowOff>187326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2172758" y="1791758"/>
          <a:ext cx="455083" cy="2370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165100</xdr:colOff>
      <xdr:row>11</xdr:row>
      <xdr:rowOff>84666</xdr:rowOff>
    </xdr:from>
    <xdr:to>
      <xdr:col>23</xdr:col>
      <xdr:colOff>89958</xdr:colOff>
      <xdr:row>12</xdr:row>
      <xdr:rowOff>178859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3763433" y="1767416"/>
          <a:ext cx="4646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17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3174</xdr:colOff>
      <xdr:row>11</xdr:row>
      <xdr:rowOff>99483</xdr:rowOff>
    </xdr:from>
    <xdr:to>
      <xdr:col>32</xdr:col>
      <xdr:colOff>98424</xdr:colOff>
      <xdr:row>12</xdr:row>
      <xdr:rowOff>193676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5400674" y="1782233"/>
          <a:ext cx="455083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24</xdr:col>
      <xdr:colOff>2117</xdr:colOff>
      <xdr:row>7</xdr:row>
      <xdr:rowOff>74084</xdr:rowOff>
    </xdr:from>
    <xdr:to>
      <xdr:col>40</xdr:col>
      <xdr:colOff>11414</xdr:colOff>
      <xdr:row>10</xdr:row>
      <xdr:rowOff>83071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900C5CE3-0846-AE12-5BEE-3355F250A908}"/>
            </a:ext>
          </a:extLst>
        </xdr:cNvPr>
        <xdr:cNvGrpSpPr/>
      </xdr:nvGrpSpPr>
      <xdr:grpSpPr>
        <a:xfrm>
          <a:off x="4320117" y="1090084"/>
          <a:ext cx="2884789" cy="520162"/>
          <a:chOff x="4316942" y="1090084"/>
          <a:chExt cx="2887964" cy="520162"/>
        </a:xfrm>
      </xdr:grpSpPr>
      <xdr:pic>
        <xdr:nvPicPr>
          <xdr:cNvPr id="71" name="図 70">
            <a:extLst>
              <a:ext uri="{FF2B5EF4-FFF2-40B4-BE49-F238E27FC236}">
                <a16:creationId xmlns:a16="http://schemas.microsoft.com/office/drawing/2014/main" id="{E34C43D5-125B-44A3-AAC2-AD539A04CB0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31114" b="2218"/>
          <a:stretch>
            <a:fillRect/>
          </a:stretch>
        </xdr:blipFill>
        <xdr:spPr>
          <a:xfrm>
            <a:off x="4780491" y="1090084"/>
            <a:ext cx="2424415" cy="520162"/>
          </a:xfrm>
          <a:prstGeom prst="rect">
            <a:avLst/>
          </a:prstGeom>
        </xdr:spPr>
      </xdr:pic>
      <xdr:sp macro="" textlink="">
        <xdr:nvSpPr>
          <xdr:cNvPr id="72" name="四角形: 角を丸くする 71">
            <a:extLst>
              <a:ext uri="{FF2B5EF4-FFF2-40B4-BE49-F238E27FC236}">
                <a16:creationId xmlns:a16="http://schemas.microsoft.com/office/drawing/2014/main" id="{C4746879-E27E-B7F8-2B6B-BE325F0946BC}"/>
              </a:ext>
            </a:extLst>
          </xdr:cNvPr>
          <xdr:cNvSpPr/>
        </xdr:nvSpPr>
        <xdr:spPr>
          <a:xfrm>
            <a:off x="4316942" y="1139825"/>
            <a:ext cx="483658" cy="179916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申請日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73" name="角丸四角形 78">
          <a:extLst>
            <a:ext uri="{FF2B5EF4-FFF2-40B4-BE49-F238E27FC236}">
              <a16:creationId xmlns:a16="http://schemas.microsoft.com/office/drawing/2014/main" id="{4F6F327E-641B-4E67-9311-B2ABC006097A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39</xdr:col>
      <xdr:colOff>179916</xdr:colOff>
      <xdr:row>11</xdr:row>
      <xdr:rowOff>123824</xdr:rowOff>
    </xdr:from>
    <xdr:to>
      <xdr:col>42</xdr:col>
      <xdr:colOff>98424</xdr:colOff>
      <xdr:row>12</xdr:row>
      <xdr:rowOff>218017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DFFC0944-0786-4D45-94A9-B3591E65F9D5}"/>
            </a:ext>
          </a:extLst>
        </xdr:cNvPr>
        <xdr:cNvSpPr/>
      </xdr:nvSpPr>
      <xdr:spPr>
        <a:xfrm>
          <a:off x="7196666" y="1806574"/>
          <a:ext cx="45825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59</xdr:col>
      <xdr:colOff>169334</xdr:colOff>
      <xdr:row>16</xdr:row>
      <xdr:rowOff>21167</xdr:rowOff>
    </xdr:from>
    <xdr:to>
      <xdr:col>73</xdr:col>
      <xdr:colOff>144462</xdr:colOff>
      <xdr:row>20</xdr:row>
      <xdr:rowOff>91547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A65E1EC9-551E-4D8A-A2B0-9688F6AA958C}"/>
            </a:ext>
          </a:extLst>
        </xdr:cNvPr>
        <xdr:cNvSpPr/>
      </xdr:nvSpPr>
      <xdr:spPr>
        <a:xfrm>
          <a:off x="10784417" y="2688167"/>
          <a:ext cx="2493962" cy="747713"/>
        </a:xfrm>
        <a:prstGeom prst="wedgeRectCallout">
          <a:avLst>
            <a:gd name="adj1" fmla="val -109742"/>
            <a:gd name="adj2" fmla="val -83062"/>
          </a:avLst>
        </a:prstGeom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72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050">
              <a:solidFill>
                <a:srgbClr val="FF0000"/>
              </a:solidFill>
            </a:rPr>
            <a:t>AA</a:t>
          </a:r>
          <a:r>
            <a:rPr kumimoji="1" lang="ja-JP" altLang="en-US" sz="1050">
              <a:solidFill>
                <a:srgbClr val="FF0000"/>
              </a:solidFill>
            </a:rPr>
            <a:t>古竹</a:t>
          </a:r>
          <a:endParaRPr kumimoji="1" lang="en-US" altLang="ja-JP" sz="105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05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1050">
              <a:solidFill>
                <a:srgbClr val="FF0000"/>
              </a:solidFill>
            </a:rPr>
            <a:t>レイアウト例のため</a:t>
          </a:r>
          <a:r>
            <a:rPr kumimoji="1" lang="en-US" altLang="ja-JP" sz="1050">
              <a:solidFill>
                <a:srgbClr val="FF0000"/>
              </a:solidFill>
            </a:rPr>
            <a:t>2</a:t>
          </a:r>
          <a:r>
            <a:rPr kumimoji="1" lang="ja-JP" altLang="en-US" sz="1050">
              <a:solidFill>
                <a:srgbClr val="FF0000"/>
              </a:solidFill>
            </a:rPr>
            <a:t>件分にとどめてますが、</a:t>
          </a:r>
          <a:r>
            <a:rPr kumimoji="1" lang="en-US" altLang="ja-JP" sz="1050">
              <a:solidFill>
                <a:srgbClr val="FF0000"/>
              </a:solidFill>
            </a:rPr>
            <a:t>1</a:t>
          </a:r>
          <a:r>
            <a:rPr kumimoji="1" lang="ja-JP" altLang="en-US" sz="1050">
              <a:solidFill>
                <a:srgbClr val="FF0000"/>
              </a:solidFill>
            </a:rPr>
            <a:t>ページに表示する検索結果は何件にいたしますか。</a:t>
          </a:r>
        </a:p>
      </xdr:txBody>
    </xdr:sp>
    <xdr:clientData/>
  </xdr:twoCellAnchor>
  <xdr:twoCellAnchor>
    <xdr:from>
      <xdr:col>43</xdr:col>
      <xdr:colOff>92075</xdr:colOff>
      <xdr:row>8</xdr:row>
      <xdr:rowOff>81491</xdr:rowOff>
    </xdr:from>
    <xdr:to>
      <xdr:col>47</xdr:col>
      <xdr:colOff>21167</xdr:colOff>
      <xdr:row>10</xdr:row>
      <xdr:rowOff>17991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CD541F14-5393-EC75-FA13-8A6435961BE3}"/>
            </a:ext>
          </a:extLst>
        </xdr:cNvPr>
        <xdr:cNvSpPr/>
      </xdr:nvSpPr>
      <xdr:spPr>
        <a:xfrm>
          <a:off x="7828492" y="1256241"/>
          <a:ext cx="648758" cy="285750"/>
        </a:xfrm>
        <a:prstGeom prst="roundRect">
          <a:avLst/>
        </a:prstGeom>
        <a:solidFill>
          <a:srgbClr val="0066FF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</a:rPr>
            <a:t>検索</a:t>
          </a:r>
        </a:p>
      </xdr:txBody>
    </xdr:sp>
    <xdr:clientData/>
  </xdr:twoCellAnchor>
  <xdr:twoCellAnchor>
    <xdr:from>
      <xdr:col>41</xdr:col>
      <xdr:colOff>63500</xdr:colOff>
      <xdr:row>6</xdr:row>
      <xdr:rowOff>127000</xdr:rowOff>
    </xdr:from>
    <xdr:to>
      <xdr:col>43</xdr:col>
      <xdr:colOff>171449</xdr:colOff>
      <xdr:row>8</xdr:row>
      <xdr:rowOff>49743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3E432C6F-9D8A-49C9-956C-4C8686FCD8B0}"/>
            </a:ext>
          </a:extLst>
        </xdr:cNvPr>
        <xdr:cNvSpPr/>
      </xdr:nvSpPr>
      <xdr:spPr>
        <a:xfrm>
          <a:off x="7440083" y="984250"/>
          <a:ext cx="46778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42332</xdr:colOff>
      <xdr:row>8</xdr:row>
      <xdr:rowOff>65616</xdr:rowOff>
    </xdr:from>
    <xdr:to>
      <xdr:col>20</xdr:col>
      <xdr:colOff>57149</xdr:colOff>
      <xdr:row>9</xdr:row>
      <xdr:rowOff>162983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4B875CCE-FD64-EA2B-6D46-0F2CA9E5A286}"/>
            </a:ext>
          </a:extLst>
        </xdr:cNvPr>
        <xdr:cNvGrpSpPr/>
      </xdr:nvGrpSpPr>
      <xdr:grpSpPr>
        <a:xfrm>
          <a:off x="765174" y="1243541"/>
          <a:ext cx="2890308" cy="249767"/>
          <a:chOff x="663575" y="1243541"/>
          <a:chExt cx="2899833" cy="249767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1231902" y="1243541"/>
            <a:ext cx="2331506" cy="249767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1CC5B7D2-5794-4BA3-9539-D833265B9066}"/>
              </a:ext>
            </a:extLst>
          </xdr:cNvPr>
          <xdr:cNvSpPr/>
        </xdr:nvSpPr>
        <xdr:spPr>
          <a:xfrm>
            <a:off x="663575" y="1277409"/>
            <a:ext cx="483658" cy="178818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申請者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10" name="角丸四角形 78">
          <a:extLst>
            <a:ext uri="{FF2B5EF4-FFF2-40B4-BE49-F238E27FC236}">
              <a16:creationId xmlns:a16="http://schemas.microsoft.com/office/drawing/2014/main" id="{0EC64C77-8100-4461-A28A-90EF85F96A69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87842</xdr:colOff>
      <xdr:row>7</xdr:row>
      <xdr:rowOff>35983</xdr:rowOff>
    </xdr:from>
    <xdr:to>
      <xdr:col>20</xdr:col>
      <xdr:colOff>109007</xdr:colOff>
      <xdr:row>11</xdr:row>
      <xdr:rowOff>0</xdr:rowOff>
    </xdr:to>
    <xdr:sp macro="" textlink="">
      <xdr:nvSpPr>
        <xdr:cNvPr id="11" name="角丸四角形 78">
          <a:extLst>
            <a:ext uri="{FF2B5EF4-FFF2-40B4-BE49-F238E27FC236}">
              <a16:creationId xmlns:a16="http://schemas.microsoft.com/office/drawing/2014/main" id="{FE3291B4-598D-4867-BB85-64B5D7036EAC}"/>
            </a:ext>
          </a:extLst>
        </xdr:cNvPr>
        <xdr:cNvSpPr/>
      </xdr:nvSpPr>
      <xdr:spPr>
        <a:xfrm>
          <a:off x="807509" y="1051983"/>
          <a:ext cx="2899831" cy="63076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13757</xdr:colOff>
      <xdr:row>15</xdr:row>
      <xdr:rowOff>84666</xdr:rowOff>
    </xdr:from>
    <xdr:to>
      <xdr:col>39</xdr:col>
      <xdr:colOff>105832</xdr:colOff>
      <xdr:row>16</xdr:row>
      <xdr:rowOff>178859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2B510842-A5EA-4607-8C22-2AAE4021E9C5}"/>
            </a:ext>
          </a:extLst>
        </xdr:cNvPr>
        <xdr:cNvSpPr/>
      </xdr:nvSpPr>
      <xdr:spPr>
        <a:xfrm>
          <a:off x="6670674" y="2592916"/>
          <a:ext cx="45190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37" t="str">
        <f ca="1">TEXT(変更来歴!AT2,"yyyy年 mm月 dd日") &amp; " " &amp; 変更来歴!AT3</f>
        <v>2026年 05月 21日 ｒ1.1</v>
      </c>
      <c r="C22" s="138"/>
      <c r="D22" s="138"/>
      <c r="E22" s="138"/>
      <c r="F22" s="138"/>
      <c r="G22" s="138"/>
      <c r="H22" s="138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40" t="s">
        <v>28</v>
      </c>
      <c r="D28" s="140"/>
      <c r="E28" s="140"/>
      <c r="F28" s="140" t="s">
        <v>0</v>
      </c>
      <c r="G28" s="140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41"/>
      <c r="D33" s="141"/>
      <c r="E33" s="141"/>
      <c r="F33" s="141"/>
      <c r="G33" s="141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39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42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39"/>
    </row>
    <row r="43" spans="3:20" s="8" customFormat="1" ht="14.25" customHeight="1">
      <c r="K43" s="17"/>
      <c r="L43" s="12"/>
      <c r="N43" s="12"/>
      <c r="R43" s="14"/>
      <c r="S43" s="19"/>
      <c r="T43" s="139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39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39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39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39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39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42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39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42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39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42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39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42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39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42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39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42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39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42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39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42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39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42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39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42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39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42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39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42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39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42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39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42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39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42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39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42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39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42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39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42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183" t="s">
        <v>4</v>
      </c>
      <c r="B1" s="183"/>
      <c r="C1" s="183"/>
      <c r="D1" s="183"/>
      <c r="E1" s="183"/>
      <c r="F1" s="183"/>
      <c r="G1" s="183"/>
      <c r="H1" s="183"/>
      <c r="I1" s="166" t="s">
        <v>5</v>
      </c>
      <c r="J1" s="166"/>
      <c r="K1" s="166"/>
      <c r="L1" s="166"/>
      <c r="M1" s="181" t="s">
        <v>6</v>
      </c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66" t="s">
        <v>7</v>
      </c>
      <c r="Y1" s="166"/>
      <c r="Z1" s="166"/>
      <c r="AA1" s="185" t="s">
        <v>92</v>
      </c>
      <c r="AB1" s="185"/>
      <c r="AC1" s="185"/>
      <c r="AD1" s="185"/>
      <c r="AE1" s="185"/>
      <c r="AF1" s="185"/>
      <c r="AG1" s="185"/>
      <c r="AH1" s="185"/>
      <c r="AI1" s="185"/>
      <c r="AJ1" s="185"/>
      <c r="AK1" s="170" t="s">
        <v>8</v>
      </c>
      <c r="AL1" s="170"/>
      <c r="AM1" s="170"/>
      <c r="AN1" s="171" t="s">
        <v>31</v>
      </c>
      <c r="AO1" s="171"/>
      <c r="AP1" s="171"/>
      <c r="AQ1" s="170" t="s">
        <v>9</v>
      </c>
      <c r="AR1" s="170"/>
      <c r="AS1" s="170"/>
      <c r="AT1" s="173">
        <f>AL7</f>
        <v>46125</v>
      </c>
      <c r="AU1" s="173"/>
      <c r="AV1" s="173"/>
      <c r="AW1" s="173"/>
      <c r="AX1" s="162" t="s">
        <v>10</v>
      </c>
      <c r="AY1" s="163"/>
      <c r="AZ1" s="163"/>
      <c r="BA1" s="164"/>
    </row>
    <row r="2" spans="1:53">
      <c r="A2" s="165" t="s">
        <v>16</v>
      </c>
      <c r="B2" s="165"/>
      <c r="C2" s="165"/>
      <c r="D2" s="165"/>
      <c r="E2" s="165"/>
      <c r="F2" s="165"/>
      <c r="G2" s="165"/>
      <c r="H2" s="165"/>
      <c r="I2" s="166" t="s">
        <v>11</v>
      </c>
      <c r="J2" s="166"/>
      <c r="K2" s="166"/>
      <c r="L2" s="166"/>
      <c r="M2" s="167" t="s">
        <v>97</v>
      </c>
      <c r="N2" s="168"/>
      <c r="O2" s="168"/>
      <c r="P2" s="168"/>
      <c r="Q2" s="168"/>
      <c r="R2" s="168"/>
      <c r="S2" s="168"/>
      <c r="T2" s="168"/>
      <c r="U2" s="168"/>
      <c r="V2" s="168"/>
      <c r="W2" s="169"/>
      <c r="X2" s="166"/>
      <c r="Y2" s="166"/>
      <c r="Z2" s="166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70" t="s">
        <v>12</v>
      </c>
      <c r="AL2" s="170"/>
      <c r="AM2" s="170"/>
      <c r="AN2" s="171" t="s">
        <v>31</v>
      </c>
      <c r="AO2" s="171"/>
      <c r="AP2" s="171"/>
      <c r="AQ2" s="170" t="s">
        <v>13</v>
      </c>
      <c r="AR2" s="170"/>
      <c r="AS2" s="170"/>
      <c r="AT2" s="173">
        <v>46163</v>
      </c>
      <c r="AU2" s="173"/>
      <c r="AV2" s="173"/>
      <c r="AW2" s="173"/>
      <c r="AX2" s="174" t="s">
        <v>29</v>
      </c>
      <c r="AY2" s="175"/>
      <c r="AZ2" s="175"/>
      <c r="BA2" s="176"/>
    </row>
    <row r="3" spans="1:53" ht="12" customHeight="1">
      <c r="A3" s="180" t="s">
        <v>26</v>
      </c>
      <c r="B3" s="180"/>
      <c r="C3" s="180"/>
      <c r="D3" s="180"/>
      <c r="E3" s="180"/>
      <c r="F3" s="180"/>
      <c r="G3" s="180"/>
      <c r="H3" s="180"/>
      <c r="I3" s="166" t="s">
        <v>14</v>
      </c>
      <c r="J3" s="166"/>
      <c r="K3" s="166"/>
      <c r="L3" s="166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66" t="s">
        <v>27</v>
      </c>
      <c r="Y3" s="166"/>
      <c r="Z3" s="166"/>
      <c r="AA3" s="182" t="s">
        <v>93</v>
      </c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2"/>
      <c r="AN3" s="182"/>
      <c r="AO3" s="182"/>
      <c r="AP3" s="182"/>
      <c r="AQ3" s="170" t="s">
        <v>15</v>
      </c>
      <c r="AR3" s="170"/>
      <c r="AS3" s="170"/>
      <c r="AT3" s="186" t="str">
        <f ca="1">INDIRECT("A" &amp; COUNTA(A7:A39) + 6)</f>
        <v>ｒ1.1</v>
      </c>
      <c r="AU3" s="186"/>
      <c r="AV3" s="186"/>
      <c r="AW3" s="186"/>
      <c r="AX3" s="177"/>
      <c r="AY3" s="178"/>
      <c r="AZ3" s="178"/>
      <c r="BA3" s="179"/>
    </row>
    <row r="4" spans="1:53" ht="5.9" customHeight="1"/>
    <row r="5" spans="1:53" ht="14">
      <c r="A5" s="184" t="s">
        <v>25</v>
      </c>
      <c r="B5" s="184"/>
      <c r="C5" s="184"/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184"/>
      <c r="AO5" s="184"/>
      <c r="AP5" s="184"/>
      <c r="AQ5" s="184"/>
      <c r="AR5" s="184"/>
      <c r="AS5" s="184"/>
      <c r="AT5" s="184"/>
      <c r="AU5" s="184"/>
      <c r="AV5" s="184"/>
      <c r="AW5" s="184"/>
      <c r="AX5" s="184"/>
      <c r="AY5" s="184"/>
      <c r="AZ5" s="184"/>
      <c r="BA5" s="184"/>
    </row>
    <row r="6" spans="1:53">
      <c r="A6" s="187" t="s">
        <v>24</v>
      </c>
      <c r="B6" s="188"/>
      <c r="C6" s="172" t="s">
        <v>17</v>
      </c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 t="s">
        <v>18</v>
      </c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 t="s">
        <v>19</v>
      </c>
      <c r="AM6" s="172"/>
      <c r="AN6" s="172"/>
      <c r="AO6" s="172"/>
      <c r="AP6" s="172" t="s">
        <v>20</v>
      </c>
      <c r="AQ6" s="172"/>
      <c r="AR6" s="172"/>
      <c r="AS6" s="172" t="s">
        <v>21</v>
      </c>
      <c r="AT6" s="172"/>
      <c r="AU6" s="172"/>
      <c r="AV6" s="172" t="s">
        <v>22</v>
      </c>
      <c r="AW6" s="172"/>
      <c r="AX6" s="172"/>
      <c r="AY6" s="172"/>
      <c r="AZ6" s="172"/>
      <c r="BA6" s="172"/>
    </row>
    <row r="7" spans="1:53">
      <c r="A7" s="144" t="s">
        <v>30</v>
      </c>
      <c r="B7" s="144"/>
      <c r="C7" s="145" t="s">
        <v>23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  <c r="AL7" s="149">
        <v>46125</v>
      </c>
      <c r="AM7" s="150"/>
      <c r="AN7" s="150"/>
      <c r="AO7" s="150"/>
      <c r="AP7" s="145" t="s">
        <v>31</v>
      </c>
      <c r="AQ7" s="145"/>
      <c r="AR7" s="145"/>
      <c r="AS7" s="145"/>
      <c r="AT7" s="145"/>
      <c r="AU7" s="145"/>
      <c r="AV7" s="145"/>
      <c r="AW7" s="145"/>
      <c r="AX7" s="145"/>
      <c r="AY7" s="145"/>
      <c r="AZ7" s="145"/>
      <c r="BA7" s="145"/>
    </row>
    <row r="8" spans="1:53">
      <c r="A8" s="144" t="s">
        <v>94</v>
      </c>
      <c r="B8" s="144"/>
      <c r="C8" s="145" t="s">
        <v>95</v>
      </c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56" t="s">
        <v>96</v>
      </c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8"/>
      <c r="AL8" s="151">
        <v>46163</v>
      </c>
      <c r="AM8" s="152"/>
      <c r="AN8" s="152"/>
      <c r="AO8" s="153"/>
      <c r="AP8" s="145" t="s">
        <v>31</v>
      </c>
      <c r="AQ8" s="145"/>
      <c r="AR8" s="145"/>
      <c r="AS8" s="145"/>
      <c r="AT8" s="145"/>
      <c r="AU8" s="145"/>
      <c r="AV8" s="145"/>
      <c r="AW8" s="145"/>
      <c r="AX8" s="145"/>
      <c r="AY8" s="145"/>
      <c r="AZ8" s="145"/>
      <c r="BA8" s="145"/>
    </row>
    <row r="9" spans="1:53">
      <c r="A9" s="160"/>
      <c r="B9" s="161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5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8"/>
      <c r="AL9" s="151"/>
      <c r="AM9" s="152"/>
      <c r="AN9" s="152"/>
      <c r="AO9" s="153"/>
      <c r="AP9" s="145"/>
      <c r="AQ9" s="145"/>
      <c r="AR9" s="145"/>
      <c r="AS9" s="145"/>
      <c r="AT9" s="145"/>
      <c r="AU9" s="145"/>
      <c r="AV9" s="145"/>
      <c r="AW9" s="145"/>
      <c r="AX9" s="145"/>
      <c r="AY9" s="145"/>
      <c r="AZ9" s="145"/>
      <c r="BA9" s="145"/>
    </row>
    <row r="10" spans="1:53">
      <c r="A10" s="144"/>
      <c r="B10" s="144"/>
      <c r="C10" s="145"/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  <c r="P10" s="145"/>
      <c r="Q10" s="14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3"/>
      <c r="AM10" s="144"/>
      <c r="AN10" s="144"/>
      <c r="AO10" s="144"/>
      <c r="AP10" s="145"/>
      <c r="AQ10" s="145"/>
      <c r="AR10" s="145"/>
      <c r="AS10" s="145"/>
      <c r="AT10" s="145"/>
      <c r="AU10" s="145"/>
      <c r="AV10" s="145"/>
      <c r="AW10" s="145"/>
      <c r="AX10" s="145"/>
      <c r="AY10" s="145"/>
      <c r="AZ10" s="145"/>
      <c r="BA10" s="145"/>
    </row>
    <row r="11" spans="1:53">
      <c r="A11" s="144"/>
      <c r="B11" s="144"/>
      <c r="C11" s="146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  <c r="AL11" s="143"/>
      <c r="AM11" s="144"/>
      <c r="AN11" s="144"/>
      <c r="AO11" s="144"/>
      <c r="AP11" s="145"/>
      <c r="AQ11" s="145"/>
      <c r="AR11" s="145"/>
      <c r="AS11" s="145"/>
      <c r="AT11" s="145"/>
      <c r="AU11" s="145"/>
      <c r="AV11" s="145"/>
      <c r="AW11" s="145"/>
      <c r="AX11" s="145"/>
      <c r="AY11" s="145"/>
      <c r="AZ11" s="145"/>
      <c r="BA11" s="145"/>
    </row>
    <row r="12" spans="1:53">
      <c r="A12" s="144"/>
      <c r="B12" s="144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  <c r="AL12" s="143"/>
      <c r="AM12" s="144"/>
      <c r="AN12" s="144"/>
      <c r="AO12" s="144"/>
      <c r="AP12" s="145"/>
      <c r="AQ12" s="145"/>
      <c r="AR12" s="145"/>
      <c r="AS12" s="145"/>
      <c r="AT12" s="145"/>
      <c r="AU12" s="145"/>
      <c r="AV12" s="145"/>
      <c r="AW12" s="145"/>
      <c r="AX12" s="145"/>
      <c r="AY12" s="145"/>
      <c r="AZ12" s="145"/>
      <c r="BA12" s="145"/>
    </row>
    <row r="13" spans="1:53">
      <c r="A13" s="155"/>
      <c r="B13" s="155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  <c r="AL13" s="154"/>
      <c r="AM13" s="155"/>
      <c r="AN13" s="155"/>
      <c r="AO13" s="155"/>
      <c r="AP13" s="145"/>
      <c r="AQ13" s="145"/>
      <c r="AR13" s="145"/>
      <c r="AS13" s="147"/>
      <c r="AT13" s="147"/>
      <c r="AU13" s="147"/>
      <c r="AV13" s="147"/>
      <c r="AW13" s="147"/>
      <c r="AX13" s="147"/>
      <c r="AY13" s="147"/>
      <c r="AZ13" s="147"/>
      <c r="BA13" s="147"/>
    </row>
    <row r="14" spans="1:53">
      <c r="A14" s="144"/>
      <c r="B14" s="144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6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  <c r="AL14" s="143"/>
      <c r="AM14" s="144"/>
      <c r="AN14" s="144"/>
      <c r="AO14" s="144"/>
      <c r="AP14" s="145"/>
      <c r="AQ14" s="145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</row>
    <row r="15" spans="1:53">
      <c r="A15" s="144"/>
      <c r="B15" s="144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3"/>
      <c r="AM15" s="144"/>
      <c r="AN15" s="144"/>
      <c r="AO15" s="144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</row>
    <row r="16" spans="1:53">
      <c r="A16" s="144"/>
      <c r="B16" s="144"/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3"/>
      <c r="AM16" s="144"/>
      <c r="AN16" s="144"/>
      <c r="AO16" s="144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5"/>
    </row>
    <row r="17" spans="1:53">
      <c r="A17" s="159"/>
      <c r="B17" s="159"/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3"/>
      <c r="AM17" s="144"/>
      <c r="AN17" s="144"/>
      <c r="AO17" s="144"/>
      <c r="AP17" s="145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</row>
    <row r="18" spans="1:53">
      <c r="A18" s="159"/>
      <c r="B18" s="159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3"/>
      <c r="AM18" s="144"/>
      <c r="AN18" s="144"/>
      <c r="AO18" s="144"/>
      <c r="AP18" s="145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</row>
    <row r="19" spans="1:53">
      <c r="A19" s="144"/>
      <c r="B19" s="144"/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3"/>
      <c r="AM19" s="143"/>
      <c r="AN19" s="143"/>
      <c r="AO19" s="143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</row>
    <row r="20" spans="1:53">
      <c r="A20" s="144"/>
      <c r="B20" s="144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3"/>
      <c r="AM20" s="143"/>
      <c r="AN20" s="143"/>
      <c r="AO20" s="143"/>
      <c r="AP20" s="145"/>
      <c r="AQ20" s="145"/>
      <c r="AR20" s="145"/>
      <c r="AS20" s="145"/>
      <c r="AT20" s="145"/>
      <c r="AU20" s="145"/>
      <c r="AV20" s="145"/>
      <c r="AW20" s="145"/>
      <c r="AX20" s="145"/>
      <c r="AY20" s="145"/>
      <c r="AZ20" s="145"/>
      <c r="BA20" s="145"/>
    </row>
    <row r="21" spans="1:53" ht="13.5" customHeight="1">
      <c r="A21" s="144"/>
      <c r="B21" s="144"/>
      <c r="C21" s="145"/>
      <c r="D21" s="145"/>
      <c r="E21" s="145"/>
      <c r="F21" s="145"/>
      <c r="G21" s="145"/>
      <c r="H21" s="145"/>
      <c r="I21" s="145"/>
      <c r="J21" s="145"/>
      <c r="K21" s="145"/>
      <c r="L21" s="145"/>
      <c r="M21" s="145"/>
      <c r="N21" s="145"/>
      <c r="O21" s="145"/>
      <c r="P21" s="145"/>
      <c r="Q21" s="145"/>
      <c r="R21" s="148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  <c r="AD21" s="148"/>
      <c r="AE21" s="148"/>
      <c r="AF21" s="148"/>
      <c r="AG21" s="148"/>
      <c r="AH21" s="148"/>
      <c r="AI21" s="148"/>
      <c r="AJ21" s="148"/>
      <c r="AK21" s="148"/>
      <c r="AL21" s="143"/>
      <c r="AM21" s="143"/>
      <c r="AN21" s="143"/>
      <c r="AO21" s="143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</row>
    <row r="22" spans="1:53">
      <c r="A22" s="144"/>
      <c r="B22" s="144"/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3"/>
      <c r="AM22" s="143"/>
      <c r="AN22" s="143"/>
      <c r="AO22" s="143"/>
      <c r="AP22" s="145"/>
      <c r="AQ22" s="145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</row>
    <row r="23" spans="1:53">
      <c r="A23" s="144"/>
      <c r="B23" s="144"/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48"/>
      <c r="AG23" s="148"/>
      <c r="AH23" s="148"/>
      <c r="AI23" s="148"/>
      <c r="AJ23" s="148"/>
      <c r="AK23" s="148"/>
      <c r="AL23" s="143"/>
      <c r="AM23" s="143"/>
      <c r="AN23" s="143"/>
      <c r="AO23" s="143"/>
      <c r="AP23" s="145"/>
      <c r="AQ23" s="145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</row>
    <row r="24" spans="1:53">
      <c r="A24" s="144"/>
      <c r="B24" s="144"/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  <c r="AL24" s="143"/>
      <c r="AM24" s="143"/>
      <c r="AN24" s="143"/>
      <c r="AO24" s="143"/>
      <c r="AP24" s="145"/>
      <c r="AQ24" s="145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</row>
    <row r="25" spans="1:53">
      <c r="A25" s="144"/>
      <c r="B25" s="144"/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3"/>
      <c r="AM25" s="144"/>
      <c r="AN25" s="144"/>
      <c r="AO25" s="144"/>
      <c r="AP25" s="145"/>
      <c r="AQ25" s="145"/>
      <c r="AR25" s="145"/>
      <c r="AS25" s="145"/>
      <c r="AT25" s="145"/>
      <c r="AU25" s="145"/>
      <c r="AV25" s="145"/>
      <c r="AW25" s="145"/>
      <c r="AX25" s="145"/>
      <c r="AY25" s="145"/>
      <c r="AZ25" s="145"/>
      <c r="BA25" s="145"/>
    </row>
    <row r="26" spans="1:53">
      <c r="A26" s="144"/>
      <c r="B26" s="144"/>
      <c r="C26" s="145"/>
      <c r="D26" s="145"/>
      <c r="E26" s="145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  <c r="AL26" s="143"/>
      <c r="AM26" s="144"/>
      <c r="AN26" s="144"/>
      <c r="AO26" s="144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5"/>
    </row>
    <row r="27" spans="1:53">
      <c r="A27" s="144"/>
      <c r="B27" s="144"/>
      <c r="C27" s="145"/>
      <c r="D27" s="145"/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3"/>
      <c r="AM27" s="144"/>
      <c r="AN27" s="144"/>
      <c r="AO27" s="144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</row>
    <row r="28" spans="1:53">
      <c r="A28" s="144"/>
      <c r="B28" s="144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  <c r="AL28" s="143"/>
      <c r="AM28" s="144"/>
      <c r="AN28" s="144"/>
      <c r="AO28" s="144"/>
      <c r="AP28" s="145"/>
      <c r="AQ28" s="145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</row>
    <row r="29" spans="1:53">
      <c r="A29" s="144"/>
      <c r="B29" s="144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3"/>
      <c r="AM29" s="144"/>
      <c r="AN29" s="144"/>
      <c r="AO29" s="144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</row>
    <row r="30" spans="1:53">
      <c r="A30" s="144"/>
      <c r="B30" s="144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  <c r="AL30" s="144"/>
      <c r="AM30" s="144"/>
      <c r="AN30" s="144"/>
      <c r="AO30" s="144"/>
      <c r="AP30" s="145"/>
      <c r="AQ30" s="145"/>
      <c r="AR30" s="145"/>
      <c r="AS30" s="145"/>
      <c r="AT30" s="145"/>
      <c r="AU30" s="145"/>
      <c r="AV30" s="145"/>
      <c r="AW30" s="145"/>
      <c r="AX30" s="145"/>
      <c r="AY30" s="145"/>
      <c r="AZ30" s="145"/>
      <c r="BA30" s="145"/>
    </row>
    <row r="31" spans="1:53">
      <c r="A31" s="144"/>
      <c r="B31" s="144"/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4"/>
      <c r="AM31" s="144"/>
      <c r="AN31" s="144"/>
      <c r="AO31" s="144"/>
      <c r="AP31" s="145"/>
      <c r="AQ31" s="145"/>
      <c r="AR31" s="145"/>
      <c r="AS31" s="145"/>
      <c r="AT31" s="145"/>
      <c r="AU31" s="145"/>
      <c r="AV31" s="145"/>
      <c r="AW31" s="145"/>
      <c r="AX31" s="145"/>
      <c r="AY31" s="145"/>
      <c r="AZ31" s="145"/>
      <c r="BA31" s="145"/>
    </row>
    <row r="32" spans="1:53">
      <c r="A32" s="144"/>
      <c r="B32" s="144"/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4"/>
      <c r="AM32" s="144"/>
      <c r="AN32" s="144"/>
      <c r="AO32" s="144"/>
      <c r="AP32" s="145"/>
      <c r="AQ32" s="145"/>
      <c r="AR32" s="145"/>
      <c r="AS32" s="145"/>
      <c r="AT32" s="145"/>
      <c r="AU32" s="145"/>
      <c r="AV32" s="145"/>
      <c r="AW32" s="145"/>
      <c r="AX32" s="145"/>
      <c r="AY32" s="145"/>
      <c r="AZ32" s="145"/>
      <c r="BA32" s="145"/>
    </row>
    <row r="33" spans="1:53">
      <c r="A33" s="144"/>
      <c r="B33" s="144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4"/>
      <c r="AM33" s="144"/>
      <c r="AN33" s="144"/>
      <c r="AO33" s="144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</row>
    <row r="34" spans="1:53">
      <c r="A34" s="144"/>
      <c r="B34" s="144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4"/>
      <c r="AM34" s="144"/>
      <c r="AN34" s="144"/>
      <c r="AO34" s="144"/>
      <c r="AP34" s="145"/>
      <c r="AQ34" s="145"/>
      <c r="AR34" s="145"/>
      <c r="AS34" s="145"/>
      <c r="AT34" s="145"/>
      <c r="AU34" s="145"/>
      <c r="AV34" s="145"/>
      <c r="AW34" s="145"/>
      <c r="AX34" s="145"/>
      <c r="AY34" s="145"/>
      <c r="AZ34" s="145"/>
      <c r="BA34" s="145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5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94" width="2.6328125" style="56" customWidth="1"/>
    <col min="95" max="95" width="0.26953125" style="56" customWidth="1"/>
    <col min="96" max="128" width="2.6328125" style="56" customWidth="1"/>
    <col min="129" max="16384" width="9" style="25"/>
  </cols>
  <sheetData>
    <row r="1" spans="1:86" ht="12" customHeight="1">
      <c r="A1" s="183" t="s">
        <v>4</v>
      </c>
      <c r="B1" s="183"/>
      <c r="C1" s="183"/>
      <c r="D1" s="183"/>
      <c r="E1" s="183"/>
      <c r="F1" s="183"/>
      <c r="G1" s="183"/>
      <c r="H1" s="183"/>
      <c r="I1" s="166" t="s">
        <v>5</v>
      </c>
      <c r="J1" s="166"/>
      <c r="K1" s="166"/>
      <c r="L1" s="166"/>
      <c r="M1" s="181" t="str">
        <f>変更来歴!M1</f>
        <v>ヒロセ電機株式会社</v>
      </c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66" t="s">
        <v>7</v>
      </c>
      <c r="Y1" s="166"/>
      <c r="Z1" s="166"/>
      <c r="AA1" s="185" t="str">
        <f>変更来歴!AA1</f>
        <v>管理者ログ確認システム</v>
      </c>
      <c r="AB1" s="185"/>
      <c r="AC1" s="185"/>
      <c r="AD1" s="185"/>
      <c r="AE1" s="185"/>
      <c r="AF1" s="185"/>
      <c r="AG1" s="185"/>
      <c r="AH1" s="185"/>
      <c r="AI1" s="185"/>
      <c r="AJ1" s="185"/>
      <c r="AK1" s="170" t="s">
        <v>8</v>
      </c>
      <c r="AL1" s="170"/>
      <c r="AM1" s="170"/>
      <c r="AN1" s="171" t="str">
        <f>変更来歴!AP7</f>
        <v>古竹</v>
      </c>
      <c r="AO1" s="171"/>
      <c r="AP1" s="171"/>
      <c r="AQ1" s="171"/>
      <c r="AR1" s="171"/>
      <c r="AS1" s="170" t="s">
        <v>9</v>
      </c>
      <c r="AT1" s="170"/>
      <c r="AU1" s="170"/>
      <c r="AV1" s="173">
        <f>変更来歴!AL7</f>
        <v>46125</v>
      </c>
      <c r="AW1" s="186"/>
      <c r="AX1" s="186"/>
      <c r="AY1" s="186"/>
      <c r="AZ1" s="162" t="s">
        <v>10</v>
      </c>
      <c r="BA1" s="163"/>
      <c r="BB1" s="163"/>
      <c r="BC1" s="164"/>
    </row>
    <row r="2" spans="1:86">
      <c r="A2" s="165" t="s">
        <v>16</v>
      </c>
      <c r="B2" s="165"/>
      <c r="C2" s="165"/>
      <c r="D2" s="165"/>
      <c r="E2" s="165"/>
      <c r="F2" s="165"/>
      <c r="G2" s="165"/>
      <c r="H2" s="165"/>
      <c r="I2" s="166" t="s">
        <v>11</v>
      </c>
      <c r="J2" s="166"/>
      <c r="K2" s="166"/>
      <c r="L2" s="166"/>
      <c r="M2" s="189" t="str">
        <f>変更来歴!M2</f>
        <v>新環境証明書システム</v>
      </c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66"/>
      <c r="Y2" s="166"/>
      <c r="Z2" s="166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70" t="s">
        <v>12</v>
      </c>
      <c r="AL2" s="170"/>
      <c r="AM2" s="170"/>
      <c r="AN2" s="171" t="str">
        <f ca="1">INDIRECT("変更来歴!AP" &amp; COUNTA(変更来歴!AP7:'変更来歴'!AP39) + 6)</f>
        <v>古竹</v>
      </c>
      <c r="AO2" s="171"/>
      <c r="AP2" s="171"/>
      <c r="AQ2" s="171"/>
      <c r="AR2" s="171"/>
      <c r="AS2" s="170" t="s">
        <v>13</v>
      </c>
      <c r="AT2" s="170"/>
      <c r="AU2" s="170"/>
      <c r="AV2" s="173">
        <f ca="1">INDIRECT("変更来歴!AL" &amp; COUNTA(変更来歴!AL7:'変更来歴'!AL39) + 6)</f>
        <v>46163</v>
      </c>
      <c r="AW2" s="186"/>
      <c r="AX2" s="186"/>
      <c r="AY2" s="186"/>
      <c r="AZ2" s="174" t="str">
        <f>変更来歴!AX2</f>
        <v>IMWF-53</v>
      </c>
      <c r="BA2" s="175"/>
      <c r="BB2" s="175"/>
      <c r="BC2" s="176"/>
    </row>
    <row r="3" spans="1:86" ht="12" customHeight="1">
      <c r="A3" s="180" t="str">
        <f>変更来歴!A3</f>
        <v>画面設計書</v>
      </c>
      <c r="B3" s="180"/>
      <c r="C3" s="180"/>
      <c r="D3" s="180"/>
      <c r="E3" s="180"/>
      <c r="F3" s="180"/>
      <c r="G3" s="180"/>
      <c r="H3" s="180"/>
      <c r="I3" s="166" t="s">
        <v>14</v>
      </c>
      <c r="J3" s="166"/>
      <c r="K3" s="166"/>
      <c r="L3" s="166"/>
      <c r="M3" s="181" t="str">
        <f ca="1">RIGHT(CELL("filename",A1),LEN(CELL("filename",A1))-FIND("]",CELL("filename",A1)))</f>
        <v>管理者申請ログ確認画面</v>
      </c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66" t="s">
        <v>27</v>
      </c>
      <c r="Y3" s="166"/>
      <c r="Z3" s="166"/>
      <c r="AA3" s="182" t="str">
        <f ca="1">MID(CELL("filename"),FIND("]",CELL("filename"))+1,LEN(CELL("filename"))) &amp; "画面"</f>
        <v>処理詳細画面</v>
      </c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2"/>
      <c r="AN3" s="182"/>
      <c r="AO3" s="182"/>
      <c r="AP3" s="182"/>
      <c r="AQ3" s="182"/>
      <c r="AR3" s="182"/>
      <c r="AS3" s="170" t="s">
        <v>15</v>
      </c>
      <c r="AT3" s="170"/>
      <c r="AU3" s="170"/>
      <c r="AV3" s="186" t="str">
        <f ca="1">INDIRECT("変更来歴!A" &amp; COUNTA(変更来歴!A7:'変更来歴'!A39) + 6)</f>
        <v>ｒ1.1</v>
      </c>
      <c r="AW3" s="186"/>
      <c r="AX3" s="186"/>
      <c r="AY3" s="186"/>
      <c r="AZ3" s="177"/>
      <c r="BA3" s="178"/>
      <c r="BB3" s="178"/>
      <c r="BC3" s="179"/>
    </row>
    <row r="4" spans="1:86" ht="5.9" customHeight="1"/>
    <row r="5" spans="1:86" ht="13.5" customHeight="1">
      <c r="A5" s="192" t="str">
        <f ca="1">"画面レイアウト"&amp;"("&amp;MID(CELL("filename"),FIND("]",CELL("filename"))+1,LEN(CELL("filename")))&amp;")"</f>
        <v>画面レイアウト(処理詳細)</v>
      </c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4"/>
      <c r="BB5" s="195" t="s">
        <v>24</v>
      </c>
      <c r="BC5" s="196"/>
      <c r="BD5" s="24"/>
    </row>
    <row r="6" spans="1:86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86" ht="12.5" customHeight="1">
      <c r="A7" s="36"/>
      <c r="B7" s="62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4"/>
      <c r="BA7" s="50"/>
      <c r="BB7" s="41"/>
      <c r="BC7" s="42"/>
      <c r="BD7" s="34"/>
      <c r="BE7" s="270" t="s">
        <v>136</v>
      </c>
      <c r="BF7" s="271"/>
      <c r="BG7" s="272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</row>
    <row r="8" spans="1:86" s="56" customFormat="1" ht="12.5" customHeight="1">
      <c r="A8" s="36"/>
      <c r="B8" s="46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50"/>
      <c r="BA8" s="50"/>
      <c r="BB8" s="41"/>
      <c r="BC8" s="42"/>
      <c r="BD8" s="34"/>
      <c r="BE8" s="273"/>
      <c r="BF8" s="274"/>
      <c r="BG8" s="274"/>
      <c r="BH8" s="274"/>
      <c r="BI8" s="274"/>
      <c r="BJ8" s="274"/>
      <c r="BK8" s="274"/>
      <c r="BL8" s="274"/>
      <c r="BM8" s="274"/>
      <c r="BN8" s="275"/>
      <c r="BO8" s="275"/>
      <c r="BP8" s="275"/>
      <c r="BQ8" s="275"/>
      <c r="BR8" s="275"/>
      <c r="BS8" s="276"/>
      <c r="BT8" s="276"/>
      <c r="BU8" s="274"/>
      <c r="BV8" s="274"/>
      <c r="BW8" s="274"/>
      <c r="BX8" s="274"/>
      <c r="BY8" s="274"/>
      <c r="BZ8" s="277"/>
      <c r="CD8" s="49"/>
      <c r="CE8" s="49"/>
      <c r="CF8" s="102"/>
      <c r="CG8" s="102"/>
      <c r="CH8" s="102"/>
    </row>
    <row r="9" spans="1:86" s="56" customFormat="1" ht="12.5" customHeight="1">
      <c r="A9" s="36"/>
      <c r="B9" s="46"/>
      <c r="C9" s="51"/>
      <c r="D9" s="47"/>
      <c r="E9" s="47"/>
      <c r="F9" s="47"/>
      <c r="G9" s="49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190"/>
      <c r="AT9" s="190"/>
      <c r="AU9" s="190"/>
      <c r="AV9" s="190"/>
      <c r="AW9" s="49"/>
      <c r="AX9" s="49"/>
      <c r="AY9" s="45"/>
      <c r="AZ9" s="50"/>
      <c r="BA9" s="50"/>
      <c r="BB9" s="32"/>
      <c r="BC9" s="33"/>
      <c r="BD9" s="34"/>
      <c r="BE9" s="278"/>
      <c r="BF9" s="279"/>
      <c r="BG9" s="279"/>
      <c r="BH9" s="279"/>
      <c r="BI9" s="58"/>
      <c r="BJ9" s="58"/>
      <c r="BK9" s="58"/>
      <c r="BL9" s="58"/>
      <c r="BM9" s="58"/>
      <c r="BN9" s="57"/>
      <c r="BO9" s="57"/>
      <c r="BP9" s="57"/>
      <c r="BQ9" s="57"/>
      <c r="BR9" s="57"/>
      <c r="BS9" s="57"/>
      <c r="BT9" s="57"/>
      <c r="BZ9" s="280"/>
      <c r="CD9" s="102"/>
      <c r="CE9" s="34"/>
      <c r="CF9" s="24"/>
      <c r="CG9" s="49"/>
      <c r="CH9" s="102"/>
    </row>
    <row r="10" spans="1:86" s="56" customFormat="1" ht="15">
      <c r="A10" s="35"/>
      <c r="B10" s="53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190"/>
      <c r="AT10" s="190"/>
      <c r="AU10" s="190"/>
      <c r="AV10" s="190"/>
      <c r="AW10" s="48"/>
      <c r="AX10" s="48"/>
      <c r="AY10" s="48"/>
      <c r="AZ10" s="50"/>
      <c r="BA10" s="50"/>
      <c r="BB10" s="87"/>
      <c r="BC10" s="88"/>
      <c r="BD10" s="43"/>
      <c r="BE10" s="281"/>
      <c r="BF10" s="279"/>
      <c r="BG10" s="279"/>
      <c r="BH10" s="282"/>
      <c r="BI10" s="58"/>
      <c r="BJ10" s="58"/>
      <c r="BK10" s="58"/>
      <c r="BL10" s="58"/>
      <c r="BM10" s="58"/>
      <c r="BN10" s="57"/>
      <c r="BO10" s="57"/>
      <c r="BP10" s="57"/>
      <c r="BQ10" s="57"/>
      <c r="BR10" s="57"/>
      <c r="BS10" s="57"/>
      <c r="BT10" s="57"/>
      <c r="BZ10" s="280"/>
    </row>
    <row r="11" spans="1:86" s="56" customFormat="1" ht="12.5" customHeight="1">
      <c r="A11" s="36"/>
      <c r="B11" s="46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50"/>
      <c r="BA11" s="50"/>
      <c r="BB11" s="41"/>
      <c r="BC11" s="42"/>
      <c r="BD11" s="34"/>
      <c r="BE11" s="281"/>
      <c r="BF11" s="279"/>
      <c r="BG11" s="279"/>
      <c r="BH11" s="282"/>
      <c r="BI11" s="58"/>
      <c r="BJ11" s="58"/>
      <c r="BK11" s="58"/>
      <c r="BL11" s="58"/>
      <c r="BM11" s="58"/>
      <c r="BN11" s="57"/>
      <c r="BO11" s="57"/>
      <c r="BP11" s="57"/>
      <c r="BQ11" s="57"/>
      <c r="BR11" s="57"/>
      <c r="BS11" s="57"/>
      <c r="BT11" s="57"/>
      <c r="BZ11" s="280"/>
      <c r="CD11" s="102"/>
      <c r="CE11" s="49"/>
      <c r="CF11" s="49"/>
      <c r="CG11" s="49"/>
      <c r="CH11" s="102"/>
    </row>
    <row r="12" spans="1:86" s="56" customFormat="1" ht="12.5" customHeight="1">
      <c r="A12" s="36"/>
      <c r="B12" s="46"/>
      <c r="C12" s="51"/>
      <c r="D12" s="47"/>
      <c r="E12" s="47"/>
      <c r="F12" s="47"/>
      <c r="G12" s="49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2"/>
      <c r="AU12" s="49"/>
      <c r="AV12" s="49"/>
      <c r="AW12" s="49"/>
      <c r="AX12" s="49"/>
      <c r="AY12" s="45"/>
      <c r="AZ12" s="50"/>
      <c r="BA12" s="50"/>
      <c r="BB12" s="32"/>
      <c r="BC12" s="33"/>
      <c r="BD12" s="34"/>
      <c r="BE12" s="281"/>
      <c r="BF12" s="279"/>
      <c r="BG12" s="279"/>
      <c r="BH12" s="282"/>
      <c r="BI12" s="279"/>
      <c r="BJ12" s="58"/>
      <c r="BK12" s="58"/>
      <c r="BL12" s="58"/>
      <c r="BM12" s="58"/>
      <c r="BN12" s="57"/>
      <c r="BO12" s="57"/>
      <c r="BP12" s="57"/>
      <c r="BQ12" s="57"/>
      <c r="BR12" s="57"/>
      <c r="BS12" s="57"/>
      <c r="BT12" s="57"/>
      <c r="BZ12" s="280"/>
      <c r="CD12" s="49"/>
      <c r="CF12" s="34"/>
      <c r="CH12" s="102"/>
    </row>
    <row r="13" spans="1:86" s="56" customFormat="1" ht="17.5" customHeight="1">
      <c r="A13" s="36"/>
      <c r="B13" s="89"/>
      <c r="C13" s="90"/>
      <c r="D13" s="90"/>
      <c r="E13" s="92" t="s">
        <v>60</v>
      </c>
      <c r="F13" s="90"/>
      <c r="G13" s="90"/>
      <c r="H13" s="90"/>
      <c r="I13" s="90"/>
      <c r="J13" s="90"/>
      <c r="K13" s="90"/>
      <c r="L13" s="90"/>
      <c r="M13" s="90"/>
      <c r="N13" s="90"/>
      <c r="O13" s="92"/>
      <c r="P13" s="92" t="s">
        <v>62</v>
      </c>
      <c r="Q13" s="90"/>
      <c r="R13" s="90"/>
      <c r="S13" s="90"/>
      <c r="T13" s="90"/>
      <c r="U13" s="90"/>
      <c r="V13" s="90"/>
      <c r="W13" s="90"/>
      <c r="X13" s="92"/>
      <c r="Y13" s="92" t="s">
        <v>64</v>
      </c>
      <c r="Z13" s="90"/>
      <c r="AA13" s="90"/>
      <c r="AB13" s="90"/>
      <c r="AC13" s="90"/>
      <c r="AD13" s="90"/>
      <c r="AE13" s="90"/>
      <c r="AF13" s="90"/>
      <c r="AG13" s="90"/>
      <c r="AH13" s="92" t="s">
        <v>66</v>
      </c>
      <c r="AI13" s="90"/>
      <c r="AJ13" s="90"/>
      <c r="AK13" s="90"/>
      <c r="AL13" s="90"/>
      <c r="AM13" s="90"/>
      <c r="AN13" s="90"/>
      <c r="AO13" s="90"/>
      <c r="AP13" s="90"/>
      <c r="AQ13" s="90"/>
      <c r="AR13" s="92" t="s">
        <v>68</v>
      </c>
      <c r="AS13" s="90"/>
      <c r="AT13" s="90"/>
      <c r="AU13" s="90"/>
      <c r="AV13" s="90"/>
      <c r="AW13" s="90"/>
      <c r="AX13" s="90"/>
      <c r="AY13" s="90"/>
      <c r="AZ13" s="91"/>
      <c r="BA13" s="50"/>
      <c r="BB13" s="87"/>
      <c r="BC13" s="88"/>
      <c r="BD13" s="34"/>
      <c r="BE13" s="283"/>
      <c r="BF13" s="57"/>
      <c r="BG13" s="284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Z13" s="280"/>
      <c r="CD13" s="34"/>
      <c r="CE13" s="49"/>
      <c r="CF13" s="34"/>
      <c r="CG13" s="103"/>
      <c r="CH13" s="34"/>
    </row>
    <row r="14" spans="1:86" s="56" customFormat="1" ht="17.5" customHeight="1">
      <c r="A14" s="36"/>
      <c r="B14" s="89"/>
      <c r="C14" s="90"/>
      <c r="D14" s="90"/>
      <c r="E14" s="92" t="s">
        <v>61</v>
      </c>
      <c r="F14" s="90"/>
      <c r="G14" s="90"/>
      <c r="H14" s="90"/>
      <c r="I14" s="90"/>
      <c r="J14" s="90"/>
      <c r="K14" s="90"/>
      <c r="L14" s="90"/>
      <c r="M14" s="90"/>
      <c r="N14" s="90"/>
      <c r="O14" s="92"/>
      <c r="P14" s="92" t="s">
        <v>63</v>
      </c>
      <c r="Q14" s="90"/>
      <c r="R14" s="90"/>
      <c r="S14" s="90"/>
      <c r="T14" s="90"/>
      <c r="U14" s="90"/>
      <c r="V14" s="90"/>
      <c r="W14" s="90"/>
      <c r="X14" s="92"/>
      <c r="Y14" s="92" t="s">
        <v>65</v>
      </c>
      <c r="Z14" s="90"/>
      <c r="AA14" s="90"/>
      <c r="AB14" s="90"/>
      <c r="AC14" s="90"/>
      <c r="AD14" s="90"/>
      <c r="AE14" s="90"/>
      <c r="AF14" s="90"/>
      <c r="AG14" s="90"/>
      <c r="AH14" s="92" t="s">
        <v>67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92" t="s">
        <v>69</v>
      </c>
      <c r="AS14" s="90"/>
      <c r="AT14" s="90"/>
      <c r="AU14" s="90"/>
      <c r="AV14" s="90"/>
      <c r="AW14" s="90"/>
      <c r="AX14" s="90"/>
      <c r="AY14" s="90"/>
      <c r="AZ14" s="50"/>
      <c r="BA14" s="50"/>
      <c r="BB14" s="41"/>
      <c r="BC14" s="42"/>
      <c r="BD14" s="34"/>
      <c r="BE14" s="285"/>
      <c r="BF14" s="286"/>
      <c r="BG14" s="287"/>
      <c r="BH14" s="286"/>
      <c r="BI14" s="286"/>
      <c r="BJ14" s="286"/>
      <c r="BK14" s="286"/>
      <c r="BL14" s="286"/>
      <c r="BM14" s="286"/>
      <c r="BN14" s="286"/>
      <c r="BO14" s="286"/>
      <c r="BP14" s="286"/>
      <c r="BQ14" s="286"/>
      <c r="BR14" s="286"/>
      <c r="BS14" s="286"/>
      <c r="BT14" s="286"/>
      <c r="BU14" s="288"/>
      <c r="BV14" s="288"/>
      <c r="BW14" s="288"/>
      <c r="BX14" s="288"/>
      <c r="BY14" s="288"/>
      <c r="BZ14" s="289"/>
    </row>
    <row r="15" spans="1:86" s="56" customFormat="1" ht="17.5" customHeight="1">
      <c r="A15" s="36"/>
      <c r="B15" s="111"/>
      <c r="C15" s="112"/>
      <c r="D15" s="112"/>
      <c r="E15" s="113" t="s">
        <v>61</v>
      </c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 t="s">
        <v>70</v>
      </c>
      <c r="Q15" s="113"/>
      <c r="R15" s="113"/>
      <c r="S15" s="113"/>
      <c r="T15" s="113"/>
      <c r="U15" s="113"/>
      <c r="V15" s="113"/>
      <c r="W15" s="113"/>
      <c r="X15" s="113"/>
      <c r="Y15" s="113" t="s">
        <v>71</v>
      </c>
      <c r="Z15" s="113"/>
      <c r="AA15" s="113"/>
      <c r="AB15" s="113"/>
      <c r="AC15" s="113"/>
      <c r="AD15" s="113"/>
      <c r="AE15" s="113"/>
      <c r="AF15" s="113"/>
      <c r="AG15" s="113"/>
      <c r="AH15" s="113" t="s">
        <v>72</v>
      </c>
      <c r="AI15" s="113"/>
      <c r="AJ15" s="113"/>
      <c r="AK15" s="113"/>
      <c r="AL15" s="113"/>
      <c r="AM15" s="113"/>
      <c r="AN15" s="113"/>
      <c r="AO15" s="113"/>
      <c r="AP15" s="113"/>
      <c r="AQ15" s="113"/>
      <c r="AR15" s="113" t="s">
        <v>69</v>
      </c>
      <c r="AS15" s="114"/>
      <c r="AT15" s="115"/>
      <c r="AU15" s="116"/>
      <c r="AV15" s="117"/>
      <c r="AW15" s="117"/>
      <c r="AX15" s="117"/>
      <c r="AY15" s="118"/>
      <c r="AZ15" s="50"/>
      <c r="BA15" s="50"/>
      <c r="BB15" s="32"/>
      <c r="BC15" s="33"/>
      <c r="BD15" s="34"/>
      <c r="BG15" s="34"/>
    </row>
    <row r="16" spans="1:86" s="56" customFormat="1" ht="12.5" customHeight="1">
      <c r="A16" s="36"/>
      <c r="B16" s="46"/>
      <c r="C16" s="48"/>
      <c r="D16" s="48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48"/>
      <c r="AW16" s="48"/>
      <c r="AX16" s="48"/>
      <c r="AY16" s="48"/>
      <c r="AZ16" s="50"/>
      <c r="BA16" s="50"/>
      <c r="BB16" s="41"/>
      <c r="BC16" s="42"/>
      <c r="BD16" s="34"/>
    </row>
    <row r="17" spans="1:86" s="56" customFormat="1" ht="16" customHeight="1">
      <c r="A17" s="36"/>
      <c r="B17" s="94"/>
      <c r="C17" s="90"/>
      <c r="D17" s="90"/>
      <c r="E17" s="92"/>
      <c r="F17" s="90"/>
      <c r="G17" s="90"/>
      <c r="H17" s="90"/>
      <c r="I17" s="90"/>
      <c r="J17" s="90"/>
      <c r="K17" s="90"/>
      <c r="L17" s="90"/>
      <c r="M17" s="90"/>
      <c r="N17" s="90"/>
      <c r="O17" s="92"/>
      <c r="P17" s="92"/>
      <c r="Q17" s="90"/>
      <c r="R17" s="90"/>
      <c r="S17" s="90"/>
      <c r="T17" s="90"/>
      <c r="U17" s="90"/>
      <c r="V17" s="90"/>
      <c r="W17" s="90"/>
      <c r="X17" s="92"/>
      <c r="Y17" s="92"/>
      <c r="Z17" s="90"/>
      <c r="AA17" s="90"/>
      <c r="AB17" s="90"/>
      <c r="AC17" s="90"/>
      <c r="AD17" s="90"/>
      <c r="AE17" s="90"/>
      <c r="AF17" s="90"/>
      <c r="AG17" s="90"/>
      <c r="AH17" s="92"/>
      <c r="AI17" s="90"/>
      <c r="AJ17" s="90"/>
      <c r="AK17" s="90"/>
      <c r="AL17" s="90"/>
      <c r="AM17" s="96"/>
      <c r="AN17" s="98" t="s">
        <v>73</v>
      </c>
      <c r="AO17" s="99">
        <v>1</v>
      </c>
      <c r="AP17" s="100" t="s">
        <v>74</v>
      </c>
      <c r="AQ17" s="191">
        <v>3034</v>
      </c>
      <c r="AR17" s="191"/>
      <c r="AS17" s="101" t="s">
        <v>75</v>
      </c>
      <c r="AT17" s="92"/>
      <c r="AU17" s="97"/>
      <c r="AV17" s="92"/>
      <c r="AW17" s="92"/>
      <c r="AX17" s="92"/>
      <c r="AY17" s="92"/>
      <c r="AZ17" s="95"/>
      <c r="BA17" s="50"/>
      <c r="BB17" s="32"/>
      <c r="BC17" s="33"/>
      <c r="BD17" s="34"/>
      <c r="BE17" s="34"/>
      <c r="BF17" s="49"/>
      <c r="BG17" s="34"/>
      <c r="BH17" s="103"/>
      <c r="BI17" s="34"/>
      <c r="BJ17" s="34"/>
      <c r="BK17" s="34"/>
      <c r="BL17" s="34"/>
      <c r="BM17" s="34"/>
      <c r="BN17" s="57"/>
      <c r="BO17" s="57"/>
      <c r="BP17" s="57"/>
      <c r="BQ17" s="57"/>
      <c r="BR17" s="57"/>
      <c r="BS17" s="57"/>
      <c r="BT17" s="57"/>
    </row>
    <row r="18" spans="1:86" s="56" customFormat="1" ht="12.5" customHeight="1">
      <c r="A18" s="36"/>
      <c r="B18" s="53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50"/>
      <c r="BA18" s="50"/>
      <c r="BB18" s="32"/>
      <c r="BC18" s="33"/>
      <c r="BD18" s="34"/>
      <c r="BE18" s="49"/>
      <c r="BG18" s="34"/>
      <c r="BI18" s="34"/>
      <c r="BJ18" s="34"/>
      <c r="BK18" s="34"/>
      <c r="BL18" s="34"/>
      <c r="BM18" s="34"/>
      <c r="BN18" s="57"/>
      <c r="BO18" s="57"/>
      <c r="BP18" s="57"/>
      <c r="BQ18" s="57"/>
      <c r="BR18" s="57"/>
      <c r="BS18" s="57"/>
      <c r="BT18" s="57"/>
    </row>
    <row r="19" spans="1:86" s="56" customFormat="1" ht="12.5" customHeight="1">
      <c r="A19" s="36"/>
      <c r="B19" s="46"/>
      <c r="C19" s="110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50"/>
      <c r="BA19" s="50"/>
      <c r="BB19" s="41"/>
      <c r="BC19" s="42"/>
      <c r="BD19" s="34"/>
      <c r="BE19" s="34"/>
      <c r="BT19" s="57"/>
      <c r="CD19" s="49"/>
      <c r="CF19" s="34"/>
      <c r="CH19" s="34"/>
    </row>
    <row r="20" spans="1:86" s="56" customFormat="1" ht="12.5" customHeight="1">
      <c r="A20" s="36"/>
      <c r="B20" s="46"/>
      <c r="C20" s="51"/>
      <c r="D20" s="47"/>
      <c r="E20" s="47"/>
      <c r="F20" s="47"/>
      <c r="G20" s="49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2"/>
      <c r="AU20" s="49"/>
      <c r="AV20" s="49"/>
      <c r="AW20" s="49"/>
      <c r="AX20" s="49"/>
      <c r="AY20" s="45"/>
      <c r="AZ20" s="50"/>
      <c r="BA20" s="50"/>
      <c r="BB20" s="32"/>
      <c r="BC20" s="33"/>
      <c r="BD20" s="34"/>
      <c r="BE20" s="104"/>
      <c r="BT20" s="57"/>
      <c r="CD20" s="34"/>
      <c r="CE20" s="49"/>
      <c r="CF20" s="34"/>
      <c r="CG20" s="34"/>
      <c r="CH20" s="34"/>
    </row>
    <row r="21" spans="1:86" s="56" customFormat="1" ht="12.5" customHeight="1">
      <c r="A21" s="36"/>
      <c r="B21" s="53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50"/>
      <c r="BA21" s="50"/>
      <c r="BB21" s="32"/>
      <c r="BC21" s="33"/>
      <c r="BD21" s="34"/>
      <c r="BE21" s="34"/>
      <c r="BF21" s="49"/>
      <c r="BG21" s="34"/>
      <c r="BH21" s="34"/>
      <c r="BI21" s="34"/>
      <c r="BJ21" s="34"/>
      <c r="BK21" s="34"/>
      <c r="BL21" s="34"/>
      <c r="BM21" s="34"/>
      <c r="BN21" s="57"/>
      <c r="BO21" s="57"/>
      <c r="BP21" s="57"/>
      <c r="BQ21" s="57"/>
      <c r="BR21" s="57"/>
      <c r="BS21" s="57"/>
      <c r="BT21" s="57"/>
      <c r="CD21" s="104"/>
      <c r="CF21" s="34"/>
      <c r="CH21" s="34"/>
    </row>
    <row r="22" spans="1:86" s="56" customFormat="1" ht="12.5" customHeight="1">
      <c r="A22" s="36"/>
      <c r="B22" s="46"/>
      <c r="C22" s="51"/>
      <c r="D22" s="47"/>
      <c r="E22" s="47"/>
      <c r="F22" s="47"/>
      <c r="G22" s="49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2"/>
      <c r="AU22" s="49"/>
      <c r="AV22" s="49"/>
      <c r="AW22" s="49"/>
      <c r="AX22" s="49"/>
      <c r="AY22" s="45"/>
      <c r="AZ22" s="50"/>
      <c r="BA22" s="50"/>
      <c r="BB22" s="32"/>
      <c r="BC22" s="33"/>
      <c r="BD22" s="34"/>
      <c r="BE22" s="34"/>
      <c r="BG22" s="34"/>
      <c r="BI22" s="34"/>
      <c r="BJ22" s="34"/>
      <c r="BK22" s="34"/>
      <c r="BL22" s="34"/>
      <c r="BM22" s="34"/>
      <c r="BN22" s="57"/>
      <c r="BO22" s="57"/>
      <c r="BP22" s="57"/>
      <c r="BQ22" s="57"/>
      <c r="BR22" s="57"/>
      <c r="BS22" s="57"/>
      <c r="BT22" s="57"/>
      <c r="CD22" s="34"/>
      <c r="CH22" s="34"/>
    </row>
    <row r="23" spans="1:86" ht="12.5" customHeight="1">
      <c r="A23" s="36"/>
      <c r="B23" s="46"/>
      <c r="C23" s="65" t="s">
        <v>40</v>
      </c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55"/>
      <c r="AT23" s="52"/>
      <c r="AU23" s="49"/>
      <c r="AV23" s="45"/>
      <c r="AW23" s="45"/>
      <c r="AX23" s="49"/>
      <c r="AY23" s="45"/>
      <c r="AZ23" s="50"/>
      <c r="BA23" s="50"/>
      <c r="BB23" s="41"/>
      <c r="BC23" s="42"/>
      <c r="BD23" s="34"/>
      <c r="BE23" s="34"/>
      <c r="BI23" s="34"/>
      <c r="BJ23" s="34"/>
      <c r="BK23" s="34"/>
      <c r="BL23" s="34"/>
      <c r="BM23" s="34"/>
      <c r="BN23" s="57"/>
      <c r="BO23" s="57"/>
      <c r="BP23" s="57"/>
      <c r="BQ23" s="57"/>
      <c r="BR23" s="57"/>
      <c r="BS23" s="57"/>
      <c r="BT23" s="57"/>
      <c r="CD23" s="34"/>
      <c r="CE23" s="49"/>
      <c r="CF23" s="34"/>
      <c r="CG23" s="34"/>
      <c r="CH23" s="34"/>
    </row>
    <row r="24" spans="1:86" ht="5" customHeight="1" thickBot="1">
      <c r="A24" s="36"/>
      <c r="B24" s="37"/>
      <c r="C24" s="84"/>
      <c r="D24" s="84"/>
      <c r="E24" s="84"/>
      <c r="F24" s="85"/>
      <c r="G24" s="86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2"/>
      <c r="AU24" s="49"/>
      <c r="AV24" s="40"/>
      <c r="AW24" s="40"/>
      <c r="AX24" s="40"/>
      <c r="AY24" s="38"/>
      <c r="AZ24" s="39"/>
      <c r="BA24" s="39"/>
      <c r="BB24" s="32"/>
      <c r="BC24" s="33"/>
      <c r="BD24" s="34"/>
      <c r="CD24" s="34"/>
      <c r="CF24" s="34"/>
      <c r="CH24" s="34"/>
    </row>
    <row r="25" spans="1:86" ht="0.5" customHeight="1" thickTop="1">
      <c r="A25" s="36"/>
      <c r="B25" s="37"/>
      <c r="C25" s="34"/>
      <c r="D25" s="34"/>
      <c r="E25" s="34"/>
      <c r="F25" s="35"/>
      <c r="G25" s="49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2"/>
      <c r="AU25" s="49"/>
      <c r="AV25" s="40"/>
      <c r="AW25" s="40"/>
      <c r="AX25" s="40"/>
      <c r="AY25" s="38"/>
      <c r="AZ25" s="39"/>
      <c r="BA25" s="39"/>
      <c r="BB25" s="32"/>
      <c r="BC25" s="33"/>
      <c r="BD25" s="34"/>
      <c r="CD25" s="34"/>
      <c r="CE25" s="49"/>
      <c r="CF25" s="34"/>
      <c r="CG25" s="34"/>
      <c r="CH25" s="24"/>
    </row>
    <row r="26" spans="1:86" ht="15.5" customHeight="1">
      <c r="A26" s="36"/>
      <c r="B26" s="66"/>
      <c r="C26" s="67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9"/>
      <c r="AT26" s="70"/>
      <c r="AU26" s="71"/>
      <c r="AV26" s="67"/>
      <c r="AW26" s="67"/>
      <c r="AX26" s="71"/>
      <c r="AY26" s="67"/>
      <c r="AZ26" s="72"/>
      <c r="BA26" s="39"/>
      <c r="BB26" s="32"/>
      <c r="BC26" s="33"/>
      <c r="BD26" s="34"/>
      <c r="BE26" s="34"/>
      <c r="BF26" s="49"/>
      <c r="BG26" s="34"/>
      <c r="BH26" s="34"/>
      <c r="BI26" s="34"/>
      <c r="BJ26" s="34"/>
      <c r="BK26" s="34"/>
      <c r="BL26" s="34"/>
      <c r="BM26" s="34"/>
      <c r="BN26" s="57"/>
      <c r="BO26" s="57"/>
      <c r="BP26" s="57"/>
      <c r="BQ26" s="57"/>
      <c r="BR26" s="57"/>
      <c r="BS26" s="57"/>
      <c r="BT26" s="57"/>
      <c r="CD26" s="34"/>
      <c r="CF26" s="34"/>
      <c r="CH26" s="24"/>
    </row>
    <row r="27" spans="1:86" ht="15.5" customHeight="1">
      <c r="A27" s="36"/>
      <c r="B27" s="73"/>
      <c r="C27" s="80" t="s">
        <v>79</v>
      </c>
      <c r="D27" s="74"/>
      <c r="E27" s="74"/>
      <c r="F27" s="75"/>
      <c r="G27" s="71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80" t="s">
        <v>83</v>
      </c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70"/>
      <c r="AS27" s="71"/>
      <c r="AT27" s="74"/>
      <c r="AU27" s="74"/>
      <c r="AV27" s="74"/>
      <c r="AW27" s="76"/>
      <c r="AX27" s="74"/>
      <c r="AY27" s="76"/>
      <c r="AZ27" s="72"/>
      <c r="BA27" s="39"/>
      <c r="BB27" s="32"/>
      <c r="BC27" s="33"/>
      <c r="BD27" s="34"/>
      <c r="BE27" s="34"/>
      <c r="BG27" s="34"/>
      <c r="BI27" s="34"/>
      <c r="BJ27" s="34"/>
      <c r="BK27" s="34"/>
      <c r="BL27" s="34"/>
      <c r="BM27" s="34"/>
      <c r="BN27" s="57"/>
      <c r="BO27" s="57"/>
      <c r="BP27" s="57"/>
      <c r="BQ27" s="57"/>
      <c r="BR27" s="57"/>
      <c r="BS27" s="57"/>
      <c r="BT27" s="57"/>
      <c r="CD27" s="34"/>
      <c r="CF27" s="34"/>
      <c r="CH27" s="34"/>
    </row>
    <row r="28" spans="1:86" ht="15.5" customHeight="1">
      <c r="A28" s="36"/>
      <c r="B28" s="77"/>
      <c r="C28" s="81" t="s">
        <v>41</v>
      </c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68"/>
      <c r="Z28" s="68"/>
      <c r="AA28" s="68"/>
      <c r="AB28" s="81" t="s">
        <v>49</v>
      </c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68"/>
      <c r="AY28" s="68"/>
      <c r="AZ28" s="78"/>
      <c r="BA28" s="50"/>
      <c r="BB28" s="32"/>
      <c r="BC28" s="33"/>
      <c r="BD28" s="34"/>
      <c r="BE28" s="34"/>
      <c r="BF28" s="49"/>
      <c r="BG28" s="34"/>
      <c r="BH28" s="34"/>
      <c r="BI28" s="24"/>
      <c r="BJ28" s="34"/>
      <c r="BK28" s="34"/>
      <c r="BL28" s="34"/>
      <c r="BM28" s="34"/>
      <c r="BN28" s="57"/>
      <c r="BO28" s="57"/>
      <c r="BP28" s="57"/>
      <c r="BQ28" s="57"/>
      <c r="BR28" s="57"/>
      <c r="BS28" s="57"/>
      <c r="BT28" s="57"/>
      <c r="CD28" s="34"/>
      <c r="CE28" s="49"/>
      <c r="CF28" s="34"/>
      <c r="CG28" s="34"/>
      <c r="CH28" s="57"/>
    </row>
    <row r="29" spans="1:86" ht="15.5" customHeight="1">
      <c r="A29" s="36"/>
      <c r="B29" s="77"/>
      <c r="C29" s="7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9"/>
      <c r="AT29" s="70"/>
      <c r="AU29" s="71"/>
      <c r="AV29" s="71"/>
      <c r="AW29" s="71"/>
      <c r="AX29" s="71"/>
      <c r="AY29" s="67"/>
      <c r="AZ29" s="78"/>
      <c r="BA29" s="50"/>
      <c r="BB29" s="32"/>
      <c r="BC29" s="33"/>
      <c r="BD29" s="34"/>
      <c r="BE29" s="34"/>
      <c r="BF29" s="49"/>
      <c r="BG29" s="34"/>
      <c r="BH29" s="34"/>
      <c r="BI29" s="24"/>
      <c r="BJ29" s="34">
        <v>5</v>
      </c>
      <c r="BK29" s="34"/>
      <c r="BL29" s="34"/>
      <c r="BM29" s="34"/>
      <c r="BN29" s="57"/>
      <c r="BO29" s="57"/>
      <c r="BP29" s="57"/>
      <c r="BQ29" s="57"/>
      <c r="BR29" s="57"/>
      <c r="BS29" s="57"/>
      <c r="BT29" s="57"/>
      <c r="CD29" s="57"/>
      <c r="CE29" s="25"/>
      <c r="CF29" s="25"/>
      <c r="CG29" s="25"/>
      <c r="CH29" s="57"/>
    </row>
    <row r="30" spans="1:86" ht="15.5" customHeight="1">
      <c r="A30" s="36"/>
      <c r="B30" s="77"/>
      <c r="C30" s="80" t="s">
        <v>42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80" t="s">
        <v>44</v>
      </c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9"/>
      <c r="AT30" s="70"/>
      <c r="AU30" s="71"/>
      <c r="AV30" s="71"/>
      <c r="AW30" s="71"/>
      <c r="AX30" s="71"/>
      <c r="AY30" s="67"/>
      <c r="AZ30" s="78"/>
      <c r="BA30" s="50"/>
      <c r="BB30" s="32"/>
      <c r="BC30" s="33"/>
      <c r="BD30" s="34"/>
      <c r="BE30" s="57"/>
      <c r="BG30" s="34"/>
      <c r="BI30" s="34"/>
      <c r="BJ30" s="34"/>
      <c r="BK30" s="34"/>
      <c r="BL30" s="34"/>
      <c r="BM30" s="34"/>
      <c r="BN30" s="57"/>
      <c r="BO30" s="57"/>
      <c r="BP30" s="57"/>
      <c r="BQ30" s="57"/>
      <c r="BR30" s="57"/>
      <c r="BS30" s="57"/>
      <c r="BT30" s="57"/>
      <c r="CD30" s="57"/>
      <c r="CE30" s="25"/>
      <c r="CF30" s="25"/>
      <c r="CG30" s="25"/>
      <c r="CH30" s="57"/>
    </row>
    <row r="31" spans="1:86" s="56" customFormat="1" ht="15.5" customHeight="1">
      <c r="A31" s="36"/>
      <c r="B31" s="77"/>
      <c r="C31" s="81" t="s">
        <v>43</v>
      </c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68"/>
      <c r="Z31" s="68"/>
      <c r="AA31" s="68"/>
      <c r="AB31" s="81" t="s">
        <v>48</v>
      </c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71"/>
      <c r="AY31" s="67"/>
      <c r="AZ31" s="78"/>
      <c r="BA31" s="50"/>
      <c r="BB31" s="32"/>
      <c r="BC31" s="33"/>
      <c r="BD31" s="34"/>
      <c r="BE31" s="57"/>
      <c r="BF31" s="25"/>
      <c r="BG31" s="25"/>
      <c r="BH31" s="25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CD31" s="57"/>
      <c r="CF31" s="34"/>
      <c r="CH31" s="57"/>
    </row>
    <row r="32" spans="1:86" s="56" customFormat="1" ht="15.5" customHeight="1">
      <c r="A32" s="36"/>
      <c r="B32" s="77"/>
      <c r="C32" s="67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9"/>
      <c r="AT32" s="70"/>
      <c r="AU32" s="71"/>
      <c r="AV32" s="67"/>
      <c r="AW32" s="67"/>
      <c r="AX32" s="71"/>
      <c r="AY32" s="67"/>
      <c r="AZ32" s="78"/>
      <c r="BA32" s="50"/>
      <c r="BB32" s="32"/>
      <c r="BC32" s="33"/>
      <c r="BD32" s="34"/>
      <c r="BE32" s="57"/>
      <c r="BF32" s="49"/>
      <c r="BG32" s="34"/>
      <c r="BH32" s="34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CD32" s="57"/>
      <c r="CF32" s="34"/>
      <c r="CH32" s="57"/>
    </row>
    <row r="33" spans="1:86" s="56" customFormat="1" ht="15.5" customHeight="1">
      <c r="A33" s="36"/>
      <c r="B33" s="77"/>
      <c r="C33" s="80" t="s">
        <v>45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80" t="s">
        <v>84</v>
      </c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9"/>
      <c r="AT33" s="70"/>
      <c r="AU33" s="71"/>
      <c r="AV33" s="71"/>
      <c r="AW33" s="71"/>
      <c r="AX33" s="71"/>
      <c r="AY33" s="67"/>
      <c r="AZ33" s="78"/>
      <c r="BA33" s="50"/>
      <c r="BB33" s="32"/>
      <c r="BC33" s="33"/>
      <c r="BD33" s="34"/>
      <c r="BE33" s="57"/>
      <c r="BG33" s="34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CD33" s="57"/>
      <c r="CE33" s="49"/>
      <c r="CF33" s="34"/>
      <c r="CG33" s="34"/>
      <c r="CH33" s="57"/>
    </row>
    <row r="34" spans="1:86" s="56" customFormat="1" ht="15.5" customHeight="1">
      <c r="A34" s="36"/>
      <c r="B34" s="77"/>
      <c r="C34" s="83" t="s">
        <v>46</v>
      </c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68"/>
      <c r="Z34" s="68"/>
      <c r="AA34" s="68"/>
      <c r="AB34" s="83" t="s">
        <v>47</v>
      </c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71"/>
      <c r="AY34" s="67"/>
      <c r="AZ34" s="78"/>
      <c r="BA34" s="50"/>
      <c r="BB34" s="32"/>
      <c r="BC34" s="33"/>
      <c r="BD34" s="34"/>
      <c r="BE34" s="57"/>
      <c r="BG34" s="34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CD34" s="57"/>
      <c r="CF34" s="34"/>
      <c r="CH34" s="57"/>
    </row>
    <row r="35" spans="1:86" s="56" customFormat="1" ht="15.5" customHeight="1">
      <c r="A35" s="36"/>
      <c r="B35" s="77"/>
      <c r="C35" s="67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9"/>
      <c r="AT35" s="70"/>
      <c r="AU35" s="71"/>
      <c r="AV35" s="67"/>
      <c r="AW35" s="67"/>
      <c r="AX35" s="71"/>
      <c r="AY35" s="67"/>
      <c r="AZ35" s="78"/>
      <c r="BA35" s="50"/>
      <c r="BB35" s="32"/>
      <c r="BC35" s="33"/>
      <c r="BD35" s="34"/>
      <c r="BE35" s="57"/>
      <c r="BF35" s="49"/>
      <c r="BG35" s="34"/>
      <c r="BH35" s="34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CD35" s="57"/>
      <c r="CF35" s="34"/>
      <c r="CH35" s="57"/>
    </row>
    <row r="36" spans="1:86" s="56" customFormat="1" ht="15.5" customHeight="1">
      <c r="A36" s="36"/>
      <c r="B36" s="77"/>
      <c r="C36" s="80" t="s">
        <v>50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80" t="s">
        <v>56</v>
      </c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9"/>
      <c r="AT36" s="70"/>
      <c r="AU36" s="71"/>
      <c r="AV36" s="71"/>
      <c r="AW36" s="71"/>
      <c r="AX36" s="71"/>
      <c r="AY36" s="67"/>
      <c r="AZ36" s="78"/>
      <c r="BA36" s="50"/>
      <c r="BB36" s="32"/>
      <c r="BC36" s="33"/>
      <c r="BD36" s="34"/>
      <c r="BE36" s="57"/>
      <c r="BG36" s="34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CD36" s="57"/>
      <c r="CE36" s="49"/>
      <c r="CF36" s="34"/>
      <c r="CG36" s="34"/>
      <c r="CH36" s="57"/>
    </row>
    <row r="37" spans="1:86" s="56" customFormat="1" ht="15.5" customHeight="1">
      <c r="A37" s="36"/>
      <c r="B37" s="77"/>
      <c r="C37" s="81" t="s">
        <v>51</v>
      </c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68"/>
      <c r="Z37" s="68"/>
      <c r="AA37" s="68"/>
      <c r="AB37" s="81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82"/>
      <c r="AU37" s="82"/>
      <c r="AV37" s="82"/>
      <c r="AW37" s="82"/>
      <c r="AX37" s="71"/>
      <c r="AY37" s="67"/>
      <c r="AZ37" s="78"/>
      <c r="BA37" s="50"/>
      <c r="BB37" s="32"/>
      <c r="BC37" s="33"/>
      <c r="BD37" s="34"/>
      <c r="BH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CD37" s="57"/>
      <c r="CF37" s="34"/>
      <c r="CH37" s="57"/>
    </row>
    <row r="38" spans="1:86" s="56" customFormat="1" ht="15.5" customHeight="1">
      <c r="A38" s="36"/>
      <c r="B38" s="77"/>
      <c r="C38" s="67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9"/>
      <c r="AT38" s="70"/>
      <c r="AU38" s="71"/>
      <c r="AV38" s="67"/>
      <c r="AW38" s="67"/>
      <c r="AX38" s="71"/>
      <c r="AY38" s="67"/>
      <c r="AZ38" s="78"/>
      <c r="BA38" s="50"/>
      <c r="BB38" s="32"/>
      <c r="BC38" s="33"/>
      <c r="BD38" s="34"/>
      <c r="BE38" s="49"/>
      <c r="BF38" s="49"/>
      <c r="BG38" s="102"/>
      <c r="BH38" s="102"/>
      <c r="BJ38" s="102"/>
      <c r="BN38" s="57"/>
      <c r="BO38" s="57"/>
      <c r="BP38" s="57"/>
      <c r="BQ38" s="57"/>
      <c r="BR38" s="57"/>
      <c r="BS38" s="57"/>
      <c r="BT38" s="57"/>
      <c r="CD38" s="57"/>
      <c r="CH38" s="57"/>
    </row>
    <row r="39" spans="1:86" s="56" customFormat="1" ht="12.5" customHeight="1">
      <c r="A39" s="36"/>
      <c r="B39" s="77"/>
      <c r="C39" s="80" t="s">
        <v>52</v>
      </c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80" t="s">
        <v>57</v>
      </c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9"/>
      <c r="AT39" s="70"/>
      <c r="AU39" s="71"/>
      <c r="AV39" s="71"/>
      <c r="AW39" s="71"/>
      <c r="AX39" s="71"/>
      <c r="AY39" s="67"/>
      <c r="AZ39" s="78"/>
      <c r="BA39" s="50"/>
      <c r="BB39" s="32"/>
      <c r="BC39" s="33"/>
      <c r="BD39" s="34"/>
      <c r="BE39" s="102"/>
      <c r="BF39" s="34"/>
      <c r="BG39" s="24"/>
      <c r="BH39" s="49"/>
      <c r="BJ39" s="102"/>
      <c r="BN39" s="57"/>
      <c r="BO39" s="57"/>
      <c r="BP39" s="57"/>
      <c r="BQ39" s="57"/>
      <c r="BR39" s="57"/>
      <c r="BS39" s="57"/>
      <c r="BT39" s="57"/>
      <c r="CD39" s="57"/>
      <c r="CE39" s="49"/>
      <c r="CF39" s="34"/>
      <c r="CG39" s="34"/>
      <c r="CH39" s="57"/>
    </row>
    <row r="40" spans="1:86" s="56" customFormat="1" ht="12.5" customHeight="1">
      <c r="A40" s="36"/>
      <c r="B40" s="77"/>
      <c r="C40" s="81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68"/>
      <c r="Z40" s="68"/>
      <c r="AA40" s="68"/>
      <c r="AB40" s="81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82"/>
      <c r="AS40" s="82"/>
      <c r="AT40" s="82"/>
      <c r="AU40" s="82"/>
      <c r="AV40" s="82"/>
      <c r="AW40" s="82"/>
      <c r="AX40" s="71"/>
      <c r="AY40" s="67"/>
      <c r="AZ40" s="78"/>
      <c r="BA40" s="50"/>
      <c r="BB40" s="32"/>
      <c r="BC40" s="33"/>
      <c r="BD40" s="35"/>
      <c r="BE40" s="102"/>
      <c r="BF40" s="49"/>
      <c r="BG40" s="49"/>
      <c r="BH40" s="49"/>
      <c r="BJ40" s="102"/>
      <c r="BN40" s="57"/>
      <c r="BO40" s="57"/>
      <c r="BP40" s="57"/>
      <c r="BQ40" s="57"/>
      <c r="BR40" s="57"/>
      <c r="BS40" s="57"/>
      <c r="BT40" s="57"/>
      <c r="CD40" s="57"/>
      <c r="CF40" s="34"/>
    </row>
    <row r="41" spans="1:86" s="56" customFormat="1" ht="12.5" customHeight="1">
      <c r="A41" s="36"/>
      <c r="B41" s="77"/>
      <c r="C41" s="67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9"/>
      <c r="AT41" s="70"/>
      <c r="AU41" s="71"/>
      <c r="AV41" s="67"/>
      <c r="AW41" s="67"/>
      <c r="AX41" s="71"/>
      <c r="AY41" s="67"/>
      <c r="AZ41" s="78"/>
      <c r="BA41" s="50"/>
      <c r="BB41" s="32"/>
      <c r="BC41" s="33"/>
      <c r="BD41" s="35"/>
      <c r="BE41" s="49"/>
      <c r="BG41" s="34"/>
      <c r="BJ41" s="102"/>
      <c r="BN41" s="57"/>
      <c r="BO41" s="57"/>
      <c r="BP41" s="57"/>
      <c r="BQ41" s="57"/>
      <c r="BR41" s="57"/>
      <c r="BS41" s="57"/>
      <c r="BT41" s="57"/>
      <c r="CD41" s="57"/>
    </row>
    <row r="42" spans="1:86" s="56" customFormat="1" ht="12.5" customHeight="1">
      <c r="A42" s="36"/>
      <c r="B42" s="77"/>
      <c r="C42" s="80" t="s">
        <v>53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80" t="s">
        <v>58</v>
      </c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9"/>
      <c r="AT42" s="70"/>
      <c r="AU42" s="71"/>
      <c r="AV42" s="71"/>
      <c r="AW42" s="71"/>
      <c r="AX42" s="71"/>
      <c r="AY42" s="67"/>
      <c r="AZ42" s="78"/>
      <c r="BA42" s="50"/>
      <c r="BB42" s="41"/>
      <c r="BC42" s="42"/>
      <c r="BD42" s="34"/>
      <c r="BE42" s="34"/>
      <c r="BJ42" s="34"/>
      <c r="BN42" s="57"/>
      <c r="BO42" s="57"/>
      <c r="BP42" s="57"/>
      <c r="BQ42" s="57"/>
      <c r="BR42" s="57"/>
      <c r="BS42" s="57"/>
      <c r="BT42" s="57"/>
      <c r="CD42" s="57"/>
      <c r="CE42" s="49"/>
      <c r="CF42" s="34"/>
      <c r="CG42" s="34"/>
      <c r="CH42" s="57"/>
    </row>
    <row r="43" spans="1:86" s="56" customFormat="1" ht="12.5" customHeight="1">
      <c r="A43" s="36"/>
      <c r="B43" s="77"/>
      <c r="C43" s="81" t="s">
        <v>54</v>
      </c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68"/>
      <c r="Z43" s="68"/>
      <c r="AA43" s="68"/>
      <c r="AB43" s="81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71"/>
      <c r="AY43" s="67"/>
      <c r="AZ43" s="78"/>
      <c r="BA43" s="50"/>
      <c r="BB43" s="41"/>
      <c r="BC43" s="42"/>
      <c r="BD43" s="34"/>
      <c r="BE43" s="49"/>
      <c r="BF43" s="49"/>
      <c r="BG43" s="34"/>
      <c r="BH43" s="103"/>
      <c r="BJ43" s="34"/>
      <c r="BN43" s="57"/>
      <c r="BO43" s="57"/>
      <c r="BP43" s="57"/>
      <c r="BQ43" s="57"/>
      <c r="BR43" s="57"/>
      <c r="BS43" s="57"/>
      <c r="BT43" s="57"/>
      <c r="CD43" s="57"/>
      <c r="CF43" s="34"/>
      <c r="CH43" s="57"/>
    </row>
    <row r="44" spans="1:86" s="56" customFormat="1" ht="12.5" customHeight="1">
      <c r="A44" s="36"/>
      <c r="B44" s="77"/>
      <c r="C44" s="67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9"/>
      <c r="AT44" s="70"/>
      <c r="AU44" s="71"/>
      <c r="AV44" s="67"/>
      <c r="AW44" s="67"/>
      <c r="AX44" s="71"/>
      <c r="AY44" s="67"/>
      <c r="AZ44" s="78"/>
      <c r="BA44" s="50"/>
      <c r="BB44" s="41"/>
      <c r="BC44" s="42"/>
      <c r="BD44" s="34"/>
      <c r="BE44" s="34"/>
      <c r="BG44" s="34"/>
      <c r="BJ44" s="34"/>
      <c r="BN44" s="57"/>
      <c r="BO44" s="57"/>
      <c r="BP44" s="57"/>
      <c r="BQ44" s="57"/>
      <c r="BR44" s="57"/>
      <c r="BS44" s="57"/>
      <c r="BT44" s="57"/>
      <c r="CD44" s="57"/>
      <c r="CF44" s="34"/>
      <c r="CH44" s="57"/>
    </row>
    <row r="45" spans="1:86" s="56" customFormat="1" ht="12.5" customHeight="1">
      <c r="A45" s="36"/>
      <c r="B45" s="77"/>
      <c r="C45" s="80" t="s">
        <v>55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80" t="s">
        <v>59</v>
      </c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9"/>
      <c r="AT45" s="70"/>
      <c r="AU45" s="71"/>
      <c r="AV45" s="71"/>
      <c r="AW45" s="71"/>
      <c r="AX45" s="71"/>
      <c r="AY45" s="67"/>
      <c r="AZ45" s="78"/>
      <c r="BA45" s="50"/>
      <c r="BB45" s="41"/>
      <c r="BC45" s="42"/>
      <c r="BD45" s="34"/>
      <c r="BE45" s="104"/>
      <c r="BJ45" s="34"/>
      <c r="BN45" s="57"/>
      <c r="BO45" s="57"/>
      <c r="BP45" s="57"/>
      <c r="BQ45" s="57"/>
      <c r="BR45" s="57"/>
      <c r="BS45" s="57"/>
      <c r="BT45" s="57"/>
      <c r="CD45" s="57"/>
      <c r="CE45" s="49"/>
      <c r="CF45" s="34"/>
      <c r="CG45" s="34"/>
      <c r="CH45" s="57"/>
    </row>
    <row r="46" spans="1:86" s="56" customFormat="1" ht="12.5" customHeight="1">
      <c r="A46" s="36"/>
      <c r="B46" s="77"/>
      <c r="C46" s="81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68"/>
      <c r="Z46" s="68"/>
      <c r="AA46" s="68"/>
      <c r="AB46" s="81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71"/>
      <c r="AY46" s="67"/>
      <c r="AZ46" s="78"/>
      <c r="BA46" s="50"/>
      <c r="BB46" s="41"/>
      <c r="BC46" s="42"/>
      <c r="BD46" s="34"/>
      <c r="BE46" s="34"/>
      <c r="BF46" s="49"/>
      <c r="BG46" s="34"/>
      <c r="BH46" s="34"/>
      <c r="BJ46" s="34"/>
      <c r="BN46" s="57"/>
      <c r="BO46" s="57"/>
      <c r="BP46" s="57"/>
      <c r="BQ46" s="57"/>
      <c r="BR46" s="57"/>
      <c r="BS46" s="57"/>
      <c r="BT46" s="57"/>
      <c r="CD46" s="57"/>
      <c r="CF46" s="34"/>
      <c r="CH46" s="57"/>
    </row>
    <row r="47" spans="1:86" s="56" customFormat="1" ht="12.5" customHeight="1">
      <c r="A47" s="36"/>
      <c r="B47" s="77"/>
      <c r="C47" s="67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9"/>
      <c r="AT47" s="70"/>
      <c r="AU47" s="71"/>
      <c r="AV47" s="67"/>
      <c r="AW47" s="67"/>
      <c r="AX47" s="71"/>
      <c r="AY47" s="67"/>
      <c r="AZ47" s="78"/>
      <c r="BA47" s="50"/>
      <c r="BB47" s="41"/>
      <c r="BC47" s="42"/>
      <c r="BD47" s="34"/>
      <c r="BE47" s="34"/>
      <c r="BG47" s="34"/>
      <c r="BJ47" s="34"/>
      <c r="BN47" s="57"/>
      <c r="BO47" s="57"/>
      <c r="BP47" s="57"/>
      <c r="BQ47" s="57"/>
      <c r="BR47" s="57"/>
      <c r="BS47" s="57"/>
      <c r="BT47" s="57"/>
      <c r="CD47" s="57"/>
      <c r="CF47" s="34"/>
      <c r="CH47" s="57"/>
    </row>
    <row r="48" spans="1:86" s="56" customFormat="1" ht="12.5" customHeight="1">
      <c r="A48" s="36"/>
      <c r="B48" s="46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50"/>
      <c r="BA48" s="50"/>
      <c r="BB48" s="41"/>
      <c r="BC48" s="42"/>
      <c r="BD48" s="34"/>
      <c r="BE48" s="34"/>
      <c r="BJ48" s="34"/>
      <c r="BN48" s="57"/>
      <c r="BO48" s="57"/>
      <c r="BP48" s="57"/>
      <c r="BQ48" s="57"/>
      <c r="BR48" s="57"/>
      <c r="BS48" s="57"/>
      <c r="BT48" s="57"/>
      <c r="CD48" s="57"/>
      <c r="CE48" s="49"/>
      <c r="CF48" s="34"/>
      <c r="CG48" s="24"/>
      <c r="CH48" s="57"/>
    </row>
    <row r="49" spans="1:86" s="56" customFormat="1" ht="12.5" customHeight="1">
      <c r="A49" s="36"/>
      <c r="B49" s="53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50"/>
      <c r="BA49" s="50"/>
      <c r="BB49" s="32"/>
      <c r="BC49" s="33"/>
      <c r="BD49" s="34"/>
      <c r="BE49" s="34"/>
      <c r="BF49" s="49"/>
      <c r="BG49" s="34"/>
      <c r="BH49" s="34"/>
      <c r="BJ49" s="24"/>
      <c r="BN49" s="57"/>
      <c r="BO49" s="57"/>
      <c r="BP49" s="57"/>
      <c r="BQ49" s="57"/>
      <c r="BR49" s="57"/>
      <c r="BS49" s="57"/>
      <c r="BT49" s="57"/>
      <c r="CD49" s="57"/>
      <c r="CF49" s="34"/>
      <c r="CH49" s="57"/>
    </row>
    <row r="50" spans="1:86" s="56" customFormat="1" ht="12.5" customHeight="1">
      <c r="A50" s="36"/>
      <c r="B50" s="46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50"/>
      <c r="BA50" s="50"/>
      <c r="BB50" s="41"/>
      <c r="BC50" s="42"/>
      <c r="BD50" s="34"/>
      <c r="BE50" s="34"/>
      <c r="BG50" s="34"/>
      <c r="BJ50" s="24"/>
      <c r="BN50" s="57"/>
      <c r="BO50" s="57"/>
      <c r="BP50" s="57"/>
      <c r="BQ50" s="57"/>
      <c r="BR50" s="57"/>
      <c r="BS50" s="57"/>
      <c r="BT50" s="57"/>
      <c r="CD50" s="57"/>
      <c r="CE50" s="57"/>
      <c r="CF50" s="34"/>
      <c r="CG50" s="57"/>
      <c r="CH50" s="57"/>
    </row>
    <row r="51" spans="1:86" s="56" customFormat="1" ht="12.5" customHeight="1">
      <c r="A51" s="36"/>
      <c r="B51" s="46"/>
      <c r="C51" s="51"/>
      <c r="D51" s="47"/>
      <c r="E51" s="47"/>
      <c r="F51" s="47"/>
      <c r="G51" s="49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2"/>
      <c r="AU51" s="49"/>
      <c r="AV51" s="49"/>
      <c r="AW51" s="49"/>
      <c r="AX51" s="49"/>
      <c r="AY51" s="45"/>
      <c r="AZ51" s="50"/>
      <c r="BA51" s="50"/>
      <c r="BB51" s="32"/>
      <c r="BC51" s="33"/>
      <c r="BD51" s="34"/>
      <c r="BE51" s="34"/>
      <c r="BJ51" s="34"/>
      <c r="BN51" s="57"/>
      <c r="BO51" s="57"/>
      <c r="BP51" s="57"/>
      <c r="BQ51" s="57"/>
      <c r="BR51" s="57"/>
      <c r="BS51" s="57"/>
      <c r="BT51" s="57"/>
      <c r="CD51" s="57"/>
      <c r="CE51" s="49"/>
      <c r="CF51" s="34"/>
      <c r="CG51" s="24"/>
      <c r="CH51" s="57"/>
    </row>
    <row r="52" spans="1:86" s="56" customFormat="1" ht="12.5" customHeight="1">
      <c r="A52" s="36"/>
      <c r="B52" s="53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50"/>
      <c r="BA52" s="50"/>
      <c r="BB52" s="32"/>
      <c r="BC52" s="33"/>
      <c r="BD52" s="34"/>
      <c r="BE52" s="34"/>
      <c r="BF52" s="49"/>
      <c r="BG52" s="34"/>
      <c r="BH52" s="34"/>
      <c r="BJ52" s="57"/>
      <c r="BN52" s="57"/>
      <c r="BO52" s="57"/>
      <c r="BP52" s="57"/>
      <c r="BQ52" s="57"/>
      <c r="BR52" s="57"/>
      <c r="BS52" s="57"/>
      <c r="BT52" s="57"/>
      <c r="CD52" s="57"/>
      <c r="CF52" s="34"/>
      <c r="CH52" s="57"/>
    </row>
    <row r="53" spans="1:86" s="56" customFormat="1" ht="12.5" customHeight="1">
      <c r="A53" s="36"/>
      <c r="B53" s="46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50"/>
      <c r="BA53" s="50"/>
      <c r="BB53" s="41"/>
      <c r="BC53" s="42"/>
      <c r="BD53" s="34"/>
      <c r="BE53" s="57"/>
      <c r="BG53" s="34"/>
      <c r="BJ53" s="57"/>
      <c r="BN53" s="57"/>
      <c r="BO53" s="57"/>
      <c r="BP53" s="57"/>
      <c r="BQ53" s="57"/>
      <c r="BR53" s="57"/>
      <c r="BS53" s="57"/>
      <c r="BT53" s="57"/>
      <c r="CD53" s="57"/>
      <c r="CE53" s="57"/>
      <c r="CF53" s="34"/>
      <c r="CG53" s="57"/>
      <c r="CH53" s="57"/>
    </row>
    <row r="54" spans="1:86" s="56" customFormat="1" ht="12.5" customHeight="1">
      <c r="A54" s="36"/>
      <c r="B54" s="46"/>
      <c r="C54" s="51"/>
      <c r="D54" s="47"/>
      <c r="E54" s="47"/>
      <c r="F54" s="47"/>
      <c r="G54" s="49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2"/>
      <c r="AU54" s="49"/>
      <c r="AV54" s="49"/>
      <c r="AW54" s="49"/>
      <c r="AX54" s="49"/>
      <c r="AY54" s="45"/>
      <c r="AZ54" s="50"/>
      <c r="BA54" s="50"/>
      <c r="BB54" s="32"/>
      <c r="BC54" s="33"/>
      <c r="BD54" s="34"/>
      <c r="BE54" s="57"/>
      <c r="BG54" s="34"/>
      <c r="BJ54" s="57"/>
      <c r="BN54" s="57"/>
      <c r="BO54" s="57"/>
      <c r="BP54" s="57"/>
      <c r="BQ54" s="57"/>
      <c r="BR54" s="57"/>
      <c r="BS54" s="57"/>
      <c r="BT54" s="57"/>
      <c r="CD54" s="57"/>
      <c r="CE54" s="49"/>
      <c r="CF54" s="34"/>
      <c r="CG54" s="57"/>
      <c r="CH54" s="57"/>
    </row>
    <row r="55" spans="1:86" s="56" customFormat="1" ht="12.5" customHeight="1">
      <c r="A55" s="36"/>
      <c r="B55" s="53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50"/>
      <c r="BA55" s="50"/>
      <c r="BB55" s="32"/>
      <c r="BC55" s="33"/>
      <c r="BD55" s="34"/>
      <c r="BE55" s="57"/>
      <c r="BF55" s="49"/>
      <c r="BG55" s="34"/>
      <c r="BH55" s="34"/>
      <c r="BJ55" s="57"/>
      <c r="BN55" s="57"/>
      <c r="BO55" s="57"/>
      <c r="BP55" s="57"/>
      <c r="BQ55" s="57"/>
      <c r="BR55" s="57"/>
      <c r="BS55" s="57"/>
      <c r="BT55" s="57"/>
      <c r="CD55" s="57"/>
      <c r="CF55" s="34"/>
      <c r="CH55" s="57"/>
    </row>
    <row r="56" spans="1:86" s="56" customFormat="1" ht="12.5" customHeight="1">
      <c r="A56" s="36"/>
      <c r="B56" s="53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50"/>
      <c r="BA56" s="50"/>
      <c r="BB56" s="32"/>
      <c r="BC56" s="33"/>
      <c r="BD56" s="34"/>
      <c r="BE56" s="57"/>
      <c r="BG56" s="34"/>
      <c r="BJ56" s="57"/>
      <c r="BN56" s="57"/>
      <c r="BO56" s="57"/>
      <c r="BP56" s="57"/>
      <c r="BQ56" s="57"/>
      <c r="BR56" s="57"/>
      <c r="BS56" s="57"/>
      <c r="BT56" s="57"/>
    </row>
    <row r="57" spans="1:86" s="56" customFormat="1" ht="12.5" customHeight="1">
      <c r="A57" s="36"/>
      <c r="B57" s="46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50"/>
      <c r="BA57" s="50"/>
      <c r="BB57" s="41"/>
      <c r="BC57" s="42"/>
      <c r="BD57" s="34"/>
      <c r="BE57" s="57"/>
      <c r="BG57" s="34"/>
      <c r="BJ57" s="57"/>
      <c r="BN57" s="57"/>
      <c r="BO57" s="57"/>
      <c r="BP57" s="57"/>
      <c r="BQ57" s="57"/>
      <c r="BR57" s="57"/>
      <c r="BS57" s="57"/>
      <c r="BT57" s="57"/>
    </row>
    <row r="58" spans="1:86" s="56" customFormat="1" ht="12.5" customHeight="1">
      <c r="A58" s="36"/>
      <c r="B58" s="53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50"/>
      <c r="BA58" s="50"/>
      <c r="BB58" s="87"/>
      <c r="BC58" s="88"/>
      <c r="BD58" s="34"/>
      <c r="BE58" s="57"/>
      <c r="BF58" s="49"/>
      <c r="BG58" s="34"/>
      <c r="BH58" s="34"/>
      <c r="BJ58" s="57"/>
      <c r="BN58" s="57"/>
      <c r="BO58" s="57"/>
      <c r="BP58" s="57"/>
      <c r="BQ58" s="57"/>
      <c r="BR58" s="57"/>
      <c r="BS58" s="57"/>
      <c r="BT58" s="57"/>
    </row>
    <row r="59" spans="1:86" s="56" customFormat="1" ht="13.5">
      <c r="A59" s="36"/>
      <c r="B59" s="53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50"/>
      <c r="BA59" s="50"/>
      <c r="BB59" s="87"/>
      <c r="BC59" s="88"/>
      <c r="BD59" s="43"/>
      <c r="BE59" s="57"/>
      <c r="BG59" s="34"/>
      <c r="BJ59" s="57"/>
      <c r="BN59" s="57"/>
      <c r="BO59" s="57"/>
      <c r="BP59" s="57"/>
      <c r="BQ59" s="57"/>
      <c r="BR59" s="57"/>
      <c r="BS59" s="57"/>
      <c r="BT59" s="57"/>
    </row>
    <row r="60" spans="1:86" s="56" customFormat="1" ht="15">
      <c r="A60" s="35"/>
      <c r="B60" s="53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50"/>
      <c r="BA60" s="50"/>
      <c r="BB60" s="87"/>
      <c r="BC60" s="88"/>
      <c r="BD60" s="43"/>
      <c r="BE60" s="57"/>
      <c r="BG60" s="34"/>
      <c r="BJ60" s="57"/>
      <c r="BN60" s="57"/>
      <c r="BO60" s="57"/>
      <c r="BP60" s="57"/>
      <c r="BQ60" s="57"/>
      <c r="BR60" s="57"/>
      <c r="BS60" s="57"/>
      <c r="BT60" s="57"/>
    </row>
    <row r="61" spans="1:86" s="56" customFormat="1" ht="15">
      <c r="A61" s="35"/>
      <c r="B61" s="53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50"/>
      <c r="BA61" s="50"/>
      <c r="BB61" s="87"/>
      <c r="BC61" s="88"/>
      <c r="BD61" s="43"/>
      <c r="BE61" s="57"/>
      <c r="BF61" s="49"/>
      <c r="BG61" s="34"/>
      <c r="BH61" s="34"/>
      <c r="BJ61" s="57"/>
      <c r="BN61" s="57"/>
      <c r="BO61" s="57"/>
      <c r="BP61" s="57"/>
      <c r="BQ61" s="57"/>
      <c r="BR61" s="57"/>
      <c r="BS61" s="57"/>
      <c r="BT61" s="57"/>
    </row>
    <row r="62" spans="1:86" s="56" customFormat="1" ht="15">
      <c r="A62" s="35"/>
      <c r="B62" s="53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50"/>
      <c r="BA62" s="50"/>
      <c r="BB62" s="87"/>
      <c r="BC62" s="88"/>
      <c r="BD62" s="43"/>
      <c r="BE62" s="57"/>
      <c r="BG62" s="34"/>
      <c r="BJ62" s="57"/>
      <c r="BN62" s="57"/>
      <c r="BO62" s="57"/>
      <c r="BP62" s="57"/>
      <c r="BQ62" s="57"/>
      <c r="BR62" s="57"/>
      <c r="BS62" s="57"/>
      <c r="BT62" s="57"/>
    </row>
    <row r="63" spans="1:86" s="56" customFormat="1" ht="15">
      <c r="A63" s="35"/>
      <c r="B63" s="53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50"/>
      <c r="BA63" s="50"/>
      <c r="BB63" s="87"/>
      <c r="BC63" s="88"/>
      <c r="BD63" s="43"/>
      <c r="BE63" s="57"/>
      <c r="BJ63" s="57"/>
      <c r="BN63" s="57"/>
      <c r="BO63" s="57"/>
      <c r="BP63" s="57"/>
      <c r="BQ63" s="57"/>
      <c r="BR63" s="57"/>
      <c r="BS63" s="57"/>
      <c r="BT63" s="57"/>
    </row>
    <row r="64" spans="1:86" s="56" customFormat="1" ht="15">
      <c r="A64" s="35"/>
      <c r="B64" s="53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50"/>
      <c r="BA64" s="50"/>
      <c r="BB64" s="87"/>
      <c r="BC64" s="88"/>
      <c r="BD64" s="43"/>
      <c r="BE64" s="57"/>
      <c r="BF64" s="49"/>
      <c r="BG64" s="34"/>
      <c r="BH64" s="34"/>
      <c r="BN64" s="57"/>
      <c r="BO64" s="57"/>
      <c r="BP64" s="57"/>
      <c r="BQ64" s="57"/>
      <c r="BR64" s="57"/>
      <c r="BS64" s="57"/>
      <c r="BT64" s="57"/>
    </row>
    <row r="65" spans="1:72" s="56" customFormat="1" ht="15">
      <c r="A65" s="35"/>
      <c r="B65" s="53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50"/>
      <c r="BA65" s="50"/>
      <c r="BB65" s="87"/>
      <c r="BC65" s="88"/>
      <c r="BD65" s="43"/>
      <c r="BE65" s="57"/>
      <c r="BG65" s="34"/>
      <c r="BN65" s="57"/>
      <c r="BO65" s="57"/>
      <c r="BP65" s="57"/>
      <c r="BQ65" s="57"/>
      <c r="BR65" s="57"/>
      <c r="BS65" s="57"/>
      <c r="BT65" s="57"/>
    </row>
    <row r="66" spans="1:72" s="56" customFormat="1" ht="15">
      <c r="A66" s="35"/>
      <c r="B66" s="53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50"/>
      <c r="BA66" s="50"/>
      <c r="BB66" s="87"/>
      <c r="BC66" s="88"/>
      <c r="BD66" s="43"/>
      <c r="BE66" s="57"/>
      <c r="BJ66" s="57"/>
      <c r="BN66" s="57"/>
      <c r="BO66" s="57"/>
      <c r="BP66" s="57"/>
      <c r="BQ66" s="57"/>
      <c r="BR66" s="57"/>
      <c r="BS66" s="57"/>
      <c r="BT66" s="57"/>
    </row>
    <row r="67" spans="1:72" s="56" customFormat="1" ht="15">
      <c r="A67" s="35"/>
      <c r="B67" s="53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50"/>
      <c r="BA67" s="50"/>
      <c r="BB67" s="87"/>
      <c r="BC67" s="88"/>
      <c r="BD67" s="43"/>
      <c r="BE67" s="57"/>
      <c r="BF67" s="49"/>
      <c r="BG67" s="34"/>
      <c r="BH67" s="34"/>
      <c r="BJ67" s="57"/>
      <c r="BN67" s="57"/>
      <c r="BO67" s="57"/>
      <c r="BP67" s="57"/>
      <c r="BQ67" s="57"/>
      <c r="BR67" s="57"/>
      <c r="BS67" s="57"/>
      <c r="BT67" s="57"/>
    </row>
    <row r="68" spans="1:72" s="56" customFormat="1" ht="15">
      <c r="A68" s="35"/>
      <c r="B68" s="53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50"/>
      <c r="BA68" s="50"/>
      <c r="BB68" s="87"/>
      <c r="BC68" s="88"/>
      <c r="BD68" s="43"/>
      <c r="BE68" s="57"/>
      <c r="BG68" s="34"/>
      <c r="BJ68" s="57"/>
      <c r="BN68" s="57"/>
      <c r="BO68" s="57"/>
      <c r="BP68" s="57"/>
      <c r="BQ68" s="57"/>
      <c r="BR68" s="57"/>
      <c r="BS68" s="57"/>
      <c r="BT68" s="57"/>
    </row>
    <row r="69" spans="1:72" s="56" customFormat="1" ht="15">
      <c r="A69" s="35"/>
      <c r="B69" s="53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50"/>
      <c r="BA69" s="50"/>
      <c r="BB69" s="87"/>
      <c r="BC69" s="88"/>
      <c r="BD69" s="43"/>
      <c r="BE69" s="57"/>
      <c r="BG69" s="34"/>
      <c r="BJ69" s="57"/>
      <c r="BN69" s="57"/>
      <c r="BO69" s="57"/>
      <c r="BP69" s="57"/>
      <c r="BQ69" s="57"/>
      <c r="BR69" s="57"/>
      <c r="BS69" s="57"/>
      <c r="BT69" s="57"/>
    </row>
    <row r="70" spans="1:72" s="56" customFormat="1" ht="15">
      <c r="A70" s="35"/>
      <c r="B70" s="53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50"/>
      <c r="BA70" s="50"/>
      <c r="BB70" s="87"/>
      <c r="BC70" s="88"/>
      <c r="BD70" s="43"/>
      <c r="BE70" s="57"/>
      <c r="BF70" s="49"/>
      <c r="BG70" s="34"/>
      <c r="BH70" s="34"/>
      <c r="BJ70" s="57"/>
      <c r="BN70" s="57"/>
      <c r="BO70" s="57"/>
      <c r="BP70" s="57"/>
      <c r="BQ70" s="57"/>
      <c r="BR70" s="57"/>
      <c r="BS70" s="57"/>
      <c r="BT70" s="57"/>
    </row>
    <row r="71" spans="1:72" s="56" customFormat="1" ht="15">
      <c r="A71" s="35"/>
      <c r="B71" s="53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50"/>
      <c r="BA71" s="50"/>
      <c r="BB71" s="87"/>
      <c r="BC71" s="88"/>
      <c r="BD71" s="43"/>
      <c r="BE71" s="57"/>
      <c r="BG71" s="34"/>
      <c r="BJ71" s="57"/>
      <c r="BN71" s="57"/>
      <c r="BO71" s="57"/>
      <c r="BP71" s="57"/>
      <c r="BQ71" s="57"/>
      <c r="BR71" s="57"/>
      <c r="BS71" s="57"/>
      <c r="BT71" s="57"/>
    </row>
    <row r="72" spans="1:72" s="56" customFormat="1" ht="15">
      <c r="A72" s="35"/>
      <c r="B72" s="53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50"/>
      <c r="BA72" s="50"/>
      <c r="BB72" s="87"/>
      <c r="BC72" s="88"/>
      <c r="BD72" s="43"/>
      <c r="BE72" s="57"/>
      <c r="BG72" s="34"/>
      <c r="BJ72" s="57"/>
      <c r="BN72" s="57"/>
      <c r="BO72" s="57"/>
      <c r="BP72" s="57"/>
      <c r="BQ72" s="57"/>
      <c r="BR72" s="57"/>
      <c r="BS72" s="57"/>
      <c r="BT72" s="57"/>
    </row>
    <row r="73" spans="1:72" s="56" customFormat="1" ht="15">
      <c r="A73" s="35"/>
      <c r="B73" s="53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50"/>
      <c r="BA73" s="50"/>
      <c r="BB73" s="87"/>
      <c r="BC73" s="88"/>
      <c r="BD73" s="43"/>
      <c r="BE73" s="57"/>
      <c r="BF73" s="49"/>
      <c r="BG73" s="34"/>
      <c r="BH73" s="24"/>
      <c r="BJ73" s="57"/>
      <c r="BN73" s="57"/>
      <c r="BO73" s="57"/>
      <c r="BP73" s="57"/>
      <c r="BQ73" s="57"/>
      <c r="BR73" s="57"/>
      <c r="BS73" s="57"/>
      <c r="BT73" s="57"/>
    </row>
    <row r="74" spans="1:72" s="56" customFormat="1" ht="15">
      <c r="A74" s="35"/>
      <c r="B74" s="53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50"/>
      <c r="BA74" s="50"/>
      <c r="BB74" s="87"/>
      <c r="BC74" s="88"/>
      <c r="BD74" s="43"/>
      <c r="BE74" s="57"/>
      <c r="BG74" s="34"/>
      <c r="BJ74" s="57"/>
      <c r="BN74" s="57"/>
      <c r="BO74" s="57"/>
      <c r="BP74" s="57"/>
      <c r="BQ74" s="57"/>
      <c r="BR74" s="57"/>
      <c r="BS74" s="57"/>
      <c r="BT74" s="57"/>
    </row>
    <row r="75" spans="1:72" s="56" customFormat="1" ht="15">
      <c r="A75" s="35"/>
      <c r="B75" s="119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  <c r="AK75" s="120"/>
      <c r="AL75" s="120"/>
      <c r="AM75" s="120"/>
      <c r="AN75" s="120"/>
      <c r="AO75" s="120"/>
      <c r="AP75" s="120"/>
      <c r="AQ75" s="120"/>
      <c r="AR75" s="120"/>
      <c r="AS75" s="120"/>
      <c r="AT75" s="120"/>
      <c r="AU75" s="120"/>
      <c r="AV75" s="120"/>
      <c r="AW75" s="120"/>
      <c r="AX75" s="120"/>
      <c r="AY75" s="120"/>
      <c r="AZ75" s="54"/>
      <c r="BA75" s="54"/>
      <c r="BB75" s="121"/>
      <c r="BC75" s="122"/>
      <c r="BD75" s="43"/>
      <c r="BE75" s="57"/>
      <c r="BF75" s="57"/>
      <c r="BG75" s="34"/>
      <c r="BH75" s="57"/>
      <c r="BJ75" s="57"/>
      <c r="BN75" s="57"/>
      <c r="BO75" s="57"/>
      <c r="BP75" s="57"/>
      <c r="BQ75" s="57"/>
      <c r="BR75" s="57"/>
      <c r="BS75" s="57"/>
      <c r="BT75" s="57"/>
    </row>
    <row r="76" spans="1:72" s="56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44"/>
      <c r="T76" s="44"/>
      <c r="U76" s="44"/>
      <c r="V76" s="44"/>
      <c r="W76" s="35"/>
      <c r="X76" s="35"/>
      <c r="Y76" s="44"/>
      <c r="Z76" s="44"/>
      <c r="AA76" s="35"/>
      <c r="AB76" s="35"/>
      <c r="AC76" s="35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3"/>
      <c r="BE76" s="57"/>
      <c r="BF76" s="49"/>
      <c r="BG76" s="34"/>
      <c r="BH76" s="24"/>
      <c r="BJ76" s="57"/>
      <c r="BN76" s="57"/>
      <c r="BO76" s="57"/>
      <c r="BP76" s="57"/>
      <c r="BQ76" s="57"/>
      <c r="BR76" s="57"/>
      <c r="BS76" s="57"/>
      <c r="BT76" s="57"/>
    </row>
    <row r="77" spans="1:72" s="56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44"/>
      <c r="T77" s="44"/>
      <c r="U77" s="44"/>
      <c r="V77" s="44"/>
      <c r="W77" s="35"/>
      <c r="X77" s="35"/>
      <c r="Y77" s="44"/>
      <c r="Z77" s="44"/>
      <c r="AA77" s="35"/>
      <c r="AB77" s="35"/>
      <c r="AC77" s="35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3"/>
      <c r="BE77" s="57"/>
      <c r="BG77" s="34"/>
      <c r="BJ77" s="57"/>
      <c r="BN77" s="57"/>
      <c r="BO77" s="57"/>
      <c r="BP77" s="57"/>
      <c r="BQ77" s="57"/>
      <c r="BR77" s="57"/>
      <c r="BS77" s="57"/>
      <c r="BT77" s="57"/>
    </row>
    <row r="78" spans="1:72" s="56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44"/>
      <c r="T78" s="44"/>
      <c r="U78" s="44"/>
      <c r="V78" s="44"/>
      <c r="W78" s="35"/>
      <c r="X78" s="35"/>
      <c r="Y78" s="44"/>
      <c r="Z78" s="44"/>
      <c r="AA78" s="35"/>
      <c r="AB78" s="35"/>
      <c r="AC78" s="35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3"/>
      <c r="BE78" s="57"/>
      <c r="BF78" s="57"/>
      <c r="BG78" s="34"/>
      <c r="BH78" s="57"/>
      <c r="BJ78" s="57"/>
      <c r="BN78" s="57"/>
      <c r="BO78" s="57"/>
      <c r="BP78" s="57"/>
      <c r="BQ78" s="57"/>
      <c r="BR78" s="57"/>
      <c r="BS78" s="57"/>
      <c r="BT78" s="57"/>
    </row>
    <row r="79" spans="1:72" s="56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44"/>
      <c r="T79" s="44"/>
      <c r="U79" s="44"/>
      <c r="V79" s="44"/>
      <c r="W79" s="35"/>
      <c r="X79" s="35"/>
      <c r="Y79" s="44"/>
      <c r="Z79" s="44"/>
      <c r="AA79" s="35"/>
      <c r="AB79" s="35"/>
      <c r="AC79" s="35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3"/>
      <c r="BE79" s="57"/>
      <c r="BF79" s="49"/>
      <c r="BG79" s="34"/>
      <c r="BH79" s="57"/>
      <c r="BJ79" s="57"/>
      <c r="BN79" s="57"/>
      <c r="BO79" s="57"/>
      <c r="BP79" s="57"/>
      <c r="BQ79" s="57"/>
      <c r="BR79" s="57"/>
      <c r="BS79" s="57"/>
      <c r="BT79" s="57"/>
    </row>
    <row r="80" spans="1:72" s="56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44"/>
      <c r="T80" s="44"/>
      <c r="U80" s="44"/>
      <c r="V80" s="44"/>
      <c r="W80" s="35"/>
      <c r="X80" s="35"/>
      <c r="Y80" s="44"/>
      <c r="Z80" s="44"/>
      <c r="AA80" s="35"/>
      <c r="AB80" s="35"/>
      <c r="AC80" s="35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3"/>
      <c r="BE80" s="57"/>
      <c r="BG80" s="34"/>
      <c r="BJ80" s="57"/>
      <c r="BN80" s="57"/>
      <c r="BO80" s="57"/>
      <c r="BP80" s="57"/>
      <c r="BQ80" s="57"/>
      <c r="BR80" s="57"/>
      <c r="BS80" s="57"/>
      <c r="BT80" s="57"/>
    </row>
    <row r="81" spans="1:72" s="56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44"/>
      <c r="T81" s="44"/>
      <c r="U81" s="44"/>
      <c r="V81" s="44"/>
      <c r="W81" s="35"/>
      <c r="X81" s="35"/>
      <c r="Y81" s="44"/>
      <c r="Z81" s="44"/>
      <c r="AA81" s="35"/>
      <c r="AB81" s="35"/>
      <c r="AC81" s="35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3"/>
      <c r="BN81" s="57"/>
      <c r="BO81" s="57"/>
      <c r="BP81" s="57"/>
      <c r="BQ81" s="57"/>
      <c r="BR81" s="57"/>
      <c r="BS81" s="57"/>
      <c r="BT81" s="57"/>
    </row>
    <row r="82" spans="1:72" s="56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44"/>
      <c r="T82" s="44"/>
      <c r="U82" s="44"/>
      <c r="V82" s="44"/>
      <c r="W82" s="35"/>
      <c r="X82" s="35"/>
      <c r="Y82" s="44"/>
      <c r="Z82" s="44"/>
      <c r="AA82" s="35"/>
      <c r="AB82" s="35"/>
      <c r="AC82" s="35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3"/>
      <c r="BN82" s="57"/>
      <c r="BO82" s="57"/>
      <c r="BP82" s="57"/>
      <c r="BQ82" s="57"/>
      <c r="BR82" s="57"/>
      <c r="BS82" s="57"/>
      <c r="BT82" s="57"/>
    </row>
    <row r="83" spans="1:72" s="56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44"/>
      <c r="T83" s="44"/>
      <c r="U83" s="44"/>
      <c r="V83" s="44"/>
      <c r="W83" s="35"/>
      <c r="X83" s="35"/>
      <c r="Y83" s="44"/>
      <c r="Z83" s="44"/>
      <c r="AA83" s="35"/>
      <c r="AB83" s="35"/>
      <c r="AC83" s="35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3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</row>
    <row r="84" spans="1:72" s="56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44"/>
      <c r="T84" s="44"/>
      <c r="U84" s="44"/>
      <c r="V84" s="44"/>
      <c r="W84" s="35"/>
      <c r="X84" s="35"/>
      <c r="Y84" s="44"/>
      <c r="Z84" s="44"/>
      <c r="AA84" s="35"/>
      <c r="AB84" s="35"/>
      <c r="AC84" s="35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3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</row>
    <row r="85" spans="1:72" s="56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44"/>
      <c r="T85" s="44"/>
      <c r="U85" s="44"/>
      <c r="V85" s="44"/>
      <c r="W85" s="35"/>
      <c r="X85" s="35"/>
      <c r="Y85" s="44"/>
      <c r="Z85" s="44"/>
      <c r="AA85" s="35"/>
      <c r="AB85" s="35"/>
      <c r="AC85" s="35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3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</row>
    <row r="86" spans="1:72" s="56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44"/>
      <c r="T86" s="44"/>
      <c r="U86" s="44"/>
      <c r="V86" s="44"/>
      <c r="W86" s="35"/>
      <c r="X86" s="35"/>
      <c r="Y86" s="44"/>
      <c r="Z86" s="44"/>
      <c r="AA86" s="35"/>
      <c r="AB86" s="35"/>
      <c r="AC86" s="35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3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</row>
    <row r="87" spans="1:72" s="56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44"/>
      <c r="T87" s="44"/>
      <c r="U87" s="44"/>
      <c r="V87" s="44"/>
      <c r="W87" s="35"/>
      <c r="X87" s="35"/>
      <c r="Y87" s="44"/>
      <c r="Z87" s="44"/>
      <c r="AA87" s="35"/>
      <c r="AB87" s="35"/>
      <c r="AC87" s="35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3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</row>
    <row r="88" spans="1:72" s="56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44"/>
      <c r="T88" s="44"/>
      <c r="U88" s="44"/>
      <c r="V88" s="44"/>
      <c r="W88" s="35"/>
      <c r="X88" s="35"/>
      <c r="Y88" s="44"/>
      <c r="Z88" s="44"/>
      <c r="AA88" s="35"/>
      <c r="AB88" s="35"/>
      <c r="AC88" s="35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3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</row>
    <row r="89" spans="1:72" s="56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44"/>
      <c r="T89" s="44"/>
      <c r="U89" s="44"/>
      <c r="V89" s="44"/>
      <c r="W89" s="35"/>
      <c r="X89" s="35"/>
      <c r="Y89" s="44"/>
      <c r="Z89" s="44"/>
      <c r="AA89" s="35"/>
      <c r="AB89" s="35"/>
      <c r="AC89" s="35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3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</row>
    <row r="90" spans="1:72" s="56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44"/>
      <c r="T90" s="44"/>
      <c r="U90" s="44"/>
      <c r="V90" s="44"/>
      <c r="W90" s="35"/>
      <c r="X90" s="35"/>
      <c r="Y90" s="44"/>
      <c r="Z90" s="44"/>
      <c r="AA90" s="35"/>
      <c r="AB90" s="35"/>
      <c r="AC90" s="35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3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</row>
    <row r="91" spans="1:72" s="56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4"/>
      <c r="T91" s="44"/>
      <c r="U91" s="44"/>
      <c r="V91" s="44"/>
      <c r="W91" s="35"/>
      <c r="X91" s="35"/>
      <c r="Y91" s="44"/>
      <c r="Z91" s="44"/>
      <c r="AA91" s="35"/>
      <c r="AB91" s="35"/>
      <c r="AC91" s="35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3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</row>
    <row r="92" spans="1:72" s="56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4"/>
      <c r="T92" s="44"/>
      <c r="U92" s="44"/>
      <c r="V92" s="44"/>
      <c r="W92" s="35"/>
      <c r="X92" s="35"/>
      <c r="Y92" s="44"/>
      <c r="Z92" s="44"/>
      <c r="AA92" s="35"/>
      <c r="AB92" s="35"/>
      <c r="AC92" s="35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3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</row>
    <row r="93" spans="1:72" s="56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4"/>
      <c r="T93" s="44"/>
      <c r="U93" s="44"/>
      <c r="V93" s="44"/>
      <c r="W93" s="35"/>
      <c r="X93" s="35"/>
      <c r="Y93" s="44"/>
      <c r="Z93" s="44"/>
      <c r="AA93" s="35"/>
      <c r="AB93" s="35"/>
      <c r="AC93" s="35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3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</row>
    <row r="94" spans="1:72" s="56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4"/>
      <c r="T94" s="44"/>
      <c r="U94" s="44"/>
      <c r="V94" s="44"/>
      <c r="W94" s="35"/>
      <c r="X94" s="35"/>
      <c r="Y94" s="44"/>
      <c r="Z94" s="44"/>
      <c r="AA94" s="35"/>
      <c r="AB94" s="35"/>
      <c r="AC94" s="35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3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</row>
    <row r="95" spans="1:72" s="56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4"/>
      <c r="T95" s="44"/>
      <c r="U95" s="44"/>
      <c r="V95" s="44"/>
      <c r="W95" s="35"/>
      <c r="X95" s="35"/>
      <c r="Y95" s="44"/>
      <c r="Z95" s="44"/>
      <c r="AA95" s="35"/>
      <c r="AB95" s="35"/>
      <c r="AC95" s="35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3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</row>
    <row r="96" spans="1:72" s="56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4"/>
      <c r="T96" s="44"/>
      <c r="U96" s="44"/>
      <c r="V96" s="44"/>
      <c r="W96" s="35"/>
      <c r="X96" s="35"/>
      <c r="Y96" s="44"/>
      <c r="Z96" s="44"/>
      <c r="AA96" s="35"/>
      <c r="AB96" s="35"/>
      <c r="AC96" s="35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3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</row>
    <row r="97" spans="1:72" s="56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4"/>
      <c r="T97" s="44"/>
      <c r="U97" s="44"/>
      <c r="V97" s="44"/>
      <c r="W97" s="35"/>
      <c r="X97" s="35"/>
      <c r="Y97" s="44"/>
      <c r="Z97" s="44"/>
      <c r="AA97" s="35"/>
      <c r="AB97" s="35"/>
      <c r="AC97" s="35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3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</row>
    <row r="98" spans="1:72" s="56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4"/>
      <c r="T98" s="44"/>
      <c r="U98" s="44"/>
      <c r="V98" s="44"/>
      <c r="W98" s="35"/>
      <c r="X98" s="35"/>
      <c r="Y98" s="44"/>
      <c r="Z98" s="44"/>
      <c r="AA98" s="35"/>
      <c r="AB98" s="35"/>
      <c r="AC98" s="35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3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</row>
    <row r="99" spans="1:72" s="56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4"/>
      <c r="T99" s="44"/>
      <c r="U99" s="44"/>
      <c r="V99" s="44"/>
      <c r="W99" s="35"/>
      <c r="X99" s="35"/>
      <c r="Y99" s="44"/>
      <c r="Z99" s="44"/>
      <c r="AA99" s="35"/>
      <c r="AB99" s="35"/>
      <c r="AC99" s="35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3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</row>
    <row r="100" spans="1:72" s="56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4"/>
      <c r="T100" s="44"/>
      <c r="U100" s="44"/>
      <c r="V100" s="44"/>
      <c r="W100" s="35"/>
      <c r="X100" s="35"/>
      <c r="Y100" s="44"/>
      <c r="Z100" s="44"/>
      <c r="AA100" s="35"/>
      <c r="AB100" s="35"/>
      <c r="AC100" s="35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3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</row>
    <row r="101" spans="1:72" s="56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4"/>
      <c r="T101" s="44"/>
      <c r="U101" s="44"/>
      <c r="V101" s="44"/>
      <c r="W101" s="35"/>
      <c r="X101" s="35"/>
      <c r="Y101" s="44"/>
      <c r="Z101" s="44"/>
      <c r="AA101" s="35"/>
      <c r="AB101" s="35"/>
      <c r="AC101" s="35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3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</row>
    <row r="102" spans="1:72" s="56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4"/>
      <c r="T102" s="44"/>
      <c r="U102" s="44"/>
      <c r="V102" s="44"/>
      <c r="W102" s="35"/>
      <c r="X102" s="35"/>
      <c r="Y102" s="44"/>
      <c r="Z102" s="44"/>
      <c r="AA102" s="35"/>
      <c r="AB102" s="35"/>
      <c r="AC102" s="35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3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</row>
    <row r="103" spans="1:72" s="56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4"/>
      <c r="T103" s="44"/>
      <c r="U103" s="44"/>
      <c r="V103" s="44"/>
      <c r="W103" s="35"/>
      <c r="X103" s="35"/>
      <c r="Y103" s="44"/>
      <c r="Z103" s="44"/>
      <c r="AA103" s="35"/>
      <c r="AB103" s="35"/>
      <c r="AC103" s="35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3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</row>
    <row r="104" spans="1:72" s="56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4"/>
      <c r="T104" s="44"/>
      <c r="U104" s="44"/>
      <c r="V104" s="44"/>
      <c r="W104" s="35"/>
      <c r="X104" s="35"/>
      <c r="Y104" s="44"/>
      <c r="Z104" s="44"/>
      <c r="AA104" s="35"/>
      <c r="AB104" s="35"/>
      <c r="AC104" s="35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3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</row>
    <row r="105" spans="1:72" s="56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4"/>
      <c r="T105" s="44"/>
      <c r="U105" s="44"/>
      <c r="V105" s="44"/>
      <c r="W105" s="35"/>
      <c r="X105" s="35"/>
      <c r="Y105" s="44"/>
      <c r="Z105" s="44"/>
      <c r="AA105" s="35"/>
      <c r="AB105" s="35"/>
      <c r="AC105" s="35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3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</row>
    <row r="106" spans="1:72" s="56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4"/>
      <c r="T106" s="44"/>
      <c r="U106" s="44"/>
      <c r="V106" s="44"/>
      <c r="W106" s="35"/>
      <c r="X106" s="35"/>
      <c r="Y106" s="44"/>
      <c r="Z106" s="44"/>
      <c r="AA106" s="35"/>
      <c r="AB106" s="35"/>
      <c r="AC106" s="35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3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</row>
    <row r="107" spans="1:72" s="56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4"/>
      <c r="T107" s="44"/>
      <c r="U107" s="44"/>
      <c r="V107" s="44"/>
      <c r="W107" s="35"/>
      <c r="X107" s="35"/>
      <c r="Y107" s="44"/>
      <c r="Z107" s="44"/>
      <c r="AA107" s="35"/>
      <c r="AB107" s="35"/>
      <c r="AC107" s="35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3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</row>
    <row r="108" spans="1:72" s="56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4"/>
      <c r="T108" s="44"/>
      <c r="U108" s="44"/>
      <c r="V108" s="44"/>
      <c r="W108" s="35"/>
      <c r="X108" s="35"/>
      <c r="Y108" s="44"/>
      <c r="Z108" s="44"/>
      <c r="AA108" s="35"/>
      <c r="AB108" s="35"/>
      <c r="AC108" s="35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3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</row>
    <row r="109" spans="1:72" s="56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4"/>
      <c r="T109" s="44"/>
      <c r="U109" s="44"/>
      <c r="V109" s="44"/>
      <c r="W109" s="35"/>
      <c r="X109" s="35"/>
      <c r="Y109" s="44"/>
      <c r="Z109" s="44"/>
      <c r="AA109" s="35"/>
      <c r="AB109" s="35"/>
      <c r="AC109" s="35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3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</row>
    <row r="110" spans="1:72" s="56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4"/>
      <c r="T110" s="44"/>
      <c r="U110" s="44"/>
      <c r="V110" s="44"/>
      <c r="W110" s="35"/>
      <c r="X110" s="35"/>
      <c r="Y110" s="44"/>
      <c r="Z110" s="44"/>
      <c r="AA110" s="35"/>
      <c r="AB110" s="35"/>
      <c r="AC110" s="35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3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</row>
    <row r="111" spans="1:72" s="56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4"/>
      <c r="T111" s="44"/>
      <c r="U111" s="44"/>
      <c r="V111" s="44"/>
      <c r="W111" s="35"/>
      <c r="X111" s="35"/>
      <c r="Y111" s="44"/>
      <c r="Z111" s="44"/>
      <c r="AA111" s="35"/>
      <c r="AB111" s="35"/>
      <c r="AC111" s="35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3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</row>
    <row r="112" spans="1:72" s="56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4"/>
      <c r="T112" s="44"/>
      <c r="U112" s="44"/>
      <c r="V112" s="44"/>
      <c r="W112" s="35"/>
      <c r="X112" s="35"/>
      <c r="Y112" s="44"/>
      <c r="Z112" s="44"/>
      <c r="AA112" s="35"/>
      <c r="AB112" s="35"/>
      <c r="AC112" s="35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3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</row>
    <row r="113" spans="1:72" s="56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4"/>
      <c r="T113" s="44"/>
      <c r="U113" s="44"/>
      <c r="V113" s="44"/>
      <c r="W113" s="35"/>
      <c r="X113" s="35"/>
      <c r="Y113" s="44"/>
      <c r="Z113" s="44"/>
      <c r="AA113" s="35"/>
      <c r="AB113" s="35"/>
      <c r="AC113" s="35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3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</row>
    <row r="114" spans="1:72" s="56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4"/>
      <c r="T114" s="44"/>
      <c r="U114" s="44"/>
      <c r="V114" s="44"/>
      <c r="W114" s="35"/>
      <c r="X114" s="35"/>
      <c r="Y114" s="44"/>
      <c r="Z114" s="44"/>
      <c r="AA114" s="35"/>
      <c r="AB114" s="35"/>
      <c r="AC114" s="35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3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</row>
    <row r="115" spans="1:72" s="56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4"/>
      <c r="T115" s="44"/>
      <c r="U115" s="44"/>
      <c r="V115" s="44"/>
      <c r="W115" s="35"/>
      <c r="X115" s="35"/>
      <c r="Y115" s="44"/>
      <c r="Z115" s="44"/>
      <c r="AA115" s="35"/>
      <c r="AB115" s="35"/>
      <c r="AC115" s="35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3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</row>
    <row r="116" spans="1:72" s="56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4"/>
      <c r="T116" s="44"/>
      <c r="U116" s="44"/>
      <c r="V116" s="44"/>
      <c r="W116" s="35"/>
      <c r="X116" s="35"/>
      <c r="Y116" s="44"/>
      <c r="Z116" s="44"/>
      <c r="AA116" s="35"/>
      <c r="AB116" s="35"/>
      <c r="AC116" s="35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3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</row>
    <row r="117" spans="1:72" s="56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4"/>
      <c r="T117" s="44"/>
      <c r="U117" s="44"/>
      <c r="V117" s="44"/>
      <c r="W117" s="35"/>
      <c r="X117" s="35"/>
      <c r="Y117" s="44"/>
      <c r="Z117" s="44"/>
      <c r="AA117" s="35"/>
      <c r="AB117" s="35"/>
      <c r="AC117" s="35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3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</row>
    <row r="118" spans="1:72" s="56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4"/>
      <c r="T118" s="44"/>
      <c r="U118" s="44"/>
      <c r="V118" s="44"/>
      <c r="W118" s="35"/>
      <c r="X118" s="35"/>
      <c r="Y118" s="44"/>
      <c r="Z118" s="44"/>
      <c r="AA118" s="35"/>
      <c r="AB118" s="35"/>
      <c r="AC118" s="35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3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</row>
    <row r="119" spans="1:72" s="56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4"/>
      <c r="T119" s="44"/>
      <c r="U119" s="44"/>
      <c r="V119" s="44"/>
      <c r="W119" s="35"/>
      <c r="X119" s="35"/>
      <c r="Y119" s="44"/>
      <c r="Z119" s="44"/>
      <c r="AA119" s="35"/>
      <c r="AB119" s="35"/>
      <c r="AC119" s="35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3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</row>
    <row r="120" spans="1:72" s="56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4"/>
      <c r="T120" s="44"/>
      <c r="U120" s="44"/>
      <c r="V120" s="44"/>
      <c r="W120" s="35"/>
      <c r="X120" s="35"/>
      <c r="Y120" s="44"/>
      <c r="Z120" s="44"/>
      <c r="AA120" s="35"/>
      <c r="AB120" s="35"/>
      <c r="AC120" s="35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3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</row>
    <row r="121" spans="1:72" s="56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4"/>
      <c r="T121" s="44"/>
      <c r="U121" s="44"/>
      <c r="V121" s="44"/>
      <c r="W121" s="35"/>
      <c r="X121" s="35"/>
      <c r="Y121" s="44"/>
      <c r="Z121" s="44"/>
      <c r="AA121" s="35"/>
      <c r="AB121" s="35"/>
      <c r="AC121" s="35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3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</row>
    <row r="122" spans="1:72" s="56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4"/>
      <c r="T122" s="44"/>
      <c r="U122" s="44"/>
      <c r="V122" s="44"/>
      <c r="W122" s="35"/>
      <c r="X122" s="35"/>
      <c r="Y122" s="44"/>
      <c r="Z122" s="44"/>
      <c r="AA122" s="35"/>
      <c r="AB122" s="35"/>
      <c r="AC122" s="35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3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</row>
    <row r="123" spans="1:72" s="56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4"/>
      <c r="T123" s="44"/>
      <c r="U123" s="44"/>
      <c r="V123" s="44"/>
      <c r="W123" s="35"/>
      <c r="X123" s="35"/>
      <c r="Y123" s="44"/>
      <c r="Z123" s="44"/>
      <c r="AA123" s="35"/>
      <c r="AB123" s="35"/>
      <c r="AC123" s="35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3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</row>
    <row r="124" spans="1:72" s="56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4"/>
      <c r="T124" s="44"/>
      <c r="U124" s="44"/>
      <c r="V124" s="44"/>
      <c r="W124" s="35"/>
      <c r="X124" s="35"/>
      <c r="Y124" s="44"/>
      <c r="Z124" s="44"/>
      <c r="AA124" s="35"/>
      <c r="AB124" s="35"/>
      <c r="AC124" s="35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3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</row>
    <row r="125" spans="1:72" s="56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4"/>
      <c r="T125" s="44"/>
      <c r="U125" s="44"/>
      <c r="V125" s="44"/>
      <c r="W125" s="35"/>
      <c r="X125" s="35"/>
      <c r="Y125" s="44"/>
      <c r="Z125" s="44"/>
      <c r="AA125" s="35"/>
      <c r="AB125" s="35"/>
      <c r="AC125" s="35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3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</row>
    <row r="126" spans="1:72" s="56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4"/>
      <c r="T126" s="44"/>
      <c r="U126" s="44"/>
      <c r="V126" s="44"/>
      <c r="W126" s="35"/>
      <c r="X126" s="35"/>
      <c r="Y126" s="44"/>
      <c r="Z126" s="44"/>
      <c r="AA126" s="35"/>
      <c r="AB126" s="35"/>
      <c r="AC126" s="35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3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</row>
    <row r="127" spans="1:72" s="56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4"/>
      <c r="T127" s="44"/>
      <c r="U127" s="44"/>
      <c r="V127" s="44"/>
      <c r="W127" s="35"/>
      <c r="X127" s="35"/>
      <c r="Y127" s="44"/>
      <c r="Z127" s="44"/>
      <c r="AA127" s="35"/>
      <c r="AB127" s="35"/>
      <c r="AC127" s="35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3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</row>
    <row r="128" spans="1:72" s="56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4"/>
      <c r="T128" s="44"/>
      <c r="U128" s="44"/>
      <c r="V128" s="44"/>
      <c r="W128" s="35"/>
      <c r="X128" s="35"/>
      <c r="Y128" s="44"/>
      <c r="Z128" s="44"/>
      <c r="AA128" s="35"/>
      <c r="AB128" s="35"/>
      <c r="AC128" s="35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3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</row>
    <row r="129" spans="1:72" s="56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4"/>
      <c r="T129" s="44"/>
      <c r="U129" s="44"/>
      <c r="V129" s="44"/>
      <c r="W129" s="35"/>
      <c r="X129" s="35"/>
      <c r="Y129" s="44"/>
      <c r="Z129" s="44"/>
      <c r="AA129" s="35"/>
      <c r="AB129" s="35"/>
      <c r="AC129" s="35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3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</row>
    <row r="130" spans="1:72" s="56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4"/>
      <c r="T130" s="44"/>
      <c r="U130" s="44"/>
      <c r="V130" s="44"/>
      <c r="W130" s="35"/>
      <c r="X130" s="35"/>
      <c r="Y130" s="44"/>
      <c r="Z130" s="44"/>
      <c r="AA130" s="35"/>
      <c r="AB130" s="35"/>
      <c r="AC130" s="35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3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</row>
    <row r="131" spans="1:72" s="56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4"/>
      <c r="T131" s="44"/>
      <c r="U131" s="44"/>
      <c r="V131" s="44"/>
      <c r="W131" s="35"/>
      <c r="X131" s="35"/>
      <c r="Y131" s="44"/>
      <c r="Z131" s="44"/>
      <c r="AA131" s="35"/>
      <c r="AB131" s="35"/>
      <c r="AC131" s="35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3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</row>
    <row r="132" spans="1:72" s="56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4"/>
      <c r="T132" s="44"/>
      <c r="U132" s="44"/>
      <c r="V132" s="44"/>
      <c r="W132" s="35"/>
      <c r="X132" s="35"/>
      <c r="Y132" s="44"/>
      <c r="Z132" s="44"/>
      <c r="AA132" s="35"/>
      <c r="AB132" s="35"/>
      <c r="AC132" s="35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3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</row>
    <row r="133" spans="1:72" s="56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4"/>
      <c r="T133" s="44"/>
      <c r="U133" s="44"/>
      <c r="V133" s="44"/>
      <c r="W133" s="35"/>
      <c r="X133" s="35"/>
      <c r="Y133" s="44"/>
      <c r="Z133" s="44"/>
      <c r="AA133" s="35"/>
      <c r="AB133" s="35"/>
      <c r="AC133" s="35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3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</row>
    <row r="134" spans="1:72" s="56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4"/>
      <c r="T134" s="44"/>
      <c r="U134" s="44"/>
      <c r="V134" s="44"/>
      <c r="W134" s="35"/>
      <c r="X134" s="35"/>
      <c r="Y134" s="44"/>
      <c r="Z134" s="44"/>
      <c r="AA134" s="35"/>
      <c r="AB134" s="35"/>
      <c r="AC134" s="35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3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</row>
    <row r="135" spans="1:72" s="56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4"/>
      <c r="T135" s="44"/>
      <c r="U135" s="44"/>
      <c r="V135" s="44"/>
      <c r="W135" s="35"/>
      <c r="X135" s="35"/>
      <c r="Y135" s="44"/>
      <c r="Z135" s="44"/>
      <c r="AA135" s="35"/>
      <c r="AB135" s="35"/>
      <c r="AC135" s="35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3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</row>
    <row r="136" spans="1:72" s="56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4"/>
      <c r="T136" s="44"/>
      <c r="U136" s="44"/>
      <c r="V136" s="44"/>
      <c r="W136" s="35"/>
      <c r="X136" s="35"/>
      <c r="Y136" s="44"/>
      <c r="Z136" s="44"/>
      <c r="AA136" s="35"/>
      <c r="AB136" s="35"/>
      <c r="AC136" s="35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3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</row>
    <row r="137" spans="1:72" s="56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4"/>
      <c r="T137" s="44"/>
      <c r="U137" s="44"/>
      <c r="V137" s="44"/>
      <c r="W137" s="35"/>
      <c r="X137" s="35"/>
      <c r="Y137" s="44"/>
      <c r="Z137" s="44"/>
      <c r="AA137" s="35"/>
      <c r="AB137" s="35"/>
      <c r="AC137" s="35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3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</row>
    <row r="138" spans="1:72" s="56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4"/>
      <c r="T138" s="44"/>
      <c r="U138" s="44"/>
      <c r="V138" s="44"/>
      <c r="W138" s="35"/>
      <c r="X138" s="35"/>
      <c r="Y138" s="44"/>
      <c r="Z138" s="44"/>
      <c r="AA138" s="35"/>
      <c r="AB138" s="35"/>
      <c r="AC138" s="35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3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</row>
    <row r="139" spans="1:72" s="56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4"/>
      <c r="T139" s="44"/>
      <c r="U139" s="44"/>
      <c r="V139" s="44"/>
      <c r="W139" s="35"/>
      <c r="X139" s="35"/>
      <c r="Y139" s="44"/>
      <c r="Z139" s="44"/>
      <c r="AA139" s="35"/>
      <c r="AB139" s="35"/>
      <c r="AC139" s="35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3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</row>
    <row r="140" spans="1:72" s="56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4"/>
      <c r="T140" s="44"/>
      <c r="U140" s="44"/>
      <c r="V140" s="44"/>
      <c r="W140" s="35"/>
      <c r="X140" s="35"/>
      <c r="Y140" s="44"/>
      <c r="Z140" s="44"/>
      <c r="AA140" s="35"/>
      <c r="AB140" s="35"/>
      <c r="AC140" s="35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3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</row>
    <row r="141" spans="1:72" s="56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4"/>
      <c r="T141" s="44"/>
      <c r="U141" s="44"/>
      <c r="V141" s="44"/>
      <c r="W141" s="35"/>
      <c r="X141" s="35"/>
      <c r="Y141" s="44"/>
      <c r="Z141" s="44"/>
      <c r="AA141" s="35"/>
      <c r="AB141" s="35"/>
      <c r="AC141" s="35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3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</row>
    <row r="142" spans="1:72" s="56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4"/>
      <c r="T142" s="44"/>
      <c r="U142" s="44"/>
      <c r="V142" s="44"/>
      <c r="W142" s="35"/>
      <c r="X142" s="35"/>
      <c r="Y142" s="44"/>
      <c r="Z142" s="44"/>
      <c r="AA142" s="35"/>
      <c r="AB142" s="35"/>
      <c r="AC142" s="35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3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</row>
    <row r="143" spans="1:72" s="56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4"/>
      <c r="T143" s="44"/>
      <c r="U143" s="44"/>
      <c r="V143" s="44"/>
      <c r="W143" s="35"/>
      <c r="X143" s="35"/>
      <c r="Y143" s="44"/>
      <c r="Z143" s="44"/>
      <c r="AA143" s="35"/>
      <c r="AB143" s="35"/>
      <c r="AC143" s="35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3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</row>
    <row r="144" spans="1:72" s="56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4"/>
      <c r="T144" s="44"/>
      <c r="U144" s="44"/>
      <c r="V144" s="44"/>
      <c r="W144" s="35"/>
      <c r="X144" s="35"/>
      <c r="Y144" s="44"/>
      <c r="Z144" s="44"/>
      <c r="AA144" s="35"/>
      <c r="AB144" s="35"/>
      <c r="AC144" s="35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3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</row>
    <row r="145" spans="1:72" s="56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4"/>
      <c r="T145" s="44"/>
      <c r="U145" s="44"/>
      <c r="V145" s="44"/>
      <c r="W145" s="35"/>
      <c r="X145" s="35"/>
      <c r="Y145" s="44"/>
      <c r="Z145" s="44"/>
      <c r="AA145" s="35"/>
      <c r="AB145" s="35"/>
      <c r="AC145" s="35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3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</row>
    <row r="146" spans="1:72" s="56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4"/>
      <c r="T146" s="44"/>
      <c r="U146" s="44"/>
      <c r="V146" s="44"/>
      <c r="W146" s="35"/>
      <c r="X146" s="35"/>
      <c r="Y146" s="44"/>
      <c r="Z146" s="44"/>
      <c r="AA146" s="35"/>
      <c r="AB146" s="35"/>
      <c r="AC146" s="35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3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</row>
    <row r="147" spans="1:72" s="56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4"/>
      <c r="T147" s="44"/>
      <c r="U147" s="44"/>
      <c r="V147" s="44"/>
      <c r="W147" s="35"/>
      <c r="X147" s="35"/>
      <c r="Y147" s="44"/>
      <c r="Z147" s="44"/>
      <c r="AA147" s="35"/>
      <c r="AB147" s="35"/>
      <c r="AC147" s="35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3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</row>
    <row r="148" spans="1:72" s="56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4"/>
      <c r="T148" s="44"/>
      <c r="U148" s="44"/>
      <c r="V148" s="44"/>
      <c r="W148" s="35"/>
      <c r="X148" s="35"/>
      <c r="Y148" s="44"/>
      <c r="Z148" s="44"/>
      <c r="AA148" s="35"/>
      <c r="AB148" s="35"/>
      <c r="AC148" s="35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3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</row>
    <row r="149" spans="1:72" s="56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4"/>
      <c r="T149" s="44"/>
      <c r="U149" s="44"/>
      <c r="V149" s="44"/>
      <c r="W149" s="35"/>
      <c r="X149" s="35"/>
      <c r="Y149" s="44"/>
      <c r="Z149" s="44"/>
      <c r="AA149" s="35"/>
      <c r="AB149" s="35"/>
      <c r="AC149" s="35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3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</row>
    <row r="150" spans="1:72" s="56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4"/>
      <c r="T150" s="44"/>
      <c r="U150" s="44"/>
      <c r="V150" s="44"/>
      <c r="W150" s="35"/>
      <c r="X150" s="35"/>
      <c r="Y150" s="44"/>
      <c r="Z150" s="44"/>
      <c r="AA150" s="35"/>
      <c r="AB150" s="35"/>
      <c r="AC150" s="35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3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</row>
    <row r="151" spans="1:72" s="56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4"/>
      <c r="T151" s="44"/>
      <c r="U151" s="44"/>
      <c r="V151" s="44"/>
      <c r="W151" s="35"/>
      <c r="X151" s="35"/>
      <c r="Y151" s="44"/>
      <c r="Z151" s="44"/>
      <c r="AA151" s="35"/>
      <c r="AB151" s="35"/>
      <c r="AC151" s="35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3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</row>
    <row r="152" spans="1:72" s="56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4"/>
      <c r="T152" s="44"/>
      <c r="U152" s="44"/>
      <c r="V152" s="44"/>
      <c r="W152" s="35"/>
      <c r="X152" s="35"/>
      <c r="Y152" s="44"/>
      <c r="Z152" s="44"/>
      <c r="AA152" s="35"/>
      <c r="AB152" s="35"/>
      <c r="AC152" s="35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3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</row>
    <row r="153" spans="1:72" s="56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4"/>
      <c r="T153" s="44"/>
      <c r="U153" s="44"/>
      <c r="V153" s="44"/>
      <c r="W153" s="35"/>
      <c r="X153" s="35"/>
      <c r="Y153" s="44"/>
      <c r="Z153" s="44"/>
      <c r="AA153" s="35"/>
      <c r="AB153" s="35"/>
      <c r="AC153" s="35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3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</row>
    <row r="154" spans="1:72" s="56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4"/>
      <c r="T154" s="44"/>
      <c r="U154" s="44"/>
      <c r="V154" s="44"/>
      <c r="W154" s="35"/>
      <c r="X154" s="35"/>
      <c r="Y154" s="44"/>
      <c r="Z154" s="44"/>
      <c r="AA154" s="35"/>
      <c r="AB154" s="35"/>
      <c r="AC154" s="35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3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</row>
    <row r="155" spans="1:72" s="56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4"/>
      <c r="T155" s="44"/>
      <c r="U155" s="44"/>
      <c r="V155" s="44"/>
      <c r="W155" s="35"/>
      <c r="X155" s="35"/>
      <c r="Y155" s="44"/>
      <c r="Z155" s="44"/>
      <c r="AA155" s="35"/>
      <c r="AB155" s="35"/>
      <c r="AC155" s="35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3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</row>
    <row r="156" spans="1:72" s="56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4"/>
      <c r="T156" s="44"/>
      <c r="U156" s="44"/>
      <c r="V156" s="44"/>
      <c r="W156" s="35"/>
      <c r="X156" s="35"/>
      <c r="Y156" s="44"/>
      <c r="Z156" s="44"/>
      <c r="AA156" s="35"/>
      <c r="AB156" s="35"/>
      <c r="AC156" s="35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3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</row>
    <row r="157" spans="1:72" s="56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4"/>
      <c r="T157" s="44"/>
      <c r="U157" s="44"/>
      <c r="V157" s="44"/>
      <c r="W157" s="35"/>
      <c r="X157" s="35"/>
      <c r="Y157" s="44"/>
      <c r="Z157" s="44"/>
      <c r="AA157" s="35"/>
      <c r="AB157" s="35"/>
      <c r="AC157" s="35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3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</row>
    <row r="158" spans="1:72" s="56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4"/>
      <c r="T158" s="44"/>
      <c r="U158" s="44"/>
      <c r="V158" s="44"/>
      <c r="W158" s="35"/>
      <c r="X158" s="35"/>
      <c r="Y158" s="44"/>
      <c r="Z158" s="44"/>
      <c r="AA158" s="35"/>
      <c r="AB158" s="35"/>
      <c r="AC158" s="35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3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</row>
    <row r="159" spans="1:72" s="56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4"/>
      <c r="T159" s="44"/>
      <c r="U159" s="44"/>
      <c r="V159" s="44"/>
      <c r="W159" s="35"/>
      <c r="X159" s="35"/>
      <c r="Y159" s="44"/>
      <c r="Z159" s="44"/>
      <c r="AA159" s="35"/>
      <c r="AB159" s="35"/>
      <c r="AC159" s="35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3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</row>
    <row r="160" spans="1:72" s="56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4"/>
      <c r="T160" s="44"/>
      <c r="U160" s="44"/>
      <c r="V160" s="44"/>
      <c r="W160" s="35"/>
      <c r="X160" s="35"/>
      <c r="Y160" s="44"/>
      <c r="Z160" s="44"/>
      <c r="AA160" s="35"/>
      <c r="AB160" s="35"/>
      <c r="AC160" s="35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3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</row>
    <row r="161" spans="1:72" s="56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4"/>
      <c r="T161" s="44"/>
      <c r="U161" s="44"/>
      <c r="V161" s="44"/>
      <c r="W161" s="35"/>
      <c r="X161" s="35"/>
      <c r="Y161" s="44"/>
      <c r="Z161" s="44"/>
      <c r="AA161" s="35"/>
      <c r="AB161" s="35"/>
      <c r="AC161" s="35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3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</row>
    <row r="162" spans="1:72" s="56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4"/>
      <c r="T162" s="44"/>
      <c r="U162" s="44"/>
      <c r="V162" s="44"/>
      <c r="W162" s="35"/>
      <c r="X162" s="35"/>
      <c r="Y162" s="44"/>
      <c r="Z162" s="44"/>
      <c r="AA162" s="35"/>
      <c r="AB162" s="35"/>
      <c r="AC162" s="35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3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</row>
    <row r="163" spans="1:72" s="56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4"/>
      <c r="T163" s="44"/>
      <c r="U163" s="44"/>
      <c r="V163" s="44"/>
      <c r="W163" s="35"/>
      <c r="X163" s="35"/>
      <c r="Y163" s="44"/>
      <c r="Z163" s="44"/>
      <c r="AA163" s="35"/>
      <c r="AB163" s="35"/>
      <c r="AC163" s="35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3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</row>
    <row r="164" spans="1:72" s="56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4"/>
      <c r="T164" s="44"/>
      <c r="U164" s="44"/>
      <c r="V164" s="44"/>
      <c r="W164" s="35"/>
      <c r="X164" s="35"/>
      <c r="Y164" s="44"/>
      <c r="Z164" s="44"/>
      <c r="AA164" s="35"/>
      <c r="AB164" s="35"/>
      <c r="AC164" s="35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3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</row>
    <row r="165" spans="1:72" s="56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4"/>
      <c r="T165" s="44"/>
      <c r="U165" s="44"/>
      <c r="V165" s="44"/>
      <c r="W165" s="35"/>
      <c r="X165" s="35"/>
      <c r="Y165" s="44"/>
      <c r="Z165" s="44"/>
      <c r="AA165" s="35"/>
      <c r="AB165" s="35"/>
      <c r="AC165" s="35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3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</row>
  </sheetData>
  <mergeCells count="30">
    <mergeCell ref="BE7:BG7"/>
    <mergeCell ref="AS9:AV10"/>
    <mergeCell ref="AZ1:BC1"/>
    <mergeCell ref="AS2:AU2"/>
    <mergeCell ref="AN2:AR2"/>
    <mergeCell ref="AQ17:AR17"/>
    <mergeCell ref="AN1:AR1"/>
    <mergeCell ref="AS1:AU1"/>
    <mergeCell ref="AV1:AY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4:Y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A31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2" width="2.90625" style="61" customWidth="1"/>
    <col min="3" max="10" width="2.6328125" style="61" customWidth="1"/>
    <col min="11" max="16" width="3.26953125" style="61" customWidth="1"/>
    <col min="17" max="27" width="2.6328125" style="61"/>
    <col min="28" max="34" width="2.453125" style="109"/>
    <col min="35" max="44" width="2.6328125" style="47"/>
    <col min="45" max="53" width="2.6328125" style="61"/>
    <col min="54" max="54" width="2.6328125" style="61" customWidth="1"/>
    <col min="55" max="240" width="2.6328125" style="61"/>
    <col min="241" max="241" width="4" style="61" customWidth="1"/>
    <col min="242" max="273" width="2.6328125" style="61"/>
    <col min="274" max="274" width="2.6328125" style="61" customWidth="1"/>
    <col min="275" max="496" width="2.6328125" style="61"/>
    <col min="497" max="497" width="4" style="61" customWidth="1"/>
    <col min="498" max="529" width="2.6328125" style="61"/>
    <col min="530" max="530" width="2.6328125" style="61" customWidth="1"/>
    <col min="531" max="752" width="2.6328125" style="61"/>
    <col min="753" max="753" width="4" style="61" customWidth="1"/>
    <col min="754" max="785" width="2.6328125" style="61"/>
    <col min="786" max="786" width="2.6328125" style="61" customWidth="1"/>
    <col min="787" max="1008" width="2.6328125" style="61"/>
    <col min="1009" max="1009" width="4" style="61" customWidth="1"/>
    <col min="1010" max="1041" width="2.6328125" style="61"/>
    <col min="1042" max="1042" width="2.6328125" style="61" customWidth="1"/>
    <col min="1043" max="1264" width="2.6328125" style="61"/>
    <col min="1265" max="1265" width="4" style="61" customWidth="1"/>
    <col min="1266" max="1297" width="2.6328125" style="61"/>
    <col min="1298" max="1298" width="2.6328125" style="61" customWidth="1"/>
    <col min="1299" max="1520" width="2.6328125" style="61"/>
    <col min="1521" max="1521" width="4" style="61" customWidth="1"/>
    <col min="1522" max="1553" width="2.6328125" style="61"/>
    <col min="1554" max="1554" width="2.6328125" style="61" customWidth="1"/>
    <col min="1555" max="1776" width="2.6328125" style="61"/>
    <col min="1777" max="1777" width="4" style="61" customWidth="1"/>
    <col min="1778" max="1809" width="2.6328125" style="61"/>
    <col min="1810" max="1810" width="2.6328125" style="61" customWidth="1"/>
    <col min="1811" max="2032" width="2.6328125" style="61"/>
    <col min="2033" max="2033" width="4" style="61" customWidth="1"/>
    <col min="2034" max="2065" width="2.6328125" style="61"/>
    <col min="2066" max="2066" width="2.6328125" style="61" customWidth="1"/>
    <col min="2067" max="2288" width="2.6328125" style="61"/>
    <col min="2289" max="2289" width="4" style="61" customWidth="1"/>
    <col min="2290" max="2321" width="2.6328125" style="61"/>
    <col min="2322" max="2322" width="2.6328125" style="61" customWidth="1"/>
    <col min="2323" max="2544" width="2.6328125" style="61"/>
    <col min="2545" max="2545" width="4" style="61" customWidth="1"/>
    <col min="2546" max="2577" width="2.6328125" style="61"/>
    <col min="2578" max="2578" width="2.6328125" style="61" customWidth="1"/>
    <col min="2579" max="2800" width="2.6328125" style="61"/>
    <col min="2801" max="2801" width="4" style="61" customWidth="1"/>
    <col min="2802" max="2833" width="2.6328125" style="61"/>
    <col min="2834" max="2834" width="2.6328125" style="61" customWidth="1"/>
    <col min="2835" max="3056" width="2.6328125" style="61"/>
    <col min="3057" max="3057" width="4" style="61" customWidth="1"/>
    <col min="3058" max="3089" width="2.6328125" style="61"/>
    <col min="3090" max="3090" width="2.6328125" style="61" customWidth="1"/>
    <col min="3091" max="3312" width="2.6328125" style="61"/>
    <col min="3313" max="3313" width="4" style="61" customWidth="1"/>
    <col min="3314" max="3345" width="2.6328125" style="61"/>
    <col min="3346" max="3346" width="2.6328125" style="61" customWidth="1"/>
    <col min="3347" max="3568" width="2.6328125" style="61"/>
    <col min="3569" max="3569" width="4" style="61" customWidth="1"/>
    <col min="3570" max="3601" width="2.6328125" style="61"/>
    <col min="3602" max="3602" width="2.6328125" style="61" customWidth="1"/>
    <col min="3603" max="3824" width="2.6328125" style="61"/>
    <col min="3825" max="3825" width="4" style="61" customWidth="1"/>
    <col min="3826" max="3857" width="2.6328125" style="61"/>
    <col min="3858" max="3858" width="2.6328125" style="61" customWidth="1"/>
    <col min="3859" max="4080" width="2.6328125" style="61"/>
    <col min="4081" max="4081" width="4" style="61" customWidth="1"/>
    <col min="4082" max="4113" width="2.6328125" style="61"/>
    <col min="4114" max="4114" width="2.6328125" style="61" customWidth="1"/>
    <col min="4115" max="4336" width="2.6328125" style="61"/>
    <col min="4337" max="4337" width="4" style="61" customWidth="1"/>
    <col min="4338" max="4369" width="2.6328125" style="61"/>
    <col min="4370" max="4370" width="2.6328125" style="61" customWidth="1"/>
    <col min="4371" max="4592" width="2.6328125" style="61"/>
    <col min="4593" max="4593" width="4" style="61" customWidth="1"/>
    <col min="4594" max="4625" width="2.6328125" style="61"/>
    <col min="4626" max="4626" width="2.6328125" style="61" customWidth="1"/>
    <col min="4627" max="4848" width="2.6328125" style="61"/>
    <col min="4849" max="4849" width="4" style="61" customWidth="1"/>
    <col min="4850" max="4881" width="2.6328125" style="61"/>
    <col min="4882" max="4882" width="2.6328125" style="61" customWidth="1"/>
    <col min="4883" max="5104" width="2.6328125" style="61"/>
    <col min="5105" max="5105" width="4" style="61" customWidth="1"/>
    <col min="5106" max="5137" width="2.6328125" style="61"/>
    <col min="5138" max="5138" width="2.6328125" style="61" customWidth="1"/>
    <col min="5139" max="5360" width="2.6328125" style="61"/>
    <col min="5361" max="5361" width="4" style="61" customWidth="1"/>
    <col min="5362" max="5393" width="2.6328125" style="61"/>
    <col min="5394" max="5394" width="2.6328125" style="61" customWidth="1"/>
    <col min="5395" max="5616" width="2.6328125" style="61"/>
    <col min="5617" max="5617" width="4" style="61" customWidth="1"/>
    <col min="5618" max="5649" width="2.6328125" style="61"/>
    <col min="5650" max="5650" width="2.6328125" style="61" customWidth="1"/>
    <col min="5651" max="5872" width="2.6328125" style="61"/>
    <col min="5873" max="5873" width="4" style="61" customWidth="1"/>
    <col min="5874" max="5905" width="2.6328125" style="61"/>
    <col min="5906" max="5906" width="2.6328125" style="61" customWidth="1"/>
    <col min="5907" max="6128" width="2.6328125" style="61"/>
    <col min="6129" max="6129" width="4" style="61" customWidth="1"/>
    <col min="6130" max="6161" width="2.6328125" style="61"/>
    <col min="6162" max="6162" width="2.6328125" style="61" customWidth="1"/>
    <col min="6163" max="6384" width="2.6328125" style="61"/>
    <col min="6385" max="6385" width="4" style="61" customWidth="1"/>
    <col min="6386" max="6417" width="2.6328125" style="61"/>
    <col min="6418" max="6418" width="2.6328125" style="61" customWidth="1"/>
    <col min="6419" max="6640" width="2.6328125" style="61"/>
    <col min="6641" max="6641" width="4" style="61" customWidth="1"/>
    <col min="6642" max="6673" width="2.6328125" style="61"/>
    <col min="6674" max="6674" width="2.6328125" style="61" customWidth="1"/>
    <col min="6675" max="6896" width="2.6328125" style="61"/>
    <col min="6897" max="6897" width="4" style="61" customWidth="1"/>
    <col min="6898" max="6929" width="2.6328125" style="61"/>
    <col min="6930" max="6930" width="2.6328125" style="61" customWidth="1"/>
    <col min="6931" max="7152" width="2.6328125" style="61"/>
    <col min="7153" max="7153" width="4" style="61" customWidth="1"/>
    <col min="7154" max="7185" width="2.6328125" style="61"/>
    <col min="7186" max="7186" width="2.6328125" style="61" customWidth="1"/>
    <col min="7187" max="7408" width="2.6328125" style="61"/>
    <col min="7409" max="7409" width="4" style="61" customWidth="1"/>
    <col min="7410" max="7441" width="2.6328125" style="61"/>
    <col min="7442" max="7442" width="2.6328125" style="61" customWidth="1"/>
    <col min="7443" max="7664" width="2.6328125" style="61"/>
    <col min="7665" max="7665" width="4" style="61" customWidth="1"/>
    <col min="7666" max="7697" width="2.6328125" style="61"/>
    <col min="7698" max="7698" width="2.6328125" style="61" customWidth="1"/>
    <col min="7699" max="7920" width="2.6328125" style="61"/>
    <col min="7921" max="7921" width="4" style="61" customWidth="1"/>
    <col min="7922" max="7953" width="2.6328125" style="61"/>
    <col min="7954" max="7954" width="2.6328125" style="61" customWidth="1"/>
    <col min="7955" max="8176" width="2.6328125" style="61"/>
    <col min="8177" max="8177" width="4" style="61" customWidth="1"/>
    <col min="8178" max="8209" width="2.6328125" style="61"/>
    <col min="8210" max="8210" width="2.6328125" style="61" customWidth="1"/>
    <col min="8211" max="8432" width="2.6328125" style="61"/>
    <col min="8433" max="8433" width="4" style="61" customWidth="1"/>
    <col min="8434" max="8465" width="2.6328125" style="61"/>
    <col min="8466" max="8466" width="2.6328125" style="61" customWidth="1"/>
    <col min="8467" max="8688" width="2.6328125" style="61"/>
    <col min="8689" max="8689" width="4" style="61" customWidth="1"/>
    <col min="8690" max="8721" width="2.6328125" style="61"/>
    <col min="8722" max="8722" width="2.6328125" style="61" customWidth="1"/>
    <col min="8723" max="8944" width="2.6328125" style="61"/>
    <col min="8945" max="8945" width="4" style="61" customWidth="1"/>
    <col min="8946" max="8977" width="2.6328125" style="61"/>
    <col min="8978" max="8978" width="2.6328125" style="61" customWidth="1"/>
    <col min="8979" max="9200" width="2.6328125" style="61"/>
    <col min="9201" max="9201" width="4" style="61" customWidth="1"/>
    <col min="9202" max="9233" width="2.6328125" style="61"/>
    <col min="9234" max="9234" width="2.6328125" style="61" customWidth="1"/>
    <col min="9235" max="9456" width="2.6328125" style="61"/>
    <col min="9457" max="9457" width="4" style="61" customWidth="1"/>
    <col min="9458" max="9489" width="2.6328125" style="61"/>
    <col min="9490" max="9490" width="2.6328125" style="61" customWidth="1"/>
    <col min="9491" max="9712" width="2.6328125" style="61"/>
    <col min="9713" max="9713" width="4" style="61" customWidth="1"/>
    <col min="9714" max="9745" width="2.6328125" style="61"/>
    <col min="9746" max="9746" width="2.6328125" style="61" customWidth="1"/>
    <col min="9747" max="9968" width="2.6328125" style="61"/>
    <col min="9969" max="9969" width="4" style="61" customWidth="1"/>
    <col min="9970" max="10001" width="2.6328125" style="61"/>
    <col min="10002" max="10002" width="2.6328125" style="61" customWidth="1"/>
    <col min="10003" max="10224" width="2.6328125" style="61"/>
    <col min="10225" max="10225" width="4" style="61" customWidth="1"/>
    <col min="10226" max="10257" width="2.6328125" style="61"/>
    <col min="10258" max="10258" width="2.6328125" style="61" customWidth="1"/>
    <col min="10259" max="10480" width="2.6328125" style="61"/>
    <col min="10481" max="10481" width="4" style="61" customWidth="1"/>
    <col min="10482" max="10513" width="2.6328125" style="61"/>
    <col min="10514" max="10514" width="2.6328125" style="61" customWidth="1"/>
    <col min="10515" max="10736" width="2.6328125" style="61"/>
    <col min="10737" max="10737" width="4" style="61" customWidth="1"/>
    <col min="10738" max="10769" width="2.6328125" style="61"/>
    <col min="10770" max="10770" width="2.6328125" style="61" customWidth="1"/>
    <col min="10771" max="10992" width="2.6328125" style="61"/>
    <col min="10993" max="10993" width="4" style="61" customWidth="1"/>
    <col min="10994" max="11025" width="2.6328125" style="61"/>
    <col min="11026" max="11026" width="2.6328125" style="61" customWidth="1"/>
    <col min="11027" max="11248" width="2.6328125" style="61"/>
    <col min="11249" max="11249" width="4" style="61" customWidth="1"/>
    <col min="11250" max="11281" width="2.6328125" style="61"/>
    <col min="11282" max="11282" width="2.6328125" style="61" customWidth="1"/>
    <col min="11283" max="11504" width="2.6328125" style="61"/>
    <col min="11505" max="11505" width="4" style="61" customWidth="1"/>
    <col min="11506" max="11537" width="2.6328125" style="61"/>
    <col min="11538" max="11538" width="2.6328125" style="61" customWidth="1"/>
    <col min="11539" max="11760" width="2.6328125" style="61"/>
    <col min="11761" max="11761" width="4" style="61" customWidth="1"/>
    <col min="11762" max="11793" width="2.6328125" style="61"/>
    <col min="11794" max="11794" width="2.6328125" style="61" customWidth="1"/>
    <col min="11795" max="12016" width="2.6328125" style="61"/>
    <col min="12017" max="12017" width="4" style="61" customWidth="1"/>
    <col min="12018" max="12049" width="2.6328125" style="61"/>
    <col min="12050" max="12050" width="2.6328125" style="61" customWidth="1"/>
    <col min="12051" max="12272" width="2.6328125" style="61"/>
    <col min="12273" max="12273" width="4" style="61" customWidth="1"/>
    <col min="12274" max="12305" width="2.6328125" style="61"/>
    <col min="12306" max="12306" width="2.6328125" style="61" customWidth="1"/>
    <col min="12307" max="12528" width="2.6328125" style="61"/>
    <col min="12529" max="12529" width="4" style="61" customWidth="1"/>
    <col min="12530" max="12561" width="2.6328125" style="61"/>
    <col min="12562" max="12562" width="2.6328125" style="61" customWidth="1"/>
    <col min="12563" max="12784" width="2.6328125" style="61"/>
    <col min="12785" max="12785" width="4" style="61" customWidth="1"/>
    <col min="12786" max="12817" width="2.6328125" style="61"/>
    <col min="12818" max="12818" width="2.6328125" style="61" customWidth="1"/>
    <col min="12819" max="13040" width="2.6328125" style="61"/>
    <col min="13041" max="13041" width="4" style="61" customWidth="1"/>
    <col min="13042" max="13073" width="2.6328125" style="61"/>
    <col min="13074" max="13074" width="2.6328125" style="61" customWidth="1"/>
    <col min="13075" max="13296" width="2.6328125" style="61"/>
    <col min="13297" max="13297" width="4" style="61" customWidth="1"/>
    <col min="13298" max="13329" width="2.6328125" style="61"/>
    <col min="13330" max="13330" width="2.6328125" style="61" customWidth="1"/>
    <col min="13331" max="13552" width="2.6328125" style="61"/>
    <col min="13553" max="13553" width="4" style="61" customWidth="1"/>
    <col min="13554" max="13585" width="2.6328125" style="61"/>
    <col min="13586" max="13586" width="2.6328125" style="61" customWidth="1"/>
    <col min="13587" max="13808" width="2.6328125" style="61"/>
    <col min="13809" max="13809" width="4" style="61" customWidth="1"/>
    <col min="13810" max="13841" width="2.6328125" style="61"/>
    <col min="13842" max="13842" width="2.6328125" style="61" customWidth="1"/>
    <col min="13843" max="14064" width="2.6328125" style="61"/>
    <col min="14065" max="14065" width="4" style="61" customWidth="1"/>
    <col min="14066" max="14097" width="2.6328125" style="61"/>
    <col min="14098" max="14098" width="2.6328125" style="61" customWidth="1"/>
    <col min="14099" max="14320" width="2.6328125" style="61"/>
    <col min="14321" max="14321" width="4" style="61" customWidth="1"/>
    <col min="14322" max="14353" width="2.6328125" style="61"/>
    <col min="14354" max="14354" width="2.6328125" style="61" customWidth="1"/>
    <col min="14355" max="14576" width="2.6328125" style="61"/>
    <col min="14577" max="14577" width="4" style="61" customWidth="1"/>
    <col min="14578" max="14609" width="2.6328125" style="61"/>
    <col min="14610" max="14610" width="2.6328125" style="61" customWidth="1"/>
    <col min="14611" max="14832" width="2.6328125" style="61"/>
    <col min="14833" max="14833" width="4" style="61" customWidth="1"/>
    <col min="14834" max="14865" width="2.6328125" style="61"/>
    <col min="14866" max="14866" width="2.6328125" style="61" customWidth="1"/>
    <col min="14867" max="15088" width="2.6328125" style="61"/>
    <col min="15089" max="15089" width="4" style="61" customWidth="1"/>
    <col min="15090" max="15121" width="2.6328125" style="61"/>
    <col min="15122" max="15122" width="2.6328125" style="61" customWidth="1"/>
    <col min="15123" max="15344" width="2.6328125" style="61"/>
    <col min="15345" max="15345" width="4" style="61" customWidth="1"/>
    <col min="15346" max="15377" width="2.6328125" style="61"/>
    <col min="15378" max="15378" width="2.6328125" style="61" customWidth="1"/>
    <col min="15379" max="15600" width="2.6328125" style="61"/>
    <col min="15601" max="15601" width="4" style="61" customWidth="1"/>
    <col min="15602" max="15633" width="2.6328125" style="61"/>
    <col min="15634" max="15634" width="2.6328125" style="61" customWidth="1"/>
    <col min="15635" max="15856" width="2.6328125" style="61"/>
    <col min="15857" max="15857" width="4" style="61" customWidth="1"/>
    <col min="15858" max="15889" width="2.6328125" style="61"/>
    <col min="15890" max="15890" width="2.6328125" style="61" customWidth="1"/>
    <col min="15891" max="16112" width="2.6328125" style="61"/>
    <col min="16113" max="16113" width="4" style="61" customWidth="1"/>
    <col min="16114" max="16145" width="2.6328125" style="61"/>
    <col min="16146" max="16146" width="2.6328125" style="61" customWidth="1"/>
    <col min="16147" max="16384" width="2.6328125" style="61"/>
  </cols>
  <sheetData>
    <row r="1" spans="1:79" ht="12.75" customHeight="1">
      <c r="A1" s="212" t="s">
        <v>32</v>
      </c>
      <c r="B1" s="212"/>
      <c r="C1" s="212"/>
      <c r="D1" s="212"/>
      <c r="E1" s="212"/>
      <c r="F1" s="212"/>
      <c r="G1" s="212"/>
      <c r="H1" s="212"/>
      <c r="I1" s="212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125"/>
      <c r="AC1" s="125"/>
      <c r="AD1" s="125"/>
      <c r="AE1" s="125"/>
      <c r="AF1" s="125"/>
      <c r="AG1" s="125"/>
      <c r="AH1" s="125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60"/>
      <c r="CA1" s="60"/>
    </row>
    <row r="2" spans="1:79" ht="12.75" customHeight="1">
      <c r="A2" s="213" t="s">
        <v>33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  <c r="AS2" s="214"/>
      <c r="AT2" s="214"/>
      <c r="AU2" s="214"/>
      <c r="AV2" s="214"/>
      <c r="AW2" s="214"/>
      <c r="AX2" s="214"/>
      <c r="AY2" s="214"/>
      <c r="AZ2" s="214"/>
      <c r="BA2" s="214"/>
      <c r="BB2" s="214"/>
      <c r="BC2" s="214"/>
      <c r="BD2" s="214"/>
      <c r="BE2" s="214"/>
      <c r="BF2" s="214"/>
      <c r="BG2" s="214"/>
      <c r="BH2" s="214"/>
      <c r="BI2" s="214"/>
      <c r="BJ2" s="214"/>
      <c r="BK2" s="214"/>
      <c r="BL2" s="214"/>
      <c r="BM2" s="214"/>
      <c r="BN2" s="214"/>
      <c r="BO2" s="214"/>
      <c r="BP2" s="214"/>
      <c r="BQ2" s="214"/>
      <c r="BR2" s="214"/>
      <c r="BS2" s="214"/>
      <c r="BT2" s="214"/>
      <c r="BU2" s="214"/>
      <c r="BV2" s="214"/>
      <c r="BW2" s="214"/>
      <c r="BX2" s="214"/>
      <c r="BY2" s="214"/>
      <c r="BZ2" s="214"/>
      <c r="CA2" s="214"/>
    </row>
    <row r="3" spans="1:79" ht="27.75" customHeight="1">
      <c r="A3" s="215" t="s">
        <v>34</v>
      </c>
      <c r="B3" s="216"/>
      <c r="C3" s="216" t="s">
        <v>35</v>
      </c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29" t="s">
        <v>36</v>
      </c>
      <c r="R3" s="230"/>
      <c r="S3" s="230"/>
      <c r="T3" s="230"/>
      <c r="U3" s="230"/>
      <c r="V3" s="230"/>
      <c r="W3" s="230"/>
      <c r="X3" s="230"/>
      <c r="Y3" s="230"/>
      <c r="Z3" s="230"/>
      <c r="AA3" s="231"/>
      <c r="AB3" s="262" t="s">
        <v>117</v>
      </c>
      <c r="AC3" s="263"/>
      <c r="AD3" s="263"/>
      <c r="AE3" s="263"/>
      <c r="AF3" s="263"/>
      <c r="AG3" s="263"/>
      <c r="AH3" s="263"/>
      <c r="AI3" s="256" t="s">
        <v>101</v>
      </c>
      <c r="AJ3" s="257"/>
      <c r="AK3" s="257"/>
      <c r="AL3" s="257"/>
      <c r="AM3" s="257"/>
      <c r="AN3" s="257"/>
      <c r="AO3" s="257"/>
      <c r="AP3" s="257"/>
      <c r="AQ3" s="257"/>
      <c r="AR3" s="258"/>
      <c r="AS3" s="215" t="s">
        <v>37</v>
      </c>
      <c r="AT3" s="215"/>
      <c r="AU3" s="215"/>
      <c r="AV3" s="215"/>
      <c r="AW3" s="215"/>
      <c r="AX3" s="215"/>
      <c r="AY3" s="215"/>
      <c r="AZ3" s="215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BM3" s="215"/>
      <c r="BN3" s="215"/>
      <c r="BO3" s="215"/>
      <c r="BP3" s="215"/>
      <c r="BQ3" s="215"/>
      <c r="BR3" s="215"/>
      <c r="BS3" s="215"/>
      <c r="BT3" s="215"/>
      <c r="BU3" s="215"/>
      <c r="BV3" s="215"/>
      <c r="BW3" s="215"/>
      <c r="BX3" s="215"/>
      <c r="BY3" s="215"/>
      <c r="BZ3" s="215"/>
      <c r="CA3" s="215"/>
    </row>
    <row r="4" spans="1:79" ht="27.75" customHeight="1">
      <c r="A4" s="216"/>
      <c r="B4" s="216"/>
      <c r="C4" s="228" t="s">
        <v>38</v>
      </c>
      <c r="D4" s="228"/>
      <c r="E4" s="228"/>
      <c r="F4" s="228"/>
      <c r="G4" s="228"/>
      <c r="H4" s="228"/>
      <c r="I4" s="228"/>
      <c r="J4" s="228" t="s">
        <v>39</v>
      </c>
      <c r="K4" s="228"/>
      <c r="L4" s="228"/>
      <c r="M4" s="228"/>
      <c r="N4" s="228"/>
      <c r="O4" s="228"/>
      <c r="P4" s="228"/>
      <c r="Q4" s="232"/>
      <c r="R4" s="233"/>
      <c r="S4" s="233"/>
      <c r="T4" s="233"/>
      <c r="U4" s="233"/>
      <c r="V4" s="233"/>
      <c r="W4" s="233"/>
      <c r="X4" s="233"/>
      <c r="Y4" s="233"/>
      <c r="Z4" s="233"/>
      <c r="AA4" s="234"/>
      <c r="AB4" s="264"/>
      <c r="AC4" s="265"/>
      <c r="AD4" s="265"/>
      <c r="AE4" s="265"/>
      <c r="AF4" s="265"/>
      <c r="AG4" s="265"/>
      <c r="AH4" s="265"/>
      <c r="AI4" s="259"/>
      <c r="AJ4" s="260"/>
      <c r="AK4" s="260"/>
      <c r="AL4" s="260"/>
      <c r="AM4" s="260"/>
      <c r="AN4" s="260"/>
      <c r="AO4" s="260"/>
      <c r="AP4" s="260"/>
      <c r="AQ4" s="260"/>
      <c r="AR4" s="261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/>
      <c r="BP4" s="215"/>
      <c r="BQ4" s="215"/>
      <c r="BR4" s="215"/>
      <c r="BS4" s="215"/>
      <c r="BT4" s="215"/>
      <c r="BU4" s="215"/>
      <c r="BV4" s="215"/>
      <c r="BW4" s="215"/>
      <c r="BX4" s="215"/>
      <c r="BY4" s="215"/>
      <c r="BZ4" s="215"/>
      <c r="CA4" s="215"/>
    </row>
    <row r="5" spans="1:79" ht="31" customHeight="1">
      <c r="A5" s="197" t="s">
        <v>86</v>
      </c>
      <c r="B5" s="198"/>
      <c r="C5" s="219" t="s">
        <v>87</v>
      </c>
      <c r="D5" s="220"/>
      <c r="E5" s="220"/>
      <c r="F5" s="220"/>
      <c r="G5" s="220"/>
      <c r="H5" s="220"/>
      <c r="I5" s="221"/>
      <c r="J5" s="222"/>
      <c r="K5" s="223"/>
      <c r="L5" s="223"/>
      <c r="M5" s="223"/>
      <c r="N5" s="223"/>
      <c r="O5" s="223"/>
      <c r="P5" s="224"/>
      <c r="Q5" s="202"/>
      <c r="R5" s="203"/>
      <c r="S5" s="203"/>
      <c r="T5" s="203"/>
      <c r="U5" s="203"/>
      <c r="V5" s="203"/>
      <c r="W5" s="203"/>
      <c r="X5" s="203"/>
      <c r="Y5" s="203"/>
      <c r="Z5" s="203"/>
      <c r="AA5" s="204"/>
      <c r="AB5" s="205"/>
      <c r="AC5" s="206"/>
      <c r="AD5" s="206"/>
      <c r="AE5" s="206"/>
      <c r="AF5" s="206"/>
      <c r="AG5" s="206"/>
      <c r="AH5" s="206"/>
      <c r="AI5" s="225"/>
      <c r="AJ5" s="226"/>
      <c r="AK5" s="226"/>
      <c r="AL5" s="226"/>
      <c r="AM5" s="226"/>
      <c r="AN5" s="226"/>
      <c r="AO5" s="226"/>
      <c r="AP5" s="226"/>
      <c r="AQ5" s="226"/>
      <c r="AR5" s="227"/>
      <c r="AS5" s="217"/>
      <c r="AT5" s="203"/>
      <c r="AU5" s="203"/>
      <c r="AV5" s="203"/>
      <c r="AW5" s="203"/>
      <c r="AX5" s="203"/>
      <c r="AY5" s="203"/>
      <c r="AZ5" s="203"/>
      <c r="BA5" s="203"/>
      <c r="BB5" s="203"/>
      <c r="BC5" s="203"/>
      <c r="BD5" s="203"/>
      <c r="BE5" s="203"/>
      <c r="BF5" s="203"/>
      <c r="BG5" s="203"/>
      <c r="BH5" s="203"/>
      <c r="BI5" s="203"/>
      <c r="BJ5" s="203"/>
      <c r="BK5" s="203"/>
      <c r="BL5" s="203"/>
      <c r="BM5" s="203"/>
      <c r="BN5" s="203"/>
      <c r="BO5" s="203"/>
      <c r="BP5" s="203"/>
      <c r="BQ5" s="203"/>
      <c r="BR5" s="203"/>
      <c r="BS5" s="203"/>
      <c r="BT5" s="203"/>
      <c r="BU5" s="203"/>
      <c r="BV5" s="203"/>
      <c r="BW5" s="203"/>
      <c r="BX5" s="203"/>
      <c r="BY5" s="203"/>
      <c r="BZ5" s="203"/>
      <c r="CA5" s="218"/>
    </row>
    <row r="6" spans="1:79" s="109" customFormat="1" ht="15.5" customHeight="1">
      <c r="A6" s="197">
        <v>1.1000000000000001</v>
      </c>
      <c r="B6" s="198"/>
      <c r="C6" s="105"/>
      <c r="D6" s="106"/>
      <c r="E6" s="106"/>
      <c r="F6" s="106"/>
      <c r="G6" s="106"/>
      <c r="H6" s="106"/>
      <c r="I6" s="107"/>
      <c r="J6" s="199" t="s">
        <v>126</v>
      </c>
      <c r="K6" s="200"/>
      <c r="L6" s="200"/>
      <c r="M6" s="200"/>
      <c r="N6" s="200"/>
      <c r="O6" s="200"/>
      <c r="P6" s="201"/>
      <c r="Q6" s="241" t="s">
        <v>130</v>
      </c>
      <c r="R6" s="242"/>
      <c r="S6" s="242"/>
      <c r="T6" s="242"/>
      <c r="U6" s="242"/>
      <c r="V6" s="242"/>
      <c r="W6" s="242"/>
      <c r="X6" s="242"/>
      <c r="Y6" s="242"/>
      <c r="Z6" s="242"/>
      <c r="AA6" s="243"/>
      <c r="AB6" s="205"/>
      <c r="AC6" s="206"/>
      <c r="AD6" s="206"/>
      <c r="AE6" s="206"/>
      <c r="AF6" s="206"/>
      <c r="AG6" s="206"/>
      <c r="AH6" s="206"/>
      <c r="AI6" s="225"/>
      <c r="AJ6" s="226"/>
      <c r="AK6" s="226"/>
      <c r="AL6" s="226"/>
      <c r="AM6" s="226"/>
      <c r="AN6" s="226"/>
      <c r="AO6" s="226"/>
      <c r="AP6" s="226"/>
      <c r="AQ6" s="226"/>
      <c r="AR6" s="227"/>
      <c r="AS6" s="210" t="s">
        <v>129</v>
      </c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11"/>
    </row>
    <row r="7" spans="1:79" s="109" customFormat="1" ht="15.5" customHeight="1">
      <c r="A7" s="197" t="s">
        <v>99</v>
      </c>
      <c r="B7" s="198"/>
      <c r="C7" s="105"/>
      <c r="D7" s="106"/>
      <c r="E7" s="106"/>
      <c r="F7" s="106"/>
      <c r="G7" s="106"/>
      <c r="H7" s="106"/>
      <c r="I7" s="107"/>
      <c r="J7" s="199" t="s">
        <v>98</v>
      </c>
      <c r="K7" s="200"/>
      <c r="L7" s="200"/>
      <c r="M7" s="200"/>
      <c r="N7" s="200"/>
      <c r="O7" s="200"/>
      <c r="P7" s="201"/>
      <c r="Q7" s="241" t="s">
        <v>130</v>
      </c>
      <c r="R7" s="242"/>
      <c r="S7" s="242"/>
      <c r="T7" s="242"/>
      <c r="U7" s="242"/>
      <c r="V7" s="242"/>
      <c r="W7" s="242"/>
      <c r="X7" s="242"/>
      <c r="Y7" s="242"/>
      <c r="Z7" s="242"/>
      <c r="AA7" s="243"/>
      <c r="AB7" s="205"/>
      <c r="AC7" s="206"/>
      <c r="AD7" s="206"/>
      <c r="AE7" s="206"/>
      <c r="AF7" s="206"/>
      <c r="AG7" s="206"/>
      <c r="AH7" s="206"/>
      <c r="AI7" s="207"/>
      <c r="AJ7" s="208"/>
      <c r="AK7" s="208"/>
      <c r="AL7" s="208"/>
      <c r="AM7" s="208"/>
      <c r="AN7" s="208"/>
      <c r="AO7" s="208"/>
      <c r="AP7" s="208"/>
      <c r="AQ7" s="208"/>
      <c r="AR7" s="209"/>
      <c r="AS7" s="210" t="s">
        <v>102</v>
      </c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11"/>
    </row>
    <row r="8" spans="1:79" s="109" customFormat="1" ht="15.5" customHeight="1">
      <c r="A8" s="197" t="s">
        <v>119</v>
      </c>
      <c r="B8" s="198"/>
      <c r="C8" s="105"/>
      <c r="D8" s="106"/>
      <c r="E8" s="106"/>
      <c r="F8" s="106"/>
      <c r="G8" s="106"/>
      <c r="H8" s="106"/>
      <c r="I8" s="107"/>
      <c r="J8" s="199" t="s">
        <v>127</v>
      </c>
      <c r="K8" s="200"/>
      <c r="L8" s="200"/>
      <c r="M8" s="200"/>
      <c r="N8" s="200"/>
      <c r="O8" s="200"/>
      <c r="P8" s="201"/>
      <c r="Q8" s="202"/>
      <c r="R8" s="203"/>
      <c r="S8" s="203"/>
      <c r="T8" s="203"/>
      <c r="U8" s="203"/>
      <c r="V8" s="203"/>
      <c r="W8" s="203"/>
      <c r="X8" s="203"/>
      <c r="Y8" s="203"/>
      <c r="Z8" s="203"/>
      <c r="AA8" s="204"/>
      <c r="AB8" s="205"/>
      <c r="AC8" s="206"/>
      <c r="AD8" s="206"/>
      <c r="AE8" s="206"/>
      <c r="AF8" s="206"/>
      <c r="AG8" s="206"/>
      <c r="AH8" s="206"/>
      <c r="AI8" s="207"/>
      <c r="AJ8" s="208"/>
      <c r="AK8" s="208"/>
      <c r="AL8" s="208"/>
      <c r="AM8" s="208"/>
      <c r="AN8" s="208"/>
      <c r="AO8" s="208"/>
      <c r="AP8" s="208"/>
      <c r="AQ8" s="208"/>
      <c r="AR8" s="209"/>
      <c r="AS8" s="210" t="s">
        <v>128</v>
      </c>
      <c r="AT8" s="206"/>
      <c r="AU8" s="206"/>
      <c r="AV8" s="206"/>
      <c r="AW8" s="206"/>
      <c r="AX8" s="206"/>
      <c r="AY8" s="206"/>
      <c r="AZ8" s="206"/>
      <c r="BA8" s="206"/>
      <c r="BB8" s="206"/>
      <c r="BC8" s="206"/>
      <c r="BD8" s="206"/>
      <c r="BE8" s="206"/>
      <c r="BF8" s="206"/>
      <c r="BG8" s="206"/>
      <c r="BH8" s="206"/>
      <c r="BI8" s="206"/>
      <c r="BJ8" s="206"/>
      <c r="BK8" s="206"/>
      <c r="BL8" s="206"/>
      <c r="BM8" s="206"/>
      <c r="BN8" s="206"/>
      <c r="BO8" s="206"/>
      <c r="BP8" s="206"/>
      <c r="BQ8" s="206"/>
      <c r="BR8" s="206"/>
      <c r="BS8" s="206"/>
      <c r="BT8" s="206"/>
      <c r="BU8" s="206"/>
      <c r="BV8" s="206"/>
      <c r="BW8" s="206"/>
      <c r="BX8" s="206"/>
      <c r="BY8" s="206"/>
      <c r="BZ8" s="206"/>
      <c r="CA8" s="211"/>
    </row>
    <row r="9" spans="1:79" s="109" customFormat="1" ht="15.5" customHeight="1">
      <c r="A9" s="197" t="s">
        <v>120</v>
      </c>
      <c r="B9" s="198"/>
      <c r="C9" s="105"/>
      <c r="D9" s="106"/>
      <c r="E9" s="106"/>
      <c r="F9" s="106"/>
      <c r="G9" s="106"/>
      <c r="H9" s="106"/>
      <c r="I9" s="107"/>
      <c r="J9" s="199" t="s">
        <v>88</v>
      </c>
      <c r="K9" s="200"/>
      <c r="L9" s="200"/>
      <c r="M9" s="200"/>
      <c r="N9" s="200"/>
      <c r="O9" s="200"/>
      <c r="P9" s="201"/>
      <c r="Q9" s="202"/>
      <c r="R9" s="203"/>
      <c r="S9" s="203"/>
      <c r="T9" s="203"/>
      <c r="U9" s="203"/>
      <c r="V9" s="203"/>
      <c r="W9" s="203"/>
      <c r="X9" s="203"/>
      <c r="Y9" s="203"/>
      <c r="Z9" s="203"/>
      <c r="AA9" s="204"/>
      <c r="AB9" s="205"/>
      <c r="AC9" s="206"/>
      <c r="AD9" s="206"/>
      <c r="AE9" s="206"/>
      <c r="AF9" s="206"/>
      <c r="AG9" s="206"/>
      <c r="AH9" s="206"/>
      <c r="AI9" s="225" t="s">
        <v>103</v>
      </c>
      <c r="AJ9" s="226"/>
      <c r="AK9" s="226"/>
      <c r="AL9" s="226"/>
      <c r="AM9" s="226"/>
      <c r="AN9" s="226"/>
      <c r="AO9" s="226"/>
      <c r="AP9" s="226"/>
      <c r="AQ9" s="226"/>
      <c r="AR9" s="227"/>
      <c r="AS9" s="210"/>
      <c r="AT9" s="206"/>
      <c r="AU9" s="206"/>
      <c r="AV9" s="206"/>
      <c r="AW9" s="206"/>
      <c r="AX9" s="206"/>
      <c r="AY9" s="206"/>
      <c r="AZ9" s="206"/>
      <c r="BA9" s="206"/>
      <c r="BB9" s="206"/>
      <c r="BC9" s="206"/>
      <c r="BD9" s="206"/>
      <c r="BE9" s="206"/>
      <c r="BF9" s="206"/>
      <c r="BG9" s="206"/>
      <c r="BH9" s="206"/>
      <c r="BI9" s="206"/>
      <c r="BJ9" s="206"/>
      <c r="BK9" s="206"/>
      <c r="BL9" s="206"/>
      <c r="BM9" s="206"/>
      <c r="BN9" s="206"/>
      <c r="BO9" s="206"/>
      <c r="BP9" s="206"/>
      <c r="BQ9" s="206"/>
      <c r="BR9" s="206"/>
      <c r="BS9" s="206"/>
      <c r="BT9" s="206"/>
      <c r="BU9" s="206"/>
      <c r="BV9" s="206"/>
      <c r="BW9" s="206"/>
      <c r="BX9" s="206"/>
      <c r="BY9" s="206"/>
      <c r="BZ9" s="206"/>
      <c r="CA9" s="211"/>
    </row>
    <row r="10" spans="1:79" ht="15.75" customHeight="1">
      <c r="A10" s="197" t="s">
        <v>121</v>
      </c>
      <c r="B10" s="198"/>
      <c r="C10" s="235"/>
      <c r="D10" s="236"/>
      <c r="E10" s="236"/>
      <c r="F10" s="236"/>
      <c r="G10" s="236"/>
      <c r="H10" s="236"/>
      <c r="I10" s="237"/>
      <c r="J10" s="238" t="s">
        <v>89</v>
      </c>
      <c r="K10" s="239"/>
      <c r="L10" s="239"/>
      <c r="M10" s="239"/>
      <c r="N10" s="239"/>
      <c r="O10" s="239"/>
      <c r="P10" s="240"/>
      <c r="Q10" s="202"/>
      <c r="R10" s="203"/>
      <c r="S10" s="203"/>
      <c r="T10" s="203"/>
      <c r="U10" s="203"/>
      <c r="V10" s="203"/>
      <c r="W10" s="203"/>
      <c r="X10" s="203"/>
      <c r="Y10" s="203"/>
      <c r="Z10" s="203"/>
      <c r="AA10" s="204"/>
      <c r="AB10" s="254"/>
      <c r="AC10" s="255"/>
      <c r="AD10" s="255"/>
      <c r="AE10" s="255"/>
      <c r="AF10" s="255"/>
      <c r="AG10" s="255"/>
      <c r="AH10" s="255"/>
      <c r="AI10" s="225" t="s">
        <v>104</v>
      </c>
      <c r="AJ10" s="226"/>
      <c r="AK10" s="226"/>
      <c r="AL10" s="226"/>
      <c r="AM10" s="226"/>
      <c r="AN10" s="226"/>
      <c r="AO10" s="226"/>
      <c r="AP10" s="226"/>
      <c r="AQ10" s="226"/>
      <c r="AR10" s="227"/>
      <c r="AS10" s="210"/>
      <c r="AT10" s="206"/>
      <c r="AU10" s="206"/>
      <c r="AV10" s="206"/>
      <c r="AW10" s="206"/>
      <c r="AX10" s="206"/>
      <c r="AY10" s="206"/>
      <c r="AZ10" s="206"/>
      <c r="BA10" s="206"/>
      <c r="BB10" s="206"/>
      <c r="BC10" s="206"/>
      <c r="BD10" s="206"/>
      <c r="BE10" s="206"/>
      <c r="BF10" s="206"/>
      <c r="BG10" s="206"/>
      <c r="BH10" s="206"/>
      <c r="BI10" s="206"/>
      <c r="BJ10" s="206"/>
      <c r="BK10" s="206"/>
      <c r="BL10" s="206"/>
      <c r="BM10" s="206"/>
      <c r="BN10" s="206"/>
      <c r="BO10" s="206"/>
      <c r="BP10" s="206"/>
      <c r="BQ10" s="206"/>
      <c r="BR10" s="206"/>
      <c r="BS10" s="206"/>
      <c r="BT10" s="206"/>
      <c r="BU10" s="206"/>
      <c r="BV10" s="206"/>
      <c r="BW10" s="206"/>
      <c r="BX10" s="206"/>
      <c r="BY10" s="206"/>
      <c r="BZ10" s="206"/>
      <c r="CA10" s="211"/>
    </row>
    <row r="11" spans="1:79" ht="15.5" customHeight="1">
      <c r="A11" s="197" t="s">
        <v>122</v>
      </c>
      <c r="B11" s="198"/>
      <c r="C11" s="235"/>
      <c r="D11" s="236"/>
      <c r="E11" s="236"/>
      <c r="F11" s="236"/>
      <c r="G11" s="236"/>
      <c r="H11" s="236"/>
      <c r="I11" s="237"/>
      <c r="J11" s="238" t="s">
        <v>90</v>
      </c>
      <c r="K11" s="239"/>
      <c r="L11" s="239"/>
      <c r="M11" s="239"/>
      <c r="N11" s="239"/>
      <c r="O11" s="239"/>
      <c r="P11" s="240"/>
      <c r="Q11" s="202"/>
      <c r="R11" s="203"/>
      <c r="S11" s="203"/>
      <c r="T11" s="203"/>
      <c r="U11" s="203"/>
      <c r="V11" s="203"/>
      <c r="W11" s="203"/>
      <c r="X11" s="203"/>
      <c r="Y11" s="203"/>
      <c r="Z11" s="203"/>
      <c r="AA11" s="204"/>
      <c r="AB11" s="254"/>
      <c r="AC11" s="255"/>
      <c r="AD11" s="255"/>
      <c r="AE11" s="255"/>
      <c r="AF11" s="255"/>
      <c r="AG11" s="255"/>
      <c r="AH11" s="255"/>
      <c r="AI11" s="225" t="s">
        <v>105</v>
      </c>
      <c r="AJ11" s="226"/>
      <c r="AK11" s="226"/>
      <c r="AL11" s="226"/>
      <c r="AM11" s="226"/>
      <c r="AN11" s="226"/>
      <c r="AO11" s="226"/>
      <c r="AP11" s="226"/>
      <c r="AQ11" s="226"/>
      <c r="AR11" s="227"/>
      <c r="AS11" s="210"/>
      <c r="AT11" s="206"/>
      <c r="AU11" s="206"/>
      <c r="AV11" s="206"/>
      <c r="AW11" s="206"/>
      <c r="AX11" s="206"/>
      <c r="AY11" s="206"/>
      <c r="AZ11" s="206"/>
      <c r="BA11" s="206"/>
      <c r="BB11" s="206"/>
      <c r="BC11" s="206"/>
      <c r="BD11" s="206"/>
      <c r="BE11" s="206"/>
      <c r="BF11" s="206"/>
      <c r="BG11" s="206"/>
      <c r="BH11" s="206"/>
      <c r="BI11" s="206"/>
      <c r="BJ11" s="206"/>
      <c r="BK11" s="206"/>
      <c r="BL11" s="206"/>
      <c r="BM11" s="206"/>
      <c r="BN11" s="206"/>
      <c r="BO11" s="206"/>
      <c r="BP11" s="206"/>
      <c r="BQ11" s="206"/>
      <c r="BR11" s="206"/>
      <c r="BS11" s="206"/>
      <c r="BT11" s="206"/>
      <c r="BU11" s="206"/>
      <c r="BV11" s="206"/>
      <c r="BW11" s="206"/>
      <c r="BX11" s="206"/>
      <c r="BY11" s="206"/>
      <c r="BZ11" s="206"/>
      <c r="CA11" s="211"/>
    </row>
    <row r="12" spans="1:79" ht="15.75" customHeight="1">
      <c r="A12" s="197" t="s">
        <v>123</v>
      </c>
      <c r="B12" s="198"/>
      <c r="C12" s="219"/>
      <c r="D12" s="220"/>
      <c r="E12" s="220"/>
      <c r="F12" s="220"/>
      <c r="G12" s="220"/>
      <c r="H12" s="220"/>
      <c r="I12" s="221"/>
      <c r="J12" s="248" t="s">
        <v>44</v>
      </c>
      <c r="K12" s="249"/>
      <c r="L12" s="249"/>
      <c r="M12" s="249"/>
      <c r="N12" s="249"/>
      <c r="O12" s="249"/>
      <c r="P12" s="250"/>
      <c r="Q12" s="202"/>
      <c r="R12" s="203"/>
      <c r="S12" s="203"/>
      <c r="T12" s="203"/>
      <c r="U12" s="203"/>
      <c r="V12" s="203"/>
      <c r="W12" s="203"/>
      <c r="X12" s="203"/>
      <c r="Y12" s="203"/>
      <c r="Z12" s="203"/>
      <c r="AA12" s="204"/>
      <c r="AB12" s="205"/>
      <c r="AC12" s="206"/>
      <c r="AD12" s="206"/>
      <c r="AE12" s="206"/>
      <c r="AF12" s="206"/>
      <c r="AG12" s="206"/>
      <c r="AH12" s="206"/>
      <c r="AI12" s="225" t="s">
        <v>106</v>
      </c>
      <c r="AJ12" s="226"/>
      <c r="AK12" s="226"/>
      <c r="AL12" s="226"/>
      <c r="AM12" s="226"/>
      <c r="AN12" s="226"/>
      <c r="AO12" s="226"/>
      <c r="AP12" s="226"/>
      <c r="AQ12" s="226"/>
      <c r="AR12" s="227"/>
      <c r="AS12" s="210"/>
      <c r="AT12" s="206"/>
      <c r="AU12" s="206"/>
      <c r="AV12" s="206"/>
      <c r="AW12" s="206"/>
      <c r="AX12" s="206"/>
      <c r="AY12" s="206"/>
      <c r="AZ12" s="206"/>
      <c r="BA12" s="206"/>
      <c r="BB12" s="206"/>
      <c r="BC12" s="206"/>
      <c r="BD12" s="206"/>
      <c r="BE12" s="206"/>
      <c r="BF12" s="206"/>
      <c r="BG12" s="206"/>
      <c r="BH12" s="206"/>
      <c r="BI12" s="206"/>
      <c r="BJ12" s="206"/>
      <c r="BK12" s="206"/>
      <c r="BL12" s="206"/>
      <c r="BM12" s="206"/>
      <c r="BN12" s="206"/>
      <c r="BO12" s="206"/>
      <c r="BP12" s="206"/>
      <c r="BQ12" s="206"/>
      <c r="BR12" s="206"/>
      <c r="BS12" s="206"/>
      <c r="BT12" s="206"/>
      <c r="BU12" s="206"/>
      <c r="BV12" s="206"/>
      <c r="BW12" s="206"/>
      <c r="BX12" s="206"/>
      <c r="BY12" s="206"/>
      <c r="BZ12" s="206"/>
      <c r="CA12" s="211"/>
    </row>
    <row r="13" spans="1:79" ht="15.5" customHeight="1">
      <c r="A13" s="197" t="s">
        <v>124</v>
      </c>
      <c r="B13" s="198"/>
      <c r="C13" s="245"/>
      <c r="D13" s="246"/>
      <c r="E13" s="246"/>
      <c r="F13" s="246"/>
      <c r="G13" s="246"/>
      <c r="H13" s="246"/>
      <c r="I13" s="247"/>
      <c r="J13" s="248" t="s">
        <v>45</v>
      </c>
      <c r="K13" s="249"/>
      <c r="L13" s="249"/>
      <c r="M13" s="249"/>
      <c r="N13" s="249"/>
      <c r="O13" s="249"/>
      <c r="P13" s="250"/>
      <c r="Q13" s="202"/>
      <c r="R13" s="203"/>
      <c r="S13" s="203"/>
      <c r="T13" s="203"/>
      <c r="U13" s="203"/>
      <c r="V13" s="203"/>
      <c r="W13" s="203"/>
      <c r="X13" s="203"/>
      <c r="Y13" s="203"/>
      <c r="Z13" s="203"/>
      <c r="AA13" s="204"/>
      <c r="AB13" s="254"/>
      <c r="AC13" s="255"/>
      <c r="AD13" s="255"/>
      <c r="AE13" s="255"/>
      <c r="AF13" s="255"/>
      <c r="AG13" s="255"/>
      <c r="AH13" s="255"/>
      <c r="AI13" s="225" t="s">
        <v>107</v>
      </c>
      <c r="AJ13" s="226"/>
      <c r="AK13" s="226"/>
      <c r="AL13" s="226"/>
      <c r="AM13" s="226"/>
      <c r="AN13" s="226"/>
      <c r="AO13" s="226"/>
      <c r="AP13" s="226"/>
      <c r="AQ13" s="226"/>
      <c r="AR13" s="227"/>
      <c r="AS13" s="210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  <c r="BX13" s="206"/>
      <c r="BY13" s="206"/>
      <c r="BZ13" s="206"/>
      <c r="CA13" s="211"/>
    </row>
    <row r="14" spans="1:79" ht="15.5" customHeight="1">
      <c r="A14" s="197" t="s">
        <v>125</v>
      </c>
      <c r="B14" s="198"/>
      <c r="C14" s="245"/>
      <c r="D14" s="246"/>
      <c r="E14" s="246"/>
      <c r="F14" s="246"/>
      <c r="G14" s="246"/>
      <c r="H14" s="246"/>
      <c r="I14" s="247"/>
      <c r="J14" s="248" t="s">
        <v>91</v>
      </c>
      <c r="K14" s="249"/>
      <c r="L14" s="249"/>
      <c r="M14" s="249"/>
      <c r="N14" s="249"/>
      <c r="O14" s="249"/>
      <c r="P14" s="250"/>
      <c r="Q14" s="202"/>
      <c r="R14" s="203"/>
      <c r="S14" s="203"/>
      <c r="T14" s="203"/>
      <c r="U14" s="203"/>
      <c r="V14" s="203"/>
      <c r="W14" s="203"/>
      <c r="X14" s="203"/>
      <c r="Y14" s="203"/>
      <c r="Z14" s="203"/>
      <c r="AA14" s="204"/>
      <c r="AB14" s="254"/>
      <c r="AC14" s="255"/>
      <c r="AD14" s="255"/>
      <c r="AE14" s="255"/>
      <c r="AF14" s="255"/>
      <c r="AG14" s="255"/>
      <c r="AH14" s="255"/>
      <c r="AI14" s="225"/>
      <c r="AJ14" s="226"/>
      <c r="AK14" s="226"/>
      <c r="AL14" s="226"/>
      <c r="AM14" s="226"/>
      <c r="AN14" s="226"/>
      <c r="AO14" s="226"/>
      <c r="AP14" s="226"/>
      <c r="AQ14" s="226"/>
      <c r="AR14" s="227"/>
      <c r="AS14" s="210"/>
      <c r="AT14" s="206"/>
      <c r="AU14" s="206"/>
      <c r="AV14" s="206"/>
      <c r="AW14" s="206"/>
      <c r="AX14" s="206"/>
      <c r="AY14" s="206"/>
      <c r="AZ14" s="206"/>
      <c r="BA14" s="206"/>
      <c r="BB14" s="206"/>
      <c r="BC14" s="206"/>
      <c r="BD14" s="206"/>
      <c r="BE14" s="206"/>
      <c r="BF14" s="206"/>
      <c r="BG14" s="206"/>
      <c r="BH14" s="206"/>
      <c r="BI14" s="206"/>
      <c r="BJ14" s="206"/>
      <c r="BK14" s="206"/>
      <c r="BL14" s="206"/>
      <c r="BM14" s="206"/>
      <c r="BN14" s="206"/>
      <c r="BO14" s="206"/>
      <c r="BP14" s="206"/>
      <c r="BQ14" s="206"/>
      <c r="BR14" s="206"/>
      <c r="BS14" s="206"/>
      <c r="BT14" s="206"/>
      <c r="BU14" s="206"/>
      <c r="BV14" s="206"/>
      <c r="BW14" s="206"/>
      <c r="BX14" s="206"/>
      <c r="BY14" s="206"/>
      <c r="BZ14" s="206"/>
      <c r="CA14" s="211"/>
    </row>
    <row r="15" spans="1:79" ht="31" customHeight="1">
      <c r="A15" s="197" t="s">
        <v>85</v>
      </c>
      <c r="B15" s="198"/>
      <c r="C15" s="219" t="s">
        <v>77</v>
      </c>
      <c r="D15" s="220"/>
      <c r="E15" s="220"/>
      <c r="F15" s="220"/>
      <c r="G15" s="220"/>
      <c r="H15" s="220"/>
      <c r="I15" s="221"/>
      <c r="J15" s="222"/>
      <c r="K15" s="223"/>
      <c r="L15" s="223"/>
      <c r="M15" s="223"/>
      <c r="N15" s="223"/>
      <c r="O15" s="223"/>
      <c r="P15" s="224"/>
      <c r="Q15" s="202"/>
      <c r="R15" s="203"/>
      <c r="S15" s="203"/>
      <c r="T15" s="203"/>
      <c r="U15" s="203"/>
      <c r="V15" s="203"/>
      <c r="W15" s="203"/>
      <c r="X15" s="203"/>
      <c r="Y15" s="203"/>
      <c r="Z15" s="203"/>
      <c r="AA15" s="204"/>
      <c r="AB15" s="205"/>
      <c r="AC15" s="206"/>
      <c r="AD15" s="206"/>
      <c r="AE15" s="206"/>
      <c r="AF15" s="206"/>
      <c r="AG15" s="206"/>
      <c r="AH15" s="206"/>
      <c r="AI15" s="225"/>
      <c r="AJ15" s="226"/>
      <c r="AK15" s="226"/>
      <c r="AL15" s="226"/>
      <c r="AM15" s="226"/>
      <c r="AN15" s="226"/>
      <c r="AO15" s="226"/>
      <c r="AP15" s="226"/>
      <c r="AQ15" s="226"/>
      <c r="AR15" s="227"/>
      <c r="AS15" s="217"/>
      <c r="AT15" s="203"/>
      <c r="AU15" s="203"/>
      <c r="AV15" s="203"/>
      <c r="AW15" s="203"/>
      <c r="AX15" s="203"/>
      <c r="AY15" s="203"/>
      <c r="AZ15" s="203"/>
      <c r="BA15" s="203"/>
      <c r="BB15" s="203"/>
      <c r="BC15" s="203"/>
      <c r="BD15" s="203"/>
      <c r="BE15" s="203"/>
      <c r="BF15" s="203"/>
      <c r="BG15" s="203"/>
      <c r="BH15" s="203"/>
      <c r="BI15" s="203"/>
      <c r="BJ15" s="203"/>
      <c r="BK15" s="203"/>
      <c r="BL15" s="203"/>
      <c r="BM15" s="203"/>
      <c r="BN15" s="203"/>
      <c r="BO15" s="203"/>
      <c r="BP15" s="203"/>
      <c r="BQ15" s="203"/>
      <c r="BR15" s="203"/>
      <c r="BS15" s="203"/>
      <c r="BT15" s="203"/>
      <c r="BU15" s="203"/>
      <c r="BV15" s="203"/>
      <c r="BW15" s="203"/>
      <c r="BX15" s="203"/>
      <c r="BY15" s="203"/>
      <c r="BZ15" s="203"/>
      <c r="CA15" s="218"/>
    </row>
    <row r="16" spans="1:79" s="109" customFormat="1" ht="15.5" customHeight="1">
      <c r="A16" s="197">
        <v>2.1</v>
      </c>
      <c r="B16" s="198"/>
      <c r="C16" s="105"/>
      <c r="D16" s="106"/>
      <c r="E16" s="106"/>
      <c r="F16" s="106"/>
      <c r="G16" s="106"/>
      <c r="H16" s="106"/>
      <c r="I16" s="107"/>
      <c r="J16" s="199" t="s">
        <v>79</v>
      </c>
      <c r="K16" s="200"/>
      <c r="L16" s="200"/>
      <c r="M16" s="200"/>
      <c r="N16" s="200"/>
      <c r="O16" s="200"/>
      <c r="P16" s="201"/>
      <c r="Q16" s="202"/>
      <c r="R16" s="203"/>
      <c r="S16" s="203"/>
      <c r="T16" s="203"/>
      <c r="U16" s="203"/>
      <c r="V16" s="203"/>
      <c r="W16" s="203"/>
      <c r="X16" s="203"/>
      <c r="Y16" s="203"/>
      <c r="Z16" s="203"/>
      <c r="AA16" s="204"/>
      <c r="AB16" s="266"/>
      <c r="AC16" s="267"/>
      <c r="AD16" s="267"/>
      <c r="AE16" s="267"/>
      <c r="AF16" s="267"/>
      <c r="AG16" s="267"/>
      <c r="AH16" s="267"/>
      <c r="AI16" s="225" t="s">
        <v>103</v>
      </c>
      <c r="AJ16" s="226"/>
      <c r="AK16" s="226"/>
      <c r="AL16" s="226"/>
      <c r="AM16" s="226"/>
      <c r="AN16" s="226"/>
      <c r="AO16" s="226"/>
      <c r="AP16" s="226"/>
      <c r="AQ16" s="226"/>
      <c r="AR16" s="227"/>
      <c r="AS16" s="210"/>
      <c r="AT16" s="206"/>
      <c r="AU16" s="206"/>
      <c r="AV16" s="206"/>
      <c r="AW16" s="206"/>
      <c r="AX16" s="206"/>
      <c r="AY16" s="206"/>
      <c r="AZ16" s="206"/>
      <c r="BA16" s="206"/>
      <c r="BB16" s="206"/>
      <c r="BC16" s="206"/>
      <c r="BD16" s="206"/>
      <c r="BE16" s="206"/>
      <c r="BF16" s="206"/>
      <c r="BG16" s="206"/>
      <c r="BH16" s="206"/>
      <c r="BI16" s="206"/>
      <c r="BJ16" s="206"/>
      <c r="BK16" s="206"/>
      <c r="BL16" s="206"/>
      <c r="BM16" s="206"/>
      <c r="BN16" s="206"/>
      <c r="BO16" s="206"/>
      <c r="BP16" s="206"/>
      <c r="BQ16" s="206"/>
      <c r="BR16" s="206"/>
      <c r="BS16" s="206"/>
      <c r="BT16" s="206"/>
      <c r="BU16" s="206"/>
      <c r="BV16" s="206"/>
      <c r="BW16" s="206"/>
      <c r="BX16" s="206"/>
      <c r="BY16" s="206"/>
      <c r="BZ16" s="206"/>
      <c r="CA16" s="211"/>
    </row>
    <row r="17" spans="1:79" s="109" customFormat="1" ht="15.5" customHeight="1">
      <c r="A17" s="197">
        <v>2.2000000000000002</v>
      </c>
      <c r="B17" s="198"/>
      <c r="C17" s="105"/>
      <c r="D17" s="106"/>
      <c r="E17" s="106"/>
      <c r="F17" s="106"/>
      <c r="G17" s="106"/>
      <c r="H17" s="106"/>
      <c r="I17" s="107"/>
      <c r="J17" s="199" t="s">
        <v>83</v>
      </c>
      <c r="K17" s="200"/>
      <c r="L17" s="200"/>
      <c r="M17" s="200"/>
      <c r="N17" s="200"/>
      <c r="O17" s="200"/>
      <c r="P17" s="201"/>
      <c r="Q17" s="202"/>
      <c r="R17" s="203"/>
      <c r="S17" s="203"/>
      <c r="T17" s="203"/>
      <c r="U17" s="203"/>
      <c r="V17" s="203"/>
      <c r="W17" s="203"/>
      <c r="X17" s="203"/>
      <c r="Y17" s="203"/>
      <c r="Z17" s="203"/>
      <c r="AA17" s="204"/>
      <c r="AB17" s="126"/>
      <c r="AC17" s="124"/>
      <c r="AD17" s="124"/>
      <c r="AE17" s="124"/>
      <c r="AF17" s="124"/>
      <c r="AG17" s="124"/>
      <c r="AH17" s="124"/>
      <c r="AI17" s="225" t="s">
        <v>104</v>
      </c>
      <c r="AJ17" s="226"/>
      <c r="AK17" s="226"/>
      <c r="AL17" s="226"/>
      <c r="AM17" s="226"/>
      <c r="AN17" s="226"/>
      <c r="AO17" s="226"/>
      <c r="AP17" s="226"/>
      <c r="AQ17" s="226"/>
      <c r="AR17" s="227"/>
      <c r="AS17" s="210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206"/>
      <c r="BI17" s="206"/>
      <c r="BJ17" s="206"/>
      <c r="BK17" s="206"/>
      <c r="BL17" s="206"/>
      <c r="BM17" s="206"/>
      <c r="BN17" s="206"/>
      <c r="BO17" s="206"/>
      <c r="BP17" s="206"/>
      <c r="BQ17" s="206"/>
      <c r="BR17" s="206"/>
      <c r="BS17" s="206"/>
      <c r="BT17" s="206"/>
      <c r="BU17" s="206"/>
      <c r="BV17" s="206"/>
      <c r="BW17" s="206"/>
      <c r="BX17" s="206"/>
      <c r="BY17" s="206"/>
      <c r="BZ17" s="206"/>
      <c r="CA17" s="211"/>
    </row>
    <row r="18" spans="1:79" ht="15.75" customHeight="1">
      <c r="A18" s="197">
        <v>2.2999999999999998</v>
      </c>
      <c r="B18" s="198"/>
      <c r="C18" s="235"/>
      <c r="D18" s="236"/>
      <c r="E18" s="236"/>
      <c r="F18" s="236"/>
      <c r="G18" s="236"/>
      <c r="H18" s="236"/>
      <c r="I18" s="237"/>
      <c r="J18" s="238" t="s">
        <v>81</v>
      </c>
      <c r="K18" s="239"/>
      <c r="L18" s="239"/>
      <c r="M18" s="239"/>
      <c r="N18" s="239"/>
      <c r="O18" s="239"/>
      <c r="P18" s="240"/>
      <c r="Q18" s="202"/>
      <c r="R18" s="203"/>
      <c r="S18" s="203"/>
      <c r="T18" s="203"/>
      <c r="U18" s="203"/>
      <c r="V18" s="203"/>
      <c r="W18" s="203"/>
      <c r="X18" s="203"/>
      <c r="Y18" s="203"/>
      <c r="Z18" s="203"/>
      <c r="AA18" s="204"/>
      <c r="AB18" s="126"/>
      <c r="AC18" s="124"/>
      <c r="AD18" s="124"/>
      <c r="AE18" s="124"/>
      <c r="AF18" s="124"/>
      <c r="AG18" s="124"/>
      <c r="AH18" s="124"/>
      <c r="AI18" s="225" t="s">
        <v>105</v>
      </c>
      <c r="AJ18" s="226"/>
      <c r="AK18" s="226"/>
      <c r="AL18" s="226"/>
      <c r="AM18" s="226"/>
      <c r="AN18" s="226"/>
      <c r="AO18" s="226"/>
      <c r="AP18" s="226"/>
      <c r="AQ18" s="226"/>
      <c r="AR18" s="227"/>
      <c r="AS18" s="210"/>
      <c r="AT18" s="206"/>
      <c r="AU18" s="206"/>
      <c r="AV18" s="206"/>
      <c r="AW18" s="206"/>
      <c r="AX18" s="206"/>
      <c r="AY18" s="206"/>
      <c r="AZ18" s="206"/>
      <c r="BA18" s="206"/>
      <c r="BB18" s="206"/>
      <c r="BC18" s="206"/>
      <c r="BD18" s="206"/>
      <c r="BE18" s="206"/>
      <c r="BF18" s="206"/>
      <c r="BG18" s="206"/>
      <c r="BH18" s="206"/>
      <c r="BI18" s="206"/>
      <c r="BJ18" s="206"/>
      <c r="BK18" s="206"/>
      <c r="BL18" s="206"/>
      <c r="BM18" s="206"/>
      <c r="BN18" s="206"/>
      <c r="BO18" s="206"/>
      <c r="BP18" s="206"/>
      <c r="BQ18" s="206"/>
      <c r="BR18" s="206"/>
      <c r="BS18" s="206"/>
      <c r="BT18" s="206"/>
      <c r="BU18" s="206"/>
      <c r="BV18" s="206"/>
      <c r="BW18" s="206"/>
      <c r="BX18" s="206"/>
      <c r="BY18" s="206"/>
      <c r="BZ18" s="206"/>
      <c r="CA18" s="211"/>
    </row>
    <row r="19" spans="1:79" ht="15.5" customHeight="1">
      <c r="A19" s="197">
        <v>2.4</v>
      </c>
      <c r="B19" s="198"/>
      <c r="C19" s="235"/>
      <c r="D19" s="236"/>
      <c r="E19" s="236"/>
      <c r="F19" s="236"/>
      <c r="G19" s="236"/>
      <c r="H19" s="236"/>
      <c r="I19" s="237"/>
      <c r="J19" s="238" t="s">
        <v>82</v>
      </c>
      <c r="K19" s="239"/>
      <c r="L19" s="239"/>
      <c r="M19" s="239"/>
      <c r="N19" s="239"/>
      <c r="O19" s="239"/>
      <c r="P19" s="240"/>
      <c r="Q19" s="202"/>
      <c r="R19" s="203"/>
      <c r="S19" s="203"/>
      <c r="T19" s="203"/>
      <c r="U19" s="203"/>
      <c r="V19" s="203"/>
      <c r="W19" s="203"/>
      <c r="X19" s="203"/>
      <c r="Y19" s="203"/>
      <c r="Z19" s="203"/>
      <c r="AA19" s="204"/>
      <c r="AB19" s="266"/>
      <c r="AC19" s="267"/>
      <c r="AD19" s="267"/>
      <c r="AE19" s="267"/>
      <c r="AF19" s="267"/>
      <c r="AG19" s="267"/>
      <c r="AH19" s="268"/>
      <c r="AI19" s="225" t="s">
        <v>106</v>
      </c>
      <c r="AJ19" s="226"/>
      <c r="AK19" s="226"/>
      <c r="AL19" s="226"/>
      <c r="AM19" s="226"/>
      <c r="AN19" s="226"/>
      <c r="AO19" s="226"/>
      <c r="AP19" s="226"/>
      <c r="AQ19" s="226"/>
      <c r="AR19" s="227"/>
      <c r="AS19" s="210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  <c r="BV19" s="206"/>
      <c r="BW19" s="206"/>
      <c r="BX19" s="206"/>
      <c r="BY19" s="206"/>
      <c r="BZ19" s="206"/>
      <c r="CA19" s="211"/>
    </row>
    <row r="20" spans="1:79" ht="15.75" customHeight="1">
      <c r="A20" s="197">
        <v>2.5</v>
      </c>
      <c r="B20" s="198"/>
      <c r="C20" s="219"/>
      <c r="D20" s="220"/>
      <c r="E20" s="220"/>
      <c r="F20" s="220"/>
      <c r="G20" s="220"/>
      <c r="H20" s="220"/>
      <c r="I20" s="221"/>
      <c r="J20" s="248" t="s">
        <v>45</v>
      </c>
      <c r="K20" s="249"/>
      <c r="L20" s="249"/>
      <c r="M20" s="249"/>
      <c r="N20" s="249"/>
      <c r="O20" s="249"/>
      <c r="P20" s="250"/>
      <c r="Q20" s="202"/>
      <c r="R20" s="203"/>
      <c r="S20" s="203"/>
      <c r="T20" s="203"/>
      <c r="U20" s="203"/>
      <c r="V20" s="203"/>
      <c r="W20" s="203"/>
      <c r="X20" s="203"/>
      <c r="Y20" s="203"/>
      <c r="Z20" s="203"/>
      <c r="AA20" s="204"/>
      <c r="AB20" s="266"/>
      <c r="AC20" s="267"/>
      <c r="AD20" s="267"/>
      <c r="AE20" s="267"/>
      <c r="AF20" s="267"/>
      <c r="AG20" s="267"/>
      <c r="AH20" s="268"/>
      <c r="AI20" s="225" t="s">
        <v>107</v>
      </c>
      <c r="AJ20" s="226"/>
      <c r="AK20" s="226"/>
      <c r="AL20" s="226"/>
      <c r="AM20" s="226"/>
      <c r="AN20" s="226"/>
      <c r="AO20" s="226"/>
      <c r="AP20" s="226"/>
      <c r="AQ20" s="226"/>
      <c r="AR20" s="227"/>
      <c r="AS20" s="210"/>
      <c r="AT20" s="206"/>
      <c r="AU20" s="206"/>
      <c r="AV20" s="206"/>
      <c r="AW20" s="206"/>
      <c r="AX20" s="206"/>
      <c r="AY20" s="206"/>
      <c r="AZ20" s="206"/>
      <c r="BA20" s="206"/>
      <c r="BB20" s="206"/>
      <c r="BC20" s="206"/>
      <c r="BD20" s="206"/>
      <c r="BE20" s="206"/>
      <c r="BF20" s="206"/>
      <c r="BG20" s="206"/>
      <c r="BH20" s="206"/>
      <c r="BI20" s="206"/>
      <c r="BJ20" s="206"/>
      <c r="BK20" s="206"/>
      <c r="BL20" s="206"/>
      <c r="BM20" s="206"/>
      <c r="BN20" s="206"/>
      <c r="BO20" s="206"/>
      <c r="BP20" s="206"/>
      <c r="BQ20" s="206"/>
      <c r="BR20" s="206"/>
      <c r="BS20" s="206"/>
      <c r="BT20" s="206"/>
      <c r="BU20" s="206"/>
      <c r="BV20" s="206"/>
      <c r="BW20" s="206"/>
      <c r="BX20" s="206"/>
      <c r="BY20" s="206"/>
      <c r="BZ20" s="206"/>
      <c r="CA20" s="211"/>
    </row>
    <row r="21" spans="1:79" ht="15.5" customHeight="1">
      <c r="A21" s="197">
        <v>2.6</v>
      </c>
      <c r="B21" s="198"/>
      <c r="C21" s="245"/>
      <c r="D21" s="246"/>
      <c r="E21" s="246"/>
      <c r="F21" s="246"/>
      <c r="G21" s="246"/>
      <c r="H21" s="246"/>
      <c r="I21" s="247"/>
      <c r="J21" s="248" t="s">
        <v>84</v>
      </c>
      <c r="K21" s="249"/>
      <c r="L21" s="249"/>
      <c r="M21" s="249"/>
      <c r="N21" s="249"/>
      <c r="O21" s="249"/>
      <c r="P21" s="250"/>
      <c r="Q21" s="202"/>
      <c r="R21" s="203"/>
      <c r="S21" s="203"/>
      <c r="T21" s="203"/>
      <c r="U21" s="203"/>
      <c r="V21" s="203"/>
      <c r="W21" s="203"/>
      <c r="X21" s="203"/>
      <c r="Y21" s="203"/>
      <c r="Z21" s="203"/>
      <c r="AA21" s="204"/>
      <c r="AB21" s="126"/>
      <c r="AC21" s="124"/>
      <c r="AD21" s="124"/>
      <c r="AE21" s="124"/>
      <c r="AF21" s="124"/>
      <c r="AG21" s="124"/>
      <c r="AH21" s="124"/>
      <c r="AI21" s="225" t="s">
        <v>108</v>
      </c>
      <c r="AJ21" s="226"/>
      <c r="AK21" s="226"/>
      <c r="AL21" s="226"/>
      <c r="AM21" s="226"/>
      <c r="AN21" s="226"/>
      <c r="AO21" s="226"/>
      <c r="AP21" s="226"/>
      <c r="AQ21" s="226"/>
      <c r="AR21" s="227"/>
      <c r="AS21" s="210"/>
      <c r="AT21" s="206"/>
      <c r="AU21" s="206"/>
      <c r="AV21" s="206"/>
      <c r="AW21" s="206"/>
      <c r="AX21" s="206"/>
      <c r="AY21" s="206"/>
      <c r="AZ21" s="206"/>
      <c r="BA21" s="206"/>
      <c r="BB21" s="206"/>
      <c r="BC21" s="206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06"/>
      <c r="BS21" s="206"/>
      <c r="BT21" s="206"/>
      <c r="BU21" s="206"/>
      <c r="BV21" s="206"/>
      <c r="BW21" s="206"/>
      <c r="BX21" s="206"/>
      <c r="BY21" s="206"/>
      <c r="BZ21" s="206"/>
      <c r="CA21" s="211"/>
    </row>
    <row r="22" spans="1:79" ht="15.5" customHeight="1">
      <c r="A22" s="197">
        <v>2.7</v>
      </c>
      <c r="B22" s="198"/>
      <c r="C22" s="245"/>
      <c r="D22" s="246"/>
      <c r="E22" s="246"/>
      <c r="F22" s="246"/>
      <c r="G22" s="246"/>
      <c r="H22" s="246"/>
      <c r="I22" s="247"/>
      <c r="J22" s="248" t="s">
        <v>50</v>
      </c>
      <c r="K22" s="249"/>
      <c r="L22" s="249"/>
      <c r="M22" s="249"/>
      <c r="N22" s="249"/>
      <c r="O22" s="249"/>
      <c r="P22" s="250"/>
      <c r="Q22" s="202"/>
      <c r="R22" s="203"/>
      <c r="S22" s="203"/>
      <c r="T22" s="203"/>
      <c r="U22" s="203"/>
      <c r="V22" s="203"/>
      <c r="W22" s="203"/>
      <c r="X22" s="203"/>
      <c r="Y22" s="203"/>
      <c r="Z22" s="203"/>
      <c r="AA22" s="204"/>
      <c r="AB22" s="205"/>
      <c r="AC22" s="206"/>
      <c r="AD22" s="206"/>
      <c r="AE22" s="206"/>
      <c r="AF22" s="206"/>
      <c r="AG22" s="206"/>
      <c r="AH22" s="206"/>
      <c r="AI22" s="225" t="s">
        <v>109</v>
      </c>
      <c r="AJ22" s="226"/>
      <c r="AK22" s="226"/>
      <c r="AL22" s="226"/>
      <c r="AM22" s="226"/>
      <c r="AN22" s="226"/>
      <c r="AO22" s="226"/>
      <c r="AP22" s="226"/>
      <c r="AQ22" s="226"/>
      <c r="AR22" s="227"/>
      <c r="AS22" s="210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  <c r="BV22" s="206"/>
      <c r="BW22" s="206"/>
      <c r="BX22" s="206"/>
      <c r="BY22" s="206"/>
      <c r="BZ22" s="206"/>
      <c r="CA22" s="211"/>
    </row>
    <row r="23" spans="1:79" s="109" customFormat="1" ht="25" customHeight="1">
      <c r="A23" s="197">
        <v>2.8</v>
      </c>
      <c r="B23" s="198"/>
      <c r="C23" s="105"/>
      <c r="D23" s="106"/>
      <c r="E23" s="106"/>
      <c r="F23" s="106"/>
      <c r="G23" s="106"/>
      <c r="H23" s="106"/>
      <c r="I23" s="107"/>
      <c r="J23" s="199" t="s">
        <v>76</v>
      </c>
      <c r="K23" s="200"/>
      <c r="L23" s="200"/>
      <c r="M23" s="200"/>
      <c r="N23" s="200"/>
      <c r="O23" s="200"/>
      <c r="P23" s="201"/>
      <c r="Q23" s="254"/>
      <c r="R23" s="255"/>
      <c r="S23" s="255"/>
      <c r="T23" s="255"/>
      <c r="U23" s="255"/>
      <c r="V23" s="255"/>
      <c r="W23" s="255"/>
      <c r="X23" s="255"/>
      <c r="Y23" s="255"/>
      <c r="Z23" s="255"/>
      <c r="AA23" s="108"/>
      <c r="AB23" s="205"/>
      <c r="AC23" s="206"/>
      <c r="AD23" s="206"/>
      <c r="AE23" s="206"/>
      <c r="AF23" s="206"/>
      <c r="AG23" s="206"/>
      <c r="AH23" s="206"/>
      <c r="AI23" s="225" t="s">
        <v>110</v>
      </c>
      <c r="AJ23" s="226"/>
      <c r="AK23" s="226"/>
      <c r="AL23" s="226"/>
      <c r="AM23" s="226"/>
      <c r="AN23" s="226"/>
      <c r="AO23" s="226"/>
      <c r="AP23" s="226"/>
      <c r="AQ23" s="226"/>
      <c r="AR23" s="227"/>
      <c r="AS23" s="210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  <c r="BE23" s="206"/>
      <c r="BF23" s="206"/>
      <c r="BG23" s="206"/>
      <c r="BH23" s="206"/>
      <c r="BI23" s="206"/>
      <c r="BJ23" s="206"/>
      <c r="BK23" s="206"/>
      <c r="BL23" s="206"/>
      <c r="BM23" s="206"/>
      <c r="BN23" s="206"/>
      <c r="BO23" s="206"/>
      <c r="BP23" s="206"/>
      <c r="BQ23" s="206"/>
      <c r="BR23" s="206"/>
      <c r="BS23" s="206"/>
      <c r="BT23" s="206"/>
      <c r="BU23" s="206"/>
      <c r="BV23" s="206"/>
      <c r="BW23" s="206"/>
      <c r="BX23" s="206"/>
      <c r="BY23" s="206"/>
      <c r="BZ23" s="206"/>
      <c r="CA23" s="211"/>
    </row>
    <row r="24" spans="1:79" s="109" customFormat="1" ht="28" customHeight="1">
      <c r="A24" s="197">
        <v>2.9</v>
      </c>
      <c r="B24" s="198"/>
      <c r="C24" s="105"/>
      <c r="D24" s="106"/>
      <c r="E24" s="106"/>
      <c r="F24" s="106"/>
      <c r="G24" s="106"/>
      <c r="H24" s="106"/>
      <c r="I24" s="107"/>
      <c r="J24" s="199" t="s">
        <v>78</v>
      </c>
      <c r="K24" s="200"/>
      <c r="L24" s="200"/>
      <c r="M24" s="200"/>
      <c r="N24" s="200"/>
      <c r="O24" s="200"/>
      <c r="P24" s="201"/>
      <c r="Q24" s="254"/>
      <c r="R24" s="255"/>
      <c r="S24" s="255"/>
      <c r="T24" s="255"/>
      <c r="U24" s="255"/>
      <c r="V24" s="255"/>
      <c r="W24" s="255"/>
      <c r="X24" s="255"/>
      <c r="Y24" s="255"/>
      <c r="Z24" s="255"/>
      <c r="AA24" s="108"/>
      <c r="AB24" s="205"/>
      <c r="AC24" s="206"/>
      <c r="AD24" s="206"/>
      <c r="AE24" s="206"/>
      <c r="AF24" s="206"/>
      <c r="AG24" s="206"/>
      <c r="AH24" s="206"/>
      <c r="AI24" s="225" t="s">
        <v>111</v>
      </c>
      <c r="AJ24" s="226"/>
      <c r="AK24" s="226"/>
      <c r="AL24" s="226"/>
      <c r="AM24" s="226"/>
      <c r="AN24" s="226"/>
      <c r="AO24" s="226"/>
      <c r="AP24" s="226"/>
      <c r="AQ24" s="226"/>
      <c r="AR24" s="227"/>
      <c r="AS24" s="210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  <c r="BV24" s="206"/>
      <c r="BW24" s="206"/>
      <c r="BX24" s="206"/>
      <c r="BY24" s="206"/>
      <c r="BZ24" s="206"/>
      <c r="CA24" s="211"/>
    </row>
    <row r="25" spans="1:79" ht="15.75" customHeight="1">
      <c r="A25" s="197" t="s">
        <v>100</v>
      </c>
      <c r="B25" s="198"/>
      <c r="C25" s="235"/>
      <c r="D25" s="236"/>
      <c r="E25" s="236"/>
      <c r="F25" s="236"/>
      <c r="G25" s="236"/>
      <c r="H25" s="236"/>
      <c r="I25" s="237"/>
      <c r="J25" s="244" t="s">
        <v>57</v>
      </c>
      <c r="K25" s="244"/>
      <c r="L25" s="244"/>
      <c r="M25" s="244"/>
      <c r="N25" s="244"/>
      <c r="O25" s="244"/>
      <c r="P25" s="244"/>
      <c r="Q25" s="202"/>
      <c r="R25" s="203"/>
      <c r="S25" s="203"/>
      <c r="T25" s="203"/>
      <c r="U25" s="203"/>
      <c r="V25" s="203"/>
      <c r="W25" s="203"/>
      <c r="X25" s="203"/>
      <c r="Y25" s="203"/>
      <c r="Z25" s="203"/>
      <c r="AA25" s="204"/>
      <c r="AB25" s="205"/>
      <c r="AC25" s="206"/>
      <c r="AD25" s="206"/>
      <c r="AE25" s="206"/>
      <c r="AF25" s="206"/>
      <c r="AG25" s="206"/>
      <c r="AH25" s="206"/>
      <c r="AI25" s="225" t="s">
        <v>112</v>
      </c>
      <c r="AJ25" s="226"/>
      <c r="AK25" s="226"/>
      <c r="AL25" s="226"/>
      <c r="AM25" s="226"/>
      <c r="AN25" s="226"/>
      <c r="AO25" s="226"/>
      <c r="AP25" s="226"/>
      <c r="AQ25" s="226"/>
      <c r="AR25" s="227"/>
      <c r="AS25" s="210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  <c r="BV25" s="206"/>
      <c r="BW25" s="206"/>
      <c r="BX25" s="206"/>
      <c r="BY25" s="206"/>
      <c r="BZ25" s="206"/>
      <c r="CA25" s="211"/>
    </row>
    <row r="26" spans="1:79" ht="15.5" customHeight="1">
      <c r="A26" s="197">
        <v>2.11</v>
      </c>
      <c r="B26" s="198"/>
      <c r="C26" s="235"/>
      <c r="D26" s="236"/>
      <c r="E26" s="236"/>
      <c r="F26" s="236"/>
      <c r="G26" s="236"/>
      <c r="H26" s="236"/>
      <c r="I26" s="237"/>
      <c r="J26" s="244" t="s">
        <v>53</v>
      </c>
      <c r="K26" s="244"/>
      <c r="L26" s="244"/>
      <c r="M26" s="244"/>
      <c r="N26" s="244"/>
      <c r="O26" s="244"/>
      <c r="P26" s="244"/>
      <c r="Q26" s="202"/>
      <c r="R26" s="203"/>
      <c r="S26" s="203"/>
      <c r="T26" s="203"/>
      <c r="U26" s="203"/>
      <c r="V26" s="203"/>
      <c r="W26" s="203"/>
      <c r="X26" s="203"/>
      <c r="Y26" s="203"/>
      <c r="Z26" s="203"/>
      <c r="AA26" s="204"/>
      <c r="AB26" s="205"/>
      <c r="AC26" s="206"/>
      <c r="AD26" s="206"/>
      <c r="AE26" s="206"/>
      <c r="AF26" s="206"/>
      <c r="AG26" s="206"/>
      <c r="AH26" s="206"/>
      <c r="AI26" s="225" t="s">
        <v>113</v>
      </c>
      <c r="AJ26" s="226"/>
      <c r="AK26" s="226"/>
      <c r="AL26" s="226"/>
      <c r="AM26" s="226"/>
      <c r="AN26" s="226"/>
      <c r="AO26" s="226"/>
      <c r="AP26" s="226"/>
      <c r="AQ26" s="226"/>
      <c r="AR26" s="227"/>
      <c r="AS26" s="210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  <c r="BV26" s="206"/>
      <c r="BW26" s="206"/>
      <c r="BX26" s="206"/>
      <c r="BY26" s="206"/>
      <c r="BZ26" s="206"/>
      <c r="CA26" s="211"/>
    </row>
    <row r="27" spans="1:79" ht="15.75" customHeight="1">
      <c r="A27" s="197">
        <v>2.12</v>
      </c>
      <c r="B27" s="198"/>
      <c r="C27" s="219"/>
      <c r="D27" s="220"/>
      <c r="E27" s="220"/>
      <c r="F27" s="220"/>
      <c r="G27" s="220"/>
      <c r="H27" s="220"/>
      <c r="I27" s="221"/>
      <c r="J27" s="248" t="s">
        <v>58</v>
      </c>
      <c r="K27" s="249"/>
      <c r="L27" s="249"/>
      <c r="M27" s="249"/>
      <c r="N27" s="249"/>
      <c r="O27" s="249"/>
      <c r="P27" s="250"/>
      <c r="Q27" s="251"/>
      <c r="R27" s="252"/>
      <c r="S27" s="252"/>
      <c r="T27" s="252"/>
      <c r="U27" s="252"/>
      <c r="V27" s="252"/>
      <c r="W27" s="252"/>
      <c r="X27" s="252"/>
      <c r="Y27" s="252"/>
      <c r="Z27" s="252"/>
      <c r="AA27" s="253"/>
      <c r="AB27" s="205"/>
      <c r="AC27" s="206"/>
      <c r="AD27" s="206"/>
      <c r="AE27" s="206"/>
      <c r="AF27" s="206"/>
      <c r="AG27" s="206"/>
      <c r="AH27" s="206"/>
      <c r="AI27" s="225" t="s">
        <v>114</v>
      </c>
      <c r="AJ27" s="226"/>
      <c r="AK27" s="226"/>
      <c r="AL27" s="226"/>
      <c r="AM27" s="226"/>
      <c r="AN27" s="226"/>
      <c r="AO27" s="226"/>
      <c r="AP27" s="226"/>
      <c r="AQ27" s="226"/>
      <c r="AR27" s="227"/>
      <c r="AS27" s="210"/>
      <c r="AT27" s="206"/>
      <c r="AU27" s="206"/>
      <c r="AV27" s="206"/>
      <c r="AW27" s="206"/>
      <c r="AX27" s="206"/>
      <c r="AY27" s="206"/>
      <c r="AZ27" s="206"/>
      <c r="BA27" s="206"/>
      <c r="BB27" s="206"/>
      <c r="BC27" s="206"/>
      <c r="BD27" s="206"/>
      <c r="BE27" s="206"/>
      <c r="BF27" s="206"/>
      <c r="BG27" s="206"/>
      <c r="BH27" s="206"/>
      <c r="BI27" s="206"/>
      <c r="BJ27" s="206"/>
      <c r="BK27" s="206"/>
      <c r="BL27" s="206"/>
      <c r="BM27" s="206"/>
      <c r="BN27" s="206"/>
      <c r="BO27" s="206"/>
      <c r="BP27" s="206"/>
      <c r="BQ27" s="206"/>
      <c r="BR27" s="206"/>
      <c r="BS27" s="206"/>
      <c r="BT27" s="206"/>
      <c r="BU27" s="206"/>
      <c r="BV27" s="206"/>
      <c r="BW27" s="206"/>
      <c r="BX27" s="206"/>
      <c r="BY27" s="206"/>
      <c r="BZ27" s="206"/>
      <c r="CA27" s="211"/>
    </row>
    <row r="28" spans="1:79" ht="15.5" customHeight="1">
      <c r="A28" s="197">
        <v>2.13</v>
      </c>
      <c r="B28" s="198"/>
      <c r="C28" s="245"/>
      <c r="D28" s="246"/>
      <c r="E28" s="246"/>
      <c r="F28" s="246"/>
      <c r="G28" s="246"/>
      <c r="H28" s="246"/>
      <c r="I28" s="247"/>
      <c r="J28" s="248" t="s">
        <v>55</v>
      </c>
      <c r="K28" s="249"/>
      <c r="L28" s="249"/>
      <c r="M28" s="249"/>
      <c r="N28" s="249"/>
      <c r="O28" s="249"/>
      <c r="P28" s="250"/>
      <c r="Q28" s="202"/>
      <c r="R28" s="203"/>
      <c r="S28" s="203"/>
      <c r="T28" s="203"/>
      <c r="U28" s="203"/>
      <c r="V28" s="203"/>
      <c r="W28" s="203"/>
      <c r="X28" s="203"/>
      <c r="Y28" s="203"/>
      <c r="Z28" s="203"/>
      <c r="AA28" s="204"/>
      <c r="AB28" s="205"/>
      <c r="AC28" s="206"/>
      <c r="AD28" s="206"/>
      <c r="AE28" s="206"/>
      <c r="AF28" s="206"/>
      <c r="AG28" s="206"/>
      <c r="AH28" s="206"/>
      <c r="AI28" s="225" t="s">
        <v>115</v>
      </c>
      <c r="AJ28" s="226"/>
      <c r="AK28" s="226"/>
      <c r="AL28" s="226"/>
      <c r="AM28" s="226"/>
      <c r="AN28" s="226"/>
      <c r="AO28" s="226"/>
      <c r="AP28" s="226"/>
      <c r="AQ28" s="226"/>
      <c r="AR28" s="227"/>
      <c r="AS28" s="210"/>
      <c r="AT28" s="206"/>
      <c r="AU28" s="206"/>
      <c r="AV28" s="206"/>
      <c r="AW28" s="206"/>
      <c r="AX28" s="206"/>
      <c r="AY28" s="206"/>
      <c r="AZ28" s="206"/>
      <c r="BA28" s="206"/>
      <c r="BB28" s="206"/>
      <c r="BC28" s="206"/>
      <c r="BD28" s="206"/>
      <c r="BE28" s="206"/>
      <c r="BF28" s="206"/>
      <c r="BG28" s="206"/>
      <c r="BH28" s="206"/>
      <c r="BI28" s="206"/>
      <c r="BJ28" s="206"/>
      <c r="BK28" s="206"/>
      <c r="BL28" s="206"/>
      <c r="BM28" s="206"/>
      <c r="BN28" s="206"/>
      <c r="BO28" s="206"/>
      <c r="BP28" s="206"/>
      <c r="BQ28" s="206"/>
      <c r="BR28" s="206"/>
      <c r="BS28" s="206"/>
      <c r="BT28" s="206"/>
      <c r="BU28" s="206"/>
      <c r="BV28" s="206"/>
      <c r="BW28" s="206"/>
      <c r="BX28" s="206"/>
      <c r="BY28" s="206"/>
      <c r="BZ28" s="206"/>
      <c r="CA28" s="211"/>
    </row>
    <row r="29" spans="1:79" ht="23" customHeight="1">
      <c r="A29" s="197">
        <v>2.14</v>
      </c>
      <c r="B29" s="198"/>
      <c r="C29" s="245"/>
      <c r="D29" s="246"/>
      <c r="E29" s="246"/>
      <c r="F29" s="246"/>
      <c r="G29" s="246"/>
      <c r="H29" s="246"/>
      <c r="I29" s="247"/>
      <c r="J29" s="248" t="s">
        <v>80</v>
      </c>
      <c r="K29" s="249"/>
      <c r="L29" s="249"/>
      <c r="M29" s="249"/>
      <c r="N29" s="249"/>
      <c r="O29" s="249"/>
      <c r="P29" s="250"/>
      <c r="Q29" s="202"/>
      <c r="R29" s="203"/>
      <c r="S29" s="203"/>
      <c r="T29" s="203"/>
      <c r="U29" s="203"/>
      <c r="V29" s="203"/>
      <c r="W29" s="203"/>
      <c r="X29" s="203"/>
      <c r="Y29" s="203"/>
      <c r="Z29" s="203"/>
      <c r="AA29" s="204"/>
      <c r="AB29" s="205"/>
      <c r="AC29" s="206"/>
      <c r="AD29" s="206"/>
      <c r="AE29" s="206"/>
      <c r="AF29" s="206"/>
      <c r="AG29" s="206"/>
      <c r="AH29" s="206"/>
      <c r="AI29" s="225" t="s">
        <v>116</v>
      </c>
      <c r="AJ29" s="226"/>
      <c r="AK29" s="226"/>
      <c r="AL29" s="226"/>
      <c r="AM29" s="226"/>
      <c r="AN29" s="226"/>
      <c r="AO29" s="226"/>
      <c r="AP29" s="226"/>
      <c r="AQ29" s="226"/>
      <c r="AR29" s="227"/>
      <c r="AS29" s="210"/>
      <c r="AT29" s="206"/>
      <c r="AU29" s="206"/>
      <c r="AV29" s="206"/>
      <c r="AW29" s="206"/>
      <c r="AX29" s="206"/>
      <c r="AY29" s="206"/>
      <c r="AZ29" s="206"/>
      <c r="BA29" s="206"/>
      <c r="BB29" s="206"/>
      <c r="BC29" s="206"/>
      <c r="BD29" s="206"/>
      <c r="BE29" s="206"/>
      <c r="BF29" s="206"/>
      <c r="BG29" s="206"/>
      <c r="BH29" s="206"/>
      <c r="BI29" s="206"/>
      <c r="BJ29" s="206"/>
      <c r="BK29" s="206"/>
      <c r="BL29" s="206"/>
      <c r="BM29" s="206"/>
      <c r="BN29" s="206"/>
      <c r="BO29" s="206"/>
      <c r="BP29" s="206"/>
      <c r="BQ29" s="206"/>
      <c r="BR29" s="206"/>
      <c r="BS29" s="206"/>
      <c r="BT29" s="206"/>
      <c r="BU29" s="206"/>
      <c r="BV29" s="206"/>
      <c r="BW29" s="206"/>
      <c r="BX29" s="206"/>
      <c r="BY29" s="206"/>
      <c r="BZ29" s="206"/>
      <c r="CA29" s="211"/>
    </row>
    <row r="30" spans="1:79">
      <c r="A30" s="197"/>
      <c r="B30" s="198"/>
      <c r="C30" s="245"/>
      <c r="D30" s="246"/>
      <c r="E30" s="246"/>
      <c r="F30" s="246"/>
      <c r="G30" s="246"/>
      <c r="H30" s="246"/>
      <c r="I30" s="247"/>
      <c r="J30" s="222"/>
      <c r="K30" s="223"/>
      <c r="L30" s="223"/>
      <c r="M30" s="223"/>
      <c r="N30" s="223"/>
      <c r="O30" s="223"/>
      <c r="P30" s="224"/>
      <c r="Q30" s="202"/>
      <c r="R30" s="203"/>
      <c r="S30" s="203"/>
      <c r="T30" s="203"/>
      <c r="U30" s="203"/>
      <c r="V30" s="203"/>
      <c r="W30" s="203"/>
      <c r="X30" s="203"/>
      <c r="Y30" s="203"/>
      <c r="Z30" s="203"/>
      <c r="AA30" s="204"/>
      <c r="AB30" s="205"/>
      <c r="AC30" s="206"/>
      <c r="AD30" s="206"/>
      <c r="AE30" s="206"/>
      <c r="AF30" s="206"/>
      <c r="AG30" s="206"/>
      <c r="AH30" s="206"/>
      <c r="AI30" s="225"/>
      <c r="AJ30" s="226"/>
      <c r="AK30" s="226"/>
      <c r="AL30" s="226"/>
      <c r="AM30" s="226"/>
      <c r="AN30" s="226"/>
      <c r="AO30" s="226"/>
      <c r="AP30" s="226"/>
      <c r="AQ30" s="226"/>
      <c r="AR30" s="227"/>
      <c r="AS30" s="217"/>
      <c r="AT30" s="203"/>
      <c r="AU30" s="203"/>
      <c r="AV30" s="203"/>
      <c r="AW30" s="203"/>
      <c r="AX30" s="203"/>
      <c r="AY30" s="203"/>
      <c r="AZ30" s="203"/>
      <c r="BA30" s="203"/>
      <c r="BB30" s="203"/>
      <c r="BC30" s="203"/>
      <c r="BD30" s="203"/>
      <c r="BE30" s="203"/>
      <c r="BF30" s="203"/>
      <c r="BG30" s="203"/>
      <c r="BH30" s="203"/>
      <c r="BI30" s="203"/>
      <c r="BJ30" s="203"/>
      <c r="BK30" s="203"/>
      <c r="BL30" s="203"/>
      <c r="BM30" s="203"/>
      <c r="BN30" s="203"/>
      <c r="BO30" s="203"/>
      <c r="BP30" s="203"/>
      <c r="BQ30" s="203"/>
      <c r="BR30" s="203"/>
      <c r="BS30" s="203"/>
      <c r="BT30" s="203"/>
      <c r="BU30" s="203"/>
      <c r="BV30" s="203"/>
      <c r="BW30" s="203"/>
      <c r="BX30" s="203"/>
      <c r="BY30" s="203"/>
      <c r="BZ30" s="203"/>
      <c r="CA30" s="218"/>
    </row>
    <row r="31" spans="1:79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S31" s="59"/>
      <c r="AT31" s="59"/>
      <c r="AU31" s="59"/>
      <c r="AV31" s="59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  <c r="BJ31" s="59"/>
      <c r="BK31" s="59"/>
      <c r="BL31" s="59"/>
      <c r="BM31" s="59"/>
      <c r="BN31" s="59"/>
      <c r="BO31" s="59"/>
      <c r="BP31" s="59"/>
      <c r="BQ31" s="59"/>
      <c r="BR31" s="59"/>
      <c r="BS31" s="59"/>
      <c r="BT31" s="59"/>
      <c r="BU31" s="59"/>
      <c r="BV31" s="59"/>
      <c r="BW31" s="59"/>
      <c r="BX31" s="59"/>
      <c r="BY31" s="59"/>
      <c r="BZ31" s="59"/>
      <c r="CA31" s="59"/>
    </row>
  </sheetData>
  <mergeCells count="182">
    <mergeCell ref="AB26:AH26"/>
    <mergeCell ref="AB27:AH27"/>
    <mergeCell ref="AB28:AH28"/>
    <mergeCell ref="AB29:AH29"/>
    <mergeCell ref="AB30:AH30"/>
    <mergeCell ref="AB14:AH14"/>
    <mergeCell ref="AB15:AH15"/>
    <mergeCell ref="AB16:AH16"/>
    <mergeCell ref="AB19:AH19"/>
    <mergeCell ref="AB20:AH20"/>
    <mergeCell ref="AB22:AH22"/>
    <mergeCell ref="AB23:AH23"/>
    <mergeCell ref="AB24:AH24"/>
    <mergeCell ref="AB25:AH25"/>
    <mergeCell ref="AI17:AR17"/>
    <mergeCell ref="AI18:AR18"/>
    <mergeCell ref="AI19:AR19"/>
    <mergeCell ref="AI20:AR20"/>
    <mergeCell ref="AI21:AR21"/>
    <mergeCell ref="AI22:AR22"/>
    <mergeCell ref="AI23:AR23"/>
    <mergeCell ref="AI24:AR24"/>
    <mergeCell ref="AB3:AH4"/>
    <mergeCell ref="AB5:AH5"/>
    <mergeCell ref="AB6:AH6"/>
    <mergeCell ref="AB7:AH7"/>
    <mergeCell ref="AB9:AH9"/>
    <mergeCell ref="AB10:AH10"/>
    <mergeCell ref="AB11:AH11"/>
    <mergeCell ref="AB12:AH12"/>
    <mergeCell ref="AB13:AH13"/>
    <mergeCell ref="Q10:AA10"/>
    <mergeCell ref="AS10:CA10"/>
    <mergeCell ref="A11:B11"/>
    <mergeCell ref="C11:I11"/>
    <mergeCell ref="AS6:CA6"/>
    <mergeCell ref="AI3:AR4"/>
    <mergeCell ref="AI5:AR5"/>
    <mergeCell ref="AI6:AR6"/>
    <mergeCell ref="AI7:AR7"/>
    <mergeCell ref="AI9:AR9"/>
    <mergeCell ref="AI10:AR10"/>
    <mergeCell ref="AI11:AR11"/>
    <mergeCell ref="AS9:CA9"/>
    <mergeCell ref="A14:B14"/>
    <mergeCell ref="C14:I14"/>
    <mergeCell ref="J14:P14"/>
    <mergeCell ref="AI14:AR14"/>
    <mergeCell ref="Q12:AA12"/>
    <mergeCell ref="AS12:CA12"/>
    <mergeCell ref="A13:B13"/>
    <mergeCell ref="C13:I13"/>
    <mergeCell ref="J13:P13"/>
    <mergeCell ref="Q13:AA13"/>
    <mergeCell ref="AS13:CA13"/>
    <mergeCell ref="A12:B12"/>
    <mergeCell ref="C12:I12"/>
    <mergeCell ref="J12:P12"/>
    <mergeCell ref="AI13:AR13"/>
    <mergeCell ref="AI12:AR12"/>
    <mergeCell ref="Q17:AA17"/>
    <mergeCell ref="A5:B5"/>
    <mergeCell ref="C5:I5"/>
    <mergeCell ref="J5:P5"/>
    <mergeCell ref="Q5:AA5"/>
    <mergeCell ref="AS5:CA5"/>
    <mergeCell ref="A7:B7"/>
    <mergeCell ref="J7:P7"/>
    <mergeCell ref="A22:B22"/>
    <mergeCell ref="C22:I22"/>
    <mergeCell ref="J22:P22"/>
    <mergeCell ref="Q20:AA20"/>
    <mergeCell ref="AS20:CA20"/>
    <mergeCell ref="A21:B21"/>
    <mergeCell ref="C21:I21"/>
    <mergeCell ref="J21:P21"/>
    <mergeCell ref="Q21:AA21"/>
    <mergeCell ref="AS21:CA21"/>
    <mergeCell ref="A20:B20"/>
    <mergeCell ref="C20:I20"/>
    <mergeCell ref="J20:P20"/>
    <mergeCell ref="J19:P19"/>
    <mergeCell ref="J11:P11"/>
    <mergeCell ref="Q11:AA11"/>
    <mergeCell ref="A19:B19"/>
    <mergeCell ref="C19:I19"/>
    <mergeCell ref="A25:B25"/>
    <mergeCell ref="C25:I25"/>
    <mergeCell ref="J25:P25"/>
    <mergeCell ref="A23:B23"/>
    <mergeCell ref="J23:P23"/>
    <mergeCell ref="Q23:Z23"/>
    <mergeCell ref="AS23:CA23"/>
    <mergeCell ref="A24:B24"/>
    <mergeCell ref="J24:P24"/>
    <mergeCell ref="Q24:Z24"/>
    <mergeCell ref="Q22:AA22"/>
    <mergeCell ref="AS22:CA22"/>
    <mergeCell ref="AI25:AR25"/>
    <mergeCell ref="AS28:CA28"/>
    <mergeCell ref="Q28:AA28"/>
    <mergeCell ref="A28:B28"/>
    <mergeCell ref="C28:I28"/>
    <mergeCell ref="J28:P28"/>
    <mergeCell ref="AI28:AR28"/>
    <mergeCell ref="Q27:AA27"/>
    <mergeCell ref="AS27:CA27"/>
    <mergeCell ref="A27:B27"/>
    <mergeCell ref="C27:I27"/>
    <mergeCell ref="J27:P27"/>
    <mergeCell ref="AI27:AR27"/>
    <mergeCell ref="AS30:CA30"/>
    <mergeCell ref="Q30:AA30"/>
    <mergeCell ref="A30:B30"/>
    <mergeCell ref="C30:I30"/>
    <mergeCell ref="J30:P30"/>
    <mergeCell ref="AI30:AR30"/>
    <mergeCell ref="Q29:AA29"/>
    <mergeCell ref="AS29:CA29"/>
    <mergeCell ref="A29:B29"/>
    <mergeCell ref="C29:I29"/>
    <mergeCell ref="J29:P29"/>
    <mergeCell ref="AI29:AR29"/>
    <mergeCell ref="Q26:AA26"/>
    <mergeCell ref="AS26:CA26"/>
    <mergeCell ref="A26:B26"/>
    <mergeCell ref="C26:I26"/>
    <mergeCell ref="J26:P26"/>
    <mergeCell ref="AI26:AR26"/>
    <mergeCell ref="Q16:AA16"/>
    <mergeCell ref="AS16:CA16"/>
    <mergeCell ref="A16:B16"/>
    <mergeCell ref="J16:P16"/>
    <mergeCell ref="AI16:AR16"/>
    <mergeCell ref="AS24:CA24"/>
    <mergeCell ref="Q19:AA19"/>
    <mergeCell ref="AS19:CA19"/>
    <mergeCell ref="Q25:AA25"/>
    <mergeCell ref="AS25:CA25"/>
    <mergeCell ref="A17:B17"/>
    <mergeCell ref="J17:P17"/>
    <mergeCell ref="AS17:CA17"/>
    <mergeCell ref="A18:B18"/>
    <mergeCell ref="C18:I18"/>
    <mergeCell ref="J18:P18"/>
    <mergeCell ref="Q18:AA18"/>
    <mergeCell ref="AS18:CA18"/>
    <mergeCell ref="Q15:AA15"/>
    <mergeCell ref="AS15:CA15"/>
    <mergeCell ref="A15:B15"/>
    <mergeCell ref="C15:I15"/>
    <mergeCell ref="J15:P15"/>
    <mergeCell ref="AI15:AR15"/>
    <mergeCell ref="C4:I4"/>
    <mergeCell ref="J4:P4"/>
    <mergeCell ref="Q3:AA4"/>
    <mergeCell ref="AS3:CA4"/>
    <mergeCell ref="AS11:CA11"/>
    <mergeCell ref="A10:B10"/>
    <mergeCell ref="C10:I10"/>
    <mergeCell ref="J10:P10"/>
    <mergeCell ref="Q7:AA7"/>
    <mergeCell ref="AS7:CA7"/>
    <mergeCell ref="A9:B9"/>
    <mergeCell ref="J9:P9"/>
    <mergeCell ref="Q9:AA9"/>
    <mergeCell ref="A6:B6"/>
    <mergeCell ref="J6:P6"/>
    <mergeCell ref="Q6:AA6"/>
    <mergeCell ref="Q14:AA14"/>
    <mergeCell ref="AS14:CA14"/>
    <mergeCell ref="A8:B8"/>
    <mergeCell ref="J8:P8"/>
    <mergeCell ref="Q8:AA8"/>
    <mergeCell ref="AB8:AH8"/>
    <mergeCell ref="AI8:AR8"/>
    <mergeCell ref="AS8:CA8"/>
    <mergeCell ref="A1:I1"/>
    <mergeCell ref="A2:P2"/>
    <mergeCell ref="Q2:CA2"/>
    <mergeCell ref="A3:B4"/>
    <mergeCell ref="C3:P3"/>
  </mergeCells>
  <phoneticPr fontId="55"/>
  <conditionalFormatting sqref="Q5:Q30">
    <cfRule type="expression" dxfId="3" priority="10" stopIfTrue="1">
      <formula>FIND("○",#REF!)</formula>
    </cfRule>
  </conditionalFormatting>
  <conditionalFormatting sqref="AB5:AB30">
    <cfRule type="expression" dxfId="2" priority="1" stopIfTrue="1">
      <formula>FIND("○",#REF!)</formula>
    </cfRule>
  </conditionalFormatting>
  <conditionalFormatting sqref="AI5:AI30">
    <cfRule type="expression" dxfId="1" priority="2" stopIfTrue="1">
      <formula>FIND("○",#REF!)</formula>
    </cfRule>
  </conditionalFormatting>
  <conditionalFormatting sqref="AS5:AS30">
    <cfRule type="expression" dxfId="0" priority="20" stopIfTrue="1">
      <formula>FIND("○",#REF!)</formula>
    </cfRule>
  </conditionalFormatting>
  <dataValidations count="5">
    <dataValidation type="list" allowBlank="1" showInputMessage="1" showErrorMessage="1" sqref="WAP8:WAQ9 WUH23:WUI24 HV23:HW24 RR23:RS24 ABN23:ABO24 ALJ23:ALK24 AVF23:AVG24 BFB23:BFC24 BOX23:BOY24 BYT23:BYU24 CIP23:CIQ24 CSL23:CSM24 DCH23:DCI24 DMD23:DME24 DVZ23:DWA24 EFV23:EFW24 EPR23:EPS24 EZN23:EZO24 FJJ23:FJK24 FTF23:FTG24 GDB23:GDC24 GMX23:GMY24 GWT23:GWU24 HGP23:HGQ24 HQL23:HQM24 IAH23:IAI24 IKD23:IKE24 ITZ23:IUA24 JDV23:JDW24 JNR23:JNS24 JXN23:JXO24 KHJ23:KHK24 KRF23:KRG24 LBB23:LBC24 LKX23:LKY24 LUT23:LUU24 MEP23:MEQ24 MOL23:MOM24 MYH23:MYI24 NID23:NIE24 NRZ23:NSA24 OBV23:OBW24 OLR23:OLS24 OVN23:OVO24 PFJ23:PFK24 PPF23:PPG24 PZB23:PZC24 QIX23:QIY24 QST23:QSU24 RCP23:RCQ24 RML23:RMM24 RWH23:RWI24 SGD23:SGE24 SPZ23:SQA24 SZV23:SZW24 TJR23:TJS24 TTN23:TTO24 UDJ23:UDK24 UNF23:UNG24 UXB23:UXC24 VGX23:VGY24 VQT23:VQU24 WAP23:WAQ24 WKL16:WKM17 WUH16:WUI17 HV16:HW17 RR16:RS17 ABN16:ABO17 ALJ16:ALK17 AVF16:AVG17 BFB16:BFC17 BOX16:BOY17 BYT16:BYU17 CIP16:CIQ17 CSL16:CSM17 DCH16:DCI17 DMD16:DME17 DVZ16:DWA17 EFV16:EFW17 EPR16:EPS17 EZN16:EZO17 FJJ16:FJK17 FTF16:FTG17 GDB16:GDC17 GMX16:GMY17 GWT16:GWU17 HGP16:HGQ17 HQL16:HQM17 IAH16:IAI17 IKD16:IKE17 ITZ16:IUA17 JDV16:JDW17 JNR16:JNS17 JXN16:JXO17 KHJ16:KHK17 KRF16:KRG17 LBB16:LBC17 LKX16:LKY17 LUT16:LUU17 MEP16:MEQ17 MOL16:MOM17 MYH16:MYI17 NID16:NIE17 NRZ16:NSA17 OBV16:OBW17 OLR16:OLS17 OVN16:OVO17 PFJ16:PFK17 PPF16:PPG17 PZB16:PZC17 QIX16:QIY17 QST16:QSU17 RCP16:RCQ17 RML16:RMM17 RWH16:RWI17 SGD16:SGE17 SPZ16:SQA17 SZV16:SZW17 TJR16:TJS17 TTN16:TTO17 UDJ16:UDK17 UNF16:UNG17 UXB16:UXC17 VGX16:VGY17 VQT16:VQU17 WAP16:WAQ17 WKL23:WKM24 VQI5:VQU5 VGM5:VGY5 UWQ5:UXC5 UMU5:UNG5 UCY5:UDK5 TTC5:TTO5 TJG5:TJS5 SZK5:SZW5 SPO5:SQA5 SFS5:SGE5 RVW5:RWI5 RMA5:RMM5 RCE5:RCQ5 QSI5:QSU5 QIM5:QIY5 PYQ5:PZC5 POU5:PPG5 PEY5:PFK5 OVC5:OVO5 OLG5:OLS5 OBK5:OBW5 NRO5:NSA5 NHS5:NIE5 MXW5:MYI5 MOA5:MOM5 MEE5:MEQ5 LUI5:LUU5 LKM5:LKY5 LAQ5:LBC5 KQU5:KRG5 KGY5:KHK5 JXC5:JXO5 JNG5:JNS5 JDK5:JDW5 ITO5:IUA5 IJS5:IKE5 HZW5:IAI5 HQA5:HQM5 HGE5:HGQ5 GWI5:GWU5 GMM5:GMY5 GCQ5:GDC5 FSU5:FTG5 FIY5:FJK5 EZC5:EZO5 EPG5:EPS5 EFK5:EFW5 DVO5:DWA5 DLS5:DME5 DBW5:DCI5 CSA5:CSM5 CIE5:CIQ5 BYI5:BYU5 BOM5:BOY5 BEQ5:BFC5 AUU5:AVG5 AKY5:ALK5 ABC5:ABO5 RG5:RS5 HK5:HW5 WTW5:WUI5 WKA5:WKM5 WTW18:WUI22 WAE983003:WAS983040 VQI983003:VQW983040 VGM983003:VHA983040 UWQ983003:UXE983040 UMU983003:UNI983040 UCY983003:UDM983040 TTC983003:TTQ983040 TJG983003:TJU983040 SZK983003:SZY983040 SPO983003:SQC983040 SFS983003:SGG983040 RVW983003:RWK983040 RMA983003:RMO983040 RCE983003:RCS983040 QSI983003:QSW983040 QIM983003:QJA983040 PYQ983003:PZE983040 POU983003:PPI983040 PEY983003:PFM983040 OVC983003:OVQ983040 OLG983003:OLU983040 OBK983003:OBY983040 NRO983003:NSC983040 NHS983003:NIG983040 MXW983003:MYK983040 MOA983003:MOO983040 MEE983003:MES983040 LUI983003:LUW983040 LKM983003:LLA983040 LAQ983003:LBE983040 KQU983003:KRI983040 KGY983003:KHM983040 JXC983003:JXQ983040 JNG983003:JNU983040 JDK983003:JDY983040 ITO983003:IUC983040 IJS983003:IKG983040 HZW983003:IAK983040 HQA983003:HQO983040 HGE983003:HGS983040 GWI983003:GWW983040 GMM983003:GNA983040 GCQ983003:GDE983040 FSU983003:FTI983040 FIY983003:FJM983040 EZC983003:EZQ983040 EPG983003:EPU983040 EFK983003:EFY983040 DVO983003:DWC983040 DLS983003:DMG983040 DBW983003:DCK983040 CSA983003:CSO983040 CIE983003:CIS983040 BYI983003:BYW983040 BOM983003:BPA983040 BEQ983003:BFE983040 AUU983003:AVI983040 AKY983003:ALM983040 ABC983003:ABQ983040 RG983003:RU983040 HK983003:HY983040 WTW917467:WUK917504 WKA917467:WKO917504 WAE917467:WAS917504 VQI917467:VQW917504 VGM917467:VHA917504 UWQ917467:UXE917504 UMU917467:UNI917504 UCY917467:UDM917504 TTC917467:TTQ917504 TJG917467:TJU917504 SZK917467:SZY917504 SPO917467:SQC917504 SFS917467:SGG917504 RVW917467:RWK917504 RMA917467:RMO917504 RCE917467:RCS917504 QSI917467:QSW917504 QIM917467:QJA917504 PYQ917467:PZE917504 POU917467:PPI917504 PEY917467:PFM917504 OVC917467:OVQ917504 OLG917467:OLU917504 OBK917467:OBY917504 NRO917467:NSC917504 NHS917467:NIG917504 MXW917467:MYK917504 MOA917467:MOO917504 MEE917467:MES917504 LUI917467:LUW917504 LKM917467:LLA917504 LAQ917467:LBE917504 KQU917467:KRI917504 KGY917467:KHM917504 JXC917467:JXQ917504 JNG917467:JNU917504 JDK917467:JDY917504 ITO917467:IUC917504 IJS917467:IKG917504 HZW917467:IAK917504 HQA917467:HQO917504 HGE917467:HGS917504 GWI917467:GWW917504 GMM917467:GNA917504 GCQ917467:GDE917504 FSU917467:FTI917504 FIY917467:FJM917504 EZC917467:EZQ917504 EPG917467:EPU917504 EFK917467:EFY917504 DVO917467:DWC917504 DLS917467:DMG917504 DBW917467:DCK917504 CSA917467:CSO917504 CIE917467:CIS917504 BYI917467:BYW917504 BOM917467:BPA917504 BEQ917467:BFE917504 AUU917467:AVI917504 AKY917467:ALM917504 ABC917467:ABQ917504 RG917467:RU917504 HK917467:HY917504 WTW851931:WUK851968 WKA851931:WKO851968 WAE851931:WAS851968 VQI851931:VQW851968 VGM851931:VHA851968 UWQ851931:UXE851968 UMU851931:UNI851968 UCY851931:UDM851968 TTC851931:TTQ851968 TJG851931:TJU851968 SZK851931:SZY851968 SPO851931:SQC851968 SFS851931:SGG851968 RVW851931:RWK851968 RMA851931:RMO851968 RCE851931:RCS851968 QSI851931:QSW851968 QIM851931:QJA851968 PYQ851931:PZE851968 POU851931:PPI851968 PEY851931:PFM851968 OVC851931:OVQ851968 OLG851931:OLU851968 OBK851931:OBY851968 NRO851931:NSC851968 NHS851931:NIG851968 MXW851931:MYK851968 MOA851931:MOO851968 MEE851931:MES851968 LUI851931:LUW851968 LKM851931:LLA851968 LAQ851931:LBE851968 KQU851931:KRI851968 KGY851931:KHM851968 JXC851931:JXQ851968 JNG851931:JNU851968 JDK851931:JDY851968 ITO851931:IUC851968 IJS851931:IKG851968 HZW851931:IAK851968 HQA851931:HQO851968 HGE851931:HGS851968 GWI851931:GWW851968 GMM851931:GNA851968 GCQ851931:GDE851968 FSU851931:FTI851968 FIY851931:FJM851968 EZC851931:EZQ851968 EPG851931:EPU851968 EFK851931:EFY851968 DVO851931:DWC851968 DLS851931:DMG851968 DBW851931:DCK851968 CSA851931:CSO851968 CIE851931:CIS851968 BYI851931:BYW851968 BOM851931:BPA851968 BEQ851931:BFE851968 AUU851931:AVI851968 AKY851931:ALM851968 ABC851931:ABQ851968 RG851931:RU851968 HK851931:HY851968 WTW786395:WUK786432 WKA786395:WKO786432 WAE786395:WAS786432 VQI786395:VQW786432 VGM786395:VHA786432 UWQ786395:UXE786432 UMU786395:UNI786432 UCY786395:UDM786432 TTC786395:TTQ786432 TJG786395:TJU786432 SZK786395:SZY786432 SPO786395:SQC786432 SFS786395:SGG786432 RVW786395:RWK786432 RMA786395:RMO786432 RCE786395:RCS786432 QSI786395:QSW786432 QIM786395:QJA786432 PYQ786395:PZE786432 POU786395:PPI786432 PEY786395:PFM786432 OVC786395:OVQ786432 OLG786395:OLU786432 OBK786395:OBY786432 NRO786395:NSC786432 NHS786395:NIG786432 MXW786395:MYK786432 MOA786395:MOO786432 MEE786395:MES786432 LUI786395:LUW786432 LKM786395:LLA786432 LAQ786395:LBE786432 KQU786395:KRI786432 KGY786395:KHM786432 JXC786395:JXQ786432 JNG786395:JNU786432 JDK786395:JDY786432 ITO786395:IUC786432 IJS786395:IKG786432 HZW786395:IAK786432 HQA786395:HQO786432 HGE786395:HGS786432 GWI786395:GWW786432 GMM786395:GNA786432 GCQ786395:GDE786432 FSU786395:FTI786432 FIY786395:FJM786432 EZC786395:EZQ786432 EPG786395:EPU786432 EFK786395:EFY786432 DVO786395:DWC786432 DLS786395:DMG786432 DBW786395:DCK786432 CSA786395:CSO786432 CIE786395:CIS786432 BYI786395:BYW786432 BOM786395:BPA786432 BEQ786395:BFE786432 AUU786395:AVI786432 AKY786395:ALM786432 ABC786395:ABQ786432 RG786395:RU786432 HK786395:HY786432 WTW720859:WUK720896 WKA720859:WKO720896 WAE720859:WAS720896 VQI720859:VQW720896 VGM720859:VHA720896 UWQ720859:UXE720896 UMU720859:UNI720896 UCY720859:UDM720896 TTC720859:TTQ720896 TJG720859:TJU720896 SZK720859:SZY720896 SPO720859:SQC720896 SFS720859:SGG720896 RVW720859:RWK720896 RMA720859:RMO720896 RCE720859:RCS720896 QSI720859:QSW720896 QIM720859:QJA720896 PYQ720859:PZE720896 POU720859:PPI720896 PEY720859:PFM720896 OVC720859:OVQ720896 OLG720859:OLU720896 OBK720859:OBY720896 NRO720859:NSC720896 NHS720859:NIG720896 MXW720859:MYK720896 MOA720859:MOO720896 MEE720859:MES720896 LUI720859:LUW720896 LKM720859:LLA720896 LAQ720859:LBE720896 KQU720859:KRI720896 KGY720859:KHM720896 JXC720859:JXQ720896 JNG720859:JNU720896 JDK720859:JDY720896 ITO720859:IUC720896 IJS720859:IKG720896 HZW720859:IAK720896 HQA720859:HQO720896 HGE720859:HGS720896 GWI720859:GWW720896 GMM720859:GNA720896 GCQ720859:GDE720896 FSU720859:FTI720896 FIY720859:FJM720896 EZC720859:EZQ720896 EPG720859:EPU720896 EFK720859:EFY720896 DVO720859:DWC720896 DLS720859:DMG720896 DBW720859:DCK720896 CSA720859:CSO720896 CIE720859:CIS720896 BYI720859:BYW720896 BOM720859:BPA720896 BEQ720859:BFE720896 AUU720859:AVI720896 AKY720859:ALM720896 ABC720859:ABQ720896 RG720859:RU720896 HK720859:HY720896 WTW655323:WUK655360 WKA655323:WKO655360 WAE655323:WAS655360 VQI655323:VQW655360 VGM655323:VHA655360 UWQ655323:UXE655360 UMU655323:UNI655360 UCY655323:UDM655360 TTC655323:TTQ655360 TJG655323:TJU655360 SZK655323:SZY655360 SPO655323:SQC655360 SFS655323:SGG655360 RVW655323:RWK655360 RMA655323:RMO655360 RCE655323:RCS655360 QSI655323:QSW655360 QIM655323:QJA655360 PYQ655323:PZE655360 POU655323:PPI655360 PEY655323:PFM655360 OVC655323:OVQ655360 OLG655323:OLU655360 OBK655323:OBY655360 NRO655323:NSC655360 NHS655323:NIG655360 MXW655323:MYK655360 MOA655323:MOO655360 MEE655323:MES655360 LUI655323:LUW655360 LKM655323:LLA655360 LAQ655323:LBE655360 KQU655323:KRI655360 KGY655323:KHM655360 JXC655323:JXQ655360 JNG655323:JNU655360 JDK655323:JDY655360 ITO655323:IUC655360 IJS655323:IKG655360 HZW655323:IAK655360 HQA655323:HQO655360 HGE655323:HGS655360 GWI655323:GWW655360 GMM655323:GNA655360 GCQ655323:GDE655360 FSU655323:FTI655360 FIY655323:FJM655360 EZC655323:EZQ655360 EPG655323:EPU655360 EFK655323:EFY655360 DVO655323:DWC655360 DLS655323:DMG655360 DBW655323:DCK655360 CSA655323:CSO655360 CIE655323:CIS655360 BYI655323:BYW655360 BOM655323:BPA655360 BEQ655323:BFE655360 AUU655323:AVI655360 AKY655323:ALM655360 ABC655323:ABQ655360 RG655323:RU655360 HK655323:HY655360 WTW589787:WUK589824 WKA589787:WKO589824 WAE589787:WAS589824 VQI589787:VQW589824 VGM589787:VHA589824 UWQ589787:UXE589824 UMU589787:UNI589824 UCY589787:UDM589824 TTC589787:TTQ589824 TJG589787:TJU589824 SZK589787:SZY589824 SPO589787:SQC589824 SFS589787:SGG589824 RVW589787:RWK589824 RMA589787:RMO589824 RCE589787:RCS589824 QSI589787:QSW589824 QIM589787:QJA589824 PYQ589787:PZE589824 POU589787:PPI589824 PEY589787:PFM589824 OVC589787:OVQ589824 OLG589787:OLU589824 OBK589787:OBY589824 NRO589787:NSC589824 NHS589787:NIG589824 MXW589787:MYK589824 MOA589787:MOO589824 MEE589787:MES589824 LUI589787:LUW589824 LKM589787:LLA589824 LAQ589787:LBE589824 KQU589787:KRI589824 KGY589787:KHM589824 JXC589787:JXQ589824 JNG589787:JNU589824 JDK589787:JDY589824 ITO589787:IUC589824 IJS589787:IKG589824 HZW589787:IAK589824 HQA589787:HQO589824 HGE589787:HGS589824 GWI589787:GWW589824 GMM589787:GNA589824 GCQ589787:GDE589824 FSU589787:FTI589824 FIY589787:FJM589824 EZC589787:EZQ589824 EPG589787:EPU589824 EFK589787:EFY589824 DVO589787:DWC589824 DLS589787:DMG589824 DBW589787:DCK589824 CSA589787:CSO589824 CIE589787:CIS589824 BYI589787:BYW589824 BOM589787:BPA589824 BEQ589787:BFE589824 AUU589787:AVI589824 AKY589787:ALM589824 ABC589787:ABQ589824 RG589787:RU589824 HK589787:HY589824 WTW524251:WUK524288 WKA524251:WKO524288 WAE524251:WAS524288 VQI524251:VQW524288 VGM524251:VHA524288 UWQ524251:UXE524288 UMU524251:UNI524288 UCY524251:UDM524288 TTC524251:TTQ524288 TJG524251:TJU524288 SZK524251:SZY524288 SPO524251:SQC524288 SFS524251:SGG524288 RVW524251:RWK524288 RMA524251:RMO524288 RCE524251:RCS524288 QSI524251:QSW524288 QIM524251:QJA524288 PYQ524251:PZE524288 POU524251:PPI524288 PEY524251:PFM524288 OVC524251:OVQ524288 OLG524251:OLU524288 OBK524251:OBY524288 NRO524251:NSC524288 NHS524251:NIG524288 MXW524251:MYK524288 MOA524251:MOO524288 MEE524251:MES524288 LUI524251:LUW524288 LKM524251:LLA524288 LAQ524251:LBE524288 KQU524251:KRI524288 KGY524251:KHM524288 JXC524251:JXQ524288 JNG524251:JNU524288 JDK524251:JDY524288 ITO524251:IUC524288 IJS524251:IKG524288 HZW524251:IAK524288 HQA524251:HQO524288 HGE524251:HGS524288 GWI524251:GWW524288 GMM524251:GNA524288 GCQ524251:GDE524288 FSU524251:FTI524288 FIY524251:FJM524288 EZC524251:EZQ524288 EPG524251:EPU524288 EFK524251:EFY524288 DVO524251:DWC524288 DLS524251:DMG524288 DBW524251:DCK524288 CSA524251:CSO524288 CIE524251:CIS524288 BYI524251:BYW524288 BOM524251:BPA524288 BEQ524251:BFE524288 AUU524251:AVI524288 AKY524251:ALM524288 ABC524251:ABQ524288 RG524251:RU524288 HK524251:HY524288 WTW458715:WUK458752 WKA458715:WKO458752 WAE458715:WAS458752 VQI458715:VQW458752 VGM458715:VHA458752 UWQ458715:UXE458752 UMU458715:UNI458752 UCY458715:UDM458752 TTC458715:TTQ458752 TJG458715:TJU458752 SZK458715:SZY458752 SPO458715:SQC458752 SFS458715:SGG458752 RVW458715:RWK458752 RMA458715:RMO458752 RCE458715:RCS458752 QSI458715:QSW458752 QIM458715:QJA458752 PYQ458715:PZE458752 POU458715:PPI458752 PEY458715:PFM458752 OVC458715:OVQ458752 OLG458715:OLU458752 OBK458715:OBY458752 NRO458715:NSC458752 NHS458715:NIG458752 MXW458715:MYK458752 MOA458715:MOO458752 MEE458715:MES458752 LUI458715:LUW458752 LKM458715:LLA458752 LAQ458715:LBE458752 KQU458715:KRI458752 KGY458715:KHM458752 JXC458715:JXQ458752 JNG458715:JNU458752 JDK458715:JDY458752 ITO458715:IUC458752 IJS458715:IKG458752 HZW458715:IAK458752 HQA458715:HQO458752 HGE458715:HGS458752 GWI458715:GWW458752 GMM458715:GNA458752 GCQ458715:GDE458752 FSU458715:FTI458752 FIY458715:FJM458752 EZC458715:EZQ458752 EPG458715:EPU458752 EFK458715:EFY458752 DVO458715:DWC458752 DLS458715:DMG458752 DBW458715:DCK458752 CSA458715:CSO458752 CIE458715:CIS458752 BYI458715:BYW458752 BOM458715:BPA458752 BEQ458715:BFE458752 AUU458715:AVI458752 AKY458715:ALM458752 ABC458715:ABQ458752 RG458715:RU458752 HK458715:HY458752 WTW393179:WUK393216 WKA393179:WKO393216 WAE393179:WAS393216 VQI393179:VQW393216 VGM393179:VHA393216 UWQ393179:UXE393216 UMU393179:UNI393216 UCY393179:UDM393216 TTC393179:TTQ393216 TJG393179:TJU393216 SZK393179:SZY393216 SPO393179:SQC393216 SFS393179:SGG393216 RVW393179:RWK393216 RMA393179:RMO393216 RCE393179:RCS393216 QSI393179:QSW393216 QIM393179:QJA393216 PYQ393179:PZE393216 POU393179:PPI393216 PEY393179:PFM393216 OVC393179:OVQ393216 OLG393179:OLU393216 OBK393179:OBY393216 NRO393179:NSC393216 NHS393179:NIG393216 MXW393179:MYK393216 MOA393179:MOO393216 MEE393179:MES393216 LUI393179:LUW393216 LKM393179:LLA393216 LAQ393179:LBE393216 KQU393179:KRI393216 KGY393179:KHM393216 JXC393179:JXQ393216 JNG393179:JNU393216 JDK393179:JDY393216 ITO393179:IUC393216 IJS393179:IKG393216 HZW393179:IAK393216 HQA393179:HQO393216 HGE393179:HGS393216 GWI393179:GWW393216 GMM393179:GNA393216 GCQ393179:GDE393216 FSU393179:FTI393216 FIY393179:FJM393216 EZC393179:EZQ393216 EPG393179:EPU393216 EFK393179:EFY393216 DVO393179:DWC393216 DLS393179:DMG393216 DBW393179:DCK393216 CSA393179:CSO393216 CIE393179:CIS393216 BYI393179:BYW393216 BOM393179:BPA393216 BEQ393179:BFE393216 AUU393179:AVI393216 AKY393179:ALM393216 ABC393179:ABQ393216 RG393179:RU393216 HK393179:HY393216 WTW327643:WUK327680 WKA327643:WKO327680 WAE327643:WAS327680 VQI327643:VQW327680 VGM327643:VHA327680 UWQ327643:UXE327680 UMU327643:UNI327680 UCY327643:UDM327680 TTC327643:TTQ327680 TJG327643:TJU327680 SZK327643:SZY327680 SPO327643:SQC327680 SFS327643:SGG327680 RVW327643:RWK327680 RMA327643:RMO327680 RCE327643:RCS327680 QSI327643:QSW327680 QIM327643:QJA327680 PYQ327643:PZE327680 POU327643:PPI327680 PEY327643:PFM327680 OVC327643:OVQ327680 OLG327643:OLU327680 OBK327643:OBY327680 NRO327643:NSC327680 NHS327643:NIG327680 MXW327643:MYK327680 MOA327643:MOO327680 MEE327643:MES327680 LUI327643:LUW327680 LKM327643:LLA327680 LAQ327643:LBE327680 KQU327643:KRI327680 KGY327643:KHM327680 JXC327643:JXQ327680 JNG327643:JNU327680 JDK327643:JDY327680 ITO327643:IUC327680 IJS327643:IKG327680 HZW327643:IAK327680 HQA327643:HQO327680 HGE327643:HGS327680 GWI327643:GWW327680 GMM327643:GNA327680 GCQ327643:GDE327680 FSU327643:FTI327680 FIY327643:FJM327680 EZC327643:EZQ327680 EPG327643:EPU327680 EFK327643:EFY327680 DVO327643:DWC327680 DLS327643:DMG327680 DBW327643:DCK327680 CSA327643:CSO327680 CIE327643:CIS327680 BYI327643:BYW327680 BOM327643:BPA327680 BEQ327643:BFE327680 AUU327643:AVI327680 AKY327643:ALM327680 ABC327643:ABQ327680 RG327643:RU327680 HK327643:HY327680 WTW262107:WUK262144 WKA262107:WKO262144 WAE262107:WAS262144 VQI262107:VQW262144 VGM262107:VHA262144 UWQ262107:UXE262144 UMU262107:UNI262144 UCY262107:UDM262144 TTC262107:TTQ262144 TJG262107:TJU262144 SZK262107:SZY262144 SPO262107:SQC262144 SFS262107:SGG262144 RVW262107:RWK262144 RMA262107:RMO262144 RCE262107:RCS262144 QSI262107:QSW262144 QIM262107:QJA262144 PYQ262107:PZE262144 POU262107:PPI262144 PEY262107:PFM262144 OVC262107:OVQ262144 OLG262107:OLU262144 OBK262107:OBY262144 NRO262107:NSC262144 NHS262107:NIG262144 MXW262107:MYK262144 MOA262107:MOO262144 MEE262107:MES262144 LUI262107:LUW262144 LKM262107:LLA262144 LAQ262107:LBE262144 KQU262107:KRI262144 KGY262107:KHM262144 JXC262107:JXQ262144 JNG262107:JNU262144 JDK262107:JDY262144 ITO262107:IUC262144 IJS262107:IKG262144 HZW262107:IAK262144 HQA262107:HQO262144 HGE262107:HGS262144 GWI262107:GWW262144 GMM262107:GNA262144 GCQ262107:GDE262144 FSU262107:FTI262144 FIY262107:FJM262144 EZC262107:EZQ262144 EPG262107:EPU262144 EFK262107:EFY262144 DVO262107:DWC262144 DLS262107:DMG262144 DBW262107:DCK262144 CSA262107:CSO262144 CIE262107:CIS262144 BYI262107:BYW262144 BOM262107:BPA262144 BEQ262107:BFE262144 AUU262107:AVI262144 AKY262107:ALM262144 ABC262107:ABQ262144 RG262107:RU262144 HK262107:HY262144 WTW196571:WUK196608 WKA196571:WKO196608 WAE196571:WAS196608 VQI196571:VQW196608 VGM196571:VHA196608 UWQ196571:UXE196608 UMU196571:UNI196608 UCY196571:UDM196608 TTC196571:TTQ196608 TJG196571:TJU196608 SZK196571:SZY196608 SPO196571:SQC196608 SFS196571:SGG196608 RVW196571:RWK196608 RMA196571:RMO196608 RCE196571:RCS196608 QSI196571:QSW196608 QIM196571:QJA196608 PYQ196571:PZE196608 POU196571:PPI196608 PEY196571:PFM196608 OVC196571:OVQ196608 OLG196571:OLU196608 OBK196571:OBY196608 NRO196571:NSC196608 NHS196571:NIG196608 MXW196571:MYK196608 MOA196571:MOO196608 MEE196571:MES196608 LUI196571:LUW196608 LKM196571:LLA196608 LAQ196571:LBE196608 KQU196571:KRI196608 KGY196571:KHM196608 JXC196571:JXQ196608 JNG196571:JNU196608 JDK196571:JDY196608 ITO196571:IUC196608 IJS196571:IKG196608 HZW196571:IAK196608 HQA196571:HQO196608 HGE196571:HGS196608 GWI196571:GWW196608 GMM196571:GNA196608 GCQ196571:GDE196608 FSU196571:FTI196608 FIY196571:FJM196608 EZC196571:EZQ196608 EPG196571:EPU196608 EFK196571:EFY196608 DVO196571:DWC196608 DLS196571:DMG196608 DBW196571:DCK196608 CSA196571:CSO196608 CIE196571:CIS196608 BYI196571:BYW196608 BOM196571:BPA196608 BEQ196571:BFE196608 AUU196571:AVI196608 AKY196571:ALM196608 ABC196571:ABQ196608 RG196571:RU196608 HK196571:HY196608 WTW131035:WUK131072 WKA131035:WKO131072 WAE131035:WAS131072 VQI131035:VQW131072 VGM131035:VHA131072 UWQ131035:UXE131072 UMU131035:UNI131072 UCY131035:UDM131072 TTC131035:TTQ131072 TJG131035:TJU131072 SZK131035:SZY131072 SPO131035:SQC131072 SFS131035:SGG131072 RVW131035:RWK131072 RMA131035:RMO131072 RCE131035:RCS131072 QSI131035:QSW131072 QIM131035:QJA131072 PYQ131035:PZE131072 POU131035:PPI131072 PEY131035:PFM131072 OVC131035:OVQ131072 OLG131035:OLU131072 OBK131035:OBY131072 NRO131035:NSC131072 NHS131035:NIG131072 MXW131035:MYK131072 MOA131035:MOO131072 MEE131035:MES131072 LUI131035:LUW131072 LKM131035:LLA131072 LAQ131035:LBE131072 KQU131035:KRI131072 KGY131035:KHM131072 JXC131035:JXQ131072 JNG131035:JNU131072 JDK131035:JDY131072 ITO131035:IUC131072 IJS131035:IKG131072 HZW131035:IAK131072 HQA131035:HQO131072 HGE131035:HGS131072 GWI131035:GWW131072 GMM131035:GNA131072 GCQ131035:GDE131072 FSU131035:FTI131072 FIY131035:FJM131072 EZC131035:EZQ131072 EPG131035:EPU131072 EFK131035:EFY131072 DVO131035:DWC131072 DLS131035:DMG131072 DBW131035:DCK131072 CSA131035:CSO131072 CIE131035:CIS131072 BYI131035:BYW131072 BOM131035:BPA131072 BEQ131035:BFE131072 AUU131035:AVI131072 AKY131035:ALM131072 ABC131035:ABQ131072 RG131035:RU131072 HK131035:HY131072 WTW65499:WUK65536 WKA65499:WKO65536 WAE65499:WAS65536 VQI65499:VQW65536 VGM65499:VHA65536 UWQ65499:UXE65536 UMU65499:UNI65536 UCY65499:UDM65536 TTC65499:TTQ65536 TJG65499:TJU65536 SZK65499:SZY65536 SPO65499:SQC65536 SFS65499:SGG65536 RVW65499:RWK65536 RMA65499:RMO65536 RCE65499:RCS65536 QSI65499:QSW65536 QIM65499:QJA65536 PYQ65499:PZE65536 POU65499:PPI65536 PEY65499:PFM65536 OVC65499:OVQ65536 OLG65499:OLU65536 OBK65499:OBY65536 NRO65499:NSC65536 NHS65499:NIG65536 MXW65499:MYK65536 MOA65499:MOO65536 MEE65499:MES65536 LUI65499:LUW65536 LKM65499:LLA65536 LAQ65499:LBE65536 KQU65499:KRI65536 KGY65499:KHM65536 JXC65499:JXQ65536 JNG65499:JNU65536 JDK65499:JDY65536 ITO65499:IUC65536 IJS65499:IKG65536 HZW65499:IAK65536 HQA65499:HQO65536 HGE65499:HGS65536 GWI65499:GWW65536 GMM65499:GNA65536 GCQ65499:GDE65536 FSU65499:FTI65536 FIY65499:FJM65536 EZC65499:EZQ65536 EPG65499:EPU65536 EFK65499:EFY65536 DVO65499:DWC65536 DLS65499:DMG65536 DBW65499:DCK65536 CSA65499:CSO65536 CIE65499:CIS65536 BYI65499:BYW65536 BOM65499:BPA65536 BEQ65499:BFE65536 AUU65499:AVI65536 AKY65499:ALM65536 ABC65499:ABQ65536 RG65499:RU65536 HK65499:HY65536 WKA983003:WKO983040 WAE10:WAQ15 VQI10:VQU15 VGM10:VGY15 UWQ10:UXC15 UMU10:UNG15 UCY10:UDK15 TTC10:TTO15 TJG10:TJS15 SZK10:SZW15 SPO10:SQA15 SFS10:SGE15 RVW10:RWI15 RMA10:RMM15 RCE10:RCQ15 QSI10:QSU15 QIM10:QIY15 PYQ10:PZC15 POU10:PPG15 PEY10:PFK15 OVC10:OVO15 OLG10:OLS15 OBK10:OBW15 NRO10:NSA15 NHS10:NIE15 MXW10:MYI15 MOA10:MOM15 MEE10:MEQ15 LUI10:LUU15 LKM10:LKY15 LAQ10:LBC15 KQU10:KRG15 KGY10:KHK15 JXC10:JXO15 JNG10:JNS15 JDK10:JDW15 ITO10:IUA15 IJS10:IKE15 HZW10:IAI15 HQA10:HQM15 HGE10:HGQ15 GWI10:GWU15 GMM10:GMY15 GCQ10:GDC15 FSU10:FTG15 FIY10:FJK15 EZC10:EZO15 EPG10:EPS15 EFK10:EFW15 DVO10:DWA15 DLS10:DME15 DBW10:DCI15 CSA10:CSM15 CIE10:CIQ15 BYI10:BYU15 BOM10:BOY15 BEQ10:BFC15 AUU10:AVG15 AKY10:ALK15 ABC10:ABO15 RG10:RS15 HK10:HW15 WTW10:WUI15 WKA25:WKM30 WAE25:WAQ30 VQI25:VQU30 VGM25:VGY30 UWQ25:UXC30 UMU25:UNG30 UCY25:UDK30 TTC25:TTO30 TJG25:TJS30 SZK25:SZW30 SPO25:SQA30 SFS25:SGE30 RVW25:RWI30 RMA25:RMM30 RCE25:RCQ30 QSI25:QSU30 QIM25:QIY30 PYQ25:PZC30 POU25:PPG30 PEY25:PFK30 OVC25:OVO30 OLG25:OLS30 OBK25:OBW30 NRO25:NSA30 NHS25:NIE30 MXW25:MYI30 MOA25:MOM30 MEE25:MEQ30 LUI25:LUU30 LKM25:LKY30 LAQ25:LBC30 KQU25:KRG30 KGY25:KHK30 JXC25:JXO30 JNG25:JNS30 JDK25:JDW30 ITO25:IUA30 IJS25:IKE30 HZW25:IAI30 HQA25:HQM30 HGE25:HGQ30 GWI25:GWU30 GMM25:GMY30 GCQ25:GDC30 FSU25:FTG30 FIY25:FJK30 EZC25:EZO30 EPG25:EPS30 EFK25:EFW30 DVO25:DWA30 DLS25:DME30 DBW25:DCI30 CSA25:CSM30 CIE25:CIQ30 BYI25:BYU30 BOM25:BOY30 BEQ25:BFC30 AUU25:AVG30 AKY25:ALK30 ABC25:ABO30 RG25:RS30 HK25:HW30 WTW25:WUI30 WKA10:WKM15 WKA18:WKM22 WAE18:WAQ22 VQI18:VQU22 VGM18:VGY22 UWQ18:UXC22 UMU18:UNG22 UCY18:UDK22 TTC18:TTO22 TJG18:TJS22 SZK18:SZW22 SPO18:SQA22 SFS18:SGE22 RVW18:RWI22 RMA18:RMM22 RCE18:RCQ22 QSI18:QSU22 QIM18:QIY22 PYQ18:PZC22 POU18:PPG22 PEY18:PFK22 OVC18:OVO22 OLG18:OLS22 OBK18:OBW22 NRO18:NSA22 NHS18:NIE22 MXW18:MYI22 MOA18:MOM22 MEE18:MEQ22 LUI18:LUU22 LKM18:LKY22 LAQ18:LBC22 KQU18:KRG22 KGY18:KHK22 JXC18:JXO22 JNG18:JNS22 JDK18:JDW22 ITO18:IUA22 IJS18:IKE22 HZW18:IAI22 HQA18:HQM22 HGE18:HGQ22 GWI18:GWU22 GMM18:GMY22 GCQ18:GDC22 FSU18:FTG22 FIY18:FJK22 EZC18:EZO22 EPG18:EPS22 EFK18:EFW22 DVO18:DWA22 DLS18:DME22 DBW18:DCI22 CSA18:CSM22 CIE18:CIQ22 BYI18:BYU22 BOM18:BOY22 BEQ18:BFC22 AUU18:AVG22 AKY18:ALK22 ABC18:ABO22 RG18:RS22 HK18:HW22 WAR8:WAS30 WTW983003:WUK983040 WAE5:WAS5 VQV5:VQW30 VGZ5:VHA30 UXD5:UXE30 UNH5:UNI30 UDL5:UDM30 TTP5:TTQ30 TJT5:TJU30 SZX5:SZY30 SQB5:SQC30 SGF5:SGG30 RWJ5:RWK30 RMN5:RMO30 RCR5:RCS30 QSV5:QSW30 QIZ5:QJA30 PZD5:PZE30 PPH5:PPI30 PFL5:PFM30 OVP5:OVQ30 OLT5:OLU30 OBX5:OBY30 NSB5:NSC30 NIF5:NIG30 MYJ5:MYK30 MON5:MOO30 MER5:MES30 LUV5:LUW30 LKZ5:LLA30 LBD5:LBE30 KRH5:KRI30 KHL5:KHM30 JXP5:JXQ30 JNT5:JNU30 JDX5:JDY30 IUB5:IUC30 IKF5:IKG30 IAJ5:IAK30 HQN5:HQO30 HGR5:HGS30 GWV5:GWW30 GMZ5:GNA30 GDD5:GDE30 FTH5:FTI30 FJL5:FJM30 EZP5:EZQ30 EPT5:EPU30 EFX5:EFY30 DWB5:DWC30 DMF5:DMG30 DCJ5:DCK30 CSN5:CSO30 CIR5:CIS30 BYV5:BYW30 BOZ5:BPA30 BFD5:BFE30 AVH5:AVI30 ALL5:ALM30 ABP5:ABQ30 RT5:RU30 HX5:HY30 WUJ5:WUK30 WKN5:WKO30 WAP6:WAS7 VQT6:VQU9 VGX6:VGY9 UXB6:UXC9 UNF6:UNG9 UDJ6:UDK9 TTN6:TTO9 TJR6:TJS9 SZV6:SZW9 SPZ6:SQA9 SGD6:SGE9 RWH6:RWI9 RML6:RMM9 RCP6:RCQ9 QST6:QSU9 QIX6:QIY9 PZB6:PZC9 PPF6:PPG9 PFJ6:PFK9 OVN6:OVO9 OLR6:OLS9 OBV6:OBW9 NRZ6:NSA9 NID6:NIE9 MYH6:MYI9 MOL6:MOM9 MEP6:MEQ9 LUT6:LUU9 LKX6:LKY9 LBB6:LBC9 KRF6:KRG9 KHJ6:KHK9 JXN6:JXO9 JNR6:JNS9 JDV6:JDW9 ITZ6:IUA9 IKD6:IKE9 IAH6:IAI9 HQL6:HQM9 HGP6:HGQ9 GWT6:GWU9 GMX6:GMY9 GDB6:GDC9 FTF6:FTG9 FJJ6:FJK9 EZN6:EZO9 EPR6:EPS9 EFV6:EFW9 DVZ6:DWA9 DMD6:DME9 DCH6:DCI9 CSL6:CSM9 CIP6:CIQ9 BYT6:BYU9 BOX6:BOY9 BFB6:BFC9 AVF6:AVG9 ALJ6:ALK9 ABN6:ABO9 RR6:RS9 HV6:HW9 WUH6:WUI9 WKL6:WKM9" xr:uid="{7F741ADB-7D40-4213-987F-898B83BA6503}">
      <formula1>#REF!</formula1>
    </dataValidation>
    <dataValidation type="list" allowBlank="1" showInputMessage="1" showErrorMessage="1" sqref="HY983044:IF983049 RU983044:SB983049 ABQ983044:ABX983049 ALM983044:ALT983049 AVI983044:AVP983049 BFE983044:BFL983049 BPA983044:BPH983049 BYW983044:BZD983049 CIS983044:CIZ983049 CSO983044:CSV983049 DCK983044:DCR983049 DMG983044:DMN983049 DWC983044:DWJ983049 EFY983044:EGF983049 EPU983044:EQB983049 EZQ983044:EZX983049 FJM983044:FJT983049 FTI983044:FTP983049 GDE983044:GDL983049 GNA983044:GNH983049 GWW983044:GXD983049 HGS983044:HGZ983049 HQO983044:HQV983049 IAK983044:IAR983049 IKG983044:IKN983049 IUC983044:IUJ983049 JDY983044:JEF983049 JNU983044:JOB983049 JXQ983044:JXX983049 KHM983044:KHT983049 KRI983044:KRP983049 LBE983044:LBL983049 LLA983044:LLH983049 LUW983044:LVD983049 MES983044:MEZ983049 MOO983044:MOV983049 MYK983044:MYR983049 NIG983044:NIN983049 NSC983044:NSJ983049 OBY983044:OCF983049 OLU983044:OMB983049 OVQ983044:OVX983049 PFM983044:PFT983049 PPI983044:PPP983049 PZE983044:PZL983049 QJA983044:QJH983049 QSW983044:QTD983049 RCS983044:RCZ983049 RMO983044:RMV983049 RWK983044:RWR983049 SGG983044:SGN983049 SQC983044:SQJ983049 SZY983044:TAF983049 TJU983044:TKB983049 TTQ983044:TTX983049 UDM983044:UDT983049 UNI983044:UNP983049 UXE983044:UXL983049 VHA983044:VHH983049 VQW983044:VRD983049 WAS983044:WAZ983049 WKO983044:WKV983049 WUK983044:WUR983049 HY65540:IF65545 RU65540:SB65545 ABQ65540:ABX65545 ALM65540:ALT65545 AVI65540:AVP65545 BFE65540:BFL65545 BPA65540:BPH65545 BYW65540:BZD65545 CIS65540:CIZ65545 CSO65540:CSV65545 DCK65540:DCR65545 DMG65540:DMN65545 DWC65540:DWJ65545 EFY65540:EGF65545 EPU65540:EQB65545 EZQ65540:EZX65545 FJM65540:FJT65545 FTI65540:FTP65545 GDE65540:GDL65545 GNA65540:GNH65545 GWW65540:GXD65545 HGS65540:HGZ65545 HQO65540:HQV65545 IAK65540:IAR65545 IKG65540:IKN65545 IUC65540:IUJ65545 JDY65540:JEF65545 JNU65540:JOB65545 JXQ65540:JXX65545 KHM65540:KHT65545 KRI65540:KRP65545 LBE65540:LBL65545 LLA65540:LLH65545 LUW65540:LVD65545 MES65540:MEZ65545 MOO65540:MOV65545 MYK65540:MYR65545 NIG65540:NIN65545 NSC65540:NSJ65545 OBY65540:OCF65545 OLU65540:OMB65545 OVQ65540:OVX65545 PFM65540:PFT65545 PPI65540:PPP65545 PZE65540:PZL65545 QJA65540:QJH65545 QSW65540:QTD65545 RCS65540:RCZ65545 RMO65540:RMV65545 RWK65540:RWR65545 SGG65540:SGN65545 SQC65540:SQJ65545 SZY65540:TAF65545 TJU65540:TKB65545 TTQ65540:TTX65545 UDM65540:UDT65545 UNI65540:UNP65545 UXE65540:UXL65545 VHA65540:VHH65545 VQW65540:VRD65545 WAS65540:WAZ65545 WKO65540:WKV65545 WUK65540:WUR65545 HY131076:IF131081 RU131076:SB131081 ABQ131076:ABX131081 ALM131076:ALT131081 AVI131076:AVP131081 BFE131076:BFL131081 BPA131076:BPH131081 BYW131076:BZD131081 CIS131076:CIZ131081 CSO131076:CSV131081 DCK131076:DCR131081 DMG131076:DMN131081 DWC131076:DWJ131081 EFY131076:EGF131081 EPU131076:EQB131081 EZQ131076:EZX131081 FJM131076:FJT131081 FTI131076:FTP131081 GDE131076:GDL131081 GNA131076:GNH131081 GWW131076:GXD131081 HGS131076:HGZ131081 HQO131076:HQV131081 IAK131076:IAR131081 IKG131076:IKN131081 IUC131076:IUJ131081 JDY131076:JEF131081 JNU131076:JOB131081 JXQ131076:JXX131081 KHM131076:KHT131081 KRI131076:KRP131081 LBE131076:LBL131081 LLA131076:LLH131081 LUW131076:LVD131081 MES131076:MEZ131081 MOO131076:MOV131081 MYK131076:MYR131081 NIG131076:NIN131081 NSC131076:NSJ131081 OBY131076:OCF131081 OLU131076:OMB131081 OVQ131076:OVX131081 PFM131076:PFT131081 PPI131076:PPP131081 PZE131076:PZL131081 QJA131076:QJH131081 QSW131076:QTD131081 RCS131076:RCZ131081 RMO131076:RMV131081 RWK131076:RWR131081 SGG131076:SGN131081 SQC131076:SQJ131081 SZY131076:TAF131081 TJU131076:TKB131081 TTQ131076:TTX131081 UDM131076:UDT131081 UNI131076:UNP131081 UXE131076:UXL131081 VHA131076:VHH131081 VQW131076:VRD131081 WAS131076:WAZ131081 WKO131076:WKV131081 WUK131076:WUR131081 HY196612:IF196617 RU196612:SB196617 ABQ196612:ABX196617 ALM196612:ALT196617 AVI196612:AVP196617 BFE196612:BFL196617 BPA196612:BPH196617 BYW196612:BZD196617 CIS196612:CIZ196617 CSO196612:CSV196617 DCK196612:DCR196617 DMG196612:DMN196617 DWC196612:DWJ196617 EFY196612:EGF196617 EPU196612:EQB196617 EZQ196612:EZX196617 FJM196612:FJT196617 FTI196612:FTP196617 GDE196612:GDL196617 GNA196612:GNH196617 GWW196612:GXD196617 HGS196612:HGZ196617 HQO196612:HQV196617 IAK196612:IAR196617 IKG196612:IKN196617 IUC196612:IUJ196617 JDY196612:JEF196617 JNU196612:JOB196617 JXQ196612:JXX196617 KHM196612:KHT196617 KRI196612:KRP196617 LBE196612:LBL196617 LLA196612:LLH196617 LUW196612:LVD196617 MES196612:MEZ196617 MOO196612:MOV196617 MYK196612:MYR196617 NIG196612:NIN196617 NSC196612:NSJ196617 OBY196612:OCF196617 OLU196612:OMB196617 OVQ196612:OVX196617 PFM196612:PFT196617 PPI196612:PPP196617 PZE196612:PZL196617 QJA196612:QJH196617 QSW196612:QTD196617 RCS196612:RCZ196617 RMO196612:RMV196617 RWK196612:RWR196617 SGG196612:SGN196617 SQC196612:SQJ196617 SZY196612:TAF196617 TJU196612:TKB196617 TTQ196612:TTX196617 UDM196612:UDT196617 UNI196612:UNP196617 UXE196612:UXL196617 VHA196612:VHH196617 VQW196612:VRD196617 WAS196612:WAZ196617 WKO196612:WKV196617 WUK196612:WUR196617 HY262148:IF262153 RU262148:SB262153 ABQ262148:ABX262153 ALM262148:ALT262153 AVI262148:AVP262153 BFE262148:BFL262153 BPA262148:BPH262153 BYW262148:BZD262153 CIS262148:CIZ262153 CSO262148:CSV262153 DCK262148:DCR262153 DMG262148:DMN262153 DWC262148:DWJ262153 EFY262148:EGF262153 EPU262148:EQB262153 EZQ262148:EZX262153 FJM262148:FJT262153 FTI262148:FTP262153 GDE262148:GDL262153 GNA262148:GNH262153 GWW262148:GXD262153 HGS262148:HGZ262153 HQO262148:HQV262153 IAK262148:IAR262153 IKG262148:IKN262153 IUC262148:IUJ262153 JDY262148:JEF262153 JNU262148:JOB262153 JXQ262148:JXX262153 KHM262148:KHT262153 KRI262148:KRP262153 LBE262148:LBL262153 LLA262148:LLH262153 LUW262148:LVD262153 MES262148:MEZ262153 MOO262148:MOV262153 MYK262148:MYR262153 NIG262148:NIN262153 NSC262148:NSJ262153 OBY262148:OCF262153 OLU262148:OMB262153 OVQ262148:OVX262153 PFM262148:PFT262153 PPI262148:PPP262153 PZE262148:PZL262153 QJA262148:QJH262153 QSW262148:QTD262153 RCS262148:RCZ262153 RMO262148:RMV262153 RWK262148:RWR262153 SGG262148:SGN262153 SQC262148:SQJ262153 SZY262148:TAF262153 TJU262148:TKB262153 TTQ262148:TTX262153 UDM262148:UDT262153 UNI262148:UNP262153 UXE262148:UXL262153 VHA262148:VHH262153 VQW262148:VRD262153 WAS262148:WAZ262153 WKO262148:WKV262153 WUK262148:WUR262153 HY327684:IF327689 RU327684:SB327689 ABQ327684:ABX327689 ALM327684:ALT327689 AVI327684:AVP327689 BFE327684:BFL327689 BPA327684:BPH327689 BYW327684:BZD327689 CIS327684:CIZ327689 CSO327684:CSV327689 DCK327684:DCR327689 DMG327684:DMN327689 DWC327684:DWJ327689 EFY327684:EGF327689 EPU327684:EQB327689 EZQ327684:EZX327689 FJM327684:FJT327689 FTI327684:FTP327689 GDE327684:GDL327689 GNA327684:GNH327689 GWW327684:GXD327689 HGS327684:HGZ327689 HQO327684:HQV327689 IAK327684:IAR327689 IKG327684:IKN327689 IUC327684:IUJ327689 JDY327684:JEF327689 JNU327684:JOB327689 JXQ327684:JXX327689 KHM327684:KHT327689 KRI327684:KRP327689 LBE327684:LBL327689 LLA327684:LLH327689 LUW327684:LVD327689 MES327684:MEZ327689 MOO327684:MOV327689 MYK327684:MYR327689 NIG327684:NIN327689 NSC327684:NSJ327689 OBY327684:OCF327689 OLU327684:OMB327689 OVQ327684:OVX327689 PFM327684:PFT327689 PPI327684:PPP327689 PZE327684:PZL327689 QJA327684:QJH327689 QSW327684:QTD327689 RCS327684:RCZ327689 RMO327684:RMV327689 RWK327684:RWR327689 SGG327684:SGN327689 SQC327684:SQJ327689 SZY327684:TAF327689 TJU327684:TKB327689 TTQ327684:TTX327689 UDM327684:UDT327689 UNI327684:UNP327689 UXE327684:UXL327689 VHA327684:VHH327689 VQW327684:VRD327689 WAS327684:WAZ327689 WKO327684:WKV327689 WUK327684:WUR327689 HY393220:IF393225 RU393220:SB393225 ABQ393220:ABX393225 ALM393220:ALT393225 AVI393220:AVP393225 BFE393220:BFL393225 BPA393220:BPH393225 BYW393220:BZD393225 CIS393220:CIZ393225 CSO393220:CSV393225 DCK393220:DCR393225 DMG393220:DMN393225 DWC393220:DWJ393225 EFY393220:EGF393225 EPU393220:EQB393225 EZQ393220:EZX393225 FJM393220:FJT393225 FTI393220:FTP393225 GDE393220:GDL393225 GNA393220:GNH393225 GWW393220:GXD393225 HGS393220:HGZ393225 HQO393220:HQV393225 IAK393220:IAR393225 IKG393220:IKN393225 IUC393220:IUJ393225 JDY393220:JEF393225 JNU393220:JOB393225 JXQ393220:JXX393225 KHM393220:KHT393225 KRI393220:KRP393225 LBE393220:LBL393225 LLA393220:LLH393225 LUW393220:LVD393225 MES393220:MEZ393225 MOO393220:MOV393225 MYK393220:MYR393225 NIG393220:NIN393225 NSC393220:NSJ393225 OBY393220:OCF393225 OLU393220:OMB393225 OVQ393220:OVX393225 PFM393220:PFT393225 PPI393220:PPP393225 PZE393220:PZL393225 QJA393220:QJH393225 QSW393220:QTD393225 RCS393220:RCZ393225 RMO393220:RMV393225 RWK393220:RWR393225 SGG393220:SGN393225 SQC393220:SQJ393225 SZY393220:TAF393225 TJU393220:TKB393225 TTQ393220:TTX393225 UDM393220:UDT393225 UNI393220:UNP393225 UXE393220:UXL393225 VHA393220:VHH393225 VQW393220:VRD393225 WAS393220:WAZ393225 WKO393220:WKV393225 WUK393220:WUR393225 HY458756:IF458761 RU458756:SB458761 ABQ458756:ABX458761 ALM458756:ALT458761 AVI458756:AVP458761 BFE458756:BFL458761 BPA458756:BPH458761 BYW458756:BZD458761 CIS458756:CIZ458761 CSO458756:CSV458761 DCK458756:DCR458761 DMG458756:DMN458761 DWC458756:DWJ458761 EFY458756:EGF458761 EPU458756:EQB458761 EZQ458756:EZX458761 FJM458756:FJT458761 FTI458756:FTP458761 GDE458756:GDL458761 GNA458756:GNH458761 GWW458756:GXD458761 HGS458756:HGZ458761 HQO458756:HQV458761 IAK458756:IAR458761 IKG458756:IKN458761 IUC458756:IUJ458761 JDY458756:JEF458761 JNU458756:JOB458761 JXQ458756:JXX458761 KHM458756:KHT458761 KRI458756:KRP458761 LBE458756:LBL458761 LLA458756:LLH458761 LUW458756:LVD458761 MES458756:MEZ458761 MOO458756:MOV458761 MYK458756:MYR458761 NIG458756:NIN458761 NSC458756:NSJ458761 OBY458756:OCF458761 OLU458756:OMB458761 OVQ458756:OVX458761 PFM458756:PFT458761 PPI458756:PPP458761 PZE458756:PZL458761 QJA458756:QJH458761 QSW458756:QTD458761 RCS458756:RCZ458761 RMO458756:RMV458761 RWK458756:RWR458761 SGG458756:SGN458761 SQC458756:SQJ458761 SZY458756:TAF458761 TJU458756:TKB458761 TTQ458756:TTX458761 UDM458756:UDT458761 UNI458756:UNP458761 UXE458756:UXL458761 VHA458756:VHH458761 VQW458756:VRD458761 WAS458756:WAZ458761 WKO458756:WKV458761 WUK458756:WUR458761 HY524292:IF524297 RU524292:SB524297 ABQ524292:ABX524297 ALM524292:ALT524297 AVI524292:AVP524297 BFE524292:BFL524297 BPA524292:BPH524297 BYW524292:BZD524297 CIS524292:CIZ524297 CSO524292:CSV524297 DCK524292:DCR524297 DMG524292:DMN524297 DWC524292:DWJ524297 EFY524292:EGF524297 EPU524292:EQB524297 EZQ524292:EZX524297 FJM524292:FJT524297 FTI524292:FTP524297 GDE524292:GDL524297 GNA524292:GNH524297 GWW524292:GXD524297 HGS524292:HGZ524297 HQO524292:HQV524297 IAK524292:IAR524297 IKG524292:IKN524297 IUC524292:IUJ524297 JDY524292:JEF524297 JNU524292:JOB524297 JXQ524292:JXX524297 KHM524292:KHT524297 KRI524292:KRP524297 LBE524292:LBL524297 LLA524292:LLH524297 LUW524292:LVD524297 MES524292:MEZ524297 MOO524292:MOV524297 MYK524292:MYR524297 NIG524292:NIN524297 NSC524292:NSJ524297 OBY524292:OCF524297 OLU524292:OMB524297 OVQ524292:OVX524297 PFM524292:PFT524297 PPI524292:PPP524297 PZE524292:PZL524297 QJA524292:QJH524297 QSW524292:QTD524297 RCS524292:RCZ524297 RMO524292:RMV524297 RWK524292:RWR524297 SGG524292:SGN524297 SQC524292:SQJ524297 SZY524292:TAF524297 TJU524292:TKB524297 TTQ524292:TTX524297 UDM524292:UDT524297 UNI524292:UNP524297 UXE524292:UXL524297 VHA524292:VHH524297 VQW524292:VRD524297 WAS524292:WAZ524297 WKO524292:WKV524297 WUK524292:WUR524297 HY589828:IF589833 RU589828:SB589833 ABQ589828:ABX589833 ALM589828:ALT589833 AVI589828:AVP589833 BFE589828:BFL589833 BPA589828:BPH589833 BYW589828:BZD589833 CIS589828:CIZ589833 CSO589828:CSV589833 DCK589828:DCR589833 DMG589828:DMN589833 DWC589828:DWJ589833 EFY589828:EGF589833 EPU589828:EQB589833 EZQ589828:EZX589833 FJM589828:FJT589833 FTI589828:FTP589833 GDE589828:GDL589833 GNA589828:GNH589833 GWW589828:GXD589833 HGS589828:HGZ589833 HQO589828:HQV589833 IAK589828:IAR589833 IKG589828:IKN589833 IUC589828:IUJ589833 JDY589828:JEF589833 JNU589828:JOB589833 JXQ589828:JXX589833 KHM589828:KHT589833 KRI589828:KRP589833 LBE589828:LBL589833 LLA589828:LLH589833 LUW589828:LVD589833 MES589828:MEZ589833 MOO589828:MOV589833 MYK589828:MYR589833 NIG589828:NIN589833 NSC589828:NSJ589833 OBY589828:OCF589833 OLU589828:OMB589833 OVQ589828:OVX589833 PFM589828:PFT589833 PPI589828:PPP589833 PZE589828:PZL589833 QJA589828:QJH589833 QSW589828:QTD589833 RCS589828:RCZ589833 RMO589828:RMV589833 RWK589828:RWR589833 SGG589828:SGN589833 SQC589828:SQJ589833 SZY589828:TAF589833 TJU589828:TKB589833 TTQ589828:TTX589833 UDM589828:UDT589833 UNI589828:UNP589833 UXE589828:UXL589833 VHA589828:VHH589833 VQW589828:VRD589833 WAS589828:WAZ589833 WKO589828:WKV589833 WUK589828:WUR589833 HY655364:IF655369 RU655364:SB655369 ABQ655364:ABX655369 ALM655364:ALT655369 AVI655364:AVP655369 BFE655364:BFL655369 BPA655364:BPH655369 BYW655364:BZD655369 CIS655364:CIZ655369 CSO655364:CSV655369 DCK655364:DCR655369 DMG655364:DMN655369 DWC655364:DWJ655369 EFY655364:EGF655369 EPU655364:EQB655369 EZQ655364:EZX655369 FJM655364:FJT655369 FTI655364:FTP655369 GDE655364:GDL655369 GNA655364:GNH655369 GWW655364:GXD655369 HGS655364:HGZ655369 HQO655364:HQV655369 IAK655364:IAR655369 IKG655364:IKN655369 IUC655364:IUJ655369 JDY655364:JEF655369 JNU655364:JOB655369 JXQ655364:JXX655369 KHM655364:KHT655369 KRI655364:KRP655369 LBE655364:LBL655369 LLA655364:LLH655369 LUW655364:LVD655369 MES655364:MEZ655369 MOO655364:MOV655369 MYK655364:MYR655369 NIG655364:NIN655369 NSC655364:NSJ655369 OBY655364:OCF655369 OLU655364:OMB655369 OVQ655364:OVX655369 PFM655364:PFT655369 PPI655364:PPP655369 PZE655364:PZL655369 QJA655364:QJH655369 QSW655364:QTD655369 RCS655364:RCZ655369 RMO655364:RMV655369 RWK655364:RWR655369 SGG655364:SGN655369 SQC655364:SQJ655369 SZY655364:TAF655369 TJU655364:TKB655369 TTQ655364:TTX655369 UDM655364:UDT655369 UNI655364:UNP655369 UXE655364:UXL655369 VHA655364:VHH655369 VQW655364:VRD655369 WAS655364:WAZ655369 WKO655364:WKV655369 WUK655364:WUR655369 HY720900:IF720905 RU720900:SB720905 ABQ720900:ABX720905 ALM720900:ALT720905 AVI720900:AVP720905 BFE720900:BFL720905 BPA720900:BPH720905 BYW720900:BZD720905 CIS720900:CIZ720905 CSO720900:CSV720905 DCK720900:DCR720905 DMG720900:DMN720905 DWC720900:DWJ720905 EFY720900:EGF720905 EPU720900:EQB720905 EZQ720900:EZX720905 FJM720900:FJT720905 FTI720900:FTP720905 GDE720900:GDL720905 GNA720900:GNH720905 GWW720900:GXD720905 HGS720900:HGZ720905 HQO720900:HQV720905 IAK720900:IAR720905 IKG720900:IKN720905 IUC720900:IUJ720905 JDY720900:JEF720905 JNU720900:JOB720905 JXQ720900:JXX720905 KHM720900:KHT720905 KRI720900:KRP720905 LBE720900:LBL720905 LLA720900:LLH720905 LUW720900:LVD720905 MES720900:MEZ720905 MOO720900:MOV720905 MYK720900:MYR720905 NIG720900:NIN720905 NSC720900:NSJ720905 OBY720900:OCF720905 OLU720900:OMB720905 OVQ720900:OVX720905 PFM720900:PFT720905 PPI720900:PPP720905 PZE720900:PZL720905 QJA720900:QJH720905 QSW720900:QTD720905 RCS720900:RCZ720905 RMO720900:RMV720905 RWK720900:RWR720905 SGG720900:SGN720905 SQC720900:SQJ720905 SZY720900:TAF720905 TJU720900:TKB720905 TTQ720900:TTX720905 UDM720900:UDT720905 UNI720900:UNP720905 UXE720900:UXL720905 VHA720900:VHH720905 VQW720900:VRD720905 WAS720900:WAZ720905 WKO720900:WKV720905 WUK720900:WUR720905 HY786436:IF786441 RU786436:SB786441 ABQ786436:ABX786441 ALM786436:ALT786441 AVI786436:AVP786441 BFE786436:BFL786441 BPA786436:BPH786441 BYW786436:BZD786441 CIS786436:CIZ786441 CSO786436:CSV786441 DCK786436:DCR786441 DMG786436:DMN786441 DWC786436:DWJ786441 EFY786436:EGF786441 EPU786436:EQB786441 EZQ786436:EZX786441 FJM786436:FJT786441 FTI786436:FTP786441 GDE786436:GDL786441 GNA786436:GNH786441 GWW786436:GXD786441 HGS786436:HGZ786441 HQO786436:HQV786441 IAK786436:IAR786441 IKG786436:IKN786441 IUC786436:IUJ786441 JDY786436:JEF786441 JNU786436:JOB786441 JXQ786436:JXX786441 KHM786436:KHT786441 KRI786436:KRP786441 LBE786436:LBL786441 LLA786436:LLH786441 LUW786436:LVD786441 MES786436:MEZ786441 MOO786436:MOV786441 MYK786436:MYR786441 NIG786436:NIN786441 NSC786436:NSJ786441 OBY786436:OCF786441 OLU786436:OMB786441 OVQ786436:OVX786441 PFM786436:PFT786441 PPI786436:PPP786441 PZE786436:PZL786441 QJA786436:QJH786441 QSW786436:QTD786441 RCS786436:RCZ786441 RMO786436:RMV786441 RWK786436:RWR786441 SGG786436:SGN786441 SQC786436:SQJ786441 SZY786436:TAF786441 TJU786436:TKB786441 TTQ786436:TTX786441 UDM786436:UDT786441 UNI786436:UNP786441 UXE786436:UXL786441 VHA786436:VHH786441 VQW786436:VRD786441 WAS786436:WAZ786441 WKO786436:WKV786441 WUK786436:WUR786441 HY851972:IF851977 RU851972:SB851977 ABQ851972:ABX851977 ALM851972:ALT851977 AVI851972:AVP851977 BFE851972:BFL851977 BPA851972:BPH851977 BYW851972:BZD851977 CIS851972:CIZ851977 CSO851972:CSV851977 DCK851972:DCR851977 DMG851972:DMN851977 DWC851972:DWJ851977 EFY851972:EGF851977 EPU851972:EQB851977 EZQ851972:EZX851977 FJM851972:FJT851977 FTI851972:FTP851977 GDE851972:GDL851977 GNA851972:GNH851977 GWW851972:GXD851977 HGS851972:HGZ851977 HQO851972:HQV851977 IAK851972:IAR851977 IKG851972:IKN851977 IUC851972:IUJ851977 JDY851972:JEF851977 JNU851972:JOB851977 JXQ851972:JXX851977 KHM851972:KHT851977 KRI851972:KRP851977 LBE851972:LBL851977 LLA851972:LLH851977 LUW851972:LVD851977 MES851972:MEZ851977 MOO851972:MOV851977 MYK851972:MYR851977 NIG851972:NIN851977 NSC851972:NSJ851977 OBY851972:OCF851977 OLU851972:OMB851977 OVQ851972:OVX851977 PFM851972:PFT851977 PPI851972:PPP851977 PZE851972:PZL851977 QJA851972:QJH851977 QSW851972:QTD851977 RCS851972:RCZ851977 RMO851972:RMV851977 RWK851972:RWR851977 SGG851972:SGN851977 SQC851972:SQJ851977 SZY851972:TAF851977 TJU851972:TKB851977 TTQ851972:TTX851977 UDM851972:UDT851977 UNI851972:UNP851977 UXE851972:UXL851977 VHA851972:VHH851977 VQW851972:VRD851977 WAS851972:WAZ851977 WKO851972:WKV851977 WUK851972:WUR851977 HY917508:IF917513 RU917508:SB917513 ABQ917508:ABX917513 ALM917508:ALT917513 AVI917508:AVP917513 BFE917508:BFL917513 BPA917508:BPH917513 BYW917508:BZD917513 CIS917508:CIZ917513 CSO917508:CSV917513 DCK917508:DCR917513 DMG917508:DMN917513 DWC917508:DWJ917513 EFY917508:EGF917513 EPU917508:EQB917513 EZQ917508:EZX917513 FJM917508:FJT917513 FTI917508:FTP917513 GDE917508:GDL917513 GNA917508:GNH917513 GWW917508:GXD917513 HGS917508:HGZ917513 HQO917508:HQV917513 IAK917508:IAR917513 IKG917508:IKN917513 IUC917508:IUJ917513 JDY917508:JEF917513 JNU917508:JOB917513 JXQ917508:JXX917513 KHM917508:KHT917513 KRI917508:KRP917513 LBE917508:LBL917513 LLA917508:LLH917513 LUW917508:LVD917513 MES917508:MEZ917513 MOO917508:MOV917513 MYK917508:MYR917513 NIG917508:NIN917513 NSC917508:NSJ917513 OBY917508:OCF917513 OLU917508:OMB917513 OVQ917508:OVX917513 PFM917508:PFT917513 PPI917508:PPP917513 PZE917508:PZL917513 QJA917508:QJH917513 QSW917508:QTD917513 RCS917508:RCZ917513 RMO917508:RMV917513 RWK917508:RWR917513 SGG917508:SGN917513 SQC917508:SQJ917513 SZY917508:TAF917513 TJU917508:TKB917513 TTQ917508:TTX917513 UDM917508:UDT917513 UNI917508:UNP917513 UXE917508:UXL917513 VHA917508:VHH917513 VQW917508:VRD917513 WAS917508:WAZ917513 WKO917508:WKV917513 WUK917508:WUR917513" xr:uid="{D6A3EB15-7472-48CD-947F-668776E87D0F}">
      <formula1>"サーバ,クライアント"</formula1>
    </dataValidation>
    <dataValidation type="list" allowBlank="1" showInputMessage="1" showErrorMessage="1" sqref="V65553:Y65556 IO65553:IR65556 SK65553:SN65556 ACG65553:ACJ65556 AMC65553:AMF65556 AVY65553:AWB65556 BFU65553:BFX65556 BPQ65553:BPT65556 BZM65553:BZP65556 CJI65553:CJL65556 CTE65553:CTH65556 DDA65553:DDD65556 DMW65553:DMZ65556 DWS65553:DWV65556 EGO65553:EGR65556 EQK65553:EQN65556 FAG65553:FAJ65556 FKC65553:FKF65556 FTY65553:FUB65556 GDU65553:GDX65556 GNQ65553:GNT65556 GXM65553:GXP65556 HHI65553:HHL65556 HRE65553:HRH65556 IBA65553:IBD65556 IKW65553:IKZ65556 IUS65553:IUV65556 JEO65553:JER65556 JOK65553:JON65556 JYG65553:JYJ65556 KIC65553:KIF65556 KRY65553:KSB65556 LBU65553:LBX65556 LLQ65553:LLT65556 LVM65553:LVP65556 MFI65553:MFL65556 MPE65553:MPH65556 MZA65553:MZD65556 NIW65553:NIZ65556 NSS65553:NSV65556 OCO65553:OCR65556 OMK65553:OMN65556 OWG65553:OWJ65556 PGC65553:PGF65556 PPY65553:PQB65556 PZU65553:PZX65556 QJQ65553:QJT65556 QTM65553:QTP65556 RDI65553:RDL65556 RNE65553:RNH65556 RXA65553:RXD65556 SGW65553:SGZ65556 SQS65553:SQV65556 TAO65553:TAR65556 TKK65553:TKN65556 TUG65553:TUJ65556 UEC65553:UEF65556 UNY65553:UOB65556 UXU65553:UXX65556 VHQ65553:VHT65556 VRM65553:VRP65556 WBI65553:WBL65556 WLE65553:WLH65556 WVA65553:WVD65556 V131089:Y131092 IO131089:IR131092 SK131089:SN131092 ACG131089:ACJ131092 AMC131089:AMF131092 AVY131089:AWB131092 BFU131089:BFX131092 BPQ131089:BPT131092 BZM131089:BZP131092 CJI131089:CJL131092 CTE131089:CTH131092 DDA131089:DDD131092 DMW131089:DMZ131092 DWS131089:DWV131092 EGO131089:EGR131092 EQK131089:EQN131092 FAG131089:FAJ131092 FKC131089:FKF131092 FTY131089:FUB131092 GDU131089:GDX131092 GNQ131089:GNT131092 GXM131089:GXP131092 HHI131089:HHL131092 HRE131089:HRH131092 IBA131089:IBD131092 IKW131089:IKZ131092 IUS131089:IUV131092 JEO131089:JER131092 JOK131089:JON131092 JYG131089:JYJ131092 KIC131089:KIF131092 KRY131089:KSB131092 LBU131089:LBX131092 LLQ131089:LLT131092 LVM131089:LVP131092 MFI131089:MFL131092 MPE131089:MPH131092 MZA131089:MZD131092 NIW131089:NIZ131092 NSS131089:NSV131092 OCO131089:OCR131092 OMK131089:OMN131092 OWG131089:OWJ131092 PGC131089:PGF131092 PPY131089:PQB131092 PZU131089:PZX131092 QJQ131089:QJT131092 QTM131089:QTP131092 RDI131089:RDL131092 RNE131089:RNH131092 RXA131089:RXD131092 SGW131089:SGZ131092 SQS131089:SQV131092 TAO131089:TAR131092 TKK131089:TKN131092 TUG131089:TUJ131092 UEC131089:UEF131092 UNY131089:UOB131092 UXU131089:UXX131092 VHQ131089:VHT131092 VRM131089:VRP131092 WBI131089:WBL131092 WLE131089:WLH131092 WVA131089:WVD131092 V196625:Y196628 IO196625:IR196628 SK196625:SN196628 ACG196625:ACJ196628 AMC196625:AMF196628 AVY196625:AWB196628 BFU196625:BFX196628 BPQ196625:BPT196628 BZM196625:BZP196628 CJI196625:CJL196628 CTE196625:CTH196628 DDA196625:DDD196628 DMW196625:DMZ196628 DWS196625:DWV196628 EGO196625:EGR196628 EQK196625:EQN196628 FAG196625:FAJ196628 FKC196625:FKF196628 FTY196625:FUB196628 GDU196625:GDX196628 GNQ196625:GNT196628 GXM196625:GXP196628 HHI196625:HHL196628 HRE196625:HRH196628 IBA196625:IBD196628 IKW196625:IKZ196628 IUS196625:IUV196628 JEO196625:JER196628 JOK196625:JON196628 JYG196625:JYJ196628 KIC196625:KIF196628 KRY196625:KSB196628 LBU196625:LBX196628 LLQ196625:LLT196628 LVM196625:LVP196628 MFI196625:MFL196628 MPE196625:MPH196628 MZA196625:MZD196628 NIW196625:NIZ196628 NSS196625:NSV196628 OCO196625:OCR196628 OMK196625:OMN196628 OWG196625:OWJ196628 PGC196625:PGF196628 PPY196625:PQB196628 PZU196625:PZX196628 QJQ196625:QJT196628 QTM196625:QTP196628 RDI196625:RDL196628 RNE196625:RNH196628 RXA196625:RXD196628 SGW196625:SGZ196628 SQS196625:SQV196628 TAO196625:TAR196628 TKK196625:TKN196628 TUG196625:TUJ196628 UEC196625:UEF196628 UNY196625:UOB196628 UXU196625:UXX196628 VHQ196625:VHT196628 VRM196625:VRP196628 WBI196625:WBL196628 WLE196625:WLH196628 WVA196625:WVD196628 V262161:Y262164 IO262161:IR262164 SK262161:SN262164 ACG262161:ACJ262164 AMC262161:AMF262164 AVY262161:AWB262164 BFU262161:BFX262164 BPQ262161:BPT262164 BZM262161:BZP262164 CJI262161:CJL262164 CTE262161:CTH262164 DDA262161:DDD262164 DMW262161:DMZ262164 DWS262161:DWV262164 EGO262161:EGR262164 EQK262161:EQN262164 FAG262161:FAJ262164 FKC262161:FKF262164 FTY262161:FUB262164 GDU262161:GDX262164 GNQ262161:GNT262164 GXM262161:GXP262164 HHI262161:HHL262164 HRE262161:HRH262164 IBA262161:IBD262164 IKW262161:IKZ262164 IUS262161:IUV262164 JEO262161:JER262164 JOK262161:JON262164 JYG262161:JYJ262164 KIC262161:KIF262164 KRY262161:KSB262164 LBU262161:LBX262164 LLQ262161:LLT262164 LVM262161:LVP262164 MFI262161:MFL262164 MPE262161:MPH262164 MZA262161:MZD262164 NIW262161:NIZ262164 NSS262161:NSV262164 OCO262161:OCR262164 OMK262161:OMN262164 OWG262161:OWJ262164 PGC262161:PGF262164 PPY262161:PQB262164 PZU262161:PZX262164 QJQ262161:QJT262164 QTM262161:QTP262164 RDI262161:RDL262164 RNE262161:RNH262164 RXA262161:RXD262164 SGW262161:SGZ262164 SQS262161:SQV262164 TAO262161:TAR262164 TKK262161:TKN262164 TUG262161:TUJ262164 UEC262161:UEF262164 UNY262161:UOB262164 UXU262161:UXX262164 VHQ262161:VHT262164 VRM262161:VRP262164 WBI262161:WBL262164 WLE262161:WLH262164 WVA262161:WVD262164 V327697:Y327700 IO327697:IR327700 SK327697:SN327700 ACG327697:ACJ327700 AMC327697:AMF327700 AVY327697:AWB327700 BFU327697:BFX327700 BPQ327697:BPT327700 BZM327697:BZP327700 CJI327697:CJL327700 CTE327697:CTH327700 DDA327697:DDD327700 DMW327697:DMZ327700 DWS327697:DWV327700 EGO327697:EGR327700 EQK327697:EQN327700 FAG327697:FAJ327700 FKC327697:FKF327700 FTY327697:FUB327700 GDU327697:GDX327700 GNQ327697:GNT327700 GXM327697:GXP327700 HHI327697:HHL327700 HRE327697:HRH327700 IBA327697:IBD327700 IKW327697:IKZ327700 IUS327697:IUV327700 JEO327697:JER327700 JOK327697:JON327700 JYG327697:JYJ327700 KIC327697:KIF327700 KRY327697:KSB327700 LBU327697:LBX327700 LLQ327697:LLT327700 LVM327697:LVP327700 MFI327697:MFL327700 MPE327697:MPH327700 MZA327697:MZD327700 NIW327697:NIZ327700 NSS327697:NSV327700 OCO327697:OCR327700 OMK327697:OMN327700 OWG327697:OWJ327700 PGC327697:PGF327700 PPY327697:PQB327700 PZU327697:PZX327700 QJQ327697:QJT327700 QTM327697:QTP327700 RDI327697:RDL327700 RNE327697:RNH327700 RXA327697:RXD327700 SGW327697:SGZ327700 SQS327697:SQV327700 TAO327697:TAR327700 TKK327697:TKN327700 TUG327697:TUJ327700 UEC327697:UEF327700 UNY327697:UOB327700 UXU327697:UXX327700 VHQ327697:VHT327700 VRM327697:VRP327700 WBI327697:WBL327700 WLE327697:WLH327700 WVA327697:WVD327700 V393233:Y393236 IO393233:IR393236 SK393233:SN393236 ACG393233:ACJ393236 AMC393233:AMF393236 AVY393233:AWB393236 BFU393233:BFX393236 BPQ393233:BPT393236 BZM393233:BZP393236 CJI393233:CJL393236 CTE393233:CTH393236 DDA393233:DDD393236 DMW393233:DMZ393236 DWS393233:DWV393236 EGO393233:EGR393236 EQK393233:EQN393236 FAG393233:FAJ393236 FKC393233:FKF393236 FTY393233:FUB393236 GDU393233:GDX393236 GNQ393233:GNT393236 GXM393233:GXP393236 HHI393233:HHL393236 HRE393233:HRH393236 IBA393233:IBD393236 IKW393233:IKZ393236 IUS393233:IUV393236 JEO393233:JER393236 JOK393233:JON393236 JYG393233:JYJ393236 KIC393233:KIF393236 KRY393233:KSB393236 LBU393233:LBX393236 LLQ393233:LLT393236 LVM393233:LVP393236 MFI393233:MFL393236 MPE393233:MPH393236 MZA393233:MZD393236 NIW393233:NIZ393236 NSS393233:NSV393236 OCO393233:OCR393236 OMK393233:OMN393236 OWG393233:OWJ393236 PGC393233:PGF393236 PPY393233:PQB393236 PZU393233:PZX393236 QJQ393233:QJT393236 QTM393233:QTP393236 RDI393233:RDL393236 RNE393233:RNH393236 RXA393233:RXD393236 SGW393233:SGZ393236 SQS393233:SQV393236 TAO393233:TAR393236 TKK393233:TKN393236 TUG393233:TUJ393236 UEC393233:UEF393236 UNY393233:UOB393236 UXU393233:UXX393236 VHQ393233:VHT393236 VRM393233:VRP393236 WBI393233:WBL393236 WLE393233:WLH393236 WVA393233:WVD393236 V458769:Y458772 IO458769:IR458772 SK458769:SN458772 ACG458769:ACJ458772 AMC458769:AMF458772 AVY458769:AWB458772 BFU458769:BFX458772 BPQ458769:BPT458772 BZM458769:BZP458772 CJI458769:CJL458772 CTE458769:CTH458772 DDA458769:DDD458772 DMW458769:DMZ458772 DWS458769:DWV458772 EGO458769:EGR458772 EQK458769:EQN458772 FAG458769:FAJ458772 FKC458769:FKF458772 FTY458769:FUB458772 GDU458769:GDX458772 GNQ458769:GNT458772 GXM458769:GXP458772 HHI458769:HHL458772 HRE458769:HRH458772 IBA458769:IBD458772 IKW458769:IKZ458772 IUS458769:IUV458772 JEO458769:JER458772 JOK458769:JON458772 JYG458769:JYJ458772 KIC458769:KIF458772 KRY458769:KSB458772 LBU458769:LBX458772 LLQ458769:LLT458772 LVM458769:LVP458772 MFI458769:MFL458772 MPE458769:MPH458772 MZA458769:MZD458772 NIW458769:NIZ458772 NSS458769:NSV458772 OCO458769:OCR458772 OMK458769:OMN458772 OWG458769:OWJ458772 PGC458769:PGF458772 PPY458769:PQB458772 PZU458769:PZX458772 QJQ458769:QJT458772 QTM458769:QTP458772 RDI458769:RDL458772 RNE458769:RNH458772 RXA458769:RXD458772 SGW458769:SGZ458772 SQS458769:SQV458772 TAO458769:TAR458772 TKK458769:TKN458772 TUG458769:TUJ458772 UEC458769:UEF458772 UNY458769:UOB458772 UXU458769:UXX458772 VHQ458769:VHT458772 VRM458769:VRP458772 WBI458769:WBL458772 WLE458769:WLH458772 WVA458769:WVD458772 V524305:Y524308 IO524305:IR524308 SK524305:SN524308 ACG524305:ACJ524308 AMC524305:AMF524308 AVY524305:AWB524308 BFU524305:BFX524308 BPQ524305:BPT524308 BZM524305:BZP524308 CJI524305:CJL524308 CTE524305:CTH524308 DDA524305:DDD524308 DMW524305:DMZ524308 DWS524305:DWV524308 EGO524305:EGR524308 EQK524305:EQN524308 FAG524305:FAJ524308 FKC524305:FKF524308 FTY524305:FUB524308 GDU524305:GDX524308 GNQ524305:GNT524308 GXM524305:GXP524308 HHI524305:HHL524308 HRE524305:HRH524308 IBA524305:IBD524308 IKW524305:IKZ524308 IUS524305:IUV524308 JEO524305:JER524308 JOK524305:JON524308 JYG524305:JYJ524308 KIC524305:KIF524308 KRY524305:KSB524308 LBU524305:LBX524308 LLQ524305:LLT524308 LVM524305:LVP524308 MFI524305:MFL524308 MPE524305:MPH524308 MZA524305:MZD524308 NIW524305:NIZ524308 NSS524305:NSV524308 OCO524305:OCR524308 OMK524305:OMN524308 OWG524305:OWJ524308 PGC524305:PGF524308 PPY524305:PQB524308 PZU524305:PZX524308 QJQ524305:QJT524308 QTM524305:QTP524308 RDI524305:RDL524308 RNE524305:RNH524308 RXA524305:RXD524308 SGW524305:SGZ524308 SQS524305:SQV524308 TAO524305:TAR524308 TKK524305:TKN524308 TUG524305:TUJ524308 UEC524305:UEF524308 UNY524305:UOB524308 UXU524305:UXX524308 VHQ524305:VHT524308 VRM524305:VRP524308 WBI524305:WBL524308 WLE524305:WLH524308 WVA524305:WVD524308 V589841:Y589844 IO589841:IR589844 SK589841:SN589844 ACG589841:ACJ589844 AMC589841:AMF589844 AVY589841:AWB589844 BFU589841:BFX589844 BPQ589841:BPT589844 BZM589841:BZP589844 CJI589841:CJL589844 CTE589841:CTH589844 DDA589841:DDD589844 DMW589841:DMZ589844 DWS589841:DWV589844 EGO589841:EGR589844 EQK589841:EQN589844 FAG589841:FAJ589844 FKC589841:FKF589844 FTY589841:FUB589844 GDU589841:GDX589844 GNQ589841:GNT589844 GXM589841:GXP589844 HHI589841:HHL589844 HRE589841:HRH589844 IBA589841:IBD589844 IKW589841:IKZ589844 IUS589841:IUV589844 JEO589841:JER589844 JOK589841:JON589844 JYG589841:JYJ589844 KIC589841:KIF589844 KRY589841:KSB589844 LBU589841:LBX589844 LLQ589841:LLT589844 LVM589841:LVP589844 MFI589841:MFL589844 MPE589841:MPH589844 MZA589841:MZD589844 NIW589841:NIZ589844 NSS589841:NSV589844 OCO589841:OCR589844 OMK589841:OMN589844 OWG589841:OWJ589844 PGC589841:PGF589844 PPY589841:PQB589844 PZU589841:PZX589844 QJQ589841:QJT589844 QTM589841:QTP589844 RDI589841:RDL589844 RNE589841:RNH589844 RXA589841:RXD589844 SGW589841:SGZ589844 SQS589841:SQV589844 TAO589841:TAR589844 TKK589841:TKN589844 TUG589841:TUJ589844 UEC589841:UEF589844 UNY589841:UOB589844 UXU589841:UXX589844 VHQ589841:VHT589844 VRM589841:VRP589844 WBI589841:WBL589844 WLE589841:WLH589844 WVA589841:WVD589844 V655377:Y655380 IO655377:IR655380 SK655377:SN655380 ACG655377:ACJ655380 AMC655377:AMF655380 AVY655377:AWB655380 BFU655377:BFX655380 BPQ655377:BPT655380 BZM655377:BZP655380 CJI655377:CJL655380 CTE655377:CTH655380 DDA655377:DDD655380 DMW655377:DMZ655380 DWS655377:DWV655380 EGO655377:EGR655380 EQK655377:EQN655380 FAG655377:FAJ655380 FKC655377:FKF655380 FTY655377:FUB655380 GDU655377:GDX655380 GNQ655377:GNT655380 GXM655377:GXP655380 HHI655377:HHL655380 HRE655377:HRH655380 IBA655377:IBD655380 IKW655377:IKZ655380 IUS655377:IUV655380 JEO655377:JER655380 JOK655377:JON655380 JYG655377:JYJ655380 KIC655377:KIF655380 KRY655377:KSB655380 LBU655377:LBX655380 LLQ655377:LLT655380 LVM655377:LVP655380 MFI655377:MFL655380 MPE655377:MPH655380 MZA655377:MZD655380 NIW655377:NIZ655380 NSS655377:NSV655380 OCO655377:OCR655380 OMK655377:OMN655380 OWG655377:OWJ655380 PGC655377:PGF655380 PPY655377:PQB655380 PZU655377:PZX655380 QJQ655377:QJT655380 QTM655377:QTP655380 RDI655377:RDL655380 RNE655377:RNH655380 RXA655377:RXD655380 SGW655377:SGZ655380 SQS655377:SQV655380 TAO655377:TAR655380 TKK655377:TKN655380 TUG655377:TUJ655380 UEC655377:UEF655380 UNY655377:UOB655380 UXU655377:UXX655380 VHQ655377:VHT655380 VRM655377:VRP655380 WBI655377:WBL655380 WLE655377:WLH655380 WVA655377:WVD655380 V720913:Y720916 IO720913:IR720916 SK720913:SN720916 ACG720913:ACJ720916 AMC720913:AMF720916 AVY720913:AWB720916 BFU720913:BFX720916 BPQ720913:BPT720916 BZM720913:BZP720916 CJI720913:CJL720916 CTE720913:CTH720916 DDA720913:DDD720916 DMW720913:DMZ720916 DWS720913:DWV720916 EGO720913:EGR720916 EQK720913:EQN720916 FAG720913:FAJ720916 FKC720913:FKF720916 FTY720913:FUB720916 GDU720913:GDX720916 GNQ720913:GNT720916 GXM720913:GXP720916 HHI720913:HHL720916 HRE720913:HRH720916 IBA720913:IBD720916 IKW720913:IKZ720916 IUS720913:IUV720916 JEO720913:JER720916 JOK720913:JON720916 JYG720913:JYJ720916 KIC720913:KIF720916 KRY720913:KSB720916 LBU720913:LBX720916 LLQ720913:LLT720916 LVM720913:LVP720916 MFI720913:MFL720916 MPE720913:MPH720916 MZA720913:MZD720916 NIW720913:NIZ720916 NSS720913:NSV720916 OCO720913:OCR720916 OMK720913:OMN720916 OWG720913:OWJ720916 PGC720913:PGF720916 PPY720913:PQB720916 PZU720913:PZX720916 QJQ720913:QJT720916 QTM720913:QTP720916 RDI720913:RDL720916 RNE720913:RNH720916 RXA720913:RXD720916 SGW720913:SGZ720916 SQS720913:SQV720916 TAO720913:TAR720916 TKK720913:TKN720916 TUG720913:TUJ720916 UEC720913:UEF720916 UNY720913:UOB720916 UXU720913:UXX720916 VHQ720913:VHT720916 VRM720913:VRP720916 WBI720913:WBL720916 WLE720913:WLH720916 WVA720913:WVD720916 V786449:Y786452 IO786449:IR786452 SK786449:SN786452 ACG786449:ACJ786452 AMC786449:AMF786452 AVY786449:AWB786452 BFU786449:BFX786452 BPQ786449:BPT786452 BZM786449:BZP786452 CJI786449:CJL786452 CTE786449:CTH786452 DDA786449:DDD786452 DMW786449:DMZ786452 DWS786449:DWV786452 EGO786449:EGR786452 EQK786449:EQN786452 FAG786449:FAJ786452 FKC786449:FKF786452 FTY786449:FUB786452 GDU786449:GDX786452 GNQ786449:GNT786452 GXM786449:GXP786452 HHI786449:HHL786452 HRE786449:HRH786452 IBA786449:IBD786452 IKW786449:IKZ786452 IUS786449:IUV786452 JEO786449:JER786452 JOK786449:JON786452 JYG786449:JYJ786452 KIC786449:KIF786452 KRY786449:KSB786452 LBU786449:LBX786452 LLQ786449:LLT786452 LVM786449:LVP786452 MFI786449:MFL786452 MPE786449:MPH786452 MZA786449:MZD786452 NIW786449:NIZ786452 NSS786449:NSV786452 OCO786449:OCR786452 OMK786449:OMN786452 OWG786449:OWJ786452 PGC786449:PGF786452 PPY786449:PQB786452 PZU786449:PZX786452 QJQ786449:QJT786452 QTM786449:QTP786452 RDI786449:RDL786452 RNE786449:RNH786452 RXA786449:RXD786452 SGW786449:SGZ786452 SQS786449:SQV786452 TAO786449:TAR786452 TKK786449:TKN786452 TUG786449:TUJ786452 UEC786449:UEF786452 UNY786449:UOB786452 UXU786449:UXX786452 VHQ786449:VHT786452 VRM786449:VRP786452 WBI786449:WBL786452 WLE786449:WLH786452 WVA786449:WVD786452 V851985:Y851988 IO851985:IR851988 SK851985:SN851988 ACG851985:ACJ851988 AMC851985:AMF851988 AVY851985:AWB851988 BFU851985:BFX851988 BPQ851985:BPT851988 BZM851985:BZP851988 CJI851985:CJL851988 CTE851985:CTH851988 DDA851985:DDD851988 DMW851985:DMZ851988 DWS851985:DWV851988 EGO851985:EGR851988 EQK851985:EQN851988 FAG851985:FAJ851988 FKC851985:FKF851988 FTY851985:FUB851988 GDU851985:GDX851988 GNQ851985:GNT851988 GXM851985:GXP851988 HHI851985:HHL851988 HRE851985:HRH851988 IBA851985:IBD851988 IKW851985:IKZ851988 IUS851985:IUV851988 JEO851985:JER851988 JOK851985:JON851988 JYG851985:JYJ851988 KIC851985:KIF851988 KRY851985:KSB851988 LBU851985:LBX851988 LLQ851985:LLT851988 LVM851985:LVP851988 MFI851985:MFL851988 MPE851985:MPH851988 MZA851985:MZD851988 NIW851985:NIZ851988 NSS851985:NSV851988 OCO851985:OCR851988 OMK851985:OMN851988 OWG851985:OWJ851988 PGC851985:PGF851988 PPY851985:PQB851988 PZU851985:PZX851988 QJQ851985:QJT851988 QTM851985:QTP851988 RDI851985:RDL851988 RNE851985:RNH851988 RXA851985:RXD851988 SGW851985:SGZ851988 SQS851985:SQV851988 TAO851985:TAR851988 TKK851985:TKN851988 TUG851985:TUJ851988 UEC851985:UEF851988 UNY851985:UOB851988 UXU851985:UXX851988 VHQ851985:VHT851988 VRM851985:VRP851988 WBI851985:WBL851988 WLE851985:WLH851988 WVA851985:WVD851988 V917521:Y917524 IO917521:IR917524 SK917521:SN917524 ACG917521:ACJ917524 AMC917521:AMF917524 AVY917521:AWB917524 BFU917521:BFX917524 BPQ917521:BPT917524 BZM917521:BZP917524 CJI917521:CJL917524 CTE917521:CTH917524 DDA917521:DDD917524 DMW917521:DMZ917524 DWS917521:DWV917524 EGO917521:EGR917524 EQK917521:EQN917524 FAG917521:FAJ917524 FKC917521:FKF917524 FTY917521:FUB917524 GDU917521:GDX917524 GNQ917521:GNT917524 GXM917521:GXP917524 HHI917521:HHL917524 HRE917521:HRH917524 IBA917521:IBD917524 IKW917521:IKZ917524 IUS917521:IUV917524 JEO917521:JER917524 JOK917521:JON917524 JYG917521:JYJ917524 KIC917521:KIF917524 KRY917521:KSB917524 LBU917521:LBX917524 LLQ917521:LLT917524 LVM917521:LVP917524 MFI917521:MFL917524 MPE917521:MPH917524 MZA917521:MZD917524 NIW917521:NIZ917524 NSS917521:NSV917524 OCO917521:OCR917524 OMK917521:OMN917524 OWG917521:OWJ917524 PGC917521:PGF917524 PPY917521:PQB917524 PZU917521:PZX917524 QJQ917521:QJT917524 QTM917521:QTP917524 RDI917521:RDL917524 RNE917521:RNH917524 RXA917521:RXD917524 SGW917521:SGZ917524 SQS917521:SQV917524 TAO917521:TAR917524 TKK917521:TKN917524 TUG917521:TUJ917524 UEC917521:UEF917524 UNY917521:UOB917524 UXU917521:UXX917524 VHQ917521:VHT917524 VRM917521:VRP917524 WBI917521:WBL917524 WLE917521:WLH917524 WVA917521:WVD917524 V983057:Y983060 IO983057:IR983060 SK983057:SN983060 ACG983057:ACJ983060 AMC983057:AMF983060 AVY983057:AWB983060 BFU983057:BFX983060 BPQ983057:BPT983060 BZM983057:BZP983060 CJI983057:CJL983060 CTE983057:CTH983060 DDA983057:DDD983060 DMW983057:DMZ983060 DWS983057:DWV983060 EGO983057:EGR983060 EQK983057:EQN983060 FAG983057:FAJ983060 FKC983057:FKF983060 FTY983057:FUB983060 GDU983057:GDX983060 GNQ983057:GNT983060 GXM983057:GXP983060 HHI983057:HHL983060 HRE983057:HRH983060 IBA983057:IBD983060 IKW983057:IKZ983060 IUS983057:IUV983060 JEO983057:JER983060 JOK983057:JON983060 JYG983057:JYJ983060 KIC983057:KIF983060 KRY983057:KSB983060 LBU983057:LBX983060 LLQ983057:LLT983060 LVM983057:LVP983060 MFI983057:MFL983060 MPE983057:MPH983060 MZA983057:MZD983060 NIW983057:NIZ983060 NSS983057:NSV983060 OCO983057:OCR983060 OMK983057:OMN983060 OWG983057:OWJ983060 PGC983057:PGF983060 PPY983057:PQB983060 PZU983057:PZX983060 QJQ983057:QJT983060 QTM983057:QTP983060 RDI983057:RDL983060 RNE983057:RNH983060 RXA983057:RXD983060 SGW983057:SGZ983060 SQS983057:SQV983060 TAO983057:TAR983060 TKK983057:TKN983060 TUG983057:TUJ983060 UEC983057:UEF983060 UNY983057:UOB983060 UXU983057:UXX983060 VHQ983057:VHT983060 VRM983057:VRP983060 WBI983057:WBL983060 WLE983057:WLH983060 WVA983057:WVD983060 Q65547:T65547 IJ65547:IM65547 SF65547:SI65547 ACB65547:ACE65547 ALX65547:AMA65547 AVT65547:AVW65547 BFP65547:BFS65547 BPL65547:BPO65547 BZH65547:BZK65547 CJD65547:CJG65547 CSZ65547:CTC65547 DCV65547:DCY65547 DMR65547:DMU65547 DWN65547:DWQ65547 EGJ65547:EGM65547 EQF65547:EQI65547 FAB65547:FAE65547 FJX65547:FKA65547 FTT65547:FTW65547 GDP65547:GDS65547 GNL65547:GNO65547 GXH65547:GXK65547 HHD65547:HHG65547 HQZ65547:HRC65547 IAV65547:IAY65547 IKR65547:IKU65547 IUN65547:IUQ65547 JEJ65547:JEM65547 JOF65547:JOI65547 JYB65547:JYE65547 KHX65547:KIA65547 KRT65547:KRW65547 LBP65547:LBS65547 LLL65547:LLO65547 LVH65547:LVK65547 MFD65547:MFG65547 MOZ65547:MPC65547 MYV65547:MYY65547 NIR65547:NIU65547 NSN65547:NSQ65547 OCJ65547:OCM65547 OMF65547:OMI65547 OWB65547:OWE65547 PFX65547:PGA65547 PPT65547:PPW65547 PZP65547:PZS65547 QJL65547:QJO65547 QTH65547:QTK65547 RDD65547:RDG65547 RMZ65547:RNC65547 RWV65547:RWY65547 SGR65547:SGU65547 SQN65547:SQQ65547 TAJ65547:TAM65547 TKF65547:TKI65547 TUB65547:TUE65547 UDX65547:UEA65547 UNT65547:UNW65547 UXP65547:UXS65547 VHL65547:VHO65547 VRH65547:VRK65547 WBD65547:WBG65547 WKZ65547:WLC65547 WUV65547:WUY65547 Q131083:T131083 IJ131083:IM131083 SF131083:SI131083 ACB131083:ACE131083 ALX131083:AMA131083 AVT131083:AVW131083 BFP131083:BFS131083 BPL131083:BPO131083 BZH131083:BZK131083 CJD131083:CJG131083 CSZ131083:CTC131083 DCV131083:DCY131083 DMR131083:DMU131083 DWN131083:DWQ131083 EGJ131083:EGM131083 EQF131083:EQI131083 FAB131083:FAE131083 FJX131083:FKA131083 FTT131083:FTW131083 GDP131083:GDS131083 GNL131083:GNO131083 GXH131083:GXK131083 HHD131083:HHG131083 HQZ131083:HRC131083 IAV131083:IAY131083 IKR131083:IKU131083 IUN131083:IUQ131083 JEJ131083:JEM131083 JOF131083:JOI131083 JYB131083:JYE131083 KHX131083:KIA131083 KRT131083:KRW131083 LBP131083:LBS131083 LLL131083:LLO131083 LVH131083:LVK131083 MFD131083:MFG131083 MOZ131083:MPC131083 MYV131083:MYY131083 NIR131083:NIU131083 NSN131083:NSQ131083 OCJ131083:OCM131083 OMF131083:OMI131083 OWB131083:OWE131083 PFX131083:PGA131083 PPT131083:PPW131083 PZP131083:PZS131083 QJL131083:QJO131083 QTH131083:QTK131083 RDD131083:RDG131083 RMZ131083:RNC131083 RWV131083:RWY131083 SGR131083:SGU131083 SQN131083:SQQ131083 TAJ131083:TAM131083 TKF131083:TKI131083 TUB131083:TUE131083 UDX131083:UEA131083 UNT131083:UNW131083 UXP131083:UXS131083 VHL131083:VHO131083 VRH131083:VRK131083 WBD131083:WBG131083 WKZ131083:WLC131083 WUV131083:WUY131083 Q196619:T196619 IJ196619:IM196619 SF196619:SI196619 ACB196619:ACE196619 ALX196619:AMA196619 AVT196619:AVW196619 BFP196619:BFS196619 BPL196619:BPO196619 BZH196619:BZK196619 CJD196619:CJG196619 CSZ196619:CTC196619 DCV196619:DCY196619 DMR196619:DMU196619 DWN196619:DWQ196619 EGJ196619:EGM196619 EQF196619:EQI196619 FAB196619:FAE196619 FJX196619:FKA196619 FTT196619:FTW196619 GDP196619:GDS196619 GNL196619:GNO196619 GXH196619:GXK196619 HHD196619:HHG196619 HQZ196619:HRC196619 IAV196619:IAY196619 IKR196619:IKU196619 IUN196619:IUQ196619 JEJ196619:JEM196619 JOF196619:JOI196619 JYB196619:JYE196619 KHX196619:KIA196619 KRT196619:KRW196619 LBP196619:LBS196619 LLL196619:LLO196619 LVH196619:LVK196619 MFD196619:MFG196619 MOZ196619:MPC196619 MYV196619:MYY196619 NIR196619:NIU196619 NSN196619:NSQ196619 OCJ196619:OCM196619 OMF196619:OMI196619 OWB196619:OWE196619 PFX196619:PGA196619 PPT196619:PPW196619 PZP196619:PZS196619 QJL196619:QJO196619 QTH196619:QTK196619 RDD196619:RDG196619 RMZ196619:RNC196619 RWV196619:RWY196619 SGR196619:SGU196619 SQN196619:SQQ196619 TAJ196619:TAM196619 TKF196619:TKI196619 TUB196619:TUE196619 UDX196619:UEA196619 UNT196619:UNW196619 UXP196619:UXS196619 VHL196619:VHO196619 VRH196619:VRK196619 WBD196619:WBG196619 WKZ196619:WLC196619 WUV196619:WUY196619 Q262155:T262155 IJ262155:IM262155 SF262155:SI262155 ACB262155:ACE262155 ALX262155:AMA262155 AVT262155:AVW262155 BFP262155:BFS262155 BPL262155:BPO262155 BZH262155:BZK262155 CJD262155:CJG262155 CSZ262155:CTC262155 DCV262155:DCY262155 DMR262155:DMU262155 DWN262155:DWQ262155 EGJ262155:EGM262155 EQF262155:EQI262155 FAB262155:FAE262155 FJX262155:FKA262155 FTT262155:FTW262155 GDP262155:GDS262155 GNL262155:GNO262155 GXH262155:GXK262155 HHD262155:HHG262155 HQZ262155:HRC262155 IAV262155:IAY262155 IKR262155:IKU262155 IUN262155:IUQ262155 JEJ262155:JEM262155 JOF262155:JOI262155 JYB262155:JYE262155 KHX262155:KIA262155 KRT262155:KRW262155 LBP262155:LBS262155 LLL262155:LLO262155 LVH262155:LVK262155 MFD262155:MFG262155 MOZ262155:MPC262155 MYV262155:MYY262155 NIR262155:NIU262155 NSN262155:NSQ262155 OCJ262155:OCM262155 OMF262155:OMI262155 OWB262155:OWE262155 PFX262155:PGA262155 PPT262155:PPW262155 PZP262155:PZS262155 QJL262155:QJO262155 QTH262155:QTK262155 RDD262155:RDG262155 RMZ262155:RNC262155 RWV262155:RWY262155 SGR262155:SGU262155 SQN262155:SQQ262155 TAJ262155:TAM262155 TKF262155:TKI262155 TUB262155:TUE262155 UDX262155:UEA262155 UNT262155:UNW262155 UXP262155:UXS262155 VHL262155:VHO262155 VRH262155:VRK262155 WBD262155:WBG262155 WKZ262155:WLC262155 WUV262155:WUY262155 Q327691:T327691 IJ327691:IM327691 SF327691:SI327691 ACB327691:ACE327691 ALX327691:AMA327691 AVT327691:AVW327691 BFP327691:BFS327691 BPL327691:BPO327691 BZH327691:BZK327691 CJD327691:CJG327691 CSZ327691:CTC327691 DCV327691:DCY327691 DMR327691:DMU327691 DWN327691:DWQ327691 EGJ327691:EGM327691 EQF327691:EQI327691 FAB327691:FAE327691 FJX327691:FKA327691 FTT327691:FTW327691 GDP327691:GDS327691 GNL327691:GNO327691 GXH327691:GXK327691 HHD327691:HHG327691 HQZ327691:HRC327691 IAV327691:IAY327691 IKR327691:IKU327691 IUN327691:IUQ327691 JEJ327691:JEM327691 JOF327691:JOI327691 JYB327691:JYE327691 KHX327691:KIA327691 KRT327691:KRW327691 LBP327691:LBS327691 LLL327691:LLO327691 LVH327691:LVK327691 MFD327691:MFG327691 MOZ327691:MPC327691 MYV327691:MYY327691 NIR327691:NIU327691 NSN327691:NSQ327691 OCJ327691:OCM327691 OMF327691:OMI327691 OWB327691:OWE327691 PFX327691:PGA327691 PPT327691:PPW327691 PZP327691:PZS327691 QJL327691:QJO327691 QTH327691:QTK327691 RDD327691:RDG327691 RMZ327691:RNC327691 RWV327691:RWY327691 SGR327691:SGU327691 SQN327691:SQQ327691 TAJ327691:TAM327691 TKF327691:TKI327691 TUB327691:TUE327691 UDX327691:UEA327691 UNT327691:UNW327691 UXP327691:UXS327691 VHL327691:VHO327691 VRH327691:VRK327691 WBD327691:WBG327691 WKZ327691:WLC327691 WUV327691:WUY327691 Q393227:T393227 IJ393227:IM393227 SF393227:SI393227 ACB393227:ACE393227 ALX393227:AMA393227 AVT393227:AVW393227 BFP393227:BFS393227 BPL393227:BPO393227 BZH393227:BZK393227 CJD393227:CJG393227 CSZ393227:CTC393227 DCV393227:DCY393227 DMR393227:DMU393227 DWN393227:DWQ393227 EGJ393227:EGM393227 EQF393227:EQI393227 FAB393227:FAE393227 FJX393227:FKA393227 FTT393227:FTW393227 GDP393227:GDS393227 GNL393227:GNO393227 GXH393227:GXK393227 HHD393227:HHG393227 HQZ393227:HRC393227 IAV393227:IAY393227 IKR393227:IKU393227 IUN393227:IUQ393227 JEJ393227:JEM393227 JOF393227:JOI393227 JYB393227:JYE393227 KHX393227:KIA393227 KRT393227:KRW393227 LBP393227:LBS393227 LLL393227:LLO393227 LVH393227:LVK393227 MFD393227:MFG393227 MOZ393227:MPC393227 MYV393227:MYY393227 NIR393227:NIU393227 NSN393227:NSQ393227 OCJ393227:OCM393227 OMF393227:OMI393227 OWB393227:OWE393227 PFX393227:PGA393227 PPT393227:PPW393227 PZP393227:PZS393227 QJL393227:QJO393227 QTH393227:QTK393227 RDD393227:RDG393227 RMZ393227:RNC393227 RWV393227:RWY393227 SGR393227:SGU393227 SQN393227:SQQ393227 TAJ393227:TAM393227 TKF393227:TKI393227 TUB393227:TUE393227 UDX393227:UEA393227 UNT393227:UNW393227 UXP393227:UXS393227 VHL393227:VHO393227 VRH393227:VRK393227 WBD393227:WBG393227 WKZ393227:WLC393227 WUV393227:WUY393227 Q458763:T458763 IJ458763:IM458763 SF458763:SI458763 ACB458763:ACE458763 ALX458763:AMA458763 AVT458763:AVW458763 BFP458763:BFS458763 BPL458763:BPO458763 BZH458763:BZK458763 CJD458763:CJG458763 CSZ458763:CTC458763 DCV458763:DCY458763 DMR458763:DMU458763 DWN458763:DWQ458763 EGJ458763:EGM458763 EQF458763:EQI458763 FAB458763:FAE458763 FJX458763:FKA458763 FTT458763:FTW458763 GDP458763:GDS458763 GNL458763:GNO458763 GXH458763:GXK458763 HHD458763:HHG458763 HQZ458763:HRC458763 IAV458763:IAY458763 IKR458763:IKU458763 IUN458763:IUQ458763 JEJ458763:JEM458763 JOF458763:JOI458763 JYB458763:JYE458763 KHX458763:KIA458763 KRT458763:KRW458763 LBP458763:LBS458763 LLL458763:LLO458763 LVH458763:LVK458763 MFD458763:MFG458763 MOZ458763:MPC458763 MYV458763:MYY458763 NIR458763:NIU458763 NSN458763:NSQ458763 OCJ458763:OCM458763 OMF458763:OMI458763 OWB458763:OWE458763 PFX458763:PGA458763 PPT458763:PPW458763 PZP458763:PZS458763 QJL458763:QJO458763 QTH458763:QTK458763 RDD458763:RDG458763 RMZ458763:RNC458763 RWV458763:RWY458763 SGR458763:SGU458763 SQN458763:SQQ458763 TAJ458763:TAM458763 TKF458763:TKI458763 TUB458763:TUE458763 UDX458763:UEA458763 UNT458763:UNW458763 UXP458763:UXS458763 VHL458763:VHO458763 VRH458763:VRK458763 WBD458763:WBG458763 WKZ458763:WLC458763 WUV458763:WUY458763 Q524299:T524299 IJ524299:IM524299 SF524299:SI524299 ACB524299:ACE524299 ALX524299:AMA524299 AVT524299:AVW524299 BFP524299:BFS524299 BPL524299:BPO524299 BZH524299:BZK524299 CJD524299:CJG524299 CSZ524299:CTC524299 DCV524299:DCY524299 DMR524299:DMU524299 DWN524299:DWQ524299 EGJ524299:EGM524299 EQF524299:EQI524299 FAB524299:FAE524299 FJX524299:FKA524299 FTT524299:FTW524299 GDP524299:GDS524299 GNL524299:GNO524299 GXH524299:GXK524299 HHD524299:HHG524299 HQZ524299:HRC524299 IAV524299:IAY524299 IKR524299:IKU524299 IUN524299:IUQ524299 JEJ524299:JEM524299 JOF524299:JOI524299 JYB524299:JYE524299 KHX524299:KIA524299 KRT524299:KRW524299 LBP524299:LBS524299 LLL524299:LLO524299 LVH524299:LVK524299 MFD524299:MFG524299 MOZ524299:MPC524299 MYV524299:MYY524299 NIR524299:NIU524299 NSN524299:NSQ524299 OCJ524299:OCM524299 OMF524299:OMI524299 OWB524299:OWE524299 PFX524299:PGA524299 PPT524299:PPW524299 PZP524299:PZS524299 QJL524299:QJO524299 QTH524299:QTK524299 RDD524299:RDG524299 RMZ524299:RNC524299 RWV524299:RWY524299 SGR524299:SGU524299 SQN524299:SQQ524299 TAJ524299:TAM524299 TKF524299:TKI524299 TUB524299:TUE524299 UDX524299:UEA524299 UNT524299:UNW524299 UXP524299:UXS524299 VHL524299:VHO524299 VRH524299:VRK524299 WBD524299:WBG524299 WKZ524299:WLC524299 WUV524299:WUY524299 Q589835:T589835 IJ589835:IM589835 SF589835:SI589835 ACB589835:ACE589835 ALX589835:AMA589835 AVT589835:AVW589835 BFP589835:BFS589835 BPL589835:BPO589835 BZH589835:BZK589835 CJD589835:CJG589835 CSZ589835:CTC589835 DCV589835:DCY589835 DMR589835:DMU589835 DWN589835:DWQ589835 EGJ589835:EGM589835 EQF589835:EQI589835 FAB589835:FAE589835 FJX589835:FKA589835 FTT589835:FTW589835 GDP589835:GDS589835 GNL589835:GNO589835 GXH589835:GXK589835 HHD589835:HHG589835 HQZ589835:HRC589835 IAV589835:IAY589835 IKR589835:IKU589835 IUN589835:IUQ589835 JEJ589835:JEM589835 JOF589835:JOI589835 JYB589835:JYE589835 KHX589835:KIA589835 KRT589835:KRW589835 LBP589835:LBS589835 LLL589835:LLO589835 LVH589835:LVK589835 MFD589835:MFG589835 MOZ589835:MPC589835 MYV589835:MYY589835 NIR589835:NIU589835 NSN589835:NSQ589835 OCJ589835:OCM589835 OMF589835:OMI589835 OWB589835:OWE589835 PFX589835:PGA589835 PPT589835:PPW589835 PZP589835:PZS589835 QJL589835:QJO589835 QTH589835:QTK589835 RDD589835:RDG589835 RMZ589835:RNC589835 RWV589835:RWY589835 SGR589835:SGU589835 SQN589835:SQQ589835 TAJ589835:TAM589835 TKF589835:TKI589835 TUB589835:TUE589835 UDX589835:UEA589835 UNT589835:UNW589835 UXP589835:UXS589835 VHL589835:VHO589835 VRH589835:VRK589835 WBD589835:WBG589835 WKZ589835:WLC589835 WUV589835:WUY589835 Q655371:T655371 IJ655371:IM655371 SF655371:SI655371 ACB655371:ACE655371 ALX655371:AMA655371 AVT655371:AVW655371 BFP655371:BFS655371 BPL655371:BPO655371 BZH655371:BZK655371 CJD655371:CJG655371 CSZ655371:CTC655371 DCV655371:DCY655371 DMR655371:DMU655371 DWN655371:DWQ655371 EGJ655371:EGM655371 EQF655371:EQI655371 FAB655371:FAE655371 FJX655371:FKA655371 FTT655371:FTW655371 GDP655371:GDS655371 GNL655371:GNO655371 GXH655371:GXK655371 HHD655371:HHG655371 HQZ655371:HRC655371 IAV655371:IAY655371 IKR655371:IKU655371 IUN655371:IUQ655371 JEJ655371:JEM655371 JOF655371:JOI655371 JYB655371:JYE655371 KHX655371:KIA655371 KRT655371:KRW655371 LBP655371:LBS655371 LLL655371:LLO655371 LVH655371:LVK655371 MFD655371:MFG655371 MOZ655371:MPC655371 MYV655371:MYY655371 NIR655371:NIU655371 NSN655371:NSQ655371 OCJ655371:OCM655371 OMF655371:OMI655371 OWB655371:OWE655371 PFX655371:PGA655371 PPT655371:PPW655371 PZP655371:PZS655371 QJL655371:QJO655371 QTH655371:QTK655371 RDD655371:RDG655371 RMZ655371:RNC655371 RWV655371:RWY655371 SGR655371:SGU655371 SQN655371:SQQ655371 TAJ655371:TAM655371 TKF655371:TKI655371 TUB655371:TUE655371 UDX655371:UEA655371 UNT655371:UNW655371 UXP655371:UXS655371 VHL655371:VHO655371 VRH655371:VRK655371 WBD655371:WBG655371 WKZ655371:WLC655371 WUV655371:WUY655371 Q720907:T720907 IJ720907:IM720907 SF720907:SI720907 ACB720907:ACE720907 ALX720907:AMA720907 AVT720907:AVW720907 BFP720907:BFS720907 BPL720907:BPO720907 BZH720907:BZK720907 CJD720907:CJG720907 CSZ720907:CTC720907 DCV720907:DCY720907 DMR720907:DMU720907 DWN720907:DWQ720907 EGJ720907:EGM720907 EQF720907:EQI720907 FAB720907:FAE720907 FJX720907:FKA720907 FTT720907:FTW720907 GDP720907:GDS720907 GNL720907:GNO720907 GXH720907:GXK720907 HHD720907:HHG720907 HQZ720907:HRC720907 IAV720907:IAY720907 IKR720907:IKU720907 IUN720907:IUQ720907 JEJ720907:JEM720907 JOF720907:JOI720907 JYB720907:JYE720907 KHX720907:KIA720907 KRT720907:KRW720907 LBP720907:LBS720907 LLL720907:LLO720907 LVH720907:LVK720907 MFD720907:MFG720907 MOZ720907:MPC720907 MYV720907:MYY720907 NIR720907:NIU720907 NSN720907:NSQ720907 OCJ720907:OCM720907 OMF720907:OMI720907 OWB720907:OWE720907 PFX720907:PGA720907 PPT720907:PPW720907 PZP720907:PZS720907 QJL720907:QJO720907 QTH720907:QTK720907 RDD720907:RDG720907 RMZ720907:RNC720907 RWV720907:RWY720907 SGR720907:SGU720907 SQN720907:SQQ720907 TAJ720907:TAM720907 TKF720907:TKI720907 TUB720907:TUE720907 UDX720907:UEA720907 UNT720907:UNW720907 UXP720907:UXS720907 VHL720907:VHO720907 VRH720907:VRK720907 WBD720907:WBG720907 WKZ720907:WLC720907 WUV720907:WUY720907 Q786443:T786443 IJ786443:IM786443 SF786443:SI786443 ACB786443:ACE786443 ALX786443:AMA786443 AVT786443:AVW786443 BFP786443:BFS786443 BPL786443:BPO786443 BZH786443:BZK786443 CJD786443:CJG786443 CSZ786443:CTC786443 DCV786443:DCY786443 DMR786443:DMU786443 DWN786443:DWQ786443 EGJ786443:EGM786443 EQF786443:EQI786443 FAB786443:FAE786443 FJX786443:FKA786443 FTT786443:FTW786443 GDP786443:GDS786443 GNL786443:GNO786443 GXH786443:GXK786443 HHD786443:HHG786443 HQZ786443:HRC786443 IAV786443:IAY786443 IKR786443:IKU786443 IUN786443:IUQ786443 JEJ786443:JEM786443 JOF786443:JOI786443 JYB786443:JYE786443 KHX786443:KIA786443 KRT786443:KRW786443 LBP786443:LBS786443 LLL786443:LLO786443 LVH786443:LVK786443 MFD786443:MFG786443 MOZ786443:MPC786443 MYV786443:MYY786443 NIR786443:NIU786443 NSN786443:NSQ786443 OCJ786443:OCM786443 OMF786443:OMI786443 OWB786443:OWE786443 PFX786443:PGA786443 PPT786443:PPW786443 PZP786443:PZS786443 QJL786443:QJO786443 QTH786443:QTK786443 RDD786443:RDG786443 RMZ786443:RNC786443 RWV786443:RWY786443 SGR786443:SGU786443 SQN786443:SQQ786443 TAJ786443:TAM786443 TKF786443:TKI786443 TUB786443:TUE786443 UDX786443:UEA786443 UNT786443:UNW786443 UXP786443:UXS786443 VHL786443:VHO786443 VRH786443:VRK786443 WBD786443:WBG786443 WKZ786443:WLC786443 WUV786443:WUY786443 Q851979:T851979 IJ851979:IM851979 SF851979:SI851979 ACB851979:ACE851979 ALX851979:AMA851979 AVT851979:AVW851979 BFP851979:BFS851979 BPL851979:BPO851979 BZH851979:BZK851979 CJD851979:CJG851979 CSZ851979:CTC851979 DCV851979:DCY851979 DMR851979:DMU851979 DWN851979:DWQ851979 EGJ851979:EGM851979 EQF851979:EQI851979 FAB851979:FAE851979 FJX851979:FKA851979 FTT851979:FTW851979 GDP851979:GDS851979 GNL851979:GNO851979 GXH851979:GXK851979 HHD851979:HHG851979 HQZ851979:HRC851979 IAV851979:IAY851979 IKR851979:IKU851979 IUN851979:IUQ851979 JEJ851979:JEM851979 JOF851979:JOI851979 JYB851979:JYE851979 KHX851979:KIA851979 KRT851979:KRW851979 LBP851979:LBS851979 LLL851979:LLO851979 LVH851979:LVK851979 MFD851979:MFG851979 MOZ851979:MPC851979 MYV851979:MYY851979 NIR851979:NIU851979 NSN851979:NSQ851979 OCJ851979:OCM851979 OMF851979:OMI851979 OWB851979:OWE851979 PFX851979:PGA851979 PPT851979:PPW851979 PZP851979:PZS851979 QJL851979:QJO851979 QTH851979:QTK851979 RDD851979:RDG851979 RMZ851979:RNC851979 RWV851979:RWY851979 SGR851979:SGU851979 SQN851979:SQQ851979 TAJ851979:TAM851979 TKF851979:TKI851979 TUB851979:TUE851979 UDX851979:UEA851979 UNT851979:UNW851979 UXP851979:UXS851979 VHL851979:VHO851979 VRH851979:VRK851979 WBD851979:WBG851979 WKZ851979:WLC851979 WUV851979:WUY851979 Q917515:T917515 IJ917515:IM917515 SF917515:SI917515 ACB917515:ACE917515 ALX917515:AMA917515 AVT917515:AVW917515 BFP917515:BFS917515 BPL917515:BPO917515 BZH917515:BZK917515 CJD917515:CJG917515 CSZ917515:CTC917515 DCV917515:DCY917515 DMR917515:DMU917515 DWN917515:DWQ917515 EGJ917515:EGM917515 EQF917515:EQI917515 FAB917515:FAE917515 FJX917515:FKA917515 FTT917515:FTW917515 GDP917515:GDS917515 GNL917515:GNO917515 GXH917515:GXK917515 HHD917515:HHG917515 HQZ917515:HRC917515 IAV917515:IAY917515 IKR917515:IKU917515 IUN917515:IUQ917515 JEJ917515:JEM917515 JOF917515:JOI917515 JYB917515:JYE917515 KHX917515:KIA917515 KRT917515:KRW917515 LBP917515:LBS917515 LLL917515:LLO917515 LVH917515:LVK917515 MFD917515:MFG917515 MOZ917515:MPC917515 MYV917515:MYY917515 NIR917515:NIU917515 NSN917515:NSQ917515 OCJ917515:OCM917515 OMF917515:OMI917515 OWB917515:OWE917515 PFX917515:PGA917515 PPT917515:PPW917515 PZP917515:PZS917515 QJL917515:QJO917515 QTH917515:QTK917515 RDD917515:RDG917515 RMZ917515:RNC917515 RWV917515:RWY917515 SGR917515:SGU917515 SQN917515:SQQ917515 TAJ917515:TAM917515 TKF917515:TKI917515 TUB917515:TUE917515 UDX917515:UEA917515 UNT917515:UNW917515 UXP917515:UXS917515 VHL917515:VHO917515 VRH917515:VRK917515 WBD917515:WBG917515 WKZ917515:WLC917515 WUV917515:WUY917515 Q983051:T983051 IJ983051:IM983051 SF983051:SI983051 ACB983051:ACE983051 ALX983051:AMA983051 AVT983051:AVW983051 BFP983051:BFS983051 BPL983051:BPO983051 BZH983051:BZK983051 CJD983051:CJG983051 CSZ983051:CTC983051 DCV983051:DCY983051 DMR983051:DMU983051 DWN983051:DWQ983051 EGJ983051:EGM983051 EQF983051:EQI983051 FAB983051:FAE983051 FJX983051:FKA983051 FTT983051:FTW983051 GDP983051:GDS983051 GNL983051:GNO983051 GXH983051:GXK983051 HHD983051:HHG983051 HQZ983051:HRC983051 IAV983051:IAY983051 IKR983051:IKU983051 IUN983051:IUQ983051 JEJ983051:JEM983051 JOF983051:JOI983051 JYB983051:JYE983051 KHX983051:KIA983051 KRT983051:KRW983051 LBP983051:LBS983051 LLL983051:LLO983051 LVH983051:LVK983051 MFD983051:MFG983051 MOZ983051:MPC983051 MYV983051:MYY983051 NIR983051:NIU983051 NSN983051:NSQ983051 OCJ983051:OCM983051 OMF983051:OMI983051 OWB983051:OWE983051 PFX983051:PGA983051 PPT983051:PPW983051 PZP983051:PZS983051 QJL983051:QJO983051 QTH983051:QTK983051 RDD983051:RDG983051 RMZ983051:RNC983051 RWV983051:RWY983051 SGR983051:SGU983051 SQN983051:SQQ983051 TAJ983051:TAM983051 TKF983051:TKI983051 TUB983051:TUE983051 UDX983051:UEA983051 UNT983051:UNW983051 UXP983051:UXS983051 VHL983051:VHO983051 VRH983051:VRK983051 WBD983051:WBG983051 WKZ983051:WLC983051 WUV983051:WUY983051 IE983050:IH983050 SA983050:SD983050 ABW983050:ABZ983050 ALS983050:ALV983050 AVO983050:AVR983050 BFK983050:BFN983050 BPG983050:BPJ983050 BZC983050:BZF983050 CIY983050:CJB983050 CSU983050:CSX983050 DCQ983050:DCT983050 DMM983050:DMP983050 DWI983050:DWL983050 EGE983050:EGH983050 EQA983050:EQD983050 EZW983050:EZZ983050 FJS983050:FJV983050 FTO983050:FTR983050 GDK983050:GDN983050 GNG983050:GNJ983050 GXC983050:GXF983050 HGY983050:HHB983050 HQU983050:HQX983050 IAQ983050:IAT983050 IKM983050:IKP983050 IUI983050:IUL983050 JEE983050:JEH983050 JOA983050:JOD983050 JXW983050:JXZ983050 KHS983050:KHV983050 KRO983050:KRR983050 LBK983050:LBN983050 LLG983050:LLJ983050 LVC983050:LVF983050 MEY983050:MFB983050 MOU983050:MOX983050 MYQ983050:MYT983050 NIM983050:NIP983050 NSI983050:NSL983050 OCE983050:OCH983050 OMA983050:OMD983050 OVW983050:OVZ983050 PFS983050:PFV983050 PPO983050:PPR983050 PZK983050:PZN983050 QJG983050:QJJ983050 QTC983050:QTF983050 RCY983050:RDB983050 RMU983050:RMX983050 RWQ983050:RWT983050 SGM983050:SGP983050 SQI983050:SQL983050 TAE983050:TAH983050 TKA983050:TKD983050 TTW983050:TTZ983050 UDS983050:UDV983050 UNO983050:UNR983050 UXK983050:UXN983050 VHG983050:VHJ983050 VRC983050:VRF983050 WAY983050:WBB983050 WKU983050:WKX983050 WUQ983050:WUT983050 IE65546:IH65546 SA65546:SD65546 ABW65546:ABZ65546 ALS65546:ALV65546 AVO65546:AVR65546 BFK65546:BFN65546 BPG65546:BPJ65546 BZC65546:BZF65546 CIY65546:CJB65546 CSU65546:CSX65546 DCQ65546:DCT65546 DMM65546:DMP65546 DWI65546:DWL65546 EGE65546:EGH65546 EQA65546:EQD65546 EZW65546:EZZ65546 FJS65546:FJV65546 FTO65546:FTR65546 GDK65546:GDN65546 GNG65546:GNJ65546 GXC65546:GXF65546 HGY65546:HHB65546 HQU65546:HQX65546 IAQ65546:IAT65546 IKM65546:IKP65546 IUI65546:IUL65546 JEE65546:JEH65546 JOA65546:JOD65546 JXW65546:JXZ65546 KHS65546:KHV65546 KRO65546:KRR65546 LBK65546:LBN65546 LLG65546:LLJ65546 LVC65546:LVF65546 MEY65546:MFB65546 MOU65546:MOX65546 MYQ65546:MYT65546 NIM65546:NIP65546 NSI65546:NSL65546 OCE65546:OCH65546 OMA65546:OMD65546 OVW65546:OVZ65546 PFS65546:PFV65546 PPO65546:PPR65546 PZK65546:PZN65546 QJG65546:QJJ65546 QTC65546:QTF65546 RCY65546:RDB65546 RMU65546:RMX65546 RWQ65546:RWT65546 SGM65546:SGP65546 SQI65546:SQL65546 TAE65546:TAH65546 TKA65546:TKD65546 TTW65546:TTZ65546 UDS65546:UDV65546 UNO65546:UNR65546 UXK65546:UXN65546 VHG65546:VHJ65546 VRC65546:VRF65546 WAY65546:WBB65546 WKU65546:WKX65546 WUQ65546:WUT65546 IE131082:IH131082 SA131082:SD131082 ABW131082:ABZ131082 ALS131082:ALV131082 AVO131082:AVR131082 BFK131082:BFN131082 BPG131082:BPJ131082 BZC131082:BZF131082 CIY131082:CJB131082 CSU131082:CSX131082 DCQ131082:DCT131082 DMM131082:DMP131082 DWI131082:DWL131082 EGE131082:EGH131082 EQA131082:EQD131082 EZW131082:EZZ131082 FJS131082:FJV131082 FTO131082:FTR131082 GDK131082:GDN131082 GNG131082:GNJ131082 GXC131082:GXF131082 HGY131082:HHB131082 HQU131082:HQX131082 IAQ131082:IAT131082 IKM131082:IKP131082 IUI131082:IUL131082 JEE131082:JEH131082 JOA131082:JOD131082 JXW131082:JXZ131082 KHS131082:KHV131082 KRO131082:KRR131082 LBK131082:LBN131082 LLG131082:LLJ131082 LVC131082:LVF131082 MEY131082:MFB131082 MOU131082:MOX131082 MYQ131082:MYT131082 NIM131082:NIP131082 NSI131082:NSL131082 OCE131082:OCH131082 OMA131082:OMD131082 OVW131082:OVZ131082 PFS131082:PFV131082 PPO131082:PPR131082 PZK131082:PZN131082 QJG131082:QJJ131082 QTC131082:QTF131082 RCY131082:RDB131082 RMU131082:RMX131082 RWQ131082:RWT131082 SGM131082:SGP131082 SQI131082:SQL131082 TAE131082:TAH131082 TKA131082:TKD131082 TTW131082:TTZ131082 UDS131082:UDV131082 UNO131082:UNR131082 UXK131082:UXN131082 VHG131082:VHJ131082 VRC131082:VRF131082 WAY131082:WBB131082 WKU131082:WKX131082 WUQ131082:WUT131082 IE196618:IH196618 SA196618:SD196618 ABW196618:ABZ196618 ALS196618:ALV196618 AVO196618:AVR196618 BFK196618:BFN196618 BPG196618:BPJ196618 BZC196618:BZF196618 CIY196618:CJB196618 CSU196618:CSX196618 DCQ196618:DCT196618 DMM196618:DMP196618 DWI196618:DWL196618 EGE196618:EGH196618 EQA196618:EQD196618 EZW196618:EZZ196618 FJS196618:FJV196618 FTO196618:FTR196618 GDK196618:GDN196618 GNG196618:GNJ196618 GXC196618:GXF196618 HGY196618:HHB196618 HQU196618:HQX196618 IAQ196618:IAT196618 IKM196618:IKP196618 IUI196618:IUL196618 JEE196618:JEH196618 JOA196618:JOD196618 JXW196618:JXZ196618 KHS196618:KHV196618 KRO196618:KRR196618 LBK196618:LBN196618 LLG196618:LLJ196618 LVC196618:LVF196618 MEY196618:MFB196618 MOU196618:MOX196618 MYQ196618:MYT196618 NIM196618:NIP196618 NSI196618:NSL196618 OCE196618:OCH196618 OMA196618:OMD196618 OVW196618:OVZ196618 PFS196618:PFV196618 PPO196618:PPR196618 PZK196618:PZN196618 QJG196618:QJJ196618 QTC196618:QTF196618 RCY196618:RDB196618 RMU196618:RMX196618 RWQ196618:RWT196618 SGM196618:SGP196618 SQI196618:SQL196618 TAE196618:TAH196618 TKA196618:TKD196618 TTW196618:TTZ196618 UDS196618:UDV196618 UNO196618:UNR196618 UXK196618:UXN196618 VHG196618:VHJ196618 VRC196618:VRF196618 WAY196618:WBB196618 WKU196618:WKX196618 WUQ196618:WUT196618 IE262154:IH262154 SA262154:SD262154 ABW262154:ABZ262154 ALS262154:ALV262154 AVO262154:AVR262154 BFK262154:BFN262154 BPG262154:BPJ262154 BZC262154:BZF262154 CIY262154:CJB262154 CSU262154:CSX262154 DCQ262154:DCT262154 DMM262154:DMP262154 DWI262154:DWL262154 EGE262154:EGH262154 EQA262154:EQD262154 EZW262154:EZZ262154 FJS262154:FJV262154 FTO262154:FTR262154 GDK262154:GDN262154 GNG262154:GNJ262154 GXC262154:GXF262154 HGY262154:HHB262154 HQU262154:HQX262154 IAQ262154:IAT262154 IKM262154:IKP262154 IUI262154:IUL262154 JEE262154:JEH262154 JOA262154:JOD262154 JXW262154:JXZ262154 KHS262154:KHV262154 KRO262154:KRR262154 LBK262154:LBN262154 LLG262154:LLJ262154 LVC262154:LVF262154 MEY262154:MFB262154 MOU262154:MOX262154 MYQ262154:MYT262154 NIM262154:NIP262154 NSI262154:NSL262154 OCE262154:OCH262154 OMA262154:OMD262154 OVW262154:OVZ262154 PFS262154:PFV262154 PPO262154:PPR262154 PZK262154:PZN262154 QJG262154:QJJ262154 QTC262154:QTF262154 RCY262154:RDB262154 RMU262154:RMX262154 RWQ262154:RWT262154 SGM262154:SGP262154 SQI262154:SQL262154 TAE262154:TAH262154 TKA262154:TKD262154 TTW262154:TTZ262154 UDS262154:UDV262154 UNO262154:UNR262154 UXK262154:UXN262154 VHG262154:VHJ262154 VRC262154:VRF262154 WAY262154:WBB262154 WKU262154:WKX262154 WUQ262154:WUT262154 IE327690:IH327690 SA327690:SD327690 ABW327690:ABZ327690 ALS327690:ALV327690 AVO327690:AVR327690 BFK327690:BFN327690 BPG327690:BPJ327690 BZC327690:BZF327690 CIY327690:CJB327690 CSU327690:CSX327690 DCQ327690:DCT327690 DMM327690:DMP327690 DWI327690:DWL327690 EGE327690:EGH327690 EQA327690:EQD327690 EZW327690:EZZ327690 FJS327690:FJV327690 FTO327690:FTR327690 GDK327690:GDN327690 GNG327690:GNJ327690 GXC327690:GXF327690 HGY327690:HHB327690 HQU327690:HQX327690 IAQ327690:IAT327690 IKM327690:IKP327690 IUI327690:IUL327690 JEE327690:JEH327690 JOA327690:JOD327690 JXW327690:JXZ327690 KHS327690:KHV327690 KRO327690:KRR327690 LBK327690:LBN327690 LLG327690:LLJ327690 LVC327690:LVF327690 MEY327690:MFB327690 MOU327690:MOX327690 MYQ327690:MYT327690 NIM327690:NIP327690 NSI327690:NSL327690 OCE327690:OCH327690 OMA327690:OMD327690 OVW327690:OVZ327690 PFS327690:PFV327690 PPO327690:PPR327690 PZK327690:PZN327690 QJG327690:QJJ327690 QTC327690:QTF327690 RCY327690:RDB327690 RMU327690:RMX327690 RWQ327690:RWT327690 SGM327690:SGP327690 SQI327690:SQL327690 TAE327690:TAH327690 TKA327690:TKD327690 TTW327690:TTZ327690 UDS327690:UDV327690 UNO327690:UNR327690 UXK327690:UXN327690 VHG327690:VHJ327690 VRC327690:VRF327690 WAY327690:WBB327690 WKU327690:WKX327690 WUQ327690:WUT327690 IE393226:IH393226 SA393226:SD393226 ABW393226:ABZ393226 ALS393226:ALV393226 AVO393226:AVR393226 BFK393226:BFN393226 BPG393226:BPJ393226 BZC393226:BZF393226 CIY393226:CJB393226 CSU393226:CSX393226 DCQ393226:DCT393226 DMM393226:DMP393226 DWI393226:DWL393226 EGE393226:EGH393226 EQA393226:EQD393226 EZW393226:EZZ393226 FJS393226:FJV393226 FTO393226:FTR393226 GDK393226:GDN393226 GNG393226:GNJ393226 GXC393226:GXF393226 HGY393226:HHB393226 HQU393226:HQX393226 IAQ393226:IAT393226 IKM393226:IKP393226 IUI393226:IUL393226 JEE393226:JEH393226 JOA393226:JOD393226 JXW393226:JXZ393226 KHS393226:KHV393226 KRO393226:KRR393226 LBK393226:LBN393226 LLG393226:LLJ393226 LVC393226:LVF393226 MEY393226:MFB393226 MOU393226:MOX393226 MYQ393226:MYT393226 NIM393226:NIP393226 NSI393226:NSL393226 OCE393226:OCH393226 OMA393226:OMD393226 OVW393226:OVZ393226 PFS393226:PFV393226 PPO393226:PPR393226 PZK393226:PZN393226 QJG393226:QJJ393226 QTC393226:QTF393226 RCY393226:RDB393226 RMU393226:RMX393226 RWQ393226:RWT393226 SGM393226:SGP393226 SQI393226:SQL393226 TAE393226:TAH393226 TKA393226:TKD393226 TTW393226:TTZ393226 UDS393226:UDV393226 UNO393226:UNR393226 UXK393226:UXN393226 VHG393226:VHJ393226 VRC393226:VRF393226 WAY393226:WBB393226 WKU393226:WKX393226 WUQ393226:WUT393226 IE458762:IH458762 SA458762:SD458762 ABW458762:ABZ458762 ALS458762:ALV458762 AVO458762:AVR458762 BFK458762:BFN458762 BPG458762:BPJ458762 BZC458762:BZF458762 CIY458762:CJB458762 CSU458762:CSX458762 DCQ458762:DCT458762 DMM458762:DMP458762 DWI458762:DWL458762 EGE458762:EGH458762 EQA458762:EQD458762 EZW458762:EZZ458762 FJS458762:FJV458762 FTO458762:FTR458762 GDK458762:GDN458762 GNG458762:GNJ458762 GXC458762:GXF458762 HGY458762:HHB458762 HQU458762:HQX458762 IAQ458762:IAT458762 IKM458762:IKP458762 IUI458762:IUL458762 JEE458762:JEH458762 JOA458762:JOD458762 JXW458762:JXZ458762 KHS458762:KHV458762 KRO458762:KRR458762 LBK458762:LBN458762 LLG458762:LLJ458762 LVC458762:LVF458762 MEY458762:MFB458762 MOU458762:MOX458762 MYQ458762:MYT458762 NIM458762:NIP458762 NSI458762:NSL458762 OCE458762:OCH458762 OMA458762:OMD458762 OVW458762:OVZ458762 PFS458762:PFV458762 PPO458762:PPR458762 PZK458762:PZN458762 QJG458762:QJJ458762 QTC458762:QTF458762 RCY458762:RDB458762 RMU458762:RMX458762 RWQ458762:RWT458762 SGM458762:SGP458762 SQI458762:SQL458762 TAE458762:TAH458762 TKA458762:TKD458762 TTW458762:TTZ458762 UDS458762:UDV458762 UNO458762:UNR458762 UXK458762:UXN458762 VHG458762:VHJ458762 VRC458762:VRF458762 WAY458762:WBB458762 WKU458762:WKX458762 WUQ458762:WUT458762 IE524298:IH524298 SA524298:SD524298 ABW524298:ABZ524298 ALS524298:ALV524298 AVO524298:AVR524298 BFK524298:BFN524298 BPG524298:BPJ524298 BZC524298:BZF524298 CIY524298:CJB524298 CSU524298:CSX524298 DCQ524298:DCT524298 DMM524298:DMP524298 DWI524298:DWL524298 EGE524298:EGH524298 EQA524298:EQD524298 EZW524298:EZZ524298 FJS524298:FJV524298 FTO524298:FTR524298 GDK524298:GDN524298 GNG524298:GNJ524298 GXC524298:GXF524298 HGY524298:HHB524298 HQU524298:HQX524298 IAQ524298:IAT524298 IKM524298:IKP524298 IUI524298:IUL524298 JEE524298:JEH524298 JOA524298:JOD524298 JXW524298:JXZ524298 KHS524298:KHV524298 KRO524298:KRR524298 LBK524298:LBN524298 LLG524298:LLJ524298 LVC524298:LVF524298 MEY524298:MFB524298 MOU524298:MOX524298 MYQ524298:MYT524298 NIM524298:NIP524298 NSI524298:NSL524298 OCE524298:OCH524298 OMA524298:OMD524298 OVW524298:OVZ524298 PFS524298:PFV524298 PPO524298:PPR524298 PZK524298:PZN524298 QJG524298:QJJ524298 QTC524298:QTF524298 RCY524298:RDB524298 RMU524298:RMX524298 RWQ524298:RWT524298 SGM524298:SGP524298 SQI524298:SQL524298 TAE524298:TAH524298 TKA524298:TKD524298 TTW524298:TTZ524298 UDS524298:UDV524298 UNO524298:UNR524298 UXK524298:UXN524298 VHG524298:VHJ524298 VRC524298:VRF524298 WAY524298:WBB524298 WKU524298:WKX524298 WUQ524298:WUT524298 IE589834:IH589834 SA589834:SD589834 ABW589834:ABZ589834 ALS589834:ALV589834 AVO589834:AVR589834 BFK589834:BFN589834 BPG589834:BPJ589834 BZC589834:BZF589834 CIY589834:CJB589834 CSU589834:CSX589834 DCQ589834:DCT589834 DMM589834:DMP589834 DWI589834:DWL589834 EGE589834:EGH589834 EQA589834:EQD589834 EZW589834:EZZ589834 FJS589834:FJV589834 FTO589834:FTR589834 GDK589834:GDN589834 GNG589834:GNJ589834 GXC589834:GXF589834 HGY589834:HHB589834 HQU589834:HQX589834 IAQ589834:IAT589834 IKM589834:IKP589834 IUI589834:IUL589834 JEE589834:JEH589834 JOA589834:JOD589834 JXW589834:JXZ589834 KHS589834:KHV589834 KRO589834:KRR589834 LBK589834:LBN589834 LLG589834:LLJ589834 LVC589834:LVF589834 MEY589834:MFB589834 MOU589834:MOX589834 MYQ589834:MYT589834 NIM589834:NIP589834 NSI589834:NSL589834 OCE589834:OCH589834 OMA589834:OMD589834 OVW589834:OVZ589834 PFS589834:PFV589834 PPO589834:PPR589834 PZK589834:PZN589834 QJG589834:QJJ589834 QTC589834:QTF589834 RCY589834:RDB589834 RMU589834:RMX589834 RWQ589834:RWT589834 SGM589834:SGP589834 SQI589834:SQL589834 TAE589834:TAH589834 TKA589834:TKD589834 TTW589834:TTZ589834 UDS589834:UDV589834 UNO589834:UNR589834 UXK589834:UXN589834 VHG589834:VHJ589834 VRC589834:VRF589834 WAY589834:WBB589834 WKU589834:WKX589834 WUQ589834:WUT589834 IE655370:IH655370 SA655370:SD655370 ABW655370:ABZ655370 ALS655370:ALV655370 AVO655370:AVR655370 BFK655370:BFN655370 BPG655370:BPJ655370 BZC655370:BZF655370 CIY655370:CJB655370 CSU655370:CSX655370 DCQ655370:DCT655370 DMM655370:DMP655370 DWI655370:DWL655370 EGE655370:EGH655370 EQA655370:EQD655370 EZW655370:EZZ655370 FJS655370:FJV655370 FTO655370:FTR655370 GDK655370:GDN655370 GNG655370:GNJ655370 GXC655370:GXF655370 HGY655370:HHB655370 HQU655370:HQX655370 IAQ655370:IAT655370 IKM655370:IKP655370 IUI655370:IUL655370 JEE655370:JEH655370 JOA655370:JOD655370 JXW655370:JXZ655370 KHS655370:KHV655370 KRO655370:KRR655370 LBK655370:LBN655370 LLG655370:LLJ655370 LVC655370:LVF655370 MEY655370:MFB655370 MOU655370:MOX655370 MYQ655370:MYT655370 NIM655370:NIP655370 NSI655370:NSL655370 OCE655370:OCH655370 OMA655370:OMD655370 OVW655370:OVZ655370 PFS655370:PFV655370 PPO655370:PPR655370 PZK655370:PZN655370 QJG655370:QJJ655370 QTC655370:QTF655370 RCY655370:RDB655370 RMU655370:RMX655370 RWQ655370:RWT655370 SGM655370:SGP655370 SQI655370:SQL655370 TAE655370:TAH655370 TKA655370:TKD655370 TTW655370:TTZ655370 UDS655370:UDV655370 UNO655370:UNR655370 UXK655370:UXN655370 VHG655370:VHJ655370 VRC655370:VRF655370 WAY655370:WBB655370 WKU655370:WKX655370 WUQ655370:WUT655370 IE720906:IH720906 SA720906:SD720906 ABW720906:ABZ720906 ALS720906:ALV720906 AVO720906:AVR720906 BFK720906:BFN720906 BPG720906:BPJ720906 BZC720906:BZF720906 CIY720906:CJB720906 CSU720906:CSX720906 DCQ720906:DCT720906 DMM720906:DMP720906 DWI720906:DWL720906 EGE720906:EGH720906 EQA720906:EQD720906 EZW720906:EZZ720906 FJS720906:FJV720906 FTO720906:FTR720906 GDK720906:GDN720906 GNG720906:GNJ720906 GXC720906:GXF720906 HGY720906:HHB720906 HQU720906:HQX720906 IAQ720906:IAT720906 IKM720906:IKP720906 IUI720906:IUL720906 JEE720906:JEH720906 JOA720906:JOD720906 JXW720906:JXZ720906 KHS720906:KHV720906 KRO720906:KRR720906 LBK720906:LBN720906 LLG720906:LLJ720906 LVC720906:LVF720906 MEY720906:MFB720906 MOU720906:MOX720906 MYQ720906:MYT720906 NIM720906:NIP720906 NSI720906:NSL720906 OCE720906:OCH720906 OMA720906:OMD720906 OVW720906:OVZ720906 PFS720906:PFV720906 PPO720906:PPR720906 PZK720906:PZN720906 QJG720906:QJJ720906 QTC720906:QTF720906 RCY720906:RDB720906 RMU720906:RMX720906 RWQ720906:RWT720906 SGM720906:SGP720906 SQI720906:SQL720906 TAE720906:TAH720906 TKA720906:TKD720906 TTW720906:TTZ720906 UDS720906:UDV720906 UNO720906:UNR720906 UXK720906:UXN720906 VHG720906:VHJ720906 VRC720906:VRF720906 WAY720906:WBB720906 WKU720906:WKX720906 WUQ720906:WUT720906 IE786442:IH786442 SA786442:SD786442 ABW786442:ABZ786442 ALS786442:ALV786442 AVO786442:AVR786442 BFK786442:BFN786442 BPG786442:BPJ786442 BZC786442:BZF786442 CIY786442:CJB786442 CSU786442:CSX786442 DCQ786442:DCT786442 DMM786442:DMP786442 DWI786442:DWL786442 EGE786442:EGH786442 EQA786442:EQD786442 EZW786442:EZZ786442 FJS786442:FJV786442 FTO786442:FTR786442 GDK786442:GDN786442 GNG786442:GNJ786442 GXC786442:GXF786442 HGY786442:HHB786442 HQU786442:HQX786442 IAQ786442:IAT786442 IKM786442:IKP786442 IUI786442:IUL786442 JEE786442:JEH786442 JOA786442:JOD786442 JXW786442:JXZ786442 KHS786442:KHV786442 KRO786442:KRR786442 LBK786442:LBN786442 LLG786442:LLJ786442 LVC786442:LVF786442 MEY786442:MFB786442 MOU786442:MOX786442 MYQ786442:MYT786442 NIM786442:NIP786442 NSI786442:NSL786442 OCE786442:OCH786442 OMA786442:OMD786442 OVW786442:OVZ786442 PFS786442:PFV786442 PPO786442:PPR786442 PZK786442:PZN786442 QJG786442:QJJ786442 QTC786442:QTF786442 RCY786442:RDB786442 RMU786442:RMX786442 RWQ786442:RWT786442 SGM786442:SGP786442 SQI786442:SQL786442 TAE786442:TAH786442 TKA786442:TKD786442 TTW786442:TTZ786442 UDS786442:UDV786442 UNO786442:UNR786442 UXK786442:UXN786442 VHG786442:VHJ786442 VRC786442:VRF786442 WAY786442:WBB786442 WKU786442:WKX786442 WUQ786442:WUT786442 IE851978:IH851978 SA851978:SD851978 ABW851978:ABZ851978 ALS851978:ALV851978 AVO851978:AVR851978 BFK851978:BFN851978 BPG851978:BPJ851978 BZC851978:BZF851978 CIY851978:CJB851978 CSU851978:CSX851978 DCQ851978:DCT851978 DMM851978:DMP851978 DWI851978:DWL851978 EGE851978:EGH851978 EQA851978:EQD851978 EZW851978:EZZ851978 FJS851978:FJV851978 FTO851978:FTR851978 GDK851978:GDN851978 GNG851978:GNJ851978 GXC851978:GXF851978 HGY851978:HHB851978 HQU851978:HQX851978 IAQ851978:IAT851978 IKM851978:IKP851978 IUI851978:IUL851978 JEE851978:JEH851978 JOA851978:JOD851978 JXW851978:JXZ851978 KHS851978:KHV851978 KRO851978:KRR851978 LBK851978:LBN851978 LLG851978:LLJ851978 LVC851978:LVF851978 MEY851978:MFB851978 MOU851978:MOX851978 MYQ851978:MYT851978 NIM851978:NIP851978 NSI851978:NSL851978 OCE851978:OCH851978 OMA851978:OMD851978 OVW851978:OVZ851978 PFS851978:PFV851978 PPO851978:PPR851978 PZK851978:PZN851978 QJG851978:QJJ851978 QTC851978:QTF851978 RCY851978:RDB851978 RMU851978:RMX851978 RWQ851978:RWT851978 SGM851978:SGP851978 SQI851978:SQL851978 TAE851978:TAH851978 TKA851978:TKD851978 TTW851978:TTZ851978 UDS851978:UDV851978 UNO851978:UNR851978 UXK851978:UXN851978 VHG851978:VHJ851978 VRC851978:VRF851978 WAY851978:WBB851978 WKU851978:WKX851978 WUQ851978:WUT851978 IE917514:IH917514 SA917514:SD917514 ABW917514:ABZ917514 ALS917514:ALV917514 AVO917514:AVR917514 BFK917514:BFN917514 BPG917514:BPJ917514 BZC917514:BZF917514 CIY917514:CJB917514 CSU917514:CSX917514 DCQ917514:DCT917514 DMM917514:DMP917514 DWI917514:DWL917514 EGE917514:EGH917514 EQA917514:EQD917514 EZW917514:EZZ917514 FJS917514:FJV917514 FTO917514:FTR917514 GDK917514:GDN917514 GNG917514:GNJ917514 GXC917514:GXF917514 HGY917514:HHB917514 HQU917514:HQX917514 IAQ917514:IAT917514 IKM917514:IKP917514 IUI917514:IUL917514 JEE917514:JEH917514 JOA917514:JOD917514 JXW917514:JXZ917514 KHS917514:KHV917514 KRO917514:KRR917514 LBK917514:LBN917514 LLG917514:LLJ917514 LVC917514:LVF917514 MEY917514:MFB917514 MOU917514:MOX917514 MYQ917514:MYT917514 NIM917514:NIP917514 NSI917514:NSL917514 OCE917514:OCH917514 OMA917514:OMD917514 OVW917514:OVZ917514 PFS917514:PFV917514 PPO917514:PPR917514 PZK917514:PZN917514 QJG917514:QJJ917514 QTC917514:QTF917514 RCY917514:RDB917514 RMU917514:RMX917514 RWQ917514:RWT917514 SGM917514:SGP917514 SQI917514:SQL917514 TAE917514:TAH917514 TKA917514:TKD917514 TTW917514:TTZ917514 UDS917514:UDV917514 UNO917514:UNR917514 UXK917514:UXN917514 VHG917514:VHJ917514 VRC917514:VRF917514 WAY917514:WBB917514 WKU917514:WKX917514 WUQ917514:WUT917514 AG65547:AH65550 AG131083:AH131086 AG196619:AH196622 AG262155:AH262158 AG327691:AH327694 AG393227:AH393230 AG458763:AH458766 AG524299:AH524302 AG589835:AH589838 AG655371:AH655374 AG720907:AH720910 AG786443:AH786446 AG851979:AH851982 AG917515:AH917518 AG983051:AH983054 AB983045:AE983045 AB65541:AE65541 AB131077:AE131077 AB196613:AE196613 AB262149:AE262149 AB327685:AE327685 AB393221:AE393221 AB458757:AE458757 AB524293:AE524293 AB589829:AE589829 AB655365:AE655365 AB720901:AE720901 AB786437:AE786437 AB851973:AE851973 AB917509:AE917509" xr:uid="{66B5B723-262E-47E0-A8D6-E9817CA62E30}">
      <formula1>"○"</formula1>
    </dataValidation>
    <dataValidation type="list" allowBlank="1" showInputMessage="1" showErrorMessage="1" sqref="U65547:X65547 IN65547:IQ65547 SJ65547:SM65547 ACF65547:ACI65547 AMB65547:AME65547 AVX65547:AWA65547 BFT65547:BFW65547 BPP65547:BPS65547 BZL65547:BZO65547 CJH65547:CJK65547 CTD65547:CTG65547 DCZ65547:DDC65547 DMV65547:DMY65547 DWR65547:DWU65547 EGN65547:EGQ65547 EQJ65547:EQM65547 FAF65547:FAI65547 FKB65547:FKE65547 FTX65547:FUA65547 GDT65547:GDW65547 GNP65547:GNS65547 GXL65547:GXO65547 HHH65547:HHK65547 HRD65547:HRG65547 IAZ65547:IBC65547 IKV65547:IKY65547 IUR65547:IUU65547 JEN65547:JEQ65547 JOJ65547:JOM65547 JYF65547:JYI65547 KIB65547:KIE65547 KRX65547:KSA65547 LBT65547:LBW65547 LLP65547:LLS65547 LVL65547:LVO65547 MFH65547:MFK65547 MPD65547:MPG65547 MYZ65547:MZC65547 NIV65547:NIY65547 NSR65547:NSU65547 OCN65547:OCQ65547 OMJ65547:OMM65547 OWF65547:OWI65547 PGB65547:PGE65547 PPX65547:PQA65547 PZT65547:PZW65547 QJP65547:QJS65547 QTL65547:QTO65547 RDH65547:RDK65547 RND65547:RNG65547 RWZ65547:RXC65547 SGV65547:SGY65547 SQR65547:SQU65547 TAN65547:TAQ65547 TKJ65547:TKM65547 TUF65547:TUI65547 UEB65547:UEE65547 UNX65547:UOA65547 UXT65547:UXW65547 VHP65547:VHS65547 VRL65547:VRO65547 WBH65547:WBK65547 WLD65547:WLG65547 WUZ65547:WVC65547 U131083:X131083 IN131083:IQ131083 SJ131083:SM131083 ACF131083:ACI131083 AMB131083:AME131083 AVX131083:AWA131083 BFT131083:BFW131083 BPP131083:BPS131083 BZL131083:BZO131083 CJH131083:CJK131083 CTD131083:CTG131083 DCZ131083:DDC131083 DMV131083:DMY131083 DWR131083:DWU131083 EGN131083:EGQ131083 EQJ131083:EQM131083 FAF131083:FAI131083 FKB131083:FKE131083 FTX131083:FUA131083 GDT131083:GDW131083 GNP131083:GNS131083 GXL131083:GXO131083 HHH131083:HHK131083 HRD131083:HRG131083 IAZ131083:IBC131083 IKV131083:IKY131083 IUR131083:IUU131083 JEN131083:JEQ131083 JOJ131083:JOM131083 JYF131083:JYI131083 KIB131083:KIE131083 KRX131083:KSA131083 LBT131083:LBW131083 LLP131083:LLS131083 LVL131083:LVO131083 MFH131083:MFK131083 MPD131083:MPG131083 MYZ131083:MZC131083 NIV131083:NIY131083 NSR131083:NSU131083 OCN131083:OCQ131083 OMJ131083:OMM131083 OWF131083:OWI131083 PGB131083:PGE131083 PPX131083:PQA131083 PZT131083:PZW131083 QJP131083:QJS131083 QTL131083:QTO131083 RDH131083:RDK131083 RND131083:RNG131083 RWZ131083:RXC131083 SGV131083:SGY131083 SQR131083:SQU131083 TAN131083:TAQ131083 TKJ131083:TKM131083 TUF131083:TUI131083 UEB131083:UEE131083 UNX131083:UOA131083 UXT131083:UXW131083 VHP131083:VHS131083 VRL131083:VRO131083 WBH131083:WBK131083 WLD131083:WLG131083 WUZ131083:WVC131083 U196619:X196619 IN196619:IQ196619 SJ196619:SM196619 ACF196619:ACI196619 AMB196619:AME196619 AVX196619:AWA196619 BFT196619:BFW196619 BPP196619:BPS196619 BZL196619:BZO196619 CJH196619:CJK196619 CTD196619:CTG196619 DCZ196619:DDC196619 DMV196619:DMY196619 DWR196619:DWU196619 EGN196619:EGQ196619 EQJ196619:EQM196619 FAF196619:FAI196619 FKB196619:FKE196619 FTX196619:FUA196619 GDT196619:GDW196619 GNP196619:GNS196619 GXL196619:GXO196619 HHH196619:HHK196619 HRD196619:HRG196619 IAZ196619:IBC196619 IKV196619:IKY196619 IUR196619:IUU196619 JEN196619:JEQ196619 JOJ196619:JOM196619 JYF196619:JYI196619 KIB196619:KIE196619 KRX196619:KSA196619 LBT196619:LBW196619 LLP196619:LLS196619 LVL196619:LVO196619 MFH196619:MFK196619 MPD196619:MPG196619 MYZ196619:MZC196619 NIV196619:NIY196619 NSR196619:NSU196619 OCN196619:OCQ196619 OMJ196619:OMM196619 OWF196619:OWI196619 PGB196619:PGE196619 PPX196619:PQA196619 PZT196619:PZW196619 QJP196619:QJS196619 QTL196619:QTO196619 RDH196619:RDK196619 RND196619:RNG196619 RWZ196619:RXC196619 SGV196619:SGY196619 SQR196619:SQU196619 TAN196619:TAQ196619 TKJ196619:TKM196619 TUF196619:TUI196619 UEB196619:UEE196619 UNX196619:UOA196619 UXT196619:UXW196619 VHP196619:VHS196619 VRL196619:VRO196619 WBH196619:WBK196619 WLD196619:WLG196619 WUZ196619:WVC196619 U262155:X262155 IN262155:IQ262155 SJ262155:SM262155 ACF262155:ACI262155 AMB262155:AME262155 AVX262155:AWA262155 BFT262155:BFW262155 BPP262155:BPS262155 BZL262155:BZO262155 CJH262155:CJK262155 CTD262155:CTG262155 DCZ262155:DDC262155 DMV262155:DMY262155 DWR262155:DWU262155 EGN262155:EGQ262155 EQJ262155:EQM262155 FAF262155:FAI262155 FKB262155:FKE262155 FTX262155:FUA262155 GDT262155:GDW262155 GNP262155:GNS262155 GXL262155:GXO262155 HHH262155:HHK262155 HRD262155:HRG262155 IAZ262155:IBC262155 IKV262155:IKY262155 IUR262155:IUU262155 JEN262155:JEQ262155 JOJ262155:JOM262155 JYF262155:JYI262155 KIB262155:KIE262155 KRX262155:KSA262155 LBT262155:LBW262155 LLP262155:LLS262155 LVL262155:LVO262155 MFH262155:MFK262155 MPD262155:MPG262155 MYZ262155:MZC262155 NIV262155:NIY262155 NSR262155:NSU262155 OCN262155:OCQ262155 OMJ262155:OMM262155 OWF262155:OWI262155 PGB262155:PGE262155 PPX262155:PQA262155 PZT262155:PZW262155 QJP262155:QJS262155 QTL262155:QTO262155 RDH262155:RDK262155 RND262155:RNG262155 RWZ262155:RXC262155 SGV262155:SGY262155 SQR262155:SQU262155 TAN262155:TAQ262155 TKJ262155:TKM262155 TUF262155:TUI262155 UEB262155:UEE262155 UNX262155:UOA262155 UXT262155:UXW262155 VHP262155:VHS262155 VRL262155:VRO262155 WBH262155:WBK262155 WLD262155:WLG262155 WUZ262155:WVC262155 U327691:X327691 IN327691:IQ327691 SJ327691:SM327691 ACF327691:ACI327691 AMB327691:AME327691 AVX327691:AWA327691 BFT327691:BFW327691 BPP327691:BPS327691 BZL327691:BZO327691 CJH327691:CJK327691 CTD327691:CTG327691 DCZ327691:DDC327691 DMV327691:DMY327691 DWR327691:DWU327691 EGN327691:EGQ327691 EQJ327691:EQM327691 FAF327691:FAI327691 FKB327691:FKE327691 FTX327691:FUA327691 GDT327691:GDW327691 GNP327691:GNS327691 GXL327691:GXO327691 HHH327691:HHK327691 HRD327691:HRG327691 IAZ327691:IBC327691 IKV327691:IKY327691 IUR327691:IUU327691 JEN327691:JEQ327691 JOJ327691:JOM327691 JYF327691:JYI327691 KIB327691:KIE327691 KRX327691:KSA327691 LBT327691:LBW327691 LLP327691:LLS327691 LVL327691:LVO327691 MFH327691:MFK327691 MPD327691:MPG327691 MYZ327691:MZC327691 NIV327691:NIY327691 NSR327691:NSU327691 OCN327691:OCQ327691 OMJ327691:OMM327691 OWF327691:OWI327691 PGB327691:PGE327691 PPX327691:PQA327691 PZT327691:PZW327691 QJP327691:QJS327691 QTL327691:QTO327691 RDH327691:RDK327691 RND327691:RNG327691 RWZ327691:RXC327691 SGV327691:SGY327691 SQR327691:SQU327691 TAN327691:TAQ327691 TKJ327691:TKM327691 TUF327691:TUI327691 UEB327691:UEE327691 UNX327691:UOA327691 UXT327691:UXW327691 VHP327691:VHS327691 VRL327691:VRO327691 WBH327691:WBK327691 WLD327691:WLG327691 WUZ327691:WVC327691 U393227:X393227 IN393227:IQ393227 SJ393227:SM393227 ACF393227:ACI393227 AMB393227:AME393227 AVX393227:AWA393227 BFT393227:BFW393227 BPP393227:BPS393227 BZL393227:BZO393227 CJH393227:CJK393227 CTD393227:CTG393227 DCZ393227:DDC393227 DMV393227:DMY393227 DWR393227:DWU393227 EGN393227:EGQ393227 EQJ393227:EQM393227 FAF393227:FAI393227 FKB393227:FKE393227 FTX393227:FUA393227 GDT393227:GDW393227 GNP393227:GNS393227 GXL393227:GXO393227 HHH393227:HHK393227 HRD393227:HRG393227 IAZ393227:IBC393227 IKV393227:IKY393227 IUR393227:IUU393227 JEN393227:JEQ393227 JOJ393227:JOM393227 JYF393227:JYI393227 KIB393227:KIE393227 KRX393227:KSA393227 LBT393227:LBW393227 LLP393227:LLS393227 LVL393227:LVO393227 MFH393227:MFK393227 MPD393227:MPG393227 MYZ393227:MZC393227 NIV393227:NIY393227 NSR393227:NSU393227 OCN393227:OCQ393227 OMJ393227:OMM393227 OWF393227:OWI393227 PGB393227:PGE393227 PPX393227:PQA393227 PZT393227:PZW393227 QJP393227:QJS393227 QTL393227:QTO393227 RDH393227:RDK393227 RND393227:RNG393227 RWZ393227:RXC393227 SGV393227:SGY393227 SQR393227:SQU393227 TAN393227:TAQ393227 TKJ393227:TKM393227 TUF393227:TUI393227 UEB393227:UEE393227 UNX393227:UOA393227 UXT393227:UXW393227 VHP393227:VHS393227 VRL393227:VRO393227 WBH393227:WBK393227 WLD393227:WLG393227 WUZ393227:WVC393227 U458763:X458763 IN458763:IQ458763 SJ458763:SM458763 ACF458763:ACI458763 AMB458763:AME458763 AVX458763:AWA458763 BFT458763:BFW458763 BPP458763:BPS458763 BZL458763:BZO458763 CJH458763:CJK458763 CTD458763:CTG458763 DCZ458763:DDC458763 DMV458763:DMY458763 DWR458763:DWU458763 EGN458763:EGQ458763 EQJ458763:EQM458763 FAF458763:FAI458763 FKB458763:FKE458763 FTX458763:FUA458763 GDT458763:GDW458763 GNP458763:GNS458763 GXL458763:GXO458763 HHH458763:HHK458763 HRD458763:HRG458763 IAZ458763:IBC458763 IKV458763:IKY458763 IUR458763:IUU458763 JEN458763:JEQ458763 JOJ458763:JOM458763 JYF458763:JYI458763 KIB458763:KIE458763 KRX458763:KSA458763 LBT458763:LBW458763 LLP458763:LLS458763 LVL458763:LVO458763 MFH458763:MFK458763 MPD458763:MPG458763 MYZ458763:MZC458763 NIV458763:NIY458763 NSR458763:NSU458763 OCN458763:OCQ458763 OMJ458763:OMM458763 OWF458763:OWI458763 PGB458763:PGE458763 PPX458763:PQA458763 PZT458763:PZW458763 QJP458763:QJS458763 QTL458763:QTO458763 RDH458763:RDK458763 RND458763:RNG458763 RWZ458763:RXC458763 SGV458763:SGY458763 SQR458763:SQU458763 TAN458763:TAQ458763 TKJ458763:TKM458763 TUF458763:TUI458763 UEB458763:UEE458763 UNX458763:UOA458763 UXT458763:UXW458763 VHP458763:VHS458763 VRL458763:VRO458763 WBH458763:WBK458763 WLD458763:WLG458763 WUZ458763:WVC458763 U524299:X524299 IN524299:IQ524299 SJ524299:SM524299 ACF524299:ACI524299 AMB524299:AME524299 AVX524299:AWA524299 BFT524299:BFW524299 BPP524299:BPS524299 BZL524299:BZO524299 CJH524299:CJK524299 CTD524299:CTG524299 DCZ524299:DDC524299 DMV524299:DMY524299 DWR524299:DWU524299 EGN524299:EGQ524299 EQJ524299:EQM524299 FAF524299:FAI524299 FKB524299:FKE524299 FTX524299:FUA524299 GDT524299:GDW524299 GNP524299:GNS524299 GXL524299:GXO524299 HHH524299:HHK524299 HRD524299:HRG524299 IAZ524299:IBC524299 IKV524299:IKY524299 IUR524299:IUU524299 JEN524299:JEQ524299 JOJ524299:JOM524299 JYF524299:JYI524299 KIB524299:KIE524299 KRX524299:KSA524299 LBT524299:LBW524299 LLP524299:LLS524299 LVL524299:LVO524299 MFH524299:MFK524299 MPD524299:MPG524299 MYZ524299:MZC524299 NIV524299:NIY524299 NSR524299:NSU524299 OCN524299:OCQ524299 OMJ524299:OMM524299 OWF524299:OWI524299 PGB524299:PGE524299 PPX524299:PQA524299 PZT524299:PZW524299 QJP524299:QJS524299 QTL524299:QTO524299 RDH524299:RDK524299 RND524299:RNG524299 RWZ524299:RXC524299 SGV524299:SGY524299 SQR524299:SQU524299 TAN524299:TAQ524299 TKJ524299:TKM524299 TUF524299:TUI524299 UEB524299:UEE524299 UNX524299:UOA524299 UXT524299:UXW524299 VHP524299:VHS524299 VRL524299:VRO524299 WBH524299:WBK524299 WLD524299:WLG524299 WUZ524299:WVC524299 U589835:X589835 IN589835:IQ589835 SJ589835:SM589835 ACF589835:ACI589835 AMB589835:AME589835 AVX589835:AWA589835 BFT589835:BFW589835 BPP589835:BPS589835 BZL589835:BZO589835 CJH589835:CJK589835 CTD589835:CTG589835 DCZ589835:DDC589835 DMV589835:DMY589835 DWR589835:DWU589835 EGN589835:EGQ589835 EQJ589835:EQM589835 FAF589835:FAI589835 FKB589835:FKE589835 FTX589835:FUA589835 GDT589835:GDW589835 GNP589835:GNS589835 GXL589835:GXO589835 HHH589835:HHK589835 HRD589835:HRG589835 IAZ589835:IBC589835 IKV589835:IKY589835 IUR589835:IUU589835 JEN589835:JEQ589835 JOJ589835:JOM589835 JYF589835:JYI589835 KIB589835:KIE589835 KRX589835:KSA589835 LBT589835:LBW589835 LLP589835:LLS589835 LVL589835:LVO589835 MFH589835:MFK589835 MPD589835:MPG589835 MYZ589835:MZC589835 NIV589835:NIY589835 NSR589835:NSU589835 OCN589835:OCQ589835 OMJ589835:OMM589835 OWF589835:OWI589835 PGB589835:PGE589835 PPX589835:PQA589835 PZT589835:PZW589835 QJP589835:QJS589835 QTL589835:QTO589835 RDH589835:RDK589835 RND589835:RNG589835 RWZ589835:RXC589835 SGV589835:SGY589835 SQR589835:SQU589835 TAN589835:TAQ589835 TKJ589835:TKM589835 TUF589835:TUI589835 UEB589835:UEE589835 UNX589835:UOA589835 UXT589835:UXW589835 VHP589835:VHS589835 VRL589835:VRO589835 WBH589835:WBK589835 WLD589835:WLG589835 WUZ589835:WVC589835 U655371:X655371 IN655371:IQ655371 SJ655371:SM655371 ACF655371:ACI655371 AMB655371:AME655371 AVX655371:AWA655371 BFT655371:BFW655371 BPP655371:BPS655371 BZL655371:BZO655371 CJH655371:CJK655371 CTD655371:CTG655371 DCZ655371:DDC655371 DMV655371:DMY655371 DWR655371:DWU655371 EGN655371:EGQ655371 EQJ655371:EQM655371 FAF655371:FAI655371 FKB655371:FKE655371 FTX655371:FUA655371 GDT655371:GDW655371 GNP655371:GNS655371 GXL655371:GXO655371 HHH655371:HHK655371 HRD655371:HRG655371 IAZ655371:IBC655371 IKV655371:IKY655371 IUR655371:IUU655371 JEN655371:JEQ655371 JOJ655371:JOM655371 JYF655371:JYI655371 KIB655371:KIE655371 KRX655371:KSA655371 LBT655371:LBW655371 LLP655371:LLS655371 LVL655371:LVO655371 MFH655371:MFK655371 MPD655371:MPG655371 MYZ655371:MZC655371 NIV655371:NIY655371 NSR655371:NSU655371 OCN655371:OCQ655371 OMJ655371:OMM655371 OWF655371:OWI655371 PGB655371:PGE655371 PPX655371:PQA655371 PZT655371:PZW655371 QJP655371:QJS655371 QTL655371:QTO655371 RDH655371:RDK655371 RND655371:RNG655371 RWZ655371:RXC655371 SGV655371:SGY655371 SQR655371:SQU655371 TAN655371:TAQ655371 TKJ655371:TKM655371 TUF655371:TUI655371 UEB655371:UEE655371 UNX655371:UOA655371 UXT655371:UXW655371 VHP655371:VHS655371 VRL655371:VRO655371 WBH655371:WBK655371 WLD655371:WLG655371 WUZ655371:WVC655371 U720907:X720907 IN720907:IQ720907 SJ720907:SM720907 ACF720907:ACI720907 AMB720907:AME720907 AVX720907:AWA720907 BFT720907:BFW720907 BPP720907:BPS720907 BZL720907:BZO720907 CJH720907:CJK720907 CTD720907:CTG720907 DCZ720907:DDC720907 DMV720907:DMY720907 DWR720907:DWU720907 EGN720907:EGQ720907 EQJ720907:EQM720907 FAF720907:FAI720907 FKB720907:FKE720907 FTX720907:FUA720907 GDT720907:GDW720907 GNP720907:GNS720907 GXL720907:GXO720907 HHH720907:HHK720907 HRD720907:HRG720907 IAZ720907:IBC720907 IKV720907:IKY720907 IUR720907:IUU720907 JEN720907:JEQ720907 JOJ720907:JOM720907 JYF720907:JYI720907 KIB720907:KIE720907 KRX720907:KSA720907 LBT720907:LBW720907 LLP720907:LLS720907 LVL720907:LVO720907 MFH720907:MFK720907 MPD720907:MPG720907 MYZ720907:MZC720907 NIV720907:NIY720907 NSR720907:NSU720907 OCN720907:OCQ720907 OMJ720907:OMM720907 OWF720907:OWI720907 PGB720907:PGE720907 PPX720907:PQA720907 PZT720907:PZW720907 QJP720907:QJS720907 QTL720907:QTO720907 RDH720907:RDK720907 RND720907:RNG720907 RWZ720907:RXC720907 SGV720907:SGY720907 SQR720907:SQU720907 TAN720907:TAQ720907 TKJ720907:TKM720907 TUF720907:TUI720907 UEB720907:UEE720907 UNX720907:UOA720907 UXT720907:UXW720907 VHP720907:VHS720907 VRL720907:VRO720907 WBH720907:WBK720907 WLD720907:WLG720907 WUZ720907:WVC720907 U786443:X786443 IN786443:IQ786443 SJ786443:SM786443 ACF786443:ACI786443 AMB786443:AME786443 AVX786443:AWA786443 BFT786443:BFW786443 BPP786443:BPS786443 BZL786443:BZO786443 CJH786443:CJK786443 CTD786443:CTG786443 DCZ786443:DDC786443 DMV786443:DMY786443 DWR786443:DWU786443 EGN786443:EGQ786443 EQJ786443:EQM786443 FAF786443:FAI786443 FKB786443:FKE786443 FTX786443:FUA786443 GDT786443:GDW786443 GNP786443:GNS786443 GXL786443:GXO786443 HHH786443:HHK786443 HRD786443:HRG786443 IAZ786443:IBC786443 IKV786443:IKY786443 IUR786443:IUU786443 JEN786443:JEQ786443 JOJ786443:JOM786443 JYF786443:JYI786443 KIB786443:KIE786443 KRX786443:KSA786443 LBT786443:LBW786443 LLP786443:LLS786443 LVL786443:LVO786443 MFH786443:MFK786443 MPD786443:MPG786443 MYZ786443:MZC786443 NIV786443:NIY786443 NSR786443:NSU786443 OCN786443:OCQ786443 OMJ786443:OMM786443 OWF786443:OWI786443 PGB786443:PGE786443 PPX786443:PQA786443 PZT786443:PZW786443 QJP786443:QJS786443 QTL786443:QTO786443 RDH786443:RDK786443 RND786443:RNG786443 RWZ786443:RXC786443 SGV786443:SGY786443 SQR786443:SQU786443 TAN786443:TAQ786443 TKJ786443:TKM786443 TUF786443:TUI786443 UEB786443:UEE786443 UNX786443:UOA786443 UXT786443:UXW786443 VHP786443:VHS786443 VRL786443:VRO786443 WBH786443:WBK786443 WLD786443:WLG786443 WUZ786443:WVC786443 U851979:X851979 IN851979:IQ851979 SJ851979:SM851979 ACF851979:ACI851979 AMB851979:AME851979 AVX851979:AWA851979 BFT851979:BFW851979 BPP851979:BPS851979 BZL851979:BZO851979 CJH851979:CJK851979 CTD851979:CTG851979 DCZ851979:DDC851979 DMV851979:DMY851979 DWR851979:DWU851979 EGN851979:EGQ851979 EQJ851979:EQM851979 FAF851979:FAI851979 FKB851979:FKE851979 FTX851979:FUA851979 GDT851979:GDW851979 GNP851979:GNS851979 GXL851979:GXO851979 HHH851979:HHK851979 HRD851979:HRG851979 IAZ851979:IBC851979 IKV851979:IKY851979 IUR851979:IUU851979 JEN851979:JEQ851979 JOJ851979:JOM851979 JYF851979:JYI851979 KIB851979:KIE851979 KRX851979:KSA851979 LBT851979:LBW851979 LLP851979:LLS851979 LVL851979:LVO851979 MFH851979:MFK851979 MPD851979:MPG851979 MYZ851979:MZC851979 NIV851979:NIY851979 NSR851979:NSU851979 OCN851979:OCQ851979 OMJ851979:OMM851979 OWF851979:OWI851979 PGB851979:PGE851979 PPX851979:PQA851979 PZT851979:PZW851979 QJP851979:QJS851979 QTL851979:QTO851979 RDH851979:RDK851979 RND851979:RNG851979 RWZ851979:RXC851979 SGV851979:SGY851979 SQR851979:SQU851979 TAN851979:TAQ851979 TKJ851979:TKM851979 TUF851979:TUI851979 UEB851979:UEE851979 UNX851979:UOA851979 UXT851979:UXW851979 VHP851979:VHS851979 VRL851979:VRO851979 WBH851979:WBK851979 WLD851979:WLG851979 WUZ851979:WVC851979 U917515:X917515 IN917515:IQ917515 SJ917515:SM917515 ACF917515:ACI917515 AMB917515:AME917515 AVX917515:AWA917515 BFT917515:BFW917515 BPP917515:BPS917515 BZL917515:BZO917515 CJH917515:CJK917515 CTD917515:CTG917515 DCZ917515:DDC917515 DMV917515:DMY917515 DWR917515:DWU917515 EGN917515:EGQ917515 EQJ917515:EQM917515 FAF917515:FAI917515 FKB917515:FKE917515 FTX917515:FUA917515 GDT917515:GDW917515 GNP917515:GNS917515 GXL917515:GXO917515 HHH917515:HHK917515 HRD917515:HRG917515 IAZ917515:IBC917515 IKV917515:IKY917515 IUR917515:IUU917515 JEN917515:JEQ917515 JOJ917515:JOM917515 JYF917515:JYI917515 KIB917515:KIE917515 KRX917515:KSA917515 LBT917515:LBW917515 LLP917515:LLS917515 LVL917515:LVO917515 MFH917515:MFK917515 MPD917515:MPG917515 MYZ917515:MZC917515 NIV917515:NIY917515 NSR917515:NSU917515 OCN917515:OCQ917515 OMJ917515:OMM917515 OWF917515:OWI917515 PGB917515:PGE917515 PPX917515:PQA917515 PZT917515:PZW917515 QJP917515:QJS917515 QTL917515:QTO917515 RDH917515:RDK917515 RND917515:RNG917515 RWZ917515:RXC917515 SGV917515:SGY917515 SQR917515:SQU917515 TAN917515:TAQ917515 TKJ917515:TKM917515 TUF917515:TUI917515 UEB917515:UEE917515 UNX917515:UOA917515 UXT917515:UXW917515 VHP917515:VHS917515 VRL917515:VRO917515 WBH917515:WBK917515 WLD917515:WLG917515 WUZ917515:WVC917515 U983051:X983051 IN983051:IQ983051 SJ983051:SM983051 ACF983051:ACI983051 AMB983051:AME983051 AVX983051:AWA983051 BFT983051:BFW983051 BPP983051:BPS983051 BZL983051:BZO983051 CJH983051:CJK983051 CTD983051:CTG983051 DCZ983051:DDC983051 DMV983051:DMY983051 DWR983051:DWU983051 EGN983051:EGQ983051 EQJ983051:EQM983051 FAF983051:FAI983051 FKB983051:FKE983051 FTX983051:FUA983051 GDT983051:GDW983051 GNP983051:GNS983051 GXL983051:GXO983051 HHH983051:HHK983051 HRD983051:HRG983051 IAZ983051:IBC983051 IKV983051:IKY983051 IUR983051:IUU983051 JEN983051:JEQ983051 JOJ983051:JOM983051 JYF983051:JYI983051 KIB983051:KIE983051 KRX983051:KSA983051 LBT983051:LBW983051 LLP983051:LLS983051 LVL983051:LVO983051 MFH983051:MFK983051 MPD983051:MPG983051 MYZ983051:MZC983051 NIV983051:NIY983051 NSR983051:NSU983051 OCN983051:OCQ983051 OMJ983051:OMM983051 OWF983051:OWI983051 PGB983051:PGE983051 PPX983051:PQA983051 PZT983051:PZW983051 QJP983051:QJS983051 QTL983051:QTO983051 RDH983051:RDK983051 RND983051:RNG983051 RWZ983051:RXC983051 SGV983051:SGY983051 SQR983051:SQU983051 TAN983051:TAQ983051 TKJ983051:TKM983051 TUF983051:TUI983051 UEB983051:UEE983051 UNX983051:UOA983051 UXT983051:UXW983051 VHP983051:VHS983051 VRL983051:VRO983051 WBH983051:WBK983051 WLD983051:WLG983051 WUZ983051:WVC983051 II983050:IL983050 SE983050:SH983050 ACA983050:ACD983050 ALW983050:ALZ983050 AVS983050:AVV983050 BFO983050:BFR983050 BPK983050:BPN983050 BZG983050:BZJ983050 CJC983050:CJF983050 CSY983050:CTB983050 DCU983050:DCX983050 DMQ983050:DMT983050 DWM983050:DWP983050 EGI983050:EGL983050 EQE983050:EQH983050 FAA983050:FAD983050 FJW983050:FJZ983050 FTS983050:FTV983050 GDO983050:GDR983050 GNK983050:GNN983050 GXG983050:GXJ983050 HHC983050:HHF983050 HQY983050:HRB983050 IAU983050:IAX983050 IKQ983050:IKT983050 IUM983050:IUP983050 JEI983050:JEL983050 JOE983050:JOH983050 JYA983050:JYD983050 KHW983050:KHZ983050 KRS983050:KRV983050 LBO983050:LBR983050 LLK983050:LLN983050 LVG983050:LVJ983050 MFC983050:MFF983050 MOY983050:MPB983050 MYU983050:MYX983050 NIQ983050:NIT983050 NSM983050:NSP983050 OCI983050:OCL983050 OME983050:OMH983050 OWA983050:OWD983050 PFW983050:PFZ983050 PPS983050:PPV983050 PZO983050:PZR983050 QJK983050:QJN983050 QTG983050:QTJ983050 RDC983050:RDF983050 RMY983050:RNB983050 RWU983050:RWX983050 SGQ983050:SGT983050 SQM983050:SQP983050 TAI983050:TAL983050 TKE983050:TKH983050 TUA983050:TUD983050 UDW983050:UDZ983050 UNS983050:UNV983050 UXO983050:UXR983050 VHK983050:VHN983050 VRG983050:VRJ983050 WBC983050:WBF983050 WKY983050:WLB983050 WUU983050:WUX983050 II65546:IL65546 SE65546:SH65546 ACA65546:ACD65546 ALW65546:ALZ65546 AVS65546:AVV65546 BFO65546:BFR65546 BPK65546:BPN65546 BZG65546:BZJ65546 CJC65546:CJF65546 CSY65546:CTB65546 DCU65546:DCX65546 DMQ65546:DMT65546 DWM65546:DWP65546 EGI65546:EGL65546 EQE65546:EQH65546 FAA65546:FAD65546 FJW65546:FJZ65546 FTS65546:FTV65546 GDO65546:GDR65546 GNK65546:GNN65546 GXG65546:GXJ65546 HHC65546:HHF65546 HQY65546:HRB65546 IAU65546:IAX65546 IKQ65546:IKT65546 IUM65546:IUP65546 JEI65546:JEL65546 JOE65546:JOH65546 JYA65546:JYD65546 KHW65546:KHZ65546 KRS65546:KRV65546 LBO65546:LBR65546 LLK65546:LLN65546 LVG65546:LVJ65546 MFC65546:MFF65546 MOY65546:MPB65546 MYU65546:MYX65546 NIQ65546:NIT65546 NSM65546:NSP65546 OCI65546:OCL65546 OME65546:OMH65546 OWA65546:OWD65546 PFW65546:PFZ65546 PPS65546:PPV65546 PZO65546:PZR65546 QJK65546:QJN65546 QTG65546:QTJ65546 RDC65546:RDF65546 RMY65546:RNB65546 RWU65546:RWX65546 SGQ65546:SGT65546 SQM65546:SQP65546 TAI65546:TAL65546 TKE65546:TKH65546 TUA65546:TUD65546 UDW65546:UDZ65546 UNS65546:UNV65546 UXO65546:UXR65546 VHK65546:VHN65546 VRG65546:VRJ65546 WBC65546:WBF65546 WKY65546:WLB65546 WUU65546:WUX65546 II131082:IL131082 SE131082:SH131082 ACA131082:ACD131082 ALW131082:ALZ131082 AVS131082:AVV131082 BFO131082:BFR131082 BPK131082:BPN131082 BZG131082:BZJ131082 CJC131082:CJF131082 CSY131082:CTB131082 DCU131082:DCX131082 DMQ131082:DMT131082 DWM131082:DWP131082 EGI131082:EGL131082 EQE131082:EQH131082 FAA131082:FAD131082 FJW131082:FJZ131082 FTS131082:FTV131082 GDO131082:GDR131082 GNK131082:GNN131082 GXG131082:GXJ131082 HHC131082:HHF131082 HQY131082:HRB131082 IAU131082:IAX131082 IKQ131082:IKT131082 IUM131082:IUP131082 JEI131082:JEL131082 JOE131082:JOH131082 JYA131082:JYD131082 KHW131082:KHZ131082 KRS131082:KRV131082 LBO131082:LBR131082 LLK131082:LLN131082 LVG131082:LVJ131082 MFC131082:MFF131082 MOY131082:MPB131082 MYU131082:MYX131082 NIQ131082:NIT131082 NSM131082:NSP131082 OCI131082:OCL131082 OME131082:OMH131082 OWA131082:OWD131082 PFW131082:PFZ131082 PPS131082:PPV131082 PZO131082:PZR131082 QJK131082:QJN131082 QTG131082:QTJ131082 RDC131082:RDF131082 RMY131082:RNB131082 RWU131082:RWX131082 SGQ131082:SGT131082 SQM131082:SQP131082 TAI131082:TAL131082 TKE131082:TKH131082 TUA131082:TUD131082 UDW131082:UDZ131082 UNS131082:UNV131082 UXO131082:UXR131082 VHK131082:VHN131082 VRG131082:VRJ131082 WBC131082:WBF131082 WKY131082:WLB131082 WUU131082:WUX131082 II196618:IL196618 SE196618:SH196618 ACA196618:ACD196618 ALW196618:ALZ196618 AVS196618:AVV196618 BFO196618:BFR196618 BPK196618:BPN196618 BZG196618:BZJ196618 CJC196618:CJF196618 CSY196618:CTB196618 DCU196618:DCX196618 DMQ196618:DMT196618 DWM196618:DWP196618 EGI196618:EGL196618 EQE196618:EQH196618 FAA196618:FAD196618 FJW196618:FJZ196618 FTS196618:FTV196618 GDO196618:GDR196618 GNK196618:GNN196618 GXG196618:GXJ196618 HHC196618:HHF196618 HQY196618:HRB196618 IAU196618:IAX196618 IKQ196618:IKT196618 IUM196618:IUP196618 JEI196618:JEL196618 JOE196618:JOH196618 JYA196618:JYD196618 KHW196618:KHZ196618 KRS196618:KRV196618 LBO196618:LBR196618 LLK196618:LLN196618 LVG196618:LVJ196618 MFC196618:MFF196618 MOY196618:MPB196618 MYU196618:MYX196618 NIQ196618:NIT196618 NSM196618:NSP196618 OCI196618:OCL196618 OME196618:OMH196618 OWA196618:OWD196618 PFW196618:PFZ196618 PPS196618:PPV196618 PZO196618:PZR196618 QJK196618:QJN196618 QTG196618:QTJ196618 RDC196618:RDF196618 RMY196618:RNB196618 RWU196618:RWX196618 SGQ196618:SGT196618 SQM196618:SQP196618 TAI196618:TAL196618 TKE196618:TKH196618 TUA196618:TUD196618 UDW196618:UDZ196618 UNS196618:UNV196618 UXO196618:UXR196618 VHK196618:VHN196618 VRG196618:VRJ196618 WBC196618:WBF196618 WKY196618:WLB196618 WUU196618:WUX196618 II262154:IL262154 SE262154:SH262154 ACA262154:ACD262154 ALW262154:ALZ262154 AVS262154:AVV262154 BFO262154:BFR262154 BPK262154:BPN262154 BZG262154:BZJ262154 CJC262154:CJF262154 CSY262154:CTB262154 DCU262154:DCX262154 DMQ262154:DMT262154 DWM262154:DWP262154 EGI262154:EGL262154 EQE262154:EQH262154 FAA262154:FAD262154 FJW262154:FJZ262154 FTS262154:FTV262154 GDO262154:GDR262154 GNK262154:GNN262154 GXG262154:GXJ262154 HHC262154:HHF262154 HQY262154:HRB262154 IAU262154:IAX262154 IKQ262154:IKT262154 IUM262154:IUP262154 JEI262154:JEL262154 JOE262154:JOH262154 JYA262154:JYD262154 KHW262154:KHZ262154 KRS262154:KRV262154 LBO262154:LBR262154 LLK262154:LLN262154 LVG262154:LVJ262154 MFC262154:MFF262154 MOY262154:MPB262154 MYU262154:MYX262154 NIQ262154:NIT262154 NSM262154:NSP262154 OCI262154:OCL262154 OME262154:OMH262154 OWA262154:OWD262154 PFW262154:PFZ262154 PPS262154:PPV262154 PZO262154:PZR262154 QJK262154:QJN262154 QTG262154:QTJ262154 RDC262154:RDF262154 RMY262154:RNB262154 RWU262154:RWX262154 SGQ262154:SGT262154 SQM262154:SQP262154 TAI262154:TAL262154 TKE262154:TKH262154 TUA262154:TUD262154 UDW262154:UDZ262154 UNS262154:UNV262154 UXO262154:UXR262154 VHK262154:VHN262154 VRG262154:VRJ262154 WBC262154:WBF262154 WKY262154:WLB262154 WUU262154:WUX262154 II327690:IL327690 SE327690:SH327690 ACA327690:ACD327690 ALW327690:ALZ327690 AVS327690:AVV327690 BFO327690:BFR327690 BPK327690:BPN327690 BZG327690:BZJ327690 CJC327690:CJF327690 CSY327690:CTB327690 DCU327690:DCX327690 DMQ327690:DMT327690 DWM327690:DWP327690 EGI327690:EGL327690 EQE327690:EQH327690 FAA327690:FAD327690 FJW327690:FJZ327690 FTS327690:FTV327690 GDO327690:GDR327690 GNK327690:GNN327690 GXG327690:GXJ327690 HHC327690:HHF327690 HQY327690:HRB327690 IAU327690:IAX327690 IKQ327690:IKT327690 IUM327690:IUP327690 JEI327690:JEL327690 JOE327690:JOH327690 JYA327690:JYD327690 KHW327690:KHZ327690 KRS327690:KRV327690 LBO327690:LBR327690 LLK327690:LLN327690 LVG327690:LVJ327690 MFC327690:MFF327690 MOY327690:MPB327690 MYU327690:MYX327690 NIQ327690:NIT327690 NSM327690:NSP327690 OCI327690:OCL327690 OME327690:OMH327690 OWA327690:OWD327690 PFW327690:PFZ327690 PPS327690:PPV327690 PZO327690:PZR327690 QJK327690:QJN327690 QTG327690:QTJ327690 RDC327690:RDF327690 RMY327690:RNB327690 RWU327690:RWX327690 SGQ327690:SGT327690 SQM327690:SQP327690 TAI327690:TAL327690 TKE327690:TKH327690 TUA327690:TUD327690 UDW327690:UDZ327690 UNS327690:UNV327690 UXO327690:UXR327690 VHK327690:VHN327690 VRG327690:VRJ327690 WBC327690:WBF327690 WKY327690:WLB327690 WUU327690:WUX327690 II393226:IL393226 SE393226:SH393226 ACA393226:ACD393226 ALW393226:ALZ393226 AVS393226:AVV393226 BFO393226:BFR393226 BPK393226:BPN393226 BZG393226:BZJ393226 CJC393226:CJF393226 CSY393226:CTB393226 DCU393226:DCX393226 DMQ393226:DMT393226 DWM393226:DWP393226 EGI393226:EGL393226 EQE393226:EQH393226 FAA393226:FAD393226 FJW393226:FJZ393226 FTS393226:FTV393226 GDO393226:GDR393226 GNK393226:GNN393226 GXG393226:GXJ393226 HHC393226:HHF393226 HQY393226:HRB393226 IAU393226:IAX393226 IKQ393226:IKT393226 IUM393226:IUP393226 JEI393226:JEL393226 JOE393226:JOH393226 JYA393226:JYD393226 KHW393226:KHZ393226 KRS393226:KRV393226 LBO393226:LBR393226 LLK393226:LLN393226 LVG393226:LVJ393226 MFC393226:MFF393226 MOY393226:MPB393226 MYU393226:MYX393226 NIQ393226:NIT393226 NSM393226:NSP393226 OCI393226:OCL393226 OME393226:OMH393226 OWA393226:OWD393226 PFW393226:PFZ393226 PPS393226:PPV393226 PZO393226:PZR393226 QJK393226:QJN393226 QTG393226:QTJ393226 RDC393226:RDF393226 RMY393226:RNB393226 RWU393226:RWX393226 SGQ393226:SGT393226 SQM393226:SQP393226 TAI393226:TAL393226 TKE393226:TKH393226 TUA393226:TUD393226 UDW393226:UDZ393226 UNS393226:UNV393226 UXO393226:UXR393226 VHK393226:VHN393226 VRG393226:VRJ393226 WBC393226:WBF393226 WKY393226:WLB393226 WUU393226:WUX393226 II458762:IL458762 SE458762:SH458762 ACA458762:ACD458762 ALW458762:ALZ458762 AVS458762:AVV458762 BFO458762:BFR458762 BPK458762:BPN458762 BZG458762:BZJ458762 CJC458762:CJF458762 CSY458762:CTB458762 DCU458762:DCX458762 DMQ458762:DMT458762 DWM458762:DWP458762 EGI458762:EGL458762 EQE458762:EQH458762 FAA458762:FAD458762 FJW458762:FJZ458762 FTS458762:FTV458762 GDO458762:GDR458762 GNK458762:GNN458762 GXG458762:GXJ458762 HHC458762:HHF458762 HQY458762:HRB458762 IAU458762:IAX458762 IKQ458762:IKT458762 IUM458762:IUP458762 JEI458762:JEL458762 JOE458762:JOH458762 JYA458762:JYD458762 KHW458762:KHZ458762 KRS458762:KRV458762 LBO458762:LBR458762 LLK458762:LLN458762 LVG458762:LVJ458762 MFC458762:MFF458762 MOY458762:MPB458762 MYU458762:MYX458762 NIQ458762:NIT458762 NSM458762:NSP458762 OCI458762:OCL458762 OME458762:OMH458762 OWA458762:OWD458762 PFW458762:PFZ458762 PPS458762:PPV458762 PZO458762:PZR458762 QJK458762:QJN458762 QTG458762:QTJ458762 RDC458762:RDF458762 RMY458762:RNB458762 RWU458762:RWX458762 SGQ458762:SGT458762 SQM458762:SQP458762 TAI458762:TAL458762 TKE458762:TKH458762 TUA458762:TUD458762 UDW458762:UDZ458762 UNS458762:UNV458762 UXO458762:UXR458762 VHK458762:VHN458762 VRG458762:VRJ458762 WBC458762:WBF458762 WKY458762:WLB458762 WUU458762:WUX458762 II524298:IL524298 SE524298:SH524298 ACA524298:ACD524298 ALW524298:ALZ524298 AVS524298:AVV524298 BFO524298:BFR524298 BPK524298:BPN524298 BZG524298:BZJ524298 CJC524298:CJF524298 CSY524298:CTB524298 DCU524298:DCX524298 DMQ524298:DMT524298 DWM524298:DWP524298 EGI524298:EGL524298 EQE524298:EQH524298 FAA524298:FAD524298 FJW524298:FJZ524298 FTS524298:FTV524298 GDO524298:GDR524298 GNK524298:GNN524298 GXG524298:GXJ524298 HHC524298:HHF524298 HQY524298:HRB524298 IAU524298:IAX524298 IKQ524298:IKT524298 IUM524298:IUP524298 JEI524298:JEL524298 JOE524298:JOH524298 JYA524298:JYD524298 KHW524298:KHZ524298 KRS524298:KRV524298 LBO524298:LBR524298 LLK524298:LLN524298 LVG524298:LVJ524298 MFC524298:MFF524298 MOY524298:MPB524298 MYU524298:MYX524298 NIQ524298:NIT524298 NSM524298:NSP524298 OCI524298:OCL524298 OME524298:OMH524298 OWA524298:OWD524298 PFW524298:PFZ524298 PPS524298:PPV524298 PZO524298:PZR524298 QJK524298:QJN524298 QTG524298:QTJ524298 RDC524298:RDF524298 RMY524298:RNB524298 RWU524298:RWX524298 SGQ524298:SGT524298 SQM524298:SQP524298 TAI524298:TAL524298 TKE524298:TKH524298 TUA524298:TUD524298 UDW524298:UDZ524298 UNS524298:UNV524298 UXO524298:UXR524298 VHK524298:VHN524298 VRG524298:VRJ524298 WBC524298:WBF524298 WKY524298:WLB524298 WUU524298:WUX524298 II589834:IL589834 SE589834:SH589834 ACA589834:ACD589834 ALW589834:ALZ589834 AVS589834:AVV589834 BFO589834:BFR589834 BPK589834:BPN589834 BZG589834:BZJ589834 CJC589834:CJF589834 CSY589834:CTB589834 DCU589834:DCX589834 DMQ589834:DMT589834 DWM589834:DWP589834 EGI589834:EGL589834 EQE589834:EQH589834 FAA589834:FAD589834 FJW589834:FJZ589834 FTS589834:FTV589834 GDO589834:GDR589834 GNK589834:GNN589834 GXG589834:GXJ589834 HHC589834:HHF589834 HQY589834:HRB589834 IAU589834:IAX589834 IKQ589834:IKT589834 IUM589834:IUP589834 JEI589834:JEL589834 JOE589834:JOH589834 JYA589834:JYD589834 KHW589834:KHZ589834 KRS589834:KRV589834 LBO589834:LBR589834 LLK589834:LLN589834 LVG589834:LVJ589834 MFC589834:MFF589834 MOY589834:MPB589834 MYU589834:MYX589834 NIQ589834:NIT589834 NSM589834:NSP589834 OCI589834:OCL589834 OME589834:OMH589834 OWA589834:OWD589834 PFW589834:PFZ589834 PPS589834:PPV589834 PZO589834:PZR589834 QJK589834:QJN589834 QTG589834:QTJ589834 RDC589834:RDF589834 RMY589834:RNB589834 RWU589834:RWX589834 SGQ589834:SGT589834 SQM589834:SQP589834 TAI589834:TAL589834 TKE589834:TKH589834 TUA589834:TUD589834 UDW589834:UDZ589834 UNS589834:UNV589834 UXO589834:UXR589834 VHK589834:VHN589834 VRG589834:VRJ589834 WBC589834:WBF589834 WKY589834:WLB589834 WUU589834:WUX589834 II655370:IL655370 SE655370:SH655370 ACA655370:ACD655370 ALW655370:ALZ655370 AVS655370:AVV655370 BFO655370:BFR655370 BPK655370:BPN655370 BZG655370:BZJ655370 CJC655370:CJF655370 CSY655370:CTB655370 DCU655370:DCX655370 DMQ655370:DMT655370 DWM655370:DWP655370 EGI655370:EGL655370 EQE655370:EQH655370 FAA655370:FAD655370 FJW655370:FJZ655370 FTS655370:FTV655370 GDO655370:GDR655370 GNK655370:GNN655370 GXG655370:GXJ655370 HHC655370:HHF655370 HQY655370:HRB655370 IAU655370:IAX655370 IKQ655370:IKT655370 IUM655370:IUP655370 JEI655370:JEL655370 JOE655370:JOH655370 JYA655370:JYD655370 KHW655370:KHZ655370 KRS655370:KRV655370 LBO655370:LBR655370 LLK655370:LLN655370 LVG655370:LVJ655370 MFC655370:MFF655370 MOY655370:MPB655370 MYU655370:MYX655370 NIQ655370:NIT655370 NSM655370:NSP655370 OCI655370:OCL655370 OME655370:OMH655370 OWA655370:OWD655370 PFW655370:PFZ655370 PPS655370:PPV655370 PZO655370:PZR655370 QJK655370:QJN655370 QTG655370:QTJ655370 RDC655370:RDF655370 RMY655370:RNB655370 RWU655370:RWX655370 SGQ655370:SGT655370 SQM655370:SQP655370 TAI655370:TAL655370 TKE655370:TKH655370 TUA655370:TUD655370 UDW655370:UDZ655370 UNS655370:UNV655370 UXO655370:UXR655370 VHK655370:VHN655370 VRG655370:VRJ655370 WBC655370:WBF655370 WKY655370:WLB655370 WUU655370:WUX655370 II720906:IL720906 SE720906:SH720906 ACA720906:ACD720906 ALW720906:ALZ720906 AVS720906:AVV720906 BFO720906:BFR720906 BPK720906:BPN720906 BZG720906:BZJ720906 CJC720906:CJF720906 CSY720906:CTB720906 DCU720906:DCX720906 DMQ720906:DMT720906 DWM720906:DWP720906 EGI720906:EGL720906 EQE720906:EQH720906 FAA720906:FAD720906 FJW720906:FJZ720906 FTS720906:FTV720906 GDO720906:GDR720906 GNK720906:GNN720906 GXG720906:GXJ720906 HHC720906:HHF720906 HQY720906:HRB720906 IAU720906:IAX720906 IKQ720906:IKT720906 IUM720906:IUP720906 JEI720906:JEL720906 JOE720906:JOH720906 JYA720906:JYD720906 KHW720906:KHZ720906 KRS720906:KRV720906 LBO720906:LBR720906 LLK720906:LLN720906 LVG720906:LVJ720906 MFC720906:MFF720906 MOY720906:MPB720906 MYU720906:MYX720906 NIQ720906:NIT720906 NSM720906:NSP720906 OCI720906:OCL720906 OME720906:OMH720906 OWA720906:OWD720906 PFW720906:PFZ720906 PPS720906:PPV720906 PZO720906:PZR720906 QJK720906:QJN720906 QTG720906:QTJ720906 RDC720906:RDF720906 RMY720906:RNB720906 RWU720906:RWX720906 SGQ720906:SGT720906 SQM720906:SQP720906 TAI720906:TAL720906 TKE720906:TKH720906 TUA720906:TUD720906 UDW720906:UDZ720906 UNS720906:UNV720906 UXO720906:UXR720906 VHK720906:VHN720906 VRG720906:VRJ720906 WBC720906:WBF720906 WKY720906:WLB720906 WUU720906:WUX720906 II786442:IL786442 SE786442:SH786442 ACA786442:ACD786442 ALW786442:ALZ786442 AVS786442:AVV786442 BFO786442:BFR786442 BPK786442:BPN786442 BZG786442:BZJ786442 CJC786442:CJF786442 CSY786442:CTB786442 DCU786442:DCX786442 DMQ786442:DMT786442 DWM786442:DWP786442 EGI786442:EGL786442 EQE786442:EQH786442 FAA786442:FAD786442 FJW786442:FJZ786442 FTS786442:FTV786442 GDO786442:GDR786442 GNK786442:GNN786442 GXG786442:GXJ786442 HHC786442:HHF786442 HQY786442:HRB786442 IAU786442:IAX786442 IKQ786442:IKT786442 IUM786442:IUP786442 JEI786442:JEL786442 JOE786442:JOH786442 JYA786442:JYD786442 KHW786442:KHZ786442 KRS786442:KRV786442 LBO786442:LBR786442 LLK786442:LLN786442 LVG786442:LVJ786442 MFC786442:MFF786442 MOY786442:MPB786442 MYU786442:MYX786442 NIQ786442:NIT786442 NSM786442:NSP786442 OCI786442:OCL786442 OME786442:OMH786442 OWA786442:OWD786442 PFW786442:PFZ786442 PPS786442:PPV786442 PZO786442:PZR786442 QJK786442:QJN786442 QTG786442:QTJ786442 RDC786442:RDF786442 RMY786442:RNB786442 RWU786442:RWX786442 SGQ786442:SGT786442 SQM786442:SQP786442 TAI786442:TAL786442 TKE786442:TKH786442 TUA786442:TUD786442 UDW786442:UDZ786442 UNS786442:UNV786442 UXO786442:UXR786442 VHK786442:VHN786442 VRG786442:VRJ786442 WBC786442:WBF786442 WKY786442:WLB786442 WUU786442:WUX786442 II851978:IL851978 SE851978:SH851978 ACA851978:ACD851978 ALW851978:ALZ851978 AVS851978:AVV851978 BFO851978:BFR851978 BPK851978:BPN851978 BZG851978:BZJ851978 CJC851978:CJF851978 CSY851978:CTB851978 DCU851978:DCX851978 DMQ851978:DMT851978 DWM851978:DWP851978 EGI851978:EGL851978 EQE851978:EQH851978 FAA851978:FAD851978 FJW851978:FJZ851978 FTS851978:FTV851978 GDO851978:GDR851978 GNK851978:GNN851978 GXG851978:GXJ851978 HHC851978:HHF851978 HQY851978:HRB851978 IAU851978:IAX851978 IKQ851978:IKT851978 IUM851978:IUP851978 JEI851978:JEL851978 JOE851978:JOH851978 JYA851978:JYD851978 KHW851978:KHZ851978 KRS851978:KRV851978 LBO851978:LBR851978 LLK851978:LLN851978 LVG851978:LVJ851978 MFC851978:MFF851978 MOY851978:MPB851978 MYU851978:MYX851978 NIQ851978:NIT851978 NSM851978:NSP851978 OCI851978:OCL851978 OME851978:OMH851978 OWA851978:OWD851978 PFW851978:PFZ851978 PPS851978:PPV851978 PZO851978:PZR851978 QJK851978:QJN851978 QTG851978:QTJ851978 RDC851978:RDF851978 RMY851978:RNB851978 RWU851978:RWX851978 SGQ851978:SGT851978 SQM851978:SQP851978 TAI851978:TAL851978 TKE851978:TKH851978 TUA851978:TUD851978 UDW851978:UDZ851978 UNS851978:UNV851978 UXO851978:UXR851978 VHK851978:VHN851978 VRG851978:VRJ851978 WBC851978:WBF851978 WKY851978:WLB851978 WUU851978:WUX851978 II917514:IL917514 SE917514:SH917514 ACA917514:ACD917514 ALW917514:ALZ917514 AVS917514:AVV917514 BFO917514:BFR917514 BPK917514:BPN917514 BZG917514:BZJ917514 CJC917514:CJF917514 CSY917514:CTB917514 DCU917514:DCX917514 DMQ917514:DMT917514 DWM917514:DWP917514 EGI917514:EGL917514 EQE917514:EQH917514 FAA917514:FAD917514 FJW917514:FJZ917514 FTS917514:FTV917514 GDO917514:GDR917514 GNK917514:GNN917514 GXG917514:GXJ917514 HHC917514:HHF917514 HQY917514:HRB917514 IAU917514:IAX917514 IKQ917514:IKT917514 IUM917514:IUP917514 JEI917514:JEL917514 JOE917514:JOH917514 JYA917514:JYD917514 KHW917514:KHZ917514 KRS917514:KRV917514 LBO917514:LBR917514 LLK917514:LLN917514 LVG917514:LVJ917514 MFC917514:MFF917514 MOY917514:MPB917514 MYU917514:MYX917514 NIQ917514:NIT917514 NSM917514:NSP917514 OCI917514:OCL917514 OME917514:OMH917514 OWA917514:OWD917514 PFW917514:PFZ917514 PPS917514:PPV917514 PZO917514:PZR917514 QJK917514:QJN917514 QTG917514:QTJ917514 RDC917514:RDF917514 RMY917514:RNB917514 RWU917514:RWX917514 SGQ917514:SGT917514 SQM917514:SQP917514 TAI917514:TAL917514 TKE917514:TKH917514 TUA917514:TUD917514 UDW917514:UDZ917514 UNS917514:UNV917514 UXO917514:UXR917514 VHK917514:VHN917514 VRG917514:VRJ917514 WBC917514:WBF917514 WKY917514:WLB917514 WUU917514:WUX917514 Q917514:S917514 Q851978:S851978 Q786442:S786442 Q720906:S720906 Q655370:S655370 Q589834:S589834 Q524298:S524298 Q458762:S458762 Q393226:S393226 Q327690:S327690 Q262154:S262154 Q196618:S196618 Q131082:S131082 Q65546:S65546 Q983050:S983050 AF131077:AH131077 AF196613:AH196613 AF262149:AH262149 AF327685:AH327685 AF393221:AH393221 AF458757:AH458757 AF524293:AH524293 AF589829:AH589829 AF655365:AH655365 AF720901:AH720901 AF786437:AH786437 AF851973:AH851973 AF917509:AH917509 AF983045:AH983045 AB983044:AD983044 AB917508:AD917508 AB851972:AD851972 AB786436:AD786436 AB720900:AD720900 AB655364:AD655364 AB589828:AD589828 AB524292:AD524292 AB458756:AD458756 AB393220:AD393220 AB327684:AD327684 AB262148:AD262148 AB196612:AD196612 AB131076:AD131076 AB65540:AD65540 AF65541:AH65541" xr:uid="{D78D8900-DA4D-4C74-9AF5-020A8FBE042C}">
      <formula1>"○, ○（オンライン処理設計書なし）"</formula1>
    </dataValidation>
    <dataValidation type="list" allowBlank="1" showInputMessage="1" showErrorMessage="1" sqref="WAE16:WAO17 VQI16:VQS17 VGM16:VGW17 UWQ16:UXA17 UMU16:UNE17 UCY16:UDI17 TTC16:TTM17 TJG16:TJQ17 SZK16:SZU17 SPO16:SPY17 SFS16:SGC17 RVW16:RWG17 RMA16:RMK17 RCE16:RCO17 QSI16:QSS17 QIM16:QIW17 PYQ16:PZA17 POU16:PPE17 PEY16:PFI17 OVC16:OVM17 OLG16:OLQ17 OBK16:OBU17 NRO16:NRY17 NHS16:NIC17 MXW16:MYG17 MOA16:MOK17 MEE16:MEO17 LUI16:LUS17 LKM16:LKW17 LAQ16:LBA17 KQU16:KRE17 KGY16:KHI17 JXC16:JXM17 JNG16:JNQ17 JDK16:JDU17 ITO16:ITY17 IJS16:IKC17 HZW16:IAG17 HQA16:HQK17 HGE16:HGO17 GWI16:GWS17 GMM16:GMW17 GCQ16:GDA17 FSU16:FTE17 FIY16:FJI17 EZC16:EZM17 EPG16:EPQ17 EFK16:EFU17 DVO16:DVY17 DLS16:DMC17 DBW16:DCG17 CSA16:CSK17 CIE16:CIO17 BYI16:BYS17 BOM16:BOW17 BEQ16:BFA17 AUU16:AVE17 AKY16:ALI17 ABC16:ABM17 RG16:RQ17 HK16:HU17 WTW16:WUG17 WKA16:WKK17 WKA23:WKK24 WAE23:WAO24 VQI23:VQS24 VGM23:VGW24 UWQ23:UXA24 UMU23:UNE24 UCY23:UDI24 TTC23:TTM24 TJG23:TJQ24 SZK23:SZU24 SPO23:SPY24 SFS23:SGC24 RVW23:RWG24 RMA23:RMK24 RCE23:RCO24 QSI23:QSS24 QIM23:QIW24 PYQ23:PZA24 POU23:PPE24 PEY23:PFI24 OVC23:OVM24 OLG23:OLQ24 OBK23:OBU24 NRO23:NRY24 NHS23:NIC24 MXW23:MYG24 MOA23:MOK24 MEE23:MEO24 LUI23:LUS24 LKM23:LKW24 LAQ23:LBA24 KQU23:KRE24 KGY23:KHI24 JXC23:JXM24 JNG23:JNQ24 JDK23:JDU24 ITO23:ITY24 IJS23:IKC24 HZW23:IAG24 HQA23:HQK24 HGE23:HGO24 GWI23:GWS24 GMM23:GMW24 GCQ23:GDA24 FSU23:FTE24 FIY23:FJI24 EZC23:EZM24 EPG23:EPQ24 EFK23:EFU24 DVO23:DVY24 DLS23:DMC24 DBW23:DCG24 CSA23:CSK24 CIE23:CIO24 BYI23:BYS24 BOM23:BOW24 BEQ23:BFA24 AUU23:AVE24 AKY23:ALI24 ABC23:ABM24 RG23:RQ24 HK23:HU24 WTW23:WUG24 WTW6:WUG9 HK6:HU9 RG6:RQ9 ABC6:ABM9 AKY6:ALI9 AUU6:AVE9 BEQ6:BFA9 BOM6:BOW9 BYI6:BYS9 CIE6:CIO9 CSA6:CSK9 DBW6:DCG9 DLS6:DMC9 DVO6:DVY9 EFK6:EFU9 EPG6:EPQ9 EZC6:EZM9 FIY6:FJI9 FSU6:FTE9 GCQ6:GDA9 GMM6:GMW9 GWI6:GWS9 HGE6:HGO9 HQA6:HQK9 HZW6:IAG9 IJS6:IKC9 ITO6:ITY9 JDK6:JDU9 JNG6:JNQ9 JXC6:JXM9 KGY6:KHI9 KQU6:KRE9 LAQ6:LBA9 LKM6:LKW9 LUI6:LUS9 MEE6:MEO9 MOA6:MOK9 MXW6:MYG9 NHS6:NIC9 NRO6:NRY9 OBK6:OBU9 OLG6:OLQ9 OVC6:OVM9 PEY6:PFI9 POU6:PPE9 PYQ6:PZA9 QIM6:QIW9 QSI6:QSS9 RCE6:RCO9 RMA6:RMK9 RVW6:RWG9 SFS6:SGC9 SPO6:SPY9 SZK6:SZU9 TJG6:TJQ9 TTC6:TTM9 UCY6:UDI9 UMU6:UNE9 UWQ6:UXA9 VGM6:VGW9 VQI6:VQS9 WAE6:WAO9 WKA6:WKK9" xr:uid="{9006E94F-4F1C-49DD-88E9-69EBC29F36D2}">
      <formula1>$C$34:$C$45</formula1>
    </dataValidation>
  </dataValidations>
  <pageMargins left="0.7" right="0.7" top="0.75" bottom="0.75" header="0.3" footer="0.3"/>
  <pageSetup paperSize="9" scale="62" fitToHeight="0" orientation="landscape" r:id="rId1"/>
  <ignoredErrors>
    <ignoredError sqref="A15:B29 A7:B7 B14 A8:B13 A14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FB74-19DA-47FD-BDAE-33A21FD2A0A5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27" customWidth="1"/>
    <col min="87" max="16384" width="2.453125" style="127"/>
  </cols>
  <sheetData>
    <row r="1" spans="1:85" ht="13.75" customHeight="1">
      <c r="A1" s="269" t="s">
        <v>118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</row>
    <row r="2" spans="1:85" ht="13.75" customHeight="1">
      <c r="A2" s="128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30"/>
    </row>
    <row r="3" spans="1:85">
      <c r="A3" s="131"/>
      <c r="B3" s="136" t="s">
        <v>131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CG3" s="132"/>
    </row>
    <row r="4" spans="1:85">
      <c r="A4" s="131"/>
      <c r="B4" s="136"/>
      <c r="C4" s="136"/>
      <c r="D4" s="136" t="s">
        <v>133</v>
      </c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CG4" s="132"/>
    </row>
    <row r="5" spans="1:85">
      <c r="A5" s="131"/>
      <c r="B5" s="136"/>
      <c r="C5" s="136"/>
      <c r="D5" s="136" t="s">
        <v>132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CG5" s="132"/>
    </row>
    <row r="6" spans="1:85" ht="15" customHeight="1">
      <c r="A6" s="131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CG6" s="132"/>
    </row>
    <row r="7" spans="1:85" ht="15" customHeight="1">
      <c r="A7" s="131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CG7" s="132"/>
    </row>
    <row r="8" spans="1:85">
      <c r="A8" s="131"/>
      <c r="B8" s="136" t="s">
        <v>134</v>
      </c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CG8" s="132"/>
    </row>
    <row r="9" spans="1:85">
      <c r="A9" s="131"/>
      <c r="B9" s="136"/>
      <c r="C9" s="136"/>
      <c r="D9" s="136" t="s">
        <v>135</v>
      </c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CG9" s="132"/>
    </row>
    <row r="10" spans="1:85" ht="15" hidden="1" customHeight="1">
      <c r="A10" s="131"/>
      <c r="CG10" s="132"/>
    </row>
    <row r="11" spans="1:85" ht="15" hidden="1" customHeight="1">
      <c r="A11" s="131"/>
      <c r="CG11" s="132"/>
    </row>
    <row r="12" spans="1:85" ht="13.75" customHeight="1">
      <c r="A12" s="131"/>
      <c r="CG12" s="132"/>
    </row>
    <row r="13" spans="1:85">
      <c r="A13" s="131"/>
      <c r="CG13" s="132"/>
    </row>
    <row r="14" spans="1:85" ht="15" customHeight="1">
      <c r="A14" s="131"/>
      <c r="CG14" s="132"/>
    </row>
    <row r="15" spans="1:85" ht="15.75" customHeight="1">
      <c r="A15" s="131"/>
      <c r="CG15" s="132"/>
    </row>
    <row r="16" spans="1:85">
      <c r="A16" s="131"/>
      <c r="CG16" s="132"/>
    </row>
    <row r="17" spans="1:85">
      <c r="A17" s="131"/>
      <c r="CG17" s="132"/>
    </row>
    <row r="18" spans="1:85">
      <c r="A18" s="131"/>
      <c r="CG18" s="132"/>
    </row>
    <row r="19" spans="1:85">
      <c r="A19" s="131"/>
      <c r="CG19" s="132"/>
    </row>
    <row r="20" spans="1:85">
      <c r="A20" s="131"/>
      <c r="CG20" s="132"/>
    </row>
    <row r="21" spans="1:85">
      <c r="A21" s="131"/>
      <c r="CG21" s="132"/>
    </row>
    <row r="22" spans="1:85">
      <c r="A22" s="131"/>
      <c r="CG22" s="132"/>
    </row>
    <row r="23" spans="1:85">
      <c r="A23" s="131"/>
      <c r="CG23" s="132"/>
    </row>
    <row r="24" spans="1:85">
      <c r="A24" s="131"/>
      <c r="CG24" s="132"/>
    </row>
    <row r="25" spans="1:85">
      <c r="A25" s="131"/>
      <c r="CG25" s="132"/>
    </row>
    <row r="26" spans="1:85">
      <c r="A26" s="131"/>
      <c r="CG26" s="132"/>
    </row>
    <row r="27" spans="1:85">
      <c r="A27" s="131"/>
      <c r="CG27" s="132"/>
    </row>
    <row r="28" spans="1:85">
      <c r="A28" s="131"/>
      <c r="CG28" s="132"/>
    </row>
    <row r="29" spans="1:85">
      <c r="A29" s="131"/>
      <c r="CG29" s="132"/>
    </row>
    <row r="30" spans="1:85">
      <c r="A30" s="131"/>
      <c r="CG30" s="132"/>
    </row>
    <row r="31" spans="1:85">
      <c r="A31" s="131"/>
      <c r="CG31" s="132"/>
    </row>
    <row r="32" spans="1:85">
      <c r="A32" s="131"/>
      <c r="CG32" s="132"/>
    </row>
    <row r="33" spans="1:85">
      <c r="A33" s="131"/>
      <c r="CG33" s="132"/>
    </row>
    <row r="34" spans="1:85">
      <c r="A34" s="133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34"/>
      <c r="CC34" s="134"/>
      <c r="CD34" s="134"/>
      <c r="CE34" s="134"/>
      <c r="CF34" s="134"/>
      <c r="CG34" s="135"/>
    </row>
  </sheetData>
  <mergeCells count="1">
    <mergeCell ref="A1:M1"/>
  </mergeCells>
  <phoneticPr fontId="55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FFE8F4D3-DDDD-40AB-A982-7EA8F3CDD0D0}">
      <formula1>#REF!</formula1>
    </dataValidation>
  </dataValidations>
  <pageMargins left="0.7" right="0.7" top="0.75" bottom="0.75" header="0.3" footer="0.3"/>
  <pageSetup paperSize="9" scale="3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管理者申請ログ確認画面</vt:lpstr>
      <vt:lpstr>画面項目</vt:lpstr>
      <vt:lpstr>処理詳細</vt:lpstr>
      <vt:lpstr>画面項目!Print_Area</vt:lpstr>
      <vt:lpstr>管理者申請ログ確認画面!Print_Area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2026-05-22T07:13:03Z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