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9C652A17-FE32-4B70-91AC-D2BE68F525CB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管理者申請ログ確認画面" sheetId="73" r:id="rId3"/>
    <sheet name="化学物質データ申請完了画面(仮)" sheetId="67" state="hidden" r:id="rId4"/>
    <sheet name="管理者申請ログ確認画面(仮)" sheetId="74" state="hidden" r:id="rId5"/>
    <sheet name="画面項目" sheetId="71" r:id="rId6"/>
    <sheet name="画面状態" sheetId="72" state="hidden" r:id="rId7"/>
    <sheet name="外貨(コリア原計)" sheetId="66" state="hidden" r:id="rId8"/>
  </sheets>
  <definedNames>
    <definedName name="_2a1_" hidden="1">{"'Sheet1'!$A$3:$I$11"}</definedName>
    <definedName name="_a1" hidden="1">{"'Sheet1'!$A$3:$I$11"}</definedName>
    <definedName name="_xlnm._FilterDatabase" localSheetId="6" hidden="1">画面状態!$A$1:$AD$9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3">'化学物質データ申請完了画面(仮)'!$A$1:$BC$54</definedName>
    <definedName name="_xlnm.Print_Area" localSheetId="5">画面項目!$A$1:$BU$31</definedName>
    <definedName name="_xlnm.Print_Area" localSheetId="6">画面状態!$A$1:$CB$12</definedName>
    <definedName name="_xlnm.Print_Area" localSheetId="7">'外貨(コリア原計)'!$A$1:$BC$113</definedName>
    <definedName name="_xlnm.Print_Area" localSheetId="2">管理者申請ログ確認画面!$A$1:$BC$59</definedName>
    <definedName name="_xlnm.Print_Area" localSheetId="4">'管理者申請ログ確認画面(仮)'!$A$1:$BC$63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5" hidden="1">{"'画面仕様'!$C$22:$BY$40","'画面仕様'!$C$28:$BY$39"}</definedName>
    <definedName name="画面遷移new" localSheetId="6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4" l="1"/>
  <c r="AA3" i="74"/>
  <c r="M3" i="74"/>
  <c r="A3" i="74"/>
  <c r="AZ2" i="74"/>
  <c r="M2" i="74"/>
  <c r="AV1" i="74"/>
  <c r="AN1" i="74"/>
  <c r="AA1" i="74"/>
  <c r="M1" i="74"/>
  <c r="AV2" i="74"/>
  <c r="AN2" i="74"/>
  <c r="AV3" i="74"/>
  <c r="A5" i="73" l="1"/>
  <c r="AA3" i="73"/>
  <c r="M3" i="73"/>
  <c r="A3" i="73"/>
  <c r="AZ2" i="73"/>
  <c r="M2" i="73"/>
  <c r="AV1" i="73"/>
  <c r="AN1" i="73"/>
  <c r="AA1" i="73"/>
  <c r="M1" i="73"/>
  <c r="AN2" i="73"/>
  <c r="AV3" i="73"/>
  <c r="AV2" i="73"/>
  <c r="A5" i="67" l="1"/>
  <c r="AA3" i="67"/>
  <c r="M3" i="67"/>
  <c r="A3" i="67"/>
  <c r="AZ2" i="67"/>
  <c r="M2" i="67"/>
  <c r="AV1" i="67"/>
  <c r="AN1" i="67"/>
  <c r="AA1" i="67"/>
  <c r="M1" i="67"/>
  <c r="BM58" i="66"/>
  <c r="AV3" i="67"/>
  <c r="AN2" i="67"/>
  <c r="AV2" i="67"/>
  <c r="BE64" i="66" l="1"/>
  <c r="AS64" i="66" l="1"/>
  <c r="D64" i="66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AV2" i="66"/>
  <c r="AV3" i="66"/>
  <c r="AN2" i="66"/>
  <c r="AS71" i="66" l="1"/>
  <c r="AB71" i="66"/>
  <c r="X71" i="66"/>
  <c r="AF71" i="66" s="1"/>
  <c r="AK71" i="66" s="1"/>
  <c r="X67" i="66"/>
  <c r="AS67" i="66"/>
  <c r="AB67" i="66"/>
  <c r="AS68" i="66"/>
  <c r="AB68" i="66"/>
  <c r="X68" i="66"/>
  <c r="AS72" i="66"/>
  <c r="AB72" i="66"/>
  <c r="X72" i="66"/>
  <c r="AO67" i="66" l="1"/>
  <c r="AO71" i="66"/>
  <c r="AF67" i="66"/>
  <c r="AK67" i="66" s="1"/>
  <c r="AF72" i="66"/>
  <c r="AK72" i="66" s="1"/>
  <c r="AF68" i="66"/>
  <c r="AK68" i="66" s="1"/>
  <c r="AO68" i="66"/>
  <c r="AO72" i="66"/>
  <c r="AT1" i="3" l="1"/>
  <c r="AT3" i="3"/>
  <c r="B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5C63FB74-964E-479F-8857-368A9E1106B6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B8865F23-4681-472C-BBB2-057DB886CE3E}">
      <text>
        <r>
          <rPr>
            <sz val="9"/>
            <color indexed="8"/>
            <rFont val="ＭＳ Ｐゴシック"/>
            <family val="3"/>
            <charset val="128"/>
          </rPr>
          <t>タイプ名と修飾子名を記載すること
表示をカスタマイズする場合などは、備考に記載する</t>
        </r>
      </text>
    </comment>
    <comment ref="C4" authorId="0" shapeId="0" xr:uid="{C801FCEF-4677-471B-9D3B-1DF954253E25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6FE5BC03-738F-4CFB-B700-10FF2EEACC1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1" authorId="0" shapeId="0" xr:uid="{48EC1868-31E5-4F70-922B-1A45FB23279D}">
      <text>
        <r>
          <rPr>
            <sz val="9"/>
            <color indexed="81"/>
            <rFont val="ＭＳ Ｐゴシック"/>
            <family val="3"/>
            <charset val="128"/>
          </rPr>
          <t>本シートは概要設計では空欄とし、詳細設計で追記します。</t>
        </r>
      </text>
    </comment>
    <comment ref="C2" authorId="0" shapeId="0" xr:uid="{30778FAF-FB0E-454E-8620-8AC3818921A9}">
      <text>
        <r>
          <rPr>
            <sz val="10"/>
            <color indexed="8"/>
            <rFont val="ＭＳ Ｐゴシック"/>
            <family val="3"/>
            <charset val="128"/>
          </rPr>
          <t>ユーザ操作等により入力可否などの画面状態が変化する画面項目を「画面項目」シートの「画面項目」と同じ形式で記入します。(項目はすべて記述)</t>
        </r>
        <r>
          <rPr>
            <b/>
            <sz val="10"/>
            <color indexed="8"/>
            <rFont val="ＭＳ Ｐゴシック"/>
            <family val="3"/>
            <charset val="128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<sst xmlns="http://schemas.openxmlformats.org/spreadsheetml/2006/main" count="583" uniqueCount="351">
  <si>
    <t>HRS殿</t>
    <rPh sb="3" eb="4">
      <t>ドノ</t>
    </rPh>
    <phoneticPr fontId="12"/>
  </si>
  <si>
    <t>作成</t>
    <rPh sb="0" eb="2">
      <t>サクセイ</t>
    </rPh>
    <phoneticPr fontId="12"/>
  </si>
  <si>
    <t>照査</t>
    <rPh sb="0" eb="2">
      <t>ショウサ</t>
    </rPh>
    <phoneticPr fontId="12"/>
  </si>
  <si>
    <t>承認</t>
    <rPh sb="0" eb="2">
      <t>ショウニン</t>
    </rPh>
    <phoneticPr fontId="12"/>
  </si>
  <si>
    <t>文書名：</t>
    <rPh sb="0" eb="2">
      <t>ブンショ</t>
    </rPh>
    <rPh sb="2" eb="3">
      <t>メイ</t>
    </rPh>
    <phoneticPr fontId="12"/>
  </si>
  <si>
    <t>顧客名</t>
    <rPh sb="0" eb="2">
      <t>コキャク</t>
    </rPh>
    <rPh sb="2" eb="3">
      <t>メイ</t>
    </rPh>
    <phoneticPr fontId="12"/>
  </si>
  <si>
    <t>ヒロセ電機株式会社</t>
    <rPh sb="3" eb="5">
      <t>デンキ</t>
    </rPh>
    <rPh sb="5" eb="7">
      <t>カブシキ</t>
    </rPh>
    <rPh sb="7" eb="9">
      <t>カイシャ</t>
    </rPh>
    <phoneticPr fontId="12"/>
  </si>
  <si>
    <t>システム</t>
    <phoneticPr fontId="12"/>
  </si>
  <si>
    <t>作成者</t>
    <rPh sb="0" eb="2">
      <t>サクセイ</t>
    </rPh>
    <rPh sb="2" eb="3">
      <t>シャ</t>
    </rPh>
    <phoneticPr fontId="12"/>
  </si>
  <si>
    <t>作成日</t>
    <rPh sb="0" eb="3">
      <t>サクセイビ</t>
    </rPh>
    <phoneticPr fontId="12"/>
  </si>
  <si>
    <t>書類番号</t>
    <rPh sb="0" eb="2">
      <t>ショルイ</t>
    </rPh>
    <rPh sb="2" eb="4">
      <t>バンゴウ</t>
    </rPh>
    <phoneticPr fontId="12"/>
  </si>
  <si>
    <t>プロジェクト</t>
    <phoneticPr fontId="12"/>
  </si>
  <si>
    <t>修正者</t>
    <rPh sb="0" eb="2">
      <t>シュウセイ</t>
    </rPh>
    <rPh sb="2" eb="3">
      <t>シャ</t>
    </rPh>
    <phoneticPr fontId="12"/>
  </si>
  <si>
    <t>修正日</t>
    <rPh sb="0" eb="2">
      <t>シュウセイ</t>
    </rPh>
    <rPh sb="2" eb="3">
      <t>ビ</t>
    </rPh>
    <phoneticPr fontId="12"/>
  </si>
  <si>
    <t>内容</t>
    <rPh sb="0" eb="2">
      <t>ナイヨウ</t>
    </rPh>
    <phoneticPr fontId="12"/>
  </si>
  <si>
    <t>Rev</t>
    <phoneticPr fontId="12"/>
  </si>
  <si>
    <t>intra-mart Accel Platform</t>
    <phoneticPr fontId="12"/>
  </si>
  <si>
    <t>変更内容</t>
    <rPh sb="0" eb="2">
      <t>ヘンコウ</t>
    </rPh>
    <rPh sb="2" eb="4">
      <t>ナイヨウ</t>
    </rPh>
    <phoneticPr fontId="11"/>
  </si>
  <si>
    <t>変更・追加箇所</t>
    <rPh sb="0" eb="2">
      <t>ヘンコウ</t>
    </rPh>
    <rPh sb="3" eb="5">
      <t>ツイカ</t>
    </rPh>
    <rPh sb="5" eb="7">
      <t>カショ</t>
    </rPh>
    <phoneticPr fontId="11"/>
  </si>
  <si>
    <t>提出日</t>
    <rPh sb="0" eb="2">
      <t>テイシュツ</t>
    </rPh>
    <rPh sb="2" eb="3">
      <t>ビ</t>
    </rPh>
    <phoneticPr fontId="11"/>
  </si>
  <si>
    <t>作成者</t>
    <rPh sb="0" eb="3">
      <t>サクセイシャ</t>
    </rPh>
    <phoneticPr fontId="11"/>
  </si>
  <si>
    <t>承認者</t>
    <rPh sb="0" eb="2">
      <t>ショウニン</t>
    </rPh>
    <rPh sb="2" eb="3">
      <t>シャ</t>
    </rPh>
    <phoneticPr fontId="11"/>
  </si>
  <si>
    <t>備考</t>
    <rPh sb="0" eb="2">
      <t>ビコウ</t>
    </rPh>
    <phoneticPr fontId="11"/>
  </si>
  <si>
    <t>新規作成</t>
    <rPh sb="0" eb="2">
      <t>シンキ</t>
    </rPh>
    <rPh sb="2" eb="4">
      <t>サクセイ</t>
    </rPh>
    <phoneticPr fontId="49"/>
  </si>
  <si>
    <t>Rev.</t>
    <phoneticPr fontId="11"/>
  </si>
  <si>
    <t>変更来歴</t>
    <phoneticPr fontId="49"/>
  </si>
  <si>
    <t>画面設計書</t>
    <rPh sb="0" eb="2">
      <t>ガメン</t>
    </rPh>
    <rPh sb="2" eb="5">
      <t>セッケイショ</t>
    </rPh>
    <phoneticPr fontId="12"/>
  </si>
  <si>
    <t>画面名</t>
    <rPh sb="0" eb="2">
      <t>ガメン</t>
    </rPh>
    <rPh sb="2" eb="3">
      <t>メイ</t>
    </rPh>
    <phoneticPr fontId="49"/>
  </si>
  <si>
    <t>アメージングアクティビティ(株)</t>
    <rPh sb="13" eb="16">
      <t>カブシキガイシャ</t>
    </rPh>
    <phoneticPr fontId="12"/>
  </si>
  <si>
    <t/>
  </si>
  <si>
    <t>IMWF-53</t>
    <phoneticPr fontId="49"/>
  </si>
  <si>
    <t>No</t>
    <phoneticPr fontId="55"/>
  </si>
  <si>
    <t>▼</t>
    <phoneticPr fontId="55"/>
  </si>
  <si>
    <t>品名</t>
    <rPh sb="0" eb="1">
      <t>ヒンメイ</t>
    </rPh>
    <phoneticPr fontId="55"/>
  </si>
  <si>
    <t>▲</t>
    <phoneticPr fontId="55"/>
  </si>
  <si>
    <t>ファイル名</t>
    <rPh sb="4" eb="5">
      <t>メイ</t>
    </rPh>
    <phoneticPr fontId="55"/>
  </si>
  <si>
    <t>得意先コード</t>
    <rPh sb="0" eb="3">
      <t>トクイサキ</t>
    </rPh>
    <phoneticPr fontId="55"/>
  </si>
  <si>
    <t>サイズ</t>
    <phoneticPr fontId="55"/>
  </si>
  <si>
    <t>102 KB</t>
    <phoneticPr fontId="55"/>
  </si>
  <si>
    <t>得意先</t>
    <rPh sb="0" eb="3">
      <t>トクイサキ</t>
    </rPh>
    <phoneticPr fontId="59"/>
  </si>
  <si>
    <t>　</t>
    <phoneticPr fontId="55"/>
  </si>
  <si>
    <t>クリア</t>
    <phoneticPr fontId="55"/>
  </si>
  <si>
    <t>ファイル001.xlsx</t>
    <phoneticPr fontId="55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</si>
  <si>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5"/>
  </si>
  <si>
    <t>過去の申請から内容コピー</t>
    <rPh sb="0" eb="2">
      <t>カコ</t>
    </rPh>
    <rPh sb="3" eb="5">
      <t>シンセイ</t>
    </rPh>
    <rPh sb="7" eb="9">
      <t>ナイヨウ</t>
    </rPh>
    <phoneticPr fontId="55"/>
  </si>
  <si>
    <t>起票日</t>
    <rPh sb="0" eb="3">
      <t>キヒョウビ</t>
    </rPh>
    <phoneticPr fontId="55"/>
  </si>
  <si>
    <t>所属</t>
    <rPh sb="0" eb="2">
      <t>ショゾク</t>
    </rPh>
    <phoneticPr fontId="55"/>
  </si>
  <si>
    <t>社員番号</t>
    <rPh sb="0" eb="2">
      <t>シャイン</t>
    </rPh>
    <rPh sb="2" eb="4">
      <t>バンゴウ</t>
    </rPh>
    <phoneticPr fontId="55"/>
  </si>
  <si>
    <t>2022/09/29</t>
    <phoneticPr fontId="55"/>
  </si>
  <si>
    <t>：</t>
    <phoneticPr fontId="55"/>
  </si>
  <si>
    <t>ヒロセ電機株式会社/管理本部/ＩＴ統括部/情報システム企画課</t>
    <phoneticPr fontId="55"/>
  </si>
  <si>
    <t>hirose</t>
    <phoneticPr fontId="55"/>
  </si>
  <si>
    <t>氏名　：</t>
    <rPh sb="0" eb="2">
      <t>シメイ</t>
    </rPh>
    <phoneticPr fontId="55"/>
  </si>
  <si>
    <t>システム担当者</t>
    <rPh sb="4" eb="7">
      <t>タントウシャ</t>
    </rPh>
    <phoneticPr fontId="55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</si>
  <si>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</si>
  <si>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5"/>
  </si>
  <si>
    <t>客先担当者名</t>
    <rPh sb="0" eb="2">
      <t>キャクサキ</t>
    </rPh>
    <rPh sb="2" eb="6">
      <t>タントウシャメイ</t>
    </rPh>
    <phoneticPr fontId="55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</si>
  <si>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5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</si>
  <si>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5"/>
  </si>
  <si>
    <t>申請価格入力</t>
    <rPh sb="0" eb="2">
      <t>シンセイ</t>
    </rPh>
    <rPh sb="2" eb="4">
      <t>カカク</t>
    </rPh>
    <rPh sb="4" eb="6">
      <t>ニュウリョク</t>
    </rPh>
    <phoneticPr fontId="55"/>
  </si>
  <si>
    <t>CL</t>
    <phoneticPr fontId="59"/>
  </si>
  <si>
    <t>得意先要求価格</t>
    <rPh sb="0" eb="3">
      <t>トクイサキ</t>
    </rPh>
    <rPh sb="3" eb="5">
      <t>ヨウキュウ</t>
    </rPh>
    <rPh sb="5" eb="7">
      <t>カカク</t>
    </rPh>
    <phoneticPr fontId="59"/>
  </si>
  <si>
    <t>申請価格</t>
    <rPh sb="0" eb="2">
      <t>シンセイ</t>
    </rPh>
    <rPh sb="2" eb="4">
      <t>カカク</t>
    </rPh>
    <phoneticPr fontId="59"/>
  </si>
  <si>
    <t>原計タイプ</t>
    <rPh sb="0" eb="2">
      <t>ゲンケイ</t>
    </rPh>
    <phoneticPr fontId="59"/>
  </si>
  <si>
    <t>備考</t>
    <rPh sb="0" eb="2">
      <t>ビコウ</t>
    </rPh>
    <phoneticPr fontId="59"/>
  </si>
  <si>
    <t>2022/9/29</t>
    <phoneticPr fontId="55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</si>
  <si>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5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</si>
  <si>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5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</si>
  <si>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59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</si>
  <si>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59"/>
  </si>
  <si>
    <t>承認者確認用</t>
    <rPh sb="0" eb="3">
      <t>ショウニンシャ</t>
    </rPh>
    <rPh sb="3" eb="6">
      <t>カクニンヨウ</t>
    </rPh>
    <phoneticPr fontId="55"/>
  </si>
  <si>
    <t>数量pcs/月</t>
    <rPh sb="0" eb="2">
      <t>スウリョウ</t>
    </rPh>
    <rPh sb="6" eb="7">
      <t>ツキ</t>
    </rPh>
    <phoneticPr fontId="59"/>
  </si>
  <si>
    <t>代理店売価</t>
    <rPh sb="0" eb="3">
      <t>ダイリテン</t>
    </rPh>
    <rPh sb="3" eb="5">
      <t>バイカ</t>
    </rPh>
    <phoneticPr fontId="59"/>
  </si>
  <si>
    <t>代理店粗利率</t>
    <rPh sb="0" eb="3">
      <t>ダイリテン</t>
    </rPh>
    <rPh sb="3" eb="6">
      <t>アラリリツ</t>
    </rPh>
    <phoneticPr fontId="59"/>
  </si>
  <si>
    <t>ピン@</t>
    <phoneticPr fontId="59"/>
  </si>
  <si>
    <t>競合名</t>
    <rPh sb="0" eb="3">
      <t>キョウゴウメイ</t>
    </rPh>
    <phoneticPr fontId="59"/>
  </si>
  <si>
    <t>申請内容</t>
    <rPh sb="0" eb="2">
      <t>シンセイ</t>
    </rPh>
    <rPh sb="2" eb="4">
      <t>ナイヨウ</t>
    </rPh>
    <phoneticPr fontId="55"/>
  </si>
  <si>
    <t>起票区分</t>
    <rPh sb="0" eb="2">
      <t>キヒョウ</t>
    </rPh>
    <rPh sb="2" eb="4">
      <t>クブン</t>
    </rPh>
    <phoneticPr fontId="55"/>
  </si>
  <si>
    <t>口銭率</t>
    <rPh sb="0" eb="2">
      <t>コウセン</t>
    </rPh>
    <rPh sb="2" eb="3">
      <t>リツ</t>
    </rPh>
    <phoneticPr fontId="55"/>
  </si>
  <si>
    <t>☑ 口銭申請有り</t>
    <rPh sb="2" eb="4">
      <t>コウセン</t>
    </rPh>
    <rPh sb="4" eb="6">
      <t>シンセイ</t>
    </rPh>
    <rPh sb="6" eb="7">
      <t>アリ</t>
    </rPh>
    <phoneticPr fontId="55"/>
  </si>
  <si>
    <t>プロジェクト情報</t>
    <rPh sb="6" eb="8">
      <t>ジョウホウ</t>
    </rPh>
    <phoneticPr fontId="55"/>
  </si>
  <si>
    <t>工事金額</t>
    <rPh sb="0" eb="4">
      <t>コウジキンガク</t>
    </rPh>
    <phoneticPr fontId="55"/>
  </si>
  <si>
    <t>万円/月</t>
    <rPh sb="0" eb="2">
      <t>マンエン</t>
    </rPh>
    <rPh sb="3" eb="4">
      <t>ツキ</t>
    </rPh>
    <phoneticPr fontId="55"/>
  </si>
  <si>
    <t>ヵ月</t>
    <rPh sb="1" eb="2">
      <t>ゲツ</t>
    </rPh>
    <phoneticPr fontId="55"/>
  </si>
  <si>
    <t>総工事金額</t>
    <rPh sb="0" eb="5">
      <t>ソウコウジキンガク</t>
    </rPh>
    <phoneticPr fontId="55"/>
  </si>
  <si>
    <t>万円</t>
    <rPh sb="0" eb="2">
      <t>マンエン</t>
    </rPh>
    <phoneticPr fontId="55"/>
  </si>
  <si>
    <t>競合名</t>
    <rPh sb="0" eb="3">
      <t>キョウゴウメイ</t>
    </rPh>
    <phoneticPr fontId="55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</si>
  <si>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5"/>
  </si>
  <si>
    <t>大分類A</t>
    <rPh sb="0" eb="3">
      <t>ダイブンルイ</t>
    </rPh>
    <phoneticPr fontId="55"/>
  </si>
  <si>
    <t>中分類B</t>
    <rPh sb="0" eb="3">
      <t>チュウブンルイ</t>
    </rPh>
    <phoneticPr fontId="55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</si>
  <si>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5"/>
  </si>
  <si>
    <t>値引補填工事</t>
    <rPh sb="0" eb="2">
      <t>ネビ</t>
    </rPh>
    <rPh sb="2" eb="4">
      <t>ホテン</t>
    </rPh>
    <rPh sb="4" eb="6">
      <t>コウジ</t>
    </rPh>
    <phoneticPr fontId="55"/>
  </si>
  <si>
    <t>備考欄</t>
    <rPh sb="0" eb="3">
      <t>ビコウラン</t>
    </rPh>
    <phoneticPr fontId="55"/>
  </si>
  <si>
    <t>添付書類</t>
    <rPh sb="0" eb="2">
      <t>テンプ</t>
    </rPh>
    <rPh sb="2" eb="4">
      <t>ショルイ</t>
    </rPh>
    <phoneticPr fontId="55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</si>
  <si>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5"/>
  </si>
  <si>
    <t>USD</t>
    <phoneticPr fontId="55"/>
  </si>
  <si>
    <t>コリア原計</t>
    <rPh sb="2" eb="4">
      <t>ゲンケイ</t>
    </rPh>
    <phoneticPr fontId="55"/>
  </si>
  <si>
    <t>純原価</t>
    <rPh sb="0" eb="1">
      <t>ジュン</t>
    </rPh>
    <rPh sb="1" eb="3">
      <t>ゲンカ</t>
    </rPh>
    <phoneticPr fontId="59"/>
  </si>
  <si>
    <t>申請通貨</t>
    <rPh sb="0" eb="2">
      <t>シンセイ</t>
    </rPh>
    <rPh sb="2" eb="4">
      <t>ツウカ</t>
    </rPh>
    <phoneticPr fontId="59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</si>
  <si>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59"/>
  </si>
  <si>
    <t>(外貨)</t>
    <rPh sb="0" eb="2">
      <t>ガイカ</t>
    </rPh>
    <phoneticPr fontId="55"/>
  </si>
  <si>
    <t>ピン@FOB</t>
    <phoneticPr fontId="59"/>
  </si>
  <si>
    <t>4800215830</t>
    <phoneticPr fontId="55"/>
  </si>
  <si>
    <t>TF38-20S-0.5SV(830)</t>
    <phoneticPr fontId="55"/>
  </si>
  <si>
    <t>KFH</t>
    <phoneticPr fontId="55"/>
  </si>
  <si>
    <t>FOB価格</t>
    <rPh sb="3" eb="5">
      <t>カカク</t>
    </rPh>
    <phoneticPr fontId="59"/>
  </si>
  <si>
    <t>◎ 単価上申書</t>
    <rPh sb="2" eb="4">
      <t>タンカ</t>
    </rPh>
    <rPh sb="4" eb="6">
      <t>ジョウシン</t>
    </rPh>
    <rPh sb="6" eb="7">
      <t>ショ</t>
    </rPh>
    <phoneticPr fontId="55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</si>
  <si>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5"/>
  </si>
  <si>
    <t>物流コスト率</t>
    <rPh sb="0" eb="2">
      <t>ブツリュウ</t>
    </rPh>
    <rPh sb="5" eb="6">
      <t>リツ</t>
    </rPh>
    <phoneticPr fontId="59"/>
  </si>
  <si>
    <t>(%)</t>
    <phoneticPr fontId="55"/>
  </si>
  <si>
    <t>販社売価</t>
    <rPh sb="0" eb="2">
      <t>ハンシャ</t>
    </rPh>
    <rPh sb="2" eb="4">
      <t>バイカ</t>
    </rPh>
    <phoneticPr fontId="59"/>
  </si>
  <si>
    <t>要求価格</t>
    <rPh sb="0" eb="1">
      <t>ヨウキュウ</t>
    </rPh>
    <rPh sb="1" eb="3">
      <t>カカク</t>
    </rPh>
    <phoneticPr fontId="55"/>
  </si>
  <si>
    <t>価格基準</t>
    <rPh sb="0" eb="1">
      <t>カカク</t>
    </rPh>
    <rPh sb="1" eb="3">
      <t>キジュン</t>
    </rPh>
    <phoneticPr fontId="55"/>
  </si>
  <si>
    <t>JPY</t>
    <phoneticPr fontId="55"/>
  </si>
  <si>
    <t>JAE</t>
    <phoneticPr fontId="55"/>
  </si>
  <si>
    <t>従来FOB価格</t>
    <rPh sb="0" eb="2">
      <t>ジュウライ</t>
    </rPh>
    <rPh sb="5" eb="7">
      <t>カカク</t>
    </rPh>
    <phoneticPr fontId="59"/>
  </si>
  <si>
    <t>CIF価格</t>
    <rPh sb="3" eb="5">
      <t>カカク</t>
    </rPh>
    <phoneticPr fontId="59"/>
  </si>
  <si>
    <t>FOB値引き率</t>
    <rPh sb="3" eb="5">
      <t>ネビ</t>
    </rPh>
    <rPh sb="6" eb="7">
      <t>リツ</t>
    </rPh>
    <phoneticPr fontId="59"/>
  </si>
  <si>
    <t>販社粗利率</t>
    <rPh sb="0" eb="2">
      <t>ハンシャ</t>
    </rPh>
    <rPh sb="2" eb="5">
      <t>アラリリツ</t>
    </rPh>
    <phoneticPr fontId="59"/>
  </si>
  <si>
    <t>純原価合計</t>
    <rPh sb="0" eb="1">
      <t>ジュン</t>
    </rPh>
    <rPh sb="1" eb="3">
      <t>ゲンカ</t>
    </rPh>
    <rPh sb="3" eb="5">
      <t>ゴウケイ</t>
    </rPh>
    <phoneticPr fontId="59"/>
  </si>
  <si>
    <t>連結粗利額</t>
    <rPh sb="0" eb="2">
      <t>レンケツ</t>
    </rPh>
    <rPh sb="2" eb="5">
      <t>アラリガク</t>
    </rPh>
    <phoneticPr fontId="59"/>
  </si>
  <si>
    <t>連結粗利率</t>
    <rPh sb="0" eb="2">
      <t>レンケツ</t>
    </rPh>
    <rPh sb="2" eb="5">
      <t>アラリリツ</t>
    </rPh>
    <phoneticPr fontId="59"/>
  </si>
  <si>
    <t>値引き率</t>
    <rPh sb="0" eb="2">
      <t>ネビ</t>
    </rPh>
    <rPh sb="3" eb="4">
      <t>リツ</t>
    </rPh>
    <phoneticPr fontId="55"/>
  </si>
  <si>
    <t>値引き額</t>
    <rPh sb="0" eb="2">
      <t>ネビ</t>
    </rPh>
    <rPh sb="3" eb="4">
      <t>ガク</t>
    </rPh>
    <phoneticPr fontId="55"/>
  </si>
  <si>
    <t>売上(連結)</t>
    <rPh sb="0" eb="2">
      <t>ウリアゲ</t>
    </rPh>
    <rPh sb="3" eb="5">
      <t>レンケツ</t>
    </rPh>
    <phoneticPr fontId="55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</si>
  <si>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5"/>
  </si>
  <si>
    <t>10347008</t>
    <phoneticPr fontId="55"/>
  </si>
  <si>
    <t>関　博一</t>
    <phoneticPr fontId="55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</si>
  <si>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5"/>
  </si>
  <si>
    <t>10637000</t>
    <phoneticPr fontId="55"/>
  </si>
  <si>
    <t>古川　福待</t>
    <phoneticPr fontId="55"/>
  </si>
  <si>
    <t>承認者設定</t>
    <rPh sb="0" eb="3">
      <t>ショウニンシャ</t>
    </rPh>
    <rPh sb="3" eb="5">
      <t>セッテイ</t>
    </rPh>
    <phoneticPr fontId="55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</si>
  <si>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5"/>
  </si>
  <si>
    <t>確認者設定</t>
    <rPh sb="0" eb="3">
      <t>カクニンシャ</t>
    </rPh>
    <rPh sb="3" eb="5">
      <t>セッテイ</t>
    </rPh>
    <phoneticPr fontId="55"/>
  </si>
  <si>
    <t>確認者一覧</t>
    <rPh sb="0" eb="3">
      <t>カクニンシャ</t>
    </rPh>
    <rPh sb="3" eb="5">
      <t>イチラン</t>
    </rPh>
    <phoneticPr fontId="55"/>
  </si>
  <si>
    <t>部門</t>
    <rPh sb="0" eb="2">
      <t>ブモン</t>
    </rPh>
    <phoneticPr fontId="55"/>
  </si>
  <si>
    <t>確認者名</t>
    <rPh sb="0" eb="4">
      <t>カクニンシャメイ</t>
    </rPh>
    <phoneticPr fontId="55"/>
  </si>
  <si>
    <t>ヒロセ電機株式会社/管理本部/ＩＴ統括部</t>
    <phoneticPr fontId="55"/>
  </si>
  <si>
    <t>部長</t>
    <rPh sb="0" eb="2">
      <t>ブチョウ</t>
    </rPh>
    <phoneticPr fontId="55"/>
  </si>
  <si>
    <t>志村 亜里沙</t>
    <rPh sb="0" eb="1">
      <t>シムラ</t>
    </rPh>
    <rPh sb="2" eb="5">
      <t>アリサ</t>
    </rPh>
    <phoneticPr fontId="55"/>
  </si>
  <si>
    <t>出水 瞳</t>
    <rPh sb="0" eb="1">
      <t>デミズ</t>
    </rPh>
    <rPh sb="2" eb="3">
      <t>ヒトミ</t>
    </rPh>
    <phoneticPr fontId="55"/>
  </si>
  <si>
    <t>松澤 朱海</t>
    <rPh sb="0" eb="1">
      <t>マツザワ</t>
    </rPh>
    <rPh sb="2" eb="3">
      <t>シュ</t>
    </rPh>
    <rPh sb="3" eb="4">
      <t>ウミ</t>
    </rPh>
    <phoneticPr fontId="55"/>
  </si>
  <si>
    <t>ｒ1.0</t>
    <phoneticPr fontId="49"/>
  </si>
  <si>
    <t>形</t>
    <rPh sb="0" eb="1">
      <t>カタ</t>
    </rPh>
    <phoneticPr fontId="59"/>
  </si>
  <si>
    <t>通貨</t>
    <rPh sb="0" eb="2">
      <t>ツウカ</t>
    </rPh>
    <phoneticPr fontId="59"/>
  </si>
  <si>
    <t>EUR</t>
    <phoneticPr fontId="55"/>
  </si>
  <si>
    <t>精算通貨</t>
    <rPh sb="0" eb="2">
      <t>セイサン</t>
    </rPh>
    <rPh sb="2" eb="4">
      <t>ツウカ</t>
    </rPh>
    <phoneticPr fontId="55"/>
  </si>
  <si>
    <t>SFDC工事番号</t>
    <rPh sb="4" eb="6">
      <t>コウジ</t>
    </rPh>
    <rPh sb="6" eb="8">
      <t>バンゴウ</t>
    </rPh>
    <phoneticPr fontId="55"/>
  </si>
  <si>
    <t>円/月</t>
    <rPh sb="0" eb="1">
      <t>エン</t>
    </rPh>
    <rPh sb="2" eb="3">
      <t>ツキ</t>
    </rPh>
    <phoneticPr fontId="55"/>
  </si>
  <si>
    <t>海外販社</t>
    <rPh sb="0" eb="2">
      <t>カイガイ</t>
    </rPh>
    <rPh sb="2" eb="4">
      <t>ハンシャ</t>
    </rPh>
    <phoneticPr fontId="55"/>
  </si>
  <si>
    <t>レップ社名</t>
    <rPh sb="3" eb="4">
      <t>シャ</t>
    </rPh>
    <rPh sb="4" eb="5">
      <t>メイ</t>
    </rPh>
    <phoneticPr fontId="55"/>
  </si>
  <si>
    <t>量産時期</t>
    <rPh sb="0" eb="2">
      <t>リョウサン</t>
    </rPh>
    <rPh sb="2" eb="4">
      <t>ジキ</t>
    </rPh>
    <phoneticPr fontId="55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</si>
  <si>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5"/>
  </si>
  <si>
    <t>生産セット台数</t>
    <rPh sb="0" eb="2">
      <t>セイサン</t>
    </rPh>
    <rPh sb="5" eb="7">
      <t>ダイスウ</t>
    </rPh>
    <phoneticPr fontId="55"/>
  </si>
  <si>
    <t>プロジェクトピーク金額</t>
    <rPh sb="9" eb="11">
      <t>キンガク</t>
    </rPh>
    <phoneticPr fontId="55"/>
  </si>
  <si>
    <t>大分類</t>
    <rPh sb="0" eb="3">
      <t>ダイブンルイ</t>
    </rPh>
    <phoneticPr fontId="55"/>
  </si>
  <si>
    <t>中分類</t>
    <rPh sb="0" eb="3">
      <t>チュウブンルイ</t>
    </rPh>
    <phoneticPr fontId="55"/>
  </si>
  <si>
    <t>レート</t>
    <phoneticPr fontId="55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</si>
  <si>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5"/>
  </si>
  <si>
    <t>総合計</t>
    <rPh sb="0" eb="3">
      <t>ソウゴウケイ</t>
    </rPh>
    <phoneticPr fontId="55"/>
  </si>
  <si>
    <t>形</t>
    <rPh sb="0" eb="1">
      <t>カタ</t>
    </rPh>
    <phoneticPr fontId="55"/>
  </si>
  <si>
    <t>形小計</t>
    <rPh sb="0" eb="1">
      <t>カタ</t>
    </rPh>
    <rPh sb="1" eb="3">
      <t>ショウケイ</t>
    </rPh>
    <phoneticPr fontId="55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</si>
  <si>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</si>
  <si>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t>SA-PR123456</t>
    <phoneticPr fontId="55"/>
  </si>
  <si>
    <t>案件番号：</t>
    <phoneticPr fontId="55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</si>
  <si>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5"/>
  </si>
  <si>
    <t>コメント</t>
    <phoneticPr fontId="55"/>
  </si>
  <si>
    <t>コメント入力</t>
    <rPh sb="3" eb="5">
      <t>ニュウリョク</t>
    </rPh>
    <phoneticPr fontId="55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</si>
  <si>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59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</si>
  <si>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59"/>
  </si>
  <si>
    <t>表示通貨</t>
    <rPh sb="0" eb="1">
      <t>ヒョウジ</t>
    </rPh>
    <rPh sb="1" eb="3">
      <t>ツウカ</t>
    </rPh>
    <phoneticPr fontId="55"/>
  </si>
  <si>
    <t>表示通貨</t>
    <rPh sb="0" eb="2">
      <t>ヒョウジ</t>
    </rPh>
    <rPh sb="2" eb="4">
      <t>ツウカ</t>
    </rPh>
    <phoneticPr fontId="55"/>
  </si>
  <si>
    <t>古竹</t>
    <rPh sb="0" eb="2">
      <t>フルタケ</t>
    </rPh>
    <phoneticPr fontId="49"/>
  </si>
  <si>
    <t>化学物質データ</t>
    <rPh sb="0" eb="2">
      <t>カガクブッシツ</t>
    </rPh>
    <phoneticPr fontId="55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</si>
  <si>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</t>
    </r>
    <rPh sb="5" eb="9">
      <t>カガクブッシツ</t>
    </rPh>
    <phoneticPr fontId="55"/>
  </si>
  <si>
    <t>機能仕様</t>
    <rPh sb="0" eb="4">
      <t>キノウシヨウ</t>
    </rPh>
    <phoneticPr fontId="55"/>
  </si>
  <si>
    <t>*採番については、2018年だけ2018-50000から採番する。</t>
  </si>
  <si>
    <t>2019年以後は20xx-00000という形で採番される。</t>
  </si>
  <si>
    <t>画面項目(Screen Items)</t>
    <rPh sb="0" eb="4">
      <t>ガメンコウモク</t>
    </rPh>
    <phoneticPr fontId="11"/>
  </si>
  <si>
    <t>必須記入</t>
    <rPh sb="0" eb="2">
      <t>ヒッス</t>
    </rPh>
    <rPh sb="2" eb="4">
      <t>キニュウ</t>
    </rPh>
    <phoneticPr fontId="11"/>
  </si>
  <si>
    <t>項番
(No)</t>
    <phoneticPr fontId="11"/>
  </si>
  <si>
    <t>項目名(Item Name)</t>
    <phoneticPr fontId="11"/>
  </si>
  <si>
    <t>初期値
(Default Value)</t>
    <rPh sb="0" eb="3">
      <t>ショキチ</t>
    </rPh>
    <phoneticPr fontId="11"/>
  </si>
  <si>
    <t>備考
(Comment)</t>
    <rPh sb="0" eb="2">
      <t>ビコウ</t>
    </rPh>
    <phoneticPr fontId="11"/>
  </si>
  <si>
    <t>エリア
（Area）</t>
    <phoneticPr fontId="11"/>
  </si>
  <si>
    <t>項目名
(Item Name)</t>
    <phoneticPr fontId="11"/>
  </si>
  <si>
    <t>項番
(No)</t>
    <rPh sb="0" eb="2">
      <t>コウバン</t>
    </rPh>
    <phoneticPr fontId="11"/>
  </si>
  <si>
    <t>○</t>
    <phoneticPr fontId="11"/>
  </si>
  <si>
    <t>×</t>
    <phoneticPr fontId="11"/>
  </si>
  <si>
    <t>画面状態 (Screen State)</t>
    <rPh sb="0" eb="4">
      <t>ガメンジョウタイ</t>
    </rPh>
    <phoneticPr fontId="11"/>
  </si>
  <si>
    <t>論理項目名
(Logical Item Name)</t>
    <rPh sb="0" eb="5">
      <t>ロンリコウモクメイ</t>
    </rPh>
    <phoneticPr fontId="11"/>
  </si>
  <si>
    <t>状態 (State)</t>
    <rPh sb="0" eb="2">
      <t>ジョウタイ</t>
    </rPh>
    <phoneticPr fontId="11"/>
  </si>
  <si>
    <t>初期表示</t>
    <rPh sb="0" eb="2">
      <t>ショキ</t>
    </rPh>
    <rPh sb="2" eb="4">
      <t>ヒョウジ</t>
    </rPh>
    <phoneticPr fontId="59"/>
  </si>
  <si>
    <t>Legend Name</t>
    <phoneticPr fontId="11"/>
  </si>
  <si>
    <t>Legend Value</t>
    <phoneticPr fontId="11"/>
  </si>
  <si>
    <t>Display(Active)</t>
    <phoneticPr fontId="11"/>
  </si>
  <si>
    <t>Display(In-Active)</t>
    <phoneticPr fontId="11"/>
  </si>
  <si>
    <t>●</t>
    <phoneticPr fontId="11"/>
  </si>
  <si>
    <t>Hidden</t>
    <phoneticPr fontId="11"/>
  </si>
  <si>
    <t>申請完了</t>
    <rPh sb="0" eb="4">
      <t>シンセイカンリョウ</t>
    </rPh>
    <phoneticPr fontId="55"/>
  </si>
  <si>
    <t>&lt;受付番号：2016-00043&gt; 化学物質データの申請が完了しました。</t>
    <phoneticPr fontId="55"/>
  </si>
  <si>
    <t>　申請完了メールを登録メールアドレスへ送信致しました。ご確認ください。</t>
    <phoneticPr fontId="55"/>
  </si>
  <si>
    <t>　・登録メールアドレス : user@mail.com</t>
    <phoneticPr fontId="55"/>
  </si>
  <si>
    <t>　・送信メールアドレス : GM_no-reply@hirose.com</t>
    <rPh sb="2" eb="4">
      <t>ソウシン</t>
    </rPh>
    <phoneticPr fontId="55"/>
  </si>
  <si>
    <t>　・メール件名 : &lt;HRS:2016-000043&gt; 化学物質データ申請完了</t>
    <phoneticPr fontId="55"/>
  </si>
  <si>
    <t>　　　申請されたデータは、まとめてzipファイルで出力致します。</t>
    <phoneticPr fontId="55"/>
  </si>
  <si>
    <t>　※　データを作成するのに時間がかかる場合がございます。データの作成が完了しましたら、完了メールを送信致します。</t>
    <phoneticPr fontId="55"/>
  </si>
  <si>
    <t>参考：サイト言語が日本語ではない場合に表示される英語コンテンツ</t>
    <rPh sb="0" eb="2">
      <t>サンコウ</t>
    </rPh>
    <rPh sb="6" eb="8">
      <t>ゲンゴ</t>
    </rPh>
    <rPh sb="9" eb="12">
      <t>ニホンゴ</t>
    </rPh>
    <rPh sb="16" eb="18">
      <t>バアイ</t>
    </rPh>
    <rPh sb="19" eb="21">
      <t>ヒョウジ</t>
    </rPh>
    <rPh sb="24" eb="26">
      <t>エイゴ</t>
    </rPh>
    <phoneticPr fontId="3"/>
  </si>
  <si>
    <t>Application Completion</t>
    <phoneticPr fontId="55"/>
  </si>
  <si>
    <t>&lt;Application NO:2016-0043&gt; Application of the chemical substance data has been completed.</t>
    <phoneticPr fontId="55"/>
  </si>
  <si>
    <t>　Could you confirm the acceptance confirmation e-mail?</t>
    <phoneticPr fontId="55"/>
  </si>
  <si>
    <t>　・Registered e-mail address  : user@mail.com</t>
    <phoneticPr fontId="55"/>
  </si>
  <si>
    <t>　・Source e-mail address  : GM_no-reply@hirose.com</t>
    <phoneticPr fontId="55"/>
  </si>
  <si>
    <t>　・Subject : &lt;HRS:2016-000043&gt; Chemical substance data application completion</t>
    <phoneticPr fontId="55"/>
  </si>
  <si>
    <t>　* It take some time to output the data.Once the data is now complete, we will send the completion mail.</t>
    <phoneticPr fontId="55"/>
  </si>
  <si>
    <t>　　We will output the data that has been filed in the ZIP file.</t>
    <phoneticPr fontId="55"/>
  </si>
  <si>
    <t>1. パンくずリストエリア</t>
  </si>
  <si>
    <t>1.1　パンくずリスト</t>
  </si>
  <si>
    <t>以下のようにパンくずリストを表示する。</t>
    <rPh sb="0" eb="2">
      <t>イカ</t>
    </rPh>
    <rPh sb="14" eb="16">
      <t>ヒョウジ</t>
    </rPh>
    <phoneticPr fontId="4"/>
  </si>
  <si>
    <t>『製品トップ &gt; 化学物質データ申請完了』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カンリョウ</t>
    </rPh>
    <phoneticPr fontId="4"/>
  </si>
  <si>
    <t>2. 申請完了表示エリア</t>
    <rPh sb="3" eb="5">
      <t>シンセイ</t>
    </rPh>
    <rPh sb="5" eb="7">
      <t>カンリョウ</t>
    </rPh>
    <rPh sb="7" eb="9">
      <t>ヒョウジ</t>
    </rPh>
    <phoneticPr fontId="3"/>
  </si>
  <si>
    <t>言語情報が"jp"の場合は日本語のコンテンツを、それ</t>
  </si>
  <si>
    <t>以外の場合は英語のコンテンツを表示する。</t>
  </si>
  <si>
    <t>2.1 申請完了情報</t>
    <rPh sb="4" eb="6">
      <t>シンセイ</t>
    </rPh>
    <rPh sb="6" eb="8">
      <t>カンリョウ</t>
    </rPh>
    <rPh sb="8" eb="10">
      <t>ジョウホウ</t>
    </rPh>
    <phoneticPr fontId="3"/>
  </si>
  <si>
    <t>受付番号：</t>
    <rPh sb="0" eb="2">
      <t>ウケツケ</t>
    </rPh>
    <rPh sb="2" eb="4">
      <t>バンゴウ</t>
    </rPh>
    <phoneticPr fontId="3"/>
  </si>
  <si>
    <t>申請データをyCommerceに登録する際に、</t>
    <rPh sb="0" eb="2">
      <t>シンセイ</t>
    </rPh>
    <rPh sb="16" eb="18">
      <t>トウロク</t>
    </rPh>
    <rPh sb="20" eb="21">
      <t>サイ</t>
    </rPh>
    <phoneticPr fontId="3"/>
  </si>
  <si>
    <t>hybrisのGeneratorを利用して生成されるシーケンス値。</t>
    <rPh sb="17" eb="19">
      <t>リヨウ</t>
    </rPh>
    <rPh sb="21" eb="23">
      <t>セイセイ</t>
    </rPh>
    <rPh sb="31" eb="32">
      <t>チ</t>
    </rPh>
    <phoneticPr fontId="3"/>
  </si>
  <si>
    <t>書式：暦年-シーケンス番号</t>
    <rPh sb="0" eb="2">
      <t>ショシキ</t>
    </rPh>
    <phoneticPr fontId="3"/>
  </si>
  <si>
    <t>2.2 登録メールアドレス</t>
    <rPh sb="4" eb="6">
      <t>トウロク</t>
    </rPh>
    <phoneticPr fontId="3"/>
  </si>
  <si>
    <t>申請者のアドレスが表示される。申請完了時のメールは、</t>
    <rPh sb="15" eb="17">
      <t>シンセイ</t>
    </rPh>
    <rPh sb="17" eb="19">
      <t>カンリョウ</t>
    </rPh>
    <rPh sb="19" eb="20">
      <t>ジ</t>
    </rPh>
    <phoneticPr fontId="3"/>
  </si>
  <si>
    <t>このアドレス宛に送信される</t>
    <rPh sb="6" eb="7">
      <t>アテ</t>
    </rPh>
    <rPh sb="8" eb="10">
      <t>ソウシン</t>
    </rPh>
    <phoneticPr fontId="3"/>
  </si>
  <si>
    <t>2.3 送信メールアドレス</t>
    <rPh sb="4" eb="6">
      <t>ソウシン</t>
    </rPh>
    <phoneticPr fontId="3"/>
  </si>
  <si>
    <t>送信メールアドレスは固定（汎用マスタから取得）。</t>
  </si>
  <si>
    <t>申請者宛に送信されるメールの"from"として本アドレス</t>
    <rPh sb="0" eb="3">
      <t>シンセイシャ</t>
    </rPh>
    <rPh sb="3" eb="4">
      <t>アテ</t>
    </rPh>
    <rPh sb="5" eb="7">
      <t>ソウシン</t>
    </rPh>
    <rPh sb="23" eb="24">
      <t>ホン</t>
    </rPh>
    <phoneticPr fontId="3"/>
  </si>
  <si>
    <t>が設定される。</t>
    <rPh sb="1" eb="3">
      <t>セッテイ</t>
    </rPh>
    <phoneticPr fontId="3"/>
  </si>
  <si>
    <t>2.4 化学物質データ画面へ戻る</t>
    <rPh sb="4" eb="6">
      <t>カガク</t>
    </rPh>
    <rPh sb="6" eb="8">
      <t>ブッシツ</t>
    </rPh>
    <rPh sb="11" eb="13">
      <t>ガメン</t>
    </rPh>
    <rPh sb="14" eb="15">
      <t>モド</t>
    </rPh>
    <phoneticPr fontId="3"/>
  </si>
  <si>
    <t xml:space="preserve">押下すると、一括申請リスト（化学物質データ画面）
</t>
    <rPh sb="0" eb="2">
      <t>オウカ</t>
    </rPh>
    <phoneticPr fontId="3"/>
  </si>
  <si>
    <t>へ移動する</t>
  </si>
  <si>
    <t>環境証明書申請</t>
    <rPh sb="0" eb="5">
      <t>カンキョウショウメイショ</t>
    </rPh>
    <rPh sb="5" eb="7">
      <t>シンセイ</t>
    </rPh>
    <phoneticPr fontId="55"/>
  </si>
  <si>
    <r>
      <t>申請者</t>
    </r>
    <r>
      <rPr>
        <sz val="9"/>
        <color rgb="FFFF0000"/>
        <rFont val="Meiryo UI"/>
        <family val="3"/>
        <charset val="128"/>
      </rPr>
      <t>*</t>
    </r>
    <rPh sb="0" eb="3">
      <t>シンセイシャ</t>
    </rPh>
    <phoneticPr fontId="55"/>
  </si>
  <si>
    <t>　古賀 敬子［kkoga@daitron.co.jp］</t>
    <rPh sb="1" eb="3">
      <t>コガ</t>
    </rPh>
    <rPh sb="4" eb="6">
      <t>ケイコ</t>
    </rPh>
    <phoneticPr fontId="55"/>
  </si>
  <si>
    <r>
      <t>受付番号</t>
    </r>
    <r>
      <rPr>
        <sz val="9"/>
        <color rgb="FFFF0000"/>
        <rFont val="Meiryo UI"/>
        <family val="3"/>
        <charset val="128"/>
      </rPr>
      <t>*</t>
    </r>
    <rPh sb="0" eb="4">
      <t>ウケツケバンゴウ</t>
    </rPh>
    <phoneticPr fontId="55"/>
  </si>
  <si>
    <t>提出企業名</t>
    <rPh sb="0" eb="5">
      <t>テイシュツキギョウメイ</t>
    </rPh>
    <phoneticPr fontId="55"/>
  </si>
  <si>
    <t>　BANDO DENSEN-THA</t>
    <phoneticPr fontId="55"/>
  </si>
  <si>
    <t>エンドユーザー</t>
    <phoneticPr fontId="55"/>
  </si>
  <si>
    <t>申請ステータス</t>
    <rPh sb="0" eb="2">
      <t>シンセイ</t>
    </rPh>
    <phoneticPr fontId="55"/>
  </si>
  <si>
    <t>　処理済み</t>
    <rPh sb="1" eb="4">
      <t>ショリズ</t>
    </rPh>
    <phoneticPr fontId="55"/>
  </si>
  <si>
    <r>
      <t>申請日</t>
    </r>
    <r>
      <rPr>
        <sz val="9"/>
        <color rgb="FFFF0000"/>
        <rFont val="Meiryo UI"/>
        <family val="3"/>
        <charset val="128"/>
      </rPr>
      <t>*</t>
    </r>
    <rPh sb="0" eb="3">
      <t>シンセイビ</t>
    </rPh>
    <phoneticPr fontId="55"/>
  </si>
  <si>
    <t>　2026/03/01</t>
    <phoneticPr fontId="55"/>
  </si>
  <si>
    <t>　KONICA MINOLTA</t>
    <phoneticPr fontId="55"/>
  </si>
  <si>
    <t>　2026-01327</t>
    <phoneticPr fontId="55"/>
  </si>
  <si>
    <t>CL-Code</t>
    <phoneticPr fontId="55"/>
  </si>
  <si>
    <t>　CL-12345</t>
    <phoneticPr fontId="55"/>
  </si>
  <si>
    <t>ハロゲンフリー証明書</t>
    <rPh sb="7" eb="10">
      <t>ショウメイショ</t>
    </rPh>
    <phoneticPr fontId="55"/>
  </si>
  <si>
    <t>ICP</t>
    <phoneticPr fontId="55"/>
  </si>
  <si>
    <t>　YES</t>
    <phoneticPr fontId="55"/>
  </si>
  <si>
    <t>chemSHERPA</t>
    <phoneticPr fontId="55"/>
  </si>
  <si>
    <t>RoHS適合証明書</t>
    <rPh sb="4" eb="9">
      <t>テキゴウショウメイショ</t>
    </rPh>
    <phoneticPr fontId="55"/>
  </si>
  <si>
    <t>成分表</t>
    <rPh sb="0" eb="3">
      <t>セイブンヒョウ</t>
    </rPh>
    <phoneticPr fontId="55"/>
  </si>
  <si>
    <t>SDS</t>
    <phoneticPr fontId="55"/>
  </si>
  <si>
    <t>SVHC調査報告書</t>
    <rPh sb="4" eb="9">
      <t>チョウサホウコクショ</t>
    </rPh>
    <phoneticPr fontId="55"/>
  </si>
  <si>
    <t>申請者</t>
    <rPh sb="0" eb="2">
      <t>シンセイシャ</t>
    </rPh>
    <phoneticPr fontId="55"/>
  </si>
  <si>
    <t>chen abby[abbchen@sinbon.c…</t>
    <phoneticPr fontId="55"/>
  </si>
  <si>
    <t>受付番号　⇅</t>
    <rPh sb="0" eb="3">
      <t>ウケツケバンゴウ</t>
    </rPh>
    <phoneticPr fontId="55"/>
  </si>
  <si>
    <t>2026-01324</t>
    <phoneticPr fontId="55"/>
  </si>
  <si>
    <t>提出先企業名　⇅</t>
    <rPh sb="0" eb="2">
      <t>テイシュツ</t>
    </rPh>
    <rPh sb="2" eb="3">
      <t>サキ</t>
    </rPh>
    <rPh sb="3" eb="5">
      <t>キギョウ</t>
    </rPh>
    <rPh sb="5" eb="6">
      <t>メイ</t>
    </rPh>
    <phoneticPr fontId="55"/>
  </si>
  <si>
    <t>801813</t>
    <phoneticPr fontId="55"/>
  </si>
  <si>
    <t>エンドユーザー　⇅</t>
    <phoneticPr fontId="55"/>
  </si>
  <si>
    <t>Garmin</t>
    <phoneticPr fontId="55"/>
  </si>
  <si>
    <t>申請ステータス　⇅</t>
    <rPh sb="0" eb="2">
      <t>シンセイ</t>
    </rPh>
    <phoneticPr fontId="55"/>
  </si>
  <si>
    <t>未処理</t>
    <rPh sb="0" eb="2">
      <t>ミショリ</t>
    </rPh>
    <phoneticPr fontId="55"/>
  </si>
  <si>
    <t>2026-01323</t>
    <phoneticPr fontId="55"/>
  </si>
  <si>
    <t>801580</t>
    <phoneticPr fontId="55"/>
  </si>
  <si>
    <t>Nexcom Standard</t>
    <phoneticPr fontId="55"/>
  </si>
  <si>
    <t>＜</t>
    <phoneticPr fontId="55"/>
  </si>
  <si>
    <t>/</t>
    <phoneticPr fontId="55"/>
  </si>
  <si>
    <t>＞</t>
    <phoneticPr fontId="55"/>
  </si>
  <si>
    <t>1. 環境証明書申請状況詳細</t>
    <rPh sb="3" eb="8">
      <t>カンキョウショウメイショ</t>
    </rPh>
    <rPh sb="8" eb="10">
      <t>シンセイ</t>
    </rPh>
    <rPh sb="10" eb="12">
      <t>ジョウキョウ</t>
    </rPh>
    <rPh sb="12" eb="14">
      <t>ショウサイ</t>
    </rPh>
    <phoneticPr fontId="55"/>
  </si>
  <si>
    <t>1.1　申請者</t>
    <rPh sb="4" eb="7">
      <t>シンセイシャ</t>
    </rPh>
    <phoneticPr fontId="55"/>
  </si>
  <si>
    <t>1.2　受付番号</t>
    <rPh sb="4" eb="8">
      <t>ウケツケバンゴウ</t>
    </rPh>
    <phoneticPr fontId="55"/>
  </si>
  <si>
    <t>1.3　提出企業名</t>
    <rPh sb="4" eb="9">
      <t>テイシュツキギョウメイ</t>
    </rPh>
    <phoneticPr fontId="55"/>
  </si>
  <si>
    <t>1.4　エンドユーザー</t>
    <phoneticPr fontId="55"/>
  </si>
  <si>
    <t>1.5　申請ステータス</t>
    <rPh sb="4" eb="6">
      <t>シンセイ</t>
    </rPh>
    <phoneticPr fontId="55"/>
  </si>
  <si>
    <t>1.6　申請日</t>
    <rPh sb="4" eb="6">
      <t>シンセイ</t>
    </rPh>
    <rPh sb="6" eb="7">
      <t>ビ</t>
    </rPh>
    <phoneticPr fontId="55"/>
  </si>
  <si>
    <t>1.7　CL-Code</t>
    <phoneticPr fontId="55"/>
  </si>
  <si>
    <t>1.8　RoHS適合証明書</t>
    <rPh sb="8" eb="13">
      <t>テキゴウショウメイショ</t>
    </rPh>
    <phoneticPr fontId="55"/>
  </si>
  <si>
    <t>1.9　ハロゲンフリー証明書</t>
    <rPh sb="11" eb="14">
      <t>ショウメイショ</t>
    </rPh>
    <phoneticPr fontId="55"/>
  </si>
  <si>
    <t>1.10　成分表</t>
    <rPh sb="5" eb="8">
      <t>セイブンヒョウ</t>
    </rPh>
    <phoneticPr fontId="55"/>
  </si>
  <si>
    <t>1.11　ICP</t>
    <phoneticPr fontId="55"/>
  </si>
  <si>
    <t>1.12　SDS</t>
    <phoneticPr fontId="55"/>
  </si>
  <si>
    <t>1.13　chemSHERPA</t>
    <phoneticPr fontId="55"/>
  </si>
  <si>
    <t>下記項目の申請状況のステータスを表示</t>
    <rPh sb="0" eb="4">
      <t>カキコウモク</t>
    </rPh>
    <rPh sb="5" eb="7">
      <t>シンセイ</t>
    </rPh>
    <rPh sb="7" eb="9">
      <t>ジョウキョウ</t>
    </rPh>
    <rPh sb="16" eb="18">
      <t>ヒョウジ</t>
    </rPh>
    <phoneticPr fontId="55"/>
  </si>
  <si>
    <t>HrsCustomer.uidを照合して該当の申請者の名前を表示</t>
    <phoneticPr fontId="55"/>
  </si>
  <si>
    <t>HrsChemicalSubstance.appNoを照合して該当の受付番号を表示</t>
  </si>
  <si>
    <t>HrsChemicalSubstance.clientCodeを照合して該当の提出企業名を表示</t>
    <phoneticPr fontId="55"/>
  </si>
  <si>
    <t>HrsChemicalSubstance.endUserを照合して該当のエンドユーザー名を表示</t>
    <phoneticPr fontId="55"/>
  </si>
  <si>
    <t>ChemicalSubstanceStatusを照合して「未処理/処理中/処理済み」を表示</t>
    <phoneticPr fontId="55"/>
  </si>
  <si>
    <t>HrsChemicalSubstance.creationtimeを照合して申請日を出力</t>
  </si>
  <si>
    <t>HrsChemicalSubstanceProduct.partNoを照合して該当のCLナンバーを出力する</t>
    <phoneticPr fontId="55"/>
  </si>
  <si>
    <t>HrsChemicalSubstanceEntry.requestedCertificatesの値を</t>
    <phoneticPr fontId="55"/>
  </si>
  <si>
    <t>AppEnumGroup.ChemicalSubstanceDataと照合し、「YES/空白」を表示</t>
  </si>
  <si>
    <t>RoHS適合証明書</t>
    <rPh sb="4" eb="6">
      <t>テキゴウ</t>
    </rPh>
    <rPh sb="6" eb="8">
      <t>ショウメイ</t>
    </rPh>
    <rPh sb="8" eb="9">
      <t>ショ</t>
    </rPh>
    <phoneticPr fontId="59"/>
  </si>
  <si>
    <t>環境証明書申請状況詳細エリア</t>
    <phoneticPr fontId="55"/>
  </si>
  <si>
    <t>ハロゲンフリー証明書</t>
    <rPh sb="7" eb="10">
      <t>ショウメイショ</t>
    </rPh>
    <phoneticPr fontId="59"/>
  </si>
  <si>
    <t>申請者</t>
    <rPh sb="0" eb="3">
      <t>シンセイシャ</t>
    </rPh>
    <phoneticPr fontId="55"/>
  </si>
  <si>
    <t>1.14　SVHC調査報告書</t>
    <rPh sb="9" eb="11">
      <t>チョウサ</t>
    </rPh>
    <rPh sb="11" eb="14">
      <t>ホウコクショ</t>
    </rPh>
    <phoneticPr fontId="55"/>
  </si>
  <si>
    <t>SVHC調査報告書</t>
    <phoneticPr fontId="55"/>
  </si>
  <si>
    <t>提出先企業名</t>
    <phoneticPr fontId="59"/>
  </si>
  <si>
    <t>エンドユーザー</t>
    <phoneticPr fontId="59"/>
  </si>
  <si>
    <t>受付番号</t>
    <rPh sb="0" eb="4">
      <t>ウケツケバンゴウ</t>
    </rPh>
    <phoneticPr fontId="55"/>
  </si>
  <si>
    <t>申請日</t>
    <rPh sb="0" eb="3">
      <t>シンセイビ</t>
    </rPh>
    <phoneticPr fontId="55"/>
  </si>
  <si>
    <t>2</t>
    <phoneticPr fontId="55"/>
  </si>
  <si>
    <t>1</t>
    <phoneticPr fontId="55"/>
  </si>
  <si>
    <t>環境証明書申請検索</t>
    <rPh sb="7" eb="9">
      <t>ケンサク</t>
    </rPh>
    <phoneticPr fontId="55"/>
  </si>
  <si>
    <t>申請ログ検索欄</t>
    <rPh sb="0" eb="2">
      <t>シンセイ</t>
    </rPh>
    <rPh sb="4" eb="6">
      <t>ケンサク</t>
    </rPh>
    <rPh sb="6" eb="7">
      <t>ラン</t>
    </rPh>
    <phoneticPr fontId="55"/>
  </si>
  <si>
    <t>申請者</t>
    <rPh sb="0" eb="2">
      <t>シンセイ</t>
    </rPh>
    <rPh sb="2" eb="3">
      <t>シャ</t>
    </rPh>
    <phoneticPr fontId="55"/>
  </si>
  <si>
    <t>受付番号</t>
    <rPh sb="0" eb="4">
      <t>ウケツケバンゴウ</t>
    </rPh>
    <phoneticPr fontId="59"/>
  </si>
  <si>
    <t>提出企業名</t>
    <rPh sb="0" eb="5">
      <t>テイシュツキギョウメイ</t>
    </rPh>
    <phoneticPr fontId="59"/>
  </si>
  <si>
    <t>検索結果表示ページ</t>
    <rPh sb="0" eb="2">
      <t>ケンサク</t>
    </rPh>
    <rPh sb="2" eb="4">
      <t>ケッカ</t>
    </rPh>
    <rPh sb="4" eb="6">
      <t>ヒョウジ</t>
    </rPh>
    <phoneticPr fontId="55"/>
  </si>
  <si>
    <t>管理者ログ確認システム</t>
    <rPh sb="0" eb="3">
      <t>カンリシャ</t>
    </rPh>
    <rPh sb="5" eb="7">
      <t>カクニン</t>
    </rPh>
    <phoneticPr fontId="49"/>
  </si>
  <si>
    <t>管理画面</t>
    <rPh sb="0" eb="4">
      <t>カンリガメン</t>
    </rPh>
    <phoneticPr fontId="49"/>
  </si>
  <si>
    <t>ｒ1.1</t>
    <phoneticPr fontId="49"/>
  </si>
  <si>
    <t>期間指定申請ログ検索欄を追加</t>
    <rPh sb="0" eb="2">
      <t>キカン</t>
    </rPh>
    <rPh sb="2" eb="4">
      <t>シテイ</t>
    </rPh>
    <rPh sb="4" eb="6">
      <t>シンセイ</t>
    </rPh>
    <rPh sb="8" eb="10">
      <t>ケンサク</t>
    </rPh>
    <rPh sb="10" eb="11">
      <t>ラン</t>
    </rPh>
    <rPh sb="12" eb="14">
      <t>ツイカ</t>
    </rPh>
    <phoneticPr fontId="49"/>
  </si>
  <si>
    <t>管理者申請ログ確認画面</t>
    <phoneticPr fontId="49"/>
  </si>
  <si>
    <t>新環境証明書システム</t>
    <rPh sb="0" eb="6">
      <t>シンカンキョウショウメイショ</t>
    </rPh>
    <phoneticPr fontId="49"/>
  </si>
  <si>
    <t>指定期間申請ログ検索欄</t>
    <rPh sb="0" eb="2">
      <t>シテイ</t>
    </rPh>
    <rPh sb="2" eb="4">
      <t>キカン</t>
    </rPh>
    <rPh sb="4" eb="6">
      <t>シンセイ</t>
    </rPh>
    <rPh sb="8" eb="10">
      <t>ケンサク</t>
    </rPh>
    <rPh sb="10" eb="11">
      <t>ラン</t>
    </rPh>
    <phoneticPr fontId="55"/>
  </si>
  <si>
    <t>1.2</t>
    <phoneticPr fontId="55"/>
  </si>
  <si>
    <t>1.3</t>
    <phoneticPr fontId="55"/>
  </si>
  <si>
    <t>1.4</t>
    <phoneticPr fontId="55"/>
  </si>
  <si>
    <t>1.5</t>
    <phoneticPr fontId="55"/>
  </si>
  <si>
    <t>1.6</t>
    <phoneticPr fontId="55"/>
  </si>
  <si>
    <t>1.7</t>
    <phoneticPr fontId="55"/>
  </si>
  <si>
    <t>1.8</t>
    <phoneticPr fontId="55"/>
  </si>
  <si>
    <t>2.10</t>
    <phoneticPr fontId="55"/>
  </si>
  <si>
    <t>導出元
(Source)</t>
    <rPh sb="0" eb="3">
      <t>ドウシュツモト</t>
    </rPh>
    <phoneticPr fontId="11"/>
  </si>
  <si>
    <t>入力した期間内のログを表示する</t>
    <rPh sb="0" eb="2">
      <t>ニュウリョク</t>
    </rPh>
    <rPh sb="4" eb="7">
      <t>キカンナイ</t>
    </rPh>
    <rPh sb="11" eb="13">
      <t>ヒョウジ</t>
    </rPh>
    <phoneticPr fontId="55"/>
  </si>
  <si>
    <t>入力項目と合致する</t>
    <rPh sb="0" eb="2">
      <t>ニュウリョク</t>
    </rPh>
    <rPh sb="2" eb="4">
      <t>コウモク</t>
    </rPh>
    <rPh sb="5" eb="7">
      <t>ガッチ</t>
    </rPh>
    <phoneticPr fontId="55"/>
  </si>
  <si>
    <t>証明書申請 ユーザーコード</t>
    <rPh sb="0" eb="3">
      <t>ショウメイショ</t>
    </rPh>
    <rPh sb="3" eb="5">
      <t>シンセイ</t>
    </rPh>
    <phoneticPr fontId="55"/>
  </si>
  <si>
    <t>証明書申請 受付番号</t>
    <rPh sb="0" eb="3">
      <t>ショウメイショ</t>
    </rPh>
    <rPh sb="3" eb="5">
      <t>シンセイ</t>
    </rPh>
    <rPh sb="6" eb="10">
      <t>ウケツケバンゴウ</t>
    </rPh>
    <phoneticPr fontId="55"/>
  </si>
  <si>
    <t>証明書申請 提出先企業名</t>
    <rPh sb="0" eb="3">
      <t>ショウメイショ</t>
    </rPh>
    <rPh sb="3" eb="5">
      <t>シンセイ</t>
    </rPh>
    <rPh sb="6" eb="12">
      <t>テイシュツサキキギョウメイ</t>
    </rPh>
    <phoneticPr fontId="55"/>
  </si>
  <si>
    <t>証明書申請 エンドユーザー</t>
    <rPh sb="0" eb="3">
      <t>ショウメイショ</t>
    </rPh>
    <rPh sb="3" eb="5">
      <t>シンセイ</t>
    </rPh>
    <phoneticPr fontId="55"/>
  </si>
  <si>
    <t>証明書申請 ステータス</t>
    <rPh sb="0" eb="3">
      <t>ショウメイショ</t>
    </rPh>
    <rPh sb="3" eb="5">
      <t>シンセイ</t>
    </rPh>
    <phoneticPr fontId="55"/>
  </si>
  <si>
    <t>証明書申請 申請日</t>
    <rPh sb="0" eb="3">
      <t>ショウメイショ</t>
    </rPh>
    <rPh sb="3" eb="5">
      <t>シンセイ</t>
    </rPh>
    <rPh sb="6" eb="9">
      <t>シンセイビ</t>
    </rPh>
    <phoneticPr fontId="55"/>
  </si>
  <si>
    <t>証明書申請入力 CLコード</t>
    <rPh sb="0" eb="3">
      <t>ショウメイショ</t>
    </rPh>
    <rPh sb="3" eb="5">
      <t>シンセイ</t>
    </rPh>
    <rPh sb="5" eb="7">
      <t>ニュウリョク</t>
    </rPh>
    <phoneticPr fontId="55"/>
  </si>
  <si>
    <t>証明書申請入力 RoHS適合証明書</t>
    <rPh sb="0" eb="3">
      <t>ショウメイショ</t>
    </rPh>
    <rPh sb="3" eb="5">
      <t>シンセイ</t>
    </rPh>
    <rPh sb="5" eb="7">
      <t>ニュウリョク</t>
    </rPh>
    <rPh sb="12" eb="17">
      <t>テキゴウショウメイショ</t>
    </rPh>
    <phoneticPr fontId="55"/>
  </si>
  <si>
    <t>証明書申請入力 ハロゲンフリー証明書</t>
    <rPh sb="0" eb="3">
      <t>ショウメイショ</t>
    </rPh>
    <rPh sb="3" eb="5">
      <t>シンセイ</t>
    </rPh>
    <rPh sb="5" eb="7">
      <t>ニュウリョク</t>
    </rPh>
    <rPh sb="15" eb="18">
      <t>ショウメイショ</t>
    </rPh>
    <phoneticPr fontId="55"/>
  </si>
  <si>
    <t>証明書申請入力 成分表</t>
    <rPh sb="0" eb="3">
      <t>ショウメイショ</t>
    </rPh>
    <rPh sb="3" eb="5">
      <t>シンセイ</t>
    </rPh>
    <rPh sb="5" eb="7">
      <t>ニュウリョク</t>
    </rPh>
    <rPh sb="8" eb="11">
      <t>セイブンヒョウ</t>
    </rPh>
    <phoneticPr fontId="55"/>
  </si>
  <si>
    <t>証明書申請入力 ICP</t>
    <rPh sb="0" eb="3">
      <t>ショウメイショ</t>
    </rPh>
    <rPh sb="3" eb="5">
      <t>シンセイ</t>
    </rPh>
    <rPh sb="5" eb="7">
      <t>ニュウリョク</t>
    </rPh>
    <phoneticPr fontId="55"/>
  </si>
  <si>
    <t>証明書申請入力 SDS</t>
    <rPh sb="0" eb="3">
      <t>ショウメイショ</t>
    </rPh>
    <rPh sb="3" eb="5">
      <t>シンセイ</t>
    </rPh>
    <rPh sb="5" eb="7">
      <t>ニュウリョク</t>
    </rPh>
    <phoneticPr fontId="55"/>
  </si>
  <si>
    <t>証明書申請入力 chemSHERPA</t>
    <rPh sb="0" eb="3">
      <t>ショウメイショ</t>
    </rPh>
    <rPh sb="3" eb="5">
      <t>シンセイ</t>
    </rPh>
    <rPh sb="5" eb="7">
      <t>ニュウリョク</t>
    </rPh>
    <phoneticPr fontId="55"/>
  </si>
  <si>
    <t>証明書申請入力 SVHC調査報告書</t>
    <rPh sb="0" eb="3">
      <t>ショウメイショ</t>
    </rPh>
    <rPh sb="3" eb="5">
      <t>シンセイ</t>
    </rPh>
    <rPh sb="5" eb="7">
      <t>ニュウリョク</t>
    </rPh>
    <rPh sb="12" eb="17">
      <t>チョウサホウコクショ</t>
    </rPh>
    <phoneticPr fontId="5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</si>
</sst>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#,##0_ "/>
    <numFmt numFmtId="181" formatCode="#,##0_);[Red]\(#,##0\)"/>
    <numFmt numFmtId="182" formatCode="0.0%"/>
    <numFmt numFmtId="183" formatCode="#,##0_ ;[Red]\-#,##0\ "/>
    <numFmt numFmtId="184" formatCode="#,##0.0000_);[Red]\(#,##0.0000\)"/>
    <numFmt numFmtId="185" formatCode="0.0000_);[Red]\(0.0000\)"/>
    <numFmt numFmtId="186" formatCode="0.0000_ "/>
    <numFmt numFmtId="187" formatCode="0_ "/>
  </numFmts>
  <fonts count="114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b/>
      <sz val="16"/>
      <name val="Meiryo UI"/>
      <family val="3"/>
      <charset val="128"/>
    </font>
    <font>
      <sz val="12"/>
      <name val="Meiryo UI"/>
      <family val="3"/>
      <charset val="128"/>
    </font>
    <font>
      <b/>
      <sz val="10"/>
      <color rgb="FF0066FF"/>
      <name val="Meiryo UI"/>
      <family val="3"/>
      <charset val="128"/>
    </font>
    <font>
      <sz val="9"/>
      <color rgb="FF5F5F5F"/>
      <name val="Meiryo UI"/>
      <family val="3"/>
      <charset val="128"/>
    </font>
    <font>
      <sz val="9"/>
      <color rgb="FFFF0000"/>
      <name val="Meiryo UI"/>
      <family val="3"/>
      <charset val="128"/>
    </font>
    <font>
      <sz val="10"/>
      <color theme="0" tint="-0.249977111117893"/>
      <name val="Meiryo UI"/>
      <family val="3"/>
      <charset val="128"/>
    </font>
    <font>
      <sz val="10"/>
      <color theme="8" tint="0.39997558519241921"/>
      <name val="Meiryo UI"/>
      <family val="3"/>
      <charset val="128"/>
    </font>
    <font>
      <sz val="7"/>
      <name val="Meiryo UI"/>
      <family val="3"/>
      <charset val="128"/>
    </font>
    <font>
      <sz val="7"/>
      <color theme="0" tint="-0.14999847407452621"/>
      <name val="Meiryo UI"/>
      <family val="3"/>
      <charset val="128"/>
    </font>
    <font>
      <sz val="7"/>
      <color rgb="FF3399FF"/>
      <name val="Meiryo UI"/>
      <family val="3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BEEF4"/>
        <bgColor indexed="64"/>
      </patternFill>
    </fill>
    <fill>
      <patternFill patternType="solid">
        <fgColor theme="0" tint="-4.9989318521683403E-2"/>
        <bgColor indexed="64"/>
      </patternFill>
    </fill>
  </fills>
  <borders count="70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thick">
        <color rgb="FF0066FF"/>
      </bottom>
      <diagonal/>
    </border>
    <border>
      <left style="thin">
        <color indexed="64"/>
      </left>
      <right/>
      <top/>
      <bottom style="thin">
        <color theme="0" tint="-0.14999847407452621"/>
      </bottom>
      <diagonal/>
    </border>
    <border>
      <left/>
      <right style="thin">
        <color indexed="64"/>
      </right>
      <top/>
      <bottom style="thin">
        <color theme="0" tint="-0.14999847407452621"/>
      </bottom>
      <diagonal/>
    </border>
    <border>
      <left style="thin">
        <color indexed="64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indexed="64"/>
      </right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14996795556505021"/>
      </bottom>
      <diagonal/>
    </border>
    <border>
      <left/>
      <right/>
      <top style="thin">
        <color theme="0" tint="-0.24994659260841701"/>
      </top>
      <bottom style="thin">
        <color theme="0" tint="-0.14996795556505021"/>
      </bottom>
      <diagonal/>
    </border>
  </borders>
  <cellStyleXfs count="187">
    <xf numFmtId="0" fontId="0" fillId="0" borderId="0">
      <alignment vertical="center"/>
    </xf>
    <xf numFmtId="0" fontId="22" fillId="0" borderId="0"/>
    <xf numFmtId="0" fontId="22" fillId="0" borderId="0"/>
    <xf numFmtId="176" fontId="23" fillId="0" borderId="0" applyFill="0" applyBorder="0" applyAlignment="0"/>
    <xf numFmtId="0" fontId="24" fillId="3" borderId="0">
      <alignment horizontal="left"/>
    </xf>
    <xf numFmtId="0" fontId="25" fillId="3" borderId="0">
      <alignment horizontal="right"/>
    </xf>
    <xf numFmtId="0" fontId="26" fillId="4" borderId="0">
      <alignment horizontal="center"/>
    </xf>
    <xf numFmtId="0" fontId="25" fillId="3" borderId="0">
      <alignment horizontal="right"/>
    </xf>
    <xf numFmtId="0" fontId="26" fillId="4" borderId="0">
      <alignment horizontal="left"/>
    </xf>
    <xf numFmtId="0" fontId="27" fillId="0" borderId="0">
      <alignment horizontal="left"/>
    </xf>
    <xf numFmtId="38" fontId="28" fillId="5" borderId="0" applyNumberFormat="0" applyBorder="0" applyAlignment="0" applyProtection="0"/>
    <xf numFmtId="0" fontId="29" fillId="0" borderId="1" applyNumberFormat="0" applyAlignment="0" applyProtection="0">
      <alignment horizontal="left" vertical="center"/>
    </xf>
    <xf numFmtId="0" fontId="29" fillId="0" borderId="2">
      <alignment horizontal="left" vertical="center"/>
    </xf>
    <xf numFmtId="10" fontId="28" fillId="6" borderId="3" applyNumberFormat="0" applyBorder="0" applyAlignment="0" applyProtection="0"/>
    <xf numFmtId="0" fontId="24" fillId="3" borderId="0">
      <alignment horizontal="left"/>
    </xf>
    <xf numFmtId="0" fontId="30" fillId="4" borderId="0">
      <alignment horizontal="left"/>
    </xf>
    <xf numFmtId="177" fontId="31" fillId="0" borderId="0"/>
    <xf numFmtId="0" fontId="32" fillId="0" borderId="0"/>
    <xf numFmtId="178" fontId="33" fillId="4" borderId="0">
      <alignment horizontal="right"/>
    </xf>
    <xf numFmtId="0" fontId="34" fillId="7" borderId="0">
      <alignment horizontal="center"/>
    </xf>
    <xf numFmtId="0" fontId="35" fillId="8" borderId="0"/>
    <xf numFmtId="0" fontId="36" fillId="4" borderId="0" applyBorder="0">
      <alignment horizontal="centerContinuous"/>
    </xf>
    <xf numFmtId="0" fontId="37" fillId="8" borderId="0" applyBorder="0">
      <alignment horizontal="centerContinuous"/>
    </xf>
    <xf numFmtId="10" fontId="32" fillId="0" borderId="0" applyFont="0" applyFill="0" applyBorder="0" applyAlignment="0" applyProtection="0"/>
    <xf numFmtId="4" fontId="27" fillId="0" borderId="0">
      <alignment horizontal="right"/>
    </xf>
    <xf numFmtId="0" fontId="30" fillId="9" borderId="0">
      <alignment horizontal="center"/>
    </xf>
    <xf numFmtId="49" fontId="38" fillId="4" borderId="0">
      <alignment horizontal="center"/>
    </xf>
    <xf numFmtId="4" fontId="39" fillId="0" borderId="0">
      <alignment horizontal="right"/>
    </xf>
    <xf numFmtId="0" fontId="25" fillId="3" borderId="0">
      <alignment horizontal="center"/>
    </xf>
    <xf numFmtId="0" fontId="25" fillId="3" borderId="0">
      <alignment horizontal="centerContinuous"/>
    </xf>
    <xf numFmtId="0" fontId="40" fillId="4" borderId="0">
      <alignment horizontal="left"/>
    </xf>
    <xf numFmtId="49" fontId="40" fillId="4" borderId="0">
      <alignment horizontal="center"/>
    </xf>
    <xf numFmtId="0" fontId="24" fillId="3" borderId="0">
      <alignment horizontal="left"/>
    </xf>
    <xf numFmtId="49" fontId="40" fillId="4" borderId="0">
      <alignment horizontal="left"/>
    </xf>
    <xf numFmtId="0" fontId="24" fillId="3" borderId="0">
      <alignment horizontal="centerContinuous"/>
    </xf>
    <xf numFmtId="0" fontId="24" fillId="3" borderId="0">
      <alignment horizontal="right"/>
    </xf>
    <xf numFmtId="49" fontId="30" fillId="4" borderId="0">
      <alignment horizontal="left"/>
    </xf>
    <xf numFmtId="0" fontId="25" fillId="3" borderId="0">
      <alignment horizontal="right"/>
    </xf>
    <xf numFmtId="0" fontId="40" fillId="2" borderId="0">
      <alignment horizontal="center"/>
    </xf>
    <xf numFmtId="0" fontId="41" fillId="2" borderId="0">
      <alignment horizontal="center"/>
    </xf>
    <xf numFmtId="0" fontId="42" fillId="0" borderId="0">
      <alignment horizontal="left"/>
    </xf>
    <xf numFmtId="0" fontId="43" fillId="0" borderId="0"/>
    <xf numFmtId="0" fontId="44" fillId="0" borderId="0">
      <alignment horizontal="center"/>
    </xf>
    <xf numFmtId="0" fontId="45" fillId="4" borderId="0">
      <alignment horizontal="center"/>
    </xf>
    <xf numFmtId="0" fontId="46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47" fillId="0" borderId="0"/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8" fillId="0" borderId="0"/>
    <xf numFmtId="0" fontId="4" fillId="0" borderId="0">
      <alignment vertical="center"/>
    </xf>
    <xf numFmtId="0" fontId="61" fillId="0" borderId="0">
      <alignment vertical="center"/>
    </xf>
    <xf numFmtId="0" fontId="1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734">
    <xf numFmtId="0" fontId="0" fillId="0" borderId="0" xfId="0">
      <alignment vertical="center"/>
    </xf>
    <xf numFmtId="0" fontId="13" fillId="0" borderId="0" xfId="48"/>
    <xf numFmtId="0" fontId="14" fillId="0" borderId="0" xfId="48" applyFont="1"/>
    <xf numFmtId="0" fontId="15" fillId="0" borderId="3" xfId="48" applyFont="1" applyBorder="1" applyAlignment="1">
      <alignment horizontal="center"/>
    </xf>
    <xf numFmtId="14" fontId="15" fillId="0" borderId="4" xfId="48" applyNumberFormat="1" applyFont="1" applyBorder="1" applyAlignment="1">
      <alignment horizontal="center"/>
    </xf>
    <xf numFmtId="0" fontId="15" fillId="0" borderId="4" xfId="48" applyFont="1" applyBorder="1" applyAlignment="1">
      <alignment horizontal="center"/>
    </xf>
    <xf numFmtId="0" fontId="15" fillId="0" borderId="5" xfId="48" applyFont="1" applyBorder="1" applyAlignment="1">
      <alignment horizontal="center"/>
    </xf>
    <xf numFmtId="0" fontId="16" fillId="0" borderId="0" xfId="48" applyFont="1"/>
    <xf numFmtId="0" fontId="19" fillId="0" borderId="0" xfId="48" applyFont="1" applyAlignment="1">
      <alignment vertical="center"/>
    </xf>
    <xf numFmtId="0" fontId="15" fillId="14" borderId="0" xfId="48" applyFont="1" applyFill="1" applyAlignment="1">
      <alignment horizontal="center"/>
    </xf>
    <xf numFmtId="14" fontId="15" fillId="14" borderId="0" xfId="48" applyNumberFormat="1" applyFont="1" applyFill="1" applyAlignment="1">
      <alignment horizontal="center"/>
    </xf>
    <xf numFmtId="0" fontId="17" fillId="11" borderId="0" xfId="48" applyFont="1" applyFill="1" applyAlignment="1">
      <alignment vertical="center"/>
    </xf>
    <xf numFmtId="0" fontId="18" fillId="12" borderId="0" xfId="48" applyFont="1" applyFill="1" applyAlignment="1">
      <alignment vertical="center"/>
    </xf>
    <xf numFmtId="0" fontId="19" fillId="0" borderId="0" xfId="48" applyFont="1" applyAlignment="1">
      <alignment horizontal="left" vertical="center"/>
    </xf>
    <xf numFmtId="0" fontId="18" fillId="12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/>
    </xf>
    <xf numFmtId="14" fontId="19" fillId="0" borderId="0" xfId="48" applyNumberFormat="1" applyFont="1" applyAlignment="1">
      <alignment horizontal="center" vertical="center"/>
    </xf>
    <xf numFmtId="0" fontId="18" fillId="11" borderId="0" xfId="48" applyFont="1" applyFill="1" applyAlignment="1">
      <alignment vertical="center"/>
    </xf>
    <xf numFmtId="0" fontId="20" fillId="0" borderId="0" xfId="48" applyFont="1" applyAlignment="1">
      <alignment vertical="center"/>
    </xf>
    <xf numFmtId="49" fontId="19" fillId="0" borderId="0" xfId="48" applyNumberFormat="1" applyFont="1" applyAlignment="1">
      <alignment horizontal="center" vertical="center"/>
    </xf>
    <xf numFmtId="0" fontId="21" fillId="0" borderId="0" xfId="48" applyFont="1" applyAlignment="1">
      <alignment vertical="center"/>
    </xf>
    <xf numFmtId="49" fontId="19" fillId="14" borderId="13" xfId="0" applyNumberFormat="1" applyFont="1" applyFill="1" applyBorder="1" applyAlignment="1">
      <alignment vertical="top"/>
    </xf>
    <xf numFmtId="0" fontId="19" fillId="10" borderId="6" xfId="49" applyFont="1" applyFill="1" applyBorder="1" applyAlignment="1">
      <alignment horizontal="right" vertical="center"/>
    </xf>
    <xf numFmtId="0" fontId="51" fillId="14" borderId="6" xfId="49" applyFont="1" applyFill="1" applyBorder="1" applyAlignment="1">
      <alignment horizontal="right" vertical="center"/>
    </xf>
    <xf numFmtId="0" fontId="53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2" fillId="14" borderId="8" xfId="0" applyFont="1" applyFill="1" applyBorder="1">
      <alignment vertical="center"/>
    </xf>
    <xf numFmtId="49" fontId="19" fillId="10" borderId="15" xfId="0" applyNumberFormat="1" applyFont="1" applyFill="1" applyBorder="1" applyAlignment="1">
      <alignment horizontal="center" vertical="center"/>
    </xf>
    <xf numFmtId="0" fontId="52" fillId="14" borderId="0" xfId="0" applyFont="1" applyFill="1">
      <alignment vertical="center"/>
    </xf>
    <xf numFmtId="49" fontId="19" fillId="10" borderId="6" xfId="0" applyNumberFormat="1" applyFont="1" applyFill="1" applyBorder="1" applyAlignment="1">
      <alignment horizontal="left" vertical="center"/>
    </xf>
    <xf numFmtId="0" fontId="57" fillId="14" borderId="0" xfId="161" applyFont="1" applyFill="1">
      <alignment vertical="center"/>
    </xf>
    <xf numFmtId="0" fontId="52" fillId="14" borderId="0" xfId="161" applyFont="1" applyFill="1">
      <alignment vertical="center"/>
    </xf>
    <xf numFmtId="0" fontId="52" fillId="14" borderId="6" xfId="161" applyFont="1" applyFill="1" applyBorder="1">
      <alignment vertical="center"/>
    </xf>
    <xf numFmtId="0" fontId="52" fillId="14" borderId="11" xfId="161" applyFont="1" applyFill="1" applyBorder="1">
      <alignment vertical="center"/>
    </xf>
    <xf numFmtId="0" fontId="19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6" fillId="18" borderId="2" xfId="161" applyFont="1" applyFill="1" applyBorder="1">
      <alignment vertical="center"/>
    </xf>
    <xf numFmtId="0" fontId="52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2" fillId="14" borderId="0" xfId="161" applyFont="1" applyFill="1" applyAlignment="1">
      <alignment horizontal="left" vertical="center"/>
    </xf>
    <xf numFmtId="0" fontId="19" fillId="10" borderId="20" xfId="46" applyFont="1" applyFill="1" applyBorder="1" applyAlignment="1">
      <alignment horizontal="centerContinuous"/>
    </xf>
    <xf numFmtId="0" fontId="53" fillId="14" borderId="0" xfId="161" applyFont="1" applyFill="1">
      <alignment vertical="center"/>
    </xf>
    <xf numFmtId="0" fontId="52" fillId="14" borderId="0" xfId="161" applyFont="1" applyFill="1" applyAlignment="1">
      <alignment horizontal="center" vertical="center"/>
    </xf>
    <xf numFmtId="0" fontId="57" fillId="14" borderId="6" xfId="161" quotePrefix="1" applyFont="1" applyFill="1" applyBorder="1">
      <alignment vertical="center"/>
    </xf>
    <xf numFmtId="0" fontId="57" fillId="14" borderId="11" xfId="161" applyFont="1" applyFill="1" applyBorder="1">
      <alignment vertical="center"/>
    </xf>
    <xf numFmtId="0" fontId="67" fillId="18" borderId="10" xfId="161" applyFont="1" applyFill="1" applyBorder="1">
      <alignment vertical="center"/>
    </xf>
    <xf numFmtId="0" fontId="65" fillId="18" borderId="2" xfId="161" applyFont="1" applyFill="1" applyBorder="1">
      <alignment vertical="center"/>
    </xf>
    <xf numFmtId="0" fontId="66" fillId="18" borderId="2" xfId="161" applyFont="1" applyFill="1" applyBorder="1">
      <alignment vertical="center"/>
    </xf>
    <xf numFmtId="0" fontId="56" fillId="18" borderId="2" xfId="161" applyFont="1" applyFill="1" applyBorder="1" applyAlignment="1">
      <alignment horizontal="centerContinuous" vertical="center"/>
    </xf>
    <xf numFmtId="0" fontId="56" fillId="18" borderId="17" xfId="161" applyFont="1" applyFill="1" applyBorder="1" applyAlignment="1">
      <alignment horizontal="centerContinuous" vertical="center"/>
    </xf>
    <xf numFmtId="0" fontId="52" fillId="14" borderId="8" xfId="161" applyFont="1" applyFill="1" applyBorder="1">
      <alignment vertical="center"/>
    </xf>
    <xf numFmtId="0" fontId="52" fillId="14" borderId="12" xfId="161" applyFont="1" applyFill="1" applyBorder="1">
      <alignment vertical="center"/>
    </xf>
    <xf numFmtId="0" fontId="52" fillId="19" borderId="10" xfId="161" quotePrefix="1" applyFont="1" applyFill="1" applyBorder="1">
      <alignment vertical="center"/>
    </xf>
    <xf numFmtId="0" fontId="52" fillId="19" borderId="2" xfId="161" applyFont="1" applyFill="1" applyBorder="1">
      <alignment vertical="center"/>
    </xf>
    <xf numFmtId="0" fontId="52" fillId="19" borderId="2" xfId="161" applyFont="1" applyFill="1" applyBorder="1" applyAlignment="1">
      <alignment horizontal="center" vertical="center"/>
    </xf>
    <xf numFmtId="0" fontId="52" fillId="19" borderId="2" xfId="0" applyFont="1" applyFill="1" applyBorder="1">
      <alignment vertical="center"/>
    </xf>
    <xf numFmtId="0" fontId="52" fillId="0" borderId="10" xfId="161" quotePrefix="1" applyFont="1" applyBorder="1">
      <alignment vertical="center"/>
    </xf>
    <xf numFmtId="0" fontId="52" fillId="0" borderId="2" xfId="161" applyFont="1" applyBorder="1">
      <alignment vertical="center"/>
    </xf>
    <xf numFmtId="0" fontId="52" fillId="0" borderId="2" xfId="161" applyFont="1" applyBorder="1" applyAlignment="1">
      <alignment horizontal="center" vertical="center"/>
    </xf>
    <xf numFmtId="0" fontId="52" fillId="0" borderId="2" xfId="0" applyFont="1" applyBorder="1">
      <alignment vertical="center"/>
    </xf>
    <xf numFmtId="0" fontId="52" fillId="0" borderId="0" xfId="161" quotePrefix="1" applyFont="1">
      <alignment vertical="center"/>
    </xf>
    <xf numFmtId="0" fontId="52" fillId="0" borderId="0" xfId="161" applyFont="1">
      <alignment vertical="center"/>
    </xf>
    <xf numFmtId="0" fontId="52" fillId="0" borderId="0" xfId="161" applyFont="1" applyAlignment="1">
      <alignment horizontal="center" vertical="center"/>
    </xf>
    <xf numFmtId="0" fontId="52" fillId="0" borderId="0" xfId="0" applyFont="1">
      <alignment vertical="center"/>
    </xf>
    <xf numFmtId="0" fontId="52" fillId="19" borderId="17" xfId="0" applyFont="1" applyFill="1" applyBorder="1">
      <alignment vertical="center"/>
    </xf>
    <xf numFmtId="0" fontId="52" fillId="0" borderId="8" xfId="0" applyFont="1" applyBorder="1">
      <alignment vertical="center"/>
    </xf>
    <xf numFmtId="0" fontId="52" fillId="0" borderId="0" xfId="161" applyFont="1" applyAlignment="1">
      <alignment horizontal="left" vertical="center"/>
    </xf>
    <xf numFmtId="0" fontId="52" fillId="0" borderId="17" xfId="0" applyFont="1" applyBorder="1">
      <alignment vertical="center"/>
    </xf>
    <xf numFmtId="0" fontId="52" fillId="14" borderId="28" xfId="0" applyFont="1" applyFill="1" applyBorder="1">
      <alignment vertical="center"/>
    </xf>
    <xf numFmtId="0" fontId="52" fillId="14" borderId="31" xfId="0" applyFont="1" applyFill="1" applyBorder="1">
      <alignment vertical="center"/>
    </xf>
    <xf numFmtId="0" fontId="52" fillId="0" borderId="12" xfId="0" applyFont="1" applyBorder="1">
      <alignment vertical="center"/>
    </xf>
    <xf numFmtId="0" fontId="53" fillId="0" borderId="0" xfId="161" applyFont="1">
      <alignment vertical="center"/>
    </xf>
    <xf numFmtId="0" fontId="52" fillId="14" borderId="0" xfId="0" applyFont="1" applyFill="1" applyAlignment="1">
      <alignment horizontal="center" vertical="center"/>
    </xf>
    <xf numFmtId="0" fontId="19" fillId="10" borderId="19" xfId="46" applyFont="1" applyFill="1" applyBorder="1" applyAlignment="1">
      <alignment horizontal="centerContinuous"/>
    </xf>
    <xf numFmtId="0" fontId="19" fillId="10" borderId="16" xfId="46" applyFont="1" applyFill="1" applyBorder="1" applyAlignment="1">
      <alignment horizontal="centerContinuous"/>
    </xf>
    <xf numFmtId="0" fontId="56" fillId="14" borderId="11" xfId="161" quotePrefix="1" applyFont="1" applyFill="1" applyBorder="1" applyAlignment="1">
      <alignment horizontal="centerContinuous" vertical="center"/>
    </xf>
    <xf numFmtId="0" fontId="52" fillId="14" borderId="0" xfId="0" applyFont="1" applyFill="1" applyAlignment="1">
      <alignment vertical="center" wrapText="1"/>
    </xf>
    <xf numFmtId="0" fontId="53" fillId="0" borderId="0" xfId="161" applyFont="1" applyAlignment="1">
      <alignment horizontal="left" vertical="center"/>
    </xf>
    <xf numFmtId="0" fontId="53" fillId="0" borderId="0" xfId="0" applyFont="1">
      <alignment vertical="center"/>
    </xf>
    <xf numFmtId="0" fontId="53" fillId="0" borderId="0" xfId="161" applyFont="1" applyAlignment="1">
      <alignment horizontal="center" vertical="center"/>
    </xf>
    <xf numFmtId="0" fontId="53" fillId="14" borderId="8" xfId="0" applyFont="1" applyFill="1" applyBorder="1">
      <alignment vertical="center"/>
    </xf>
    <xf numFmtId="0" fontId="53" fillId="0" borderId="8" xfId="161" applyFont="1" applyBorder="1">
      <alignment vertical="center"/>
    </xf>
    <xf numFmtId="0" fontId="53" fillId="0" borderId="8" xfId="0" applyFont="1" applyBorder="1">
      <alignment vertical="center"/>
    </xf>
    <xf numFmtId="0" fontId="53" fillId="0" borderId="8" xfId="16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7" fillId="14" borderId="8" xfId="161" applyFont="1" applyFill="1" applyBorder="1">
      <alignment vertical="center"/>
    </xf>
    <xf numFmtId="0" fontId="52" fillId="0" borderId="6" xfId="0" applyFont="1" applyBorder="1">
      <alignment vertical="center"/>
    </xf>
    <xf numFmtId="0" fontId="52" fillId="14" borderId="2" xfId="161" applyFont="1" applyFill="1" applyBorder="1">
      <alignment vertical="center"/>
    </xf>
    <xf numFmtId="0" fontId="52" fillId="14" borderId="17" xfId="0" applyFont="1" applyFill="1" applyBorder="1">
      <alignment vertical="center"/>
    </xf>
    <xf numFmtId="0" fontId="52" fillId="14" borderId="10" xfId="0" applyFont="1" applyFill="1" applyBorder="1">
      <alignment vertical="center"/>
    </xf>
    <xf numFmtId="0" fontId="53" fillId="14" borderId="3" xfId="161" applyFont="1" applyFill="1" applyBorder="1" applyAlignment="1">
      <alignment horizontal="center" vertical="center"/>
    </xf>
    <xf numFmtId="0" fontId="52" fillId="0" borderId="8" xfId="161" applyFont="1" applyBorder="1">
      <alignment vertical="center"/>
    </xf>
    <xf numFmtId="0" fontId="52" fillId="0" borderId="8" xfId="161" applyFont="1" applyBorder="1" applyAlignment="1">
      <alignment horizontal="center" vertical="center"/>
    </xf>
    <xf numFmtId="0" fontId="52" fillId="0" borderId="12" xfId="161" quotePrefix="1" applyFont="1" applyBorder="1">
      <alignment vertical="center"/>
    </xf>
    <xf numFmtId="0" fontId="52" fillId="0" borderId="12" xfId="161" applyFont="1" applyBorder="1">
      <alignment vertical="center"/>
    </xf>
    <xf numFmtId="0" fontId="52" fillId="0" borderId="12" xfId="161" applyFont="1" applyBorder="1" applyAlignment="1">
      <alignment horizontal="center" vertical="center"/>
    </xf>
    <xf numFmtId="0" fontId="52" fillId="0" borderId="8" xfId="161" quotePrefix="1" applyFont="1" applyBorder="1">
      <alignment vertical="center"/>
    </xf>
    <xf numFmtId="0" fontId="60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2" fillId="0" borderId="0" xfId="161" applyFont="1">
      <alignment vertical="center"/>
    </xf>
    <xf numFmtId="0" fontId="72" fillId="0" borderId="0" xfId="0" applyFont="1">
      <alignment vertical="center"/>
    </xf>
    <xf numFmtId="0" fontId="53" fillId="14" borderId="12" xfId="161" applyFont="1" applyFill="1" applyBorder="1">
      <alignment vertical="center"/>
    </xf>
    <xf numFmtId="0" fontId="19" fillId="10" borderId="18" xfId="46" applyFont="1" applyFill="1" applyBorder="1" applyAlignment="1">
      <alignment horizontal="centerContinuous"/>
    </xf>
    <xf numFmtId="0" fontId="52" fillId="14" borderId="0" xfId="0" applyFont="1" applyFill="1" applyAlignment="1">
      <alignment horizontal="left" vertical="center"/>
    </xf>
    <xf numFmtId="0" fontId="60" fillId="0" borderId="10" xfId="161" quotePrefix="1" applyFont="1" applyBorder="1">
      <alignment vertical="center"/>
    </xf>
    <xf numFmtId="0" fontId="60" fillId="0" borderId="2" xfId="161" quotePrefix="1" applyFont="1" applyBorder="1">
      <alignment vertical="center"/>
    </xf>
    <xf numFmtId="0" fontId="52" fillId="0" borderId="0" xfId="161" quotePrefix="1" applyFont="1" applyAlignment="1">
      <alignment horizontal="left" vertical="center"/>
    </xf>
    <xf numFmtId="0" fontId="52" fillId="0" borderId="25" xfId="161" applyFont="1" applyBorder="1" applyAlignment="1">
      <alignment horizontal="center" vertical="center"/>
    </xf>
    <xf numFmtId="0" fontId="52" fillId="0" borderId="2" xfId="161" quotePrefix="1" applyFont="1" applyBorder="1">
      <alignment vertical="center"/>
    </xf>
    <xf numFmtId="14" fontId="52" fillId="0" borderId="10" xfId="161" quotePrefix="1" applyNumberFormat="1" applyFont="1" applyBorder="1">
      <alignment vertical="center"/>
    </xf>
    <xf numFmtId="0" fontId="52" fillId="0" borderId="0" xfId="0" applyFont="1" applyAlignment="1">
      <alignment vertical="center" wrapText="1"/>
    </xf>
    <xf numFmtId="0" fontId="52" fillId="0" borderId="0" xfId="0" applyFont="1" applyAlignment="1">
      <alignment horizontal="center" vertical="center"/>
    </xf>
    <xf numFmtId="0" fontId="53" fillId="0" borderId="0" xfId="161" quotePrefix="1" applyFont="1">
      <alignment vertical="center"/>
    </xf>
    <xf numFmtId="0" fontId="53" fillId="0" borderId="2" xfId="161" applyFont="1" applyBorder="1">
      <alignment vertical="center"/>
    </xf>
    <xf numFmtId="0" fontId="57" fillId="14" borderId="6" xfId="180" quotePrefix="1" applyFont="1" applyFill="1" applyBorder="1">
      <alignment vertical="center"/>
    </xf>
    <xf numFmtId="0" fontId="52" fillId="14" borderId="0" xfId="180" applyFont="1" applyFill="1">
      <alignment vertical="center"/>
    </xf>
    <xf numFmtId="0" fontId="53" fillId="19" borderId="2" xfId="180" applyFont="1" applyFill="1" applyBorder="1" applyAlignment="1">
      <alignment horizontal="centerContinuous" vertical="center"/>
    </xf>
    <xf numFmtId="0" fontId="60" fillId="19" borderId="2" xfId="180" applyFont="1" applyFill="1" applyBorder="1" applyAlignment="1">
      <alignment horizontal="centerContinuous" vertical="center"/>
    </xf>
    <xf numFmtId="0" fontId="53" fillId="19" borderId="10" xfId="180" applyFont="1" applyFill="1" applyBorder="1" applyAlignment="1">
      <alignment horizontal="centerContinuous" vertical="center"/>
    </xf>
    <xf numFmtId="0" fontId="52" fillId="19" borderId="2" xfId="180" applyFont="1" applyFill="1" applyBorder="1" applyAlignment="1">
      <alignment horizontal="centerContinuous" vertical="center"/>
    </xf>
    <xf numFmtId="0" fontId="52" fillId="0" borderId="0" xfId="180" applyFont="1">
      <alignment vertical="center"/>
    </xf>
    <xf numFmtId="0" fontId="64" fillId="14" borderId="0" xfId="180" applyFont="1" applyFill="1">
      <alignment vertical="center"/>
    </xf>
    <xf numFmtId="0" fontId="76" fillId="14" borderId="2" xfId="180" quotePrefix="1" applyFont="1" applyFill="1" applyBorder="1">
      <alignment vertical="center"/>
    </xf>
    <xf numFmtId="0" fontId="52" fillId="14" borderId="10" xfId="180" applyFont="1" applyFill="1" applyBorder="1" applyAlignment="1">
      <alignment horizontal="centerContinuous" vertical="center"/>
    </xf>
    <xf numFmtId="0" fontId="52" fillId="14" borderId="2" xfId="180" applyFont="1" applyFill="1" applyBorder="1" applyAlignment="1">
      <alignment horizontal="centerContinuous" vertical="center"/>
    </xf>
    <xf numFmtId="0" fontId="73" fillId="14" borderId="10" xfId="180" applyFont="1" applyFill="1" applyBorder="1" applyAlignment="1">
      <alignment horizontal="center" vertical="center"/>
    </xf>
    <xf numFmtId="0" fontId="52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7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3" fillId="14" borderId="2" xfId="180" applyFont="1" applyFill="1" applyBorder="1" applyAlignment="1">
      <alignment horizontal="centerContinuous" vertical="center"/>
    </xf>
    <xf numFmtId="14" fontId="60" fillId="0" borderId="10" xfId="161" quotePrefix="1" applyNumberFormat="1" applyFont="1" applyBorder="1" applyAlignment="1">
      <alignment horizontal="centerContinuous" vertical="center"/>
    </xf>
    <xf numFmtId="14" fontId="60" fillId="0" borderId="2" xfId="161" quotePrefix="1" applyNumberFormat="1" applyFont="1" applyBorder="1" applyAlignment="1">
      <alignment horizontal="centerContinuous" vertical="center"/>
    </xf>
    <xf numFmtId="0" fontId="60" fillId="0" borderId="2" xfId="161" quotePrefix="1" applyFont="1" applyBorder="1" applyAlignment="1">
      <alignment horizontal="centerContinuous" vertical="center"/>
    </xf>
    <xf numFmtId="0" fontId="60" fillId="0" borderId="17" xfId="161" quotePrefix="1" applyFont="1" applyBorder="1" applyAlignment="1">
      <alignment horizontal="centerContinuous" vertical="center"/>
    </xf>
    <xf numFmtId="0" fontId="60" fillId="0" borderId="17" xfId="161" applyFont="1" applyBorder="1" applyAlignment="1">
      <alignment horizontal="centerContinuous" vertical="center"/>
    </xf>
    <xf numFmtId="0" fontId="19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7" fillId="14" borderId="14" xfId="161" applyFont="1" applyFill="1" applyBorder="1">
      <alignment vertical="center"/>
    </xf>
    <xf numFmtId="0" fontId="77" fillId="0" borderId="0" xfId="0" applyFont="1">
      <alignment vertical="center"/>
    </xf>
    <xf numFmtId="0" fontId="19" fillId="10" borderId="26" xfId="46" applyFont="1" applyFill="1" applyBorder="1" applyAlignment="1">
      <alignment horizontal="centerContinuous"/>
    </xf>
    <xf numFmtId="0" fontId="52" fillId="0" borderId="23" xfId="161" applyFont="1" applyBorder="1" applyAlignment="1">
      <alignment horizontal="center" vertical="center"/>
    </xf>
    <xf numFmtId="0" fontId="62" fillId="0" borderId="2" xfId="161" applyFont="1" applyBorder="1" applyAlignment="1">
      <alignment horizontal="centerContinuous" vertical="center"/>
    </xf>
    <xf numFmtId="0" fontId="62" fillId="0" borderId="17" xfId="161" applyFont="1" applyBorder="1" applyAlignment="1">
      <alignment horizontal="centerContinuous" vertical="center"/>
    </xf>
    <xf numFmtId="0" fontId="68" fillId="0" borderId="15" xfId="161" applyFont="1" applyBorder="1" applyAlignment="1">
      <alignment horizontal="left" vertical="center"/>
    </xf>
    <xf numFmtId="0" fontId="68" fillId="0" borderId="12" xfId="161" applyFont="1" applyBorder="1" applyAlignment="1">
      <alignment horizontal="left" vertical="center"/>
    </xf>
    <xf numFmtId="0" fontId="68" fillId="0" borderId="12" xfId="0" applyFont="1" applyBorder="1">
      <alignment vertical="center"/>
    </xf>
    <xf numFmtId="0" fontId="68" fillId="0" borderId="12" xfId="161" applyFont="1" applyBorder="1" applyAlignment="1">
      <alignment horizontal="center" vertical="center"/>
    </xf>
    <xf numFmtId="0" fontId="68" fillId="0" borderId="12" xfId="161" applyFont="1" applyBorder="1">
      <alignment vertical="center"/>
    </xf>
    <xf numFmtId="0" fontId="68" fillId="0" borderId="12" xfId="0" applyFont="1" applyBorder="1" applyAlignment="1">
      <alignment horizontal="center" vertical="center"/>
    </xf>
    <xf numFmtId="0" fontId="68" fillId="0" borderId="7" xfId="161" applyFont="1" applyBorder="1" applyAlignment="1">
      <alignment horizontal="left" vertical="center"/>
    </xf>
    <xf numFmtId="0" fontId="68" fillId="0" borderId="8" xfId="161" applyFont="1" applyBorder="1" applyAlignment="1">
      <alignment horizontal="left" vertical="center"/>
    </xf>
    <xf numFmtId="0" fontId="68" fillId="0" borderId="8" xfId="0" applyFont="1" applyBorder="1">
      <alignment vertical="center"/>
    </xf>
    <xf numFmtId="0" fontId="68" fillId="0" borderId="8" xfId="161" applyFont="1" applyBorder="1" applyAlignment="1">
      <alignment horizontal="center" vertical="center"/>
    </xf>
    <xf numFmtId="0" fontId="68" fillId="0" borderId="8" xfId="161" applyFont="1" applyBorder="1">
      <alignment vertical="center"/>
    </xf>
    <xf numFmtId="0" fontId="68" fillId="0" borderId="8" xfId="0" applyFont="1" applyBorder="1" applyAlignment="1">
      <alignment horizontal="center" vertical="center"/>
    </xf>
    <xf numFmtId="0" fontId="19" fillId="10" borderId="0" xfId="46" applyFont="1" applyFill="1" applyAlignment="1">
      <alignment horizontal="centerContinuous"/>
    </xf>
    <xf numFmtId="0" fontId="57" fillId="19" borderId="10" xfId="180" applyFont="1" applyFill="1" applyBorder="1">
      <alignment vertical="center"/>
    </xf>
    <xf numFmtId="0" fontId="57" fillId="19" borderId="2" xfId="180" applyFont="1" applyFill="1" applyBorder="1">
      <alignment vertical="center"/>
    </xf>
    <xf numFmtId="0" fontId="52" fillId="19" borderId="2" xfId="180" applyFont="1" applyFill="1" applyBorder="1">
      <alignment vertical="center"/>
    </xf>
    <xf numFmtId="0" fontId="52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2" fillId="19" borderId="2" xfId="180" quotePrefix="1" applyFont="1" applyFill="1" applyBorder="1">
      <alignment vertical="center"/>
    </xf>
    <xf numFmtId="0" fontId="64" fillId="19" borderId="2" xfId="161" applyFont="1" applyFill="1" applyBorder="1">
      <alignment vertical="center"/>
    </xf>
    <xf numFmtId="0" fontId="52" fillId="19" borderId="2" xfId="0" applyFont="1" applyFill="1" applyBorder="1" applyAlignment="1">
      <alignment vertical="center" wrapText="1"/>
    </xf>
    <xf numFmtId="0" fontId="52" fillId="19" borderId="2" xfId="161" quotePrefix="1" applyFont="1" applyFill="1" applyBorder="1">
      <alignment vertical="center"/>
    </xf>
    <xf numFmtId="0" fontId="57" fillId="19" borderId="17" xfId="180" applyFont="1" applyFill="1" applyBorder="1">
      <alignment vertical="center"/>
    </xf>
    <xf numFmtId="0" fontId="19" fillId="0" borderId="2" xfId="0" applyFont="1" applyBorder="1" applyAlignment="1">
      <alignment horizontal="center" vertical="top"/>
    </xf>
    <xf numFmtId="0" fontId="19" fillId="21" borderId="2" xfId="0" applyFont="1" applyFill="1" applyBorder="1" applyAlignment="1">
      <alignment horizontal="center" vertical="top"/>
    </xf>
    <xf numFmtId="0" fontId="19" fillId="22" borderId="2" xfId="0" applyFont="1" applyFill="1" applyBorder="1" applyAlignment="1">
      <alignment horizontal="center" vertical="top"/>
    </xf>
    <xf numFmtId="0" fontId="52" fillId="0" borderId="15" xfId="0" applyFont="1" applyBorder="1">
      <alignment vertical="center"/>
    </xf>
    <xf numFmtId="0" fontId="79" fillId="0" borderId="0" xfId="161" applyFont="1">
      <alignment vertical="center"/>
    </xf>
    <xf numFmtId="0" fontId="79" fillId="0" borderId="0" xfId="0" applyFont="1">
      <alignment vertical="center"/>
    </xf>
    <xf numFmtId="0" fontId="79" fillId="0" borderId="0" xfId="161" applyFont="1" applyAlignment="1">
      <alignment horizontal="center" vertical="center"/>
    </xf>
    <xf numFmtId="0" fontId="68" fillId="0" borderId="0" xfId="161" applyFont="1" applyAlignment="1">
      <alignment horizontal="left" vertical="center"/>
    </xf>
    <xf numFmtId="0" fontId="68" fillId="0" borderId="0" xfId="0" applyFont="1">
      <alignment vertical="center"/>
    </xf>
    <xf numFmtId="0" fontId="68" fillId="0" borderId="0" xfId="161" applyFont="1" applyAlignment="1">
      <alignment horizontal="center" vertical="center"/>
    </xf>
    <xf numFmtId="0" fontId="68" fillId="0" borderId="0" xfId="161" applyFont="1">
      <alignment vertical="center"/>
    </xf>
    <xf numFmtId="0" fontId="68" fillId="0" borderId="0" xfId="0" applyFont="1" applyAlignment="1">
      <alignment horizontal="center" vertical="center"/>
    </xf>
    <xf numFmtId="0" fontId="52" fillId="0" borderId="0" xfId="0" applyFont="1" applyAlignment="1">
      <alignment horizontal="left" vertical="center"/>
    </xf>
    <xf numFmtId="0" fontId="69" fillId="0" borderId="0" xfId="161" applyFont="1" applyAlignment="1">
      <alignment horizontal="left" vertical="center"/>
    </xf>
    <xf numFmtId="0" fontId="69" fillId="0" borderId="0" xfId="0" applyFont="1">
      <alignment vertical="center"/>
    </xf>
    <xf numFmtId="0" fontId="52" fillId="14" borderId="6" xfId="161" quotePrefix="1" applyFont="1" applyFill="1" applyBorder="1">
      <alignment vertical="center"/>
    </xf>
    <xf numFmtId="0" fontId="77" fillId="14" borderId="6" xfId="161" quotePrefix="1" applyFont="1" applyFill="1" applyBorder="1">
      <alignment vertical="center"/>
    </xf>
    <xf numFmtId="0" fontId="77" fillId="14" borderId="0" xfId="161" applyFont="1" applyFill="1">
      <alignment vertical="center"/>
    </xf>
    <xf numFmtId="0" fontId="75" fillId="14" borderId="0" xfId="0" applyFont="1" applyFill="1">
      <alignment vertical="center"/>
    </xf>
    <xf numFmtId="0" fontId="53" fillId="23" borderId="15" xfId="161" applyFont="1" applyFill="1" applyBorder="1" applyAlignment="1">
      <alignment horizontal="centerContinuous" vertical="center"/>
    </xf>
    <xf numFmtId="0" fontId="53" fillId="23" borderId="12" xfId="161" applyFont="1" applyFill="1" applyBorder="1" applyAlignment="1">
      <alignment horizontal="centerContinuous" vertical="center"/>
    </xf>
    <xf numFmtId="0" fontId="53" fillId="23" borderId="13" xfId="161" applyFont="1" applyFill="1" applyBorder="1" applyAlignment="1">
      <alignment horizontal="centerContinuous" vertical="center"/>
    </xf>
    <xf numFmtId="0" fontId="53" fillId="23" borderId="15" xfId="161" quotePrefix="1" applyFont="1" applyFill="1" applyBorder="1" applyAlignment="1">
      <alignment horizontal="centerContinuous" vertical="center"/>
    </xf>
    <xf numFmtId="0" fontId="53" fillId="23" borderId="12" xfId="161" quotePrefix="1" applyFont="1" applyFill="1" applyBorder="1" applyAlignment="1">
      <alignment horizontal="centerContinuous" vertical="center"/>
    </xf>
    <xf numFmtId="0" fontId="60" fillId="23" borderId="15" xfId="161" applyFont="1" applyFill="1" applyBorder="1" applyAlignment="1">
      <alignment horizontal="centerContinuous" vertical="center"/>
    </xf>
    <xf numFmtId="0" fontId="60" fillId="23" borderId="12" xfId="161" applyFont="1" applyFill="1" applyBorder="1" applyAlignment="1">
      <alignment horizontal="centerContinuous" vertical="center"/>
    </xf>
    <xf numFmtId="0" fontId="60" fillId="23" borderId="13" xfId="161" applyFont="1" applyFill="1" applyBorder="1" applyAlignment="1">
      <alignment horizontal="centerContinuous" vertical="center"/>
    </xf>
    <xf numFmtId="0" fontId="53" fillId="23" borderId="7" xfId="161" quotePrefix="1" applyFont="1" applyFill="1" applyBorder="1" applyAlignment="1">
      <alignment horizontal="centerContinuous" vertical="center"/>
    </xf>
    <xf numFmtId="0" fontId="53" fillId="23" borderId="8" xfId="161" applyFont="1" applyFill="1" applyBorder="1" applyAlignment="1">
      <alignment horizontal="centerContinuous" vertical="center"/>
    </xf>
    <xf numFmtId="0" fontId="53" fillId="23" borderId="14" xfId="161" applyFont="1" applyFill="1" applyBorder="1" applyAlignment="1">
      <alignment horizontal="centerContinuous" vertical="center"/>
    </xf>
    <xf numFmtId="0" fontId="53" fillId="23" borderId="8" xfId="161" quotePrefix="1" applyFont="1" applyFill="1" applyBorder="1" applyAlignment="1">
      <alignment horizontal="centerContinuous" vertical="center"/>
    </xf>
    <xf numFmtId="0" fontId="60" fillId="23" borderId="7" xfId="161" quotePrefix="1" applyFont="1" applyFill="1" applyBorder="1" applyAlignment="1">
      <alignment horizontal="centerContinuous" vertical="center"/>
    </xf>
    <xf numFmtId="0" fontId="60" fillId="23" borderId="8" xfId="161" quotePrefix="1" applyFont="1" applyFill="1" applyBorder="1" applyAlignment="1">
      <alignment horizontal="centerContinuous" vertical="center"/>
    </xf>
    <xf numFmtId="0" fontId="60" fillId="23" borderId="8" xfId="161" applyFont="1" applyFill="1" applyBorder="1" applyAlignment="1">
      <alignment horizontal="centerContinuous" vertical="center"/>
    </xf>
    <xf numFmtId="0" fontId="60" fillId="23" borderId="14" xfId="161" applyFont="1" applyFill="1" applyBorder="1" applyAlignment="1">
      <alignment horizontal="centerContinuous" vertical="center"/>
    </xf>
    <xf numFmtId="0" fontId="60" fillId="0" borderId="10" xfId="161" quotePrefix="1" applyFont="1" applyBorder="1" applyAlignment="1">
      <alignment horizontal="left" vertical="center"/>
    </xf>
    <xf numFmtId="0" fontId="60" fillId="0" borderId="2" xfId="161" quotePrefix="1" applyFont="1" applyBorder="1" applyAlignment="1">
      <alignment horizontal="left" vertical="center"/>
    </xf>
    <xf numFmtId="0" fontId="52" fillId="24" borderId="2" xfId="161" quotePrefix="1" applyFont="1" applyFill="1" applyBorder="1">
      <alignment vertical="center"/>
    </xf>
    <xf numFmtId="0" fontId="52" fillId="24" borderId="2" xfId="161" applyFont="1" applyFill="1" applyBorder="1">
      <alignment vertical="center"/>
    </xf>
    <xf numFmtId="0" fontId="53" fillId="24" borderId="2" xfId="0" applyFont="1" applyFill="1" applyBorder="1">
      <alignment vertical="center"/>
    </xf>
    <xf numFmtId="0" fontId="52" fillId="24" borderId="2" xfId="0" quotePrefix="1" applyFont="1" applyFill="1" applyBorder="1">
      <alignment vertical="center"/>
    </xf>
    <xf numFmtId="0" fontId="52" fillId="24" borderId="2" xfId="0" applyFont="1" applyFill="1" applyBorder="1">
      <alignment vertical="center"/>
    </xf>
    <xf numFmtId="0" fontId="52" fillId="24" borderId="2" xfId="0" applyFont="1" applyFill="1" applyBorder="1" applyAlignment="1">
      <alignment horizontal="center" vertical="center"/>
    </xf>
    <xf numFmtId="0" fontId="52" fillId="24" borderId="2" xfId="0" applyFont="1" applyFill="1" applyBorder="1" applyAlignment="1">
      <alignment horizontal="left" vertical="center"/>
    </xf>
    <xf numFmtId="0" fontId="52" fillId="24" borderId="2" xfId="0" applyFont="1" applyFill="1" applyBorder="1" applyAlignment="1">
      <alignment vertical="center" wrapText="1"/>
    </xf>
    <xf numFmtId="0" fontId="0" fillId="24" borderId="2" xfId="0" applyFill="1" applyBorder="1">
      <alignment vertical="center"/>
    </xf>
    <xf numFmtId="0" fontId="77" fillId="24" borderId="2" xfId="0" applyFont="1" applyFill="1" applyBorder="1">
      <alignment vertical="center"/>
    </xf>
    <xf numFmtId="0" fontId="78" fillId="14" borderId="0" xfId="0" applyFont="1" applyFill="1">
      <alignment vertical="center"/>
    </xf>
    <xf numFmtId="0" fontId="53" fillId="20" borderId="15" xfId="161" applyFont="1" applyFill="1" applyBorder="1" applyAlignment="1">
      <alignment horizontal="centerContinuous" vertical="center"/>
    </xf>
    <xf numFmtId="0" fontId="53" fillId="20" borderId="12" xfId="161" applyFont="1" applyFill="1" applyBorder="1" applyAlignment="1">
      <alignment horizontal="centerContinuous" vertical="center"/>
    </xf>
    <xf numFmtId="0" fontId="53" fillId="20" borderId="13" xfId="161" applyFont="1" applyFill="1" applyBorder="1" applyAlignment="1">
      <alignment horizontal="centerContinuous" vertical="center"/>
    </xf>
    <xf numFmtId="0" fontId="53" fillId="20" borderId="15" xfId="161" quotePrefix="1" applyFont="1" applyFill="1" applyBorder="1" applyAlignment="1">
      <alignment horizontal="centerContinuous" vertical="center"/>
    </xf>
    <xf numFmtId="0" fontId="53" fillId="20" borderId="12" xfId="161" quotePrefix="1" applyFont="1" applyFill="1" applyBorder="1" applyAlignment="1">
      <alignment horizontal="centerContinuous" vertical="center"/>
    </xf>
    <xf numFmtId="0" fontId="60" fillId="20" borderId="15" xfId="161" applyFont="1" applyFill="1" applyBorder="1" applyAlignment="1">
      <alignment horizontal="centerContinuous" vertical="center"/>
    </xf>
    <xf numFmtId="0" fontId="60" fillId="20" borderId="12" xfId="161" applyFont="1" applyFill="1" applyBorder="1" applyAlignment="1">
      <alignment horizontal="centerContinuous" vertical="center"/>
    </xf>
    <xf numFmtId="0" fontId="60" fillId="20" borderId="13" xfId="161" applyFont="1" applyFill="1" applyBorder="1" applyAlignment="1">
      <alignment horizontal="centerContinuous" vertical="center"/>
    </xf>
    <xf numFmtId="0" fontId="60" fillId="0" borderId="10" xfId="161" quotePrefix="1" applyFont="1" applyBorder="1" applyAlignment="1">
      <alignment horizontal="centerContinuous" vertical="center"/>
    </xf>
    <xf numFmtId="0" fontId="53" fillId="25" borderId="15" xfId="161" applyFont="1" applyFill="1" applyBorder="1" applyAlignment="1">
      <alignment horizontal="centerContinuous" vertical="center"/>
    </xf>
    <xf numFmtId="0" fontId="53" fillId="25" borderId="12" xfId="161" applyFont="1" applyFill="1" applyBorder="1" applyAlignment="1">
      <alignment horizontal="centerContinuous" vertical="center"/>
    </xf>
    <xf numFmtId="0" fontId="53" fillId="25" borderId="13" xfId="161" applyFont="1" applyFill="1" applyBorder="1" applyAlignment="1">
      <alignment horizontal="centerContinuous" vertical="center"/>
    </xf>
    <xf numFmtId="0" fontId="53" fillId="25" borderId="15" xfId="161" quotePrefix="1" applyFont="1" applyFill="1" applyBorder="1" applyAlignment="1">
      <alignment horizontal="centerContinuous" vertical="center"/>
    </xf>
    <xf numFmtId="0" fontId="53" fillId="25" borderId="12" xfId="161" quotePrefix="1" applyFont="1" applyFill="1" applyBorder="1" applyAlignment="1">
      <alignment horizontal="centerContinuous" vertical="center"/>
    </xf>
    <xf numFmtId="0" fontId="60" fillId="25" borderId="15" xfId="161" applyFont="1" applyFill="1" applyBorder="1" applyAlignment="1">
      <alignment horizontal="centerContinuous" vertical="center"/>
    </xf>
    <xf numFmtId="0" fontId="60" fillId="25" borderId="12" xfId="161" applyFont="1" applyFill="1" applyBorder="1" applyAlignment="1">
      <alignment horizontal="centerContinuous" vertical="center"/>
    </xf>
    <xf numFmtId="0" fontId="60" fillId="25" borderId="13" xfId="161" applyFont="1" applyFill="1" applyBorder="1" applyAlignment="1">
      <alignment horizontal="centerContinuous" vertical="center"/>
    </xf>
    <xf numFmtId="0" fontId="60" fillId="25" borderId="12" xfId="161" quotePrefix="1" applyFont="1" applyFill="1" applyBorder="1" applyAlignment="1">
      <alignment horizontal="centerContinuous" vertical="center"/>
    </xf>
    <xf numFmtId="0" fontId="60" fillId="25" borderId="15" xfId="161" quotePrefix="1" applyFont="1" applyFill="1" applyBorder="1" applyAlignment="1">
      <alignment horizontal="centerContinuous" vertical="center"/>
    </xf>
    <xf numFmtId="0" fontId="86" fillId="0" borderId="0" xfId="0" applyFont="1">
      <alignment vertical="center"/>
    </xf>
    <xf numFmtId="0" fontId="72" fillId="14" borderId="8" xfId="0" applyFont="1" applyFill="1" applyBorder="1">
      <alignment vertical="center"/>
    </xf>
    <xf numFmtId="0" fontId="52" fillId="14" borderId="6" xfId="180" applyFont="1" applyFill="1" applyBorder="1">
      <alignment vertical="center"/>
    </xf>
    <xf numFmtId="0" fontId="52" fillId="14" borderId="2" xfId="180" quotePrefix="1" applyFont="1" applyFill="1" applyBorder="1">
      <alignment vertical="center"/>
    </xf>
    <xf numFmtId="0" fontId="52" fillId="14" borderId="2" xfId="180" applyFont="1" applyFill="1" applyBorder="1">
      <alignment vertical="center"/>
    </xf>
    <xf numFmtId="0" fontId="52" fillId="14" borderId="2" xfId="180" applyFont="1" applyFill="1" applyBorder="1" applyAlignment="1">
      <alignment horizontal="center" vertical="center"/>
    </xf>
    <xf numFmtId="0" fontId="53" fillId="14" borderId="3" xfId="180" applyFont="1" applyFill="1" applyBorder="1" applyAlignment="1">
      <alignment horizontal="center" vertical="center"/>
    </xf>
    <xf numFmtId="0" fontId="52" fillId="14" borderId="3" xfId="180" applyFont="1" applyFill="1" applyBorder="1" applyAlignment="1">
      <alignment horizontal="center" vertical="center"/>
    </xf>
    <xf numFmtId="0" fontId="52" fillId="0" borderId="28" xfId="0" applyFont="1" applyBorder="1">
      <alignment vertical="center"/>
    </xf>
    <xf numFmtId="0" fontId="52" fillId="14" borderId="28" xfId="161" applyFont="1" applyFill="1" applyBorder="1">
      <alignment vertical="center"/>
    </xf>
    <xf numFmtId="0" fontId="52" fillId="14" borderId="29" xfId="161" applyFont="1" applyFill="1" applyBorder="1">
      <alignment vertical="center"/>
    </xf>
    <xf numFmtId="0" fontId="53" fillId="14" borderId="33" xfId="161" applyFont="1" applyFill="1" applyBorder="1">
      <alignment vertical="center"/>
    </xf>
    <xf numFmtId="0" fontId="52" fillId="14" borderId="34" xfId="161" applyFont="1" applyFill="1" applyBorder="1">
      <alignment vertical="center"/>
    </xf>
    <xf numFmtId="0" fontId="53" fillId="14" borderId="30" xfId="161" applyFont="1" applyFill="1" applyBorder="1">
      <alignment vertical="center"/>
    </xf>
    <xf numFmtId="0" fontId="52" fillId="14" borderId="31" xfId="161" applyFont="1" applyFill="1" applyBorder="1">
      <alignment vertical="center"/>
    </xf>
    <xf numFmtId="0" fontId="52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3" fillId="0" borderId="31" xfId="161" applyFont="1" applyBorder="1">
      <alignment vertical="center"/>
    </xf>
    <xf numFmtId="0" fontId="52" fillId="0" borderId="31" xfId="161" applyFont="1" applyBorder="1">
      <alignment vertical="center"/>
    </xf>
    <xf numFmtId="0" fontId="52" fillId="0" borderId="31" xfId="0" applyFont="1" applyBorder="1" applyAlignment="1">
      <alignment vertical="center" wrapText="1"/>
    </xf>
    <xf numFmtId="0" fontId="52" fillId="0" borderId="31" xfId="161" quotePrefix="1" applyFont="1" applyBorder="1">
      <alignment vertical="center"/>
    </xf>
    <xf numFmtId="0" fontId="52" fillId="0" borderId="31" xfId="161" applyFont="1" applyBorder="1" applyAlignment="1">
      <alignment horizontal="center" vertical="center"/>
    </xf>
    <xf numFmtId="0" fontId="52" fillId="14" borderId="32" xfId="161" applyFont="1" applyFill="1" applyBorder="1">
      <alignment vertical="center"/>
    </xf>
    <xf numFmtId="0" fontId="52" fillId="0" borderId="28" xfId="161" quotePrefix="1" applyFont="1" applyBorder="1">
      <alignment vertical="center"/>
    </xf>
    <xf numFmtId="0" fontId="52" fillId="0" borderId="28" xfId="161" applyFont="1" applyBorder="1">
      <alignment vertical="center"/>
    </xf>
    <xf numFmtId="0" fontId="52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2" fillId="14" borderId="33" xfId="0" applyFont="1" applyFill="1" applyBorder="1">
      <alignment vertical="center"/>
    </xf>
    <xf numFmtId="0" fontId="52" fillId="0" borderId="34" xfId="161" applyFont="1" applyBorder="1">
      <alignment vertical="center"/>
    </xf>
    <xf numFmtId="0" fontId="52" fillId="0" borderId="0" xfId="180" applyFont="1" applyAlignment="1">
      <alignment vertical="top"/>
    </xf>
    <xf numFmtId="0" fontId="52" fillId="14" borderId="34" xfId="180" applyFont="1" applyFill="1" applyBorder="1">
      <alignment vertical="center"/>
    </xf>
    <xf numFmtId="0" fontId="52" fillId="14" borderId="33" xfId="161" applyFont="1" applyFill="1" applyBorder="1" applyAlignment="1">
      <alignment horizontal="left" vertical="center"/>
    </xf>
    <xf numFmtId="0" fontId="52" fillId="14" borderId="30" xfId="161" applyFont="1" applyFill="1" applyBorder="1" applyAlignment="1">
      <alignment horizontal="left" vertical="center"/>
    </xf>
    <xf numFmtId="0" fontId="52" fillId="14" borderId="31" xfId="161" applyFont="1" applyFill="1" applyBorder="1" applyAlignment="1">
      <alignment horizontal="left" vertical="center"/>
    </xf>
    <xf numFmtId="0" fontId="68" fillId="0" borderId="31" xfId="161" applyFont="1" applyBorder="1" applyAlignment="1">
      <alignment horizontal="left" vertical="center"/>
    </xf>
    <xf numFmtId="0" fontId="68" fillId="0" borderId="31" xfId="0" applyFont="1" applyBorder="1">
      <alignment vertical="center"/>
    </xf>
    <xf numFmtId="0" fontId="68" fillId="0" borderId="31" xfId="161" applyFont="1" applyBorder="1" applyAlignment="1">
      <alignment horizontal="center" vertical="center"/>
    </xf>
    <xf numFmtId="0" fontId="68" fillId="0" borderId="31" xfId="161" applyFont="1" applyBorder="1">
      <alignment vertical="center"/>
    </xf>
    <xf numFmtId="0" fontId="68" fillId="0" borderId="31" xfId="0" applyFont="1" applyBorder="1" applyAlignment="1">
      <alignment horizontal="center" vertical="center"/>
    </xf>
    <xf numFmtId="0" fontId="52" fillId="0" borderId="32" xfId="161" applyFont="1" applyBorder="1">
      <alignment vertical="center"/>
    </xf>
    <xf numFmtId="0" fontId="75" fillId="14" borderId="27" xfId="0" applyFont="1" applyFill="1" applyBorder="1">
      <alignment vertical="center"/>
    </xf>
    <xf numFmtId="0" fontId="52" fillId="0" borderId="28" xfId="161" quotePrefix="1" applyFont="1" applyBorder="1" applyAlignment="1">
      <alignment horizontal="left" vertical="center"/>
    </xf>
    <xf numFmtId="0" fontId="52" fillId="0" borderId="28" xfId="161" applyFont="1" applyBorder="1" applyAlignment="1">
      <alignment horizontal="left" vertical="center"/>
    </xf>
    <xf numFmtId="0" fontId="53" fillId="0" borderId="15" xfId="161" applyFont="1" applyBorder="1">
      <alignment vertical="center"/>
    </xf>
    <xf numFmtId="0" fontId="78" fillId="14" borderId="28" xfId="0" applyFont="1" applyFill="1" applyBorder="1">
      <alignment vertical="center"/>
    </xf>
    <xf numFmtId="0" fontId="57" fillId="14" borderId="28" xfId="161" applyFont="1" applyFill="1" applyBorder="1">
      <alignment vertical="center"/>
    </xf>
    <xf numFmtId="0" fontId="19" fillId="10" borderId="28" xfId="46" applyFont="1" applyFill="1" applyBorder="1" applyAlignment="1">
      <alignment horizontal="centerContinuous"/>
    </xf>
    <xf numFmtId="0" fontId="19" fillId="10" borderId="29" xfId="46" applyFont="1" applyFill="1" applyBorder="1" applyAlignment="1">
      <alignment horizontal="centerContinuous"/>
    </xf>
    <xf numFmtId="0" fontId="60" fillId="19" borderId="35" xfId="161" applyFont="1" applyFill="1" applyBorder="1" applyAlignment="1">
      <alignment horizontal="center" vertical="center"/>
    </xf>
    <xf numFmtId="0" fontId="60" fillId="23" borderId="36" xfId="161" applyFont="1" applyFill="1" applyBorder="1" applyAlignment="1">
      <alignment horizontal="centerContinuous" vertical="center"/>
    </xf>
    <xf numFmtId="0" fontId="53" fillId="19" borderId="37" xfId="161" applyFont="1" applyFill="1" applyBorder="1" applyAlignment="1">
      <alignment horizontal="centerContinuous" vertical="center"/>
    </xf>
    <xf numFmtId="0" fontId="60" fillId="23" borderId="38" xfId="161" quotePrefix="1" applyFont="1" applyFill="1" applyBorder="1" applyAlignment="1">
      <alignment horizontal="centerContinuous" vertical="center"/>
    </xf>
    <xf numFmtId="0" fontId="52" fillId="19" borderId="39" xfId="161" quotePrefix="1" applyFont="1" applyFill="1" applyBorder="1" applyAlignment="1">
      <alignment horizontal="center" vertical="center"/>
    </xf>
    <xf numFmtId="14" fontId="60" fillId="0" borderId="40" xfId="161" quotePrefix="1" applyNumberFormat="1" applyFont="1" applyBorder="1" applyAlignment="1">
      <alignment horizontal="centerContinuous" vertical="center"/>
    </xf>
    <xf numFmtId="0" fontId="63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2" fillId="0" borderId="33" xfId="0" applyFont="1" applyBorder="1">
      <alignment vertical="center"/>
    </xf>
    <xf numFmtId="0" fontId="83" fillId="24" borderId="41" xfId="161" quotePrefix="1" applyFont="1" applyFill="1" applyBorder="1" applyAlignment="1">
      <alignment horizontal="left" vertical="center"/>
    </xf>
    <xf numFmtId="0" fontId="0" fillId="24" borderId="40" xfId="0" applyFill="1" applyBorder="1">
      <alignment vertical="center"/>
    </xf>
    <xf numFmtId="0" fontId="75" fillId="14" borderId="30" xfId="0" applyFont="1" applyFill="1" applyBorder="1">
      <alignment vertical="center"/>
    </xf>
    <xf numFmtId="0" fontId="52" fillId="0" borderId="31" xfId="161" quotePrefix="1" applyFont="1" applyBorder="1" applyAlignment="1">
      <alignment horizontal="left" vertical="center"/>
    </xf>
    <xf numFmtId="0" fontId="52" fillId="0" borderId="31" xfId="161" applyFont="1" applyBorder="1" applyAlignment="1">
      <alignment horizontal="left" vertical="center"/>
    </xf>
    <xf numFmtId="0" fontId="78" fillId="14" borderId="31" xfId="0" applyFont="1" applyFill="1" applyBorder="1">
      <alignment vertical="center"/>
    </xf>
    <xf numFmtId="0" fontId="57" fillId="14" borderId="31" xfId="161" applyFont="1" applyFill="1" applyBorder="1">
      <alignment vertical="center"/>
    </xf>
    <xf numFmtId="0" fontId="19" fillId="10" borderId="31" xfId="46" applyFont="1" applyFill="1" applyBorder="1" applyAlignment="1">
      <alignment horizontal="centerContinuous"/>
    </xf>
    <xf numFmtId="0" fontId="19" fillId="10" borderId="32" xfId="46" applyFont="1" applyFill="1" applyBorder="1" applyAlignment="1">
      <alignment horizontal="centerContinuous"/>
    </xf>
    <xf numFmtId="0" fontId="53" fillId="0" borderId="8" xfId="161" quotePrefix="1" applyFont="1" applyBorder="1">
      <alignment vertical="center"/>
    </xf>
    <xf numFmtId="0" fontId="57" fillId="14" borderId="12" xfId="161" applyFont="1" applyFill="1" applyBorder="1">
      <alignment vertical="center"/>
    </xf>
    <xf numFmtId="0" fontId="19" fillId="10" borderId="12" xfId="46" applyFont="1" applyFill="1" applyBorder="1" applyAlignment="1">
      <alignment horizontal="centerContinuous"/>
    </xf>
    <xf numFmtId="0" fontId="19" fillId="10" borderId="34" xfId="46" applyFont="1" applyFill="1" applyBorder="1" applyAlignment="1">
      <alignment horizontal="centerContinuous"/>
    </xf>
    <xf numFmtId="0" fontId="19" fillId="10" borderId="8" xfId="46" applyFont="1" applyFill="1" applyBorder="1" applyAlignment="1">
      <alignment horizontal="centerContinuous"/>
    </xf>
    <xf numFmtId="0" fontId="19" fillId="10" borderId="38" xfId="46" applyFont="1" applyFill="1" applyBorder="1" applyAlignment="1">
      <alignment horizontal="centerContinuous"/>
    </xf>
    <xf numFmtId="0" fontId="52" fillId="0" borderId="0" xfId="161" quotePrefix="1" applyFont="1" applyAlignment="1">
      <alignment horizontal="center" vertical="center"/>
    </xf>
    <xf numFmtId="0" fontId="73" fillId="0" borderId="0" xfId="0" applyFont="1">
      <alignment vertical="center"/>
    </xf>
    <xf numFmtId="179" fontId="60" fillId="0" borderId="0" xfId="161" quotePrefix="1" applyNumberFormat="1" applyFont="1" applyAlignment="1">
      <alignment horizontal="right" vertical="center"/>
    </xf>
    <xf numFmtId="0" fontId="60" fillId="0" borderId="0" xfId="161" quotePrefix="1" applyFont="1" applyAlignment="1">
      <alignment horizontal="right" vertical="center"/>
    </xf>
    <xf numFmtId="0" fontId="19" fillId="10" borderId="16" xfId="46" applyFont="1" applyFill="1" applyBorder="1" applyAlignment="1">
      <alignment horizontal="center"/>
    </xf>
    <xf numFmtId="0" fontId="19" fillId="10" borderId="9" xfId="46" applyFont="1" applyFill="1" applyBorder="1" applyAlignment="1">
      <alignment horizontal="center"/>
    </xf>
    <xf numFmtId="0" fontId="53" fillId="0" borderId="33" xfId="161" applyFont="1" applyBorder="1">
      <alignment vertical="center"/>
    </xf>
    <xf numFmtId="0" fontId="52" fillId="0" borderId="33" xfId="161" quotePrefix="1" applyFont="1" applyBorder="1" applyAlignment="1">
      <alignment horizontal="center" vertical="center"/>
    </xf>
    <xf numFmtId="0" fontId="19" fillId="10" borderId="42" xfId="46" applyFont="1" applyFill="1" applyBorder="1" applyAlignment="1">
      <alignment horizontal="centerContinuous"/>
    </xf>
    <xf numFmtId="0" fontId="19" fillId="10" borderId="43" xfId="46" applyFont="1" applyFill="1" applyBorder="1" applyAlignment="1">
      <alignment horizontal="centerContinuous"/>
    </xf>
    <xf numFmtId="0" fontId="19" fillId="10" borderId="11" xfId="46" applyFont="1" applyFill="1" applyBorder="1" applyAlignment="1">
      <alignment horizontal="centerContinuous"/>
    </xf>
    <xf numFmtId="0" fontId="74" fillId="14" borderId="0" xfId="180" applyFont="1" applyFill="1">
      <alignment vertical="center"/>
    </xf>
    <xf numFmtId="0" fontId="52" fillId="0" borderId="34" xfId="0" applyFont="1" applyBorder="1">
      <alignment vertical="center"/>
    </xf>
    <xf numFmtId="0" fontId="64" fillId="19" borderId="41" xfId="180" applyFont="1" applyFill="1" applyBorder="1" applyAlignment="1">
      <alignment horizontal="centerContinuous" vertical="center"/>
    </xf>
    <xf numFmtId="0" fontId="76" fillId="14" borderId="41" xfId="180" quotePrefix="1" applyFont="1" applyFill="1" applyBorder="1">
      <alignment vertical="center"/>
    </xf>
    <xf numFmtId="14" fontId="52" fillId="14" borderId="2" xfId="180" applyNumberFormat="1" applyFont="1" applyFill="1" applyBorder="1" applyAlignment="1">
      <alignment horizontal="centerContinuous" vertical="center"/>
    </xf>
    <xf numFmtId="0" fontId="52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2" fillId="14" borderId="44" xfId="161" applyFont="1" applyFill="1" applyBorder="1">
      <alignment vertical="center"/>
    </xf>
    <xf numFmtId="183" fontId="60" fillId="0" borderId="0" xfId="161" quotePrefix="1" applyNumberFormat="1" applyFont="1" applyAlignment="1">
      <alignment horizontal="right" vertical="center"/>
    </xf>
    <xf numFmtId="0" fontId="19" fillId="10" borderId="21" xfId="46" applyFont="1" applyFill="1" applyBorder="1" applyAlignment="1">
      <alignment horizontal="center"/>
    </xf>
    <xf numFmtId="0" fontId="19" fillId="10" borderId="22" xfId="46" applyFont="1" applyFill="1" applyBorder="1" applyAlignment="1">
      <alignment horizontal="center"/>
    </xf>
    <xf numFmtId="0" fontId="68" fillId="0" borderId="28" xfId="161" applyFont="1" applyBorder="1" applyAlignment="1">
      <alignment horizontal="left" vertical="center"/>
    </xf>
    <xf numFmtId="0" fontId="68" fillId="0" borderId="28" xfId="0" applyFont="1" applyBorder="1">
      <alignment vertical="center"/>
    </xf>
    <xf numFmtId="0" fontId="68" fillId="0" borderId="28" xfId="161" applyFont="1" applyBorder="1" applyAlignment="1">
      <alignment horizontal="center" vertical="center"/>
    </xf>
    <xf numFmtId="0" fontId="68" fillId="0" borderId="28" xfId="161" applyFont="1" applyBorder="1">
      <alignment vertical="center"/>
    </xf>
    <xf numFmtId="0" fontId="68" fillId="0" borderId="28" xfId="0" applyFont="1" applyBorder="1" applyAlignment="1">
      <alignment horizontal="center" vertical="center"/>
    </xf>
    <xf numFmtId="0" fontId="83" fillId="0" borderId="33" xfId="161" quotePrefix="1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3" fillId="0" borderId="12" xfId="0" applyFont="1" applyBorder="1">
      <alignment vertical="center"/>
    </xf>
    <xf numFmtId="0" fontId="52" fillId="0" borderId="12" xfId="0" quotePrefix="1" applyFont="1" applyBorder="1">
      <alignment vertical="center"/>
    </xf>
    <xf numFmtId="0" fontId="52" fillId="0" borderId="12" xfId="0" applyFont="1" applyBorder="1" applyAlignment="1">
      <alignment horizontal="center" vertical="center"/>
    </xf>
    <xf numFmtId="0" fontId="52" fillId="0" borderId="12" xfId="0" applyFont="1" applyBorder="1" applyAlignment="1">
      <alignment horizontal="left" vertical="center"/>
    </xf>
    <xf numFmtId="9" fontId="52" fillId="0" borderId="2" xfId="161" applyNumberFormat="1" applyFont="1" applyBorder="1">
      <alignment vertical="center"/>
    </xf>
    <xf numFmtId="0" fontId="52" fillId="14" borderId="10" xfId="0" quotePrefix="1" applyFont="1" applyFill="1" applyBorder="1">
      <alignment vertical="center"/>
    </xf>
    <xf numFmtId="0" fontId="52" fillId="26" borderId="10" xfId="0" quotePrefix="1" applyFont="1" applyFill="1" applyBorder="1">
      <alignment vertical="center"/>
    </xf>
    <xf numFmtId="0" fontId="52" fillId="26" borderId="2" xfId="180" quotePrefix="1" applyFont="1" applyFill="1" applyBorder="1">
      <alignment vertical="center"/>
    </xf>
    <xf numFmtId="0" fontId="52" fillId="26" borderId="2" xfId="180" applyFont="1" applyFill="1" applyBorder="1">
      <alignment vertical="center"/>
    </xf>
    <xf numFmtId="0" fontId="52" fillId="26" borderId="2" xfId="180" applyFont="1" applyFill="1" applyBorder="1" applyAlignment="1">
      <alignment horizontal="center" vertical="center"/>
    </xf>
    <xf numFmtId="0" fontId="0" fillId="26" borderId="2" xfId="0" applyFill="1" applyBorder="1">
      <alignment vertical="center"/>
    </xf>
    <xf numFmtId="0" fontId="52" fillId="26" borderId="17" xfId="180" applyFont="1" applyFill="1" applyBorder="1" applyAlignment="1">
      <alignment horizontal="center" vertical="center"/>
    </xf>
    <xf numFmtId="0" fontId="75" fillId="14" borderId="28" xfId="0" applyFont="1" applyFill="1" applyBorder="1">
      <alignment vertical="center"/>
    </xf>
    <xf numFmtId="183" fontId="60" fillId="0" borderId="0" xfId="161" quotePrefix="1" applyNumberFormat="1" applyFont="1">
      <alignment vertical="center"/>
    </xf>
    <xf numFmtId="0" fontId="87" fillId="0" borderId="0" xfId="0" applyFont="1">
      <alignment vertical="center"/>
    </xf>
    <xf numFmtId="0" fontId="52" fillId="26" borderId="2" xfId="0" applyFont="1" applyFill="1" applyBorder="1">
      <alignment vertical="center"/>
    </xf>
    <xf numFmtId="0" fontId="64" fillId="26" borderId="2" xfId="180" applyFont="1" applyFill="1" applyBorder="1">
      <alignment vertical="center"/>
    </xf>
    <xf numFmtId="0" fontId="52" fillId="26" borderId="2" xfId="0" applyFont="1" applyFill="1" applyBorder="1" applyAlignment="1">
      <alignment vertical="center" wrapText="1"/>
    </xf>
    <xf numFmtId="0" fontId="52" fillId="26" borderId="17" xfId="0" applyFont="1" applyFill="1" applyBorder="1">
      <alignment vertical="center"/>
    </xf>
    <xf numFmtId="0" fontId="52" fillId="0" borderId="24" xfId="180" applyFont="1" applyBorder="1">
      <alignment vertical="center"/>
    </xf>
    <xf numFmtId="0" fontId="52" fillId="26" borderId="2" xfId="180" applyFont="1" applyFill="1" applyBorder="1" applyAlignment="1">
      <alignment horizontal="left" vertical="center"/>
    </xf>
    <xf numFmtId="0" fontId="53" fillId="14" borderId="41" xfId="180" quotePrefix="1" applyFont="1" applyFill="1" applyBorder="1">
      <alignment vertical="center"/>
    </xf>
    <xf numFmtId="0" fontId="52" fillId="14" borderId="10" xfId="180" quotePrefix="1" applyFont="1" applyFill="1" applyBorder="1" applyAlignment="1">
      <alignment horizontal="left" vertical="center"/>
    </xf>
    <xf numFmtId="0" fontId="77" fillId="14" borderId="44" xfId="161" quotePrefix="1" applyFont="1" applyFill="1" applyBorder="1">
      <alignment vertical="center"/>
    </xf>
    <xf numFmtId="0" fontId="63" fillId="0" borderId="28" xfId="0" applyFont="1" applyBorder="1">
      <alignment vertical="center"/>
    </xf>
    <xf numFmtId="0" fontId="52" fillId="14" borderId="8" xfId="180" quotePrefix="1" applyFont="1" applyFill="1" applyBorder="1">
      <alignment vertical="center"/>
    </xf>
    <xf numFmtId="0" fontId="52" fillId="14" borderId="8" xfId="180" applyFont="1" applyFill="1" applyBorder="1">
      <alignment vertical="center"/>
    </xf>
    <xf numFmtId="0" fontId="52" fillId="14" borderId="8" xfId="180" applyFont="1" applyFill="1" applyBorder="1" applyAlignment="1">
      <alignment horizontal="center" vertical="center"/>
    </xf>
    <xf numFmtId="0" fontId="52" fillId="14" borderId="25" xfId="180" applyFont="1" applyFill="1" applyBorder="1" applyAlignment="1">
      <alignment horizontal="center" vertical="center"/>
    </xf>
    <xf numFmtId="0" fontId="53" fillId="0" borderId="33" xfId="180" applyFont="1" applyBorder="1" applyAlignment="1">
      <alignment vertical="top"/>
    </xf>
    <xf numFmtId="0" fontId="53" fillId="14" borderId="17" xfId="180" applyFont="1" applyFill="1" applyBorder="1" applyAlignment="1">
      <alignment horizontal="center" vertical="center"/>
    </xf>
    <xf numFmtId="0" fontId="63" fillId="14" borderId="8" xfId="180" applyFont="1" applyFill="1" applyBorder="1" applyAlignment="1">
      <alignment horizontal="center" vertical="center"/>
    </xf>
    <xf numFmtId="0" fontId="52" fillId="14" borderId="45" xfId="0" applyFont="1" applyFill="1" applyBorder="1">
      <alignment vertical="center"/>
    </xf>
    <xf numFmtId="0" fontId="53" fillId="27" borderId="15" xfId="161" applyFont="1" applyFill="1" applyBorder="1" applyAlignment="1">
      <alignment horizontal="centerContinuous" vertical="center"/>
    </xf>
    <xf numFmtId="0" fontId="53" fillId="27" borderId="12" xfId="161" applyFont="1" applyFill="1" applyBorder="1" applyAlignment="1">
      <alignment horizontal="centerContinuous" vertical="center"/>
    </xf>
    <xf numFmtId="0" fontId="53" fillId="27" borderId="15" xfId="161" quotePrefix="1" applyFont="1" applyFill="1" applyBorder="1" applyAlignment="1">
      <alignment horizontal="centerContinuous" vertical="center"/>
    </xf>
    <xf numFmtId="0" fontId="53" fillId="27" borderId="13" xfId="161" applyFont="1" applyFill="1" applyBorder="1" applyAlignment="1">
      <alignment horizontal="centerContinuous" vertical="center"/>
    </xf>
    <xf numFmtId="0" fontId="53" fillId="27" borderId="12" xfId="161" quotePrefix="1" applyFont="1" applyFill="1" applyBorder="1" applyAlignment="1">
      <alignment horizontal="centerContinuous" vertical="center"/>
    </xf>
    <xf numFmtId="0" fontId="60" fillId="27" borderId="15" xfId="161" applyFont="1" applyFill="1" applyBorder="1" applyAlignment="1">
      <alignment horizontal="centerContinuous" vertical="center"/>
    </xf>
    <xf numFmtId="0" fontId="60" fillId="27" borderId="12" xfId="161" applyFont="1" applyFill="1" applyBorder="1" applyAlignment="1">
      <alignment horizontal="centerContinuous" vertical="center"/>
    </xf>
    <xf numFmtId="0" fontId="60" fillId="27" borderId="13" xfId="161" applyFont="1" applyFill="1" applyBorder="1" applyAlignment="1">
      <alignment horizontal="centerContinuous" vertical="center"/>
    </xf>
    <xf numFmtId="0" fontId="60" fillId="27" borderId="15" xfId="161" quotePrefix="1" applyFont="1" applyFill="1" applyBorder="1" applyAlignment="1">
      <alignment horizontal="centerContinuous" vertical="center"/>
    </xf>
    <xf numFmtId="0" fontId="60" fillId="27" borderId="12" xfId="161" quotePrefix="1" applyFont="1" applyFill="1" applyBorder="1" applyAlignment="1">
      <alignment horizontal="centerContinuous" vertical="center"/>
    </xf>
    <xf numFmtId="0" fontId="52" fillId="0" borderId="10" xfId="0" quotePrefix="1" applyFont="1" applyBorder="1">
      <alignment vertical="center"/>
    </xf>
    <xf numFmtId="0" fontId="52" fillId="0" borderId="2" xfId="180" quotePrefix="1" applyFont="1" applyBorder="1">
      <alignment vertical="center"/>
    </xf>
    <xf numFmtId="0" fontId="52" fillId="0" borderId="2" xfId="180" applyFont="1" applyBorder="1">
      <alignment vertical="center"/>
    </xf>
    <xf numFmtId="0" fontId="52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4" fillId="0" borderId="2" xfId="180" applyFont="1" applyBorder="1">
      <alignment vertical="center"/>
    </xf>
    <xf numFmtId="0" fontId="52" fillId="0" borderId="2" xfId="0" applyFont="1" applyBorder="1" applyAlignment="1">
      <alignment vertical="center" wrapText="1"/>
    </xf>
    <xf numFmtId="0" fontId="89" fillId="10" borderId="16" xfId="46" applyFont="1" applyFill="1" applyBorder="1" applyAlignment="1">
      <alignment horizontal="centerContinuous"/>
    </xf>
    <xf numFmtId="0" fontId="89" fillId="10" borderId="9" xfId="46" applyFont="1" applyFill="1" applyBorder="1" applyAlignment="1">
      <alignment horizontal="centerContinuous"/>
    </xf>
    <xf numFmtId="0" fontId="90" fillId="14" borderId="0" xfId="0" applyFont="1" applyFill="1">
      <alignment vertical="center"/>
    </xf>
    <xf numFmtId="0" fontId="91" fillId="14" borderId="0" xfId="0" applyFont="1" applyFill="1">
      <alignment vertical="center"/>
    </xf>
    <xf numFmtId="0" fontId="89" fillId="10" borderId="6" xfId="49" applyFont="1" applyFill="1" applyBorder="1" applyAlignment="1">
      <alignment horizontal="right" vertical="center"/>
    </xf>
    <xf numFmtId="0" fontId="90" fillId="14" borderId="6" xfId="161" quotePrefix="1" applyFont="1" applyFill="1" applyBorder="1">
      <alignment vertical="center"/>
    </xf>
    <xf numFmtId="0" fontId="90" fillId="14" borderId="0" xfId="161" applyFont="1" applyFill="1">
      <alignment vertical="center"/>
    </xf>
    <xf numFmtId="0" fontId="90" fillId="14" borderId="11" xfId="161" applyFont="1" applyFill="1" applyBorder="1">
      <alignment vertical="center"/>
    </xf>
    <xf numFmtId="0" fontId="90" fillId="0" borderId="0" xfId="161" applyFont="1">
      <alignment vertical="center"/>
    </xf>
    <xf numFmtId="0" fontId="90" fillId="0" borderId="0" xfId="161" quotePrefix="1" applyFont="1">
      <alignment vertical="center"/>
    </xf>
    <xf numFmtId="0" fontId="90" fillId="0" borderId="0" xfId="161" applyFont="1" applyAlignment="1">
      <alignment horizontal="center" vertical="center"/>
    </xf>
    <xf numFmtId="0" fontId="90" fillId="0" borderId="0" xfId="0" applyFont="1">
      <alignment vertical="center"/>
    </xf>
    <xf numFmtId="0" fontId="88" fillId="14" borderId="6" xfId="161" quotePrefix="1" applyFont="1" applyFill="1" applyBorder="1">
      <alignment vertical="center"/>
    </xf>
    <xf numFmtId="0" fontId="92" fillId="14" borderId="0" xfId="0" applyFont="1" applyFill="1">
      <alignment vertical="center"/>
    </xf>
    <xf numFmtId="0" fontId="90" fillId="0" borderId="0" xfId="161" quotePrefix="1" applyFont="1" applyAlignment="1">
      <alignment horizontal="left" vertical="center"/>
    </xf>
    <xf numFmtId="0" fontId="90" fillId="0" borderId="0" xfId="161" applyFont="1" applyAlignment="1">
      <alignment horizontal="left" vertical="center"/>
    </xf>
    <xf numFmtId="0" fontId="89" fillId="10" borderId="16" xfId="46" applyFont="1" applyFill="1" applyBorder="1" applyAlignment="1">
      <alignment horizontal="center"/>
    </xf>
    <xf numFmtId="0" fontId="89" fillId="10" borderId="9" xfId="46" applyFont="1" applyFill="1" applyBorder="1" applyAlignment="1">
      <alignment horizontal="center"/>
    </xf>
    <xf numFmtId="0" fontId="90" fillId="14" borderId="0" xfId="0" applyFont="1" applyFill="1" applyAlignment="1">
      <alignment vertical="center" wrapText="1"/>
    </xf>
    <xf numFmtId="0" fontId="89" fillId="10" borderId="7" xfId="49" applyFont="1" applyFill="1" applyBorder="1" applyAlignment="1">
      <alignment horizontal="right" vertical="center"/>
    </xf>
    <xf numFmtId="0" fontId="91" fillId="14" borderId="0" xfId="0" applyFont="1" applyFill="1" applyAlignment="1">
      <alignment vertical="center" wrapText="1"/>
    </xf>
    <xf numFmtId="0" fontId="95" fillId="0" borderId="46" xfId="161" quotePrefix="1" applyFont="1" applyBorder="1">
      <alignment vertical="center"/>
    </xf>
    <xf numFmtId="0" fontId="89" fillId="0" borderId="46" xfId="161" applyFont="1" applyBorder="1">
      <alignment vertical="center"/>
    </xf>
    <xf numFmtId="0" fontId="90" fillId="0" borderId="46" xfId="161" applyFont="1" applyBorder="1">
      <alignment vertical="center"/>
    </xf>
    <xf numFmtId="0" fontId="90" fillId="0" borderId="46" xfId="161" quotePrefix="1" applyFont="1" applyBorder="1">
      <alignment vertical="center"/>
    </xf>
    <xf numFmtId="0" fontId="90" fillId="0" borderId="46" xfId="161" applyFont="1" applyBorder="1" applyAlignment="1">
      <alignment horizontal="center" vertical="center"/>
    </xf>
    <xf numFmtId="0" fontId="90" fillId="0" borderId="46" xfId="0" applyFont="1" applyBorder="1">
      <alignment vertical="center"/>
    </xf>
    <xf numFmtId="0" fontId="90" fillId="0" borderId="46" xfId="0" applyFont="1" applyBorder="1" applyAlignment="1">
      <alignment vertical="center" wrapText="1"/>
    </xf>
    <xf numFmtId="0" fontId="89" fillId="0" borderId="0" xfId="161" applyFont="1">
      <alignment vertical="center"/>
    </xf>
    <xf numFmtId="0" fontId="89" fillId="0" borderId="6" xfId="161" quotePrefix="1" applyFont="1" applyBorder="1">
      <alignment vertical="center"/>
    </xf>
    <xf numFmtId="0" fontId="94" fillId="0" borderId="0" xfId="0" applyFont="1">
      <alignment vertical="center"/>
    </xf>
    <xf numFmtId="0" fontId="89" fillId="0" borderId="0" xfId="161" quotePrefix="1" applyFont="1">
      <alignment vertical="center"/>
    </xf>
    <xf numFmtId="0" fontId="89" fillId="0" borderId="0" xfId="0" applyFont="1">
      <alignment vertical="center"/>
    </xf>
    <xf numFmtId="0" fontId="89" fillId="0" borderId="11" xfId="161" applyFont="1" applyBorder="1">
      <alignment vertical="center"/>
    </xf>
    <xf numFmtId="0" fontId="94" fillId="0" borderId="0" xfId="161" applyFont="1">
      <alignment vertical="center"/>
    </xf>
    <xf numFmtId="0" fontId="96" fillId="0" borderId="0" xfId="0" applyFont="1">
      <alignment vertical="center"/>
    </xf>
    <xf numFmtId="0" fontId="89" fillId="0" borderId="0" xfId="0" applyFont="1" applyAlignment="1">
      <alignment vertical="center" wrapText="1"/>
    </xf>
    <xf numFmtId="0" fontId="89" fillId="0" borderId="6" xfId="161" applyFont="1" applyBorder="1">
      <alignment vertical="center"/>
    </xf>
    <xf numFmtId="0" fontId="89" fillId="0" borderId="0" xfId="161" quotePrefix="1" applyFont="1" applyAlignment="1">
      <alignment horizontal="center" vertical="center"/>
    </xf>
    <xf numFmtId="0" fontId="93" fillId="0" borderId="0" xfId="0" applyFont="1">
      <alignment vertical="center"/>
    </xf>
    <xf numFmtId="0" fontId="89" fillId="0" borderId="0" xfId="0" applyFont="1" applyAlignment="1">
      <alignment horizontal="left" vertical="center"/>
    </xf>
    <xf numFmtId="0" fontId="89" fillId="0" borderId="14" xfId="161" applyFont="1" applyBorder="1">
      <alignment vertical="center"/>
    </xf>
    <xf numFmtId="0" fontId="97" fillId="14" borderId="0" xfId="0" applyFont="1" applyFill="1">
      <alignment vertical="center"/>
    </xf>
    <xf numFmtId="0" fontId="97" fillId="14" borderId="0" xfId="0" applyFont="1" applyFill="1" applyAlignment="1">
      <alignment horizontal="left" vertical="center"/>
    </xf>
    <xf numFmtId="0" fontId="97" fillId="19" borderId="0" xfId="0" applyFont="1" applyFill="1">
      <alignment vertical="center"/>
    </xf>
    <xf numFmtId="0" fontId="97" fillId="19" borderId="0" xfId="161" applyFont="1" applyFill="1">
      <alignment vertical="center"/>
    </xf>
    <xf numFmtId="0" fontId="97" fillId="19" borderId="0" xfId="161" applyFont="1" applyFill="1" applyAlignment="1">
      <alignment horizontal="center" vertical="center"/>
    </xf>
    <xf numFmtId="0" fontId="97" fillId="19" borderId="0" xfId="161" applyFont="1" applyFill="1" applyAlignment="1">
      <alignment horizontal="left" vertical="center"/>
    </xf>
    <xf numFmtId="0" fontId="89" fillId="19" borderId="6" xfId="161" quotePrefix="1" applyFont="1" applyFill="1" applyBorder="1">
      <alignment vertical="center"/>
    </xf>
    <xf numFmtId="0" fontId="93" fillId="19" borderId="0" xfId="0" applyFont="1" applyFill="1">
      <alignment vertical="center"/>
    </xf>
    <xf numFmtId="0" fontId="89" fillId="19" borderId="0" xfId="0" applyFont="1" applyFill="1">
      <alignment vertical="center"/>
    </xf>
    <xf numFmtId="0" fontId="97" fillId="19" borderId="0" xfId="0" applyFont="1" applyFill="1" applyAlignment="1">
      <alignment horizontal="center" vertical="center"/>
    </xf>
    <xf numFmtId="0" fontId="89" fillId="19" borderId="11" xfId="161" applyFont="1" applyFill="1" applyBorder="1">
      <alignment vertical="center"/>
    </xf>
    <xf numFmtId="0" fontId="89" fillId="19" borderId="0" xfId="161" quotePrefix="1" applyFont="1" applyFill="1">
      <alignment vertical="center"/>
    </xf>
    <xf numFmtId="0" fontId="73" fillId="14" borderId="0" xfId="0" applyFont="1" applyFill="1">
      <alignment vertical="center"/>
    </xf>
    <xf numFmtId="0" fontId="99" fillId="14" borderId="0" xfId="0" applyFont="1" applyFill="1">
      <alignment vertical="center"/>
    </xf>
    <xf numFmtId="0" fontId="93" fillId="28" borderId="0" xfId="0" applyFont="1" applyFill="1" applyAlignment="1">
      <alignment horizontal="left" vertical="center"/>
    </xf>
    <xf numFmtId="0" fontId="93" fillId="28" borderId="0" xfId="0" applyFont="1" applyFill="1">
      <alignment vertical="center"/>
    </xf>
    <xf numFmtId="0" fontId="93" fillId="14" borderId="0" xfId="0" applyFont="1" applyFill="1">
      <alignment vertical="center"/>
    </xf>
    <xf numFmtId="0" fontId="89" fillId="0" borderId="8" xfId="161" applyFont="1" applyBorder="1">
      <alignment vertical="center"/>
    </xf>
    <xf numFmtId="0" fontId="94" fillId="0" borderId="8" xfId="0" applyFont="1" applyBorder="1">
      <alignment vertical="center"/>
    </xf>
    <xf numFmtId="0" fontId="94" fillId="0" borderId="8" xfId="0" applyFont="1" applyBorder="1" applyAlignment="1">
      <alignment vertical="center" wrapText="1"/>
    </xf>
    <xf numFmtId="0" fontId="89" fillId="0" borderId="12" xfId="161" applyFont="1" applyBorder="1">
      <alignment vertical="center"/>
    </xf>
    <xf numFmtId="0" fontId="94" fillId="0" borderId="12" xfId="0" applyFont="1" applyBorder="1">
      <alignment vertical="center"/>
    </xf>
    <xf numFmtId="0" fontId="94" fillId="0" borderId="12" xfId="0" applyFont="1" applyBorder="1" applyAlignment="1">
      <alignment vertical="center" wrapText="1"/>
    </xf>
    <xf numFmtId="0" fontId="89" fillId="10" borderId="26" xfId="46" applyFont="1" applyFill="1" applyBorder="1" applyAlignment="1">
      <alignment horizontal="center"/>
    </xf>
    <xf numFmtId="0" fontId="89" fillId="10" borderId="18" xfId="46" applyFont="1" applyFill="1" applyBorder="1" applyAlignment="1">
      <alignment horizontal="center"/>
    </xf>
    <xf numFmtId="0" fontId="89" fillId="10" borderId="47" xfId="46" applyFont="1" applyFill="1" applyBorder="1" applyAlignment="1">
      <alignment horizontal="center"/>
    </xf>
    <xf numFmtId="0" fontId="94" fillId="28" borderId="0" xfId="186" applyFont="1" applyFill="1">
      <alignment vertical="center"/>
    </xf>
    <xf numFmtId="0" fontId="94" fillId="14" borderId="0" xfId="186" applyFont="1" applyFill="1">
      <alignment vertical="center"/>
    </xf>
    <xf numFmtId="0" fontId="94" fillId="0" borderId="0" xfId="186" applyFont="1">
      <alignment vertical="center"/>
    </xf>
    <xf numFmtId="0" fontId="89" fillId="28" borderId="0" xfId="186" applyFont="1" applyFill="1">
      <alignment vertical="center"/>
    </xf>
    <xf numFmtId="0" fontId="104" fillId="0" borderId="46" xfId="161" quotePrefix="1" applyFont="1" applyBorder="1">
      <alignment vertical="center"/>
    </xf>
    <xf numFmtId="0" fontId="89" fillId="32" borderId="0" xfId="0" applyFont="1" applyFill="1">
      <alignment vertical="center"/>
    </xf>
    <xf numFmtId="0" fontId="97" fillId="32" borderId="0" xfId="0" applyFont="1" applyFill="1">
      <alignment vertical="center"/>
    </xf>
    <xf numFmtId="0" fontId="97" fillId="32" borderId="0" xfId="161" applyFont="1" applyFill="1">
      <alignment vertical="center"/>
    </xf>
    <xf numFmtId="0" fontId="89" fillId="32" borderId="0" xfId="161" applyFont="1" applyFill="1">
      <alignment vertical="center"/>
    </xf>
    <xf numFmtId="0" fontId="105" fillId="0" borderId="0" xfId="161" quotePrefix="1" applyFont="1">
      <alignment vertical="center"/>
    </xf>
    <xf numFmtId="0" fontId="89" fillId="0" borderId="15" xfId="161" quotePrefix="1" applyFont="1" applyBorder="1">
      <alignment vertical="center"/>
    </xf>
    <xf numFmtId="0" fontId="89" fillId="0" borderId="12" xfId="161" quotePrefix="1" applyFont="1" applyBorder="1">
      <alignment vertical="center"/>
    </xf>
    <xf numFmtId="0" fontId="89" fillId="0" borderId="13" xfId="161" quotePrefix="1" applyFont="1" applyBorder="1">
      <alignment vertical="center"/>
    </xf>
    <xf numFmtId="0" fontId="106" fillId="0" borderId="0" xfId="161" applyFont="1">
      <alignment vertical="center"/>
    </xf>
    <xf numFmtId="0" fontId="88" fillId="33" borderId="6" xfId="161" quotePrefix="1" applyFont="1" applyFill="1" applyBorder="1">
      <alignment vertical="center"/>
    </xf>
    <xf numFmtId="0" fontId="89" fillId="33" borderId="0" xfId="161" applyFont="1" applyFill="1">
      <alignment vertical="center"/>
    </xf>
    <xf numFmtId="0" fontId="89" fillId="33" borderId="0" xfId="161" quotePrefix="1" applyFont="1" applyFill="1">
      <alignment vertical="center"/>
    </xf>
    <xf numFmtId="0" fontId="97" fillId="33" borderId="0" xfId="0" applyFont="1" applyFill="1">
      <alignment vertical="center"/>
    </xf>
    <xf numFmtId="0" fontId="89" fillId="33" borderId="0" xfId="0" applyFont="1" applyFill="1" applyAlignment="1">
      <alignment vertical="center" wrapText="1"/>
    </xf>
    <xf numFmtId="0" fontId="89" fillId="33" borderId="0" xfId="0" applyFont="1" applyFill="1">
      <alignment vertical="center"/>
    </xf>
    <xf numFmtId="0" fontId="90" fillId="33" borderId="11" xfId="161" applyFont="1" applyFill="1" applyBorder="1">
      <alignment vertical="center"/>
    </xf>
    <xf numFmtId="0" fontId="90" fillId="33" borderId="6" xfId="161" quotePrefix="1" applyFont="1" applyFill="1" applyBorder="1">
      <alignment vertical="center"/>
    </xf>
    <xf numFmtId="0" fontId="90" fillId="33" borderId="0" xfId="0" applyFont="1" applyFill="1">
      <alignment vertical="center"/>
    </xf>
    <xf numFmtId="0" fontId="91" fillId="33" borderId="0" xfId="0" applyFont="1" applyFill="1">
      <alignment vertical="center"/>
    </xf>
    <xf numFmtId="0" fontId="90" fillId="33" borderId="0" xfId="161" applyFont="1" applyFill="1">
      <alignment vertical="center"/>
    </xf>
    <xf numFmtId="0" fontId="89" fillId="33" borderId="6" xfId="161" quotePrefix="1" applyFont="1" applyFill="1" applyBorder="1">
      <alignment vertical="center"/>
    </xf>
    <xf numFmtId="0" fontId="89" fillId="33" borderId="11" xfId="161" applyFont="1" applyFill="1" applyBorder="1">
      <alignment vertical="center"/>
    </xf>
    <xf numFmtId="0" fontId="94" fillId="33" borderId="0" xfId="161" applyFont="1" applyFill="1">
      <alignment vertical="center"/>
    </xf>
    <xf numFmtId="0" fontId="107" fillId="33" borderId="0" xfId="0" applyFont="1" applyFill="1">
      <alignment vertical="center"/>
    </xf>
    <xf numFmtId="0" fontId="89" fillId="33" borderId="60" xfId="161" applyFont="1" applyFill="1" applyBorder="1">
      <alignment vertical="center"/>
    </xf>
    <xf numFmtId="0" fontId="89" fillId="33" borderId="60" xfId="161" quotePrefix="1" applyFont="1" applyFill="1" applyBorder="1">
      <alignment vertical="center"/>
    </xf>
    <xf numFmtId="0" fontId="109" fillId="33" borderId="60" xfId="161" applyFont="1" applyFill="1" applyBorder="1">
      <alignment vertical="center"/>
    </xf>
    <xf numFmtId="0" fontId="90" fillId="14" borderId="61" xfId="0" applyFont="1" applyFill="1" applyBorder="1">
      <alignment vertical="center"/>
    </xf>
    <xf numFmtId="0" fontId="91" fillId="14" borderId="61" xfId="0" applyFont="1" applyFill="1" applyBorder="1">
      <alignment vertical="center"/>
    </xf>
    <xf numFmtId="0" fontId="89" fillId="0" borderId="61" xfId="0" applyFont="1" applyBorder="1">
      <alignment vertical="center"/>
    </xf>
    <xf numFmtId="0" fontId="89" fillId="10" borderId="26" xfId="46" applyFont="1" applyFill="1" applyBorder="1" applyAlignment="1">
      <alignment horizontal="centerContinuous"/>
    </xf>
    <xf numFmtId="0" fontId="89" fillId="10" borderId="18" xfId="46" applyFont="1" applyFill="1" applyBorder="1" applyAlignment="1">
      <alignment horizontal="centerContinuous"/>
    </xf>
    <xf numFmtId="0" fontId="89" fillId="10" borderId="12" xfId="46" applyFont="1" applyFill="1" applyBorder="1" applyAlignment="1">
      <alignment horizontal="center"/>
    </xf>
    <xf numFmtId="0" fontId="89" fillId="0" borderId="62" xfId="161" quotePrefix="1" applyFont="1" applyBorder="1">
      <alignment vertical="center"/>
    </xf>
    <xf numFmtId="0" fontId="96" fillId="0" borderId="46" xfId="161" quotePrefix="1" applyFont="1" applyBorder="1">
      <alignment vertical="center"/>
    </xf>
    <xf numFmtId="0" fontId="89" fillId="0" borderId="46" xfId="161" quotePrefix="1" applyFont="1" applyBorder="1">
      <alignment vertical="center"/>
    </xf>
    <xf numFmtId="0" fontId="89" fillId="0" borderId="63" xfId="161" applyFont="1" applyBorder="1">
      <alignment vertical="center"/>
    </xf>
    <xf numFmtId="0" fontId="89" fillId="0" borderId="64" xfId="161" applyFont="1" applyBorder="1">
      <alignment vertical="center"/>
    </xf>
    <xf numFmtId="0" fontId="89" fillId="0" borderId="65" xfId="161" quotePrefix="1" applyFont="1" applyBorder="1">
      <alignment vertical="center"/>
    </xf>
    <xf numFmtId="0" fontId="89" fillId="0" borderId="66" xfId="161" applyFont="1" applyBorder="1">
      <alignment vertical="center"/>
    </xf>
    <xf numFmtId="0" fontId="97" fillId="0" borderId="65" xfId="161" quotePrefix="1" applyFont="1" applyBorder="1">
      <alignment vertical="center"/>
    </xf>
    <xf numFmtId="0" fontId="89" fillId="0" borderId="67" xfId="161" quotePrefix="1" applyFont="1" applyBorder="1">
      <alignment vertical="center"/>
    </xf>
    <xf numFmtId="0" fontId="97" fillId="0" borderId="67" xfId="161" quotePrefix="1" applyFont="1" applyBorder="1">
      <alignment vertical="center"/>
    </xf>
    <xf numFmtId="0" fontId="97" fillId="0" borderId="0" xfId="161" quotePrefix="1" applyFont="1">
      <alignment vertical="center"/>
    </xf>
    <xf numFmtId="0" fontId="97" fillId="0" borderId="0" xfId="0" applyFont="1">
      <alignment vertical="center"/>
    </xf>
    <xf numFmtId="0" fontId="97" fillId="0" borderId="0" xfId="0" applyFont="1" applyAlignment="1">
      <alignment vertical="center" wrapText="1"/>
    </xf>
    <xf numFmtId="0" fontId="110" fillId="0" borderId="64" xfId="161" applyFont="1" applyBorder="1">
      <alignment vertical="center"/>
    </xf>
    <xf numFmtId="0" fontId="97" fillId="0" borderId="66" xfId="161" applyFont="1" applyBorder="1">
      <alignment vertical="center"/>
    </xf>
    <xf numFmtId="0" fontId="97" fillId="0" borderId="65" xfId="161" quotePrefix="1" applyFont="1" applyBorder="1" applyAlignment="1">
      <alignment horizontal="right" vertical="center"/>
    </xf>
    <xf numFmtId="0" fontId="111" fillId="0" borderId="65" xfId="161" quotePrefix="1" applyFont="1" applyBorder="1">
      <alignment vertical="center"/>
    </xf>
    <xf numFmtId="0" fontId="112" fillId="0" borderId="65" xfId="161" quotePrefix="1" applyFont="1" applyBorder="1" applyAlignment="1">
      <alignment horizontal="left" vertical="center"/>
    </xf>
    <xf numFmtId="0" fontId="111" fillId="33" borderId="65" xfId="161" quotePrefix="1" applyFont="1" applyFill="1" applyBorder="1" applyAlignment="1">
      <alignment horizontal="center" vertical="center"/>
    </xf>
    <xf numFmtId="0" fontId="111" fillId="0" borderId="65" xfId="161" quotePrefix="1" applyFont="1" applyBorder="1" applyAlignment="1">
      <alignment horizontal="center" vertical="center"/>
    </xf>
    <xf numFmtId="0" fontId="113" fillId="0" borderId="65" xfId="161" quotePrefix="1" applyFont="1" applyBorder="1">
      <alignment vertical="center"/>
    </xf>
    <xf numFmtId="0" fontId="89" fillId="28" borderId="0" xfId="0" applyFont="1" applyFill="1" applyAlignment="1">
      <alignment horizontal="left" vertical="center"/>
    </xf>
    <xf numFmtId="0" fontId="89" fillId="28" borderId="0" xfId="0" applyFont="1" applyFill="1">
      <alignment vertical="center"/>
    </xf>
    <xf numFmtId="0" fontId="89" fillId="14" borderId="0" xfId="0" applyFont="1" applyFill="1">
      <alignment vertical="center"/>
    </xf>
    <xf numFmtId="0" fontId="89" fillId="0" borderId="49" xfId="184" applyFont="1" applyBorder="1" applyAlignment="1" applyProtection="1">
      <alignment vertical="center" wrapText="1"/>
      <protection locked="0"/>
    </xf>
    <xf numFmtId="0" fontId="89" fillId="0" borderId="50" xfId="184" applyFont="1" applyBorder="1" applyAlignment="1" applyProtection="1">
      <alignment vertical="center" wrapText="1"/>
      <protection locked="0"/>
    </xf>
    <xf numFmtId="0" fontId="89" fillId="0" borderId="51" xfId="184" applyFont="1" applyBorder="1" applyAlignment="1" applyProtection="1">
      <alignment vertical="center" wrapText="1"/>
      <protection locked="0"/>
    </xf>
    <xf numFmtId="0" fontId="89" fillId="0" borderId="48" xfId="184" applyFont="1" applyBorder="1" applyAlignment="1">
      <alignment horizontal="left" vertical="center" wrapText="1"/>
    </xf>
    <xf numFmtId="0" fontId="94" fillId="0" borderId="0" xfId="184" applyFont="1">
      <alignment vertical="center"/>
    </xf>
    <xf numFmtId="0" fontId="96" fillId="0" borderId="0" xfId="161" quotePrefix="1" applyFont="1">
      <alignment vertical="center"/>
    </xf>
    <xf numFmtId="0" fontId="89" fillId="0" borderId="68" xfId="161" quotePrefix="1" applyFont="1" applyBorder="1">
      <alignment vertical="center"/>
    </xf>
    <xf numFmtId="0" fontId="89" fillId="0" borderId="69" xfId="161" quotePrefix="1" applyFont="1" applyBorder="1">
      <alignment vertical="center"/>
    </xf>
    <xf numFmtId="0" fontId="97" fillId="0" borderId="69" xfId="161" quotePrefix="1" applyFont="1" applyBorder="1">
      <alignment vertical="center"/>
    </xf>
    <xf numFmtId="0" fontId="97" fillId="14" borderId="69" xfId="0" applyFont="1" applyFill="1" applyBorder="1">
      <alignment vertical="center"/>
    </xf>
    <xf numFmtId="0" fontId="97" fillId="0" borderId="69" xfId="0" applyFont="1" applyBorder="1" applyAlignment="1">
      <alignment vertical="center" wrapText="1"/>
    </xf>
    <xf numFmtId="0" fontId="97" fillId="0" borderId="69" xfId="0" applyFont="1" applyBorder="1">
      <alignment vertical="center"/>
    </xf>
    <xf numFmtId="0" fontId="89" fillId="0" borderId="69" xfId="0" applyFont="1" applyBorder="1">
      <alignment vertical="center"/>
    </xf>
    <xf numFmtId="0" fontId="89" fillId="0" borderId="69" xfId="161" applyFont="1" applyBorder="1">
      <alignment vertical="center"/>
    </xf>
    <xf numFmtId="0" fontId="89" fillId="0" borderId="7" xfId="161" applyFont="1" applyBorder="1">
      <alignment vertical="center"/>
    </xf>
    <xf numFmtId="0" fontId="89" fillId="0" borderId="8" xfId="161" quotePrefix="1" applyFont="1" applyBorder="1">
      <alignment vertical="center"/>
    </xf>
    <xf numFmtId="0" fontId="89" fillId="10" borderId="21" xfId="46" applyFont="1" applyFill="1" applyBorder="1" applyAlignment="1">
      <alignment horizontal="centerContinuous"/>
    </xf>
    <xf numFmtId="0" fontId="89" fillId="10" borderId="22" xfId="46" applyFont="1" applyFill="1" applyBorder="1" applyAlignment="1">
      <alignment horizontal="centerContinuous"/>
    </xf>
    <xf numFmtId="0" fontId="94" fillId="28" borderId="0" xfId="0" applyFont="1" applyFill="1">
      <alignment vertical="center"/>
    </xf>
    <xf numFmtId="0" fontId="19" fillId="0" borderId="0" xfId="48" applyFont="1" applyAlignment="1">
      <alignment horizontal="center" vertical="center" wrapText="1"/>
    </xf>
    <xf numFmtId="0" fontId="19" fillId="0" borderId="0" xfId="48" applyFont="1" applyAlignment="1">
      <alignment horizontal="center" vertical="center"/>
    </xf>
    <xf numFmtId="14" fontId="80" fillId="14" borderId="0" xfId="48" applyNumberFormat="1" applyFont="1" applyFill="1" applyAlignment="1">
      <alignment horizontal="center" vertical="center"/>
    </xf>
    <xf numFmtId="0" fontId="80" fillId="14" borderId="0" xfId="48" applyFont="1" applyFill="1" applyAlignment="1">
      <alignment horizontal="center" vertical="center"/>
    </xf>
    <xf numFmtId="0" fontId="15" fillId="0" borderId="3" xfId="48" applyFont="1" applyBorder="1" applyAlignment="1">
      <alignment horizontal="center"/>
    </xf>
    <xf numFmtId="0" fontId="15" fillId="14" borderId="0" xfId="48" applyFont="1" applyFill="1" applyAlignment="1">
      <alignment horizontal="center"/>
    </xf>
    <xf numFmtId="0" fontId="18" fillId="12" borderId="3" xfId="48" applyFont="1" applyFill="1" applyBorder="1" applyAlignment="1">
      <alignment horizontal="left" vertical="center"/>
    </xf>
    <xf numFmtId="0" fontId="19" fillId="0" borderId="3" xfId="48" applyFont="1" applyBorder="1" applyAlignment="1">
      <alignment horizontal="center" vertical="center"/>
    </xf>
    <xf numFmtId="0" fontId="19" fillId="0" borderId="3" xfId="48" applyFont="1" applyBorder="1" applyAlignment="1">
      <alignment horizontal="left" vertical="center"/>
    </xf>
    <xf numFmtId="14" fontId="19" fillId="0" borderId="3" xfId="48" applyNumberFormat="1" applyFont="1" applyBorder="1" applyAlignment="1">
      <alignment horizontal="center" vertical="center"/>
    </xf>
    <xf numFmtId="0" fontId="13" fillId="16" borderId="10" xfId="50" applyFill="1" applyBorder="1" applyAlignment="1">
      <alignment horizontal="center" vertical="center"/>
    </xf>
    <xf numFmtId="0" fontId="13" fillId="16" borderId="17" xfId="50" applyFill="1" applyBorder="1" applyAlignment="1">
      <alignment horizontal="center" vertical="center"/>
    </xf>
    <xf numFmtId="0" fontId="13" fillId="16" borderId="3" xfId="50" applyFill="1" applyBorder="1" applyAlignment="1">
      <alignment horizontal="left" vertical="center"/>
    </xf>
    <xf numFmtId="0" fontId="18" fillId="12" borderId="10" xfId="48" applyFont="1" applyFill="1" applyBorder="1" applyAlignment="1">
      <alignment horizontal="left" vertical="center"/>
    </xf>
    <xf numFmtId="0" fontId="18" fillId="12" borderId="2" xfId="48" applyFont="1" applyFill="1" applyBorder="1" applyAlignment="1">
      <alignment horizontal="left" vertical="center"/>
    </xf>
    <xf numFmtId="0" fontId="18" fillId="12" borderId="17" xfId="48" applyFont="1" applyFill="1" applyBorder="1" applyAlignment="1">
      <alignment horizontal="left" vertical="center"/>
    </xf>
    <xf numFmtId="0" fontId="48" fillId="15" borderId="24" xfId="48" applyFont="1" applyFill="1" applyBorder="1" applyAlignment="1">
      <alignment vertical="center"/>
    </xf>
    <xf numFmtId="0" fontId="18" fillId="12" borderId="3" xfId="48" applyFont="1" applyFill="1" applyBorder="1" applyAlignment="1">
      <alignment vertical="center"/>
    </xf>
    <xf numFmtId="0" fontId="20" fillId="0" borderId="10" xfId="48" applyFont="1" applyBorder="1" applyAlignment="1">
      <alignment vertical="center"/>
    </xf>
    <xf numFmtId="0" fontId="20" fillId="0" borderId="2" xfId="48" applyFont="1" applyBorder="1" applyAlignment="1">
      <alignment vertical="center"/>
    </xf>
    <xf numFmtId="0" fontId="20" fillId="0" borderId="17" xfId="48" applyFont="1" applyBorder="1" applyAlignment="1">
      <alignment vertical="center"/>
    </xf>
    <xf numFmtId="0" fontId="52" fillId="14" borderId="15" xfId="0" applyFont="1" applyFill="1" applyBorder="1" applyAlignment="1">
      <alignment vertical="center" wrapText="1"/>
    </xf>
    <xf numFmtId="0" fontId="52" fillId="14" borderId="12" xfId="0" applyFont="1" applyFill="1" applyBorder="1" applyAlignment="1">
      <alignment vertical="center" wrapText="1"/>
    </xf>
    <xf numFmtId="0" fontId="52" fillId="14" borderId="13" xfId="0" applyFont="1" applyFill="1" applyBorder="1" applyAlignment="1">
      <alignment vertical="center" wrapText="1"/>
    </xf>
    <xf numFmtId="0" fontId="52" fillId="14" borderId="7" xfId="0" applyFont="1" applyFill="1" applyBorder="1" applyAlignment="1">
      <alignment vertical="center" wrapText="1"/>
    </xf>
    <xf numFmtId="0" fontId="52" fillId="14" borderId="8" xfId="0" applyFont="1" applyFill="1" applyBorder="1" applyAlignment="1">
      <alignment vertical="center" wrapText="1"/>
    </xf>
    <xf numFmtId="0" fontId="52" fillId="14" borderId="14" xfId="0" applyFont="1" applyFill="1" applyBorder="1" applyAlignment="1">
      <alignment vertical="center" wrapText="1"/>
    </xf>
    <xf numFmtId="0" fontId="18" fillId="15" borderId="25" xfId="48" applyFont="1" applyFill="1" applyBorder="1" applyAlignment="1">
      <alignment vertical="center"/>
    </xf>
    <xf numFmtId="0" fontId="19" fillId="0" borderId="3" xfId="48" applyFont="1" applyBorder="1" applyAlignment="1">
      <alignment vertical="center"/>
    </xf>
    <xf numFmtId="0" fontId="52" fillId="14" borderId="3" xfId="0" applyFont="1" applyFill="1" applyBorder="1">
      <alignment vertical="center"/>
    </xf>
    <xf numFmtId="0" fontId="17" fillId="15" borderId="23" xfId="48" applyFont="1" applyFill="1" applyBorder="1" applyAlignment="1">
      <alignment vertical="center"/>
    </xf>
    <xf numFmtId="0" fontId="54" fillId="17" borderId="8" xfId="0" applyFont="1" applyFill="1" applyBorder="1" applyAlignment="1">
      <alignment horizontal="center" vertical="center"/>
    </xf>
    <xf numFmtId="0" fontId="52" fillId="14" borderId="3" xfId="0" applyFont="1" applyFill="1" applyBorder="1" applyAlignment="1">
      <alignment vertical="center" wrapText="1"/>
    </xf>
    <xf numFmtId="0" fontId="5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3" xfId="0" applyFont="1" applyBorder="1">
      <alignment vertical="center"/>
    </xf>
    <xf numFmtId="0" fontId="52" fillId="0" borderId="3" xfId="0" applyFont="1" applyBorder="1" applyAlignment="1">
      <alignment vertical="center" wrapText="1"/>
    </xf>
    <xf numFmtId="0" fontId="52" fillId="0" borderId="23" xfId="0" applyFont="1" applyBorder="1">
      <alignment vertical="center"/>
    </xf>
    <xf numFmtId="0" fontId="52" fillId="0" borderId="10" xfId="0" applyFont="1" applyBorder="1" applyAlignment="1">
      <alignment vertical="center" wrapText="1"/>
    </xf>
    <xf numFmtId="0" fontId="52" fillId="0" borderId="2" xfId="0" applyFont="1" applyBorder="1">
      <alignment vertical="center"/>
    </xf>
    <xf numFmtId="0" fontId="52" fillId="0" borderId="17" xfId="0" applyFont="1" applyBorder="1">
      <alignment vertical="center"/>
    </xf>
    <xf numFmtId="0" fontId="0" fillId="0" borderId="3" xfId="0" applyBorder="1">
      <alignment vertical="center"/>
    </xf>
    <xf numFmtId="14" fontId="52" fillId="0" borderId="3" xfId="0" applyNumberFormat="1" applyFont="1" applyBorder="1" applyAlignment="1">
      <alignment horizontal="center" vertical="center"/>
    </xf>
    <xf numFmtId="14" fontId="19" fillId="0" borderId="3" xfId="50" applyNumberFormat="1" applyFont="1" applyBorder="1" applyAlignment="1">
      <alignment horizontal="center" vertical="center"/>
    </xf>
    <xf numFmtId="0" fontId="19" fillId="0" borderId="3" xfId="50" applyFont="1" applyBorder="1" applyAlignment="1">
      <alignment horizontal="center" vertical="center"/>
    </xf>
    <xf numFmtId="14" fontId="19" fillId="0" borderId="10" xfId="50" applyNumberFormat="1" applyFont="1" applyBorder="1" applyAlignment="1">
      <alignment horizontal="center" vertical="center"/>
    </xf>
    <xf numFmtId="14" fontId="19" fillId="0" borderId="2" xfId="50" applyNumberFormat="1" applyFont="1" applyBorder="1" applyAlignment="1">
      <alignment horizontal="center" vertical="center"/>
    </xf>
    <xf numFmtId="14" fontId="19" fillId="0" borderId="17" xfId="50" applyNumberFormat="1" applyFont="1" applyBorder="1" applyAlignment="1">
      <alignment horizontal="center" vertical="center"/>
    </xf>
    <xf numFmtId="14" fontId="52" fillId="0" borderId="23" xfId="0" applyNumberFormat="1" applyFont="1" applyBorder="1" applyAlignment="1">
      <alignment horizontal="center" vertical="center"/>
    </xf>
    <xf numFmtId="187" fontId="111" fillId="0" borderId="65" xfId="161" quotePrefix="1" applyNumberFormat="1" applyFont="1" applyBorder="1" applyAlignment="1">
      <alignment horizontal="center" vertical="center"/>
    </xf>
    <xf numFmtId="0" fontId="50" fillId="13" borderId="10" xfId="49" applyFont="1" applyFill="1" applyBorder="1" applyAlignment="1">
      <alignment horizontal="center" vertical="center"/>
    </xf>
    <xf numFmtId="0" fontId="50" fillId="13" borderId="2" xfId="49" applyFont="1" applyFill="1" applyBorder="1" applyAlignment="1">
      <alignment horizontal="center" vertical="center"/>
    </xf>
    <xf numFmtId="0" fontId="50" fillId="13" borderId="17" xfId="49" applyFont="1" applyFill="1" applyBorder="1" applyAlignment="1">
      <alignment horizontal="center" vertical="center"/>
    </xf>
    <xf numFmtId="0" fontId="19" fillId="10" borderId="10" xfId="46" applyFont="1" applyFill="1" applyBorder="1" applyAlignment="1">
      <alignment horizontal="center"/>
    </xf>
    <xf numFmtId="0" fontId="19" fillId="10" borderId="17" xfId="46" applyFont="1" applyFill="1" applyBorder="1" applyAlignment="1">
      <alignment horizontal="center"/>
    </xf>
    <xf numFmtId="0" fontId="20" fillId="0" borderId="3" xfId="48" applyFont="1" applyBorder="1" applyAlignment="1">
      <alignment vertical="center"/>
    </xf>
    <xf numFmtId="183" fontId="97" fillId="19" borderId="0" xfId="161" quotePrefix="1" applyNumberFormat="1" applyFont="1" applyFill="1" applyAlignment="1">
      <alignment horizontal="right" vertical="center"/>
    </xf>
    <xf numFmtId="0" fontId="89" fillId="0" borderId="52" xfId="0" applyFont="1" applyBorder="1" applyAlignment="1" applyProtection="1">
      <alignment horizontal="left" vertical="center" wrapText="1"/>
      <protection locked="0"/>
    </xf>
    <xf numFmtId="0" fontId="89" fillId="0" borderId="2" xfId="0" applyFont="1" applyBorder="1" applyAlignment="1" applyProtection="1">
      <alignment horizontal="left" vertical="center" wrapText="1"/>
      <protection locked="0"/>
    </xf>
    <xf numFmtId="0" fontId="89" fillId="0" borderId="17" xfId="0" applyFont="1" applyBorder="1" applyAlignment="1" applyProtection="1">
      <alignment horizontal="left" vertical="center" wrapText="1"/>
      <protection locked="0"/>
    </xf>
    <xf numFmtId="0" fontId="89" fillId="0" borderId="56" xfId="45" applyFont="1" applyBorder="1" applyAlignment="1" applyProtection="1">
      <alignment vertical="center" wrapText="1"/>
      <protection locked="0"/>
    </xf>
    <xf numFmtId="0" fontId="89" fillId="0" borderId="57" xfId="45" applyFont="1" applyBorder="1" applyAlignment="1" applyProtection="1">
      <alignment vertical="center" wrapText="1"/>
      <protection locked="0"/>
    </xf>
    <xf numFmtId="0" fontId="89" fillId="0" borderId="59" xfId="45" applyFont="1" applyBorder="1" applyAlignment="1" applyProtection="1">
      <alignment vertical="center" wrapText="1"/>
      <protection locked="0"/>
    </xf>
    <xf numFmtId="0" fontId="89" fillId="0" borderId="10" xfId="184" applyFont="1" applyBorder="1" applyAlignment="1">
      <alignment horizontal="left" vertical="center" wrapText="1"/>
    </xf>
    <xf numFmtId="0" fontId="89" fillId="0" borderId="2" xfId="184" applyFont="1" applyBorder="1" applyAlignment="1">
      <alignment horizontal="left" vertical="center" wrapText="1"/>
    </xf>
    <xf numFmtId="0" fontId="89" fillId="0" borderId="17" xfId="184" applyFont="1" applyBorder="1" applyAlignment="1">
      <alignment horizontal="left" vertical="center" wrapText="1"/>
    </xf>
    <xf numFmtId="0" fontId="96" fillId="29" borderId="15" xfId="0" applyFont="1" applyFill="1" applyBorder="1" applyAlignment="1">
      <alignment horizontal="center" vertical="center" wrapText="1"/>
    </xf>
    <xf numFmtId="0" fontId="96" fillId="29" borderId="12" xfId="0" applyFont="1" applyFill="1" applyBorder="1" applyAlignment="1">
      <alignment horizontal="center" vertical="center" wrapText="1"/>
    </xf>
    <xf numFmtId="0" fontId="96" fillId="29" borderId="13" xfId="0" applyFont="1" applyFill="1" applyBorder="1" applyAlignment="1">
      <alignment horizontal="center" vertical="center" wrapText="1"/>
    </xf>
    <xf numFmtId="0" fontId="96" fillId="29" borderId="7" xfId="0" applyFont="1" applyFill="1" applyBorder="1" applyAlignment="1">
      <alignment horizontal="center" vertical="center" wrapText="1"/>
    </xf>
    <xf numFmtId="0" fontId="96" fillId="29" borderId="8" xfId="0" applyFont="1" applyFill="1" applyBorder="1" applyAlignment="1">
      <alignment horizontal="center" vertical="center" wrapText="1"/>
    </xf>
    <xf numFmtId="0" fontId="96" fillId="29" borderId="14" xfId="0" applyFont="1" applyFill="1" applyBorder="1" applyAlignment="1">
      <alignment horizontal="center" vertical="center" wrapText="1"/>
    </xf>
    <xf numFmtId="0" fontId="89" fillId="0" borderId="52" xfId="45" applyFont="1" applyBorder="1" applyAlignment="1" applyProtection="1">
      <alignment horizontal="left" vertical="center" wrapText="1"/>
      <protection locked="0"/>
    </xf>
    <xf numFmtId="0" fontId="89" fillId="0" borderId="2" xfId="45" applyFont="1" applyBorder="1" applyAlignment="1" applyProtection="1">
      <alignment horizontal="left" vertical="center" wrapText="1"/>
      <protection locked="0"/>
    </xf>
    <xf numFmtId="0" fontId="89" fillId="0" borderId="17" xfId="45" applyFont="1" applyBorder="1" applyAlignment="1" applyProtection="1">
      <alignment horizontal="left" vertical="center" wrapText="1"/>
      <protection locked="0"/>
    </xf>
    <xf numFmtId="49" fontId="89" fillId="0" borderId="10" xfId="45" applyNumberFormat="1" applyFont="1" applyBorder="1" applyAlignment="1">
      <alignment horizontal="left" vertical="center" wrapText="1"/>
    </xf>
    <xf numFmtId="49" fontId="89" fillId="0" borderId="48" xfId="45" applyNumberFormat="1" applyFont="1" applyBorder="1" applyAlignment="1">
      <alignment horizontal="left" vertical="center" wrapText="1"/>
    </xf>
    <xf numFmtId="0" fontId="89" fillId="0" borderId="56" xfId="184" applyFont="1" applyBorder="1" applyAlignment="1" applyProtection="1">
      <alignment vertical="center" wrapText="1"/>
      <protection locked="0"/>
    </xf>
    <xf numFmtId="0" fontId="89" fillId="0" borderId="57" xfId="184" applyFont="1" applyBorder="1" applyAlignment="1" applyProtection="1">
      <alignment vertical="center" wrapText="1"/>
      <protection locked="0"/>
    </xf>
    <xf numFmtId="0" fontId="89" fillId="0" borderId="58" xfId="184" applyFont="1" applyBorder="1" applyAlignment="1" applyProtection="1">
      <alignment vertical="center" wrapText="1"/>
      <protection locked="0"/>
    </xf>
    <xf numFmtId="0" fontId="89" fillId="0" borderId="52" xfId="186" applyFont="1" applyBorder="1" applyAlignment="1">
      <alignment horizontal="left" vertical="center" wrapText="1"/>
    </xf>
    <xf numFmtId="0" fontId="89" fillId="0" borderId="2" xfId="186" applyFont="1" applyBorder="1" applyAlignment="1">
      <alignment horizontal="left" vertical="center" wrapText="1"/>
    </xf>
    <xf numFmtId="0" fontId="89" fillId="0" borderId="48" xfId="186" applyFont="1" applyBorder="1" applyAlignment="1">
      <alignment horizontal="left" vertical="center" wrapText="1"/>
    </xf>
    <xf numFmtId="0" fontId="89" fillId="0" borderId="56" xfId="186" applyFont="1" applyBorder="1" applyAlignment="1" applyProtection="1">
      <alignment vertical="center" wrapText="1"/>
      <protection locked="0"/>
    </xf>
    <xf numFmtId="0" fontId="89" fillId="0" borderId="57" xfId="186" applyFont="1" applyBorder="1" applyAlignment="1" applyProtection="1">
      <alignment vertical="center" wrapText="1"/>
      <protection locked="0"/>
    </xf>
    <xf numFmtId="0" fontId="89" fillId="0" borderId="58" xfId="186" applyFont="1" applyBorder="1" applyAlignment="1" applyProtection="1">
      <alignment vertical="center" wrapText="1"/>
      <protection locked="0"/>
    </xf>
    <xf numFmtId="0" fontId="89" fillId="0" borderId="53" xfId="186" applyFont="1" applyBorder="1" applyAlignment="1" applyProtection="1">
      <alignment vertical="center" wrapText="1"/>
      <protection locked="0"/>
    </xf>
    <xf numFmtId="0" fontId="89" fillId="0" borderId="54" xfId="186" applyFont="1" applyBorder="1" applyAlignment="1" applyProtection="1">
      <alignment vertical="center" wrapText="1"/>
      <protection locked="0"/>
    </xf>
    <xf numFmtId="0" fontId="89" fillId="0" borderId="55" xfId="186" applyFont="1" applyBorder="1" applyAlignment="1" applyProtection="1">
      <alignment vertical="center" wrapText="1"/>
      <protection locked="0"/>
    </xf>
    <xf numFmtId="0" fontId="89" fillId="0" borderId="49" xfId="186" applyFont="1" applyBorder="1" applyAlignment="1" applyProtection="1">
      <alignment vertical="center" wrapText="1"/>
      <protection locked="0"/>
    </xf>
    <xf numFmtId="0" fontId="89" fillId="0" borderId="50" xfId="186" applyFont="1" applyBorder="1" applyAlignment="1" applyProtection="1">
      <alignment vertical="center" wrapText="1"/>
      <protection locked="0"/>
    </xf>
    <xf numFmtId="0" fontId="89" fillId="0" borderId="51" xfId="186" applyFont="1" applyBorder="1" applyAlignment="1" applyProtection="1">
      <alignment vertical="center" wrapText="1"/>
      <protection locked="0"/>
    </xf>
    <xf numFmtId="0" fontId="89" fillId="0" borderId="52" xfId="186" applyFont="1" applyBorder="1" applyAlignment="1" applyProtection="1">
      <alignment vertical="center" wrapText="1"/>
      <protection locked="0"/>
    </xf>
    <xf numFmtId="0" fontId="89" fillId="0" borderId="2" xfId="186" applyFont="1" applyBorder="1" applyAlignment="1" applyProtection="1">
      <alignment vertical="center" wrapText="1"/>
      <protection locked="0"/>
    </xf>
    <xf numFmtId="0" fontId="89" fillId="0" borderId="48" xfId="186" applyFont="1" applyBorder="1" applyAlignment="1" applyProtection="1">
      <alignment vertical="center" wrapText="1"/>
      <protection locked="0"/>
    </xf>
    <xf numFmtId="0" fontId="89" fillId="0" borderId="10" xfId="186" applyFont="1" applyBorder="1" applyAlignment="1">
      <alignment horizontal="left" vertical="center" wrapText="1"/>
    </xf>
    <xf numFmtId="0" fontId="89" fillId="0" borderId="17" xfId="186" applyFont="1" applyBorder="1" applyAlignment="1">
      <alignment horizontal="left" vertical="center" wrapText="1"/>
    </xf>
    <xf numFmtId="0" fontId="89" fillId="0" borderId="56" xfId="185" applyFont="1" applyBorder="1" applyAlignment="1" applyProtection="1">
      <alignment vertical="center" wrapText="1"/>
      <protection locked="0"/>
    </xf>
    <xf numFmtId="0" fontId="89" fillId="0" borderId="57" xfId="185" applyFont="1" applyBorder="1" applyAlignment="1" applyProtection="1">
      <alignment vertical="center" wrapText="1"/>
      <protection locked="0"/>
    </xf>
    <xf numFmtId="0" fontId="89" fillId="0" borderId="58" xfId="185" applyFont="1" applyBorder="1" applyAlignment="1" applyProtection="1">
      <alignment vertical="center" wrapText="1"/>
      <protection locked="0"/>
    </xf>
    <xf numFmtId="0" fontId="89" fillId="0" borderId="3" xfId="45" applyFont="1" applyBorder="1" applyAlignment="1" applyProtection="1">
      <alignment horizontal="left" vertical="center" wrapText="1"/>
      <protection locked="0"/>
    </xf>
    <xf numFmtId="0" fontId="89" fillId="0" borderId="52" xfId="184" applyFont="1" applyBorder="1" applyAlignment="1" applyProtection="1">
      <alignment horizontal="left" vertical="center" wrapText="1"/>
      <protection locked="0"/>
    </xf>
    <xf numFmtId="0" fontId="89" fillId="0" borderId="2" xfId="184" applyFont="1" applyBorder="1" applyAlignment="1" applyProtection="1">
      <alignment horizontal="left" vertical="center" wrapText="1"/>
      <protection locked="0"/>
    </xf>
    <xf numFmtId="0" fontId="89" fillId="0" borderId="52" xfId="186" applyFont="1" applyBorder="1" applyAlignment="1" applyProtection="1">
      <alignment horizontal="left" vertical="center" wrapText="1"/>
      <protection locked="0"/>
    </xf>
    <xf numFmtId="0" fontId="89" fillId="0" borderId="2" xfId="186" applyFont="1" applyBorder="1" applyAlignment="1" applyProtection="1">
      <alignment horizontal="left" vertical="center" wrapText="1"/>
      <protection locked="0"/>
    </xf>
    <xf numFmtId="0" fontId="89" fillId="0" borderId="48" xfId="186" applyFont="1" applyBorder="1" applyAlignment="1" applyProtection="1">
      <alignment horizontal="left" vertical="center" wrapText="1"/>
      <protection locked="0"/>
    </xf>
    <xf numFmtId="0" fontId="96" fillId="30" borderId="23" xfId="186" applyFont="1" applyFill="1" applyBorder="1" applyAlignment="1">
      <alignment horizontal="center" vertical="center"/>
    </xf>
    <xf numFmtId="0" fontId="96" fillId="31" borderId="3" xfId="186" applyFont="1" applyFill="1" applyBorder="1" applyAlignment="1">
      <alignment horizontal="center" vertical="center"/>
    </xf>
    <xf numFmtId="0" fontId="89" fillId="31" borderId="3" xfId="186" applyFont="1" applyFill="1" applyBorder="1" applyAlignment="1">
      <alignment horizontal="center" vertical="center"/>
    </xf>
    <xf numFmtId="0" fontId="96" fillId="29" borderId="3" xfId="186" applyFont="1" applyFill="1" applyBorder="1" applyAlignment="1">
      <alignment horizontal="center" vertical="center" wrapText="1"/>
    </xf>
    <xf numFmtId="0" fontId="96" fillId="29" borderId="3" xfId="186" applyFont="1" applyFill="1" applyBorder="1" applyAlignment="1">
      <alignment horizontal="center" vertical="center"/>
    </xf>
    <xf numFmtId="0" fontId="96" fillId="31" borderId="3" xfId="186" applyFont="1" applyFill="1" applyBorder="1" applyAlignment="1" applyProtection="1">
      <alignment horizontal="center" vertical="center" wrapText="1"/>
      <protection locked="0"/>
    </xf>
    <xf numFmtId="0" fontId="96" fillId="29" borderId="15" xfId="186" applyFont="1" applyFill="1" applyBorder="1" applyAlignment="1">
      <alignment horizontal="center" vertical="center" wrapText="1"/>
    </xf>
    <xf numFmtId="0" fontId="96" fillId="29" borderId="12" xfId="186" applyFont="1" applyFill="1" applyBorder="1" applyAlignment="1">
      <alignment horizontal="center" vertical="center" wrapText="1"/>
    </xf>
    <xf numFmtId="0" fontId="96" fillId="29" borderId="13" xfId="186" applyFont="1" applyFill="1" applyBorder="1" applyAlignment="1">
      <alignment horizontal="center" vertical="center" wrapText="1"/>
    </xf>
    <xf numFmtId="0" fontId="96" fillId="29" borderId="7" xfId="186" applyFont="1" applyFill="1" applyBorder="1" applyAlignment="1">
      <alignment horizontal="center" vertical="center" wrapText="1"/>
    </xf>
    <xf numFmtId="0" fontId="96" fillId="29" borderId="8" xfId="186" applyFont="1" applyFill="1" applyBorder="1" applyAlignment="1">
      <alignment horizontal="center" vertical="center" wrapText="1"/>
    </xf>
    <xf numFmtId="0" fontId="96" fillId="29" borderId="14" xfId="186" applyFont="1" applyFill="1" applyBorder="1" applyAlignment="1">
      <alignment horizontal="center" vertical="center" wrapText="1"/>
    </xf>
    <xf numFmtId="0" fontId="89" fillId="0" borderId="3" xfId="186" applyFont="1" applyBorder="1" applyAlignment="1">
      <alignment vertical="center" shrinkToFit="1"/>
    </xf>
    <xf numFmtId="0" fontId="89" fillId="0" borderId="3" xfId="186" applyFont="1" applyBorder="1" applyAlignment="1" applyProtection="1">
      <alignment vertical="center" shrinkToFit="1"/>
      <protection locked="0"/>
    </xf>
    <xf numFmtId="0" fontId="96" fillId="0" borderId="3" xfId="186" applyFont="1" applyBorder="1" applyAlignment="1">
      <alignment horizontal="center" vertical="center" shrinkToFit="1"/>
    </xf>
    <xf numFmtId="0" fontId="96" fillId="0" borderId="3" xfId="186" applyFont="1" applyBorder="1" applyAlignment="1" applyProtection="1">
      <alignment horizontal="center" vertical="center" shrinkToFit="1"/>
      <protection locked="0"/>
    </xf>
    <xf numFmtId="0" fontId="89" fillId="0" borderId="10" xfId="45" applyFont="1" applyBorder="1" applyAlignment="1">
      <alignment horizontal="left" vertical="center" shrinkToFit="1"/>
    </xf>
    <xf numFmtId="0" fontId="89" fillId="0" borderId="48" xfId="45" applyFont="1" applyBorder="1" applyAlignment="1">
      <alignment horizontal="left" vertical="center" shrinkToFit="1"/>
    </xf>
    <xf numFmtId="0" fontId="89" fillId="0" borderId="56" xfId="45" applyFont="1" applyBorder="1" applyAlignment="1" applyProtection="1">
      <alignment vertical="top" wrapText="1"/>
      <protection locked="0"/>
    </xf>
    <xf numFmtId="0" fontId="89" fillId="0" borderId="57" xfId="45" applyFont="1" applyBorder="1" applyAlignment="1" applyProtection="1">
      <alignment vertical="top" wrapText="1"/>
      <protection locked="0"/>
    </xf>
    <xf numFmtId="0" fontId="89" fillId="0" borderId="59" xfId="45" applyFont="1" applyBorder="1" applyAlignment="1" applyProtection="1">
      <alignment vertical="top" wrapText="1"/>
      <protection locked="0"/>
    </xf>
    <xf numFmtId="0" fontId="89" fillId="0" borderId="52" xfId="45" applyFont="1" applyBorder="1" applyAlignment="1">
      <alignment horizontal="center" vertical="center" wrapText="1"/>
    </xf>
    <xf numFmtId="0" fontId="89" fillId="0" borderId="2" xfId="45" applyFont="1" applyBorder="1" applyAlignment="1">
      <alignment horizontal="center" vertical="center" wrapText="1"/>
    </xf>
    <xf numFmtId="0" fontId="89" fillId="0" borderId="17" xfId="45" applyFont="1" applyBorder="1" applyAlignment="1">
      <alignment horizontal="center" vertical="center" wrapText="1"/>
    </xf>
    <xf numFmtId="0" fontId="89" fillId="0" borderId="56" xfId="186" applyFont="1" applyBorder="1" applyAlignment="1" applyProtection="1">
      <alignment vertical="top" wrapText="1"/>
      <protection locked="0"/>
    </xf>
    <xf numFmtId="0" fontId="89" fillId="0" borderId="57" xfId="186" applyFont="1" applyBorder="1" applyAlignment="1" applyProtection="1">
      <alignment vertical="top" wrapText="1"/>
      <protection locked="0"/>
    </xf>
    <xf numFmtId="0" fontId="89" fillId="0" borderId="58" xfId="186" applyFont="1" applyBorder="1" applyAlignment="1" applyProtection="1">
      <alignment vertical="top" wrapText="1"/>
      <protection locked="0"/>
    </xf>
    <xf numFmtId="0" fontId="89" fillId="0" borderId="49" xfId="186" applyFont="1" applyBorder="1" applyAlignment="1" applyProtection="1">
      <alignment vertical="top" wrapText="1"/>
      <protection locked="0"/>
    </xf>
    <xf numFmtId="0" fontId="89" fillId="0" borderId="50" xfId="186" applyFont="1" applyBorder="1" applyAlignment="1" applyProtection="1">
      <alignment vertical="top" wrapText="1"/>
      <protection locked="0"/>
    </xf>
    <xf numFmtId="0" fontId="89" fillId="0" borderId="51" xfId="186" applyFont="1" applyBorder="1" applyAlignment="1" applyProtection="1">
      <alignment vertical="top" wrapText="1"/>
      <protection locked="0"/>
    </xf>
    <xf numFmtId="0" fontId="89" fillId="0" borderId="3" xfId="45" applyFont="1" applyBorder="1" applyAlignment="1" applyProtection="1">
      <alignment horizontal="left" vertical="top" wrapText="1"/>
      <protection locked="0"/>
    </xf>
    <xf numFmtId="0" fontId="89" fillId="0" borderId="52" xfId="186" applyFont="1" applyBorder="1" applyAlignment="1" applyProtection="1">
      <alignment vertical="top" wrapText="1"/>
      <protection locked="0"/>
    </xf>
    <xf numFmtId="0" fontId="89" fillId="0" borderId="2" xfId="186" applyFont="1" applyBorder="1" applyAlignment="1" applyProtection="1">
      <alignment vertical="top" wrapText="1"/>
      <protection locked="0"/>
    </xf>
    <xf numFmtId="0" fontId="89" fillId="0" borderId="48" xfId="186" applyFont="1" applyBorder="1" applyAlignment="1" applyProtection="1">
      <alignment vertical="top" wrapText="1"/>
      <protection locked="0"/>
    </xf>
    <xf numFmtId="0" fontId="89" fillId="0" borderId="3" xfId="186" applyFont="1" applyBorder="1" applyAlignment="1">
      <alignment horizontal="center" vertical="center" wrapText="1"/>
    </xf>
    <xf numFmtId="0" fontId="96" fillId="30" borderId="3" xfId="186" applyFont="1" applyFill="1" applyBorder="1" applyAlignment="1">
      <alignment horizontal="center" vertical="center"/>
    </xf>
    <xf numFmtId="0" fontId="96" fillId="29" borderId="10" xfId="186" applyFont="1" applyFill="1" applyBorder="1" applyAlignment="1">
      <alignment horizontal="center" vertical="center"/>
    </xf>
    <xf numFmtId="0" fontId="96" fillId="29" borderId="2" xfId="186" applyFont="1" applyFill="1" applyBorder="1" applyAlignment="1">
      <alignment horizontal="center" vertical="center"/>
    </xf>
    <xf numFmtId="0" fontId="96" fillId="29" borderId="17" xfId="186" applyFont="1" applyFill="1" applyBorder="1" applyAlignment="1">
      <alignment horizontal="center" vertical="center"/>
    </xf>
    <xf numFmtId="180" fontId="60" fillId="0" borderId="10" xfId="161" quotePrefix="1" applyNumberFormat="1" applyFont="1" applyBorder="1" applyAlignment="1">
      <alignment horizontal="right" vertical="center"/>
    </xf>
    <xf numFmtId="180" fontId="60" fillId="0" borderId="2" xfId="161" quotePrefix="1" applyNumberFormat="1" applyFont="1" applyBorder="1" applyAlignment="1">
      <alignment horizontal="right" vertical="center"/>
    </xf>
    <xf numFmtId="180" fontId="60" fillId="0" borderId="17" xfId="161" quotePrefix="1" applyNumberFormat="1" applyFont="1" applyBorder="1" applyAlignment="1">
      <alignment horizontal="right" vertical="center"/>
    </xf>
    <xf numFmtId="184" fontId="60" fillId="0" borderId="10" xfId="161" quotePrefix="1" applyNumberFormat="1" applyFont="1" applyBorder="1" applyAlignment="1">
      <alignment horizontal="right" vertical="center"/>
    </xf>
    <xf numFmtId="184" fontId="60" fillId="0" borderId="2" xfId="161" quotePrefix="1" applyNumberFormat="1" applyFont="1" applyBorder="1" applyAlignment="1">
      <alignment horizontal="right" vertical="center"/>
    </xf>
    <xf numFmtId="184" fontId="60" fillId="0" borderId="17" xfId="161" quotePrefix="1" applyNumberFormat="1" applyFont="1" applyBorder="1" applyAlignment="1">
      <alignment horizontal="right" vertical="center"/>
    </xf>
    <xf numFmtId="10" fontId="60" fillId="0" borderId="10" xfId="161" quotePrefix="1" applyNumberFormat="1" applyFont="1" applyBorder="1" applyAlignment="1">
      <alignment horizontal="right" vertical="center"/>
    </xf>
    <xf numFmtId="10" fontId="60" fillId="0" borderId="2" xfId="161" quotePrefix="1" applyNumberFormat="1" applyFont="1" applyBorder="1" applyAlignment="1">
      <alignment horizontal="right" vertical="center"/>
    </xf>
    <xf numFmtId="10" fontId="60" fillId="0" borderId="17" xfId="161" quotePrefix="1" applyNumberFormat="1" applyFont="1" applyBorder="1" applyAlignment="1">
      <alignment horizontal="right" vertical="center"/>
    </xf>
    <xf numFmtId="0" fontId="60" fillId="0" borderId="10" xfId="161" quotePrefix="1" applyFont="1" applyBorder="1" applyAlignment="1">
      <alignment horizontal="right" vertical="center"/>
    </xf>
    <xf numFmtId="0" fontId="60" fillId="0" borderId="2" xfId="161" quotePrefix="1" applyFont="1" applyBorder="1" applyAlignment="1">
      <alignment horizontal="right" vertical="center"/>
    </xf>
    <xf numFmtId="0" fontId="60" fillId="0" borderId="17" xfId="161" quotePrefix="1" applyFont="1" applyBorder="1" applyAlignment="1">
      <alignment horizontal="right" vertical="center"/>
    </xf>
    <xf numFmtId="185" fontId="60" fillId="0" borderId="10" xfId="161" quotePrefix="1" applyNumberFormat="1" applyFont="1" applyBorder="1" applyAlignment="1">
      <alignment horizontal="right" vertical="center"/>
    </xf>
    <xf numFmtId="185" fontId="60" fillId="0" borderId="2" xfId="161" quotePrefix="1" applyNumberFormat="1" applyFont="1" applyBorder="1" applyAlignment="1">
      <alignment horizontal="right" vertical="center"/>
    </xf>
    <xf numFmtId="185" fontId="60" fillId="0" borderId="17" xfId="161" quotePrefix="1" applyNumberFormat="1" applyFont="1" applyBorder="1" applyAlignment="1">
      <alignment horizontal="right" vertical="center"/>
    </xf>
    <xf numFmtId="179" fontId="60" fillId="0" borderId="10" xfId="161" quotePrefix="1" applyNumberFormat="1" applyFont="1" applyBorder="1" applyAlignment="1">
      <alignment horizontal="right" vertical="center"/>
    </xf>
    <xf numFmtId="179" fontId="60" fillId="0" borderId="2" xfId="161" quotePrefix="1" applyNumberFormat="1" applyFont="1" applyBorder="1" applyAlignment="1">
      <alignment horizontal="right" vertical="center"/>
    </xf>
    <xf numFmtId="179" fontId="60" fillId="0" borderId="17" xfId="161" quotePrefix="1" applyNumberFormat="1" applyFont="1" applyBorder="1" applyAlignment="1">
      <alignment horizontal="right" vertical="center"/>
    </xf>
    <xf numFmtId="182" fontId="60" fillId="0" borderId="10" xfId="161" quotePrefix="1" applyNumberFormat="1" applyFont="1" applyBorder="1" applyAlignment="1">
      <alignment horizontal="right" vertical="center"/>
    </xf>
    <xf numFmtId="182" fontId="60" fillId="0" borderId="2" xfId="161" quotePrefix="1" applyNumberFormat="1" applyFont="1" applyBorder="1" applyAlignment="1">
      <alignment horizontal="right" vertical="center"/>
    </xf>
    <xf numFmtId="182" fontId="60" fillId="0" borderId="17" xfId="161" quotePrefix="1" applyNumberFormat="1" applyFont="1" applyBorder="1" applyAlignment="1">
      <alignment horizontal="right" vertical="center"/>
    </xf>
    <xf numFmtId="182" fontId="60" fillId="0" borderId="10" xfId="161" applyNumberFormat="1" applyFont="1" applyBorder="1" applyAlignment="1">
      <alignment horizontal="center" vertical="center"/>
    </xf>
    <xf numFmtId="182" fontId="60" fillId="0" borderId="2" xfId="161" applyNumberFormat="1" applyFont="1" applyBorder="1" applyAlignment="1">
      <alignment horizontal="center" vertical="center"/>
    </xf>
    <xf numFmtId="182" fontId="60" fillId="0" borderId="17" xfId="161" applyNumberFormat="1" applyFont="1" applyBorder="1" applyAlignment="1">
      <alignment horizontal="center" vertical="center"/>
    </xf>
    <xf numFmtId="185" fontId="60" fillId="0" borderId="10" xfId="161" quotePrefix="1" applyNumberFormat="1" applyFont="1" applyBorder="1" applyAlignment="1">
      <alignment horizontal="right" vertical="center" indent="1"/>
    </xf>
    <xf numFmtId="185" fontId="60" fillId="0" borderId="2" xfId="161" quotePrefix="1" applyNumberFormat="1" applyFont="1" applyBorder="1" applyAlignment="1">
      <alignment horizontal="right" vertical="center" indent="1"/>
    </xf>
    <xf numFmtId="185" fontId="60" fillId="0" borderId="17" xfId="161" quotePrefix="1" applyNumberFormat="1" applyFont="1" applyBorder="1" applyAlignment="1">
      <alignment horizontal="right" vertical="center" indent="1"/>
    </xf>
    <xf numFmtId="10" fontId="0" fillId="14" borderId="0" xfId="0" applyNumberFormat="1" applyFill="1" applyAlignment="1">
      <alignment horizontal="center" vertical="center"/>
    </xf>
    <xf numFmtId="180" fontId="60" fillId="0" borderId="10" xfId="161" quotePrefix="1" applyNumberFormat="1" applyFont="1" applyBorder="1" applyAlignment="1">
      <alignment horizontal="center" vertical="center"/>
    </xf>
    <xf numFmtId="180" fontId="60" fillId="0" borderId="2" xfId="161" quotePrefix="1" applyNumberFormat="1" applyFont="1" applyBorder="1" applyAlignment="1">
      <alignment horizontal="center" vertical="center"/>
    </xf>
    <xf numFmtId="180" fontId="60" fillId="0" borderId="17" xfId="161" quotePrefix="1" applyNumberFormat="1" applyFont="1" applyBorder="1" applyAlignment="1">
      <alignment horizontal="center" vertical="center"/>
    </xf>
    <xf numFmtId="183" fontId="60" fillId="0" borderId="10" xfId="161" applyNumberFormat="1" applyFont="1" applyBorder="1" applyAlignment="1">
      <alignment horizontal="right" vertical="center"/>
    </xf>
    <xf numFmtId="183" fontId="60" fillId="0" borderId="2" xfId="161" applyNumberFormat="1" applyFont="1" applyBorder="1" applyAlignment="1">
      <alignment horizontal="right" vertical="center"/>
    </xf>
    <xf numFmtId="183" fontId="60" fillId="0" borderId="17" xfId="161" applyNumberFormat="1" applyFont="1" applyBorder="1" applyAlignment="1">
      <alignment horizontal="right" vertical="center"/>
    </xf>
    <xf numFmtId="181" fontId="60" fillId="0" borderId="10" xfId="161" quotePrefix="1" applyNumberFormat="1" applyFont="1" applyBorder="1" applyAlignment="1">
      <alignment horizontal="right" vertical="center"/>
    </xf>
    <xf numFmtId="181" fontId="60" fillId="0" borderId="2" xfId="161" quotePrefix="1" applyNumberFormat="1" applyFont="1" applyBorder="1" applyAlignment="1">
      <alignment horizontal="right" vertical="center"/>
    </xf>
    <xf numFmtId="181" fontId="60" fillId="0" borderId="17" xfId="161" quotePrefix="1" applyNumberFormat="1" applyFont="1" applyBorder="1" applyAlignment="1">
      <alignment horizontal="right" vertical="center"/>
    </xf>
    <xf numFmtId="182" fontId="60" fillId="0" borderId="10" xfId="161" quotePrefix="1" applyNumberFormat="1" applyFont="1" applyBorder="1" applyAlignment="1">
      <alignment horizontal="center" vertical="center"/>
    </xf>
    <xf numFmtId="182" fontId="60" fillId="0" borderId="2" xfId="161" quotePrefix="1" applyNumberFormat="1" applyFont="1" applyBorder="1" applyAlignment="1">
      <alignment horizontal="center" vertical="center"/>
    </xf>
    <xf numFmtId="182" fontId="60" fillId="0" borderId="17" xfId="161" quotePrefix="1" applyNumberFormat="1" applyFont="1" applyBorder="1" applyAlignment="1">
      <alignment horizontal="center" vertical="center"/>
    </xf>
    <xf numFmtId="179" fontId="60" fillId="0" borderId="10" xfId="161" quotePrefix="1" applyNumberFormat="1" applyFont="1" applyBorder="1" applyAlignment="1">
      <alignment horizontal="center" vertical="center"/>
    </xf>
    <xf numFmtId="179" fontId="60" fillId="0" borderId="2" xfId="161" quotePrefix="1" applyNumberFormat="1" applyFont="1" applyBorder="1" applyAlignment="1">
      <alignment horizontal="center" vertical="center"/>
    </xf>
    <xf numFmtId="179" fontId="60" fillId="0" borderId="17" xfId="161" quotePrefix="1" applyNumberFormat="1" applyFont="1" applyBorder="1" applyAlignment="1">
      <alignment horizontal="center" vertical="center"/>
    </xf>
    <xf numFmtId="183" fontId="60" fillId="0" borderId="0" xfId="161" quotePrefix="1" applyNumberFormat="1" applyFont="1" applyAlignment="1">
      <alignment horizontal="right" vertical="center"/>
    </xf>
    <xf numFmtId="181" fontId="60" fillId="0" borderId="0" xfId="161" quotePrefix="1" applyNumberFormat="1" applyFont="1" applyAlignment="1">
      <alignment horizontal="right" vertical="center"/>
    </xf>
    <xf numFmtId="186" fontId="52" fillId="14" borderId="15" xfId="0" applyNumberFormat="1" applyFont="1" applyFill="1" applyBorder="1" applyAlignment="1">
      <alignment horizontal="center" vertical="center"/>
    </xf>
    <xf numFmtId="186" fontId="52" fillId="14" borderId="12" xfId="0" applyNumberFormat="1" applyFont="1" applyFill="1" applyBorder="1" applyAlignment="1">
      <alignment horizontal="center" vertical="center"/>
    </xf>
    <xf numFmtId="183" fontId="60" fillId="0" borderId="31" xfId="161" quotePrefix="1" applyNumberFormat="1" applyFont="1" applyBorder="1" applyAlignment="1">
      <alignment horizontal="right" vertical="center"/>
    </xf>
  </cellXfs>
  <cellStyles count="187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9A33E0B3-3601-4446-AF7C-40986B16F916}"/>
    <cellStyle name="標準 12" xfId="186" xr:uid="{172743D3-6417-4394-B4C6-003C20754867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066FF"/>
      <color rgb="FFFFFFCC"/>
      <color rgb="FF3399FF"/>
      <color rgb="FF5F5F5F"/>
      <color rgb="FF777777"/>
      <color rgb="FFDBEEF4"/>
      <color rgb="FF339933"/>
      <color rgb="FF99FF99"/>
      <color rgb="FFFF9900"/>
      <color rgb="FF0132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tmp"/><Relationship Id="rId2" Type="http://schemas.openxmlformats.org/officeDocument/2006/relationships/image" Target="../media/image7.tmp"/><Relationship Id="rId1" Type="http://schemas.openxmlformats.org/officeDocument/2006/relationships/image" Target="../media/image6.tmp"/><Relationship Id="rId4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管理者申請ログ確認画面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38560</xdr:colOff>
      <xdr:row>25</xdr:row>
      <xdr:rowOff>28575</xdr:rowOff>
    </xdr:from>
    <xdr:to>
      <xdr:col>51</xdr:col>
      <xdr:colOff>96157</xdr:colOff>
      <xdr:row>46</xdr:row>
      <xdr:rowOff>82550</xdr:rowOff>
    </xdr:to>
    <xdr:grpSp>
      <xdr:nvGrpSpPr>
        <xdr:cNvPr id="43" name="グループ化 42">
          <a:extLst>
            <a:ext uri="{FF2B5EF4-FFF2-40B4-BE49-F238E27FC236}">
              <a16:creationId xmlns:a16="http://schemas.microsoft.com/office/drawing/2014/main" id="{190F2F8F-F26B-D4C4-428B-F09994C239EE}"/>
            </a:ext>
          </a:extLst>
        </xdr:cNvPr>
        <xdr:cNvGrpSpPr/>
      </xdr:nvGrpSpPr>
      <xdr:grpSpPr>
        <a:xfrm>
          <a:off x="9034393" y="3920067"/>
          <a:ext cx="237514" cy="3944408"/>
          <a:chOff x="9168639" y="1937727"/>
          <a:chExt cx="240770" cy="3921613"/>
        </a:xfrm>
      </xdr:grpSpPr>
      <xdr:pic>
        <xdr:nvPicPr>
          <xdr:cNvPr id="16" name="図 15">
            <a:extLst>
              <a:ext uri="{FF2B5EF4-FFF2-40B4-BE49-F238E27FC236}">
                <a16:creationId xmlns:a16="http://schemas.microsoft.com/office/drawing/2014/main" id="{B21E0430-3E48-64BE-F460-672D2AD6609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177705" y="1937727"/>
            <a:ext cx="221273" cy="1291736"/>
          </a:xfrm>
          <a:prstGeom prst="rect">
            <a:avLst/>
          </a:prstGeom>
        </xdr:spPr>
      </xdr:pic>
      <xdr:pic>
        <xdr:nvPicPr>
          <xdr:cNvPr id="18" name="図 17">
            <a:extLst>
              <a:ext uri="{FF2B5EF4-FFF2-40B4-BE49-F238E27FC236}">
                <a16:creationId xmlns:a16="http://schemas.microsoft.com/office/drawing/2014/main" id="{40647910-157D-4CCD-9218-37552E8E1E2F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190403" y="5543306"/>
            <a:ext cx="218098" cy="316034"/>
          </a:xfrm>
          <a:prstGeom prst="rect">
            <a:avLst/>
          </a:prstGeom>
        </xdr:spPr>
      </xdr:pic>
      <xdr:grpSp>
        <xdr:nvGrpSpPr>
          <xdr:cNvPr id="24" name="グループ化 23">
            <a:extLst>
              <a:ext uri="{FF2B5EF4-FFF2-40B4-BE49-F238E27FC236}">
                <a16:creationId xmlns:a16="http://schemas.microsoft.com/office/drawing/2014/main" id="{A89C33FA-1A55-BC59-6412-F6CC901DB773}"/>
              </a:ext>
            </a:extLst>
          </xdr:cNvPr>
          <xdr:cNvGrpSpPr/>
        </xdr:nvGrpSpPr>
        <xdr:grpSpPr>
          <a:xfrm>
            <a:off x="9186778" y="4750047"/>
            <a:ext cx="219456" cy="814126"/>
            <a:chOff x="9212945" y="4758421"/>
            <a:chExt cx="219980" cy="824592"/>
          </a:xfrm>
        </xdr:grpSpPr>
        <xdr:grpSp>
          <xdr:nvGrpSpPr>
            <xdr:cNvPr id="20" name="グループ化 19">
              <a:extLst>
                <a:ext uri="{FF2B5EF4-FFF2-40B4-BE49-F238E27FC236}">
                  <a16:creationId xmlns:a16="http://schemas.microsoft.com/office/drawing/2014/main" id="{FE300F40-3C8C-2723-043D-EBAA6D6043BB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6209DF18-0471-4A53-883B-360416A15FF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BB8B9517-BC3E-4641-96A8-7DB256091C1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1" name="グループ化 20">
              <a:extLst>
                <a:ext uri="{FF2B5EF4-FFF2-40B4-BE49-F238E27FC236}">
                  <a16:creationId xmlns:a16="http://schemas.microsoft.com/office/drawing/2014/main" id="{902749EB-42E2-4211-8E40-54EEBA6ED787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6ACEA208-2950-C167-2275-27316F07B70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25D2B1D6-7DB4-83F1-A16E-028537F9F6A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26" name="グループ化 25">
            <a:extLst>
              <a:ext uri="{FF2B5EF4-FFF2-40B4-BE49-F238E27FC236}">
                <a16:creationId xmlns:a16="http://schemas.microsoft.com/office/drawing/2014/main" id="{19C6AE78-C4E8-4EAA-B7E3-167B307E03FB}"/>
              </a:ext>
            </a:extLst>
          </xdr:cNvPr>
          <xdr:cNvGrpSpPr/>
        </xdr:nvGrpSpPr>
        <xdr:grpSpPr>
          <a:xfrm>
            <a:off x="9175896" y="3940040"/>
            <a:ext cx="235331" cy="817718"/>
            <a:chOff x="9212945" y="4758421"/>
            <a:chExt cx="219980" cy="824592"/>
          </a:xfrm>
        </xdr:grpSpPr>
        <xdr:grpSp>
          <xdr:nvGrpSpPr>
            <xdr:cNvPr id="27" name="グループ化 26">
              <a:extLst>
                <a:ext uri="{FF2B5EF4-FFF2-40B4-BE49-F238E27FC236}">
                  <a16:creationId xmlns:a16="http://schemas.microsoft.com/office/drawing/2014/main" id="{EAB3112D-8A22-094C-B73B-71E4B2C95AE9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34" name="図 33">
                <a:extLst>
                  <a:ext uri="{FF2B5EF4-FFF2-40B4-BE49-F238E27FC236}">
                    <a16:creationId xmlns:a16="http://schemas.microsoft.com/office/drawing/2014/main" id="{0E6C6FDC-7721-22B7-8F10-4E3C8A5051E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5" name="図 34">
                <a:extLst>
                  <a:ext uri="{FF2B5EF4-FFF2-40B4-BE49-F238E27FC236}">
                    <a16:creationId xmlns:a16="http://schemas.microsoft.com/office/drawing/2014/main" id="{378260FB-D957-106D-CF12-3CF9C60E216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8" name="グループ化 27">
              <a:extLst>
                <a:ext uri="{FF2B5EF4-FFF2-40B4-BE49-F238E27FC236}">
                  <a16:creationId xmlns:a16="http://schemas.microsoft.com/office/drawing/2014/main" id="{A014C297-24E8-A19E-D1CA-6923386E749B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9" name="図 28">
                <a:extLst>
                  <a:ext uri="{FF2B5EF4-FFF2-40B4-BE49-F238E27FC236}">
                    <a16:creationId xmlns:a16="http://schemas.microsoft.com/office/drawing/2014/main" id="{487BB4F3-B71D-5048-9875-12387967A56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1" name="図 30">
                <a:extLst>
                  <a:ext uri="{FF2B5EF4-FFF2-40B4-BE49-F238E27FC236}">
                    <a16:creationId xmlns:a16="http://schemas.microsoft.com/office/drawing/2014/main" id="{4143FE76-3775-AD45-1B7A-830E9357BD0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36" name="グループ化 35">
            <a:extLst>
              <a:ext uri="{FF2B5EF4-FFF2-40B4-BE49-F238E27FC236}">
                <a16:creationId xmlns:a16="http://schemas.microsoft.com/office/drawing/2014/main" id="{F8D44BF8-ACBD-430D-8787-2266044639F8}"/>
              </a:ext>
            </a:extLst>
          </xdr:cNvPr>
          <xdr:cNvGrpSpPr/>
        </xdr:nvGrpSpPr>
        <xdr:grpSpPr>
          <a:xfrm>
            <a:off x="9165464" y="3130138"/>
            <a:ext cx="232156" cy="810811"/>
            <a:chOff x="9212945" y="4758421"/>
            <a:chExt cx="219980" cy="824592"/>
          </a:xfrm>
        </xdr:grpSpPr>
        <xdr:grpSp>
          <xdr:nvGrpSpPr>
            <xdr:cNvPr id="37" name="グループ化 36">
              <a:extLst>
                <a:ext uri="{FF2B5EF4-FFF2-40B4-BE49-F238E27FC236}">
                  <a16:creationId xmlns:a16="http://schemas.microsoft.com/office/drawing/2014/main" id="{7B8FEB8A-CFDF-0DD5-6E59-72E96310EB3C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41" name="図 40">
                <a:extLst>
                  <a:ext uri="{FF2B5EF4-FFF2-40B4-BE49-F238E27FC236}">
                    <a16:creationId xmlns:a16="http://schemas.microsoft.com/office/drawing/2014/main" id="{42A4C229-A367-7DE7-A6BE-9FCACC17858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42" name="図 41">
                <a:extLst>
                  <a:ext uri="{FF2B5EF4-FFF2-40B4-BE49-F238E27FC236}">
                    <a16:creationId xmlns:a16="http://schemas.microsoft.com/office/drawing/2014/main" id="{6240F1CA-EF1F-43AF-84A8-AED87229252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38" name="グループ化 37">
              <a:extLst>
                <a:ext uri="{FF2B5EF4-FFF2-40B4-BE49-F238E27FC236}">
                  <a16:creationId xmlns:a16="http://schemas.microsoft.com/office/drawing/2014/main" id="{96921444-4C15-6954-0EAE-88B69A4A0C2F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39" name="図 38">
                <a:extLst>
                  <a:ext uri="{FF2B5EF4-FFF2-40B4-BE49-F238E27FC236}">
                    <a16:creationId xmlns:a16="http://schemas.microsoft.com/office/drawing/2014/main" id="{70EE92B0-9679-E525-CF04-C70906B7620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40" name="図 39">
                <a:extLst>
                  <a:ext uri="{FF2B5EF4-FFF2-40B4-BE49-F238E27FC236}">
                    <a16:creationId xmlns:a16="http://schemas.microsoft.com/office/drawing/2014/main" id="{4CAEDF4E-5B3C-69DF-6858-3F963740210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</xdr:col>
      <xdr:colOff>38100</xdr:colOff>
      <xdr:row>25</xdr:row>
      <xdr:rowOff>69851</xdr:rowOff>
    </xdr:from>
    <xdr:to>
      <xdr:col>52</xdr:col>
      <xdr:colOff>9525</xdr:colOff>
      <xdr:row>46</xdr:row>
      <xdr:rowOff>52917</xdr:rowOff>
    </xdr:to>
    <xdr:sp macro="" textlink="">
      <xdr:nvSpPr>
        <xdr:cNvPr id="83" name="角丸四角形 78">
          <a:extLst>
            <a:ext uri="{FF2B5EF4-FFF2-40B4-BE49-F238E27FC236}">
              <a16:creationId xmlns:a16="http://schemas.microsoft.com/office/drawing/2014/main" id="{DB4E9FA1-C457-4182-B9F9-805BB5003144}"/>
            </a:ext>
          </a:extLst>
        </xdr:cNvPr>
        <xdr:cNvSpPr/>
      </xdr:nvSpPr>
      <xdr:spPr>
        <a:xfrm>
          <a:off x="218017" y="3774018"/>
          <a:ext cx="9147175" cy="3867149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22227</xdr:colOff>
      <xdr:row>8</xdr:row>
      <xdr:rowOff>26458</xdr:rowOff>
    </xdr:from>
    <xdr:to>
      <xdr:col>17</xdr:col>
      <xdr:colOff>170394</xdr:colOff>
      <xdr:row>9</xdr:row>
      <xdr:rowOff>123825</xdr:rowOff>
    </xdr:to>
    <xdr:grpSp>
      <xdr:nvGrpSpPr>
        <xdr:cNvPr id="88" name="グループ化 87">
          <a:extLst>
            <a:ext uri="{FF2B5EF4-FFF2-40B4-BE49-F238E27FC236}">
              <a16:creationId xmlns:a16="http://schemas.microsoft.com/office/drawing/2014/main" id="{FC36BA47-187E-71B5-09E2-F3D07F70FF1E}"/>
            </a:ext>
          </a:extLst>
        </xdr:cNvPr>
        <xdr:cNvGrpSpPr/>
      </xdr:nvGrpSpPr>
      <xdr:grpSpPr>
        <a:xfrm>
          <a:off x="745069" y="1204383"/>
          <a:ext cx="2483908" cy="249767"/>
          <a:chOff x="3101976" y="1619250"/>
          <a:chExt cx="2498725" cy="304800"/>
        </a:xfrm>
      </xdr:grpSpPr>
      <xdr:sp macro="" textlink="">
        <xdr:nvSpPr>
          <xdr:cNvPr id="85" name="四角形: 角を丸くする 84">
            <a:extLst>
              <a:ext uri="{FF2B5EF4-FFF2-40B4-BE49-F238E27FC236}">
                <a16:creationId xmlns:a16="http://schemas.microsoft.com/office/drawing/2014/main" id="{EE2F99A3-2055-432E-B9FB-6763BE2421FC}"/>
              </a:ext>
            </a:extLst>
          </xdr:cNvPr>
          <xdr:cNvSpPr/>
        </xdr:nvSpPr>
        <xdr:spPr>
          <a:xfrm>
            <a:off x="3101976" y="1619250"/>
            <a:ext cx="2498725" cy="304800"/>
          </a:xfrm>
          <a:prstGeom prst="roundRect">
            <a:avLst/>
          </a:prstGeom>
          <a:solidFill>
            <a:schemeClr val="bg1">
              <a:lumMod val="9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l">
              <a:lnSpc>
                <a:spcPts val="900"/>
              </a:lnSpc>
            </a:pPr>
            <a:r>
              <a:rPr kumimoji="1" lang="ja-JP" altLang="en-US" sz="800">
                <a:solidFill>
                  <a:schemeClr val="bg1">
                    <a:lumMod val="6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入力して検索</a:t>
            </a:r>
            <a:endParaRPr kumimoji="1" lang="en-US" altLang="ja-JP" sz="800">
              <a:solidFill>
                <a:schemeClr val="bg1">
                  <a:lumMod val="6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pic>
        <xdr:nvPicPr>
          <xdr:cNvPr id="87" name="図 86">
            <a:extLst>
              <a:ext uri="{FF2B5EF4-FFF2-40B4-BE49-F238E27FC236}">
                <a16:creationId xmlns:a16="http://schemas.microsoft.com/office/drawing/2014/main" id="{A1982D0F-BA12-681C-E3EE-37B78BA3CA9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5334000" y="1638300"/>
            <a:ext cx="181000" cy="209579"/>
          </a:xfrm>
          <a:prstGeom prst="rect">
            <a:avLst/>
          </a:prstGeom>
        </xdr:spPr>
      </xdr:pic>
    </xdr:grpSp>
    <xdr:clientData/>
  </xdr:twoCellAnchor>
  <xdr:twoCellAnchor>
    <xdr:from>
      <xdr:col>51</xdr:col>
      <xdr:colOff>55356</xdr:colOff>
      <xdr:row>13</xdr:row>
      <xdr:rowOff>44450</xdr:rowOff>
    </xdr:from>
    <xdr:to>
      <xdr:col>52</xdr:col>
      <xdr:colOff>1584</xdr:colOff>
      <xdr:row>15</xdr:row>
      <xdr:rowOff>0</xdr:rowOff>
    </xdr:to>
    <xdr:grpSp>
      <xdr:nvGrpSpPr>
        <xdr:cNvPr id="172" name="グループ化 171">
          <a:extLst>
            <a:ext uri="{FF2B5EF4-FFF2-40B4-BE49-F238E27FC236}">
              <a16:creationId xmlns:a16="http://schemas.microsoft.com/office/drawing/2014/main" id="{42493288-82C3-A361-66A9-E9E73B490289}"/>
            </a:ext>
          </a:extLst>
        </xdr:cNvPr>
        <xdr:cNvGrpSpPr/>
      </xdr:nvGrpSpPr>
      <xdr:grpSpPr>
        <a:xfrm>
          <a:off x="9231106" y="2111375"/>
          <a:ext cx="126145" cy="396875"/>
          <a:chOff x="9285081" y="2111375"/>
          <a:chExt cx="127203" cy="431799"/>
        </a:xfrm>
      </xdr:grpSpPr>
      <xdr:pic>
        <xdr:nvPicPr>
          <xdr:cNvPr id="149" name="図 148">
            <a:extLst>
              <a:ext uri="{FF2B5EF4-FFF2-40B4-BE49-F238E27FC236}">
                <a16:creationId xmlns:a16="http://schemas.microsoft.com/office/drawing/2014/main" id="{D5774797-6046-EFCF-EF03-7CBAC6D4EA6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288243" y="2111375"/>
            <a:ext cx="104530" cy="318001"/>
          </a:xfrm>
          <a:prstGeom prst="rect">
            <a:avLst/>
          </a:prstGeom>
        </xdr:spPr>
      </xdr:pic>
      <xdr:pic>
        <xdr:nvPicPr>
          <xdr:cNvPr id="150" name="図 149">
            <a:extLst>
              <a:ext uri="{FF2B5EF4-FFF2-40B4-BE49-F238E27FC236}">
                <a16:creationId xmlns:a16="http://schemas.microsoft.com/office/drawing/2014/main" id="{6F2E7885-1B1F-0DEA-19AF-A682FF08072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285081" y="2466926"/>
            <a:ext cx="118814" cy="76248"/>
          </a:xfrm>
          <a:prstGeom prst="rect">
            <a:avLst/>
          </a:prstGeom>
        </xdr:spPr>
      </xdr:pic>
      <xdr:grpSp>
        <xdr:nvGrpSpPr>
          <xdr:cNvPr id="151" name="グループ化 150">
            <a:extLst>
              <a:ext uri="{FF2B5EF4-FFF2-40B4-BE49-F238E27FC236}">
                <a16:creationId xmlns:a16="http://schemas.microsoft.com/office/drawing/2014/main" id="{A9DB36F4-EE5A-DD7E-6E99-31E8D0A38D52}"/>
              </a:ext>
            </a:extLst>
          </xdr:cNvPr>
          <xdr:cNvGrpSpPr/>
        </xdr:nvGrpSpPr>
        <xdr:grpSpPr>
          <a:xfrm>
            <a:off x="9299139" y="2297765"/>
            <a:ext cx="113145" cy="196420"/>
            <a:chOff x="9212945" y="4758421"/>
            <a:chExt cx="219980" cy="824592"/>
          </a:xfrm>
        </xdr:grpSpPr>
        <xdr:grpSp>
          <xdr:nvGrpSpPr>
            <xdr:cNvPr id="166" name="グループ化 165">
              <a:extLst>
                <a:ext uri="{FF2B5EF4-FFF2-40B4-BE49-F238E27FC236}">
                  <a16:creationId xmlns:a16="http://schemas.microsoft.com/office/drawing/2014/main" id="{C5DA51CD-F4D6-0D54-029B-C0146497ACBC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70" name="図 169">
                <a:extLst>
                  <a:ext uri="{FF2B5EF4-FFF2-40B4-BE49-F238E27FC236}">
                    <a16:creationId xmlns:a16="http://schemas.microsoft.com/office/drawing/2014/main" id="{D8595DBA-2C87-9541-9B79-EB42D746B51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71" name="図 170">
                <a:extLst>
                  <a:ext uri="{FF2B5EF4-FFF2-40B4-BE49-F238E27FC236}">
                    <a16:creationId xmlns:a16="http://schemas.microsoft.com/office/drawing/2014/main" id="{B6836E95-2A3A-3884-21E3-A9959925941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167" name="グループ化 166">
              <a:extLst>
                <a:ext uri="{FF2B5EF4-FFF2-40B4-BE49-F238E27FC236}">
                  <a16:creationId xmlns:a16="http://schemas.microsoft.com/office/drawing/2014/main" id="{DE32C7E2-7A4D-9348-B206-7B8BF3FDB080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168" name="図 167">
                <a:extLst>
                  <a:ext uri="{FF2B5EF4-FFF2-40B4-BE49-F238E27FC236}">
                    <a16:creationId xmlns:a16="http://schemas.microsoft.com/office/drawing/2014/main" id="{DEFF6C4C-8049-C94F-15FF-40138AED163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69" name="図 168">
                <a:extLst>
                  <a:ext uri="{FF2B5EF4-FFF2-40B4-BE49-F238E27FC236}">
                    <a16:creationId xmlns:a16="http://schemas.microsoft.com/office/drawing/2014/main" id="{2F0B8B1A-11C2-BA27-5FAF-158B600FDFF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14</xdr:col>
      <xdr:colOff>123826</xdr:colOff>
      <xdr:row>26</xdr:row>
      <xdr:rowOff>60323</xdr:rowOff>
    </xdr:from>
    <xdr:to>
      <xdr:col>17</xdr:col>
      <xdr:colOff>42334</xdr:colOff>
      <xdr:row>27</xdr:row>
      <xdr:rowOff>105833</xdr:rowOff>
    </xdr:to>
    <xdr:sp macro="" textlink="">
      <xdr:nvSpPr>
        <xdr:cNvPr id="258" name="正方形/長方形 257">
          <a:extLst>
            <a:ext uri="{FF2B5EF4-FFF2-40B4-BE49-F238E27FC236}">
              <a16:creationId xmlns:a16="http://schemas.microsoft.com/office/drawing/2014/main" id="{EA40F55B-DB7E-40FA-88D4-E11F9A8DC539}"/>
            </a:ext>
          </a:extLst>
        </xdr:cNvPr>
        <xdr:cNvSpPr/>
      </xdr:nvSpPr>
      <xdr:spPr>
        <a:xfrm>
          <a:off x="2642659" y="4505323"/>
          <a:ext cx="458258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49741</xdr:colOff>
      <xdr:row>20</xdr:row>
      <xdr:rowOff>144991</xdr:rowOff>
    </xdr:from>
    <xdr:to>
      <xdr:col>17</xdr:col>
      <xdr:colOff>116417</xdr:colOff>
      <xdr:row>22</xdr:row>
      <xdr:rowOff>105833</xdr:rowOff>
    </xdr:to>
    <xdr:sp macro="" textlink="">
      <xdr:nvSpPr>
        <xdr:cNvPr id="259" name="線吹き出し 1 (枠付き) 12">
          <a:extLst>
            <a:ext uri="{FF2B5EF4-FFF2-40B4-BE49-F238E27FC236}">
              <a16:creationId xmlns:a16="http://schemas.microsoft.com/office/drawing/2014/main" id="{978D0A5C-2772-4C0B-AD36-93650A0BF555}"/>
            </a:ext>
          </a:extLst>
        </xdr:cNvPr>
        <xdr:cNvSpPr/>
      </xdr:nvSpPr>
      <xdr:spPr>
        <a:xfrm>
          <a:off x="1489074" y="3838574"/>
          <a:ext cx="1685926" cy="278342"/>
        </a:xfrm>
        <a:prstGeom prst="borderCallout1">
          <a:avLst>
            <a:gd name="adj1" fmla="val 99600"/>
            <a:gd name="adj2" fmla="val 1511"/>
            <a:gd name="adj3" fmla="val 155734"/>
            <a:gd name="adj4" fmla="val 146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．環境証明書申請状況詳細</a:t>
          </a:r>
        </a:p>
      </xdr:txBody>
    </xdr:sp>
    <xdr:clientData/>
  </xdr:twoCellAnchor>
  <xdr:twoCellAnchor>
    <xdr:from>
      <xdr:col>32</xdr:col>
      <xdr:colOff>116417</xdr:colOff>
      <xdr:row>26</xdr:row>
      <xdr:rowOff>87842</xdr:rowOff>
    </xdr:from>
    <xdr:to>
      <xdr:col>35</xdr:col>
      <xdr:colOff>39158</xdr:colOff>
      <xdr:row>27</xdr:row>
      <xdr:rowOff>110068</xdr:rowOff>
    </xdr:to>
    <xdr:sp macro="" textlink="">
      <xdr:nvSpPr>
        <xdr:cNvPr id="260" name="正方形/長方形 259">
          <a:extLst>
            <a:ext uri="{FF2B5EF4-FFF2-40B4-BE49-F238E27FC236}">
              <a16:creationId xmlns:a16="http://schemas.microsoft.com/office/drawing/2014/main" id="{D9010547-CB4C-48CE-A16C-FF9F68F919BA}"/>
            </a:ext>
          </a:extLst>
        </xdr:cNvPr>
        <xdr:cNvSpPr/>
      </xdr:nvSpPr>
      <xdr:spPr>
        <a:xfrm>
          <a:off x="5873750" y="4532842"/>
          <a:ext cx="46249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</a:p>
      </xdr:txBody>
    </xdr:sp>
    <xdr:clientData/>
  </xdr:twoCellAnchor>
  <xdr:twoCellAnchor>
    <xdr:from>
      <xdr:col>14</xdr:col>
      <xdr:colOff>127000</xdr:colOff>
      <xdr:row>28</xdr:row>
      <xdr:rowOff>148166</xdr:rowOff>
    </xdr:from>
    <xdr:to>
      <xdr:col>17</xdr:col>
      <xdr:colOff>55033</xdr:colOff>
      <xdr:row>29</xdr:row>
      <xdr:rowOff>193676</xdr:rowOff>
    </xdr:to>
    <xdr:sp macro="" textlink="">
      <xdr:nvSpPr>
        <xdr:cNvPr id="261" name="正方形/長方形 260">
          <a:extLst>
            <a:ext uri="{FF2B5EF4-FFF2-40B4-BE49-F238E27FC236}">
              <a16:creationId xmlns:a16="http://schemas.microsoft.com/office/drawing/2014/main" id="{6C80C583-7EBC-47D6-A3D9-0B0A887FB4FC}"/>
            </a:ext>
          </a:extLst>
        </xdr:cNvPr>
        <xdr:cNvSpPr/>
      </xdr:nvSpPr>
      <xdr:spPr>
        <a:xfrm>
          <a:off x="2645833" y="4995333"/>
          <a:ext cx="46778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129116</xdr:colOff>
      <xdr:row>28</xdr:row>
      <xdr:rowOff>175685</xdr:rowOff>
    </xdr:from>
    <xdr:to>
      <xdr:col>35</xdr:col>
      <xdr:colOff>45507</xdr:colOff>
      <xdr:row>29</xdr:row>
      <xdr:rowOff>197911</xdr:rowOff>
    </xdr:to>
    <xdr:sp macro="" textlink="">
      <xdr:nvSpPr>
        <xdr:cNvPr id="262" name="正方形/長方形 261">
          <a:extLst>
            <a:ext uri="{FF2B5EF4-FFF2-40B4-BE49-F238E27FC236}">
              <a16:creationId xmlns:a16="http://schemas.microsoft.com/office/drawing/2014/main" id="{E93F330B-61FC-480A-B940-A2028D4778E2}"/>
            </a:ext>
          </a:extLst>
        </xdr:cNvPr>
        <xdr:cNvSpPr/>
      </xdr:nvSpPr>
      <xdr:spPr>
        <a:xfrm>
          <a:off x="5886449" y="5022852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</a:p>
      </xdr:txBody>
    </xdr:sp>
    <xdr:clientData/>
  </xdr:twoCellAnchor>
  <xdr:twoCellAnchor>
    <xdr:from>
      <xdr:col>14</xdr:col>
      <xdr:colOff>116416</xdr:colOff>
      <xdr:row>32</xdr:row>
      <xdr:rowOff>21167</xdr:rowOff>
    </xdr:from>
    <xdr:to>
      <xdr:col>17</xdr:col>
      <xdr:colOff>44449</xdr:colOff>
      <xdr:row>33</xdr:row>
      <xdr:rowOff>66677</xdr:rowOff>
    </xdr:to>
    <xdr:sp macro="" textlink="">
      <xdr:nvSpPr>
        <xdr:cNvPr id="263" name="正方形/長方形 262">
          <a:extLst>
            <a:ext uri="{FF2B5EF4-FFF2-40B4-BE49-F238E27FC236}">
              <a16:creationId xmlns:a16="http://schemas.microsoft.com/office/drawing/2014/main" id="{D76B6ED3-36F2-43F9-9FD0-9315BA38A4F6}"/>
            </a:ext>
          </a:extLst>
        </xdr:cNvPr>
        <xdr:cNvSpPr/>
      </xdr:nvSpPr>
      <xdr:spPr>
        <a:xfrm>
          <a:off x="2635249" y="5672667"/>
          <a:ext cx="46778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115357</xdr:colOff>
      <xdr:row>32</xdr:row>
      <xdr:rowOff>48686</xdr:rowOff>
    </xdr:from>
    <xdr:to>
      <xdr:col>35</xdr:col>
      <xdr:colOff>34923</xdr:colOff>
      <xdr:row>33</xdr:row>
      <xdr:rowOff>70912</xdr:rowOff>
    </xdr:to>
    <xdr:sp macro="" textlink="">
      <xdr:nvSpPr>
        <xdr:cNvPr id="264" name="正方形/長方形 263">
          <a:extLst>
            <a:ext uri="{FF2B5EF4-FFF2-40B4-BE49-F238E27FC236}">
              <a16:creationId xmlns:a16="http://schemas.microsoft.com/office/drawing/2014/main" id="{654E2140-8257-43D6-A81D-F12AD6ED5F54}"/>
            </a:ext>
          </a:extLst>
        </xdr:cNvPr>
        <xdr:cNvSpPr/>
      </xdr:nvSpPr>
      <xdr:spPr>
        <a:xfrm>
          <a:off x="5872690" y="5700186"/>
          <a:ext cx="459316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</a:p>
      </xdr:txBody>
    </xdr:sp>
    <xdr:clientData/>
  </xdr:twoCellAnchor>
  <xdr:twoCellAnchor>
    <xdr:from>
      <xdr:col>14</xdr:col>
      <xdr:colOff>122765</xdr:colOff>
      <xdr:row>34</xdr:row>
      <xdr:rowOff>148169</xdr:rowOff>
    </xdr:from>
    <xdr:to>
      <xdr:col>17</xdr:col>
      <xdr:colOff>47623</xdr:colOff>
      <xdr:row>36</xdr:row>
      <xdr:rowOff>5296</xdr:rowOff>
    </xdr:to>
    <xdr:sp macro="" textlink="">
      <xdr:nvSpPr>
        <xdr:cNvPr id="265" name="正方形/長方形 264">
          <a:extLst>
            <a:ext uri="{FF2B5EF4-FFF2-40B4-BE49-F238E27FC236}">
              <a16:creationId xmlns:a16="http://schemas.microsoft.com/office/drawing/2014/main" id="{45D09E49-7550-4335-B7F9-1A3C66892956}"/>
            </a:ext>
          </a:extLst>
        </xdr:cNvPr>
        <xdr:cNvSpPr/>
      </xdr:nvSpPr>
      <xdr:spPr>
        <a:xfrm>
          <a:off x="2641598" y="6201836"/>
          <a:ext cx="464608" cy="2592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124881</xdr:colOff>
      <xdr:row>34</xdr:row>
      <xdr:rowOff>142879</xdr:rowOff>
    </xdr:from>
    <xdr:to>
      <xdr:col>35</xdr:col>
      <xdr:colOff>41272</xdr:colOff>
      <xdr:row>35</xdr:row>
      <xdr:rowOff>165105</xdr:rowOff>
    </xdr:to>
    <xdr:sp macro="" textlink="">
      <xdr:nvSpPr>
        <xdr:cNvPr id="266" name="正方形/長方形 265">
          <a:extLst>
            <a:ext uri="{FF2B5EF4-FFF2-40B4-BE49-F238E27FC236}">
              <a16:creationId xmlns:a16="http://schemas.microsoft.com/office/drawing/2014/main" id="{78718104-E017-42A6-B240-AE4417DE55F5}"/>
            </a:ext>
          </a:extLst>
        </xdr:cNvPr>
        <xdr:cNvSpPr/>
      </xdr:nvSpPr>
      <xdr:spPr>
        <a:xfrm>
          <a:off x="5882214" y="6196546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</a:p>
      </xdr:txBody>
    </xdr:sp>
    <xdr:clientData/>
  </xdr:twoCellAnchor>
  <xdr:twoCellAnchor>
    <xdr:from>
      <xdr:col>14</xdr:col>
      <xdr:colOff>106891</xdr:colOff>
      <xdr:row>37</xdr:row>
      <xdr:rowOff>131234</xdr:rowOff>
    </xdr:from>
    <xdr:to>
      <xdr:col>17</xdr:col>
      <xdr:colOff>41274</xdr:colOff>
      <xdr:row>39</xdr:row>
      <xdr:rowOff>11644</xdr:rowOff>
    </xdr:to>
    <xdr:sp macro="" textlink="">
      <xdr:nvSpPr>
        <xdr:cNvPr id="267" name="正方形/長方形 266">
          <a:extLst>
            <a:ext uri="{FF2B5EF4-FFF2-40B4-BE49-F238E27FC236}">
              <a16:creationId xmlns:a16="http://schemas.microsoft.com/office/drawing/2014/main" id="{0CDC817D-4093-44DD-8C5F-2056F2E6753A}"/>
            </a:ext>
          </a:extLst>
        </xdr:cNvPr>
        <xdr:cNvSpPr/>
      </xdr:nvSpPr>
      <xdr:spPr>
        <a:xfrm>
          <a:off x="2625724" y="6788151"/>
          <a:ext cx="47413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105832</xdr:colOff>
      <xdr:row>37</xdr:row>
      <xdr:rowOff>158753</xdr:rowOff>
    </xdr:from>
    <xdr:to>
      <xdr:col>35</xdr:col>
      <xdr:colOff>28573</xdr:colOff>
      <xdr:row>39</xdr:row>
      <xdr:rowOff>19054</xdr:rowOff>
    </xdr:to>
    <xdr:sp macro="" textlink="">
      <xdr:nvSpPr>
        <xdr:cNvPr id="268" name="正方形/長方形 267">
          <a:extLst>
            <a:ext uri="{FF2B5EF4-FFF2-40B4-BE49-F238E27FC236}">
              <a16:creationId xmlns:a16="http://schemas.microsoft.com/office/drawing/2014/main" id="{EBB74EBB-50FE-408B-AF27-6CEAF4292430}"/>
            </a:ext>
          </a:extLst>
        </xdr:cNvPr>
        <xdr:cNvSpPr/>
      </xdr:nvSpPr>
      <xdr:spPr>
        <a:xfrm>
          <a:off x="5863165" y="6815670"/>
          <a:ext cx="462491" cy="22013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</a:p>
      </xdr:txBody>
    </xdr:sp>
    <xdr:clientData/>
  </xdr:twoCellAnchor>
  <xdr:twoCellAnchor>
    <xdr:from>
      <xdr:col>14</xdr:col>
      <xdr:colOff>119590</xdr:colOff>
      <xdr:row>40</xdr:row>
      <xdr:rowOff>138645</xdr:rowOff>
    </xdr:from>
    <xdr:to>
      <xdr:col>17</xdr:col>
      <xdr:colOff>47623</xdr:colOff>
      <xdr:row>42</xdr:row>
      <xdr:rowOff>89963</xdr:rowOff>
    </xdr:to>
    <xdr:sp macro="" textlink="">
      <xdr:nvSpPr>
        <xdr:cNvPr id="269" name="正方形/長方形 268">
          <a:extLst>
            <a:ext uri="{FF2B5EF4-FFF2-40B4-BE49-F238E27FC236}">
              <a16:creationId xmlns:a16="http://schemas.microsoft.com/office/drawing/2014/main" id="{BC136271-6F61-4FE4-B208-4AB8941BA8AE}"/>
            </a:ext>
          </a:extLst>
        </xdr:cNvPr>
        <xdr:cNvSpPr/>
      </xdr:nvSpPr>
      <xdr:spPr>
        <a:xfrm>
          <a:off x="2638423" y="7314145"/>
          <a:ext cx="467783" cy="2688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115356</xdr:colOff>
      <xdr:row>40</xdr:row>
      <xdr:rowOff>130180</xdr:rowOff>
    </xdr:from>
    <xdr:to>
      <xdr:col>35</xdr:col>
      <xdr:colOff>31747</xdr:colOff>
      <xdr:row>42</xdr:row>
      <xdr:rowOff>39164</xdr:rowOff>
    </xdr:to>
    <xdr:sp macro="" textlink="">
      <xdr:nvSpPr>
        <xdr:cNvPr id="270" name="正方形/長方形 269">
          <a:extLst>
            <a:ext uri="{FF2B5EF4-FFF2-40B4-BE49-F238E27FC236}">
              <a16:creationId xmlns:a16="http://schemas.microsoft.com/office/drawing/2014/main" id="{FBD3A884-8087-4FBF-9711-D670EFD14433}"/>
            </a:ext>
          </a:extLst>
        </xdr:cNvPr>
        <xdr:cNvSpPr/>
      </xdr:nvSpPr>
      <xdr:spPr>
        <a:xfrm>
          <a:off x="5872689" y="7305680"/>
          <a:ext cx="456141" cy="22648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</a:p>
      </xdr:txBody>
    </xdr:sp>
    <xdr:clientData/>
  </xdr:twoCellAnchor>
  <xdr:twoCellAnchor>
    <xdr:from>
      <xdr:col>14</xdr:col>
      <xdr:colOff>137584</xdr:colOff>
      <xdr:row>43</xdr:row>
      <xdr:rowOff>114298</xdr:rowOff>
    </xdr:from>
    <xdr:to>
      <xdr:col>17</xdr:col>
      <xdr:colOff>62442</xdr:colOff>
      <xdr:row>45</xdr:row>
      <xdr:rowOff>62441</xdr:rowOff>
    </xdr:to>
    <xdr:sp macro="" textlink="">
      <xdr:nvSpPr>
        <xdr:cNvPr id="271" name="正方形/長方形 270">
          <a:extLst>
            <a:ext uri="{FF2B5EF4-FFF2-40B4-BE49-F238E27FC236}">
              <a16:creationId xmlns:a16="http://schemas.microsoft.com/office/drawing/2014/main" id="{2DC49CF3-1CE9-44E3-9071-70725A64078F}"/>
            </a:ext>
          </a:extLst>
        </xdr:cNvPr>
        <xdr:cNvSpPr/>
      </xdr:nvSpPr>
      <xdr:spPr>
        <a:xfrm>
          <a:off x="2656417" y="7766048"/>
          <a:ext cx="464608" cy="2656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130175</xdr:colOff>
      <xdr:row>43</xdr:row>
      <xdr:rowOff>105833</xdr:rowOff>
    </xdr:from>
    <xdr:to>
      <xdr:col>35</xdr:col>
      <xdr:colOff>46566</xdr:colOff>
      <xdr:row>45</xdr:row>
      <xdr:rowOff>11642</xdr:rowOff>
    </xdr:to>
    <xdr:sp macro="" textlink="">
      <xdr:nvSpPr>
        <xdr:cNvPr id="272" name="正方形/長方形 271">
          <a:extLst>
            <a:ext uri="{FF2B5EF4-FFF2-40B4-BE49-F238E27FC236}">
              <a16:creationId xmlns:a16="http://schemas.microsoft.com/office/drawing/2014/main" id="{E3D65567-71BF-4A56-B46F-9AB7FF3D6774}"/>
            </a:ext>
          </a:extLst>
        </xdr:cNvPr>
        <xdr:cNvSpPr/>
      </xdr:nvSpPr>
      <xdr:spPr>
        <a:xfrm>
          <a:off x="5887508" y="7757583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</a:p>
      </xdr:txBody>
    </xdr:sp>
    <xdr:clientData/>
  </xdr:twoCellAnchor>
  <xdr:twoCellAnchor>
    <xdr:from>
      <xdr:col>1</xdr:col>
      <xdr:colOff>155575</xdr:colOff>
      <xdr:row>6</xdr:row>
      <xdr:rowOff>127000</xdr:rowOff>
    </xdr:from>
    <xdr:to>
      <xdr:col>4</xdr:col>
      <xdr:colOff>80433</xdr:colOff>
      <xdr:row>8</xdr:row>
      <xdr:rowOff>52918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CBAB5B76-D60F-436F-A7D9-72587DD84D29}"/>
            </a:ext>
          </a:extLst>
        </xdr:cNvPr>
        <xdr:cNvSpPr/>
      </xdr:nvSpPr>
      <xdr:spPr>
        <a:xfrm>
          <a:off x="335492" y="984250"/>
          <a:ext cx="464608" cy="2434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34924</xdr:colOff>
      <xdr:row>7</xdr:row>
      <xdr:rowOff>59267</xdr:rowOff>
    </xdr:from>
    <xdr:to>
      <xdr:col>23</xdr:col>
      <xdr:colOff>136524</xdr:colOff>
      <xdr:row>8</xdr:row>
      <xdr:rowOff>140760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89753D77-D4FA-4D3F-9BE3-A80BF39DA6B7}"/>
            </a:ext>
          </a:extLst>
        </xdr:cNvPr>
        <xdr:cNvSpPr/>
      </xdr:nvSpPr>
      <xdr:spPr>
        <a:xfrm>
          <a:off x="3813174" y="1075267"/>
          <a:ext cx="46143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95250</xdr:colOff>
      <xdr:row>11</xdr:row>
      <xdr:rowOff>69849</xdr:rowOff>
    </xdr:from>
    <xdr:to>
      <xdr:col>4</xdr:col>
      <xdr:colOff>13758</xdr:colOff>
      <xdr:row>12</xdr:row>
      <xdr:rowOff>151342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04CEC74-10F1-4FC3-9C11-1A6B791361E4}"/>
            </a:ext>
          </a:extLst>
        </xdr:cNvPr>
        <xdr:cNvSpPr/>
      </xdr:nvSpPr>
      <xdr:spPr>
        <a:xfrm>
          <a:off x="275167" y="1752599"/>
          <a:ext cx="458258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45508</xdr:colOff>
      <xdr:row>11</xdr:row>
      <xdr:rowOff>67733</xdr:rowOff>
    </xdr:from>
    <xdr:to>
      <xdr:col>14</xdr:col>
      <xdr:colOff>147108</xdr:colOff>
      <xdr:row>12</xdr:row>
      <xdr:rowOff>155576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B1EE322-BE2B-43CB-AD6C-7F0A794E72B6}"/>
            </a:ext>
          </a:extLst>
        </xdr:cNvPr>
        <xdr:cNvSpPr/>
      </xdr:nvSpPr>
      <xdr:spPr>
        <a:xfrm>
          <a:off x="2204508" y="1750483"/>
          <a:ext cx="46143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48683</xdr:colOff>
      <xdr:row>11</xdr:row>
      <xdr:rowOff>42333</xdr:rowOff>
    </xdr:from>
    <xdr:to>
      <xdr:col>23</xdr:col>
      <xdr:colOff>143933</xdr:colOff>
      <xdr:row>12</xdr:row>
      <xdr:rowOff>127001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772E6FC2-794E-47B7-953D-CD9C1537E62F}"/>
            </a:ext>
          </a:extLst>
        </xdr:cNvPr>
        <xdr:cNvSpPr/>
      </xdr:nvSpPr>
      <xdr:spPr>
        <a:xfrm>
          <a:off x="3826933" y="1725083"/>
          <a:ext cx="455083" cy="2434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98425</xdr:colOff>
      <xdr:row>11</xdr:row>
      <xdr:rowOff>109008</xdr:rowOff>
    </xdr:from>
    <xdr:to>
      <xdr:col>33</xdr:col>
      <xdr:colOff>23283</xdr:colOff>
      <xdr:row>12</xdr:row>
      <xdr:rowOff>196851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24A1FE9C-A8A4-426E-BF47-AFC0DFDCE137}"/>
            </a:ext>
          </a:extLst>
        </xdr:cNvPr>
        <xdr:cNvSpPr/>
      </xdr:nvSpPr>
      <xdr:spPr>
        <a:xfrm>
          <a:off x="5495925" y="1791758"/>
          <a:ext cx="464608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0</xdr:col>
      <xdr:colOff>120650</xdr:colOff>
      <xdr:row>4</xdr:row>
      <xdr:rowOff>123825</xdr:rowOff>
    </xdr:from>
    <xdr:to>
      <xdr:col>10</xdr:col>
      <xdr:colOff>10584</xdr:colOff>
      <xdr:row>6</xdr:row>
      <xdr:rowOff>66675</xdr:rowOff>
    </xdr:to>
    <xdr:sp macro="" textlink="">
      <xdr:nvSpPr>
        <xdr:cNvPr id="32" name="線吹き出し 1 (枠付き) 12">
          <a:extLst>
            <a:ext uri="{FF2B5EF4-FFF2-40B4-BE49-F238E27FC236}">
              <a16:creationId xmlns:a16="http://schemas.microsoft.com/office/drawing/2014/main" id="{B6FEE12B-E19B-4340-BA21-D3090BA8464B}"/>
            </a:ext>
          </a:extLst>
        </xdr:cNvPr>
        <xdr:cNvSpPr/>
      </xdr:nvSpPr>
      <xdr:spPr>
        <a:xfrm>
          <a:off x="120650" y="642408"/>
          <a:ext cx="1689101" cy="281517"/>
        </a:xfrm>
        <a:prstGeom prst="borderCallout1">
          <a:avLst>
            <a:gd name="adj1" fmla="val 99600"/>
            <a:gd name="adj2" fmla="val 1511"/>
            <a:gd name="adj3" fmla="val 163253"/>
            <a:gd name="adj4" fmla="val 7665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．環境証明書申請検索</a:t>
          </a:r>
        </a:p>
      </xdr:txBody>
    </xdr:sp>
    <xdr:clientData/>
  </xdr:twoCellAnchor>
  <xdr:twoCellAnchor>
    <xdr:from>
      <xdr:col>0</xdr:col>
      <xdr:colOff>178859</xdr:colOff>
      <xdr:row>6</xdr:row>
      <xdr:rowOff>130177</xdr:rowOff>
    </xdr:from>
    <xdr:to>
      <xdr:col>51</xdr:col>
      <xdr:colOff>143934</xdr:colOff>
      <xdr:row>17</xdr:row>
      <xdr:rowOff>95250</xdr:rowOff>
    </xdr:to>
    <xdr:sp macro="" textlink="">
      <xdr:nvSpPr>
        <xdr:cNvPr id="33" name="角丸四角形 78">
          <a:extLst>
            <a:ext uri="{FF2B5EF4-FFF2-40B4-BE49-F238E27FC236}">
              <a16:creationId xmlns:a16="http://schemas.microsoft.com/office/drawing/2014/main" id="{FCC34BC7-86DA-44E9-A1B5-7D09D5F73981}"/>
            </a:ext>
          </a:extLst>
        </xdr:cNvPr>
        <xdr:cNvSpPr/>
      </xdr:nvSpPr>
      <xdr:spPr>
        <a:xfrm>
          <a:off x="178859" y="987427"/>
          <a:ext cx="9140825" cy="1785406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40</xdr:col>
      <xdr:colOff>151341</xdr:colOff>
      <xdr:row>11</xdr:row>
      <xdr:rowOff>92074</xdr:rowOff>
    </xdr:from>
    <xdr:to>
      <xdr:col>43</xdr:col>
      <xdr:colOff>69849</xdr:colOff>
      <xdr:row>12</xdr:row>
      <xdr:rowOff>179917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1FACCA63-B621-4FF2-A27B-EA2037F9315F}"/>
            </a:ext>
          </a:extLst>
        </xdr:cNvPr>
        <xdr:cNvSpPr/>
      </xdr:nvSpPr>
      <xdr:spPr>
        <a:xfrm>
          <a:off x="7348008" y="1774824"/>
          <a:ext cx="458258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23</xdr:col>
      <xdr:colOff>178859</xdr:colOff>
      <xdr:row>7</xdr:row>
      <xdr:rowOff>74084</xdr:rowOff>
    </xdr:from>
    <xdr:to>
      <xdr:col>40</xdr:col>
      <xdr:colOff>8239</xdr:colOff>
      <xdr:row>10</xdr:row>
      <xdr:rowOff>86246</xdr:rowOff>
    </xdr:to>
    <xdr:grpSp>
      <xdr:nvGrpSpPr>
        <xdr:cNvPr id="74" name="グループ化 73">
          <a:extLst>
            <a:ext uri="{FF2B5EF4-FFF2-40B4-BE49-F238E27FC236}">
              <a16:creationId xmlns:a16="http://schemas.microsoft.com/office/drawing/2014/main" id="{900C5CE3-0846-AE12-5BEE-3355F250A908}"/>
            </a:ext>
          </a:extLst>
        </xdr:cNvPr>
        <xdr:cNvGrpSpPr/>
      </xdr:nvGrpSpPr>
      <xdr:grpSpPr>
        <a:xfrm>
          <a:off x="4320117" y="1090084"/>
          <a:ext cx="2887964" cy="516987"/>
          <a:chOff x="4316942" y="1090084"/>
          <a:chExt cx="2887964" cy="520162"/>
        </a:xfrm>
      </xdr:grpSpPr>
      <xdr:pic>
        <xdr:nvPicPr>
          <xdr:cNvPr id="71" name="図 70">
            <a:extLst>
              <a:ext uri="{FF2B5EF4-FFF2-40B4-BE49-F238E27FC236}">
                <a16:creationId xmlns:a16="http://schemas.microsoft.com/office/drawing/2014/main" id="{E34C43D5-125B-44A3-AAC2-AD539A04CB0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"/>
          <a:srcRect l="31114" b="2218"/>
          <a:stretch>
            <a:fillRect/>
          </a:stretch>
        </xdr:blipFill>
        <xdr:spPr>
          <a:xfrm>
            <a:off x="4780491" y="1090084"/>
            <a:ext cx="2424415" cy="520162"/>
          </a:xfrm>
          <a:prstGeom prst="rect">
            <a:avLst/>
          </a:prstGeom>
        </xdr:spPr>
      </xdr:pic>
      <xdr:sp macro="" textlink="">
        <xdr:nvSpPr>
          <xdr:cNvPr id="72" name="四角形: 角を丸くする 71">
            <a:extLst>
              <a:ext uri="{FF2B5EF4-FFF2-40B4-BE49-F238E27FC236}">
                <a16:creationId xmlns:a16="http://schemas.microsoft.com/office/drawing/2014/main" id="{C4746879-E27E-B7F8-2B6B-BE325F0946BC}"/>
              </a:ext>
            </a:extLst>
          </xdr:cNvPr>
          <xdr:cNvSpPr/>
        </xdr:nvSpPr>
        <xdr:spPr>
          <a:xfrm>
            <a:off x="4316942" y="1139825"/>
            <a:ext cx="483658" cy="179916"/>
          </a:xfrm>
          <a:prstGeom prst="roundRect">
            <a:avLst/>
          </a:prstGeom>
          <a:solidFill>
            <a:schemeClr val="bg1"/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ja-JP" altLang="en-US" sz="7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申請日</a:t>
            </a:r>
          </a:p>
        </xdr:txBody>
      </xdr:sp>
    </xdr:grpSp>
    <xdr:clientData/>
  </xdr:twoCellAnchor>
  <xdr:twoCellAnchor>
    <xdr:from>
      <xdr:col>23</xdr:col>
      <xdr:colOff>158752</xdr:colOff>
      <xdr:row>7</xdr:row>
      <xdr:rowOff>10583</xdr:rowOff>
    </xdr:from>
    <xdr:to>
      <xdr:col>39</xdr:col>
      <xdr:colOff>179916</xdr:colOff>
      <xdr:row>10</xdr:row>
      <xdr:rowOff>127000</xdr:rowOff>
    </xdr:to>
    <xdr:sp macro="" textlink="">
      <xdr:nvSpPr>
        <xdr:cNvPr id="73" name="角丸四角形 78">
          <a:extLst>
            <a:ext uri="{FF2B5EF4-FFF2-40B4-BE49-F238E27FC236}">
              <a16:creationId xmlns:a16="http://schemas.microsoft.com/office/drawing/2014/main" id="{4F6F327E-641B-4E67-9311-B2ABC006097A}"/>
            </a:ext>
          </a:extLst>
        </xdr:cNvPr>
        <xdr:cNvSpPr/>
      </xdr:nvSpPr>
      <xdr:spPr>
        <a:xfrm>
          <a:off x="4296835" y="1026583"/>
          <a:ext cx="2899831" cy="624417"/>
        </a:xfrm>
        <a:prstGeom prst="roundRect">
          <a:avLst/>
        </a:prstGeom>
        <a:noFill/>
        <a:ln w="6350">
          <a:solidFill>
            <a:srgbClr val="0066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36</xdr:col>
      <xdr:colOff>66675</xdr:colOff>
      <xdr:row>16</xdr:row>
      <xdr:rowOff>46566</xdr:rowOff>
    </xdr:from>
    <xdr:to>
      <xdr:col>38</xdr:col>
      <xdr:colOff>165100</xdr:colOff>
      <xdr:row>17</xdr:row>
      <xdr:rowOff>98426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DFFC0944-0786-4D45-94A9-B3591E65F9D5}"/>
            </a:ext>
          </a:extLst>
        </xdr:cNvPr>
        <xdr:cNvSpPr/>
      </xdr:nvSpPr>
      <xdr:spPr>
        <a:xfrm>
          <a:off x="6543675" y="2713566"/>
          <a:ext cx="458258" cy="2529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59</xdr:col>
      <xdr:colOff>169334</xdr:colOff>
      <xdr:row>16</xdr:row>
      <xdr:rowOff>21167</xdr:rowOff>
    </xdr:from>
    <xdr:to>
      <xdr:col>73</xdr:col>
      <xdr:colOff>144462</xdr:colOff>
      <xdr:row>20</xdr:row>
      <xdr:rowOff>91547</xdr:rowOff>
    </xdr:to>
    <xdr:sp macro="" textlink="">
      <xdr:nvSpPr>
        <xdr:cNvPr id="2" name="吹き出し: 四角形 1">
          <a:extLst>
            <a:ext uri="{FF2B5EF4-FFF2-40B4-BE49-F238E27FC236}">
              <a16:creationId xmlns:a16="http://schemas.microsoft.com/office/drawing/2014/main" id="{A65E1EC9-551E-4D8A-A2B0-9688F6AA958C}"/>
            </a:ext>
          </a:extLst>
        </xdr:cNvPr>
        <xdr:cNvSpPr/>
      </xdr:nvSpPr>
      <xdr:spPr>
        <a:xfrm>
          <a:off x="10784417" y="2688167"/>
          <a:ext cx="2493962" cy="747713"/>
        </a:xfrm>
        <a:prstGeom prst="wedgeRectCallout">
          <a:avLst>
            <a:gd name="adj1" fmla="val -109742"/>
            <a:gd name="adj2" fmla="val -83062"/>
          </a:avLst>
        </a:prstGeom>
        <a:ln w="12700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1050">
              <a:solidFill>
                <a:srgbClr val="FF0000"/>
              </a:solidFill>
            </a:rPr>
            <a:t>AA</a:t>
          </a:r>
          <a:r>
            <a:rPr kumimoji="1" lang="ja-JP" altLang="en-US" sz="1050">
              <a:solidFill>
                <a:srgbClr val="FF0000"/>
              </a:solidFill>
            </a:rPr>
            <a:t>古竹</a:t>
          </a:r>
          <a:endParaRPr kumimoji="1" lang="en-US" altLang="ja-JP" sz="105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105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1050">
              <a:solidFill>
                <a:srgbClr val="FF0000"/>
              </a:solidFill>
            </a:rPr>
            <a:t>レイアウト例のため</a:t>
          </a:r>
          <a:r>
            <a:rPr kumimoji="1" lang="en-US" altLang="ja-JP" sz="1050">
              <a:solidFill>
                <a:srgbClr val="FF0000"/>
              </a:solidFill>
            </a:rPr>
            <a:t>2</a:t>
          </a:r>
          <a:r>
            <a:rPr kumimoji="1" lang="ja-JP" altLang="en-US" sz="1050">
              <a:solidFill>
                <a:srgbClr val="FF0000"/>
              </a:solidFill>
            </a:rPr>
            <a:t>件分にとどめてますが、</a:t>
          </a:r>
          <a:r>
            <a:rPr kumimoji="1" lang="en-US" altLang="ja-JP" sz="1050">
              <a:solidFill>
                <a:srgbClr val="FF0000"/>
              </a:solidFill>
            </a:rPr>
            <a:t>1</a:t>
          </a:r>
          <a:r>
            <a:rPr kumimoji="1" lang="ja-JP" altLang="en-US" sz="1050">
              <a:solidFill>
                <a:srgbClr val="FF0000"/>
              </a:solidFill>
            </a:rPr>
            <a:t>ページに表示する検索結果は何件にいたしますか。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57149</xdr:colOff>
      <xdr:row>6</xdr:row>
      <xdr:rowOff>38099</xdr:rowOff>
    </xdr:from>
    <xdr:to>
      <xdr:col>11</xdr:col>
      <xdr:colOff>76200</xdr:colOff>
      <xdr:row>7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1685924" y="1952624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762000" y="2263775"/>
          <a:ext cx="1190625" cy="298450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30</xdr:col>
      <xdr:colOff>142874</xdr:colOff>
      <xdr:row>25</xdr:row>
      <xdr:rowOff>57149</xdr:rowOff>
    </xdr:from>
    <xdr:to>
      <xdr:col>42</xdr:col>
      <xdr:colOff>2023</xdr:colOff>
      <xdr:row>27</xdr:row>
      <xdr:rowOff>75314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9766FC07-CA38-4B27-997B-CDB3BC3C700C}"/>
            </a:ext>
          </a:extLst>
        </xdr:cNvPr>
        <xdr:cNvSpPr/>
      </xdr:nvSpPr>
      <xdr:spPr>
        <a:xfrm>
          <a:off x="5572124" y="5267324"/>
          <a:ext cx="2030849" cy="342015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ja-JP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化学物質データ画面</a:t>
          </a:r>
          <a:r>
            <a:rPr kumimoji="1" lang="ja-JP" altLang="en-US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へ戻る</a:t>
          </a:r>
          <a:endParaRPr lang="ja-JP" altLang="en-US" sz="500" b="1">
            <a:solidFill>
              <a:schemeClr val="bg1"/>
            </a:solidFill>
          </a:endParaRPr>
        </a:p>
      </xdr:txBody>
    </xdr:sp>
    <xdr:clientData/>
  </xdr:twoCellAnchor>
  <xdr:twoCellAnchor>
    <xdr:from>
      <xdr:col>33</xdr:col>
      <xdr:colOff>15875</xdr:colOff>
      <xdr:row>47</xdr:row>
      <xdr:rowOff>149225</xdr:rowOff>
    </xdr:from>
    <xdr:to>
      <xdr:col>42</xdr:col>
      <xdr:colOff>161006</xdr:colOff>
      <xdr:row>49</xdr:row>
      <xdr:rowOff>160732</xdr:rowOff>
    </xdr:to>
    <xdr:sp macro="" textlink="">
      <xdr:nvSpPr>
        <xdr:cNvPr id="40" name="正方形/長方形 39">
          <a:extLst>
            <a:ext uri="{FF2B5EF4-FFF2-40B4-BE49-F238E27FC236}">
              <a16:creationId xmlns:a16="http://schemas.microsoft.com/office/drawing/2014/main" id="{39B9BB04-0DAE-4545-AECB-09620800F276}"/>
            </a:ext>
          </a:extLst>
        </xdr:cNvPr>
        <xdr:cNvSpPr/>
      </xdr:nvSpPr>
      <xdr:spPr>
        <a:xfrm>
          <a:off x="5988050" y="8921750"/>
          <a:ext cx="1773906" cy="335357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900" b="1">
              <a:solidFill>
                <a:schemeClr val="bg1"/>
              </a:solidFill>
            </a:rPr>
            <a:t>Back to  </a:t>
          </a:r>
        </a:p>
        <a:p>
          <a:pPr algn="ctr"/>
          <a:r>
            <a:rPr lang="en-US" altLang="ja-JP" sz="900" b="1">
              <a:solidFill>
                <a:schemeClr val="bg1"/>
              </a:solidFill>
            </a:rPr>
            <a:t>Application List to the Page </a:t>
          </a:r>
          <a:endParaRPr lang="ja-JP" altLang="en-US" sz="900" b="1"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66675</xdr:colOff>
      <xdr:row>12</xdr:row>
      <xdr:rowOff>19050</xdr:rowOff>
    </xdr:from>
    <xdr:to>
      <xdr:col>13</xdr:col>
      <xdr:colOff>85726</xdr:colOff>
      <xdr:row>13</xdr:row>
      <xdr:rowOff>114301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C6BCEC27-BD69-4027-BA0C-ED9150F8E4F7}"/>
            </a:ext>
          </a:extLst>
        </xdr:cNvPr>
        <xdr:cNvSpPr/>
      </xdr:nvSpPr>
      <xdr:spPr>
        <a:xfrm>
          <a:off x="2057400" y="312420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158750</xdr:colOff>
      <xdr:row>13</xdr:row>
      <xdr:rowOff>139701</xdr:rowOff>
    </xdr:from>
    <xdr:to>
      <xdr:col>11</xdr:col>
      <xdr:colOff>114300</xdr:colOff>
      <xdr:row>15</xdr:row>
      <xdr:rowOff>1</xdr:rowOff>
    </xdr:to>
    <xdr:sp macro="" textlink="">
      <xdr:nvSpPr>
        <xdr:cNvPr id="43" name="角丸四角形 41">
          <a:extLst>
            <a:ext uri="{FF2B5EF4-FFF2-40B4-BE49-F238E27FC236}">
              <a16:creationId xmlns:a16="http://schemas.microsoft.com/office/drawing/2014/main" id="{360E833A-D559-42F9-A91B-98C48037E0CD}"/>
            </a:ext>
          </a:extLst>
        </xdr:cNvPr>
        <xdr:cNvSpPr/>
      </xdr:nvSpPr>
      <xdr:spPr>
        <a:xfrm>
          <a:off x="520700" y="3406776"/>
          <a:ext cx="1584325" cy="1841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6351</xdr:colOff>
      <xdr:row>19</xdr:row>
      <xdr:rowOff>38101</xdr:rowOff>
    </xdr:from>
    <xdr:to>
      <xdr:col>15</xdr:col>
      <xdr:colOff>28576</xdr:colOff>
      <xdr:row>20</xdr:row>
      <xdr:rowOff>9526</xdr:rowOff>
    </xdr:to>
    <xdr:sp macro="" textlink="">
      <xdr:nvSpPr>
        <xdr:cNvPr id="55" name="角丸四角形 58">
          <a:extLst>
            <a:ext uri="{FF2B5EF4-FFF2-40B4-BE49-F238E27FC236}">
              <a16:creationId xmlns:a16="http://schemas.microsoft.com/office/drawing/2014/main" id="{E0AEB866-6771-4F40-B3F7-EA614D054CD0}"/>
            </a:ext>
          </a:extLst>
        </xdr:cNvPr>
        <xdr:cNvSpPr/>
      </xdr:nvSpPr>
      <xdr:spPr>
        <a:xfrm>
          <a:off x="1454151" y="4276726"/>
          <a:ext cx="1289050" cy="1333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76200</xdr:colOff>
      <xdr:row>17</xdr:row>
      <xdr:rowOff>6351</xdr:rowOff>
    </xdr:from>
    <xdr:to>
      <xdr:col>15</xdr:col>
      <xdr:colOff>66675</xdr:colOff>
      <xdr:row>17</xdr:row>
      <xdr:rowOff>152401</xdr:rowOff>
    </xdr:to>
    <xdr:sp macro="" textlink="">
      <xdr:nvSpPr>
        <xdr:cNvPr id="56" name="角丸四角形 58">
          <a:extLst>
            <a:ext uri="{FF2B5EF4-FFF2-40B4-BE49-F238E27FC236}">
              <a16:creationId xmlns:a16="http://schemas.microsoft.com/office/drawing/2014/main" id="{44F47F0F-5E8D-4EA9-BEA5-C55400866A20}"/>
            </a:ext>
          </a:extLst>
        </xdr:cNvPr>
        <xdr:cNvSpPr/>
      </xdr:nvSpPr>
      <xdr:spPr>
        <a:xfrm>
          <a:off x="619125" y="3921126"/>
          <a:ext cx="2162175" cy="1460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66675</xdr:colOff>
      <xdr:row>18</xdr:row>
      <xdr:rowOff>0</xdr:rowOff>
    </xdr:from>
    <xdr:to>
      <xdr:col>18</xdr:col>
      <xdr:colOff>154779</xdr:colOff>
      <xdr:row>19</xdr:row>
      <xdr:rowOff>20864</xdr:rowOff>
    </xdr:to>
    <xdr:sp macro="" textlink="">
      <xdr:nvSpPr>
        <xdr:cNvPr id="57" name="角丸四角形 58">
          <a:extLst>
            <a:ext uri="{FF2B5EF4-FFF2-40B4-BE49-F238E27FC236}">
              <a16:creationId xmlns:a16="http://schemas.microsoft.com/office/drawing/2014/main" id="{E8042404-88B8-44CD-B2E1-A05D1B80AC62}"/>
            </a:ext>
          </a:extLst>
        </xdr:cNvPr>
        <xdr:cNvSpPr/>
      </xdr:nvSpPr>
      <xdr:spPr>
        <a:xfrm>
          <a:off x="609600" y="4076700"/>
          <a:ext cx="2802729" cy="18278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171450</xdr:colOff>
      <xdr:row>19</xdr:row>
      <xdr:rowOff>152400</xdr:rowOff>
    </xdr:from>
    <xdr:to>
      <xdr:col>13</xdr:col>
      <xdr:colOff>9526</xdr:colOff>
      <xdr:row>21</xdr:row>
      <xdr:rowOff>85726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3DCFDCC0-C5BE-4741-8FD2-DB85EDD0EDD3}"/>
            </a:ext>
          </a:extLst>
        </xdr:cNvPr>
        <xdr:cNvSpPr/>
      </xdr:nvSpPr>
      <xdr:spPr>
        <a:xfrm>
          <a:off x="1981200" y="43910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85725</xdr:colOff>
      <xdr:row>15</xdr:row>
      <xdr:rowOff>123825</xdr:rowOff>
    </xdr:from>
    <xdr:to>
      <xdr:col>17</xdr:col>
      <xdr:colOff>104776</xdr:colOff>
      <xdr:row>17</xdr:row>
      <xdr:rowOff>57151</xdr:rowOff>
    </xdr:to>
    <xdr:sp macro="" textlink="">
      <xdr:nvSpPr>
        <xdr:cNvPr id="59" name="正方形/長方形 58">
          <a:extLst>
            <a:ext uri="{FF2B5EF4-FFF2-40B4-BE49-F238E27FC236}">
              <a16:creationId xmlns:a16="http://schemas.microsoft.com/office/drawing/2014/main" id="{4E4C8E8D-C350-42DD-A024-9DC6A331D727}"/>
            </a:ext>
          </a:extLst>
        </xdr:cNvPr>
        <xdr:cNvSpPr/>
      </xdr:nvSpPr>
      <xdr:spPr>
        <a:xfrm>
          <a:off x="2800350" y="371475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9525</xdr:colOff>
      <xdr:row>17</xdr:row>
      <xdr:rowOff>47625</xdr:rowOff>
    </xdr:from>
    <xdr:to>
      <xdr:col>21</xdr:col>
      <xdr:colOff>28576</xdr:colOff>
      <xdr:row>18</xdr:row>
      <xdr:rowOff>142876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F751E8F8-4521-45C1-BC19-B63DAEC078DC}"/>
            </a:ext>
          </a:extLst>
        </xdr:cNvPr>
        <xdr:cNvSpPr/>
      </xdr:nvSpPr>
      <xdr:spPr>
        <a:xfrm>
          <a:off x="3448050" y="396240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29</xdr:col>
      <xdr:colOff>158750</xdr:colOff>
      <xdr:row>23</xdr:row>
      <xdr:rowOff>76200</xdr:rowOff>
    </xdr:from>
    <xdr:to>
      <xdr:col>31</xdr:col>
      <xdr:colOff>177801</xdr:colOff>
      <xdr:row>25</xdr:row>
      <xdr:rowOff>9526</xdr:rowOff>
    </xdr:to>
    <xdr:sp macro="" textlink="">
      <xdr:nvSpPr>
        <xdr:cNvPr id="61" name="正方形/長方形 60">
          <a:extLst>
            <a:ext uri="{FF2B5EF4-FFF2-40B4-BE49-F238E27FC236}">
              <a16:creationId xmlns:a16="http://schemas.microsoft.com/office/drawing/2014/main" id="{EC383D20-EA4A-4F0B-9A51-974E9BFF8FD0}"/>
            </a:ext>
          </a:extLst>
        </xdr:cNvPr>
        <xdr:cNvSpPr/>
      </xdr:nvSpPr>
      <xdr:spPr>
        <a:xfrm>
          <a:off x="5407025" y="49625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171450</xdr:colOff>
      <xdr:row>35</xdr:row>
      <xdr:rowOff>19050</xdr:rowOff>
    </xdr:from>
    <xdr:to>
      <xdr:col>14</xdr:col>
      <xdr:colOff>9526</xdr:colOff>
      <xdr:row>36</xdr:row>
      <xdr:rowOff>114301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C7E6E9EF-BE92-4E64-B655-1E523806AEBD}"/>
            </a:ext>
          </a:extLst>
        </xdr:cNvPr>
        <xdr:cNvSpPr/>
      </xdr:nvSpPr>
      <xdr:spPr>
        <a:xfrm>
          <a:off x="2162175" y="68484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28575</xdr:colOff>
      <xdr:row>36</xdr:row>
      <xdr:rowOff>139701</xdr:rowOff>
    </xdr:from>
    <xdr:to>
      <xdr:col>13</xdr:col>
      <xdr:colOff>38100</xdr:colOff>
      <xdr:row>38</xdr:row>
      <xdr:rowOff>9524</xdr:rowOff>
    </xdr:to>
    <xdr:sp macro="" textlink="">
      <xdr:nvSpPr>
        <xdr:cNvPr id="63" name="角丸四角形 41">
          <a:extLst>
            <a:ext uri="{FF2B5EF4-FFF2-40B4-BE49-F238E27FC236}">
              <a16:creationId xmlns:a16="http://schemas.microsoft.com/office/drawing/2014/main" id="{8C96DFB9-7331-495D-8099-C4CC9BD950A7}"/>
            </a:ext>
          </a:extLst>
        </xdr:cNvPr>
        <xdr:cNvSpPr/>
      </xdr:nvSpPr>
      <xdr:spPr>
        <a:xfrm>
          <a:off x="571500" y="7131051"/>
          <a:ext cx="1819275" cy="193673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57149</xdr:colOff>
      <xdr:row>42</xdr:row>
      <xdr:rowOff>38100</xdr:rowOff>
    </xdr:from>
    <xdr:to>
      <xdr:col>14</xdr:col>
      <xdr:colOff>142875</xdr:colOff>
      <xdr:row>43</xdr:row>
      <xdr:rowOff>9525</xdr:rowOff>
    </xdr:to>
    <xdr:sp macro="" textlink="">
      <xdr:nvSpPr>
        <xdr:cNvPr id="64" name="角丸四角形 58">
          <a:extLst>
            <a:ext uri="{FF2B5EF4-FFF2-40B4-BE49-F238E27FC236}">
              <a16:creationId xmlns:a16="http://schemas.microsoft.com/office/drawing/2014/main" id="{D8154431-9008-4B3D-9026-13FB17A5E48B}"/>
            </a:ext>
          </a:extLst>
        </xdr:cNvPr>
        <xdr:cNvSpPr/>
      </xdr:nvSpPr>
      <xdr:spPr>
        <a:xfrm>
          <a:off x="1323974" y="8001000"/>
          <a:ext cx="1352551" cy="1333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0</xdr:colOff>
      <xdr:row>40</xdr:row>
      <xdr:rowOff>6350</xdr:rowOff>
    </xdr:from>
    <xdr:to>
      <xdr:col>18</xdr:col>
      <xdr:colOff>152400</xdr:colOff>
      <xdr:row>41</xdr:row>
      <xdr:rowOff>9524</xdr:rowOff>
    </xdr:to>
    <xdr:sp macro="" textlink="">
      <xdr:nvSpPr>
        <xdr:cNvPr id="65" name="角丸四角形 58">
          <a:extLst>
            <a:ext uri="{FF2B5EF4-FFF2-40B4-BE49-F238E27FC236}">
              <a16:creationId xmlns:a16="http://schemas.microsoft.com/office/drawing/2014/main" id="{B9B92726-72C6-4AF7-882A-C1D44CA37A10}"/>
            </a:ext>
          </a:extLst>
        </xdr:cNvPr>
        <xdr:cNvSpPr/>
      </xdr:nvSpPr>
      <xdr:spPr>
        <a:xfrm>
          <a:off x="723900" y="7645400"/>
          <a:ext cx="2686050" cy="16509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40</xdr:row>
      <xdr:rowOff>158750</xdr:rowOff>
    </xdr:from>
    <xdr:to>
      <xdr:col>19</xdr:col>
      <xdr:colOff>78579</xdr:colOff>
      <xdr:row>42</xdr:row>
      <xdr:rowOff>20864</xdr:rowOff>
    </xdr:to>
    <xdr:sp macro="" textlink="">
      <xdr:nvSpPr>
        <xdr:cNvPr id="66" name="角丸四角形 58">
          <a:extLst>
            <a:ext uri="{FF2B5EF4-FFF2-40B4-BE49-F238E27FC236}">
              <a16:creationId xmlns:a16="http://schemas.microsoft.com/office/drawing/2014/main" id="{78F901D5-59F2-4CB7-BBC2-8C13605FCB48}"/>
            </a:ext>
          </a:extLst>
        </xdr:cNvPr>
        <xdr:cNvSpPr/>
      </xdr:nvSpPr>
      <xdr:spPr>
        <a:xfrm>
          <a:off x="714375" y="7797800"/>
          <a:ext cx="2802729" cy="18596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92075</xdr:colOff>
      <xdr:row>42</xdr:row>
      <xdr:rowOff>152400</xdr:rowOff>
    </xdr:from>
    <xdr:to>
      <xdr:col>13</xdr:col>
      <xdr:colOff>114301</xdr:colOff>
      <xdr:row>44</xdr:row>
      <xdr:rowOff>85726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142D7DDC-86C0-4BEA-86C4-91BFF70157AC}"/>
            </a:ext>
          </a:extLst>
        </xdr:cNvPr>
        <xdr:cNvSpPr/>
      </xdr:nvSpPr>
      <xdr:spPr>
        <a:xfrm>
          <a:off x="2082800" y="8115300"/>
          <a:ext cx="384176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149225</xdr:colOff>
      <xdr:row>38</xdr:row>
      <xdr:rowOff>53975</xdr:rowOff>
    </xdr:from>
    <xdr:to>
      <xdr:col>17</xdr:col>
      <xdr:colOff>168276</xdr:colOff>
      <xdr:row>39</xdr:row>
      <xdr:rowOff>152401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E1CCB5D-8B31-45AD-A316-0C9F107A300B}"/>
            </a:ext>
          </a:extLst>
        </xdr:cNvPr>
        <xdr:cNvSpPr/>
      </xdr:nvSpPr>
      <xdr:spPr>
        <a:xfrm>
          <a:off x="2863850" y="7369175"/>
          <a:ext cx="381001" cy="2603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114300</xdr:colOff>
      <xdr:row>40</xdr:row>
      <xdr:rowOff>47625</xdr:rowOff>
    </xdr:from>
    <xdr:to>
      <xdr:col>21</xdr:col>
      <xdr:colOff>133351</xdr:colOff>
      <xdr:row>41</xdr:row>
      <xdr:rowOff>142876</xdr:rowOff>
    </xdr:to>
    <xdr:sp macro="" textlink="">
      <xdr:nvSpPr>
        <xdr:cNvPr id="69" name="正方形/長方形 68">
          <a:extLst>
            <a:ext uri="{FF2B5EF4-FFF2-40B4-BE49-F238E27FC236}">
              <a16:creationId xmlns:a16="http://schemas.microsoft.com/office/drawing/2014/main" id="{2AA34BC8-0C7A-4670-B3C4-4758725A9255}"/>
            </a:ext>
          </a:extLst>
        </xdr:cNvPr>
        <xdr:cNvSpPr/>
      </xdr:nvSpPr>
      <xdr:spPr>
        <a:xfrm>
          <a:off x="3552825" y="76866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85725</xdr:colOff>
      <xdr:row>46</xdr:row>
      <xdr:rowOff>76200</xdr:rowOff>
    </xdr:from>
    <xdr:to>
      <xdr:col>32</xdr:col>
      <xdr:colOff>104776</xdr:colOff>
      <xdr:row>48</xdr:row>
      <xdr:rowOff>6351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BDD42F0F-C81B-4378-81FB-6CF0CF5CC8AA}"/>
            </a:ext>
          </a:extLst>
        </xdr:cNvPr>
        <xdr:cNvSpPr/>
      </xdr:nvSpPr>
      <xdr:spPr>
        <a:xfrm>
          <a:off x="5514975" y="8686800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6810</xdr:colOff>
      <xdr:row>27</xdr:row>
      <xdr:rowOff>28575</xdr:rowOff>
    </xdr:from>
    <xdr:to>
      <xdr:col>51</xdr:col>
      <xdr:colOff>64407</xdr:colOff>
      <xdr:row>48</xdr:row>
      <xdr:rowOff>82550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22D51A07-AA28-471F-9428-E135A709E500}"/>
            </a:ext>
          </a:extLst>
        </xdr:cNvPr>
        <xdr:cNvGrpSpPr/>
      </xdr:nvGrpSpPr>
      <xdr:grpSpPr>
        <a:xfrm>
          <a:off x="9005818" y="4269317"/>
          <a:ext cx="237514" cy="3944408"/>
          <a:chOff x="9168639" y="1937727"/>
          <a:chExt cx="240770" cy="3921613"/>
        </a:xfrm>
      </xdr:grpSpPr>
      <xdr:pic>
        <xdr:nvPicPr>
          <xdr:cNvPr id="3" name="図 2">
            <a:extLst>
              <a:ext uri="{FF2B5EF4-FFF2-40B4-BE49-F238E27FC236}">
                <a16:creationId xmlns:a16="http://schemas.microsoft.com/office/drawing/2014/main" id="{1C27FA35-8E7A-E2B5-7316-02C7D9F61EE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177705" y="1937727"/>
            <a:ext cx="221273" cy="1291736"/>
          </a:xfrm>
          <a:prstGeom prst="rect">
            <a:avLst/>
          </a:prstGeom>
        </xdr:spPr>
      </xdr:pic>
      <xdr:pic>
        <xdr:nvPicPr>
          <xdr:cNvPr id="4" name="図 3">
            <a:extLst>
              <a:ext uri="{FF2B5EF4-FFF2-40B4-BE49-F238E27FC236}">
                <a16:creationId xmlns:a16="http://schemas.microsoft.com/office/drawing/2014/main" id="{1D6755EF-4035-AB4D-BFE2-8F13D6E4024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190403" y="5543306"/>
            <a:ext cx="218098" cy="316034"/>
          </a:xfrm>
          <a:prstGeom prst="rect">
            <a:avLst/>
          </a:prstGeom>
        </xdr:spPr>
      </xdr:pic>
      <xdr:grpSp>
        <xdr:nvGrpSpPr>
          <xdr:cNvPr id="5" name="グループ化 4">
            <a:extLst>
              <a:ext uri="{FF2B5EF4-FFF2-40B4-BE49-F238E27FC236}">
                <a16:creationId xmlns:a16="http://schemas.microsoft.com/office/drawing/2014/main" id="{13EAAC30-A2CF-B212-96DE-1142EC724FB9}"/>
              </a:ext>
            </a:extLst>
          </xdr:cNvPr>
          <xdr:cNvGrpSpPr/>
        </xdr:nvGrpSpPr>
        <xdr:grpSpPr>
          <a:xfrm>
            <a:off x="9186778" y="4750047"/>
            <a:ext cx="219456" cy="814126"/>
            <a:chOff x="9212945" y="4758421"/>
            <a:chExt cx="219980" cy="824592"/>
          </a:xfrm>
        </xdr:grpSpPr>
        <xdr:grpSp>
          <xdr:nvGrpSpPr>
            <xdr:cNvPr id="20" name="グループ化 19">
              <a:extLst>
                <a:ext uri="{FF2B5EF4-FFF2-40B4-BE49-F238E27FC236}">
                  <a16:creationId xmlns:a16="http://schemas.microsoft.com/office/drawing/2014/main" id="{E429A228-323B-6B5B-8FD1-27CB2FB185D6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24" name="図 23">
                <a:extLst>
                  <a:ext uri="{FF2B5EF4-FFF2-40B4-BE49-F238E27FC236}">
                    <a16:creationId xmlns:a16="http://schemas.microsoft.com/office/drawing/2014/main" id="{66072BE3-A216-211E-18A7-450CBE1EDF3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25" name="図 24">
                <a:extLst>
                  <a:ext uri="{FF2B5EF4-FFF2-40B4-BE49-F238E27FC236}">
                    <a16:creationId xmlns:a16="http://schemas.microsoft.com/office/drawing/2014/main" id="{B4A33499-5660-74B9-D2FC-D4545091A0B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1" name="グループ化 20">
              <a:extLst>
                <a:ext uri="{FF2B5EF4-FFF2-40B4-BE49-F238E27FC236}">
                  <a16:creationId xmlns:a16="http://schemas.microsoft.com/office/drawing/2014/main" id="{C188D055-A610-687F-06D6-0432840D1FFD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32D4B2D6-219B-E94C-5AA7-AD0C8865E11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AADFED9A-F582-8DD3-7229-1832A7659F3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6" name="グループ化 5">
            <a:extLst>
              <a:ext uri="{FF2B5EF4-FFF2-40B4-BE49-F238E27FC236}">
                <a16:creationId xmlns:a16="http://schemas.microsoft.com/office/drawing/2014/main" id="{99F34CD1-CD94-622A-624C-21A7B60EDE76}"/>
              </a:ext>
            </a:extLst>
          </xdr:cNvPr>
          <xdr:cNvGrpSpPr/>
        </xdr:nvGrpSpPr>
        <xdr:grpSpPr>
          <a:xfrm>
            <a:off x="9175896" y="3940040"/>
            <a:ext cx="235331" cy="817718"/>
            <a:chOff x="9212945" y="4758421"/>
            <a:chExt cx="219980" cy="824592"/>
          </a:xfrm>
        </xdr:grpSpPr>
        <xdr:grpSp>
          <xdr:nvGrpSpPr>
            <xdr:cNvPr id="14" name="グループ化 13">
              <a:extLst>
                <a:ext uri="{FF2B5EF4-FFF2-40B4-BE49-F238E27FC236}">
                  <a16:creationId xmlns:a16="http://schemas.microsoft.com/office/drawing/2014/main" id="{39840EC7-316A-521E-34F9-84357CAB7C94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8" name="図 17">
                <a:extLst>
                  <a:ext uri="{FF2B5EF4-FFF2-40B4-BE49-F238E27FC236}">
                    <a16:creationId xmlns:a16="http://schemas.microsoft.com/office/drawing/2014/main" id="{0638610C-04BC-C753-9167-94E4A1EE2BB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6FD0442F-F6C2-5209-DC83-0D4FC63925C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15" name="グループ化 14">
              <a:extLst>
                <a:ext uri="{FF2B5EF4-FFF2-40B4-BE49-F238E27FC236}">
                  <a16:creationId xmlns:a16="http://schemas.microsoft.com/office/drawing/2014/main" id="{6E366654-64C6-339C-114B-FDD3772BF3E2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16" name="図 15">
                <a:extLst>
                  <a:ext uri="{FF2B5EF4-FFF2-40B4-BE49-F238E27FC236}">
                    <a16:creationId xmlns:a16="http://schemas.microsoft.com/office/drawing/2014/main" id="{F1215C45-4519-CB8C-8B22-388D3F21389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0D78208B-92DC-51A9-EC93-0B44C23D474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60956FE8-0BC1-2712-D688-A0C7745DBAC0}"/>
              </a:ext>
            </a:extLst>
          </xdr:cNvPr>
          <xdr:cNvGrpSpPr/>
        </xdr:nvGrpSpPr>
        <xdr:grpSpPr>
          <a:xfrm>
            <a:off x="9165464" y="3130138"/>
            <a:ext cx="232156" cy="810811"/>
            <a:chOff x="9212945" y="4758421"/>
            <a:chExt cx="219980" cy="824592"/>
          </a:xfrm>
        </xdr:grpSpPr>
        <xdr:grpSp>
          <xdr:nvGrpSpPr>
            <xdr:cNvPr id="8" name="グループ化 7">
              <a:extLst>
                <a:ext uri="{FF2B5EF4-FFF2-40B4-BE49-F238E27FC236}">
                  <a16:creationId xmlns:a16="http://schemas.microsoft.com/office/drawing/2014/main" id="{7D8851A7-A1FB-38CA-A3DC-CF80C5583465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2" name="図 11">
                <a:extLst>
                  <a:ext uri="{FF2B5EF4-FFF2-40B4-BE49-F238E27FC236}">
                    <a16:creationId xmlns:a16="http://schemas.microsoft.com/office/drawing/2014/main" id="{72ABB14D-E679-4E21-8731-825AC19EF57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3" name="図 12">
                <a:extLst>
                  <a:ext uri="{FF2B5EF4-FFF2-40B4-BE49-F238E27FC236}">
                    <a16:creationId xmlns:a16="http://schemas.microsoft.com/office/drawing/2014/main" id="{EFEEA11D-B579-C112-9698-0915B662C90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9" name="グループ化 8">
              <a:extLst>
                <a:ext uri="{FF2B5EF4-FFF2-40B4-BE49-F238E27FC236}">
                  <a16:creationId xmlns:a16="http://schemas.microsoft.com/office/drawing/2014/main" id="{347DE748-EC0E-5833-BDD1-36097E14A16F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10" name="図 9">
                <a:extLst>
                  <a:ext uri="{FF2B5EF4-FFF2-40B4-BE49-F238E27FC236}">
                    <a16:creationId xmlns:a16="http://schemas.microsoft.com/office/drawing/2014/main" id="{898970B2-5A96-8279-199E-B85DA333DE1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1" name="図 10">
                <a:extLst>
                  <a:ext uri="{FF2B5EF4-FFF2-40B4-BE49-F238E27FC236}">
                    <a16:creationId xmlns:a16="http://schemas.microsoft.com/office/drawing/2014/main" id="{7755F46E-A93C-03FB-D1D3-E352DDDE53A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</xdr:col>
      <xdr:colOff>38100</xdr:colOff>
      <xdr:row>27</xdr:row>
      <xdr:rowOff>38101</xdr:rowOff>
    </xdr:from>
    <xdr:to>
      <xdr:col>52</xdr:col>
      <xdr:colOff>6350</xdr:colOff>
      <xdr:row>48</xdr:row>
      <xdr:rowOff>21167</xdr:rowOff>
    </xdr:to>
    <xdr:sp macro="" textlink="">
      <xdr:nvSpPr>
        <xdr:cNvPr id="26" name="角丸四角形 78">
          <a:extLst>
            <a:ext uri="{FF2B5EF4-FFF2-40B4-BE49-F238E27FC236}">
              <a16:creationId xmlns:a16="http://schemas.microsoft.com/office/drawing/2014/main" id="{CCB12839-E1CA-4FE9-9FE3-44F85A762A3C}"/>
            </a:ext>
          </a:extLst>
        </xdr:cNvPr>
        <xdr:cNvSpPr/>
      </xdr:nvSpPr>
      <xdr:spPr>
        <a:xfrm>
          <a:off x="219075" y="4333876"/>
          <a:ext cx="9201150" cy="3878791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19</xdr:col>
      <xdr:colOff>25401</xdr:colOff>
      <xdr:row>8</xdr:row>
      <xdr:rowOff>73025</xdr:rowOff>
    </xdr:from>
    <xdr:to>
      <xdr:col>32</xdr:col>
      <xdr:colOff>170393</xdr:colOff>
      <xdr:row>10</xdr:row>
      <xdr:rowOff>9525</xdr:rowOff>
    </xdr:to>
    <xdr:grpSp>
      <xdr:nvGrpSpPr>
        <xdr:cNvPr id="27" name="グループ化 26">
          <a:extLst>
            <a:ext uri="{FF2B5EF4-FFF2-40B4-BE49-F238E27FC236}">
              <a16:creationId xmlns:a16="http://schemas.microsoft.com/office/drawing/2014/main" id="{386B7B8A-8C2E-436C-994A-F02EB116C5E6}"/>
            </a:ext>
          </a:extLst>
        </xdr:cNvPr>
        <xdr:cNvGrpSpPr/>
      </xdr:nvGrpSpPr>
      <xdr:grpSpPr>
        <a:xfrm>
          <a:off x="3446993" y="1247775"/>
          <a:ext cx="2480733" cy="250825"/>
          <a:chOff x="3101976" y="1619250"/>
          <a:chExt cx="2498725" cy="304800"/>
        </a:xfrm>
      </xdr:grpSpPr>
      <xdr:sp macro="" textlink="">
        <xdr:nvSpPr>
          <xdr:cNvPr id="28" name="四角形: 角を丸くする 27">
            <a:extLst>
              <a:ext uri="{FF2B5EF4-FFF2-40B4-BE49-F238E27FC236}">
                <a16:creationId xmlns:a16="http://schemas.microsoft.com/office/drawing/2014/main" id="{9C86BD4A-FF70-E949-2318-4E9B7C3D4475}"/>
              </a:ext>
            </a:extLst>
          </xdr:cNvPr>
          <xdr:cNvSpPr/>
        </xdr:nvSpPr>
        <xdr:spPr>
          <a:xfrm>
            <a:off x="3101976" y="1619250"/>
            <a:ext cx="2498725" cy="304800"/>
          </a:xfrm>
          <a:prstGeom prst="roundRect">
            <a:avLst/>
          </a:prstGeom>
          <a:solidFill>
            <a:schemeClr val="bg1">
              <a:lumMod val="9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l">
              <a:lnSpc>
                <a:spcPts val="900"/>
              </a:lnSpc>
            </a:pPr>
            <a:r>
              <a:rPr kumimoji="1" lang="ja-JP" altLang="en-US" sz="800">
                <a:solidFill>
                  <a:schemeClr val="bg1">
                    <a:lumMod val="6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入力して検索</a:t>
            </a:r>
            <a:endParaRPr kumimoji="1" lang="en-US" altLang="ja-JP" sz="800">
              <a:solidFill>
                <a:schemeClr val="bg1">
                  <a:lumMod val="6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pic>
        <xdr:nvPicPr>
          <xdr:cNvPr id="29" name="図 28">
            <a:extLst>
              <a:ext uri="{FF2B5EF4-FFF2-40B4-BE49-F238E27FC236}">
                <a16:creationId xmlns:a16="http://schemas.microsoft.com/office/drawing/2014/main" id="{36975558-65AA-6181-9403-2695AF09D93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5334000" y="1638300"/>
            <a:ext cx="181000" cy="209579"/>
          </a:xfrm>
          <a:prstGeom prst="rect">
            <a:avLst/>
          </a:prstGeom>
        </xdr:spPr>
      </xdr:pic>
    </xdr:grpSp>
    <xdr:clientData/>
  </xdr:twoCellAnchor>
  <xdr:twoCellAnchor>
    <xdr:from>
      <xdr:col>51</xdr:col>
      <xdr:colOff>55356</xdr:colOff>
      <xdr:row>13</xdr:row>
      <xdr:rowOff>47625</xdr:rowOff>
    </xdr:from>
    <xdr:to>
      <xdr:col>52</xdr:col>
      <xdr:colOff>1584</xdr:colOff>
      <xdr:row>15</xdr:row>
      <xdr:rowOff>38099</xdr:rowOff>
    </xdr:to>
    <xdr:grpSp>
      <xdr:nvGrpSpPr>
        <xdr:cNvPr id="30" name="グループ化 29">
          <a:extLst>
            <a:ext uri="{FF2B5EF4-FFF2-40B4-BE49-F238E27FC236}">
              <a16:creationId xmlns:a16="http://schemas.microsoft.com/office/drawing/2014/main" id="{97C61AB9-37FC-42C7-B9B9-64F8EFADDBD0}"/>
            </a:ext>
          </a:extLst>
        </xdr:cNvPr>
        <xdr:cNvGrpSpPr/>
      </xdr:nvGrpSpPr>
      <xdr:grpSpPr>
        <a:xfrm>
          <a:off x="9231106" y="2076450"/>
          <a:ext cx="126145" cy="438149"/>
          <a:chOff x="9285081" y="2111375"/>
          <a:chExt cx="127203" cy="431799"/>
        </a:xfrm>
      </xdr:grpSpPr>
      <xdr:pic>
        <xdr:nvPicPr>
          <xdr:cNvPr id="31" name="図 30">
            <a:extLst>
              <a:ext uri="{FF2B5EF4-FFF2-40B4-BE49-F238E27FC236}">
                <a16:creationId xmlns:a16="http://schemas.microsoft.com/office/drawing/2014/main" id="{2DD22C38-61E3-D64A-BA37-92D6C054C13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288243" y="2111375"/>
            <a:ext cx="104530" cy="318001"/>
          </a:xfrm>
          <a:prstGeom prst="rect">
            <a:avLst/>
          </a:prstGeom>
        </xdr:spPr>
      </xdr:pic>
      <xdr:pic>
        <xdr:nvPicPr>
          <xdr:cNvPr id="32" name="図 31">
            <a:extLst>
              <a:ext uri="{FF2B5EF4-FFF2-40B4-BE49-F238E27FC236}">
                <a16:creationId xmlns:a16="http://schemas.microsoft.com/office/drawing/2014/main" id="{86F3DB51-F100-D6EF-21A7-23D26A700187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285081" y="2466926"/>
            <a:ext cx="118814" cy="76248"/>
          </a:xfrm>
          <a:prstGeom prst="rect">
            <a:avLst/>
          </a:prstGeom>
        </xdr:spPr>
      </xdr:pic>
      <xdr:grpSp>
        <xdr:nvGrpSpPr>
          <xdr:cNvPr id="33" name="グループ化 32">
            <a:extLst>
              <a:ext uri="{FF2B5EF4-FFF2-40B4-BE49-F238E27FC236}">
                <a16:creationId xmlns:a16="http://schemas.microsoft.com/office/drawing/2014/main" id="{D1C14854-714F-6D26-BFAC-D341EA792D28}"/>
              </a:ext>
            </a:extLst>
          </xdr:cNvPr>
          <xdr:cNvGrpSpPr/>
        </xdr:nvGrpSpPr>
        <xdr:grpSpPr>
          <a:xfrm>
            <a:off x="9299139" y="2297765"/>
            <a:ext cx="113145" cy="196420"/>
            <a:chOff x="9212945" y="4758421"/>
            <a:chExt cx="219980" cy="824592"/>
          </a:xfrm>
        </xdr:grpSpPr>
        <xdr:grpSp>
          <xdr:nvGrpSpPr>
            <xdr:cNvPr id="34" name="グループ化 33">
              <a:extLst>
                <a:ext uri="{FF2B5EF4-FFF2-40B4-BE49-F238E27FC236}">
                  <a16:creationId xmlns:a16="http://schemas.microsoft.com/office/drawing/2014/main" id="{080B57D6-BB66-B55C-9316-4EF1D447A223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38" name="図 37">
                <a:extLst>
                  <a:ext uri="{FF2B5EF4-FFF2-40B4-BE49-F238E27FC236}">
                    <a16:creationId xmlns:a16="http://schemas.microsoft.com/office/drawing/2014/main" id="{7E9F7761-B201-BE70-8EDD-42BC28E150B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9" name="図 38">
                <a:extLst>
                  <a:ext uri="{FF2B5EF4-FFF2-40B4-BE49-F238E27FC236}">
                    <a16:creationId xmlns:a16="http://schemas.microsoft.com/office/drawing/2014/main" id="{E96468C8-1B33-794A-057D-4FF76C48ED0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35" name="グループ化 34">
              <a:extLst>
                <a:ext uri="{FF2B5EF4-FFF2-40B4-BE49-F238E27FC236}">
                  <a16:creationId xmlns:a16="http://schemas.microsoft.com/office/drawing/2014/main" id="{4518C059-77D5-F231-B9E9-B4B7398B6BC6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36" name="図 35">
                <a:extLst>
                  <a:ext uri="{FF2B5EF4-FFF2-40B4-BE49-F238E27FC236}">
                    <a16:creationId xmlns:a16="http://schemas.microsoft.com/office/drawing/2014/main" id="{073C6081-7A93-52D9-B89C-66815C8267B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7" name="図 36">
                <a:extLst>
                  <a:ext uri="{FF2B5EF4-FFF2-40B4-BE49-F238E27FC236}">
                    <a16:creationId xmlns:a16="http://schemas.microsoft.com/office/drawing/2014/main" id="{D364E551-AE0A-9B72-9776-B12160F418B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14</xdr:col>
      <xdr:colOff>123826</xdr:colOff>
      <xdr:row>28</xdr:row>
      <xdr:rowOff>60323</xdr:rowOff>
    </xdr:from>
    <xdr:to>
      <xdr:col>17</xdr:col>
      <xdr:colOff>42334</xdr:colOff>
      <xdr:row>29</xdr:row>
      <xdr:rowOff>105833</xdr:rowOff>
    </xdr:to>
    <xdr:sp macro="" textlink="">
      <xdr:nvSpPr>
        <xdr:cNvPr id="40" name="正方形/長方形 39">
          <a:extLst>
            <a:ext uri="{FF2B5EF4-FFF2-40B4-BE49-F238E27FC236}">
              <a16:creationId xmlns:a16="http://schemas.microsoft.com/office/drawing/2014/main" id="{2F5CCCCE-1EDE-4318-BF6B-CA440B27E430}"/>
            </a:ext>
          </a:extLst>
        </xdr:cNvPr>
        <xdr:cNvSpPr/>
      </xdr:nvSpPr>
      <xdr:spPr>
        <a:xfrm>
          <a:off x="2654301" y="4556123"/>
          <a:ext cx="467783" cy="24236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49741</xdr:colOff>
      <xdr:row>22</xdr:row>
      <xdr:rowOff>144991</xdr:rowOff>
    </xdr:from>
    <xdr:to>
      <xdr:col>17</xdr:col>
      <xdr:colOff>116417</xdr:colOff>
      <xdr:row>24</xdr:row>
      <xdr:rowOff>105833</xdr:rowOff>
    </xdr:to>
    <xdr:sp macro="" textlink="">
      <xdr:nvSpPr>
        <xdr:cNvPr id="41" name="線吹き出し 1 (枠付き) 12">
          <a:extLst>
            <a:ext uri="{FF2B5EF4-FFF2-40B4-BE49-F238E27FC236}">
              <a16:creationId xmlns:a16="http://schemas.microsoft.com/office/drawing/2014/main" id="{3DA030B1-7878-4B56-9AA9-BF7F4DFC3680}"/>
            </a:ext>
          </a:extLst>
        </xdr:cNvPr>
        <xdr:cNvSpPr/>
      </xdr:nvSpPr>
      <xdr:spPr>
        <a:xfrm>
          <a:off x="1494366" y="3875616"/>
          <a:ext cx="1698626" cy="284692"/>
        </a:xfrm>
        <a:prstGeom prst="borderCallout1">
          <a:avLst>
            <a:gd name="adj1" fmla="val 99600"/>
            <a:gd name="adj2" fmla="val 1511"/>
            <a:gd name="adj3" fmla="val 155734"/>
            <a:gd name="adj4" fmla="val 146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．環境証明書申請状況詳細</a:t>
          </a:r>
        </a:p>
      </xdr:txBody>
    </xdr:sp>
    <xdr:clientData/>
  </xdr:twoCellAnchor>
  <xdr:twoCellAnchor>
    <xdr:from>
      <xdr:col>32</xdr:col>
      <xdr:colOff>116417</xdr:colOff>
      <xdr:row>28</xdr:row>
      <xdr:rowOff>87842</xdr:rowOff>
    </xdr:from>
    <xdr:to>
      <xdr:col>35</xdr:col>
      <xdr:colOff>39158</xdr:colOff>
      <xdr:row>29</xdr:row>
      <xdr:rowOff>110068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69F74F84-EC73-48B8-8F60-F7D4675C0AD2}"/>
            </a:ext>
          </a:extLst>
        </xdr:cNvPr>
        <xdr:cNvSpPr/>
      </xdr:nvSpPr>
      <xdr:spPr>
        <a:xfrm>
          <a:off x="5907617" y="4580467"/>
          <a:ext cx="465666" cy="2222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1.2</a:t>
          </a:r>
        </a:p>
      </xdr:txBody>
    </xdr:sp>
    <xdr:clientData/>
  </xdr:twoCellAnchor>
  <xdr:twoCellAnchor>
    <xdr:from>
      <xdr:col>14</xdr:col>
      <xdr:colOff>127000</xdr:colOff>
      <xdr:row>30</xdr:row>
      <xdr:rowOff>148166</xdr:rowOff>
    </xdr:from>
    <xdr:to>
      <xdr:col>17</xdr:col>
      <xdr:colOff>55033</xdr:colOff>
      <xdr:row>31</xdr:row>
      <xdr:rowOff>193676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F3777CBF-2AC1-4F35-AD55-3BA0298FEFCA}"/>
            </a:ext>
          </a:extLst>
        </xdr:cNvPr>
        <xdr:cNvSpPr/>
      </xdr:nvSpPr>
      <xdr:spPr>
        <a:xfrm>
          <a:off x="2657475" y="5040841"/>
          <a:ext cx="474133" cy="25188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129116</xdr:colOff>
      <xdr:row>30</xdr:row>
      <xdr:rowOff>175685</xdr:rowOff>
    </xdr:from>
    <xdr:to>
      <xdr:col>35</xdr:col>
      <xdr:colOff>45507</xdr:colOff>
      <xdr:row>31</xdr:row>
      <xdr:rowOff>197911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9072E474-5020-41F1-8EBE-7E3909C7096E}"/>
            </a:ext>
          </a:extLst>
        </xdr:cNvPr>
        <xdr:cNvSpPr/>
      </xdr:nvSpPr>
      <xdr:spPr>
        <a:xfrm>
          <a:off x="5917141" y="5074710"/>
          <a:ext cx="465666" cy="2222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1.4</a:t>
          </a:r>
        </a:p>
      </xdr:txBody>
    </xdr:sp>
    <xdr:clientData/>
  </xdr:twoCellAnchor>
  <xdr:twoCellAnchor>
    <xdr:from>
      <xdr:col>14</xdr:col>
      <xdr:colOff>116416</xdr:colOff>
      <xdr:row>34</xdr:row>
      <xdr:rowOff>21167</xdr:rowOff>
    </xdr:from>
    <xdr:to>
      <xdr:col>17</xdr:col>
      <xdr:colOff>44449</xdr:colOff>
      <xdr:row>35</xdr:row>
      <xdr:rowOff>66677</xdr:rowOff>
    </xdr:to>
    <xdr:sp macro="" textlink="">
      <xdr:nvSpPr>
        <xdr:cNvPr id="45" name="正方形/長方形 44">
          <a:extLst>
            <a:ext uri="{FF2B5EF4-FFF2-40B4-BE49-F238E27FC236}">
              <a16:creationId xmlns:a16="http://schemas.microsoft.com/office/drawing/2014/main" id="{82D09D07-7950-4F11-A545-8A11334B90C4}"/>
            </a:ext>
          </a:extLst>
        </xdr:cNvPr>
        <xdr:cNvSpPr/>
      </xdr:nvSpPr>
      <xdr:spPr>
        <a:xfrm>
          <a:off x="2650066" y="5717117"/>
          <a:ext cx="474133" cy="24236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115357</xdr:colOff>
      <xdr:row>34</xdr:row>
      <xdr:rowOff>48686</xdr:rowOff>
    </xdr:from>
    <xdr:to>
      <xdr:col>35</xdr:col>
      <xdr:colOff>34923</xdr:colOff>
      <xdr:row>35</xdr:row>
      <xdr:rowOff>70912</xdr:rowOff>
    </xdr:to>
    <xdr:sp macro="" textlink="">
      <xdr:nvSpPr>
        <xdr:cNvPr id="46" name="正方形/長方形 45">
          <a:extLst>
            <a:ext uri="{FF2B5EF4-FFF2-40B4-BE49-F238E27FC236}">
              <a16:creationId xmlns:a16="http://schemas.microsoft.com/office/drawing/2014/main" id="{66FA5191-2C78-4790-942C-906DEB4F639B}"/>
            </a:ext>
          </a:extLst>
        </xdr:cNvPr>
        <xdr:cNvSpPr/>
      </xdr:nvSpPr>
      <xdr:spPr>
        <a:xfrm>
          <a:off x="5906557" y="5741461"/>
          <a:ext cx="459316" cy="2222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1.6</a:t>
          </a:r>
        </a:p>
      </xdr:txBody>
    </xdr:sp>
    <xdr:clientData/>
  </xdr:twoCellAnchor>
  <xdr:twoCellAnchor>
    <xdr:from>
      <xdr:col>14</xdr:col>
      <xdr:colOff>122765</xdr:colOff>
      <xdr:row>36</xdr:row>
      <xdr:rowOff>148169</xdr:rowOff>
    </xdr:from>
    <xdr:to>
      <xdr:col>17</xdr:col>
      <xdr:colOff>47623</xdr:colOff>
      <xdr:row>38</xdr:row>
      <xdr:rowOff>5296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CA8D6CD9-43B6-4120-A88A-7CB6770EAD19}"/>
            </a:ext>
          </a:extLst>
        </xdr:cNvPr>
        <xdr:cNvSpPr/>
      </xdr:nvSpPr>
      <xdr:spPr>
        <a:xfrm>
          <a:off x="2659590" y="6240994"/>
          <a:ext cx="467783" cy="26352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124881</xdr:colOff>
      <xdr:row>36</xdr:row>
      <xdr:rowOff>142879</xdr:rowOff>
    </xdr:from>
    <xdr:to>
      <xdr:col>35</xdr:col>
      <xdr:colOff>41272</xdr:colOff>
      <xdr:row>37</xdr:row>
      <xdr:rowOff>165105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57BF1E07-97C6-4AA0-A55C-581D5BAD65C4}"/>
            </a:ext>
          </a:extLst>
        </xdr:cNvPr>
        <xdr:cNvSpPr/>
      </xdr:nvSpPr>
      <xdr:spPr>
        <a:xfrm>
          <a:off x="5912906" y="6235704"/>
          <a:ext cx="462491" cy="2222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1.8</a:t>
          </a:r>
        </a:p>
      </xdr:txBody>
    </xdr:sp>
    <xdr:clientData/>
  </xdr:twoCellAnchor>
  <xdr:twoCellAnchor>
    <xdr:from>
      <xdr:col>14</xdr:col>
      <xdr:colOff>106891</xdr:colOff>
      <xdr:row>39</xdr:row>
      <xdr:rowOff>131234</xdr:rowOff>
    </xdr:from>
    <xdr:to>
      <xdr:col>17</xdr:col>
      <xdr:colOff>41274</xdr:colOff>
      <xdr:row>41</xdr:row>
      <xdr:rowOff>11644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611A321E-AC48-4F25-AA7C-56104B6AD36F}"/>
            </a:ext>
          </a:extLst>
        </xdr:cNvPr>
        <xdr:cNvSpPr/>
      </xdr:nvSpPr>
      <xdr:spPr>
        <a:xfrm>
          <a:off x="2637366" y="6827309"/>
          <a:ext cx="480483" cy="23918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105832</xdr:colOff>
      <xdr:row>39</xdr:row>
      <xdr:rowOff>158753</xdr:rowOff>
    </xdr:from>
    <xdr:to>
      <xdr:col>35</xdr:col>
      <xdr:colOff>28573</xdr:colOff>
      <xdr:row>41</xdr:row>
      <xdr:rowOff>19054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246794D0-6FF4-46A3-8395-EA92673D5CC7}"/>
            </a:ext>
          </a:extLst>
        </xdr:cNvPr>
        <xdr:cNvSpPr/>
      </xdr:nvSpPr>
      <xdr:spPr>
        <a:xfrm>
          <a:off x="5893857" y="6858003"/>
          <a:ext cx="472016" cy="2190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1.10</a:t>
          </a:r>
        </a:p>
      </xdr:txBody>
    </xdr:sp>
    <xdr:clientData/>
  </xdr:twoCellAnchor>
  <xdr:twoCellAnchor>
    <xdr:from>
      <xdr:col>14</xdr:col>
      <xdr:colOff>119590</xdr:colOff>
      <xdr:row>42</xdr:row>
      <xdr:rowOff>138645</xdr:rowOff>
    </xdr:from>
    <xdr:to>
      <xdr:col>17</xdr:col>
      <xdr:colOff>47623</xdr:colOff>
      <xdr:row>44</xdr:row>
      <xdr:rowOff>89963</xdr:rowOff>
    </xdr:to>
    <xdr:sp macro="" textlink="">
      <xdr:nvSpPr>
        <xdr:cNvPr id="51" name="正方形/長方形 50">
          <a:extLst>
            <a:ext uri="{FF2B5EF4-FFF2-40B4-BE49-F238E27FC236}">
              <a16:creationId xmlns:a16="http://schemas.microsoft.com/office/drawing/2014/main" id="{DDE57F61-D4EE-4AD6-A927-A6732A7783E8}"/>
            </a:ext>
          </a:extLst>
        </xdr:cNvPr>
        <xdr:cNvSpPr/>
      </xdr:nvSpPr>
      <xdr:spPr>
        <a:xfrm>
          <a:off x="2656415" y="7361770"/>
          <a:ext cx="470958" cy="2688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115356</xdr:colOff>
      <xdr:row>42</xdr:row>
      <xdr:rowOff>130180</xdr:rowOff>
    </xdr:from>
    <xdr:to>
      <xdr:col>35</xdr:col>
      <xdr:colOff>31747</xdr:colOff>
      <xdr:row>44</xdr:row>
      <xdr:rowOff>39164</xdr:rowOff>
    </xdr:to>
    <xdr:sp macro="" textlink="">
      <xdr:nvSpPr>
        <xdr:cNvPr id="52" name="正方形/長方形 51">
          <a:extLst>
            <a:ext uri="{FF2B5EF4-FFF2-40B4-BE49-F238E27FC236}">
              <a16:creationId xmlns:a16="http://schemas.microsoft.com/office/drawing/2014/main" id="{77A48C8B-93FC-4200-92ED-CE1F0105E6F8}"/>
            </a:ext>
          </a:extLst>
        </xdr:cNvPr>
        <xdr:cNvSpPr/>
      </xdr:nvSpPr>
      <xdr:spPr>
        <a:xfrm>
          <a:off x="5906556" y="7350130"/>
          <a:ext cx="456141" cy="23283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1.12</a:t>
          </a:r>
        </a:p>
      </xdr:txBody>
    </xdr:sp>
    <xdr:clientData/>
  </xdr:twoCellAnchor>
  <xdr:twoCellAnchor>
    <xdr:from>
      <xdr:col>14</xdr:col>
      <xdr:colOff>137584</xdr:colOff>
      <xdr:row>45</xdr:row>
      <xdr:rowOff>114298</xdr:rowOff>
    </xdr:from>
    <xdr:to>
      <xdr:col>17</xdr:col>
      <xdr:colOff>62442</xdr:colOff>
      <xdr:row>47</xdr:row>
      <xdr:rowOff>62441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DAC0FEE8-4405-4549-80B4-4A5223FCE21D}"/>
            </a:ext>
          </a:extLst>
        </xdr:cNvPr>
        <xdr:cNvSpPr/>
      </xdr:nvSpPr>
      <xdr:spPr>
        <a:xfrm>
          <a:off x="2674409" y="7820023"/>
          <a:ext cx="467783" cy="27516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130175</xdr:colOff>
      <xdr:row>45</xdr:row>
      <xdr:rowOff>105833</xdr:rowOff>
    </xdr:from>
    <xdr:to>
      <xdr:col>35</xdr:col>
      <xdr:colOff>46566</xdr:colOff>
      <xdr:row>47</xdr:row>
      <xdr:rowOff>11642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91CFA55E-43BE-4EBC-9AF0-E6B2A92A42EE}"/>
            </a:ext>
          </a:extLst>
        </xdr:cNvPr>
        <xdr:cNvSpPr/>
      </xdr:nvSpPr>
      <xdr:spPr>
        <a:xfrm>
          <a:off x="5921375" y="7808383"/>
          <a:ext cx="462491" cy="22965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1.14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540" t="str">
        <f ca="1">TEXT(変更来歴!AT2,"yyyy年 mm月 dd日") &amp; " " &amp; 変更来歴!AT3</f>
        <v>2026年 05月 21日 ｒ1.1</v>
      </c>
      <c r="C22" s="541"/>
      <c r="D22" s="541"/>
      <c r="E22" s="541"/>
      <c r="F22" s="541"/>
      <c r="G22" s="541"/>
      <c r="H22" s="541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542" t="s">
        <v>28</v>
      </c>
      <c r="D28" s="542"/>
      <c r="E28" s="542"/>
      <c r="F28" s="542" t="s">
        <v>0</v>
      </c>
      <c r="G28" s="542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543"/>
      <c r="D33" s="543"/>
      <c r="E33" s="543"/>
      <c r="F33" s="543"/>
      <c r="G33" s="543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538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539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538"/>
    </row>
    <row r="43" spans="3:20" s="8" customFormat="1" ht="14.25" customHeight="1">
      <c r="K43" s="17"/>
      <c r="L43" s="12"/>
      <c r="N43" s="12"/>
      <c r="R43" s="14"/>
      <c r="S43" s="19"/>
      <c r="T43" s="538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538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538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538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538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538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539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538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539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538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539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538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539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538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539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538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539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538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539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538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539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538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539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538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539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538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539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538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539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538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539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538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539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538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539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538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539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538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539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538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539"/>
    </row>
  </sheetData>
  <mergeCells count="27">
    <mergeCell ref="B22:H22"/>
    <mergeCell ref="T42:T43"/>
    <mergeCell ref="C28:E28"/>
    <mergeCell ref="F28:G28"/>
    <mergeCell ref="C33:E33"/>
    <mergeCell ref="F33:G33"/>
    <mergeCell ref="T38:T39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T118:T119"/>
    <mergeCell ref="T122:T123"/>
    <mergeCell ref="T94:T95"/>
    <mergeCell ref="T98:T99"/>
    <mergeCell ref="T102:T103"/>
    <mergeCell ref="T106:T107"/>
    <mergeCell ref="T110:T111"/>
    <mergeCell ref="T114:T115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568" t="s">
        <v>4</v>
      </c>
      <c r="B1" s="568"/>
      <c r="C1" s="568"/>
      <c r="D1" s="568"/>
      <c r="E1" s="568"/>
      <c r="F1" s="568"/>
      <c r="G1" s="568"/>
      <c r="H1" s="568"/>
      <c r="I1" s="555" t="s">
        <v>5</v>
      </c>
      <c r="J1" s="555"/>
      <c r="K1" s="555"/>
      <c r="L1" s="555"/>
      <c r="M1" s="566" t="s">
        <v>6</v>
      </c>
      <c r="N1" s="566"/>
      <c r="O1" s="566"/>
      <c r="P1" s="566"/>
      <c r="Q1" s="566"/>
      <c r="R1" s="566"/>
      <c r="S1" s="566"/>
      <c r="T1" s="566"/>
      <c r="U1" s="566"/>
      <c r="V1" s="566"/>
      <c r="W1" s="566"/>
      <c r="X1" s="555" t="s">
        <v>7</v>
      </c>
      <c r="Y1" s="555"/>
      <c r="Z1" s="555"/>
      <c r="AA1" s="570" t="s">
        <v>319</v>
      </c>
      <c r="AB1" s="570"/>
      <c r="AC1" s="570"/>
      <c r="AD1" s="570"/>
      <c r="AE1" s="570"/>
      <c r="AF1" s="570"/>
      <c r="AG1" s="570"/>
      <c r="AH1" s="570"/>
      <c r="AI1" s="570"/>
      <c r="AJ1" s="570"/>
      <c r="AK1" s="544" t="s">
        <v>8</v>
      </c>
      <c r="AL1" s="544"/>
      <c r="AM1" s="544"/>
      <c r="AN1" s="546" t="s">
        <v>172</v>
      </c>
      <c r="AO1" s="546"/>
      <c r="AP1" s="546"/>
      <c r="AQ1" s="544" t="s">
        <v>9</v>
      </c>
      <c r="AR1" s="544"/>
      <c r="AS1" s="544"/>
      <c r="AT1" s="547">
        <f>AL7</f>
        <v>46125</v>
      </c>
      <c r="AU1" s="547"/>
      <c r="AV1" s="547"/>
      <c r="AW1" s="547"/>
      <c r="AX1" s="551" t="s">
        <v>10</v>
      </c>
      <c r="AY1" s="552"/>
      <c r="AZ1" s="552"/>
      <c r="BA1" s="553"/>
    </row>
    <row r="2" spans="1:53">
      <c r="A2" s="554" t="s">
        <v>16</v>
      </c>
      <c r="B2" s="554"/>
      <c r="C2" s="554"/>
      <c r="D2" s="554"/>
      <c r="E2" s="554"/>
      <c r="F2" s="554"/>
      <c r="G2" s="554"/>
      <c r="H2" s="554"/>
      <c r="I2" s="555" t="s">
        <v>11</v>
      </c>
      <c r="J2" s="555"/>
      <c r="K2" s="555"/>
      <c r="L2" s="555"/>
      <c r="M2" s="556" t="s">
        <v>324</v>
      </c>
      <c r="N2" s="557"/>
      <c r="O2" s="557"/>
      <c r="P2" s="557"/>
      <c r="Q2" s="557"/>
      <c r="R2" s="557"/>
      <c r="S2" s="557"/>
      <c r="T2" s="557"/>
      <c r="U2" s="557"/>
      <c r="V2" s="557"/>
      <c r="W2" s="558"/>
      <c r="X2" s="555"/>
      <c r="Y2" s="555"/>
      <c r="Z2" s="555"/>
      <c r="AA2" s="570"/>
      <c r="AB2" s="570"/>
      <c r="AC2" s="570"/>
      <c r="AD2" s="570"/>
      <c r="AE2" s="570"/>
      <c r="AF2" s="570"/>
      <c r="AG2" s="570"/>
      <c r="AH2" s="570"/>
      <c r="AI2" s="570"/>
      <c r="AJ2" s="570"/>
      <c r="AK2" s="544" t="s">
        <v>12</v>
      </c>
      <c r="AL2" s="544"/>
      <c r="AM2" s="544"/>
      <c r="AN2" s="546" t="s">
        <v>172</v>
      </c>
      <c r="AO2" s="546"/>
      <c r="AP2" s="546"/>
      <c r="AQ2" s="544" t="s">
        <v>13</v>
      </c>
      <c r="AR2" s="544"/>
      <c r="AS2" s="544"/>
      <c r="AT2" s="547">
        <v>46163</v>
      </c>
      <c r="AU2" s="547"/>
      <c r="AV2" s="547"/>
      <c r="AW2" s="547"/>
      <c r="AX2" s="559" t="s">
        <v>30</v>
      </c>
      <c r="AY2" s="560"/>
      <c r="AZ2" s="560"/>
      <c r="BA2" s="561"/>
    </row>
    <row r="3" spans="1:53" ht="12" customHeight="1">
      <c r="A3" s="565" t="s">
        <v>26</v>
      </c>
      <c r="B3" s="565"/>
      <c r="C3" s="565"/>
      <c r="D3" s="565"/>
      <c r="E3" s="565"/>
      <c r="F3" s="565"/>
      <c r="G3" s="565"/>
      <c r="H3" s="565"/>
      <c r="I3" s="555" t="s">
        <v>14</v>
      </c>
      <c r="J3" s="555"/>
      <c r="K3" s="555"/>
      <c r="L3" s="555"/>
      <c r="M3" s="566"/>
      <c r="N3" s="566"/>
      <c r="O3" s="566"/>
      <c r="P3" s="566"/>
      <c r="Q3" s="566"/>
      <c r="R3" s="566"/>
      <c r="S3" s="566"/>
      <c r="T3" s="566"/>
      <c r="U3" s="566"/>
      <c r="V3" s="566"/>
      <c r="W3" s="566"/>
      <c r="X3" s="555" t="s">
        <v>27</v>
      </c>
      <c r="Y3" s="555"/>
      <c r="Z3" s="555"/>
      <c r="AA3" s="567" t="s">
        <v>320</v>
      </c>
      <c r="AB3" s="567"/>
      <c r="AC3" s="567"/>
      <c r="AD3" s="567"/>
      <c r="AE3" s="567"/>
      <c r="AF3" s="567"/>
      <c r="AG3" s="567"/>
      <c r="AH3" s="567"/>
      <c r="AI3" s="567"/>
      <c r="AJ3" s="567"/>
      <c r="AK3" s="567"/>
      <c r="AL3" s="567"/>
      <c r="AM3" s="567"/>
      <c r="AN3" s="567"/>
      <c r="AO3" s="567"/>
      <c r="AP3" s="567"/>
      <c r="AQ3" s="544" t="s">
        <v>15</v>
      </c>
      <c r="AR3" s="544"/>
      <c r="AS3" s="544"/>
      <c r="AT3" s="545" t="str">
        <f ca="1">INDIRECT("A" &amp; COUNTA(A7:A39) + 6)</f>
        <v>ｒ1.1</v>
      </c>
      <c r="AU3" s="545"/>
      <c r="AV3" s="545"/>
      <c r="AW3" s="545"/>
      <c r="AX3" s="562"/>
      <c r="AY3" s="563"/>
      <c r="AZ3" s="563"/>
      <c r="BA3" s="564"/>
    </row>
    <row r="4" spans="1:53" ht="5.9" customHeight="1"/>
    <row r="5" spans="1:53" ht="14">
      <c r="A5" s="569" t="s">
        <v>25</v>
      </c>
      <c r="B5" s="569"/>
      <c r="C5" s="569"/>
      <c r="D5" s="569"/>
      <c r="E5" s="569"/>
      <c r="F5" s="569"/>
      <c r="G5" s="569"/>
      <c r="H5" s="569"/>
      <c r="I5" s="569"/>
      <c r="J5" s="569"/>
      <c r="K5" s="569"/>
      <c r="L5" s="569"/>
      <c r="M5" s="569"/>
      <c r="N5" s="569"/>
      <c r="O5" s="569"/>
      <c r="P5" s="569"/>
      <c r="Q5" s="569"/>
      <c r="R5" s="569"/>
      <c r="S5" s="569"/>
      <c r="T5" s="569"/>
      <c r="U5" s="569"/>
      <c r="V5" s="569"/>
      <c r="W5" s="569"/>
      <c r="X5" s="569"/>
      <c r="Y5" s="569"/>
      <c r="Z5" s="569"/>
      <c r="AA5" s="569"/>
      <c r="AB5" s="569"/>
      <c r="AC5" s="569"/>
      <c r="AD5" s="569"/>
      <c r="AE5" s="569"/>
      <c r="AF5" s="569"/>
      <c r="AG5" s="569"/>
      <c r="AH5" s="569"/>
      <c r="AI5" s="569"/>
      <c r="AJ5" s="569"/>
      <c r="AK5" s="569"/>
      <c r="AL5" s="569"/>
      <c r="AM5" s="569"/>
      <c r="AN5" s="569"/>
      <c r="AO5" s="569"/>
      <c r="AP5" s="569"/>
      <c r="AQ5" s="569"/>
      <c r="AR5" s="569"/>
      <c r="AS5" s="569"/>
      <c r="AT5" s="569"/>
      <c r="AU5" s="569"/>
      <c r="AV5" s="569"/>
      <c r="AW5" s="569"/>
      <c r="AX5" s="569"/>
      <c r="AY5" s="569"/>
      <c r="AZ5" s="569"/>
      <c r="BA5" s="569"/>
    </row>
    <row r="6" spans="1:53">
      <c r="A6" s="548" t="s">
        <v>24</v>
      </c>
      <c r="B6" s="549"/>
      <c r="C6" s="550" t="s">
        <v>17</v>
      </c>
      <c r="D6" s="550"/>
      <c r="E6" s="550"/>
      <c r="F6" s="550"/>
      <c r="G6" s="550"/>
      <c r="H6" s="550"/>
      <c r="I6" s="550"/>
      <c r="J6" s="550"/>
      <c r="K6" s="550"/>
      <c r="L6" s="550"/>
      <c r="M6" s="550"/>
      <c r="N6" s="550"/>
      <c r="O6" s="550"/>
      <c r="P6" s="550"/>
      <c r="Q6" s="550" t="s">
        <v>18</v>
      </c>
      <c r="R6" s="550"/>
      <c r="S6" s="550"/>
      <c r="T6" s="550"/>
      <c r="U6" s="550"/>
      <c r="V6" s="550"/>
      <c r="W6" s="550"/>
      <c r="X6" s="550"/>
      <c r="Y6" s="550"/>
      <c r="Z6" s="550"/>
      <c r="AA6" s="550"/>
      <c r="AB6" s="550"/>
      <c r="AC6" s="550"/>
      <c r="AD6" s="550"/>
      <c r="AE6" s="550"/>
      <c r="AF6" s="550"/>
      <c r="AG6" s="550"/>
      <c r="AH6" s="550"/>
      <c r="AI6" s="550"/>
      <c r="AJ6" s="550"/>
      <c r="AK6" s="550"/>
      <c r="AL6" s="550" t="s">
        <v>19</v>
      </c>
      <c r="AM6" s="550"/>
      <c r="AN6" s="550"/>
      <c r="AO6" s="550"/>
      <c r="AP6" s="550" t="s">
        <v>20</v>
      </c>
      <c r="AQ6" s="550"/>
      <c r="AR6" s="550"/>
      <c r="AS6" s="550" t="s">
        <v>21</v>
      </c>
      <c r="AT6" s="550"/>
      <c r="AU6" s="550"/>
      <c r="AV6" s="550" t="s">
        <v>22</v>
      </c>
      <c r="AW6" s="550"/>
      <c r="AX6" s="550"/>
      <c r="AY6" s="550"/>
      <c r="AZ6" s="550"/>
      <c r="BA6" s="550"/>
    </row>
    <row r="7" spans="1:53">
      <c r="A7" s="571" t="s">
        <v>142</v>
      </c>
      <c r="B7" s="571"/>
      <c r="C7" s="576" t="s">
        <v>23</v>
      </c>
      <c r="D7" s="576"/>
      <c r="E7" s="576"/>
      <c r="F7" s="576"/>
      <c r="G7" s="576"/>
      <c r="H7" s="576"/>
      <c r="I7" s="576"/>
      <c r="J7" s="576"/>
      <c r="K7" s="576"/>
      <c r="L7" s="576"/>
      <c r="M7" s="576"/>
      <c r="N7" s="576"/>
      <c r="O7" s="576"/>
      <c r="P7" s="576"/>
      <c r="Q7" s="576"/>
      <c r="R7" s="576"/>
      <c r="S7" s="576"/>
      <c r="T7" s="576"/>
      <c r="U7" s="576"/>
      <c r="V7" s="576"/>
      <c r="W7" s="576"/>
      <c r="X7" s="576"/>
      <c r="Y7" s="576"/>
      <c r="Z7" s="576"/>
      <c r="AA7" s="576"/>
      <c r="AB7" s="576"/>
      <c r="AC7" s="576"/>
      <c r="AD7" s="576"/>
      <c r="AE7" s="576"/>
      <c r="AF7" s="576"/>
      <c r="AG7" s="576"/>
      <c r="AH7" s="576"/>
      <c r="AI7" s="576"/>
      <c r="AJ7" s="576"/>
      <c r="AK7" s="576"/>
      <c r="AL7" s="584">
        <v>46125</v>
      </c>
      <c r="AM7" s="585"/>
      <c r="AN7" s="585"/>
      <c r="AO7" s="585"/>
      <c r="AP7" s="576" t="s">
        <v>172</v>
      </c>
      <c r="AQ7" s="576"/>
      <c r="AR7" s="576"/>
      <c r="AS7" s="576"/>
      <c r="AT7" s="576"/>
      <c r="AU7" s="576"/>
      <c r="AV7" s="576"/>
      <c r="AW7" s="576"/>
      <c r="AX7" s="576"/>
      <c r="AY7" s="576"/>
      <c r="AZ7" s="576"/>
      <c r="BA7" s="576"/>
    </row>
    <row r="8" spans="1:53">
      <c r="A8" s="571" t="s">
        <v>321</v>
      </c>
      <c r="B8" s="571"/>
      <c r="C8" s="576" t="s">
        <v>322</v>
      </c>
      <c r="D8" s="576"/>
      <c r="E8" s="576"/>
      <c r="F8" s="576"/>
      <c r="G8" s="576"/>
      <c r="H8" s="576"/>
      <c r="I8" s="576"/>
      <c r="J8" s="576"/>
      <c r="K8" s="576"/>
      <c r="L8" s="576"/>
      <c r="M8" s="576"/>
      <c r="N8" s="576"/>
      <c r="O8" s="576"/>
      <c r="P8" s="576"/>
      <c r="Q8" s="579" t="s">
        <v>323</v>
      </c>
      <c r="R8" s="580"/>
      <c r="S8" s="580"/>
      <c r="T8" s="580"/>
      <c r="U8" s="580"/>
      <c r="V8" s="580"/>
      <c r="W8" s="580"/>
      <c r="X8" s="580"/>
      <c r="Y8" s="580"/>
      <c r="Z8" s="580"/>
      <c r="AA8" s="580"/>
      <c r="AB8" s="580"/>
      <c r="AC8" s="580"/>
      <c r="AD8" s="580"/>
      <c r="AE8" s="580"/>
      <c r="AF8" s="580"/>
      <c r="AG8" s="580"/>
      <c r="AH8" s="580"/>
      <c r="AI8" s="580"/>
      <c r="AJ8" s="580"/>
      <c r="AK8" s="581"/>
      <c r="AL8" s="586">
        <v>46163</v>
      </c>
      <c r="AM8" s="587"/>
      <c r="AN8" s="587"/>
      <c r="AO8" s="588"/>
      <c r="AP8" s="576" t="s">
        <v>172</v>
      </c>
      <c r="AQ8" s="576"/>
      <c r="AR8" s="576"/>
      <c r="AS8" s="576"/>
      <c r="AT8" s="576"/>
      <c r="AU8" s="576"/>
      <c r="AV8" s="576"/>
      <c r="AW8" s="576"/>
      <c r="AX8" s="576"/>
      <c r="AY8" s="576"/>
      <c r="AZ8" s="576"/>
      <c r="BA8" s="576"/>
    </row>
    <row r="9" spans="1:53">
      <c r="A9" s="573"/>
      <c r="B9" s="574"/>
      <c r="C9" s="576"/>
      <c r="D9" s="576"/>
      <c r="E9" s="576"/>
      <c r="F9" s="576"/>
      <c r="G9" s="576"/>
      <c r="H9" s="576"/>
      <c r="I9" s="576"/>
      <c r="J9" s="576"/>
      <c r="K9" s="576"/>
      <c r="L9" s="576"/>
      <c r="M9" s="576"/>
      <c r="N9" s="576"/>
      <c r="O9" s="576"/>
      <c r="P9" s="576"/>
      <c r="Q9" s="579"/>
      <c r="R9" s="580"/>
      <c r="S9" s="580"/>
      <c r="T9" s="580"/>
      <c r="U9" s="580"/>
      <c r="V9" s="580"/>
      <c r="W9" s="580"/>
      <c r="X9" s="580"/>
      <c r="Y9" s="580"/>
      <c r="Z9" s="580"/>
      <c r="AA9" s="580"/>
      <c r="AB9" s="580"/>
      <c r="AC9" s="580"/>
      <c r="AD9" s="580"/>
      <c r="AE9" s="580"/>
      <c r="AF9" s="580"/>
      <c r="AG9" s="580"/>
      <c r="AH9" s="580"/>
      <c r="AI9" s="580"/>
      <c r="AJ9" s="580"/>
      <c r="AK9" s="581"/>
      <c r="AL9" s="586"/>
      <c r="AM9" s="587"/>
      <c r="AN9" s="587"/>
      <c r="AO9" s="588"/>
      <c r="AP9" s="576"/>
      <c r="AQ9" s="576"/>
      <c r="AR9" s="576"/>
      <c r="AS9" s="576"/>
      <c r="AT9" s="576"/>
      <c r="AU9" s="576"/>
      <c r="AV9" s="576"/>
      <c r="AW9" s="576"/>
      <c r="AX9" s="576"/>
      <c r="AY9" s="576"/>
      <c r="AZ9" s="576"/>
      <c r="BA9" s="576"/>
    </row>
    <row r="10" spans="1:53">
      <c r="A10" s="571"/>
      <c r="B10" s="571"/>
      <c r="C10" s="576"/>
      <c r="D10" s="576"/>
      <c r="E10" s="576"/>
      <c r="F10" s="576"/>
      <c r="G10" s="576"/>
      <c r="H10" s="576"/>
      <c r="I10" s="576"/>
      <c r="J10" s="576"/>
      <c r="K10" s="576"/>
      <c r="L10" s="576"/>
      <c r="M10" s="576"/>
      <c r="N10" s="576"/>
      <c r="O10" s="576"/>
      <c r="P10" s="576"/>
      <c r="Q10" s="577"/>
      <c r="R10" s="576"/>
      <c r="S10" s="576"/>
      <c r="T10" s="576"/>
      <c r="U10" s="576"/>
      <c r="V10" s="576"/>
      <c r="W10" s="576"/>
      <c r="X10" s="576"/>
      <c r="Y10" s="576"/>
      <c r="Z10" s="576"/>
      <c r="AA10" s="576"/>
      <c r="AB10" s="576"/>
      <c r="AC10" s="576"/>
      <c r="AD10" s="576"/>
      <c r="AE10" s="576"/>
      <c r="AF10" s="576"/>
      <c r="AG10" s="576"/>
      <c r="AH10" s="576"/>
      <c r="AI10" s="576"/>
      <c r="AJ10" s="576"/>
      <c r="AK10" s="576"/>
      <c r="AL10" s="583"/>
      <c r="AM10" s="571"/>
      <c r="AN10" s="571"/>
      <c r="AO10" s="571"/>
      <c r="AP10" s="576"/>
      <c r="AQ10" s="576"/>
      <c r="AR10" s="576"/>
      <c r="AS10" s="576"/>
      <c r="AT10" s="576"/>
      <c r="AU10" s="576"/>
      <c r="AV10" s="576"/>
      <c r="AW10" s="576"/>
      <c r="AX10" s="576"/>
      <c r="AY10" s="576"/>
      <c r="AZ10" s="576"/>
      <c r="BA10" s="576"/>
    </row>
    <row r="11" spans="1:53">
      <c r="A11" s="571"/>
      <c r="B11" s="571"/>
      <c r="C11" s="577"/>
      <c r="D11" s="576"/>
      <c r="E11" s="576"/>
      <c r="F11" s="576"/>
      <c r="G11" s="576"/>
      <c r="H11" s="576"/>
      <c r="I11" s="576"/>
      <c r="J11" s="576"/>
      <c r="K11" s="576"/>
      <c r="L11" s="576"/>
      <c r="M11" s="576"/>
      <c r="N11" s="576"/>
      <c r="O11" s="576"/>
      <c r="P11" s="576"/>
      <c r="Q11" s="577"/>
      <c r="R11" s="576"/>
      <c r="S11" s="576"/>
      <c r="T11" s="576"/>
      <c r="U11" s="576"/>
      <c r="V11" s="576"/>
      <c r="W11" s="576"/>
      <c r="X11" s="576"/>
      <c r="Y11" s="576"/>
      <c r="Z11" s="576"/>
      <c r="AA11" s="576"/>
      <c r="AB11" s="576"/>
      <c r="AC11" s="576"/>
      <c r="AD11" s="576"/>
      <c r="AE11" s="576"/>
      <c r="AF11" s="576"/>
      <c r="AG11" s="576"/>
      <c r="AH11" s="576"/>
      <c r="AI11" s="576"/>
      <c r="AJ11" s="576"/>
      <c r="AK11" s="576"/>
      <c r="AL11" s="583"/>
      <c r="AM11" s="571"/>
      <c r="AN11" s="571"/>
      <c r="AO11" s="571"/>
      <c r="AP11" s="576"/>
      <c r="AQ11" s="576"/>
      <c r="AR11" s="576"/>
      <c r="AS11" s="576"/>
      <c r="AT11" s="576"/>
      <c r="AU11" s="576"/>
      <c r="AV11" s="576"/>
      <c r="AW11" s="576"/>
      <c r="AX11" s="576"/>
      <c r="AY11" s="576"/>
      <c r="AZ11" s="576"/>
      <c r="BA11" s="576"/>
    </row>
    <row r="12" spans="1:53">
      <c r="A12" s="571"/>
      <c r="B12" s="571"/>
      <c r="C12" s="576"/>
      <c r="D12" s="576"/>
      <c r="E12" s="576"/>
      <c r="F12" s="576"/>
      <c r="G12" s="576"/>
      <c r="H12" s="576"/>
      <c r="I12" s="576"/>
      <c r="J12" s="576"/>
      <c r="K12" s="576"/>
      <c r="L12" s="576"/>
      <c r="M12" s="576"/>
      <c r="N12" s="576"/>
      <c r="O12" s="576"/>
      <c r="P12" s="576"/>
      <c r="Q12" s="576"/>
      <c r="R12" s="576"/>
      <c r="S12" s="576"/>
      <c r="T12" s="576"/>
      <c r="U12" s="576"/>
      <c r="V12" s="576"/>
      <c r="W12" s="576"/>
      <c r="X12" s="576"/>
      <c r="Y12" s="576"/>
      <c r="Z12" s="576"/>
      <c r="AA12" s="576"/>
      <c r="AB12" s="576"/>
      <c r="AC12" s="576"/>
      <c r="AD12" s="576"/>
      <c r="AE12" s="576"/>
      <c r="AF12" s="576"/>
      <c r="AG12" s="576"/>
      <c r="AH12" s="576"/>
      <c r="AI12" s="576"/>
      <c r="AJ12" s="576"/>
      <c r="AK12" s="576"/>
      <c r="AL12" s="583"/>
      <c r="AM12" s="571"/>
      <c r="AN12" s="571"/>
      <c r="AO12" s="571"/>
      <c r="AP12" s="576"/>
      <c r="AQ12" s="576"/>
      <c r="AR12" s="576"/>
      <c r="AS12" s="576"/>
      <c r="AT12" s="576"/>
      <c r="AU12" s="576"/>
      <c r="AV12" s="576"/>
      <c r="AW12" s="576"/>
      <c r="AX12" s="576"/>
      <c r="AY12" s="576"/>
      <c r="AZ12" s="576"/>
      <c r="BA12" s="576"/>
    </row>
    <row r="13" spans="1:53">
      <c r="A13" s="575"/>
      <c r="B13" s="575"/>
      <c r="C13" s="578"/>
      <c r="D13" s="578"/>
      <c r="E13" s="578"/>
      <c r="F13" s="578"/>
      <c r="G13" s="578"/>
      <c r="H13" s="578"/>
      <c r="I13" s="578"/>
      <c r="J13" s="578"/>
      <c r="K13" s="578"/>
      <c r="L13" s="578"/>
      <c r="M13" s="578"/>
      <c r="N13" s="578"/>
      <c r="O13" s="578"/>
      <c r="P13" s="578"/>
      <c r="Q13" s="577"/>
      <c r="R13" s="576"/>
      <c r="S13" s="576"/>
      <c r="T13" s="576"/>
      <c r="U13" s="576"/>
      <c r="V13" s="576"/>
      <c r="W13" s="576"/>
      <c r="X13" s="576"/>
      <c r="Y13" s="576"/>
      <c r="Z13" s="576"/>
      <c r="AA13" s="576"/>
      <c r="AB13" s="576"/>
      <c r="AC13" s="576"/>
      <c r="AD13" s="576"/>
      <c r="AE13" s="576"/>
      <c r="AF13" s="576"/>
      <c r="AG13" s="576"/>
      <c r="AH13" s="576"/>
      <c r="AI13" s="576"/>
      <c r="AJ13" s="576"/>
      <c r="AK13" s="576"/>
      <c r="AL13" s="589"/>
      <c r="AM13" s="575"/>
      <c r="AN13" s="575"/>
      <c r="AO13" s="575"/>
      <c r="AP13" s="576"/>
      <c r="AQ13" s="576"/>
      <c r="AR13" s="576"/>
      <c r="AS13" s="578"/>
      <c r="AT13" s="578"/>
      <c r="AU13" s="578"/>
      <c r="AV13" s="578"/>
      <c r="AW13" s="578"/>
      <c r="AX13" s="578"/>
      <c r="AY13" s="578"/>
      <c r="AZ13" s="578"/>
      <c r="BA13" s="578"/>
    </row>
    <row r="14" spans="1:53">
      <c r="A14" s="571"/>
      <c r="B14" s="571"/>
      <c r="C14" s="576"/>
      <c r="D14" s="576"/>
      <c r="E14" s="576"/>
      <c r="F14" s="576"/>
      <c r="G14" s="576"/>
      <c r="H14" s="576"/>
      <c r="I14" s="576"/>
      <c r="J14" s="576"/>
      <c r="K14" s="576"/>
      <c r="L14" s="576"/>
      <c r="M14" s="576"/>
      <c r="N14" s="576"/>
      <c r="O14" s="576"/>
      <c r="P14" s="576"/>
      <c r="Q14" s="577"/>
      <c r="R14" s="576"/>
      <c r="S14" s="576"/>
      <c r="T14" s="576"/>
      <c r="U14" s="576"/>
      <c r="V14" s="576"/>
      <c r="W14" s="576"/>
      <c r="X14" s="576"/>
      <c r="Y14" s="576"/>
      <c r="Z14" s="576"/>
      <c r="AA14" s="576"/>
      <c r="AB14" s="576"/>
      <c r="AC14" s="576"/>
      <c r="AD14" s="576"/>
      <c r="AE14" s="576"/>
      <c r="AF14" s="576"/>
      <c r="AG14" s="576"/>
      <c r="AH14" s="576"/>
      <c r="AI14" s="576"/>
      <c r="AJ14" s="576"/>
      <c r="AK14" s="576"/>
      <c r="AL14" s="583"/>
      <c r="AM14" s="571"/>
      <c r="AN14" s="571"/>
      <c r="AO14" s="571"/>
      <c r="AP14" s="576"/>
      <c r="AQ14" s="576"/>
      <c r="AR14" s="576"/>
      <c r="AS14" s="576"/>
      <c r="AT14" s="576"/>
      <c r="AU14" s="576"/>
      <c r="AV14" s="576"/>
      <c r="AW14" s="576"/>
      <c r="AX14" s="576"/>
      <c r="AY14" s="576"/>
      <c r="AZ14" s="576"/>
      <c r="BA14" s="576"/>
    </row>
    <row r="15" spans="1:53">
      <c r="A15" s="571"/>
      <c r="B15" s="571"/>
      <c r="C15" s="576"/>
      <c r="D15" s="576"/>
      <c r="E15" s="576"/>
      <c r="F15" s="576"/>
      <c r="G15" s="576"/>
      <c r="H15" s="576"/>
      <c r="I15" s="576"/>
      <c r="J15" s="576"/>
      <c r="K15" s="576"/>
      <c r="L15" s="576"/>
      <c r="M15" s="576"/>
      <c r="N15" s="576"/>
      <c r="O15" s="576"/>
      <c r="P15" s="576"/>
      <c r="Q15" s="577"/>
      <c r="R15" s="576"/>
      <c r="S15" s="576"/>
      <c r="T15" s="576"/>
      <c r="U15" s="576"/>
      <c r="V15" s="576"/>
      <c r="W15" s="576"/>
      <c r="X15" s="576"/>
      <c r="Y15" s="576"/>
      <c r="Z15" s="576"/>
      <c r="AA15" s="576"/>
      <c r="AB15" s="576"/>
      <c r="AC15" s="576"/>
      <c r="AD15" s="576"/>
      <c r="AE15" s="576"/>
      <c r="AF15" s="576"/>
      <c r="AG15" s="576"/>
      <c r="AH15" s="576"/>
      <c r="AI15" s="576"/>
      <c r="AJ15" s="576"/>
      <c r="AK15" s="576"/>
      <c r="AL15" s="583"/>
      <c r="AM15" s="571"/>
      <c r="AN15" s="571"/>
      <c r="AO15" s="571"/>
      <c r="AP15" s="576"/>
      <c r="AQ15" s="576"/>
      <c r="AR15" s="576"/>
      <c r="AS15" s="576"/>
      <c r="AT15" s="576"/>
      <c r="AU15" s="576"/>
      <c r="AV15" s="576"/>
      <c r="AW15" s="576"/>
      <c r="AX15" s="576"/>
      <c r="AY15" s="576"/>
      <c r="AZ15" s="576"/>
      <c r="BA15" s="576"/>
    </row>
    <row r="16" spans="1:53">
      <c r="A16" s="571"/>
      <c r="B16" s="571"/>
      <c r="C16" s="576"/>
      <c r="D16" s="576"/>
      <c r="E16" s="576"/>
      <c r="F16" s="576"/>
      <c r="G16" s="576"/>
      <c r="H16" s="576"/>
      <c r="I16" s="576"/>
      <c r="J16" s="576"/>
      <c r="K16" s="576"/>
      <c r="L16" s="576"/>
      <c r="M16" s="576"/>
      <c r="N16" s="576"/>
      <c r="O16" s="576"/>
      <c r="P16" s="576"/>
      <c r="Q16" s="577"/>
      <c r="R16" s="576"/>
      <c r="S16" s="576"/>
      <c r="T16" s="576"/>
      <c r="U16" s="576"/>
      <c r="V16" s="576"/>
      <c r="W16" s="576"/>
      <c r="X16" s="576"/>
      <c r="Y16" s="576"/>
      <c r="Z16" s="576"/>
      <c r="AA16" s="576"/>
      <c r="AB16" s="576"/>
      <c r="AC16" s="576"/>
      <c r="AD16" s="576"/>
      <c r="AE16" s="576"/>
      <c r="AF16" s="576"/>
      <c r="AG16" s="576"/>
      <c r="AH16" s="576"/>
      <c r="AI16" s="576"/>
      <c r="AJ16" s="576"/>
      <c r="AK16" s="576"/>
      <c r="AL16" s="583"/>
      <c r="AM16" s="571"/>
      <c r="AN16" s="571"/>
      <c r="AO16" s="571"/>
      <c r="AP16" s="576"/>
      <c r="AQ16" s="576"/>
      <c r="AR16" s="576"/>
      <c r="AS16" s="576"/>
      <c r="AT16" s="576"/>
      <c r="AU16" s="576"/>
      <c r="AV16" s="576"/>
      <c r="AW16" s="576"/>
      <c r="AX16" s="576"/>
      <c r="AY16" s="576"/>
      <c r="AZ16" s="576"/>
      <c r="BA16" s="576"/>
    </row>
    <row r="17" spans="1:53">
      <c r="A17" s="572"/>
      <c r="B17" s="572"/>
      <c r="C17" s="576"/>
      <c r="D17" s="576"/>
      <c r="E17" s="576"/>
      <c r="F17" s="576"/>
      <c r="G17" s="576"/>
      <c r="H17" s="576"/>
      <c r="I17" s="576"/>
      <c r="J17" s="576"/>
      <c r="K17" s="576"/>
      <c r="L17" s="576"/>
      <c r="M17" s="576"/>
      <c r="N17" s="576"/>
      <c r="O17" s="576"/>
      <c r="P17" s="576"/>
      <c r="Q17" s="576"/>
      <c r="R17" s="582"/>
      <c r="S17" s="582"/>
      <c r="T17" s="582"/>
      <c r="U17" s="582"/>
      <c r="V17" s="582"/>
      <c r="W17" s="582"/>
      <c r="X17" s="582"/>
      <c r="Y17" s="582"/>
      <c r="Z17" s="582"/>
      <c r="AA17" s="582"/>
      <c r="AB17" s="582"/>
      <c r="AC17" s="582"/>
      <c r="AD17" s="582"/>
      <c r="AE17" s="582"/>
      <c r="AF17" s="582"/>
      <c r="AG17" s="582"/>
      <c r="AH17" s="582"/>
      <c r="AI17" s="582"/>
      <c r="AJ17" s="582"/>
      <c r="AK17" s="582"/>
      <c r="AL17" s="583"/>
      <c r="AM17" s="571"/>
      <c r="AN17" s="571"/>
      <c r="AO17" s="571"/>
      <c r="AP17" s="576"/>
      <c r="AQ17" s="582"/>
      <c r="AR17" s="582"/>
      <c r="AS17" s="582"/>
      <c r="AT17" s="582"/>
      <c r="AU17" s="582"/>
      <c r="AV17" s="582"/>
      <c r="AW17" s="582"/>
      <c r="AX17" s="582"/>
      <c r="AY17" s="582"/>
      <c r="AZ17" s="582"/>
      <c r="BA17" s="582"/>
    </row>
    <row r="18" spans="1:53">
      <c r="A18" s="572"/>
      <c r="B18" s="572"/>
      <c r="C18" s="576"/>
      <c r="D18" s="576"/>
      <c r="E18" s="576"/>
      <c r="F18" s="576"/>
      <c r="G18" s="576"/>
      <c r="H18" s="576"/>
      <c r="I18" s="576"/>
      <c r="J18" s="576"/>
      <c r="K18" s="576"/>
      <c r="L18" s="576"/>
      <c r="M18" s="576"/>
      <c r="N18" s="576"/>
      <c r="O18" s="576"/>
      <c r="P18" s="576"/>
      <c r="Q18" s="576"/>
      <c r="R18" s="582"/>
      <c r="S18" s="582"/>
      <c r="T18" s="582"/>
      <c r="U18" s="582"/>
      <c r="V18" s="582"/>
      <c r="W18" s="582"/>
      <c r="X18" s="582"/>
      <c r="Y18" s="582"/>
      <c r="Z18" s="582"/>
      <c r="AA18" s="582"/>
      <c r="AB18" s="582"/>
      <c r="AC18" s="582"/>
      <c r="AD18" s="582"/>
      <c r="AE18" s="582"/>
      <c r="AF18" s="582"/>
      <c r="AG18" s="582"/>
      <c r="AH18" s="582"/>
      <c r="AI18" s="582"/>
      <c r="AJ18" s="582"/>
      <c r="AK18" s="582"/>
      <c r="AL18" s="583"/>
      <c r="AM18" s="571"/>
      <c r="AN18" s="571"/>
      <c r="AO18" s="571"/>
      <c r="AP18" s="576"/>
      <c r="AQ18" s="582"/>
      <c r="AR18" s="582"/>
      <c r="AS18" s="582"/>
      <c r="AT18" s="582"/>
      <c r="AU18" s="582"/>
      <c r="AV18" s="582"/>
      <c r="AW18" s="582"/>
      <c r="AX18" s="582"/>
      <c r="AY18" s="582"/>
      <c r="AZ18" s="582"/>
      <c r="BA18" s="582"/>
    </row>
    <row r="19" spans="1:53">
      <c r="A19" s="571"/>
      <c r="B19" s="571"/>
      <c r="C19" s="576"/>
      <c r="D19" s="576"/>
      <c r="E19" s="576"/>
      <c r="F19" s="576"/>
      <c r="G19" s="576"/>
      <c r="H19" s="576"/>
      <c r="I19" s="576"/>
      <c r="J19" s="576"/>
      <c r="K19" s="576"/>
      <c r="L19" s="576"/>
      <c r="M19" s="576"/>
      <c r="N19" s="576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Y19" s="576"/>
      <c r="Z19" s="576"/>
      <c r="AA19" s="576"/>
      <c r="AB19" s="576"/>
      <c r="AC19" s="576"/>
      <c r="AD19" s="576"/>
      <c r="AE19" s="576"/>
      <c r="AF19" s="576"/>
      <c r="AG19" s="576"/>
      <c r="AH19" s="576"/>
      <c r="AI19" s="576"/>
      <c r="AJ19" s="576"/>
      <c r="AK19" s="576"/>
      <c r="AL19" s="583"/>
      <c r="AM19" s="583"/>
      <c r="AN19" s="583"/>
      <c r="AO19" s="583"/>
      <c r="AP19" s="576"/>
      <c r="AQ19" s="576"/>
      <c r="AR19" s="576"/>
      <c r="AS19" s="576"/>
      <c r="AT19" s="576"/>
      <c r="AU19" s="576"/>
      <c r="AV19" s="576"/>
      <c r="AW19" s="576"/>
      <c r="AX19" s="576"/>
      <c r="AY19" s="576"/>
      <c r="AZ19" s="576"/>
      <c r="BA19" s="576"/>
    </row>
    <row r="20" spans="1:53">
      <c r="A20" s="571"/>
      <c r="B20" s="571"/>
      <c r="C20" s="576"/>
      <c r="D20" s="576"/>
      <c r="E20" s="576"/>
      <c r="F20" s="576"/>
      <c r="G20" s="576"/>
      <c r="H20" s="576"/>
      <c r="I20" s="576"/>
      <c r="J20" s="576"/>
      <c r="K20" s="576"/>
      <c r="L20" s="576"/>
      <c r="M20" s="576"/>
      <c r="N20" s="576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Y20" s="576"/>
      <c r="Z20" s="576"/>
      <c r="AA20" s="576"/>
      <c r="AB20" s="576"/>
      <c r="AC20" s="576"/>
      <c r="AD20" s="576"/>
      <c r="AE20" s="576"/>
      <c r="AF20" s="576"/>
      <c r="AG20" s="576"/>
      <c r="AH20" s="576"/>
      <c r="AI20" s="576"/>
      <c r="AJ20" s="576"/>
      <c r="AK20" s="576"/>
      <c r="AL20" s="583"/>
      <c r="AM20" s="583"/>
      <c r="AN20" s="583"/>
      <c r="AO20" s="583"/>
      <c r="AP20" s="576"/>
      <c r="AQ20" s="576"/>
      <c r="AR20" s="576"/>
      <c r="AS20" s="576"/>
      <c r="AT20" s="576"/>
      <c r="AU20" s="576"/>
      <c r="AV20" s="576"/>
      <c r="AW20" s="576"/>
      <c r="AX20" s="576"/>
      <c r="AY20" s="576"/>
      <c r="AZ20" s="576"/>
      <c r="BA20" s="576"/>
    </row>
    <row r="21" spans="1:53" ht="13.5" customHeight="1">
      <c r="A21" s="571"/>
      <c r="B21" s="571"/>
      <c r="C21" s="576"/>
      <c r="D21" s="576"/>
      <c r="E21" s="576"/>
      <c r="F21" s="576"/>
      <c r="G21" s="576"/>
      <c r="H21" s="576"/>
      <c r="I21" s="576"/>
      <c r="J21" s="576"/>
      <c r="K21" s="576"/>
      <c r="L21" s="576"/>
      <c r="M21" s="576"/>
      <c r="N21" s="576"/>
      <c r="O21" s="576"/>
      <c r="P21" s="576"/>
      <c r="Q21" s="576"/>
      <c r="R21" s="582"/>
      <c r="S21" s="582"/>
      <c r="T21" s="582"/>
      <c r="U21" s="582"/>
      <c r="V21" s="582"/>
      <c r="W21" s="582"/>
      <c r="X21" s="582"/>
      <c r="Y21" s="582"/>
      <c r="Z21" s="582"/>
      <c r="AA21" s="582"/>
      <c r="AB21" s="582"/>
      <c r="AC21" s="582"/>
      <c r="AD21" s="582"/>
      <c r="AE21" s="582"/>
      <c r="AF21" s="582"/>
      <c r="AG21" s="582"/>
      <c r="AH21" s="582"/>
      <c r="AI21" s="582"/>
      <c r="AJ21" s="582"/>
      <c r="AK21" s="582"/>
      <c r="AL21" s="583"/>
      <c r="AM21" s="583"/>
      <c r="AN21" s="583"/>
      <c r="AO21" s="583"/>
      <c r="AP21" s="576"/>
      <c r="AQ21" s="576"/>
      <c r="AR21" s="576"/>
      <c r="AS21" s="576"/>
      <c r="AT21" s="576"/>
      <c r="AU21" s="576"/>
      <c r="AV21" s="576"/>
      <c r="AW21" s="576"/>
      <c r="AX21" s="576"/>
      <c r="AY21" s="576"/>
      <c r="AZ21" s="576"/>
      <c r="BA21" s="576"/>
    </row>
    <row r="22" spans="1:53">
      <c r="A22" s="571"/>
      <c r="B22" s="571"/>
      <c r="C22" s="576"/>
      <c r="D22" s="576"/>
      <c r="E22" s="576"/>
      <c r="F22" s="576"/>
      <c r="G22" s="576"/>
      <c r="H22" s="576"/>
      <c r="I22" s="576"/>
      <c r="J22" s="576"/>
      <c r="K22" s="576"/>
      <c r="L22" s="576"/>
      <c r="M22" s="576"/>
      <c r="N22" s="576"/>
      <c r="O22" s="576"/>
      <c r="P22" s="576"/>
      <c r="Q22" s="576"/>
      <c r="R22" s="576"/>
      <c r="S22" s="576"/>
      <c r="T22" s="576"/>
      <c r="U22" s="576"/>
      <c r="V22" s="576"/>
      <c r="W22" s="576"/>
      <c r="X22" s="576"/>
      <c r="Y22" s="576"/>
      <c r="Z22" s="576"/>
      <c r="AA22" s="576"/>
      <c r="AB22" s="576"/>
      <c r="AC22" s="576"/>
      <c r="AD22" s="576"/>
      <c r="AE22" s="576"/>
      <c r="AF22" s="576"/>
      <c r="AG22" s="576"/>
      <c r="AH22" s="576"/>
      <c r="AI22" s="576"/>
      <c r="AJ22" s="576"/>
      <c r="AK22" s="576"/>
      <c r="AL22" s="583"/>
      <c r="AM22" s="583"/>
      <c r="AN22" s="583"/>
      <c r="AO22" s="583"/>
      <c r="AP22" s="576"/>
      <c r="AQ22" s="576"/>
      <c r="AR22" s="576"/>
      <c r="AS22" s="576"/>
      <c r="AT22" s="576"/>
      <c r="AU22" s="576"/>
      <c r="AV22" s="576"/>
      <c r="AW22" s="576"/>
      <c r="AX22" s="576"/>
      <c r="AY22" s="576"/>
      <c r="AZ22" s="576"/>
      <c r="BA22" s="576"/>
    </row>
    <row r="23" spans="1:53">
      <c r="A23" s="571"/>
      <c r="B23" s="571"/>
      <c r="C23" s="576"/>
      <c r="D23" s="576"/>
      <c r="E23" s="576"/>
      <c r="F23" s="576"/>
      <c r="G23" s="576"/>
      <c r="H23" s="576"/>
      <c r="I23" s="576"/>
      <c r="J23" s="576"/>
      <c r="K23" s="576"/>
      <c r="L23" s="576"/>
      <c r="M23" s="576"/>
      <c r="N23" s="576"/>
      <c r="O23" s="576"/>
      <c r="P23" s="576"/>
      <c r="Q23" s="576"/>
      <c r="R23" s="582"/>
      <c r="S23" s="582"/>
      <c r="T23" s="582"/>
      <c r="U23" s="582"/>
      <c r="V23" s="582"/>
      <c r="W23" s="582"/>
      <c r="X23" s="582"/>
      <c r="Y23" s="582"/>
      <c r="Z23" s="582"/>
      <c r="AA23" s="582"/>
      <c r="AB23" s="582"/>
      <c r="AC23" s="582"/>
      <c r="AD23" s="582"/>
      <c r="AE23" s="582"/>
      <c r="AF23" s="582"/>
      <c r="AG23" s="582"/>
      <c r="AH23" s="582"/>
      <c r="AI23" s="582"/>
      <c r="AJ23" s="582"/>
      <c r="AK23" s="582"/>
      <c r="AL23" s="583"/>
      <c r="AM23" s="583"/>
      <c r="AN23" s="583"/>
      <c r="AO23" s="583"/>
      <c r="AP23" s="576"/>
      <c r="AQ23" s="576"/>
      <c r="AR23" s="576"/>
      <c r="AS23" s="576"/>
      <c r="AT23" s="576"/>
      <c r="AU23" s="576"/>
      <c r="AV23" s="576"/>
      <c r="AW23" s="576"/>
      <c r="AX23" s="576"/>
      <c r="AY23" s="576"/>
      <c r="AZ23" s="576"/>
      <c r="BA23" s="576"/>
    </row>
    <row r="24" spans="1:53">
      <c r="A24" s="571"/>
      <c r="B24" s="571"/>
      <c r="C24" s="576"/>
      <c r="D24" s="576"/>
      <c r="E24" s="576"/>
      <c r="F24" s="576"/>
      <c r="G24" s="576"/>
      <c r="H24" s="576"/>
      <c r="I24" s="576"/>
      <c r="J24" s="576"/>
      <c r="K24" s="576"/>
      <c r="L24" s="576"/>
      <c r="M24" s="576"/>
      <c r="N24" s="576"/>
      <c r="O24" s="576"/>
      <c r="P24" s="576"/>
      <c r="Q24" s="576"/>
      <c r="R24" s="576"/>
      <c r="S24" s="576"/>
      <c r="T24" s="576"/>
      <c r="U24" s="576"/>
      <c r="V24" s="576"/>
      <c r="W24" s="576"/>
      <c r="X24" s="576"/>
      <c r="Y24" s="576"/>
      <c r="Z24" s="576"/>
      <c r="AA24" s="576"/>
      <c r="AB24" s="576"/>
      <c r="AC24" s="576"/>
      <c r="AD24" s="576"/>
      <c r="AE24" s="576"/>
      <c r="AF24" s="576"/>
      <c r="AG24" s="576"/>
      <c r="AH24" s="576"/>
      <c r="AI24" s="576"/>
      <c r="AJ24" s="576"/>
      <c r="AK24" s="576"/>
      <c r="AL24" s="583"/>
      <c r="AM24" s="583"/>
      <c r="AN24" s="583"/>
      <c r="AO24" s="583"/>
      <c r="AP24" s="576"/>
      <c r="AQ24" s="576"/>
      <c r="AR24" s="576"/>
      <c r="AS24" s="576"/>
      <c r="AT24" s="576"/>
      <c r="AU24" s="576"/>
      <c r="AV24" s="576"/>
      <c r="AW24" s="576"/>
      <c r="AX24" s="576"/>
      <c r="AY24" s="576"/>
      <c r="AZ24" s="576"/>
      <c r="BA24" s="576"/>
    </row>
    <row r="25" spans="1:53">
      <c r="A25" s="571"/>
      <c r="B25" s="571"/>
      <c r="C25" s="576"/>
      <c r="D25" s="576"/>
      <c r="E25" s="576"/>
      <c r="F25" s="576"/>
      <c r="G25" s="576"/>
      <c r="H25" s="576"/>
      <c r="I25" s="576"/>
      <c r="J25" s="576"/>
      <c r="K25" s="576"/>
      <c r="L25" s="576"/>
      <c r="M25" s="576"/>
      <c r="N25" s="576"/>
      <c r="O25" s="576"/>
      <c r="P25" s="576"/>
      <c r="Q25" s="576"/>
      <c r="R25" s="576"/>
      <c r="S25" s="576"/>
      <c r="T25" s="576"/>
      <c r="U25" s="576"/>
      <c r="V25" s="576"/>
      <c r="W25" s="576"/>
      <c r="X25" s="576"/>
      <c r="Y25" s="576"/>
      <c r="Z25" s="576"/>
      <c r="AA25" s="576"/>
      <c r="AB25" s="576"/>
      <c r="AC25" s="576"/>
      <c r="AD25" s="576"/>
      <c r="AE25" s="576"/>
      <c r="AF25" s="576"/>
      <c r="AG25" s="576"/>
      <c r="AH25" s="576"/>
      <c r="AI25" s="576"/>
      <c r="AJ25" s="576"/>
      <c r="AK25" s="576"/>
      <c r="AL25" s="583"/>
      <c r="AM25" s="571"/>
      <c r="AN25" s="571"/>
      <c r="AO25" s="571"/>
      <c r="AP25" s="576"/>
      <c r="AQ25" s="576"/>
      <c r="AR25" s="576"/>
      <c r="AS25" s="576"/>
      <c r="AT25" s="576"/>
      <c r="AU25" s="576"/>
      <c r="AV25" s="576"/>
      <c r="AW25" s="576"/>
      <c r="AX25" s="576"/>
      <c r="AY25" s="576"/>
      <c r="AZ25" s="576"/>
      <c r="BA25" s="576"/>
    </row>
    <row r="26" spans="1:53">
      <c r="A26" s="571"/>
      <c r="B26" s="571"/>
      <c r="C26" s="576"/>
      <c r="D26" s="576"/>
      <c r="E26" s="576"/>
      <c r="F26" s="576"/>
      <c r="G26" s="576"/>
      <c r="H26" s="576"/>
      <c r="I26" s="576"/>
      <c r="J26" s="576"/>
      <c r="K26" s="576"/>
      <c r="L26" s="576"/>
      <c r="M26" s="576"/>
      <c r="N26" s="576"/>
      <c r="O26" s="576"/>
      <c r="P26" s="576"/>
      <c r="Q26" s="576"/>
      <c r="R26" s="576"/>
      <c r="S26" s="576"/>
      <c r="T26" s="576"/>
      <c r="U26" s="576"/>
      <c r="V26" s="576"/>
      <c r="W26" s="576"/>
      <c r="X26" s="576"/>
      <c r="Y26" s="576"/>
      <c r="Z26" s="576"/>
      <c r="AA26" s="576"/>
      <c r="AB26" s="576"/>
      <c r="AC26" s="576"/>
      <c r="AD26" s="576"/>
      <c r="AE26" s="576"/>
      <c r="AF26" s="576"/>
      <c r="AG26" s="576"/>
      <c r="AH26" s="576"/>
      <c r="AI26" s="576"/>
      <c r="AJ26" s="576"/>
      <c r="AK26" s="576"/>
      <c r="AL26" s="583"/>
      <c r="AM26" s="571"/>
      <c r="AN26" s="571"/>
      <c r="AO26" s="571"/>
      <c r="AP26" s="576"/>
      <c r="AQ26" s="576"/>
      <c r="AR26" s="576"/>
      <c r="AS26" s="576"/>
      <c r="AT26" s="576"/>
      <c r="AU26" s="576"/>
      <c r="AV26" s="576"/>
      <c r="AW26" s="576"/>
      <c r="AX26" s="576"/>
      <c r="AY26" s="576"/>
      <c r="AZ26" s="576"/>
      <c r="BA26" s="576"/>
    </row>
    <row r="27" spans="1:53">
      <c r="A27" s="571"/>
      <c r="B27" s="571"/>
      <c r="C27" s="576"/>
      <c r="D27" s="576"/>
      <c r="E27" s="576"/>
      <c r="F27" s="576"/>
      <c r="G27" s="576"/>
      <c r="H27" s="576"/>
      <c r="I27" s="576"/>
      <c r="J27" s="576"/>
      <c r="K27" s="576"/>
      <c r="L27" s="576"/>
      <c r="M27" s="576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6"/>
      <c r="Z27" s="576"/>
      <c r="AA27" s="576"/>
      <c r="AB27" s="576"/>
      <c r="AC27" s="576"/>
      <c r="AD27" s="576"/>
      <c r="AE27" s="576"/>
      <c r="AF27" s="576"/>
      <c r="AG27" s="576"/>
      <c r="AH27" s="576"/>
      <c r="AI27" s="576"/>
      <c r="AJ27" s="576"/>
      <c r="AK27" s="576"/>
      <c r="AL27" s="583"/>
      <c r="AM27" s="571"/>
      <c r="AN27" s="571"/>
      <c r="AO27" s="571"/>
      <c r="AP27" s="576"/>
      <c r="AQ27" s="576"/>
      <c r="AR27" s="576"/>
      <c r="AS27" s="576"/>
      <c r="AT27" s="576"/>
      <c r="AU27" s="576"/>
      <c r="AV27" s="576"/>
      <c r="AW27" s="576"/>
      <c r="AX27" s="576"/>
      <c r="AY27" s="576"/>
      <c r="AZ27" s="576"/>
      <c r="BA27" s="576"/>
    </row>
    <row r="28" spans="1:53">
      <c r="A28" s="571"/>
      <c r="B28" s="571"/>
      <c r="C28" s="576"/>
      <c r="D28" s="576"/>
      <c r="E28" s="576"/>
      <c r="F28" s="576"/>
      <c r="G28" s="576"/>
      <c r="H28" s="576"/>
      <c r="I28" s="576"/>
      <c r="J28" s="576"/>
      <c r="K28" s="576"/>
      <c r="L28" s="576"/>
      <c r="M28" s="576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6"/>
      <c r="Z28" s="576"/>
      <c r="AA28" s="576"/>
      <c r="AB28" s="576"/>
      <c r="AC28" s="576"/>
      <c r="AD28" s="576"/>
      <c r="AE28" s="576"/>
      <c r="AF28" s="576"/>
      <c r="AG28" s="576"/>
      <c r="AH28" s="576"/>
      <c r="AI28" s="576"/>
      <c r="AJ28" s="576"/>
      <c r="AK28" s="576"/>
      <c r="AL28" s="583"/>
      <c r="AM28" s="571"/>
      <c r="AN28" s="571"/>
      <c r="AO28" s="571"/>
      <c r="AP28" s="576"/>
      <c r="AQ28" s="576"/>
      <c r="AR28" s="576"/>
      <c r="AS28" s="576"/>
      <c r="AT28" s="576"/>
      <c r="AU28" s="576"/>
      <c r="AV28" s="576"/>
      <c r="AW28" s="576"/>
      <c r="AX28" s="576"/>
      <c r="AY28" s="576"/>
      <c r="AZ28" s="576"/>
      <c r="BA28" s="576"/>
    </row>
    <row r="29" spans="1:53">
      <c r="A29" s="571"/>
      <c r="B29" s="571"/>
      <c r="C29" s="576"/>
      <c r="D29" s="576"/>
      <c r="E29" s="576"/>
      <c r="F29" s="576"/>
      <c r="G29" s="576"/>
      <c r="H29" s="576"/>
      <c r="I29" s="576"/>
      <c r="J29" s="576"/>
      <c r="K29" s="576"/>
      <c r="L29" s="576"/>
      <c r="M29" s="576"/>
      <c r="N29" s="576"/>
      <c r="O29" s="576"/>
      <c r="P29" s="576"/>
      <c r="Q29" s="576"/>
      <c r="R29" s="576"/>
      <c r="S29" s="576"/>
      <c r="T29" s="576"/>
      <c r="U29" s="576"/>
      <c r="V29" s="576"/>
      <c r="W29" s="576"/>
      <c r="X29" s="576"/>
      <c r="Y29" s="576"/>
      <c r="Z29" s="576"/>
      <c r="AA29" s="576"/>
      <c r="AB29" s="576"/>
      <c r="AC29" s="576"/>
      <c r="AD29" s="576"/>
      <c r="AE29" s="576"/>
      <c r="AF29" s="576"/>
      <c r="AG29" s="576"/>
      <c r="AH29" s="576"/>
      <c r="AI29" s="576"/>
      <c r="AJ29" s="576"/>
      <c r="AK29" s="576"/>
      <c r="AL29" s="583"/>
      <c r="AM29" s="571"/>
      <c r="AN29" s="571"/>
      <c r="AO29" s="571"/>
      <c r="AP29" s="576"/>
      <c r="AQ29" s="576"/>
      <c r="AR29" s="576"/>
      <c r="AS29" s="576"/>
      <c r="AT29" s="576"/>
      <c r="AU29" s="576"/>
      <c r="AV29" s="576"/>
      <c r="AW29" s="576"/>
      <c r="AX29" s="576"/>
      <c r="AY29" s="576"/>
      <c r="AZ29" s="576"/>
      <c r="BA29" s="576"/>
    </row>
    <row r="30" spans="1:53">
      <c r="A30" s="571"/>
      <c r="B30" s="571"/>
      <c r="C30" s="576"/>
      <c r="D30" s="576"/>
      <c r="E30" s="576"/>
      <c r="F30" s="576"/>
      <c r="G30" s="576"/>
      <c r="H30" s="576"/>
      <c r="I30" s="576"/>
      <c r="J30" s="576"/>
      <c r="K30" s="576"/>
      <c r="L30" s="576"/>
      <c r="M30" s="576"/>
      <c r="N30" s="576"/>
      <c r="O30" s="576"/>
      <c r="P30" s="576"/>
      <c r="Q30" s="576"/>
      <c r="R30" s="576"/>
      <c r="S30" s="576"/>
      <c r="T30" s="576"/>
      <c r="U30" s="576"/>
      <c r="V30" s="576"/>
      <c r="W30" s="576"/>
      <c r="X30" s="576"/>
      <c r="Y30" s="576"/>
      <c r="Z30" s="576"/>
      <c r="AA30" s="576"/>
      <c r="AB30" s="576"/>
      <c r="AC30" s="576"/>
      <c r="AD30" s="576"/>
      <c r="AE30" s="576"/>
      <c r="AF30" s="576"/>
      <c r="AG30" s="576"/>
      <c r="AH30" s="576"/>
      <c r="AI30" s="576"/>
      <c r="AJ30" s="576"/>
      <c r="AK30" s="576"/>
      <c r="AL30" s="571"/>
      <c r="AM30" s="571"/>
      <c r="AN30" s="571"/>
      <c r="AO30" s="571"/>
      <c r="AP30" s="576"/>
      <c r="AQ30" s="576"/>
      <c r="AR30" s="576"/>
      <c r="AS30" s="576"/>
      <c r="AT30" s="576"/>
      <c r="AU30" s="576"/>
      <c r="AV30" s="576"/>
      <c r="AW30" s="576"/>
      <c r="AX30" s="576"/>
      <c r="AY30" s="576"/>
      <c r="AZ30" s="576"/>
      <c r="BA30" s="576"/>
    </row>
    <row r="31" spans="1:53">
      <c r="A31" s="571"/>
      <c r="B31" s="571"/>
      <c r="C31" s="576"/>
      <c r="D31" s="576"/>
      <c r="E31" s="576"/>
      <c r="F31" s="576"/>
      <c r="G31" s="576"/>
      <c r="H31" s="576"/>
      <c r="I31" s="576"/>
      <c r="J31" s="576"/>
      <c r="K31" s="576"/>
      <c r="L31" s="576"/>
      <c r="M31" s="576"/>
      <c r="N31" s="576"/>
      <c r="O31" s="576"/>
      <c r="P31" s="576"/>
      <c r="Q31" s="576"/>
      <c r="R31" s="576"/>
      <c r="S31" s="576"/>
      <c r="T31" s="576"/>
      <c r="U31" s="576"/>
      <c r="V31" s="576"/>
      <c r="W31" s="576"/>
      <c r="X31" s="576"/>
      <c r="Y31" s="576"/>
      <c r="Z31" s="576"/>
      <c r="AA31" s="576"/>
      <c r="AB31" s="576"/>
      <c r="AC31" s="576"/>
      <c r="AD31" s="576"/>
      <c r="AE31" s="576"/>
      <c r="AF31" s="576"/>
      <c r="AG31" s="576"/>
      <c r="AH31" s="576"/>
      <c r="AI31" s="576"/>
      <c r="AJ31" s="576"/>
      <c r="AK31" s="576"/>
      <c r="AL31" s="571"/>
      <c r="AM31" s="571"/>
      <c r="AN31" s="571"/>
      <c r="AO31" s="571"/>
      <c r="AP31" s="576"/>
      <c r="AQ31" s="576"/>
      <c r="AR31" s="576"/>
      <c r="AS31" s="576"/>
      <c r="AT31" s="576"/>
      <c r="AU31" s="576"/>
      <c r="AV31" s="576"/>
      <c r="AW31" s="576"/>
      <c r="AX31" s="576"/>
      <c r="AY31" s="576"/>
      <c r="AZ31" s="576"/>
      <c r="BA31" s="576"/>
    </row>
    <row r="32" spans="1:53">
      <c r="A32" s="571"/>
      <c r="B32" s="571"/>
      <c r="C32" s="576"/>
      <c r="D32" s="576"/>
      <c r="E32" s="576"/>
      <c r="F32" s="576"/>
      <c r="G32" s="576"/>
      <c r="H32" s="576"/>
      <c r="I32" s="576"/>
      <c r="J32" s="576"/>
      <c r="K32" s="576"/>
      <c r="L32" s="576"/>
      <c r="M32" s="576"/>
      <c r="N32" s="576"/>
      <c r="O32" s="576"/>
      <c r="P32" s="576"/>
      <c r="Q32" s="576"/>
      <c r="R32" s="576"/>
      <c r="S32" s="576"/>
      <c r="T32" s="576"/>
      <c r="U32" s="576"/>
      <c r="V32" s="576"/>
      <c r="W32" s="576"/>
      <c r="X32" s="576"/>
      <c r="Y32" s="576"/>
      <c r="Z32" s="576"/>
      <c r="AA32" s="576"/>
      <c r="AB32" s="576"/>
      <c r="AC32" s="576"/>
      <c r="AD32" s="576"/>
      <c r="AE32" s="576"/>
      <c r="AF32" s="576"/>
      <c r="AG32" s="576"/>
      <c r="AH32" s="576"/>
      <c r="AI32" s="576"/>
      <c r="AJ32" s="576"/>
      <c r="AK32" s="576"/>
      <c r="AL32" s="571"/>
      <c r="AM32" s="571"/>
      <c r="AN32" s="571"/>
      <c r="AO32" s="571"/>
      <c r="AP32" s="576"/>
      <c r="AQ32" s="576"/>
      <c r="AR32" s="576"/>
      <c r="AS32" s="576"/>
      <c r="AT32" s="576"/>
      <c r="AU32" s="576"/>
      <c r="AV32" s="576"/>
      <c r="AW32" s="576"/>
      <c r="AX32" s="576"/>
      <c r="AY32" s="576"/>
      <c r="AZ32" s="576"/>
      <c r="BA32" s="576"/>
    </row>
    <row r="33" spans="1:53">
      <c r="A33" s="571"/>
      <c r="B33" s="571"/>
      <c r="C33" s="576"/>
      <c r="D33" s="576"/>
      <c r="E33" s="576"/>
      <c r="F33" s="576"/>
      <c r="G33" s="576"/>
      <c r="H33" s="576"/>
      <c r="I33" s="576"/>
      <c r="J33" s="576"/>
      <c r="K33" s="576"/>
      <c r="L33" s="576"/>
      <c r="M33" s="576"/>
      <c r="N33" s="576"/>
      <c r="O33" s="576"/>
      <c r="P33" s="576"/>
      <c r="Q33" s="576"/>
      <c r="R33" s="576"/>
      <c r="S33" s="576"/>
      <c r="T33" s="576"/>
      <c r="U33" s="576"/>
      <c r="V33" s="576"/>
      <c r="W33" s="576"/>
      <c r="X33" s="576"/>
      <c r="Y33" s="576"/>
      <c r="Z33" s="576"/>
      <c r="AA33" s="576"/>
      <c r="AB33" s="576"/>
      <c r="AC33" s="576"/>
      <c r="AD33" s="576"/>
      <c r="AE33" s="576"/>
      <c r="AF33" s="576"/>
      <c r="AG33" s="576"/>
      <c r="AH33" s="576"/>
      <c r="AI33" s="576"/>
      <c r="AJ33" s="576"/>
      <c r="AK33" s="576"/>
      <c r="AL33" s="571"/>
      <c r="AM33" s="571"/>
      <c r="AN33" s="571"/>
      <c r="AO33" s="571"/>
      <c r="AP33" s="576"/>
      <c r="AQ33" s="576"/>
      <c r="AR33" s="576"/>
      <c r="AS33" s="576"/>
      <c r="AT33" s="576"/>
      <c r="AU33" s="576"/>
      <c r="AV33" s="576"/>
      <c r="AW33" s="576"/>
      <c r="AX33" s="576"/>
      <c r="AY33" s="576"/>
      <c r="AZ33" s="576"/>
      <c r="BA33" s="576"/>
    </row>
    <row r="34" spans="1:53">
      <c r="A34" s="571"/>
      <c r="B34" s="571"/>
      <c r="C34" s="576"/>
      <c r="D34" s="576"/>
      <c r="E34" s="576"/>
      <c r="F34" s="576"/>
      <c r="G34" s="576"/>
      <c r="H34" s="576"/>
      <c r="I34" s="576"/>
      <c r="J34" s="576"/>
      <c r="K34" s="576"/>
      <c r="L34" s="576"/>
      <c r="M34" s="576"/>
      <c r="N34" s="576"/>
      <c r="O34" s="576"/>
      <c r="P34" s="576"/>
      <c r="Q34" s="576"/>
      <c r="R34" s="576"/>
      <c r="S34" s="576"/>
      <c r="T34" s="576"/>
      <c r="U34" s="576"/>
      <c r="V34" s="576"/>
      <c r="W34" s="576"/>
      <c r="X34" s="576"/>
      <c r="Y34" s="576"/>
      <c r="Z34" s="576"/>
      <c r="AA34" s="576"/>
      <c r="AB34" s="576"/>
      <c r="AC34" s="576"/>
      <c r="AD34" s="576"/>
      <c r="AE34" s="576"/>
      <c r="AF34" s="576"/>
      <c r="AG34" s="576"/>
      <c r="AH34" s="576"/>
      <c r="AI34" s="576"/>
      <c r="AJ34" s="576"/>
      <c r="AK34" s="576"/>
      <c r="AL34" s="571"/>
      <c r="AM34" s="571"/>
      <c r="AN34" s="571"/>
      <c r="AO34" s="571"/>
      <c r="AP34" s="576"/>
      <c r="AQ34" s="576"/>
      <c r="AR34" s="576"/>
      <c r="AS34" s="576"/>
      <c r="AT34" s="576"/>
      <c r="AU34" s="576"/>
      <c r="AV34" s="576"/>
      <c r="AW34" s="576"/>
      <c r="AX34" s="576"/>
      <c r="AY34" s="576"/>
      <c r="AZ34" s="576"/>
      <c r="BA34" s="576"/>
    </row>
  </sheetData>
  <mergeCells count="229"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K1:AM1"/>
    <mergeCell ref="AT3:AW3"/>
    <mergeCell ref="AN1:AP1"/>
    <mergeCell ref="AQ1:AS1"/>
    <mergeCell ref="AT1:AW1"/>
    <mergeCell ref="A6:B6"/>
    <mergeCell ref="C6:P6"/>
    <mergeCell ref="Q6:AK6"/>
    <mergeCell ref="AL6:AO6"/>
  </mergeCells>
  <phoneticPr fontId="49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AC065-BD87-4621-ABBC-FC9DBFA86E89}">
  <dimension ref="A1:DX165"/>
  <sheetViews>
    <sheetView showGridLines="0" topLeftCell="A5" zoomScale="90" zoomScaleNormal="9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94" width="2.6328125" style="443" customWidth="1"/>
    <col min="95" max="95" width="0.26953125" style="443" customWidth="1"/>
    <col min="96" max="128" width="2.6328125" style="443" customWidth="1"/>
    <col min="129" max="16384" width="9" style="35"/>
  </cols>
  <sheetData>
    <row r="1" spans="1:86" ht="12" customHeight="1">
      <c r="A1" s="568" t="s">
        <v>4</v>
      </c>
      <c r="B1" s="568"/>
      <c r="C1" s="568"/>
      <c r="D1" s="568"/>
      <c r="E1" s="568"/>
      <c r="F1" s="568"/>
      <c r="G1" s="568"/>
      <c r="H1" s="568"/>
      <c r="I1" s="555" t="s">
        <v>5</v>
      </c>
      <c r="J1" s="555"/>
      <c r="K1" s="555"/>
      <c r="L1" s="555"/>
      <c r="M1" s="566" t="str">
        <f>変更来歴!M1</f>
        <v>ヒロセ電機株式会社</v>
      </c>
      <c r="N1" s="566"/>
      <c r="O1" s="566"/>
      <c r="P1" s="566"/>
      <c r="Q1" s="566"/>
      <c r="R1" s="566"/>
      <c r="S1" s="566"/>
      <c r="T1" s="566"/>
      <c r="U1" s="566"/>
      <c r="V1" s="566"/>
      <c r="W1" s="566"/>
      <c r="X1" s="555" t="s">
        <v>7</v>
      </c>
      <c r="Y1" s="555"/>
      <c r="Z1" s="555"/>
      <c r="AA1" s="570" t="str">
        <f>変更来歴!AA1</f>
        <v>管理者ログ確認システム</v>
      </c>
      <c r="AB1" s="570"/>
      <c r="AC1" s="570"/>
      <c r="AD1" s="570"/>
      <c r="AE1" s="570"/>
      <c r="AF1" s="570"/>
      <c r="AG1" s="570"/>
      <c r="AH1" s="570"/>
      <c r="AI1" s="570"/>
      <c r="AJ1" s="570"/>
      <c r="AK1" s="544" t="s">
        <v>8</v>
      </c>
      <c r="AL1" s="544"/>
      <c r="AM1" s="544"/>
      <c r="AN1" s="546" t="str">
        <f>変更来歴!AP7</f>
        <v>古竹</v>
      </c>
      <c r="AO1" s="546"/>
      <c r="AP1" s="546"/>
      <c r="AQ1" s="546"/>
      <c r="AR1" s="546"/>
      <c r="AS1" s="544" t="s">
        <v>9</v>
      </c>
      <c r="AT1" s="544"/>
      <c r="AU1" s="544"/>
      <c r="AV1" s="547">
        <f>変更来歴!AL7</f>
        <v>46125</v>
      </c>
      <c r="AW1" s="545"/>
      <c r="AX1" s="545"/>
      <c r="AY1" s="545"/>
      <c r="AZ1" s="551" t="s">
        <v>10</v>
      </c>
      <c r="BA1" s="552"/>
      <c r="BB1" s="552"/>
      <c r="BC1" s="553"/>
    </row>
    <row r="2" spans="1:86">
      <c r="A2" s="554" t="s">
        <v>16</v>
      </c>
      <c r="B2" s="554"/>
      <c r="C2" s="554"/>
      <c r="D2" s="554"/>
      <c r="E2" s="554"/>
      <c r="F2" s="554"/>
      <c r="G2" s="554"/>
      <c r="H2" s="554"/>
      <c r="I2" s="555" t="s">
        <v>11</v>
      </c>
      <c r="J2" s="555"/>
      <c r="K2" s="555"/>
      <c r="L2" s="555"/>
      <c r="M2" s="596" t="str">
        <f>変更来歴!M2</f>
        <v>新環境証明書システム</v>
      </c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555"/>
      <c r="Y2" s="555"/>
      <c r="Z2" s="555"/>
      <c r="AA2" s="570"/>
      <c r="AB2" s="570"/>
      <c r="AC2" s="570"/>
      <c r="AD2" s="570"/>
      <c r="AE2" s="570"/>
      <c r="AF2" s="570"/>
      <c r="AG2" s="570"/>
      <c r="AH2" s="570"/>
      <c r="AI2" s="570"/>
      <c r="AJ2" s="570"/>
      <c r="AK2" s="544" t="s">
        <v>12</v>
      </c>
      <c r="AL2" s="544"/>
      <c r="AM2" s="544"/>
      <c r="AN2" s="546" t="str">
        <f ca="1">INDIRECT("変更来歴!AP" &amp; COUNTA(変更来歴!AP7:'変更来歴'!AP39) + 6)</f>
        <v>古竹</v>
      </c>
      <c r="AO2" s="546"/>
      <c r="AP2" s="546"/>
      <c r="AQ2" s="546"/>
      <c r="AR2" s="546"/>
      <c r="AS2" s="544" t="s">
        <v>13</v>
      </c>
      <c r="AT2" s="544"/>
      <c r="AU2" s="544"/>
      <c r="AV2" s="547">
        <f ca="1">INDIRECT("変更来歴!AL" &amp; COUNTA(変更来歴!AL7:'変更来歴'!AL39) + 6)</f>
        <v>46163</v>
      </c>
      <c r="AW2" s="545"/>
      <c r="AX2" s="545"/>
      <c r="AY2" s="545"/>
      <c r="AZ2" s="559" t="str">
        <f>変更来歴!AX2</f>
        <v>IMWF-53</v>
      </c>
      <c r="BA2" s="560"/>
      <c r="BB2" s="560"/>
      <c r="BC2" s="561"/>
    </row>
    <row r="3" spans="1:86" ht="12" customHeight="1">
      <c r="A3" s="565" t="str">
        <f>変更来歴!A3</f>
        <v>画面設計書</v>
      </c>
      <c r="B3" s="565"/>
      <c r="C3" s="565"/>
      <c r="D3" s="565"/>
      <c r="E3" s="565"/>
      <c r="F3" s="565"/>
      <c r="G3" s="565"/>
      <c r="H3" s="565"/>
      <c r="I3" s="555" t="s">
        <v>14</v>
      </c>
      <c r="J3" s="555"/>
      <c r="K3" s="555"/>
      <c r="L3" s="555"/>
      <c r="M3" s="566" t="str">
        <f ca="1">RIGHT(CELL("filename",A1),LEN(CELL("filename",A1))-FIND("]",CELL("filename",A1)))</f>
        <v>管理者申請ログ確認画面</v>
      </c>
      <c r="N3" s="566"/>
      <c r="O3" s="566"/>
      <c r="P3" s="566"/>
      <c r="Q3" s="566"/>
      <c r="R3" s="566"/>
      <c r="S3" s="566"/>
      <c r="T3" s="566"/>
      <c r="U3" s="566"/>
      <c r="V3" s="566"/>
      <c r="W3" s="566"/>
      <c r="X3" s="555" t="s">
        <v>27</v>
      </c>
      <c r="Y3" s="555"/>
      <c r="Z3" s="555"/>
      <c r="AA3" s="567" t="str">
        <f ca="1">MID(CELL("filename"),FIND("]",CELL("filename"))+1,LEN(CELL("filename"))) &amp; "画面"</f>
        <v>管理者申請ログ確認画面画面</v>
      </c>
      <c r="AB3" s="567"/>
      <c r="AC3" s="567"/>
      <c r="AD3" s="567"/>
      <c r="AE3" s="567"/>
      <c r="AF3" s="567"/>
      <c r="AG3" s="567"/>
      <c r="AH3" s="567"/>
      <c r="AI3" s="567"/>
      <c r="AJ3" s="567"/>
      <c r="AK3" s="567"/>
      <c r="AL3" s="567"/>
      <c r="AM3" s="567"/>
      <c r="AN3" s="567"/>
      <c r="AO3" s="567"/>
      <c r="AP3" s="567"/>
      <c r="AQ3" s="567"/>
      <c r="AR3" s="567"/>
      <c r="AS3" s="544" t="s">
        <v>15</v>
      </c>
      <c r="AT3" s="544"/>
      <c r="AU3" s="544"/>
      <c r="AV3" s="545" t="str">
        <f ca="1">INDIRECT("変更来歴!A" &amp; COUNTA(変更来歴!A7:'変更来歴'!A39) + 6)</f>
        <v>ｒ1.1</v>
      </c>
      <c r="AW3" s="545"/>
      <c r="AX3" s="545"/>
      <c r="AY3" s="545"/>
      <c r="AZ3" s="562"/>
      <c r="BA3" s="563"/>
      <c r="BB3" s="563"/>
      <c r="BC3" s="564"/>
    </row>
    <row r="4" spans="1:86" ht="5.9" customHeight="1"/>
    <row r="5" spans="1:86" ht="13.5" customHeight="1">
      <c r="A5" s="591" t="str">
        <f ca="1">"画面レイアウト"&amp;"("&amp;MID(CELL("filename"),FIND("]",CELL("filename"))+1,LEN(CELL("filename")))&amp;")"</f>
        <v>画面レイアウト(管理者申請ログ確認画面)</v>
      </c>
      <c r="B5" s="592"/>
      <c r="C5" s="592"/>
      <c r="D5" s="592"/>
      <c r="E5" s="592"/>
      <c r="F5" s="592"/>
      <c r="G5" s="592"/>
      <c r="H5" s="592"/>
      <c r="I5" s="592"/>
      <c r="J5" s="592"/>
      <c r="K5" s="592"/>
      <c r="L5" s="592"/>
      <c r="M5" s="592"/>
      <c r="N5" s="592"/>
      <c r="O5" s="592"/>
      <c r="P5" s="592"/>
      <c r="Q5" s="592"/>
      <c r="R5" s="592"/>
      <c r="S5" s="592"/>
      <c r="T5" s="592"/>
      <c r="U5" s="592"/>
      <c r="V5" s="592"/>
      <c r="W5" s="592"/>
      <c r="X5" s="592"/>
      <c r="Y5" s="592"/>
      <c r="Z5" s="592"/>
      <c r="AA5" s="592"/>
      <c r="AB5" s="592"/>
      <c r="AC5" s="592"/>
      <c r="AD5" s="592"/>
      <c r="AE5" s="592"/>
      <c r="AF5" s="592"/>
      <c r="AG5" s="592"/>
      <c r="AH5" s="592"/>
      <c r="AI5" s="592"/>
      <c r="AJ5" s="592"/>
      <c r="AK5" s="592"/>
      <c r="AL5" s="592"/>
      <c r="AM5" s="592"/>
      <c r="AN5" s="592"/>
      <c r="AO5" s="592"/>
      <c r="AP5" s="592"/>
      <c r="AQ5" s="592"/>
      <c r="AR5" s="592"/>
      <c r="AS5" s="592"/>
      <c r="AT5" s="592"/>
      <c r="AU5" s="592"/>
      <c r="AV5" s="592"/>
      <c r="AW5" s="592"/>
      <c r="AX5" s="592"/>
      <c r="AY5" s="592"/>
      <c r="AZ5" s="592"/>
      <c r="BA5" s="593"/>
      <c r="BB5" s="594" t="s">
        <v>24</v>
      </c>
      <c r="BC5" s="595"/>
      <c r="BD5" s="28"/>
    </row>
    <row r="6" spans="1:86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86" ht="12.5" customHeight="1">
      <c r="A7" s="393"/>
      <c r="B7" s="467"/>
      <c r="C7" s="468"/>
      <c r="D7" s="468"/>
      <c r="E7" s="468"/>
      <c r="F7" s="468"/>
      <c r="G7" s="468"/>
      <c r="H7" s="468"/>
      <c r="I7" s="468"/>
      <c r="J7" s="468"/>
      <c r="K7" s="468"/>
      <c r="L7" s="468"/>
      <c r="M7" s="468"/>
      <c r="N7" s="468"/>
      <c r="O7" s="468"/>
      <c r="P7" s="468"/>
      <c r="Q7" s="468"/>
      <c r="R7" s="468"/>
      <c r="S7" s="468"/>
      <c r="T7" s="468"/>
      <c r="U7" s="468"/>
      <c r="V7" s="468"/>
      <c r="W7" s="468"/>
      <c r="X7" s="468"/>
      <c r="Y7" s="468"/>
      <c r="Z7" s="468"/>
      <c r="AA7" s="468"/>
      <c r="AB7" s="468"/>
      <c r="AC7" s="468"/>
      <c r="AD7" s="468"/>
      <c r="AE7" s="468"/>
      <c r="AF7" s="468"/>
      <c r="AG7" s="468"/>
      <c r="AH7" s="468"/>
      <c r="AI7" s="468"/>
      <c r="AJ7" s="468"/>
      <c r="AK7" s="468"/>
      <c r="AL7" s="468"/>
      <c r="AM7" s="468"/>
      <c r="AN7" s="468"/>
      <c r="AO7" s="468"/>
      <c r="AP7" s="468"/>
      <c r="AQ7" s="468"/>
      <c r="AR7" s="468"/>
      <c r="AS7" s="468"/>
      <c r="AT7" s="468"/>
      <c r="AU7" s="468"/>
      <c r="AV7" s="468"/>
      <c r="AW7" s="468"/>
      <c r="AX7" s="468"/>
      <c r="AY7" s="468"/>
      <c r="AZ7" s="469"/>
      <c r="BA7" s="422"/>
      <c r="BB7" s="405"/>
      <c r="BC7" s="406"/>
      <c r="BD7" s="391"/>
      <c r="BE7" s="391"/>
      <c r="BF7" s="391"/>
      <c r="BG7" s="391"/>
      <c r="BH7" s="391"/>
      <c r="BI7" s="391"/>
      <c r="BJ7" s="391"/>
      <c r="BK7" s="391"/>
      <c r="BL7" s="516"/>
      <c r="BM7" s="516"/>
      <c r="BN7" s="445"/>
      <c r="BO7" s="445"/>
      <c r="BP7" s="445"/>
      <c r="BQ7" s="445"/>
      <c r="BR7" s="445"/>
      <c r="BS7" s="444"/>
      <c r="BT7" s="444"/>
    </row>
    <row r="8" spans="1:86" s="443" customFormat="1" ht="12.5" customHeight="1">
      <c r="A8" s="393"/>
      <c r="B8" s="418"/>
      <c r="C8" s="420"/>
      <c r="D8" s="420"/>
      <c r="E8" s="420"/>
      <c r="F8" s="420"/>
      <c r="G8" s="420"/>
      <c r="H8" s="420"/>
      <c r="I8" s="420"/>
      <c r="J8" s="420"/>
      <c r="K8" s="420"/>
      <c r="L8" s="420"/>
      <c r="M8" s="420"/>
      <c r="N8" s="420"/>
      <c r="O8" s="420"/>
      <c r="P8" s="420"/>
      <c r="Q8" s="420"/>
      <c r="R8" s="420"/>
      <c r="S8" s="420"/>
      <c r="T8" s="420"/>
      <c r="U8" s="420"/>
      <c r="V8" s="420"/>
      <c r="W8" s="420"/>
      <c r="X8" s="420"/>
      <c r="Y8" s="420"/>
      <c r="Z8" s="420"/>
      <c r="AA8" s="420"/>
      <c r="AB8" s="420"/>
      <c r="AC8" s="420"/>
      <c r="AD8" s="420"/>
      <c r="AE8" s="420"/>
      <c r="AF8" s="420"/>
      <c r="AG8" s="420"/>
      <c r="AH8" s="420"/>
      <c r="AI8" s="420"/>
      <c r="AJ8" s="420"/>
      <c r="AK8" s="420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2"/>
      <c r="BA8" s="422"/>
      <c r="BB8" s="405"/>
      <c r="BC8" s="406"/>
      <c r="BD8" s="391"/>
      <c r="BE8" s="421"/>
      <c r="BF8" s="421"/>
      <c r="BG8" s="516"/>
      <c r="BH8" s="516"/>
      <c r="BI8" s="516"/>
      <c r="BJ8" s="516"/>
      <c r="BK8" s="516"/>
      <c r="BL8" s="391"/>
      <c r="BM8" s="391"/>
      <c r="BN8" s="444"/>
      <c r="BO8" s="444"/>
      <c r="BP8" s="444"/>
      <c r="BQ8" s="444"/>
      <c r="BR8" s="444"/>
      <c r="BS8" s="444"/>
      <c r="BT8" s="444"/>
      <c r="CD8" s="421"/>
      <c r="CE8" s="421"/>
      <c r="CF8" s="516"/>
      <c r="CG8" s="516"/>
      <c r="CH8" s="516"/>
    </row>
    <row r="9" spans="1:86" s="443" customFormat="1" ht="12.5" customHeight="1">
      <c r="A9" s="393"/>
      <c r="B9" s="418"/>
      <c r="C9" s="423"/>
      <c r="D9" s="419"/>
      <c r="E9" s="419"/>
      <c r="F9" s="419"/>
      <c r="G9" s="421"/>
      <c r="H9" s="431"/>
      <c r="I9" s="431"/>
      <c r="J9" s="431"/>
      <c r="K9" s="431"/>
      <c r="L9" s="431"/>
      <c r="M9" s="431"/>
      <c r="N9" s="431"/>
      <c r="O9" s="431"/>
      <c r="P9" s="431"/>
      <c r="Q9" s="431"/>
      <c r="R9" s="431"/>
      <c r="S9" s="431"/>
      <c r="T9" s="431"/>
      <c r="U9" s="431"/>
      <c r="V9" s="431"/>
      <c r="W9" s="431"/>
      <c r="X9" s="431"/>
      <c r="Y9" s="431"/>
      <c r="Z9" s="431"/>
      <c r="AA9" s="431"/>
      <c r="AB9" s="431"/>
      <c r="AC9" s="431"/>
      <c r="AD9" s="431"/>
      <c r="AE9" s="431"/>
      <c r="AF9" s="431"/>
      <c r="AG9" s="431"/>
      <c r="AH9" s="431"/>
      <c r="AI9" s="431"/>
      <c r="AJ9" s="431"/>
      <c r="AK9" s="431"/>
      <c r="AL9" s="431"/>
      <c r="AM9" s="431"/>
      <c r="AN9" s="431"/>
      <c r="AO9" s="431"/>
      <c r="AP9" s="431"/>
      <c r="AQ9" s="431"/>
      <c r="AR9" s="431"/>
      <c r="AS9" s="431"/>
      <c r="AT9" s="425"/>
      <c r="AU9" s="421"/>
      <c r="AV9" s="421"/>
      <c r="AW9" s="421"/>
      <c r="AX9" s="421"/>
      <c r="AY9" s="417"/>
      <c r="AZ9" s="422"/>
      <c r="BA9" s="422"/>
      <c r="BB9" s="389"/>
      <c r="BC9" s="390"/>
      <c r="BD9" s="391"/>
      <c r="BE9" s="516"/>
      <c r="BF9" s="391"/>
      <c r="BG9" s="28"/>
      <c r="BH9" s="421"/>
      <c r="BI9" s="516"/>
      <c r="BJ9" s="516"/>
      <c r="BK9" s="516"/>
      <c r="BL9" s="391"/>
      <c r="BM9" s="391"/>
      <c r="BN9" s="444"/>
      <c r="BO9" s="444"/>
      <c r="BP9" s="444"/>
      <c r="BQ9" s="444"/>
      <c r="BR9" s="444"/>
      <c r="BS9" s="444"/>
      <c r="BT9" s="444"/>
      <c r="CD9" s="516"/>
      <c r="CE9" s="391"/>
      <c r="CF9" s="28"/>
      <c r="CG9" s="421"/>
      <c r="CH9" s="516"/>
    </row>
    <row r="10" spans="1:86" s="443" customFormat="1" ht="15">
      <c r="A10" s="392"/>
      <c r="B10" s="426"/>
      <c r="C10" s="420"/>
      <c r="D10" s="420"/>
      <c r="E10" s="420"/>
      <c r="F10" s="420"/>
      <c r="G10" s="420"/>
      <c r="H10" s="420"/>
      <c r="I10" s="420"/>
      <c r="J10" s="420"/>
      <c r="K10" s="420"/>
      <c r="L10" s="420"/>
      <c r="M10" s="420"/>
      <c r="N10" s="420"/>
      <c r="O10" s="420"/>
      <c r="P10" s="420"/>
      <c r="Q10" s="420"/>
      <c r="R10" s="420"/>
      <c r="S10" s="420"/>
      <c r="T10" s="420"/>
      <c r="U10" s="420"/>
      <c r="V10" s="420"/>
      <c r="W10" s="420"/>
      <c r="X10" s="420"/>
      <c r="Y10" s="420"/>
      <c r="Z10" s="420"/>
      <c r="AA10" s="420"/>
      <c r="AB10" s="420"/>
      <c r="AC10" s="420"/>
      <c r="AD10" s="420"/>
      <c r="AE10" s="420"/>
      <c r="AF10" s="420"/>
      <c r="AG10" s="420"/>
      <c r="AH10" s="420"/>
      <c r="AI10" s="420"/>
      <c r="AJ10" s="420"/>
      <c r="AK10" s="420"/>
      <c r="AL10" s="420"/>
      <c r="AM10" s="420"/>
      <c r="AN10" s="420"/>
      <c r="AO10" s="420"/>
      <c r="AP10" s="420"/>
      <c r="AQ10" s="420"/>
      <c r="AR10" s="420"/>
      <c r="AS10" s="420"/>
      <c r="AT10" s="420"/>
      <c r="AU10" s="420"/>
      <c r="AV10" s="420"/>
      <c r="AW10" s="420"/>
      <c r="AX10" s="420"/>
      <c r="AY10" s="420"/>
      <c r="AZ10" s="422"/>
      <c r="BA10" s="422"/>
      <c r="BB10" s="492"/>
      <c r="BC10" s="493"/>
      <c r="BD10" s="407"/>
      <c r="BE10" s="444"/>
      <c r="BF10" s="444"/>
      <c r="BG10" s="391"/>
      <c r="BH10" s="444"/>
      <c r="BJ10" s="444"/>
      <c r="BN10" s="444"/>
      <c r="BO10" s="444"/>
      <c r="BP10" s="444"/>
      <c r="BQ10" s="444"/>
      <c r="BR10" s="444"/>
      <c r="BS10" s="444"/>
      <c r="BT10" s="444"/>
    </row>
    <row r="11" spans="1:86" s="443" customFormat="1" ht="12.5" customHeight="1">
      <c r="A11" s="393"/>
      <c r="B11" s="418"/>
      <c r="C11" s="420"/>
      <c r="D11" s="420"/>
      <c r="E11" s="420"/>
      <c r="F11" s="420"/>
      <c r="G11" s="420"/>
      <c r="H11" s="420"/>
      <c r="I11" s="420"/>
      <c r="J11" s="420"/>
      <c r="K11" s="420"/>
      <c r="L11" s="420"/>
      <c r="M11" s="420"/>
      <c r="N11" s="420"/>
      <c r="O11" s="420"/>
      <c r="P11" s="420"/>
      <c r="Q11" s="420"/>
      <c r="R11" s="420"/>
      <c r="S11" s="420"/>
      <c r="T11" s="420"/>
      <c r="U11" s="420"/>
      <c r="V11" s="420"/>
      <c r="W11" s="420"/>
      <c r="X11" s="420"/>
      <c r="Y11" s="420"/>
      <c r="Z11" s="420"/>
      <c r="AA11" s="420"/>
      <c r="AB11" s="420"/>
      <c r="AC11" s="420"/>
      <c r="AD11" s="420"/>
      <c r="AE11" s="420"/>
      <c r="AF11" s="420"/>
      <c r="AG11" s="420"/>
      <c r="AH11" s="420"/>
      <c r="AI11" s="420"/>
      <c r="AJ11" s="420"/>
      <c r="AK11" s="420"/>
      <c r="AL11" s="420"/>
      <c r="AM11" s="420"/>
      <c r="AN11" s="420"/>
      <c r="AO11" s="420"/>
      <c r="AP11" s="420"/>
      <c r="AQ11" s="420"/>
      <c r="AR11" s="420"/>
      <c r="AS11" s="420"/>
      <c r="AT11" s="420"/>
      <c r="AU11" s="420"/>
      <c r="AV11" s="420"/>
      <c r="AW11" s="420"/>
      <c r="AX11" s="420"/>
      <c r="AY11" s="420"/>
      <c r="AZ11" s="422"/>
      <c r="BA11" s="422"/>
      <c r="BB11" s="405"/>
      <c r="BC11" s="406"/>
      <c r="BD11" s="391"/>
      <c r="BE11" s="516"/>
      <c r="BF11" s="421"/>
      <c r="BG11" s="421"/>
      <c r="BH11" s="421"/>
      <c r="BI11" s="516"/>
      <c r="BJ11" s="516"/>
      <c r="BK11" s="516"/>
      <c r="BL11" s="391"/>
      <c r="BM11" s="391"/>
      <c r="BN11" s="444"/>
      <c r="BO11" s="444"/>
      <c r="BP11" s="444"/>
      <c r="BQ11" s="444"/>
      <c r="BR11" s="444"/>
      <c r="BS11" s="444"/>
      <c r="BT11" s="444"/>
      <c r="CD11" s="516"/>
      <c r="CE11" s="421"/>
      <c r="CF11" s="421"/>
      <c r="CG11" s="421"/>
      <c r="CH11" s="516"/>
    </row>
    <row r="12" spans="1:86" s="443" customFormat="1" ht="12.5" customHeight="1">
      <c r="A12" s="393"/>
      <c r="B12" s="418"/>
      <c r="C12" s="423"/>
      <c r="D12" s="419"/>
      <c r="E12" s="419"/>
      <c r="F12" s="419"/>
      <c r="G12" s="421"/>
      <c r="H12" s="431"/>
      <c r="I12" s="431"/>
      <c r="J12" s="431"/>
      <c r="K12" s="431"/>
      <c r="L12" s="431"/>
      <c r="M12" s="431"/>
      <c r="N12" s="431"/>
      <c r="O12" s="431"/>
      <c r="P12" s="431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  <c r="AB12" s="431"/>
      <c r="AC12" s="431"/>
      <c r="AD12" s="431"/>
      <c r="AE12" s="431"/>
      <c r="AF12" s="431"/>
      <c r="AG12" s="431"/>
      <c r="AH12" s="431"/>
      <c r="AI12" s="431"/>
      <c r="AJ12" s="431"/>
      <c r="AK12" s="431"/>
      <c r="AL12" s="431"/>
      <c r="AM12" s="431"/>
      <c r="AN12" s="431"/>
      <c r="AO12" s="431"/>
      <c r="AP12" s="431"/>
      <c r="AQ12" s="431"/>
      <c r="AR12" s="431"/>
      <c r="AS12" s="431"/>
      <c r="AT12" s="425"/>
      <c r="AU12" s="421"/>
      <c r="AV12" s="421"/>
      <c r="AW12" s="421"/>
      <c r="AX12" s="421"/>
      <c r="AY12" s="417"/>
      <c r="AZ12" s="422"/>
      <c r="BA12" s="422"/>
      <c r="BB12" s="389"/>
      <c r="BC12" s="390"/>
      <c r="BD12" s="391"/>
      <c r="BE12" s="421"/>
      <c r="BG12" s="391"/>
      <c r="BI12" s="516"/>
      <c r="BJ12" s="516"/>
      <c r="BK12" s="516"/>
      <c r="BL12" s="391"/>
      <c r="BM12" s="391"/>
      <c r="BN12" s="444"/>
      <c r="BO12" s="444"/>
      <c r="BP12" s="444"/>
      <c r="BQ12" s="444"/>
      <c r="BR12" s="444"/>
      <c r="BS12" s="444"/>
      <c r="BT12" s="444"/>
      <c r="CD12" s="421"/>
      <c r="CF12" s="391"/>
      <c r="CH12" s="516"/>
    </row>
    <row r="13" spans="1:86" s="443" customFormat="1" ht="17.5" customHeight="1">
      <c r="A13" s="393"/>
      <c r="B13" s="499"/>
      <c r="C13" s="500"/>
      <c r="D13" s="500"/>
      <c r="E13" s="502" t="s">
        <v>261</v>
      </c>
      <c r="F13" s="500"/>
      <c r="G13" s="500"/>
      <c r="H13" s="500"/>
      <c r="I13" s="500"/>
      <c r="J13" s="500"/>
      <c r="K13" s="500"/>
      <c r="L13" s="500"/>
      <c r="M13" s="500"/>
      <c r="N13" s="500"/>
      <c r="O13" s="502"/>
      <c r="P13" s="502" t="s">
        <v>263</v>
      </c>
      <c r="Q13" s="500"/>
      <c r="R13" s="500"/>
      <c r="S13" s="500"/>
      <c r="T13" s="500"/>
      <c r="U13" s="500"/>
      <c r="V13" s="500"/>
      <c r="W13" s="500"/>
      <c r="X13" s="502"/>
      <c r="Y13" s="502" t="s">
        <v>265</v>
      </c>
      <c r="Z13" s="500"/>
      <c r="AA13" s="500"/>
      <c r="AB13" s="500"/>
      <c r="AC13" s="500"/>
      <c r="AD13" s="500"/>
      <c r="AE13" s="500"/>
      <c r="AF13" s="500"/>
      <c r="AG13" s="500"/>
      <c r="AH13" s="502" t="s">
        <v>267</v>
      </c>
      <c r="AI13" s="500"/>
      <c r="AJ13" s="500"/>
      <c r="AK13" s="500"/>
      <c r="AL13" s="500"/>
      <c r="AM13" s="500"/>
      <c r="AN13" s="500"/>
      <c r="AO13" s="500"/>
      <c r="AP13" s="500"/>
      <c r="AQ13" s="500"/>
      <c r="AR13" s="502" t="s">
        <v>269</v>
      </c>
      <c r="AS13" s="500"/>
      <c r="AT13" s="500"/>
      <c r="AU13" s="500"/>
      <c r="AV13" s="500"/>
      <c r="AW13" s="500"/>
      <c r="AX13" s="500"/>
      <c r="AY13" s="500"/>
      <c r="AZ13" s="501"/>
      <c r="BA13" s="422"/>
      <c r="BB13" s="492"/>
      <c r="BC13" s="493"/>
      <c r="BD13" s="391"/>
      <c r="BE13" s="391"/>
      <c r="BH13" s="517"/>
      <c r="BI13" s="391"/>
      <c r="BJ13" s="391"/>
      <c r="BK13" s="391"/>
      <c r="BL13" s="391"/>
      <c r="BM13" s="391"/>
      <c r="BN13" s="444"/>
      <c r="BO13" s="444"/>
      <c r="BP13" s="444"/>
      <c r="BQ13" s="444"/>
      <c r="BR13" s="444"/>
      <c r="BS13" s="444"/>
      <c r="BT13" s="444"/>
      <c r="CD13" s="391"/>
      <c r="CE13" s="421"/>
      <c r="CF13" s="391"/>
      <c r="CG13" s="517"/>
      <c r="CH13" s="391"/>
    </row>
    <row r="14" spans="1:86" s="443" customFormat="1" ht="17.5" customHeight="1">
      <c r="A14" s="393"/>
      <c r="B14" s="499"/>
      <c r="C14" s="500"/>
      <c r="D14" s="500"/>
      <c r="E14" s="502" t="s">
        <v>262</v>
      </c>
      <c r="F14" s="500"/>
      <c r="G14" s="500"/>
      <c r="H14" s="500"/>
      <c r="I14" s="500"/>
      <c r="J14" s="500"/>
      <c r="K14" s="500"/>
      <c r="L14" s="500"/>
      <c r="M14" s="500"/>
      <c r="N14" s="500"/>
      <c r="O14" s="502"/>
      <c r="P14" s="502" t="s">
        <v>264</v>
      </c>
      <c r="Q14" s="500"/>
      <c r="R14" s="500"/>
      <c r="S14" s="500"/>
      <c r="T14" s="500"/>
      <c r="U14" s="500"/>
      <c r="V14" s="500"/>
      <c r="W14" s="500"/>
      <c r="X14" s="502"/>
      <c r="Y14" s="502" t="s">
        <v>266</v>
      </c>
      <c r="Z14" s="500"/>
      <c r="AA14" s="500"/>
      <c r="AB14" s="500"/>
      <c r="AC14" s="500"/>
      <c r="AD14" s="500"/>
      <c r="AE14" s="500"/>
      <c r="AF14" s="500"/>
      <c r="AG14" s="500"/>
      <c r="AH14" s="502" t="s">
        <v>268</v>
      </c>
      <c r="AI14" s="500"/>
      <c r="AJ14" s="500"/>
      <c r="AK14" s="500"/>
      <c r="AL14" s="500"/>
      <c r="AM14" s="500"/>
      <c r="AN14" s="500"/>
      <c r="AO14" s="500"/>
      <c r="AP14" s="500"/>
      <c r="AQ14" s="500"/>
      <c r="AR14" s="502" t="s">
        <v>270</v>
      </c>
      <c r="AS14" s="500"/>
      <c r="AT14" s="500"/>
      <c r="AU14" s="500"/>
      <c r="AV14" s="500"/>
      <c r="AW14" s="500"/>
      <c r="AX14" s="500"/>
      <c r="AY14" s="500"/>
      <c r="AZ14" s="422"/>
      <c r="BA14" s="422"/>
      <c r="BB14" s="405"/>
      <c r="BC14" s="406"/>
      <c r="BD14" s="391"/>
      <c r="BF14" s="421"/>
      <c r="BG14" s="391"/>
    </row>
    <row r="15" spans="1:86" s="443" customFormat="1" ht="17.5" customHeight="1">
      <c r="A15" s="393"/>
      <c r="B15" s="525"/>
      <c r="C15" s="526"/>
      <c r="D15" s="526"/>
      <c r="E15" s="527" t="s">
        <v>262</v>
      </c>
      <c r="F15" s="527"/>
      <c r="G15" s="527"/>
      <c r="H15" s="527"/>
      <c r="I15" s="527"/>
      <c r="J15" s="527"/>
      <c r="K15" s="527"/>
      <c r="L15" s="527"/>
      <c r="M15" s="527"/>
      <c r="N15" s="527"/>
      <c r="O15" s="527"/>
      <c r="P15" s="527" t="s">
        <v>271</v>
      </c>
      <c r="Q15" s="527"/>
      <c r="R15" s="527"/>
      <c r="S15" s="527"/>
      <c r="T15" s="527"/>
      <c r="U15" s="527"/>
      <c r="V15" s="527"/>
      <c r="W15" s="527"/>
      <c r="X15" s="527"/>
      <c r="Y15" s="527" t="s">
        <v>272</v>
      </c>
      <c r="Z15" s="527"/>
      <c r="AA15" s="527"/>
      <c r="AB15" s="527"/>
      <c r="AC15" s="527"/>
      <c r="AD15" s="527"/>
      <c r="AE15" s="527"/>
      <c r="AF15" s="527"/>
      <c r="AG15" s="527"/>
      <c r="AH15" s="527" t="s">
        <v>273</v>
      </c>
      <c r="AI15" s="527"/>
      <c r="AJ15" s="527"/>
      <c r="AK15" s="527"/>
      <c r="AL15" s="527"/>
      <c r="AM15" s="527"/>
      <c r="AN15" s="527"/>
      <c r="AO15" s="527"/>
      <c r="AP15" s="527"/>
      <c r="AQ15" s="527"/>
      <c r="AR15" s="527" t="s">
        <v>270</v>
      </c>
      <c r="AS15" s="528"/>
      <c r="AT15" s="529"/>
      <c r="AU15" s="530"/>
      <c r="AV15" s="531"/>
      <c r="AW15" s="531"/>
      <c r="AX15" s="531"/>
      <c r="AY15" s="532"/>
      <c r="AZ15" s="422"/>
      <c r="BA15" s="422"/>
      <c r="BB15" s="389"/>
      <c r="BC15" s="390"/>
      <c r="BD15" s="391"/>
      <c r="BG15" s="391"/>
    </row>
    <row r="16" spans="1:86" s="443" customFormat="1" ht="12.5" customHeight="1">
      <c r="A16" s="393"/>
      <c r="B16" s="418"/>
      <c r="C16" s="420"/>
      <c r="D16" s="420"/>
      <c r="E16" s="505"/>
      <c r="F16" s="505"/>
      <c r="G16" s="505"/>
      <c r="H16" s="505"/>
      <c r="I16" s="505"/>
      <c r="J16" s="505"/>
      <c r="K16" s="505"/>
      <c r="L16" s="505"/>
      <c r="M16" s="505"/>
      <c r="N16" s="505"/>
      <c r="O16" s="505"/>
      <c r="P16" s="505"/>
      <c r="Q16" s="505"/>
      <c r="R16" s="505"/>
      <c r="S16" s="505"/>
      <c r="T16" s="505"/>
      <c r="U16" s="505"/>
      <c r="V16" s="505"/>
      <c r="W16" s="505"/>
      <c r="X16" s="505"/>
      <c r="Y16" s="505"/>
      <c r="Z16" s="505"/>
      <c r="AA16" s="505"/>
      <c r="AB16" s="505"/>
      <c r="AC16" s="505"/>
      <c r="AD16" s="505"/>
      <c r="AE16" s="505"/>
      <c r="AF16" s="505"/>
      <c r="AG16" s="505"/>
      <c r="AH16" s="505"/>
      <c r="AI16" s="505"/>
      <c r="AJ16" s="505"/>
      <c r="AK16" s="505"/>
      <c r="AL16" s="505"/>
      <c r="AM16" s="505"/>
      <c r="AN16" s="505"/>
      <c r="AO16" s="505"/>
      <c r="AP16" s="505"/>
      <c r="AQ16" s="505"/>
      <c r="AR16" s="505"/>
      <c r="AS16" s="505"/>
      <c r="AT16" s="505"/>
      <c r="AU16" s="505"/>
      <c r="AV16" s="420"/>
      <c r="AW16" s="420"/>
      <c r="AX16" s="420"/>
      <c r="AY16" s="420"/>
      <c r="AZ16" s="422"/>
      <c r="BA16" s="422"/>
      <c r="BB16" s="405"/>
      <c r="BC16" s="406"/>
      <c r="BD16" s="391"/>
    </row>
    <row r="17" spans="1:86" s="443" customFormat="1" ht="16" customHeight="1">
      <c r="A17" s="393"/>
      <c r="B17" s="508"/>
      <c r="C17" s="500"/>
      <c r="D17" s="500"/>
      <c r="E17" s="502"/>
      <c r="F17" s="500"/>
      <c r="G17" s="500"/>
      <c r="H17" s="500"/>
      <c r="I17" s="500"/>
      <c r="J17" s="500"/>
      <c r="K17" s="500"/>
      <c r="L17" s="500"/>
      <c r="M17" s="500"/>
      <c r="N17" s="500"/>
      <c r="O17" s="502"/>
      <c r="P17" s="502"/>
      <c r="Q17" s="500"/>
      <c r="R17" s="500"/>
      <c r="S17" s="500"/>
      <c r="T17" s="500"/>
      <c r="U17" s="500"/>
      <c r="V17" s="500"/>
      <c r="W17" s="500"/>
      <c r="X17" s="502"/>
      <c r="Y17" s="502"/>
      <c r="Z17" s="500"/>
      <c r="AA17" s="500"/>
      <c r="AB17" s="500"/>
      <c r="AC17" s="500"/>
      <c r="AD17" s="500"/>
      <c r="AE17" s="500"/>
      <c r="AF17" s="500"/>
      <c r="AG17" s="500"/>
      <c r="AH17" s="502"/>
      <c r="AI17" s="500"/>
      <c r="AJ17" s="500"/>
      <c r="AK17" s="500"/>
      <c r="AL17" s="500"/>
      <c r="AM17" s="510"/>
      <c r="AN17" s="512" t="s">
        <v>274</v>
      </c>
      <c r="AO17" s="513">
        <v>1</v>
      </c>
      <c r="AP17" s="514" t="s">
        <v>275</v>
      </c>
      <c r="AQ17" s="590">
        <v>3034</v>
      </c>
      <c r="AR17" s="590"/>
      <c r="AS17" s="515" t="s">
        <v>276</v>
      </c>
      <c r="AT17" s="502"/>
      <c r="AU17" s="511"/>
      <c r="AV17" s="502"/>
      <c r="AW17" s="502"/>
      <c r="AX17" s="502"/>
      <c r="AY17" s="502"/>
      <c r="AZ17" s="509"/>
      <c r="BA17" s="422"/>
      <c r="BB17" s="389"/>
      <c r="BC17" s="390"/>
      <c r="BD17" s="391"/>
      <c r="BE17" s="391"/>
      <c r="BF17" s="421"/>
      <c r="BG17" s="391"/>
      <c r="BH17" s="517"/>
      <c r="BI17" s="391"/>
      <c r="BJ17" s="391"/>
      <c r="BK17" s="391"/>
      <c r="BL17" s="391"/>
      <c r="BM17" s="391"/>
      <c r="BN17" s="444"/>
      <c r="BO17" s="444"/>
      <c r="BP17" s="444"/>
      <c r="BQ17" s="444"/>
      <c r="BR17" s="444"/>
      <c r="BS17" s="444"/>
      <c r="BT17" s="444"/>
    </row>
    <row r="18" spans="1:86" s="443" customFormat="1" ht="12.5" customHeight="1">
      <c r="A18" s="393"/>
      <c r="B18" s="426"/>
      <c r="C18" s="420"/>
      <c r="D18" s="420"/>
      <c r="E18" s="420"/>
      <c r="F18" s="420"/>
      <c r="G18" s="420"/>
      <c r="H18" s="420"/>
      <c r="I18" s="420"/>
      <c r="J18" s="420"/>
      <c r="K18" s="420"/>
      <c r="L18" s="420"/>
      <c r="M18" s="420"/>
      <c r="N18" s="420"/>
      <c r="O18" s="420"/>
      <c r="P18" s="420"/>
      <c r="Q18" s="420"/>
      <c r="R18" s="420"/>
      <c r="S18" s="420"/>
      <c r="T18" s="420"/>
      <c r="U18" s="420"/>
      <c r="V18" s="420"/>
      <c r="W18" s="420"/>
      <c r="X18" s="420"/>
      <c r="Y18" s="420"/>
      <c r="Z18" s="420"/>
      <c r="AA18" s="420"/>
      <c r="AB18" s="420"/>
      <c r="AC18" s="420"/>
      <c r="AD18" s="420"/>
      <c r="AE18" s="420"/>
      <c r="AF18" s="420"/>
      <c r="AG18" s="420"/>
      <c r="AH18" s="420"/>
      <c r="AI18" s="420"/>
      <c r="AJ18" s="420"/>
      <c r="AK18" s="420"/>
      <c r="AL18" s="420"/>
      <c r="AM18" s="420"/>
      <c r="AN18" s="420"/>
      <c r="AO18" s="420"/>
      <c r="AP18" s="420"/>
      <c r="AQ18" s="420"/>
      <c r="AR18" s="420"/>
      <c r="AS18" s="420"/>
      <c r="AT18" s="420"/>
      <c r="AU18" s="420"/>
      <c r="AV18" s="420"/>
      <c r="AW18" s="420"/>
      <c r="AX18" s="420"/>
      <c r="AY18" s="420"/>
      <c r="AZ18" s="422"/>
      <c r="BA18" s="422"/>
      <c r="BB18" s="389"/>
      <c r="BC18" s="390"/>
      <c r="BD18" s="391"/>
      <c r="BE18" s="421"/>
      <c r="BG18" s="391"/>
      <c r="BI18" s="391"/>
      <c r="BJ18" s="391"/>
      <c r="BK18" s="391"/>
      <c r="BL18" s="391"/>
      <c r="BM18" s="391"/>
      <c r="BN18" s="444"/>
      <c r="BO18" s="444"/>
      <c r="BP18" s="444"/>
      <c r="BQ18" s="444"/>
      <c r="BR18" s="444"/>
      <c r="BS18" s="444"/>
      <c r="BT18" s="444"/>
    </row>
    <row r="19" spans="1:86" s="443" customFormat="1" ht="12.5" customHeight="1">
      <c r="A19" s="393"/>
      <c r="B19" s="418"/>
      <c r="C19" s="524"/>
      <c r="D19" s="420"/>
      <c r="E19" s="420"/>
      <c r="F19" s="420"/>
      <c r="G19" s="420"/>
      <c r="H19" s="420"/>
      <c r="I19" s="420"/>
      <c r="J19" s="420"/>
      <c r="K19" s="420"/>
      <c r="L19" s="420"/>
      <c r="M19" s="420"/>
      <c r="N19" s="420"/>
      <c r="O19" s="420"/>
      <c r="P19" s="420"/>
      <c r="Q19" s="420"/>
      <c r="R19" s="420"/>
      <c r="S19" s="420"/>
      <c r="T19" s="420"/>
      <c r="U19" s="420"/>
      <c r="V19" s="420"/>
      <c r="W19" s="420"/>
      <c r="X19" s="420"/>
      <c r="Y19" s="420"/>
      <c r="Z19" s="420"/>
      <c r="AA19" s="420"/>
      <c r="AB19" s="420"/>
      <c r="AC19" s="420"/>
      <c r="AD19" s="420"/>
      <c r="AE19" s="420"/>
      <c r="AF19" s="420"/>
      <c r="AG19" s="420"/>
      <c r="AH19" s="420"/>
      <c r="AI19" s="420"/>
      <c r="AJ19" s="420"/>
      <c r="AK19" s="420"/>
      <c r="AL19" s="420"/>
      <c r="AM19" s="420"/>
      <c r="AN19" s="420"/>
      <c r="AO19" s="420"/>
      <c r="AP19" s="420"/>
      <c r="AQ19" s="420"/>
      <c r="AR19" s="420"/>
      <c r="AS19" s="420"/>
      <c r="AT19" s="420"/>
      <c r="AU19" s="420"/>
      <c r="AV19" s="420"/>
      <c r="AW19" s="420"/>
      <c r="AX19" s="420"/>
      <c r="AY19" s="420"/>
      <c r="AZ19" s="422"/>
      <c r="BA19" s="422"/>
      <c r="BB19" s="405"/>
      <c r="BC19" s="406"/>
      <c r="BD19" s="391"/>
      <c r="BE19" s="391"/>
      <c r="BT19" s="444"/>
      <c r="CD19" s="421"/>
      <c r="CF19" s="391"/>
      <c r="CH19" s="391"/>
    </row>
    <row r="20" spans="1:86" s="443" customFormat="1" ht="12.5" customHeight="1">
      <c r="A20" s="393"/>
      <c r="B20" s="418"/>
      <c r="C20" s="423"/>
      <c r="D20" s="419"/>
      <c r="E20" s="419"/>
      <c r="F20" s="419"/>
      <c r="G20" s="421"/>
      <c r="H20" s="431"/>
      <c r="I20" s="431"/>
      <c r="J20" s="431"/>
      <c r="K20" s="431"/>
      <c r="L20" s="431"/>
      <c r="M20" s="431"/>
      <c r="N20" s="431"/>
      <c r="O20" s="431"/>
      <c r="P20" s="431"/>
      <c r="Q20" s="431"/>
      <c r="R20" s="431"/>
      <c r="S20" s="431"/>
      <c r="T20" s="431"/>
      <c r="U20" s="431"/>
      <c r="V20" s="431"/>
      <c r="W20" s="431"/>
      <c r="X20" s="431"/>
      <c r="Y20" s="431"/>
      <c r="Z20" s="431"/>
      <c r="AA20" s="431"/>
      <c r="AB20" s="431"/>
      <c r="AC20" s="431"/>
      <c r="AD20" s="431"/>
      <c r="AE20" s="431"/>
      <c r="AF20" s="431"/>
      <c r="AG20" s="431"/>
      <c r="AH20" s="431"/>
      <c r="AI20" s="431"/>
      <c r="AJ20" s="431"/>
      <c r="AK20" s="431"/>
      <c r="AL20" s="431"/>
      <c r="AM20" s="431"/>
      <c r="AN20" s="431"/>
      <c r="AO20" s="431"/>
      <c r="AP20" s="431"/>
      <c r="AQ20" s="431"/>
      <c r="AR20" s="431"/>
      <c r="AS20" s="431"/>
      <c r="AT20" s="425"/>
      <c r="AU20" s="421"/>
      <c r="AV20" s="421"/>
      <c r="AW20" s="421"/>
      <c r="AX20" s="421"/>
      <c r="AY20" s="417"/>
      <c r="AZ20" s="422"/>
      <c r="BA20" s="422"/>
      <c r="BB20" s="389"/>
      <c r="BC20" s="390"/>
      <c r="BD20" s="391"/>
      <c r="BE20" s="518"/>
      <c r="BT20" s="444"/>
      <c r="CD20" s="391"/>
      <c r="CE20" s="421"/>
      <c r="CF20" s="391"/>
      <c r="CG20" s="391"/>
      <c r="CH20" s="391"/>
    </row>
    <row r="21" spans="1:86" s="443" customFormat="1" ht="12.5" customHeight="1">
      <c r="A21" s="393"/>
      <c r="B21" s="426"/>
      <c r="C21" s="420"/>
      <c r="D21" s="420"/>
      <c r="E21" s="420"/>
      <c r="F21" s="420"/>
      <c r="G21" s="420"/>
      <c r="H21" s="420"/>
      <c r="I21" s="420"/>
      <c r="J21" s="420"/>
      <c r="K21" s="420"/>
      <c r="L21" s="420"/>
      <c r="M21" s="420"/>
      <c r="N21" s="420"/>
      <c r="O21" s="420"/>
      <c r="P21" s="420"/>
      <c r="Q21" s="420"/>
      <c r="R21" s="420"/>
      <c r="S21" s="420"/>
      <c r="T21" s="420"/>
      <c r="U21" s="420"/>
      <c r="V21" s="420"/>
      <c r="W21" s="420"/>
      <c r="X21" s="420"/>
      <c r="Y21" s="420"/>
      <c r="Z21" s="420"/>
      <c r="AA21" s="420"/>
      <c r="AB21" s="420"/>
      <c r="AC21" s="420"/>
      <c r="AD21" s="420"/>
      <c r="AE21" s="420"/>
      <c r="AF21" s="420"/>
      <c r="AG21" s="420"/>
      <c r="AH21" s="420"/>
      <c r="AI21" s="420"/>
      <c r="AJ21" s="420"/>
      <c r="AK21" s="420"/>
      <c r="AL21" s="420"/>
      <c r="AM21" s="420"/>
      <c r="AN21" s="420"/>
      <c r="AO21" s="420"/>
      <c r="AP21" s="420"/>
      <c r="AQ21" s="420"/>
      <c r="AR21" s="420"/>
      <c r="AS21" s="420"/>
      <c r="AT21" s="420"/>
      <c r="AU21" s="420"/>
      <c r="AV21" s="420"/>
      <c r="AW21" s="420"/>
      <c r="AX21" s="420"/>
      <c r="AY21" s="420"/>
      <c r="AZ21" s="422"/>
      <c r="BA21" s="422"/>
      <c r="BB21" s="389"/>
      <c r="BC21" s="390"/>
      <c r="BD21" s="391"/>
      <c r="BE21" s="391"/>
      <c r="BF21" s="421"/>
      <c r="BG21" s="391"/>
      <c r="BH21" s="391"/>
      <c r="BI21" s="391"/>
      <c r="BJ21" s="391"/>
      <c r="BK21" s="391"/>
      <c r="BL21" s="391"/>
      <c r="BM21" s="391"/>
      <c r="BN21" s="444"/>
      <c r="BO21" s="444"/>
      <c r="BP21" s="444"/>
      <c r="BQ21" s="444"/>
      <c r="BR21" s="444"/>
      <c r="BS21" s="444"/>
      <c r="BT21" s="444"/>
      <c r="CD21" s="518"/>
      <c r="CF21" s="391"/>
      <c r="CH21" s="391"/>
    </row>
    <row r="22" spans="1:86" s="443" customFormat="1" ht="12.5" customHeight="1">
      <c r="A22" s="393"/>
      <c r="B22" s="418"/>
      <c r="C22" s="423"/>
      <c r="D22" s="419"/>
      <c r="E22" s="419"/>
      <c r="F22" s="419"/>
      <c r="G22" s="421"/>
      <c r="H22" s="431"/>
      <c r="I22" s="431"/>
      <c r="J22" s="431"/>
      <c r="K22" s="431"/>
      <c r="L22" s="431"/>
      <c r="M22" s="431"/>
      <c r="N22" s="431"/>
      <c r="O22" s="431"/>
      <c r="P22" s="431"/>
      <c r="Q22" s="431"/>
      <c r="R22" s="431"/>
      <c r="S22" s="431"/>
      <c r="T22" s="431"/>
      <c r="U22" s="431"/>
      <c r="V22" s="431"/>
      <c r="W22" s="431"/>
      <c r="X22" s="431"/>
      <c r="Y22" s="431"/>
      <c r="Z22" s="431"/>
      <c r="AA22" s="431"/>
      <c r="AB22" s="431"/>
      <c r="AC22" s="431"/>
      <c r="AD22" s="431"/>
      <c r="AE22" s="431"/>
      <c r="AF22" s="431"/>
      <c r="AG22" s="431"/>
      <c r="AH22" s="431"/>
      <c r="AI22" s="431"/>
      <c r="AJ22" s="431"/>
      <c r="AK22" s="431"/>
      <c r="AL22" s="431"/>
      <c r="AM22" s="431"/>
      <c r="AN22" s="431"/>
      <c r="AO22" s="431"/>
      <c r="AP22" s="431"/>
      <c r="AQ22" s="431"/>
      <c r="AR22" s="431"/>
      <c r="AS22" s="431"/>
      <c r="AT22" s="425"/>
      <c r="AU22" s="421"/>
      <c r="AV22" s="421"/>
      <c r="AW22" s="421"/>
      <c r="AX22" s="421"/>
      <c r="AY22" s="417"/>
      <c r="AZ22" s="422"/>
      <c r="BA22" s="422"/>
      <c r="BB22" s="389"/>
      <c r="BC22" s="390"/>
      <c r="BD22" s="391"/>
      <c r="BE22" s="391"/>
      <c r="BG22" s="391"/>
      <c r="BI22" s="391"/>
      <c r="BJ22" s="391"/>
      <c r="BK22" s="391"/>
      <c r="BL22" s="391"/>
      <c r="BM22" s="391"/>
      <c r="BN22" s="444"/>
      <c r="BO22" s="444"/>
      <c r="BP22" s="444"/>
      <c r="BQ22" s="444"/>
      <c r="BR22" s="444"/>
      <c r="BS22" s="444"/>
      <c r="BT22" s="444"/>
      <c r="CD22" s="391"/>
      <c r="CH22" s="391"/>
    </row>
    <row r="23" spans="1:86" ht="12.5" customHeight="1">
      <c r="A23" s="393"/>
      <c r="B23" s="418"/>
      <c r="C23" s="470" t="s">
        <v>238</v>
      </c>
      <c r="D23" s="420"/>
      <c r="E23" s="420"/>
      <c r="F23" s="420"/>
      <c r="G23" s="420"/>
      <c r="H23" s="420"/>
      <c r="I23" s="420"/>
      <c r="J23" s="420"/>
      <c r="K23" s="420"/>
      <c r="L23" s="420"/>
      <c r="M23" s="420"/>
      <c r="N23" s="420"/>
      <c r="O23" s="420"/>
      <c r="P23" s="420"/>
      <c r="Q23" s="420"/>
      <c r="R23" s="420"/>
      <c r="S23" s="420"/>
      <c r="T23" s="420"/>
      <c r="U23" s="420"/>
      <c r="V23" s="420"/>
      <c r="W23" s="420"/>
      <c r="X23" s="420"/>
      <c r="Y23" s="420"/>
      <c r="Z23" s="420"/>
      <c r="AA23" s="420"/>
      <c r="AB23" s="420"/>
      <c r="AC23" s="420"/>
      <c r="AD23" s="420"/>
      <c r="AE23" s="420"/>
      <c r="AF23" s="420"/>
      <c r="AG23" s="420"/>
      <c r="AH23" s="420"/>
      <c r="AI23" s="420"/>
      <c r="AJ23" s="420"/>
      <c r="AK23" s="420"/>
      <c r="AL23" s="420"/>
      <c r="AM23" s="420"/>
      <c r="AN23" s="420"/>
      <c r="AO23" s="420"/>
      <c r="AP23" s="420"/>
      <c r="AQ23" s="420"/>
      <c r="AR23" s="420"/>
      <c r="AS23" s="431"/>
      <c r="AT23" s="425"/>
      <c r="AU23" s="421"/>
      <c r="AV23" s="417"/>
      <c r="AW23" s="417"/>
      <c r="AX23" s="421"/>
      <c r="AY23" s="417"/>
      <c r="AZ23" s="422"/>
      <c r="BA23" s="422"/>
      <c r="BB23" s="405"/>
      <c r="BC23" s="406"/>
      <c r="BD23" s="391"/>
      <c r="BE23" s="391"/>
      <c r="BI23" s="391"/>
      <c r="BJ23" s="391"/>
      <c r="BK23" s="391"/>
      <c r="BL23" s="391"/>
      <c r="BM23" s="391"/>
      <c r="BN23" s="444"/>
      <c r="BO23" s="444"/>
      <c r="BP23" s="444"/>
      <c r="BQ23" s="444"/>
      <c r="BR23" s="444"/>
      <c r="BS23" s="444"/>
      <c r="BT23" s="444"/>
      <c r="CD23" s="391"/>
      <c r="CE23" s="421"/>
      <c r="CF23" s="391"/>
      <c r="CG23" s="391"/>
      <c r="CH23" s="391"/>
    </row>
    <row r="24" spans="1:86" ht="5" customHeight="1" thickBot="1">
      <c r="A24" s="393"/>
      <c r="B24" s="394"/>
      <c r="C24" s="489"/>
      <c r="D24" s="489"/>
      <c r="E24" s="489"/>
      <c r="F24" s="490"/>
      <c r="G24" s="491"/>
      <c r="H24" s="431"/>
      <c r="I24" s="431"/>
      <c r="J24" s="431"/>
      <c r="K24" s="431"/>
      <c r="L24" s="431"/>
      <c r="M24" s="431"/>
      <c r="N24" s="431"/>
      <c r="O24" s="431"/>
      <c r="P24" s="431"/>
      <c r="Q24" s="431"/>
      <c r="R24" s="431"/>
      <c r="S24" s="431"/>
      <c r="T24" s="431"/>
      <c r="U24" s="431"/>
      <c r="V24" s="431"/>
      <c r="W24" s="431"/>
      <c r="X24" s="431"/>
      <c r="Y24" s="431"/>
      <c r="Z24" s="431"/>
      <c r="AA24" s="431"/>
      <c r="AB24" s="431"/>
      <c r="AC24" s="431"/>
      <c r="AD24" s="431"/>
      <c r="AE24" s="431"/>
      <c r="AF24" s="431"/>
      <c r="AG24" s="431"/>
      <c r="AH24" s="431"/>
      <c r="AI24" s="431"/>
      <c r="AJ24" s="431"/>
      <c r="AK24" s="431"/>
      <c r="AL24" s="431"/>
      <c r="AM24" s="431"/>
      <c r="AN24" s="431"/>
      <c r="AO24" s="431"/>
      <c r="AP24" s="431"/>
      <c r="AQ24" s="431"/>
      <c r="AR24" s="431"/>
      <c r="AS24" s="431"/>
      <c r="AT24" s="425"/>
      <c r="AU24" s="421"/>
      <c r="AV24" s="400"/>
      <c r="AW24" s="400"/>
      <c r="AX24" s="400"/>
      <c r="AY24" s="395"/>
      <c r="AZ24" s="396"/>
      <c r="BA24" s="396"/>
      <c r="BB24" s="389"/>
      <c r="BC24" s="390"/>
      <c r="BD24" s="391"/>
      <c r="CD24" s="391"/>
      <c r="CF24" s="391"/>
      <c r="CH24" s="391"/>
    </row>
    <row r="25" spans="1:86" ht="0.5" customHeight="1" thickTop="1">
      <c r="A25" s="393"/>
      <c r="B25" s="394"/>
      <c r="C25" s="391"/>
      <c r="D25" s="391"/>
      <c r="E25" s="391"/>
      <c r="F25" s="392"/>
      <c r="G25" s="421"/>
      <c r="H25" s="431"/>
      <c r="I25" s="431"/>
      <c r="J25" s="431"/>
      <c r="K25" s="431"/>
      <c r="L25" s="431"/>
      <c r="M25" s="431"/>
      <c r="N25" s="431"/>
      <c r="O25" s="431"/>
      <c r="P25" s="431"/>
      <c r="Q25" s="431"/>
      <c r="R25" s="431"/>
      <c r="S25" s="431"/>
      <c r="T25" s="431"/>
      <c r="U25" s="431"/>
      <c r="V25" s="431"/>
      <c r="W25" s="431"/>
      <c r="X25" s="431"/>
      <c r="Y25" s="431"/>
      <c r="Z25" s="431"/>
      <c r="AA25" s="431"/>
      <c r="AB25" s="431"/>
      <c r="AC25" s="431"/>
      <c r="AD25" s="431"/>
      <c r="AE25" s="431"/>
      <c r="AF25" s="431"/>
      <c r="AG25" s="431"/>
      <c r="AH25" s="431"/>
      <c r="AI25" s="431"/>
      <c r="AJ25" s="431"/>
      <c r="AK25" s="431"/>
      <c r="AL25" s="431"/>
      <c r="AM25" s="431"/>
      <c r="AN25" s="431"/>
      <c r="AO25" s="431"/>
      <c r="AP25" s="431"/>
      <c r="AQ25" s="431"/>
      <c r="AR25" s="431"/>
      <c r="AS25" s="431"/>
      <c r="AT25" s="425"/>
      <c r="AU25" s="421"/>
      <c r="AV25" s="400"/>
      <c r="AW25" s="400"/>
      <c r="AX25" s="400"/>
      <c r="AY25" s="395"/>
      <c r="AZ25" s="396"/>
      <c r="BA25" s="396"/>
      <c r="BB25" s="389"/>
      <c r="BC25" s="390"/>
      <c r="BD25" s="391"/>
      <c r="CD25" s="391"/>
      <c r="CE25" s="421"/>
      <c r="CF25" s="391"/>
      <c r="CG25" s="391"/>
      <c r="CH25" s="28"/>
    </row>
    <row r="26" spans="1:86" ht="15.5" customHeight="1">
      <c r="A26" s="393"/>
      <c r="B26" s="471"/>
      <c r="C26" s="472"/>
      <c r="D26" s="473"/>
      <c r="E26" s="473"/>
      <c r="F26" s="473"/>
      <c r="G26" s="473"/>
      <c r="H26" s="473"/>
      <c r="I26" s="473"/>
      <c r="J26" s="473"/>
      <c r="K26" s="473"/>
      <c r="L26" s="473"/>
      <c r="M26" s="473"/>
      <c r="N26" s="473"/>
      <c r="O26" s="473"/>
      <c r="P26" s="473"/>
      <c r="Q26" s="473"/>
      <c r="R26" s="473"/>
      <c r="S26" s="473"/>
      <c r="T26" s="473"/>
      <c r="U26" s="473"/>
      <c r="V26" s="473"/>
      <c r="W26" s="473"/>
      <c r="X26" s="473"/>
      <c r="Y26" s="473"/>
      <c r="Z26" s="473"/>
      <c r="AA26" s="473"/>
      <c r="AB26" s="473"/>
      <c r="AC26" s="473"/>
      <c r="AD26" s="473"/>
      <c r="AE26" s="473"/>
      <c r="AF26" s="473"/>
      <c r="AG26" s="473"/>
      <c r="AH26" s="473"/>
      <c r="AI26" s="473"/>
      <c r="AJ26" s="473"/>
      <c r="AK26" s="473"/>
      <c r="AL26" s="473"/>
      <c r="AM26" s="473"/>
      <c r="AN26" s="473"/>
      <c r="AO26" s="473"/>
      <c r="AP26" s="473"/>
      <c r="AQ26" s="473"/>
      <c r="AR26" s="473"/>
      <c r="AS26" s="474"/>
      <c r="AT26" s="475"/>
      <c r="AU26" s="476"/>
      <c r="AV26" s="472"/>
      <c r="AW26" s="472"/>
      <c r="AX26" s="476"/>
      <c r="AY26" s="472"/>
      <c r="AZ26" s="477"/>
      <c r="BA26" s="396"/>
      <c r="BB26" s="389"/>
      <c r="BC26" s="390"/>
      <c r="BD26" s="391"/>
      <c r="BE26" s="391"/>
      <c r="BF26" s="421"/>
      <c r="BG26" s="391"/>
      <c r="BH26" s="391"/>
      <c r="BI26" s="391"/>
      <c r="BJ26" s="391"/>
      <c r="BK26" s="391"/>
      <c r="BL26" s="391"/>
      <c r="BM26" s="391"/>
      <c r="BN26" s="444"/>
      <c r="BO26" s="444"/>
      <c r="BP26" s="444"/>
      <c r="BQ26" s="444"/>
      <c r="BR26" s="444"/>
      <c r="BS26" s="444"/>
      <c r="BT26" s="444"/>
      <c r="CD26" s="391"/>
      <c r="CF26" s="391"/>
      <c r="CH26" s="28"/>
    </row>
    <row r="27" spans="1:86" ht="15.5" customHeight="1">
      <c r="A27" s="393"/>
      <c r="B27" s="478"/>
      <c r="C27" s="485" t="s">
        <v>239</v>
      </c>
      <c r="D27" s="479"/>
      <c r="E27" s="479"/>
      <c r="F27" s="480"/>
      <c r="G27" s="476"/>
      <c r="H27" s="474"/>
      <c r="I27" s="474"/>
      <c r="J27" s="474"/>
      <c r="K27" s="474"/>
      <c r="L27" s="474"/>
      <c r="M27" s="474"/>
      <c r="N27" s="474"/>
      <c r="O27" s="474"/>
      <c r="P27" s="474"/>
      <c r="Q27" s="474"/>
      <c r="R27" s="474"/>
      <c r="S27" s="474"/>
      <c r="T27" s="474"/>
      <c r="U27" s="474"/>
      <c r="V27" s="474"/>
      <c r="W27" s="474"/>
      <c r="X27" s="474"/>
      <c r="Y27" s="474"/>
      <c r="Z27" s="474"/>
      <c r="AA27" s="474"/>
      <c r="AB27" s="485" t="s">
        <v>241</v>
      </c>
      <c r="AC27" s="474"/>
      <c r="AD27" s="474"/>
      <c r="AE27" s="474"/>
      <c r="AF27" s="474"/>
      <c r="AG27" s="474"/>
      <c r="AH27" s="474"/>
      <c r="AI27" s="474"/>
      <c r="AJ27" s="474"/>
      <c r="AK27" s="474"/>
      <c r="AL27" s="474"/>
      <c r="AM27" s="474"/>
      <c r="AN27" s="474"/>
      <c r="AO27" s="474"/>
      <c r="AP27" s="474"/>
      <c r="AQ27" s="474"/>
      <c r="AR27" s="475"/>
      <c r="AS27" s="476"/>
      <c r="AT27" s="479"/>
      <c r="AU27" s="479"/>
      <c r="AV27" s="479"/>
      <c r="AW27" s="481"/>
      <c r="AX27" s="479"/>
      <c r="AY27" s="481"/>
      <c r="AZ27" s="477"/>
      <c r="BA27" s="396"/>
      <c r="BB27" s="389"/>
      <c r="BC27" s="390"/>
      <c r="BD27" s="391"/>
      <c r="BE27" s="391"/>
      <c r="BG27" s="391"/>
      <c r="BI27" s="391"/>
      <c r="BJ27" s="391"/>
      <c r="BK27" s="391"/>
      <c r="BL27" s="391"/>
      <c r="BM27" s="391"/>
      <c r="BN27" s="444"/>
      <c r="BO27" s="444"/>
      <c r="BP27" s="444"/>
      <c r="BQ27" s="444"/>
      <c r="BR27" s="444"/>
      <c r="BS27" s="444"/>
      <c r="BT27" s="444"/>
      <c r="CD27" s="391"/>
      <c r="CF27" s="391"/>
      <c r="CH27" s="391"/>
    </row>
    <row r="28" spans="1:86" ht="15.5" customHeight="1">
      <c r="A28" s="393"/>
      <c r="B28" s="482"/>
      <c r="C28" s="486" t="s">
        <v>240</v>
      </c>
      <c r="D28" s="487"/>
      <c r="E28" s="487"/>
      <c r="F28" s="487"/>
      <c r="G28" s="487"/>
      <c r="H28" s="487"/>
      <c r="I28" s="487"/>
      <c r="J28" s="487"/>
      <c r="K28" s="487"/>
      <c r="L28" s="487"/>
      <c r="M28" s="487"/>
      <c r="N28" s="487"/>
      <c r="O28" s="487"/>
      <c r="P28" s="487"/>
      <c r="Q28" s="487"/>
      <c r="R28" s="487"/>
      <c r="S28" s="487"/>
      <c r="T28" s="487"/>
      <c r="U28" s="487"/>
      <c r="V28" s="487"/>
      <c r="W28" s="487"/>
      <c r="X28" s="487"/>
      <c r="Y28" s="473"/>
      <c r="Z28" s="473"/>
      <c r="AA28" s="473"/>
      <c r="AB28" s="486" t="s">
        <v>250</v>
      </c>
      <c r="AC28" s="487"/>
      <c r="AD28" s="487"/>
      <c r="AE28" s="487"/>
      <c r="AF28" s="487"/>
      <c r="AG28" s="487"/>
      <c r="AH28" s="487"/>
      <c r="AI28" s="487"/>
      <c r="AJ28" s="487"/>
      <c r="AK28" s="487"/>
      <c r="AL28" s="487"/>
      <c r="AM28" s="487"/>
      <c r="AN28" s="487"/>
      <c r="AO28" s="487"/>
      <c r="AP28" s="487"/>
      <c r="AQ28" s="487"/>
      <c r="AR28" s="487"/>
      <c r="AS28" s="487"/>
      <c r="AT28" s="487"/>
      <c r="AU28" s="487"/>
      <c r="AV28" s="487"/>
      <c r="AW28" s="487"/>
      <c r="AX28" s="473"/>
      <c r="AY28" s="473"/>
      <c r="AZ28" s="483"/>
      <c r="BA28" s="422"/>
      <c r="BB28" s="389"/>
      <c r="BC28" s="390"/>
      <c r="BD28" s="391"/>
      <c r="BE28" s="391"/>
      <c r="BF28" s="421"/>
      <c r="BG28" s="391"/>
      <c r="BH28" s="391"/>
      <c r="BI28" s="28"/>
      <c r="BJ28" s="391"/>
      <c r="BK28" s="391"/>
      <c r="BL28" s="391"/>
      <c r="BM28" s="391"/>
      <c r="BN28" s="444"/>
      <c r="BO28" s="444"/>
      <c r="BP28" s="444"/>
      <c r="BQ28" s="444"/>
      <c r="BR28" s="444"/>
      <c r="BS28" s="444"/>
      <c r="BT28" s="444"/>
      <c r="CD28" s="391"/>
      <c r="CE28" s="421"/>
      <c r="CF28" s="391"/>
      <c r="CG28" s="391"/>
      <c r="CH28" s="444"/>
    </row>
    <row r="29" spans="1:86" ht="15.5" customHeight="1">
      <c r="A29" s="393"/>
      <c r="B29" s="482"/>
      <c r="C29" s="484"/>
      <c r="D29" s="473"/>
      <c r="E29" s="473"/>
      <c r="F29" s="473"/>
      <c r="G29" s="473"/>
      <c r="H29" s="473"/>
      <c r="I29" s="473"/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  <c r="Y29" s="473"/>
      <c r="Z29" s="473"/>
      <c r="AA29" s="473"/>
      <c r="AB29" s="473"/>
      <c r="AC29" s="473"/>
      <c r="AD29" s="473"/>
      <c r="AE29" s="473"/>
      <c r="AF29" s="473"/>
      <c r="AG29" s="473"/>
      <c r="AH29" s="473"/>
      <c r="AI29" s="473"/>
      <c r="AJ29" s="473"/>
      <c r="AK29" s="473"/>
      <c r="AL29" s="473"/>
      <c r="AM29" s="473"/>
      <c r="AN29" s="473"/>
      <c r="AO29" s="473"/>
      <c r="AP29" s="473"/>
      <c r="AQ29" s="473"/>
      <c r="AR29" s="473"/>
      <c r="AS29" s="474"/>
      <c r="AT29" s="475"/>
      <c r="AU29" s="476"/>
      <c r="AV29" s="476"/>
      <c r="AW29" s="476"/>
      <c r="AX29" s="476"/>
      <c r="AY29" s="472"/>
      <c r="AZ29" s="483"/>
      <c r="BA29" s="422"/>
      <c r="BB29" s="389"/>
      <c r="BC29" s="390"/>
      <c r="BD29" s="391"/>
      <c r="BE29" s="391"/>
      <c r="BF29" s="421"/>
      <c r="BG29" s="391"/>
      <c r="BH29" s="391"/>
      <c r="BI29" s="28"/>
      <c r="BJ29" s="391"/>
      <c r="BK29" s="391"/>
      <c r="BL29" s="391"/>
      <c r="BM29" s="391"/>
      <c r="BN29" s="444"/>
      <c r="BO29" s="444"/>
      <c r="BP29" s="444"/>
      <c r="BQ29" s="444"/>
      <c r="BR29" s="444"/>
      <c r="BS29" s="444"/>
      <c r="BT29" s="444"/>
      <c r="CD29" s="444"/>
      <c r="CE29" s="35"/>
      <c r="CF29" s="35"/>
      <c r="CG29" s="35"/>
      <c r="CH29" s="444"/>
    </row>
    <row r="30" spans="1:86" ht="15.5" customHeight="1">
      <c r="A30" s="393"/>
      <c r="B30" s="482"/>
      <c r="C30" s="485" t="s">
        <v>242</v>
      </c>
      <c r="D30" s="473"/>
      <c r="E30" s="473"/>
      <c r="F30" s="473"/>
      <c r="G30" s="473"/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  <c r="Y30" s="473"/>
      <c r="Z30" s="473"/>
      <c r="AA30" s="473"/>
      <c r="AB30" s="485" t="s">
        <v>244</v>
      </c>
      <c r="AC30" s="473"/>
      <c r="AD30" s="473"/>
      <c r="AE30" s="473"/>
      <c r="AF30" s="473"/>
      <c r="AG30" s="473"/>
      <c r="AH30" s="473"/>
      <c r="AI30" s="473"/>
      <c r="AJ30" s="473"/>
      <c r="AK30" s="473"/>
      <c r="AL30" s="473"/>
      <c r="AM30" s="473"/>
      <c r="AN30" s="473"/>
      <c r="AO30" s="473"/>
      <c r="AP30" s="473"/>
      <c r="AQ30" s="473"/>
      <c r="AR30" s="473"/>
      <c r="AS30" s="474"/>
      <c r="AT30" s="475"/>
      <c r="AU30" s="476"/>
      <c r="AV30" s="476"/>
      <c r="AW30" s="476"/>
      <c r="AX30" s="476"/>
      <c r="AY30" s="472"/>
      <c r="AZ30" s="483"/>
      <c r="BA30" s="422"/>
      <c r="BB30" s="389"/>
      <c r="BC30" s="390"/>
      <c r="BD30" s="391"/>
      <c r="BE30" s="444"/>
      <c r="BG30" s="391"/>
      <c r="BI30" s="391"/>
      <c r="BJ30" s="391"/>
      <c r="BK30" s="391"/>
      <c r="BL30" s="391"/>
      <c r="BM30" s="391"/>
      <c r="BN30" s="444"/>
      <c r="BO30" s="444"/>
      <c r="BP30" s="444"/>
      <c r="BQ30" s="444"/>
      <c r="BR30" s="444"/>
      <c r="BS30" s="444"/>
      <c r="BT30" s="444"/>
      <c r="CD30" s="444"/>
      <c r="CE30" s="35"/>
      <c r="CF30" s="35"/>
      <c r="CG30" s="35"/>
      <c r="CH30" s="444"/>
    </row>
    <row r="31" spans="1:86" s="443" customFormat="1" ht="15.5" customHeight="1">
      <c r="A31" s="393"/>
      <c r="B31" s="482"/>
      <c r="C31" s="486" t="s">
        <v>243</v>
      </c>
      <c r="D31" s="487"/>
      <c r="E31" s="487"/>
      <c r="F31" s="487"/>
      <c r="G31" s="487"/>
      <c r="H31" s="487"/>
      <c r="I31" s="487"/>
      <c r="J31" s="487"/>
      <c r="K31" s="487"/>
      <c r="L31" s="487"/>
      <c r="M31" s="487"/>
      <c r="N31" s="487"/>
      <c r="O31" s="487"/>
      <c r="P31" s="487"/>
      <c r="Q31" s="487"/>
      <c r="R31" s="487"/>
      <c r="S31" s="487"/>
      <c r="T31" s="487"/>
      <c r="U31" s="487"/>
      <c r="V31" s="487"/>
      <c r="W31" s="487"/>
      <c r="X31" s="487"/>
      <c r="Y31" s="473"/>
      <c r="Z31" s="473"/>
      <c r="AA31" s="473"/>
      <c r="AB31" s="486" t="s">
        <v>249</v>
      </c>
      <c r="AC31" s="487"/>
      <c r="AD31" s="487"/>
      <c r="AE31" s="487"/>
      <c r="AF31" s="487"/>
      <c r="AG31" s="487"/>
      <c r="AH31" s="487"/>
      <c r="AI31" s="487"/>
      <c r="AJ31" s="487"/>
      <c r="AK31" s="487"/>
      <c r="AL31" s="487"/>
      <c r="AM31" s="487"/>
      <c r="AN31" s="487"/>
      <c r="AO31" s="487"/>
      <c r="AP31" s="487"/>
      <c r="AQ31" s="487"/>
      <c r="AR31" s="487"/>
      <c r="AS31" s="487"/>
      <c r="AT31" s="487"/>
      <c r="AU31" s="487"/>
      <c r="AV31" s="487"/>
      <c r="AW31" s="487"/>
      <c r="AX31" s="476"/>
      <c r="AY31" s="472"/>
      <c r="AZ31" s="483"/>
      <c r="BA31" s="422"/>
      <c r="BB31" s="389"/>
      <c r="BC31" s="390"/>
      <c r="BD31" s="391"/>
      <c r="BE31" s="444"/>
      <c r="BF31" s="35"/>
      <c r="BG31" s="35"/>
      <c r="BH31" s="35"/>
      <c r="BI31" s="444"/>
      <c r="BJ31" s="444"/>
      <c r="BK31" s="444"/>
      <c r="BL31" s="444"/>
      <c r="BM31" s="444"/>
      <c r="BN31" s="444"/>
      <c r="BO31" s="444"/>
      <c r="BP31" s="444"/>
      <c r="BQ31" s="444"/>
      <c r="BR31" s="444"/>
      <c r="BS31" s="444"/>
      <c r="BT31" s="444"/>
      <c r="CD31" s="444"/>
      <c r="CF31" s="391"/>
      <c r="CH31" s="444"/>
    </row>
    <row r="32" spans="1:86" s="443" customFormat="1" ht="15.5" customHeight="1">
      <c r="A32" s="393"/>
      <c r="B32" s="482"/>
      <c r="C32" s="472"/>
      <c r="D32" s="473"/>
      <c r="E32" s="473"/>
      <c r="F32" s="473"/>
      <c r="G32" s="473"/>
      <c r="H32" s="473"/>
      <c r="I32" s="473"/>
      <c r="J32" s="473"/>
      <c r="K32" s="473"/>
      <c r="L32" s="473"/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  <c r="Y32" s="473"/>
      <c r="Z32" s="473"/>
      <c r="AA32" s="473"/>
      <c r="AB32" s="473"/>
      <c r="AC32" s="473"/>
      <c r="AD32" s="473"/>
      <c r="AE32" s="473"/>
      <c r="AF32" s="473"/>
      <c r="AG32" s="473"/>
      <c r="AH32" s="473"/>
      <c r="AI32" s="473"/>
      <c r="AJ32" s="473"/>
      <c r="AK32" s="473"/>
      <c r="AL32" s="473"/>
      <c r="AM32" s="473"/>
      <c r="AN32" s="473"/>
      <c r="AO32" s="473"/>
      <c r="AP32" s="473"/>
      <c r="AQ32" s="473"/>
      <c r="AR32" s="473"/>
      <c r="AS32" s="474"/>
      <c r="AT32" s="475"/>
      <c r="AU32" s="476"/>
      <c r="AV32" s="472"/>
      <c r="AW32" s="472"/>
      <c r="AX32" s="476"/>
      <c r="AY32" s="472"/>
      <c r="AZ32" s="483"/>
      <c r="BA32" s="422"/>
      <c r="BB32" s="389"/>
      <c r="BC32" s="390"/>
      <c r="BD32" s="391"/>
      <c r="BE32" s="444"/>
      <c r="BF32" s="421"/>
      <c r="BG32" s="391"/>
      <c r="BH32" s="391"/>
      <c r="BI32" s="444"/>
      <c r="BJ32" s="444"/>
      <c r="BK32" s="444"/>
      <c r="BL32" s="444"/>
      <c r="BM32" s="444"/>
      <c r="BN32" s="444"/>
      <c r="BO32" s="444"/>
      <c r="BP32" s="444"/>
      <c r="BQ32" s="444"/>
      <c r="BR32" s="444"/>
      <c r="BS32" s="444"/>
      <c r="BT32" s="444"/>
      <c r="CD32" s="444"/>
      <c r="CF32" s="391"/>
      <c r="CH32" s="444"/>
    </row>
    <row r="33" spans="1:86" s="443" customFormat="1" ht="15.5" customHeight="1">
      <c r="A33" s="393"/>
      <c r="B33" s="482"/>
      <c r="C33" s="485" t="s">
        <v>245</v>
      </c>
      <c r="D33" s="473"/>
      <c r="E33" s="473"/>
      <c r="F33" s="473"/>
      <c r="G33" s="473"/>
      <c r="H33" s="473"/>
      <c r="I33" s="473"/>
      <c r="J33" s="473"/>
      <c r="K33" s="473"/>
      <c r="L33" s="473"/>
      <c r="M33" s="473"/>
      <c r="N33" s="473"/>
      <c r="O33" s="473"/>
      <c r="P33" s="473"/>
      <c r="Q33" s="473"/>
      <c r="R33" s="473"/>
      <c r="S33" s="473"/>
      <c r="T33" s="473"/>
      <c r="U33" s="473"/>
      <c r="V33" s="473"/>
      <c r="W33" s="473"/>
      <c r="X33" s="473"/>
      <c r="Y33" s="473"/>
      <c r="Z33" s="473"/>
      <c r="AA33" s="473"/>
      <c r="AB33" s="485" t="s">
        <v>247</v>
      </c>
      <c r="AC33" s="473"/>
      <c r="AD33" s="473"/>
      <c r="AE33" s="473"/>
      <c r="AF33" s="473"/>
      <c r="AG33" s="473"/>
      <c r="AH33" s="473"/>
      <c r="AI33" s="473"/>
      <c r="AJ33" s="473"/>
      <c r="AK33" s="473"/>
      <c r="AL33" s="473"/>
      <c r="AM33" s="473"/>
      <c r="AN33" s="473"/>
      <c r="AO33" s="473"/>
      <c r="AP33" s="473"/>
      <c r="AQ33" s="473"/>
      <c r="AR33" s="473"/>
      <c r="AS33" s="474"/>
      <c r="AT33" s="475"/>
      <c r="AU33" s="476"/>
      <c r="AV33" s="476"/>
      <c r="AW33" s="476"/>
      <c r="AX33" s="476"/>
      <c r="AY33" s="472"/>
      <c r="AZ33" s="483"/>
      <c r="BA33" s="422"/>
      <c r="BB33" s="389"/>
      <c r="BC33" s="390"/>
      <c r="BD33" s="391"/>
      <c r="BE33" s="444"/>
      <c r="BG33" s="391"/>
      <c r="BI33" s="444"/>
      <c r="BJ33" s="444"/>
      <c r="BK33" s="444"/>
      <c r="BL33" s="444"/>
      <c r="BM33" s="444"/>
      <c r="BN33" s="444"/>
      <c r="BO33" s="444"/>
      <c r="BP33" s="444"/>
      <c r="BQ33" s="444"/>
      <c r="BR33" s="444"/>
      <c r="BS33" s="444"/>
      <c r="BT33" s="444"/>
      <c r="CD33" s="444"/>
      <c r="CE33" s="421"/>
      <c r="CF33" s="391"/>
      <c r="CG33" s="391"/>
      <c r="CH33" s="444"/>
    </row>
    <row r="34" spans="1:86" s="443" customFormat="1" ht="15.5" customHeight="1">
      <c r="A34" s="393"/>
      <c r="B34" s="482"/>
      <c r="C34" s="488" t="s">
        <v>246</v>
      </c>
      <c r="D34" s="487"/>
      <c r="E34" s="487"/>
      <c r="F34" s="487"/>
      <c r="G34" s="487"/>
      <c r="H34" s="487"/>
      <c r="I34" s="487"/>
      <c r="J34" s="487"/>
      <c r="K34" s="487"/>
      <c r="L34" s="487"/>
      <c r="M34" s="487"/>
      <c r="N34" s="487"/>
      <c r="O34" s="487"/>
      <c r="P34" s="487"/>
      <c r="Q34" s="487"/>
      <c r="R34" s="487"/>
      <c r="S34" s="487"/>
      <c r="T34" s="487"/>
      <c r="U34" s="487"/>
      <c r="V34" s="487"/>
      <c r="W34" s="487"/>
      <c r="X34" s="487"/>
      <c r="Y34" s="473"/>
      <c r="Z34" s="473"/>
      <c r="AA34" s="473"/>
      <c r="AB34" s="488" t="s">
        <v>248</v>
      </c>
      <c r="AC34" s="487"/>
      <c r="AD34" s="487"/>
      <c r="AE34" s="487"/>
      <c r="AF34" s="487"/>
      <c r="AG34" s="487"/>
      <c r="AH34" s="487"/>
      <c r="AI34" s="487"/>
      <c r="AJ34" s="487"/>
      <c r="AK34" s="487"/>
      <c r="AL34" s="487"/>
      <c r="AM34" s="487"/>
      <c r="AN34" s="487"/>
      <c r="AO34" s="487"/>
      <c r="AP34" s="487"/>
      <c r="AQ34" s="487"/>
      <c r="AR34" s="487"/>
      <c r="AS34" s="487"/>
      <c r="AT34" s="487"/>
      <c r="AU34" s="487"/>
      <c r="AV34" s="487"/>
      <c r="AW34" s="487"/>
      <c r="AX34" s="476"/>
      <c r="AY34" s="472"/>
      <c r="AZ34" s="483"/>
      <c r="BA34" s="422"/>
      <c r="BB34" s="389"/>
      <c r="BC34" s="390"/>
      <c r="BD34" s="391"/>
      <c r="BE34" s="444"/>
      <c r="BG34" s="391"/>
      <c r="BI34" s="444"/>
      <c r="BJ34" s="444"/>
      <c r="BK34" s="444"/>
      <c r="BL34" s="444"/>
      <c r="BM34" s="444"/>
      <c r="BN34" s="444"/>
      <c r="BO34" s="444"/>
      <c r="BP34" s="444"/>
      <c r="BQ34" s="444"/>
      <c r="BR34" s="444"/>
      <c r="BS34" s="444"/>
      <c r="BT34" s="444"/>
      <c r="CD34" s="444"/>
      <c r="CF34" s="391"/>
      <c r="CH34" s="444"/>
    </row>
    <row r="35" spans="1:86" s="443" customFormat="1" ht="15.5" customHeight="1">
      <c r="A35" s="393"/>
      <c r="B35" s="482"/>
      <c r="C35" s="472"/>
      <c r="D35" s="473"/>
      <c r="E35" s="473"/>
      <c r="F35" s="473"/>
      <c r="G35" s="473"/>
      <c r="H35" s="473"/>
      <c r="I35" s="473"/>
      <c r="J35" s="473"/>
      <c r="K35" s="473"/>
      <c r="L35" s="473"/>
      <c r="M35" s="473"/>
      <c r="N35" s="473"/>
      <c r="O35" s="473"/>
      <c r="P35" s="473"/>
      <c r="Q35" s="473"/>
      <c r="R35" s="473"/>
      <c r="S35" s="473"/>
      <c r="T35" s="473"/>
      <c r="U35" s="473"/>
      <c r="V35" s="473"/>
      <c r="W35" s="473"/>
      <c r="X35" s="473"/>
      <c r="Y35" s="473"/>
      <c r="Z35" s="473"/>
      <c r="AA35" s="473"/>
      <c r="AB35" s="473"/>
      <c r="AC35" s="473"/>
      <c r="AD35" s="473"/>
      <c r="AE35" s="473"/>
      <c r="AF35" s="473"/>
      <c r="AG35" s="473"/>
      <c r="AH35" s="473"/>
      <c r="AI35" s="473"/>
      <c r="AJ35" s="473"/>
      <c r="AK35" s="473"/>
      <c r="AL35" s="473"/>
      <c r="AM35" s="473"/>
      <c r="AN35" s="473"/>
      <c r="AO35" s="473"/>
      <c r="AP35" s="473"/>
      <c r="AQ35" s="473"/>
      <c r="AR35" s="473"/>
      <c r="AS35" s="474"/>
      <c r="AT35" s="475"/>
      <c r="AU35" s="476"/>
      <c r="AV35" s="472"/>
      <c r="AW35" s="472"/>
      <c r="AX35" s="476"/>
      <c r="AY35" s="472"/>
      <c r="AZ35" s="483"/>
      <c r="BA35" s="422"/>
      <c r="BB35" s="389"/>
      <c r="BC35" s="390"/>
      <c r="BD35" s="391"/>
      <c r="BE35" s="444"/>
      <c r="BF35" s="421"/>
      <c r="BG35" s="391"/>
      <c r="BH35" s="391"/>
      <c r="BI35" s="444"/>
      <c r="BJ35" s="444"/>
      <c r="BK35" s="444"/>
      <c r="BL35" s="444"/>
      <c r="BM35" s="444"/>
      <c r="BN35" s="444"/>
      <c r="BO35" s="444"/>
      <c r="BP35" s="444"/>
      <c r="BQ35" s="444"/>
      <c r="BR35" s="444"/>
      <c r="BS35" s="444"/>
      <c r="BT35" s="444"/>
      <c r="CD35" s="444"/>
      <c r="CF35" s="391"/>
      <c r="CH35" s="444"/>
    </row>
    <row r="36" spans="1:86" s="443" customFormat="1" ht="15.5" customHeight="1">
      <c r="A36" s="393"/>
      <c r="B36" s="482"/>
      <c r="C36" s="485" t="s">
        <v>251</v>
      </c>
      <c r="D36" s="473"/>
      <c r="E36" s="473"/>
      <c r="F36" s="473"/>
      <c r="G36" s="473"/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  <c r="Y36" s="473"/>
      <c r="Z36" s="473"/>
      <c r="AA36" s="473"/>
      <c r="AB36" s="485" t="s">
        <v>257</v>
      </c>
      <c r="AC36" s="473"/>
      <c r="AD36" s="473"/>
      <c r="AE36" s="473"/>
      <c r="AF36" s="473"/>
      <c r="AG36" s="473"/>
      <c r="AH36" s="473"/>
      <c r="AI36" s="473"/>
      <c r="AJ36" s="473"/>
      <c r="AK36" s="473"/>
      <c r="AL36" s="473"/>
      <c r="AM36" s="473"/>
      <c r="AN36" s="473"/>
      <c r="AO36" s="473"/>
      <c r="AP36" s="473"/>
      <c r="AQ36" s="473"/>
      <c r="AR36" s="473"/>
      <c r="AS36" s="474"/>
      <c r="AT36" s="475"/>
      <c r="AU36" s="476"/>
      <c r="AV36" s="476"/>
      <c r="AW36" s="476"/>
      <c r="AX36" s="476"/>
      <c r="AY36" s="472"/>
      <c r="AZ36" s="483"/>
      <c r="BA36" s="422"/>
      <c r="BB36" s="389"/>
      <c r="BC36" s="390"/>
      <c r="BD36" s="391"/>
      <c r="BE36" s="444"/>
      <c r="BG36" s="391"/>
      <c r="BI36" s="444"/>
      <c r="BJ36" s="444"/>
      <c r="BK36" s="444"/>
      <c r="BL36" s="444"/>
      <c r="BM36" s="444"/>
      <c r="BN36" s="444"/>
      <c r="BO36" s="444"/>
      <c r="BP36" s="444"/>
      <c r="BQ36" s="444"/>
      <c r="BR36" s="444"/>
      <c r="BS36" s="444"/>
      <c r="BT36" s="444"/>
      <c r="CD36" s="444"/>
      <c r="CE36" s="421"/>
      <c r="CF36" s="391"/>
      <c r="CG36" s="391"/>
      <c r="CH36" s="444"/>
    </row>
    <row r="37" spans="1:86" s="443" customFormat="1" ht="15.5" customHeight="1">
      <c r="A37" s="393"/>
      <c r="B37" s="482"/>
      <c r="C37" s="486" t="s">
        <v>252</v>
      </c>
      <c r="D37" s="487"/>
      <c r="E37" s="487"/>
      <c r="F37" s="487"/>
      <c r="G37" s="487"/>
      <c r="H37" s="487"/>
      <c r="I37" s="487"/>
      <c r="J37" s="487"/>
      <c r="K37" s="487"/>
      <c r="L37" s="487"/>
      <c r="M37" s="487"/>
      <c r="N37" s="487"/>
      <c r="O37" s="487"/>
      <c r="P37" s="487"/>
      <c r="Q37" s="487"/>
      <c r="R37" s="487"/>
      <c r="S37" s="487"/>
      <c r="T37" s="487"/>
      <c r="U37" s="487"/>
      <c r="V37" s="487"/>
      <c r="W37" s="487"/>
      <c r="X37" s="487"/>
      <c r="Y37" s="473"/>
      <c r="Z37" s="473"/>
      <c r="AA37" s="473"/>
      <c r="AB37" s="486"/>
      <c r="AC37" s="487"/>
      <c r="AD37" s="487"/>
      <c r="AE37" s="487"/>
      <c r="AF37" s="487"/>
      <c r="AG37" s="487"/>
      <c r="AH37" s="487"/>
      <c r="AI37" s="487"/>
      <c r="AJ37" s="487"/>
      <c r="AK37" s="487"/>
      <c r="AL37" s="487"/>
      <c r="AM37" s="487"/>
      <c r="AN37" s="487"/>
      <c r="AO37" s="487"/>
      <c r="AP37" s="487"/>
      <c r="AQ37" s="487"/>
      <c r="AR37" s="487"/>
      <c r="AS37" s="487"/>
      <c r="AT37" s="487"/>
      <c r="AU37" s="487"/>
      <c r="AV37" s="487"/>
      <c r="AW37" s="487"/>
      <c r="AX37" s="476"/>
      <c r="AY37" s="472"/>
      <c r="AZ37" s="483"/>
      <c r="BA37" s="422"/>
      <c r="BB37" s="389"/>
      <c r="BC37" s="390"/>
      <c r="BD37" s="391"/>
      <c r="BH37" s="444"/>
      <c r="BJ37" s="444"/>
      <c r="BK37" s="444"/>
      <c r="BL37" s="444"/>
      <c r="BM37" s="444"/>
      <c r="BN37" s="444"/>
      <c r="BO37" s="444"/>
      <c r="BP37" s="444"/>
      <c r="BQ37" s="444"/>
      <c r="BR37" s="444"/>
      <c r="BS37" s="444"/>
      <c r="BT37" s="444"/>
      <c r="CD37" s="444"/>
      <c r="CF37" s="391"/>
      <c r="CH37" s="444"/>
    </row>
    <row r="38" spans="1:86" s="443" customFormat="1" ht="15.5" customHeight="1">
      <c r="A38" s="393"/>
      <c r="B38" s="482"/>
      <c r="C38" s="472"/>
      <c r="D38" s="473"/>
      <c r="E38" s="473"/>
      <c r="F38" s="473"/>
      <c r="G38" s="473"/>
      <c r="H38" s="473"/>
      <c r="I38" s="473"/>
      <c r="J38" s="473"/>
      <c r="K38" s="473"/>
      <c r="L38" s="473"/>
      <c r="M38" s="473"/>
      <c r="N38" s="473"/>
      <c r="O38" s="473"/>
      <c r="P38" s="473"/>
      <c r="Q38" s="473"/>
      <c r="R38" s="473"/>
      <c r="S38" s="473"/>
      <c r="T38" s="473"/>
      <c r="U38" s="473"/>
      <c r="V38" s="473"/>
      <c r="W38" s="473"/>
      <c r="X38" s="473"/>
      <c r="Y38" s="473"/>
      <c r="Z38" s="473"/>
      <c r="AA38" s="473"/>
      <c r="AB38" s="473"/>
      <c r="AC38" s="473"/>
      <c r="AD38" s="473"/>
      <c r="AE38" s="473"/>
      <c r="AF38" s="473"/>
      <c r="AG38" s="473"/>
      <c r="AH38" s="473"/>
      <c r="AI38" s="473"/>
      <c r="AJ38" s="473"/>
      <c r="AK38" s="473"/>
      <c r="AL38" s="473"/>
      <c r="AM38" s="473"/>
      <c r="AN38" s="473"/>
      <c r="AO38" s="473"/>
      <c r="AP38" s="473"/>
      <c r="AQ38" s="473"/>
      <c r="AR38" s="473"/>
      <c r="AS38" s="474"/>
      <c r="AT38" s="475"/>
      <c r="AU38" s="476"/>
      <c r="AV38" s="472"/>
      <c r="AW38" s="472"/>
      <c r="AX38" s="476"/>
      <c r="AY38" s="472"/>
      <c r="AZ38" s="483"/>
      <c r="BA38" s="422"/>
      <c r="BB38" s="389"/>
      <c r="BC38" s="390"/>
      <c r="BD38" s="391"/>
      <c r="BE38" s="421"/>
      <c r="BF38" s="421"/>
      <c r="BG38" s="516"/>
      <c r="BH38" s="516"/>
      <c r="BJ38" s="516"/>
      <c r="BN38" s="444"/>
      <c r="BO38" s="444"/>
      <c r="BP38" s="444"/>
      <c r="BQ38" s="444"/>
      <c r="BR38" s="444"/>
      <c r="BS38" s="444"/>
      <c r="BT38" s="444"/>
      <c r="CD38" s="444"/>
      <c r="CH38" s="444"/>
    </row>
    <row r="39" spans="1:86" s="443" customFormat="1" ht="12.5" customHeight="1">
      <c r="A39" s="393"/>
      <c r="B39" s="482"/>
      <c r="C39" s="485" t="s">
        <v>253</v>
      </c>
      <c r="D39" s="473"/>
      <c r="E39" s="473"/>
      <c r="F39" s="473"/>
      <c r="G39" s="473"/>
      <c r="H39" s="473"/>
      <c r="I39" s="473"/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  <c r="Y39" s="473"/>
      <c r="Z39" s="473"/>
      <c r="AA39" s="473"/>
      <c r="AB39" s="485" t="s">
        <v>258</v>
      </c>
      <c r="AC39" s="473"/>
      <c r="AD39" s="473"/>
      <c r="AE39" s="473"/>
      <c r="AF39" s="473"/>
      <c r="AG39" s="473"/>
      <c r="AH39" s="473"/>
      <c r="AI39" s="473"/>
      <c r="AJ39" s="473"/>
      <c r="AK39" s="473"/>
      <c r="AL39" s="473"/>
      <c r="AM39" s="473"/>
      <c r="AN39" s="473"/>
      <c r="AO39" s="473"/>
      <c r="AP39" s="473"/>
      <c r="AQ39" s="473"/>
      <c r="AR39" s="473"/>
      <c r="AS39" s="474"/>
      <c r="AT39" s="475"/>
      <c r="AU39" s="476"/>
      <c r="AV39" s="476"/>
      <c r="AW39" s="476"/>
      <c r="AX39" s="476"/>
      <c r="AY39" s="472"/>
      <c r="AZ39" s="483"/>
      <c r="BA39" s="422"/>
      <c r="BB39" s="389"/>
      <c r="BC39" s="390"/>
      <c r="BD39" s="391"/>
      <c r="BE39" s="516"/>
      <c r="BF39" s="391"/>
      <c r="BG39" s="28"/>
      <c r="BH39" s="421"/>
      <c r="BJ39" s="516"/>
      <c r="BN39" s="444"/>
      <c r="BO39" s="444"/>
      <c r="BP39" s="444"/>
      <c r="BQ39" s="444"/>
      <c r="BR39" s="444"/>
      <c r="BS39" s="444"/>
      <c r="BT39" s="444"/>
      <c r="CD39" s="444"/>
      <c r="CE39" s="421"/>
      <c r="CF39" s="391"/>
      <c r="CG39" s="391"/>
      <c r="CH39" s="444"/>
    </row>
    <row r="40" spans="1:86" s="443" customFormat="1" ht="12.5" customHeight="1">
      <c r="A40" s="393"/>
      <c r="B40" s="482"/>
      <c r="C40" s="486"/>
      <c r="D40" s="487"/>
      <c r="E40" s="487"/>
      <c r="F40" s="487"/>
      <c r="G40" s="487"/>
      <c r="H40" s="487"/>
      <c r="I40" s="487"/>
      <c r="J40" s="487"/>
      <c r="K40" s="487"/>
      <c r="L40" s="487"/>
      <c r="M40" s="487"/>
      <c r="N40" s="487"/>
      <c r="O40" s="487"/>
      <c r="P40" s="487"/>
      <c r="Q40" s="487"/>
      <c r="R40" s="487"/>
      <c r="S40" s="487"/>
      <c r="T40" s="487"/>
      <c r="U40" s="487"/>
      <c r="V40" s="487"/>
      <c r="W40" s="487"/>
      <c r="X40" s="487"/>
      <c r="Y40" s="473"/>
      <c r="Z40" s="473"/>
      <c r="AA40" s="473"/>
      <c r="AB40" s="486"/>
      <c r="AC40" s="487"/>
      <c r="AD40" s="487"/>
      <c r="AE40" s="487"/>
      <c r="AF40" s="487"/>
      <c r="AG40" s="487"/>
      <c r="AH40" s="487"/>
      <c r="AI40" s="487"/>
      <c r="AJ40" s="487"/>
      <c r="AK40" s="487"/>
      <c r="AL40" s="487"/>
      <c r="AM40" s="487"/>
      <c r="AN40" s="487"/>
      <c r="AO40" s="487"/>
      <c r="AP40" s="487"/>
      <c r="AQ40" s="487"/>
      <c r="AR40" s="487"/>
      <c r="AS40" s="487"/>
      <c r="AT40" s="487"/>
      <c r="AU40" s="487"/>
      <c r="AV40" s="487"/>
      <c r="AW40" s="487"/>
      <c r="AX40" s="476"/>
      <c r="AY40" s="472"/>
      <c r="AZ40" s="483"/>
      <c r="BA40" s="422"/>
      <c r="BB40" s="389"/>
      <c r="BC40" s="390"/>
      <c r="BD40" s="392"/>
      <c r="BE40" s="516"/>
      <c r="BF40" s="421"/>
      <c r="BG40" s="421"/>
      <c r="BH40" s="421"/>
      <c r="BJ40" s="516"/>
      <c r="BN40" s="444"/>
      <c r="BO40" s="444"/>
      <c r="BP40" s="444"/>
      <c r="BQ40" s="444"/>
      <c r="BR40" s="444"/>
      <c r="BS40" s="444"/>
      <c r="BT40" s="444"/>
      <c r="CD40" s="444"/>
      <c r="CF40" s="391"/>
    </row>
    <row r="41" spans="1:86" s="443" customFormat="1" ht="12.5" customHeight="1">
      <c r="A41" s="393"/>
      <c r="B41" s="482"/>
      <c r="C41" s="472"/>
      <c r="D41" s="473"/>
      <c r="E41" s="473"/>
      <c r="F41" s="473"/>
      <c r="G41" s="473"/>
      <c r="H41" s="473"/>
      <c r="I41" s="473"/>
      <c r="J41" s="473"/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  <c r="Y41" s="473"/>
      <c r="Z41" s="473"/>
      <c r="AA41" s="473"/>
      <c r="AB41" s="473"/>
      <c r="AC41" s="473"/>
      <c r="AD41" s="473"/>
      <c r="AE41" s="473"/>
      <c r="AF41" s="473"/>
      <c r="AG41" s="473"/>
      <c r="AH41" s="473"/>
      <c r="AI41" s="473"/>
      <c r="AJ41" s="473"/>
      <c r="AK41" s="473"/>
      <c r="AL41" s="473"/>
      <c r="AM41" s="473"/>
      <c r="AN41" s="473"/>
      <c r="AO41" s="473"/>
      <c r="AP41" s="473"/>
      <c r="AQ41" s="473"/>
      <c r="AR41" s="473"/>
      <c r="AS41" s="474"/>
      <c r="AT41" s="475"/>
      <c r="AU41" s="476"/>
      <c r="AV41" s="472"/>
      <c r="AW41" s="472"/>
      <c r="AX41" s="476"/>
      <c r="AY41" s="472"/>
      <c r="AZ41" s="483"/>
      <c r="BA41" s="422"/>
      <c r="BB41" s="389"/>
      <c r="BC41" s="390"/>
      <c r="BD41" s="392"/>
      <c r="BE41" s="421"/>
      <c r="BG41" s="391"/>
      <c r="BJ41" s="516"/>
      <c r="BN41" s="444"/>
      <c r="BO41" s="444"/>
      <c r="BP41" s="444"/>
      <c r="BQ41" s="444"/>
      <c r="BR41" s="444"/>
      <c r="BS41" s="444"/>
      <c r="BT41" s="444"/>
      <c r="CD41" s="444"/>
    </row>
    <row r="42" spans="1:86" s="443" customFormat="1" ht="12.5" customHeight="1">
      <c r="A42" s="393"/>
      <c r="B42" s="482"/>
      <c r="C42" s="485" t="s">
        <v>254</v>
      </c>
      <c r="D42" s="473"/>
      <c r="E42" s="473"/>
      <c r="F42" s="473"/>
      <c r="G42" s="473"/>
      <c r="H42" s="473"/>
      <c r="I42" s="473"/>
      <c r="J42" s="473"/>
      <c r="K42" s="473"/>
      <c r="L42" s="473"/>
      <c r="M42" s="473"/>
      <c r="N42" s="473"/>
      <c r="O42" s="473"/>
      <c r="P42" s="473"/>
      <c r="Q42" s="473"/>
      <c r="R42" s="473"/>
      <c r="S42" s="473"/>
      <c r="T42" s="473"/>
      <c r="U42" s="473"/>
      <c r="V42" s="473"/>
      <c r="W42" s="473"/>
      <c r="X42" s="473"/>
      <c r="Y42" s="473"/>
      <c r="Z42" s="473"/>
      <c r="AA42" s="473"/>
      <c r="AB42" s="485" t="s">
        <v>259</v>
      </c>
      <c r="AC42" s="473"/>
      <c r="AD42" s="473"/>
      <c r="AE42" s="473"/>
      <c r="AF42" s="473"/>
      <c r="AG42" s="473"/>
      <c r="AH42" s="473"/>
      <c r="AI42" s="473"/>
      <c r="AJ42" s="473"/>
      <c r="AK42" s="473"/>
      <c r="AL42" s="473"/>
      <c r="AM42" s="473"/>
      <c r="AN42" s="473"/>
      <c r="AO42" s="473"/>
      <c r="AP42" s="473"/>
      <c r="AQ42" s="473"/>
      <c r="AR42" s="473"/>
      <c r="AS42" s="474"/>
      <c r="AT42" s="475"/>
      <c r="AU42" s="476"/>
      <c r="AV42" s="476"/>
      <c r="AW42" s="476"/>
      <c r="AX42" s="476"/>
      <c r="AY42" s="472"/>
      <c r="AZ42" s="483"/>
      <c r="BA42" s="422"/>
      <c r="BB42" s="405"/>
      <c r="BC42" s="406"/>
      <c r="BD42" s="391"/>
      <c r="BE42" s="391"/>
      <c r="BJ42" s="391"/>
      <c r="BN42" s="444"/>
      <c r="BO42" s="444"/>
      <c r="BP42" s="444"/>
      <c r="BQ42" s="444"/>
      <c r="BR42" s="444"/>
      <c r="BS42" s="444"/>
      <c r="BT42" s="444"/>
      <c r="CD42" s="444"/>
      <c r="CE42" s="421"/>
      <c r="CF42" s="391"/>
      <c r="CG42" s="391"/>
      <c r="CH42" s="444"/>
    </row>
    <row r="43" spans="1:86" s="443" customFormat="1" ht="12.5" customHeight="1">
      <c r="A43" s="393"/>
      <c r="B43" s="482"/>
      <c r="C43" s="486" t="s">
        <v>255</v>
      </c>
      <c r="D43" s="487"/>
      <c r="E43" s="487"/>
      <c r="F43" s="487"/>
      <c r="G43" s="487"/>
      <c r="H43" s="487"/>
      <c r="I43" s="487"/>
      <c r="J43" s="487"/>
      <c r="K43" s="487"/>
      <c r="L43" s="487"/>
      <c r="M43" s="487"/>
      <c r="N43" s="487"/>
      <c r="O43" s="487"/>
      <c r="P43" s="487"/>
      <c r="Q43" s="487"/>
      <c r="R43" s="487"/>
      <c r="S43" s="487"/>
      <c r="T43" s="487"/>
      <c r="U43" s="487"/>
      <c r="V43" s="487"/>
      <c r="W43" s="487"/>
      <c r="X43" s="487"/>
      <c r="Y43" s="473"/>
      <c r="Z43" s="473"/>
      <c r="AA43" s="473"/>
      <c r="AB43" s="486"/>
      <c r="AC43" s="487"/>
      <c r="AD43" s="487"/>
      <c r="AE43" s="487"/>
      <c r="AF43" s="487"/>
      <c r="AG43" s="487"/>
      <c r="AH43" s="487"/>
      <c r="AI43" s="487"/>
      <c r="AJ43" s="487"/>
      <c r="AK43" s="487"/>
      <c r="AL43" s="487"/>
      <c r="AM43" s="487"/>
      <c r="AN43" s="487"/>
      <c r="AO43" s="487"/>
      <c r="AP43" s="487"/>
      <c r="AQ43" s="487"/>
      <c r="AR43" s="487"/>
      <c r="AS43" s="487"/>
      <c r="AT43" s="487"/>
      <c r="AU43" s="487"/>
      <c r="AV43" s="487"/>
      <c r="AW43" s="487"/>
      <c r="AX43" s="476"/>
      <c r="AY43" s="472"/>
      <c r="AZ43" s="483"/>
      <c r="BA43" s="422"/>
      <c r="BB43" s="405"/>
      <c r="BC43" s="406"/>
      <c r="BD43" s="391"/>
      <c r="BE43" s="421"/>
      <c r="BF43" s="421"/>
      <c r="BG43" s="391"/>
      <c r="BH43" s="517"/>
      <c r="BJ43" s="391"/>
      <c r="BN43" s="444"/>
      <c r="BO43" s="444"/>
      <c r="BP43" s="444"/>
      <c r="BQ43" s="444"/>
      <c r="BR43" s="444"/>
      <c r="BS43" s="444"/>
      <c r="BT43" s="444"/>
      <c r="CD43" s="444"/>
      <c r="CF43" s="391"/>
      <c r="CH43" s="444"/>
    </row>
    <row r="44" spans="1:86" s="443" customFormat="1" ht="12.5" customHeight="1">
      <c r="A44" s="393"/>
      <c r="B44" s="482"/>
      <c r="C44" s="472"/>
      <c r="D44" s="473"/>
      <c r="E44" s="473"/>
      <c r="F44" s="473"/>
      <c r="G44" s="473"/>
      <c r="H44" s="473"/>
      <c r="I44" s="473"/>
      <c r="J44" s="473"/>
      <c r="K44" s="473"/>
      <c r="L44" s="473"/>
      <c r="M44" s="473"/>
      <c r="N44" s="473"/>
      <c r="O44" s="473"/>
      <c r="P44" s="473"/>
      <c r="Q44" s="473"/>
      <c r="R44" s="473"/>
      <c r="S44" s="473"/>
      <c r="T44" s="473"/>
      <c r="U44" s="473"/>
      <c r="V44" s="473"/>
      <c r="W44" s="473"/>
      <c r="X44" s="473"/>
      <c r="Y44" s="473"/>
      <c r="Z44" s="473"/>
      <c r="AA44" s="473"/>
      <c r="AB44" s="473"/>
      <c r="AC44" s="473"/>
      <c r="AD44" s="473"/>
      <c r="AE44" s="473"/>
      <c r="AF44" s="473"/>
      <c r="AG44" s="473"/>
      <c r="AH44" s="473"/>
      <c r="AI44" s="473"/>
      <c r="AJ44" s="473"/>
      <c r="AK44" s="473"/>
      <c r="AL44" s="473"/>
      <c r="AM44" s="473"/>
      <c r="AN44" s="473"/>
      <c r="AO44" s="473"/>
      <c r="AP44" s="473"/>
      <c r="AQ44" s="473"/>
      <c r="AR44" s="473"/>
      <c r="AS44" s="474"/>
      <c r="AT44" s="475"/>
      <c r="AU44" s="476"/>
      <c r="AV44" s="472"/>
      <c r="AW44" s="472"/>
      <c r="AX44" s="476"/>
      <c r="AY44" s="472"/>
      <c r="AZ44" s="483"/>
      <c r="BA44" s="422"/>
      <c r="BB44" s="405"/>
      <c r="BC44" s="406"/>
      <c r="BD44" s="391"/>
      <c r="BE44" s="391"/>
      <c r="BG44" s="391"/>
      <c r="BJ44" s="391"/>
      <c r="BN44" s="444"/>
      <c r="BO44" s="444"/>
      <c r="BP44" s="444"/>
      <c r="BQ44" s="444"/>
      <c r="BR44" s="444"/>
      <c r="BS44" s="444"/>
      <c r="BT44" s="444"/>
      <c r="CD44" s="444"/>
      <c r="CF44" s="391"/>
      <c r="CH44" s="444"/>
    </row>
    <row r="45" spans="1:86" s="443" customFormat="1" ht="12.5" customHeight="1">
      <c r="A45" s="393"/>
      <c r="B45" s="482"/>
      <c r="C45" s="485" t="s">
        <v>256</v>
      </c>
      <c r="D45" s="473"/>
      <c r="E45" s="473"/>
      <c r="F45" s="473"/>
      <c r="G45" s="473"/>
      <c r="H45" s="473"/>
      <c r="I45" s="473"/>
      <c r="J45" s="473"/>
      <c r="K45" s="473"/>
      <c r="L45" s="473"/>
      <c r="M45" s="473"/>
      <c r="N45" s="473"/>
      <c r="O45" s="473"/>
      <c r="P45" s="473"/>
      <c r="Q45" s="473"/>
      <c r="R45" s="473"/>
      <c r="S45" s="473"/>
      <c r="T45" s="473"/>
      <c r="U45" s="473"/>
      <c r="V45" s="473"/>
      <c r="W45" s="473"/>
      <c r="X45" s="473"/>
      <c r="Y45" s="473"/>
      <c r="Z45" s="473"/>
      <c r="AA45" s="473"/>
      <c r="AB45" s="485" t="s">
        <v>260</v>
      </c>
      <c r="AC45" s="473"/>
      <c r="AD45" s="473"/>
      <c r="AE45" s="473"/>
      <c r="AF45" s="473"/>
      <c r="AG45" s="473"/>
      <c r="AH45" s="473"/>
      <c r="AI45" s="473"/>
      <c r="AJ45" s="473"/>
      <c r="AK45" s="473"/>
      <c r="AL45" s="473"/>
      <c r="AM45" s="473"/>
      <c r="AN45" s="473"/>
      <c r="AO45" s="473"/>
      <c r="AP45" s="473"/>
      <c r="AQ45" s="473"/>
      <c r="AR45" s="473"/>
      <c r="AS45" s="474"/>
      <c r="AT45" s="475"/>
      <c r="AU45" s="476"/>
      <c r="AV45" s="476"/>
      <c r="AW45" s="476"/>
      <c r="AX45" s="476"/>
      <c r="AY45" s="472"/>
      <c r="AZ45" s="483"/>
      <c r="BA45" s="422"/>
      <c r="BB45" s="405"/>
      <c r="BC45" s="406"/>
      <c r="BD45" s="391"/>
      <c r="BE45" s="518"/>
      <c r="BJ45" s="391"/>
      <c r="BN45" s="444"/>
      <c r="BO45" s="444"/>
      <c r="BP45" s="444"/>
      <c r="BQ45" s="444"/>
      <c r="BR45" s="444"/>
      <c r="BS45" s="444"/>
      <c r="BT45" s="444"/>
      <c r="CD45" s="444"/>
      <c r="CE45" s="421"/>
      <c r="CF45" s="391"/>
      <c r="CG45" s="391"/>
      <c r="CH45" s="444"/>
    </row>
    <row r="46" spans="1:86" s="443" customFormat="1" ht="12.5" customHeight="1">
      <c r="A46" s="393"/>
      <c r="B46" s="482"/>
      <c r="C46" s="486"/>
      <c r="D46" s="487"/>
      <c r="E46" s="487"/>
      <c r="F46" s="487"/>
      <c r="G46" s="487"/>
      <c r="H46" s="487"/>
      <c r="I46" s="487"/>
      <c r="J46" s="487"/>
      <c r="K46" s="487"/>
      <c r="L46" s="487"/>
      <c r="M46" s="487"/>
      <c r="N46" s="487"/>
      <c r="O46" s="487"/>
      <c r="P46" s="487"/>
      <c r="Q46" s="487"/>
      <c r="R46" s="487"/>
      <c r="S46" s="487"/>
      <c r="T46" s="487"/>
      <c r="U46" s="487"/>
      <c r="V46" s="487"/>
      <c r="W46" s="487"/>
      <c r="X46" s="487"/>
      <c r="Y46" s="473"/>
      <c r="Z46" s="473"/>
      <c r="AA46" s="473"/>
      <c r="AB46" s="486"/>
      <c r="AC46" s="487"/>
      <c r="AD46" s="487"/>
      <c r="AE46" s="487"/>
      <c r="AF46" s="487"/>
      <c r="AG46" s="487"/>
      <c r="AH46" s="487"/>
      <c r="AI46" s="487"/>
      <c r="AJ46" s="487"/>
      <c r="AK46" s="487"/>
      <c r="AL46" s="487"/>
      <c r="AM46" s="487"/>
      <c r="AN46" s="487"/>
      <c r="AO46" s="487"/>
      <c r="AP46" s="487"/>
      <c r="AQ46" s="487"/>
      <c r="AR46" s="487"/>
      <c r="AS46" s="487"/>
      <c r="AT46" s="487"/>
      <c r="AU46" s="487"/>
      <c r="AV46" s="487"/>
      <c r="AW46" s="487"/>
      <c r="AX46" s="476"/>
      <c r="AY46" s="472"/>
      <c r="AZ46" s="483"/>
      <c r="BA46" s="422"/>
      <c r="BB46" s="405"/>
      <c r="BC46" s="406"/>
      <c r="BD46" s="391"/>
      <c r="BE46" s="391"/>
      <c r="BF46" s="421"/>
      <c r="BG46" s="391"/>
      <c r="BH46" s="391"/>
      <c r="BJ46" s="391"/>
      <c r="BN46" s="444"/>
      <c r="BO46" s="444"/>
      <c r="BP46" s="444"/>
      <c r="BQ46" s="444"/>
      <c r="BR46" s="444"/>
      <c r="BS46" s="444"/>
      <c r="BT46" s="444"/>
      <c r="CD46" s="444"/>
      <c r="CF46" s="391"/>
      <c r="CH46" s="444"/>
    </row>
    <row r="47" spans="1:86" s="443" customFormat="1" ht="12.5" customHeight="1">
      <c r="A47" s="393"/>
      <c r="B47" s="482"/>
      <c r="C47" s="472"/>
      <c r="D47" s="473"/>
      <c r="E47" s="473"/>
      <c r="F47" s="473"/>
      <c r="G47" s="473"/>
      <c r="H47" s="473"/>
      <c r="I47" s="473"/>
      <c r="J47" s="473"/>
      <c r="K47" s="473"/>
      <c r="L47" s="473"/>
      <c r="M47" s="473"/>
      <c r="N47" s="473"/>
      <c r="O47" s="473"/>
      <c r="P47" s="473"/>
      <c r="Q47" s="473"/>
      <c r="R47" s="473"/>
      <c r="S47" s="473"/>
      <c r="T47" s="473"/>
      <c r="U47" s="473"/>
      <c r="V47" s="473"/>
      <c r="W47" s="473"/>
      <c r="X47" s="473"/>
      <c r="Y47" s="473"/>
      <c r="Z47" s="473"/>
      <c r="AA47" s="473"/>
      <c r="AB47" s="473"/>
      <c r="AC47" s="473"/>
      <c r="AD47" s="473"/>
      <c r="AE47" s="473"/>
      <c r="AF47" s="473"/>
      <c r="AG47" s="473"/>
      <c r="AH47" s="473"/>
      <c r="AI47" s="473"/>
      <c r="AJ47" s="473"/>
      <c r="AK47" s="473"/>
      <c r="AL47" s="473"/>
      <c r="AM47" s="473"/>
      <c r="AN47" s="473"/>
      <c r="AO47" s="473"/>
      <c r="AP47" s="473"/>
      <c r="AQ47" s="473"/>
      <c r="AR47" s="473"/>
      <c r="AS47" s="474"/>
      <c r="AT47" s="475"/>
      <c r="AU47" s="476"/>
      <c r="AV47" s="472"/>
      <c r="AW47" s="472"/>
      <c r="AX47" s="476"/>
      <c r="AY47" s="472"/>
      <c r="AZ47" s="483"/>
      <c r="BA47" s="422"/>
      <c r="BB47" s="405"/>
      <c r="BC47" s="406"/>
      <c r="BD47" s="391"/>
      <c r="BE47" s="391"/>
      <c r="BG47" s="391"/>
      <c r="BJ47" s="391"/>
      <c r="BN47" s="444"/>
      <c r="BO47" s="444"/>
      <c r="BP47" s="444"/>
      <c r="BQ47" s="444"/>
      <c r="BR47" s="444"/>
      <c r="BS47" s="444"/>
      <c r="BT47" s="444"/>
      <c r="CD47" s="444"/>
      <c r="CF47" s="391"/>
      <c r="CH47" s="444"/>
    </row>
    <row r="48" spans="1:86" s="443" customFormat="1" ht="12.5" customHeight="1">
      <c r="A48" s="393"/>
      <c r="B48" s="418"/>
      <c r="C48" s="420"/>
      <c r="D48" s="420"/>
      <c r="E48" s="420"/>
      <c r="F48" s="420"/>
      <c r="G48" s="420"/>
      <c r="H48" s="420"/>
      <c r="I48" s="420"/>
      <c r="J48" s="420"/>
      <c r="K48" s="420"/>
      <c r="L48" s="420"/>
      <c r="M48" s="420"/>
      <c r="N48" s="420"/>
      <c r="O48" s="420"/>
      <c r="P48" s="420"/>
      <c r="Q48" s="420"/>
      <c r="R48" s="420"/>
      <c r="S48" s="420"/>
      <c r="T48" s="420"/>
      <c r="U48" s="420"/>
      <c r="V48" s="420"/>
      <c r="W48" s="420"/>
      <c r="X48" s="420"/>
      <c r="Y48" s="420"/>
      <c r="Z48" s="420"/>
      <c r="AA48" s="420"/>
      <c r="AB48" s="420"/>
      <c r="AC48" s="420"/>
      <c r="AD48" s="420"/>
      <c r="AE48" s="420"/>
      <c r="AF48" s="420"/>
      <c r="AG48" s="420"/>
      <c r="AH48" s="420"/>
      <c r="AI48" s="420"/>
      <c r="AJ48" s="420"/>
      <c r="AK48" s="420"/>
      <c r="AL48" s="420"/>
      <c r="AM48" s="420"/>
      <c r="AN48" s="420"/>
      <c r="AO48" s="420"/>
      <c r="AP48" s="420"/>
      <c r="AQ48" s="420"/>
      <c r="AR48" s="420"/>
      <c r="AS48" s="420"/>
      <c r="AT48" s="420"/>
      <c r="AU48" s="420"/>
      <c r="AV48" s="420"/>
      <c r="AW48" s="420"/>
      <c r="AX48" s="420"/>
      <c r="AY48" s="420"/>
      <c r="AZ48" s="422"/>
      <c r="BA48" s="422"/>
      <c r="BB48" s="405"/>
      <c r="BC48" s="406"/>
      <c r="BD48" s="391"/>
      <c r="BE48" s="391"/>
      <c r="BJ48" s="391"/>
      <c r="BN48" s="444"/>
      <c r="BO48" s="444"/>
      <c r="BP48" s="444"/>
      <c r="BQ48" s="444"/>
      <c r="BR48" s="444"/>
      <c r="BS48" s="444"/>
      <c r="BT48" s="444"/>
      <c r="CD48" s="444"/>
      <c r="CE48" s="421"/>
      <c r="CF48" s="391"/>
      <c r="CG48" s="28"/>
      <c r="CH48" s="444"/>
    </row>
    <row r="49" spans="1:86" s="443" customFormat="1" ht="12.5" customHeight="1">
      <c r="A49" s="393"/>
      <c r="B49" s="426"/>
      <c r="C49" s="420"/>
      <c r="D49" s="420"/>
      <c r="E49" s="420"/>
      <c r="F49" s="420"/>
      <c r="G49" s="420"/>
      <c r="H49" s="420"/>
      <c r="I49" s="420"/>
      <c r="J49" s="420"/>
      <c r="K49" s="420"/>
      <c r="L49" s="420"/>
      <c r="M49" s="420"/>
      <c r="N49" s="420"/>
      <c r="O49" s="420"/>
      <c r="P49" s="420"/>
      <c r="Q49" s="420"/>
      <c r="R49" s="420"/>
      <c r="S49" s="420"/>
      <c r="T49" s="420"/>
      <c r="U49" s="420"/>
      <c r="V49" s="420"/>
      <c r="W49" s="420"/>
      <c r="X49" s="420"/>
      <c r="Y49" s="420"/>
      <c r="Z49" s="420"/>
      <c r="AA49" s="420"/>
      <c r="AB49" s="420"/>
      <c r="AC49" s="420"/>
      <c r="AD49" s="420"/>
      <c r="AE49" s="420"/>
      <c r="AF49" s="420"/>
      <c r="AG49" s="420"/>
      <c r="AH49" s="420"/>
      <c r="AI49" s="420"/>
      <c r="AJ49" s="420"/>
      <c r="AK49" s="420"/>
      <c r="AL49" s="420"/>
      <c r="AM49" s="420"/>
      <c r="AN49" s="420"/>
      <c r="AO49" s="420"/>
      <c r="AP49" s="420"/>
      <c r="AQ49" s="420"/>
      <c r="AR49" s="420"/>
      <c r="AS49" s="420"/>
      <c r="AT49" s="420"/>
      <c r="AU49" s="420"/>
      <c r="AV49" s="420"/>
      <c r="AW49" s="420"/>
      <c r="AX49" s="420"/>
      <c r="AY49" s="420"/>
      <c r="AZ49" s="422"/>
      <c r="BA49" s="422"/>
      <c r="BB49" s="389"/>
      <c r="BC49" s="390"/>
      <c r="BD49" s="391"/>
      <c r="BE49" s="391"/>
      <c r="BF49" s="421"/>
      <c r="BG49" s="391"/>
      <c r="BH49" s="391"/>
      <c r="BJ49" s="28"/>
      <c r="BN49" s="444"/>
      <c r="BO49" s="444"/>
      <c r="BP49" s="444"/>
      <c r="BQ49" s="444"/>
      <c r="BR49" s="444"/>
      <c r="BS49" s="444"/>
      <c r="BT49" s="444"/>
      <c r="CD49" s="444"/>
      <c r="CF49" s="391"/>
      <c r="CH49" s="444"/>
    </row>
    <row r="50" spans="1:86" s="443" customFormat="1" ht="12.5" customHeight="1">
      <c r="A50" s="393"/>
      <c r="B50" s="418"/>
      <c r="C50" s="420"/>
      <c r="D50" s="420"/>
      <c r="E50" s="420"/>
      <c r="F50" s="420"/>
      <c r="G50" s="420"/>
      <c r="H50" s="420"/>
      <c r="I50" s="420"/>
      <c r="J50" s="420"/>
      <c r="K50" s="420"/>
      <c r="L50" s="420"/>
      <c r="M50" s="420"/>
      <c r="N50" s="420"/>
      <c r="O50" s="420"/>
      <c r="P50" s="420"/>
      <c r="Q50" s="420"/>
      <c r="R50" s="420"/>
      <c r="S50" s="420"/>
      <c r="T50" s="420"/>
      <c r="U50" s="420"/>
      <c r="V50" s="420"/>
      <c r="W50" s="420"/>
      <c r="X50" s="420"/>
      <c r="Y50" s="420"/>
      <c r="Z50" s="420"/>
      <c r="AA50" s="420"/>
      <c r="AB50" s="420"/>
      <c r="AC50" s="420"/>
      <c r="AD50" s="420"/>
      <c r="AE50" s="420"/>
      <c r="AF50" s="420"/>
      <c r="AG50" s="420"/>
      <c r="AH50" s="420"/>
      <c r="AI50" s="420"/>
      <c r="AJ50" s="420"/>
      <c r="AK50" s="420"/>
      <c r="AL50" s="420"/>
      <c r="AM50" s="420"/>
      <c r="AN50" s="420"/>
      <c r="AO50" s="420"/>
      <c r="AP50" s="420"/>
      <c r="AQ50" s="420"/>
      <c r="AR50" s="420"/>
      <c r="AS50" s="420"/>
      <c r="AT50" s="420"/>
      <c r="AU50" s="420"/>
      <c r="AV50" s="420"/>
      <c r="AW50" s="420"/>
      <c r="AX50" s="420"/>
      <c r="AY50" s="420"/>
      <c r="AZ50" s="422"/>
      <c r="BA50" s="422"/>
      <c r="BB50" s="405"/>
      <c r="BC50" s="406"/>
      <c r="BD50" s="391"/>
      <c r="BE50" s="391"/>
      <c r="BG50" s="391"/>
      <c r="BJ50" s="28"/>
      <c r="BN50" s="444"/>
      <c r="BO50" s="444"/>
      <c r="BP50" s="444"/>
      <c r="BQ50" s="444"/>
      <c r="BR50" s="444"/>
      <c r="BS50" s="444"/>
      <c r="BT50" s="444"/>
      <c r="CD50" s="444"/>
      <c r="CE50" s="444"/>
      <c r="CF50" s="391"/>
      <c r="CG50" s="444"/>
      <c r="CH50" s="444"/>
    </row>
    <row r="51" spans="1:86" s="443" customFormat="1" ht="12.5" customHeight="1">
      <c r="A51" s="393"/>
      <c r="B51" s="418"/>
      <c r="C51" s="423"/>
      <c r="D51" s="419"/>
      <c r="E51" s="419"/>
      <c r="F51" s="419"/>
      <c r="G51" s="421"/>
      <c r="H51" s="431"/>
      <c r="I51" s="431"/>
      <c r="J51" s="431"/>
      <c r="K51" s="431"/>
      <c r="L51" s="431"/>
      <c r="M51" s="431"/>
      <c r="N51" s="431"/>
      <c r="O51" s="431"/>
      <c r="P51" s="431"/>
      <c r="Q51" s="431"/>
      <c r="R51" s="431"/>
      <c r="S51" s="431"/>
      <c r="T51" s="431"/>
      <c r="U51" s="431"/>
      <c r="V51" s="431"/>
      <c r="W51" s="431"/>
      <c r="X51" s="431"/>
      <c r="Y51" s="431"/>
      <c r="Z51" s="431"/>
      <c r="AA51" s="431"/>
      <c r="AB51" s="431"/>
      <c r="AC51" s="431"/>
      <c r="AD51" s="431"/>
      <c r="AE51" s="431"/>
      <c r="AF51" s="431"/>
      <c r="AG51" s="431"/>
      <c r="AH51" s="431"/>
      <c r="AI51" s="431"/>
      <c r="AJ51" s="431"/>
      <c r="AK51" s="431"/>
      <c r="AL51" s="431"/>
      <c r="AM51" s="431"/>
      <c r="AN51" s="431"/>
      <c r="AO51" s="431"/>
      <c r="AP51" s="431"/>
      <c r="AQ51" s="431"/>
      <c r="AR51" s="431"/>
      <c r="AS51" s="431"/>
      <c r="AT51" s="425"/>
      <c r="AU51" s="421"/>
      <c r="AV51" s="421"/>
      <c r="AW51" s="421"/>
      <c r="AX51" s="421"/>
      <c r="AY51" s="417"/>
      <c r="AZ51" s="422"/>
      <c r="BA51" s="422"/>
      <c r="BB51" s="389"/>
      <c r="BC51" s="390"/>
      <c r="BD51" s="391"/>
      <c r="BE51" s="391"/>
      <c r="BJ51" s="391"/>
      <c r="BN51" s="444"/>
      <c r="BO51" s="444"/>
      <c r="BP51" s="444"/>
      <c r="BQ51" s="444"/>
      <c r="BR51" s="444"/>
      <c r="BS51" s="444"/>
      <c r="BT51" s="444"/>
      <c r="CD51" s="444"/>
      <c r="CE51" s="421"/>
      <c r="CF51" s="391"/>
      <c r="CG51" s="28"/>
      <c r="CH51" s="444"/>
    </row>
    <row r="52" spans="1:86" s="443" customFormat="1" ht="12.5" customHeight="1">
      <c r="A52" s="393"/>
      <c r="B52" s="426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  <c r="AC52" s="420"/>
      <c r="AD52" s="420"/>
      <c r="AE52" s="420"/>
      <c r="AF52" s="420"/>
      <c r="AG52" s="420"/>
      <c r="AH52" s="420"/>
      <c r="AI52" s="420"/>
      <c r="AJ52" s="420"/>
      <c r="AK52" s="420"/>
      <c r="AL52" s="420"/>
      <c r="AM52" s="420"/>
      <c r="AN52" s="420"/>
      <c r="AO52" s="420"/>
      <c r="AP52" s="420"/>
      <c r="AQ52" s="420"/>
      <c r="AR52" s="420"/>
      <c r="AS52" s="420"/>
      <c r="AT52" s="420"/>
      <c r="AU52" s="420"/>
      <c r="AV52" s="420"/>
      <c r="AW52" s="420"/>
      <c r="AX52" s="420"/>
      <c r="AY52" s="420"/>
      <c r="AZ52" s="422"/>
      <c r="BA52" s="422"/>
      <c r="BB52" s="389"/>
      <c r="BC52" s="390"/>
      <c r="BD52" s="391"/>
      <c r="BE52" s="391"/>
      <c r="BF52" s="421"/>
      <c r="BG52" s="391"/>
      <c r="BH52" s="391"/>
      <c r="BJ52" s="444"/>
      <c r="BN52" s="444"/>
      <c r="BO52" s="444"/>
      <c r="BP52" s="444"/>
      <c r="BQ52" s="444"/>
      <c r="BR52" s="444"/>
      <c r="BS52" s="444"/>
      <c r="BT52" s="444"/>
      <c r="CD52" s="444"/>
      <c r="CF52" s="391"/>
      <c r="CH52" s="444"/>
    </row>
    <row r="53" spans="1:86" s="443" customFormat="1" ht="12.5" customHeight="1">
      <c r="A53" s="393"/>
      <c r="B53" s="418"/>
      <c r="C53" s="420"/>
      <c r="D53" s="420"/>
      <c r="E53" s="420"/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420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  <c r="AC53" s="420"/>
      <c r="AD53" s="420"/>
      <c r="AE53" s="420"/>
      <c r="AF53" s="420"/>
      <c r="AG53" s="420"/>
      <c r="AH53" s="420"/>
      <c r="AI53" s="420"/>
      <c r="AJ53" s="420"/>
      <c r="AK53" s="420"/>
      <c r="AL53" s="420"/>
      <c r="AM53" s="420"/>
      <c r="AN53" s="420"/>
      <c r="AO53" s="420"/>
      <c r="AP53" s="420"/>
      <c r="AQ53" s="420"/>
      <c r="AR53" s="420"/>
      <c r="AS53" s="420"/>
      <c r="AT53" s="420"/>
      <c r="AU53" s="420"/>
      <c r="AV53" s="420"/>
      <c r="AW53" s="420"/>
      <c r="AX53" s="420"/>
      <c r="AY53" s="420"/>
      <c r="AZ53" s="422"/>
      <c r="BA53" s="422"/>
      <c r="BB53" s="405"/>
      <c r="BC53" s="406"/>
      <c r="BD53" s="391"/>
      <c r="BE53" s="444"/>
      <c r="BG53" s="391"/>
      <c r="BJ53" s="444"/>
      <c r="BN53" s="444"/>
      <c r="BO53" s="444"/>
      <c r="BP53" s="444"/>
      <c r="BQ53" s="444"/>
      <c r="BR53" s="444"/>
      <c r="BS53" s="444"/>
      <c r="BT53" s="444"/>
      <c r="CD53" s="444"/>
      <c r="CE53" s="444"/>
      <c r="CF53" s="391"/>
      <c r="CG53" s="444"/>
      <c r="CH53" s="444"/>
    </row>
    <row r="54" spans="1:86" s="443" customFormat="1" ht="12.5" customHeight="1">
      <c r="A54" s="393"/>
      <c r="B54" s="418"/>
      <c r="C54" s="423"/>
      <c r="D54" s="419"/>
      <c r="E54" s="419"/>
      <c r="F54" s="419"/>
      <c r="G54" s="421"/>
      <c r="H54" s="431"/>
      <c r="I54" s="431"/>
      <c r="J54" s="431"/>
      <c r="K54" s="431"/>
      <c r="L54" s="431"/>
      <c r="M54" s="431"/>
      <c r="N54" s="431"/>
      <c r="O54" s="431"/>
      <c r="P54" s="431"/>
      <c r="Q54" s="431"/>
      <c r="R54" s="431"/>
      <c r="S54" s="431"/>
      <c r="T54" s="431"/>
      <c r="U54" s="431"/>
      <c r="V54" s="431"/>
      <c r="W54" s="431"/>
      <c r="X54" s="431"/>
      <c r="Y54" s="431"/>
      <c r="Z54" s="431"/>
      <c r="AA54" s="431"/>
      <c r="AB54" s="431"/>
      <c r="AC54" s="431"/>
      <c r="AD54" s="431"/>
      <c r="AE54" s="431"/>
      <c r="AF54" s="431"/>
      <c r="AG54" s="431"/>
      <c r="AH54" s="431"/>
      <c r="AI54" s="431"/>
      <c r="AJ54" s="431"/>
      <c r="AK54" s="431"/>
      <c r="AL54" s="431"/>
      <c r="AM54" s="431"/>
      <c r="AN54" s="431"/>
      <c r="AO54" s="431"/>
      <c r="AP54" s="431"/>
      <c r="AQ54" s="431"/>
      <c r="AR54" s="431"/>
      <c r="AS54" s="431"/>
      <c r="AT54" s="425"/>
      <c r="AU54" s="421"/>
      <c r="AV54" s="421"/>
      <c r="AW54" s="421"/>
      <c r="AX54" s="421"/>
      <c r="AY54" s="417"/>
      <c r="AZ54" s="422"/>
      <c r="BA54" s="422"/>
      <c r="BB54" s="389"/>
      <c r="BC54" s="390"/>
      <c r="BD54" s="391"/>
      <c r="BE54" s="444"/>
      <c r="BG54" s="391"/>
      <c r="BJ54" s="444"/>
      <c r="BN54" s="444"/>
      <c r="BO54" s="444"/>
      <c r="BP54" s="444"/>
      <c r="BQ54" s="444"/>
      <c r="BR54" s="444"/>
      <c r="BS54" s="444"/>
      <c r="BT54" s="444"/>
      <c r="CD54" s="444"/>
      <c r="CE54" s="421"/>
      <c r="CF54" s="391"/>
      <c r="CG54" s="444"/>
      <c r="CH54" s="444"/>
    </row>
    <row r="55" spans="1:86" s="443" customFormat="1" ht="12.5" customHeight="1">
      <c r="A55" s="393"/>
      <c r="B55" s="426"/>
      <c r="C55" s="420"/>
      <c r="D55" s="420"/>
      <c r="E55" s="420"/>
      <c r="F55" s="420"/>
      <c r="G55" s="420"/>
      <c r="H55" s="420"/>
      <c r="I55" s="420"/>
      <c r="J55" s="420"/>
      <c r="K55" s="420"/>
      <c r="L55" s="420"/>
      <c r="M55" s="420"/>
      <c r="N55" s="420"/>
      <c r="O55" s="420"/>
      <c r="P55" s="420"/>
      <c r="Q55" s="420"/>
      <c r="R55" s="420"/>
      <c r="S55" s="420"/>
      <c r="T55" s="420"/>
      <c r="U55" s="420"/>
      <c r="V55" s="420"/>
      <c r="W55" s="420"/>
      <c r="X55" s="420"/>
      <c r="Y55" s="420"/>
      <c r="Z55" s="420"/>
      <c r="AA55" s="420"/>
      <c r="AB55" s="420"/>
      <c r="AC55" s="420"/>
      <c r="AD55" s="420"/>
      <c r="AE55" s="420"/>
      <c r="AF55" s="420"/>
      <c r="AG55" s="420"/>
      <c r="AH55" s="420"/>
      <c r="AI55" s="420"/>
      <c r="AJ55" s="420"/>
      <c r="AK55" s="420"/>
      <c r="AL55" s="420"/>
      <c r="AM55" s="420"/>
      <c r="AN55" s="420"/>
      <c r="AO55" s="420"/>
      <c r="AP55" s="420"/>
      <c r="AQ55" s="420"/>
      <c r="AR55" s="420"/>
      <c r="AS55" s="420"/>
      <c r="AT55" s="420"/>
      <c r="AU55" s="420"/>
      <c r="AV55" s="420"/>
      <c r="AW55" s="420"/>
      <c r="AX55" s="420"/>
      <c r="AY55" s="420"/>
      <c r="AZ55" s="422"/>
      <c r="BA55" s="422"/>
      <c r="BB55" s="389"/>
      <c r="BC55" s="390"/>
      <c r="BD55" s="391"/>
      <c r="BE55" s="444"/>
      <c r="BF55" s="421"/>
      <c r="BG55" s="391"/>
      <c r="BH55" s="391"/>
      <c r="BJ55" s="444"/>
      <c r="BN55" s="444"/>
      <c r="BO55" s="444"/>
      <c r="BP55" s="444"/>
      <c r="BQ55" s="444"/>
      <c r="BR55" s="444"/>
      <c r="BS55" s="444"/>
      <c r="BT55" s="444"/>
      <c r="CD55" s="444"/>
      <c r="CF55" s="391"/>
      <c r="CH55" s="444"/>
    </row>
    <row r="56" spans="1:86" s="443" customFormat="1" ht="12.5" customHeight="1">
      <c r="A56" s="393"/>
      <c r="B56" s="426"/>
      <c r="C56" s="420"/>
      <c r="D56" s="420"/>
      <c r="E56" s="420"/>
      <c r="F56" s="420"/>
      <c r="G56" s="420"/>
      <c r="H56" s="420"/>
      <c r="I56" s="420"/>
      <c r="J56" s="420"/>
      <c r="K56" s="420"/>
      <c r="L56" s="420"/>
      <c r="M56" s="420"/>
      <c r="N56" s="420"/>
      <c r="O56" s="420"/>
      <c r="P56" s="420"/>
      <c r="Q56" s="420"/>
      <c r="R56" s="420"/>
      <c r="S56" s="420"/>
      <c r="T56" s="420"/>
      <c r="U56" s="420"/>
      <c r="V56" s="420"/>
      <c r="W56" s="420"/>
      <c r="X56" s="420"/>
      <c r="Y56" s="420"/>
      <c r="Z56" s="420"/>
      <c r="AA56" s="420"/>
      <c r="AB56" s="420"/>
      <c r="AC56" s="420"/>
      <c r="AD56" s="420"/>
      <c r="AE56" s="420"/>
      <c r="AF56" s="420"/>
      <c r="AG56" s="420"/>
      <c r="AH56" s="420"/>
      <c r="AI56" s="420"/>
      <c r="AJ56" s="420"/>
      <c r="AK56" s="420"/>
      <c r="AL56" s="420"/>
      <c r="AM56" s="420"/>
      <c r="AN56" s="420"/>
      <c r="AO56" s="420"/>
      <c r="AP56" s="420"/>
      <c r="AQ56" s="420"/>
      <c r="AR56" s="420"/>
      <c r="AS56" s="420"/>
      <c r="AT56" s="420"/>
      <c r="AU56" s="420"/>
      <c r="AV56" s="420"/>
      <c r="AW56" s="420"/>
      <c r="AX56" s="420"/>
      <c r="AY56" s="420"/>
      <c r="AZ56" s="422"/>
      <c r="BA56" s="422"/>
      <c r="BB56" s="389"/>
      <c r="BC56" s="390"/>
      <c r="BD56" s="391"/>
      <c r="BE56" s="444"/>
      <c r="BG56" s="391"/>
      <c r="BJ56" s="444"/>
      <c r="BN56" s="444"/>
      <c r="BO56" s="444"/>
      <c r="BP56" s="444"/>
      <c r="BQ56" s="444"/>
      <c r="BR56" s="444"/>
      <c r="BS56" s="444"/>
      <c r="BT56" s="444"/>
    </row>
    <row r="57" spans="1:86" s="443" customFormat="1" ht="12.5" customHeight="1">
      <c r="A57" s="393"/>
      <c r="B57" s="418"/>
      <c r="C57" s="420"/>
      <c r="D57" s="420"/>
      <c r="E57" s="420"/>
      <c r="F57" s="420"/>
      <c r="G57" s="420"/>
      <c r="H57" s="420"/>
      <c r="I57" s="420"/>
      <c r="J57" s="420"/>
      <c r="K57" s="420"/>
      <c r="L57" s="420"/>
      <c r="M57" s="420"/>
      <c r="N57" s="420"/>
      <c r="O57" s="420"/>
      <c r="P57" s="420"/>
      <c r="Q57" s="420"/>
      <c r="R57" s="420"/>
      <c r="S57" s="420"/>
      <c r="T57" s="420"/>
      <c r="U57" s="420"/>
      <c r="V57" s="420"/>
      <c r="W57" s="420"/>
      <c r="X57" s="420"/>
      <c r="Y57" s="420"/>
      <c r="Z57" s="420"/>
      <c r="AA57" s="420"/>
      <c r="AB57" s="420"/>
      <c r="AC57" s="420"/>
      <c r="AD57" s="420"/>
      <c r="AE57" s="420"/>
      <c r="AF57" s="420"/>
      <c r="AG57" s="420"/>
      <c r="AH57" s="420"/>
      <c r="AI57" s="420"/>
      <c r="AJ57" s="420"/>
      <c r="AK57" s="420"/>
      <c r="AL57" s="420"/>
      <c r="AM57" s="420"/>
      <c r="AN57" s="420"/>
      <c r="AO57" s="420"/>
      <c r="AP57" s="420"/>
      <c r="AQ57" s="420"/>
      <c r="AR57" s="420"/>
      <c r="AS57" s="420"/>
      <c r="AT57" s="420"/>
      <c r="AU57" s="420"/>
      <c r="AV57" s="420"/>
      <c r="AW57" s="420"/>
      <c r="AX57" s="420"/>
      <c r="AY57" s="420"/>
      <c r="AZ57" s="422"/>
      <c r="BA57" s="422"/>
      <c r="BB57" s="405"/>
      <c r="BC57" s="406"/>
      <c r="BD57" s="391"/>
      <c r="BE57" s="444"/>
      <c r="BG57" s="391"/>
      <c r="BJ57" s="444"/>
      <c r="BN57" s="444"/>
      <c r="BO57" s="444"/>
      <c r="BP57" s="444"/>
      <c r="BQ57" s="444"/>
      <c r="BR57" s="444"/>
      <c r="BS57" s="444"/>
      <c r="BT57" s="444"/>
    </row>
    <row r="58" spans="1:86" s="443" customFormat="1" ht="12.5" customHeight="1">
      <c r="A58" s="393"/>
      <c r="B58" s="426"/>
      <c r="C58" s="420"/>
      <c r="D58" s="420"/>
      <c r="E58" s="420"/>
      <c r="F58" s="420"/>
      <c r="G58" s="420"/>
      <c r="H58" s="420"/>
      <c r="I58" s="420"/>
      <c r="J58" s="420"/>
      <c r="K58" s="420"/>
      <c r="L58" s="420"/>
      <c r="M58" s="420"/>
      <c r="N58" s="420"/>
      <c r="O58" s="420"/>
      <c r="P58" s="420"/>
      <c r="Q58" s="420"/>
      <c r="R58" s="420"/>
      <c r="S58" s="420"/>
      <c r="T58" s="420"/>
      <c r="U58" s="420"/>
      <c r="V58" s="420"/>
      <c r="W58" s="420"/>
      <c r="X58" s="420"/>
      <c r="Y58" s="420"/>
      <c r="Z58" s="420"/>
      <c r="AA58" s="420"/>
      <c r="AB58" s="420"/>
      <c r="AC58" s="420"/>
      <c r="AD58" s="420"/>
      <c r="AE58" s="420"/>
      <c r="AF58" s="420"/>
      <c r="AG58" s="420"/>
      <c r="AH58" s="420"/>
      <c r="AI58" s="420"/>
      <c r="AJ58" s="420"/>
      <c r="AK58" s="420"/>
      <c r="AL58" s="420"/>
      <c r="AM58" s="420"/>
      <c r="AN58" s="420"/>
      <c r="AO58" s="420"/>
      <c r="AP58" s="420"/>
      <c r="AQ58" s="420"/>
      <c r="AR58" s="420"/>
      <c r="AS58" s="420"/>
      <c r="AT58" s="420"/>
      <c r="AU58" s="420"/>
      <c r="AV58" s="420"/>
      <c r="AW58" s="420"/>
      <c r="AX58" s="420"/>
      <c r="AY58" s="420"/>
      <c r="AZ58" s="422"/>
      <c r="BA58" s="422"/>
      <c r="BB58" s="492"/>
      <c r="BC58" s="493"/>
      <c r="BD58" s="391"/>
      <c r="BE58" s="444"/>
      <c r="BF58" s="421"/>
      <c r="BG58" s="391"/>
      <c r="BH58" s="391"/>
      <c r="BJ58" s="444"/>
      <c r="BN58" s="444"/>
      <c r="BO58" s="444"/>
      <c r="BP58" s="444"/>
      <c r="BQ58" s="444"/>
      <c r="BR58" s="444"/>
      <c r="BS58" s="444"/>
      <c r="BT58" s="444"/>
    </row>
    <row r="59" spans="1:86" s="443" customFormat="1" ht="13.5">
      <c r="A59" s="393"/>
      <c r="B59" s="426"/>
      <c r="C59" s="420"/>
      <c r="D59" s="420"/>
      <c r="E59" s="420"/>
      <c r="F59" s="420"/>
      <c r="G59" s="420"/>
      <c r="H59" s="420"/>
      <c r="I59" s="420"/>
      <c r="J59" s="420"/>
      <c r="K59" s="420"/>
      <c r="L59" s="420"/>
      <c r="M59" s="420"/>
      <c r="N59" s="420"/>
      <c r="O59" s="420"/>
      <c r="P59" s="420"/>
      <c r="Q59" s="420"/>
      <c r="R59" s="420"/>
      <c r="S59" s="420"/>
      <c r="T59" s="420"/>
      <c r="U59" s="420"/>
      <c r="V59" s="420"/>
      <c r="W59" s="420"/>
      <c r="X59" s="420"/>
      <c r="Y59" s="420"/>
      <c r="Z59" s="420"/>
      <c r="AA59" s="420"/>
      <c r="AB59" s="420"/>
      <c r="AC59" s="420"/>
      <c r="AD59" s="420"/>
      <c r="AE59" s="420"/>
      <c r="AF59" s="420"/>
      <c r="AG59" s="420"/>
      <c r="AH59" s="420"/>
      <c r="AI59" s="420"/>
      <c r="AJ59" s="420"/>
      <c r="AK59" s="420"/>
      <c r="AL59" s="420"/>
      <c r="AM59" s="420"/>
      <c r="AN59" s="420"/>
      <c r="AO59" s="420"/>
      <c r="AP59" s="420"/>
      <c r="AQ59" s="420"/>
      <c r="AR59" s="420"/>
      <c r="AS59" s="420"/>
      <c r="AT59" s="420"/>
      <c r="AU59" s="420"/>
      <c r="AV59" s="420"/>
      <c r="AW59" s="420"/>
      <c r="AX59" s="420"/>
      <c r="AY59" s="420"/>
      <c r="AZ59" s="422"/>
      <c r="BA59" s="422"/>
      <c r="BB59" s="492"/>
      <c r="BC59" s="493"/>
      <c r="BD59" s="407"/>
      <c r="BE59" s="444"/>
      <c r="BG59" s="391"/>
      <c r="BJ59" s="444"/>
      <c r="BN59" s="444"/>
      <c r="BO59" s="444"/>
      <c r="BP59" s="444"/>
      <c r="BQ59" s="444"/>
      <c r="BR59" s="444"/>
      <c r="BS59" s="444"/>
      <c r="BT59" s="444"/>
    </row>
    <row r="60" spans="1:86" s="443" customFormat="1" ht="15">
      <c r="A60" s="392"/>
      <c r="B60" s="426"/>
      <c r="C60" s="420"/>
      <c r="D60" s="420"/>
      <c r="E60" s="420"/>
      <c r="F60" s="420"/>
      <c r="G60" s="420"/>
      <c r="H60" s="420"/>
      <c r="I60" s="420"/>
      <c r="J60" s="420"/>
      <c r="K60" s="420"/>
      <c r="L60" s="420"/>
      <c r="M60" s="420"/>
      <c r="N60" s="420"/>
      <c r="O60" s="420"/>
      <c r="P60" s="420"/>
      <c r="Q60" s="420"/>
      <c r="R60" s="420"/>
      <c r="S60" s="420"/>
      <c r="T60" s="420"/>
      <c r="U60" s="420"/>
      <c r="V60" s="420"/>
      <c r="W60" s="420"/>
      <c r="X60" s="420"/>
      <c r="Y60" s="420"/>
      <c r="Z60" s="420"/>
      <c r="AA60" s="420"/>
      <c r="AB60" s="420"/>
      <c r="AC60" s="420"/>
      <c r="AD60" s="420"/>
      <c r="AE60" s="420"/>
      <c r="AF60" s="420"/>
      <c r="AG60" s="420"/>
      <c r="AH60" s="420"/>
      <c r="AI60" s="420"/>
      <c r="AJ60" s="420"/>
      <c r="AK60" s="420"/>
      <c r="AL60" s="420"/>
      <c r="AM60" s="420"/>
      <c r="AN60" s="420"/>
      <c r="AO60" s="420"/>
      <c r="AP60" s="420"/>
      <c r="AQ60" s="420"/>
      <c r="AR60" s="420"/>
      <c r="AS60" s="420"/>
      <c r="AT60" s="420"/>
      <c r="AU60" s="420"/>
      <c r="AV60" s="420"/>
      <c r="AW60" s="420"/>
      <c r="AX60" s="420"/>
      <c r="AY60" s="420"/>
      <c r="AZ60" s="422"/>
      <c r="BA60" s="422"/>
      <c r="BB60" s="492"/>
      <c r="BC60" s="493"/>
      <c r="BD60" s="407"/>
      <c r="BE60" s="444"/>
      <c r="BG60" s="391"/>
      <c r="BJ60" s="444"/>
      <c r="BN60" s="444"/>
      <c r="BO60" s="444"/>
      <c r="BP60" s="444"/>
      <c r="BQ60" s="444"/>
      <c r="BR60" s="444"/>
      <c r="BS60" s="444"/>
      <c r="BT60" s="444"/>
    </row>
    <row r="61" spans="1:86" s="443" customFormat="1" ht="15">
      <c r="A61" s="392"/>
      <c r="B61" s="426"/>
      <c r="C61" s="420"/>
      <c r="D61" s="420"/>
      <c r="E61" s="420"/>
      <c r="F61" s="420"/>
      <c r="G61" s="420"/>
      <c r="H61" s="420"/>
      <c r="I61" s="420"/>
      <c r="J61" s="420"/>
      <c r="K61" s="420"/>
      <c r="L61" s="420"/>
      <c r="M61" s="420"/>
      <c r="N61" s="420"/>
      <c r="O61" s="420"/>
      <c r="P61" s="420"/>
      <c r="Q61" s="420"/>
      <c r="R61" s="420"/>
      <c r="S61" s="420"/>
      <c r="T61" s="420"/>
      <c r="U61" s="420"/>
      <c r="V61" s="420"/>
      <c r="W61" s="420"/>
      <c r="X61" s="420"/>
      <c r="Y61" s="420"/>
      <c r="Z61" s="420"/>
      <c r="AA61" s="420"/>
      <c r="AB61" s="420"/>
      <c r="AC61" s="420"/>
      <c r="AD61" s="420"/>
      <c r="AE61" s="420"/>
      <c r="AF61" s="420"/>
      <c r="AG61" s="420"/>
      <c r="AH61" s="420"/>
      <c r="AI61" s="420"/>
      <c r="AJ61" s="420"/>
      <c r="AK61" s="420"/>
      <c r="AL61" s="420"/>
      <c r="AM61" s="420"/>
      <c r="AN61" s="420"/>
      <c r="AO61" s="420"/>
      <c r="AP61" s="420"/>
      <c r="AQ61" s="420"/>
      <c r="AR61" s="420"/>
      <c r="AS61" s="420"/>
      <c r="AT61" s="420"/>
      <c r="AU61" s="420"/>
      <c r="AV61" s="420"/>
      <c r="AW61" s="420"/>
      <c r="AX61" s="420"/>
      <c r="AY61" s="420"/>
      <c r="AZ61" s="422"/>
      <c r="BA61" s="422"/>
      <c r="BB61" s="492"/>
      <c r="BC61" s="493"/>
      <c r="BD61" s="407"/>
      <c r="BE61" s="444"/>
      <c r="BF61" s="421"/>
      <c r="BG61" s="391"/>
      <c r="BH61" s="391"/>
      <c r="BJ61" s="444"/>
      <c r="BN61" s="444"/>
      <c r="BO61" s="444"/>
      <c r="BP61" s="444"/>
      <c r="BQ61" s="444"/>
      <c r="BR61" s="444"/>
      <c r="BS61" s="444"/>
      <c r="BT61" s="444"/>
    </row>
    <row r="62" spans="1:86" s="443" customFormat="1" ht="15">
      <c r="A62" s="392"/>
      <c r="B62" s="426"/>
      <c r="C62" s="420"/>
      <c r="D62" s="420"/>
      <c r="E62" s="420"/>
      <c r="F62" s="420"/>
      <c r="G62" s="420"/>
      <c r="H62" s="420"/>
      <c r="I62" s="420"/>
      <c r="J62" s="420"/>
      <c r="K62" s="420"/>
      <c r="L62" s="420"/>
      <c r="M62" s="420"/>
      <c r="N62" s="420"/>
      <c r="O62" s="420"/>
      <c r="P62" s="420"/>
      <c r="Q62" s="420"/>
      <c r="R62" s="420"/>
      <c r="S62" s="420"/>
      <c r="T62" s="420"/>
      <c r="U62" s="420"/>
      <c r="V62" s="420"/>
      <c r="W62" s="420"/>
      <c r="X62" s="420"/>
      <c r="Y62" s="420"/>
      <c r="Z62" s="420"/>
      <c r="AA62" s="420"/>
      <c r="AB62" s="420"/>
      <c r="AC62" s="420"/>
      <c r="AD62" s="420"/>
      <c r="AE62" s="420"/>
      <c r="AF62" s="420"/>
      <c r="AG62" s="420"/>
      <c r="AH62" s="420"/>
      <c r="AI62" s="420"/>
      <c r="AJ62" s="420"/>
      <c r="AK62" s="420"/>
      <c r="AL62" s="420"/>
      <c r="AM62" s="420"/>
      <c r="AN62" s="420"/>
      <c r="AO62" s="420"/>
      <c r="AP62" s="420"/>
      <c r="AQ62" s="420"/>
      <c r="AR62" s="420"/>
      <c r="AS62" s="420"/>
      <c r="AT62" s="420"/>
      <c r="AU62" s="420"/>
      <c r="AV62" s="420"/>
      <c r="AW62" s="420"/>
      <c r="AX62" s="420"/>
      <c r="AY62" s="420"/>
      <c r="AZ62" s="422"/>
      <c r="BA62" s="422"/>
      <c r="BB62" s="492"/>
      <c r="BC62" s="493"/>
      <c r="BD62" s="407"/>
      <c r="BE62" s="444"/>
      <c r="BG62" s="391"/>
      <c r="BJ62" s="444"/>
      <c r="BN62" s="444"/>
      <c r="BO62" s="444"/>
      <c r="BP62" s="444"/>
      <c r="BQ62" s="444"/>
      <c r="BR62" s="444"/>
      <c r="BS62" s="444"/>
      <c r="BT62" s="444"/>
    </row>
    <row r="63" spans="1:86" s="443" customFormat="1" ht="15">
      <c r="A63" s="392"/>
      <c r="B63" s="426"/>
      <c r="C63" s="420"/>
      <c r="D63" s="420"/>
      <c r="E63" s="420"/>
      <c r="F63" s="420"/>
      <c r="G63" s="420"/>
      <c r="H63" s="420"/>
      <c r="I63" s="420"/>
      <c r="J63" s="420"/>
      <c r="K63" s="420"/>
      <c r="L63" s="420"/>
      <c r="M63" s="420"/>
      <c r="N63" s="420"/>
      <c r="O63" s="420"/>
      <c r="P63" s="420"/>
      <c r="Q63" s="420"/>
      <c r="R63" s="420"/>
      <c r="S63" s="420"/>
      <c r="T63" s="420"/>
      <c r="U63" s="420"/>
      <c r="V63" s="420"/>
      <c r="W63" s="420"/>
      <c r="X63" s="420"/>
      <c r="Y63" s="420"/>
      <c r="Z63" s="420"/>
      <c r="AA63" s="420"/>
      <c r="AB63" s="420"/>
      <c r="AC63" s="420"/>
      <c r="AD63" s="420"/>
      <c r="AE63" s="420"/>
      <c r="AF63" s="420"/>
      <c r="AG63" s="420"/>
      <c r="AH63" s="420"/>
      <c r="AI63" s="420"/>
      <c r="AJ63" s="420"/>
      <c r="AK63" s="420"/>
      <c r="AL63" s="420"/>
      <c r="AM63" s="420"/>
      <c r="AN63" s="420"/>
      <c r="AO63" s="420"/>
      <c r="AP63" s="420"/>
      <c r="AQ63" s="420"/>
      <c r="AR63" s="420"/>
      <c r="AS63" s="420"/>
      <c r="AT63" s="420"/>
      <c r="AU63" s="420"/>
      <c r="AV63" s="420"/>
      <c r="AW63" s="420"/>
      <c r="AX63" s="420"/>
      <c r="AY63" s="420"/>
      <c r="AZ63" s="422"/>
      <c r="BA63" s="422"/>
      <c r="BB63" s="492"/>
      <c r="BC63" s="493"/>
      <c r="BD63" s="407"/>
      <c r="BE63" s="444"/>
      <c r="BJ63" s="444"/>
      <c r="BN63" s="444"/>
      <c r="BO63" s="444"/>
      <c r="BP63" s="444"/>
      <c r="BQ63" s="444"/>
      <c r="BR63" s="444"/>
      <c r="BS63" s="444"/>
      <c r="BT63" s="444"/>
    </row>
    <row r="64" spans="1:86" s="443" customFormat="1" ht="15">
      <c r="A64" s="392"/>
      <c r="B64" s="426"/>
      <c r="C64" s="420"/>
      <c r="D64" s="420"/>
      <c r="E64" s="420"/>
      <c r="F64" s="420"/>
      <c r="G64" s="420"/>
      <c r="H64" s="420"/>
      <c r="I64" s="420"/>
      <c r="J64" s="420"/>
      <c r="K64" s="420"/>
      <c r="L64" s="420"/>
      <c r="M64" s="420"/>
      <c r="N64" s="420"/>
      <c r="O64" s="420"/>
      <c r="P64" s="420"/>
      <c r="Q64" s="420"/>
      <c r="R64" s="420"/>
      <c r="S64" s="420"/>
      <c r="T64" s="420"/>
      <c r="U64" s="420"/>
      <c r="V64" s="420"/>
      <c r="W64" s="420"/>
      <c r="X64" s="420"/>
      <c r="Y64" s="420"/>
      <c r="Z64" s="420"/>
      <c r="AA64" s="420"/>
      <c r="AB64" s="420"/>
      <c r="AC64" s="420"/>
      <c r="AD64" s="420"/>
      <c r="AE64" s="420"/>
      <c r="AF64" s="420"/>
      <c r="AG64" s="420"/>
      <c r="AH64" s="420"/>
      <c r="AI64" s="420"/>
      <c r="AJ64" s="420"/>
      <c r="AK64" s="420"/>
      <c r="AL64" s="420"/>
      <c r="AM64" s="420"/>
      <c r="AN64" s="420"/>
      <c r="AO64" s="420"/>
      <c r="AP64" s="420"/>
      <c r="AQ64" s="420"/>
      <c r="AR64" s="420"/>
      <c r="AS64" s="420"/>
      <c r="AT64" s="420"/>
      <c r="AU64" s="420"/>
      <c r="AV64" s="420"/>
      <c r="AW64" s="420"/>
      <c r="AX64" s="420"/>
      <c r="AY64" s="420"/>
      <c r="AZ64" s="422"/>
      <c r="BA64" s="422"/>
      <c r="BB64" s="492"/>
      <c r="BC64" s="493"/>
      <c r="BD64" s="407"/>
      <c r="BE64" s="444"/>
      <c r="BF64" s="421"/>
      <c r="BG64" s="391"/>
      <c r="BH64" s="391"/>
      <c r="BN64" s="444"/>
      <c r="BO64" s="444"/>
      <c r="BP64" s="444"/>
      <c r="BQ64" s="444"/>
      <c r="BR64" s="444"/>
      <c r="BS64" s="444"/>
      <c r="BT64" s="444"/>
    </row>
    <row r="65" spans="1:72" s="443" customFormat="1" ht="15">
      <c r="A65" s="392"/>
      <c r="B65" s="426"/>
      <c r="C65" s="420"/>
      <c r="D65" s="420"/>
      <c r="E65" s="420"/>
      <c r="F65" s="420"/>
      <c r="G65" s="420"/>
      <c r="H65" s="420"/>
      <c r="I65" s="420"/>
      <c r="J65" s="420"/>
      <c r="K65" s="420"/>
      <c r="L65" s="420"/>
      <c r="M65" s="420"/>
      <c r="N65" s="420"/>
      <c r="O65" s="420"/>
      <c r="P65" s="420"/>
      <c r="Q65" s="420"/>
      <c r="R65" s="420"/>
      <c r="S65" s="420"/>
      <c r="T65" s="420"/>
      <c r="U65" s="420"/>
      <c r="V65" s="420"/>
      <c r="W65" s="420"/>
      <c r="X65" s="420"/>
      <c r="Y65" s="420"/>
      <c r="Z65" s="420"/>
      <c r="AA65" s="420"/>
      <c r="AB65" s="420"/>
      <c r="AC65" s="420"/>
      <c r="AD65" s="420"/>
      <c r="AE65" s="420"/>
      <c r="AF65" s="420"/>
      <c r="AG65" s="420"/>
      <c r="AH65" s="420"/>
      <c r="AI65" s="420"/>
      <c r="AJ65" s="420"/>
      <c r="AK65" s="420"/>
      <c r="AL65" s="420"/>
      <c r="AM65" s="420"/>
      <c r="AN65" s="420"/>
      <c r="AO65" s="420"/>
      <c r="AP65" s="420"/>
      <c r="AQ65" s="420"/>
      <c r="AR65" s="420"/>
      <c r="AS65" s="420"/>
      <c r="AT65" s="420"/>
      <c r="AU65" s="420"/>
      <c r="AV65" s="420"/>
      <c r="AW65" s="420"/>
      <c r="AX65" s="420"/>
      <c r="AY65" s="420"/>
      <c r="AZ65" s="422"/>
      <c r="BA65" s="422"/>
      <c r="BB65" s="492"/>
      <c r="BC65" s="493"/>
      <c r="BD65" s="407"/>
      <c r="BE65" s="444"/>
      <c r="BG65" s="391"/>
      <c r="BN65" s="444"/>
      <c r="BO65" s="444"/>
      <c r="BP65" s="444"/>
      <c r="BQ65" s="444"/>
      <c r="BR65" s="444"/>
      <c r="BS65" s="444"/>
      <c r="BT65" s="444"/>
    </row>
    <row r="66" spans="1:72" s="443" customFormat="1" ht="15">
      <c r="A66" s="392"/>
      <c r="B66" s="426"/>
      <c r="C66" s="420"/>
      <c r="D66" s="420"/>
      <c r="E66" s="420"/>
      <c r="F66" s="420"/>
      <c r="G66" s="420"/>
      <c r="H66" s="420"/>
      <c r="I66" s="420"/>
      <c r="J66" s="420"/>
      <c r="K66" s="420"/>
      <c r="L66" s="420"/>
      <c r="M66" s="420"/>
      <c r="N66" s="420"/>
      <c r="O66" s="420"/>
      <c r="P66" s="420"/>
      <c r="Q66" s="420"/>
      <c r="R66" s="420"/>
      <c r="S66" s="420"/>
      <c r="T66" s="420"/>
      <c r="U66" s="420"/>
      <c r="V66" s="420"/>
      <c r="W66" s="420"/>
      <c r="X66" s="420"/>
      <c r="Y66" s="420"/>
      <c r="Z66" s="420"/>
      <c r="AA66" s="420"/>
      <c r="AB66" s="420"/>
      <c r="AC66" s="420"/>
      <c r="AD66" s="420"/>
      <c r="AE66" s="420"/>
      <c r="AF66" s="420"/>
      <c r="AG66" s="420"/>
      <c r="AH66" s="420"/>
      <c r="AI66" s="420"/>
      <c r="AJ66" s="420"/>
      <c r="AK66" s="420"/>
      <c r="AL66" s="420"/>
      <c r="AM66" s="420"/>
      <c r="AN66" s="420"/>
      <c r="AO66" s="420"/>
      <c r="AP66" s="420"/>
      <c r="AQ66" s="420"/>
      <c r="AR66" s="420"/>
      <c r="AS66" s="420"/>
      <c r="AT66" s="420"/>
      <c r="AU66" s="420"/>
      <c r="AV66" s="420"/>
      <c r="AW66" s="420"/>
      <c r="AX66" s="420"/>
      <c r="AY66" s="420"/>
      <c r="AZ66" s="422"/>
      <c r="BA66" s="422"/>
      <c r="BB66" s="492"/>
      <c r="BC66" s="493"/>
      <c r="BD66" s="407"/>
      <c r="BE66" s="444"/>
      <c r="BJ66" s="444"/>
      <c r="BN66" s="444"/>
      <c r="BO66" s="444"/>
      <c r="BP66" s="444"/>
      <c r="BQ66" s="444"/>
      <c r="BR66" s="444"/>
      <c r="BS66" s="444"/>
      <c r="BT66" s="444"/>
    </row>
    <row r="67" spans="1:72" s="443" customFormat="1" ht="15">
      <c r="A67" s="392"/>
      <c r="B67" s="426"/>
      <c r="C67" s="420"/>
      <c r="D67" s="420"/>
      <c r="E67" s="420"/>
      <c r="F67" s="420"/>
      <c r="G67" s="420"/>
      <c r="H67" s="420"/>
      <c r="I67" s="420"/>
      <c r="J67" s="420"/>
      <c r="K67" s="420"/>
      <c r="L67" s="420"/>
      <c r="M67" s="420"/>
      <c r="N67" s="420"/>
      <c r="O67" s="420"/>
      <c r="P67" s="420"/>
      <c r="Q67" s="420"/>
      <c r="R67" s="420"/>
      <c r="S67" s="420"/>
      <c r="T67" s="420"/>
      <c r="U67" s="420"/>
      <c r="V67" s="420"/>
      <c r="W67" s="420"/>
      <c r="X67" s="420"/>
      <c r="Y67" s="420"/>
      <c r="Z67" s="420"/>
      <c r="AA67" s="420"/>
      <c r="AB67" s="420"/>
      <c r="AC67" s="420"/>
      <c r="AD67" s="420"/>
      <c r="AE67" s="420"/>
      <c r="AF67" s="420"/>
      <c r="AG67" s="420"/>
      <c r="AH67" s="420"/>
      <c r="AI67" s="420"/>
      <c r="AJ67" s="420"/>
      <c r="AK67" s="420"/>
      <c r="AL67" s="420"/>
      <c r="AM67" s="420"/>
      <c r="AN67" s="420"/>
      <c r="AO67" s="420"/>
      <c r="AP67" s="420"/>
      <c r="AQ67" s="420"/>
      <c r="AR67" s="420"/>
      <c r="AS67" s="420"/>
      <c r="AT67" s="420"/>
      <c r="AU67" s="420"/>
      <c r="AV67" s="420"/>
      <c r="AW67" s="420"/>
      <c r="AX67" s="420"/>
      <c r="AY67" s="420"/>
      <c r="AZ67" s="422"/>
      <c r="BA67" s="422"/>
      <c r="BB67" s="492"/>
      <c r="BC67" s="493"/>
      <c r="BD67" s="407"/>
      <c r="BE67" s="444"/>
      <c r="BF67" s="421"/>
      <c r="BG67" s="391"/>
      <c r="BH67" s="391"/>
      <c r="BJ67" s="444"/>
      <c r="BN67" s="444"/>
      <c r="BO67" s="444"/>
      <c r="BP67" s="444"/>
      <c r="BQ67" s="444"/>
      <c r="BR67" s="444"/>
      <c r="BS67" s="444"/>
      <c r="BT67" s="444"/>
    </row>
    <row r="68" spans="1:72" s="443" customFormat="1" ht="15">
      <c r="A68" s="392"/>
      <c r="B68" s="426"/>
      <c r="C68" s="420"/>
      <c r="D68" s="420"/>
      <c r="E68" s="420"/>
      <c r="F68" s="420"/>
      <c r="G68" s="420"/>
      <c r="H68" s="420"/>
      <c r="I68" s="420"/>
      <c r="J68" s="420"/>
      <c r="K68" s="420"/>
      <c r="L68" s="420"/>
      <c r="M68" s="420"/>
      <c r="N68" s="420"/>
      <c r="O68" s="420"/>
      <c r="P68" s="420"/>
      <c r="Q68" s="420"/>
      <c r="R68" s="420"/>
      <c r="S68" s="420"/>
      <c r="T68" s="420"/>
      <c r="U68" s="420"/>
      <c r="V68" s="420"/>
      <c r="W68" s="420"/>
      <c r="X68" s="420"/>
      <c r="Y68" s="420"/>
      <c r="Z68" s="420"/>
      <c r="AA68" s="420"/>
      <c r="AB68" s="420"/>
      <c r="AC68" s="420"/>
      <c r="AD68" s="420"/>
      <c r="AE68" s="420"/>
      <c r="AF68" s="420"/>
      <c r="AG68" s="420"/>
      <c r="AH68" s="420"/>
      <c r="AI68" s="420"/>
      <c r="AJ68" s="420"/>
      <c r="AK68" s="420"/>
      <c r="AL68" s="420"/>
      <c r="AM68" s="420"/>
      <c r="AN68" s="420"/>
      <c r="AO68" s="420"/>
      <c r="AP68" s="420"/>
      <c r="AQ68" s="420"/>
      <c r="AR68" s="420"/>
      <c r="AS68" s="420"/>
      <c r="AT68" s="420"/>
      <c r="AU68" s="420"/>
      <c r="AV68" s="420"/>
      <c r="AW68" s="420"/>
      <c r="AX68" s="420"/>
      <c r="AY68" s="420"/>
      <c r="AZ68" s="422"/>
      <c r="BA68" s="422"/>
      <c r="BB68" s="492"/>
      <c r="BC68" s="493"/>
      <c r="BD68" s="407"/>
      <c r="BE68" s="444"/>
      <c r="BG68" s="391"/>
      <c r="BJ68" s="444"/>
      <c r="BN68" s="444"/>
      <c r="BO68" s="444"/>
      <c r="BP68" s="444"/>
      <c r="BQ68" s="444"/>
      <c r="BR68" s="444"/>
      <c r="BS68" s="444"/>
      <c r="BT68" s="444"/>
    </row>
    <row r="69" spans="1:72" s="443" customFormat="1" ht="15">
      <c r="A69" s="392"/>
      <c r="B69" s="426"/>
      <c r="C69" s="420"/>
      <c r="D69" s="420"/>
      <c r="E69" s="420"/>
      <c r="F69" s="420"/>
      <c r="G69" s="420"/>
      <c r="H69" s="420"/>
      <c r="I69" s="420"/>
      <c r="J69" s="420"/>
      <c r="K69" s="420"/>
      <c r="L69" s="420"/>
      <c r="M69" s="420"/>
      <c r="N69" s="420"/>
      <c r="O69" s="420"/>
      <c r="P69" s="420"/>
      <c r="Q69" s="420"/>
      <c r="R69" s="420"/>
      <c r="S69" s="420"/>
      <c r="T69" s="420"/>
      <c r="U69" s="420"/>
      <c r="V69" s="420"/>
      <c r="W69" s="420"/>
      <c r="X69" s="420"/>
      <c r="Y69" s="420"/>
      <c r="Z69" s="420"/>
      <c r="AA69" s="420"/>
      <c r="AB69" s="420"/>
      <c r="AC69" s="420"/>
      <c r="AD69" s="420"/>
      <c r="AE69" s="420"/>
      <c r="AF69" s="420"/>
      <c r="AG69" s="420"/>
      <c r="AH69" s="420"/>
      <c r="AI69" s="420"/>
      <c r="AJ69" s="420"/>
      <c r="AK69" s="420"/>
      <c r="AL69" s="420"/>
      <c r="AM69" s="420"/>
      <c r="AN69" s="420"/>
      <c r="AO69" s="420"/>
      <c r="AP69" s="420"/>
      <c r="AQ69" s="420"/>
      <c r="AR69" s="420"/>
      <c r="AS69" s="420"/>
      <c r="AT69" s="420"/>
      <c r="AU69" s="420"/>
      <c r="AV69" s="420"/>
      <c r="AW69" s="420"/>
      <c r="AX69" s="420"/>
      <c r="AY69" s="420"/>
      <c r="AZ69" s="422"/>
      <c r="BA69" s="422"/>
      <c r="BB69" s="492"/>
      <c r="BC69" s="493"/>
      <c r="BD69" s="407"/>
      <c r="BE69" s="444"/>
      <c r="BG69" s="391"/>
      <c r="BJ69" s="444"/>
      <c r="BN69" s="444"/>
      <c r="BO69" s="444"/>
      <c r="BP69" s="444"/>
      <c r="BQ69" s="444"/>
      <c r="BR69" s="444"/>
      <c r="BS69" s="444"/>
      <c r="BT69" s="444"/>
    </row>
    <row r="70" spans="1:72" s="443" customFormat="1" ht="15">
      <c r="A70" s="392"/>
      <c r="B70" s="426"/>
      <c r="C70" s="420"/>
      <c r="D70" s="420"/>
      <c r="E70" s="420"/>
      <c r="F70" s="420"/>
      <c r="G70" s="420"/>
      <c r="H70" s="420"/>
      <c r="I70" s="420"/>
      <c r="J70" s="420"/>
      <c r="K70" s="420"/>
      <c r="L70" s="420"/>
      <c r="M70" s="420"/>
      <c r="N70" s="420"/>
      <c r="O70" s="420"/>
      <c r="P70" s="420"/>
      <c r="Q70" s="420"/>
      <c r="R70" s="420"/>
      <c r="S70" s="420"/>
      <c r="T70" s="420"/>
      <c r="U70" s="420"/>
      <c r="V70" s="420"/>
      <c r="W70" s="420"/>
      <c r="X70" s="420"/>
      <c r="Y70" s="420"/>
      <c r="Z70" s="420"/>
      <c r="AA70" s="420"/>
      <c r="AB70" s="420"/>
      <c r="AC70" s="420"/>
      <c r="AD70" s="420"/>
      <c r="AE70" s="420"/>
      <c r="AF70" s="420"/>
      <c r="AG70" s="420"/>
      <c r="AH70" s="420"/>
      <c r="AI70" s="420"/>
      <c r="AJ70" s="420"/>
      <c r="AK70" s="420"/>
      <c r="AL70" s="420"/>
      <c r="AM70" s="420"/>
      <c r="AN70" s="420"/>
      <c r="AO70" s="420"/>
      <c r="AP70" s="420"/>
      <c r="AQ70" s="420"/>
      <c r="AR70" s="420"/>
      <c r="AS70" s="420"/>
      <c r="AT70" s="420"/>
      <c r="AU70" s="420"/>
      <c r="AV70" s="420"/>
      <c r="AW70" s="420"/>
      <c r="AX70" s="420"/>
      <c r="AY70" s="420"/>
      <c r="AZ70" s="422"/>
      <c r="BA70" s="422"/>
      <c r="BB70" s="492"/>
      <c r="BC70" s="493"/>
      <c r="BD70" s="407"/>
      <c r="BE70" s="444"/>
      <c r="BF70" s="421"/>
      <c r="BG70" s="391"/>
      <c r="BH70" s="391"/>
      <c r="BJ70" s="444"/>
      <c r="BN70" s="444"/>
      <c r="BO70" s="444"/>
      <c r="BP70" s="444"/>
      <c r="BQ70" s="444"/>
      <c r="BR70" s="444"/>
      <c r="BS70" s="444"/>
      <c r="BT70" s="444"/>
    </row>
    <row r="71" spans="1:72" s="443" customFormat="1" ht="15">
      <c r="A71" s="392"/>
      <c r="B71" s="426"/>
      <c r="C71" s="420"/>
      <c r="D71" s="420"/>
      <c r="E71" s="420"/>
      <c r="F71" s="420"/>
      <c r="G71" s="420"/>
      <c r="H71" s="420"/>
      <c r="I71" s="420"/>
      <c r="J71" s="420"/>
      <c r="K71" s="420"/>
      <c r="L71" s="420"/>
      <c r="M71" s="420"/>
      <c r="N71" s="420"/>
      <c r="O71" s="420"/>
      <c r="P71" s="420"/>
      <c r="Q71" s="420"/>
      <c r="R71" s="420"/>
      <c r="S71" s="420"/>
      <c r="T71" s="420"/>
      <c r="U71" s="420"/>
      <c r="V71" s="420"/>
      <c r="W71" s="420"/>
      <c r="X71" s="420"/>
      <c r="Y71" s="420"/>
      <c r="Z71" s="420"/>
      <c r="AA71" s="420"/>
      <c r="AB71" s="420"/>
      <c r="AC71" s="420"/>
      <c r="AD71" s="420"/>
      <c r="AE71" s="420"/>
      <c r="AF71" s="420"/>
      <c r="AG71" s="420"/>
      <c r="AH71" s="420"/>
      <c r="AI71" s="420"/>
      <c r="AJ71" s="420"/>
      <c r="AK71" s="420"/>
      <c r="AL71" s="420"/>
      <c r="AM71" s="420"/>
      <c r="AN71" s="420"/>
      <c r="AO71" s="420"/>
      <c r="AP71" s="420"/>
      <c r="AQ71" s="420"/>
      <c r="AR71" s="420"/>
      <c r="AS71" s="420"/>
      <c r="AT71" s="420"/>
      <c r="AU71" s="420"/>
      <c r="AV71" s="420"/>
      <c r="AW71" s="420"/>
      <c r="AX71" s="420"/>
      <c r="AY71" s="420"/>
      <c r="AZ71" s="422"/>
      <c r="BA71" s="422"/>
      <c r="BB71" s="492"/>
      <c r="BC71" s="493"/>
      <c r="BD71" s="407"/>
      <c r="BE71" s="444"/>
      <c r="BG71" s="391"/>
      <c r="BJ71" s="444"/>
      <c r="BN71" s="444"/>
      <c r="BO71" s="444"/>
      <c r="BP71" s="444"/>
      <c r="BQ71" s="444"/>
      <c r="BR71" s="444"/>
      <c r="BS71" s="444"/>
      <c r="BT71" s="444"/>
    </row>
    <row r="72" spans="1:72" s="443" customFormat="1" ht="15">
      <c r="A72" s="392"/>
      <c r="B72" s="426"/>
      <c r="C72" s="420"/>
      <c r="D72" s="420"/>
      <c r="E72" s="420"/>
      <c r="F72" s="420"/>
      <c r="G72" s="420"/>
      <c r="H72" s="420"/>
      <c r="I72" s="420"/>
      <c r="J72" s="420"/>
      <c r="K72" s="420"/>
      <c r="L72" s="420"/>
      <c r="M72" s="420"/>
      <c r="N72" s="420"/>
      <c r="O72" s="420"/>
      <c r="P72" s="420"/>
      <c r="Q72" s="420"/>
      <c r="R72" s="420"/>
      <c r="S72" s="420"/>
      <c r="T72" s="420"/>
      <c r="U72" s="420"/>
      <c r="V72" s="420"/>
      <c r="W72" s="420"/>
      <c r="X72" s="420"/>
      <c r="Y72" s="420"/>
      <c r="Z72" s="420"/>
      <c r="AA72" s="420"/>
      <c r="AB72" s="420"/>
      <c r="AC72" s="420"/>
      <c r="AD72" s="420"/>
      <c r="AE72" s="420"/>
      <c r="AF72" s="420"/>
      <c r="AG72" s="420"/>
      <c r="AH72" s="420"/>
      <c r="AI72" s="420"/>
      <c r="AJ72" s="420"/>
      <c r="AK72" s="420"/>
      <c r="AL72" s="420"/>
      <c r="AM72" s="420"/>
      <c r="AN72" s="420"/>
      <c r="AO72" s="420"/>
      <c r="AP72" s="420"/>
      <c r="AQ72" s="420"/>
      <c r="AR72" s="420"/>
      <c r="AS72" s="420"/>
      <c r="AT72" s="420"/>
      <c r="AU72" s="420"/>
      <c r="AV72" s="420"/>
      <c r="AW72" s="420"/>
      <c r="AX72" s="420"/>
      <c r="AY72" s="420"/>
      <c r="AZ72" s="422"/>
      <c r="BA72" s="422"/>
      <c r="BB72" s="492"/>
      <c r="BC72" s="493"/>
      <c r="BD72" s="407"/>
      <c r="BE72" s="444"/>
      <c r="BG72" s="391"/>
      <c r="BJ72" s="444"/>
      <c r="BN72" s="444"/>
      <c r="BO72" s="444"/>
      <c r="BP72" s="444"/>
      <c r="BQ72" s="444"/>
      <c r="BR72" s="444"/>
      <c r="BS72" s="444"/>
      <c r="BT72" s="444"/>
    </row>
    <row r="73" spans="1:72" s="443" customFormat="1" ht="15">
      <c r="A73" s="392"/>
      <c r="B73" s="426"/>
      <c r="C73" s="420"/>
      <c r="D73" s="420"/>
      <c r="E73" s="420"/>
      <c r="F73" s="420"/>
      <c r="G73" s="420"/>
      <c r="H73" s="420"/>
      <c r="I73" s="420"/>
      <c r="J73" s="420"/>
      <c r="K73" s="420"/>
      <c r="L73" s="420"/>
      <c r="M73" s="420"/>
      <c r="N73" s="420"/>
      <c r="O73" s="420"/>
      <c r="P73" s="420"/>
      <c r="Q73" s="420"/>
      <c r="R73" s="420"/>
      <c r="S73" s="420"/>
      <c r="T73" s="420"/>
      <c r="U73" s="420"/>
      <c r="V73" s="420"/>
      <c r="W73" s="420"/>
      <c r="X73" s="420"/>
      <c r="Y73" s="420"/>
      <c r="Z73" s="420"/>
      <c r="AA73" s="420"/>
      <c r="AB73" s="420"/>
      <c r="AC73" s="420"/>
      <c r="AD73" s="420"/>
      <c r="AE73" s="420"/>
      <c r="AF73" s="420"/>
      <c r="AG73" s="420"/>
      <c r="AH73" s="420"/>
      <c r="AI73" s="420"/>
      <c r="AJ73" s="420"/>
      <c r="AK73" s="420"/>
      <c r="AL73" s="420"/>
      <c r="AM73" s="420"/>
      <c r="AN73" s="420"/>
      <c r="AO73" s="420"/>
      <c r="AP73" s="420"/>
      <c r="AQ73" s="420"/>
      <c r="AR73" s="420"/>
      <c r="AS73" s="420"/>
      <c r="AT73" s="420"/>
      <c r="AU73" s="420"/>
      <c r="AV73" s="420"/>
      <c r="AW73" s="420"/>
      <c r="AX73" s="420"/>
      <c r="AY73" s="420"/>
      <c r="AZ73" s="422"/>
      <c r="BA73" s="422"/>
      <c r="BB73" s="492"/>
      <c r="BC73" s="493"/>
      <c r="BD73" s="407"/>
      <c r="BE73" s="444"/>
      <c r="BF73" s="421"/>
      <c r="BG73" s="391"/>
      <c r="BH73" s="28"/>
      <c r="BJ73" s="444"/>
      <c r="BN73" s="444"/>
      <c r="BO73" s="444"/>
      <c r="BP73" s="444"/>
      <c r="BQ73" s="444"/>
      <c r="BR73" s="444"/>
      <c r="BS73" s="444"/>
      <c r="BT73" s="444"/>
    </row>
    <row r="74" spans="1:72" s="443" customFormat="1" ht="15">
      <c r="A74" s="392"/>
      <c r="B74" s="426"/>
      <c r="C74" s="420"/>
      <c r="D74" s="420"/>
      <c r="E74" s="420"/>
      <c r="F74" s="420"/>
      <c r="G74" s="420"/>
      <c r="H74" s="420"/>
      <c r="I74" s="420"/>
      <c r="J74" s="420"/>
      <c r="K74" s="420"/>
      <c r="L74" s="420"/>
      <c r="M74" s="420"/>
      <c r="N74" s="420"/>
      <c r="O74" s="420"/>
      <c r="P74" s="420"/>
      <c r="Q74" s="420"/>
      <c r="R74" s="420"/>
      <c r="S74" s="420"/>
      <c r="T74" s="420"/>
      <c r="U74" s="420"/>
      <c r="V74" s="420"/>
      <c r="W74" s="420"/>
      <c r="X74" s="420"/>
      <c r="Y74" s="420"/>
      <c r="Z74" s="420"/>
      <c r="AA74" s="420"/>
      <c r="AB74" s="420"/>
      <c r="AC74" s="420"/>
      <c r="AD74" s="420"/>
      <c r="AE74" s="420"/>
      <c r="AF74" s="420"/>
      <c r="AG74" s="420"/>
      <c r="AH74" s="420"/>
      <c r="AI74" s="420"/>
      <c r="AJ74" s="420"/>
      <c r="AK74" s="420"/>
      <c r="AL74" s="420"/>
      <c r="AM74" s="420"/>
      <c r="AN74" s="420"/>
      <c r="AO74" s="420"/>
      <c r="AP74" s="420"/>
      <c r="AQ74" s="420"/>
      <c r="AR74" s="420"/>
      <c r="AS74" s="420"/>
      <c r="AT74" s="420"/>
      <c r="AU74" s="420"/>
      <c r="AV74" s="420"/>
      <c r="AW74" s="420"/>
      <c r="AX74" s="420"/>
      <c r="AY74" s="420"/>
      <c r="AZ74" s="422"/>
      <c r="BA74" s="422"/>
      <c r="BB74" s="492"/>
      <c r="BC74" s="493"/>
      <c r="BD74" s="407"/>
      <c r="BE74" s="444"/>
      <c r="BG74" s="391"/>
      <c r="BJ74" s="444"/>
      <c r="BN74" s="444"/>
      <c r="BO74" s="444"/>
      <c r="BP74" s="444"/>
      <c r="BQ74" s="444"/>
      <c r="BR74" s="444"/>
      <c r="BS74" s="444"/>
      <c r="BT74" s="444"/>
    </row>
    <row r="75" spans="1:72" s="443" customFormat="1" ht="15">
      <c r="A75" s="392"/>
      <c r="B75" s="533"/>
      <c r="C75" s="534"/>
      <c r="D75" s="534"/>
      <c r="E75" s="534"/>
      <c r="F75" s="534"/>
      <c r="G75" s="534"/>
      <c r="H75" s="534"/>
      <c r="I75" s="534"/>
      <c r="J75" s="534"/>
      <c r="K75" s="534"/>
      <c r="L75" s="534"/>
      <c r="M75" s="534"/>
      <c r="N75" s="534"/>
      <c r="O75" s="534"/>
      <c r="P75" s="534"/>
      <c r="Q75" s="534"/>
      <c r="R75" s="534"/>
      <c r="S75" s="534"/>
      <c r="T75" s="534"/>
      <c r="U75" s="534"/>
      <c r="V75" s="534"/>
      <c r="W75" s="534"/>
      <c r="X75" s="534"/>
      <c r="Y75" s="534"/>
      <c r="Z75" s="534"/>
      <c r="AA75" s="534"/>
      <c r="AB75" s="534"/>
      <c r="AC75" s="534"/>
      <c r="AD75" s="534"/>
      <c r="AE75" s="534"/>
      <c r="AF75" s="534"/>
      <c r="AG75" s="534"/>
      <c r="AH75" s="534"/>
      <c r="AI75" s="534"/>
      <c r="AJ75" s="534"/>
      <c r="AK75" s="534"/>
      <c r="AL75" s="534"/>
      <c r="AM75" s="534"/>
      <c r="AN75" s="534"/>
      <c r="AO75" s="534"/>
      <c r="AP75" s="534"/>
      <c r="AQ75" s="534"/>
      <c r="AR75" s="534"/>
      <c r="AS75" s="534"/>
      <c r="AT75" s="534"/>
      <c r="AU75" s="534"/>
      <c r="AV75" s="534"/>
      <c r="AW75" s="534"/>
      <c r="AX75" s="534"/>
      <c r="AY75" s="534"/>
      <c r="AZ75" s="430"/>
      <c r="BA75" s="430"/>
      <c r="BB75" s="535"/>
      <c r="BC75" s="536"/>
      <c r="BD75" s="407"/>
      <c r="BE75" s="444"/>
      <c r="BF75" s="444"/>
      <c r="BG75" s="391"/>
      <c r="BH75" s="444"/>
      <c r="BJ75" s="444"/>
      <c r="BN75" s="444"/>
      <c r="BO75" s="444"/>
      <c r="BP75" s="444"/>
      <c r="BQ75" s="444"/>
      <c r="BR75" s="444"/>
      <c r="BS75" s="444"/>
      <c r="BT75" s="444"/>
    </row>
    <row r="76" spans="1:72" s="443" customFormat="1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21"/>
      <c r="BG76" s="391"/>
      <c r="BH76" s="28"/>
      <c r="BJ76" s="444"/>
      <c r="BN76" s="444"/>
      <c r="BO76" s="444"/>
      <c r="BP76" s="444"/>
      <c r="BQ76" s="444"/>
      <c r="BR76" s="444"/>
      <c r="BS76" s="444"/>
      <c r="BT76" s="444"/>
    </row>
    <row r="77" spans="1:72" s="443" customFormat="1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G77" s="391"/>
      <c r="BJ77" s="444"/>
      <c r="BN77" s="444"/>
      <c r="BO77" s="444"/>
      <c r="BP77" s="444"/>
      <c r="BQ77" s="444"/>
      <c r="BR77" s="444"/>
      <c r="BS77" s="444"/>
      <c r="BT77" s="444"/>
    </row>
    <row r="78" spans="1:72" s="443" customFormat="1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391"/>
      <c r="BH78" s="444"/>
      <c r="BJ78" s="444"/>
      <c r="BN78" s="444"/>
      <c r="BO78" s="444"/>
      <c r="BP78" s="444"/>
      <c r="BQ78" s="444"/>
      <c r="BR78" s="444"/>
      <c r="BS78" s="444"/>
      <c r="BT78" s="444"/>
    </row>
    <row r="79" spans="1:72" s="443" customFormat="1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21"/>
      <c r="BG79" s="391"/>
      <c r="BH79" s="444"/>
      <c r="BJ79" s="444"/>
      <c r="BN79" s="444"/>
      <c r="BO79" s="444"/>
      <c r="BP79" s="444"/>
      <c r="BQ79" s="444"/>
      <c r="BR79" s="444"/>
      <c r="BS79" s="444"/>
      <c r="BT79" s="444"/>
    </row>
    <row r="80" spans="1:72" s="443" customFormat="1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G80" s="391"/>
      <c r="BJ80" s="444"/>
      <c r="BN80" s="444"/>
      <c r="BO80" s="444"/>
      <c r="BP80" s="444"/>
      <c r="BQ80" s="444"/>
      <c r="BR80" s="444"/>
      <c r="BS80" s="444"/>
      <c r="BT80" s="444"/>
    </row>
    <row r="81" spans="1:72" s="443" customFormat="1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N81" s="444"/>
      <c r="BO81" s="444"/>
      <c r="BP81" s="444"/>
      <c r="BQ81" s="444"/>
      <c r="BR81" s="444"/>
      <c r="BS81" s="444"/>
      <c r="BT81" s="444"/>
    </row>
    <row r="82" spans="1:72" s="443" customFormat="1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N82" s="444"/>
      <c r="BO82" s="444"/>
      <c r="BP82" s="444"/>
      <c r="BQ82" s="444"/>
      <c r="BR82" s="444"/>
      <c r="BS82" s="444"/>
      <c r="BT82" s="444"/>
    </row>
    <row r="83" spans="1:72" s="443" customFormat="1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s="443" customFormat="1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s="443" customFormat="1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s="443" customFormat="1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s="443" customFormat="1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s="443" customFormat="1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s="443" customFormat="1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s="443" customFormat="1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s="443" customFormat="1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s="443" customFormat="1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s="443" customFormat="1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s="443" customFormat="1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s="443" customFormat="1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s="443" customFormat="1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s="443" customFormat="1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s="443" customFormat="1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s="443" customFormat="1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s="443" customFormat="1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s="443" customFormat="1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s="443" customFormat="1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s="443" customFormat="1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s="443" customFormat="1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s="443" customFormat="1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s="443" customFormat="1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s="443" customFormat="1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s="443" customFormat="1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s="443" customFormat="1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s="443" customFormat="1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s="443" customFormat="1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s="443" customFormat="1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s="443" customFormat="1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s="443" customFormat="1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s="443" customFormat="1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s="443" customFormat="1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s="443" customFormat="1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s="443" customFormat="1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s="443" customFormat="1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s="443" customFormat="1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s="443" customFormat="1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s="443" customFormat="1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s="443" customFormat="1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s="443" customFormat="1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s="443" customFormat="1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s="443" customFormat="1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s="443" customFormat="1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s="443" customFormat="1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s="443" customFormat="1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s="443" customFormat="1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s="443" customFormat="1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s="443" customFormat="1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s="443" customFormat="1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s="443" customFormat="1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s="443" customFormat="1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s="443" customFormat="1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s="443" customFormat="1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s="443" customFormat="1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s="443" customFormat="1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s="443" customFormat="1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s="443" customFormat="1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s="443" customFormat="1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s="443" customFormat="1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s="443" customFormat="1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s="443" customFormat="1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s="443" customFormat="1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s="443" customFormat="1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s="443" customFormat="1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s="443" customFormat="1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s="443" customFormat="1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s="443" customFormat="1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s="443" customFormat="1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s="443" customFormat="1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s="443" customFormat="1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s="443" customFormat="1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s="443" customFormat="1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s="443" customFormat="1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s="443" customFormat="1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s="443" customFormat="1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s="443" customFormat="1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s="443" customFormat="1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s="443" customFormat="1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s="443" customFormat="1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E163" s="444"/>
      <c r="BF163" s="444"/>
      <c r="BG163" s="444"/>
      <c r="BH163" s="444"/>
      <c r="BI163" s="444"/>
      <c r="BJ163" s="444"/>
      <c r="BK163" s="444"/>
      <c r="BL163" s="444"/>
      <c r="BM163" s="444"/>
      <c r="BN163" s="444"/>
      <c r="BO163" s="444"/>
      <c r="BP163" s="444"/>
      <c r="BQ163" s="444"/>
      <c r="BR163" s="444"/>
      <c r="BS163" s="444"/>
      <c r="BT163" s="444"/>
    </row>
    <row r="164" spans="1:72" s="443" customFormat="1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E164" s="444"/>
      <c r="BF164" s="444"/>
      <c r="BG164" s="444"/>
      <c r="BH164" s="444"/>
      <c r="BI164" s="444"/>
      <c r="BJ164" s="444"/>
      <c r="BK164" s="444"/>
      <c r="BL164" s="444"/>
      <c r="BM164" s="444"/>
      <c r="BN164" s="444"/>
      <c r="BO164" s="444"/>
      <c r="BP164" s="444"/>
      <c r="BQ164" s="444"/>
      <c r="BR164" s="444"/>
      <c r="BS164" s="444"/>
      <c r="BT164" s="444"/>
    </row>
    <row r="165" spans="1:72" s="443" customFormat="1" ht="1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409"/>
      <c r="T165" s="409"/>
      <c r="U165" s="409"/>
      <c r="V165" s="409"/>
      <c r="W165" s="392"/>
      <c r="X165" s="392"/>
      <c r="Y165" s="409"/>
      <c r="Z165" s="409"/>
      <c r="AA165" s="392"/>
      <c r="AB165" s="392"/>
      <c r="AC165" s="392"/>
      <c r="AD165" s="409"/>
      <c r="AE165" s="409"/>
      <c r="AF165" s="409"/>
      <c r="AG165" s="409"/>
      <c r="AH165" s="409"/>
      <c r="AI165" s="409"/>
      <c r="AJ165" s="409"/>
      <c r="AK165" s="409"/>
      <c r="AL165" s="409"/>
      <c r="AM165" s="409"/>
      <c r="AN165" s="409"/>
      <c r="AO165" s="409"/>
      <c r="AP165" s="409"/>
      <c r="AQ165" s="409"/>
      <c r="AR165" s="409"/>
      <c r="AS165" s="409"/>
      <c r="AT165" s="409"/>
      <c r="AU165" s="409"/>
      <c r="AV165" s="409"/>
      <c r="AW165" s="409"/>
      <c r="AX165" s="409"/>
      <c r="AY165" s="409"/>
      <c r="AZ165" s="409"/>
      <c r="BA165" s="409"/>
      <c r="BB165" s="409"/>
      <c r="BC165" s="409"/>
      <c r="BD165" s="407"/>
      <c r="BE165" s="444"/>
      <c r="BF165" s="444"/>
      <c r="BG165" s="444"/>
      <c r="BH165" s="444"/>
      <c r="BI165" s="444"/>
      <c r="BJ165" s="444"/>
      <c r="BK165" s="444"/>
      <c r="BL165" s="444"/>
      <c r="BM165" s="444"/>
      <c r="BN165" s="444"/>
      <c r="BO165" s="444"/>
      <c r="BP165" s="444"/>
      <c r="BQ165" s="444"/>
      <c r="BR165" s="444"/>
      <c r="BS165" s="444"/>
      <c r="BT165" s="444"/>
    </row>
  </sheetData>
  <mergeCells count="28">
    <mergeCell ref="AS3:AU3"/>
    <mergeCell ref="AV3:AY3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  <mergeCell ref="AZ1:BC1"/>
    <mergeCell ref="AS2:AU2"/>
    <mergeCell ref="AN2:AR2"/>
    <mergeCell ref="AQ17:AR17"/>
    <mergeCell ref="AN1:AR1"/>
    <mergeCell ref="AS1:AU1"/>
    <mergeCell ref="AV1:AY1"/>
    <mergeCell ref="A5:BA5"/>
    <mergeCell ref="BB5:BC5"/>
    <mergeCell ref="AV2:AY2"/>
    <mergeCell ref="AZ2:BC3"/>
    <mergeCell ref="A3:H3"/>
    <mergeCell ref="I3:L3"/>
    <mergeCell ref="M3:W3"/>
    <mergeCell ref="X3:Z3"/>
    <mergeCell ref="AA3:AR3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ignoredErrors>
    <ignoredError sqref="Y14:Y15" numberStoredAsText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00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BE7" sqref="BE7:BG36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128" width="2.6328125" style="443" customWidth="1"/>
    <col min="129" max="16384" width="9" style="35"/>
  </cols>
  <sheetData>
    <row r="1" spans="1:72" ht="12" customHeight="1">
      <c r="A1" s="568" t="s">
        <v>4</v>
      </c>
      <c r="B1" s="568"/>
      <c r="C1" s="568"/>
      <c r="D1" s="568"/>
      <c r="E1" s="568"/>
      <c r="F1" s="568"/>
      <c r="G1" s="568"/>
      <c r="H1" s="568"/>
      <c r="I1" s="555" t="s">
        <v>5</v>
      </c>
      <c r="J1" s="555"/>
      <c r="K1" s="555"/>
      <c r="L1" s="555"/>
      <c r="M1" s="566" t="str">
        <f>変更来歴!M1</f>
        <v>ヒロセ電機株式会社</v>
      </c>
      <c r="N1" s="566"/>
      <c r="O1" s="566"/>
      <c r="P1" s="566"/>
      <c r="Q1" s="566"/>
      <c r="R1" s="566"/>
      <c r="S1" s="566"/>
      <c r="T1" s="566"/>
      <c r="U1" s="566"/>
      <c r="V1" s="566"/>
      <c r="W1" s="566"/>
      <c r="X1" s="555" t="s">
        <v>7</v>
      </c>
      <c r="Y1" s="555"/>
      <c r="Z1" s="555"/>
      <c r="AA1" s="570" t="str">
        <f>変更来歴!AA1</f>
        <v>管理者ログ確認システム</v>
      </c>
      <c r="AB1" s="570"/>
      <c r="AC1" s="570"/>
      <c r="AD1" s="570"/>
      <c r="AE1" s="570"/>
      <c r="AF1" s="570"/>
      <c r="AG1" s="570"/>
      <c r="AH1" s="570"/>
      <c r="AI1" s="570"/>
      <c r="AJ1" s="570"/>
      <c r="AK1" s="544" t="s">
        <v>8</v>
      </c>
      <c r="AL1" s="544"/>
      <c r="AM1" s="544"/>
      <c r="AN1" s="546" t="str">
        <f>変更来歴!AP7</f>
        <v>古竹</v>
      </c>
      <c r="AO1" s="546"/>
      <c r="AP1" s="546"/>
      <c r="AQ1" s="546"/>
      <c r="AR1" s="546"/>
      <c r="AS1" s="544" t="s">
        <v>9</v>
      </c>
      <c r="AT1" s="544"/>
      <c r="AU1" s="544"/>
      <c r="AV1" s="547">
        <f>変更来歴!AL7</f>
        <v>46125</v>
      </c>
      <c r="AW1" s="545"/>
      <c r="AX1" s="545"/>
      <c r="AY1" s="545"/>
      <c r="AZ1" s="551" t="s">
        <v>10</v>
      </c>
      <c r="BA1" s="552"/>
      <c r="BB1" s="552"/>
      <c r="BC1" s="553"/>
    </row>
    <row r="2" spans="1:72">
      <c r="A2" s="554" t="s">
        <v>16</v>
      </c>
      <c r="B2" s="554"/>
      <c r="C2" s="554"/>
      <c r="D2" s="554"/>
      <c r="E2" s="554"/>
      <c r="F2" s="554"/>
      <c r="G2" s="554"/>
      <c r="H2" s="554"/>
      <c r="I2" s="555" t="s">
        <v>11</v>
      </c>
      <c r="J2" s="555"/>
      <c r="K2" s="555"/>
      <c r="L2" s="555"/>
      <c r="M2" s="596" t="str">
        <f>変更来歴!M2</f>
        <v>新環境証明書システム</v>
      </c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555"/>
      <c r="Y2" s="555"/>
      <c r="Z2" s="555"/>
      <c r="AA2" s="570"/>
      <c r="AB2" s="570"/>
      <c r="AC2" s="570"/>
      <c r="AD2" s="570"/>
      <c r="AE2" s="570"/>
      <c r="AF2" s="570"/>
      <c r="AG2" s="570"/>
      <c r="AH2" s="570"/>
      <c r="AI2" s="570"/>
      <c r="AJ2" s="570"/>
      <c r="AK2" s="544" t="s">
        <v>12</v>
      </c>
      <c r="AL2" s="544"/>
      <c r="AM2" s="544"/>
      <c r="AN2" s="546" t="str">
        <f ca="1">INDIRECT("変更来歴!AP" &amp; COUNTA(変更来歴!AP7:'変更来歴'!AP39) + 6)</f>
        <v>古竹</v>
      </c>
      <c r="AO2" s="546"/>
      <c r="AP2" s="546"/>
      <c r="AQ2" s="546"/>
      <c r="AR2" s="546"/>
      <c r="AS2" s="544" t="s">
        <v>13</v>
      </c>
      <c r="AT2" s="544"/>
      <c r="AU2" s="544"/>
      <c r="AV2" s="547">
        <f ca="1">INDIRECT("変更来歴!AL" &amp; COUNTA(変更来歴!AL7:'変更来歴'!AL39) + 6)</f>
        <v>46163</v>
      </c>
      <c r="AW2" s="545"/>
      <c r="AX2" s="545"/>
      <c r="AY2" s="545"/>
      <c r="AZ2" s="559" t="str">
        <f>変更来歴!AX2</f>
        <v>IMWF-53</v>
      </c>
      <c r="BA2" s="560"/>
      <c r="BB2" s="560"/>
      <c r="BC2" s="561"/>
    </row>
    <row r="3" spans="1:72" ht="12" customHeight="1">
      <c r="A3" s="565" t="str">
        <f>変更来歴!A3</f>
        <v>画面設計書</v>
      </c>
      <c r="B3" s="565"/>
      <c r="C3" s="565"/>
      <c r="D3" s="565"/>
      <c r="E3" s="565"/>
      <c r="F3" s="565"/>
      <c r="G3" s="565"/>
      <c r="H3" s="565"/>
      <c r="I3" s="555" t="s">
        <v>14</v>
      </c>
      <c r="J3" s="555"/>
      <c r="K3" s="555"/>
      <c r="L3" s="555"/>
      <c r="M3" s="566" t="str">
        <f ca="1">RIGHT(CELL("filename",A1),LEN(CELL("filename",A1))-FIND("]",CELL("filename",A1)))</f>
        <v>化学物質データ申請完了画面(仮)</v>
      </c>
      <c r="N3" s="566"/>
      <c r="O3" s="566"/>
      <c r="P3" s="566"/>
      <c r="Q3" s="566"/>
      <c r="R3" s="566"/>
      <c r="S3" s="566"/>
      <c r="T3" s="566"/>
      <c r="U3" s="566"/>
      <c r="V3" s="566"/>
      <c r="W3" s="566"/>
      <c r="X3" s="555" t="s">
        <v>27</v>
      </c>
      <c r="Y3" s="555"/>
      <c r="Z3" s="555"/>
      <c r="AA3" s="567" t="str">
        <f ca="1">MID(CELL("filename"),FIND("]",CELL("filename"))+1,LEN(CELL("filename"))) &amp; "画面"</f>
        <v>管理者申請ログ確認画面画面</v>
      </c>
      <c r="AB3" s="567"/>
      <c r="AC3" s="567"/>
      <c r="AD3" s="567"/>
      <c r="AE3" s="567"/>
      <c r="AF3" s="567"/>
      <c r="AG3" s="567"/>
      <c r="AH3" s="567"/>
      <c r="AI3" s="567"/>
      <c r="AJ3" s="567"/>
      <c r="AK3" s="567"/>
      <c r="AL3" s="567"/>
      <c r="AM3" s="567"/>
      <c r="AN3" s="567"/>
      <c r="AO3" s="567"/>
      <c r="AP3" s="567"/>
      <c r="AQ3" s="567"/>
      <c r="AR3" s="567"/>
      <c r="AS3" s="544" t="s">
        <v>15</v>
      </c>
      <c r="AT3" s="544"/>
      <c r="AU3" s="544"/>
      <c r="AV3" s="545" t="str">
        <f ca="1">INDIRECT("変更来歴!A" &amp; COUNTA(変更来歴!A7:'変更来歴'!A39) + 6)</f>
        <v>ｒ1.1</v>
      </c>
      <c r="AW3" s="545"/>
      <c r="AX3" s="545"/>
      <c r="AY3" s="545"/>
      <c r="AZ3" s="562"/>
      <c r="BA3" s="563"/>
      <c r="BB3" s="563"/>
      <c r="BC3" s="564"/>
    </row>
    <row r="4" spans="1:72" ht="5.9" customHeight="1"/>
    <row r="5" spans="1:72" ht="13.5" customHeight="1">
      <c r="A5" s="591" t="str">
        <f ca="1">"画面レイアウト"&amp;"("&amp;MID(CELL("filename"),FIND("]",CELL("filename"))+1,LEN(CELL("filename")))&amp;")"</f>
        <v>画面レイアウト(管理者申請ログ確認画面)</v>
      </c>
      <c r="B5" s="592"/>
      <c r="C5" s="592"/>
      <c r="D5" s="592"/>
      <c r="E5" s="592"/>
      <c r="F5" s="592"/>
      <c r="G5" s="592"/>
      <c r="H5" s="592"/>
      <c r="I5" s="592"/>
      <c r="J5" s="592"/>
      <c r="K5" s="592"/>
      <c r="L5" s="592"/>
      <c r="M5" s="592"/>
      <c r="N5" s="592"/>
      <c r="O5" s="592"/>
      <c r="P5" s="592"/>
      <c r="Q5" s="592"/>
      <c r="R5" s="592"/>
      <c r="S5" s="592"/>
      <c r="T5" s="592"/>
      <c r="U5" s="592"/>
      <c r="V5" s="592"/>
      <c r="W5" s="592"/>
      <c r="X5" s="592"/>
      <c r="Y5" s="592"/>
      <c r="Z5" s="592"/>
      <c r="AA5" s="592"/>
      <c r="AB5" s="592"/>
      <c r="AC5" s="592"/>
      <c r="AD5" s="592"/>
      <c r="AE5" s="592"/>
      <c r="AF5" s="592"/>
      <c r="AG5" s="592"/>
      <c r="AH5" s="592"/>
      <c r="AI5" s="592"/>
      <c r="AJ5" s="592"/>
      <c r="AK5" s="592"/>
      <c r="AL5" s="592"/>
      <c r="AM5" s="592"/>
      <c r="AN5" s="592"/>
      <c r="AO5" s="592"/>
      <c r="AP5" s="592"/>
      <c r="AQ5" s="592"/>
      <c r="AR5" s="592"/>
      <c r="AS5" s="592"/>
      <c r="AT5" s="592"/>
      <c r="AU5" s="592"/>
      <c r="AV5" s="592"/>
      <c r="AW5" s="592"/>
      <c r="AX5" s="592"/>
      <c r="AY5" s="592"/>
      <c r="AZ5" s="592"/>
      <c r="BA5" s="593"/>
      <c r="BB5" s="594" t="s">
        <v>24</v>
      </c>
      <c r="BC5" s="595"/>
      <c r="BD5" s="28"/>
    </row>
    <row r="6" spans="1:72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72" ht="21" customHeight="1">
      <c r="A7" s="393"/>
      <c r="B7" s="437"/>
      <c r="C7" s="442" t="s">
        <v>174</v>
      </c>
      <c r="D7" s="438"/>
      <c r="E7" s="439"/>
      <c r="F7" s="439"/>
      <c r="G7" s="439"/>
      <c r="H7" s="433"/>
      <c r="I7" s="433"/>
      <c r="J7" s="597"/>
      <c r="K7" s="597"/>
      <c r="L7" s="597"/>
      <c r="M7" s="597"/>
      <c r="N7" s="436"/>
      <c r="O7" s="435"/>
      <c r="P7" s="436"/>
      <c r="Q7" s="433"/>
      <c r="R7" s="433"/>
      <c r="S7" s="433"/>
      <c r="T7" s="434"/>
      <c r="U7" s="434"/>
      <c r="V7" s="434"/>
      <c r="W7" s="434"/>
      <c r="X7" s="434"/>
      <c r="Y7" s="435"/>
      <c r="Z7" s="434"/>
      <c r="AA7" s="433"/>
      <c r="AB7" s="435"/>
      <c r="AC7" s="434"/>
      <c r="AD7" s="433"/>
      <c r="AE7" s="435"/>
      <c r="AF7" s="433"/>
      <c r="AG7" s="433"/>
      <c r="AH7" s="435"/>
      <c r="AI7" s="433"/>
      <c r="AJ7" s="433"/>
      <c r="AK7" s="440"/>
      <c r="AL7" s="433"/>
      <c r="AM7" s="433"/>
      <c r="AN7" s="433"/>
      <c r="AO7" s="433"/>
      <c r="AP7" s="433"/>
      <c r="AQ7" s="433"/>
      <c r="AR7" s="433"/>
      <c r="AS7" s="433"/>
      <c r="AT7" s="439"/>
      <c r="AU7" s="439"/>
      <c r="AV7" s="439"/>
      <c r="AW7" s="439"/>
      <c r="AX7" s="439"/>
      <c r="AY7" s="439"/>
      <c r="AZ7" s="441"/>
      <c r="BA7" s="422"/>
      <c r="BB7" s="405"/>
      <c r="BC7" s="406"/>
      <c r="BD7" s="391"/>
      <c r="BE7" s="444" t="s">
        <v>175</v>
      </c>
      <c r="BF7" s="444"/>
      <c r="BG7" s="444"/>
      <c r="BH7" s="444"/>
      <c r="BI7" s="444"/>
      <c r="BJ7" s="444"/>
      <c r="BK7" s="444"/>
      <c r="BL7" s="445"/>
      <c r="BM7" s="445"/>
      <c r="BN7" s="445"/>
      <c r="BO7" s="445"/>
      <c r="BP7" s="445"/>
      <c r="BQ7" s="445"/>
      <c r="BR7" s="445"/>
      <c r="BS7" s="444"/>
      <c r="BT7" s="444"/>
    </row>
    <row r="8" spans="1:72" ht="12.5" customHeight="1">
      <c r="A8" s="393"/>
      <c r="B8" s="418"/>
      <c r="C8" s="427"/>
      <c r="D8" s="428"/>
      <c r="E8" s="421"/>
      <c r="F8" s="421"/>
      <c r="G8" s="421"/>
      <c r="H8" s="431"/>
      <c r="I8" s="431"/>
      <c r="J8" s="431"/>
      <c r="K8" s="431"/>
      <c r="L8" s="431"/>
      <c r="M8" s="431"/>
      <c r="N8" s="431"/>
      <c r="O8" s="431"/>
      <c r="P8" s="431"/>
      <c r="Q8" s="431"/>
      <c r="R8" s="431"/>
      <c r="S8" s="431"/>
      <c r="T8" s="431"/>
      <c r="U8" s="431"/>
      <c r="V8" s="431"/>
      <c r="W8" s="431"/>
      <c r="X8" s="431"/>
      <c r="Y8" s="431"/>
      <c r="Z8" s="431"/>
      <c r="AA8" s="431"/>
      <c r="AB8" s="431"/>
      <c r="AC8" s="431"/>
      <c r="AD8" s="431"/>
      <c r="AE8" s="431"/>
      <c r="AF8" s="431"/>
      <c r="AG8" s="431"/>
      <c r="AH8" s="431"/>
      <c r="AI8" s="431"/>
      <c r="AJ8" s="431"/>
      <c r="AK8" s="431"/>
      <c r="AL8" s="431"/>
      <c r="AM8" s="431"/>
      <c r="AN8" s="431"/>
      <c r="AO8" s="431"/>
      <c r="AP8" s="431"/>
      <c r="AQ8" s="431"/>
      <c r="AR8" s="431"/>
      <c r="AS8" s="432"/>
      <c r="AT8" s="429"/>
      <c r="AU8" s="429"/>
      <c r="AV8" s="429"/>
      <c r="AW8" s="429"/>
      <c r="AX8" s="429"/>
      <c r="AY8" s="429"/>
      <c r="AZ8" s="422"/>
      <c r="BA8" s="422"/>
      <c r="BB8" s="405"/>
      <c r="BC8" s="406"/>
      <c r="BD8" s="391"/>
      <c r="BE8" s="428" t="s">
        <v>216</v>
      </c>
      <c r="BF8" s="428"/>
      <c r="BG8" s="445"/>
      <c r="BH8" s="445"/>
      <c r="BI8" s="445"/>
      <c r="BJ8" s="445"/>
      <c r="BK8" s="445"/>
      <c r="BL8" s="444"/>
      <c r="BM8" s="444"/>
      <c r="BN8" s="444"/>
      <c r="BO8" s="444"/>
      <c r="BP8" s="444"/>
      <c r="BQ8" s="444"/>
      <c r="BR8" s="444"/>
      <c r="BS8" s="444"/>
      <c r="BT8" s="444"/>
    </row>
    <row r="9" spans="1:72" ht="24" customHeight="1">
      <c r="A9" s="393"/>
      <c r="B9" s="394"/>
      <c r="C9" s="411"/>
      <c r="D9" s="411"/>
      <c r="E9" s="411"/>
      <c r="F9" s="411"/>
      <c r="G9" s="411"/>
      <c r="H9" s="411"/>
      <c r="I9" s="411"/>
      <c r="J9" s="411"/>
      <c r="K9" s="411"/>
      <c r="L9" s="411"/>
      <c r="M9" s="411"/>
      <c r="N9" s="411"/>
      <c r="O9" s="411"/>
      <c r="P9" s="411"/>
      <c r="Q9" s="411"/>
      <c r="R9" s="411"/>
      <c r="S9" s="411"/>
      <c r="T9" s="412"/>
      <c r="U9" s="412"/>
      <c r="V9" s="412"/>
      <c r="W9" s="461" t="s">
        <v>173</v>
      </c>
      <c r="X9" s="410"/>
      <c r="Y9" s="410"/>
      <c r="Z9" s="412"/>
      <c r="AA9" s="412"/>
      <c r="AB9" s="414"/>
      <c r="AC9" s="412"/>
      <c r="AD9" s="415"/>
      <c r="AE9" s="415"/>
      <c r="AF9" s="415"/>
      <c r="AG9" s="415"/>
      <c r="AH9" s="415"/>
      <c r="AI9" s="411"/>
      <c r="AJ9" s="412"/>
      <c r="AK9" s="412"/>
      <c r="AL9" s="412"/>
      <c r="AM9" s="412"/>
      <c r="AN9" s="416"/>
      <c r="AO9" s="413"/>
      <c r="AP9" s="413"/>
      <c r="AQ9" s="412"/>
      <c r="AR9" s="412"/>
      <c r="AS9" s="412"/>
      <c r="AT9" s="412"/>
      <c r="AU9" s="412"/>
      <c r="AV9" s="412"/>
      <c r="AW9" s="412"/>
      <c r="AX9" s="412"/>
      <c r="AY9" s="412"/>
      <c r="AZ9" s="396"/>
      <c r="BA9" s="396"/>
      <c r="BB9" s="389"/>
      <c r="BC9" s="390"/>
      <c r="BD9" s="391"/>
      <c r="BE9" s="445"/>
      <c r="BF9" s="428" t="s">
        <v>217</v>
      </c>
      <c r="BG9" s="428"/>
      <c r="BH9" s="428"/>
      <c r="BI9" s="445"/>
      <c r="BJ9" s="445"/>
      <c r="BK9" s="445"/>
      <c r="BL9" s="444"/>
      <c r="BM9" s="444"/>
      <c r="BN9" s="444"/>
      <c r="BO9" s="444"/>
      <c r="BP9" s="444"/>
      <c r="BQ9" s="444"/>
      <c r="BR9" s="444"/>
      <c r="BS9" s="444"/>
      <c r="BT9" s="444"/>
    </row>
    <row r="10" spans="1:72" ht="12" customHeight="1">
      <c r="A10" s="393"/>
      <c r="B10" s="401"/>
      <c r="C10" s="402"/>
      <c r="D10" s="391"/>
      <c r="E10" s="391"/>
      <c r="F10" s="391"/>
      <c r="G10" s="391"/>
      <c r="H10" s="403"/>
      <c r="I10" s="398"/>
      <c r="J10" s="397"/>
      <c r="K10" s="398"/>
      <c r="L10" s="397"/>
      <c r="M10" s="404"/>
      <c r="N10" s="404"/>
      <c r="O10" s="400"/>
      <c r="P10" s="404"/>
      <c r="Q10" s="400"/>
      <c r="R10" s="404"/>
      <c r="S10" s="392"/>
      <c r="T10" s="391"/>
      <c r="U10" s="391"/>
      <c r="V10" s="391"/>
      <c r="W10" s="391"/>
      <c r="X10" s="391"/>
      <c r="Y10" s="403"/>
      <c r="Z10" s="398"/>
      <c r="AA10" s="397"/>
      <c r="AB10" s="398"/>
      <c r="AC10" s="397"/>
      <c r="AD10" s="404"/>
      <c r="AE10" s="404"/>
      <c r="AF10" s="400"/>
      <c r="AG10" s="404"/>
      <c r="AH10" s="404"/>
      <c r="AI10" s="399"/>
      <c r="AJ10" s="404"/>
      <c r="AK10" s="400"/>
      <c r="AL10" s="391"/>
      <c r="AM10" s="391"/>
      <c r="AN10" s="391"/>
      <c r="AO10" s="391"/>
      <c r="AP10" s="391"/>
      <c r="AQ10" s="391"/>
      <c r="AR10" s="391"/>
      <c r="AS10" s="397"/>
      <c r="AT10" s="399"/>
      <c r="AU10" s="397"/>
      <c r="AV10" s="400"/>
      <c r="AW10" s="400"/>
      <c r="AX10" s="400"/>
      <c r="AY10" s="395"/>
      <c r="AZ10" s="396"/>
      <c r="BA10" s="396"/>
      <c r="BB10" s="389"/>
      <c r="BC10" s="390"/>
      <c r="BD10" s="391"/>
      <c r="BE10" s="428"/>
      <c r="BF10" s="428"/>
      <c r="BG10" s="428" t="s">
        <v>218</v>
      </c>
      <c r="BH10" s="446"/>
      <c r="BI10" s="445"/>
      <c r="BJ10" s="445"/>
      <c r="BK10" s="445"/>
      <c r="BL10" s="444"/>
      <c r="BM10" s="444"/>
      <c r="BN10" s="444"/>
      <c r="BO10" s="444"/>
      <c r="BP10" s="444"/>
      <c r="BQ10" s="444"/>
      <c r="BR10" s="444"/>
      <c r="BS10" s="444"/>
      <c r="BT10" s="444"/>
    </row>
    <row r="11" spans="1:72" ht="12.5" customHeight="1">
      <c r="A11" s="393"/>
      <c r="B11" s="394"/>
      <c r="C11" s="391"/>
      <c r="D11" s="391"/>
      <c r="E11" s="391"/>
      <c r="F11" s="392"/>
      <c r="G11" s="421"/>
      <c r="H11" s="431"/>
      <c r="I11" s="431"/>
      <c r="J11" s="431"/>
      <c r="K11" s="431"/>
      <c r="L11" s="431"/>
      <c r="M11" s="431"/>
      <c r="N11" s="431"/>
      <c r="O11" s="431"/>
      <c r="P11" s="431"/>
      <c r="Q11" s="431"/>
      <c r="R11" s="431"/>
      <c r="S11" s="431"/>
      <c r="T11" s="431"/>
      <c r="U11" s="431"/>
      <c r="V11" s="431"/>
      <c r="W11" s="431"/>
      <c r="X11" s="431"/>
      <c r="Y11" s="431"/>
      <c r="Z11" s="431"/>
      <c r="AA11" s="431"/>
      <c r="AB11" s="431"/>
      <c r="AC11" s="431"/>
      <c r="AD11" s="431"/>
      <c r="AE11" s="431"/>
      <c r="AF11" s="431"/>
      <c r="AG11" s="431"/>
      <c r="AH11" s="431"/>
      <c r="AI11" s="431"/>
      <c r="AJ11" s="431"/>
      <c r="AK11" s="431"/>
      <c r="AL11" s="431"/>
      <c r="AM11" s="431"/>
      <c r="AN11" s="431"/>
      <c r="AO11" s="431"/>
      <c r="AP11" s="431"/>
      <c r="AQ11" s="431"/>
      <c r="AR11" s="431"/>
      <c r="AS11" s="431"/>
      <c r="AT11" s="425"/>
      <c r="AU11" s="421"/>
      <c r="AV11" s="400"/>
      <c r="AW11" s="400"/>
      <c r="AX11" s="400"/>
      <c r="AY11" s="395"/>
      <c r="AZ11" s="396"/>
      <c r="BA11" s="396"/>
      <c r="BB11" s="389"/>
      <c r="BC11" s="390"/>
      <c r="BD11" s="391"/>
      <c r="BE11" s="428"/>
      <c r="BF11" s="428"/>
      <c r="BG11" s="428" t="s">
        <v>219</v>
      </c>
      <c r="BH11" s="446"/>
      <c r="BI11" s="428"/>
      <c r="BJ11" s="445"/>
      <c r="BK11" s="445"/>
      <c r="BL11" s="444"/>
      <c r="BM11" s="444"/>
      <c r="BN11" s="444"/>
      <c r="BO11" s="444"/>
      <c r="BP11" s="444"/>
      <c r="BQ11" s="444"/>
      <c r="BR11" s="444"/>
      <c r="BS11" s="444"/>
      <c r="BT11" s="444"/>
    </row>
    <row r="12" spans="1:72" ht="12.5" customHeight="1">
      <c r="A12" s="393"/>
      <c r="B12" s="418"/>
      <c r="C12" s="417"/>
      <c r="D12" s="424" t="s">
        <v>199</v>
      </c>
      <c r="E12" s="419"/>
      <c r="F12" s="419"/>
      <c r="G12" s="421"/>
      <c r="H12" s="431"/>
      <c r="I12" s="431"/>
      <c r="J12" s="431"/>
      <c r="K12" s="431"/>
      <c r="L12" s="431"/>
      <c r="M12" s="431"/>
      <c r="N12" s="431"/>
      <c r="O12" s="431"/>
      <c r="P12" s="431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  <c r="AB12" s="431"/>
      <c r="AC12" s="431"/>
      <c r="AD12" s="431"/>
      <c r="AE12" s="431"/>
      <c r="AF12" s="431"/>
      <c r="AG12" s="431"/>
      <c r="AH12" s="431"/>
      <c r="AI12" s="431"/>
      <c r="AJ12" s="431"/>
      <c r="AK12" s="431"/>
      <c r="AL12" s="431"/>
      <c r="AM12" s="431"/>
      <c r="AN12" s="431"/>
      <c r="AO12" s="431"/>
      <c r="AP12" s="431"/>
      <c r="AQ12" s="431"/>
      <c r="AR12" s="431"/>
      <c r="AS12" s="431"/>
      <c r="AT12" s="425"/>
      <c r="AU12" s="421"/>
      <c r="AV12" s="417"/>
      <c r="AW12" s="417"/>
      <c r="AX12" s="421"/>
      <c r="AY12" s="417"/>
      <c r="AZ12" s="422"/>
      <c r="BA12" s="422"/>
      <c r="BB12" s="389"/>
      <c r="BC12" s="390"/>
      <c r="BD12" s="391"/>
      <c r="BE12" s="444"/>
      <c r="BF12" s="444"/>
      <c r="BG12" s="447"/>
      <c r="BH12" s="444"/>
      <c r="BI12" s="444"/>
      <c r="BJ12" s="444"/>
      <c r="BK12" s="444"/>
      <c r="BL12" s="444"/>
      <c r="BM12" s="444"/>
      <c r="BN12" s="444"/>
      <c r="BO12" s="444"/>
      <c r="BP12" s="444"/>
      <c r="BQ12" s="444"/>
      <c r="BR12" s="444"/>
      <c r="BS12" s="444"/>
      <c r="BT12" s="444"/>
    </row>
    <row r="13" spans="1:72" ht="12.5" customHeight="1">
      <c r="A13" s="393"/>
      <c r="B13" s="418"/>
      <c r="C13" s="423"/>
      <c r="D13" s="419"/>
      <c r="E13" s="419"/>
      <c r="F13" s="419"/>
      <c r="G13" s="421"/>
      <c r="H13" s="431"/>
      <c r="I13" s="431"/>
      <c r="J13" s="431"/>
      <c r="K13" s="431"/>
      <c r="L13" s="431"/>
      <c r="M13" s="431"/>
      <c r="N13" s="431"/>
      <c r="O13" s="431"/>
      <c r="P13" s="431"/>
      <c r="Q13" s="431"/>
      <c r="R13" s="431"/>
      <c r="S13" s="431"/>
      <c r="T13" s="431"/>
      <c r="U13" s="431"/>
      <c r="V13" s="431"/>
      <c r="W13" s="431"/>
      <c r="X13" s="431"/>
      <c r="Y13" s="431"/>
      <c r="Z13" s="431"/>
      <c r="AA13" s="431"/>
      <c r="AB13" s="431"/>
      <c r="AC13" s="431"/>
      <c r="AD13" s="431"/>
      <c r="AE13" s="431"/>
      <c r="AF13" s="431"/>
      <c r="AG13" s="431"/>
      <c r="AH13" s="431"/>
      <c r="AI13" s="431"/>
      <c r="AJ13" s="431"/>
      <c r="AK13" s="431"/>
      <c r="AL13" s="431"/>
      <c r="AM13" s="431"/>
      <c r="AN13" s="431"/>
      <c r="AO13" s="431"/>
      <c r="AP13" s="431"/>
      <c r="AQ13" s="431"/>
      <c r="AR13" s="431"/>
      <c r="AS13" s="431"/>
      <c r="AT13" s="425"/>
      <c r="AU13" s="421"/>
      <c r="AV13" s="421"/>
      <c r="AW13" s="421"/>
      <c r="AX13" s="421"/>
      <c r="AY13" s="417"/>
      <c r="AZ13" s="422"/>
      <c r="BA13" s="422"/>
      <c r="BB13" s="389"/>
      <c r="BC13" s="390"/>
      <c r="BD13" s="391"/>
      <c r="BE13" s="428" t="s">
        <v>220</v>
      </c>
      <c r="BF13" s="444"/>
      <c r="BG13" s="444"/>
      <c r="BH13" s="444"/>
      <c r="BI13" s="444"/>
      <c r="BJ13" s="444"/>
      <c r="BK13" s="444"/>
      <c r="BL13" s="444"/>
      <c r="BM13" s="444"/>
      <c r="BN13" s="444"/>
      <c r="BO13" s="444"/>
      <c r="BP13" s="444"/>
      <c r="BQ13" s="444"/>
      <c r="BR13" s="444"/>
      <c r="BS13" s="444"/>
      <c r="BT13" s="444"/>
    </row>
    <row r="14" spans="1:72" ht="12.5" customHeight="1">
      <c r="A14" s="393"/>
      <c r="B14" s="418"/>
      <c r="C14" s="424"/>
      <c r="D14" s="463"/>
      <c r="E14" s="463"/>
      <c r="F14" s="463"/>
      <c r="G14" s="463"/>
      <c r="H14" s="463"/>
      <c r="I14" s="463"/>
      <c r="J14" s="463"/>
      <c r="K14" s="463"/>
      <c r="L14" s="463"/>
      <c r="M14" s="463"/>
      <c r="N14" s="463"/>
      <c r="O14" s="463"/>
      <c r="P14" s="463"/>
      <c r="Q14" s="463"/>
      <c r="R14" s="463"/>
      <c r="S14" s="463"/>
      <c r="T14" s="463"/>
      <c r="U14" s="463"/>
      <c r="V14" s="463"/>
      <c r="W14" s="463"/>
      <c r="X14" s="463"/>
      <c r="Y14" s="463"/>
      <c r="Z14" s="463"/>
      <c r="AA14" s="463"/>
      <c r="AB14" s="463"/>
      <c r="AC14" s="463"/>
      <c r="AD14" s="463"/>
      <c r="AE14" s="463"/>
      <c r="AF14" s="463"/>
      <c r="AG14" s="463"/>
      <c r="AH14" s="463"/>
      <c r="AI14" s="463"/>
      <c r="AJ14" s="463"/>
      <c r="AK14" s="463"/>
      <c r="AL14" s="463"/>
      <c r="AM14" s="463"/>
      <c r="AN14" s="463"/>
      <c r="AO14" s="463"/>
      <c r="AP14" s="463"/>
      <c r="AQ14" s="463"/>
      <c r="AR14" s="463"/>
      <c r="AS14" s="431"/>
      <c r="AT14" s="425"/>
      <c r="AU14" s="421"/>
      <c r="AV14" s="421"/>
      <c r="AW14" s="421"/>
      <c r="AX14" s="421"/>
      <c r="AY14" s="417"/>
      <c r="AZ14" s="422"/>
      <c r="BA14" s="422"/>
      <c r="BB14" s="389"/>
      <c r="BC14" s="390"/>
      <c r="BD14" s="391"/>
      <c r="BE14" s="444"/>
      <c r="BF14" s="428" t="s">
        <v>221</v>
      </c>
      <c r="BG14" s="428"/>
      <c r="BH14" s="444"/>
      <c r="BI14" s="444"/>
      <c r="BJ14" s="444"/>
      <c r="BK14" s="444"/>
      <c r="BL14" s="444"/>
      <c r="BM14" s="444"/>
      <c r="BN14" s="444"/>
      <c r="BO14" s="444"/>
      <c r="BP14" s="444"/>
      <c r="BQ14" s="444"/>
      <c r="BR14" s="444"/>
      <c r="BS14" s="444"/>
      <c r="BT14" s="444"/>
    </row>
    <row r="15" spans="1:72" ht="12.5" customHeight="1">
      <c r="A15" s="393"/>
      <c r="B15" s="418"/>
      <c r="C15" s="417"/>
      <c r="D15" s="462" t="s">
        <v>200</v>
      </c>
      <c r="E15" s="462"/>
      <c r="F15" s="462"/>
      <c r="G15" s="462"/>
      <c r="H15" s="462"/>
      <c r="I15" s="462"/>
      <c r="J15" s="462"/>
      <c r="K15" s="462"/>
      <c r="L15" s="462"/>
      <c r="M15" s="462"/>
      <c r="N15" s="462"/>
      <c r="O15" s="462"/>
      <c r="P15" s="462"/>
      <c r="Q15" s="462"/>
      <c r="R15" s="462"/>
      <c r="S15" s="462"/>
      <c r="T15" s="462"/>
      <c r="U15" s="462"/>
      <c r="V15" s="462"/>
      <c r="W15" s="462"/>
      <c r="X15" s="462"/>
      <c r="Y15" s="462"/>
      <c r="Z15" s="462"/>
      <c r="AA15" s="462"/>
      <c r="AB15" s="462"/>
      <c r="AC15" s="462"/>
      <c r="AD15" s="462"/>
      <c r="AE15" s="462"/>
      <c r="AF15" s="462"/>
      <c r="AG15" s="462"/>
      <c r="AH15" s="462"/>
      <c r="AI15" s="462"/>
      <c r="AJ15" s="462"/>
      <c r="AK15" s="462"/>
      <c r="AL15" s="463"/>
      <c r="AM15" s="463"/>
      <c r="AN15" s="463"/>
      <c r="AO15" s="463"/>
      <c r="AP15" s="463"/>
      <c r="AQ15" s="463"/>
      <c r="AR15" s="463"/>
      <c r="AS15" s="431"/>
      <c r="AT15" s="425"/>
      <c r="AU15" s="421"/>
      <c r="AV15" s="417"/>
      <c r="AW15" s="417"/>
      <c r="AX15" s="421"/>
      <c r="AY15" s="417"/>
      <c r="AZ15" s="422"/>
      <c r="BA15" s="422"/>
      <c r="BB15" s="389"/>
      <c r="BC15" s="390"/>
      <c r="BD15" s="391"/>
      <c r="BE15" s="444"/>
      <c r="BF15" s="428" t="s">
        <v>222</v>
      </c>
      <c r="BG15" s="428"/>
      <c r="BH15" s="444"/>
      <c r="BI15" s="444"/>
      <c r="BJ15" s="444"/>
      <c r="BK15" s="444"/>
      <c r="BL15" s="444"/>
      <c r="BM15" s="444"/>
      <c r="BN15" s="444"/>
      <c r="BO15" s="444"/>
      <c r="BP15" s="444"/>
      <c r="BQ15" s="444"/>
      <c r="BR15" s="444"/>
      <c r="BS15" s="444"/>
      <c r="BT15" s="444"/>
    </row>
    <row r="16" spans="1:72" ht="12.5" customHeight="1">
      <c r="A16" s="393"/>
      <c r="B16" s="418"/>
      <c r="C16" s="417"/>
      <c r="D16" s="465"/>
      <c r="E16" s="465"/>
      <c r="F16" s="465"/>
      <c r="G16" s="465"/>
      <c r="H16" s="465"/>
      <c r="I16" s="465"/>
      <c r="J16" s="465"/>
      <c r="K16" s="465"/>
      <c r="L16" s="465"/>
      <c r="M16" s="465"/>
      <c r="N16" s="465"/>
      <c r="O16" s="465"/>
      <c r="P16" s="465"/>
      <c r="Q16" s="465"/>
      <c r="R16" s="465"/>
      <c r="S16" s="465"/>
      <c r="T16" s="465"/>
      <c r="U16" s="465"/>
      <c r="V16" s="465"/>
      <c r="W16" s="465"/>
      <c r="X16" s="465"/>
      <c r="Y16" s="465"/>
      <c r="Z16" s="465"/>
      <c r="AA16" s="465"/>
      <c r="AB16" s="465"/>
      <c r="AC16" s="465"/>
      <c r="AD16" s="465"/>
      <c r="AE16" s="465"/>
      <c r="AF16" s="465"/>
      <c r="AG16" s="465"/>
      <c r="AH16" s="465"/>
      <c r="AI16" s="465"/>
      <c r="AJ16" s="465"/>
      <c r="AK16" s="465"/>
      <c r="AL16" s="464"/>
      <c r="AM16" s="464"/>
      <c r="AN16" s="464"/>
      <c r="AO16" s="464"/>
      <c r="AP16" s="464"/>
      <c r="AQ16" s="464"/>
      <c r="AR16" s="464"/>
      <c r="AS16" s="431"/>
      <c r="AT16" s="425"/>
      <c r="AU16" s="421"/>
      <c r="AV16" s="421"/>
      <c r="AW16" s="421"/>
      <c r="AX16" s="421"/>
      <c r="AY16" s="417"/>
      <c r="AZ16" s="422"/>
      <c r="BA16" s="422"/>
      <c r="BB16" s="389"/>
      <c r="BC16" s="390"/>
      <c r="BD16" s="391"/>
      <c r="BE16" s="447"/>
      <c r="BF16" s="428"/>
      <c r="BG16" s="428"/>
      <c r="BH16" s="444"/>
      <c r="BI16" s="444"/>
      <c r="BJ16" s="444"/>
      <c r="BK16" s="444"/>
      <c r="BL16" s="444"/>
      <c r="BM16" s="444"/>
      <c r="BN16" s="444"/>
      <c r="BO16" s="444"/>
      <c r="BP16" s="444"/>
      <c r="BQ16" s="444"/>
      <c r="BR16" s="444"/>
      <c r="BS16" s="444"/>
      <c r="BT16" s="444"/>
    </row>
    <row r="17" spans="1:72" ht="12.5" customHeight="1">
      <c r="A17" s="393"/>
      <c r="B17" s="418"/>
      <c r="C17" s="417"/>
      <c r="D17" s="465" t="s">
        <v>201</v>
      </c>
      <c r="E17" s="465"/>
      <c r="F17" s="465"/>
      <c r="G17" s="465"/>
      <c r="H17" s="465"/>
      <c r="I17" s="465"/>
      <c r="J17" s="465"/>
      <c r="K17" s="465"/>
      <c r="L17" s="465"/>
      <c r="M17" s="465"/>
      <c r="N17" s="465"/>
      <c r="O17" s="465"/>
      <c r="P17" s="465"/>
      <c r="Q17" s="465"/>
      <c r="R17" s="465"/>
      <c r="S17" s="465"/>
      <c r="T17" s="465"/>
      <c r="U17" s="465"/>
      <c r="V17" s="465"/>
      <c r="W17" s="465"/>
      <c r="X17" s="465"/>
      <c r="Y17" s="465"/>
      <c r="Z17" s="465"/>
      <c r="AA17" s="465"/>
      <c r="AB17" s="465"/>
      <c r="AC17" s="465"/>
      <c r="AD17" s="465"/>
      <c r="AE17" s="465"/>
      <c r="AF17" s="465"/>
      <c r="AG17" s="465"/>
      <c r="AH17" s="465"/>
      <c r="AI17" s="465"/>
      <c r="AJ17" s="465"/>
      <c r="AK17" s="465"/>
      <c r="AL17" s="464"/>
      <c r="AM17" s="464"/>
      <c r="AN17" s="464"/>
      <c r="AO17" s="464"/>
      <c r="AP17" s="464"/>
      <c r="AQ17" s="464"/>
      <c r="AR17" s="464"/>
      <c r="AS17" s="431"/>
      <c r="AT17" s="425"/>
      <c r="AU17" s="421"/>
      <c r="AV17" s="421"/>
      <c r="AW17" s="421"/>
      <c r="AX17" s="421"/>
      <c r="AY17" s="417"/>
      <c r="AZ17" s="422"/>
      <c r="BA17" s="422"/>
      <c r="BB17" s="389"/>
      <c r="BC17" s="390"/>
      <c r="BD17" s="391"/>
      <c r="BE17" s="444"/>
      <c r="BF17" s="444" t="s">
        <v>223</v>
      </c>
      <c r="BG17" s="444"/>
      <c r="BH17" s="444"/>
      <c r="BI17" s="444"/>
      <c r="BJ17" s="444"/>
      <c r="BK17" s="444"/>
      <c r="BL17" s="444"/>
      <c r="BM17" s="444"/>
      <c r="BN17" s="444"/>
      <c r="BO17" s="444"/>
      <c r="BP17" s="444"/>
      <c r="BQ17" s="444"/>
      <c r="BR17" s="444"/>
      <c r="BS17" s="444"/>
      <c r="BT17" s="444"/>
    </row>
    <row r="18" spans="1:72" ht="12.5" customHeight="1">
      <c r="A18" s="393"/>
      <c r="B18" s="418"/>
      <c r="C18" s="417"/>
      <c r="D18" s="465" t="s">
        <v>202</v>
      </c>
      <c r="E18" s="465"/>
      <c r="F18" s="465"/>
      <c r="G18" s="465"/>
      <c r="H18" s="465"/>
      <c r="I18" s="465"/>
      <c r="J18" s="465"/>
      <c r="K18" s="465"/>
      <c r="L18" s="465"/>
      <c r="M18" s="465"/>
      <c r="N18" s="465"/>
      <c r="O18" s="465"/>
      <c r="P18" s="465"/>
      <c r="Q18" s="465"/>
      <c r="R18" s="465"/>
      <c r="S18" s="465"/>
      <c r="T18" s="465"/>
      <c r="U18" s="465"/>
      <c r="V18" s="465"/>
      <c r="W18" s="465"/>
      <c r="X18" s="465"/>
      <c r="Y18" s="465"/>
      <c r="Z18" s="465"/>
      <c r="AA18" s="465"/>
      <c r="AB18" s="465"/>
      <c r="AC18" s="465"/>
      <c r="AD18" s="465"/>
      <c r="AE18" s="465"/>
      <c r="AF18" s="465"/>
      <c r="AG18" s="465"/>
      <c r="AH18" s="465"/>
      <c r="AI18" s="465"/>
      <c r="AJ18" s="465"/>
      <c r="AK18" s="465"/>
      <c r="AL18" s="464"/>
      <c r="AM18" s="464"/>
      <c r="AN18" s="464"/>
      <c r="AO18" s="464"/>
      <c r="AP18" s="464"/>
      <c r="AQ18" s="464"/>
      <c r="AR18" s="464"/>
      <c r="AS18" s="431"/>
      <c r="AT18" s="425"/>
      <c r="AU18" s="421"/>
      <c r="AV18" s="421"/>
      <c r="AW18" s="421"/>
      <c r="AX18" s="421"/>
      <c r="AY18" s="417"/>
      <c r="AZ18" s="422"/>
      <c r="BA18" s="422"/>
      <c r="BB18" s="389"/>
      <c r="BC18" s="390"/>
      <c r="BD18" s="391"/>
      <c r="BE18" s="444"/>
      <c r="BF18" s="444"/>
      <c r="BG18" s="444" t="s">
        <v>224</v>
      </c>
      <c r="BH18" s="444"/>
      <c r="BI18" s="444"/>
      <c r="BJ18" s="444"/>
      <c r="BK18" s="444"/>
      <c r="BL18" s="444"/>
      <c r="BM18" s="444"/>
      <c r="BN18" s="444"/>
      <c r="BO18" s="444"/>
      <c r="BP18" s="444"/>
      <c r="BQ18" s="444"/>
      <c r="BR18" s="444"/>
      <c r="BS18" s="444"/>
      <c r="BT18" s="444"/>
    </row>
    <row r="19" spans="1:72" ht="12.5" customHeight="1">
      <c r="A19" s="393"/>
      <c r="B19" s="418"/>
      <c r="C19" s="423"/>
      <c r="D19" s="465" t="s">
        <v>203</v>
      </c>
      <c r="E19" s="465"/>
      <c r="F19" s="465"/>
      <c r="G19" s="465"/>
      <c r="H19" s="465"/>
      <c r="I19" s="465"/>
      <c r="J19" s="465"/>
      <c r="K19" s="465"/>
      <c r="L19" s="465"/>
      <c r="M19" s="465"/>
      <c r="N19" s="465"/>
      <c r="O19" s="465"/>
      <c r="P19" s="465"/>
      <c r="Q19" s="465"/>
      <c r="R19" s="465"/>
      <c r="S19" s="465"/>
      <c r="T19" s="465"/>
      <c r="U19" s="465"/>
      <c r="V19" s="465"/>
      <c r="W19" s="465"/>
      <c r="X19" s="465"/>
      <c r="Y19" s="465"/>
      <c r="Z19" s="465"/>
      <c r="AA19" s="465"/>
      <c r="AB19" s="465"/>
      <c r="AC19" s="465"/>
      <c r="AD19" s="465"/>
      <c r="AE19" s="465"/>
      <c r="AF19" s="465"/>
      <c r="AG19" s="465"/>
      <c r="AH19" s="465"/>
      <c r="AI19" s="465"/>
      <c r="AJ19" s="465"/>
      <c r="AK19" s="465"/>
      <c r="AL19" s="464"/>
      <c r="AM19" s="464"/>
      <c r="AN19" s="464"/>
      <c r="AO19" s="464"/>
      <c r="AP19" s="464"/>
      <c r="AQ19" s="464"/>
      <c r="AR19" s="464"/>
      <c r="AS19" s="431"/>
      <c r="AT19" s="425"/>
      <c r="AU19" s="421"/>
      <c r="AV19" s="421"/>
      <c r="AW19" s="421"/>
      <c r="AX19" s="421"/>
      <c r="AY19" s="417"/>
      <c r="AZ19" s="422"/>
      <c r="BA19" s="422"/>
      <c r="BB19" s="389"/>
      <c r="BC19" s="390"/>
      <c r="BD19" s="391"/>
      <c r="BE19" s="444"/>
      <c r="BF19" s="444"/>
      <c r="BG19" s="444" t="s">
        <v>225</v>
      </c>
      <c r="BH19" s="444"/>
      <c r="BI19" s="444"/>
      <c r="BJ19" s="444"/>
      <c r="BK19" s="444"/>
      <c r="BL19" s="444"/>
      <c r="BM19" s="444"/>
      <c r="BN19" s="444"/>
      <c r="BO19" s="444"/>
      <c r="BP19" s="444"/>
      <c r="BQ19" s="444"/>
      <c r="BR19" s="444"/>
      <c r="BS19" s="444"/>
      <c r="BT19" s="444"/>
    </row>
    <row r="20" spans="1:72" ht="12.5" customHeight="1">
      <c r="A20" s="393"/>
      <c r="B20" s="418"/>
      <c r="C20" s="417"/>
      <c r="D20" s="465" t="s">
        <v>204</v>
      </c>
      <c r="E20" s="465"/>
      <c r="F20" s="465"/>
      <c r="G20" s="465"/>
      <c r="H20" s="465"/>
      <c r="I20" s="465"/>
      <c r="J20" s="465"/>
      <c r="K20" s="465"/>
      <c r="L20" s="465"/>
      <c r="M20" s="465"/>
      <c r="N20" s="465"/>
      <c r="O20" s="465"/>
      <c r="P20" s="465"/>
      <c r="Q20" s="465"/>
      <c r="R20" s="465"/>
      <c r="S20" s="465"/>
      <c r="T20" s="465"/>
      <c r="U20" s="465"/>
      <c r="V20" s="465"/>
      <c r="W20" s="465"/>
      <c r="X20" s="465"/>
      <c r="Y20" s="465"/>
      <c r="Z20" s="465"/>
      <c r="AA20" s="465"/>
      <c r="AB20" s="465"/>
      <c r="AC20" s="465"/>
      <c r="AD20" s="465"/>
      <c r="AE20" s="465"/>
      <c r="AF20" s="465"/>
      <c r="AG20" s="465"/>
      <c r="AH20" s="465"/>
      <c r="AI20" s="465"/>
      <c r="AJ20" s="465"/>
      <c r="AK20" s="465"/>
      <c r="AL20" s="464"/>
      <c r="AM20" s="464"/>
      <c r="AN20" s="464"/>
      <c r="AO20" s="464"/>
      <c r="AP20" s="464"/>
      <c r="AQ20" s="464"/>
      <c r="AR20" s="464"/>
      <c r="AS20" s="431"/>
      <c r="AT20" s="425"/>
      <c r="AU20" s="421"/>
      <c r="AV20" s="421"/>
      <c r="AW20" s="421"/>
      <c r="AX20" s="421"/>
      <c r="AY20" s="417"/>
      <c r="AZ20" s="422"/>
      <c r="BA20" s="422"/>
      <c r="BB20" s="389"/>
      <c r="BC20" s="390"/>
      <c r="BD20" s="392"/>
      <c r="BE20" s="444"/>
      <c r="BF20" s="444"/>
      <c r="BG20" s="444" t="s">
        <v>226</v>
      </c>
      <c r="BH20" s="444"/>
      <c r="BI20" s="444"/>
      <c r="BJ20" s="444"/>
      <c r="BK20" s="444"/>
      <c r="BL20" s="444"/>
      <c r="BM20" s="444"/>
      <c r="BN20" s="444"/>
      <c r="BO20" s="444"/>
      <c r="BP20" s="444"/>
      <c r="BQ20" s="444"/>
      <c r="BR20" s="444"/>
      <c r="BS20" s="444"/>
      <c r="BT20" s="444"/>
    </row>
    <row r="21" spans="1:72" ht="12.5" customHeight="1">
      <c r="A21" s="393"/>
      <c r="B21" s="418"/>
      <c r="C21" s="427"/>
      <c r="D21" s="465"/>
      <c r="E21" s="465"/>
      <c r="F21" s="465"/>
      <c r="G21" s="465"/>
      <c r="H21" s="465"/>
      <c r="I21" s="465"/>
      <c r="J21" s="465"/>
      <c r="K21" s="465"/>
      <c r="L21" s="465"/>
      <c r="M21" s="465"/>
      <c r="N21" s="465"/>
      <c r="O21" s="465"/>
      <c r="P21" s="465"/>
      <c r="Q21" s="465"/>
      <c r="R21" s="465"/>
      <c r="S21" s="465"/>
      <c r="T21" s="465"/>
      <c r="U21" s="465"/>
      <c r="V21" s="465"/>
      <c r="W21" s="465"/>
      <c r="X21" s="465"/>
      <c r="Y21" s="465"/>
      <c r="Z21" s="465"/>
      <c r="AA21" s="465"/>
      <c r="AB21" s="465"/>
      <c r="AC21" s="465"/>
      <c r="AD21" s="465"/>
      <c r="AE21" s="465"/>
      <c r="AF21" s="465"/>
      <c r="AG21" s="465"/>
      <c r="AH21" s="465"/>
      <c r="AI21" s="465"/>
      <c r="AJ21" s="465"/>
      <c r="AK21" s="465"/>
      <c r="AL21" s="464"/>
      <c r="AM21" s="464"/>
      <c r="AN21" s="464"/>
      <c r="AO21" s="464"/>
      <c r="AP21" s="464"/>
      <c r="AQ21" s="464"/>
      <c r="AR21" s="464"/>
      <c r="AS21" s="431"/>
      <c r="AT21" s="421"/>
      <c r="AU21" s="421"/>
      <c r="AV21" s="421"/>
      <c r="AW21" s="421"/>
      <c r="AX21" s="421"/>
      <c r="AY21" s="421"/>
      <c r="AZ21" s="422"/>
      <c r="BA21" s="422"/>
      <c r="BB21" s="405"/>
      <c r="BC21" s="406"/>
      <c r="BD21" s="391"/>
      <c r="BE21" s="444"/>
      <c r="BF21" s="444"/>
      <c r="BG21" s="444" t="s">
        <v>227</v>
      </c>
      <c r="BH21" s="444"/>
      <c r="BI21" s="444"/>
      <c r="BJ21" s="444"/>
      <c r="BK21" s="444"/>
      <c r="BL21" s="444"/>
      <c r="BM21" s="444"/>
      <c r="BN21" s="444"/>
      <c r="BO21" s="444"/>
      <c r="BP21" s="444"/>
      <c r="BQ21" s="444"/>
      <c r="BR21" s="444"/>
      <c r="BS21" s="444"/>
      <c r="BT21" s="444"/>
    </row>
    <row r="22" spans="1:72" ht="12.5" customHeight="1">
      <c r="A22" s="393"/>
      <c r="B22" s="418"/>
      <c r="C22" s="427"/>
      <c r="D22" s="465" t="s">
        <v>206</v>
      </c>
      <c r="E22" s="465"/>
      <c r="F22" s="465"/>
      <c r="G22" s="465"/>
      <c r="H22" s="465"/>
      <c r="I22" s="465"/>
      <c r="J22" s="465"/>
      <c r="K22" s="465"/>
      <c r="L22" s="465"/>
      <c r="M22" s="465"/>
      <c r="N22" s="465"/>
      <c r="O22" s="465"/>
      <c r="P22" s="465"/>
      <c r="Q22" s="465"/>
      <c r="R22" s="465"/>
      <c r="S22" s="465"/>
      <c r="T22" s="465"/>
      <c r="U22" s="465"/>
      <c r="V22" s="465"/>
      <c r="W22" s="465"/>
      <c r="X22" s="465"/>
      <c r="Y22" s="465"/>
      <c r="Z22" s="465"/>
      <c r="AA22" s="465"/>
      <c r="AB22" s="465"/>
      <c r="AC22" s="465"/>
      <c r="AD22" s="465"/>
      <c r="AE22" s="465"/>
      <c r="AF22" s="465"/>
      <c r="AG22" s="465"/>
      <c r="AH22" s="465"/>
      <c r="AI22" s="465"/>
      <c r="AJ22" s="465"/>
      <c r="AK22" s="465"/>
      <c r="AL22" s="464"/>
      <c r="AM22" s="464"/>
      <c r="AN22" s="464"/>
      <c r="AO22" s="464"/>
      <c r="AP22" s="464"/>
      <c r="AQ22" s="464"/>
      <c r="AR22" s="464"/>
      <c r="AS22" s="431"/>
      <c r="AT22" s="425"/>
      <c r="AU22" s="421"/>
      <c r="AV22" s="421"/>
      <c r="AW22" s="421"/>
      <c r="AX22" s="421"/>
      <c r="AY22" s="421"/>
      <c r="AZ22" s="422"/>
      <c r="BA22" s="422"/>
      <c r="BB22" s="405"/>
      <c r="BC22" s="406"/>
      <c r="BD22" s="391"/>
      <c r="BE22" s="444"/>
      <c r="BF22" s="444"/>
      <c r="BG22" s="444" t="s">
        <v>176</v>
      </c>
      <c r="BH22" s="444"/>
      <c r="BI22" s="444"/>
      <c r="BJ22" s="444"/>
      <c r="BK22" s="444"/>
      <c r="BL22" s="444"/>
      <c r="BM22" s="444"/>
      <c r="BN22" s="444"/>
      <c r="BO22" s="444"/>
      <c r="BP22" s="444"/>
      <c r="BQ22" s="444"/>
      <c r="BR22" s="444"/>
      <c r="BS22" s="444"/>
      <c r="BT22" s="444"/>
    </row>
    <row r="23" spans="1:72" ht="12.5" customHeight="1">
      <c r="A23" s="393"/>
      <c r="B23" s="418"/>
      <c r="C23" s="427"/>
      <c r="D23" s="465" t="s">
        <v>205</v>
      </c>
      <c r="E23" s="465"/>
      <c r="F23" s="465"/>
      <c r="G23" s="465"/>
      <c r="H23" s="465"/>
      <c r="I23" s="465"/>
      <c r="J23" s="465"/>
      <c r="K23" s="465"/>
      <c r="L23" s="465"/>
      <c r="M23" s="465"/>
      <c r="N23" s="465"/>
      <c r="O23" s="465"/>
      <c r="P23" s="465"/>
      <c r="Q23" s="465"/>
      <c r="R23" s="465"/>
      <c r="S23" s="465"/>
      <c r="T23" s="465"/>
      <c r="U23" s="465"/>
      <c r="V23" s="465"/>
      <c r="W23" s="465"/>
      <c r="X23" s="465"/>
      <c r="Y23" s="465"/>
      <c r="Z23" s="465"/>
      <c r="AA23" s="465"/>
      <c r="AB23" s="465"/>
      <c r="AC23" s="465"/>
      <c r="AD23" s="465"/>
      <c r="AE23" s="465"/>
      <c r="AF23" s="465"/>
      <c r="AG23" s="465"/>
      <c r="AH23" s="465"/>
      <c r="AI23" s="465"/>
      <c r="AJ23" s="465"/>
      <c r="AK23" s="465"/>
      <c r="AL23" s="464"/>
      <c r="AM23" s="464"/>
      <c r="AN23" s="464"/>
      <c r="AO23" s="464"/>
      <c r="AP23" s="464"/>
      <c r="AQ23" s="464"/>
      <c r="AR23" s="464"/>
      <c r="AS23" s="432"/>
      <c r="AT23" s="429"/>
      <c r="AU23" s="429"/>
      <c r="AV23" s="429"/>
      <c r="AW23" s="429"/>
      <c r="AX23" s="429"/>
      <c r="AY23" s="429"/>
      <c r="AZ23" s="422"/>
      <c r="BA23" s="422"/>
      <c r="BB23" s="405"/>
      <c r="BC23" s="406"/>
      <c r="BD23" s="391"/>
      <c r="BE23" s="444"/>
      <c r="BF23" s="444"/>
      <c r="BG23" s="444" t="s">
        <v>177</v>
      </c>
      <c r="BH23" s="444"/>
      <c r="BI23" s="444"/>
      <c r="BJ23" s="444"/>
      <c r="BK23" s="444"/>
      <c r="BL23" s="444"/>
      <c r="BM23" s="444"/>
      <c r="BN23" s="444"/>
      <c r="BO23" s="444"/>
      <c r="BP23" s="444"/>
      <c r="BQ23" s="444"/>
      <c r="BR23" s="444"/>
      <c r="BS23" s="444"/>
      <c r="BT23" s="444"/>
    </row>
    <row r="24" spans="1:72" ht="12.5" customHeight="1">
      <c r="A24" s="393"/>
      <c r="B24" s="418"/>
      <c r="C24" s="427"/>
      <c r="D24" s="465"/>
      <c r="E24" s="465"/>
      <c r="F24" s="465"/>
      <c r="G24" s="465"/>
      <c r="H24" s="465"/>
      <c r="I24" s="465"/>
      <c r="J24" s="465"/>
      <c r="K24" s="465"/>
      <c r="L24" s="465"/>
      <c r="M24" s="465"/>
      <c r="N24" s="465"/>
      <c r="O24" s="465"/>
      <c r="P24" s="465"/>
      <c r="Q24" s="465"/>
      <c r="R24" s="465"/>
      <c r="S24" s="465"/>
      <c r="T24" s="465"/>
      <c r="U24" s="465"/>
      <c r="V24" s="465"/>
      <c r="W24" s="465"/>
      <c r="X24" s="465"/>
      <c r="Y24" s="465"/>
      <c r="Z24" s="465"/>
      <c r="AA24" s="465"/>
      <c r="AB24" s="465"/>
      <c r="AC24" s="465"/>
      <c r="AD24" s="465"/>
      <c r="AE24" s="465"/>
      <c r="AF24" s="465"/>
      <c r="AG24" s="465"/>
      <c r="AH24" s="465"/>
      <c r="AI24" s="465"/>
      <c r="AJ24" s="465"/>
      <c r="AK24" s="465"/>
      <c r="AL24" s="464"/>
      <c r="AM24" s="464"/>
      <c r="AN24" s="464"/>
      <c r="AO24" s="464"/>
      <c r="AP24" s="464"/>
      <c r="AQ24" s="464"/>
      <c r="AR24" s="464"/>
      <c r="AS24" s="431"/>
      <c r="AT24" s="421"/>
      <c r="AU24" s="421"/>
      <c r="AV24" s="421"/>
      <c r="AW24" s="421"/>
      <c r="AX24" s="421"/>
      <c r="AY24" s="421"/>
      <c r="AZ24" s="422"/>
      <c r="BA24" s="422"/>
      <c r="BB24" s="405"/>
      <c r="BC24" s="406"/>
      <c r="BD24" s="391"/>
      <c r="BE24" s="444"/>
      <c r="BF24" s="444"/>
      <c r="BG24" s="444"/>
      <c r="BH24" s="444"/>
      <c r="BI24" s="444"/>
      <c r="BJ24" s="444"/>
      <c r="BK24" s="444"/>
      <c r="BL24" s="444"/>
      <c r="BM24" s="444"/>
      <c r="BN24" s="444"/>
      <c r="BO24" s="444"/>
      <c r="BP24" s="444"/>
      <c r="BQ24" s="444"/>
      <c r="BR24" s="444"/>
      <c r="BS24" s="444"/>
      <c r="BT24" s="444"/>
    </row>
    <row r="25" spans="1:72" ht="12.5" customHeight="1">
      <c r="A25" s="393"/>
      <c r="B25" s="418"/>
      <c r="C25" s="420"/>
      <c r="D25" s="420"/>
      <c r="E25" s="420"/>
      <c r="F25" s="420"/>
      <c r="G25" s="420"/>
      <c r="H25" s="420"/>
      <c r="I25" s="420"/>
      <c r="J25" s="420"/>
      <c r="K25" s="420"/>
      <c r="L25" s="420"/>
      <c r="M25" s="420"/>
      <c r="N25" s="420"/>
      <c r="O25" s="420"/>
      <c r="P25" s="420"/>
      <c r="Q25" s="420"/>
      <c r="R25" s="420"/>
      <c r="S25" s="420"/>
      <c r="T25" s="420"/>
      <c r="U25" s="420"/>
      <c r="V25" s="420"/>
      <c r="W25" s="420"/>
      <c r="X25" s="420"/>
      <c r="Y25" s="420"/>
      <c r="Z25" s="420"/>
      <c r="AA25" s="420"/>
      <c r="AB25" s="420"/>
      <c r="AC25" s="420"/>
      <c r="AD25" s="420"/>
      <c r="AE25" s="420"/>
      <c r="AF25" s="420"/>
      <c r="AG25" s="420"/>
      <c r="AH25" s="420"/>
      <c r="AI25" s="420"/>
      <c r="AJ25" s="420"/>
      <c r="AK25" s="420"/>
      <c r="AL25" s="420"/>
      <c r="AM25" s="420"/>
      <c r="AN25" s="420"/>
      <c r="AO25" s="420"/>
      <c r="AP25" s="420"/>
      <c r="AQ25" s="420"/>
      <c r="AR25" s="420"/>
      <c r="AS25" s="420"/>
      <c r="AT25" s="420"/>
      <c r="AU25" s="420"/>
      <c r="AV25" s="420"/>
      <c r="AW25" s="420"/>
      <c r="AX25" s="420"/>
      <c r="AY25" s="420"/>
      <c r="AZ25" s="422"/>
      <c r="BA25" s="422"/>
      <c r="BB25" s="405"/>
      <c r="BC25" s="406"/>
      <c r="BD25" s="391"/>
      <c r="BE25" s="444"/>
      <c r="BF25" s="444" t="s">
        <v>228</v>
      </c>
      <c r="BG25" s="447"/>
      <c r="BH25" s="444"/>
      <c r="BI25" s="444"/>
      <c r="BJ25" s="444"/>
      <c r="BK25" s="444"/>
      <c r="BL25" s="444"/>
      <c r="BM25" s="444"/>
      <c r="BN25" s="444"/>
      <c r="BO25" s="444"/>
      <c r="BP25" s="444"/>
      <c r="BQ25" s="444"/>
      <c r="BR25" s="444"/>
      <c r="BS25" s="444"/>
      <c r="BT25" s="444"/>
    </row>
    <row r="26" spans="1:72" ht="12.5" customHeight="1">
      <c r="A26" s="393"/>
      <c r="B26" s="426"/>
      <c r="C26" s="420"/>
      <c r="D26" s="420"/>
      <c r="E26" s="420"/>
      <c r="F26" s="420"/>
      <c r="G26" s="420"/>
      <c r="H26" s="420"/>
      <c r="I26" s="420"/>
      <c r="J26" s="420"/>
      <c r="K26" s="420"/>
      <c r="L26" s="420"/>
      <c r="M26" s="420"/>
      <c r="N26" s="420"/>
      <c r="O26" s="420"/>
      <c r="P26" s="420"/>
      <c r="Q26" s="420"/>
      <c r="R26" s="420"/>
      <c r="S26" s="420"/>
      <c r="T26" s="420"/>
      <c r="U26" s="420"/>
      <c r="V26" s="420"/>
      <c r="W26" s="420"/>
      <c r="X26" s="420"/>
      <c r="Y26" s="420"/>
      <c r="Z26" s="420"/>
      <c r="AA26" s="420"/>
      <c r="AB26" s="420"/>
      <c r="AC26" s="420"/>
      <c r="AD26" s="420"/>
      <c r="AE26" s="420"/>
      <c r="AF26" s="420"/>
      <c r="AG26" s="420"/>
      <c r="AH26" s="420"/>
      <c r="AI26" s="420"/>
      <c r="AJ26" s="420"/>
      <c r="AK26" s="420"/>
      <c r="AL26" s="420"/>
      <c r="AM26" s="420"/>
      <c r="AN26" s="420"/>
      <c r="AO26" s="420"/>
      <c r="AP26" s="420"/>
      <c r="AQ26" s="420"/>
      <c r="AR26" s="420"/>
      <c r="AS26" s="420"/>
      <c r="AT26" s="420"/>
      <c r="AU26" s="420"/>
      <c r="AV26" s="420"/>
      <c r="AW26" s="420"/>
      <c r="AX26" s="420"/>
      <c r="AY26" s="420"/>
      <c r="AZ26" s="422"/>
      <c r="BA26" s="422"/>
      <c r="BB26" s="389"/>
      <c r="BC26" s="390"/>
      <c r="BD26" s="391"/>
      <c r="BE26" s="444"/>
      <c r="BF26" s="444"/>
      <c r="BG26" s="447" t="s">
        <v>229</v>
      </c>
      <c r="BH26" s="444"/>
      <c r="BI26" s="444"/>
      <c r="BJ26" s="444"/>
      <c r="BK26" s="444"/>
      <c r="BL26" s="444"/>
      <c r="BM26" s="444"/>
      <c r="BN26" s="444"/>
      <c r="BO26" s="444"/>
      <c r="BP26" s="444"/>
      <c r="BQ26" s="444"/>
      <c r="BR26" s="444"/>
      <c r="BS26" s="444"/>
      <c r="BT26" s="444"/>
    </row>
    <row r="27" spans="1:72" ht="12.5" customHeight="1">
      <c r="A27" s="393"/>
      <c r="B27" s="426"/>
      <c r="C27" s="420"/>
      <c r="D27" s="420"/>
      <c r="E27" s="420"/>
      <c r="F27" s="420"/>
      <c r="G27" s="420"/>
      <c r="H27" s="420"/>
      <c r="I27" s="420"/>
      <c r="J27" s="420"/>
      <c r="K27" s="420"/>
      <c r="L27" s="420"/>
      <c r="M27" s="420"/>
      <c r="N27" s="420"/>
      <c r="O27" s="420"/>
      <c r="P27" s="420"/>
      <c r="Q27" s="420"/>
      <c r="R27" s="420"/>
      <c r="S27" s="420"/>
      <c r="T27" s="420"/>
      <c r="U27" s="420"/>
      <c r="V27" s="420"/>
      <c r="W27" s="420"/>
      <c r="X27" s="420"/>
      <c r="Y27" s="420"/>
      <c r="Z27" s="420"/>
      <c r="AA27" s="420"/>
      <c r="AB27" s="420"/>
      <c r="AC27" s="420"/>
      <c r="AD27" s="420"/>
      <c r="AE27" s="420"/>
      <c r="AF27" s="420"/>
      <c r="AG27" s="420"/>
      <c r="AH27" s="420"/>
      <c r="AI27" s="420"/>
      <c r="AJ27" s="420"/>
      <c r="AK27" s="420"/>
      <c r="AL27" s="420"/>
      <c r="AM27" s="420"/>
      <c r="AN27" s="420"/>
      <c r="AO27" s="420"/>
      <c r="AP27" s="420"/>
      <c r="AQ27" s="420"/>
      <c r="AR27" s="420"/>
      <c r="AS27" s="420"/>
      <c r="AT27" s="420"/>
      <c r="AU27" s="420"/>
      <c r="AV27" s="420"/>
      <c r="AW27" s="420"/>
      <c r="AX27" s="420"/>
      <c r="AY27" s="420"/>
      <c r="AZ27" s="422"/>
      <c r="BA27" s="422"/>
      <c r="BB27" s="389"/>
      <c r="BC27" s="390"/>
      <c r="BD27" s="391"/>
      <c r="BE27" s="444"/>
      <c r="BF27" s="444"/>
      <c r="BG27" s="447" t="s">
        <v>230</v>
      </c>
      <c r="BH27" s="444"/>
      <c r="BI27" s="444"/>
      <c r="BJ27" s="444"/>
      <c r="BK27" s="444"/>
      <c r="BL27" s="444"/>
      <c r="BM27" s="444"/>
      <c r="BN27" s="444"/>
      <c r="BO27" s="444"/>
      <c r="BP27" s="444"/>
      <c r="BQ27" s="444"/>
      <c r="BR27" s="444"/>
      <c r="BS27" s="444"/>
      <c r="BT27" s="444"/>
    </row>
    <row r="28" spans="1:72" ht="12.5" customHeight="1">
      <c r="A28" s="393"/>
      <c r="B28" s="418"/>
      <c r="C28" s="420"/>
      <c r="D28" s="420"/>
      <c r="E28" s="420"/>
      <c r="F28" s="420"/>
      <c r="G28" s="420"/>
      <c r="H28" s="420"/>
      <c r="I28" s="420"/>
      <c r="J28" s="420"/>
      <c r="K28" s="420"/>
      <c r="L28" s="420"/>
      <c r="M28" s="420"/>
      <c r="N28" s="420"/>
      <c r="O28" s="420"/>
      <c r="P28" s="420"/>
      <c r="Q28" s="420"/>
      <c r="R28" s="420"/>
      <c r="S28" s="420"/>
      <c r="T28" s="420"/>
      <c r="U28" s="420"/>
      <c r="V28" s="420"/>
      <c r="W28" s="420"/>
      <c r="X28" s="420"/>
      <c r="Y28" s="420"/>
      <c r="Z28" s="420"/>
      <c r="AA28" s="420"/>
      <c r="AB28" s="420"/>
      <c r="AC28" s="420"/>
      <c r="AD28" s="420"/>
      <c r="AE28" s="420"/>
      <c r="AF28" s="420"/>
      <c r="AG28" s="420"/>
      <c r="AH28" s="420"/>
      <c r="AI28" s="420"/>
      <c r="AJ28" s="420"/>
      <c r="AK28" s="420"/>
      <c r="AL28" s="420"/>
      <c r="AM28" s="420"/>
      <c r="AN28" s="420"/>
      <c r="AO28" s="420"/>
      <c r="AP28" s="420"/>
      <c r="AQ28" s="420"/>
      <c r="AR28" s="420"/>
      <c r="AS28" s="420"/>
      <c r="AT28" s="420"/>
      <c r="AU28" s="420"/>
      <c r="AV28" s="420"/>
      <c r="AW28" s="420"/>
      <c r="AX28" s="420"/>
      <c r="AY28" s="420"/>
      <c r="AZ28" s="422"/>
      <c r="BA28" s="422"/>
      <c r="BB28" s="405"/>
      <c r="BC28" s="406"/>
      <c r="BD28" s="391"/>
      <c r="BE28" s="444"/>
      <c r="BF28" s="444"/>
      <c r="BG28" s="447"/>
      <c r="BH28" s="444"/>
      <c r="BI28" s="444"/>
      <c r="BJ28" s="444"/>
      <c r="BK28" s="444"/>
      <c r="BL28" s="444"/>
      <c r="BM28" s="444"/>
      <c r="BN28" s="444"/>
      <c r="BO28" s="444"/>
      <c r="BP28" s="444"/>
      <c r="BQ28" s="444"/>
      <c r="BR28" s="444"/>
      <c r="BS28" s="444"/>
      <c r="BT28" s="444"/>
    </row>
    <row r="29" spans="1:72" ht="12.5" customHeight="1">
      <c r="A29" s="393"/>
      <c r="B29" s="418"/>
      <c r="C29" s="423"/>
      <c r="D29" s="419"/>
      <c r="E29" s="419"/>
      <c r="F29" s="419"/>
      <c r="G29" s="421"/>
      <c r="H29" s="431"/>
      <c r="I29" s="431"/>
      <c r="J29" s="431"/>
      <c r="K29" s="431"/>
      <c r="L29" s="431"/>
      <c r="M29" s="431"/>
      <c r="N29" s="431"/>
      <c r="O29" s="431"/>
      <c r="P29" s="431"/>
      <c r="Q29" s="431"/>
      <c r="R29" s="431"/>
      <c r="S29" s="431"/>
      <c r="T29" s="431"/>
      <c r="U29" s="431"/>
      <c r="V29" s="431"/>
      <c r="W29" s="431"/>
      <c r="X29" s="431"/>
      <c r="Y29" s="431"/>
      <c r="Z29" s="431"/>
      <c r="AA29" s="431"/>
      <c r="AB29" s="431"/>
      <c r="AC29" s="431"/>
      <c r="AD29" s="431"/>
      <c r="AE29" s="431"/>
      <c r="AF29" s="431"/>
      <c r="AG29" s="431"/>
      <c r="AH29" s="431"/>
      <c r="AI29" s="431"/>
      <c r="AJ29" s="431"/>
      <c r="AK29" s="431"/>
      <c r="AL29" s="431"/>
      <c r="AM29" s="431"/>
      <c r="AN29" s="431"/>
      <c r="AO29" s="431"/>
      <c r="AP29" s="431"/>
      <c r="AQ29" s="431"/>
      <c r="AR29" s="431"/>
      <c r="AS29" s="431"/>
      <c r="AT29" s="425"/>
      <c r="AU29" s="421"/>
      <c r="AV29" s="421"/>
      <c r="AW29" s="421"/>
      <c r="AX29" s="421"/>
      <c r="AY29" s="417"/>
      <c r="AZ29" s="422"/>
      <c r="BA29" s="422"/>
      <c r="BB29" s="389"/>
      <c r="BC29" s="390"/>
      <c r="BD29" s="391"/>
      <c r="BE29" s="444"/>
      <c r="BF29" s="444" t="s">
        <v>231</v>
      </c>
      <c r="BG29" s="447"/>
      <c r="BH29" s="444"/>
      <c r="BI29" s="444"/>
      <c r="BJ29" s="444"/>
      <c r="BK29" s="444"/>
      <c r="BL29" s="444"/>
      <c r="BM29" s="444"/>
      <c r="BN29" s="444"/>
      <c r="BO29" s="444"/>
      <c r="BP29" s="444"/>
      <c r="BQ29" s="444"/>
      <c r="BR29" s="444"/>
      <c r="BS29" s="444"/>
      <c r="BT29" s="444"/>
    </row>
    <row r="30" spans="1:72" ht="12.5" customHeight="1">
      <c r="A30" s="393"/>
      <c r="B30" s="426"/>
      <c r="C30" s="420"/>
      <c r="D30" s="420"/>
      <c r="E30" s="420"/>
      <c r="F30" s="420"/>
      <c r="G30" s="420"/>
      <c r="H30" s="420"/>
      <c r="I30" s="420"/>
      <c r="J30" s="420"/>
      <c r="K30" s="420"/>
      <c r="L30" s="420"/>
      <c r="M30" s="420"/>
      <c r="N30" s="420"/>
      <c r="O30" s="420"/>
      <c r="P30" s="420"/>
      <c r="Q30" s="420"/>
      <c r="R30" s="420"/>
      <c r="S30" s="420"/>
      <c r="T30" s="420"/>
      <c r="U30" s="420"/>
      <c r="V30" s="420"/>
      <c r="W30" s="420"/>
      <c r="X30" s="420"/>
      <c r="Y30" s="420"/>
      <c r="Z30" s="420"/>
      <c r="AA30" s="420"/>
      <c r="AB30" s="420"/>
      <c r="AC30" s="420"/>
      <c r="AD30" s="420"/>
      <c r="AE30" s="420"/>
      <c r="AF30" s="420"/>
      <c r="AG30" s="420"/>
      <c r="AH30" s="420"/>
      <c r="AI30" s="420"/>
      <c r="AJ30" s="420"/>
      <c r="AK30" s="420"/>
      <c r="AL30" s="420"/>
      <c r="AM30" s="420"/>
      <c r="AN30" s="420"/>
      <c r="AO30" s="420"/>
      <c r="AP30" s="420"/>
      <c r="AQ30" s="420"/>
      <c r="AR30" s="420"/>
      <c r="AS30" s="420"/>
      <c r="AT30" s="420"/>
      <c r="AU30" s="420"/>
      <c r="AV30" s="420"/>
      <c r="AW30" s="420"/>
      <c r="AX30" s="420"/>
      <c r="AY30" s="420"/>
      <c r="AZ30" s="422"/>
      <c r="BA30" s="422"/>
      <c r="BB30" s="389"/>
      <c r="BC30" s="390"/>
      <c r="BD30" s="391"/>
      <c r="BE30" s="444"/>
      <c r="BF30" s="444"/>
      <c r="BG30" s="444" t="s">
        <v>232</v>
      </c>
      <c r="BH30" s="444"/>
      <c r="BI30" s="444"/>
      <c r="BJ30" s="444"/>
      <c r="BK30" s="444"/>
      <c r="BL30" s="444"/>
      <c r="BM30" s="444"/>
      <c r="BN30" s="444"/>
      <c r="BO30" s="444"/>
      <c r="BP30" s="444"/>
      <c r="BQ30" s="444"/>
      <c r="BR30" s="444"/>
      <c r="BS30" s="444"/>
      <c r="BT30" s="444"/>
    </row>
    <row r="31" spans="1:72" ht="12.5" customHeight="1">
      <c r="A31" s="393"/>
      <c r="B31" s="426"/>
      <c r="C31" s="420"/>
      <c r="D31" s="420"/>
      <c r="E31" s="420"/>
      <c r="F31" s="420"/>
      <c r="G31" s="420"/>
      <c r="H31" s="420"/>
      <c r="I31" s="420"/>
      <c r="J31" s="420"/>
      <c r="K31" s="420"/>
      <c r="L31" s="420"/>
      <c r="M31" s="420"/>
      <c r="N31" s="420"/>
      <c r="O31" s="420"/>
      <c r="P31" s="420"/>
      <c r="Q31" s="420"/>
      <c r="R31" s="420"/>
      <c r="S31" s="420"/>
      <c r="T31" s="420"/>
      <c r="U31" s="420"/>
      <c r="V31" s="420"/>
      <c r="W31" s="420"/>
      <c r="X31" s="420"/>
      <c r="Y31" s="420"/>
      <c r="Z31" s="420"/>
      <c r="AA31" s="420"/>
      <c r="AB31" s="420"/>
      <c r="AC31" s="420"/>
      <c r="AD31" s="420"/>
      <c r="AE31" s="420"/>
      <c r="AF31" s="420"/>
      <c r="AG31" s="420"/>
      <c r="AH31" s="420"/>
      <c r="AI31" s="420"/>
      <c r="AJ31" s="420"/>
      <c r="AK31" s="420"/>
      <c r="AL31" s="420"/>
      <c r="AM31" s="420"/>
      <c r="AN31" s="420"/>
      <c r="AO31" s="420"/>
      <c r="AP31" s="420"/>
      <c r="AQ31" s="420"/>
      <c r="AR31" s="420"/>
      <c r="AS31" s="420"/>
      <c r="AT31" s="420"/>
      <c r="AU31" s="420"/>
      <c r="AV31" s="420"/>
      <c r="AW31" s="420"/>
      <c r="AX31" s="420"/>
      <c r="AY31" s="420"/>
      <c r="AZ31" s="422"/>
      <c r="BA31" s="422"/>
      <c r="BB31" s="389"/>
      <c r="BC31" s="390"/>
      <c r="BD31" s="391"/>
      <c r="BE31" s="444"/>
      <c r="BF31" s="444"/>
      <c r="BG31" s="444" t="s">
        <v>233</v>
      </c>
      <c r="BH31" s="444"/>
      <c r="BI31" s="444"/>
      <c r="BJ31" s="444"/>
      <c r="BK31" s="444"/>
      <c r="BL31" s="444"/>
      <c r="BM31" s="444"/>
      <c r="BN31" s="444"/>
      <c r="BO31" s="444"/>
      <c r="BP31" s="444"/>
      <c r="BQ31" s="444"/>
      <c r="BR31" s="444"/>
      <c r="BS31" s="444"/>
      <c r="BT31" s="444"/>
    </row>
    <row r="32" spans="1:72" ht="12.5" customHeight="1">
      <c r="A32" s="393"/>
      <c r="B32" s="418"/>
      <c r="C32" s="466" t="s">
        <v>207</v>
      </c>
      <c r="D32" s="420"/>
      <c r="E32" s="420"/>
      <c r="F32" s="420"/>
      <c r="G32" s="420"/>
      <c r="H32" s="420"/>
      <c r="I32" s="420"/>
      <c r="J32" s="420"/>
      <c r="K32" s="420"/>
      <c r="L32" s="420"/>
      <c r="M32" s="420"/>
      <c r="N32" s="420"/>
      <c r="O32" s="420"/>
      <c r="P32" s="420"/>
      <c r="Q32" s="420"/>
      <c r="R32" s="420"/>
      <c r="S32" s="420"/>
      <c r="T32" s="420"/>
      <c r="U32" s="420"/>
      <c r="V32" s="420"/>
      <c r="W32" s="420"/>
      <c r="X32" s="420"/>
      <c r="Y32" s="420"/>
      <c r="Z32" s="420"/>
      <c r="AA32" s="420"/>
      <c r="AB32" s="420"/>
      <c r="AC32" s="420"/>
      <c r="AD32" s="420"/>
      <c r="AE32" s="420"/>
      <c r="AF32" s="420"/>
      <c r="AG32" s="420"/>
      <c r="AH32" s="420"/>
      <c r="AI32" s="420"/>
      <c r="AJ32" s="420"/>
      <c r="AK32" s="420"/>
      <c r="AL32" s="420"/>
      <c r="AM32" s="420"/>
      <c r="AN32" s="420"/>
      <c r="AO32" s="420"/>
      <c r="AP32" s="420"/>
      <c r="AQ32" s="420"/>
      <c r="AR32" s="420"/>
      <c r="AS32" s="420"/>
      <c r="AT32" s="420"/>
      <c r="AU32" s="420"/>
      <c r="AV32" s="420"/>
      <c r="AW32" s="420"/>
      <c r="AX32" s="420"/>
      <c r="AY32" s="420"/>
      <c r="AZ32" s="422"/>
      <c r="BA32" s="422"/>
      <c r="BB32" s="405"/>
      <c r="BC32" s="406"/>
      <c r="BD32" s="391"/>
      <c r="BE32" s="444"/>
      <c r="BF32" s="444"/>
      <c r="BG32" s="447" t="s">
        <v>234</v>
      </c>
      <c r="BH32" s="444"/>
      <c r="BI32" s="444"/>
      <c r="BJ32" s="444"/>
      <c r="BK32" s="444"/>
      <c r="BL32" s="444"/>
      <c r="BM32" s="444"/>
      <c r="BN32" s="444"/>
      <c r="BO32" s="444"/>
      <c r="BP32" s="444"/>
      <c r="BQ32" s="444"/>
      <c r="BR32" s="444"/>
      <c r="BS32" s="444"/>
      <c r="BT32" s="444"/>
    </row>
    <row r="33" spans="1:72" ht="12.5" customHeight="1">
      <c r="A33" s="393"/>
      <c r="B33" s="426"/>
      <c r="C33" s="420"/>
      <c r="D33" s="420"/>
      <c r="E33" s="420"/>
      <c r="F33" s="420"/>
      <c r="G33" s="420"/>
      <c r="H33" s="420"/>
      <c r="I33" s="420"/>
      <c r="J33" s="420"/>
      <c r="K33" s="420"/>
      <c r="L33" s="420"/>
      <c r="M33" s="420"/>
      <c r="N33" s="420"/>
      <c r="O33" s="420"/>
      <c r="P33" s="420"/>
      <c r="Q33" s="420"/>
      <c r="R33" s="420"/>
      <c r="S33" s="420"/>
      <c r="T33" s="420"/>
      <c r="U33" s="420"/>
      <c r="V33" s="420"/>
      <c r="W33" s="420"/>
      <c r="X33" s="420"/>
      <c r="Y33" s="420"/>
      <c r="Z33" s="420"/>
      <c r="AA33" s="420"/>
      <c r="AB33" s="420"/>
      <c r="AC33" s="420"/>
      <c r="AD33" s="420"/>
      <c r="AE33" s="420"/>
      <c r="AF33" s="420"/>
      <c r="AG33" s="420"/>
      <c r="AH33" s="420"/>
      <c r="AI33" s="420"/>
      <c r="AJ33" s="420"/>
      <c r="AK33" s="420"/>
      <c r="AL33" s="420"/>
      <c r="AM33" s="420"/>
      <c r="AN33" s="420"/>
      <c r="AO33" s="420"/>
      <c r="AP33" s="420"/>
      <c r="AQ33" s="420"/>
      <c r="AR33" s="420"/>
      <c r="AS33" s="420"/>
      <c r="AT33" s="420"/>
      <c r="AU33" s="420"/>
      <c r="AV33" s="420"/>
      <c r="AW33" s="420"/>
      <c r="AX33" s="420"/>
      <c r="AY33" s="420"/>
      <c r="AZ33" s="422"/>
      <c r="BA33" s="422"/>
      <c r="BB33" s="389"/>
      <c r="BC33" s="390"/>
      <c r="BD33" s="391"/>
      <c r="BE33" s="444"/>
      <c r="BF33" s="444"/>
      <c r="BG33" s="444"/>
      <c r="BH33" s="444"/>
      <c r="BI33" s="444"/>
      <c r="BJ33" s="444"/>
      <c r="BK33" s="444"/>
      <c r="BL33" s="444"/>
      <c r="BM33" s="444"/>
      <c r="BN33" s="444"/>
      <c r="BO33" s="444"/>
      <c r="BP33" s="444"/>
      <c r="BQ33" s="444"/>
      <c r="BR33" s="444"/>
      <c r="BS33" s="444"/>
      <c r="BT33" s="444"/>
    </row>
    <row r="34" spans="1:72" ht="12.5" customHeight="1">
      <c r="A34" s="393"/>
      <c r="B34" s="426"/>
      <c r="C34" s="420"/>
      <c r="D34" s="420"/>
      <c r="E34" s="420"/>
      <c r="F34" s="420"/>
      <c r="G34" s="420"/>
      <c r="H34" s="420"/>
      <c r="I34" s="420"/>
      <c r="J34" s="420"/>
      <c r="K34" s="420"/>
      <c r="L34" s="420"/>
      <c r="M34" s="420"/>
      <c r="N34" s="420"/>
      <c r="O34" s="420"/>
      <c r="P34" s="420"/>
      <c r="Q34" s="420"/>
      <c r="R34" s="420"/>
      <c r="S34" s="420"/>
      <c r="T34" s="420"/>
      <c r="U34" s="420"/>
      <c r="V34" s="420"/>
      <c r="W34" s="420"/>
      <c r="X34" s="420"/>
      <c r="Y34" s="420"/>
      <c r="Z34" s="420"/>
      <c r="AA34" s="420"/>
      <c r="AB34" s="420"/>
      <c r="AC34" s="420"/>
      <c r="AD34" s="420"/>
      <c r="AE34" s="420"/>
      <c r="AF34" s="420"/>
      <c r="AG34" s="420"/>
      <c r="AH34" s="420"/>
      <c r="AI34" s="420"/>
      <c r="AJ34" s="420"/>
      <c r="AK34" s="420"/>
      <c r="AL34" s="420"/>
      <c r="AM34" s="420"/>
      <c r="AN34" s="420"/>
      <c r="AO34" s="420"/>
      <c r="AP34" s="420"/>
      <c r="AQ34" s="420"/>
      <c r="AR34" s="420"/>
      <c r="AS34" s="420"/>
      <c r="AT34" s="420"/>
      <c r="AU34" s="420"/>
      <c r="AV34" s="420"/>
      <c r="AW34" s="420"/>
      <c r="AX34" s="420"/>
      <c r="AY34" s="420"/>
      <c r="AZ34" s="422"/>
      <c r="BA34" s="422"/>
      <c r="BB34" s="389"/>
      <c r="BC34" s="390"/>
      <c r="BD34" s="391"/>
      <c r="BE34" s="444"/>
      <c r="BF34" s="444" t="s">
        <v>235</v>
      </c>
      <c r="BG34" s="444"/>
      <c r="BH34" s="444"/>
      <c r="BI34" s="444"/>
      <c r="BJ34" s="444"/>
      <c r="BK34" s="444"/>
      <c r="BL34" s="444"/>
      <c r="BM34" s="444"/>
      <c r="BN34" s="444"/>
      <c r="BO34" s="444"/>
      <c r="BP34" s="444"/>
      <c r="BQ34" s="444"/>
      <c r="BR34" s="444"/>
      <c r="BS34" s="444"/>
      <c r="BT34" s="444"/>
    </row>
    <row r="35" spans="1:72" ht="12.5" customHeight="1">
      <c r="A35" s="393"/>
      <c r="B35" s="418"/>
      <c r="C35" s="417"/>
      <c r="D35" s="424" t="s">
        <v>208</v>
      </c>
      <c r="E35" s="419"/>
      <c r="F35" s="419"/>
      <c r="G35" s="421"/>
      <c r="H35" s="431"/>
      <c r="I35" s="431"/>
      <c r="J35" s="431"/>
      <c r="K35" s="431"/>
      <c r="L35" s="431"/>
      <c r="M35" s="431"/>
      <c r="N35" s="431"/>
      <c r="O35" s="431"/>
      <c r="P35" s="431"/>
      <c r="Q35" s="431"/>
      <c r="R35" s="431"/>
      <c r="S35" s="431"/>
      <c r="T35" s="431"/>
      <c r="U35" s="431"/>
      <c r="V35" s="431"/>
      <c r="W35" s="431"/>
      <c r="X35" s="431"/>
      <c r="Y35" s="431"/>
      <c r="Z35" s="431"/>
      <c r="AA35" s="431"/>
      <c r="AB35" s="431"/>
      <c r="AC35" s="431"/>
      <c r="AD35" s="431"/>
      <c r="AE35" s="431"/>
      <c r="AF35" s="431"/>
      <c r="AG35" s="431"/>
      <c r="AH35" s="431"/>
      <c r="AI35" s="431"/>
      <c r="AJ35" s="431"/>
      <c r="AK35" s="431"/>
      <c r="AL35" s="431"/>
      <c r="AM35" s="431"/>
      <c r="AN35" s="431"/>
      <c r="AO35" s="431"/>
      <c r="AP35" s="431"/>
      <c r="AQ35" s="431"/>
      <c r="AR35" s="431"/>
      <c r="AS35" s="431"/>
      <c r="AT35" s="425"/>
      <c r="AU35" s="421"/>
      <c r="AV35" s="417"/>
      <c r="AW35" s="417"/>
      <c r="AX35" s="421"/>
      <c r="AY35" s="417"/>
      <c r="AZ35" s="422"/>
      <c r="BA35" s="422"/>
      <c r="BB35" s="389"/>
      <c r="BC35" s="390"/>
      <c r="BD35" s="391"/>
      <c r="BE35" s="444"/>
      <c r="BF35" s="444"/>
      <c r="BG35" s="444" t="s">
        <v>236</v>
      </c>
      <c r="BH35" s="444"/>
      <c r="BI35" s="444"/>
      <c r="BJ35" s="444"/>
      <c r="BK35" s="444"/>
      <c r="BL35" s="444"/>
      <c r="BM35" s="444"/>
      <c r="BN35" s="444"/>
      <c r="BO35" s="444"/>
      <c r="BP35" s="444"/>
      <c r="BQ35" s="444"/>
      <c r="BR35" s="444"/>
      <c r="BS35" s="444"/>
      <c r="BT35" s="444"/>
    </row>
    <row r="36" spans="1:72" ht="12.5" customHeight="1">
      <c r="A36" s="393"/>
      <c r="B36" s="418"/>
      <c r="C36" s="423"/>
      <c r="D36" s="419"/>
      <c r="E36" s="419"/>
      <c r="F36" s="419"/>
      <c r="G36" s="421"/>
      <c r="H36" s="431"/>
      <c r="I36" s="431"/>
      <c r="J36" s="431"/>
      <c r="K36" s="431"/>
      <c r="L36" s="431"/>
      <c r="M36" s="431"/>
      <c r="N36" s="431"/>
      <c r="O36" s="431"/>
      <c r="P36" s="431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  <c r="AB36" s="431"/>
      <c r="AC36" s="431"/>
      <c r="AD36" s="431"/>
      <c r="AE36" s="431"/>
      <c r="AF36" s="431"/>
      <c r="AG36" s="431"/>
      <c r="AH36" s="431"/>
      <c r="AI36" s="431"/>
      <c r="AJ36" s="431"/>
      <c r="AK36" s="431"/>
      <c r="AL36" s="431"/>
      <c r="AM36" s="431"/>
      <c r="AN36" s="431"/>
      <c r="AO36" s="431"/>
      <c r="AP36" s="431"/>
      <c r="AQ36" s="431"/>
      <c r="AR36" s="431"/>
      <c r="AS36" s="431"/>
      <c r="AT36" s="425"/>
      <c r="AU36" s="421"/>
      <c r="AV36" s="421"/>
      <c r="AW36" s="421"/>
      <c r="AX36" s="421"/>
      <c r="AY36" s="417"/>
      <c r="AZ36" s="422"/>
      <c r="BA36" s="422"/>
      <c r="BB36" s="389"/>
      <c r="BC36" s="390"/>
      <c r="BD36" s="391"/>
      <c r="BE36" s="444"/>
      <c r="BF36" s="444"/>
      <c r="BG36" s="447" t="s">
        <v>237</v>
      </c>
      <c r="BH36" s="444"/>
      <c r="BI36" s="444"/>
      <c r="BJ36" s="444"/>
      <c r="BK36" s="444"/>
      <c r="BL36" s="444"/>
      <c r="BM36" s="444"/>
      <c r="BN36" s="444"/>
      <c r="BO36" s="444"/>
      <c r="BP36" s="444"/>
      <c r="BQ36" s="444"/>
      <c r="BR36" s="444"/>
      <c r="BS36" s="444"/>
      <c r="BT36" s="444"/>
    </row>
    <row r="37" spans="1:72" ht="12.5" customHeight="1">
      <c r="A37" s="393"/>
      <c r="B37" s="418"/>
      <c r="C37" s="424"/>
      <c r="D37" s="463"/>
      <c r="E37" s="463"/>
      <c r="F37" s="463"/>
      <c r="G37" s="463"/>
      <c r="H37" s="463"/>
      <c r="I37" s="463"/>
      <c r="J37" s="463"/>
      <c r="K37" s="463"/>
      <c r="L37" s="463"/>
      <c r="M37" s="463"/>
      <c r="N37" s="463"/>
      <c r="O37" s="463"/>
      <c r="P37" s="463"/>
      <c r="Q37" s="463"/>
      <c r="R37" s="463"/>
      <c r="S37" s="463"/>
      <c r="T37" s="463"/>
      <c r="U37" s="463"/>
      <c r="V37" s="463"/>
      <c r="W37" s="463"/>
      <c r="X37" s="463"/>
      <c r="Y37" s="463"/>
      <c r="Z37" s="463"/>
      <c r="AA37" s="463"/>
      <c r="AB37" s="463"/>
      <c r="AC37" s="463"/>
      <c r="AD37" s="463"/>
      <c r="AE37" s="463"/>
      <c r="AF37" s="463"/>
      <c r="AG37" s="463"/>
      <c r="AH37" s="463"/>
      <c r="AI37" s="463"/>
      <c r="AJ37" s="463"/>
      <c r="AK37" s="463"/>
      <c r="AL37" s="463"/>
      <c r="AM37" s="463"/>
      <c r="AN37" s="463"/>
      <c r="AO37" s="463"/>
      <c r="AP37" s="463"/>
      <c r="AQ37" s="463"/>
      <c r="AR37" s="463"/>
      <c r="AS37" s="431"/>
      <c r="AT37" s="425"/>
      <c r="AU37" s="421"/>
      <c r="AV37" s="421"/>
      <c r="AW37" s="421"/>
      <c r="AX37" s="421"/>
      <c r="AY37" s="417"/>
      <c r="AZ37" s="422"/>
      <c r="BA37" s="422"/>
      <c r="BB37" s="389"/>
      <c r="BC37" s="390"/>
      <c r="BD37" s="391"/>
      <c r="BE37" s="444"/>
      <c r="BF37" s="444"/>
      <c r="BG37" s="444"/>
      <c r="BH37" s="444"/>
      <c r="BI37" s="444"/>
      <c r="BJ37" s="444"/>
      <c r="BK37" s="444"/>
      <c r="BL37" s="444"/>
      <c r="BM37" s="444"/>
      <c r="BN37" s="444"/>
      <c r="BO37" s="444"/>
      <c r="BP37" s="444"/>
      <c r="BQ37" s="444"/>
      <c r="BR37" s="444"/>
      <c r="BS37" s="444"/>
      <c r="BT37" s="444"/>
    </row>
    <row r="38" spans="1:72" ht="12.5" customHeight="1">
      <c r="A38" s="393"/>
      <c r="B38" s="418"/>
      <c r="C38" s="417"/>
      <c r="D38" s="462" t="s">
        <v>209</v>
      </c>
      <c r="E38" s="462"/>
      <c r="F38" s="462"/>
      <c r="G38" s="462"/>
      <c r="H38" s="462"/>
      <c r="I38" s="462"/>
      <c r="J38" s="462"/>
      <c r="K38" s="462"/>
      <c r="L38" s="462"/>
      <c r="M38" s="462"/>
      <c r="N38" s="462"/>
      <c r="O38" s="462"/>
      <c r="P38" s="462"/>
      <c r="Q38" s="462"/>
      <c r="R38" s="462"/>
      <c r="S38" s="462"/>
      <c r="T38" s="462"/>
      <c r="U38" s="462"/>
      <c r="V38" s="462"/>
      <c r="W38" s="462"/>
      <c r="X38" s="462"/>
      <c r="Y38" s="462"/>
      <c r="Z38" s="462"/>
      <c r="AA38" s="462"/>
      <c r="AB38" s="462"/>
      <c r="AC38" s="462"/>
      <c r="AD38" s="462"/>
      <c r="AE38" s="462"/>
      <c r="AF38" s="462"/>
      <c r="AG38" s="462"/>
      <c r="AH38" s="462"/>
      <c r="AI38" s="462"/>
      <c r="AJ38" s="462"/>
      <c r="AK38" s="462"/>
      <c r="AL38" s="463"/>
      <c r="AM38" s="463"/>
      <c r="AN38" s="463"/>
      <c r="AO38" s="463"/>
      <c r="AP38" s="463"/>
      <c r="AQ38" s="463"/>
      <c r="AR38" s="463"/>
      <c r="AS38" s="431"/>
      <c r="AT38" s="425"/>
      <c r="AU38" s="421"/>
      <c r="AV38" s="417"/>
      <c r="AW38" s="417"/>
      <c r="AX38" s="421"/>
      <c r="AY38" s="417"/>
      <c r="AZ38" s="422"/>
      <c r="BA38" s="422"/>
      <c r="BB38" s="389"/>
      <c r="BC38" s="390"/>
      <c r="BD38" s="391"/>
      <c r="BE38" s="444"/>
      <c r="BF38" s="444"/>
      <c r="BG38" s="444"/>
      <c r="BH38" s="444"/>
      <c r="BI38" s="444"/>
      <c r="BJ38" s="444"/>
      <c r="BK38" s="444"/>
      <c r="BL38" s="444"/>
      <c r="BM38" s="444"/>
      <c r="BN38" s="444"/>
      <c r="BO38" s="444"/>
      <c r="BP38" s="444"/>
      <c r="BQ38" s="444"/>
      <c r="BR38" s="444"/>
      <c r="BS38" s="444"/>
      <c r="BT38" s="444"/>
    </row>
    <row r="39" spans="1:72" ht="12.5" customHeight="1">
      <c r="A39" s="393"/>
      <c r="B39" s="418"/>
      <c r="C39" s="417"/>
      <c r="D39" s="465"/>
      <c r="E39" s="465"/>
      <c r="F39" s="465"/>
      <c r="G39" s="465"/>
      <c r="H39" s="465"/>
      <c r="I39" s="465"/>
      <c r="J39" s="465"/>
      <c r="K39" s="465"/>
      <c r="L39" s="465"/>
      <c r="M39" s="465"/>
      <c r="N39" s="465"/>
      <c r="O39" s="465"/>
      <c r="P39" s="465"/>
      <c r="Q39" s="465"/>
      <c r="R39" s="465"/>
      <c r="S39" s="465"/>
      <c r="T39" s="465"/>
      <c r="U39" s="465"/>
      <c r="V39" s="465"/>
      <c r="W39" s="465"/>
      <c r="X39" s="465"/>
      <c r="Y39" s="465"/>
      <c r="Z39" s="465"/>
      <c r="AA39" s="465"/>
      <c r="AB39" s="465"/>
      <c r="AC39" s="465"/>
      <c r="AD39" s="465"/>
      <c r="AE39" s="465"/>
      <c r="AF39" s="465"/>
      <c r="AG39" s="465"/>
      <c r="AH39" s="465"/>
      <c r="AI39" s="465"/>
      <c r="AJ39" s="465"/>
      <c r="AK39" s="465"/>
      <c r="AL39" s="464"/>
      <c r="AM39" s="464"/>
      <c r="AN39" s="464"/>
      <c r="AO39" s="464"/>
      <c r="AP39" s="464"/>
      <c r="AQ39" s="464"/>
      <c r="AR39" s="464"/>
      <c r="AS39" s="431"/>
      <c r="AT39" s="425"/>
      <c r="AU39" s="421"/>
      <c r="AV39" s="421"/>
      <c r="AW39" s="421"/>
      <c r="AX39" s="421"/>
      <c r="AY39" s="417"/>
      <c r="AZ39" s="422"/>
      <c r="BA39" s="422"/>
      <c r="BB39" s="389"/>
      <c r="BC39" s="390"/>
      <c r="BD39" s="391"/>
      <c r="BE39" s="444"/>
      <c r="BF39" s="444"/>
      <c r="BG39" s="444"/>
      <c r="BH39" s="444"/>
      <c r="BI39" s="444"/>
      <c r="BJ39" s="444"/>
      <c r="BK39" s="444"/>
      <c r="BL39" s="444"/>
      <c r="BM39" s="444"/>
      <c r="BN39" s="444"/>
      <c r="BO39" s="444"/>
      <c r="BP39" s="444"/>
      <c r="BQ39" s="444"/>
      <c r="BR39" s="444"/>
      <c r="BS39" s="444"/>
      <c r="BT39" s="444"/>
    </row>
    <row r="40" spans="1:72" ht="12.5" customHeight="1">
      <c r="A40" s="393"/>
      <c r="B40" s="418"/>
      <c r="C40" s="417"/>
      <c r="D40" s="465" t="s">
        <v>210</v>
      </c>
      <c r="E40" s="465"/>
      <c r="F40" s="465"/>
      <c r="G40" s="465"/>
      <c r="H40" s="465"/>
      <c r="I40" s="465"/>
      <c r="J40" s="465"/>
      <c r="K40" s="465"/>
      <c r="L40" s="465"/>
      <c r="M40" s="465"/>
      <c r="N40" s="465"/>
      <c r="O40" s="465"/>
      <c r="P40" s="465"/>
      <c r="Q40" s="465"/>
      <c r="R40" s="465"/>
      <c r="S40" s="465"/>
      <c r="T40" s="465"/>
      <c r="U40" s="465"/>
      <c r="V40" s="465"/>
      <c r="W40" s="465"/>
      <c r="X40" s="465"/>
      <c r="Y40" s="465"/>
      <c r="Z40" s="465"/>
      <c r="AA40" s="465"/>
      <c r="AB40" s="465"/>
      <c r="AC40" s="465"/>
      <c r="AD40" s="465"/>
      <c r="AE40" s="465"/>
      <c r="AF40" s="465"/>
      <c r="AG40" s="465"/>
      <c r="AH40" s="465"/>
      <c r="AI40" s="465"/>
      <c r="AJ40" s="465"/>
      <c r="AK40" s="465"/>
      <c r="AL40" s="464"/>
      <c r="AM40" s="464"/>
      <c r="AN40" s="464"/>
      <c r="AO40" s="464"/>
      <c r="AP40" s="464"/>
      <c r="AQ40" s="464"/>
      <c r="AR40" s="464"/>
      <c r="AS40" s="431"/>
      <c r="AT40" s="425"/>
      <c r="AU40" s="421"/>
      <c r="AV40" s="421"/>
      <c r="AW40" s="421"/>
      <c r="AX40" s="421"/>
      <c r="AY40" s="417"/>
      <c r="AZ40" s="422"/>
      <c r="BA40" s="422"/>
      <c r="BB40" s="389"/>
      <c r="BC40" s="390"/>
      <c r="BD40" s="391"/>
      <c r="BE40" s="444"/>
      <c r="BF40" s="444"/>
      <c r="BG40" s="444"/>
      <c r="BH40" s="444"/>
      <c r="BI40" s="444"/>
      <c r="BJ40" s="444"/>
      <c r="BK40" s="444"/>
      <c r="BL40" s="444"/>
      <c r="BM40" s="444"/>
      <c r="BN40" s="444"/>
      <c r="BO40" s="444"/>
      <c r="BP40" s="444"/>
      <c r="BQ40" s="444"/>
      <c r="BR40" s="444"/>
      <c r="BS40" s="444"/>
      <c r="BT40" s="444"/>
    </row>
    <row r="41" spans="1:72" ht="12.5" customHeight="1">
      <c r="A41" s="393"/>
      <c r="B41" s="418"/>
      <c r="C41" s="417"/>
      <c r="D41" s="465" t="s">
        <v>211</v>
      </c>
      <c r="E41" s="465"/>
      <c r="F41" s="465"/>
      <c r="G41" s="465"/>
      <c r="H41" s="465"/>
      <c r="I41" s="465"/>
      <c r="J41" s="465"/>
      <c r="K41" s="465"/>
      <c r="L41" s="465"/>
      <c r="M41" s="465"/>
      <c r="N41" s="465"/>
      <c r="O41" s="465"/>
      <c r="P41" s="465"/>
      <c r="Q41" s="465"/>
      <c r="R41" s="465"/>
      <c r="S41" s="465"/>
      <c r="T41" s="465"/>
      <c r="U41" s="465"/>
      <c r="V41" s="465"/>
      <c r="W41" s="465"/>
      <c r="X41" s="465"/>
      <c r="Y41" s="465"/>
      <c r="Z41" s="465"/>
      <c r="AA41" s="465"/>
      <c r="AB41" s="465"/>
      <c r="AC41" s="465"/>
      <c r="AD41" s="465"/>
      <c r="AE41" s="465"/>
      <c r="AF41" s="465"/>
      <c r="AG41" s="465"/>
      <c r="AH41" s="465"/>
      <c r="AI41" s="465"/>
      <c r="AJ41" s="465"/>
      <c r="AK41" s="465"/>
      <c r="AL41" s="464"/>
      <c r="AM41" s="464"/>
      <c r="AN41" s="464"/>
      <c r="AO41" s="464"/>
      <c r="AP41" s="464"/>
      <c r="AQ41" s="464"/>
      <c r="AR41" s="464"/>
      <c r="AS41" s="431"/>
      <c r="AT41" s="425"/>
      <c r="AU41" s="421"/>
      <c r="AV41" s="421"/>
      <c r="AW41" s="421"/>
      <c r="AX41" s="421"/>
      <c r="AY41" s="417"/>
      <c r="AZ41" s="422"/>
      <c r="BA41" s="422"/>
      <c r="BB41" s="389"/>
      <c r="BC41" s="390"/>
      <c r="BD41" s="391"/>
      <c r="BE41" s="444"/>
      <c r="BF41" s="444"/>
      <c r="BG41" s="444"/>
      <c r="BH41" s="444"/>
      <c r="BI41" s="444"/>
      <c r="BJ41" s="444"/>
      <c r="BK41" s="444"/>
      <c r="BL41" s="444"/>
      <c r="BM41" s="444"/>
      <c r="BN41" s="444"/>
      <c r="BO41" s="444"/>
      <c r="BP41" s="444"/>
      <c r="BQ41" s="444"/>
      <c r="BR41" s="444"/>
      <c r="BS41" s="444"/>
      <c r="BT41" s="444"/>
    </row>
    <row r="42" spans="1:72" ht="12.5" customHeight="1">
      <c r="A42" s="393"/>
      <c r="B42" s="418"/>
      <c r="C42" s="423"/>
      <c r="D42" s="465" t="s">
        <v>212</v>
      </c>
      <c r="E42" s="465"/>
      <c r="F42" s="465"/>
      <c r="G42" s="465"/>
      <c r="H42" s="465"/>
      <c r="I42" s="465"/>
      <c r="J42" s="465"/>
      <c r="K42" s="465"/>
      <c r="L42" s="465"/>
      <c r="M42" s="465"/>
      <c r="N42" s="465"/>
      <c r="O42" s="465"/>
      <c r="P42" s="465"/>
      <c r="Q42" s="465"/>
      <c r="R42" s="465"/>
      <c r="S42" s="465"/>
      <c r="T42" s="465"/>
      <c r="U42" s="465"/>
      <c r="V42" s="465"/>
      <c r="W42" s="465"/>
      <c r="X42" s="465"/>
      <c r="Y42" s="465"/>
      <c r="Z42" s="465"/>
      <c r="AA42" s="465"/>
      <c r="AB42" s="465"/>
      <c r="AC42" s="465"/>
      <c r="AD42" s="465"/>
      <c r="AE42" s="465"/>
      <c r="AF42" s="465"/>
      <c r="AG42" s="465"/>
      <c r="AH42" s="465"/>
      <c r="AI42" s="465"/>
      <c r="AJ42" s="465"/>
      <c r="AK42" s="465"/>
      <c r="AL42" s="464"/>
      <c r="AM42" s="464"/>
      <c r="AN42" s="464"/>
      <c r="AO42" s="464"/>
      <c r="AP42" s="464"/>
      <c r="AQ42" s="464"/>
      <c r="AR42" s="464"/>
      <c r="AS42" s="431"/>
      <c r="AT42" s="425"/>
      <c r="AU42" s="421"/>
      <c r="AV42" s="421"/>
      <c r="AW42" s="421"/>
      <c r="AX42" s="421"/>
      <c r="AY42" s="417"/>
      <c r="AZ42" s="422"/>
      <c r="BA42" s="422"/>
      <c r="BB42" s="389"/>
      <c r="BC42" s="390"/>
      <c r="BD42" s="391"/>
      <c r="BE42" s="444"/>
      <c r="BF42" s="444"/>
      <c r="BG42" s="444"/>
      <c r="BH42" s="444"/>
      <c r="BI42" s="444"/>
      <c r="BJ42" s="444"/>
      <c r="BK42" s="444"/>
      <c r="BL42" s="444"/>
      <c r="BM42" s="444"/>
      <c r="BN42" s="444"/>
      <c r="BO42" s="444"/>
      <c r="BP42" s="444"/>
      <c r="BQ42" s="444"/>
      <c r="BR42" s="444"/>
      <c r="BS42" s="444"/>
      <c r="BT42" s="444"/>
    </row>
    <row r="43" spans="1:72" ht="12.5" customHeight="1">
      <c r="A43" s="393"/>
      <c r="B43" s="418"/>
      <c r="C43" s="417"/>
      <c r="D43" s="465" t="s">
        <v>213</v>
      </c>
      <c r="E43" s="465"/>
      <c r="F43" s="465"/>
      <c r="G43" s="465"/>
      <c r="H43" s="465"/>
      <c r="I43" s="465"/>
      <c r="J43" s="465"/>
      <c r="K43" s="465"/>
      <c r="L43" s="465"/>
      <c r="M43" s="465"/>
      <c r="N43" s="465"/>
      <c r="O43" s="465"/>
      <c r="P43" s="465"/>
      <c r="Q43" s="465"/>
      <c r="R43" s="465"/>
      <c r="S43" s="465"/>
      <c r="T43" s="465"/>
      <c r="U43" s="465"/>
      <c r="V43" s="465"/>
      <c r="W43" s="465"/>
      <c r="X43" s="465"/>
      <c r="Y43" s="465"/>
      <c r="Z43" s="465"/>
      <c r="AA43" s="465"/>
      <c r="AB43" s="465"/>
      <c r="AC43" s="465"/>
      <c r="AD43" s="465"/>
      <c r="AE43" s="465"/>
      <c r="AF43" s="465"/>
      <c r="AG43" s="465"/>
      <c r="AH43" s="465"/>
      <c r="AI43" s="465"/>
      <c r="AJ43" s="465"/>
      <c r="AK43" s="465"/>
      <c r="AL43" s="464"/>
      <c r="AM43" s="464"/>
      <c r="AN43" s="464"/>
      <c r="AO43" s="464"/>
      <c r="AP43" s="464"/>
      <c r="AQ43" s="464"/>
      <c r="AR43" s="464"/>
      <c r="AS43" s="431"/>
      <c r="AT43" s="425"/>
      <c r="AU43" s="421"/>
      <c r="AV43" s="421"/>
      <c r="AW43" s="421"/>
      <c r="AX43" s="421"/>
      <c r="AY43" s="417"/>
      <c r="AZ43" s="422"/>
      <c r="BA43" s="422"/>
      <c r="BB43" s="389"/>
      <c r="BC43" s="390"/>
      <c r="BD43" s="392"/>
      <c r="BE43" s="444"/>
      <c r="BF43" s="444"/>
      <c r="BG43" s="444"/>
      <c r="BH43" s="444"/>
      <c r="BI43" s="444"/>
      <c r="BJ43" s="444"/>
      <c r="BK43" s="444"/>
      <c r="BL43" s="444"/>
      <c r="BM43" s="444"/>
      <c r="BN43" s="444"/>
      <c r="BO43" s="444"/>
      <c r="BP43" s="444"/>
      <c r="BQ43" s="444"/>
      <c r="BR43" s="444"/>
      <c r="BS43" s="444"/>
      <c r="BT43" s="444"/>
    </row>
    <row r="44" spans="1:72" ht="12.5" customHeight="1">
      <c r="A44" s="393"/>
      <c r="B44" s="418"/>
      <c r="C44" s="427"/>
      <c r="D44" s="465"/>
      <c r="E44" s="465"/>
      <c r="F44" s="465"/>
      <c r="G44" s="465"/>
      <c r="H44" s="465"/>
      <c r="I44" s="465"/>
      <c r="J44" s="465"/>
      <c r="K44" s="465"/>
      <c r="L44" s="465"/>
      <c r="M44" s="465"/>
      <c r="N44" s="465"/>
      <c r="O44" s="465"/>
      <c r="P44" s="465"/>
      <c r="Q44" s="465"/>
      <c r="R44" s="465"/>
      <c r="S44" s="465"/>
      <c r="T44" s="465"/>
      <c r="U44" s="465"/>
      <c r="V44" s="465"/>
      <c r="W44" s="465"/>
      <c r="X44" s="465"/>
      <c r="Y44" s="465"/>
      <c r="Z44" s="465"/>
      <c r="AA44" s="465"/>
      <c r="AB44" s="465"/>
      <c r="AC44" s="465"/>
      <c r="AD44" s="465"/>
      <c r="AE44" s="465"/>
      <c r="AF44" s="465"/>
      <c r="AG44" s="465"/>
      <c r="AH44" s="465"/>
      <c r="AI44" s="465"/>
      <c r="AJ44" s="465"/>
      <c r="AK44" s="465"/>
      <c r="AL44" s="464"/>
      <c r="AM44" s="464"/>
      <c r="AN44" s="464"/>
      <c r="AO44" s="464"/>
      <c r="AP44" s="464"/>
      <c r="AQ44" s="464"/>
      <c r="AR44" s="464"/>
      <c r="AS44" s="431"/>
      <c r="AT44" s="421"/>
      <c r="AU44" s="421"/>
      <c r="AV44" s="421"/>
      <c r="AW44" s="421"/>
      <c r="AX44" s="421"/>
      <c r="AY44" s="421"/>
      <c r="AZ44" s="422"/>
      <c r="BA44" s="422"/>
      <c r="BB44" s="405"/>
      <c r="BC44" s="406"/>
      <c r="BD44" s="391"/>
      <c r="BE44" s="444"/>
      <c r="BF44" s="444"/>
      <c r="BG44" s="447"/>
      <c r="BH44" s="444"/>
      <c r="BI44" s="444"/>
      <c r="BJ44" s="444"/>
      <c r="BK44" s="444"/>
      <c r="BL44" s="444"/>
      <c r="BM44" s="444"/>
      <c r="BN44" s="444"/>
      <c r="BO44" s="444"/>
      <c r="BP44" s="444"/>
      <c r="BQ44" s="444"/>
      <c r="BR44" s="444"/>
      <c r="BS44" s="444"/>
      <c r="BT44" s="444"/>
    </row>
    <row r="45" spans="1:72" ht="12.5" customHeight="1">
      <c r="A45" s="393"/>
      <c r="B45" s="418"/>
      <c r="C45" s="427"/>
      <c r="D45" s="465" t="s">
        <v>214</v>
      </c>
      <c r="E45" s="465"/>
      <c r="F45" s="465"/>
      <c r="G45" s="465"/>
      <c r="H45" s="465"/>
      <c r="I45" s="465"/>
      <c r="J45" s="465"/>
      <c r="K45" s="465"/>
      <c r="L45" s="465"/>
      <c r="M45" s="465"/>
      <c r="N45" s="465"/>
      <c r="O45" s="465"/>
      <c r="P45" s="465"/>
      <c r="Q45" s="465"/>
      <c r="R45" s="465"/>
      <c r="S45" s="465"/>
      <c r="T45" s="465"/>
      <c r="U45" s="465"/>
      <c r="V45" s="465"/>
      <c r="W45" s="465"/>
      <c r="X45" s="465"/>
      <c r="Y45" s="465"/>
      <c r="Z45" s="465"/>
      <c r="AA45" s="465"/>
      <c r="AB45" s="465"/>
      <c r="AC45" s="465"/>
      <c r="AD45" s="465"/>
      <c r="AE45" s="465"/>
      <c r="AF45" s="465"/>
      <c r="AG45" s="465"/>
      <c r="AH45" s="465"/>
      <c r="AI45" s="465"/>
      <c r="AJ45" s="465"/>
      <c r="AK45" s="465"/>
      <c r="AL45" s="464"/>
      <c r="AM45" s="464"/>
      <c r="AN45" s="464"/>
      <c r="AO45" s="464"/>
      <c r="AP45" s="464"/>
      <c r="AQ45" s="464"/>
      <c r="AR45" s="464"/>
      <c r="AS45" s="431"/>
      <c r="AT45" s="425"/>
      <c r="AU45" s="421"/>
      <c r="AV45" s="421"/>
      <c r="AW45" s="421"/>
      <c r="AX45" s="421"/>
      <c r="AY45" s="421"/>
      <c r="AZ45" s="422"/>
      <c r="BA45" s="422"/>
      <c r="BB45" s="405"/>
      <c r="BC45" s="406"/>
      <c r="BD45" s="391"/>
      <c r="BE45" s="444"/>
      <c r="BF45" s="444"/>
      <c r="BG45" s="447"/>
      <c r="BH45" s="444"/>
      <c r="BI45" s="444"/>
      <c r="BJ45" s="444"/>
      <c r="BK45" s="444"/>
      <c r="BL45" s="444"/>
      <c r="BM45" s="444"/>
      <c r="BN45" s="444"/>
      <c r="BO45" s="444"/>
      <c r="BP45" s="444"/>
      <c r="BQ45" s="444"/>
      <c r="BR45" s="444"/>
      <c r="BS45" s="444"/>
      <c r="BT45" s="444"/>
    </row>
    <row r="46" spans="1:72" ht="12.5" customHeight="1">
      <c r="A46" s="393"/>
      <c r="B46" s="418"/>
      <c r="C46" s="427"/>
      <c r="D46" s="465" t="s">
        <v>215</v>
      </c>
      <c r="E46" s="465"/>
      <c r="F46" s="465"/>
      <c r="G46" s="465"/>
      <c r="H46" s="465"/>
      <c r="I46" s="465"/>
      <c r="J46" s="465"/>
      <c r="K46" s="465"/>
      <c r="L46" s="465"/>
      <c r="M46" s="465"/>
      <c r="N46" s="465"/>
      <c r="O46" s="465"/>
      <c r="P46" s="465"/>
      <c r="Q46" s="465"/>
      <c r="R46" s="465"/>
      <c r="S46" s="465"/>
      <c r="T46" s="465"/>
      <c r="U46" s="465"/>
      <c r="V46" s="465"/>
      <c r="W46" s="465"/>
      <c r="X46" s="465"/>
      <c r="Y46" s="465"/>
      <c r="Z46" s="465"/>
      <c r="AA46" s="465"/>
      <c r="AB46" s="465"/>
      <c r="AC46" s="465"/>
      <c r="AD46" s="465"/>
      <c r="AE46" s="465"/>
      <c r="AF46" s="465"/>
      <c r="AG46" s="465"/>
      <c r="AH46" s="465"/>
      <c r="AI46" s="465"/>
      <c r="AJ46" s="465"/>
      <c r="AK46" s="465"/>
      <c r="AL46" s="464"/>
      <c r="AM46" s="464"/>
      <c r="AN46" s="464"/>
      <c r="AO46" s="464"/>
      <c r="AP46" s="464"/>
      <c r="AQ46" s="464"/>
      <c r="AR46" s="464"/>
      <c r="AS46" s="432"/>
      <c r="AT46" s="429"/>
      <c r="AU46" s="429"/>
      <c r="AV46" s="429"/>
      <c r="AW46" s="429"/>
      <c r="AX46" s="429"/>
      <c r="AY46" s="429"/>
      <c r="AZ46" s="422"/>
      <c r="BA46" s="422"/>
      <c r="BB46" s="405"/>
      <c r="BC46" s="406"/>
      <c r="BD46" s="391"/>
      <c r="BE46" s="444"/>
      <c r="BF46" s="444"/>
      <c r="BG46" s="447"/>
      <c r="BH46" s="444"/>
      <c r="BI46" s="444"/>
      <c r="BJ46" s="444"/>
      <c r="BK46" s="444"/>
      <c r="BL46" s="444"/>
      <c r="BM46" s="444"/>
      <c r="BN46" s="444"/>
      <c r="BO46" s="444"/>
      <c r="BP46" s="444"/>
      <c r="BQ46" s="444"/>
      <c r="BR46" s="444"/>
      <c r="BS46" s="444"/>
      <c r="BT46" s="444"/>
    </row>
    <row r="47" spans="1:72" ht="12.5" customHeight="1">
      <c r="A47" s="393"/>
      <c r="B47" s="418"/>
      <c r="C47" s="427"/>
      <c r="D47" s="465"/>
      <c r="E47" s="465"/>
      <c r="F47" s="465"/>
      <c r="G47" s="465"/>
      <c r="H47" s="465"/>
      <c r="I47" s="465"/>
      <c r="J47" s="465"/>
      <c r="K47" s="465"/>
      <c r="L47" s="465"/>
      <c r="M47" s="465"/>
      <c r="N47" s="465"/>
      <c r="O47" s="465"/>
      <c r="P47" s="465"/>
      <c r="Q47" s="465"/>
      <c r="R47" s="465"/>
      <c r="S47" s="465"/>
      <c r="T47" s="465"/>
      <c r="U47" s="465"/>
      <c r="V47" s="465"/>
      <c r="W47" s="465"/>
      <c r="X47" s="465"/>
      <c r="Y47" s="465"/>
      <c r="Z47" s="465"/>
      <c r="AA47" s="465"/>
      <c r="AB47" s="465"/>
      <c r="AC47" s="465"/>
      <c r="AD47" s="465"/>
      <c r="AE47" s="465"/>
      <c r="AF47" s="465"/>
      <c r="AG47" s="465"/>
      <c r="AH47" s="465"/>
      <c r="AI47" s="465"/>
      <c r="AJ47" s="465"/>
      <c r="AK47" s="465"/>
      <c r="AL47" s="464"/>
      <c r="AM47" s="464"/>
      <c r="AN47" s="464"/>
      <c r="AO47" s="464"/>
      <c r="AP47" s="464"/>
      <c r="AQ47" s="464"/>
      <c r="AR47" s="464"/>
      <c r="AS47" s="431"/>
      <c r="AT47" s="421"/>
      <c r="AU47" s="421"/>
      <c r="AV47" s="421"/>
      <c r="AW47" s="421"/>
      <c r="AX47" s="421"/>
      <c r="AY47" s="421"/>
      <c r="AZ47" s="422"/>
      <c r="BA47" s="422"/>
      <c r="BB47" s="405"/>
      <c r="BC47" s="406"/>
      <c r="BD47" s="391"/>
      <c r="BE47" s="444"/>
      <c r="BF47" s="444"/>
      <c r="BG47" s="447"/>
      <c r="BH47" s="444"/>
      <c r="BI47" s="444"/>
      <c r="BJ47" s="444"/>
      <c r="BK47" s="444"/>
      <c r="BL47" s="444"/>
      <c r="BM47" s="444"/>
      <c r="BN47" s="444"/>
      <c r="BO47" s="444"/>
      <c r="BP47" s="444"/>
      <c r="BQ47" s="444"/>
      <c r="BR47" s="444"/>
      <c r="BS47" s="444"/>
      <c r="BT47" s="444"/>
    </row>
    <row r="48" spans="1:72" ht="12.5" customHeight="1">
      <c r="A48" s="393"/>
      <c r="B48" s="418"/>
      <c r="C48" s="420"/>
      <c r="D48" s="420"/>
      <c r="E48" s="420"/>
      <c r="F48" s="420"/>
      <c r="G48" s="420"/>
      <c r="H48" s="420"/>
      <c r="I48" s="420"/>
      <c r="J48" s="420"/>
      <c r="K48" s="420"/>
      <c r="L48" s="420"/>
      <c r="M48" s="420"/>
      <c r="N48" s="420"/>
      <c r="O48" s="420"/>
      <c r="P48" s="420"/>
      <c r="Q48" s="420"/>
      <c r="R48" s="420"/>
      <c r="S48" s="420"/>
      <c r="T48" s="420"/>
      <c r="U48" s="420"/>
      <c r="V48" s="420"/>
      <c r="W48" s="420"/>
      <c r="X48" s="420"/>
      <c r="Y48" s="420"/>
      <c r="Z48" s="420"/>
      <c r="AA48" s="420"/>
      <c r="AB48" s="420"/>
      <c r="AC48" s="420"/>
      <c r="AD48" s="420"/>
      <c r="AE48" s="420"/>
      <c r="AF48" s="420"/>
      <c r="AG48" s="420"/>
      <c r="AH48" s="420"/>
      <c r="AI48" s="420"/>
      <c r="AJ48" s="420"/>
      <c r="AK48" s="420"/>
      <c r="AL48" s="420"/>
      <c r="AM48" s="420"/>
      <c r="AN48" s="420"/>
      <c r="AO48" s="420"/>
      <c r="AP48" s="420"/>
      <c r="AQ48" s="420"/>
      <c r="AR48" s="420"/>
      <c r="AS48" s="420"/>
      <c r="AT48" s="420"/>
      <c r="AU48" s="420"/>
      <c r="AV48" s="420"/>
      <c r="AW48" s="420"/>
      <c r="AX48" s="420"/>
      <c r="AY48" s="420"/>
      <c r="AZ48" s="422"/>
      <c r="BA48" s="422"/>
      <c r="BB48" s="405"/>
      <c r="BC48" s="406"/>
      <c r="BD48" s="391"/>
      <c r="BE48" s="444"/>
      <c r="BF48" s="444"/>
      <c r="BG48" s="447"/>
      <c r="BH48" s="444"/>
      <c r="BI48" s="444"/>
      <c r="BJ48" s="444"/>
      <c r="BK48" s="444"/>
      <c r="BL48" s="444"/>
      <c r="BM48" s="444"/>
      <c r="BN48" s="444"/>
      <c r="BO48" s="444"/>
      <c r="BP48" s="444"/>
      <c r="BQ48" s="444"/>
      <c r="BR48" s="444"/>
      <c r="BS48" s="444"/>
      <c r="BT48" s="444"/>
    </row>
    <row r="49" spans="1:72" ht="12.5" customHeight="1">
      <c r="A49" s="393"/>
      <c r="B49" s="426"/>
      <c r="C49" s="420"/>
      <c r="D49" s="420"/>
      <c r="E49" s="420"/>
      <c r="F49" s="420"/>
      <c r="G49" s="420"/>
      <c r="H49" s="420"/>
      <c r="I49" s="420"/>
      <c r="J49" s="420"/>
      <c r="K49" s="420"/>
      <c r="L49" s="420"/>
      <c r="M49" s="420"/>
      <c r="N49" s="420"/>
      <c r="O49" s="420"/>
      <c r="P49" s="420"/>
      <c r="Q49" s="420"/>
      <c r="R49" s="420"/>
      <c r="S49" s="420"/>
      <c r="T49" s="420"/>
      <c r="U49" s="420"/>
      <c r="V49" s="420"/>
      <c r="W49" s="420"/>
      <c r="X49" s="420"/>
      <c r="Y49" s="420"/>
      <c r="Z49" s="420"/>
      <c r="AA49" s="420"/>
      <c r="AB49" s="420"/>
      <c r="AC49" s="420"/>
      <c r="AD49" s="420"/>
      <c r="AE49" s="420"/>
      <c r="AF49" s="420"/>
      <c r="AG49" s="420"/>
      <c r="AH49" s="420"/>
      <c r="AI49" s="420"/>
      <c r="AJ49" s="420"/>
      <c r="AK49" s="420"/>
      <c r="AL49" s="420"/>
      <c r="AM49" s="420"/>
      <c r="AN49" s="420"/>
      <c r="AO49" s="420"/>
      <c r="AP49" s="420"/>
      <c r="AQ49" s="420"/>
      <c r="AR49" s="420"/>
      <c r="AS49" s="420"/>
      <c r="AT49" s="420"/>
      <c r="AU49" s="420"/>
      <c r="AV49" s="420"/>
      <c r="AW49" s="420"/>
      <c r="AX49" s="420"/>
      <c r="AY49" s="420"/>
      <c r="AZ49" s="422"/>
      <c r="BA49" s="422"/>
      <c r="BB49" s="389"/>
      <c r="BC49" s="390"/>
      <c r="BD49" s="391"/>
      <c r="BE49" s="444"/>
      <c r="BF49" s="444"/>
      <c r="BG49" s="444"/>
      <c r="BH49" s="444"/>
      <c r="BI49" s="444"/>
      <c r="BJ49" s="444"/>
      <c r="BK49" s="444"/>
      <c r="BL49" s="444"/>
      <c r="BM49" s="444"/>
      <c r="BN49" s="444"/>
      <c r="BO49" s="444"/>
      <c r="BP49" s="444"/>
      <c r="BQ49" s="444"/>
      <c r="BR49" s="444"/>
      <c r="BS49" s="444"/>
      <c r="BT49" s="444"/>
    </row>
    <row r="50" spans="1:72" ht="12.5" customHeight="1">
      <c r="A50" s="393"/>
      <c r="B50" s="426"/>
      <c r="C50" s="420"/>
      <c r="D50" s="420"/>
      <c r="E50" s="420"/>
      <c r="F50" s="420"/>
      <c r="G50" s="420"/>
      <c r="H50" s="420"/>
      <c r="I50" s="420"/>
      <c r="J50" s="420"/>
      <c r="K50" s="420"/>
      <c r="L50" s="420"/>
      <c r="M50" s="420"/>
      <c r="N50" s="420"/>
      <c r="O50" s="420"/>
      <c r="P50" s="420"/>
      <c r="Q50" s="420"/>
      <c r="R50" s="420"/>
      <c r="S50" s="420"/>
      <c r="T50" s="420"/>
      <c r="U50" s="420"/>
      <c r="V50" s="420"/>
      <c r="W50" s="420"/>
      <c r="X50" s="420"/>
      <c r="Y50" s="420"/>
      <c r="Z50" s="420"/>
      <c r="AA50" s="420"/>
      <c r="AB50" s="420"/>
      <c r="AC50" s="420"/>
      <c r="AD50" s="420"/>
      <c r="AE50" s="420"/>
      <c r="AF50" s="420"/>
      <c r="AG50" s="420"/>
      <c r="AH50" s="420"/>
      <c r="AI50" s="420"/>
      <c r="AJ50" s="420"/>
      <c r="AK50" s="420"/>
      <c r="AL50" s="420"/>
      <c r="AM50" s="420"/>
      <c r="AN50" s="420"/>
      <c r="AO50" s="420"/>
      <c r="AP50" s="420"/>
      <c r="AQ50" s="420"/>
      <c r="AR50" s="420"/>
      <c r="AS50" s="420"/>
      <c r="AT50" s="420"/>
      <c r="AU50" s="420"/>
      <c r="AV50" s="420"/>
      <c r="AW50" s="420"/>
      <c r="AX50" s="420"/>
      <c r="AY50" s="420"/>
      <c r="AZ50" s="422"/>
      <c r="BA50" s="422"/>
      <c r="BB50" s="389"/>
      <c r="BC50" s="390"/>
      <c r="BD50" s="391"/>
      <c r="BE50" s="444"/>
      <c r="BF50" s="444"/>
      <c r="BG50" s="444"/>
      <c r="BH50" s="444"/>
      <c r="BI50" s="444"/>
      <c r="BJ50" s="444"/>
      <c r="BK50" s="444"/>
      <c r="BL50" s="444"/>
      <c r="BM50" s="444"/>
      <c r="BN50" s="444"/>
      <c r="BO50" s="444"/>
      <c r="BP50" s="444"/>
      <c r="BQ50" s="444"/>
      <c r="BR50" s="444"/>
      <c r="BS50" s="444"/>
      <c r="BT50" s="444"/>
    </row>
    <row r="51" spans="1:72" ht="12.5" customHeight="1">
      <c r="A51" s="393"/>
      <c r="B51" s="418"/>
      <c r="C51" s="420"/>
      <c r="D51" s="420"/>
      <c r="E51" s="420"/>
      <c r="F51" s="420"/>
      <c r="G51" s="420"/>
      <c r="H51" s="420"/>
      <c r="I51" s="420"/>
      <c r="J51" s="420"/>
      <c r="K51" s="420"/>
      <c r="L51" s="420"/>
      <c r="M51" s="420"/>
      <c r="N51" s="420"/>
      <c r="O51" s="420"/>
      <c r="P51" s="420"/>
      <c r="Q51" s="420"/>
      <c r="R51" s="420"/>
      <c r="S51" s="420"/>
      <c r="T51" s="420"/>
      <c r="U51" s="420"/>
      <c r="V51" s="420"/>
      <c r="W51" s="420"/>
      <c r="X51" s="420"/>
      <c r="Y51" s="420"/>
      <c r="Z51" s="420"/>
      <c r="AA51" s="420"/>
      <c r="AB51" s="420"/>
      <c r="AC51" s="420"/>
      <c r="AD51" s="420"/>
      <c r="AE51" s="420"/>
      <c r="AF51" s="420"/>
      <c r="AG51" s="420"/>
      <c r="AH51" s="420"/>
      <c r="AI51" s="420"/>
      <c r="AJ51" s="420"/>
      <c r="AK51" s="420"/>
      <c r="AL51" s="420"/>
      <c r="AM51" s="420"/>
      <c r="AN51" s="420"/>
      <c r="AO51" s="420"/>
      <c r="AP51" s="420"/>
      <c r="AQ51" s="420"/>
      <c r="AR51" s="420"/>
      <c r="AS51" s="420"/>
      <c r="AT51" s="420"/>
      <c r="AU51" s="420"/>
      <c r="AV51" s="420"/>
      <c r="AW51" s="420"/>
      <c r="AX51" s="420"/>
      <c r="AY51" s="420"/>
      <c r="AZ51" s="422"/>
      <c r="BA51" s="422"/>
      <c r="BB51" s="405"/>
      <c r="BC51" s="406"/>
      <c r="BD51" s="391"/>
      <c r="BE51" s="444"/>
      <c r="BF51" s="444"/>
      <c r="BG51" s="447"/>
      <c r="BH51" s="444"/>
      <c r="BI51" s="444"/>
      <c r="BJ51" s="444"/>
      <c r="BK51" s="444"/>
      <c r="BL51" s="444"/>
      <c r="BM51" s="444"/>
      <c r="BN51" s="444"/>
      <c r="BO51" s="444"/>
      <c r="BP51" s="444"/>
      <c r="BQ51" s="444"/>
      <c r="BR51" s="444"/>
      <c r="BS51" s="444"/>
      <c r="BT51" s="444"/>
    </row>
    <row r="52" spans="1:72" ht="12.5" customHeight="1">
      <c r="A52" s="393"/>
      <c r="B52" s="418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  <c r="AC52" s="420"/>
      <c r="AD52" s="420"/>
      <c r="AE52" s="420"/>
      <c r="AF52" s="420"/>
      <c r="AG52" s="420"/>
      <c r="AH52" s="420"/>
      <c r="AI52" s="420"/>
      <c r="AJ52" s="420"/>
      <c r="AK52" s="420"/>
      <c r="AL52" s="420"/>
      <c r="AM52" s="420"/>
      <c r="AN52" s="420"/>
      <c r="AO52" s="420"/>
      <c r="AP52" s="420"/>
      <c r="AQ52" s="420"/>
      <c r="AR52" s="420"/>
      <c r="AS52" s="420"/>
      <c r="AT52" s="420"/>
      <c r="AU52" s="420"/>
      <c r="AV52" s="420"/>
      <c r="AW52" s="420"/>
      <c r="AX52" s="420"/>
      <c r="AY52" s="420"/>
      <c r="AZ52" s="422"/>
      <c r="BA52" s="422"/>
      <c r="BB52" s="405"/>
      <c r="BC52" s="406"/>
      <c r="BD52" s="391"/>
      <c r="BE52" s="444"/>
      <c r="BF52" s="444"/>
      <c r="BG52" s="447"/>
      <c r="BH52" s="444"/>
      <c r="BI52" s="444"/>
      <c r="BJ52" s="444"/>
      <c r="BK52" s="444"/>
      <c r="BL52" s="444"/>
      <c r="BM52" s="444"/>
      <c r="BN52" s="444"/>
      <c r="BO52" s="444"/>
      <c r="BP52" s="444"/>
      <c r="BQ52" s="444"/>
      <c r="BR52" s="444"/>
      <c r="BS52" s="444"/>
      <c r="BT52" s="444"/>
    </row>
    <row r="53" spans="1:72" ht="12.5" customHeight="1">
      <c r="A53" s="393"/>
      <c r="B53" s="426"/>
      <c r="C53" s="420"/>
      <c r="D53" s="420"/>
      <c r="E53" s="420"/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420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  <c r="AC53" s="420"/>
      <c r="AD53" s="420"/>
      <c r="AE53" s="420"/>
      <c r="AF53" s="420"/>
      <c r="AG53" s="420"/>
      <c r="AH53" s="420"/>
      <c r="AI53" s="420"/>
      <c r="AJ53" s="420"/>
      <c r="AK53" s="420"/>
      <c r="AL53" s="420"/>
      <c r="AM53" s="420"/>
      <c r="AN53" s="420"/>
      <c r="AO53" s="420"/>
      <c r="AP53" s="420"/>
      <c r="AQ53" s="420"/>
      <c r="AR53" s="420"/>
      <c r="AS53" s="420"/>
      <c r="AT53" s="420"/>
      <c r="AU53" s="420"/>
      <c r="AV53" s="420"/>
      <c r="AW53" s="420"/>
      <c r="AX53" s="420"/>
      <c r="AY53" s="420"/>
      <c r="AZ53" s="422"/>
      <c r="BA53" s="422"/>
      <c r="BB53" s="389"/>
      <c r="BC53" s="390"/>
      <c r="BD53" s="391"/>
      <c r="BE53" s="444"/>
      <c r="BF53" s="444"/>
      <c r="BG53" s="444"/>
      <c r="BH53" s="444"/>
      <c r="BI53" s="444"/>
      <c r="BJ53" s="444"/>
      <c r="BK53" s="444"/>
      <c r="BL53" s="444"/>
      <c r="BM53" s="444"/>
      <c r="BN53" s="444"/>
      <c r="BO53" s="444"/>
      <c r="BP53" s="444"/>
      <c r="BQ53" s="444"/>
      <c r="BR53" s="444"/>
      <c r="BS53" s="444"/>
      <c r="BT53" s="444"/>
    </row>
    <row r="54" spans="1:72" ht="15">
      <c r="A54" s="393"/>
      <c r="B54" s="451"/>
      <c r="C54" s="452"/>
      <c r="D54" s="452"/>
      <c r="E54" s="452"/>
      <c r="F54" s="452"/>
      <c r="G54" s="452"/>
      <c r="H54" s="452"/>
      <c r="I54" s="452"/>
      <c r="J54" s="452"/>
      <c r="K54" s="452"/>
      <c r="L54" s="452"/>
      <c r="M54" s="452"/>
      <c r="N54" s="452"/>
      <c r="O54" s="452"/>
      <c r="P54" s="452"/>
      <c r="Q54" s="452"/>
      <c r="R54" s="452"/>
      <c r="S54" s="453"/>
      <c r="T54" s="453"/>
      <c r="U54" s="453"/>
      <c r="V54" s="453"/>
      <c r="W54" s="452"/>
      <c r="X54" s="452"/>
      <c r="Y54" s="453"/>
      <c r="Z54" s="453"/>
      <c r="AA54" s="452"/>
      <c r="AB54" s="452"/>
      <c r="AC54" s="452"/>
      <c r="AD54" s="453"/>
      <c r="AE54" s="453"/>
      <c r="AF54" s="453"/>
      <c r="AG54" s="453"/>
      <c r="AH54" s="453"/>
      <c r="AI54" s="453"/>
      <c r="AJ54" s="453"/>
      <c r="AK54" s="453"/>
      <c r="AL54" s="453"/>
      <c r="AM54" s="453"/>
      <c r="AN54" s="453"/>
      <c r="AO54" s="453"/>
      <c r="AP54" s="453"/>
      <c r="AQ54" s="453"/>
      <c r="AR54" s="453"/>
      <c r="AS54" s="453"/>
      <c r="AT54" s="453"/>
      <c r="AU54" s="453"/>
      <c r="AV54" s="453"/>
      <c r="AW54" s="453"/>
      <c r="AX54" s="453"/>
      <c r="AY54" s="451"/>
      <c r="AZ54" s="451"/>
      <c r="BA54" s="422"/>
      <c r="BB54" s="454"/>
      <c r="BC54" s="455"/>
      <c r="BD54" s="407"/>
      <c r="BE54" s="444"/>
      <c r="BF54" s="444"/>
      <c r="BG54" s="444"/>
      <c r="BH54" s="444"/>
      <c r="BI54" s="444"/>
      <c r="BJ54" s="444"/>
      <c r="BK54" s="444"/>
      <c r="BL54" s="444"/>
      <c r="BM54" s="444"/>
      <c r="BN54" s="444"/>
      <c r="BO54" s="444"/>
      <c r="BP54" s="444"/>
      <c r="BQ54" s="444"/>
      <c r="BR54" s="444"/>
      <c r="BS54" s="444"/>
      <c r="BT54" s="444"/>
    </row>
    <row r="55" spans="1:72" ht="15">
      <c r="A55" s="408"/>
      <c r="B55" s="448"/>
      <c r="C55" s="449"/>
      <c r="D55" s="449"/>
      <c r="E55" s="449"/>
      <c r="F55" s="449"/>
      <c r="G55" s="449"/>
      <c r="H55" s="449"/>
      <c r="I55" s="449"/>
      <c r="J55" s="449"/>
      <c r="K55" s="449"/>
      <c r="L55" s="449"/>
      <c r="M55" s="449"/>
      <c r="N55" s="449"/>
      <c r="O55" s="449"/>
      <c r="P55" s="449"/>
      <c r="Q55" s="449"/>
      <c r="R55" s="449"/>
      <c r="S55" s="450"/>
      <c r="T55" s="450"/>
      <c r="U55" s="450"/>
      <c r="V55" s="450"/>
      <c r="W55" s="449"/>
      <c r="X55" s="449"/>
      <c r="Y55" s="450"/>
      <c r="Z55" s="450"/>
      <c r="AA55" s="449"/>
      <c r="AB55" s="449"/>
      <c r="AC55" s="449"/>
      <c r="AD55" s="450"/>
      <c r="AE55" s="450"/>
      <c r="AF55" s="450"/>
      <c r="AG55" s="450"/>
      <c r="AH55" s="450"/>
      <c r="AI55" s="450"/>
      <c r="AJ55" s="450"/>
      <c r="AK55" s="450"/>
      <c r="AL55" s="450"/>
      <c r="AM55" s="450"/>
      <c r="AN55" s="450"/>
      <c r="AO55" s="450"/>
      <c r="AP55" s="450"/>
      <c r="AQ55" s="450"/>
      <c r="AR55" s="450"/>
      <c r="AS55" s="450"/>
      <c r="AT55" s="450"/>
      <c r="AU55" s="450"/>
      <c r="AV55" s="450"/>
      <c r="AW55" s="450"/>
      <c r="AX55" s="450"/>
      <c r="AY55" s="448"/>
      <c r="AZ55" s="448"/>
      <c r="BA55" s="430"/>
      <c r="BB55" s="456"/>
      <c r="BC55" s="406"/>
      <c r="BD55" s="407"/>
      <c r="BE55" s="444"/>
      <c r="BF55" s="444"/>
      <c r="BG55" s="444"/>
      <c r="BH55" s="444"/>
      <c r="BI55" s="444"/>
      <c r="BJ55" s="444"/>
      <c r="BK55" s="444"/>
      <c r="BL55" s="444"/>
      <c r="BM55" s="444"/>
      <c r="BN55" s="444"/>
      <c r="BO55" s="444"/>
      <c r="BP55" s="444"/>
      <c r="BQ55" s="444"/>
      <c r="BR55" s="444"/>
      <c r="BS55" s="444"/>
      <c r="BT55" s="444"/>
    </row>
    <row r="56" spans="1:72" ht="15">
      <c r="A56" s="392"/>
      <c r="B56" s="392"/>
      <c r="C56" s="392"/>
      <c r="D56" s="392"/>
      <c r="E56" s="392"/>
      <c r="F56" s="392"/>
      <c r="G56" s="392"/>
      <c r="H56" s="392"/>
      <c r="I56" s="392"/>
      <c r="J56" s="392"/>
      <c r="K56" s="392"/>
      <c r="L56" s="392"/>
      <c r="M56" s="392"/>
      <c r="N56" s="392"/>
      <c r="O56" s="392"/>
      <c r="P56" s="392"/>
      <c r="Q56" s="392"/>
      <c r="R56" s="392"/>
      <c r="S56" s="409"/>
      <c r="T56" s="409"/>
      <c r="U56" s="409"/>
      <c r="V56" s="409"/>
      <c r="W56" s="392"/>
      <c r="X56" s="392"/>
      <c r="Y56" s="409"/>
      <c r="Z56" s="409"/>
      <c r="AA56" s="392"/>
      <c r="AB56" s="392"/>
      <c r="AC56" s="392"/>
      <c r="AD56" s="409"/>
      <c r="AE56" s="409"/>
      <c r="AF56" s="409"/>
      <c r="AG56" s="409"/>
      <c r="AH56" s="409"/>
      <c r="AI56" s="409"/>
      <c r="AJ56" s="409"/>
      <c r="AK56" s="409"/>
      <c r="AL56" s="409"/>
      <c r="AM56" s="409"/>
      <c r="AN56" s="409"/>
      <c r="AO56" s="409"/>
      <c r="AP56" s="409"/>
      <c r="AQ56" s="409"/>
      <c r="AR56" s="409"/>
      <c r="AS56" s="409"/>
      <c r="AT56" s="409"/>
      <c r="AU56" s="409"/>
      <c r="AV56" s="409"/>
      <c r="AW56" s="409"/>
      <c r="AX56" s="409"/>
      <c r="AY56" s="409"/>
      <c r="AZ56" s="409"/>
      <c r="BA56" s="409"/>
      <c r="BB56" s="409"/>
      <c r="BC56" s="409"/>
      <c r="BD56" s="407"/>
      <c r="BE56" s="444"/>
      <c r="BF56" s="444"/>
      <c r="BG56" s="444"/>
      <c r="BH56" s="444"/>
      <c r="BI56" s="444"/>
      <c r="BJ56" s="444"/>
      <c r="BK56" s="444"/>
      <c r="BL56" s="444"/>
      <c r="BM56" s="444"/>
      <c r="BN56" s="444"/>
      <c r="BO56" s="444"/>
      <c r="BP56" s="444"/>
      <c r="BQ56" s="444"/>
      <c r="BR56" s="444"/>
      <c r="BS56" s="444"/>
      <c r="BT56" s="444"/>
    </row>
    <row r="57" spans="1:72" ht="15">
      <c r="A57" s="392"/>
      <c r="B57" s="392"/>
      <c r="C57" s="392"/>
      <c r="D57" s="392"/>
      <c r="E57" s="392"/>
      <c r="F57" s="392"/>
      <c r="G57" s="392"/>
      <c r="H57" s="392"/>
      <c r="I57" s="392"/>
      <c r="J57" s="392"/>
      <c r="K57" s="392"/>
      <c r="L57" s="392"/>
      <c r="M57" s="392"/>
      <c r="N57" s="392"/>
      <c r="O57" s="392"/>
      <c r="P57" s="392"/>
      <c r="Q57" s="392"/>
      <c r="R57" s="392"/>
      <c r="S57" s="409"/>
      <c r="T57" s="409"/>
      <c r="U57" s="409"/>
      <c r="V57" s="409"/>
      <c r="W57" s="392"/>
      <c r="X57" s="392"/>
      <c r="Y57" s="409"/>
      <c r="Z57" s="409"/>
      <c r="AA57" s="392"/>
      <c r="AB57" s="392"/>
      <c r="AC57" s="392"/>
      <c r="AD57" s="409"/>
      <c r="AE57" s="409"/>
      <c r="AF57" s="409"/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409"/>
      <c r="AS57" s="409"/>
      <c r="AT57" s="409"/>
      <c r="AU57" s="409"/>
      <c r="AV57" s="409"/>
      <c r="AW57" s="409"/>
      <c r="AX57" s="409"/>
      <c r="AY57" s="409"/>
      <c r="AZ57" s="409"/>
      <c r="BA57" s="409"/>
      <c r="BB57" s="409"/>
      <c r="BC57" s="409"/>
      <c r="BD57" s="407"/>
      <c r="BE57" s="444"/>
      <c r="BF57" s="444"/>
      <c r="BG57" s="444"/>
      <c r="BH57" s="444"/>
      <c r="BI57" s="444"/>
      <c r="BJ57" s="444"/>
      <c r="BK57" s="444"/>
      <c r="BL57" s="444"/>
      <c r="BM57" s="444"/>
      <c r="BN57" s="444"/>
      <c r="BO57" s="444"/>
      <c r="BP57" s="444"/>
      <c r="BQ57" s="444"/>
      <c r="BR57" s="444"/>
      <c r="BS57" s="444"/>
      <c r="BT57" s="444"/>
    </row>
    <row r="58" spans="1:72" ht="15">
      <c r="A58" s="392"/>
      <c r="B58" s="392"/>
      <c r="C58" s="392"/>
      <c r="D58" s="392"/>
      <c r="E58" s="392"/>
      <c r="F58" s="392"/>
      <c r="G58" s="392"/>
      <c r="H58" s="392"/>
      <c r="I58" s="392"/>
      <c r="J58" s="392"/>
      <c r="K58" s="392"/>
      <c r="L58" s="392"/>
      <c r="M58" s="392"/>
      <c r="N58" s="392"/>
      <c r="O58" s="392"/>
      <c r="P58" s="392"/>
      <c r="Q58" s="392"/>
      <c r="R58" s="392"/>
      <c r="S58" s="409"/>
      <c r="T58" s="409"/>
      <c r="U58" s="409"/>
      <c r="V58" s="409"/>
      <c r="W58" s="392"/>
      <c r="X58" s="392"/>
      <c r="Y58" s="409"/>
      <c r="Z58" s="409"/>
      <c r="AA58" s="392"/>
      <c r="AB58" s="392"/>
      <c r="AC58" s="392"/>
      <c r="AD58" s="409"/>
      <c r="AE58" s="409"/>
      <c r="AF58" s="409"/>
      <c r="AG58" s="409"/>
      <c r="AH58" s="409"/>
      <c r="AI58" s="409"/>
      <c r="AJ58" s="409"/>
      <c r="AK58" s="409"/>
      <c r="AL58" s="409"/>
      <c r="AM58" s="409"/>
      <c r="AN58" s="409"/>
      <c r="AO58" s="409"/>
      <c r="AP58" s="409"/>
      <c r="AQ58" s="409"/>
      <c r="AR58" s="409"/>
      <c r="AS58" s="409"/>
      <c r="AT58" s="409"/>
      <c r="AU58" s="409"/>
      <c r="AV58" s="409"/>
      <c r="AW58" s="409"/>
      <c r="AX58" s="409"/>
      <c r="AY58" s="409"/>
      <c r="AZ58" s="409"/>
      <c r="BA58" s="409"/>
      <c r="BB58" s="409"/>
      <c r="BC58" s="409"/>
      <c r="BD58" s="407"/>
      <c r="BE58" s="444"/>
      <c r="BF58" s="444"/>
      <c r="BG58" s="444"/>
      <c r="BH58" s="444"/>
      <c r="BI58" s="444"/>
      <c r="BJ58" s="444"/>
      <c r="BK58" s="444"/>
      <c r="BL58" s="444"/>
      <c r="BM58" s="444"/>
      <c r="BN58" s="444"/>
      <c r="BO58" s="444"/>
      <c r="BP58" s="444"/>
      <c r="BQ58" s="444"/>
      <c r="BR58" s="444"/>
      <c r="BS58" s="444"/>
      <c r="BT58" s="444"/>
    </row>
    <row r="59" spans="1:72" ht="15">
      <c r="A59" s="392"/>
      <c r="B59" s="392"/>
      <c r="C59" s="392"/>
      <c r="D59" s="392"/>
      <c r="E59" s="392"/>
      <c r="F59" s="392"/>
      <c r="G59" s="392"/>
      <c r="H59" s="392"/>
      <c r="I59" s="392"/>
      <c r="J59" s="392"/>
      <c r="K59" s="392"/>
      <c r="L59" s="392"/>
      <c r="M59" s="392"/>
      <c r="N59" s="392"/>
      <c r="O59" s="392"/>
      <c r="P59" s="392"/>
      <c r="Q59" s="392"/>
      <c r="R59" s="392"/>
      <c r="S59" s="409"/>
      <c r="T59" s="409"/>
      <c r="U59" s="409"/>
      <c r="V59" s="409"/>
      <c r="W59" s="392"/>
      <c r="X59" s="392"/>
      <c r="Y59" s="409"/>
      <c r="Z59" s="409"/>
      <c r="AA59" s="392"/>
      <c r="AB59" s="392"/>
      <c r="AC59" s="392"/>
      <c r="AD59" s="409"/>
      <c r="AE59" s="409"/>
      <c r="AF59" s="409"/>
      <c r="AG59" s="409"/>
      <c r="AH59" s="409"/>
      <c r="AI59" s="409"/>
      <c r="AJ59" s="409"/>
      <c r="AK59" s="409"/>
      <c r="AL59" s="409"/>
      <c r="AM59" s="409"/>
      <c r="AN59" s="409"/>
      <c r="AO59" s="409"/>
      <c r="AP59" s="409"/>
      <c r="AQ59" s="409"/>
      <c r="AR59" s="409"/>
      <c r="AS59" s="409"/>
      <c r="AT59" s="409"/>
      <c r="AU59" s="409"/>
      <c r="AV59" s="409"/>
      <c r="AW59" s="409"/>
      <c r="AX59" s="409"/>
      <c r="AY59" s="409"/>
      <c r="AZ59" s="409"/>
      <c r="BA59" s="409"/>
      <c r="BB59" s="409"/>
      <c r="BC59" s="409"/>
      <c r="BD59" s="407"/>
      <c r="BE59" s="444"/>
      <c r="BF59" s="444"/>
      <c r="BG59" s="444"/>
      <c r="BH59" s="444"/>
      <c r="BI59" s="444"/>
      <c r="BJ59" s="444"/>
      <c r="BK59" s="444"/>
      <c r="BL59" s="444"/>
      <c r="BM59" s="444"/>
      <c r="BN59" s="444"/>
      <c r="BO59" s="444"/>
      <c r="BP59" s="444"/>
      <c r="BQ59" s="444"/>
      <c r="BR59" s="444"/>
      <c r="BS59" s="444"/>
      <c r="BT59" s="444"/>
    </row>
    <row r="60" spans="1:72" ht="15">
      <c r="A60" s="392"/>
      <c r="B60" s="392"/>
      <c r="C60" s="392"/>
      <c r="D60" s="392"/>
      <c r="E60" s="392"/>
      <c r="F60" s="392"/>
      <c r="G60" s="392"/>
      <c r="H60" s="392"/>
      <c r="I60" s="392"/>
      <c r="J60" s="392"/>
      <c r="K60" s="392"/>
      <c r="L60" s="392"/>
      <c r="M60" s="392"/>
      <c r="N60" s="392"/>
      <c r="O60" s="392"/>
      <c r="P60" s="392"/>
      <c r="Q60" s="392"/>
      <c r="R60" s="392"/>
      <c r="S60" s="409"/>
      <c r="T60" s="409"/>
      <c r="U60" s="409"/>
      <c r="V60" s="409"/>
      <c r="W60" s="392"/>
      <c r="X60" s="392"/>
      <c r="Y60" s="409"/>
      <c r="Z60" s="409"/>
      <c r="AA60" s="392"/>
      <c r="AB60" s="392"/>
      <c r="AC60" s="392"/>
      <c r="AD60" s="409"/>
      <c r="AE60" s="409"/>
      <c r="AF60" s="409"/>
      <c r="AG60" s="409"/>
      <c r="AH60" s="409"/>
      <c r="AI60" s="409"/>
      <c r="AJ60" s="409"/>
      <c r="AK60" s="409"/>
      <c r="AL60" s="409"/>
      <c r="AM60" s="409"/>
      <c r="AN60" s="409"/>
      <c r="AO60" s="409"/>
      <c r="AP60" s="409"/>
      <c r="AQ60" s="409"/>
      <c r="AR60" s="409"/>
      <c r="AS60" s="409"/>
      <c r="AT60" s="409"/>
      <c r="AU60" s="409"/>
      <c r="AV60" s="409"/>
      <c r="AW60" s="409"/>
      <c r="AX60" s="409"/>
      <c r="AY60" s="409"/>
      <c r="AZ60" s="409"/>
      <c r="BA60" s="409"/>
      <c r="BB60" s="409"/>
      <c r="BC60" s="409"/>
      <c r="BD60" s="407"/>
      <c r="BE60" s="444"/>
      <c r="BF60" s="444"/>
      <c r="BG60" s="444"/>
      <c r="BH60" s="444"/>
      <c r="BI60" s="444"/>
      <c r="BJ60" s="444"/>
      <c r="BK60" s="444"/>
      <c r="BL60" s="444"/>
      <c r="BM60" s="444"/>
      <c r="BN60" s="444"/>
      <c r="BO60" s="444"/>
      <c r="BP60" s="444"/>
      <c r="BQ60" s="444"/>
      <c r="BR60" s="444"/>
      <c r="BS60" s="444"/>
      <c r="BT60" s="444"/>
    </row>
    <row r="61" spans="1:72" ht="15">
      <c r="A61" s="392"/>
      <c r="B61" s="392"/>
      <c r="C61" s="392"/>
      <c r="D61" s="392"/>
      <c r="E61" s="392"/>
      <c r="F61" s="392"/>
      <c r="G61" s="392"/>
      <c r="H61" s="392"/>
      <c r="I61" s="392"/>
      <c r="J61" s="392"/>
      <c r="K61" s="392"/>
      <c r="L61" s="392"/>
      <c r="M61" s="392"/>
      <c r="N61" s="392"/>
      <c r="O61" s="392"/>
      <c r="P61" s="392"/>
      <c r="Q61" s="392"/>
      <c r="R61" s="392"/>
      <c r="S61" s="409"/>
      <c r="T61" s="409"/>
      <c r="U61" s="409"/>
      <c r="V61" s="409"/>
      <c r="W61" s="392"/>
      <c r="X61" s="392"/>
      <c r="Y61" s="409"/>
      <c r="Z61" s="409"/>
      <c r="AA61" s="392"/>
      <c r="AB61" s="392"/>
      <c r="AC61" s="392"/>
      <c r="AD61" s="409"/>
      <c r="AE61" s="409"/>
      <c r="AF61" s="409"/>
      <c r="AG61" s="409"/>
      <c r="AH61" s="409"/>
      <c r="AI61" s="409"/>
      <c r="AJ61" s="409"/>
      <c r="AK61" s="409"/>
      <c r="AL61" s="409"/>
      <c r="AM61" s="409"/>
      <c r="AN61" s="409"/>
      <c r="AO61" s="409"/>
      <c r="AP61" s="409"/>
      <c r="AQ61" s="409"/>
      <c r="AR61" s="409"/>
      <c r="AS61" s="409"/>
      <c r="AT61" s="409"/>
      <c r="AU61" s="409"/>
      <c r="AV61" s="409"/>
      <c r="AW61" s="409"/>
      <c r="AX61" s="409"/>
      <c r="AY61" s="409"/>
      <c r="AZ61" s="409"/>
      <c r="BA61" s="409"/>
      <c r="BB61" s="409"/>
      <c r="BC61" s="409"/>
      <c r="BD61" s="407"/>
      <c r="BE61" s="444"/>
      <c r="BF61" s="444"/>
      <c r="BG61" s="444"/>
      <c r="BH61" s="444"/>
      <c r="BI61" s="444"/>
      <c r="BJ61" s="444"/>
      <c r="BK61" s="444"/>
      <c r="BL61" s="444"/>
      <c r="BM61" s="444"/>
      <c r="BN61" s="444"/>
      <c r="BO61" s="444"/>
      <c r="BP61" s="444"/>
      <c r="BQ61" s="444"/>
      <c r="BR61" s="444"/>
      <c r="BS61" s="444"/>
      <c r="BT61" s="444"/>
    </row>
    <row r="62" spans="1:72" ht="15">
      <c r="A62" s="392"/>
      <c r="B62" s="392"/>
      <c r="C62" s="392"/>
      <c r="D62" s="392"/>
      <c r="E62" s="392"/>
      <c r="F62" s="392"/>
      <c r="G62" s="392"/>
      <c r="H62" s="392"/>
      <c r="I62" s="392"/>
      <c r="J62" s="392"/>
      <c r="K62" s="392"/>
      <c r="L62" s="392"/>
      <c r="M62" s="392"/>
      <c r="N62" s="392"/>
      <c r="O62" s="392"/>
      <c r="P62" s="392"/>
      <c r="Q62" s="392"/>
      <c r="R62" s="392"/>
      <c r="S62" s="409"/>
      <c r="T62" s="409"/>
      <c r="U62" s="409"/>
      <c r="V62" s="409"/>
      <c r="W62" s="392"/>
      <c r="X62" s="392"/>
      <c r="Y62" s="409"/>
      <c r="Z62" s="409"/>
      <c r="AA62" s="392"/>
      <c r="AB62" s="392"/>
      <c r="AC62" s="392"/>
      <c r="AD62" s="409"/>
      <c r="AE62" s="409"/>
      <c r="AF62" s="409"/>
      <c r="AG62" s="409"/>
      <c r="AH62" s="409"/>
      <c r="AI62" s="409"/>
      <c r="AJ62" s="409"/>
      <c r="AK62" s="409"/>
      <c r="AL62" s="409"/>
      <c r="AM62" s="409"/>
      <c r="AN62" s="409"/>
      <c r="AO62" s="409"/>
      <c r="AP62" s="409"/>
      <c r="AQ62" s="409"/>
      <c r="AR62" s="409"/>
      <c r="AS62" s="409"/>
      <c r="AT62" s="409"/>
      <c r="AU62" s="409"/>
      <c r="AV62" s="409"/>
      <c r="AW62" s="409"/>
      <c r="AX62" s="409"/>
      <c r="AY62" s="409"/>
      <c r="AZ62" s="409"/>
      <c r="BA62" s="409"/>
      <c r="BB62" s="409"/>
      <c r="BC62" s="409"/>
      <c r="BD62" s="407"/>
      <c r="BE62" s="444"/>
      <c r="BF62" s="444"/>
      <c r="BG62" s="444"/>
      <c r="BH62" s="444"/>
      <c r="BI62" s="444"/>
      <c r="BJ62" s="444"/>
      <c r="BK62" s="444"/>
      <c r="BL62" s="444"/>
      <c r="BM62" s="444"/>
      <c r="BN62" s="444"/>
      <c r="BO62" s="444"/>
      <c r="BP62" s="444"/>
      <c r="BQ62" s="444"/>
      <c r="BR62" s="444"/>
      <c r="BS62" s="444"/>
      <c r="BT62" s="444"/>
    </row>
    <row r="63" spans="1:72" ht="15">
      <c r="A63" s="392"/>
      <c r="B63" s="392"/>
      <c r="C63" s="392"/>
      <c r="D63" s="392"/>
      <c r="E63" s="392"/>
      <c r="F63" s="392"/>
      <c r="G63" s="392"/>
      <c r="H63" s="392"/>
      <c r="I63" s="392"/>
      <c r="J63" s="392"/>
      <c r="K63" s="392"/>
      <c r="L63" s="392"/>
      <c r="M63" s="392"/>
      <c r="N63" s="392"/>
      <c r="O63" s="392"/>
      <c r="P63" s="392"/>
      <c r="Q63" s="392"/>
      <c r="R63" s="392"/>
      <c r="S63" s="409"/>
      <c r="T63" s="409"/>
      <c r="U63" s="409"/>
      <c r="V63" s="409"/>
      <c r="W63" s="392"/>
      <c r="X63" s="392"/>
      <c r="Y63" s="409"/>
      <c r="Z63" s="409"/>
      <c r="AA63" s="392"/>
      <c r="AB63" s="392"/>
      <c r="AC63" s="392"/>
      <c r="AD63" s="409"/>
      <c r="AE63" s="409"/>
      <c r="AF63" s="409"/>
      <c r="AG63" s="409"/>
      <c r="AH63" s="409"/>
      <c r="AI63" s="409"/>
      <c r="AJ63" s="409"/>
      <c r="AK63" s="409"/>
      <c r="AL63" s="409"/>
      <c r="AM63" s="409"/>
      <c r="AN63" s="409"/>
      <c r="AO63" s="409"/>
      <c r="AP63" s="409"/>
      <c r="AQ63" s="409"/>
      <c r="AR63" s="409"/>
      <c r="AS63" s="409"/>
      <c r="AT63" s="409"/>
      <c r="AU63" s="409"/>
      <c r="AV63" s="409"/>
      <c r="AW63" s="409"/>
      <c r="AX63" s="409"/>
      <c r="AY63" s="409"/>
      <c r="AZ63" s="409"/>
      <c r="BA63" s="409"/>
      <c r="BB63" s="409"/>
      <c r="BC63" s="409"/>
      <c r="BD63" s="407"/>
      <c r="BE63" s="444"/>
      <c r="BF63" s="444"/>
      <c r="BG63" s="444"/>
      <c r="BH63" s="444"/>
      <c r="BI63" s="444"/>
      <c r="BJ63" s="444"/>
      <c r="BK63" s="444"/>
      <c r="BL63" s="444"/>
      <c r="BM63" s="444"/>
      <c r="BN63" s="444"/>
      <c r="BO63" s="444"/>
      <c r="BP63" s="444"/>
      <c r="BQ63" s="444"/>
      <c r="BR63" s="444"/>
      <c r="BS63" s="444"/>
      <c r="BT63" s="444"/>
    </row>
    <row r="64" spans="1:72" ht="15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409"/>
      <c r="T64" s="409"/>
      <c r="U64" s="409"/>
      <c r="V64" s="409"/>
      <c r="W64" s="392"/>
      <c r="X64" s="392"/>
      <c r="Y64" s="409"/>
      <c r="Z64" s="409"/>
      <c r="AA64" s="392"/>
      <c r="AB64" s="392"/>
      <c r="AC64" s="392"/>
      <c r="AD64" s="409"/>
      <c r="AE64" s="409"/>
      <c r="AF64" s="409"/>
      <c r="AG64" s="409"/>
      <c r="AH64" s="409"/>
      <c r="AI64" s="409"/>
      <c r="AJ64" s="409"/>
      <c r="AK64" s="409"/>
      <c r="AL64" s="409"/>
      <c r="AM64" s="409"/>
      <c r="AN64" s="409"/>
      <c r="AO64" s="409"/>
      <c r="AP64" s="409"/>
      <c r="AQ64" s="409"/>
      <c r="AR64" s="409"/>
      <c r="AS64" s="409"/>
      <c r="AT64" s="409"/>
      <c r="AU64" s="409"/>
      <c r="AV64" s="409"/>
      <c r="AW64" s="409"/>
      <c r="AX64" s="409"/>
      <c r="AY64" s="409"/>
      <c r="AZ64" s="409"/>
      <c r="BA64" s="409"/>
      <c r="BB64" s="409"/>
      <c r="BC64" s="409"/>
      <c r="BD64" s="407"/>
      <c r="BE64" s="444"/>
      <c r="BF64" s="444"/>
      <c r="BG64" s="444"/>
      <c r="BH64" s="444"/>
      <c r="BI64" s="444"/>
      <c r="BJ64" s="444"/>
      <c r="BK64" s="444"/>
      <c r="BL64" s="444"/>
      <c r="BM64" s="444"/>
      <c r="BN64" s="444"/>
      <c r="BO64" s="444"/>
      <c r="BP64" s="444"/>
      <c r="BQ64" s="444"/>
      <c r="BR64" s="444"/>
      <c r="BS64" s="444"/>
      <c r="BT64" s="444"/>
    </row>
    <row r="65" spans="1:72" ht="15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409"/>
      <c r="T65" s="409"/>
      <c r="U65" s="409"/>
      <c r="V65" s="409"/>
      <c r="W65" s="392"/>
      <c r="X65" s="392"/>
      <c r="Y65" s="409"/>
      <c r="Z65" s="409"/>
      <c r="AA65" s="392"/>
      <c r="AB65" s="392"/>
      <c r="AC65" s="392"/>
      <c r="AD65" s="409"/>
      <c r="AE65" s="409"/>
      <c r="AF65" s="409"/>
      <c r="AG65" s="409"/>
      <c r="AH65" s="409"/>
      <c r="AI65" s="409"/>
      <c r="AJ65" s="409"/>
      <c r="AK65" s="409"/>
      <c r="AL65" s="409"/>
      <c r="AM65" s="409"/>
      <c r="AN65" s="409"/>
      <c r="AO65" s="409"/>
      <c r="AP65" s="409"/>
      <c r="AQ65" s="409"/>
      <c r="AR65" s="409"/>
      <c r="AS65" s="409"/>
      <c r="AT65" s="409"/>
      <c r="AU65" s="409"/>
      <c r="AV65" s="409"/>
      <c r="AW65" s="409"/>
      <c r="AX65" s="409"/>
      <c r="AY65" s="409"/>
      <c r="AZ65" s="409"/>
      <c r="BA65" s="409"/>
      <c r="BB65" s="409"/>
      <c r="BC65" s="409"/>
      <c r="BD65" s="407"/>
      <c r="BE65" s="444"/>
      <c r="BF65" s="444"/>
      <c r="BG65" s="444"/>
      <c r="BH65" s="444"/>
      <c r="BI65" s="444"/>
      <c r="BJ65" s="444"/>
      <c r="BK65" s="444"/>
      <c r="BL65" s="444"/>
      <c r="BM65" s="444"/>
      <c r="BN65" s="444"/>
      <c r="BO65" s="444"/>
      <c r="BP65" s="444"/>
      <c r="BQ65" s="444"/>
      <c r="BR65" s="444"/>
      <c r="BS65" s="444"/>
      <c r="BT65" s="444"/>
    </row>
    <row r="66" spans="1:72" ht="15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409"/>
      <c r="T66" s="409"/>
      <c r="U66" s="409"/>
      <c r="V66" s="409"/>
      <c r="W66" s="392"/>
      <c r="X66" s="392"/>
      <c r="Y66" s="409"/>
      <c r="Z66" s="409"/>
      <c r="AA66" s="392"/>
      <c r="AB66" s="392"/>
      <c r="AC66" s="392"/>
      <c r="AD66" s="409"/>
      <c r="AE66" s="409"/>
      <c r="AF66" s="409"/>
      <c r="AG66" s="409"/>
      <c r="AH66" s="409"/>
      <c r="AI66" s="409"/>
      <c r="AJ66" s="409"/>
      <c r="AK66" s="409"/>
      <c r="AL66" s="409"/>
      <c r="AM66" s="409"/>
      <c r="AN66" s="409"/>
      <c r="AO66" s="409"/>
      <c r="AP66" s="409"/>
      <c r="AQ66" s="409"/>
      <c r="AR66" s="409"/>
      <c r="AS66" s="409"/>
      <c r="AT66" s="409"/>
      <c r="AU66" s="409"/>
      <c r="AV66" s="409"/>
      <c r="AW66" s="409"/>
      <c r="AX66" s="409"/>
      <c r="AY66" s="409"/>
      <c r="AZ66" s="409"/>
      <c r="BA66" s="409"/>
      <c r="BB66" s="409"/>
      <c r="BC66" s="409"/>
      <c r="BD66" s="407"/>
      <c r="BE66" s="444"/>
      <c r="BF66" s="444"/>
      <c r="BG66" s="444"/>
      <c r="BH66" s="444"/>
      <c r="BI66" s="444"/>
      <c r="BJ66" s="444"/>
      <c r="BK66" s="444"/>
      <c r="BL66" s="444"/>
      <c r="BM66" s="444"/>
      <c r="BN66" s="444"/>
      <c r="BO66" s="444"/>
      <c r="BP66" s="444"/>
      <c r="BQ66" s="444"/>
      <c r="BR66" s="444"/>
      <c r="BS66" s="444"/>
      <c r="BT66" s="444"/>
    </row>
    <row r="67" spans="1:72" ht="15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409"/>
      <c r="T67" s="409"/>
      <c r="U67" s="409"/>
      <c r="V67" s="409"/>
      <c r="W67" s="392"/>
      <c r="X67" s="392"/>
      <c r="Y67" s="409"/>
      <c r="Z67" s="409"/>
      <c r="AA67" s="392"/>
      <c r="AB67" s="392"/>
      <c r="AC67" s="392"/>
      <c r="AD67" s="409"/>
      <c r="AE67" s="409"/>
      <c r="AF67" s="409"/>
      <c r="AG67" s="409"/>
      <c r="AH67" s="409"/>
      <c r="AI67" s="409"/>
      <c r="AJ67" s="409"/>
      <c r="AK67" s="409"/>
      <c r="AL67" s="409"/>
      <c r="AM67" s="409"/>
      <c r="AN67" s="409"/>
      <c r="AO67" s="409"/>
      <c r="AP67" s="409"/>
      <c r="AQ67" s="409"/>
      <c r="AR67" s="409"/>
      <c r="AS67" s="409"/>
      <c r="AT67" s="409"/>
      <c r="AU67" s="409"/>
      <c r="AV67" s="409"/>
      <c r="AW67" s="409"/>
      <c r="AX67" s="409"/>
      <c r="AY67" s="409"/>
      <c r="AZ67" s="409"/>
      <c r="BA67" s="409"/>
      <c r="BB67" s="409"/>
      <c r="BC67" s="409"/>
      <c r="BD67" s="407"/>
      <c r="BE67" s="444"/>
      <c r="BF67" s="444"/>
      <c r="BG67" s="444"/>
      <c r="BH67" s="444"/>
      <c r="BI67" s="444"/>
      <c r="BJ67" s="444"/>
      <c r="BK67" s="444"/>
      <c r="BL67" s="444"/>
      <c r="BM67" s="444"/>
      <c r="BN67" s="444"/>
      <c r="BO67" s="444"/>
      <c r="BP67" s="444"/>
      <c r="BQ67" s="444"/>
      <c r="BR67" s="444"/>
      <c r="BS67" s="444"/>
      <c r="BT67" s="444"/>
    </row>
    <row r="68" spans="1:72" ht="15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409"/>
      <c r="T68" s="409"/>
      <c r="U68" s="409"/>
      <c r="V68" s="409"/>
      <c r="W68" s="392"/>
      <c r="X68" s="392"/>
      <c r="Y68" s="409"/>
      <c r="Z68" s="409"/>
      <c r="AA68" s="392"/>
      <c r="AB68" s="392"/>
      <c r="AC68" s="392"/>
      <c r="AD68" s="409"/>
      <c r="AE68" s="409"/>
      <c r="AF68" s="409"/>
      <c r="AG68" s="409"/>
      <c r="AH68" s="409"/>
      <c r="AI68" s="409"/>
      <c r="AJ68" s="409"/>
      <c r="AK68" s="409"/>
      <c r="AL68" s="409"/>
      <c r="AM68" s="409"/>
      <c r="AN68" s="409"/>
      <c r="AO68" s="409"/>
      <c r="AP68" s="409"/>
      <c r="AQ68" s="409"/>
      <c r="AR68" s="409"/>
      <c r="AS68" s="409"/>
      <c r="AT68" s="409"/>
      <c r="AU68" s="409"/>
      <c r="AV68" s="409"/>
      <c r="AW68" s="409"/>
      <c r="AX68" s="409"/>
      <c r="AY68" s="409"/>
      <c r="AZ68" s="409"/>
      <c r="BA68" s="409"/>
      <c r="BB68" s="409"/>
      <c r="BC68" s="409"/>
      <c r="BD68" s="407"/>
      <c r="BE68" s="444"/>
      <c r="BF68" s="444"/>
      <c r="BG68" s="444"/>
      <c r="BH68" s="444"/>
      <c r="BI68" s="444"/>
      <c r="BJ68" s="444"/>
      <c r="BK68" s="444"/>
      <c r="BL68" s="444"/>
      <c r="BM68" s="444"/>
      <c r="BN68" s="444"/>
      <c r="BO68" s="444"/>
      <c r="BP68" s="444"/>
      <c r="BQ68" s="444"/>
      <c r="BR68" s="444"/>
      <c r="BS68" s="444"/>
      <c r="BT68" s="444"/>
    </row>
    <row r="69" spans="1:72" ht="15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409"/>
      <c r="T69" s="409"/>
      <c r="U69" s="409"/>
      <c r="V69" s="409"/>
      <c r="W69" s="392"/>
      <c r="X69" s="392"/>
      <c r="Y69" s="409"/>
      <c r="Z69" s="409"/>
      <c r="AA69" s="392"/>
      <c r="AB69" s="392"/>
      <c r="AC69" s="392"/>
      <c r="AD69" s="409"/>
      <c r="AE69" s="409"/>
      <c r="AF69" s="409"/>
      <c r="AG69" s="409"/>
      <c r="AH69" s="409"/>
      <c r="AI69" s="409"/>
      <c r="AJ69" s="409"/>
      <c r="AK69" s="409"/>
      <c r="AL69" s="409"/>
      <c r="AM69" s="409"/>
      <c r="AN69" s="409"/>
      <c r="AO69" s="409"/>
      <c r="AP69" s="409"/>
      <c r="AQ69" s="409"/>
      <c r="AR69" s="409"/>
      <c r="AS69" s="409"/>
      <c r="AT69" s="409"/>
      <c r="AU69" s="409"/>
      <c r="AV69" s="409"/>
      <c r="AW69" s="409"/>
      <c r="AX69" s="409"/>
      <c r="AY69" s="409"/>
      <c r="AZ69" s="409"/>
      <c r="BA69" s="409"/>
      <c r="BB69" s="409"/>
      <c r="BC69" s="409"/>
      <c r="BD69" s="407"/>
      <c r="BE69" s="444"/>
      <c r="BF69" s="444"/>
      <c r="BG69" s="444"/>
      <c r="BH69" s="444"/>
      <c r="BI69" s="444"/>
      <c r="BJ69" s="444"/>
      <c r="BK69" s="444"/>
      <c r="BL69" s="444"/>
      <c r="BM69" s="444"/>
      <c r="BN69" s="444"/>
      <c r="BO69" s="444"/>
      <c r="BP69" s="444"/>
      <c r="BQ69" s="444"/>
      <c r="BR69" s="444"/>
      <c r="BS69" s="444"/>
      <c r="BT69" s="444"/>
    </row>
    <row r="70" spans="1:72" ht="15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409"/>
      <c r="T70" s="409"/>
      <c r="U70" s="409"/>
      <c r="V70" s="409"/>
      <c r="W70" s="392"/>
      <c r="X70" s="392"/>
      <c r="Y70" s="409"/>
      <c r="Z70" s="409"/>
      <c r="AA70" s="392"/>
      <c r="AB70" s="392"/>
      <c r="AC70" s="392"/>
      <c r="AD70" s="409"/>
      <c r="AE70" s="409"/>
      <c r="AF70" s="409"/>
      <c r="AG70" s="409"/>
      <c r="AH70" s="409"/>
      <c r="AI70" s="409"/>
      <c r="AJ70" s="409"/>
      <c r="AK70" s="409"/>
      <c r="AL70" s="409"/>
      <c r="AM70" s="409"/>
      <c r="AN70" s="409"/>
      <c r="AO70" s="409"/>
      <c r="AP70" s="409"/>
      <c r="AQ70" s="409"/>
      <c r="AR70" s="409"/>
      <c r="AS70" s="409"/>
      <c r="AT70" s="409"/>
      <c r="AU70" s="409"/>
      <c r="AV70" s="409"/>
      <c r="AW70" s="409"/>
      <c r="AX70" s="409"/>
      <c r="AY70" s="409"/>
      <c r="AZ70" s="409"/>
      <c r="BA70" s="409"/>
      <c r="BB70" s="409"/>
      <c r="BC70" s="409"/>
      <c r="BD70" s="407"/>
      <c r="BE70" s="444"/>
      <c r="BF70" s="444"/>
      <c r="BG70" s="444"/>
      <c r="BH70" s="444"/>
      <c r="BI70" s="444"/>
      <c r="BJ70" s="444"/>
      <c r="BK70" s="444"/>
      <c r="BL70" s="444"/>
      <c r="BM70" s="444"/>
      <c r="BN70" s="444"/>
      <c r="BO70" s="444"/>
      <c r="BP70" s="444"/>
      <c r="BQ70" s="444"/>
      <c r="BR70" s="444"/>
      <c r="BS70" s="444"/>
      <c r="BT70" s="444"/>
    </row>
    <row r="71" spans="1:72" ht="15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409"/>
      <c r="T71" s="409"/>
      <c r="U71" s="409"/>
      <c r="V71" s="409"/>
      <c r="W71" s="392"/>
      <c r="X71" s="392"/>
      <c r="Y71" s="409"/>
      <c r="Z71" s="409"/>
      <c r="AA71" s="392"/>
      <c r="AB71" s="392"/>
      <c r="AC71" s="392"/>
      <c r="AD71" s="409"/>
      <c r="AE71" s="409"/>
      <c r="AF71" s="409"/>
      <c r="AG71" s="409"/>
      <c r="AH71" s="409"/>
      <c r="AI71" s="409"/>
      <c r="AJ71" s="409"/>
      <c r="AK71" s="409"/>
      <c r="AL71" s="409"/>
      <c r="AM71" s="409"/>
      <c r="AN71" s="409"/>
      <c r="AO71" s="409"/>
      <c r="AP71" s="409"/>
      <c r="AQ71" s="409"/>
      <c r="AR71" s="409"/>
      <c r="AS71" s="409"/>
      <c r="AT71" s="409"/>
      <c r="AU71" s="409"/>
      <c r="AV71" s="409"/>
      <c r="AW71" s="409"/>
      <c r="AX71" s="409"/>
      <c r="AY71" s="409"/>
      <c r="AZ71" s="409"/>
      <c r="BA71" s="409"/>
      <c r="BB71" s="409"/>
      <c r="BC71" s="409"/>
      <c r="BD71" s="407"/>
      <c r="BE71" s="444"/>
      <c r="BF71" s="444"/>
      <c r="BG71" s="444"/>
      <c r="BH71" s="444"/>
      <c r="BI71" s="444"/>
      <c r="BJ71" s="444"/>
      <c r="BK71" s="444"/>
      <c r="BL71" s="444"/>
      <c r="BM71" s="444"/>
      <c r="BN71" s="444"/>
      <c r="BO71" s="444"/>
      <c r="BP71" s="444"/>
      <c r="BQ71" s="444"/>
      <c r="BR71" s="444"/>
      <c r="BS71" s="444"/>
      <c r="BT71" s="444"/>
    </row>
    <row r="72" spans="1:72" ht="15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409"/>
      <c r="T72" s="409"/>
      <c r="U72" s="409"/>
      <c r="V72" s="409"/>
      <c r="W72" s="392"/>
      <c r="X72" s="392"/>
      <c r="Y72" s="409"/>
      <c r="Z72" s="409"/>
      <c r="AA72" s="392"/>
      <c r="AB72" s="392"/>
      <c r="AC72" s="392"/>
      <c r="AD72" s="409"/>
      <c r="AE72" s="409"/>
      <c r="AF72" s="409"/>
      <c r="AG72" s="409"/>
      <c r="AH72" s="409"/>
      <c r="AI72" s="409"/>
      <c r="AJ72" s="409"/>
      <c r="AK72" s="409"/>
      <c r="AL72" s="409"/>
      <c r="AM72" s="409"/>
      <c r="AN72" s="409"/>
      <c r="AO72" s="409"/>
      <c r="AP72" s="409"/>
      <c r="AQ72" s="409"/>
      <c r="AR72" s="409"/>
      <c r="AS72" s="409"/>
      <c r="AT72" s="409"/>
      <c r="AU72" s="409"/>
      <c r="AV72" s="409"/>
      <c r="AW72" s="409"/>
      <c r="AX72" s="409"/>
      <c r="AY72" s="409"/>
      <c r="AZ72" s="409"/>
      <c r="BA72" s="409"/>
      <c r="BB72" s="409"/>
      <c r="BC72" s="409"/>
      <c r="BD72" s="407"/>
      <c r="BE72" s="444"/>
      <c r="BF72" s="444"/>
      <c r="BG72" s="444"/>
      <c r="BH72" s="444"/>
      <c r="BI72" s="444"/>
      <c r="BJ72" s="444"/>
      <c r="BK72" s="444"/>
      <c r="BL72" s="444"/>
      <c r="BM72" s="444"/>
      <c r="BN72" s="444"/>
      <c r="BO72" s="444"/>
      <c r="BP72" s="444"/>
      <c r="BQ72" s="444"/>
      <c r="BR72" s="444"/>
      <c r="BS72" s="444"/>
      <c r="BT72" s="444"/>
    </row>
    <row r="73" spans="1:72" ht="15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409"/>
      <c r="T73" s="409"/>
      <c r="U73" s="409"/>
      <c r="V73" s="409"/>
      <c r="W73" s="392"/>
      <c r="X73" s="392"/>
      <c r="Y73" s="409"/>
      <c r="Z73" s="409"/>
      <c r="AA73" s="392"/>
      <c r="AB73" s="392"/>
      <c r="AC73" s="392"/>
      <c r="AD73" s="409"/>
      <c r="AE73" s="409"/>
      <c r="AF73" s="409"/>
      <c r="AG73" s="409"/>
      <c r="AH73" s="409"/>
      <c r="AI73" s="409"/>
      <c r="AJ73" s="409"/>
      <c r="AK73" s="409"/>
      <c r="AL73" s="409"/>
      <c r="AM73" s="409"/>
      <c r="AN73" s="409"/>
      <c r="AO73" s="409"/>
      <c r="AP73" s="409"/>
      <c r="AQ73" s="409"/>
      <c r="AR73" s="409"/>
      <c r="AS73" s="409"/>
      <c r="AT73" s="409"/>
      <c r="AU73" s="409"/>
      <c r="AV73" s="409"/>
      <c r="AW73" s="409"/>
      <c r="AX73" s="409"/>
      <c r="AY73" s="409"/>
      <c r="AZ73" s="409"/>
      <c r="BA73" s="409"/>
      <c r="BB73" s="409"/>
      <c r="BC73" s="409"/>
      <c r="BD73" s="407"/>
      <c r="BE73" s="444"/>
      <c r="BF73" s="444"/>
      <c r="BG73" s="444"/>
      <c r="BH73" s="444"/>
      <c r="BI73" s="444"/>
      <c r="BJ73" s="444"/>
      <c r="BK73" s="444"/>
      <c r="BL73" s="444"/>
      <c r="BM73" s="444"/>
      <c r="BN73" s="444"/>
      <c r="BO73" s="444"/>
      <c r="BP73" s="444"/>
      <c r="BQ73" s="444"/>
      <c r="BR73" s="444"/>
      <c r="BS73" s="444"/>
      <c r="BT73" s="444"/>
    </row>
    <row r="74" spans="1:72" ht="15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409"/>
      <c r="T74" s="409"/>
      <c r="U74" s="409"/>
      <c r="V74" s="409"/>
      <c r="W74" s="392"/>
      <c r="X74" s="392"/>
      <c r="Y74" s="409"/>
      <c r="Z74" s="409"/>
      <c r="AA74" s="392"/>
      <c r="AB74" s="392"/>
      <c r="AC74" s="392"/>
      <c r="AD74" s="409"/>
      <c r="AE74" s="409"/>
      <c r="AF74" s="409"/>
      <c r="AG74" s="409"/>
      <c r="AH74" s="409"/>
      <c r="AI74" s="409"/>
      <c r="AJ74" s="409"/>
      <c r="AK74" s="409"/>
      <c r="AL74" s="409"/>
      <c r="AM74" s="409"/>
      <c r="AN74" s="409"/>
      <c r="AO74" s="409"/>
      <c r="AP74" s="409"/>
      <c r="AQ74" s="409"/>
      <c r="AR74" s="409"/>
      <c r="AS74" s="409"/>
      <c r="AT74" s="409"/>
      <c r="AU74" s="409"/>
      <c r="AV74" s="409"/>
      <c r="AW74" s="409"/>
      <c r="AX74" s="409"/>
      <c r="AY74" s="409"/>
      <c r="AZ74" s="409"/>
      <c r="BA74" s="409"/>
      <c r="BB74" s="409"/>
      <c r="BC74" s="409"/>
      <c r="BD74" s="407"/>
      <c r="BE74" s="444"/>
      <c r="BF74" s="444"/>
      <c r="BG74" s="444"/>
      <c r="BH74" s="444"/>
      <c r="BI74" s="444"/>
      <c r="BJ74" s="444"/>
      <c r="BK74" s="444"/>
      <c r="BL74" s="444"/>
      <c r="BM74" s="444"/>
      <c r="BN74" s="444"/>
      <c r="BO74" s="444"/>
      <c r="BP74" s="444"/>
      <c r="BQ74" s="444"/>
      <c r="BR74" s="444"/>
      <c r="BS74" s="444"/>
      <c r="BT74" s="444"/>
    </row>
    <row r="75" spans="1:72" ht="1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409"/>
      <c r="T75" s="409"/>
      <c r="U75" s="409"/>
      <c r="V75" s="409"/>
      <c r="W75" s="392"/>
      <c r="X75" s="392"/>
      <c r="Y75" s="409"/>
      <c r="Z75" s="409"/>
      <c r="AA75" s="392"/>
      <c r="AB75" s="392"/>
      <c r="AC75" s="392"/>
      <c r="AD75" s="409"/>
      <c r="AE75" s="409"/>
      <c r="AF75" s="409"/>
      <c r="AG75" s="409"/>
      <c r="AH75" s="409"/>
      <c r="AI75" s="409"/>
      <c r="AJ75" s="409"/>
      <c r="AK75" s="409"/>
      <c r="AL75" s="409"/>
      <c r="AM75" s="409"/>
      <c r="AN75" s="409"/>
      <c r="AO75" s="409"/>
      <c r="AP75" s="409"/>
      <c r="AQ75" s="409"/>
      <c r="AR75" s="409"/>
      <c r="AS75" s="409"/>
      <c r="AT75" s="409"/>
      <c r="AU75" s="409"/>
      <c r="AV75" s="409"/>
      <c r="AW75" s="409"/>
      <c r="AX75" s="409"/>
      <c r="AY75" s="409"/>
      <c r="AZ75" s="409"/>
      <c r="BA75" s="409"/>
      <c r="BB75" s="409"/>
      <c r="BC75" s="409"/>
      <c r="BD75" s="407"/>
      <c r="BE75" s="444"/>
      <c r="BF75" s="444"/>
      <c r="BG75" s="444"/>
      <c r="BH75" s="444"/>
      <c r="BI75" s="444"/>
      <c r="BJ75" s="444"/>
      <c r="BK75" s="444"/>
      <c r="BL75" s="444"/>
      <c r="BM75" s="444"/>
      <c r="BN75" s="444"/>
      <c r="BO75" s="444"/>
      <c r="BP75" s="444"/>
      <c r="BQ75" s="444"/>
      <c r="BR75" s="444"/>
      <c r="BS75" s="444"/>
      <c r="BT75" s="444"/>
    </row>
    <row r="76" spans="1:72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44"/>
      <c r="BG76" s="444"/>
      <c r="BH76" s="444"/>
      <c r="BI76" s="444"/>
      <c r="BJ76" s="444"/>
      <c r="BK76" s="444"/>
      <c r="BL76" s="444"/>
      <c r="BM76" s="444"/>
      <c r="BN76" s="444"/>
      <c r="BO76" s="444"/>
      <c r="BP76" s="444"/>
      <c r="BQ76" s="444"/>
      <c r="BR76" s="444"/>
      <c r="BS76" s="444"/>
      <c r="BT76" s="444"/>
    </row>
    <row r="77" spans="1:72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F77" s="444"/>
      <c r="BG77" s="444"/>
      <c r="BH77" s="444"/>
      <c r="BI77" s="444"/>
      <c r="BJ77" s="444"/>
      <c r="BK77" s="444"/>
      <c r="BL77" s="444"/>
      <c r="BM77" s="444"/>
      <c r="BN77" s="444"/>
      <c r="BO77" s="444"/>
      <c r="BP77" s="444"/>
      <c r="BQ77" s="444"/>
      <c r="BR77" s="444"/>
      <c r="BS77" s="444"/>
      <c r="BT77" s="444"/>
    </row>
    <row r="78" spans="1:72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444"/>
      <c r="BH78" s="444"/>
      <c r="BI78" s="444"/>
      <c r="BJ78" s="444"/>
      <c r="BK78" s="444"/>
      <c r="BL78" s="444"/>
      <c r="BM78" s="444"/>
      <c r="BN78" s="444"/>
      <c r="BO78" s="444"/>
      <c r="BP78" s="444"/>
      <c r="BQ78" s="444"/>
      <c r="BR78" s="444"/>
      <c r="BS78" s="444"/>
      <c r="BT78" s="444"/>
    </row>
    <row r="79" spans="1:72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44"/>
      <c r="BG79" s="444"/>
      <c r="BH79" s="444"/>
      <c r="BI79" s="444"/>
      <c r="BJ79" s="444"/>
      <c r="BK79" s="444"/>
      <c r="BL79" s="444"/>
      <c r="BM79" s="444"/>
      <c r="BN79" s="444"/>
      <c r="BO79" s="444"/>
      <c r="BP79" s="444"/>
      <c r="BQ79" s="444"/>
      <c r="BR79" s="444"/>
      <c r="BS79" s="444"/>
      <c r="BT79" s="444"/>
    </row>
    <row r="80" spans="1:72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F80" s="444"/>
      <c r="BG80" s="444"/>
      <c r="BH80" s="444"/>
      <c r="BI80" s="444"/>
      <c r="BJ80" s="444"/>
      <c r="BK80" s="444"/>
      <c r="BL80" s="444"/>
      <c r="BM80" s="444"/>
      <c r="BN80" s="444"/>
      <c r="BO80" s="444"/>
      <c r="BP80" s="444"/>
      <c r="BQ80" s="444"/>
      <c r="BR80" s="444"/>
      <c r="BS80" s="444"/>
      <c r="BT80" s="444"/>
    </row>
    <row r="81" spans="1:72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E81" s="444"/>
      <c r="BF81" s="444"/>
      <c r="BG81" s="444"/>
      <c r="BH81" s="444"/>
      <c r="BI81" s="444"/>
      <c r="BJ81" s="444"/>
      <c r="BK81" s="444"/>
      <c r="BL81" s="444"/>
      <c r="BM81" s="444"/>
      <c r="BN81" s="444"/>
      <c r="BO81" s="444"/>
      <c r="BP81" s="444"/>
      <c r="BQ81" s="444"/>
      <c r="BR81" s="444"/>
      <c r="BS81" s="444"/>
      <c r="BT81" s="444"/>
    </row>
    <row r="82" spans="1:72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E82" s="444"/>
      <c r="BF82" s="444"/>
      <c r="BG82" s="444"/>
      <c r="BH82" s="444"/>
      <c r="BI82" s="444"/>
      <c r="BJ82" s="444"/>
      <c r="BK82" s="444"/>
      <c r="BL82" s="444"/>
      <c r="BM82" s="444"/>
      <c r="BN82" s="444"/>
      <c r="BO82" s="444"/>
      <c r="BP82" s="444"/>
      <c r="BQ82" s="444"/>
      <c r="BR82" s="444"/>
      <c r="BS82" s="444"/>
      <c r="BT82" s="444"/>
    </row>
    <row r="83" spans="1:72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E163" s="444"/>
      <c r="BF163" s="444"/>
      <c r="BG163" s="444"/>
      <c r="BH163" s="444"/>
      <c r="BI163" s="444"/>
      <c r="BJ163" s="444"/>
      <c r="BK163" s="444"/>
      <c r="BL163" s="444"/>
      <c r="BM163" s="444"/>
      <c r="BN163" s="444"/>
      <c r="BO163" s="444"/>
      <c r="BP163" s="444"/>
      <c r="BQ163" s="444"/>
      <c r="BR163" s="444"/>
      <c r="BS163" s="444"/>
      <c r="BT163" s="444"/>
    </row>
    <row r="164" spans="1:72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E164" s="444"/>
      <c r="BF164" s="444"/>
      <c r="BG164" s="444"/>
      <c r="BH164" s="444"/>
      <c r="BI164" s="444"/>
      <c r="BJ164" s="444"/>
      <c r="BK164" s="444"/>
      <c r="BL164" s="444"/>
      <c r="BM164" s="444"/>
      <c r="BN164" s="444"/>
      <c r="BO164" s="444"/>
      <c r="BP164" s="444"/>
      <c r="BQ164" s="444"/>
      <c r="BR164" s="444"/>
      <c r="BS164" s="444"/>
      <c r="BT164" s="444"/>
    </row>
    <row r="165" spans="1:72" ht="1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409"/>
      <c r="T165" s="409"/>
      <c r="U165" s="409"/>
      <c r="V165" s="409"/>
      <c r="W165" s="392"/>
      <c r="X165" s="392"/>
      <c r="Y165" s="409"/>
      <c r="Z165" s="409"/>
      <c r="AA165" s="392"/>
      <c r="AB165" s="392"/>
      <c r="AC165" s="392"/>
      <c r="AD165" s="409"/>
      <c r="AE165" s="409"/>
      <c r="AF165" s="409"/>
      <c r="AG165" s="409"/>
      <c r="AH165" s="409"/>
      <c r="AI165" s="409"/>
      <c r="AJ165" s="409"/>
      <c r="AK165" s="409"/>
      <c r="AL165" s="409"/>
      <c r="AM165" s="409"/>
      <c r="AN165" s="409"/>
      <c r="AO165" s="409"/>
      <c r="AP165" s="409"/>
      <c r="AQ165" s="409"/>
      <c r="AR165" s="409"/>
      <c r="AS165" s="409"/>
      <c r="AT165" s="409"/>
      <c r="AU165" s="409"/>
      <c r="AV165" s="409"/>
      <c r="AW165" s="409"/>
      <c r="AX165" s="409"/>
      <c r="AY165" s="409"/>
      <c r="AZ165" s="409"/>
      <c r="BA165" s="409"/>
      <c r="BB165" s="409"/>
      <c r="BC165" s="409"/>
      <c r="BD165" s="407"/>
      <c r="BE165" s="444"/>
      <c r="BF165" s="444"/>
      <c r="BG165" s="444"/>
      <c r="BH165" s="444"/>
      <c r="BI165" s="444"/>
      <c r="BJ165" s="444"/>
      <c r="BK165" s="444"/>
      <c r="BL165" s="444"/>
      <c r="BM165" s="444"/>
      <c r="BN165" s="444"/>
      <c r="BO165" s="444"/>
      <c r="BP165" s="444"/>
      <c r="BQ165" s="444"/>
      <c r="BR165" s="444"/>
      <c r="BS165" s="444"/>
      <c r="BT165" s="444"/>
    </row>
    <row r="166" spans="1:72" ht="15">
      <c r="A166" s="392"/>
      <c r="B166" s="392"/>
      <c r="C166" s="392"/>
      <c r="D166" s="392"/>
      <c r="E166" s="392"/>
      <c r="F166" s="392"/>
      <c r="G166" s="392"/>
      <c r="H166" s="392"/>
      <c r="I166" s="392"/>
      <c r="J166" s="392"/>
      <c r="K166" s="392"/>
      <c r="L166" s="392"/>
      <c r="M166" s="392"/>
      <c r="N166" s="392"/>
      <c r="O166" s="392"/>
      <c r="P166" s="392"/>
      <c r="Q166" s="392"/>
      <c r="R166" s="392"/>
      <c r="S166" s="409"/>
      <c r="T166" s="409"/>
      <c r="U166" s="409"/>
      <c r="V166" s="409"/>
      <c r="W166" s="392"/>
      <c r="X166" s="392"/>
      <c r="Y166" s="409"/>
      <c r="Z166" s="409"/>
      <c r="AA166" s="392"/>
      <c r="AB166" s="392"/>
      <c r="AC166" s="392"/>
      <c r="AD166" s="409"/>
      <c r="AE166" s="409"/>
      <c r="AF166" s="409"/>
      <c r="AG166" s="409"/>
      <c r="AH166" s="409"/>
      <c r="AI166" s="409"/>
      <c r="AJ166" s="409"/>
      <c r="AK166" s="409"/>
      <c r="AL166" s="409"/>
      <c r="AM166" s="409"/>
      <c r="AN166" s="409"/>
      <c r="AO166" s="409"/>
      <c r="AP166" s="409"/>
      <c r="AQ166" s="409"/>
      <c r="AR166" s="409"/>
      <c r="AS166" s="409"/>
      <c r="AT166" s="409"/>
      <c r="AU166" s="409"/>
      <c r="AV166" s="409"/>
      <c r="AW166" s="409"/>
      <c r="AX166" s="409"/>
      <c r="AY166" s="409"/>
      <c r="AZ166" s="409"/>
      <c r="BA166" s="409"/>
      <c r="BB166" s="409"/>
      <c r="BC166" s="409"/>
      <c r="BD166" s="407"/>
      <c r="BE166" s="444"/>
      <c r="BF166" s="444"/>
      <c r="BG166" s="444"/>
      <c r="BH166" s="444"/>
      <c r="BI166" s="444"/>
      <c r="BJ166" s="444"/>
      <c r="BK166" s="444"/>
      <c r="BL166" s="444"/>
      <c r="BM166" s="444"/>
      <c r="BN166" s="444"/>
      <c r="BO166" s="444"/>
      <c r="BP166" s="444"/>
      <c r="BQ166" s="444"/>
      <c r="BR166" s="444"/>
      <c r="BS166" s="444"/>
      <c r="BT166" s="444"/>
    </row>
    <row r="167" spans="1:72" ht="15">
      <c r="A167" s="392"/>
      <c r="B167" s="392"/>
      <c r="C167" s="392"/>
      <c r="D167" s="392"/>
      <c r="E167" s="392"/>
      <c r="F167" s="392"/>
      <c r="G167" s="392"/>
      <c r="H167" s="392"/>
      <c r="I167" s="392"/>
      <c r="J167" s="392"/>
      <c r="K167" s="392"/>
      <c r="L167" s="392"/>
      <c r="M167" s="392"/>
      <c r="N167" s="392"/>
      <c r="O167" s="392"/>
      <c r="P167" s="392"/>
      <c r="Q167" s="392"/>
      <c r="R167" s="392"/>
      <c r="S167" s="409"/>
      <c r="T167" s="409"/>
      <c r="U167" s="409"/>
      <c r="V167" s="409"/>
      <c r="W167" s="392"/>
      <c r="X167" s="392"/>
      <c r="Y167" s="409"/>
      <c r="Z167" s="409"/>
      <c r="AA167" s="392"/>
      <c r="AB167" s="392"/>
      <c r="AC167" s="392"/>
      <c r="AD167" s="409"/>
      <c r="AE167" s="409"/>
      <c r="AF167" s="409"/>
      <c r="AG167" s="409"/>
      <c r="AH167" s="409"/>
      <c r="AI167" s="409"/>
      <c r="AJ167" s="409"/>
      <c r="AK167" s="409"/>
      <c r="AL167" s="409"/>
      <c r="AM167" s="409"/>
      <c r="AN167" s="409"/>
      <c r="AO167" s="409"/>
      <c r="AP167" s="409"/>
      <c r="AQ167" s="409"/>
      <c r="AR167" s="409"/>
      <c r="AS167" s="409"/>
      <c r="AT167" s="409"/>
      <c r="AU167" s="409"/>
      <c r="AV167" s="409"/>
      <c r="AW167" s="409"/>
      <c r="AX167" s="409"/>
      <c r="AY167" s="409"/>
      <c r="AZ167" s="409"/>
      <c r="BA167" s="409"/>
      <c r="BB167" s="409"/>
      <c r="BC167" s="409"/>
      <c r="BD167" s="407"/>
      <c r="BE167" s="444"/>
      <c r="BF167" s="444"/>
      <c r="BG167" s="444"/>
      <c r="BH167" s="444"/>
      <c r="BI167" s="444"/>
      <c r="BJ167" s="444"/>
      <c r="BK167" s="444"/>
      <c r="BL167" s="444"/>
      <c r="BM167" s="444"/>
      <c r="BN167" s="444"/>
      <c r="BO167" s="444"/>
      <c r="BP167" s="444"/>
      <c r="BQ167" s="444"/>
      <c r="BR167" s="444"/>
      <c r="BS167" s="444"/>
      <c r="BT167" s="444"/>
    </row>
    <row r="168" spans="1:72" ht="15">
      <c r="A168" s="392"/>
      <c r="B168" s="392"/>
      <c r="C168" s="392"/>
      <c r="D168" s="392"/>
      <c r="E168" s="392"/>
      <c r="F168" s="392"/>
      <c r="G168" s="392"/>
      <c r="H168" s="392"/>
      <c r="I168" s="392"/>
      <c r="J168" s="392"/>
      <c r="K168" s="392"/>
      <c r="L168" s="392"/>
      <c r="M168" s="392"/>
      <c r="N168" s="392"/>
      <c r="O168" s="392"/>
      <c r="P168" s="392"/>
      <c r="Q168" s="392"/>
      <c r="R168" s="392"/>
      <c r="S168" s="409"/>
      <c r="T168" s="409"/>
      <c r="U168" s="409"/>
      <c r="V168" s="409"/>
      <c r="W168" s="392"/>
      <c r="X168" s="392"/>
      <c r="Y168" s="409"/>
      <c r="Z168" s="409"/>
      <c r="AA168" s="392"/>
      <c r="AB168" s="392"/>
      <c r="AC168" s="392"/>
      <c r="AD168" s="409"/>
      <c r="AE168" s="409"/>
      <c r="AF168" s="409"/>
      <c r="AG168" s="409"/>
      <c r="AH168" s="409"/>
      <c r="AI168" s="409"/>
      <c r="AJ168" s="409"/>
      <c r="AK168" s="409"/>
      <c r="AL168" s="409"/>
      <c r="AM168" s="409"/>
      <c r="AN168" s="409"/>
      <c r="AO168" s="409"/>
      <c r="AP168" s="409"/>
      <c r="AQ168" s="409"/>
      <c r="AR168" s="409"/>
      <c r="AS168" s="409"/>
      <c r="AT168" s="409"/>
      <c r="AU168" s="409"/>
      <c r="AV168" s="409"/>
      <c r="AW168" s="409"/>
      <c r="AX168" s="409"/>
      <c r="AY168" s="409"/>
      <c r="AZ168" s="409"/>
      <c r="BA168" s="409"/>
      <c r="BB168" s="409"/>
      <c r="BC168" s="409"/>
      <c r="BD168" s="407"/>
      <c r="BE168" s="444"/>
      <c r="BF168" s="444"/>
      <c r="BG168" s="444"/>
      <c r="BH168" s="444"/>
      <c r="BI168" s="444"/>
      <c r="BJ168" s="444"/>
      <c r="BK168" s="444"/>
      <c r="BL168" s="444"/>
      <c r="BM168" s="444"/>
      <c r="BN168" s="444"/>
      <c r="BO168" s="444"/>
      <c r="BP168" s="444"/>
      <c r="BQ168" s="444"/>
      <c r="BR168" s="444"/>
      <c r="BS168" s="444"/>
      <c r="BT168" s="444"/>
    </row>
    <row r="169" spans="1:72" ht="15">
      <c r="A169" s="392"/>
      <c r="B169" s="392"/>
      <c r="C169" s="392"/>
      <c r="D169" s="392"/>
      <c r="E169" s="392"/>
      <c r="F169" s="392"/>
      <c r="G169" s="392"/>
      <c r="H169" s="392"/>
      <c r="I169" s="392"/>
      <c r="J169" s="392"/>
      <c r="K169" s="392"/>
      <c r="L169" s="392"/>
      <c r="M169" s="392"/>
      <c r="N169" s="392"/>
      <c r="O169" s="392"/>
      <c r="P169" s="392"/>
      <c r="Q169" s="392"/>
      <c r="R169" s="392"/>
      <c r="S169" s="409"/>
      <c r="T169" s="409"/>
      <c r="U169" s="409"/>
      <c r="V169" s="409"/>
      <c r="W169" s="392"/>
      <c r="X169" s="392"/>
      <c r="Y169" s="409"/>
      <c r="Z169" s="409"/>
      <c r="AA169" s="392"/>
      <c r="AB169" s="392"/>
      <c r="AC169" s="392"/>
      <c r="AD169" s="409"/>
      <c r="AE169" s="409"/>
      <c r="AF169" s="409"/>
      <c r="AG169" s="409"/>
      <c r="AH169" s="409"/>
      <c r="AI169" s="409"/>
      <c r="AJ169" s="409"/>
      <c r="AK169" s="409"/>
      <c r="AL169" s="409"/>
      <c r="AM169" s="409"/>
      <c r="AN169" s="409"/>
      <c r="AO169" s="409"/>
      <c r="AP169" s="409"/>
      <c r="AQ169" s="409"/>
      <c r="AR169" s="409"/>
      <c r="AS169" s="409"/>
      <c r="AT169" s="409"/>
      <c r="AU169" s="409"/>
      <c r="AV169" s="409"/>
      <c r="AW169" s="409"/>
      <c r="AX169" s="409"/>
      <c r="AY169" s="409"/>
      <c r="AZ169" s="409"/>
      <c r="BA169" s="409"/>
      <c r="BB169" s="409"/>
      <c r="BC169" s="409"/>
      <c r="BD169" s="407"/>
      <c r="BE169" s="444"/>
      <c r="BF169" s="444"/>
      <c r="BG169" s="444"/>
      <c r="BH169" s="444"/>
      <c r="BI169" s="444"/>
      <c r="BJ169" s="444"/>
      <c r="BK169" s="444"/>
      <c r="BL169" s="444"/>
      <c r="BM169" s="444"/>
      <c r="BN169" s="444"/>
      <c r="BO169" s="444"/>
      <c r="BP169" s="444"/>
      <c r="BQ169" s="444"/>
      <c r="BR169" s="444"/>
      <c r="BS169" s="444"/>
      <c r="BT169" s="444"/>
    </row>
    <row r="170" spans="1:72" ht="15">
      <c r="A170" s="392"/>
      <c r="B170" s="392"/>
      <c r="C170" s="392"/>
      <c r="D170" s="392"/>
      <c r="E170" s="392"/>
      <c r="F170" s="392"/>
      <c r="G170" s="392"/>
      <c r="H170" s="392"/>
      <c r="I170" s="392"/>
      <c r="J170" s="392"/>
      <c r="K170" s="392"/>
      <c r="L170" s="392"/>
      <c r="M170" s="392"/>
      <c r="N170" s="392"/>
      <c r="O170" s="392"/>
      <c r="P170" s="392"/>
      <c r="Q170" s="392"/>
      <c r="R170" s="392"/>
      <c r="S170" s="409"/>
      <c r="T170" s="409"/>
      <c r="U170" s="409"/>
      <c r="V170" s="409"/>
      <c r="W170" s="392"/>
      <c r="X170" s="392"/>
      <c r="Y170" s="409"/>
      <c r="Z170" s="409"/>
      <c r="AA170" s="392"/>
      <c r="AB170" s="392"/>
      <c r="AC170" s="392"/>
      <c r="AD170" s="409"/>
      <c r="AE170" s="409"/>
      <c r="AF170" s="409"/>
      <c r="AG170" s="409"/>
      <c r="AH170" s="409"/>
      <c r="AI170" s="409"/>
      <c r="AJ170" s="409"/>
      <c r="AK170" s="409"/>
      <c r="AL170" s="409"/>
      <c r="AM170" s="409"/>
      <c r="AN170" s="409"/>
      <c r="AO170" s="409"/>
      <c r="AP170" s="409"/>
      <c r="AQ170" s="409"/>
      <c r="AR170" s="409"/>
      <c r="AS170" s="409"/>
      <c r="AT170" s="409"/>
      <c r="AU170" s="409"/>
      <c r="AV170" s="409"/>
      <c r="AW170" s="409"/>
      <c r="AX170" s="409"/>
      <c r="AY170" s="409"/>
      <c r="AZ170" s="409"/>
      <c r="BA170" s="409"/>
      <c r="BB170" s="409"/>
      <c r="BC170" s="409"/>
      <c r="BD170" s="407"/>
      <c r="BE170" s="444"/>
      <c r="BF170" s="444"/>
      <c r="BG170" s="444"/>
      <c r="BH170" s="444"/>
      <c r="BI170" s="444"/>
      <c r="BJ170" s="444"/>
      <c r="BK170" s="444"/>
      <c r="BL170" s="444"/>
      <c r="BM170" s="444"/>
      <c r="BN170" s="444"/>
      <c r="BO170" s="444"/>
      <c r="BP170" s="444"/>
      <c r="BQ170" s="444"/>
      <c r="BR170" s="444"/>
      <c r="BS170" s="444"/>
      <c r="BT170" s="444"/>
    </row>
    <row r="171" spans="1:72" ht="15">
      <c r="A171" s="392"/>
      <c r="B171" s="392"/>
      <c r="C171" s="392"/>
      <c r="D171" s="392"/>
      <c r="E171" s="392"/>
      <c r="F171" s="392"/>
      <c r="G171" s="392"/>
      <c r="H171" s="392"/>
      <c r="I171" s="392"/>
      <c r="J171" s="392"/>
      <c r="K171" s="392"/>
      <c r="L171" s="392"/>
      <c r="M171" s="392"/>
      <c r="N171" s="392"/>
      <c r="O171" s="392"/>
      <c r="P171" s="392"/>
      <c r="Q171" s="392"/>
      <c r="R171" s="392"/>
      <c r="S171" s="409"/>
      <c r="T171" s="409"/>
      <c r="U171" s="409"/>
      <c r="V171" s="409"/>
      <c r="W171" s="392"/>
      <c r="X171" s="392"/>
      <c r="Y171" s="409"/>
      <c r="Z171" s="409"/>
      <c r="AA171" s="392"/>
      <c r="AB171" s="392"/>
      <c r="AC171" s="392"/>
      <c r="AD171" s="409"/>
      <c r="AE171" s="409"/>
      <c r="AF171" s="409"/>
      <c r="AG171" s="409"/>
      <c r="AH171" s="409"/>
      <c r="AI171" s="409"/>
      <c r="AJ171" s="409"/>
      <c r="AK171" s="409"/>
      <c r="AL171" s="409"/>
      <c r="AM171" s="409"/>
      <c r="AN171" s="409"/>
      <c r="AO171" s="409"/>
      <c r="AP171" s="409"/>
      <c r="AQ171" s="409"/>
      <c r="AR171" s="409"/>
      <c r="AS171" s="409"/>
      <c r="AT171" s="409"/>
      <c r="AU171" s="409"/>
      <c r="AV171" s="409"/>
      <c r="AW171" s="409"/>
      <c r="AX171" s="409"/>
      <c r="AY171" s="409"/>
      <c r="AZ171" s="409"/>
      <c r="BA171" s="409"/>
      <c r="BB171" s="409"/>
      <c r="BC171" s="409"/>
      <c r="BD171" s="407"/>
      <c r="BE171" s="444"/>
      <c r="BF171" s="444"/>
      <c r="BG171" s="444"/>
      <c r="BH171" s="444"/>
      <c r="BI171" s="444"/>
      <c r="BJ171" s="444"/>
      <c r="BK171" s="444"/>
      <c r="BL171" s="444"/>
      <c r="BM171" s="444"/>
      <c r="BN171" s="444"/>
      <c r="BO171" s="444"/>
      <c r="BP171" s="444"/>
      <c r="BQ171" s="444"/>
      <c r="BR171" s="444"/>
      <c r="BS171" s="444"/>
      <c r="BT171" s="444"/>
    </row>
    <row r="172" spans="1:72" ht="15">
      <c r="A172" s="392"/>
      <c r="B172" s="392"/>
      <c r="C172" s="392"/>
      <c r="D172" s="392"/>
      <c r="E172" s="392"/>
      <c r="F172" s="392"/>
      <c r="G172" s="392"/>
      <c r="H172" s="392"/>
      <c r="I172" s="392"/>
      <c r="J172" s="392"/>
      <c r="K172" s="392"/>
      <c r="L172" s="392"/>
      <c r="M172" s="392"/>
      <c r="N172" s="392"/>
      <c r="O172" s="392"/>
      <c r="P172" s="392"/>
      <c r="Q172" s="392"/>
      <c r="R172" s="392"/>
      <c r="S172" s="409"/>
      <c r="T172" s="409"/>
      <c r="U172" s="409"/>
      <c r="V172" s="409"/>
      <c r="W172" s="392"/>
      <c r="X172" s="392"/>
      <c r="Y172" s="409"/>
      <c r="Z172" s="409"/>
      <c r="AA172" s="392"/>
      <c r="AB172" s="392"/>
      <c r="AC172" s="392"/>
      <c r="AD172" s="409"/>
      <c r="AE172" s="409"/>
      <c r="AF172" s="409"/>
      <c r="AG172" s="409"/>
      <c r="AH172" s="409"/>
      <c r="AI172" s="409"/>
      <c r="AJ172" s="409"/>
      <c r="AK172" s="409"/>
      <c r="AL172" s="409"/>
      <c r="AM172" s="409"/>
      <c r="AN172" s="409"/>
      <c r="AO172" s="409"/>
      <c r="AP172" s="409"/>
      <c r="AQ172" s="409"/>
      <c r="AR172" s="409"/>
      <c r="AS172" s="409"/>
      <c r="AT172" s="409"/>
      <c r="AU172" s="409"/>
      <c r="AV172" s="409"/>
      <c r="AW172" s="409"/>
      <c r="AX172" s="409"/>
      <c r="AY172" s="409"/>
      <c r="AZ172" s="409"/>
      <c r="BA172" s="409"/>
      <c r="BB172" s="409"/>
      <c r="BC172" s="409"/>
      <c r="BD172" s="407"/>
      <c r="BE172" s="444"/>
      <c r="BF172" s="444"/>
      <c r="BG172" s="444"/>
      <c r="BH172" s="444"/>
      <c r="BI172" s="444"/>
      <c r="BJ172" s="444"/>
      <c r="BK172" s="444"/>
      <c r="BL172" s="444"/>
      <c r="BM172" s="444"/>
      <c r="BN172" s="444"/>
      <c r="BO172" s="444"/>
      <c r="BP172" s="444"/>
      <c r="BQ172" s="444"/>
      <c r="BR172" s="444"/>
      <c r="BS172" s="444"/>
      <c r="BT172" s="444"/>
    </row>
    <row r="173" spans="1:72" ht="15">
      <c r="A173" s="392"/>
      <c r="B173" s="392"/>
      <c r="C173" s="392"/>
      <c r="D173" s="392"/>
      <c r="E173" s="392"/>
      <c r="F173" s="392"/>
      <c r="G173" s="392"/>
      <c r="H173" s="392"/>
      <c r="I173" s="392"/>
      <c r="J173" s="392"/>
      <c r="K173" s="392"/>
      <c r="L173" s="392"/>
      <c r="M173" s="392"/>
      <c r="N173" s="392"/>
      <c r="O173" s="392"/>
      <c r="P173" s="392"/>
      <c r="Q173" s="392"/>
      <c r="R173" s="392"/>
      <c r="S173" s="409"/>
      <c r="T173" s="409"/>
      <c r="U173" s="409"/>
      <c r="V173" s="409"/>
      <c r="W173" s="392"/>
      <c r="X173" s="392"/>
      <c r="Y173" s="409"/>
      <c r="Z173" s="409"/>
      <c r="AA173" s="392"/>
      <c r="AB173" s="392"/>
      <c r="AC173" s="392"/>
      <c r="AD173" s="409"/>
      <c r="AE173" s="409"/>
      <c r="AF173" s="409"/>
      <c r="AG173" s="409"/>
      <c r="AH173" s="409"/>
      <c r="AI173" s="409"/>
      <c r="AJ173" s="409"/>
      <c r="AK173" s="409"/>
      <c r="AL173" s="409"/>
      <c r="AM173" s="409"/>
      <c r="AN173" s="409"/>
      <c r="AO173" s="409"/>
      <c r="AP173" s="409"/>
      <c r="AQ173" s="409"/>
      <c r="AR173" s="409"/>
      <c r="AS173" s="409"/>
      <c r="AT173" s="409"/>
      <c r="AU173" s="409"/>
      <c r="AV173" s="409"/>
      <c r="AW173" s="409"/>
      <c r="AX173" s="409"/>
      <c r="AY173" s="409"/>
      <c r="AZ173" s="409"/>
      <c r="BA173" s="409"/>
      <c r="BB173" s="409"/>
      <c r="BC173" s="409"/>
      <c r="BD173" s="407"/>
      <c r="BE173" s="444"/>
      <c r="BF173" s="444"/>
      <c r="BG173" s="444"/>
      <c r="BH173" s="444"/>
      <c r="BI173" s="444"/>
      <c r="BJ173" s="444"/>
      <c r="BK173" s="444"/>
      <c r="BL173" s="444"/>
      <c r="BM173" s="444"/>
      <c r="BN173" s="444"/>
      <c r="BO173" s="444"/>
      <c r="BP173" s="444"/>
      <c r="BQ173" s="444"/>
      <c r="BR173" s="444"/>
      <c r="BS173" s="444"/>
      <c r="BT173" s="444"/>
    </row>
    <row r="174" spans="1:72" ht="15">
      <c r="A174" s="392"/>
      <c r="B174" s="392"/>
      <c r="C174" s="392"/>
      <c r="D174" s="392"/>
      <c r="E174" s="392"/>
      <c r="F174" s="392"/>
      <c r="G174" s="392"/>
      <c r="H174" s="392"/>
      <c r="I174" s="392"/>
      <c r="J174" s="392"/>
      <c r="K174" s="392"/>
      <c r="L174" s="392"/>
      <c r="M174" s="392"/>
      <c r="N174" s="392"/>
      <c r="O174" s="392"/>
      <c r="P174" s="392"/>
      <c r="Q174" s="392"/>
      <c r="R174" s="392"/>
      <c r="S174" s="409"/>
      <c r="T174" s="409"/>
      <c r="U174" s="409"/>
      <c r="V174" s="409"/>
      <c r="W174" s="392"/>
      <c r="X174" s="392"/>
      <c r="Y174" s="409"/>
      <c r="Z174" s="409"/>
      <c r="AA174" s="392"/>
      <c r="AB174" s="392"/>
      <c r="AC174" s="392"/>
      <c r="AD174" s="409"/>
      <c r="AE174" s="409"/>
      <c r="AF174" s="409"/>
      <c r="AG174" s="409"/>
      <c r="AH174" s="409"/>
      <c r="AI174" s="409"/>
      <c r="AJ174" s="409"/>
      <c r="AK174" s="409"/>
      <c r="AL174" s="409"/>
      <c r="AM174" s="409"/>
      <c r="AN174" s="409"/>
      <c r="AO174" s="409"/>
      <c r="AP174" s="409"/>
      <c r="AQ174" s="409"/>
      <c r="AR174" s="409"/>
      <c r="AS174" s="409"/>
      <c r="AT174" s="409"/>
      <c r="AU174" s="409"/>
      <c r="AV174" s="409"/>
      <c r="AW174" s="409"/>
      <c r="AX174" s="409"/>
      <c r="AY174" s="409"/>
      <c r="AZ174" s="409"/>
      <c r="BA174" s="409"/>
      <c r="BB174" s="409"/>
      <c r="BC174" s="409"/>
      <c r="BD174" s="407"/>
      <c r="BE174" s="444"/>
      <c r="BF174" s="444"/>
      <c r="BG174" s="444"/>
      <c r="BH174" s="444"/>
      <c r="BI174" s="444"/>
      <c r="BJ174" s="444"/>
      <c r="BK174" s="444"/>
      <c r="BL174" s="444"/>
      <c r="BM174" s="444"/>
      <c r="BN174" s="444"/>
      <c r="BO174" s="444"/>
      <c r="BP174" s="444"/>
      <c r="BQ174" s="444"/>
      <c r="BR174" s="444"/>
      <c r="BS174" s="444"/>
      <c r="BT174" s="444"/>
    </row>
    <row r="175" spans="1:72" ht="15">
      <c r="A175" s="392"/>
      <c r="B175" s="392"/>
      <c r="C175" s="392"/>
      <c r="D175" s="392"/>
      <c r="E175" s="392"/>
      <c r="F175" s="392"/>
      <c r="G175" s="392"/>
      <c r="H175" s="392"/>
      <c r="I175" s="392"/>
      <c r="J175" s="392"/>
      <c r="K175" s="392"/>
      <c r="L175" s="392"/>
      <c r="M175" s="392"/>
      <c r="N175" s="392"/>
      <c r="O175" s="392"/>
      <c r="P175" s="392"/>
      <c r="Q175" s="392"/>
      <c r="R175" s="392"/>
      <c r="S175" s="409"/>
      <c r="T175" s="409"/>
      <c r="U175" s="409"/>
      <c r="V175" s="409"/>
      <c r="W175" s="392"/>
      <c r="X175" s="392"/>
      <c r="Y175" s="409"/>
      <c r="Z175" s="409"/>
      <c r="AA175" s="392"/>
      <c r="AB175" s="392"/>
      <c r="AC175" s="392"/>
      <c r="AD175" s="409"/>
      <c r="AE175" s="409"/>
      <c r="AF175" s="409"/>
      <c r="AG175" s="409"/>
      <c r="AH175" s="409"/>
      <c r="AI175" s="409"/>
      <c r="AJ175" s="409"/>
      <c r="AK175" s="409"/>
      <c r="AL175" s="409"/>
      <c r="AM175" s="409"/>
      <c r="AN175" s="409"/>
      <c r="AO175" s="409"/>
      <c r="AP175" s="409"/>
      <c r="AQ175" s="409"/>
      <c r="AR175" s="409"/>
      <c r="AS175" s="409"/>
      <c r="AT175" s="409"/>
      <c r="AU175" s="409"/>
      <c r="AV175" s="409"/>
      <c r="AW175" s="409"/>
      <c r="AX175" s="409"/>
      <c r="AY175" s="409"/>
      <c r="AZ175" s="409"/>
      <c r="BA175" s="409"/>
      <c r="BB175" s="409"/>
      <c r="BC175" s="409"/>
      <c r="BD175" s="407"/>
      <c r="BE175" s="444"/>
      <c r="BF175" s="444"/>
      <c r="BG175" s="444"/>
      <c r="BH175" s="444"/>
      <c r="BI175" s="444"/>
      <c r="BJ175" s="444"/>
      <c r="BK175" s="444"/>
      <c r="BL175" s="444"/>
      <c r="BM175" s="444"/>
      <c r="BN175" s="444"/>
      <c r="BO175" s="444"/>
      <c r="BP175" s="444"/>
      <c r="BQ175" s="444"/>
      <c r="BR175" s="444"/>
      <c r="BS175" s="444"/>
      <c r="BT175" s="444"/>
    </row>
    <row r="176" spans="1:72" ht="15">
      <c r="A176" s="392"/>
      <c r="B176" s="392"/>
      <c r="C176" s="392"/>
      <c r="D176" s="392"/>
      <c r="E176" s="392"/>
      <c r="F176" s="392"/>
      <c r="G176" s="392"/>
      <c r="H176" s="392"/>
      <c r="I176" s="392"/>
      <c r="J176" s="392"/>
      <c r="K176" s="392"/>
      <c r="L176" s="392"/>
      <c r="M176" s="392"/>
      <c r="N176" s="392"/>
      <c r="O176" s="392"/>
      <c r="P176" s="392"/>
      <c r="Q176" s="392"/>
      <c r="R176" s="392"/>
      <c r="S176" s="409"/>
      <c r="T176" s="409"/>
      <c r="U176" s="409"/>
      <c r="V176" s="409"/>
      <c r="W176" s="392"/>
      <c r="X176" s="392"/>
      <c r="Y176" s="409"/>
      <c r="Z176" s="409"/>
      <c r="AA176" s="392"/>
      <c r="AB176" s="392"/>
      <c r="AC176" s="392"/>
      <c r="AD176" s="409"/>
      <c r="AE176" s="409"/>
      <c r="AF176" s="409"/>
      <c r="AG176" s="409"/>
      <c r="AH176" s="409"/>
      <c r="AI176" s="409"/>
      <c r="AJ176" s="409"/>
      <c r="AK176" s="409"/>
      <c r="AL176" s="409"/>
      <c r="AM176" s="409"/>
      <c r="AN176" s="409"/>
      <c r="AO176" s="409"/>
      <c r="AP176" s="409"/>
      <c r="AQ176" s="409"/>
      <c r="AR176" s="409"/>
      <c r="AS176" s="409"/>
      <c r="AT176" s="409"/>
      <c r="AU176" s="409"/>
      <c r="AV176" s="409"/>
      <c r="AW176" s="409"/>
      <c r="AX176" s="409"/>
      <c r="AY176" s="409"/>
      <c r="AZ176" s="409"/>
      <c r="BA176" s="409"/>
      <c r="BB176" s="409"/>
      <c r="BC176" s="409"/>
      <c r="BD176" s="407"/>
      <c r="BE176" s="444"/>
      <c r="BF176" s="444"/>
      <c r="BG176" s="444"/>
      <c r="BH176" s="444"/>
      <c r="BI176" s="444"/>
      <c r="BJ176" s="444"/>
      <c r="BK176" s="444"/>
      <c r="BL176" s="444"/>
      <c r="BM176" s="444"/>
      <c r="BN176" s="444"/>
      <c r="BO176" s="444"/>
      <c r="BP176" s="444"/>
      <c r="BQ176" s="444"/>
      <c r="BR176" s="444"/>
      <c r="BS176" s="444"/>
      <c r="BT176" s="444"/>
    </row>
    <row r="177" spans="1:72" ht="15">
      <c r="A177" s="392"/>
      <c r="B177" s="392"/>
      <c r="C177" s="392"/>
      <c r="D177" s="392"/>
      <c r="E177" s="392"/>
      <c r="F177" s="392"/>
      <c r="G177" s="392"/>
      <c r="H177" s="392"/>
      <c r="I177" s="392"/>
      <c r="J177" s="392"/>
      <c r="K177" s="392"/>
      <c r="L177" s="392"/>
      <c r="M177" s="392"/>
      <c r="N177" s="392"/>
      <c r="O177" s="392"/>
      <c r="P177" s="392"/>
      <c r="Q177" s="392"/>
      <c r="R177" s="392"/>
      <c r="S177" s="409"/>
      <c r="T177" s="409"/>
      <c r="U177" s="409"/>
      <c r="V177" s="409"/>
      <c r="W177" s="392"/>
      <c r="X177" s="392"/>
      <c r="Y177" s="409"/>
      <c r="Z177" s="409"/>
      <c r="AA177" s="392"/>
      <c r="AB177" s="392"/>
      <c r="AC177" s="392"/>
      <c r="AD177" s="409"/>
      <c r="AE177" s="409"/>
      <c r="AF177" s="409"/>
      <c r="AG177" s="409"/>
      <c r="AH177" s="409"/>
      <c r="AI177" s="409"/>
      <c r="AJ177" s="409"/>
      <c r="AK177" s="409"/>
      <c r="AL177" s="409"/>
      <c r="AM177" s="409"/>
      <c r="AN177" s="409"/>
      <c r="AO177" s="409"/>
      <c r="AP177" s="409"/>
      <c r="AQ177" s="409"/>
      <c r="AR177" s="409"/>
      <c r="AS177" s="409"/>
      <c r="AT177" s="409"/>
      <c r="AU177" s="409"/>
      <c r="AV177" s="409"/>
      <c r="AW177" s="409"/>
      <c r="AX177" s="409"/>
      <c r="AY177" s="409"/>
      <c r="AZ177" s="409"/>
      <c r="BA177" s="409"/>
      <c r="BB177" s="409"/>
      <c r="BC177" s="409"/>
      <c r="BD177" s="407"/>
      <c r="BE177" s="444"/>
      <c r="BF177" s="444"/>
      <c r="BG177" s="444"/>
      <c r="BH177" s="444"/>
      <c r="BI177" s="444"/>
      <c r="BJ177" s="444"/>
      <c r="BK177" s="444"/>
      <c r="BL177" s="444"/>
      <c r="BM177" s="444"/>
      <c r="BN177" s="444"/>
      <c r="BO177" s="444"/>
      <c r="BP177" s="444"/>
      <c r="BQ177" s="444"/>
      <c r="BR177" s="444"/>
      <c r="BS177" s="444"/>
      <c r="BT177" s="444"/>
    </row>
    <row r="178" spans="1:72" ht="15">
      <c r="A178" s="392"/>
      <c r="B178" s="392"/>
      <c r="C178" s="392"/>
      <c r="D178" s="392"/>
      <c r="E178" s="392"/>
      <c r="F178" s="392"/>
      <c r="G178" s="392"/>
      <c r="H178" s="392"/>
      <c r="I178" s="392"/>
      <c r="J178" s="392"/>
      <c r="K178" s="392"/>
      <c r="L178" s="392"/>
      <c r="M178" s="392"/>
      <c r="N178" s="392"/>
      <c r="O178" s="392"/>
      <c r="P178" s="392"/>
      <c r="Q178" s="392"/>
      <c r="R178" s="392"/>
      <c r="S178" s="409"/>
      <c r="T178" s="409"/>
      <c r="U178" s="409"/>
      <c r="V178" s="409"/>
      <c r="W178" s="392"/>
      <c r="X178" s="392"/>
      <c r="Y178" s="409"/>
      <c r="Z178" s="409"/>
      <c r="AA178" s="392"/>
      <c r="AB178" s="392"/>
      <c r="AC178" s="392"/>
      <c r="AD178" s="409"/>
      <c r="AE178" s="409"/>
      <c r="AF178" s="409"/>
      <c r="AG178" s="409"/>
      <c r="AH178" s="409"/>
      <c r="AI178" s="409"/>
      <c r="AJ178" s="409"/>
      <c r="AK178" s="409"/>
      <c r="AL178" s="409"/>
      <c r="AM178" s="409"/>
      <c r="AN178" s="409"/>
      <c r="AO178" s="409"/>
      <c r="AP178" s="409"/>
      <c r="AQ178" s="409"/>
      <c r="AR178" s="409"/>
      <c r="AS178" s="409"/>
      <c r="AT178" s="409"/>
      <c r="AU178" s="409"/>
      <c r="AV178" s="409"/>
      <c r="AW178" s="409"/>
      <c r="AX178" s="409"/>
      <c r="AY178" s="409"/>
      <c r="AZ178" s="409"/>
      <c r="BA178" s="409"/>
      <c r="BB178" s="409"/>
      <c r="BC178" s="409"/>
      <c r="BD178" s="407"/>
      <c r="BE178" s="444"/>
      <c r="BF178" s="444"/>
      <c r="BG178" s="444"/>
      <c r="BH178" s="444"/>
      <c r="BI178" s="444"/>
      <c r="BJ178" s="444"/>
      <c r="BK178" s="444"/>
      <c r="BL178" s="444"/>
      <c r="BM178" s="444"/>
      <c r="BN178" s="444"/>
      <c r="BO178" s="444"/>
      <c r="BP178" s="444"/>
      <c r="BQ178" s="444"/>
      <c r="BR178" s="444"/>
      <c r="BS178" s="444"/>
      <c r="BT178" s="444"/>
    </row>
    <row r="179" spans="1:72" ht="15">
      <c r="A179" s="392"/>
      <c r="B179" s="392"/>
      <c r="C179" s="392"/>
      <c r="D179" s="392"/>
      <c r="E179" s="392"/>
      <c r="F179" s="392"/>
      <c r="G179" s="392"/>
      <c r="H179" s="392"/>
      <c r="I179" s="392"/>
      <c r="J179" s="392"/>
      <c r="K179" s="392"/>
      <c r="L179" s="392"/>
      <c r="M179" s="392"/>
      <c r="N179" s="392"/>
      <c r="O179" s="392"/>
      <c r="P179" s="392"/>
      <c r="Q179" s="392"/>
      <c r="R179" s="392"/>
      <c r="S179" s="409"/>
      <c r="T179" s="409"/>
      <c r="U179" s="409"/>
      <c r="V179" s="409"/>
      <c r="W179" s="392"/>
      <c r="X179" s="392"/>
      <c r="Y179" s="409"/>
      <c r="Z179" s="409"/>
      <c r="AA179" s="392"/>
      <c r="AB179" s="392"/>
      <c r="AC179" s="392"/>
      <c r="AD179" s="409"/>
      <c r="AE179" s="409"/>
      <c r="AF179" s="409"/>
      <c r="AG179" s="409"/>
      <c r="AH179" s="409"/>
      <c r="AI179" s="409"/>
      <c r="AJ179" s="409"/>
      <c r="AK179" s="409"/>
      <c r="AL179" s="409"/>
      <c r="AM179" s="409"/>
      <c r="AN179" s="409"/>
      <c r="AO179" s="409"/>
      <c r="AP179" s="409"/>
      <c r="AQ179" s="409"/>
      <c r="AR179" s="409"/>
      <c r="AS179" s="409"/>
      <c r="AT179" s="409"/>
      <c r="AU179" s="409"/>
      <c r="AV179" s="409"/>
      <c r="AW179" s="409"/>
      <c r="AX179" s="409"/>
      <c r="AY179" s="409"/>
      <c r="AZ179" s="409"/>
      <c r="BA179" s="409"/>
      <c r="BB179" s="409"/>
      <c r="BC179" s="409"/>
      <c r="BD179" s="407"/>
      <c r="BE179" s="444"/>
      <c r="BF179" s="444"/>
      <c r="BG179" s="444"/>
      <c r="BH179" s="444"/>
      <c r="BI179" s="444"/>
      <c r="BJ179" s="444"/>
      <c r="BK179" s="444"/>
      <c r="BL179" s="444"/>
      <c r="BM179" s="444"/>
      <c r="BN179" s="444"/>
      <c r="BO179" s="444"/>
      <c r="BP179" s="444"/>
      <c r="BQ179" s="444"/>
      <c r="BR179" s="444"/>
      <c r="BS179" s="444"/>
      <c r="BT179" s="444"/>
    </row>
    <row r="180" spans="1:72" ht="15">
      <c r="A180" s="392"/>
      <c r="B180" s="392"/>
      <c r="C180" s="392"/>
      <c r="D180" s="392"/>
      <c r="E180" s="392"/>
      <c r="F180" s="392"/>
      <c r="G180" s="392"/>
      <c r="H180" s="392"/>
      <c r="I180" s="392"/>
      <c r="J180" s="392"/>
      <c r="K180" s="392"/>
      <c r="L180" s="392"/>
      <c r="M180" s="392"/>
      <c r="N180" s="392"/>
      <c r="O180" s="392"/>
      <c r="P180" s="392"/>
      <c r="Q180" s="392"/>
      <c r="R180" s="392"/>
      <c r="S180" s="409"/>
      <c r="T180" s="409"/>
      <c r="U180" s="409"/>
      <c r="V180" s="409"/>
      <c r="W180" s="392"/>
      <c r="X180" s="392"/>
      <c r="Y180" s="409"/>
      <c r="Z180" s="409"/>
      <c r="AA180" s="392"/>
      <c r="AB180" s="392"/>
      <c r="AC180" s="392"/>
      <c r="AD180" s="409"/>
      <c r="AE180" s="409"/>
      <c r="AF180" s="409"/>
      <c r="AG180" s="409"/>
      <c r="AH180" s="409"/>
      <c r="AI180" s="409"/>
      <c r="AJ180" s="409"/>
      <c r="AK180" s="409"/>
      <c r="AL180" s="409"/>
      <c r="AM180" s="409"/>
      <c r="AN180" s="409"/>
      <c r="AO180" s="409"/>
      <c r="AP180" s="409"/>
      <c r="AQ180" s="409"/>
      <c r="AR180" s="409"/>
      <c r="AS180" s="409"/>
      <c r="AT180" s="409"/>
      <c r="AU180" s="409"/>
      <c r="AV180" s="409"/>
      <c r="AW180" s="409"/>
      <c r="AX180" s="409"/>
      <c r="AY180" s="409"/>
      <c r="AZ180" s="409"/>
      <c r="BA180" s="409"/>
      <c r="BB180" s="409"/>
      <c r="BC180" s="409"/>
      <c r="BD180" s="407"/>
      <c r="BE180" s="444"/>
      <c r="BF180" s="444"/>
      <c r="BG180" s="444"/>
      <c r="BH180" s="444"/>
      <c r="BI180" s="444"/>
      <c r="BJ180" s="444"/>
      <c r="BK180" s="444"/>
      <c r="BL180" s="444"/>
      <c r="BM180" s="444"/>
      <c r="BN180" s="444"/>
      <c r="BO180" s="444"/>
      <c r="BP180" s="444"/>
      <c r="BQ180" s="444"/>
      <c r="BR180" s="444"/>
      <c r="BS180" s="444"/>
      <c r="BT180" s="444"/>
    </row>
    <row r="181" spans="1:72" ht="15">
      <c r="A181" s="392"/>
      <c r="B181" s="392"/>
      <c r="C181" s="392"/>
      <c r="D181" s="392"/>
      <c r="E181" s="392"/>
      <c r="F181" s="392"/>
      <c r="G181" s="392"/>
      <c r="H181" s="392"/>
      <c r="I181" s="392"/>
      <c r="J181" s="392"/>
      <c r="K181" s="392"/>
      <c r="L181" s="392"/>
      <c r="M181" s="392"/>
      <c r="N181" s="392"/>
      <c r="O181" s="392"/>
      <c r="P181" s="392"/>
      <c r="Q181" s="392"/>
      <c r="R181" s="392"/>
      <c r="S181" s="409"/>
      <c r="T181" s="409"/>
      <c r="U181" s="409"/>
      <c r="V181" s="409"/>
      <c r="W181" s="392"/>
      <c r="X181" s="392"/>
      <c r="Y181" s="409"/>
      <c r="Z181" s="409"/>
      <c r="AA181" s="392"/>
      <c r="AB181" s="392"/>
      <c r="AC181" s="392"/>
      <c r="AD181" s="409"/>
      <c r="AE181" s="409"/>
      <c r="AF181" s="409"/>
      <c r="AG181" s="409"/>
      <c r="AH181" s="409"/>
      <c r="AI181" s="409"/>
      <c r="AJ181" s="409"/>
      <c r="AK181" s="409"/>
      <c r="AL181" s="409"/>
      <c r="AM181" s="409"/>
      <c r="AN181" s="409"/>
      <c r="AO181" s="409"/>
      <c r="AP181" s="409"/>
      <c r="AQ181" s="409"/>
      <c r="AR181" s="409"/>
      <c r="AS181" s="409"/>
      <c r="AT181" s="409"/>
      <c r="AU181" s="409"/>
      <c r="AV181" s="409"/>
      <c r="AW181" s="409"/>
      <c r="AX181" s="409"/>
      <c r="AY181" s="409"/>
      <c r="AZ181" s="409"/>
      <c r="BA181" s="409"/>
      <c r="BB181" s="409"/>
      <c r="BC181" s="409"/>
      <c r="BD181" s="407"/>
      <c r="BE181" s="444"/>
      <c r="BF181" s="444"/>
      <c r="BG181" s="444"/>
      <c r="BH181" s="444"/>
      <c r="BI181" s="444"/>
      <c r="BJ181" s="444"/>
      <c r="BK181" s="444"/>
      <c r="BL181" s="444"/>
      <c r="BM181" s="444"/>
      <c r="BN181" s="444"/>
      <c r="BO181" s="444"/>
      <c r="BP181" s="444"/>
      <c r="BQ181" s="444"/>
      <c r="BR181" s="444"/>
      <c r="BS181" s="444"/>
      <c r="BT181" s="444"/>
    </row>
    <row r="182" spans="1:72" ht="15">
      <c r="A182" s="392"/>
      <c r="B182" s="392"/>
      <c r="C182" s="392"/>
      <c r="D182" s="392"/>
      <c r="E182" s="392"/>
      <c r="F182" s="392"/>
      <c r="G182" s="392"/>
      <c r="H182" s="392"/>
      <c r="I182" s="392"/>
      <c r="J182" s="392"/>
      <c r="K182" s="392"/>
      <c r="L182" s="392"/>
      <c r="M182" s="392"/>
      <c r="N182" s="392"/>
      <c r="O182" s="392"/>
      <c r="P182" s="392"/>
      <c r="Q182" s="392"/>
      <c r="R182" s="392"/>
      <c r="S182" s="409"/>
      <c r="T182" s="409"/>
      <c r="U182" s="409"/>
      <c r="V182" s="409"/>
      <c r="W182" s="392"/>
      <c r="X182" s="392"/>
      <c r="Y182" s="409"/>
      <c r="Z182" s="409"/>
      <c r="AA182" s="392"/>
      <c r="AB182" s="392"/>
      <c r="AC182" s="392"/>
      <c r="AD182" s="409"/>
      <c r="AE182" s="409"/>
      <c r="AF182" s="409"/>
      <c r="AG182" s="409"/>
      <c r="AH182" s="409"/>
      <c r="AI182" s="409"/>
      <c r="AJ182" s="409"/>
      <c r="AK182" s="409"/>
      <c r="AL182" s="409"/>
      <c r="AM182" s="409"/>
      <c r="AN182" s="409"/>
      <c r="AO182" s="409"/>
      <c r="AP182" s="409"/>
      <c r="AQ182" s="409"/>
      <c r="AR182" s="409"/>
      <c r="AS182" s="409"/>
      <c r="AT182" s="409"/>
      <c r="AU182" s="409"/>
      <c r="AV182" s="409"/>
      <c r="AW182" s="409"/>
      <c r="AX182" s="409"/>
      <c r="AY182" s="409"/>
      <c r="AZ182" s="409"/>
      <c r="BA182" s="409"/>
      <c r="BB182" s="409"/>
      <c r="BC182" s="409"/>
      <c r="BD182" s="407"/>
      <c r="BE182" s="444"/>
      <c r="BF182" s="444"/>
      <c r="BG182" s="444"/>
      <c r="BH182" s="444"/>
      <c r="BI182" s="444"/>
      <c r="BJ182" s="444"/>
      <c r="BK182" s="444"/>
      <c r="BL182" s="444"/>
      <c r="BM182" s="444"/>
      <c r="BN182" s="444"/>
      <c r="BO182" s="444"/>
      <c r="BP182" s="444"/>
      <c r="BQ182" s="444"/>
      <c r="BR182" s="444"/>
      <c r="BS182" s="444"/>
      <c r="BT182" s="444"/>
    </row>
    <row r="183" spans="1:72" ht="15">
      <c r="A183" s="392"/>
      <c r="B183" s="392"/>
      <c r="C183" s="392"/>
      <c r="D183" s="392"/>
      <c r="E183" s="392"/>
      <c r="F183" s="392"/>
      <c r="G183" s="392"/>
      <c r="H183" s="392"/>
      <c r="I183" s="392"/>
      <c r="J183" s="392"/>
      <c r="K183" s="392"/>
      <c r="L183" s="392"/>
      <c r="M183" s="392"/>
      <c r="N183" s="392"/>
      <c r="O183" s="392"/>
      <c r="P183" s="392"/>
      <c r="Q183" s="392"/>
      <c r="R183" s="392"/>
      <c r="S183" s="409"/>
      <c r="T183" s="409"/>
      <c r="U183" s="409"/>
      <c r="V183" s="409"/>
      <c r="W183" s="392"/>
      <c r="X183" s="392"/>
      <c r="Y183" s="409"/>
      <c r="Z183" s="409"/>
      <c r="AA183" s="392"/>
      <c r="AB183" s="392"/>
      <c r="AC183" s="392"/>
      <c r="AD183" s="409"/>
      <c r="AE183" s="409"/>
      <c r="AF183" s="409"/>
      <c r="AG183" s="409"/>
      <c r="AH183" s="409"/>
      <c r="AI183" s="409"/>
      <c r="AJ183" s="409"/>
      <c r="AK183" s="409"/>
      <c r="AL183" s="409"/>
      <c r="AM183" s="409"/>
      <c r="AN183" s="409"/>
      <c r="AO183" s="409"/>
      <c r="AP183" s="409"/>
      <c r="AQ183" s="409"/>
      <c r="AR183" s="409"/>
      <c r="AS183" s="409"/>
      <c r="AT183" s="409"/>
      <c r="AU183" s="409"/>
      <c r="AV183" s="409"/>
      <c r="AW183" s="409"/>
      <c r="AX183" s="409"/>
      <c r="AY183" s="409"/>
      <c r="AZ183" s="409"/>
      <c r="BA183" s="409"/>
      <c r="BB183" s="409"/>
      <c r="BC183" s="409"/>
      <c r="BD183" s="407"/>
      <c r="BE183" s="444"/>
      <c r="BF183" s="444"/>
      <c r="BG183" s="444"/>
      <c r="BH183" s="444"/>
      <c r="BI183" s="444"/>
      <c r="BJ183" s="444"/>
      <c r="BK183" s="444"/>
      <c r="BL183" s="444"/>
      <c r="BM183" s="444"/>
      <c r="BN183" s="444"/>
      <c r="BO183" s="444"/>
      <c r="BP183" s="444"/>
      <c r="BQ183" s="444"/>
      <c r="BR183" s="444"/>
      <c r="BS183" s="444"/>
      <c r="BT183" s="444"/>
    </row>
    <row r="184" spans="1:72" ht="15">
      <c r="A184" s="392"/>
      <c r="B184" s="392"/>
      <c r="C184" s="392"/>
      <c r="D184" s="392"/>
      <c r="E184" s="392"/>
      <c r="F184" s="392"/>
      <c r="G184" s="392"/>
      <c r="H184" s="392"/>
      <c r="I184" s="392"/>
      <c r="J184" s="392"/>
      <c r="K184" s="392"/>
      <c r="L184" s="392"/>
      <c r="M184" s="392"/>
      <c r="N184" s="392"/>
      <c r="O184" s="392"/>
      <c r="P184" s="392"/>
      <c r="Q184" s="392"/>
      <c r="R184" s="392"/>
      <c r="S184" s="409"/>
      <c r="T184" s="409"/>
      <c r="U184" s="409"/>
      <c r="V184" s="409"/>
      <c r="W184" s="392"/>
      <c r="X184" s="392"/>
      <c r="Y184" s="409"/>
      <c r="Z184" s="409"/>
      <c r="AA184" s="392"/>
      <c r="AB184" s="392"/>
      <c r="AC184" s="392"/>
      <c r="AD184" s="409"/>
      <c r="AE184" s="409"/>
      <c r="AF184" s="409"/>
      <c r="AG184" s="409"/>
      <c r="AH184" s="409"/>
      <c r="AI184" s="409"/>
      <c r="AJ184" s="409"/>
      <c r="AK184" s="409"/>
      <c r="AL184" s="409"/>
      <c r="AM184" s="409"/>
      <c r="AN184" s="409"/>
      <c r="AO184" s="409"/>
      <c r="AP184" s="409"/>
      <c r="AQ184" s="409"/>
      <c r="AR184" s="409"/>
      <c r="AS184" s="409"/>
      <c r="AT184" s="409"/>
      <c r="AU184" s="409"/>
      <c r="AV184" s="409"/>
      <c r="AW184" s="409"/>
      <c r="AX184" s="409"/>
      <c r="AY184" s="409"/>
      <c r="AZ184" s="409"/>
      <c r="BA184" s="409"/>
      <c r="BB184" s="409"/>
      <c r="BC184" s="409"/>
      <c r="BD184" s="407"/>
      <c r="BE184" s="444"/>
      <c r="BF184" s="444"/>
      <c r="BG184" s="444"/>
      <c r="BH184" s="444"/>
      <c r="BI184" s="444"/>
      <c r="BJ184" s="444"/>
      <c r="BK184" s="444"/>
      <c r="BL184" s="444"/>
      <c r="BM184" s="444"/>
      <c r="BN184" s="444"/>
      <c r="BO184" s="444"/>
      <c r="BP184" s="444"/>
      <c r="BQ184" s="444"/>
      <c r="BR184" s="444"/>
      <c r="BS184" s="444"/>
      <c r="BT184" s="444"/>
    </row>
    <row r="185" spans="1:72" ht="15">
      <c r="A185" s="392"/>
      <c r="B185" s="392"/>
      <c r="C185" s="392"/>
      <c r="D185" s="392"/>
      <c r="E185" s="392"/>
      <c r="F185" s="392"/>
      <c r="G185" s="392"/>
      <c r="H185" s="392"/>
      <c r="I185" s="392"/>
      <c r="J185" s="392"/>
      <c r="K185" s="392"/>
      <c r="L185" s="392"/>
      <c r="M185" s="392"/>
      <c r="N185" s="392"/>
      <c r="O185" s="392"/>
      <c r="P185" s="392"/>
      <c r="Q185" s="392"/>
      <c r="R185" s="392"/>
      <c r="S185" s="409"/>
      <c r="T185" s="409"/>
      <c r="U185" s="409"/>
      <c r="V185" s="409"/>
      <c r="W185" s="392"/>
      <c r="X185" s="392"/>
      <c r="Y185" s="409"/>
      <c r="Z185" s="409"/>
      <c r="AA185" s="392"/>
      <c r="AB185" s="392"/>
      <c r="AC185" s="392"/>
      <c r="AD185" s="409"/>
      <c r="AE185" s="409"/>
      <c r="AF185" s="409"/>
      <c r="AG185" s="409"/>
      <c r="AH185" s="409"/>
      <c r="AI185" s="409"/>
      <c r="AJ185" s="409"/>
      <c r="AK185" s="409"/>
      <c r="AL185" s="409"/>
      <c r="AM185" s="409"/>
      <c r="AN185" s="409"/>
      <c r="AO185" s="409"/>
      <c r="AP185" s="409"/>
      <c r="AQ185" s="409"/>
      <c r="AR185" s="409"/>
      <c r="AS185" s="409"/>
      <c r="AT185" s="409"/>
      <c r="AU185" s="409"/>
      <c r="AV185" s="409"/>
      <c r="AW185" s="409"/>
      <c r="AX185" s="409"/>
      <c r="AY185" s="409"/>
      <c r="AZ185" s="409"/>
      <c r="BA185" s="409"/>
      <c r="BB185" s="409"/>
      <c r="BC185" s="409"/>
      <c r="BD185" s="407"/>
      <c r="BE185" s="444"/>
      <c r="BF185" s="444"/>
      <c r="BG185" s="444"/>
      <c r="BH185" s="444"/>
      <c r="BI185" s="444"/>
      <c r="BJ185" s="444"/>
      <c r="BK185" s="444"/>
      <c r="BL185" s="444"/>
      <c r="BM185" s="444"/>
      <c r="BN185" s="444"/>
      <c r="BO185" s="444"/>
      <c r="BP185" s="444"/>
      <c r="BQ185" s="444"/>
      <c r="BR185" s="444"/>
      <c r="BS185" s="444"/>
      <c r="BT185" s="444"/>
    </row>
    <row r="186" spans="1:72" ht="15">
      <c r="A186" s="392"/>
      <c r="B186" s="392"/>
      <c r="C186" s="392"/>
      <c r="D186" s="392"/>
      <c r="E186" s="392"/>
      <c r="F186" s="392"/>
      <c r="G186" s="392"/>
      <c r="H186" s="392"/>
      <c r="I186" s="392"/>
      <c r="J186" s="392"/>
      <c r="K186" s="392"/>
      <c r="L186" s="392"/>
      <c r="M186" s="392"/>
      <c r="N186" s="392"/>
      <c r="O186" s="392"/>
      <c r="P186" s="392"/>
      <c r="Q186" s="392"/>
      <c r="R186" s="392"/>
      <c r="S186" s="409"/>
      <c r="T186" s="409"/>
      <c r="U186" s="409"/>
      <c r="V186" s="409"/>
      <c r="W186" s="392"/>
      <c r="X186" s="392"/>
      <c r="Y186" s="409"/>
      <c r="Z186" s="409"/>
      <c r="AA186" s="392"/>
      <c r="AB186" s="392"/>
      <c r="AC186" s="392"/>
      <c r="AD186" s="409"/>
      <c r="AE186" s="409"/>
      <c r="AF186" s="409"/>
      <c r="AG186" s="409"/>
      <c r="AH186" s="409"/>
      <c r="AI186" s="409"/>
      <c r="AJ186" s="409"/>
      <c r="AK186" s="409"/>
      <c r="AL186" s="409"/>
      <c r="AM186" s="409"/>
      <c r="AN186" s="409"/>
      <c r="AO186" s="409"/>
      <c r="AP186" s="409"/>
      <c r="AQ186" s="409"/>
      <c r="AR186" s="409"/>
      <c r="AS186" s="409"/>
      <c r="AT186" s="409"/>
      <c r="AU186" s="409"/>
      <c r="AV186" s="409"/>
      <c r="AW186" s="409"/>
      <c r="AX186" s="409"/>
      <c r="AY186" s="409"/>
      <c r="AZ186" s="409"/>
      <c r="BA186" s="409"/>
      <c r="BB186" s="409"/>
      <c r="BC186" s="409"/>
      <c r="BD186" s="407"/>
      <c r="BE186" s="444"/>
      <c r="BF186" s="444"/>
      <c r="BG186" s="444"/>
      <c r="BH186" s="444"/>
      <c r="BI186" s="444"/>
      <c r="BJ186" s="444"/>
      <c r="BK186" s="444"/>
      <c r="BL186" s="444"/>
      <c r="BM186" s="444"/>
      <c r="BN186" s="444"/>
      <c r="BO186" s="444"/>
      <c r="BP186" s="444"/>
      <c r="BQ186" s="444"/>
      <c r="BR186" s="444"/>
      <c r="BS186" s="444"/>
      <c r="BT186" s="444"/>
    </row>
    <row r="187" spans="1:72" ht="15">
      <c r="A187" s="392"/>
      <c r="B187" s="392"/>
      <c r="C187" s="392"/>
      <c r="D187" s="392"/>
      <c r="E187" s="392"/>
      <c r="F187" s="392"/>
      <c r="G187" s="392"/>
      <c r="H187" s="392"/>
      <c r="I187" s="392"/>
      <c r="J187" s="392"/>
      <c r="K187" s="392"/>
      <c r="L187" s="392"/>
      <c r="M187" s="392"/>
      <c r="N187" s="392"/>
      <c r="O187" s="392"/>
      <c r="P187" s="392"/>
      <c r="Q187" s="392"/>
      <c r="R187" s="392"/>
      <c r="S187" s="409"/>
      <c r="T187" s="409"/>
      <c r="U187" s="409"/>
      <c r="V187" s="409"/>
      <c r="W187" s="392"/>
      <c r="X187" s="392"/>
      <c r="Y187" s="409"/>
      <c r="Z187" s="409"/>
      <c r="AA187" s="392"/>
      <c r="AB187" s="392"/>
      <c r="AC187" s="392"/>
      <c r="AD187" s="409"/>
      <c r="AE187" s="409"/>
      <c r="AF187" s="409"/>
      <c r="AG187" s="409"/>
      <c r="AH187" s="409"/>
      <c r="AI187" s="409"/>
      <c r="AJ187" s="409"/>
      <c r="AK187" s="409"/>
      <c r="AL187" s="409"/>
      <c r="AM187" s="409"/>
      <c r="AN187" s="409"/>
      <c r="AO187" s="409"/>
      <c r="AP187" s="409"/>
      <c r="AQ187" s="409"/>
      <c r="AR187" s="409"/>
      <c r="AS187" s="409"/>
      <c r="AT187" s="409"/>
      <c r="AU187" s="409"/>
      <c r="AV187" s="409"/>
      <c r="AW187" s="409"/>
      <c r="AX187" s="409"/>
      <c r="AY187" s="409"/>
      <c r="AZ187" s="409"/>
      <c r="BA187" s="409"/>
      <c r="BB187" s="409"/>
      <c r="BC187" s="409"/>
      <c r="BD187" s="407"/>
      <c r="BE187" s="444"/>
      <c r="BF187" s="444"/>
      <c r="BG187" s="444"/>
      <c r="BH187" s="444"/>
      <c r="BI187" s="444"/>
      <c r="BJ187" s="444"/>
      <c r="BK187" s="444"/>
      <c r="BL187" s="444"/>
      <c r="BM187" s="444"/>
      <c r="BN187" s="444"/>
      <c r="BO187" s="444"/>
      <c r="BP187" s="444"/>
      <c r="BQ187" s="444"/>
      <c r="BR187" s="444"/>
      <c r="BS187" s="444"/>
      <c r="BT187" s="444"/>
    </row>
    <row r="188" spans="1:72" ht="15">
      <c r="A188" s="392"/>
      <c r="B188" s="392"/>
      <c r="C188" s="392"/>
      <c r="D188" s="392"/>
      <c r="E188" s="392"/>
      <c r="F188" s="392"/>
      <c r="G188" s="392"/>
      <c r="H188" s="392"/>
      <c r="I188" s="392"/>
      <c r="J188" s="392"/>
      <c r="K188" s="392"/>
      <c r="L188" s="392"/>
      <c r="M188" s="392"/>
      <c r="N188" s="392"/>
      <c r="O188" s="392"/>
      <c r="P188" s="392"/>
      <c r="Q188" s="392"/>
      <c r="R188" s="392"/>
      <c r="S188" s="409"/>
      <c r="T188" s="409"/>
      <c r="U188" s="409"/>
      <c r="V188" s="409"/>
      <c r="W188" s="392"/>
      <c r="X188" s="392"/>
      <c r="Y188" s="409"/>
      <c r="Z188" s="409"/>
      <c r="AA188" s="392"/>
      <c r="AB188" s="392"/>
      <c r="AC188" s="392"/>
      <c r="AD188" s="409"/>
      <c r="AE188" s="409"/>
      <c r="AF188" s="409"/>
      <c r="AG188" s="409"/>
      <c r="AH188" s="409"/>
      <c r="AI188" s="409"/>
      <c r="AJ188" s="409"/>
      <c r="AK188" s="409"/>
      <c r="AL188" s="409"/>
      <c r="AM188" s="409"/>
      <c r="AN188" s="409"/>
      <c r="AO188" s="409"/>
      <c r="AP188" s="409"/>
      <c r="AQ188" s="409"/>
      <c r="AR188" s="409"/>
      <c r="AS188" s="409"/>
      <c r="AT188" s="409"/>
      <c r="AU188" s="409"/>
      <c r="AV188" s="409"/>
      <c r="AW188" s="409"/>
      <c r="AX188" s="409"/>
      <c r="AY188" s="409"/>
      <c r="AZ188" s="409"/>
      <c r="BA188" s="409"/>
      <c r="BB188" s="409"/>
      <c r="BC188" s="409"/>
      <c r="BD188" s="407"/>
      <c r="BE188" s="444"/>
      <c r="BF188" s="444"/>
      <c r="BG188" s="444"/>
      <c r="BH188" s="444"/>
      <c r="BI188" s="444"/>
      <c r="BJ188" s="444"/>
      <c r="BK188" s="444"/>
      <c r="BL188" s="444"/>
      <c r="BM188" s="444"/>
      <c r="BN188" s="444"/>
      <c r="BO188" s="444"/>
      <c r="BP188" s="444"/>
      <c r="BQ188" s="444"/>
      <c r="BR188" s="444"/>
      <c r="BS188" s="444"/>
      <c r="BT188" s="444"/>
    </row>
    <row r="189" spans="1:72" ht="15">
      <c r="A189" s="392"/>
      <c r="B189" s="392"/>
      <c r="C189" s="392"/>
      <c r="D189" s="392"/>
      <c r="E189" s="392"/>
      <c r="F189" s="392"/>
      <c r="G189" s="392"/>
      <c r="H189" s="392"/>
      <c r="I189" s="392"/>
      <c r="J189" s="392"/>
      <c r="K189" s="392"/>
      <c r="L189" s="392"/>
      <c r="M189" s="392"/>
      <c r="N189" s="392"/>
      <c r="O189" s="392"/>
      <c r="P189" s="392"/>
      <c r="Q189" s="392"/>
      <c r="R189" s="392"/>
      <c r="S189" s="409"/>
      <c r="T189" s="409"/>
      <c r="U189" s="409"/>
      <c r="V189" s="409"/>
      <c r="W189" s="392"/>
      <c r="X189" s="392"/>
      <c r="Y189" s="409"/>
      <c r="Z189" s="409"/>
      <c r="AA189" s="392"/>
      <c r="AB189" s="392"/>
      <c r="AC189" s="392"/>
      <c r="AD189" s="409"/>
      <c r="AE189" s="409"/>
      <c r="AF189" s="409"/>
      <c r="AG189" s="409"/>
      <c r="AH189" s="409"/>
      <c r="AI189" s="409"/>
      <c r="AJ189" s="409"/>
      <c r="AK189" s="409"/>
      <c r="AL189" s="409"/>
      <c r="AM189" s="409"/>
      <c r="AN189" s="409"/>
      <c r="AO189" s="409"/>
      <c r="AP189" s="409"/>
      <c r="AQ189" s="409"/>
      <c r="AR189" s="409"/>
      <c r="AS189" s="409"/>
      <c r="AT189" s="409"/>
      <c r="AU189" s="409"/>
      <c r="AV189" s="409"/>
      <c r="AW189" s="409"/>
      <c r="AX189" s="409"/>
      <c r="AY189" s="409"/>
      <c r="AZ189" s="409"/>
      <c r="BA189" s="409"/>
      <c r="BB189" s="409"/>
      <c r="BC189" s="409"/>
      <c r="BD189" s="407"/>
      <c r="BE189" s="444"/>
      <c r="BF189" s="444"/>
      <c r="BG189" s="444"/>
      <c r="BH189" s="444"/>
      <c r="BI189" s="444"/>
      <c r="BJ189" s="444"/>
      <c r="BK189" s="444"/>
      <c r="BL189" s="444"/>
      <c r="BM189" s="444"/>
      <c r="BN189" s="444"/>
      <c r="BO189" s="444"/>
      <c r="BP189" s="444"/>
      <c r="BQ189" s="444"/>
      <c r="BR189" s="444"/>
      <c r="BS189" s="444"/>
      <c r="BT189" s="444"/>
    </row>
    <row r="190" spans="1:72" ht="15">
      <c r="A190" s="392"/>
      <c r="B190" s="392"/>
      <c r="C190" s="392"/>
      <c r="D190" s="392"/>
      <c r="E190" s="392"/>
      <c r="F190" s="392"/>
      <c r="G190" s="392"/>
      <c r="H190" s="392"/>
      <c r="I190" s="392"/>
      <c r="J190" s="392"/>
      <c r="K190" s="392"/>
      <c r="L190" s="392"/>
      <c r="M190" s="392"/>
      <c r="N190" s="392"/>
      <c r="O190" s="392"/>
      <c r="P190" s="392"/>
      <c r="Q190" s="392"/>
      <c r="R190" s="392"/>
      <c r="S190" s="409"/>
      <c r="T190" s="409"/>
      <c r="U190" s="409"/>
      <c r="V190" s="409"/>
      <c r="W190" s="392"/>
      <c r="X190" s="392"/>
      <c r="Y190" s="409"/>
      <c r="Z190" s="409"/>
      <c r="AA190" s="392"/>
      <c r="AB190" s="392"/>
      <c r="AC190" s="392"/>
      <c r="AD190" s="409"/>
      <c r="AE190" s="409"/>
      <c r="AF190" s="409"/>
      <c r="AG190" s="409"/>
      <c r="AH190" s="409"/>
      <c r="AI190" s="409"/>
      <c r="AJ190" s="409"/>
      <c r="AK190" s="409"/>
      <c r="AL190" s="409"/>
      <c r="AM190" s="409"/>
      <c r="AN190" s="409"/>
      <c r="AO190" s="409"/>
      <c r="AP190" s="409"/>
      <c r="AQ190" s="409"/>
      <c r="AR190" s="409"/>
      <c r="AS190" s="409"/>
      <c r="AT190" s="409"/>
      <c r="AU190" s="409"/>
      <c r="AV190" s="409"/>
      <c r="AW190" s="409"/>
      <c r="AX190" s="409"/>
      <c r="AY190" s="409"/>
      <c r="AZ190" s="409"/>
      <c r="BA190" s="409"/>
      <c r="BB190" s="409"/>
      <c r="BC190" s="409"/>
      <c r="BD190" s="407"/>
      <c r="BE190" s="444"/>
      <c r="BF190" s="444"/>
      <c r="BG190" s="444"/>
      <c r="BH190" s="444"/>
      <c r="BI190" s="444"/>
      <c r="BJ190" s="444"/>
      <c r="BK190" s="444"/>
      <c r="BL190" s="444"/>
      <c r="BM190" s="444"/>
      <c r="BN190" s="444"/>
      <c r="BO190" s="444"/>
      <c r="BP190" s="444"/>
      <c r="BQ190" s="444"/>
      <c r="BR190" s="444"/>
      <c r="BS190" s="444"/>
      <c r="BT190" s="444"/>
    </row>
    <row r="191" spans="1:72" ht="15">
      <c r="A191" s="392"/>
      <c r="B191" s="392"/>
      <c r="C191" s="392"/>
      <c r="D191" s="392"/>
      <c r="E191" s="392"/>
      <c r="F191" s="392"/>
      <c r="G191" s="392"/>
      <c r="H191" s="392"/>
      <c r="I191" s="392"/>
      <c r="J191" s="392"/>
      <c r="K191" s="392"/>
      <c r="L191" s="392"/>
      <c r="M191" s="392"/>
      <c r="N191" s="392"/>
      <c r="O191" s="392"/>
      <c r="P191" s="392"/>
      <c r="Q191" s="392"/>
      <c r="R191" s="392"/>
      <c r="S191" s="409"/>
      <c r="T191" s="409"/>
      <c r="U191" s="409"/>
      <c r="V191" s="409"/>
      <c r="W191" s="392"/>
      <c r="X191" s="392"/>
      <c r="Y191" s="409"/>
      <c r="Z191" s="409"/>
      <c r="AA191" s="392"/>
      <c r="AB191" s="392"/>
      <c r="AC191" s="392"/>
      <c r="AD191" s="409"/>
      <c r="AE191" s="409"/>
      <c r="AF191" s="409"/>
      <c r="AG191" s="409"/>
      <c r="AH191" s="409"/>
      <c r="AI191" s="409"/>
      <c r="AJ191" s="409"/>
      <c r="AK191" s="409"/>
      <c r="AL191" s="409"/>
      <c r="AM191" s="409"/>
      <c r="AN191" s="409"/>
      <c r="AO191" s="409"/>
      <c r="AP191" s="409"/>
      <c r="AQ191" s="409"/>
      <c r="AR191" s="409"/>
      <c r="AS191" s="409"/>
      <c r="AT191" s="409"/>
      <c r="AU191" s="409"/>
      <c r="AV191" s="409"/>
      <c r="AW191" s="409"/>
      <c r="AX191" s="409"/>
      <c r="AY191" s="409"/>
      <c r="AZ191" s="409"/>
      <c r="BA191" s="409"/>
      <c r="BB191" s="409"/>
      <c r="BC191" s="409"/>
      <c r="BD191" s="407"/>
      <c r="BE191" s="444"/>
      <c r="BF191" s="444"/>
      <c r="BG191" s="444"/>
      <c r="BH191" s="444"/>
      <c r="BI191" s="444"/>
      <c r="BJ191" s="444"/>
      <c r="BK191" s="444"/>
      <c r="BL191" s="444"/>
      <c r="BM191" s="444"/>
      <c r="BN191" s="444"/>
      <c r="BO191" s="444"/>
      <c r="BP191" s="444"/>
      <c r="BQ191" s="444"/>
      <c r="BR191" s="444"/>
      <c r="BS191" s="444"/>
      <c r="BT191" s="444"/>
    </row>
    <row r="192" spans="1:72" ht="15">
      <c r="A192" s="392"/>
      <c r="B192" s="392"/>
      <c r="C192" s="392"/>
      <c r="D192" s="392"/>
      <c r="E192" s="392"/>
      <c r="F192" s="392"/>
      <c r="G192" s="392"/>
      <c r="H192" s="392"/>
      <c r="I192" s="392"/>
      <c r="J192" s="392"/>
      <c r="K192" s="392"/>
      <c r="L192" s="392"/>
      <c r="M192" s="392"/>
      <c r="N192" s="392"/>
      <c r="O192" s="392"/>
      <c r="P192" s="392"/>
      <c r="Q192" s="392"/>
      <c r="R192" s="392"/>
      <c r="S192" s="409"/>
      <c r="T192" s="409"/>
      <c r="U192" s="409"/>
      <c r="V192" s="409"/>
      <c r="W192" s="392"/>
      <c r="X192" s="392"/>
      <c r="Y192" s="409"/>
      <c r="Z192" s="409"/>
      <c r="AA192" s="392"/>
      <c r="AB192" s="392"/>
      <c r="AC192" s="392"/>
      <c r="AD192" s="409"/>
      <c r="AE192" s="409"/>
      <c r="AF192" s="409"/>
      <c r="AG192" s="409"/>
      <c r="AH192" s="409"/>
      <c r="AI192" s="409"/>
      <c r="AJ192" s="409"/>
      <c r="AK192" s="409"/>
      <c r="AL192" s="409"/>
      <c r="AM192" s="409"/>
      <c r="AN192" s="409"/>
      <c r="AO192" s="409"/>
      <c r="AP192" s="409"/>
      <c r="AQ192" s="409"/>
      <c r="AR192" s="409"/>
      <c r="AS192" s="409"/>
      <c r="AT192" s="409"/>
      <c r="AU192" s="409"/>
      <c r="AV192" s="409"/>
      <c r="AW192" s="409"/>
      <c r="AX192" s="409"/>
      <c r="AY192" s="409"/>
      <c r="AZ192" s="409"/>
      <c r="BA192" s="409"/>
      <c r="BB192" s="409"/>
      <c r="BC192" s="409"/>
      <c r="BD192" s="407"/>
      <c r="BE192" s="444"/>
      <c r="BF192" s="444"/>
      <c r="BG192" s="444"/>
      <c r="BH192" s="444"/>
      <c r="BI192" s="444"/>
      <c r="BJ192" s="444"/>
      <c r="BK192" s="444"/>
      <c r="BL192" s="444"/>
      <c r="BM192" s="444"/>
      <c r="BN192" s="444"/>
      <c r="BO192" s="444"/>
      <c r="BP192" s="444"/>
      <c r="BQ192" s="444"/>
      <c r="BR192" s="444"/>
      <c r="BS192" s="444"/>
      <c r="BT192" s="444"/>
    </row>
    <row r="193" spans="1:72" ht="15">
      <c r="A193" s="392"/>
      <c r="B193" s="392"/>
      <c r="C193" s="392"/>
      <c r="D193" s="392"/>
      <c r="E193" s="392"/>
      <c r="F193" s="392"/>
      <c r="G193" s="392"/>
      <c r="H193" s="392"/>
      <c r="I193" s="392"/>
      <c r="J193" s="392"/>
      <c r="K193" s="392"/>
      <c r="L193" s="392"/>
      <c r="M193" s="392"/>
      <c r="N193" s="392"/>
      <c r="O193" s="392"/>
      <c r="P193" s="392"/>
      <c r="Q193" s="392"/>
      <c r="R193" s="392"/>
      <c r="S193" s="409"/>
      <c r="T193" s="409"/>
      <c r="U193" s="409"/>
      <c r="V193" s="409"/>
      <c r="W193" s="392"/>
      <c r="X193" s="392"/>
      <c r="Y193" s="409"/>
      <c r="Z193" s="409"/>
      <c r="AA193" s="392"/>
      <c r="AB193" s="392"/>
      <c r="AC193" s="392"/>
      <c r="AD193" s="409"/>
      <c r="AE193" s="409"/>
      <c r="AF193" s="409"/>
      <c r="AG193" s="409"/>
      <c r="AH193" s="409"/>
      <c r="AI193" s="409"/>
      <c r="AJ193" s="409"/>
      <c r="AK193" s="409"/>
      <c r="AL193" s="409"/>
      <c r="AM193" s="409"/>
      <c r="AN193" s="409"/>
      <c r="AO193" s="409"/>
      <c r="AP193" s="409"/>
      <c r="AQ193" s="409"/>
      <c r="AR193" s="409"/>
      <c r="AS193" s="409"/>
      <c r="AT193" s="409"/>
      <c r="AU193" s="409"/>
      <c r="AV193" s="409"/>
      <c r="AW193" s="409"/>
      <c r="AX193" s="409"/>
      <c r="AY193" s="409"/>
      <c r="AZ193" s="409"/>
      <c r="BA193" s="409"/>
      <c r="BB193" s="409"/>
      <c r="BC193" s="409"/>
      <c r="BD193" s="407"/>
      <c r="BE193" s="444"/>
      <c r="BF193" s="444"/>
      <c r="BG193" s="444"/>
      <c r="BH193" s="444"/>
      <c r="BI193" s="444"/>
      <c r="BJ193" s="444"/>
      <c r="BK193" s="444"/>
      <c r="BL193" s="444"/>
      <c r="BM193" s="444"/>
      <c r="BN193" s="444"/>
      <c r="BO193" s="444"/>
      <c r="BP193" s="444"/>
      <c r="BQ193" s="444"/>
      <c r="BR193" s="444"/>
      <c r="BS193" s="444"/>
      <c r="BT193" s="444"/>
    </row>
    <row r="194" spans="1:72" ht="15">
      <c r="A194" s="392"/>
      <c r="B194" s="392"/>
      <c r="C194" s="392"/>
      <c r="D194" s="392"/>
      <c r="E194" s="392"/>
      <c r="F194" s="392"/>
      <c r="G194" s="392"/>
      <c r="H194" s="392"/>
      <c r="I194" s="392"/>
      <c r="J194" s="392"/>
      <c r="K194" s="392"/>
      <c r="L194" s="392"/>
      <c r="M194" s="392"/>
      <c r="N194" s="392"/>
      <c r="O194" s="392"/>
      <c r="P194" s="392"/>
      <c r="Q194" s="392"/>
      <c r="R194" s="392"/>
      <c r="S194" s="409"/>
      <c r="T194" s="409"/>
      <c r="U194" s="409"/>
      <c r="V194" s="409"/>
      <c r="W194" s="392"/>
      <c r="X194" s="392"/>
      <c r="Y194" s="409"/>
      <c r="Z194" s="409"/>
      <c r="AA194" s="392"/>
      <c r="AB194" s="392"/>
      <c r="AC194" s="392"/>
      <c r="AD194" s="409"/>
      <c r="AE194" s="409"/>
      <c r="AF194" s="409"/>
      <c r="AG194" s="409"/>
      <c r="AH194" s="409"/>
      <c r="AI194" s="409"/>
      <c r="AJ194" s="409"/>
      <c r="AK194" s="409"/>
      <c r="AL194" s="409"/>
      <c r="AM194" s="409"/>
      <c r="AN194" s="409"/>
      <c r="AO194" s="409"/>
      <c r="AP194" s="409"/>
      <c r="AQ194" s="409"/>
      <c r="AR194" s="409"/>
      <c r="AS194" s="409"/>
      <c r="AT194" s="409"/>
      <c r="AU194" s="409"/>
      <c r="AV194" s="409"/>
      <c r="AW194" s="409"/>
      <c r="AX194" s="409"/>
      <c r="AY194" s="409"/>
      <c r="AZ194" s="409"/>
      <c r="BA194" s="409"/>
      <c r="BB194" s="409"/>
      <c r="BC194" s="409"/>
      <c r="BD194" s="407"/>
      <c r="BE194" s="444"/>
      <c r="BF194" s="444"/>
      <c r="BG194" s="444"/>
      <c r="BH194" s="444"/>
      <c r="BI194" s="444"/>
      <c r="BJ194" s="444"/>
      <c r="BK194" s="444"/>
      <c r="BL194" s="444"/>
      <c r="BM194" s="444"/>
      <c r="BN194" s="444"/>
      <c r="BO194" s="444"/>
      <c r="BP194" s="444"/>
      <c r="BQ194" s="444"/>
      <c r="BR194" s="444"/>
      <c r="BS194" s="444"/>
      <c r="BT194" s="444"/>
    </row>
    <row r="195" spans="1:72" ht="15">
      <c r="A195" s="392"/>
      <c r="B195" s="392"/>
      <c r="C195" s="392"/>
      <c r="D195" s="392"/>
      <c r="E195" s="392"/>
      <c r="F195" s="392"/>
      <c r="G195" s="392"/>
      <c r="H195" s="392"/>
      <c r="I195" s="392"/>
      <c r="J195" s="392"/>
      <c r="K195" s="392"/>
      <c r="L195" s="392"/>
      <c r="M195" s="392"/>
      <c r="N195" s="392"/>
      <c r="O195" s="392"/>
      <c r="P195" s="392"/>
      <c r="Q195" s="392"/>
      <c r="R195" s="392"/>
      <c r="S195" s="409"/>
      <c r="T195" s="409"/>
      <c r="U195" s="409"/>
      <c r="V195" s="409"/>
      <c r="W195" s="392"/>
      <c r="X195" s="392"/>
      <c r="Y195" s="409"/>
      <c r="Z195" s="409"/>
      <c r="AA195" s="392"/>
      <c r="AB195" s="392"/>
      <c r="AC195" s="392"/>
      <c r="AD195" s="409"/>
      <c r="AE195" s="409"/>
      <c r="AF195" s="409"/>
      <c r="AG195" s="409"/>
      <c r="AH195" s="409"/>
      <c r="AI195" s="409"/>
      <c r="AJ195" s="409"/>
      <c r="AK195" s="409"/>
      <c r="AL195" s="409"/>
      <c r="AM195" s="409"/>
      <c r="AN195" s="409"/>
      <c r="AO195" s="409"/>
      <c r="AP195" s="409"/>
      <c r="AQ195" s="409"/>
      <c r="AR195" s="409"/>
      <c r="AS195" s="409"/>
      <c r="AT195" s="409"/>
      <c r="AU195" s="409"/>
      <c r="AV195" s="409"/>
      <c r="AW195" s="409"/>
      <c r="AX195" s="409"/>
      <c r="AY195" s="409"/>
      <c r="AZ195" s="409"/>
      <c r="BA195" s="409"/>
      <c r="BB195" s="409"/>
      <c r="BC195" s="409"/>
      <c r="BD195" s="407"/>
      <c r="BE195" s="444"/>
      <c r="BF195" s="444"/>
      <c r="BG195" s="444"/>
      <c r="BH195" s="444"/>
      <c r="BI195" s="444"/>
      <c r="BJ195" s="444"/>
      <c r="BK195" s="444"/>
      <c r="BL195" s="444"/>
      <c r="BM195" s="444"/>
      <c r="BN195" s="444"/>
      <c r="BO195" s="444"/>
      <c r="BP195" s="444"/>
      <c r="BQ195" s="444"/>
      <c r="BR195" s="444"/>
      <c r="BS195" s="444"/>
      <c r="BT195" s="444"/>
    </row>
    <row r="196" spans="1:72" ht="15">
      <c r="A196" s="392"/>
      <c r="B196" s="392"/>
      <c r="C196" s="392"/>
      <c r="D196" s="392"/>
      <c r="E196" s="392"/>
      <c r="F196" s="392"/>
      <c r="G196" s="392"/>
      <c r="H196" s="392"/>
      <c r="I196" s="392"/>
      <c r="J196" s="392"/>
      <c r="K196" s="392"/>
      <c r="L196" s="392"/>
      <c r="M196" s="392"/>
      <c r="N196" s="392"/>
      <c r="O196" s="392"/>
      <c r="P196" s="392"/>
      <c r="Q196" s="392"/>
      <c r="R196" s="392"/>
      <c r="S196" s="409"/>
      <c r="T196" s="409"/>
      <c r="U196" s="409"/>
      <c r="V196" s="409"/>
      <c r="W196" s="392"/>
      <c r="X196" s="392"/>
      <c r="Y196" s="409"/>
      <c r="Z196" s="409"/>
      <c r="AA196" s="392"/>
      <c r="AB196" s="392"/>
      <c r="AC196" s="392"/>
      <c r="AD196" s="409"/>
      <c r="AE196" s="409"/>
      <c r="AF196" s="409"/>
      <c r="AG196" s="409"/>
      <c r="AH196" s="409"/>
      <c r="AI196" s="409"/>
      <c r="AJ196" s="409"/>
      <c r="AK196" s="409"/>
      <c r="AL196" s="409"/>
      <c r="AM196" s="409"/>
      <c r="AN196" s="409"/>
      <c r="AO196" s="409"/>
      <c r="AP196" s="409"/>
      <c r="AQ196" s="409"/>
      <c r="AR196" s="409"/>
      <c r="AS196" s="409"/>
      <c r="AT196" s="409"/>
      <c r="AU196" s="409"/>
      <c r="AV196" s="409"/>
      <c r="AW196" s="409"/>
      <c r="AX196" s="409"/>
      <c r="AY196" s="409"/>
      <c r="AZ196" s="409"/>
      <c r="BA196" s="409"/>
      <c r="BB196" s="409"/>
      <c r="BC196" s="409"/>
      <c r="BD196" s="407"/>
      <c r="BE196" s="444"/>
      <c r="BF196" s="444"/>
      <c r="BG196" s="444"/>
      <c r="BH196" s="444"/>
      <c r="BI196" s="444"/>
      <c r="BJ196" s="444"/>
      <c r="BK196" s="444"/>
      <c r="BL196" s="444"/>
      <c r="BM196" s="444"/>
      <c r="BN196" s="444"/>
      <c r="BO196" s="444"/>
      <c r="BP196" s="444"/>
      <c r="BQ196" s="444"/>
      <c r="BR196" s="444"/>
      <c r="BS196" s="444"/>
      <c r="BT196" s="444"/>
    </row>
    <row r="197" spans="1:72" ht="15">
      <c r="A197" s="392"/>
      <c r="B197" s="392"/>
      <c r="C197" s="392"/>
      <c r="D197" s="392"/>
      <c r="E197" s="392"/>
      <c r="F197" s="392"/>
      <c r="G197" s="392"/>
      <c r="H197" s="392"/>
      <c r="I197" s="392"/>
      <c r="J197" s="392"/>
      <c r="K197" s="392"/>
      <c r="L197" s="392"/>
      <c r="M197" s="392"/>
      <c r="N197" s="392"/>
      <c r="O197" s="392"/>
      <c r="P197" s="392"/>
      <c r="Q197" s="392"/>
      <c r="R197" s="392"/>
      <c r="S197" s="409"/>
      <c r="T197" s="409"/>
      <c r="U197" s="409"/>
      <c r="V197" s="409"/>
      <c r="W197" s="392"/>
      <c r="X197" s="392"/>
      <c r="Y197" s="409"/>
      <c r="Z197" s="409"/>
      <c r="AA197" s="392"/>
      <c r="AB197" s="392"/>
      <c r="AC197" s="392"/>
      <c r="AD197" s="409"/>
      <c r="AE197" s="409"/>
      <c r="AF197" s="409"/>
      <c r="AG197" s="409"/>
      <c r="AH197" s="409"/>
      <c r="AI197" s="409"/>
      <c r="AJ197" s="409"/>
      <c r="AK197" s="409"/>
      <c r="AL197" s="409"/>
      <c r="AM197" s="409"/>
      <c r="AN197" s="409"/>
      <c r="AO197" s="409"/>
      <c r="AP197" s="409"/>
      <c r="AQ197" s="409"/>
      <c r="AR197" s="409"/>
      <c r="AS197" s="409"/>
      <c r="AT197" s="409"/>
      <c r="AU197" s="409"/>
      <c r="AV197" s="409"/>
      <c r="AW197" s="409"/>
      <c r="AX197" s="409"/>
      <c r="AY197" s="409"/>
      <c r="AZ197" s="409"/>
      <c r="BA197" s="409"/>
      <c r="BB197" s="409"/>
      <c r="BC197" s="409"/>
      <c r="BD197" s="407"/>
      <c r="BE197" s="444"/>
      <c r="BF197" s="444"/>
      <c r="BG197" s="444"/>
      <c r="BH197" s="444"/>
      <c r="BI197" s="444"/>
      <c r="BJ197" s="444"/>
      <c r="BK197" s="444"/>
      <c r="BL197" s="444"/>
      <c r="BM197" s="444"/>
      <c r="BN197" s="444"/>
      <c r="BO197" s="444"/>
      <c r="BP197" s="444"/>
      <c r="BQ197" s="444"/>
      <c r="BR197" s="444"/>
      <c r="BS197" s="444"/>
      <c r="BT197" s="444"/>
    </row>
    <row r="198" spans="1:72" ht="15">
      <c r="A198" s="392"/>
      <c r="B198" s="392"/>
      <c r="C198" s="392"/>
      <c r="D198" s="392"/>
      <c r="E198" s="392"/>
      <c r="F198" s="392"/>
      <c r="G198" s="392"/>
      <c r="H198" s="392"/>
      <c r="I198" s="392"/>
      <c r="J198" s="392"/>
      <c r="K198" s="392"/>
      <c r="L198" s="392"/>
      <c r="M198" s="392"/>
      <c r="N198" s="392"/>
      <c r="O198" s="392"/>
      <c r="P198" s="392"/>
      <c r="Q198" s="392"/>
      <c r="R198" s="392"/>
      <c r="S198" s="409"/>
      <c r="T198" s="409"/>
      <c r="U198" s="409"/>
      <c r="V198" s="409"/>
      <c r="W198" s="392"/>
      <c r="X198" s="392"/>
      <c r="Y198" s="409"/>
      <c r="Z198" s="409"/>
      <c r="AA198" s="392"/>
      <c r="AB198" s="392"/>
      <c r="AC198" s="392"/>
      <c r="AD198" s="409"/>
      <c r="AE198" s="409"/>
      <c r="AF198" s="409"/>
      <c r="AG198" s="409"/>
      <c r="AH198" s="409"/>
      <c r="AI198" s="409"/>
      <c r="AJ198" s="409"/>
      <c r="AK198" s="409"/>
      <c r="AL198" s="409"/>
      <c r="AM198" s="409"/>
      <c r="AN198" s="409"/>
      <c r="AO198" s="409"/>
      <c r="AP198" s="409"/>
      <c r="AQ198" s="409"/>
      <c r="AR198" s="409"/>
      <c r="AS198" s="409"/>
      <c r="AT198" s="409"/>
      <c r="AU198" s="409"/>
      <c r="AV198" s="409"/>
      <c r="AW198" s="409"/>
      <c r="AX198" s="409"/>
      <c r="AY198" s="409"/>
      <c r="AZ198" s="409"/>
      <c r="BA198" s="409"/>
      <c r="BB198" s="409"/>
      <c r="BC198" s="409"/>
      <c r="BD198" s="407"/>
      <c r="BE198" s="444"/>
      <c r="BF198" s="444"/>
      <c r="BG198" s="444"/>
      <c r="BH198" s="444"/>
      <c r="BI198" s="444"/>
      <c r="BJ198" s="444"/>
      <c r="BK198" s="444"/>
      <c r="BL198" s="444"/>
      <c r="BM198" s="444"/>
      <c r="BN198" s="444"/>
      <c r="BO198" s="444"/>
      <c r="BP198" s="444"/>
      <c r="BQ198" s="444"/>
      <c r="BR198" s="444"/>
      <c r="BS198" s="444"/>
      <c r="BT198" s="444"/>
    </row>
    <row r="199" spans="1:72" ht="15">
      <c r="A199" s="392"/>
      <c r="B199" s="392"/>
      <c r="C199" s="392"/>
      <c r="D199" s="392"/>
      <c r="E199" s="392"/>
      <c r="F199" s="392"/>
      <c r="G199" s="392"/>
      <c r="H199" s="392"/>
      <c r="I199" s="392"/>
      <c r="J199" s="392"/>
      <c r="K199" s="392"/>
      <c r="L199" s="392"/>
      <c r="M199" s="392"/>
      <c r="N199" s="392"/>
      <c r="O199" s="392"/>
      <c r="P199" s="392"/>
      <c r="Q199" s="392"/>
      <c r="R199" s="392"/>
      <c r="S199" s="409"/>
      <c r="T199" s="409"/>
      <c r="U199" s="409"/>
      <c r="V199" s="409"/>
      <c r="W199" s="392"/>
      <c r="X199" s="392"/>
      <c r="Y199" s="409"/>
      <c r="Z199" s="409"/>
      <c r="AA199" s="392"/>
      <c r="AB199" s="392"/>
      <c r="AC199" s="392"/>
      <c r="AD199" s="409"/>
      <c r="AE199" s="409"/>
      <c r="AF199" s="409"/>
      <c r="AG199" s="409"/>
      <c r="AH199" s="409"/>
      <c r="AI199" s="409"/>
      <c r="AJ199" s="409"/>
      <c r="AK199" s="409"/>
      <c r="AL199" s="409"/>
      <c r="AM199" s="409"/>
      <c r="AN199" s="409"/>
      <c r="AO199" s="409"/>
      <c r="AP199" s="409"/>
      <c r="AQ199" s="409"/>
      <c r="AR199" s="409"/>
      <c r="AS199" s="409"/>
      <c r="AT199" s="409"/>
      <c r="AU199" s="409"/>
      <c r="AV199" s="409"/>
      <c r="AW199" s="409"/>
      <c r="AX199" s="409"/>
      <c r="AY199" s="409"/>
      <c r="AZ199" s="409"/>
      <c r="BA199" s="409"/>
      <c r="BB199" s="409"/>
      <c r="BC199" s="409"/>
      <c r="BD199" s="407"/>
      <c r="BE199" s="444"/>
      <c r="BF199" s="444"/>
      <c r="BG199" s="444"/>
      <c r="BH199" s="444"/>
      <c r="BI199" s="444"/>
      <c r="BJ199" s="444"/>
      <c r="BK199" s="444"/>
      <c r="BL199" s="444"/>
      <c r="BM199" s="444"/>
      <c r="BN199" s="444"/>
      <c r="BO199" s="444"/>
      <c r="BP199" s="444"/>
      <c r="BQ199" s="444"/>
      <c r="BR199" s="444"/>
      <c r="BS199" s="444"/>
      <c r="BT199" s="444"/>
    </row>
    <row r="200" spans="1:72" ht="15">
      <c r="A200" s="392"/>
      <c r="B200" s="392"/>
      <c r="C200" s="392"/>
      <c r="D200" s="392"/>
      <c r="E200" s="392"/>
      <c r="F200" s="392"/>
      <c r="G200" s="392"/>
      <c r="H200" s="392"/>
      <c r="I200" s="392"/>
      <c r="J200" s="392"/>
      <c r="K200" s="392"/>
      <c r="L200" s="392"/>
      <c r="M200" s="392"/>
      <c r="N200" s="392"/>
      <c r="O200" s="392"/>
      <c r="P200" s="392"/>
      <c r="Q200" s="392"/>
      <c r="R200" s="392"/>
      <c r="S200" s="409"/>
      <c r="T200" s="409"/>
      <c r="U200" s="409"/>
      <c r="V200" s="409"/>
      <c r="W200" s="392"/>
      <c r="X200" s="392"/>
      <c r="Y200" s="409"/>
      <c r="Z200" s="409"/>
      <c r="AA200" s="392"/>
      <c r="AB200" s="392"/>
      <c r="AC200" s="392"/>
      <c r="AD200" s="409"/>
      <c r="AE200" s="409"/>
      <c r="AF200" s="409"/>
      <c r="AG200" s="409"/>
      <c r="AH200" s="409"/>
      <c r="AI200" s="409"/>
      <c r="AJ200" s="409"/>
      <c r="AK200" s="409"/>
      <c r="AL200" s="409"/>
      <c r="AM200" s="409"/>
      <c r="AN200" s="409"/>
      <c r="AO200" s="409"/>
      <c r="AP200" s="409"/>
      <c r="AQ200" s="409"/>
      <c r="AR200" s="409"/>
      <c r="AS200" s="409"/>
      <c r="AT200" s="409"/>
      <c r="AU200" s="409"/>
      <c r="AV200" s="409"/>
      <c r="AW200" s="409"/>
      <c r="AX200" s="409"/>
      <c r="AY200" s="409"/>
      <c r="AZ200" s="409"/>
      <c r="BA200" s="409"/>
      <c r="BB200" s="409"/>
      <c r="BC200" s="409"/>
      <c r="BD200" s="407"/>
      <c r="BE200" s="444"/>
      <c r="BF200" s="444"/>
      <c r="BG200" s="444"/>
      <c r="BH200" s="444"/>
      <c r="BI200" s="444"/>
      <c r="BJ200" s="444"/>
      <c r="BK200" s="444"/>
      <c r="BL200" s="444"/>
      <c r="BM200" s="444"/>
      <c r="BN200" s="444"/>
      <c r="BO200" s="444"/>
      <c r="BP200" s="444"/>
      <c r="BQ200" s="444"/>
      <c r="BR200" s="444"/>
      <c r="BS200" s="444"/>
      <c r="BT200" s="444"/>
    </row>
  </sheetData>
  <mergeCells count="28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J7:M7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7620-94DF-4533-824E-0AD5AC851393}">
  <dimension ref="A1:DX168"/>
  <sheetViews>
    <sheetView showGridLines="0" topLeftCell="A5" zoomScale="90" zoomScaleNormal="90" zoomScaleSheetLayoutView="100" workbookViewId="0">
      <pane ySplit="2" topLeftCell="A7" activePane="bottomLeft" state="frozen"/>
      <selection activeCell="A5" sqref="A5"/>
      <selection pane="bottomLeft" activeCell="AS39" sqref="AR39:AS39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94" width="2.6328125" style="443" customWidth="1"/>
    <col min="95" max="95" width="0.26953125" style="443" customWidth="1"/>
    <col min="96" max="128" width="2.6328125" style="443" customWidth="1"/>
    <col min="129" max="16384" width="9" style="35"/>
  </cols>
  <sheetData>
    <row r="1" spans="1:72" ht="12" customHeight="1">
      <c r="A1" s="568" t="s">
        <v>4</v>
      </c>
      <c r="B1" s="568"/>
      <c r="C1" s="568"/>
      <c r="D1" s="568"/>
      <c r="E1" s="568"/>
      <c r="F1" s="568"/>
      <c r="G1" s="568"/>
      <c r="H1" s="568"/>
      <c r="I1" s="555" t="s">
        <v>5</v>
      </c>
      <c r="J1" s="555"/>
      <c r="K1" s="555"/>
      <c r="L1" s="555"/>
      <c r="M1" s="566" t="str">
        <f>変更来歴!M1</f>
        <v>ヒロセ電機株式会社</v>
      </c>
      <c r="N1" s="566"/>
      <c r="O1" s="566"/>
      <c r="P1" s="566"/>
      <c r="Q1" s="566"/>
      <c r="R1" s="566"/>
      <c r="S1" s="566"/>
      <c r="T1" s="566"/>
      <c r="U1" s="566"/>
      <c r="V1" s="566"/>
      <c r="W1" s="566"/>
      <c r="X1" s="555" t="s">
        <v>7</v>
      </c>
      <c r="Y1" s="555"/>
      <c r="Z1" s="555"/>
      <c r="AA1" s="570" t="str">
        <f>変更来歴!AA1</f>
        <v>管理者ログ確認システム</v>
      </c>
      <c r="AB1" s="570"/>
      <c r="AC1" s="570"/>
      <c r="AD1" s="570"/>
      <c r="AE1" s="570"/>
      <c r="AF1" s="570"/>
      <c r="AG1" s="570"/>
      <c r="AH1" s="570"/>
      <c r="AI1" s="570"/>
      <c r="AJ1" s="570"/>
      <c r="AK1" s="544" t="s">
        <v>8</v>
      </c>
      <c r="AL1" s="544"/>
      <c r="AM1" s="544"/>
      <c r="AN1" s="546" t="str">
        <f>変更来歴!AP7</f>
        <v>古竹</v>
      </c>
      <c r="AO1" s="546"/>
      <c r="AP1" s="546"/>
      <c r="AQ1" s="546"/>
      <c r="AR1" s="546"/>
      <c r="AS1" s="544" t="s">
        <v>9</v>
      </c>
      <c r="AT1" s="544"/>
      <c r="AU1" s="544"/>
      <c r="AV1" s="547">
        <f>変更来歴!AL7</f>
        <v>46125</v>
      </c>
      <c r="AW1" s="545"/>
      <c r="AX1" s="545"/>
      <c r="AY1" s="545"/>
      <c r="AZ1" s="551" t="s">
        <v>10</v>
      </c>
      <c r="BA1" s="552"/>
      <c r="BB1" s="552"/>
      <c r="BC1" s="553"/>
    </row>
    <row r="2" spans="1:72">
      <c r="A2" s="554" t="s">
        <v>16</v>
      </c>
      <c r="B2" s="554"/>
      <c r="C2" s="554"/>
      <c r="D2" s="554"/>
      <c r="E2" s="554"/>
      <c r="F2" s="554"/>
      <c r="G2" s="554"/>
      <c r="H2" s="554"/>
      <c r="I2" s="555" t="s">
        <v>11</v>
      </c>
      <c r="J2" s="555"/>
      <c r="K2" s="555"/>
      <c r="L2" s="555"/>
      <c r="M2" s="596" t="str">
        <f>変更来歴!M2</f>
        <v>新環境証明書システム</v>
      </c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555"/>
      <c r="Y2" s="555"/>
      <c r="Z2" s="555"/>
      <c r="AA2" s="570"/>
      <c r="AB2" s="570"/>
      <c r="AC2" s="570"/>
      <c r="AD2" s="570"/>
      <c r="AE2" s="570"/>
      <c r="AF2" s="570"/>
      <c r="AG2" s="570"/>
      <c r="AH2" s="570"/>
      <c r="AI2" s="570"/>
      <c r="AJ2" s="570"/>
      <c r="AK2" s="544" t="s">
        <v>12</v>
      </c>
      <c r="AL2" s="544"/>
      <c r="AM2" s="544"/>
      <c r="AN2" s="546" t="str">
        <f ca="1">INDIRECT("変更来歴!AP" &amp; COUNTA(変更来歴!AP7:'変更来歴'!AP39) + 6)</f>
        <v>古竹</v>
      </c>
      <c r="AO2" s="546"/>
      <c r="AP2" s="546"/>
      <c r="AQ2" s="546"/>
      <c r="AR2" s="546"/>
      <c r="AS2" s="544" t="s">
        <v>13</v>
      </c>
      <c r="AT2" s="544"/>
      <c r="AU2" s="544"/>
      <c r="AV2" s="547">
        <f ca="1">INDIRECT("変更来歴!AL" &amp; COUNTA(変更来歴!AL7:'変更来歴'!AL39) + 6)</f>
        <v>46163</v>
      </c>
      <c r="AW2" s="545"/>
      <c r="AX2" s="545"/>
      <c r="AY2" s="545"/>
      <c r="AZ2" s="559" t="str">
        <f>変更来歴!AX2</f>
        <v>IMWF-53</v>
      </c>
      <c r="BA2" s="560"/>
      <c r="BB2" s="560"/>
      <c r="BC2" s="561"/>
    </row>
    <row r="3" spans="1:72" ht="12" customHeight="1">
      <c r="A3" s="565" t="str">
        <f>変更来歴!A3</f>
        <v>画面設計書</v>
      </c>
      <c r="B3" s="565"/>
      <c r="C3" s="565"/>
      <c r="D3" s="565"/>
      <c r="E3" s="565"/>
      <c r="F3" s="565"/>
      <c r="G3" s="565"/>
      <c r="H3" s="565"/>
      <c r="I3" s="555" t="s">
        <v>14</v>
      </c>
      <c r="J3" s="555"/>
      <c r="K3" s="555"/>
      <c r="L3" s="555"/>
      <c r="M3" s="566" t="str">
        <f ca="1">RIGHT(CELL("filename",A1),LEN(CELL("filename",A1))-FIND("]",CELL("filename",A1)))</f>
        <v>管理者申請ログ確認画面(仮)</v>
      </c>
      <c r="N3" s="566"/>
      <c r="O3" s="566"/>
      <c r="P3" s="566"/>
      <c r="Q3" s="566"/>
      <c r="R3" s="566"/>
      <c r="S3" s="566"/>
      <c r="T3" s="566"/>
      <c r="U3" s="566"/>
      <c r="V3" s="566"/>
      <c r="W3" s="566"/>
      <c r="X3" s="555" t="s">
        <v>27</v>
      </c>
      <c r="Y3" s="555"/>
      <c r="Z3" s="555"/>
      <c r="AA3" s="567" t="str">
        <f ca="1">MID(CELL("filename"),FIND("]",CELL("filename"))+1,LEN(CELL("filename"))) &amp; "画面"</f>
        <v>管理者申請ログ確認画面画面</v>
      </c>
      <c r="AB3" s="567"/>
      <c r="AC3" s="567"/>
      <c r="AD3" s="567"/>
      <c r="AE3" s="567"/>
      <c r="AF3" s="567"/>
      <c r="AG3" s="567"/>
      <c r="AH3" s="567"/>
      <c r="AI3" s="567"/>
      <c r="AJ3" s="567"/>
      <c r="AK3" s="567"/>
      <c r="AL3" s="567"/>
      <c r="AM3" s="567"/>
      <c r="AN3" s="567"/>
      <c r="AO3" s="567"/>
      <c r="AP3" s="567"/>
      <c r="AQ3" s="567"/>
      <c r="AR3" s="567"/>
      <c r="AS3" s="544" t="s">
        <v>15</v>
      </c>
      <c r="AT3" s="544"/>
      <c r="AU3" s="544"/>
      <c r="AV3" s="545" t="str">
        <f ca="1">INDIRECT("変更来歴!A" &amp; COUNTA(変更来歴!A7:'変更来歴'!A39) + 6)</f>
        <v>ｒ1.1</v>
      </c>
      <c r="AW3" s="545"/>
      <c r="AX3" s="545"/>
      <c r="AY3" s="545"/>
      <c r="AZ3" s="562"/>
      <c r="BA3" s="563"/>
      <c r="BB3" s="563"/>
      <c r="BC3" s="564"/>
    </row>
    <row r="4" spans="1:72" ht="5.9" customHeight="1"/>
    <row r="5" spans="1:72" ht="13.5" customHeight="1">
      <c r="A5" s="591" t="str">
        <f ca="1">"画面レイアウト"&amp;"("&amp;MID(CELL("filename"),FIND("]",CELL("filename"))+1,LEN(CELL("filename")))&amp;")"</f>
        <v>画面レイアウト(管理者申請ログ確認画面)</v>
      </c>
      <c r="B5" s="592"/>
      <c r="C5" s="592"/>
      <c r="D5" s="592"/>
      <c r="E5" s="592"/>
      <c r="F5" s="592"/>
      <c r="G5" s="592"/>
      <c r="H5" s="592"/>
      <c r="I5" s="592"/>
      <c r="J5" s="592"/>
      <c r="K5" s="592"/>
      <c r="L5" s="592"/>
      <c r="M5" s="592"/>
      <c r="N5" s="592"/>
      <c r="O5" s="592"/>
      <c r="P5" s="592"/>
      <c r="Q5" s="592"/>
      <c r="R5" s="592"/>
      <c r="S5" s="592"/>
      <c r="T5" s="592"/>
      <c r="U5" s="592"/>
      <c r="V5" s="592"/>
      <c r="W5" s="592"/>
      <c r="X5" s="592"/>
      <c r="Y5" s="592"/>
      <c r="Z5" s="592"/>
      <c r="AA5" s="592"/>
      <c r="AB5" s="592"/>
      <c r="AC5" s="592"/>
      <c r="AD5" s="592"/>
      <c r="AE5" s="592"/>
      <c r="AF5" s="592"/>
      <c r="AG5" s="592"/>
      <c r="AH5" s="592"/>
      <c r="AI5" s="592"/>
      <c r="AJ5" s="592"/>
      <c r="AK5" s="592"/>
      <c r="AL5" s="592"/>
      <c r="AM5" s="592"/>
      <c r="AN5" s="592"/>
      <c r="AO5" s="592"/>
      <c r="AP5" s="592"/>
      <c r="AQ5" s="592"/>
      <c r="AR5" s="592"/>
      <c r="AS5" s="592"/>
      <c r="AT5" s="592"/>
      <c r="AU5" s="592"/>
      <c r="AV5" s="592"/>
      <c r="AW5" s="592"/>
      <c r="AX5" s="592"/>
      <c r="AY5" s="592"/>
      <c r="AZ5" s="592"/>
      <c r="BA5" s="593"/>
      <c r="BB5" s="594" t="s">
        <v>24</v>
      </c>
      <c r="BC5" s="595"/>
      <c r="BD5" s="28"/>
    </row>
    <row r="6" spans="1:72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72" ht="12.5" customHeight="1">
      <c r="A7" s="393"/>
      <c r="B7" s="467"/>
      <c r="C7" s="468"/>
      <c r="D7" s="468"/>
      <c r="E7" s="468"/>
      <c r="F7" s="468"/>
      <c r="G7" s="468"/>
      <c r="H7" s="468"/>
      <c r="I7" s="468"/>
      <c r="J7" s="468"/>
      <c r="K7" s="468"/>
      <c r="L7" s="468"/>
      <c r="M7" s="468"/>
      <c r="N7" s="468"/>
      <c r="O7" s="468"/>
      <c r="P7" s="468"/>
      <c r="Q7" s="468"/>
      <c r="R7" s="468"/>
      <c r="S7" s="468"/>
      <c r="T7" s="468"/>
      <c r="U7" s="468"/>
      <c r="V7" s="468"/>
      <c r="W7" s="468"/>
      <c r="X7" s="468"/>
      <c r="Y7" s="468"/>
      <c r="Z7" s="468"/>
      <c r="AA7" s="468"/>
      <c r="AB7" s="468"/>
      <c r="AC7" s="468"/>
      <c r="AD7" s="468"/>
      <c r="AE7" s="468"/>
      <c r="AF7" s="468"/>
      <c r="AG7" s="468"/>
      <c r="AH7" s="468"/>
      <c r="AI7" s="468"/>
      <c r="AJ7" s="468"/>
      <c r="AK7" s="468"/>
      <c r="AL7" s="468"/>
      <c r="AM7" s="468"/>
      <c r="AN7" s="468"/>
      <c r="AO7" s="468"/>
      <c r="AP7" s="468"/>
      <c r="AQ7" s="468"/>
      <c r="AR7" s="468"/>
      <c r="AS7" s="468"/>
      <c r="AT7" s="468"/>
      <c r="AU7" s="468"/>
      <c r="AV7" s="468"/>
      <c r="AW7" s="468"/>
      <c r="AX7" s="468"/>
      <c r="AY7" s="468"/>
      <c r="AZ7" s="469"/>
      <c r="BA7" s="422"/>
      <c r="BB7" s="405"/>
      <c r="BC7" s="406"/>
      <c r="BD7" s="391"/>
      <c r="BE7" s="391" t="s">
        <v>175</v>
      </c>
      <c r="BF7" s="391"/>
      <c r="BG7" s="391"/>
      <c r="BH7" s="391"/>
      <c r="BI7" s="391"/>
      <c r="BJ7" s="391"/>
      <c r="BK7" s="391"/>
      <c r="BL7" s="516"/>
      <c r="BM7" s="516"/>
      <c r="BN7" s="445"/>
      <c r="BO7" s="445"/>
      <c r="BP7" s="445"/>
      <c r="BQ7" s="445"/>
      <c r="BR7" s="445"/>
      <c r="BS7" s="444"/>
      <c r="BT7" s="444"/>
    </row>
    <row r="8" spans="1:72" s="443" customFormat="1" ht="12.5" customHeight="1">
      <c r="A8" s="393"/>
      <c r="B8" s="418"/>
      <c r="C8" s="420"/>
      <c r="D8" s="420"/>
      <c r="E8" s="420"/>
      <c r="F8" s="420"/>
      <c r="G8" s="420"/>
      <c r="H8" s="420"/>
      <c r="I8" s="420"/>
      <c r="J8" s="420"/>
      <c r="K8" s="420"/>
      <c r="L8" s="420"/>
      <c r="M8" s="420"/>
      <c r="N8" s="420"/>
      <c r="O8" s="420"/>
      <c r="P8" s="420"/>
      <c r="Q8" s="420"/>
      <c r="R8" s="420"/>
      <c r="S8" s="420"/>
      <c r="T8" s="420"/>
      <c r="U8" s="420"/>
      <c r="V8" s="420"/>
      <c r="W8" s="420"/>
      <c r="X8" s="420"/>
      <c r="Y8" s="420"/>
      <c r="Z8" s="420"/>
      <c r="AA8" s="420"/>
      <c r="AB8" s="420"/>
      <c r="AC8" s="420"/>
      <c r="AD8" s="420"/>
      <c r="AE8" s="420"/>
      <c r="AF8" s="420"/>
      <c r="AG8" s="420"/>
      <c r="AH8" s="420"/>
      <c r="AI8" s="420"/>
      <c r="AJ8" s="420"/>
      <c r="AK8" s="420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2"/>
      <c r="BA8" s="422"/>
      <c r="BB8" s="405"/>
      <c r="BC8" s="406"/>
      <c r="BD8" s="391"/>
      <c r="BE8" s="421" t="s">
        <v>277</v>
      </c>
      <c r="BF8" s="421"/>
      <c r="BG8" s="516"/>
      <c r="BH8" s="516"/>
      <c r="BI8" s="516"/>
      <c r="BJ8" s="516"/>
      <c r="BK8" s="516"/>
      <c r="BL8" s="391"/>
      <c r="BM8" s="391"/>
      <c r="BN8" s="444"/>
      <c r="BO8" s="444"/>
      <c r="BP8" s="444"/>
      <c r="BQ8" s="444"/>
      <c r="BR8" s="444"/>
      <c r="BS8" s="444"/>
      <c r="BT8" s="444"/>
    </row>
    <row r="9" spans="1:72" s="443" customFormat="1" ht="12.5" customHeight="1">
      <c r="A9" s="393"/>
      <c r="B9" s="418"/>
      <c r="C9" s="423"/>
      <c r="D9" s="419"/>
      <c r="E9" s="419"/>
      <c r="F9" s="419"/>
      <c r="G9" s="421"/>
      <c r="H9" s="431"/>
      <c r="I9" s="431"/>
      <c r="J9" s="431"/>
      <c r="K9" s="431"/>
      <c r="L9" s="431"/>
      <c r="M9" s="431"/>
      <c r="N9" s="431"/>
      <c r="O9" s="431"/>
      <c r="P9" s="431"/>
      <c r="Q9" s="431"/>
      <c r="R9" s="431"/>
      <c r="S9" s="431"/>
      <c r="T9" s="431"/>
      <c r="U9" s="431"/>
      <c r="V9" s="431"/>
      <c r="W9" s="431"/>
      <c r="X9" s="431"/>
      <c r="Y9" s="431"/>
      <c r="Z9" s="431"/>
      <c r="AA9" s="431"/>
      <c r="AB9" s="431"/>
      <c r="AC9" s="431"/>
      <c r="AD9" s="431"/>
      <c r="AE9" s="431"/>
      <c r="AF9" s="431"/>
      <c r="AG9" s="431"/>
      <c r="AH9" s="431"/>
      <c r="AI9" s="431"/>
      <c r="AJ9" s="431"/>
      <c r="AK9" s="431"/>
      <c r="AL9" s="431"/>
      <c r="AM9" s="431"/>
      <c r="AN9" s="431"/>
      <c r="AO9" s="431"/>
      <c r="AP9" s="431"/>
      <c r="AQ9" s="431"/>
      <c r="AR9" s="431"/>
      <c r="AS9" s="431"/>
      <c r="AT9" s="425"/>
      <c r="AU9" s="421"/>
      <c r="AV9" s="421"/>
      <c r="AW9" s="421"/>
      <c r="AX9" s="421"/>
      <c r="AY9" s="417"/>
      <c r="AZ9" s="422"/>
      <c r="BA9" s="422"/>
      <c r="BB9" s="389"/>
      <c r="BC9" s="390"/>
      <c r="BD9" s="391"/>
      <c r="BE9" s="516"/>
      <c r="BF9" s="391" t="s">
        <v>291</v>
      </c>
      <c r="BG9" s="28"/>
      <c r="BH9" s="421"/>
      <c r="BI9" s="516"/>
      <c r="BJ9" s="516"/>
      <c r="BK9" s="516"/>
      <c r="BL9" s="391"/>
      <c r="BM9" s="391"/>
      <c r="BN9" s="444"/>
      <c r="BO9" s="444"/>
      <c r="BP9" s="444"/>
      <c r="BQ9" s="444"/>
      <c r="BR9" s="444"/>
      <c r="BS9" s="444"/>
      <c r="BT9" s="444"/>
    </row>
    <row r="10" spans="1:72" s="443" customFormat="1" ht="12.5" customHeight="1">
      <c r="A10" s="393"/>
      <c r="B10" s="426"/>
      <c r="C10" s="420"/>
      <c r="D10" s="420"/>
      <c r="E10" s="420"/>
      <c r="F10" s="420"/>
      <c r="G10" s="420"/>
      <c r="H10" s="420"/>
      <c r="I10" s="420"/>
      <c r="J10" s="420"/>
      <c r="K10" s="420"/>
      <c r="L10" s="420"/>
      <c r="M10" s="420"/>
      <c r="N10" s="420"/>
      <c r="O10" s="420"/>
      <c r="P10" s="420"/>
      <c r="Q10" s="420"/>
      <c r="R10" s="420"/>
      <c r="S10" s="420"/>
      <c r="T10" s="420"/>
      <c r="U10" s="420"/>
      <c r="V10" s="420"/>
      <c r="W10" s="420"/>
      <c r="X10" s="420"/>
      <c r="Y10" s="420"/>
      <c r="Z10" s="420"/>
      <c r="AA10" s="420"/>
      <c r="AB10" s="420"/>
      <c r="AC10" s="420"/>
      <c r="AD10" s="420"/>
      <c r="AE10" s="420"/>
      <c r="AF10" s="420"/>
      <c r="AG10" s="420"/>
      <c r="AH10" s="420"/>
      <c r="AI10" s="420"/>
      <c r="AJ10" s="420"/>
      <c r="AK10" s="420"/>
      <c r="AL10" s="420"/>
      <c r="AM10" s="420"/>
      <c r="AN10" s="420"/>
      <c r="AO10" s="420"/>
      <c r="AP10" s="420"/>
      <c r="AQ10" s="420"/>
      <c r="AR10" s="420"/>
      <c r="AS10" s="420"/>
      <c r="AT10" s="420"/>
      <c r="AU10" s="420"/>
      <c r="AV10" s="420"/>
      <c r="AW10" s="420"/>
      <c r="AX10" s="420"/>
      <c r="AY10" s="420"/>
      <c r="AZ10" s="422"/>
      <c r="BA10" s="422"/>
      <c r="BB10" s="492"/>
      <c r="BC10" s="493"/>
      <c r="BD10" s="391"/>
      <c r="BE10" s="391"/>
      <c r="BF10" s="28"/>
      <c r="BG10" s="28"/>
      <c r="BH10" s="391"/>
      <c r="BI10" s="391"/>
      <c r="BJ10" s="391"/>
      <c r="BK10" s="391"/>
      <c r="BL10" s="391"/>
      <c r="BM10" s="391"/>
      <c r="BN10" s="444"/>
      <c r="BO10" s="444"/>
      <c r="BP10" s="444"/>
      <c r="BQ10" s="444"/>
      <c r="BR10" s="444"/>
      <c r="BS10" s="444"/>
      <c r="BT10" s="444"/>
    </row>
    <row r="11" spans="1:72" s="443" customFormat="1" ht="12.5" customHeight="1">
      <c r="A11" s="393"/>
      <c r="B11" s="418"/>
      <c r="C11" s="420"/>
      <c r="D11" s="420"/>
      <c r="E11" s="420"/>
      <c r="F11" s="420"/>
      <c r="G11" s="420"/>
      <c r="H11" s="420"/>
      <c r="I11" s="420"/>
      <c r="J11" s="420"/>
      <c r="K11" s="420"/>
      <c r="L11" s="420"/>
      <c r="M11" s="420"/>
      <c r="N11" s="420"/>
      <c r="O11" s="420"/>
      <c r="P11" s="420"/>
      <c r="Q11" s="420"/>
      <c r="R11" s="420"/>
      <c r="S11" s="420"/>
      <c r="T11" s="420"/>
      <c r="U11" s="420"/>
      <c r="V11" s="420"/>
      <c r="W11" s="420"/>
      <c r="X11" s="420"/>
      <c r="Y11" s="420"/>
      <c r="Z11" s="420"/>
      <c r="AA11" s="420"/>
      <c r="AB11" s="420"/>
      <c r="AC11" s="420"/>
      <c r="AD11" s="420"/>
      <c r="AE11" s="420"/>
      <c r="AF11" s="420"/>
      <c r="AG11" s="420"/>
      <c r="AH11" s="420"/>
      <c r="AI11" s="420"/>
      <c r="AJ11" s="420"/>
      <c r="AK11" s="420"/>
      <c r="AL11" s="420"/>
      <c r="AM11" s="420"/>
      <c r="AN11" s="420"/>
      <c r="AO11" s="420"/>
      <c r="AP11" s="420"/>
      <c r="AQ11" s="420"/>
      <c r="AR11" s="420"/>
      <c r="AS11" s="420"/>
      <c r="AT11" s="420"/>
      <c r="AU11" s="420"/>
      <c r="AV11" s="420"/>
      <c r="AW11" s="420"/>
      <c r="AX11" s="420"/>
      <c r="AY11" s="420"/>
      <c r="AZ11" s="422"/>
      <c r="BA11" s="422"/>
      <c r="BB11" s="405"/>
      <c r="BC11" s="406"/>
      <c r="BD11" s="391"/>
      <c r="BE11" s="516"/>
      <c r="BF11" s="421" t="s">
        <v>278</v>
      </c>
      <c r="BG11" s="421"/>
      <c r="BH11" s="421"/>
      <c r="BI11" s="516"/>
      <c r="BJ11" s="516"/>
      <c r="BK11" s="516"/>
      <c r="BL11" s="391"/>
      <c r="BM11" s="391"/>
      <c r="BN11" s="444"/>
      <c r="BO11" s="444"/>
      <c r="BP11" s="444"/>
      <c r="BQ11" s="444"/>
      <c r="BR11" s="444"/>
      <c r="BS11" s="444"/>
      <c r="BT11" s="444"/>
    </row>
    <row r="12" spans="1:72" s="443" customFormat="1" ht="12.5" customHeight="1">
      <c r="A12" s="393"/>
      <c r="B12" s="418"/>
      <c r="C12" s="423"/>
      <c r="D12" s="419"/>
      <c r="E12" s="419"/>
      <c r="F12" s="419"/>
      <c r="G12" s="421"/>
      <c r="H12" s="431"/>
      <c r="I12" s="431"/>
      <c r="J12" s="431"/>
      <c r="K12" s="431"/>
      <c r="L12" s="431"/>
      <c r="M12" s="431"/>
      <c r="N12" s="431"/>
      <c r="O12" s="431"/>
      <c r="P12" s="431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  <c r="AB12" s="431"/>
      <c r="AC12" s="431"/>
      <c r="AD12" s="431"/>
      <c r="AE12" s="431"/>
      <c r="AF12" s="431"/>
      <c r="AG12" s="431"/>
      <c r="AH12" s="431"/>
      <c r="AI12" s="431"/>
      <c r="AJ12" s="431"/>
      <c r="AK12" s="431"/>
      <c r="AL12" s="431"/>
      <c r="AM12" s="431"/>
      <c r="AN12" s="431"/>
      <c r="AO12" s="431"/>
      <c r="AP12" s="431"/>
      <c r="AQ12" s="431"/>
      <c r="AR12" s="431"/>
      <c r="AS12" s="431"/>
      <c r="AT12" s="425"/>
      <c r="AU12" s="421"/>
      <c r="AV12" s="421"/>
      <c r="AW12" s="421"/>
      <c r="AX12" s="421"/>
      <c r="AY12" s="417"/>
      <c r="AZ12" s="422"/>
      <c r="BA12" s="422"/>
      <c r="BB12" s="389"/>
      <c r="BC12" s="390"/>
      <c r="BD12" s="391"/>
      <c r="BE12" s="421"/>
      <c r="BG12" s="391" t="s">
        <v>292</v>
      </c>
      <c r="BI12" s="516"/>
      <c r="BJ12" s="516"/>
      <c r="BK12" s="516"/>
      <c r="BL12" s="391"/>
      <c r="BM12" s="391"/>
      <c r="BN12" s="444"/>
      <c r="BO12" s="444"/>
      <c r="BP12" s="444"/>
      <c r="BQ12" s="444"/>
      <c r="BR12" s="444"/>
      <c r="BS12" s="444"/>
      <c r="BT12" s="444"/>
    </row>
    <row r="13" spans="1:72" s="443" customFormat="1" ht="17.5" customHeight="1">
      <c r="A13" s="393"/>
      <c r="B13" s="499"/>
      <c r="C13" s="500"/>
      <c r="D13" s="500"/>
      <c r="E13" s="502" t="s">
        <v>261</v>
      </c>
      <c r="F13" s="500"/>
      <c r="G13" s="500"/>
      <c r="H13" s="500"/>
      <c r="I13" s="500"/>
      <c r="J13" s="500"/>
      <c r="K13" s="500"/>
      <c r="L13" s="500"/>
      <c r="M13" s="500"/>
      <c r="N13" s="500"/>
      <c r="O13" s="502"/>
      <c r="P13" s="502" t="s">
        <v>263</v>
      </c>
      <c r="Q13" s="500"/>
      <c r="R13" s="500"/>
      <c r="S13" s="500"/>
      <c r="T13" s="500"/>
      <c r="U13" s="500"/>
      <c r="V13" s="500"/>
      <c r="W13" s="500"/>
      <c r="X13" s="502"/>
      <c r="Y13" s="502" t="s">
        <v>265</v>
      </c>
      <c r="Z13" s="500"/>
      <c r="AA13" s="500"/>
      <c r="AB13" s="500"/>
      <c r="AC13" s="500"/>
      <c r="AD13" s="500"/>
      <c r="AE13" s="500"/>
      <c r="AF13" s="500"/>
      <c r="AG13" s="500"/>
      <c r="AH13" s="502" t="s">
        <v>267</v>
      </c>
      <c r="AI13" s="500"/>
      <c r="AJ13" s="500"/>
      <c r="AK13" s="500"/>
      <c r="AL13" s="500"/>
      <c r="AM13" s="500"/>
      <c r="AN13" s="500"/>
      <c r="AO13" s="500"/>
      <c r="AP13" s="500"/>
      <c r="AQ13" s="500"/>
      <c r="AR13" s="502" t="s">
        <v>269</v>
      </c>
      <c r="AS13" s="500"/>
      <c r="AT13" s="500"/>
      <c r="AU13" s="500"/>
      <c r="AV13" s="500"/>
      <c r="AW13" s="500"/>
      <c r="AX13" s="500"/>
      <c r="AY13" s="500"/>
      <c r="AZ13" s="501"/>
      <c r="BA13" s="422"/>
      <c r="BB13" s="492"/>
      <c r="BC13" s="493"/>
      <c r="BD13" s="391"/>
      <c r="BE13" s="391"/>
      <c r="BG13" s="391"/>
      <c r="BI13" s="391"/>
      <c r="BJ13" s="391"/>
      <c r="BK13" s="391"/>
      <c r="BL13" s="391"/>
      <c r="BM13" s="391"/>
      <c r="BN13" s="444"/>
      <c r="BO13" s="444"/>
      <c r="BP13" s="444"/>
      <c r="BQ13" s="444"/>
      <c r="BR13" s="444"/>
      <c r="BS13" s="444"/>
      <c r="BT13" s="444"/>
    </row>
    <row r="14" spans="1:72" s="443" customFormat="1" ht="17.5" customHeight="1">
      <c r="A14" s="393"/>
      <c r="B14" s="499"/>
      <c r="C14" s="500"/>
      <c r="D14" s="500"/>
      <c r="E14" s="502" t="s">
        <v>262</v>
      </c>
      <c r="F14" s="500"/>
      <c r="G14" s="500"/>
      <c r="H14" s="500"/>
      <c r="I14" s="500"/>
      <c r="J14" s="500"/>
      <c r="K14" s="500"/>
      <c r="L14" s="500"/>
      <c r="M14" s="500"/>
      <c r="N14" s="500"/>
      <c r="O14" s="502"/>
      <c r="P14" s="502" t="s">
        <v>264</v>
      </c>
      <c r="Q14" s="500"/>
      <c r="R14" s="500"/>
      <c r="S14" s="500"/>
      <c r="T14" s="500"/>
      <c r="U14" s="500"/>
      <c r="V14" s="500"/>
      <c r="W14" s="500"/>
      <c r="X14" s="502"/>
      <c r="Y14" s="502" t="s">
        <v>266</v>
      </c>
      <c r="Z14" s="500"/>
      <c r="AA14" s="500"/>
      <c r="AB14" s="500"/>
      <c r="AC14" s="500"/>
      <c r="AD14" s="500"/>
      <c r="AE14" s="500"/>
      <c r="AF14" s="500"/>
      <c r="AG14" s="500"/>
      <c r="AH14" s="502" t="s">
        <v>268</v>
      </c>
      <c r="AI14" s="500"/>
      <c r="AJ14" s="500"/>
      <c r="AK14" s="500"/>
      <c r="AL14" s="500"/>
      <c r="AM14" s="500"/>
      <c r="AN14" s="500"/>
      <c r="AO14" s="500"/>
      <c r="AP14" s="500"/>
      <c r="AQ14" s="500"/>
      <c r="AR14" s="502" t="s">
        <v>270</v>
      </c>
      <c r="AS14" s="500"/>
      <c r="AT14" s="500"/>
      <c r="AU14" s="500"/>
      <c r="AV14" s="500"/>
      <c r="AW14" s="500"/>
      <c r="AX14" s="500"/>
      <c r="AY14" s="500"/>
      <c r="AZ14" s="422"/>
      <c r="BA14" s="422"/>
      <c r="BB14" s="405"/>
      <c r="BC14" s="406"/>
      <c r="BD14" s="391"/>
      <c r="BE14" s="421"/>
      <c r="BF14" s="421" t="s">
        <v>279</v>
      </c>
      <c r="BG14" s="391"/>
      <c r="BH14" s="517"/>
      <c r="BI14" s="391"/>
      <c r="BJ14" s="391"/>
      <c r="BK14" s="391"/>
      <c r="BL14" s="391"/>
      <c r="BM14" s="391"/>
      <c r="BN14" s="444"/>
      <c r="BO14" s="444"/>
      <c r="BP14" s="444"/>
      <c r="BQ14" s="444"/>
      <c r="BR14" s="444"/>
      <c r="BS14" s="444"/>
      <c r="BT14" s="444"/>
    </row>
    <row r="15" spans="1:72" s="443" customFormat="1" ht="17.5" customHeight="1">
      <c r="A15" s="393"/>
      <c r="B15" s="418"/>
      <c r="C15" s="503"/>
      <c r="D15" s="503"/>
      <c r="E15" s="504" t="s">
        <v>262</v>
      </c>
      <c r="F15" s="505"/>
      <c r="G15" s="505"/>
      <c r="H15" s="505"/>
      <c r="I15" s="505"/>
      <c r="J15" s="505"/>
      <c r="K15" s="505"/>
      <c r="L15" s="505"/>
      <c r="M15" s="505"/>
      <c r="N15" s="505"/>
      <c r="O15" s="505"/>
      <c r="P15" s="505" t="s">
        <v>271</v>
      </c>
      <c r="Q15" s="505"/>
      <c r="R15" s="505"/>
      <c r="S15" s="505"/>
      <c r="T15" s="505"/>
      <c r="U15" s="505"/>
      <c r="V15" s="505"/>
      <c r="W15" s="505"/>
      <c r="X15" s="505"/>
      <c r="Y15" s="505" t="s">
        <v>272</v>
      </c>
      <c r="Z15" s="505"/>
      <c r="AA15" s="505"/>
      <c r="AB15" s="505"/>
      <c r="AC15" s="505"/>
      <c r="AD15" s="505"/>
      <c r="AE15" s="505"/>
      <c r="AF15" s="505"/>
      <c r="AG15" s="505"/>
      <c r="AH15" s="505" t="s">
        <v>273</v>
      </c>
      <c r="AI15" s="505"/>
      <c r="AJ15" s="505"/>
      <c r="AK15" s="505"/>
      <c r="AL15" s="505"/>
      <c r="AM15" s="505"/>
      <c r="AN15" s="505"/>
      <c r="AO15" s="505"/>
      <c r="AP15" s="505"/>
      <c r="AQ15" s="505"/>
      <c r="AR15" s="505" t="s">
        <v>270</v>
      </c>
      <c r="AS15" s="431"/>
      <c r="AT15" s="507"/>
      <c r="AU15" s="506"/>
      <c r="AV15" s="421"/>
      <c r="AW15" s="421"/>
      <c r="AX15" s="421"/>
      <c r="AY15" s="417"/>
      <c r="AZ15" s="422"/>
      <c r="BA15" s="422"/>
      <c r="BB15" s="389"/>
      <c r="BC15" s="390"/>
      <c r="BD15" s="391"/>
      <c r="BE15" s="391"/>
      <c r="BG15" s="391" t="s">
        <v>293</v>
      </c>
      <c r="BI15" s="391"/>
      <c r="BJ15" s="391"/>
      <c r="BK15" s="391"/>
      <c r="BL15" s="391"/>
      <c r="BM15" s="391"/>
      <c r="BN15" s="444"/>
      <c r="BO15" s="444"/>
      <c r="BP15" s="444"/>
      <c r="BQ15" s="444"/>
      <c r="BR15" s="444"/>
      <c r="BS15" s="444"/>
      <c r="BT15" s="444"/>
    </row>
    <row r="16" spans="1:72" s="443" customFormat="1" ht="17.5" customHeight="1">
      <c r="A16" s="393"/>
      <c r="B16" s="426"/>
      <c r="C16" s="420"/>
      <c r="D16" s="420"/>
      <c r="E16" s="505"/>
      <c r="F16" s="505"/>
      <c r="G16" s="505"/>
      <c r="H16" s="505"/>
      <c r="I16" s="505"/>
      <c r="J16" s="505"/>
      <c r="K16" s="505"/>
      <c r="L16" s="505"/>
      <c r="M16" s="505"/>
      <c r="N16" s="505"/>
      <c r="O16" s="505"/>
      <c r="P16" s="505"/>
      <c r="Q16" s="505"/>
      <c r="R16" s="505"/>
      <c r="S16" s="505"/>
      <c r="T16" s="505"/>
      <c r="U16" s="505"/>
      <c r="V16" s="505"/>
      <c r="W16" s="505"/>
      <c r="X16" s="505"/>
      <c r="Y16" s="505"/>
      <c r="Z16" s="505"/>
      <c r="AA16" s="505"/>
      <c r="AB16" s="505"/>
      <c r="AC16" s="505"/>
      <c r="AD16" s="505"/>
      <c r="AE16" s="505"/>
      <c r="AF16" s="505"/>
      <c r="AG16" s="505"/>
      <c r="AH16" s="505"/>
      <c r="AI16" s="505"/>
      <c r="AJ16" s="505"/>
      <c r="AK16" s="505"/>
      <c r="AL16" s="505"/>
      <c r="AM16" s="505"/>
      <c r="AN16" s="505"/>
      <c r="AO16" s="505"/>
      <c r="AP16" s="505"/>
      <c r="AQ16" s="505"/>
      <c r="AR16" s="505"/>
      <c r="AS16" s="505"/>
      <c r="AT16" s="505"/>
      <c r="AU16" s="505"/>
      <c r="AV16" s="420"/>
      <c r="AW16" s="420"/>
      <c r="AX16" s="420"/>
      <c r="AY16" s="420"/>
      <c r="AZ16" s="422"/>
      <c r="BA16" s="422"/>
      <c r="BB16" s="492"/>
      <c r="BC16" s="493"/>
      <c r="BD16" s="391"/>
      <c r="BE16" s="391"/>
      <c r="BG16" s="391"/>
      <c r="BI16" s="391"/>
      <c r="BJ16" s="391"/>
      <c r="BK16" s="391"/>
      <c r="BL16" s="391"/>
      <c r="BM16" s="391"/>
      <c r="BN16" s="444"/>
      <c r="BO16" s="444"/>
      <c r="BP16" s="444"/>
      <c r="BQ16" s="444"/>
      <c r="BR16" s="444"/>
      <c r="BS16" s="444"/>
      <c r="BT16" s="444"/>
    </row>
    <row r="17" spans="1:72" s="443" customFormat="1" ht="12.5" customHeight="1">
      <c r="A17" s="393"/>
      <c r="B17" s="418"/>
      <c r="C17" s="420"/>
      <c r="D17" s="420"/>
      <c r="E17" s="505"/>
      <c r="F17" s="505"/>
      <c r="G17" s="505"/>
      <c r="H17" s="505"/>
      <c r="I17" s="505"/>
      <c r="J17" s="505"/>
      <c r="K17" s="505"/>
      <c r="L17" s="505"/>
      <c r="M17" s="505"/>
      <c r="N17" s="505"/>
      <c r="O17" s="505"/>
      <c r="P17" s="505"/>
      <c r="Q17" s="505"/>
      <c r="R17" s="505"/>
      <c r="S17" s="505"/>
      <c r="T17" s="505"/>
      <c r="U17" s="505"/>
      <c r="V17" s="505"/>
      <c r="W17" s="505"/>
      <c r="X17" s="505"/>
      <c r="Y17" s="505"/>
      <c r="Z17" s="505"/>
      <c r="AA17" s="505"/>
      <c r="AB17" s="505"/>
      <c r="AC17" s="505"/>
      <c r="AD17" s="505"/>
      <c r="AE17" s="505"/>
      <c r="AF17" s="505"/>
      <c r="AG17" s="505"/>
      <c r="AH17" s="505"/>
      <c r="AI17" s="505"/>
      <c r="AJ17" s="505"/>
      <c r="AK17" s="505"/>
      <c r="AL17" s="505"/>
      <c r="AM17" s="505"/>
      <c r="AN17" s="505"/>
      <c r="AO17" s="505"/>
      <c r="AP17" s="505"/>
      <c r="AQ17" s="505"/>
      <c r="AR17" s="505"/>
      <c r="AS17" s="505"/>
      <c r="AT17" s="505"/>
      <c r="AU17" s="505"/>
      <c r="AV17" s="420"/>
      <c r="AW17" s="420"/>
      <c r="AX17" s="420"/>
      <c r="AY17" s="420"/>
      <c r="AZ17" s="422"/>
      <c r="BA17" s="422"/>
      <c r="BB17" s="405"/>
      <c r="BC17" s="406"/>
      <c r="BD17" s="391"/>
      <c r="BE17" s="518"/>
      <c r="BF17" s="421" t="s">
        <v>280</v>
      </c>
      <c r="BG17" s="391"/>
      <c r="BH17" s="391"/>
      <c r="BI17" s="391"/>
      <c r="BJ17" s="391"/>
      <c r="BK17" s="391"/>
      <c r="BL17" s="391"/>
      <c r="BM17" s="391"/>
      <c r="BN17" s="444"/>
      <c r="BO17" s="444"/>
      <c r="BP17" s="444"/>
      <c r="BQ17" s="444"/>
      <c r="BR17" s="444"/>
      <c r="BS17" s="444"/>
      <c r="BT17" s="444"/>
    </row>
    <row r="18" spans="1:72" s="443" customFormat="1" ht="16" customHeight="1">
      <c r="A18" s="393"/>
      <c r="B18" s="508"/>
      <c r="C18" s="500"/>
      <c r="D18" s="500"/>
      <c r="E18" s="502"/>
      <c r="F18" s="500"/>
      <c r="G18" s="500"/>
      <c r="H18" s="500"/>
      <c r="I18" s="500"/>
      <c r="J18" s="500"/>
      <c r="K18" s="500"/>
      <c r="L18" s="500"/>
      <c r="M18" s="500"/>
      <c r="N18" s="500"/>
      <c r="O18" s="502"/>
      <c r="P18" s="502"/>
      <c r="Q18" s="500"/>
      <c r="R18" s="500"/>
      <c r="S18" s="500"/>
      <c r="T18" s="500"/>
      <c r="U18" s="500"/>
      <c r="V18" s="500"/>
      <c r="W18" s="500"/>
      <c r="X18" s="502"/>
      <c r="Y18" s="502"/>
      <c r="Z18" s="500"/>
      <c r="AA18" s="500"/>
      <c r="AB18" s="500"/>
      <c r="AC18" s="500"/>
      <c r="AD18" s="500"/>
      <c r="AE18" s="500"/>
      <c r="AF18" s="500"/>
      <c r="AG18" s="500"/>
      <c r="AH18" s="502"/>
      <c r="AI18" s="500"/>
      <c r="AJ18" s="500"/>
      <c r="AK18" s="500"/>
      <c r="AL18" s="500"/>
      <c r="AM18" s="510"/>
      <c r="AN18" s="512" t="s">
        <v>274</v>
      </c>
      <c r="AO18" s="513">
        <v>1</v>
      </c>
      <c r="AP18" s="514" t="s">
        <v>275</v>
      </c>
      <c r="AQ18" s="590">
        <v>3034</v>
      </c>
      <c r="AR18" s="590"/>
      <c r="AS18" s="515" t="s">
        <v>276</v>
      </c>
      <c r="AT18" s="502"/>
      <c r="AU18" s="511"/>
      <c r="AV18" s="502"/>
      <c r="AW18" s="502"/>
      <c r="AX18" s="502"/>
      <c r="AY18" s="502"/>
      <c r="AZ18" s="509"/>
      <c r="BA18" s="422"/>
      <c r="BB18" s="389"/>
      <c r="BC18" s="390"/>
      <c r="BD18" s="391"/>
      <c r="BE18" s="391"/>
      <c r="BG18" s="391" t="s">
        <v>294</v>
      </c>
      <c r="BI18" s="391"/>
      <c r="BJ18" s="391"/>
      <c r="BK18" s="391"/>
      <c r="BL18" s="391"/>
      <c r="BM18" s="391"/>
      <c r="BN18" s="444"/>
      <c r="BO18" s="444"/>
      <c r="BP18" s="444"/>
      <c r="BQ18" s="444"/>
      <c r="BR18" s="444"/>
      <c r="BS18" s="444"/>
      <c r="BT18" s="444"/>
    </row>
    <row r="19" spans="1:72" s="443" customFormat="1" ht="12.5" customHeight="1">
      <c r="A19" s="393"/>
      <c r="B19" s="426"/>
      <c r="C19" s="420"/>
      <c r="D19" s="420"/>
      <c r="E19" s="420"/>
      <c r="F19" s="420"/>
      <c r="G19" s="420"/>
      <c r="H19" s="420"/>
      <c r="I19" s="420"/>
      <c r="J19" s="420"/>
      <c r="K19" s="420"/>
      <c r="L19" s="420"/>
      <c r="M19" s="420"/>
      <c r="N19" s="420"/>
      <c r="O19" s="420"/>
      <c r="P19" s="420"/>
      <c r="Q19" s="420"/>
      <c r="R19" s="420"/>
      <c r="S19" s="420"/>
      <c r="T19" s="420"/>
      <c r="U19" s="420"/>
      <c r="V19" s="420"/>
      <c r="W19" s="420"/>
      <c r="X19" s="420"/>
      <c r="Y19" s="420"/>
      <c r="Z19" s="420"/>
      <c r="AA19" s="420"/>
      <c r="AB19" s="420"/>
      <c r="AC19" s="420"/>
      <c r="AD19" s="420"/>
      <c r="AE19" s="420"/>
      <c r="AF19" s="420"/>
      <c r="AG19" s="420"/>
      <c r="AH19" s="420"/>
      <c r="AI19" s="420"/>
      <c r="AJ19" s="420"/>
      <c r="AK19" s="420"/>
      <c r="AL19" s="420"/>
      <c r="AM19" s="420"/>
      <c r="AN19" s="420"/>
      <c r="AO19" s="420"/>
      <c r="AP19" s="420"/>
      <c r="AQ19" s="420"/>
      <c r="AR19" s="420"/>
      <c r="AS19" s="420"/>
      <c r="AT19" s="420"/>
      <c r="AU19" s="420"/>
      <c r="AV19" s="420"/>
      <c r="AW19" s="420"/>
      <c r="AX19" s="420"/>
      <c r="AY19" s="420"/>
      <c r="AZ19" s="422"/>
      <c r="BA19" s="422"/>
      <c r="BB19" s="389"/>
      <c r="BC19" s="390"/>
      <c r="BD19" s="391"/>
      <c r="BE19" s="391"/>
      <c r="BI19" s="391"/>
      <c r="BJ19" s="391"/>
      <c r="BK19" s="391"/>
      <c r="BL19" s="391"/>
      <c r="BM19" s="391"/>
      <c r="BN19" s="444"/>
      <c r="BO19" s="444"/>
      <c r="BP19" s="444"/>
      <c r="BQ19" s="444"/>
      <c r="BR19" s="444"/>
      <c r="BS19" s="444"/>
      <c r="BT19" s="444"/>
    </row>
    <row r="20" spans="1:72" s="443" customFormat="1" ht="12.5" customHeight="1">
      <c r="A20" s="393"/>
      <c r="B20" s="495"/>
      <c r="C20" s="496"/>
      <c r="D20" s="497"/>
      <c r="E20" s="497"/>
      <c r="F20" s="497"/>
      <c r="G20" s="497"/>
      <c r="H20" s="497"/>
      <c r="I20" s="497"/>
      <c r="J20" s="497"/>
      <c r="K20" s="497"/>
      <c r="L20" s="497"/>
      <c r="M20" s="497"/>
      <c r="N20" s="497"/>
      <c r="O20" s="497"/>
      <c r="P20" s="497"/>
      <c r="Q20" s="497"/>
      <c r="R20" s="497"/>
      <c r="S20" s="497"/>
      <c r="T20" s="497"/>
      <c r="U20" s="497"/>
      <c r="V20" s="497"/>
      <c r="W20" s="497"/>
      <c r="X20" s="497"/>
      <c r="Y20" s="497"/>
      <c r="Z20" s="497"/>
      <c r="AA20" s="497"/>
      <c r="AB20" s="497"/>
      <c r="AC20" s="497"/>
      <c r="AD20" s="497"/>
      <c r="AE20" s="497"/>
      <c r="AF20" s="497"/>
      <c r="AG20" s="497"/>
      <c r="AH20" s="497"/>
      <c r="AI20" s="497"/>
      <c r="AJ20" s="497"/>
      <c r="AK20" s="497"/>
      <c r="AL20" s="497"/>
      <c r="AM20" s="497"/>
      <c r="AN20" s="497"/>
      <c r="AO20" s="497"/>
      <c r="AP20" s="497"/>
      <c r="AQ20" s="497"/>
      <c r="AR20" s="497"/>
      <c r="AS20" s="497"/>
      <c r="AT20" s="497"/>
      <c r="AU20" s="497"/>
      <c r="AV20" s="497"/>
      <c r="AW20" s="497"/>
      <c r="AX20" s="497"/>
      <c r="AY20" s="497"/>
      <c r="AZ20" s="498"/>
      <c r="BA20" s="422"/>
      <c r="BB20" s="405"/>
      <c r="BC20" s="406"/>
      <c r="BD20" s="391"/>
      <c r="BE20" s="391"/>
      <c r="BF20" s="421" t="s">
        <v>281</v>
      </c>
      <c r="BG20" s="391"/>
      <c r="BH20" s="391"/>
      <c r="BI20" s="391"/>
      <c r="BJ20" s="391"/>
      <c r="BK20" s="391"/>
      <c r="BL20" s="391"/>
      <c r="BM20" s="391"/>
      <c r="BN20" s="444"/>
      <c r="BO20" s="444"/>
      <c r="BP20" s="444"/>
      <c r="BQ20" s="444"/>
      <c r="BR20" s="444"/>
      <c r="BS20" s="444"/>
      <c r="BT20" s="444"/>
    </row>
    <row r="21" spans="1:72" s="443" customFormat="1" ht="12.5" customHeight="1">
      <c r="A21" s="393"/>
      <c r="B21" s="418"/>
      <c r="C21" s="423"/>
      <c r="D21" s="419"/>
      <c r="E21" s="419"/>
      <c r="F21" s="419"/>
      <c r="G21" s="421"/>
      <c r="H21" s="431"/>
      <c r="I21" s="431"/>
      <c r="J21" s="431"/>
      <c r="K21" s="431"/>
      <c r="L21" s="431"/>
      <c r="M21" s="431"/>
      <c r="N21" s="431"/>
      <c r="O21" s="431"/>
      <c r="P21" s="431"/>
      <c r="Q21" s="431"/>
      <c r="R21" s="431"/>
      <c r="S21" s="431"/>
      <c r="T21" s="431"/>
      <c r="U21" s="431"/>
      <c r="V21" s="431"/>
      <c r="W21" s="431"/>
      <c r="X21" s="431"/>
      <c r="Y21" s="431"/>
      <c r="Z21" s="431"/>
      <c r="AA21" s="431"/>
      <c r="AB21" s="431"/>
      <c r="AC21" s="431"/>
      <c r="AD21" s="431"/>
      <c r="AE21" s="431"/>
      <c r="AF21" s="431"/>
      <c r="AG21" s="431"/>
      <c r="AH21" s="431"/>
      <c r="AI21" s="431"/>
      <c r="AJ21" s="431"/>
      <c r="AK21" s="431"/>
      <c r="AL21" s="431"/>
      <c r="AM21" s="431"/>
      <c r="AN21" s="431"/>
      <c r="AO21" s="431"/>
      <c r="AP21" s="431"/>
      <c r="AQ21" s="431"/>
      <c r="AR21" s="431"/>
      <c r="AS21" s="431"/>
      <c r="AT21" s="425"/>
      <c r="AU21" s="421"/>
      <c r="AV21" s="421"/>
      <c r="AW21" s="421"/>
      <c r="AX21" s="421"/>
      <c r="AY21" s="417"/>
      <c r="AZ21" s="422"/>
      <c r="BA21" s="422"/>
      <c r="BB21" s="389"/>
      <c r="BC21" s="390"/>
      <c r="BD21" s="391"/>
      <c r="BE21" s="391"/>
      <c r="BG21" s="391" t="s">
        <v>295</v>
      </c>
      <c r="BI21" s="391"/>
      <c r="BJ21" s="391"/>
      <c r="BK21" s="391"/>
      <c r="BL21" s="391"/>
      <c r="BM21" s="391"/>
      <c r="BN21" s="444"/>
      <c r="BO21" s="444"/>
      <c r="BP21" s="444"/>
      <c r="BQ21" s="444"/>
      <c r="BR21" s="444"/>
      <c r="BS21" s="444"/>
      <c r="BT21" s="444"/>
    </row>
    <row r="22" spans="1:72" s="443" customFormat="1" ht="12.5" customHeight="1">
      <c r="A22" s="393"/>
      <c r="B22" s="426"/>
      <c r="C22" s="420"/>
      <c r="D22" s="420"/>
      <c r="E22" s="420"/>
      <c r="F22" s="420"/>
      <c r="G22" s="420"/>
      <c r="H22" s="420"/>
      <c r="I22" s="420"/>
      <c r="J22" s="420"/>
      <c r="K22" s="420"/>
      <c r="L22" s="420"/>
      <c r="M22" s="420"/>
      <c r="N22" s="420"/>
      <c r="O22" s="420"/>
      <c r="P22" s="420"/>
      <c r="Q22" s="420"/>
      <c r="R22" s="420"/>
      <c r="S22" s="420"/>
      <c r="T22" s="420"/>
      <c r="U22" s="420"/>
      <c r="V22" s="420"/>
      <c r="W22" s="420"/>
      <c r="X22" s="420"/>
      <c r="Y22" s="420"/>
      <c r="Z22" s="420"/>
      <c r="AA22" s="420"/>
      <c r="AB22" s="420"/>
      <c r="AC22" s="420"/>
      <c r="AD22" s="420"/>
      <c r="AE22" s="420"/>
      <c r="AF22" s="420"/>
      <c r="AG22" s="420"/>
      <c r="AH22" s="420"/>
      <c r="AI22" s="420"/>
      <c r="AJ22" s="420"/>
      <c r="AK22" s="420"/>
      <c r="AL22" s="420"/>
      <c r="AM22" s="420"/>
      <c r="AN22" s="420"/>
      <c r="AO22" s="420"/>
      <c r="AP22" s="420"/>
      <c r="AQ22" s="420"/>
      <c r="AR22" s="420"/>
      <c r="AS22" s="420"/>
      <c r="AT22" s="420"/>
      <c r="AU22" s="420"/>
      <c r="AV22" s="420"/>
      <c r="AW22" s="420"/>
      <c r="AX22" s="420"/>
      <c r="AY22" s="420"/>
      <c r="AZ22" s="422"/>
      <c r="BA22" s="422"/>
      <c r="BB22" s="389"/>
      <c r="BC22" s="390"/>
      <c r="BD22" s="391"/>
      <c r="BE22" s="391"/>
      <c r="BG22" s="391"/>
      <c r="BI22" s="391"/>
      <c r="BJ22" s="391"/>
      <c r="BK22" s="391"/>
      <c r="BL22" s="391"/>
      <c r="BM22" s="391"/>
      <c r="BN22" s="444"/>
      <c r="BO22" s="444"/>
      <c r="BP22" s="444"/>
      <c r="BQ22" s="444"/>
      <c r="BR22" s="444"/>
      <c r="BS22" s="444"/>
      <c r="BT22" s="444"/>
    </row>
    <row r="23" spans="1:72" s="443" customFormat="1" ht="12.5" customHeight="1">
      <c r="A23" s="393"/>
      <c r="B23" s="426"/>
      <c r="C23" s="420"/>
      <c r="D23" s="420"/>
      <c r="E23" s="420"/>
      <c r="F23" s="420"/>
      <c r="G23" s="420"/>
      <c r="H23" s="420"/>
      <c r="I23" s="420"/>
      <c r="J23" s="420"/>
      <c r="K23" s="420"/>
      <c r="L23" s="420"/>
      <c r="M23" s="420"/>
      <c r="N23" s="420"/>
      <c r="O23" s="420"/>
      <c r="P23" s="420"/>
      <c r="Q23" s="420"/>
      <c r="R23" s="420"/>
      <c r="S23" s="420"/>
      <c r="T23" s="420"/>
      <c r="U23" s="420"/>
      <c r="V23" s="420"/>
      <c r="W23" s="420"/>
      <c r="X23" s="420"/>
      <c r="Y23" s="420"/>
      <c r="Z23" s="420"/>
      <c r="AA23" s="420"/>
      <c r="AB23" s="420"/>
      <c r="AC23" s="420"/>
      <c r="AD23" s="420"/>
      <c r="AE23" s="420"/>
      <c r="AF23" s="420"/>
      <c r="AG23" s="420"/>
      <c r="AH23" s="420"/>
      <c r="AI23" s="420"/>
      <c r="AJ23" s="420"/>
      <c r="AK23" s="420"/>
      <c r="AL23" s="420"/>
      <c r="AM23" s="420"/>
      <c r="AN23" s="420"/>
      <c r="AO23" s="420"/>
      <c r="AP23" s="420"/>
      <c r="AQ23" s="420"/>
      <c r="AR23" s="420"/>
      <c r="AS23" s="420"/>
      <c r="AT23" s="420"/>
      <c r="AU23" s="420"/>
      <c r="AV23" s="420"/>
      <c r="AW23" s="420"/>
      <c r="AX23" s="420"/>
      <c r="AY23" s="420"/>
      <c r="AZ23" s="422"/>
      <c r="BA23" s="422"/>
      <c r="BB23" s="389"/>
      <c r="BC23" s="390"/>
      <c r="BD23" s="391"/>
      <c r="BE23" s="391"/>
      <c r="BF23" s="421" t="s">
        <v>282</v>
      </c>
      <c r="BG23" s="391"/>
      <c r="BH23" s="391"/>
      <c r="BI23" s="28"/>
      <c r="BJ23" s="391"/>
      <c r="BK23" s="391"/>
      <c r="BL23" s="391"/>
      <c r="BM23" s="391"/>
      <c r="BN23" s="444"/>
      <c r="BO23" s="444"/>
      <c r="BP23" s="444"/>
      <c r="BQ23" s="444"/>
      <c r="BR23" s="444"/>
      <c r="BS23" s="444"/>
      <c r="BT23" s="444"/>
    </row>
    <row r="24" spans="1:72" s="443" customFormat="1" ht="12.5" customHeight="1">
      <c r="A24" s="393"/>
      <c r="B24" s="418"/>
      <c r="C24" s="423"/>
      <c r="D24" s="419"/>
      <c r="E24" s="419"/>
      <c r="F24" s="419"/>
      <c r="G24" s="421"/>
      <c r="H24" s="431"/>
      <c r="I24" s="431"/>
      <c r="J24" s="431"/>
      <c r="K24" s="431"/>
      <c r="L24" s="431"/>
      <c r="M24" s="431"/>
      <c r="N24" s="431"/>
      <c r="O24" s="431"/>
      <c r="P24" s="431"/>
      <c r="Q24" s="431"/>
      <c r="R24" s="431"/>
      <c r="S24" s="431"/>
      <c r="T24" s="431"/>
      <c r="U24" s="431"/>
      <c r="V24" s="431"/>
      <c r="W24" s="431"/>
      <c r="X24" s="431"/>
      <c r="Y24" s="431"/>
      <c r="Z24" s="431"/>
      <c r="AA24" s="431"/>
      <c r="AB24" s="431"/>
      <c r="AC24" s="431"/>
      <c r="AD24" s="431"/>
      <c r="AE24" s="431"/>
      <c r="AF24" s="431"/>
      <c r="AG24" s="431"/>
      <c r="AH24" s="431"/>
      <c r="AI24" s="431"/>
      <c r="AJ24" s="431"/>
      <c r="AK24" s="431"/>
      <c r="AL24" s="431"/>
      <c r="AM24" s="431"/>
      <c r="AN24" s="431"/>
      <c r="AO24" s="431"/>
      <c r="AP24" s="431"/>
      <c r="AQ24" s="431"/>
      <c r="AR24" s="431"/>
      <c r="AS24" s="431"/>
      <c r="AT24" s="425"/>
      <c r="AU24" s="421"/>
      <c r="AV24" s="421"/>
      <c r="AW24" s="421"/>
      <c r="AX24" s="421"/>
      <c r="AY24" s="417"/>
      <c r="AZ24" s="422"/>
      <c r="BA24" s="422"/>
      <c r="BB24" s="389"/>
      <c r="BC24" s="390"/>
      <c r="BD24" s="391"/>
      <c r="BE24" s="391"/>
      <c r="BG24" s="391" t="s">
        <v>296</v>
      </c>
      <c r="BI24" s="28"/>
      <c r="BJ24" s="391"/>
      <c r="BK24" s="391"/>
      <c r="BL24" s="391"/>
      <c r="BM24" s="391"/>
      <c r="BN24" s="444"/>
      <c r="BO24" s="444"/>
      <c r="BP24" s="444"/>
      <c r="BQ24" s="444"/>
      <c r="BR24" s="444"/>
      <c r="BS24" s="444"/>
      <c r="BT24" s="444"/>
    </row>
    <row r="25" spans="1:72" ht="12.5" customHeight="1">
      <c r="A25" s="393"/>
      <c r="B25" s="418"/>
      <c r="C25" s="470" t="s">
        <v>238</v>
      </c>
      <c r="D25" s="420"/>
      <c r="E25" s="420"/>
      <c r="F25" s="420"/>
      <c r="G25" s="420"/>
      <c r="H25" s="420"/>
      <c r="I25" s="420"/>
      <c r="J25" s="420"/>
      <c r="K25" s="420"/>
      <c r="L25" s="420"/>
      <c r="M25" s="420"/>
      <c r="N25" s="420"/>
      <c r="O25" s="420"/>
      <c r="P25" s="420"/>
      <c r="Q25" s="420"/>
      <c r="R25" s="420"/>
      <c r="S25" s="420"/>
      <c r="T25" s="420"/>
      <c r="U25" s="420"/>
      <c r="V25" s="420"/>
      <c r="W25" s="420"/>
      <c r="X25" s="420"/>
      <c r="Y25" s="420"/>
      <c r="Z25" s="420"/>
      <c r="AA25" s="420"/>
      <c r="AB25" s="420"/>
      <c r="AC25" s="420"/>
      <c r="AD25" s="420"/>
      <c r="AE25" s="420"/>
      <c r="AF25" s="420"/>
      <c r="AG25" s="420"/>
      <c r="AH25" s="420"/>
      <c r="AI25" s="420"/>
      <c r="AJ25" s="420"/>
      <c r="AK25" s="420"/>
      <c r="AL25" s="420"/>
      <c r="AM25" s="420"/>
      <c r="AN25" s="420"/>
      <c r="AO25" s="420"/>
      <c r="AP25" s="420"/>
      <c r="AQ25" s="420"/>
      <c r="AR25" s="420"/>
      <c r="AS25" s="431"/>
      <c r="AT25" s="425"/>
      <c r="AU25" s="421"/>
      <c r="AV25" s="417"/>
      <c r="AW25" s="417"/>
      <c r="AX25" s="421"/>
      <c r="AY25" s="417"/>
      <c r="AZ25" s="422"/>
      <c r="BA25" s="422"/>
      <c r="BB25" s="405"/>
      <c r="BC25" s="406"/>
      <c r="BD25" s="391"/>
      <c r="BE25" s="391"/>
      <c r="BG25" s="391"/>
      <c r="BI25" s="391"/>
      <c r="BJ25" s="391"/>
      <c r="BK25" s="391"/>
      <c r="BL25" s="391"/>
      <c r="BM25" s="391"/>
      <c r="BN25" s="444"/>
      <c r="BO25" s="444"/>
      <c r="BP25" s="444"/>
      <c r="BQ25" s="444"/>
      <c r="BR25" s="444"/>
      <c r="BS25" s="444"/>
      <c r="BT25" s="444"/>
    </row>
    <row r="26" spans="1:72" ht="5" customHeight="1" thickBot="1">
      <c r="A26" s="393"/>
      <c r="B26" s="394"/>
      <c r="C26" s="489"/>
      <c r="D26" s="489"/>
      <c r="E26" s="489"/>
      <c r="F26" s="490"/>
      <c r="G26" s="491"/>
      <c r="H26" s="431"/>
      <c r="I26" s="431"/>
      <c r="J26" s="431"/>
      <c r="K26" s="431"/>
      <c r="L26" s="431"/>
      <c r="M26" s="431"/>
      <c r="N26" s="431"/>
      <c r="O26" s="431"/>
      <c r="P26" s="431"/>
      <c r="Q26" s="431"/>
      <c r="R26" s="431"/>
      <c r="S26" s="431"/>
      <c r="T26" s="431"/>
      <c r="U26" s="431"/>
      <c r="V26" s="431"/>
      <c r="W26" s="431"/>
      <c r="X26" s="431"/>
      <c r="Y26" s="431"/>
      <c r="Z26" s="431"/>
      <c r="AA26" s="431"/>
      <c r="AB26" s="431"/>
      <c r="AC26" s="431"/>
      <c r="AD26" s="431"/>
      <c r="AE26" s="431"/>
      <c r="AF26" s="431"/>
      <c r="AG26" s="431"/>
      <c r="AH26" s="431"/>
      <c r="AI26" s="431"/>
      <c r="AJ26" s="431"/>
      <c r="AK26" s="431"/>
      <c r="AL26" s="431"/>
      <c r="AM26" s="431"/>
      <c r="AN26" s="431"/>
      <c r="AO26" s="431"/>
      <c r="AP26" s="431"/>
      <c r="AQ26" s="431"/>
      <c r="AR26" s="431"/>
      <c r="AS26" s="431"/>
      <c r="AT26" s="425"/>
      <c r="AU26" s="421"/>
      <c r="AV26" s="400"/>
      <c r="AW26" s="400"/>
      <c r="AX26" s="400"/>
      <c r="AY26" s="395"/>
      <c r="AZ26" s="396"/>
      <c r="BA26" s="396"/>
      <c r="BB26" s="389"/>
      <c r="BC26" s="390"/>
      <c r="BD26" s="391"/>
      <c r="BE26" s="444"/>
      <c r="BG26" s="391"/>
      <c r="BI26" s="444"/>
      <c r="BJ26" s="444"/>
      <c r="BK26" s="444"/>
      <c r="BL26" s="444"/>
      <c r="BM26" s="444"/>
      <c r="BN26" s="444"/>
      <c r="BO26" s="444"/>
      <c r="BP26" s="444"/>
      <c r="BQ26" s="444"/>
      <c r="BR26" s="444"/>
      <c r="BS26" s="444"/>
      <c r="BT26" s="444"/>
    </row>
    <row r="27" spans="1:72" ht="0.5" customHeight="1" thickTop="1">
      <c r="A27" s="393"/>
      <c r="B27" s="394"/>
      <c r="C27" s="391"/>
      <c r="D27" s="391"/>
      <c r="E27" s="391"/>
      <c r="F27" s="392"/>
      <c r="G27" s="421"/>
      <c r="H27" s="431"/>
      <c r="I27" s="431"/>
      <c r="J27" s="431"/>
      <c r="K27" s="431"/>
      <c r="L27" s="431"/>
      <c r="M27" s="431"/>
      <c r="N27" s="431"/>
      <c r="O27" s="431"/>
      <c r="P27" s="431"/>
      <c r="Q27" s="431"/>
      <c r="R27" s="431"/>
      <c r="S27" s="431"/>
      <c r="T27" s="431"/>
      <c r="U27" s="431"/>
      <c r="V27" s="431"/>
      <c r="W27" s="431"/>
      <c r="X27" s="431"/>
      <c r="Y27" s="431"/>
      <c r="Z27" s="431"/>
      <c r="AA27" s="431"/>
      <c r="AB27" s="431"/>
      <c r="AC27" s="431"/>
      <c r="AD27" s="431"/>
      <c r="AE27" s="431"/>
      <c r="AF27" s="431"/>
      <c r="AG27" s="431"/>
      <c r="AH27" s="431"/>
      <c r="AI27" s="431"/>
      <c r="AJ27" s="431"/>
      <c r="AK27" s="431"/>
      <c r="AL27" s="431"/>
      <c r="AM27" s="431"/>
      <c r="AN27" s="431"/>
      <c r="AO27" s="431"/>
      <c r="AP27" s="431"/>
      <c r="AQ27" s="431"/>
      <c r="AR27" s="431"/>
      <c r="AS27" s="431"/>
      <c r="AT27" s="425"/>
      <c r="AU27" s="421"/>
      <c r="AV27" s="400"/>
      <c r="AW27" s="400"/>
      <c r="AX27" s="400"/>
      <c r="AY27" s="395"/>
      <c r="AZ27" s="396"/>
      <c r="BA27" s="396"/>
      <c r="BB27" s="389"/>
      <c r="BC27" s="390"/>
      <c r="BD27" s="391"/>
      <c r="BE27" s="444"/>
      <c r="BG27" s="391"/>
      <c r="BH27" s="391"/>
      <c r="BI27" s="444"/>
      <c r="BJ27" s="444"/>
      <c r="BK27" s="444"/>
      <c r="BL27" s="444"/>
      <c r="BM27" s="444"/>
      <c r="BN27" s="444"/>
      <c r="BO27" s="444"/>
      <c r="BP27" s="444"/>
      <c r="BQ27" s="444"/>
      <c r="BR27" s="444"/>
      <c r="BS27" s="444"/>
      <c r="BT27" s="444"/>
    </row>
    <row r="28" spans="1:72" ht="15.5" customHeight="1">
      <c r="A28" s="393"/>
      <c r="B28" s="471"/>
      <c r="C28" s="472"/>
      <c r="D28" s="473"/>
      <c r="E28" s="473"/>
      <c r="F28" s="473"/>
      <c r="G28" s="473"/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  <c r="Y28" s="473"/>
      <c r="Z28" s="473"/>
      <c r="AA28" s="473"/>
      <c r="AB28" s="473"/>
      <c r="AC28" s="473"/>
      <c r="AD28" s="473"/>
      <c r="AE28" s="473"/>
      <c r="AF28" s="473"/>
      <c r="AG28" s="473"/>
      <c r="AH28" s="473"/>
      <c r="AI28" s="473"/>
      <c r="AJ28" s="473"/>
      <c r="AK28" s="473"/>
      <c r="AL28" s="473"/>
      <c r="AM28" s="473"/>
      <c r="AN28" s="473"/>
      <c r="AO28" s="473"/>
      <c r="AP28" s="473"/>
      <c r="AQ28" s="473"/>
      <c r="AR28" s="473"/>
      <c r="AS28" s="474"/>
      <c r="AT28" s="475"/>
      <c r="AU28" s="476"/>
      <c r="AV28" s="472"/>
      <c r="AW28" s="472"/>
      <c r="AX28" s="476"/>
      <c r="AY28" s="472"/>
      <c r="AZ28" s="477"/>
      <c r="BA28" s="396"/>
      <c r="BB28" s="389"/>
      <c r="BC28" s="390"/>
      <c r="BD28" s="391"/>
      <c r="BE28" s="444"/>
      <c r="BF28" s="421" t="s">
        <v>283</v>
      </c>
      <c r="BG28" s="391"/>
      <c r="BH28" s="391"/>
      <c r="BI28" s="444"/>
      <c r="BJ28" s="444"/>
      <c r="BK28" s="444"/>
      <c r="BL28" s="444"/>
      <c r="BM28" s="444"/>
      <c r="BN28" s="444"/>
      <c r="BO28" s="444"/>
      <c r="BP28" s="444"/>
      <c r="BQ28" s="444"/>
      <c r="BR28" s="444"/>
      <c r="BS28" s="444"/>
      <c r="BT28" s="444"/>
    </row>
    <row r="29" spans="1:72" ht="15.5" customHeight="1">
      <c r="A29" s="393"/>
      <c r="B29" s="478"/>
      <c r="C29" s="485" t="s">
        <v>239</v>
      </c>
      <c r="D29" s="479"/>
      <c r="E29" s="479"/>
      <c r="F29" s="480"/>
      <c r="G29" s="476"/>
      <c r="H29" s="474"/>
      <c r="I29" s="474"/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  <c r="Y29" s="474"/>
      <c r="Z29" s="474"/>
      <c r="AA29" s="474"/>
      <c r="AB29" s="485" t="s">
        <v>241</v>
      </c>
      <c r="AC29" s="474"/>
      <c r="AD29" s="474"/>
      <c r="AE29" s="474"/>
      <c r="AF29" s="474"/>
      <c r="AG29" s="474"/>
      <c r="AH29" s="474"/>
      <c r="AI29" s="474"/>
      <c r="AJ29" s="474"/>
      <c r="AK29" s="474"/>
      <c r="AL29" s="474"/>
      <c r="AM29" s="474"/>
      <c r="AN29" s="474"/>
      <c r="AO29" s="474"/>
      <c r="AP29" s="474"/>
      <c r="AQ29" s="474"/>
      <c r="AR29" s="475"/>
      <c r="AS29" s="476"/>
      <c r="AT29" s="479"/>
      <c r="AU29" s="479"/>
      <c r="AV29" s="479"/>
      <c r="AW29" s="481"/>
      <c r="AX29" s="479"/>
      <c r="AY29" s="481"/>
      <c r="AZ29" s="477"/>
      <c r="BA29" s="396"/>
      <c r="BB29" s="389"/>
      <c r="BC29" s="390"/>
      <c r="BD29" s="391"/>
      <c r="BE29" s="444"/>
      <c r="BG29" s="391" t="s">
        <v>297</v>
      </c>
      <c r="BI29" s="444"/>
      <c r="BJ29" s="444"/>
      <c r="BK29" s="444"/>
      <c r="BL29" s="444"/>
      <c r="BM29" s="444"/>
      <c r="BN29" s="444"/>
      <c r="BO29" s="444"/>
      <c r="BP29" s="444"/>
      <c r="BQ29" s="444"/>
      <c r="BR29" s="444"/>
      <c r="BS29" s="444"/>
      <c r="BT29" s="444"/>
    </row>
    <row r="30" spans="1:72" ht="15.5" customHeight="1">
      <c r="A30" s="393"/>
      <c r="B30" s="482"/>
      <c r="C30" s="486" t="s">
        <v>240</v>
      </c>
      <c r="D30" s="487"/>
      <c r="E30" s="487"/>
      <c r="F30" s="487"/>
      <c r="G30" s="487"/>
      <c r="H30" s="487"/>
      <c r="I30" s="487"/>
      <c r="J30" s="487"/>
      <c r="K30" s="487"/>
      <c r="L30" s="487"/>
      <c r="M30" s="487"/>
      <c r="N30" s="487"/>
      <c r="O30" s="487"/>
      <c r="P30" s="487"/>
      <c r="Q30" s="487"/>
      <c r="R30" s="487"/>
      <c r="S30" s="487"/>
      <c r="T30" s="487"/>
      <c r="U30" s="487"/>
      <c r="V30" s="487"/>
      <c r="W30" s="487"/>
      <c r="X30" s="487"/>
      <c r="Y30" s="473"/>
      <c r="Z30" s="473"/>
      <c r="AA30" s="473"/>
      <c r="AB30" s="486" t="s">
        <v>250</v>
      </c>
      <c r="AC30" s="487"/>
      <c r="AD30" s="487"/>
      <c r="AE30" s="487"/>
      <c r="AF30" s="487"/>
      <c r="AG30" s="487"/>
      <c r="AH30" s="487"/>
      <c r="AI30" s="487"/>
      <c r="AJ30" s="487"/>
      <c r="AK30" s="487"/>
      <c r="AL30" s="487"/>
      <c r="AM30" s="487"/>
      <c r="AN30" s="487"/>
      <c r="AO30" s="487"/>
      <c r="AP30" s="487"/>
      <c r="AQ30" s="487"/>
      <c r="AR30" s="487"/>
      <c r="AS30" s="487"/>
      <c r="AT30" s="487"/>
      <c r="AU30" s="487"/>
      <c r="AV30" s="487"/>
      <c r="AW30" s="487"/>
      <c r="AX30" s="473"/>
      <c r="AY30" s="473"/>
      <c r="AZ30" s="483"/>
      <c r="BA30" s="422"/>
      <c r="BB30" s="389"/>
      <c r="BC30" s="390"/>
      <c r="BD30" s="391"/>
      <c r="BE30" s="444"/>
      <c r="BG30" s="391"/>
      <c r="BI30" s="444"/>
      <c r="BJ30" s="444"/>
      <c r="BK30" s="444"/>
      <c r="BL30" s="444"/>
      <c r="BM30" s="444"/>
      <c r="BN30" s="444"/>
      <c r="BO30" s="444"/>
      <c r="BP30" s="444"/>
      <c r="BQ30" s="444"/>
      <c r="BR30" s="444"/>
      <c r="BS30" s="444"/>
      <c r="BT30" s="444"/>
    </row>
    <row r="31" spans="1:72" ht="15.5" customHeight="1">
      <c r="A31" s="393"/>
      <c r="B31" s="482"/>
      <c r="C31" s="484"/>
      <c r="D31" s="473"/>
      <c r="E31" s="473"/>
      <c r="F31" s="473"/>
      <c r="G31" s="473"/>
      <c r="H31" s="473"/>
      <c r="I31" s="473"/>
      <c r="J31" s="473"/>
      <c r="K31" s="473"/>
      <c r="L31" s="473"/>
      <c r="M31" s="473"/>
      <c r="N31" s="473"/>
      <c r="O31" s="473"/>
      <c r="P31" s="473"/>
      <c r="Q31" s="473"/>
      <c r="R31" s="473"/>
      <c r="S31" s="473"/>
      <c r="T31" s="473"/>
      <c r="U31" s="473"/>
      <c r="V31" s="473"/>
      <c r="W31" s="473"/>
      <c r="X31" s="473"/>
      <c r="Y31" s="473"/>
      <c r="Z31" s="473"/>
      <c r="AA31" s="473"/>
      <c r="AB31" s="473"/>
      <c r="AC31" s="473"/>
      <c r="AD31" s="473"/>
      <c r="AE31" s="473"/>
      <c r="AF31" s="473"/>
      <c r="AG31" s="473"/>
      <c r="AH31" s="473"/>
      <c r="AI31" s="473"/>
      <c r="AJ31" s="473"/>
      <c r="AK31" s="473"/>
      <c r="AL31" s="473"/>
      <c r="AM31" s="473"/>
      <c r="AN31" s="473"/>
      <c r="AO31" s="473"/>
      <c r="AP31" s="473"/>
      <c r="AQ31" s="473"/>
      <c r="AR31" s="473"/>
      <c r="AS31" s="474"/>
      <c r="AT31" s="475"/>
      <c r="AU31" s="476"/>
      <c r="AV31" s="476"/>
      <c r="AW31" s="476"/>
      <c r="AX31" s="476"/>
      <c r="AY31" s="472"/>
      <c r="AZ31" s="483"/>
      <c r="BA31" s="422"/>
      <c r="BB31" s="389"/>
      <c r="BC31" s="390"/>
      <c r="BD31" s="391"/>
      <c r="BE31" s="444"/>
      <c r="BF31" s="421" t="s">
        <v>284</v>
      </c>
      <c r="BG31" s="391"/>
      <c r="BH31" s="391"/>
      <c r="BI31" s="444"/>
      <c r="BJ31" s="444"/>
      <c r="BK31" s="444"/>
      <c r="BL31" s="444"/>
      <c r="BM31" s="444"/>
      <c r="BN31" s="444"/>
      <c r="BO31" s="444"/>
      <c r="BP31" s="444"/>
      <c r="BQ31" s="444"/>
      <c r="BR31" s="444"/>
      <c r="BS31" s="444"/>
      <c r="BT31" s="444"/>
    </row>
    <row r="32" spans="1:72" ht="15.5" customHeight="1">
      <c r="A32" s="393"/>
      <c r="B32" s="482"/>
      <c r="C32" s="485" t="s">
        <v>242</v>
      </c>
      <c r="D32" s="473"/>
      <c r="E32" s="473"/>
      <c r="F32" s="473"/>
      <c r="G32" s="473"/>
      <c r="H32" s="473"/>
      <c r="I32" s="473"/>
      <c r="J32" s="473"/>
      <c r="K32" s="473"/>
      <c r="L32" s="473"/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  <c r="Y32" s="473"/>
      <c r="Z32" s="473"/>
      <c r="AA32" s="473"/>
      <c r="AB32" s="485" t="s">
        <v>244</v>
      </c>
      <c r="AC32" s="473"/>
      <c r="AD32" s="473"/>
      <c r="AE32" s="473"/>
      <c r="AF32" s="473"/>
      <c r="AG32" s="473"/>
      <c r="AH32" s="473"/>
      <c r="AI32" s="473"/>
      <c r="AJ32" s="473"/>
      <c r="AK32" s="473"/>
      <c r="AL32" s="473"/>
      <c r="AM32" s="473"/>
      <c r="AN32" s="473"/>
      <c r="AO32" s="473"/>
      <c r="AP32" s="473"/>
      <c r="AQ32" s="473"/>
      <c r="AR32" s="473"/>
      <c r="AS32" s="474"/>
      <c r="AT32" s="475"/>
      <c r="AU32" s="476"/>
      <c r="AV32" s="476"/>
      <c r="AW32" s="476"/>
      <c r="AX32" s="476"/>
      <c r="AY32" s="472"/>
      <c r="AZ32" s="483"/>
      <c r="BA32" s="422"/>
      <c r="BB32" s="389"/>
      <c r="BC32" s="390"/>
      <c r="BD32" s="391"/>
      <c r="BE32" s="444"/>
      <c r="BG32" s="391" t="s">
        <v>298</v>
      </c>
      <c r="BI32" s="444"/>
      <c r="BJ32" s="444"/>
      <c r="BK32" s="444"/>
      <c r="BL32" s="444"/>
      <c r="BM32" s="444"/>
      <c r="BN32" s="444"/>
      <c r="BO32" s="444"/>
      <c r="BP32" s="444"/>
      <c r="BQ32" s="444"/>
      <c r="BR32" s="444"/>
      <c r="BS32" s="444"/>
      <c r="BT32" s="444"/>
    </row>
    <row r="33" spans="1:72" s="443" customFormat="1" ht="15.5" customHeight="1">
      <c r="A33" s="393"/>
      <c r="B33" s="482"/>
      <c r="C33" s="486" t="s">
        <v>243</v>
      </c>
      <c r="D33" s="487"/>
      <c r="E33" s="487"/>
      <c r="F33" s="487"/>
      <c r="G33" s="487"/>
      <c r="H33" s="487"/>
      <c r="I33" s="487"/>
      <c r="J33" s="487"/>
      <c r="K33" s="487"/>
      <c r="L33" s="487"/>
      <c r="M33" s="487"/>
      <c r="N33" s="487"/>
      <c r="O33" s="487"/>
      <c r="P33" s="487"/>
      <c r="Q33" s="487"/>
      <c r="R33" s="487"/>
      <c r="S33" s="487"/>
      <c r="T33" s="487"/>
      <c r="U33" s="487"/>
      <c r="V33" s="487"/>
      <c r="W33" s="487"/>
      <c r="X33" s="487"/>
      <c r="Y33" s="473"/>
      <c r="Z33" s="473"/>
      <c r="AA33" s="473"/>
      <c r="AB33" s="486" t="s">
        <v>249</v>
      </c>
      <c r="AC33" s="487"/>
      <c r="AD33" s="487"/>
      <c r="AE33" s="487"/>
      <c r="AF33" s="487"/>
      <c r="AG33" s="487"/>
      <c r="AH33" s="487"/>
      <c r="AI33" s="487"/>
      <c r="AJ33" s="487"/>
      <c r="AK33" s="487"/>
      <c r="AL33" s="487"/>
      <c r="AM33" s="487"/>
      <c r="AN33" s="487"/>
      <c r="AO33" s="487"/>
      <c r="AP33" s="487"/>
      <c r="AQ33" s="487"/>
      <c r="AR33" s="487"/>
      <c r="AS33" s="487"/>
      <c r="AT33" s="487"/>
      <c r="AU33" s="487"/>
      <c r="AV33" s="487"/>
      <c r="AW33" s="487"/>
      <c r="AX33" s="476"/>
      <c r="AY33" s="472"/>
      <c r="AZ33" s="483"/>
      <c r="BA33" s="422"/>
      <c r="BB33" s="389"/>
      <c r="BC33" s="390"/>
      <c r="BD33" s="391"/>
      <c r="BE33" s="444"/>
      <c r="BG33" s="391"/>
      <c r="BI33" s="444"/>
      <c r="BJ33" s="444"/>
      <c r="BK33" s="444"/>
      <c r="BL33" s="444"/>
      <c r="BM33" s="444"/>
      <c r="BN33" s="444"/>
      <c r="BO33" s="444"/>
      <c r="BP33" s="444"/>
      <c r="BQ33" s="444"/>
      <c r="BR33" s="444"/>
      <c r="BS33" s="444"/>
      <c r="BT33" s="444"/>
    </row>
    <row r="34" spans="1:72" s="443" customFormat="1" ht="15.5" customHeight="1">
      <c r="A34" s="393"/>
      <c r="B34" s="482"/>
      <c r="C34" s="472"/>
      <c r="D34" s="473"/>
      <c r="E34" s="473"/>
      <c r="F34" s="473"/>
      <c r="G34" s="473"/>
      <c r="H34" s="473"/>
      <c r="I34" s="473"/>
      <c r="J34" s="473"/>
      <c r="K34" s="473"/>
      <c r="L34" s="473"/>
      <c r="M34" s="473"/>
      <c r="N34" s="473"/>
      <c r="O34" s="473"/>
      <c r="P34" s="473"/>
      <c r="Q34" s="473"/>
      <c r="R34" s="473"/>
      <c r="S34" s="473"/>
      <c r="T34" s="473"/>
      <c r="U34" s="473"/>
      <c r="V34" s="473"/>
      <c r="W34" s="473"/>
      <c r="X34" s="473"/>
      <c r="Y34" s="473"/>
      <c r="Z34" s="473"/>
      <c r="AA34" s="473"/>
      <c r="AB34" s="473"/>
      <c r="AC34" s="473"/>
      <c r="AD34" s="473"/>
      <c r="AE34" s="473"/>
      <c r="AF34" s="473"/>
      <c r="AG34" s="473"/>
      <c r="AH34" s="473"/>
      <c r="AI34" s="473"/>
      <c r="AJ34" s="473"/>
      <c r="AK34" s="473"/>
      <c r="AL34" s="473"/>
      <c r="AM34" s="473"/>
      <c r="AN34" s="473"/>
      <c r="AO34" s="473"/>
      <c r="AP34" s="473"/>
      <c r="AQ34" s="473"/>
      <c r="AR34" s="473"/>
      <c r="AS34" s="474"/>
      <c r="AT34" s="475"/>
      <c r="AU34" s="476"/>
      <c r="AV34" s="472"/>
      <c r="AW34" s="472"/>
      <c r="AX34" s="476"/>
      <c r="AY34" s="472"/>
      <c r="AZ34" s="483"/>
      <c r="BA34" s="422"/>
      <c r="BB34" s="389"/>
      <c r="BC34" s="390"/>
      <c r="BD34" s="391"/>
      <c r="BE34" s="444"/>
      <c r="BF34" s="421" t="s">
        <v>285</v>
      </c>
      <c r="BG34" s="391"/>
      <c r="BH34" s="391"/>
      <c r="BI34" s="444"/>
      <c r="BJ34" s="444"/>
      <c r="BK34" s="444"/>
      <c r="BL34" s="444"/>
      <c r="BM34" s="444"/>
      <c r="BN34" s="444"/>
      <c r="BO34" s="444"/>
      <c r="BP34" s="444"/>
      <c r="BQ34" s="444"/>
      <c r="BR34" s="444"/>
      <c r="BS34" s="444"/>
      <c r="BT34" s="444"/>
    </row>
    <row r="35" spans="1:72" s="443" customFormat="1" ht="15.5" customHeight="1">
      <c r="A35" s="393"/>
      <c r="B35" s="482"/>
      <c r="C35" s="485" t="s">
        <v>245</v>
      </c>
      <c r="D35" s="473"/>
      <c r="E35" s="473"/>
      <c r="F35" s="473"/>
      <c r="G35" s="473"/>
      <c r="H35" s="473"/>
      <c r="I35" s="473"/>
      <c r="J35" s="473"/>
      <c r="K35" s="473"/>
      <c r="L35" s="473"/>
      <c r="M35" s="473"/>
      <c r="N35" s="473"/>
      <c r="O35" s="473"/>
      <c r="P35" s="473"/>
      <c r="Q35" s="473"/>
      <c r="R35" s="473"/>
      <c r="S35" s="473"/>
      <c r="T35" s="473"/>
      <c r="U35" s="473"/>
      <c r="V35" s="473"/>
      <c r="W35" s="473"/>
      <c r="X35" s="473"/>
      <c r="Y35" s="473"/>
      <c r="Z35" s="473"/>
      <c r="AA35" s="473"/>
      <c r="AB35" s="485" t="s">
        <v>247</v>
      </c>
      <c r="AC35" s="473"/>
      <c r="AD35" s="473"/>
      <c r="AE35" s="473"/>
      <c r="AF35" s="473"/>
      <c r="AG35" s="473"/>
      <c r="AH35" s="473"/>
      <c r="AI35" s="473"/>
      <c r="AJ35" s="473"/>
      <c r="AK35" s="473"/>
      <c r="AL35" s="473"/>
      <c r="AM35" s="473"/>
      <c r="AN35" s="473"/>
      <c r="AO35" s="473"/>
      <c r="AP35" s="473"/>
      <c r="AQ35" s="473"/>
      <c r="AR35" s="473"/>
      <c r="AS35" s="474"/>
      <c r="AT35" s="475"/>
      <c r="AU35" s="476"/>
      <c r="AV35" s="476"/>
      <c r="AW35" s="476"/>
      <c r="AX35" s="476"/>
      <c r="AY35" s="472"/>
      <c r="AZ35" s="483"/>
      <c r="BA35" s="422"/>
      <c r="BB35" s="389"/>
      <c r="BC35" s="390"/>
      <c r="BD35" s="391"/>
      <c r="BE35" s="444"/>
      <c r="BG35" s="391" t="s">
        <v>299</v>
      </c>
      <c r="BI35" s="444"/>
      <c r="BJ35" s="444"/>
      <c r="BK35" s="444"/>
      <c r="BL35" s="444"/>
      <c r="BM35" s="444"/>
      <c r="BN35" s="444"/>
      <c r="BO35" s="444"/>
      <c r="BP35" s="444"/>
      <c r="BQ35" s="444"/>
      <c r="BR35" s="444"/>
      <c r="BS35" s="444"/>
      <c r="BT35" s="444"/>
    </row>
    <row r="36" spans="1:72" s="443" customFormat="1" ht="15.5" customHeight="1">
      <c r="A36" s="393"/>
      <c r="B36" s="482"/>
      <c r="C36" s="488" t="s">
        <v>246</v>
      </c>
      <c r="D36" s="487"/>
      <c r="E36" s="487"/>
      <c r="F36" s="487"/>
      <c r="G36" s="487"/>
      <c r="H36" s="487"/>
      <c r="I36" s="487"/>
      <c r="J36" s="487"/>
      <c r="K36" s="487"/>
      <c r="L36" s="487"/>
      <c r="M36" s="487"/>
      <c r="N36" s="487"/>
      <c r="O36" s="487"/>
      <c r="P36" s="487"/>
      <c r="Q36" s="487"/>
      <c r="R36" s="487"/>
      <c r="S36" s="487"/>
      <c r="T36" s="487"/>
      <c r="U36" s="487"/>
      <c r="V36" s="487"/>
      <c r="W36" s="487"/>
      <c r="X36" s="487"/>
      <c r="Y36" s="473"/>
      <c r="Z36" s="473"/>
      <c r="AA36" s="473"/>
      <c r="AB36" s="488" t="s">
        <v>248</v>
      </c>
      <c r="AC36" s="487"/>
      <c r="AD36" s="487"/>
      <c r="AE36" s="487"/>
      <c r="AF36" s="487"/>
      <c r="AG36" s="487"/>
      <c r="AH36" s="487"/>
      <c r="AI36" s="487"/>
      <c r="AJ36" s="487"/>
      <c r="AK36" s="487"/>
      <c r="AL36" s="487"/>
      <c r="AM36" s="487"/>
      <c r="AN36" s="487"/>
      <c r="AO36" s="487"/>
      <c r="AP36" s="487"/>
      <c r="AQ36" s="487"/>
      <c r="AR36" s="487"/>
      <c r="AS36" s="487"/>
      <c r="AT36" s="487"/>
      <c r="AU36" s="487"/>
      <c r="AV36" s="487"/>
      <c r="AW36" s="487"/>
      <c r="AX36" s="476"/>
      <c r="AY36" s="472"/>
      <c r="AZ36" s="483"/>
      <c r="BA36" s="422"/>
      <c r="BB36" s="389"/>
      <c r="BC36" s="390"/>
      <c r="BD36" s="391"/>
      <c r="BE36" s="444"/>
      <c r="BG36" s="391" t="s">
        <v>300</v>
      </c>
      <c r="BI36" s="444"/>
      <c r="BJ36" s="444"/>
      <c r="BK36" s="444"/>
      <c r="BL36" s="444"/>
      <c r="BM36" s="444"/>
      <c r="BN36" s="444"/>
      <c r="BO36" s="444"/>
      <c r="BP36" s="444"/>
      <c r="BQ36" s="444"/>
      <c r="BR36" s="444"/>
      <c r="BS36" s="444"/>
      <c r="BT36" s="444"/>
    </row>
    <row r="37" spans="1:72" s="443" customFormat="1" ht="15.5" customHeight="1">
      <c r="A37" s="393"/>
      <c r="B37" s="482"/>
      <c r="C37" s="472"/>
      <c r="D37" s="473"/>
      <c r="E37" s="473"/>
      <c r="F37" s="473"/>
      <c r="G37" s="473"/>
      <c r="H37" s="473"/>
      <c r="I37" s="473"/>
      <c r="J37" s="473"/>
      <c r="K37" s="473"/>
      <c r="L37" s="473"/>
      <c r="M37" s="473"/>
      <c r="N37" s="473"/>
      <c r="O37" s="473"/>
      <c r="P37" s="473"/>
      <c r="Q37" s="473"/>
      <c r="R37" s="473"/>
      <c r="S37" s="473"/>
      <c r="T37" s="473"/>
      <c r="U37" s="473"/>
      <c r="V37" s="473"/>
      <c r="W37" s="473"/>
      <c r="X37" s="473"/>
      <c r="Y37" s="473"/>
      <c r="Z37" s="473"/>
      <c r="AA37" s="473"/>
      <c r="AB37" s="473"/>
      <c r="AC37" s="473"/>
      <c r="AD37" s="473"/>
      <c r="AE37" s="473"/>
      <c r="AF37" s="473"/>
      <c r="AG37" s="473"/>
      <c r="AH37" s="473"/>
      <c r="AI37" s="473"/>
      <c r="AJ37" s="473"/>
      <c r="AK37" s="473"/>
      <c r="AL37" s="473"/>
      <c r="AM37" s="473"/>
      <c r="AN37" s="473"/>
      <c r="AO37" s="473"/>
      <c r="AP37" s="473"/>
      <c r="AQ37" s="473"/>
      <c r="AR37" s="473"/>
      <c r="AS37" s="474"/>
      <c r="AT37" s="475"/>
      <c r="AU37" s="476"/>
      <c r="AV37" s="472"/>
      <c r="AW37" s="472"/>
      <c r="AX37" s="476"/>
      <c r="AY37" s="472"/>
      <c r="AZ37" s="483"/>
      <c r="BA37" s="422"/>
      <c r="BB37" s="389"/>
      <c r="BC37" s="390"/>
      <c r="BD37" s="391"/>
      <c r="BE37" s="444"/>
      <c r="BG37" s="391"/>
      <c r="BI37" s="444"/>
      <c r="BJ37" s="444"/>
      <c r="BK37" s="444"/>
      <c r="BL37" s="444"/>
      <c r="BM37" s="444"/>
      <c r="BN37" s="444"/>
      <c r="BO37" s="444"/>
      <c r="BP37" s="444"/>
      <c r="BQ37" s="444"/>
      <c r="BR37" s="444"/>
      <c r="BS37" s="444"/>
      <c r="BT37" s="444"/>
    </row>
    <row r="38" spans="1:72" s="443" customFormat="1" ht="15.5" customHeight="1">
      <c r="A38" s="393"/>
      <c r="B38" s="482"/>
      <c r="C38" s="485" t="s">
        <v>251</v>
      </c>
      <c r="D38" s="473"/>
      <c r="E38" s="473"/>
      <c r="F38" s="473"/>
      <c r="G38" s="473"/>
      <c r="H38" s="473"/>
      <c r="I38" s="473"/>
      <c r="J38" s="473"/>
      <c r="K38" s="473"/>
      <c r="L38" s="473"/>
      <c r="M38" s="473"/>
      <c r="N38" s="473"/>
      <c r="O38" s="473"/>
      <c r="P38" s="473"/>
      <c r="Q38" s="473"/>
      <c r="R38" s="473"/>
      <c r="S38" s="473"/>
      <c r="T38" s="473"/>
      <c r="U38" s="473"/>
      <c r="V38" s="473"/>
      <c r="W38" s="473"/>
      <c r="X38" s="473"/>
      <c r="Y38" s="473"/>
      <c r="Z38" s="473"/>
      <c r="AA38" s="473"/>
      <c r="AB38" s="485" t="s">
        <v>257</v>
      </c>
      <c r="AC38" s="473"/>
      <c r="AD38" s="473"/>
      <c r="AE38" s="473"/>
      <c r="AF38" s="473"/>
      <c r="AG38" s="473"/>
      <c r="AH38" s="473"/>
      <c r="AI38" s="473"/>
      <c r="AJ38" s="473"/>
      <c r="AK38" s="473"/>
      <c r="AL38" s="473"/>
      <c r="AM38" s="473"/>
      <c r="AN38" s="473"/>
      <c r="AO38" s="473"/>
      <c r="AP38" s="473"/>
      <c r="AQ38" s="473"/>
      <c r="AR38" s="473"/>
      <c r="AS38" s="474"/>
      <c r="AT38" s="475"/>
      <c r="AU38" s="476"/>
      <c r="AV38" s="476"/>
      <c r="AW38" s="476"/>
      <c r="AX38" s="476"/>
      <c r="AY38" s="472"/>
      <c r="AZ38" s="483"/>
      <c r="BA38" s="422"/>
      <c r="BB38" s="389"/>
      <c r="BC38" s="390"/>
      <c r="BD38" s="391"/>
      <c r="BE38" s="444"/>
      <c r="BF38" s="421" t="s">
        <v>286</v>
      </c>
      <c r="BG38" s="391"/>
      <c r="BH38" s="391"/>
      <c r="BI38" s="444"/>
      <c r="BJ38" s="444"/>
      <c r="BK38" s="444"/>
      <c r="BL38" s="444"/>
      <c r="BM38" s="444"/>
      <c r="BN38" s="444"/>
      <c r="BO38" s="444"/>
      <c r="BP38" s="444"/>
      <c r="BQ38" s="444"/>
      <c r="BR38" s="444"/>
      <c r="BS38" s="444"/>
      <c r="BT38" s="444"/>
    </row>
    <row r="39" spans="1:72" s="443" customFormat="1" ht="15.5" customHeight="1">
      <c r="A39" s="393"/>
      <c r="B39" s="482"/>
      <c r="C39" s="486" t="s">
        <v>252</v>
      </c>
      <c r="D39" s="487"/>
      <c r="E39" s="487"/>
      <c r="F39" s="487"/>
      <c r="G39" s="487"/>
      <c r="H39" s="487"/>
      <c r="I39" s="487"/>
      <c r="J39" s="487"/>
      <c r="K39" s="487"/>
      <c r="L39" s="487"/>
      <c r="M39" s="487"/>
      <c r="N39" s="487"/>
      <c r="O39" s="487"/>
      <c r="P39" s="487"/>
      <c r="Q39" s="487"/>
      <c r="R39" s="487"/>
      <c r="S39" s="487"/>
      <c r="T39" s="487"/>
      <c r="U39" s="487"/>
      <c r="V39" s="487"/>
      <c r="W39" s="487"/>
      <c r="X39" s="487"/>
      <c r="Y39" s="473"/>
      <c r="Z39" s="473"/>
      <c r="AA39" s="473"/>
      <c r="AB39" s="486"/>
      <c r="AC39" s="487"/>
      <c r="AD39" s="487"/>
      <c r="AE39" s="487"/>
      <c r="AF39" s="487"/>
      <c r="AG39" s="487"/>
      <c r="AH39" s="487"/>
      <c r="AI39" s="487"/>
      <c r="AJ39" s="487"/>
      <c r="AK39" s="487"/>
      <c r="AL39" s="487"/>
      <c r="AM39" s="487"/>
      <c r="AN39" s="487"/>
      <c r="AO39" s="487"/>
      <c r="AP39" s="487"/>
      <c r="AQ39" s="487"/>
      <c r="AR39" s="487"/>
      <c r="AS39" s="487"/>
      <c r="AT39" s="487"/>
      <c r="AU39" s="487"/>
      <c r="AV39" s="487"/>
      <c r="AW39" s="487"/>
      <c r="AX39" s="476"/>
      <c r="AY39" s="472"/>
      <c r="AZ39" s="483"/>
      <c r="BA39" s="422"/>
      <c r="BB39" s="389"/>
      <c r="BC39" s="390"/>
      <c r="BD39" s="391"/>
      <c r="BE39" s="444"/>
      <c r="BG39" s="391" t="s">
        <v>299</v>
      </c>
      <c r="BJ39" s="444"/>
      <c r="BK39" s="444"/>
      <c r="BL39" s="444"/>
      <c r="BM39" s="444"/>
      <c r="BN39" s="444"/>
      <c r="BO39" s="444"/>
      <c r="BP39" s="444"/>
      <c r="BQ39" s="444"/>
      <c r="BR39" s="444"/>
      <c r="BS39" s="444"/>
      <c r="BT39" s="444"/>
    </row>
    <row r="40" spans="1:72" s="443" customFormat="1" ht="15.5" customHeight="1">
      <c r="A40" s="393"/>
      <c r="B40" s="482"/>
      <c r="C40" s="472"/>
      <c r="D40" s="473"/>
      <c r="E40" s="473"/>
      <c r="F40" s="473"/>
      <c r="G40" s="473"/>
      <c r="H40" s="473"/>
      <c r="I40" s="473"/>
      <c r="J40" s="473"/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  <c r="Y40" s="473"/>
      <c r="Z40" s="473"/>
      <c r="AA40" s="473"/>
      <c r="AB40" s="473"/>
      <c r="AC40" s="473"/>
      <c r="AD40" s="473"/>
      <c r="AE40" s="473"/>
      <c r="AF40" s="473"/>
      <c r="AG40" s="473"/>
      <c r="AH40" s="473"/>
      <c r="AI40" s="473"/>
      <c r="AJ40" s="473"/>
      <c r="AK40" s="473"/>
      <c r="AL40" s="473"/>
      <c r="AM40" s="473"/>
      <c r="AN40" s="473"/>
      <c r="AO40" s="473"/>
      <c r="AP40" s="473"/>
      <c r="AQ40" s="473"/>
      <c r="AR40" s="473"/>
      <c r="AS40" s="474"/>
      <c r="AT40" s="475"/>
      <c r="AU40" s="476"/>
      <c r="AV40" s="472"/>
      <c r="AW40" s="472"/>
      <c r="AX40" s="476"/>
      <c r="AY40" s="472"/>
      <c r="AZ40" s="483"/>
      <c r="BA40" s="422"/>
      <c r="BB40" s="389"/>
      <c r="BC40" s="390"/>
      <c r="BD40" s="391"/>
      <c r="BE40" s="444"/>
      <c r="BG40" s="391" t="s">
        <v>300</v>
      </c>
      <c r="BJ40" s="444"/>
      <c r="BK40" s="444"/>
      <c r="BL40" s="444"/>
      <c r="BM40" s="444"/>
      <c r="BN40" s="444"/>
      <c r="BO40" s="444"/>
      <c r="BP40" s="444"/>
      <c r="BQ40" s="444"/>
      <c r="BR40" s="444"/>
      <c r="BS40" s="444"/>
      <c r="BT40" s="444"/>
    </row>
    <row r="41" spans="1:72" s="443" customFormat="1" ht="12.5" customHeight="1">
      <c r="A41" s="393"/>
      <c r="B41" s="482"/>
      <c r="C41" s="485" t="s">
        <v>253</v>
      </c>
      <c r="D41" s="473"/>
      <c r="E41" s="473"/>
      <c r="F41" s="473"/>
      <c r="G41" s="473"/>
      <c r="H41" s="473"/>
      <c r="I41" s="473"/>
      <c r="J41" s="473"/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  <c r="Y41" s="473"/>
      <c r="Z41" s="473"/>
      <c r="AA41" s="473"/>
      <c r="AB41" s="485" t="s">
        <v>258</v>
      </c>
      <c r="AC41" s="473"/>
      <c r="AD41" s="473"/>
      <c r="AE41" s="473"/>
      <c r="AF41" s="473"/>
      <c r="AG41" s="473"/>
      <c r="AH41" s="473"/>
      <c r="AI41" s="473"/>
      <c r="AJ41" s="473"/>
      <c r="AK41" s="473"/>
      <c r="AL41" s="473"/>
      <c r="AM41" s="473"/>
      <c r="AN41" s="473"/>
      <c r="AO41" s="473"/>
      <c r="AP41" s="473"/>
      <c r="AQ41" s="473"/>
      <c r="AR41" s="473"/>
      <c r="AS41" s="474"/>
      <c r="AT41" s="475"/>
      <c r="AU41" s="476"/>
      <c r="AV41" s="476"/>
      <c r="AW41" s="476"/>
      <c r="AX41" s="476"/>
      <c r="AY41" s="472"/>
      <c r="AZ41" s="483"/>
      <c r="BA41" s="422"/>
      <c r="BB41" s="389"/>
      <c r="BC41" s="390"/>
      <c r="BD41" s="391"/>
      <c r="BE41" s="444"/>
      <c r="BG41" s="391"/>
      <c r="BI41" s="444"/>
      <c r="BJ41" s="444"/>
      <c r="BK41" s="444"/>
      <c r="BL41" s="444"/>
      <c r="BM41" s="444"/>
      <c r="BN41" s="444"/>
      <c r="BO41" s="444"/>
      <c r="BP41" s="444"/>
      <c r="BQ41" s="444"/>
      <c r="BR41" s="444"/>
      <c r="BS41" s="444"/>
      <c r="BT41" s="444"/>
    </row>
    <row r="42" spans="1:72" s="443" customFormat="1" ht="12.5" customHeight="1">
      <c r="A42" s="393"/>
      <c r="B42" s="482"/>
      <c r="C42" s="486"/>
      <c r="D42" s="487"/>
      <c r="E42" s="487"/>
      <c r="F42" s="487"/>
      <c r="G42" s="487"/>
      <c r="H42" s="487"/>
      <c r="I42" s="487"/>
      <c r="J42" s="487"/>
      <c r="K42" s="487"/>
      <c r="L42" s="487"/>
      <c r="M42" s="487"/>
      <c r="N42" s="487"/>
      <c r="O42" s="487"/>
      <c r="P42" s="487"/>
      <c r="Q42" s="487"/>
      <c r="R42" s="487"/>
      <c r="S42" s="487"/>
      <c r="T42" s="487"/>
      <c r="U42" s="487"/>
      <c r="V42" s="487"/>
      <c r="W42" s="487"/>
      <c r="X42" s="487"/>
      <c r="Y42" s="473"/>
      <c r="Z42" s="473"/>
      <c r="AA42" s="473"/>
      <c r="AB42" s="486"/>
      <c r="AC42" s="487"/>
      <c r="AD42" s="487"/>
      <c r="AE42" s="487"/>
      <c r="AF42" s="487"/>
      <c r="AG42" s="487"/>
      <c r="AH42" s="487"/>
      <c r="AI42" s="487"/>
      <c r="AJ42" s="487"/>
      <c r="AK42" s="487"/>
      <c r="AL42" s="487"/>
      <c r="AM42" s="487"/>
      <c r="AN42" s="487"/>
      <c r="AO42" s="487"/>
      <c r="AP42" s="487"/>
      <c r="AQ42" s="487"/>
      <c r="AR42" s="487"/>
      <c r="AS42" s="487"/>
      <c r="AT42" s="487"/>
      <c r="AU42" s="487"/>
      <c r="AV42" s="487"/>
      <c r="AW42" s="487"/>
      <c r="AX42" s="476"/>
      <c r="AY42" s="472"/>
      <c r="AZ42" s="483"/>
      <c r="BA42" s="422"/>
      <c r="BB42" s="389"/>
      <c r="BC42" s="390"/>
      <c r="BD42" s="392"/>
      <c r="BE42" s="444"/>
      <c r="BF42" s="421" t="s">
        <v>287</v>
      </c>
      <c r="BG42" s="391"/>
      <c r="BH42" s="391"/>
      <c r="BI42" s="444"/>
      <c r="BJ42" s="444"/>
      <c r="BK42" s="444"/>
      <c r="BL42" s="444"/>
      <c r="BM42" s="444"/>
      <c r="BN42" s="444"/>
      <c r="BO42" s="444"/>
      <c r="BP42" s="444"/>
      <c r="BQ42" s="444"/>
      <c r="BR42" s="444"/>
      <c r="BS42" s="444"/>
      <c r="BT42" s="444"/>
    </row>
    <row r="43" spans="1:72" s="443" customFormat="1" ht="12.5" customHeight="1">
      <c r="A43" s="393"/>
      <c r="B43" s="482"/>
      <c r="C43" s="472"/>
      <c r="D43" s="473"/>
      <c r="E43" s="473"/>
      <c r="F43" s="473"/>
      <c r="G43" s="473"/>
      <c r="H43" s="473"/>
      <c r="I43" s="473"/>
      <c r="J43" s="473"/>
      <c r="K43" s="473"/>
      <c r="L43" s="473"/>
      <c r="M43" s="473"/>
      <c r="N43" s="473"/>
      <c r="O43" s="473"/>
      <c r="P43" s="473"/>
      <c r="Q43" s="473"/>
      <c r="R43" s="473"/>
      <c r="S43" s="473"/>
      <c r="T43" s="473"/>
      <c r="U43" s="473"/>
      <c r="V43" s="473"/>
      <c r="W43" s="473"/>
      <c r="X43" s="473"/>
      <c r="Y43" s="473"/>
      <c r="Z43" s="473"/>
      <c r="AA43" s="473"/>
      <c r="AB43" s="473"/>
      <c r="AC43" s="473"/>
      <c r="AD43" s="473"/>
      <c r="AE43" s="473"/>
      <c r="AF43" s="473"/>
      <c r="AG43" s="473"/>
      <c r="AH43" s="473"/>
      <c r="AI43" s="473"/>
      <c r="AJ43" s="473"/>
      <c r="AK43" s="473"/>
      <c r="AL43" s="473"/>
      <c r="AM43" s="473"/>
      <c r="AN43" s="473"/>
      <c r="AO43" s="473"/>
      <c r="AP43" s="473"/>
      <c r="AQ43" s="473"/>
      <c r="AR43" s="473"/>
      <c r="AS43" s="474"/>
      <c r="AT43" s="475"/>
      <c r="AU43" s="476"/>
      <c r="AV43" s="472"/>
      <c r="AW43" s="472"/>
      <c r="AX43" s="476"/>
      <c r="AY43" s="472"/>
      <c r="AZ43" s="483"/>
      <c r="BA43" s="422"/>
      <c r="BB43" s="389"/>
      <c r="BC43" s="390"/>
      <c r="BD43" s="392"/>
      <c r="BE43" s="444"/>
      <c r="BG43" s="391" t="s">
        <v>299</v>
      </c>
      <c r="BI43" s="444"/>
      <c r="BJ43" s="444"/>
      <c r="BK43" s="444"/>
      <c r="BL43" s="444"/>
      <c r="BM43" s="444"/>
      <c r="BN43" s="444"/>
      <c r="BO43" s="444"/>
      <c r="BP43" s="444"/>
      <c r="BQ43" s="444"/>
      <c r="BR43" s="444"/>
      <c r="BS43" s="444"/>
      <c r="BT43" s="444"/>
    </row>
    <row r="44" spans="1:72" s="443" customFormat="1" ht="12.5" customHeight="1">
      <c r="A44" s="393"/>
      <c r="B44" s="482"/>
      <c r="C44" s="485" t="s">
        <v>254</v>
      </c>
      <c r="D44" s="473"/>
      <c r="E44" s="473"/>
      <c r="F44" s="473"/>
      <c r="G44" s="473"/>
      <c r="H44" s="473"/>
      <c r="I44" s="473"/>
      <c r="J44" s="473"/>
      <c r="K44" s="473"/>
      <c r="L44" s="473"/>
      <c r="M44" s="473"/>
      <c r="N44" s="473"/>
      <c r="O44" s="473"/>
      <c r="P44" s="473"/>
      <c r="Q44" s="473"/>
      <c r="R44" s="473"/>
      <c r="S44" s="473"/>
      <c r="T44" s="473"/>
      <c r="U44" s="473"/>
      <c r="V44" s="473"/>
      <c r="W44" s="473"/>
      <c r="X44" s="473"/>
      <c r="Y44" s="473"/>
      <c r="Z44" s="473"/>
      <c r="AA44" s="473"/>
      <c r="AB44" s="485" t="s">
        <v>259</v>
      </c>
      <c r="AC44" s="473"/>
      <c r="AD44" s="473"/>
      <c r="AE44" s="473"/>
      <c r="AF44" s="473"/>
      <c r="AG44" s="473"/>
      <c r="AH44" s="473"/>
      <c r="AI44" s="473"/>
      <c r="AJ44" s="473"/>
      <c r="AK44" s="473"/>
      <c r="AL44" s="473"/>
      <c r="AM44" s="473"/>
      <c r="AN44" s="473"/>
      <c r="AO44" s="473"/>
      <c r="AP44" s="473"/>
      <c r="AQ44" s="473"/>
      <c r="AR44" s="473"/>
      <c r="AS44" s="474"/>
      <c r="AT44" s="475"/>
      <c r="AU44" s="476"/>
      <c r="AV44" s="476"/>
      <c r="AW44" s="476"/>
      <c r="AX44" s="476"/>
      <c r="AY44" s="472"/>
      <c r="AZ44" s="483"/>
      <c r="BA44" s="422"/>
      <c r="BB44" s="405"/>
      <c r="BC44" s="406"/>
      <c r="BD44" s="391"/>
      <c r="BE44" s="444"/>
      <c r="BG44" s="391" t="s">
        <v>300</v>
      </c>
      <c r="BI44" s="444"/>
      <c r="BJ44" s="444"/>
      <c r="BK44" s="444"/>
      <c r="BL44" s="444"/>
      <c r="BM44" s="444"/>
      <c r="BN44" s="444"/>
      <c r="BO44" s="444"/>
      <c r="BP44" s="444"/>
      <c r="BQ44" s="444"/>
      <c r="BR44" s="444"/>
      <c r="BS44" s="444"/>
      <c r="BT44" s="444"/>
    </row>
    <row r="45" spans="1:72" s="443" customFormat="1" ht="12.5" customHeight="1">
      <c r="A45" s="393"/>
      <c r="B45" s="482"/>
      <c r="C45" s="486" t="s">
        <v>255</v>
      </c>
      <c r="D45" s="487"/>
      <c r="E45" s="487"/>
      <c r="F45" s="487"/>
      <c r="G45" s="487"/>
      <c r="H45" s="487"/>
      <c r="I45" s="487"/>
      <c r="J45" s="487"/>
      <c r="K45" s="487"/>
      <c r="L45" s="487"/>
      <c r="M45" s="487"/>
      <c r="N45" s="487"/>
      <c r="O45" s="487"/>
      <c r="P45" s="487"/>
      <c r="Q45" s="487"/>
      <c r="R45" s="487"/>
      <c r="S45" s="487"/>
      <c r="T45" s="487"/>
      <c r="U45" s="487"/>
      <c r="V45" s="487"/>
      <c r="W45" s="487"/>
      <c r="X45" s="487"/>
      <c r="Y45" s="473"/>
      <c r="Z45" s="473"/>
      <c r="AA45" s="473"/>
      <c r="AB45" s="486"/>
      <c r="AC45" s="487"/>
      <c r="AD45" s="487"/>
      <c r="AE45" s="487"/>
      <c r="AF45" s="487"/>
      <c r="AG45" s="487"/>
      <c r="AH45" s="487"/>
      <c r="AI45" s="487"/>
      <c r="AJ45" s="487"/>
      <c r="AK45" s="487"/>
      <c r="AL45" s="487"/>
      <c r="AM45" s="487"/>
      <c r="AN45" s="487"/>
      <c r="AO45" s="487"/>
      <c r="AP45" s="487"/>
      <c r="AQ45" s="487"/>
      <c r="AR45" s="487"/>
      <c r="AS45" s="487"/>
      <c r="AT45" s="487"/>
      <c r="AU45" s="487"/>
      <c r="AV45" s="487"/>
      <c r="AW45" s="487"/>
      <c r="AX45" s="476"/>
      <c r="AY45" s="472"/>
      <c r="AZ45" s="483"/>
      <c r="BA45" s="422"/>
      <c r="BB45" s="405"/>
      <c r="BC45" s="406"/>
      <c r="BD45" s="391"/>
      <c r="BE45" s="444"/>
      <c r="BG45" s="391"/>
      <c r="BI45" s="444"/>
      <c r="BJ45" s="444"/>
      <c r="BK45" s="444"/>
      <c r="BL45" s="444"/>
      <c r="BM45" s="444"/>
      <c r="BN45" s="444"/>
      <c r="BO45" s="444"/>
      <c r="BP45" s="444"/>
      <c r="BQ45" s="444"/>
      <c r="BR45" s="444"/>
      <c r="BS45" s="444"/>
      <c r="BT45" s="444"/>
    </row>
    <row r="46" spans="1:72" s="443" customFormat="1" ht="12.5" customHeight="1">
      <c r="A46" s="393"/>
      <c r="B46" s="482"/>
      <c r="C46" s="472"/>
      <c r="D46" s="473"/>
      <c r="E46" s="473"/>
      <c r="F46" s="473"/>
      <c r="G46" s="473"/>
      <c r="H46" s="473"/>
      <c r="I46" s="473"/>
      <c r="J46" s="473"/>
      <c r="K46" s="473"/>
      <c r="L46" s="473"/>
      <c r="M46" s="473"/>
      <c r="N46" s="473"/>
      <c r="O46" s="473"/>
      <c r="P46" s="473"/>
      <c r="Q46" s="473"/>
      <c r="R46" s="473"/>
      <c r="S46" s="473"/>
      <c r="T46" s="473"/>
      <c r="U46" s="473"/>
      <c r="V46" s="473"/>
      <c r="W46" s="473"/>
      <c r="X46" s="473"/>
      <c r="Y46" s="473"/>
      <c r="Z46" s="473"/>
      <c r="AA46" s="473"/>
      <c r="AB46" s="473"/>
      <c r="AC46" s="473"/>
      <c r="AD46" s="473"/>
      <c r="AE46" s="473"/>
      <c r="AF46" s="473"/>
      <c r="AG46" s="473"/>
      <c r="AH46" s="473"/>
      <c r="AI46" s="473"/>
      <c r="AJ46" s="473"/>
      <c r="AK46" s="473"/>
      <c r="AL46" s="473"/>
      <c r="AM46" s="473"/>
      <c r="AN46" s="473"/>
      <c r="AO46" s="473"/>
      <c r="AP46" s="473"/>
      <c r="AQ46" s="473"/>
      <c r="AR46" s="473"/>
      <c r="AS46" s="474"/>
      <c r="AT46" s="475"/>
      <c r="AU46" s="476"/>
      <c r="AV46" s="472"/>
      <c r="AW46" s="472"/>
      <c r="AX46" s="476"/>
      <c r="AY46" s="472"/>
      <c r="AZ46" s="483"/>
      <c r="BA46" s="422"/>
      <c r="BB46" s="405"/>
      <c r="BC46" s="406"/>
      <c r="BD46" s="391"/>
      <c r="BE46" s="444"/>
      <c r="BF46" s="421" t="s">
        <v>288</v>
      </c>
      <c r="BG46" s="391"/>
      <c r="BH46" s="391"/>
      <c r="BI46" s="444"/>
      <c r="BJ46" s="444"/>
      <c r="BK46" s="444"/>
      <c r="BL46" s="444"/>
      <c r="BM46" s="444"/>
      <c r="BN46" s="444"/>
      <c r="BO46" s="444"/>
      <c r="BP46" s="444"/>
      <c r="BQ46" s="444"/>
      <c r="BR46" s="444"/>
      <c r="BS46" s="444"/>
      <c r="BT46" s="444"/>
    </row>
    <row r="47" spans="1:72" s="443" customFormat="1" ht="12.5" customHeight="1">
      <c r="A47" s="393"/>
      <c r="B47" s="482"/>
      <c r="C47" s="485" t="s">
        <v>256</v>
      </c>
      <c r="D47" s="473"/>
      <c r="E47" s="473"/>
      <c r="F47" s="473"/>
      <c r="G47" s="473"/>
      <c r="H47" s="473"/>
      <c r="I47" s="473"/>
      <c r="J47" s="473"/>
      <c r="K47" s="473"/>
      <c r="L47" s="473"/>
      <c r="M47" s="473"/>
      <c r="N47" s="473"/>
      <c r="O47" s="473"/>
      <c r="P47" s="473"/>
      <c r="Q47" s="473"/>
      <c r="R47" s="473"/>
      <c r="S47" s="473"/>
      <c r="T47" s="473"/>
      <c r="U47" s="473"/>
      <c r="V47" s="473"/>
      <c r="W47" s="473"/>
      <c r="X47" s="473"/>
      <c r="Y47" s="473"/>
      <c r="Z47" s="473"/>
      <c r="AA47" s="473"/>
      <c r="AB47" s="485" t="s">
        <v>260</v>
      </c>
      <c r="AC47" s="473"/>
      <c r="AD47" s="473"/>
      <c r="AE47" s="473"/>
      <c r="AF47" s="473"/>
      <c r="AG47" s="473"/>
      <c r="AH47" s="473"/>
      <c r="AI47" s="473"/>
      <c r="AJ47" s="473"/>
      <c r="AK47" s="473"/>
      <c r="AL47" s="473"/>
      <c r="AM47" s="473"/>
      <c r="AN47" s="473"/>
      <c r="AO47" s="473"/>
      <c r="AP47" s="473"/>
      <c r="AQ47" s="473"/>
      <c r="AR47" s="473"/>
      <c r="AS47" s="474"/>
      <c r="AT47" s="475"/>
      <c r="AU47" s="476"/>
      <c r="AV47" s="476"/>
      <c r="AW47" s="476"/>
      <c r="AX47" s="476"/>
      <c r="AY47" s="472"/>
      <c r="AZ47" s="483"/>
      <c r="BA47" s="422"/>
      <c r="BB47" s="405"/>
      <c r="BC47" s="406"/>
      <c r="BD47" s="391"/>
      <c r="BE47" s="444"/>
      <c r="BG47" s="391" t="s">
        <v>299</v>
      </c>
      <c r="BI47" s="444"/>
      <c r="BJ47" s="444"/>
      <c r="BK47" s="444"/>
      <c r="BL47" s="444"/>
      <c r="BM47" s="444"/>
      <c r="BN47" s="444"/>
      <c r="BO47" s="444"/>
      <c r="BP47" s="444"/>
      <c r="BQ47" s="444"/>
      <c r="BR47" s="444"/>
      <c r="BS47" s="444"/>
      <c r="BT47" s="444"/>
    </row>
    <row r="48" spans="1:72" s="443" customFormat="1" ht="12.5" customHeight="1">
      <c r="A48" s="393"/>
      <c r="B48" s="482"/>
      <c r="C48" s="486"/>
      <c r="D48" s="487"/>
      <c r="E48" s="487"/>
      <c r="F48" s="487"/>
      <c r="G48" s="487"/>
      <c r="H48" s="487"/>
      <c r="I48" s="487"/>
      <c r="J48" s="487"/>
      <c r="K48" s="487"/>
      <c r="L48" s="487"/>
      <c r="M48" s="487"/>
      <c r="N48" s="487"/>
      <c r="O48" s="487"/>
      <c r="P48" s="487"/>
      <c r="Q48" s="487"/>
      <c r="R48" s="487"/>
      <c r="S48" s="487"/>
      <c r="T48" s="487"/>
      <c r="U48" s="487"/>
      <c r="V48" s="487"/>
      <c r="W48" s="487"/>
      <c r="X48" s="487"/>
      <c r="Y48" s="473"/>
      <c r="Z48" s="473"/>
      <c r="AA48" s="473"/>
      <c r="AB48" s="486"/>
      <c r="AC48" s="487"/>
      <c r="AD48" s="487"/>
      <c r="AE48" s="487"/>
      <c r="AF48" s="487"/>
      <c r="AG48" s="487"/>
      <c r="AH48" s="487"/>
      <c r="AI48" s="487"/>
      <c r="AJ48" s="487"/>
      <c r="AK48" s="487"/>
      <c r="AL48" s="487"/>
      <c r="AM48" s="487"/>
      <c r="AN48" s="487"/>
      <c r="AO48" s="487"/>
      <c r="AP48" s="487"/>
      <c r="AQ48" s="487"/>
      <c r="AR48" s="487"/>
      <c r="AS48" s="487"/>
      <c r="AT48" s="487"/>
      <c r="AU48" s="487"/>
      <c r="AV48" s="487"/>
      <c r="AW48" s="487"/>
      <c r="AX48" s="476"/>
      <c r="AY48" s="472"/>
      <c r="AZ48" s="483"/>
      <c r="BA48" s="422"/>
      <c r="BB48" s="405"/>
      <c r="BC48" s="406"/>
      <c r="BD48" s="391"/>
      <c r="BE48" s="444"/>
      <c r="BG48" s="391" t="s">
        <v>300</v>
      </c>
      <c r="BI48" s="444"/>
      <c r="BJ48" s="444"/>
      <c r="BK48" s="444"/>
      <c r="BL48" s="444"/>
      <c r="BM48" s="444"/>
      <c r="BN48" s="444"/>
      <c r="BO48" s="444"/>
      <c r="BP48" s="444"/>
      <c r="BQ48" s="444"/>
      <c r="BR48" s="444"/>
      <c r="BS48" s="444"/>
      <c r="BT48" s="444"/>
    </row>
    <row r="49" spans="1:72" s="443" customFormat="1" ht="12.5" customHeight="1">
      <c r="A49" s="393"/>
      <c r="B49" s="482"/>
      <c r="C49" s="472"/>
      <c r="D49" s="473"/>
      <c r="E49" s="473"/>
      <c r="F49" s="473"/>
      <c r="G49" s="473"/>
      <c r="H49" s="473"/>
      <c r="I49" s="473"/>
      <c r="J49" s="473"/>
      <c r="K49" s="473"/>
      <c r="L49" s="473"/>
      <c r="M49" s="473"/>
      <c r="N49" s="473"/>
      <c r="O49" s="473"/>
      <c r="P49" s="473"/>
      <c r="Q49" s="473"/>
      <c r="R49" s="473"/>
      <c r="S49" s="473"/>
      <c r="T49" s="473"/>
      <c r="U49" s="473"/>
      <c r="V49" s="473"/>
      <c r="W49" s="473"/>
      <c r="X49" s="473"/>
      <c r="Y49" s="473"/>
      <c r="Z49" s="473"/>
      <c r="AA49" s="473"/>
      <c r="AB49" s="473"/>
      <c r="AC49" s="473"/>
      <c r="AD49" s="473"/>
      <c r="AE49" s="473"/>
      <c r="AF49" s="473"/>
      <c r="AG49" s="473"/>
      <c r="AH49" s="473"/>
      <c r="AI49" s="473"/>
      <c r="AJ49" s="473"/>
      <c r="AK49" s="473"/>
      <c r="AL49" s="473"/>
      <c r="AM49" s="473"/>
      <c r="AN49" s="473"/>
      <c r="AO49" s="473"/>
      <c r="AP49" s="473"/>
      <c r="AQ49" s="473"/>
      <c r="AR49" s="473"/>
      <c r="AS49" s="474"/>
      <c r="AT49" s="475"/>
      <c r="AU49" s="476"/>
      <c r="AV49" s="472"/>
      <c r="AW49" s="472"/>
      <c r="AX49" s="476"/>
      <c r="AY49" s="472"/>
      <c r="AZ49" s="483"/>
      <c r="BA49" s="422"/>
      <c r="BB49" s="405"/>
      <c r="BC49" s="406"/>
      <c r="BD49" s="391"/>
      <c r="BE49" s="444"/>
      <c r="BG49" s="391"/>
      <c r="BI49" s="444"/>
      <c r="BJ49" s="444"/>
      <c r="BK49" s="444"/>
      <c r="BL49" s="444"/>
      <c r="BM49" s="444"/>
      <c r="BN49" s="444"/>
      <c r="BO49" s="444"/>
      <c r="BP49" s="444"/>
      <c r="BQ49" s="444"/>
      <c r="BR49" s="444"/>
      <c r="BS49" s="444"/>
      <c r="BT49" s="444"/>
    </row>
    <row r="50" spans="1:72" s="443" customFormat="1" ht="12.5" customHeight="1">
      <c r="A50" s="393"/>
      <c r="B50" s="418"/>
      <c r="C50" s="420"/>
      <c r="D50" s="420"/>
      <c r="E50" s="420"/>
      <c r="F50" s="420"/>
      <c r="G50" s="420"/>
      <c r="H50" s="420"/>
      <c r="I50" s="420"/>
      <c r="J50" s="420"/>
      <c r="K50" s="420"/>
      <c r="L50" s="420"/>
      <c r="M50" s="420"/>
      <c r="N50" s="420"/>
      <c r="O50" s="420"/>
      <c r="P50" s="420"/>
      <c r="Q50" s="420"/>
      <c r="R50" s="420"/>
      <c r="S50" s="420"/>
      <c r="T50" s="420"/>
      <c r="U50" s="420"/>
      <c r="V50" s="420"/>
      <c r="W50" s="420"/>
      <c r="X50" s="420"/>
      <c r="Y50" s="420"/>
      <c r="Z50" s="420"/>
      <c r="AA50" s="420"/>
      <c r="AB50" s="420"/>
      <c r="AC50" s="420"/>
      <c r="AD50" s="420"/>
      <c r="AE50" s="420"/>
      <c r="AF50" s="420"/>
      <c r="AG50" s="420"/>
      <c r="AH50" s="420"/>
      <c r="AI50" s="420"/>
      <c r="AJ50" s="420"/>
      <c r="AK50" s="420"/>
      <c r="AL50" s="420"/>
      <c r="AM50" s="420"/>
      <c r="AN50" s="420"/>
      <c r="AO50" s="420"/>
      <c r="AP50" s="420"/>
      <c r="AQ50" s="420"/>
      <c r="AR50" s="420"/>
      <c r="AS50" s="420"/>
      <c r="AT50" s="420"/>
      <c r="AU50" s="420"/>
      <c r="AV50" s="420"/>
      <c r="AW50" s="420"/>
      <c r="AX50" s="420"/>
      <c r="AY50" s="420"/>
      <c r="AZ50" s="422"/>
      <c r="BA50" s="422"/>
      <c r="BB50" s="405"/>
      <c r="BC50" s="406"/>
      <c r="BD50" s="391"/>
      <c r="BE50" s="444"/>
      <c r="BF50" s="421" t="s">
        <v>289</v>
      </c>
      <c r="BG50" s="391"/>
      <c r="BH50" s="28"/>
      <c r="BI50" s="444"/>
      <c r="BJ50" s="444"/>
      <c r="BK50" s="444"/>
      <c r="BL50" s="444"/>
      <c r="BM50" s="444"/>
      <c r="BN50" s="444"/>
      <c r="BO50" s="444"/>
      <c r="BP50" s="444"/>
      <c r="BQ50" s="444"/>
      <c r="BR50" s="444"/>
      <c r="BS50" s="444"/>
      <c r="BT50" s="444"/>
    </row>
    <row r="51" spans="1:72" s="443" customFormat="1" ht="12.5" customHeight="1">
      <c r="A51" s="393"/>
      <c r="B51" s="426"/>
      <c r="C51" s="420"/>
      <c r="D51" s="420"/>
      <c r="E51" s="420"/>
      <c r="F51" s="420"/>
      <c r="G51" s="420"/>
      <c r="H51" s="420"/>
      <c r="I51" s="420"/>
      <c r="J51" s="420"/>
      <c r="K51" s="420"/>
      <c r="L51" s="420"/>
      <c r="M51" s="420"/>
      <c r="N51" s="420"/>
      <c r="O51" s="420"/>
      <c r="P51" s="420"/>
      <c r="Q51" s="420"/>
      <c r="R51" s="420"/>
      <c r="S51" s="420"/>
      <c r="T51" s="420"/>
      <c r="U51" s="420"/>
      <c r="V51" s="420"/>
      <c r="W51" s="420"/>
      <c r="X51" s="420"/>
      <c r="Y51" s="420"/>
      <c r="Z51" s="420"/>
      <c r="AA51" s="420"/>
      <c r="AB51" s="420"/>
      <c r="AC51" s="420"/>
      <c r="AD51" s="420"/>
      <c r="AE51" s="420"/>
      <c r="AF51" s="420"/>
      <c r="AG51" s="420"/>
      <c r="AH51" s="420"/>
      <c r="AI51" s="420"/>
      <c r="AJ51" s="420"/>
      <c r="AK51" s="420"/>
      <c r="AL51" s="420"/>
      <c r="AM51" s="420"/>
      <c r="AN51" s="420"/>
      <c r="AO51" s="420"/>
      <c r="AP51" s="420"/>
      <c r="AQ51" s="420"/>
      <c r="AR51" s="420"/>
      <c r="AS51" s="420"/>
      <c r="AT51" s="420"/>
      <c r="AU51" s="420"/>
      <c r="AV51" s="420"/>
      <c r="AW51" s="420"/>
      <c r="AX51" s="420"/>
      <c r="AY51" s="420"/>
      <c r="AZ51" s="422"/>
      <c r="BA51" s="422"/>
      <c r="BB51" s="389"/>
      <c r="BC51" s="390"/>
      <c r="BD51" s="391"/>
      <c r="BE51" s="444"/>
      <c r="BG51" s="391" t="s">
        <v>299</v>
      </c>
      <c r="BI51" s="444"/>
      <c r="BJ51" s="444"/>
      <c r="BK51" s="444"/>
      <c r="BL51" s="444"/>
      <c r="BM51" s="444"/>
      <c r="BN51" s="444"/>
      <c r="BO51" s="444"/>
      <c r="BP51" s="444"/>
      <c r="BQ51" s="444"/>
      <c r="BR51" s="444"/>
      <c r="BS51" s="444"/>
      <c r="BT51" s="444"/>
    </row>
    <row r="52" spans="1:72" s="443" customFormat="1" ht="12.5" customHeight="1">
      <c r="A52" s="393"/>
      <c r="B52" s="426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  <c r="AC52" s="420"/>
      <c r="AD52" s="420"/>
      <c r="AE52" s="420"/>
      <c r="AF52" s="420"/>
      <c r="AG52" s="420"/>
      <c r="AH52" s="420"/>
      <c r="AI52" s="420"/>
      <c r="AJ52" s="420"/>
      <c r="AK52" s="420"/>
      <c r="AL52" s="420"/>
      <c r="AM52" s="420"/>
      <c r="AN52" s="420"/>
      <c r="AO52" s="420"/>
      <c r="AP52" s="420"/>
      <c r="AQ52" s="420"/>
      <c r="AR52" s="420"/>
      <c r="AS52" s="420"/>
      <c r="AT52" s="420"/>
      <c r="AU52" s="420"/>
      <c r="AV52" s="420"/>
      <c r="AW52" s="420"/>
      <c r="AX52" s="420"/>
      <c r="AY52" s="420"/>
      <c r="AZ52" s="422"/>
      <c r="BA52" s="422"/>
      <c r="BB52" s="389"/>
      <c r="BC52" s="390"/>
      <c r="BD52" s="391"/>
      <c r="BE52" s="444"/>
      <c r="BG52" s="391" t="s">
        <v>300</v>
      </c>
      <c r="BI52" s="444"/>
      <c r="BJ52" s="444"/>
      <c r="BK52" s="444"/>
      <c r="BL52" s="444"/>
      <c r="BM52" s="444"/>
      <c r="BN52" s="444"/>
      <c r="BO52" s="444"/>
      <c r="BP52" s="444"/>
      <c r="BQ52" s="444"/>
      <c r="BR52" s="444"/>
      <c r="BS52" s="444"/>
      <c r="BT52" s="444"/>
    </row>
    <row r="53" spans="1:72" s="443" customFormat="1" ht="12.5" customHeight="1">
      <c r="A53" s="393"/>
      <c r="B53" s="418"/>
      <c r="C53" s="420"/>
      <c r="D53" s="420"/>
      <c r="E53" s="420"/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420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  <c r="AC53" s="420"/>
      <c r="AD53" s="420"/>
      <c r="AE53" s="420"/>
      <c r="AF53" s="420"/>
      <c r="AG53" s="420"/>
      <c r="AH53" s="420"/>
      <c r="AI53" s="420"/>
      <c r="AJ53" s="420"/>
      <c r="AK53" s="420"/>
      <c r="AL53" s="420"/>
      <c r="AM53" s="420"/>
      <c r="AN53" s="420"/>
      <c r="AO53" s="420"/>
      <c r="AP53" s="420"/>
      <c r="AQ53" s="420"/>
      <c r="AR53" s="420"/>
      <c r="AS53" s="420"/>
      <c r="AT53" s="420"/>
      <c r="AU53" s="420"/>
      <c r="AV53" s="420"/>
      <c r="AW53" s="420"/>
      <c r="AX53" s="420"/>
      <c r="AY53" s="420"/>
      <c r="AZ53" s="422"/>
      <c r="BA53" s="422"/>
      <c r="BB53" s="405"/>
      <c r="BC53" s="406"/>
      <c r="BD53" s="391"/>
      <c r="BE53" s="444"/>
      <c r="BF53" s="444"/>
      <c r="BG53" s="391"/>
      <c r="BH53" s="444"/>
      <c r="BI53" s="444"/>
      <c r="BJ53" s="444"/>
      <c r="BK53" s="444"/>
      <c r="BL53" s="444"/>
      <c r="BM53" s="444"/>
      <c r="BN53" s="444"/>
      <c r="BO53" s="444"/>
      <c r="BP53" s="444"/>
      <c r="BQ53" s="444"/>
      <c r="BR53" s="444"/>
      <c r="BS53" s="444"/>
      <c r="BT53" s="444"/>
    </row>
    <row r="54" spans="1:72" s="443" customFormat="1" ht="12.5" customHeight="1">
      <c r="A54" s="393"/>
      <c r="B54" s="418"/>
      <c r="C54" s="423"/>
      <c r="D54" s="419"/>
      <c r="E54" s="419"/>
      <c r="F54" s="419"/>
      <c r="G54" s="421"/>
      <c r="H54" s="431"/>
      <c r="I54" s="431"/>
      <c r="J54" s="431"/>
      <c r="K54" s="431"/>
      <c r="L54" s="431"/>
      <c r="M54" s="431"/>
      <c r="N54" s="431"/>
      <c r="O54" s="431"/>
      <c r="P54" s="431"/>
      <c r="Q54" s="431"/>
      <c r="R54" s="431"/>
      <c r="S54" s="431"/>
      <c r="T54" s="431"/>
      <c r="U54" s="431"/>
      <c r="V54" s="431"/>
      <c r="W54" s="431"/>
      <c r="X54" s="431"/>
      <c r="Y54" s="431"/>
      <c r="Z54" s="431"/>
      <c r="AA54" s="431"/>
      <c r="AB54" s="431"/>
      <c r="AC54" s="431"/>
      <c r="AD54" s="431"/>
      <c r="AE54" s="431"/>
      <c r="AF54" s="431"/>
      <c r="AG54" s="431"/>
      <c r="AH54" s="431"/>
      <c r="AI54" s="431"/>
      <c r="AJ54" s="431"/>
      <c r="AK54" s="431"/>
      <c r="AL54" s="431"/>
      <c r="AM54" s="431"/>
      <c r="AN54" s="431"/>
      <c r="AO54" s="431"/>
      <c r="AP54" s="431"/>
      <c r="AQ54" s="431"/>
      <c r="AR54" s="431"/>
      <c r="AS54" s="431"/>
      <c r="AT54" s="425"/>
      <c r="AU54" s="421"/>
      <c r="AV54" s="421"/>
      <c r="AW54" s="421"/>
      <c r="AX54" s="421"/>
      <c r="AY54" s="417"/>
      <c r="AZ54" s="422"/>
      <c r="BA54" s="422"/>
      <c r="BB54" s="389"/>
      <c r="BC54" s="390"/>
      <c r="BD54" s="391"/>
      <c r="BE54" s="444"/>
      <c r="BF54" s="421" t="s">
        <v>290</v>
      </c>
      <c r="BG54" s="391"/>
      <c r="BH54" s="28"/>
      <c r="BI54" s="444"/>
      <c r="BJ54" s="444"/>
      <c r="BK54" s="444"/>
      <c r="BL54" s="444"/>
      <c r="BM54" s="444"/>
      <c r="BN54" s="444"/>
      <c r="BO54" s="444"/>
      <c r="BP54" s="444"/>
      <c r="BQ54" s="444"/>
      <c r="BR54" s="444"/>
      <c r="BS54" s="444"/>
      <c r="BT54" s="444"/>
    </row>
    <row r="55" spans="1:72" s="443" customFormat="1" ht="12.5" customHeight="1">
      <c r="A55" s="393"/>
      <c r="B55" s="426"/>
      <c r="C55" s="420"/>
      <c r="D55" s="420"/>
      <c r="E55" s="420"/>
      <c r="F55" s="420"/>
      <c r="G55" s="420"/>
      <c r="H55" s="420"/>
      <c r="I55" s="420"/>
      <c r="J55" s="420"/>
      <c r="K55" s="420"/>
      <c r="L55" s="420"/>
      <c r="M55" s="420"/>
      <c r="N55" s="420"/>
      <c r="O55" s="420"/>
      <c r="P55" s="420"/>
      <c r="Q55" s="420"/>
      <c r="R55" s="420"/>
      <c r="S55" s="420"/>
      <c r="T55" s="420"/>
      <c r="U55" s="420"/>
      <c r="V55" s="420"/>
      <c r="W55" s="420"/>
      <c r="X55" s="420"/>
      <c r="Y55" s="420"/>
      <c r="Z55" s="420"/>
      <c r="AA55" s="420"/>
      <c r="AB55" s="420"/>
      <c r="AC55" s="420"/>
      <c r="AD55" s="420"/>
      <c r="AE55" s="420"/>
      <c r="AF55" s="420"/>
      <c r="AG55" s="420"/>
      <c r="AH55" s="420"/>
      <c r="AI55" s="420"/>
      <c r="AJ55" s="420"/>
      <c r="AK55" s="420"/>
      <c r="AL55" s="420"/>
      <c r="AM55" s="420"/>
      <c r="AN55" s="420"/>
      <c r="AO55" s="420"/>
      <c r="AP55" s="420"/>
      <c r="AQ55" s="420"/>
      <c r="AR55" s="420"/>
      <c r="AS55" s="420"/>
      <c r="AT55" s="420"/>
      <c r="AU55" s="420"/>
      <c r="AV55" s="420"/>
      <c r="AW55" s="420"/>
      <c r="AX55" s="420"/>
      <c r="AY55" s="420"/>
      <c r="AZ55" s="422"/>
      <c r="BA55" s="422"/>
      <c r="BB55" s="389"/>
      <c r="BC55" s="390"/>
      <c r="BD55" s="391"/>
      <c r="BE55" s="444"/>
      <c r="BG55" s="391" t="s">
        <v>299</v>
      </c>
      <c r="BI55" s="444"/>
      <c r="BJ55" s="444"/>
      <c r="BK55" s="444"/>
      <c r="BL55" s="444"/>
      <c r="BM55" s="444"/>
      <c r="BN55" s="444"/>
      <c r="BO55" s="444"/>
      <c r="BP55" s="444"/>
      <c r="BQ55" s="444"/>
      <c r="BR55" s="444"/>
      <c r="BS55" s="444"/>
      <c r="BT55" s="444"/>
    </row>
    <row r="56" spans="1:72" s="443" customFormat="1" ht="12.5" customHeight="1">
      <c r="A56" s="393"/>
      <c r="B56" s="426"/>
      <c r="C56" s="420"/>
      <c r="D56" s="420"/>
      <c r="E56" s="420"/>
      <c r="F56" s="420"/>
      <c r="G56" s="420"/>
      <c r="H56" s="420"/>
      <c r="I56" s="420"/>
      <c r="J56" s="420"/>
      <c r="K56" s="420"/>
      <c r="L56" s="420"/>
      <c r="M56" s="420"/>
      <c r="N56" s="420"/>
      <c r="O56" s="420"/>
      <c r="P56" s="420"/>
      <c r="Q56" s="420"/>
      <c r="R56" s="420"/>
      <c r="S56" s="420"/>
      <c r="T56" s="420"/>
      <c r="U56" s="420"/>
      <c r="V56" s="420"/>
      <c r="W56" s="420"/>
      <c r="X56" s="420"/>
      <c r="Y56" s="420"/>
      <c r="Z56" s="420"/>
      <c r="AA56" s="420"/>
      <c r="AB56" s="420"/>
      <c r="AC56" s="420"/>
      <c r="AD56" s="420"/>
      <c r="AE56" s="420"/>
      <c r="AF56" s="420"/>
      <c r="AG56" s="420"/>
      <c r="AH56" s="420"/>
      <c r="AI56" s="420"/>
      <c r="AJ56" s="420"/>
      <c r="AK56" s="420"/>
      <c r="AL56" s="420"/>
      <c r="AM56" s="420"/>
      <c r="AN56" s="420"/>
      <c r="AO56" s="420"/>
      <c r="AP56" s="420"/>
      <c r="AQ56" s="420"/>
      <c r="AR56" s="420"/>
      <c r="AS56" s="420"/>
      <c r="AT56" s="420"/>
      <c r="AU56" s="420"/>
      <c r="AV56" s="420"/>
      <c r="AW56" s="420"/>
      <c r="AX56" s="420"/>
      <c r="AY56" s="420"/>
      <c r="AZ56" s="422"/>
      <c r="BA56" s="422"/>
      <c r="BB56" s="389"/>
      <c r="BC56" s="390"/>
      <c r="BD56" s="391"/>
      <c r="BE56" s="444"/>
      <c r="BF56" s="444"/>
      <c r="BG56" s="391" t="s">
        <v>300</v>
      </c>
      <c r="BH56" s="444"/>
      <c r="BI56" s="444"/>
      <c r="BJ56" s="444"/>
      <c r="BK56" s="444"/>
      <c r="BL56" s="444"/>
      <c r="BM56" s="444"/>
      <c r="BN56" s="444"/>
      <c r="BO56" s="444"/>
      <c r="BP56" s="444"/>
      <c r="BQ56" s="444"/>
      <c r="BR56" s="444"/>
      <c r="BS56" s="444"/>
      <c r="BT56" s="444"/>
    </row>
    <row r="57" spans="1:72" s="443" customFormat="1" ht="12.5" customHeight="1">
      <c r="A57" s="393"/>
      <c r="B57" s="418"/>
      <c r="C57" s="420"/>
      <c r="D57" s="420"/>
      <c r="E57" s="420"/>
      <c r="F57" s="420"/>
      <c r="G57" s="420"/>
      <c r="H57" s="420"/>
      <c r="I57" s="420"/>
      <c r="J57" s="420"/>
      <c r="K57" s="420"/>
      <c r="L57" s="420"/>
      <c r="M57" s="420"/>
      <c r="N57" s="420"/>
      <c r="O57" s="420"/>
      <c r="P57" s="420"/>
      <c r="Q57" s="420"/>
      <c r="R57" s="420"/>
      <c r="S57" s="420"/>
      <c r="T57" s="420"/>
      <c r="U57" s="420"/>
      <c r="V57" s="420"/>
      <c r="W57" s="420"/>
      <c r="X57" s="420"/>
      <c r="Y57" s="420"/>
      <c r="Z57" s="420"/>
      <c r="AA57" s="420"/>
      <c r="AB57" s="420"/>
      <c r="AC57" s="420"/>
      <c r="AD57" s="420"/>
      <c r="AE57" s="420"/>
      <c r="AF57" s="420"/>
      <c r="AG57" s="420"/>
      <c r="AH57" s="420"/>
      <c r="AI57" s="420"/>
      <c r="AJ57" s="420"/>
      <c r="AK57" s="420"/>
      <c r="AL57" s="420"/>
      <c r="AM57" s="420"/>
      <c r="AN57" s="420"/>
      <c r="AO57" s="420"/>
      <c r="AP57" s="420"/>
      <c r="AQ57" s="420"/>
      <c r="AR57" s="420"/>
      <c r="AS57" s="420"/>
      <c r="AT57" s="420"/>
      <c r="AU57" s="420"/>
      <c r="AV57" s="420"/>
      <c r="AW57" s="420"/>
      <c r="AX57" s="420"/>
      <c r="AY57" s="420"/>
      <c r="AZ57" s="422"/>
      <c r="BA57" s="422"/>
      <c r="BB57" s="405"/>
      <c r="BC57" s="406"/>
      <c r="BD57" s="391"/>
      <c r="BE57" s="444"/>
      <c r="BF57" s="444"/>
      <c r="BG57" s="391"/>
      <c r="BH57" s="444"/>
      <c r="BI57" s="444"/>
      <c r="BJ57" s="444"/>
      <c r="BK57" s="444"/>
      <c r="BL57" s="444"/>
      <c r="BM57" s="444"/>
      <c r="BN57" s="444"/>
      <c r="BO57" s="444"/>
      <c r="BP57" s="444"/>
      <c r="BQ57" s="444"/>
      <c r="BR57" s="444"/>
      <c r="BS57" s="444"/>
      <c r="BT57" s="444"/>
    </row>
    <row r="58" spans="1:72" s="443" customFormat="1" ht="12.5" customHeight="1">
      <c r="A58" s="393"/>
      <c r="B58" s="418"/>
      <c r="C58" s="423"/>
      <c r="D58" s="419"/>
      <c r="E58" s="419"/>
      <c r="F58" s="419"/>
      <c r="G58" s="421"/>
      <c r="H58" s="431"/>
      <c r="I58" s="431"/>
      <c r="J58" s="431"/>
      <c r="K58" s="431"/>
      <c r="L58" s="431"/>
      <c r="M58" s="431"/>
      <c r="N58" s="431"/>
      <c r="O58" s="431"/>
      <c r="P58" s="431"/>
      <c r="Q58" s="431"/>
      <c r="R58" s="431"/>
      <c r="S58" s="431"/>
      <c r="T58" s="431"/>
      <c r="U58" s="431"/>
      <c r="V58" s="431"/>
      <c r="W58" s="431"/>
      <c r="X58" s="431"/>
      <c r="Y58" s="431"/>
      <c r="Z58" s="431"/>
      <c r="AA58" s="431"/>
      <c r="AB58" s="431"/>
      <c r="AC58" s="431"/>
      <c r="AD58" s="431"/>
      <c r="AE58" s="431"/>
      <c r="AF58" s="431"/>
      <c r="AG58" s="431"/>
      <c r="AH58" s="431"/>
      <c r="AI58" s="431"/>
      <c r="AJ58" s="431"/>
      <c r="AK58" s="431"/>
      <c r="AL58" s="431"/>
      <c r="AM58" s="431"/>
      <c r="AN58" s="431"/>
      <c r="AO58" s="431"/>
      <c r="AP58" s="431"/>
      <c r="AQ58" s="431"/>
      <c r="AR58" s="431"/>
      <c r="AS58" s="431"/>
      <c r="AT58" s="425"/>
      <c r="AU58" s="421"/>
      <c r="AV58" s="421"/>
      <c r="AW58" s="421"/>
      <c r="AX58" s="421"/>
      <c r="AY58" s="417"/>
      <c r="AZ58" s="422"/>
      <c r="BA58" s="422"/>
      <c r="BB58" s="389"/>
      <c r="BC58" s="390"/>
      <c r="BD58" s="391"/>
      <c r="BE58" s="444"/>
      <c r="BF58" s="421" t="s">
        <v>305</v>
      </c>
      <c r="BG58" s="391"/>
      <c r="BH58" s="444"/>
      <c r="BI58" s="444"/>
      <c r="BJ58" s="444"/>
      <c r="BK58" s="444"/>
      <c r="BL58" s="444"/>
      <c r="BM58" s="444"/>
      <c r="BN58" s="444"/>
      <c r="BO58" s="444"/>
      <c r="BP58" s="444"/>
      <c r="BQ58" s="444"/>
      <c r="BR58" s="444"/>
      <c r="BS58" s="444"/>
      <c r="BT58" s="444"/>
    </row>
    <row r="59" spans="1:72" s="443" customFormat="1" ht="12.5" customHeight="1">
      <c r="A59" s="393"/>
      <c r="B59" s="426"/>
      <c r="C59" s="420"/>
      <c r="D59" s="420"/>
      <c r="E59" s="420"/>
      <c r="F59" s="420"/>
      <c r="G59" s="420"/>
      <c r="H59" s="420"/>
      <c r="I59" s="420"/>
      <c r="J59" s="420"/>
      <c r="K59" s="420"/>
      <c r="L59" s="420"/>
      <c r="M59" s="420"/>
      <c r="N59" s="420"/>
      <c r="O59" s="420"/>
      <c r="P59" s="420"/>
      <c r="Q59" s="420"/>
      <c r="R59" s="420"/>
      <c r="S59" s="420"/>
      <c r="T59" s="420"/>
      <c r="U59" s="420"/>
      <c r="V59" s="420"/>
      <c r="W59" s="420"/>
      <c r="X59" s="420"/>
      <c r="Y59" s="420"/>
      <c r="Z59" s="420"/>
      <c r="AA59" s="420"/>
      <c r="AB59" s="420"/>
      <c r="AC59" s="420"/>
      <c r="AD59" s="420"/>
      <c r="AE59" s="420"/>
      <c r="AF59" s="420"/>
      <c r="AG59" s="420"/>
      <c r="AH59" s="420"/>
      <c r="AI59" s="420"/>
      <c r="AJ59" s="420"/>
      <c r="AK59" s="420"/>
      <c r="AL59" s="420"/>
      <c r="AM59" s="420"/>
      <c r="AN59" s="420"/>
      <c r="AO59" s="420"/>
      <c r="AP59" s="420"/>
      <c r="AQ59" s="420"/>
      <c r="AR59" s="420"/>
      <c r="AS59" s="420"/>
      <c r="AT59" s="420"/>
      <c r="AU59" s="420"/>
      <c r="AV59" s="420"/>
      <c r="AW59" s="420"/>
      <c r="AX59" s="420"/>
      <c r="AY59" s="420"/>
      <c r="AZ59" s="422"/>
      <c r="BA59" s="422"/>
      <c r="BB59" s="389"/>
      <c r="BC59" s="390"/>
      <c r="BD59" s="391"/>
      <c r="BE59" s="444"/>
      <c r="BG59" s="391" t="s">
        <v>299</v>
      </c>
      <c r="BI59" s="444"/>
      <c r="BJ59" s="444"/>
      <c r="BK59" s="444"/>
      <c r="BL59" s="444"/>
      <c r="BM59" s="444"/>
      <c r="BN59" s="444"/>
      <c r="BO59" s="444"/>
      <c r="BP59" s="444"/>
      <c r="BQ59" s="444"/>
      <c r="BR59" s="444"/>
      <c r="BS59" s="444"/>
      <c r="BT59" s="444"/>
    </row>
    <row r="60" spans="1:72" s="443" customFormat="1" ht="12.5" customHeight="1">
      <c r="A60" s="393"/>
      <c r="B60" s="426"/>
      <c r="C60" s="420"/>
      <c r="D60" s="420"/>
      <c r="E60" s="420"/>
      <c r="F60" s="420"/>
      <c r="G60" s="420"/>
      <c r="H60" s="420"/>
      <c r="I60" s="420"/>
      <c r="J60" s="420"/>
      <c r="K60" s="420"/>
      <c r="L60" s="420"/>
      <c r="M60" s="420"/>
      <c r="N60" s="420"/>
      <c r="O60" s="420"/>
      <c r="P60" s="420"/>
      <c r="Q60" s="420"/>
      <c r="R60" s="420"/>
      <c r="S60" s="420"/>
      <c r="T60" s="420"/>
      <c r="U60" s="420"/>
      <c r="V60" s="420"/>
      <c r="W60" s="420"/>
      <c r="X60" s="420"/>
      <c r="Y60" s="420"/>
      <c r="Z60" s="420"/>
      <c r="AA60" s="420"/>
      <c r="AB60" s="420"/>
      <c r="AC60" s="420"/>
      <c r="AD60" s="420"/>
      <c r="AE60" s="420"/>
      <c r="AF60" s="420"/>
      <c r="AG60" s="420"/>
      <c r="AH60" s="420"/>
      <c r="AI60" s="420"/>
      <c r="AJ60" s="420"/>
      <c r="AK60" s="420"/>
      <c r="AL60" s="420"/>
      <c r="AM60" s="420"/>
      <c r="AN60" s="420"/>
      <c r="AO60" s="420"/>
      <c r="AP60" s="420"/>
      <c r="AQ60" s="420"/>
      <c r="AR60" s="420"/>
      <c r="AS60" s="420"/>
      <c r="AT60" s="420"/>
      <c r="AU60" s="420"/>
      <c r="AV60" s="420"/>
      <c r="AW60" s="420"/>
      <c r="AX60" s="420"/>
      <c r="AY60" s="420"/>
      <c r="AZ60" s="422"/>
      <c r="BA60" s="422"/>
      <c r="BB60" s="389"/>
      <c r="BC60" s="390"/>
      <c r="BD60" s="391"/>
      <c r="BE60" s="444"/>
      <c r="BF60" s="444"/>
      <c r="BG60" s="391" t="s">
        <v>300</v>
      </c>
      <c r="BH60" s="444"/>
      <c r="BI60" s="444"/>
      <c r="BJ60" s="444"/>
      <c r="BK60" s="444"/>
      <c r="BL60" s="444"/>
      <c r="BM60" s="444"/>
      <c r="BN60" s="444"/>
      <c r="BO60" s="444"/>
      <c r="BP60" s="444"/>
      <c r="BQ60" s="444"/>
      <c r="BR60" s="444"/>
      <c r="BS60" s="444"/>
      <c r="BT60" s="444"/>
    </row>
    <row r="61" spans="1:72" s="443" customFormat="1" ht="12.5" customHeight="1">
      <c r="A61" s="393"/>
      <c r="B61" s="418"/>
      <c r="C61" s="420"/>
      <c r="D61" s="420"/>
      <c r="E61" s="420"/>
      <c r="F61" s="420"/>
      <c r="G61" s="420"/>
      <c r="H61" s="420"/>
      <c r="I61" s="420"/>
      <c r="J61" s="420"/>
      <c r="K61" s="420"/>
      <c r="L61" s="420"/>
      <c r="M61" s="420"/>
      <c r="N61" s="420"/>
      <c r="O61" s="420"/>
      <c r="P61" s="420"/>
      <c r="Q61" s="420"/>
      <c r="R61" s="420"/>
      <c r="S61" s="420"/>
      <c r="T61" s="420"/>
      <c r="U61" s="420"/>
      <c r="V61" s="420"/>
      <c r="W61" s="420"/>
      <c r="X61" s="420"/>
      <c r="Y61" s="420"/>
      <c r="Z61" s="420"/>
      <c r="AA61" s="420"/>
      <c r="AB61" s="420"/>
      <c r="AC61" s="420"/>
      <c r="AD61" s="420"/>
      <c r="AE61" s="420"/>
      <c r="AF61" s="420"/>
      <c r="AG61" s="420"/>
      <c r="AH61" s="420"/>
      <c r="AI61" s="420"/>
      <c r="AJ61" s="420"/>
      <c r="AK61" s="420"/>
      <c r="AL61" s="420"/>
      <c r="AM61" s="420"/>
      <c r="AN61" s="420"/>
      <c r="AO61" s="420"/>
      <c r="AP61" s="420"/>
      <c r="AQ61" s="420"/>
      <c r="AR61" s="420"/>
      <c r="AS61" s="420"/>
      <c r="AT61" s="420"/>
      <c r="AU61" s="420"/>
      <c r="AV61" s="420"/>
      <c r="AW61" s="420"/>
      <c r="AX61" s="420"/>
      <c r="AY61" s="420"/>
      <c r="AZ61" s="422"/>
      <c r="BA61" s="422"/>
      <c r="BB61" s="405"/>
      <c r="BC61" s="406"/>
      <c r="BD61" s="391"/>
      <c r="BE61" s="444"/>
      <c r="BF61" s="444"/>
      <c r="BG61" s="444"/>
      <c r="BH61" s="444"/>
      <c r="BI61" s="444"/>
      <c r="BJ61" s="444"/>
      <c r="BK61" s="444"/>
      <c r="BL61" s="444"/>
      <c r="BM61" s="444"/>
      <c r="BN61" s="444"/>
      <c r="BO61" s="444"/>
      <c r="BP61" s="444"/>
      <c r="BQ61" s="444"/>
      <c r="BR61" s="444"/>
      <c r="BS61" s="444"/>
      <c r="BT61" s="444"/>
    </row>
    <row r="62" spans="1:72" s="443" customFormat="1" ht="12.5" customHeight="1">
      <c r="A62" s="393"/>
      <c r="B62" s="426"/>
      <c r="C62" s="420"/>
      <c r="D62" s="420"/>
      <c r="E62" s="420"/>
      <c r="F62" s="420"/>
      <c r="G62" s="420"/>
      <c r="H62" s="420"/>
      <c r="I62" s="420"/>
      <c r="J62" s="420"/>
      <c r="K62" s="420"/>
      <c r="L62" s="420"/>
      <c r="M62" s="420"/>
      <c r="N62" s="420"/>
      <c r="O62" s="420"/>
      <c r="P62" s="420"/>
      <c r="Q62" s="420"/>
      <c r="R62" s="420"/>
      <c r="S62" s="420"/>
      <c r="T62" s="420"/>
      <c r="U62" s="420"/>
      <c r="V62" s="420"/>
      <c r="W62" s="420"/>
      <c r="X62" s="420"/>
      <c r="Y62" s="420"/>
      <c r="Z62" s="420"/>
      <c r="AA62" s="420"/>
      <c r="AB62" s="420"/>
      <c r="AC62" s="420"/>
      <c r="AD62" s="420"/>
      <c r="AE62" s="420"/>
      <c r="AF62" s="420"/>
      <c r="AG62" s="420"/>
      <c r="AH62" s="420"/>
      <c r="AI62" s="420"/>
      <c r="AJ62" s="420"/>
      <c r="AK62" s="420"/>
      <c r="AL62" s="420"/>
      <c r="AM62" s="420"/>
      <c r="AN62" s="420"/>
      <c r="AO62" s="420"/>
      <c r="AP62" s="420"/>
      <c r="AQ62" s="420"/>
      <c r="AR62" s="420"/>
      <c r="AS62" s="420"/>
      <c r="AT62" s="420"/>
      <c r="AU62" s="420"/>
      <c r="AV62" s="420"/>
      <c r="AW62" s="420"/>
      <c r="AX62" s="420"/>
      <c r="AY62" s="420"/>
      <c r="AZ62" s="422"/>
      <c r="BA62" s="422"/>
      <c r="BB62" s="492"/>
      <c r="BC62" s="493"/>
      <c r="BD62" s="391"/>
      <c r="BE62" s="444"/>
      <c r="BF62" s="444"/>
      <c r="BG62" s="444"/>
      <c r="BH62" s="444"/>
      <c r="BI62" s="444"/>
      <c r="BJ62" s="444"/>
      <c r="BK62" s="444"/>
      <c r="BL62" s="444"/>
      <c r="BM62" s="444"/>
      <c r="BN62" s="444"/>
      <c r="BO62" s="444"/>
      <c r="BP62" s="444"/>
      <c r="BQ62" s="444"/>
      <c r="BR62" s="444"/>
      <c r="BS62" s="444"/>
      <c r="BT62" s="444"/>
    </row>
    <row r="63" spans="1:72" s="443" customFormat="1" ht="15">
      <c r="A63" s="393"/>
      <c r="B63" s="451"/>
      <c r="C63" s="452"/>
      <c r="D63" s="452"/>
      <c r="E63" s="452"/>
      <c r="F63" s="452"/>
      <c r="G63" s="452"/>
      <c r="H63" s="452"/>
      <c r="I63" s="452"/>
      <c r="J63" s="452"/>
      <c r="K63" s="452"/>
      <c r="L63" s="452"/>
      <c r="M63" s="452"/>
      <c r="N63" s="452"/>
      <c r="O63" s="452"/>
      <c r="P63" s="452"/>
      <c r="Q63" s="452"/>
      <c r="R63" s="452"/>
      <c r="S63" s="453"/>
      <c r="T63" s="453"/>
      <c r="U63" s="453"/>
      <c r="V63" s="453"/>
      <c r="W63" s="452"/>
      <c r="X63" s="452"/>
      <c r="Y63" s="453"/>
      <c r="Z63" s="453"/>
      <c r="AA63" s="452"/>
      <c r="AB63" s="452"/>
      <c r="AC63" s="452"/>
      <c r="AD63" s="453"/>
      <c r="AE63" s="453"/>
      <c r="AF63" s="453"/>
      <c r="AG63" s="453"/>
      <c r="AH63" s="453"/>
      <c r="AI63" s="453"/>
      <c r="AJ63" s="453"/>
      <c r="AK63" s="453"/>
      <c r="AL63" s="453"/>
      <c r="AM63" s="453"/>
      <c r="AN63" s="453"/>
      <c r="AO63" s="453"/>
      <c r="AP63" s="453"/>
      <c r="AQ63" s="453"/>
      <c r="AR63" s="453"/>
      <c r="AS63" s="453"/>
      <c r="AT63" s="453"/>
      <c r="AU63" s="453"/>
      <c r="AV63" s="453"/>
      <c r="AW63" s="453"/>
      <c r="AX63" s="453"/>
      <c r="AY63" s="451"/>
      <c r="AZ63" s="451"/>
      <c r="BA63" s="417"/>
      <c r="BB63" s="494"/>
      <c r="BC63" s="494"/>
      <c r="BD63" s="407"/>
      <c r="BE63" s="444"/>
      <c r="BF63" s="444"/>
      <c r="BG63" s="444"/>
      <c r="BH63" s="444"/>
      <c r="BI63" s="444"/>
      <c r="BJ63" s="444"/>
      <c r="BK63" s="444"/>
      <c r="BL63" s="444"/>
      <c r="BM63" s="444"/>
      <c r="BN63" s="444"/>
      <c r="BO63" s="444"/>
      <c r="BP63" s="444"/>
      <c r="BQ63" s="444"/>
      <c r="BR63" s="444"/>
      <c r="BS63" s="444"/>
      <c r="BT63" s="444"/>
    </row>
    <row r="64" spans="1:72" s="443" customFormat="1" ht="15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409"/>
      <c r="T64" s="409"/>
      <c r="U64" s="409"/>
      <c r="V64" s="409"/>
      <c r="W64" s="392"/>
      <c r="X64" s="392"/>
      <c r="Y64" s="409"/>
      <c r="Z64" s="409"/>
      <c r="AA64" s="392"/>
      <c r="AB64" s="392"/>
      <c r="AC64" s="392"/>
      <c r="AD64" s="409"/>
      <c r="AE64" s="409"/>
      <c r="AF64" s="409"/>
      <c r="AG64" s="409"/>
      <c r="AH64" s="409"/>
      <c r="AI64" s="409"/>
      <c r="AJ64" s="409"/>
      <c r="AK64" s="409"/>
      <c r="AL64" s="409"/>
      <c r="AM64" s="409"/>
      <c r="AN64" s="409"/>
      <c r="AO64" s="409"/>
      <c r="AP64" s="409"/>
      <c r="AQ64" s="409"/>
      <c r="AR64" s="409"/>
      <c r="AS64" s="409"/>
      <c r="AT64" s="409"/>
      <c r="AU64" s="409"/>
      <c r="AV64" s="409"/>
      <c r="AW64" s="409"/>
      <c r="AX64" s="409"/>
      <c r="AY64" s="409"/>
      <c r="AZ64" s="409"/>
      <c r="BA64" s="409"/>
      <c r="BB64" s="409"/>
      <c r="BC64" s="409"/>
      <c r="BD64" s="407"/>
      <c r="BE64" s="444"/>
      <c r="BF64" s="444"/>
      <c r="BG64" s="444"/>
      <c r="BH64" s="444"/>
      <c r="BI64" s="444"/>
      <c r="BJ64" s="444"/>
      <c r="BK64" s="444"/>
      <c r="BL64" s="444"/>
      <c r="BM64" s="444"/>
      <c r="BN64" s="444"/>
      <c r="BO64" s="444"/>
      <c r="BP64" s="444"/>
      <c r="BQ64" s="444"/>
      <c r="BR64" s="444"/>
      <c r="BS64" s="444"/>
      <c r="BT64" s="444"/>
    </row>
    <row r="65" spans="1:72" s="443" customFormat="1" ht="15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409"/>
      <c r="T65" s="409"/>
      <c r="U65" s="409"/>
      <c r="V65" s="409"/>
      <c r="W65" s="392"/>
      <c r="X65" s="392"/>
      <c r="Y65" s="409"/>
      <c r="Z65" s="409"/>
      <c r="AA65" s="392"/>
      <c r="AB65" s="392"/>
      <c r="AC65" s="392"/>
      <c r="AD65" s="409"/>
      <c r="AE65" s="409"/>
      <c r="AF65" s="409"/>
      <c r="AG65" s="409"/>
      <c r="AH65" s="409"/>
      <c r="AI65" s="409"/>
      <c r="AJ65" s="409"/>
      <c r="AK65" s="409"/>
      <c r="AL65" s="409"/>
      <c r="AM65" s="409"/>
      <c r="AN65" s="409"/>
      <c r="AO65" s="409"/>
      <c r="AP65" s="409"/>
      <c r="AQ65" s="409"/>
      <c r="AR65" s="409"/>
      <c r="AS65" s="409"/>
      <c r="AT65" s="409"/>
      <c r="AU65" s="409"/>
      <c r="AV65" s="409"/>
      <c r="AW65" s="409"/>
      <c r="AX65" s="409"/>
      <c r="AY65" s="409"/>
      <c r="AZ65" s="409"/>
      <c r="BA65" s="409"/>
      <c r="BB65" s="409"/>
      <c r="BC65" s="409"/>
      <c r="BD65" s="407"/>
      <c r="BE65" s="444"/>
      <c r="BF65" s="444"/>
      <c r="BG65" s="444"/>
      <c r="BH65" s="444"/>
      <c r="BI65" s="444"/>
      <c r="BJ65" s="444"/>
      <c r="BK65" s="444"/>
      <c r="BL65" s="444"/>
      <c r="BM65" s="444"/>
      <c r="BN65" s="444"/>
      <c r="BO65" s="444"/>
      <c r="BP65" s="444"/>
      <c r="BQ65" s="444"/>
      <c r="BR65" s="444"/>
      <c r="BS65" s="444"/>
      <c r="BT65" s="444"/>
    </row>
    <row r="66" spans="1:72" s="443" customFormat="1" ht="15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409"/>
      <c r="T66" s="409"/>
      <c r="U66" s="409"/>
      <c r="V66" s="409"/>
      <c r="W66" s="392"/>
      <c r="X66" s="392"/>
      <c r="Y66" s="409"/>
      <c r="Z66" s="409"/>
      <c r="AA66" s="392"/>
      <c r="AB66" s="392"/>
      <c r="AC66" s="392"/>
      <c r="AD66" s="409"/>
      <c r="AE66" s="409"/>
      <c r="AF66" s="409"/>
      <c r="AG66" s="409"/>
      <c r="AH66" s="409"/>
      <c r="AI66" s="409"/>
      <c r="AJ66" s="409"/>
      <c r="AK66" s="409"/>
      <c r="AL66" s="409"/>
      <c r="AM66" s="409"/>
      <c r="AN66" s="409"/>
      <c r="AO66" s="409"/>
      <c r="AP66" s="409"/>
      <c r="AQ66" s="409"/>
      <c r="AR66" s="409"/>
      <c r="AS66" s="409"/>
      <c r="AT66" s="409"/>
      <c r="AU66" s="409"/>
      <c r="AV66" s="409"/>
      <c r="AW66" s="409"/>
      <c r="AX66" s="409"/>
      <c r="AY66" s="409"/>
      <c r="AZ66" s="409"/>
      <c r="BA66" s="409"/>
      <c r="BB66" s="409"/>
      <c r="BC66" s="409"/>
      <c r="BD66" s="407"/>
      <c r="BE66" s="444"/>
      <c r="BF66" s="444"/>
      <c r="BG66" s="444"/>
      <c r="BH66" s="444"/>
      <c r="BI66" s="444"/>
      <c r="BJ66" s="444"/>
      <c r="BK66" s="444"/>
      <c r="BL66" s="444"/>
      <c r="BM66" s="444"/>
      <c r="BN66" s="444"/>
      <c r="BO66" s="444"/>
      <c r="BP66" s="444"/>
      <c r="BQ66" s="444"/>
      <c r="BR66" s="444"/>
      <c r="BS66" s="444"/>
      <c r="BT66" s="444"/>
    </row>
    <row r="67" spans="1:72" s="443" customFormat="1" ht="15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409"/>
      <c r="T67" s="409"/>
      <c r="U67" s="409"/>
      <c r="V67" s="409"/>
      <c r="W67" s="392"/>
      <c r="X67" s="392"/>
      <c r="Y67" s="409"/>
      <c r="Z67" s="409"/>
      <c r="AA67" s="392"/>
      <c r="AB67" s="392"/>
      <c r="AC67" s="392"/>
      <c r="AD67" s="409"/>
      <c r="AE67" s="409"/>
      <c r="AF67" s="409"/>
      <c r="AG67" s="409"/>
      <c r="AH67" s="409"/>
      <c r="AI67" s="409"/>
      <c r="AJ67" s="409"/>
      <c r="AK67" s="409"/>
      <c r="AL67" s="409"/>
      <c r="AM67" s="409"/>
      <c r="AN67" s="409"/>
      <c r="AO67" s="409"/>
      <c r="AP67" s="409"/>
      <c r="AQ67" s="409"/>
      <c r="AR67" s="409"/>
      <c r="AS67" s="409"/>
      <c r="AT67" s="409"/>
      <c r="AU67" s="409"/>
      <c r="AV67" s="409"/>
      <c r="AW67" s="409"/>
      <c r="AX67" s="409"/>
      <c r="AY67" s="409"/>
      <c r="AZ67" s="409"/>
      <c r="BA67" s="409"/>
      <c r="BB67" s="409"/>
      <c r="BC67" s="409"/>
      <c r="BD67" s="407"/>
      <c r="BE67" s="444"/>
      <c r="BF67" s="444"/>
      <c r="BG67" s="444"/>
      <c r="BH67" s="444"/>
      <c r="BI67" s="444"/>
      <c r="BJ67" s="444"/>
      <c r="BK67" s="444"/>
      <c r="BL67" s="444"/>
      <c r="BM67" s="444"/>
      <c r="BN67" s="444"/>
      <c r="BO67" s="444"/>
      <c r="BP67" s="444"/>
      <c r="BQ67" s="444"/>
      <c r="BR67" s="444"/>
      <c r="BS67" s="444"/>
      <c r="BT67" s="444"/>
    </row>
    <row r="68" spans="1:72" s="443" customFormat="1" ht="15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409"/>
      <c r="T68" s="409"/>
      <c r="U68" s="409"/>
      <c r="V68" s="409"/>
      <c r="W68" s="392"/>
      <c r="X68" s="392"/>
      <c r="Y68" s="409"/>
      <c r="Z68" s="409"/>
      <c r="AA68" s="392"/>
      <c r="AB68" s="392"/>
      <c r="AC68" s="392"/>
      <c r="AD68" s="409"/>
      <c r="AE68" s="409"/>
      <c r="AF68" s="409"/>
      <c r="AG68" s="409"/>
      <c r="AH68" s="409"/>
      <c r="AI68" s="409"/>
      <c r="AJ68" s="409"/>
      <c r="AK68" s="409"/>
      <c r="AL68" s="409"/>
      <c r="AM68" s="409"/>
      <c r="AN68" s="409"/>
      <c r="AO68" s="409"/>
      <c r="AP68" s="409"/>
      <c r="AQ68" s="409"/>
      <c r="AR68" s="409"/>
      <c r="AS68" s="409"/>
      <c r="AT68" s="409"/>
      <c r="AU68" s="409"/>
      <c r="AV68" s="409"/>
      <c r="AW68" s="409"/>
      <c r="AX68" s="409"/>
      <c r="AY68" s="409"/>
      <c r="AZ68" s="409"/>
      <c r="BA68" s="409"/>
      <c r="BB68" s="409"/>
      <c r="BC68" s="409"/>
      <c r="BD68" s="407"/>
      <c r="BE68" s="444"/>
      <c r="BF68" s="444"/>
      <c r="BG68" s="444"/>
      <c r="BH68" s="444"/>
      <c r="BI68" s="444"/>
      <c r="BJ68" s="444"/>
      <c r="BK68" s="444"/>
      <c r="BL68" s="444"/>
      <c r="BM68" s="444"/>
      <c r="BN68" s="444"/>
      <c r="BO68" s="444"/>
      <c r="BP68" s="444"/>
      <c r="BQ68" s="444"/>
      <c r="BR68" s="444"/>
      <c r="BS68" s="444"/>
      <c r="BT68" s="444"/>
    </row>
    <row r="69" spans="1:72" s="443" customFormat="1" ht="15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409"/>
      <c r="T69" s="409"/>
      <c r="U69" s="409"/>
      <c r="V69" s="409"/>
      <c r="W69" s="392"/>
      <c r="X69" s="392"/>
      <c r="Y69" s="409"/>
      <c r="Z69" s="409"/>
      <c r="AA69" s="392"/>
      <c r="AB69" s="392"/>
      <c r="AC69" s="392"/>
      <c r="AD69" s="409"/>
      <c r="AE69" s="409"/>
      <c r="AF69" s="409"/>
      <c r="AG69" s="409"/>
      <c r="AH69" s="409"/>
      <c r="AI69" s="409"/>
      <c r="AJ69" s="409"/>
      <c r="AK69" s="409"/>
      <c r="AL69" s="409"/>
      <c r="AM69" s="409"/>
      <c r="AN69" s="409"/>
      <c r="AO69" s="409"/>
      <c r="AP69" s="409"/>
      <c r="AQ69" s="409"/>
      <c r="AR69" s="409"/>
      <c r="AS69" s="409"/>
      <c r="AT69" s="409"/>
      <c r="AU69" s="409"/>
      <c r="AV69" s="409"/>
      <c r="AW69" s="409"/>
      <c r="AX69" s="409"/>
      <c r="AY69" s="409"/>
      <c r="AZ69" s="409"/>
      <c r="BA69" s="409"/>
      <c r="BB69" s="409"/>
      <c r="BC69" s="409"/>
      <c r="BD69" s="407"/>
      <c r="BE69" s="444"/>
      <c r="BF69" s="444"/>
      <c r="BG69" s="444"/>
      <c r="BH69" s="444"/>
      <c r="BI69" s="444"/>
      <c r="BJ69" s="444"/>
      <c r="BK69" s="444"/>
      <c r="BL69" s="444"/>
      <c r="BM69" s="444"/>
      <c r="BN69" s="444"/>
      <c r="BO69" s="444"/>
      <c r="BP69" s="444"/>
      <c r="BQ69" s="444"/>
      <c r="BR69" s="444"/>
      <c r="BS69" s="444"/>
      <c r="BT69" s="444"/>
    </row>
    <row r="70" spans="1:72" s="443" customFormat="1" ht="15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409"/>
      <c r="T70" s="409"/>
      <c r="U70" s="409"/>
      <c r="V70" s="409"/>
      <c r="W70" s="392"/>
      <c r="X70" s="392"/>
      <c r="Y70" s="409"/>
      <c r="Z70" s="409"/>
      <c r="AA70" s="392"/>
      <c r="AB70" s="392"/>
      <c r="AC70" s="392"/>
      <c r="AD70" s="409"/>
      <c r="AE70" s="409"/>
      <c r="AF70" s="409"/>
      <c r="AG70" s="409"/>
      <c r="AH70" s="409"/>
      <c r="AI70" s="409"/>
      <c r="AJ70" s="409"/>
      <c r="AK70" s="409"/>
      <c r="AL70" s="409"/>
      <c r="AM70" s="409"/>
      <c r="AN70" s="409"/>
      <c r="AO70" s="409"/>
      <c r="AP70" s="409"/>
      <c r="AQ70" s="409"/>
      <c r="AR70" s="409"/>
      <c r="AS70" s="409"/>
      <c r="AT70" s="409"/>
      <c r="AU70" s="409"/>
      <c r="AV70" s="409"/>
      <c r="AW70" s="409"/>
      <c r="AX70" s="409"/>
      <c r="AY70" s="409"/>
      <c r="AZ70" s="409"/>
      <c r="BA70" s="409"/>
      <c r="BB70" s="409"/>
      <c r="BC70" s="409"/>
      <c r="BD70" s="407"/>
      <c r="BE70" s="444"/>
      <c r="BF70" s="444"/>
      <c r="BG70" s="444"/>
      <c r="BH70" s="444"/>
      <c r="BI70" s="444"/>
      <c r="BJ70" s="444"/>
      <c r="BK70" s="444"/>
      <c r="BL70" s="444"/>
      <c r="BM70" s="444"/>
      <c r="BN70" s="444"/>
      <c r="BO70" s="444"/>
      <c r="BP70" s="444"/>
      <c r="BQ70" s="444"/>
      <c r="BR70" s="444"/>
      <c r="BS70" s="444"/>
      <c r="BT70" s="444"/>
    </row>
    <row r="71" spans="1:72" s="443" customFormat="1" ht="15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409"/>
      <c r="T71" s="409"/>
      <c r="U71" s="409"/>
      <c r="V71" s="409"/>
      <c r="W71" s="392"/>
      <c r="X71" s="392"/>
      <c r="Y71" s="409"/>
      <c r="Z71" s="409"/>
      <c r="AA71" s="392"/>
      <c r="AB71" s="392"/>
      <c r="AC71" s="392"/>
      <c r="AD71" s="409"/>
      <c r="AE71" s="409"/>
      <c r="AF71" s="409"/>
      <c r="AG71" s="409"/>
      <c r="AH71" s="409"/>
      <c r="AI71" s="409"/>
      <c r="AJ71" s="409"/>
      <c r="AK71" s="409"/>
      <c r="AL71" s="409"/>
      <c r="AM71" s="409"/>
      <c r="AN71" s="409"/>
      <c r="AO71" s="409"/>
      <c r="AP71" s="409"/>
      <c r="AQ71" s="409"/>
      <c r="AR71" s="409"/>
      <c r="AS71" s="409"/>
      <c r="AT71" s="409"/>
      <c r="AU71" s="409"/>
      <c r="AV71" s="409"/>
      <c r="AW71" s="409"/>
      <c r="AX71" s="409"/>
      <c r="AY71" s="409"/>
      <c r="AZ71" s="409"/>
      <c r="BA71" s="409"/>
      <c r="BB71" s="409"/>
      <c r="BC71" s="409"/>
      <c r="BD71" s="407"/>
      <c r="BE71" s="444"/>
      <c r="BF71" s="444"/>
      <c r="BG71" s="444"/>
      <c r="BH71" s="444"/>
      <c r="BI71" s="444"/>
      <c r="BJ71" s="444"/>
      <c r="BK71" s="444"/>
      <c r="BL71" s="444"/>
      <c r="BM71" s="444"/>
      <c r="BN71" s="444"/>
      <c r="BO71" s="444"/>
      <c r="BP71" s="444"/>
      <c r="BQ71" s="444"/>
      <c r="BR71" s="444"/>
      <c r="BS71" s="444"/>
      <c r="BT71" s="444"/>
    </row>
    <row r="72" spans="1:72" s="443" customFormat="1" ht="15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409"/>
      <c r="T72" s="409"/>
      <c r="U72" s="409"/>
      <c r="V72" s="409"/>
      <c r="W72" s="392"/>
      <c r="X72" s="392"/>
      <c r="Y72" s="409"/>
      <c r="Z72" s="409"/>
      <c r="AA72" s="392"/>
      <c r="AB72" s="392"/>
      <c r="AC72" s="392"/>
      <c r="AD72" s="409"/>
      <c r="AE72" s="409"/>
      <c r="AF72" s="409"/>
      <c r="AG72" s="409"/>
      <c r="AH72" s="409"/>
      <c r="AI72" s="409"/>
      <c r="AJ72" s="409"/>
      <c r="AK72" s="409"/>
      <c r="AL72" s="409"/>
      <c r="AM72" s="409"/>
      <c r="AN72" s="409"/>
      <c r="AO72" s="409"/>
      <c r="AP72" s="409"/>
      <c r="AQ72" s="409"/>
      <c r="AR72" s="409"/>
      <c r="AS72" s="409"/>
      <c r="AT72" s="409"/>
      <c r="AU72" s="409"/>
      <c r="AV72" s="409"/>
      <c r="AW72" s="409"/>
      <c r="AX72" s="409"/>
      <c r="AY72" s="409"/>
      <c r="AZ72" s="409"/>
      <c r="BA72" s="409"/>
      <c r="BB72" s="409"/>
      <c r="BC72" s="409"/>
      <c r="BD72" s="407"/>
      <c r="BE72" s="444"/>
      <c r="BF72" s="444"/>
      <c r="BG72" s="444"/>
      <c r="BH72" s="444"/>
      <c r="BI72" s="444"/>
      <c r="BJ72" s="444"/>
      <c r="BK72" s="444"/>
      <c r="BL72" s="444"/>
      <c r="BM72" s="444"/>
      <c r="BN72" s="444"/>
      <c r="BO72" s="444"/>
      <c r="BP72" s="444"/>
      <c r="BQ72" s="444"/>
      <c r="BR72" s="444"/>
      <c r="BS72" s="444"/>
      <c r="BT72" s="444"/>
    </row>
    <row r="73" spans="1:72" s="443" customFormat="1" ht="15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409"/>
      <c r="T73" s="409"/>
      <c r="U73" s="409"/>
      <c r="V73" s="409"/>
      <c r="W73" s="392"/>
      <c r="X73" s="392"/>
      <c r="Y73" s="409"/>
      <c r="Z73" s="409"/>
      <c r="AA73" s="392"/>
      <c r="AB73" s="392"/>
      <c r="AC73" s="392"/>
      <c r="AD73" s="409"/>
      <c r="AE73" s="409"/>
      <c r="AF73" s="409"/>
      <c r="AG73" s="409"/>
      <c r="AH73" s="409"/>
      <c r="AI73" s="409"/>
      <c r="AJ73" s="409"/>
      <c r="AK73" s="409"/>
      <c r="AL73" s="409"/>
      <c r="AM73" s="409"/>
      <c r="AN73" s="409"/>
      <c r="AO73" s="409"/>
      <c r="AP73" s="409"/>
      <c r="AQ73" s="409"/>
      <c r="AR73" s="409"/>
      <c r="AS73" s="409"/>
      <c r="AT73" s="409"/>
      <c r="AU73" s="409"/>
      <c r="AV73" s="409"/>
      <c r="AW73" s="409"/>
      <c r="AX73" s="409"/>
      <c r="AY73" s="409"/>
      <c r="AZ73" s="409"/>
      <c r="BA73" s="409"/>
      <c r="BB73" s="409"/>
      <c r="BC73" s="409"/>
      <c r="BD73" s="407"/>
      <c r="BE73" s="444"/>
      <c r="BF73" s="444"/>
      <c r="BG73" s="444"/>
      <c r="BH73" s="444"/>
      <c r="BI73" s="444"/>
      <c r="BJ73" s="444"/>
      <c r="BK73" s="444"/>
      <c r="BL73" s="444"/>
      <c r="BM73" s="444"/>
      <c r="BN73" s="444"/>
      <c r="BO73" s="444"/>
      <c r="BP73" s="444"/>
      <c r="BQ73" s="444"/>
      <c r="BR73" s="444"/>
      <c r="BS73" s="444"/>
      <c r="BT73" s="444"/>
    </row>
    <row r="74" spans="1:72" s="443" customFormat="1" ht="15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409"/>
      <c r="T74" s="409"/>
      <c r="U74" s="409"/>
      <c r="V74" s="409"/>
      <c r="W74" s="392"/>
      <c r="X74" s="392"/>
      <c r="Y74" s="409"/>
      <c r="Z74" s="409"/>
      <c r="AA74" s="392"/>
      <c r="AB74" s="392"/>
      <c r="AC74" s="392"/>
      <c r="AD74" s="409"/>
      <c r="AE74" s="409"/>
      <c r="AF74" s="409"/>
      <c r="AG74" s="409"/>
      <c r="AH74" s="409"/>
      <c r="AI74" s="409"/>
      <c r="AJ74" s="409"/>
      <c r="AK74" s="409"/>
      <c r="AL74" s="409"/>
      <c r="AM74" s="409"/>
      <c r="AN74" s="409"/>
      <c r="AO74" s="409"/>
      <c r="AP74" s="409"/>
      <c r="AQ74" s="409"/>
      <c r="AR74" s="409"/>
      <c r="AS74" s="409"/>
      <c r="AT74" s="409"/>
      <c r="AU74" s="409"/>
      <c r="AV74" s="409"/>
      <c r="AW74" s="409"/>
      <c r="AX74" s="409"/>
      <c r="AY74" s="409"/>
      <c r="AZ74" s="409"/>
      <c r="BA74" s="409"/>
      <c r="BB74" s="409"/>
      <c r="BC74" s="409"/>
      <c r="BD74" s="407"/>
      <c r="BE74" s="444"/>
      <c r="BF74" s="444"/>
      <c r="BG74" s="444"/>
      <c r="BH74" s="444"/>
      <c r="BI74" s="444"/>
      <c r="BJ74" s="444"/>
      <c r="BK74" s="444"/>
      <c r="BL74" s="444"/>
      <c r="BM74" s="444"/>
      <c r="BN74" s="444"/>
      <c r="BO74" s="444"/>
      <c r="BP74" s="444"/>
      <c r="BQ74" s="444"/>
      <c r="BR74" s="444"/>
      <c r="BS74" s="444"/>
      <c r="BT74" s="444"/>
    </row>
    <row r="75" spans="1:72" s="443" customFormat="1" ht="1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409"/>
      <c r="T75" s="409"/>
      <c r="U75" s="409"/>
      <c r="V75" s="409"/>
      <c r="W75" s="392"/>
      <c r="X75" s="392"/>
      <c r="Y75" s="409"/>
      <c r="Z75" s="409"/>
      <c r="AA75" s="392"/>
      <c r="AB75" s="392"/>
      <c r="AC75" s="392"/>
      <c r="AD75" s="409"/>
      <c r="AE75" s="409"/>
      <c r="AF75" s="409"/>
      <c r="AG75" s="409"/>
      <c r="AH75" s="409"/>
      <c r="AI75" s="409"/>
      <c r="AJ75" s="409"/>
      <c r="AK75" s="409"/>
      <c r="AL75" s="409"/>
      <c r="AM75" s="409"/>
      <c r="AN75" s="409"/>
      <c r="AO75" s="409"/>
      <c r="AP75" s="409"/>
      <c r="AQ75" s="409"/>
      <c r="AR75" s="409"/>
      <c r="AS75" s="409"/>
      <c r="AT75" s="409"/>
      <c r="AU75" s="409"/>
      <c r="AV75" s="409"/>
      <c r="AW75" s="409"/>
      <c r="AX75" s="409"/>
      <c r="AY75" s="409"/>
      <c r="AZ75" s="409"/>
      <c r="BA75" s="409"/>
      <c r="BB75" s="409"/>
      <c r="BC75" s="409"/>
      <c r="BD75" s="407"/>
      <c r="BE75" s="444"/>
      <c r="BF75" s="444"/>
      <c r="BG75" s="444"/>
      <c r="BH75" s="444"/>
      <c r="BI75" s="444"/>
      <c r="BJ75" s="444"/>
      <c r="BK75" s="444"/>
      <c r="BL75" s="444"/>
      <c r="BM75" s="444"/>
      <c r="BN75" s="444"/>
      <c r="BO75" s="444"/>
      <c r="BP75" s="444"/>
      <c r="BQ75" s="444"/>
      <c r="BR75" s="444"/>
      <c r="BS75" s="444"/>
      <c r="BT75" s="444"/>
    </row>
    <row r="76" spans="1:72" s="443" customFormat="1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44"/>
      <c r="BG76" s="444"/>
      <c r="BH76" s="444"/>
      <c r="BI76" s="444"/>
      <c r="BJ76" s="444"/>
      <c r="BK76" s="444"/>
      <c r="BL76" s="444"/>
      <c r="BM76" s="444"/>
      <c r="BN76" s="444"/>
      <c r="BO76" s="444"/>
      <c r="BP76" s="444"/>
      <c r="BQ76" s="444"/>
      <c r="BR76" s="444"/>
      <c r="BS76" s="444"/>
      <c r="BT76" s="444"/>
    </row>
    <row r="77" spans="1:72" s="443" customFormat="1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F77" s="444"/>
      <c r="BG77" s="444"/>
      <c r="BH77" s="444"/>
      <c r="BI77" s="444"/>
      <c r="BJ77" s="444"/>
      <c r="BK77" s="444"/>
      <c r="BL77" s="444"/>
      <c r="BM77" s="444"/>
      <c r="BN77" s="444"/>
      <c r="BO77" s="444"/>
      <c r="BP77" s="444"/>
      <c r="BQ77" s="444"/>
      <c r="BR77" s="444"/>
      <c r="BS77" s="444"/>
      <c r="BT77" s="444"/>
    </row>
    <row r="78" spans="1:72" s="443" customFormat="1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444"/>
      <c r="BH78" s="444"/>
      <c r="BI78" s="444"/>
      <c r="BJ78" s="444"/>
      <c r="BK78" s="444"/>
      <c r="BL78" s="444"/>
      <c r="BM78" s="444"/>
      <c r="BN78" s="444"/>
      <c r="BO78" s="444"/>
      <c r="BP78" s="444"/>
      <c r="BQ78" s="444"/>
      <c r="BR78" s="444"/>
      <c r="BS78" s="444"/>
      <c r="BT78" s="444"/>
    </row>
    <row r="79" spans="1:72" s="443" customFormat="1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44"/>
      <c r="BG79" s="444"/>
      <c r="BH79" s="444"/>
      <c r="BI79" s="444"/>
      <c r="BJ79" s="444"/>
      <c r="BK79" s="444"/>
      <c r="BL79" s="444"/>
      <c r="BM79" s="444"/>
      <c r="BN79" s="444"/>
      <c r="BO79" s="444"/>
      <c r="BP79" s="444"/>
      <c r="BQ79" s="444"/>
      <c r="BR79" s="444"/>
      <c r="BS79" s="444"/>
      <c r="BT79" s="444"/>
    </row>
    <row r="80" spans="1:72" s="443" customFormat="1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F80" s="444"/>
      <c r="BG80" s="444"/>
      <c r="BH80" s="444"/>
      <c r="BI80" s="444"/>
      <c r="BJ80" s="444"/>
      <c r="BK80" s="444"/>
      <c r="BL80" s="444"/>
      <c r="BM80" s="444"/>
      <c r="BN80" s="444"/>
      <c r="BO80" s="444"/>
      <c r="BP80" s="444"/>
      <c r="BQ80" s="444"/>
      <c r="BR80" s="444"/>
      <c r="BS80" s="444"/>
      <c r="BT80" s="444"/>
    </row>
    <row r="81" spans="1:72" s="443" customFormat="1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E81" s="444"/>
      <c r="BF81" s="444"/>
      <c r="BG81" s="444"/>
      <c r="BH81" s="444"/>
      <c r="BI81" s="444"/>
      <c r="BJ81" s="444"/>
      <c r="BK81" s="444"/>
      <c r="BL81" s="444"/>
      <c r="BM81" s="444"/>
      <c r="BN81" s="444"/>
      <c r="BO81" s="444"/>
      <c r="BP81" s="444"/>
      <c r="BQ81" s="444"/>
      <c r="BR81" s="444"/>
      <c r="BS81" s="444"/>
      <c r="BT81" s="444"/>
    </row>
    <row r="82" spans="1:72" s="443" customFormat="1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E82" s="444"/>
      <c r="BF82" s="444"/>
      <c r="BG82" s="444"/>
      <c r="BH82" s="444"/>
      <c r="BI82" s="444"/>
      <c r="BJ82" s="444"/>
      <c r="BK82" s="444"/>
      <c r="BL82" s="444"/>
      <c r="BM82" s="444"/>
      <c r="BN82" s="444"/>
      <c r="BO82" s="444"/>
      <c r="BP82" s="444"/>
      <c r="BQ82" s="444"/>
      <c r="BR82" s="444"/>
      <c r="BS82" s="444"/>
      <c r="BT82" s="444"/>
    </row>
    <row r="83" spans="1:72" s="443" customFormat="1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s="443" customFormat="1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s="443" customFormat="1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s="443" customFormat="1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s="443" customFormat="1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s="443" customFormat="1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s="443" customFormat="1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s="443" customFormat="1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s="443" customFormat="1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s="443" customFormat="1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s="443" customFormat="1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s="443" customFormat="1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s="443" customFormat="1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s="443" customFormat="1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s="443" customFormat="1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s="443" customFormat="1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s="443" customFormat="1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s="443" customFormat="1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s="443" customFormat="1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s="443" customFormat="1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s="443" customFormat="1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s="443" customFormat="1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s="443" customFormat="1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s="443" customFormat="1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s="443" customFormat="1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s="443" customFormat="1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s="443" customFormat="1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s="443" customFormat="1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s="443" customFormat="1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s="443" customFormat="1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s="443" customFormat="1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s="443" customFormat="1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s="443" customFormat="1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s="443" customFormat="1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s="443" customFormat="1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s="443" customFormat="1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s="443" customFormat="1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s="443" customFormat="1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s="443" customFormat="1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s="443" customFormat="1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s="443" customFormat="1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s="443" customFormat="1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s="443" customFormat="1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s="443" customFormat="1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s="443" customFormat="1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s="443" customFormat="1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s="443" customFormat="1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s="443" customFormat="1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s="443" customFormat="1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s="443" customFormat="1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s="443" customFormat="1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s="443" customFormat="1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s="443" customFormat="1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s="443" customFormat="1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s="443" customFormat="1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s="443" customFormat="1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s="443" customFormat="1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s="443" customFormat="1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s="443" customFormat="1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s="443" customFormat="1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s="443" customFormat="1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s="443" customFormat="1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s="443" customFormat="1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s="443" customFormat="1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s="443" customFormat="1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s="443" customFormat="1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s="443" customFormat="1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s="443" customFormat="1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s="443" customFormat="1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s="443" customFormat="1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s="443" customFormat="1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s="443" customFormat="1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s="443" customFormat="1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s="443" customFormat="1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s="443" customFormat="1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s="443" customFormat="1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s="443" customFormat="1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s="443" customFormat="1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s="443" customFormat="1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s="443" customFormat="1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s="443" customFormat="1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E163" s="444"/>
      <c r="BF163" s="444"/>
      <c r="BG163" s="444"/>
      <c r="BH163" s="444"/>
      <c r="BI163" s="444"/>
      <c r="BJ163" s="444"/>
      <c r="BK163" s="444"/>
      <c r="BL163" s="444"/>
      <c r="BM163" s="444"/>
      <c r="BN163" s="444"/>
      <c r="BO163" s="444"/>
      <c r="BP163" s="444"/>
      <c r="BQ163" s="444"/>
      <c r="BR163" s="444"/>
      <c r="BS163" s="444"/>
      <c r="BT163" s="444"/>
    </row>
    <row r="164" spans="1:72" s="443" customFormat="1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E164" s="444"/>
      <c r="BF164" s="444"/>
      <c r="BG164" s="444"/>
      <c r="BH164" s="444"/>
      <c r="BI164" s="444"/>
      <c r="BJ164" s="444"/>
      <c r="BK164" s="444"/>
      <c r="BL164" s="444"/>
      <c r="BM164" s="444"/>
      <c r="BN164" s="444"/>
      <c r="BO164" s="444"/>
      <c r="BP164" s="444"/>
      <c r="BQ164" s="444"/>
      <c r="BR164" s="444"/>
      <c r="BS164" s="444"/>
      <c r="BT164" s="444"/>
    </row>
    <row r="165" spans="1:72" s="443" customFormat="1" ht="1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409"/>
      <c r="T165" s="409"/>
      <c r="U165" s="409"/>
      <c r="V165" s="409"/>
      <c r="W165" s="392"/>
      <c r="X165" s="392"/>
      <c r="Y165" s="409"/>
      <c r="Z165" s="409"/>
      <c r="AA165" s="392"/>
      <c r="AB165" s="392"/>
      <c r="AC165" s="392"/>
      <c r="AD165" s="409"/>
      <c r="AE165" s="409"/>
      <c r="AF165" s="409"/>
      <c r="AG165" s="409"/>
      <c r="AH165" s="409"/>
      <c r="AI165" s="409"/>
      <c r="AJ165" s="409"/>
      <c r="AK165" s="409"/>
      <c r="AL165" s="409"/>
      <c r="AM165" s="409"/>
      <c r="AN165" s="409"/>
      <c r="AO165" s="409"/>
      <c r="AP165" s="409"/>
      <c r="AQ165" s="409"/>
      <c r="AR165" s="409"/>
      <c r="AS165" s="409"/>
      <c r="AT165" s="409"/>
      <c r="AU165" s="409"/>
      <c r="AV165" s="409"/>
      <c r="AW165" s="409"/>
      <c r="AX165" s="409"/>
      <c r="AY165" s="409"/>
      <c r="AZ165" s="409"/>
      <c r="BA165" s="409"/>
      <c r="BB165" s="409"/>
      <c r="BC165" s="409"/>
      <c r="BD165" s="407"/>
      <c r="BE165" s="444"/>
      <c r="BF165" s="444"/>
      <c r="BG165" s="444"/>
      <c r="BH165" s="444"/>
      <c r="BI165" s="444"/>
      <c r="BJ165" s="444"/>
      <c r="BK165" s="444"/>
      <c r="BL165" s="444"/>
      <c r="BM165" s="444"/>
      <c r="BN165" s="444"/>
      <c r="BO165" s="444"/>
      <c r="BP165" s="444"/>
      <c r="BQ165" s="444"/>
      <c r="BR165" s="444"/>
      <c r="BS165" s="444"/>
      <c r="BT165" s="444"/>
    </row>
    <row r="166" spans="1:72" s="443" customFormat="1" ht="15">
      <c r="A166" s="392"/>
      <c r="B166" s="392"/>
      <c r="C166" s="392"/>
      <c r="D166" s="392"/>
      <c r="E166" s="392"/>
      <c r="F166" s="392"/>
      <c r="G166" s="392"/>
      <c r="H166" s="392"/>
      <c r="I166" s="392"/>
      <c r="J166" s="392"/>
      <c r="K166" s="392"/>
      <c r="L166" s="392"/>
      <c r="M166" s="392"/>
      <c r="N166" s="392"/>
      <c r="O166" s="392"/>
      <c r="P166" s="392"/>
      <c r="Q166" s="392"/>
      <c r="R166" s="392"/>
      <c r="S166" s="409"/>
      <c r="T166" s="409"/>
      <c r="U166" s="409"/>
      <c r="V166" s="409"/>
      <c r="W166" s="392"/>
      <c r="X166" s="392"/>
      <c r="Y166" s="409"/>
      <c r="Z166" s="409"/>
      <c r="AA166" s="392"/>
      <c r="AB166" s="392"/>
      <c r="AC166" s="392"/>
      <c r="AD166" s="409"/>
      <c r="AE166" s="409"/>
      <c r="AF166" s="409"/>
      <c r="AG166" s="409"/>
      <c r="AH166" s="409"/>
      <c r="AI166" s="409"/>
      <c r="AJ166" s="409"/>
      <c r="AK166" s="409"/>
      <c r="AL166" s="409"/>
      <c r="AM166" s="409"/>
      <c r="AN166" s="409"/>
      <c r="AO166" s="409"/>
      <c r="AP166" s="409"/>
      <c r="AQ166" s="409"/>
      <c r="AR166" s="409"/>
      <c r="AS166" s="409"/>
      <c r="AT166" s="409"/>
      <c r="AU166" s="409"/>
      <c r="AV166" s="409"/>
      <c r="AW166" s="409"/>
      <c r="AX166" s="409"/>
      <c r="AY166" s="409"/>
      <c r="AZ166" s="409"/>
      <c r="BA166" s="409"/>
      <c r="BB166" s="409"/>
      <c r="BC166" s="409"/>
      <c r="BD166" s="407"/>
      <c r="BE166" s="444"/>
      <c r="BF166" s="444"/>
      <c r="BG166" s="444"/>
      <c r="BH166" s="444"/>
      <c r="BI166" s="444"/>
      <c r="BJ166" s="444"/>
      <c r="BK166" s="444"/>
      <c r="BL166" s="444"/>
      <c r="BM166" s="444"/>
      <c r="BN166" s="444"/>
      <c r="BO166" s="444"/>
      <c r="BP166" s="444"/>
      <c r="BQ166" s="444"/>
      <c r="BR166" s="444"/>
      <c r="BS166" s="444"/>
      <c r="BT166" s="444"/>
    </row>
    <row r="167" spans="1:72" s="443" customFormat="1" ht="15">
      <c r="A167" s="392"/>
      <c r="B167" s="392"/>
      <c r="C167" s="392"/>
      <c r="D167" s="392"/>
      <c r="E167" s="392"/>
      <c r="F167" s="392"/>
      <c r="G167" s="392"/>
      <c r="H167" s="392"/>
      <c r="I167" s="392"/>
      <c r="J167" s="392"/>
      <c r="K167" s="392"/>
      <c r="L167" s="392"/>
      <c r="M167" s="392"/>
      <c r="N167" s="392"/>
      <c r="O167" s="392"/>
      <c r="P167" s="392"/>
      <c r="Q167" s="392"/>
      <c r="R167" s="392"/>
      <c r="S167" s="409"/>
      <c r="T167" s="409"/>
      <c r="U167" s="409"/>
      <c r="V167" s="409"/>
      <c r="W167" s="392"/>
      <c r="X167" s="392"/>
      <c r="Y167" s="409"/>
      <c r="Z167" s="409"/>
      <c r="AA167" s="392"/>
      <c r="AB167" s="392"/>
      <c r="AC167" s="392"/>
      <c r="AD167" s="409"/>
      <c r="AE167" s="409"/>
      <c r="AF167" s="409"/>
      <c r="AG167" s="409"/>
      <c r="AH167" s="409"/>
      <c r="AI167" s="409"/>
      <c r="AJ167" s="409"/>
      <c r="AK167" s="409"/>
      <c r="AL167" s="409"/>
      <c r="AM167" s="409"/>
      <c r="AN167" s="409"/>
      <c r="AO167" s="409"/>
      <c r="AP167" s="409"/>
      <c r="AQ167" s="409"/>
      <c r="AR167" s="409"/>
      <c r="AS167" s="409"/>
      <c r="AT167" s="409"/>
      <c r="AU167" s="409"/>
      <c r="AV167" s="409"/>
      <c r="AW167" s="409"/>
      <c r="AX167" s="409"/>
      <c r="AY167" s="409"/>
      <c r="AZ167" s="409"/>
      <c r="BA167" s="409"/>
      <c r="BB167" s="409"/>
      <c r="BC167" s="409"/>
      <c r="BD167" s="407"/>
      <c r="BE167" s="444"/>
      <c r="BF167" s="444"/>
      <c r="BG167" s="444"/>
      <c r="BH167" s="444"/>
      <c r="BI167" s="444"/>
      <c r="BJ167" s="444"/>
      <c r="BK167" s="444"/>
      <c r="BL167" s="444"/>
      <c r="BM167" s="444"/>
      <c r="BN167" s="444"/>
      <c r="BO167" s="444"/>
      <c r="BP167" s="444"/>
      <c r="BQ167" s="444"/>
      <c r="BR167" s="444"/>
      <c r="BS167" s="444"/>
      <c r="BT167" s="444"/>
    </row>
    <row r="168" spans="1:72" s="443" customFormat="1" ht="15">
      <c r="A168" s="392"/>
      <c r="B168" s="392"/>
      <c r="C168" s="392"/>
      <c r="D168" s="392"/>
      <c r="E168" s="392"/>
      <c r="F168" s="392"/>
      <c r="G168" s="392"/>
      <c r="H168" s="392"/>
      <c r="I168" s="392"/>
      <c r="J168" s="392"/>
      <c r="K168" s="392"/>
      <c r="L168" s="392"/>
      <c r="M168" s="392"/>
      <c r="N168" s="392"/>
      <c r="O168" s="392"/>
      <c r="P168" s="392"/>
      <c r="Q168" s="392"/>
      <c r="R168" s="392"/>
      <c r="S168" s="409"/>
      <c r="T168" s="409"/>
      <c r="U168" s="409"/>
      <c r="V168" s="409"/>
      <c r="W168" s="392"/>
      <c r="X168" s="392"/>
      <c r="Y168" s="409"/>
      <c r="Z168" s="409"/>
      <c r="AA168" s="392"/>
      <c r="AB168" s="392"/>
      <c r="AC168" s="392"/>
      <c r="AD168" s="409"/>
      <c r="AE168" s="409"/>
      <c r="AF168" s="409"/>
      <c r="AG168" s="409"/>
      <c r="AH168" s="409"/>
      <c r="AI168" s="409"/>
      <c r="AJ168" s="409"/>
      <c r="AK168" s="409"/>
      <c r="AL168" s="409"/>
      <c r="AM168" s="409"/>
      <c r="AN168" s="409"/>
      <c r="AO168" s="409"/>
      <c r="AP168" s="409"/>
      <c r="AQ168" s="409"/>
      <c r="AR168" s="409"/>
      <c r="AS168" s="409"/>
      <c r="AT168" s="409"/>
      <c r="AU168" s="409"/>
      <c r="AV168" s="409"/>
      <c r="AW168" s="409"/>
      <c r="AX168" s="409"/>
      <c r="AY168" s="409"/>
      <c r="AZ168" s="409"/>
      <c r="BA168" s="409"/>
      <c r="BB168" s="409"/>
      <c r="BC168" s="409"/>
      <c r="BD168" s="407"/>
      <c r="BE168" s="444"/>
      <c r="BF168" s="444"/>
      <c r="BG168" s="444"/>
      <c r="BH168" s="444"/>
      <c r="BI168" s="444"/>
      <c r="BJ168" s="444"/>
      <c r="BK168" s="444"/>
      <c r="BL168" s="444"/>
      <c r="BM168" s="444"/>
      <c r="BN168" s="444"/>
      <c r="BO168" s="444"/>
      <c r="BP168" s="444"/>
      <c r="BQ168" s="444"/>
      <c r="BR168" s="444"/>
      <c r="BS168" s="444"/>
      <c r="BT168" s="444"/>
    </row>
  </sheetData>
  <mergeCells count="28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5:BA5"/>
    <mergeCell ref="BB5:BC5"/>
    <mergeCell ref="AQ18:AR18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FAAE0-DBE0-4938-867E-22E36C2392CC}">
  <sheetPr>
    <pageSetUpPr fitToPage="1"/>
  </sheetPr>
  <dimension ref="A1:BT30"/>
  <sheetViews>
    <sheetView showGridLines="0" view="pageBreakPreview" zoomScale="85" zoomScaleNormal="70" zoomScaleSheetLayoutView="85" workbookViewId="0">
      <selection sqref="A1:I1"/>
    </sheetView>
  </sheetViews>
  <sheetFormatPr defaultColWidth="2.6328125" defaultRowHeight="15"/>
  <cols>
    <col min="1" max="2" width="2.90625" style="459" customWidth="1"/>
    <col min="3" max="10" width="2.6328125" style="459" customWidth="1"/>
    <col min="11" max="16" width="3.26953125" style="459" customWidth="1"/>
    <col min="17" max="27" width="2.6328125" style="459"/>
    <col min="28" max="37" width="2.6328125" style="419"/>
    <col min="38" max="46" width="2.6328125" style="459"/>
    <col min="47" max="47" width="2.6328125" style="459" customWidth="1"/>
    <col min="48" max="233" width="2.6328125" style="459"/>
    <col min="234" max="234" width="4" style="459" customWidth="1"/>
    <col min="235" max="266" width="2.6328125" style="459"/>
    <col min="267" max="267" width="2.6328125" style="459" customWidth="1"/>
    <col min="268" max="489" width="2.6328125" style="459"/>
    <col min="490" max="490" width="4" style="459" customWidth="1"/>
    <col min="491" max="522" width="2.6328125" style="459"/>
    <col min="523" max="523" width="2.6328125" style="459" customWidth="1"/>
    <col min="524" max="745" width="2.6328125" style="459"/>
    <col min="746" max="746" width="4" style="459" customWidth="1"/>
    <col min="747" max="778" width="2.6328125" style="459"/>
    <col min="779" max="779" width="2.6328125" style="459" customWidth="1"/>
    <col min="780" max="1001" width="2.6328125" style="459"/>
    <col min="1002" max="1002" width="4" style="459" customWidth="1"/>
    <col min="1003" max="1034" width="2.6328125" style="459"/>
    <col min="1035" max="1035" width="2.6328125" style="459" customWidth="1"/>
    <col min="1036" max="1257" width="2.6328125" style="459"/>
    <col min="1258" max="1258" width="4" style="459" customWidth="1"/>
    <col min="1259" max="1290" width="2.6328125" style="459"/>
    <col min="1291" max="1291" width="2.6328125" style="459" customWidth="1"/>
    <col min="1292" max="1513" width="2.6328125" style="459"/>
    <col min="1514" max="1514" width="4" style="459" customWidth="1"/>
    <col min="1515" max="1546" width="2.6328125" style="459"/>
    <col min="1547" max="1547" width="2.6328125" style="459" customWidth="1"/>
    <col min="1548" max="1769" width="2.6328125" style="459"/>
    <col min="1770" max="1770" width="4" style="459" customWidth="1"/>
    <col min="1771" max="1802" width="2.6328125" style="459"/>
    <col min="1803" max="1803" width="2.6328125" style="459" customWidth="1"/>
    <col min="1804" max="2025" width="2.6328125" style="459"/>
    <col min="2026" max="2026" width="4" style="459" customWidth="1"/>
    <col min="2027" max="2058" width="2.6328125" style="459"/>
    <col min="2059" max="2059" width="2.6328125" style="459" customWidth="1"/>
    <col min="2060" max="2281" width="2.6328125" style="459"/>
    <col min="2282" max="2282" width="4" style="459" customWidth="1"/>
    <col min="2283" max="2314" width="2.6328125" style="459"/>
    <col min="2315" max="2315" width="2.6328125" style="459" customWidth="1"/>
    <col min="2316" max="2537" width="2.6328125" style="459"/>
    <col min="2538" max="2538" width="4" style="459" customWidth="1"/>
    <col min="2539" max="2570" width="2.6328125" style="459"/>
    <col min="2571" max="2571" width="2.6328125" style="459" customWidth="1"/>
    <col min="2572" max="2793" width="2.6328125" style="459"/>
    <col min="2794" max="2794" width="4" style="459" customWidth="1"/>
    <col min="2795" max="2826" width="2.6328125" style="459"/>
    <col min="2827" max="2827" width="2.6328125" style="459" customWidth="1"/>
    <col min="2828" max="3049" width="2.6328125" style="459"/>
    <col min="3050" max="3050" width="4" style="459" customWidth="1"/>
    <col min="3051" max="3082" width="2.6328125" style="459"/>
    <col min="3083" max="3083" width="2.6328125" style="459" customWidth="1"/>
    <col min="3084" max="3305" width="2.6328125" style="459"/>
    <col min="3306" max="3306" width="4" style="459" customWidth="1"/>
    <col min="3307" max="3338" width="2.6328125" style="459"/>
    <col min="3339" max="3339" width="2.6328125" style="459" customWidth="1"/>
    <col min="3340" max="3561" width="2.6328125" style="459"/>
    <col min="3562" max="3562" width="4" style="459" customWidth="1"/>
    <col min="3563" max="3594" width="2.6328125" style="459"/>
    <col min="3595" max="3595" width="2.6328125" style="459" customWidth="1"/>
    <col min="3596" max="3817" width="2.6328125" style="459"/>
    <col min="3818" max="3818" width="4" style="459" customWidth="1"/>
    <col min="3819" max="3850" width="2.6328125" style="459"/>
    <col min="3851" max="3851" width="2.6328125" style="459" customWidth="1"/>
    <col min="3852" max="4073" width="2.6328125" style="459"/>
    <col min="4074" max="4074" width="4" style="459" customWidth="1"/>
    <col min="4075" max="4106" width="2.6328125" style="459"/>
    <col min="4107" max="4107" width="2.6328125" style="459" customWidth="1"/>
    <col min="4108" max="4329" width="2.6328125" style="459"/>
    <col min="4330" max="4330" width="4" style="459" customWidth="1"/>
    <col min="4331" max="4362" width="2.6328125" style="459"/>
    <col min="4363" max="4363" width="2.6328125" style="459" customWidth="1"/>
    <col min="4364" max="4585" width="2.6328125" style="459"/>
    <col min="4586" max="4586" width="4" style="459" customWidth="1"/>
    <col min="4587" max="4618" width="2.6328125" style="459"/>
    <col min="4619" max="4619" width="2.6328125" style="459" customWidth="1"/>
    <col min="4620" max="4841" width="2.6328125" style="459"/>
    <col min="4842" max="4842" width="4" style="459" customWidth="1"/>
    <col min="4843" max="4874" width="2.6328125" style="459"/>
    <col min="4875" max="4875" width="2.6328125" style="459" customWidth="1"/>
    <col min="4876" max="5097" width="2.6328125" style="459"/>
    <col min="5098" max="5098" width="4" style="459" customWidth="1"/>
    <col min="5099" max="5130" width="2.6328125" style="459"/>
    <col min="5131" max="5131" width="2.6328125" style="459" customWidth="1"/>
    <col min="5132" max="5353" width="2.6328125" style="459"/>
    <col min="5354" max="5354" width="4" style="459" customWidth="1"/>
    <col min="5355" max="5386" width="2.6328125" style="459"/>
    <col min="5387" max="5387" width="2.6328125" style="459" customWidth="1"/>
    <col min="5388" max="5609" width="2.6328125" style="459"/>
    <col min="5610" max="5610" width="4" style="459" customWidth="1"/>
    <col min="5611" max="5642" width="2.6328125" style="459"/>
    <col min="5643" max="5643" width="2.6328125" style="459" customWidth="1"/>
    <col min="5644" max="5865" width="2.6328125" style="459"/>
    <col min="5866" max="5866" width="4" style="459" customWidth="1"/>
    <col min="5867" max="5898" width="2.6328125" style="459"/>
    <col min="5899" max="5899" width="2.6328125" style="459" customWidth="1"/>
    <col min="5900" max="6121" width="2.6328125" style="459"/>
    <col min="6122" max="6122" width="4" style="459" customWidth="1"/>
    <col min="6123" max="6154" width="2.6328125" style="459"/>
    <col min="6155" max="6155" width="2.6328125" style="459" customWidth="1"/>
    <col min="6156" max="6377" width="2.6328125" style="459"/>
    <col min="6378" max="6378" width="4" style="459" customWidth="1"/>
    <col min="6379" max="6410" width="2.6328125" style="459"/>
    <col min="6411" max="6411" width="2.6328125" style="459" customWidth="1"/>
    <col min="6412" max="6633" width="2.6328125" style="459"/>
    <col min="6634" max="6634" width="4" style="459" customWidth="1"/>
    <col min="6635" max="6666" width="2.6328125" style="459"/>
    <col min="6667" max="6667" width="2.6328125" style="459" customWidth="1"/>
    <col min="6668" max="6889" width="2.6328125" style="459"/>
    <col min="6890" max="6890" width="4" style="459" customWidth="1"/>
    <col min="6891" max="6922" width="2.6328125" style="459"/>
    <col min="6923" max="6923" width="2.6328125" style="459" customWidth="1"/>
    <col min="6924" max="7145" width="2.6328125" style="459"/>
    <col min="7146" max="7146" width="4" style="459" customWidth="1"/>
    <col min="7147" max="7178" width="2.6328125" style="459"/>
    <col min="7179" max="7179" width="2.6328125" style="459" customWidth="1"/>
    <col min="7180" max="7401" width="2.6328125" style="459"/>
    <col min="7402" max="7402" width="4" style="459" customWidth="1"/>
    <col min="7403" max="7434" width="2.6328125" style="459"/>
    <col min="7435" max="7435" width="2.6328125" style="459" customWidth="1"/>
    <col min="7436" max="7657" width="2.6328125" style="459"/>
    <col min="7658" max="7658" width="4" style="459" customWidth="1"/>
    <col min="7659" max="7690" width="2.6328125" style="459"/>
    <col min="7691" max="7691" width="2.6328125" style="459" customWidth="1"/>
    <col min="7692" max="7913" width="2.6328125" style="459"/>
    <col min="7914" max="7914" width="4" style="459" customWidth="1"/>
    <col min="7915" max="7946" width="2.6328125" style="459"/>
    <col min="7947" max="7947" width="2.6328125" style="459" customWidth="1"/>
    <col min="7948" max="8169" width="2.6328125" style="459"/>
    <col min="8170" max="8170" width="4" style="459" customWidth="1"/>
    <col min="8171" max="8202" width="2.6328125" style="459"/>
    <col min="8203" max="8203" width="2.6328125" style="459" customWidth="1"/>
    <col min="8204" max="8425" width="2.6328125" style="459"/>
    <col min="8426" max="8426" width="4" style="459" customWidth="1"/>
    <col min="8427" max="8458" width="2.6328125" style="459"/>
    <col min="8459" max="8459" width="2.6328125" style="459" customWidth="1"/>
    <col min="8460" max="8681" width="2.6328125" style="459"/>
    <col min="8682" max="8682" width="4" style="459" customWidth="1"/>
    <col min="8683" max="8714" width="2.6328125" style="459"/>
    <col min="8715" max="8715" width="2.6328125" style="459" customWidth="1"/>
    <col min="8716" max="8937" width="2.6328125" style="459"/>
    <col min="8938" max="8938" width="4" style="459" customWidth="1"/>
    <col min="8939" max="8970" width="2.6328125" style="459"/>
    <col min="8971" max="8971" width="2.6328125" style="459" customWidth="1"/>
    <col min="8972" max="9193" width="2.6328125" style="459"/>
    <col min="9194" max="9194" width="4" style="459" customWidth="1"/>
    <col min="9195" max="9226" width="2.6328125" style="459"/>
    <col min="9227" max="9227" width="2.6328125" style="459" customWidth="1"/>
    <col min="9228" max="9449" width="2.6328125" style="459"/>
    <col min="9450" max="9450" width="4" style="459" customWidth="1"/>
    <col min="9451" max="9482" width="2.6328125" style="459"/>
    <col min="9483" max="9483" width="2.6328125" style="459" customWidth="1"/>
    <col min="9484" max="9705" width="2.6328125" style="459"/>
    <col min="9706" max="9706" width="4" style="459" customWidth="1"/>
    <col min="9707" max="9738" width="2.6328125" style="459"/>
    <col min="9739" max="9739" width="2.6328125" style="459" customWidth="1"/>
    <col min="9740" max="9961" width="2.6328125" style="459"/>
    <col min="9962" max="9962" width="4" style="459" customWidth="1"/>
    <col min="9963" max="9994" width="2.6328125" style="459"/>
    <col min="9995" max="9995" width="2.6328125" style="459" customWidth="1"/>
    <col min="9996" max="10217" width="2.6328125" style="459"/>
    <col min="10218" max="10218" width="4" style="459" customWidth="1"/>
    <col min="10219" max="10250" width="2.6328125" style="459"/>
    <col min="10251" max="10251" width="2.6328125" style="459" customWidth="1"/>
    <col min="10252" max="10473" width="2.6328125" style="459"/>
    <col min="10474" max="10474" width="4" style="459" customWidth="1"/>
    <col min="10475" max="10506" width="2.6328125" style="459"/>
    <col min="10507" max="10507" width="2.6328125" style="459" customWidth="1"/>
    <col min="10508" max="10729" width="2.6328125" style="459"/>
    <col min="10730" max="10730" width="4" style="459" customWidth="1"/>
    <col min="10731" max="10762" width="2.6328125" style="459"/>
    <col min="10763" max="10763" width="2.6328125" style="459" customWidth="1"/>
    <col min="10764" max="10985" width="2.6328125" style="459"/>
    <col min="10986" max="10986" width="4" style="459" customWidth="1"/>
    <col min="10987" max="11018" width="2.6328125" style="459"/>
    <col min="11019" max="11019" width="2.6328125" style="459" customWidth="1"/>
    <col min="11020" max="11241" width="2.6328125" style="459"/>
    <col min="11242" max="11242" width="4" style="459" customWidth="1"/>
    <col min="11243" max="11274" width="2.6328125" style="459"/>
    <col min="11275" max="11275" width="2.6328125" style="459" customWidth="1"/>
    <col min="11276" max="11497" width="2.6328125" style="459"/>
    <col min="11498" max="11498" width="4" style="459" customWidth="1"/>
    <col min="11499" max="11530" width="2.6328125" style="459"/>
    <col min="11531" max="11531" width="2.6328125" style="459" customWidth="1"/>
    <col min="11532" max="11753" width="2.6328125" style="459"/>
    <col min="11754" max="11754" width="4" style="459" customWidth="1"/>
    <col min="11755" max="11786" width="2.6328125" style="459"/>
    <col min="11787" max="11787" width="2.6328125" style="459" customWidth="1"/>
    <col min="11788" max="12009" width="2.6328125" style="459"/>
    <col min="12010" max="12010" width="4" style="459" customWidth="1"/>
    <col min="12011" max="12042" width="2.6328125" style="459"/>
    <col min="12043" max="12043" width="2.6328125" style="459" customWidth="1"/>
    <col min="12044" max="12265" width="2.6328125" style="459"/>
    <col min="12266" max="12266" width="4" style="459" customWidth="1"/>
    <col min="12267" max="12298" width="2.6328125" style="459"/>
    <col min="12299" max="12299" width="2.6328125" style="459" customWidth="1"/>
    <col min="12300" max="12521" width="2.6328125" style="459"/>
    <col min="12522" max="12522" width="4" style="459" customWidth="1"/>
    <col min="12523" max="12554" width="2.6328125" style="459"/>
    <col min="12555" max="12555" width="2.6328125" style="459" customWidth="1"/>
    <col min="12556" max="12777" width="2.6328125" style="459"/>
    <col min="12778" max="12778" width="4" style="459" customWidth="1"/>
    <col min="12779" max="12810" width="2.6328125" style="459"/>
    <col min="12811" max="12811" width="2.6328125" style="459" customWidth="1"/>
    <col min="12812" max="13033" width="2.6328125" style="459"/>
    <col min="13034" max="13034" width="4" style="459" customWidth="1"/>
    <col min="13035" max="13066" width="2.6328125" style="459"/>
    <col min="13067" max="13067" width="2.6328125" style="459" customWidth="1"/>
    <col min="13068" max="13289" width="2.6328125" style="459"/>
    <col min="13290" max="13290" width="4" style="459" customWidth="1"/>
    <col min="13291" max="13322" width="2.6328125" style="459"/>
    <col min="13323" max="13323" width="2.6328125" style="459" customWidth="1"/>
    <col min="13324" max="13545" width="2.6328125" style="459"/>
    <col min="13546" max="13546" width="4" style="459" customWidth="1"/>
    <col min="13547" max="13578" width="2.6328125" style="459"/>
    <col min="13579" max="13579" width="2.6328125" style="459" customWidth="1"/>
    <col min="13580" max="13801" width="2.6328125" style="459"/>
    <col min="13802" max="13802" width="4" style="459" customWidth="1"/>
    <col min="13803" max="13834" width="2.6328125" style="459"/>
    <col min="13835" max="13835" width="2.6328125" style="459" customWidth="1"/>
    <col min="13836" max="14057" width="2.6328125" style="459"/>
    <col min="14058" max="14058" width="4" style="459" customWidth="1"/>
    <col min="14059" max="14090" width="2.6328125" style="459"/>
    <col min="14091" max="14091" width="2.6328125" style="459" customWidth="1"/>
    <col min="14092" max="14313" width="2.6328125" style="459"/>
    <col min="14314" max="14314" width="4" style="459" customWidth="1"/>
    <col min="14315" max="14346" width="2.6328125" style="459"/>
    <col min="14347" max="14347" width="2.6328125" style="459" customWidth="1"/>
    <col min="14348" max="14569" width="2.6328125" style="459"/>
    <col min="14570" max="14570" width="4" style="459" customWidth="1"/>
    <col min="14571" max="14602" width="2.6328125" style="459"/>
    <col min="14603" max="14603" width="2.6328125" style="459" customWidth="1"/>
    <col min="14604" max="14825" width="2.6328125" style="459"/>
    <col min="14826" max="14826" width="4" style="459" customWidth="1"/>
    <col min="14827" max="14858" width="2.6328125" style="459"/>
    <col min="14859" max="14859" width="2.6328125" style="459" customWidth="1"/>
    <col min="14860" max="15081" width="2.6328125" style="459"/>
    <col min="15082" max="15082" width="4" style="459" customWidth="1"/>
    <col min="15083" max="15114" width="2.6328125" style="459"/>
    <col min="15115" max="15115" width="2.6328125" style="459" customWidth="1"/>
    <col min="15116" max="15337" width="2.6328125" style="459"/>
    <col min="15338" max="15338" width="4" style="459" customWidth="1"/>
    <col min="15339" max="15370" width="2.6328125" style="459"/>
    <col min="15371" max="15371" width="2.6328125" style="459" customWidth="1"/>
    <col min="15372" max="15593" width="2.6328125" style="459"/>
    <col min="15594" max="15594" width="4" style="459" customWidth="1"/>
    <col min="15595" max="15626" width="2.6328125" style="459"/>
    <col min="15627" max="15627" width="2.6328125" style="459" customWidth="1"/>
    <col min="15628" max="15849" width="2.6328125" style="459"/>
    <col min="15850" max="15850" width="4" style="459" customWidth="1"/>
    <col min="15851" max="15882" width="2.6328125" style="459"/>
    <col min="15883" max="15883" width="2.6328125" style="459" customWidth="1"/>
    <col min="15884" max="16105" width="2.6328125" style="459"/>
    <col min="16106" max="16106" width="4" style="459" customWidth="1"/>
    <col min="16107" max="16138" width="2.6328125" style="459"/>
    <col min="16139" max="16139" width="2.6328125" style="459" customWidth="1"/>
    <col min="16140" max="16384" width="2.6328125" style="459"/>
  </cols>
  <sheetData>
    <row r="1" spans="1:72" ht="12.75" customHeight="1">
      <c r="A1" s="647" t="s">
        <v>178</v>
      </c>
      <c r="B1" s="647"/>
      <c r="C1" s="647"/>
      <c r="D1" s="647"/>
      <c r="E1" s="647"/>
      <c r="F1" s="647"/>
      <c r="G1" s="647"/>
      <c r="H1" s="647"/>
      <c r="I1" s="647"/>
      <c r="J1" s="457"/>
      <c r="K1" s="457"/>
      <c r="L1" s="457"/>
      <c r="M1" s="457"/>
      <c r="N1" s="457"/>
      <c r="O1" s="457"/>
      <c r="P1" s="457"/>
      <c r="Q1" s="457"/>
      <c r="R1" s="457"/>
      <c r="S1" s="457"/>
      <c r="T1" s="457"/>
      <c r="U1" s="457"/>
      <c r="V1" s="457"/>
      <c r="W1" s="457"/>
      <c r="X1" s="457"/>
      <c r="Y1" s="457"/>
      <c r="Z1" s="457"/>
      <c r="AA1" s="457"/>
      <c r="AB1" s="537"/>
      <c r="AC1" s="537"/>
      <c r="AD1" s="537"/>
      <c r="AE1" s="537"/>
      <c r="AF1" s="537"/>
      <c r="AG1" s="537"/>
      <c r="AH1" s="537"/>
      <c r="AI1" s="537"/>
      <c r="AJ1" s="537"/>
      <c r="AK1" s="537"/>
      <c r="AL1" s="457"/>
      <c r="AM1" s="457"/>
      <c r="AN1" s="457"/>
      <c r="AO1" s="457"/>
      <c r="AP1" s="457"/>
      <c r="AQ1" s="457"/>
      <c r="AR1" s="457"/>
      <c r="AS1" s="457"/>
      <c r="AT1" s="457"/>
      <c r="AU1" s="457"/>
      <c r="AV1" s="457"/>
      <c r="AW1" s="457"/>
      <c r="AX1" s="457"/>
      <c r="AY1" s="457"/>
      <c r="AZ1" s="457"/>
      <c r="BA1" s="457"/>
      <c r="BB1" s="457"/>
      <c r="BC1" s="457"/>
      <c r="BD1" s="457"/>
      <c r="BE1" s="457"/>
      <c r="BF1" s="457"/>
      <c r="BG1" s="457"/>
      <c r="BH1" s="457"/>
      <c r="BI1" s="457"/>
      <c r="BJ1" s="457"/>
      <c r="BK1" s="457"/>
      <c r="BL1" s="457"/>
      <c r="BM1" s="457"/>
      <c r="BN1" s="457"/>
      <c r="BO1" s="457"/>
      <c r="BP1" s="457"/>
      <c r="BQ1" s="457"/>
      <c r="BR1" s="457"/>
      <c r="BS1" s="458"/>
      <c r="BT1" s="458"/>
    </row>
    <row r="2" spans="1:72" ht="12.75" customHeight="1">
      <c r="A2" s="648" t="s">
        <v>179</v>
      </c>
      <c r="B2" s="648"/>
      <c r="C2" s="648"/>
      <c r="D2" s="648"/>
      <c r="E2" s="648"/>
      <c r="F2" s="648"/>
      <c r="G2" s="648"/>
      <c r="H2" s="648"/>
      <c r="I2" s="648"/>
      <c r="J2" s="648"/>
      <c r="K2" s="648"/>
      <c r="L2" s="648"/>
      <c r="M2" s="648"/>
      <c r="N2" s="648"/>
      <c r="O2" s="648"/>
      <c r="P2" s="648"/>
      <c r="Q2" s="649"/>
      <c r="R2" s="649"/>
      <c r="S2" s="649"/>
      <c r="T2" s="649"/>
      <c r="U2" s="649"/>
      <c r="V2" s="649"/>
      <c r="W2" s="649"/>
      <c r="X2" s="649"/>
      <c r="Y2" s="649"/>
      <c r="Z2" s="649"/>
      <c r="AA2" s="649"/>
      <c r="AB2" s="649"/>
      <c r="AC2" s="649"/>
      <c r="AD2" s="649"/>
      <c r="AE2" s="649"/>
      <c r="AF2" s="649"/>
      <c r="AG2" s="649"/>
      <c r="AH2" s="649"/>
      <c r="AI2" s="649"/>
      <c r="AJ2" s="649"/>
      <c r="AK2" s="649"/>
      <c r="AL2" s="649"/>
      <c r="AM2" s="649"/>
      <c r="AN2" s="649"/>
      <c r="AO2" s="649"/>
      <c r="AP2" s="649"/>
      <c r="AQ2" s="649"/>
      <c r="AR2" s="649"/>
      <c r="AS2" s="649"/>
      <c r="AT2" s="649"/>
      <c r="AU2" s="649"/>
      <c r="AV2" s="649"/>
      <c r="AW2" s="649"/>
      <c r="AX2" s="649"/>
      <c r="AY2" s="649"/>
      <c r="AZ2" s="649"/>
      <c r="BA2" s="649"/>
      <c r="BB2" s="649"/>
      <c r="BC2" s="649"/>
      <c r="BD2" s="649"/>
      <c r="BE2" s="649"/>
      <c r="BF2" s="649"/>
      <c r="BG2" s="649"/>
      <c r="BH2" s="649"/>
      <c r="BI2" s="649"/>
      <c r="BJ2" s="649"/>
      <c r="BK2" s="649"/>
      <c r="BL2" s="649"/>
      <c r="BM2" s="649"/>
      <c r="BN2" s="649"/>
      <c r="BO2" s="649"/>
      <c r="BP2" s="649"/>
      <c r="BQ2" s="649"/>
      <c r="BR2" s="649"/>
      <c r="BS2" s="649"/>
      <c r="BT2" s="649"/>
    </row>
    <row r="3" spans="1:72" ht="27.75" customHeight="1">
      <c r="A3" s="650" t="s">
        <v>180</v>
      </c>
      <c r="B3" s="651"/>
      <c r="C3" s="651" t="s">
        <v>181</v>
      </c>
      <c r="D3" s="651"/>
      <c r="E3" s="651"/>
      <c r="F3" s="651"/>
      <c r="G3" s="651"/>
      <c r="H3" s="651"/>
      <c r="I3" s="651"/>
      <c r="J3" s="651"/>
      <c r="K3" s="651"/>
      <c r="L3" s="651"/>
      <c r="M3" s="651"/>
      <c r="N3" s="651"/>
      <c r="O3" s="651"/>
      <c r="P3" s="651"/>
      <c r="Q3" s="653" t="s">
        <v>182</v>
      </c>
      <c r="R3" s="654"/>
      <c r="S3" s="654"/>
      <c r="T3" s="654"/>
      <c r="U3" s="654"/>
      <c r="V3" s="654"/>
      <c r="W3" s="654"/>
      <c r="X3" s="654"/>
      <c r="Y3" s="654"/>
      <c r="Z3" s="654"/>
      <c r="AA3" s="655"/>
      <c r="AB3" s="607" t="s">
        <v>334</v>
      </c>
      <c r="AC3" s="608"/>
      <c r="AD3" s="608"/>
      <c r="AE3" s="608"/>
      <c r="AF3" s="608"/>
      <c r="AG3" s="608"/>
      <c r="AH3" s="608"/>
      <c r="AI3" s="608"/>
      <c r="AJ3" s="608"/>
      <c r="AK3" s="609"/>
      <c r="AL3" s="650" t="s">
        <v>183</v>
      </c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</row>
    <row r="4" spans="1:72" ht="27.75" customHeight="1">
      <c r="A4" s="651"/>
      <c r="B4" s="651"/>
      <c r="C4" s="652" t="s">
        <v>184</v>
      </c>
      <c r="D4" s="652"/>
      <c r="E4" s="652"/>
      <c r="F4" s="652"/>
      <c r="G4" s="652"/>
      <c r="H4" s="652"/>
      <c r="I4" s="652"/>
      <c r="J4" s="652" t="s">
        <v>185</v>
      </c>
      <c r="K4" s="652"/>
      <c r="L4" s="652"/>
      <c r="M4" s="652"/>
      <c r="N4" s="652"/>
      <c r="O4" s="652"/>
      <c r="P4" s="652"/>
      <c r="Q4" s="656"/>
      <c r="R4" s="657"/>
      <c r="S4" s="657"/>
      <c r="T4" s="657"/>
      <c r="U4" s="657"/>
      <c r="V4" s="657"/>
      <c r="W4" s="657"/>
      <c r="X4" s="657"/>
      <c r="Y4" s="657"/>
      <c r="Z4" s="657"/>
      <c r="AA4" s="658"/>
      <c r="AB4" s="610"/>
      <c r="AC4" s="611"/>
      <c r="AD4" s="611"/>
      <c r="AE4" s="611"/>
      <c r="AF4" s="611"/>
      <c r="AG4" s="611"/>
      <c r="AH4" s="611"/>
      <c r="AI4" s="611"/>
      <c r="AJ4" s="611"/>
      <c r="AK4" s="612"/>
      <c r="AL4" s="650"/>
      <c r="AM4" s="650"/>
      <c r="AN4" s="650"/>
      <c r="AO4" s="650"/>
      <c r="AP4" s="650"/>
      <c r="AQ4" s="650"/>
      <c r="AR4" s="650"/>
      <c r="AS4" s="650"/>
      <c r="AT4" s="650"/>
      <c r="AU4" s="650"/>
      <c r="AV4" s="650"/>
      <c r="AW4" s="650"/>
      <c r="AX4" s="650"/>
      <c r="AY4" s="650"/>
      <c r="AZ4" s="650"/>
      <c r="BA4" s="650"/>
      <c r="BB4" s="650"/>
      <c r="BC4" s="650"/>
      <c r="BD4" s="650"/>
      <c r="BE4" s="650"/>
      <c r="BF4" s="650"/>
      <c r="BG4" s="650"/>
      <c r="BH4" s="650"/>
      <c r="BI4" s="650"/>
      <c r="BJ4" s="650"/>
      <c r="BK4" s="650"/>
      <c r="BL4" s="650"/>
      <c r="BM4" s="650"/>
      <c r="BN4" s="650"/>
      <c r="BO4" s="650"/>
      <c r="BP4" s="650"/>
      <c r="BQ4" s="650"/>
      <c r="BR4" s="650"/>
      <c r="BS4" s="650"/>
      <c r="BT4" s="650"/>
    </row>
    <row r="5" spans="1:72" ht="31" customHeight="1">
      <c r="A5" s="616" t="s">
        <v>312</v>
      </c>
      <c r="B5" s="617"/>
      <c r="C5" s="630" t="s">
        <v>313</v>
      </c>
      <c r="D5" s="631"/>
      <c r="E5" s="631"/>
      <c r="F5" s="631"/>
      <c r="G5" s="631"/>
      <c r="H5" s="631"/>
      <c r="I5" s="632"/>
      <c r="J5" s="633"/>
      <c r="K5" s="634"/>
      <c r="L5" s="634"/>
      <c r="M5" s="634"/>
      <c r="N5" s="634"/>
      <c r="O5" s="634"/>
      <c r="P5" s="635"/>
      <c r="Q5" s="621"/>
      <c r="R5" s="622"/>
      <c r="S5" s="622"/>
      <c r="T5" s="622"/>
      <c r="U5" s="622"/>
      <c r="V5" s="622"/>
      <c r="W5" s="622"/>
      <c r="X5" s="622"/>
      <c r="Y5" s="622"/>
      <c r="Z5" s="622"/>
      <c r="AA5" s="623"/>
      <c r="AB5" s="598"/>
      <c r="AC5" s="599"/>
      <c r="AD5" s="599"/>
      <c r="AE5" s="599"/>
      <c r="AF5" s="599"/>
      <c r="AG5" s="599"/>
      <c r="AH5" s="599"/>
      <c r="AI5" s="599"/>
      <c r="AJ5" s="599"/>
      <c r="AK5" s="600"/>
      <c r="AL5" s="636"/>
      <c r="AM5" s="622"/>
      <c r="AN5" s="622"/>
      <c r="AO5" s="622"/>
      <c r="AP5" s="622"/>
      <c r="AQ5" s="622"/>
      <c r="AR5" s="622"/>
      <c r="AS5" s="622"/>
      <c r="AT5" s="622"/>
      <c r="AU5" s="622"/>
      <c r="AV5" s="622"/>
      <c r="AW5" s="622"/>
      <c r="AX5" s="622"/>
      <c r="AY5" s="622"/>
      <c r="AZ5" s="622"/>
      <c r="BA5" s="622"/>
      <c r="BB5" s="622"/>
      <c r="BC5" s="622"/>
      <c r="BD5" s="622"/>
      <c r="BE5" s="622"/>
      <c r="BF5" s="622"/>
      <c r="BG5" s="622"/>
      <c r="BH5" s="622"/>
      <c r="BI5" s="622"/>
      <c r="BJ5" s="622"/>
      <c r="BK5" s="622"/>
      <c r="BL5" s="622"/>
      <c r="BM5" s="622"/>
      <c r="BN5" s="622"/>
      <c r="BO5" s="622"/>
      <c r="BP5" s="622"/>
      <c r="BQ5" s="622"/>
      <c r="BR5" s="622"/>
      <c r="BS5" s="622"/>
      <c r="BT5" s="637"/>
    </row>
    <row r="6" spans="1:72" s="523" customFormat="1" ht="15.5" customHeight="1">
      <c r="A6" s="616">
        <v>1.1000000000000001</v>
      </c>
      <c r="B6" s="617"/>
      <c r="C6" s="519"/>
      <c r="D6" s="520"/>
      <c r="E6" s="520"/>
      <c r="F6" s="520"/>
      <c r="G6" s="520"/>
      <c r="H6" s="520"/>
      <c r="I6" s="521"/>
      <c r="J6" s="618" t="s">
        <v>314</v>
      </c>
      <c r="K6" s="619"/>
      <c r="L6" s="619"/>
      <c r="M6" s="619"/>
      <c r="N6" s="619"/>
      <c r="O6" s="619"/>
      <c r="P6" s="620"/>
      <c r="Q6" s="621"/>
      <c r="R6" s="622"/>
      <c r="S6" s="622"/>
      <c r="T6" s="622"/>
      <c r="U6" s="622"/>
      <c r="V6" s="622"/>
      <c r="W6" s="622"/>
      <c r="X6" s="622"/>
      <c r="Y6" s="622"/>
      <c r="Z6" s="622"/>
      <c r="AA6" s="623"/>
      <c r="AB6" s="598"/>
      <c r="AC6" s="599"/>
      <c r="AD6" s="599"/>
      <c r="AE6" s="599"/>
      <c r="AF6" s="599"/>
      <c r="AG6" s="599"/>
      <c r="AH6" s="599"/>
      <c r="AI6" s="599"/>
      <c r="AJ6" s="599"/>
      <c r="AK6" s="600"/>
      <c r="AL6" s="604" t="s">
        <v>336</v>
      </c>
      <c r="AM6" s="605"/>
      <c r="AN6" s="605"/>
      <c r="AO6" s="605"/>
      <c r="AP6" s="605"/>
      <c r="AQ6" s="605"/>
      <c r="AR6" s="605"/>
      <c r="AS6" s="605"/>
      <c r="AT6" s="605"/>
      <c r="AU6" s="605"/>
      <c r="AV6" s="605"/>
      <c r="AW6" s="605"/>
      <c r="AX6" s="605"/>
      <c r="AY6" s="605"/>
      <c r="AZ6" s="605"/>
      <c r="BA6" s="605"/>
      <c r="BB6" s="605"/>
      <c r="BC6" s="605"/>
      <c r="BD6" s="605"/>
      <c r="BE6" s="605"/>
      <c r="BF6" s="605"/>
      <c r="BG6" s="605"/>
      <c r="BH6" s="605"/>
      <c r="BI6" s="605"/>
      <c r="BJ6" s="605"/>
      <c r="BK6" s="605"/>
      <c r="BL6" s="605"/>
      <c r="BM6" s="605"/>
      <c r="BN6" s="605"/>
      <c r="BO6" s="605"/>
      <c r="BP6" s="605"/>
      <c r="BQ6" s="605"/>
      <c r="BR6" s="605"/>
      <c r="BS6" s="605"/>
      <c r="BT6" s="606"/>
    </row>
    <row r="7" spans="1:72" s="523" customFormat="1" ht="15.5" customHeight="1">
      <c r="A7" s="616" t="s">
        <v>326</v>
      </c>
      <c r="B7" s="617"/>
      <c r="C7" s="519"/>
      <c r="D7" s="520"/>
      <c r="E7" s="520"/>
      <c r="F7" s="520"/>
      <c r="G7" s="520"/>
      <c r="H7" s="520"/>
      <c r="I7" s="521"/>
      <c r="J7" s="618" t="s">
        <v>325</v>
      </c>
      <c r="K7" s="619"/>
      <c r="L7" s="619"/>
      <c r="M7" s="619"/>
      <c r="N7" s="619"/>
      <c r="O7" s="619"/>
      <c r="P7" s="620"/>
      <c r="Q7" s="621"/>
      <c r="R7" s="622"/>
      <c r="S7" s="622"/>
      <c r="T7" s="622"/>
      <c r="U7" s="622"/>
      <c r="V7" s="622"/>
      <c r="W7" s="622"/>
      <c r="X7" s="622"/>
      <c r="Y7" s="622"/>
      <c r="Z7" s="622"/>
      <c r="AA7" s="623"/>
      <c r="AB7" s="613"/>
      <c r="AC7" s="614"/>
      <c r="AD7" s="614"/>
      <c r="AE7" s="614"/>
      <c r="AF7" s="614"/>
      <c r="AG7" s="614"/>
      <c r="AH7" s="614"/>
      <c r="AI7" s="614"/>
      <c r="AJ7" s="614"/>
      <c r="AK7" s="615"/>
      <c r="AL7" s="604" t="s">
        <v>335</v>
      </c>
      <c r="AM7" s="605"/>
      <c r="AN7" s="605"/>
      <c r="AO7" s="605"/>
      <c r="AP7" s="605"/>
      <c r="AQ7" s="605"/>
      <c r="AR7" s="605"/>
      <c r="AS7" s="605"/>
      <c r="AT7" s="605"/>
      <c r="AU7" s="605"/>
      <c r="AV7" s="605"/>
      <c r="AW7" s="605"/>
      <c r="AX7" s="605"/>
      <c r="AY7" s="605"/>
      <c r="AZ7" s="605"/>
      <c r="BA7" s="605"/>
      <c r="BB7" s="605"/>
      <c r="BC7" s="605"/>
      <c r="BD7" s="605"/>
      <c r="BE7" s="605"/>
      <c r="BF7" s="605"/>
      <c r="BG7" s="605"/>
      <c r="BH7" s="605"/>
      <c r="BI7" s="605"/>
      <c r="BJ7" s="605"/>
      <c r="BK7" s="605"/>
      <c r="BL7" s="605"/>
      <c r="BM7" s="605"/>
      <c r="BN7" s="605"/>
      <c r="BO7" s="605"/>
      <c r="BP7" s="605"/>
      <c r="BQ7" s="605"/>
      <c r="BR7" s="605"/>
      <c r="BS7" s="605"/>
      <c r="BT7" s="606"/>
    </row>
    <row r="8" spans="1:72" s="523" customFormat="1" ht="15.5" customHeight="1">
      <c r="A8" s="616" t="s">
        <v>327</v>
      </c>
      <c r="B8" s="617"/>
      <c r="C8" s="519"/>
      <c r="D8" s="520"/>
      <c r="E8" s="520"/>
      <c r="F8" s="520"/>
      <c r="G8" s="520"/>
      <c r="H8" s="520"/>
      <c r="I8" s="521"/>
      <c r="J8" s="618" t="s">
        <v>315</v>
      </c>
      <c r="K8" s="619"/>
      <c r="L8" s="619"/>
      <c r="M8" s="619"/>
      <c r="N8" s="619"/>
      <c r="O8" s="619"/>
      <c r="P8" s="620"/>
      <c r="Q8" s="621"/>
      <c r="R8" s="622"/>
      <c r="S8" s="622"/>
      <c r="T8" s="622"/>
      <c r="U8" s="622"/>
      <c r="V8" s="622"/>
      <c r="W8" s="622"/>
      <c r="X8" s="622"/>
      <c r="Y8" s="622"/>
      <c r="Z8" s="622"/>
      <c r="AA8" s="623"/>
      <c r="AB8" s="598" t="s">
        <v>337</v>
      </c>
      <c r="AC8" s="599"/>
      <c r="AD8" s="599"/>
      <c r="AE8" s="599"/>
      <c r="AF8" s="599"/>
      <c r="AG8" s="599"/>
      <c r="AH8" s="599"/>
      <c r="AI8" s="599"/>
      <c r="AJ8" s="599"/>
      <c r="AK8" s="600"/>
      <c r="AL8" s="604"/>
      <c r="AM8" s="605"/>
      <c r="AN8" s="605"/>
      <c r="AO8" s="605"/>
      <c r="AP8" s="605"/>
      <c r="AQ8" s="605"/>
      <c r="AR8" s="605"/>
      <c r="AS8" s="605"/>
      <c r="AT8" s="605"/>
      <c r="AU8" s="605"/>
      <c r="AV8" s="605"/>
      <c r="AW8" s="605"/>
      <c r="AX8" s="605"/>
      <c r="AY8" s="605"/>
      <c r="AZ8" s="605"/>
      <c r="BA8" s="605"/>
      <c r="BB8" s="605"/>
      <c r="BC8" s="605"/>
      <c r="BD8" s="605"/>
      <c r="BE8" s="605"/>
      <c r="BF8" s="605"/>
      <c r="BG8" s="605"/>
      <c r="BH8" s="605"/>
      <c r="BI8" s="605"/>
      <c r="BJ8" s="605"/>
      <c r="BK8" s="605"/>
      <c r="BL8" s="605"/>
      <c r="BM8" s="605"/>
      <c r="BN8" s="605"/>
      <c r="BO8" s="605"/>
      <c r="BP8" s="605"/>
      <c r="BQ8" s="605"/>
      <c r="BR8" s="605"/>
      <c r="BS8" s="605"/>
      <c r="BT8" s="606"/>
    </row>
    <row r="9" spans="1:72" ht="15.75" customHeight="1">
      <c r="A9" s="616" t="s">
        <v>328</v>
      </c>
      <c r="B9" s="617"/>
      <c r="C9" s="601"/>
      <c r="D9" s="602"/>
      <c r="E9" s="602"/>
      <c r="F9" s="602"/>
      <c r="G9" s="602"/>
      <c r="H9" s="602"/>
      <c r="I9" s="603"/>
      <c r="J9" s="638" t="s">
        <v>316</v>
      </c>
      <c r="K9" s="639"/>
      <c r="L9" s="639"/>
      <c r="M9" s="639"/>
      <c r="N9" s="639"/>
      <c r="O9" s="639"/>
      <c r="P9" s="640"/>
      <c r="Q9" s="621"/>
      <c r="R9" s="622"/>
      <c r="S9" s="622"/>
      <c r="T9" s="622"/>
      <c r="U9" s="622"/>
      <c r="V9" s="622"/>
      <c r="W9" s="622"/>
      <c r="X9" s="622"/>
      <c r="Y9" s="622"/>
      <c r="Z9" s="622"/>
      <c r="AA9" s="623"/>
      <c r="AB9" s="598" t="s">
        <v>338</v>
      </c>
      <c r="AC9" s="599"/>
      <c r="AD9" s="599"/>
      <c r="AE9" s="599"/>
      <c r="AF9" s="599"/>
      <c r="AG9" s="599"/>
      <c r="AH9" s="599"/>
      <c r="AI9" s="599"/>
      <c r="AJ9" s="599"/>
      <c r="AK9" s="600"/>
      <c r="AL9" s="604"/>
      <c r="AM9" s="605"/>
      <c r="AN9" s="605"/>
      <c r="AO9" s="605"/>
      <c r="AP9" s="605"/>
      <c r="AQ9" s="605"/>
      <c r="AR9" s="605"/>
      <c r="AS9" s="605"/>
      <c r="AT9" s="605"/>
      <c r="AU9" s="605"/>
      <c r="AV9" s="605"/>
      <c r="AW9" s="605"/>
      <c r="AX9" s="605"/>
      <c r="AY9" s="605"/>
      <c r="AZ9" s="605"/>
      <c r="BA9" s="605"/>
      <c r="BB9" s="605"/>
      <c r="BC9" s="605"/>
      <c r="BD9" s="605"/>
      <c r="BE9" s="605"/>
      <c r="BF9" s="605"/>
      <c r="BG9" s="605"/>
      <c r="BH9" s="605"/>
      <c r="BI9" s="605"/>
      <c r="BJ9" s="605"/>
      <c r="BK9" s="605"/>
      <c r="BL9" s="605"/>
      <c r="BM9" s="605"/>
      <c r="BN9" s="605"/>
      <c r="BO9" s="605"/>
      <c r="BP9" s="605"/>
      <c r="BQ9" s="605"/>
      <c r="BR9" s="605"/>
      <c r="BS9" s="605"/>
      <c r="BT9" s="606"/>
    </row>
    <row r="10" spans="1:72" ht="15.5" customHeight="1">
      <c r="A10" s="616" t="s">
        <v>329</v>
      </c>
      <c r="B10" s="617"/>
      <c r="C10" s="601"/>
      <c r="D10" s="602"/>
      <c r="E10" s="602"/>
      <c r="F10" s="602"/>
      <c r="G10" s="602"/>
      <c r="H10" s="602"/>
      <c r="I10" s="603"/>
      <c r="J10" s="638" t="s">
        <v>317</v>
      </c>
      <c r="K10" s="639"/>
      <c r="L10" s="639"/>
      <c r="M10" s="639"/>
      <c r="N10" s="639"/>
      <c r="O10" s="639"/>
      <c r="P10" s="640"/>
      <c r="Q10" s="621"/>
      <c r="R10" s="622"/>
      <c r="S10" s="622"/>
      <c r="T10" s="622"/>
      <c r="U10" s="622"/>
      <c r="V10" s="622"/>
      <c r="W10" s="622"/>
      <c r="X10" s="622"/>
      <c r="Y10" s="622"/>
      <c r="Z10" s="622"/>
      <c r="AA10" s="623"/>
      <c r="AB10" s="598" t="s">
        <v>339</v>
      </c>
      <c r="AC10" s="599"/>
      <c r="AD10" s="599"/>
      <c r="AE10" s="599"/>
      <c r="AF10" s="599"/>
      <c r="AG10" s="599"/>
      <c r="AH10" s="599"/>
      <c r="AI10" s="599"/>
      <c r="AJ10" s="599"/>
      <c r="AK10" s="600"/>
      <c r="AL10" s="604"/>
      <c r="AM10" s="605"/>
      <c r="AN10" s="605"/>
      <c r="AO10" s="605"/>
      <c r="AP10" s="605"/>
      <c r="AQ10" s="605"/>
      <c r="AR10" s="605"/>
      <c r="AS10" s="605"/>
      <c r="AT10" s="605"/>
      <c r="AU10" s="605"/>
      <c r="AV10" s="605"/>
      <c r="AW10" s="605"/>
      <c r="AX10" s="605"/>
      <c r="AY10" s="605"/>
      <c r="AZ10" s="605"/>
      <c r="BA10" s="605"/>
      <c r="BB10" s="605"/>
      <c r="BC10" s="605"/>
      <c r="BD10" s="605"/>
      <c r="BE10" s="605"/>
      <c r="BF10" s="605"/>
      <c r="BG10" s="605"/>
      <c r="BH10" s="605"/>
      <c r="BI10" s="605"/>
      <c r="BJ10" s="605"/>
      <c r="BK10" s="605"/>
      <c r="BL10" s="605"/>
      <c r="BM10" s="605"/>
      <c r="BN10" s="605"/>
      <c r="BO10" s="605"/>
      <c r="BP10" s="605"/>
      <c r="BQ10" s="605"/>
      <c r="BR10" s="605"/>
      <c r="BS10" s="605"/>
      <c r="BT10" s="606"/>
    </row>
    <row r="11" spans="1:72" ht="15.75" customHeight="1">
      <c r="A11" s="616" t="s">
        <v>330</v>
      </c>
      <c r="B11" s="617"/>
      <c r="C11" s="630"/>
      <c r="D11" s="631"/>
      <c r="E11" s="631"/>
      <c r="F11" s="631"/>
      <c r="G11" s="631"/>
      <c r="H11" s="631"/>
      <c r="I11" s="632"/>
      <c r="J11" s="627" t="s">
        <v>244</v>
      </c>
      <c r="K11" s="628"/>
      <c r="L11" s="628"/>
      <c r="M11" s="628"/>
      <c r="N11" s="628"/>
      <c r="O11" s="628"/>
      <c r="P11" s="629"/>
      <c r="Q11" s="621"/>
      <c r="R11" s="622"/>
      <c r="S11" s="622"/>
      <c r="T11" s="622"/>
      <c r="U11" s="622"/>
      <c r="V11" s="622"/>
      <c r="W11" s="622"/>
      <c r="X11" s="622"/>
      <c r="Y11" s="622"/>
      <c r="Z11" s="622"/>
      <c r="AA11" s="623"/>
      <c r="AB11" s="598" t="s">
        <v>340</v>
      </c>
      <c r="AC11" s="599"/>
      <c r="AD11" s="599"/>
      <c r="AE11" s="599"/>
      <c r="AF11" s="599"/>
      <c r="AG11" s="599"/>
      <c r="AH11" s="599"/>
      <c r="AI11" s="599"/>
      <c r="AJ11" s="599"/>
      <c r="AK11" s="600"/>
      <c r="AL11" s="604"/>
      <c r="AM11" s="605"/>
      <c r="AN11" s="605"/>
      <c r="AO11" s="605"/>
      <c r="AP11" s="605"/>
      <c r="AQ11" s="605"/>
      <c r="AR11" s="605"/>
      <c r="AS11" s="605"/>
      <c r="AT11" s="605"/>
      <c r="AU11" s="605"/>
      <c r="AV11" s="605"/>
      <c r="AW11" s="605"/>
      <c r="AX11" s="605"/>
      <c r="AY11" s="605"/>
      <c r="AZ11" s="605"/>
      <c r="BA11" s="605"/>
      <c r="BB11" s="605"/>
      <c r="BC11" s="605"/>
      <c r="BD11" s="605"/>
      <c r="BE11" s="605"/>
      <c r="BF11" s="605"/>
      <c r="BG11" s="605"/>
      <c r="BH11" s="605"/>
      <c r="BI11" s="605"/>
      <c r="BJ11" s="605"/>
      <c r="BK11" s="605"/>
      <c r="BL11" s="605"/>
      <c r="BM11" s="605"/>
      <c r="BN11" s="605"/>
      <c r="BO11" s="605"/>
      <c r="BP11" s="605"/>
      <c r="BQ11" s="605"/>
      <c r="BR11" s="605"/>
      <c r="BS11" s="605"/>
      <c r="BT11" s="606"/>
    </row>
    <row r="12" spans="1:72" ht="15.5" customHeight="1">
      <c r="A12" s="616" t="s">
        <v>331</v>
      </c>
      <c r="B12" s="617"/>
      <c r="C12" s="624"/>
      <c r="D12" s="625"/>
      <c r="E12" s="625"/>
      <c r="F12" s="625"/>
      <c r="G12" s="625"/>
      <c r="H12" s="625"/>
      <c r="I12" s="626"/>
      <c r="J12" s="627" t="s">
        <v>245</v>
      </c>
      <c r="K12" s="628"/>
      <c r="L12" s="628"/>
      <c r="M12" s="628"/>
      <c r="N12" s="628"/>
      <c r="O12" s="628"/>
      <c r="P12" s="629"/>
      <c r="Q12" s="621"/>
      <c r="R12" s="622"/>
      <c r="S12" s="622"/>
      <c r="T12" s="622"/>
      <c r="U12" s="622"/>
      <c r="V12" s="622"/>
      <c r="W12" s="622"/>
      <c r="X12" s="622"/>
      <c r="Y12" s="622"/>
      <c r="Z12" s="622"/>
      <c r="AA12" s="623"/>
      <c r="AB12" s="598" t="s">
        <v>341</v>
      </c>
      <c r="AC12" s="599"/>
      <c r="AD12" s="599"/>
      <c r="AE12" s="599"/>
      <c r="AF12" s="599"/>
      <c r="AG12" s="599"/>
      <c r="AH12" s="599"/>
      <c r="AI12" s="599"/>
      <c r="AJ12" s="599"/>
      <c r="AK12" s="600"/>
      <c r="AL12" s="604"/>
      <c r="AM12" s="605"/>
      <c r="AN12" s="605"/>
      <c r="AO12" s="605"/>
      <c r="AP12" s="605"/>
      <c r="AQ12" s="605"/>
      <c r="AR12" s="605"/>
      <c r="AS12" s="605"/>
      <c r="AT12" s="605"/>
      <c r="AU12" s="605"/>
      <c r="AV12" s="605"/>
      <c r="AW12" s="605"/>
      <c r="AX12" s="605"/>
      <c r="AY12" s="605"/>
      <c r="AZ12" s="605"/>
      <c r="BA12" s="605"/>
      <c r="BB12" s="605"/>
      <c r="BC12" s="605"/>
      <c r="BD12" s="605"/>
      <c r="BE12" s="605"/>
      <c r="BF12" s="605"/>
      <c r="BG12" s="605"/>
      <c r="BH12" s="605"/>
      <c r="BI12" s="605"/>
      <c r="BJ12" s="605"/>
      <c r="BK12" s="605"/>
      <c r="BL12" s="605"/>
      <c r="BM12" s="605"/>
      <c r="BN12" s="605"/>
      <c r="BO12" s="605"/>
      <c r="BP12" s="605"/>
      <c r="BQ12" s="605"/>
      <c r="BR12" s="605"/>
      <c r="BS12" s="605"/>
      <c r="BT12" s="606"/>
    </row>
    <row r="13" spans="1:72" ht="15.5" customHeight="1">
      <c r="A13" s="616" t="s">
        <v>332</v>
      </c>
      <c r="B13" s="617"/>
      <c r="C13" s="624"/>
      <c r="D13" s="625"/>
      <c r="E13" s="625"/>
      <c r="F13" s="625"/>
      <c r="G13" s="625"/>
      <c r="H13" s="625"/>
      <c r="I13" s="626"/>
      <c r="J13" s="627" t="s">
        <v>318</v>
      </c>
      <c r="K13" s="628"/>
      <c r="L13" s="628"/>
      <c r="M13" s="628"/>
      <c r="N13" s="628"/>
      <c r="O13" s="628"/>
      <c r="P13" s="629"/>
      <c r="Q13" s="621"/>
      <c r="R13" s="622"/>
      <c r="S13" s="622"/>
      <c r="T13" s="622"/>
      <c r="U13" s="622"/>
      <c r="V13" s="622"/>
      <c r="W13" s="622"/>
      <c r="X13" s="622"/>
      <c r="Y13" s="622"/>
      <c r="Z13" s="622"/>
      <c r="AA13" s="623"/>
      <c r="AB13" s="598"/>
      <c r="AC13" s="599"/>
      <c r="AD13" s="599"/>
      <c r="AE13" s="599"/>
      <c r="AF13" s="599"/>
      <c r="AG13" s="599"/>
      <c r="AH13" s="599"/>
      <c r="AI13" s="599"/>
      <c r="AJ13" s="599"/>
      <c r="AK13" s="600"/>
      <c r="AL13" s="604"/>
      <c r="AM13" s="605"/>
      <c r="AN13" s="605"/>
      <c r="AO13" s="605"/>
      <c r="AP13" s="605"/>
      <c r="AQ13" s="605"/>
      <c r="AR13" s="605"/>
      <c r="AS13" s="605"/>
      <c r="AT13" s="605"/>
      <c r="AU13" s="605"/>
      <c r="AV13" s="605"/>
      <c r="AW13" s="605"/>
      <c r="AX13" s="605"/>
      <c r="AY13" s="605"/>
      <c r="AZ13" s="605"/>
      <c r="BA13" s="605"/>
      <c r="BB13" s="605"/>
      <c r="BC13" s="605"/>
      <c r="BD13" s="605"/>
      <c r="BE13" s="605"/>
      <c r="BF13" s="605"/>
      <c r="BG13" s="605"/>
      <c r="BH13" s="605"/>
      <c r="BI13" s="605"/>
      <c r="BJ13" s="605"/>
      <c r="BK13" s="605"/>
      <c r="BL13" s="605"/>
      <c r="BM13" s="605"/>
      <c r="BN13" s="605"/>
      <c r="BO13" s="605"/>
      <c r="BP13" s="605"/>
      <c r="BQ13" s="605"/>
      <c r="BR13" s="605"/>
      <c r="BS13" s="605"/>
      <c r="BT13" s="606"/>
    </row>
    <row r="14" spans="1:72" ht="31" customHeight="1">
      <c r="A14" s="616" t="s">
        <v>311</v>
      </c>
      <c r="B14" s="617"/>
      <c r="C14" s="630" t="s">
        <v>302</v>
      </c>
      <c r="D14" s="631"/>
      <c r="E14" s="631"/>
      <c r="F14" s="631"/>
      <c r="G14" s="631"/>
      <c r="H14" s="631"/>
      <c r="I14" s="632"/>
      <c r="J14" s="633"/>
      <c r="K14" s="634"/>
      <c r="L14" s="634"/>
      <c r="M14" s="634"/>
      <c r="N14" s="634"/>
      <c r="O14" s="634"/>
      <c r="P14" s="635"/>
      <c r="Q14" s="621"/>
      <c r="R14" s="622"/>
      <c r="S14" s="622"/>
      <c r="T14" s="622"/>
      <c r="U14" s="622"/>
      <c r="V14" s="622"/>
      <c r="W14" s="622"/>
      <c r="X14" s="622"/>
      <c r="Y14" s="622"/>
      <c r="Z14" s="622"/>
      <c r="AA14" s="623"/>
      <c r="AB14" s="598"/>
      <c r="AC14" s="599"/>
      <c r="AD14" s="599"/>
      <c r="AE14" s="599"/>
      <c r="AF14" s="599"/>
      <c r="AG14" s="599"/>
      <c r="AH14" s="599"/>
      <c r="AI14" s="599"/>
      <c r="AJ14" s="599"/>
      <c r="AK14" s="600"/>
      <c r="AL14" s="636"/>
      <c r="AM14" s="622"/>
      <c r="AN14" s="622"/>
      <c r="AO14" s="622"/>
      <c r="AP14" s="622"/>
      <c r="AQ14" s="622"/>
      <c r="AR14" s="622"/>
      <c r="AS14" s="622"/>
      <c r="AT14" s="622"/>
      <c r="AU14" s="622"/>
      <c r="AV14" s="622"/>
      <c r="AW14" s="622"/>
      <c r="AX14" s="622"/>
      <c r="AY14" s="622"/>
      <c r="AZ14" s="622"/>
      <c r="BA14" s="622"/>
      <c r="BB14" s="622"/>
      <c r="BC14" s="622"/>
      <c r="BD14" s="622"/>
      <c r="BE14" s="622"/>
      <c r="BF14" s="622"/>
      <c r="BG14" s="622"/>
      <c r="BH14" s="622"/>
      <c r="BI14" s="622"/>
      <c r="BJ14" s="622"/>
      <c r="BK14" s="622"/>
      <c r="BL14" s="622"/>
      <c r="BM14" s="622"/>
      <c r="BN14" s="622"/>
      <c r="BO14" s="622"/>
      <c r="BP14" s="622"/>
      <c r="BQ14" s="622"/>
      <c r="BR14" s="622"/>
      <c r="BS14" s="622"/>
      <c r="BT14" s="637"/>
    </row>
    <row r="15" spans="1:72" s="523" customFormat="1" ht="15.5" customHeight="1">
      <c r="A15" s="616">
        <v>2.1</v>
      </c>
      <c r="B15" s="617"/>
      <c r="C15" s="519"/>
      <c r="D15" s="520"/>
      <c r="E15" s="520"/>
      <c r="F15" s="520"/>
      <c r="G15" s="520"/>
      <c r="H15" s="520"/>
      <c r="I15" s="521"/>
      <c r="J15" s="618" t="s">
        <v>304</v>
      </c>
      <c r="K15" s="619"/>
      <c r="L15" s="619"/>
      <c r="M15" s="619"/>
      <c r="N15" s="619"/>
      <c r="O15" s="619"/>
      <c r="P15" s="620"/>
      <c r="Q15" s="621"/>
      <c r="R15" s="622"/>
      <c r="S15" s="622"/>
      <c r="T15" s="622"/>
      <c r="U15" s="622"/>
      <c r="V15" s="622"/>
      <c r="W15" s="622"/>
      <c r="X15" s="622"/>
      <c r="Y15" s="622"/>
      <c r="Z15" s="622"/>
      <c r="AA15" s="623"/>
      <c r="AB15" s="598" t="s">
        <v>337</v>
      </c>
      <c r="AC15" s="599"/>
      <c r="AD15" s="599"/>
      <c r="AE15" s="599"/>
      <c r="AF15" s="599"/>
      <c r="AG15" s="599"/>
      <c r="AH15" s="599"/>
      <c r="AI15" s="599"/>
      <c r="AJ15" s="599"/>
      <c r="AK15" s="600"/>
      <c r="AL15" s="604"/>
      <c r="AM15" s="605"/>
      <c r="AN15" s="605"/>
      <c r="AO15" s="605"/>
      <c r="AP15" s="605"/>
      <c r="AQ15" s="605"/>
      <c r="AR15" s="605"/>
      <c r="AS15" s="605"/>
      <c r="AT15" s="605"/>
      <c r="AU15" s="605"/>
      <c r="AV15" s="605"/>
      <c r="AW15" s="605"/>
      <c r="AX15" s="605"/>
      <c r="AY15" s="605"/>
      <c r="AZ15" s="605"/>
      <c r="BA15" s="605"/>
      <c r="BB15" s="605"/>
      <c r="BC15" s="605"/>
      <c r="BD15" s="605"/>
      <c r="BE15" s="605"/>
      <c r="BF15" s="605"/>
      <c r="BG15" s="605"/>
      <c r="BH15" s="605"/>
      <c r="BI15" s="605"/>
      <c r="BJ15" s="605"/>
      <c r="BK15" s="605"/>
      <c r="BL15" s="605"/>
      <c r="BM15" s="605"/>
      <c r="BN15" s="605"/>
      <c r="BO15" s="605"/>
      <c r="BP15" s="605"/>
      <c r="BQ15" s="605"/>
      <c r="BR15" s="605"/>
      <c r="BS15" s="605"/>
      <c r="BT15" s="606"/>
    </row>
    <row r="16" spans="1:72" s="523" customFormat="1" ht="15.5" customHeight="1">
      <c r="A16" s="616">
        <v>2.2000000000000002</v>
      </c>
      <c r="B16" s="617"/>
      <c r="C16" s="519"/>
      <c r="D16" s="520"/>
      <c r="E16" s="520"/>
      <c r="F16" s="520"/>
      <c r="G16" s="520"/>
      <c r="H16" s="520"/>
      <c r="I16" s="521"/>
      <c r="J16" s="618" t="s">
        <v>309</v>
      </c>
      <c r="K16" s="619"/>
      <c r="L16" s="619"/>
      <c r="M16" s="619"/>
      <c r="N16" s="619"/>
      <c r="O16" s="619"/>
      <c r="P16" s="620"/>
      <c r="Q16" s="621"/>
      <c r="R16" s="622"/>
      <c r="S16" s="622"/>
      <c r="T16" s="622"/>
      <c r="U16" s="622"/>
      <c r="V16" s="622"/>
      <c r="W16" s="622"/>
      <c r="X16" s="622"/>
      <c r="Y16" s="622"/>
      <c r="Z16" s="622"/>
      <c r="AA16" s="623"/>
      <c r="AB16" s="598" t="s">
        <v>338</v>
      </c>
      <c r="AC16" s="599"/>
      <c r="AD16" s="599"/>
      <c r="AE16" s="599"/>
      <c r="AF16" s="599"/>
      <c r="AG16" s="599"/>
      <c r="AH16" s="599"/>
      <c r="AI16" s="599"/>
      <c r="AJ16" s="599"/>
      <c r="AK16" s="600"/>
      <c r="AL16" s="604"/>
      <c r="AM16" s="605"/>
      <c r="AN16" s="605"/>
      <c r="AO16" s="605"/>
      <c r="AP16" s="605"/>
      <c r="AQ16" s="605"/>
      <c r="AR16" s="605"/>
      <c r="AS16" s="605"/>
      <c r="AT16" s="605"/>
      <c r="AU16" s="605"/>
      <c r="AV16" s="605"/>
      <c r="AW16" s="605"/>
      <c r="AX16" s="605"/>
      <c r="AY16" s="605"/>
      <c r="AZ16" s="605"/>
      <c r="BA16" s="605"/>
      <c r="BB16" s="605"/>
      <c r="BC16" s="605"/>
      <c r="BD16" s="605"/>
      <c r="BE16" s="605"/>
      <c r="BF16" s="605"/>
      <c r="BG16" s="605"/>
      <c r="BH16" s="605"/>
      <c r="BI16" s="605"/>
      <c r="BJ16" s="605"/>
      <c r="BK16" s="605"/>
      <c r="BL16" s="605"/>
      <c r="BM16" s="605"/>
      <c r="BN16" s="605"/>
      <c r="BO16" s="605"/>
      <c r="BP16" s="605"/>
      <c r="BQ16" s="605"/>
      <c r="BR16" s="605"/>
      <c r="BS16" s="605"/>
      <c r="BT16" s="606"/>
    </row>
    <row r="17" spans="1:72" ht="15.75" customHeight="1">
      <c r="A17" s="616">
        <v>2.2999999999999998</v>
      </c>
      <c r="B17" s="617"/>
      <c r="C17" s="601"/>
      <c r="D17" s="602"/>
      <c r="E17" s="602"/>
      <c r="F17" s="602"/>
      <c r="G17" s="602"/>
      <c r="H17" s="602"/>
      <c r="I17" s="603"/>
      <c r="J17" s="638" t="s">
        <v>307</v>
      </c>
      <c r="K17" s="639"/>
      <c r="L17" s="639"/>
      <c r="M17" s="639"/>
      <c r="N17" s="639"/>
      <c r="O17" s="639"/>
      <c r="P17" s="640"/>
      <c r="Q17" s="621"/>
      <c r="R17" s="622"/>
      <c r="S17" s="622"/>
      <c r="T17" s="622"/>
      <c r="U17" s="622"/>
      <c r="V17" s="622"/>
      <c r="W17" s="622"/>
      <c r="X17" s="622"/>
      <c r="Y17" s="622"/>
      <c r="Z17" s="622"/>
      <c r="AA17" s="623"/>
      <c r="AB17" s="598" t="s">
        <v>339</v>
      </c>
      <c r="AC17" s="599"/>
      <c r="AD17" s="599"/>
      <c r="AE17" s="599"/>
      <c r="AF17" s="599"/>
      <c r="AG17" s="599"/>
      <c r="AH17" s="599"/>
      <c r="AI17" s="599"/>
      <c r="AJ17" s="599"/>
      <c r="AK17" s="600"/>
      <c r="AL17" s="604"/>
      <c r="AM17" s="605"/>
      <c r="AN17" s="605"/>
      <c r="AO17" s="605"/>
      <c r="AP17" s="605"/>
      <c r="AQ17" s="605"/>
      <c r="AR17" s="605"/>
      <c r="AS17" s="605"/>
      <c r="AT17" s="605"/>
      <c r="AU17" s="605"/>
      <c r="AV17" s="605"/>
      <c r="AW17" s="605"/>
      <c r="AX17" s="605"/>
      <c r="AY17" s="605"/>
      <c r="AZ17" s="605"/>
      <c r="BA17" s="605"/>
      <c r="BB17" s="605"/>
      <c r="BC17" s="605"/>
      <c r="BD17" s="605"/>
      <c r="BE17" s="605"/>
      <c r="BF17" s="605"/>
      <c r="BG17" s="605"/>
      <c r="BH17" s="605"/>
      <c r="BI17" s="605"/>
      <c r="BJ17" s="605"/>
      <c r="BK17" s="605"/>
      <c r="BL17" s="605"/>
      <c r="BM17" s="605"/>
      <c r="BN17" s="605"/>
      <c r="BO17" s="605"/>
      <c r="BP17" s="605"/>
      <c r="BQ17" s="605"/>
      <c r="BR17" s="605"/>
      <c r="BS17" s="605"/>
      <c r="BT17" s="606"/>
    </row>
    <row r="18" spans="1:72" ht="15.5" customHeight="1">
      <c r="A18" s="616">
        <v>2.4</v>
      </c>
      <c r="B18" s="617"/>
      <c r="C18" s="601"/>
      <c r="D18" s="602"/>
      <c r="E18" s="602"/>
      <c r="F18" s="602"/>
      <c r="G18" s="602"/>
      <c r="H18" s="602"/>
      <c r="I18" s="603"/>
      <c r="J18" s="638" t="s">
        <v>308</v>
      </c>
      <c r="K18" s="639"/>
      <c r="L18" s="639"/>
      <c r="M18" s="639"/>
      <c r="N18" s="639"/>
      <c r="O18" s="639"/>
      <c r="P18" s="640"/>
      <c r="Q18" s="621"/>
      <c r="R18" s="622"/>
      <c r="S18" s="622"/>
      <c r="T18" s="622"/>
      <c r="U18" s="622"/>
      <c r="V18" s="622"/>
      <c r="W18" s="622"/>
      <c r="X18" s="622"/>
      <c r="Y18" s="622"/>
      <c r="Z18" s="622"/>
      <c r="AA18" s="623"/>
      <c r="AB18" s="598" t="s">
        <v>340</v>
      </c>
      <c r="AC18" s="599"/>
      <c r="AD18" s="599"/>
      <c r="AE18" s="599"/>
      <c r="AF18" s="599"/>
      <c r="AG18" s="599"/>
      <c r="AH18" s="599"/>
      <c r="AI18" s="599"/>
      <c r="AJ18" s="599"/>
      <c r="AK18" s="600"/>
      <c r="AL18" s="604"/>
      <c r="AM18" s="605"/>
      <c r="AN18" s="605"/>
      <c r="AO18" s="605"/>
      <c r="AP18" s="605"/>
      <c r="AQ18" s="605"/>
      <c r="AR18" s="605"/>
      <c r="AS18" s="605"/>
      <c r="AT18" s="605"/>
      <c r="AU18" s="605"/>
      <c r="AV18" s="605"/>
      <c r="AW18" s="605"/>
      <c r="AX18" s="605"/>
      <c r="AY18" s="605"/>
      <c r="AZ18" s="605"/>
      <c r="BA18" s="605"/>
      <c r="BB18" s="605"/>
      <c r="BC18" s="605"/>
      <c r="BD18" s="605"/>
      <c r="BE18" s="605"/>
      <c r="BF18" s="605"/>
      <c r="BG18" s="605"/>
      <c r="BH18" s="605"/>
      <c r="BI18" s="605"/>
      <c r="BJ18" s="605"/>
      <c r="BK18" s="605"/>
      <c r="BL18" s="605"/>
      <c r="BM18" s="605"/>
      <c r="BN18" s="605"/>
      <c r="BO18" s="605"/>
      <c r="BP18" s="605"/>
      <c r="BQ18" s="605"/>
      <c r="BR18" s="605"/>
      <c r="BS18" s="605"/>
      <c r="BT18" s="606"/>
    </row>
    <row r="19" spans="1:72" ht="15.75" customHeight="1">
      <c r="A19" s="616">
        <v>2.5</v>
      </c>
      <c r="B19" s="617"/>
      <c r="C19" s="630"/>
      <c r="D19" s="631"/>
      <c r="E19" s="631"/>
      <c r="F19" s="631"/>
      <c r="G19" s="631"/>
      <c r="H19" s="631"/>
      <c r="I19" s="632"/>
      <c r="J19" s="627" t="s">
        <v>245</v>
      </c>
      <c r="K19" s="628"/>
      <c r="L19" s="628"/>
      <c r="M19" s="628"/>
      <c r="N19" s="628"/>
      <c r="O19" s="628"/>
      <c r="P19" s="629"/>
      <c r="Q19" s="621"/>
      <c r="R19" s="622"/>
      <c r="S19" s="622"/>
      <c r="T19" s="622"/>
      <c r="U19" s="622"/>
      <c r="V19" s="622"/>
      <c r="W19" s="622"/>
      <c r="X19" s="622"/>
      <c r="Y19" s="622"/>
      <c r="Z19" s="622"/>
      <c r="AA19" s="623"/>
      <c r="AB19" s="598" t="s">
        <v>341</v>
      </c>
      <c r="AC19" s="599"/>
      <c r="AD19" s="599"/>
      <c r="AE19" s="599"/>
      <c r="AF19" s="599"/>
      <c r="AG19" s="599"/>
      <c r="AH19" s="599"/>
      <c r="AI19" s="599"/>
      <c r="AJ19" s="599"/>
      <c r="AK19" s="600"/>
      <c r="AL19" s="604"/>
      <c r="AM19" s="605"/>
      <c r="AN19" s="605"/>
      <c r="AO19" s="605"/>
      <c r="AP19" s="605"/>
      <c r="AQ19" s="605"/>
      <c r="AR19" s="605"/>
      <c r="AS19" s="605"/>
      <c r="AT19" s="605"/>
      <c r="AU19" s="605"/>
      <c r="AV19" s="605"/>
      <c r="AW19" s="605"/>
      <c r="AX19" s="605"/>
      <c r="AY19" s="605"/>
      <c r="AZ19" s="605"/>
      <c r="BA19" s="605"/>
      <c r="BB19" s="605"/>
      <c r="BC19" s="605"/>
      <c r="BD19" s="605"/>
      <c r="BE19" s="605"/>
      <c r="BF19" s="605"/>
      <c r="BG19" s="605"/>
      <c r="BH19" s="605"/>
      <c r="BI19" s="605"/>
      <c r="BJ19" s="605"/>
      <c r="BK19" s="605"/>
      <c r="BL19" s="605"/>
      <c r="BM19" s="605"/>
      <c r="BN19" s="605"/>
      <c r="BO19" s="605"/>
      <c r="BP19" s="605"/>
      <c r="BQ19" s="605"/>
      <c r="BR19" s="605"/>
      <c r="BS19" s="605"/>
      <c r="BT19" s="606"/>
    </row>
    <row r="20" spans="1:72" ht="15.5" customHeight="1">
      <c r="A20" s="616">
        <v>2.6</v>
      </c>
      <c r="B20" s="617"/>
      <c r="C20" s="624"/>
      <c r="D20" s="625"/>
      <c r="E20" s="625"/>
      <c r="F20" s="625"/>
      <c r="G20" s="625"/>
      <c r="H20" s="625"/>
      <c r="I20" s="626"/>
      <c r="J20" s="627" t="s">
        <v>310</v>
      </c>
      <c r="K20" s="628"/>
      <c r="L20" s="628"/>
      <c r="M20" s="628"/>
      <c r="N20" s="628"/>
      <c r="O20" s="628"/>
      <c r="P20" s="629"/>
      <c r="Q20" s="621"/>
      <c r="R20" s="622"/>
      <c r="S20" s="622"/>
      <c r="T20" s="622"/>
      <c r="U20" s="622"/>
      <c r="V20" s="622"/>
      <c r="W20" s="622"/>
      <c r="X20" s="622"/>
      <c r="Y20" s="622"/>
      <c r="Z20" s="622"/>
      <c r="AA20" s="623"/>
      <c r="AB20" s="598" t="s">
        <v>342</v>
      </c>
      <c r="AC20" s="599"/>
      <c r="AD20" s="599"/>
      <c r="AE20" s="599"/>
      <c r="AF20" s="599"/>
      <c r="AG20" s="599"/>
      <c r="AH20" s="599"/>
      <c r="AI20" s="599"/>
      <c r="AJ20" s="599"/>
      <c r="AK20" s="600"/>
      <c r="AL20" s="604"/>
      <c r="AM20" s="605"/>
      <c r="AN20" s="605"/>
      <c r="AO20" s="605"/>
      <c r="AP20" s="605"/>
      <c r="AQ20" s="605"/>
      <c r="AR20" s="605"/>
      <c r="AS20" s="605"/>
      <c r="AT20" s="605"/>
      <c r="AU20" s="605"/>
      <c r="AV20" s="605"/>
      <c r="AW20" s="605"/>
      <c r="AX20" s="605"/>
      <c r="AY20" s="605"/>
      <c r="AZ20" s="605"/>
      <c r="BA20" s="605"/>
      <c r="BB20" s="605"/>
      <c r="BC20" s="605"/>
      <c r="BD20" s="605"/>
      <c r="BE20" s="605"/>
      <c r="BF20" s="605"/>
      <c r="BG20" s="605"/>
      <c r="BH20" s="605"/>
      <c r="BI20" s="605"/>
      <c r="BJ20" s="605"/>
      <c r="BK20" s="605"/>
      <c r="BL20" s="605"/>
      <c r="BM20" s="605"/>
      <c r="BN20" s="605"/>
      <c r="BO20" s="605"/>
      <c r="BP20" s="605"/>
      <c r="BQ20" s="605"/>
      <c r="BR20" s="605"/>
      <c r="BS20" s="605"/>
      <c r="BT20" s="606"/>
    </row>
    <row r="21" spans="1:72" ht="15.5" customHeight="1">
      <c r="A21" s="616">
        <v>2.7</v>
      </c>
      <c r="B21" s="617"/>
      <c r="C21" s="624"/>
      <c r="D21" s="625"/>
      <c r="E21" s="625"/>
      <c r="F21" s="625"/>
      <c r="G21" s="625"/>
      <c r="H21" s="625"/>
      <c r="I21" s="626"/>
      <c r="J21" s="627" t="s">
        <v>251</v>
      </c>
      <c r="K21" s="628"/>
      <c r="L21" s="628"/>
      <c r="M21" s="628"/>
      <c r="N21" s="628"/>
      <c r="O21" s="628"/>
      <c r="P21" s="629"/>
      <c r="Q21" s="621"/>
      <c r="R21" s="622"/>
      <c r="S21" s="622"/>
      <c r="T21" s="622"/>
      <c r="U21" s="622"/>
      <c r="V21" s="622"/>
      <c r="W21" s="622"/>
      <c r="X21" s="622"/>
      <c r="Y21" s="622"/>
      <c r="Z21" s="622"/>
      <c r="AA21" s="623"/>
      <c r="AB21" s="598" t="s">
        <v>343</v>
      </c>
      <c r="AC21" s="599"/>
      <c r="AD21" s="599"/>
      <c r="AE21" s="599"/>
      <c r="AF21" s="599"/>
      <c r="AG21" s="599"/>
      <c r="AH21" s="599"/>
      <c r="AI21" s="599"/>
      <c r="AJ21" s="599"/>
      <c r="AK21" s="600"/>
      <c r="AL21" s="604"/>
      <c r="AM21" s="605"/>
      <c r="AN21" s="605"/>
      <c r="AO21" s="605"/>
      <c r="AP21" s="605"/>
      <c r="AQ21" s="605"/>
      <c r="AR21" s="605"/>
      <c r="AS21" s="605"/>
      <c r="AT21" s="605"/>
      <c r="AU21" s="605"/>
      <c r="AV21" s="605"/>
      <c r="AW21" s="605"/>
      <c r="AX21" s="605"/>
      <c r="AY21" s="605"/>
      <c r="AZ21" s="605"/>
      <c r="BA21" s="605"/>
      <c r="BB21" s="605"/>
      <c r="BC21" s="605"/>
      <c r="BD21" s="605"/>
      <c r="BE21" s="605"/>
      <c r="BF21" s="605"/>
      <c r="BG21" s="605"/>
      <c r="BH21" s="605"/>
      <c r="BI21" s="605"/>
      <c r="BJ21" s="605"/>
      <c r="BK21" s="605"/>
      <c r="BL21" s="605"/>
      <c r="BM21" s="605"/>
      <c r="BN21" s="605"/>
      <c r="BO21" s="605"/>
      <c r="BP21" s="605"/>
      <c r="BQ21" s="605"/>
      <c r="BR21" s="605"/>
      <c r="BS21" s="605"/>
      <c r="BT21" s="606"/>
    </row>
    <row r="22" spans="1:72" s="523" customFormat="1" ht="25" customHeight="1">
      <c r="A22" s="616">
        <v>2.8</v>
      </c>
      <c r="B22" s="617"/>
      <c r="C22" s="519"/>
      <c r="D22" s="520"/>
      <c r="E22" s="520"/>
      <c r="F22" s="520"/>
      <c r="G22" s="520"/>
      <c r="H22" s="520"/>
      <c r="I22" s="521"/>
      <c r="J22" s="618" t="s">
        <v>301</v>
      </c>
      <c r="K22" s="619"/>
      <c r="L22" s="619"/>
      <c r="M22" s="619"/>
      <c r="N22" s="619"/>
      <c r="O22" s="619"/>
      <c r="P22" s="620"/>
      <c r="Q22" s="642"/>
      <c r="R22" s="643"/>
      <c r="S22" s="643"/>
      <c r="T22" s="643"/>
      <c r="U22" s="643"/>
      <c r="V22" s="643"/>
      <c r="W22" s="643"/>
      <c r="X22" s="643"/>
      <c r="Y22" s="643"/>
      <c r="Z22" s="643"/>
      <c r="AA22" s="522"/>
      <c r="AB22" s="598" t="s">
        <v>344</v>
      </c>
      <c r="AC22" s="599"/>
      <c r="AD22" s="599"/>
      <c r="AE22" s="599"/>
      <c r="AF22" s="599"/>
      <c r="AG22" s="599"/>
      <c r="AH22" s="599"/>
      <c r="AI22" s="599"/>
      <c r="AJ22" s="599"/>
      <c r="AK22" s="600"/>
      <c r="AL22" s="604"/>
      <c r="AM22" s="605"/>
      <c r="AN22" s="605"/>
      <c r="AO22" s="605"/>
      <c r="AP22" s="605"/>
      <c r="AQ22" s="605"/>
      <c r="AR22" s="605"/>
      <c r="AS22" s="605"/>
      <c r="AT22" s="605"/>
      <c r="AU22" s="605"/>
      <c r="AV22" s="605"/>
      <c r="AW22" s="605"/>
      <c r="AX22" s="605"/>
      <c r="AY22" s="605"/>
      <c r="AZ22" s="605"/>
      <c r="BA22" s="605"/>
      <c r="BB22" s="605"/>
      <c r="BC22" s="605"/>
      <c r="BD22" s="605"/>
      <c r="BE22" s="605"/>
      <c r="BF22" s="605"/>
      <c r="BG22" s="605"/>
      <c r="BH22" s="605"/>
      <c r="BI22" s="605"/>
      <c r="BJ22" s="605"/>
      <c r="BK22" s="605"/>
      <c r="BL22" s="605"/>
      <c r="BM22" s="605"/>
      <c r="BN22" s="605"/>
      <c r="BO22" s="605"/>
      <c r="BP22" s="605"/>
      <c r="BQ22" s="605"/>
      <c r="BR22" s="605"/>
      <c r="BS22" s="605"/>
      <c r="BT22" s="606"/>
    </row>
    <row r="23" spans="1:72" s="523" customFormat="1" ht="28" customHeight="1">
      <c r="A23" s="616">
        <v>2.9</v>
      </c>
      <c r="B23" s="617"/>
      <c r="C23" s="519"/>
      <c r="D23" s="520"/>
      <c r="E23" s="520"/>
      <c r="F23" s="520"/>
      <c r="G23" s="520"/>
      <c r="H23" s="520"/>
      <c r="I23" s="521"/>
      <c r="J23" s="618" t="s">
        <v>303</v>
      </c>
      <c r="K23" s="619"/>
      <c r="L23" s="619"/>
      <c r="M23" s="619"/>
      <c r="N23" s="619"/>
      <c r="O23" s="619"/>
      <c r="P23" s="620"/>
      <c r="Q23" s="642"/>
      <c r="R23" s="643"/>
      <c r="S23" s="643"/>
      <c r="T23" s="643"/>
      <c r="U23" s="643"/>
      <c r="V23" s="643"/>
      <c r="W23" s="643"/>
      <c r="X23" s="643"/>
      <c r="Y23" s="643"/>
      <c r="Z23" s="643"/>
      <c r="AA23" s="522"/>
      <c r="AB23" s="598" t="s">
        <v>345</v>
      </c>
      <c r="AC23" s="599"/>
      <c r="AD23" s="599"/>
      <c r="AE23" s="599"/>
      <c r="AF23" s="599"/>
      <c r="AG23" s="599"/>
      <c r="AH23" s="599"/>
      <c r="AI23" s="599"/>
      <c r="AJ23" s="599"/>
      <c r="AK23" s="600"/>
      <c r="AL23" s="604"/>
      <c r="AM23" s="605"/>
      <c r="AN23" s="605"/>
      <c r="AO23" s="605"/>
      <c r="AP23" s="605"/>
      <c r="AQ23" s="605"/>
      <c r="AR23" s="605"/>
      <c r="AS23" s="605"/>
      <c r="AT23" s="605"/>
      <c r="AU23" s="605"/>
      <c r="AV23" s="605"/>
      <c r="AW23" s="605"/>
      <c r="AX23" s="605"/>
      <c r="AY23" s="605"/>
      <c r="AZ23" s="605"/>
      <c r="BA23" s="605"/>
      <c r="BB23" s="605"/>
      <c r="BC23" s="605"/>
      <c r="BD23" s="605"/>
      <c r="BE23" s="605"/>
      <c r="BF23" s="605"/>
      <c r="BG23" s="605"/>
      <c r="BH23" s="605"/>
      <c r="BI23" s="605"/>
      <c r="BJ23" s="605"/>
      <c r="BK23" s="605"/>
      <c r="BL23" s="605"/>
      <c r="BM23" s="605"/>
      <c r="BN23" s="605"/>
      <c r="BO23" s="605"/>
      <c r="BP23" s="605"/>
      <c r="BQ23" s="605"/>
      <c r="BR23" s="605"/>
      <c r="BS23" s="605"/>
      <c r="BT23" s="606"/>
    </row>
    <row r="24" spans="1:72" ht="15.75" customHeight="1">
      <c r="A24" s="616" t="s">
        <v>333</v>
      </c>
      <c r="B24" s="617"/>
      <c r="C24" s="601"/>
      <c r="D24" s="602"/>
      <c r="E24" s="602"/>
      <c r="F24" s="602"/>
      <c r="G24" s="602"/>
      <c r="H24" s="602"/>
      <c r="I24" s="603"/>
      <c r="J24" s="641" t="s">
        <v>258</v>
      </c>
      <c r="K24" s="641"/>
      <c r="L24" s="641"/>
      <c r="M24" s="641"/>
      <c r="N24" s="641"/>
      <c r="O24" s="641"/>
      <c r="P24" s="641"/>
      <c r="Q24" s="621"/>
      <c r="R24" s="622"/>
      <c r="S24" s="622"/>
      <c r="T24" s="622"/>
      <c r="U24" s="622"/>
      <c r="V24" s="622"/>
      <c r="W24" s="622"/>
      <c r="X24" s="622"/>
      <c r="Y24" s="622"/>
      <c r="Z24" s="622"/>
      <c r="AA24" s="623"/>
      <c r="AB24" s="598" t="s">
        <v>346</v>
      </c>
      <c r="AC24" s="599"/>
      <c r="AD24" s="599"/>
      <c r="AE24" s="599"/>
      <c r="AF24" s="599"/>
      <c r="AG24" s="599"/>
      <c r="AH24" s="599"/>
      <c r="AI24" s="599"/>
      <c r="AJ24" s="599"/>
      <c r="AK24" s="600"/>
      <c r="AL24" s="604"/>
      <c r="AM24" s="605"/>
      <c r="AN24" s="605"/>
      <c r="AO24" s="605"/>
      <c r="AP24" s="605"/>
      <c r="AQ24" s="605"/>
      <c r="AR24" s="605"/>
      <c r="AS24" s="605"/>
      <c r="AT24" s="605"/>
      <c r="AU24" s="605"/>
      <c r="AV24" s="605"/>
      <c r="AW24" s="605"/>
      <c r="AX24" s="605"/>
      <c r="AY24" s="605"/>
      <c r="AZ24" s="605"/>
      <c r="BA24" s="605"/>
      <c r="BB24" s="605"/>
      <c r="BC24" s="605"/>
      <c r="BD24" s="605"/>
      <c r="BE24" s="605"/>
      <c r="BF24" s="605"/>
      <c r="BG24" s="605"/>
      <c r="BH24" s="605"/>
      <c r="BI24" s="605"/>
      <c r="BJ24" s="605"/>
      <c r="BK24" s="605"/>
      <c r="BL24" s="605"/>
      <c r="BM24" s="605"/>
      <c r="BN24" s="605"/>
      <c r="BO24" s="605"/>
      <c r="BP24" s="605"/>
      <c r="BQ24" s="605"/>
      <c r="BR24" s="605"/>
      <c r="BS24" s="605"/>
      <c r="BT24" s="606"/>
    </row>
    <row r="25" spans="1:72" ht="15.5" customHeight="1">
      <c r="A25" s="616">
        <v>2.11</v>
      </c>
      <c r="B25" s="617"/>
      <c r="C25" s="601"/>
      <c r="D25" s="602"/>
      <c r="E25" s="602"/>
      <c r="F25" s="602"/>
      <c r="G25" s="602"/>
      <c r="H25" s="602"/>
      <c r="I25" s="603"/>
      <c r="J25" s="641" t="s">
        <v>254</v>
      </c>
      <c r="K25" s="641"/>
      <c r="L25" s="641"/>
      <c r="M25" s="641"/>
      <c r="N25" s="641"/>
      <c r="O25" s="641"/>
      <c r="P25" s="641"/>
      <c r="Q25" s="621"/>
      <c r="R25" s="622"/>
      <c r="S25" s="622"/>
      <c r="T25" s="622"/>
      <c r="U25" s="622"/>
      <c r="V25" s="622"/>
      <c r="W25" s="622"/>
      <c r="X25" s="622"/>
      <c r="Y25" s="622"/>
      <c r="Z25" s="622"/>
      <c r="AA25" s="623"/>
      <c r="AB25" s="598" t="s">
        <v>347</v>
      </c>
      <c r="AC25" s="599"/>
      <c r="AD25" s="599"/>
      <c r="AE25" s="599"/>
      <c r="AF25" s="599"/>
      <c r="AG25" s="599"/>
      <c r="AH25" s="599"/>
      <c r="AI25" s="599"/>
      <c r="AJ25" s="599"/>
      <c r="AK25" s="600"/>
      <c r="AL25" s="604"/>
      <c r="AM25" s="605"/>
      <c r="AN25" s="605"/>
      <c r="AO25" s="605"/>
      <c r="AP25" s="605"/>
      <c r="AQ25" s="605"/>
      <c r="AR25" s="605"/>
      <c r="AS25" s="605"/>
      <c r="AT25" s="605"/>
      <c r="AU25" s="605"/>
      <c r="AV25" s="605"/>
      <c r="AW25" s="605"/>
      <c r="AX25" s="605"/>
      <c r="AY25" s="605"/>
      <c r="AZ25" s="605"/>
      <c r="BA25" s="605"/>
      <c r="BB25" s="605"/>
      <c r="BC25" s="605"/>
      <c r="BD25" s="605"/>
      <c r="BE25" s="605"/>
      <c r="BF25" s="605"/>
      <c r="BG25" s="605"/>
      <c r="BH25" s="605"/>
      <c r="BI25" s="605"/>
      <c r="BJ25" s="605"/>
      <c r="BK25" s="605"/>
      <c r="BL25" s="605"/>
      <c r="BM25" s="605"/>
      <c r="BN25" s="605"/>
      <c r="BO25" s="605"/>
      <c r="BP25" s="605"/>
      <c r="BQ25" s="605"/>
      <c r="BR25" s="605"/>
      <c r="BS25" s="605"/>
      <c r="BT25" s="606"/>
    </row>
    <row r="26" spans="1:72" ht="15.75" customHeight="1">
      <c r="A26" s="616">
        <v>2.12</v>
      </c>
      <c r="B26" s="617"/>
      <c r="C26" s="630"/>
      <c r="D26" s="631"/>
      <c r="E26" s="631"/>
      <c r="F26" s="631"/>
      <c r="G26" s="631"/>
      <c r="H26" s="631"/>
      <c r="I26" s="632"/>
      <c r="J26" s="627" t="s">
        <v>259</v>
      </c>
      <c r="K26" s="628"/>
      <c r="L26" s="628"/>
      <c r="M26" s="628"/>
      <c r="N26" s="628"/>
      <c r="O26" s="628"/>
      <c r="P26" s="629"/>
      <c r="Q26" s="644"/>
      <c r="R26" s="645"/>
      <c r="S26" s="645"/>
      <c r="T26" s="645"/>
      <c r="U26" s="645"/>
      <c r="V26" s="645"/>
      <c r="W26" s="645"/>
      <c r="X26" s="645"/>
      <c r="Y26" s="645"/>
      <c r="Z26" s="645"/>
      <c r="AA26" s="646"/>
      <c r="AB26" s="598" t="s">
        <v>348</v>
      </c>
      <c r="AC26" s="599"/>
      <c r="AD26" s="599"/>
      <c r="AE26" s="599"/>
      <c r="AF26" s="599"/>
      <c r="AG26" s="599"/>
      <c r="AH26" s="599"/>
      <c r="AI26" s="599"/>
      <c r="AJ26" s="599"/>
      <c r="AK26" s="600"/>
      <c r="AL26" s="604"/>
      <c r="AM26" s="605"/>
      <c r="AN26" s="605"/>
      <c r="AO26" s="605"/>
      <c r="AP26" s="605"/>
      <c r="AQ26" s="605"/>
      <c r="AR26" s="605"/>
      <c r="AS26" s="605"/>
      <c r="AT26" s="605"/>
      <c r="AU26" s="605"/>
      <c r="AV26" s="605"/>
      <c r="AW26" s="605"/>
      <c r="AX26" s="605"/>
      <c r="AY26" s="605"/>
      <c r="AZ26" s="605"/>
      <c r="BA26" s="605"/>
      <c r="BB26" s="605"/>
      <c r="BC26" s="605"/>
      <c r="BD26" s="605"/>
      <c r="BE26" s="605"/>
      <c r="BF26" s="605"/>
      <c r="BG26" s="605"/>
      <c r="BH26" s="605"/>
      <c r="BI26" s="605"/>
      <c r="BJ26" s="605"/>
      <c r="BK26" s="605"/>
      <c r="BL26" s="605"/>
      <c r="BM26" s="605"/>
      <c r="BN26" s="605"/>
      <c r="BO26" s="605"/>
      <c r="BP26" s="605"/>
      <c r="BQ26" s="605"/>
      <c r="BR26" s="605"/>
      <c r="BS26" s="605"/>
      <c r="BT26" s="606"/>
    </row>
    <row r="27" spans="1:72" ht="15.5" customHeight="1">
      <c r="A27" s="616">
        <v>2.13</v>
      </c>
      <c r="B27" s="617"/>
      <c r="C27" s="624"/>
      <c r="D27" s="625"/>
      <c r="E27" s="625"/>
      <c r="F27" s="625"/>
      <c r="G27" s="625"/>
      <c r="H27" s="625"/>
      <c r="I27" s="626"/>
      <c r="J27" s="627" t="s">
        <v>256</v>
      </c>
      <c r="K27" s="628"/>
      <c r="L27" s="628"/>
      <c r="M27" s="628"/>
      <c r="N27" s="628"/>
      <c r="O27" s="628"/>
      <c r="P27" s="629"/>
      <c r="Q27" s="621"/>
      <c r="R27" s="622"/>
      <c r="S27" s="622"/>
      <c r="T27" s="622"/>
      <c r="U27" s="622"/>
      <c r="V27" s="622"/>
      <c r="W27" s="622"/>
      <c r="X27" s="622"/>
      <c r="Y27" s="622"/>
      <c r="Z27" s="622"/>
      <c r="AA27" s="623"/>
      <c r="AB27" s="598" t="s">
        <v>349</v>
      </c>
      <c r="AC27" s="599"/>
      <c r="AD27" s="599"/>
      <c r="AE27" s="599"/>
      <c r="AF27" s="599"/>
      <c r="AG27" s="599"/>
      <c r="AH27" s="599"/>
      <c r="AI27" s="599"/>
      <c r="AJ27" s="599"/>
      <c r="AK27" s="600"/>
      <c r="AL27" s="604"/>
      <c r="AM27" s="605"/>
      <c r="AN27" s="605"/>
      <c r="AO27" s="605"/>
      <c r="AP27" s="605"/>
      <c r="AQ27" s="605"/>
      <c r="AR27" s="605"/>
      <c r="AS27" s="605"/>
      <c r="AT27" s="605"/>
      <c r="AU27" s="605"/>
      <c r="AV27" s="605"/>
      <c r="AW27" s="605"/>
      <c r="AX27" s="605"/>
      <c r="AY27" s="605"/>
      <c r="AZ27" s="605"/>
      <c r="BA27" s="605"/>
      <c r="BB27" s="605"/>
      <c r="BC27" s="605"/>
      <c r="BD27" s="605"/>
      <c r="BE27" s="605"/>
      <c r="BF27" s="605"/>
      <c r="BG27" s="605"/>
      <c r="BH27" s="605"/>
      <c r="BI27" s="605"/>
      <c r="BJ27" s="605"/>
      <c r="BK27" s="605"/>
      <c r="BL27" s="605"/>
      <c r="BM27" s="605"/>
      <c r="BN27" s="605"/>
      <c r="BO27" s="605"/>
      <c r="BP27" s="605"/>
      <c r="BQ27" s="605"/>
      <c r="BR27" s="605"/>
      <c r="BS27" s="605"/>
      <c r="BT27" s="606"/>
    </row>
    <row r="28" spans="1:72" ht="23" customHeight="1">
      <c r="A28" s="616">
        <v>2.14</v>
      </c>
      <c r="B28" s="617"/>
      <c r="C28" s="624"/>
      <c r="D28" s="625"/>
      <c r="E28" s="625"/>
      <c r="F28" s="625"/>
      <c r="G28" s="625"/>
      <c r="H28" s="625"/>
      <c r="I28" s="626"/>
      <c r="J28" s="627" t="s">
        <v>306</v>
      </c>
      <c r="K28" s="628"/>
      <c r="L28" s="628"/>
      <c r="M28" s="628"/>
      <c r="N28" s="628"/>
      <c r="O28" s="628"/>
      <c r="P28" s="629"/>
      <c r="Q28" s="621"/>
      <c r="R28" s="622"/>
      <c r="S28" s="622"/>
      <c r="T28" s="622"/>
      <c r="U28" s="622"/>
      <c r="V28" s="622"/>
      <c r="W28" s="622"/>
      <c r="X28" s="622"/>
      <c r="Y28" s="622"/>
      <c r="Z28" s="622"/>
      <c r="AA28" s="623"/>
      <c r="AB28" s="598" t="s">
        <v>350</v>
      </c>
      <c r="AC28" s="599"/>
      <c r="AD28" s="599"/>
      <c r="AE28" s="599"/>
      <c r="AF28" s="599"/>
      <c r="AG28" s="599"/>
      <c r="AH28" s="599"/>
      <c r="AI28" s="599"/>
      <c r="AJ28" s="599"/>
      <c r="AK28" s="600"/>
      <c r="AL28" s="604"/>
      <c r="AM28" s="605"/>
      <c r="AN28" s="605"/>
      <c r="AO28" s="605"/>
      <c r="AP28" s="605"/>
      <c r="AQ28" s="605"/>
      <c r="AR28" s="605"/>
      <c r="AS28" s="605"/>
      <c r="AT28" s="605"/>
      <c r="AU28" s="605"/>
      <c r="AV28" s="605"/>
      <c r="AW28" s="605"/>
      <c r="AX28" s="605"/>
      <c r="AY28" s="605"/>
      <c r="AZ28" s="605"/>
      <c r="BA28" s="605"/>
      <c r="BB28" s="605"/>
      <c r="BC28" s="605"/>
      <c r="BD28" s="605"/>
      <c r="BE28" s="605"/>
      <c r="BF28" s="605"/>
      <c r="BG28" s="605"/>
      <c r="BH28" s="605"/>
      <c r="BI28" s="605"/>
      <c r="BJ28" s="605"/>
      <c r="BK28" s="605"/>
      <c r="BL28" s="605"/>
      <c r="BM28" s="605"/>
      <c r="BN28" s="605"/>
      <c r="BO28" s="605"/>
      <c r="BP28" s="605"/>
      <c r="BQ28" s="605"/>
      <c r="BR28" s="605"/>
      <c r="BS28" s="605"/>
      <c r="BT28" s="606"/>
    </row>
    <row r="29" spans="1:72">
      <c r="A29" s="616"/>
      <c r="B29" s="617"/>
      <c r="C29" s="624"/>
      <c r="D29" s="625"/>
      <c r="E29" s="625"/>
      <c r="F29" s="625"/>
      <c r="G29" s="625"/>
      <c r="H29" s="625"/>
      <c r="I29" s="626"/>
      <c r="J29" s="633"/>
      <c r="K29" s="634"/>
      <c r="L29" s="634"/>
      <c r="M29" s="634"/>
      <c r="N29" s="634"/>
      <c r="O29" s="634"/>
      <c r="P29" s="635"/>
      <c r="Q29" s="621"/>
      <c r="R29" s="622"/>
      <c r="S29" s="622"/>
      <c r="T29" s="622"/>
      <c r="U29" s="622"/>
      <c r="V29" s="622"/>
      <c r="W29" s="622"/>
      <c r="X29" s="622"/>
      <c r="Y29" s="622"/>
      <c r="Z29" s="622"/>
      <c r="AA29" s="623"/>
      <c r="AB29" s="598"/>
      <c r="AC29" s="599"/>
      <c r="AD29" s="599"/>
      <c r="AE29" s="599"/>
      <c r="AF29" s="599"/>
      <c r="AG29" s="599"/>
      <c r="AH29" s="599"/>
      <c r="AI29" s="599"/>
      <c r="AJ29" s="599"/>
      <c r="AK29" s="600"/>
      <c r="AL29" s="636"/>
      <c r="AM29" s="622"/>
      <c r="AN29" s="622"/>
      <c r="AO29" s="622"/>
      <c r="AP29" s="622"/>
      <c r="AQ29" s="622"/>
      <c r="AR29" s="622"/>
      <c r="AS29" s="622"/>
      <c r="AT29" s="622"/>
      <c r="AU29" s="622"/>
      <c r="AV29" s="622"/>
      <c r="AW29" s="622"/>
      <c r="AX29" s="622"/>
      <c r="AY29" s="622"/>
      <c r="AZ29" s="622"/>
      <c r="BA29" s="622"/>
      <c r="BB29" s="622"/>
      <c r="BC29" s="622"/>
      <c r="BD29" s="622"/>
      <c r="BE29" s="622"/>
      <c r="BF29" s="622"/>
      <c r="BG29" s="622"/>
      <c r="BH29" s="622"/>
      <c r="BI29" s="622"/>
      <c r="BJ29" s="622"/>
      <c r="BK29" s="622"/>
      <c r="BL29" s="622"/>
      <c r="BM29" s="622"/>
      <c r="BN29" s="622"/>
      <c r="BO29" s="622"/>
      <c r="BP29" s="622"/>
      <c r="BQ29" s="622"/>
      <c r="BR29" s="622"/>
      <c r="BS29" s="622"/>
      <c r="BT29" s="637"/>
    </row>
    <row r="30" spans="1:72">
      <c r="A30" s="457"/>
      <c r="B30" s="457"/>
      <c r="C30" s="457"/>
      <c r="D30" s="457"/>
      <c r="E30" s="457"/>
      <c r="F30" s="457"/>
      <c r="G30" s="457"/>
      <c r="H30" s="457"/>
      <c r="I30" s="457"/>
      <c r="J30" s="457"/>
      <c r="K30" s="457"/>
      <c r="L30" s="457"/>
      <c r="M30" s="457"/>
      <c r="N30" s="457"/>
      <c r="O30" s="457"/>
      <c r="P30" s="457"/>
      <c r="Q30" s="457"/>
      <c r="R30" s="457"/>
      <c r="S30" s="457"/>
      <c r="T30" s="457"/>
      <c r="U30" s="457"/>
      <c r="V30" s="457"/>
      <c r="W30" s="457"/>
      <c r="X30" s="457"/>
      <c r="Y30" s="457"/>
      <c r="Z30" s="457"/>
      <c r="AA30" s="457"/>
      <c r="AL30" s="457"/>
      <c r="AM30" s="457"/>
      <c r="AN30" s="457"/>
      <c r="AO30" s="457"/>
      <c r="AP30" s="457"/>
      <c r="AQ30" s="457"/>
      <c r="AR30" s="457"/>
      <c r="AS30" s="457"/>
      <c r="AT30" s="457"/>
      <c r="AU30" s="457"/>
      <c r="AV30" s="457"/>
      <c r="AW30" s="457"/>
      <c r="AX30" s="457"/>
      <c r="AY30" s="457"/>
      <c r="AZ30" s="457"/>
      <c r="BA30" s="457"/>
      <c r="BB30" s="457"/>
      <c r="BC30" s="457"/>
      <c r="BD30" s="457"/>
      <c r="BE30" s="457"/>
      <c r="BF30" s="457"/>
      <c r="BG30" s="457"/>
      <c r="BH30" s="457"/>
      <c r="BI30" s="457"/>
      <c r="BJ30" s="457"/>
      <c r="BK30" s="457"/>
      <c r="BL30" s="457"/>
      <c r="BM30" s="457"/>
      <c r="BN30" s="457"/>
      <c r="BO30" s="457"/>
      <c r="BP30" s="457"/>
      <c r="BQ30" s="457"/>
      <c r="BR30" s="457"/>
      <c r="BS30" s="457"/>
      <c r="BT30" s="457"/>
    </row>
  </sheetData>
  <mergeCells count="153">
    <mergeCell ref="A1:I1"/>
    <mergeCell ref="A2:P2"/>
    <mergeCell ref="Q2:BT2"/>
    <mergeCell ref="A3:B4"/>
    <mergeCell ref="C3:P3"/>
    <mergeCell ref="Q14:AA14"/>
    <mergeCell ref="AL14:BT14"/>
    <mergeCell ref="A14:B14"/>
    <mergeCell ref="C14:I14"/>
    <mergeCell ref="J14:P14"/>
    <mergeCell ref="AB14:AK14"/>
    <mergeCell ref="C4:I4"/>
    <mergeCell ref="J4:P4"/>
    <mergeCell ref="Q3:AA4"/>
    <mergeCell ref="AL3:BT4"/>
    <mergeCell ref="AL10:BT10"/>
    <mergeCell ref="A9:B9"/>
    <mergeCell ref="C9:I9"/>
    <mergeCell ref="J9:P9"/>
    <mergeCell ref="Q7:AA7"/>
    <mergeCell ref="AL7:BT7"/>
    <mergeCell ref="A8:B8"/>
    <mergeCell ref="J8:P8"/>
    <mergeCell ref="Q8:AA8"/>
    <mergeCell ref="Q25:AA25"/>
    <mergeCell ref="AL25:BT25"/>
    <mergeCell ref="A25:B25"/>
    <mergeCell ref="C25:I25"/>
    <mergeCell ref="J25:P25"/>
    <mergeCell ref="AB25:AK25"/>
    <mergeCell ref="Q15:AA15"/>
    <mergeCell ref="AL15:BT15"/>
    <mergeCell ref="A15:B15"/>
    <mergeCell ref="J15:P15"/>
    <mergeCell ref="AB15:AK15"/>
    <mergeCell ref="AL23:BT23"/>
    <mergeCell ref="Q18:AA18"/>
    <mergeCell ref="AL18:BT18"/>
    <mergeCell ref="Q24:AA24"/>
    <mergeCell ref="AL24:BT24"/>
    <mergeCell ref="A16:B16"/>
    <mergeCell ref="J16:P16"/>
    <mergeCell ref="AL16:BT16"/>
    <mergeCell ref="A17:B17"/>
    <mergeCell ref="C17:I17"/>
    <mergeCell ref="J17:P17"/>
    <mergeCell ref="Q17:AA17"/>
    <mergeCell ref="AL29:BT29"/>
    <mergeCell ref="Q29:AA29"/>
    <mergeCell ref="A29:B29"/>
    <mergeCell ref="C29:I29"/>
    <mergeCell ref="J29:P29"/>
    <mergeCell ref="AB29:AK29"/>
    <mergeCell ref="Q28:AA28"/>
    <mergeCell ref="AL28:BT28"/>
    <mergeCell ref="A28:B28"/>
    <mergeCell ref="C28:I28"/>
    <mergeCell ref="J28:P28"/>
    <mergeCell ref="AB28:AK28"/>
    <mergeCell ref="AL27:BT27"/>
    <mergeCell ref="Q27:AA27"/>
    <mergeCell ref="A27:B27"/>
    <mergeCell ref="C27:I27"/>
    <mergeCell ref="J27:P27"/>
    <mergeCell ref="AB27:AK27"/>
    <mergeCell ref="Q26:AA26"/>
    <mergeCell ref="AL26:BT26"/>
    <mergeCell ref="A26:B26"/>
    <mergeCell ref="C26:I26"/>
    <mergeCell ref="J26:P26"/>
    <mergeCell ref="AB26:AK26"/>
    <mergeCell ref="AL17:BT17"/>
    <mergeCell ref="A18:B18"/>
    <mergeCell ref="C18:I18"/>
    <mergeCell ref="A24:B24"/>
    <mergeCell ref="C24:I24"/>
    <mergeCell ref="J24:P24"/>
    <mergeCell ref="A22:B22"/>
    <mergeCell ref="J22:P22"/>
    <mergeCell ref="Q22:Z22"/>
    <mergeCell ref="AL22:BT22"/>
    <mergeCell ref="A23:B23"/>
    <mergeCell ref="J23:P23"/>
    <mergeCell ref="Q23:Z23"/>
    <mergeCell ref="Q21:AA21"/>
    <mergeCell ref="AL21:BT21"/>
    <mergeCell ref="AB24:AK24"/>
    <mergeCell ref="Q16:AA16"/>
    <mergeCell ref="A5:B5"/>
    <mergeCell ref="C5:I5"/>
    <mergeCell ref="J5:P5"/>
    <mergeCell ref="Q5:AA5"/>
    <mergeCell ref="AL5:BT5"/>
    <mergeCell ref="A7:B7"/>
    <mergeCell ref="J7:P7"/>
    <mergeCell ref="A21:B21"/>
    <mergeCell ref="C21:I21"/>
    <mergeCell ref="J21:P21"/>
    <mergeCell ref="Q19:AA19"/>
    <mergeCell ref="AL19:BT19"/>
    <mergeCell ref="A20:B20"/>
    <mergeCell ref="C20:I20"/>
    <mergeCell ref="J20:P20"/>
    <mergeCell ref="Q20:AA20"/>
    <mergeCell ref="AL20:BT20"/>
    <mergeCell ref="A19:B19"/>
    <mergeCell ref="C19:I19"/>
    <mergeCell ref="J19:P19"/>
    <mergeCell ref="J18:P18"/>
    <mergeCell ref="J10:P10"/>
    <mergeCell ref="Q10:AA10"/>
    <mergeCell ref="A6:B6"/>
    <mergeCell ref="J6:P6"/>
    <mergeCell ref="Q6:AA6"/>
    <mergeCell ref="Q13:AA13"/>
    <mergeCell ref="AL13:BT13"/>
    <mergeCell ref="A13:B13"/>
    <mergeCell ref="C13:I13"/>
    <mergeCell ref="J13:P13"/>
    <mergeCell ref="AB13:AK13"/>
    <mergeCell ref="Q11:AA11"/>
    <mergeCell ref="AL11:BT11"/>
    <mergeCell ref="A12:B12"/>
    <mergeCell ref="C12:I12"/>
    <mergeCell ref="J12:P12"/>
    <mergeCell ref="Q12:AA12"/>
    <mergeCell ref="AL12:BT12"/>
    <mergeCell ref="A11:B11"/>
    <mergeCell ref="C11:I11"/>
    <mergeCell ref="J11:P11"/>
    <mergeCell ref="AB12:AK12"/>
    <mergeCell ref="Q9:AA9"/>
    <mergeCell ref="AL9:BT9"/>
    <mergeCell ref="A10:B10"/>
    <mergeCell ref="C10:I10"/>
    <mergeCell ref="AL6:BT6"/>
    <mergeCell ref="AB3:AK4"/>
    <mergeCell ref="AB5:AK5"/>
    <mergeCell ref="AB6:AK6"/>
    <mergeCell ref="AB7:AK7"/>
    <mergeCell ref="AB8:AK8"/>
    <mergeCell ref="AB9:AK9"/>
    <mergeCell ref="AB10:AK10"/>
    <mergeCell ref="AL8:BT8"/>
    <mergeCell ref="AB11:AK11"/>
    <mergeCell ref="AB16:AK16"/>
    <mergeCell ref="AB17:AK17"/>
    <mergeCell ref="AB18:AK18"/>
    <mergeCell ref="AB19:AK19"/>
    <mergeCell ref="AB20:AK20"/>
    <mergeCell ref="AB21:AK21"/>
    <mergeCell ref="AB22:AK22"/>
    <mergeCell ref="AB23:AK23"/>
  </mergeCells>
  <phoneticPr fontId="55"/>
  <conditionalFormatting sqref="Q5:Q29">
    <cfRule type="expression" dxfId="8" priority="9" stopIfTrue="1">
      <formula>FIND("○",#REF!)</formula>
    </cfRule>
  </conditionalFormatting>
  <conditionalFormatting sqref="AB5:AB29">
    <cfRule type="expression" dxfId="7" priority="1" stopIfTrue="1">
      <formula>FIND("○",#REF!)</formula>
    </cfRule>
  </conditionalFormatting>
  <conditionalFormatting sqref="AL5:AL29">
    <cfRule type="expression" dxfId="6" priority="19" stopIfTrue="1">
      <formula>FIND("○",#REF!)</formula>
    </cfRule>
  </conditionalFormatting>
  <dataValidations count="5">
    <dataValidation type="list" allowBlank="1" showInputMessage="1" showErrorMessage="1" sqref="WKE6:WKF8 WUA6:WUB8 HO6:HP8 RK6:RL8 ABG6:ABH8 ALC6:ALD8 AUY6:AUZ8 BEU6:BEV8 BOQ6:BOR8 BYM6:BYN8 CII6:CIJ8 CSE6:CSF8 DCA6:DCB8 DLW6:DLX8 DVS6:DVT8 EFO6:EFP8 EPK6:EPL8 EZG6:EZH8 FJC6:FJD8 FSY6:FSZ8 GCU6:GCV8 GMQ6:GMR8 GWM6:GWN8 HGI6:HGJ8 HQE6:HQF8 IAA6:IAB8 IJW6:IJX8 ITS6:ITT8 JDO6:JDP8 JNK6:JNL8 JXG6:JXH8 KHC6:KHD8 KQY6:KQZ8 LAU6:LAV8 LKQ6:LKR8 LUM6:LUN8 MEI6:MEJ8 MOE6:MOF8 MYA6:MYB8 NHW6:NHX8 NRS6:NRT8 OBO6:OBP8 OLK6:OLL8 OVG6:OVH8 PFC6:PFD8 POY6:POZ8 PYU6:PYV8 QIQ6:QIR8 QSM6:QSN8 RCI6:RCJ8 RME6:RMF8 RWA6:RWB8 SFW6:SFX8 SPS6:SPT8 SZO6:SZP8 TJK6:TJL8 TTG6:TTH8 UDC6:UDD8 UMY6:UMZ8 UWU6:UWV8 VGQ6:VGR8 VQM6:VQN8 WAI6:WAJ8 WUA22:WUB23 HO22:HP23 RK22:RL23 ABG22:ABH23 ALC22:ALD23 AUY22:AUZ23 BEU22:BEV23 BOQ22:BOR23 BYM22:BYN23 CII22:CIJ23 CSE22:CSF23 DCA22:DCB23 DLW22:DLX23 DVS22:DVT23 EFO22:EFP23 EPK22:EPL23 EZG22:EZH23 FJC22:FJD23 FSY22:FSZ23 GCU22:GCV23 GMQ22:GMR23 GWM22:GWN23 HGI22:HGJ23 HQE22:HQF23 IAA22:IAB23 IJW22:IJX23 ITS22:ITT23 JDO22:JDP23 JNK22:JNL23 JXG22:JXH23 KHC22:KHD23 KQY22:KQZ23 LAU22:LAV23 LKQ22:LKR23 LUM22:LUN23 MEI22:MEJ23 MOE22:MOF23 MYA22:MYB23 NHW22:NHX23 NRS22:NRT23 OBO22:OBP23 OLK22:OLL23 OVG22:OVH23 PFC22:PFD23 POY22:POZ23 PYU22:PYV23 QIQ22:QIR23 QSM22:QSN23 RCI22:RCJ23 RME22:RMF23 RWA22:RWB23 SFW22:SFX23 SPS22:SPT23 SZO22:SZP23 TJK22:TJL23 TTG22:TTH23 UDC22:UDD23 UMY22:UMZ23 UWU22:UWV23 VGQ22:VGR23 VQM22:VQN23 WAI22:WAJ23 WKE15:WKF16 WUA15:WUB16 HO15:HP16 RK15:RL16 ABG15:ABH16 ALC15:ALD16 AUY15:AUZ16 BEU15:BEV16 BOQ15:BOR16 BYM15:BYN16 CII15:CIJ16 CSE15:CSF16 DCA15:DCB16 DLW15:DLX16 DVS15:DVT16 EFO15:EFP16 EPK15:EPL16 EZG15:EZH16 FJC15:FJD16 FSY15:FSZ16 GCU15:GCV16 GMQ15:GMR16 GWM15:GWN16 HGI15:HGJ16 HQE15:HQF16 IAA15:IAB16 IJW15:IJX16 ITS15:ITT16 JDO15:JDP16 JNK15:JNL16 JXG15:JXH16 KHC15:KHD16 KQY15:KQZ16 LAU15:LAV16 LKQ15:LKR16 LUM15:LUN16 MEI15:MEJ16 MOE15:MOF16 MYA15:MYB16 NHW15:NHX16 NRS15:NRT16 OBO15:OBP16 OLK15:OLL16 OVG15:OVH16 PFC15:PFD16 POY15:POZ16 PYU15:PYV16 QIQ15:QIR16 QSM15:QSN16 RCI15:RCJ16 RME15:RMF16 RWA15:RWB16 SFW15:SFX16 SPS15:SPT16 SZO15:SZP16 TJK15:TJL16 TTG15:TTH16 UDC15:UDD16 UMY15:UMZ16 UWU15:UWV16 VGQ15:VGR16 VQM15:VQN16 WAI15:WAJ16 WKE22:WKF23 VQB5:VQN5 VGF5:VGR5 UWJ5:UWV5 UMN5:UMZ5 UCR5:UDD5 TSV5:TTH5 TIZ5:TJL5 SZD5:SZP5 SPH5:SPT5 SFL5:SFX5 RVP5:RWB5 RLT5:RMF5 RBX5:RCJ5 QSB5:QSN5 QIF5:QIR5 PYJ5:PYV5 PON5:POZ5 PER5:PFD5 OUV5:OVH5 OKZ5:OLL5 OBD5:OBP5 NRH5:NRT5 NHL5:NHX5 MXP5:MYB5 MNT5:MOF5 MDX5:MEJ5 LUB5:LUN5 LKF5:LKR5 LAJ5:LAV5 KQN5:KQZ5 KGR5:KHD5 JWV5:JXH5 JMZ5:JNL5 JDD5:JDP5 ITH5:ITT5 IJL5:IJX5 HZP5:IAB5 HPT5:HQF5 HFX5:HGJ5 GWB5:GWN5 GMF5:GMR5 GCJ5:GCV5 FSN5:FSZ5 FIR5:FJD5 EYV5:EZH5 EOZ5:EPL5 EFD5:EFP5 DVH5:DVT5 DLL5:DLX5 DBP5:DCB5 CRT5:CSF5 CHX5:CIJ5 BYB5:BYN5 BOF5:BOR5 BEJ5:BEV5 AUN5:AUZ5 AKR5:ALD5 AAV5:ABH5 QZ5:RL5 HD5:HP5 WTP5:WUB5 WJT5:WKF5 WTP17:WUB21 VZX983002:WAL983039 VQB983002:VQP983039 VGF983002:VGT983039 UWJ983002:UWX983039 UMN983002:UNB983039 UCR983002:UDF983039 TSV983002:TTJ983039 TIZ983002:TJN983039 SZD983002:SZR983039 SPH983002:SPV983039 SFL983002:SFZ983039 RVP983002:RWD983039 RLT983002:RMH983039 RBX983002:RCL983039 QSB983002:QSP983039 QIF983002:QIT983039 PYJ983002:PYX983039 PON983002:PPB983039 PER983002:PFF983039 OUV983002:OVJ983039 OKZ983002:OLN983039 OBD983002:OBR983039 NRH983002:NRV983039 NHL983002:NHZ983039 MXP983002:MYD983039 MNT983002:MOH983039 MDX983002:MEL983039 LUB983002:LUP983039 LKF983002:LKT983039 LAJ983002:LAX983039 KQN983002:KRB983039 KGR983002:KHF983039 JWV983002:JXJ983039 JMZ983002:JNN983039 JDD983002:JDR983039 ITH983002:ITV983039 IJL983002:IJZ983039 HZP983002:IAD983039 HPT983002:HQH983039 HFX983002:HGL983039 GWB983002:GWP983039 GMF983002:GMT983039 GCJ983002:GCX983039 FSN983002:FTB983039 FIR983002:FJF983039 EYV983002:EZJ983039 EOZ983002:EPN983039 EFD983002:EFR983039 DVH983002:DVV983039 DLL983002:DLZ983039 DBP983002:DCD983039 CRT983002:CSH983039 CHX983002:CIL983039 BYB983002:BYP983039 BOF983002:BOT983039 BEJ983002:BEX983039 AUN983002:AVB983039 AKR983002:ALF983039 AAV983002:ABJ983039 QZ983002:RN983039 HD983002:HR983039 WTP917466:WUD917503 WJT917466:WKH917503 VZX917466:WAL917503 VQB917466:VQP917503 VGF917466:VGT917503 UWJ917466:UWX917503 UMN917466:UNB917503 UCR917466:UDF917503 TSV917466:TTJ917503 TIZ917466:TJN917503 SZD917466:SZR917503 SPH917466:SPV917503 SFL917466:SFZ917503 RVP917466:RWD917503 RLT917466:RMH917503 RBX917466:RCL917503 QSB917466:QSP917503 QIF917466:QIT917503 PYJ917466:PYX917503 PON917466:PPB917503 PER917466:PFF917503 OUV917466:OVJ917503 OKZ917466:OLN917503 OBD917466:OBR917503 NRH917466:NRV917503 NHL917466:NHZ917503 MXP917466:MYD917503 MNT917466:MOH917503 MDX917466:MEL917503 LUB917466:LUP917503 LKF917466:LKT917503 LAJ917466:LAX917503 KQN917466:KRB917503 KGR917466:KHF917503 JWV917466:JXJ917503 JMZ917466:JNN917503 JDD917466:JDR917503 ITH917466:ITV917503 IJL917466:IJZ917503 HZP917466:IAD917503 HPT917466:HQH917503 HFX917466:HGL917503 GWB917466:GWP917503 GMF917466:GMT917503 GCJ917466:GCX917503 FSN917466:FTB917503 FIR917466:FJF917503 EYV917466:EZJ917503 EOZ917466:EPN917503 EFD917466:EFR917503 DVH917466:DVV917503 DLL917466:DLZ917503 DBP917466:DCD917503 CRT917466:CSH917503 CHX917466:CIL917503 BYB917466:BYP917503 BOF917466:BOT917503 BEJ917466:BEX917503 AUN917466:AVB917503 AKR917466:ALF917503 AAV917466:ABJ917503 QZ917466:RN917503 HD917466:HR917503 WTP851930:WUD851967 WJT851930:WKH851967 VZX851930:WAL851967 VQB851930:VQP851967 VGF851930:VGT851967 UWJ851930:UWX851967 UMN851930:UNB851967 UCR851930:UDF851967 TSV851930:TTJ851967 TIZ851930:TJN851967 SZD851930:SZR851967 SPH851930:SPV851967 SFL851930:SFZ851967 RVP851930:RWD851967 RLT851930:RMH851967 RBX851930:RCL851967 QSB851930:QSP851967 QIF851930:QIT851967 PYJ851930:PYX851967 PON851930:PPB851967 PER851930:PFF851967 OUV851930:OVJ851967 OKZ851930:OLN851967 OBD851930:OBR851967 NRH851930:NRV851967 NHL851930:NHZ851967 MXP851930:MYD851967 MNT851930:MOH851967 MDX851930:MEL851967 LUB851930:LUP851967 LKF851930:LKT851967 LAJ851930:LAX851967 KQN851930:KRB851967 KGR851930:KHF851967 JWV851930:JXJ851967 JMZ851930:JNN851967 JDD851930:JDR851967 ITH851930:ITV851967 IJL851930:IJZ851967 HZP851930:IAD851967 HPT851930:HQH851967 HFX851930:HGL851967 GWB851930:GWP851967 GMF851930:GMT851967 GCJ851930:GCX851967 FSN851930:FTB851967 FIR851930:FJF851967 EYV851930:EZJ851967 EOZ851930:EPN851967 EFD851930:EFR851967 DVH851930:DVV851967 DLL851930:DLZ851967 DBP851930:DCD851967 CRT851930:CSH851967 CHX851930:CIL851967 BYB851930:BYP851967 BOF851930:BOT851967 BEJ851930:BEX851967 AUN851930:AVB851967 AKR851930:ALF851967 AAV851930:ABJ851967 QZ851930:RN851967 HD851930:HR851967 WTP786394:WUD786431 WJT786394:WKH786431 VZX786394:WAL786431 VQB786394:VQP786431 VGF786394:VGT786431 UWJ786394:UWX786431 UMN786394:UNB786431 UCR786394:UDF786431 TSV786394:TTJ786431 TIZ786394:TJN786431 SZD786394:SZR786431 SPH786394:SPV786431 SFL786394:SFZ786431 RVP786394:RWD786431 RLT786394:RMH786431 RBX786394:RCL786431 QSB786394:QSP786431 QIF786394:QIT786431 PYJ786394:PYX786431 PON786394:PPB786431 PER786394:PFF786431 OUV786394:OVJ786431 OKZ786394:OLN786431 OBD786394:OBR786431 NRH786394:NRV786431 NHL786394:NHZ786431 MXP786394:MYD786431 MNT786394:MOH786431 MDX786394:MEL786431 LUB786394:LUP786431 LKF786394:LKT786431 LAJ786394:LAX786431 KQN786394:KRB786431 KGR786394:KHF786431 JWV786394:JXJ786431 JMZ786394:JNN786431 JDD786394:JDR786431 ITH786394:ITV786431 IJL786394:IJZ786431 HZP786394:IAD786431 HPT786394:HQH786431 HFX786394:HGL786431 GWB786394:GWP786431 GMF786394:GMT786431 GCJ786394:GCX786431 FSN786394:FTB786431 FIR786394:FJF786431 EYV786394:EZJ786431 EOZ786394:EPN786431 EFD786394:EFR786431 DVH786394:DVV786431 DLL786394:DLZ786431 DBP786394:DCD786431 CRT786394:CSH786431 CHX786394:CIL786431 BYB786394:BYP786431 BOF786394:BOT786431 BEJ786394:BEX786431 AUN786394:AVB786431 AKR786394:ALF786431 AAV786394:ABJ786431 QZ786394:RN786431 HD786394:HR786431 WTP720858:WUD720895 WJT720858:WKH720895 VZX720858:WAL720895 VQB720858:VQP720895 VGF720858:VGT720895 UWJ720858:UWX720895 UMN720858:UNB720895 UCR720858:UDF720895 TSV720858:TTJ720895 TIZ720858:TJN720895 SZD720858:SZR720895 SPH720858:SPV720895 SFL720858:SFZ720895 RVP720858:RWD720895 RLT720858:RMH720895 RBX720858:RCL720895 QSB720858:QSP720895 QIF720858:QIT720895 PYJ720858:PYX720895 PON720858:PPB720895 PER720858:PFF720895 OUV720858:OVJ720895 OKZ720858:OLN720895 OBD720858:OBR720895 NRH720858:NRV720895 NHL720858:NHZ720895 MXP720858:MYD720895 MNT720858:MOH720895 MDX720858:MEL720895 LUB720858:LUP720895 LKF720858:LKT720895 LAJ720858:LAX720895 KQN720858:KRB720895 KGR720858:KHF720895 JWV720858:JXJ720895 JMZ720858:JNN720895 JDD720858:JDR720895 ITH720858:ITV720895 IJL720858:IJZ720895 HZP720858:IAD720895 HPT720858:HQH720895 HFX720858:HGL720895 GWB720858:GWP720895 GMF720858:GMT720895 GCJ720858:GCX720895 FSN720858:FTB720895 FIR720858:FJF720895 EYV720858:EZJ720895 EOZ720858:EPN720895 EFD720858:EFR720895 DVH720858:DVV720895 DLL720858:DLZ720895 DBP720858:DCD720895 CRT720858:CSH720895 CHX720858:CIL720895 BYB720858:BYP720895 BOF720858:BOT720895 BEJ720858:BEX720895 AUN720858:AVB720895 AKR720858:ALF720895 AAV720858:ABJ720895 QZ720858:RN720895 HD720858:HR720895 WTP655322:WUD655359 WJT655322:WKH655359 VZX655322:WAL655359 VQB655322:VQP655359 VGF655322:VGT655359 UWJ655322:UWX655359 UMN655322:UNB655359 UCR655322:UDF655359 TSV655322:TTJ655359 TIZ655322:TJN655359 SZD655322:SZR655359 SPH655322:SPV655359 SFL655322:SFZ655359 RVP655322:RWD655359 RLT655322:RMH655359 RBX655322:RCL655359 QSB655322:QSP655359 QIF655322:QIT655359 PYJ655322:PYX655359 PON655322:PPB655359 PER655322:PFF655359 OUV655322:OVJ655359 OKZ655322:OLN655359 OBD655322:OBR655359 NRH655322:NRV655359 NHL655322:NHZ655359 MXP655322:MYD655359 MNT655322:MOH655359 MDX655322:MEL655359 LUB655322:LUP655359 LKF655322:LKT655359 LAJ655322:LAX655359 KQN655322:KRB655359 KGR655322:KHF655359 JWV655322:JXJ655359 JMZ655322:JNN655359 JDD655322:JDR655359 ITH655322:ITV655359 IJL655322:IJZ655359 HZP655322:IAD655359 HPT655322:HQH655359 HFX655322:HGL655359 GWB655322:GWP655359 GMF655322:GMT655359 GCJ655322:GCX655359 FSN655322:FTB655359 FIR655322:FJF655359 EYV655322:EZJ655359 EOZ655322:EPN655359 EFD655322:EFR655359 DVH655322:DVV655359 DLL655322:DLZ655359 DBP655322:DCD655359 CRT655322:CSH655359 CHX655322:CIL655359 BYB655322:BYP655359 BOF655322:BOT655359 BEJ655322:BEX655359 AUN655322:AVB655359 AKR655322:ALF655359 AAV655322:ABJ655359 QZ655322:RN655359 HD655322:HR655359 WTP589786:WUD589823 WJT589786:WKH589823 VZX589786:WAL589823 VQB589786:VQP589823 VGF589786:VGT589823 UWJ589786:UWX589823 UMN589786:UNB589823 UCR589786:UDF589823 TSV589786:TTJ589823 TIZ589786:TJN589823 SZD589786:SZR589823 SPH589786:SPV589823 SFL589786:SFZ589823 RVP589786:RWD589823 RLT589786:RMH589823 RBX589786:RCL589823 QSB589786:QSP589823 QIF589786:QIT589823 PYJ589786:PYX589823 PON589786:PPB589823 PER589786:PFF589823 OUV589786:OVJ589823 OKZ589786:OLN589823 OBD589786:OBR589823 NRH589786:NRV589823 NHL589786:NHZ589823 MXP589786:MYD589823 MNT589786:MOH589823 MDX589786:MEL589823 LUB589786:LUP589823 LKF589786:LKT589823 LAJ589786:LAX589823 KQN589786:KRB589823 KGR589786:KHF589823 JWV589786:JXJ589823 JMZ589786:JNN589823 JDD589786:JDR589823 ITH589786:ITV589823 IJL589786:IJZ589823 HZP589786:IAD589823 HPT589786:HQH589823 HFX589786:HGL589823 GWB589786:GWP589823 GMF589786:GMT589823 GCJ589786:GCX589823 FSN589786:FTB589823 FIR589786:FJF589823 EYV589786:EZJ589823 EOZ589786:EPN589823 EFD589786:EFR589823 DVH589786:DVV589823 DLL589786:DLZ589823 DBP589786:DCD589823 CRT589786:CSH589823 CHX589786:CIL589823 BYB589786:BYP589823 BOF589786:BOT589823 BEJ589786:BEX589823 AUN589786:AVB589823 AKR589786:ALF589823 AAV589786:ABJ589823 QZ589786:RN589823 HD589786:HR589823 WTP524250:WUD524287 WJT524250:WKH524287 VZX524250:WAL524287 VQB524250:VQP524287 VGF524250:VGT524287 UWJ524250:UWX524287 UMN524250:UNB524287 UCR524250:UDF524287 TSV524250:TTJ524287 TIZ524250:TJN524287 SZD524250:SZR524287 SPH524250:SPV524287 SFL524250:SFZ524287 RVP524250:RWD524287 RLT524250:RMH524287 RBX524250:RCL524287 QSB524250:QSP524287 QIF524250:QIT524287 PYJ524250:PYX524287 PON524250:PPB524287 PER524250:PFF524287 OUV524250:OVJ524287 OKZ524250:OLN524287 OBD524250:OBR524287 NRH524250:NRV524287 NHL524250:NHZ524287 MXP524250:MYD524287 MNT524250:MOH524287 MDX524250:MEL524287 LUB524250:LUP524287 LKF524250:LKT524287 LAJ524250:LAX524287 KQN524250:KRB524287 KGR524250:KHF524287 JWV524250:JXJ524287 JMZ524250:JNN524287 JDD524250:JDR524287 ITH524250:ITV524287 IJL524250:IJZ524287 HZP524250:IAD524287 HPT524250:HQH524287 HFX524250:HGL524287 GWB524250:GWP524287 GMF524250:GMT524287 GCJ524250:GCX524287 FSN524250:FTB524287 FIR524250:FJF524287 EYV524250:EZJ524287 EOZ524250:EPN524287 EFD524250:EFR524287 DVH524250:DVV524287 DLL524250:DLZ524287 DBP524250:DCD524287 CRT524250:CSH524287 CHX524250:CIL524287 BYB524250:BYP524287 BOF524250:BOT524287 BEJ524250:BEX524287 AUN524250:AVB524287 AKR524250:ALF524287 AAV524250:ABJ524287 QZ524250:RN524287 HD524250:HR524287 WTP458714:WUD458751 WJT458714:WKH458751 VZX458714:WAL458751 VQB458714:VQP458751 VGF458714:VGT458751 UWJ458714:UWX458751 UMN458714:UNB458751 UCR458714:UDF458751 TSV458714:TTJ458751 TIZ458714:TJN458751 SZD458714:SZR458751 SPH458714:SPV458751 SFL458714:SFZ458751 RVP458714:RWD458751 RLT458714:RMH458751 RBX458714:RCL458751 QSB458714:QSP458751 QIF458714:QIT458751 PYJ458714:PYX458751 PON458714:PPB458751 PER458714:PFF458751 OUV458714:OVJ458751 OKZ458714:OLN458751 OBD458714:OBR458751 NRH458714:NRV458751 NHL458714:NHZ458751 MXP458714:MYD458751 MNT458714:MOH458751 MDX458714:MEL458751 LUB458714:LUP458751 LKF458714:LKT458751 LAJ458714:LAX458751 KQN458714:KRB458751 KGR458714:KHF458751 JWV458714:JXJ458751 JMZ458714:JNN458751 JDD458714:JDR458751 ITH458714:ITV458751 IJL458714:IJZ458751 HZP458714:IAD458751 HPT458714:HQH458751 HFX458714:HGL458751 GWB458714:GWP458751 GMF458714:GMT458751 GCJ458714:GCX458751 FSN458714:FTB458751 FIR458714:FJF458751 EYV458714:EZJ458751 EOZ458714:EPN458751 EFD458714:EFR458751 DVH458714:DVV458751 DLL458714:DLZ458751 DBP458714:DCD458751 CRT458714:CSH458751 CHX458714:CIL458751 BYB458714:BYP458751 BOF458714:BOT458751 BEJ458714:BEX458751 AUN458714:AVB458751 AKR458714:ALF458751 AAV458714:ABJ458751 QZ458714:RN458751 HD458714:HR458751 WTP393178:WUD393215 WJT393178:WKH393215 VZX393178:WAL393215 VQB393178:VQP393215 VGF393178:VGT393215 UWJ393178:UWX393215 UMN393178:UNB393215 UCR393178:UDF393215 TSV393178:TTJ393215 TIZ393178:TJN393215 SZD393178:SZR393215 SPH393178:SPV393215 SFL393178:SFZ393215 RVP393178:RWD393215 RLT393178:RMH393215 RBX393178:RCL393215 QSB393178:QSP393215 QIF393178:QIT393215 PYJ393178:PYX393215 PON393178:PPB393215 PER393178:PFF393215 OUV393178:OVJ393215 OKZ393178:OLN393215 OBD393178:OBR393215 NRH393178:NRV393215 NHL393178:NHZ393215 MXP393178:MYD393215 MNT393178:MOH393215 MDX393178:MEL393215 LUB393178:LUP393215 LKF393178:LKT393215 LAJ393178:LAX393215 KQN393178:KRB393215 KGR393178:KHF393215 JWV393178:JXJ393215 JMZ393178:JNN393215 JDD393178:JDR393215 ITH393178:ITV393215 IJL393178:IJZ393215 HZP393178:IAD393215 HPT393178:HQH393215 HFX393178:HGL393215 GWB393178:GWP393215 GMF393178:GMT393215 GCJ393178:GCX393215 FSN393178:FTB393215 FIR393178:FJF393215 EYV393178:EZJ393215 EOZ393178:EPN393215 EFD393178:EFR393215 DVH393178:DVV393215 DLL393178:DLZ393215 DBP393178:DCD393215 CRT393178:CSH393215 CHX393178:CIL393215 BYB393178:BYP393215 BOF393178:BOT393215 BEJ393178:BEX393215 AUN393178:AVB393215 AKR393178:ALF393215 AAV393178:ABJ393215 QZ393178:RN393215 HD393178:HR393215 WTP327642:WUD327679 WJT327642:WKH327679 VZX327642:WAL327679 VQB327642:VQP327679 VGF327642:VGT327679 UWJ327642:UWX327679 UMN327642:UNB327679 UCR327642:UDF327679 TSV327642:TTJ327679 TIZ327642:TJN327679 SZD327642:SZR327679 SPH327642:SPV327679 SFL327642:SFZ327679 RVP327642:RWD327679 RLT327642:RMH327679 RBX327642:RCL327679 QSB327642:QSP327679 QIF327642:QIT327679 PYJ327642:PYX327679 PON327642:PPB327679 PER327642:PFF327679 OUV327642:OVJ327679 OKZ327642:OLN327679 OBD327642:OBR327679 NRH327642:NRV327679 NHL327642:NHZ327679 MXP327642:MYD327679 MNT327642:MOH327679 MDX327642:MEL327679 LUB327642:LUP327679 LKF327642:LKT327679 LAJ327642:LAX327679 KQN327642:KRB327679 KGR327642:KHF327679 JWV327642:JXJ327679 JMZ327642:JNN327679 JDD327642:JDR327679 ITH327642:ITV327679 IJL327642:IJZ327679 HZP327642:IAD327679 HPT327642:HQH327679 HFX327642:HGL327679 GWB327642:GWP327679 GMF327642:GMT327679 GCJ327642:GCX327679 FSN327642:FTB327679 FIR327642:FJF327679 EYV327642:EZJ327679 EOZ327642:EPN327679 EFD327642:EFR327679 DVH327642:DVV327679 DLL327642:DLZ327679 DBP327642:DCD327679 CRT327642:CSH327679 CHX327642:CIL327679 BYB327642:BYP327679 BOF327642:BOT327679 BEJ327642:BEX327679 AUN327642:AVB327679 AKR327642:ALF327679 AAV327642:ABJ327679 QZ327642:RN327679 HD327642:HR327679 WTP262106:WUD262143 WJT262106:WKH262143 VZX262106:WAL262143 VQB262106:VQP262143 VGF262106:VGT262143 UWJ262106:UWX262143 UMN262106:UNB262143 UCR262106:UDF262143 TSV262106:TTJ262143 TIZ262106:TJN262143 SZD262106:SZR262143 SPH262106:SPV262143 SFL262106:SFZ262143 RVP262106:RWD262143 RLT262106:RMH262143 RBX262106:RCL262143 QSB262106:QSP262143 QIF262106:QIT262143 PYJ262106:PYX262143 PON262106:PPB262143 PER262106:PFF262143 OUV262106:OVJ262143 OKZ262106:OLN262143 OBD262106:OBR262143 NRH262106:NRV262143 NHL262106:NHZ262143 MXP262106:MYD262143 MNT262106:MOH262143 MDX262106:MEL262143 LUB262106:LUP262143 LKF262106:LKT262143 LAJ262106:LAX262143 KQN262106:KRB262143 KGR262106:KHF262143 JWV262106:JXJ262143 JMZ262106:JNN262143 JDD262106:JDR262143 ITH262106:ITV262143 IJL262106:IJZ262143 HZP262106:IAD262143 HPT262106:HQH262143 HFX262106:HGL262143 GWB262106:GWP262143 GMF262106:GMT262143 GCJ262106:GCX262143 FSN262106:FTB262143 FIR262106:FJF262143 EYV262106:EZJ262143 EOZ262106:EPN262143 EFD262106:EFR262143 DVH262106:DVV262143 DLL262106:DLZ262143 DBP262106:DCD262143 CRT262106:CSH262143 CHX262106:CIL262143 BYB262106:BYP262143 BOF262106:BOT262143 BEJ262106:BEX262143 AUN262106:AVB262143 AKR262106:ALF262143 AAV262106:ABJ262143 QZ262106:RN262143 HD262106:HR262143 WTP196570:WUD196607 WJT196570:WKH196607 VZX196570:WAL196607 VQB196570:VQP196607 VGF196570:VGT196607 UWJ196570:UWX196607 UMN196570:UNB196607 UCR196570:UDF196607 TSV196570:TTJ196607 TIZ196570:TJN196607 SZD196570:SZR196607 SPH196570:SPV196607 SFL196570:SFZ196607 RVP196570:RWD196607 RLT196570:RMH196607 RBX196570:RCL196607 QSB196570:QSP196607 QIF196570:QIT196607 PYJ196570:PYX196607 PON196570:PPB196607 PER196570:PFF196607 OUV196570:OVJ196607 OKZ196570:OLN196607 OBD196570:OBR196607 NRH196570:NRV196607 NHL196570:NHZ196607 MXP196570:MYD196607 MNT196570:MOH196607 MDX196570:MEL196607 LUB196570:LUP196607 LKF196570:LKT196607 LAJ196570:LAX196607 KQN196570:KRB196607 KGR196570:KHF196607 JWV196570:JXJ196607 JMZ196570:JNN196607 JDD196570:JDR196607 ITH196570:ITV196607 IJL196570:IJZ196607 HZP196570:IAD196607 HPT196570:HQH196607 HFX196570:HGL196607 GWB196570:GWP196607 GMF196570:GMT196607 GCJ196570:GCX196607 FSN196570:FTB196607 FIR196570:FJF196607 EYV196570:EZJ196607 EOZ196570:EPN196607 EFD196570:EFR196607 DVH196570:DVV196607 DLL196570:DLZ196607 DBP196570:DCD196607 CRT196570:CSH196607 CHX196570:CIL196607 BYB196570:BYP196607 BOF196570:BOT196607 BEJ196570:BEX196607 AUN196570:AVB196607 AKR196570:ALF196607 AAV196570:ABJ196607 QZ196570:RN196607 HD196570:HR196607 WTP131034:WUD131071 WJT131034:WKH131071 VZX131034:WAL131071 VQB131034:VQP131071 VGF131034:VGT131071 UWJ131034:UWX131071 UMN131034:UNB131071 UCR131034:UDF131071 TSV131034:TTJ131071 TIZ131034:TJN131071 SZD131034:SZR131071 SPH131034:SPV131071 SFL131034:SFZ131071 RVP131034:RWD131071 RLT131034:RMH131071 RBX131034:RCL131071 QSB131034:QSP131071 QIF131034:QIT131071 PYJ131034:PYX131071 PON131034:PPB131071 PER131034:PFF131071 OUV131034:OVJ131071 OKZ131034:OLN131071 OBD131034:OBR131071 NRH131034:NRV131071 NHL131034:NHZ131071 MXP131034:MYD131071 MNT131034:MOH131071 MDX131034:MEL131071 LUB131034:LUP131071 LKF131034:LKT131071 LAJ131034:LAX131071 KQN131034:KRB131071 KGR131034:KHF131071 JWV131034:JXJ131071 JMZ131034:JNN131071 JDD131034:JDR131071 ITH131034:ITV131071 IJL131034:IJZ131071 HZP131034:IAD131071 HPT131034:HQH131071 HFX131034:HGL131071 GWB131034:GWP131071 GMF131034:GMT131071 GCJ131034:GCX131071 FSN131034:FTB131071 FIR131034:FJF131071 EYV131034:EZJ131071 EOZ131034:EPN131071 EFD131034:EFR131071 DVH131034:DVV131071 DLL131034:DLZ131071 DBP131034:DCD131071 CRT131034:CSH131071 CHX131034:CIL131071 BYB131034:BYP131071 BOF131034:BOT131071 BEJ131034:BEX131071 AUN131034:AVB131071 AKR131034:ALF131071 AAV131034:ABJ131071 QZ131034:RN131071 HD131034:HR131071 WTP65498:WUD65535 WJT65498:WKH65535 VZX65498:WAL65535 VQB65498:VQP65535 VGF65498:VGT65535 UWJ65498:UWX65535 UMN65498:UNB65535 UCR65498:UDF65535 TSV65498:TTJ65535 TIZ65498:TJN65535 SZD65498:SZR65535 SPH65498:SPV65535 SFL65498:SFZ65535 RVP65498:RWD65535 RLT65498:RMH65535 RBX65498:RCL65535 QSB65498:QSP65535 QIF65498:QIT65535 PYJ65498:PYX65535 PON65498:PPB65535 PER65498:PFF65535 OUV65498:OVJ65535 OKZ65498:OLN65535 OBD65498:OBR65535 NRH65498:NRV65535 NHL65498:NHZ65535 MXP65498:MYD65535 MNT65498:MOH65535 MDX65498:MEL65535 LUB65498:LUP65535 LKF65498:LKT65535 LAJ65498:LAX65535 KQN65498:KRB65535 KGR65498:KHF65535 JWV65498:JXJ65535 JMZ65498:JNN65535 JDD65498:JDR65535 ITH65498:ITV65535 IJL65498:IJZ65535 HZP65498:IAD65535 HPT65498:HQH65535 HFX65498:HGL65535 GWB65498:GWP65535 GMF65498:GMT65535 GCJ65498:GCX65535 FSN65498:FTB65535 FIR65498:FJF65535 EYV65498:EZJ65535 EOZ65498:EPN65535 EFD65498:EFR65535 DVH65498:DVV65535 DLL65498:DLZ65535 DBP65498:DCD65535 CRT65498:CSH65535 CHX65498:CIL65535 BYB65498:BYP65535 BOF65498:BOT65535 BEJ65498:BEX65535 AUN65498:AVB65535 AKR65498:ALF65535 AAV65498:ABJ65535 QZ65498:RN65535 HD65498:HR65535 WJT983002:WKH983039 VZX9:WAJ14 VQB9:VQN14 VGF9:VGR14 UWJ9:UWV14 UMN9:UMZ14 UCR9:UDD14 TSV9:TTH14 TIZ9:TJL14 SZD9:SZP14 SPH9:SPT14 SFL9:SFX14 RVP9:RWB14 RLT9:RMF14 RBX9:RCJ14 QSB9:QSN14 QIF9:QIR14 PYJ9:PYV14 PON9:POZ14 PER9:PFD14 OUV9:OVH14 OKZ9:OLL14 OBD9:OBP14 NRH9:NRT14 NHL9:NHX14 MXP9:MYB14 MNT9:MOF14 MDX9:MEJ14 LUB9:LUN14 LKF9:LKR14 LAJ9:LAV14 KQN9:KQZ14 KGR9:KHD14 JWV9:JXH14 JMZ9:JNL14 JDD9:JDP14 ITH9:ITT14 IJL9:IJX14 HZP9:IAB14 HPT9:HQF14 HFX9:HGJ14 GWB9:GWN14 GMF9:GMR14 GCJ9:GCV14 FSN9:FSZ14 FIR9:FJD14 EYV9:EZH14 EOZ9:EPL14 EFD9:EFP14 DVH9:DVT14 DLL9:DLX14 DBP9:DCB14 CRT9:CSF14 CHX9:CIJ14 BYB9:BYN14 BOF9:BOR14 BEJ9:BEV14 AUN9:AUZ14 AKR9:ALD14 AAV9:ABH14 QZ9:RL14 HD9:HP14 WTP9:WUB14 WJT24:WKF29 VZX24:WAJ29 VQB24:VQN29 VGF24:VGR29 UWJ24:UWV29 UMN24:UMZ29 UCR24:UDD29 TSV24:TTH29 TIZ24:TJL29 SZD24:SZP29 SPH24:SPT29 SFL24:SFX29 RVP24:RWB29 RLT24:RMF29 RBX24:RCJ29 QSB24:QSN29 QIF24:QIR29 PYJ24:PYV29 PON24:POZ29 PER24:PFD29 OUV24:OVH29 OKZ24:OLL29 OBD24:OBP29 NRH24:NRT29 NHL24:NHX29 MXP24:MYB29 MNT24:MOF29 MDX24:MEJ29 LUB24:LUN29 LKF24:LKR29 LAJ24:LAV29 KQN24:KQZ29 KGR24:KHD29 JWV24:JXH29 JMZ24:JNL29 JDD24:JDP29 ITH24:ITT29 IJL24:IJX29 HZP24:IAB29 HPT24:HQF29 HFX24:HGJ29 GWB24:GWN29 GMF24:GMR29 GCJ24:GCV29 FSN24:FSZ29 FIR24:FJD29 EYV24:EZH29 EOZ24:EPL29 EFD24:EFP29 DVH24:DVT29 DLL24:DLX29 DBP24:DCB29 CRT24:CSF29 CHX24:CIJ29 BYB24:BYN29 BOF24:BOR29 BEJ24:BEV29 AUN24:AUZ29 AKR24:ALD29 AAV24:ABH29 QZ24:RL29 HD24:HP29 WTP24:WUB29 WJT9:WKF14 WJT17:WKF21 VZX17:WAJ21 VQB17:VQN21 VGF17:VGR21 UWJ17:UWV21 UMN17:UMZ21 UCR17:UDD21 TSV17:TTH21 TIZ17:TJL21 SZD17:SZP21 SPH17:SPT21 SFL17:SFX21 RVP17:RWB21 RLT17:RMF21 RBX17:RCJ21 QSB17:QSN21 QIF17:QIR21 PYJ17:PYV21 PON17:POZ21 PER17:PFD21 OUV17:OVH21 OKZ17:OLL21 OBD17:OBP21 NRH17:NRT21 NHL17:NHX21 MXP17:MYB21 MNT17:MOF21 MDX17:MEJ21 LUB17:LUN21 LKF17:LKR21 LAJ17:LAV21 KQN17:KQZ21 KGR17:KHD21 JWV17:JXH21 JMZ17:JNL21 JDD17:JDP21 ITH17:ITT21 IJL17:IJX21 HZP17:IAB21 HPT17:HQF21 HFX17:HGJ21 GWB17:GWN21 GMF17:GMR21 GCJ17:GCV21 FSN17:FSZ21 FIR17:FJD21 EYV17:EZH21 EOZ17:EPL21 EFD17:EFP21 DVH17:DVT21 DLL17:DLX21 DBP17:DCB21 CRT17:CSF21 CHX17:CIJ21 BYB17:BYN21 BOF17:BOR21 BEJ17:BEV21 AUN17:AUZ21 AKR17:ALD21 AAV17:ABH21 QZ17:RL21 HD17:HP21 WKG5:WKH29 WUC5:WUD29 HQ5:HR29 RM5:RN29 ABI5:ABJ29 ALE5:ALF29 AVA5:AVB29 BEW5:BEX29 BOS5:BOT29 BYO5:BYP29 CIK5:CIL29 CSG5:CSH29 DCC5:DCD29 DLY5:DLZ29 DVU5:DVV29 EFQ5:EFR29 EPM5:EPN29 EZI5:EZJ29 FJE5:FJF29 FTA5:FTB29 GCW5:GCX29 GMS5:GMT29 GWO5:GWP29 HGK5:HGL29 HQG5:HQH29 IAC5:IAD29 IJY5:IJZ29 ITU5:ITV29 JDQ5:JDR29 JNM5:JNN29 JXI5:JXJ29 KHE5:KHF29 KRA5:KRB29 LAW5:LAX29 LKS5:LKT29 LUO5:LUP29 MEK5:MEL29 MOG5:MOH29 MYC5:MYD29 NHY5:NHZ29 NRU5:NRV29 OBQ5:OBR29 OLM5:OLN29 OVI5:OVJ29 PFE5:PFF29 PPA5:PPB29 PYW5:PYX29 QIS5:QIT29 QSO5:QSP29 RCK5:RCL29 RMG5:RMH29 RWC5:RWD29 SFY5:SFZ29 SPU5:SPV29 SZQ5:SZR29 TJM5:TJN29 TTI5:TTJ29 UDE5:UDF29 UNA5:UNB29 UWW5:UWX29 VGS5:VGT29 VQO5:VQP29 WAK6:WAL29 VZX5:WAL5 WTP983002:WUD983039" xr:uid="{7F741ADB-7D40-4213-987F-898B83BA6503}">
      <formula1>#REF!</formula1>
    </dataValidation>
    <dataValidation type="list" allowBlank="1" showInputMessage="1" showErrorMessage="1" sqref="HR983043:HY983048 RN983043:RU983048 ABJ983043:ABQ983048 ALF983043:ALM983048 AVB983043:AVI983048 BEX983043:BFE983048 BOT983043:BPA983048 BYP983043:BYW983048 CIL983043:CIS983048 CSH983043:CSO983048 DCD983043:DCK983048 DLZ983043:DMG983048 DVV983043:DWC983048 EFR983043:EFY983048 EPN983043:EPU983048 EZJ983043:EZQ983048 FJF983043:FJM983048 FTB983043:FTI983048 GCX983043:GDE983048 GMT983043:GNA983048 GWP983043:GWW983048 HGL983043:HGS983048 HQH983043:HQO983048 IAD983043:IAK983048 IJZ983043:IKG983048 ITV983043:IUC983048 JDR983043:JDY983048 JNN983043:JNU983048 JXJ983043:JXQ983048 KHF983043:KHM983048 KRB983043:KRI983048 LAX983043:LBE983048 LKT983043:LLA983048 LUP983043:LUW983048 MEL983043:MES983048 MOH983043:MOO983048 MYD983043:MYK983048 NHZ983043:NIG983048 NRV983043:NSC983048 OBR983043:OBY983048 OLN983043:OLU983048 OVJ983043:OVQ983048 PFF983043:PFM983048 PPB983043:PPI983048 PYX983043:PZE983048 QIT983043:QJA983048 QSP983043:QSW983048 RCL983043:RCS983048 RMH983043:RMO983048 RWD983043:RWK983048 SFZ983043:SGG983048 SPV983043:SQC983048 SZR983043:SZY983048 TJN983043:TJU983048 TTJ983043:TTQ983048 UDF983043:UDM983048 UNB983043:UNI983048 UWX983043:UXE983048 VGT983043:VHA983048 VQP983043:VQW983048 WAL983043:WAS983048 WKH983043:WKO983048 WUD983043:WUK983048 HR65539:HY65544 RN65539:RU65544 ABJ65539:ABQ65544 ALF65539:ALM65544 AVB65539:AVI65544 BEX65539:BFE65544 BOT65539:BPA65544 BYP65539:BYW65544 CIL65539:CIS65544 CSH65539:CSO65544 DCD65539:DCK65544 DLZ65539:DMG65544 DVV65539:DWC65544 EFR65539:EFY65544 EPN65539:EPU65544 EZJ65539:EZQ65544 FJF65539:FJM65544 FTB65539:FTI65544 GCX65539:GDE65544 GMT65539:GNA65544 GWP65539:GWW65544 HGL65539:HGS65544 HQH65539:HQO65544 IAD65539:IAK65544 IJZ65539:IKG65544 ITV65539:IUC65544 JDR65539:JDY65544 JNN65539:JNU65544 JXJ65539:JXQ65544 KHF65539:KHM65544 KRB65539:KRI65544 LAX65539:LBE65544 LKT65539:LLA65544 LUP65539:LUW65544 MEL65539:MES65544 MOH65539:MOO65544 MYD65539:MYK65544 NHZ65539:NIG65544 NRV65539:NSC65544 OBR65539:OBY65544 OLN65539:OLU65544 OVJ65539:OVQ65544 PFF65539:PFM65544 PPB65539:PPI65544 PYX65539:PZE65544 QIT65539:QJA65544 QSP65539:QSW65544 RCL65539:RCS65544 RMH65539:RMO65544 RWD65539:RWK65544 SFZ65539:SGG65544 SPV65539:SQC65544 SZR65539:SZY65544 TJN65539:TJU65544 TTJ65539:TTQ65544 UDF65539:UDM65544 UNB65539:UNI65544 UWX65539:UXE65544 VGT65539:VHA65544 VQP65539:VQW65544 WAL65539:WAS65544 WKH65539:WKO65544 WUD65539:WUK65544 HR131075:HY131080 RN131075:RU131080 ABJ131075:ABQ131080 ALF131075:ALM131080 AVB131075:AVI131080 BEX131075:BFE131080 BOT131075:BPA131080 BYP131075:BYW131080 CIL131075:CIS131080 CSH131075:CSO131080 DCD131075:DCK131080 DLZ131075:DMG131080 DVV131075:DWC131080 EFR131075:EFY131080 EPN131075:EPU131080 EZJ131075:EZQ131080 FJF131075:FJM131080 FTB131075:FTI131080 GCX131075:GDE131080 GMT131075:GNA131080 GWP131075:GWW131080 HGL131075:HGS131080 HQH131075:HQO131080 IAD131075:IAK131080 IJZ131075:IKG131080 ITV131075:IUC131080 JDR131075:JDY131080 JNN131075:JNU131080 JXJ131075:JXQ131080 KHF131075:KHM131080 KRB131075:KRI131080 LAX131075:LBE131080 LKT131075:LLA131080 LUP131075:LUW131080 MEL131075:MES131080 MOH131075:MOO131080 MYD131075:MYK131080 NHZ131075:NIG131080 NRV131075:NSC131080 OBR131075:OBY131080 OLN131075:OLU131080 OVJ131075:OVQ131080 PFF131075:PFM131080 PPB131075:PPI131080 PYX131075:PZE131080 QIT131075:QJA131080 QSP131075:QSW131080 RCL131075:RCS131080 RMH131075:RMO131080 RWD131075:RWK131080 SFZ131075:SGG131080 SPV131075:SQC131080 SZR131075:SZY131080 TJN131075:TJU131080 TTJ131075:TTQ131080 UDF131075:UDM131080 UNB131075:UNI131080 UWX131075:UXE131080 VGT131075:VHA131080 VQP131075:VQW131080 WAL131075:WAS131080 WKH131075:WKO131080 WUD131075:WUK131080 HR196611:HY196616 RN196611:RU196616 ABJ196611:ABQ196616 ALF196611:ALM196616 AVB196611:AVI196616 BEX196611:BFE196616 BOT196611:BPA196616 BYP196611:BYW196616 CIL196611:CIS196616 CSH196611:CSO196616 DCD196611:DCK196616 DLZ196611:DMG196616 DVV196611:DWC196616 EFR196611:EFY196616 EPN196611:EPU196616 EZJ196611:EZQ196616 FJF196611:FJM196616 FTB196611:FTI196616 GCX196611:GDE196616 GMT196611:GNA196616 GWP196611:GWW196616 HGL196611:HGS196616 HQH196611:HQO196616 IAD196611:IAK196616 IJZ196611:IKG196616 ITV196611:IUC196616 JDR196611:JDY196616 JNN196611:JNU196616 JXJ196611:JXQ196616 KHF196611:KHM196616 KRB196611:KRI196616 LAX196611:LBE196616 LKT196611:LLA196616 LUP196611:LUW196616 MEL196611:MES196616 MOH196611:MOO196616 MYD196611:MYK196616 NHZ196611:NIG196616 NRV196611:NSC196616 OBR196611:OBY196616 OLN196611:OLU196616 OVJ196611:OVQ196616 PFF196611:PFM196616 PPB196611:PPI196616 PYX196611:PZE196616 QIT196611:QJA196616 QSP196611:QSW196616 RCL196611:RCS196616 RMH196611:RMO196616 RWD196611:RWK196616 SFZ196611:SGG196616 SPV196611:SQC196616 SZR196611:SZY196616 TJN196611:TJU196616 TTJ196611:TTQ196616 UDF196611:UDM196616 UNB196611:UNI196616 UWX196611:UXE196616 VGT196611:VHA196616 VQP196611:VQW196616 WAL196611:WAS196616 WKH196611:WKO196616 WUD196611:WUK196616 HR262147:HY262152 RN262147:RU262152 ABJ262147:ABQ262152 ALF262147:ALM262152 AVB262147:AVI262152 BEX262147:BFE262152 BOT262147:BPA262152 BYP262147:BYW262152 CIL262147:CIS262152 CSH262147:CSO262152 DCD262147:DCK262152 DLZ262147:DMG262152 DVV262147:DWC262152 EFR262147:EFY262152 EPN262147:EPU262152 EZJ262147:EZQ262152 FJF262147:FJM262152 FTB262147:FTI262152 GCX262147:GDE262152 GMT262147:GNA262152 GWP262147:GWW262152 HGL262147:HGS262152 HQH262147:HQO262152 IAD262147:IAK262152 IJZ262147:IKG262152 ITV262147:IUC262152 JDR262147:JDY262152 JNN262147:JNU262152 JXJ262147:JXQ262152 KHF262147:KHM262152 KRB262147:KRI262152 LAX262147:LBE262152 LKT262147:LLA262152 LUP262147:LUW262152 MEL262147:MES262152 MOH262147:MOO262152 MYD262147:MYK262152 NHZ262147:NIG262152 NRV262147:NSC262152 OBR262147:OBY262152 OLN262147:OLU262152 OVJ262147:OVQ262152 PFF262147:PFM262152 PPB262147:PPI262152 PYX262147:PZE262152 QIT262147:QJA262152 QSP262147:QSW262152 RCL262147:RCS262152 RMH262147:RMO262152 RWD262147:RWK262152 SFZ262147:SGG262152 SPV262147:SQC262152 SZR262147:SZY262152 TJN262147:TJU262152 TTJ262147:TTQ262152 UDF262147:UDM262152 UNB262147:UNI262152 UWX262147:UXE262152 VGT262147:VHA262152 VQP262147:VQW262152 WAL262147:WAS262152 WKH262147:WKO262152 WUD262147:WUK262152 HR327683:HY327688 RN327683:RU327688 ABJ327683:ABQ327688 ALF327683:ALM327688 AVB327683:AVI327688 BEX327683:BFE327688 BOT327683:BPA327688 BYP327683:BYW327688 CIL327683:CIS327688 CSH327683:CSO327688 DCD327683:DCK327688 DLZ327683:DMG327688 DVV327683:DWC327688 EFR327683:EFY327688 EPN327683:EPU327688 EZJ327683:EZQ327688 FJF327683:FJM327688 FTB327683:FTI327688 GCX327683:GDE327688 GMT327683:GNA327688 GWP327683:GWW327688 HGL327683:HGS327688 HQH327683:HQO327688 IAD327683:IAK327688 IJZ327683:IKG327688 ITV327683:IUC327688 JDR327683:JDY327688 JNN327683:JNU327688 JXJ327683:JXQ327688 KHF327683:KHM327688 KRB327683:KRI327688 LAX327683:LBE327688 LKT327683:LLA327688 LUP327683:LUW327688 MEL327683:MES327688 MOH327683:MOO327688 MYD327683:MYK327688 NHZ327683:NIG327688 NRV327683:NSC327688 OBR327683:OBY327688 OLN327683:OLU327688 OVJ327683:OVQ327688 PFF327683:PFM327688 PPB327683:PPI327688 PYX327683:PZE327688 QIT327683:QJA327688 QSP327683:QSW327688 RCL327683:RCS327688 RMH327683:RMO327688 RWD327683:RWK327688 SFZ327683:SGG327688 SPV327683:SQC327688 SZR327683:SZY327688 TJN327683:TJU327688 TTJ327683:TTQ327688 UDF327683:UDM327688 UNB327683:UNI327688 UWX327683:UXE327688 VGT327683:VHA327688 VQP327683:VQW327688 WAL327683:WAS327688 WKH327683:WKO327688 WUD327683:WUK327688 HR393219:HY393224 RN393219:RU393224 ABJ393219:ABQ393224 ALF393219:ALM393224 AVB393219:AVI393224 BEX393219:BFE393224 BOT393219:BPA393224 BYP393219:BYW393224 CIL393219:CIS393224 CSH393219:CSO393224 DCD393219:DCK393224 DLZ393219:DMG393224 DVV393219:DWC393224 EFR393219:EFY393224 EPN393219:EPU393224 EZJ393219:EZQ393224 FJF393219:FJM393224 FTB393219:FTI393224 GCX393219:GDE393224 GMT393219:GNA393224 GWP393219:GWW393224 HGL393219:HGS393224 HQH393219:HQO393224 IAD393219:IAK393224 IJZ393219:IKG393224 ITV393219:IUC393224 JDR393219:JDY393224 JNN393219:JNU393224 JXJ393219:JXQ393224 KHF393219:KHM393224 KRB393219:KRI393224 LAX393219:LBE393224 LKT393219:LLA393224 LUP393219:LUW393224 MEL393219:MES393224 MOH393219:MOO393224 MYD393219:MYK393224 NHZ393219:NIG393224 NRV393219:NSC393224 OBR393219:OBY393224 OLN393219:OLU393224 OVJ393219:OVQ393224 PFF393219:PFM393224 PPB393219:PPI393224 PYX393219:PZE393224 QIT393219:QJA393224 QSP393219:QSW393224 RCL393219:RCS393224 RMH393219:RMO393224 RWD393219:RWK393224 SFZ393219:SGG393224 SPV393219:SQC393224 SZR393219:SZY393224 TJN393219:TJU393224 TTJ393219:TTQ393224 UDF393219:UDM393224 UNB393219:UNI393224 UWX393219:UXE393224 VGT393219:VHA393224 VQP393219:VQW393224 WAL393219:WAS393224 WKH393219:WKO393224 WUD393219:WUK393224 HR458755:HY458760 RN458755:RU458760 ABJ458755:ABQ458760 ALF458755:ALM458760 AVB458755:AVI458760 BEX458755:BFE458760 BOT458755:BPA458760 BYP458755:BYW458760 CIL458755:CIS458760 CSH458755:CSO458760 DCD458755:DCK458760 DLZ458755:DMG458760 DVV458755:DWC458760 EFR458755:EFY458760 EPN458755:EPU458760 EZJ458755:EZQ458760 FJF458755:FJM458760 FTB458755:FTI458760 GCX458755:GDE458760 GMT458755:GNA458760 GWP458755:GWW458760 HGL458755:HGS458760 HQH458755:HQO458760 IAD458755:IAK458760 IJZ458755:IKG458760 ITV458755:IUC458760 JDR458755:JDY458760 JNN458755:JNU458760 JXJ458755:JXQ458760 KHF458755:KHM458760 KRB458755:KRI458760 LAX458755:LBE458760 LKT458755:LLA458760 LUP458755:LUW458760 MEL458755:MES458760 MOH458755:MOO458760 MYD458755:MYK458760 NHZ458755:NIG458760 NRV458755:NSC458760 OBR458755:OBY458760 OLN458755:OLU458760 OVJ458755:OVQ458760 PFF458755:PFM458760 PPB458755:PPI458760 PYX458755:PZE458760 QIT458755:QJA458760 QSP458755:QSW458760 RCL458755:RCS458760 RMH458755:RMO458760 RWD458755:RWK458760 SFZ458755:SGG458760 SPV458755:SQC458760 SZR458755:SZY458760 TJN458755:TJU458760 TTJ458755:TTQ458760 UDF458755:UDM458760 UNB458755:UNI458760 UWX458755:UXE458760 VGT458755:VHA458760 VQP458755:VQW458760 WAL458755:WAS458760 WKH458755:WKO458760 WUD458755:WUK458760 HR524291:HY524296 RN524291:RU524296 ABJ524291:ABQ524296 ALF524291:ALM524296 AVB524291:AVI524296 BEX524291:BFE524296 BOT524291:BPA524296 BYP524291:BYW524296 CIL524291:CIS524296 CSH524291:CSO524296 DCD524291:DCK524296 DLZ524291:DMG524296 DVV524291:DWC524296 EFR524291:EFY524296 EPN524291:EPU524296 EZJ524291:EZQ524296 FJF524291:FJM524296 FTB524291:FTI524296 GCX524291:GDE524296 GMT524291:GNA524296 GWP524291:GWW524296 HGL524291:HGS524296 HQH524291:HQO524296 IAD524291:IAK524296 IJZ524291:IKG524296 ITV524291:IUC524296 JDR524291:JDY524296 JNN524291:JNU524296 JXJ524291:JXQ524296 KHF524291:KHM524296 KRB524291:KRI524296 LAX524291:LBE524296 LKT524291:LLA524296 LUP524291:LUW524296 MEL524291:MES524296 MOH524291:MOO524296 MYD524291:MYK524296 NHZ524291:NIG524296 NRV524291:NSC524296 OBR524291:OBY524296 OLN524291:OLU524296 OVJ524291:OVQ524296 PFF524291:PFM524296 PPB524291:PPI524296 PYX524291:PZE524296 QIT524291:QJA524296 QSP524291:QSW524296 RCL524291:RCS524296 RMH524291:RMO524296 RWD524291:RWK524296 SFZ524291:SGG524296 SPV524291:SQC524296 SZR524291:SZY524296 TJN524291:TJU524296 TTJ524291:TTQ524296 UDF524291:UDM524296 UNB524291:UNI524296 UWX524291:UXE524296 VGT524291:VHA524296 VQP524291:VQW524296 WAL524291:WAS524296 WKH524291:WKO524296 WUD524291:WUK524296 HR589827:HY589832 RN589827:RU589832 ABJ589827:ABQ589832 ALF589827:ALM589832 AVB589827:AVI589832 BEX589827:BFE589832 BOT589827:BPA589832 BYP589827:BYW589832 CIL589827:CIS589832 CSH589827:CSO589832 DCD589827:DCK589832 DLZ589827:DMG589832 DVV589827:DWC589832 EFR589827:EFY589832 EPN589827:EPU589832 EZJ589827:EZQ589832 FJF589827:FJM589832 FTB589827:FTI589832 GCX589827:GDE589832 GMT589827:GNA589832 GWP589827:GWW589832 HGL589827:HGS589832 HQH589827:HQO589832 IAD589827:IAK589832 IJZ589827:IKG589832 ITV589827:IUC589832 JDR589827:JDY589832 JNN589827:JNU589832 JXJ589827:JXQ589832 KHF589827:KHM589832 KRB589827:KRI589832 LAX589827:LBE589832 LKT589827:LLA589832 LUP589827:LUW589832 MEL589827:MES589832 MOH589827:MOO589832 MYD589827:MYK589832 NHZ589827:NIG589832 NRV589827:NSC589832 OBR589827:OBY589832 OLN589827:OLU589832 OVJ589827:OVQ589832 PFF589827:PFM589832 PPB589827:PPI589832 PYX589827:PZE589832 QIT589827:QJA589832 QSP589827:QSW589832 RCL589827:RCS589832 RMH589827:RMO589832 RWD589827:RWK589832 SFZ589827:SGG589832 SPV589827:SQC589832 SZR589827:SZY589832 TJN589827:TJU589832 TTJ589827:TTQ589832 UDF589827:UDM589832 UNB589827:UNI589832 UWX589827:UXE589832 VGT589827:VHA589832 VQP589827:VQW589832 WAL589827:WAS589832 WKH589827:WKO589832 WUD589827:WUK589832 HR655363:HY655368 RN655363:RU655368 ABJ655363:ABQ655368 ALF655363:ALM655368 AVB655363:AVI655368 BEX655363:BFE655368 BOT655363:BPA655368 BYP655363:BYW655368 CIL655363:CIS655368 CSH655363:CSO655368 DCD655363:DCK655368 DLZ655363:DMG655368 DVV655363:DWC655368 EFR655363:EFY655368 EPN655363:EPU655368 EZJ655363:EZQ655368 FJF655363:FJM655368 FTB655363:FTI655368 GCX655363:GDE655368 GMT655363:GNA655368 GWP655363:GWW655368 HGL655363:HGS655368 HQH655363:HQO655368 IAD655363:IAK655368 IJZ655363:IKG655368 ITV655363:IUC655368 JDR655363:JDY655368 JNN655363:JNU655368 JXJ655363:JXQ655368 KHF655363:KHM655368 KRB655363:KRI655368 LAX655363:LBE655368 LKT655363:LLA655368 LUP655363:LUW655368 MEL655363:MES655368 MOH655363:MOO655368 MYD655363:MYK655368 NHZ655363:NIG655368 NRV655363:NSC655368 OBR655363:OBY655368 OLN655363:OLU655368 OVJ655363:OVQ655368 PFF655363:PFM655368 PPB655363:PPI655368 PYX655363:PZE655368 QIT655363:QJA655368 QSP655363:QSW655368 RCL655363:RCS655368 RMH655363:RMO655368 RWD655363:RWK655368 SFZ655363:SGG655368 SPV655363:SQC655368 SZR655363:SZY655368 TJN655363:TJU655368 TTJ655363:TTQ655368 UDF655363:UDM655368 UNB655363:UNI655368 UWX655363:UXE655368 VGT655363:VHA655368 VQP655363:VQW655368 WAL655363:WAS655368 WKH655363:WKO655368 WUD655363:WUK655368 HR720899:HY720904 RN720899:RU720904 ABJ720899:ABQ720904 ALF720899:ALM720904 AVB720899:AVI720904 BEX720899:BFE720904 BOT720899:BPA720904 BYP720899:BYW720904 CIL720899:CIS720904 CSH720899:CSO720904 DCD720899:DCK720904 DLZ720899:DMG720904 DVV720899:DWC720904 EFR720899:EFY720904 EPN720899:EPU720904 EZJ720899:EZQ720904 FJF720899:FJM720904 FTB720899:FTI720904 GCX720899:GDE720904 GMT720899:GNA720904 GWP720899:GWW720904 HGL720899:HGS720904 HQH720899:HQO720904 IAD720899:IAK720904 IJZ720899:IKG720904 ITV720899:IUC720904 JDR720899:JDY720904 JNN720899:JNU720904 JXJ720899:JXQ720904 KHF720899:KHM720904 KRB720899:KRI720904 LAX720899:LBE720904 LKT720899:LLA720904 LUP720899:LUW720904 MEL720899:MES720904 MOH720899:MOO720904 MYD720899:MYK720904 NHZ720899:NIG720904 NRV720899:NSC720904 OBR720899:OBY720904 OLN720899:OLU720904 OVJ720899:OVQ720904 PFF720899:PFM720904 PPB720899:PPI720904 PYX720899:PZE720904 QIT720899:QJA720904 QSP720899:QSW720904 RCL720899:RCS720904 RMH720899:RMO720904 RWD720899:RWK720904 SFZ720899:SGG720904 SPV720899:SQC720904 SZR720899:SZY720904 TJN720899:TJU720904 TTJ720899:TTQ720904 UDF720899:UDM720904 UNB720899:UNI720904 UWX720899:UXE720904 VGT720899:VHA720904 VQP720899:VQW720904 WAL720899:WAS720904 WKH720899:WKO720904 WUD720899:WUK720904 HR786435:HY786440 RN786435:RU786440 ABJ786435:ABQ786440 ALF786435:ALM786440 AVB786435:AVI786440 BEX786435:BFE786440 BOT786435:BPA786440 BYP786435:BYW786440 CIL786435:CIS786440 CSH786435:CSO786440 DCD786435:DCK786440 DLZ786435:DMG786440 DVV786435:DWC786440 EFR786435:EFY786440 EPN786435:EPU786440 EZJ786435:EZQ786440 FJF786435:FJM786440 FTB786435:FTI786440 GCX786435:GDE786440 GMT786435:GNA786440 GWP786435:GWW786440 HGL786435:HGS786440 HQH786435:HQO786440 IAD786435:IAK786440 IJZ786435:IKG786440 ITV786435:IUC786440 JDR786435:JDY786440 JNN786435:JNU786440 JXJ786435:JXQ786440 KHF786435:KHM786440 KRB786435:KRI786440 LAX786435:LBE786440 LKT786435:LLA786440 LUP786435:LUW786440 MEL786435:MES786440 MOH786435:MOO786440 MYD786435:MYK786440 NHZ786435:NIG786440 NRV786435:NSC786440 OBR786435:OBY786440 OLN786435:OLU786440 OVJ786435:OVQ786440 PFF786435:PFM786440 PPB786435:PPI786440 PYX786435:PZE786440 QIT786435:QJA786440 QSP786435:QSW786440 RCL786435:RCS786440 RMH786435:RMO786440 RWD786435:RWK786440 SFZ786435:SGG786440 SPV786435:SQC786440 SZR786435:SZY786440 TJN786435:TJU786440 TTJ786435:TTQ786440 UDF786435:UDM786440 UNB786435:UNI786440 UWX786435:UXE786440 VGT786435:VHA786440 VQP786435:VQW786440 WAL786435:WAS786440 WKH786435:WKO786440 WUD786435:WUK786440 HR851971:HY851976 RN851971:RU851976 ABJ851971:ABQ851976 ALF851971:ALM851976 AVB851971:AVI851976 BEX851971:BFE851976 BOT851971:BPA851976 BYP851971:BYW851976 CIL851971:CIS851976 CSH851971:CSO851976 DCD851971:DCK851976 DLZ851971:DMG851976 DVV851971:DWC851976 EFR851971:EFY851976 EPN851971:EPU851976 EZJ851971:EZQ851976 FJF851971:FJM851976 FTB851971:FTI851976 GCX851971:GDE851976 GMT851971:GNA851976 GWP851971:GWW851976 HGL851971:HGS851976 HQH851971:HQO851976 IAD851971:IAK851976 IJZ851971:IKG851976 ITV851971:IUC851976 JDR851971:JDY851976 JNN851971:JNU851976 JXJ851971:JXQ851976 KHF851971:KHM851976 KRB851971:KRI851976 LAX851971:LBE851976 LKT851971:LLA851976 LUP851971:LUW851976 MEL851971:MES851976 MOH851971:MOO851976 MYD851971:MYK851976 NHZ851971:NIG851976 NRV851971:NSC851976 OBR851971:OBY851976 OLN851971:OLU851976 OVJ851971:OVQ851976 PFF851971:PFM851976 PPB851971:PPI851976 PYX851971:PZE851976 QIT851971:QJA851976 QSP851971:QSW851976 RCL851971:RCS851976 RMH851971:RMO851976 RWD851971:RWK851976 SFZ851971:SGG851976 SPV851971:SQC851976 SZR851971:SZY851976 TJN851971:TJU851976 TTJ851971:TTQ851976 UDF851971:UDM851976 UNB851971:UNI851976 UWX851971:UXE851976 VGT851971:VHA851976 VQP851971:VQW851976 WAL851971:WAS851976 WKH851971:WKO851976 WUD851971:WUK851976 HR917507:HY917512 RN917507:RU917512 ABJ917507:ABQ917512 ALF917507:ALM917512 AVB917507:AVI917512 BEX917507:BFE917512 BOT917507:BPA917512 BYP917507:BYW917512 CIL917507:CIS917512 CSH917507:CSO917512 DCD917507:DCK917512 DLZ917507:DMG917512 DVV917507:DWC917512 EFR917507:EFY917512 EPN917507:EPU917512 EZJ917507:EZQ917512 FJF917507:FJM917512 FTB917507:FTI917512 GCX917507:GDE917512 GMT917507:GNA917512 GWP917507:GWW917512 HGL917507:HGS917512 HQH917507:HQO917512 IAD917507:IAK917512 IJZ917507:IKG917512 ITV917507:IUC917512 JDR917507:JDY917512 JNN917507:JNU917512 JXJ917507:JXQ917512 KHF917507:KHM917512 KRB917507:KRI917512 LAX917507:LBE917512 LKT917507:LLA917512 LUP917507:LUW917512 MEL917507:MES917512 MOH917507:MOO917512 MYD917507:MYK917512 NHZ917507:NIG917512 NRV917507:NSC917512 OBR917507:OBY917512 OLN917507:OLU917512 OVJ917507:OVQ917512 PFF917507:PFM917512 PPB917507:PPI917512 PYX917507:PZE917512 QIT917507:QJA917512 QSP917507:QSW917512 RCL917507:RCS917512 RMH917507:RMO917512 RWD917507:RWK917512 SFZ917507:SGG917512 SPV917507:SQC917512 SZR917507:SZY917512 TJN917507:TJU917512 TTJ917507:TTQ917512 UDF917507:UDM917512 UNB917507:UNI917512 UWX917507:UXE917512 VGT917507:VHA917512 VQP917507:VQW917512 WAL917507:WAS917512 WKH917507:WKO917512 WUD917507:WUK917512" xr:uid="{D6A3EB15-7472-48CD-947F-668776E87D0F}">
      <formula1>"サーバ,クライアント"</formula1>
    </dataValidation>
    <dataValidation type="list" allowBlank="1" showInputMessage="1" showErrorMessage="1" sqref="V65552:Y65555 IH65552:IK65555 SD65552:SG65555 ABZ65552:ACC65555 ALV65552:ALY65555 AVR65552:AVU65555 BFN65552:BFQ65555 BPJ65552:BPM65555 BZF65552:BZI65555 CJB65552:CJE65555 CSX65552:CTA65555 DCT65552:DCW65555 DMP65552:DMS65555 DWL65552:DWO65555 EGH65552:EGK65555 EQD65552:EQG65555 EZZ65552:FAC65555 FJV65552:FJY65555 FTR65552:FTU65555 GDN65552:GDQ65555 GNJ65552:GNM65555 GXF65552:GXI65555 HHB65552:HHE65555 HQX65552:HRA65555 IAT65552:IAW65555 IKP65552:IKS65555 IUL65552:IUO65555 JEH65552:JEK65555 JOD65552:JOG65555 JXZ65552:JYC65555 KHV65552:KHY65555 KRR65552:KRU65555 LBN65552:LBQ65555 LLJ65552:LLM65555 LVF65552:LVI65555 MFB65552:MFE65555 MOX65552:MPA65555 MYT65552:MYW65555 NIP65552:NIS65555 NSL65552:NSO65555 OCH65552:OCK65555 OMD65552:OMG65555 OVZ65552:OWC65555 PFV65552:PFY65555 PPR65552:PPU65555 PZN65552:PZQ65555 QJJ65552:QJM65555 QTF65552:QTI65555 RDB65552:RDE65555 RMX65552:RNA65555 RWT65552:RWW65555 SGP65552:SGS65555 SQL65552:SQO65555 TAH65552:TAK65555 TKD65552:TKG65555 TTZ65552:TUC65555 UDV65552:UDY65555 UNR65552:UNU65555 UXN65552:UXQ65555 VHJ65552:VHM65555 VRF65552:VRI65555 WBB65552:WBE65555 WKX65552:WLA65555 WUT65552:WUW65555 V131088:Y131091 IH131088:IK131091 SD131088:SG131091 ABZ131088:ACC131091 ALV131088:ALY131091 AVR131088:AVU131091 BFN131088:BFQ131091 BPJ131088:BPM131091 BZF131088:BZI131091 CJB131088:CJE131091 CSX131088:CTA131091 DCT131088:DCW131091 DMP131088:DMS131091 DWL131088:DWO131091 EGH131088:EGK131091 EQD131088:EQG131091 EZZ131088:FAC131091 FJV131088:FJY131091 FTR131088:FTU131091 GDN131088:GDQ131091 GNJ131088:GNM131091 GXF131088:GXI131091 HHB131088:HHE131091 HQX131088:HRA131091 IAT131088:IAW131091 IKP131088:IKS131091 IUL131088:IUO131091 JEH131088:JEK131091 JOD131088:JOG131091 JXZ131088:JYC131091 KHV131088:KHY131091 KRR131088:KRU131091 LBN131088:LBQ131091 LLJ131088:LLM131091 LVF131088:LVI131091 MFB131088:MFE131091 MOX131088:MPA131091 MYT131088:MYW131091 NIP131088:NIS131091 NSL131088:NSO131091 OCH131088:OCK131091 OMD131088:OMG131091 OVZ131088:OWC131091 PFV131088:PFY131091 PPR131088:PPU131091 PZN131088:PZQ131091 QJJ131088:QJM131091 QTF131088:QTI131091 RDB131088:RDE131091 RMX131088:RNA131091 RWT131088:RWW131091 SGP131088:SGS131091 SQL131088:SQO131091 TAH131088:TAK131091 TKD131088:TKG131091 TTZ131088:TUC131091 UDV131088:UDY131091 UNR131088:UNU131091 UXN131088:UXQ131091 VHJ131088:VHM131091 VRF131088:VRI131091 WBB131088:WBE131091 WKX131088:WLA131091 WUT131088:WUW131091 V196624:Y196627 IH196624:IK196627 SD196624:SG196627 ABZ196624:ACC196627 ALV196624:ALY196627 AVR196624:AVU196627 BFN196624:BFQ196627 BPJ196624:BPM196627 BZF196624:BZI196627 CJB196624:CJE196627 CSX196624:CTA196627 DCT196624:DCW196627 DMP196624:DMS196627 DWL196624:DWO196627 EGH196624:EGK196627 EQD196624:EQG196627 EZZ196624:FAC196627 FJV196624:FJY196627 FTR196624:FTU196627 GDN196624:GDQ196627 GNJ196624:GNM196627 GXF196624:GXI196627 HHB196624:HHE196627 HQX196624:HRA196627 IAT196624:IAW196627 IKP196624:IKS196627 IUL196624:IUO196627 JEH196624:JEK196627 JOD196624:JOG196627 JXZ196624:JYC196627 KHV196624:KHY196627 KRR196624:KRU196627 LBN196624:LBQ196627 LLJ196624:LLM196627 LVF196624:LVI196627 MFB196624:MFE196627 MOX196624:MPA196627 MYT196624:MYW196627 NIP196624:NIS196627 NSL196624:NSO196627 OCH196624:OCK196627 OMD196624:OMG196627 OVZ196624:OWC196627 PFV196624:PFY196627 PPR196624:PPU196627 PZN196624:PZQ196627 QJJ196624:QJM196627 QTF196624:QTI196627 RDB196624:RDE196627 RMX196624:RNA196627 RWT196624:RWW196627 SGP196624:SGS196627 SQL196624:SQO196627 TAH196624:TAK196627 TKD196624:TKG196627 TTZ196624:TUC196627 UDV196624:UDY196627 UNR196624:UNU196627 UXN196624:UXQ196627 VHJ196624:VHM196627 VRF196624:VRI196627 WBB196624:WBE196627 WKX196624:WLA196627 WUT196624:WUW196627 V262160:Y262163 IH262160:IK262163 SD262160:SG262163 ABZ262160:ACC262163 ALV262160:ALY262163 AVR262160:AVU262163 BFN262160:BFQ262163 BPJ262160:BPM262163 BZF262160:BZI262163 CJB262160:CJE262163 CSX262160:CTA262163 DCT262160:DCW262163 DMP262160:DMS262163 DWL262160:DWO262163 EGH262160:EGK262163 EQD262160:EQG262163 EZZ262160:FAC262163 FJV262160:FJY262163 FTR262160:FTU262163 GDN262160:GDQ262163 GNJ262160:GNM262163 GXF262160:GXI262163 HHB262160:HHE262163 HQX262160:HRA262163 IAT262160:IAW262163 IKP262160:IKS262163 IUL262160:IUO262163 JEH262160:JEK262163 JOD262160:JOG262163 JXZ262160:JYC262163 KHV262160:KHY262163 KRR262160:KRU262163 LBN262160:LBQ262163 LLJ262160:LLM262163 LVF262160:LVI262163 MFB262160:MFE262163 MOX262160:MPA262163 MYT262160:MYW262163 NIP262160:NIS262163 NSL262160:NSO262163 OCH262160:OCK262163 OMD262160:OMG262163 OVZ262160:OWC262163 PFV262160:PFY262163 PPR262160:PPU262163 PZN262160:PZQ262163 QJJ262160:QJM262163 QTF262160:QTI262163 RDB262160:RDE262163 RMX262160:RNA262163 RWT262160:RWW262163 SGP262160:SGS262163 SQL262160:SQO262163 TAH262160:TAK262163 TKD262160:TKG262163 TTZ262160:TUC262163 UDV262160:UDY262163 UNR262160:UNU262163 UXN262160:UXQ262163 VHJ262160:VHM262163 VRF262160:VRI262163 WBB262160:WBE262163 WKX262160:WLA262163 WUT262160:WUW262163 V327696:Y327699 IH327696:IK327699 SD327696:SG327699 ABZ327696:ACC327699 ALV327696:ALY327699 AVR327696:AVU327699 BFN327696:BFQ327699 BPJ327696:BPM327699 BZF327696:BZI327699 CJB327696:CJE327699 CSX327696:CTA327699 DCT327696:DCW327699 DMP327696:DMS327699 DWL327696:DWO327699 EGH327696:EGK327699 EQD327696:EQG327699 EZZ327696:FAC327699 FJV327696:FJY327699 FTR327696:FTU327699 GDN327696:GDQ327699 GNJ327696:GNM327699 GXF327696:GXI327699 HHB327696:HHE327699 HQX327696:HRA327699 IAT327696:IAW327699 IKP327696:IKS327699 IUL327696:IUO327699 JEH327696:JEK327699 JOD327696:JOG327699 JXZ327696:JYC327699 KHV327696:KHY327699 KRR327696:KRU327699 LBN327696:LBQ327699 LLJ327696:LLM327699 LVF327696:LVI327699 MFB327696:MFE327699 MOX327696:MPA327699 MYT327696:MYW327699 NIP327696:NIS327699 NSL327696:NSO327699 OCH327696:OCK327699 OMD327696:OMG327699 OVZ327696:OWC327699 PFV327696:PFY327699 PPR327696:PPU327699 PZN327696:PZQ327699 QJJ327696:QJM327699 QTF327696:QTI327699 RDB327696:RDE327699 RMX327696:RNA327699 RWT327696:RWW327699 SGP327696:SGS327699 SQL327696:SQO327699 TAH327696:TAK327699 TKD327696:TKG327699 TTZ327696:TUC327699 UDV327696:UDY327699 UNR327696:UNU327699 UXN327696:UXQ327699 VHJ327696:VHM327699 VRF327696:VRI327699 WBB327696:WBE327699 WKX327696:WLA327699 WUT327696:WUW327699 V393232:Y393235 IH393232:IK393235 SD393232:SG393235 ABZ393232:ACC393235 ALV393232:ALY393235 AVR393232:AVU393235 BFN393232:BFQ393235 BPJ393232:BPM393235 BZF393232:BZI393235 CJB393232:CJE393235 CSX393232:CTA393235 DCT393232:DCW393235 DMP393232:DMS393235 DWL393232:DWO393235 EGH393232:EGK393235 EQD393232:EQG393235 EZZ393232:FAC393235 FJV393232:FJY393235 FTR393232:FTU393235 GDN393232:GDQ393235 GNJ393232:GNM393235 GXF393232:GXI393235 HHB393232:HHE393235 HQX393232:HRA393235 IAT393232:IAW393235 IKP393232:IKS393235 IUL393232:IUO393235 JEH393232:JEK393235 JOD393232:JOG393235 JXZ393232:JYC393235 KHV393232:KHY393235 KRR393232:KRU393235 LBN393232:LBQ393235 LLJ393232:LLM393235 LVF393232:LVI393235 MFB393232:MFE393235 MOX393232:MPA393235 MYT393232:MYW393235 NIP393232:NIS393235 NSL393232:NSO393235 OCH393232:OCK393235 OMD393232:OMG393235 OVZ393232:OWC393235 PFV393232:PFY393235 PPR393232:PPU393235 PZN393232:PZQ393235 QJJ393232:QJM393235 QTF393232:QTI393235 RDB393232:RDE393235 RMX393232:RNA393235 RWT393232:RWW393235 SGP393232:SGS393235 SQL393232:SQO393235 TAH393232:TAK393235 TKD393232:TKG393235 TTZ393232:TUC393235 UDV393232:UDY393235 UNR393232:UNU393235 UXN393232:UXQ393235 VHJ393232:VHM393235 VRF393232:VRI393235 WBB393232:WBE393235 WKX393232:WLA393235 WUT393232:WUW393235 V458768:Y458771 IH458768:IK458771 SD458768:SG458771 ABZ458768:ACC458771 ALV458768:ALY458771 AVR458768:AVU458771 BFN458768:BFQ458771 BPJ458768:BPM458771 BZF458768:BZI458771 CJB458768:CJE458771 CSX458768:CTA458771 DCT458768:DCW458771 DMP458768:DMS458771 DWL458768:DWO458771 EGH458768:EGK458771 EQD458768:EQG458771 EZZ458768:FAC458771 FJV458768:FJY458771 FTR458768:FTU458771 GDN458768:GDQ458771 GNJ458768:GNM458771 GXF458768:GXI458771 HHB458768:HHE458771 HQX458768:HRA458771 IAT458768:IAW458771 IKP458768:IKS458771 IUL458768:IUO458771 JEH458768:JEK458771 JOD458768:JOG458771 JXZ458768:JYC458771 KHV458768:KHY458771 KRR458768:KRU458771 LBN458768:LBQ458771 LLJ458768:LLM458771 LVF458768:LVI458771 MFB458768:MFE458771 MOX458768:MPA458771 MYT458768:MYW458771 NIP458768:NIS458771 NSL458768:NSO458771 OCH458768:OCK458771 OMD458768:OMG458771 OVZ458768:OWC458771 PFV458768:PFY458771 PPR458768:PPU458771 PZN458768:PZQ458771 QJJ458768:QJM458771 QTF458768:QTI458771 RDB458768:RDE458771 RMX458768:RNA458771 RWT458768:RWW458771 SGP458768:SGS458771 SQL458768:SQO458771 TAH458768:TAK458771 TKD458768:TKG458771 TTZ458768:TUC458771 UDV458768:UDY458771 UNR458768:UNU458771 UXN458768:UXQ458771 VHJ458768:VHM458771 VRF458768:VRI458771 WBB458768:WBE458771 WKX458768:WLA458771 WUT458768:WUW458771 V524304:Y524307 IH524304:IK524307 SD524304:SG524307 ABZ524304:ACC524307 ALV524304:ALY524307 AVR524304:AVU524307 BFN524304:BFQ524307 BPJ524304:BPM524307 BZF524304:BZI524307 CJB524304:CJE524307 CSX524304:CTA524307 DCT524304:DCW524307 DMP524304:DMS524307 DWL524304:DWO524307 EGH524304:EGK524307 EQD524304:EQG524307 EZZ524304:FAC524307 FJV524304:FJY524307 FTR524304:FTU524307 GDN524304:GDQ524307 GNJ524304:GNM524307 GXF524304:GXI524307 HHB524304:HHE524307 HQX524304:HRA524307 IAT524304:IAW524307 IKP524304:IKS524307 IUL524304:IUO524307 JEH524304:JEK524307 JOD524304:JOG524307 JXZ524304:JYC524307 KHV524304:KHY524307 KRR524304:KRU524307 LBN524304:LBQ524307 LLJ524304:LLM524307 LVF524304:LVI524307 MFB524304:MFE524307 MOX524304:MPA524307 MYT524304:MYW524307 NIP524304:NIS524307 NSL524304:NSO524307 OCH524304:OCK524307 OMD524304:OMG524307 OVZ524304:OWC524307 PFV524304:PFY524307 PPR524304:PPU524307 PZN524304:PZQ524307 QJJ524304:QJM524307 QTF524304:QTI524307 RDB524304:RDE524307 RMX524304:RNA524307 RWT524304:RWW524307 SGP524304:SGS524307 SQL524304:SQO524307 TAH524304:TAK524307 TKD524304:TKG524307 TTZ524304:TUC524307 UDV524304:UDY524307 UNR524304:UNU524307 UXN524304:UXQ524307 VHJ524304:VHM524307 VRF524304:VRI524307 WBB524304:WBE524307 WKX524304:WLA524307 WUT524304:WUW524307 V589840:Y589843 IH589840:IK589843 SD589840:SG589843 ABZ589840:ACC589843 ALV589840:ALY589843 AVR589840:AVU589843 BFN589840:BFQ589843 BPJ589840:BPM589843 BZF589840:BZI589843 CJB589840:CJE589843 CSX589840:CTA589843 DCT589840:DCW589843 DMP589840:DMS589843 DWL589840:DWO589843 EGH589840:EGK589843 EQD589840:EQG589843 EZZ589840:FAC589843 FJV589840:FJY589843 FTR589840:FTU589843 GDN589840:GDQ589843 GNJ589840:GNM589843 GXF589840:GXI589843 HHB589840:HHE589843 HQX589840:HRA589843 IAT589840:IAW589843 IKP589840:IKS589843 IUL589840:IUO589843 JEH589840:JEK589843 JOD589840:JOG589843 JXZ589840:JYC589843 KHV589840:KHY589843 KRR589840:KRU589843 LBN589840:LBQ589843 LLJ589840:LLM589843 LVF589840:LVI589843 MFB589840:MFE589843 MOX589840:MPA589843 MYT589840:MYW589843 NIP589840:NIS589843 NSL589840:NSO589843 OCH589840:OCK589843 OMD589840:OMG589843 OVZ589840:OWC589843 PFV589840:PFY589843 PPR589840:PPU589843 PZN589840:PZQ589843 QJJ589840:QJM589843 QTF589840:QTI589843 RDB589840:RDE589843 RMX589840:RNA589843 RWT589840:RWW589843 SGP589840:SGS589843 SQL589840:SQO589843 TAH589840:TAK589843 TKD589840:TKG589843 TTZ589840:TUC589843 UDV589840:UDY589843 UNR589840:UNU589843 UXN589840:UXQ589843 VHJ589840:VHM589843 VRF589840:VRI589843 WBB589840:WBE589843 WKX589840:WLA589843 WUT589840:WUW589843 V655376:Y655379 IH655376:IK655379 SD655376:SG655379 ABZ655376:ACC655379 ALV655376:ALY655379 AVR655376:AVU655379 BFN655376:BFQ655379 BPJ655376:BPM655379 BZF655376:BZI655379 CJB655376:CJE655379 CSX655376:CTA655379 DCT655376:DCW655379 DMP655376:DMS655379 DWL655376:DWO655379 EGH655376:EGK655379 EQD655376:EQG655379 EZZ655376:FAC655379 FJV655376:FJY655379 FTR655376:FTU655379 GDN655376:GDQ655379 GNJ655376:GNM655379 GXF655376:GXI655379 HHB655376:HHE655379 HQX655376:HRA655379 IAT655376:IAW655379 IKP655376:IKS655379 IUL655376:IUO655379 JEH655376:JEK655379 JOD655376:JOG655379 JXZ655376:JYC655379 KHV655376:KHY655379 KRR655376:KRU655379 LBN655376:LBQ655379 LLJ655376:LLM655379 LVF655376:LVI655379 MFB655376:MFE655379 MOX655376:MPA655379 MYT655376:MYW655379 NIP655376:NIS655379 NSL655376:NSO655379 OCH655376:OCK655379 OMD655376:OMG655379 OVZ655376:OWC655379 PFV655376:PFY655379 PPR655376:PPU655379 PZN655376:PZQ655379 QJJ655376:QJM655379 QTF655376:QTI655379 RDB655376:RDE655379 RMX655376:RNA655379 RWT655376:RWW655379 SGP655376:SGS655379 SQL655376:SQO655379 TAH655376:TAK655379 TKD655376:TKG655379 TTZ655376:TUC655379 UDV655376:UDY655379 UNR655376:UNU655379 UXN655376:UXQ655379 VHJ655376:VHM655379 VRF655376:VRI655379 WBB655376:WBE655379 WKX655376:WLA655379 WUT655376:WUW655379 V720912:Y720915 IH720912:IK720915 SD720912:SG720915 ABZ720912:ACC720915 ALV720912:ALY720915 AVR720912:AVU720915 BFN720912:BFQ720915 BPJ720912:BPM720915 BZF720912:BZI720915 CJB720912:CJE720915 CSX720912:CTA720915 DCT720912:DCW720915 DMP720912:DMS720915 DWL720912:DWO720915 EGH720912:EGK720915 EQD720912:EQG720915 EZZ720912:FAC720915 FJV720912:FJY720915 FTR720912:FTU720915 GDN720912:GDQ720915 GNJ720912:GNM720915 GXF720912:GXI720915 HHB720912:HHE720915 HQX720912:HRA720915 IAT720912:IAW720915 IKP720912:IKS720915 IUL720912:IUO720915 JEH720912:JEK720915 JOD720912:JOG720915 JXZ720912:JYC720915 KHV720912:KHY720915 KRR720912:KRU720915 LBN720912:LBQ720915 LLJ720912:LLM720915 LVF720912:LVI720915 MFB720912:MFE720915 MOX720912:MPA720915 MYT720912:MYW720915 NIP720912:NIS720915 NSL720912:NSO720915 OCH720912:OCK720915 OMD720912:OMG720915 OVZ720912:OWC720915 PFV720912:PFY720915 PPR720912:PPU720915 PZN720912:PZQ720915 QJJ720912:QJM720915 QTF720912:QTI720915 RDB720912:RDE720915 RMX720912:RNA720915 RWT720912:RWW720915 SGP720912:SGS720915 SQL720912:SQO720915 TAH720912:TAK720915 TKD720912:TKG720915 TTZ720912:TUC720915 UDV720912:UDY720915 UNR720912:UNU720915 UXN720912:UXQ720915 VHJ720912:VHM720915 VRF720912:VRI720915 WBB720912:WBE720915 WKX720912:WLA720915 WUT720912:WUW720915 V786448:Y786451 IH786448:IK786451 SD786448:SG786451 ABZ786448:ACC786451 ALV786448:ALY786451 AVR786448:AVU786451 BFN786448:BFQ786451 BPJ786448:BPM786451 BZF786448:BZI786451 CJB786448:CJE786451 CSX786448:CTA786451 DCT786448:DCW786451 DMP786448:DMS786451 DWL786448:DWO786451 EGH786448:EGK786451 EQD786448:EQG786451 EZZ786448:FAC786451 FJV786448:FJY786451 FTR786448:FTU786451 GDN786448:GDQ786451 GNJ786448:GNM786451 GXF786448:GXI786451 HHB786448:HHE786451 HQX786448:HRA786451 IAT786448:IAW786451 IKP786448:IKS786451 IUL786448:IUO786451 JEH786448:JEK786451 JOD786448:JOG786451 JXZ786448:JYC786451 KHV786448:KHY786451 KRR786448:KRU786451 LBN786448:LBQ786451 LLJ786448:LLM786451 LVF786448:LVI786451 MFB786448:MFE786451 MOX786448:MPA786451 MYT786448:MYW786451 NIP786448:NIS786451 NSL786448:NSO786451 OCH786448:OCK786451 OMD786448:OMG786451 OVZ786448:OWC786451 PFV786448:PFY786451 PPR786448:PPU786451 PZN786448:PZQ786451 QJJ786448:QJM786451 QTF786448:QTI786451 RDB786448:RDE786451 RMX786448:RNA786451 RWT786448:RWW786451 SGP786448:SGS786451 SQL786448:SQO786451 TAH786448:TAK786451 TKD786448:TKG786451 TTZ786448:TUC786451 UDV786448:UDY786451 UNR786448:UNU786451 UXN786448:UXQ786451 VHJ786448:VHM786451 VRF786448:VRI786451 WBB786448:WBE786451 WKX786448:WLA786451 WUT786448:WUW786451 V851984:Y851987 IH851984:IK851987 SD851984:SG851987 ABZ851984:ACC851987 ALV851984:ALY851987 AVR851984:AVU851987 BFN851984:BFQ851987 BPJ851984:BPM851987 BZF851984:BZI851987 CJB851984:CJE851987 CSX851984:CTA851987 DCT851984:DCW851987 DMP851984:DMS851987 DWL851984:DWO851987 EGH851984:EGK851987 EQD851984:EQG851987 EZZ851984:FAC851987 FJV851984:FJY851987 FTR851984:FTU851987 GDN851984:GDQ851987 GNJ851984:GNM851987 GXF851984:GXI851987 HHB851984:HHE851987 HQX851984:HRA851987 IAT851984:IAW851987 IKP851984:IKS851987 IUL851984:IUO851987 JEH851984:JEK851987 JOD851984:JOG851987 JXZ851984:JYC851987 KHV851984:KHY851987 KRR851984:KRU851987 LBN851984:LBQ851987 LLJ851984:LLM851987 LVF851984:LVI851987 MFB851984:MFE851987 MOX851984:MPA851987 MYT851984:MYW851987 NIP851984:NIS851987 NSL851984:NSO851987 OCH851984:OCK851987 OMD851984:OMG851987 OVZ851984:OWC851987 PFV851984:PFY851987 PPR851984:PPU851987 PZN851984:PZQ851987 QJJ851984:QJM851987 QTF851984:QTI851987 RDB851984:RDE851987 RMX851984:RNA851987 RWT851984:RWW851987 SGP851984:SGS851987 SQL851984:SQO851987 TAH851984:TAK851987 TKD851984:TKG851987 TTZ851984:TUC851987 UDV851984:UDY851987 UNR851984:UNU851987 UXN851984:UXQ851987 VHJ851984:VHM851987 VRF851984:VRI851987 WBB851984:WBE851987 WKX851984:WLA851987 WUT851984:WUW851987 V917520:Y917523 IH917520:IK917523 SD917520:SG917523 ABZ917520:ACC917523 ALV917520:ALY917523 AVR917520:AVU917523 BFN917520:BFQ917523 BPJ917520:BPM917523 BZF917520:BZI917523 CJB917520:CJE917523 CSX917520:CTA917523 DCT917520:DCW917523 DMP917520:DMS917523 DWL917520:DWO917523 EGH917520:EGK917523 EQD917520:EQG917523 EZZ917520:FAC917523 FJV917520:FJY917523 FTR917520:FTU917523 GDN917520:GDQ917523 GNJ917520:GNM917523 GXF917520:GXI917523 HHB917520:HHE917523 HQX917520:HRA917523 IAT917520:IAW917523 IKP917520:IKS917523 IUL917520:IUO917523 JEH917520:JEK917523 JOD917520:JOG917523 JXZ917520:JYC917523 KHV917520:KHY917523 KRR917520:KRU917523 LBN917520:LBQ917523 LLJ917520:LLM917523 LVF917520:LVI917523 MFB917520:MFE917523 MOX917520:MPA917523 MYT917520:MYW917523 NIP917520:NIS917523 NSL917520:NSO917523 OCH917520:OCK917523 OMD917520:OMG917523 OVZ917520:OWC917523 PFV917520:PFY917523 PPR917520:PPU917523 PZN917520:PZQ917523 QJJ917520:QJM917523 QTF917520:QTI917523 RDB917520:RDE917523 RMX917520:RNA917523 RWT917520:RWW917523 SGP917520:SGS917523 SQL917520:SQO917523 TAH917520:TAK917523 TKD917520:TKG917523 TTZ917520:TUC917523 UDV917520:UDY917523 UNR917520:UNU917523 UXN917520:UXQ917523 VHJ917520:VHM917523 VRF917520:VRI917523 WBB917520:WBE917523 WKX917520:WLA917523 WUT917520:WUW917523 V983056:Y983059 IH983056:IK983059 SD983056:SG983059 ABZ983056:ACC983059 ALV983056:ALY983059 AVR983056:AVU983059 BFN983056:BFQ983059 BPJ983056:BPM983059 BZF983056:BZI983059 CJB983056:CJE983059 CSX983056:CTA983059 DCT983056:DCW983059 DMP983056:DMS983059 DWL983056:DWO983059 EGH983056:EGK983059 EQD983056:EQG983059 EZZ983056:FAC983059 FJV983056:FJY983059 FTR983056:FTU983059 GDN983056:GDQ983059 GNJ983056:GNM983059 GXF983056:GXI983059 HHB983056:HHE983059 HQX983056:HRA983059 IAT983056:IAW983059 IKP983056:IKS983059 IUL983056:IUO983059 JEH983056:JEK983059 JOD983056:JOG983059 JXZ983056:JYC983059 KHV983056:KHY983059 KRR983056:KRU983059 LBN983056:LBQ983059 LLJ983056:LLM983059 LVF983056:LVI983059 MFB983056:MFE983059 MOX983056:MPA983059 MYT983056:MYW983059 NIP983056:NIS983059 NSL983056:NSO983059 OCH983056:OCK983059 OMD983056:OMG983059 OVZ983056:OWC983059 PFV983056:PFY983059 PPR983056:PPU983059 PZN983056:PZQ983059 QJJ983056:QJM983059 QTF983056:QTI983059 RDB983056:RDE983059 RMX983056:RNA983059 RWT983056:RWW983059 SGP983056:SGS983059 SQL983056:SQO983059 TAH983056:TAK983059 TKD983056:TKG983059 TTZ983056:TUC983059 UDV983056:UDY983059 UNR983056:UNU983059 UXN983056:UXQ983059 VHJ983056:VHM983059 VRF983056:VRI983059 WBB983056:WBE983059 WKX983056:WLA983059 WUT983056:WUW983059 Q65546:T65546 IC65546:IF65546 RY65546:SB65546 ABU65546:ABX65546 ALQ65546:ALT65546 AVM65546:AVP65546 BFI65546:BFL65546 BPE65546:BPH65546 BZA65546:BZD65546 CIW65546:CIZ65546 CSS65546:CSV65546 DCO65546:DCR65546 DMK65546:DMN65546 DWG65546:DWJ65546 EGC65546:EGF65546 EPY65546:EQB65546 EZU65546:EZX65546 FJQ65546:FJT65546 FTM65546:FTP65546 GDI65546:GDL65546 GNE65546:GNH65546 GXA65546:GXD65546 HGW65546:HGZ65546 HQS65546:HQV65546 IAO65546:IAR65546 IKK65546:IKN65546 IUG65546:IUJ65546 JEC65546:JEF65546 JNY65546:JOB65546 JXU65546:JXX65546 KHQ65546:KHT65546 KRM65546:KRP65546 LBI65546:LBL65546 LLE65546:LLH65546 LVA65546:LVD65546 MEW65546:MEZ65546 MOS65546:MOV65546 MYO65546:MYR65546 NIK65546:NIN65546 NSG65546:NSJ65546 OCC65546:OCF65546 OLY65546:OMB65546 OVU65546:OVX65546 PFQ65546:PFT65546 PPM65546:PPP65546 PZI65546:PZL65546 QJE65546:QJH65546 QTA65546:QTD65546 RCW65546:RCZ65546 RMS65546:RMV65546 RWO65546:RWR65546 SGK65546:SGN65546 SQG65546:SQJ65546 TAC65546:TAF65546 TJY65546:TKB65546 TTU65546:TTX65546 UDQ65546:UDT65546 UNM65546:UNP65546 UXI65546:UXL65546 VHE65546:VHH65546 VRA65546:VRD65546 WAW65546:WAZ65546 WKS65546:WKV65546 WUO65546:WUR65546 Q131082:T131082 IC131082:IF131082 RY131082:SB131082 ABU131082:ABX131082 ALQ131082:ALT131082 AVM131082:AVP131082 BFI131082:BFL131082 BPE131082:BPH131082 BZA131082:BZD131082 CIW131082:CIZ131082 CSS131082:CSV131082 DCO131082:DCR131082 DMK131082:DMN131082 DWG131082:DWJ131082 EGC131082:EGF131082 EPY131082:EQB131082 EZU131082:EZX131082 FJQ131082:FJT131082 FTM131082:FTP131082 GDI131082:GDL131082 GNE131082:GNH131082 GXA131082:GXD131082 HGW131082:HGZ131082 HQS131082:HQV131082 IAO131082:IAR131082 IKK131082:IKN131082 IUG131082:IUJ131082 JEC131082:JEF131082 JNY131082:JOB131082 JXU131082:JXX131082 KHQ131082:KHT131082 KRM131082:KRP131082 LBI131082:LBL131082 LLE131082:LLH131082 LVA131082:LVD131082 MEW131082:MEZ131082 MOS131082:MOV131082 MYO131082:MYR131082 NIK131082:NIN131082 NSG131082:NSJ131082 OCC131082:OCF131082 OLY131082:OMB131082 OVU131082:OVX131082 PFQ131082:PFT131082 PPM131082:PPP131082 PZI131082:PZL131082 QJE131082:QJH131082 QTA131082:QTD131082 RCW131082:RCZ131082 RMS131082:RMV131082 RWO131082:RWR131082 SGK131082:SGN131082 SQG131082:SQJ131082 TAC131082:TAF131082 TJY131082:TKB131082 TTU131082:TTX131082 UDQ131082:UDT131082 UNM131082:UNP131082 UXI131082:UXL131082 VHE131082:VHH131082 VRA131082:VRD131082 WAW131082:WAZ131082 WKS131082:WKV131082 WUO131082:WUR131082 Q196618:T196618 IC196618:IF196618 RY196618:SB196618 ABU196618:ABX196618 ALQ196618:ALT196618 AVM196618:AVP196618 BFI196618:BFL196618 BPE196618:BPH196618 BZA196618:BZD196618 CIW196618:CIZ196618 CSS196618:CSV196618 DCO196618:DCR196618 DMK196618:DMN196618 DWG196618:DWJ196618 EGC196618:EGF196618 EPY196618:EQB196618 EZU196618:EZX196618 FJQ196618:FJT196618 FTM196618:FTP196618 GDI196618:GDL196618 GNE196618:GNH196618 GXA196618:GXD196618 HGW196618:HGZ196618 HQS196618:HQV196618 IAO196618:IAR196618 IKK196618:IKN196618 IUG196618:IUJ196618 JEC196618:JEF196618 JNY196618:JOB196618 JXU196618:JXX196618 KHQ196618:KHT196618 KRM196618:KRP196618 LBI196618:LBL196618 LLE196618:LLH196618 LVA196618:LVD196618 MEW196618:MEZ196618 MOS196618:MOV196618 MYO196618:MYR196618 NIK196618:NIN196618 NSG196618:NSJ196618 OCC196618:OCF196618 OLY196618:OMB196618 OVU196618:OVX196618 PFQ196618:PFT196618 PPM196618:PPP196618 PZI196618:PZL196618 QJE196618:QJH196618 QTA196618:QTD196618 RCW196618:RCZ196618 RMS196618:RMV196618 RWO196618:RWR196618 SGK196618:SGN196618 SQG196618:SQJ196618 TAC196618:TAF196618 TJY196618:TKB196618 TTU196618:TTX196618 UDQ196618:UDT196618 UNM196618:UNP196618 UXI196618:UXL196618 VHE196618:VHH196618 VRA196618:VRD196618 WAW196618:WAZ196618 WKS196618:WKV196618 WUO196618:WUR196618 Q262154:T262154 IC262154:IF262154 RY262154:SB262154 ABU262154:ABX262154 ALQ262154:ALT262154 AVM262154:AVP262154 BFI262154:BFL262154 BPE262154:BPH262154 BZA262154:BZD262154 CIW262154:CIZ262154 CSS262154:CSV262154 DCO262154:DCR262154 DMK262154:DMN262154 DWG262154:DWJ262154 EGC262154:EGF262154 EPY262154:EQB262154 EZU262154:EZX262154 FJQ262154:FJT262154 FTM262154:FTP262154 GDI262154:GDL262154 GNE262154:GNH262154 GXA262154:GXD262154 HGW262154:HGZ262154 HQS262154:HQV262154 IAO262154:IAR262154 IKK262154:IKN262154 IUG262154:IUJ262154 JEC262154:JEF262154 JNY262154:JOB262154 JXU262154:JXX262154 KHQ262154:KHT262154 KRM262154:KRP262154 LBI262154:LBL262154 LLE262154:LLH262154 LVA262154:LVD262154 MEW262154:MEZ262154 MOS262154:MOV262154 MYO262154:MYR262154 NIK262154:NIN262154 NSG262154:NSJ262154 OCC262154:OCF262154 OLY262154:OMB262154 OVU262154:OVX262154 PFQ262154:PFT262154 PPM262154:PPP262154 PZI262154:PZL262154 QJE262154:QJH262154 QTA262154:QTD262154 RCW262154:RCZ262154 RMS262154:RMV262154 RWO262154:RWR262154 SGK262154:SGN262154 SQG262154:SQJ262154 TAC262154:TAF262154 TJY262154:TKB262154 TTU262154:TTX262154 UDQ262154:UDT262154 UNM262154:UNP262154 UXI262154:UXL262154 VHE262154:VHH262154 VRA262154:VRD262154 WAW262154:WAZ262154 WKS262154:WKV262154 WUO262154:WUR262154 Q327690:T327690 IC327690:IF327690 RY327690:SB327690 ABU327690:ABX327690 ALQ327690:ALT327690 AVM327690:AVP327690 BFI327690:BFL327690 BPE327690:BPH327690 BZA327690:BZD327690 CIW327690:CIZ327690 CSS327690:CSV327690 DCO327690:DCR327690 DMK327690:DMN327690 DWG327690:DWJ327690 EGC327690:EGF327690 EPY327690:EQB327690 EZU327690:EZX327690 FJQ327690:FJT327690 FTM327690:FTP327690 GDI327690:GDL327690 GNE327690:GNH327690 GXA327690:GXD327690 HGW327690:HGZ327690 HQS327690:HQV327690 IAO327690:IAR327690 IKK327690:IKN327690 IUG327690:IUJ327690 JEC327690:JEF327690 JNY327690:JOB327690 JXU327690:JXX327690 KHQ327690:KHT327690 KRM327690:KRP327690 LBI327690:LBL327690 LLE327690:LLH327690 LVA327690:LVD327690 MEW327690:MEZ327690 MOS327690:MOV327690 MYO327690:MYR327690 NIK327690:NIN327690 NSG327690:NSJ327690 OCC327690:OCF327690 OLY327690:OMB327690 OVU327690:OVX327690 PFQ327690:PFT327690 PPM327690:PPP327690 PZI327690:PZL327690 QJE327690:QJH327690 QTA327690:QTD327690 RCW327690:RCZ327690 RMS327690:RMV327690 RWO327690:RWR327690 SGK327690:SGN327690 SQG327690:SQJ327690 TAC327690:TAF327690 TJY327690:TKB327690 TTU327690:TTX327690 UDQ327690:UDT327690 UNM327690:UNP327690 UXI327690:UXL327690 VHE327690:VHH327690 VRA327690:VRD327690 WAW327690:WAZ327690 WKS327690:WKV327690 WUO327690:WUR327690 Q393226:T393226 IC393226:IF393226 RY393226:SB393226 ABU393226:ABX393226 ALQ393226:ALT393226 AVM393226:AVP393226 BFI393226:BFL393226 BPE393226:BPH393226 BZA393226:BZD393226 CIW393226:CIZ393226 CSS393226:CSV393226 DCO393226:DCR393226 DMK393226:DMN393226 DWG393226:DWJ393226 EGC393226:EGF393226 EPY393226:EQB393226 EZU393226:EZX393226 FJQ393226:FJT393226 FTM393226:FTP393226 GDI393226:GDL393226 GNE393226:GNH393226 GXA393226:GXD393226 HGW393226:HGZ393226 HQS393226:HQV393226 IAO393226:IAR393226 IKK393226:IKN393226 IUG393226:IUJ393226 JEC393226:JEF393226 JNY393226:JOB393226 JXU393226:JXX393226 KHQ393226:KHT393226 KRM393226:KRP393226 LBI393226:LBL393226 LLE393226:LLH393226 LVA393226:LVD393226 MEW393226:MEZ393226 MOS393226:MOV393226 MYO393226:MYR393226 NIK393226:NIN393226 NSG393226:NSJ393226 OCC393226:OCF393226 OLY393226:OMB393226 OVU393226:OVX393226 PFQ393226:PFT393226 PPM393226:PPP393226 PZI393226:PZL393226 QJE393226:QJH393226 QTA393226:QTD393226 RCW393226:RCZ393226 RMS393226:RMV393226 RWO393226:RWR393226 SGK393226:SGN393226 SQG393226:SQJ393226 TAC393226:TAF393226 TJY393226:TKB393226 TTU393226:TTX393226 UDQ393226:UDT393226 UNM393226:UNP393226 UXI393226:UXL393226 VHE393226:VHH393226 VRA393226:VRD393226 WAW393226:WAZ393226 WKS393226:WKV393226 WUO393226:WUR393226 Q458762:T458762 IC458762:IF458762 RY458762:SB458762 ABU458762:ABX458762 ALQ458762:ALT458762 AVM458762:AVP458762 BFI458762:BFL458762 BPE458762:BPH458762 BZA458762:BZD458762 CIW458762:CIZ458762 CSS458762:CSV458762 DCO458762:DCR458762 DMK458762:DMN458762 DWG458762:DWJ458762 EGC458762:EGF458762 EPY458762:EQB458762 EZU458762:EZX458762 FJQ458762:FJT458762 FTM458762:FTP458762 GDI458762:GDL458762 GNE458762:GNH458762 GXA458762:GXD458762 HGW458762:HGZ458762 HQS458762:HQV458762 IAO458762:IAR458762 IKK458762:IKN458762 IUG458762:IUJ458762 JEC458762:JEF458762 JNY458762:JOB458762 JXU458762:JXX458762 KHQ458762:KHT458762 KRM458762:KRP458762 LBI458762:LBL458762 LLE458762:LLH458762 LVA458762:LVD458762 MEW458762:MEZ458762 MOS458762:MOV458762 MYO458762:MYR458762 NIK458762:NIN458762 NSG458762:NSJ458762 OCC458762:OCF458762 OLY458762:OMB458762 OVU458762:OVX458762 PFQ458762:PFT458762 PPM458762:PPP458762 PZI458762:PZL458762 QJE458762:QJH458762 QTA458762:QTD458762 RCW458762:RCZ458762 RMS458762:RMV458762 RWO458762:RWR458762 SGK458762:SGN458762 SQG458762:SQJ458762 TAC458762:TAF458762 TJY458762:TKB458762 TTU458762:TTX458762 UDQ458762:UDT458762 UNM458762:UNP458762 UXI458762:UXL458762 VHE458762:VHH458762 VRA458762:VRD458762 WAW458762:WAZ458762 WKS458762:WKV458762 WUO458762:WUR458762 Q524298:T524298 IC524298:IF524298 RY524298:SB524298 ABU524298:ABX524298 ALQ524298:ALT524298 AVM524298:AVP524298 BFI524298:BFL524298 BPE524298:BPH524298 BZA524298:BZD524298 CIW524298:CIZ524298 CSS524298:CSV524298 DCO524298:DCR524298 DMK524298:DMN524298 DWG524298:DWJ524298 EGC524298:EGF524298 EPY524298:EQB524298 EZU524298:EZX524298 FJQ524298:FJT524298 FTM524298:FTP524298 GDI524298:GDL524298 GNE524298:GNH524298 GXA524298:GXD524298 HGW524298:HGZ524298 HQS524298:HQV524298 IAO524298:IAR524298 IKK524298:IKN524298 IUG524298:IUJ524298 JEC524298:JEF524298 JNY524298:JOB524298 JXU524298:JXX524298 KHQ524298:KHT524298 KRM524298:KRP524298 LBI524298:LBL524298 LLE524298:LLH524298 LVA524298:LVD524298 MEW524298:MEZ524298 MOS524298:MOV524298 MYO524298:MYR524298 NIK524298:NIN524298 NSG524298:NSJ524298 OCC524298:OCF524298 OLY524298:OMB524298 OVU524298:OVX524298 PFQ524298:PFT524298 PPM524298:PPP524298 PZI524298:PZL524298 QJE524298:QJH524298 QTA524298:QTD524298 RCW524298:RCZ524298 RMS524298:RMV524298 RWO524298:RWR524298 SGK524298:SGN524298 SQG524298:SQJ524298 TAC524298:TAF524298 TJY524298:TKB524298 TTU524298:TTX524298 UDQ524298:UDT524298 UNM524298:UNP524298 UXI524298:UXL524298 VHE524298:VHH524298 VRA524298:VRD524298 WAW524298:WAZ524298 WKS524298:WKV524298 WUO524298:WUR524298 Q589834:T589834 IC589834:IF589834 RY589834:SB589834 ABU589834:ABX589834 ALQ589834:ALT589834 AVM589834:AVP589834 BFI589834:BFL589834 BPE589834:BPH589834 BZA589834:BZD589834 CIW589834:CIZ589834 CSS589834:CSV589834 DCO589834:DCR589834 DMK589834:DMN589834 DWG589834:DWJ589834 EGC589834:EGF589834 EPY589834:EQB589834 EZU589834:EZX589834 FJQ589834:FJT589834 FTM589834:FTP589834 GDI589834:GDL589834 GNE589834:GNH589834 GXA589834:GXD589834 HGW589834:HGZ589834 HQS589834:HQV589834 IAO589834:IAR589834 IKK589834:IKN589834 IUG589834:IUJ589834 JEC589834:JEF589834 JNY589834:JOB589834 JXU589834:JXX589834 KHQ589834:KHT589834 KRM589834:KRP589834 LBI589834:LBL589834 LLE589834:LLH589834 LVA589834:LVD589834 MEW589834:MEZ589834 MOS589834:MOV589834 MYO589834:MYR589834 NIK589834:NIN589834 NSG589834:NSJ589834 OCC589834:OCF589834 OLY589834:OMB589834 OVU589834:OVX589834 PFQ589834:PFT589834 PPM589834:PPP589834 PZI589834:PZL589834 QJE589834:QJH589834 QTA589834:QTD589834 RCW589834:RCZ589834 RMS589834:RMV589834 RWO589834:RWR589834 SGK589834:SGN589834 SQG589834:SQJ589834 TAC589834:TAF589834 TJY589834:TKB589834 TTU589834:TTX589834 UDQ589834:UDT589834 UNM589834:UNP589834 UXI589834:UXL589834 VHE589834:VHH589834 VRA589834:VRD589834 WAW589834:WAZ589834 WKS589834:WKV589834 WUO589834:WUR589834 Q655370:T655370 IC655370:IF655370 RY655370:SB655370 ABU655370:ABX655370 ALQ655370:ALT655370 AVM655370:AVP655370 BFI655370:BFL655370 BPE655370:BPH655370 BZA655370:BZD655370 CIW655370:CIZ655370 CSS655370:CSV655370 DCO655370:DCR655370 DMK655370:DMN655370 DWG655370:DWJ655370 EGC655370:EGF655370 EPY655370:EQB655370 EZU655370:EZX655370 FJQ655370:FJT655370 FTM655370:FTP655370 GDI655370:GDL655370 GNE655370:GNH655370 GXA655370:GXD655370 HGW655370:HGZ655370 HQS655370:HQV655370 IAO655370:IAR655370 IKK655370:IKN655370 IUG655370:IUJ655370 JEC655370:JEF655370 JNY655370:JOB655370 JXU655370:JXX655370 KHQ655370:KHT655370 KRM655370:KRP655370 LBI655370:LBL655370 LLE655370:LLH655370 LVA655370:LVD655370 MEW655370:MEZ655370 MOS655370:MOV655370 MYO655370:MYR655370 NIK655370:NIN655370 NSG655370:NSJ655370 OCC655370:OCF655370 OLY655370:OMB655370 OVU655370:OVX655370 PFQ655370:PFT655370 PPM655370:PPP655370 PZI655370:PZL655370 QJE655370:QJH655370 QTA655370:QTD655370 RCW655370:RCZ655370 RMS655370:RMV655370 RWO655370:RWR655370 SGK655370:SGN655370 SQG655370:SQJ655370 TAC655370:TAF655370 TJY655370:TKB655370 TTU655370:TTX655370 UDQ655370:UDT655370 UNM655370:UNP655370 UXI655370:UXL655370 VHE655370:VHH655370 VRA655370:VRD655370 WAW655370:WAZ655370 WKS655370:WKV655370 WUO655370:WUR655370 Q720906:T720906 IC720906:IF720906 RY720906:SB720906 ABU720906:ABX720906 ALQ720906:ALT720906 AVM720906:AVP720906 BFI720906:BFL720906 BPE720906:BPH720906 BZA720906:BZD720906 CIW720906:CIZ720906 CSS720906:CSV720906 DCO720906:DCR720906 DMK720906:DMN720906 DWG720906:DWJ720906 EGC720906:EGF720906 EPY720906:EQB720906 EZU720906:EZX720906 FJQ720906:FJT720906 FTM720906:FTP720906 GDI720906:GDL720906 GNE720906:GNH720906 GXA720906:GXD720906 HGW720906:HGZ720906 HQS720906:HQV720906 IAO720906:IAR720906 IKK720906:IKN720906 IUG720906:IUJ720906 JEC720906:JEF720906 JNY720906:JOB720906 JXU720906:JXX720906 KHQ720906:KHT720906 KRM720906:KRP720906 LBI720906:LBL720906 LLE720906:LLH720906 LVA720906:LVD720906 MEW720906:MEZ720906 MOS720906:MOV720906 MYO720906:MYR720906 NIK720906:NIN720906 NSG720906:NSJ720906 OCC720906:OCF720906 OLY720906:OMB720906 OVU720906:OVX720906 PFQ720906:PFT720906 PPM720906:PPP720906 PZI720906:PZL720906 QJE720906:QJH720906 QTA720906:QTD720906 RCW720906:RCZ720906 RMS720906:RMV720906 RWO720906:RWR720906 SGK720906:SGN720906 SQG720906:SQJ720906 TAC720906:TAF720906 TJY720906:TKB720906 TTU720906:TTX720906 UDQ720906:UDT720906 UNM720906:UNP720906 UXI720906:UXL720906 VHE720906:VHH720906 VRA720906:VRD720906 WAW720906:WAZ720906 WKS720906:WKV720906 WUO720906:WUR720906 Q786442:T786442 IC786442:IF786442 RY786442:SB786442 ABU786442:ABX786442 ALQ786442:ALT786442 AVM786442:AVP786442 BFI786442:BFL786442 BPE786442:BPH786442 BZA786442:BZD786442 CIW786442:CIZ786442 CSS786442:CSV786442 DCO786442:DCR786442 DMK786442:DMN786442 DWG786442:DWJ786442 EGC786442:EGF786442 EPY786442:EQB786442 EZU786442:EZX786442 FJQ786442:FJT786442 FTM786442:FTP786442 GDI786442:GDL786442 GNE786442:GNH786442 GXA786442:GXD786442 HGW786442:HGZ786442 HQS786442:HQV786442 IAO786442:IAR786442 IKK786442:IKN786442 IUG786442:IUJ786442 JEC786442:JEF786442 JNY786442:JOB786442 JXU786442:JXX786442 KHQ786442:KHT786442 KRM786442:KRP786442 LBI786442:LBL786442 LLE786442:LLH786442 LVA786442:LVD786442 MEW786442:MEZ786442 MOS786442:MOV786442 MYO786442:MYR786442 NIK786442:NIN786442 NSG786442:NSJ786442 OCC786442:OCF786442 OLY786442:OMB786442 OVU786442:OVX786442 PFQ786442:PFT786442 PPM786442:PPP786442 PZI786442:PZL786442 QJE786442:QJH786442 QTA786442:QTD786442 RCW786442:RCZ786442 RMS786442:RMV786442 RWO786442:RWR786442 SGK786442:SGN786442 SQG786442:SQJ786442 TAC786442:TAF786442 TJY786442:TKB786442 TTU786442:TTX786442 UDQ786442:UDT786442 UNM786442:UNP786442 UXI786442:UXL786442 VHE786442:VHH786442 VRA786442:VRD786442 WAW786442:WAZ786442 WKS786442:WKV786442 WUO786442:WUR786442 Q851978:T851978 IC851978:IF851978 RY851978:SB851978 ABU851978:ABX851978 ALQ851978:ALT851978 AVM851978:AVP851978 BFI851978:BFL851978 BPE851978:BPH851978 BZA851978:BZD851978 CIW851978:CIZ851978 CSS851978:CSV851978 DCO851978:DCR851978 DMK851978:DMN851978 DWG851978:DWJ851978 EGC851978:EGF851978 EPY851978:EQB851978 EZU851978:EZX851978 FJQ851978:FJT851978 FTM851978:FTP851978 GDI851978:GDL851978 GNE851978:GNH851978 GXA851978:GXD851978 HGW851978:HGZ851978 HQS851978:HQV851978 IAO851978:IAR851978 IKK851978:IKN851978 IUG851978:IUJ851978 JEC851978:JEF851978 JNY851978:JOB851978 JXU851978:JXX851978 KHQ851978:KHT851978 KRM851978:KRP851978 LBI851978:LBL851978 LLE851978:LLH851978 LVA851978:LVD851978 MEW851978:MEZ851978 MOS851978:MOV851978 MYO851978:MYR851978 NIK851978:NIN851978 NSG851978:NSJ851978 OCC851978:OCF851978 OLY851978:OMB851978 OVU851978:OVX851978 PFQ851978:PFT851978 PPM851978:PPP851978 PZI851978:PZL851978 QJE851978:QJH851978 QTA851978:QTD851978 RCW851978:RCZ851978 RMS851978:RMV851978 RWO851978:RWR851978 SGK851978:SGN851978 SQG851978:SQJ851978 TAC851978:TAF851978 TJY851978:TKB851978 TTU851978:TTX851978 UDQ851978:UDT851978 UNM851978:UNP851978 UXI851978:UXL851978 VHE851978:VHH851978 VRA851978:VRD851978 WAW851978:WAZ851978 WKS851978:WKV851978 WUO851978:WUR851978 Q917514:T917514 IC917514:IF917514 RY917514:SB917514 ABU917514:ABX917514 ALQ917514:ALT917514 AVM917514:AVP917514 BFI917514:BFL917514 BPE917514:BPH917514 BZA917514:BZD917514 CIW917514:CIZ917514 CSS917514:CSV917514 DCO917514:DCR917514 DMK917514:DMN917514 DWG917514:DWJ917514 EGC917514:EGF917514 EPY917514:EQB917514 EZU917514:EZX917514 FJQ917514:FJT917514 FTM917514:FTP917514 GDI917514:GDL917514 GNE917514:GNH917514 GXA917514:GXD917514 HGW917514:HGZ917514 HQS917514:HQV917514 IAO917514:IAR917514 IKK917514:IKN917514 IUG917514:IUJ917514 JEC917514:JEF917514 JNY917514:JOB917514 JXU917514:JXX917514 KHQ917514:KHT917514 KRM917514:KRP917514 LBI917514:LBL917514 LLE917514:LLH917514 LVA917514:LVD917514 MEW917514:MEZ917514 MOS917514:MOV917514 MYO917514:MYR917514 NIK917514:NIN917514 NSG917514:NSJ917514 OCC917514:OCF917514 OLY917514:OMB917514 OVU917514:OVX917514 PFQ917514:PFT917514 PPM917514:PPP917514 PZI917514:PZL917514 QJE917514:QJH917514 QTA917514:QTD917514 RCW917514:RCZ917514 RMS917514:RMV917514 RWO917514:RWR917514 SGK917514:SGN917514 SQG917514:SQJ917514 TAC917514:TAF917514 TJY917514:TKB917514 TTU917514:TTX917514 UDQ917514:UDT917514 UNM917514:UNP917514 UXI917514:UXL917514 VHE917514:VHH917514 VRA917514:VRD917514 WAW917514:WAZ917514 WKS917514:WKV917514 WUO917514:WUR917514 Q983050:T983050 IC983050:IF983050 RY983050:SB983050 ABU983050:ABX983050 ALQ983050:ALT983050 AVM983050:AVP983050 BFI983050:BFL983050 BPE983050:BPH983050 BZA983050:BZD983050 CIW983050:CIZ983050 CSS983050:CSV983050 DCO983050:DCR983050 DMK983050:DMN983050 DWG983050:DWJ983050 EGC983050:EGF983050 EPY983050:EQB983050 EZU983050:EZX983050 FJQ983050:FJT983050 FTM983050:FTP983050 GDI983050:GDL983050 GNE983050:GNH983050 GXA983050:GXD983050 HGW983050:HGZ983050 HQS983050:HQV983050 IAO983050:IAR983050 IKK983050:IKN983050 IUG983050:IUJ983050 JEC983050:JEF983050 JNY983050:JOB983050 JXU983050:JXX983050 KHQ983050:KHT983050 KRM983050:KRP983050 LBI983050:LBL983050 LLE983050:LLH983050 LVA983050:LVD983050 MEW983050:MEZ983050 MOS983050:MOV983050 MYO983050:MYR983050 NIK983050:NIN983050 NSG983050:NSJ983050 OCC983050:OCF983050 OLY983050:OMB983050 OVU983050:OVX983050 PFQ983050:PFT983050 PPM983050:PPP983050 PZI983050:PZL983050 QJE983050:QJH983050 QTA983050:QTD983050 RCW983050:RCZ983050 RMS983050:RMV983050 RWO983050:RWR983050 SGK983050:SGN983050 SQG983050:SQJ983050 TAC983050:TAF983050 TJY983050:TKB983050 TTU983050:TTX983050 UDQ983050:UDT983050 UNM983050:UNP983050 UXI983050:UXL983050 VHE983050:VHH983050 VRA983050:VRD983050 WAW983050:WAZ983050 WKS983050:WKV983050 WUO983050:WUR983050 HX983049:IA983049 RT983049:RW983049 ABP983049:ABS983049 ALL983049:ALO983049 AVH983049:AVK983049 BFD983049:BFG983049 BOZ983049:BPC983049 BYV983049:BYY983049 CIR983049:CIU983049 CSN983049:CSQ983049 DCJ983049:DCM983049 DMF983049:DMI983049 DWB983049:DWE983049 EFX983049:EGA983049 EPT983049:EPW983049 EZP983049:EZS983049 FJL983049:FJO983049 FTH983049:FTK983049 GDD983049:GDG983049 GMZ983049:GNC983049 GWV983049:GWY983049 HGR983049:HGU983049 HQN983049:HQQ983049 IAJ983049:IAM983049 IKF983049:IKI983049 IUB983049:IUE983049 JDX983049:JEA983049 JNT983049:JNW983049 JXP983049:JXS983049 KHL983049:KHO983049 KRH983049:KRK983049 LBD983049:LBG983049 LKZ983049:LLC983049 LUV983049:LUY983049 MER983049:MEU983049 MON983049:MOQ983049 MYJ983049:MYM983049 NIF983049:NII983049 NSB983049:NSE983049 OBX983049:OCA983049 OLT983049:OLW983049 OVP983049:OVS983049 PFL983049:PFO983049 PPH983049:PPK983049 PZD983049:PZG983049 QIZ983049:QJC983049 QSV983049:QSY983049 RCR983049:RCU983049 RMN983049:RMQ983049 RWJ983049:RWM983049 SGF983049:SGI983049 SQB983049:SQE983049 SZX983049:TAA983049 TJT983049:TJW983049 TTP983049:TTS983049 UDL983049:UDO983049 UNH983049:UNK983049 UXD983049:UXG983049 VGZ983049:VHC983049 VQV983049:VQY983049 WAR983049:WAU983049 WKN983049:WKQ983049 WUJ983049:WUM983049 HX65545:IA65545 RT65545:RW65545 ABP65545:ABS65545 ALL65545:ALO65545 AVH65545:AVK65545 BFD65545:BFG65545 BOZ65545:BPC65545 BYV65545:BYY65545 CIR65545:CIU65545 CSN65545:CSQ65545 DCJ65545:DCM65545 DMF65545:DMI65545 DWB65545:DWE65545 EFX65545:EGA65545 EPT65545:EPW65545 EZP65545:EZS65545 FJL65545:FJO65545 FTH65545:FTK65545 GDD65545:GDG65545 GMZ65545:GNC65545 GWV65545:GWY65545 HGR65545:HGU65545 HQN65545:HQQ65545 IAJ65545:IAM65545 IKF65545:IKI65545 IUB65545:IUE65545 JDX65545:JEA65545 JNT65545:JNW65545 JXP65545:JXS65545 KHL65545:KHO65545 KRH65545:KRK65545 LBD65545:LBG65545 LKZ65545:LLC65545 LUV65545:LUY65545 MER65545:MEU65545 MON65545:MOQ65545 MYJ65545:MYM65545 NIF65545:NII65545 NSB65545:NSE65545 OBX65545:OCA65545 OLT65545:OLW65545 OVP65545:OVS65545 PFL65545:PFO65545 PPH65545:PPK65545 PZD65545:PZG65545 QIZ65545:QJC65545 QSV65545:QSY65545 RCR65545:RCU65545 RMN65545:RMQ65545 RWJ65545:RWM65545 SGF65545:SGI65545 SQB65545:SQE65545 SZX65545:TAA65545 TJT65545:TJW65545 TTP65545:TTS65545 UDL65545:UDO65545 UNH65545:UNK65545 UXD65545:UXG65545 VGZ65545:VHC65545 VQV65545:VQY65545 WAR65545:WAU65545 WKN65545:WKQ65545 WUJ65545:WUM65545 HX131081:IA131081 RT131081:RW131081 ABP131081:ABS131081 ALL131081:ALO131081 AVH131081:AVK131081 BFD131081:BFG131081 BOZ131081:BPC131081 BYV131081:BYY131081 CIR131081:CIU131081 CSN131081:CSQ131081 DCJ131081:DCM131081 DMF131081:DMI131081 DWB131081:DWE131081 EFX131081:EGA131081 EPT131081:EPW131081 EZP131081:EZS131081 FJL131081:FJO131081 FTH131081:FTK131081 GDD131081:GDG131081 GMZ131081:GNC131081 GWV131081:GWY131081 HGR131081:HGU131081 HQN131081:HQQ131081 IAJ131081:IAM131081 IKF131081:IKI131081 IUB131081:IUE131081 JDX131081:JEA131081 JNT131081:JNW131081 JXP131081:JXS131081 KHL131081:KHO131081 KRH131081:KRK131081 LBD131081:LBG131081 LKZ131081:LLC131081 LUV131081:LUY131081 MER131081:MEU131081 MON131081:MOQ131081 MYJ131081:MYM131081 NIF131081:NII131081 NSB131081:NSE131081 OBX131081:OCA131081 OLT131081:OLW131081 OVP131081:OVS131081 PFL131081:PFO131081 PPH131081:PPK131081 PZD131081:PZG131081 QIZ131081:QJC131081 QSV131081:QSY131081 RCR131081:RCU131081 RMN131081:RMQ131081 RWJ131081:RWM131081 SGF131081:SGI131081 SQB131081:SQE131081 SZX131081:TAA131081 TJT131081:TJW131081 TTP131081:TTS131081 UDL131081:UDO131081 UNH131081:UNK131081 UXD131081:UXG131081 VGZ131081:VHC131081 VQV131081:VQY131081 WAR131081:WAU131081 WKN131081:WKQ131081 WUJ131081:WUM131081 HX196617:IA196617 RT196617:RW196617 ABP196617:ABS196617 ALL196617:ALO196617 AVH196617:AVK196617 BFD196617:BFG196617 BOZ196617:BPC196617 BYV196617:BYY196617 CIR196617:CIU196617 CSN196617:CSQ196617 DCJ196617:DCM196617 DMF196617:DMI196617 DWB196617:DWE196617 EFX196617:EGA196617 EPT196617:EPW196617 EZP196617:EZS196617 FJL196617:FJO196617 FTH196617:FTK196617 GDD196617:GDG196617 GMZ196617:GNC196617 GWV196617:GWY196617 HGR196617:HGU196617 HQN196617:HQQ196617 IAJ196617:IAM196617 IKF196617:IKI196617 IUB196617:IUE196617 JDX196617:JEA196617 JNT196617:JNW196617 JXP196617:JXS196617 KHL196617:KHO196617 KRH196617:KRK196617 LBD196617:LBG196617 LKZ196617:LLC196617 LUV196617:LUY196617 MER196617:MEU196617 MON196617:MOQ196617 MYJ196617:MYM196617 NIF196617:NII196617 NSB196617:NSE196617 OBX196617:OCA196617 OLT196617:OLW196617 OVP196617:OVS196617 PFL196617:PFO196617 PPH196617:PPK196617 PZD196617:PZG196617 QIZ196617:QJC196617 QSV196617:QSY196617 RCR196617:RCU196617 RMN196617:RMQ196617 RWJ196617:RWM196617 SGF196617:SGI196617 SQB196617:SQE196617 SZX196617:TAA196617 TJT196617:TJW196617 TTP196617:TTS196617 UDL196617:UDO196617 UNH196617:UNK196617 UXD196617:UXG196617 VGZ196617:VHC196617 VQV196617:VQY196617 WAR196617:WAU196617 WKN196617:WKQ196617 WUJ196617:WUM196617 HX262153:IA262153 RT262153:RW262153 ABP262153:ABS262153 ALL262153:ALO262153 AVH262153:AVK262153 BFD262153:BFG262153 BOZ262153:BPC262153 BYV262153:BYY262153 CIR262153:CIU262153 CSN262153:CSQ262153 DCJ262153:DCM262153 DMF262153:DMI262153 DWB262153:DWE262153 EFX262153:EGA262153 EPT262153:EPW262153 EZP262153:EZS262153 FJL262153:FJO262153 FTH262153:FTK262153 GDD262153:GDG262153 GMZ262153:GNC262153 GWV262153:GWY262153 HGR262153:HGU262153 HQN262153:HQQ262153 IAJ262153:IAM262153 IKF262153:IKI262153 IUB262153:IUE262153 JDX262153:JEA262153 JNT262153:JNW262153 JXP262153:JXS262153 KHL262153:KHO262153 KRH262153:KRK262153 LBD262153:LBG262153 LKZ262153:LLC262153 LUV262153:LUY262153 MER262153:MEU262153 MON262153:MOQ262153 MYJ262153:MYM262153 NIF262153:NII262153 NSB262153:NSE262153 OBX262153:OCA262153 OLT262153:OLW262153 OVP262153:OVS262153 PFL262153:PFO262153 PPH262153:PPK262153 PZD262153:PZG262153 QIZ262153:QJC262153 QSV262153:QSY262153 RCR262153:RCU262153 RMN262153:RMQ262153 RWJ262153:RWM262153 SGF262153:SGI262153 SQB262153:SQE262153 SZX262153:TAA262153 TJT262153:TJW262153 TTP262153:TTS262153 UDL262153:UDO262153 UNH262153:UNK262153 UXD262153:UXG262153 VGZ262153:VHC262153 VQV262153:VQY262153 WAR262153:WAU262153 WKN262153:WKQ262153 WUJ262153:WUM262153 HX327689:IA327689 RT327689:RW327689 ABP327689:ABS327689 ALL327689:ALO327689 AVH327689:AVK327689 BFD327689:BFG327689 BOZ327689:BPC327689 BYV327689:BYY327689 CIR327689:CIU327689 CSN327689:CSQ327689 DCJ327689:DCM327689 DMF327689:DMI327689 DWB327689:DWE327689 EFX327689:EGA327689 EPT327689:EPW327689 EZP327689:EZS327689 FJL327689:FJO327689 FTH327689:FTK327689 GDD327689:GDG327689 GMZ327689:GNC327689 GWV327689:GWY327689 HGR327689:HGU327689 HQN327689:HQQ327689 IAJ327689:IAM327689 IKF327689:IKI327689 IUB327689:IUE327689 JDX327689:JEA327689 JNT327689:JNW327689 JXP327689:JXS327689 KHL327689:KHO327689 KRH327689:KRK327689 LBD327689:LBG327689 LKZ327689:LLC327689 LUV327689:LUY327689 MER327689:MEU327689 MON327689:MOQ327689 MYJ327689:MYM327689 NIF327689:NII327689 NSB327689:NSE327689 OBX327689:OCA327689 OLT327689:OLW327689 OVP327689:OVS327689 PFL327689:PFO327689 PPH327689:PPK327689 PZD327689:PZG327689 QIZ327689:QJC327689 QSV327689:QSY327689 RCR327689:RCU327689 RMN327689:RMQ327689 RWJ327689:RWM327689 SGF327689:SGI327689 SQB327689:SQE327689 SZX327689:TAA327689 TJT327689:TJW327689 TTP327689:TTS327689 UDL327689:UDO327689 UNH327689:UNK327689 UXD327689:UXG327689 VGZ327689:VHC327689 VQV327689:VQY327689 WAR327689:WAU327689 WKN327689:WKQ327689 WUJ327689:WUM327689 HX393225:IA393225 RT393225:RW393225 ABP393225:ABS393225 ALL393225:ALO393225 AVH393225:AVK393225 BFD393225:BFG393225 BOZ393225:BPC393225 BYV393225:BYY393225 CIR393225:CIU393225 CSN393225:CSQ393225 DCJ393225:DCM393225 DMF393225:DMI393225 DWB393225:DWE393225 EFX393225:EGA393225 EPT393225:EPW393225 EZP393225:EZS393225 FJL393225:FJO393225 FTH393225:FTK393225 GDD393225:GDG393225 GMZ393225:GNC393225 GWV393225:GWY393225 HGR393225:HGU393225 HQN393225:HQQ393225 IAJ393225:IAM393225 IKF393225:IKI393225 IUB393225:IUE393225 JDX393225:JEA393225 JNT393225:JNW393225 JXP393225:JXS393225 KHL393225:KHO393225 KRH393225:KRK393225 LBD393225:LBG393225 LKZ393225:LLC393225 LUV393225:LUY393225 MER393225:MEU393225 MON393225:MOQ393225 MYJ393225:MYM393225 NIF393225:NII393225 NSB393225:NSE393225 OBX393225:OCA393225 OLT393225:OLW393225 OVP393225:OVS393225 PFL393225:PFO393225 PPH393225:PPK393225 PZD393225:PZG393225 QIZ393225:QJC393225 QSV393225:QSY393225 RCR393225:RCU393225 RMN393225:RMQ393225 RWJ393225:RWM393225 SGF393225:SGI393225 SQB393225:SQE393225 SZX393225:TAA393225 TJT393225:TJW393225 TTP393225:TTS393225 UDL393225:UDO393225 UNH393225:UNK393225 UXD393225:UXG393225 VGZ393225:VHC393225 VQV393225:VQY393225 WAR393225:WAU393225 WKN393225:WKQ393225 WUJ393225:WUM393225 HX458761:IA458761 RT458761:RW458761 ABP458761:ABS458761 ALL458761:ALO458761 AVH458761:AVK458761 BFD458761:BFG458761 BOZ458761:BPC458761 BYV458761:BYY458761 CIR458761:CIU458761 CSN458761:CSQ458761 DCJ458761:DCM458761 DMF458761:DMI458761 DWB458761:DWE458761 EFX458761:EGA458761 EPT458761:EPW458761 EZP458761:EZS458761 FJL458761:FJO458761 FTH458761:FTK458761 GDD458761:GDG458761 GMZ458761:GNC458761 GWV458761:GWY458761 HGR458761:HGU458761 HQN458761:HQQ458761 IAJ458761:IAM458761 IKF458761:IKI458761 IUB458761:IUE458761 JDX458761:JEA458761 JNT458761:JNW458761 JXP458761:JXS458761 KHL458761:KHO458761 KRH458761:KRK458761 LBD458761:LBG458761 LKZ458761:LLC458761 LUV458761:LUY458761 MER458761:MEU458761 MON458761:MOQ458761 MYJ458761:MYM458761 NIF458761:NII458761 NSB458761:NSE458761 OBX458761:OCA458761 OLT458761:OLW458761 OVP458761:OVS458761 PFL458761:PFO458761 PPH458761:PPK458761 PZD458761:PZG458761 QIZ458761:QJC458761 QSV458761:QSY458761 RCR458761:RCU458761 RMN458761:RMQ458761 RWJ458761:RWM458761 SGF458761:SGI458761 SQB458761:SQE458761 SZX458761:TAA458761 TJT458761:TJW458761 TTP458761:TTS458761 UDL458761:UDO458761 UNH458761:UNK458761 UXD458761:UXG458761 VGZ458761:VHC458761 VQV458761:VQY458761 WAR458761:WAU458761 WKN458761:WKQ458761 WUJ458761:WUM458761 HX524297:IA524297 RT524297:RW524297 ABP524297:ABS524297 ALL524297:ALO524297 AVH524297:AVK524297 BFD524297:BFG524297 BOZ524297:BPC524297 BYV524297:BYY524297 CIR524297:CIU524297 CSN524297:CSQ524297 DCJ524297:DCM524297 DMF524297:DMI524297 DWB524297:DWE524297 EFX524297:EGA524297 EPT524297:EPW524297 EZP524297:EZS524297 FJL524297:FJO524297 FTH524297:FTK524297 GDD524297:GDG524297 GMZ524297:GNC524297 GWV524297:GWY524297 HGR524297:HGU524297 HQN524297:HQQ524297 IAJ524297:IAM524297 IKF524297:IKI524297 IUB524297:IUE524297 JDX524297:JEA524297 JNT524297:JNW524297 JXP524297:JXS524297 KHL524297:KHO524297 KRH524297:KRK524297 LBD524297:LBG524297 LKZ524297:LLC524297 LUV524297:LUY524297 MER524297:MEU524297 MON524297:MOQ524297 MYJ524297:MYM524297 NIF524297:NII524297 NSB524297:NSE524297 OBX524297:OCA524297 OLT524297:OLW524297 OVP524297:OVS524297 PFL524297:PFO524297 PPH524297:PPK524297 PZD524297:PZG524297 QIZ524297:QJC524297 QSV524297:QSY524297 RCR524297:RCU524297 RMN524297:RMQ524297 RWJ524297:RWM524297 SGF524297:SGI524297 SQB524297:SQE524297 SZX524297:TAA524297 TJT524297:TJW524297 TTP524297:TTS524297 UDL524297:UDO524297 UNH524297:UNK524297 UXD524297:UXG524297 VGZ524297:VHC524297 VQV524297:VQY524297 WAR524297:WAU524297 WKN524297:WKQ524297 WUJ524297:WUM524297 HX589833:IA589833 RT589833:RW589833 ABP589833:ABS589833 ALL589833:ALO589833 AVH589833:AVK589833 BFD589833:BFG589833 BOZ589833:BPC589833 BYV589833:BYY589833 CIR589833:CIU589833 CSN589833:CSQ589833 DCJ589833:DCM589833 DMF589833:DMI589833 DWB589833:DWE589833 EFX589833:EGA589833 EPT589833:EPW589833 EZP589833:EZS589833 FJL589833:FJO589833 FTH589833:FTK589833 GDD589833:GDG589833 GMZ589833:GNC589833 GWV589833:GWY589833 HGR589833:HGU589833 HQN589833:HQQ589833 IAJ589833:IAM589833 IKF589833:IKI589833 IUB589833:IUE589833 JDX589833:JEA589833 JNT589833:JNW589833 JXP589833:JXS589833 KHL589833:KHO589833 KRH589833:KRK589833 LBD589833:LBG589833 LKZ589833:LLC589833 LUV589833:LUY589833 MER589833:MEU589833 MON589833:MOQ589833 MYJ589833:MYM589833 NIF589833:NII589833 NSB589833:NSE589833 OBX589833:OCA589833 OLT589833:OLW589833 OVP589833:OVS589833 PFL589833:PFO589833 PPH589833:PPK589833 PZD589833:PZG589833 QIZ589833:QJC589833 QSV589833:QSY589833 RCR589833:RCU589833 RMN589833:RMQ589833 RWJ589833:RWM589833 SGF589833:SGI589833 SQB589833:SQE589833 SZX589833:TAA589833 TJT589833:TJW589833 TTP589833:TTS589833 UDL589833:UDO589833 UNH589833:UNK589833 UXD589833:UXG589833 VGZ589833:VHC589833 VQV589833:VQY589833 WAR589833:WAU589833 WKN589833:WKQ589833 WUJ589833:WUM589833 HX655369:IA655369 RT655369:RW655369 ABP655369:ABS655369 ALL655369:ALO655369 AVH655369:AVK655369 BFD655369:BFG655369 BOZ655369:BPC655369 BYV655369:BYY655369 CIR655369:CIU655369 CSN655369:CSQ655369 DCJ655369:DCM655369 DMF655369:DMI655369 DWB655369:DWE655369 EFX655369:EGA655369 EPT655369:EPW655369 EZP655369:EZS655369 FJL655369:FJO655369 FTH655369:FTK655369 GDD655369:GDG655369 GMZ655369:GNC655369 GWV655369:GWY655369 HGR655369:HGU655369 HQN655369:HQQ655369 IAJ655369:IAM655369 IKF655369:IKI655369 IUB655369:IUE655369 JDX655369:JEA655369 JNT655369:JNW655369 JXP655369:JXS655369 KHL655369:KHO655369 KRH655369:KRK655369 LBD655369:LBG655369 LKZ655369:LLC655369 LUV655369:LUY655369 MER655369:MEU655369 MON655369:MOQ655369 MYJ655369:MYM655369 NIF655369:NII655369 NSB655369:NSE655369 OBX655369:OCA655369 OLT655369:OLW655369 OVP655369:OVS655369 PFL655369:PFO655369 PPH655369:PPK655369 PZD655369:PZG655369 QIZ655369:QJC655369 QSV655369:QSY655369 RCR655369:RCU655369 RMN655369:RMQ655369 RWJ655369:RWM655369 SGF655369:SGI655369 SQB655369:SQE655369 SZX655369:TAA655369 TJT655369:TJW655369 TTP655369:TTS655369 UDL655369:UDO655369 UNH655369:UNK655369 UXD655369:UXG655369 VGZ655369:VHC655369 VQV655369:VQY655369 WAR655369:WAU655369 WKN655369:WKQ655369 WUJ655369:WUM655369 HX720905:IA720905 RT720905:RW720905 ABP720905:ABS720905 ALL720905:ALO720905 AVH720905:AVK720905 BFD720905:BFG720905 BOZ720905:BPC720905 BYV720905:BYY720905 CIR720905:CIU720905 CSN720905:CSQ720905 DCJ720905:DCM720905 DMF720905:DMI720905 DWB720905:DWE720905 EFX720905:EGA720905 EPT720905:EPW720905 EZP720905:EZS720905 FJL720905:FJO720905 FTH720905:FTK720905 GDD720905:GDG720905 GMZ720905:GNC720905 GWV720905:GWY720905 HGR720905:HGU720905 HQN720905:HQQ720905 IAJ720905:IAM720905 IKF720905:IKI720905 IUB720905:IUE720905 JDX720905:JEA720905 JNT720905:JNW720905 JXP720905:JXS720905 KHL720905:KHO720905 KRH720905:KRK720905 LBD720905:LBG720905 LKZ720905:LLC720905 LUV720905:LUY720905 MER720905:MEU720905 MON720905:MOQ720905 MYJ720905:MYM720905 NIF720905:NII720905 NSB720905:NSE720905 OBX720905:OCA720905 OLT720905:OLW720905 OVP720905:OVS720905 PFL720905:PFO720905 PPH720905:PPK720905 PZD720905:PZG720905 QIZ720905:QJC720905 QSV720905:QSY720905 RCR720905:RCU720905 RMN720905:RMQ720905 RWJ720905:RWM720905 SGF720905:SGI720905 SQB720905:SQE720905 SZX720905:TAA720905 TJT720905:TJW720905 TTP720905:TTS720905 UDL720905:UDO720905 UNH720905:UNK720905 UXD720905:UXG720905 VGZ720905:VHC720905 VQV720905:VQY720905 WAR720905:WAU720905 WKN720905:WKQ720905 WUJ720905:WUM720905 HX786441:IA786441 RT786441:RW786441 ABP786441:ABS786441 ALL786441:ALO786441 AVH786441:AVK786441 BFD786441:BFG786441 BOZ786441:BPC786441 BYV786441:BYY786441 CIR786441:CIU786441 CSN786441:CSQ786441 DCJ786441:DCM786441 DMF786441:DMI786441 DWB786441:DWE786441 EFX786441:EGA786441 EPT786441:EPW786441 EZP786441:EZS786441 FJL786441:FJO786441 FTH786441:FTK786441 GDD786441:GDG786441 GMZ786441:GNC786441 GWV786441:GWY786441 HGR786441:HGU786441 HQN786441:HQQ786441 IAJ786441:IAM786441 IKF786441:IKI786441 IUB786441:IUE786441 JDX786441:JEA786441 JNT786441:JNW786441 JXP786441:JXS786441 KHL786441:KHO786441 KRH786441:KRK786441 LBD786441:LBG786441 LKZ786441:LLC786441 LUV786441:LUY786441 MER786441:MEU786441 MON786441:MOQ786441 MYJ786441:MYM786441 NIF786441:NII786441 NSB786441:NSE786441 OBX786441:OCA786441 OLT786441:OLW786441 OVP786441:OVS786441 PFL786441:PFO786441 PPH786441:PPK786441 PZD786441:PZG786441 QIZ786441:QJC786441 QSV786441:QSY786441 RCR786441:RCU786441 RMN786441:RMQ786441 RWJ786441:RWM786441 SGF786441:SGI786441 SQB786441:SQE786441 SZX786441:TAA786441 TJT786441:TJW786441 TTP786441:TTS786441 UDL786441:UDO786441 UNH786441:UNK786441 UXD786441:UXG786441 VGZ786441:VHC786441 VQV786441:VQY786441 WAR786441:WAU786441 WKN786441:WKQ786441 WUJ786441:WUM786441 HX851977:IA851977 RT851977:RW851977 ABP851977:ABS851977 ALL851977:ALO851977 AVH851977:AVK851977 BFD851977:BFG851977 BOZ851977:BPC851977 BYV851977:BYY851977 CIR851977:CIU851977 CSN851977:CSQ851977 DCJ851977:DCM851977 DMF851977:DMI851977 DWB851977:DWE851977 EFX851977:EGA851977 EPT851977:EPW851977 EZP851977:EZS851977 FJL851977:FJO851977 FTH851977:FTK851977 GDD851977:GDG851977 GMZ851977:GNC851977 GWV851977:GWY851977 HGR851977:HGU851977 HQN851977:HQQ851977 IAJ851977:IAM851977 IKF851977:IKI851977 IUB851977:IUE851977 JDX851977:JEA851977 JNT851977:JNW851977 JXP851977:JXS851977 KHL851977:KHO851977 KRH851977:KRK851977 LBD851977:LBG851977 LKZ851977:LLC851977 LUV851977:LUY851977 MER851977:MEU851977 MON851977:MOQ851977 MYJ851977:MYM851977 NIF851977:NII851977 NSB851977:NSE851977 OBX851977:OCA851977 OLT851977:OLW851977 OVP851977:OVS851977 PFL851977:PFO851977 PPH851977:PPK851977 PZD851977:PZG851977 QIZ851977:QJC851977 QSV851977:QSY851977 RCR851977:RCU851977 RMN851977:RMQ851977 RWJ851977:RWM851977 SGF851977:SGI851977 SQB851977:SQE851977 SZX851977:TAA851977 TJT851977:TJW851977 TTP851977:TTS851977 UDL851977:UDO851977 UNH851977:UNK851977 UXD851977:UXG851977 VGZ851977:VHC851977 VQV851977:VQY851977 WAR851977:WAU851977 WKN851977:WKQ851977 WUJ851977:WUM851977 HX917513:IA917513 RT917513:RW917513 ABP917513:ABS917513 ALL917513:ALO917513 AVH917513:AVK917513 BFD917513:BFG917513 BOZ917513:BPC917513 BYV917513:BYY917513 CIR917513:CIU917513 CSN917513:CSQ917513 DCJ917513:DCM917513 DMF917513:DMI917513 DWB917513:DWE917513 EFX917513:EGA917513 EPT917513:EPW917513 EZP917513:EZS917513 FJL917513:FJO917513 FTH917513:FTK917513 GDD917513:GDG917513 GMZ917513:GNC917513 GWV917513:GWY917513 HGR917513:HGU917513 HQN917513:HQQ917513 IAJ917513:IAM917513 IKF917513:IKI917513 IUB917513:IUE917513 JDX917513:JEA917513 JNT917513:JNW917513 JXP917513:JXS917513 KHL917513:KHO917513 KRH917513:KRK917513 LBD917513:LBG917513 LKZ917513:LLC917513 LUV917513:LUY917513 MER917513:MEU917513 MON917513:MOQ917513 MYJ917513:MYM917513 NIF917513:NII917513 NSB917513:NSE917513 OBX917513:OCA917513 OLT917513:OLW917513 OVP917513:OVS917513 PFL917513:PFO917513 PPH917513:PPK917513 PZD917513:PZG917513 QIZ917513:QJC917513 QSV917513:QSY917513 RCR917513:RCU917513 RMN917513:RMQ917513 RWJ917513:RWM917513 SGF917513:SGI917513 SQB917513:SQE917513 SZX917513:TAA917513 TJT917513:TJW917513 TTP917513:TTS917513 UDL917513:UDO917513 UNH917513:UNK917513 UXD917513:UXG917513 VGZ917513:VHC917513 VQV917513:VQY917513 WAR917513:WAU917513 WKN917513:WKQ917513 WUJ917513:WUM917513" xr:uid="{66B5B723-262E-47E0-A8D6-E9817CA62E30}">
      <formula1>"○"</formula1>
    </dataValidation>
    <dataValidation type="list" allowBlank="1" showInputMessage="1" showErrorMessage="1" sqref="U65546:X65546 IG65546:IJ65546 SC65546:SF65546 ABY65546:ACB65546 ALU65546:ALX65546 AVQ65546:AVT65546 BFM65546:BFP65546 BPI65546:BPL65546 BZE65546:BZH65546 CJA65546:CJD65546 CSW65546:CSZ65546 DCS65546:DCV65546 DMO65546:DMR65546 DWK65546:DWN65546 EGG65546:EGJ65546 EQC65546:EQF65546 EZY65546:FAB65546 FJU65546:FJX65546 FTQ65546:FTT65546 GDM65546:GDP65546 GNI65546:GNL65546 GXE65546:GXH65546 HHA65546:HHD65546 HQW65546:HQZ65546 IAS65546:IAV65546 IKO65546:IKR65546 IUK65546:IUN65546 JEG65546:JEJ65546 JOC65546:JOF65546 JXY65546:JYB65546 KHU65546:KHX65546 KRQ65546:KRT65546 LBM65546:LBP65546 LLI65546:LLL65546 LVE65546:LVH65546 MFA65546:MFD65546 MOW65546:MOZ65546 MYS65546:MYV65546 NIO65546:NIR65546 NSK65546:NSN65546 OCG65546:OCJ65546 OMC65546:OMF65546 OVY65546:OWB65546 PFU65546:PFX65546 PPQ65546:PPT65546 PZM65546:PZP65546 QJI65546:QJL65546 QTE65546:QTH65546 RDA65546:RDD65546 RMW65546:RMZ65546 RWS65546:RWV65546 SGO65546:SGR65546 SQK65546:SQN65546 TAG65546:TAJ65546 TKC65546:TKF65546 TTY65546:TUB65546 UDU65546:UDX65546 UNQ65546:UNT65546 UXM65546:UXP65546 VHI65546:VHL65546 VRE65546:VRH65546 WBA65546:WBD65546 WKW65546:WKZ65546 WUS65546:WUV65546 U131082:X131082 IG131082:IJ131082 SC131082:SF131082 ABY131082:ACB131082 ALU131082:ALX131082 AVQ131082:AVT131082 BFM131082:BFP131082 BPI131082:BPL131082 BZE131082:BZH131082 CJA131082:CJD131082 CSW131082:CSZ131082 DCS131082:DCV131082 DMO131082:DMR131082 DWK131082:DWN131082 EGG131082:EGJ131082 EQC131082:EQF131082 EZY131082:FAB131082 FJU131082:FJX131082 FTQ131082:FTT131082 GDM131082:GDP131082 GNI131082:GNL131082 GXE131082:GXH131082 HHA131082:HHD131082 HQW131082:HQZ131082 IAS131082:IAV131082 IKO131082:IKR131082 IUK131082:IUN131082 JEG131082:JEJ131082 JOC131082:JOF131082 JXY131082:JYB131082 KHU131082:KHX131082 KRQ131082:KRT131082 LBM131082:LBP131082 LLI131082:LLL131082 LVE131082:LVH131082 MFA131082:MFD131082 MOW131082:MOZ131082 MYS131082:MYV131082 NIO131082:NIR131082 NSK131082:NSN131082 OCG131082:OCJ131082 OMC131082:OMF131082 OVY131082:OWB131082 PFU131082:PFX131082 PPQ131082:PPT131082 PZM131082:PZP131082 QJI131082:QJL131082 QTE131082:QTH131082 RDA131082:RDD131082 RMW131082:RMZ131082 RWS131082:RWV131082 SGO131082:SGR131082 SQK131082:SQN131082 TAG131082:TAJ131082 TKC131082:TKF131082 TTY131082:TUB131082 UDU131082:UDX131082 UNQ131082:UNT131082 UXM131082:UXP131082 VHI131082:VHL131082 VRE131082:VRH131082 WBA131082:WBD131082 WKW131082:WKZ131082 WUS131082:WUV131082 U196618:X196618 IG196618:IJ196618 SC196618:SF196618 ABY196618:ACB196618 ALU196618:ALX196618 AVQ196618:AVT196618 BFM196618:BFP196618 BPI196618:BPL196618 BZE196618:BZH196618 CJA196618:CJD196618 CSW196618:CSZ196618 DCS196618:DCV196618 DMO196618:DMR196618 DWK196618:DWN196618 EGG196618:EGJ196618 EQC196618:EQF196618 EZY196618:FAB196618 FJU196618:FJX196618 FTQ196618:FTT196618 GDM196618:GDP196618 GNI196618:GNL196618 GXE196618:GXH196618 HHA196618:HHD196618 HQW196618:HQZ196618 IAS196618:IAV196618 IKO196618:IKR196618 IUK196618:IUN196618 JEG196618:JEJ196618 JOC196618:JOF196618 JXY196618:JYB196618 KHU196618:KHX196618 KRQ196618:KRT196618 LBM196618:LBP196618 LLI196618:LLL196618 LVE196618:LVH196618 MFA196618:MFD196618 MOW196618:MOZ196618 MYS196618:MYV196618 NIO196618:NIR196618 NSK196618:NSN196618 OCG196618:OCJ196618 OMC196618:OMF196618 OVY196618:OWB196618 PFU196618:PFX196618 PPQ196618:PPT196618 PZM196618:PZP196618 QJI196618:QJL196618 QTE196618:QTH196618 RDA196618:RDD196618 RMW196618:RMZ196618 RWS196618:RWV196618 SGO196618:SGR196618 SQK196618:SQN196618 TAG196618:TAJ196618 TKC196618:TKF196618 TTY196618:TUB196618 UDU196618:UDX196618 UNQ196618:UNT196618 UXM196618:UXP196618 VHI196618:VHL196618 VRE196618:VRH196618 WBA196618:WBD196618 WKW196618:WKZ196618 WUS196618:WUV196618 U262154:X262154 IG262154:IJ262154 SC262154:SF262154 ABY262154:ACB262154 ALU262154:ALX262154 AVQ262154:AVT262154 BFM262154:BFP262154 BPI262154:BPL262154 BZE262154:BZH262154 CJA262154:CJD262154 CSW262154:CSZ262154 DCS262154:DCV262154 DMO262154:DMR262154 DWK262154:DWN262154 EGG262154:EGJ262154 EQC262154:EQF262154 EZY262154:FAB262154 FJU262154:FJX262154 FTQ262154:FTT262154 GDM262154:GDP262154 GNI262154:GNL262154 GXE262154:GXH262154 HHA262154:HHD262154 HQW262154:HQZ262154 IAS262154:IAV262154 IKO262154:IKR262154 IUK262154:IUN262154 JEG262154:JEJ262154 JOC262154:JOF262154 JXY262154:JYB262154 KHU262154:KHX262154 KRQ262154:KRT262154 LBM262154:LBP262154 LLI262154:LLL262154 LVE262154:LVH262154 MFA262154:MFD262154 MOW262154:MOZ262154 MYS262154:MYV262154 NIO262154:NIR262154 NSK262154:NSN262154 OCG262154:OCJ262154 OMC262154:OMF262154 OVY262154:OWB262154 PFU262154:PFX262154 PPQ262154:PPT262154 PZM262154:PZP262154 QJI262154:QJL262154 QTE262154:QTH262154 RDA262154:RDD262154 RMW262154:RMZ262154 RWS262154:RWV262154 SGO262154:SGR262154 SQK262154:SQN262154 TAG262154:TAJ262154 TKC262154:TKF262154 TTY262154:TUB262154 UDU262154:UDX262154 UNQ262154:UNT262154 UXM262154:UXP262154 VHI262154:VHL262154 VRE262154:VRH262154 WBA262154:WBD262154 WKW262154:WKZ262154 WUS262154:WUV262154 U327690:X327690 IG327690:IJ327690 SC327690:SF327690 ABY327690:ACB327690 ALU327690:ALX327690 AVQ327690:AVT327690 BFM327690:BFP327690 BPI327690:BPL327690 BZE327690:BZH327690 CJA327690:CJD327690 CSW327690:CSZ327690 DCS327690:DCV327690 DMO327690:DMR327690 DWK327690:DWN327690 EGG327690:EGJ327690 EQC327690:EQF327690 EZY327690:FAB327690 FJU327690:FJX327690 FTQ327690:FTT327690 GDM327690:GDP327690 GNI327690:GNL327690 GXE327690:GXH327690 HHA327690:HHD327690 HQW327690:HQZ327690 IAS327690:IAV327690 IKO327690:IKR327690 IUK327690:IUN327690 JEG327690:JEJ327690 JOC327690:JOF327690 JXY327690:JYB327690 KHU327690:KHX327690 KRQ327690:KRT327690 LBM327690:LBP327690 LLI327690:LLL327690 LVE327690:LVH327690 MFA327690:MFD327690 MOW327690:MOZ327690 MYS327690:MYV327690 NIO327690:NIR327690 NSK327690:NSN327690 OCG327690:OCJ327690 OMC327690:OMF327690 OVY327690:OWB327690 PFU327690:PFX327690 PPQ327690:PPT327690 PZM327690:PZP327690 QJI327690:QJL327690 QTE327690:QTH327690 RDA327690:RDD327690 RMW327690:RMZ327690 RWS327690:RWV327690 SGO327690:SGR327690 SQK327690:SQN327690 TAG327690:TAJ327690 TKC327690:TKF327690 TTY327690:TUB327690 UDU327690:UDX327690 UNQ327690:UNT327690 UXM327690:UXP327690 VHI327690:VHL327690 VRE327690:VRH327690 WBA327690:WBD327690 WKW327690:WKZ327690 WUS327690:WUV327690 U393226:X393226 IG393226:IJ393226 SC393226:SF393226 ABY393226:ACB393226 ALU393226:ALX393226 AVQ393226:AVT393226 BFM393226:BFP393226 BPI393226:BPL393226 BZE393226:BZH393226 CJA393226:CJD393226 CSW393226:CSZ393226 DCS393226:DCV393226 DMO393226:DMR393226 DWK393226:DWN393226 EGG393226:EGJ393226 EQC393226:EQF393226 EZY393226:FAB393226 FJU393226:FJX393226 FTQ393226:FTT393226 GDM393226:GDP393226 GNI393226:GNL393226 GXE393226:GXH393226 HHA393226:HHD393226 HQW393226:HQZ393226 IAS393226:IAV393226 IKO393226:IKR393226 IUK393226:IUN393226 JEG393226:JEJ393226 JOC393226:JOF393226 JXY393226:JYB393226 KHU393226:KHX393226 KRQ393226:KRT393226 LBM393226:LBP393226 LLI393226:LLL393226 LVE393226:LVH393226 MFA393226:MFD393226 MOW393226:MOZ393226 MYS393226:MYV393226 NIO393226:NIR393226 NSK393226:NSN393226 OCG393226:OCJ393226 OMC393226:OMF393226 OVY393226:OWB393226 PFU393226:PFX393226 PPQ393226:PPT393226 PZM393226:PZP393226 QJI393226:QJL393226 QTE393226:QTH393226 RDA393226:RDD393226 RMW393226:RMZ393226 RWS393226:RWV393226 SGO393226:SGR393226 SQK393226:SQN393226 TAG393226:TAJ393226 TKC393226:TKF393226 TTY393226:TUB393226 UDU393226:UDX393226 UNQ393226:UNT393226 UXM393226:UXP393226 VHI393226:VHL393226 VRE393226:VRH393226 WBA393226:WBD393226 WKW393226:WKZ393226 WUS393226:WUV393226 U458762:X458762 IG458762:IJ458762 SC458762:SF458762 ABY458762:ACB458762 ALU458762:ALX458762 AVQ458762:AVT458762 BFM458762:BFP458762 BPI458762:BPL458762 BZE458762:BZH458762 CJA458762:CJD458762 CSW458762:CSZ458762 DCS458762:DCV458762 DMO458762:DMR458762 DWK458762:DWN458762 EGG458762:EGJ458762 EQC458762:EQF458762 EZY458762:FAB458762 FJU458762:FJX458762 FTQ458762:FTT458762 GDM458762:GDP458762 GNI458762:GNL458762 GXE458762:GXH458762 HHA458762:HHD458762 HQW458762:HQZ458762 IAS458762:IAV458762 IKO458762:IKR458762 IUK458762:IUN458762 JEG458762:JEJ458762 JOC458762:JOF458762 JXY458762:JYB458762 KHU458762:KHX458762 KRQ458762:KRT458762 LBM458762:LBP458762 LLI458762:LLL458762 LVE458762:LVH458762 MFA458762:MFD458762 MOW458762:MOZ458762 MYS458762:MYV458762 NIO458762:NIR458762 NSK458762:NSN458762 OCG458762:OCJ458762 OMC458762:OMF458762 OVY458762:OWB458762 PFU458762:PFX458762 PPQ458762:PPT458762 PZM458762:PZP458762 QJI458762:QJL458762 QTE458762:QTH458762 RDA458762:RDD458762 RMW458762:RMZ458762 RWS458762:RWV458762 SGO458762:SGR458762 SQK458762:SQN458762 TAG458762:TAJ458762 TKC458762:TKF458762 TTY458762:TUB458762 UDU458762:UDX458762 UNQ458762:UNT458762 UXM458762:UXP458762 VHI458762:VHL458762 VRE458762:VRH458762 WBA458762:WBD458762 WKW458762:WKZ458762 WUS458762:WUV458762 U524298:X524298 IG524298:IJ524298 SC524298:SF524298 ABY524298:ACB524298 ALU524298:ALX524298 AVQ524298:AVT524298 BFM524298:BFP524298 BPI524298:BPL524298 BZE524298:BZH524298 CJA524298:CJD524298 CSW524298:CSZ524298 DCS524298:DCV524298 DMO524298:DMR524298 DWK524298:DWN524298 EGG524298:EGJ524298 EQC524298:EQF524298 EZY524298:FAB524298 FJU524298:FJX524298 FTQ524298:FTT524298 GDM524298:GDP524298 GNI524298:GNL524298 GXE524298:GXH524298 HHA524298:HHD524298 HQW524298:HQZ524298 IAS524298:IAV524298 IKO524298:IKR524298 IUK524298:IUN524298 JEG524298:JEJ524298 JOC524298:JOF524298 JXY524298:JYB524298 KHU524298:KHX524298 KRQ524298:KRT524298 LBM524298:LBP524298 LLI524298:LLL524298 LVE524298:LVH524298 MFA524298:MFD524298 MOW524298:MOZ524298 MYS524298:MYV524298 NIO524298:NIR524298 NSK524298:NSN524298 OCG524298:OCJ524298 OMC524298:OMF524298 OVY524298:OWB524298 PFU524298:PFX524298 PPQ524298:PPT524298 PZM524298:PZP524298 QJI524298:QJL524298 QTE524298:QTH524298 RDA524298:RDD524298 RMW524298:RMZ524298 RWS524298:RWV524298 SGO524298:SGR524298 SQK524298:SQN524298 TAG524298:TAJ524298 TKC524298:TKF524298 TTY524298:TUB524298 UDU524298:UDX524298 UNQ524298:UNT524298 UXM524298:UXP524298 VHI524298:VHL524298 VRE524298:VRH524298 WBA524298:WBD524298 WKW524298:WKZ524298 WUS524298:WUV524298 U589834:X589834 IG589834:IJ589834 SC589834:SF589834 ABY589834:ACB589834 ALU589834:ALX589834 AVQ589834:AVT589834 BFM589834:BFP589834 BPI589834:BPL589834 BZE589834:BZH589834 CJA589834:CJD589834 CSW589834:CSZ589834 DCS589834:DCV589834 DMO589834:DMR589834 DWK589834:DWN589834 EGG589834:EGJ589834 EQC589834:EQF589834 EZY589834:FAB589834 FJU589834:FJX589834 FTQ589834:FTT589834 GDM589834:GDP589834 GNI589834:GNL589834 GXE589834:GXH589834 HHA589834:HHD589834 HQW589834:HQZ589834 IAS589834:IAV589834 IKO589834:IKR589834 IUK589834:IUN589834 JEG589834:JEJ589834 JOC589834:JOF589834 JXY589834:JYB589834 KHU589834:KHX589834 KRQ589834:KRT589834 LBM589834:LBP589834 LLI589834:LLL589834 LVE589834:LVH589834 MFA589834:MFD589834 MOW589834:MOZ589834 MYS589834:MYV589834 NIO589834:NIR589834 NSK589834:NSN589834 OCG589834:OCJ589834 OMC589834:OMF589834 OVY589834:OWB589834 PFU589834:PFX589834 PPQ589834:PPT589834 PZM589834:PZP589834 QJI589834:QJL589834 QTE589834:QTH589834 RDA589834:RDD589834 RMW589834:RMZ589834 RWS589834:RWV589834 SGO589834:SGR589834 SQK589834:SQN589834 TAG589834:TAJ589834 TKC589834:TKF589834 TTY589834:TUB589834 UDU589834:UDX589834 UNQ589834:UNT589834 UXM589834:UXP589834 VHI589834:VHL589834 VRE589834:VRH589834 WBA589834:WBD589834 WKW589834:WKZ589834 WUS589834:WUV589834 U655370:X655370 IG655370:IJ655370 SC655370:SF655370 ABY655370:ACB655370 ALU655370:ALX655370 AVQ655370:AVT655370 BFM655370:BFP655370 BPI655370:BPL655370 BZE655370:BZH655370 CJA655370:CJD655370 CSW655370:CSZ655370 DCS655370:DCV655370 DMO655370:DMR655370 DWK655370:DWN655370 EGG655370:EGJ655370 EQC655370:EQF655370 EZY655370:FAB655370 FJU655370:FJX655370 FTQ655370:FTT655370 GDM655370:GDP655370 GNI655370:GNL655370 GXE655370:GXH655370 HHA655370:HHD655370 HQW655370:HQZ655370 IAS655370:IAV655370 IKO655370:IKR655370 IUK655370:IUN655370 JEG655370:JEJ655370 JOC655370:JOF655370 JXY655370:JYB655370 KHU655370:KHX655370 KRQ655370:KRT655370 LBM655370:LBP655370 LLI655370:LLL655370 LVE655370:LVH655370 MFA655370:MFD655370 MOW655370:MOZ655370 MYS655370:MYV655370 NIO655370:NIR655370 NSK655370:NSN655370 OCG655370:OCJ655370 OMC655370:OMF655370 OVY655370:OWB655370 PFU655370:PFX655370 PPQ655370:PPT655370 PZM655370:PZP655370 QJI655370:QJL655370 QTE655370:QTH655370 RDA655370:RDD655370 RMW655370:RMZ655370 RWS655370:RWV655370 SGO655370:SGR655370 SQK655370:SQN655370 TAG655370:TAJ655370 TKC655370:TKF655370 TTY655370:TUB655370 UDU655370:UDX655370 UNQ655370:UNT655370 UXM655370:UXP655370 VHI655370:VHL655370 VRE655370:VRH655370 WBA655370:WBD655370 WKW655370:WKZ655370 WUS655370:WUV655370 U720906:X720906 IG720906:IJ720906 SC720906:SF720906 ABY720906:ACB720906 ALU720906:ALX720906 AVQ720906:AVT720906 BFM720906:BFP720906 BPI720906:BPL720906 BZE720906:BZH720906 CJA720906:CJD720906 CSW720906:CSZ720906 DCS720906:DCV720906 DMO720906:DMR720906 DWK720906:DWN720906 EGG720906:EGJ720906 EQC720906:EQF720906 EZY720906:FAB720906 FJU720906:FJX720906 FTQ720906:FTT720906 GDM720906:GDP720906 GNI720906:GNL720906 GXE720906:GXH720906 HHA720906:HHD720906 HQW720906:HQZ720906 IAS720906:IAV720906 IKO720906:IKR720906 IUK720906:IUN720906 JEG720906:JEJ720906 JOC720906:JOF720906 JXY720906:JYB720906 KHU720906:KHX720906 KRQ720906:KRT720906 LBM720906:LBP720906 LLI720906:LLL720906 LVE720906:LVH720906 MFA720906:MFD720906 MOW720906:MOZ720906 MYS720906:MYV720906 NIO720906:NIR720906 NSK720906:NSN720906 OCG720906:OCJ720906 OMC720906:OMF720906 OVY720906:OWB720906 PFU720906:PFX720906 PPQ720906:PPT720906 PZM720906:PZP720906 QJI720906:QJL720906 QTE720906:QTH720906 RDA720906:RDD720906 RMW720906:RMZ720906 RWS720906:RWV720906 SGO720906:SGR720906 SQK720906:SQN720906 TAG720906:TAJ720906 TKC720906:TKF720906 TTY720906:TUB720906 UDU720906:UDX720906 UNQ720906:UNT720906 UXM720906:UXP720906 VHI720906:VHL720906 VRE720906:VRH720906 WBA720906:WBD720906 WKW720906:WKZ720906 WUS720906:WUV720906 U786442:X786442 IG786442:IJ786442 SC786442:SF786442 ABY786442:ACB786442 ALU786442:ALX786442 AVQ786442:AVT786442 BFM786442:BFP786442 BPI786442:BPL786442 BZE786442:BZH786442 CJA786442:CJD786442 CSW786442:CSZ786442 DCS786442:DCV786442 DMO786442:DMR786442 DWK786442:DWN786442 EGG786442:EGJ786442 EQC786442:EQF786442 EZY786442:FAB786442 FJU786442:FJX786442 FTQ786442:FTT786442 GDM786442:GDP786442 GNI786442:GNL786442 GXE786442:GXH786442 HHA786442:HHD786442 HQW786442:HQZ786442 IAS786442:IAV786442 IKO786442:IKR786442 IUK786442:IUN786442 JEG786442:JEJ786442 JOC786442:JOF786442 JXY786442:JYB786442 KHU786442:KHX786442 KRQ786442:KRT786442 LBM786442:LBP786442 LLI786442:LLL786442 LVE786442:LVH786442 MFA786442:MFD786442 MOW786442:MOZ786442 MYS786442:MYV786442 NIO786442:NIR786442 NSK786442:NSN786442 OCG786442:OCJ786442 OMC786442:OMF786442 OVY786442:OWB786442 PFU786442:PFX786442 PPQ786442:PPT786442 PZM786442:PZP786442 QJI786442:QJL786442 QTE786442:QTH786442 RDA786442:RDD786442 RMW786442:RMZ786442 RWS786442:RWV786442 SGO786442:SGR786442 SQK786442:SQN786442 TAG786442:TAJ786442 TKC786442:TKF786442 TTY786442:TUB786442 UDU786442:UDX786442 UNQ786442:UNT786442 UXM786442:UXP786442 VHI786442:VHL786442 VRE786442:VRH786442 WBA786442:WBD786442 WKW786442:WKZ786442 WUS786442:WUV786442 U851978:X851978 IG851978:IJ851978 SC851978:SF851978 ABY851978:ACB851978 ALU851978:ALX851978 AVQ851978:AVT851978 BFM851978:BFP851978 BPI851978:BPL851978 BZE851978:BZH851978 CJA851978:CJD851978 CSW851978:CSZ851978 DCS851978:DCV851978 DMO851978:DMR851978 DWK851978:DWN851978 EGG851978:EGJ851978 EQC851978:EQF851978 EZY851978:FAB851978 FJU851978:FJX851978 FTQ851978:FTT851978 GDM851978:GDP851978 GNI851978:GNL851978 GXE851978:GXH851978 HHA851978:HHD851978 HQW851978:HQZ851978 IAS851978:IAV851978 IKO851978:IKR851978 IUK851978:IUN851978 JEG851978:JEJ851978 JOC851978:JOF851978 JXY851978:JYB851978 KHU851978:KHX851978 KRQ851978:KRT851978 LBM851978:LBP851978 LLI851978:LLL851978 LVE851978:LVH851978 MFA851978:MFD851978 MOW851978:MOZ851978 MYS851978:MYV851978 NIO851978:NIR851978 NSK851978:NSN851978 OCG851978:OCJ851978 OMC851978:OMF851978 OVY851978:OWB851978 PFU851978:PFX851978 PPQ851978:PPT851978 PZM851978:PZP851978 QJI851978:QJL851978 QTE851978:QTH851978 RDA851978:RDD851978 RMW851978:RMZ851978 RWS851978:RWV851978 SGO851978:SGR851978 SQK851978:SQN851978 TAG851978:TAJ851978 TKC851978:TKF851978 TTY851978:TUB851978 UDU851978:UDX851978 UNQ851978:UNT851978 UXM851978:UXP851978 VHI851978:VHL851978 VRE851978:VRH851978 WBA851978:WBD851978 WKW851978:WKZ851978 WUS851978:WUV851978 U917514:X917514 IG917514:IJ917514 SC917514:SF917514 ABY917514:ACB917514 ALU917514:ALX917514 AVQ917514:AVT917514 BFM917514:BFP917514 BPI917514:BPL917514 BZE917514:BZH917514 CJA917514:CJD917514 CSW917514:CSZ917514 DCS917514:DCV917514 DMO917514:DMR917514 DWK917514:DWN917514 EGG917514:EGJ917514 EQC917514:EQF917514 EZY917514:FAB917514 FJU917514:FJX917514 FTQ917514:FTT917514 GDM917514:GDP917514 GNI917514:GNL917514 GXE917514:GXH917514 HHA917514:HHD917514 HQW917514:HQZ917514 IAS917514:IAV917514 IKO917514:IKR917514 IUK917514:IUN917514 JEG917514:JEJ917514 JOC917514:JOF917514 JXY917514:JYB917514 KHU917514:KHX917514 KRQ917514:KRT917514 LBM917514:LBP917514 LLI917514:LLL917514 LVE917514:LVH917514 MFA917514:MFD917514 MOW917514:MOZ917514 MYS917514:MYV917514 NIO917514:NIR917514 NSK917514:NSN917514 OCG917514:OCJ917514 OMC917514:OMF917514 OVY917514:OWB917514 PFU917514:PFX917514 PPQ917514:PPT917514 PZM917514:PZP917514 QJI917514:QJL917514 QTE917514:QTH917514 RDA917514:RDD917514 RMW917514:RMZ917514 RWS917514:RWV917514 SGO917514:SGR917514 SQK917514:SQN917514 TAG917514:TAJ917514 TKC917514:TKF917514 TTY917514:TUB917514 UDU917514:UDX917514 UNQ917514:UNT917514 UXM917514:UXP917514 VHI917514:VHL917514 VRE917514:VRH917514 WBA917514:WBD917514 WKW917514:WKZ917514 WUS917514:WUV917514 U983050:X983050 IG983050:IJ983050 SC983050:SF983050 ABY983050:ACB983050 ALU983050:ALX983050 AVQ983050:AVT983050 BFM983050:BFP983050 BPI983050:BPL983050 BZE983050:BZH983050 CJA983050:CJD983050 CSW983050:CSZ983050 DCS983050:DCV983050 DMO983050:DMR983050 DWK983050:DWN983050 EGG983050:EGJ983050 EQC983050:EQF983050 EZY983050:FAB983050 FJU983050:FJX983050 FTQ983050:FTT983050 GDM983050:GDP983050 GNI983050:GNL983050 GXE983050:GXH983050 HHA983050:HHD983050 HQW983050:HQZ983050 IAS983050:IAV983050 IKO983050:IKR983050 IUK983050:IUN983050 JEG983050:JEJ983050 JOC983050:JOF983050 JXY983050:JYB983050 KHU983050:KHX983050 KRQ983050:KRT983050 LBM983050:LBP983050 LLI983050:LLL983050 LVE983050:LVH983050 MFA983050:MFD983050 MOW983050:MOZ983050 MYS983050:MYV983050 NIO983050:NIR983050 NSK983050:NSN983050 OCG983050:OCJ983050 OMC983050:OMF983050 OVY983050:OWB983050 PFU983050:PFX983050 PPQ983050:PPT983050 PZM983050:PZP983050 QJI983050:QJL983050 QTE983050:QTH983050 RDA983050:RDD983050 RMW983050:RMZ983050 RWS983050:RWV983050 SGO983050:SGR983050 SQK983050:SQN983050 TAG983050:TAJ983050 TKC983050:TKF983050 TTY983050:TUB983050 UDU983050:UDX983050 UNQ983050:UNT983050 UXM983050:UXP983050 VHI983050:VHL983050 VRE983050:VRH983050 WBA983050:WBD983050 WKW983050:WKZ983050 WUS983050:WUV983050 IB983049:IE983049 RX983049:SA983049 ABT983049:ABW983049 ALP983049:ALS983049 AVL983049:AVO983049 BFH983049:BFK983049 BPD983049:BPG983049 BYZ983049:BZC983049 CIV983049:CIY983049 CSR983049:CSU983049 DCN983049:DCQ983049 DMJ983049:DMM983049 DWF983049:DWI983049 EGB983049:EGE983049 EPX983049:EQA983049 EZT983049:EZW983049 FJP983049:FJS983049 FTL983049:FTO983049 GDH983049:GDK983049 GND983049:GNG983049 GWZ983049:GXC983049 HGV983049:HGY983049 HQR983049:HQU983049 IAN983049:IAQ983049 IKJ983049:IKM983049 IUF983049:IUI983049 JEB983049:JEE983049 JNX983049:JOA983049 JXT983049:JXW983049 KHP983049:KHS983049 KRL983049:KRO983049 LBH983049:LBK983049 LLD983049:LLG983049 LUZ983049:LVC983049 MEV983049:MEY983049 MOR983049:MOU983049 MYN983049:MYQ983049 NIJ983049:NIM983049 NSF983049:NSI983049 OCB983049:OCE983049 OLX983049:OMA983049 OVT983049:OVW983049 PFP983049:PFS983049 PPL983049:PPO983049 PZH983049:PZK983049 QJD983049:QJG983049 QSZ983049:QTC983049 RCV983049:RCY983049 RMR983049:RMU983049 RWN983049:RWQ983049 SGJ983049:SGM983049 SQF983049:SQI983049 TAB983049:TAE983049 TJX983049:TKA983049 TTT983049:TTW983049 UDP983049:UDS983049 UNL983049:UNO983049 UXH983049:UXK983049 VHD983049:VHG983049 VQZ983049:VRC983049 WAV983049:WAY983049 WKR983049:WKU983049 WUN983049:WUQ983049 IB65545:IE65545 RX65545:SA65545 ABT65545:ABW65545 ALP65545:ALS65545 AVL65545:AVO65545 BFH65545:BFK65545 BPD65545:BPG65545 BYZ65545:BZC65545 CIV65545:CIY65545 CSR65545:CSU65545 DCN65545:DCQ65545 DMJ65545:DMM65545 DWF65545:DWI65545 EGB65545:EGE65545 EPX65545:EQA65545 EZT65545:EZW65545 FJP65545:FJS65545 FTL65545:FTO65545 GDH65545:GDK65545 GND65545:GNG65545 GWZ65545:GXC65545 HGV65545:HGY65545 HQR65545:HQU65545 IAN65545:IAQ65545 IKJ65545:IKM65545 IUF65545:IUI65545 JEB65545:JEE65545 JNX65545:JOA65545 JXT65545:JXW65545 KHP65545:KHS65545 KRL65545:KRO65545 LBH65545:LBK65545 LLD65545:LLG65545 LUZ65545:LVC65545 MEV65545:MEY65545 MOR65545:MOU65545 MYN65545:MYQ65545 NIJ65545:NIM65545 NSF65545:NSI65545 OCB65545:OCE65545 OLX65545:OMA65545 OVT65545:OVW65545 PFP65545:PFS65545 PPL65545:PPO65545 PZH65545:PZK65545 QJD65545:QJG65545 QSZ65545:QTC65545 RCV65545:RCY65545 RMR65545:RMU65545 RWN65545:RWQ65545 SGJ65545:SGM65545 SQF65545:SQI65545 TAB65545:TAE65545 TJX65545:TKA65545 TTT65545:TTW65545 UDP65545:UDS65545 UNL65545:UNO65545 UXH65545:UXK65545 VHD65545:VHG65545 VQZ65545:VRC65545 WAV65545:WAY65545 WKR65545:WKU65545 WUN65545:WUQ65545 IB131081:IE131081 RX131081:SA131081 ABT131081:ABW131081 ALP131081:ALS131081 AVL131081:AVO131081 BFH131081:BFK131081 BPD131081:BPG131081 BYZ131081:BZC131081 CIV131081:CIY131081 CSR131081:CSU131081 DCN131081:DCQ131081 DMJ131081:DMM131081 DWF131081:DWI131081 EGB131081:EGE131081 EPX131081:EQA131081 EZT131081:EZW131081 FJP131081:FJS131081 FTL131081:FTO131081 GDH131081:GDK131081 GND131081:GNG131081 GWZ131081:GXC131081 HGV131081:HGY131081 HQR131081:HQU131081 IAN131081:IAQ131081 IKJ131081:IKM131081 IUF131081:IUI131081 JEB131081:JEE131081 JNX131081:JOA131081 JXT131081:JXW131081 KHP131081:KHS131081 KRL131081:KRO131081 LBH131081:LBK131081 LLD131081:LLG131081 LUZ131081:LVC131081 MEV131081:MEY131081 MOR131081:MOU131081 MYN131081:MYQ131081 NIJ131081:NIM131081 NSF131081:NSI131081 OCB131081:OCE131081 OLX131081:OMA131081 OVT131081:OVW131081 PFP131081:PFS131081 PPL131081:PPO131081 PZH131081:PZK131081 QJD131081:QJG131081 QSZ131081:QTC131081 RCV131081:RCY131081 RMR131081:RMU131081 RWN131081:RWQ131081 SGJ131081:SGM131081 SQF131081:SQI131081 TAB131081:TAE131081 TJX131081:TKA131081 TTT131081:TTW131081 UDP131081:UDS131081 UNL131081:UNO131081 UXH131081:UXK131081 VHD131081:VHG131081 VQZ131081:VRC131081 WAV131081:WAY131081 WKR131081:WKU131081 WUN131081:WUQ131081 IB196617:IE196617 RX196617:SA196617 ABT196617:ABW196617 ALP196617:ALS196617 AVL196617:AVO196617 BFH196617:BFK196617 BPD196617:BPG196617 BYZ196617:BZC196617 CIV196617:CIY196617 CSR196617:CSU196617 DCN196617:DCQ196617 DMJ196617:DMM196617 DWF196617:DWI196617 EGB196617:EGE196617 EPX196617:EQA196617 EZT196617:EZW196617 FJP196617:FJS196617 FTL196617:FTO196617 GDH196617:GDK196617 GND196617:GNG196617 GWZ196617:GXC196617 HGV196617:HGY196617 HQR196617:HQU196617 IAN196617:IAQ196617 IKJ196617:IKM196617 IUF196617:IUI196617 JEB196617:JEE196617 JNX196617:JOA196617 JXT196617:JXW196617 KHP196617:KHS196617 KRL196617:KRO196617 LBH196617:LBK196617 LLD196617:LLG196617 LUZ196617:LVC196617 MEV196617:MEY196617 MOR196617:MOU196617 MYN196617:MYQ196617 NIJ196617:NIM196617 NSF196617:NSI196617 OCB196617:OCE196617 OLX196617:OMA196617 OVT196617:OVW196617 PFP196617:PFS196617 PPL196617:PPO196617 PZH196617:PZK196617 QJD196617:QJG196617 QSZ196617:QTC196617 RCV196617:RCY196617 RMR196617:RMU196617 RWN196617:RWQ196617 SGJ196617:SGM196617 SQF196617:SQI196617 TAB196617:TAE196617 TJX196617:TKA196617 TTT196617:TTW196617 UDP196617:UDS196617 UNL196617:UNO196617 UXH196617:UXK196617 VHD196617:VHG196617 VQZ196617:VRC196617 WAV196617:WAY196617 WKR196617:WKU196617 WUN196617:WUQ196617 IB262153:IE262153 RX262153:SA262153 ABT262153:ABW262153 ALP262153:ALS262153 AVL262153:AVO262153 BFH262153:BFK262153 BPD262153:BPG262153 BYZ262153:BZC262153 CIV262153:CIY262153 CSR262153:CSU262153 DCN262153:DCQ262153 DMJ262153:DMM262153 DWF262153:DWI262153 EGB262153:EGE262153 EPX262153:EQA262153 EZT262153:EZW262153 FJP262153:FJS262153 FTL262153:FTO262153 GDH262153:GDK262153 GND262153:GNG262153 GWZ262153:GXC262153 HGV262153:HGY262153 HQR262153:HQU262153 IAN262153:IAQ262153 IKJ262153:IKM262153 IUF262153:IUI262153 JEB262153:JEE262153 JNX262153:JOA262153 JXT262153:JXW262153 KHP262153:KHS262153 KRL262153:KRO262153 LBH262153:LBK262153 LLD262153:LLG262153 LUZ262153:LVC262153 MEV262153:MEY262153 MOR262153:MOU262153 MYN262153:MYQ262153 NIJ262153:NIM262153 NSF262153:NSI262153 OCB262153:OCE262153 OLX262153:OMA262153 OVT262153:OVW262153 PFP262153:PFS262153 PPL262153:PPO262153 PZH262153:PZK262153 QJD262153:QJG262153 QSZ262153:QTC262153 RCV262153:RCY262153 RMR262153:RMU262153 RWN262153:RWQ262153 SGJ262153:SGM262153 SQF262153:SQI262153 TAB262153:TAE262153 TJX262153:TKA262153 TTT262153:TTW262153 UDP262153:UDS262153 UNL262153:UNO262153 UXH262153:UXK262153 VHD262153:VHG262153 VQZ262153:VRC262153 WAV262153:WAY262153 WKR262153:WKU262153 WUN262153:WUQ262153 IB327689:IE327689 RX327689:SA327689 ABT327689:ABW327689 ALP327689:ALS327689 AVL327689:AVO327689 BFH327689:BFK327689 BPD327689:BPG327689 BYZ327689:BZC327689 CIV327689:CIY327689 CSR327689:CSU327689 DCN327689:DCQ327689 DMJ327689:DMM327689 DWF327689:DWI327689 EGB327689:EGE327689 EPX327689:EQA327689 EZT327689:EZW327689 FJP327689:FJS327689 FTL327689:FTO327689 GDH327689:GDK327689 GND327689:GNG327689 GWZ327689:GXC327689 HGV327689:HGY327689 HQR327689:HQU327689 IAN327689:IAQ327689 IKJ327689:IKM327689 IUF327689:IUI327689 JEB327689:JEE327689 JNX327689:JOA327689 JXT327689:JXW327689 KHP327689:KHS327689 KRL327689:KRO327689 LBH327689:LBK327689 LLD327689:LLG327689 LUZ327689:LVC327689 MEV327689:MEY327689 MOR327689:MOU327689 MYN327689:MYQ327689 NIJ327689:NIM327689 NSF327689:NSI327689 OCB327689:OCE327689 OLX327689:OMA327689 OVT327689:OVW327689 PFP327689:PFS327689 PPL327689:PPO327689 PZH327689:PZK327689 QJD327689:QJG327689 QSZ327689:QTC327689 RCV327689:RCY327689 RMR327689:RMU327689 RWN327689:RWQ327689 SGJ327689:SGM327689 SQF327689:SQI327689 TAB327689:TAE327689 TJX327689:TKA327689 TTT327689:TTW327689 UDP327689:UDS327689 UNL327689:UNO327689 UXH327689:UXK327689 VHD327689:VHG327689 VQZ327689:VRC327689 WAV327689:WAY327689 WKR327689:WKU327689 WUN327689:WUQ327689 IB393225:IE393225 RX393225:SA393225 ABT393225:ABW393225 ALP393225:ALS393225 AVL393225:AVO393225 BFH393225:BFK393225 BPD393225:BPG393225 BYZ393225:BZC393225 CIV393225:CIY393225 CSR393225:CSU393225 DCN393225:DCQ393225 DMJ393225:DMM393225 DWF393225:DWI393225 EGB393225:EGE393225 EPX393225:EQA393225 EZT393225:EZW393225 FJP393225:FJS393225 FTL393225:FTO393225 GDH393225:GDK393225 GND393225:GNG393225 GWZ393225:GXC393225 HGV393225:HGY393225 HQR393225:HQU393225 IAN393225:IAQ393225 IKJ393225:IKM393225 IUF393225:IUI393225 JEB393225:JEE393225 JNX393225:JOA393225 JXT393225:JXW393225 KHP393225:KHS393225 KRL393225:KRO393225 LBH393225:LBK393225 LLD393225:LLG393225 LUZ393225:LVC393225 MEV393225:MEY393225 MOR393225:MOU393225 MYN393225:MYQ393225 NIJ393225:NIM393225 NSF393225:NSI393225 OCB393225:OCE393225 OLX393225:OMA393225 OVT393225:OVW393225 PFP393225:PFS393225 PPL393225:PPO393225 PZH393225:PZK393225 QJD393225:QJG393225 QSZ393225:QTC393225 RCV393225:RCY393225 RMR393225:RMU393225 RWN393225:RWQ393225 SGJ393225:SGM393225 SQF393225:SQI393225 TAB393225:TAE393225 TJX393225:TKA393225 TTT393225:TTW393225 UDP393225:UDS393225 UNL393225:UNO393225 UXH393225:UXK393225 VHD393225:VHG393225 VQZ393225:VRC393225 WAV393225:WAY393225 WKR393225:WKU393225 WUN393225:WUQ393225 IB458761:IE458761 RX458761:SA458761 ABT458761:ABW458761 ALP458761:ALS458761 AVL458761:AVO458761 BFH458761:BFK458761 BPD458761:BPG458761 BYZ458761:BZC458761 CIV458761:CIY458761 CSR458761:CSU458761 DCN458761:DCQ458761 DMJ458761:DMM458761 DWF458761:DWI458761 EGB458761:EGE458761 EPX458761:EQA458761 EZT458761:EZW458761 FJP458761:FJS458761 FTL458761:FTO458761 GDH458761:GDK458761 GND458761:GNG458761 GWZ458761:GXC458761 HGV458761:HGY458761 HQR458761:HQU458761 IAN458761:IAQ458761 IKJ458761:IKM458761 IUF458761:IUI458761 JEB458761:JEE458761 JNX458761:JOA458761 JXT458761:JXW458761 KHP458761:KHS458761 KRL458761:KRO458761 LBH458761:LBK458761 LLD458761:LLG458761 LUZ458761:LVC458761 MEV458761:MEY458761 MOR458761:MOU458761 MYN458761:MYQ458761 NIJ458761:NIM458761 NSF458761:NSI458761 OCB458761:OCE458761 OLX458761:OMA458761 OVT458761:OVW458761 PFP458761:PFS458761 PPL458761:PPO458761 PZH458761:PZK458761 QJD458761:QJG458761 QSZ458761:QTC458761 RCV458761:RCY458761 RMR458761:RMU458761 RWN458761:RWQ458761 SGJ458761:SGM458761 SQF458761:SQI458761 TAB458761:TAE458761 TJX458761:TKA458761 TTT458761:TTW458761 UDP458761:UDS458761 UNL458761:UNO458761 UXH458761:UXK458761 VHD458761:VHG458761 VQZ458761:VRC458761 WAV458761:WAY458761 WKR458761:WKU458761 WUN458761:WUQ458761 IB524297:IE524297 RX524297:SA524297 ABT524297:ABW524297 ALP524297:ALS524297 AVL524297:AVO524297 BFH524297:BFK524297 BPD524297:BPG524297 BYZ524297:BZC524297 CIV524297:CIY524297 CSR524297:CSU524297 DCN524297:DCQ524297 DMJ524297:DMM524297 DWF524297:DWI524297 EGB524297:EGE524297 EPX524297:EQA524297 EZT524297:EZW524297 FJP524297:FJS524297 FTL524297:FTO524297 GDH524297:GDK524297 GND524297:GNG524297 GWZ524297:GXC524297 HGV524297:HGY524297 HQR524297:HQU524297 IAN524297:IAQ524297 IKJ524297:IKM524297 IUF524297:IUI524297 JEB524297:JEE524297 JNX524297:JOA524297 JXT524297:JXW524297 KHP524297:KHS524297 KRL524297:KRO524297 LBH524297:LBK524297 LLD524297:LLG524297 LUZ524297:LVC524297 MEV524297:MEY524297 MOR524297:MOU524297 MYN524297:MYQ524297 NIJ524297:NIM524297 NSF524297:NSI524297 OCB524297:OCE524297 OLX524297:OMA524297 OVT524297:OVW524297 PFP524297:PFS524297 PPL524297:PPO524297 PZH524297:PZK524297 QJD524297:QJG524297 QSZ524297:QTC524297 RCV524297:RCY524297 RMR524297:RMU524297 RWN524297:RWQ524297 SGJ524297:SGM524297 SQF524297:SQI524297 TAB524297:TAE524297 TJX524297:TKA524297 TTT524297:TTW524297 UDP524297:UDS524297 UNL524297:UNO524297 UXH524297:UXK524297 VHD524297:VHG524297 VQZ524297:VRC524297 WAV524297:WAY524297 WKR524297:WKU524297 WUN524297:WUQ524297 IB589833:IE589833 RX589833:SA589833 ABT589833:ABW589833 ALP589833:ALS589833 AVL589833:AVO589833 BFH589833:BFK589833 BPD589833:BPG589833 BYZ589833:BZC589833 CIV589833:CIY589833 CSR589833:CSU589833 DCN589833:DCQ589833 DMJ589833:DMM589833 DWF589833:DWI589833 EGB589833:EGE589833 EPX589833:EQA589833 EZT589833:EZW589833 FJP589833:FJS589833 FTL589833:FTO589833 GDH589833:GDK589833 GND589833:GNG589833 GWZ589833:GXC589833 HGV589833:HGY589833 HQR589833:HQU589833 IAN589833:IAQ589833 IKJ589833:IKM589833 IUF589833:IUI589833 JEB589833:JEE589833 JNX589833:JOA589833 JXT589833:JXW589833 KHP589833:KHS589833 KRL589833:KRO589833 LBH589833:LBK589833 LLD589833:LLG589833 LUZ589833:LVC589833 MEV589833:MEY589833 MOR589833:MOU589833 MYN589833:MYQ589833 NIJ589833:NIM589833 NSF589833:NSI589833 OCB589833:OCE589833 OLX589833:OMA589833 OVT589833:OVW589833 PFP589833:PFS589833 PPL589833:PPO589833 PZH589833:PZK589833 QJD589833:QJG589833 QSZ589833:QTC589833 RCV589833:RCY589833 RMR589833:RMU589833 RWN589833:RWQ589833 SGJ589833:SGM589833 SQF589833:SQI589833 TAB589833:TAE589833 TJX589833:TKA589833 TTT589833:TTW589833 UDP589833:UDS589833 UNL589833:UNO589833 UXH589833:UXK589833 VHD589833:VHG589833 VQZ589833:VRC589833 WAV589833:WAY589833 WKR589833:WKU589833 WUN589833:WUQ589833 IB655369:IE655369 RX655369:SA655369 ABT655369:ABW655369 ALP655369:ALS655369 AVL655369:AVO655369 BFH655369:BFK655369 BPD655369:BPG655369 BYZ655369:BZC655369 CIV655369:CIY655369 CSR655369:CSU655369 DCN655369:DCQ655369 DMJ655369:DMM655369 DWF655369:DWI655369 EGB655369:EGE655369 EPX655369:EQA655369 EZT655369:EZW655369 FJP655369:FJS655369 FTL655369:FTO655369 GDH655369:GDK655369 GND655369:GNG655369 GWZ655369:GXC655369 HGV655369:HGY655369 HQR655369:HQU655369 IAN655369:IAQ655369 IKJ655369:IKM655369 IUF655369:IUI655369 JEB655369:JEE655369 JNX655369:JOA655369 JXT655369:JXW655369 KHP655369:KHS655369 KRL655369:KRO655369 LBH655369:LBK655369 LLD655369:LLG655369 LUZ655369:LVC655369 MEV655369:MEY655369 MOR655369:MOU655369 MYN655369:MYQ655369 NIJ655369:NIM655369 NSF655369:NSI655369 OCB655369:OCE655369 OLX655369:OMA655369 OVT655369:OVW655369 PFP655369:PFS655369 PPL655369:PPO655369 PZH655369:PZK655369 QJD655369:QJG655369 QSZ655369:QTC655369 RCV655369:RCY655369 RMR655369:RMU655369 RWN655369:RWQ655369 SGJ655369:SGM655369 SQF655369:SQI655369 TAB655369:TAE655369 TJX655369:TKA655369 TTT655369:TTW655369 UDP655369:UDS655369 UNL655369:UNO655369 UXH655369:UXK655369 VHD655369:VHG655369 VQZ655369:VRC655369 WAV655369:WAY655369 WKR655369:WKU655369 WUN655369:WUQ655369 IB720905:IE720905 RX720905:SA720905 ABT720905:ABW720905 ALP720905:ALS720905 AVL720905:AVO720905 BFH720905:BFK720905 BPD720905:BPG720905 BYZ720905:BZC720905 CIV720905:CIY720905 CSR720905:CSU720905 DCN720905:DCQ720905 DMJ720905:DMM720905 DWF720905:DWI720905 EGB720905:EGE720905 EPX720905:EQA720905 EZT720905:EZW720905 FJP720905:FJS720905 FTL720905:FTO720905 GDH720905:GDK720905 GND720905:GNG720905 GWZ720905:GXC720905 HGV720905:HGY720905 HQR720905:HQU720905 IAN720905:IAQ720905 IKJ720905:IKM720905 IUF720905:IUI720905 JEB720905:JEE720905 JNX720905:JOA720905 JXT720905:JXW720905 KHP720905:KHS720905 KRL720905:KRO720905 LBH720905:LBK720905 LLD720905:LLG720905 LUZ720905:LVC720905 MEV720905:MEY720905 MOR720905:MOU720905 MYN720905:MYQ720905 NIJ720905:NIM720905 NSF720905:NSI720905 OCB720905:OCE720905 OLX720905:OMA720905 OVT720905:OVW720905 PFP720905:PFS720905 PPL720905:PPO720905 PZH720905:PZK720905 QJD720905:QJG720905 QSZ720905:QTC720905 RCV720905:RCY720905 RMR720905:RMU720905 RWN720905:RWQ720905 SGJ720905:SGM720905 SQF720905:SQI720905 TAB720905:TAE720905 TJX720905:TKA720905 TTT720905:TTW720905 UDP720905:UDS720905 UNL720905:UNO720905 UXH720905:UXK720905 VHD720905:VHG720905 VQZ720905:VRC720905 WAV720905:WAY720905 WKR720905:WKU720905 WUN720905:WUQ720905 IB786441:IE786441 RX786441:SA786441 ABT786441:ABW786441 ALP786441:ALS786441 AVL786441:AVO786441 BFH786441:BFK786441 BPD786441:BPG786441 BYZ786441:BZC786441 CIV786441:CIY786441 CSR786441:CSU786441 DCN786441:DCQ786441 DMJ786441:DMM786441 DWF786441:DWI786441 EGB786441:EGE786441 EPX786441:EQA786441 EZT786441:EZW786441 FJP786441:FJS786441 FTL786441:FTO786441 GDH786441:GDK786441 GND786441:GNG786441 GWZ786441:GXC786441 HGV786441:HGY786441 HQR786441:HQU786441 IAN786441:IAQ786441 IKJ786441:IKM786441 IUF786441:IUI786441 JEB786441:JEE786441 JNX786441:JOA786441 JXT786441:JXW786441 KHP786441:KHS786441 KRL786441:KRO786441 LBH786441:LBK786441 LLD786441:LLG786441 LUZ786441:LVC786441 MEV786441:MEY786441 MOR786441:MOU786441 MYN786441:MYQ786441 NIJ786441:NIM786441 NSF786441:NSI786441 OCB786441:OCE786441 OLX786441:OMA786441 OVT786441:OVW786441 PFP786441:PFS786441 PPL786441:PPO786441 PZH786441:PZK786441 QJD786441:QJG786441 QSZ786441:QTC786441 RCV786441:RCY786441 RMR786441:RMU786441 RWN786441:RWQ786441 SGJ786441:SGM786441 SQF786441:SQI786441 TAB786441:TAE786441 TJX786441:TKA786441 TTT786441:TTW786441 UDP786441:UDS786441 UNL786441:UNO786441 UXH786441:UXK786441 VHD786441:VHG786441 VQZ786441:VRC786441 WAV786441:WAY786441 WKR786441:WKU786441 WUN786441:WUQ786441 IB851977:IE851977 RX851977:SA851977 ABT851977:ABW851977 ALP851977:ALS851977 AVL851977:AVO851977 BFH851977:BFK851977 BPD851977:BPG851977 BYZ851977:BZC851977 CIV851977:CIY851977 CSR851977:CSU851977 DCN851977:DCQ851977 DMJ851977:DMM851977 DWF851977:DWI851977 EGB851977:EGE851977 EPX851977:EQA851977 EZT851977:EZW851977 FJP851977:FJS851977 FTL851977:FTO851977 GDH851977:GDK851977 GND851977:GNG851977 GWZ851977:GXC851977 HGV851977:HGY851977 HQR851977:HQU851977 IAN851977:IAQ851977 IKJ851977:IKM851977 IUF851977:IUI851977 JEB851977:JEE851977 JNX851977:JOA851977 JXT851977:JXW851977 KHP851977:KHS851977 KRL851977:KRO851977 LBH851977:LBK851977 LLD851977:LLG851977 LUZ851977:LVC851977 MEV851977:MEY851977 MOR851977:MOU851977 MYN851977:MYQ851977 NIJ851977:NIM851977 NSF851977:NSI851977 OCB851977:OCE851977 OLX851977:OMA851977 OVT851977:OVW851977 PFP851977:PFS851977 PPL851977:PPO851977 PZH851977:PZK851977 QJD851977:QJG851977 QSZ851977:QTC851977 RCV851977:RCY851977 RMR851977:RMU851977 RWN851977:RWQ851977 SGJ851977:SGM851977 SQF851977:SQI851977 TAB851977:TAE851977 TJX851977:TKA851977 TTT851977:TTW851977 UDP851977:UDS851977 UNL851977:UNO851977 UXH851977:UXK851977 VHD851977:VHG851977 VQZ851977:VRC851977 WAV851977:WAY851977 WKR851977:WKU851977 WUN851977:WUQ851977 IB917513:IE917513 RX917513:SA917513 ABT917513:ABW917513 ALP917513:ALS917513 AVL917513:AVO917513 BFH917513:BFK917513 BPD917513:BPG917513 BYZ917513:BZC917513 CIV917513:CIY917513 CSR917513:CSU917513 DCN917513:DCQ917513 DMJ917513:DMM917513 DWF917513:DWI917513 EGB917513:EGE917513 EPX917513:EQA917513 EZT917513:EZW917513 FJP917513:FJS917513 FTL917513:FTO917513 GDH917513:GDK917513 GND917513:GNG917513 GWZ917513:GXC917513 HGV917513:HGY917513 HQR917513:HQU917513 IAN917513:IAQ917513 IKJ917513:IKM917513 IUF917513:IUI917513 JEB917513:JEE917513 JNX917513:JOA917513 JXT917513:JXW917513 KHP917513:KHS917513 KRL917513:KRO917513 LBH917513:LBK917513 LLD917513:LLG917513 LUZ917513:LVC917513 MEV917513:MEY917513 MOR917513:MOU917513 MYN917513:MYQ917513 NIJ917513:NIM917513 NSF917513:NSI917513 OCB917513:OCE917513 OLX917513:OMA917513 OVT917513:OVW917513 PFP917513:PFS917513 PPL917513:PPO917513 PZH917513:PZK917513 QJD917513:QJG917513 QSZ917513:QTC917513 RCV917513:RCY917513 RMR917513:RMU917513 RWN917513:RWQ917513 SGJ917513:SGM917513 SQF917513:SQI917513 TAB917513:TAE917513 TJX917513:TKA917513 TTT917513:TTW917513 UDP917513:UDS917513 UNL917513:UNO917513 UXH917513:UXK917513 VHD917513:VHG917513 VQZ917513:VRC917513 WAV917513:WAY917513 WKR917513:WKU917513 WUN917513:WUQ917513 Q917513:S917513 Q851977:S851977 Q786441:S786441 Q720905:S720905 Q655369:S655369 Q589833:S589833 Q524297:S524297 Q458761:S458761 Q393225:S393225 Q327689:S327689 Q262153:S262153 Q196617:S196617 Q131081:S131081 Q65545:S65545 Q983049:S983049" xr:uid="{D78D8900-DA4D-4C74-9AF5-020A8FBE042C}">
      <formula1>"○, ○（オンライン処理設計書なし）"</formula1>
    </dataValidation>
    <dataValidation type="list" allowBlank="1" showInputMessage="1" showErrorMessage="1" sqref="WJT6:WKD8 WTP6:WTZ8 HD6:HN8 QZ6:RJ8 AAV6:ABF8 AKR6:ALB8 AUN6:AUX8 BEJ6:BET8 BOF6:BOP8 BYB6:BYL8 CHX6:CIH8 CRT6:CSD8 DBP6:DBZ8 DLL6:DLV8 DVH6:DVR8 EFD6:EFN8 EOZ6:EPJ8 EYV6:EZF8 FIR6:FJB8 FSN6:FSX8 GCJ6:GCT8 GMF6:GMP8 GWB6:GWL8 HFX6:HGH8 HPT6:HQD8 HZP6:HZZ8 IJL6:IJV8 ITH6:ITR8 JDD6:JDN8 JMZ6:JNJ8 JWV6:JXF8 KGR6:KHB8 KQN6:KQX8 LAJ6:LAT8 LKF6:LKP8 LUB6:LUL8 MDX6:MEH8 MNT6:MOD8 MXP6:MXZ8 NHL6:NHV8 NRH6:NRR8 OBD6:OBN8 OKZ6:OLJ8 OUV6:OVF8 PER6:PFB8 PON6:POX8 PYJ6:PYT8 QIF6:QIP8 QSB6:QSL8 RBX6:RCH8 RLT6:RMD8 RVP6:RVZ8 SFL6:SFV8 SPH6:SPR8 SZD6:SZN8 TIZ6:TJJ8 TSV6:TTF8 UCR6:UDB8 UMN6:UMX8 UWJ6:UWT8 VGF6:VGP8 VQB6:VQL8 VZX6:WAH8 WTP22:WTZ23 HD22:HN23 QZ22:RJ23 AAV22:ABF23 AKR22:ALB23 AUN22:AUX23 BEJ22:BET23 BOF22:BOP23 BYB22:BYL23 CHX22:CIH23 CRT22:CSD23 DBP22:DBZ23 DLL22:DLV23 DVH22:DVR23 EFD22:EFN23 EOZ22:EPJ23 EYV22:EZF23 FIR22:FJB23 FSN22:FSX23 GCJ22:GCT23 GMF22:GMP23 GWB22:GWL23 HFX22:HGH23 HPT22:HQD23 HZP22:HZZ23 IJL22:IJV23 ITH22:ITR23 JDD22:JDN23 JMZ22:JNJ23 JWV22:JXF23 KGR22:KHB23 KQN22:KQX23 LAJ22:LAT23 LKF22:LKP23 LUB22:LUL23 MDX22:MEH23 MNT22:MOD23 MXP22:MXZ23 NHL22:NHV23 NRH22:NRR23 OBD22:OBN23 OKZ22:OLJ23 OUV22:OVF23 PER22:PFB23 PON22:POX23 PYJ22:PYT23 QIF22:QIP23 QSB22:QSL23 RBX22:RCH23 RLT22:RMD23 RVP22:RVZ23 SFL22:SFV23 SPH22:SPR23 SZD22:SZN23 TIZ22:TJJ23 TSV22:TTF23 UCR22:UDB23 UMN22:UMX23 UWJ22:UWT23 VGF22:VGP23 VQB22:VQL23 VZX22:WAH23 WJT22:WKD23 WJT15:WKD16 WTP15:WTZ16 HD15:HN16 QZ15:RJ16 AAV15:ABF16 AKR15:ALB16 AUN15:AUX16 BEJ15:BET16 BOF15:BOP16 BYB15:BYL16 CHX15:CIH16 CRT15:CSD16 DBP15:DBZ16 DLL15:DLV16 DVH15:DVR16 EFD15:EFN16 EOZ15:EPJ16 EYV15:EZF16 FIR15:FJB16 FSN15:FSX16 GCJ15:GCT16 GMF15:GMP16 GWB15:GWL16 HFX15:HGH16 HPT15:HQD16 HZP15:HZZ16 IJL15:IJV16 ITH15:ITR16 JDD15:JDN16 JMZ15:JNJ16 JWV15:JXF16 KGR15:KHB16 KQN15:KQX16 LAJ15:LAT16 LKF15:LKP16 LUB15:LUL16 MDX15:MEH16 MNT15:MOD16 MXP15:MXZ16 NHL15:NHV16 NRH15:NRR16 OBD15:OBN16 OKZ15:OLJ16 OUV15:OVF16 PER15:PFB16 PON15:POX16 PYJ15:PYT16 QIF15:QIP16 QSB15:QSL16 RBX15:RCH16 RLT15:RMD16 RVP15:RVZ16 SFL15:SFV16 SPH15:SPR16 SZD15:SZN16 TIZ15:TJJ16 TSV15:TTF16 UCR15:UDB16 UMN15:UMX16 UWJ15:UWT16 VGF15:VGP16 VQB15:VQL16 VZX15:WAH16" xr:uid="{9006E94F-4F1C-49DD-88E9-69EBC29F36D2}">
      <formula1>$C$33:$C$44</formula1>
    </dataValidation>
  </dataValidations>
  <pageMargins left="0.7" right="0.7" top="0.75" bottom="0.75" header="0.3" footer="0.3"/>
  <pageSetup paperSize="9" scale="68" fitToHeight="0" orientation="landscape" r:id="rId1"/>
  <ignoredErrors>
    <ignoredError sqref="A7:B28" numberStoredAsText="1"/>
  </ignoredError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CF027-8D07-4890-B248-7B3501D322C0}">
  <sheetPr>
    <pageSetUpPr fitToPage="1"/>
  </sheetPr>
  <dimension ref="A1:AD17"/>
  <sheetViews>
    <sheetView showGridLines="0" view="pageBreakPreview" zoomScale="80" zoomScaleNormal="85" zoomScaleSheetLayoutView="80" workbookViewId="0">
      <selection activeCell="U22" sqref="U22"/>
    </sheetView>
  </sheetViews>
  <sheetFormatPr defaultColWidth="2.6328125" defaultRowHeight="15"/>
  <cols>
    <col min="1" max="10" width="2.6328125" style="459" customWidth="1"/>
    <col min="11" max="16" width="3.26953125" style="459" customWidth="1"/>
    <col min="17" max="30" width="2.6328125" style="459" customWidth="1"/>
    <col min="31" max="16384" width="2.6328125" style="459"/>
  </cols>
  <sheetData>
    <row r="1" spans="1:30" ht="13.5" customHeight="1">
      <c r="A1" s="682" t="s">
        <v>189</v>
      </c>
      <c r="B1" s="682"/>
      <c r="C1" s="682"/>
      <c r="D1" s="682"/>
      <c r="E1" s="682"/>
      <c r="F1" s="682"/>
      <c r="G1" s="682"/>
      <c r="H1" s="682"/>
      <c r="I1" s="682"/>
      <c r="J1" s="682"/>
      <c r="K1" s="460"/>
      <c r="L1" s="460"/>
      <c r="M1" s="460"/>
      <c r="N1" s="460"/>
      <c r="O1" s="460"/>
      <c r="P1" s="460"/>
      <c r="Q1" s="460"/>
      <c r="R1" s="460"/>
      <c r="S1" s="460"/>
      <c r="T1" s="460"/>
      <c r="U1" s="460"/>
      <c r="V1" s="460"/>
      <c r="W1" s="460"/>
      <c r="X1" s="460"/>
      <c r="Y1" s="460"/>
      <c r="Z1" s="460"/>
      <c r="AA1" s="460"/>
      <c r="AB1" s="460"/>
      <c r="AC1" s="460"/>
      <c r="AD1" s="460"/>
    </row>
    <row r="2" spans="1:30" ht="13.5" customHeight="1">
      <c r="A2" s="650" t="s">
        <v>186</v>
      </c>
      <c r="B2" s="651"/>
      <c r="C2" s="650" t="s">
        <v>190</v>
      </c>
      <c r="D2" s="651"/>
      <c r="E2" s="651"/>
      <c r="F2" s="651"/>
      <c r="G2" s="651"/>
      <c r="H2" s="651"/>
      <c r="I2" s="651"/>
      <c r="J2" s="651"/>
      <c r="K2" s="651"/>
      <c r="L2" s="651"/>
      <c r="M2" s="651"/>
      <c r="N2" s="651"/>
      <c r="O2" s="651"/>
      <c r="P2" s="651"/>
      <c r="Q2" s="683" t="s">
        <v>191</v>
      </c>
      <c r="R2" s="684"/>
      <c r="S2" s="684"/>
      <c r="T2" s="684"/>
      <c r="U2" s="684"/>
      <c r="V2" s="684"/>
      <c r="W2" s="684"/>
      <c r="X2" s="684"/>
      <c r="Y2" s="684"/>
      <c r="Z2" s="684"/>
      <c r="AA2" s="684"/>
      <c r="AB2" s="684"/>
      <c r="AC2" s="684"/>
      <c r="AD2" s="685"/>
    </row>
    <row r="3" spans="1:30" ht="38.25" customHeight="1">
      <c r="A3" s="651"/>
      <c r="B3" s="651"/>
      <c r="C3" s="651"/>
      <c r="D3" s="651"/>
      <c r="E3" s="651"/>
      <c r="F3" s="651"/>
      <c r="G3" s="651"/>
      <c r="H3" s="651"/>
      <c r="I3" s="651"/>
      <c r="J3" s="651"/>
      <c r="K3" s="651"/>
      <c r="L3" s="651"/>
      <c r="M3" s="651"/>
      <c r="N3" s="651"/>
      <c r="O3" s="651"/>
      <c r="P3" s="651"/>
      <c r="Q3" s="681" t="s">
        <v>192</v>
      </c>
      <c r="R3" s="681"/>
      <c r="S3" s="681"/>
      <c r="T3" s="681"/>
      <c r="U3" s="681"/>
      <c r="V3" s="681"/>
      <c r="W3" s="681"/>
      <c r="X3" s="681"/>
      <c r="Y3" s="681"/>
      <c r="Z3" s="681"/>
      <c r="AA3" s="681"/>
      <c r="AB3" s="681"/>
      <c r="AC3" s="681"/>
      <c r="AD3" s="681"/>
    </row>
    <row r="4" spans="1:30" ht="13.5" customHeight="1">
      <c r="A4" s="663"/>
      <c r="B4" s="664"/>
      <c r="C4" s="674"/>
      <c r="D4" s="675"/>
      <c r="E4" s="675"/>
      <c r="F4" s="675"/>
      <c r="G4" s="675"/>
      <c r="H4" s="675"/>
      <c r="I4" s="676"/>
      <c r="J4" s="678"/>
      <c r="K4" s="679"/>
      <c r="L4" s="679"/>
      <c r="M4" s="679"/>
      <c r="N4" s="679"/>
      <c r="O4" s="679"/>
      <c r="P4" s="680"/>
      <c r="Q4" s="668"/>
      <c r="R4" s="669"/>
      <c r="S4" s="669"/>
      <c r="T4" s="669"/>
      <c r="U4" s="669"/>
      <c r="V4" s="669"/>
      <c r="W4" s="670"/>
      <c r="X4" s="668"/>
      <c r="Y4" s="669"/>
      <c r="Z4" s="669"/>
      <c r="AA4" s="669"/>
      <c r="AB4" s="669"/>
      <c r="AC4" s="669"/>
      <c r="AD4" s="670"/>
    </row>
    <row r="5" spans="1:30" ht="13.5" customHeight="1">
      <c r="A5" s="663"/>
      <c r="B5" s="664"/>
      <c r="C5" s="674"/>
      <c r="D5" s="675"/>
      <c r="E5" s="675"/>
      <c r="F5" s="675"/>
      <c r="G5" s="675"/>
      <c r="H5" s="675"/>
      <c r="I5" s="676"/>
      <c r="J5" s="678"/>
      <c r="K5" s="679"/>
      <c r="L5" s="679"/>
      <c r="M5" s="679"/>
      <c r="N5" s="679"/>
      <c r="O5" s="679"/>
      <c r="P5" s="680"/>
      <c r="Q5" s="668"/>
      <c r="R5" s="669"/>
      <c r="S5" s="669"/>
      <c r="T5" s="669"/>
      <c r="U5" s="669"/>
      <c r="V5" s="669"/>
      <c r="W5" s="670"/>
      <c r="X5" s="668"/>
      <c r="Y5" s="669"/>
      <c r="Z5" s="669"/>
      <c r="AA5" s="669"/>
      <c r="AB5" s="669"/>
      <c r="AC5" s="669"/>
      <c r="AD5" s="670"/>
    </row>
    <row r="6" spans="1:30" ht="13.5" customHeight="1">
      <c r="A6" s="663"/>
      <c r="B6" s="664"/>
      <c r="C6" s="665"/>
      <c r="D6" s="666"/>
      <c r="E6" s="666"/>
      <c r="F6" s="666"/>
      <c r="G6" s="666"/>
      <c r="H6" s="666"/>
      <c r="I6" s="667"/>
      <c r="J6" s="677"/>
      <c r="K6" s="677"/>
      <c r="L6" s="677"/>
      <c r="M6" s="677"/>
      <c r="N6" s="677"/>
      <c r="O6" s="677"/>
      <c r="P6" s="677"/>
      <c r="Q6" s="668"/>
      <c r="R6" s="669"/>
      <c r="S6" s="669"/>
      <c r="T6" s="669"/>
      <c r="U6" s="669"/>
      <c r="V6" s="669"/>
      <c r="W6" s="670"/>
      <c r="X6" s="668"/>
      <c r="Y6" s="669"/>
      <c r="Z6" s="669"/>
      <c r="AA6" s="669"/>
      <c r="AB6" s="669"/>
      <c r="AC6" s="669"/>
      <c r="AD6" s="670"/>
    </row>
    <row r="7" spans="1:30" ht="13.5" customHeight="1">
      <c r="A7" s="663"/>
      <c r="B7" s="664"/>
      <c r="C7" s="674"/>
      <c r="D7" s="675"/>
      <c r="E7" s="675"/>
      <c r="F7" s="675"/>
      <c r="G7" s="675"/>
      <c r="H7" s="675"/>
      <c r="I7" s="676"/>
      <c r="J7" s="665"/>
      <c r="K7" s="666"/>
      <c r="L7" s="666"/>
      <c r="M7" s="666"/>
      <c r="N7" s="666"/>
      <c r="O7" s="666"/>
      <c r="P7" s="667"/>
      <c r="Q7" s="668"/>
      <c r="R7" s="669"/>
      <c r="S7" s="669"/>
      <c r="T7" s="669"/>
      <c r="U7" s="669"/>
      <c r="V7" s="669"/>
      <c r="W7" s="670"/>
      <c r="X7" s="668"/>
      <c r="Y7" s="669"/>
      <c r="Z7" s="669"/>
      <c r="AA7" s="669"/>
      <c r="AB7" s="669"/>
      <c r="AC7" s="669"/>
      <c r="AD7" s="670"/>
    </row>
    <row r="8" spans="1:30" ht="13.5" customHeight="1">
      <c r="A8" s="663"/>
      <c r="B8" s="664"/>
      <c r="C8" s="671"/>
      <c r="D8" s="672"/>
      <c r="E8" s="672"/>
      <c r="F8" s="672"/>
      <c r="G8" s="672"/>
      <c r="H8" s="672"/>
      <c r="I8" s="673"/>
      <c r="J8" s="665"/>
      <c r="K8" s="666"/>
      <c r="L8" s="666"/>
      <c r="M8" s="666"/>
      <c r="N8" s="666"/>
      <c r="O8" s="666"/>
      <c r="P8" s="667"/>
      <c r="Q8" s="668"/>
      <c r="R8" s="669"/>
      <c r="S8" s="669"/>
      <c r="T8" s="669"/>
      <c r="U8" s="669"/>
      <c r="V8" s="669"/>
      <c r="W8" s="670"/>
      <c r="X8" s="668"/>
      <c r="Y8" s="669"/>
      <c r="Z8" s="669"/>
      <c r="AA8" s="669"/>
      <c r="AB8" s="669"/>
      <c r="AC8" s="669"/>
      <c r="AD8" s="670"/>
    </row>
    <row r="9" spans="1:30" ht="13.5" customHeight="1">
      <c r="A9" s="663"/>
      <c r="B9" s="664"/>
      <c r="C9" s="671"/>
      <c r="D9" s="672"/>
      <c r="E9" s="672"/>
      <c r="F9" s="672"/>
      <c r="G9" s="672"/>
      <c r="H9" s="672"/>
      <c r="I9" s="673"/>
      <c r="J9" s="665"/>
      <c r="K9" s="666"/>
      <c r="L9" s="666"/>
      <c r="M9" s="666"/>
      <c r="N9" s="666"/>
      <c r="O9" s="666"/>
      <c r="P9" s="667"/>
      <c r="Q9" s="668"/>
      <c r="R9" s="669"/>
      <c r="S9" s="669"/>
      <c r="T9" s="669"/>
      <c r="U9" s="669"/>
      <c r="V9" s="669"/>
      <c r="W9" s="670"/>
      <c r="X9" s="668"/>
      <c r="Y9" s="669"/>
      <c r="Z9" s="669"/>
      <c r="AA9" s="669"/>
      <c r="AB9" s="669"/>
      <c r="AC9" s="669"/>
      <c r="AD9" s="670"/>
    </row>
    <row r="10" spans="1:30" ht="13.5" customHeight="1">
      <c r="A10" s="663"/>
      <c r="B10" s="664"/>
      <c r="C10" s="627"/>
      <c r="D10" s="628"/>
      <c r="E10" s="628"/>
      <c r="F10" s="628"/>
      <c r="G10" s="628"/>
      <c r="H10" s="628"/>
      <c r="I10" s="629"/>
      <c r="J10" s="665"/>
      <c r="K10" s="666"/>
      <c r="L10" s="666"/>
      <c r="M10" s="666"/>
      <c r="N10" s="666"/>
      <c r="O10" s="666"/>
      <c r="P10" s="667"/>
      <c r="Q10" s="668"/>
      <c r="R10" s="669"/>
      <c r="S10" s="669"/>
      <c r="T10" s="669"/>
      <c r="U10" s="669"/>
      <c r="V10" s="669"/>
      <c r="W10" s="670"/>
      <c r="X10" s="668"/>
      <c r="Y10" s="669"/>
      <c r="Z10" s="669"/>
      <c r="AA10" s="669"/>
      <c r="AB10" s="669"/>
      <c r="AC10" s="669"/>
      <c r="AD10" s="670"/>
    </row>
    <row r="11" spans="1:30" ht="13.5" customHeight="1">
      <c r="A11" s="663"/>
      <c r="B11" s="664"/>
      <c r="C11" s="627"/>
      <c r="D11" s="628"/>
      <c r="E11" s="628"/>
      <c r="F11" s="628"/>
      <c r="G11" s="628"/>
      <c r="H11" s="628"/>
      <c r="I11" s="629"/>
      <c r="J11" s="665"/>
      <c r="K11" s="666"/>
      <c r="L11" s="666"/>
      <c r="M11" s="666"/>
      <c r="N11" s="666"/>
      <c r="O11" s="666"/>
      <c r="P11" s="667"/>
      <c r="Q11" s="668"/>
      <c r="R11" s="669"/>
      <c r="S11" s="669"/>
      <c r="T11" s="669"/>
      <c r="U11" s="669"/>
      <c r="V11" s="669"/>
      <c r="W11" s="670"/>
      <c r="X11" s="668"/>
      <c r="Y11" s="669"/>
      <c r="Z11" s="669"/>
      <c r="AA11" s="669"/>
      <c r="AB11" s="669"/>
      <c r="AC11" s="669"/>
      <c r="AD11" s="670"/>
    </row>
    <row r="12" spans="1:30" ht="13.5" customHeight="1"/>
    <row r="13" spans="1:30" ht="13.5" customHeight="1"/>
    <row r="14" spans="1:30" ht="13.5" customHeight="1">
      <c r="D14" s="661" t="s">
        <v>193</v>
      </c>
      <c r="E14" s="661"/>
      <c r="F14" s="661"/>
      <c r="G14" s="661"/>
      <c r="H14" s="661"/>
      <c r="I14" s="661"/>
      <c r="J14" s="661"/>
      <c r="K14" s="662" t="s">
        <v>194</v>
      </c>
      <c r="L14" s="662"/>
      <c r="M14" s="662"/>
      <c r="N14" s="662"/>
      <c r="O14" s="662"/>
      <c r="P14" s="662"/>
    </row>
    <row r="15" spans="1:30" ht="13.5" customHeight="1">
      <c r="D15" s="659" t="s">
        <v>195</v>
      </c>
      <c r="E15" s="659"/>
      <c r="F15" s="659"/>
      <c r="G15" s="659"/>
      <c r="H15" s="659"/>
      <c r="I15" s="659"/>
      <c r="J15" s="659"/>
      <c r="K15" s="660" t="s">
        <v>187</v>
      </c>
      <c r="L15" s="660"/>
      <c r="M15" s="660"/>
      <c r="N15" s="660"/>
      <c r="O15" s="660"/>
      <c r="P15" s="660"/>
    </row>
    <row r="16" spans="1:30" ht="13.5" customHeight="1">
      <c r="D16" s="659" t="s">
        <v>196</v>
      </c>
      <c r="E16" s="659"/>
      <c r="F16" s="659"/>
      <c r="G16" s="659"/>
      <c r="H16" s="659"/>
      <c r="I16" s="659"/>
      <c r="J16" s="659"/>
      <c r="K16" s="660" t="s">
        <v>197</v>
      </c>
      <c r="L16" s="660"/>
      <c r="M16" s="660"/>
      <c r="N16" s="660"/>
      <c r="O16" s="660"/>
      <c r="P16" s="660"/>
    </row>
    <row r="17" spans="4:16" ht="13.5" customHeight="1">
      <c r="D17" s="659" t="s">
        <v>198</v>
      </c>
      <c r="E17" s="659"/>
      <c r="F17" s="659"/>
      <c r="G17" s="659"/>
      <c r="H17" s="659"/>
      <c r="I17" s="659"/>
      <c r="J17" s="659"/>
      <c r="K17" s="660" t="s">
        <v>188</v>
      </c>
      <c r="L17" s="660"/>
      <c r="M17" s="660"/>
      <c r="N17" s="660"/>
      <c r="O17" s="660"/>
      <c r="P17" s="660"/>
    </row>
  </sheetData>
  <mergeCells count="54">
    <mergeCell ref="X3:AD3"/>
    <mergeCell ref="A1:J1"/>
    <mergeCell ref="A2:B3"/>
    <mergeCell ref="C2:P3"/>
    <mergeCell ref="Q2:AD2"/>
    <mergeCell ref="Q3:W3"/>
    <mergeCell ref="A4:B4"/>
    <mergeCell ref="C4:I4"/>
    <mergeCell ref="J4:P4"/>
    <mergeCell ref="Q4:W4"/>
    <mergeCell ref="X4:AD4"/>
    <mergeCell ref="A5:B5"/>
    <mergeCell ref="C5:I5"/>
    <mergeCell ref="J5:P5"/>
    <mergeCell ref="Q5:W5"/>
    <mergeCell ref="X5:AD5"/>
    <mergeCell ref="A6:B6"/>
    <mergeCell ref="C6:I6"/>
    <mergeCell ref="J6:P6"/>
    <mergeCell ref="Q6:W6"/>
    <mergeCell ref="X6:AD6"/>
    <mergeCell ref="A7:B7"/>
    <mergeCell ref="C7:I7"/>
    <mergeCell ref="J7:P7"/>
    <mergeCell ref="Q7:W7"/>
    <mergeCell ref="X7:AD7"/>
    <mergeCell ref="A8:B8"/>
    <mergeCell ref="C8:I8"/>
    <mergeCell ref="J8:P8"/>
    <mergeCell ref="Q8:W8"/>
    <mergeCell ref="X8:AD8"/>
    <mergeCell ref="A9:B9"/>
    <mergeCell ref="C9:I9"/>
    <mergeCell ref="J9:P9"/>
    <mergeCell ref="Q9:W9"/>
    <mergeCell ref="X9:AD9"/>
    <mergeCell ref="Q11:W11"/>
    <mergeCell ref="X11:AD11"/>
    <mergeCell ref="A10:B10"/>
    <mergeCell ref="C10:I10"/>
    <mergeCell ref="J10:P10"/>
    <mergeCell ref="Q10:W10"/>
    <mergeCell ref="X10:AD10"/>
    <mergeCell ref="D14:J14"/>
    <mergeCell ref="K14:P14"/>
    <mergeCell ref="A11:B11"/>
    <mergeCell ref="C11:I11"/>
    <mergeCell ref="J11:P11"/>
    <mergeCell ref="D15:J15"/>
    <mergeCell ref="K15:P15"/>
    <mergeCell ref="D16:J16"/>
    <mergeCell ref="K16:P16"/>
    <mergeCell ref="D17:J17"/>
    <mergeCell ref="K17:P17"/>
  </mergeCells>
  <phoneticPr fontId="55"/>
  <dataValidations count="1">
    <dataValidation type="list" allowBlank="1" showInputMessage="1" showErrorMessage="1" sqref="Q4:AD11" xr:uid="{86F05633-290B-4AC6-9839-9E9B6E3B5361}">
      <formula1>$K$15:$K$17</formula1>
    </dataValidation>
  </dataValidations>
  <pageMargins left="0.7" right="0.7" top="0.75" bottom="0.75" header="0.3" footer="0.3"/>
  <pageSetup paperSize="9" scale="62" fitToHeight="0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568" t="s">
        <v>4</v>
      </c>
      <c r="B1" s="568"/>
      <c r="C1" s="568"/>
      <c r="D1" s="568"/>
      <c r="E1" s="568"/>
      <c r="F1" s="568"/>
      <c r="G1" s="568"/>
      <c r="H1" s="568"/>
      <c r="I1" s="555" t="s">
        <v>5</v>
      </c>
      <c r="J1" s="555"/>
      <c r="K1" s="555"/>
      <c r="L1" s="555"/>
      <c r="M1" s="566" t="str">
        <f>変更来歴!M1</f>
        <v>ヒロセ電機株式会社</v>
      </c>
      <c r="N1" s="566"/>
      <c r="O1" s="566"/>
      <c r="P1" s="566"/>
      <c r="Q1" s="566"/>
      <c r="R1" s="566"/>
      <c r="S1" s="566"/>
      <c r="T1" s="566"/>
      <c r="U1" s="566"/>
      <c r="V1" s="566"/>
      <c r="W1" s="566"/>
      <c r="X1" s="555" t="s">
        <v>7</v>
      </c>
      <c r="Y1" s="555"/>
      <c r="Z1" s="555"/>
      <c r="AA1" s="570" t="str">
        <f>変更来歴!AA1</f>
        <v>管理者ログ確認システム</v>
      </c>
      <c r="AB1" s="570"/>
      <c r="AC1" s="570"/>
      <c r="AD1" s="570"/>
      <c r="AE1" s="570"/>
      <c r="AF1" s="570"/>
      <c r="AG1" s="570"/>
      <c r="AH1" s="570"/>
      <c r="AI1" s="570"/>
      <c r="AJ1" s="570"/>
      <c r="AK1" s="544" t="s">
        <v>8</v>
      </c>
      <c r="AL1" s="544"/>
      <c r="AM1" s="544"/>
      <c r="AN1" s="546" t="str">
        <f>変更来歴!AP7</f>
        <v>古竹</v>
      </c>
      <c r="AO1" s="546"/>
      <c r="AP1" s="546"/>
      <c r="AQ1" s="546"/>
      <c r="AR1" s="546"/>
      <c r="AS1" s="544" t="s">
        <v>9</v>
      </c>
      <c r="AT1" s="544"/>
      <c r="AU1" s="544"/>
      <c r="AV1" s="547">
        <f>変更来歴!AL7</f>
        <v>46125</v>
      </c>
      <c r="AW1" s="545"/>
      <c r="AX1" s="545"/>
      <c r="AY1" s="545"/>
      <c r="AZ1" s="551" t="s">
        <v>10</v>
      </c>
      <c r="BA1" s="552"/>
      <c r="BB1" s="552"/>
      <c r="BC1" s="553"/>
    </row>
    <row r="2" spans="1:59">
      <c r="A2" s="554" t="s">
        <v>16</v>
      </c>
      <c r="B2" s="554"/>
      <c r="C2" s="554"/>
      <c r="D2" s="554"/>
      <c r="E2" s="554"/>
      <c r="F2" s="554"/>
      <c r="G2" s="554"/>
      <c r="H2" s="554"/>
      <c r="I2" s="555" t="s">
        <v>11</v>
      </c>
      <c r="J2" s="555"/>
      <c r="K2" s="555"/>
      <c r="L2" s="555"/>
      <c r="M2" s="596" t="str">
        <f>変更来歴!M2</f>
        <v>新環境証明書システム</v>
      </c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555"/>
      <c r="Y2" s="555"/>
      <c r="Z2" s="555"/>
      <c r="AA2" s="570"/>
      <c r="AB2" s="570"/>
      <c r="AC2" s="570"/>
      <c r="AD2" s="570"/>
      <c r="AE2" s="570"/>
      <c r="AF2" s="570"/>
      <c r="AG2" s="570"/>
      <c r="AH2" s="570"/>
      <c r="AI2" s="570"/>
      <c r="AJ2" s="570"/>
      <c r="AK2" s="544" t="s">
        <v>12</v>
      </c>
      <c r="AL2" s="544"/>
      <c r="AM2" s="544"/>
      <c r="AN2" s="546" t="str">
        <f ca="1">INDIRECT("変更来歴!AP" &amp; COUNTA(変更来歴!AP7:'変更来歴'!AP39) + 6)</f>
        <v>古竹</v>
      </c>
      <c r="AO2" s="546"/>
      <c r="AP2" s="546"/>
      <c r="AQ2" s="546"/>
      <c r="AR2" s="546"/>
      <c r="AS2" s="544" t="s">
        <v>13</v>
      </c>
      <c r="AT2" s="544"/>
      <c r="AU2" s="544"/>
      <c r="AV2" s="547">
        <f ca="1">INDIRECT("変更来歴!AL" &amp; COUNTA(変更来歴!AL7:'変更来歴'!AL39) + 6)</f>
        <v>46163</v>
      </c>
      <c r="AW2" s="545"/>
      <c r="AX2" s="545"/>
      <c r="AY2" s="545"/>
      <c r="AZ2" s="559" t="str">
        <f>変更来歴!AX2</f>
        <v>IMWF-53</v>
      </c>
      <c r="BA2" s="560"/>
      <c r="BB2" s="560"/>
      <c r="BC2" s="561"/>
    </row>
    <row r="3" spans="1:59" ht="12" customHeight="1">
      <c r="A3" s="565" t="str">
        <f>変更来歴!A3</f>
        <v>画面設計書</v>
      </c>
      <c r="B3" s="565"/>
      <c r="C3" s="565"/>
      <c r="D3" s="565"/>
      <c r="E3" s="565"/>
      <c r="F3" s="565"/>
      <c r="G3" s="565"/>
      <c r="H3" s="565"/>
      <c r="I3" s="555" t="s">
        <v>14</v>
      </c>
      <c r="J3" s="555"/>
      <c r="K3" s="555"/>
      <c r="L3" s="555"/>
      <c r="M3" s="566" t="str">
        <f ca="1">RIGHT(CELL("filename",A1),LEN(CELL("filename",A1))-FIND("]",CELL("filename",A1)))</f>
        <v>外貨(コリア原計)</v>
      </c>
      <c r="N3" s="566"/>
      <c r="O3" s="566"/>
      <c r="P3" s="566"/>
      <c r="Q3" s="566"/>
      <c r="R3" s="566"/>
      <c r="S3" s="566"/>
      <c r="T3" s="566"/>
      <c r="U3" s="566"/>
      <c r="V3" s="566"/>
      <c r="W3" s="566"/>
      <c r="X3" s="555" t="s">
        <v>27</v>
      </c>
      <c r="Y3" s="555"/>
      <c r="Z3" s="555"/>
      <c r="AA3" s="567" t="str">
        <f ca="1">MID(CELL("filename"),FIND("]",CELL("filename"))+1,LEN(CELL("filename"))) &amp; "画面"</f>
        <v>管理者申請ログ確認画面画面</v>
      </c>
      <c r="AB3" s="567"/>
      <c r="AC3" s="567"/>
      <c r="AD3" s="567"/>
      <c r="AE3" s="567"/>
      <c r="AF3" s="567"/>
      <c r="AG3" s="567"/>
      <c r="AH3" s="567"/>
      <c r="AI3" s="567"/>
      <c r="AJ3" s="567"/>
      <c r="AK3" s="567"/>
      <c r="AL3" s="567"/>
      <c r="AM3" s="567"/>
      <c r="AN3" s="567"/>
      <c r="AO3" s="567"/>
      <c r="AP3" s="567"/>
      <c r="AQ3" s="567"/>
      <c r="AR3" s="567"/>
      <c r="AS3" s="544" t="s">
        <v>15</v>
      </c>
      <c r="AT3" s="544"/>
      <c r="AU3" s="544"/>
      <c r="AV3" s="545" t="str">
        <f ca="1">INDIRECT("変更来歴!A" &amp; COUNTA(変更来歴!A7:'変更来歴'!A39) + 6)</f>
        <v>ｒ1.1</v>
      </c>
      <c r="AW3" s="545"/>
      <c r="AX3" s="545"/>
      <c r="AY3" s="545"/>
      <c r="AZ3" s="562"/>
      <c r="BA3" s="563"/>
      <c r="BB3" s="563"/>
      <c r="BC3" s="564"/>
    </row>
    <row r="4" spans="1:59" ht="5.9" customHeight="1"/>
    <row r="5" spans="1:59" ht="13.5" customHeight="1">
      <c r="A5" s="591" t="str">
        <f ca="1">"画面レイアウト"&amp;"("&amp;MID(CELL("filename"),FIND("]",CELL("filename"))+1,LEN(CELL("filename")))&amp;")"</f>
        <v>画面レイアウト(管理者申請ログ確認画面)</v>
      </c>
      <c r="B5" s="592"/>
      <c r="C5" s="592"/>
      <c r="D5" s="592"/>
      <c r="E5" s="592"/>
      <c r="F5" s="592"/>
      <c r="G5" s="592"/>
      <c r="H5" s="592"/>
      <c r="I5" s="592"/>
      <c r="J5" s="592"/>
      <c r="K5" s="592"/>
      <c r="L5" s="592"/>
      <c r="M5" s="592"/>
      <c r="N5" s="592"/>
      <c r="O5" s="592"/>
      <c r="P5" s="592"/>
      <c r="Q5" s="592"/>
      <c r="R5" s="592"/>
      <c r="S5" s="592"/>
      <c r="T5" s="592"/>
      <c r="U5" s="592"/>
      <c r="V5" s="592"/>
      <c r="W5" s="592"/>
      <c r="X5" s="592"/>
      <c r="Y5" s="592"/>
      <c r="Z5" s="592"/>
      <c r="AA5" s="592"/>
      <c r="AB5" s="592"/>
      <c r="AC5" s="592"/>
      <c r="AD5" s="592"/>
      <c r="AE5" s="592"/>
      <c r="AF5" s="592"/>
      <c r="AG5" s="592"/>
      <c r="AH5" s="592"/>
      <c r="AI5" s="592"/>
      <c r="AJ5" s="592"/>
      <c r="AK5" s="592"/>
      <c r="AL5" s="592"/>
      <c r="AM5" s="592"/>
      <c r="AN5" s="592"/>
      <c r="AO5" s="592"/>
      <c r="AP5" s="592"/>
      <c r="AQ5" s="592"/>
      <c r="AR5" s="592"/>
      <c r="AS5" s="592"/>
      <c r="AT5" s="592"/>
      <c r="AU5" s="592"/>
      <c r="AV5" s="592"/>
      <c r="AW5" s="592"/>
      <c r="AX5" s="592"/>
      <c r="AY5" s="592"/>
      <c r="AZ5" s="592"/>
      <c r="BA5" s="593"/>
      <c r="BB5" s="594" t="s">
        <v>24</v>
      </c>
      <c r="BC5" s="595"/>
      <c r="BD5" s="28"/>
    </row>
    <row r="6" spans="1:59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59" ht="18.75" customHeight="1">
      <c r="A7" s="29"/>
      <c r="B7" s="45" t="s">
        <v>43</v>
      </c>
      <c r="C7" s="36"/>
      <c r="D7" s="36"/>
      <c r="E7" s="36"/>
      <c r="F7" s="36"/>
      <c r="G7" s="36"/>
      <c r="H7" s="46"/>
      <c r="I7" s="36"/>
      <c r="J7" s="46"/>
      <c r="K7" s="36"/>
      <c r="L7" s="36"/>
      <c r="M7" s="36"/>
      <c r="N7" s="46" t="s">
        <v>164</v>
      </c>
      <c r="O7" s="36"/>
      <c r="P7" s="36"/>
      <c r="Q7" s="36"/>
      <c r="R7" s="47" t="s">
        <v>163</v>
      </c>
      <c r="S7" s="36"/>
      <c r="T7" s="36"/>
      <c r="U7" s="36"/>
      <c r="V7" s="36"/>
      <c r="W7" s="36"/>
      <c r="X7" s="36"/>
      <c r="Y7" s="47"/>
      <c r="Z7" s="36"/>
      <c r="AA7" s="36"/>
      <c r="AB7" s="36"/>
      <c r="AC7" s="36"/>
      <c r="AD7" s="36"/>
      <c r="AE7" s="47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48"/>
      <c r="AX7" s="48"/>
      <c r="AY7" s="48"/>
      <c r="AZ7" s="49"/>
      <c r="BA7" s="75" t="s">
        <v>29</v>
      </c>
      <c r="BB7" s="74"/>
      <c r="BC7" s="34"/>
      <c r="BD7" s="28"/>
    </row>
    <row r="8" spans="1:59" ht="18" customHeight="1">
      <c r="A8" s="29"/>
      <c r="B8" s="160"/>
      <c r="C8" s="161"/>
      <c r="D8" s="161"/>
      <c r="E8" s="161" t="s">
        <v>44</v>
      </c>
      <c r="F8" s="161"/>
      <c r="G8" s="161"/>
      <c r="H8" s="162"/>
      <c r="I8" s="162"/>
      <c r="J8" s="162"/>
      <c r="K8" s="162"/>
      <c r="L8" s="163"/>
      <c r="M8" s="162"/>
      <c r="N8" s="55"/>
      <c r="O8" s="55"/>
      <c r="P8" s="163"/>
      <c r="Q8" s="55"/>
      <c r="R8" s="55"/>
      <c r="S8" s="55"/>
      <c r="T8" s="164"/>
      <c r="U8" s="164"/>
      <c r="V8" s="164"/>
      <c r="W8" s="164"/>
      <c r="X8" s="165"/>
      <c r="Y8" s="162"/>
      <c r="Z8" s="162"/>
      <c r="AA8" s="162"/>
      <c r="AB8" s="163"/>
      <c r="AC8" s="162"/>
      <c r="AD8" s="55"/>
      <c r="AE8" s="55"/>
      <c r="AF8" s="163"/>
      <c r="AG8" s="161"/>
      <c r="AH8" s="161"/>
      <c r="AI8" s="166"/>
      <c r="AJ8" s="53"/>
      <c r="AK8" s="53"/>
      <c r="AL8" s="53"/>
      <c r="AM8" s="53"/>
      <c r="AN8" s="167"/>
      <c r="AO8" s="168"/>
      <c r="AP8" s="168"/>
      <c r="AQ8" s="53"/>
      <c r="AR8" s="53"/>
      <c r="AS8" s="53"/>
      <c r="AT8" s="54"/>
      <c r="AU8" s="53"/>
      <c r="AV8" s="55"/>
      <c r="AW8" s="55"/>
      <c r="AX8" s="55"/>
      <c r="AY8" s="161"/>
      <c r="AZ8" s="169"/>
      <c r="BA8" s="131"/>
      <c r="BB8" s="74"/>
      <c r="BC8" s="34"/>
      <c r="BD8" s="28"/>
    </row>
    <row r="9" spans="1:59" ht="13.5" customHeight="1">
      <c r="A9" s="22"/>
      <c r="B9" s="185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4"/>
      <c r="BB9" s="74"/>
      <c r="BC9" s="34"/>
      <c r="BD9" s="28"/>
    </row>
    <row r="10" spans="1:59" ht="13.5" customHeight="1">
      <c r="A10" s="22"/>
      <c r="B10" s="185"/>
      <c r="C10" s="41" t="s">
        <v>45</v>
      </c>
      <c r="D10" s="31"/>
      <c r="E10" s="31"/>
      <c r="F10" s="31" t="s">
        <v>49</v>
      </c>
      <c r="G10" s="31"/>
      <c r="H10" s="115" t="s">
        <v>48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61"/>
      <c r="U10" s="61"/>
      <c r="V10" s="61"/>
      <c r="W10" s="61"/>
      <c r="X10" s="60"/>
      <c r="Y10" s="61"/>
      <c r="Z10" s="61"/>
      <c r="AA10" s="61"/>
      <c r="AB10" s="62"/>
      <c r="AC10" s="61"/>
      <c r="AD10" s="63"/>
      <c r="AE10" s="63"/>
      <c r="AF10" s="63"/>
      <c r="AG10" s="63"/>
      <c r="AH10" s="63"/>
      <c r="AI10" s="71"/>
      <c r="AJ10" s="61"/>
      <c r="AK10" s="61"/>
      <c r="AL10" s="61"/>
      <c r="AM10" s="61"/>
      <c r="AN10" s="113"/>
      <c r="AO10" s="60"/>
      <c r="AP10" s="60"/>
      <c r="AQ10" s="61"/>
      <c r="AR10" s="61"/>
      <c r="AS10" s="61"/>
      <c r="AT10" s="62"/>
      <c r="AU10" s="61"/>
      <c r="AV10" s="63"/>
      <c r="AW10" s="63"/>
      <c r="AX10" s="63"/>
      <c r="AY10" s="31"/>
      <c r="AZ10" s="33"/>
      <c r="BA10" s="44"/>
      <c r="BB10" s="74"/>
      <c r="BC10" s="34"/>
      <c r="BD10" s="28"/>
    </row>
    <row r="11" spans="1:59" ht="13.5" customHeight="1">
      <c r="A11" s="22"/>
      <c r="B11" s="185"/>
      <c r="C11" s="41" t="s">
        <v>46</v>
      </c>
      <c r="D11" s="31"/>
      <c r="E11" s="31"/>
      <c r="F11" s="31" t="s">
        <v>49</v>
      </c>
      <c r="G11" s="31"/>
      <c r="H11" s="71" t="s">
        <v>50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61"/>
      <c r="U11" s="61"/>
      <c r="V11" s="61"/>
      <c r="W11" s="61"/>
      <c r="X11" s="60"/>
      <c r="Y11" s="61"/>
      <c r="Z11" s="61"/>
      <c r="AA11" s="61"/>
      <c r="AB11" s="62"/>
      <c r="AC11" s="61"/>
      <c r="AD11" s="63"/>
      <c r="AE11" s="63"/>
      <c r="AF11" s="63"/>
      <c r="AG11" s="63"/>
      <c r="AH11" s="63"/>
      <c r="AI11" s="71"/>
      <c r="AJ11" s="61"/>
      <c r="AK11" s="61"/>
      <c r="AL11" s="61"/>
      <c r="AM11" s="61"/>
      <c r="AN11" s="113"/>
      <c r="AO11" s="60"/>
      <c r="AP11" s="60"/>
      <c r="AQ11" s="61"/>
      <c r="AR11" s="61"/>
      <c r="AS11" s="61"/>
      <c r="AT11" s="62"/>
      <c r="AU11" s="61"/>
      <c r="AV11" s="63"/>
      <c r="AW11" s="63"/>
      <c r="AX11" s="63"/>
      <c r="AY11" s="31"/>
      <c r="AZ11" s="33"/>
      <c r="BA11" s="44"/>
      <c r="BB11" s="74"/>
      <c r="BC11" s="34"/>
      <c r="BD11" s="28"/>
    </row>
    <row r="12" spans="1:59" ht="13.5" customHeight="1">
      <c r="A12" s="22"/>
      <c r="B12" s="185"/>
      <c r="C12" s="41" t="s">
        <v>47</v>
      </c>
      <c r="D12" s="31"/>
      <c r="E12" s="31"/>
      <c r="F12" s="31" t="s">
        <v>49</v>
      </c>
      <c r="G12" s="31"/>
      <c r="H12" s="71" t="s">
        <v>51</v>
      </c>
      <c r="I12" s="71"/>
      <c r="J12" s="71"/>
      <c r="K12" s="71"/>
      <c r="L12" s="71" t="s">
        <v>52</v>
      </c>
      <c r="M12" s="71"/>
      <c r="N12" s="71"/>
      <c r="O12" s="71" t="s">
        <v>53</v>
      </c>
      <c r="P12" s="71"/>
      <c r="Q12" s="71"/>
      <c r="R12" s="71"/>
      <c r="S12" s="71"/>
      <c r="T12" s="61"/>
      <c r="U12" s="61"/>
      <c r="V12" s="61"/>
      <c r="W12" s="61"/>
      <c r="X12" s="60"/>
      <c r="Y12" s="61"/>
      <c r="Z12" s="61"/>
      <c r="AA12" s="61"/>
      <c r="AB12" s="62"/>
      <c r="AC12" s="61"/>
      <c r="AD12" s="63"/>
      <c r="AE12" s="63"/>
      <c r="AF12" s="63"/>
      <c r="AG12" s="63"/>
      <c r="AH12" s="63"/>
      <c r="AI12" s="71"/>
      <c r="AJ12" s="61"/>
      <c r="AK12" s="61"/>
      <c r="AL12" s="61"/>
      <c r="AM12" s="61"/>
      <c r="AN12" s="113"/>
      <c r="AO12" s="60"/>
      <c r="AP12" s="60"/>
      <c r="AQ12" s="61"/>
      <c r="AR12" s="61"/>
      <c r="AS12" s="61"/>
      <c r="AT12" s="62"/>
      <c r="AU12" s="61"/>
      <c r="AV12" s="63"/>
      <c r="AW12" s="63"/>
      <c r="AX12" s="63"/>
      <c r="AY12" s="31"/>
      <c r="AZ12" s="33"/>
      <c r="BA12" s="44"/>
      <c r="BB12" s="74"/>
      <c r="BC12" s="34"/>
      <c r="BD12" s="28"/>
    </row>
    <row r="13" spans="1:59" ht="13.5" customHeight="1">
      <c r="A13" s="22"/>
      <c r="B13" s="186">
        <v>1</v>
      </c>
      <c r="C13" s="187">
        <v>2</v>
      </c>
      <c r="D13" s="187">
        <v>3</v>
      </c>
      <c r="E13" s="187">
        <v>4</v>
      </c>
      <c r="F13" s="187">
        <v>5</v>
      </c>
      <c r="G13" s="187">
        <v>6</v>
      </c>
      <c r="H13" s="187">
        <v>7</v>
      </c>
      <c r="I13" s="187">
        <v>8</v>
      </c>
      <c r="J13" s="187">
        <v>9</v>
      </c>
      <c r="K13" s="187">
        <v>10</v>
      </c>
      <c r="L13" s="187">
        <v>11</v>
      </c>
      <c r="M13" s="187">
        <v>12</v>
      </c>
      <c r="N13" s="187">
        <v>13</v>
      </c>
      <c r="O13" s="187">
        <v>14</v>
      </c>
      <c r="P13" s="187">
        <v>15</v>
      </c>
      <c r="Q13" s="187">
        <v>16</v>
      </c>
      <c r="R13" s="187">
        <v>17</v>
      </c>
      <c r="S13" s="187">
        <v>18</v>
      </c>
      <c r="T13" s="187">
        <v>19</v>
      </c>
      <c r="U13" s="187">
        <v>20</v>
      </c>
      <c r="V13" s="187">
        <v>21</v>
      </c>
      <c r="W13" s="187">
        <v>22</v>
      </c>
      <c r="X13" s="187">
        <v>23</v>
      </c>
      <c r="Y13" s="187">
        <v>24</v>
      </c>
      <c r="Z13" s="187">
        <v>25</v>
      </c>
      <c r="AA13" s="187">
        <v>26</v>
      </c>
      <c r="AB13" s="187">
        <v>27</v>
      </c>
      <c r="AC13" s="187">
        <v>28</v>
      </c>
      <c r="AD13" s="187">
        <v>29</v>
      </c>
      <c r="AE13" s="187">
        <v>30</v>
      </c>
      <c r="AF13" s="187">
        <v>31</v>
      </c>
      <c r="AG13" s="187">
        <v>32</v>
      </c>
      <c r="AH13" s="187">
        <v>33</v>
      </c>
      <c r="AI13" s="187">
        <v>34</v>
      </c>
      <c r="AJ13" s="187">
        <v>35</v>
      </c>
      <c r="AK13" s="187">
        <v>36</v>
      </c>
      <c r="AL13" s="187">
        <v>37</v>
      </c>
      <c r="AM13" s="187">
        <v>38</v>
      </c>
      <c r="AN13" s="187">
        <v>39</v>
      </c>
      <c r="AO13" s="187">
        <v>40</v>
      </c>
      <c r="AP13" s="187"/>
      <c r="AQ13" s="187">
        <v>41</v>
      </c>
      <c r="AR13" s="187">
        <v>42</v>
      </c>
      <c r="AS13" s="187">
        <v>43</v>
      </c>
      <c r="AT13" s="187">
        <v>44</v>
      </c>
      <c r="AU13" s="187">
        <v>45</v>
      </c>
      <c r="AV13" s="187">
        <v>46</v>
      </c>
      <c r="AW13" s="187">
        <v>47</v>
      </c>
      <c r="AX13" s="63"/>
      <c r="AY13" s="31"/>
      <c r="AZ13" s="33"/>
      <c r="BA13" s="44"/>
      <c r="BB13" s="74"/>
      <c r="BC13" s="34"/>
      <c r="BD13" s="28"/>
      <c r="BE13" s="24"/>
      <c r="BF13" s="24"/>
    </row>
    <row r="14" spans="1:59" ht="13.5" customHeight="1">
      <c r="A14" s="22"/>
      <c r="B14" s="186">
        <v>2</v>
      </c>
      <c r="C14" s="188" t="s">
        <v>76</v>
      </c>
      <c r="D14" s="28"/>
      <c r="E14" s="28"/>
      <c r="F14" s="28"/>
      <c r="G14" s="28"/>
      <c r="H14" s="109"/>
      <c r="I14" s="60"/>
      <c r="J14" s="61"/>
      <c r="K14" s="60"/>
      <c r="L14" s="61"/>
      <c r="M14" s="66"/>
      <c r="N14" s="66"/>
      <c r="O14" s="63"/>
      <c r="P14" s="66"/>
      <c r="Q14" s="63"/>
      <c r="R14" s="66"/>
      <c r="S14" s="28"/>
      <c r="T14" s="28"/>
      <c r="U14" s="28"/>
      <c r="V14" s="28"/>
      <c r="W14" s="28"/>
      <c r="X14" s="109"/>
      <c r="Y14" s="60"/>
      <c r="Z14" s="61"/>
      <c r="AA14" s="60"/>
      <c r="AB14" s="61"/>
      <c r="AC14" s="66"/>
      <c r="AD14" s="66"/>
      <c r="AE14" s="63"/>
      <c r="AF14" s="66"/>
      <c r="AG14" s="63"/>
      <c r="AH14" s="66"/>
      <c r="AI14" s="62"/>
      <c r="AJ14" s="66"/>
      <c r="AK14" s="63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17"/>
      <c r="AW14" s="28"/>
      <c r="AX14" s="63"/>
      <c r="AY14" s="31"/>
      <c r="AZ14" s="33"/>
      <c r="BA14" s="44"/>
      <c r="BB14" s="74"/>
      <c r="BC14" s="34"/>
      <c r="BD14" s="28"/>
    </row>
    <row r="15" spans="1:59" ht="5.15" customHeight="1">
      <c r="A15" s="22"/>
      <c r="B15" s="186"/>
      <c r="C15" s="277"/>
      <c r="D15" s="68"/>
      <c r="E15" s="68"/>
      <c r="F15" s="68"/>
      <c r="G15" s="68"/>
      <c r="H15" s="278"/>
      <c r="I15" s="260"/>
      <c r="J15" s="261"/>
      <c r="K15" s="260"/>
      <c r="L15" s="261"/>
      <c r="M15" s="279"/>
      <c r="N15" s="279"/>
      <c r="O15" s="245"/>
      <c r="P15" s="279"/>
      <c r="Q15" s="245"/>
      <c r="R15" s="279"/>
      <c r="S15" s="263"/>
      <c r="T15" s="68"/>
      <c r="U15" s="68"/>
      <c r="V15" s="68"/>
      <c r="W15" s="68"/>
      <c r="X15" s="68"/>
      <c r="Y15" s="278"/>
      <c r="Z15" s="260"/>
      <c r="AA15" s="261"/>
      <c r="AB15" s="260"/>
      <c r="AC15" s="261"/>
      <c r="AD15" s="279"/>
      <c r="AE15" s="279"/>
      <c r="AF15" s="245"/>
      <c r="AG15" s="279"/>
      <c r="AH15" s="279"/>
      <c r="AI15" s="262"/>
      <c r="AJ15" s="279"/>
      <c r="AK15" s="245"/>
      <c r="AL15" s="68"/>
      <c r="AM15" s="68"/>
      <c r="AN15" s="68"/>
      <c r="AO15" s="68"/>
      <c r="AP15" s="68"/>
      <c r="AQ15" s="68"/>
      <c r="AR15" s="68"/>
      <c r="AS15" s="261"/>
      <c r="AT15" s="262"/>
      <c r="AU15" s="261"/>
      <c r="AV15" s="245"/>
      <c r="AW15" s="245"/>
      <c r="AX15" s="245"/>
      <c r="AY15" s="247"/>
      <c r="AZ15" s="33"/>
      <c r="BA15" s="44"/>
      <c r="BB15" s="74"/>
      <c r="BC15" s="34"/>
      <c r="BD15" s="28"/>
    </row>
    <row r="16" spans="1:59" ht="13.5" customHeight="1">
      <c r="A16" s="22"/>
      <c r="B16" s="43"/>
      <c r="C16" s="248" t="s">
        <v>77</v>
      </c>
      <c r="D16" s="28"/>
      <c r="E16" s="28"/>
      <c r="F16" s="28"/>
      <c r="G16" s="28"/>
      <c r="H16" s="238" t="s">
        <v>106</v>
      </c>
      <c r="I16" s="238"/>
      <c r="J16" s="238"/>
      <c r="K16" s="26"/>
      <c r="L16" s="26"/>
      <c r="M16" s="96"/>
      <c r="N16" s="91"/>
      <c r="O16" s="65"/>
      <c r="P16" s="65"/>
      <c r="Q16" s="92"/>
      <c r="R16" s="91"/>
      <c r="S16" s="91"/>
      <c r="T16" s="91"/>
      <c r="U16" s="65"/>
      <c r="V16" s="92"/>
      <c r="W16" s="91"/>
      <c r="X16" s="63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3"/>
      <c r="AY16" s="249"/>
      <c r="AZ16" s="33"/>
      <c r="BA16" s="44"/>
      <c r="BB16" s="74"/>
      <c r="BC16" s="34"/>
      <c r="BD16" s="28"/>
      <c r="BE16" s="35"/>
      <c r="BF16" s="35"/>
      <c r="BG16" s="35"/>
    </row>
    <row r="17" spans="1:59" ht="13.5" customHeight="1">
      <c r="A17" s="22"/>
      <c r="B17" s="186">
        <v>3</v>
      </c>
      <c r="C17" s="248" t="s">
        <v>54</v>
      </c>
      <c r="D17" s="31"/>
      <c r="E17" s="31"/>
      <c r="F17" s="31"/>
      <c r="G17" s="31"/>
      <c r="H17" s="56"/>
      <c r="I17" s="57"/>
      <c r="J17" s="57"/>
      <c r="K17" s="57"/>
      <c r="L17" s="58"/>
      <c r="M17" s="57"/>
      <c r="N17" s="59"/>
      <c r="O17" s="59"/>
      <c r="P17" s="59"/>
      <c r="Q17" s="59"/>
      <c r="R17" s="59"/>
      <c r="S17" s="116"/>
      <c r="T17" s="57"/>
      <c r="U17" s="57"/>
      <c r="V17" s="57"/>
      <c r="W17" s="57"/>
      <c r="X17" s="111"/>
      <c r="Y17" s="57"/>
      <c r="Z17" s="57"/>
      <c r="AA17" s="57"/>
      <c r="AB17" s="58"/>
      <c r="AC17" s="57"/>
      <c r="AD17" s="59"/>
      <c r="AE17" s="59"/>
      <c r="AF17" s="59"/>
      <c r="AG17" s="59"/>
      <c r="AH17" s="86"/>
      <c r="AI17" s="71"/>
      <c r="AJ17" s="61"/>
      <c r="AK17" s="61"/>
      <c r="AL17" s="61"/>
      <c r="AM17" s="61"/>
      <c r="AN17" s="113"/>
      <c r="AO17" s="60"/>
      <c r="AP17" s="60"/>
      <c r="AQ17" s="61"/>
      <c r="AR17" s="61"/>
      <c r="AS17" s="61"/>
      <c r="AT17" s="62"/>
      <c r="AU17" s="61"/>
      <c r="AV17" s="63"/>
      <c r="AW17" s="63"/>
      <c r="AX17" s="63"/>
      <c r="AY17" s="249"/>
      <c r="AZ17" s="33"/>
      <c r="BA17" s="44"/>
      <c r="BB17" s="74"/>
      <c r="BC17" s="34"/>
      <c r="BD17" s="28"/>
      <c r="BE17" s="35"/>
      <c r="BF17" s="35"/>
      <c r="BG17" s="35"/>
    </row>
    <row r="18" spans="1:59" ht="13.5" customHeight="1">
      <c r="A18" s="22"/>
      <c r="B18" s="185"/>
      <c r="C18" s="248" t="s">
        <v>36</v>
      </c>
      <c r="D18" s="31"/>
      <c r="E18" s="31"/>
      <c r="F18" s="31"/>
      <c r="G18" s="31"/>
      <c r="H18" s="56"/>
      <c r="I18" s="57"/>
      <c r="J18" s="57"/>
      <c r="K18" s="57"/>
      <c r="L18" s="58"/>
      <c r="M18" s="57"/>
      <c r="N18" s="59"/>
      <c r="O18" s="59"/>
      <c r="P18" s="59"/>
      <c r="Q18" s="173"/>
      <c r="R18" s="70"/>
      <c r="S18" s="71"/>
      <c r="T18" s="104" t="s">
        <v>55</v>
      </c>
      <c r="U18" s="31"/>
      <c r="V18" s="31"/>
      <c r="W18" s="31"/>
      <c r="X18" s="31"/>
      <c r="Y18" s="56"/>
      <c r="Z18" s="57"/>
      <c r="AA18" s="57"/>
      <c r="AB18" s="57"/>
      <c r="AC18" s="58"/>
      <c r="AD18" s="57"/>
      <c r="AE18" s="59"/>
      <c r="AF18" s="59"/>
      <c r="AG18" s="67"/>
      <c r="AH18" s="63"/>
      <c r="AI18" s="71"/>
      <c r="AJ18" s="61"/>
      <c r="AK18" s="71" t="s">
        <v>56</v>
      </c>
      <c r="AL18" s="61"/>
      <c r="AM18" s="61"/>
      <c r="AN18" s="61"/>
      <c r="AO18" s="61"/>
      <c r="AP18" s="56"/>
      <c r="AQ18" s="57"/>
      <c r="AR18" s="57"/>
      <c r="AS18" s="57"/>
      <c r="AT18" s="58"/>
      <c r="AU18" s="57"/>
      <c r="AV18" s="59"/>
      <c r="AW18" s="59"/>
      <c r="AX18" s="67"/>
      <c r="AY18" s="249"/>
      <c r="AZ18" s="33"/>
      <c r="BA18" s="44"/>
      <c r="BB18" s="74"/>
      <c r="BC18" s="34"/>
      <c r="BD18" s="28"/>
      <c r="BE18" s="35"/>
      <c r="BF18" s="35"/>
      <c r="BG18" s="35"/>
    </row>
    <row r="19" spans="1:59" ht="13.5" customHeight="1">
      <c r="A19" s="22"/>
      <c r="B19" s="185"/>
      <c r="C19" s="248" t="s">
        <v>57</v>
      </c>
      <c r="D19" s="31"/>
      <c r="E19" s="31"/>
      <c r="F19" s="31"/>
      <c r="G19" s="31"/>
      <c r="H19" s="56"/>
      <c r="I19" s="57"/>
      <c r="J19" s="57"/>
      <c r="K19" s="57"/>
      <c r="L19" s="58"/>
      <c r="M19" s="57"/>
      <c r="N19" s="59"/>
      <c r="O19" s="59"/>
      <c r="P19" s="90" t="s">
        <v>32</v>
      </c>
      <c r="Q19" s="86"/>
      <c r="R19" s="63"/>
      <c r="S19" s="35"/>
      <c r="T19" s="41" t="s">
        <v>58</v>
      </c>
      <c r="U19" s="61"/>
      <c r="V19" s="61"/>
      <c r="W19" s="61"/>
      <c r="X19" s="61"/>
      <c r="Y19" s="112" t="s">
        <v>65</v>
      </c>
      <c r="Z19" s="57"/>
      <c r="AA19" s="57"/>
      <c r="AB19" s="57"/>
      <c r="AC19" s="58"/>
      <c r="AD19" s="57"/>
      <c r="AE19" s="59"/>
      <c r="AF19" s="59"/>
      <c r="AG19" s="67"/>
      <c r="AH19" s="63"/>
      <c r="AI19" s="71"/>
      <c r="AJ19" s="61"/>
      <c r="AK19" s="61"/>
      <c r="AL19" s="61"/>
      <c r="AM19" s="61"/>
      <c r="AN19" s="113"/>
      <c r="AO19" s="60"/>
      <c r="AP19" s="60"/>
      <c r="AQ19" s="61"/>
      <c r="AR19" s="61"/>
      <c r="AS19" s="61"/>
      <c r="AT19" s="62"/>
      <c r="AU19" s="61"/>
      <c r="AV19" s="63"/>
      <c r="AW19" s="63"/>
      <c r="AX19" s="63"/>
      <c r="AY19" s="249"/>
      <c r="AZ19" s="33"/>
      <c r="BA19" s="44"/>
      <c r="BB19" s="74"/>
      <c r="BC19" s="34"/>
      <c r="BD19" s="28"/>
      <c r="BE19" s="35"/>
      <c r="BF19" s="35"/>
      <c r="BG19" s="35"/>
    </row>
    <row r="20" spans="1:59" ht="13.5" customHeight="1">
      <c r="A20" s="22"/>
      <c r="B20" s="185"/>
      <c r="C20" s="248" t="s">
        <v>78</v>
      </c>
      <c r="D20" s="31"/>
      <c r="E20" s="31"/>
      <c r="F20" s="31"/>
      <c r="G20" s="31"/>
      <c r="H20" s="56"/>
      <c r="I20" s="57"/>
      <c r="J20" s="57"/>
      <c r="K20" s="343">
        <v>0.05</v>
      </c>
      <c r="L20" s="280" t="s">
        <v>79</v>
      </c>
      <c r="M20" s="94"/>
      <c r="N20" s="70"/>
      <c r="O20" s="70"/>
      <c r="P20" s="70"/>
      <c r="Q20" s="63"/>
      <c r="R20" s="63"/>
      <c r="S20" s="35"/>
      <c r="T20" s="35"/>
      <c r="U20" s="35"/>
      <c r="V20" s="61"/>
      <c r="W20" s="61"/>
      <c r="X20" s="61"/>
      <c r="Y20" s="93"/>
      <c r="Z20" s="94"/>
      <c r="AA20" s="94"/>
      <c r="AB20" s="94"/>
      <c r="AC20" s="95"/>
      <c r="AD20" s="94"/>
      <c r="AE20" s="70"/>
      <c r="AF20" s="70"/>
      <c r="AG20" s="70"/>
      <c r="AH20" s="63"/>
      <c r="AI20" s="71"/>
      <c r="AJ20" s="61"/>
      <c r="AK20" s="61"/>
      <c r="AL20" s="61"/>
      <c r="AM20" s="61"/>
      <c r="AN20" s="113"/>
      <c r="AO20" s="60"/>
      <c r="AP20" s="60"/>
      <c r="AQ20" s="61"/>
      <c r="AR20" s="61"/>
      <c r="AS20" s="61"/>
      <c r="AT20" s="62"/>
      <c r="AU20" s="61"/>
      <c r="AV20" s="63"/>
      <c r="AW20" s="63"/>
      <c r="AX20" s="63"/>
      <c r="AY20" s="249"/>
      <c r="AZ20" s="33"/>
      <c r="BA20" s="44"/>
      <c r="BB20" s="74"/>
      <c r="BC20" s="34"/>
      <c r="BD20" s="28"/>
      <c r="BE20" s="35"/>
      <c r="BF20" s="35"/>
      <c r="BG20" s="35"/>
    </row>
    <row r="21" spans="1:59" ht="5.15" customHeight="1">
      <c r="A21" s="22"/>
      <c r="B21" s="185"/>
      <c r="C21" s="250"/>
      <c r="D21" s="251"/>
      <c r="E21" s="251"/>
      <c r="F21" s="251"/>
      <c r="G21" s="251"/>
      <c r="H21" s="257"/>
      <c r="I21" s="255"/>
      <c r="J21" s="255"/>
      <c r="K21" s="255"/>
      <c r="L21" s="258"/>
      <c r="M21" s="255"/>
      <c r="N21" s="252"/>
      <c r="O21" s="252"/>
      <c r="P21" s="252"/>
      <c r="Q21" s="252"/>
      <c r="R21" s="252"/>
      <c r="S21" s="253"/>
      <c r="T21" s="254"/>
      <c r="U21" s="255"/>
      <c r="V21" s="255"/>
      <c r="W21" s="255"/>
      <c r="X21" s="255"/>
      <c r="Y21" s="257"/>
      <c r="Z21" s="255"/>
      <c r="AA21" s="255"/>
      <c r="AB21" s="255"/>
      <c r="AC21" s="258"/>
      <c r="AD21" s="255"/>
      <c r="AE21" s="252"/>
      <c r="AF21" s="252"/>
      <c r="AG21" s="252"/>
      <c r="AH21" s="252"/>
      <c r="AI21" s="254"/>
      <c r="AJ21" s="255"/>
      <c r="AK21" s="255"/>
      <c r="AL21" s="255"/>
      <c r="AM21" s="255"/>
      <c r="AN21" s="256"/>
      <c r="AO21" s="257"/>
      <c r="AP21" s="257"/>
      <c r="AQ21" s="255"/>
      <c r="AR21" s="255"/>
      <c r="AS21" s="255"/>
      <c r="AT21" s="258"/>
      <c r="AU21" s="255"/>
      <c r="AV21" s="252"/>
      <c r="AW21" s="252"/>
      <c r="AX21" s="252"/>
      <c r="AY21" s="259"/>
      <c r="AZ21" s="33"/>
      <c r="BA21" s="44"/>
      <c r="BB21" s="74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2"/>
      <c r="D22" s="60"/>
      <c r="E22" s="61"/>
      <c r="F22" s="61"/>
      <c r="G22" s="61"/>
      <c r="H22" s="66"/>
      <c r="I22" s="66"/>
      <c r="J22" s="63"/>
      <c r="K22" s="66"/>
      <c r="L22" s="63"/>
      <c r="M22" s="66"/>
      <c r="N22" s="62"/>
      <c r="O22" s="66"/>
      <c r="P22" s="63"/>
      <c r="Q22" s="28"/>
      <c r="R22" s="28"/>
      <c r="T22" s="31"/>
      <c r="U22" s="31"/>
      <c r="V22" s="31"/>
      <c r="W22" s="31"/>
      <c r="X22" s="31"/>
      <c r="Y22" s="42"/>
      <c r="Z22" s="31"/>
      <c r="AA22" s="28"/>
      <c r="AB22" s="42"/>
      <c r="AC22" s="31"/>
      <c r="AD22" s="28"/>
      <c r="AE22" s="42"/>
      <c r="AF22" s="28"/>
      <c r="AG22" s="28"/>
      <c r="AH22" s="28"/>
      <c r="AI22" s="28"/>
      <c r="AJ22" s="72"/>
      <c r="AK22" s="28"/>
      <c r="AL22" s="28"/>
      <c r="AM22" s="28"/>
      <c r="AN22" s="28"/>
      <c r="AO22" s="28"/>
      <c r="AP22" s="28"/>
      <c r="AQ22" s="28"/>
      <c r="AR22" s="28"/>
      <c r="AS22" s="61"/>
      <c r="AT22" s="62"/>
      <c r="AU22" s="61"/>
      <c r="AV22" s="63"/>
      <c r="AW22" s="63"/>
      <c r="AX22" s="63"/>
      <c r="AY22" s="31"/>
      <c r="AZ22" s="33"/>
      <c r="BA22" s="44"/>
      <c r="BB22" s="74"/>
      <c r="BC22" s="34"/>
      <c r="BD22" s="28"/>
    </row>
    <row r="23" spans="1:59" ht="13.5" customHeight="1">
      <c r="A23" s="22"/>
      <c r="B23" s="186">
        <v>2</v>
      </c>
      <c r="C23" s="188" t="s">
        <v>80</v>
      </c>
      <c r="D23" s="28"/>
      <c r="E23" s="28"/>
      <c r="F23" s="28"/>
      <c r="G23" s="28"/>
      <c r="H23" s="109"/>
      <c r="I23" s="60"/>
      <c r="J23" s="61"/>
      <c r="K23" s="60"/>
      <c r="L23" s="61"/>
      <c r="M23" s="66"/>
      <c r="N23" s="66"/>
      <c r="O23" s="63"/>
      <c r="P23" s="66"/>
      <c r="Q23" s="63"/>
      <c r="R23" s="66"/>
      <c r="S23" s="35"/>
      <c r="T23" s="28"/>
      <c r="U23" s="28"/>
      <c r="V23" s="28"/>
      <c r="W23" s="28"/>
      <c r="X23" s="28"/>
      <c r="Y23" s="109"/>
      <c r="Z23" s="60"/>
      <c r="AA23" s="61"/>
      <c r="AB23" s="60"/>
      <c r="AC23" s="61"/>
      <c r="AD23" s="66"/>
      <c r="AE23" s="66"/>
      <c r="AF23" s="63"/>
      <c r="AG23" s="66"/>
      <c r="AH23" s="66"/>
      <c r="AI23" s="62"/>
      <c r="AJ23" s="66"/>
      <c r="AK23" s="63"/>
      <c r="AL23" s="28"/>
      <c r="AM23" s="28"/>
      <c r="AN23" s="28"/>
      <c r="AO23" s="28"/>
      <c r="AP23" s="28"/>
      <c r="AQ23" s="28"/>
      <c r="AR23" s="28"/>
      <c r="AS23" s="61"/>
      <c r="AT23" s="62"/>
      <c r="AU23" s="61"/>
      <c r="AV23" s="63"/>
      <c r="AW23" s="63"/>
      <c r="AX23" s="63"/>
      <c r="AY23" s="31"/>
      <c r="AZ23" s="33"/>
      <c r="BA23" s="44"/>
      <c r="BB23" s="74"/>
      <c r="BC23" s="34"/>
      <c r="BD23" s="28"/>
    </row>
    <row r="24" spans="1:59" ht="5.15" customHeight="1">
      <c r="A24" s="22"/>
      <c r="B24" s="186"/>
      <c r="C24" s="277"/>
      <c r="D24" s="68"/>
      <c r="E24" s="68"/>
      <c r="F24" s="68"/>
      <c r="G24" s="68"/>
      <c r="H24" s="278"/>
      <c r="I24" s="260"/>
      <c r="J24" s="261"/>
      <c r="K24" s="260"/>
      <c r="L24" s="261"/>
      <c r="M24" s="279"/>
      <c r="N24" s="279"/>
      <c r="O24" s="245"/>
      <c r="P24" s="279"/>
      <c r="Q24" s="245"/>
      <c r="R24" s="279"/>
      <c r="S24" s="263"/>
      <c r="T24" s="68"/>
      <c r="U24" s="68"/>
      <c r="V24" s="68"/>
      <c r="W24" s="68"/>
      <c r="X24" s="68"/>
      <c r="Y24" s="278"/>
      <c r="Z24" s="260"/>
      <c r="AA24" s="261"/>
      <c r="AB24" s="260"/>
      <c r="AC24" s="261"/>
      <c r="AD24" s="279"/>
      <c r="AE24" s="279"/>
      <c r="AF24" s="245"/>
      <c r="AG24" s="279"/>
      <c r="AH24" s="279"/>
      <c r="AI24" s="262"/>
      <c r="AJ24" s="279"/>
      <c r="AK24" s="245"/>
      <c r="AL24" s="68"/>
      <c r="AM24" s="68"/>
      <c r="AN24" s="68"/>
      <c r="AO24" s="68"/>
      <c r="AP24" s="68"/>
      <c r="AQ24" s="68"/>
      <c r="AR24" s="68"/>
      <c r="AS24" s="261"/>
      <c r="AT24" s="262"/>
      <c r="AU24" s="261"/>
      <c r="AV24" s="245"/>
      <c r="AW24" s="245"/>
      <c r="AX24" s="245"/>
      <c r="AY24" s="247"/>
      <c r="AZ24" s="33"/>
      <c r="BA24" s="44"/>
      <c r="BB24" s="74"/>
      <c r="BC24" s="34"/>
      <c r="BD24" s="28"/>
    </row>
    <row r="25" spans="1:59" ht="13.5" customHeight="1">
      <c r="A25" s="22"/>
      <c r="B25" s="43"/>
      <c r="C25" s="248" t="s">
        <v>81</v>
      </c>
      <c r="D25" s="28"/>
      <c r="E25" s="28"/>
      <c r="F25" s="28"/>
      <c r="G25" s="28"/>
      <c r="H25" s="56"/>
      <c r="I25" s="57"/>
      <c r="J25" s="57"/>
      <c r="K25" s="57"/>
      <c r="L25" s="58"/>
      <c r="M25" s="57"/>
      <c r="N25" s="67"/>
      <c r="O25" s="86" t="s">
        <v>82</v>
      </c>
      <c r="Q25" s="62"/>
      <c r="R25" s="61"/>
      <c r="S25" s="35"/>
      <c r="T25" s="28" t="s">
        <v>87</v>
      </c>
      <c r="U25" s="28"/>
      <c r="V25" s="28"/>
      <c r="W25" s="28"/>
      <c r="Y25" s="56"/>
      <c r="Z25" s="57"/>
      <c r="AA25" s="57"/>
      <c r="AB25" s="57"/>
      <c r="AC25" s="58"/>
      <c r="AD25" s="57"/>
      <c r="AE25" s="59"/>
      <c r="AF25" s="67"/>
      <c r="AG25" s="86" t="s">
        <v>83</v>
      </c>
      <c r="AH25" s="28"/>
      <c r="AI25" s="28"/>
      <c r="AJ25" s="28"/>
      <c r="AK25" s="28" t="s">
        <v>84</v>
      </c>
      <c r="AL25" s="28"/>
      <c r="AM25" s="28"/>
      <c r="AN25" s="28"/>
      <c r="AO25" s="35"/>
      <c r="AP25" s="52"/>
      <c r="AQ25" s="53"/>
      <c r="AR25" s="53"/>
      <c r="AS25" s="53"/>
      <c r="AT25" s="54"/>
      <c r="AU25" s="53"/>
      <c r="AV25" s="55"/>
      <c r="AW25" s="64"/>
      <c r="AX25" s="86" t="s">
        <v>85</v>
      </c>
      <c r="AY25" s="265"/>
      <c r="AZ25" s="33"/>
      <c r="BA25" s="44"/>
      <c r="BB25" s="74"/>
      <c r="BC25" s="34"/>
      <c r="BD25" s="28"/>
      <c r="BE25" s="35"/>
      <c r="BF25" s="35"/>
      <c r="BG25" s="35"/>
    </row>
    <row r="26" spans="1:59" ht="13.5" customHeight="1">
      <c r="A26" s="22"/>
      <c r="B26" s="43"/>
      <c r="C26" s="264" t="s">
        <v>149</v>
      </c>
      <c r="D26" s="28"/>
      <c r="E26" s="28"/>
      <c r="F26" s="28"/>
      <c r="H26" s="56"/>
      <c r="I26" s="57"/>
      <c r="J26" s="57"/>
      <c r="K26" s="57"/>
      <c r="L26" s="58"/>
      <c r="M26" s="57"/>
      <c r="N26" s="59"/>
      <c r="O26" s="59"/>
      <c r="P26" s="67"/>
      <c r="Q26" s="62"/>
      <c r="R26" s="28"/>
      <c r="S26" s="35"/>
      <c r="T26" s="28" t="s">
        <v>147</v>
      </c>
      <c r="V26" s="28"/>
      <c r="W26" s="28"/>
      <c r="Y26" s="56"/>
      <c r="Z26" s="57"/>
      <c r="AA26" s="57"/>
      <c r="AB26" s="57"/>
      <c r="AC26" s="58"/>
      <c r="AD26" s="57"/>
      <c r="AE26" s="59"/>
      <c r="AF26" s="59"/>
      <c r="AG26" s="67"/>
      <c r="AH26" s="28"/>
      <c r="AI26" s="28"/>
      <c r="AJ26" s="28"/>
      <c r="AL26" s="28"/>
      <c r="AM26" s="28"/>
      <c r="AN26" s="28"/>
      <c r="AO26" s="35"/>
      <c r="AP26" s="60"/>
      <c r="AQ26" s="61"/>
      <c r="AR26" s="61"/>
      <c r="AS26" s="61"/>
      <c r="AT26" s="62"/>
      <c r="AU26" s="61"/>
      <c r="AV26" s="63"/>
      <c r="AW26" s="63"/>
      <c r="AX26" s="63"/>
      <c r="AY26" s="265"/>
      <c r="AZ26" s="33"/>
      <c r="BA26" s="44"/>
      <c r="BB26" s="74"/>
      <c r="BC26" s="34"/>
      <c r="BD26" s="28"/>
      <c r="BE26" s="35"/>
      <c r="BF26" s="35"/>
      <c r="BG26" s="35"/>
    </row>
    <row r="27" spans="1:59" ht="14.15" customHeight="1">
      <c r="A27" s="22"/>
      <c r="B27" s="239"/>
      <c r="C27" s="368" t="s">
        <v>155</v>
      </c>
      <c r="F27" s="266"/>
      <c r="G27" s="266"/>
      <c r="H27" s="89" t="s">
        <v>88</v>
      </c>
      <c r="I27" s="240"/>
      <c r="J27" s="241"/>
      <c r="K27" s="241"/>
      <c r="L27" s="241"/>
      <c r="M27" s="242"/>
      <c r="N27" s="241"/>
      <c r="O27" s="101"/>
      <c r="P27" s="243" t="s">
        <v>32</v>
      </c>
      <c r="R27" s="118"/>
      <c r="S27" s="35"/>
      <c r="T27" s="266" t="s">
        <v>156</v>
      </c>
      <c r="U27" s="35"/>
      <c r="V27" s="266"/>
      <c r="W27" s="266"/>
      <c r="X27" s="266"/>
      <c r="Y27" s="89" t="s">
        <v>89</v>
      </c>
      <c r="Z27" s="240"/>
      <c r="AA27" s="241"/>
      <c r="AB27" s="241"/>
      <c r="AC27" s="241"/>
      <c r="AD27" s="242"/>
      <c r="AE27" s="241"/>
      <c r="AF27" s="130"/>
      <c r="AG27" s="367" t="s">
        <v>32</v>
      </c>
      <c r="AH27" s="35"/>
      <c r="AI27" s="35"/>
      <c r="AJ27" s="266"/>
      <c r="AL27" s="35"/>
      <c r="AM27" s="266"/>
      <c r="AN27" s="35"/>
      <c r="AO27" s="35"/>
      <c r="AP27" s="26"/>
      <c r="AQ27" s="364"/>
      <c r="AR27" s="365"/>
      <c r="AS27" s="365"/>
      <c r="AT27" s="365"/>
      <c r="AU27" s="366"/>
      <c r="AV27" s="38"/>
      <c r="AW27" s="26"/>
      <c r="AX27" s="370"/>
      <c r="AY27" s="267"/>
      <c r="AZ27" s="33"/>
      <c r="BA27" s="44"/>
      <c r="BB27" s="74"/>
      <c r="BC27" s="34"/>
      <c r="BD27" s="35"/>
      <c r="BE27" s="35"/>
      <c r="BF27" s="35"/>
      <c r="BG27" s="35"/>
    </row>
    <row r="28" spans="1:59" ht="13.5" customHeight="1">
      <c r="A28" s="22"/>
      <c r="B28" s="43"/>
      <c r="C28" s="264" t="s">
        <v>150</v>
      </c>
      <c r="D28" s="28"/>
      <c r="E28" s="28"/>
      <c r="F28" s="28"/>
      <c r="H28" s="56"/>
      <c r="I28" s="57"/>
      <c r="J28" s="57"/>
      <c r="K28" s="57"/>
      <c r="L28" s="58"/>
      <c r="M28" s="57"/>
      <c r="N28" s="59"/>
      <c r="O28" s="59"/>
      <c r="P28" s="67"/>
      <c r="Q28" s="62"/>
      <c r="R28" s="28"/>
      <c r="S28" s="35"/>
      <c r="T28" s="28" t="s">
        <v>151</v>
      </c>
      <c r="U28" s="28"/>
      <c r="V28" s="28"/>
      <c r="W28" s="28"/>
      <c r="Y28" s="56"/>
      <c r="Z28" s="57"/>
      <c r="AA28" s="57"/>
      <c r="AB28" s="57"/>
      <c r="AC28" s="58"/>
      <c r="AD28" s="57"/>
      <c r="AE28" s="59"/>
      <c r="AF28" s="59"/>
      <c r="AG28" s="67"/>
      <c r="AH28" s="28"/>
      <c r="AI28" s="28"/>
      <c r="AJ28" s="28" t="s">
        <v>152</v>
      </c>
      <c r="AK28" s="28"/>
      <c r="AL28" s="28"/>
      <c r="AM28" s="28"/>
      <c r="AN28" s="28"/>
      <c r="AO28" s="35"/>
      <c r="AP28" s="56"/>
      <c r="AQ28" s="57"/>
      <c r="AR28" s="57"/>
      <c r="AS28" s="57"/>
      <c r="AT28" s="58"/>
      <c r="AU28" s="57"/>
      <c r="AV28" s="59"/>
      <c r="AW28" s="59"/>
      <c r="AX28" s="369"/>
      <c r="AY28" s="265"/>
      <c r="AZ28" s="33"/>
      <c r="BA28" s="44"/>
      <c r="BB28" s="74"/>
      <c r="BC28" s="34"/>
      <c r="BD28" s="28"/>
      <c r="BE28" s="35"/>
      <c r="BF28" s="35"/>
      <c r="BG28" s="35"/>
    </row>
    <row r="29" spans="1:59" ht="13.5" customHeight="1">
      <c r="A29" s="22"/>
      <c r="B29" s="43"/>
      <c r="C29" s="264" t="s">
        <v>86</v>
      </c>
      <c r="D29" s="28"/>
      <c r="E29" s="28"/>
      <c r="F29" s="28"/>
      <c r="H29" s="56"/>
      <c r="I29" s="57"/>
      <c r="J29" s="57"/>
      <c r="K29" s="57"/>
      <c r="L29" s="58"/>
      <c r="M29" s="57"/>
      <c r="N29" s="59"/>
      <c r="O29" s="59"/>
      <c r="P29" s="243" t="s">
        <v>32</v>
      </c>
      <c r="Q29" s="62"/>
      <c r="R29" s="28"/>
      <c r="S29" s="35"/>
      <c r="T29" s="26" t="s">
        <v>153</v>
      </c>
      <c r="U29" s="28"/>
      <c r="V29" s="28"/>
      <c r="W29" s="28"/>
      <c r="Y29" s="56"/>
      <c r="Z29" s="57"/>
      <c r="AA29" s="57"/>
      <c r="AB29" s="57"/>
      <c r="AC29" s="58"/>
      <c r="AD29" s="57"/>
      <c r="AE29" s="59"/>
      <c r="AF29" s="59"/>
      <c r="AG29" s="67"/>
      <c r="AH29" s="28"/>
      <c r="AI29" s="28"/>
      <c r="AJ29" s="28" t="s">
        <v>154</v>
      </c>
      <c r="AK29" s="28"/>
      <c r="AL29" s="28"/>
      <c r="AM29" s="28"/>
      <c r="AN29" s="28"/>
      <c r="AO29" s="35"/>
      <c r="AP29" s="56"/>
      <c r="AQ29" s="57"/>
      <c r="AR29" s="57"/>
      <c r="AS29" s="57"/>
      <c r="AT29" s="58"/>
      <c r="AU29" s="57"/>
      <c r="AV29" s="67"/>
      <c r="AW29" s="86" t="s">
        <v>148</v>
      </c>
      <c r="AX29" s="35"/>
      <c r="AY29" s="265"/>
      <c r="AZ29" s="33"/>
      <c r="BA29" s="44"/>
      <c r="BB29" s="74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68" t="s">
        <v>90</v>
      </c>
      <c r="D30" s="39"/>
      <c r="E30" s="39"/>
      <c r="F30" s="39"/>
      <c r="G30" s="39"/>
      <c r="H30" s="147"/>
      <c r="I30" s="148"/>
      <c r="J30" s="149"/>
      <c r="K30" s="148"/>
      <c r="L30" s="149"/>
      <c r="M30" s="148"/>
      <c r="N30" s="150"/>
      <c r="O30" s="148"/>
      <c r="P30" s="149"/>
      <c r="Q30" s="149"/>
      <c r="R30" s="149"/>
      <c r="S30" s="151"/>
      <c r="T30" s="151"/>
      <c r="U30" s="151"/>
      <c r="V30" s="151"/>
      <c r="W30" s="151"/>
      <c r="X30" s="150"/>
      <c r="Y30" s="151"/>
      <c r="Z30" s="149"/>
      <c r="AA30" s="150"/>
      <c r="AB30" s="151"/>
      <c r="AC30" s="149"/>
      <c r="AD30" s="150"/>
      <c r="AE30" s="149"/>
      <c r="AF30" s="149"/>
      <c r="AG30" s="150"/>
      <c r="AH30" s="149"/>
      <c r="AI30" s="149"/>
      <c r="AJ30" s="152"/>
      <c r="AK30" s="149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4" t="s">
        <v>34</v>
      </c>
      <c r="AY30" s="265"/>
      <c r="AZ30" s="33"/>
      <c r="BA30" s="44"/>
      <c r="BB30" s="74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68"/>
      <c r="D31" s="39"/>
      <c r="E31" s="39"/>
      <c r="F31" s="39"/>
      <c r="G31" s="39"/>
      <c r="H31" s="153"/>
      <c r="I31" s="154"/>
      <c r="J31" s="155"/>
      <c r="K31" s="154"/>
      <c r="L31" s="155"/>
      <c r="M31" s="154"/>
      <c r="N31" s="156"/>
      <c r="O31" s="154"/>
      <c r="P31" s="155"/>
      <c r="Q31" s="155"/>
      <c r="R31" s="155"/>
      <c r="S31" s="157"/>
      <c r="T31" s="157"/>
      <c r="U31" s="157"/>
      <c r="V31" s="157"/>
      <c r="W31" s="157"/>
      <c r="X31" s="156"/>
      <c r="Y31" s="157"/>
      <c r="Z31" s="155"/>
      <c r="AA31" s="156"/>
      <c r="AB31" s="157"/>
      <c r="AC31" s="155"/>
      <c r="AD31" s="156"/>
      <c r="AE31" s="155"/>
      <c r="AF31" s="155"/>
      <c r="AG31" s="156"/>
      <c r="AH31" s="155"/>
      <c r="AI31" s="155"/>
      <c r="AJ31" s="158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10" t="s">
        <v>32</v>
      </c>
      <c r="AY31" s="265"/>
      <c r="AZ31" s="33"/>
      <c r="BA31" s="44"/>
      <c r="BB31" s="74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68" t="s">
        <v>91</v>
      </c>
      <c r="D32" s="39"/>
      <c r="E32" s="39"/>
      <c r="F32" s="39"/>
      <c r="G32" s="39"/>
      <c r="H32" s="147" t="s">
        <v>107</v>
      </c>
      <c r="I32" s="148"/>
      <c r="J32" s="149"/>
      <c r="K32" s="148"/>
      <c r="L32" s="149"/>
      <c r="M32" s="148"/>
      <c r="N32" s="150"/>
      <c r="O32" s="148"/>
      <c r="P32" s="149"/>
      <c r="Q32" s="149"/>
      <c r="R32" s="149"/>
      <c r="S32" s="151"/>
      <c r="T32" s="151"/>
      <c r="U32" s="151"/>
      <c r="V32" s="151"/>
      <c r="W32" s="151"/>
      <c r="X32" s="150"/>
      <c r="Y32" s="151"/>
      <c r="Z32" s="149"/>
      <c r="AA32" s="150"/>
      <c r="AB32" s="151"/>
      <c r="AC32" s="149"/>
      <c r="AD32" s="150"/>
      <c r="AE32" s="149"/>
      <c r="AF32" s="149"/>
      <c r="AG32" s="150"/>
      <c r="AH32" s="149"/>
      <c r="AI32" s="149"/>
      <c r="AJ32" s="152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4" t="s">
        <v>34</v>
      </c>
      <c r="AY32" s="265"/>
      <c r="AZ32" s="33"/>
      <c r="BA32" s="44"/>
      <c r="BB32" s="74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68"/>
      <c r="D33" s="39"/>
      <c r="E33" s="39"/>
      <c r="F33" s="39"/>
      <c r="G33" s="39"/>
      <c r="H33" s="153"/>
      <c r="I33" s="154"/>
      <c r="J33" s="155"/>
      <c r="K33" s="154"/>
      <c r="L33" s="155"/>
      <c r="M33" s="154"/>
      <c r="N33" s="156"/>
      <c r="O33" s="154"/>
      <c r="P33" s="155"/>
      <c r="Q33" s="155"/>
      <c r="R33" s="155"/>
      <c r="S33" s="157"/>
      <c r="T33" s="157"/>
      <c r="U33" s="157"/>
      <c r="V33" s="157"/>
      <c r="W33" s="157"/>
      <c r="X33" s="156"/>
      <c r="Y33" s="157"/>
      <c r="Z33" s="155"/>
      <c r="AA33" s="156"/>
      <c r="AB33" s="157"/>
      <c r="AC33" s="155"/>
      <c r="AD33" s="156"/>
      <c r="AE33" s="155"/>
      <c r="AF33" s="155"/>
      <c r="AG33" s="156"/>
      <c r="AH33" s="155"/>
      <c r="AI33" s="155"/>
      <c r="AJ33" s="158"/>
      <c r="AK33" s="155"/>
      <c r="AL33" s="155"/>
      <c r="AM33" s="155"/>
      <c r="AN33" s="155"/>
      <c r="AO33" s="155"/>
      <c r="AP33" s="155"/>
      <c r="AQ33" s="155"/>
      <c r="AR33" s="155"/>
      <c r="AS33" s="155"/>
      <c r="AT33" s="155"/>
      <c r="AU33" s="155"/>
      <c r="AV33" s="155"/>
      <c r="AW33" s="155"/>
      <c r="AX33" s="110" t="s">
        <v>32</v>
      </c>
      <c r="AY33" s="265"/>
      <c r="AZ33" s="33"/>
      <c r="BA33" s="44"/>
      <c r="BB33" s="74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68" t="s">
        <v>92</v>
      </c>
      <c r="D34" s="39"/>
      <c r="E34" s="39"/>
      <c r="F34" s="39"/>
      <c r="G34" s="39"/>
      <c r="H34" s="147"/>
      <c r="I34" s="148"/>
      <c r="J34" s="149"/>
      <c r="K34" s="148"/>
      <c r="L34" s="149"/>
      <c r="M34" s="148"/>
      <c r="N34" s="150"/>
      <c r="O34" s="148"/>
      <c r="P34" s="149"/>
      <c r="Q34" s="149"/>
      <c r="R34" s="149"/>
      <c r="S34" s="151"/>
      <c r="T34" s="151"/>
      <c r="U34" s="151"/>
      <c r="V34" s="151"/>
      <c r="W34" s="151"/>
      <c r="X34" s="150"/>
      <c r="Y34" s="151"/>
      <c r="Z34" s="149"/>
      <c r="AA34" s="150"/>
      <c r="AB34" s="151"/>
      <c r="AC34" s="149"/>
      <c r="AD34" s="150"/>
      <c r="AE34" s="149"/>
      <c r="AF34" s="149"/>
      <c r="AG34" s="150"/>
      <c r="AH34" s="149"/>
      <c r="AI34" s="149"/>
      <c r="AJ34" s="152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4" t="s">
        <v>34</v>
      </c>
      <c r="AY34" s="265"/>
      <c r="AZ34" s="33"/>
      <c r="BA34" s="44"/>
      <c r="BB34" s="74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68"/>
      <c r="D35" s="39"/>
      <c r="E35" s="39"/>
      <c r="F35" s="39"/>
      <c r="G35" s="39"/>
      <c r="H35" s="153"/>
      <c r="I35" s="154"/>
      <c r="J35" s="155"/>
      <c r="K35" s="154"/>
      <c r="L35" s="155"/>
      <c r="M35" s="154"/>
      <c r="N35" s="156"/>
      <c r="O35" s="154"/>
      <c r="P35" s="155"/>
      <c r="Q35" s="155"/>
      <c r="R35" s="155"/>
      <c r="S35" s="157"/>
      <c r="T35" s="157"/>
      <c r="U35" s="157"/>
      <c r="V35" s="157"/>
      <c r="W35" s="157"/>
      <c r="X35" s="156"/>
      <c r="Y35" s="157"/>
      <c r="Z35" s="155"/>
      <c r="AA35" s="156"/>
      <c r="AB35" s="157"/>
      <c r="AC35" s="155"/>
      <c r="AD35" s="156"/>
      <c r="AE35" s="155"/>
      <c r="AF35" s="155"/>
      <c r="AG35" s="156"/>
      <c r="AH35" s="155"/>
      <c r="AI35" s="155"/>
      <c r="AJ35" s="158"/>
      <c r="AK35" s="155"/>
      <c r="AL35" s="155"/>
      <c r="AM35" s="155"/>
      <c r="AN35" s="155"/>
      <c r="AO35" s="155"/>
      <c r="AP35" s="155"/>
      <c r="AQ35" s="155"/>
      <c r="AR35" s="155"/>
      <c r="AS35" s="155"/>
      <c r="AT35" s="155"/>
      <c r="AU35" s="155"/>
      <c r="AV35" s="155"/>
      <c r="AW35" s="155"/>
      <c r="AX35" s="110" t="s">
        <v>32</v>
      </c>
      <c r="AY35" s="265"/>
      <c r="AZ35" s="33"/>
      <c r="BA35" s="44"/>
      <c r="BB35" s="74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69"/>
      <c r="D36" s="270"/>
      <c r="E36" s="270"/>
      <c r="F36" s="270"/>
      <c r="G36" s="270"/>
      <c r="H36" s="271"/>
      <c r="I36" s="271"/>
      <c r="J36" s="272"/>
      <c r="K36" s="271"/>
      <c r="L36" s="272"/>
      <c r="M36" s="271"/>
      <c r="N36" s="273"/>
      <c r="O36" s="271"/>
      <c r="P36" s="272"/>
      <c r="Q36" s="272"/>
      <c r="R36" s="272"/>
      <c r="S36" s="274"/>
      <c r="T36" s="274"/>
      <c r="U36" s="274"/>
      <c r="V36" s="274"/>
      <c r="W36" s="274"/>
      <c r="X36" s="273"/>
      <c r="Y36" s="274"/>
      <c r="Z36" s="272"/>
      <c r="AA36" s="273"/>
      <c r="AB36" s="274"/>
      <c r="AC36" s="272"/>
      <c r="AD36" s="273"/>
      <c r="AE36" s="272"/>
      <c r="AF36" s="272"/>
      <c r="AG36" s="273"/>
      <c r="AH36" s="272"/>
      <c r="AI36" s="272"/>
      <c r="AJ36" s="275"/>
      <c r="AK36" s="272"/>
      <c r="AL36" s="272"/>
      <c r="AM36" s="272"/>
      <c r="AN36" s="272"/>
      <c r="AO36" s="272"/>
      <c r="AP36" s="272"/>
      <c r="AQ36" s="272"/>
      <c r="AR36" s="272"/>
      <c r="AS36" s="272"/>
      <c r="AT36" s="272"/>
      <c r="AU36" s="272"/>
      <c r="AV36" s="272"/>
      <c r="AW36" s="272"/>
      <c r="AX36" s="258"/>
      <c r="AY36" s="276"/>
      <c r="AZ36" s="33"/>
      <c r="BA36" s="44"/>
      <c r="BB36" s="74"/>
      <c r="BC36" s="34"/>
      <c r="BD36" s="28"/>
      <c r="BE36" s="35"/>
      <c r="BF36" s="35"/>
      <c r="BG36" s="35"/>
    </row>
    <row r="37" spans="1:59" ht="13.5" customHeight="1">
      <c r="A37" s="22"/>
      <c r="B37" s="32"/>
      <c r="C37" s="39"/>
      <c r="D37" s="39"/>
      <c r="E37" s="39"/>
      <c r="F37" s="39"/>
      <c r="G37" s="39"/>
      <c r="H37" s="331"/>
      <c r="I37" s="331"/>
      <c r="J37" s="332"/>
      <c r="K37" s="331"/>
      <c r="L37" s="332"/>
      <c r="M37" s="331"/>
      <c r="N37" s="333"/>
      <c r="O37" s="331"/>
      <c r="P37" s="332"/>
      <c r="Q37" s="332"/>
      <c r="R37" s="332"/>
      <c r="S37" s="334"/>
      <c r="T37" s="334"/>
      <c r="U37" s="334"/>
      <c r="V37" s="334"/>
      <c r="W37" s="334"/>
      <c r="X37" s="333"/>
      <c r="Y37" s="334"/>
      <c r="Z37" s="332"/>
      <c r="AA37" s="333"/>
      <c r="AB37" s="334"/>
      <c r="AC37" s="332"/>
      <c r="AD37" s="333"/>
      <c r="AE37" s="332"/>
      <c r="AF37" s="332"/>
      <c r="AG37" s="333"/>
      <c r="AH37" s="332"/>
      <c r="AI37" s="332"/>
      <c r="AJ37" s="335"/>
      <c r="AK37" s="332"/>
      <c r="AL37" s="332"/>
      <c r="AM37" s="332"/>
      <c r="AN37" s="332"/>
      <c r="AO37" s="332"/>
      <c r="AP37" s="332"/>
      <c r="AQ37" s="332"/>
      <c r="AR37" s="332"/>
      <c r="AS37" s="332"/>
      <c r="AT37" s="332"/>
      <c r="AU37" s="332"/>
      <c r="AV37" s="332"/>
      <c r="AW37" s="332"/>
      <c r="AX37" s="262"/>
      <c r="AY37" s="261"/>
      <c r="AZ37" s="33"/>
      <c r="BA37" s="44"/>
      <c r="BB37" s="74"/>
      <c r="BC37" s="34"/>
      <c r="BD37" s="28"/>
      <c r="BE37" s="35"/>
      <c r="BF37" s="35"/>
      <c r="BG37" s="35"/>
    </row>
    <row r="38" spans="1:59" ht="13.5" customHeight="1">
      <c r="A38" s="22"/>
      <c r="B38" s="186">
        <v>5</v>
      </c>
      <c r="C38" s="188" t="s">
        <v>146</v>
      </c>
      <c r="D38" s="28"/>
      <c r="E38" s="28"/>
      <c r="F38" s="28"/>
      <c r="G38" s="28"/>
      <c r="H38" s="109"/>
      <c r="I38" s="60"/>
      <c r="J38" s="60"/>
      <c r="K38" s="61"/>
      <c r="L38" s="66"/>
      <c r="M38" s="66"/>
      <c r="N38" s="63"/>
      <c r="O38" s="66"/>
      <c r="P38" s="63"/>
      <c r="Q38" s="63"/>
      <c r="R38" s="66"/>
      <c r="S38" s="28"/>
      <c r="T38" s="28"/>
      <c r="U38" s="28"/>
      <c r="V38" s="28"/>
      <c r="W38" s="28"/>
      <c r="X38" s="109"/>
      <c r="Y38" s="60"/>
      <c r="Z38" s="61"/>
      <c r="AA38" s="60"/>
      <c r="AB38" s="61"/>
      <c r="AC38" s="66"/>
      <c r="AD38" s="66"/>
      <c r="AE38" s="63"/>
      <c r="AF38" s="66"/>
      <c r="AG38" s="63"/>
      <c r="AH38" s="66"/>
      <c r="AI38" s="62"/>
      <c r="AJ38" s="66"/>
      <c r="AK38" s="63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17"/>
      <c r="AW38" s="28"/>
      <c r="AX38" s="28"/>
      <c r="AY38" s="31"/>
      <c r="AZ38" s="33"/>
      <c r="BA38" s="44"/>
      <c r="BB38" s="143"/>
      <c r="BC38" s="105"/>
      <c r="BD38" s="28"/>
    </row>
    <row r="39" spans="1:59" ht="5.15" customHeight="1">
      <c r="A39" s="22"/>
      <c r="B39" s="186"/>
      <c r="C39" s="277"/>
      <c r="D39" s="68"/>
      <c r="E39" s="68"/>
      <c r="F39" s="68"/>
      <c r="G39" s="68"/>
      <c r="H39" s="278"/>
      <c r="I39" s="260"/>
      <c r="J39" s="260"/>
      <c r="K39" s="261"/>
      <c r="L39" s="279"/>
      <c r="M39" s="279"/>
      <c r="N39" s="245"/>
      <c r="O39" s="279"/>
      <c r="P39" s="245"/>
      <c r="Q39" s="245"/>
      <c r="R39" s="279"/>
      <c r="S39" s="68"/>
      <c r="T39" s="68"/>
      <c r="U39" s="68"/>
      <c r="V39" s="68"/>
      <c r="W39" s="68"/>
      <c r="X39" s="278"/>
      <c r="Y39" s="260"/>
      <c r="Z39" s="261"/>
      <c r="AA39" s="260"/>
      <c r="AB39" s="261"/>
      <c r="AC39" s="279"/>
      <c r="AD39" s="279"/>
      <c r="AE39" s="245"/>
      <c r="AF39" s="279"/>
      <c r="AG39" s="245"/>
      <c r="AH39" s="279"/>
      <c r="AI39" s="262"/>
      <c r="AJ39" s="279"/>
      <c r="AK39" s="245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281"/>
      <c r="AW39" s="68"/>
      <c r="AX39" s="68"/>
      <c r="AY39" s="247"/>
      <c r="AZ39" s="33"/>
      <c r="BA39" s="44"/>
      <c r="BB39" s="143"/>
      <c r="BC39" s="105"/>
      <c r="BD39" s="28"/>
    </row>
    <row r="40" spans="1:59" ht="13.9" customHeight="1">
      <c r="A40" s="22"/>
      <c r="B40" s="186"/>
      <c r="C40" s="371" t="s">
        <v>162</v>
      </c>
      <c r="D40" s="28"/>
      <c r="E40" s="28"/>
      <c r="F40" s="28"/>
      <c r="G40" s="80" t="s">
        <v>158</v>
      </c>
      <c r="H40" s="80"/>
      <c r="I40" s="80"/>
      <c r="J40" s="80"/>
      <c r="K40" s="80"/>
      <c r="L40" s="303"/>
      <c r="M40" s="71"/>
      <c r="N40" s="63"/>
      <c r="O40" s="66"/>
      <c r="P40" s="63"/>
      <c r="Q40" s="63"/>
      <c r="R40" s="66"/>
      <c r="S40" s="28"/>
      <c r="T40" s="28"/>
      <c r="U40" s="28"/>
      <c r="V40" s="28"/>
      <c r="W40" s="28"/>
      <c r="X40" s="109"/>
      <c r="Y40" s="60"/>
      <c r="Z40" s="61"/>
      <c r="AA40" s="60"/>
      <c r="AB40" s="61"/>
      <c r="AC40" s="66"/>
      <c r="AD40" s="66"/>
      <c r="AE40" s="63"/>
      <c r="AF40" s="66"/>
      <c r="AG40" s="63"/>
      <c r="AH40" s="66"/>
      <c r="AI40" s="62"/>
      <c r="AJ40" s="66"/>
      <c r="AK40" s="63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17"/>
      <c r="AW40" s="28"/>
      <c r="AX40" s="28"/>
      <c r="AY40" s="249"/>
      <c r="AZ40" s="33"/>
      <c r="BA40" s="44"/>
      <c r="BB40" s="143"/>
      <c r="BC40" s="105"/>
      <c r="BD40" s="28"/>
    </row>
    <row r="41" spans="1:59" ht="13.5" customHeight="1">
      <c r="A41" s="22"/>
      <c r="B41" s="186">
        <v>6</v>
      </c>
      <c r="C41" s="285" t="s">
        <v>31</v>
      </c>
      <c r="D41" s="189" t="s">
        <v>144</v>
      </c>
      <c r="E41" s="190"/>
      <c r="F41" s="190"/>
      <c r="G41" s="191"/>
      <c r="H41" s="192" t="s">
        <v>157</v>
      </c>
      <c r="I41" s="193"/>
      <c r="J41" s="193"/>
      <c r="K41" s="190"/>
      <c r="L41" s="191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292"/>
      <c r="AZ41" s="33"/>
      <c r="BA41" s="44"/>
      <c r="BB41" s="143"/>
      <c r="BC41" s="105"/>
      <c r="BD41" s="35"/>
      <c r="BE41" s="35"/>
      <c r="BF41" s="35"/>
      <c r="BG41" s="35"/>
    </row>
    <row r="42" spans="1:59" ht="13.5" customHeight="1">
      <c r="A42" s="22"/>
      <c r="B42" s="186">
        <v>8</v>
      </c>
      <c r="C42" s="289">
        <v>1</v>
      </c>
      <c r="D42" s="134" t="s">
        <v>95</v>
      </c>
      <c r="E42" s="135"/>
      <c r="F42" s="135"/>
      <c r="G42" s="137"/>
      <c r="H42" s="695">
        <v>110</v>
      </c>
      <c r="I42" s="696"/>
      <c r="J42" s="696"/>
      <c r="K42" s="696"/>
      <c r="L42" s="697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292"/>
      <c r="AZ42" s="33"/>
      <c r="BA42" s="44"/>
      <c r="BB42" s="143"/>
      <c r="BC42" s="105"/>
      <c r="BD42" s="35"/>
      <c r="BE42" s="35"/>
      <c r="BF42" s="35"/>
      <c r="BG42" s="35"/>
    </row>
    <row r="43" spans="1:59" ht="13.5" customHeight="1">
      <c r="A43" s="22"/>
      <c r="B43" s="186">
        <v>9</v>
      </c>
      <c r="C43" s="289">
        <v>2</v>
      </c>
      <c r="D43" s="134" t="s">
        <v>145</v>
      </c>
      <c r="E43" s="135"/>
      <c r="F43" s="135"/>
      <c r="G43" s="137"/>
      <c r="H43" s="695">
        <v>125</v>
      </c>
      <c r="I43" s="696"/>
      <c r="J43" s="696"/>
      <c r="K43" s="696"/>
      <c r="L43" s="697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292"/>
      <c r="AZ43" s="33"/>
      <c r="BA43" s="44"/>
      <c r="BB43" s="143"/>
      <c r="BC43" s="105"/>
      <c r="BD43" s="35"/>
      <c r="BE43" s="35"/>
      <c r="BF43" s="35"/>
      <c r="BG43" s="35"/>
    </row>
    <row r="44" spans="1:59" ht="5.15" customHeight="1">
      <c r="A44" s="22"/>
      <c r="B44" s="186"/>
      <c r="C44" s="296"/>
      <c r="D44" s="69"/>
      <c r="E44" s="69"/>
      <c r="F44" s="69"/>
      <c r="G44" s="69"/>
      <c r="H44" s="297"/>
      <c r="I44" s="257"/>
      <c r="J44" s="257"/>
      <c r="K44" s="255"/>
      <c r="L44" s="298"/>
      <c r="M44" s="298"/>
      <c r="N44" s="252"/>
      <c r="O44" s="298"/>
      <c r="P44" s="252"/>
      <c r="Q44" s="252"/>
      <c r="R44" s="298"/>
      <c r="S44" s="69"/>
      <c r="T44" s="69"/>
      <c r="U44" s="69"/>
      <c r="V44" s="69"/>
      <c r="W44" s="69"/>
      <c r="X44" s="297"/>
      <c r="Y44" s="257"/>
      <c r="Z44" s="255"/>
      <c r="AA44" s="257"/>
      <c r="AB44" s="255"/>
      <c r="AC44" s="298"/>
      <c r="AD44" s="298"/>
      <c r="AE44" s="252"/>
      <c r="AF44" s="298"/>
      <c r="AG44" s="252"/>
      <c r="AH44" s="298"/>
      <c r="AI44" s="258"/>
      <c r="AJ44" s="298"/>
      <c r="AK44" s="252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299"/>
      <c r="AW44" s="69"/>
      <c r="AX44" s="69"/>
      <c r="AY44" s="259"/>
      <c r="AZ44" s="33"/>
      <c r="BA44" s="44"/>
      <c r="BB44" s="143"/>
      <c r="BC44" s="105"/>
      <c r="BD44" s="28"/>
    </row>
    <row r="45" spans="1:59" ht="13.5" customHeight="1">
      <c r="A45" s="22"/>
      <c r="B45" s="186">
        <v>10</v>
      </c>
      <c r="C45" s="363"/>
      <c r="D45" s="63"/>
      <c r="E45" s="63"/>
      <c r="F45" s="63"/>
      <c r="G45" s="63"/>
      <c r="H45" s="63"/>
      <c r="I45" s="63"/>
      <c r="J45" s="63"/>
      <c r="K45" s="63"/>
      <c r="L45" s="63"/>
      <c r="M45" s="60"/>
      <c r="N45" s="61"/>
      <c r="O45" s="63"/>
      <c r="P45" s="63"/>
      <c r="Q45" s="62"/>
      <c r="R45" s="61"/>
      <c r="S45" s="174"/>
      <c r="T45" s="174"/>
      <c r="U45" s="175"/>
      <c r="V45" s="176"/>
      <c r="W45" s="174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33"/>
      <c r="BA45" s="44"/>
      <c r="BB45" s="143"/>
      <c r="BC45" s="105"/>
      <c r="BD45" s="28"/>
    </row>
    <row r="46" spans="1:59" ht="13.5" customHeight="1">
      <c r="A46" s="22"/>
      <c r="B46" s="186">
        <v>5</v>
      </c>
      <c r="C46" s="188" t="s">
        <v>59</v>
      </c>
      <c r="D46" s="28"/>
      <c r="E46" s="28"/>
      <c r="F46" s="28"/>
      <c r="G46" s="28"/>
      <c r="H46" s="109"/>
      <c r="I46" s="60"/>
      <c r="J46" s="61"/>
      <c r="K46" s="60"/>
      <c r="L46" s="61"/>
      <c r="M46" s="66"/>
      <c r="N46" s="66"/>
      <c r="O46" s="63"/>
      <c r="P46" s="66"/>
      <c r="Q46" s="63"/>
      <c r="R46" s="66"/>
      <c r="S46" s="28"/>
      <c r="T46" s="28"/>
      <c r="U46" s="28"/>
      <c r="V46" s="28"/>
      <c r="W46" s="28"/>
      <c r="X46" s="109"/>
      <c r="Y46" s="60"/>
      <c r="Z46" s="61"/>
      <c r="AA46" s="60"/>
      <c r="AB46" s="61"/>
      <c r="AC46" s="66"/>
      <c r="AD46" s="66"/>
      <c r="AE46" s="63"/>
      <c r="AF46" s="66"/>
      <c r="AG46" s="63"/>
      <c r="AH46" s="66"/>
      <c r="AI46" s="62"/>
      <c r="AJ46" s="66"/>
      <c r="AK46" s="63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17"/>
      <c r="AW46" s="28"/>
      <c r="AX46" s="28"/>
      <c r="AY46" s="31"/>
      <c r="AZ46" s="33"/>
      <c r="BA46" s="44"/>
      <c r="BB46" s="143"/>
      <c r="BC46" s="105"/>
      <c r="BD46" s="28"/>
    </row>
    <row r="47" spans="1:59" ht="5.15" customHeight="1">
      <c r="A47" s="22"/>
      <c r="B47" s="186"/>
      <c r="C47" s="277"/>
      <c r="D47" s="68"/>
      <c r="E47" s="68"/>
      <c r="F47" s="68"/>
      <c r="G47" s="68"/>
      <c r="H47" s="278"/>
      <c r="I47" s="260"/>
      <c r="J47" s="261"/>
      <c r="K47" s="260"/>
      <c r="L47" s="261"/>
      <c r="M47" s="279"/>
      <c r="N47" s="279"/>
      <c r="O47" s="245"/>
      <c r="P47" s="279"/>
      <c r="Q47" s="245"/>
      <c r="R47" s="279"/>
      <c r="S47" s="68"/>
      <c r="T47" s="68"/>
      <c r="U47" s="68"/>
      <c r="V47" s="68"/>
      <c r="W47" s="68"/>
      <c r="X47" s="278"/>
      <c r="Y47" s="260"/>
      <c r="Z47" s="261"/>
      <c r="AA47" s="260"/>
      <c r="AB47" s="261"/>
      <c r="AC47" s="279"/>
      <c r="AD47" s="279"/>
      <c r="AE47" s="245"/>
      <c r="AF47" s="279"/>
      <c r="AG47" s="245"/>
      <c r="AH47" s="279"/>
      <c r="AI47" s="262"/>
      <c r="AJ47" s="279"/>
      <c r="AK47" s="245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281"/>
      <c r="AW47" s="68"/>
      <c r="AX47" s="68"/>
      <c r="AY47" s="246"/>
      <c r="AZ47" s="246"/>
      <c r="BA47" s="282"/>
      <c r="BB47" s="283"/>
      <c r="BC47" s="284"/>
      <c r="BD47" s="28"/>
    </row>
    <row r="48" spans="1:59" ht="13.5" customHeight="1">
      <c r="A48" s="22"/>
      <c r="B48" s="43"/>
      <c r="C48" s="248"/>
      <c r="D48" s="28" t="s">
        <v>165</v>
      </c>
      <c r="E48" s="28"/>
      <c r="F48" s="28"/>
      <c r="G48" s="28"/>
      <c r="H48" s="80" t="s">
        <v>94</v>
      </c>
      <c r="I48" s="80"/>
      <c r="J48" s="80"/>
      <c r="K48" s="80"/>
      <c r="L48" s="80"/>
      <c r="M48" s="303"/>
      <c r="N48" s="81"/>
      <c r="O48" s="82"/>
      <c r="P48" s="82"/>
      <c r="Q48" s="83"/>
      <c r="R48" s="81"/>
      <c r="S48" s="81"/>
      <c r="T48" s="81"/>
      <c r="U48" s="82"/>
      <c r="V48" s="83"/>
      <c r="W48" s="81"/>
      <c r="X48" s="63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3"/>
      <c r="AY48" s="31"/>
      <c r="AZ48" s="50"/>
      <c r="BA48" s="85"/>
      <c r="BB48" s="307"/>
      <c r="BC48" s="308"/>
      <c r="BD48" s="28"/>
      <c r="BE48" s="35"/>
      <c r="BF48" s="35"/>
      <c r="BG48" s="35"/>
    </row>
    <row r="49" spans="1:87" ht="13.5" customHeight="1">
      <c r="A49" s="22"/>
      <c r="B49" s="186">
        <v>6</v>
      </c>
      <c r="C49" s="285" t="s">
        <v>31</v>
      </c>
      <c r="D49" s="189" t="s">
        <v>60</v>
      </c>
      <c r="E49" s="190"/>
      <c r="F49" s="190"/>
      <c r="G49" s="191"/>
      <c r="H49" s="192" t="s">
        <v>67</v>
      </c>
      <c r="I49" s="193"/>
      <c r="J49" s="193"/>
      <c r="K49" s="193"/>
      <c r="L49" s="190"/>
      <c r="M49" s="191"/>
      <c r="N49" s="189" t="s">
        <v>68</v>
      </c>
      <c r="O49" s="190"/>
      <c r="P49" s="190"/>
      <c r="Q49" s="191"/>
      <c r="R49" s="189" t="s">
        <v>69</v>
      </c>
      <c r="S49" s="190"/>
      <c r="T49" s="190"/>
      <c r="U49" s="190"/>
      <c r="V49" s="194" t="s">
        <v>168</v>
      </c>
      <c r="W49" s="195"/>
      <c r="X49" s="195"/>
      <c r="Y49" s="196"/>
      <c r="Z49" s="194" t="s">
        <v>97</v>
      </c>
      <c r="AA49" s="195"/>
      <c r="AB49" s="195"/>
      <c r="AC49" s="195"/>
      <c r="AD49" s="196"/>
      <c r="AE49" s="194" t="s">
        <v>169</v>
      </c>
      <c r="AF49" s="195"/>
      <c r="AG49" s="195"/>
      <c r="AH49" s="196"/>
      <c r="AI49" s="194" t="s">
        <v>105</v>
      </c>
      <c r="AJ49" s="195"/>
      <c r="AK49" s="195"/>
      <c r="AL49" s="196"/>
      <c r="AM49" s="195" t="s">
        <v>99</v>
      </c>
      <c r="AN49" s="195"/>
      <c r="AO49" s="195"/>
      <c r="AP49" s="196"/>
      <c r="AQ49" s="195" t="s">
        <v>108</v>
      </c>
      <c r="AR49" s="195"/>
      <c r="AS49" s="195"/>
      <c r="AT49" s="196"/>
      <c r="AU49" s="194" t="s">
        <v>110</v>
      </c>
      <c r="AV49" s="195"/>
      <c r="AW49" s="195"/>
      <c r="AX49" s="196"/>
      <c r="AY49" s="194" t="s">
        <v>72</v>
      </c>
      <c r="AZ49" s="195"/>
      <c r="BA49" s="195"/>
      <c r="BB49" s="196"/>
      <c r="BC49" s="194" t="s">
        <v>39</v>
      </c>
      <c r="BD49" s="195"/>
      <c r="BE49" s="195"/>
      <c r="BF49" s="196"/>
      <c r="BG49" s="195" t="s">
        <v>101</v>
      </c>
      <c r="BH49" s="195"/>
      <c r="BI49" s="196"/>
      <c r="BJ49" s="286" t="s">
        <v>75</v>
      </c>
      <c r="BK49" s="195"/>
      <c r="BL49" s="195"/>
      <c r="BM49" s="196"/>
      <c r="BN49" s="195" t="s">
        <v>64</v>
      </c>
      <c r="BO49" s="195"/>
      <c r="BP49" s="195"/>
      <c r="BQ49" s="196"/>
      <c r="BR49" s="28"/>
      <c r="BS49" s="28"/>
      <c r="BT49" s="28"/>
      <c r="BU49" s="28"/>
      <c r="BV49" s="28"/>
    </row>
    <row r="50" spans="1:87" ht="13.5" customHeight="1">
      <c r="A50" s="22"/>
      <c r="B50" s="186">
        <v>7</v>
      </c>
      <c r="C50" s="287"/>
      <c r="D50" s="197" t="s">
        <v>29</v>
      </c>
      <c r="E50" s="200"/>
      <c r="F50" s="198"/>
      <c r="G50" s="199"/>
      <c r="H50" s="197" t="s">
        <v>29</v>
      </c>
      <c r="I50" s="200"/>
      <c r="J50" s="200"/>
      <c r="K50" s="200"/>
      <c r="L50" s="198"/>
      <c r="M50" s="199"/>
      <c r="N50" s="197" t="s">
        <v>29</v>
      </c>
      <c r="O50" s="198"/>
      <c r="P50" s="198"/>
      <c r="Q50" s="199"/>
      <c r="R50" s="197" t="s">
        <v>29</v>
      </c>
      <c r="S50" s="200"/>
      <c r="T50" s="198"/>
      <c r="U50" s="198"/>
      <c r="V50" s="201" t="s">
        <v>40</v>
      </c>
      <c r="W50" s="202"/>
      <c r="X50" s="203"/>
      <c r="Y50" s="204"/>
      <c r="Z50" s="201" t="s">
        <v>29</v>
      </c>
      <c r="AA50" s="202"/>
      <c r="AB50" s="202"/>
      <c r="AC50" s="203"/>
      <c r="AD50" s="204"/>
      <c r="AE50" s="201" t="s">
        <v>40</v>
      </c>
      <c r="AF50" s="202"/>
      <c r="AG50" s="203"/>
      <c r="AH50" s="204"/>
      <c r="AI50" s="201" t="s">
        <v>29</v>
      </c>
      <c r="AJ50" s="202"/>
      <c r="AK50" s="203"/>
      <c r="AL50" s="204"/>
      <c r="AM50" s="202" t="s">
        <v>40</v>
      </c>
      <c r="AN50" s="202"/>
      <c r="AO50" s="203"/>
      <c r="AP50" s="204"/>
      <c r="AQ50" s="202" t="s">
        <v>109</v>
      </c>
      <c r="AR50" s="202"/>
      <c r="AS50" s="203"/>
      <c r="AT50" s="204"/>
      <c r="AU50" s="201" t="s">
        <v>100</v>
      </c>
      <c r="AV50" s="202"/>
      <c r="AW50" s="203"/>
      <c r="AX50" s="204"/>
      <c r="AY50" s="201" t="s">
        <v>100</v>
      </c>
      <c r="AZ50" s="202"/>
      <c r="BA50" s="203"/>
      <c r="BB50" s="204"/>
      <c r="BC50" s="201" t="s">
        <v>111</v>
      </c>
      <c r="BD50" s="202"/>
      <c r="BE50" s="203"/>
      <c r="BF50" s="204"/>
      <c r="BG50" s="202" t="s">
        <v>112</v>
      </c>
      <c r="BH50" s="202"/>
      <c r="BI50" s="204"/>
      <c r="BJ50" s="288" t="s">
        <v>40</v>
      </c>
      <c r="BK50" s="202"/>
      <c r="BL50" s="203"/>
      <c r="BM50" s="204"/>
      <c r="BN50" s="202" t="s">
        <v>40</v>
      </c>
      <c r="BO50" s="202"/>
      <c r="BP50" s="203"/>
      <c r="BQ50" s="204"/>
      <c r="BR50" s="28"/>
      <c r="BS50" s="28"/>
      <c r="BT50" s="28"/>
      <c r="BU50" s="28"/>
      <c r="BV50" s="28"/>
    </row>
    <row r="51" spans="1:87" ht="13.5" customHeight="1">
      <c r="A51" s="22"/>
      <c r="B51" s="186">
        <v>8</v>
      </c>
      <c r="C51" s="289">
        <v>1</v>
      </c>
      <c r="D51" s="134" t="s">
        <v>102</v>
      </c>
      <c r="E51" s="135"/>
      <c r="F51" s="135"/>
      <c r="G51" s="137"/>
      <c r="H51" s="226" t="s">
        <v>103</v>
      </c>
      <c r="I51" s="136"/>
      <c r="J51" s="136"/>
      <c r="K51" s="136"/>
      <c r="L51" s="145"/>
      <c r="M51" s="146"/>
      <c r="N51" s="226" t="s">
        <v>104</v>
      </c>
      <c r="O51" s="136"/>
      <c r="P51" s="136"/>
      <c r="Q51" s="90" t="s">
        <v>32</v>
      </c>
      <c r="R51" s="686">
        <v>70000</v>
      </c>
      <c r="S51" s="687"/>
      <c r="T51" s="687"/>
      <c r="U51" s="688"/>
      <c r="V51" s="134" t="s">
        <v>95</v>
      </c>
      <c r="W51" s="136"/>
      <c r="X51" s="136"/>
      <c r="Y51" s="90" t="s">
        <v>32</v>
      </c>
      <c r="Z51" s="689">
        <v>6.7299999999999999E-2</v>
      </c>
      <c r="AA51" s="690"/>
      <c r="AB51" s="690"/>
      <c r="AC51" s="690"/>
      <c r="AD51" s="691"/>
      <c r="AE51" s="134" t="s">
        <v>95</v>
      </c>
      <c r="AF51" s="136"/>
      <c r="AG51" s="136"/>
      <c r="AH51" s="90" t="s">
        <v>32</v>
      </c>
      <c r="AI51" s="689">
        <v>0.1211</v>
      </c>
      <c r="AJ51" s="690"/>
      <c r="AK51" s="690"/>
      <c r="AL51" s="691"/>
      <c r="AM51" s="689">
        <v>0.12</v>
      </c>
      <c r="AN51" s="690"/>
      <c r="AO51" s="690"/>
      <c r="AP51" s="691"/>
      <c r="AQ51" s="692">
        <v>0.01</v>
      </c>
      <c r="AR51" s="693"/>
      <c r="AS51" s="693"/>
      <c r="AT51" s="694"/>
      <c r="AU51" s="689">
        <v>0.13589999999999999</v>
      </c>
      <c r="AV51" s="690"/>
      <c r="AW51" s="690"/>
      <c r="AX51" s="691"/>
      <c r="AY51" s="689">
        <v>0.151</v>
      </c>
      <c r="AZ51" s="690"/>
      <c r="BA51" s="690"/>
      <c r="BB51" s="691"/>
      <c r="BC51" s="689">
        <v>0.151</v>
      </c>
      <c r="BD51" s="690"/>
      <c r="BE51" s="690"/>
      <c r="BF51" s="691"/>
      <c r="BG51" s="698">
        <v>6.1000000000000004E-3</v>
      </c>
      <c r="BH51" s="699"/>
      <c r="BI51" s="700"/>
      <c r="BJ51" s="290" t="s">
        <v>114</v>
      </c>
      <c r="BK51" s="136"/>
      <c r="BL51" s="136"/>
      <c r="BM51" s="138"/>
      <c r="BN51" s="135" t="s">
        <v>29</v>
      </c>
      <c r="BO51" s="136"/>
      <c r="BP51" s="136"/>
      <c r="BQ51" s="138"/>
      <c r="BR51" s="28"/>
      <c r="BS51" s="28"/>
      <c r="BT51" s="28"/>
      <c r="BU51" s="28"/>
      <c r="BV51" s="28"/>
    </row>
    <row r="52" spans="1:87" ht="13.5" customHeight="1">
      <c r="A52" s="22"/>
      <c r="B52" s="186">
        <v>9</v>
      </c>
      <c r="C52" s="289">
        <v>2</v>
      </c>
      <c r="D52" s="134"/>
      <c r="E52" s="135"/>
      <c r="F52" s="135"/>
      <c r="G52" s="137"/>
      <c r="H52" s="226"/>
      <c r="I52" s="136"/>
      <c r="J52" s="136"/>
      <c r="K52" s="136"/>
      <c r="L52" s="145"/>
      <c r="M52" s="146"/>
      <c r="N52" s="226"/>
      <c r="O52" s="136"/>
      <c r="P52" s="136"/>
      <c r="Q52" s="90" t="s">
        <v>32</v>
      </c>
      <c r="R52" s="686"/>
      <c r="S52" s="687"/>
      <c r="T52" s="687"/>
      <c r="U52" s="688"/>
      <c r="V52" s="134"/>
      <c r="W52" s="136"/>
      <c r="X52" s="136"/>
      <c r="Y52" s="90" t="s">
        <v>32</v>
      </c>
      <c r="Z52" s="701"/>
      <c r="AA52" s="702"/>
      <c r="AB52" s="702"/>
      <c r="AC52" s="702"/>
      <c r="AD52" s="703"/>
      <c r="AE52" s="134"/>
      <c r="AF52" s="136"/>
      <c r="AG52" s="136"/>
      <c r="AH52" s="90" t="s">
        <v>32</v>
      </c>
      <c r="AI52" s="689"/>
      <c r="AJ52" s="690"/>
      <c r="AK52" s="690"/>
      <c r="AL52" s="691"/>
      <c r="AM52" s="689"/>
      <c r="AN52" s="690"/>
      <c r="AO52" s="690"/>
      <c r="AP52" s="691"/>
      <c r="AQ52" s="692"/>
      <c r="AR52" s="693"/>
      <c r="AS52" s="693"/>
      <c r="AT52" s="694"/>
      <c r="AU52" s="689"/>
      <c r="AV52" s="690"/>
      <c r="AW52" s="690"/>
      <c r="AX52" s="691"/>
      <c r="AY52" s="689"/>
      <c r="AZ52" s="690"/>
      <c r="BA52" s="690"/>
      <c r="BB52" s="691"/>
      <c r="BC52" s="689"/>
      <c r="BD52" s="690"/>
      <c r="BE52" s="690"/>
      <c r="BF52" s="691"/>
      <c r="BG52" s="698"/>
      <c r="BH52" s="699"/>
      <c r="BI52" s="700"/>
      <c r="BJ52" s="134"/>
      <c r="BK52" s="136"/>
      <c r="BL52" s="136"/>
      <c r="BM52" s="138"/>
      <c r="BN52" s="135"/>
      <c r="BO52" s="136"/>
      <c r="BP52" s="136"/>
      <c r="BQ52" s="138"/>
      <c r="BR52" s="28"/>
      <c r="BS52" s="28"/>
      <c r="BT52" s="28"/>
      <c r="BU52" s="28"/>
      <c r="BV52" s="28"/>
    </row>
    <row r="53" spans="1:87" ht="13.5" customHeight="1">
      <c r="A53" s="22"/>
      <c r="B53" s="186">
        <v>10</v>
      </c>
      <c r="C53" s="291"/>
      <c r="D53" s="63"/>
      <c r="E53" s="63"/>
      <c r="F53" s="63"/>
      <c r="G53" s="63"/>
      <c r="H53" s="63"/>
      <c r="I53" s="63"/>
      <c r="J53" s="63"/>
      <c r="K53" s="63"/>
      <c r="L53" s="63"/>
      <c r="M53" s="60"/>
      <c r="N53" s="61"/>
      <c r="O53" s="63"/>
      <c r="P53" s="63"/>
      <c r="Q53" s="62"/>
      <c r="R53" s="61"/>
      <c r="S53" s="174"/>
      <c r="T53" s="174"/>
      <c r="U53" s="175"/>
      <c r="V53" s="176"/>
      <c r="W53" s="174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1"/>
      <c r="AN53" s="61"/>
      <c r="AO53" s="61"/>
      <c r="AP53" s="61"/>
      <c r="AQ53" s="61"/>
      <c r="AR53" s="61"/>
      <c r="AS53" s="61"/>
      <c r="AT53" s="61"/>
      <c r="AU53" s="61"/>
      <c r="AV53" s="61"/>
      <c r="AW53" s="61"/>
      <c r="AX53" s="61"/>
      <c r="AY53" s="61"/>
      <c r="AZ53" s="31"/>
      <c r="BA53" s="35"/>
      <c r="BB53" s="35"/>
      <c r="BC53" s="292"/>
      <c r="BD53" s="28"/>
    </row>
    <row r="54" spans="1:87" ht="13.5" customHeight="1">
      <c r="A54" s="22"/>
      <c r="B54" s="186">
        <v>14</v>
      </c>
      <c r="C54" s="293"/>
      <c r="D54" s="63"/>
      <c r="E54" s="63"/>
      <c r="F54" s="63"/>
      <c r="G54" s="63"/>
      <c r="H54" s="63"/>
      <c r="I54" s="63"/>
      <c r="J54" s="63"/>
      <c r="K54" s="182"/>
      <c r="L54" s="63"/>
      <c r="M54" s="63"/>
      <c r="N54" s="63"/>
      <c r="O54" s="63"/>
      <c r="P54" s="63"/>
      <c r="Q54" s="182"/>
      <c r="R54" s="63"/>
      <c r="S54" s="63"/>
      <c r="T54" s="63"/>
      <c r="U54" s="182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113"/>
      <c r="AK54" s="103"/>
      <c r="AL54" s="60"/>
      <c r="AM54" s="61"/>
      <c r="AN54" s="61"/>
      <c r="AO54" s="61"/>
      <c r="AP54" s="61"/>
      <c r="AQ54" s="62"/>
      <c r="AR54" s="61"/>
      <c r="AS54" s="63"/>
      <c r="AT54" s="63"/>
      <c r="AU54" s="63"/>
      <c r="AV54" s="63"/>
      <c r="AW54" s="63"/>
      <c r="AX54" s="63"/>
      <c r="AY54" s="61"/>
      <c r="AZ54" s="31"/>
      <c r="BA54" s="35"/>
      <c r="BB54" s="35"/>
      <c r="BC54" s="292"/>
      <c r="BD54" s="28"/>
    </row>
    <row r="55" spans="1:87" ht="13.5" customHeight="1">
      <c r="A55" s="22"/>
      <c r="B55" s="186">
        <v>15</v>
      </c>
      <c r="C55" s="294" t="s">
        <v>66</v>
      </c>
      <c r="D55" s="207"/>
      <c r="E55" s="208"/>
      <c r="F55" s="207"/>
      <c r="G55" s="208"/>
      <c r="H55" s="209"/>
      <c r="I55" s="210"/>
      <c r="J55" s="211"/>
      <c r="K55" s="211"/>
      <c r="L55" s="211"/>
      <c r="M55" s="212"/>
      <c r="N55" s="211"/>
      <c r="O55" s="211"/>
      <c r="P55" s="211"/>
      <c r="Q55" s="213"/>
      <c r="R55" s="211"/>
      <c r="S55" s="211"/>
      <c r="T55" s="211"/>
      <c r="U55" s="211"/>
      <c r="V55" s="211"/>
      <c r="W55" s="213"/>
      <c r="X55" s="211"/>
      <c r="Y55" s="211"/>
      <c r="Z55" s="211"/>
      <c r="AA55" s="213"/>
      <c r="AB55" s="211"/>
      <c r="AC55" s="211"/>
      <c r="AD55" s="211"/>
      <c r="AE55" s="211"/>
      <c r="AF55" s="211"/>
      <c r="AG55" s="216"/>
      <c r="AH55" s="211"/>
      <c r="AI55" s="211"/>
      <c r="AJ55" s="211"/>
      <c r="AK55" s="211"/>
      <c r="AL55" s="211"/>
      <c r="AM55" s="211"/>
      <c r="AN55" s="211"/>
      <c r="AO55" s="211"/>
      <c r="AP55" s="211"/>
      <c r="AQ55" s="214"/>
      <c r="AR55" s="211"/>
      <c r="AS55" s="214"/>
      <c r="AT55" s="211"/>
      <c r="AU55" s="211"/>
      <c r="AV55" s="211"/>
      <c r="AW55" s="211"/>
      <c r="AX55" s="211"/>
      <c r="AY55" s="208"/>
      <c r="AZ55" s="208"/>
      <c r="BA55" s="215"/>
      <c r="BB55" s="215"/>
      <c r="BC55" s="295"/>
      <c r="BD55" s="28"/>
    </row>
    <row r="56" spans="1:87" ht="13.5" customHeight="1">
      <c r="A56" s="22"/>
      <c r="B56" s="186"/>
      <c r="C56" s="336"/>
      <c r="D56" s="60"/>
      <c r="E56" s="61"/>
      <c r="F56" s="60"/>
      <c r="G56" s="61"/>
      <c r="H56" s="339"/>
      <c r="I56" s="340"/>
      <c r="J56" s="70"/>
      <c r="K56" s="70"/>
      <c r="L56" s="70"/>
      <c r="M56" s="341"/>
      <c r="N56" s="70"/>
      <c r="O56" s="70"/>
      <c r="P56" s="70"/>
      <c r="Q56" s="342"/>
      <c r="R56" s="70"/>
      <c r="S56" s="70"/>
      <c r="T56" s="70"/>
      <c r="U56" s="70"/>
      <c r="V56" s="70"/>
      <c r="W56" s="342"/>
      <c r="X56" s="63"/>
      <c r="Y56" s="63"/>
      <c r="Z56" s="63"/>
      <c r="AA56" s="182"/>
      <c r="AB56" s="63"/>
      <c r="AC56" s="63"/>
      <c r="AD56" s="63"/>
      <c r="AE56" s="63"/>
      <c r="AF56" s="63"/>
      <c r="AG56" s="142"/>
      <c r="AH56" s="63"/>
      <c r="AI56" s="63"/>
      <c r="AJ56" s="63"/>
      <c r="AK56" s="63"/>
      <c r="AL56" s="63"/>
      <c r="AM56" s="63"/>
      <c r="AN56" s="63"/>
      <c r="AO56" s="63"/>
      <c r="AP56" s="63"/>
      <c r="AQ56" s="113"/>
      <c r="AR56" s="63"/>
      <c r="AS56" s="113"/>
      <c r="AT56" s="63"/>
      <c r="AU56" s="63"/>
      <c r="AV56" s="63"/>
      <c r="AW56" s="63"/>
      <c r="AX56" s="63"/>
      <c r="AY56" s="61"/>
      <c r="AZ56" s="94"/>
      <c r="BA56" s="337"/>
      <c r="BB56"/>
      <c r="BC56" s="338"/>
      <c r="BD56" s="28"/>
    </row>
    <row r="57" spans="1:87" ht="13.5" customHeight="1">
      <c r="A57" s="22"/>
      <c r="B57" s="186">
        <v>16</v>
      </c>
      <c r="C57" s="291"/>
      <c r="D57" s="63"/>
      <c r="E57" s="63"/>
      <c r="F57" s="63"/>
      <c r="G57" s="63"/>
      <c r="H57" s="63"/>
      <c r="I57" s="63"/>
      <c r="J57" s="63"/>
      <c r="K57" s="63"/>
      <c r="L57" s="63"/>
      <c r="M57" s="60"/>
      <c r="N57" s="63"/>
      <c r="O57" s="63"/>
      <c r="P57" s="61"/>
      <c r="Q57" s="62"/>
      <c r="R57" s="61"/>
      <c r="S57" s="102"/>
      <c r="T57" s="103"/>
      <c r="U57" s="102"/>
      <c r="V57" s="103"/>
      <c r="W57" s="102"/>
      <c r="X57" s="102"/>
      <c r="Y57" s="102"/>
      <c r="Z57" s="102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  <c r="AM57" s="63"/>
      <c r="AN57" s="63"/>
      <c r="AO57" s="63"/>
      <c r="AP57" s="63"/>
      <c r="AQ57" s="63"/>
      <c r="AR57" s="63"/>
      <c r="AS57" s="63"/>
      <c r="AT57" s="63"/>
      <c r="AU57" s="63"/>
      <c r="AV57" s="63"/>
      <c r="AW57" s="63"/>
      <c r="AX57" s="63"/>
      <c r="AY57" s="61"/>
      <c r="AZ57" s="51"/>
      <c r="BA57" s="304"/>
      <c r="BB57" s="305"/>
      <c r="BC57" s="306"/>
      <c r="BD57" s="28"/>
    </row>
    <row r="58" spans="1:87" ht="13.5" customHeight="1">
      <c r="A58" s="22"/>
      <c r="B58" s="186">
        <v>17</v>
      </c>
      <c r="C58" s="291"/>
      <c r="D58" s="63"/>
      <c r="E58" s="63"/>
      <c r="F58" s="63"/>
      <c r="G58" s="63"/>
      <c r="H58" s="114"/>
      <c r="I58" s="63"/>
      <c r="J58" s="63"/>
      <c r="K58" s="63"/>
      <c r="L58" s="182"/>
      <c r="M58" s="63"/>
      <c r="N58" s="63"/>
      <c r="O58" s="63"/>
      <c r="P58" s="182"/>
      <c r="Q58" s="63"/>
      <c r="R58" s="63"/>
      <c r="S58" s="63"/>
      <c r="T58" s="182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113"/>
      <c r="AL58" s="63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1"/>
      <c r="AZ58" s="31"/>
      <c r="BA58" s="30"/>
      <c r="BB58" s="159"/>
      <c r="BC58" s="306"/>
      <c r="BD58" s="28"/>
      <c r="BM58" s="713">
        <f>1-(0.0673/0.1359)</f>
        <v>0.50478292862398821</v>
      </c>
      <c r="BN58" s="713"/>
      <c r="BO58" s="713"/>
      <c r="BP58" s="713"/>
    </row>
    <row r="59" spans="1:87" ht="5.15" customHeight="1">
      <c r="A59" s="22"/>
      <c r="B59" s="186"/>
      <c r="C59" s="296"/>
      <c r="D59" s="69"/>
      <c r="E59" s="69"/>
      <c r="F59" s="69"/>
      <c r="G59" s="69"/>
      <c r="H59" s="297"/>
      <c r="I59" s="257"/>
      <c r="J59" s="255"/>
      <c r="K59" s="257"/>
      <c r="L59" s="255"/>
      <c r="M59" s="298"/>
      <c r="N59" s="298"/>
      <c r="O59" s="252"/>
      <c r="P59" s="298"/>
      <c r="Q59" s="252"/>
      <c r="R59" s="298"/>
      <c r="S59" s="69"/>
      <c r="T59" s="69"/>
      <c r="U59" s="69"/>
      <c r="V59" s="69"/>
      <c r="W59" s="69"/>
      <c r="X59" s="297"/>
      <c r="Y59" s="257"/>
      <c r="Z59" s="255"/>
      <c r="AA59" s="257"/>
      <c r="AB59" s="255"/>
      <c r="AC59" s="298"/>
      <c r="AD59" s="298"/>
      <c r="AE59" s="252"/>
      <c r="AF59" s="298"/>
      <c r="AG59" s="252"/>
      <c r="AH59" s="298"/>
      <c r="AI59" s="258"/>
      <c r="AJ59" s="298"/>
      <c r="AK59" s="252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299"/>
      <c r="AW59" s="69"/>
      <c r="AX59" s="69"/>
      <c r="AY59" s="251"/>
      <c r="AZ59" s="251"/>
      <c r="BA59" s="300"/>
      <c r="BB59" s="301"/>
      <c r="BC59" s="302"/>
      <c r="BD59" s="28"/>
    </row>
    <row r="60" spans="1:87" ht="13.5" customHeight="1">
      <c r="A60" s="22"/>
      <c r="B60" s="186">
        <v>18</v>
      </c>
      <c r="C60" s="71"/>
      <c r="D60" s="61"/>
      <c r="E60" s="61"/>
      <c r="F60" s="61"/>
      <c r="G60" s="61"/>
      <c r="H60" s="66"/>
      <c r="I60" s="66"/>
      <c r="J60" s="63"/>
      <c r="K60" s="66"/>
      <c r="L60" s="63"/>
      <c r="M60" s="66"/>
      <c r="N60" s="62"/>
      <c r="O60" s="66"/>
      <c r="P60" s="63"/>
      <c r="Q60" s="63"/>
      <c r="R60" s="63"/>
      <c r="S60" s="61"/>
      <c r="T60" s="61"/>
      <c r="U60" s="61"/>
      <c r="V60" s="61"/>
      <c r="W60" s="61"/>
      <c r="X60" s="62"/>
      <c r="Y60" s="61"/>
      <c r="Z60" s="63"/>
      <c r="AA60" s="62"/>
      <c r="AB60" s="61"/>
      <c r="AC60" s="63"/>
      <c r="AD60" s="62"/>
      <c r="AE60" s="63"/>
      <c r="AF60" s="63"/>
      <c r="AG60" s="62"/>
      <c r="AH60" s="63"/>
      <c r="AI60" s="63"/>
      <c r="AJ60" s="114"/>
      <c r="AK60" s="63"/>
      <c r="AL60" s="63"/>
      <c r="AM60" s="63"/>
      <c r="AN60" s="63"/>
      <c r="AO60" s="63"/>
      <c r="AP60" s="63"/>
      <c r="AQ60" s="63"/>
      <c r="AR60" s="63"/>
      <c r="AS60" s="63"/>
      <c r="AT60" s="63"/>
      <c r="AU60" s="63"/>
      <c r="AV60" s="63"/>
      <c r="AW60" s="63"/>
      <c r="AX60" s="63"/>
      <c r="AY60" s="61"/>
      <c r="AZ60" s="246"/>
      <c r="BA60" s="282"/>
      <c r="BB60" s="283"/>
      <c r="BC60" s="317"/>
      <c r="BD60" s="28"/>
    </row>
    <row r="61" spans="1:87" ht="13.5" customHeight="1">
      <c r="A61" s="22"/>
      <c r="B61" s="186">
        <v>20</v>
      </c>
      <c r="C61" s="188" t="s">
        <v>70</v>
      </c>
      <c r="D61" s="28"/>
      <c r="E61" s="28"/>
      <c r="F61" s="28"/>
      <c r="G61" s="28"/>
      <c r="H61" s="109"/>
      <c r="I61" s="60"/>
      <c r="J61" s="61"/>
      <c r="K61" s="60"/>
      <c r="L61" s="61"/>
      <c r="M61" s="66"/>
      <c r="N61" s="66"/>
      <c r="O61" s="63"/>
      <c r="P61" s="66"/>
      <c r="Q61" s="63"/>
      <c r="R61" s="66"/>
      <c r="S61" s="28"/>
      <c r="T61" s="28"/>
      <c r="U61" s="28"/>
      <c r="V61" s="28"/>
      <c r="W61" s="28"/>
      <c r="X61" s="109"/>
      <c r="Y61" s="60"/>
      <c r="Z61" s="61"/>
      <c r="AA61" s="60"/>
      <c r="AB61" s="61"/>
      <c r="AC61" s="66"/>
      <c r="AD61" s="66"/>
      <c r="AE61" s="63"/>
      <c r="AF61" s="66"/>
      <c r="AG61" s="63"/>
      <c r="AH61" s="66"/>
      <c r="AI61" s="62"/>
      <c r="AJ61" s="66"/>
      <c r="AK61" s="63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17"/>
      <c r="AW61" s="28"/>
      <c r="AX61" s="28"/>
      <c r="AY61" s="31"/>
      <c r="AZ61" s="251"/>
      <c r="BA61" s="300"/>
      <c r="BB61" s="301"/>
      <c r="BC61" s="318"/>
      <c r="BD61" s="28"/>
    </row>
    <row r="62" spans="1:87" ht="5.15" customHeight="1">
      <c r="A62" s="22"/>
      <c r="B62" s="186"/>
      <c r="C62" s="277"/>
      <c r="D62" s="68"/>
      <c r="E62" s="68"/>
      <c r="F62" s="68"/>
      <c r="G62" s="68"/>
      <c r="H62" s="278"/>
      <c r="I62" s="260"/>
      <c r="J62" s="261"/>
      <c r="K62" s="260"/>
      <c r="L62" s="261"/>
      <c r="M62" s="279"/>
      <c r="N62" s="279"/>
      <c r="O62" s="245"/>
      <c r="P62" s="279"/>
      <c r="Q62" s="245"/>
      <c r="R62" s="279"/>
      <c r="S62" s="68"/>
      <c r="T62" s="68"/>
      <c r="U62" s="68"/>
      <c r="V62" s="68"/>
      <c r="W62" s="68"/>
      <c r="X62" s="278"/>
      <c r="Y62" s="260"/>
      <c r="Z62" s="261"/>
      <c r="AA62" s="260"/>
      <c r="AB62" s="261"/>
      <c r="AC62" s="279"/>
      <c r="AD62" s="279"/>
      <c r="AE62" s="245"/>
      <c r="AF62" s="279"/>
      <c r="AG62" s="245"/>
      <c r="AH62" s="279"/>
      <c r="AI62" s="262"/>
      <c r="AJ62" s="279"/>
      <c r="AK62" s="245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281"/>
      <c r="AW62" s="68"/>
      <c r="AX62" s="68"/>
      <c r="AY62" s="246"/>
      <c r="AZ62" s="246"/>
      <c r="BA62" s="282"/>
      <c r="BB62" s="283"/>
      <c r="BC62" s="284"/>
      <c r="BD62" s="28"/>
    </row>
    <row r="63" spans="1:87" ht="13.5" customHeight="1">
      <c r="A63" s="22"/>
      <c r="B63" s="186">
        <v>21</v>
      </c>
      <c r="C63" s="285" t="s">
        <v>31</v>
      </c>
      <c r="D63" s="218" t="s">
        <v>143</v>
      </c>
      <c r="E63" s="219"/>
      <c r="F63" s="218" t="s">
        <v>60</v>
      </c>
      <c r="G63" s="219"/>
      <c r="H63" s="219"/>
      <c r="I63" s="220"/>
      <c r="J63" s="221" t="s">
        <v>33</v>
      </c>
      <c r="K63" s="222"/>
      <c r="L63" s="222"/>
      <c r="M63" s="222"/>
      <c r="N63" s="219"/>
      <c r="O63" s="220"/>
      <c r="P63" s="223" t="s">
        <v>63</v>
      </c>
      <c r="Q63" s="224"/>
      <c r="R63" s="224"/>
      <c r="S63" s="225"/>
      <c r="T63" s="223" t="s">
        <v>98</v>
      </c>
      <c r="U63" s="224"/>
      <c r="V63" s="224"/>
      <c r="W63" s="225"/>
      <c r="X63" s="218" t="s">
        <v>71</v>
      </c>
      <c r="Y63" s="219"/>
      <c r="Z63" s="219"/>
      <c r="AA63" s="220"/>
      <c r="AB63" s="218" t="s">
        <v>97</v>
      </c>
      <c r="AC63" s="219"/>
      <c r="AD63" s="219"/>
      <c r="AE63" s="219"/>
      <c r="AF63" s="223" t="s">
        <v>61</v>
      </c>
      <c r="AG63" s="224"/>
      <c r="AH63" s="224"/>
      <c r="AI63" s="224"/>
      <c r="AJ63" s="225"/>
      <c r="AK63" s="224" t="s">
        <v>115</v>
      </c>
      <c r="AL63" s="224"/>
      <c r="AM63" s="224"/>
      <c r="AN63" s="225"/>
      <c r="AO63" s="224" t="s">
        <v>105</v>
      </c>
      <c r="AP63" s="224"/>
      <c r="AQ63" s="224"/>
      <c r="AR63" s="225"/>
      <c r="AS63" s="224" t="s">
        <v>116</v>
      </c>
      <c r="AT63" s="224"/>
      <c r="AU63" s="224"/>
      <c r="AV63" s="225"/>
      <c r="AW63" s="224" t="s">
        <v>62</v>
      </c>
      <c r="AX63" s="224"/>
      <c r="AY63" s="224"/>
      <c r="AZ63" s="225"/>
      <c r="BA63" s="223" t="s">
        <v>117</v>
      </c>
      <c r="BB63" s="224"/>
      <c r="BC63" s="224"/>
      <c r="BD63" s="224"/>
      <c r="BE63" s="223" t="s">
        <v>110</v>
      </c>
      <c r="BF63" s="224"/>
      <c r="BG63" s="224"/>
      <c r="BH63" s="225"/>
      <c r="BI63" s="223" t="s">
        <v>118</v>
      </c>
      <c r="BJ63" s="224"/>
      <c r="BK63" s="224"/>
      <c r="BL63" s="225"/>
      <c r="BM63" s="223" t="s">
        <v>121</v>
      </c>
      <c r="BN63" s="224"/>
      <c r="BO63" s="224"/>
      <c r="BP63" s="225"/>
      <c r="BQ63" s="223" t="s">
        <v>72</v>
      </c>
      <c r="BR63" s="224"/>
      <c r="BS63" s="224"/>
      <c r="BT63" s="225"/>
      <c r="BU63" s="223" t="s">
        <v>73</v>
      </c>
      <c r="BV63" s="224"/>
      <c r="BW63" s="224"/>
      <c r="BX63" s="225"/>
      <c r="BY63" s="224" t="s">
        <v>74</v>
      </c>
      <c r="BZ63" s="224"/>
      <c r="CA63" s="225"/>
      <c r="CB63" s="224" t="s">
        <v>75</v>
      </c>
      <c r="CC63" s="224"/>
      <c r="CD63" s="224"/>
      <c r="CE63" s="225"/>
      <c r="CF63" s="224" t="s">
        <v>64</v>
      </c>
      <c r="CG63" s="224"/>
      <c r="CH63" s="224"/>
      <c r="CI63" s="225"/>
    </row>
    <row r="64" spans="1:87" ht="13.5" customHeight="1">
      <c r="A64" s="22"/>
      <c r="B64" s="186">
        <v>22</v>
      </c>
      <c r="C64" s="289">
        <v>1</v>
      </c>
      <c r="D64" s="134" t="str">
        <f>N51</f>
        <v>KFH</v>
      </c>
      <c r="E64" s="135"/>
      <c r="F64" s="134" t="str">
        <f>D51</f>
        <v>4800215830</v>
      </c>
      <c r="G64" s="135"/>
      <c r="H64" s="135"/>
      <c r="I64" s="137"/>
      <c r="J64" s="226" t="str">
        <f>H51</f>
        <v>TF38-20S-0.5SV(830)</v>
      </c>
      <c r="K64" s="136"/>
      <c r="L64" s="136"/>
      <c r="M64" s="136"/>
      <c r="N64" s="145"/>
      <c r="O64" s="146"/>
      <c r="P64" s="134" t="s">
        <v>96</v>
      </c>
      <c r="Q64" s="136"/>
      <c r="R64" s="136"/>
      <c r="S64" s="146"/>
      <c r="T64" s="134" t="str">
        <f>AE51</f>
        <v>USD</v>
      </c>
      <c r="U64" s="136"/>
      <c r="V64" s="136"/>
      <c r="W64" s="146"/>
      <c r="X64" s="686">
        <f>R51</f>
        <v>70000</v>
      </c>
      <c r="Y64" s="687"/>
      <c r="Z64" s="687"/>
      <c r="AA64" s="688"/>
      <c r="AB64" s="689">
        <f>Z51</f>
        <v>6.7299999999999999E-2</v>
      </c>
      <c r="AC64" s="690"/>
      <c r="AD64" s="690"/>
      <c r="AE64" s="691"/>
      <c r="AF64" s="689">
        <f>BC51</f>
        <v>0.151</v>
      </c>
      <c r="AG64" s="690"/>
      <c r="AH64" s="690"/>
      <c r="AI64" s="690"/>
      <c r="AJ64" s="691"/>
      <c r="AK64" s="689">
        <f>AM51</f>
        <v>0.12</v>
      </c>
      <c r="AL64" s="690"/>
      <c r="AM64" s="690"/>
      <c r="AN64" s="691"/>
      <c r="AO64" s="689">
        <f>AI51</f>
        <v>0.1211</v>
      </c>
      <c r="AP64" s="690"/>
      <c r="AQ64" s="690"/>
      <c r="AR64" s="691"/>
      <c r="AS64" s="689">
        <f>AI51/(1-AQ51)</f>
        <v>0.12232323232323232</v>
      </c>
      <c r="AT64" s="690"/>
      <c r="AU64" s="690"/>
      <c r="AV64" s="691"/>
      <c r="AW64" s="689">
        <f>AO64-(AS64*$K$20)</f>
        <v>0.11498383838383838</v>
      </c>
      <c r="AX64" s="690"/>
      <c r="AY64" s="690"/>
      <c r="AZ64" s="691"/>
      <c r="BA64" s="707">
        <f>IFERROR((AI51-AM51)/AM51,"")</f>
        <v>9.1666666666666979E-3</v>
      </c>
      <c r="BB64" s="708"/>
      <c r="BC64" s="708"/>
      <c r="BD64" s="709"/>
      <c r="BE64" s="710">
        <f>AU51</f>
        <v>0.13589999999999999</v>
      </c>
      <c r="BF64" s="711"/>
      <c r="BG64" s="711"/>
      <c r="BH64" s="712"/>
      <c r="BI64" s="704">
        <f>1-AI51/(1-AQ51)/AU51</f>
        <v>9.990263191146187E-2</v>
      </c>
      <c r="BJ64" s="705"/>
      <c r="BK64" s="705"/>
      <c r="BL64" s="706"/>
      <c r="BM64" s="704">
        <f>1-AB64/BE64</f>
        <v>0.50478292862398821</v>
      </c>
      <c r="BN64" s="705"/>
      <c r="BO64" s="705"/>
      <c r="BP64" s="706"/>
      <c r="BQ64" s="698">
        <f>AY51</f>
        <v>0.151</v>
      </c>
      <c r="BR64" s="699"/>
      <c r="BS64" s="699"/>
      <c r="BT64" s="700"/>
      <c r="BU64" s="704">
        <f>1-AU51/AY51</f>
        <v>9.9999999999999978E-2</v>
      </c>
      <c r="BV64" s="705"/>
      <c r="BW64" s="705"/>
      <c r="BX64" s="706"/>
      <c r="BY64" s="689">
        <f>BG51</f>
        <v>6.1000000000000004E-3</v>
      </c>
      <c r="BZ64" s="690"/>
      <c r="CA64" s="691"/>
      <c r="CB64" s="135" t="str">
        <f>BJ51</f>
        <v>JAE</v>
      </c>
      <c r="CC64" s="136"/>
      <c r="CD64" s="136"/>
      <c r="CE64" s="138"/>
      <c r="CF64" s="135" t="s">
        <v>29</v>
      </c>
      <c r="CG64" s="136"/>
      <c r="CH64" s="136"/>
      <c r="CI64" s="138"/>
    </row>
    <row r="65" spans="1:87" ht="13.5" customHeight="1">
      <c r="A65" s="22"/>
      <c r="B65" s="362">
        <v>20</v>
      </c>
      <c r="C65" s="188" t="s">
        <v>161</v>
      </c>
      <c r="D65" s="28"/>
      <c r="E65" s="28"/>
      <c r="F65" s="28"/>
      <c r="G65" s="28"/>
      <c r="H65" s="109"/>
      <c r="I65" s="60"/>
      <c r="J65" s="61"/>
      <c r="K65" s="60"/>
      <c r="L65" s="61"/>
      <c r="M65" s="66"/>
      <c r="N65" s="66"/>
      <c r="O65" s="63"/>
      <c r="P65" s="66"/>
      <c r="Q65" s="63"/>
      <c r="R65" s="66"/>
      <c r="S65" s="28"/>
      <c r="T65" s="28"/>
      <c r="U65" s="28"/>
      <c r="V65" s="28"/>
      <c r="W65" s="28"/>
      <c r="X65" s="109"/>
      <c r="Y65" s="60"/>
      <c r="Z65" s="61"/>
      <c r="AA65" s="60"/>
      <c r="AB65" s="61"/>
      <c r="AC65" s="66"/>
      <c r="AD65" s="66"/>
      <c r="AE65" s="63"/>
      <c r="AF65" s="66"/>
      <c r="AG65" s="63"/>
      <c r="AH65" s="66"/>
      <c r="AI65" s="62"/>
      <c r="AJ65" s="66"/>
      <c r="AK65" s="63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17"/>
      <c r="AW65" s="28"/>
      <c r="AX65" s="28"/>
      <c r="AY65" s="31"/>
      <c r="AZ65" s="50"/>
      <c r="BA65" s="85"/>
      <c r="BB65" s="307"/>
      <c r="BC65" s="308"/>
      <c r="BD65" s="26"/>
      <c r="BE65" s="26"/>
      <c r="BF65" s="26"/>
    </row>
    <row r="66" spans="1:87" ht="13.5" customHeight="1">
      <c r="A66" s="22"/>
      <c r="B66" s="186">
        <v>24</v>
      </c>
      <c r="C66" s="285"/>
      <c r="D66" s="372" t="s">
        <v>160</v>
      </c>
      <c r="E66" s="373"/>
      <c r="F66" s="374" t="s">
        <v>170</v>
      </c>
      <c r="G66" s="373"/>
      <c r="H66" s="373"/>
      <c r="I66" s="375"/>
      <c r="J66" s="374" t="s">
        <v>29</v>
      </c>
      <c r="K66" s="376"/>
      <c r="L66" s="376"/>
      <c r="M66" s="376"/>
      <c r="N66" s="373"/>
      <c r="O66" s="375"/>
      <c r="P66" s="380" t="s">
        <v>29</v>
      </c>
      <c r="Q66" s="378"/>
      <c r="R66" s="378"/>
      <c r="S66" s="379"/>
      <c r="T66" s="372"/>
      <c r="U66" s="373"/>
      <c r="V66" s="373"/>
      <c r="W66" s="375"/>
      <c r="X66" s="378" t="s">
        <v>124</v>
      </c>
      <c r="Y66" s="373"/>
      <c r="Z66" s="373"/>
      <c r="AA66" s="373"/>
      <c r="AB66" s="377" t="s">
        <v>119</v>
      </c>
      <c r="AC66" s="373"/>
      <c r="AD66" s="373"/>
      <c r="AE66" s="373"/>
      <c r="AF66" s="377" t="s">
        <v>120</v>
      </c>
      <c r="AG66" s="378"/>
      <c r="AH66" s="378"/>
      <c r="AI66" s="378"/>
      <c r="AJ66" s="379"/>
      <c r="AK66" s="377" t="s">
        <v>121</v>
      </c>
      <c r="AL66" s="378"/>
      <c r="AM66" s="378"/>
      <c r="AN66" s="379"/>
      <c r="AO66" s="377" t="s">
        <v>122</v>
      </c>
      <c r="AP66" s="378"/>
      <c r="AQ66" s="378"/>
      <c r="AR66" s="379"/>
      <c r="AS66" s="377" t="s">
        <v>123</v>
      </c>
      <c r="AT66" s="378"/>
      <c r="AU66" s="378"/>
      <c r="AV66" s="378"/>
      <c r="AW66" s="380" t="s">
        <v>29</v>
      </c>
      <c r="AX66" s="378"/>
      <c r="AY66" s="378"/>
      <c r="AZ66" s="379"/>
      <c r="BA66" s="380"/>
      <c r="BB66" s="378"/>
      <c r="BC66" s="378"/>
      <c r="BD66" s="379"/>
      <c r="BE66" s="381"/>
      <c r="BF66" s="378"/>
      <c r="BG66" s="378"/>
      <c r="BH66" s="379"/>
      <c r="BI66" s="381" t="s">
        <v>29</v>
      </c>
      <c r="BJ66" s="378"/>
      <c r="BK66" s="378"/>
      <c r="BL66" s="379"/>
      <c r="BM66" s="381" t="s">
        <v>29</v>
      </c>
      <c r="BN66" s="378"/>
      <c r="BO66" s="378"/>
      <c r="BP66" s="379"/>
      <c r="BQ66" s="381" t="s">
        <v>29</v>
      </c>
      <c r="BR66" s="378"/>
      <c r="BS66" s="378"/>
      <c r="BT66" s="379"/>
      <c r="BU66" s="378"/>
      <c r="BV66" s="378"/>
      <c r="BW66" s="378"/>
      <c r="BX66" s="379"/>
      <c r="BY66" s="381" t="s">
        <v>29</v>
      </c>
      <c r="BZ66" s="378"/>
      <c r="CA66" s="379"/>
      <c r="CB66" s="378"/>
      <c r="CC66" s="378"/>
      <c r="CD66" s="378"/>
      <c r="CE66" s="379"/>
      <c r="CF66" s="378"/>
      <c r="CG66" s="378"/>
      <c r="CH66" s="378"/>
      <c r="CI66" s="379"/>
    </row>
    <row r="67" spans="1:87" ht="13.5" customHeight="1">
      <c r="A67" s="22"/>
      <c r="B67" s="186">
        <v>25</v>
      </c>
      <c r="C67" s="289">
        <v>1</v>
      </c>
      <c r="D67" s="134" t="s">
        <v>104</v>
      </c>
      <c r="E67" s="135"/>
      <c r="F67" s="134" t="s">
        <v>95</v>
      </c>
      <c r="G67" s="135"/>
      <c r="H67" s="135"/>
      <c r="I67" s="137"/>
      <c r="J67" s="205"/>
      <c r="K67" s="206"/>
      <c r="L67" s="206"/>
      <c r="M67" s="206"/>
      <c r="N67" s="145"/>
      <c r="O67" s="146"/>
      <c r="P67" s="134"/>
      <c r="Q67" s="136"/>
      <c r="R67" s="136"/>
      <c r="S67" s="146"/>
      <c r="T67" s="107"/>
      <c r="U67" s="108"/>
      <c r="V67" s="108"/>
      <c r="W67" s="146"/>
      <c r="X67" s="701">
        <f>SUMPRODUCT(X$64:AA$64,BE$64:BH$64)</f>
        <v>9513</v>
      </c>
      <c r="Y67" s="702"/>
      <c r="Z67" s="702"/>
      <c r="AA67" s="703"/>
      <c r="AB67" s="701">
        <f>SUMPRODUCT(X$64:AA$64,AB$64:AE$64)</f>
        <v>4711</v>
      </c>
      <c r="AC67" s="702"/>
      <c r="AD67" s="702"/>
      <c r="AE67" s="703"/>
      <c r="AF67" s="701">
        <f>X67-AB67</f>
        <v>4802</v>
      </c>
      <c r="AG67" s="702"/>
      <c r="AH67" s="702"/>
      <c r="AI67" s="702"/>
      <c r="AJ67" s="703"/>
      <c r="AK67" s="723">
        <f>AF67/X67</f>
        <v>0.50478292862398821</v>
      </c>
      <c r="AL67" s="724"/>
      <c r="AM67" s="724"/>
      <c r="AN67" s="725"/>
      <c r="AO67" s="723">
        <f>IFERROR(AS67/(X67-AS67),"")</f>
        <v>0.13249999999999998</v>
      </c>
      <c r="AP67" s="724"/>
      <c r="AQ67" s="724"/>
      <c r="AR67" s="725"/>
      <c r="AS67" s="726">
        <f>X$64*(BE$64-AK$64)</f>
        <v>1112.9999999999998</v>
      </c>
      <c r="AT67" s="727"/>
      <c r="AU67" s="727"/>
      <c r="AV67" s="728"/>
      <c r="AW67" s="717"/>
      <c r="AX67" s="718"/>
      <c r="AY67" s="718"/>
      <c r="AZ67" s="719"/>
      <c r="BA67" s="720"/>
      <c r="BB67" s="721"/>
      <c r="BC67" s="721"/>
      <c r="BD67" s="722"/>
      <c r="BE67" s="704"/>
      <c r="BF67" s="705"/>
      <c r="BG67" s="705"/>
      <c r="BH67" s="706"/>
      <c r="BI67" s="135" t="s">
        <v>29</v>
      </c>
      <c r="BJ67" s="136"/>
      <c r="BK67" s="136"/>
      <c r="BL67" s="138"/>
      <c r="BM67" s="135" t="s">
        <v>29</v>
      </c>
      <c r="BN67" s="136"/>
      <c r="BO67" s="136"/>
      <c r="BP67" s="138"/>
      <c r="BQ67" s="135" t="s">
        <v>29</v>
      </c>
      <c r="BR67" s="136"/>
      <c r="BS67" s="136"/>
      <c r="BT67" s="138"/>
      <c r="BU67" s="135" t="s">
        <v>29</v>
      </c>
      <c r="BV67" s="136"/>
      <c r="BW67" s="136"/>
      <c r="BX67" s="138"/>
      <c r="BY67" s="135" t="s">
        <v>29</v>
      </c>
      <c r="BZ67" s="136"/>
      <c r="CA67" s="138"/>
      <c r="CB67" s="135" t="s">
        <v>29</v>
      </c>
      <c r="CC67" s="136"/>
      <c r="CD67" s="136"/>
      <c r="CE67" s="138"/>
      <c r="CF67" s="135" t="s">
        <v>29</v>
      </c>
      <c r="CG67" s="136"/>
      <c r="CH67" s="136"/>
      <c r="CI67" s="138"/>
    </row>
    <row r="68" spans="1:87" ht="13.5" customHeight="1">
      <c r="A68" s="22"/>
      <c r="B68" s="186">
        <v>25</v>
      </c>
      <c r="C68" s="289">
        <v>2</v>
      </c>
      <c r="D68" s="134" t="s">
        <v>104</v>
      </c>
      <c r="E68" s="135"/>
      <c r="F68" s="134" t="s">
        <v>113</v>
      </c>
      <c r="G68" s="135"/>
      <c r="H68" s="135"/>
      <c r="I68" s="137"/>
      <c r="J68" s="205"/>
      <c r="K68" s="206"/>
      <c r="L68" s="206"/>
      <c r="M68" s="206"/>
      <c r="N68" s="145"/>
      <c r="O68" s="146"/>
      <c r="P68" s="134"/>
      <c r="Q68" s="136"/>
      <c r="R68" s="136"/>
      <c r="S68" s="146"/>
      <c r="T68" s="107"/>
      <c r="U68" s="108"/>
      <c r="V68" s="108"/>
      <c r="W68" s="146"/>
      <c r="X68" s="720">
        <f>SUMPRODUCT(X$64:AA$64,BE$64:BH$64)</f>
        <v>9513</v>
      </c>
      <c r="Y68" s="721"/>
      <c r="Z68" s="721"/>
      <c r="AA68" s="722"/>
      <c r="AB68" s="720">
        <f>SUMPRODUCT(X$64:AA$64,AB$64:AE$64)</f>
        <v>4711</v>
      </c>
      <c r="AC68" s="721"/>
      <c r="AD68" s="721"/>
      <c r="AE68" s="722"/>
      <c r="AF68" s="720">
        <f>X68-AB68</f>
        <v>4802</v>
      </c>
      <c r="AG68" s="721"/>
      <c r="AH68" s="721"/>
      <c r="AI68" s="721"/>
      <c r="AJ68" s="722"/>
      <c r="AK68" s="723">
        <f>AF68/X68</f>
        <v>0.50478292862398821</v>
      </c>
      <c r="AL68" s="724"/>
      <c r="AM68" s="724"/>
      <c r="AN68" s="725"/>
      <c r="AO68" s="723">
        <f>IFERROR(AS68/(X68-AS68),"")</f>
        <v>0.13249999999999998</v>
      </c>
      <c r="AP68" s="724"/>
      <c r="AQ68" s="724"/>
      <c r="AR68" s="725"/>
      <c r="AS68" s="714">
        <f>X$64*(BE$64-AK$64)</f>
        <v>1112.9999999999998</v>
      </c>
      <c r="AT68" s="715"/>
      <c r="AU68" s="715"/>
      <c r="AV68" s="716"/>
      <c r="AW68" s="717"/>
      <c r="AX68" s="718"/>
      <c r="AY68" s="718"/>
      <c r="AZ68" s="719"/>
      <c r="BA68" s="720"/>
      <c r="BB68" s="721"/>
      <c r="BC68" s="721"/>
      <c r="BD68" s="722"/>
      <c r="BE68" s="704"/>
      <c r="BF68" s="705"/>
      <c r="BG68" s="705"/>
      <c r="BH68" s="706"/>
      <c r="BI68" s="135" t="s">
        <v>29</v>
      </c>
      <c r="BJ68" s="136"/>
      <c r="BK68" s="136"/>
      <c r="BL68" s="138"/>
      <c r="BM68" s="135" t="s">
        <v>29</v>
      </c>
      <c r="BN68" s="136"/>
      <c r="BO68" s="136"/>
      <c r="BP68" s="138"/>
      <c r="BQ68" s="135" t="s">
        <v>29</v>
      </c>
      <c r="BR68" s="136"/>
      <c r="BS68" s="136"/>
      <c r="BT68" s="138"/>
      <c r="BU68" s="135" t="s">
        <v>29</v>
      </c>
      <c r="BV68" s="136"/>
      <c r="BW68" s="136"/>
      <c r="BX68" s="138"/>
      <c r="BY68" s="135" t="s">
        <v>29</v>
      </c>
      <c r="BZ68" s="136"/>
      <c r="CA68" s="138"/>
      <c r="CB68" s="135" t="s">
        <v>29</v>
      </c>
      <c r="CC68" s="136"/>
      <c r="CD68" s="136"/>
      <c r="CE68" s="138"/>
      <c r="CF68" s="135" t="s">
        <v>29</v>
      </c>
      <c r="CG68" s="136"/>
      <c r="CH68" s="136"/>
      <c r="CI68" s="138"/>
    </row>
    <row r="69" spans="1:87" ht="13.5" customHeight="1">
      <c r="A69" s="22"/>
      <c r="B69" s="362">
        <v>20</v>
      </c>
      <c r="C69" s="188" t="s">
        <v>159</v>
      </c>
      <c r="D69" s="28"/>
      <c r="E69" s="28"/>
      <c r="F69" s="28"/>
      <c r="G69" s="28"/>
      <c r="H69" s="109"/>
      <c r="I69" s="60"/>
      <c r="J69" s="61"/>
      <c r="K69" s="60"/>
      <c r="L69" s="61"/>
      <c r="M69" s="66"/>
      <c r="N69" s="66"/>
      <c r="O69" s="63"/>
      <c r="P69" s="66"/>
      <c r="Q69" s="63"/>
      <c r="R69" s="66"/>
      <c r="S69" s="28"/>
      <c r="T69" s="28"/>
      <c r="U69" s="28"/>
      <c r="V69" s="28"/>
      <c r="W69" s="28"/>
      <c r="X69" s="109"/>
      <c r="Y69" s="60"/>
      <c r="Z69" s="61"/>
      <c r="AA69" s="60"/>
      <c r="AB69" s="61"/>
      <c r="AC69" s="66"/>
      <c r="AD69" s="66"/>
      <c r="AE69" s="63"/>
      <c r="AF69" s="66"/>
      <c r="AG69" s="63"/>
      <c r="AH69" s="66"/>
      <c r="AI69" s="62"/>
      <c r="AJ69" s="66"/>
      <c r="AK69" s="63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17"/>
      <c r="AW69" s="28"/>
      <c r="AX69" s="28"/>
      <c r="AY69" s="31"/>
      <c r="AZ69" s="50"/>
      <c r="BA69" s="85"/>
      <c r="BB69" s="307"/>
      <c r="BC69" s="308"/>
      <c r="BD69" s="26"/>
      <c r="BE69" s="26"/>
      <c r="BF69" s="26"/>
    </row>
    <row r="70" spans="1:87" ht="13.5" customHeight="1">
      <c r="A70" s="22"/>
      <c r="B70" s="186">
        <v>24</v>
      </c>
      <c r="C70" s="285"/>
      <c r="D70" s="227"/>
      <c r="E70" s="228"/>
      <c r="F70" s="227" t="s">
        <v>171</v>
      </c>
      <c r="G70" s="228"/>
      <c r="H70" s="228"/>
      <c r="I70" s="229"/>
      <c r="J70" s="230" t="s">
        <v>29</v>
      </c>
      <c r="K70" s="231"/>
      <c r="L70" s="231"/>
      <c r="M70" s="231"/>
      <c r="N70" s="228"/>
      <c r="O70" s="229"/>
      <c r="P70" s="232"/>
      <c r="Q70" s="233"/>
      <c r="R70" s="233"/>
      <c r="S70" s="234"/>
      <c r="T70" s="227"/>
      <c r="U70" s="228"/>
      <c r="V70" s="228"/>
      <c r="W70" s="229"/>
      <c r="X70" s="233" t="s">
        <v>124</v>
      </c>
      <c r="Y70" s="228"/>
      <c r="Z70" s="228"/>
      <c r="AA70" s="228"/>
      <c r="AB70" s="232" t="s">
        <v>119</v>
      </c>
      <c r="AC70" s="228"/>
      <c r="AD70" s="228"/>
      <c r="AE70" s="228"/>
      <c r="AF70" s="232" t="s">
        <v>120</v>
      </c>
      <c r="AG70" s="233"/>
      <c r="AH70" s="233"/>
      <c r="AI70" s="233"/>
      <c r="AJ70" s="234"/>
      <c r="AK70" s="232" t="s">
        <v>121</v>
      </c>
      <c r="AL70" s="233"/>
      <c r="AM70" s="233"/>
      <c r="AN70" s="234"/>
      <c r="AO70" s="232" t="s">
        <v>122</v>
      </c>
      <c r="AP70" s="233"/>
      <c r="AQ70" s="233"/>
      <c r="AR70" s="234"/>
      <c r="AS70" s="232" t="s">
        <v>123</v>
      </c>
      <c r="AT70" s="233"/>
      <c r="AU70" s="233"/>
      <c r="AV70" s="233"/>
      <c r="AW70" s="236" t="s">
        <v>29</v>
      </c>
      <c r="AX70" s="233"/>
      <c r="AY70" s="233"/>
      <c r="AZ70" s="234"/>
      <c r="BA70" s="236"/>
      <c r="BB70" s="233"/>
      <c r="BC70" s="233"/>
      <c r="BD70" s="234"/>
      <c r="BE70" s="235"/>
      <c r="BF70" s="233"/>
      <c r="BG70" s="233"/>
      <c r="BH70" s="234"/>
      <c r="BI70" s="235" t="s">
        <v>29</v>
      </c>
      <c r="BJ70" s="233"/>
      <c r="BK70" s="233"/>
      <c r="BL70" s="234"/>
      <c r="BM70" s="235" t="s">
        <v>29</v>
      </c>
      <c r="BN70" s="233"/>
      <c r="BO70" s="233"/>
      <c r="BP70" s="234"/>
      <c r="BQ70" s="235" t="s">
        <v>29</v>
      </c>
      <c r="BR70" s="233"/>
      <c r="BS70" s="233"/>
      <c r="BT70" s="234"/>
      <c r="BU70" s="233"/>
      <c r="BV70" s="233"/>
      <c r="BW70" s="233"/>
      <c r="BX70" s="234"/>
      <c r="BY70" s="235" t="s">
        <v>29</v>
      </c>
      <c r="BZ70" s="233"/>
      <c r="CA70" s="234"/>
      <c r="CB70" s="233"/>
      <c r="CC70" s="233"/>
      <c r="CD70" s="233"/>
      <c r="CE70" s="234"/>
      <c r="CF70" s="233"/>
      <c r="CG70" s="233"/>
      <c r="CH70" s="233"/>
      <c r="CI70" s="234"/>
    </row>
    <row r="71" spans="1:87" ht="13.5" customHeight="1">
      <c r="A71" s="22"/>
      <c r="B71" s="186">
        <v>25</v>
      </c>
      <c r="C71" s="289"/>
      <c r="D71" s="134"/>
      <c r="E71" s="135"/>
      <c r="F71" s="134" t="s">
        <v>95</v>
      </c>
      <c r="G71" s="135"/>
      <c r="H71" s="135"/>
      <c r="I71" s="137"/>
      <c r="J71" s="205"/>
      <c r="K71" s="206"/>
      <c r="L71" s="206"/>
      <c r="M71" s="206"/>
      <c r="N71" s="145"/>
      <c r="O71" s="146"/>
      <c r="P71" s="134"/>
      <c r="Q71" s="136"/>
      <c r="R71" s="136"/>
      <c r="S71" s="146"/>
      <c r="T71" s="107"/>
      <c r="U71" s="108"/>
      <c r="V71" s="108"/>
      <c r="W71" s="146"/>
      <c r="X71" s="701">
        <f>SUMPRODUCT(X$64:AA$64,BE$64:BH$64)</f>
        <v>9513</v>
      </c>
      <c r="Y71" s="702"/>
      <c r="Z71" s="702"/>
      <c r="AA71" s="703"/>
      <c r="AB71" s="701">
        <f>SUMPRODUCT(X$64:AA$64,AB$64:AE$64)</f>
        <v>4711</v>
      </c>
      <c r="AC71" s="702"/>
      <c r="AD71" s="702"/>
      <c r="AE71" s="703"/>
      <c r="AF71" s="701">
        <f>X71-AB71</f>
        <v>4802</v>
      </c>
      <c r="AG71" s="702"/>
      <c r="AH71" s="702"/>
      <c r="AI71" s="702"/>
      <c r="AJ71" s="703"/>
      <c r="AK71" s="723">
        <f>AF71/X71</f>
        <v>0.50478292862398821</v>
      </c>
      <c r="AL71" s="724"/>
      <c r="AM71" s="724"/>
      <c r="AN71" s="725"/>
      <c r="AO71" s="723">
        <f>IFERROR(AS71/(X71-AS71),"")</f>
        <v>0.13249999999999998</v>
      </c>
      <c r="AP71" s="724"/>
      <c r="AQ71" s="724"/>
      <c r="AR71" s="725"/>
      <c r="AS71" s="726">
        <f>X$64*(BE$64-AK$64)</f>
        <v>1112.9999999999998</v>
      </c>
      <c r="AT71" s="727"/>
      <c r="AU71" s="727"/>
      <c r="AV71" s="728"/>
      <c r="AW71" s="717"/>
      <c r="AX71" s="718"/>
      <c r="AY71" s="718"/>
      <c r="AZ71" s="719"/>
      <c r="BA71" s="720"/>
      <c r="BB71" s="721"/>
      <c r="BC71" s="721"/>
      <c r="BD71" s="722"/>
      <c r="BE71" s="704"/>
      <c r="BF71" s="705"/>
      <c r="BG71" s="705"/>
      <c r="BH71" s="706"/>
      <c r="BI71" s="135" t="s">
        <v>29</v>
      </c>
      <c r="BJ71" s="136"/>
      <c r="BK71" s="136"/>
      <c r="BL71" s="138"/>
      <c r="BM71" s="135" t="s">
        <v>29</v>
      </c>
      <c r="BN71" s="136"/>
      <c r="BO71" s="136"/>
      <c r="BP71" s="138"/>
      <c r="BQ71" s="135" t="s">
        <v>29</v>
      </c>
      <c r="BR71" s="136"/>
      <c r="BS71" s="136"/>
      <c r="BT71" s="138"/>
      <c r="BU71" s="135" t="s">
        <v>29</v>
      </c>
      <c r="BV71" s="136"/>
      <c r="BW71" s="136"/>
      <c r="BX71" s="138"/>
      <c r="BY71" s="135" t="s">
        <v>29</v>
      </c>
      <c r="BZ71" s="136"/>
      <c r="CA71" s="138"/>
      <c r="CB71" s="135" t="s">
        <v>29</v>
      </c>
      <c r="CC71" s="136"/>
      <c r="CD71" s="136"/>
      <c r="CE71" s="138"/>
      <c r="CF71" s="135" t="s">
        <v>29</v>
      </c>
      <c r="CG71" s="136"/>
      <c r="CH71" s="136"/>
      <c r="CI71" s="138"/>
    </row>
    <row r="72" spans="1:87" ht="13.5" customHeight="1">
      <c r="A72" s="22"/>
      <c r="B72" s="186">
        <v>25</v>
      </c>
      <c r="C72" s="289"/>
      <c r="D72" s="134"/>
      <c r="E72" s="135"/>
      <c r="F72" s="134" t="s">
        <v>113</v>
      </c>
      <c r="G72" s="135"/>
      <c r="H72" s="135"/>
      <c r="I72" s="137"/>
      <c r="J72" s="205"/>
      <c r="K72" s="206"/>
      <c r="L72" s="206"/>
      <c r="M72" s="206"/>
      <c r="N72" s="145"/>
      <c r="O72" s="146"/>
      <c r="P72" s="134"/>
      <c r="Q72" s="136"/>
      <c r="R72" s="136"/>
      <c r="S72" s="146"/>
      <c r="T72" s="107"/>
      <c r="U72" s="108"/>
      <c r="V72" s="108"/>
      <c r="W72" s="146"/>
      <c r="X72" s="720">
        <f>SUMPRODUCT(X$64:AA$64,BE$64:BH$64)</f>
        <v>9513</v>
      </c>
      <c r="Y72" s="721"/>
      <c r="Z72" s="721"/>
      <c r="AA72" s="722"/>
      <c r="AB72" s="720">
        <f>SUMPRODUCT(X$64:AA$64,AB$64:AE$64)</f>
        <v>4711</v>
      </c>
      <c r="AC72" s="721"/>
      <c r="AD72" s="721"/>
      <c r="AE72" s="722"/>
      <c r="AF72" s="720">
        <f>X72-AB72</f>
        <v>4802</v>
      </c>
      <c r="AG72" s="721"/>
      <c r="AH72" s="721"/>
      <c r="AI72" s="721"/>
      <c r="AJ72" s="722"/>
      <c r="AK72" s="723">
        <f>AF72/X72</f>
        <v>0.50478292862398821</v>
      </c>
      <c r="AL72" s="724"/>
      <c r="AM72" s="724"/>
      <c r="AN72" s="725"/>
      <c r="AO72" s="723">
        <f>IFERROR(AS72/(X72-AS72),"")</f>
        <v>0.13249999999999998</v>
      </c>
      <c r="AP72" s="724"/>
      <c r="AQ72" s="724"/>
      <c r="AR72" s="725"/>
      <c r="AS72" s="714">
        <f>X$64*(BE$64-AK$64)</f>
        <v>1112.9999999999998</v>
      </c>
      <c r="AT72" s="715"/>
      <c r="AU72" s="715"/>
      <c r="AV72" s="716"/>
      <c r="AW72" s="717"/>
      <c r="AX72" s="718"/>
      <c r="AY72" s="718"/>
      <c r="AZ72" s="719"/>
      <c r="BA72" s="720"/>
      <c r="BB72" s="721"/>
      <c r="BC72" s="721"/>
      <c r="BD72" s="722"/>
      <c r="BE72" s="704"/>
      <c r="BF72" s="705"/>
      <c r="BG72" s="705"/>
      <c r="BH72" s="706"/>
      <c r="BI72" s="135" t="s">
        <v>29</v>
      </c>
      <c r="BJ72" s="136"/>
      <c r="BK72" s="136"/>
      <c r="BL72" s="138"/>
      <c r="BM72" s="135" t="s">
        <v>29</v>
      </c>
      <c r="BN72" s="136"/>
      <c r="BO72" s="136"/>
      <c r="BP72" s="138"/>
      <c r="BQ72" s="135" t="s">
        <v>29</v>
      </c>
      <c r="BR72" s="136"/>
      <c r="BS72" s="136"/>
      <c r="BT72" s="138"/>
      <c r="BU72" s="135" t="s">
        <v>29</v>
      </c>
      <c r="BV72" s="136"/>
      <c r="BW72" s="136"/>
      <c r="BX72" s="138"/>
      <c r="BY72" s="135" t="s">
        <v>29</v>
      </c>
      <c r="BZ72" s="136"/>
      <c r="CA72" s="138"/>
      <c r="CB72" s="135" t="s">
        <v>29</v>
      </c>
      <c r="CC72" s="136"/>
      <c r="CD72" s="136"/>
      <c r="CE72" s="138"/>
      <c r="CF72" s="135" t="s">
        <v>29</v>
      </c>
      <c r="CG72" s="136"/>
      <c r="CH72" s="136"/>
      <c r="CI72" s="138"/>
    </row>
    <row r="73" spans="1:87" ht="13.5" customHeight="1">
      <c r="A73" s="22"/>
      <c r="B73" s="186">
        <v>26</v>
      </c>
      <c r="C73" s="315"/>
      <c r="D73" s="71"/>
      <c r="E73" s="71"/>
      <c r="F73" s="71"/>
      <c r="G73" s="71"/>
      <c r="H73" s="183"/>
      <c r="I73" s="183"/>
      <c r="J73" s="184"/>
      <c r="K73" s="183"/>
      <c r="L73" s="184"/>
      <c r="M73" s="183"/>
      <c r="N73" s="183"/>
      <c r="O73" s="77"/>
      <c r="P73" s="78"/>
      <c r="Q73" s="78"/>
      <c r="R73" s="78"/>
      <c r="S73" s="71"/>
      <c r="T73" s="71"/>
      <c r="U73" s="71"/>
      <c r="V73" s="71"/>
      <c r="W73" s="71"/>
      <c r="X73" s="79"/>
      <c r="Y73" s="71"/>
      <c r="Z73" s="78"/>
      <c r="AA73" s="79"/>
      <c r="AB73" s="71"/>
      <c r="AC73" s="78"/>
      <c r="AD73" s="79"/>
      <c r="AE73" s="78"/>
      <c r="AF73" s="78"/>
      <c r="AG73" s="79"/>
      <c r="AH73" s="78"/>
      <c r="AI73" s="78"/>
      <c r="AJ73" s="84"/>
      <c r="AK73" s="78"/>
      <c r="AL73" s="78"/>
      <c r="AM73" s="78"/>
      <c r="AN73" s="78"/>
      <c r="AO73" s="78"/>
      <c r="AP73" s="78"/>
      <c r="AQ73" s="78"/>
      <c r="AR73" s="78"/>
      <c r="AS73" s="63"/>
      <c r="AT73" s="63"/>
      <c r="AU73" s="63"/>
      <c r="AV73" s="63"/>
      <c r="AW73" s="63"/>
      <c r="AX73" s="63"/>
      <c r="AY73" s="61"/>
      <c r="AZ73" s="31"/>
      <c r="BA73" s="30"/>
      <c r="BB73" s="159"/>
      <c r="BC73" s="317"/>
      <c r="BD73" s="731"/>
      <c r="BE73" s="732"/>
      <c r="BF73" s="732"/>
    </row>
    <row r="74" spans="1:87" ht="13.5" customHeight="1">
      <c r="A74" s="22"/>
      <c r="B74" 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 <c r="M74" s="312"/>
      <c r="N74"/>
      <c r="O74"/>
      <c r="P74"/>
      <c r="Q74"/>
      <c r="R74"/>
      <c r="S74"/>
      <c r="T74"/>
      <c r="U74"/>
      <c r="V74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  <c r="AM74" s="182"/>
      <c r="AN74" s="182"/>
      <c r="AO74" s="182"/>
      <c r="AP74" s="182"/>
      <c r="AQ74" s="182"/>
      <c r="AR74" s="182"/>
      <c r="AS74" s="237"/>
      <c r="AT74" s="35"/>
      <c r="AU74" s="35"/>
      <c r="AV74" s="237"/>
      <c r="AW74" s="182"/>
      <c r="AX74" s="182"/>
      <c r="AY74" s="182"/>
      <c r="AZ74" s="31"/>
      <c r="BA74" s="30"/>
      <c r="BB74" s="159"/>
      <c r="BC74" s="319"/>
      <c r="BD74" s="28"/>
      <c r="BG74" s="24"/>
      <c r="BH74" s="28"/>
    </row>
    <row r="75" spans="1:87" ht="13.5" customHeight="1">
      <c r="A75" s="22"/>
      <c r="B75" s="186"/>
      <c r="C75" s="316"/>
      <c r="D75" s="310"/>
      <c r="E75" s="63"/>
      <c r="F75" s="63"/>
      <c r="G75" s="63"/>
      <c r="H75" s="63"/>
      <c r="I75" s="63"/>
      <c r="J75" s="311"/>
      <c r="K75" s="312"/>
      <c r="L75" s="312"/>
      <c r="M75" s="312"/>
      <c r="N75"/>
      <c r="O75"/>
      <c r="P75"/>
      <c r="Q75"/>
      <c r="R75"/>
      <c r="S75"/>
      <c r="T75"/>
      <c r="U75"/>
      <c r="V75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182"/>
      <c r="AN75" s="182"/>
      <c r="AO75" s="182"/>
      <c r="AP75" s="182"/>
      <c r="AQ75" s="182"/>
      <c r="AR75" s="182"/>
      <c r="AS75" s="237"/>
      <c r="AT75" s="35"/>
      <c r="AU75" s="35"/>
      <c r="AV75" s="237"/>
      <c r="AW75" s="182"/>
      <c r="AX75" s="182"/>
      <c r="AY75" s="182"/>
      <c r="AZ75" s="31"/>
      <c r="BA75" s="30"/>
      <c r="BB75" s="159"/>
      <c r="BC75" s="319"/>
      <c r="BD75" s="28"/>
      <c r="BG75" s="24"/>
      <c r="BH75" s="28"/>
    </row>
    <row r="76" spans="1:87" ht="5.15" customHeight="1">
      <c r="A76" s="22"/>
      <c r="B76" s="186"/>
      <c r="C76" s="296"/>
      <c r="D76" s="69"/>
      <c r="E76" s="69"/>
      <c r="F76" s="69"/>
      <c r="G76" s="69"/>
      <c r="H76" s="297"/>
      <c r="I76" s="257"/>
      <c r="J76" s="255"/>
      <c r="K76" s="257"/>
      <c r="L76" s="255"/>
      <c r="M76" s="298"/>
      <c r="N76" s="298"/>
      <c r="O76" s="252"/>
      <c r="P76" s="298"/>
      <c r="Q76" s="252"/>
      <c r="R76" s="298"/>
      <c r="S76" s="69"/>
      <c r="T76" s="69"/>
      <c r="U76" s="69"/>
      <c r="V76" s="69"/>
      <c r="W76" s="69"/>
      <c r="X76" s="297"/>
      <c r="Y76" s="257"/>
      <c r="Z76" s="255"/>
      <c r="AA76" s="257"/>
      <c r="AB76" s="255"/>
      <c r="AC76" s="298"/>
      <c r="AD76" s="298"/>
      <c r="AE76" s="252"/>
      <c r="AF76" s="298"/>
      <c r="AG76" s="252"/>
      <c r="AH76" s="298"/>
      <c r="AI76" s="258"/>
      <c r="AJ76" s="298"/>
      <c r="AK76" s="252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299"/>
      <c r="AW76" s="69"/>
      <c r="AX76" s="69"/>
      <c r="AY76" s="251"/>
      <c r="AZ76" s="251"/>
      <c r="BA76" s="300"/>
      <c r="BB76" s="301"/>
      <c r="BC76" s="318"/>
      <c r="BD76" s="28"/>
    </row>
    <row r="77" spans="1:87" ht="13.5" customHeight="1">
      <c r="A77" s="22"/>
      <c r="B77" s="186">
        <v>31</v>
      </c>
      <c r="C77" s="309"/>
      <c r="D77" s="310"/>
      <c r="E77" s="63"/>
      <c r="F77" s="63"/>
      <c r="G77" s="63"/>
      <c r="H77" s="63"/>
      <c r="I77" s="63"/>
      <c r="J77" s="730"/>
      <c r="K77" s="730"/>
      <c r="L77" s="730"/>
      <c r="M77" s="730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  <c r="AM77" s="182"/>
      <c r="AN77" s="182"/>
      <c r="AO77" s="182"/>
      <c r="AP77" s="182"/>
      <c r="AQ77" s="182"/>
      <c r="AR77" s="182"/>
      <c r="AS77" s="182"/>
      <c r="AT77" s="182"/>
      <c r="AU77" s="182"/>
      <c r="AV77" s="182"/>
      <c r="AW77" s="182"/>
      <c r="AX77" s="182"/>
      <c r="AY77" s="182"/>
      <c r="AZ77" s="33"/>
      <c r="BA77" s="44"/>
      <c r="BB77" s="74"/>
      <c r="BC77" s="34"/>
      <c r="BD77" s="28"/>
      <c r="BG77" s="24"/>
      <c r="BH77" s="28"/>
    </row>
    <row r="78" spans="1:87" ht="14.15" customHeight="1">
      <c r="A78" s="22"/>
      <c r="B78" s="117"/>
      <c r="C78" s="320" t="s">
        <v>93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18"/>
      <c r="AN78" s="118"/>
      <c r="AO78" s="35"/>
      <c r="AP78" s="35"/>
      <c r="AQ78" s="35"/>
      <c r="AR78" s="35"/>
      <c r="AS78" s="35"/>
      <c r="AT78" s="35"/>
      <c r="AU78" s="35"/>
      <c r="AV78" s="35"/>
      <c r="AW78" s="35"/>
      <c r="AX78" s="63"/>
      <c r="AY78" s="63"/>
      <c r="AZ78" s="33"/>
      <c r="BA78" s="44"/>
      <c r="BB78" s="74"/>
      <c r="BC78" s="34"/>
      <c r="BD78" s="28"/>
      <c r="BG78" s="35"/>
    </row>
    <row r="79" spans="1:87" ht="5.15" customHeight="1">
      <c r="A79" s="22"/>
      <c r="B79" s="186"/>
      <c r="C79" s="277"/>
      <c r="D79" s="68"/>
      <c r="E79" s="68"/>
      <c r="F79" s="68"/>
      <c r="G79" s="68"/>
      <c r="H79" s="278"/>
      <c r="I79" s="260"/>
      <c r="J79" s="261"/>
      <c r="K79" s="260"/>
      <c r="L79" s="261"/>
      <c r="M79" s="279"/>
      <c r="N79" s="279"/>
      <c r="O79" s="245"/>
      <c r="P79" s="279"/>
      <c r="Q79" s="245"/>
      <c r="R79" s="279"/>
      <c r="S79" s="68"/>
      <c r="T79" s="68"/>
      <c r="U79" s="68"/>
      <c r="V79" s="68"/>
      <c r="W79" s="68"/>
      <c r="X79" s="278"/>
      <c r="Y79" s="260"/>
      <c r="Z79" s="261"/>
      <c r="AA79" s="260"/>
      <c r="AB79" s="261"/>
      <c r="AC79" s="279"/>
      <c r="AD79" s="279"/>
      <c r="AE79" s="245"/>
      <c r="AF79" s="279"/>
      <c r="AG79" s="245"/>
      <c r="AH79" s="279"/>
      <c r="AI79" s="262"/>
      <c r="AJ79" s="279"/>
      <c r="AK79" s="245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281"/>
      <c r="AW79" s="68"/>
      <c r="AX79" s="68"/>
      <c r="AY79" s="247"/>
      <c r="AZ79" s="33"/>
      <c r="BA79" s="44"/>
      <c r="BB79" s="74"/>
      <c r="BC79" s="34"/>
      <c r="BD79" s="28"/>
    </row>
    <row r="80" spans="1:87" ht="14.15" customHeight="1">
      <c r="A80" s="23"/>
      <c r="B80" s="325"/>
      <c r="C80" s="264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23"/>
      <c r="AP80" s="124"/>
      <c r="AQ80" s="118"/>
      <c r="AR80" s="118"/>
      <c r="AS80" s="118"/>
      <c r="AT80" s="118"/>
      <c r="AU80" s="76"/>
      <c r="AV80" s="35"/>
      <c r="AW80" s="35"/>
      <c r="AX80" s="63"/>
      <c r="AY80" s="321"/>
      <c r="AZ80" s="33"/>
      <c r="BA80" s="44"/>
      <c r="BB80" s="74"/>
      <c r="BC80" s="34"/>
      <c r="BD80" s="28"/>
      <c r="BG80" s="35"/>
    </row>
    <row r="81" spans="1:60" ht="14.15" customHeight="1">
      <c r="A81" s="23"/>
      <c r="B81" s="325"/>
      <c r="C81" s="326"/>
      <c r="D81" s="322" t="s">
        <v>35</v>
      </c>
      <c r="E81" s="119"/>
      <c r="F81" s="119"/>
      <c r="G81" s="119"/>
      <c r="H81" s="120"/>
      <c r="I81" s="120"/>
      <c r="J81" s="97"/>
      <c r="K81" s="121"/>
      <c r="L81" s="122"/>
      <c r="M81" s="132"/>
      <c r="N81" s="132"/>
      <c r="O81" s="119"/>
      <c r="P81" s="122"/>
      <c r="Q81" s="98"/>
      <c r="R81" s="121" t="s">
        <v>37</v>
      </c>
      <c r="S81" s="122"/>
      <c r="T81" s="98"/>
      <c r="U81" s="98"/>
      <c r="V81" s="121" t="s">
        <v>41</v>
      </c>
      <c r="W81" s="122"/>
      <c r="X81" s="98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76"/>
      <c r="AL81" s="28"/>
      <c r="AM81" s="28"/>
      <c r="AN81" s="28"/>
      <c r="AO81" s="28"/>
      <c r="AP81" s="28"/>
      <c r="AQ81" s="63"/>
      <c r="AR81" s="63"/>
      <c r="AS81" s="63"/>
      <c r="AT81" s="113"/>
      <c r="AU81" s="63"/>
      <c r="AV81" s="63"/>
      <c r="AW81" s="63"/>
      <c r="AX81" s="63"/>
      <c r="AY81" s="321"/>
      <c r="AZ81" s="33"/>
      <c r="BA81" s="44"/>
      <c r="BB81" s="74"/>
      <c r="BC81" s="34"/>
      <c r="BD81" s="28"/>
      <c r="BE81" s="35"/>
      <c r="BF81" s="35"/>
      <c r="BG81" s="35"/>
    </row>
    <row r="82" spans="1:60" ht="13.5" customHeight="1">
      <c r="A82" s="22"/>
      <c r="B82" s="327"/>
      <c r="C82" s="326"/>
      <c r="D82" s="323" t="s">
        <v>42</v>
      </c>
      <c r="E82" s="125"/>
      <c r="F82" s="125"/>
      <c r="G82" s="125"/>
      <c r="H82" s="125"/>
      <c r="I82" s="125"/>
      <c r="J82" s="125"/>
      <c r="K82" s="324"/>
      <c r="L82" s="127"/>
      <c r="M82" s="99"/>
      <c r="N82" s="99"/>
      <c r="O82" s="133"/>
      <c r="P82" s="127"/>
      <c r="Q82" s="100"/>
      <c r="R82" s="126" t="s">
        <v>38</v>
      </c>
      <c r="S82" s="127"/>
      <c r="T82" s="99"/>
      <c r="U82" s="100"/>
      <c r="V82" s="128"/>
      <c r="W82" s="129"/>
      <c r="X82" s="130"/>
      <c r="Y82" s="106"/>
      <c r="Z82" s="39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63"/>
      <c r="AR82" s="63"/>
      <c r="AS82" s="63"/>
      <c r="AT82" s="113"/>
      <c r="AU82" s="63"/>
      <c r="AV82" s="63"/>
      <c r="AW82" s="63"/>
      <c r="AX82" s="63"/>
      <c r="AY82" s="321"/>
      <c r="AZ82" s="33"/>
      <c r="BA82" s="44"/>
      <c r="BB82" s="74"/>
      <c r="BC82" s="34"/>
      <c r="BD82" s="28"/>
      <c r="BE82" s="35"/>
      <c r="BF82" s="35"/>
      <c r="BG82" s="35"/>
    </row>
    <row r="83" spans="1:60" ht="5.15" customHeight="1">
      <c r="A83" s="22"/>
      <c r="B83" s="186"/>
      <c r="C83" s="296"/>
      <c r="D83" s="69"/>
      <c r="E83" s="69"/>
      <c r="F83" s="69"/>
      <c r="G83" s="69"/>
      <c r="H83" s="297"/>
      <c r="I83" s="257"/>
      <c r="J83" s="255"/>
      <c r="K83" s="257"/>
      <c r="L83" s="255"/>
      <c r="M83" s="298"/>
      <c r="N83" s="298"/>
      <c r="O83" s="252"/>
      <c r="P83" s="298"/>
      <c r="Q83" s="252"/>
      <c r="R83" s="298"/>
      <c r="S83" s="69"/>
      <c r="T83" s="69"/>
      <c r="U83" s="69"/>
      <c r="V83" s="69"/>
      <c r="W83" s="69"/>
      <c r="X83" s="297"/>
      <c r="Y83" s="257"/>
      <c r="Z83" s="255"/>
      <c r="AA83" s="257"/>
      <c r="AB83" s="255"/>
      <c r="AC83" s="298"/>
      <c r="AD83" s="298"/>
      <c r="AE83" s="252"/>
      <c r="AF83" s="298"/>
      <c r="AG83" s="252"/>
      <c r="AH83" s="298"/>
      <c r="AI83" s="258"/>
      <c r="AJ83" s="298"/>
      <c r="AK83" s="252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299"/>
      <c r="AW83" s="69"/>
      <c r="AX83" s="69"/>
      <c r="AY83" s="259"/>
      <c r="AZ83" s="33"/>
      <c r="BA83" s="44"/>
      <c r="BB83" s="74"/>
      <c r="BC83" s="34"/>
      <c r="BD83" s="28"/>
    </row>
    <row r="84" spans="1:60" ht="14.15" customHeight="1">
      <c r="A84" s="22"/>
      <c r="B84" s="186">
        <v>35</v>
      </c>
      <c r="C84" s="309"/>
      <c r="D84" s="310"/>
      <c r="E84" s="63"/>
      <c r="F84" s="63"/>
      <c r="G84" s="63"/>
      <c r="H84" s="63"/>
      <c r="I84" s="63"/>
      <c r="J84" s="729"/>
      <c r="K84" s="729"/>
      <c r="L84" s="729"/>
      <c r="M84" s="729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  <c r="AM84" s="63"/>
      <c r="AN84" s="63"/>
      <c r="AO84" s="63"/>
      <c r="AP84" s="63"/>
      <c r="AQ84" s="63"/>
      <c r="AR84" s="63"/>
      <c r="AS84" s="63"/>
      <c r="AT84" s="113"/>
      <c r="AU84" s="63"/>
      <c r="AV84" s="63"/>
      <c r="AW84" s="63"/>
      <c r="AX84" s="63"/>
      <c r="AY84" s="63"/>
      <c r="AZ84" s="33"/>
      <c r="BA84" s="44"/>
      <c r="BB84" s="313"/>
      <c r="BC84" s="314"/>
      <c r="BD84" s="28"/>
      <c r="BG84" s="24"/>
      <c r="BH84" s="28"/>
    </row>
    <row r="85" spans="1:60" ht="14.15" customHeight="1">
      <c r="A85" s="22"/>
      <c r="B85" s="186">
        <v>35</v>
      </c>
      <c r="C85" s="320" t="s">
        <v>131</v>
      </c>
      <c r="D85" s="310"/>
      <c r="E85" s="63"/>
      <c r="F85" s="63"/>
      <c r="G85" s="63"/>
      <c r="H85" s="63"/>
      <c r="I85" s="63"/>
      <c r="J85" s="729"/>
      <c r="K85" s="729"/>
      <c r="L85" s="729"/>
      <c r="M85" s="729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3"/>
      <c r="AP85" s="63"/>
      <c r="AQ85" s="63"/>
      <c r="AR85" s="63"/>
      <c r="AS85" s="63"/>
      <c r="AT85" s="113"/>
      <c r="AU85" s="63"/>
      <c r="AV85" s="63"/>
      <c r="AW85" s="63"/>
      <c r="AX85" s="63"/>
      <c r="AY85" s="63"/>
      <c r="AZ85" s="33"/>
      <c r="BA85" s="44"/>
      <c r="BB85" s="313"/>
      <c r="BC85" s="314"/>
      <c r="BD85" s="28"/>
      <c r="BG85" s="24"/>
      <c r="BH85" s="28"/>
    </row>
    <row r="86" spans="1:60" ht="14.15" customHeight="1">
      <c r="A86" s="22"/>
      <c r="B86" s="186">
        <v>35</v>
      </c>
      <c r="C86" s="309"/>
      <c r="D86" s="353" t="s">
        <v>132</v>
      </c>
      <c r="E86" s="63"/>
      <c r="F86" s="63"/>
      <c r="G86" s="63"/>
      <c r="H86" s="63"/>
      <c r="I86" s="63"/>
      <c r="J86" s="352"/>
      <c r="K86" s="352"/>
      <c r="L86" s="352"/>
      <c r="M86" s="352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  <c r="AM86" s="63"/>
      <c r="AN86" s="63"/>
      <c r="AO86" s="63"/>
      <c r="AP86" s="63"/>
      <c r="AQ86" s="63"/>
      <c r="AR86" s="63"/>
      <c r="AS86" s="63"/>
      <c r="AT86" s="113"/>
      <c r="AU86" s="63"/>
      <c r="AV86" s="63"/>
      <c r="AW86" s="63"/>
      <c r="AX86" s="63"/>
      <c r="AY86" s="63"/>
      <c r="AZ86" s="33"/>
      <c r="BA86" s="44"/>
      <c r="BB86" s="313"/>
      <c r="BC86" s="314"/>
      <c r="BD86" s="28"/>
      <c r="BG86" s="24"/>
      <c r="BH86" s="28"/>
    </row>
    <row r="87" spans="1:60" ht="14.15" customHeight="1">
      <c r="A87" s="22"/>
      <c r="B87" s="186">
        <v>35</v>
      </c>
      <c r="C87" s="309"/>
      <c r="D87" s="310"/>
      <c r="E87" s="63"/>
      <c r="F87" s="63"/>
      <c r="G87" s="63"/>
      <c r="H87" s="63"/>
      <c r="I87" s="63"/>
      <c r="J87" s="733"/>
      <c r="K87" s="733"/>
      <c r="L87" s="733"/>
      <c r="M87" s="73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3"/>
      <c r="AP87" s="63"/>
      <c r="AQ87" s="63"/>
      <c r="AR87" s="63"/>
      <c r="AS87" s="63"/>
      <c r="AT87" s="113"/>
      <c r="AU87" s="63"/>
      <c r="AV87" s="63"/>
      <c r="AW87" s="63"/>
      <c r="AX87" s="63"/>
      <c r="AY87" s="63"/>
      <c r="AZ87" s="33"/>
      <c r="BA87" s="44"/>
      <c r="BB87" s="313"/>
      <c r="BC87" s="314"/>
      <c r="BD87" s="28"/>
      <c r="BG87" s="24"/>
      <c r="BH87" s="28"/>
    </row>
    <row r="88" spans="1:60" ht="5.15" customHeight="1">
      <c r="A88" s="22"/>
      <c r="B88" s="186"/>
      <c r="C88" s="277"/>
      <c r="D88" s="68"/>
      <c r="E88" s="68"/>
      <c r="F88" s="68"/>
      <c r="G88" s="68"/>
      <c r="H88" s="278"/>
      <c r="I88" s="260"/>
      <c r="J88" s="261"/>
      <c r="K88" s="260"/>
      <c r="L88" s="261"/>
      <c r="M88" s="279"/>
      <c r="N88" s="279"/>
      <c r="O88" s="245"/>
      <c r="P88" s="279"/>
      <c r="Q88" s="245"/>
      <c r="R88" s="279"/>
      <c r="S88" s="68"/>
      <c r="T88" s="68"/>
      <c r="U88" s="68"/>
      <c r="V88" s="68"/>
      <c r="W88" s="68"/>
      <c r="X88" s="278"/>
      <c r="Y88" s="260"/>
      <c r="Z88" s="261"/>
      <c r="AA88" s="260"/>
      <c r="AB88" s="261"/>
      <c r="AC88" s="279"/>
      <c r="AD88" s="279"/>
      <c r="AE88" s="245"/>
      <c r="AF88" s="279"/>
      <c r="AG88" s="245"/>
      <c r="AH88" s="279"/>
      <c r="AI88" s="262"/>
      <c r="AJ88" s="279"/>
      <c r="AK88" s="245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281"/>
      <c r="AW88" s="68"/>
      <c r="AX88" s="68"/>
      <c r="AY88" s="247"/>
      <c r="AZ88" s="33"/>
      <c r="BA88" s="44"/>
      <c r="BB88" s="74"/>
      <c r="BC88" s="34"/>
      <c r="BD88" s="28"/>
    </row>
    <row r="89" spans="1:60" ht="14.15" customHeight="1">
      <c r="A89" s="23"/>
      <c r="B89" s="325"/>
      <c r="C89" s="264"/>
      <c r="D89" s="28" t="s">
        <v>125</v>
      </c>
      <c r="E89" s="28"/>
      <c r="F89" s="28"/>
      <c r="G89" s="28"/>
      <c r="H89" s="344" t="s">
        <v>129</v>
      </c>
      <c r="I89" s="240"/>
      <c r="J89" s="241"/>
      <c r="K89" s="241"/>
      <c r="L89" s="241"/>
      <c r="M89" s="242"/>
      <c r="N89" s="241"/>
      <c r="O89" s="101"/>
      <c r="P89" s="244" t="s">
        <v>32</v>
      </c>
      <c r="Q89" s="25"/>
      <c r="R89" s="345" t="s">
        <v>130</v>
      </c>
      <c r="S89" s="346"/>
      <c r="T89" s="347"/>
      <c r="U89" s="347"/>
      <c r="V89" s="358"/>
      <c r="W89" s="348"/>
      <c r="X89" s="347"/>
      <c r="Y89" s="349"/>
      <c r="Z89" s="350"/>
      <c r="AB89" s="345" t="s">
        <v>166</v>
      </c>
      <c r="AC89" s="346"/>
      <c r="AD89" s="347"/>
      <c r="AE89" s="347"/>
      <c r="AF89" s="347"/>
      <c r="AG89" s="348"/>
      <c r="AH89" s="347"/>
      <c r="AI89" s="349"/>
      <c r="AJ89" s="348"/>
      <c r="AK89" s="354"/>
      <c r="AL89" s="354"/>
      <c r="AM89" s="349"/>
      <c r="AN89" s="349"/>
      <c r="AO89" s="347"/>
      <c r="AP89" s="355"/>
      <c r="AQ89" s="347"/>
      <c r="AR89" s="347"/>
      <c r="AS89" s="347"/>
      <c r="AT89" s="347"/>
      <c r="AU89" s="356"/>
      <c r="AV89" s="349"/>
      <c r="AW89" s="349"/>
      <c r="AX89" s="357"/>
      <c r="AY89" s="321"/>
      <c r="AZ89" s="33"/>
      <c r="BA89" s="44"/>
      <c r="BB89" s="74"/>
      <c r="BC89" s="34"/>
      <c r="BD89" s="28"/>
      <c r="BG89" s="35"/>
    </row>
    <row r="90" spans="1:60" ht="14.15" customHeight="1">
      <c r="A90" s="23"/>
      <c r="B90" s="325"/>
      <c r="C90" s="264"/>
      <c r="D90" s="28"/>
      <c r="E90" s="28"/>
      <c r="F90" s="28"/>
      <c r="G90" s="28"/>
      <c r="H90" s="345" t="s">
        <v>50</v>
      </c>
      <c r="I90" s="346"/>
      <c r="J90" s="347"/>
      <c r="K90" s="347"/>
      <c r="L90" s="347"/>
      <c r="M90" s="348"/>
      <c r="N90" s="347"/>
      <c r="O90" s="349"/>
      <c r="P90" s="348"/>
      <c r="Q90" s="354"/>
      <c r="R90" s="354"/>
      <c r="S90" s="349"/>
      <c r="T90" s="349"/>
      <c r="U90" s="347"/>
      <c r="V90" s="355"/>
      <c r="W90" s="347"/>
      <c r="X90" s="347"/>
      <c r="Y90" s="347"/>
      <c r="Z90" s="347"/>
      <c r="AA90" s="356"/>
      <c r="AB90" s="349"/>
      <c r="AC90" s="349"/>
      <c r="AD90" s="354"/>
      <c r="AE90" s="347"/>
      <c r="AF90" s="347"/>
      <c r="AG90" s="348"/>
      <c r="AH90" s="347"/>
      <c r="AI90" s="349"/>
      <c r="AJ90" s="348"/>
      <c r="AK90" s="354"/>
      <c r="AL90" s="354"/>
      <c r="AM90" s="349"/>
      <c r="AN90" s="349"/>
      <c r="AO90" s="347"/>
      <c r="AP90" s="355"/>
      <c r="AQ90" s="347"/>
      <c r="AR90" s="347"/>
      <c r="AS90" s="347"/>
      <c r="AT90" s="347"/>
      <c r="AU90" s="356"/>
      <c r="AV90" s="349"/>
      <c r="AW90" s="349"/>
      <c r="AX90" s="357"/>
      <c r="AY90" s="321"/>
      <c r="AZ90" s="33"/>
      <c r="BA90" s="44"/>
      <c r="BB90" s="74"/>
      <c r="BC90" s="34"/>
      <c r="BD90" s="28"/>
      <c r="BG90" s="35"/>
    </row>
    <row r="91" spans="1:60" ht="5.15" customHeight="1">
      <c r="A91" s="22"/>
      <c r="B91" s="186"/>
      <c r="C91" s="296"/>
      <c r="D91" s="69"/>
      <c r="E91" s="69"/>
      <c r="F91" s="69"/>
      <c r="G91" s="69"/>
      <c r="H91" s="297"/>
      <c r="I91" s="257"/>
      <c r="J91" s="255"/>
      <c r="K91" s="257"/>
      <c r="L91" s="255"/>
      <c r="M91" s="298"/>
      <c r="N91" s="298"/>
      <c r="O91" s="252"/>
      <c r="P91" s="298"/>
      <c r="Q91" s="252"/>
      <c r="R91" s="298"/>
      <c r="S91" s="69"/>
      <c r="T91" s="69"/>
      <c r="U91" s="69"/>
      <c r="V91" s="69"/>
      <c r="W91" s="69"/>
      <c r="X91" s="297"/>
      <c r="Y91" s="257"/>
      <c r="Z91" s="255"/>
      <c r="AA91" s="257"/>
      <c r="AB91" s="255"/>
      <c r="AC91" s="298"/>
      <c r="AD91" s="298"/>
      <c r="AE91" s="252"/>
      <c r="AF91" s="298"/>
      <c r="AG91" s="252"/>
      <c r="AH91" s="298"/>
      <c r="AI91" s="258"/>
      <c r="AJ91" s="298"/>
      <c r="AK91" s="252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299"/>
      <c r="AW91" s="69"/>
      <c r="AX91" s="69"/>
      <c r="AY91" s="259"/>
      <c r="AZ91" s="33"/>
      <c r="BA91" s="44"/>
      <c r="BB91" s="74"/>
      <c r="BC91" s="34"/>
      <c r="BD91" s="28"/>
    </row>
    <row r="92" spans="1:60" ht="5.15" customHeight="1">
      <c r="A92" s="22"/>
      <c r="B92" s="186"/>
      <c r="C92" s="351"/>
      <c r="D92" s="68"/>
      <c r="E92" s="68"/>
      <c r="F92" s="68"/>
      <c r="G92" s="68"/>
      <c r="H92" s="278"/>
      <c r="I92" s="260"/>
      <c r="J92" s="261"/>
      <c r="K92" s="260"/>
      <c r="L92" s="261"/>
      <c r="M92" s="279"/>
      <c r="N92" s="279"/>
      <c r="O92" s="245"/>
      <c r="P92" s="279"/>
      <c r="Q92" s="245"/>
      <c r="R92" s="279"/>
      <c r="S92" s="68"/>
      <c r="T92" s="68"/>
      <c r="U92" s="68"/>
      <c r="V92" s="68"/>
      <c r="W92" s="68"/>
      <c r="X92" s="278"/>
      <c r="Y92" s="260"/>
      <c r="Z92" s="261"/>
      <c r="AA92" s="260"/>
      <c r="AB92" s="261"/>
      <c r="AC92" s="279"/>
      <c r="AD92" s="279"/>
      <c r="AE92" s="245"/>
      <c r="AF92" s="279"/>
      <c r="AG92" s="245"/>
      <c r="AH92" s="279"/>
      <c r="AI92" s="262"/>
      <c r="AJ92" s="279"/>
      <c r="AK92" s="245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281"/>
      <c r="AW92" s="68"/>
      <c r="AX92" s="68"/>
      <c r="AY92" s="246"/>
      <c r="AZ92" s="33"/>
      <c r="BA92" s="44"/>
      <c r="BB92" s="74"/>
      <c r="BC92" s="34"/>
      <c r="BD92" s="28"/>
    </row>
    <row r="93" spans="1:60" ht="14.15" customHeight="1">
      <c r="A93" s="22"/>
      <c r="B93" s="186">
        <v>35</v>
      </c>
      <c r="C93" s="60" t="s">
        <v>128</v>
      </c>
      <c r="D93" s="310"/>
      <c r="E93" s="63"/>
      <c r="F93" s="63"/>
      <c r="G93" s="63"/>
      <c r="H93" s="63"/>
      <c r="I93" s="63"/>
      <c r="J93" s="729"/>
      <c r="K93" s="729"/>
      <c r="L93" s="729"/>
      <c r="M93" s="729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  <c r="AN93" s="63"/>
      <c r="AO93" s="63"/>
      <c r="AP93" s="63"/>
      <c r="AQ93" s="63"/>
      <c r="AR93" s="63"/>
      <c r="AS93" s="63"/>
      <c r="AT93" s="113"/>
      <c r="AU93" s="63"/>
      <c r="AV93" s="63"/>
      <c r="AW93" s="63"/>
      <c r="AX93" s="63"/>
      <c r="AY93" s="63"/>
      <c r="AZ93" s="33"/>
      <c r="BA93" s="44"/>
      <c r="BB93" s="313"/>
      <c r="BC93" s="314"/>
      <c r="BD93" s="28"/>
      <c r="BG93" s="24"/>
      <c r="BH93" s="28"/>
    </row>
    <row r="94" spans="1:60" ht="5.15" customHeight="1">
      <c r="A94" s="22"/>
      <c r="B94" s="186"/>
      <c r="C94" s="277"/>
      <c r="D94" s="68"/>
      <c r="E94" s="68"/>
      <c r="F94" s="68"/>
      <c r="G94" s="68"/>
      <c r="H94" s="278"/>
      <c r="I94" s="260"/>
      <c r="J94" s="261"/>
      <c r="K94" s="260"/>
      <c r="L94" s="261"/>
      <c r="M94" s="279"/>
      <c r="N94" s="279"/>
      <c r="O94" s="245"/>
      <c r="P94" s="279"/>
      <c r="Q94" s="245"/>
      <c r="R94" s="279"/>
      <c r="S94" s="68"/>
      <c r="T94" s="68"/>
      <c r="U94" s="68"/>
      <c r="V94" s="68"/>
      <c r="W94" s="68"/>
      <c r="X94" s="278"/>
      <c r="Y94" s="260"/>
      <c r="Z94" s="261"/>
      <c r="AA94" s="260"/>
      <c r="AB94" s="261"/>
      <c r="AC94" s="279"/>
      <c r="AD94" s="279"/>
      <c r="AE94" s="245"/>
      <c r="AF94" s="279"/>
      <c r="AG94" s="245"/>
      <c r="AH94" s="279"/>
      <c r="AI94" s="262"/>
      <c r="AJ94" s="279"/>
      <c r="AK94" s="245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281"/>
      <c r="AW94" s="68"/>
      <c r="AX94" s="68"/>
      <c r="AY94" s="247"/>
      <c r="AZ94" s="33"/>
      <c r="BA94" s="44"/>
      <c r="BB94" s="74"/>
      <c r="BC94" s="34"/>
      <c r="BD94" s="28"/>
    </row>
    <row r="95" spans="1:60" ht="14.15" customHeight="1">
      <c r="A95" s="23"/>
      <c r="B95" s="325"/>
      <c r="C95" s="264"/>
      <c r="D95" s="28" t="s">
        <v>125</v>
      </c>
      <c r="E95" s="28"/>
      <c r="F95" s="28"/>
      <c r="G95" s="28"/>
      <c r="H95" s="344" t="s">
        <v>126</v>
      </c>
      <c r="I95" s="240"/>
      <c r="J95" s="241"/>
      <c r="K95" s="241"/>
      <c r="L95" s="241"/>
      <c r="M95" s="242"/>
      <c r="N95" s="241"/>
      <c r="O95" s="101"/>
      <c r="P95" s="244" t="s">
        <v>32</v>
      </c>
      <c r="Q95" s="25"/>
      <c r="R95" s="345" t="s">
        <v>127</v>
      </c>
      <c r="S95" s="346"/>
      <c r="T95" s="347"/>
      <c r="U95" s="347"/>
      <c r="V95" s="358"/>
      <c r="W95" s="359" t="s">
        <v>138</v>
      </c>
      <c r="X95" s="347"/>
      <c r="Y95" s="349"/>
      <c r="Z95" s="350"/>
      <c r="AB95" s="382" t="s">
        <v>167</v>
      </c>
      <c r="AC95" s="383"/>
      <c r="AD95" s="384"/>
      <c r="AE95" s="384"/>
      <c r="AF95" s="384"/>
      <c r="AG95" s="385"/>
      <c r="AH95" s="384"/>
      <c r="AI95" s="386"/>
      <c r="AJ95" s="385"/>
      <c r="AK95" s="59"/>
      <c r="AL95" s="59"/>
      <c r="AM95" s="386"/>
      <c r="AN95" s="386"/>
      <c r="AO95" s="384"/>
      <c r="AP95" s="387"/>
      <c r="AQ95" s="384"/>
      <c r="AR95" s="384"/>
      <c r="AS95" s="384"/>
      <c r="AT95" s="384"/>
      <c r="AU95" s="388"/>
      <c r="AV95" s="386"/>
      <c r="AW95" s="386"/>
      <c r="AX95" s="67"/>
      <c r="AY95" s="321"/>
      <c r="AZ95" s="33"/>
      <c r="BA95" s="44"/>
      <c r="BB95" s="74"/>
      <c r="BC95" s="34"/>
      <c r="BD95" s="28"/>
      <c r="BG95" s="35"/>
    </row>
    <row r="96" spans="1:60" ht="14.15" customHeight="1">
      <c r="A96" s="23"/>
      <c r="B96" s="325"/>
      <c r="C96" s="264"/>
      <c r="D96" s="28"/>
      <c r="E96" s="28"/>
      <c r="F96" s="28"/>
      <c r="G96" s="28"/>
      <c r="H96" s="345" t="s">
        <v>137</v>
      </c>
      <c r="I96" s="346"/>
      <c r="J96" s="347"/>
      <c r="K96" s="347"/>
      <c r="L96" s="347"/>
      <c r="M96" s="348"/>
      <c r="N96" s="347"/>
      <c r="O96" s="349"/>
      <c r="P96" s="348"/>
      <c r="Q96" s="354"/>
      <c r="R96" s="354"/>
      <c r="S96" s="349"/>
      <c r="T96" s="349"/>
      <c r="U96" s="347"/>
      <c r="V96" s="355"/>
      <c r="W96" s="347"/>
      <c r="X96" s="347"/>
      <c r="Y96" s="347"/>
      <c r="Z96" s="347"/>
      <c r="AA96" s="356"/>
      <c r="AB96" s="349"/>
      <c r="AC96" s="349"/>
      <c r="AD96" s="354"/>
      <c r="AE96" s="347"/>
      <c r="AF96" s="347"/>
      <c r="AG96" s="348"/>
      <c r="AH96" s="347"/>
      <c r="AI96" s="349"/>
      <c r="AJ96" s="348"/>
      <c r="AK96" s="354"/>
      <c r="AL96" s="354"/>
      <c r="AM96" s="349"/>
      <c r="AN96" s="349"/>
      <c r="AO96" s="347"/>
      <c r="AP96" s="355"/>
      <c r="AQ96" s="347"/>
      <c r="AR96" s="347"/>
      <c r="AS96" s="347"/>
      <c r="AT96" s="347"/>
      <c r="AU96" s="356"/>
      <c r="AV96" s="349"/>
      <c r="AW96" s="349"/>
      <c r="AX96" s="357"/>
      <c r="AY96" s="321"/>
      <c r="AZ96" s="33"/>
      <c r="BA96" s="44"/>
      <c r="BB96" s="74"/>
      <c r="BC96" s="34"/>
      <c r="BD96" s="28"/>
      <c r="BG96" s="35"/>
    </row>
    <row r="97" spans="1:60" ht="5.15" customHeight="1">
      <c r="A97" s="22"/>
      <c r="B97" s="186"/>
      <c r="C97" s="296"/>
      <c r="D97" s="69"/>
      <c r="E97" s="69"/>
      <c r="F97" s="69"/>
      <c r="G97" s="69"/>
      <c r="H97" s="297"/>
      <c r="I97" s="257"/>
      <c r="J97" s="255"/>
      <c r="K97" s="257"/>
      <c r="L97" s="255"/>
      <c r="M97" s="298"/>
      <c r="N97" s="298"/>
      <c r="O97" s="252"/>
      <c r="P97" s="298"/>
      <c r="Q97" s="252"/>
      <c r="R97" s="298"/>
      <c r="S97" s="69"/>
      <c r="T97" s="69"/>
      <c r="U97" s="69"/>
      <c r="V97" s="69"/>
      <c r="W97" s="69"/>
      <c r="X97" s="297"/>
      <c r="Y97" s="257"/>
      <c r="Z97" s="255"/>
      <c r="AA97" s="257"/>
      <c r="AB97" s="255"/>
      <c r="AC97" s="298"/>
      <c r="AD97" s="298"/>
      <c r="AE97" s="252"/>
      <c r="AF97" s="298"/>
      <c r="AG97" s="252"/>
      <c r="AH97" s="298"/>
      <c r="AI97" s="258"/>
      <c r="AJ97" s="298"/>
      <c r="AK97" s="252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299"/>
      <c r="AW97" s="69"/>
      <c r="AX97" s="69"/>
      <c r="AY97" s="259"/>
      <c r="AZ97" s="33"/>
      <c r="BA97" s="44"/>
      <c r="BB97" s="74"/>
      <c r="BC97" s="34"/>
      <c r="BD97" s="28"/>
    </row>
    <row r="98" spans="1:60" ht="5.15" customHeight="1">
      <c r="A98" s="22"/>
      <c r="B98" s="186"/>
      <c r="C98" s="351"/>
      <c r="D98" s="68"/>
      <c r="E98" s="68"/>
      <c r="F98" s="68"/>
      <c r="G98" s="68"/>
      <c r="H98" s="278"/>
      <c r="I98" s="260"/>
      <c r="J98" s="261"/>
      <c r="K98" s="260"/>
      <c r="L98" s="261"/>
      <c r="M98" s="279"/>
      <c r="N98" s="279"/>
      <c r="O98" s="245"/>
      <c r="P98" s="279"/>
      <c r="Q98" s="245"/>
      <c r="R98" s="279"/>
      <c r="S98" s="68"/>
      <c r="T98" s="68"/>
      <c r="U98" s="68"/>
      <c r="V98" s="68"/>
      <c r="W98" s="68"/>
      <c r="X98" s="278"/>
      <c r="Y98" s="260"/>
      <c r="Z98" s="261"/>
      <c r="AA98" s="260"/>
      <c r="AB98" s="261"/>
      <c r="AC98" s="279"/>
      <c r="AD98" s="279"/>
      <c r="AE98" s="245"/>
      <c r="AF98" s="279"/>
      <c r="AG98" s="245"/>
      <c r="AH98" s="279"/>
      <c r="AI98" s="262"/>
      <c r="AJ98" s="279"/>
      <c r="AK98" s="245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281"/>
      <c r="AW98" s="68"/>
      <c r="AX98" s="68"/>
      <c r="AY98" s="246"/>
      <c r="AZ98" s="33"/>
      <c r="BA98" s="44"/>
      <c r="BB98" s="74"/>
      <c r="BC98" s="34"/>
      <c r="BD98" s="28"/>
    </row>
    <row r="99" spans="1:60" ht="14.15" customHeight="1">
      <c r="A99" s="22"/>
      <c r="B99" s="186">
        <v>35</v>
      </c>
      <c r="C99" s="60" t="s">
        <v>128</v>
      </c>
      <c r="D99" s="310"/>
      <c r="E99" s="63"/>
      <c r="F99" s="63"/>
      <c r="G99" s="63"/>
      <c r="H99" s="63"/>
      <c r="I99" s="63"/>
      <c r="J99" s="352"/>
      <c r="K99" s="352"/>
      <c r="L99" s="352"/>
      <c r="M99" s="352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3"/>
      <c r="AP99" s="63"/>
      <c r="AQ99" s="63"/>
      <c r="AR99" s="63"/>
      <c r="AS99" s="63"/>
      <c r="AT99" s="113"/>
      <c r="AU99" s="63"/>
      <c r="AV99" s="63"/>
      <c r="AW99" s="63"/>
      <c r="AX99" s="63"/>
      <c r="AY99" s="63"/>
      <c r="AZ99" s="33"/>
      <c r="BA99" s="44"/>
      <c r="BB99" s="313"/>
      <c r="BC99" s="314"/>
      <c r="BD99" s="28"/>
      <c r="BG99" s="24"/>
      <c r="BH99" s="28"/>
    </row>
    <row r="100" spans="1:60" ht="14.15" customHeight="1">
      <c r="A100" s="22"/>
      <c r="B100" s="186">
        <v>35</v>
      </c>
      <c r="C100" s="309"/>
      <c r="D100" s="310"/>
      <c r="E100" s="63"/>
      <c r="F100" s="63"/>
      <c r="G100" s="63"/>
      <c r="H100" s="63"/>
      <c r="I100" s="63"/>
      <c r="J100" s="352"/>
      <c r="K100" s="352"/>
      <c r="L100" s="352"/>
      <c r="M100" s="352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  <c r="AM100" s="63"/>
      <c r="AN100" s="63"/>
      <c r="AO100" s="63"/>
      <c r="AP100" s="63"/>
      <c r="AQ100" s="63"/>
      <c r="AR100" s="63"/>
      <c r="AS100" s="63"/>
      <c r="AT100" s="113"/>
      <c r="AU100" s="63"/>
      <c r="AV100" s="63"/>
      <c r="AW100" s="63"/>
      <c r="AX100" s="63"/>
      <c r="AY100" s="63"/>
      <c r="AZ100" s="33"/>
      <c r="BA100" s="44"/>
      <c r="BB100" s="313"/>
      <c r="BC100" s="314"/>
      <c r="BD100" s="28"/>
      <c r="BG100" s="24"/>
      <c r="BH100" s="28"/>
    </row>
    <row r="101" spans="1:60" ht="14.15" customHeight="1">
      <c r="A101" s="22"/>
      <c r="B101" s="186">
        <v>35</v>
      </c>
      <c r="C101" s="320" t="s">
        <v>133</v>
      </c>
      <c r="D101" s="310"/>
      <c r="E101" s="63"/>
      <c r="F101" s="63"/>
      <c r="G101" s="63"/>
      <c r="H101" s="63"/>
      <c r="I101" s="63"/>
      <c r="J101" s="729"/>
      <c r="K101" s="729"/>
      <c r="L101" s="729"/>
      <c r="M101" s="729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3"/>
      <c r="AP101" s="63"/>
      <c r="AQ101" s="63"/>
      <c r="AR101" s="63"/>
      <c r="AS101" s="63"/>
      <c r="AT101" s="113"/>
      <c r="AU101" s="63"/>
      <c r="AV101" s="63"/>
      <c r="AW101" s="63"/>
      <c r="AX101" s="63"/>
      <c r="AY101" s="63"/>
      <c r="AZ101" s="33"/>
      <c r="BA101" s="44"/>
      <c r="BB101" s="313"/>
      <c r="BC101" s="314"/>
      <c r="BD101" s="28"/>
      <c r="BG101" s="24"/>
      <c r="BH101" s="28"/>
    </row>
    <row r="102" spans="1:60" ht="5.15" customHeight="1">
      <c r="A102" s="22"/>
      <c r="B102" s="186"/>
      <c r="C102" s="277"/>
      <c r="D102" s="68"/>
      <c r="E102" s="68"/>
      <c r="F102" s="68"/>
      <c r="G102" s="68"/>
      <c r="H102" s="278"/>
      <c r="I102" s="260"/>
      <c r="J102" s="261"/>
      <c r="K102" s="260"/>
      <c r="L102" s="261"/>
      <c r="M102" s="279"/>
      <c r="N102" s="279"/>
      <c r="O102" s="245"/>
      <c r="P102" s="279"/>
      <c r="Q102" s="245"/>
      <c r="R102" s="279"/>
      <c r="S102" s="68"/>
      <c r="T102" s="68"/>
      <c r="U102" s="68"/>
      <c r="V102" s="68"/>
      <c r="W102" s="68"/>
      <c r="X102" s="278"/>
      <c r="Y102" s="260"/>
      <c r="Z102" s="261"/>
      <c r="AA102" s="260"/>
      <c r="AB102" s="261"/>
      <c r="AC102" s="279"/>
      <c r="AD102" s="279"/>
      <c r="AE102" s="245"/>
      <c r="AF102" s="279"/>
      <c r="AG102" s="245"/>
      <c r="AH102" s="279"/>
      <c r="AI102" s="262"/>
      <c r="AJ102" s="279"/>
      <c r="AK102" s="245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281"/>
      <c r="AW102" s="68"/>
      <c r="AX102" s="68"/>
      <c r="AY102" s="247"/>
      <c r="AZ102" s="33"/>
      <c r="BA102" s="44"/>
      <c r="BB102" s="313"/>
      <c r="BC102" s="314"/>
      <c r="BD102" s="28"/>
    </row>
    <row r="103" spans="1:60" ht="13.5" customHeight="1">
      <c r="A103" s="22"/>
      <c r="B103" s="43"/>
      <c r="C103" s="248"/>
      <c r="D103" s="28" t="s">
        <v>134</v>
      </c>
      <c r="E103" s="28"/>
      <c r="F103" s="28"/>
      <c r="G103" s="28"/>
      <c r="H103" s="24"/>
      <c r="I103" s="24"/>
      <c r="J103" s="24"/>
      <c r="K103" s="24"/>
      <c r="L103" s="24"/>
      <c r="M103" s="115"/>
      <c r="N103" s="71"/>
      <c r="O103" s="78"/>
      <c r="P103" s="78"/>
      <c r="Q103" s="79"/>
      <c r="R103" s="71"/>
      <c r="S103" s="71"/>
      <c r="T103" s="71"/>
      <c r="U103" s="78"/>
      <c r="V103" s="79"/>
      <c r="W103" s="71"/>
      <c r="X103" s="63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3"/>
      <c r="AY103" s="249"/>
      <c r="AZ103" s="33"/>
      <c r="BA103" s="44"/>
      <c r="BB103" s="313"/>
      <c r="BC103" s="314"/>
      <c r="BD103" s="28"/>
      <c r="BE103" s="35"/>
      <c r="BF103" s="35"/>
      <c r="BG103" s="35"/>
    </row>
    <row r="104" spans="1:60" ht="13.5" customHeight="1">
      <c r="A104" s="22"/>
      <c r="B104" s="43"/>
      <c r="C104" s="248"/>
      <c r="D104" s="28"/>
      <c r="E104" s="28"/>
      <c r="F104" s="28"/>
      <c r="G104" s="28"/>
      <c r="H104" s="322" t="s">
        <v>136</v>
      </c>
      <c r="I104" s="119"/>
      <c r="J104" s="119"/>
      <c r="K104" s="119"/>
      <c r="L104" s="120"/>
      <c r="M104" s="120"/>
      <c r="N104" s="97"/>
      <c r="O104" s="121"/>
      <c r="P104" s="122"/>
      <c r="Q104" s="121" t="s">
        <v>135</v>
      </c>
      <c r="R104" s="122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  <c r="AH104" s="98"/>
      <c r="AI104" s="98"/>
      <c r="AJ104" s="98"/>
      <c r="AK104" s="98"/>
      <c r="AL104" s="121" t="s">
        <v>41</v>
      </c>
      <c r="AM104" s="122"/>
      <c r="AN104" s="98"/>
      <c r="AO104" s="31"/>
      <c r="AP104" s="31"/>
      <c r="AQ104" s="31"/>
      <c r="AR104" s="31"/>
      <c r="AS104" s="31"/>
      <c r="AT104" s="31"/>
      <c r="AU104" s="31"/>
      <c r="AV104" s="31"/>
      <c r="AW104" s="31"/>
      <c r="AX104" s="63"/>
      <c r="AY104" s="249"/>
      <c r="AZ104" s="33"/>
      <c r="BA104" s="44"/>
      <c r="BB104" s="313"/>
      <c r="BC104" s="314"/>
      <c r="BD104" s="28"/>
      <c r="BE104" s="35"/>
      <c r="BF104" s="35"/>
      <c r="BG104" s="35"/>
    </row>
    <row r="105" spans="1:60" ht="13.5" customHeight="1">
      <c r="A105" s="22"/>
      <c r="B105" s="43"/>
      <c r="C105" s="248"/>
      <c r="D105" s="28"/>
      <c r="E105" s="28"/>
      <c r="F105" s="28"/>
      <c r="G105" s="28"/>
      <c r="H105" s="360" t="s">
        <v>139</v>
      </c>
      <c r="I105" s="125"/>
      <c r="J105" s="125"/>
      <c r="K105" s="125"/>
      <c r="L105" s="125"/>
      <c r="M105" s="125"/>
      <c r="N105" s="125"/>
      <c r="O105" s="324"/>
      <c r="P105" s="127"/>
      <c r="Q105" s="361" t="s">
        <v>50</v>
      </c>
      <c r="R105" s="127"/>
      <c r="S105" s="99"/>
      <c r="T105" s="99"/>
      <c r="U105" s="99"/>
      <c r="V105" s="140"/>
      <c r="W105" s="101"/>
      <c r="X105" s="101"/>
      <c r="Y105" s="140"/>
      <c r="Z105" s="140"/>
      <c r="AA105" s="101"/>
      <c r="AB105" s="101"/>
      <c r="AC105" s="37"/>
      <c r="AD105" s="37"/>
      <c r="AE105" s="37"/>
      <c r="AF105" s="37"/>
      <c r="AG105" s="37"/>
      <c r="AH105" s="37"/>
      <c r="AI105" s="37"/>
      <c r="AJ105" s="37"/>
      <c r="AK105" s="88"/>
      <c r="AL105" s="128"/>
      <c r="AM105" s="129"/>
      <c r="AN105" s="130"/>
      <c r="AO105" s="31"/>
      <c r="AP105" s="31"/>
      <c r="AQ105" s="31"/>
      <c r="AR105" s="31"/>
      <c r="AS105" s="31"/>
      <c r="AT105" s="31"/>
      <c r="AU105" s="31"/>
      <c r="AV105" s="31"/>
      <c r="AW105" s="31"/>
      <c r="AX105" s="63"/>
      <c r="AY105" s="249"/>
      <c r="AZ105" s="33"/>
      <c r="BA105" s="44"/>
      <c r="BB105" s="313"/>
      <c r="BC105" s="314"/>
      <c r="BD105" s="28"/>
      <c r="BE105" s="35"/>
      <c r="BF105" s="35"/>
      <c r="BG105" s="35"/>
    </row>
    <row r="106" spans="1:60" ht="13.5" customHeight="1">
      <c r="A106" s="22"/>
      <c r="B106" s="43"/>
      <c r="C106" s="248"/>
      <c r="D106" s="28"/>
      <c r="E106" s="28"/>
      <c r="F106" s="28"/>
      <c r="G106" s="28"/>
      <c r="H106" s="360" t="s">
        <v>140</v>
      </c>
      <c r="I106" s="125"/>
      <c r="J106" s="125"/>
      <c r="K106" s="125"/>
      <c r="L106" s="125"/>
      <c r="M106" s="125"/>
      <c r="N106" s="125"/>
      <c r="O106" s="324"/>
      <c r="P106" s="127"/>
      <c r="Q106" s="361" t="s">
        <v>50</v>
      </c>
      <c r="R106" s="127"/>
      <c r="S106" s="99"/>
      <c r="T106" s="99"/>
      <c r="U106" s="99"/>
      <c r="V106" s="140"/>
      <c r="W106" s="101"/>
      <c r="X106" s="101"/>
      <c r="Y106" s="140"/>
      <c r="Z106" s="140"/>
      <c r="AA106" s="101"/>
      <c r="AB106" s="101"/>
      <c r="AC106" s="37"/>
      <c r="AD106" s="37"/>
      <c r="AE106" s="37"/>
      <c r="AF106" s="37"/>
      <c r="AG106" s="37"/>
      <c r="AH106" s="37"/>
      <c r="AI106" s="37"/>
      <c r="AJ106" s="37"/>
      <c r="AK106" s="88"/>
      <c r="AL106" s="128"/>
      <c r="AM106" s="129"/>
      <c r="AN106" s="130"/>
      <c r="AO106" s="31"/>
      <c r="AP106" s="31"/>
      <c r="AQ106" s="31"/>
      <c r="AR106" s="31"/>
      <c r="AS106" s="31"/>
      <c r="AT106" s="31"/>
      <c r="AU106" s="31"/>
      <c r="AV106" s="31"/>
      <c r="AW106" s="31"/>
      <c r="AX106" s="63"/>
      <c r="AY106" s="249"/>
      <c r="AZ106" s="33"/>
      <c r="BA106" s="44"/>
      <c r="BB106" s="313"/>
      <c r="BC106" s="314"/>
      <c r="BD106" s="28"/>
      <c r="BE106" s="35"/>
      <c r="BF106" s="35"/>
      <c r="BG106" s="35"/>
    </row>
    <row r="107" spans="1:60" ht="13.5" customHeight="1">
      <c r="A107" s="22"/>
      <c r="B107" s="43"/>
      <c r="C107" s="248"/>
      <c r="D107" s="28"/>
      <c r="E107" s="28"/>
      <c r="F107" s="28"/>
      <c r="G107" s="28"/>
      <c r="H107" s="360" t="s">
        <v>141</v>
      </c>
      <c r="I107" s="125"/>
      <c r="J107" s="125"/>
      <c r="K107" s="125"/>
      <c r="L107" s="125"/>
      <c r="M107" s="125"/>
      <c r="N107" s="125"/>
      <c r="O107" s="324"/>
      <c r="P107" s="127"/>
      <c r="Q107" s="361" t="s">
        <v>50</v>
      </c>
      <c r="R107" s="127"/>
      <c r="S107" s="99"/>
      <c r="T107" s="99"/>
      <c r="U107" s="99"/>
      <c r="V107" s="140"/>
      <c r="W107" s="101"/>
      <c r="X107" s="101"/>
      <c r="Y107" s="140"/>
      <c r="Z107" s="140"/>
      <c r="AA107" s="101"/>
      <c r="AB107" s="101"/>
      <c r="AC107" s="37"/>
      <c r="AD107" s="37"/>
      <c r="AE107" s="37"/>
      <c r="AF107" s="37"/>
      <c r="AG107" s="37"/>
      <c r="AH107" s="37"/>
      <c r="AI107" s="37"/>
      <c r="AJ107" s="37"/>
      <c r="AK107" s="88"/>
      <c r="AL107" s="128"/>
      <c r="AM107" s="129"/>
      <c r="AN107" s="130"/>
      <c r="AO107" s="31"/>
      <c r="AP107" s="31"/>
      <c r="AQ107" s="31"/>
      <c r="AR107" s="31"/>
      <c r="AS107" s="31"/>
      <c r="AT107" s="31"/>
      <c r="AU107" s="31"/>
      <c r="AV107" s="31"/>
      <c r="AW107" s="31"/>
      <c r="AX107" s="63"/>
      <c r="AY107" s="249"/>
      <c r="AZ107" s="33"/>
      <c r="BA107" s="44"/>
      <c r="BB107" s="313"/>
      <c r="BC107" s="314"/>
      <c r="BD107" s="28"/>
      <c r="BE107" s="35"/>
      <c r="BF107" s="35"/>
      <c r="BG107" s="35"/>
    </row>
    <row r="108" spans="1:60" ht="5.15" customHeight="1">
      <c r="A108" s="22"/>
      <c r="B108" s="186"/>
      <c r="C108" s="296"/>
      <c r="D108" s="69"/>
      <c r="E108" s="69"/>
      <c r="F108" s="69"/>
      <c r="G108" s="69"/>
      <c r="H108" s="297"/>
      <c r="I108" s="257"/>
      <c r="J108" s="255"/>
      <c r="K108" s="257"/>
      <c r="L108" s="255"/>
      <c r="M108" s="298"/>
      <c r="N108" s="298"/>
      <c r="O108" s="252"/>
      <c r="P108" s="298"/>
      <c r="Q108" s="252"/>
      <c r="R108" s="298"/>
      <c r="S108" s="69"/>
      <c r="T108" s="69"/>
      <c r="U108" s="69"/>
      <c r="V108" s="69"/>
      <c r="W108" s="69"/>
      <c r="X108" s="297"/>
      <c r="Y108" s="257"/>
      <c r="Z108" s="255"/>
      <c r="AA108" s="257"/>
      <c r="AB108" s="255"/>
      <c r="AC108" s="298"/>
      <c r="AD108" s="298"/>
      <c r="AE108" s="252"/>
      <c r="AF108" s="298"/>
      <c r="AG108" s="252"/>
      <c r="AH108" s="298"/>
      <c r="AI108" s="258"/>
      <c r="AJ108" s="298"/>
      <c r="AK108" s="252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299"/>
      <c r="AW108" s="69"/>
      <c r="AX108" s="69"/>
      <c r="AY108" s="259"/>
      <c r="AZ108" s="33"/>
      <c r="BA108" s="44"/>
      <c r="BB108" s="313"/>
      <c r="BC108" s="314"/>
      <c r="BD108" s="28"/>
    </row>
    <row r="109" spans="1:60" ht="14.15" customHeight="1">
      <c r="A109" s="22"/>
      <c r="B109" s="186"/>
      <c r="C109" s="309"/>
      <c r="D109" s="310"/>
      <c r="E109" s="63"/>
      <c r="F109" s="63"/>
      <c r="G109" s="63"/>
      <c r="H109" s="63"/>
      <c r="I109" s="63"/>
      <c r="J109" s="328"/>
      <c r="K109" s="328"/>
      <c r="L109" s="328"/>
      <c r="M109" s="328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3"/>
      <c r="AP109" s="63"/>
      <c r="AQ109" s="63"/>
      <c r="AR109" s="63"/>
      <c r="AS109" s="63"/>
      <c r="AT109" s="113"/>
      <c r="AU109" s="63"/>
      <c r="AV109" s="63"/>
      <c r="AW109" s="63"/>
      <c r="AX109" s="63"/>
      <c r="AY109" s="63"/>
      <c r="AZ109" s="33"/>
      <c r="BA109" s="44"/>
      <c r="BB109" s="313"/>
      <c r="BC109" s="314"/>
      <c r="BD109" s="28"/>
      <c r="BG109" s="24"/>
      <c r="BH109" s="28"/>
    </row>
    <row r="110" spans="1:60" ht="13.5" customHeight="1">
      <c r="A110" s="22"/>
      <c r="B110" s="186">
        <v>36</v>
      </c>
      <c r="C110" s="309"/>
      <c r="D110" s="310"/>
      <c r="E110" s="63"/>
      <c r="F110" s="63"/>
      <c r="G110" s="63"/>
      <c r="H110" s="63"/>
      <c r="I110" s="63"/>
      <c r="J110" s="729"/>
      <c r="K110" s="729"/>
      <c r="L110" s="729"/>
      <c r="M110" s="729"/>
      <c r="N110" s="61"/>
      <c r="O110" s="63"/>
      <c r="P110" s="63"/>
      <c r="Q110" s="63"/>
      <c r="R110" s="28"/>
      <c r="S110" s="28"/>
      <c r="T110" s="31"/>
      <c r="U110" s="31"/>
      <c r="V110" s="31"/>
      <c r="W110" s="31"/>
      <c r="X110" s="31"/>
      <c r="Y110" s="42"/>
      <c r="Z110" s="31"/>
      <c r="AA110" s="28"/>
      <c r="AB110" s="42"/>
      <c r="AC110" s="31"/>
      <c r="AD110" s="28"/>
      <c r="AE110" s="42"/>
      <c r="AF110" s="28"/>
      <c r="AG110" s="106"/>
      <c r="AH110" s="39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33"/>
      <c r="BA110" s="44"/>
      <c r="BB110" s="313"/>
      <c r="BC110" s="314"/>
      <c r="BD110" s="28"/>
      <c r="BG110" s="24"/>
      <c r="BH110" s="28"/>
    </row>
    <row r="111" spans="1:60" ht="13.5" customHeight="1">
      <c r="A111" s="22"/>
      <c r="B111" s="186">
        <v>37</v>
      </c>
      <c r="C111" s="309"/>
      <c r="D111" s="310"/>
      <c r="E111" s="63"/>
      <c r="F111" s="63"/>
      <c r="G111" s="63"/>
      <c r="H111" s="63"/>
      <c r="I111" s="63"/>
      <c r="J111" s="729"/>
      <c r="K111" s="729"/>
      <c r="L111" s="729"/>
      <c r="M111" s="729"/>
      <c r="N111" s="177"/>
      <c r="O111" s="179"/>
      <c r="P111" s="177"/>
      <c r="Q111" s="178"/>
      <c r="R111" s="178"/>
      <c r="S111" s="178"/>
      <c r="T111" s="180"/>
      <c r="U111" s="180"/>
      <c r="V111" s="180"/>
      <c r="W111" s="180"/>
      <c r="X111" s="180"/>
      <c r="Y111" s="179"/>
      <c r="Z111" s="180"/>
      <c r="AA111" s="178"/>
      <c r="AB111" s="179"/>
      <c r="AC111" s="180"/>
      <c r="AD111" s="178"/>
      <c r="AE111" s="179"/>
      <c r="AF111" s="178"/>
      <c r="AG111" s="178"/>
      <c r="AH111" s="179"/>
      <c r="AI111" s="178"/>
      <c r="AJ111" s="178"/>
      <c r="AK111" s="181"/>
      <c r="AL111" s="178"/>
      <c r="AM111" s="178"/>
      <c r="AN111" s="178"/>
      <c r="AO111" s="178"/>
      <c r="AP111" s="178"/>
      <c r="AQ111" s="178"/>
      <c r="AR111" s="178"/>
      <c r="AS111" s="178"/>
      <c r="AT111" s="178"/>
      <c r="AU111" s="178"/>
      <c r="AV111" s="178"/>
      <c r="AW111" s="178"/>
      <c r="AX111" s="178"/>
      <c r="AY111" s="178"/>
      <c r="AZ111" s="33"/>
      <c r="BA111" s="44"/>
      <c r="BB111" s="313"/>
      <c r="BC111" s="314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76"/>
      <c r="T112" s="76"/>
      <c r="U112" s="76"/>
      <c r="V112" s="76"/>
      <c r="W112" s="28"/>
      <c r="X112" s="28"/>
      <c r="Y112" s="76"/>
      <c r="Z112" s="76"/>
      <c r="AA112" s="28"/>
      <c r="AB112" s="28"/>
      <c r="AC112" s="28"/>
      <c r="AD112" s="76"/>
      <c r="AE112" s="76"/>
      <c r="AF112" s="76"/>
      <c r="AG112" s="76"/>
      <c r="AH112" s="76"/>
      <c r="AI112" s="76"/>
      <c r="AJ112" s="76"/>
      <c r="AK112" s="76"/>
      <c r="AL112" s="76"/>
      <c r="AM112" s="76"/>
      <c r="AN112" s="76"/>
      <c r="AO112" s="76"/>
      <c r="AP112" s="76"/>
      <c r="AQ112" s="76"/>
      <c r="AR112" s="76"/>
      <c r="AS112" s="76"/>
      <c r="AT112" s="76"/>
      <c r="AU112" s="76"/>
      <c r="AV112" s="76"/>
      <c r="AW112" s="76"/>
      <c r="AX112" s="76"/>
      <c r="AY112" s="31"/>
      <c r="AZ112" s="33"/>
      <c r="BA112" s="44"/>
      <c r="BB112" s="313"/>
      <c r="BC112" s="314"/>
    </row>
    <row r="113" spans="1:55">
      <c r="A113" s="139"/>
      <c r="B113" s="87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40"/>
      <c r="T113" s="140"/>
      <c r="U113" s="140"/>
      <c r="V113" s="140"/>
      <c r="W113" s="101"/>
      <c r="X113" s="101"/>
      <c r="Y113" s="140"/>
      <c r="Z113" s="140"/>
      <c r="AA113" s="101"/>
      <c r="AB113" s="101"/>
      <c r="AC113" s="101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  <c r="AQ113" s="140"/>
      <c r="AR113" s="140"/>
      <c r="AS113" s="140"/>
      <c r="AT113" s="140"/>
      <c r="AU113" s="140"/>
      <c r="AV113" s="140"/>
      <c r="AW113" s="140"/>
      <c r="AX113" s="140"/>
      <c r="AY113" s="87"/>
      <c r="AZ113" s="87"/>
      <c r="BA113" s="141"/>
      <c r="BB113" s="329"/>
      <c r="BC113" s="330"/>
    </row>
  </sheetData>
  <mergeCells count="107"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5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7</vt:i4>
      </vt:variant>
    </vt:vector>
  </HeadingPairs>
  <TitlesOfParts>
    <vt:vector size="15" baseType="lpstr">
      <vt:lpstr>表紙</vt:lpstr>
      <vt:lpstr>変更来歴</vt:lpstr>
      <vt:lpstr>管理者申請ログ確認画面</vt:lpstr>
      <vt:lpstr>化学物質データ申請完了画面(仮)</vt:lpstr>
      <vt:lpstr>管理者申請ログ確認画面(仮)</vt:lpstr>
      <vt:lpstr>画面項目</vt:lpstr>
      <vt:lpstr>画面状態</vt:lpstr>
      <vt:lpstr>外貨(コリア原計)</vt:lpstr>
      <vt:lpstr>'化学物質データ申請完了画面(仮)'!Print_Area</vt:lpstr>
      <vt:lpstr>画面項目!Print_Area</vt:lpstr>
      <vt:lpstr>画面状態!Print_Area</vt:lpstr>
      <vt:lpstr>'外貨(コリア原計)'!Print_Area</vt:lpstr>
      <vt:lpstr>管理者申請ログ確認画面!Print_Area</vt:lpstr>
      <vt:lpstr>'管理者申請ログ確認画面(仮)'!Print_Area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2026-05-21T05:42:05Z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