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79D43DE4-9B02-4084-BCE9-028DFCD280C2}" xr6:coauthVersionLast="47" xr6:coauthVersionMax="47" xr10:uidLastSave="{00000000-0000-0000-0000-000000000000}"/>
  <bookViews>
    <workbookView xWindow="1080" yWindow="170" windowWidth="17150" windowHeight="10650" tabRatio="859" xr2:uid="{00000000-000D-0000-FFFF-FFFF00000000}"/>
  </bookViews>
  <sheets>
    <sheet name="表紙" sheetId="2" r:id="rId1"/>
    <sheet name="変更来歴" sheetId="3" r:id="rId2"/>
    <sheet name="化学物質データ申請完了画面" sheetId="73" r:id="rId3"/>
    <sheet name="化学物質データ申請完了画面(仮)" sheetId="67" state="hidden" r:id="rId4"/>
    <sheet name="画面項目" sheetId="71" r:id="rId5"/>
    <sheet name="外貨(コリア原計)" sheetId="66" state="hidden" r:id="rId6"/>
  </sheets>
  <definedNames>
    <definedName name="_2a1_" hidden="1">{"'Sheet1'!$A$3:$I$11"}</definedName>
    <definedName name="_a1" hidden="1">{"'Sheet1'!$A$3:$I$11"}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2">化学物質データ申請完了画面!$A$1:$BC$38</definedName>
    <definedName name="_xlnm.Print_Area" localSheetId="3">'化学物質データ申請完了画面(仮)'!$A$1:$BC$54</definedName>
    <definedName name="_xlnm.Print_Area" localSheetId="4">画面項目!$A$1:$BU$13</definedName>
    <definedName name="_xlnm.Print_Area" localSheetId="5">'外貨(コリア原計)'!$A$1:$BC$113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4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73" l="1"/>
  <c r="AA3" i="73"/>
  <c r="M3" i="73"/>
  <c r="A3" i="73"/>
  <c r="AZ2" i="73"/>
  <c r="M2" i="73"/>
  <c r="AV1" i="73"/>
  <c r="AN1" i="73"/>
  <c r="AA1" i="73"/>
  <c r="M1" i="73"/>
  <c r="AV2" i="73"/>
  <c r="AN2" i="73"/>
  <c r="AV3" i="73"/>
  <c r="A5" i="67" l="1"/>
  <c r="AA3" i="67"/>
  <c r="M3" i="67"/>
  <c r="A3" i="67"/>
  <c r="AZ2" i="67"/>
  <c r="M2" i="67"/>
  <c r="AV1" i="67"/>
  <c r="AN1" i="67"/>
  <c r="AA1" i="67"/>
  <c r="M1" i="67"/>
  <c r="BM58" i="66"/>
  <c r="AV2" i="67"/>
  <c r="AV3" i="67"/>
  <c r="AN2" i="67"/>
  <c r="BE64" i="66" l="1"/>
  <c r="AS64" i="66" l="1"/>
  <c r="D64" i="66"/>
  <c r="BA64" i="66" l="1"/>
  <c r="AB64" i="66"/>
  <c r="BM64" i="66" s="1"/>
  <c r="CB64" i="66"/>
  <c r="BU64" i="66"/>
  <c r="BQ64" i="66"/>
  <c r="BI64" i="66"/>
  <c r="AO64" i="66"/>
  <c r="AW64" i="66" s="1"/>
  <c r="AK64" i="66"/>
  <c r="AF64" i="66"/>
  <c r="X64" i="66"/>
  <c r="T64" i="66"/>
  <c r="J64" i="66"/>
  <c r="F64" i="66"/>
  <c r="BY64" i="66"/>
  <c r="A5" i="66"/>
  <c r="AA3" i="66"/>
  <c r="M3" i="66"/>
  <c r="A3" i="66"/>
  <c r="AZ2" i="66"/>
  <c r="M2" i="66"/>
  <c r="AV1" i="66"/>
  <c r="AN1" i="66"/>
  <c r="AA1" i="66"/>
  <c r="M1" i="66"/>
  <c r="AV2" i="66"/>
  <c r="AN2" i="66"/>
  <c r="AV3" i="66"/>
  <c r="AS71" i="66" l="1"/>
  <c r="AB71" i="66"/>
  <c r="X71" i="66"/>
  <c r="AF71" i="66" s="1"/>
  <c r="AK71" i="66" s="1"/>
  <c r="X67" i="66"/>
  <c r="AS67" i="66"/>
  <c r="AB67" i="66"/>
  <c r="AS68" i="66"/>
  <c r="AB68" i="66"/>
  <c r="X68" i="66"/>
  <c r="AS72" i="66"/>
  <c r="AB72" i="66"/>
  <c r="X72" i="66"/>
  <c r="AO67" i="66" l="1"/>
  <c r="AO71" i="66"/>
  <c r="AF67" i="66"/>
  <c r="AK67" i="66" s="1"/>
  <c r="AF72" i="66"/>
  <c r="AK72" i="66" s="1"/>
  <c r="AF68" i="66"/>
  <c r="AK68" i="66" s="1"/>
  <c r="AO68" i="66"/>
  <c r="AO72" i="66"/>
  <c r="AT1" i="3" l="1"/>
  <c r="AT3" i="3"/>
  <c r="B2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Q3" authorId="0" shapeId="0" xr:uid="{5C63FB74-964E-479F-8857-368A9E1106B6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B3" authorId="0" shapeId="0" xr:uid="{03D50B02-3337-4C35-B6CA-B8B15A55EB86}">
      <text>
        <r>
          <rPr>
            <sz val="9"/>
            <color indexed="8"/>
            <rFont val="ＭＳ Ｐゴシック"/>
            <family val="3"/>
            <charset val="128"/>
          </rPr>
          <t>タイプ名と修飾子名を記載すること
表示をカスタマイズする場合などは、備考に記載する</t>
        </r>
      </text>
    </comment>
    <comment ref="C4" authorId="0" shapeId="0" xr:uid="{C801FCEF-4677-471B-9D3B-1DF954253E25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6FE5BC03-738F-4CFB-B700-10FF2EEACC1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B16F0910-2B25-48B0-AC84-D0F450AB68A7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91BDABE1-D4AF-4D5B-B352-20254FB23C28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1" authorId="0" shapeId="0" xr:uid="{62CDB66E-96A3-4E83-9D95-D4E2C06B9625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V63" authorId="0" shapeId="0" xr:uid="{0DBD67A4-FF9E-46EB-B9C8-A2B692E652C6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26709B3-3714-4512-8EA6-BBCB3ABEB186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AA63994B-1D1B-48A9-954E-382465FEBBA7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L63" authorId="0" shapeId="0" xr:uid="{4847ED2C-045B-45EF-A3ED-4524C19E78DD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P63" authorId="0" shapeId="0" xr:uid="{0A221737-153F-4D5F-85C3-9D404C6E198A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BX63" authorId="0" shapeId="0" xr:uid="{73AFF1EF-3E0E-4720-98C8-71032E00FED5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6" authorId="0" shapeId="0" xr:uid="{430E6BB0-4127-4384-BC54-60CA61C14030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66" authorId="0" shapeId="0" xr:uid="{2FF6B129-4FE2-4056-9395-D341715CE75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6" authorId="0" shapeId="0" xr:uid="{124A21D9-B11E-440A-9251-38D6463B5ED4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66" authorId="0" shapeId="0" xr:uid="{39B1E842-0F08-4EE1-90A6-8A5B014B09D6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6" authorId="0" shapeId="0" xr:uid="{74834474-258D-4DD9-8E4D-73D629C279A5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66" authorId="0" shapeId="0" xr:uid="{9A6D075A-CB09-4104-B0B5-77393C6BC79C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  <comment ref="AA70" authorId="0" shapeId="0" xr:uid="{CC6D866E-EB37-46D4-8CC8-94D22DA66F2C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70" authorId="0" shapeId="0" xr:uid="{E3B1403C-EDD2-4F49-B602-4CF89721539C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0" authorId="0" shapeId="0" xr:uid="{B597D182-914B-4079-9012-10863EB9E722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70" authorId="0" shapeId="0" xr:uid="{8734A2E2-1436-4500-9F85-28ADB0147A2C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0" authorId="0" shapeId="0" xr:uid="{DCE142C0-1C1D-4045-9C53-756E41C9714D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70" authorId="0" shapeId="0" xr:uid="{D97FBD94-788C-4E96-8996-E4A87B5B2361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</commentList>
</comments>
</file>

<file path=xl/sharedStrings.xml><?xml version="1.0" encoding="utf-8"?>
<sst xmlns="http://schemas.openxmlformats.org/spreadsheetml/2006/main" count="425" uniqueCount="260">
  <si>
    <t>HRS殿</t>
    <rPh sb="3" eb="4">
      <t>ドノ</t>
    </rPh>
    <phoneticPr fontId="12"/>
  </si>
  <si>
    <t>作成</t>
    <rPh sb="0" eb="2">
      <t>サクセイ</t>
    </rPh>
    <phoneticPr fontId="12"/>
  </si>
  <si>
    <t>照査</t>
    <rPh sb="0" eb="2">
      <t>ショウサ</t>
    </rPh>
    <phoneticPr fontId="12"/>
  </si>
  <si>
    <t>承認</t>
    <rPh sb="0" eb="2">
      <t>ショウニン</t>
    </rPh>
    <phoneticPr fontId="12"/>
  </si>
  <si>
    <t>文書名：</t>
    <rPh sb="0" eb="2">
      <t>ブンショ</t>
    </rPh>
    <rPh sb="2" eb="3">
      <t>メイ</t>
    </rPh>
    <phoneticPr fontId="12"/>
  </si>
  <si>
    <t>顧客名</t>
    <rPh sb="0" eb="2">
      <t>コキャク</t>
    </rPh>
    <rPh sb="2" eb="3">
      <t>メイ</t>
    </rPh>
    <phoneticPr fontId="12"/>
  </si>
  <si>
    <t>ヒロセ電機株式会社</t>
    <rPh sb="3" eb="5">
      <t>デンキ</t>
    </rPh>
    <rPh sb="5" eb="7">
      <t>カブシキ</t>
    </rPh>
    <rPh sb="7" eb="9">
      <t>カイシャ</t>
    </rPh>
    <phoneticPr fontId="12"/>
  </si>
  <si>
    <t>システム</t>
    <phoneticPr fontId="12"/>
  </si>
  <si>
    <t>作成者</t>
    <rPh sb="0" eb="2">
      <t>サクセイ</t>
    </rPh>
    <rPh sb="2" eb="3">
      <t>シャ</t>
    </rPh>
    <phoneticPr fontId="12"/>
  </si>
  <si>
    <t>作成日</t>
    <rPh sb="0" eb="3">
      <t>サクセイビ</t>
    </rPh>
    <phoneticPr fontId="12"/>
  </si>
  <si>
    <t>書類番号</t>
    <rPh sb="0" eb="2">
      <t>ショルイ</t>
    </rPh>
    <rPh sb="2" eb="4">
      <t>バンゴウ</t>
    </rPh>
    <phoneticPr fontId="12"/>
  </si>
  <si>
    <t>プロジェクト</t>
    <phoneticPr fontId="12"/>
  </si>
  <si>
    <t>修正者</t>
    <rPh sb="0" eb="2">
      <t>シュウセイ</t>
    </rPh>
    <rPh sb="2" eb="3">
      <t>シャ</t>
    </rPh>
    <phoneticPr fontId="12"/>
  </si>
  <si>
    <t>修正日</t>
    <rPh sb="0" eb="2">
      <t>シュウセイ</t>
    </rPh>
    <rPh sb="2" eb="3">
      <t>ビ</t>
    </rPh>
    <phoneticPr fontId="12"/>
  </si>
  <si>
    <t>内容</t>
    <rPh sb="0" eb="2">
      <t>ナイヨウ</t>
    </rPh>
    <phoneticPr fontId="12"/>
  </si>
  <si>
    <t>Rev</t>
    <phoneticPr fontId="12"/>
  </si>
  <si>
    <t>intra-mart Accel Platform</t>
    <phoneticPr fontId="12"/>
  </si>
  <si>
    <t>変更内容</t>
    <rPh sb="0" eb="2">
      <t>ヘンコウ</t>
    </rPh>
    <rPh sb="2" eb="4">
      <t>ナイヨウ</t>
    </rPh>
    <phoneticPr fontId="11"/>
  </si>
  <si>
    <t>変更・追加箇所</t>
    <rPh sb="0" eb="2">
      <t>ヘンコウ</t>
    </rPh>
    <rPh sb="3" eb="5">
      <t>ツイカ</t>
    </rPh>
    <rPh sb="5" eb="7">
      <t>カショ</t>
    </rPh>
    <phoneticPr fontId="11"/>
  </si>
  <si>
    <t>提出日</t>
    <rPh sb="0" eb="2">
      <t>テイシュツ</t>
    </rPh>
    <rPh sb="2" eb="3">
      <t>ビ</t>
    </rPh>
    <phoneticPr fontId="11"/>
  </si>
  <si>
    <t>作成者</t>
    <rPh sb="0" eb="3">
      <t>サクセイシャ</t>
    </rPh>
    <phoneticPr fontId="11"/>
  </si>
  <si>
    <t>承認者</t>
    <rPh sb="0" eb="2">
      <t>ショウニン</t>
    </rPh>
    <rPh sb="2" eb="3">
      <t>シャ</t>
    </rPh>
    <phoneticPr fontId="11"/>
  </si>
  <si>
    <t>備考</t>
    <rPh sb="0" eb="2">
      <t>ビコウ</t>
    </rPh>
    <phoneticPr fontId="11"/>
  </si>
  <si>
    <t>新規作成</t>
    <rPh sb="0" eb="2">
      <t>シンキ</t>
    </rPh>
    <rPh sb="2" eb="4">
      <t>サクセイ</t>
    </rPh>
    <phoneticPr fontId="49"/>
  </si>
  <si>
    <t>Rev.</t>
    <phoneticPr fontId="11"/>
  </si>
  <si>
    <t>変更来歴</t>
    <phoneticPr fontId="49"/>
  </si>
  <si>
    <t>画面設計書</t>
    <rPh sb="0" eb="2">
      <t>ガメン</t>
    </rPh>
    <rPh sb="2" eb="5">
      <t>セッケイショ</t>
    </rPh>
    <phoneticPr fontId="12"/>
  </si>
  <si>
    <t>画面名</t>
    <rPh sb="0" eb="2">
      <t>ガメン</t>
    </rPh>
    <rPh sb="2" eb="3">
      <t>メイ</t>
    </rPh>
    <phoneticPr fontId="49"/>
  </si>
  <si>
    <t>アメージングアクティビティ(株)</t>
    <rPh sb="13" eb="16">
      <t>カブシキガイシャ</t>
    </rPh>
    <phoneticPr fontId="12"/>
  </si>
  <si>
    <t>　</t>
    <phoneticPr fontId="49"/>
  </si>
  <si>
    <t/>
  </si>
  <si>
    <t>IMWF-53</t>
    <phoneticPr fontId="49"/>
  </si>
  <si>
    <t>No</t>
    <phoneticPr fontId="55"/>
  </si>
  <si>
    <t>▼</t>
    <phoneticPr fontId="55"/>
  </si>
  <si>
    <t>品名</t>
    <rPh sb="0" eb="1">
      <t>ヒンメイ</t>
    </rPh>
    <phoneticPr fontId="55"/>
  </si>
  <si>
    <t>▲</t>
    <phoneticPr fontId="55"/>
  </si>
  <si>
    <t>ファイル名</t>
    <rPh sb="4" eb="5">
      <t>メイ</t>
    </rPh>
    <phoneticPr fontId="55"/>
  </si>
  <si>
    <t>得意先コード</t>
    <rPh sb="0" eb="3">
      <t>トクイサキ</t>
    </rPh>
    <phoneticPr fontId="55"/>
  </si>
  <si>
    <t>サイズ</t>
    <phoneticPr fontId="55"/>
  </si>
  <si>
    <t>102 KB</t>
    <phoneticPr fontId="55"/>
  </si>
  <si>
    <t>得意先</t>
    <rPh sb="0" eb="3">
      <t>トクイサキ</t>
    </rPh>
    <phoneticPr fontId="59"/>
  </si>
  <si>
    <t>　</t>
    <phoneticPr fontId="55"/>
  </si>
  <si>
    <t>クリア</t>
    <phoneticPr fontId="55"/>
  </si>
  <si>
    <t>ファイル001.xlsx</t>
    <phoneticPr fontId="55"/>
  </si>
  <si>
    <t>単価上申(円販売一般品)</t>
    <rPh sb="0" eb="2">
      <t>タンカ</t>
    </rPh>
    <rPh sb="2" eb="4">
      <t>ジョウシン</t>
    </rPh>
    <rPh sb="5" eb="8">
      <t>エンハンバイ</t>
    </rPh>
    <rPh sb="8" eb="10">
      <t>イッパン</t>
    </rPh>
    <rPh sb="10" eb="11">
      <t>シナ</t>
    </rPh>
    <phoneticPr fontId="55"/>
  </si>
  <si>
    <t>過去の申請から内容コピー</t>
    <rPh sb="0" eb="2">
      <t>カコ</t>
    </rPh>
    <rPh sb="3" eb="5">
      <t>シンセイ</t>
    </rPh>
    <rPh sb="7" eb="9">
      <t>ナイヨウ</t>
    </rPh>
    <phoneticPr fontId="55"/>
  </si>
  <si>
    <t>起票日</t>
    <rPh sb="0" eb="3">
      <t>キヒョウビ</t>
    </rPh>
    <phoneticPr fontId="55"/>
  </si>
  <si>
    <t>所属</t>
    <rPh sb="0" eb="2">
      <t>ショゾク</t>
    </rPh>
    <phoneticPr fontId="55"/>
  </si>
  <si>
    <t>社員番号</t>
    <rPh sb="0" eb="2">
      <t>シャイン</t>
    </rPh>
    <rPh sb="2" eb="4">
      <t>バンゴウ</t>
    </rPh>
    <phoneticPr fontId="55"/>
  </si>
  <si>
    <t>2022/09/29</t>
    <phoneticPr fontId="55"/>
  </si>
  <si>
    <t>：</t>
    <phoneticPr fontId="55"/>
  </si>
  <si>
    <t>ヒロセ電機株式会社/管理本部/ＩＴ統括部/情報システム企画課</t>
    <phoneticPr fontId="55"/>
  </si>
  <si>
    <t>hirose</t>
    <phoneticPr fontId="55"/>
  </si>
  <si>
    <t>氏名　：</t>
    <rPh sb="0" eb="2">
      <t>シメイ</t>
    </rPh>
    <phoneticPr fontId="55"/>
  </si>
  <si>
    <t>システム担当者</t>
    <rPh sb="4" eb="7">
      <t>タントウシャ</t>
    </rPh>
    <phoneticPr fontId="55"/>
  </si>
  <si>
    <r>
      <t>タイトル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5"/>
  </si>
  <si>
    <r>
      <t>得意先名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トクイサキ</t>
    </rPh>
    <rPh sb="3" eb="4">
      <t>メイ</t>
    </rPh>
    <phoneticPr fontId="55"/>
  </si>
  <si>
    <t>客先担当者名</t>
    <rPh sb="0" eb="2">
      <t>キャクサキ</t>
    </rPh>
    <rPh sb="2" eb="6">
      <t>タントウシャメイ</t>
    </rPh>
    <phoneticPr fontId="55"/>
  </si>
  <si>
    <r>
      <t>案件種類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アンケン</t>
    </rPh>
    <rPh sb="2" eb="4">
      <t>シュルイ</t>
    </rPh>
    <phoneticPr fontId="55"/>
  </si>
  <si>
    <r>
      <t>希望承認期限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キボウ</t>
    </rPh>
    <rPh sb="2" eb="4">
      <t>ショウニン</t>
    </rPh>
    <rPh sb="4" eb="6">
      <t>キゲン</t>
    </rPh>
    <phoneticPr fontId="55"/>
  </si>
  <si>
    <t>申請価格入力</t>
    <rPh sb="0" eb="2">
      <t>シンセイ</t>
    </rPh>
    <rPh sb="2" eb="4">
      <t>カカク</t>
    </rPh>
    <rPh sb="4" eb="6">
      <t>ニュウリョク</t>
    </rPh>
    <phoneticPr fontId="55"/>
  </si>
  <si>
    <t>CL</t>
    <phoneticPr fontId="59"/>
  </si>
  <si>
    <t>得意先要求価格</t>
    <rPh sb="0" eb="3">
      <t>トクイサキ</t>
    </rPh>
    <rPh sb="3" eb="5">
      <t>ヨウキュウ</t>
    </rPh>
    <rPh sb="5" eb="7">
      <t>カカク</t>
    </rPh>
    <phoneticPr fontId="59"/>
  </si>
  <si>
    <t>申請価格</t>
    <rPh sb="0" eb="2">
      <t>シンセイ</t>
    </rPh>
    <rPh sb="2" eb="4">
      <t>カカク</t>
    </rPh>
    <phoneticPr fontId="59"/>
  </si>
  <si>
    <t>原計タイプ</t>
    <rPh sb="0" eb="2">
      <t>ゲンケイ</t>
    </rPh>
    <phoneticPr fontId="59"/>
  </si>
  <si>
    <t>備考</t>
    <rPh sb="0" eb="2">
      <t>ビコウ</t>
    </rPh>
    <phoneticPr fontId="59"/>
  </si>
  <si>
    <t>2022/9/29</t>
    <phoneticPr fontId="55"/>
  </si>
  <si>
    <r>
      <rPr>
        <b/>
        <sz val="10"/>
        <color theme="6" tint="0.39997558519241921"/>
        <rFont val="ＭＳ Ｐゴシック"/>
        <family val="3"/>
        <charset val="128"/>
        <scheme val="minor"/>
      </rPr>
      <t>＋</t>
    </r>
    <r>
      <rPr>
        <b/>
        <sz val="10"/>
        <color rgb="FF00B050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5"/>
  </si>
  <si>
    <r>
      <t>品名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ヒンメイ</t>
    </rPh>
    <phoneticPr fontId="55"/>
  </si>
  <si>
    <r>
      <t>形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カタ</t>
    </rPh>
    <phoneticPr fontId="59"/>
  </si>
  <si>
    <r>
      <t>月間数量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ゲッカン</t>
    </rPh>
    <rPh sb="2" eb="4">
      <t>スウリョウ</t>
    </rPh>
    <phoneticPr fontId="59"/>
  </si>
  <si>
    <t>承認者確認用</t>
    <rPh sb="0" eb="3">
      <t>ショウニンシャ</t>
    </rPh>
    <rPh sb="3" eb="6">
      <t>カクニンヨウ</t>
    </rPh>
    <phoneticPr fontId="55"/>
  </si>
  <si>
    <t>数量pcs/月</t>
    <rPh sb="0" eb="2">
      <t>スウリョウ</t>
    </rPh>
    <rPh sb="6" eb="7">
      <t>ツキ</t>
    </rPh>
    <phoneticPr fontId="59"/>
  </si>
  <si>
    <t>代理店売価</t>
    <rPh sb="0" eb="3">
      <t>ダイリテン</t>
    </rPh>
    <rPh sb="3" eb="5">
      <t>バイカ</t>
    </rPh>
    <phoneticPr fontId="59"/>
  </si>
  <si>
    <t>代理店粗利率</t>
    <rPh sb="0" eb="3">
      <t>ダイリテン</t>
    </rPh>
    <rPh sb="3" eb="6">
      <t>アラリリツ</t>
    </rPh>
    <phoneticPr fontId="59"/>
  </si>
  <si>
    <t>ピン@</t>
    <phoneticPr fontId="59"/>
  </si>
  <si>
    <t>競合名</t>
    <rPh sb="0" eb="3">
      <t>キョウゴウメイ</t>
    </rPh>
    <phoneticPr fontId="59"/>
  </si>
  <si>
    <t>申請内容</t>
    <rPh sb="0" eb="2">
      <t>シンセイ</t>
    </rPh>
    <rPh sb="2" eb="4">
      <t>ナイヨウ</t>
    </rPh>
    <phoneticPr fontId="55"/>
  </si>
  <si>
    <t>起票区分</t>
    <rPh sb="0" eb="2">
      <t>キヒョウ</t>
    </rPh>
    <rPh sb="2" eb="4">
      <t>クブン</t>
    </rPh>
    <phoneticPr fontId="55"/>
  </si>
  <si>
    <t>口銭率</t>
    <rPh sb="0" eb="2">
      <t>コウセン</t>
    </rPh>
    <rPh sb="2" eb="3">
      <t>リツ</t>
    </rPh>
    <phoneticPr fontId="55"/>
  </si>
  <si>
    <t>☑ 口銭申請有り</t>
    <rPh sb="2" eb="4">
      <t>コウセン</t>
    </rPh>
    <rPh sb="4" eb="6">
      <t>シンセイ</t>
    </rPh>
    <rPh sb="6" eb="7">
      <t>アリ</t>
    </rPh>
    <phoneticPr fontId="55"/>
  </si>
  <si>
    <t>プロジェクト情報</t>
    <rPh sb="6" eb="8">
      <t>ジョウホウ</t>
    </rPh>
    <phoneticPr fontId="55"/>
  </si>
  <si>
    <t>工事金額</t>
    <rPh sb="0" eb="4">
      <t>コウジキンガク</t>
    </rPh>
    <phoneticPr fontId="55"/>
  </si>
  <si>
    <t>万円/月</t>
    <rPh sb="0" eb="2">
      <t>マンエン</t>
    </rPh>
    <rPh sb="3" eb="4">
      <t>ツキ</t>
    </rPh>
    <phoneticPr fontId="55"/>
  </si>
  <si>
    <t>ヵ月</t>
    <rPh sb="1" eb="2">
      <t>ゲツ</t>
    </rPh>
    <phoneticPr fontId="55"/>
  </si>
  <si>
    <t>総工事金額</t>
    <rPh sb="0" eb="5">
      <t>ソウコウジキンガク</t>
    </rPh>
    <phoneticPr fontId="55"/>
  </si>
  <si>
    <t>万円</t>
    <rPh sb="0" eb="2">
      <t>マンエン</t>
    </rPh>
    <phoneticPr fontId="55"/>
  </si>
  <si>
    <t>競合名</t>
    <rPh sb="0" eb="3">
      <t>キョウゴウメイ</t>
    </rPh>
    <phoneticPr fontId="55"/>
  </si>
  <si>
    <r>
      <t>継続期間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ケイゾク</t>
    </rPh>
    <rPh sb="2" eb="4">
      <t>キカン</t>
    </rPh>
    <phoneticPr fontId="55"/>
  </si>
  <si>
    <t>大分類A</t>
    <rPh sb="0" eb="3">
      <t>ダイブンルイ</t>
    </rPh>
    <phoneticPr fontId="55"/>
  </si>
  <si>
    <t>中分類B</t>
    <rPh sb="0" eb="3">
      <t>チュウブンルイ</t>
    </rPh>
    <phoneticPr fontId="55"/>
  </si>
  <si>
    <r>
      <t>申請理由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リユウ</t>
    </rPh>
    <phoneticPr fontId="55"/>
  </si>
  <si>
    <t>値引補填工事</t>
    <rPh sb="0" eb="2">
      <t>ネビ</t>
    </rPh>
    <rPh sb="2" eb="4">
      <t>ホテン</t>
    </rPh>
    <rPh sb="4" eb="6">
      <t>コウジ</t>
    </rPh>
    <phoneticPr fontId="55"/>
  </si>
  <si>
    <t>備考欄</t>
    <rPh sb="0" eb="3">
      <t>ビコウラン</t>
    </rPh>
    <phoneticPr fontId="55"/>
  </si>
  <si>
    <t>添付書類</t>
    <rPh sb="0" eb="2">
      <t>テンプ</t>
    </rPh>
    <rPh sb="2" eb="4">
      <t>ショルイ</t>
    </rPh>
    <phoneticPr fontId="55"/>
  </si>
  <si>
    <t>○ 技術原計 ○ PPM原計 ◎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5"/>
  </si>
  <si>
    <t>USD</t>
    <phoneticPr fontId="55"/>
  </si>
  <si>
    <t>コリア原計</t>
    <rPh sb="2" eb="4">
      <t>ゲンケイ</t>
    </rPh>
    <phoneticPr fontId="55"/>
  </si>
  <si>
    <t>純原価</t>
    <rPh sb="0" eb="1">
      <t>ジュン</t>
    </rPh>
    <rPh sb="1" eb="3">
      <t>ゲンカ</t>
    </rPh>
    <phoneticPr fontId="59"/>
  </si>
  <si>
    <t>申請通貨</t>
    <rPh sb="0" eb="2">
      <t>シンセイ</t>
    </rPh>
    <rPh sb="2" eb="4">
      <t>ツウカ</t>
    </rPh>
    <phoneticPr fontId="59"/>
  </si>
  <si>
    <r>
      <t>従来FOB価格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5" eb="7">
      <t>カカク</t>
    </rPh>
    <phoneticPr fontId="59"/>
  </si>
  <si>
    <t>(外貨)</t>
    <rPh sb="0" eb="2">
      <t>ガイカ</t>
    </rPh>
    <phoneticPr fontId="55"/>
  </si>
  <si>
    <t>ピン@FOB</t>
    <phoneticPr fontId="59"/>
  </si>
  <si>
    <t>4800215830</t>
    <phoneticPr fontId="55"/>
  </si>
  <si>
    <t>TF38-20S-0.5SV(830)</t>
    <phoneticPr fontId="55"/>
  </si>
  <si>
    <t>KFH</t>
    <phoneticPr fontId="55"/>
  </si>
  <si>
    <t>FOB価格</t>
    <rPh sb="3" eb="5">
      <t>カカク</t>
    </rPh>
    <phoneticPr fontId="59"/>
  </si>
  <si>
    <t>◎ 単価上申書</t>
    <rPh sb="2" eb="4">
      <t>タンカ</t>
    </rPh>
    <rPh sb="4" eb="6">
      <t>ジョウシン</t>
    </rPh>
    <rPh sb="6" eb="7">
      <t>ショ</t>
    </rPh>
    <phoneticPr fontId="55"/>
  </si>
  <si>
    <t>値引きしなければならない理由を記載してください</t>
    <rPh sb="0" eb="2">
      <t>ネビ</t>
    </rPh>
    <rPh sb="12" eb="14">
      <t>リユウ</t>
    </rPh>
    <rPh sb="15" eb="17">
      <t>キサイ</t>
    </rPh>
    <phoneticPr fontId="55"/>
  </si>
  <si>
    <t>物流コスト率</t>
    <rPh sb="0" eb="2">
      <t>ブツリュウ</t>
    </rPh>
    <rPh sb="5" eb="6">
      <t>リツ</t>
    </rPh>
    <phoneticPr fontId="59"/>
  </si>
  <si>
    <t>(%)</t>
    <phoneticPr fontId="55"/>
  </si>
  <si>
    <t>販社売価</t>
    <rPh sb="0" eb="2">
      <t>ハンシャ</t>
    </rPh>
    <rPh sb="2" eb="4">
      <t>バイカ</t>
    </rPh>
    <phoneticPr fontId="59"/>
  </si>
  <si>
    <t>要求価格</t>
    <rPh sb="0" eb="1">
      <t>ヨウキュウ</t>
    </rPh>
    <rPh sb="1" eb="3">
      <t>カカク</t>
    </rPh>
    <phoneticPr fontId="55"/>
  </si>
  <si>
    <t>価格基準</t>
    <rPh sb="0" eb="1">
      <t>カカク</t>
    </rPh>
    <rPh sb="1" eb="3">
      <t>キジュン</t>
    </rPh>
    <phoneticPr fontId="55"/>
  </si>
  <si>
    <t>JPY</t>
    <phoneticPr fontId="55"/>
  </si>
  <si>
    <t>JAE</t>
    <phoneticPr fontId="55"/>
  </si>
  <si>
    <t>従来FOB価格</t>
    <rPh sb="0" eb="2">
      <t>ジュウライ</t>
    </rPh>
    <rPh sb="5" eb="7">
      <t>カカク</t>
    </rPh>
    <phoneticPr fontId="59"/>
  </si>
  <si>
    <t>CIF価格</t>
    <rPh sb="3" eb="5">
      <t>カカク</t>
    </rPh>
    <phoneticPr fontId="59"/>
  </si>
  <si>
    <t>FOB値引き率</t>
    <rPh sb="3" eb="5">
      <t>ネビ</t>
    </rPh>
    <rPh sb="6" eb="7">
      <t>リツ</t>
    </rPh>
    <phoneticPr fontId="59"/>
  </si>
  <si>
    <t>販社粗利率</t>
    <rPh sb="0" eb="2">
      <t>ハンシャ</t>
    </rPh>
    <rPh sb="2" eb="5">
      <t>アラリリツ</t>
    </rPh>
    <phoneticPr fontId="59"/>
  </si>
  <si>
    <t>純原価合計</t>
    <rPh sb="0" eb="1">
      <t>ジュン</t>
    </rPh>
    <rPh sb="1" eb="3">
      <t>ゲンカ</t>
    </rPh>
    <rPh sb="3" eb="5">
      <t>ゴウケイ</t>
    </rPh>
    <phoneticPr fontId="59"/>
  </si>
  <si>
    <t>連結粗利額</t>
    <rPh sb="0" eb="2">
      <t>レンケツ</t>
    </rPh>
    <rPh sb="2" eb="5">
      <t>アラリガク</t>
    </rPh>
    <phoneticPr fontId="59"/>
  </si>
  <si>
    <t>連結粗利率</t>
    <rPh sb="0" eb="2">
      <t>レンケツ</t>
    </rPh>
    <rPh sb="2" eb="5">
      <t>アラリリツ</t>
    </rPh>
    <phoneticPr fontId="59"/>
  </si>
  <si>
    <t>値引き率</t>
    <rPh sb="0" eb="2">
      <t>ネビ</t>
    </rPh>
    <rPh sb="3" eb="4">
      <t>リツ</t>
    </rPh>
    <phoneticPr fontId="55"/>
  </si>
  <si>
    <t>値引き額</t>
    <rPh sb="0" eb="2">
      <t>ネビ</t>
    </rPh>
    <rPh sb="3" eb="4">
      <t>ガク</t>
    </rPh>
    <phoneticPr fontId="55"/>
  </si>
  <si>
    <t>売上(連結)</t>
    <rPh sb="0" eb="2">
      <t>ウリアゲ</t>
    </rPh>
    <rPh sb="3" eb="5">
      <t>レンケツ</t>
    </rPh>
    <phoneticPr fontId="55"/>
  </si>
  <si>
    <r>
      <t>承認者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ショウニンシャ</t>
    </rPh>
    <phoneticPr fontId="55"/>
  </si>
  <si>
    <t>10347008</t>
    <phoneticPr fontId="55"/>
  </si>
  <si>
    <t>関　博一</t>
    <phoneticPr fontId="55"/>
  </si>
  <si>
    <r>
      <rPr>
        <b/>
        <sz val="10"/>
        <color rgb="FF00B050"/>
        <rFont val="ＭＳ Ｐゴシック"/>
        <family val="3"/>
        <charset val="128"/>
        <scheme val="minor"/>
      </rPr>
      <t>＋</t>
    </r>
    <r>
      <rPr>
        <sz val="10"/>
        <color theme="1"/>
        <rFont val="ＭＳ Ｐゴシック"/>
        <family val="3"/>
        <charset val="128"/>
        <scheme val="minor"/>
      </rPr>
      <t xml:space="preserve"> 承認者の追加</t>
    </r>
    <phoneticPr fontId="55"/>
  </si>
  <si>
    <t>10637000</t>
    <phoneticPr fontId="55"/>
  </si>
  <si>
    <t>古川　福待</t>
    <phoneticPr fontId="55"/>
  </si>
  <si>
    <t>承認者設定</t>
    <rPh sb="0" eb="3">
      <t>ショウニンシャ</t>
    </rPh>
    <rPh sb="3" eb="5">
      <t>セッテイ</t>
    </rPh>
    <phoneticPr fontId="55"/>
  </si>
  <si>
    <t>承認ルートは必要に応じて、「承認者の追加」をクリックして入力欄を増やしてください。 設定した承認ルートは、設定した承認者の上から順に回送されます。 最終承認者は、一番下に設定してください。</t>
    <phoneticPr fontId="55"/>
  </si>
  <si>
    <t>確認者設定</t>
    <rPh sb="0" eb="3">
      <t>カクニンシャ</t>
    </rPh>
    <rPh sb="3" eb="5">
      <t>セッテイ</t>
    </rPh>
    <phoneticPr fontId="55"/>
  </si>
  <si>
    <t>確認者一覧</t>
    <rPh sb="0" eb="3">
      <t>カクニンシャ</t>
    </rPh>
    <rPh sb="3" eb="5">
      <t>イチラン</t>
    </rPh>
    <phoneticPr fontId="55"/>
  </si>
  <si>
    <t>部門</t>
    <rPh sb="0" eb="2">
      <t>ブモン</t>
    </rPh>
    <phoneticPr fontId="55"/>
  </si>
  <si>
    <t>確認者名</t>
    <rPh sb="0" eb="4">
      <t>カクニンシャメイ</t>
    </rPh>
    <phoneticPr fontId="55"/>
  </si>
  <si>
    <t>ヒロセ電機株式会社/管理本部/ＩＴ統括部</t>
    <phoneticPr fontId="55"/>
  </si>
  <si>
    <t>部長</t>
    <rPh sb="0" eb="2">
      <t>ブチョウ</t>
    </rPh>
    <phoneticPr fontId="55"/>
  </si>
  <si>
    <t>志村 亜里沙</t>
    <rPh sb="0" eb="1">
      <t>シムラ</t>
    </rPh>
    <rPh sb="2" eb="5">
      <t>アリサ</t>
    </rPh>
    <phoneticPr fontId="55"/>
  </si>
  <si>
    <t>出水 瞳</t>
    <rPh sb="0" eb="1">
      <t>デミズ</t>
    </rPh>
    <rPh sb="2" eb="3">
      <t>ヒトミ</t>
    </rPh>
    <phoneticPr fontId="55"/>
  </si>
  <si>
    <t>松澤 朱海</t>
    <rPh sb="0" eb="1">
      <t>マツザワ</t>
    </rPh>
    <rPh sb="2" eb="3">
      <t>シュ</t>
    </rPh>
    <rPh sb="3" eb="4">
      <t>ウミ</t>
    </rPh>
    <phoneticPr fontId="55"/>
  </si>
  <si>
    <t>ｒ1.0</t>
    <phoneticPr fontId="49"/>
  </si>
  <si>
    <t>形</t>
    <rPh sb="0" eb="1">
      <t>カタ</t>
    </rPh>
    <phoneticPr fontId="59"/>
  </si>
  <si>
    <t>通貨</t>
    <rPh sb="0" eb="2">
      <t>ツウカ</t>
    </rPh>
    <phoneticPr fontId="59"/>
  </si>
  <si>
    <t>EUR</t>
    <phoneticPr fontId="55"/>
  </si>
  <si>
    <t>精算通貨</t>
    <rPh sb="0" eb="2">
      <t>セイサン</t>
    </rPh>
    <rPh sb="2" eb="4">
      <t>ツウカ</t>
    </rPh>
    <phoneticPr fontId="55"/>
  </si>
  <si>
    <t>SFDC工事番号</t>
    <rPh sb="4" eb="6">
      <t>コウジ</t>
    </rPh>
    <rPh sb="6" eb="8">
      <t>バンゴウ</t>
    </rPh>
    <phoneticPr fontId="55"/>
  </si>
  <si>
    <t>円/月</t>
    <rPh sb="0" eb="1">
      <t>エン</t>
    </rPh>
    <rPh sb="2" eb="3">
      <t>ツキ</t>
    </rPh>
    <phoneticPr fontId="55"/>
  </si>
  <si>
    <t>海外販社</t>
    <rPh sb="0" eb="2">
      <t>カイガイ</t>
    </rPh>
    <rPh sb="2" eb="4">
      <t>ハンシャ</t>
    </rPh>
    <phoneticPr fontId="55"/>
  </si>
  <si>
    <t>レップ社名</t>
    <rPh sb="3" eb="4">
      <t>シャ</t>
    </rPh>
    <rPh sb="4" eb="5">
      <t>メイ</t>
    </rPh>
    <phoneticPr fontId="55"/>
  </si>
  <si>
    <t>量産時期</t>
    <rPh sb="0" eb="2">
      <t>リョウサン</t>
    </rPh>
    <rPh sb="2" eb="4">
      <t>ジキ</t>
    </rPh>
    <phoneticPr fontId="55"/>
  </si>
  <si>
    <r>
      <t>用途</t>
    </r>
    <r>
      <rPr>
        <sz val="9"/>
        <color theme="1"/>
        <rFont val="ＭＳ Ｐゴシック"/>
        <family val="3"/>
        <charset val="128"/>
        <scheme val="minor"/>
      </rPr>
      <t>(アプリケーション)</t>
    </r>
    <rPh sb="0" eb="2">
      <t>ヨウト</t>
    </rPh>
    <phoneticPr fontId="55"/>
  </si>
  <si>
    <t>生産セット台数</t>
    <rPh sb="0" eb="2">
      <t>セイサン</t>
    </rPh>
    <rPh sb="5" eb="7">
      <t>ダイスウ</t>
    </rPh>
    <phoneticPr fontId="55"/>
  </si>
  <si>
    <t>プロジェクトピーク金額</t>
    <rPh sb="9" eb="11">
      <t>キンガク</t>
    </rPh>
    <phoneticPr fontId="55"/>
  </si>
  <si>
    <t>大分類</t>
    <rPh sb="0" eb="3">
      <t>ダイブンルイ</t>
    </rPh>
    <phoneticPr fontId="55"/>
  </si>
  <si>
    <t>中分類</t>
    <rPh sb="0" eb="3">
      <t>チュウブンルイ</t>
    </rPh>
    <phoneticPr fontId="55"/>
  </si>
  <si>
    <t>レート</t>
    <phoneticPr fontId="55"/>
  </si>
  <si>
    <t>○経営計画レート　○ 顧客契約レート　◎ その他のレート 　</t>
    <rPh sb="1" eb="3">
      <t>ケイエイ</t>
    </rPh>
    <rPh sb="3" eb="5">
      <t>ケイカク</t>
    </rPh>
    <rPh sb="13" eb="15">
      <t>ケイヤク</t>
    </rPh>
    <rPh sb="23" eb="24">
      <t>ホカ</t>
    </rPh>
    <phoneticPr fontId="55"/>
  </si>
  <si>
    <t>総合計</t>
    <rPh sb="0" eb="3">
      <t>ソウゴウケイ</t>
    </rPh>
    <phoneticPr fontId="55"/>
  </si>
  <si>
    <t>形</t>
    <rPh sb="0" eb="1">
      <t>カタ</t>
    </rPh>
    <phoneticPr fontId="55"/>
  </si>
  <si>
    <t>形小計</t>
    <rPh sb="0" eb="1">
      <t>カタ</t>
    </rPh>
    <rPh sb="1" eb="3">
      <t>ショウケイ</t>
    </rPh>
    <phoneticPr fontId="55"/>
  </si>
  <si>
    <r>
      <t>レートタイプ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5"/>
  </si>
  <si>
    <t>SA-PR123456</t>
    <phoneticPr fontId="55"/>
  </si>
  <si>
    <t>案件番号：</t>
    <phoneticPr fontId="55"/>
  </si>
  <si>
    <r>
      <t>原計タイプ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ゲンケイ</t>
    </rPh>
    <phoneticPr fontId="55"/>
  </si>
  <si>
    <t>コメント</t>
    <phoneticPr fontId="55"/>
  </si>
  <si>
    <t>コメント入力</t>
    <rPh sb="3" eb="5">
      <t>ニュウリョク</t>
    </rPh>
    <phoneticPr fontId="55"/>
  </si>
  <si>
    <r>
      <t>原計通貨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ゲンケイ</t>
    </rPh>
    <rPh sb="2" eb="4">
      <t>ツウカ</t>
    </rPh>
    <phoneticPr fontId="59"/>
  </si>
  <si>
    <r>
      <t>申請通貨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ツウカ</t>
    </rPh>
    <phoneticPr fontId="59"/>
  </si>
  <si>
    <t>表示通貨</t>
    <rPh sb="0" eb="1">
      <t>ヒョウジ</t>
    </rPh>
    <rPh sb="1" eb="3">
      <t>ツウカ</t>
    </rPh>
    <phoneticPr fontId="55"/>
  </si>
  <si>
    <t>表示通貨</t>
    <rPh sb="0" eb="2">
      <t>ヒョウジ</t>
    </rPh>
    <rPh sb="2" eb="4">
      <t>ツウカ</t>
    </rPh>
    <phoneticPr fontId="55"/>
  </si>
  <si>
    <t>古竹</t>
    <rPh sb="0" eb="2">
      <t>フルタケ</t>
    </rPh>
    <phoneticPr fontId="49"/>
  </si>
  <si>
    <t>化学物質データ</t>
    <rPh sb="0" eb="2">
      <t>カガクブッシツ</t>
    </rPh>
    <phoneticPr fontId="55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</si>
  <si>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</t>
    </r>
    <rPh sb="5" eb="9">
      <t>カガクブッシツ</t>
    </rPh>
    <phoneticPr fontId="55"/>
  </si>
  <si>
    <t>機能仕様</t>
    <rPh sb="0" eb="4">
      <t>キノウシヨウ</t>
    </rPh>
    <phoneticPr fontId="55"/>
  </si>
  <si>
    <t>*採番については、2018年だけ2018-50000から採番する。</t>
  </si>
  <si>
    <t>2019年以後は20xx-00000という形で採番される。</t>
  </si>
  <si>
    <t>-</t>
    <phoneticPr fontId="59"/>
  </si>
  <si>
    <t>画面項目(Screen Items)</t>
    <rPh sb="0" eb="4">
      <t>ガメンコウモク</t>
    </rPh>
    <phoneticPr fontId="11"/>
  </si>
  <si>
    <t>必須記入</t>
    <rPh sb="0" eb="2">
      <t>ヒッス</t>
    </rPh>
    <rPh sb="2" eb="4">
      <t>キニュウ</t>
    </rPh>
    <phoneticPr fontId="11"/>
  </si>
  <si>
    <t>項番
(No)</t>
    <phoneticPr fontId="11"/>
  </si>
  <si>
    <t>項目名(Item Name)</t>
    <phoneticPr fontId="11"/>
  </si>
  <si>
    <t>初期値
(Default Value)</t>
    <rPh sb="0" eb="3">
      <t>ショキチ</t>
    </rPh>
    <phoneticPr fontId="11"/>
  </si>
  <si>
    <t>備考
(Comment)</t>
    <rPh sb="0" eb="2">
      <t>ビコウ</t>
    </rPh>
    <phoneticPr fontId="11"/>
  </si>
  <si>
    <t>エリア
（Area）</t>
    <phoneticPr fontId="11"/>
  </si>
  <si>
    <t>項目名
(Item Name)</t>
    <phoneticPr fontId="11"/>
  </si>
  <si>
    <t>1</t>
  </si>
  <si>
    <t>パンくずリストエリア</t>
  </si>
  <si>
    <t>1.1</t>
  </si>
  <si>
    <t>パンくずリスト</t>
  </si>
  <si>
    <t>受付番号</t>
    <rPh sb="0" eb="2">
      <t>ウケツケ</t>
    </rPh>
    <rPh sb="2" eb="4">
      <t>バンゴウ</t>
    </rPh>
    <phoneticPr fontId="59"/>
  </si>
  <si>
    <t>2</t>
  </si>
  <si>
    <t>申請完了表示エリア</t>
    <phoneticPr fontId="59"/>
  </si>
  <si>
    <t>登録メールアドレス</t>
    <rPh sb="0" eb="2">
      <t>トウロク</t>
    </rPh>
    <phoneticPr fontId="59"/>
  </si>
  <si>
    <t>2.3</t>
    <phoneticPr fontId="59"/>
  </si>
  <si>
    <t>送信メールアドレス</t>
    <rPh sb="0" eb="2">
      <t>ソウシン</t>
    </rPh>
    <phoneticPr fontId="59"/>
  </si>
  <si>
    <t>2.4</t>
    <phoneticPr fontId="59"/>
  </si>
  <si>
    <t>化学物質データ画面へ戻る</t>
    <phoneticPr fontId="59"/>
  </si>
  <si>
    <t>申請完了</t>
    <rPh sb="0" eb="4">
      <t>シンセイカンリョウ</t>
    </rPh>
    <phoneticPr fontId="55"/>
  </si>
  <si>
    <t>&lt;受付番号：2016-00043&gt; 化学物質データの申請が完了しました。</t>
    <phoneticPr fontId="55"/>
  </si>
  <si>
    <t>　申請完了メールを登録メールアドレスへ送信致しました。ご確認ください。</t>
    <phoneticPr fontId="55"/>
  </si>
  <si>
    <t>　・登録メールアドレス : user@mail.com</t>
    <phoneticPr fontId="55"/>
  </si>
  <si>
    <t>　・送信メールアドレス : GM_no-reply@hirose.com</t>
    <rPh sb="2" eb="4">
      <t>ソウシン</t>
    </rPh>
    <phoneticPr fontId="55"/>
  </si>
  <si>
    <t>　・メール件名 : &lt;HRS:2016-000043&gt; 化学物質データ申請完了</t>
    <phoneticPr fontId="55"/>
  </si>
  <si>
    <t>　　　申請されたデータは、まとめてzipファイルで出力致します。</t>
    <phoneticPr fontId="55"/>
  </si>
  <si>
    <t>　※　データを作成するのに時間がかかる場合がございます。データの作成が完了しましたら、完了メールを送信致します。</t>
    <phoneticPr fontId="55"/>
  </si>
  <si>
    <t>参考：サイト言語が日本語ではない場合に表示される英語コンテンツ</t>
    <rPh sb="0" eb="2">
      <t>サンコウ</t>
    </rPh>
    <rPh sb="6" eb="8">
      <t>ゲンゴ</t>
    </rPh>
    <rPh sb="9" eb="12">
      <t>ニホンゴ</t>
    </rPh>
    <rPh sb="16" eb="18">
      <t>バアイ</t>
    </rPh>
    <rPh sb="19" eb="21">
      <t>ヒョウジ</t>
    </rPh>
    <rPh sb="24" eb="26">
      <t>エイゴ</t>
    </rPh>
    <phoneticPr fontId="3"/>
  </si>
  <si>
    <t>Application Completion</t>
    <phoneticPr fontId="55"/>
  </si>
  <si>
    <t>&lt;Application NO:2016-0043&gt; Application of the chemical substance data has been completed.</t>
    <phoneticPr fontId="55"/>
  </si>
  <si>
    <t>　Could you confirm the acceptance confirmation e-mail?</t>
    <phoneticPr fontId="55"/>
  </si>
  <si>
    <t>　・Registered e-mail address  : user@mail.com</t>
    <phoneticPr fontId="55"/>
  </si>
  <si>
    <t>　・Source e-mail address  : GM_no-reply@hirose.com</t>
    <phoneticPr fontId="55"/>
  </si>
  <si>
    <t>　・Subject : &lt;HRS:2016-000043&gt; Chemical substance data application completion</t>
    <phoneticPr fontId="55"/>
  </si>
  <si>
    <t>　* It take some time to output the data.Once the data is now complete, we will send the completion mail.</t>
    <phoneticPr fontId="55"/>
  </si>
  <si>
    <t>　　We will output the data that has been filed in the ZIP file.</t>
    <phoneticPr fontId="55"/>
  </si>
  <si>
    <t>1. パンくずリストエリア</t>
  </si>
  <si>
    <t>1.1　パンくずリスト</t>
  </si>
  <si>
    <t>以下のようにパンくずリストを表示する。</t>
    <rPh sb="0" eb="2">
      <t>イカ</t>
    </rPh>
    <rPh sb="14" eb="16">
      <t>ヒョウジ</t>
    </rPh>
    <phoneticPr fontId="4"/>
  </si>
  <si>
    <t>『製品トップ &gt; 化学物質データ申請完了』</t>
    <rPh sb="1" eb="3">
      <t>セイヒン</t>
    </rPh>
    <rPh sb="9" eb="11">
      <t>カガク</t>
    </rPh>
    <rPh sb="11" eb="13">
      <t>ブッシツ</t>
    </rPh>
    <rPh sb="16" eb="18">
      <t>シンセイ</t>
    </rPh>
    <rPh sb="18" eb="20">
      <t>カンリョウ</t>
    </rPh>
    <phoneticPr fontId="4"/>
  </si>
  <si>
    <t>2. 申請完了表示エリア</t>
    <rPh sb="3" eb="5">
      <t>シンセイ</t>
    </rPh>
    <rPh sb="5" eb="7">
      <t>カンリョウ</t>
    </rPh>
    <rPh sb="7" eb="9">
      <t>ヒョウジ</t>
    </rPh>
    <phoneticPr fontId="3"/>
  </si>
  <si>
    <t>言語情報が"jp"の場合は日本語のコンテンツを、それ</t>
  </si>
  <si>
    <t>以外の場合は英語のコンテンツを表示する。</t>
  </si>
  <si>
    <t>2.1 申請完了情報</t>
    <rPh sb="4" eb="6">
      <t>シンセイ</t>
    </rPh>
    <rPh sb="6" eb="8">
      <t>カンリョウ</t>
    </rPh>
    <rPh sb="8" eb="10">
      <t>ジョウホウ</t>
    </rPh>
    <phoneticPr fontId="3"/>
  </si>
  <si>
    <t>受付番号：</t>
    <rPh sb="0" eb="2">
      <t>ウケツケ</t>
    </rPh>
    <rPh sb="2" eb="4">
      <t>バンゴウ</t>
    </rPh>
    <phoneticPr fontId="3"/>
  </si>
  <si>
    <t>申請データをyCommerceに登録する際に、</t>
    <rPh sb="0" eb="2">
      <t>シンセイ</t>
    </rPh>
    <rPh sb="16" eb="18">
      <t>トウロク</t>
    </rPh>
    <rPh sb="20" eb="21">
      <t>サイ</t>
    </rPh>
    <phoneticPr fontId="3"/>
  </si>
  <si>
    <t>hybrisのGeneratorを利用して生成されるシーケンス値。</t>
    <rPh sb="17" eb="19">
      <t>リヨウ</t>
    </rPh>
    <rPh sb="21" eb="23">
      <t>セイセイ</t>
    </rPh>
    <rPh sb="31" eb="32">
      <t>チ</t>
    </rPh>
    <phoneticPr fontId="3"/>
  </si>
  <si>
    <t>書式：暦年-シーケンス番号</t>
    <rPh sb="0" eb="2">
      <t>ショシキ</t>
    </rPh>
    <phoneticPr fontId="3"/>
  </si>
  <si>
    <t>2.2 登録メールアドレス</t>
    <rPh sb="4" eb="6">
      <t>トウロク</t>
    </rPh>
    <phoneticPr fontId="3"/>
  </si>
  <si>
    <t>申請者のアドレスが表示される。申請完了時のメールは、</t>
    <rPh sb="15" eb="17">
      <t>シンセイ</t>
    </rPh>
    <rPh sb="17" eb="19">
      <t>カンリョウ</t>
    </rPh>
    <rPh sb="19" eb="20">
      <t>ジ</t>
    </rPh>
    <phoneticPr fontId="3"/>
  </si>
  <si>
    <t>このアドレス宛に送信される</t>
    <rPh sb="6" eb="7">
      <t>アテ</t>
    </rPh>
    <rPh sb="8" eb="10">
      <t>ソウシン</t>
    </rPh>
    <phoneticPr fontId="3"/>
  </si>
  <si>
    <t>2.3 送信メールアドレス</t>
    <rPh sb="4" eb="6">
      <t>ソウシン</t>
    </rPh>
    <phoneticPr fontId="3"/>
  </si>
  <si>
    <t>送信メールアドレスは固定（汎用マスタから取得）。</t>
  </si>
  <si>
    <t>申請者宛に送信されるメールの"from"として本アドレス</t>
    <rPh sb="0" eb="3">
      <t>シンセイシャ</t>
    </rPh>
    <rPh sb="3" eb="4">
      <t>アテ</t>
    </rPh>
    <rPh sb="5" eb="7">
      <t>ソウシン</t>
    </rPh>
    <rPh sb="23" eb="24">
      <t>ホン</t>
    </rPh>
    <phoneticPr fontId="3"/>
  </si>
  <si>
    <t>が設定される。</t>
    <rPh sb="1" eb="3">
      <t>セッテイ</t>
    </rPh>
    <phoneticPr fontId="3"/>
  </si>
  <si>
    <t>2.4 化学物質データ画面へ戻る</t>
    <rPh sb="4" eb="6">
      <t>カガク</t>
    </rPh>
    <rPh sb="6" eb="8">
      <t>ブッシツ</t>
    </rPh>
    <rPh sb="11" eb="13">
      <t>ガメン</t>
    </rPh>
    <rPh sb="14" eb="15">
      <t>モド</t>
    </rPh>
    <phoneticPr fontId="3"/>
  </si>
  <si>
    <t xml:space="preserve">押下すると、一括申請リスト（化学物質データ画面）
</t>
    <rPh sb="0" eb="2">
      <t>オウカ</t>
    </rPh>
    <phoneticPr fontId="3"/>
  </si>
  <si>
    <t>へ移動する</t>
  </si>
  <si>
    <t>　 Could you confirm the acceptance confirmation e-mail?</t>
    <phoneticPr fontId="55"/>
  </si>
  <si>
    <r>
      <t xml:space="preserve"> 　 </t>
    </r>
    <r>
      <rPr>
        <sz val="8"/>
        <rFont val="Meiryo UI"/>
        <family val="3"/>
        <charset val="128"/>
      </rPr>
      <t>Registered e-mail address  : user@mail.com</t>
    </r>
    <phoneticPr fontId="55"/>
  </si>
  <si>
    <t>　  Source e-mail address  : GM_no-reply@hirose.com</t>
    <phoneticPr fontId="55"/>
  </si>
  <si>
    <t>　  Subject : &lt;HRS:2016-000043&gt; Chemical substance data application completion</t>
    <phoneticPr fontId="55"/>
  </si>
  <si>
    <t xml:space="preserve">   　* It take some time to output the data.Once the data is now complete, we will send the completion mail.</t>
    <phoneticPr fontId="55"/>
  </si>
  <si>
    <t>　　   We will output the data that has been filed in the ZIP file.</t>
    <phoneticPr fontId="55"/>
  </si>
  <si>
    <t>r1.1</t>
    <phoneticPr fontId="11"/>
  </si>
  <si>
    <t>古竹</t>
    <rPh sb="0" eb="2">
      <t>フルタケ</t>
    </rPh>
    <phoneticPr fontId="11"/>
  </si>
  <si>
    <t>化学物質データ申請完了画面の内容を日英併記に変更</t>
    <rPh sb="0" eb="2">
      <t>カガク</t>
    </rPh>
    <rPh sb="2" eb="4">
      <t>ブッシツ</t>
    </rPh>
    <rPh sb="7" eb="9">
      <t>シンセイ</t>
    </rPh>
    <rPh sb="9" eb="11">
      <t>カンリョウ</t>
    </rPh>
    <rPh sb="11" eb="13">
      <t>ガメン</t>
    </rPh>
    <rPh sb="14" eb="16">
      <t>ナイヨウ</t>
    </rPh>
    <rPh sb="17" eb="19">
      <t>ニチエイ</t>
    </rPh>
    <rPh sb="19" eb="21">
      <t>ヘイキ</t>
    </rPh>
    <rPh sb="22" eb="24">
      <t>ヘンコウ</t>
    </rPh>
    <phoneticPr fontId="11"/>
  </si>
  <si>
    <r>
      <t>化学物質データ</t>
    </r>
    <r>
      <rPr>
        <sz val="16"/>
        <color rgb="FFFF0000"/>
        <rFont val="Meiryo UI"/>
        <family val="3"/>
        <charset val="128"/>
      </rPr>
      <t xml:space="preserve"> / Chemical substance data</t>
    </r>
    <rPh sb="0" eb="2">
      <t>カガクブッシツ</t>
    </rPh>
    <phoneticPr fontId="55"/>
  </si>
  <si>
    <t>化学物質データ申請完了</t>
    <rPh sb="0" eb="4">
      <t>カガクブッシツ</t>
    </rPh>
    <rPh sb="7" eb="9">
      <t>シンセイ</t>
    </rPh>
    <rPh sb="9" eb="11">
      <t>カンリョウ</t>
    </rPh>
    <phoneticPr fontId="49"/>
  </si>
  <si>
    <t>r1.2</t>
    <phoneticPr fontId="49"/>
  </si>
  <si>
    <t>タイトルを日英併記に変更</t>
    <rPh sb="5" eb="9">
      <t>ニチエイヘイキ</t>
    </rPh>
    <rPh sb="10" eb="12">
      <t>ヘンコウ</t>
    </rPh>
    <phoneticPr fontId="49"/>
  </si>
  <si>
    <t>「化学物質データ申請完了画面」シート</t>
    <phoneticPr fontId="49"/>
  </si>
  <si>
    <t>化学物質データ申請</t>
    <rPh sb="0" eb="4">
      <t>カガクブッシツ</t>
    </rPh>
    <rPh sb="7" eb="9">
      <t>シンセイ</t>
    </rPh>
    <phoneticPr fontId="49"/>
  </si>
  <si>
    <t>導出元
(Source)</t>
    <rPh sb="0" eb="3">
      <t>ドウシュツモト</t>
    </rPh>
    <phoneticPr fontId="11"/>
  </si>
  <si>
    <t>証明書申請 受付番号</t>
    <rPh sb="0" eb="3">
      <t>ショウメイショ</t>
    </rPh>
    <rPh sb="3" eb="5">
      <t>シンセイ</t>
    </rPh>
    <rPh sb="6" eb="10">
      <t>ウケツケバンゴウ</t>
    </rPh>
    <phoneticPr fontId="59"/>
  </si>
  <si>
    <t>HrsChemicalSubstance.member.contactEmail</t>
    <phoneticPr fontId="59"/>
  </si>
  <si>
    <t>システム設定値　キー：chmicalsubstance.from.emailaddress
で得られるメールアドレス</t>
    <rPh sb="4" eb="7">
      <t>セッテイチ</t>
    </rPh>
    <rPh sb="47" eb="48">
      <t>エ</t>
    </rPh>
    <phoneticPr fontId="59"/>
  </si>
  <si>
    <t>申請者のアドレスが表示される。申請完了時のメールは、このアドレス宛に送信される。</t>
    <phoneticPr fontId="59"/>
  </si>
  <si>
    <t>送信メールアドレスは固定（汎用マスタから取得）。申請者宛に送信されるメールの"from"として本アドレスが設定される。</t>
    <rPh sb="53" eb="55">
      <t>セッテイ</t>
    </rPh>
    <phoneticPr fontId="5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</si>
</sst>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#,##0;\-#,##0;&quot;-&quot;"/>
    <numFmt numFmtId="177" formatCode="0.00_)"/>
    <numFmt numFmtId="178" formatCode="#,##0.00;[Red]\(#,##0.00\)"/>
    <numFmt numFmtId="179" formatCode="#,##0.00_);[Red]\(#,##0.00\)"/>
    <numFmt numFmtId="180" formatCode="#,##0_ "/>
    <numFmt numFmtId="181" formatCode="#,##0_);[Red]\(#,##0\)"/>
    <numFmt numFmtId="182" formatCode="0.0%"/>
    <numFmt numFmtId="183" formatCode="#,##0_ ;[Red]\-#,##0\ "/>
    <numFmt numFmtId="184" formatCode="#,##0.0000_);[Red]\(#,##0.0000\)"/>
    <numFmt numFmtId="185" formatCode="0.0000_);[Red]\(0.0000\)"/>
    <numFmt numFmtId="186" formatCode="0.0000_ "/>
  </numFmts>
  <fonts count="106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9"/>
      <color theme="3" tint="0.39997558519241921"/>
      <name val="ＭＳ Ｐゴシック"/>
      <family val="3"/>
      <charset val="128"/>
      <scheme val="minor"/>
    </font>
    <font>
      <sz val="10"/>
      <color rgb="FFFF0000"/>
      <name val="ＭＳ Ｐゴシック"/>
      <family val="3"/>
      <charset val="128"/>
      <scheme val="minor"/>
    </font>
    <font>
      <sz val="10"/>
      <name val="ＭＳ Ｐゴシック"/>
      <family val="2"/>
      <charset val="128"/>
      <scheme val="minor"/>
    </font>
    <font>
      <sz val="11"/>
      <color theme="0" tint="-0.14999847407452621"/>
      <name val="ＭＳ Ｐゴシック"/>
      <family val="2"/>
      <charset val="128"/>
      <scheme val="minor"/>
    </font>
    <font>
      <sz val="11"/>
      <color rgb="FFFFFF00"/>
      <name val="ＭＳ Ｐゴシック"/>
      <family val="2"/>
      <charset val="128"/>
      <scheme val="minor"/>
    </font>
    <font>
      <b/>
      <sz val="14"/>
      <color theme="0"/>
      <name val="ＭＳ Ｐゴシック"/>
      <family val="3"/>
      <charset val="128"/>
      <scheme val="minor"/>
    </font>
    <font>
      <sz val="10"/>
      <color theme="0" tint="-0.34998626667073579"/>
      <name val="ＭＳ Ｐゴシック"/>
      <family val="3"/>
      <charset val="128"/>
      <scheme val="minor"/>
    </font>
    <font>
      <u/>
      <sz val="10"/>
      <name val="ＭＳ Ｐゴシック"/>
      <family val="3"/>
      <charset val="128"/>
      <scheme val="minor"/>
    </font>
    <font>
      <b/>
      <sz val="10"/>
      <color rgb="FF00B050"/>
      <name val="ＭＳ Ｐゴシック"/>
      <family val="3"/>
      <charset val="128"/>
      <scheme val="minor"/>
    </font>
    <font>
      <b/>
      <sz val="10"/>
      <color rgb="FFFF0000"/>
      <name val="ＭＳ Ｐゴシック"/>
      <family val="3"/>
      <charset val="128"/>
      <scheme val="minor"/>
    </font>
    <font>
      <sz val="10"/>
      <color theme="0" tint="-0.499984740745262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u/>
      <sz val="10"/>
      <color rgb="FF0070C0"/>
      <name val="ＭＳ Ｐゴシック"/>
      <family val="3"/>
      <charset val="128"/>
      <scheme val="minor"/>
    </font>
    <font>
      <sz val="10"/>
      <color theme="0"/>
      <name val="ＭＳ Ｐゴシック"/>
      <family val="3"/>
      <charset val="128"/>
      <scheme val="minor"/>
    </font>
    <font>
      <sz val="10"/>
      <color rgb="FF0000FF"/>
      <name val="ＭＳ Ｐゴシック"/>
      <family val="3"/>
      <charset val="128"/>
      <scheme val="minor"/>
    </font>
    <font>
      <strike/>
      <sz val="10"/>
      <color rgb="FFFF0000"/>
      <name val="ＭＳ Ｐゴシック"/>
      <family val="3"/>
      <charset val="128"/>
      <scheme val="minor"/>
    </font>
    <font>
      <b/>
      <sz val="12"/>
      <name val="Arial Black"/>
      <family val="2"/>
    </font>
    <font>
      <sz val="9"/>
      <color indexed="81"/>
      <name val="MS P ゴシック"/>
      <family val="3"/>
      <charset val="128"/>
    </font>
    <font>
      <b/>
      <sz val="10"/>
      <color rgb="FF00B0F0"/>
      <name val="ＭＳ Ｐゴシック"/>
      <family val="3"/>
      <charset val="128"/>
      <scheme val="minor"/>
    </font>
    <font>
      <sz val="10"/>
      <color theme="6" tint="0.39997558519241921"/>
      <name val="ＭＳ Ｐゴシック"/>
      <family val="3"/>
      <charset val="128"/>
      <scheme val="minor"/>
    </font>
    <font>
      <b/>
      <sz val="10"/>
      <color theme="6" tint="0.39997558519241921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u/>
      <sz val="10"/>
      <color theme="1"/>
      <name val="ＭＳ Ｐゴシック"/>
      <family val="3"/>
      <charset val="128"/>
      <scheme val="minor"/>
    </font>
    <font>
      <sz val="9"/>
      <color rgb="FF0000FF"/>
      <name val="ＭＳ Ｐゴシック"/>
      <family val="3"/>
      <charset val="128"/>
      <scheme val="minor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b/>
      <sz val="16"/>
      <name val="Meiryo UI"/>
      <family val="3"/>
      <charset val="128"/>
    </font>
    <font>
      <sz val="12"/>
      <name val="Meiryo UI"/>
      <family val="3"/>
      <charset val="128"/>
    </font>
    <font>
      <sz val="16"/>
      <color rgb="FFFF0000"/>
      <name val="Meiryo UI"/>
      <family val="3"/>
      <charset val="128"/>
    </font>
    <font>
      <b/>
      <sz val="9"/>
      <color theme="1"/>
      <name val="Meiryo UI"/>
      <family val="3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BEEF4"/>
        <bgColor indexed="64"/>
      </patternFill>
    </fill>
    <fill>
      <patternFill patternType="solid">
        <fgColor theme="0" tint="-0.34998626667073579"/>
        <bgColor indexed="64"/>
      </patternFill>
    </fill>
  </fills>
  <borders count="60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64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</borders>
  <cellStyleXfs count="187">
    <xf numFmtId="0" fontId="0" fillId="0" borderId="0">
      <alignment vertical="center"/>
    </xf>
    <xf numFmtId="0" fontId="22" fillId="0" borderId="0"/>
    <xf numFmtId="0" fontId="22" fillId="0" borderId="0"/>
    <xf numFmtId="176" fontId="23" fillId="0" borderId="0" applyFill="0" applyBorder="0" applyAlignment="0"/>
    <xf numFmtId="0" fontId="24" fillId="3" borderId="0">
      <alignment horizontal="left"/>
    </xf>
    <xf numFmtId="0" fontId="25" fillId="3" borderId="0">
      <alignment horizontal="right"/>
    </xf>
    <xf numFmtId="0" fontId="26" fillId="4" borderId="0">
      <alignment horizontal="center"/>
    </xf>
    <xf numFmtId="0" fontId="25" fillId="3" borderId="0">
      <alignment horizontal="right"/>
    </xf>
    <xf numFmtId="0" fontId="26" fillId="4" borderId="0">
      <alignment horizontal="left"/>
    </xf>
    <xf numFmtId="0" fontId="27" fillId="0" borderId="0">
      <alignment horizontal="left"/>
    </xf>
    <xf numFmtId="38" fontId="28" fillId="5" borderId="0" applyNumberFormat="0" applyBorder="0" applyAlignment="0" applyProtection="0"/>
    <xf numFmtId="0" fontId="29" fillId="0" borderId="1" applyNumberFormat="0" applyAlignment="0" applyProtection="0">
      <alignment horizontal="left" vertical="center"/>
    </xf>
    <xf numFmtId="0" fontId="29" fillId="0" borderId="2">
      <alignment horizontal="left" vertical="center"/>
    </xf>
    <xf numFmtId="10" fontId="28" fillId="6" borderId="3" applyNumberFormat="0" applyBorder="0" applyAlignment="0" applyProtection="0"/>
    <xf numFmtId="0" fontId="24" fillId="3" borderId="0">
      <alignment horizontal="left"/>
    </xf>
    <xf numFmtId="0" fontId="30" fillId="4" borderId="0">
      <alignment horizontal="left"/>
    </xf>
    <xf numFmtId="177" fontId="31" fillId="0" borderId="0"/>
    <xf numFmtId="0" fontId="32" fillId="0" borderId="0"/>
    <xf numFmtId="178" fontId="33" fillId="4" borderId="0">
      <alignment horizontal="right"/>
    </xf>
    <xf numFmtId="0" fontId="34" fillId="7" borderId="0">
      <alignment horizontal="center"/>
    </xf>
    <xf numFmtId="0" fontId="35" fillId="8" borderId="0"/>
    <xf numFmtId="0" fontId="36" fillId="4" borderId="0" applyBorder="0">
      <alignment horizontal="centerContinuous"/>
    </xf>
    <xf numFmtId="0" fontId="37" fillId="8" borderId="0" applyBorder="0">
      <alignment horizontal="centerContinuous"/>
    </xf>
    <xf numFmtId="10" fontId="32" fillId="0" borderId="0" applyFont="0" applyFill="0" applyBorder="0" applyAlignment="0" applyProtection="0"/>
    <xf numFmtId="4" fontId="27" fillId="0" borderId="0">
      <alignment horizontal="right"/>
    </xf>
    <xf numFmtId="0" fontId="30" fillId="9" borderId="0">
      <alignment horizontal="center"/>
    </xf>
    <xf numFmtId="49" fontId="38" fillId="4" borderId="0">
      <alignment horizontal="center"/>
    </xf>
    <xf numFmtId="4" fontId="39" fillId="0" borderId="0">
      <alignment horizontal="right"/>
    </xf>
    <xf numFmtId="0" fontId="25" fillId="3" borderId="0">
      <alignment horizontal="center"/>
    </xf>
    <xf numFmtId="0" fontId="25" fillId="3" borderId="0">
      <alignment horizontal="centerContinuous"/>
    </xf>
    <xf numFmtId="0" fontId="40" fillId="4" borderId="0">
      <alignment horizontal="left"/>
    </xf>
    <xf numFmtId="49" fontId="40" fillId="4" borderId="0">
      <alignment horizontal="center"/>
    </xf>
    <xf numFmtId="0" fontId="24" fillId="3" borderId="0">
      <alignment horizontal="left"/>
    </xf>
    <xf numFmtId="49" fontId="40" fillId="4" borderId="0">
      <alignment horizontal="left"/>
    </xf>
    <xf numFmtId="0" fontId="24" fillId="3" borderId="0">
      <alignment horizontal="centerContinuous"/>
    </xf>
    <xf numFmtId="0" fontId="24" fillId="3" borderId="0">
      <alignment horizontal="right"/>
    </xf>
    <xf numFmtId="49" fontId="30" fillId="4" borderId="0">
      <alignment horizontal="left"/>
    </xf>
    <xf numFmtId="0" fontId="25" fillId="3" borderId="0">
      <alignment horizontal="right"/>
    </xf>
    <xf numFmtId="0" fontId="40" fillId="2" borderId="0">
      <alignment horizontal="center"/>
    </xf>
    <xf numFmtId="0" fontId="41" fillId="2" borderId="0">
      <alignment horizontal="center"/>
    </xf>
    <xf numFmtId="0" fontId="42" fillId="0" borderId="0">
      <alignment horizontal="left"/>
    </xf>
    <xf numFmtId="0" fontId="43" fillId="0" borderId="0"/>
    <xf numFmtId="0" fontId="44" fillId="0" borderId="0">
      <alignment horizontal="center"/>
    </xf>
    <xf numFmtId="0" fontId="45" fillId="4" borderId="0">
      <alignment horizontal="center"/>
    </xf>
    <xf numFmtId="0" fontId="46" fillId="0" borderId="0"/>
    <xf numFmtId="0" fontId="13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>
      <alignment vertical="center"/>
    </xf>
    <xf numFmtId="0" fontId="47" fillId="0" borderId="0"/>
    <xf numFmtId="0" fontId="1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8" fillId="0" borderId="0"/>
    <xf numFmtId="0" fontId="4" fillId="0" borderId="0">
      <alignment vertical="center"/>
    </xf>
    <xf numFmtId="0" fontId="61" fillId="0" borderId="0">
      <alignment vertical="center"/>
    </xf>
    <xf numFmtId="0" fontId="1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649">
    <xf numFmtId="0" fontId="0" fillId="0" borderId="0" xfId="0">
      <alignment vertical="center"/>
    </xf>
    <xf numFmtId="0" fontId="13" fillId="0" borderId="0" xfId="48"/>
    <xf numFmtId="0" fontId="14" fillId="0" borderId="0" xfId="48" applyFont="1"/>
    <xf numFmtId="0" fontId="15" fillId="0" borderId="3" xfId="48" applyFont="1" applyBorder="1" applyAlignment="1">
      <alignment horizontal="center"/>
    </xf>
    <xf numFmtId="14" fontId="15" fillId="0" borderId="4" xfId="48" applyNumberFormat="1" applyFont="1" applyBorder="1" applyAlignment="1">
      <alignment horizontal="center"/>
    </xf>
    <xf numFmtId="0" fontId="15" fillId="0" borderId="4" xfId="48" applyFont="1" applyBorder="1" applyAlignment="1">
      <alignment horizontal="center"/>
    </xf>
    <xf numFmtId="0" fontId="15" fillId="0" borderId="5" xfId="48" applyFont="1" applyBorder="1" applyAlignment="1">
      <alignment horizontal="center"/>
    </xf>
    <xf numFmtId="0" fontId="16" fillId="0" borderId="0" xfId="48" applyFont="1"/>
    <xf numFmtId="0" fontId="19" fillId="0" borderId="0" xfId="48" applyFont="1" applyAlignment="1">
      <alignment vertical="center"/>
    </xf>
    <xf numFmtId="0" fontId="15" fillId="14" borderId="0" xfId="48" applyFont="1" applyFill="1" applyAlignment="1">
      <alignment horizontal="center"/>
    </xf>
    <xf numFmtId="14" fontId="15" fillId="14" borderId="0" xfId="48" applyNumberFormat="1" applyFont="1" applyFill="1" applyAlignment="1">
      <alignment horizontal="center"/>
    </xf>
    <xf numFmtId="0" fontId="17" fillId="11" borderId="0" xfId="48" applyFont="1" applyFill="1" applyAlignment="1">
      <alignment vertical="center"/>
    </xf>
    <xf numFmtId="0" fontId="18" fillId="12" borderId="0" xfId="48" applyFont="1" applyFill="1" applyAlignment="1">
      <alignment vertical="center"/>
    </xf>
    <xf numFmtId="0" fontId="19" fillId="0" borderId="0" xfId="48" applyFont="1" applyAlignment="1">
      <alignment horizontal="left" vertical="center"/>
    </xf>
    <xf numFmtId="0" fontId="18" fillId="12" borderId="0" xfId="48" applyFont="1" applyFill="1" applyAlignment="1">
      <alignment horizontal="center" vertical="center"/>
    </xf>
    <xf numFmtId="0" fontId="19" fillId="0" borderId="0" xfId="48" applyFont="1" applyAlignment="1">
      <alignment horizontal="center" vertical="center"/>
    </xf>
    <xf numFmtId="14" fontId="19" fillId="0" borderId="0" xfId="48" applyNumberFormat="1" applyFont="1" applyAlignment="1">
      <alignment horizontal="center" vertical="center"/>
    </xf>
    <xf numFmtId="0" fontId="18" fillId="11" borderId="0" xfId="48" applyFont="1" applyFill="1" applyAlignment="1">
      <alignment vertical="center"/>
    </xf>
    <xf numFmtId="0" fontId="20" fillId="0" borderId="0" xfId="48" applyFont="1" applyAlignment="1">
      <alignment vertical="center"/>
    </xf>
    <xf numFmtId="49" fontId="19" fillId="0" borderId="0" xfId="48" applyNumberFormat="1" applyFont="1" applyAlignment="1">
      <alignment horizontal="center" vertical="center"/>
    </xf>
    <xf numFmtId="0" fontId="21" fillId="0" borderId="0" xfId="48" applyFont="1" applyAlignment="1">
      <alignment vertical="center"/>
    </xf>
    <xf numFmtId="49" fontId="19" fillId="14" borderId="13" xfId="0" applyNumberFormat="1" applyFont="1" applyFill="1" applyBorder="1" applyAlignment="1">
      <alignment vertical="top"/>
    </xf>
    <xf numFmtId="0" fontId="19" fillId="10" borderId="6" xfId="49" applyFont="1" applyFill="1" applyBorder="1" applyAlignment="1">
      <alignment horizontal="right" vertical="center"/>
    </xf>
    <xf numFmtId="0" fontId="51" fillId="14" borderId="6" xfId="49" applyFont="1" applyFill="1" applyBorder="1" applyAlignment="1">
      <alignment horizontal="right" vertical="center"/>
    </xf>
    <xf numFmtId="0" fontId="53" fillId="14" borderId="0" xfId="0" applyFont="1" applyFill="1">
      <alignment vertical="center"/>
    </xf>
    <xf numFmtId="0" fontId="0" fillId="14" borderId="0" xfId="0" applyFill="1" applyAlignment="1">
      <alignment vertical="center" wrapText="1"/>
    </xf>
    <xf numFmtId="0" fontId="52" fillId="14" borderId="8" xfId="0" applyFont="1" applyFill="1" applyBorder="1">
      <alignment vertical="center"/>
    </xf>
    <xf numFmtId="49" fontId="19" fillId="10" borderId="15" xfId="0" applyNumberFormat="1" applyFont="1" applyFill="1" applyBorder="1" applyAlignment="1">
      <alignment horizontal="center" vertical="center"/>
    </xf>
    <xf numFmtId="0" fontId="52" fillId="14" borderId="0" xfId="0" applyFont="1" applyFill="1">
      <alignment vertical="center"/>
    </xf>
    <xf numFmtId="49" fontId="19" fillId="10" borderId="6" xfId="0" applyNumberFormat="1" applyFont="1" applyFill="1" applyBorder="1" applyAlignment="1">
      <alignment horizontal="left" vertical="center"/>
    </xf>
    <xf numFmtId="0" fontId="57" fillId="14" borderId="0" xfId="161" applyFont="1" applyFill="1">
      <alignment vertical="center"/>
    </xf>
    <xf numFmtId="0" fontId="52" fillId="14" borderId="0" xfId="161" applyFont="1" applyFill="1">
      <alignment vertical="center"/>
    </xf>
    <xf numFmtId="0" fontId="52" fillId="14" borderId="6" xfId="161" applyFont="1" applyFill="1" applyBorder="1">
      <alignment vertical="center"/>
    </xf>
    <xf numFmtId="0" fontId="52" fillId="14" borderId="11" xfId="161" applyFont="1" applyFill="1" applyBorder="1">
      <alignment vertical="center"/>
    </xf>
    <xf numFmtId="0" fontId="19" fillId="10" borderId="9" xfId="46" applyFont="1" applyFill="1" applyBorder="1" applyAlignment="1">
      <alignment horizontal="centerContinuous"/>
    </xf>
    <xf numFmtId="0" fontId="0" fillId="14" borderId="0" xfId="0" applyFill="1">
      <alignment vertical="center"/>
    </xf>
    <xf numFmtId="0" fontId="56" fillId="18" borderId="2" xfId="161" applyFont="1" applyFill="1" applyBorder="1">
      <alignment vertical="center"/>
    </xf>
    <xf numFmtId="0" fontId="52" fillId="14" borderId="2" xfId="0" applyFont="1" applyFill="1" applyBorder="1">
      <alignment vertical="center"/>
    </xf>
    <xf numFmtId="0" fontId="0" fillId="14" borderId="8" xfId="0" applyFill="1" applyBorder="1">
      <alignment vertical="center"/>
    </xf>
    <xf numFmtId="0" fontId="52" fillId="14" borderId="0" xfId="161" applyFont="1" applyFill="1" applyAlignment="1">
      <alignment horizontal="left" vertical="center"/>
    </xf>
    <xf numFmtId="0" fontId="19" fillId="10" borderId="20" xfId="46" applyFont="1" applyFill="1" applyBorder="1" applyAlignment="1">
      <alignment horizontal="centerContinuous"/>
    </xf>
    <xf numFmtId="0" fontId="53" fillId="14" borderId="0" xfId="161" applyFont="1" applyFill="1">
      <alignment vertical="center"/>
    </xf>
    <xf numFmtId="0" fontId="52" fillId="14" borderId="0" xfId="161" applyFont="1" applyFill="1" applyAlignment="1">
      <alignment horizontal="center" vertical="center"/>
    </xf>
    <xf numFmtId="0" fontId="57" fillId="14" borderId="6" xfId="161" quotePrefix="1" applyFont="1" applyFill="1" applyBorder="1">
      <alignment vertical="center"/>
    </xf>
    <xf numFmtId="0" fontId="57" fillId="14" borderId="11" xfId="161" applyFont="1" applyFill="1" applyBorder="1">
      <alignment vertical="center"/>
    </xf>
    <xf numFmtId="0" fontId="67" fillId="18" borderId="10" xfId="161" applyFont="1" applyFill="1" applyBorder="1">
      <alignment vertical="center"/>
    </xf>
    <xf numFmtId="0" fontId="65" fillId="18" borderId="2" xfId="161" applyFont="1" applyFill="1" applyBorder="1">
      <alignment vertical="center"/>
    </xf>
    <xf numFmtId="0" fontId="66" fillId="18" borderId="2" xfId="161" applyFont="1" applyFill="1" applyBorder="1">
      <alignment vertical="center"/>
    </xf>
    <xf numFmtId="0" fontId="56" fillId="18" borderId="2" xfId="161" applyFont="1" applyFill="1" applyBorder="1" applyAlignment="1">
      <alignment horizontal="centerContinuous" vertical="center"/>
    </xf>
    <xf numFmtId="0" fontId="56" fillId="18" borderId="17" xfId="161" applyFont="1" applyFill="1" applyBorder="1" applyAlignment="1">
      <alignment horizontal="centerContinuous" vertical="center"/>
    </xf>
    <xf numFmtId="0" fontId="52" fillId="14" borderId="8" xfId="161" applyFont="1" applyFill="1" applyBorder="1">
      <alignment vertical="center"/>
    </xf>
    <xf numFmtId="0" fontId="52" fillId="14" borderId="12" xfId="161" applyFont="1" applyFill="1" applyBorder="1">
      <alignment vertical="center"/>
    </xf>
    <xf numFmtId="0" fontId="52" fillId="19" borderId="10" xfId="161" quotePrefix="1" applyFont="1" applyFill="1" applyBorder="1">
      <alignment vertical="center"/>
    </xf>
    <xf numFmtId="0" fontId="52" fillId="19" borderId="2" xfId="161" applyFont="1" applyFill="1" applyBorder="1">
      <alignment vertical="center"/>
    </xf>
    <xf numFmtId="0" fontId="52" fillId="19" borderId="2" xfId="161" applyFont="1" applyFill="1" applyBorder="1" applyAlignment="1">
      <alignment horizontal="center" vertical="center"/>
    </xf>
    <xf numFmtId="0" fontId="52" fillId="19" borderId="2" xfId="0" applyFont="1" applyFill="1" applyBorder="1">
      <alignment vertical="center"/>
    </xf>
    <xf numFmtId="0" fontId="52" fillId="0" borderId="10" xfId="161" quotePrefix="1" applyFont="1" applyBorder="1">
      <alignment vertical="center"/>
    </xf>
    <xf numFmtId="0" fontId="52" fillId="0" borderId="2" xfId="161" applyFont="1" applyBorder="1">
      <alignment vertical="center"/>
    </xf>
    <xf numFmtId="0" fontId="52" fillId="0" borderId="2" xfId="161" applyFont="1" applyBorder="1" applyAlignment="1">
      <alignment horizontal="center" vertical="center"/>
    </xf>
    <xf numFmtId="0" fontId="52" fillId="0" borderId="2" xfId="0" applyFont="1" applyBorder="1">
      <alignment vertical="center"/>
    </xf>
    <xf numFmtId="0" fontId="52" fillId="0" borderId="0" xfId="161" quotePrefix="1" applyFont="1">
      <alignment vertical="center"/>
    </xf>
    <xf numFmtId="0" fontId="52" fillId="0" borderId="0" xfId="161" applyFont="1">
      <alignment vertical="center"/>
    </xf>
    <xf numFmtId="0" fontId="52" fillId="0" borderId="0" xfId="161" applyFont="1" applyAlignment="1">
      <alignment horizontal="center" vertical="center"/>
    </xf>
    <xf numFmtId="0" fontId="52" fillId="0" borderId="0" xfId="0" applyFont="1">
      <alignment vertical="center"/>
    </xf>
    <xf numFmtId="0" fontId="52" fillId="19" borderId="17" xfId="0" applyFont="1" applyFill="1" applyBorder="1">
      <alignment vertical="center"/>
    </xf>
    <xf numFmtId="0" fontId="52" fillId="0" borderId="8" xfId="0" applyFont="1" applyBorder="1">
      <alignment vertical="center"/>
    </xf>
    <xf numFmtId="0" fontId="52" fillId="0" borderId="0" xfId="161" applyFont="1" applyAlignment="1">
      <alignment horizontal="left" vertical="center"/>
    </xf>
    <xf numFmtId="0" fontId="52" fillId="0" borderId="17" xfId="0" applyFont="1" applyBorder="1">
      <alignment vertical="center"/>
    </xf>
    <xf numFmtId="0" fontId="52" fillId="14" borderId="28" xfId="0" applyFont="1" applyFill="1" applyBorder="1">
      <alignment vertical="center"/>
    </xf>
    <xf numFmtId="0" fontId="52" fillId="14" borderId="31" xfId="0" applyFont="1" applyFill="1" applyBorder="1">
      <alignment vertical="center"/>
    </xf>
    <xf numFmtId="0" fontId="52" fillId="0" borderId="12" xfId="0" applyFont="1" applyBorder="1">
      <alignment vertical="center"/>
    </xf>
    <xf numFmtId="0" fontId="53" fillId="0" borderId="0" xfId="161" applyFont="1">
      <alignment vertical="center"/>
    </xf>
    <xf numFmtId="0" fontId="52" fillId="14" borderId="0" xfId="0" applyFont="1" applyFill="1" applyAlignment="1">
      <alignment horizontal="center" vertical="center"/>
    </xf>
    <xf numFmtId="0" fontId="19" fillId="10" borderId="19" xfId="46" applyFont="1" applyFill="1" applyBorder="1" applyAlignment="1">
      <alignment horizontal="centerContinuous"/>
    </xf>
    <xf numFmtId="0" fontId="19" fillId="10" borderId="16" xfId="46" applyFont="1" applyFill="1" applyBorder="1" applyAlignment="1">
      <alignment horizontal="centerContinuous"/>
    </xf>
    <xf numFmtId="0" fontId="56" fillId="14" borderId="11" xfId="161" quotePrefix="1" applyFont="1" applyFill="1" applyBorder="1" applyAlignment="1">
      <alignment horizontal="centerContinuous" vertical="center"/>
    </xf>
    <xf numFmtId="0" fontId="52" fillId="14" borderId="0" xfId="0" applyFont="1" applyFill="1" applyAlignment="1">
      <alignment vertical="center" wrapText="1"/>
    </xf>
    <xf numFmtId="0" fontId="53" fillId="0" borderId="0" xfId="161" applyFont="1" applyAlignment="1">
      <alignment horizontal="left" vertical="center"/>
    </xf>
    <xf numFmtId="0" fontId="53" fillId="0" borderId="0" xfId="0" applyFont="1">
      <alignment vertical="center"/>
    </xf>
    <xf numFmtId="0" fontId="53" fillId="0" borderId="0" xfId="161" applyFont="1" applyAlignment="1">
      <alignment horizontal="center" vertical="center"/>
    </xf>
    <xf numFmtId="0" fontId="53" fillId="14" borderId="8" xfId="0" applyFont="1" applyFill="1" applyBorder="1">
      <alignment vertical="center"/>
    </xf>
    <xf numFmtId="0" fontId="53" fillId="0" borderId="8" xfId="161" applyFont="1" applyBorder="1">
      <alignment vertical="center"/>
    </xf>
    <xf numFmtId="0" fontId="53" fillId="0" borderId="8" xfId="0" applyFont="1" applyBorder="1">
      <alignment vertical="center"/>
    </xf>
    <xf numFmtId="0" fontId="53" fillId="0" borderId="8" xfId="16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7" fillId="14" borderId="8" xfId="161" applyFont="1" applyFill="1" applyBorder="1">
      <alignment vertical="center"/>
    </xf>
    <xf numFmtId="0" fontId="52" fillId="0" borderId="6" xfId="0" applyFont="1" applyBorder="1">
      <alignment vertical="center"/>
    </xf>
    <xf numFmtId="0" fontId="52" fillId="14" borderId="2" xfId="161" applyFont="1" applyFill="1" applyBorder="1">
      <alignment vertical="center"/>
    </xf>
    <xf numFmtId="0" fontId="52" fillId="14" borderId="17" xfId="0" applyFont="1" applyFill="1" applyBorder="1">
      <alignment vertical="center"/>
    </xf>
    <xf numFmtId="0" fontId="52" fillId="14" borderId="10" xfId="0" applyFont="1" applyFill="1" applyBorder="1">
      <alignment vertical="center"/>
    </xf>
    <xf numFmtId="0" fontId="53" fillId="14" borderId="3" xfId="161" applyFont="1" applyFill="1" applyBorder="1" applyAlignment="1">
      <alignment horizontal="center" vertical="center"/>
    </xf>
    <xf numFmtId="0" fontId="52" fillId="0" borderId="8" xfId="161" applyFont="1" applyBorder="1">
      <alignment vertical="center"/>
    </xf>
    <xf numFmtId="0" fontId="52" fillId="0" borderId="8" xfId="161" applyFont="1" applyBorder="1" applyAlignment="1">
      <alignment horizontal="center" vertical="center"/>
    </xf>
    <xf numFmtId="0" fontId="52" fillId="0" borderId="12" xfId="161" quotePrefix="1" applyFont="1" applyBorder="1">
      <alignment vertical="center"/>
    </xf>
    <xf numFmtId="0" fontId="52" fillId="0" borderId="12" xfId="161" applyFont="1" applyBorder="1">
      <alignment vertical="center"/>
    </xf>
    <xf numFmtId="0" fontId="52" fillId="0" borderId="12" xfId="161" applyFont="1" applyBorder="1" applyAlignment="1">
      <alignment horizontal="center" vertical="center"/>
    </xf>
    <xf numFmtId="0" fontId="52" fillId="0" borderId="8" xfId="161" quotePrefix="1" applyFont="1" applyBorder="1">
      <alignment vertical="center"/>
    </xf>
    <xf numFmtId="0" fontId="60" fillId="19" borderId="2" xfId="0" applyFont="1" applyFill="1" applyBorder="1" applyAlignment="1">
      <alignment horizontal="centerContinuous" vertical="center"/>
    </xf>
    <xf numFmtId="0" fontId="0" fillId="19" borderId="17" xfId="0" applyFill="1" applyBorder="1" applyAlignment="1">
      <alignment horizontal="centerContinuous" vertical="center"/>
    </xf>
    <xf numFmtId="0" fontId="0" fillId="14" borderId="2" xfId="0" applyFill="1" applyBorder="1" applyAlignment="1">
      <alignment horizontal="centerContinuous" vertical="center"/>
    </xf>
    <xf numFmtId="0" fontId="0" fillId="14" borderId="17" xfId="0" applyFill="1" applyBorder="1" applyAlignment="1">
      <alignment horizontal="centerContinuous" vertical="center"/>
    </xf>
    <xf numFmtId="0" fontId="0" fillId="14" borderId="2" xfId="0" applyFill="1" applyBorder="1">
      <alignment vertical="center"/>
    </xf>
    <xf numFmtId="0" fontId="72" fillId="0" borderId="0" xfId="161" applyFont="1">
      <alignment vertical="center"/>
    </xf>
    <xf numFmtId="0" fontId="72" fillId="0" borderId="0" xfId="0" applyFont="1">
      <alignment vertical="center"/>
    </xf>
    <xf numFmtId="0" fontId="53" fillId="14" borderId="12" xfId="161" applyFont="1" applyFill="1" applyBorder="1">
      <alignment vertical="center"/>
    </xf>
    <xf numFmtId="0" fontId="19" fillId="10" borderId="18" xfId="46" applyFont="1" applyFill="1" applyBorder="1" applyAlignment="1">
      <alignment horizontal="centerContinuous"/>
    </xf>
    <xf numFmtId="0" fontId="52" fillId="14" borderId="0" xfId="0" applyFont="1" applyFill="1" applyAlignment="1">
      <alignment horizontal="left" vertical="center"/>
    </xf>
    <xf numFmtId="0" fontId="60" fillId="0" borderId="10" xfId="161" quotePrefix="1" applyFont="1" applyBorder="1">
      <alignment vertical="center"/>
    </xf>
    <xf numFmtId="0" fontId="60" fillId="0" borderId="2" xfId="161" quotePrefix="1" applyFont="1" applyBorder="1">
      <alignment vertical="center"/>
    </xf>
    <xf numFmtId="0" fontId="52" fillId="0" borderId="0" xfId="161" quotePrefix="1" applyFont="1" applyAlignment="1">
      <alignment horizontal="left" vertical="center"/>
    </xf>
    <xf numFmtId="0" fontId="52" fillId="0" borderId="25" xfId="161" applyFont="1" applyBorder="1" applyAlignment="1">
      <alignment horizontal="center" vertical="center"/>
    </xf>
    <xf numFmtId="0" fontId="52" fillId="0" borderId="2" xfId="161" quotePrefix="1" applyFont="1" applyBorder="1">
      <alignment vertical="center"/>
    </xf>
    <xf numFmtId="14" fontId="52" fillId="0" borderId="10" xfId="161" quotePrefix="1" applyNumberFormat="1" applyFont="1" applyBorder="1">
      <alignment vertical="center"/>
    </xf>
    <xf numFmtId="0" fontId="52" fillId="0" borderId="0" xfId="0" applyFont="1" applyAlignment="1">
      <alignment vertical="center" wrapText="1"/>
    </xf>
    <xf numFmtId="0" fontId="52" fillId="0" borderId="0" xfId="0" applyFont="1" applyAlignment="1">
      <alignment horizontal="center" vertical="center"/>
    </xf>
    <xf numFmtId="0" fontId="53" fillId="0" borderId="0" xfId="161" quotePrefix="1" applyFont="1">
      <alignment vertical="center"/>
    </xf>
    <xf numFmtId="0" fontId="53" fillId="0" borderId="2" xfId="161" applyFont="1" applyBorder="1">
      <alignment vertical="center"/>
    </xf>
    <xf numFmtId="0" fontId="57" fillId="14" borderId="6" xfId="180" quotePrefix="1" applyFont="1" applyFill="1" applyBorder="1">
      <alignment vertical="center"/>
    </xf>
    <xf numFmtId="0" fontId="52" fillId="14" borderId="0" xfId="180" applyFont="1" applyFill="1">
      <alignment vertical="center"/>
    </xf>
    <xf numFmtId="0" fontId="53" fillId="19" borderId="2" xfId="180" applyFont="1" applyFill="1" applyBorder="1" applyAlignment="1">
      <alignment horizontal="centerContinuous" vertical="center"/>
    </xf>
    <xf numFmtId="0" fontId="60" fillId="19" borderId="2" xfId="180" applyFont="1" applyFill="1" applyBorder="1" applyAlignment="1">
      <alignment horizontal="centerContinuous" vertical="center"/>
    </xf>
    <xf numFmtId="0" fontId="53" fillId="19" borderId="10" xfId="180" applyFont="1" applyFill="1" applyBorder="1" applyAlignment="1">
      <alignment horizontal="centerContinuous" vertical="center"/>
    </xf>
    <xf numFmtId="0" fontId="52" fillId="19" borderId="2" xfId="180" applyFont="1" applyFill="1" applyBorder="1" applyAlignment="1">
      <alignment horizontal="centerContinuous" vertical="center"/>
    </xf>
    <xf numFmtId="0" fontId="52" fillId="0" borderId="0" xfId="180" applyFont="1">
      <alignment vertical="center"/>
    </xf>
    <xf numFmtId="0" fontId="64" fillId="14" borderId="0" xfId="180" applyFont="1" applyFill="1">
      <alignment vertical="center"/>
    </xf>
    <xf numFmtId="0" fontId="76" fillId="14" borderId="2" xfId="180" quotePrefix="1" applyFont="1" applyFill="1" applyBorder="1">
      <alignment vertical="center"/>
    </xf>
    <xf numFmtId="0" fontId="52" fillId="14" borderId="10" xfId="180" applyFont="1" applyFill="1" applyBorder="1" applyAlignment="1">
      <alignment horizontal="centerContinuous" vertical="center"/>
    </xf>
    <xf numFmtId="0" fontId="52" fillId="14" borderId="2" xfId="180" applyFont="1" applyFill="1" applyBorder="1" applyAlignment="1">
      <alignment horizontal="centerContinuous" vertical="center"/>
    </xf>
    <xf numFmtId="0" fontId="73" fillId="14" borderId="10" xfId="180" applyFont="1" applyFill="1" applyBorder="1" applyAlignment="1">
      <alignment horizontal="center" vertical="center"/>
    </xf>
    <xf numFmtId="0" fontId="52" fillId="14" borderId="2" xfId="180" applyFont="1" applyFill="1" applyBorder="1" applyAlignment="1">
      <alignment horizontal="left" vertical="center"/>
    </xf>
    <xf numFmtId="0" fontId="0" fillId="14" borderId="17" xfId="0" applyFill="1" applyBorder="1">
      <alignment vertical="center"/>
    </xf>
    <xf numFmtId="0" fontId="57" fillId="14" borderId="11" xfId="180" applyFont="1" applyFill="1" applyBorder="1">
      <alignment vertical="center"/>
    </xf>
    <xf numFmtId="0" fontId="0" fillId="19" borderId="2" xfId="0" applyFill="1" applyBorder="1" applyAlignment="1">
      <alignment horizontal="centerContinuous" vertical="center"/>
    </xf>
    <xf numFmtId="0" fontId="73" fillId="14" borderId="2" xfId="180" applyFont="1" applyFill="1" applyBorder="1" applyAlignment="1">
      <alignment horizontal="centerContinuous" vertical="center"/>
    </xf>
    <xf numFmtId="14" fontId="60" fillId="0" borderId="10" xfId="161" quotePrefix="1" applyNumberFormat="1" applyFont="1" applyBorder="1" applyAlignment="1">
      <alignment horizontal="centerContinuous" vertical="center"/>
    </xf>
    <xf numFmtId="14" fontId="60" fillId="0" borderId="2" xfId="161" quotePrefix="1" applyNumberFormat="1" applyFont="1" applyBorder="1" applyAlignment="1">
      <alignment horizontal="centerContinuous" vertical="center"/>
    </xf>
    <xf numFmtId="0" fontId="60" fillId="0" borderId="2" xfId="161" quotePrefix="1" applyFont="1" applyBorder="1" applyAlignment="1">
      <alignment horizontal="centerContinuous" vertical="center"/>
    </xf>
    <xf numFmtId="0" fontId="60" fillId="0" borderId="17" xfId="161" quotePrefix="1" applyFont="1" applyBorder="1" applyAlignment="1">
      <alignment horizontal="centerContinuous" vertical="center"/>
    </xf>
    <xf numFmtId="0" fontId="60" fillId="0" borderId="17" xfId="161" applyFont="1" applyBorder="1" applyAlignment="1">
      <alignment horizontal="centerContinuous" vertical="center"/>
    </xf>
    <xf numFmtId="0" fontId="19" fillId="10" borderId="7" xfId="49" applyFont="1" applyFill="1" applyBorder="1" applyAlignment="1">
      <alignment horizontal="right" vertical="center"/>
    </xf>
    <xf numFmtId="0" fontId="0" fillId="14" borderId="2" xfId="0" applyFill="1" applyBorder="1" applyAlignment="1">
      <alignment vertical="center" wrapText="1"/>
    </xf>
    <xf numFmtId="0" fontId="57" fillId="14" borderId="14" xfId="161" applyFont="1" applyFill="1" applyBorder="1">
      <alignment vertical="center"/>
    </xf>
    <xf numFmtId="0" fontId="77" fillId="0" borderId="0" xfId="0" applyFont="1">
      <alignment vertical="center"/>
    </xf>
    <xf numFmtId="0" fontId="19" fillId="10" borderId="26" xfId="46" applyFont="1" applyFill="1" applyBorder="1" applyAlignment="1">
      <alignment horizontal="centerContinuous"/>
    </xf>
    <xf numFmtId="0" fontId="52" fillId="0" borderId="23" xfId="161" applyFont="1" applyBorder="1" applyAlignment="1">
      <alignment horizontal="center" vertical="center"/>
    </xf>
    <xf numFmtId="0" fontId="62" fillId="0" borderId="2" xfId="161" applyFont="1" applyBorder="1" applyAlignment="1">
      <alignment horizontal="centerContinuous" vertical="center"/>
    </xf>
    <xf numFmtId="0" fontId="62" fillId="0" borderId="17" xfId="161" applyFont="1" applyBorder="1" applyAlignment="1">
      <alignment horizontal="centerContinuous" vertical="center"/>
    </xf>
    <xf numFmtId="0" fontId="68" fillId="0" borderId="15" xfId="161" applyFont="1" applyBorder="1" applyAlignment="1">
      <alignment horizontal="left" vertical="center"/>
    </xf>
    <xf numFmtId="0" fontId="68" fillId="0" borderId="12" xfId="161" applyFont="1" applyBorder="1" applyAlignment="1">
      <alignment horizontal="left" vertical="center"/>
    </xf>
    <xf numFmtId="0" fontId="68" fillId="0" borderId="12" xfId="0" applyFont="1" applyBorder="1">
      <alignment vertical="center"/>
    </xf>
    <xf numFmtId="0" fontId="68" fillId="0" borderId="12" xfId="161" applyFont="1" applyBorder="1" applyAlignment="1">
      <alignment horizontal="center" vertical="center"/>
    </xf>
    <xf numFmtId="0" fontId="68" fillId="0" borderId="12" xfId="161" applyFont="1" applyBorder="1">
      <alignment vertical="center"/>
    </xf>
    <xf numFmtId="0" fontId="68" fillId="0" borderId="12" xfId="0" applyFont="1" applyBorder="1" applyAlignment="1">
      <alignment horizontal="center" vertical="center"/>
    </xf>
    <xf numFmtId="0" fontId="68" fillId="0" borderId="7" xfId="161" applyFont="1" applyBorder="1" applyAlignment="1">
      <alignment horizontal="left" vertical="center"/>
    </xf>
    <xf numFmtId="0" fontId="68" fillId="0" borderId="8" xfId="161" applyFont="1" applyBorder="1" applyAlignment="1">
      <alignment horizontal="left" vertical="center"/>
    </xf>
    <xf numFmtId="0" fontId="68" fillId="0" borderId="8" xfId="0" applyFont="1" applyBorder="1">
      <alignment vertical="center"/>
    </xf>
    <xf numFmtId="0" fontId="68" fillId="0" borderId="8" xfId="161" applyFont="1" applyBorder="1" applyAlignment="1">
      <alignment horizontal="center" vertical="center"/>
    </xf>
    <xf numFmtId="0" fontId="68" fillId="0" borderId="8" xfId="161" applyFont="1" applyBorder="1">
      <alignment vertical="center"/>
    </xf>
    <xf numFmtId="0" fontId="68" fillId="0" borderId="8" xfId="0" applyFont="1" applyBorder="1" applyAlignment="1">
      <alignment horizontal="center" vertical="center"/>
    </xf>
    <xf numFmtId="0" fontId="19" fillId="10" borderId="0" xfId="46" applyFont="1" applyFill="1" applyAlignment="1">
      <alignment horizontal="centerContinuous"/>
    </xf>
    <xf numFmtId="0" fontId="57" fillId="19" borderId="10" xfId="180" applyFont="1" applyFill="1" applyBorder="1">
      <alignment vertical="center"/>
    </xf>
    <xf numFmtId="0" fontId="57" fillId="19" borderId="2" xfId="180" applyFont="1" applyFill="1" applyBorder="1">
      <alignment vertical="center"/>
    </xf>
    <xf numFmtId="0" fontId="52" fillId="19" borderId="2" xfId="180" applyFont="1" applyFill="1" applyBorder="1">
      <alignment vertical="center"/>
    </xf>
    <xf numFmtId="0" fontId="52" fillId="19" borderId="2" xfId="180" applyFont="1" applyFill="1" applyBorder="1" applyAlignment="1">
      <alignment horizontal="center" vertical="center"/>
    </xf>
    <xf numFmtId="0" fontId="0" fillId="19" borderId="2" xfId="0" applyFill="1" applyBorder="1">
      <alignment vertical="center"/>
    </xf>
    <xf numFmtId="0" fontId="52" fillId="19" borderId="2" xfId="180" quotePrefix="1" applyFont="1" applyFill="1" applyBorder="1">
      <alignment vertical="center"/>
    </xf>
    <xf numFmtId="0" fontId="64" fillId="19" borderId="2" xfId="161" applyFont="1" applyFill="1" applyBorder="1">
      <alignment vertical="center"/>
    </xf>
    <xf numFmtId="0" fontId="52" fillId="19" borderId="2" xfId="0" applyFont="1" applyFill="1" applyBorder="1" applyAlignment="1">
      <alignment vertical="center" wrapText="1"/>
    </xf>
    <xf numFmtId="0" fontId="52" fillId="19" borderId="2" xfId="161" quotePrefix="1" applyFont="1" applyFill="1" applyBorder="1">
      <alignment vertical="center"/>
    </xf>
    <xf numFmtId="0" fontId="57" fillId="19" borderId="17" xfId="180" applyFont="1" applyFill="1" applyBorder="1">
      <alignment vertical="center"/>
    </xf>
    <xf numFmtId="0" fontId="19" fillId="0" borderId="2" xfId="0" applyFont="1" applyBorder="1" applyAlignment="1">
      <alignment horizontal="center" vertical="top"/>
    </xf>
    <xf numFmtId="0" fontId="19" fillId="21" borderId="2" xfId="0" applyFont="1" applyFill="1" applyBorder="1" applyAlignment="1">
      <alignment horizontal="center" vertical="top"/>
    </xf>
    <xf numFmtId="0" fontId="19" fillId="22" borderId="2" xfId="0" applyFont="1" applyFill="1" applyBorder="1" applyAlignment="1">
      <alignment horizontal="center" vertical="top"/>
    </xf>
    <xf numFmtId="0" fontId="52" fillId="0" borderId="15" xfId="0" applyFont="1" applyBorder="1">
      <alignment vertical="center"/>
    </xf>
    <xf numFmtId="0" fontId="79" fillId="0" borderId="0" xfId="161" applyFont="1">
      <alignment vertical="center"/>
    </xf>
    <xf numFmtId="0" fontId="79" fillId="0" borderId="0" xfId="0" applyFont="1">
      <alignment vertical="center"/>
    </xf>
    <xf numFmtId="0" fontId="79" fillId="0" borderId="0" xfId="161" applyFont="1" applyAlignment="1">
      <alignment horizontal="center" vertical="center"/>
    </xf>
    <xf numFmtId="0" fontId="68" fillId="0" borderId="0" xfId="161" applyFont="1" applyAlignment="1">
      <alignment horizontal="left" vertical="center"/>
    </xf>
    <xf numFmtId="0" fontId="68" fillId="0" borderId="0" xfId="0" applyFont="1">
      <alignment vertical="center"/>
    </xf>
    <xf numFmtId="0" fontId="68" fillId="0" borderId="0" xfId="161" applyFont="1" applyAlignment="1">
      <alignment horizontal="center" vertical="center"/>
    </xf>
    <xf numFmtId="0" fontId="68" fillId="0" borderId="0" xfId="161" applyFont="1">
      <alignment vertical="center"/>
    </xf>
    <xf numFmtId="0" fontId="68" fillId="0" borderId="0" xfId="0" applyFont="1" applyAlignment="1">
      <alignment horizontal="center" vertical="center"/>
    </xf>
    <xf numFmtId="0" fontId="52" fillId="0" borderId="0" xfId="0" applyFont="1" applyAlignment="1">
      <alignment horizontal="left" vertical="center"/>
    </xf>
    <xf numFmtId="0" fontId="69" fillId="0" borderId="0" xfId="161" applyFont="1" applyAlignment="1">
      <alignment horizontal="left" vertical="center"/>
    </xf>
    <xf numFmtId="0" fontId="69" fillId="0" borderId="0" xfId="0" applyFont="1">
      <alignment vertical="center"/>
    </xf>
    <xf numFmtId="0" fontId="52" fillId="14" borderId="6" xfId="161" quotePrefix="1" applyFont="1" applyFill="1" applyBorder="1">
      <alignment vertical="center"/>
    </xf>
    <xf numFmtId="0" fontId="77" fillId="14" borderId="6" xfId="161" quotePrefix="1" applyFont="1" applyFill="1" applyBorder="1">
      <alignment vertical="center"/>
    </xf>
    <xf numFmtId="0" fontId="77" fillId="14" borderId="0" xfId="161" applyFont="1" applyFill="1">
      <alignment vertical="center"/>
    </xf>
    <xf numFmtId="0" fontId="75" fillId="14" borderId="0" xfId="0" applyFont="1" applyFill="1">
      <alignment vertical="center"/>
    </xf>
    <xf numFmtId="0" fontId="53" fillId="23" borderId="15" xfId="161" applyFont="1" applyFill="1" applyBorder="1" applyAlignment="1">
      <alignment horizontal="centerContinuous" vertical="center"/>
    </xf>
    <xf numFmtId="0" fontId="53" fillId="23" borderId="12" xfId="161" applyFont="1" applyFill="1" applyBorder="1" applyAlignment="1">
      <alignment horizontal="centerContinuous" vertical="center"/>
    </xf>
    <xf numFmtId="0" fontId="53" fillId="23" borderId="13" xfId="161" applyFont="1" applyFill="1" applyBorder="1" applyAlignment="1">
      <alignment horizontal="centerContinuous" vertical="center"/>
    </xf>
    <xf numFmtId="0" fontId="53" fillId="23" borderId="15" xfId="161" quotePrefix="1" applyFont="1" applyFill="1" applyBorder="1" applyAlignment="1">
      <alignment horizontal="centerContinuous" vertical="center"/>
    </xf>
    <xf numFmtId="0" fontId="53" fillId="23" borderId="12" xfId="161" quotePrefix="1" applyFont="1" applyFill="1" applyBorder="1" applyAlignment="1">
      <alignment horizontal="centerContinuous" vertical="center"/>
    </xf>
    <xf numFmtId="0" fontId="60" fillId="23" borderId="15" xfId="161" applyFont="1" applyFill="1" applyBorder="1" applyAlignment="1">
      <alignment horizontal="centerContinuous" vertical="center"/>
    </xf>
    <xf numFmtId="0" fontId="60" fillId="23" borderId="12" xfId="161" applyFont="1" applyFill="1" applyBorder="1" applyAlignment="1">
      <alignment horizontal="centerContinuous" vertical="center"/>
    </xf>
    <xf numFmtId="0" fontId="60" fillId="23" borderId="13" xfId="161" applyFont="1" applyFill="1" applyBorder="1" applyAlignment="1">
      <alignment horizontal="centerContinuous" vertical="center"/>
    </xf>
    <xf numFmtId="0" fontId="53" fillId="23" borderId="7" xfId="161" quotePrefix="1" applyFont="1" applyFill="1" applyBorder="1" applyAlignment="1">
      <alignment horizontal="centerContinuous" vertical="center"/>
    </xf>
    <xf numFmtId="0" fontId="53" fillId="23" borderId="8" xfId="161" applyFont="1" applyFill="1" applyBorder="1" applyAlignment="1">
      <alignment horizontal="centerContinuous" vertical="center"/>
    </xf>
    <xf numFmtId="0" fontId="53" fillId="23" borderId="14" xfId="161" applyFont="1" applyFill="1" applyBorder="1" applyAlignment="1">
      <alignment horizontal="centerContinuous" vertical="center"/>
    </xf>
    <xf numFmtId="0" fontId="53" fillId="23" borderId="8" xfId="161" quotePrefix="1" applyFont="1" applyFill="1" applyBorder="1" applyAlignment="1">
      <alignment horizontal="centerContinuous" vertical="center"/>
    </xf>
    <xf numFmtId="0" fontId="60" fillId="23" borderId="7" xfId="161" quotePrefix="1" applyFont="1" applyFill="1" applyBorder="1" applyAlignment="1">
      <alignment horizontal="centerContinuous" vertical="center"/>
    </xf>
    <xf numFmtId="0" fontId="60" fillId="23" borderId="8" xfId="161" quotePrefix="1" applyFont="1" applyFill="1" applyBorder="1" applyAlignment="1">
      <alignment horizontal="centerContinuous" vertical="center"/>
    </xf>
    <xf numFmtId="0" fontId="60" fillId="23" borderId="8" xfId="161" applyFont="1" applyFill="1" applyBorder="1" applyAlignment="1">
      <alignment horizontal="centerContinuous" vertical="center"/>
    </xf>
    <xf numFmtId="0" fontId="60" fillId="23" borderId="14" xfId="161" applyFont="1" applyFill="1" applyBorder="1" applyAlignment="1">
      <alignment horizontal="centerContinuous" vertical="center"/>
    </xf>
    <xf numFmtId="0" fontId="60" fillId="0" borderId="10" xfId="161" quotePrefix="1" applyFont="1" applyBorder="1" applyAlignment="1">
      <alignment horizontal="left" vertical="center"/>
    </xf>
    <xf numFmtId="0" fontId="60" fillId="0" borderId="2" xfId="161" quotePrefix="1" applyFont="1" applyBorder="1" applyAlignment="1">
      <alignment horizontal="left" vertical="center"/>
    </xf>
    <xf numFmtId="0" fontId="52" fillId="24" borderId="2" xfId="161" quotePrefix="1" applyFont="1" applyFill="1" applyBorder="1">
      <alignment vertical="center"/>
    </xf>
    <xf numFmtId="0" fontId="52" fillId="24" borderId="2" xfId="161" applyFont="1" applyFill="1" applyBorder="1">
      <alignment vertical="center"/>
    </xf>
    <xf numFmtId="0" fontId="53" fillId="24" borderId="2" xfId="0" applyFont="1" applyFill="1" applyBorder="1">
      <alignment vertical="center"/>
    </xf>
    <xf numFmtId="0" fontId="52" fillId="24" borderId="2" xfId="0" quotePrefix="1" applyFont="1" applyFill="1" applyBorder="1">
      <alignment vertical="center"/>
    </xf>
    <xf numFmtId="0" fontId="52" fillId="24" borderId="2" xfId="0" applyFont="1" applyFill="1" applyBorder="1">
      <alignment vertical="center"/>
    </xf>
    <xf numFmtId="0" fontId="52" fillId="24" borderId="2" xfId="0" applyFont="1" applyFill="1" applyBorder="1" applyAlignment="1">
      <alignment horizontal="center" vertical="center"/>
    </xf>
    <xf numFmtId="0" fontId="52" fillId="24" borderId="2" xfId="0" applyFont="1" applyFill="1" applyBorder="1" applyAlignment="1">
      <alignment horizontal="left" vertical="center"/>
    </xf>
    <xf numFmtId="0" fontId="52" fillId="24" borderId="2" xfId="0" applyFont="1" applyFill="1" applyBorder="1" applyAlignment="1">
      <alignment vertical="center" wrapText="1"/>
    </xf>
    <xf numFmtId="0" fontId="0" fillId="24" borderId="2" xfId="0" applyFill="1" applyBorder="1">
      <alignment vertical="center"/>
    </xf>
    <xf numFmtId="0" fontId="77" fillId="24" borderId="2" xfId="0" applyFont="1" applyFill="1" applyBorder="1">
      <alignment vertical="center"/>
    </xf>
    <xf numFmtId="0" fontId="78" fillId="14" borderId="0" xfId="0" applyFont="1" applyFill="1">
      <alignment vertical="center"/>
    </xf>
    <xf numFmtId="0" fontId="53" fillId="20" borderId="15" xfId="161" applyFont="1" applyFill="1" applyBorder="1" applyAlignment="1">
      <alignment horizontal="centerContinuous" vertical="center"/>
    </xf>
    <xf numFmtId="0" fontId="53" fillId="20" borderId="12" xfId="161" applyFont="1" applyFill="1" applyBorder="1" applyAlignment="1">
      <alignment horizontal="centerContinuous" vertical="center"/>
    </xf>
    <xf numFmtId="0" fontId="53" fillId="20" borderId="13" xfId="161" applyFont="1" applyFill="1" applyBorder="1" applyAlignment="1">
      <alignment horizontal="centerContinuous" vertical="center"/>
    </xf>
    <xf numFmtId="0" fontId="53" fillId="20" borderId="15" xfId="161" quotePrefix="1" applyFont="1" applyFill="1" applyBorder="1" applyAlignment="1">
      <alignment horizontal="centerContinuous" vertical="center"/>
    </xf>
    <xf numFmtId="0" fontId="53" fillId="20" borderId="12" xfId="161" quotePrefix="1" applyFont="1" applyFill="1" applyBorder="1" applyAlignment="1">
      <alignment horizontal="centerContinuous" vertical="center"/>
    </xf>
    <xf numFmtId="0" fontId="60" fillId="20" borderId="15" xfId="161" applyFont="1" applyFill="1" applyBorder="1" applyAlignment="1">
      <alignment horizontal="centerContinuous" vertical="center"/>
    </xf>
    <xf numFmtId="0" fontId="60" fillId="20" borderId="12" xfId="161" applyFont="1" applyFill="1" applyBorder="1" applyAlignment="1">
      <alignment horizontal="centerContinuous" vertical="center"/>
    </xf>
    <xf numFmtId="0" fontId="60" fillId="20" borderId="13" xfId="161" applyFont="1" applyFill="1" applyBorder="1" applyAlignment="1">
      <alignment horizontal="centerContinuous" vertical="center"/>
    </xf>
    <xf numFmtId="0" fontId="60" fillId="0" borderId="10" xfId="161" quotePrefix="1" applyFont="1" applyBorder="1" applyAlignment="1">
      <alignment horizontal="centerContinuous" vertical="center"/>
    </xf>
    <xf numFmtId="0" fontId="53" fillId="25" borderId="15" xfId="161" applyFont="1" applyFill="1" applyBorder="1" applyAlignment="1">
      <alignment horizontal="centerContinuous" vertical="center"/>
    </xf>
    <xf numFmtId="0" fontId="53" fillId="25" borderId="12" xfId="161" applyFont="1" applyFill="1" applyBorder="1" applyAlignment="1">
      <alignment horizontal="centerContinuous" vertical="center"/>
    </xf>
    <xf numFmtId="0" fontId="53" fillId="25" borderId="13" xfId="161" applyFont="1" applyFill="1" applyBorder="1" applyAlignment="1">
      <alignment horizontal="centerContinuous" vertical="center"/>
    </xf>
    <xf numFmtId="0" fontId="53" fillId="25" borderId="15" xfId="161" quotePrefix="1" applyFont="1" applyFill="1" applyBorder="1" applyAlignment="1">
      <alignment horizontal="centerContinuous" vertical="center"/>
    </xf>
    <xf numFmtId="0" fontId="53" fillId="25" borderId="12" xfId="161" quotePrefix="1" applyFont="1" applyFill="1" applyBorder="1" applyAlignment="1">
      <alignment horizontal="centerContinuous" vertical="center"/>
    </xf>
    <xf numFmtId="0" fontId="60" fillId="25" borderId="15" xfId="161" applyFont="1" applyFill="1" applyBorder="1" applyAlignment="1">
      <alignment horizontal="centerContinuous" vertical="center"/>
    </xf>
    <xf numFmtId="0" fontId="60" fillId="25" borderId="12" xfId="161" applyFont="1" applyFill="1" applyBorder="1" applyAlignment="1">
      <alignment horizontal="centerContinuous" vertical="center"/>
    </xf>
    <xf numFmtId="0" fontId="60" fillId="25" borderId="13" xfId="161" applyFont="1" applyFill="1" applyBorder="1" applyAlignment="1">
      <alignment horizontal="centerContinuous" vertical="center"/>
    </xf>
    <xf numFmtId="0" fontId="60" fillId="25" borderId="12" xfId="161" quotePrefix="1" applyFont="1" applyFill="1" applyBorder="1" applyAlignment="1">
      <alignment horizontal="centerContinuous" vertical="center"/>
    </xf>
    <xf numFmtId="0" fontId="60" fillId="25" borderId="15" xfId="161" quotePrefix="1" applyFont="1" applyFill="1" applyBorder="1" applyAlignment="1">
      <alignment horizontal="centerContinuous" vertical="center"/>
    </xf>
    <xf numFmtId="0" fontId="86" fillId="0" borderId="0" xfId="0" applyFont="1">
      <alignment vertical="center"/>
    </xf>
    <xf numFmtId="0" fontId="72" fillId="14" borderId="8" xfId="0" applyFont="1" applyFill="1" applyBorder="1">
      <alignment vertical="center"/>
    </xf>
    <xf numFmtId="0" fontId="52" fillId="14" borderId="6" xfId="180" applyFont="1" applyFill="1" applyBorder="1">
      <alignment vertical="center"/>
    </xf>
    <xf numFmtId="0" fontId="52" fillId="14" borderId="2" xfId="180" quotePrefix="1" applyFont="1" applyFill="1" applyBorder="1">
      <alignment vertical="center"/>
    </xf>
    <xf numFmtId="0" fontId="52" fillId="14" borderId="2" xfId="180" applyFont="1" applyFill="1" applyBorder="1">
      <alignment vertical="center"/>
    </xf>
    <xf numFmtId="0" fontId="52" fillId="14" borderId="2" xfId="180" applyFont="1" applyFill="1" applyBorder="1" applyAlignment="1">
      <alignment horizontal="center" vertical="center"/>
    </xf>
    <xf numFmtId="0" fontId="53" fillId="14" borderId="3" xfId="180" applyFont="1" applyFill="1" applyBorder="1" applyAlignment="1">
      <alignment horizontal="center" vertical="center"/>
    </xf>
    <xf numFmtId="0" fontId="52" fillId="14" borderId="3" xfId="180" applyFont="1" applyFill="1" applyBorder="1" applyAlignment="1">
      <alignment horizontal="center" vertical="center"/>
    </xf>
    <xf numFmtId="0" fontId="52" fillId="0" borderId="28" xfId="0" applyFont="1" applyBorder="1">
      <alignment vertical="center"/>
    </xf>
    <xf numFmtId="0" fontId="52" fillId="14" borderId="28" xfId="161" applyFont="1" applyFill="1" applyBorder="1">
      <alignment vertical="center"/>
    </xf>
    <xf numFmtId="0" fontId="52" fillId="14" borderId="29" xfId="161" applyFont="1" applyFill="1" applyBorder="1">
      <alignment vertical="center"/>
    </xf>
    <xf numFmtId="0" fontId="53" fillId="14" borderId="33" xfId="161" applyFont="1" applyFill="1" applyBorder="1">
      <alignment vertical="center"/>
    </xf>
    <xf numFmtId="0" fontId="52" fillId="14" borderId="34" xfId="161" applyFont="1" applyFill="1" applyBorder="1">
      <alignment vertical="center"/>
    </xf>
    <xf numFmtId="0" fontId="53" fillId="14" borderId="30" xfId="161" applyFont="1" applyFill="1" applyBorder="1">
      <alignment vertical="center"/>
    </xf>
    <xf numFmtId="0" fontId="52" fillId="14" borderId="31" xfId="161" applyFont="1" applyFill="1" applyBorder="1">
      <alignment vertical="center"/>
    </xf>
    <xf numFmtId="0" fontId="52" fillId="0" borderId="31" xfId="0" applyFont="1" applyBorder="1">
      <alignment vertical="center"/>
    </xf>
    <xf numFmtId="0" fontId="0" fillId="14" borderId="31" xfId="0" applyFill="1" applyBorder="1">
      <alignment vertical="center"/>
    </xf>
    <xf numFmtId="0" fontId="53" fillId="0" borderId="31" xfId="161" applyFont="1" applyBorder="1">
      <alignment vertical="center"/>
    </xf>
    <xf numFmtId="0" fontId="52" fillId="0" borderId="31" xfId="161" applyFont="1" applyBorder="1">
      <alignment vertical="center"/>
    </xf>
    <xf numFmtId="0" fontId="52" fillId="0" borderId="31" xfId="0" applyFont="1" applyBorder="1" applyAlignment="1">
      <alignment vertical="center" wrapText="1"/>
    </xf>
    <xf numFmtId="0" fontId="52" fillId="0" borderId="31" xfId="161" quotePrefix="1" applyFont="1" applyBorder="1">
      <alignment vertical="center"/>
    </xf>
    <xf numFmtId="0" fontId="52" fillId="0" borderId="31" xfId="161" applyFont="1" applyBorder="1" applyAlignment="1">
      <alignment horizontal="center" vertical="center"/>
    </xf>
    <xf numFmtId="0" fontId="52" fillId="14" borderId="32" xfId="161" applyFont="1" applyFill="1" applyBorder="1">
      <alignment vertical="center"/>
    </xf>
    <xf numFmtId="0" fontId="52" fillId="0" borderId="28" xfId="161" quotePrefix="1" applyFont="1" applyBorder="1">
      <alignment vertical="center"/>
    </xf>
    <xf numFmtId="0" fontId="52" fillId="0" borderId="28" xfId="161" applyFont="1" applyBorder="1">
      <alignment vertical="center"/>
    </xf>
    <xf numFmtId="0" fontId="52" fillId="0" borderId="28" xfId="161" applyFont="1" applyBorder="1" applyAlignment="1">
      <alignment horizontal="center" vertical="center"/>
    </xf>
    <xf numFmtId="0" fontId="0" fillId="14" borderId="28" xfId="0" applyFill="1" applyBorder="1">
      <alignment vertical="center"/>
    </xf>
    <xf numFmtId="0" fontId="52" fillId="14" borderId="33" xfId="0" applyFont="1" applyFill="1" applyBorder="1">
      <alignment vertical="center"/>
    </xf>
    <xf numFmtId="0" fontId="52" fillId="0" borderId="34" xfId="161" applyFont="1" applyBorder="1">
      <alignment vertical="center"/>
    </xf>
    <xf numFmtId="0" fontId="52" fillId="0" borderId="0" xfId="180" applyFont="1" applyAlignment="1">
      <alignment vertical="top"/>
    </xf>
    <xf numFmtId="0" fontId="52" fillId="14" borderId="34" xfId="180" applyFont="1" applyFill="1" applyBorder="1">
      <alignment vertical="center"/>
    </xf>
    <xf numFmtId="0" fontId="52" fillId="14" borderId="33" xfId="161" applyFont="1" applyFill="1" applyBorder="1" applyAlignment="1">
      <alignment horizontal="left" vertical="center"/>
    </xf>
    <xf numFmtId="0" fontId="52" fillId="14" borderId="30" xfId="161" applyFont="1" applyFill="1" applyBorder="1" applyAlignment="1">
      <alignment horizontal="left" vertical="center"/>
    </xf>
    <xf numFmtId="0" fontId="52" fillId="14" borderId="31" xfId="161" applyFont="1" applyFill="1" applyBorder="1" applyAlignment="1">
      <alignment horizontal="left" vertical="center"/>
    </xf>
    <xf numFmtId="0" fontId="68" fillId="0" borderId="31" xfId="161" applyFont="1" applyBorder="1" applyAlignment="1">
      <alignment horizontal="left" vertical="center"/>
    </xf>
    <xf numFmtId="0" fontId="68" fillId="0" borderId="31" xfId="0" applyFont="1" applyBorder="1">
      <alignment vertical="center"/>
    </xf>
    <xf numFmtId="0" fontId="68" fillId="0" borderId="31" xfId="161" applyFont="1" applyBorder="1" applyAlignment="1">
      <alignment horizontal="center" vertical="center"/>
    </xf>
    <xf numFmtId="0" fontId="68" fillId="0" borderId="31" xfId="161" applyFont="1" applyBorder="1">
      <alignment vertical="center"/>
    </xf>
    <xf numFmtId="0" fontId="68" fillId="0" borderId="31" xfId="0" applyFont="1" applyBorder="1" applyAlignment="1">
      <alignment horizontal="center" vertical="center"/>
    </xf>
    <xf numFmtId="0" fontId="52" fillId="0" borderId="32" xfId="161" applyFont="1" applyBorder="1">
      <alignment vertical="center"/>
    </xf>
    <xf numFmtId="0" fontId="75" fillId="14" borderId="27" xfId="0" applyFont="1" applyFill="1" applyBorder="1">
      <alignment vertical="center"/>
    </xf>
    <xf numFmtId="0" fontId="52" fillId="0" borderId="28" xfId="161" quotePrefix="1" applyFont="1" applyBorder="1" applyAlignment="1">
      <alignment horizontal="left" vertical="center"/>
    </xf>
    <xf numFmtId="0" fontId="52" fillId="0" borderId="28" xfId="161" applyFont="1" applyBorder="1" applyAlignment="1">
      <alignment horizontal="left" vertical="center"/>
    </xf>
    <xf numFmtId="0" fontId="53" fillId="0" borderId="15" xfId="161" applyFont="1" applyBorder="1">
      <alignment vertical="center"/>
    </xf>
    <xf numFmtId="0" fontId="78" fillId="14" borderId="28" xfId="0" applyFont="1" applyFill="1" applyBorder="1">
      <alignment vertical="center"/>
    </xf>
    <xf numFmtId="0" fontId="57" fillId="14" borderId="28" xfId="161" applyFont="1" applyFill="1" applyBorder="1">
      <alignment vertical="center"/>
    </xf>
    <xf numFmtId="0" fontId="19" fillId="10" borderId="28" xfId="46" applyFont="1" applyFill="1" applyBorder="1" applyAlignment="1">
      <alignment horizontal="centerContinuous"/>
    </xf>
    <xf numFmtId="0" fontId="19" fillId="10" borderId="29" xfId="46" applyFont="1" applyFill="1" applyBorder="1" applyAlignment="1">
      <alignment horizontal="centerContinuous"/>
    </xf>
    <xf numFmtId="0" fontId="60" fillId="19" borderId="35" xfId="161" applyFont="1" applyFill="1" applyBorder="1" applyAlignment="1">
      <alignment horizontal="center" vertical="center"/>
    </xf>
    <xf numFmtId="0" fontId="60" fillId="23" borderId="36" xfId="161" applyFont="1" applyFill="1" applyBorder="1" applyAlignment="1">
      <alignment horizontal="centerContinuous" vertical="center"/>
    </xf>
    <xf numFmtId="0" fontId="53" fillId="19" borderId="37" xfId="161" applyFont="1" applyFill="1" applyBorder="1" applyAlignment="1">
      <alignment horizontal="centerContinuous" vertical="center"/>
    </xf>
    <xf numFmtId="0" fontId="60" fillId="23" borderId="38" xfId="161" quotePrefix="1" applyFont="1" applyFill="1" applyBorder="1" applyAlignment="1">
      <alignment horizontal="centerContinuous" vertical="center"/>
    </xf>
    <xf numFmtId="0" fontId="52" fillId="19" borderId="39" xfId="161" quotePrefix="1" applyFont="1" applyFill="1" applyBorder="1" applyAlignment="1">
      <alignment horizontal="center" vertical="center"/>
    </xf>
    <xf numFmtId="14" fontId="60" fillId="0" borderId="40" xfId="161" quotePrefix="1" applyNumberFormat="1" applyFont="1" applyBorder="1" applyAlignment="1">
      <alignment horizontal="centerContinuous" vertical="center"/>
    </xf>
    <xf numFmtId="0" fontId="63" fillId="0" borderId="33" xfId="0" applyFont="1" applyBorder="1">
      <alignment vertical="center"/>
    </xf>
    <xf numFmtId="0" fontId="0" fillId="14" borderId="34" xfId="0" applyFill="1" applyBorder="1">
      <alignment vertical="center"/>
    </xf>
    <xf numFmtId="0" fontId="52" fillId="0" borderId="33" xfId="0" applyFont="1" applyBorder="1">
      <alignment vertical="center"/>
    </xf>
    <xf numFmtId="0" fontId="83" fillId="24" borderId="41" xfId="161" quotePrefix="1" applyFont="1" applyFill="1" applyBorder="1" applyAlignment="1">
      <alignment horizontal="left" vertical="center"/>
    </xf>
    <xf numFmtId="0" fontId="0" fillId="24" borderId="40" xfId="0" applyFill="1" applyBorder="1">
      <alignment vertical="center"/>
    </xf>
    <xf numFmtId="0" fontId="75" fillId="14" borderId="30" xfId="0" applyFont="1" applyFill="1" applyBorder="1">
      <alignment vertical="center"/>
    </xf>
    <xf numFmtId="0" fontId="52" fillId="0" borderId="31" xfId="161" quotePrefix="1" applyFont="1" applyBorder="1" applyAlignment="1">
      <alignment horizontal="left" vertical="center"/>
    </xf>
    <xf numFmtId="0" fontId="52" fillId="0" borderId="31" xfId="161" applyFont="1" applyBorder="1" applyAlignment="1">
      <alignment horizontal="left" vertical="center"/>
    </xf>
    <xf numFmtId="0" fontId="78" fillId="14" borderId="31" xfId="0" applyFont="1" applyFill="1" applyBorder="1">
      <alignment vertical="center"/>
    </xf>
    <xf numFmtId="0" fontId="57" fillId="14" borderId="31" xfId="161" applyFont="1" applyFill="1" applyBorder="1">
      <alignment vertical="center"/>
    </xf>
    <xf numFmtId="0" fontId="19" fillId="10" borderId="31" xfId="46" applyFont="1" applyFill="1" applyBorder="1" applyAlignment="1">
      <alignment horizontal="centerContinuous"/>
    </xf>
    <xf numFmtId="0" fontId="19" fillId="10" borderId="32" xfId="46" applyFont="1" applyFill="1" applyBorder="1" applyAlignment="1">
      <alignment horizontal="centerContinuous"/>
    </xf>
    <xf numFmtId="0" fontId="53" fillId="0" borderId="8" xfId="161" quotePrefix="1" applyFont="1" applyBorder="1">
      <alignment vertical="center"/>
    </xf>
    <xf numFmtId="0" fontId="57" fillId="14" borderId="12" xfId="161" applyFont="1" applyFill="1" applyBorder="1">
      <alignment vertical="center"/>
    </xf>
    <xf numFmtId="0" fontId="19" fillId="10" borderId="12" xfId="46" applyFont="1" applyFill="1" applyBorder="1" applyAlignment="1">
      <alignment horizontal="centerContinuous"/>
    </xf>
    <xf numFmtId="0" fontId="19" fillId="10" borderId="34" xfId="46" applyFont="1" applyFill="1" applyBorder="1" applyAlignment="1">
      <alignment horizontal="centerContinuous"/>
    </xf>
    <xf numFmtId="0" fontId="19" fillId="10" borderId="8" xfId="46" applyFont="1" applyFill="1" applyBorder="1" applyAlignment="1">
      <alignment horizontal="centerContinuous"/>
    </xf>
    <xf numFmtId="0" fontId="19" fillId="10" borderId="38" xfId="46" applyFont="1" applyFill="1" applyBorder="1" applyAlignment="1">
      <alignment horizontal="centerContinuous"/>
    </xf>
    <xf numFmtId="0" fontId="52" fillId="0" borderId="0" xfId="161" quotePrefix="1" applyFont="1" applyAlignment="1">
      <alignment horizontal="center" vertical="center"/>
    </xf>
    <xf numFmtId="0" fontId="73" fillId="0" borderId="0" xfId="0" applyFont="1">
      <alignment vertical="center"/>
    </xf>
    <xf numFmtId="179" fontId="60" fillId="0" borderId="0" xfId="161" quotePrefix="1" applyNumberFormat="1" applyFont="1" applyAlignment="1">
      <alignment horizontal="right" vertical="center"/>
    </xf>
    <xf numFmtId="0" fontId="60" fillId="0" borderId="0" xfId="161" quotePrefix="1" applyFont="1" applyAlignment="1">
      <alignment horizontal="right" vertical="center"/>
    </xf>
    <xf numFmtId="0" fontId="19" fillId="10" borderId="16" xfId="46" applyFont="1" applyFill="1" applyBorder="1" applyAlignment="1">
      <alignment horizontal="center"/>
    </xf>
    <xf numFmtId="0" fontId="19" fillId="10" borderId="9" xfId="46" applyFont="1" applyFill="1" applyBorder="1" applyAlignment="1">
      <alignment horizontal="center"/>
    </xf>
    <xf numFmtId="0" fontId="53" fillId="0" borderId="33" xfId="161" applyFont="1" applyBorder="1">
      <alignment vertical="center"/>
    </xf>
    <xf numFmtId="0" fontId="52" fillId="0" borderId="33" xfId="161" quotePrefix="1" applyFont="1" applyBorder="1" applyAlignment="1">
      <alignment horizontal="center" vertical="center"/>
    </xf>
    <xf numFmtId="0" fontId="19" fillId="10" borderId="42" xfId="46" applyFont="1" applyFill="1" applyBorder="1" applyAlignment="1">
      <alignment horizontal="centerContinuous"/>
    </xf>
    <xf numFmtId="0" fontId="19" fillId="10" borderId="43" xfId="46" applyFont="1" applyFill="1" applyBorder="1" applyAlignment="1">
      <alignment horizontal="centerContinuous"/>
    </xf>
    <xf numFmtId="0" fontId="19" fillId="10" borderId="11" xfId="46" applyFont="1" applyFill="1" applyBorder="1" applyAlignment="1">
      <alignment horizontal="centerContinuous"/>
    </xf>
    <xf numFmtId="0" fontId="74" fillId="14" borderId="0" xfId="180" applyFont="1" applyFill="1">
      <alignment vertical="center"/>
    </xf>
    <xf numFmtId="0" fontId="52" fillId="0" borderId="34" xfId="0" applyFont="1" applyBorder="1">
      <alignment vertical="center"/>
    </xf>
    <xf numFmtId="0" fontId="64" fillId="19" borderId="41" xfId="180" applyFont="1" applyFill="1" applyBorder="1" applyAlignment="1">
      <alignment horizontal="centerContinuous" vertical="center"/>
    </xf>
    <xf numFmtId="0" fontId="76" fillId="14" borderId="41" xfId="180" quotePrefix="1" applyFont="1" applyFill="1" applyBorder="1">
      <alignment vertical="center"/>
    </xf>
    <xf numFmtId="14" fontId="52" fillId="14" borderId="2" xfId="180" applyNumberFormat="1" applyFont="1" applyFill="1" applyBorder="1" applyAlignment="1">
      <alignment horizontal="centerContinuous" vertical="center"/>
    </xf>
    <xf numFmtId="0" fontId="52" fillId="14" borderId="44" xfId="0" applyFont="1" applyFill="1" applyBorder="1">
      <alignment vertical="center"/>
    </xf>
    <xf numFmtId="0" fontId="0" fillId="14" borderId="33" xfId="0" applyFill="1" applyBorder="1">
      <alignment vertical="center"/>
    </xf>
    <xf numFmtId="0" fontId="52" fillId="14" borderId="44" xfId="161" applyFont="1" applyFill="1" applyBorder="1">
      <alignment vertical="center"/>
    </xf>
    <xf numFmtId="183" fontId="60" fillId="0" borderId="0" xfId="161" quotePrefix="1" applyNumberFormat="1" applyFont="1" applyAlignment="1">
      <alignment horizontal="right" vertical="center"/>
    </xf>
    <xf numFmtId="0" fontId="19" fillId="10" borderId="21" xfId="46" applyFont="1" applyFill="1" applyBorder="1" applyAlignment="1">
      <alignment horizontal="center"/>
    </xf>
    <xf numFmtId="0" fontId="19" fillId="10" borderId="22" xfId="46" applyFont="1" applyFill="1" applyBorder="1" applyAlignment="1">
      <alignment horizontal="center"/>
    </xf>
    <xf numFmtId="0" fontId="68" fillId="0" borderId="28" xfId="161" applyFont="1" applyBorder="1" applyAlignment="1">
      <alignment horizontal="left" vertical="center"/>
    </xf>
    <xf numFmtId="0" fontId="68" fillId="0" borderId="28" xfId="0" applyFont="1" applyBorder="1">
      <alignment vertical="center"/>
    </xf>
    <xf numFmtId="0" fontId="68" fillId="0" borderId="28" xfId="161" applyFont="1" applyBorder="1" applyAlignment="1">
      <alignment horizontal="center" vertical="center"/>
    </xf>
    <xf numFmtId="0" fontId="68" fillId="0" borderId="28" xfId="161" applyFont="1" applyBorder="1">
      <alignment vertical="center"/>
    </xf>
    <xf numFmtId="0" fontId="68" fillId="0" borderId="28" xfId="0" applyFont="1" applyBorder="1" applyAlignment="1">
      <alignment horizontal="center" vertical="center"/>
    </xf>
    <xf numFmtId="0" fontId="83" fillId="0" borderId="33" xfId="161" quotePrefix="1" applyFont="1" applyBorder="1" applyAlignment="1">
      <alignment horizontal="left" vertical="center"/>
    </xf>
    <xf numFmtId="0" fontId="0" fillId="0" borderId="12" xfId="0" applyBorder="1">
      <alignment vertical="center"/>
    </xf>
    <xf numFmtId="0" fontId="0" fillId="0" borderId="34" xfId="0" applyBorder="1">
      <alignment vertical="center"/>
    </xf>
    <xf numFmtId="0" fontId="53" fillId="0" borderId="12" xfId="0" applyFont="1" applyBorder="1">
      <alignment vertical="center"/>
    </xf>
    <xf numFmtId="0" fontId="52" fillId="0" borderId="12" xfId="0" quotePrefix="1" applyFont="1" applyBorder="1">
      <alignment vertical="center"/>
    </xf>
    <xf numFmtId="0" fontId="52" fillId="0" borderId="12" xfId="0" applyFont="1" applyBorder="1" applyAlignment="1">
      <alignment horizontal="center" vertical="center"/>
    </xf>
    <xf numFmtId="0" fontId="52" fillId="0" borderId="12" xfId="0" applyFont="1" applyBorder="1" applyAlignment="1">
      <alignment horizontal="left" vertical="center"/>
    </xf>
    <xf numFmtId="9" fontId="52" fillId="0" borderId="2" xfId="161" applyNumberFormat="1" applyFont="1" applyBorder="1">
      <alignment vertical="center"/>
    </xf>
    <xf numFmtId="0" fontId="52" fillId="14" borderId="10" xfId="0" quotePrefix="1" applyFont="1" applyFill="1" applyBorder="1">
      <alignment vertical="center"/>
    </xf>
    <xf numFmtId="0" fontId="52" fillId="26" borderId="10" xfId="0" quotePrefix="1" applyFont="1" applyFill="1" applyBorder="1">
      <alignment vertical="center"/>
    </xf>
    <xf numFmtId="0" fontId="52" fillId="26" borderId="2" xfId="180" quotePrefix="1" applyFont="1" applyFill="1" applyBorder="1">
      <alignment vertical="center"/>
    </xf>
    <xf numFmtId="0" fontId="52" fillId="26" borderId="2" xfId="180" applyFont="1" applyFill="1" applyBorder="1">
      <alignment vertical="center"/>
    </xf>
    <xf numFmtId="0" fontId="52" fillId="26" borderId="2" xfId="180" applyFont="1" applyFill="1" applyBorder="1" applyAlignment="1">
      <alignment horizontal="center" vertical="center"/>
    </xf>
    <xf numFmtId="0" fontId="0" fillId="26" borderId="2" xfId="0" applyFill="1" applyBorder="1">
      <alignment vertical="center"/>
    </xf>
    <xf numFmtId="0" fontId="52" fillId="26" borderId="17" xfId="180" applyFont="1" applyFill="1" applyBorder="1" applyAlignment="1">
      <alignment horizontal="center" vertical="center"/>
    </xf>
    <xf numFmtId="0" fontId="75" fillId="14" borderId="28" xfId="0" applyFont="1" applyFill="1" applyBorder="1">
      <alignment vertical="center"/>
    </xf>
    <xf numFmtId="183" fontId="60" fillId="0" borderId="0" xfId="161" quotePrefix="1" applyNumberFormat="1" applyFont="1">
      <alignment vertical="center"/>
    </xf>
    <xf numFmtId="0" fontId="87" fillId="0" borderId="0" xfId="0" applyFont="1">
      <alignment vertical="center"/>
    </xf>
    <xf numFmtId="0" fontId="52" fillId="26" borderId="2" xfId="0" applyFont="1" applyFill="1" applyBorder="1">
      <alignment vertical="center"/>
    </xf>
    <xf numFmtId="0" fontId="64" fillId="26" borderId="2" xfId="180" applyFont="1" applyFill="1" applyBorder="1">
      <alignment vertical="center"/>
    </xf>
    <xf numFmtId="0" fontId="52" fillId="26" borderId="2" xfId="0" applyFont="1" applyFill="1" applyBorder="1" applyAlignment="1">
      <alignment vertical="center" wrapText="1"/>
    </xf>
    <xf numFmtId="0" fontId="52" fillId="26" borderId="17" xfId="0" applyFont="1" applyFill="1" applyBorder="1">
      <alignment vertical="center"/>
    </xf>
    <xf numFmtId="0" fontId="52" fillId="0" borderId="24" xfId="180" applyFont="1" applyBorder="1">
      <alignment vertical="center"/>
    </xf>
    <xf numFmtId="0" fontId="52" fillId="26" borderId="2" xfId="180" applyFont="1" applyFill="1" applyBorder="1" applyAlignment="1">
      <alignment horizontal="left" vertical="center"/>
    </xf>
    <xf numFmtId="0" fontId="53" fillId="14" borderId="41" xfId="180" quotePrefix="1" applyFont="1" applyFill="1" applyBorder="1">
      <alignment vertical="center"/>
    </xf>
    <xf numFmtId="0" fontId="52" fillId="14" borderId="10" xfId="180" quotePrefix="1" applyFont="1" applyFill="1" applyBorder="1" applyAlignment="1">
      <alignment horizontal="left" vertical="center"/>
    </xf>
    <xf numFmtId="0" fontId="77" fillId="14" borderId="44" xfId="161" quotePrefix="1" applyFont="1" applyFill="1" applyBorder="1">
      <alignment vertical="center"/>
    </xf>
    <xf numFmtId="0" fontId="63" fillId="0" borderId="28" xfId="0" applyFont="1" applyBorder="1">
      <alignment vertical="center"/>
    </xf>
    <xf numFmtId="0" fontId="52" fillId="14" borderId="8" xfId="180" quotePrefix="1" applyFont="1" applyFill="1" applyBorder="1">
      <alignment vertical="center"/>
    </xf>
    <xf numFmtId="0" fontId="52" fillId="14" borderId="8" xfId="180" applyFont="1" applyFill="1" applyBorder="1">
      <alignment vertical="center"/>
    </xf>
    <xf numFmtId="0" fontId="52" fillId="14" borderId="8" xfId="180" applyFont="1" applyFill="1" applyBorder="1" applyAlignment="1">
      <alignment horizontal="center" vertical="center"/>
    </xf>
    <xf numFmtId="0" fontId="52" fillId="14" borderId="25" xfId="180" applyFont="1" applyFill="1" applyBorder="1" applyAlignment="1">
      <alignment horizontal="center" vertical="center"/>
    </xf>
    <xf numFmtId="0" fontId="53" fillId="0" borderId="33" xfId="180" applyFont="1" applyBorder="1" applyAlignment="1">
      <alignment vertical="top"/>
    </xf>
    <xf numFmtId="0" fontId="53" fillId="14" borderId="17" xfId="180" applyFont="1" applyFill="1" applyBorder="1" applyAlignment="1">
      <alignment horizontal="center" vertical="center"/>
    </xf>
    <xf numFmtId="0" fontId="63" fillId="14" borderId="8" xfId="180" applyFont="1" applyFill="1" applyBorder="1" applyAlignment="1">
      <alignment horizontal="center" vertical="center"/>
    </xf>
    <xf numFmtId="0" fontId="52" fillId="14" borderId="45" xfId="0" applyFont="1" applyFill="1" applyBorder="1">
      <alignment vertical="center"/>
    </xf>
    <xf numFmtId="0" fontId="53" fillId="27" borderId="15" xfId="161" applyFont="1" applyFill="1" applyBorder="1" applyAlignment="1">
      <alignment horizontal="centerContinuous" vertical="center"/>
    </xf>
    <xf numFmtId="0" fontId="53" fillId="27" borderId="12" xfId="161" applyFont="1" applyFill="1" applyBorder="1" applyAlignment="1">
      <alignment horizontal="centerContinuous" vertical="center"/>
    </xf>
    <xf numFmtId="0" fontId="53" fillId="27" borderId="15" xfId="161" quotePrefix="1" applyFont="1" applyFill="1" applyBorder="1" applyAlignment="1">
      <alignment horizontal="centerContinuous" vertical="center"/>
    </xf>
    <xf numFmtId="0" fontId="53" fillId="27" borderId="13" xfId="161" applyFont="1" applyFill="1" applyBorder="1" applyAlignment="1">
      <alignment horizontal="centerContinuous" vertical="center"/>
    </xf>
    <xf numFmtId="0" fontId="53" fillId="27" borderId="12" xfId="161" quotePrefix="1" applyFont="1" applyFill="1" applyBorder="1" applyAlignment="1">
      <alignment horizontal="centerContinuous" vertical="center"/>
    </xf>
    <xf numFmtId="0" fontId="60" fillId="27" borderId="15" xfId="161" applyFont="1" applyFill="1" applyBorder="1" applyAlignment="1">
      <alignment horizontal="centerContinuous" vertical="center"/>
    </xf>
    <xf numFmtId="0" fontId="60" fillId="27" borderId="12" xfId="161" applyFont="1" applyFill="1" applyBorder="1" applyAlignment="1">
      <alignment horizontal="centerContinuous" vertical="center"/>
    </xf>
    <xf numFmtId="0" fontId="60" fillId="27" borderId="13" xfId="161" applyFont="1" applyFill="1" applyBorder="1" applyAlignment="1">
      <alignment horizontal="centerContinuous" vertical="center"/>
    </xf>
    <xf numFmtId="0" fontId="60" fillId="27" borderId="15" xfId="161" quotePrefix="1" applyFont="1" applyFill="1" applyBorder="1" applyAlignment="1">
      <alignment horizontal="centerContinuous" vertical="center"/>
    </xf>
    <xf numFmtId="0" fontId="60" fillId="27" borderId="12" xfId="161" quotePrefix="1" applyFont="1" applyFill="1" applyBorder="1" applyAlignment="1">
      <alignment horizontal="centerContinuous" vertical="center"/>
    </xf>
    <xf numFmtId="0" fontId="52" fillId="0" borderId="10" xfId="0" quotePrefix="1" applyFont="1" applyBorder="1">
      <alignment vertical="center"/>
    </xf>
    <xf numFmtId="0" fontId="52" fillId="0" borderId="2" xfId="180" quotePrefix="1" applyFont="1" applyBorder="1">
      <alignment vertical="center"/>
    </xf>
    <xf numFmtId="0" fontId="52" fillId="0" borderId="2" xfId="180" applyFont="1" applyBorder="1">
      <alignment vertical="center"/>
    </xf>
    <xf numFmtId="0" fontId="52" fillId="0" borderId="2" xfId="180" applyFont="1" applyBorder="1" applyAlignment="1">
      <alignment horizontal="center" vertical="center"/>
    </xf>
    <xf numFmtId="0" fontId="0" fillId="0" borderId="2" xfId="0" applyBorder="1">
      <alignment vertical="center"/>
    </xf>
    <xf numFmtId="0" fontId="64" fillId="0" borderId="2" xfId="180" applyFont="1" applyBorder="1">
      <alignment vertical="center"/>
    </xf>
    <xf numFmtId="0" fontId="52" fillId="0" borderId="2" xfId="0" applyFont="1" applyBorder="1" applyAlignment="1">
      <alignment vertical="center" wrapText="1"/>
    </xf>
    <xf numFmtId="0" fontId="89" fillId="10" borderId="16" xfId="46" applyFont="1" applyFill="1" applyBorder="1" applyAlignment="1">
      <alignment horizontal="centerContinuous"/>
    </xf>
    <xf numFmtId="0" fontId="89" fillId="10" borderId="9" xfId="46" applyFont="1" applyFill="1" applyBorder="1" applyAlignment="1">
      <alignment horizontal="centerContinuous"/>
    </xf>
    <xf numFmtId="0" fontId="90" fillId="14" borderId="0" xfId="0" applyFont="1" applyFill="1">
      <alignment vertical="center"/>
    </xf>
    <xf numFmtId="0" fontId="91" fillId="14" borderId="0" xfId="0" applyFont="1" applyFill="1">
      <alignment vertical="center"/>
    </xf>
    <xf numFmtId="0" fontId="89" fillId="10" borderId="6" xfId="49" applyFont="1" applyFill="1" applyBorder="1" applyAlignment="1">
      <alignment horizontal="right" vertical="center"/>
    </xf>
    <xf numFmtId="0" fontId="90" fillId="14" borderId="6" xfId="161" quotePrefix="1" applyFont="1" applyFill="1" applyBorder="1">
      <alignment vertical="center"/>
    </xf>
    <xf numFmtId="0" fontId="90" fillId="14" borderId="0" xfId="161" applyFont="1" applyFill="1">
      <alignment vertical="center"/>
    </xf>
    <xf numFmtId="0" fontId="90" fillId="14" borderId="11" xfId="161" applyFont="1" applyFill="1" applyBorder="1">
      <alignment vertical="center"/>
    </xf>
    <xf numFmtId="0" fontId="90" fillId="0" borderId="0" xfId="161" applyFont="1">
      <alignment vertical="center"/>
    </xf>
    <xf numFmtId="0" fontId="90" fillId="0" borderId="0" xfId="161" quotePrefix="1" applyFont="1">
      <alignment vertical="center"/>
    </xf>
    <xf numFmtId="0" fontId="90" fillId="0" borderId="0" xfId="161" applyFont="1" applyAlignment="1">
      <alignment horizontal="center" vertical="center"/>
    </xf>
    <xf numFmtId="0" fontId="90" fillId="0" borderId="0" xfId="0" applyFont="1">
      <alignment vertical="center"/>
    </xf>
    <xf numFmtId="0" fontId="88" fillId="14" borderId="6" xfId="161" quotePrefix="1" applyFont="1" applyFill="1" applyBorder="1">
      <alignment vertical="center"/>
    </xf>
    <xf numFmtId="0" fontId="92" fillId="14" borderId="0" xfId="0" applyFont="1" applyFill="1">
      <alignment vertical="center"/>
    </xf>
    <xf numFmtId="0" fontId="90" fillId="0" borderId="0" xfId="161" quotePrefix="1" applyFont="1" applyAlignment="1">
      <alignment horizontal="left" vertical="center"/>
    </xf>
    <xf numFmtId="0" fontId="90" fillId="0" borderId="0" xfId="161" applyFont="1" applyAlignment="1">
      <alignment horizontal="left" vertical="center"/>
    </xf>
    <xf numFmtId="0" fontId="89" fillId="10" borderId="16" xfId="46" applyFont="1" applyFill="1" applyBorder="1" applyAlignment="1">
      <alignment horizontal="center"/>
    </xf>
    <xf numFmtId="0" fontId="89" fillId="10" borderId="9" xfId="46" applyFont="1" applyFill="1" applyBorder="1" applyAlignment="1">
      <alignment horizontal="center"/>
    </xf>
    <xf numFmtId="0" fontId="90" fillId="14" borderId="0" xfId="0" applyFont="1" applyFill="1" applyAlignment="1">
      <alignment vertical="center" wrapText="1"/>
    </xf>
    <xf numFmtId="0" fontId="89" fillId="10" borderId="7" xfId="49" applyFont="1" applyFill="1" applyBorder="1" applyAlignment="1">
      <alignment horizontal="right" vertical="center"/>
    </xf>
    <xf numFmtId="0" fontId="91" fillId="14" borderId="0" xfId="0" applyFont="1" applyFill="1" applyAlignment="1">
      <alignment vertical="center" wrapText="1"/>
    </xf>
    <xf numFmtId="0" fontId="95" fillId="0" borderId="46" xfId="161" quotePrefix="1" applyFont="1" applyBorder="1">
      <alignment vertical="center"/>
    </xf>
    <xf numFmtId="0" fontId="89" fillId="0" borderId="46" xfId="161" applyFont="1" applyBorder="1">
      <alignment vertical="center"/>
    </xf>
    <xf numFmtId="0" fontId="90" fillId="0" borderId="46" xfId="161" applyFont="1" applyBorder="1">
      <alignment vertical="center"/>
    </xf>
    <xf numFmtId="0" fontId="90" fillId="0" borderId="46" xfId="161" quotePrefix="1" applyFont="1" applyBorder="1">
      <alignment vertical="center"/>
    </xf>
    <xf numFmtId="0" fontId="90" fillId="0" borderId="46" xfId="161" applyFont="1" applyBorder="1" applyAlignment="1">
      <alignment horizontal="center" vertical="center"/>
    </xf>
    <xf numFmtId="0" fontId="90" fillId="0" borderId="46" xfId="0" applyFont="1" applyBorder="1">
      <alignment vertical="center"/>
    </xf>
    <xf numFmtId="0" fontId="90" fillId="0" borderId="46" xfId="0" applyFont="1" applyBorder="1" applyAlignment="1">
      <alignment vertical="center" wrapText="1"/>
    </xf>
    <xf numFmtId="0" fontId="89" fillId="0" borderId="0" xfId="161" applyFont="1">
      <alignment vertical="center"/>
    </xf>
    <xf numFmtId="0" fontId="89" fillId="0" borderId="6" xfId="161" quotePrefix="1" applyFont="1" applyBorder="1">
      <alignment vertical="center"/>
    </xf>
    <xf numFmtId="0" fontId="94" fillId="0" borderId="0" xfId="0" applyFont="1">
      <alignment vertical="center"/>
    </xf>
    <xf numFmtId="0" fontId="89" fillId="0" borderId="0" xfId="161" quotePrefix="1" applyFont="1">
      <alignment vertical="center"/>
    </xf>
    <xf numFmtId="0" fontId="89" fillId="0" borderId="0" xfId="0" applyFont="1">
      <alignment vertical="center"/>
    </xf>
    <xf numFmtId="0" fontId="89" fillId="0" borderId="11" xfId="161" applyFont="1" applyBorder="1">
      <alignment vertical="center"/>
    </xf>
    <xf numFmtId="0" fontId="94" fillId="0" borderId="0" xfId="161" applyFont="1">
      <alignment vertical="center"/>
    </xf>
    <xf numFmtId="0" fontId="96" fillId="0" borderId="0" xfId="0" applyFont="1">
      <alignment vertical="center"/>
    </xf>
    <xf numFmtId="0" fontId="89" fillId="0" borderId="0" xfId="0" applyFont="1" applyAlignment="1">
      <alignment vertical="center" wrapText="1"/>
    </xf>
    <xf numFmtId="0" fontId="89" fillId="0" borderId="6" xfId="161" applyFont="1" applyBorder="1">
      <alignment vertical="center"/>
    </xf>
    <xf numFmtId="0" fontId="89" fillId="0" borderId="0" xfId="161" quotePrefix="1" applyFont="1" applyAlignment="1">
      <alignment horizontal="center" vertical="center"/>
    </xf>
    <xf numFmtId="0" fontId="93" fillId="0" borderId="0" xfId="0" applyFont="1">
      <alignment vertical="center"/>
    </xf>
    <xf numFmtId="0" fontId="89" fillId="0" borderId="0" xfId="0" applyFont="1" applyAlignment="1">
      <alignment horizontal="left" vertical="center"/>
    </xf>
    <xf numFmtId="0" fontId="89" fillId="0" borderId="14" xfId="161" applyFont="1" applyBorder="1">
      <alignment vertical="center"/>
    </xf>
    <xf numFmtId="0" fontId="97" fillId="14" borderId="0" xfId="0" applyFont="1" applyFill="1">
      <alignment vertical="center"/>
    </xf>
    <xf numFmtId="0" fontId="97" fillId="14" borderId="0" xfId="0" applyFont="1" applyFill="1" applyAlignment="1">
      <alignment horizontal="left" vertical="center"/>
    </xf>
    <xf numFmtId="0" fontId="97" fillId="19" borderId="0" xfId="0" applyFont="1" applyFill="1">
      <alignment vertical="center"/>
    </xf>
    <xf numFmtId="0" fontId="97" fillId="19" borderId="0" xfId="161" applyFont="1" applyFill="1">
      <alignment vertical="center"/>
    </xf>
    <xf numFmtId="0" fontId="97" fillId="19" borderId="0" xfId="161" applyFont="1" applyFill="1" applyAlignment="1">
      <alignment horizontal="center" vertical="center"/>
    </xf>
    <xf numFmtId="0" fontId="97" fillId="19" borderId="0" xfId="161" applyFont="1" applyFill="1" applyAlignment="1">
      <alignment horizontal="left" vertical="center"/>
    </xf>
    <xf numFmtId="0" fontId="89" fillId="19" borderId="6" xfId="161" quotePrefix="1" applyFont="1" applyFill="1" applyBorder="1">
      <alignment vertical="center"/>
    </xf>
    <xf numFmtId="0" fontId="93" fillId="19" borderId="0" xfId="0" applyFont="1" applyFill="1">
      <alignment vertical="center"/>
    </xf>
    <xf numFmtId="0" fontId="89" fillId="19" borderId="0" xfId="0" applyFont="1" applyFill="1">
      <alignment vertical="center"/>
    </xf>
    <xf numFmtId="0" fontId="97" fillId="19" borderId="0" xfId="0" applyFont="1" applyFill="1" applyAlignment="1">
      <alignment horizontal="center" vertical="center"/>
    </xf>
    <xf numFmtId="0" fontId="89" fillId="19" borderId="11" xfId="161" applyFont="1" applyFill="1" applyBorder="1">
      <alignment vertical="center"/>
    </xf>
    <xf numFmtId="0" fontId="89" fillId="19" borderId="0" xfId="161" quotePrefix="1" applyFont="1" applyFill="1">
      <alignment vertical="center"/>
    </xf>
    <xf numFmtId="0" fontId="73" fillId="14" borderId="0" xfId="0" applyFont="1" applyFill="1">
      <alignment vertical="center"/>
    </xf>
    <xf numFmtId="0" fontId="99" fillId="14" borderId="0" xfId="0" applyFont="1" applyFill="1">
      <alignment vertical="center"/>
    </xf>
    <xf numFmtId="0" fontId="93" fillId="28" borderId="0" xfId="0" applyFont="1" applyFill="1" applyAlignment="1">
      <alignment horizontal="left" vertical="center"/>
    </xf>
    <xf numFmtId="0" fontId="93" fillId="28" borderId="0" xfId="0" applyFont="1" applyFill="1">
      <alignment vertical="center"/>
    </xf>
    <xf numFmtId="0" fontId="93" fillId="14" borderId="0" xfId="0" applyFont="1" applyFill="1">
      <alignment vertical="center"/>
    </xf>
    <xf numFmtId="0" fontId="89" fillId="0" borderId="8" xfId="161" applyFont="1" applyBorder="1">
      <alignment vertical="center"/>
    </xf>
    <xf numFmtId="0" fontId="94" fillId="0" borderId="8" xfId="0" applyFont="1" applyBorder="1">
      <alignment vertical="center"/>
    </xf>
    <xf numFmtId="0" fontId="94" fillId="0" borderId="8" xfId="0" applyFont="1" applyBorder="1" applyAlignment="1">
      <alignment vertical="center" wrapText="1"/>
    </xf>
    <xf numFmtId="0" fontId="89" fillId="0" borderId="12" xfId="161" applyFont="1" applyBorder="1">
      <alignment vertical="center"/>
    </xf>
    <xf numFmtId="0" fontId="94" fillId="0" borderId="12" xfId="0" applyFont="1" applyBorder="1">
      <alignment vertical="center"/>
    </xf>
    <xf numFmtId="0" fontId="94" fillId="0" borderId="12" xfId="0" applyFont="1" applyBorder="1" applyAlignment="1">
      <alignment vertical="center" wrapText="1"/>
    </xf>
    <xf numFmtId="0" fontId="89" fillId="10" borderId="26" xfId="46" applyFont="1" applyFill="1" applyBorder="1" applyAlignment="1">
      <alignment horizontal="center"/>
    </xf>
    <xf numFmtId="0" fontId="89" fillId="10" borderId="18" xfId="46" applyFont="1" applyFill="1" applyBorder="1" applyAlignment="1">
      <alignment horizontal="center"/>
    </xf>
    <xf numFmtId="0" fontId="89" fillId="10" borderId="47" xfId="46" applyFont="1" applyFill="1" applyBorder="1" applyAlignment="1">
      <alignment horizontal="center"/>
    </xf>
    <xf numFmtId="0" fontId="94" fillId="28" borderId="0" xfId="186" applyFont="1" applyFill="1">
      <alignment vertical="center"/>
    </xf>
    <xf numFmtId="0" fontId="94" fillId="14" borderId="0" xfId="186" applyFont="1" applyFill="1">
      <alignment vertical="center"/>
    </xf>
    <xf numFmtId="0" fontId="94" fillId="0" borderId="0" xfId="186" applyFont="1">
      <alignment vertical="center"/>
    </xf>
    <xf numFmtId="0" fontId="102" fillId="0" borderId="46" xfId="161" quotePrefix="1" applyFont="1" applyBorder="1">
      <alignment vertical="center"/>
    </xf>
    <xf numFmtId="0" fontId="89" fillId="32" borderId="0" xfId="0" applyFont="1" applyFill="1">
      <alignment vertical="center"/>
    </xf>
    <xf numFmtId="0" fontId="97" fillId="32" borderId="0" xfId="0" applyFont="1" applyFill="1">
      <alignment vertical="center"/>
    </xf>
    <xf numFmtId="0" fontId="97" fillId="32" borderId="0" xfId="161" applyFont="1" applyFill="1">
      <alignment vertical="center"/>
    </xf>
    <xf numFmtId="0" fontId="89" fillId="32" borderId="0" xfId="161" applyFont="1" applyFill="1">
      <alignment vertical="center"/>
    </xf>
    <xf numFmtId="0" fontId="103" fillId="0" borderId="0" xfId="161" quotePrefix="1" applyFont="1">
      <alignment vertical="center"/>
    </xf>
    <xf numFmtId="0" fontId="94" fillId="28" borderId="0" xfId="0" applyFont="1" applyFill="1">
      <alignment vertical="center"/>
    </xf>
    <xf numFmtId="0" fontId="93" fillId="0" borderId="15" xfId="0" applyFont="1" applyBorder="1">
      <alignment vertical="center"/>
    </xf>
    <xf numFmtId="0" fontId="93" fillId="0" borderId="12" xfId="0" applyFont="1" applyBorder="1">
      <alignment vertical="center"/>
    </xf>
    <xf numFmtId="0" fontId="93" fillId="28" borderId="12" xfId="0" applyFont="1" applyFill="1" applyBorder="1" applyAlignment="1">
      <alignment horizontal="left" vertical="center"/>
    </xf>
    <xf numFmtId="0" fontId="99" fillId="14" borderId="12" xfId="0" applyFont="1" applyFill="1" applyBorder="1">
      <alignment vertical="center"/>
    </xf>
    <xf numFmtId="0" fontId="99" fillId="14" borderId="13" xfId="0" applyFont="1" applyFill="1" applyBorder="1">
      <alignment vertical="center"/>
    </xf>
    <xf numFmtId="0" fontId="93" fillId="28" borderId="6" xfId="0" applyFont="1" applyFill="1" applyBorder="1" applyAlignment="1">
      <alignment horizontal="left" vertical="center"/>
    </xf>
    <xf numFmtId="0" fontId="99" fillId="14" borderId="11" xfId="0" applyFont="1" applyFill="1" applyBorder="1">
      <alignment vertical="center"/>
    </xf>
    <xf numFmtId="0" fontId="93" fillId="0" borderId="6" xfId="0" applyFont="1" applyBorder="1">
      <alignment vertical="center"/>
    </xf>
    <xf numFmtId="0" fontId="99" fillId="14" borderId="6" xfId="0" applyFont="1" applyFill="1" applyBorder="1">
      <alignment vertical="center"/>
    </xf>
    <xf numFmtId="0" fontId="93" fillId="14" borderId="6" xfId="0" applyFont="1" applyFill="1" applyBorder="1">
      <alignment vertical="center"/>
    </xf>
    <xf numFmtId="0" fontId="99" fillId="14" borderId="7" xfId="0" applyFont="1" applyFill="1" applyBorder="1">
      <alignment vertical="center"/>
    </xf>
    <xf numFmtId="0" fontId="99" fillId="14" borderId="8" xfId="0" applyFont="1" applyFill="1" applyBorder="1">
      <alignment vertical="center"/>
    </xf>
    <xf numFmtId="0" fontId="99" fillId="14" borderId="14" xfId="0" applyFont="1" applyFill="1" applyBorder="1">
      <alignment vertical="center"/>
    </xf>
    <xf numFmtId="0" fontId="19" fillId="0" borderId="0" xfId="48" applyFont="1" applyAlignment="1">
      <alignment horizontal="center" vertical="center" wrapText="1"/>
    </xf>
    <xf numFmtId="0" fontId="19" fillId="0" borderId="0" xfId="48" applyFont="1" applyAlignment="1">
      <alignment horizontal="center" vertical="center"/>
    </xf>
    <xf numFmtId="14" fontId="80" fillId="14" borderId="0" xfId="48" applyNumberFormat="1" applyFont="1" applyFill="1" applyAlignment="1">
      <alignment horizontal="center" vertical="center"/>
    </xf>
    <xf numFmtId="0" fontId="80" fillId="14" borderId="0" xfId="48" applyFont="1" applyFill="1" applyAlignment="1">
      <alignment horizontal="center" vertical="center"/>
    </xf>
    <xf numFmtId="0" fontId="15" fillId="0" borderId="3" xfId="48" applyFont="1" applyBorder="1" applyAlignment="1">
      <alignment horizontal="center"/>
    </xf>
    <xf numFmtId="0" fontId="15" fillId="14" borderId="0" xfId="48" applyFont="1" applyFill="1" applyAlignment="1">
      <alignment horizontal="center"/>
    </xf>
    <xf numFmtId="0" fontId="18" fillId="12" borderId="3" xfId="48" applyFont="1" applyFill="1" applyBorder="1" applyAlignment="1">
      <alignment horizontal="left" vertical="center"/>
    </xf>
    <xf numFmtId="0" fontId="19" fillId="0" borderId="3" xfId="48" applyFont="1" applyBorder="1" applyAlignment="1">
      <alignment horizontal="center" vertical="center"/>
    </xf>
    <xf numFmtId="0" fontId="19" fillId="0" borderId="3" xfId="48" applyFont="1" applyBorder="1" applyAlignment="1">
      <alignment horizontal="left" vertical="center"/>
    </xf>
    <xf numFmtId="14" fontId="19" fillId="0" borderId="3" xfId="48" applyNumberFormat="1" applyFont="1" applyBorder="1" applyAlignment="1">
      <alignment horizontal="center" vertical="center"/>
    </xf>
    <xf numFmtId="0" fontId="13" fillId="16" borderId="10" xfId="50" applyFill="1" applyBorder="1" applyAlignment="1">
      <alignment horizontal="center" vertical="center"/>
    </xf>
    <xf numFmtId="0" fontId="13" fillId="16" borderId="17" xfId="50" applyFill="1" applyBorder="1" applyAlignment="1">
      <alignment horizontal="center" vertical="center"/>
    </xf>
    <xf numFmtId="0" fontId="13" fillId="16" borderId="3" xfId="50" applyFill="1" applyBorder="1" applyAlignment="1">
      <alignment horizontal="left" vertical="center"/>
    </xf>
    <xf numFmtId="0" fontId="18" fillId="12" borderId="10" xfId="48" applyFont="1" applyFill="1" applyBorder="1" applyAlignment="1">
      <alignment horizontal="left" vertical="center"/>
    </xf>
    <xf numFmtId="0" fontId="18" fillId="12" borderId="2" xfId="48" applyFont="1" applyFill="1" applyBorder="1" applyAlignment="1">
      <alignment horizontal="left" vertical="center"/>
    </xf>
    <xf numFmtId="0" fontId="18" fillId="12" borderId="17" xfId="48" applyFont="1" applyFill="1" applyBorder="1" applyAlignment="1">
      <alignment horizontal="left" vertical="center"/>
    </xf>
    <xf numFmtId="0" fontId="48" fillId="15" borderId="24" xfId="48" applyFont="1" applyFill="1" applyBorder="1" applyAlignment="1">
      <alignment vertical="center"/>
    </xf>
    <xf numFmtId="0" fontId="18" fillId="12" borderId="3" xfId="48" applyFont="1" applyFill="1" applyBorder="1" applyAlignment="1">
      <alignment vertical="center"/>
    </xf>
    <xf numFmtId="0" fontId="20" fillId="0" borderId="10" xfId="48" applyFont="1" applyBorder="1" applyAlignment="1">
      <alignment vertical="center"/>
    </xf>
    <xf numFmtId="0" fontId="20" fillId="0" borderId="2" xfId="48" applyFont="1" applyBorder="1" applyAlignment="1">
      <alignment vertical="center"/>
    </xf>
    <xf numFmtId="0" fontId="20" fillId="0" borderId="17" xfId="48" applyFont="1" applyBorder="1" applyAlignment="1">
      <alignment vertical="center"/>
    </xf>
    <xf numFmtId="0" fontId="52" fillId="14" borderId="15" xfId="0" applyFont="1" applyFill="1" applyBorder="1" applyAlignment="1">
      <alignment vertical="center" wrapText="1"/>
    </xf>
    <xf numFmtId="0" fontId="52" fillId="14" borderId="12" xfId="0" applyFont="1" applyFill="1" applyBorder="1" applyAlignment="1">
      <alignment vertical="center" wrapText="1"/>
    </xf>
    <xf numFmtId="0" fontId="52" fillId="14" borderId="13" xfId="0" applyFont="1" applyFill="1" applyBorder="1" applyAlignment="1">
      <alignment vertical="center" wrapText="1"/>
    </xf>
    <xf numFmtId="0" fontId="52" fillId="14" borderId="7" xfId="0" applyFont="1" applyFill="1" applyBorder="1" applyAlignment="1">
      <alignment vertical="center" wrapText="1"/>
    </xf>
    <xf numFmtId="0" fontId="52" fillId="14" borderId="8" xfId="0" applyFont="1" applyFill="1" applyBorder="1" applyAlignment="1">
      <alignment vertical="center" wrapText="1"/>
    </xf>
    <xf numFmtId="0" fontId="52" fillId="14" borderId="14" xfId="0" applyFont="1" applyFill="1" applyBorder="1" applyAlignment="1">
      <alignment vertical="center" wrapText="1"/>
    </xf>
    <xf numFmtId="0" fontId="18" fillId="15" borderId="25" xfId="48" applyFont="1" applyFill="1" applyBorder="1" applyAlignment="1">
      <alignment vertical="center"/>
    </xf>
    <xf numFmtId="0" fontId="19" fillId="0" borderId="3" xfId="48" applyFont="1" applyBorder="1" applyAlignment="1">
      <alignment vertical="center"/>
    </xf>
    <xf numFmtId="0" fontId="52" fillId="14" borderId="3" xfId="0" applyFont="1" applyFill="1" applyBorder="1">
      <alignment vertical="center"/>
    </xf>
    <xf numFmtId="0" fontId="17" fillId="15" borderId="23" xfId="48" applyFont="1" applyFill="1" applyBorder="1" applyAlignment="1">
      <alignment vertical="center"/>
    </xf>
    <xf numFmtId="0" fontId="54" fillId="17" borderId="8" xfId="0" applyFont="1" applyFill="1" applyBorder="1" applyAlignment="1">
      <alignment horizontal="center" vertical="center"/>
    </xf>
    <xf numFmtId="0" fontId="52" fillId="14" borderId="3" xfId="0" applyFont="1" applyFill="1" applyBorder="1" applyAlignment="1">
      <alignment vertical="center" wrapText="1"/>
    </xf>
    <xf numFmtId="0" fontId="52" fillId="0" borderId="15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3" xfId="0" applyFont="1" applyBorder="1">
      <alignment vertical="center"/>
    </xf>
    <xf numFmtId="0" fontId="52" fillId="0" borderId="3" xfId="0" applyFont="1" applyBorder="1" applyAlignment="1">
      <alignment vertical="center" wrapText="1"/>
    </xf>
    <xf numFmtId="0" fontId="52" fillId="0" borderId="23" xfId="0" applyFont="1" applyBorder="1">
      <alignment vertical="center"/>
    </xf>
    <xf numFmtId="0" fontId="52" fillId="0" borderId="10" xfId="0" applyFont="1" applyBorder="1" applyAlignment="1">
      <alignment vertical="center" wrapText="1"/>
    </xf>
    <xf numFmtId="0" fontId="52" fillId="0" borderId="2" xfId="0" applyFont="1" applyBorder="1">
      <alignment vertical="center"/>
    </xf>
    <xf numFmtId="0" fontId="52" fillId="0" borderId="17" xfId="0" applyFont="1" applyBorder="1">
      <alignment vertical="center"/>
    </xf>
    <xf numFmtId="0" fontId="0" fillId="0" borderId="3" xfId="0" applyBorder="1">
      <alignment vertical="center"/>
    </xf>
    <xf numFmtId="14" fontId="52" fillId="0" borderId="3" xfId="0" applyNumberFormat="1" applyFont="1" applyBorder="1" applyAlignment="1">
      <alignment horizontal="center" vertical="center"/>
    </xf>
    <xf numFmtId="14" fontId="19" fillId="0" borderId="3" xfId="50" applyNumberFormat="1" applyFont="1" applyBorder="1" applyAlignment="1">
      <alignment horizontal="center" vertical="center"/>
    </xf>
    <xf numFmtId="0" fontId="19" fillId="0" borderId="3" xfId="50" applyFont="1" applyBorder="1" applyAlignment="1">
      <alignment horizontal="center" vertical="center"/>
    </xf>
    <xf numFmtId="14" fontId="19" fillId="0" borderId="10" xfId="50" applyNumberFormat="1" applyFont="1" applyBorder="1" applyAlignment="1">
      <alignment horizontal="center" vertical="center"/>
    </xf>
    <xf numFmtId="14" fontId="19" fillId="0" borderId="2" xfId="50" applyNumberFormat="1" applyFont="1" applyBorder="1" applyAlignment="1">
      <alignment horizontal="center" vertical="center"/>
    </xf>
    <xf numFmtId="14" fontId="19" fillId="0" borderId="17" xfId="50" applyNumberFormat="1" applyFont="1" applyBorder="1" applyAlignment="1">
      <alignment horizontal="center" vertical="center"/>
    </xf>
    <xf numFmtId="14" fontId="52" fillId="0" borderId="23" xfId="0" applyNumberFormat="1" applyFont="1" applyBorder="1" applyAlignment="1">
      <alignment horizontal="center" vertical="center"/>
    </xf>
    <xf numFmtId="0" fontId="105" fillId="33" borderId="15" xfId="0" applyFont="1" applyFill="1" applyBorder="1" applyAlignment="1">
      <alignment horizontal="center" vertical="center"/>
    </xf>
    <xf numFmtId="0" fontId="105" fillId="33" borderId="12" xfId="0" applyFont="1" applyFill="1" applyBorder="1" applyAlignment="1">
      <alignment horizontal="center" vertical="center"/>
    </xf>
    <xf numFmtId="0" fontId="105" fillId="33" borderId="13" xfId="0" applyFont="1" applyFill="1" applyBorder="1" applyAlignment="1">
      <alignment horizontal="center" vertical="center"/>
    </xf>
    <xf numFmtId="0" fontId="20" fillId="0" borderId="3" xfId="48" applyFont="1" applyBorder="1" applyAlignment="1">
      <alignment vertical="center"/>
    </xf>
    <xf numFmtId="0" fontId="95" fillId="0" borderId="46" xfId="161" quotePrefix="1" applyFont="1" applyBorder="1" applyAlignment="1">
      <alignment horizontal="center" vertical="center"/>
    </xf>
    <xf numFmtId="0" fontId="50" fillId="13" borderId="10" xfId="49" applyFont="1" applyFill="1" applyBorder="1" applyAlignment="1">
      <alignment horizontal="center" vertical="center"/>
    </xf>
    <xf numFmtId="0" fontId="50" fillId="13" borderId="2" xfId="49" applyFont="1" applyFill="1" applyBorder="1" applyAlignment="1">
      <alignment horizontal="center" vertical="center"/>
    </xf>
    <xf numFmtId="0" fontId="50" fillId="13" borderId="17" xfId="49" applyFont="1" applyFill="1" applyBorder="1" applyAlignment="1">
      <alignment horizontal="center" vertical="center"/>
    </xf>
    <xf numFmtId="0" fontId="19" fillId="10" borderId="10" xfId="46" applyFont="1" applyFill="1" applyBorder="1" applyAlignment="1">
      <alignment horizontal="center"/>
    </xf>
    <xf numFmtId="0" fontId="19" fillId="10" borderId="17" xfId="46" applyFont="1" applyFill="1" applyBorder="1" applyAlignment="1">
      <alignment horizontal="center"/>
    </xf>
    <xf numFmtId="183" fontId="97" fillId="19" borderId="0" xfId="161" quotePrefix="1" applyNumberFormat="1" applyFont="1" applyFill="1" applyAlignment="1">
      <alignment horizontal="right" vertical="center"/>
    </xf>
    <xf numFmtId="0" fontId="89" fillId="0" borderId="10" xfId="186" applyFont="1" applyBorder="1" applyAlignment="1">
      <alignment horizontal="left" vertical="center" wrapText="1"/>
    </xf>
    <xf numFmtId="0" fontId="89" fillId="0" borderId="2" xfId="186" applyFont="1" applyBorder="1" applyAlignment="1">
      <alignment horizontal="left" vertical="center" wrapText="1"/>
    </xf>
    <xf numFmtId="0" fontId="89" fillId="0" borderId="17" xfId="186" applyFont="1" applyBorder="1" applyAlignment="1">
      <alignment horizontal="left" vertical="center" wrapText="1"/>
    </xf>
    <xf numFmtId="0" fontId="89" fillId="0" borderId="52" xfId="186" applyFont="1" applyBorder="1" applyAlignment="1">
      <alignment horizontal="left" vertical="center" wrapText="1"/>
    </xf>
    <xf numFmtId="0" fontId="89" fillId="0" borderId="48" xfId="186" applyFont="1" applyBorder="1" applyAlignment="1">
      <alignment horizontal="left" vertical="center" wrapText="1"/>
    </xf>
    <xf numFmtId="49" fontId="89" fillId="0" borderId="10" xfId="45" applyNumberFormat="1" applyFont="1" applyBorder="1" applyAlignment="1">
      <alignment horizontal="left" vertical="center" wrapText="1"/>
    </xf>
    <xf numFmtId="49" fontId="89" fillId="0" borderId="48" xfId="45" applyNumberFormat="1" applyFont="1" applyBorder="1" applyAlignment="1">
      <alignment horizontal="left" vertical="center" wrapText="1"/>
    </xf>
    <xf numFmtId="0" fontId="89" fillId="0" borderId="56" xfId="186" applyFont="1" applyBorder="1" applyAlignment="1" applyProtection="1">
      <alignment vertical="center" wrapText="1"/>
      <protection locked="0"/>
    </xf>
    <xf numFmtId="0" fontId="89" fillId="0" borderId="57" xfId="186" applyFont="1" applyBorder="1" applyAlignment="1" applyProtection="1">
      <alignment vertical="center" wrapText="1"/>
      <protection locked="0"/>
    </xf>
    <xf numFmtId="0" fontId="89" fillId="0" borderId="58" xfId="186" applyFont="1" applyBorder="1" applyAlignment="1" applyProtection="1">
      <alignment vertical="center" wrapText="1"/>
      <protection locked="0"/>
    </xf>
    <xf numFmtId="0" fontId="89" fillId="0" borderId="52" xfId="186" applyFont="1" applyBorder="1" applyAlignment="1" applyProtection="1">
      <alignment vertical="center" wrapText="1"/>
      <protection locked="0"/>
    </xf>
    <xf numFmtId="0" fontId="89" fillId="0" borderId="2" xfId="186" applyFont="1" applyBorder="1" applyAlignment="1" applyProtection="1">
      <alignment vertical="center" wrapText="1"/>
      <protection locked="0"/>
    </xf>
    <xf numFmtId="0" fontId="89" fillId="0" borderId="48" xfId="186" applyFont="1" applyBorder="1" applyAlignment="1" applyProtection="1">
      <alignment vertical="center" wrapText="1"/>
      <protection locked="0"/>
    </xf>
    <xf numFmtId="0" fontId="89" fillId="0" borderId="52" xfId="0" applyFont="1" applyBorder="1" applyAlignment="1" applyProtection="1">
      <alignment horizontal="left" vertical="center" wrapText="1"/>
      <protection locked="0"/>
    </xf>
    <xf numFmtId="0" fontId="89" fillId="0" borderId="2" xfId="0" applyFont="1" applyBorder="1" applyAlignment="1" applyProtection="1">
      <alignment horizontal="left" vertical="center" wrapText="1"/>
      <protection locked="0"/>
    </xf>
    <xf numFmtId="0" fontId="89" fillId="0" borderId="17" xfId="0" applyFont="1" applyBorder="1" applyAlignment="1" applyProtection="1">
      <alignment horizontal="left" vertical="center" wrapText="1"/>
      <protection locked="0"/>
    </xf>
    <xf numFmtId="0" fontId="89" fillId="0" borderId="10" xfId="0" applyFont="1" applyBorder="1" applyAlignment="1">
      <alignment horizontal="left" vertical="center" wrapText="1"/>
    </xf>
    <xf numFmtId="0" fontId="89" fillId="0" borderId="2" xfId="0" applyFont="1" applyBorder="1" applyAlignment="1">
      <alignment horizontal="left" vertical="center" wrapText="1"/>
    </xf>
    <xf numFmtId="0" fontId="89" fillId="0" borderId="17" xfId="0" applyFont="1" applyBorder="1" applyAlignment="1">
      <alignment horizontal="left" vertical="center" wrapText="1"/>
    </xf>
    <xf numFmtId="0" fontId="89" fillId="0" borderId="53" xfId="186" applyFont="1" applyBorder="1" applyAlignment="1" applyProtection="1">
      <alignment vertical="center" wrapText="1"/>
      <protection locked="0"/>
    </xf>
    <xf numFmtId="0" fontId="89" fillId="0" borderId="54" xfId="186" applyFont="1" applyBorder="1" applyAlignment="1" applyProtection="1">
      <alignment vertical="center" wrapText="1"/>
      <protection locked="0"/>
    </xf>
    <xf numFmtId="0" fontId="89" fillId="0" borderId="55" xfId="186" applyFont="1" applyBorder="1" applyAlignment="1" applyProtection="1">
      <alignment vertical="center" wrapText="1"/>
      <protection locked="0"/>
    </xf>
    <xf numFmtId="0" fontId="89" fillId="0" borderId="52" xfId="186" applyFont="1" applyBorder="1" applyAlignment="1" applyProtection="1">
      <alignment horizontal="left" vertical="center" wrapText="1"/>
      <protection locked="0"/>
    </xf>
    <xf numFmtId="0" fontId="89" fillId="0" borderId="2" xfId="186" applyFont="1" applyBorder="1" applyAlignment="1" applyProtection="1">
      <alignment horizontal="left" vertical="center" wrapText="1"/>
      <protection locked="0"/>
    </xf>
    <xf numFmtId="0" fontId="89" fillId="0" borderId="48" xfId="186" applyFont="1" applyBorder="1" applyAlignment="1" applyProtection="1">
      <alignment horizontal="left" vertical="center" wrapText="1"/>
      <protection locked="0"/>
    </xf>
    <xf numFmtId="0" fontId="89" fillId="0" borderId="10" xfId="186" applyFont="1" applyBorder="1" applyAlignment="1" applyProtection="1">
      <alignment horizontal="left" vertical="center" wrapText="1"/>
      <protection locked="0"/>
    </xf>
    <xf numFmtId="0" fontId="89" fillId="0" borderId="17" xfId="186" applyFont="1" applyBorder="1" applyAlignment="1" applyProtection="1">
      <alignment horizontal="left" vertical="center" wrapText="1"/>
      <protection locked="0"/>
    </xf>
    <xf numFmtId="0" fontId="89" fillId="0" borderId="49" xfId="186" applyFont="1" applyBorder="1" applyAlignment="1" applyProtection="1">
      <alignment vertical="center" wrapText="1"/>
      <protection locked="0"/>
    </xf>
    <xf numFmtId="0" fontId="89" fillId="0" borderId="50" xfId="186" applyFont="1" applyBorder="1" applyAlignment="1" applyProtection="1">
      <alignment vertical="center" wrapText="1"/>
      <protection locked="0"/>
    </xf>
    <xf numFmtId="0" fontId="89" fillId="0" borderId="51" xfId="186" applyFont="1" applyBorder="1" applyAlignment="1" applyProtection="1">
      <alignment vertical="center" wrapText="1"/>
      <protection locked="0"/>
    </xf>
    <xf numFmtId="0" fontId="89" fillId="0" borderId="10" xfId="45" applyFont="1" applyBorder="1" applyAlignment="1">
      <alignment horizontal="left" vertical="center" wrapText="1"/>
    </xf>
    <xf numFmtId="0" fontId="89" fillId="0" borderId="2" xfId="45" applyFont="1" applyBorder="1" applyAlignment="1">
      <alignment horizontal="left" vertical="center" wrapText="1"/>
    </xf>
    <xf numFmtId="0" fontId="89" fillId="0" borderId="17" xfId="45" applyFont="1" applyBorder="1" applyAlignment="1">
      <alignment horizontal="left" vertical="center" wrapText="1"/>
    </xf>
    <xf numFmtId="0" fontId="89" fillId="0" borderId="56" xfId="45" applyFont="1" applyBorder="1" applyAlignment="1" applyProtection="1">
      <alignment vertical="center" wrapText="1"/>
      <protection locked="0"/>
    </xf>
    <xf numFmtId="0" fontId="89" fillId="0" borderId="57" xfId="45" applyFont="1" applyBorder="1" applyAlignment="1" applyProtection="1">
      <alignment vertical="center" wrapText="1"/>
      <protection locked="0"/>
    </xf>
    <xf numFmtId="0" fontId="89" fillId="0" borderId="59" xfId="45" applyFont="1" applyBorder="1" applyAlignment="1" applyProtection="1">
      <alignment vertical="center" wrapText="1"/>
      <protection locked="0"/>
    </xf>
    <xf numFmtId="0" fontId="89" fillId="0" borderId="3" xfId="45" applyFont="1" applyBorder="1" applyAlignment="1" applyProtection="1">
      <alignment horizontal="left" vertical="center" wrapText="1"/>
      <protection locked="0"/>
    </xf>
    <xf numFmtId="0" fontId="89" fillId="0" borderId="52" xfId="45" applyFont="1" applyBorder="1" applyAlignment="1" applyProtection="1">
      <alignment horizontal="left" vertical="center" wrapText="1"/>
      <protection locked="0"/>
    </xf>
    <xf numFmtId="0" fontId="89" fillId="0" borderId="2" xfId="45" applyFont="1" applyBorder="1" applyAlignment="1" applyProtection="1">
      <alignment horizontal="left" vertical="center" wrapText="1"/>
      <protection locked="0"/>
    </xf>
    <xf numFmtId="0" fontId="89" fillId="0" borderId="17" xfId="45" applyFont="1" applyBorder="1" applyAlignment="1" applyProtection="1">
      <alignment horizontal="left" vertical="center" wrapText="1"/>
      <protection locked="0"/>
    </xf>
    <xf numFmtId="0" fontId="96" fillId="31" borderId="3" xfId="186" applyFont="1" applyFill="1" applyBorder="1" applyAlignment="1" applyProtection="1">
      <alignment horizontal="center" vertical="center" wrapText="1"/>
      <protection locked="0"/>
    </xf>
    <xf numFmtId="0" fontId="96" fillId="29" borderId="15" xfId="186" applyFont="1" applyFill="1" applyBorder="1" applyAlignment="1">
      <alignment horizontal="center" vertical="center" wrapText="1"/>
    </xf>
    <xf numFmtId="0" fontId="96" fillId="29" borderId="12" xfId="186" applyFont="1" applyFill="1" applyBorder="1" applyAlignment="1">
      <alignment horizontal="center" vertical="center" wrapText="1"/>
    </xf>
    <xf numFmtId="0" fontId="96" fillId="29" borderId="13" xfId="186" applyFont="1" applyFill="1" applyBorder="1" applyAlignment="1">
      <alignment horizontal="center" vertical="center" wrapText="1"/>
    </xf>
    <xf numFmtId="0" fontId="96" fillId="29" borderId="7" xfId="186" applyFont="1" applyFill="1" applyBorder="1" applyAlignment="1">
      <alignment horizontal="center" vertical="center" wrapText="1"/>
    </xf>
    <xf numFmtId="0" fontId="96" fillId="29" borderId="8" xfId="186" applyFont="1" applyFill="1" applyBorder="1" applyAlignment="1">
      <alignment horizontal="center" vertical="center" wrapText="1"/>
    </xf>
    <xf numFmtId="0" fontId="96" fillId="29" borderId="14" xfId="186" applyFont="1" applyFill="1" applyBorder="1" applyAlignment="1">
      <alignment horizontal="center" vertical="center" wrapText="1"/>
    </xf>
    <xf numFmtId="0" fontId="96" fillId="29" borderId="3" xfId="186" applyFont="1" applyFill="1" applyBorder="1" applyAlignment="1">
      <alignment horizontal="center" vertical="center" wrapText="1"/>
    </xf>
    <xf numFmtId="0" fontId="96" fillId="30" borderId="23" xfId="186" applyFont="1" applyFill="1" applyBorder="1" applyAlignment="1">
      <alignment horizontal="center" vertical="center"/>
    </xf>
    <xf numFmtId="0" fontId="96" fillId="31" borderId="3" xfId="186" applyFont="1" applyFill="1" applyBorder="1" applyAlignment="1">
      <alignment horizontal="center" vertical="center"/>
    </xf>
    <xf numFmtId="0" fontId="89" fillId="31" borderId="3" xfId="186" applyFont="1" applyFill="1" applyBorder="1" applyAlignment="1">
      <alignment horizontal="center" vertical="center"/>
    </xf>
    <xf numFmtId="0" fontId="96" fillId="29" borderId="3" xfId="186" applyFont="1" applyFill="1" applyBorder="1" applyAlignment="1">
      <alignment horizontal="center" vertical="center"/>
    </xf>
    <xf numFmtId="0" fontId="96" fillId="29" borderId="15" xfId="0" applyFont="1" applyFill="1" applyBorder="1" applyAlignment="1">
      <alignment horizontal="center" vertical="center" wrapText="1"/>
    </xf>
    <xf numFmtId="0" fontId="96" fillId="29" borderId="12" xfId="0" applyFont="1" applyFill="1" applyBorder="1" applyAlignment="1">
      <alignment horizontal="center" vertical="center" wrapText="1"/>
    </xf>
    <xf numFmtId="0" fontId="96" fillId="29" borderId="13" xfId="0" applyFont="1" applyFill="1" applyBorder="1" applyAlignment="1">
      <alignment horizontal="center" vertical="center" wrapText="1"/>
    </xf>
    <xf numFmtId="0" fontId="96" fillId="29" borderId="7" xfId="0" applyFont="1" applyFill="1" applyBorder="1" applyAlignment="1">
      <alignment horizontal="center" vertical="center" wrapText="1"/>
    </xf>
    <xf numFmtId="0" fontId="96" fillId="29" borderId="8" xfId="0" applyFont="1" applyFill="1" applyBorder="1" applyAlignment="1">
      <alignment horizontal="center" vertical="center" wrapText="1"/>
    </xf>
    <xf numFmtId="0" fontId="96" fillId="29" borderId="14" xfId="0" applyFont="1" applyFill="1" applyBorder="1" applyAlignment="1">
      <alignment horizontal="center" vertical="center" wrapText="1"/>
    </xf>
    <xf numFmtId="180" fontId="60" fillId="0" borderId="10" xfId="161" quotePrefix="1" applyNumberFormat="1" applyFont="1" applyBorder="1" applyAlignment="1">
      <alignment horizontal="right" vertical="center"/>
    </xf>
    <xf numFmtId="180" fontId="60" fillId="0" borderId="2" xfId="161" quotePrefix="1" applyNumberFormat="1" applyFont="1" applyBorder="1" applyAlignment="1">
      <alignment horizontal="right" vertical="center"/>
    </xf>
    <xf numFmtId="180" fontId="60" fillId="0" borderId="17" xfId="161" quotePrefix="1" applyNumberFormat="1" applyFont="1" applyBorder="1" applyAlignment="1">
      <alignment horizontal="right" vertical="center"/>
    </xf>
    <xf numFmtId="184" fontId="60" fillId="0" borderId="10" xfId="161" quotePrefix="1" applyNumberFormat="1" applyFont="1" applyBorder="1" applyAlignment="1">
      <alignment horizontal="right" vertical="center"/>
    </xf>
    <xf numFmtId="184" fontId="60" fillId="0" borderId="2" xfId="161" quotePrefix="1" applyNumberFormat="1" applyFont="1" applyBorder="1" applyAlignment="1">
      <alignment horizontal="right" vertical="center"/>
    </xf>
    <xf numFmtId="184" fontId="60" fillId="0" borderId="17" xfId="161" quotePrefix="1" applyNumberFormat="1" applyFont="1" applyBorder="1" applyAlignment="1">
      <alignment horizontal="right" vertical="center"/>
    </xf>
    <xf numFmtId="10" fontId="60" fillId="0" borderId="10" xfId="161" quotePrefix="1" applyNumberFormat="1" applyFont="1" applyBorder="1" applyAlignment="1">
      <alignment horizontal="right" vertical="center"/>
    </xf>
    <xf numFmtId="10" fontId="60" fillId="0" borderId="2" xfId="161" quotePrefix="1" applyNumberFormat="1" applyFont="1" applyBorder="1" applyAlignment="1">
      <alignment horizontal="right" vertical="center"/>
    </xf>
    <xf numFmtId="10" fontId="60" fillId="0" borderId="17" xfId="161" quotePrefix="1" applyNumberFormat="1" applyFont="1" applyBorder="1" applyAlignment="1">
      <alignment horizontal="right" vertical="center"/>
    </xf>
    <xf numFmtId="0" fontId="60" fillId="0" borderId="10" xfId="161" quotePrefix="1" applyFont="1" applyBorder="1" applyAlignment="1">
      <alignment horizontal="right" vertical="center"/>
    </xf>
    <xf numFmtId="0" fontId="60" fillId="0" borderId="2" xfId="161" quotePrefix="1" applyFont="1" applyBorder="1" applyAlignment="1">
      <alignment horizontal="right" vertical="center"/>
    </xf>
    <xf numFmtId="0" fontId="60" fillId="0" borderId="17" xfId="161" quotePrefix="1" applyFont="1" applyBorder="1" applyAlignment="1">
      <alignment horizontal="right" vertical="center"/>
    </xf>
    <xf numFmtId="185" fontId="60" fillId="0" borderId="10" xfId="161" quotePrefix="1" applyNumberFormat="1" applyFont="1" applyBorder="1" applyAlignment="1">
      <alignment horizontal="right" vertical="center"/>
    </xf>
    <xf numFmtId="185" fontId="60" fillId="0" borderId="2" xfId="161" quotePrefix="1" applyNumberFormat="1" applyFont="1" applyBorder="1" applyAlignment="1">
      <alignment horizontal="right" vertical="center"/>
    </xf>
    <xf numFmtId="185" fontId="60" fillId="0" borderId="17" xfId="161" quotePrefix="1" applyNumberFormat="1" applyFont="1" applyBorder="1" applyAlignment="1">
      <alignment horizontal="right" vertical="center"/>
    </xf>
    <xf numFmtId="179" fontId="60" fillId="0" borderId="10" xfId="161" quotePrefix="1" applyNumberFormat="1" applyFont="1" applyBorder="1" applyAlignment="1">
      <alignment horizontal="right" vertical="center"/>
    </xf>
    <xf numFmtId="179" fontId="60" fillId="0" borderId="2" xfId="161" quotePrefix="1" applyNumberFormat="1" applyFont="1" applyBorder="1" applyAlignment="1">
      <alignment horizontal="right" vertical="center"/>
    </xf>
    <xf numFmtId="179" fontId="60" fillId="0" borderId="17" xfId="161" quotePrefix="1" applyNumberFormat="1" applyFont="1" applyBorder="1" applyAlignment="1">
      <alignment horizontal="right" vertical="center"/>
    </xf>
    <xf numFmtId="182" fontId="60" fillId="0" borderId="10" xfId="161" quotePrefix="1" applyNumberFormat="1" applyFont="1" applyBorder="1" applyAlignment="1">
      <alignment horizontal="right" vertical="center"/>
    </xf>
    <xf numFmtId="182" fontId="60" fillId="0" borderId="2" xfId="161" quotePrefix="1" applyNumberFormat="1" applyFont="1" applyBorder="1" applyAlignment="1">
      <alignment horizontal="right" vertical="center"/>
    </xf>
    <xf numFmtId="182" fontId="60" fillId="0" borderId="17" xfId="161" quotePrefix="1" applyNumberFormat="1" applyFont="1" applyBorder="1" applyAlignment="1">
      <alignment horizontal="right" vertical="center"/>
    </xf>
    <xf numFmtId="182" fontId="60" fillId="0" borderId="10" xfId="161" applyNumberFormat="1" applyFont="1" applyBorder="1" applyAlignment="1">
      <alignment horizontal="center" vertical="center"/>
    </xf>
    <xf numFmtId="182" fontId="60" fillId="0" borderId="2" xfId="161" applyNumberFormat="1" applyFont="1" applyBorder="1" applyAlignment="1">
      <alignment horizontal="center" vertical="center"/>
    </xf>
    <xf numFmtId="182" fontId="60" fillId="0" borderId="17" xfId="161" applyNumberFormat="1" applyFont="1" applyBorder="1" applyAlignment="1">
      <alignment horizontal="center" vertical="center"/>
    </xf>
    <xf numFmtId="185" fontId="60" fillId="0" borderId="10" xfId="161" quotePrefix="1" applyNumberFormat="1" applyFont="1" applyBorder="1" applyAlignment="1">
      <alignment horizontal="right" vertical="center" indent="1"/>
    </xf>
    <xf numFmtId="185" fontId="60" fillId="0" borderId="2" xfId="161" quotePrefix="1" applyNumberFormat="1" applyFont="1" applyBorder="1" applyAlignment="1">
      <alignment horizontal="right" vertical="center" indent="1"/>
    </xf>
    <xf numFmtId="185" fontId="60" fillId="0" borderId="17" xfId="161" quotePrefix="1" applyNumberFormat="1" applyFont="1" applyBorder="1" applyAlignment="1">
      <alignment horizontal="right" vertical="center" indent="1"/>
    </xf>
    <xf numFmtId="10" fontId="0" fillId="14" borderId="0" xfId="0" applyNumberFormat="1" applyFill="1" applyAlignment="1">
      <alignment horizontal="center" vertical="center"/>
    </xf>
    <xf numFmtId="180" fontId="60" fillId="0" borderId="10" xfId="161" quotePrefix="1" applyNumberFormat="1" applyFont="1" applyBorder="1" applyAlignment="1">
      <alignment horizontal="center" vertical="center"/>
    </xf>
    <xf numFmtId="180" fontId="60" fillId="0" borderId="2" xfId="161" quotePrefix="1" applyNumberFormat="1" applyFont="1" applyBorder="1" applyAlignment="1">
      <alignment horizontal="center" vertical="center"/>
    </xf>
    <xf numFmtId="180" fontId="60" fillId="0" borderId="17" xfId="161" quotePrefix="1" applyNumberFormat="1" applyFont="1" applyBorder="1" applyAlignment="1">
      <alignment horizontal="center" vertical="center"/>
    </xf>
    <xf numFmtId="183" fontId="60" fillId="0" borderId="10" xfId="161" applyNumberFormat="1" applyFont="1" applyBorder="1" applyAlignment="1">
      <alignment horizontal="right" vertical="center"/>
    </xf>
    <xf numFmtId="183" fontId="60" fillId="0" borderId="2" xfId="161" applyNumberFormat="1" applyFont="1" applyBorder="1" applyAlignment="1">
      <alignment horizontal="right" vertical="center"/>
    </xf>
    <xf numFmtId="183" fontId="60" fillId="0" borderId="17" xfId="161" applyNumberFormat="1" applyFont="1" applyBorder="1" applyAlignment="1">
      <alignment horizontal="right" vertical="center"/>
    </xf>
    <xf numFmtId="181" fontId="60" fillId="0" borderId="10" xfId="161" quotePrefix="1" applyNumberFormat="1" applyFont="1" applyBorder="1" applyAlignment="1">
      <alignment horizontal="right" vertical="center"/>
    </xf>
    <xf numFmtId="181" fontId="60" fillId="0" borderId="2" xfId="161" quotePrefix="1" applyNumberFormat="1" applyFont="1" applyBorder="1" applyAlignment="1">
      <alignment horizontal="right" vertical="center"/>
    </xf>
    <xf numFmtId="181" fontId="60" fillId="0" borderId="17" xfId="161" quotePrefix="1" applyNumberFormat="1" applyFont="1" applyBorder="1" applyAlignment="1">
      <alignment horizontal="right" vertical="center"/>
    </xf>
    <xf numFmtId="182" fontId="60" fillId="0" borderId="10" xfId="161" quotePrefix="1" applyNumberFormat="1" applyFont="1" applyBorder="1" applyAlignment="1">
      <alignment horizontal="center" vertical="center"/>
    </xf>
    <xf numFmtId="182" fontId="60" fillId="0" borderId="2" xfId="161" quotePrefix="1" applyNumberFormat="1" applyFont="1" applyBorder="1" applyAlignment="1">
      <alignment horizontal="center" vertical="center"/>
    </xf>
    <xf numFmtId="182" fontId="60" fillId="0" borderId="17" xfId="161" quotePrefix="1" applyNumberFormat="1" applyFont="1" applyBorder="1" applyAlignment="1">
      <alignment horizontal="center" vertical="center"/>
    </xf>
    <xf numFmtId="179" fontId="60" fillId="0" borderId="10" xfId="161" quotePrefix="1" applyNumberFormat="1" applyFont="1" applyBorder="1" applyAlignment="1">
      <alignment horizontal="center" vertical="center"/>
    </xf>
    <xf numFmtId="179" fontId="60" fillId="0" borderId="2" xfId="161" quotePrefix="1" applyNumberFormat="1" applyFont="1" applyBorder="1" applyAlignment="1">
      <alignment horizontal="center" vertical="center"/>
    </xf>
    <xf numFmtId="179" fontId="60" fillId="0" borderId="17" xfId="161" quotePrefix="1" applyNumberFormat="1" applyFont="1" applyBorder="1" applyAlignment="1">
      <alignment horizontal="center" vertical="center"/>
    </xf>
    <xf numFmtId="183" fontId="60" fillId="0" borderId="0" xfId="161" quotePrefix="1" applyNumberFormat="1" applyFont="1" applyAlignment="1">
      <alignment horizontal="right" vertical="center"/>
    </xf>
    <xf numFmtId="181" fontId="60" fillId="0" borderId="0" xfId="161" quotePrefix="1" applyNumberFormat="1" applyFont="1" applyAlignment="1">
      <alignment horizontal="right" vertical="center"/>
    </xf>
    <xf numFmtId="186" fontId="52" fillId="14" borderId="15" xfId="0" applyNumberFormat="1" applyFont="1" applyFill="1" applyBorder="1" applyAlignment="1">
      <alignment horizontal="center" vertical="center"/>
    </xf>
    <xf numFmtId="186" fontId="52" fillId="14" borderId="12" xfId="0" applyNumberFormat="1" applyFont="1" applyFill="1" applyBorder="1" applyAlignment="1">
      <alignment horizontal="center" vertical="center"/>
    </xf>
    <xf numFmtId="183" fontId="60" fillId="0" borderId="31" xfId="161" quotePrefix="1" applyNumberFormat="1" applyFont="1" applyBorder="1" applyAlignment="1">
      <alignment horizontal="right" vertical="center"/>
    </xf>
  </cellXfs>
  <cellStyles count="187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9A33E0B3-3601-4446-AF7C-40986B16F916}"/>
    <cellStyle name="標準 12" xfId="186" xr:uid="{172743D3-6417-4394-B4C6-003C20754867}"/>
    <cellStyle name="標準 2" xfId="45" xr:uid="{00000000-0005-0000-0000-00002D000000}"/>
    <cellStyle name="標準 2 2" xfId="161" xr:uid="{00000000-0005-0000-0000-00002E000000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1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DBEEF4"/>
      <color rgb="FF339933"/>
      <color rgb="FF99FF99"/>
      <color rgb="FFFFFFCC"/>
      <color rgb="FFFF9900"/>
      <color rgb="FF013284"/>
      <color rgb="FF004098"/>
      <color rgb="FF333399"/>
      <color rgb="FF000099"/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tmp"/><Relationship Id="rId2" Type="http://schemas.openxmlformats.org/officeDocument/2006/relationships/image" Target="../media/image4.tmp"/><Relationship Id="rId1" Type="http://schemas.openxmlformats.org/officeDocument/2006/relationships/image" Target="../media/image3.tmp"/><Relationship Id="rId4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化学物質データ申請完了画面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57149</xdr:colOff>
      <xdr:row>6</xdr:row>
      <xdr:rowOff>38099</xdr:rowOff>
    </xdr:from>
    <xdr:to>
      <xdr:col>11</xdr:col>
      <xdr:colOff>76200</xdr:colOff>
      <xdr:row>7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0D91CD7-73B9-406E-9F10-402390626C7E}"/>
            </a:ext>
          </a:extLst>
        </xdr:cNvPr>
        <xdr:cNvSpPr/>
      </xdr:nvSpPr>
      <xdr:spPr>
        <a:xfrm>
          <a:off x="1685924" y="914399"/>
          <a:ext cx="38100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38100</xdr:colOff>
      <xdr:row>7</xdr:row>
      <xdr:rowOff>101600</xdr:rowOff>
    </xdr:from>
    <xdr:to>
      <xdr:col>10</xdr:col>
      <xdr:colOff>142875</xdr:colOff>
      <xdr:row>8</xdr:row>
      <xdr:rowOff>238125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BA2239B1-336C-4066-A6EE-55B023309C8B}"/>
            </a:ext>
          </a:extLst>
        </xdr:cNvPr>
        <xdr:cNvSpPr/>
      </xdr:nvSpPr>
      <xdr:spPr>
        <a:xfrm>
          <a:off x="762000" y="1247775"/>
          <a:ext cx="1187450" cy="292100"/>
        </a:xfrm>
        <a:prstGeom prst="borderCallout1">
          <a:avLst>
            <a:gd name="adj1" fmla="val -4247"/>
            <a:gd name="adj2" fmla="val 28737"/>
            <a:gd name="adj3" fmla="val -21310"/>
            <a:gd name="adj4" fmla="val 8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30</xdr:col>
      <xdr:colOff>126999</xdr:colOff>
      <xdr:row>31</xdr:row>
      <xdr:rowOff>133352</xdr:rowOff>
    </xdr:from>
    <xdr:to>
      <xdr:col>41</xdr:col>
      <xdr:colOff>163948</xdr:colOff>
      <xdr:row>34</xdr:row>
      <xdr:rowOff>133351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61ADBF9-CF13-4824-ADE8-DED225A4AC3F}"/>
            </a:ext>
          </a:extLst>
        </xdr:cNvPr>
        <xdr:cNvSpPr/>
      </xdr:nvSpPr>
      <xdr:spPr>
        <a:xfrm>
          <a:off x="5556249" y="5295902"/>
          <a:ext cx="2027674" cy="485774"/>
        </a:xfrm>
        <a:prstGeom prst="rect">
          <a:avLst/>
        </a:prstGeom>
        <a:solidFill>
          <a:srgbClr val="002879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ja-JP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化学物質データ画面</a:t>
          </a:r>
          <a:r>
            <a:rPr kumimoji="1" lang="ja-JP" altLang="en-US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へ戻る</a:t>
          </a:r>
          <a:endParaRPr kumimoji="1" lang="en-US" altLang="ja-JP" sz="10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kumimoji="1" lang="en-US" altLang="ja-JP" sz="800" b="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Back to  Application List </a:t>
          </a:r>
        </a:p>
        <a:p>
          <a:pPr algn="ctr"/>
          <a:r>
            <a:rPr kumimoji="1" lang="en-US" altLang="ja-JP" sz="800" b="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to the Page </a:t>
          </a:r>
          <a:endParaRPr lang="ja-JP" altLang="ja-JP" sz="800" b="0">
            <a:effectLst/>
          </a:endParaRPr>
        </a:p>
        <a:p>
          <a:pPr algn="ctr"/>
          <a:endParaRPr lang="ja-JP" altLang="en-US" sz="500" b="1">
            <a:solidFill>
              <a:schemeClr val="bg1"/>
            </a:solidFill>
          </a:endParaRPr>
        </a:p>
      </xdr:txBody>
    </xdr:sp>
    <xdr:clientData/>
  </xdr:twoCellAnchor>
  <xdr:twoCellAnchor>
    <xdr:from>
      <xdr:col>11</xdr:col>
      <xdr:colOff>66675</xdr:colOff>
      <xdr:row>12</xdr:row>
      <xdr:rowOff>19050</xdr:rowOff>
    </xdr:from>
    <xdr:to>
      <xdr:col>13</xdr:col>
      <xdr:colOff>85726</xdr:colOff>
      <xdr:row>13</xdr:row>
      <xdr:rowOff>114301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86B98C93-7B70-4D69-AF61-E0162C2907C9}"/>
            </a:ext>
          </a:extLst>
        </xdr:cNvPr>
        <xdr:cNvSpPr/>
      </xdr:nvSpPr>
      <xdr:spPr>
        <a:xfrm>
          <a:off x="2054225" y="21050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158751</xdr:colOff>
      <xdr:row>13</xdr:row>
      <xdr:rowOff>139701</xdr:rowOff>
    </xdr:from>
    <xdr:to>
      <xdr:col>11</xdr:col>
      <xdr:colOff>161926</xdr:colOff>
      <xdr:row>16</xdr:row>
      <xdr:rowOff>1</xdr:rowOff>
    </xdr:to>
    <xdr:sp macro="" textlink="">
      <xdr:nvSpPr>
        <xdr:cNvPr id="7" name="角丸四角形 41">
          <a:extLst>
            <a:ext uri="{FF2B5EF4-FFF2-40B4-BE49-F238E27FC236}">
              <a16:creationId xmlns:a16="http://schemas.microsoft.com/office/drawing/2014/main" id="{421712FF-9A17-4878-B2B9-F975C9196467}"/>
            </a:ext>
          </a:extLst>
        </xdr:cNvPr>
        <xdr:cNvSpPr/>
      </xdr:nvSpPr>
      <xdr:spPr>
        <a:xfrm>
          <a:off x="520701" y="2387601"/>
          <a:ext cx="1631950" cy="34607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76199</xdr:colOff>
      <xdr:row>19</xdr:row>
      <xdr:rowOff>9526</xdr:rowOff>
    </xdr:from>
    <xdr:to>
      <xdr:col>16</xdr:col>
      <xdr:colOff>171449</xdr:colOff>
      <xdr:row>21</xdr:row>
      <xdr:rowOff>9525</xdr:rowOff>
    </xdr:to>
    <xdr:sp macro="" textlink="">
      <xdr:nvSpPr>
        <xdr:cNvPr id="9" name="角丸四角形 58">
          <a:extLst>
            <a:ext uri="{FF2B5EF4-FFF2-40B4-BE49-F238E27FC236}">
              <a16:creationId xmlns:a16="http://schemas.microsoft.com/office/drawing/2014/main" id="{34E226B8-B3A1-4534-9FF0-AB2237792E91}"/>
            </a:ext>
          </a:extLst>
        </xdr:cNvPr>
        <xdr:cNvSpPr/>
      </xdr:nvSpPr>
      <xdr:spPr>
        <a:xfrm>
          <a:off x="619124" y="3228976"/>
          <a:ext cx="2447925" cy="32384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66675</xdr:colOff>
      <xdr:row>21</xdr:row>
      <xdr:rowOff>0</xdr:rowOff>
    </xdr:from>
    <xdr:to>
      <xdr:col>18</xdr:col>
      <xdr:colOff>123825</xdr:colOff>
      <xdr:row>23</xdr:row>
      <xdr:rowOff>20864</xdr:rowOff>
    </xdr:to>
    <xdr:sp macro="" textlink="">
      <xdr:nvSpPr>
        <xdr:cNvPr id="10" name="角丸四角形 58">
          <a:extLst>
            <a:ext uri="{FF2B5EF4-FFF2-40B4-BE49-F238E27FC236}">
              <a16:creationId xmlns:a16="http://schemas.microsoft.com/office/drawing/2014/main" id="{78FC1A82-221C-4723-9B83-541CF4FEA415}"/>
            </a:ext>
          </a:extLst>
        </xdr:cNvPr>
        <xdr:cNvSpPr/>
      </xdr:nvSpPr>
      <xdr:spPr>
        <a:xfrm>
          <a:off x="609600" y="3543300"/>
          <a:ext cx="2771775" cy="34471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29</xdr:col>
      <xdr:colOff>57150</xdr:colOff>
      <xdr:row>31</xdr:row>
      <xdr:rowOff>34925</xdr:rowOff>
    </xdr:from>
    <xdr:to>
      <xdr:col>31</xdr:col>
      <xdr:colOff>76201</xdr:colOff>
      <xdr:row>32</xdr:row>
      <xdr:rowOff>130176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668177BC-7B91-469E-B3AE-A39D253A62AE}"/>
            </a:ext>
          </a:extLst>
        </xdr:cNvPr>
        <xdr:cNvSpPr/>
      </xdr:nvSpPr>
      <xdr:spPr>
        <a:xfrm>
          <a:off x="5305425" y="51974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149225</xdr:colOff>
      <xdr:row>17</xdr:row>
      <xdr:rowOff>53975</xdr:rowOff>
    </xdr:from>
    <xdr:to>
      <xdr:col>17</xdr:col>
      <xdr:colOff>168276</xdr:colOff>
      <xdr:row>18</xdr:row>
      <xdr:rowOff>152401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D5804FEF-9276-45ED-A927-FC89FEAE6344}"/>
            </a:ext>
          </a:extLst>
        </xdr:cNvPr>
        <xdr:cNvSpPr/>
      </xdr:nvSpPr>
      <xdr:spPr>
        <a:xfrm>
          <a:off x="2863850" y="6673850"/>
          <a:ext cx="381001" cy="2603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111125</xdr:colOff>
      <xdr:row>19</xdr:row>
      <xdr:rowOff>104775</xdr:rowOff>
    </xdr:from>
    <xdr:to>
      <xdr:col>20</xdr:col>
      <xdr:colOff>130176</xdr:colOff>
      <xdr:row>21</xdr:row>
      <xdr:rowOff>38101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A75442BA-F3A6-45C5-9AF7-3DDD70DFD9F8}"/>
            </a:ext>
          </a:extLst>
        </xdr:cNvPr>
        <xdr:cNvSpPr/>
      </xdr:nvSpPr>
      <xdr:spPr>
        <a:xfrm>
          <a:off x="3368675" y="33242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123826</xdr:colOff>
      <xdr:row>23</xdr:row>
      <xdr:rowOff>0</xdr:rowOff>
    </xdr:from>
    <xdr:to>
      <xdr:col>15</xdr:col>
      <xdr:colOff>38101</xdr:colOff>
      <xdr:row>25</xdr:row>
      <xdr:rowOff>19050</xdr:rowOff>
    </xdr:to>
    <xdr:sp macro="" textlink="">
      <xdr:nvSpPr>
        <xdr:cNvPr id="32" name="角丸四角形 58">
          <a:extLst>
            <a:ext uri="{FF2B5EF4-FFF2-40B4-BE49-F238E27FC236}">
              <a16:creationId xmlns:a16="http://schemas.microsoft.com/office/drawing/2014/main" id="{06A09DF6-8203-42AD-BA4E-5B4909D62818}"/>
            </a:ext>
          </a:extLst>
        </xdr:cNvPr>
        <xdr:cNvSpPr/>
      </xdr:nvSpPr>
      <xdr:spPr>
        <a:xfrm>
          <a:off x="1209676" y="3867150"/>
          <a:ext cx="1543050" cy="34290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104775</xdr:colOff>
      <xdr:row>23</xdr:row>
      <xdr:rowOff>123825</xdr:rowOff>
    </xdr:from>
    <xdr:to>
      <xdr:col>16</xdr:col>
      <xdr:colOff>130176</xdr:colOff>
      <xdr:row>25</xdr:row>
      <xdr:rowOff>53976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7B3CE5B4-03FF-4765-8D78-06C95B76AB0E}"/>
            </a:ext>
          </a:extLst>
        </xdr:cNvPr>
        <xdr:cNvSpPr/>
      </xdr:nvSpPr>
      <xdr:spPr>
        <a:xfrm>
          <a:off x="2638425" y="3990975"/>
          <a:ext cx="38735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38100</xdr:colOff>
      <xdr:row>7</xdr:row>
      <xdr:rowOff>101600</xdr:rowOff>
    </xdr:from>
    <xdr:to>
      <xdr:col>10</xdr:col>
      <xdr:colOff>142875</xdr:colOff>
      <xdr:row>8</xdr:row>
      <xdr:rowOff>238125</xdr:rowOff>
    </xdr:to>
    <xdr:sp macro="" textlink="">
      <xdr:nvSpPr>
        <xdr:cNvPr id="5" name="線吹き出し 1 (枠付き) 12">
          <a:extLst>
            <a:ext uri="{FF2B5EF4-FFF2-40B4-BE49-F238E27FC236}">
              <a16:creationId xmlns:a16="http://schemas.microsoft.com/office/drawing/2014/main" id="{C60952C5-E0BF-4A00-8C56-8776A37C9555}"/>
            </a:ext>
          </a:extLst>
        </xdr:cNvPr>
        <xdr:cNvSpPr/>
      </xdr:nvSpPr>
      <xdr:spPr>
        <a:xfrm>
          <a:off x="774700" y="1250950"/>
          <a:ext cx="1209675" cy="295275"/>
        </a:xfrm>
        <a:prstGeom prst="borderCallout1">
          <a:avLst>
            <a:gd name="adj1" fmla="val -4247"/>
            <a:gd name="adj2" fmla="val 28737"/>
            <a:gd name="adj3" fmla="val -21310"/>
            <a:gd name="adj4" fmla="val 8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57149</xdr:colOff>
      <xdr:row>6</xdr:row>
      <xdr:rowOff>38099</xdr:rowOff>
    </xdr:from>
    <xdr:to>
      <xdr:col>11</xdr:col>
      <xdr:colOff>76200</xdr:colOff>
      <xdr:row>7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82C95B8-3F7A-4DAF-8268-80394F26F700}"/>
            </a:ext>
          </a:extLst>
        </xdr:cNvPr>
        <xdr:cNvSpPr/>
      </xdr:nvSpPr>
      <xdr:spPr>
        <a:xfrm>
          <a:off x="1685924" y="1952624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38100</xdr:colOff>
      <xdr:row>7</xdr:row>
      <xdr:rowOff>101600</xdr:rowOff>
    </xdr:from>
    <xdr:to>
      <xdr:col>10</xdr:col>
      <xdr:colOff>142875</xdr:colOff>
      <xdr:row>8</xdr:row>
      <xdr:rowOff>238125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FC62FF29-570F-4F9B-9C2F-47B0304FC114}"/>
            </a:ext>
          </a:extLst>
        </xdr:cNvPr>
        <xdr:cNvSpPr/>
      </xdr:nvSpPr>
      <xdr:spPr>
        <a:xfrm>
          <a:off x="762000" y="2263775"/>
          <a:ext cx="1190625" cy="298450"/>
        </a:xfrm>
        <a:prstGeom prst="borderCallout1">
          <a:avLst>
            <a:gd name="adj1" fmla="val -4247"/>
            <a:gd name="adj2" fmla="val 28737"/>
            <a:gd name="adj3" fmla="val -21310"/>
            <a:gd name="adj4" fmla="val 88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30</xdr:col>
      <xdr:colOff>142874</xdr:colOff>
      <xdr:row>25</xdr:row>
      <xdr:rowOff>57149</xdr:rowOff>
    </xdr:from>
    <xdr:to>
      <xdr:col>42</xdr:col>
      <xdr:colOff>2023</xdr:colOff>
      <xdr:row>27</xdr:row>
      <xdr:rowOff>75314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9766FC07-CA38-4B27-997B-CDB3BC3C700C}"/>
            </a:ext>
          </a:extLst>
        </xdr:cNvPr>
        <xdr:cNvSpPr/>
      </xdr:nvSpPr>
      <xdr:spPr>
        <a:xfrm>
          <a:off x="5572124" y="5267324"/>
          <a:ext cx="2030849" cy="342015"/>
        </a:xfrm>
        <a:prstGeom prst="rect">
          <a:avLst/>
        </a:prstGeom>
        <a:solidFill>
          <a:srgbClr val="002879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ja-JP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化学物質データ画面</a:t>
          </a:r>
          <a:r>
            <a:rPr kumimoji="1" lang="ja-JP" altLang="en-US" sz="10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へ戻る</a:t>
          </a:r>
          <a:endParaRPr lang="ja-JP" altLang="en-US" sz="500" b="1">
            <a:solidFill>
              <a:schemeClr val="bg1"/>
            </a:solidFill>
          </a:endParaRPr>
        </a:p>
      </xdr:txBody>
    </xdr:sp>
    <xdr:clientData/>
  </xdr:twoCellAnchor>
  <xdr:twoCellAnchor>
    <xdr:from>
      <xdr:col>33</xdr:col>
      <xdr:colOff>15875</xdr:colOff>
      <xdr:row>47</xdr:row>
      <xdr:rowOff>149225</xdr:rowOff>
    </xdr:from>
    <xdr:to>
      <xdr:col>42</xdr:col>
      <xdr:colOff>161006</xdr:colOff>
      <xdr:row>49</xdr:row>
      <xdr:rowOff>160732</xdr:rowOff>
    </xdr:to>
    <xdr:sp macro="" textlink="">
      <xdr:nvSpPr>
        <xdr:cNvPr id="40" name="正方形/長方形 39">
          <a:extLst>
            <a:ext uri="{FF2B5EF4-FFF2-40B4-BE49-F238E27FC236}">
              <a16:creationId xmlns:a16="http://schemas.microsoft.com/office/drawing/2014/main" id="{39B9BB04-0DAE-4545-AECB-09620800F276}"/>
            </a:ext>
          </a:extLst>
        </xdr:cNvPr>
        <xdr:cNvSpPr/>
      </xdr:nvSpPr>
      <xdr:spPr>
        <a:xfrm>
          <a:off x="5988050" y="8921750"/>
          <a:ext cx="1773906" cy="335357"/>
        </a:xfrm>
        <a:prstGeom prst="rect">
          <a:avLst/>
        </a:prstGeom>
        <a:solidFill>
          <a:srgbClr val="002879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900" b="1">
              <a:solidFill>
                <a:schemeClr val="bg1"/>
              </a:solidFill>
            </a:rPr>
            <a:t>Back to  </a:t>
          </a:r>
        </a:p>
        <a:p>
          <a:pPr algn="ctr"/>
          <a:r>
            <a:rPr lang="en-US" altLang="ja-JP" sz="900" b="1">
              <a:solidFill>
                <a:schemeClr val="bg1"/>
              </a:solidFill>
            </a:rPr>
            <a:t>Application List to the Page </a:t>
          </a:r>
          <a:endParaRPr lang="ja-JP" altLang="en-US" sz="900" b="1">
            <a:solidFill>
              <a:schemeClr val="bg1"/>
            </a:solidFill>
          </a:endParaRPr>
        </a:p>
      </xdr:txBody>
    </xdr:sp>
    <xdr:clientData/>
  </xdr:twoCellAnchor>
  <xdr:twoCellAnchor>
    <xdr:from>
      <xdr:col>11</xdr:col>
      <xdr:colOff>66675</xdr:colOff>
      <xdr:row>12</xdr:row>
      <xdr:rowOff>19050</xdr:rowOff>
    </xdr:from>
    <xdr:to>
      <xdr:col>13</xdr:col>
      <xdr:colOff>85726</xdr:colOff>
      <xdr:row>13</xdr:row>
      <xdr:rowOff>114301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C6BCEC27-BD69-4027-BA0C-ED9150F8E4F7}"/>
            </a:ext>
          </a:extLst>
        </xdr:cNvPr>
        <xdr:cNvSpPr/>
      </xdr:nvSpPr>
      <xdr:spPr>
        <a:xfrm>
          <a:off x="2057400" y="312420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</xdr:col>
      <xdr:colOff>158750</xdr:colOff>
      <xdr:row>13</xdr:row>
      <xdr:rowOff>139701</xdr:rowOff>
    </xdr:from>
    <xdr:to>
      <xdr:col>11</xdr:col>
      <xdr:colOff>114300</xdr:colOff>
      <xdr:row>15</xdr:row>
      <xdr:rowOff>1</xdr:rowOff>
    </xdr:to>
    <xdr:sp macro="" textlink="">
      <xdr:nvSpPr>
        <xdr:cNvPr id="43" name="角丸四角形 41">
          <a:extLst>
            <a:ext uri="{FF2B5EF4-FFF2-40B4-BE49-F238E27FC236}">
              <a16:creationId xmlns:a16="http://schemas.microsoft.com/office/drawing/2014/main" id="{360E833A-D559-42F9-A91B-98C48037E0CD}"/>
            </a:ext>
          </a:extLst>
        </xdr:cNvPr>
        <xdr:cNvSpPr/>
      </xdr:nvSpPr>
      <xdr:spPr>
        <a:xfrm>
          <a:off x="520700" y="3406776"/>
          <a:ext cx="1584325" cy="1841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6351</xdr:colOff>
      <xdr:row>19</xdr:row>
      <xdr:rowOff>38101</xdr:rowOff>
    </xdr:from>
    <xdr:to>
      <xdr:col>15</xdr:col>
      <xdr:colOff>28576</xdr:colOff>
      <xdr:row>20</xdr:row>
      <xdr:rowOff>9526</xdr:rowOff>
    </xdr:to>
    <xdr:sp macro="" textlink="">
      <xdr:nvSpPr>
        <xdr:cNvPr id="55" name="角丸四角形 58">
          <a:extLst>
            <a:ext uri="{FF2B5EF4-FFF2-40B4-BE49-F238E27FC236}">
              <a16:creationId xmlns:a16="http://schemas.microsoft.com/office/drawing/2014/main" id="{E0AEB866-6771-4F40-B3F7-EA614D054CD0}"/>
            </a:ext>
          </a:extLst>
        </xdr:cNvPr>
        <xdr:cNvSpPr/>
      </xdr:nvSpPr>
      <xdr:spPr>
        <a:xfrm>
          <a:off x="1454151" y="4276726"/>
          <a:ext cx="1289050" cy="1333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76200</xdr:colOff>
      <xdr:row>17</xdr:row>
      <xdr:rowOff>6351</xdr:rowOff>
    </xdr:from>
    <xdr:to>
      <xdr:col>15</xdr:col>
      <xdr:colOff>66675</xdr:colOff>
      <xdr:row>17</xdr:row>
      <xdr:rowOff>152401</xdr:rowOff>
    </xdr:to>
    <xdr:sp macro="" textlink="">
      <xdr:nvSpPr>
        <xdr:cNvPr id="56" name="角丸四角形 58">
          <a:extLst>
            <a:ext uri="{FF2B5EF4-FFF2-40B4-BE49-F238E27FC236}">
              <a16:creationId xmlns:a16="http://schemas.microsoft.com/office/drawing/2014/main" id="{44F47F0F-5E8D-4EA9-BEA5-C55400866A20}"/>
            </a:ext>
          </a:extLst>
        </xdr:cNvPr>
        <xdr:cNvSpPr/>
      </xdr:nvSpPr>
      <xdr:spPr>
        <a:xfrm>
          <a:off x="619125" y="3921126"/>
          <a:ext cx="2162175" cy="1460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66675</xdr:colOff>
      <xdr:row>18</xdr:row>
      <xdr:rowOff>0</xdr:rowOff>
    </xdr:from>
    <xdr:to>
      <xdr:col>18</xdr:col>
      <xdr:colOff>154779</xdr:colOff>
      <xdr:row>19</xdr:row>
      <xdr:rowOff>20864</xdr:rowOff>
    </xdr:to>
    <xdr:sp macro="" textlink="">
      <xdr:nvSpPr>
        <xdr:cNvPr id="57" name="角丸四角形 58">
          <a:extLst>
            <a:ext uri="{FF2B5EF4-FFF2-40B4-BE49-F238E27FC236}">
              <a16:creationId xmlns:a16="http://schemas.microsoft.com/office/drawing/2014/main" id="{E8042404-88B8-44CD-B2E1-A05D1B80AC62}"/>
            </a:ext>
          </a:extLst>
        </xdr:cNvPr>
        <xdr:cNvSpPr/>
      </xdr:nvSpPr>
      <xdr:spPr>
        <a:xfrm>
          <a:off x="609600" y="4076700"/>
          <a:ext cx="2802729" cy="18278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171450</xdr:colOff>
      <xdr:row>19</xdr:row>
      <xdr:rowOff>152400</xdr:rowOff>
    </xdr:from>
    <xdr:to>
      <xdr:col>13</xdr:col>
      <xdr:colOff>9526</xdr:colOff>
      <xdr:row>21</xdr:row>
      <xdr:rowOff>85726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3DCFDCC0-C5BE-4741-8FD2-DB85EDD0EDD3}"/>
            </a:ext>
          </a:extLst>
        </xdr:cNvPr>
        <xdr:cNvSpPr/>
      </xdr:nvSpPr>
      <xdr:spPr>
        <a:xfrm>
          <a:off x="1981200" y="43910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85725</xdr:colOff>
      <xdr:row>15</xdr:row>
      <xdr:rowOff>123825</xdr:rowOff>
    </xdr:from>
    <xdr:to>
      <xdr:col>17</xdr:col>
      <xdr:colOff>104776</xdr:colOff>
      <xdr:row>17</xdr:row>
      <xdr:rowOff>57151</xdr:rowOff>
    </xdr:to>
    <xdr:sp macro="" textlink="">
      <xdr:nvSpPr>
        <xdr:cNvPr id="59" name="正方形/長方形 58">
          <a:extLst>
            <a:ext uri="{FF2B5EF4-FFF2-40B4-BE49-F238E27FC236}">
              <a16:creationId xmlns:a16="http://schemas.microsoft.com/office/drawing/2014/main" id="{4E4C8E8D-C350-42DD-A024-9DC6A331D727}"/>
            </a:ext>
          </a:extLst>
        </xdr:cNvPr>
        <xdr:cNvSpPr/>
      </xdr:nvSpPr>
      <xdr:spPr>
        <a:xfrm>
          <a:off x="2800350" y="371475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9525</xdr:colOff>
      <xdr:row>17</xdr:row>
      <xdr:rowOff>47625</xdr:rowOff>
    </xdr:from>
    <xdr:to>
      <xdr:col>21</xdr:col>
      <xdr:colOff>28576</xdr:colOff>
      <xdr:row>18</xdr:row>
      <xdr:rowOff>142876</xdr:rowOff>
    </xdr:to>
    <xdr:sp macro="" textlink="">
      <xdr:nvSpPr>
        <xdr:cNvPr id="60" name="正方形/長方形 59">
          <a:extLst>
            <a:ext uri="{FF2B5EF4-FFF2-40B4-BE49-F238E27FC236}">
              <a16:creationId xmlns:a16="http://schemas.microsoft.com/office/drawing/2014/main" id="{F751E8F8-4521-45C1-BC19-B63DAEC078DC}"/>
            </a:ext>
          </a:extLst>
        </xdr:cNvPr>
        <xdr:cNvSpPr/>
      </xdr:nvSpPr>
      <xdr:spPr>
        <a:xfrm>
          <a:off x="3448050" y="396240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29</xdr:col>
      <xdr:colOff>158750</xdr:colOff>
      <xdr:row>23</xdr:row>
      <xdr:rowOff>76200</xdr:rowOff>
    </xdr:from>
    <xdr:to>
      <xdr:col>31</xdr:col>
      <xdr:colOff>177801</xdr:colOff>
      <xdr:row>25</xdr:row>
      <xdr:rowOff>9526</xdr:rowOff>
    </xdr:to>
    <xdr:sp macro="" textlink="">
      <xdr:nvSpPr>
        <xdr:cNvPr id="61" name="正方形/長方形 60">
          <a:extLst>
            <a:ext uri="{FF2B5EF4-FFF2-40B4-BE49-F238E27FC236}">
              <a16:creationId xmlns:a16="http://schemas.microsoft.com/office/drawing/2014/main" id="{EC383D20-EA4A-4F0B-9A51-974E9BFF8FD0}"/>
            </a:ext>
          </a:extLst>
        </xdr:cNvPr>
        <xdr:cNvSpPr/>
      </xdr:nvSpPr>
      <xdr:spPr>
        <a:xfrm>
          <a:off x="5407025" y="496252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171450</xdr:colOff>
      <xdr:row>35</xdr:row>
      <xdr:rowOff>19050</xdr:rowOff>
    </xdr:from>
    <xdr:to>
      <xdr:col>14</xdr:col>
      <xdr:colOff>9526</xdr:colOff>
      <xdr:row>36</xdr:row>
      <xdr:rowOff>114301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C7E6E9EF-BE92-4E64-B655-1E523806AEBD}"/>
            </a:ext>
          </a:extLst>
        </xdr:cNvPr>
        <xdr:cNvSpPr/>
      </xdr:nvSpPr>
      <xdr:spPr>
        <a:xfrm>
          <a:off x="2162175" y="68484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28575</xdr:colOff>
      <xdr:row>36</xdr:row>
      <xdr:rowOff>139701</xdr:rowOff>
    </xdr:from>
    <xdr:to>
      <xdr:col>13</xdr:col>
      <xdr:colOff>38100</xdr:colOff>
      <xdr:row>38</xdr:row>
      <xdr:rowOff>9524</xdr:rowOff>
    </xdr:to>
    <xdr:sp macro="" textlink="">
      <xdr:nvSpPr>
        <xdr:cNvPr id="63" name="角丸四角形 41">
          <a:extLst>
            <a:ext uri="{FF2B5EF4-FFF2-40B4-BE49-F238E27FC236}">
              <a16:creationId xmlns:a16="http://schemas.microsoft.com/office/drawing/2014/main" id="{8C96DFB9-7331-495D-8099-C4CC9BD950A7}"/>
            </a:ext>
          </a:extLst>
        </xdr:cNvPr>
        <xdr:cNvSpPr/>
      </xdr:nvSpPr>
      <xdr:spPr>
        <a:xfrm>
          <a:off x="571500" y="7131051"/>
          <a:ext cx="1819275" cy="193673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57149</xdr:colOff>
      <xdr:row>42</xdr:row>
      <xdr:rowOff>38100</xdr:rowOff>
    </xdr:from>
    <xdr:to>
      <xdr:col>14</xdr:col>
      <xdr:colOff>142875</xdr:colOff>
      <xdr:row>43</xdr:row>
      <xdr:rowOff>9525</xdr:rowOff>
    </xdr:to>
    <xdr:sp macro="" textlink="">
      <xdr:nvSpPr>
        <xdr:cNvPr id="64" name="角丸四角形 58">
          <a:extLst>
            <a:ext uri="{FF2B5EF4-FFF2-40B4-BE49-F238E27FC236}">
              <a16:creationId xmlns:a16="http://schemas.microsoft.com/office/drawing/2014/main" id="{D8154431-9008-4B3D-9026-13FB17A5E48B}"/>
            </a:ext>
          </a:extLst>
        </xdr:cNvPr>
        <xdr:cNvSpPr/>
      </xdr:nvSpPr>
      <xdr:spPr>
        <a:xfrm>
          <a:off x="1323974" y="8001000"/>
          <a:ext cx="1352551" cy="1333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0</xdr:colOff>
      <xdr:row>40</xdr:row>
      <xdr:rowOff>6350</xdr:rowOff>
    </xdr:from>
    <xdr:to>
      <xdr:col>18</xdr:col>
      <xdr:colOff>152400</xdr:colOff>
      <xdr:row>41</xdr:row>
      <xdr:rowOff>9524</xdr:rowOff>
    </xdr:to>
    <xdr:sp macro="" textlink="">
      <xdr:nvSpPr>
        <xdr:cNvPr id="65" name="角丸四角形 58">
          <a:extLst>
            <a:ext uri="{FF2B5EF4-FFF2-40B4-BE49-F238E27FC236}">
              <a16:creationId xmlns:a16="http://schemas.microsoft.com/office/drawing/2014/main" id="{B9B92726-72C6-4AF7-882A-C1D44CA37A10}"/>
            </a:ext>
          </a:extLst>
        </xdr:cNvPr>
        <xdr:cNvSpPr/>
      </xdr:nvSpPr>
      <xdr:spPr>
        <a:xfrm>
          <a:off x="723900" y="7645400"/>
          <a:ext cx="2686050" cy="16509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171450</xdr:colOff>
      <xdr:row>40</xdr:row>
      <xdr:rowOff>158750</xdr:rowOff>
    </xdr:from>
    <xdr:to>
      <xdr:col>19</xdr:col>
      <xdr:colOff>78579</xdr:colOff>
      <xdr:row>42</xdr:row>
      <xdr:rowOff>20864</xdr:rowOff>
    </xdr:to>
    <xdr:sp macro="" textlink="">
      <xdr:nvSpPr>
        <xdr:cNvPr id="66" name="角丸四角形 58">
          <a:extLst>
            <a:ext uri="{FF2B5EF4-FFF2-40B4-BE49-F238E27FC236}">
              <a16:creationId xmlns:a16="http://schemas.microsoft.com/office/drawing/2014/main" id="{78F901D5-59F2-4CB7-BBC2-8C13605FCB48}"/>
            </a:ext>
          </a:extLst>
        </xdr:cNvPr>
        <xdr:cNvSpPr/>
      </xdr:nvSpPr>
      <xdr:spPr>
        <a:xfrm>
          <a:off x="714375" y="7797800"/>
          <a:ext cx="2802729" cy="18596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92075</xdr:colOff>
      <xdr:row>42</xdr:row>
      <xdr:rowOff>152400</xdr:rowOff>
    </xdr:from>
    <xdr:to>
      <xdr:col>13</xdr:col>
      <xdr:colOff>114301</xdr:colOff>
      <xdr:row>44</xdr:row>
      <xdr:rowOff>85726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142D7DDC-86C0-4BEA-86C4-91BFF70157AC}"/>
            </a:ext>
          </a:extLst>
        </xdr:cNvPr>
        <xdr:cNvSpPr/>
      </xdr:nvSpPr>
      <xdr:spPr>
        <a:xfrm>
          <a:off x="2082800" y="8115300"/>
          <a:ext cx="384176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149225</xdr:colOff>
      <xdr:row>38</xdr:row>
      <xdr:rowOff>53975</xdr:rowOff>
    </xdr:from>
    <xdr:to>
      <xdr:col>17</xdr:col>
      <xdr:colOff>168276</xdr:colOff>
      <xdr:row>39</xdr:row>
      <xdr:rowOff>152401</xdr:rowOff>
    </xdr:to>
    <xdr:sp macro="" textlink="">
      <xdr:nvSpPr>
        <xdr:cNvPr id="68" name="正方形/長方形 67">
          <a:extLst>
            <a:ext uri="{FF2B5EF4-FFF2-40B4-BE49-F238E27FC236}">
              <a16:creationId xmlns:a16="http://schemas.microsoft.com/office/drawing/2014/main" id="{4E1CCB5D-8B31-45AD-A316-0C9F107A300B}"/>
            </a:ext>
          </a:extLst>
        </xdr:cNvPr>
        <xdr:cNvSpPr/>
      </xdr:nvSpPr>
      <xdr:spPr>
        <a:xfrm>
          <a:off x="2863850" y="7369175"/>
          <a:ext cx="381001" cy="2603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114300</xdr:colOff>
      <xdr:row>40</xdr:row>
      <xdr:rowOff>47625</xdr:rowOff>
    </xdr:from>
    <xdr:to>
      <xdr:col>21</xdr:col>
      <xdr:colOff>133351</xdr:colOff>
      <xdr:row>41</xdr:row>
      <xdr:rowOff>142876</xdr:rowOff>
    </xdr:to>
    <xdr:sp macro="" textlink="">
      <xdr:nvSpPr>
        <xdr:cNvPr id="69" name="正方形/長方形 68">
          <a:extLst>
            <a:ext uri="{FF2B5EF4-FFF2-40B4-BE49-F238E27FC236}">
              <a16:creationId xmlns:a16="http://schemas.microsoft.com/office/drawing/2014/main" id="{2AA34BC8-0C7A-4670-B3C4-4758725A9255}"/>
            </a:ext>
          </a:extLst>
        </xdr:cNvPr>
        <xdr:cNvSpPr/>
      </xdr:nvSpPr>
      <xdr:spPr>
        <a:xfrm>
          <a:off x="3552825" y="76866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30</xdr:col>
      <xdr:colOff>85725</xdr:colOff>
      <xdr:row>46</xdr:row>
      <xdr:rowOff>76200</xdr:rowOff>
    </xdr:from>
    <xdr:to>
      <xdr:col>32</xdr:col>
      <xdr:colOff>104776</xdr:colOff>
      <xdr:row>48</xdr:row>
      <xdr:rowOff>6351</xdr:rowOff>
    </xdr:to>
    <xdr:sp macro="" textlink="">
      <xdr:nvSpPr>
        <xdr:cNvPr id="70" name="正方形/長方形 69">
          <a:extLst>
            <a:ext uri="{FF2B5EF4-FFF2-40B4-BE49-F238E27FC236}">
              <a16:creationId xmlns:a16="http://schemas.microsoft.com/office/drawing/2014/main" id="{BDD42F0F-C81B-4378-81FB-6CF0CF5CC8AA}"/>
            </a:ext>
          </a:extLst>
        </xdr:cNvPr>
        <xdr:cNvSpPr/>
      </xdr:nvSpPr>
      <xdr:spPr>
        <a:xfrm>
          <a:off x="5514975" y="8686800"/>
          <a:ext cx="38100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109</xdr:row>
      <xdr:rowOff>0</xdr:rowOff>
    </xdr:from>
    <xdr:to>
      <xdr:col>22</xdr:col>
      <xdr:colOff>0</xdr:colOff>
      <xdr:row>111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2175C6-7F03-4E61-8A76-3C36014DFC92}"/>
            </a:ext>
          </a:extLst>
        </xdr:cNvPr>
        <xdr:cNvSpPr/>
      </xdr:nvSpPr>
      <xdr:spPr>
        <a:xfrm>
          <a:off x="30003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109</xdr:row>
      <xdr:rowOff>0</xdr:rowOff>
    </xdr:from>
    <xdr:to>
      <xdr:col>30</xdr:col>
      <xdr:colOff>0</xdr:colOff>
      <xdr:row>111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8BA7484-FB42-4FCF-9FFB-67708C27D0D9}"/>
            </a:ext>
          </a:extLst>
        </xdr:cNvPr>
        <xdr:cNvSpPr/>
      </xdr:nvSpPr>
      <xdr:spPr>
        <a:xfrm>
          <a:off x="46005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109</xdr:row>
      <xdr:rowOff>0</xdr:rowOff>
    </xdr:from>
    <xdr:to>
      <xdr:col>38</xdr:col>
      <xdr:colOff>0</xdr:colOff>
      <xdr:row>111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2615D9C-857B-4744-A6D7-A452763794BC}"/>
            </a:ext>
          </a:extLst>
        </xdr:cNvPr>
        <xdr:cNvSpPr/>
      </xdr:nvSpPr>
      <xdr:spPr>
        <a:xfrm>
          <a:off x="62007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E679313-AA01-4378-BFE0-52E86C60393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80DFBDD-5FDC-439E-9F46-AEF523A26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AEC1DF1-B2C4-4B33-84E5-D2B3604AB064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73</xdr:row>
      <xdr:rowOff>85725</xdr:rowOff>
    </xdr:from>
    <xdr:to>
      <xdr:col>6</xdr:col>
      <xdr:colOff>190500</xdr:colOff>
      <xdr:row>75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399818F-5F0A-43FC-AAFC-D18B112A98C6}"/>
            </a:ext>
          </a:extLst>
        </xdr:cNvPr>
        <xdr:cNvSpPr/>
      </xdr:nvSpPr>
      <xdr:spPr>
        <a:xfrm>
          <a:off x="600075" y="153257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8</xdr:col>
      <xdr:colOff>43669</xdr:colOff>
      <xdr:row>80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1A87268-0949-40FC-B032-F9F28562860A}"/>
            </a:ext>
          </a:extLst>
        </xdr:cNvPr>
        <xdr:cNvSpPr/>
      </xdr:nvSpPr>
      <xdr:spPr>
        <a:xfrm>
          <a:off x="600075" y="1604010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79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2F3DE82-4C82-422B-91F1-31FB8447F575}"/>
            </a:ext>
          </a:extLst>
        </xdr:cNvPr>
        <xdr:cNvSpPr/>
      </xdr:nvSpPr>
      <xdr:spPr>
        <a:xfrm>
          <a:off x="1756556" y="1604010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81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37DE3216-9508-47E8-8E92-4EA1590DE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392502"/>
          <a:ext cx="219106" cy="161948"/>
        </a:xfrm>
        <a:prstGeom prst="rect">
          <a:avLst/>
        </a:prstGeom>
      </xdr:spPr>
    </xdr:pic>
    <xdr:clientData/>
  </xdr:oneCellAnchor>
  <xdr:twoCellAnchor>
    <xdr:from>
      <xdr:col>45</xdr:col>
      <xdr:colOff>76200</xdr:colOff>
      <xdr:row>56</xdr:row>
      <xdr:rowOff>0</xdr:rowOff>
    </xdr:from>
    <xdr:to>
      <xdr:col>53</xdr:col>
      <xdr:colOff>66675</xdr:colOff>
      <xdr:row>59</xdr:row>
      <xdr:rowOff>66676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A2056365-3806-B7C9-F686-6612E6E03C17}"/>
            </a:ext>
          </a:extLst>
        </xdr:cNvPr>
        <xdr:cNvSpPr/>
      </xdr:nvSpPr>
      <xdr:spPr>
        <a:xfrm>
          <a:off x="9077325" y="11582399"/>
          <a:ext cx="1590675" cy="523877"/>
        </a:xfrm>
        <a:prstGeom prst="wedgeRectCallout">
          <a:avLst>
            <a:gd name="adj1" fmla="val 14928"/>
            <a:gd name="adj2" fmla="val 10476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申請価格の計算式を確認する</a:t>
          </a:r>
          <a:r>
            <a:rPr kumimoji="1" lang="en-US" altLang="ja-JP" sz="800">
              <a:solidFill>
                <a:sysClr val="windowText" lastClr="000000"/>
              </a:solidFill>
            </a:rPr>
            <a:t>2022.10.20  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  <a:p>
          <a:pPr algn="l">
            <a:lnSpc>
              <a:spcPts val="900"/>
            </a:lnSpc>
          </a:pP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84</xdr:row>
      <xdr:rowOff>152400</xdr:rowOff>
    </xdr:from>
    <xdr:to>
      <xdr:col>3</xdr:col>
      <xdr:colOff>28</xdr:colOff>
      <xdr:row>86</xdr:row>
      <xdr:rowOff>19079</xdr:rowOff>
    </xdr:to>
    <xdr:pic>
      <xdr:nvPicPr>
        <xdr:cNvPr id="16" name="図 15" descr="画面の領域">
          <a:extLst>
            <a:ext uri="{FF2B5EF4-FFF2-40B4-BE49-F238E27FC236}">
              <a16:creationId xmlns:a16="http://schemas.microsoft.com/office/drawing/2014/main" id="{3B5E84CC-F78F-43BF-8F6C-9833420E5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4910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104</xdr:row>
      <xdr:rowOff>9502</xdr:rowOff>
    </xdr:from>
    <xdr:ext cx="219106" cy="161948"/>
    <xdr:pic>
      <xdr:nvPicPr>
        <xdr:cNvPr id="17" name="図 16" descr="画面の領域">
          <a:extLst>
            <a:ext uri="{FF2B5EF4-FFF2-40B4-BE49-F238E27FC236}">
              <a16:creationId xmlns:a16="http://schemas.microsoft.com/office/drawing/2014/main" id="{5D13003C-2616-4106-89D2-6F8DBD4A8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39922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105</xdr:row>
      <xdr:rowOff>9502</xdr:rowOff>
    </xdr:from>
    <xdr:ext cx="219106" cy="161948"/>
    <xdr:pic>
      <xdr:nvPicPr>
        <xdr:cNvPr id="18" name="図 17" descr="画面の領域">
          <a:extLst>
            <a:ext uri="{FF2B5EF4-FFF2-40B4-BE49-F238E27FC236}">
              <a16:creationId xmlns:a16="http://schemas.microsoft.com/office/drawing/2014/main" id="{856CBFCD-43ED-4526-91B6-2D2321C09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636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106</xdr:row>
      <xdr:rowOff>9502</xdr:rowOff>
    </xdr:from>
    <xdr:ext cx="219106" cy="161948"/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0CB3E6E8-03EB-46A0-B28B-973242E68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3510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102</xdr:row>
      <xdr:rowOff>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F27D5283-CCDF-4824-BA1A-C299DEE515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39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2" name="図 21">
          <a:extLst>
            <a:ext uri="{FF2B5EF4-FFF2-40B4-BE49-F238E27FC236}">
              <a16:creationId xmlns:a16="http://schemas.microsoft.com/office/drawing/2014/main" id="{D8FA51ED-F86D-4D96-B7C0-0D32F27B11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901EE48C-3B75-4389-8C13-C56CBCA9B1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CE2250BB-491C-4103-B119-BA7B62BF15B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88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BEE88940-0833-4D65-93A1-A1776DA5D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9255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94</xdr:row>
      <xdr:rowOff>0</xdr:rowOff>
    </xdr:from>
    <xdr:ext cx="201083" cy="171450"/>
    <xdr:pic>
      <xdr:nvPicPr>
        <xdr:cNvPr id="21" name="図 20">
          <a:extLst>
            <a:ext uri="{FF2B5EF4-FFF2-40B4-BE49-F238E27FC236}">
              <a16:creationId xmlns:a16="http://schemas.microsoft.com/office/drawing/2014/main" id="{1041A5B3-8B90-4609-BCD5-C2F7B8C541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46113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56</xdr:row>
      <xdr:rowOff>85725</xdr:rowOff>
    </xdr:from>
    <xdr:to>
      <xdr:col>11</xdr:col>
      <xdr:colOff>114300</xdr:colOff>
      <xdr:row>58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8F4C95BB-93EA-4D0A-AC5D-31D2945DC518}"/>
            </a:ext>
          </a:extLst>
        </xdr:cNvPr>
        <xdr:cNvSpPr/>
      </xdr:nvSpPr>
      <xdr:spPr>
        <a:xfrm>
          <a:off x="15240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482" t="str">
        <f ca="1">TEXT(変更来歴!AT2,"yyyy年 mm月 dd日") &amp; " " &amp; 変更来歴!AT3</f>
        <v>2026年 05月 20日 r1.2</v>
      </c>
      <c r="C22" s="483"/>
      <c r="D22" s="483"/>
      <c r="E22" s="483"/>
      <c r="F22" s="483"/>
      <c r="G22" s="483"/>
      <c r="H22" s="483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484" t="s">
        <v>28</v>
      </c>
      <c r="D28" s="484"/>
      <c r="E28" s="484"/>
      <c r="F28" s="484" t="s">
        <v>0</v>
      </c>
      <c r="G28" s="484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485"/>
      <c r="D33" s="485"/>
      <c r="E33" s="485"/>
      <c r="F33" s="485"/>
      <c r="G33" s="485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480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481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480"/>
    </row>
    <row r="43" spans="3:20" s="8" customFormat="1" ht="14.25" customHeight="1">
      <c r="K43" s="17"/>
      <c r="L43" s="12"/>
      <c r="N43" s="12"/>
      <c r="R43" s="14"/>
      <c r="S43" s="19"/>
      <c r="T43" s="480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480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480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480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480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480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481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480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481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480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481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480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481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480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481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480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481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480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481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480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481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480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481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480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481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480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481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480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481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480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481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480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481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480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481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480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481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480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481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480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481"/>
    </row>
  </sheetData>
  <mergeCells count="27">
    <mergeCell ref="B22:H22"/>
    <mergeCell ref="T42:T43"/>
    <mergeCell ref="C28:E28"/>
    <mergeCell ref="F28:G28"/>
    <mergeCell ref="C33:E33"/>
    <mergeCell ref="F33:G33"/>
    <mergeCell ref="T38:T39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T118:T119"/>
    <mergeCell ref="T122:T123"/>
    <mergeCell ref="T94:T95"/>
    <mergeCell ref="T98:T99"/>
    <mergeCell ref="T102:T103"/>
    <mergeCell ref="T106:T107"/>
    <mergeCell ref="T110:T111"/>
    <mergeCell ref="T114:T115"/>
  </mergeCells>
  <phoneticPr fontId="11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510" t="s">
        <v>4</v>
      </c>
      <c r="B1" s="510"/>
      <c r="C1" s="510"/>
      <c r="D1" s="510"/>
      <c r="E1" s="510"/>
      <c r="F1" s="510"/>
      <c r="G1" s="510"/>
      <c r="H1" s="510"/>
      <c r="I1" s="497" t="s">
        <v>5</v>
      </c>
      <c r="J1" s="497"/>
      <c r="K1" s="497"/>
      <c r="L1" s="497"/>
      <c r="M1" s="508" t="s">
        <v>6</v>
      </c>
      <c r="N1" s="508"/>
      <c r="O1" s="508"/>
      <c r="P1" s="508"/>
      <c r="Q1" s="508"/>
      <c r="R1" s="508"/>
      <c r="S1" s="508"/>
      <c r="T1" s="508"/>
      <c r="U1" s="508"/>
      <c r="V1" s="508"/>
      <c r="W1" s="508"/>
      <c r="X1" s="497" t="s">
        <v>7</v>
      </c>
      <c r="Y1" s="497"/>
      <c r="Z1" s="497"/>
      <c r="AA1" s="512" t="s">
        <v>253</v>
      </c>
      <c r="AB1" s="512"/>
      <c r="AC1" s="512"/>
      <c r="AD1" s="512"/>
      <c r="AE1" s="512"/>
      <c r="AF1" s="512"/>
      <c r="AG1" s="512"/>
      <c r="AH1" s="512"/>
      <c r="AI1" s="512"/>
      <c r="AJ1" s="512"/>
      <c r="AK1" s="486" t="s">
        <v>8</v>
      </c>
      <c r="AL1" s="486"/>
      <c r="AM1" s="486"/>
      <c r="AN1" s="488" t="s">
        <v>173</v>
      </c>
      <c r="AO1" s="488"/>
      <c r="AP1" s="488"/>
      <c r="AQ1" s="486" t="s">
        <v>9</v>
      </c>
      <c r="AR1" s="486"/>
      <c r="AS1" s="486"/>
      <c r="AT1" s="489">
        <f>AL7</f>
        <v>46125</v>
      </c>
      <c r="AU1" s="489"/>
      <c r="AV1" s="489"/>
      <c r="AW1" s="489"/>
      <c r="AX1" s="493" t="s">
        <v>10</v>
      </c>
      <c r="AY1" s="494"/>
      <c r="AZ1" s="494"/>
      <c r="BA1" s="495"/>
    </row>
    <row r="2" spans="1:53">
      <c r="A2" s="496" t="s">
        <v>16</v>
      </c>
      <c r="B2" s="496"/>
      <c r="C2" s="496"/>
      <c r="D2" s="496"/>
      <c r="E2" s="496"/>
      <c r="F2" s="496"/>
      <c r="G2" s="496"/>
      <c r="H2" s="496"/>
      <c r="I2" s="497" t="s">
        <v>11</v>
      </c>
      <c r="J2" s="497"/>
      <c r="K2" s="497"/>
      <c r="L2" s="497"/>
      <c r="M2" s="498" t="s">
        <v>29</v>
      </c>
      <c r="N2" s="499"/>
      <c r="O2" s="499"/>
      <c r="P2" s="499"/>
      <c r="Q2" s="499"/>
      <c r="R2" s="499"/>
      <c r="S2" s="499"/>
      <c r="T2" s="499"/>
      <c r="U2" s="499"/>
      <c r="V2" s="499"/>
      <c r="W2" s="500"/>
      <c r="X2" s="497"/>
      <c r="Y2" s="497"/>
      <c r="Z2" s="497"/>
      <c r="AA2" s="512"/>
      <c r="AB2" s="512"/>
      <c r="AC2" s="512"/>
      <c r="AD2" s="512"/>
      <c r="AE2" s="512"/>
      <c r="AF2" s="512"/>
      <c r="AG2" s="512"/>
      <c r="AH2" s="512"/>
      <c r="AI2" s="512"/>
      <c r="AJ2" s="512"/>
      <c r="AK2" s="486" t="s">
        <v>12</v>
      </c>
      <c r="AL2" s="486"/>
      <c r="AM2" s="486"/>
      <c r="AN2" s="488" t="s">
        <v>173</v>
      </c>
      <c r="AO2" s="488"/>
      <c r="AP2" s="488"/>
      <c r="AQ2" s="486" t="s">
        <v>13</v>
      </c>
      <c r="AR2" s="486"/>
      <c r="AS2" s="486"/>
      <c r="AT2" s="489">
        <v>46162</v>
      </c>
      <c r="AU2" s="489"/>
      <c r="AV2" s="489"/>
      <c r="AW2" s="489"/>
      <c r="AX2" s="501" t="s">
        <v>31</v>
      </c>
      <c r="AY2" s="502"/>
      <c r="AZ2" s="502"/>
      <c r="BA2" s="503"/>
    </row>
    <row r="3" spans="1:53" ht="12" customHeight="1">
      <c r="A3" s="507" t="s">
        <v>26</v>
      </c>
      <c r="B3" s="507"/>
      <c r="C3" s="507"/>
      <c r="D3" s="507"/>
      <c r="E3" s="507"/>
      <c r="F3" s="507"/>
      <c r="G3" s="507"/>
      <c r="H3" s="507"/>
      <c r="I3" s="497" t="s">
        <v>14</v>
      </c>
      <c r="J3" s="497"/>
      <c r="K3" s="497"/>
      <c r="L3" s="497"/>
      <c r="M3" s="508"/>
      <c r="N3" s="508"/>
      <c r="O3" s="508"/>
      <c r="P3" s="508"/>
      <c r="Q3" s="508"/>
      <c r="R3" s="508"/>
      <c r="S3" s="508"/>
      <c r="T3" s="508"/>
      <c r="U3" s="508"/>
      <c r="V3" s="508"/>
      <c r="W3" s="508"/>
      <c r="X3" s="497" t="s">
        <v>27</v>
      </c>
      <c r="Y3" s="497"/>
      <c r="Z3" s="497"/>
      <c r="AA3" s="509" t="s">
        <v>249</v>
      </c>
      <c r="AB3" s="509"/>
      <c r="AC3" s="509"/>
      <c r="AD3" s="509"/>
      <c r="AE3" s="509"/>
      <c r="AF3" s="509"/>
      <c r="AG3" s="509"/>
      <c r="AH3" s="509"/>
      <c r="AI3" s="509"/>
      <c r="AJ3" s="509"/>
      <c r="AK3" s="509"/>
      <c r="AL3" s="509"/>
      <c r="AM3" s="509"/>
      <c r="AN3" s="509"/>
      <c r="AO3" s="509"/>
      <c r="AP3" s="509"/>
      <c r="AQ3" s="486" t="s">
        <v>15</v>
      </c>
      <c r="AR3" s="486"/>
      <c r="AS3" s="486"/>
      <c r="AT3" s="487" t="str">
        <f ca="1">INDIRECT("A" &amp; COUNTA(A7:A39) + 6)</f>
        <v>r1.2</v>
      </c>
      <c r="AU3" s="487"/>
      <c r="AV3" s="487"/>
      <c r="AW3" s="487"/>
      <c r="AX3" s="504"/>
      <c r="AY3" s="505"/>
      <c r="AZ3" s="505"/>
      <c r="BA3" s="506"/>
    </row>
    <row r="4" spans="1:53" ht="5.9" customHeight="1"/>
    <row r="5" spans="1:53" ht="14">
      <c r="A5" s="511" t="s">
        <v>25</v>
      </c>
      <c r="B5" s="511"/>
      <c r="C5" s="511"/>
      <c r="D5" s="511"/>
      <c r="E5" s="511"/>
      <c r="F5" s="511"/>
      <c r="G5" s="511"/>
      <c r="H5" s="511"/>
      <c r="I5" s="511"/>
      <c r="J5" s="511"/>
      <c r="K5" s="511"/>
      <c r="L5" s="511"/>
      <c r="M5" s="511"/>
      <c r="N5" s="511"/>
      <c r="O5" s="511"/>
      <c r="P5" s="511"/>
      <c r="Q5" s="511"/>
      <c r="R5" s="511"/>
      <c r="S5" s="511"/>
      <c r="T5" s="511"/>
      <c r="U5" s="511"/>
      <c r="V5" s="511"/>
      <c r="W5" s="511"/>
      <c r="X5" s="511"/>
      <c r="Y5" s="511"/>
      <c r="Z5" s="511"/>
      <c r="AA5" s="511"/>
      <c r="AB5" s="511"/>
      <c r="AC5" s="511"/>
      <c r="AD5" s="511"/>
      <c r="AE5" s="511"/>
      <c r="AF5" s="511"/>
      <c r="AG5" s="511"/>
      <c r="AH5" s="511"/>
      <c r="AI5" s="511"/>
      <c r="AJ5" s="511"/>
      <c r="AK5" s="511"/>
      <c r="AL5" s="511"/>
      <c r="AM5" s="511"/>
      <c r="AN5" s="511"/>
      <c r="AO5" s="511"/>
      <c r="AP5" s="511"/>
      <c r="AQ5" s="511"/>
      <c r="AR5" s="511"/>
      <c r="AS5" s="511"/>
      <c r="AT5" s="511"/>
      <c r="AU5" s="511"/>
      <c r="AV5" s="511"/>
      <c r="AW5" s="511"/>
      <c r="AX5" s="511"/>
      <c r="AY5" s="511"/>
      <c r="AZ5" s="511"/>
      <c r="BA5" s="511"/>
    </row>
    <row r="6" spans="1:53">
      <c r="A6" s="490" t="s">
        <v>24</v>
      </c>
      <c r="B6" s="491"/>
      <c r="C6" s="492" t="s">
        <v>17</v>
      </c>
      <c r="D6" s="492"/>
      <c r="E6" s="492"/>
      <c r="F6" s="492"/>
      <c r="G6" s="492"/>
      <c r="H6" s="492"/>
      <c r="I6" s="492"/>
      <c r="J6" s="492"/>
      <c r="K6" s="492"/>
      <c r="L6" s="492"/>
      <c r="M6" s="492"/>
      <c r="N6" s="492"/>
      <c r="O6" s="492"/>
      <c r="P6" s="492"/>
      <c r="Q6" s="492" t="s">
        <v>18</v>
      </c>
      <c r="R6" s="492"/>
      <c r="S6" s="492"/>
      <c r="T6" s="492"/>
      <c r="U6" s="492"/>
      <c r="V6" s="492"/>
      <c r="W6" s="492"/>
      <c r="X6" s="492"/>
      <c r="Y6" s="492"/>
      <c r="Z6" s="492"/>
      <c r="AA6" s="492"/>
      <c r="AB6" s="492"/>
      <c r="AC6" s="492"/>
      <c r="AD6" s="492"/>
      <c r="AE6" s="492"/>
      <c r="AF6" s="492"/>
      <c r="AG6" s="492"/>
      <c r="AH6" s="492"/>
      <c r="AI6" s="492"/>
      <c r="AJ6" s="492"/>
      <c r="AK6" s="492"/>
      <c r="AL6" s="492" t="s">
        <v>19</v>
      </c>
      <c r="AM6" s="492"/>
      <c r="AN6" s="492"/>
      <c r="AO6" s="492"/>
      <c r="AP6" s="492" t="s">
        <v>20</v>
      </c>
      <c r="AQ6" s="492"/>
      <c r="AR6" s="492"/>
      <c r="AS6" s="492" t="s">
        <v>21</v>
      </c>
      <c r="AT6" s="492"/>
      <c r="AU6" s="492"/>
      <c r="AV6" s="492" t="s">
        <v>22</v>
      </c>
      <c r="AW6" s="492"/>
      <c r="AX6" s="492"/>
      <c r="AY6" s="492"/>
      <c r="AZ6" s="492"/>
      <c r="BA6" s="492"/>
    </row>
    <row r="7" spans="1:53">
      <c r="A7" s="515" t="s">
        <v>143</v>
      </c>
      <c r="B7" s="515"/>
      <c r="C7" s="518" t="s">
        <v>23</v>
      </c>
      <c r="D7" s="518"/>
      <c r="E7" s="518"/>
      <c r="F7" s="518"/>
      <c r="G7" s="518"/>
      <c r="H7" s="518"/>
      <c r="I7" s="518"/>
      <c r="J7" s="518"/>
      <c r="K7" s="518"/>
      <c r="L7" s="518"/>
      <c r="M7" s="518"/>
      <c r="N7" s="518"/>
      <c r="O7" s="518"/>
      <c r="P7" s="518"/>
      <c r="Q7" s="518"/>
      <c r="R7" s="518"/>
      <c r="S7" s="518"/>
      <c r="T7" s="518"/>
      <c r="U7" s="518"/>
      <c r="V7" s="518"/>
      <c r="W7" s="518"/>
      <c r="X7" s="518"/>
      <c r="Y7" s="518"/>
      <c r="Z7" s="518"/>
      <c r="AA7" s="518"/>
      <c r="AB7" s="518"/>
      <c r="AC7" s="518"/>
      <c r="AD7" s="518"/>
      <c r="AE7" s="518"/>
      <c r="AF7" s="518"/>
      <c r="AG7" s="518"/>
      <c r="AH7" s="518"/>
      <c r="AI7" s="518"/>
      <c r="AJ7" s="518"/>
      <c r="AK7" s="518"/>
      <c r="AL7" s="526">
        <v>46125</v>
      </c>
      <c r="AM7" s="527"/>
      <c r="AN7" s="527"/>
      <c r="AO7" s="527"/>
      <c r="AP7" s="518" t="s">
        <v>173</v>
      </c>
      <c r="AQ7" s="518"/>
      <c r="AR7" s="518"/>
      <c r="AS7" s="518"/>
      <c r="AT7" s="518"/>
      <c r="AU7" s="518"/>
      <c r="AV7" s="518"/>
      <c r="AW7" s="518"/>
      <c r="AX7" s="518"/>
      <c r="AY7" s="518"/>
      <c r="AZ7" s="518"/>
      <c r="BA7" s="518"/>
    </row>
    <row r="8" spans="1:53" ht="13" customHeight="1">
      <c r="A8" s="513" t="s">
        <v>245</v>
      </c>
      <c r="B8" s="514"/>
      <c r="C8" s="519" t="s">
        <v>247</v>
      </c>
      <c r="D8" s="519"/>
      <c r="E8" s="519"/>
      <c r="F8" s="519"/>
      <c r="G8" s="519"/>
      <c r="H8" s="519"/>
      <c r="I8" s="519"/>
      <c r="J8" s="519"/>
      <c r="K8" s="519"/>
      <c r="L8" s="519"/>
      <c r="M8" s="519"/>
      <c r="N8" s="519"/>
      <c r="O8" s="519"/>
      <c r="P8" s="519"/>
      <c r="Q8" s="521" t="s">
        <v>252</v>
      </c>
      <c r="R8" s="522"/>
      <c r="S8" s="522"/>
      <c r="T8" s="522"/>
      <c r="U8" s="522"/>
      <c r="V8" s="522"/>
      <c r="W8" s="522"/>
      <c r="X8" s="522"/>
      <c r="Y8" s="522"/>
      <c r="Z8" s="522"/>
      <c r="AA8" s="522"/>
      <c r="AB8" s="522"/>
      <c r="AC8" s="522"/>
      <c r="AD8" s="522"/>
      <c r="AE8" s="522"/>
      <c r="AF8" s="522"/>
      <c r="AG8" s="522"/>
      <c r="AH8" s="522"/>
      <c r="AI8" s="522"/>
      <c r="AJ8" s="522"/>
      <c r="AK8" s="523"/>
      <c r="AL8" s="528">
        <v>46134</v>
      </c>
      <c r="AM8" s="529"/>
      <c r="AN8" s="529"/>
      <c r="AO8" s="530"/>
      <c r="AP8" s="518" t="s">
        <v>246</v>
      </c>
      <c r="AQ8" s="518"/>
      <c r="AR8" s="518"/>
      <c r="AS8" s="518"/>
      <c r="AT8" s="518"/>
      <c r="AU8" s="518"/>
      <c r="AV8" s="518"/>
      <c r="AW8" s="518"/>
      <c r="AX8" s="518"/>
      <c r="AY8" s="518"/>
      <c r="AZ8" s="518"/>
      <c r="BA8" s="518"/>
    </row>
    <row r="9" spans="1:53">
      <c r="A9" s="513" t="s">
        <v>250</v>
      </c>
      <c r="B9" s="514"/>
      <c r="C9" s="518" t="s">
        <v>251</v>
      </c>
      <c r="D9" s="518"/>
      <c r="E9" s="518"/>
      <c r="F9" s="518"/>
      <c r="G9" s="518"/>
      <c r="H9" s="518"/>
      <c r="I9" s="518"/>
      <c r="J9" s="518"/>
      <c r="K9" s="518"/>
      <c r="L9" s="518"/>
      <c r="M9" s="518"/>
      <c r="N9" s="518"/>
      <c r="O9" s="518"/>
      <c r="P9" s="518"/>
      <c r="Q9" s="521" t="s">
        <v>252</v>
      </c>
      <c r="R9" s="522"/>
      <c r="S9" s="522"/>
      <c r="T9" s="522"/>
      <c r="U9" s="522"/>
      <c r="V9" s="522"/>
      <c r="W9" s="522"/>
      <c r="X9" s="522"/>
      <c r="Y9" s="522"/>
      <c r="Z9" s="522"/>
      <c r="AA9" s="522"/>
      <c r="AB9" s="522"/>
      <c r="AC9" s="522"/>
      <c r="AD9" s="522"/>
      <c r="AE9" s="522"/>
      <c r="AF9" s="522"/>
      <c r="AG9" s="522"/>
      <c r="AH9" s="522"/>
      <c r="AI9" s="522"/>
      <c r="AJ9" s="522"/>
      <c r="AK9" s="523"/>
      <c r="AL9" s="528">
        <v>46162</v>
      </c>
      <c r="AM9" s="529"/>
      <c r="AN9" s="529"/>
      <c r="AO9" s="530"/>
      <c r="AP9" s="518" t="s">
        <v>246</v>
      </c>
      <c r="AQ9" s="518"/>
      <c r="AR9" s="518"/>
      <c r="AS9" s="518"/>
      <c r="AT9" s="518"/>
      <c r="AU9" s="518"/>
      <c r="AV9" s="518"/>
      <c r="AW9" s="518"/>
      <c r="AX9" s="518"/>
      <c r="AY9" s="518"/>
      <c r="AZ9" s="518"/>
      <c r="BA9" s="518"/>
    </row>
    <row r="10" spans="1:53">
      <c r="A10" s="515"/>
      <c r="B10" s="515"/>
      <c r="C10" s="518"/>
      <c r="D10" s="518"/>
      <c r="E10" s="518"/>
      <c r="F10" s="518"/>
      <c r="G10" s="518"/>
      <c r="H10" s="518"/>
      <c r="I10" s="518"/>
      <c r="J10" s="518"/>
      <c r="K10" s="518"/>
      <c r="L10" s="518"/>
      <c r="M10" s="518"/>
      <c r="N10" s="518"/>
      <c r="O10" s="518"/>
      <c r="P10" s="518"/>
      <c r="Q10" s="519"/>
      <c r="R10" s="518"/>
      <c r="S10" s="518"/>
      <c r="T10" s="518"/>
      <c r="U10" s="518"/>
      <c r="V10" s="518"/>
      <c r="W10" s="518"/>
      <c r="X10" s="518"/>
      <c r="Y10" s="518"/>
      <c r="Z10" s="518"/>
      <c r="AA10" s="518"/>
      <c r="AB10" s="518"/>
      <c r="AC10" s="518"/>
      <c r="AD10" s="518"/>
      <c r="AE10" s="518"/>
      <c r="AF10" s="518"/>
      <c r="AG10" s="518"/>
      <c r="AH10" s="518"/>
      <c r="AI10" s="518"/>
      <c r="AJ10" s="518"/>
      <c r="AK10" s="518"/>
      <c r="AL10" s="525"/>
      <c r="AM10" s="515"/>
      <c r="AN10" s="515"/>
      <c r="AO10" s="515"/>
      <c r="AP10" s="518"/>
      <c r="AQ10" s="518"/>
      <c r="AR10" s="518"/>
      <c r="AS10" s="518"/>
      <c r="AT10" s="518"/>
      <c r="AU10" s="518"/>
      <c r="AV10" s="518"/>
      <c r="AW10" s="518"/>
      <c r="AX10" s="518"/>
      <c r="AY10" s="518"/>
      <c r="AZ10" s="518"/>
      <c r="BA10" s="518"/>
    </row>
    <row r="11" spans="1:53">
      <c r="A11" s="515"/>
      <c r="B11" s="515"/>
      <c r="C11" s="519"/>
      <c r="D11" s="518"/>
      <c r="E11" s="518"/>
      <c r="F11" s="518"/>
      <c r="G11" s="518"/>
      <c r="H11" s="518"/>
      <c r="I11" s="518"/>
      <c r="J11" s="518"/>
      <c r="K11" s="518"/>
      <c r="L11" s="518"/>
      <c r="M11" s="518"/>
      <c r="N11" s="518"/>
      <c r="O11" s="518"/>
      <c r="P11" s="518"/>
      <c r="Q11" s="519"/>
      <c r="R11" s="518"/>
      <c r="S11" s="518"/>
      <c r="T11" s="518"/>
      <c r="U11" s="518"/>
      <c r="V11" s="518"/>
      <c r="W11" s="518"/>
      <c r="X11" s="518"/>
      <c r="Y11" s="518"/>
      <c r="Z11" s="518"/>
      <c r="AA11" s="518"/>
      <c r="AB11" s="518"/>
      <c r="AC11" s="518"/>
      <c r="AD11" s="518"/>
      <c r="AE11" s="518"/>
      <c r="AF11" s="518"/>
      <c r="AG11" s="518"/>
      <c r="AH11" s="518"/>
      <c r="AI11" s="518"/>
      <c r="AJ11" s="518"/>
      <c r="AK11" s="518"/>
      <c r="AL11" s="525"/>
      <c r="AM11" s="515"/>
      <c r="AN11" s="515"/>
      <c r="AO11" s="515"/>
      <c r="AP11" s="518"/>
      <c r="AQ11" s="518"/>
      <c r="AR11" s="518"/>
      <c r="AS11" s="518"/>
      <c r="AT11" s="518"/>
      <c r="AU11" s="518"/>
      <c r="AV11" s="518"/>
      <c r="AW11" s="518"/>
      <c r="AX11" s="518"/>
      <c r="AY11" s="518"/>
      <c r="AZ11" s="518"/>
      <c r="BA11" s="518"/>
    </row>
    <row r="12" spans="1:53">
      <c r="A12" s="515"/>
      <c r="B12" s="515"/>
      <c r="C12" s="518"/>
      <c r="D12" s="518"/>
      <c r="E12" s="518"/>
      <c r="F12" s="518"/>
      <c r="G12" s="518"/>
      <c r="H12" s="518"/>
      <c r="I12" s="518"/>
      <c r="J12" s="518"/>
      <c r="K12" s="518"/>
      <c r="L12" s="518"/>
      <c r="M12" s="518"/>
      <c r="N12" s="518"/>
      <c r="O12" s="518"/>
      <c r="P12" s="518"/>
      <c r="Q12" s="518"/>
      <c r="R12" s="518"/>
      <c r="S12" s="518"/>
      <c r="T12" s="518"/>
      <c r="U12" s="518"/>
      <c r="V12" s="518"/>
      <c r="W12" s="518"/>
      <c r="X12" s="518"/>
      <c r="Y12" s="518"/>
      <c r="Z12" s="518"/>
      <c r="AA12" s="518"/>
      <c r="AB12" s="518"/>
      <c r="AC12" s="518"/>
      <c r="AD12" s="518"/>
      <c r="AE12" s="518"/>
      <c r="AF12" s="518"/>
      <c r="AG12" s="518"/>
      <c r="AH12" s="518"/>
      <c r="AI12" s="518"/>
      <c r="AJ12" s="518"/>
      <c r="AK12" s="518"/>
      <c r="AL12" s="525"/>
      <c r="AM12" s="515"/>
      <c r="AN12" s="515"/>
      <c r="AO12" s="515"/>
      <c r="AP12" s="518"/>
      <c r="AQ12" s="518"/>
      <c r="AR12" s="518"/>
      <c r="AS12" s="518"/>
      <c r="AT12" s="518"/>
      <c r="AU12" s="518"/>
      <c r="AV12" s="518"/>
      <c r="AW12" s="518"/>
      <c r="AX12" s="518"/>
      <c r="AY12" s="518"/>
      <c r="AZ12" s="518"/>
      <c r="BA12" s="518"/>
    </row>
    <row r="13" spans="1:53">
      <c r="A13" s="517"/>
      <c r="B13" s="517"/>
      <c r="C13" s="520"/>
      <c r="D13" s="520"/>
      <c r="E13" s="520"/>
      <c r="F13" s="520"/>
      <c r="G13" s="520"/>
      <c r="H13" s="520"/>
      <c r="I13" s="520"/>
      <c r="J13" s="520"/>
      <c r="K13" s="520"/>
      <c r="L13" s="520"/>
      <c r="M13" s="520"/>
      <c r="N13" s="520"/>
      <c r="O13" s="520"/>
      <c r="P13" s="520"/>
      <c r="Q13" s="519"/>
      <c r="R13" s="518"/>
      <c r="S13" s="518"/>
      <c r="T13" s="518"/>
      <c r="U13" s="518"/>
      <c r="V13" s="518"/>
      <c r="W13" s="518"/>
      <c r="X13" s="518"/>
      <c r="Y13" s="518"/>
      <c r="Z13" s="518"/>
      <c r="AA13" s="518"/>
      <c r="AB13" s="518"/>
      <c r="AC13" s="518"/>
      <c r="AD13" s="518"/>
      <c r="AE13" s="518"/>
      <c r="AF13" s="518"/>
      <c r="AG13" s="518"/>
      <c r="AH13" s="518"/>
      <c r="AI13" s="518"/>
      <c r="AJ13" s="518"/>
      <c r="AK13" s="518"/>
      <c r="AL13" s="531"/>
      <c r="AM13" s="517"/>
      <c r="AN13" s="517"/>
      <c r="AO13" s="517"/>
      <c r="AP13" s="518"/>
      <c r="AQ13" s="518"/>
      <c r="AR13" s="518"/>
      <c r="AS13" s="520"/>
      <c r="AT13" s="520"/>
      <c r="AU13" s="520"/>
      <c r="AV13" s="520"/>
      <c r="AW13" s="520"/>
      <c r="AX13" s="520"/>
      <c r="AY13" s="520"/>
      <c r="AZ13" s="520"/>
      <c r="BA13" s="520"/>
    </row>
    <row r="14" spans="1:53">
      <c r="A14" s="515"/>
      <c r="B14" s="515"/>
      <c r="C14" s="518"/>
      <c r="D14" s="518"/>
      <c r="E14" s="518"/>
      <c r="F14" s="518"/>
      <c r="G14" s="518"/>
      <c r="H14" s="518"/>
      <c r="I14" s="518"/>
      <c r="J14" s="518"/>
      <c r="K14" s="518"/>
      <c r="L14" s="518"/>
      <c r="M14" s="518"/>
      <c r="N14" s="518"/>
      <c r="O14" s="518"/>
      <c r="P14" s="518"/>
      <c r="Q14" s="519"/>
      <c r="R14" s="518"/>
      <c r="S14" s="518"/>
      <c r="T14" s="518"/>
      <c r="U14" s="518"/>
      <c r="V14" s="518"/>
      <c r="W14" s="518"/>
      <c r="X14" s="518"/>
      <c r="Y14" s="518"/>
      <c r="Z14" s="518"/>
      <c r="AA14" s="518"/>
      <c r="AB14" s="518"/>
      <c r="AC14" s="518"/>
      <c r="AD14" s="518"/>
      <c r="AE14" s="518"/>
      <c r="AF14" s="518"/>
      <c r="AG14" s="518"/>
      <c r="AH14" s="518"/>
      <c r="AI14" s="518"/>
      <c r="AJ14" s="518"/>
      <c r="AK14" s="518"/>
      <c r="AL14" s="525"/>
      <c r="AM14" s="515"/>
      <c r="AN14" s="515"/>
      <c r="AO14" s="515"/>
      <c r="AP14" s="518"/>
      <c r="AQ14" s="518"/>
      <c r="AR14" s="518"/>
      <c r="AS14" s="518"/>
      <c r="AT14" s="518"/>
      <c r="AU14" s="518"/>
      <c r="AV14" s="518"/>
      <c r="AW14" s="518"/>
      <c r="AX14" s="518"/>
      <c r="AY14" s="518"/>
      <c r="AZ14" s="518"/>
      <c r="BA14" s="518"/>
    </row>
    <row r="15" spans="1:53">
      <c r="A15" s="515"/>
      <c r="B15" s="515"/>
      <c r="C15" s="518"/>
      <c r="D15" s="518"/>
      <c r="E15" s="518"/>
      <c r="F15" s="518"/>
      <c r="G15" s="518"/>
      <c r="H15" s="518"/>
      <c r="I15" s="518"/>
      <c r="J15" s="518"/>
      <c r="K15" s="518"/>
      <c r="L15" s="518"/>
      <c r="M15" s="518"/>
      <c r="N15" s="518"/>
      <c r="O15" s="518"/>
      <c r="P15" s="518"/>
      <c r="Q15" s="519"/>
      <c r="R15" s="518"/>
      <c r="S15" s="518"/>
      <c r="T15" s="518"/>
      <c r="U15" s="518"/>
      <c r="V15" s="518"/>
      <c r="W15" s="518"/>
      <c r="X15" s="518"/>
      <c r="Y15" s="518"/>
      <c r="Z15" s="518"/>
      <c r="AA15" s="518"/>
      <c r="AB15" s="518"/>
      <c r="AC15" s="518"/>
      <c r="AD15" s="518"/>
      <c r="AE15" s="518"/>
      <c r="AF15" s="518"/>
      <c r="AG15" s="518"/>
      <c r="AH15" s="518"/>
      <c r="AI15" s="518"/>
      <c r="AJ15" s="518"/>
      <c r="AK15" s="518"/>
      <c r="AL15" s="525"/>
      <c r="AM15" s="515"/>
      <c r="AN15" s="515"/>
      <c r="AO15" s="515"/>
      <c r="AP15" s="518"/>
      <c r="AQ15" s="518"/>
      <c r="AR15" s="518"/>
      <c r="AS15" s="518"/>
      <c r="AT15" s="518"/>
      <c r="AU15" s="518"/>
      <c r="AV15" s="518"/>
      <c r="AW15" s="518"/>
      <c r="AX15" s="518"/>
      <c r="AY15" s="518"/>
      <c r="AZ15" s="518"/>
      <c r="BA15" s="518"/>
    </row>
    <row r="16" spans="1:53">
      <c r="A16" s="515"/>
      <c r="B16" s="515"/>
      <c r="C16" s="518"/>
      <c r="D16" s="518"/>
      <c r="E16" s="518"/>
      <c r="F16" s="518"/>
      <c r="G16" s="518"/>
      <c r="H16" s="518"/>
      <c r="I16" s="518"/>
      <c r="J16" s="518"/>
      <c r="K16" s="518"/>
      <c r="L16" s="518"/>
      <c r="M16" s="518"/>
      <c r="N16" s="518"/>
      <c r="O16" s="518"/>
      <c r="P16" s="518"/>
      <c r="Q16" s="519"/>
      <c r="R16" s="518"/>
      <c r="S16" s="518"/>
      <c r="T16" s="518"/>
      <c r="U16" s="518"/>
      <c r="V16" s="518"/>
      <c r="W16" s="518"/>
      <c r="X16" s="518"/>
      <c r="Y16" s="518"/>
      <c r="Z16" s="518"/>
      <c r="AA16" s="518"/>
      <c r="AB16" s="518"/>
      <c r="AC16" s="518"/>
      <c r="AD16" s="518"/>
      <c r="AE16" s="518"/>
      <c r="AF16" s="518"/>
      <c r="AG16" s="518"/>
      <c r="AH16" s="518"/>
      <c r="AI16" s="518"/>
      <c r="AJ16" s="518"/>
      <c r="AK16" s="518"/>
      <c r="AL16" s="525"/>
      <c r="AM16" s="515"/>
      <c r="AN16" s="515"/>
      <c r="AO16" s="515"/>
      <c r="AP16" s="518"/>
      <c r="AQ16" s="518"/>
      <c r="AR16" s="518"/>
      <c r="AS16" s="518"/>
      <c r="AT16" s="518"/>
      <c r="AU16" s="518"/>
      <c r="AV16" s="518"/>
      <c r="AW16" s="518"/>
      <c r="AX16" s="518"/>
      <c r="AY16" s="518"/>
      <c r="AZ16" s="518"/>
      <c r="BA16" s="518"/>
    </row>
    <row r="17" spans="1:53">
      <c r="A17" s="516"/>
      <c r="B17" s="516"/>
      <c r="C17" s="518"/>
      <c r="D17" s="518"/>
      <c r="E17" s="518"/>
      <c r="F17" s="518"/>
      <c r="G17" s="518"/>
      <c r="H17" s="518"/>
      <c r="I17" s="518"/>
      <c r="J17" s="518"/>
      <c r="K17" s="518"/>
      <c r="L17" s="518"/>
      <c r="M17" s="518"/>
      <c r="N17" s="518"/>
      <c r="O17" s="518"/>
      <c r="P17" s="518"/>
      <c r="Q17" s="518"/>
      <c r="R17" s="524"/>
      <c r="S17" s="524"/>
      <c r="T17" s="524"/>
      <c r="U17" s="524"/>
      <c r="V17" s="524"/>
      <c r="W17" s="524"/>
      <c r="X17" s="524"/>
      <c r="Y17" s="524"/>
      <c r="Z17" s="524"/>
      <c r="AA17" s="524"/>
      <c r="AB17" s="524"/>
      <c r="AC17" s="524"/>
      <c r="AD17" s="524"/>
      <c r="AE17" s="524"/>
      <c r="AF17" s="524"/>
      <c r="AG17" s="524"/>
      <c r="AH17" s="524"/>
      <c r="AI17" s="524"/>
      <c r="AJ17" s="524"/>
      <c r="AK17" s="524"/>
      <c r="AL17" s="525"/>
      <c r="AM17" s="515"/>
      <c r="AN17" s="515"/>
      <c r="AO17" s="515"/>
      <c r="AP17" s="518"/>
      <c r="AQ17" s="524"/>
      <c r="AR17" s="524"/>
      <c r="AS17" s="524"/>
      <c r="AT17" s="524"/>
      <c r="AU17" s="524"/>
      <c r="AV17" s="524"/>
      <c r="AW17" s="524"/>
      <c r="AX17" s="524"/>
      <c r="AY17" s="524"/>
      <c r="AZ17" s="524"/>
      <c r="BA17" s="524"/>
    </row>
    <row r="18" spans="1:53">
      <c r="A18" s="516"/>
      <c r="B18" s="516"/>
      <c r="C18" s="518"/>
      <c r="D18" s="518"/>
      <c r="E18" s="518"/>
      <c r="F18" s="518"/>
      <c r="G18" s="518"/>
      <c r="H18" s="518"/>
      <c r="I18" s="518"/>
      <c r="J18" s="518"/>
      <c r="K18" s="518"/>
      <c r="L18" s="518"/>
      <c r="M18" s="518"/>
      <c r="N18" s="518"/>
      <c r="O18" s="518"/>
      <c r="P18" s="518"/>
      <c r="Q18" s="518"/>
      <c r="R18" s="524"/>
      <c r="S18" s="524"/>
      <c r="T18" s="524"/>
      <c r="U18" s="524"/>
      <c r="V18" s="524"/>
      <c r="W18" s="524"/>
      <c r="X18" s="524"/>
      <c r="Y18" s="524"/>
      <c r="Z18" s="524"/>
      <c r="AA18" s="524"/>
      <c r="AB18" s="524"/>
      <c r="AC18" s="524"/>
      <c r="AD18" s="524"/>
      <c r="AE18" s="524"/>
      <c r="AF18" s="524"/>
      <c r="AG18" s="524"/>
      <c r="AH18" s="524"/>
      <c r="AI18" s="524"/>
      <c r="AJ18" s="524"/>
      <c r="AK18" s="524"/>
      <c r="AL18" s="525"/>
      <c r="AM18" s="515"/>
      <c r="AN18" s="515"/>
      <c r="AO18" s="515"/>
      <c r="AP18" s="518"/>
      <c r="AQ18" s="524"/>
      <c r="AR18" s="524"/>
      <c r="AS18" s="524"/>
      <c r="AT18" s="524"/>
      <c r="AU18" s="524"/>
      <c r="AV18" s="524"/>
      <c r="AW18" s="524"/>
      <c r="AX18" s="524"/>
      <c r="AY18" s="524"/>
      <c r="AZ18" s="524"/>
      <c r="BA18" s="524"/>
    </row>
    <row r="19" spans="1:53">
      <c r="A19" s="515"/>
      <c r="B19" s="515"/>
      <c r="C19" s="518"/>
      <c r="D19" s="518"/>
      <c r="E19" s="518"/>
      <c r="F19" s="518"/>
      <c r="G19" s="518"/>
      <c r="H19" s="518"/>
      <c r="I19" s="518"/>
      <c r="J19" s="518"/>
      <c r="K19" s="518"/>
      <c r="L19" s="518"/>
      <c r="M19" s="518"/>
      <c r="N19" s="518"/>
      <c r="O19" s="518"/>
      <c r="P19" s="518"/>
      <c r="Q19" s="518"/>
      <c r="R19" s="518"/>
      <c r="S19" s="518"/>
      <c r="T19" s="518"/>
      <c r="U19" s="518"/>
      <c r="V19" s="518"/>
      <c r="W19" s="518"/>
      <c r="X19" s="518"/>
      <c r="Y19" s="518"/>
      <c r="Z19" s="518"/>
      <c r="AA19" s="518"/>
      <c r="AB19" s="518"/>
      <c r="AC19" s="518"/>
      <c r="AD19" s="518"/>
      <c r="AE19" s="518"/>
      <c r="AF19" s="518"/>
      <c r="AG19" s="518"/>
      <c r="AH19" s="518"/>
      <c r="AI19" s="518"/>
      <c r="AJ19" s="518"/>
      <c r="AK19" s="518"/>
      <c r="AL19" s="525"/>
      <c r="AM19" s="525"/>
      <c r="AN19" s="525"/>
      <c r="AO19" s="525"/>
      <c r="AP19" s="518"/>
      <c r="AQ19" s="518"/>
      <c r="AR19" s="518"/>
      <c r="AS19" s="518"/>
      <c r="AT19" s="518"/>
      <c r="AU19" s="518"/>
      <c r="AV19" s="518"/>
      <c r="AW19" s="518"/>
      <c r="AX19" s="518"/>
      <c r="AY19" s="518"/>
      <c r="AZ19" s="518"/>
      <c r="BA19" s="518"/>
    </row>
    <row r="20" spans="1:53">
      <c r="A20" s="515"/>
      <c r="B20" s="515"/>
      <c r="C20" s="518"/>
      <c r="D20" s="518"/>
      <c r="E20" s="518"/>
      <c r="F20" s="518"/>
      <c r="G20" s="518"/>
      <c r="H20" s="518"/>
      <c r="I20" s="518"/>
      <c r="J20" s="518"/>
      <c r="K20" s="518"/>
      <c r="L20" s="518"/>
      <c r="M20" s="518"/>
      <c r="N20" s="518"/>
      <c r="O20" s="518"/>
      <c r="P20" s="518"/>
      <c r="Q20" s="518"/>
      <c r="R20" s="518"/>
      <c r="S20" s="518"/>
      <c r="T20" s="518"/>
      <c r="U20" s="518"/>
      <c r="V20" s="518"/>
      <c r="W20" s="518"/>
      <c r="X20" s="518"/>
      <c r="Y20" s="518"/>
      <c r="Z20" s="518"/>
      <c r="AA20" s="518"/>
      <c r="AB20" s="518"/>
      <c r="AC20" s="518"/>
      <c r="AD20" s="518"/>
      <c r="AE20" s="518"/>
      <c r="AF20" s="518"/>
      <c r="AG20" s="518"/>
      <c r="AH20" s="518"/>
      <c r="AI20" s="518"/>
      <c r="AJ20" s="518"/>
      <c r="AK20" s="518"/>
      <c r="AL20" s="525"/>
      <c r="AM20" s="525"/>
      <c r="AN20" s="525"/>
      <c r="AO20" s="525"/>
      <c r="AP20" s="518"/>
      <c r="AQ20" s="518"/>
      <c r="AR20" s="518"/>
      <c r="AS20" s="518"/>
      <c r="AT20" s="518"/>
      <c r="AU20" s="518"/>
      <c r="AV20" s="518"/>
      <c r="AW20" s="518"/>
      <c r="AX20" s="518"/>
      <c r="AY20" s="518"/>
      <c r="AZ20" s="518"/>
      <c r="BA20" s="518"/>
    </row>
    <row r="21" spans="1:53" ht="13.5" customHeight="1">
      <c r="A21" s="515"/>
      <c r="B21" s="515"/>
      <c r="C21" s="518"/>
      <c r="D21" s="518"/>
      <c r="E21" s="518"/>
      <c r="F21" s="518"/>
      <c r="G21" s="518"/>
      <c r="H21" s="518"/>
      <c r="I21" s="518"/>
      <c r="J21" s="518"/>
      <c r="K21" s="518"/>
      <c r="L21" s="518"/>
      <c r="M21" s="518"/>
      <c r="N21" s="518"/>
      <c r="O21" s="518"/>
      <c r="P21" s="518"/>
      <c r="Q21" s="518"/>
      <c r="R21" s="524"/>
      <c r="S21" s="524"/>
      <c r="T21" s="524"/>
      <c r="U21" s="524"/>
      <c r="V21" s="524"/>
      <c r="W21" s="524"/>
      <c r="X21" s="524"/>
      <c r="Y21" s="524"/>
      <c r="Z21" s="524"/>
      <c r="AA21" s="524"/>
      <c r="AB21" s="524"/>
      <c r="AC21" s="524"/>
      <c r="AD21" s="524"/>
      <c r="AE21" s="524"/>
      <c r="AF21" s="524"/>
      <c r="AG21" s="524"/>
      <c r="AH21" s="524"/>
      <c r="AI21" s="524"/>
      <c r="AJ21" s="524"/>
      <c r="AK21" s="524"/>
      <c r="AL21" s="525"/>
      <c r="AM21" s="525"/>
      <c r="AN21" s="525"/>
      <c r="AO21" s="525"/>
      <c r="AP21" s="518"/>
      <c r="AQ21" s="518"/>
      <c r="AR21" s="518"/>
      <c r="AS21" s="518"/>
      <c r="AT21" s="518"/>
      <c r="AU21" s="518"/>
      <c r="AV21" s="518"/>
      <c r="AW21" s="518"/>
      <c r="AX21" s="518"/>
      <c r="AY21" s="518"/>
      <c r="AZ21" s="518"/>
      <c r="BA21" s="518"/>
    </row>
    <row r="22" spans="1:53">
      <c r="A22" s="515"/>
      <c r="B22" s="515"/>
      <c r="C22" s="518"/>
      <c r="D22" s="518"/>
      <c r="E22" s="518"/>
      <c r="F22" s="518"/>
      <c r="G22" s="518"/>
      <c r="H22" s="518"/>
      <c r="I22" s="518"/>
      <c r="J22" s="518"/>
      <c r="K22" s="518"/>
      <c r="L22" s="518"/>
      <c r="M22" s="518"/>
      <c r="N22" s="518"/>
      <c r="O22" s="518"/>
      <c r="P22" s="518"/>
      <c r="Q22" s="518"/>
      <c r="R22" s="518"/>
      <c r="S22" s="518"/>
      <c r="T22" s="518"/>
      <c r="U22" s="518"/>
      <c r="V22" s="518"/>
      <c r="W22" s="518"/>
      <c r="X22" s="518"/>
      <c r="Y22" s="518"/>
      <c r="Z22" s="518"/>
      <c r="AA22" s="518"/>
      <c r="AB22" s="518"/>
      <c r="AC22" s="518"/>
      <c r="AD22" s="518"/>
      <c r="AE22" s="518"/>
      <c r="AF22" s="518"/>
      <c r="AG22" s="518"/>
      <c r="AH22" s="518"/>
      <c r="AI22" s="518"/>
      <c r="AJ22" s="518"/>
      <c r="AK22" s="518"/>
      <c r="AL22" s="525"/>
      <c r="AM22" s="525"/>
      <c r="AN22" s="525"/>
      <c r="AO22" s="525"/>
      <c r="AP22" s="518"/>
      <c r="AQ22" s="518"/>
      <c r="AR22" s="518"/>
      <c r="AS22" s="518"/>
      <c r="AT22" s="518"/>
      <c r="AU22" s="518"/>
      <c r="AV22" s="518"/>
      <c r="AW22" s="518"/>
      <c r="AX22" s="518"/>
      <c r="AY22" s="518"/>
      <c r="AZ22" s="518"/>
      <c r="BA22" s="518"/>
    </row>
    <row r="23" spans="1:53">
      <c r="A23" s="515"/>
      <c r="B23" s="515"/>
      <c r="C23" s="518"/>
      <c r="D23" s="518"/>
      <c r="E23" s="518"/>
      <c r="F23" s="518"/>
      <c r="G23" s="518"/>
      <c r="H23" s="518"/>
      <c r="I23" s="518"/>
      <c r="J23" s="518"/>
      <c r="K23" s="518"/>
      <c r="L23" s="518"/>
      <c r="M23" s="518"/>
      <c r="N23" s="518"/>
      <c r="O23" s="518"/>
      <c r="P23" s="518"/>
      <c r="Q23" s="518"/>
      <c r="R23" s="524"/>
      <c r="S23" s="524"/>
      <c r="T23" s="524"/>
      <c r="U23" s="524"/>
      <c r="V23" s="524"/>
      <c r="W23" s="524"/>
      <c r="X23" s="524"/>
      <c r="Y23" s="524"/>
      <c r="Z23" s="524"/>
      <c r="AA23" s="524"/>
      <c r="AB23" s="524"/>
      <c r="AC23" s="524"/>
      <c r="AD23" s="524"/>
      <c r="AE23" s="524"/>
      <c r="AF23" s="524"/>
      <c r="AG23" s="524"/>
      <c r="AH23" s="524"/>
      <c r="AI23" s="524"/>
      <c r="AJ23" s="524"/>
      <c r="AK23" s="524"/>
      <c r="AL23" s="525"/>
      <c r="AM23" s="525"/>
      <c r="AN23" s="525"/>
      <c r="AO23" s="525"/>
      <c r="AP23" s="518"/>
      <c r="AQ23" s="518"/>
      <c r="AR23" s="518"/>
      <c r="AS23" s="518"/>
      <c r="AT23" s="518"/>
      <c r="AU23" s="518"/>
      <c r="AV23" s="518"/>
      <c r="AW23" s="518"/>
      <c r="AX23" s="518"/>
      <c r="AY23" s="518"/>
      <c r="AZ23" s="518"/>
      <c r="BA23" s="518"/>
    </row>
    <row r="24" spans="1:53">
      <c r="A24" s="515"/>
      <c r="B24" s="515"/>
      <c r="C24" s="518"/>
      <c r="D24" s="518"/>
      <c r="E24" s="518"/>
      <c r="F24" s="518"/>
      <c r="G24" s="518"/>
      <c r="H24" s="518"/>
      <c r="I24" s="518"/>
      <c r="J24" s="518"/>
      <c r="K24" s="518"/>
      <c r="L24" s="518"/>
      <c r="M24" s="518"/>
      <c r="N24" s="518"/>
      <c r="O24" s="518"/>
      <c r="P24" s="518"/>
      <c r="Q24" s="518"/>
      <c r="R24" s="518"/>
      <c r="S24" s="518"/>
      <c r="T24" s="518"/>
      <c r="U24" s="518"/>
      <c r="V24" s="518"/>
      <c r="W24" s="518"/>
      <c r="X24" s="518"/>
      <c r="Y24" s="518"/>
      <c r="Z24" s="518"/>
      <c r="AA24" s="518"/>
      <c r="AB24" s="518"/>
      <c r="AC24" s="518"/>
      <c r="AD24" s="518"/>
      <c r="AE24" s="518"/>
      <c r="AF24" s="518"/>
      <c r="AG24" s="518"/>
      <c r="AH24" s="518"/>
      <c r="AI24" s="518"/>
      <c r="AJ24" s="518"/>
      <c r="AK24" s="518"/>
      <c r="AL24" s="525"/>
      <c r="AM24" s="525"/>
      <c r="AN24" s="525"/>
      <c r="AO24" s="525"/>
      <c r="AP24" s="518"/>
      <c r="AQ24" s="518"/>
      <c r="AR24" s="518"/>
      <c r="AS24" s="518"/>
      <c r="AT24" s="518"/>
      <c r="AU24" s="518"/>
      <c r="AV24" s="518"/>
      <c r="AW24" s="518"/>
      <c r="AX24" s="518"/>
      <c r="AY24" s="518"/>
      <c r="AZ24" s="518"/>
      <c r="BA24" s="518"/>
    </row>
    <row r="25" spans="1:53">
      <c r="A25" s="515"/>
      <c r="B25" s="515"/>
      <c r="C25" s="518"/>
      <c r="D25" s="518"/>
      <c r="E25" s="518"/>
      <c r="F25" s="518"/>
      <c r="G25" s="518"/>
      <c r="H25" s="518"/>
      <c r="I25" s="518"/>
      <c r="J25" s="518"/>
      <c r="K25" s="518"/>
      <c r="L25" s="518"/>
      <c r="M25" s="518"/>
      <c r="N25" s="518"/>
      <c r="O25" s="518"/>
      <c r="P25" s="518"/>
      <c r="Q25" s="518"/>
      <c r="R25" s="518"/>
      <c r="S25" s="518"/>
      <c r="T25" s="518"/>
      <c r="U25" s="518"/>
      <c r="V25" s="518"/>
      <c r="W25" s="518"/>
      <c r="X25" s="518"/>
      <c r="Y25" s="518"/>
      <c r="Z25" s="518"/>
      <c r="AA25" s="518"/>
      <c r="AB25" s="518"/>
      <c r="AC25" s="518"/>
      <c r="AD25" s="518"/>
      <c r="AE25" s="518"/>
      <c r="AF25" s="518"/>
      <c r="AG25" s="518"/>
      <c r="AH25" s="518"/>
      <c r="AI25" s="518"/>
      <c r="AJ25" s="518"/>
      <c r="AK25" s="518"/>
      <c r="AL25" s="525"/>
      <c r="AM25" s="515"/>
      <c r="AN25" s="515"/>
      <c r="AO25" s="515"/>
      <c r="AP25" s="518"/>
      <c r="AQ25" s="518"/>
      <c r="AR25" s="518"/>
      <c r="AS25" s="518"/>
      <c r="AT25" s="518"/>
      <c r="AU25" s="518"/>
      <c r="AV25" s="518"/>
      <c r="AW25" s="518"/>
      <c r="AX25" s="518"/>
      <c r="AY25" s="518"/>
      <c r="AZ25" s="518"/>
      <c r="BA25" s="518"/>
    </row>
    <row r="26" spans="1:53">
      <c r="A26" s="515"/>
      <c r="B26" s="515"/>
      <c r="C26" s="518"/>
      <c r="D26" s="518"/>
      <c r="E26" s="518"/>
      <c r="F26" s="518"/>
      <c r="G26" s="518"/>
      <c r="H26" s="518"/>
      <c r="I26" s="518"/>
      <c r="J26" s="518"/>
      <c r="K26" s="518"/>
      <c r="L26" s="518"/>
      <c r="M26" s="518"/>
      <c r="N26" s="518"/>
      <c r="O26" s="518"/>
      <c r="P26" s="518"/>
      <c r="Q26" s="518"/>
      <c r="R26" s="518"/>
      <c r="S26" s="518"/>
      <c r="T26" s="518"/>
      <c r="U26" s="518"/>
      <c r="V26" s="518"/>
      <c r="W26" s="518"/>
      <c r="X26" s="518"/>
      <c r="Y26" s="518"/>
      <c r="Z26" s="518"/>
      <c r="AA26" s="518"/>
      <c r="AB26" s="518"/>
      <c r="AC26" s="518"/>
      <c r="AD26" s="518"/>
      <c r="AE26" s="518"/>
      <c r="AF26" s="518"/>
      <c r="AG26" s="518"/>
      <c r="AH26" s="518"/>
      <c r="AI26" s="518"/>
      <c r="AJ26" s="518"/>
      <c r="AK26" s="518"/>
      <c r="AL26" s="525"/>
      <c r="AM26" s="515"/>
      <c r="AN26" s="515"/>
      <c r="AO26" s="515"/>
      <c r="AP26" s="518"/>
      <c r="AQ26" s="518"/>
      <c r="AR26" s="518"/>
      <c r="AS26" s="518"/>
      <c r="AT26" s="518"/>
      <c r="AU26" s="518"/>
      <c r="AV26" s="518"/>
      <c r="AW26" s="518"/>
      <c r="AX26" s="518"/>
      <c r="AY26" s="518"/>
      <c r="AZ26" s="518"/>
      <c r="BA26" s="518"/>
    </row>
    <row r="27" spans="1:53">
      <c r="A27" s="515"/>
      <c r="B27" s="515"/>
      <c r="C27" s="518"/>
      <c r="D27" s="518"/>
      <c r="E27" s="518"/>
      <c r="F27" s="518"/>
      <c r="G27" s="518"/>
      <c r="H27" s="518"/>
      <c r="I27" s="518"/>
      <c r="J27" s="518"/>
      <c r="K27" s="518"/>
      <c r="L27" s="518"/>
      <c r="M27" s="518"/>
      <c r="N27" s="518"/>
      <c r="O27" s="518"/>
      <c r="P27" s="518"/>
      <c r="Q27" s="518"/>
      <c r="R27" s="518"/>
      <c r="S27" s="518"/>
      <c r="T27" s="518"/>
      <c r="U27" s="518"/>
      <c r="V27" s="518"/>
      <c r="W27" s="518"/>
      <c r="X27" s="518"/>
      <c r="Y27" s="518"/>
      <c r="Z27" s="518"/>
      <c r="AA27" s="518"/>
      <c r="AB27" s="518"/>
      <c r="AC27" s="518"/>
      <c r="AD27" s="518"/>
      <c r="AE27" s="518"/>
      <c r="AF27" s="518"/>
      <c r="AG27" s="518"/>
      <c r="AH27" s="518"/>
      <c r="AI27" s="518"/>
      <c r="AJ27" s="518"/>
      <c r="AK27" s="518"/>
      <c r="AL27" s="525"/>
      <c r="AM27" s="515"/>
      <c r="AN27" s="515"/>
      <c r="AO27" s="515"/>
      <c r="AP27" s="518"/>
      <c r="AQ27" s="518"/>
      <c r="AR27" s="518"/>
      <c r="AS27" s="518"/>
      <c r="AT27" s="518"/>
      <c r="AU27" s="518"/>
      <c r="AV27" s="518"/>
      <c r="AW27" s="518"/>
      <c r="AX27" s="518"/>
      <c r="AY27" s="518"/>
      <c r="AZ27" s="518"/>
      <c r="BA27" s="518"/>
    </row>
    <row r="28" spans="1:53">
      <c r="A28" s="515"/>
      <c r="B28" s="515"/>
      <c r="C28" s="518"/>
      <c r="D28" s="518"/>
      <c r="E28" s="518"/>
      <c r="F28" s="518"/>
      <c r="G28" s="518"/>
      <c r="H28" s="518"/>
      <c r="I28" s="518"/>
      <c r="J28" s="518"/>
      <c r="K28" s="518"/>
      <c r="L28" s="518"/>
      <c r="M28" s="518"/>
      <c r="N28" s="518"/>
      <c r="O28" s="518"/>
      <c r="P28" s="518"/>
      <c r="Q28" s="518"/>
      <c r="R28" s="518"/>
      <c r="S28" s="518"/>
      <c r="T28" s="518"/>
      <c r="U28" s="518"/>
      <c r="V28" s="518"/>
      <c r="W28" s="518"/>
      <c r="X28" s="518"/>
      <c r="Y28" s="518"/>
      <c r="Z28" s="518"/>
      <c r="AA28" s="518"/>
      <c r="AB28" s="518"/>
      <c r="AC28" s="518"/>
      <c r="AD28" s="518"/>
      <c r="AE28" s="518"/>
      <c r="AF28" s="518"/>
      <c r="AG28" s="518"/>
      <c r="AH28" s="518"/>
      <c r="AI28" s="518"/>
      <c r="AJ28" s="518"/>
      <c r="AK28" s="518"/>
      <c r="AL28" s="525"/>
      <c r="AM28" s="515"/>
      <c r="AN28" s="515"/>
      <c r="AO28" s="515"/>
      <c r="AP28" s="518"/>
      <c r="AQ28" s="518"/>
      <c r="AR28" s="518"/>
      <c r="AS28" s="518"/>
      <c r="AT28" s="518"/>
      <c r="AU28" s="518"/>
      <c r="AV28" s="518"/>
      <c r="AW28" s="518"/>
      <c r="AX28" s="518"/>
      <c r="AY28" s="518"/>
      <c r="AZ28" s="518"/>
      <c r="BA28" s="518"/>
    </row>
    <row r="29" spans="1:53">
      <c r="A29" s="515"/>
      <c r="B29" s="515"/>
      <c r="C29" s="518"/>
      <c r="D29" s="518"/>
      <c r="E29" s="518"/>
      <c r="F29" s="518"/>
      <c r="G29" s="518"/>
      <c r="H29" s="518"/>
      <c r="I29" s="518"/>
      <c r="J29" s="518"/>
      <c r="K29" s="518"/>
      <c r="L29" s="518"/>
      <c r="M29" s="518"/>
      <c r="N29" s="518"/>
      <c r="O29" s="518"/>
      <c r="P29" s="518"/>
      <c r="Q29" s="518"/>
      <c r="R29" s="518"/>
      <c r="S29" s="518"/>
      <c r="T29" s="518"/>
      <c r="U29" s="518"/>
      <c r="V29" s="518"/>
      <c r="W29" s="518"/>
      <c r="X29" s="518"/>
      <c r="Y29" s="518"/>
      <c r="Z29" s="518"/>
      <c r="AA29" s="518"/>
      <c r="AB29" s="518"/>
      <c r="AC29" s="518"/>
      <c r="AD29" s="518"/>
      <c r="AE29" s="518"/>
      <c r="AF29" s="518"/>
      <c r="AG29" s="518"/>
      <c r="AH29" s="518"/>
      <c r="AI29" s="518"/>
      <c r="AJ29" s="518"/>
      <c r="AK29" s="518"/>
      <c r="AL29" s="525"/>
      <c r="AM29" s="515"/>
      <c r="AN29" s="515"/>
      <c r="AO29" s="515"/>
      <c r="AP29" s="518"/>
      <c r="AQ29" s="518"/>
      <c r="AR29" s="518"/>
      <c r="AS29" s="518"/>
      <c r="AT29" s="518"/>
      <c r="AU29" s="518"/>
      <c r="AV29" s="518"/>
      <c r="AW29" s="518"/>
      <c r="AX29" s="518"/>
      <c r="AY29" s="518"/>
      <c r="AZ29" s="518"/>
      <c r="BA29" s="518"/>
    </row>
    <row r="30" spans="1:53">
      <c r="A30" s="515"/>
      <c r="B30" s="515"/>
      <c r="C30" s="518"/>
      <c r="D30" s="518"/>
      <c r="E30" s="518"/>
      <c r="F30" s="518"/>
      <c r="G30" s="518"/>
      <c r="H30" s="518"/>
      <c r="I30" s="518"/>
      <c r="J30" s="518"/>
      <c r="K30" s="518"/>
      <c r="L30" s="518"/>
      <c r="M30" s="518"/>
      <c r="N30" s="518"/>
      <c r="O30" s="518"/>
      <c r="P30" s="518"/>
      <c r="Q30" s="518"/>
      <c r="R30" s="518"/>
      <c r="S30" s="518"/>
      <c r="T30" s="518"/>
      <c r="U30" s="518"/>
      <c r="V30" s="518"/>
      <c r="W30" s="518"/>
      <c r="X30" s="518"/>
      <c r="Y30" s="518"/>
      <c r="Z30" s="518"/>
      <c r="AA30" s="518"/>
      <c r="AB30" s="518"/>
      <c r="AC30" s="518"/>
      <c r="AD30" s="518"/>
      <c r="AE30" s="518"/>
      <c r="AF30" s="518"/>
      <c r="AG30" s="518"/>
      <c r="AH30" s="518"/>
      <c r="AI30" s="518"/>
      <c r="AJ30" s="518"/>
      <c r="AK30" s="518"/>
      <c r="AL30" s="515"/>
      <c r="AM30" s="515"/>
      <c r="AN30" s="515"/>
      <c r="AO30" s="515"/>
      <c r="AP30" s="518"/>
      <c r="AQ30" s="518"/>
      <c r="AR30" s="518"/>
      <c r="AS30" s="518"/>
      <c r="AT30" s="518"/>
      <c r="AU30" s="518"/>
      <c r="AV30" s="518"/>
      <c r="AW30" s="518"/>
      <c r="AX30" s="518"/>
      <c r="AY30" s="518"/>
      <c r="AZ30" s="518"/>
      <c r="BA30" s="518"/>
    </row>
    <row r="31" spans="1:53">
      <c r="A31" s="515"/>
      <c r="B31" s="515"/>
      <c r="C31" s="518"/>
      <c r="D31" s="518"/>
      <c r="E31" s="518"/>
      <c r="F31" s="518"/>
      <c r="G31" s="518"/>
      <c r="H31" s="518"/>
      <c r="I31" s="518"/>
      <c r="J31" s="518"/>
      <c r="K31" s="518"/>
      <c r="L31" s="518"/>
      <c r="M31" s="518"/>
      <c r="N31" s="518"/>
      <c r="O31" s="518"/>
      <c r="P31" s="518"/>
      <c r="Q31" s="518"/>
      <c r="R31" s="518"/>
      <c r="S31" s="518"/>
      <c r="T31" s="518"/>
      <c r="U31" s="518"/>
      <c r="V31" s="518"/>
      <c r="W31" s="518"/>
      <c r="X31" s="518"/>
      <c r="Y31" s="518"/>
      <c r="Z31" s="518"/>
      <c r="AA31" s="518"/>
      <c r="AB31" s="518"/>
      <c r="AC31" s="518"/>
      <c r="AD31" s="518"/>
      <c r="AE31" s="518"/>
      <c r="AF31" s="518"/>
      <c r="AG31" s="518"/>
      <c r="AH31" s="518"/>
      <c r="AI31" s="518"/>
      <c r="AJ31" s="518"/>
      <c r="AK31" s="518"/>
      <c r="AL31" s="515"/>
      <c r="AM31" s="515"/>
      <c r="AN31" s="515"/>
      <c r="AO31" s="515"/>
      <c r="AP31" s="518"/>
      <c r="AQ31" s="518"/>
      <c r="AR31" s="518"/>
      <c r="AS31" s="518"/>
      <c r="AT31" s="518"/>
      <c r="AU31" s="518"/>
      <c r="AV31" s="518"/>
      <c r="AW31" s="518"/>
      <c r="AX31" s="518"/>
      <c r="AY31" s="518"/>
      <c r="AZ31" s="518"/>
      <c r="BA31" s="518"/>
    </row>
    <row r="32" spans="1:53">
      <c r="A32" s="515"/>
      <c r="B32" s="515"/>
      <c r="C32" s="518"/>
      <c r="D32" s="518"/>
      <c r="E32" s="518"/>
      <c r="F32" s="518"/>
      <c r="G32" s="518"/>
      <c r="H32" s="518"/>
      <c r="I32" s="518"/>
      <c r="J32" s="518"/>
      <c r="K32" s="518"/>
      <c r="L32" s="518"/>
      <c r="M32" s="518"/>
      <c r="N32" s="518"/>
      <c r="O32" s="518"/>
      <c r="P32" s="518"/>
      <c r="Q32" s="518"/>
      <c r="R32" s="518"/>
      <c r="S32" s="518"/>
      <c r="T32" s="518"/>
      <c r="U32" s="518"/>
      <c r="V32" s="518"/>
      <c r="W32" s="518"/>
      <c r="X32" s="518"/>
      <c r="Y32" s="518"/>
      <c r="Z32" s="518"/>
      <c r="AA32" s="518"/>
      <c r="AB32" s="518"/>
      <c r="AC32" s="518"/>
      <c r="AD32" s="518"/>
      <c r="AE32" s="518"/>
      <c r="AF32" s="518"/>
      <c r="AG32" s="518"/>
      <c r="AH32" s="518"/>
      <c r="AI32" s="518"/>
      <c r="AJ32" s="518"/>
      <c r="AK32" s="518"/>
      <c r="AL32" s="515"/>
      <c r="AM32" s="515"/>
      <c r="AN32" s="515"/>
      <c r="AO32" s="515"/>
      <c r="AP32" s="518"/>
      <c r="AQ32" s="518"/>
      <c r="AR32" s="518"/>
      <c r="AS32" s="518"/>
      <c r="AT32" s="518"/>
      <c r="AU32" s="518"/>
      <c r="AV32" s="518"/>
      <c r="AW32" s="518"/>
      <c r="AX32" s="518"/>
      <c r="AY32" s="518"/>
      <c r="AZ32" s="518"/>
      <c r="BA32" s="518"/>
    </row>
    <row r="33" spans="1:53">
      <c r="A33" s="515"/>
      <c r="B33" s="515"/>
      <c r="C33" s="518"/>
      <c r="D33" s="518"/>
      <c r="E33" s="518"/>
      <c r="F33" s="518"/>
      <c r="G33" s="518"/>
      <c r="H33" s="518"/>
      <c r="I33" s="518"/>
      <c r="J33" s="518"/>
      <c r="K33" s="518"/>
      <c r="L33" s="518"/>
      <c r="M33" s="518"/>
      <c r="N33" s="518"/>
      <c r="O33" s="518"/>
      <c r="P33" s="518"/>
      <c r="Q33" s="518"/>
      <c r="R33" s="518"/>
      <c r="S33" s="518"/>
      <c r="T33" s="518"/>
      <c r="U33" s="518"/>
      <c r="V33" s="518"/>
      <c r="W33" s="518"/>
      <c r="X33" s="518"/>
      <c r="Y33" s="518"/>
      <c r="Z33" s="518"/>
      <c r="AA33" s="518"/>
      <c r="AB33" s="518"/>
      <c r="AC33" s="518"/>
      <c r="AD33" s="518"/>
      <c r="AE33" s="518"/>
      <c r="AF33" s="518"/>
      <c r="AG33" s="518"/>
      <c r="AH33" s="518"/>
      <c r="AI33" s="518"/>
      <c r="AJ33" s="518"/>
      <c r="AK33" s="518"/>
      <c r="AL33" s="515"/>
      <c r="AM33" s="515"/>
      <c r="AN33" s="515"/>
      <c r="AO33" s="515"/>
      <c r="AP33" s="518"/>
      <c r="AQ33" s="518"/>
      <c r="AR33" s="518"/>
      <c r="AS33" s="518"/>
      <c r="AT33" s="518"/>
      <c r="AU33" s="518"/>
      <c r="AV33" s="518"/>
      <c r="AW33" s="518"/>
      <c r="AX33" s="518"/>
      <c r="AY33" s="518"/>
      <c r="AZ33" s="518"/>
      <c r="BA33" s="518"/>
    </row>
    <row r="34" spans="1:53">
      <c r="A34" s="515"/>
      <c r="B34" s="515"/>
      <c r="C34" s="518"/>
      <c r="D34" s="518"/>
      <c r="E34" s="518"/>
      <c r="F34" s="518"/>
      <c r="G34" s="518"/>
      <c r="H34" s="518"/>
      <c r="I34" s="518"/>
      <c r="J34" s="518"/>
      <c r="K34" s="518"/>
      <c r="L34" s="518"/>
      <c r="M34" s="518"/>
      <c r="N34" s="518"/>
      <c r="O34" s="518"/>
      <c r="P34" s="518"/>
      <c r="Q34" s="518"/>
      <c r="R34" s="518"/>
      <c r="S34" s="518"/>
      <c r="T34" s="518"/>
      <c r="U34" s="518"/>
      <c r="V34" s="518"/>
      <c r="W34" s="518"/>
      <c r="X34" s="518"/>
      <c r="Y34" s="518"/>
      <c r="Z34" s="518"/>
      <c r="AA34" s="518"/>
      <c r="AB34" s="518"/>
      <c r="AC34" s="518"/>
      <c r="AD34" s="518"/>
      <c r="AE34" s="518"/>
      <c r="AF34" s="518"/>
      <c r="AG34" s="518"/>
      <c r="AH34" s="518"/>
      <c r="AI34" s="518"/>
      <c r="AJ34" s="518"/>
      <c r="AK34" s="518"/>
      <c r="AL34" s="515"/>
      <c r="AM34" s="515"/>
      <c r="AN34" s="515"/>
      <c r="AO34" s="515"/>
      <c r="AP34" s="518"/>
      <c r="AQ34" s="518"/>
      <c r="AR34" s="518"/>
      <c r="AS34" s="518"/>
      <c r="AT34" s="518"/>
      <c r="AU34" s="518"/>
      <c r="AV34" s="518"/>
      <c r="AW34" s="518"/>
      <c r="AX34" s="518"/>
      <c r="AY34" s="518"/>
      <c r="AZ34" s="518"/>
      <c r="BA34" s="518"/>
    </row>
  </sheetData>
  <mergeCells count="229"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K1:AM1"/>
    <mergeCell ref="AT3:AW3"/>
    <mergeCell ref="AN1:AP1"/>
    <mergeCell ref="AQ1:AS1"/>
    <mergeCell ref="AT1:AW1"/>
    <mergeCell ref="A6:B6"/>
    <mergeCell ref="C6:P6"/>
    <mergeCell ref="Q6:AK6"/>
    <mergeCell ref="AL6:AO6"/>
  </mergeCells>
  <phoneticPr fontId="49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AC065-BD87-4621-ABBC-FC9DBFA86E89}">
  <dimension ref="A1:DX184"/>
  <sheetViews>
    <sheetView showGridLines="0" topLeftCell="A5" zoomScaleNormal="100" zoomScaleSheetLayoutView="100" workbookViewId="0">
      <pane ySplit="2" topLeftCell="A7" activePane="bottomLeft" state="frozen"/>
      <selection activeCell="A5" sqref="A5"/>
      <selection pane="bottomLeft" activeCell="A7" sqref="A7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128" width="2.6328125" style="443" customWidth="1"/>
    <col min="129" max="16384" width="9" style="35"/>
  </cols>
  <sheetData>
    <row r="1" spans="1:72" ht="12" customHeight="1">
      <c r="A1" s="510" t="s">
        <v>4</v>
      </c>
      <c r="B1" s="510"/>
      <c r="C1" s="510"/>
      <c r="D1" s="510"/>
      <c r="E1" s="510"/>
      <c r="F1" s="510"/>
      <c r="G1" s="510"/>
      <c r="H1" s="510"/>
      <c r="I1" s="497" t="s">
        <v>5</v>
      </c>
      <c r="J1" s="497"/>
      <c r="K1" s="497"/>
      <c r="L1" s="497"/>
      <c r="M1" s="508" t="str">
        <f>変更来歴!M1</f>
        <v>ヒロセ電機株式会社</v>
      </c>
      <c r="N1" s="508"/>
      <c r="O1" s="508"/>
      <c r="P1" s="508"/>
      <c r="Q1" s="508"/>
      <c r="R1" s="508"/>
      <c r="S1" s="508"/>
      <c r="T1" s="508"/>
      <c r="U1" s="508"/>
      <c r="V1" s="508"/>
      <c r="W1" s="508"/>
      <c r="X1" s="497" t="s">
        <v>7</v>
      </c>
      <c r="Y1" s="497"/>
      <c r="Z1" s="497"/>
      <c r="AA1" s="512" t="str">
        <f>変更来歴!AA1</f>
        <v>化学物質データ申請</v>
      </c>
      <c r="AB1" s="512"/>
      <c r="AC1" s="512"/>
      <c r="AD1" s="512"/>
      <c r="AE1" s="512"/>
      <c r="AF1" s="512"/>
      <c r="AG1" s="512"/>
      <c r="AH1" s="512"/>
      <c r="AI1" s="512"/>
      <c r="AJ1" s="512"/>
      <c r="AK1" s="486" t="s">
        <v>8</v>
      </c>
      <c r="AL1" s="486"/>
      <c r="AM1" s="486"/>
      <c r="AN1" s="488" t="str">
        <f>変更来歴!AP7</f>
        <v>古竹</v>
      </c>
      <c r="AO1" s="488"/>
      <c r="AP1" s="488"/>
      <c r="AQ1" s="488"/>
      <c r="AR1" s="488"/>
      <c r="AS1" s="486" t="s">
        <v>9</v>
      </c>
      <c r="AT1" s="486"/>
      <c r="AU1" s="486"/>
      <c r="AV1" s="489">
        <f>変更来歴!AL7</f>
        <v>46125</v>
      </c>
      <c r="AW1" s="487"/>
      <c r="AX1" s="487"/>
      <c r="AY1" s="487"/>
      <c r="AZ1" s="493" t="s">
        <v>10</v>
      </c>
      <c r="BA1" s="494"/>
      <c r="BB1" s="494"/>
      <c r="BC1" s="495"/>
    </row>
    <row r="2" spans="1:72">
      <c r="A2" s="496" t="s">
        <v>16</v>
      </c>
      <c r="B2" s="496"/>
      <c r="C2" s="496"/>
      <c r="D2" s="496"/>
      <c r="E2" s="496"/>
      <c r="F2" s="496"/>
      <c r="G2" s="496"/>
      <c r="H2" s="496"/>
      <c r="I2" s="497" t="s">
        <v>11</v>
      </c>
      <c r="J2" s="497"/>
      <c r="K2" s="497"/>
      <c r="L2" s="497"/>
      <c r="M2" s="535" t="str">
        <f>変更来歴!M2</f>
        <v>　</v>
      </c>
      <c r="N2" s="535"/>
      <c r="O2" s="535"/>
      <c r="P2" s="535"/>
      <c r="Q2" s="535"/>
      <c r="R2" s="535"/>
      <c r="S2" s="535"/>
      <c r="T2" s="535"/>
      <c r="U2" s="535"/>
      <c r="V2" s="535"/>
      <c r="W2" s="535"/>
      <c r="X2" s="497"/>
      <c r="Y2" s="497"/>
      <c r="Z2" s="497"/>
      <c r="AA2" s="512"/>
      <c r="AB2" s="512"/>
      <c r="AC2" s="512"/>
      <c r="AD2" s="512"/>
      <c r="AE2" s="512"/>
      <c r="AF2" s="512"/>
      <c r="AG2" s="512"/>
      <c r="AH2" s="512"/>
      <c r="AI2" s="512"/>
      <c r="AJ2" s="512"/>
      <c r="AK2" s="486" t="s">
        <v>12</v>
      </c>
      <c r="AL2" s="486"/>
      <c r="AM2" s="486"/>
      <c r="AN2" s="488" t="str">
        <f ca="1">INDIRECT("変更来歴!AP" &amp; COUNTA(変更来歴!AP7:'変更来歴'!AP39) + 6)</f>
        <v>古竹</v>
      </c>
      <c r="AO2" s="488"/>
      <c r="AP2" s="488"/>
      <c r="AQ2" s="488"/>
      <c r="AR2" s="488"/>
      <c r="AS2" s="486" t="s">
        <v>13</v>
      </c>
      <c r="AT2" s="486"/>
      <c r="AU2" s="486"/>
      <c r="AV2" s="489">
        <f ca="1">INDIRECT("変更来歴!AL" &amp; COUNTA(変更来歴!AL7:'変更来歴'!AL39) + 6)</f>
        <v>46162</v>
      </c>
      <c r="AW2" s="487"/>
      <c r="AX2" s="487"/>
      <c r="AY2" s="487"/>
      <c r="AZ2" s="501" t="str">
        <f>変更来歴!AX2</f>
        <v>IMWF-53</v>
      </c>
      <c r="BA2" s="502"/>
      <c r="BB2" s="502"/>
      <c r="BC2" s="503"/>
    </row>
    <row r="3" spans="1:72" ht="12" customHeight="1">
      <c r="A3" s="507" t="str">
        <f>変更来歴!A3</f>
        <v>画面設計書</v>
      </c>
      <c r="B3" s="507"/>
      <c r="C3" s="507"/>
      <c r="D3" s="507"/>
      <c r="E3" s="507"/>
      <c r="F3" s="507"/>
      <c r="G3" s="507"/>
      <c r="H3" s="507"/>
      <c r="I3" s="497" t="s">
        <v>14</v>
      </c>
      <c r="J3" s="497"/>
      <c r="K3" s="497"/>
      <c r="L3" s="497"/>
      <c r="M3" s="508" t="str">
        <f ca="1">RIGHT(CELL("filename",A1),LEN(CELL("filename",A1))-FIND("]",CELL("filename",A1)))</f>
        <v>化学物質データ申請完了画面</v>
      </c>
      <c r="N3" s="508"/>
      <c r="O3" s="508"/>
      <c r="P3" s="508"/>
      <c r="Q3" s="508"/>
      <c r="R3" s="508"/>
      <c r="S3" s="508"/>
      <c r="T3" s="508"/>
      <c r="U3" s="508"/>
      <c r="V3" s="508"/>
      <c r="W3" s="508"/>
      <c r="X3" s="497" t="s">
        <v>27</v>
      </c>
      <c r="Y3" s="497"/>
      <c r="Z3" s="497"/>
      <c r="AA3" s="509" t="str">
        <f ca="1">MID(CELL("filename"),FIND("]",CELL("filename"))+1,LEN(CELL("filename"))) &amp; "画面"</f>
        <v>表紙画面</v>
      </c>
      <c r="AB3" s="509"/>
      <c r="AC3" s="509"/>
      <c r="AD3" s="509"/>
      <c r="AE3" s="509"/>
      <c r="AF3" s="509"/>
      <c r="AG3" s="509"/>
      <c r="AH3" s="509"/>
      <c r="AI3" s="509"/>
      <c r="AJ3" s="509"/>
      <c r="AK3" s="509"/>
      <c r="AL3" s="509"/>
      <c r="AM3" s="509"/>
      <c r="AN3" s="509"/>
      <c r="AO3" s="509"/>
      <c r="AP3" s="509"/>
      <c r="AQ3" s="509"/>
      <c r="AR3" s="509"/>
      <c r="AS3" s="486" t="s">
        <v>15</v>
      </c>
      <c r="AT3" s="486"/>
      <c r="AU3" s="486"/>
      <c r="AV3" s="487" t="str">
        <f ca="1">INDIRECT("変更来歴!A" &amp; COUNTA(変更来歴!A7:'変更来歴'!A39) + 6)</f>
        <v>r1.2</v>
      </c>
      <c r="AW3" s="487"/>
      <c r="AX3" s="487"/>
      <c r="AY3" s="487"/>
      <c r="AZ3" s="504"/>
      <c r="BA3" s="505"/>
      <c r="BB3" s="505"/>
      <c r="BC3" s="506"/>
    </row>
    <row r="4" spans="1:72" ht="5.9" customHeight="1"/>
    <row r="5" spans="1:72" ht="13.5" customHeight="1">
      <c r="A5" s="537" t="str">
        <f ca="1">"画面レイアウト"&amp;"("&amp;MID(CELL("filename"),FIND("]",CELL("filename"))+1,LEN(CELL("filename")))&amp;")"</f>
        <v>画面レイアウト(表紙)</v>
      </c>
      <c r="B5" s="538"/>
      <c r="C5" s="538"/>
      <c r="D5" s="538"/>
      <c r="E5" s="538"/>
      <c r="F5" s="538"/>
      <c r="G5" s="538"/>
      <c r="H5" s="538"/>
      <c r="I5" s="538"/>
      <c r="J5" s="538"/>
      <c r="K5" s="538"/>
      <c r="L5" s="538"/>
      <c r="M5" s="538"/>
      <c r="N5" s="538"/>
      <c r="O5" s="538"/>
      <c r="P5" s="538"/>
      <c r="Q5" s="538"/>
      <c r="R5" s="538"/>
      <c r="S5" s="538"/>
      <c r="T5" s="538"/>
      <c r="U5" s="538"/>
      <c r="V5" s="538"/>
      <c r="W5" s="538"/>
      <c r="X5" s="538"/>
      <c r="Y5" s="538"/>
      <c r="Z5" s="538"/>
      <c r="AA5" s="538"/>
      <c r="AB5" s="538"/>
      <c r="AC5" s="538"/>
      <c r="AD5" s="538"/>
      <c r="AE5" s="538"/>
      <c r="AF5" s="538"/>
      <c r="AG5" s="538"/>
      <c r="AH5" s="538"/>
      <c r="AI5" s="538"/>
      <c r="AJ5" s="538"/>
      <c r="AK5" s="538"/>
      <c r="AL5" s="538"/>
      <c r="AM5" s="538"/>
      <c r="AN5" s="538"/>
      <c r="AO5" s="538"/>
      <c r="AP5" s="538"/>
      <c r="AQ5" s="538"/>
      <c r="AR5" s="538"/>
      <c r="AS5" s="538"/>
      <c r="AT5" s="538"/>
      <c r="AU5" s="538"/>
      <c r="AV5" s="538"/>
      <c r="AW5" s="538"/>
      <c r="AX5" s="538"/>
      <c r="AY5" s="538"/>
      <c r="AZ5" s="538"/>
      <c r="BA5" s="539"/>
      <c r="BB5" s="540" t="s">
        <v>24</v>
      </c>
      <c r="BC5" s="541"/>
      <c r="BD5" s="28"/>
    </row>
    <row r="6" spans="1:72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72" ht="21" customHeight="1">
      <c r="A7" s="393"/>
      <c r="B7" s="437"/>
      <c r="C7" s="442" t="s">
        <v>175</v>
      </c>
      <c r="D7" s="438"/>
      <c r="E7" s="439"/>
      <c r="F7" s="439"/>
      <c r="G7" s="439"/>
      <c r="H7" s="433"/>
      <c r="I7" s="433"/>
      <c r="J7" s="542"/>
      <c r="K7" s="542"/>
      <c r="L7" s="542"/>
      <c r="M7" s="542"/>
      <c r="N7" s="436"/>
      <c r="O7" s="435"/>
      <c r="P7" s="436"/>
      <c r="Q7" s="433"/>
      <c r="R7" s="433"/>
      <c r="S7" s="433"/>
      <c r="T7" s="434"/>
      <c r="U7" s="434"/>
      <c r="V7" s="434"/>
      <c r="W7" s="434"/>
      <c r="X7" s="434"/>
      <c r="Y7" s="435"/>
      <c r="Z7" s="434"/>
      <c r="AA7" s="433"/>
      <c r="AB7" s="435"/>
      <c r="AC7" s="434"/>
      <c r="AD7" s="433"/>
      <c r="AE7" s="435"/>
      <c r="AF7" s="433"/>
      <c r="AG7" s="433"/>
      <c r="AH7" s="435"/>
      <c r="AI7" s="433"/>
      <c r="AJ7" s="433"/>
      <c r="AK7" s="440"/>
      <c r="AL7" s="433"/>
      <c r="AM7" s="433"/>
      <c r="AN7" s="433"/>
      <c r="AO7" s="433"/>
      <c r="AP7" s="433"/>
      <c r="AQ7" s="433"/>
      <c r="AR7" s="433"/>
      <c r="AS7" s="433"/>
      <c r="AT7" s="439"/>
      <c r="AU7" s="439"/>
      <c r="AV7" s="439"/>
      <c r="AW7" s="439"/>
      <c r="AX7" s="439"/>
      <c r="AY7" s="439"/>
      <c r="AZ7" s="441"/>
      <c r="BA7" s="422"/>
      <c r="BB7" s="405"/>
      <c r="BC7" s="406"/>
      <c r="BD7" s="391"/>
      <c r="BE7" s="532" t="s">
        <v>176</v>
      </c>
      <c r="BF7" s="533"/>
      <c r="BG7" s="534"/>
      <c r="BH7" s="444"/>
      <c r="BI7" s="444"/>
      <c r="BJ7" s="444"/>
      <c r="BK7" s="444"/>
      <c r="BL7" s="445"/>
      <c r="BM7" s="445"/>
      <c r="BN7" s="445"/>
      <c r="BO7" s="445"/>
      <c r="BP7" s="445"/>
      <c r="BQ7" s="445"/>
      <c r="BR7" s="445"/>
      <c r="BS7" s="444"/>
      <c r="BT7" s="444"/>
    </row>
    <row r="8" spans="1:72" ht="12.5" customHeight="1">
      <c r="A8" s="393"/>
      <c r="B8" s="418"/>
      <c r="C8" s="427"/>
      <c r="D8" s="428"/>
      <c r="E8" s="421"/>
      <c r="F8" s="421"/>
      <c r="G8" s="421"/>
      <c r="H8" s="431"/>
      <c r="I8" s="431"/>
      <c r="J8" s="431"/>
      <c r="K8" s="431"/>
      <c r="L8" s="431"/>
      <c r="M8" s="431"/>
      <c r="N8" s="431"/>
      <c r="O8" s="431"/>
      <c r="P8" s="431"/>
      <c r="Q8" s="431"/>
      <c r="R8" s="431"/>
      <c r="S8" s="431"/>
      <c r="T8" s="431"/>
      <c r="U8" s="431"/>
      <c r="V8" s="431"/>
      <c r="W8" s="431"/>
      <c r="X8" s="431"/>
      <c r="Y8" s="431"/>
      <c r="Z8" s="431"/>
      <c r="AA8" s="431"/>
      <c r="AB8" s="431"/>
      <c r="AC8" s="431"/>
      <c r="AD8" s="431"/>
      <c r="AE8" s="431"/>
      <c r="AF8" s="431"/>
      <c r="AG8" s="431"/>
      <c r="AH8" s="431"/>
      <c r="AI8" s="431"/>
      <c r="AJ8" s="431"/>
      <c r="AK8" s="431"/>
      <c r="AL8" s="431"/>
      <c r="AM8" s="431"/>
      <c r="AN8" s="431"/>
      <c r="AO8" s="431"/>
      <c r="AP8" s="431"/>
      <c r="AQ8" s="431"/>
      <c r="AR8" s="431"/>
      <c r="AS8" s="432"/>
      <c r="AT8" s="429"/>
      <c r="AU8" s="429"/>
      <c r="AV8" s="429"/>
      <c r="AW8" s="429"/>
      <c r="AX8" s="429"/>
      <c r="AY8" s="429"/>
      <c r="AZ8" s="422"/>
      <c r="BA8" s="422"/>
      <c r="BB8" s="405"/>
      <c r="BC8" s="406"/>
      <c r="BD8" s="391"/>
      <c r="BE8" s="467" t="s">
        <v>217</v>
      </c>
      <c r="BF8" s="468"/>
      <c r="BG8" s="469"/>
      <c r="BH8" s="469"/>
      <c r="BI8" s="469"/>
      <c r="BJ8" s="469"/>
      <c r="BK8" s="469"/>
      <c r="BL8" s="470"/>
      <c r="BM8" s="470"/>
      <c r="BN8" s="470"/>
      <c r="BO8" s="470"/>
      <c r="BP8" s="470"/>
      <c r="BQ8" s="470"/>
      <c r="BR8" s="470"/>
      <c r="BS8" s="471"/>
      <c r="BT8" s="444"/>
    </row>
    <row r="9" spans="1:72" ht="24" customHeight="1">
      <c r="A9" s="393"/>
      <c r="B9" s="394"/>
      <c r="C9" s="411"/>
      <c r="D9" s="536" t="s">
        <v>248</v>
      </c>
      <c r="E9" s="536"/>
      <c r="F9" s="536"/>
      <c r="G9" s="536"/>
      <c r="H9" s="536"/>
      <c r="I9" s="536"/>
      <c r="J9" s="536"/>
      <c r="K9" s="536"/>
      <c r="L9" s="536"/>
      <c r="M9" s="536"/>
      <c r="N9" s="536"/>
      <c r="O9" s="536"/>
      <c r="P9" s="536"/>
      <c r="Q9" s="536"/>
      <c r="R9" s="536"/>
      <c r="S9" s="536"/>
      <c r="T9" s="536"/>
      <c r="U9" s="536"/>
      <c r="V9" s="536"/>
      <c r="W9" s="536"/>
      <c r="X9" s="536"/>
      <c r="Y9" s="536"/>
      <c r="Z9" s="536"/>
      <c r="AA9" s="536"/>
      <c r="AB9" s="536"/>
      <c r="AC9" s="536"/>
      <c r="AD9" s="536"/>
      <c r="AE9" s="536"/>
      <c r="AF9" s="536"/>
      <c r="AG9" s="536"/>
      <c r="AH9" s="536"/>
      <c r="AI9" s="536"/>
      <c r="AJ9" s="536"/>
      <c r="AK9" s="536"/>
      <c r="AL9" s="536"/>
      <c r="AM9" s="536"/>
      <c r="AN9" s="536"/>
      <c r="AO9" s="536"/>
      <c r="AP9" s="413"/>
      <c r="AQ9" s="412"/>
      <c r="AR9" s="412"/>
      <c r="AS9" s="412"/>
      <c r="AT9" s="412"/>
      <c r="AU9" s="412"/>
      <c r="AV9" s="412"/>
      <c r="AW9" s="412"/>
      <c r="AX9" s="412"/>
      <c r="AY9" s="412"/>
      <c r="AZ9" s="396"/>
      <c r="BA9" s="396"/>
      <c r="BB9" s="389"/>
      <c r="BC9" s="390"/>
      <c r="BD9" s="391"/>
      <c r="BE9" s="472"/>
      <c r="BF9" s="428" t="s">
        <v>218</v>
      </c>
      <c r="BG9" s="428"/>
      <c r="BH9" s="428"/>
      <c r="BI9" s="445"/>
      <c r="BJ9" s="445"/>
      <c r="BK9" s="445"/>
      <c r="BL9" s="444"/>
      <c r="BM9" s="444"/>
      <c r="BN9" s="444"/>
      <c r="BO9" s="444"/>
      <c r="BP9" s="444"/>
      <c r="BQ9" s="444"/>
      <c r="BR9" s="444"/>
      <c r="BS9" s="473"/>
      <c r="BT9" s="444"/>
    </row>
    <row r="10" spans="1:72" ht="12" customHeight="1">
      <c r="A10" s="393"/>
      <c r="B10" s="401"/>
      <c r="C10" s="402"/>
      <c r="D10" s="391"/>
      <c r="E10" s="391"/>
      <c r="F10" s="391"/>
      <c r="G10" s="391"/>
      <c r="H10" s="403"/>
      <c r="I10" s="398"/>
      <c r="J10" s="397"/>
      <c r="K10" s="398"/>
      <c r="L10" s="397"/>
      <c r="M10" s="404"/>
      <c r="N10" s="404"/>
      <c r="O10" s="400"/>
      <c r="P10" s="404"/>
      <c r="Q10" s="400"/>
      <c r="R10" s="404"/>
      <c r="S10" s="392"/>
      <c r="T10" s="391"/>
      <c r="U10" s="391"/>
      <c r="V10" s="391"/>
      <c r="W10" s="391"/>
      <c r="X10" s="391"/>
      <c r="Y10" s="403"/>
      <c r="Z10" s="398"/>
      <c r="AA10" s="397"/>
      <c r="AB10" s="398"/>
      <c r="AC10" s="397"/>
      <c r="AD10" s="404"/>
      <c r="AE10" s="404"/>
      <c r="AF10" s="400"/>
      <c r="AG10" s="404"/>
      <c r="AH10" s="404"/>
      <c r="AI10" s="399"/>
      <c r="AJ10" s="404"/>
      <c r="AK10" s="400"/>
      <c r="AL10" s="391"/>
      <c r="AM10" s="391"/>
      <c r="AN10" s="391"/>
      <c r="AO10" s="391"/>
      <c r="AP10" s="391"/>
      <c r="AQ10" s="391"/>
      <c r="AR10" s="391"/>
      <c r="AS10" s="397"/>
      <c r="AT10" s="399"/>
      <c r="AU10" s="397"/>
      <c r="AV10" s="400"/>
      <c r="AW10" s="400"/>
      <c r="AX10" s="400"/>
      <c r="AY10" s="395"/>
      <c r="AZ10" s="396"/>
      <c r="BA10" s="396"/>
      <c r="BB10" s="389"/>
      <c r="BC10" s="390"/>
      <c r="BD10" s="391"/>
      <c r="BE10" s="474"/>
      <c r="BF10" s="428"/>
      <c r="BG10" s="428" t="s">
        <v>219</v>
      </c>
      <c r="BH10" s="446"/>
      <c r="BI10" s="445"/>
      <c r="BJ10" s="445"/>
      <c r="BK10" s="445"/>
      <c r="BL10" s="444"/>
      <c r="BM10" s="444"/>
      <c r="BN10" s="444"/>
      <c r="BO10" s="444"/>
      <c r="BP10" s="444"/>
      <c r="BQ10" s="444"/>
      <c r="BR10" s="444"/>
      <c r="BS10" s="473"/>
      <c r="BT10" s="444"/>
    </row>
    <row r="11" spans="1:72" ht="12.5" customHeight="1">
      <c r="A11" s="393"/>
      <c r="B11" s="394"/>
      <c r="C11" s="391"/>
      <c r="D11" s="391"/>
      <c r="E11" s="391"/>
      <c r="F11" s="392"/>
      <c r="G11" s="421"/>
      <c r="H11" s="431"/>
      <c r="I11" s="431"/>
      <c r="J11" s="431"/>
      <c r="K11" s="431"/>
      <c r="L11" s="431"/>
      <c r="M11" s="431"/>
      <c r="N11" s="431"/>
      <c r="O11" s="431"/>
      <c r="P11" s="431"/>
      <c r="Q11" s="431"/>
      <c r="R11" s="431"/>
      <c r="S11" s="431"/>
      <c r="T11" s="431"/>
      <c r="U11" s="431"/>
      <c r="V11" s="431"/>
      <c r="W11" s="431"/>
      <c r="X11" s="431"/>
      <c r="Y11" s="431"/>
      <c r="Z11" s="431"/>
      <c r="AA11" s="431"/>
      <c r="AB11" s="431"/>
      <c r="AC11" s="431"/>
      <c r="AD11" s="431"/>
      <c r="AE11" s="431"/>
      <c r="AF11" s="431"/>
      <c r="AG11" s="431"/>
      <c r="AH11" s="431"/>
      <c r="AI11" s="431"/>
      <c r="AJ11" s="431"/>
      <c r="AK11" s="431"/>
      <c r="AL11" s="431"/>
      <c r="AM11" s="431"/>
      <c r="AN11" s="431"/>
      <c r="AO11" s="431"/>
      <c r="AP11" s="431"/>
      <c r="AQ11" s="431"/>
      <c r="AR11" s="431"/>
      <c r="AS11" s="431"/>
      <c r="AT11" s="425"/>
      <c r="AU11" s="421"/>
      <c r="AV11" s="400"/>
      <c r="AW11" s="400"/>
      <c r="AX11" s="400"/>
      <c r="AY11" s="395"/>
      <c r="AZ11" s="396"/>
      <c r="BA11" s="396"/>
      <c r="BB11" s="389"/>
      <c r="BC11" s="390"/>
      <c r="BD11" s="391"/>
      <c r="BE11" s="474"/>
      <c r="BF11" s="428"/>
      <c r="BG11" s="428" t="s">
        <v>220</v>
      </c>
      <c r="BH11" s="446"/>
      <c r="BI11" s="428"/>
      <c r="BJ11" s="445"/>
      <c r="BK11" s="445"/>
      <c r="BL11" s="444"/>
      <c r="BM11" s="444"/>
      <c r="BN11" s="444"/>
      <c r="BO11" s="444"/>
      <c r="BP11" s="444"/>
      <c r="BQ11" s="444"/>
      <c r="BR11" s="444"/>
      <c r="BS11" s="473"/>
      <c r="BT11" s="444"/>
    </row>
    <row r="12" spans="1:72" ht="12.5" customHeight="1">
      <c r="A12" s="393"/>
      <c r="B12" s="418"/>
      <c r="C12" s="417"/>
      <c r="D12" s="424" t="s">
        <v>200</v>
      </c>
      <c r="E12" s="419"/>
      <c r="F12" s="419"/>
      <c r="G12" s="421"/>
      <c r="H12" s="431"/>
      <c r="I12" s="431"/>
      <c r="J12" s="431"/>
      <c r="K12" s="431"/>
      <c r="L12" s="431"/>
      <c r="M12" s="431"/>
      <c r="N12" s="431"/>
      <c r="O12" s="431"/>
      <c r="P12" s="431"/>
      <c r="Q12" s="431"/>
      <c r="R12" s="431"/>
      <c r="S12" s="431"/>
      <c r="T12" s="431"/>
      <c r="U12" s="431"/>
      <c r="V12" s="431"/>
      <c r="W12" s="431"/>
      <c r="X12" s="431"/>
      <c r="Y12" s="431"/>
      <c r="Z12" s="431"/>
      <c r="AA12" s="431"/>
      <c r="AB12" s="431"/>
      <c r="AC12" s="431"/>
      <c r="AD12" s="431"/>
      <c r="AE12" s="431"/>
      <c r="AF12" s="431"/>
      <c r="AG12" s="431"/>
      <c r="AH12" s="431"/>
      <c r="AI12" s="431"/>
      <c r="AJ12" s="431"/>
      <c r="AK12" s="431"/>
      <c r="AL12" s="431"/>
      <c r="AM12" s="431"/>
      <c r="AN12" s="431"/>
      <c r="AO12" s="431"/>
      <c r="AP12" s="431"/>
      <c r="AQ12" s="431"/>
      <c r="AR12" s="431"/>
      <c r="AS12" s="431"/>
      <c r="AT12" s="425"/>
      <c r="AU12" s="421"/>
      <c r="AV12" s="417"/>
      <c r="AW12" s="417"/>
      <c r="AX12" s="421"/>
      <c r="AY12" s="417"/>
      <c r="AZ12" s="422"/>
      <c r="BA12" s="422"/>
      <c r="BB12" s="389"/>
      <c r="BC12" s="390"/>
      <c r="BD12" s="391"/>
      <c r="BE12" s="475"/>
      <c r="BF12" s="444"/>
      <c r="BG12" s="447"/>
      <c r="BH12" s="444"/>
      <c r="BI12" s="444"/>
      <c r="BJ12" s="444"/>
      <c r="BK12" s="444"/>
      <c r="BL12" s="444"/>
      <c r="BM12" s="444"/>
      <c r="BN12" s="444"/>
      <c r="BO12" s="444"/>
      <c r="BP12" s="444"/>
      <c r="BQ12" s="444"/>
      <c r="BR12" s="444"/>
      <c r="BS12" s="473"/>
      <c r="BT12" s="444"/>
    </row>
    <row r="13" spans="1:72" ht="12.5" customHeight="1">
      <c r="A13" s="393"/>
      <c r="B13" s="418"/>
      <c r="C13" s="423"/>
      <c r="D13" s="419"/>
      <c r="E13" s="419"/>
      <c r="F13" s="419"/>
      <c r="G13" s="421"/>
      <c r="H13" s="431"/>
      <c r="I13" s="431"/>
      <c r="J13" s="431"/>
      <c r="K13" s="431"/>
      <c r="L13" s="431"/>
      <c r="M13" s="431"/>
      <c r="N13" s="431"/>
      <c r="O13" s="431"/>
      <c r="P13" s="431"/>
      <c r="Q13" s="431"/>
      <c r="R13" s="431"/>
      <c r="S13" s="431"/>
      <c r="T13" s="431"/>
      <c r="U13" s="431"/>
      <c r="V13" s="431"/>
      <c r="W13" s="431"/>
      <c r="X13" s="431"/>
      <c r="Y13" s="431"/>
      <c r="Z13" s="431"/>
      <c r="AA13" s="431"/>
      <c r="AB13" s="431"/>
      <c r="AC13" s="431"/>
      <c r="AD13" s="431"/>
      <c r="AE13" s="431"/>
      <c r="AF13" s="431"/>
      <c r="AG13" s="431"/>
      <c r="AH13" s="431"/>
      <c r="AI13" s="431"/>
      <c r="AJ13" s="431"/>
      <c r="AK13" s="431"/>
      <c r="AL13" s="431"/>
      <c r="AM13" s="431"/>
      <c r="AN13" s="431"/>
      <c r="AO13" s="431"/>
      <c r="AP13" s="431"/>
      <c r="AQ13" s="431"/>
      <c r="AR13" s="431"/>
      <c r="AS13" s="431"/>
      <c r="AT13" s="425"/>
      <c r="AU13" s="421"/>
      <c r="AV13" s="421"/>
      <c r="AW13" s="421"/>
      <c r="AX13" s="421"/>
      <c r="AY13" s="417"/>
      <c r="AZ13" s="422"/>
      <c r="BA13" s="422"/>
      <c r="BB13" s="389"/>
      <c r="BC13" s="390"/>
      <c r="BD13" s="391"/>
      <c r="BE13" s="474"/>
      <c r="BF13" s="444"/>
      <c r="BG13" s="444"/>
      <c r="BH13" s="444"/>
      <c r="BI13" s="444"/>
      <c r="BJ13" s="444"/>
      <c r="BK13" s="444"/>
      <c r="BL13" s="444"/>
      <c r="BM13" s="444"/>
      <c r="BN13" s="444"/>
      <c r="BO13" s="444"/>
      <c r="BP13" s="444"/>
      <c r="BQ13" s="444"/>
      <c r="BR13" s="444"/>
      <c r="BS13" s="473"/>
      <c r="BT13" s="444"/>
    </row>
    <row r="14" spans="1:72" ht="12.5" customHeight="1">
      <c r="A14" s="393"/>
      <c r="B14" s="418"/>
      <c r="C14" s="424"/>
      <c r="D14" s="462"/>
      <c r="E14" s="462"/>
      <c r="F14" s="462"/>
      <c r="G14" s="462"/>
      <c r="H14" s="462"/>
      <c r="I14" s="462"/>
      <c r="J14" s="462"/>
      <c r="K14" s="462"/>
      <c r="L14" s="462"/>
      <c r="M14" s="462"/>
      <c r="N14" s="462"/>
      <c r="O14" s="462"/>
      <c r="P14" s="462"/>
      <c r="Q14" s="462"/>
      <c r="R14" s="462"/>
      <c r="S14" s="462"/>
      <c r="T14" s="462"/>
      <c r="U14" s="462"/>
      <c r="V14" s="462"/>
      <c r="W14" s="462"/>
      <c r="X14" s="462"/>
      <c r="Y14" s="462"/>
      <c r="Z14" s="462"/>
      <c r="AA14" s="462"/>
      <c r="AB14" s="462"/>
      <c r="AC14" s="462"/>
      <c r="AD14" s="462"/>
      <c r="AE14" s="462"/>
      <c r="AF14" s="462"/>
      <c r="AG14" s="462"/>
      <c r="AH14" s="462"/>
      <c r="AI14" s="462"/>
      <c r="AJ14" s="462"/>
      <c r="AK14" s="462"/>
      <c r="AL14" s="462"/>
      <c r="AM14" s="462"/>
      <c r="AN14" s="462"/>
      <c r="AO14" s="462"/>
      <c r="AP14" s="462"/>
      <c r="AQ14" s="462"/>
      <c r="AR14" s="462"/>
      <c r="AS14" s="431"/>
      <c r="AT14" s="425"/>
      <c r="AU14" s="421"/>
      <c r="AV14" s="421"/>
      <c r="AW14" s="421"/>
      <c r="AX14" s="421"/>
      <c r="AY14" s="417"/>
      <c r="AZ14" s="422"/>
      <c r="BA14" s="422"/>
      <c r="BB14" s="389"/>
      <c r="BC14" s="390"/>
      <c r="BD14" s="391"/>
      <c r="BE14" s="475"/>
      <c r="BF14" s="428"/>
      <c r="BG14" s="428"/>
      <c r="BH14" s="444"/>
      <c r="BI14" s="444"/>
      <c r="BJ14" s="444"/>
      <c r="BK14" s="444"/>
      <c r="BL14" s="444"/>
      <c r="BM14" s="444"/>
      <c r="BN14" s="444"/>
      <c r="BO14" s="444"/>
      <c r="BP14" s="444"/>
      <c r="BQ14" s="444"/>
      <c r="BR14" s="444"/>
      <c r="BS14" s="473"/>
      <c r="BT14" s="444"/>
    </row>
    <row r="15" spans="1:72" s="443" customFormat="1" ht="12.5" customHeight="1">
      <c r="A15" s="393"/>
      <c r="B15" s="418"/>
      <c r="C15" s="417"/>
      <c r="D15" s="461" t="s">
        <v>201</v>
      </c>
      <c r="E15" s="461"/>
      <c r="F15" s="461"/>
      <c r="G15" s="461"/>
      <c r="H15" s="461"/>
      <c r="I15" s="461"/>
      <c r="J15" s="461"/>
      <c r="K15" s="461"/>
      <c r="L15" s="461"/>
      <c r="M15" s="461"/>
      <c r="N15" s="461"/>
      <c r="O15" s="461"/>
      <c r="P15" s="461"/>
      <c r="Q15" s="461"/>
      <c r="R15" s="461"/>
      <c r="S15" s="461"/>
      <c r="T15" s="461"/>
      <c r="U15" s="461"/>
      <c r="V15" s="461"/>
      <c r="W15" s="461"/>
      <c r="X15" s="461"/>
      <c r="Y15" s="461"/>
      <c r="Z15" s="461"/>
      <c r="AA15" s="461"/>
      <c r="AB15" s="461"/>
      <c r="AC15" s="461"/>
      <c r="AD15" s="461"/>
      <c r="AE15" s="461"/>
      <c r="AF15" s="461"/>
      <c r="AG15" s="461"/>
      <c r="AH15" s="461"/>
      <c r="AI15" s="461"/>
      <c r="AJ15" s="461"/>
      <c r="AK15" s="461"/>
      <c r="AL15" s="462"/>
      <c r="AM15" s="462"/>
      <c r="AN15" s="462"/>
      <c r="AO15" s="462"/>
      <c r="AP15" s="462"/>
      <c r="AQ15" s="462"/>
      <c r="AR15" s="462"/>
      <c r="AS15" s="431"/>
      <c r="AT15" s="425"/>
      <c r="AU15" s="421"/>
      <c r="AV15" s="417"/>
      <c r="AW15" s="417"/>
      <c r="AX15" s="421"/>
      <c r="AY15" s="417"/>
      <c r="AZ15" s="422"/>
      <c r="BA15" s="422"/>
      <c r="BB15" s="389"/>
      <c r="BC15" s="390"/>
      <c r="BD15" s="391"/>
      <c r="BE15" s="475"/>
      <c r="BF15" s="428"/>
      <c r="BG15" s="428"/>
      <c r="BH15" s="444"/>
      <c r="BI15" s="444"/>
      <c r="BJ15" s="444"/>
      <c r="BK15" s="444"/>
      <c r="BL15" s="444"/>
      <c r="BM15" s="444"/>
      <c r="BN15" s="444"/>
      <c r="BO15" s="444"/>
      <c r="BP15" s="444"/>
      <c r="BQ15" s="444"/>
      <c r="BR15" s="444"/>
      <c r="BS15" s="473"/>
      <c r="BT15" s="444"/>
    </row>
    <row r="16" spans="1:72" s="443" customFormat="1" ht="12.5" customHeight="1">
      <c r="A16" s="393"/>
      <c r="B16" s="418"/>
      <c r="C16" s="417"/>
      <c r="D16" s="462" t="s">
        <v>210</v>
      </c>
      <c r="E16" s="461"/>
      <c r="F16" s="461"/>
      <c r="G16" s="461"/>
      <c r="H16" s="461"/>
      <c r="I16" s="461"/>
      <c r="J16" s="461"/>
      <c r="K16" s="461"/>
      <c r="L16" s="461"/>
      <c r="M16" s="461"/>
      <c r="N16" s="461"/>
      <c r="O16" s="461"/>
      <c r="P16" s="461"/>
      <c r="Q16" s="461"/>
      <c r="R16" s="461"/>
      <c r="S16" s="461"/>
      <c r="T16" s="461"/>
      <c r="U16" s="461"/>
      <c r="V16" s="461"/>
      <c r="W16" s="461"/>
      <c r="X16" s="461"/>
      <c r="Y16" s="461"/>
      <c r="Z16" s="461"/>
      <c r="AA16" s="461"/>
      <c r="AB16" s="461"/>
      <c r="AC16" s="461"/>
      <c r="AD16" s="461"/>
      <c r="AE16" s="461"/>
      <c r="AF16" s="461"/>
      <c r="AG16" s="461"/>
      <c r="AH16" s="461"/>
      <c r="AI16" s="461"/>
      <c r="AJ16" s="461"/>
      <c r="AK16" s="461"/>
      <c r="AL16" s="462"/>
      <c r="AM16" s="462"/>
      <c r="AN16" s="462"/>
      <c r="AO16" s="462"/>
      <c r="AP16" s="462"/>
      <c r="AQ16" s="462"/>
      <c r="AR16" s="462"/>
      <c r="AS16" s="431"/>
      <c r="AT16" s="425"/>
      <c r="AU16" s="421"/>
      <c r="AV16" s="417"/>
      <c r="AW16" s="417"/>
      <c r="AX16" s="421"/>
      <c r="AY16" s="417"/>
      <c r="AZ16" s="422"/>
      <c r="BA16" s="422"/>
      <c r="BB16" s="389"/>
      <c r="BC16" s="390"/>
      <c r="BD16" s="391"/>
      <c r="BE16" s="476"/>
      <c r="BF16" s="428"/>
      <c r="BG16" s="428"/>
      <c r="BH16" s="444"/>
      <c r="BI16" s="444"/>
      <c r="BJ16" s="444"/>
      <c r="BK16" s="444"/>
      <c r="BL16" s="444"/>
      <c r="BM16" s="444"/>
      <c r="BN16" s="444"/>
      <c r="BO16" s="444"/>
      <c r="BP16" s="444"/>
      <c r="BQ16" s="444"/>
      <c r="BR16" s="444"/>
      <c r="BS16" s="473"/>
      <c r="BT16" s="444"/>
    </row>
    <row r="17" spans="1:72" s="443" customFormat="1" ht="12.5" customHeight="1">
      <c r="A17" s="393"/>
      <c r="B17" s="418"/>
      <c r="C17" s="417"/>
      <c r="D17" s="464"/>
      <c r="E17" s="464"/>
      <c r="F17" s="464"/>
      <c r="G17" s="464"/>
      <c r="H17" s="464"/>
      <c r="I17" s="464"/>
      <c r="J17" s="464"/>
      <c r="K17" s="464"/>
      <c r="L17" s="464"/>
      <c r="M17" s="464"/>
      <c r="N17" s="464"/>
      <c r="O17" s="464"/>
      <c r="P17" s="464"/>
      <c r="Q17" s="464"/>
      <c r="R17" s="464"/>
      <c r="S17" s="464"/>
      <c r="T17" s="464"/>
      <c r="U17" s="464"/>
      <c r="V17" s="464"/>
      <c r="W17" s="464"/>
      <c r="X17" s="464"/>
      <c r="Y17" s="464"/>
      <c r="Z17" s="464"/>
      <c r="AA17" s="464"/>
      <c r="AB17" s="464"/>
      <c r="AC17" s="464"/>
      <c r="AD17" s="464"/>
      <c r="AE17" s="464"/>
      <c r="AF17" s="464"/>
      <c r="AG17" s="464"/>
      <c r="AH17" s="464"/>
      <c r="AI17" s="464"/>
      <c r="AJ17" s="464"/>
      <c r="AK17" s="464"/>
      <c r="AL17" s="463"/>
      <c r="AM17" s="463"/>
      <c r="AN17" s="463"/>
      <c r="AO17" s="463"/>
      <c r="AP17" s="463"/>
      <c r="AQ17" s="463"/>
      <c r="AR17" s="463"/>
      <c r="AS17" s="431"/>
      <c r="AT17" s="425"/>
      <c r="AU17" s="421"/>
      <c r="AV17" s="421"/>
      <c r="AW17" s="421"/>
      <c r="AX17" s="421"/>
      <c r="AY17" s="417"/>
      <c r="AZ17" s="422"/>
      <c r="BA17" s="422"/>
      <c r="BB17" s="389"/>
      <c r="BC17" s="390"/>
      <c r="BD17" s="391"/>
      <c r="BE17" s="477"/>
      <c r="BF17" s="478"/>
      <c r="BG17" s="478"/>
      <c r="BH17" s="478"/>
      <c r="BI17" s="478"/>
      <c r="BJ17" s="478"/>
      <c r="BK17" s="478"/>
      <c r="BL17" s="478"/>
      <c r="BM17" s="478"/>
      <c r="BN17" s="478"/>
      <c r="BO17" s="478"/>
      <c r="BP17" s="478"/>
      <c r="BQ17" s="478"/>
      <c r="BR17" s="478"/>
      <c r="BS17" s="479"/>
      <c r="BT17" s="444"/>
    </row>
    <row r="18" spans="1:72" s="443" customFormat="1" ht="12.5" customHeight="1">
      <c r="A18" s="393"/>
      <c r="B18" s="418"/>
      <c r="C18" s="417"/>
      <c r="D18" s="464" t="s">
        <v>202</v>
      </c>
      <c r="E18" s="464"/>
      <c r="F18" s="464"/>
      <c r="G18" s="464"/>
      <c r="H18" s="464"/>
      <c r="I18" s="464"/>
      <c r="J18" s="464"/>
      <c r="K18" s="464"/>
      <c r="L18" s="464"/>
      <c r="M18" s="464"/>
      <c r="N18" s="464"/>
      <c r="O18" s="464"/>
      <c r="P18" s="464"/>
      <c r="Q18" s="464"/>
      <c r="R18" s="464"/>
      <c r="S18" s="464"/>
      <c r="T18" s="464"/>
      <c r="U18" s="464"/>
      <c r="V18" s="464"/>
      <c r="W18" s="464"/>
      <c r="X18" s="464"/>
      <c r="Y18" s="464"/>
      <c r="Z18" s="464"/>
      <c r="AA18" s="464"/>
      <c r="AB18" s="464"/>
      <c r="AC18" s="464"/>
      <c r="AD18" s="464"/>
      <c r="AE18" s="464"/>
      <c r="AF18" s="464"/>
      <c r="AG18" s="464"/>
      <c r="AH18" s="464"/>
      <c r="AI18" s="464"/>
      <c r="AJ18" s="464"/>
      <c r="AK18" s="464"/>
      <c r="AL18" s="463"/>
      <c r="AM18" s="463"/>
      <c r="AN18" s="463"/>
      <c r="AO18" s="463"/>
      <c r="AP18" s="463"/>
      <c r="AQ18" s="463"/>
      <c r="AR18" s="463"/>
      <c r="AS18" s="431"/>
      <c r="AT18" s="425"/>
      <c r="AU18" s="421"/>
      <c r="AV18" s="421"/>
      <c r="AW18" s="421"/>
      <c r="AX18" s="421"/>
      <c r="AY18" s="417"/>
      <c r="AZ18" s="422"/>
      <c r="BA18" s="422"/>
      <c r="BB18" s="389"/>
      <c r="BC18" s="390"/>
      <c r="BD18" s="391"/>
      <c r="BE18" s="444"/>
      <c r="BF18" s="444"/>
      <c r="BG18" s="444"/>
      <c r="BH18" s="444"/>
      <c r="BI18" s="444"/>
      <c r="BJ18" s="444"/>
      <c r="BK18" s="444"/>
      <c r="BL18" s="444"/>
      <c r="BM18" s="444"/>
      <c r="BN18" s="444"/>
      <c r="BO18" s="444"/>
      <c r="BP18" s="444"/>
      <c r="BQ18" s="444"/>
      <c r="BR18" s="444"/>
      <c r="BS18" s="444"/>
      <c r="BT18" s="444"/>
    </row>
    <row r="19" spans="1:72" s="443" customFormat="1" ht="12.5" customHeight="1">
      <c r="A19" s="393"/>
      <c r="B19" s="418"/>
      <c r="C19" s="417"/>
      <c r="D19" s="463" t="s">
        <v>239</v>
      </c>
      <c r="E19" s="464"/>
      <c r="F19" s="464"/>
      <c r="G19" s="464"/>
      <c r="H19" s="464"/>
      <c r="I19" s="464"/>
      <c r="J19" s="464"/>
      <c r="K19" s="464"/>
      <c r="L19" s="464"/>
      <c r="M19" s="464"/>
      <c r="N19" s="464"/>
      <c r="O19" s="464"/>
      <c r="P19" s="464"/>
      <c r="Q19" s="464"/>
      <c r="R19" s="464"/>
      <c r="S19" s="464"/>
      <c r="T19" s="464"/>
      <c r="U19" s="464"/>
      <c r="V19" s="464"/>
      <c r="W19" s="464"/>
      <c r="X19" s="464"/>
      <c r="Y19" s="464"/>
      <c r="Z19" s="464"/>
      <c r="AA19" s="464"/>
      <c r="AB19" s="464"/>
      <c r="AC19" s="464"/>
      <c r="AD19" s="464"/>
      <c r="AE19" s="464"/>
      <c r="AF19" s="464"/>
      <c r="AG19" s="464"/>
      <c r="AH19" s="464"/>
      <c r="AI19" s="464"/>
      <c r="AJ19" s="464"/>
      <c r="AK19" s="464"/>
      <c r="AL19" s="463"/>
      <c r="AM19" s="463"/>
      <c r="AN19" s="463"/>
      <c r="AO19" s="463"/>
      <c r="AP19" s="463"/>
      <c r="AQ19" s="463"/>
      <c r="AR19" s="463"/>
      <c r="AS19" s="431"/>
      <c r="AT19" s="425"/>
      <c r="AU19" s="421"/>
      <c r="AV19" s="421"/>
      <c r="AW19" s="421"/>
      <c r="AX19" s="421"/>
      <c r="AY19" s="417"/>
      <c r="AZ19" s="422"/>
      <c r="BA19" s="422"/>
      <c r="BB19" s="389"/>
      <c r="BC19" s="390"/>
      <c r="BD19" s="391"/>
      <c r="BE19" s="444"/>
      <c r="BF19" s="444"/>
      <c r="BG19" s="444"/>
      <c r="BH19" s="444"/>
      <c r="BI19" s="444"/>
      <c r="BJ19" s="444"/>
      <c r="BK19" s="444"/>
      <c r="BL19" s="444"/>
      <c r="BM19" s="444"/>
      <c r="BN19" s="444"/>
      <c r="BO19" s="444"/>
      <c r="BP19" s="444"/>
      <c r="BQ19" s="444"/>
      <c r="BR19" s="444"/>
      <c r="BS19" s="444"/>
      <c r="BT19" s="444"/>
    </row>
    <row r="20" spans="1:72" s="443" customFormat="1" ht="12.5" customHeight="1">
      <c r="A20" s="393"/>
      <c r="B20" s="418"/>
      <c r="C20" s="417"/>
      <c r="D20" s="464" t="s">
        <v>203</v>
      </c>
      <c r="E20" s="464"/>
      <c r="F20" s="464"/>
      <c r="G20" s="464"/>
      <c r="H20" s="464"/>
      <c r="I20" s="464"/>
      <c r="J20" s="464"/>
      <c r="K20" s="464"/>
      <c r="L20" s="464"/>
      <c r="M20" s="464"/>
      <c r="N20" s="464"/>
      <c r="O20" s="464"/>
      <c r="P20" s="464"/>
      <c r="Q20" s="464"/>
      <c r="R20" s="464"/>
      <c r="S20" s="464"/>
      <c r="T20" s="464"/>
      <c r="U20" s="464"/>
      <c r="V20" s="464"/>
      <c r="W20" s="464"/>
      <c r="X20" s="464"/>
      <c r="Y20" s="464"/>
      <c r="Z20" s="464"/>
      <c r="AA20" s="464"/>
      <c r="AB20" s="464"/>
      <c r="AC20" s="464"/>
      <c r="AD20" s="464"/>
      <c r="AE20" s="464"/>
      <c r="AF20" s="464"/>
      <c r="AG20" s="464"/>
      <c r="AH20" s="464"/>
      <c r="AI20" s="464"/>
      <c r="AJ20" s="464"/>
      <c r="AK20" s="464"/>
      <c r="AL20" s="463"/>
      <c r="AM20" s="463"/>
      <c r="AN20" s="463"/>
      <c r="AO20" s="463"/>
      <c r="AP20" s="463"/>
      <c r="AQ20" s="463"/>
      <c r="AR20" s="463"/>
      <c r="AS20" s="431"/>
      <c r="AT20" s="425"/>
      <c r="AU20" s="421"/>
      <c r="AV20" s="421"/>
      <c r="AW20" s="421"/>
      <c r="AX20" s="421"/>
      <c r="AY20" s="417"/>
      <c r="AZ20" s="422"/>
      <c r="BA20" s="422"/>
      <c r="BB20" s="389"/>
      <c r="BC20" s="390"/>
      <c r="BD20" s="391"/>
      <c r="BE20" s="444"/>
      <c r="BF20" s="444"/>
      <c r="BG20" s="444"/>
      <c r="BH20" s="444"/>
      <c r="BI20" s="444"/>
      <c r="BJ20" s="444"/>
      <c r="BK20" s="444"/>
      <c r="BL20" s="444"/>
      <c r="BM20" s="444"/>
      <c r="BN20" s="444"/>
      <c r="BO20" s="444"/>
      <c r="BP20" s="444"/>
      <c r="BQ20" s="444"/>
      <c r="BR20" s="444"/>
      <c r="BS20" s="444"/>
      <c r="BT20" s="444"/>
    </row>
    <row r="21" spans="1:72" s="443" customFormat="1" ht="12.5" customHeight="1">
      <c r="A21" s="393"/>
      <c r="B21" s="418"/>
      <c r="C21" s="417"/>
      <c r="D21" s="464" t="s">
        <v>240</v>
      </c>
      <c r="E21" s="464"/>
      <c r="F21" s="464"/>
      <c r="G21" s="464"/>
      <c r="H21" s="464"/>
      <c r="I21" s="464"/>
      <c r="J21" s="464"/>
      <c r="K21" s="464"/>
      <c r="L21" s="464"/>
      <c r="M21" s="464"/>
      <c r="N21" s="464"/>
      <c r="O21" s="464"/>
      <c r="P21" s="464"/>
      <c r="Q21" s="464"/>
      <c r="R21" s="464"/>
      <c r="S21" s="464"/>
      <c r="T21" s="464"/>
      <c r="U21" s="464"/>
      <c r="V21" s="464"/>
      <c r="W21" s="464"/>
      <c r="X21" s="464"/>
      <c r="Y21" s="464"/>
      <c r="Z21" s="464"/>
      <c r="AA21" s="464"/>
      <c r="AB21" s="464"/>
      <c r="AC21" s="464"/>
      <c r="AD21" s="464"/>
      <c r="AE21" s="464"/>
      <c r="AF21" s="464"/>
      <c r="AG21" s="464"/>
      <c r="AH21" s="464"/>
      <c r="AI21" s="464"/>
      <c r="AJ21" s="464"/>
      <c r="AK21" s="464"/>
      <c r="AL21" s="463"/>
      <c r="AM21" s="463"/>
      <c r="AN21" s="463"/>
      <c r="AO21" s="463"/>
      <c r="AP21" s="463"/>
      <c r="AQ21" s="463"/>
      <c r="AR21" s="463"/>
      <c r="AS21" s="431"/>
      <c r="AT21" s="425"/>
      <c r="AU21" s="421"/>
      <c r="AV21" s="421"/>
      <c r="AW21" s="421"/>
      <c r="AX21" s="421"/>
      <c r="AY21" s="417"/>
      <c r="AZ21" s="422"/>
      <c r="BA21" s="422"/>
      <c r="BB21" s="389"/>
      <c r="BC21" s="390"/>
      <c r="BD21" s="391"/>
      <c r="BE21" s="444"/>
      <c r="BF21" s="444"/>
      <c r="BG21" s="444"/>
      <c r="BH21" s="444"/>
      <c r="BI21" s="444"/>
      <c r="BJ21" s="444"/>
      <c r="BK21" s="444"/>
      <c r="BL21" s="444"/>
      <c r="BM21" s="444"/>
      <c r="BN21" s="444"/>
      <c r="BO21" s="444"/>
      <c r="BP21" s="444"/>
      <c r="BQ21" s="444"/>
      <c r="BR21" s="444"/>
      <c r="BS21" s="444"/>
      <c r="BT21" s="444"/>
    </row>
    <row r="22" spans="1:72" s="443" customFormat="1" ht="12.5" customHeight="1">
      <c r="A22" s="393"/>
      <c r="B22" s="418"/>
      <c r="C22" s="423"/>
      <c r="D22" s="464" t="s">
        <v>204</v>
      </c>
      <c r="E22" s="464"/>
      <c r="F22" s="464"/>
      <c r="G22" s="464"/>
      <c r="H22" s="464"/>
      <c r="I22" s="464"/>
      <c r="J22" s="464"/>
      <c r="K22" s="464"/>
      <c r="L22" s="464"/>
      <c r="M22" s="464"/>
      <c r="N22" s="464"/>
      <c r="O22" s="464"/>
      <c r="P22" s="464"/>
      <c r="Q22" s="464"/>
      <c r="R22" s="464"/>
      <c r="S22" s="464"/>
      <c r="T22" s="464"/>
      <c r="U22" s="464"/>
      <c r="V22" s="464"/>
      <c r="W22" s="464"/>
      <c r="X22" s="464"/>
      <c r="Y22" s="464"/>
      <c r="Z22" s="464"/>
      <c r="AA22" s="464"/>
      <c r="AB22" s="464"/>
      <c r="AC22" s="464"/>
      <c r="AD22" s="464"/>
      <c r="AE22" s="464"/>
      <c r="AF22" s="464"/>
      <c r="AG22" s="464"/>
      <c r="AH22" s="464"/>
      <c r="AI22" s="464"/>
      <c r="AJ22" s="464"/>
      <c r="AK22" s="464"/>
      <c r="AL22" s="463"/>
      <c r="AM22" s="463"/>
      <c r="AN22" s="463"/>
      <c r="AO22" s="463"/>
      <c r="AP22" s="463"/>
      <c r="AQ22" s="463"/>
      <c r="AR22" s="463"/>
      <c r="AS22" s="431"/>
      <c r="AT22" s="425"/>
      <c r="AU22" s="421"/>
      <c r="AV22" s="421"/>
      <c r="AW22" s="421"/>
      <c r="AX22" s="421"/>
      <c r="AY22" s="417"/>
      <c r="AZ22" s="422"/>
      <c r="BA22" s="422"/>
      <c r="BB22" s="389"/>
      <c r="BC22" s="390"/>
      <c r="BD22" s="391"/>
      <c r="BE22" s="444"/>
      <c r="BF22" s="444"/>
      <c r="BG22" s="444"/>
      <c r="BH22" s="444"/>
      <c r="BI22" s="444"/>
      <c r="BJ22" s="444"/>
      <c r="BK22" s="444"/>
      <c r="BL22" s="444"/>
      <c r="BM22" s="444"/>
      <c r="BN22" s="444"/>
      <c r="BO22" s="444"/>
      <c r="BP22" s="444"/>
      <c r="BQ22" s="444"/>
      <c r="BR22" s="444"/>
      <c r="BS22" s="444"/>
      <c r="BT22" s="444"/>
    </row>
    <row r="23" spans="1:72" s="443" customFormat="1" ht="12.5" customHeight="1">
      <c r="A23" s="393"/>
      <c r="B23" s="418"/>
      <c r="C23" s="423"/>
      <c r="D23" s="463" t="s">
        <v>241</v>
      </c>
      <c r="E23" s="464"/>
      <c r="F23" s="464"/>
      <c r="G23" s="464"/>
      <c r="H23" s="464"/>
      <c r="I23" s="464"/>
      <c r="J23" s="464"/>
      <c r="K23" s="464"/>
      <c r="L23" s="464"/>
      <c r="M23" s="464"/>
      <c r="N23" s="464"/>
      <c r="O23" s="464"/>
      <c r="P23" s="464"/>
      <c r="Q23" s="464"/>
      <c r="R23" s="464"/>
      <c r="S23" s="464"/>
      <c r="T23" s="464"/>
      <c r="U23" s="464"/>
      <c r="V23" s="464"/>
      <c r="W23" s="464"/>
      <c r="X23" s="464"/>
      <c r="Y23" s="464"/>
      <c r="Z23" s="464"/>
      <c r="AA23" s="464"/>
      <c r="AB23" s="464"/>
      <c r="AC23" s="464"/>
      <c r="AD23" s="464"/>
      <c r="AE23" s="464"/>
      <c r="AF23" s="464"/>
      <c r="AG23" s="464"/>
      <c r="AH23" s="464"/>
      <c r="AI23" s="464"/>
      <c r="AJ23" s="464"/>
      <c r="AK23" s="464"/>
      <c r="AL23" s="463"/>
      <c r="AM23" s="463"/>
      <c r="AN23" s="463"/>
      <c r="AO23" s="463"/>
      <c r="AP23" s="463"/>
      <c r="AQ23" s="463"/>
      <c r="AR23" s="463"/>
      <c r="AS23" s="431"/>
      <c r="AT23" s="425"/>
      <c r="AU23" s="421"/>
      <c r="AV23" s="421"/>
      <c r="AW23" s="421"/>
      <c r="AX23" s="421"/>
      <c r="AY23" s="417"/>
      <c r="AZ23" s="422"/>
      <c r="BA23" s="422"/>
      <c r="BB23" s="389"/>
      <c r="BC23" s="390"/>
      <c r="BD23" s="391"/>
      <c r="BE23" s="444"/>
      <c r="BF23" s="444"/>
      <c r="BG23" s="444"/>
      <c r="BH23" s="444"/>
      <c r="BI23" s="444"/>
      <c r="BJ23" s="444"/>
      <c r="BK23" s="444"/>
      <c r="BL23" s="444"/>
      <c r="BM23" s="444"/>
      <c r="BN23" s="444"/>
      <c r="BO23" s="444"/>
      <c r="BP23" s="444"/>
      <c r="BQ23" s="444"/>
      <c r="BR23" s="444"/>
      <c r="BS23" s="444"/>
      <c r="BT23" s="444"/>
    </row>
    <row r="24" spans="1:72" s="443" customFormat="1" ht="12.5" customHeight="1">
      <c r="A24" s="393"/>
      <c r="B24" s="418"/>
      <c r="C24" s="417"/>
      <c r="D24" s="464" t="s">
        <v>205</v>
      </c>
      <c r="E24" s="464"/>
      <c r="F24" s="464"/>
      <c r="G24" s="464"/>
      <c r="H24" s="464"/>
      <c r="I24" s="464"/>
      <c r="J24" s="464"/>
      <c r="K24" s="464"/>
      <c r="L24" s="464"/>
      <c r="M24" s="464"/>
      <c r="N24" s="464"/>
      <c r="O24" s="464"/>
      <c r="P24" s="464"/>
      <c r="Q24" s="464"/>
      <c r="R24" s="464"/>
      <c r="S24" s="464"/>
      <c r="T24" s="464"/>
      <c r="U24" s="464"/>
      <c r="V24" s="464"/>
      <c r="W24" s="464"/>
      <c r="X24" s="464"/>
      <c r="Y24" s="464"/>
      <c r="Z24" s="464"/>
      <c r="AA24" s="464"/>
      <c r="AB24" s="464"/>
      <c r="AC24" s="464"/>
      <c r="AD24" s="464"/>
      <c r="AE24" s="464"/>
      <c r="AF24" s="464"/>
      <c r="AG24" s="464"/>
      <c r="AH24" s="464"/>
      <c r="AI24" s="464"/>
      <c r="AJ24" s="464"/>
      <c r="AK24" s="464"/>
      <c r="AL24" s="463"/>
      <c r="AM24" s="463"/>
      <c r="AN24" s="463"/>
      <c r="AO24" s="463"/>
      <c r="AP24" s="463"/>
      <c r="AQ24" s="463"/>
      <c r="AR24" s="463"/>
      <c r="AS24" s="431"/>
      <c r="AT24" s="425"/>
      <c r="AU24" s="421"/>
      <c r="AV24" s="421"/>
      <c r="AW24" s="421"/>
      <c r="AX24" s="421"/>
      <c r="AY24" s="417"/>
      <c r="AZ24" s="422"/>
      <c r="BA24" s="422"/>
      <c r="BB24" s="389"/>
      <c r="BC24" s="390"/>
      <c r="BD24" s="392"/>
      <c r="BE24" s="444"/>
      <c r="BF24" s="444"/>
      <c r="BG24" s="444"/>
      <c r="BH24" s="444"/>
      <c r="BI24" s="444"/>
      <c r="BJ24" s="444"/>
      <c r="BK24" s="444"/>
      <c r="BL24" s="444"/>
      <c r="BM24" s="444"/>
      <c r="BN24" s="444"/>
      <c r="BO24" s="444"/>
      <c r="BP24" s="444"/>
      <c r="BQ24" s="444"/>
      <c r="BR24" s="444"/>
      <c r="BS24" s="444"/>
      <c r="BT24" s="444"/>
    </row>
    <row r="25" spans="1:72" s="443" customFormat="1" ht="12.5" customHeight="1">
      <c r="A25" s="393"/>
      <c r="B25" s="418"/>
      <c r="C25" s="417"/>
      <c r="D25" s="463" t="s">
        <v>242</v>
      </c>
      <c r="E25" s="464"/>
      <c r="F25" s="464"/>
      <c r="G25" s="464"/>
      <c r="H25" s="464"/>
      <c r="I25" s="464"/>
      <c r="J25" s="464"/>
      <c r="K25" s="464"/>
      <c r="L25" s="464"/>
      <c r="M25" s="464"/>
      <c r="N25" s="464"/>
      <c r="O25" s="464"/>
      <c r="P25" s="464"/>
      <c r="Q25" s="464"/>
      <c r="R25" s="464"/>
      <c r="S25" s="464"/>
      <c r="T25" s="464"/>
      <c r="U25" s="464"/>
      <c r="V25" s="464"/>
      <c r="W25" s="464"/>
      <c r="X25" s="464"/>
      <c r="Y25" s="464"/>
      <c r="Z25" s="464"/>
      <c r="AA25" s="464"/>
      <c r="AB25" s="464"/>
      <c r="AC25" s="464"/>
      <c r="AD25" s="464"/>
      <c r="AE25" s="464"/>
      <c r="AF25" s="464"/>
      <c r="AG25" s="464"/>
      <c r="AH25" s="464"/>
      <c r="AI25" s="464"/>
      <c r="AJ25" s="464"/>
      <c r="AK25" s="464"/>
      <c r="AL25" s="463"/>
      <c r="AM25" s="463"/>
      <c r="AN25" s="463"/>
      <c r="AO25" s="463"/>
      <c r="AP25" s="463"/>
      <c r="AQ25" s="463"/>
      <c r="AR25" s="463"/>
      <c r="AS25" s="431"/>
      <c r="AT25" s="425"/>
      <c r="AU25" s="421"/>
      <c r="AV25" s="421"/>
      <c r="AW25" s="421"/>
      <c r="AX25" s="421"/>
      <c r="AY25" s="417"/>
      <c r="AZ25" s="422"/>
      <c r="BA25" s="422"/>
      <c r="BB25" s="389"/>
      <c r="BC25" s="390"/>
      <c r="BD25" s="392"/>
      <c r="BE25" s="444"/>
      <c r="BF25" s="444"/>
      <c r="BG25" s="444"/>
      <c r="BH25" s="444"/>
      <c r="BI25" s="444"/>
      <c r="BJ25" s="444"/>
      <c r="BK25" s="444"/>
      <c r="BL25" s="444"/>
      <c r="BM25" s="444"/>
      <c r="BN25" s="444"/>
      <c r="BO25" s="444"/>
      <c r="BP25" s="444"/>
      <c r="BQ25" s="444"/>
      <c r="BR25" s="444"/>
      <c r="BS25" s="444"/>
      <c r="BT25" s="444"/>
    </row>
    <row r="26" spans="1:72" s="443" customFormat="1" ht="12.5" customHeight="1">
      <c r="A26" s="393"/>
      <c r="B26" s="418"/>
      <c r="C26" s="427"/>
      <c r="D26" s="464"/>
      <c r="E26" s="464"/>
      <c r="F26" s="464"/>
      <c r="G26" s="464"/>
      <c r="H26" s="464"/>
      <c r="I26" s="464"/>
      <c r="J26" s="464"/>
      <c r="K26" s="464"/>
      <c r="L26" s="464"/>
      <c r="M26" s="464"/>
      <c r="N26" s="464"/>
      <c r="O26" s="464"/>
      <c r="P26" s="464"/>
      <c r="Q26" s="464"/>
      <c r="R26" s="464"/>
      <c r="S26" s="464"/>
      <c r="T26" s="464"/>
      <c r="U26" s="464"/>
      <c r="V26" s="464"/>
      <c r="W26" s="464"/>
      <c r="X26" s="464"/>
      <c r="Y26" s="464"/>
      <c r="Z26" s="464"/>
      <c r="AA26" s="464"/>
      <c r="AB26" s="464"/>
      <c r="AC26" s="464"/>
      <c r="AD26" s="464"/>
      <c r="AE26" s="464"/>
      <c r="AF26" s="464"/>
      <c r="AG26" s="464"/>
      <c r="AH26" s="464"/>
      <c r="AI26" s="464"/>
      <c r="AJ26" s="464"/>
      <c r="AK26" s="464"/>
      <c r="AL26" s="463"/>
      <c r="AM26" s="463"/>
      <c r="AN26" s="463"/>
      <c r="AO26" s="463"/>
      <c r="AP26" s="463"/>
      <c r="AQ26" s="463"/>
      <c r="AR26" s="463"/>
      <c r="AS26" s="431"/>
      <c r="AT26" s="421"/>
      <c r="AU26" s="421"/>
      <c r="AV26" s="421"/>
      <c r="AW26" s="421"/>
      <c r="AX26" s="421"/>
      <c r="AY26" s="421"/>
      <c r="AZ26" s="422"/>
      <c r="BA26" s="422"/>
      <c r="BB26" s="405"/>
      <c r="BC26" s="406"/>
      <c r="BD26" s="391"/>
      <c r="BE26" s="444"/>
      <c r="BF26" s="444"/>
      <c r="BG26" s="444"/>
      <c r="BH26" s="444"/>
      <c r="BI26" s="444"/>
      <c r="BJ26" s="444"/>
      <c r="BK26" s="444"/>
      <c r="BL26" s="444"/>
      <c r="BM26" s="444"/>
      <c r="BN26" s="444"/>
      <c r="BO26" s="444"/>
      <c r="BP26" s="444"/>
      <c r="BQ26" s="444"/>
      <c r="BR26" s="444"/>
      <c r="BS26" s="444"/>
      <c r="BT26" s="444"/>
    </row>
    <row r="27" spans="1:72" s="443" customFormat="1" ht="12.5" customHeight="1">
      <c r="A27" s="393"/>
      <c r="B27" s="418"/>
      <c r="C27" s="427"/>
      <c r="D27" s="464" t="s">
        <v>207</v>
      </c>
      <c r="E27" s="464"/>
      <c r="F27" s="464"/>
      <c r="G27" s="464"/>
      <c r="H27" s="464"/>
      <c r="I27" s="464"/>
      <c r="J27" s="464"/>
      <c r="K27" s="464"/>
      <c r="L27" s="464"/>
      <c r="M27" s="464"/>
      <c r="N27" s="464"/>
      <c r="O27" s="464"/>
      <c r="P27" s="464"/>
      <c r="Q27" s="464"/>
      <c r="R27" s="464"/>
      <c r="S27" s="464"/>
      <c r="T27" s="464"/>
      <c r="U27" s="464"/>
      <c r="V27" s="464"/>
      <c r="W27" s="464"/>
      <c r="X27" s="464"/>
      <c r="Y27" s="464"/>
      <c r="Z27" s="464"/>
      <c r="AA27" s="464"/>
      <c r="AB27" s="464"/>
      <c r="AC27" s="464"/>
      <c r="AD27" s="464"/>
      <c r="AE27" s="464"/>
      <c r="AF27" s="464"/>
      <c r="AG27" s="464"/>
      <c r="AH27" s="464"/>
      <c r="AI27" s="464"/>
      <c r="AJ27" s="464"/>
      <c r="AK27" s="464"/>
      <c r="AL27" s="463"/>
      <c r="AM27" s="463"/>
      <c r="AN27" s="463"/>
      <c r="AO27" s="463"/>
      <c r="AP27" s="463"/>
      <c r="AQ27" s="463"/>
      <c r="AR27" s="463"/>
      <c r="AS27" s="431"/>
      <c r="AT27" s="425"/>
      <c r="AU27" s="421"/>
      <c r="AV27" s="421"/>
      <c r="AW27" s="421"/>
      <c r="AX27" s="421"/>
      <c r="AY27" s="421"/>
      <c r="AZ27" s="422"/>
      <c r="BA27" s="422"/>
      <c r="BB27" s="405"/>
      <c r="BC27" s="406"/>
      <c r="BD27" s="391"/>
      <c r="BE27" s="444"/>
      <c r="BF27" s="444"/>
      <c r="BG27" s="444"/>
      <c r="BH27" s="444"/>
      <c r="BI27" s="444"/>
      <c r="BJ27" s="444"/>
      <c r="BK27" s="444"/>
      <c r="BL27" s="444"/>
      <c r="BM27" s="444"/>
      <c r="BN27" s="444"/>
      <c r="BO27" s="444"/>
      <c r="BP27" s="444"/>
      <c r="BQ27" s="444"/>
      <c r="BR27" s="444"/>
      <c r="BS27" s="444"/>
      <c r="BT27" s="444"/>
    </row>
    <row r="28" spans="1:72" s="443" customFormat="1" ht="12.5" customHeight="1">
      <c r="A28" s="393"/>
      <c r="B28" s="418"/>
      <c r="C28" s="427"/>
      <c r="D28" s="464" t="s">
        <v>206</v>
      </c>
      <c r="E28" s="464"/>
      <c r="F28" s="464"/>
      <c r="G28" s="464"/>
      <c r="H28" s="464"/>
      <c r="I28" s="464"/>
      <c r="J28" s="464"/>
      <c r="K28" s="464"/>
      <c r="L28" s="464"/>
      <c r="M28" s="464"/>
      <c r="N28" s="464"/>
      <c r="O28" s="464"/>
      <c r="P28" s="464"/>
      <c r="Q28" s="464"/>
      <c r="R28" s="464"/>
      <c r="S28" s="464"/>
      <c r="T28" s="464"/>
      <c r="U28" s="464"/>
      <c r="V28" s="464"/>
      <c r="W28" s="464"/>
      <c r="X28" s="464"/>
      <c r="Y28" s="464"/>
      <c r="Z28" s="464"/>
      <c r="AA28" s="464"/>
      <c r="AB28" s="464"/>
      <c r="AC28" s="464"/>
      <c r="AD28" s="464"/>
      <c r="AE28" s="464"/>
      <c r="AF28" s="464"/>
      <c r="AG28" s="464"/>
      <c r="AH28" s="464"/>
      <c r="AI28" s="464"/>
      <c r="AJ28" s="464"/>
      <c r="AK28" s="464"/>
      <c r="AL28" s="463"/>
      <c r="AM28" s="463"/>
      <c r="AN28" s="463"/>
      <c r="AO28" s="463"/>
      <c r="AP28" s="463"/>
      <c r="AQ28" s="463"/>
      <c r="AR28" s="463"/>
      <c r="AS28" s="432"/>
      <c r="AT28" s="429"/>
      <c r="AU28" s="429"/>
      <c r="AV28" s="429"/>
      <c r="AW28" s="429"/>
      <c r="AX28" s="429"/>
      <c r="AY28" s="429"/>
      <c r="AZ28" s="422"/>
      <c r="BA28" s="422"/>
      <c r="BB28" s="405"/>
      <c r="BC28" s="406"/>
      <c r="BD28" s="391"/>
      <c r="BE28" s="444"/>
      <c r="BF28" s="444"/>
      <c r="BG28" s="444"/>
      <c r="BH28" s="444"/>
      <c r="BI28" s="444"/>
      <c r="BJ28" s="444"/>
      <c r="BK28" s="444"/>
      <c r="BL28" s="444"/>
      <c r="BM28" s="444"/>
      <c r="BN28" s="444"/>
      <c r="BO28" s="444"/>
      <c r="BP28" s="444"/>
      <c r="BQ28" s="444"/>
      <c r="BR28" s="444"/>
      <c r="BS28" s="444"/>
      <c r="BT28" s="444"/>
    </row>
    <row r="29" spans="1:72" s="443" customFormat="1" ht="12.5" customHeight="1">
      <c r="A29" s="393"/>
      <c r="B29" s="418"/>
      <c r="C29" s="427"/>
      <c r="D29" s="463" t="s">
        <v>243</v>
      </c>
      <c r="E29" s="464"/>
      <c r="F29" s="464"/>
      <c r="G29" s="464"/>
      <c r="H29" s="464"/>
      <c r="I29" s="464"/>
      <c r="J29" s="464"/>
      <c r="K29" s="464"/>
      <c r="L29" s="464"/>
      <c r="M29" s="464"/>
      <c r="N29" s="464"/>
      <c r="O29" s="464"/>
      <c r="P29" s="464"/>
      <c r="Q29" s="464"/>
      <c r="R29" s="464"/>
      <c r="S29" s="464"/>
      <c r="T29" s="464"/>
      <c r="U29" s="464"/>
      <c r="V29" s="464"/>
      <c r="W29" s="464"/>
      <c r="X29" s="464"/>
      <c r="Y29" s="464"/>
      <c r="Z29" s="464"/>
      <c r="AA29" s="464"/>
      <c r="AB29" s="464"/>
      <c r="AC29" s="464"/>
      <c r="AD29" s="464"/>
      <c r="AE29" s="464"/>
      <c r="AF29" s="464"/>
      <c r="AG29" s="464"/>
      <c r="AH29" s="464"/>
      <c r="AI29" s="464"/>
      <c r="AJ29" s="464"/>
      <c r="AK29" s="464"/>
      <c r="AL29" s="463"/>
      <c r="AM29" s="463"/>
      <c r="AN29" s="463"/>
      <c r="AO29" s="463"/>
      <c r="AP29" s="463"/>
      <c r="AQ29" s="463"/>
      <c r="AR29" s="463"/>
      <c r="AS29" s="431"/>
      <c r="AT29" s="425"/>
      <c r="AU29" s="421"/>
      <c r="AV29" s="421"/>
      <c r="AW29" s="421"/>
      <c r="AX29" s="421"/>
      <c r="AY29" s="421"/>
      <c r="AZ29" s="422"/>
      <c r="BA29" s="422"/>
      <c r="BB29" s="405"/>
      <c r="BC29" s="406"/>
      <c r="BD29" s="391"/>
      <c r="BE29" s="444"/>
      <c r="BF29" s="444"/>
      <c r="BG29" s="444"/>
      <c r="BH29" s="444"/>
      <c r="BI29" s="444"/>
      <c r="BJ29" s="444"/>
      <c r="BK29" s="444"/>
      <c r="BL29" s="444"/>
      <c r="BM29" s="444"/>
      <c r="BN29" s="444"/>
      <c r="BO29" s="444"/>
      <c r="BP29" s="444"/>
      <c r="BQ29" s="444"/>
      <c r="BR29" s="444"/>
      <c r="BS29" s="444"/>
      <c r="BT29" s="444"/>
    </row>
    <row r="30" spans="1:72" s="443" customFormat="1" ht="12.5" customHeight="1">
      <c r="A30" s="393"/>
      <c r="B30" s="418"/>
      <c r="C30" s="427"/>
      <c r="D30" s="463" t="s">
        <v>244</v>
      </c>
      <c r="E30" s="464"/>
      <c r="F30" s="464"/>
      <c r="G30" s="464"/>
      <c r="H30" s="464"/>
      <c r="I30" s="464"/>
      <c r="J30" s="464"/>
      <c r="K30" s="464"/>
      <c r="L30" s="464"/>
      <c r="M30" s="464"/>
      <c r="N30" s="464"/>
      <c r="O30" s="464"/>
      <c r="P30" s="464"/>
      <c r="Q30" s="464"/>
      <c r="R30" s="464"/>
      <c r="S30" s="464"/>
      <c r="T30" s="464"/>
      <c r="U30" s="464"/>
      <c r="V30" s="464"/>
      <c r="W30" s="464"/>
      <c r="X30" s="464"/>
      <c r="Y30" s="464"/>
      <c r="Z30" s="464"/>
      <c r="AA30" s="464"/>
      <c r="AB30" s="464"/>
      <c r="AC30" s="464"/>
      <c r="AD30" s="464"/>
      <c r="AE30" s="464"/>
      <c r="AF30" s="464"/>
      <c r="AG30" s="464"/>
      <c r="AH30" s="464"/>
      <c r="AI30" s="464"/>
      <c r="AJ30" s="464"/>
      <c r="AK30" s="464"/>
      <c r="AL30" s="463"/>
      <c r="AM30" s="463"/>
      <c r="AN30" s="463"/>
      <c r="AO30" s="463"/>
      <c r="AP30" s="463"/>
      <c r="AQ30" s="463"/>
      <c r="AR30" s="463"/>
      <c r="AS30" s="432"/>
      <c r="AT30" s="429"/>
      <c r="AU30" s="429"/>
      <c r="AV30" s="429"/>
      <c r="AW30" s="429"/>
      <c r="AX30" s="429"/>
      <c r="AY30" s="429"/>
      <c r="AZ30" s="422"/>
      <c r="BA30" s="422"/>
      <c r="BB30" s="405"/>
      <c r="BC30" s="406"/>
      <c r="BD30" s="391"/>
      <c r="BE30" s="444"/>
      <c r="BF30" s="444"/>
      <c r="BG30" s="444"/>
      <c r="BH30" s="444"/>
      <c r="BI30" s="444"/>
      <c r="BJ30" s="444"/>
      <c r="BK30" s="444"/>
      <c r="BL30" s="444"/>
      <c r="BM30" s="444"/>
      <c r="BN30" s="444"/>
      <c r="BO30" s="444"/>
      <c r="BP30" s="444"/>
      <c r="BQ30" s="444"/>
      <c r="BR30" s="444"/>
      <c r="BS30" s="444"/>
      <c r="BT30" s="444"/>
    </row>
    <row r="31" spans="1:72" s="443" customFormat="1" ht="12.5" customHeight="1">
      <c r="A31" s="393"/>
      <c r="B31" s="418"/>
      <c r="C31" s="427"/>
      <c r="D31" s="464"/>
      <c r="E31" s="464"/>
      <c r="F31" s="464"/>
      <c r="G31" s="464"/>
      <c r="H31" s="464"/>
      <c r="I31" s="464"/>
      <c r="J31" s="464"/>
      <c r="K31" s="464"/>
      <c r="L31" s="464"/>
      <c r="M31" s="464"/>
      <c r="N31" s="464"/>
      <c r="O31" s="464"/>
      <c r="P31" s="464"/>
      <c r="Q31" s="464"/>
      <c r="R31" s="464"/>
      <c r="S31" s="464"/>
      <c r="T31" s="464"/>
      <c r="U31" s="464"/>
      <c r="V31" s="464"/>
      <c r="W31" s="464"/>
      <c r="X31" s="464"/>
      <c r="Y31" s="464"/>
      <c r="Z31" s="464"/>
      <c r="AA31" s="464"/>
      <c r="AB31" s="464"/>
      <c r="AC31" s="464"/>
      <c r="AD31" s="464"/>
      <c r="AE31" s="464"/>
      <c r="AF31" s="464"/>
      <c r="AG31" s="464"/>
      <c r="AH31" s="464"/>
      <c r="AI31" s="464"/>
      <c r="AJ31" s="464"/>
      <c r="AK31" s="464"/>
      <c r="AL31" s="463"/>
      <c r="AM31" s="463"/>
      <c r="AN31" s="463"/>
      <c r="AO31" s="463"/>
      <c r="AP31" s="463"/>
      <c r="AQ31" s="463"/>
      <c r="AR31" s="463"/>
      <c r="AS31" s="431"/>
      <c r="AT31" s="421"/>
      <c r="AU31" s="421"/>
      <c r="AV31" s="421"/>
      <c r="AW31" s="421"/>
      <c r="AX31" s="421"/>
      <c r="AY31" s="421"/>
      <c r="AZ31" s="422"/>
      <c r="BA31" s="422"/>
      <c r="BB31" s="405"/>
      <c r="BC31" s="406"/>
      <c r="BD31" s="391"/>
      <c r="BE31" s="444"/>
      <c r="BF31" s="444"/>
      <c r="BG31" s="444"/>
      <c r="BH31" s="444"/>
      <c r="BI31" s="444"/>
      <c r="BJ31" s="444"/>
      <c r="BK31" s="444"/>
      <c r="BL31" s="444"/>
      <c r="BM31" s="444"/>
      <c r="BN31" s="444"/>
      <c r="BO31" s="444"/>
      <c r="BP31" s="444"/>
      <c r="BQ31" s="444"/>
      <c r="BR31" s="444"/>
      <c r="BS31" s="444"/>
      <c r="BT31" s="444"/>
    </row>
    <row r="32" spans="1:72" s="443" customFormat="1" ht="12.5" customHeight="1">
      <c r="A32" s="393"/>
      <c r="B32" s="418"/>
      <c r="C32" s="420"/>
      <c r="D32" s="420"/>
      <c r="E32" s="420"/>
      <c r="F32" s="420"/>
      <c r="G32" s="420"/>
      <c r="H32" s="420"/>
      <c r="I32" s="420"/>
      <c r="J32" s="420"/>
      <c r="K32" s="420"/>
      <c r="L32" s="420"/>
      <c r="M32" s="420"/>
      <c r="N32" s="420"/>
      <c r="O32" s="420"/>
      <c r="P32" s="420"/>
      <c r="Q32" s="420"/>
      <c r="R32" s="420"/>
      <c r="S32" s="420"/>
      <c r="T32" s="420"/>
      <c r="U32" s="420"/>
      <c r="V32" s="420"/>
      <c r="W32" s="420"/>
      <c r="X32" s="420"/>
      <c r="Y32" s="420"/>
      <c r="Z32" s="420"/>
      <c r="AA32" s="420"/>
      <c r="AB32" s="420"/>
      <c r="AC32" s="420"/>
      <c r="AD32" s="420"/>
      <c r="AE32" s="420"/>
      <c r="AF32" s="420"/>
      <c r="AG32" s="420"/>
      <c r="AH32" s="420"/>
      <c r="AI32" s="420"/>
      <c r="AJ32" s="420"/>
      <c r="AK32" s="420"/>
      <c r="AL32" s="420"/>
      <c r="AM32" s="420"/>
      <c r="AN32" s="420"/>
      <c r="AO32" s="420"/>
      <c r="AP32" s="420"/>
      <c r="AQ32" s="420"/>
      <c r="AR32" s="420"/>
      <c r="AS32" s="420"/>
      <c r="AT32" s="420"/>
      <c r="AU32" s="420"/>
      <c r="AV32" s="420"/>
      <c r="AW32" s="420"/>
      <c r="AX32" s="420"/>
      <c r="AY32" s="420"/>
      <c r="AZ32" s="422"/>
      <c r="BA32" s="422"/>
      <c r="BB32" s="405"/>
      <c r="BC32" s="406"/>
      <c r="BD32" s="391"/>
      <c r="BE32" s="444"/>
      <c r="BF32" s="444"/>
      <c r="BG32" s="444"/>
      <c r="BH32" s="444"/>
      <c r="BI32" s="444"/>
      <c r="BJ32" s="444"/>
      <c r="BK32" s="444"/>
      <c r="BL32" s="444"/>
      <c r="BM32" s="444"/>
      <c r="BN32" s="444"/>
      <c r="BO32" s="444"/>
      <c r="BP32" s="444"/>
      <c r="BQ32" s="444"/>
      <c r="BR32" s="444"/>
      <c r="BS32" s="444"/>
      <c r="BT32" s="444"/>
    </row>
    <row r="33" spans="1:72" s="443" customFormat="1" ht="12.5" customHeight="1">
      <c r="A33" s="393"/>
      <c r="B33" s="426"/>
      <c r="C33" s="420"/>
      <c r="D33" s="420"/>
      <c r="E33" s="420"/>
      <c r="F33" s="420"/>
      <c r="G33" s="420"/>
      <c r="H33" s="420"/>
      <c r="I33" s="420"/>
      <c r="J33" s="420"/>
      <c r="K33" s="420"/>
      <c r="L33" s="420"/>
      <c r="M33" s="420"/>
      <c r="N33" s="420"/>
      <c r="O33" s="420"/>
      <c r="P33" s="420"/>
      <c r="Q33" s="420"/>
      <c r="R33" s="420"/>
      <c r="S33" s="420"/>
      <c r="T33" s="420"/>
      <c r="U33" s="420"/>
      <c r="V33" s="420"/>
      <c r="W33" s="420"/>
      <c r="X33" s="420"/>
      <c r="Y33" s="420"/>
      <c r="Z33" s="420"/>
      <c r="AA33" s="420"/>
      <c r="AB33" s="420"/>
      <c r="AC33" s="420"/>
      <c r="AD33" s="420"/>
      <c r="AE33" s="420"/>
      <c r="AF33" s="420"/>
      <c r="AG33" s="420"/>
      <c r="AH33" s="420"/>
      <c r="AI33" s="420"/>
      <c r="AJ33" s="420"/>
      <c r="AK33" s="420"/>
      <c r="AL33" s="420"/>
      <c r="AM33" s="420"/>
      <c r="AN33" s="420"/>
      <c r="AO33" s="420"/>
      <c r="AP33" s="420"/>
      <c r="AQ33" s="420"/>
      <c r="AR33" s="420"/>
      <c r="AS33" s="420"/>
      <c r="AT33" s="420"/>
      <c r="AU33" s="420"/>
      <c r="AV33" s="420"/>
      <c r="AW33" s="420"/>
      <c r="AX33" s="420"/>
      <c r="AY33" s="420"/>
      <c r="AZ33" s="422"/>
      <c r="BA33" s="422"/>
      <c r="BB33" s="389"/>
      <c r="BC33" s="390"/>
      <c r="BD33" s="391"/>
      <c r="BE33" s="444"/>
      <c r="BF33" s="444"/>
      <c r="BG33" s="444"/>
      <c r="BH33" s="444"/>
      <c r="BI33" s="444"/>
      <c r="BJ33" s="444"/>
      <c r="BK33" s="444"/>
      <c r="BL33" s="444"/>
      <c r="BM33" s="444"/>
      <c r="BN33" s="444"/>
      <c r="BO33" s="444"/>
      <c r="BP33" s="444"/>
      <c r="BQ33" s="444"/>
      <c r="BR33" s="444"/>
      <c r="BS33" s="444"/>
      <c r="BT33" s="444"/>
    </row>
    <row r="34" spans="1:72" s="443" customFormat="1" ht="12.5" customHeight="1">
      <c r="A34" s="393"/>
      <c r="B34" s="426"/>
      <c r="C34" s="420"/>
      <c r="D34" s="420"/>
      <c r="E34" s="420"/>
      <c r="F34" s="420"/>
      <c r="G34" s="420"/>
      <c r="H34" s="420"/>
      <c r="I34" s="420"/>
      <c r="J34" s="420"/>
      <c r="K34" s="420"/>
      <c r="L34" s="420"/>
      <c r="M34" s="420"/>
      <c r="N34" s="420"/>
      <c r="O34" s="420"/>
      <c r="P34" s="420"/>
      <c r="Q34" s="420"/>
      <c r="R34" s="420"/>
      <c r="S34" s="420"/>
      <c r="T34" s="420"/>
      <c r="U34" s="420"/>
      <c r="V34" s="420"/>
      <c r="W34" s="420"/>
      <c r="X34" s="420"/>
      <c r="Y34" s="420"/>
      <c r="Z34" s="420"/>
      <c r="AA34" s="420"/>
      <c r="AB34" s="420"/>
      <c r="AC34" s="420"/>
      <c r="AD34" s="420"/>
      <c r="AE34" s="420"/>
      <c r="AF34" s="420"/>
      <c r="AG34" s="420"/>
      <c r="AH34" s="420"/>
      <c r="AI34" s="420"/>
      <c r="AJ34" s="420"/>
      <c r="AK34" s="420"/>
      <c r="AL34" s="420"/>
      <c r="AM34" s="420"/>
      <c r="AN34" s="420"/>
      <c r="AO34" s="420"/>
      <c r="AP34" s="420"/>
      <c r="AQ34" s="420"/>
      <c r="AR34" s="420"/>
      <c r="AS34" s="420"/>
      <c r="AT34" s="420"/>
      <c r="AU34" s="420"/>
      <c r="AV34" s="420"/>
      <c r="AW34" s="420"/>
      <c r="AX34" s="420"/>
      <c r="AY34" s="420"/>
      <c r="AZ34" s="422"/>
      <c r="BA34" s="422"/>
      <c r="BB34" s="389"/>
      <c r="BC34" s="390"/>
      <c r="BD34" s="391"/>
      <c r="BE34" s="444"/>
      <c r="BF34" s="444"/>
      <c r="BG34" s="444"/>
      <c r="BH34" s="444"/>
      <c r="BI34" s="444"/>
      <c r="BJ34" s="444"/>
      <c r="BK34" s="444"/>
      <c r="BL34" s="444"/>
      <c r="BM34" s="444"/>
      <c r="BN34" s="444"/>
      <c r="BO34" s="444"/>
      <c r="BP34" s="444"/>
      <c r="BQ34" s="444"/>
      <c r="BR34" s="444"/>
      <c r="BS34" s="444"/>
      <c r="BT34" s="444"/>
    </row>
    <row r="35" spans="1:72" s="443" customFormat="1" ht="12.5" customHeight="1">
      <c r="A35" s="393"/>
      <c r="B35" s="418"/>
      <c r="C35" s="420"/>
      <c r="D35" s="420"/>
      <c r="E35" s="420"/>
      <c r="F35" s="420"/>
      <c r="G35" s="420"/>
      <c r="H35" s="420"/>
      <c r="I35" s="420"/>
      <c r="J35" s="420"/>
      <c r="K35" s="420"/>
      <c r="L35" s="420"/>
      <c r="M35" s="420"/>
      <c r="N35" s="420"/>
      <c r="O35" s="420"/>
      <c r="P35" s="420"/>
      <c r="Q35" s="420"/>
      <c r="R35" s="420"/>
      <c r="S35" s="420"/>
      <c r="T35" s="420"/>
      <c r="U35" s="420"/>
      <c r="V35" s="420"/>
      <c r="W35" s="420"/>
      <c r="X35" s="420"/>
      <c r="Y35" s="420"/>
      <c r="Z35" s="420"/>
      <c r="AA35" s="420"/>
      <c r="AB35" s="420"/>
      <c r="AC35" s="420"/>
      <c r="AD35" s="420"/>
      <c r="AE35" s="420"/>
      <c r="AF35" s="420"/>
      <c r="AG35" s="420"/>
      <c r="AH35" s="420"/>
      <c r="AI35" s="420"/>
      <c r="AJ35" s="420"/>
      <c r="AK35" s="420"/>
      <c r="AL35" s="420"/>
      <c r="AM35" s="420"/>
      <c r="AN35" s="420"/>
      <c r="AO35" s="420"/>
      <c r="AP35" s="420"/>
      <c r="AQ35" s="420"/>
      <c r="AR35" s="420"/>
      <c r="AS35" s="420"/>
      <c r="AT35" s="420"/>
      <c r="AU35" s="420"/>
      <c r="AV35" s="420"/>
      <c r="AW35" s="420"/>
      <c r="AX35" s="420"/>
      <c r="AY35" s="420"/>
      <c r="AZ35" s="422"/>
      <c r="BA35" s="422"/>
      <c r="BB35" s="405"/>
      <c r="BC35" s="406"/>
      <c r="BD35" s="391"/>
      <c r="BE35" s="444"/>
      <c r="BF35" s="444"/>
      <c r="BG35" s="444"/>
      <c r="BH35" s="444"/>
      <c r="BI35" s="444"/>
      <c r="BJ35" s="444"/>
      <c r="BK35" s="444"/>
      <c r="BL35" s="444"/>
      <c r="BM35" s="444"/>
      <c r="BN35" s="444"/>
      <c r="BO35" s="444"/>
      <c r="BP35" s="444"/>
      <c r="BQ35" s="444"/>
      <c r="BR35" s="444"/>
      <c r="BS35" s="444"/>
      <c r="BT35" s="444"/>
    </row>
    <row r="36" spans="1:72" s="443" customFormat="1" ht="12.5" customHeight="1">
      <c r="A36" s="393"/>
      <c r="B36" s="418"/>
      <c r="C36" s="423"/>
      <c r="D36" s="419"/>
      <c r="E36" s="419"/>
      <c r="F36" s="419"/>
      <c r="G36" s="421"/>
      <c r="H36" s="431"/>
      <c r="I36" s="431"/>
      <c r="J36" s="431"/>
      <c r="K36" s="431"/>
      <c r="L36" s="431"/>
      <c r="M36" s="431"/>
      <c r="N36" s="431"/>
      <c r="O36" s="431"/>
      <c r="P36" s="431"/>
      <c r="Q36" s="431"/>
      <c r="R36" s="431"/>
      <c r="S36" s="431"/>
      <c r="T36" s="431"/>
      <c r="U36" s="431"/>
      <c r="V36" s="431"/>
      <c r="W36" s="431"/>
      <c r="X36" s="431"/>
      <c r="Y36" s="431"/>
      <c r="Z36" s="431"/>
      <c r="AA36" s="431"/>
      <c r="AB36" s="431"/>
      <c r="AC36" s="431"/>
      <c r="AD36" s="431"/>
      <c r="AE36" s="431"/>
      <c r="AF36" s="431"/>
      <c r="AG36" s="431"/>
      <c r="AH36" s="431"/>
      <c r="AI36" s="431"/>
      <c r="AJ36" s="431"/>
      <c r="AK36" s="431"/>
      <c r="AL36" s="431"/>
      <c r="AM36" s="431"/>
      <c r="AN36" s="431"/>
      <c r="AO36" s="431"/>
      <c r="AP36" s="431"/>
      <c r="AQ36" s="431"/>
      <c r="AR36" s="431"/>
      <c r="AS36" s="431"/>
      <c r="AT36" s="425"/>
      <c r="AU36" s="421"/>
      <c r="AV36" s="421"/>
      <c r="AW36" s="421"/>
      <c r="AX36" s="421"/>
      <c r="AY36" s="417"/>
      <c r="AZ36" s="422"/>
      <c r="BA36" s="422"/>
      <c r="BB36" s="389"/>
      <c r="BC36" s="390"/>
      <c r="BD36" s="391"/>
      <c r="BE36" s="444"/>
      <c r="BF36" s="444"/>
      <c r="BG36" s="444"/>
      <c r="BH36" s="444"/>
      <c r="BI36" s="444"/>
      <c r="BJ36" s="444"/>
      <c r="BK36" s="444"/>
      <c r="BL36" s="444"/>
      <c r="BM36" s="444"/>
      <c r="BN36" s="444"/>
      <c r="BO36" s="444"/>
      <c r="BP36" s="444"/>
      <c r="BQ36" s="444"/>
      <c r="BR36" s="444"/>
      <c r="BS36" s="444"/>
      <c r="BT36" s="444"/>
    </row>
    <row r="37" spans="1:72" s="443" customFormat="1" ht="12.5" customHeight="1">
      <c r="A37" s="393"/>
      <c r="B37" s="426"/>
      <c r="C37" s="420"/>
      <c r="D37" s="420"/>
      <c r="E37" s="420"/>
      <c r="F37" s="420"/>
      <c r="G37" s="420"/>
      <c r="H37" s="420"/>
      <c r="I37" s="420"/>
      <c r="J37" s="420"/>
      <c r="K37" s="420"/>
      <c r="L37" s="420"/>
      <c r="M37" s="420"/>
      <c r="N37" s="420"/>
      <c r="O37" s="420"/>
      <c r="P37" s="420"/>
      <c r="Q37" s="420"/>
      <c r="R37" s="420"/>
      <c r="S37" s="420"/>
      <c r="T37" s="420"/>
      <c r="U37" s="420"/>
      <c r="V37" s="420"/>
      <c r="W37" s="420"/>
      <c r="X37" s="420"/>
      <c r="Y37" s="420"/>
      <c r="Z37" s="420"/>
      <c r="AA37" s="420"/>
      <c r="AB37" s="420"/>
      <c r="AC37" s="420"/>
      <c r="AD37" s="420"/>
      <c r="AE37" s="420"/>
      <c r="AF37" s="420"/>
      <c r="AG37" s="420"/>
      <c r="AH37" s="420"/>
      <c r="AI37" s="420"/>
      <c r="AJ37" s="420"/>
      <c r="AK37" s="420"/>
      <c r="AL37" s="420"/>
      <c r="AM37" s="420"/>
      <c r="AN37" s="420"/>
      <c r="AO37" s="420"/>
      <c r="AP37" s="420"/>
      <c r="AQ37" s="420"/>
      <c r="AR37" s="420"/>
      <c r="AS37" s="420"/>
      <c r="AT37" s="420"/>
      <c r="AU37" s="420"/>
      <c r="AV37" s="420"/>
      <c r="AW37" s="420"/>
      <c r="AX37" s="420"/>
      <c r="AY37" s="420"/>
      <c r="AZ37" s="422"/>
      <c r="BA37" s="422"/>
      <c r="BB37" s="389"/>
      <c r="BC37" s="390"/>
      <c r="BD37" s="391"/>
      <c r="BE37" s="444"/>
      <c r="BF37" s="444"/>
      <c r="BG37" s="444"/>
      <c r="BH37" s="444"/>
      <c r="BI37" s="444"/>
      <c r="BJ37" s="444"/>
      <c r="BK37" s="444"/>
      <c r="BL37" s="444"/>
      <c r="BM37" s="444"/>
      <c r="BN37" s="444"/>
      <c r="BO37" s="444"/>
      <c r="BP37" s="444"/>
      <c r="BQ37" s="444"/>
      <c r="BR37" s="444"/>
      <c r="BS37" s="444"/>
      <c r="BT37" s="444"/>
    </row>
    <row r="38" spans="1:72" s="443" customFormat="1" ht="15">
      <c r="A38" s="393"/>
      <c r="B38" s="451"/>
      <c r="C38" s="452"/>
      <c r="D38" s="452"/>
      <c r="E38" s="452"/>
      <c r="F38" s="452"/>
      <c r="G38" s="452"/>
      <c r="H38" s="452"/>
      <c r="I38" s="452"/>
      <c r="J38" s="452"/>
      <c r="K38" s="452"/>
      <c r="L38" s="452"/>
      <c r="M38" s="452"/>
      <c r="N38" s="452"/>
      <c r="O38" s="452"/>
      <c r="P38" s="452"/>
      <c r="Q38" s="452"/>
      <c r="R38" s="452"/>
      <c r="S38" s="453"/>
      <c r="T38" s="453"/>
      <c r="U38" s="453"/>
      <c r="V38" s="453"/>
      <c r="W38" s="452"/>
      <c r="X38" s="452"/>
      <c r="Y38" s="453"/>
      <c r="Z38" s="453"/>
      <c r="AA38" s="452"/>
      <c r="AB38" s="452"/>
      <c r="AC38" s="452"/>
      <c r="AD38" s="453"/>
      <c r="AE38" s="453"/>
      <c r="AF38" s="453"/>
      <c r="AG38" s="453"/>
      <c r="AH38" s="453"/>
      <c r="AI38" s="453"/>
      <c r="AJ38" s="453"/>
      <c r="AK38" s="453"/>
      <c r="AL38" s="453"/>
      <c r="AM38" s="453"/>
      <c r="AN38" s="453"/>
      <c r="AO38" s="453"/>
      <c r="AP38" s="453"/>
      <c r="AQ38" s="453"/>
      <c r="AR38" s="453"/>
      <c r="AS38" s="453"/>
      <c r="AT38" s="453"/>
      <c r="AU38" s="453"/>
      <c r="AV38" s="453"/>
      <c r="AW38" s="453"/>
      <c r="AX38" s="453"/>
      <c r="AY38" s="451"/>
      <c r="AZ38" s="451"/>
      <c r="BA38" s="422"/>
      <c r="BB38" s="454"/>
      <c r="BC38" s="455"/>
      <c r="BD38" s="407"/>
      <c r="BE38" s="444"/>
      <c r="BF38" s="444"/>
      <c r="BG38" s="444"/>
      <c r="BH38" s="444"/>
      <c r="BI38" s="444"/>
      <c r="BJ38" s="444"/>
      <c r="BK38" s="444"/>
      <c r="BL38" s="444"/>
      <c r="BM38" s="444"/>
      <c r="BN38" s="444"/>
      <c r="BO38" s="444"/>
      <c r="BP38" s="444"/>
      <c r="BQ38" s="444"/>
      <c r="BR38" s="444"/>
      <c r="BS38" s="444"/>
      <c r="BT38" s="444"/>
    </row>
    <row r="39" spans="1:72" s="443" customFormat="1" ht="15">
      <c r="A39" s="408"/>
      <c r="B39" s="448"/>
      <c r="C39" s="449"/>
      <c r="D39" s="449"/>
      <c r="E39" s="449"/>
      <c r="F39" s="449"/>
      <c r="G39" s="449"/>
      <c r="H39" s="449"/>
      <c r="I39" s="449"/>
      <c r="J39" s="449"/>
      <c r="K39" s="449"/>
      <c r="L39" s="449"/>
      <c r="M39" s="449"/>
      <c r="N39" s="449"/>
      <c r="O39" s="449"/>
      <c r="P39" s="449"/>
      <c r="Q39" s="449"/>
      <c r="R39" s="449"/>
      <c r="S39" s="450"/>
      <c r="T39" s="450"/>
      <c r="U39" s="450"/>
      <c r="V39" s="450"/>
      <c r="W39" s="449"/>
      <c r="X39" s="449"/>
      <c r="Y39" s="450"/>
      <c r="Z39" s="450"/>
      <c r="AA39" s="449"/>
      <c r="AB39" s="449"/>
      <c r="AC39" s="449"/>
      <c r="AD39" s="450"/>
      <c r="AE39" s="450"/>
      <c r="AF39" s="450"/>
      <c r="AG39" s="450"/>
      <c r="AH39" s="450"/>
      <c r="AI39" s="450"/>
      <c r="AJ39" s="450"/>
      <c r="AK39" s="450"/>
      <c r="AL39" s="450"/>
      <c r="AM39" s="450"/>
      <c r="AN39" s="450"/>
      <c r="AO39" s="450"/>
      <c r="AP39" s="450"/>
      <c r="AQ39" s="450"/>
      <c r="AR39" s="450"/>
      <c r="AS39" s="450"/>
      <c r="AT39" s="450"/>
      <c r="AU39" s="450"/>
      <c r="AV39" s="450"/>
      <c r="AW39" s="450"/>
      <c r="AX39" s="450"/>
      <c r="AY39" s="448"/>
      <c r="AZ39" s="448"/>
      <c r="BA39" s="430"/>
      <c r="BB39" s="456"/>
      <c r="BC39" s="406"/>
      <c r="BD39" s="407"/>
      <c r="BE39" s="444"/>
      <c r="BF39" s="444"/>
      <c r="BG39" s="444"/>
      <c r="BH39" s="444"/>
      <c r="BI39" s="444"/>
      <c r="BJ39" s="444"/>
      <c r="BK39" s="444"/>
      <c r="BL39" s="444"/>
      <c r="BM39" s="444"/>
      <c r="BN39" s="444"/>
      <c r="BO39" s="444"/>
      <c r="BP39" s="444"/>
      <c r="BQ39" s="444"/>
      <c r="BR39" s="444"/>
      <c r="BS39" s="444"/>
      <c r="BT39" s="444"/>
    </row>
    <row r="40" spans="1:72" s="443" customFormat="1" ht="15">
      <c r="A40" s="392"/>
      <c r="B40" s="392"/>
      <c r="C40" s="392"/>
      <c r="D40" s="392"/>
      <c r="E40" s="392"/>
      <c r="F40" s="392"/>
      <c r="G40" s="392"/>
      <c r="H40" s="392"/>
      <c r="I40" s="392"/>
      <c r="J40" s="392"/>
      <c r="K40" s="392"/>
      <c r="L40" s="392"/>
      <c r="M40" s="392"/>
      <c r="N40" s="392"/>
      <c r="O40" s="392"/>
      <c r="P40" s="392"/>
      <c r="Q40" s="392"/>
      <c r="R40" s="392"/>
      <c r="S40" s="409"/>
      <c r="T40" s="409"/>
      <c r="U40" s="409"/>
      <c r="V40" s="409"/>
      <c r="W40" s="392"/>
      <c r="X40" s="392"/>
      <c r="Y40" s="409"/>
      <c r="Z40" s="409"/>
      <c r="AA40" s="392"/>
      <c r="AB40" s="392"/>
      <c r="AC40" s="392"/>
      <c r="AD40" s="409"/>
      <c r="AE40" s="409"/>
      <c r="AF40" s="409"/>
      <c r="AG40" s="409"/>
      <c r="AH40" s="409"/>
      <c r="AI40" s="409"/>
      <c r="AJ40" s="409"/>
      <c r="AK40" s="409"/>
      <c r="AL40" s="409"/>
      <c r="AM40" s="409"/>
      <c r="AN40" s="409"/>
      <c r="AO40" s="409"/>
      <c r="AP40" s="409"/>
      <c r="AQ40" s="409"/>
      <c r="AR40" s="409"/>
      <c r="AS40" s="409"/>
      <c r="AT40" s="409"/>
      <c r="AU40" s="409"/>
      <c r="AV40" s="409"/>
      <c r="AW40" s="409"/>
      <c r="AX40" s="409"/>
      <c r="AY40" s="409"/>
      <c r="AZ40" s="409"/>
      <c r="BA40" s="409"/>
      <c r="BB40" s="409"/>
      <c r="BC40" s="409"/>
      <c r="BD40" s="407"/>
      <c r="BE40" s="444"/>
      <c r="BF40" s="444"/>
      <c r="BG40" s="444"/>
      <c r="BH40" s="444"/>
      <c r="BI40" s="444"/>
      <c r="BJ40" s="444"/>
      <c r="BK40" s="444"/>
      <c r="BL40" s="444"/>
      <c r="BM40" s="444"/>
      <c r="BN40" s="444"/>
      <c r="BO40" s="444"/>
      <c r="BP40" s="444"/>
      <c r="BQ40" s="444"/>
      <c r="BR40" s="444"/>
      <c r="BS40" s="444"/>
      <c r="BT40" s="444"/>
    </row>
    <row r="41" spans="1:72" s="443" customFormat="1" ht="15">
      <c r="A41" s="392"/>
      <c r="B41" s="392"/>
      <c r="C41" s="392"/>
      <c r="D41" s="392"/>
      <c r="E41" s="392"/>
      <c r="F41" s="392"/>
      <c r="G41" s="392"/>
      <c r="H41" s="392"/>
      <c r="I41" s="392"/>
      <c r="J41" s="392"/>
      <c r="K41" s="392"/>
      <c r="L41" s="392"/>
      <c r="M41" s="392"/>
      <c r="N41" s="392"/>
      <c r="O41" s="392"/>
      <c r="P41" s="392"/>
      <c r="Q41" s="392"/>
      <c r="R41" s="392"/>
      <c r="S41" s="409"/>
      <c r="T41" s="409"/>
      <c r="U41" s="409"/>
      <c r="V41" s="409"/>
      <c r="W41" s="392"/>
      <c r="X41" s="392"/>
      <c r="Y41" s="409"/>
      <c r="Z41" s="409"/>
      <c r="AA41" s="392"/>
      <c r="AB41" s="392"/>
      <c r="AC41" s="392"/>
      <c r="AD41" s="409"/>
      <c r="AE41" s="409"/>
      <c r="AF41" s="409"/>
      <c r="AG41" s="409"/>
      <c r="AH41" s="409"/>
      <c r="AI41" s="409"/>
      <c r="AJ41" s="409"/>
      <c r="AK41" s="409"/>
      <c r="AL41" s="409"/>
      <c r="AM41" s="409"/>
      <c r="AN41" s="409"/>
      <c r="AO41" s="409"/>
      <c r="AP41" s="409"/>
      <c r="AQ41" s="409"/>
      <c r="AR41" s="409"/>
      <c r="AS41" s="409"/>
      <c r="AT41" s="409"/>
      <c r="AU41" s="409"/>
      <c r="AV41" s="409"/>
      <c r="AW41" s="409"/>
      <c r="AX41" s="409"/>
      <c r="AY41" s="409"/>
      <c r="AZ41" s="409"/>
      <c r="BA41" s="409"/>
      <c r="BB41" s="409"/>
      <c r="BC41" s="409"/>
      <c r="BD41" s="407"/>
      <c r="BE41" s="444"/>
      <c r="BF41" s="444"/>
      <c r="BG41" s="444"/>
      <c r="BH41" s="444"/>
      <c r="BI41" s="444"/>
      <c r="BJ41" s="444"/>
      <c r="BK41" s="444"/>
      <c r="BL41" s="444"/>
      <c r="BM41" s="444"/>
      <c r="BN41" s="444"/>
      <c r="BO41" s="444"/>
      <c r="BP41" s="444"/>
      <c r="BQ41" s="444"/>
      <c r="BR41" s="444"/>
      <c r="BS41" s="444"/>
      <c r="BT41" s="444"/>
    </row>
    <row r="42" spans="1:72" s="443" customFormat="1" ht="15">
      <c r="A42" s="392"/>
      <c r="B42" s="392"/>
      <c r="C42" s="392"/>
      <c r="D42" s="392"/>
      <c r="E42" s="392"/>
      <c r="F42" s="392"/>
      <c r="G42" s="392"/>
      <c r="H42" s="392"/>
      <c r="I42" s="392"/>
      <c r="J42" s="392"/>
      <c r="K42" s="392"/>
      <c r="L42" s="392"/>
      <c r="M42" s="392"/>
      <c r="N42" s="392"/>
      <c r="O42" s="392"/>
      <c r="P42" s="392"/>
      <c r="Q42" s="392"/>
      <c r="R42" s="392"/>
      <c r="S42" s="409"/>
      <c r="T42" s="409"/>
      <c r="U42" s="409"/>
      <c r="V42" s="409"/>
      <c r="W42" s="392"/>
      <c r="X42" s="392"/>
      <c r="Y42" s="409"/>
      <c r="Z42" s="409"/>
      <c r="AA42" s="392"/>
      <c r="AB42" s="392"/>
      <c r="AC42" s="392"/>
      <c r="AD42" s="409"/>
      <c r="AE42" s="409"/>
      <c r="AF42" s="409"/>
      <c r="AG42" s="409"/>
      <c r="AH42" s="409"/>
      <c r="AI42" s="409"/>
      <c r="AJ42" s="409"/>
      <c r="AK42" s="409"/>
      <c r="AL42" s="409"/>
      <c r="AM42" s="409"/>
      <c r="AN42" s="409"/>
      <c r="AO42" s="409"/>
      <c r="AP42" s="409"/>
      <c r="AQ42" s="409"/>
      <c r="AR42" s="409"/>
      <c r="AS42" s="409"/>
      <c r="AT42" s="409"/>
      <c r="AU42" s="409"/>
      <c r="AV42" s="409"/>
      <c r="AW42" s="409"/>
      <c r="AX42" s="409"/>
      <c r="AY42" s="409"/>
      <c r="AZ42" s="409"/>
      <c r="BA42" s="409"/>
      <c r="BB42" s="409"/>
      <c r="BC42" s="409"/>
      <c r="BD42" s="407"/>
      <c r="BE42" s="444"/>
      <c r="BF42" s="444"/>
      <c r="BG42" s="444"/>
      <c r="BH42" s="444"/>
      <c r="BI42" s="444"/>
      <c r="BJ42" s="444"/>
      <c r="BK42" s="444"/>
      <c r="BL42" s="444"/>
      <c r="BM42" s="444"/>
      <c r="BN42" s="444"/>
      <c r="BO42" s="444"/>
      <c r="BP42" s="444"/>
      <c r="BQ42" s="444"/>
      <c r="BR42" s="444"/>
      <c r="BS42" s="444"/>
      <c r="BT42" s="444"/>
    </row>
    <row r="43" spans="1:72" s="443" customFormat="1" ht="15">
      <c r="A43" s="392"/>
      <c r="B43" s="392"/>
      <c r="C43" s="392"/>
      <c r="D43" s="392"/>
      <c r="E43" s="392"/>
      <c r="F43" s="392"/>
      <c r="G43" s="392"/>
      <c r="H43" s="392"/>
      <c r="I43" s="392"/>
      <c r="J43" s="392"/>
      <c r="K43" s="392"/>
      <c r="L43" s="392"/>
      <c r="M43" s="392"/>
      <c r="N43" s="392"/>
      <c r="O43" s="392"/>
      <c r="P43" s="392"/>
      <c r="Q43" s="392"/>
      <c r="R43" s="392"/>
      <c r="S43" s="409"/>
      <c r="T43" s="409"/>
      <c r="U43" s="409"/>
      <c r="V43" s="409"/>
      <c r="W43" s="392"/>
      <c r="X43" s="392"/>
      <c r="Y43" s="409"/>
      <c r="Z43" s="409"/>
      <c r="AA43" s="392"/>
      <c r="AB43" s="392"/>
      <c r="AC43" s="392"/>
      <c r="AD43" s="409"/>
      <c r="AE43" s="409"/>
      <c r="AF43" s="409"/>
      <c r="AG43" s="409"/>
      <c r="AH43" s="409"/>
      <c r="AI43" s="409"/>
      <c r="AJ43" s="409"/>
      <c r="AK43" s="409"/>
      <c r="AL43" s="409"/>
      <c r="AM43" s="409"/>
      <c r="AN43" s="409"/>
      <c r="AO43" s="409"/>
      <c r="AP43" s="409"/>
      <c r="AQ43" s="409"/>
      <c r="AR43" s="409"/>
      <c r="AS43" s="409"/>
      <c r="AT43" s="409"/>
      <c r="AU43" s="409"/>
      <c r="AV43" s="409"/>
      <c r="AW43" s="409"/>
      <c r="AX43" s="409"/>
      <c r="AY43" s="409"/>
      <c r="AZ43" s="409"/>
      <c r="BA43" s="409"/>
      <c r="BB43" s="409"/>
      <c r="BC43" s="409"/>
      <c r="BD43" s="407"/>
      <c r="BE43" s="444"/>
      <c r="BF43" s="444"/>
      <c r="BG43" s="444"/>
      <c r="BH43" s="444"/>
      <c r="BI43" s="444"/>
      <c r="BJ43" s="444"/>
      <c r="BK43" s="444"/>
      <c r="BL43" s="444"/>
      <c r="BM43" s="444"/>
      <c r="BN43" s="444"/>
      <c r="BO43" s="444"/>
      <c r="BP43" s="444"/>
      <c r="BQ43" s="444"/>
      <c r="BR43" s="444"/>
      <c r="BS43" s="444"/>
      <c r="BT43" s="444"/>
    </row>
    <row r="44" spans="1:72" s="443" customFormat="1" ht="15">
      <c r="A44" s="392"/>
      <c r="B44" s="392"/>
      <c r="C44" s="392"/>
      <c r="D44" s="392"/>
      <c r="E44" s="392"/>
      <c r="F44" s="392"/>
      <c r="G44" s="392"/>
      <c r="H44" s="392"/>
      <c r="I44" s="392"/>
      <c r="J44" s="392"/>
      <c r="K44" s="392"/>
      <c r="L44" s="392"/>
      <c r="M44" s="392"/>
      <c r="N44" s="392"/>
      <c r="O44" s="392"/>
      <c r="P44" s="392"/>
      <c r="Q44" s="392"/>
      <c r="R44" s="392"/>
      <c r="S44" s="409"/>
      <c r="T44" s="409"/>
      <c r="U44" s="409"/>
      <c r="V44" s="409"/>
      <c r="W44" s="392"/>
      <c r="X44" s="392"/>
      <c r="Y44" s="409"/>
      <c r="Z44" s="409"/>
      <c r="AA44" s="392"/>
      <c r="AB44" s="392"/>
      <c r="AC44" s="392"/>
      <c r="AD44" s="409"/>
      <c r="AE44" s="409"/>
      <c r="AF44" s="409"/>
      <c r="AG44" s="409"/>
      <c r="AH44" s="409"/>
      <c r="AI44" s="409"/>
      <c r="AJ44" s="409"/>
      <c r="AK44" s="409"/>
      <c r="AL44" s="409"/>
      <c r="AM44" s="409"/>
      <c r="AN44" s="409"/>
      <c r="AO44" s="409"/>
      <c r="AP44" s="409"/>
      <c r="AQ44" s="409"/>
      <c r="AR44" s="409"/>
      <c r="AS44" s="409"/>
      <c r="AT44" s="409"/>
      <c r="AU44" s="409"/>
      <c r="AV44" s="409"/>
      <c r="AW44" s="409"/>
      <c r="AX44" s="409"/>
      <c r="AY44" s="409"/>
      <c r="AZ44" s="409"/>
      <c r="BA44" s="409"/>
      <c r="BB44" s="409"/>
      <c r="BC44" s="409"/>
      <c r="BD44" s="407"/>
      <c r="BE44" s="444"/>
      <c r="BF44" s="444"/>
      <c r="BG44" s="444"/>
      <c r="BH44" s="444"/>
      <c r="BI44" s="444"/>
      <c r="BJ44" s="444"/>
      <c r="BK44" s="444"/>
      <c r="BL44" s="444"/>
      <c r="BM44" s="444"/>
      <c r="BN44" s="444"/>
      <c r="BO44" s="444"/>
      <c r="BP44" s="444"/>
      <c r="BQ44" s="444"/>
      <c r="BR44" s="444"/>
      <c r="BS44" s="444"/>
      <c r="BT44" s="444"/>
    </row>
    <row r="45" spans="1:72" s="443" customFormat="1" ht="15">
      <c r="A45" s="392"/>
      <c r="B45" s="392"/>
      <c r="C45" s="392"/>
      <c r="D45" s="392"/>
      <c r="E45" s="392"/>
      <c r="F45" s="392"/>
      <c r="G45" s="392"/>
      <c r="H45" s="392"/>
      <c r="I45" s="392"/>
      <c r="J45" s="392"/>
      <c r="K45" s="392"/>
      <c r="L45" s="392"/>
      <c r="M45" s="392"/>
      <c r="N45" s="392"/>
      <c r="O45" s="392"/>
      <c r="P45" s="392"/>
      <c r="Q45" s="392"/>
      <c r="R45" s="392"/>
      <c r="S45" s="409"/>
      <c r="T45" s="409"/>
      <c r="U45" s="409"/>
      <c r="V45" s="409"/>
      <c r="W45" s="392"/>
      <c r="X45" s="392"/>
      <c r="Y45" s="409"/>
      <c r="Z45" s="409"/>
      <c r="AA45" s="392"/>
      <c r="AB45" s="392"/>
      <c r="AC45" s="392"/>
      <c r="AD45" s="409"/>
      <c r="AE45" s="409"/>
      <c r="AF45" s="409"/>
      <c r="AG45" s="409"/>
      <c r="AH45" s="409"/>
      <c r="AI45" s="409"/>
      <c r="AJ45" s="409"/>
      <c r="AK45" s="409"/>
      <c r="AL45" s="409"/>
      <c r="AM45" s="409"/>
      <c r="AN45" s="409"/>
      <c r="AO45" s="409"/>
      <c r="AP45" s="409"/>
      <c r="AQ45" s="409"/>
      <c r="AR45" s="409"/>
      <c r="AS45" s="409"/>
      <c r="AT45" s="409"/>
      <c r="AU45" s="409"/>
      <c r="AV45" s="409"/>
      <c r="AW45" s="409"/>
      <c r="AX45" s="409"/>
      <c r="AY45" s="409"/>
      <c r="AZ45" s="409"/>
      <c r="BA45" s="409"/>
      <c r="BB45" s="409"/>
      <c r="BC45" s="409"/>
      <c r="BD45" s="407"/>
      <c r="BE45" s="444"/>
      <c r="BF45" s="444"/>
      <c r="BG45" s="444"/>
      <c r="BH45" s="444"/>
      <c r="BI45" s="444"/>
      <c r="BJ45" s="444"/>
      <c r="BK45" s="444"/>
      <c r="BL45" s="444"/>
      <c r="BM45" s="444"/>
      <c r="BN45" s="444"/>
      <c r="BO45" s="444"/>
      <c r="BP45" s="444"/>
      <c r="BQ45" s="444"/>
      <c r="BR45" s="444"/>
      <c r="BS45" s="444"/>
      <c r="BT45" s="444"/>
    </row>
    <row r="46" spans="1:72" s="443" customFormat="1" ht="15">
      <c r="A46" s="392"/>
      <c r="B46" s="392"/>
      <c r="C46" s="392"/>
      <c r="D46" s="392"/>
      <c r="E46" s="392"/>
      <c r="F46" s="392"/>
      <c r="G46" s="392"/>
      <c r="H46" s="392"/>
      <c r="I46" s="392"/>
      <c r="J46" s="392"/>
      <c r="K46" s="392"/>
      <c r="L46" s="392"/>
      <c r="M46" s="392"/>
      <c r="N46" s="392"/>
      <c r="O46" s="392"/>
      <c r="P46" s="392"/>
      <c r="Q46" s="392"/>
      <c r="R46" s="392"/>
      <c r="S46" s="409"/>
      <c r="T46" s="409"/>
      <c r="U46" s="409"/>
      <c r="V46" s="409"/>
      <c r="W46" s="392"/>
      <c r="X46" s="392"/>
      <c r="Y46" s="409"/>
      <c r="Z46" s="409"/>
      <c r="AA46" s="392"/>
      <c r="AB46" s="392"/>
      <c r="AC46" s="392"/>
      <c r="AD46" s="409"/>
      <c r="AE46" s="409"/>
      <c r="AF46" s="409"/>
      <c r="AG46" s="409"/>
      <c r="AH46" s="409"/>
      <c r="AI46" s="409"/>
      <c r="AJ46" s="409"/>
      <c r="AK46" s="409"/>
      <c r="AL46" s="409"/>
      <c r="AM46" s="409"/>
      <c r="AN46" s="409"/>
      <c r="AO46" s="409"/>
      <c r="AP46" s="409"/>
      <c r="AQ46" s="409"/>
      <c r="AR46" s="409"/>
      <c r="AS46" s="409"/>
      <c r="AT46" s="409"/>
      <c r="AU46" s="409"/>
      <c r="AV46" s="409"/>
      <c r="AW46" s="409"/>
      <c r="AX46" s="409"/>
      <c r="AY46" s="409"/>
      <c r="AZ46" s="409"/>
      <c r="BA46" s="409"/>
      <c r="BB46" s="409"/>
      <c r="BC46" s="409"/>
      <c r="BD46" s="407"/>
      <c r="BE46" s="444"/>
      <c r="BF46" s="444"/>
      <c r="BG46" s="444"/>
      <c r="BH46" s="444"/>
      <c r="BI46" s="444"/>
      <c r="BJ46" s="444"/>
      <c r="BK46" s="444"/>
      <c r="BL46" s="444"/>
      <c r="BM46" s="444"/>
      <c r="BN46" s="444"/>
      <c r="BO46" s="444"/>
      <c r="BP46" s="444"/>
      <c r="BQ46" s="444"/>
      <c r="BR46" s="444"/>
      <c r="BS46" s="444"/>
      <c r="BT46" s="444"/>
    </row>
    <row r="47" spans="1:72" s="443" customFormat="1" ht="15">
      <c r="A47" s="392"/>
      <c r="B47" s="392"/>
      <c r="C47" s="392"/>
      <c r="D47" s="392"/>
      <c r="E47" s="392"/>
      <c r="F47" s="392"/>
      <c r="G47" s="392"/>
      <c r="H47" s="392"/>
      <c r="I47" s="392"/>
      <c r="J47" s="392"/>
      <c r="K47" s="392"/>
      <c r="L47" s="392"/>
      <c r="M47" s="392"/>
      <c r="N47" s="392"/>
      <c r="O47" s="392"/>
      <c r="P47" s="392"/>
      <c r="Q47" s="392"/>
      <c r="R47" s="392"/>
      <c r="S47" s="409"/>
      <c r="T47" s="409"/>
      <c r="U47" s="409"/>
      <c r="V47" s="409"/>
      <c r="W47" s="392"/>
      <c r="X47" s="392"/>
      <c r="Y47" s="409"/>
      <c r="Z47" s="409"/>
      <c r="AA47" s="392"/>
      <c r="AB47" s="392"/>
      <c r="AC47" s="392"/>
      <c r="AD47" s="409"/>
      <c r="AE47" s="409"/>
      <c r="AF47" s="409"/>
      <c r="AG47" s="409"/>
      <c r="AH47" s="409"/>
      <c r="AI47" s="409"/>
      <c r="AJ47" s="409"/>
      <c r="AK47" s="409"/>
      <c r="AL47" s="409"/>
      <c r="AM47" s="409"/>
      <c r="AN47" s="409"/>
      <c r="AO47" s="409"/>
      <c r="AP47" s="409"/>
      <c r="AQ47" s="409"/>
      <c r="AR47" s="409"/>
      <c r="AS47" s="409"/>
      <c r="AT47" s="409"/>
      <c r="AU47" s="409"/>
      <c r="AV47" s="409"/>
      <c r="AW47" s="409"/>
      <c r="AX47" s="409"/>
      <c r="AY47" s="409"/>
      <c r="AZ47" s="409"/>
      <c r="BA47" s="409"/>
      <c r="BB47" s="409"/>
      <c r="BC47" s="409"/>
      <c r="BD47" s="407"/>
      <c r="BE47" s="444"/>
      <c r="BF47" s="444"/>
      <c r="BG47" s="444"/>
      <c r="BH47" s="444"/>
      <c r="BI47" s="444"/>
      <c r="BJ47" s="444"/>
      <c r="BK47" s="444"/>
      <c r="BL47" s="444"/>
      <c r="BM47" s="444"/>
      <c r="BN47" s="444"/>
      <c r="BO47" s="444"/>
      <c r="BP47" s="444"/>
      <c r="BQ47" s="444"/>
      <c r="BR47" s="444"/>
      <c r="BS47" s="444"/>
      <c r="BT47" s="444"/>
    </row>
    <row r="48" spans="1:72" s="443" customFormat="1" ht="15">
      <c r="A48" s="392"/>
      <c r="B48" s="392"/>
      <c r="C48" s="392"/>
      <c r="D48" s="392"/>
      <c r="E48" s="392"/>
      <c r="F48" s="392"/>
      <c r="G48" s="392"/>
      <c r="H48" s="392"/>
      <c r="I48" s="392"/>
      <c r="J48" s="392"/>
      <c r="K48" s="392"/>
      <c r="L48" s="392"/>
      <c r="M48" s="392"/>
      <c r="N48" s="392"/>
      <c r="O48" s="392"/>
      <c r="P48" s="392"/>
      <c r="Q48" s="392"/>
      <c r="R48" s="392"/>
      <c r="S48" s="409"/>
      <c r="T48" s="409"/>
      <c r="U48" s="409"/>
      <c r="V48" s="409"/>
      <c r="W48" s="392"/>
      <c r="X48" s="392"/>
      <c r="Y48" s="409"/>
      <c r="Z48" s="409"/>
      <c r="AA48" s="392"/>
      <c r="AB48" s="392"/>
      <c r="AC48" s="392"/>
      <c r="AD48" s="409"/>
      <c r="AE48" s="409"/>
      <c r="AF48" s="409"/>
      <c r="AG48" s="409"/>
      <c r="AH48" s="409"/>
      <c r="AI48" s="409"/>
      <c r="AJ48" s="409"/>
      <c r="AK48" s="409"/>
      <c r="AL48" s="409"/>
      <c r="AM48" s="409"/>
      <c r="AN48" s="409"/>
      <c r="AO48" s="409"/>
      <c r="AP48" s="409"/>
      <c r="AQ48" s="409"/>
      <c r="AR48" s="409"/>
      <c r="AS48" s="409"/>
      <c r="AT48" s="409"/>
      <c r="AU48" s="409"/>
      <c r="AV48" s="409"/>
      <c r="AW48" s="409"/>
      <c r="AX48" s="409"/>
      <c r="AY48" s="409"/>
      <c r="AZ48" s="409"/>
      <c r="BA48" s="409"/>
      <c r="BB48" s="409"/>
      <c r="BC48" s="409"/>
      <c r="BD48" s="407"/>
      <c r="BE48" s="444"/>
      <c r="BF48" s="444"/>
      <c r="BG48" s="444"/>
      <c r="BH48" s="444"/>
      <c r="BI48" s="444"/>
      <c r="BJ48" s="444"/>
      <c r="BK48" s="444"/>
      <c r="BL48" s="444"/>
      <c r="BM48" s="444"/>
      <c r="BN48" s="444"/>
      <c r="BO48" s="444"/>
      <c r="BP48" s="444"/>
      <c r="BQ48" s="444"/>
      <c r="BR48" s="444"/>
      <c r="BS48" s="444"/>
      <c r="BT48" s="444"/>
    </row>
    <row r="49" spans="1:72" s="443" customFormat="1" ht="15">
      <c r="A49" s="392"/>
      <c r="B49" s="392"/>
      <c r="C49" s="392"/>
      <c r="D49" s="392"/>
      <c r="E49" s="392"/>
      <c r="F49" s="392"/>
      <c r="G49" s="392"/>
      <c r="H49" s="392"/>
      <c r="I49" s="392"/>
      <c r="J49" s="392"/>
      <c r="K49" s="392"/>
      <c r="L49" s="392"/>
      <c r="M49" s="392"/>
      <c r="N49" s="392"/>
      <c r="O49" s="392"/>
      <c r="P49" s="392"/>
      <c r="Q49" s="392"/>
      <c r="R49" s="392"/>
      <c r="S49" s="409"/>
      <c r="T49" s="409"/>
      <c r="U49" s="409"/>
      <c r="V49" s="409"/>
      <c r="W49" s="392"/>
      <c r="X49" s="392"/>
      <c r="Y49" s="409"/>
      <c r="Z49" s="409"/>
      <c r="AA49" s="392"/>
      <c r="AB49" s="392"/>
      <c r="AC49" s="392"/>
      <c r="AD49" s="409"/>
      <c r="AE49" s="409"/>
      <c r="AF49" s="409"/>
      <c r="AG49" s="409"/>
      <c r="AH49" s="409"/>
      <c r="AI49" s="409"/>
      <c r="AJ49" s="409"/>
      <c r="AK49" s="409"/>
      <c r="AL49" s="409"/>
      <c r="AM49" s="409"/>
      <c r="AN49" s="409"/>
      <c r="AO49" s="409"/>
      <c r="AP49" s="409"/>
      <c r="AQ49" s="409"/>
      <c r="AR49" s="409"/>
      <c r="AS49" s="409"/>
      <c r="AT49" s="409"/>
      <c r="AU49" s="409"/>
      <c r="AV49" s="409"/>
      <c r="AW49" s="409"/>
      <c r="AX49" s="409"/>
      <c r="AY49" s="409"/>
      <c r="AZ49" s="409"/>
      <c r="BA49" s="409"/>
      <c r="BB49" s="409"/>
      <c r="BC49" s="409"/>
      <c r="BD49" s="407"/>
      <c r="BE49" s="444"/>
      <c r="BF49" s="444"/>
      <c r="BG49" s="444"/>
      <c r="BH49" s="444"/>
      <c r="BI49" s="444"/>
      <c r="BJ49" s="444"/>
      <c r="BK49" s="444"/>
      <c r="BL49" s="444"/>
      <c r="BM49" s="444"/>
      <c r="BN49" s="444"/>
      <c r="BO49" s="444"/>
      <c r="BP49" s="444"/>
      <c r="BQ49" s="444"/>
      <c r="BR49" s="444"/>
      <c r="BS49" s="444"/>
      <c r="BT49" s="444"/>
    </row>
    <row r="50" spans="1:72" s="443" customFormat="1" ht="15">
      <c r="A50" s="392"/>
      <c r="B50" s="392"/>
      <c r="C50" s="392"/>
      <c r="D50" s="392"/>
      <c r="E50" s="392"/>
      <c r="F50" s="392"/>
      <c r="G50" s="392"/>
      <c r="H50" s="392"/>
      <c r="I50" s="392"/>
      <c r="J50" s="392"/>
      <c r="K50" s="392"/>
      <c r="L50" s="392"/>
      <c r="M50" s="392"/>
      <c r="N50" s="392"/>
      <c r="O50" s="392"/>
      <c r="P50" s="392"/>
      <c r="Q50" s="392"/>
      <c r="R50" s="392"/>
      <c r="S50" s="409"/>
      <c r="T50" s="409"/>
      <c r="U50" s="409"/>
      <c r="V50" s="409"/>
      <c r="W50" s="392"/>
      <c r="X50" s="392"/>
      <c r="Y50" s="409"/>
      <c r="Z50" s="409"/>
      <c r="AA50" s="392"/>
      <c r="AB50" s="392"/>
      <c r="AC50" s="392"/>
      <c r="AD50" s="409"/>
      <c r="AE50" s="409"/>
      <c r="AF50" s="409"/>
      <c r="AG50" s="409"/>
      <c r="AH50" s="409"/>
      <c r="AI50" s="409"/>
      <c r="AJ50" s="409"/>
      <c r="AK50" s="409"/>
      <c r="AL50" s="409"/>
      <c r="AM50" s="409"/>
      <c r="AN50" s="409"/>
      <c r="AO50" s="409"/>
      <c r="AP50" s="409"/>
      <c r="AQ50" s="409"/>
      <c r="AR50" s="409"/>
      <c r="AS50" s="409"/>
      <c r="AT50" s="409"/>
      <c r="AU50" s="409"/>
      <c r="AV50" s="409"/>
      <c r="AW50" s="409"/>
      <c r="AX50" s="409"/>
      <c r="AY50" s="409"/>
      <c r="AZ50" s="409"/>
      <c r="BA50" s="409"/>
      <c r="BB50" s="409"/>
      <c r="BC50" s="409"/>
      <c r="BD50" s="407"/>
      <c r="BE50" s="444"/>
      <c r="BF50" s="444"/>
      <c r="BG50" s="444"/>
      <c r="BH50" s="444"/>
      <c r="BI50" s="444"/>
      <c r="BJ50" s="444"/>
      <c r="BK50" s="444"/>
      <c r="BL50" s="444"/>
      <c r="BM50" s="444"/>
      <c r="BN50" s="444"/>
      <c r="BO50" s="444"/>
      <c r="BP50" s="444"/>
      <c r="BQ50" s="444"/>
      <c r="BR50" s="444"/>
      <c r="BS50" s="444"/>
      <c r="BT50" s="444"/>
    </row>
    <row r="51" spans="1:72" s="443" customFormat="1" ht="15">
      <c r="A51" s="392"/>
      <c r="B51" s="392"/>
      <c r="C51" s="392"/>
      <c r="D51" s="392"/>
      <c r="E51" s="392"/>
      <c r="F51" s="392"/>
      <c r="G51" s="392"/>
      <c r="H51" s="392"/>
      <c r="I51" s="392"/>
      <c r="J51" s="392"/>
      <c r="K51" s="392"/>
      <c r="L51" s="392"/>
      <c r="M51" s="392"/>
      <c r="N51" s="392"/>
      <c r="O51" s="392"/>
      <c r="P51" s="392"/>
      <c r="Q51" s="392"/>
      <c r="R51" s="392"/>
      <c r="S51" s="409"/>
      <c r="T51" s="409"/>
      <c r="U51" s="409"/>
      <c r="V51" s="409"/>
      <c r="W51" s="392"/>
      <c r="X51" s="392"/>
      <c r="Y51" s="409"/>
      <c r="Z51" s="409"/>
      <c r="AA51" s="392"/>
      <c r="AB51" s="392"/>
      <c r="AC51" s="392"/>
      <c r="AD51" s="409"/>
      <c r="AE51" s="409"/>
      <c r="AF51" s="409"/>
      <c r="AG51" s="409"/>
      <c r="AH51" s="409"/>
      <c r="AI51" s="409"/>
      <c r="AJ51" s="409"/>
      <c r="AK51" s="409"/>
      <c r="AL51" s="409"/>
      <c r="AM51" s="409"/>
      <c r="AN51" s="409"/>
      <c r="AO51" s="409"/>
      <c r="AP51" s="409"/>
      <c r="AQ51" s="409"/>
      <c r="AR51" s="409"/>
      <c r="AS51" s="409"/>
      <c r="AT51" s="409"/>
      <c r="AU51" s="409"/>
      <c r="AV51" s="409"/>
      <c r="AW51" s="409"/>
      <c r="AX51" s="409"/>
      <c r="AY51" s="409"/>
      <c r="AZ51" s="409"/>
      <c r="BA51" s="409"/>
      <c r="BB51" s="409"/>
      <c r="BC51" s="409"/>
      <c r="BD51" s="407"/>
      <c r="BE51" s="444"/>
      <c r="BF51" s="444"/>
      <c r="BG51" s="444"/>
      <c r="BH51" s="444"/>
      <c r="BI51" s="444"/>
      <c r="BJ51" s="444"/>
      <c r="BK51" s="444"/>
      <c r="BL51" s="444"/>
      <c r="BM51" s="444"/>
      <c r="BN51" s="444"/>
      <c r="BO51" s="444"/>
      <c r="BP51" s="444"/>
      <c r="BQ51" s="444"/>
      <c r="BR51" s="444"/>
      <c r="BS51" s="444"/>
      <c r="BT51" s="444"/>
    </row>
    <row r="52" spans="1:72" s="443" customFormat="1" ht="15">
      <c r="A52" s="392"/>
      <c r="B52" s="392"/>
      <c r="C52" s="392"/>
      <c r="D52" s="392"/>
      <c r="E52" s="392"/>
      <c r="F52" s="392"/>
      <c r="G52" s="392"/>
      <c r="H52" s="392"/>
      <c r="I52" s="392"/>
      <c r="J52" s="392"/>
      <c r="K52" s="392"/>
      <c r="L52" s="392"/>
      <c r="M52" s="392"/>
      <c r="N52" s="392"/>
      <c r="O52" s="392"/>
      <c r="P52" s="392"/>
      <c r="Q52" s="392"/>
      <c r="R52" s="392"/>
      <c r="S52" s="409"/>
      <c r="T52" s="409"/>
      <c r="U52" s="409"/>
      <c r="V52" s="409"/>
      <c r="W52" s="392"/>
      <c r="X52" s="392"/>
      <c r="Y52" s="409"/>
      <c r="Z52" s="409"/>
      <c r="AA52" s="392"/>
      <c r="AB52" s="392"/>
      <c r="AC52" s="392"/>
      <c r="AD52" s="409"/>
      <c r="AE52" s="409"/>
      <c r="AF52" s="409"/>
      <c r="AG52" s="409"/>
      <c r="AH52" s="409"/>
      <c r="AI52" s="409"/>
      <c r="AJ52" s="409"/>
      <c r="AK52" s="409"/>
      <c r="AL52" s="409"/>
      <c r="AM52" s="409"/>
      <c r="AN52" s="409"/>
      <c r="AO52" s="409"/>
      <c r="AP52" s="409"/>
      <c r="AQ52" s="409"/>
      <c r="AR52" s="409"/>
      <c r="AS52" s="409"/>
      <c r="AT52" s="409"/>
      <c r="AU52" s="409"/>
      <c r="AV52" s="409"/>
      <c r="AW52" s="409"/>
      <c r="AX52" s="409"/>
      <c r="AY52" s="409"/>
      <c r="AZ52" s="409"/>
      <c r="BA52" s="409"/>
      <c r="BB52" s="409"/>
      <c r="BC52" s="409"/>
      <c r="BD52" s="407"/>
      <c r="BE52" s="444"/>
      <c r="BF52" s="444"/>
      <c r="BG52" s="444"/>
      <c r="BH52" s="444"/>
      <c r="BI52" s="444"/>
      <c r="BJ52" s="444"/>
      <c r="BK52" s="444"/>
      <c r="BL52" s="444"/>
      <c r="BM52" s="444"/>
      <c r="BN52" s="444"/>
      <c r="BO52" s="444"/>
      <c r="BP52" s="444"/>
      <c r="BQ52" s="444"/>
      <c r="BR52" s="444"/>
      <c r="BS52" s="444"/>
      <c r="BT52" s="444"/>
    </row>
    <row r="53" spans="1:72" s="443" customFormat="1" ht="15">
      <c r="A53" s="392"/>
      <c r="B53" s="392"/>
      <c r="C53" s="392"/>
      <c r="D53" s="392"/>
      <c r="E53" s="392"/>
      <c r="F53" s="392"/>
      <c r="G53" s="392"/>
      <c r="H53" s="392"/>
      <c r="I53" s="392"/>
      <c r="J53" s="392"/>
      <c r="K53" s="392"/>
      <c r="L53" s="392"/>
      <c r="M53" s="392"/>
      <c r="N53" s="392"/>
      <c r="O53" s="392"/>
      <c r="P53" s="392"/>
      <c r="Q53" s="392"/>
      <c r="R53" s="392"/>
      <c r="S53" s="409"/>
      <c r="T53" s="409"/>
      <c r="U53" s="409"/>
      <c r="V53" s="409"/>
      <c r="W53" s="392"/>
      <c r="X53" s="392"/>
      <c r="Y53" s="409"/>
      <c r="Z53" s="409"/>
      <c r="AA53" s="392"/>
      <c r="AB53" s="392"/>
      <c r="AC53" s="392"/>
      <c r="AD53" s="409"/>
      <c r="AE53" s="409"/>
      <c r="AF53" s="409"/>
      <c r="AG53" s="409"/>
      <c r="AH53" s="409"/>
      <c r="AI53" s="409"/>
      <c r="AJ53" s="409"/>
      <c r="AK53" s="409"/>
      <c r="AL53" s="409"/>
      <c r="AM53" s="409"/>
      <c r="AN53" s="409"/>
      <c r="AO53" s="409"/>
      <c r="AP53" s="409"/>
      <c r="AQ53" s="409"/>
      <c r="AR53" s="409"/>
      <c r="AS53" s="409"/>
      <c r="AT53" s="409"/>
      <c r="AU53" s="409"/>
      <c r="AV53" s="409"/>
      <c r="AW53" s="409"/>
      <c r="AX53" s="409"/>
      <c r="AY53" s="409"/>
      <c r="AZ53" s="409"/>
      <c r="BA53" s="409"/>
      <c r="BB53" s="409"/>
      <c r="BC53" s="409"/>
      <c r="BD53" s="407"/>
      <c r="BE53" s="444"/>
      <c r="BF53" s="444"/>
      <c r="BG53" s="444"/>
      <c r="BH53" s="444"/>
      <c r="BI53" s="444"/>
      <c r="BJ53" s="444"/>
      <c r="BK53" s="444"/>
      <c r="BL53" s="444"/>
      <c r="BM53" s="444"/>
      <c r="BN53" s="444"/>
      <c r="BO53" s="444"/>
      <c r="BP53" s="444"/>
      <c r="BQ53" s="444"/>
      <c r="BR53" s="444"/>
      <c r="BS53" s="444"/>
      <c r="BT53" s="444"/>
    </row>
    <row r="54" spans="1:72" s="443" customFormat="1" ht="15">
      <c r="A54" s="392"/>
      <c r="B54" s="392"/>
      <c r="C54" s="392"/>
      <c r="D54" s="392"/>
      <c r="E54" s="392"/>
      <c r="F54" s="392"/>
      <c r="G54" s="392"/>
      <c r="H54" s="392"/>
      <c r="I54" s="392"/>
      <c r="J54" s="392"/>
      <c r="K54" s="392"/>
      <c r="L54" s="392"/>
      <c r="M54" s="392"/>
      <c r="N54" s="392"/>
      <c r="O54" s="392"/>
      <c r="P54" s="392"/>
      <c r="Q54" s="392"/>
      <c r="R54" s="392"/>
      <c r="S54" s="409"/>
      <c r="T54" s="409"/>
      <c r="U54" s="409"/>
      <c r="V54" s="409"/>
      <c r="W54" s="392"/>
      <c r="X54" s="392"/>
      <c r="Y54" s="409"/>
      <c r="Z54" s="409"/>
      <c r="AA54" s="392"/>
      <c r="AB54" s="392"/>
      <c r="AC54" s="392"/>
      <c r="AD54" s="409"/>
      <c r="AE54" s="409"/>
      <c r="AF54" s="409"/>
      <c r="AG54" s="409"/>
      <c r="AH54" s="409"/>
      <c r="AI54" s="409"/>
      <c r="AJ54" s="409"/>
      <c r="AK54" s="409"/>
      <c r="AL54" s="409"/>
      <c r="AM54" s="409"/>
      <c r="AN54" s="409"/>
      <c r="AO54" s="409"/>
      <c r="AP54" s="409"/>
      <c r="AQ54" s="409"/>
      <c r="AR54" s="409"/>
      <c r="AS54" s="409"/>
      <c r="AT54" s="409"/>
      <c r="AU54" s="409"/>
      <c r="AV54" s="409"/>
      <c r="AW54" s="409"/>
      <c r="AX54" s="409"/>
      <c r="AY54" s="409"/>
      <c r="AZ54" s="409"/>
      <c r="BA54" s="409"/>
      <c r="BB54" s="409"/>
      <c r="BC54" s="409"/>
      <c r="BD54" s="407"/>
      <c r="BE54" s="444"/>
      <c r="BF54" s="444"/>
      <c r="BG54" s="444"/>
      <c r="BH54" s="444"/>
      <c r="BI54" s="444"/>
      <c r="BJ54" s="444"/>
      <c r="BK54" s="444"/>
      <c r="BL54" s="444"/>
      <c r="BM54" s="444"/>
      <c r="BN54" s="444"/>
      <c r="BO54" s="444"/>
      <c r="BP54" s="444"/>
      <c r="BQ54" s="444"/>
      <c r="BR54" s="444"/>
      <c r="BS54" s="444"/>
      <c r="BT54" s="444"/>
    </row>
    <row r="55" spans="1:72" s="443" customFormat="1" ht="15">
      <c r="A55" s="392"/>
      <c r="B55" s="392"/>
      <c r="C55" s="392"/>
      <c r="D55" s="392"/>
      <c r="E55" s="392"/>
      <c r="F55" s="392"/>
      <c r="G55" s="392"/>
      <c r="H55" s="392"/>
      <c r="I55" s="392"/>
      <c r="J55" s="392"/>
      <c r="K55" s="392"/>
      <c r="L55" s="392"/>
      <c r="M55" s="392"/>
      <c r="N55" s="392"/>
      <c r="O55" s="392"/>
      <c r="P55" s="392"/>
      <c r="Q55" s="392"/>
      <c r="R55" s="392"/>
      <c r="S55" s="409"/>
      <c r="T55" s="409"/>
      <c r="U55" s="409"/>
      <c r="V55" s="409"/>
      <c r="W55" s="392"/>
      <c r="X55" s="392"/>
      <c r="Y55" s="409"/>
      <c r="Z55" s="409"/>
      <c r="AA55" s="392"/>
      <c r="AB55" s="392"/>
      <c r="AC55" s="392"/>
      <c r="AD55" s="409"/>
      <c r="AE55" s="409"/>
      <c r="AF55" s="409"/>
      <c r="AG55" s="409"/>
      <c r="AH55" s="409"/>
      <c r="AI55" s="409"/>
      <c r="AJ55" s="409"/>
      <c r="AK55" s="409"/>
      <c r="AL55" s="409"/>
      <c r="AM55" s="409"/>
      <c r="AN55" s="409"/>
      <c r="AO55" s="409"/>
      <c r="AP55" s="409"/>
      <c r="AQ55" s="409"/>
      <c r="AR55" s="409"/>
      <c r="AS55" s="409"/>
      <c r="AT55" s="409"/>
      <c r="AU55" s="409"/>
      <c r="AV55" s="409"/>
      <c r="AW55" s="409"/>
      <c r="AX55" s="409"/>
      <c r="AY55" s="409"/>
      <c r="AZ55" s="409"/>
      <c r="BA55" s="409"/>
      <c r="BB55" s="409"/>
      <c r="BC55" s="409"/>
      <c r="BD55" s="407"/>
      <c r="BE55" s="444"/>
      <c r="BF55" s="444"/>
      <c r="BG55" s="444"/>
      <c r="BH55" s="444"/>
      <c r="BI55" s="444"/>
      <c r="BJ55" s="444"/>
      <c r="BK55" s="444"/>
      <c r="BL55" s="444"/>
      <c r="BM55" s="444"/>
      <c r="BN55" s="444"/>
      <c r="BO55" s="444"/>
      <c r="BP55" s="444"/>
      <c r="BQ55" s="444"/>
      <c r="BR55" s="444"/>
      <c r="BS55" s="444"/>
      <c r="BT55" s="444"/>
    </row>
    <row r="56" spans="1:72" s="443" customFormat="1" ht="15">
      <c r="A56" s="392"/>
      <c r="B56" s="392"/>
      <c r="C56" s="392"/>
      <c r="D56" s="392"/>
      <c r="E56" s="392"/>
      <c r="F56" s="392"/>
      <c r="G56" s="392"/>
      <c r="H56" s="392"/>
      <c r="I56" s="392"/>
      <c r="J56" s="392"/>
      <c r="K56" s="392"/>
      <c r="L56" s="392"/>
      <c r="M56" s="392"/>
      <c r="N56" s="392"/>
      <c r="O56" s="392"/>
      <c r="P56" s="392"/>
      <c r="Q56" s="392"/>
      <c r="R56" s="392"/>
      <c r="S56" s="409"/>
      <c r="T56" s="409"/>
      <c r="U56" s="409"/>
      <c r="V56" s="409"/>
      <c r="W56" s="392"/>
      <c r="X56" s="392"/>
      <c r="Y56" s="409"/>
      <c r="Z56" s="409"/>
      <c r="AA56" s="392"/>
      <c r="AB56" s="392"/>
      <c r="AC56" s="392"/>
      <c r="AD56" s="409"/>
      <c r="AE56" s="409"/>
      <c r="AF56" s="409"/>
      <c r="AG56" s="409"/>
      <c r="AH56" s="409"/>
      <c r="AI56" s="409"/>
      <c r="AJ56" s="409"/>
      <c r="AK56" s="409"/>
      <c r="AL56" s="409"/>
      <c r="AM56" s="409"/>
      <c r="AN56" s="409"/>
      <c r="AO56" s="409"/>
      <c r="AP56" s="409"/>
      <c r="AQ56" s="409"/>
      <c r="AR56" s="409"/>
      <c r="AS56" s="409"/>
      <c r="AT56" s="409"/>
      <c r="AU56" s="409"/>
      <c r="AV56" s="409"/>
      <c r="AW56" s="409"/>
      <c r="AX56" s="409"/>
      <c r="AY56" s="409"/>
      <c r="AZ56" s="409"/>
      <c r="BA56" s="409"/>
      <c r="BB56" s="409"/>
      <c r="BC56" s="409"/>
      <c r="BD56" s="407"/>
      <c r="BE56" s="444"/>
      <c r="BF56" s="444"/>
      <c r="BG56" s="444"/>
      <c r="BH56" s="444"/>
      <c r="BI56" s="444"/>
      <c r="BJ56" s="444"/>
      <c r="BK56" s="444"/>
      <c r="BL56" s="444"/>
      <c r="BM56" s="444"/>
      <c r="BN56" s="444"/>
      <c r="BO56" s="444"/>
      <c r="BP56" s="444"/>
      <c r="BQ56" s="444"/>
      <c r="BR56" s="444"/>
      <c r="BS56" s="444"/>
      <c r="BT56" s="444"/>
    </row>
    <row r="57" spans="1:72" s="443" customFormat="1" ht="15">
      <c r="A57" s="392"/>
      <c r="B57" s="392"/>
      <c r="C57" s="392"/>
      <c r="D57" s="392"/>
      <c r="E57" s="392"/>
      <c r="F57" s="392"/>
      <c r="G57" s="392"/>
      <c r="H57" s="392"/>
      <c r="I57" s="392"/>
      <c r="J57" s="392"/>
      <c r="K57" s="392"/>
      <c r="L57" s="392"/>
      <c r="M57" s="392"/>
      <c r="N57" s="392"/>
      <c r="O57" s="392"/>
      <c r="P57" s="392"/>
      <c r="Q57" s="392"/>
      <c r="R57" s="392"/>
      <c r="S57" s="409"/>
      <c r="T57" s="409"/>
      <c r="U57" s="409"/>
      <c r="V57" s="409"/>
      <c r="W57" s="392"/>
      <c r="X57" s="392"/>
      <c r="Y57" s="409"/>
      <c r="Z57" s="409"/>
      <c r="AA57" s="392"/>
      <c r="AB57" s="392"/>
      <c r="AC57" s="392"/>
      <c r="AD57" s="409"/>
      <c r="AE57" s="409"/>
      <c r="AF57" s="409"/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409"/>
      <c r="AS57" s="409"/>
      <c r="AT57" s="409"/>
      <c r="AU57" s="409"/>
      <c r="AV57" s="409"/>
      <c r="AW57" s="409"/>
      <c r="AX57" s="409"/>
      <c r="AY57" s="409"/>
      <c r="AZ57" s="409"/>
      <c r="BA57" s="409"/>
      <c r="BB57" s="409"/>
      <c r="BC57" s="409"/>
      <c r="BD57" s="407"/>
      <c r="BE57" s="444"/>
      <c r="BF57" s="444"/>
      <c r="BG57" s="444"/>
      <c r="BH57" s="444"/>
      <c r="BI57" s="444"/>
      <c r="BJ57" s="444"/>
      <c r="BK57" s="444"/>
      <c r="BL57" s="444"/>
      <c r="BM57" s="444"/>
      <c r="BN57" s="444"/>
      <c r="BO57" s="444"/>
      <c r="BP57" s="444"/>
      <c r="BQ57" s="444"/>
      <c r="BR57" s="444"/>
      <c r="BS57" s="444"/>
      <c r="BT57" s="444"/>
    </row>
    <row r="58" spans="1:72" s="443" customFormat="1" ht="15">
      <c r="A58" s="392"/>
      <c r="B58" s="392"/>
      <c r="C58" s="392"/>
      <c r="D58" s="392"/>
      <c r="E58" s="392"/>
      <c r="F58" s="392"/>
      <c r="G58" s="392"/>
      <c r="H58" s="392"/>
      <c r="I58" s="392"/>
      <c r="J58" s="392"/>
      <c r="K58" s="392"/>
      <c r="L58" s="392"/>
      <c r="M58" s="392"/>
      <c r="N58" s="392"/>
      <c r="O58" s="392"/>
      <c r="P58" s="392"/>
      <c r="Q58" s="392"/>
      <c r="R58" s="392"/>
      <c r="S58" s="409"/>
      <c r="T58" s="409"/>
      <c r="U58" s="409"/>
      <c r="V58" s="409"/>
      <c r="W58" s="392"/>
      <c r="X58" s="392"/>
      <c r="Y58" s="409"/>
      <c r="Z58" s="409"/>
      <c r="AA58" s="392"/>
      <c r="AB58" s="392"/>
      <c r="AC58" s="392"/>
      <c r="AD58" s="409"/>
      <c r="AE58" s="409"/>
      <c r="AF58" s="409"/>
      <c r="AG58" s="409"/>
      <c r="AH58" s="409"/>
      <c r="AI58" s="409"/>
      <c r="AJ58" s="409"/>
      <c r="AK58" s="409"/>
      <c r="AL58" s="409"/>
      <c r="AM58" s="409"/>
      <c r="AN58" s="409"/>
      <c r="AO58" s="409"/>
      <c r="AP58" s="409"/>
      <c r="AQ58" s="409"/>
      <c r="AR58" s="409"/>
      <c r="AS58" s="409"/>
      <c r="AT58" s="409"/>
      <c r="AU58" s="409"/>
      <c r="AV58" s="409"/>
      <c r="AW58" s="409"/>
      <c r="AX58" s="409"/>
      <c r="AY58" s="409"/>
      <c r="AZ58" s="409"/>
      <c r="BA58" s="409"/>
      <c r="BB58" s="409"/>
      <c r="BC58" s="409"/>
      <c r="BD58" s="407"/>
      <c r="BE58" s="444"/>
      <c r="BF58" s="444"/>
      <c r="BG58" s="444"/>
      <c r="BH58" s="444"/>
      <c r="BI58" s="444"/>
      <c r="BJ58" s="444"/>
      <c r="BK58" s="444"/>
      <c r="BL58" s="444"/>
      <c r="BM58" s="444"/>
      <c r="BN58" s="444"/>
      <c r="BO58" s="444"/>
      <c r="BP58" s="444"/>
      <c r="BQ58" s="444"/>
      <c r="BR58" s="444"/>
      <c r="BS58" s="444"/>
      <c r="BT58" s="444"/>
    </row>
    <row r="59" spans="1:72" s="443" customFormat="1" ht="15">
      <c r="A59" s="392"/>
      <c r="B59" s="392"/>
      <c r="C59" s="392"/>
      <c r="D59" s="392"/>
      <c r="E59" s="392"/>
      <c r="F59" s="392"/>
      <c r="G59" s="392"/>
      <c r="H59" s="392"/>
      <c r="I59" s="392"/>
      <c r="J59" s="392"/>
      <c r="K59" s="392"/>
      <c r="L59" s="392"/>
      <c r="M59" s="392"/>
      <c r="N59" s="392"/>
      <c r="O59" s="392"/>
      <c r="P59" s="392"/>
      <c r="Q59" s="392"/>
      <c r="R59" s="392"/>
      <c r="S59" s="409"/>
      <c r="T59" s="409"/>
      <c r="U59" s="409"/>
      <c r="V59" s="409"/>
      <c r="W59" s="392"/>
      <c r="X59" s="392"/>
      <c r="Y59" s="409"/>
      <c r="Z59" s="409"/>
      <c r="AA59" s="392"/>
      <c r="AB59" s="392"/>
      <c r="AC59" s="392"/>
      <c r="AD59" s="409"/>
      <c r="AE59" s="409"/>
      <c r="AF59" s="409"/>
      <c r="AG59" s="409"/>
      <c r="AH59" s="409"/>
      <c r="AI59" s="409"/>
      <c r="AJ59" s="409"/>
      <c r="AK59" s="409"/>
      <c r="AL59" s="409"/>
      <c r="AM59" s="409"/>
      <c r="AN59" s="409"/>
      <c r="AO59" s="409"/>
      <c r="AP59" s="409"/>
      <c r="AQ59" s="409"/>
      <c r="AR59" s="409"/>
      <c r="AS59" s="409"/>
      <c r="AT59" s="409"/>
      <c r="AU59" s="409"/>
      <c r="AV59" s="409"/>
      <c r="AW59" s="409"/>
      <c r="AX59" s="409"/>
      <c r="AY59" s="409"/>
      <c r="AZ59" s="409"/>
      <c r="BA59" s="409"/>
      <c r="BB59" s="409"/>
      <c r="BC59" s="409"/>
      <c r="BD59" s="407"/>
      <c r="BE59" s="444"/>
      <c r="BF59" s="444"/>
      <c r="BG59" s="444"/>
      <c r="BH59" s="444"/>
      <c r="BI59" s="444"/>
      <c r="BJ59" s="444"/>
      <c r="BK59" s="444"/>
      <c r="BL59" s="444"/>
      <c r="BM59" s="444"/>
      <c r="BN59" s="444"/>
      <c r="BO59" s="444"/>
      <c r="BP59" s="444"/>
      <c r="BQ59" s="444"/>
      <c r="BR59" s="444"/>
      <c r="BS59" s="444"/>
      <c r="BT59" s="444"/>
    </row>
    <row r="60" spans="1:72" s="443" customFormat="1" ht="15">
      <c r="A60" s="392"/>
      <c r="B60" s="392"/>
      <c r="C60" s="392"/>
      <c r="D60" s="392"/>
      <c r="E60" s="392"/>
      <c r="F60" s="392"/>
      <c r="G60" s="392"/>
      <c r="H60" s="392"/>
      <c r="I60" s="392"/>
      <c r="J60" s="392"/>
      <c r="K60" s="392"/>
      <c r="L60" s="392"/>
      <c r="M60" s="392"/>
      <c r="N60" s="392"/>
      <c r="O60" s="392"/>
      <c r="P60" s="392"/>
      <c r="Q60" s="392"/>
      <c r="R60" s="392"/>
      <c r="S60" s="409"/>
      <c r="T60" s="409"/>
      <c r="U60" s="409"/>
      <c r="V60" s="409"/>
      <c r="W60" s="392"/>
      <c r="X60" s="392"/>
      <c r="Y60" s="409"/>
      <c r="Z60" s="409"/>
      <c r="AA60" s="392"/>
      <c r="AB60" s="392"/>
      <c r="AC60" s="392"/>
      <c r="AD60" s="409"/>
      <c r="AE60" s="409"/>
      <c r="AF60" s="409"/>
      <c r="AG60" s="409"/>
      <c r="AH60" s="409"/>
      <c r="AI60" s="409"/>
      <c r="AJ60" s="409"/>
      <c r="AK60" s="409"/>
      <c r="AL60" s="409"/>
      <c r="AM60" s="409"/>
      <c r="AN60" s="409"/>
      <c r="AO60" s="409"/>
      <c r="AP60" s="409"/>
      <c r="AQ60" s="409"/>
      <c r="AR60" s="409"/>
      <c r="AS60" s="409"/>
      <c r="AT60" s="409"/>
      <c r="AU60" s="409"/>
      <c r="AV60" s="409"/>
      <c r="AW60" s="409"/>
      <c r="AX60" s="409"/>
      <c r="AY60" s="409"/>
      <c r="AZ60" s="409"/>
      <c r="BA60" s="409"/>
      <c r="BB60" s="409"/>
      <c r="BC60" s="409"/>
      <c r="BD60" s="407"/>
      <c r="BE60" s="444"/>
      <c r="BF60" s="444"/>
      <c r="BG60" s="444"/>
      <c r="BH60" s="444"/>
      <c r="BI60" s="444"/>
      <c r="BJ60" s="444"/>
      <c r="BK60" s="444"/>
      <c r="BL60" s="444"/>
      <c r="BM60" s="444"/>
      <c r="BN60" s="444"/>
      <c r="BO60" s="444"/>
      <c r="BP60" s="444"/>
      <c r="BQ60" s="444"/>
      <c r="BR60" s="444"/>
      <c r="BS60" s="444"/>
      <c r="BT60" s="444"/>
    </row>
    <row r="61" spans="1:72" s="443" customFormat="1" ht="15">
      <c r="A61" s="392"/>
      <c r="B61" s="392"/>
      <c r="C61" s="392"/>
      <c r="D61" s="392"/>
      <c r="E61" s="392"/>
      <c r="F61" s="392"/>
      <c r="G61" s="392"/>
      <c r="H61" s="392"/>
      <c r="I61" s="392"/>
      <c r="J61" s="392"/>
      <c r="K61" s="392"/>
      <c r="L61" s="392"/>
      <c r="M61" s="392"/>
      <c r="N61" s="392"/>
      <c r="O61" s="392"/>
      <c r="P61" s="392"/>
      <c r="Q61" s="392"/>
      <c r="R61" s="392"/>
      <c r="S61" s="409"/>
      <c r="T61" s="409"/>
      <c r="U61" s="409"/>
      <c r="V61" s="409"/>
      <c r="W61" s="392"/>
      <c r="X61" s="392"/>
      <c r="Y61" s="409"/>
      <c r="Z61" s="409"/>
      <c r="AA61" s="392"/>
      <c r="AB61" s="392"/>
      <c r="AC61" s="392"/>
      <c r="AD61" s="409"/>
      <c r="AE61" s="409"/>
      <c r="AF61" s="409"/>
      <c r="AG61" s="409"/>
      <c r="AH61" s="409"/>
      <c r="AI61" s="409"/>
      <c r="AJ61" s="409"/>
      <c r="AK61" s="409"/>
      <c r="AL61" s="409"/>
      <c r="AM61" s="409"/>
      <c r="AN61" s="409"/>
      <c r="AO61" s="409"/>
      <c r="AP61" s="409"/>
      <c r="AQ61" s="409"/>
      <c r="AR61" s="409"/>
      <c r="AS61" s="409"/>
      <c r="AT61" s="409"/>
      <c r="AU61" s="409"/>
      <c r="AV61" s="409"/>
      <c r="AW61" s="409"/>
      <c r="AX61" s="409"/>
      <c r="AY61" s="409"/>
      <c r="AZ61" s="409"/>
      <c r="BA61" s="409"/>
      <c r="BB61" s="409"/>
      <c r="BC61" s="409"/>
      <c r="BD61" s="407"/>
      <c r="BE61" s="444"/>
      <c r="BF61" s="444"/>
      <c r="BG61" s="444"/>
      <c r="BH61" s="444"/>
      <c r="BI61" s="444"/>
      <c r="BJ61" s="444"/>
      <c r="BK61" s="444"/>
      <c r="BL61" s="444"/>
      <c r="BM61" s="444"/>
      <c r="BN61" s="444"/>
      <c r="BO61" s="444"/>
      <c r="BP61" s="444"/>
      <c r="BQ61" s="444"/>
      <c r="BR61" s="444"/>
      <c r="BS61" s="444"/>
      <c r="BT61" s="444"/>
    </row>
    <row r="62" spans="1:72" s="443" customFormat="1" ht="15">
      <c r="A62" s="392"/>
      <c r="B62" s="392"/>
      <c r="C62" s="392"/>
      <c r="D62" s="392"/>
      <c r="E62" s="392"/>
      <c r="F62" s="392"/>
      <c r="G62" s="392"/>
      <c r="H62" s="392"/>
      <c r="I62" s="392"/>
      <c r="J62" s="392"/>
      <c r="K62" s="392"/>
      <c r="L62" s="392"/>
      <c r="M62" s="392"/>
      <c r="N62" s="392"/>
      <c r="O62" s="392"/>
      <c r="P62" s="392"/>
      <c r="Q62" s="392"/>
      <c r="R62" s="392"/>
      <c r="S62" s="409"/>
      <c r="T62" s="409"/>
      <c r="U62" s="409"/>
      <c r="V62" s="409"/>
      <c r="W62" s="392"/>
      <c r="X62" s="392"/>
      <c r="Y62" s="409"/>
      <c r="Z62" s="409"/>
      <c r="AA62" s="392"/>
      <c r="AB62" s="392"/>
      <c r="AC62" s="392"/>
      <c r="AD62" s="409"/>
      <c r="AE62" s="409"/>
      <c r="AF62" s="409"/>
      <c r="AG62" s="409"/>
      <c r="AH62" s="409"/>
      <c r="AI62" s="409"/>
      <c r="AJ62" s="409"/>
      <c r="AK62" s="409"/>
      <c r="AL62" s="409"/>
      <c r="AM62" s="409"/>
      <c r="AN62" s="409"/>
      <c r="AO62" s="409"/>
      <c r="AP62" s="409"/>
      <c r="AQ62" s="409"/>
      <c r="AR62" s="409"/>
      <c r="AS62" s="409"/>
      <c r="AT62" s="409"/>
      <c r="AU62" s="409"/>
      <c r="AV62" s="409"/>
      <c r="AW62" s="409"/>
      <c r="AX62" s="409"/>
      <c r="AY62" s="409"/>
      <c r="AZ62" s="409"/>
      <c r="BA62" s="409"/>
      <c r="BB62" s="409"/>
      <c r="BC62" s="409"/>
      <c r="BD62" s="407"/>
      <c r="BE62" s="444"/>
      <c r="BF62" s="444"/>
      <c r="BG62" s="444"/>
      <c r="BH62" s="444"/>
      <c r="BI62" s="444"/>
      <c r="BJ62" s="444"/>
      <c r="BK62" s="444"/>
      <c r="BL62" s="444"/>
      <c r="BM62" s="444"/>
      <c r="BN62" s="444"/>
      <c r="BO62" s="444"/>
      <c r="BP62" s="444"/>
      <c r="BQ62" s="444"/>
      <c r="BR62" s="444"/>
      <c r="BS62" s="444"/>
      <c r="BT62" s="444"/>
    </row>
    <row r="63" spans="1:72" s="443" customFormat="1" ht="15">
      <c r="A63" s="392"/>
      <c r="B63" s="392"/>
      <c r="C63" s="392"/>
      <c r="D63" s="392"/>
      <c r="E63" s="392"/>
      <c r="F63" s="392"/>
      <c r="G63" s="392"/>
      <c r="H63" s="392"/>
      <c r="I63" s="392"/>
      <c r="J63" s="392"/>
      <c r="K63" s="392"/>
      <c r="L63" s="392"/>
      <c r="M63" s="392"/>
      <c r="N63" s="392"/>
      <c r="O63" s="392"/>
      <c r="P63" s="392"/>
      <c r="Q63" s="392"/>
      <c r="R63" s="392"/>
      <c r="S63" s="409"/>
      <c r="T63" s="409"/>
      <c r="U63" s="409"/>
      <c r="V63" s="409"/>
      <c r="W63" s="392"/>
      <c r="X63" s="392"/>
      <c r="Y63" s="409"/>
      <c r="Z63" s="409"/>
      <c r="AA63" s="392"/>
      <c r="AB63" s="392"/>
      <c r="AC63" s="392"/>
      <c r="AD63" s="409"/>
      <c r="AE63" s="409"/>
      <c r="AF63" s="409"/>
      <c r="AG63" s="409"/>
      <c r="AH63" s="409"/>
      <c r="AI63" s="409"/>
      <c r="AJ63" s="409"/>
      <c r="AK63" s="409"/>
      <c r="AL63" s="409"/>
      <c r="AM63" s="409"/>
      <c r="AN63" s="409"/>
      <c r="AO63" s="409"/>
      <c r="AP63" s="409"/>
      <c r="AQ63" s="409"/>
      <c r="AR63" s="409"/>
      <c r="AS63" s="409"/>
      <c r="AT63" s="409"/>
      <c r="AU63" s="409"/>
      <c r="AV63" s="409"/>
      <c r="AW63" s="409"/>
      <c r="AX63" s="409"/>
      <c r="AY63" s="409"/>
      <c r="AZ63" s="409"/>
      <c r="BA63" s="409"/>
      <c r="BB63" s="409"/>
      <c r="BC63" s="409"/>
      <c r="BD63" s="407"/>
      <c r="BE63" s="444"/>
      <c r="BF63" s="444"/>
      <c r="BG63" s="444"/>
      <c r="BH63" s="444"/>
      <c r="BI63" s="444"/>
      <c r="BJ63" s="444"/>
      <c r="BK63" s="444"/>
      <c r="BL63" s="444"/>
      <c r="BM63" s="444"/>
      <c r="BN63" s="444"/>
      <c r="BO63" s="444"/>
      <c r="BP63" s="444"/>
      <c r="BQ63" s="444"/>
      <c r="BR63" s="444"/>
      <c r="BS63" s="444"/>
      <c r="BT63" s="444"/>
    </row>
    <row r="64" spans="1:72" s="443" customFormat="1" ht="15">
      <c r="A64" s="392"/>
      <c r="B64" s="392"/>
      <c r="C64" s="392"/>
      <c r="D64" s="392"/>
      <c r="E64" s="392"/>
      <c r="F64" s="392"/>
      <c r="G64" s="392"/>
      <c r="H64" s="392"/>
      <c r="I64" s="392"/>
      <c r="J64" s="392"/>
      <c r="K64" s="392"/>
      <c r="L64" s="392"/>
      <c r="M64" s="392"/>
      <c r="N64" s="392"/>
      <c r="O64" s="392"/>
      <c r="P64" s="392"/>
      <c r="Q64" s="392"/>
      <c r="R64" s="392"/>
      <c r="S64" s="409"/>
      <c r="T64" s="409"/>
      <c r="U64" s="409"/>
      <c r="V64" s="409"/>
      <c r="W64" s="392"/>
      <c r="X64" s="392"/>
      <c r="Y64" s="409"/>
      <c r="Z64" s="409"/>
      <c r="AA64" s="392"/>
      <c r="AB64" s="392"/>
      <c r="AC64" s="392"/>
      <c r="AD64" s="409"/>
      <c r="AE64" s="409"/>
      <c r="AF64" s="409"/>
      <c r="AG64" s="409"/>
      <c r="AH64" s="409"/>
      <c r="AI64" s="409"/>
      <c r="AJ64" s="409"/>
      <c r="AK64" s="409"/>
      <c r="AL64" s="409"/>
      <c r="AM64" s="409"/>
      <c r="AN64" s="409"/>
      <c r="AO64" s="409"/>
      <c r="AP64" s="409"/>
      <c r="AQ64" s="409"/>
      <c r="AR64" s="409"/>
      <c r="AS64" s="409"/>
      <c r="AT64" s="409"/>
      <c r="AU64" s="409"/>
      <c r="AV64" s="409"/>
      <c r="AW64" s="409"/>
      <c r="AX64" s="409"/>
      <c r="AY64" s="409"/>
      <c r="AZ64" s="409"/>
      <c r="BA64" s="409"/>
      <c r="BB64" s="409"/>
      <c r="BC64" s="409"/>
      <c r="BD64" s="407"/>
      <c r="BE64" s="444"/>
      <c r="BF64" s="444"/>
      <c r="BG64" s="444"/>
      <c r="BH64" s="444"/>
      <c r="BI64" s="444"/>
      <c r="BJ64" s="444"/>
      <c r="BK64" s="444"/>
      <c r="BL64" s="444"/>
      <c r="BM64" s="444"/>
      <c r="BN64" s="444"/>
      <c r="BO64" s="444"/>
      <c r="BP64" s="444"/>
      <c r="BQ64" s="444"/>
      <c r="BR64" s="444"/>
      <c r="BS64" s="444"/>
      <c r="BT64" s="444"/>
    </row>
    <row r="65" spans="1:72" s="443" customFormat="1" ht="15">
      <c r="A65" s="392"/>
      <c r="B65" s="392"/>
      <c r="C65" s="392"/>
      <c r="D65" s="392"/>
      <c r="E65" s="392"/>
      <c r="F65" s="392"/>
      <c r="G65" s="392"/>
      <c r="H65" s="392"/>
      <c r="I65" s="392"/>
      <c r="J65" s="392"/>
      <c r="K65" s="392"/>
      <c r="L65" s="392"/>
      <c r="M65" s="392"/>
      <c r="N65" s="392"/>
      <c r="O65" s="392"/>
      <c r="P65" s="392"/>
      <c r="Q65" s="392"/>
      <c r="R65" s="392"/>
      <c r="S65" s="409"/>
      <c r="T65" s="409"/>
      <c r="U65" s="409"/>
      <c r="V65" s="409"/>
      <c r="W65" s="392"/>
      <c r="X65" s="392"/>
      <c r="Y65" s="409"/>
      <c r="Z65" s="409"/>
      <c r="AA65" s="392"/>
      <c r="AB65" s="392"/>
      <c r="AC65" s="392"/>
      <c r="AD65" s="409"/>
      <c r="AE65" s="409"/>
      <c r="AF65" s="409"/>
      <c r="AG65" s="409"/>
      <c r="AH65" s="409"/>
      <c r="AI65" s="409"/>
      <c r="AJ65" s="409"/>
      <c r="AK65" s="409"/>
      <c r="AL65" s="409"/>
      <c r="AM65" s="409"/>
      <c r="AN65" s="409"/>
      <c r="AO65" s="409"/>
      <c r="AP65" s="409"/>
      <c r="AQ65" s="409"/>
      <c r="AR65" s="409"/>
      <c r="AS65" s="409"/>
      <c r="AT65" s="409"/>
      <c r="AU65" s="409"/>
      <c r="AV65" s="409"/>
      <c r="AW65" s="409"/>
      <c r="AX65" s="409"/>
      <c r="AY65" s="409"/>
      <c r="AZ65" s="409"/>
      <c r="BA65" s="409"/>
      <c r="BB65" s="409"/>
      <c r="BC65" s="409"/>
      <c r="BD65" s="407"/>
      <c r="BE65" s="444"/>
      <c r="BF65" s="444"/>
      <c r="BG65" s="444"/>
      <c r="BH65" s="444"/>
      <c r="BI65" s="444"/>
      <c r="BJ65" s="444"/>
      <c r="BK65" s="444"/>
      <c r="BL65" s="444"/>
      <c r="BM65" s="444"/>
      <c r="BN65" s="444"/>
      <c r="BO65" s="444"/>
      <c r="BP65" s="444"/>
      <c r="BQ65" s="444"/>
      <c r="BR65" s="444"/>
      <c r="BS65" s="444"/>
      <c r="BT65" s="444"/>
    </row>
    <row r="66" spans="1:72" s="443" customFormat="1" ht="15">
      <c r="A66" s="392"/>
      <c r="B66" s="392"/>
      <c r="C66" s="392"/>
      <c r="D66" s="392"/>
      <c r="E66" s="392"/>
      <c r="F66" s="392"/>
      <c r="G66" s="392"/>
      <c r="H66" s="392"/>
      <c r="I66" s="392"/>
      <c r="J66" s="392"/>
      <c r="K66" s="392"/>
      <c r="L66" s="392"/>
      <c r="M66" s="392"/>
      <c r="N66" s="392"/>
      <c r="O66" s="392"/>
      <c r="P66" s="392"/>
      <c r="Q66" s="392"/>
      <c r="R66" s="392"/>
      <c r="S66" s="409"/>
      <c r="T66" s="409"/>
      <c r="U66" s="409"/>
      <c r="V66" s="409"/>
      <c r="W66" s="392"/>
      <c r="X66" s="392"/>
      <c r="Y66" s="409"/>
      <c r="Z66" s="409"/>
      <c r="AA66" s="392"/>
      <c r="AB66" s="392"/>
      <c r="AC66" s="392"/>
      <c r="AD66" s="409"/>
      <c r="AE66" s="409"/>
      <c r="AF66" s="409"/>
      <c r="AG66" s="409"/>
      <c r="AH66" s="409"/>
      <c r="AI66" s="409"/>
      <c r="AJ66" s="409"/>
      <c r="AK66" s="409"/>
      <c r="AL66" s="409"/>
      <c r="AM66" s="409"/>
      <c r="AN66" s="409"/>
      <c r="AO66" s="409"/>
      <c r="AP66" s="409"/>
      <c r="AQ66" s="409"/>
      <c r="AR66" s="409"/>
      <c r="AS66" s="409"/>
      <c r="AT66" s="409"/>
      <c r="AU66" s="409"/>
      <c r="AV66" s="409"/>
      <c r="AW66" s="409"/>
      <c r="AX66" s="409"/>
      <c r="AY66" s="409"/>
      <c r="AZ66" s="409"/>
      <c r="BA66" s="409"/>
      <c r="BB66" s="409"/>
      <c r="BC66" s="409"/>
      <c r="BD66" s="407"/>
      <c r="BE66" s="444"/>
      <c r="BF66" s="444"/>
      <c r="BG66" s="444"/>
      <c r="BH66" s="444"/>
      <c r="BI66" s="444"/>
      <c r="BJ66" s="444"/>
      <c r="BK66" s="444"/>
      <c r="BL66" s="444"/>
      <c r="BM66" s="444"/>
      <c r="BN66" s="444"/>
      <c r="BO66" s="444"/>
      <c r="BP66" s="444"/>
      <c r="BQ66" s="444"/>
      <c r="BR66" s="444"/>
      <c r="BS66" s="444"/>
      <c r="BT66" s="444"/>
    </row>
    <row r="67" spans="1:72" s="443" customFormat="1" ht="15">
      <c r="A67" s="392"/>
      <c r="B67" s="392"/>
      <c r="C67" s="392"/>
      <c r="D67" s="392"/>
      <c r="E67" s="392"/>
      <c r="F67" s="392"/>
      <c r="G67" s="392"/>
      <c r="H67" s="392"/>
      <c r="I67" s="392"/>
      <c r="J67" s="392"/>
      <c r="K67" s="392"/>
      <c r="L67" s="392"/>
      <c r="M67" s="392"/>
      <c r="N67" s="392"/>
      <c r="O67" s="392"/>
      <c r="P67" s="392"/>
      <c r="Q67" s="392"/>
      <c r="R67" s="392"/>
      <c r="S67" s="409"/>
      <c r="T67" s="409"/>
      <c r="U67" s="409"/>
      <c r="V67" s="409"/>
      <c r="W67" s="392"/>
      <c r="X67" s="392"/>
      <c r="Y67" s="409"/>
      <c r="Z67" s="409"/>
      <c r="AA67" s="392"/>
      <c r="AB67" s="392"/>
      <c r="AC67" s="392"/>
      <c r="AD67" s="409"/>
      <c r="AE67" s="409"/>
      <c r="AF67" s="409"/>
      <c r="AG67" s="409"/>
      <c r="AH67" s="409"/>
      <c r="AI67" s="409"/>
      <c r="AJ67" s="409"/>
      <c r="AK67" s="409"/>
      <c r="AL67" s="409"/>
      <c r="AM67" s="409"/>
      <c r="AN67" s="409"/>
      <c r="AO67" s="409"/>
      <c r="AP67" s="409"/>
      <c r="AQ67" s="409"/>
      <c r="AR67" s="409"/>
      <c r="AS67" s="409"/>
      <c r="AT67" s="409"/>
      <c r="AU67" s="409"/>
      <c r="AV67" s="409"/>
      <c r="AW67" s="409"/>
      <c r="AX67" s="409"/>
      <c r="AY67" s="409"/>
      <c r="AZ67" s="409"/>
      <c r="BA67" s="409"/>
      <c r="BB67" s="409"/>
      <c r="BC67" s="409"/>
      <c r="BD67" s="407"/>
      <c r="BE67" s="444"/>
      <c r="BF67" s="444"/>
      <c r="BG67" s="444"/>
      <c r="BH67" s="444"/>
      <c r="BI67" s="444"/>
      <c r="BJ67" s="444"/>
      <c r="BK67" s="444"/>
      <c r="BL67" s="444"/>
      <c r="BM67" s="444"/>
      <c r="BN67" s="444"/>
      <c r="BO67" s="444"/>
      <c r="BP67" s="444"/>
      <c r="BQ67" s="444"/>
      <c r="BR67" s="444"/>
      <c r="BS67" s="444"/>
      <c r="BT67" s="444"/>
    </row>
    <row r="68" spans="1:72" s="443" customFormat="1" ht="15">
      <c r="A68" s="392"/>
      <c r="B68" s="392"/>
      <c r="C68" s="392"/>
      <c r="D68" s="392"/>
      <c r="E68" s="392"/>
      <c r="F68" s="392"/>
      <c r="G68" s="392"/>
      <c r="H68" s="392"/>
      <c r="I68" s="392"/>
      <c r="J68" s="392"/>
      <c r="K68" s="392"/>
      <c r="L68" s="392"/>
      <c r="M68" s="392"/>
      <c r="N68" s="392"/>
      <c r="O68" s="392"/>
      <c r="P68" s="392"/>
      <c r="Q68" s="392"/>
      <c r="R68" s="392"/>
      <c r="S68" s="409"/>
      <c r="T68" s="409"/>
      <c r="U68" s="409"/>
      <c r="V68" s="409"/>
      <c r="W68" s="392"/>
      <c r="X68" s="392"/>
      <c r="Y68" s="409"/>
      <c r="Z68" s="409"/>
      <c r="AA68" s="392"/>
      <c r="AB68" s="392"/>
      <c r="AC68" s="392"/>
      <c r="AD68" s="409"/>
      <c r="AE68" s="409"/>
      <c r="AF68" s="409"/>
      <c r="AG68" s="409"/>
      <c r="AH68" s="409"/>
      <c r="AI68" s="409"/>
      <c r="AJ68" s="409"/>
      <c r="AK68" s="409"/>
      <c r="AL68" s="409"/>
      <c r="AM68" s="409"/>
      <c r="AN68" s="409"/>
      <c r="AO68" s="409"/>
      <c r="AP68" s="409"/>
      <c r="AQ68" s="409"/>
      <c r="AR68" s="409"/>
      <c r="AS68" s="409"/>
      <c r="AT68" s="409"/>
      <c r="AU68" s="409"/>
      <c r="AV68" s="409"/>
      <c r="AW68" s="409"/>
      <c r="AX68" s="409"/>
      <c r="AY68" s="409"/>
      <c r="AZ68" s="409"/>
      <c r="BA68" s="409"/>
      <c r="BB68" s="409"/>
      <c r="BC68" s="409"/>
      <c r="BD68" s="407"/>
      <c r="BE68" s="444"/>
      <c r="BF68" s="444"/>
      <c r="BG68" s="444"/>
      <c r="BH68" s="444"/>
      <c r="BI68" s="444"/>
      <c r="BJ68" s="444"/>
      <c r="BK68" s="444"/>
      <c r="BL68" s="444"/>
      <c r="BM68" s="444"/>
      <c r="BN68" s="444"/>
      <c r="BO68" s="444"/>
      <c r="BP68" s="444"/>
      <c r="BQ68" s="444"/>
      <c r="BR68" s="444"/>
      <c r="BS68" s="444"/>
      <c r="BT68" s="444"/>
    </row>
    <row r="69" spans="1:72" s="443" customFormat="1" ht="15">
      <c r="A69" s="392"/>
      <c r="B69" s="392"/>
      <c r="C69" s="392"/>
      <c r="D69" s="392"/>
      <c r="E69" s="392"/>
      <c r="F69" s="392"/>
      <c r="G69" s="392"/>
      <c r="H69" s="392"/>
      <c r="I69" s="392"/>
      <c r="J69" s="392"/>
      <c r="K69" s="392"/>
      <c r="L69" s="392"/>
      <c r="M69" s="392"/>
      <c r="N69" s="392"/>
      <c r="O69" s="392"/>
      <c r="P69" s="392"/>
      <c r="Q69" s="392"/>
      <c r="R69" s="392"/>
      <c r="S69" s="409"/>
      <c r="T69" s="409"/>
      <c r="U69" s="409"/>
      <c r="V69" s="409"/>
      <c r="W69" s="392"/>
      <c r="X69" s="392"/>
      <c r="Y69" s="409"/>
      <c r="Z69" s="409"/>
      <c r="AA69" s="392"/>
      <c r="AB69" s="392"/>
      <c r="AC69" s="392"/>
      <c r="AD69" s="409"/>
      <c r="AE69" s="409"/>
      <c r="AF69" s="409"/>
      <c r="AG69" s="409"/>
      <c r="AH69" s="409"/>
      <c r="AI69" s="409"/>
      <c r="AJ69" s="409"/>
      <c r="AK69" s="409"/>
      <c r="AL69" s="409"/>
      <c r="AM69" s="409"/>
      <c r="AN69" s="409"/>
      <c r="AO69" s="409"/>
      <c r="AP69" s="409"/>
      <c r="AQ69" s="409"/>
      <c r="AR69" s="409"/>
      <c r="AS69" s="409"/>
      <c r="AT69" s="409"/>
      <c r="AU69" s="409"/>
      <c r="AV69" s="409"/>
      <c r="AW69" s="409"/>
      <c r="AX69" s="409"/>
      <c r="AY69" s="409"/>
      <c r="AZ69" s="409"/>
      <c r="BA69" s="409"/>
      <c r="BB69" s="409"/>
      <c r="BC69" s="409"/>
      <c r="BD69" s="407"/>
      <c r="BE69" s="444"/>
      <c r="BF69" s="444"/>
      <c r="BG69" s="444"/>
      <c r="BH69" s="444"/>
      <c r="BI69" s="444"/>
      <c r="BJ69" s="444"/>
      <c r="BK69" s="444"/>
      <c r="BL69" s="444"/>
      <c r="BM69" s="444"/>
      <c r="BN69" s="444"/>
      <c r="BO69" s="444"/>
      <c r="BP69" s="444"/>
      <c r="BQ69" s="444"/>
      <c r="BR69" s="444"/>
      <c r="BS69" s="444"/>
      <c r="BT69" s="444"/>
    </row>
    <row r="70" spans="1:72" s="443" customFormat="1" ht="15">
      <c r="A70" s="392"/>
      <c r="B70" s="392"/>
      <c r="C70" s="392"/>
      <c r="D70" s="392"/>
      <c r="E70" s="392"/>
      <c r="F70" s="392"/>
      <c r="G70" s="392"/>
      <c r="H70" s="392"/>
      <c r="I70" s="392"/>
      <c r="J70" s="392"/>
      <c r="K70" s="392"/>
      <c r="L70" s="392"/>
      <c r="M70" s="392"/>
      <c r="N70" s="392"/>
      <c r="O70" s="392"/>
      <c r="P70" s="392"/>
      <c r="Q70" s="392"/>
      <c r="R70" s="392"/>
      <c r="S70" s="409"/>
      <c r="T70" s="409"/>
      <c r="U70" s="409"/>
      <c r="V70" s="409"/>
      <c r="W70" s="392"/>
      <c r="X70" s="392"/>
      <c r="Y70" s="409"/>
      <c r="Z70" s="409"/>
      <c r="AA70" s="392"/>
      <c r="AB70" s="392"/>
      <c r="AC70" s="392"/>
      <c r="AD70" s="409"/>
      <c r="AE70" s="409"/>
      <c r="AF70" s="409"/>
      <c r="AG70" s="409"/>
      <c r="AH70" s="409"/>
      <c r="AI70" s="409"/>
      <c r="AJ70" s="409"/>
      <c r="AK70" s="409"/>
      <c r="AL70" s="409"/>
      <c r="AM70" s="409"/>
      <c r="AN70" s="409"/>
      <c r="AO70" s="409"/>
      <c r="AP70" s="409"/>
      <c r="AQ70" s="409"/>
      <c r="AR70" s="409"/>
      <c r="AS70" s="409"/>
      <c r="AT70" s="409"/>
      <c r="AU70" s="409"/>
      <c r="AV70" s="409"/>
      <c r="AW70" s="409"/>
      <c r="AX70" s="409"/>
      <c r="AY70" s="409"/>
      <c r="AZ70" s="409"/>
      <c r="BA70" s="409"/>
      <c r="BB70" s="409"/>
      <c r="BC70" s="409"/>
      <c r="BD70" s="407"/>
      <c r="BE70" s="444"/>
      <c r="BF70" s="444"/>
      <c r="BG70" s="444"/>
      <c r="BH70" s="444"/>
      <c r="BI70" s="444"/>
      <c r="BJ70" s="444"/>
      <c r="BK70" s="444"/>
      <c r="BL70" s="444"/>
      <c r="BM70" s="444"/>
      <c r="BN70" s="444"/>
      <c r="BO70" s="444"/>
      <c r="BP70" s="444"/>
      <c r="BQ70" s="444"/>
      <c r="BR70" s="444"/>
      <c r="BS70" s="444"/>
      <c r="BT70" s="444"/>
    </row>
    <row r="71" spans="1:72" s="443" customFormat="1" ht="15">
      <c r="A71" s="392"/>
      <c r="B71" s="392"/>
      <c r="C71" s="392"/>
      <c r="D71" s="392"/>
      <c r="E71" s="392"/>
      <c r="F71" s="392"/>
      <c r="G71" s="392"/>
      <c r="H71" s="392"/>
      <c r="I71" s="392"/>
      <c r="J71" s="392"/>
      <c r="K71" s="392"/>
      <c r="L71" s="392"/>
      <c r="M71" s="392"/>
      <c r="N71" s="392"/>
      <c r="O71" s="392"/>
      <c r="P71" s="392"/>
      <c r="Q71" s="392"/>
      <c r="R71" s="392"/>
      <c r="S71" s="409"/>
      <c r="T71" s="409"/>
      <c r="U71" s="409"/>
      <c r="V71" s="409"/>
      <c r="W71" s="392"/>
      <c r="X71" s="392"/>
      <c r="Y71" s="409"/>
      <c r="Z71" s="409"/>
      <c r="AA71" s="392"/>
      <c r="AB71" s="392"/>
      <c r="AC71" s="392"/>
      <c r="AD71" s="409"/>
      <c r="AE71" s="409"/>
      <c r="AF71" s="409"/>
      <c r="AG71" s="409"/>
      <c r="AH71" s="409"/>
      <c r="AI71" s="409"/>
      <c r="AJ71" s="409"/>
      <c r="AK71" s="409"/>
      <c r="AL71" s="409"/>
      <c r="AM71" s="409"/>
      <c r="AN71" s="409"/>
      <c r="AO71" s="409"/>
      <c r="AP71" s="409"/>
      <c r="AQ71" s="409"/>
      <c r="AR71" s="409"/>
      <c r="AS71" s="409"/>
      <c r="AT71" s="409"/>
      <c r="AU71" s="409"/>
      <c r="AV71" s="409"/>
      <c r="AW71" s="409"/>
      <c r="AX71" s="409"/>
      <c r="AY71" s="409"/>
      <c r="AZ71" s="409"/>
      <c r="BA71" s="409"/>
      <c r="BB71" s="409"/>
      <c r="BC71" s="409"/>
      <c r="BD71" s="407"/>
      <c r="BE71" s="444"/>
      <c r="BF71" s="444"/>
      <c r="BG71" s="444"/>
      <c r="BH71" s="444"/>
      <c r="BI71" s="444"/>
      <c r="BJ71" s="444"/>
      <c r="BK71" s="444"/>
      <c r="BL71" s="444"/>
      <c r="BM71" s="444"/>
      <c r="BN71" s="444"/>
      <c r="BO71" s="444"/>
      <c r="BP71" s="444"/>
      <c r="BQ71" s="444"/>
      <c r="BR71" s="444"/>
      <c r="BS71" s="444"/>
      <c r="BT71" s="444"/>
    </row>
    <row r="72" spans="1:72" s="443" customFormat="1" ht="15">
      <c r="A72" s="392"/>
      <c r="B72" s="392"/>
      <c r="C72" s="392"/>
      <c r="D72" s="392"/>
      <c r="E72" s="392"/>
      <c r="F72" s="392"/>
      <c r="G72" s="392"/>
      <c r="H72" s="392"/>
      <c r="I72" s="392"/>
      <c r="J72" s="392"/>
      <c r="K72" s="392"/>
      <c r="L72" s="392"/>
      <c r="M72" s="392"/>
      <c r="N72" s="392"/>
      <c r="O72" s="392"/>
      <c r="P72" s="392"/>
      <c r="Q72" s="392"/>
      <c r="R72" s="392"/>
      <c r="S72" s="409"/>
      <c r="T72" s="409"/>
      <c r="U72" s="409"/>
      <c r="V72" s="409"/>
      <c r="W72" s="392"/>
      <c r="X72" s="392"/>
      <c r="Y72" s="409"/>
      <c r="Z72" s="409"/>
      <c r="AA72" s="392"/>
      <c r="AB72" s="392"/>
      <c r="AC72" s="392"/>
      <c r="AD72" s="409"/>
      <c r="AE72" s="409"/>
      <c r="AF72" s="409"/>
      <c r="AG72" s="409"/>
      <c r="AH72" s="409"/>
      <c r="AI72" s="409"/>
      <c r="AJ72" s="409"/>
      <c r="AK72" s="409"/>
      <c r="AL72" s="409"/>
      <c r="AM72" s="409"/>
      <c r="AN72" s="409"/>
      <c r="AO72" s="409"/>
      <c r="AP72" s="409"/>
      <c r="AQ72" s="409"/>
      <c r="AR72" s="409"/>
      <c r="AS72" s="409"/>
      <c r="AT72" s="409"/>
      <c r="AU72" s="409"/>
      <c r="AV72" s="409"/>
      <c r="AW72" s="409"/>
      <c r="AX72" s="409"/>
      <c r="AY72" s="409"/>
      <c r="AZ72" s="409"/>
      <c r="BA72" s="409"/>
      <c r="BB72" s="409"/>
      <c r="BC72" s="409"/>
      <c r="BD72" s="407"/>
      <c r="BE72" s="444"/>
      <c r="BF72" s="444"/>
      <c r="BG72" s="444"/>
      <c r="BH72" s="444"/>
      <c r="BI72" s="444"/>
      <c r="BJ72" s="444"/>
      <c r="BK72" s="444"/>
      <c r="BL72" s="444"/>
      <c r="BM72" s="444"/>
      <c r="BN72" s="444"/>
      <c r="BO72" s="444"/>
      <c r="BP72" s="444"/>
      <c r="BQ72" s="444"/>
      <c r="BR72" s="444"/>
      <c r="BS72" s="444"/>
      <c r="BT72" s="444"/>
    </row>
    <row r="73" spans="1:72" s="443" customFormat="1" ht="15">
      <c r="A73" s="392"/>
      <c r="B73" s="392"/>
      <c r="C73" s="392"/>
      <c r="D73" s="392"/>
      <c r="E73" s="392"/>
      <c r="F73" s="392"/>
      <c r="G73" s="392"/>
      <c r="H73" s="392"/>
      <c r="I73" s="392"/>
      <c r="J73" s="392"/>
      <c r="K73" s="392"/>
      <c r="L73" s="392"/>
      <c r="M73" s="392"/>
      <c r="N73" s="392"/>
      <c r="O73" s="392"/>
      <c r="P73" s="392"/>
      <c r="Q73" s="392"/>
      <c r="R73" s="392"/>
      <c r="S73" s="409"/>
      <c r="T73" s="409"/>
      <c r="U73" s="409"/>
      <c r="V73" s="409"/>
      <c r="W73" s="392"/>
      <c r="X73" s="392"/>
      <c r="Y73" s="409"/>
      <c r="Z73" s="409"/>
      <c r="AA73" s="392"/>
      <c r="AB73" s="392"/>
      <c r="AC73" s="392"/>
      <c r="AD73" s="409"/>
      <c r="AE73" s="409"/>
      <c r="AF73" s="409"/>
      <c r="AG73" s="409"/>
      <c r="AH73" s="409"/>
      <c r="AI73" s="409"/>
      <c r="AJ73" s="409"/>
      <c r="AK73" s="409"/>
      <c r="AL73" s="409"/>
      <c r="AM73" s="409"/>
      <c r="AN73" s="409"/>
      <c r="AO73" s="409"/>
      <c r="AP73" s="409"/>
      <c r="AQ73" s="409"/>
      <c r="AR73" s="409"/>
      <c r="AS73" s="409"/>
      <c r="AT73" s="409"/>
      <c r="AU73" s="409"/>
      <c r="AV73" s="409"/>
      <c r="AW73" s="409"/>
      <c r="AX73" s="409"/>
      <c r="AY73" s="409"/>
      <c r="AZ73" s="409"/>
      <c r="BA73" s="409"/>
      <c r="BB73" s="409"/>
      <c r="BC73" s="409"/>
      <c r="BD73" s="407"/>
      <c r="BE73" s="444"/>
      <c r="BF73" s="444"/>
      <c r="BG73" s="444"/>
      <c r="BH73" s="444"/>
      <c r="BI73" s="444"/>
      <c r="BJ73" s="444"/>
      <c r="BK73" s="444"/>
      <c r="BL73" s="444"/>
      <c r="BM73" s="444"/>
      <c r="BN73" s="444"/>
      <c r="BO73" s="444"/>
      <c r="BP73" s="444"/>
      <c r="BQ73" s="444"/>
      <c r="BR73" s="444"/>
      <c r="BS73" s="444"/>
      <c r="BT73" s="444"/>
    </row>
    <row r="74" spans="1:72" s="443" customFormat="1" ht="15">
      <c r="A74" s="392"/>
      <c r="B74" s="392"/>
      <c r="C74" s="392"/>
      <c r="D74" s="392"/>
      <c r="E74" s="392"/>
      <c r="F74" s="392"/>
      <c r="G74" s="392"/>
      <c r="H74" s="392"/>
      <c r="I74" s="392"/>
      <c r="J74" s="392"/>
      <c r="K74" s="392"/>
      <c r="L74" s="392"/>
      <c r="M74" s="392"/>
      <c r="N74" s="392"/>
      <c r="O74" s="392"/>
      <c r="P74" s="392"/>
      <c r="Q74" s="392"/>
      <c r="R74" s="392"/>
      <c r="S74" s="409"/>
      <c r="T74" s="409"/>
      <c r="U74" s="409"/>
      <c r="V74" s="409"/>
      <c r="W74" s="392"/>
      <c r="X74" s="392"/>
      <c r="Y74" s="409"/>
      <c r="Z74" s="409"/>
      <c r="AA74" s="392"/>
      <c r="AB74" s="392"/>
      <c r="AC74" s="392"/>
      <c r="AD74" s="409"/>
      <c r="AE74" s="409"/>
      <c r="AF74" s="409"/>
      <c r="AG74" s="409"/>
      <c r="AH74" s="409"/>
      <c r="AI74" s="409"/>
      <c r="AJ74" s="409"/>
      <c r="AK74" s="409"/>
      <c r="AL74" s="409"/>
      <c r="AM74" s="409"/>
      <c r="AN74" s="409"/>
      <c r="AO74" s="409"/>
      <c r="AP74" s="409"/>
      <c r="AQ74" s="409"/>
      <c r="AR74" s="409"/>
      <c r="AS74" s="409"/>
      <c r="AT74" s="409"/>
      <c r="AU74" s="409"/>
      <c r="AV74" s="409"/>
      <c r="AW74" s="409"/>
      <c r="AX74" s="409"/>
      <c r="AY74" s="409"/>
      <c r="AZ74" s="409"/>
      <c r="BA74" s="409"/>
      <c r="BB74" s="409"/>
      <c r="BC74" s="409"/>
      <c r="BD74" s="407"/>
      <c r="BE74" s="444"/>
      <c r="BF74" s="444"/>
      <c r="BG74" s="444"/>
      <c r="BH74" s="444"/>
      <c r="BI74" s="444"/>
      <c r="BJ74" s="444"/>
      <c r="BK74" s="444"/>
      <c r="BL74" s="444"/>
      <c r="BM74" s="444"/>
      <c r="BN74" s="444"/>
      <c r="BO74" s="444"/>
      <c r="BP74" s="444"/>
      <c r="BQ74" s="444"/>
      <c r="BR74" s="444"/>
      <c r="BS74" s="444"/>
      <c r="BT74" s="444"/>
    </row>
    <row r="75" spans="1:72" s="443" customFormat="1" ht="15">
      <c r="A75" s="392"/>
      <c r="B75" s="392"/>
      <c r="C75" s="392"/>
      <c r="D75" s="392"/>
      <c r="E75" s="392"/>
      <c r="F75" s="392"/>
      <c r="G75" s="392"/>
      <c r="H75" s="392"/>
      <c r="I75" s="392"/>
      <c r="J75" s="392"/>
      <c r="K75" s="392"/>
      <c r="L75" s="392"/>
      <c r="M75" s="392"/>
      <c r="N75" s="392"/>
      <c r="O75" s="392"/>
      <c r="P75" s="392"/>
      <c r="Q75" s="392"/>
      <c r="R75" s="392"/>
      <c r="S75" s="409"/>
      <c r="T75" s="409"/>
      <c r="U75" s="409"/>
      <c r="V75" s="409"/>
      <c r="W75" s="392"/>
      <c r="X75" s="392"/>
      <c r="Y75" s="409"/>
      <c r="Z75" s="409"/>
      <c r="AA75" s="392"/>
      <c r="AB75" s="392"/>
      <c r="AC75" s="392"/>
      <c r="AD75" s="409"/>
      <c r="AE75" s="409"/>
      <c r="AF75" s="409"/>
      <c r="AG75" s="409"/>
      <c r="AH75" s="409"/>
      <c r="AI75" s="409"/>
      <c r="AJ75" s="409"/>
      <c r="AK75" s="409"/>
      <c r="AL75" s="409"/>
      <c r="AM75" s="409"/>
      <c r="AN75" s="409"/>
      <c r="AO75" s="409"/>
      <c r="AP75" s="409"/>
      <c r="AQ75" s="409"/>
      <c r="AR75" s="409"/>
      <c r="AS75" s="409"/>
      <c r="AT75" s="409"/>
      <c r="AU75" s="409"/>
      <c r="AV75" s="409"/>
      <c r="AW75" s="409"/>
      <c r="AX75" s="409"/>
      <c r="AY75" s="409"/>
      <c r="AZ75" s="409"/>
      <c r="BA75" s="409"/>
      <c r="BB75" s="409"/>
      <c r="BC75" s="409"/>
      <c r="BD75" s="407"/>
      <c r="BE75" s="444"/>
      <c r="BF75" s="444"/>
      <c r="BG75" s="444"/>
      <c r="BH75" s="444"/>
      <c r="BI75" s="444"/>
      <c r="BJ75" s="444"/>
      <c r="BK75" s="444"/>
      <c r="BL75" s="444"/>
      <c r="BM75" s="444"/>
      <c r="BN75" s="444"/>
      <c r="BO75" s="444"/>
      <c r="BP75" s="444"/>
      <c r="BQ75" s="444"/>
      <c r="BR75" s="444"/>
      <c r="BS75" s="444"/>
      <c r="BT75" s="444"/>
    </row>
    <row r="76" spans="1:72" s="443" customFormat="1" ht="15">
      <c r="A76" s="392"/>
      <c r="B76" s="392"/>
      <c r="C76" s="392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409"/>
      <c r="T76" s="409"/>
      <c r="U76" s="409"/>
      <c r="V76" s="409"/>
      <c r="W76" s="392"/>
      <c r="X76" s="392"/>
      <c r="Y76" s="409"/>
      <c r="Z76" s="409"/>
      <c r="AA76" s="392"/>
      <c r="AB76" s="392"/>
      <c r="AC76" s="392"/>
      <c r="AD76" s="409"/>
      <c r="AE76" s="409"/>
      <c r="AF76" s="409"/>
      <c r="AG76" s="409"/>
      <c r="AH76" s="409"/>
      <c r="AI76" s="409"/>
      <c r="AJ76" s="409"/>
      <c r="AK76" s="409"/>
      <c r="AL76" s="409"/>
      <c r="AM76" s="409"/>
      <c r="AN76" s="409"/>
      <c r="AO76" s="409"/>
      <c r="AP76" s="409"/>
      <c r="AQ76" s="409"/>
      <c r="AR76" s="409"/>
      <c r="AS76" s="409"/>
      <c r="AT76" s="409"/>
      <c r="AU76" s="409"/>
      <c r="AV76" s="409"/>
      <c r="AW76" s="409"/>
      <c r="AX76" s="409"/>
      <c r="AY76" s="409"/>
      <c r="AZ76" s="409"/>
      <c r="BA76" s="409"/>
      <c r="BB76" s="409"/>
      <c r="BC76" s="409"/>
      <c r="BD76" s="407"/>
      <c r="BE76" s="444"/>
      <c r="BF76" s="444"/>
      <c r="BG76" s="444"/>
      <c r="BH76" s="444"/>
      <c r="BI76" s="444"/>
      <c r="BJ76" s="444"/>
      <c r="BK76" s="444"/>
      <c r="BL76" s="444"/>
      <c r="BM76" s="444"/>
      <c r="BN76" s="444"/>
      <c r="BO76" s="444"/>
      <c r="BP76" s="444"/>
      <c r="BQ76" s="444"/>
      <c r="BR76" s="444"/>
      <c r="BS76" s="444"/>
      <c r="BT76" s="444"/>
    </row>
    <row r="77" spans="1:72" s="443" customFormat="1" ht="15">
      <c r="A77" s="392"/>
      <c r="B77" s="392"/>
      <c r="C77" s="392"/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409"/>
      <c r="T77" s="409"/>
      <c r="U77" s="409"/>
      <c r="V77" s="409"/>
      <c r="W77" s="392"/>
      <c r="X77" s="392"/>
      <c r="Y77" s="409"/>
      <c r="Z77" s="409"/>
      <c r="AA77" s="392"/>
      <c r="AB77" s="392"/>
      <c r="AC77" s="392"/>
      <c r="AD77" s="409"/>
      <c r="AE77" s="409"/>
      <c r="AF77" s="409"/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409"/>
      <c r="AS77" s="409"/>
      <c r="AT77" s="409"/>
      <c r="AU77" s="409"/>
      <c r="AV77" s="409"/>
      <c r="AW77" s="409"/>
      <c r="AX77" s="409"/>
      <c r="AY77" s="409"/>
      <c r="AZ77" s="409"/>
      <c r="BA77" s="409"/>
      <c r="BB77" s="409"/>
      <c r="BC77" s="409"/>
      <c r="BD77" s="407"/>
      <c r="BE77" s="444"/>
      <c r="BF77" s="444"/>
      <c r="BG77" s="444"/>
      <c r="BH77" s="444"/>
      <c r="BI77" s="444"/>
      <c r="BJ77" s="444"/>
      <c r="BK77" s="444"/>
      <c r="BL77" s="444"/>
      <c r="BM77" s="444"/>
      <c r="BN77" s="444"/>
      <c r="BO77" s="444"/>
      <c r="BP77" s="444"/>
      <c r="BQ77" s="444"/>
      <c r="BR77" s="444"/>
      <c r="BS77" s="444"/>
      <c r="BT77" s="444"/>
    </row>
    <row r="78" spans="1:72" s="443" customFormat="1" ht="15">
      <c r="A78" s="392"/>
      <c r="B78" s="392"/>
      <c r="C78" s="392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409"/>
      <c r="T78" s="409"/>
      <c r="U78" s="409"/>
      <c r="V78" s="409"/>
      <c r="W78" s="392"/>
      <c r="X78" s="392"/>
      <c r="Y78" s="409"/>
      <c r="Z78" s="409"/>
      <c r="AA78" s="392"/>
      <c r="AB78" s="392"/>
      <c r="AC78" s="392"/>
      <c r="AD78" s="409"/>
      <c r="AE78" s="409"/>
      <c r="AF78" s="409"/>
      <c r="AG78" s="409"/>
      <c r="AH78" s="409"/>
      <c r="AI78" s="409"/>
      <c r="AJ78" s="409"/>
      <c r="AK78" s="409"/>
      <c r="AL78" s="409"/>
      <c r="AM78" s="409"/>
      <c r="AN78" s="409"/>
      <c r="AO78" s="409"/>
      <c r="AP78" s="409"/>
      <c r="AQ78" s="409"/>
      <c r="AR78" s="409"/>
      <c r="AS78" s="409"/>
      <c r="AT78" s="409"/>
      <c r="AU78" s="409"/>
      <c r="AV78" s="409"/>
      <c r="AW78" s="409"/>
      <c r="AX78" s="409"/>
      <c r="AY78" s="409"/>
      <c r="AZ78" s="409"/>
      <c r="BA78" s="409"/>
      <c r="BB78" s="409"/>
      <c r="BC78" s="409"/>
      <c r="BD78" s="407"/>
      <c r="BE78" s="444"/>
      <c r="BF78" s="444"/>
      <c r="BG78" s="444"/>
      <c r="BH78" s="444"/>
      <c r="BI78" s="444"/>
      <c r="BJ78" s="444"/>
      <c r="BK78" s="444"/>
      <c r="BL78" s="444"/>
      <c r="BM78" s="444"/>
      <c r="BN78" s="444"/>
      <c r="BO78" s="444"/>
      <c r="BP78" s="444"/>
      <c r="BQ78" s="444"/>
      <c r="BR78" s="444"/>
      <c r="BS78" s="444"/>
      <c r="BT78" s="444"/>
    </row>
    <row r="79" spans="1:72" s="443" customFormat="1" ht="15">
      <c r="A79" s="392"/>
      <c r="B79" s="392"/>
      <c r="C79" s="392"/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409"/>
      <c r="T79" s="409"/>
      <c r="U79" s="409"/>
      <c r="V79" s="409"/>
      <c r="W79" s="392"/>
      <c r="X79" s="392"/>
      <c r="Y79" s="409"/>
      <c r="Z79" s="409"/>
      <c r="AA79" s="392"/>
      <c r="AB79" s="392"/>
      <c r="AC79" s="392"/>
      <c r="AD79" s="409"/>
      <c r="AE79" s="409"/>
      <c r="AF79" s="409"/>
      <c r="AG79" s="409"/>
      <c r="AH79" s="409"/>
      <c r="AI79" s="409"/>
      <c r="AJ79" s="409"/>
      <c r="AK79" s="409"/>
      <c r="AL79" s="409"/>
      <c r="AM79" s="409"/>
      <c r="AN79" s="409"/>
      <c r="AO79" s="409"/>
      <c r="AP79" s="409"/>
      <c r="AQ79" s="409"/>
      <c r="AR79" s="409"/>
      <c r="AS79" s="409"/>
      <c r="AT79" s="409"/>
      <c r="AU79" s="409"/>
      <c r="AV79" s="409"/>
      <c r="AW79" s="409"/>
      <c r="AX79" s="409"/>
      <c r="AY79" s="409"/>
      <c r="AZ79" s="409"/>
      <c r="BA79" s="409"/>
      <c r="BB79" s="409"/>
      <c r="BC79" s="409"/>
      <c r="BD79" s="407"/>
      <c r="BE79" s="444"/>
      <c r="BF79" s="444"/>
      <c r="BG79" s="444"/>
      <c r="BH79" s="444"/>
      <c r="BI79" s="444"/>
      <c r="BJ79" s="444"/>
      <c r="BK79" s="444"/>
      <c r="BL79" s="444"/>
      <c r="BM79" s="444"/>
      <c r="BN79" s="444"/>
      <c r="BO79" s="444"/>
      <c r="BP79" s="444"/>
      <c r="BQ79" s="444"/>
      <c r="BR79" s="444"/>
      <c r="BS79" s="444"/>
      <c r="BT79" s="444"/>
    </row>
    <row r="80" spans="1:72" s="443" customFormat="1" ht="15">
      <c r="A80" s="392"/>
      <c r="B80" s="392"/>
      <c r="C80" s="392"/>
      <c r="D80" s="392"/>
      <c r="E80" s="392"/>
      <c r="F80" s="392"/>
      <c r="G80" s="392"/>
      <c r="H80" s="392"/>
      <c r="I80" s="392"/>
      <c r="J80" s="392"/>
      <c r="K80" s="392"/>
      <c r="L80" s="392"/>
      <c r="M80" s="392"/>
      <c r="N80" s="392"/>
      <c r="O80" s="392"/>
      <c r="P80" s="392"/>
      <c r="Q80" s="392"/>
      <c r="R80" s="392"/>
      <c r="S80" s="409"/>
      <c r="T80" s="409"/>
      <c r="U80" s="409"/>
      <c r="V80" s="409"/>
      <c r="W80" s="392"/>
      <c r="X80" s="392"/>
      <c r="Y80" s="409"/>
      <c r="Z80" s="409"/>
      <c r="AA80" s="392"/>
      <c r="AB80" s="392"/>
      <c r="AC80" s="392"/>
      <c r="AD80" s="409"/>
      <c r="AE80" s="409"/>
      <c r="AF80" s="409"/>
      <c r="AG80" s="409"/>
      <c r="AH80" s="409"/>
      <c r="AI80" s="409"/>
      <c r="AJ80" s="409"/>
      <c r="AK80" s="409"/>
      <c r="AL80" s="409"/>
      <c r="AM80" s="409"/>
      <c r="AN80" s="409"/>
      <c r="AO80" s="409"/>
      <c r="AP80" s="409"/>
      <c r="AQ80" s="409"/>
      <c r="AR80" s="409"/>
      <c r="AS80" s="409"/>
      <c r="AT80" s="409"/>
      <c r="AU80" s="409"/>
      <c r="AV80" s="409"/>
      <c r="AW80" s="409"/>
      <c r="AX80" s="409"/>
      <c r="AY80" s="409"/>
      <c r="AZ80" s="409"/>
      <c r="BA80" s="409"/>
      <c r="BB80" s="409"/>
      <c r="BC80" s="409"/>
      <c r="BD80" s="407"/>
      <c r="BE80" s="444"/>
      <c r="BF80" s="444"/>
      <c r="BG80" s="444"/>
      <c r="BH80" s="444"/>
      <c r="BI80" s="444"/>
      <c r="BJ80" s="444"/>
      <c r="BK80" s="444"/>
      <c r="BL80" s="444"/>
      <c r="BM80" s="444"/>
      <c r="BN80" s="444"/>
      <c r="BO80" s="444"/>
      <c r="BP80" s="444"/>
      <c r="BQ80" s="444"/>
      <c r="BR80" s="444"/>
      <c r="BS80" s="444"/>
      <c r="BT80" s="444"/>
    </row>
    <row r="81" spans="1:72" s="443" customFormat="1" ht="15">
      <c r="A81" s="392"/>
      <c r="B81" s="392"/>
      <c r="C81" s="392"/>
      <c r="D81" s="392"/>
      <c r="E81" s="392"/>
      <c r="F81" s="392"/>
      <c r="G81" s="392"/>
      <c r="H81" s="392"/>
      <c r="I81" s="392"/>
      <c r="J81" s="392"/>
      <c r="K81" s="392"/>
      <c r="L81" s="392"/>
      <c r="M81" s="392"/>
      <c r="N81" s="392"/>
      <c r="O81" s="392"/>
      <c r="P81" s="392"/>
      <c r="Q81" s="392"/>
      <c r="R81" s="392"/>
      <c r="S81" s="409"/>
      <c r="T81" s="409"/>
      <c r="U81" s="409"/>
      <c r="V81" s="409"/>
      <c r="W81" s="392"/>
      <c r="X81" s="392"/>
      <c r="Y81" s="409"/>
      <c r="Z81" s="409"/>
      <c r="AA81" s="392"/>
      <c r="AB81" s="392"/>
      <c r="AC81" s="392"/>
      <c r="AD81" s="409"/>
      <c r="AE81" s="409"/>
      <c r="AF81" s="409"/>
      <c r="AG81" s="409"/>
      <c r="AH81" s="409"/>
      <c r="AI81" s="409"/>
      <c r="AJ81" s="409"/>
      <c r="AK81" s="409"/>
      <c r="AL81" s="409"/>
      <c r="AM81" s="409"/>
      <c r="AN81" s="409"/>
      <c r="AO81" s="409"/>
      <c r="AP81" s="409"/>
      <c r="AQ81" s="409"/>
      <c r="AR81" s="409"/>
      <c r="AS81" s="409"/>
      <c r="AT81" s="409"/>
      <c r="AU81" s="409"/>
      <c r="AV81" s="409"/>
      <c r="AW81" s="409"/>
      <c r="AX81" s="409"/>
      <c r="AY81" s="409"/>
      <c r="AZ81" s="409"/>
      <c r="BA81" s="409"/>
      <c r="BB81" s="409"/>
      <c r="BC81" s="409"/>
      <c r="BD81" s="407"/>
      <c r="BE81" s="444"/>
      <c r="BF81" s="444"/>
      <c r="BG81" s="444"/>
      <c r="BH81" s="444"/>
      <c r="BI81" s="444"/>
      <c r="BJ81" s="444"/>
      <c r="BK81" s="444"/>
      <c r="BL81" s="444"/>
      <c r="BM81" s="444"/>
      <c r="BN81" s="444"/>
      <c r="BO81" s="444"/>
      <c r="BP81" s="444"/>
      <c r="BQ81" s="444"/>
      <c r="BR81" s="444"/>
      <c r="BS81" s="444"/>
      <c r="BT81" s="444"/>
    </row>
    <row r="82" spans="1:72" s="443" customFormat="1" ht="15">
      <c r="A82" s="392"/>
      <c r="B82" s="392"/>
      <c r="C82" s="392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409"/>
      <c r="T82" s="409"/>
      <c r="U82" s="409"/>
      <c r="V82" s="409"/>
      <c r="W82" s="392"/>
      <c r="X82" s="392"/>
      <c r="Y82" s="409"/>
      <c r="Z82" s="409"/>
      <c r="AA82" s="392"/>
      <c r="AB82" s="392"/>
      <c r="AC82" s="392"/>
      <c r="AD82" s="409"/>
      <c r="AE82" s="409"/>
      <c r="AF82" s="409"/>
      <c r="AG82" s="409"/>
      <c r="AH82" s="409"/>
      <c r="AI82" s="409"/>
      <c r="AJ82" s="409"/>
      <c r="AK82" s="409"/>
      <c r="AL82" s="409"/>
      <c r="AM82" s="409"/>
      <c r="AN82" s="409"/>
      <c r="AO82" s="409"/>
      <c r="AP82" s="409"/>
      <c r="AQ82" s="409"/>
      <c r="AR82" s="409"/>
      <c r="AS82" s="409"/>
      <c r="AT82" s="409"/>
      <c r="AU82" s="409"/>
      <c r="AV82" s="409"/>
      <c r="AW82" s="409"/>
      <c r="AX82" s="409"/>
      <c r="AY82" s="409"/>
      <c r="AZ82" s="409"/>
      <c r="BA82" s="409"/>
      <c r="BB82" s="409"/>
      <c r="BC82" s="409"/>
      <c r="BD82" s="407"/>
      <c r="BE82" s="444"/>
      <c r="BF82" s="444"/>
      <c r="BG82" s="444"/>
      <c r="BH82" s="444"/>
      <c r="BI82" s="444"/>
      <c r="BJ82" s="444"/>
      <c r="BK82" s="444"/>
      <c r="BL82" s="444"/>
      <c r="BM82" s="444"/>
      <c r="BN82" s="444"/>
      <c r="BO82" s="444"/>
      <c r="BP82" s="444"/>
      <c r="BQ82" s="444"/>
      <c r="BR82" s="444"/>
      <c r="BS82" s="444"/>
      <c r="BT82" s="444"/>
    </row>
    <row r="83" spans="1:72" s="443" customFormat="1" ht="15">
      <c r="A83" s="392"/>
      <c r="B83" s="392"/>
      <c r="C83" s="392"/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409"/>
      <c r="T83" s="409"/>
      <c r="U83" s="409"/>
      <c r="V83" s="409"/>
      <c r="W83" s="392"/>
      <c r="X83" s="392"/>
      <c r="Y83" s="409"/>
      <c r="Z83" s="409"/>
      <c r="AA83" s="392"/>
      <c r="AB83" s="392"/>
      <c r="AC83" s="392"/>
      <c r="AD83" s="409"/>
      <c r="AE83" s="409"/>
      <c r="AF83" s="409"/>
      <c r="AG83" s="409"/>
      <c r="AH83" s="409"/>
      <c r="AI83" s="409"/>
      <c r="AJ83" s="409"/>
      <c r="AK83" s="409"/>
      <c r="AL83" s="409"/>
      <c r="AM83" s="409"/>
      <c r="AN83" s="409"/>
      <c r="AO83" s="409"/>
      <c r="AP83" s="409"/>
      <c r="AQ83" s="409"/>
      <c r="AR83" s="409"/>
      <c r="AS83" s="409"/>
      <c r="AT83" s="409"/>
      <c r="AU83" s="409"/>
      <c r="AV83" s="409"/>
      <c r="AW83" s="409"/>
      <c r="AX83" s="409"/>
      <c r="AY83" s="409"/>
      <c r="AZ83" s="409"/>
      <c r="BA83" s="409"/>
      <c r="BB83" s="409"/>
      <c r="BC83" s="409"/>
      <c r="BD83" s="407"/>
      <c r="BE83" s="444"/>
      <c r="BF83" s="444"/>
      <c r="BG83" s="444"/>
      <c r="BH83" s="444"/>
      <c r="BI83" s="444"/>
      <c r="BJ83" s="444"/>
      <c r="BK83" s="444"/>
      <c r="BL83" s="444"/>
      <c r="BM83" s="444"/>
      <c r="BN83" s="444"/>
      <c r="BO83" s="444"/>
      <c r="BP83" s="444"/>
      <c r="BQ83" s="444"/>
      <c r="BR83" s="444"/>
      <c r="BS83" s="444"/>
      <c r="BT83" s="444"/>
    </row>
    <row r="84" spans="1:72" s="443" customFormat="1" ht="15">
      <c r="A84" s="392"/>
      <c r="B84" s="392"/>
      <c r="C84" s="392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409"/>
      <c r="T84" s="409"/>
      <c r="U84" s="409"/>
      <c r="V84" s="409"/>
      <c r="W84" s="392"/>
      <c r="X84" s="392"/>
      <c r="Y84" s="409"/>
      <c r="Z84" s="409"/>
      <c r="AA84" s="392"/>
      <c r="AB84" s="392"/>
      <c r="AC84" s="392"/>
      <c r="AD84" s="409"/>
      <c r="AE84" s="409"/>
      <c r="AF84" s="409"/>
      <c r="AG84" s="409"/>
      <c r="AH84" s="409"/>
      <c r="AI84" s="409"/>
      <c r="AJ84" s="409"/>
      <c r="AK84" s="409"/>
      <c r="AL84" s="409"/>
      <c r="AM84" s="409"/>
      <c r="AN84" s="409"/>
      <c r="AO84" s="409"/>
      <c r="AP84" s="409"/>
      <c r="AQ84" s="409"/>
      <c r="AR84" s="409"/>
      <c r="AS84" s="409"/>
      <c r="AT84" s="409"/>
      <c r="AU84" s="409"/>
      <c r="AV84" s="409"/>
      <c r="AW84" s="409"/>
      <c r="AX84" s="409"/>
      <c r="AY84" s="409"/>
      <c r="AZ84" s="409"/>
      <c r="BA84" s="409"/>
      <c r="BB84" s="409"/>
      <c r="BC84" s="409"/>
      <c r="BD84" s="407"/>
      <c r="BE84" s="444"/>
      <c r="BF84" s="444"/>
      <c r="BG84" s="444"/>
      <c r="BH84" s="444"/>
      <c r="BI84" s="444"/>
      <c r="BJ84" s="444"/>
      <c r="BK84" s="444"/>
      <c r="BL84" s="444"/>
      <c r="BM84" s="444"/>
      <c r="BN84" s="444"/>
      <c r="BO84" s="444"/>
      <c r="BP84" s="444"/>
      <c r="BQ84" s="444"/>
      <c r="BR84" s="444"/>
      <c r="BS84" s="444"/>
      <c r="BT84" s="444"/>
    </row>
    <row r="85" spans="1:72" s="443" customFormat="1" ht="15">
      <c r="A85" s="392"/>
      <c r="B85" s="392"/>
      <c r="C85" s="392"/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409"/>
      <c r="T85" s="409"/>
      <c r="U85" s="409"/>
      <c r="V85" s="409"/>
      <c r="W85" s="392"/>
      <c r="X85" s="392"/>
      <c r="Y85" s="409"/>
      <c r="Z85" s="409"/>
      <c r="AA85" s="392"/>
      <c r="AB85" s="392"/>
      <c r="AC85" s="392"/>
      <c r="AD85" s="409"/>
      <c r="AE85" s="409"/>
      <c r="AF85" s="409"/>
      <c r="AG85" s="409"/>
      <c r="AH85" s="409"/>
      <c r="AI85" s="409"/>
      <c r="AJ85" s="409"/>
      <c r="AK85" s="409"/>
      <c r="AL85" s="409"/>
      <c r="AM85" s="409"/>
      <c r="AN85" s="409"/>
      <c r="AO85" s="409"/>
      <c r="AP85" s="409"/>
      <c r="AQ85" s="409"/>
      <c r="AR85" s="409"/>
      <c r="AS85" s="409"/>
      <c r="AT85" s="409"/>
      <c r="AU85" s="409"/>
      <c r="AV85" s="409"/>
      <c r="AW85" s="409"/>
      <c r="AX85" s="409"/>
      <c r="AY85" s="409"/>
      <c r="AZ85" s="409"/>
      <c r="BA85" s="409"/>
      <c r="BB85" s="409"/>
      <c r="BC85" s="409"/>
      <c r="BD85" s="407"/>
      <c r="BE85" s="444"/>
      <c r="BF85" s="444"/>
      <c r="BG85" s="444"/>
      <c r="BH85" s="444"/>
      <c r="BI85" s="444"/>
      <c r="BJ85" s="444"/>
      <c r="BK85" s="444"/>
      <c r="BL85" s="444"/>
      <c r="BM85" s="444"/>
      <c r="BN85" s="444"/>
      <c r="BO85" s="444"/>
      <c r="BP85" s="444"/>
      <c r="BQ85" s="444"/>
      <c r="BR85" s="444"/>
      <c r="BS85" s="444"/>
      <c r="BT85" s="444"/>
    </row>
    <row r="86" spans="1:72" s="443" customFormat="1" ht="15">
      <c r="A86" s="392"/>
      <c r="B86" s="392"/>
      <c r="C86" s="392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409"/>
      <c r="T86" s="409"/>
      <c r="U86" s="409"/>
      <c r="V86" s="409"/>
      <c r="W86" s="392"/>
      <c r="X86" s="392"/>
      <c r="Y86" s="409"/>
      <c r="Z86" s="409"/>
      <c r="AA86" s="392"/>
      <c r="AB86" s="392"/>
      <c r="AC86" s="392"/>
      <c r="AD86" s="409"/>
      <c r="AE86" s="409"/>
      <c r="AF86" s="409"/>
      <c r="AG86" s="409"/>
      <c r="AH86" s="409"/>
      <c r="AI86" s="409"/>
      <c r="AJ86" s="409"/>
      <c r="AK86" s="409"/>
      <c r="AL86" s="409"/>
      <c r="AM86" s="409"/>
      <c r="AN86" s="409"/>
      <c r="AO86" s="409"/>
      <c r="AP86" s="409"/>
      <c r="AQ86" s="409"/>
      <c r="AR86" s="409"/>
      <c r="AS86" s="409"/>
      <c r="AT86" s="409"/>
      <c r="AU86" s="409"/>
      <c r="AV86" s="409"/>
      <c r="AW86" s="409"/>
      <c r="AX86" s="409"/>
      <c r="AY86" s="409"/>
      <c r="AZ86" s="409"/>
      <c r="BA86" s="409"/>
      <c r="BB86" s="409"/>
      <c r="BC86" s="409"/>
      <c r="BD86" s="407"/>
      <c r="BE86" s="444"/>
      <c r="BF86" s="444"/>
      <c r="BG86" s="444"/>
      <c r="BH86" s="444"/>
      <c r="BI86" s="444"/>
      <c r="BJ86" s="444"/>
      <c r="BK86" s="444"/>
      <c r="BL86" s="444"/>
      <c r="BM86" s="444"/>
      <c r="BN86" s="444"/>
      <c r="BO86" s="444"/>
      <c r="BP86" s="444"/>
      <c r="BQ86" s="444"/>
      <c r="BR86" s="444"/>
      <c r="BS86" s="444"/>
      <c r="BT86" s="444"/>
    </row>
    <row r="87" spans="1:72" s="443" customFormat="1" ht="15">
      <c r="A87" s="392"/>
      <c r="B87" s="392"/>
      <c r="C87" s="392"/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409"/>
      <c r="T87" s="409"/>
      <c r="U87" s="409"/>
      <c r="V87" s="409"/>
      <c r="W87" s="392"/>
      <c r="X87" s="392"/>
      <c r="Y87" s="409"/>
      <c r="Z87" s="409"/>
      <c r="AA87" s="392"/>
      <c r="AB87" s="392"/>
      <c r="AC87" s="392"/>
      <c r="AD87" s="409"/>
      <c r="AE87" s="409"/>
      <c r="AF87" s="409"/>
      <c r="AG87" s="409"/>
      <c r="AH87" s="409"/>
      <c r="AI87" s="409"/>
      <c r="AJ87" s="409"/>
      <c r="AK87" s="409"/>
      <c r="AL87" s="409"/>
      <c r="AM87" s="409"/>
      <c r="AN87" s="409"/>
      <c r="AO87" s="409"/>
      <c r="AP87" s="409"/>
      <c r="AQ87" s="409"/>
      <c r="AR87" s="409"/>
      <c r="AS87" s="409"/>
      <c r="AT87" s="409"/>
      <c r="AU87" s="409"/>
      <c r="AV87" s="409"/>
      <c r="AW87" s="409"/>
      <c r="AX87" s="409"/>
      <c r="AY87" s="409"/>
      <c r="AZ87" s="409"/>
      <c r="BA87" s="409"/>
      <c r="BB87" s="409"/>
      <c r="BC87" s="409"/>
      <c r="BD87" s="407"/>
      <c r="BE87" s="444"/>
      <c r="BF87" s="444"/>
      <c r="BG87" s="444"/>
      <c r="BH87" s="444"/>
      <c r="BI87" s="444"/>
      <c r="BJ87" s="444"/>
      <c r="BK87" s="444"/>
      <c r="BL87" s="444"/>
      <c r="BM87" s="444"/>
      <c r="BN87" s="444"/>
      <c r="BO87" s="444"/>
      <c r="BP87" s="444"/>
      <c r="BQ87" s="444"/>
      <c r="BR87" s="444"/>
      <c r="BS87" s="444"/>
      <c r="BT87" s="444"/>
    </row>
    <row r="88" spans="1:72" s="443" customFormat="1" ht="15">
      <c r="A88" s="392"/>
      <c r="B88" s="392"/>
      <c r="C88" s="392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409"/>
      <c r="T88" s="409"/>
      <c r="U88" s="409"/>
      <c r="V88" s="409"/>
      <c r="W88" s="392"/>
      <c r="X88" s="392"/>
      <c r="Y88" s="409"/>
      <c r="Z88" s="409"/>
      <c r="AA88" s="392"/>
      <c r="AB88" s="392"/>
      <c r="AC88" s="392"/>
      <c r="AD88" s="409"/>
      <c r="AE88" s="409"/>
      <c r="AF88" s="409"/>
      <c r="AG88" s="409"/>
      <c r="AH88" s="409"/>
      <c r="AI88" s="409"/>
      <c r="AJ88" s="409"/>
      <c r="AK88" s="409"/>
      <c r="AL88" s="409"/>
      <c r="AM88" s="409"/>
      <c r="AN88" s="409"/>
      <c r="AO88" s="409"/>
      <c r="AP88" s="409"/>
      <c r="AQ88" s="409"/>
      <c r="AR88" s="409"/>
      <c r="AS88" s="409"/>
      <c r="AT88" s="409"/>
      <c r="AU88" s="409"/>
      <c r="AV88" s="409"/>
      <c r="AW88" s="409"/>
      <c r="AX88" s="409"/>
      <c r="AY88" s="409"/>
      <c r="AZ88" s="409"/>
      <c r="BA88" s="409"/>
      <c r="BB88" s="409"/>
      <c r="BC88" s="409"/>
      <c r="BD88" s="407"/>
      <c r="BE88" s="444"/>
      <c r="BF88" s="444"/>
      <c r="BG88" s="444"/>
      <c r="BH88" s="444"/>
      <c r="BI88" s="444"/>
      <c r="BJ88" s="444"/>
      <c r="BK88" s="444"/>
      <c r="BL88" s="444"/>
      <c r="BM88" s="444"/>
      <c r="BN88" s="444"/>
      <c r="BO88" s="444"/>
      <c r="BP88" s="444"/>
      <c r="BQ88" s="444"/>
      <c r="BR88" s="444"/>
      <c r="BS88" s="444"/>
      <c r="BT88" s="444"/>
    </row>
    <row r="89" spans="1:72" s="443" customFormat="1" ht="15">
      <c r="A89" s="392"/>
      <c r="B89" s="392"/>
      <c r="C89" s="392"/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409"/>
      <c r="T89" s="409"/>
      <c r="U89" s="409"/>
      <c r="V89" s="409"/>
      <c r="W89" s="392"/>
      <c r="X89" s="392"/>
      <c r="Y89" s="409"/>
      <c r="Z89" s="409"/>
      <c r="AA89" s="392"/>
      <c r="AB89" s="392"/>
      <c r="AC89" s="392"/>
      <c r="AD89" s="409"/>
      <c r="AE89" s="409"/>
      <c r="AF89" s="409"/>
      <c r="AG89" s="409"/>
      <c r="AH89" s="409"/>
      <c r="AI89" s="409"/>
      <c r="AJ89" s="409"/>
      <c r="AK89" s="409"/>
      <c r="AL89" s="409"/>
      <c r="AM89" s="409"/>
      <c r="AN89" s="409"/>
      <c r="AO89" s="409"/>
      <c r="AP89" s="409"/>
      <c r="AQ89" s="409"/>
      <c r="AR89" s="409"/>
      <c r="AS89" s="409"/>
      <c r="AT89" s="409"/>
      <c r="AU89" s="409"/>
      <c r="AV89" s="409"/>
      <c r="AW89" s="409"/>
      <c r="AX89" s="409"/>
      <c r="AY89" s="409"/>
      <c r="AZ89" s="409"/>
      <c r="BA89" s="409"/>
      <c r="BB89" s="409"/>
      <c r="BC89" s="409"/>
      <c r="BD89" s="407"/>
      <c r="BE89" s="444"/>
      <c r="BF89" s="444"/>
      <c r="BG89" s="444"/>
      <c r="BH89" s="444"/>
      <c r="BI89" s="444"/>
      <c r="BJ89" s="444"/>
      <c r="BK89" s="444"/>
      <c r="BL89" s="444"/>
      <c r="BM89" s="444"/>
      <c r="BN89" s="444"/>
      <c r="BO89" s="444"/>
      <c r="BP89" s="444"/>
      <c r="BQ89" s="444"/>
      <c r="BR89" s="444"/>
      <c r="BS89" s="444"/>
      <c r="BT89" s="444"/>
    </row>
    <row r="90" spans="1:72" s="443" customFormat="1" ht="15">
      <c r="A90" s="392"/>
      <c r="B90" s="392"/>
      <c r="C90" s="392"/>
      <c r="D90" s="392"/>
      <c r="E90" s="392"/>
      <c r="F90" s="392"/>
      <c r="G90" s="392"/>
      <c r="H90" s="392"/>
      <c r="I90" s="392"/>
      <c r="J90" s="392"/>
      <c r="K90" s="392"/>
      <c r="L90" s="392"/>
      <c r="M90" s="392"/>
      <c r="N90" s="392"/>
      <c r="O90" s="392"/>
      <c r="P90" s="392"/>
      <c r="Q90" s="392"/>
      <c r="R90" s="392"/>
      <c r="S90" s="409"/>
      <c r="T90" s="409"/>
      <c r="U90" s="409"/>
      <c r="V90" s="409"/>
      <c r="W90" s="392"/>
      <c r="X90" s="392"/>
      <c r="Y90" s="409"/>
      <c r="Z90" s="409"/>
      <c r="AA90" s="392"/>
      <c r="AB90" s="392"/>
      <c r="AC90" s="392"/>
      <c r="AD90" s="409"/>
      <c r="AE90" s="409"/>
      <c r="AF90" s="409"/>
      <c r="AG90" s="409"/>
      <c r="AH90" s="409"/>
      <c r="AI90" s="409"/>
      <c r="AJ90" s="409"/>
      <c r="AK90" s="409"/>
      <c r="AL90" s="409"/>
      <c r="AM90" s="409"/>
      <c r="AN90" s="409"/>
      <c r="AO90" s="409"/>
      <c r="AP90" s="409"/>
      <c r="AQ90" s="409"/>
      <c r="AR90" s="409"/>
      <c r="AS90" s="409"/>
      <c r="AT90" s="409"/>
      <c r="AU90" s="409"/>
      <c r="AV90" s="409"/>
      <c r="AW90" s="409"/>
      <c r="AX90" s="409"/>
      <c r="AY90" s="409"/>
      <c r="AZ90" s="409"/>
      <c r="BA90" s="409"/>
      <c r="BB90" s="409"/>
      <c r="BC90" s="409"/>
      <c r="BD90" s="407"/>
      <c r="BE90" s="444"/>
      <c r="BF90" s="444"/>
      <c r="BG90" s="444"/>
      <c r="BH90" s="444"/>
      <c r="BI90" s="444"/>
      <c r="BJ90" s="444"/>
      <c r="BK90" s="444"/>
      <c r="BL90" s="444"/>
      <c r="BM90" s="444"/>
      <c r="BN90" s="444"/>
      <c r="BO90" s="444"/>
      <c r="BP90" s="444"/>
      <c r="BQ90" s="444"/>
      <c r="BR90" s="444"/>
      <c r="BS90" s="444"/>
      <c r="BT90" s="444"/>
    </row>
    <row r="91" spans="1:72" s="443" customFormat="1" ht="15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409"/>
      <c r="T91" s="409"/>
      <c r="U91" s="409"/>
      <c r="V91" s="409"/>
      <c r="W91" s="392"/>
      <c r="X91" s="392"/>
      <c r="Y91" s="409"/>
      <c r="Z91" s="409"/>
      <c r="AA91" s="392"/>
      <c r="AB91" s="392"/>
      <c r="AC91" s="392"/>
      <c r="AD91" s="409"/>
      <c r="AE91" s="409"/>
      <c r="AF91" s="409"/>
      <c r="AG91" s="409"/>
      <c r="AH91" s="409"/>
      <c r="AI91" s="409"/>
      <c r="AJ91" s="409"/>
      <c r="AK91" s="409"/>
      <c r="AL91" s="409"/>
      <c r="AM91" s="409"/>
      <c r="AN91" s="409"/>
      <c r="AO91" s="409"/>
      <c r="AP91" s="409"/>
      <c r="AQ91" s="409"/>
      <c r="AR91" s="409"/>
      <c r="AS91" s="409"/>
      <c r="AT91" s="409"/>
      <c r="AU91" s="409"/>
      <c r="AV91" s="409"/>
      <c r="AW91" s="409"/>
      <c r="AX91" s="409"/>
      <c r="AY91" s="409"/>
      <c r="AZ91" s="409"/>
      <c r="BA91" s="409"/>
      <c r="BB91" s="409"/>
      <c r="BC91" s="409"/>
      <c r="BD91" s="407"/>
      <c r="BE91" s="444"/>
      <c r="BF91" s="444"/>
      <c r="BG91" s="444"/>
      <c r="BH91" s="444"/>
      <c r="BI91" s="444"/>
      <c r="BJ91" s="444"/>
      <c r="BK91" s="444"/>
      <c r="BL91" s="444"/>
      <c r="BM91" s="444"/>
      <c r="BN91" s="444"/>
      <c r="BO91" s="444"/>
      <c r="BP91" s="444"/>
      <c r="BQ91" s="444"/>
      <c r="BR91" s="444"/>
      <c r="BS91" s="444"/>
      <c r="BT91" s="444"/>
    </row>
    <row r="92" spans="1:72" s="443" customFormat="1" ht="15">
      <c r="A92" s="392"/>
      <c r="B92" s="392"/>
      <c r="C92" s="392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409"/>
      <c r="T92" s="409"/>
      <c r="U92" s="409"/>
      <c r="V92" s="409"/>
      <c r="W92" s="392"/>
      <c r="X92" s="392"/>
      <c r="Y92" s="409"/>
      <c r="Z92" s="409"/>
      <c r="AA92" s="392"/>
      <c r="AB92" s="392"/>
      <c r="AC92" s="392"/>
      <c r="AD92" s="409"/>
      <c r="AE92" s="409"/>
      <c r="AF92" s="409"/>
      <c r="AG92" s="409"/>
      <c r="AH92" s="409"/>
      <c r="AI92" s="409"/>
      <c r="AJ92" s="409"/>
      <c r="AK92" s="409"/>
      <c r="AL92" s="409"/>
      <c r="AM92" s="409"/>
      <c r="AN92" s="409"/>
      <c r="AO92" s="409"/>
      <c r="AP92" s="409"/>
      <c r="AQ92" s="409"/>
      <c r="AR92" s="409"/>
      <c r="AS92" s="409"/>
      <c r="AT92" s="409"/>
      <c r="AU92" s="409"/>
      <c r="AV92" s="409"/>
      <c r="AW92" s="409"/>
      <c r="AX92" s="409"/>
      <c r="AY92" s="409"/>
      <c r="AZ92" s="409"/>
      <c r="BA92" s="409"/>
      <c r="BB92" s="409"/>
      <c r="BC92" s="409"/>
      <c r="BD92" s="407"/>
      <c r="BE92" s="444"/>
      <c r="BF92" s="444"/>
      <c r="BG92" s="444"/>
      <c r="BH92" s="444"/>
      <c r="BI92" s="444"/>
      <c r="BJ92" s="444"/>
      <c r="BK92" s="444"/>
      <c r="BL92" s="444"/>
      <c r="BM92" s="444"/>
      <c r="BN92" s="444"/>
      <c r="BO92" s="444"/>
      <c r="BP92" s="444"/>
      <c r="BQ92" s="444"/>
      <c r="BR92" s="444"/>
      <c r="BS92" s="444"/>
      <c r="BT92" s="444"/>
    </row>
    <row r="93" spans="1:72" s="443" customFormat="1" ht="15">
      <c r="A93" s="392"/>
      <c r="B93" s="392"/>
      <c r="C93" s="392"/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409"/>
      <c r="T93" s="409"/>
      <c r="U93" s="409"/>
      <c r="V93" s="409"/>
      <c r="W93" s="392"/>
      <c r="X93" s="392"/>
      <c r="Y93" s="409"/>
      <c r="Z93" s="409"/>
      <c r="AA93" s="392"/>
      <c r="AB93" s="392"/>
      <c r="AC93" s="392"/>
      <c r="AD93" s="409"/>
      <c r="AE93" s="409"/>
      <c r="AF93" s="409"/>
      <c r="AG93" s="409"/>
      <c r="AH93" s="409"/>
      <c r="AI93" s="409"/>
      <c r="AJ93" s="409"/>
      <c r="AK93" s="409"/>
      <c r="AL93" s="409"/>
      <c r="AM93" s="409"/>
      <c r="AN93" s="409"/>
      <c r="AO93" s="409"/>
      <c r="AP93" s="409"/>
      <c r="AQ93" s="409"/>
      <c r="AR93" s="409"/>
      <c r="AS93" s="409"/>
      <c r="AT93" s="409"/>
      <c r="AU93" s="409"/>
      <c r="AV93" s="409"/>
      <c r="AW93" s="409"/>
      <c r="AX93" s="409"/>
      <c r="AY93" s="409"/>
      <c r="AZ93" s="409"/>
      <c r="BA93" s="409"/>
      <c r="BB93" s="409"/>
      <c r="BC93" s="409"/>
      <c r="BD93" s="407"/>
      <c r="BE93" s="444"/>
      <c r="BF93" s="444"/>
      <c r="BG93" s="444"/>
      <c r="BH93" s="444"/>
      <c r="BI93" s="444"/>
      <c r="BJ93" s="444"/>
      <c r="BK93" s="444"/>
      <c r="BL93" s="444"/>
      <c r="BM93" s="444"/>
      <c r="BN93" s="444"/>
      <c r="BO93" s="444"/>
      <c r="BP93" s="444"/>
      <c r="BQ93" s="444"/>
      <c r="BR93" s="444"/>
      <c r="BS93" s="444"/>
      <c r="BT93" s="444"/>
    </row>
    <row r="94" spans="1:72" s="443" customFormat="1" ht="15">
      <c r="A94" s="392"/>
      <c r="B94" s="392"/>
      <c r="C94" s="392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409"/>
      <c r="T94" s="409"/>
      <c r="U94" s="409"/>
      <c r="V94" s="409"/>
      <c r="W94" s="392"/>
      <c r="X94" s="392"/>
      <c r="Y94" s="409"/>
      <c r="Z94" s="409"/>
      <c r="AA94" s="392"/>
      <c r="AB94" s="392"/>
      <c r="AC94" s="392"/>
      <c r="AD94" s="409"/>
      <c r="AE94" s="409"/>
      <c r="AF94" s="409"/>
      <c r="AG94" s="409"/>
      <c r="AH94" s="409"/>
      <c r="AI94" s="409"/>
      <c r="AJ94" s="409"/>
      <c r="AK94" s="409"/>
      <c r="AL94" s="409"/>
      <c r="AM94" s="409"/>
      <c r="AN94" s="409"/>
      <c r="AO94" s="409"/>
      <c r="AP94" s="409"/>
      <c r="AQ94" s="409"/>
      <c r="AR94" s="409"/>
      <c r="AS94" s="409"/>
      <c r="AT94" s="409"/>
      <c r="AU94" s="409"/>
      <c r="AV94" s="409"/>
      <c r="AW94" s="409"/>
      <c r="AX94" s="409"/>
      <c r="AY94" s="409"/>
      <c r="AZ94" s="409"/>
      <c r="BA94" s="409"/>
      <c r="BB94" s="409"/>
      <c r="BC94" s="409"/>
      <c r="BD94" s="407"/>
      <c r="BE94" s="444"/>
      <c r="BF94" s="444"/>
      <c r="BG94" s="444"/>
      <c r="BH94" s="444"/>
      <c r="BI94" s="444"/>
      <c r="BJ94" s="444"/>
      <c r="BK94" s="444"/>
      <c r="BL94" s="444"/>
      <c r="BM94" s="444"/>
      <c r="BN94" s="444"/>
      <c r="BO94" s="444"/>
      <c r="BP94" s="444"/>
      <c r="BQ94" s="444"/>
      <c r="BR94" s="444"/>
      <c r="BS94" s="444"/>
      <c r="BT94" s="444"/>
    </row>
    <row r="95" spans="1:72" s="443" customFormat="1" ht="15">
      <c r="A95" s="392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409"/>
      <c r="T95" s="409"/>
      <c r="U95" s="409"/>
      <c r="V95" s="409"/>
      <c r="W95" s="392"/>
      <c r="X95" s="392"/>
      <c r="Y95" s="409"/>
      <c r="Z95" s="409"/>
      <c r="AA95" s="392"/>
      <c r="AB95" s="392"/>
      <c r="AC95" s="392"/>
      <c r="AD95" s="409"/>
      <c r="AE95" s="409"/>
      <c r="AF95" s="409"/>
      <c r="AG95" s="409"/>
      <c r="AH95" s="409"/>
      <c r="AI95" s="409"/>
      <c r="AJ95" s="409"/>
      <c r="AK95" s="409"/>
      <c r="AL95" s="409"/>
      <c r="AM95" s="409"/>
      <c r="AN95" s="409"/>
      <c r="AO95" s="409"/>
      <c r="AP95" s="409"/>
      <c r="AQ95" s="409"/>
      <c r="AR95" s="409"/>
      <c r="AS95" s="409"/>
      <c r="AT95" s="409"/>
      <c r="AU95" s="409"/>
      <c r="AV95" s="409"/>
      <c r="AW95" s="409"/>
      <c r="AX95" s="409"/>
      <c r="AY95" s="409"/>
      <c r="AZ95" s="409"/>
      <c r="BA95" s="409"/>
      <c r="BB95" s="409"/>
      <c r="BC95" s="409"/>
      <c r="BD95" s="407"/>
      <c r="BE95" s="444"/>
      <c r="BF95" s="444"/>
      <c r="BG95" s="444"/>
      <c r="BH95" s="444"/>
      <c r="BI95" s="444"/>
      <c r="BJ95" s="444"/>
      <c r="BK95" s="444"/>
      <c r="BL95" s="444"/>
      <c r="BM95" s="444"/>
      <c r="BN95" s="444"/>
      <c r="BO95" s="444"/>
      <c r="BP95" s="444"/>
      <c r="BQ95" s="444"/>
      <c r="BR95" s="444"/>
      <c r="BS95" s="444"/>
      <c r="BT95" s="444"/>
    </row>
    <row r="96" spans="1:72" s="443" customFormat="1" ht="15">
      <c r="A96" s="392"/>
      <c r="B96" s="392"/>
      <c r="C96" s="392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409"/>
      <c r="T96" s="409"/>
      <c r="U96" s="409"/>
      <c r="V96" s="409"/>
      <c r="W96" s="392"/>
      <c r="X96" s="392"/>
      <c r="Y96" s="409"/>
      <c r="Z96" s="409"/>
      <c r="AA96" s="392"/>
      <c r="AB96" s="392"/>
      <c r="AC96" s="392"/>
      <c r="AD96" s="409"/>
      <c r="AE96" s="409"/>
      <c r="AF96" s="409"/>
      <c r="AG96" s="409"/>
      <c r="AH96" s="409"/>
      <c r="AI96" s="409"/>
      <c r="AJ96" s="409"/>
      <c r="AK96" s="409"/>
      <c r="AL96" s="409"/>
      <c r="AM96" s="409"/>
      <c r="AN96" s="409"/>
      <c r="AO96" s="409"/>
      <c r="AP96" s="409"/>
      <c r="AQ96" s="409"/>
      <c r="AR96" s="409"/>
      <c r="AS96" s="409"/>
      <c r="AT96" s="409"/>
      <c r="AU96" s="409"/>
      <c r="AV96" s="409"/>
      <c r="AW96" s="409"/>
      <c r="AX96" s="409"/>
      <c r="AY96" s="409"/>
      <c r="AZ96" s="409"/>
      <c r="BA96" s="409"/>
      <c r="BB96" s="409"/>
      <c r="BC96" s="409"/>
      <c r="BD96" s="407"/>
      <c r="BE96" s="444"/>
      <c r="BF96" s="444"/>
      <c r="BG96" s="444"/>
      <c r="BH96" s="444"/>
      <c r="BI96" s="444"/>
      <c r="BJ96" s="444"/>
      <c r="BK96" s="444"/>
      <c r="BL96" s="444"/>
      <c r="BM96" s="444"/>
      <c r="BN96" s="444"/>
      <c r="BO96" s="444"/>
      <c r="BP96" s="444"/>
      <c r="BQ96" s="444"/>
      <c r="BR96" s="444"/>
      <c r="BS96" s="444"/>
      <c r="BT96" s="444"/>
    </row>
    <row r="97" spans="1:72" s="443" customFormat="1" ht="15">
      <c r="A97" s="392"/>
      <c r="B97" s="392"/>
      <c r="C97" s="392"/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409"/>
      <c r="T97" s="409"/>
      <c r="U97" s="409"/>
      <c r="V97" s="409"/>
      <c r="W97" s="392"/>
      <c r="X97" s="392"/>
      <c r="Y97" s="409"/>
      <c r="Z97" s="409"/>
      <c r="AA97" s="392"/>
      <c r="AB97" s="392"/>
      <c r="AC97" s="392"/>
      <c r="AD97" s="409"/>
      <c r="AE97" s="409"/>
      <c r="AF97" s="409"/>
      <c r="AG97" s="409"/>
      <c r="AH97" s="409"/>
      <c r="AI97" s="409"/>
      <c r="AJ97" s="409"/>
      <c r="AK97" s="409"/>
      <c r="AL97" s="409"/>
      <c r="AM97" s="409"/>
      <c r="AN97" s="409"/>
      <c r="AO97" s="409"/>
      <c r="AP97" s="409"/>
      <c r="AQ97" s="409"/>
      <c r="AR97" s="409"/>
      <c r="AS97" s="409"/>
      <c r="AT97" s="409"/>
      <c r="AU97" s="409"/>
      <c r="AV97" s="409"/>
      <c r="AW97" s="409"/>
      <c r="AX97" s="409"/>
      <c r="AY97" s="409"/>
      <c r="AZ97" s="409"/>
      <c r="BA97" s="409"/>
      <c r="BB97" s="409"/>
      <c r="BC97" s="409"/>
      <c r="BD97" s="407"/>
      <c r="BE97" s="444"/>
      <c r="BF97" s="444"/>
      <c r="BG97" s="444"/>
      <c r="BH97" s="444"/>
      <c r="BI97" s="444"/>
      <c r="BJ97" s="444"/>
      <c r="BK97" s="444"/>
      <c r="BL97" s="444"/>
      <c r="BM97" s="444"/>
      <c r="BN97" s="444"/>
      <c r="BO97" s="444"/>
      <c r="BP97" s="444"/>
      <c r="BQ97" s="444"/>
      <c r="BR97" s="444"/>
      <c r="BS97" s="444"/>
      <c r="BT97" s="444"/>
    </row>
    <row r="98" spans="1:72" s="443" customFormat="1" ht="15">
      <c r="A98" s="392"/>
      <c r="B98" s="392"/>
      <c r="C98" s="392"/>
      <c r="D98" s="392"/>
      <c r="E98" s="392"/>
      <c r="F98" s="392"/>
      <c r="G98" s="392"/>
      <c r="H98" s="392"/>
      <c r="I98" s="392"/>
      <c r="J98" s="392"/>
      <c r="K98" s="392"/>
      <c r="L98" s="392"/>
      <c r="M98" s="392"/>
      <c r="N98" s="392"/>
      <c r="O98" s="392"/>
      <c r="P98" s="392"/>
      <c r="Q98" s="392"/>
      <c r="R98" s="392"/>
      <c r="S98" s="409"/>
      <c r="T98" s="409"/>
      <c r="U98" s="409"/>
      <c r="V98" s="409"/>
      <c r="W98" s="392"/>
      <c r="X98" s="392"/>
      <c r="Y98" s="409"/>
      <c r="Z98" s="409"/>
      <c r="AA98" s="392"/>
      <c r="AB98" s="392"/>
      <c r="AC98" s="392"/>
      <c r="AD98" s="409"/>
      <c r="AE98" s="409"/>
      <c r="AF98" s="409"/>
      <c r="AG98" s="409"/>
      <c r="AH98" s="409"/>
      <c r="AI98" s="409"/>
      <c r="AJ98" s="409"/>
      <c r="AK98" s="409"/>
      <c r="AL98" s="409"/>
      <c r="AM98" s="409"/>
      <c r="AN98" s="409"/>
      <c r="AO98" s="409"/>
      <c r="AP98" s="409"/>
      <c r="AQ98" s="409"/>
      <c r="AR98" s="409"/>
      <c r="AS98" s="409"/>
      <c r="AT98" s="409"/>
      <c r="AU98" s="409"/>
      <c r="AV98" s="409"/>
      <c r="AW98" s="409"/>
      <c r="AX98" s="409"/>
      <c r="AY98" s="409"/>
      <c r="AZ98" s="409"/>
      <c r="BA98" s="409"/>
      <c r="BB98" s="409"/>
      <c r="BC98" s="409"/>
      <c r="BD98" s="407"/>
      <c r="BE98" s="444"/>
      <c r="BF98" s="444"/>
      <c r="BG98" s="444"/>
      <c r="BH98" s="444"/>
      <c r="BI98" s="444"/>
      <c r="BJ98" s="444"/>
      <c r="BK98" s="444"/>
      <c r="BL98" s="444"/>
      <c r="BM98" s="444"/>
      <c r="BN98" s="444"/>
      <c r="BO98" s="444"/>
      <c r="BP98" s="444"/>
      <c r="BQ98" s="444"/>
      <c r="BR98" s="444"/>
      <c r="BS98" s="444"/>
      <c r="BT98" s="444"/>
    </row>
    <row r="99" spans="1:72" s="443" customFormat="1" ht="15">
      <c r="A99" s="392"/>
      <c r="B99" s="392"/>
      <c r="C99" s="392"/>
      <c r="D99" s="392"/>
      <c r="E99" s="392"/>
      <c r="F99" s="392"/>
      <c r="G99" s="392"/>
      <c r="H99" s="392"/>
      <c r="I99" s="392"/>
      <c r="J99" s="392"/>
      <c r="K99" s="392"/>
      <c r="L99" s="392"/>
      <c r="M99" s="392"/>
      <c r="N99" s="392"/>
      <c r="O99" s="392"/>
      <c r="P99" s="392"/>
      <c r="Q99" s="392"/>
      <c r="R99" s="392"/>
      <c r="S99" s="409"/>
      <c r="T99" s="409"/>
      <c r="U99" s="409"/>
      <c r="V99" s="409"/>
      <c r="W99" s="392"/>
      <c r="X99" s="392"/>
      <c r="Y99" s="409"/>
      <c r="Z99" s="409"/>
      <c r="AA99" s="392"/>
      <c r="AB99" s="392"/>
      <c r="AC99" s="392"/>
      <c r="AD99" s="409"/>
      <c r="AE99" s="409"/>
      <c r="AF99" s="409"/>
      <c r="AG99" s="409"/>
      <c r="AH99" s="409"/>
      <c r="AI99" s="409"/>
      <c r="AJ99" s="409"/>
      <c r="AK99" s="409"/>
      <c r="AL99" s="409"/>
      <c r="AM99" s="409"/>
      <c r="AN99" s="409"/>
      <c r="AO99" s="409"/>
      <c r="AP99" s="409"/>
      <c r="AQ99" s="409"/>
      <c r="AR99" s="409"/>
      <c r="AS99" s="409"/>
      <c r="AT99" s="409"/>
      <c r="AU99" s="409"/>
      <c r="AV99" s="409"/>
      <c r="AW99" s="409"/>
      <c r="AX99" s="409"/>
      <c r="AY99" s="409"/>
      <c r="AZ99" s="409"/>
      <c r="BA99" s="409"/>
      <c r="BB99" s="409"/>
      <c r="BC99" s="409"/>
      <c r="BD99" s="407"/>
      <c r="BE99" s="444"/>
      <c r="BF99" s="444"/>
      <c r="BG99" s="444"/>
      <c r="BH99" s="444"/>
      <c r="BI99" s="444"/>
      <c r="BJ99" s="444"/>
      <c r="BK99" s="444"/>
      <c r="BL99" s="444"/>
      <c r="BM99" s="444"/>
      <c r="BN99" s="444"/>
      <c r="BO99" s="444"/>
      <c r="BP99" s="444"/>
      <c r="BQ99" s="444"/>
      <c r="BR99" s="444"/>
      <c r="BS99" s="444"/>
      <c r="BT99" s="444"/>
    </row>
    <row r="100" spans="1:72" s="443" customFormat="1" ht="15">
      <c r="A100" s="392"/>
      <c r="B100" s="392"/>
      <c r="C100" s="392"/>
      <c r="D100" s="392"/>
      <c r="E100" s="392"/>
      <c r="F100" s="392"/>
      <c r="G100" s="392"/>
      <c r="H100" s="392"/>
      <c r="I100" s="392"/>
      <c r="J100" s="392"/>
      <c r="K100" s="392"/>
      <c r="L100" s="392"/>
      <c r="M100" s="392"/>
      <c r="N100" s="392"/>
      <c r="O100" s="392"/>
      <c r="P100" s="392"/>
      <c r="Q100" s="392"/>
      <c r="R100" s="392"/>
      <c r="S100" s="409"/>
      <c r="T100" s="409"/>
      <c r="U100" s="409"/>
      <c r="V100" s="409"/>
      <c r="W100" s="392"/>
      <c r="X100" s="392"/>
      <c r="Y100" s="409"/>
      <c r="Z100" s="409"/>
      <c r="AA100" s="392"/>
      <c r="AB100" s="392"/>
      <c r="AC100" s="392"/>
      <c r="AD100" s="409"/>
      <c r="AE100" s="409"/>
      <c r="AF100" s="409"/>
      <c r="AG100" s="409"/>
      <c r="AH100" s="409"/>
      <c r="AI100" s="409"/>
      <c r="AJ100" s="409"/>
      <c r="AK100" s="409"/>
      <c r="AL100" s="409"/>
      <c r="AM100" s="409"/>
      <c r="AN100" s="409"/>
      <c r="AO100" s="409"/>
      <c r="AP100" s="409"/>
      <c r="AQ100" s="409"/>
      <c r="AR100" s="409"/>
      <c r="AS100" s="409"/>
      <c r="AT100" s="409"/>
      <c r="AU100" s="409"/>
      <c r="AV100" s="409"/>
      <c r="AW100" s="409"/>
      <c r="AX100" s="409"/>
      <c r="AY100" s="409"/>
      <c r="AZ100" s="409"/>
      <c r="BA100" s="409"/>
      <c r="BB100" s="409"/>
      <c r="BC100" s="409"/>
      <c r="BD100" s="407"/>
      <c r="BE100" s="444"/>
      <c r="BF100" s="444"/>
      <c r="BG100" s="444"/>
      <c r="BH100" s="444"/>
      <c r="BI100" s="444"/>
      <c r="BJ100" s="444"/>
      <c r="BK100" s="444"/>
      <c r="BL100" s="444"/>
      <c r="BM100" s="444"/>
      <c r="BN100" s="444"/>
      <c r="BO100" s="444"/>
      <c r="BP100" s="444"/>
      <c r="BQ100" s="444"/>
      <c r="BR100" s="444"/>
      <c r="BS100" s="444"/>
      <c r="BT100" s="444"/>
    </row>
    <row r="101" spans="1:72" s="443" customFormat="1" ht="15">
      <c r="A101" s="392"/>
      <c r="B101" s="392"/>
      <c r="C101" s="392"/>
      <c r="D101" s="392"/>
      <c r="E101" s="392"/>
      <c r="F101" s="392"/>
      <c r="G101" s="392"/>
      <c r="H101" s="392"/>
      <c r="I101" s="392"/>
      <c r="J101" s="392"/>
      <c r="K101" s="392"/>
      <c r="L101" s="392"/>
      <c r="M101" s="392"/>
      <c r="N101" s="392"/>
      <c r="O101" s="392"/>
      <c r="P101" s="392"/>
      <c r="Q101" s="392"/>
      <c r="R101" s="392"/>
      <c r="S101" s="409"/>
      <c r="T101" s="409"/>
      <c r="U101" s="409"/>
      <c r="V101" s="409"/>
      <c r="W101" s="392"/>
      <c r="X101" s="392"/>
      <c r="Y101" s="409"/>
      <c r="Z101" s="409"/>
      <c r="AA101" s="392"/>
      <c r="AB101" s="392"/>
      <c r="AC101" s="392"/>
      <c r="AD101" s="409"/>
      <c r="AE101" s="409"/>
      <c r="AF101" s="409"/>
      <c r="AG101" s="409"/>
      <c r="AH101" s="409"/>
      <c r="AI101" s="409"/>
      <c r="AJ101" s="409"/>
      <c r="AK101" s="409"/>
      <c r="AL101" s="409"/>
      <c r="AM101" s="409"/>
      <c r="AN101" s="409"/>
      <c r="AO101" s="409"/>
      <c r="AP101" s="409"/>
      <c r="AQ101" s="409"/>
      <c r="AR101" s="409"/>
      <c r="AS101" s="409"/>
      <c r="AT101" s="409"/>
      <c r="AU101" s="409"/>
      <c r="AV101" s="409"/>
      <c r="AW101" s="409"/>
      <c r="AX101" s="409"/>
      <c r="AY101" s="409"/>
      <c r="AZ101" s="409"/>
      <c r="BA101" s="409"/>
      <c r="BB101" s="409"/>
      <c r="BC101" s="409"/>
      <c r="BD101" s="407"/>
      <c r="BE101" s="444"/>
      <c r="BF101" s="444"/>
      <c r="BG101" s="444"/>
      <c r="BH101" s="444"/>
      <c r="BI101" s="444"/>
      <c r="BJ101" s="444"/>
      <c r="BK101" s="444"/>
      <c r="BL101" s="444"/>
      <c r="BM101" s="444"/>
      <c r="BN101" s="444"/>
      <c r="BO101" s="444"/>
      <c r="BP101" s="444"/>
      <c r="BQ101" s="444"/>
      <c r="BR101" s="444"/>
      <c r="BS101" s="444"/>
      <c r="BT101" s="444"/>
    </row>
    <row r="102" spans="1:72" s="443" customFormat="1" ht="15">
      <c r="A102" s="392"/>
      <c r="B102" s="392"/>
      <c r="C102" s="392"/>
      <c r="D102" s="392"/>
      <c r="E102" s="392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409"/>
      <c r="T102" s="409"/>
      <c r="U102" s="409"/>
      <c r="V102" s="409"/>
      <c r="W102" s="392"/>
      <c r="X102" s="392"/>
      <c r="Y102" s="409"/>
      <c r="Z102" s="409"/>
      <c r="AA102" s="392"/>
      <c r="AB102" s="392"/>
      <c r="AC102" s="392"/>
      <c r="AD102" s="409"/>
      <c r="AE102" s="409"/>
      <c r="AF102" s="409"/>
      <c r="AG102" s="409"/>
      <c r="AH102" s="409"/>
      <c r="AI102" s="409"/>
      <c r="AJ102" s="409"/>
      <c r="AK102" s="409"/>
      <c r="AL102" s="409"/>
      <c r="AM102" s="409"/>
      <c r="AN102" s="409"/>
      <c r="AO102" s="409"/>
      <c r="AP102" s="409"/>
      <c r="AQ102" s="409"/>
      <c r="AR102" s="409"/>
      <c r="AS102" s="409"/>
      <c r="AT102" s="409"/>
      <c r="AU102" s="409"/>
      <c r="AV102" s="409"/>
      <c r="AW102" s="409"/>
      <c r="AX102" s="409"/>
      <c r="AY102" s="409"/>
      <c r="AZ102" s="409"/>
      <c r="BA102" s="409"/>
      <c r="BB102" s="409"/>
      <c r="BC102" s="409"/>
      <c r="BD102" s="407"/>
      <c r="BE102" s="444"/>
      <c r="BF102" s="444"/>
      <c r="BG102" s="444"/>
      <c r="BH102" s="444"/>
      <c r="BI102" s="444"/>
      <c r="BJ102" s="444"/>
      <c r="BK102" s="444"/>
      <c r="BL102" s="444"/>
      <c r="BM102" s="444"/>
      <c r="BN102" s="444"/>
      <c r="BO102" s="444"/>
      <c r="BP102" s="444"/>
      <c r="BQ102" s="444"/>
      <c r="BR102" s="444"/>
      <c r="BS102" s="444"/>
      <c r="BT102" s="444"/>
    </row>
    <row r="103" spans="1:72" s="443" customFormat="1" ht="15">
      <c r="A103" s="392"/>
      <c r="B103" s="392"/>
      <c r="C103" s="392"/>
      <c r="D103" s="392"/>
      <c r="E103" s="392"/>
      <c r="F103" s="392"/>
      <c r="G103" s="392"/>
      <c r="H103" s="392"/>
      <c r="I103" s="392"/>
      <c r="J103" s="392"/>
      <c r="K103" s="392"/>
      <c r="L103" s="392"/>
      <c r="M103" s="392"/>
      <c r="N103" s="392"/>
      <c r="O103" s="392"/>
      <c r="P103" s="392"/>
      <c r="Q103" s="392"/>
      <c r="R103" s="392"/>
      <c r="S103" s="409"/>
      <c r="T103" s="409"/>
      <c r="U103" s="409"/>
      <c r="V103" s="409"/>
      <c r="W103" s="392"/>
      <c r="X103" s="392"/>
      <c r="Y103" s="409"/>
      <c r="Z103" s="409"/>
      <c r="AA103" s="392"/>
      <c r="AB103" s="392"/>
      <c r="AC103" s="392"/>
      <c r="AD103" s="409"/>
      <c r="AE103" s="409"/>
      <c r="AF103" s="409"/>
      <c r="AG103" s="409"/>
      <c r="AH103" s="409"/>
      <c r="AI103" s="409"/>
      <c r="AJ103" s="409"/>
      <c r="AK103" s="409"/>
      <c r="AL103" s="409"/>
      <c r="AM103" s="409"/>
      <c r="AN103" s="409"/>
      <c r="AO103" s="409"/>
      <c r="AP103" s="409"/>
      <c r="AQ103" s="409"/>
      <c r="AR103" s="409"/>
      <c r="AS103" s="409"/>
      <c r="AT103" s="409"/>
      <c r="AU103" s="409"/>
      <c r="AV103" s="409"/>
      <c r="AW103" s="409"/>
      <c r="AX103" s="409"/>
      <c r="AY103" s="409"/>
      <c r="AZ103" s="409"/>
      <c r="BA103" s="409"/>
      <c r="BB103" s="409"/>
      <c r="BC103" s="409"/>
      <c r="BD103" s="407"/>
      <c r="BE103" s="444"/>
      <c r="BF103" s="444"/>
      <c r="BG103" s="444"/>
      <c r="BH103" s="444"/>
      <c r="BI103" s="444"/>
      <c r="BJ103" s="444"/>
      <c r="BK103" s="444"/>
      <c r="BL103" s="444"/>
      <c r="BM103" s="444"/>
      <c r="BN103" s="444"/>
      <c r="BO103" s="444"/>
      <c r="BP103" s="444"/>
      <c r="BQ103" s="444"/>
      <c r="BR103" s="444"/>
      <c r="BS103" s="444"/>
      <c r="BT103" s="444"/>
    </row>
    <row r="104" spans="1:72" s="443" customFormat="1" ht="15">
      <c r="A104" s="392"/>
      <c r="B104" s="392"/>
      <c r="C104" s="392"/>
      <c r="D104" s="392"/>
      <c r="E104" s="392"/>
      <c r="F104" s="392"/>
      <c r="G104" s="392"/>
      <c r="H104" s="392"/>
      <c r="I104" s="392"/>
      <c r="J104" s="392"/>
      <c r="K104" s="392"/>
      <c r="L104" s="392"/>
      <c r="M104" s="392"/>
      <c r="N104" s="392"/>
      <c r="O104" s="392"/>
      <c r="P104" s="392"/>
      <c r="Q104" s="392"/>
      <c r="R104" s="392"/>
      <c r="S104" s="409"/>
      <c r="T104" s="409"/>
      <c r="U104" s="409"/>
      <c r="V104" s="409"/>
      <c r="W104" s="392"/>
      <c r="X104" s="392"/>
      <c r="Y104" s="409"/>
      <c r="Z104" s="409"/>
      <c r="AA104" s="392"/>
      <c r="AB104" s="392"/>
      <c r="AC104" s="392"/>
      <c r="AD104" s="409"/>
      <c r="AE104" s="409"/>
      <c r="AF104" s="409"/>
      <c r="AG104" s="409"/>
      <c r="AH104" s="409"/>
      <c r="AI104" s="409"/>
      <c r="AJ104" s="409"/>
      <c r="AK104" s="409"/>
      <c r="AL104" s="409"/>
      <c r="AM104" s="409"/>
      <c r="AN104" s="409"/>
      <c r="AO104" s="409"/>
      <c r="AP104" s="409"/>
      <c r="AQ104" s="409"/>
      <c r="AR104" s="409"/>
      <c r="AS104" s="409"/>
      <c r="AT104" s="409"/>
      <c r="AU104" s="409"/>
      <c r="AV104" s="409"/>
      <c r="AW104" s="409"/>
      <c r="AX104" s="409"/>
      <c r="AY104" s="409"/>
      <c r="AZ104" s="409"/>
      <c r="BA104" s="409"/>
      <c r="BB104" s="409"/>
      <c r="BC104" s="409"/>
      <c r="BD104" s="407"/>
      <c r="BE104" s="444"/>
      <c r="BF104" s="444"/>
      <c r="BG104" s="444"/>
      <c r="BH104" s="444"/>
      <c r="BI104" s="444"/>
      <c r="BJ104" s="444"/>
      <c r="BK104" s="444"/>
      <c r="BL104" s="444"/>
      <c r="BM104" s="444"/>
      <c r="BN104" s="444"/>
      <c r="BO104" s="444"/>
      <c r="BP104" s="444"/>
      <c r="BQ104" s="444"/>
      <c r="BR104" s="444"/>
      <c r="BS104" s="444"/>
      <c r="BT104" s="444"/>
    </row>
    <row r="105" spans="1:72" s="443" customFormat="1" ht="15">
      <c r="A105" s="392"/>
      <c r="B105" s="392"/>
      <c r="C105" s="392"/>
      <c r="D105" s="392"/>
      <c r="E105" s="392"/>
      <c r="F105" s="392"/>
      <c r="G105" s="392"/>
      <c r="H105" s="392"/>
      <c r="I105" s="392"/>
      <c r="J105" s="392"/>
      <c r="K105" s="392"/>
      <c r="L105" s="392"/>
      <c r="M105" s="392"/>
      <c r="N105" s="392"/>
      <c r="O105" s="392"/>
      <c r="P105" s="392"/>
      <c r="Q105" s="392"/>
      <c r="R105" s="392"/>
      <c r="S105" s="409"/>
      <c r="T105" s="409"/>
      <c r="U105" s="409"/>
      <c r="V105" s="409"/>
      <c r="W105" s="392"/>
      <c r="X105" s="392"/>
      <c r="Y105" s="409"/>
      <c r="Z105" s="409"/>
      <c r="AA105" s="392"/>
      <c r="AB105" s="392"/>
      <c r="AC105" s="392"/>
      <c r="AD105" s="409"/>
      <c r="AE105" s="409"/>
      <c r="AF105" s="409"/>
      <c r="AG105" s="409"/>
      <c r="AH105" s="409"/>
      <c r="AI105" s="409"/>
      <c r="AJ105" s="409"/>
      <c r="AK105" s="409"/>
      <c r="AL105" s="409"/>
      <c r="AM105" s="409"/>
      <c r="AN105" s="409"/>
      <c r="AO105" s="409"/>
      <c r="AP105" s="409"/>
      <c r="AQ105" s="409"/>
      <c r="AR105" s="409"/>
      <c r="AS105" s="409"/>
      <c r="AT105" s="409"/>
      <c r="AU105" s="409"/>
      <c r="AV105" s="409"/>
      <c r="AW105" s="409"/>
      <c r="AX105" s="409"/>
      <c r="AY105" s="409"/>
      <c r="AZ105" s="409"/>
      <c r="BA105" s="409"/>
      <c r="BB105" s="409"/>
      <c r="BC105" s="409"/>
      <c r="BD105" s="407"/>
      <c r="BE105" s="444"/>
      <c r="BF105" s="444"/>
      <c r="BG105" s="444"/>
      <c r="BH105" s="444"/>
      <c r="BI105" s="444"/>
      <c r="BJ105" s="444"/>
      <c r="BK105" s="444"/>
      <c r="BL105" s="444"/>
      <c r="BM105" s="444"/>
      <c r="BN105" s="444"/>
      <c r="BO105" s="444"/>
      <c r="BP105" s="444"/>
      <c r="BQ105" s="444"/>
      <c r="BR105" s="444"/>
      <c r="BS105" s="444"/>
      <c r="BT105" s="444"/>
    </row>
    <row r="106" spans="1:72" s="443" customFormat="1" ht="15">
      <c r="A106" s="392"/>
      <c r="B106" s="392"/>
      <c r="C106" s="392"/>
      <c r="D106" s="392"/>
      <c r="E106" s="392"/>
      <c r="F106" s="392"/>
      <c r="G106" s="392"/>
      <c r="H106" s="392"/>
      <c r="I106" s="392"/>
      <c r="J106" s="392"/>
      <c r="K106" s="392"/>
      <c r="L106" s="392"/>
      <c r="M106" s="392"/>
      <c r="N106" s="392"/>
      <c r="O106" s="392"/>
      <c r="P106" s="392"/>
      <c r="Q106" s="392"/>
      <c r="R106" s="392"/>
      <c r="S106" s="409"/>
      <c r="T106" s="409"/>
      <c r="U106" s="409"/>
      <c r="V106" s="409"/>
      <c r="W106" s="392"/>
      <c r="X106" s="392"/>
      <c r="Y106" s="409"/>
      <c r="Z106" s="409"/>
      <c r="AA106" s="392"/>
      <c r="AB106" s="392"/>
      <c r="AC106" s="392"/>
      <c r="AD106" s="409"/>
      <c r="AE106" s="409"/>
      <c r="AF106" s="409"/>
      <c r="AG106" s="409"/>
      <c r="AH106" s="409"/>
      <c r="AI106" s="409"/>
      <c r="AJ106" s="409"/>
      <c r="AK106" s="409"/>
      <c r="AL106" s="409"/>
      <c r="AM106" s="409"/>
      <c r="AN106" s="409"/>
      <c r="AO106" s="409"/>
      <c r="AP106" s="409"/>
      <c r="AQ106" s="409"/>
      <c r="AR106" s="409"/>
      <c r="AS106" s="409"/>
      <c r="AT106" s="409"/>
      <c r="AU106" s="409"/>
      <c r="AV106" s="409"/>
      <c r="AW106" s="409"/>
      <c r="AX106" s="409"/>
      <c r="AY106" s="409"/>
      <c r="AZ106" s="409"/>
      <c r="BA106" s="409"/>
      <c r="BB106" s="409"/>
      <c r="BC106" s="409"/>
      <c r="BD106" s="407"/>
      <c r="BE106" s="444"/>
      <c r="BF106" s="444"/>
      <c r="BG106" s="444"/>
      <c r="BH106" s="444"/>
      <c r="BI106" s="444"/>
      <c r="BJ106" s="444"/>
      <c r="BK106" s="444"/>
      <c r="BL106" s="444"/>
      <c r="BM106" s="444"/>
      <c r="BN106" s="444"/>
      <c r="BO106" s="444"/>
      <c r="BP106" s="444"/>
      <c r="BQ106" s="444"/>
      <c r="BR106" s="444"/>
      <c r="BS106" s="444"/>
      <c r="BT106" s="444"/>
    </row>
    <row r="107" spans="1:72" s="443" customFormat="1" ht="15">
      <c r="A107" s="392"/>
      <c r="B107" s="392"/>
      <c r="C107" s="392"/>
      <c r="D107" s="392"/>
      <c r="E107" s="392"/>
      <c r="F107" s="392"/>
      <c r="G107" s="392"/>
      <c r="H107" s="392"/>
      <c r="I107" s="392"/>
      <c r="J107" s="392"/>
      <c r="K107" s="392"/>
      <c r="L107" s="392"/>
      <c r="M107" s="392"/>
      <c r="N107" s="392"/>
      <c r="O107" s="392"/>
      <c r="P107" s="392"/>
      <c r="Q107" s="392"/>
      <c r="R107" s="392"/>
      <c r="S107" s="409"/>
      <c r="T107" s="409"/>
      <c r="U107" s="409"/>
      <c r="V107" s="409"/>
      <c r="W107" s="392"/>
      <c r="X107" s="392"/>
      <c r="Y107" s="409"/>
      <c r="Z107" s="409"/>
      <c r="AA107" s="392"/>
      <c r="AB107" s="392"/>
      <c r="AC107" s="392"/>
      <c r="AD107" s="409"/>
      <c r="AE107" s="409"/>
      <c r="AF107" s="409"/>
      <c r="AG107" s="409"/>
      <c r="AH107" s="409"/>
      <c r="AI107" s="409"/>
      <c r="AJ107" s="409"/>
      <c r="AK107" s="409"/>
      <c r="AL107" s="409"/>
      <c r="AM107" s="409"/>
      <c r="AN107" s="409"/>
      <c r="AO107" s="409"/>
      <c r="AP107" s="409"/>
      <c r="AQ107" s="409"/>
      <c r="AR107" s="409"/>
      <c r="AS107" s="409"/>
      <c r="AT107" s="409"/>
      <c r="AU107" s="409"/>
      <c r="AV107" s="409"/>
      <c r="AW107" s="409"/>
      <c r="AX107" s="409"/>
      <c r="AY107" s="409"/>
      <c r="AZ107" s="409"/>
      <c r="BA107" s="409"/>
      <c r="BB107" s="409"/>
      <c r="BC107" s="409"/>
      <c r="BD107" s="407"/>
      <c r="BE107" s="444"/>
      <c r="BF107" s="444"/>
      <c r="BG107" s="444"/>
      <c r="BH107" s="444"/>
      <c r="BI107" s="444"/>
      <c r="BJ107" s="444"/>
      <c r="BK107" s="444"/>
      <c r="BL107" s="444"/>
      <c r="BM107" s="444"/>
      <c r="BN107" s="444"/>
      <c r="BO107" s="444"/>
      <c r="BP107" s="444"/>
      <c r="BQ107" s="444"/>
      <c r="BR107" s="444"/>
      <c r="BS107" s="444"/>
      <c r="BT107" s="444"/>
    </row>
    <row r="108" spans="1:72" s="443" customFormat="1" ht="15">
      <c r="A108" s="392"/>
      <c r="B108" s="392"/>
      <c r="C108" s="392"/>
      <c r="D108" s="392"/>
      <c r="E108" s="392"/>
      <c r="F108" s="392"/>
      <c r="G108" s="392"/>
      <c r="H108" s="392"/>
      <c r="I108" s="392"/>
      <c r="J108" s="392"/>
      <c r="K108" s="392"/>
      <c r="L108" s="392"/>
      <c r="M108" s="392"/>
      <c r="N108" s="392"/>
      <c r="O108" s="392"/>
      <c r="P108" s="392"/>
      <c r="Q108" s="392"/>
      <c r="R108" s="392"/>
      <c r="S108" s="409"/>
      <c r="T108" s="409"/>
      <c r="U108" s="409"/>
      <c r="V108" s="409"/>
      <c r="W108" s="392"/>
      <c r="X108" s="392"/>
      <c r="Y108" s="409"/>
      <c r="Z108" s="409"/>
      <c r="AA108" s="392"/>
      <c r="AB108" s="392"/>
      <c r="AC108" s="392"/>
      <c r="AD108" s="409"/>
      <c r="AE108" s="409"/>
      <c r="AF108" s="409"/>
      <c r="AG108" s="409"/>
      <c r="AH108" s="409"/>
      <c r="AI108" s="409"/>
      <c r="AJ108" s="409"/>
      <c r="AK108" s="409"/>
      <c r="AL108" s="409"/>
      <c r="AM108" s="409"/>
      <c r="AN108" s="409"/>
      <c r="AO108" s="409"/>
      <c r="AP108" s="409"/>
      <c r="AQ108" s="409"/>
      <c r="AR108" s="409"/>
      <c r="AS108" s="409"/>
      <c r="AT108" s="409"/>
      <c r="AU108" s="409"/>
      <c r="AV108" s="409"/>
      <c r="AW108" s="409"/>
      <c r="AX108" s="409"/>
      <c r="AY108" s="409"/>
      <c r="AZ108" s="409"/>
      <c r="BA108" s="409"/>
      <c r="BB108" s="409"/>
      <c r="BC108" s="409"/>
      <c r="BD108" s="407"/>
      <c r="BE108" s="444"/>
      <c r="BF108" s="444"/>
      <c r="BG108" s="444"/>
      <c r="BH108" s="444"/>
      <c r="BI108" s="444"/>
      <c r="BJ108" s="444"/>
      <c r="BK108" s="444"/>
      <c r="BL108" s="444"/>
      <c r="BM108" s="444"/>
      <c r="BN108" s="444"/>
      <c r="BO108" s="444"/>
      <c r="BP108" s="444"/>
      <c r="BQ108" s="444"/>
      <c r="BR108" s="444"/>
      <c r="BS108" s="444"/>
      <c r="BT108" s="444"/>
    </row>
    <row r="109" spans="1:72" s="443" customFormat="1" ht="15">
      <c r="A109" s="392"/>
      <c r="B109" s="392"/>
      <c r="C109" s="392"/>
      <c r="D109" s="392"/>
      <c r="E109" s="392"/>
      <c r="F109" s="392"/>
      <c r="G109" s="392"/>
      <c r="H109" s="392"/>
      <c r="I109" s="392"/>
      <c r="J109" s="392"/>
      <c r="K109" s="392"/>
      <c r="L109" s="392"/>
      <c r="M109" s="392"/>
      <c r="N109" s="392"/>
      <c r="O109" s="392"/>
      <c r="P109" s="392"/>
      <c r="Q109" s="392"/>
      <c r="R109" s="392"/>
      <c r="S109" s="409"/>
      <c r="T109" s="409"/>
      <c r="U109" s="409"/>
      <c r="V109" s="409"/>
      <c r="W109" s="392"/>
      <c r="X109" s="392"/>
      <c r="Y109" s="409"/>
      <c r="Z109" s="409"/>
      <c r="AA109" s="392"/>
      <c r="AB109" s="392"/>
      <c r="AC109" s="392"/>
      <c r="AD109" s="409"/>
      <c r="AE109" s="409"/>
      <c r="AF109" s="409"/>
      <c r="AG109" s="409"/>
      <c r="AH109" s="409"/>
      <c r="AI109" s="409"/>
      <c r="AJ109" s="409"/>
      <c r="AK109" s="409"/>
      <c r="AL109" s="409"/>
      <c r="AM109" s="409"/>
      <c r="AN109" s="409"/>
      <c r="AO109" s="409"/>
      <c r="AP109" s="409"/>
      <c r="AQ109" s="409"/>
      <c r="AR109" s="409"/>
      <c r="AS109" s="409"/>
      <c r="AT109" s="409"/>
      <c r="AU109" s="409"/>
      <c r="AV109" s="409"/>
      <c r="AW109" s="409"/>
      <c r="AX109" s="409"/>
      <c r="AY109" s="409"/>
      <c r="AZ109" s="409"/>
      <c r="BA109" s="409"/>
      <c r="BB109" s="409"/>
      <c r="BC109" s="409"/>
      <c r="BD109" s="407"/>
      <c r="BE109" s="444"/>
      <c r="BF109" s="444"/>
      <c r="BG109" s="444"/>
      <c r="BH109" s="444"/>
      <c r="BI109" s="444"/>
      <c r="BJ109" s="444"/>
      <c r="BK109" s="444"/>
      <c r="BL109" s="444"/>
      <c r="BM109" s="444"/>
      <c r="BN109" s="444"/>
      <c r="BO109" s="444"/>
      <c r="BP109" s="444"/>
      <c r="BQ109" s="444"/>
      <c r="BR109" s="444"/>
      <c r="BS109" s="444"/>
      <c r="BT109" s="444"/>
    </row>
    <row r="110" spans="1:72" s="443" customFormat="1" ht="15">
      <c r="A110" s="392"/>
      <c r="B110" s="392"/>
      <c r="C110" s="392"/>
      <c r="D110" s="392"/>
      <c r="E110" s="392"/>
      <c r="F110" s="392"/>
      <c r="G110" s="392"/>
      <c r="H110" s="392"/>
      <c r="I110" s="392"/>
      <c r="J110" s="392"/>
      <c r="K110" s="392"/>
      <c r="L110" s="392"/>
      <c r="M110" s="392"/>
      <c r="N110" s="392"/>
      <c r="O110" s="392"/>
      <c r="P110" s="392"/>
      <c r="Q110" s="392"/>
      <c r="R110" s="392"/>
      <c r="S110" s="409"/>
      <c r="T110" s="409"/>
      <c r="U110" s="409"/>
      <c r="V110" s="409"/>
      <c r="W110" s="392"/>
      <c r="X110" s="392"/>
      <c r="Y110" s="409"/>
      <c r="Z110" s="409"/>
      <c r="AA110" s="392"/>
      <c r="AB110" s="392"/>
      <c r="AC110" s="392"/>
      <c r="AD110" s="409"/>
      <c r="AE110" s="409"/>
      <c r="AF110" s="409"/>
      <c r="AG110" s="409"/>
      <c r="AH110" s="409"/>
      <c r="AI110" s="409"/>
      <c r="AJ110" s="409"/>
      <c r="AK110" s="409"/>
      <c r="AL110" s="409"/>
      <c r="AM110" s="409"/>
      <c r="AN110" s="409"/>
      <c r="AO110" s="409"/>
      <c r="AP110" s="409"/>
      <c r="AQ110" s="409"/>
      <c r="AR110" s="409"/>
      <c r="AS110" s="409"/>
      <c r="AT110" s="409"/>
      <c r="AU110" s="409"/>
      <c r="AV110" s="409"/>
      <c r="AW110" s="409"/>
      <c r="AX110" s="409"/>
      <c r="AY110" s="409"/>
      <c r="AZ110" s="409"/>
      <c r="BA110" s="409"/>
      <c r="BB110" s="409"/>
      <c r="BC110" s="409"/>
      <c r="BD110" s="407"/>
      <c r="BE110" s="444"/>
      <c r="BF110" s="444"/>
      <c r="BG110" s="444"/>
      <c r="BH110" s="444"/>
      <c r="BI110" s="444"/>
      <c r="BJ110" s="444"/>
      <c r="BK110" s="444"/>
      <c r="BL110" s="444"/>
      <c r="BM110" s="444"/>
      <c r="BN110" s="444"/>
      <c r="BO110" s="444"/>
      <c r="BP110" s="444"/>
      <c r="BQ110" s="444"/>
      <c r="BR110" s="444"/>
      <c r="BS110" s="444"/>
      <c r="BT110" s="444"/>
    </row>
    <row r="111" spans="1:72" s="443" customFormat="1" ht="15">
      <c r="A111" s="392"/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409"/>
      <c r="T111" s="409"/>
      <c r="U111" s="409"/>
      <c r="V111" s="409"/>
      <c r="W111" s="392"/>
      <c r="X111" s="392"/>
      <c r="Y111" s="409"/>
      <c r="Z111" s="409"/>
      <c r="AA111" s="392"/>
      <c r="AB111" s="392"/>
      <c r="AC111" s="392"/>
      <c r="AD111" s="409"/>
      <c r="AE111" s="409"/>
      <c r="AF111" s="409"/>
      <c r="AG111" s="409"/>
      <c r="AH111" s="409"/>
      <c r="AI111" s="409"/>
      <c r="AJ111" s="409"/>
      <c r="AK111" s="409"/>
      <c r="AL111" s="409"/>
      <c r="AM111" s="409"/>
      <c r="AN111" s="409"/>
      <c r="AO111" s="409"/>
      <c r="AP111" s="409"/>
      <c r="AQ111" s="409"/>
      <c r="AR111" s="409"/>
      <c r="AS111" s="409"/>
      <c r="AT111" s="409"/>
      <c r="AU111" s="409"/>
      <c r="AV111" s="409"/>
      <c r="AW111" s="409"/>
      <c r="AX111" s="409"/>
      <c r="AY111" s="409"/>
      <c r="AZ111" s="409"/>
      <c r="BA111" s="409"/>
      <c r="BB111" s="409"/>
      <c r="BC111" s="409"/>
      <c r="BD111" s="407"/>
      <c r="BE111" s="444"/>
      <c r="BF111" s="444"/>
      <c r="BG111" s="444"/>
      <c r="BH111" s="444"/>
      <c r="BI111" s="444"/>
      <c r="BJ111" s="444"/>
      <c r="BK111" s="444"/>
      <c r="BL111" s="444"/>
      <c r="BM111" s="444"/>
      <c r="BN111" s="444"/>
      <c r="BO111" s="444"/>
      <c r="BP111" s="444"/>
      <c r="BQ111" s="444"/>
      <c r="BR111" s="444"/>
      <c r="BS111" s="444"/>
      <c r="BT111" s="444"/>
    </row>
    <row r="112" spans="1:72" s="443" customFormat="1" ht="15">
      <c r="A112" s="392"/>
      <c r="B112" s="392"/>
      <c r="C112" s="392"/>
      <c r="D112" s="392"/>
      <c r="E112" s="392"/>
      <c r="F112" s="392"/>
      <c r="G112" s="392"/>
      <c r="H112" s="392"/>
      <c r="I112" s="392"/>
      <c r="J112" s="392"/>
      <c r="K112" s="392"/>
      <c r="L112" s="392"/>
      <c r="M112" s="392"/>
      <c r="N112" s="392"/>
      <c r="O112" s="392"/>
      <c r="P112" s="392"/>
      <c r="Q112" s="392"/>
      <c r="R112" s="392"/>
      <c r="S112" s="409"/>
      <c r="T112" s="409"/>
      <c r="U112" s="409"/>
      <c r="V112" s="409"/>
      <c r="W112" s="392"/>
      <c r="X112" s="392"/>
      <c r="Y112" s="409"/>
      <c r="Z112" s="409"/>
      <c r="AA112" s="392"/>
      <c r="AB112" s="392"/>
      <c r="AC112" s="392"/>
      <c r="AD112" s="409"/>
      <c r="AE112" s="409"/>
      <c r="AF112" s="409"/>
      <c r="AG112" s="409"/>
      <c r="AH112" s="409"/>
      <c r="AI112" s="409"/>
      <c r="AJ112" s="409"/>
      <c r="AK112" s="409"/>
      <c r="AL112" s="409"/>
      <c r="AM112" s="409"/>
      <c r="AN112" s="409"/>
      <c r="AO112" s="409"/>
      <c r="AP112" s="409"/>
      <c r="AQ112" s="409"/>
      <c r="AR112" s="409"/>
      <c r="AS112" s="409"/>
      <c r="AT112" s="409"/>
      <c r="AU112" s="409"/>
      <c r="AV112" s="409"/>
      <c r="AW112" s="409"/>
      <c r="AX112" s="409"/>
      <c r="AY112" s="409"/>
      <c r="AZ112" s="409"/>
      <c r="BA112" s="409"/>
      <c r="BB112" s="409"/>
      <c r="BC112" s="409"/>
      <c r="BD112" s="407"/>
      <c r="BE112" s="444"/>
      <c r="BF112" s="444"/>
      <c r="BG112" s="444"/>
      <c r="BH112" s="444"/>
      <c r="BI112" s="444"/>
      <c r="BJ112" s="444"/>
      <c r="BK112" s="444"/>
      <c r="BL112" s="444"/>
      <c r="BM112" s="444"/>
      <c r="BN112" s="444"/>
      <c r="BO112" s="444"/>
      <c r="BP112" s="444"/>
      <c r="BQ112" s="444"/>
      <c r="BR112" s="444"/>
      <c r="BS112" s="444"/>
      <c r="BT112" s="444"/>
    </row>
    <row r="113" spans="1:72" s="443" customFormat="1" ht="15">
      <c r="A113" s="392"/>
      <c r="B113" s="392"/>
      <c r="C113" s="392"/>
      <c r="D113" s="392"/>
      <c r="E113" s="392"/>
      <c r="F113" s="392"/>
      <c r="G113" s="392"/>
      <c r="H113" s="392"/>
      <c r="I113" s="392"/>
      <c r="J113" s="392"/>
      <c r="K113" s="392"/>
      <c r="L113" s="392"/>
      <c r="M113" s="392"/>
      <c r="N113" s="392"/>
      <c r="O113" s="392"/>
      <c r="P113" s="392"/>
      <c r="Q113" s="392"/>
      <c r="R113" s="392"/>
      <c r="S113" s="409"/>
      <c r="T113" s="409"/>
      <c r="U113" s="409"/>
      <c r="V113" s="409"/>
      <c r="W113" s="392"/>
      <c r="X113" s="392"/>
      <c r="Y113" s="409"/>
      <c r="Z113" s="409"/>
      <c r="AA113" s="392"/>
      <c r="AB113" s="392"/>
      <c r="AC113" s="392"/>
      <c r="AD113" s="409"/>
      <c r="AE113" s="409"/>
      <c r="AF113" s="409"/>
      <c r="AG113" s="409"/>
      <c r="AH113" s="409"/>
      <c r="AI113" s="409"/>
      <c r="AJ113" s="409"/>
      <c r="AK113" s="409"/>
      <c r="AL113" s="409"/>
      <c r="AM113" s="409"/>
      <c r="AN113" s="409"/>
      <c r="AO113" s="409"/>
      <c r="AP113" s="409"/>
      <c r="AQ113" s="409"/>
      <c r="AR113" s="409"/>
      <c r="AS113" s="409"/>
      <c r="AT113" s="409"/>
      <c r="AU113" s="409"/>
      <c r="AV113" s="409"/>
      <c r="AW113" s="409"/>
      <c r="AX113" s="409"/>
      <c r="AY113" s="409"/>
      <c r="AZ113" s="409"/>
      <c r="BA113" s="409"/>
      <c r="BB113" s="409"/>
      <c r="BC113" s="409"/>
      <c r="BD113" s="407"/>
      <c r="BE113" s="444"/>
      <c r="BF113" s="444"/>
      <c r="BG113" s="444"/>
      <c r="BH113" s="444"/>
      <c r="BI113" s="444"/>
      <c r="BJ113" s="444"/>
      <c r="BK113" s="444"/>
      <c r="BL113" s="444"/>
      <c r="BM113" s="444"/>
      <c r="BN113" s="444"/>
      <c r="BO113" s="444"/>
      <c r="BP113" s="444"/>
      <c r="BQ113" s="444"/>
      <c r="BR113" s="444"/>
      <c r="BS113" s="444"/>
      <c r="BT113" s="444"/>
    </row>
    <row r="114" spans="1:72" s="443" customFormat="1" ht="15">
      <c r="A114" s="392"/>
      <c r="B114" s="392"/>
      <c r="C114" s="392"/>
      <c r="D114" s="392"/>
      <c r="E114" s="392"/>
      <c r="F114" s="392"/>
      <c r="G114" s="392"/>
      <c r="H114" s="392"/>
      <c r="I114" s="392"/>
      <c r="J114" s="392"/>
      <c r="K114" s="392"/>
      <c r="L114" s="392"/>
      <c r="M114" s="392"/>
      <c r="N114" s="392"/>
      <c r="O114" s="392"/>
      <c r="P114" s="392"/>
      <c r="Q114" s="392"/>
      <c r="R114" s="392"/>
      <c r="S114" s="409"/>
      <c r="T114" s="409"/>
      <c r="U114" s="409"/>
      <c r="V114" s="409"/>
      <c r="W114" s="392"/>
      <c r="X114" s="392"/>
      <c r="Y114" s="409"/>
      <c r="Z114" s="409"/>
      <c r="AA114" s="392"/>
      <c r="AB114" s="392"/>
      <c r="AC114" s="392"/>
      <c r="AD114" s="409"/>
      <c r="AE114" s="409"/>
      <c r="AF114" s="409"/>
      <c r="AG114" s="409"/>
      <c r="AH114" s="409"/>
      <c r="AI114" s="409"/>
      <c r="AJ114" s="409"/>
      <c r="AK114" s="409"/>
      <c r="AL114" s="409"/>
      <c r="AM114" s="409"/>
      <c r="AN114" s="409"/>
      <c r="AO114" s="409"/>
      <c r="AP114" s="409"/>
      <c r="AQ114" s="409"/>
      <c r="AR114" s="409"/>
      <c r="AS114" s="409"/>
      <c r="AT114" s="409"/>
      <c r="AU114" s="409"/>
      <c r="AV114" s="409"/>
      <c r="AW114" s="409"/>
      <c r="AX114" s="409"/>
      <c r="AY114" s="409"/>
      <c r="AZ114" s="409"/>
      <c r="BA114" s="409"/>
      <c r="BB114" s="409"/>
      <c r="BC114" s="409"/>
      <c r="BD114" s="407"/>
      <c r="BE114" s="444"/>
      <c r="BF114" s="444"/>
      <c r="BG114" s="444"/>
      <c r="BH114" s="444"/>
      <c r="BI114" s="444"/>
      <c r="BJ114" s="444"/>
      <c r="BK114" s="444"/>
      <c r="BL114" s="444"/>
      <c r="BM114" s="444"/>
      <c r="BN114" s="444"/>
      <c r="BO114" s="444"/>
      <c r="BP114" s="444"/>
      <c r="BQ114" s="444"/>
      <c r="BR114" s="444"/>
      <c r="BS114" s="444"/>
      <c r="BT114" s="444"/>
    </row>
    <row r="115" spans="1:72" s="443" customFormat="1" ht="15">
      <c r="A115" s="392"/>
      <c r="B115" s="392"/>
      <c r="C115" s="392"/>
      <c r="D115" s="392"/>
      <c r="E115" s="392"/>
      <c r="F115" s="392"/>
      <c r="G115" s="392"/>
      <c r="H115" s="392"/>
      <c r="I115" s="392"/>
      <c r="J115" s="392"/>
      <c r="K115" s="392"/>
      <c r="L115" s="392"/>
      <c r="M115" s="392"/>
      <c r="N115" s="392"/>
      <c r="O115" s="392"/>
      <c r="P115" s="392"/>
      <c r="Q115" s="392"/>
      <c r="R115" s="392"/>
      <c r="S115" s="409"/>
      <c r="T115" s="409"/>
      <c r="U115" s="409"/>
      <c r="V115" s="409"/>
      <c r="W115" s="392"/>
      <c r="X115" s="392"/>
      <c r="Y115" s="409"/>
      <c r="Z115" s="409"/>
      <c r="AA115" s="392"/>
      <c r="AB115" s="392"/>
      <c r="AC115" s="392"/>
      <c r="AD115" s="409"/>
      <c r="AE115" s="409"/>
      <c r="AF115" s="409"/>
      <c r="AG115" s="409"/>
      <c r="AH115" s="409"/>
      <c r="AI115" s="409"/>
      <c r="AJ115" s="409"/>
      <c r="AK115" s="409"/>
      <c r="AL115" s="409"/>
      <c r="AM115" s="409"/>
      <c r="AN115" s="409"/>
      <c r="AO115" s="409"/>
      <c r="AP115" s="409"/>
      <c r="AQ115" s="409"/>
      <c r="AR115" s="409"/>
      <c r="AS115" s="409"/>
      <c r="AT115" s="409"/>
      <c r="AU115" s="409"/>
      <c r="AV115" s="409"/>
      <c r="AW115" s="409"/>
      <c r="AX115" s="409"/>
      <c r="AY115" s="409"/>
      <c r="AZ115" s="409"/>
      <c r="BA115" s="409"/>
      <c r="BB115" s="409"/>
      <c r="BC115" s="409"/>
      <c r="BD115" s="407"/>
      <c r="BE115" s="444"/>
      <c r="BF115" s="444"/>
      <c r="BG115" s="444"/>
      <c r="BH115" s="444"/>
      <c r="BI115" s="444"/>
      <c r="BJ115" s="444"/>
      <c r="BK115" s="444"/>
      <c r="BL115" s="444"/>
      <c r="BM115" s="444"/>
      <c r="BN115" s="444"/>
      <c r="BO115" s="444"/>
      <c r="BP115" s="444"/>
      <c r="BQ115" s="444"/>
      <c r="BR115" s="444"/>
      <c r="BS115" s="444"/>
      <c r="BT115" s="444"/>
    </row>
    <row r="116" spans="1:72" s="443" customFormat="1" ht="15">
      <c r="A116" s="392"/>
      <c r="B116" s="392"/>
      <c r="C116" s="392"/>
      <c r="D116" s="392"/>
      <c r="E116" s="392"/>
      <c r="F116" s="392"/>
      <c r="G116" s="392"/>
      <c r="H116" s="392"/>
      <c r="I116" s="392"/>
      <c r="J116" s="392"/>
      <c r="K116" s="392"/>
      <c r="L116" s="392"/>
      <c r="M116" s="392"/>
      <c r="N116" s="392"/>
      <c r="O116" s="392"/>
      <c r="P116" s="392"/>
      <c r="Q116" s="392"/>
      <c r="R116" s="392"/>
      <c r="S116" s="409"/>
      <c r="T116" s="409"/>
      <c r="U116" s="409"/>
      <c r="V116" s="409"/>
      <c r="W116" s="392"/>
      <c r="X116" s="392"/>
      <c r="Y116" s="409"/>
      <c r="Z116" s="409"/>
      <c r="AA116" s="392"/>
      <c r="AB116" s="392"/>
      <c r="AC116" s="392"/>
      <c r="AD116" s="409"/>
      <c r="AE116" s="409"/>
      <c r="AF116" s="409"/>
      <c r="AG116" s="409"/>
      <c r="AH116" s="409"/>
      <c r="AI116" s="409"/>
      <c r="AJ116" s="409"/>
      <c r="AK116" s="409"/>
      <c r="AL116" s="409"/>
      <c r="AM116" s="409"/>
      <c r="AN116" s="409"/>
      <c r="AO116" s="409"/>
      <c r="AP116" s="409"/>
      <c r="AQ116" s="409"/>
      <c r="AR116" s="409"/>
      <c r="AS116" s="409"/>
      <c r="AT116" s="409"/>
      <c r="AU116" s="409"/>
      <c r="AV116" s="409"/>
      <c r="AW116" s="409"/>
      <c r="AX116" s="409"/>
      <c r="AY116" s="409"/>
      <c r="AZ116" s="409"/>
      <c r="BA116" s="409"/>
      <c r="BB116" s="409"/>
      <c r="BC116" s="409"/>
      <c r="BD116" s="407"/>
      <c r="BE116" s="444"/>
      <c r="BF116" s="444"/>
      <c r="BG116" s="444"/>
      <c r="BH116" s="444"/>
      <c r="BI116" s="444"/>
      <c r="BJ116" s="444"/>
      <c r="BK116" s="444"/>
      <c r="BL116" s="444"/>
      <c r="BM116" s="444"/>
      <c r="BN116" s="444"/>
      <c r="BO116" s="444"/>
      <c r="BP116" s="444"/>
      <c r="BQ116" s="444"/>
      <c r="BR116" s="444"/>
      <c r="BS116" s="444"/>
      <c r="BT116" s="444"/>
    </row>
    <row r="117" spans="1:72" s="443" customFormat="1" ht="15">
      <c r="A117" s="392"/>
      <c r="B117" s="392"/>
      <c r="C117" s="392"/>
      <c r="D117" s="392"/>
      <c r="E117" s="392"/>
      <c r="F117" s="392"/>
      <c r="G117" s="392"/>
      <c r="H117" s="392"/>
      <c r="I117" s="392"/>
      <c r="J117" s="392"/>
      <c r="K117" s="392"/>
      <c r="L117" s="392"/>
      <c r="M117" s="392"/>
      <c r="N117" s="392"/>
      <c r="O117" s="392"/>
      <c r="P117" s="392"/>
      <c r="Q117" s="392"/>
      <c r="R117" s="392"/>
      <c r="S117" s="409"/>
      <c r="T117" s="409"/>
      <c r="U117" s="409"/>
      <c r="V117" s="409"/>
      <c r="W117" s="392"/>
      <c r="X117" s="392"/>
      <c r="Y117" s="409"/>
      <c r="Z117" s="409"/>
      <c r="AA117" s="392"/>
      <c r="AB117" s="392"/>
      <c r="AC117" s="392"/>
      <c r="AD117" s="409"/>
      <c r="AE117" s="409"/>
      <c r="AF117" s="409"/>
      <c r="AG117" s="409"/>
      <c r="AH117" s="409"/>
      <c r="AI117" s="409"/>
      <c r="AJ117" s="409"/>
      <c r="AK117" s="409"/>
      <c r="AL117" s="409"/>
      <c r="AM117" s="409"/>
      <c r="AN117" s="409"/>
      <c r="AO117" s="409"/>
      <c r="AP117" s="409"/>
      <c r="AQ117" s="409"/>
      <c r="AR117" s="409"/>
      <c r="AS117" s="409"/>
      <c r="AT117" s="409"/>
      <c r="AU117" s="409"/>
      <c r="AV117" s="409"/>
      <c r="AW117" s="409"/>
      <c r="AX117" s="409"/>
      <c r="AY117" s="409"/>
      <c r="AZ117" s="409"/>
      <c r="BA117" s="409"/>
      <c r="BB117" s="409"/>
      <c r="BC117" s="409"/>
      <c r="BD117" s="407"/>
      <c r="BE117" s="444"/>
      <c r="BF117" s="444"/>
      <c r="BG117" s="444"/>
      <c r="BH117" s="444"/>
      <c r="BI117" s="444"/>
      <c r="BJ117" s="444"/>
      <c r="BK117" s="444"/>
      <c r="BL117" s="444"/>
      <c r="BM117" s="444"/>
      <c r="BN117" s="444"/>
      <c r="BO117" s="444"/>
      <c r="BP117" s="444"/>
      <c r="BQ117" s="444"/>
      <c r="BR117" s="444"/>
      <c r="BS117" s="444"/>
      <c r="BT117" s="444"/>
    </row>
    <row r="118" spans="1:72" s="443" customFormat="1" ht="15">
      <c r="A118" s="392"/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409"/>
      <c r="T118" s="409"/>
      <c r="U118" s="409"/>
      <c r="V118" s="409"/>
      <c r="W118" s="392"/>
      <c r="X118" s="392"/>
      <c r="Y118" s="409"/>
      <c r="Z118" s="409"/>
      <c r="AA118" s="392"/>
      <c r="AB118" s="392"/>
      <c r="AC118" s="392"/>
      <c r="AD118" s="409"/>
      <c r="AE118" s="409"/>
      <c r="AF118" s="409"/>
      <c r="AG118" s="409"/>
      <c r="AH118" s="409"/>
      <c r="AI118" s="409"/>
      <c r="AJ118" s="409"/>
      <c r="AK118" s="409"/>
      <c r="AL118" s="409"/>
      <c r="AM118" s="409"/>
      <c r="AN118" s="409"/>
      <c r="AO118" s="409"/>
      <c r="AP118" s="409"/>
      <c r="AQ118" s="409"/>
      <c r="AR118" s="409"/>
      <c r="AS118" s="409"/>
      <c r="AT118" s="409"/>
      <c r="AU118" s="409"/>
      <c r="AV118" s="409"/>
      <c r="AW118" s="409"/>
      <c r="AX118" s="409"/>
      <c r="AY118" s="409"/>
      <c r="AZ118" s="409"/>
      <c r="BA118" s="409"/>
      <c r="BB118" s="409"/>
      <c r="BC118" s="409"/>
      <c r="BD118" s="407"/>
      <c r="BE118" s="444"/>
      <c r="BF118" s="444"/>
      <c r="BG118" s="444"/>
      <c r="BH118" s="444"/>
      <c r="BI118" s="444"/>
      <c r="BJ118" s="444"/>
      <c r="BK118" s="444"/>
      <c r="BL118" s="444"/>
      <c r="BM118" s="444"/>
      <c r="BN118" s="444"/>
      <c r="BO118" s="444"/>
      <c r="BP118" s="444"/>
      <c r="BQ118" s="444"/>
      <c r="BR118" s="444"/>
      <c r="BS118" s="444"/>
      <c r="BT118" s="444"/>
    </row>
    <row r="119" spans="1:72" s="443" customFormat="1" ht="15">
      <c r="A119" s="392"/>
      <c r="B119" s="392"/>
      <c r="C119" s="392"/>
      <c r="D119" s="392"/>
      <c r="E119" s="392"/>
      <c r="F119" s="392"/>
      <c r="G119" s="392"/>
      <c r="H119" s="392"/>
      <c r="I119" s="392"/>
      <c r="J119" s="392"/>
      <c r="K119" s="392"/>
      <c r="L119" s="392"/>
      <c r="M119" s="392"/>
      <c r="N119" s="392"/>
      <c r="O119" s="392"/>
      <c r="P119" s="392"/>
      <c r="Q119" s="392"/>
      <c r="R119" s="392"/>
      <c r="S119" s="409"/>
      <c r="T119" s="409"/>
      <c r="U119" s="409"/>
      <c r="V119" s="409"/>
      <c r="W119" s="392"/>
      <c r="X119" s="392"/>
      <c r="Y119" s="409"/>
      <c r="Z119" s="409"/>
      <c r="AA119" s="392"/>
      <c r="AB119" s="392"/>
      <c r="AC119" s="392"/>
      <c r="AD119" s="409"/>
      <c r="AE119" s="409"/>
      <c r="AF119" s="409"/>
      <c r="AG119" s="409"/>
      <c r="AH119" s="409"/>
      <c r="AI119" s="409"/>
      <c r="AJ119" s="409"/>
      <c r="AK119" s="409"/>
      <c r="AL119" s="409"/>
      <c r="AM119" s="409"/>
      <c r="AN119" s="409"/>
      <c r="AO119" s="409"/>
      <c r="AP119" s="409"/>
      <c r="AQ119" s="409"/>
      <c r="AR119" s="409"/>
      <c r="AS119" s="409"/>
      <c r="AT119" s="409"/>
      <c r="AU119" s="409"/>
      <c r="AV119" s="409"/>
      <c r="AW119" s="409"/>
      <c r="AX119" s="409"/>
      <c r="AY119" s="409"/>
      <c r="AZ119" s="409"/>
      <c r="BA119" s="409"/>
      <c r="BB119" s="409"/>
      <c r="BC119" s="409"/>
      <c r="BD119" s="407"/>
      <c r="BE119" s="444"/>
      <c r="BF119" s="444"/>
      <c r="BG119" s="444"/>
      <c r="BH119" s="444"/>
      <c r="BI119" s="444"/>
      <c r="BJ119" s="444"/>
      <c r="BK119" s="444"/>
      <c r="BL119" s="444"/>
      <c r="BM119" s="444"/>
      <c r="BN119" s="444"/>
      <c r="BO119" s="444"/>
      <c r="BP119" s="444"/>
      <c r="BQ119" s="444"/>
      <c r="BR119" s="444"/>
      <c r="BS119" s="444"/>
      <c r="BT119" s="444"/>
    </row>
    <row r="120" spans="1:72" s="443" customFormat="1" ht="15">
      <c r="A120" s="392"/>
      <c r="B120" s="392"/>
      <c r="C120" s="392"/>
      <c r="D120" s="392"/>
      <c r="E120" s="392"/>
      <c r="F120" s="392"/>
      <c r="G120" s="392"/>
      <c r="H120" s="392"/>
      <c r="I120" s="392"/>
      <c r="J120" s="392"/>
      <c r="K120" s="392"/>
      <c r="L120" s="392"/>
      <c r="M120" s="392"/>
      <c r="N120" s="392"/>
      <c r="O120" s="392"/>
      <c r="P120" s="392"/>
      <c r="Q120" s="392"/>
      <c r="R120" s="392"/>
      <c r="S120" s="409"/>
      <c r="T120" s="409"/>
      <c r="U120" s="409"/>
      <c r="V120" s="409"/>
      <c r="W120" s="392"/>
      <c r="X120" s="392"/>
      <c r="Y120" s="409"/>
      <c r="Z120" s="409"/>
      <c r="AA120" s="392"/>
      <c r="AB120" s="392"/>
      <c r="AC120" s="392"/>
      <c r="AD120" s="409"/>
      <c r="AE120" s="409"/>
      <c r="AF120" s="409"/>
      <c r="AG120" s="409"/>
      <c r="AH120" s="409"/>
      <c r="AI120" s="409"/>
      <c r="AJ120" s="409"/>
      <c r="AK120" s="409"/>
      <c r="AL120" s="409"/>
      <c r="AM120" s="409"/>
      <c r="AN120" s="409"/>
      <c r="AO120" s="409"/>
      <c r="AP120" s="409"/>
      <c r="AQ120" s="409"/>
      <c r="AR120" s="409"/>
      <c r="AS120" s="409"/>
      <c r="AT120" s="409"/>
      <c r="AU120" s="409"/>
      <c r="AV120" s="409"/>
      <c r="AW120" s="409"/>
      <c r="AX120" s="409"/>
      <c r="AY120" s="409"/>
      <c r="AZ120" s="409"/>
      <c r="BA120" s="409"/>
      <c r="BB120" s="409"/>
      <c r="BC120" s="409"/>
      <c r="BD120" s="407"/>
      <c r="BE120" s="444"/>
      <c r="BF120" s="444"/>
      <c r="BG120" s="444"/>
      <c r="BH120" s="444"/>
      <c r="BI120" s="444"/>
      <c r="BJ120" s="444"/>
      <c r="BK120" s="444"/>
      <c r="BL120" s="444"/>
      <c r="BM120" s="444"/>
      <c r="BN120" s="444"/>
      <c r="BO120" s="444"/>
      <c r="BP120" s="444"/>
      <c r="BQ120" s="444"/>
      <c r="BR120" s="444"/>
      <c r="BS120" s="444"/>
      <c r="BT120" s="444"/>
    </row>
    <row r="121" spans="1:72" s="443" customFormat="1" ht="15">
      <c r="A121" s="392"/>
      <c r="B121" s="392"/>
      <c r="C121" s="392"/>
      <c r="D121" s="392"/>
      <c r="E121" s="392"/>
      <c r="F121" s="392"/>
      <c r="G121" s="392"/>
      <c r="H121" s="392"/>
      <c r="I121" s="392"/>
      <c r="J121" s="392"/>
      <c r="K121" s="392"/>
      <c r="L121" s="392"/>
      <c r="M121" s="392"/>
      <c r="N121" s="392"/>
      <c r="O121" s="392"/>
      <c r="P121" s="392"/>
      <c r="Q121" s="392"/>
      <c r="R121" s="392"/>
      <c r="S121" s="409"/>
      <c r="T121" s="409"/>
      <c r="U121" s="409"/>
      <c r="V121" s="409"/>
      <c r="W121" s="392"/>
      <c r="X121" s="392"/>
      <c r="Y121" s="409"/>
      <c r="Z121" s="409"/>
      <c r="AA121" s="392"/>
      <c r="AB121" s="392"/>
      <c r="AC121" s="392"/>
      <c r="AD121" s="409"/>
      <c r="AE121" s="409"/>
      <c r="AF121" s="409"/>
      <c r="AG121" s="409"/>
      <c r="AH121" s="409"/>
      <c r="AI121" s="409"/>
      <c r="AJ121" s="409"/>
      <c r="AK121" s="409"/>
      <c r="AL121" s="409"/>
      <c r="AM121" s="409"/>
      <c r="AN121" s="409"/>
      <c r="AO121" s="409"/>
      <c r="AP121" s="409"/>
      <c r="AQ121" s="409"/>
      <c r="AR121" s="409"/>
      <c r="AS121" s="409"/>
      <c r="AT121" s="409"/>
      <c r="AU121" s="409"/>
      <c r="AV121" s="409"/>
      <c r="AW121" s="409"/>
      <c r="AX121" s="409"/>
      <c r="AY121" s="409"/>
      <c r="AZ121" s="409"/>
      <c r="BA121" s="409"/>
      <c r="BB121" s="409"/>
      <c r="BC121" s="409"/>
      <c r="BD121" s="407"/>
      <c r="BE121" s="444"/>
      <c r="BF121" s="444"/>
      <c r="BG121" s="444"/>
      <c r="BH121" s="444"/>
      <c r="BI121" s="444"/>
      <c r="BJ121" s="444"/>
      <c r="BK121" s="444"/>
      <c r="BL121" s="444"/>
      <c r="BM121" s="444"/>
      <c r="BN121" s="444"/>
      <c r="BO121" s="444"/>
      <c r="BP121" s="444"/>
      <c r="BQ121" s="444"/>
      <c r="BR121" s="444"/>
      <c r="BS121" s="444"/>
      <c r="BT121" s="444"/>
    </row>
    <row r="122" spans="1:72" s="443" customFormat="1" ht="15">
      <c r="A122" s="392"/>
      <c r="B122" s="392"/>
      <c r="C122" s="392"/>
      <c r="D122" s="392"/>
      <c r="E122" s="392"/>
      <c r="F122" s="392"/>
      <c r="G122" s="392"/>
      <c r="H122" s="392"/>
      <c r="I122" s="392"/>
      <c r="J122" s="392"/>
      <c r="K122" s="392"/>
      <c r="L122" s="392"/>
      <c r="M122" s="392"/>
      <c r="N122" s="392"/>
      <c r="O122" s="392"/>
      <c r="P122" s="392"/>
      <c r="Q122" s="392"/>
      <c r="R122" s="392"/>
      <c r="S122" s="409"/>
      <c r="T122" s="409"/>
      <c r="U122" s="409"/>
      <c r="V122" s="409"/>
      <c r="W122" s="392"/>
      <c r="X122" s="392"/>
      <c r="Y122" s="409"/>
      <c r="Z122" s="409"/>
      <c r="AA122" s="392"/>
      <c r="AB122" s="392"/>
      <c r="AC122" s="392"/>
      <c r="AD122" s="409"/>
      <c r="AE122" s="409"/>
      <c r="AF122" s="409"/>
      <c r="AG122" s="409"/>
      <c r="AH122" s="409"/>
      <c r="AI122" s="409"/>
      <c r="AJ122" s="409"/>
      <c r="AK122" s="409"/>
      <c r="AL122" s="409"/>
      <c r="AM122" s="409"/>
      <c r="AN122" s="409"/>
      <c r="AO122" s="409"/>
      <c r="AP122" s="409"/>
      <c r="AQ122" s="409"/>
      <c r="AR122" s="409"/>
      <c r="AS122" s="409"/>
      <c r="AT122" s="409"/>
      <c r="AU122" s="409"/>
      <c r="AV122" s="409"/>
      <c r="AW122" s="409"/>
      <c r="AX122" s="409"/>
      <c r="AY122" s="409"/>
      <c r="AZ122" s="409"/>
      <c r="BA122" s="409"/>
      <c r="BB122" s="409"/>
      <c r="BC122" s="409"/>
      <c r="BD122" s="407"/>
      <c r="BE122" s="444"/>
      <c r="BF122" s="444"/>
      <c r="BG122" s="444"/>
      <c r="BH122" s="444"/>
      <c r="BI122" s="444"/>
      <c r="BJ122" s="444"/>
      <c r="BK122" s="444"/>
      <c r="BL122" s="444"/>
      <c r="BM122" s="444"/>
      <c r="BN122" s="444"/>
      <c r="BO122" s="444"/>
      <c r="BP122" s="444"/>
      <c r="BQ122" s="444"/>
      <c r="BR122" s="444"/>
      <c r="BS122" s="444"/>
      <c r="BT122" s="444"/>
    </row>
    <row r="123" spans="1:72" s="443" customFormat="1" ht="15">
      <c r="A123" s="392"/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409"/>
      <c r="T123" s="409"/>
      <c r="U123" s="409"/>
      <c r="V123" s="409"/>
      <c r="W123" s="392"/>
      <c r="X123" s="392"/>
      <c r="Y123" s="409"/>
      <c r="Z123" s="409"/>
      <c r="AA123" s="392"/>
      <c r="AB123" s="392"/>
      <c r="AC123" s="392"/>
      <c r="AD123" s="409"/>
      <c r="AE123" s="409"/>
      <c r="AF123" s="409"/>
      <c r="AG123" s="409"/>
      <c r="AH123" s="409"/>
      <c r="AI123" s="409"/>
      <c r="AJ123" s="409"/>
      <c r="AK123" s="409"/>
      <c r="AL123" s="409"/>
      <c r="AM123" s="409"/>
      <c r="AN123" s="409"/>
      <c r="AO123" s="409"/>
      <c r="AP123" s="409"/>
      <c r="AQ123" s="409"/>
      <c r="AR123" s="409"/>
      <c r="AS123" s="409"/>
      <c r="AT123" s="409"/>
      <c r="AU123" s="409"/>
      <c r="AV123" s="409"/>
      <c r="AW123" s="409"/>
      <c r="AX123" s="409"/>
      <c r="AY123" s="409"/>
      <c r="AZ123" s="409"/>
      <c r="BA123" s="409"/>
      <c r="BB123" s="409"/>
      <c r="BC123" s="409"/>
      <c r="BD123" s="407"/>
      <c r="BE123" s="444"/>
      <c r="BF123" s="444"/>
      <c r="BG123" s="444"/>
      <c r="BH123" s="444"/>
      <c r="BI123" s="444"/>
      <c r="BJ123" s="444"/>
      <c r="BK123" s="444"/>
      <c r="BL123" s="444"/>
      <c r="BM123" s="444"/>
      <c r="BN123" s="444"/>
      <c r="BO123" s="444"/>
      <c r="BP123" s="444"/>
      <c r="BQ123" s="444"/>
      <c r="BR123" s="444"/>
      <c r="BS123" s="444"/>
      <c r="BT123" s="444"/>
    </row>
    <row r="124" spans="1:72" s="443" customFormat="1" ht="15">
      <c r="A124" s="392"/>
      <c r="B124" s="392"/>
      <c r="C124" s="392"/>
      <c r="D124" s="392"/>
      <c r="E124" s="392"/>
      <c r="F124" s="392"/>
      <c r="G124" s="392"/>
      <c r="H124" s="392"/>
      <c r="I124" s="392"/>
      <c r="J124" s="392"/>
      <c r="K124" s="392"/>
      <c r="L124" s="392"/>
      <c r="M124" s="392"/>
      <c r="N124" s="392"/>
      <c r="O124" s="392"/>
      <c r="P124" s="392"/>
      <c r="Q124" s="392"/>
      <c r="R124" s="392"/>
      <c r="S124" s="409"/>
      <c r="T124" s="409"/>
      <c r="U124" s="409"/>
      <c r="V124" s="409"/>
      <c r="W124" s="392"/>
      <c r="X124" s="392"/>
      <c r="Y124" s="409"/>
      <c r="Z124" s="409"/>
      <c r="AA124" s="392"/>
      <c r="AB124" s="392"/>
      <c r="AC124" s="392"/>
      <c r="AD124" s="409"/>
      <c r="AE124" s="409"/>
      <c r="AF124" s="409"/>
      <c r="AG124" s="409"/>
      <c r="AH124" s="409"/>
      <c r="AI124" s="409"/>
      <c r="AJ124" s="409"/>
      <c r="AK124" s="409"/>
      <c r="AL124" s="409"/>
      <c r="AM124" s="409"/>
      <c r="AN124" s="409"/>
      <c r="AO124" s="409"/>
      <c r="AP124" s="409"/>
      <c r="AQ124" s="409"/>
      <c r="AR124" s="409"/>
      <c r="AS124" s="409"/>
      <c r="AT124" s="409"/>
      <c r="AU124" s="409"/>
      <c r="AV124" s="409"/>
      <c r="AW124" s="409"/>
      <c r="AX124" s="409"/>
      <c r="AY124" s="409"/>
      <c r="AZ124" s="409"/>
      <c r="BA124" s="409"/>
      <c r="BB124" s="409"/>
      <c r="BC124" s="409"/>
      <c r="BD124" s="407"/>
      <c r="BE124" s="444"/>
      <c r="BF124" s="444"/>
      <c r="BG124" s="444"/>
      <c r="BH124" s="444"/>
      <c r="BI124" s="444"/>
      <c r="BJ124" s="444"/>
      <c r="BK124" s="444"/>
      <c r="BL124" s="444"/>
      <c r="BM124" s="444"/>
      <c r="BN124" s="444"/>
      <c r="BO124" s="444"/>
      <c r="BP124" s="444"/>
      <c r="BQ124" s="444"/>
      <c r="BR124" s="444"/>
      <c r="BS124" s="444"/>
      <c r="BT124" s="444"/>
    </row>
    <row r="125" spans="1:72" s="443" customFormat="1" ht="15">
      <c r="A125" s="392"/>
      <c r="B125" s="392"/>
      <c r="C125" s="392"/>
      <c r="D125" s="392"/>
      <c r="E125" s="392"/>
      <c r="F125" s="392"/>
      <c r="G125" s="392"/>
      <c r="H125" s="392"/>
      <c r="I125" s="392"/>
      <c r="J125" s="392"/>
      <c r="K125" s="392"/>
      <c r="L125" s="392"/>
      <c r="M125" s="392"/>
      <c r="N125" s="392"/>
      <c r="O125" s="392"/>
      <c r="P125" s="392"/>
      <c r="Q125" s="392"/>
      <c r="R125" s="392"/>
      <c r="S125" s="409"/>
      <c r="T125" s="409"/>
      <c r="U125" s="409"/>
      <c r="V125" s="409"/>
      <c r="W125" s="392"/>
      <c r="X125" s="392"/>
      <c r="Y125" s="409"/>
      <c r="Z125" s="409"/>
      <c r="AA125" s="392"/>
      <c r="AB125" s="392"/>
      <c r="AC125" s="392"/>
      <c r="AD125" s="409"/>
      <c r="AE125" s="409"/>
      <c r="AF125" s="409"/>
      <c r="AG125" s="409"/>
      <c r="AH125" s="409"/>
      <c r="AI125" s="409"/>
      <c r="AJ125" s="409"/>
      <c r="AK125" s="409"/>
      <c r="AL125" s="409"/>
      <c r="AM125" s="409"/>
      <c r="AN125" s="409"/>
      <c r="AO125" s="409"/>
      <c r="AP125" s="409"/>
      <c r="AQ125" s="409"/>
      <c r="AR125" s="409"/>
      <c r="AS125" s="409"/>
      <c r="AT125" s="409"/>
      <c r="AU125" s="409"/>
      <c r="AV125" s="409"/>
      <c r="AW125" s="409"/>
      <c r="AX125" s="409"/>
      <c r="AY125" s="409"/>
      <c r="AZ125" s="409"/>
      <c r="BA125" s="409"/>
      <c r="BB125" s="409"/>
      <c r="BC125" s="409"/>
      <c r="BD125" s="407"/>
      <c r="BE125" s="444"/>
      <c r="BF125" s="444"/>
      <c r="BG125" s="444"/>
      <c r="BH125" s="444"/>
      <c r="BI125" s="444"/>
      <c r="BJ125" s="444"/>
      <c r="BK125" s="444"/>
      <c r="BL125" s="444"/>
      <c r="BM125" s="444"/>
      <c r="BN125" s="444"/>
      <c r="BO125" s="444"/>
      <c r="BP125" s="444"/>
      <c r="BQ125" s="444"/>
      <c r="BR125" s="444"/>
      <c r="BS125" s="444"/>
      <c r="BT125" s="444"/>
    </row>
    <row r="126" spans="1:72" s="443" customFormat="1" ht="15">
      <c r="A126" s="392"/>
      <c r="B126" s="392"/>
      <c r="C126" s="392"/>
      <c r="D126" s="392"/>
      <c r="E126" s="392"/>
      <c r="F126" s="392"/>
      <c r="G126" s="392"/>
      <c r="H126" s="392"/>
      <c r="I126" s="392"/>
      <c r="J126" s="392"/>
      <c r="K126" s="392"/>
      <c r="L126" s="392"/>
      <c r="M126" s="392"/>
      <c r="N126" s="392"/>
      <c r="O126" s="392"/>
      <c r="P126" s="392"/>
      <c r="Q126" s="392"/>
      <c r="R126" s="392"/>
      <c r="S126" s="409"/>
      <c r="T126" s="409"/>
      <c r="U126" s="409"/>
      <c r="V126" s="409"/>
      <c r="W126" s="392"/>
      <c r="X126" s="392"/>
      <c r="Y126" s="409"/>
      <c r="Z126" s="409"/>
      <c r="AA126" s="392"/>
      <c r="AB126" s="392"/>
      <c r="AC126" s="392"/>
      <c r="AD126" s="409"/>
      <c r="AE126" s="409"/>
      <c r="AF126" s="409"/>
      <c r="AG126" s="409"/>
      <c r="AH126" s="409"/>
      <c r="AI126" s="409"/>
      <c r="AJ126" s="409"/>
      <c r="AK126" s="409"/>
      <c r="AL126" s="409"/>
      <c r="AM126" s="409"/>
      <c r="AN126" s="409"/>
      <c r="AO126" s="409"/>
      <c r="AP126" s="409"/>
      <c r="AQ126" s="409"/>
      <c r="AR126" s="409"/>
      <c r="AS126" s="409"/>
      <c r="AT126" s="409"/>
      <c r="AU126" s="409"/>
      <c r="AV126" s="409"/>
      <c r="AW126" s="409"/>
      <c r="AX126" s="409"/>
      <c r="AY126" s="409"/>
      <c r="AZ126" s="409"/>
      <c r="BA126" s="409"/>
      <c r="BB126" s="409"/>
      <c r="BC126" s="409"/>
      <c r="BD126" s="407"/>
      <c r="BE126" s="444"/>
      <c r="BF126" s="444"/>
      <c r="BG126" s="444"/>
      <c r="BH126" s="444"/>
      <c r="BI126" s="444"/>
      <c r="BJ126" s="444"/>
      <c r="BK126" s="444"/>
      <c r="BL126" s="444"/>
      <c r="BM126" s="444"/>
      <c r="BN126" s="444"/>
      <c r="BO126" s="444"/>
      <c r="BP126" s="444"/>
      <c r="BQ126" s="444"/>
      <c r="BR126" s="444"/>
      <c r="BS126" s="444"/>
      <c r="BT126" s="444"/>
    </row>
    <row r="127" spans="1:72" s="443" customFormat="1" ht="15">
      <c r="A127" s="392"/>
      <c r="B127" s="392"/>
      <c r="C127" s="392"/>
      <c r="D127" s="392"/>
      <c r="E127" s="392"/>
      <c r="F127" s="392"/>
      <c r="G127" s="392"/>
      <c r="H127" s="392"/>
      <c r="I127" s="392"/>
      <c r="J127" s="392"/>
      <c r="K127" s="392"/>
      <c r="L127" s="392"/>
      <c r="M127" s="392"/>
      <c r="N127" s="392"/>
      <c r="O127" s="392"/>
      <c r="P127" s="392"/>
      <c r="Q127" s="392"/>
      <c r="R127" s="392"/>
      <c r="S127" s="409"/>
      <c r="T127" s="409"/>
      <c r="U127" s="409"/>
      <c r="V127" s="409"/>
      <c r="W127" s="392"/>
      <c r="X127" s="392"/>
      <c r="Y127" s="409"/>
      <c r="Z127" s="409"/>
      <c r="AA127" s="392"/>
      <c r="AB127" s="392"/>
      <c r="AC127" s="392"/>
      <c r="AD127" s="409"/>
      <c r="AE127" s="409"/>
      <c r="AF127" s="409"/>
      <c r="AG127" s="409"/>
      <c r="AH127" s="409"/>
      <c r="AI127" s="409"/>
      <c r="AJ127" s="409"/>
      <c r="AK127" s="409"/>
      <c r="AL127" s="409"/>
      <c r="AM127" s="409"/>
      <c r="AN127" s="409"/>
      <c r="AO127" s="409"/>
      <c r="AP127" s="409"/>
      <c r="AQ127" s="409"/>
      <c r="AR127" s="409"/>
      <c r="AS127" s="409"/>
      <c r="AT127" s="409"/>
      <c r="AU127" s="409"/>
      <c r="AV127" s="409"/>
      <c r="AW127" s="409"/>
      <c r="AX127" s="409"/>
      <c r="AY127" s="409"/>
      <c r="AZ127" s="409"/>
      <c r="BA127" s="409"/>
      <c r="BB127" s="409"/>
      <c r="BC127" s="409"/>
      <c r="BD127" s="407"/>
      <c r="BE127" s="444"/>
      <c r="BF127" s="444"/>
      <c r="BG127" s="444"/>
      <c r="BH127" s="444"/>
      <c r="BI127" s="444"/>
      <c r="BJ127" s="444"/>
      <c r="BK127" s="444"/>
      <c r="BL127" s="444"/>
      <c r="BM127" s="444"/>
      <c r="BN127" s="444"/>
      <c r="BO127" s="444"/>
      <c r="BP127" s="444"/>
      <c r="BQ127" s="444"/>
      <c r="BR127" s="444"/>
      <c r="BS127" s="444"/>
      <c r="BT127" s="444"/>
    </row>
    <row r="128" spans="1:72" s="443" customFormat="1" ht="15">
      <c r="A128" s="392"/>
      <c r="B128" s="392"/>
      <c r="C128" s="392"/>
      <c r="D128" s="392"/>
      <c r="E128" s="392"/>
      <c r="F128" s="392"/>
      <c r="G128" s="392"/>
      <c r="H128" s="392"/>
      <c r="I128" s="392"/>
      <c r="J128" s="392"/>
      <c r="K128" s="392"/>
      <c r="L128" s="392"/>
      <c r="M128" s="392"/>
      <c r="N128" s="392"/>
      <c r="O128" s="392"/>
      <c r="P128" s="392"/>
      <c r="Q128" s="392"/>
      <c r="R128" s="392"/>
      <c r="S128" s="409"/>
      <c r="T128" s="409"/>
      <c r="U128" s="409"/>
      <c r="V128" s="409"/>
      <c r="W128" s="392"/>
      <c r="X128" s="392"/>
      <c r="Y128" s="409"/>
      <c r="Z128" s="409"/>
      <c r="AA128" s="392"/>
      <c r="AB128" s="392"/>
      <c r="AC128" s="392"/>
      <c r="AD128" s="409"/>
      <c r="AE128" s="409"/>
      <c r="AF128" s="409"/>
      <c r="AG128" s="409"/>
      <c r="AH128" s="409"/>
      <c r="AI128" s="409"/>
      <c r="AJ128" s="409"/>
      <c r="AK128" s="409"/>
      <c r="AL128" s="409"/>
      <c r="AM128" s="409"/>
      <c r="AN128" s="409"/>
      <c r="AO128" s="409"/>
      <c r="AP128" s="409"/>
      <c r="AQ128" s="409"/>
      <c r="AR128" s="409"/>
      <c r="AS128" s="409"/>
      <c r="AT128" s="409"/>
      <c r="AU128" s="409"/>
      <c r="AV128" s="409"/>
      <c r="AW128" s="409"/>
      <c r="AX128" s="409"/>
      <c r="AY128" s="409"/>
      <c r="AZ128" s="409"/>
      <c r="BA128" s="409"/>
      <c r="BB128" s="409"/>
      <c r="BC128" s="409"/>
      <c r="BD128" s="407"/>
      <c r="BE128" s="444"/>
      <c r="BF128" s="444"/>
      <c r="BG128" s="444"/>
      <c r="BH128" s="444"/>
      <c r="BI128" s="444"/>
      <c r="BJ128" s="444"/>
      <c r="BK128" s="444"/>
      <c r="BL128" s="444"/>
      <c r="BM128" s="444"/>
      <c r="BN128" s="444"/>
      <c r="BO128" s="444"/>
      <c r="BP128" s="444"/>
      <c r="BQ128" s="444"/>
      <c r="BR128" s="444"/>
      <c r="BS128" s="444"/>
      <c r="BT128" s="444"/>
    </row>
    <row r="129" spans="1:72" s="443" customFormat="1" ht="15">
      <c r="A129" s="392"/>
      <c r="B129" s="392"/>
      <c r="C129" s="392"/>
      <c r="D129" s="392"/>
      <c r="E129" s="392"/>
      <c r="F129" s="392"/>
      <c r="G129" s="392"/>
      <c r="H129" s="392"/>
      <c r="I129" s="392"/>
      <c r="J129" s="392"/>
      <c r="K129" s="392"/>
      <c r="L129" s="392"/>
      <c r="M129" s="392"/>
      <c r="N129" s="392"/>
      <c r="O129" s="392"/>
      <c r="P129" s="392"/>
      <c r="Q129" s="392"/>
      <c r="R129" s="392"/>
      <c r="S129" s="409"/>
      <c r="T129" s="409"/>
      <c r="U129" s="409"/>
      <c r="V129" s="409"/>
      <c r="W129" s="392"/>
      <c r="X129" s="392"/>
      <c r="Y129" s="409"/>
      <c r="Z129" s="409"/>
      <c r="AA129" s="392"/>
      <c r="AB129" s="392"/>
      <c r="AC129" s="392"/>
      <c r="AD129" s="409"/>
      <c r="AE129" s="409"/>
      <c r="AF129" s="409"/>
      <c r="AG129" s="409"/>
      <c r="AH129" s="409"/>
      <c r="AI129" s="409"/>
      <c r="AJ129" s="409"/>
      <c r="AK129" s="409"/>
      <c r="AL129" s="409"/>
      <c r="AM129" s="409"/>
      <c r="AN129" s="409"/>
      <c r="AO129" s="409"/>
      <c r="AP129" s="409"/>
      <c r="AQ129" s="409"/>
      <c r="AR129" s="409"/>
      <c r="AS129" s="409"/>
      <c r="AT129" s="409"/>
      <c r="AU129" s="409"/>
      <c r="AV129" s="409"/>
      <c r="AW129" s="409"/>
      <c r="AX129" s="409"/>
      <c r="AY129" s="409"/>
      <c r="AZ129" s="409"/>
      <c r="BA129" s="409"/>
      <c r="BB129" s="409"/>
      <c r="BC129" s="409"/>
      <c r="BD129" s="407"/>
      <c r="BE129" s="444"/>
      <c r="BF129" s="444"/>
      <c r="BG129" s="444"/>
      <c r="BH129" s="444"/>
      <c r="BI129" s="444"/>
      <c r="BJ129" s="444"/>
      <c r="BK129" s="444"/>
      <c r="BL129" s="444"/>
      <c r="BM129" s="444"/>
      <c r="BN129" s="444"/>
      <c r="BO129" s="444"/>
      <c r="BP129" s="444"/>
      <c r="BQ129" s="444"/>
      <c r="BR129" s="444"/>
      <c r="BS129" s="444"/>
      <c r="BT129" s="444"/>
    </row>
    <row r="130" spans="1:72" s="443" customFormat="1" ht="15">
      <c r="A130" s="392"/>
      <c r="B130" s="392"/>
      <c r="C130" s="392"/>
      <c r="D130" s="392"/>
      <c r="E130" s="392"/>
      <c r="F130" s="392"/>
      <c r="G130" s="392"/>
      <c r="H130" s="392"/>
      <c r="I130" s="392"/>
      <c r="J130" s="392"/>
      <c r="K130" s="392"/>
      <c r="L130" s="392"/>
      <c r="M130" s="392"/>
      <c r="N130" s="392"/>
      <c r="O130" s="392"/>
      <c r="P130" s="392"/>
      <c r="Q130" s="392"/>
      <c r="R130" s="392"/>
      <c r="S130" s="409"/>
      <c r="T130" s="409"/>
      <c r="U130" s="409"/>
      <c r="V130" s="409"/>
      <c r="W130" s="392"/>
      <c r="X130" s="392"/>
      <c r="Y130" s="409"/>
      <c r="Z130" s="409"/>
      <c r="AA130" s="392"/>
      <c r="AB130" s="392"/>
      <c r="AC130" s="392"/>
      <c r="AD130" s="409"/>
      <c r="AE130" s="409"/>
      <c r="AF130" s="409"/>
      <c r="AG130" s="409"/>
      <c r="AH130" s="409"/>
      <c r="AI130" s="409"/>
      <c r="AJ130" s="409"/>
      <c r="AK130" s="409"/>
      <c r="AL130" s="409"/>
      <c r="AM130" s="409"/>
      <c r="AN130" s="409"/>
      <c r="AO130" s="409"/>
      <c r="AP130" s="409"/>
      <c r="AQ130" s="409"/>
      <c r="AR130" s="409"/>
      <c r="AS130" s="409"/>
      <c r="AT130" s="409"/>
      <c r="AU130" s="409"/>
      <c r="AV130" s="409"/>
      <c r="AW130" s="409"/>
      <c r="AX130" s="409"/>
      <c r="AY130" s="409"/>
      <c r="AZ130" s="409"/>
      <c r="BA130" s="409"/>
      <c r="BB130" s="409"/>
      <c r="BC130" s="409"/>
      <c r="BD130" s="407"/>
      <c r="BE130" s="444"/>
      <c r="BF130" s="444"/>
      <c r="BG130" s="444"/>
      <c r="BH130" s="444"/>
      <c r="BI130" s="444"/>
      <c r="BJ130" s="444"/>
      <c r="BK130" s="444"/>
      <c r="BL130" s="444"/>
      <c r="BM130" s="444"/>
      <c r="BN130" s="444"/>
      <c r="BO130" s="444"/>
      <c r="BP130" s="444"/>
      <c r="BQ130" s="444"/>
      <c r="BR130" s="444"/>
      <c r="BS130" s="444"/>
      <c r="BT130" s="444"/>
    </row>
    <row r="131" spans="1:72" s="443" customFormat="1" ht="15">
      <c r="A131" s="392"/>
      <c r="B131" s="392"/>
      <c r="C131" s="392"/>
      <c r="D131" s="392"/>
      <c r="E131" s="392"/>
      <c r="F131" s="392"/>
      <c r="G131" s="392"/>
      <c r="H131" s="392"/>
      <c r="I131" s="392"/>
      <c r="J131" s="392"/>
      <c r="K131" s="392"/>
      <c r="L131" s="392"/>
      <c r="M131" s="392"/>
      <c r="N131" s="392"/>
      <c r="O131" s="392"/>
      <c r="P131" s="392"/>
      <c r="Q131" s="392"/>
      <c r="R131" s="392"/>
      <c r="S131" s="409"/>
      <c r="T131" s="409"/>
      <c r="U131" s="409"/>
      <c r="V131" s="409"/>
      <c r="W131" s="392"/>
      <c r="X131" s="392"/>
      <c r="Y131" s="409"/>
      <c r="Z131" s="409"/>
      <c r="AA131" s="392"/>
      <c r="AB131" s="392"/>
      <c r="AC131" s="392"/>
      <c r="AD131" s="409"/>
      <c r="AE131" s="409"/>
      <c r="AF131" s="409"/>
      <c r="AG131" s="409"/>
      <c r="AH131" s="409"/>
      <c r="AI131" s="409"/>
      <c r="AJ131" s="409"/>
      <c r="AK131" s="409"/>
      <c r="AL131" s="409"/>
      <c r="AM131" s="409"/>
      <c r="AN131" s="409"/>
      <c r="AO131" s="409"/>
      <c r="AP131" s="409"/>
      <c r="AQ131" s="409"/>
      <c r="AR131" s="409"/>
      <c r="AS131" s="409"/>
      <c r="AT131" s="409"/>
      <c r="AU131" s="409"/>
      <c r="AV131" s="409"/>
      <c r="AW131" s="409"/>
      <c r="AX131" s="409"/>
      <c r="AY131" s="409"/>
      <c r="AZ131" s="409"/>
      <c r="BA131" s="409"/>
      <c r="BB131" s="409"/>
      <c r="BC131" s="409"/>
      <c r="BD131" s="407"/>
      <c r="BE131" s="444"/>
      <c r="BF131" s="444"/>
      <c r="BG131" s="444"/>
      <c r="BH131" s="444"/>
      <c r="BI131" s="444"/>
      <c r="BJ131" s="444"/>
      <c r="BK131" s="444"/>
      <c r="BL131" s="444"/>
      <c r="BM131" s="444"/>
      <c r="BN131" s="444"/>
      <c r="BO131" s="444"/>
      <c r="BP131" s="444"/>
      <c r="BQ131" s="444"/>
      <c r="BR131" s="444"/>
      <c r="BS131" s="444"/>
      <c r="BT131" s="444"/>
    </row>
    <row r="132" spans="1:72" s="443" customFormat="1" ht="15">
      <c r="A132" s="392"/>
      <c r="B132" s="392"/>
      <c r="C132" s="392"/>
      <c r="D132" s="392"/>
      <c r="E132" s="392"/>
      <c r="F132" s="392"/>
      <c r="G132" s="392"/>
      <c r="H132" s="392"/>
      <c r="I132" s="392"/>
      <c r="J132" s="392"/>
      <c r="K132" s="392"/>
      <c r="L132" s="392"/>
      <c r="M132" s="392"/>
      <c r="N132" s="392"/>
      <c r="O132" s="392"/>
      <c r="P132" s="392"/>
      <c r="Q132" s="392"/>
      <c r="R132" s="392"/>
      <c r="S132" s="409"/>
      <c r="T132" s="409"/>
      <c r="U132" s="409"/>
      <c r="V132" s="409"/>
      <c r="W132" s="392"/>
      <c r="X132" s="392"/>
      <c r="Y132" s="409"/>
      <c r="Z132" s="409"/>
      <c r="AA132" s="392"/>
      <c r="AB132" s="392"/>
      <c r="AC132" s="392"/>
      <c r="AD132" s="409"/>
      <c r="AE132" s="409"/>
      <c r="AF132" s="409"/>
      <c r="AG132" s="409"/>
      <c r="AH132" s="409"/>
      <c r="AI132" s="409"/>
      <c r="AJ132" s="409"/>
      <c r="AK132" s="409"/>
      <c r="AL132" s="409"/>
      <c r="AM132" s="409"/>
      <c r="AN132" s="409"/>
      <c r="AO132" s="409"/>
      <c r="AP132" s="409"/>
      <c r="AQ132" s="409"/>
      <c r="AR132" s="409"/>
      <c r="AS132" s="409"/>
      <c r="AT132" s="409"/>
      <c r="AU132" s="409"/>
      <c r="AV132" s="409"/>
      <c r="AW132" s="409"/>
      <c r="AX132" s="409"/>
      <c r="AY132" s="409"/>
      <c r="AZ132" s="409"/>
      <c r="BA132" s="409"/>
      <c r="BB132" s="409"/>
      <c r="BC132" s="409"/>
      <c r="BD132" s="407"/>
      <c r="BE132" s="444"/>
      <c r="BF132" s="444"/>
      <c r="BG132" s="444"/>
      <c r="BH132" s="444"/>
      <c r="BI132" s="444"/>
      <c r="BJ132" s="444"/>
      <c r="BK132" s="444"/>
      <c r="BL132" s="444"/>
      <c r="BM132" s="444"/>
      <c r="BN132" s="444"/>
      <c r="BO132" s="444"/>
      <c r="BP132" s="444"/>
      <c r="BQ132" s="444"/>
      <c r="BR132" s="444"/>
      <c r="BS132" s="444"/>
      <c r="BT132" s="444"/>
    </row>
    <row r="133" spans="1:72" s="443" customFormat="1" ht="15">
      <c r="A133" s="392"/>
      <c r="B133" s="392"/>
      <c r="C133" s="392"/>
      <c r="D133" s="392"/>
      <c r="E133" s="392"/>
      <c r="F133" s="392"/>
      <c r="G133" s="392"/>
      <c r="H133" s="392"/>
      <c r="I133" s="392"/>
      <c r="J133" s="392"/>
      <c r="K133" s="392"/>
      <c r="L133" s="392"/>
      <c r="M133" s="392"/>
      <c r="N133" s="392"/>
      <c r="O133" s="392"/>
      <c r="P133" s="392"/>
      <c r="Q133" s="392"/>
      <c r="R133" s="392"/>
      <c r="S133" s="409"/>
      <c r="T133" s="409"/>
      <c r="U133" s="409"/>
      <c r="V133" s="409"/>
      <c r="W133" s="392"/>
      <c r="X133" s="392"/>
      <c r="Y133" s="409"/>
      <c r="Z133" s="409"/>
      <c r="AA133" s="392"/>
      <c r="AB133" s="392"/>
      <c r="AC133" s="392"/>
      <c r="AD133" s="409"/>
      <c r="AE133" s="409"/>
      <c r="AF133" s="409"/>
      <c r="AG133" s="409"/>
      <c r="AH133" s="409"/>
      <c r="AI133" s="409"/>
      <c r="AJ133" s="409"/>
      <c r="AK133" s="409"/>
      <c r="AL133" s="409"/>
      <c r="AM133" s="409"/>
      <c r="AN133" s="409"/>
      <c r="AO133" s="409"/>
      <c r="AP133" s="409"/>
      <c r="AQ133" s="409"/>
      <c r="AR133" s="409"/>
      <c r="AS133" s="409"/>
      <c r="AT133" s="409"/>
      <c r="AU133" s="409"/>
      <c r="AV133" s="409"/>
      <c r="AW133" s="409"/>
      <c r="AX133" s="409"/>
      <c r="AY133" s="409"/>
      <c r="AZ133" s="409"/>
      <c r="BA133" s="409"/>
      <c r="BB133" s="409"/>
      <c r="BC133" s="409"/>
      <c r="BD133" s="407"/>
      <c r="BE133" s="444"/>
      <c r="BF133" s="444"/>
      <c r="BG133" s="444"/>
      <c r="BH133" s="444"/>
      <c r="BI133" s="444"/>
      <c r="BJ133" s="444"/>
      <c r="BK133" s="444"/>
      <c r="BL133" s="444"/>
      <c r="BM133" s="444"/>
      <c r="BN133" s="444"/>
      <c r="BO133" s="444"/>
      <c r="BP133" s="444"/>
      <c r="BQ133" s="444"/>
      <c r="BR133" s="444"/>
      <c r="BS133" s="444"/>
      <c r="BT133" s="444"/>
    </row>
    <row r="134" spans="1:72" s="443" customFormat="1" ht="15">
      <c r="A134" s="392"/>
      <c r="B134" s="392"/>
      <c r="C134" s="392"/>
      <c r="D134" s="392"/>
      <c r="E134" s="392"/>
      <c r="F134" s="392"/>
      <c r="G134" s="392"/>
      <c r="H134" s="392"/>
      <c r="I134" s="392"/>
      <c r="J134" s="392"/>
      <c r="K134" s="392"/>
      <c r="L134" s="392"/>
      <c r="M134" s="392"/>
      <c r="N134" s="392"/>
      <c r="O134" s="392"/>
      <c r="P134" s="392"/>
      <c r="Q134" s="392"/>
      <c r="R134" s="392"/>
      <c r="S134" s="409"/>
      <c r="T134" s="409"/>
      <c r="U134" s="409"/>
      <c r="V134" s="409"/>
      <c r="W134" s="392"/>
      <c r="X134" s="392"/>
      <c r="Y134" s="409"/>
      <c r="Z134" s="409"/>
      <c r="AA134" s="392"/>
      <c r="AB134" s="392"/>
      <c r="AC134" s="392"/>
      <c r="AD134" s="409"/>
      <c r="AE134" s="409"/>
      <c r="AF134" s="409"/>
      <c r="AG134" s="409"/>
      <c r="AH134" s="409"/>
      <c r="AI134" s="409"/>
      <c r="AJ134" s="409"/>
      <c r="AK134" s="409"/>
      <c r="AL134" s="409"/>
      <c r="AM134" s="409"/>
      <c r="AN134" s="409"/>
      <c r="AO134" s="409"/>
      <c r="AP134" s="409"/>
      <c r="AQ134" s="409"/>
      <c r="AR134" s="409"/>
      <c r="AS134" s="409"/>
      <c r="AT134" s="409"/>
      <c r="AU134" s="409"/>
      <c r="AV134" s="409"/>
      <c r="AW134" s="409"/>
      <c r="AX134" s="409"/>
      <c r="AY134" s="409"/>
      <c r="AZ134" s="409"/>
      <c r="BA134" s="409"/>
      <c r="BB134" s="409"/>
      <c r="BC134" s="409"/>
      <c r="BD134" s="407"/>
      <c r="BE134" s="444"/>
      <c r="BF134" s="444"/>
      <c r="BG134" s="444"/>
      <c r="BH134" s="444"/>
      <c r="BI134" s="444"/>
      <c r="BJ134" s="444"/>
      <c r="BK134" s="444"/>
      <c r="BL134" s="444"/>
      <c r="BM134" s="444"/>
      <c r="BN134" s="444"/>
      <c r="BO134" s="444"/>
      <c r="BP134" s="444"/>
      <c r="BQ134" s="444"/>
      <c r="BR134" s="444"/>
      <c r="BS134" s="444"/>
      <c r="BT134" s="444"/>
    </row>
    <row r="135" spans="1:72" s="443" customFormat="1" ht="15">
      <c r="A135" s="392"/>
      <c r="B135" s="392"/>
      <c r="C135" s="392"/>
      <c r="D135" s="392"/>
      <c r="E135" s="392"/>
      <c r="F135" s="392"/>
      <c r="G135" s="392"/>
      <c r="H135" s="392"/>
      <c r="I135" s="392"/>
      <c r="J135" s="392"/>
      <c r="K135" s="392"/>
      <c r="L135" s="392"/>
      <c r="M135" s="392"/>
      <c r="N135" s="392"/>
      <c r="O135" s="392"/>
      <c r="P135" s="392"/>
      <c r="Q135" s="392"/>
      <c r="R135" s="392"/>
      <c r="S135" s="409"/>
      <c r="T135" s="409"/>
      <c r="U135" s="409"/>
      <c r="V135" s="409"/>
      <c r="W135" s="392"/>
      <c r="X135" s="392"/>
      <c r="Y135" s="409"/>
      <c r="Z135" s="409"/>
      <c r="AA135" s="392"/>
      <c r="AB135" s="392"/>
      <c r="AC135" s="392"/>
      <c r="AD135" s="409"/>
      <c r="AE135" s="409"/>
      <c r="AF135" s="409"/>
      <c r="AG135" s="409"/>
      <c r="AH135" s="409"/>
      <c r="AI135" s="409"/>
      <c r="AJ135" s="409"/>
      <c r="AK135" s="409"/>
      <c r="AL135" s="409"/>
      <c r="AM135" s="409"/>
      <c r="AN135" s="409"/>
      <c r="AO135" s="409"/>
      <c r="AP135" s="409"/>
      <c r="AQ135" s="409"/>
      <c r="AR135" s="409"/>
      <c r="AS135" s="409"/>
      <c r="AT135" s="409"/>
      <c r="AU135" s="409"/>
      <c r="AV135" s="409"/>
      <c r="AW135" s="409"/>
      <c r="AX135" s="409"/>
      <c r="AY135" s="409"/>
      <c r="AZ135" s="409"/>
      <c r="BA135" s="409"/>
      <c r="BB135" s="409"/>
      <c r="BC135" s="409"/>
      <c r="BD135" s="407"/>
      <c r="BE135" s="444"/>
      <c r="BF135" s="444"/>
      <c r="BG135" s="444"/>
      <c r="BH135" s="444"/>
      <c r="BI135" s="444"/>
      <c r="BJ135" s="444"/>
      <c r="BK135" s="444"/>
      <c r="BL135" s="444"/>
      <c r="BM135" s="444"/>
      <c r="BN135" s="444"/>
      <c r="BO135" s="444"/>
      <c r="BP135" s="444"/>
      <c r="BQ135" s="444"/>
      <c r="BR135" s="444"/>
      <c r="BS135" s="444"/>
      <c r="BT135" s="444"/>
    </row>
    <row r="136" spans="1:72" s="443" customFormat="1" ht="15">
      <c r="A136" s="392"/>
      <c r="B136" s="392"/>
      <c r="C136" s="392"/>
      <c r="D136" s="392"/>
      <c r="E136" s="392"/>
      <c r="F136" s="392"/>
      <c r="G136" s="392"/>
      <c r="H136" s="392"/>
      <c r="I136" s="392"/>
      <c r="J136" s="392"/>
      <c r="K136" s="392"/>
      <c r="L136" s="392"/>
      <c r="M136" s="392"/>
      <c r="N136" s="392"/>
      <c r="O136" s="392"/>
      <c r="P136" s="392"/>
      <c r="Q136" s="392"/>
      <c r="R136" s="392"/>
      <c r="S136" s="409"/>
      <c r="T136" s="409"/>
      <c r="U136" s="409"/>
      <c r="V136" s="409"/>
      <c r="W136" s="392"/>
      <c r="X136" s="392"/>
      <c r="Y136" s="409"/>
      <c r="Z136" s="409"/>
      <c r="AA136" s="392"/>
      <c r="AB136" s="392"/>
      <c r="AC136" s="392"/>
      <c r="AD136" s="409"/>
      <c r="AE136" s="409"/>
      <c r="AF136" s="409"/>
      <c r="AG136" s="409"/>
      <c r="AH136" s="409"/>
      <c r="AI136" s="409"/>
      <c r="AJ136" s="409"/>
      <c r="AK136" s="409"/>
      <c r="AL136" s="409"/>
      <c r="AM136" s="409"/>
      <c r="AN136" s="409"/>
      <c r="AO136" s="409"/>
      <c r="AP136" s="409"/>
      <c r="AQ136" s="409"/>
      <c r="AR136" s="409"/>
      <c r="AS136" s="409"/>
      <c r="AT136" s="409"/>
      <c r="AU136" s="409"/>
      <c r="AV136" s="409"/>
      <c r="AW136" s="409"/>
      <c r="AX136" s="409"/>
      <c r="AY136" s="409"/>
      <c r="AZ136" s="409"/>
      <c r="BA136" s="409"/>
      <c r="BB136" s="409"/>
      <c r="BC136" s="409"/>
      <c r="BD136" s="407"/>
      <c r="BE136" s="444"/>
      <c r="BF136" s="444"/>
      <c r="BG136" s="444"/>
      <c r="BH136" s="444"/>
      <c r="BI136" s="444"/>
      <c r="BJ136" s="444"/>
      <c r="BK136" s="444"/>
      <c r="BL136" s="444"/>
      <c r="BM136" s="444"/>
      <c r="BN136" s="444"/>
      <c r="BO136" s="444"/>
      <c r="BP136" s="444"/>
      <c r="BQ136" s="444"/>
      <c r="BR136" s="444"/>
      <c r="BS136" s="444"/>
      <c r="BT136" s="444"/>
    </row>
    <row r="137" spans="1:72" s="443" customFormat="1" ht="15">
      <c r="A137" s="392"/>
      <c r="B137" s="392"/>
      <c r="C137" s="392"/>
      <c r="D137" s="392"/>
      <c r="E137" s="392"/>
      <c r="F137" s="392"/>
      <c r="G137" s="392"/>
      <c r="H137" s="392"/>
      <c r="I137" s="392"/>
      <c r="J137" s="392"/>
      <c r="K137" s="392"/>
      <c r="L137" s="392"/>
      <c r="M137" s="392"/>
      <c r="N137" s="392"/>
      <c r="O137" s="392"/>
      <c r="P137" s="392"/>
      <c r="Q137" s="392"/>
      <c r="R137" s="392"/>
      <c r="S137" s="409"/>
      <c r="T137" s="409"/>
      <c r="U137" s="409"/>
      <c r="V137" s="409"/>
      <c r="W137" s="392"/>
      <c r="X137" s="392"/>
      <c r="Y137" s="409"/>
      <c r="Z137" s="409"/>
      <c r="AA137" s="392"/>
      <c r="AB137" s="392"/>
      <c r="AC137" s="392"/>
      <c r="AD137" s="409"/>
      <c r="AE137" s="409"/>
      <c r="AF137" s="409"/>
      <c r="AG137" s="409"/>
      <c r="AH137" s="409"/>
      <c r="AI137" s="409"/>
      <c r="AJ137" s="409"/>
      <c r="AK137" s="409"/>
      <c r="AL137" s="409"/>
      <c r="AM137" s="409"/>
      <c r="AN137" s="409"/>
      <c r="AO137" s="409"/>
      <c r="AP137" s="409"/>
      <c r="AQ137" s="409"/>
      <c r="AR137" s="409"/>
      <c r="AS137" s="409"/>
      <c r="AT137" s="409"/>
      <c r="AU137" s="409"/>
      <c r="AV137" s="409"/>
      <c r="AW137" s="409"/>
      <c r="AX137" s="409"/>
      <c r="AY137" s="409"/>
      <c r="AZ137" s="409"/>
      <c r="BA137" s="409"/>
      <c r="BB137" s="409"/>
      <c r="BC137" s="409"/>
      <c r="BD137" s="407"/>
      <c r="BE137" s="444"/>
      <c r="BF137" s="444"/>
      <c r="BG137" s="444"/>
      <c r="BH137" s="444"/>
      <c r="BI137" s="444"/>
      <c r="BJ137" s="444"/>
      <c r="BK137" s="444"/>
      <c r="BL137" s="444"/>
      <c r="BM137" s="444"/>
      <c r="BN137" s="444"/>
      <c r="BO137" s="444"/>
      <c r="BP137" s="444"/>
      <c r="BQ137" s="444"/>
      <c r="BR137" s="444"/>
      <c r="BS137" s="444"/>
      <c r="BT137" s="444"/>
    </row>
    <row r="138" spans="1:72" s="443" customFormat="1" ht="15">
      <c r="A138" s="392"/>
      <c r="B138" s="392"/>
      <c r="C138" s="392"/>
      <c r="D138" s="392"/>
      <c r="E138" s="392"/>
      <c r="F138" s="392"/>
      <c r="G138" s="392"/>
      <c r="H138" s="392"/>
      <c r="I138" s="392"/>
      <c r="J138" s="392"/>
      <c r="K138" s="392"/>
      <c r="L138" s="392"/>
      <c r="M138" s="392"/>
      <c r="N138" s="392"/>
      <c r="O138" s="392"/>
      <c r="P138" s="392"/>
      <c r="Q138" s="392"/>
      <c r="R138" s="392"/>
      <c r="S138" s="409"/>
      <c r="T138" s="409"/>
      <c r="U138" s="409"/>
      <c r="V138" s="409"/>
      <c r="W138" s="392"/>
      <c r="X138" s="392"/>
      <c r="Y138" s="409"/>
      <c r="Z138" s="409"/>
      <c r="AA138" s="392"/>
      <c r="AB138" s="392"/>
      <c r="AC138" s="392"/>
      <c r="AD138" s="409"/>
      <c r="AE138" s="409"/>
      <c r="AF138" s="409"/>
      <c r="AG138" s="409"/>
      <c r="AH138" s="409"/>
      <c r="AI138" s="409"/>
      <c r="AJ138" s="409"/>
      <c r="AK138" s="409"/>
      <c r="AL138" s="409"/>
      <c r="AM138" s="409"/>
      <c r="AN138" s="409"/>
      <c r="AO138" s="409"/>
      <c r="AP138" s="409"/>
      <c r="AQ138" s="409"/>
      <c r="AR138" s="409"/>
      <c r="AS138" s="409"/>
      <c r="AT138" s="409"/>
      <c r="AU138" s="409"/>
      <c r="AV138" s="409"/>
      <c r="AW138" s="409"/>
      <c r="AX138" s="409"/>
      <c r="AY138" s="409"/>
      <c r="AZ138" s="409"/>
      <c r="BA138" s="409"/>
      <c r="BB138" s="409"/>
      <c r="BC138" s="409"/>
      <c r="BD138" s="407"/>
      <c r="BE138" s="444"/>
      <c r="BF138" s="444"/>
      <c r="BG138" s="444"/>
      <c r="BH138" s="444"/>
      <c r="BI138" s="444"/>
      <c r="BJ138" s="444"/>
      <c r="BK138" s="444"/>
      <c r="BL138" s="444"/>
      <c r="BM138" s="444"/>
      <c r="BN138" s="444"/>
      <c r="BO138" s="444"/>
      <c r="BP138" s="444"/>
      <c r="BQ138" s="444"/>
      <c r="BR138" s="444"/>
      <c r="BS138" s="444"/>
      <c r="BT138" s="444"/>
    </row>
    <row r="139" spans="1:72" s="443" customFormat="1" ht="15">
      <c r="A139" s="392"/>
      <c r="B139" s="392"/>
      <c r="C139" s="392"/>
      <c r="D139" s="392"/>
      <c r="E139" s="392"/>
      <c r="F139" s="392"/>
      <c r="G139" s="392"/>
      <c r="H139" s="392"/>
      <c r="I139" s="392"/>
      <c r="J139" s="392"/>
      <c r="K139" s="392"/>
      <c r="L139" s="392"/>
      <c r="M139" s="392"/>
      <c r="N139" s="392"/>
      <c r="O139" s="392"/>
      <c r="P139" s="392"/>
      <c r="Q139" s="392"/>
      <c r="R139" s="392"/>
      <c r="S139" s="409"/>
      <c r="T139" s="409"/>
      <c r="U139" s="409"/>
      <c r="V139" s="409"/>
      <c r="W139" s="392"/>
      <c r="X139" s="392"/>
      <c r="Y139" s="409"/>
      <c r="Z139" s="409"/>
      <c r="AA139" s="392"/>
      <c r="AB139" s="392"/>
      <c r="AC139" s="392"/>
      <c r="AD139" s="409"/>
      <c r="AE139" s="409"/>
      <c r="AF139" s="409"/>
      <c r="AG139" s="409"/>
      <c r="AH139" s="409"/>
      <c r="AI139" s="409"/>
      <c r="AJ139" s="409"/>
      <c r="AK139" s="409"/>
      <c r="AL139" s="409"/>
      <c r="AM139" s="409"/>
      <c r="AN139" s="409"/>
      <c r="AO139" s="409"/>
      <c r="AP139" s="409"/>
      <c r="AQ139" s="409"/>
      <c r="AR139" s="409"/>
      <c r="AS139" s="409"/>
      <c r="AT139" s="409"/>
      <c r="AU139" s="409"/>
      <c r="AV139" s="409"/>
      <c r="AW139" s="409"/>
      <c r="AX139" s="409"/>
      <c r="AY139" s="409"/>
      <c r="AZ139" s="409"/>
      <c r="BA139" s="409"/>
      <c r="BB139" s="409"/>
      <c r="BC139" s="409"/>
      <c r="BD139" s="407"/>
      <c r="BE139" s="444"/>
      <c r="BF139" s="444"/>
      <c r="BG139" s="444"/>
      <c r="BH139" s="444"/>
      <c r="BI139" s="444"/>
      <c r="BJ139" s="444"/>
      <c r="BK139" s="444"/>
      <c r="BL139" s="444"/>
      <c r="BM139" s="444"/>
      <c r="BN139" s="444"/>
      <c r="BO139" s="444"/>
      <c r="BP139" s="444"/>
      <c r="BQ139" s="444"/>
      <c r="BR139" s="444"/>
      <c r="BS139" s="444"/>
      <c r="BT139" s="444"/>
    </row>
    <row r="140" spans="1:72" s="443" customFormat="1" ht="15">
      <c r="A140" s="392"/>
      <c r="B140" s="392"/>
      <c r="C140" s="392"/>
      <c r="D140" s="392"/>
      <c r="E140" s="392"/>
      <c r="F140" s="392"/>
      <c r="G140" s="392"/>
      <c r="H140" s="392"/>
      <c r="I140" s="392"/>
      <c r="J140" s="392"/>
      <c r="K140" s="392"/>
      <c r="L140" s="392"/>
      <c r="M140" s="392"/>
      <c r="N140" s="392"/>
      <c r="O140" s="392"/>
      <c r="P140" s="392"/>
      <c r="Q140" s="392"/>
      <c r="R140" s="392"/>
      <c r="S140" s="409"/>
      <c r="T140" s="409"/>
      <c r="U140" s="409"/>
      <c r="V140" s="409"/>
      <c r="W140" s="392"/>
      <c r="X140" s="392"/>
      <c r="Y140" s="409"/>
      <c r="Z140" s="409"/>
      <c r="AA140" s="392"/>
      <c r="AB140" s="392"/>
      <c r="AC140" s="392"/>
      <c r="AD140" s="409"/>
      <c r="AE140" s="409"/>
      <c r="AF140" s="409"/>
      <c r="AG140" s="409"/>
      <c r="AH140" s="409"/>
      <c r="AI140" s="409"/>
      <c r="AJ140" s="409"/>
      <c r="AK140" s="409"/>
      <c r="AL140" s="409"/>
      <c r="AM140" s="409"/>
      <c r="AN140" s="409"/>
      <c r="AO140" s="409"/>
      <c r="AP140" s="409"/>
      <c r="AQ140" s="409"/>
      <c r="AR140" s="409"/>
      <c r="AS140" s="409"/>
      <c r="AT140" s="409"/>
      <c r="AU140" s="409"/>
      <c r="AV140" s="409"/>
      <c r="AW140" s="409"/>
      <c r="AX140" s="409"/>
      <c r="AY140" s="409"/>
      <c r="AZ140" s="409"/>
      <c r="BA140" s="409"/>
      <c r="BB140" s="409"/>
      <c r="BC140" s="409"/>
      <c r="BD140" s="407"/>
      <c r="BE140" s="444"/>
      <c r="BF140" s="444"/>
      <c r="BG140" s="444"/>
      <c r="BH140" s="444"/>
      <c r="BI140" s="444"/>
      <c r="BJ140" s="444"/>
      <c r="BK140" s="444"/>
      <c r="BL140" s="444"/>
      <c r="BM140" s="444"/>
      <c r="BN140" s="444"/>
      <c r="BO140" s="444"/>
      <c r="BP140" s="444"/>
      <c r="BQ140" s="444"/>
      <c r="BR140" s="444"/>
      <c r="BS140" s="444"/>
      <c r="BT140" s="444"/>
    </row>
    <row r="141" spans="1:72" s="443" customFormat="1" ht="15">
      <c r="A141" s="392"/>
      <c r="B141" s="392"/>
      <c r="C141" s="392"/>
      <c r="D141" s="392"/>
      <c r="E141" s="392"/>
      <c r="F141" s="392"/>
      <c r="G141" s="392"/>
      <c r="H141" s="392"/>
      <c r="I141" s="392"/>
      <c r="J141" s="392"/>
      <c r="K141" s="392"/>
      <c r="L141" s="392"/>
      <c r="M141" s="392"/>
      <c r="N141" s="392"/>
      <c r="O141" s="392"/>
      <c r="P141" s="392"/>
      <c r="Q141" s="392"/>
      <c r="R141" s="392"/>
      <c r="S141" s="409"/>
      <c r="T141" s="409"/>
      <c r="U141" s="409"/>
      <c r="V141" s="409"/>
      <c r="W141" s="392"/>
      <c r="X141" s="392"/>
      <c r="Y141" s="409"/>
      <c r="Z141" s="409"/>
      <c r="AA141" s="392"/>
      <c r="AB141" s="392"/>
      <c r="AC141" s="392"/>
      <c r="AD141" s="409"/>
      <c r="AE141" s="409"/>
      <c r="AF141" s="409"/>
      <c r="AG141" s="409"/>
      <c r="AH141" s="409"/>
      <c r="AI141" s="409"/>
      <c r="AJ141" s="409"/>
      <c r="AK141" s="409"/>
      <c r="AL141" s="409"/>
      <c r="AM141" s="409"/>
      <c r="AN141" s="409"/>
      <c r="AO141" s="409"/>
      <c r="AP141" s="409"/>
      <c r="AQ141" s="409"/>
      <c r="AR141" s="409"/>
      <c r="AS141" s="409"/>
      <c r="AT141" s="409"/>
      <c r="AU141" s="409"/>
      <c r="AV141" s="409"/>
      <c r="AW141" s="409"/>
      <c r="AX141" s="409"/>
      <c r="AY141" s="409"/>
      <c r="AZ141" s="409"/>
      <c r="BA141" s="409"/>
      <c r="BB141" s="409"/>
      <c r="BC141" s="409"/>
      <c r="BD141" s="407"/>
      <c r="BE141" s="444"/>
      <c r="BF141" s="444"/>
      <c r="BG141" s="444"/>
      <c r="BH141" s="444"/>
      <c r="BI141" s="444"/>
      <c r="BJ141" s="444"/>
      <c r="BK141" s="444"/>
      <c r="BL141" s="444"/>
      <c r="BM141" s="444"/>
      <c r="BN141" s="444"/>
      <c r="BO141" s="444"/>
      <c r="BP141" s="444"/>
      <c r="BQ141" s="444"/>
      <c r="BR141" s="444"/>
      <c r="BS141" s="444"/>
      <c r="BT141" s="444"/>
    </row>
    <row r="142" spans="1:72" s="443" customFormat="1" ht="15">
      <c r="A142" s="392"/>
      <c r="B142" s="392"/>
      <c r="C142" s="392"/>
      <c r="D142" s="392"/>
      <c r="E142" s="392"/>
      <c r="F142" s="392"/>
      <c r="G142" s="392"/>
      <c r="H142" s="392"/>
      <c r="I142" s="392"/>
      <c r="J142" s="392"/>
      <c r="K142" s="392"/>
      <c r="L142" s="392"/>
      <c r="M142" s="392"/>
      <c r="N142" s="392"/>
      <c r="O142" s="392"/>
      <c r="P142" s="392"/>
      <c r="Q142" s="392"/>
      <c r="R142" s="392"/>
      <c r="S142" s="409"/>
      <c r="T142" s="409"/>
      <c r="U142" s="409"/>
      <c r="V142" s="409"/>
      <c r="W142" s="392"/>
      <c r="X142" s="392"/>
      <c r="Y142" s="409"/>
      <c r="Z142" s="409"/>
      <c r="AA142" s="392"/>
      <c r="AB142" s="392"/>
      <c r="AC142" s="392"/>
      <c r="AD142" s="409"/>
      <c r="AE142" s="409"/>
      <c r="AF142" s="409"/>
      <c r="AG142" s="409"/>
      <c r="AH142" s="409"/>
      <c r="AI142" s="409"/>
      <c r="AJ142" s="409"/>
      <c r="AK142" s="409"/>
      <c r="AL142" s="409"/>
      <c r="AM142" s="409"/>
      <c r="AN142" s="409"/>
      <c r="AO142" s="409"/>
      <c r="AP142" s="409"/>
      <c r="AQ142" s="409"/>
      <c r="AR142" s="409"/>
      <c r="AS142" s="409"/>
      <c r="AT142" s="409"/>
      <c r="AU142" s="409"/>
      <c r="AV142" s="409"/>
      <c r="AW142" s="409"/>
      <c r="AX142" s="409"/>
      <c r="AY142" s="409"/>
      <c r="AZ142" s="409"/>
      <c r="BA142" s="409"/>
      <c r="BB142" s="409"/>
      <c r="BC142" s="409"/>
      <c r="BD142" s="407"/>
      <c r="BE142" s="444"/>
      <c r="BF142" s="444"/>
      <c r="BG142" s="444"/>
      <c r="BH142" s="444"/>
      <c r="BI142" s="444"/>
      <c r="BJ142" s="444"/>
      <c r="BK142" s="444"/>
      <c r="BL142" s="444"/>
      <c r="BM142" s="444"/>
      <c r="BN142" s="444"/>
      <c r="BO142" s="444"/>
      <c r="BP142" s="444"/>
      <c r="BQ142" s="444"/>
      <c r="BR142" s="444"/>
      <c r="BS142" s="444"/>
      <c r="BT142" s="444"/>
    </row>
    <row r="143" spans="1:72" s="443" customFormat="1" ht="15">
      <c r="A143" s="392"/>
      <c r="B143" s="392"/>
      <c r="C143" s="392"/>
      <c r="D143" s="392"/>
      <c r="E143" s="392"/>
      <c r="F143" s="392"/>
      <c r="G143" s="392"/>
      <c r="H143" s="392"/>
      <c r="I143" s="392"/>
      <c r="J143" s="392"/>
      <c r="K143" s="392"/>
      <c r="L143" s="392"/>
      <c r="M143" s="392"/>
      <c r="N143" s="392"/>
      <c r="O143" s="392"/>
      <c r="P143" s="392"/>
      <c r="Q143" s="392"/>
      <c r="R143" s="392"/>
      <c r="S143" s="409"/>
      <c r="T143" s="409"/>
      <c r="U143" s="409"/>
      <c r="V143" s="409"/>
      <c r="W143" s="392"/>
      <c r="X143" s="392"/>
      <c r="Y143" s="409"/>
      <c r="Z143" s="409"/>
      <c r="AA143" s="392"/>
      <c r="AB143" s="392"/>
      <c r="AC143" s="392"/>
      <c r="AD143" s="409"/>
      <c r="AE143" s="409"/>
      <c r="AF143" s="409"/>
      <c r="AG143" s="409"/>
      <c r="AH143" s="409"/>
      <c r="AI143" s="409"/>
      <c r="AJ143" s="409"/>
      <c r="AK143" s="409"/>
      <c r="AL143" s="409"/>
      <c r="AM143" s="409"/>
      <c r="AN143" s="409"/>
      <c r="AO143" s="409"/>
      <c r="AP143" s="409"/>
      <c r="AQ143" s="409"/>
      <c r="AR143" s="409"/>
      <c r="AS143" s="409"/>
      <c r="AT143" s="409"/>
      <c r="AU143" s="409"/>
      <c r="AV143" s="409"/>
      <c r="AW143" s="409"/>
      <c r="AX143" s="409"/>
      <c r="AY143" s="409"/>
      <c r="AZ143" s="409"/>
      <c r="BA143" s="409"/>
      <c r="BB143" s="409"/>
      <c r="BC143" s="409"/>
      <c r="BD143" s="407"/>
      <c r="BE143" s="444"/>
      <c r="BF143" s="444"/>
      <c r="BG143" s="444"/>
      <c r="BH143" s="444"/>
      <c r="BI143" s="444"/>
      <c r="BJ143" s="444"/>
      <c r="BK143" s="444"/>
      <c r="BL143" s="444"/>
      <c r="BM143" s="444"/>
      <c r="BN143" s="444"/>
      <c r="BO143" s="444"/>
      <c r="BP143" s="444"/>
      <c r="BQ143" s="444"/>
      <c r="BR143" s="444"/>
      <c r="BS143" s="444"/>
      <c r="BT143" s="444"/>
    </row>
    <row r="144" spans="1:72" s="443" customFormat="1" ht="15">
      <c r="A144" s="392"/>
      <c r="B144" s="392"/>
      <c r="C144" s="392"/>
      <c r="D144" s="392"/>
      <c r="E144" s="392"/>
      <c r="F144" s="392"/>
      <c r="G144" s="392"/>
      <c r="H144" s="392"/>
      <c r="I144" s="392"/>
      <c r="J144" s="392"/>
      <c r="K144" s="392"/>
      <c r="L144" s="392"/>
      <c r="M144" s="392"/>
      <c r="N144" s="392"/>
      <c r="O144" s="392"/>
      <c r="P144" s="392"/>
      <c r="Q144" s="392"/>
      <c r="R144" s="392"/>
      <c r="S144" s="409"/>
      <c r="T144" s="409"/>
      <c r="U144" s="409"/>
      <c r="V144" s="409"/>
      <c r="W144" s="392"/>
      <c r="X144" s="392"/>
      <c r="Y144" s="409"/>
      <c r="Z144" s="409"/>
      <c r="AA144" s="392"/>
      <c r="AB144" s="392"/>
      <c r="AC144" s="392"/>
      <c r="AD144" s="409"/>
      <c r="AE144" s="409"/>
      <c r="AF144" s="409"/>
      <c r="AG144" s="409"/>
      <c r="AH144" s="409"/>
      <c r="AI144" s="409"/>
      <c r="AJ144" s="409"/>
      <c r="AK144" s="409"/>
      <c r="AL144" s="409"/>
      <c r="AM144" s="409"/>
      <c r="AN144" s="409"/>
      <c r="AO144" s="409"/>
      <c r="AP144" s="409"/>
      <c r="AQ144" s="409"/>
      <c r="AR144" s="409"/>
      <c r="AS144" s="409"/>
      <c r="AT144" s="409"/>
      <c r="AU144" s="409"/>
      <c r="AV144" s="409"/>
      <c r="AW144" s="409"/>
      <c r="AX144" s="409"/>
      <c r="AY144" s="409"/>
      <c r="AZ144" s="409"/>
      <c r="BA144" s="409"/>
      <c r="BB144" s="409"/>
      <c r="BC144" s="409"/>
      <c r="BD144" s="407"/>
      <c r="BE144" s="444"/>
      <c r="BF144" s="444"/>
      <c r="BG144" s="444"/>
      <c r="BH144" s="444"/>
      <c r="BI144" s="444"/>
      <c r="BJ144" s="444"/>
      <c r="BK144" s="444"/>
      <c r="BL144" s="444"/>
      <c r="BM144" s="444"/>
      <c r="BN144" s="444"/>
      <c r="BO144" s="444"/>
      <c r="BP144" s="444"/>
      <c r="BQ144" s="444"/>
      <c r="BR144" s="444"/>
      <c r="BS144" s="444"/>
      <c r="BT144" s="444"/>
    </row>
    <row r="145" spans="1:72" s="443" customFormat="1" ht="15">
      <c r="A145" s="392"/>
      <c r="B145" s="392"/>
      <c r="C145" s="392"/>
      <c r="D145" s="392"/>
      <c r="E145" s="392"/>
      <c r="F145" s="392"/>
      <c r="G145" s="392"/>
      <c r="H145" s="392"/>
      <c r="I145" s="392"/>
      <c r="J145" s="392"/>
      <c r="K145" s="392"/>
      <c r="L145" s="392"/>
      <c r="M145" s="392"/>
      <c r="N145" s="392"/>
      <c r="O145" s="392"/>
      <c r="P145" s="392"/>
      <c r="Q145" s="392"/>
      <c r="R145" s="392"/>
      <c r="S145" s="409"/>
      <c r="T145" s="409"/>
      <c r="U145" s="409"/>
      <c r="V145" s="409"/>
      <c r="W145" s="392"/>
      <c r="X145" s="392"/>
      <c r="Y145" s="409"/>
      <c r="Z145" s="409"/>
      <c r="AA145" s="392"/>
      <c r="AB145" s="392"/>
      <c r="AC145" s="392"/>
      <c r="AD145" s="409"/>
      <c r="AE145" s="409"/>
      <c r="AF145" s="409"/>
      <c r="AG145" s="409"/>
      <c r="AH145" s="409"/>
      <c r="AI145" s="409"/>
      <c r="AJ145" s="409"/>
      <c r="AK145" s="409"/>
      <c r="AL145" s="409"/>
      <c r="AM145" s="409"/>
      <c r="AN145" s="409"/>
      <c r="AO145" s="409"/>
      <c r="AP145" s="409"/>
      <c r="AQ145" s="409"/>
      <c r="AR145" s="409"/>
      <c r="AS145" s="409"/>
      <c r="AT145" s="409"/>
      <c r="AU145" s="409"/>
      <c r="AV145" s="409"/>
      <c r="AW145" s="409"/>
      <c r="AX145" s="409"/>
      <c r="AY145" s="409"/>
      <c r="AZ145" s="409"/>
      <c r="BA145" s="409"/>
      <c r="BB145" s="409"/>
      <c r="BC145" s="409"/>
      <c r="BD145" s="407"/>
      <c r="BE145" s="444"/>
      <c r="BF145" s="444"/>
      <c r="BG145" s="444"/>
      <c r="BH145" s="444"/>
      <c r="BI145" s="444"/>
      <c r="BJ145" s="444"/>
      <c r="BK145" s="444"/>
      <c r="BL145" s="444"/>
      <c r="BM145" s="444"/>
      <c r="BN145" s="444"/>
      <c r="BO145" s="444"/>
      <c r="BP145" s="444"/>
      <c r="BQ145" s="444"/>
      <c r="BR145" s="444"/>
      <c r="BS145" s="444"/>
      <c r="BT145" s="444"/>
    </row>
    <row r="146" spans="1:72" s="443" customFormat="1" ht="15">
      <c r="A146" s="392"/>
      <c r="B146" s="392"/>
      <c r="C146" s="392"/>
      <c r="D146" s="392"/>
      <c r="E146" s="392"/>
      <c r="F146" s="392"/>
      <c r="G146" s="392"/>
      <c r="H146" s="392"/>
      <c r="I146" s="392"/>
      <c r="J146" s="392"/>
      <c r="K146" s="392"/>
      <c r="L146" s="392"/>
      <c r="M146" s="392"/>
      <c r="N146" s="392"/>
      <c r="O146" s="392"/>
      <c r="P146" s="392"/>
      <c r="Q146" s="392"/>
      <c r="R146" s="392"/>
      <c r="S146" s="409"/>
      <c r="T146" s="409"/>
      <c r="U146" s="409"/>
      <c r="V146" s="409"/>
      <c r="W146" s="392"/>
      <c r="X146" s="392"/>
      <c r="Y146" s="409"/>
      <c r="Z146" s="409"/>
      <c r="AA146" s="392"/>
      <c r="AB146" s="392"/>
      <c r="AC146" s="392"/>
      <c r="AD146" s="409"/>
      <c r="AE146" s="409"/>
      <c r="AF146" s="409"/>
      <c r="AG146" s="409"/>
      <c r="AH146" s="409"/>
      <c r="AI146" s="409"/>
      <c r="AJ146" s="409"/>
      <c r="AK146" s="409"/>
      <c r="AL146" s="409"/>
      <c r="AM146" s="409"/>
      <c r="AN146" s="409"/>
      <c r="AO146" s="409"/>
      <c r="AP146" s="409"/>
      <c r="AQ146" s="409"/>
      <c r="AR146" s="409"/>
      <c r="AS146" s="409"/>
      <c r="AT146" s="409"/>
      <c r="AU146" s="409"/>
      <c r="AV146" s="409"/>
      <c r="AW146" s="409"/>
      <c r="AX146" s="409"/>
      <c r="AY146" s="409"/>
      <c r="AZ146" s="409"/>
      <c r="BA146" s="409"/>
      <c r="BB146" s="409"/>
      <c r="BC146" s="409"/>
      <c r="BD146" s="407"/>
      <c r="BE146" s="444"/>
      <c r="BF146" s="444"/>
      <c r="BG146" s="444"/>
      <c r="BH146" s="444"/>
      <c r="BI146" s="444"/>
      <c r="BJ146" s="444"/>
      <c r="BK146" s="444"/>
      <c r="BL146" s="444"/>
      <c r="BM146" s="444"/>
      <c r="BN146" s="444"/>
      <c r="BO146" s="444"/>
      <c r="BP146" s="444"/>
      <c r="BQ146" s="444"/>
      <c r="BR146" s="444"/>
      <c r="BS146" s="444"/>
      <c r="BT146" s="444"/>
    </row>
    <row r="147" spans="1:72" s="443" customFormat="1" ht="15">
      <c r="A147" s="392"/>
      <c r="B147" s="392"/>
      <c r="C147" s="392"/>
      <c r="D147" s="392"/>
      <c r="E147" s="392"/>
      <c r="F147" s="392"/>
      <c r="G147" s="392"/>
      <c r="H147" s="392"/>
      <c r="I147" s="392"/>
      <c r="J147" s="392"/>
      <c r="K147" s="392"/>
      <c r="L147" s="392"/>
      <c r="M147" s="392"/>
      <c r="N147" s="392"/>
      <c r="O147" s="392"/>
      <c r="P147" s="392"/>
      <c r="Q147" s="392"/>
      <c r="R147" s="392"/>
      <c r="S147" s="409"/>
      <c r="T147" s="409"/>
      <c r="U147" s="409"/>
      <c r="V147" s="409"/>
      <c r="W147" s="392"/>
      <c r="X147" s="392"/>
      <c r="Y147" s="409"/>
      <c r="Z147" s="409"/>
      <c r="AA147" s="392"/>
      <c r="AB147" s="392"/>
      <c r="AC147" s="392"/>
      <c r="AD147" s="409"/>
      <c r="AE147" s="409"/>
      <c r="AF147" s="409"/>
      <c r="AG147" s="409"/>
      <c r="AH147" s="409"/>
      <c r="AI147" s="409"/>
      <c r="AJ147" s="409"/>
      <c r="AK147" s="409"/>
      <c r="AL147" s="409"/>
      <c r="AM147" s="409"/>
      <c r="AN147" s="409"/>
      <c r="AO147" s="409"/>
      <c r="AP147" s="409"/>
      <c r="AQ147" s="409"/>
      <c r="AR147" s="409"/>
      <c r="AS147" s="409"/>
      <c r="AT147" s="409"/>
      <c r="AU147" s="409"/>
      <c r="AV147" s="409"/>
      <c r="AW147" s="409"/>
      <c r="AX147" s="409"/>
      <c r="AY147" s="409"/>
      <c r="AZ147" s="409"/>
      <c r="BA147" s="409"/>
      <c r="BB147" s="409"/>
      <c r="BC147" s="409"/>
      <c r="BD147" s="407"/>
      <c r="BE147" s="444"/>
      <c r="BF147" s="444"/>
      <c r="BG147" s="444"/>
      <c r="BH147" s="444"/>
      <c r="BI147" s="444"/>
      <c r="BJ147" s="444"/>
      <c r="BK147" s="444"/>
      <c r="BL147" s="444"/>
      <c r="BM147" s="444"/>
      <c r="BN147" s="444"/>
      <c r="BO147" s="444"/>
      <c r="BP147" s="444"/>
      <c r="BQ147" s="444"/>
      <c r="BR147" s="444"/>
      <c r="BS147" s="444"/>
      <c r="BT147" s="444"/>
    </row>
    <row r="148" spans="1:72" s="443" customFormat="1" ht="15">
      <c r="A148" s="392"/>
      <c r="B148" s="392"/>
      <c r="C148" s="392"/>
      <c r="D148" s="392"/>
      <c r="E148" s="392"/>
      <c r="F148" s="392"/>
      <c r="G148" s="392"/>
      <c r="H148" s="392"/>
      <c r="I148" s="392"/>
      <c r="J148" s="392"/>
      <c r="K148" s="392"/>
      <c r="L148" s="392"/>
      <c r="M148" s="392"/>
      <c r="N148" s="392"/>
      <c r="O148" s="392"/>
      <c r="P148" s="392"/>
      <c r="Q148" s="392"/>
      <c r="R148" s="392"/>
      <c r="S148" s="409"/>
      <c r="T148" s="409"/>
      <c r="U148" s="409"/>
      <c r="V148" s="409"/>
      <c r="W148" s="392"/>
      <c r="X148" s="392"/>
      <c r="Y148" s="409"/>
      <c r="Z148" s="409"/>
      <c r="AA148" s="392"/>
      <c r="AB148" s="392"/>
      <c r="AC148" s="392"/>
      <c r="AD148" s="409"/>
      <c r="AE148" s="409"/>
      <c r="AF148" s="409"/>
      <c r="AG148" s="409"/>
      <c r="AH148" s="409"/>
      <c r="AI148" s="409"/>
      <c r="AJ148" s="409"/>
      <c r="AK148" s="409"/>
      <c r="AL148" s="409"/>
      <c r="AM148" s="409"/>
      <c r="AN148" s="409"/>
      <c r="AO148" s="409"/>
      <c r="AP148" s="409"/>
      <c r="AQ148" s="409"/>
      <c r="AR148" s="409"/>
      <c r="AS148" s="409"/>
      <c r="AT148" s="409"/>
      <c r="AU148" s="409"/>
      <c r="AV148" s="409"/>
      <c r="AW148" s="409"/>
      <c r="AX148" s="409"/>
      <c r="AY148" s="409"/>
      <c r="AZ148" s="409"/>
      <c r="BA148" s="409"/>
      <c r="BB148" s="409"/>
      <c r="BC148" s="409"/>
      <c r="BD148" s="407"/>
      <c r="BE148" s="444"/>
      <c r="BF148" s="444"/>
      <c r="BG148" s="444"/>
      <c r="BH148" s="444"/>
      <c r="BI148" s="444"/>
      <c r="BJ148" s="444"/>
      <c r="BK148" s="444"/>
      <c r="BL148" s="444"/>
      <c r="BM148" s="444"/>
      <c r="BN148" s="444"/>
      <c r="BO148" s="444"/>
      <c r="BP148" s="444"/>
      <c r="BQ148" s="444"/>
      <c r="BR148" s="444"/>
      <c r="BS148" s="444"/>
      <c r="BT148" s="444"/>
    </row>
    <row r="149" spans="1:72" s="443" customFormat="1" ht="15">
      <c r="A149" s="392"/>
      <c r="B149" s="392"/>
      <c r="C149" s="392"/>
      <c r="D149" s="392"/>
      <c r="E149" s="392"/>
      <c r="F149" s="392"/>
      <c r="G149" s="392"/>
      <c r="H149" s="392"/>
      <c r="I149" s="392"/>
      <c r="J149" s="392"/>
      <c r="K149" s="392"/>
      <c r="L149" s="392"/>
      <c r="M149" s="392"/>
      <c r="N149" s="392"/>
      <c r="O149" s="392"/>
      <c r="P149" s="392"/>
      <c r="Q149" s="392"/>
      <c r="R149" s="392"/>
      <c r="S149" s="409"/>
      <c r="T149" s="409"/>
      <c r="U149" s="409"/>
      <c r="V149" s="409"/>
      <c r="W149" s="392"/>
      <c r="X149" s="392"/>
      <c r="Y149" s="409"/>
      <c r="Z149" s="409"/>
      <c r="AA149" s="392"/>
      <c r="AB149" s="392"/>
      <c r="AC149" s="392"/>
      <c r="AD149" s="409"/>
      <c r="AE149" s="409"/>
      <c r="AF149" s="409"/>
      <c r="AG149" s="409"/>
      <c r="AH149" s="409"/>
      <c r="AI149" s="409"/>
      <c r="AJ149" s="409"/>
      <c r="AK149" s="409"/>
      <c r="AL149" s="409"/>
      <c r="AM149" s="409"/>
      <c r="AN149" s="409"/>
      <c r="AO149" s="409"/>
      <c r="AP149" s="409"/>
      <c r="AQ149" s="409"/>
      <c r="AR149" s="409"/>
      <c r="AS149" s="409"/>
      <c r="AT149" s="409"/>
      <c r="AU149" s="409"/>
      <c r="AV149" s="409"/>
      <c r="AW149" s="409"/>
      <c r="AX149" s="409"/>
      <c r="AY149" s="409"/>
      <c r="AZ149" s="409"/>
      <c r="BA149" s="409"/>
      <c r="BB149" s="409"/>
      <c r="BC149" s="409"/>
      <c r="BD149" s="407"/>
      <c r="BE149" s="444"/>
      <c r="BF149" s="444"/>
      <c r="BG149" s="444"/>
      <c r="BH149" s="444"/>
      <c r="BI149" s="444"/>
      <c r="BJ149" s="444"/>
      <c r="BK149" s="444"/>
      <c r="BL149" s="444"/>
      <c r="BM149" s="444"/>
      <c r="BN149" s="444"/>
      <c r="BO149" s="444"/>
      <c r="BP149" s="444"/>
      <c r="BQ149" s="444"/>
      <c r="BR149" s="444"/>
      <c r="BS149" s="444"/>
      <c r="BT149" s="444"/>
    </row>
    <row r="150" spans="1:72" s="443" customFormat="1" ht="15">
      <c r="A150" s="392"/>
      <c r="B150" s="392"/>
      <c r="C150" s="392"/>
      <c r="D150" s="392"/>
      <c r="E150" s="392"/>
      <c r="F150" s="392"/>
      <c r="G150" s="392"/>
      <c r="H150" s="392"/>
      <c r="I150" s="392"/>
      <c r="J150" s="392"/>
      <c r="K150" s="392"/>
      <c r="L150" s="392"/>
      <c r="M150" s="392"/>
      <c r="N150" s="392"/>
      <c r="O150" s="392"/>
      <c r="P150" s="392"/>
      <c r="Q150" s="392"/>
      <c r="R150" s="392"/>
      <c r="S150" s="409"/>
      <c r="T150" s="409"/>
      <c r="U150" s="409"/>
      <c r="V150" s="409"/>
      <c r="W150" s="392"/>
      <c r="X150" s="392"/>
      <c r="Y150" s="409"/>
      <c r="Z150" s="409"/>
      <c r="AA150" s="392"/>
      <c r="AB150" s="392"/>
      <c r="AC150" s="392"/>
      <c r="AD150" s="409"/>
      <c r="AE150" s="409"/>
      <c r="AF150" s="409"/>
      <c r="AG150" s="409"/>
      <c r="AH150" s="409"/>
      <c r="AI150" s="409"/>
      <c r="AJ150" s="409"/>
      <c r="AK150" s="409"/>
      <c r="AL150" s="409"/>
      <c r="AM150" s="409"/>
      <c r="AN150" s="409"/>
      <c r="AO150" s="409"/>
      <c r="AP150" s="409"/>
      <c r="AQ150" s="409"/>
      <c r="AR150" s="409"/>
      <c r="AS150" s="409"/>
      <c r="AT150" s="409"/>
      <c r="AU150" s="409"/>
      <c r="AV150" s="409"/>
      <c r="AW150" s="409"/>
      <c r="AX150" s="409"/>
      <c r="AY150" s="409"/>
      <c r="AZ150" s="409"/>
      <c r="BA150" s="409"/>
      <c r="BB150" s="409"/>
      <c r="BC150" s="409"/>
      <c r="BD150" s="407"/>
      <c r="BE150" s="444"/>
      <c r="BF150" s="444"/>
      <c r="BG150" s="444"/>
      <c r="BH150" s="444"/>
      <c r="BI150" s="444"/>
      <c r="BJ150" s="444"/>
      <c r="BK150" s="444"/>
      <c r="BL150" s="444"/>
      <c r="BM150" s="444"/>
      <c r="BN150" s="444"/>
      <c r="BO150" s="444"/>
      <c r="BP150" s="444"/>
      <c r="BQ150" s="444"/>
      <c r="BR150" s="444"/>
      <c r="BS150" s="444"/>
      <c r="BT150" s="444"/>
    </row>
    <row r="151" spans="1:72" s="443" customFormat="1" ht="15">
      <c r="A151" s="392"/>
      <c r="B151" s="392"/>
      <c r="C151" s="392"/>
      <c r="D151" s="392"/>
      <c r="E151" s="392"/>
      <c r="F151" s="392"/>
      <c r="G151" s="392"/>
      <c r="H151" s="392"/>
      <c r="I151" s="392"/>
      <c r="J151" s="392"/>
      <c r="K151" s="392"/>
      <c r="L151" s="392"/>
      <c r="M151" s="392"/>
      <c r="N151" s="392"/>
      <c r="O151" s="392"/>
      <c r="P151" s="392"/>
      <c r="Q151" s="392"/>
      <c r="R151" s="392"/>
      <c r="S151" s="409"/>
      <c r="T151" s="409"/>
      <c r="U151" s="409"/>
      <c r="V151" s="409"/>
      <c r="W151" s="392"/>
      <c r="X151" s="392"/>
      <c r="Y151" s="409"/>
      <c r="Z151" s="409"/>
      <c r="AA151" s="392"/>
      <c r="AB151" s="392"/>
      <c r="AC151" s="392"/>
      <c r="AD151" s="409"/>
      <c r="AE151" s="409"/>
      <c r="AF151" s="409"/>
      <c r="AG151" s="409"/>
      <c r="AH151" s="409"/>
      <c r="AI151" s="409"/>
      <c r="AJ151" s="409"/>
      <c r="AK151" s="409"/>
      <c r="AL151" s="409"/>
      <c r="AM151" s="409"/>
      <c r="AN151" s="409"/>
      <c r="AO151" s="409"/>
      <c r="AP151" s="409"/>
      <c r="AQ151" s="409"/>
      <c r="AR151" s="409"/>
      <c r="AS151" s="409"/>
      <c r="AT151" s="409"/>
      <c r="AU151" s="409"/>
      <c r="AV151" s="409"/>
      <c r="AW151" s="409"/>
      <c r="AX151" s="409"/>
      <c r="AY151" s="409"/>
      <c r="AZ151" s="409"/>
      <c r="BA151" s="409"/>
      <c r="BB151" s="409"/>
      <c r="BC151" s="409"/>
      <c r="BD151" s="407"/>
      <c r="BE151" s="444"/>
      <c r="BF151" s="444"/>
      <c r="BG151" s="444"/>
      <c r="BH151" s="444"/>
      <c r="BI151" s="444"/>
      <c r="BJ151" s="444"/>
      <c r="BK151" s="444"/>
      <c r="BL151" s="444"/>
      <c r="BM151" s="444"/>
      <c r="BN151" s="444"/>
      <c r="BO151" s="444"/>
      <c r="BP151" s="444"/>
      <c r="BQ151" s="444"/>
      <c r="BR151" s="444"/>
      <c r="BS151" s="444"/>
      <c r="BT151" s="444"/>
    </row>
    <row r="152" spans="1:72" s="443" customFormat="1" ht="15">
      <c r="A152" s="392"/>
      <c r="B152" s="392"/>
      <c r="C152" s="392"/>
      <c r="D152" s="392"/>
      <c r="E152" s="392"/>
      <c r="F152" s="392"/>
      <c r="G152" s="392"/>
      <c r="H152" s="392"/>
      <c r="I152" s="392"/>
      <c r="J152" s="392"/>
      <c r="K152" s="392"/>
      <c r="L152" s="392"/>
      <c r="M152" s="392"/>
      <c r="N152" s="392"/>
      <c r="O152" s="392"/>
      <c r="P152" s="392"/>
      <c r="Q152" s="392"/>
      <c r="R152" s="392"/>
      <c r="S152" s="409"/>
      <c r="T152" s="409"/>
      <c r="U152" s="409"/>
      <c r="V152" s="409"/>
      <c r="W152" s="392"/>
      <c r="X152" s="392"/>
      <c r="Y152" s="409"/>
      <c r="Z152" s="409"/>
      <c r="AA152" s="392"/>
      <c r="AB152" s="392"/>
      <c r="AC152" s="392"/>
      <c r="AD152" s="409"/>
      <c r="AE152" s="409"/>
      <c r="AF152" s="409"/>
      <c r="AG152" s="409"/>
      <c r="AH152" s="409"/>
      <c r="AI152" s="409"/>
      <c r="AJ152" s="409"/>
      <c r="AK152" s="409"/>
      <c r="AL152" s="409"/>
      <c r="AM152" s="409"/>
      <c r="AN152" s="409"/>
      <c r="AO152" s="409"/>
      <c r="AP152" s="409"/>
      <c r="AQ152" s="409"/>
      <c r="AR152" s="409"/>
      <c r="AS152" s="409"/>
      <c r="AT152" s="409"/>
      <c r="AU152" s="409"/>
      <c r="AV152" s="409"/>
      <c r="AW152" s="409"/>
      <c r="AX152" s="409"/>
      <c r="AY152" s="409"/>
      <c r="AZ152" s="409"/>
      <c r="BA152" s="409"/>
      <c r="BB152" s="409"/>
      <c r="BC152" s="409"/>
      <c r="BD152" s="407"/>
      <c r="BE152" s="444"/>
      <c r="BF152" s="444"/>
      <c r="BG152" s="444"/>
      <c r="BH152" s="444"/>
      <c r="BI152" s="444"/>
      <c r="BJ152" s="444"/>
      <c r="BK152" s="444"/>
      <c r="BL152" s="444"/>
      <c r="BM152" s="444"/>
      <c r="BN152" s="444"/>
      <c r="BO152" s="444"/>
      <c r="BP152" s="444"/>
      <c r="BQ152" s="444"/>
      <c r="BR152" s="444"/>
      <c r="BS152" s="444"/>
      <c r="BT152" s="444"/>
    </row>
    <row r="153" spans="1:72" s="443" customFormat="1" ht="15">
      <c r="A153" s="392"/>
      <c r="B153" s="392"/>
      <c r="C153" s="392"/>
      <c r="D153" s="392"/>
      <c r="E153" s="392"/>
      <c r="F153" s="392"/>
      <c r="G153" s="392"/>
      <c r="H153" s="392"/>
      <c r="I153" s="392"/>
      <c r="J153" s="392"/>
      <c r="K153" s="392"/>
      <c r="L153" s="392"/>
      <c r="M153" s="392"/>
      <c r="N153" s="392"/>
      <c r="O153" s="392"/>
      <c r="P153" s="392"/>
      <c r="Q153" s="392"/>
      <c r="R153" s="392"/>
      <c r="S153" s="409"/>
      <c r="T153" s="409"/>
      <c r="U153" s="409"/>
      <c r="V153" s="409"/>
      <c r="W153" s="392"/>
      <c r="X153" s="392"/>
      <c r="Y153" s="409"/>
      <c r="Z153" s="409"/>
      <c r="AA153" s="392"/>
      <c r="AB153" s="392"/>
      <c r="AC153" s="392"/>
      <c r="AD153" s="409"/>
      <c r="AE153" s="409"/>
      <c r="AF153" s="409"/>
      <c r="AG153" s="409"/>
      <c r="AH153" s="409"/>
      <c r="AI153" s="409"/>
      <c r="AJ153" s="409"/>
      <c r="AK153" s="409"/>
      <c r="AL153" s="409"/>
      <c r="AM153" s="409"/>
      <c r="AN153" s="409"/>
      <c r="AO153" s="409"/>
      <c r="AP153" s="409"/>
      <c r="AQ153" s="409"/>
      <c r="AR153" s="409"/>
      <c r="AS153" s="409"/>
      <c r="AT153" s="409"/>
      <c r="AU153" s="409"/>
      <c r="AV153" s="409"/>
      <c r="AW153" s="409"/>
      <c r="AX153" s="409"/>
      <c r="AY153" s="409"/>
      <c r="AZ153" s="409"/>
      <c r="BA153" s="409"/>
      <c r="BB153" s="409"/>
      <c r="BC153" s="409"/>
      <c r="BD153" s="407"/>
      <c r="BE153" s="444"/>
      <c r="BF153" s="444"/>
      <c r="BG153" s="444"/>
      <c r="BH153" s="444"/>
      <c r="BI153" s="444"/>
      <c r="BJ153" s="444"/>
      <c r="BK153" s="444"/>
      <c r="BL153" s="444"/>
      <c r="BM153" s="444"/>
      <c r="BN153" s="444"/>
      <c r="BO153" s="444"/>
      <c r="BP153" s="444"/>
      <c r="BQ153" s="444"/>
      <c r="BR153" s="444"/>
      <c r="BS153" s="444"/>
      <c r="BT153" s="444"/>
    </row>
    <row r="154" spans="1:72" s="443" customFormat="1" ht="15">
      <c r="A154" s="392"/>
      <c r="B154" s="392"/>
      <c r="C154" s="392"/>
      <c r="D154" s="392"/>
      <c r="E154" s="392"/>
      <c r="F154" s="392"/>
      <c r="G154" s="392"/>
      <c r="H154" s="392"/>
      <c r="I154" s="392"/>
      <c r="J154" s="392"/>
      <c r="K154" s="392"/>
      <c r="L154" s="392"/>
      <c r="M154" s="392"/>
      <c r="N154" s="392"/>
      <c r="O154" s="392"/>
      <c r="P154" s="392"/>
      <c r="Q154" s="392"/>
      <c r="R154" s="392"/>
      <c r="S154" s="409"/>
      <c r="T154" s="409"/>
      <c r="U154" s="409"/>
      <c r="V154" s="409"/>
      <c r="W154" s="392"/>
      <c r="X154" s="392"/>
      <c r="Y154" s="409"/>
      <c r="Z154" s="409"/>
      <c r="AA154" s="392"/>
      <c r="AB154" s="392"/>
      <c r="AC154" s="392"/>
      <c r="AD154" s="409"/>
      <c r="AE154" s="409"/>
      <c r="AF154" s="409"/>
      <c r="AG154" s="409"/>
      <c r="AH154" s="409"/>
      <c r="AI154" s="409"/>
      <c r="AJ154" s="409"/>
      <c r="AK154" s="409"/>
      <c r="AL154" s="409"/>
      <c r="AM154" s="409"/>
      <c r="AN154" s="409"/>
      <c r="AO154" s="409"/>
      <c r="AP154" s="409"/>
      <c r="AQ154" s="409"/>
      <c r="AR154" s="409"/>
      <c r="AS154" s="409"/>
      <c r="AT154" s="409"/>
      <c r="AU154" s="409"/>
      <c r="AV154" s="409"/>
      <c r="AW154" s="409"/>
      <c r="AX154" s="409"/>
      <c r="AY154" s="409"/>
      <c r="AZ154" s="409"/>
      <c r="BA154" s="409"/>
      <c r="BB154" s="409"/>
      <c r="BC154" s="409"/>
      <c r="BD154" s="407"/>
      <c r="BE154" s="444"/>
      <c r="BF154" s="444"/>
      <c r="BG154" s="444"/>
      <c r="BH154" s="444"/>
      <c r="BI154" s="444"/>
      <c r="BJ154" s="444"/>
      <c r="BK154" s="444"/>
      <c r="BL154" s="444"/>
      <c r="BM154" s="444"/>
      <c r="BN154" s="444"/>
      <c r="BO154" s="444"/>
      <c r="BP154" s="444"/>
      <c r="BQ154" s="444"/>
      <c r="BR154" s="444"/>
      <c r="BS154" s="444"/>
      <c r="BT154" s="444"/>
    </row>
    <row r="155" spans="1:72" s="443" customFormat="1" ht="15">
      <c r="A155" s="392"/>
      <c r="B155" s="392"/>
      <c r="C155" s="392"/>
      <c r="D155" s="392"/>
      <c r="E155" s="392"/>
      <c r="F155" s="392"/>
      <c r="G155" s="392"/>
      <c r="H155" s="392"/>
      <c r="I155" s="392"/>
      <c r="J155" s="392"/>
      <c r="K155" s="392"/>
      <c r="L155" s="392"/>
      <c r="M155" s="392"/>
      <c r="N155" s="392"/>
      <c r="O155" s="392"/>
      <c r="P155" s="392"/>
      <c r="Q155" s="392"/>
      <c r="R155" s="392"/>
      <c r="S155" s="409"/>
      <c r="T155" s="409"/>
      <c r="U155" s="409"/>
      <c r="V155" s="409"/>
      <c r="W155" s="392"/>
      <c r="X155" s="392"/>
      <c r="Y155" s="409"/>
      <c r="Z155" s="409"/>
      <c r="AA155" s="392"/>
      <c r="AB155" s="392"/>
      <c r="AC155" s="392"/>
      <c r="AD155" s="409"/>
      <c r="AE155" s="409"/>
      <c r="AF155" s="409"/>
      <c r="AG155" s="409"/>
      <c r="AH155" s="409"/>
      <c r="AI155" s="409"/>
      <c r="AJ155" s="409"/>
      <c r="AK155" s="409"/>
      <c r="AL155" s="409"/>
      <c r="AM155" s="409"/>
      <c r="AN155" s="409"/>
      <c r="AO155" s="409"/>
      <c r="AP155" s="409"/>
      <c r="AQ155" s="409"/>
      <c r="AR155" s="409"/>
      <c r="AS155" s="409"/>
      <c r="AT155" s="409"/>
      <c r="AU155" s="409"/>
      <c r="AV155" s="409"/>
      <c r="AW155" s="409"/>
      <c r="AX155" s="409"/>
      <c r="AY155" s="409"/>
      <c r="AZ155" s="409"/>
      <c r="BA155" s="409"/>
      <c r="BB155" s="409"/>
      <c r="BC155" s="409"/>
      <c r="BD155" s="407"/>
      <c r="BE155" s="444"/>
      <c r="BF155" s="444"/>
      <c r="BG155" s="444"/>
      <c r="BH155" s="444"/>
      <c r="BI155" s="444"/>
      <c r="BJ155" s="444"/>
      <c r="BK155" s="444"/>
      <c r="BL155" s="444"/>
      <c r="BM155" s="444"/>
      <c r="BN155" s="444"/>
      <c r="BO155" s="444"/>
      <c r="BP155" s="444"/>
      <c r="BQ155" s="444"/>
      <c r="BR155" s="444"/>
      <c r="BS155" s="444"/>
      <c r="BT155" s="444"/>
    </row>
    <row r="156" spans="1:72" s="443" customFormat="1" ht="15">
      <c r="A156" s="392"/>
      <c r="B156" s="392"/>
      <c r="C156" s="392"/>
      <c r="D156" s="392"/>
      <c r="E156" s="392"/>
      <c r="F156" s="392"/>
      <c r="G156" s="392"/>
      <c r="H156" s="392"/>
      <c r="I156" s="392"/>
      <c r="J156" s="392"/>
      <c r="K156" s="392"/>
      <c r="L156" s="392"/>
      <c r="M156" s="392"/>
      <c r="N156" s="392"/>
      <c r="O156" s="392"/>
      <c r="P156" s="392"/>
      <c r="Q156" s="392"/>
      <c r="R156" s="392"/>
      <c r="S156" s="409"/>
      <c r="T156" s="409"/>
      <c r="U156" s="409"/>
      <c r="V156" s="409"/>
      <c r="W156" s="392"/>
      <c r="X156" s="392"/>
      <c r="Y156" s="409"/>
      <c r="Z156" s="409"/>
      <c r="AA156" s="392"/>
      <c r="AB156" s="392"/>
      <c r="AC156" s="392"/>
      <c r="AD156" s="409"/>
      <c r="AE156" s="409"/>
      <c r="AF156" s="409"/>
      <c r="AG156" s="409"/>
      <c r="AH156" s="409"/>
      <c r="AI156" s="409"/>
      <c r="AJ156" s="409"/>
      <c r="AK156" s="409"/>
      <c r="AL156" s="409"/>
      <c r="AM156" s="409"/>
      <c r="AN156" s="409"/>
      <c r="AO156" s="409"/>
      <c r="AP156" s="409"/>
      <c r="AQ156" s="409"/>
      <c r="AR156" s="409"/>
      <c r="AS156" s="409"/>
      <c r="AT156" s="409"/>
      <c r="AU156" s="409"/>
      <c r="AV156" s="409"/>
      <c r="AW156" s="409"/>
      <c r="AX156" s="409"/>
      <c r="AY156" s="409"/>
      <c r="AZ156" s="409"/>
      <c r="BA156" s="409"/>
      <c r="BB156" s="409"/>
      <c r="BC156" s="409"/>
      <c r="BD156" s="407"/>
      <c r="BE156" s="444"/>
      <c r="BF156" s="444"/>
      <c r="BG156" s="444"/>
      <c r="BH156" s="444"/>
      <c r="BI156" s="444"/>
      <c r="BJ156" s="444"/>
      <c r="BK156" s="444"/>
      <c r="BL156" s="444"/>
      <c r="BM156" s="444"/>
      <c r="BN156" s="444"/>
      <c r="BO156" s="444"/>
      <c r="BP156" s="444"/>
      <c r="BQ156" s="444"/>
      <c r="BR156" s="444"/>
      <c r="BS156" s="444"/>
      <c r="BT156" s="444"/>
    </row>
    <row r="157" spans="1:72" s="443" customFormat="1" ht="15">
      <c r="A157" s="392"/>
      <c r="B157" s="392"/>
      <c r="C157" s="392"/>
      <c r="D157" s="392"/>
      <c r="E157" s="392"/>
      <c r="F157" s="392"/>
      <c r="G157" s="392"/>
      <c r="H157" s="392"/>
      <c r="I157" s="392"/>
      <c r="J157" s="392"/>
      <c r="K157" s="392"/>
      <c r="L157" s="392"/>
      <c r="M157" s="392"/>
      <c r="N157" s="392"/>
      <c r="O157" s="392"/>
      <c r="P157" s="392"/>
      <c r="Q157" s="392"/>
      <c r="R157" s="392"/>
      <c r="S157" s="409"/>
      <c r="T157" s="409"/>
      <c r="U157" s="409"/>
      <c r="V157" s="409"/>
      <c r="W157" s="392"/>
      <c r="X157" s="392"/>
      <c r="Y157" s="409"/>
      <c r="Z157" s="409"/>
      <c r="AA157" s="392"/>
      <c r="AB157" s="392"/>
      <c r="AC157" s="392"/>
      <c r="AD157" s="409"/>
      <c r="AE157" s="409"/>
      <c r="AF157" s="409"/>
      <c r="AG157" s="409"/>
      <c r="AH157" s="409"/>
      <c r="AI157" s="409"/>
      <c r="AJ157" s="409"/>
      <c r="AK157" s="409"/>
      <c r="AL157" s="409"/>
      <c r="AM157" s="409"/>
      <c r="AN157" s="409"/>
      <c r="AO157" s="409"/>
      <c r="AP157" s="409"/>
      <c r="AQ157" s="409"/>
      <c r="AR157" s="409"/>
      <c r="AS157" s="409"/>
      <c r="AT157" s="409"/>
      <c r="AU157" s="409"/>
      <c r="AV157" s="409"/>
      <c r="AW157" s="409"/>
      <c r="AX157" s="409"/>
      <c r="AY157" s="409"/>
      <c r="AZ157" s="409"/>
      <c r="BA157" s="409"/>
      <c r="BB157" s="409"/>
      <c r="BC157" s="409"/>
      <c r="BD157" s="407"/>
      <c r="BE157" s="444"/>
      <c r="BF157" s="444"/>
      <c r="BG157" s="444"/>
      <c r="BH157" s="444"/>
      <c r="BI157" s="444"/>
      <c r="BJ157" s="444"/>
      <c r="BK157" s="444"/>
      <c r="BL157" s="444"/>
      <c r="BM157" s="444"/>
      <c r="BN157" s="444"/>
      <c r="BO157" s="444"/>
      <c r="BP157" s="444"/>
      <c r="BQ157" s="444"/>
      <c r="BR157" s="444"/>
      <c r="BS157" s="444"/>
      <c r="BT157" s="444"/>
    </row>
    <row r="158" spans="1:72" s="443" customFormat="1" ht="15">
      <c r="A158" s="392"/>
      <c r="B158" s="392"/>
      <c r="C158" s="392"/>
      <c r="D158" s="392"/>
      <c r="E158" s="392"/>
      <c r="F158" s="392"/>
      <c r="G158" s="392"/>
      <c r="H158" s="392"/>
      <c r="I158" s="392"/>
      <c r="J158" s="392"/>
      <c r="K158" s="392"/>
      <c r="L158" s="392"/>
      <c r="M158" s="392"/>
      <c r="N158" s="392"/>
      <c r="O158" s="392"/>
      <c r="P158" s="392"/>
      <c r="Q158" s="392"/>
      <c r="R158" s="392"/>
      <c r="S158" s="409"/>
      <c r="T158" s="409"/>
      <c r="U158" s="409"/>
      <c r="V158" s="409"/>
      <c r="W158" s="392"/>
      <c r="X158" s="392"/>
      <c r="Y158" s="409"/>
      <c r="Z158" s="409"/>
      <c r="AA158" s="392"/>
      <c r="AB158" s="392"/>
      <c r="AC158" s="392"/>
      <c r="AD158" s="409"/>
      <c r="AE158" s="409"/>
      <c r="AF158" s="409"/>
      <c r="AG158" s="409"/>
      <c r="AH158" s="409"/>
      <c r="AI158" s="409"/>
      <c r="AJ158" s="409"/>
      <c r="AK158" s="409"/>
      <c r="AL158" s="409"/>
      <c r="AM158" s="409"/>
      <c r="AN158" s="409"/>
      <c r="AO158" s="409"/>
      <c r="AP158" s="409"/>
      <c r="AQ158" s="409"/>
      <c r="AR158" s="409"/>
      <c r="AS158" s="409"/>
      <c r="AT158" s="409"/>
      <c r="AU158" s="409"/>
      <c r="AV158" s="409"/>
      <c r="AW158" s="409"/>
      <c r="AX158" s="409"/>
      <c r="AY158" s="409"/>
      <c r="AZ158" s="409"/>
      <c r="BA158" s="409"/>
      <c r="BB158" s="409"/>
      <c r="BC158" s="409"/>
      <c r="BD158" s="407"/>
      <c r="BE158" s="444"/>
      <c r="BF158" s="444"/>
      <c r="BG158" s="444"/>
      <c r="BH158" s="444"/>
      <c r="BI158" s="444"/>
      <c r="BJ158" s="444"/>
      <c r="BK158" s="444"/>
      <c r="BL158" s="444"/>
      <c r="BM158" s="444"/>
      <c r="BN158" s="444"/>
      <c r="BO158" s="444"/>
      <c r="BP158" s="444"/>
      <c r="BQ158" s="444"/>
      <c r="BR158" s="444"/>
      <c r="BS158" s="444"/>
      <c r="BT158" s="444"/>
    </row>
    <row r="159" spans="1:72" s="443" customFormat="1" ht="15">
      <c r="A159" s="392"/>
      <c r="B159" s="392"/>
      <c r="C159" s="392"/>
      <c r="D159" s="392"/>
      <c r="E159" s="392"/>
      <c r="F159" s="392"/>
      <c r="G159" s="392"/>
      <c r="H159" s="392"/>
      <c r="I159" s="392"/>
      <c r="J159" s="392"/>
      <c r="K159" s="392"/>
      <c r="L159" s="392"/>
      <c r="M159" s="392"/>
      <c r="N159" s="392"/>
      <c r="O159" s="392"/>
      <c r="P159" s="392"/>
      <c r="Q159" s="392"/>
      <c r="R159" s="392"/>
      <c r="S159" s="409"/>
      <c r="T159" s="409"/>
      <c r="U159" s="409"/>
      <c r="V159" s="409"/>
      <c r="W159" s="392"/>
      <c r="X159" s="392"/>
      <c r="Y159" s="409"/>
      <c r="Z159" s="409"/>
      <c r="AA159" s="392"/>
      <c r="AB159" s="392"/>
      <c r="AC159" s="392"/>
      <c r="AD159" s="409"/>
      <c r="AE159" s="409"/>
      <c r="AF159" s="409"/>
      <c r="AG159" s="409"/>
      <c r="AH159" s="409"/>
      <c r="AI159" s="409"/>
      <c r="AJ159" s="409"/>
      <c r="AK159" s="409"/>
      <c r="AL159" s="409"/>
      <c r="AM159" s="409"/>
      <c r="AN159" s="409"/>
      <c r="AO159" s="409"/>
      <c r="AP159" s="409"/>
      <c r="AQ159" s="409"/>
      <c r="AR159" s="409"/>
      <c r="AS159" s="409"/>
      <c r="AT159" s="409"/>
      <c r="AU159" s="409"/>
      <c r="AV159" s="409"/>
      <c r="AW159" s="409"/>
      <c r="AX159" s="409"/>
      <c r="AY159" s="409"/>
      <c r="AZ159" s="409"/>
      <c r="BA159" s="409"/>
      <c r="BB159" s="409"/>
      <c r="BC159" s="409"/>
      <c r="BD159" s="407"/>
      <c r="BE159" s="444"/>
      <c r="BF159" s="444"/>
      <c r="BG159" s="444"/>
      <c r="BH159" s="444"/>
      <c r="BI159" s="444"/>
      <c r="BJ159" s="444"/>
      <c r="BK159" s="444"/>
      <c r="BL159" s="444"/>
      <c r="BM159" s="444"/>
      <c r="BN159" s="444"/>
      <c r="BO159" s="444"/>
      <c r="BP159" s="444"/>
      <c r="BQ159" s="444"/>
      <c r="BR159" s="444"/>
      <c r="BS159" s="444"/>
      <c r="BT159" s="444"/>
    </row>
    <row r="160" spans="1:72" s="443" customFormat="1" ht="15">
      <c r="A160" s="392"/>
      <c r="B160" s="392"/>
      <c r="C160" s="392"/>
      <c r="D160" s="392"/>
      <c r="E160" s="392"/>
      <c r="F160" s="392"/>
      <c r="G160" s="392"/>
      <c r="H160" s="392"/>
      <c r="I160" s="392"/>
      <c r="J160" s="392"/>
      <c r="K160" s="392"/>
      <c r="L160" s="392"/>
      <c r="M160" s="392"/>
      <c r="N160" s="392"/>
      <c r="O160" s="392"/>
      <c r="P160" s="392"/>
      <c r="Q160" s="392"/>
      <c r="R160" s="392"/>
      <c r="S160" s="409"/>
      <c r="T160" s="409"/>
      <c r="U160" s="409"/>
      <c r="V160" s="409"/>
      <c r="W160" s="392"/>
      <c r="X160" s="392"/>
      <c r="Y160" s="409"/>
      <c r="Z160" s="409"/>
      <c r="AA160" s="392"/>
      <c r="AB160" s="392"/>
      <c r="AC160" s="392"/>
      <c r="AD160" s="409"/>
      <c r="AE160" s="409"/>
      <c r="AF160" s="409"/>
      <c r="AG160" s="409"/>
      <c r="AH160" s="409"/>
      <c r="AI160" s="409"/>
      <c r="AJ160" s="409"/>
      <c r="AK160" s="409"/>
      <c r="AL160" s="409"/>
      <c r="AM160" s="409"/>
      <c r="AN160" s="409"/>
      <c r="AO160" s="409"/>
      <c r="AP160" s="409"/>
      <c r="AQ160" s="409"/>
      <c r="AR160" s="409"/>
      <c r="AS160" s="409"/>
      <c r="AT160" s="409"/>
      <c r="AU160" s="409"/>
      <c r="AV160" s="409"/>
      <c r="AW160" s="409"/>
      <c r="AX160" s="409"/>
      <c r="AY160" s="409"/>
      <c r="AZ160" s="409"/>
      <c r="BA160" s="409"/>
      <c r="BB160" s="409"/>
      <c r="BC160" s="409"/>
      <c r="BD160" s="407"/>
      <c r="BE160" s="444"/>
      <c r="BF160" s="444"/>
      <c r="BG160" s="444"/>
      <c r="BH160" s="444"/>
      <c r="BI160" s="444"/>
      <c r="BJ160" s="444"/>
      <c r="BK160" s="444"/>
      <c r="BL160" s="444"/>
      <c r="BM160" s="444"/>
      <c r="BN160" s="444"/>
      <c r="BO160" s="444"/>
      <c r="BP160" s="444"/>
      <c r="BQ160" s="444"/>
      <c r="BR160" s="444"/>
      <c r="BS160" s="444"/>
      <c r="BT160" s="444"/>
    </row>
    <row r="161" spans="1:72" s="443" customFormat="1" ht="15">
      <c r="A161" s="392"/>
      <c r="B161" s="392"/>
      <c r="C161" s="392"/>
      <c r="D161" s="392"/>
      <c r="E161" s="392"/>
      <c r="F161" s="392"/>
      <c r="G161" s="392"/>
      <c r="H161" s="392"/>
      <c r="I161" s="392"/>
      <c r="J161" s="392"/>
      <c r="K161" s="392"/>
      <c r="L161" s="392"/>
      <c r="M161" s="392"/>
      <c r="N161" s="392"/>
      <c r="O161" s="392"/>
      <c r="P161" s="392"/>
      <c r="Q161" s="392"/>
      <c r="R161" s="392"/>
      <c r="S161" s="409"/>
      <c r="T161" s="409"/>
      <c r="U161" s="409"/>
      <c r="V161" s="409"/>
      <c r="W161" s="392"/>
      <c r="X161" s="392"/>
      <c r="Y161" s="409"/>
      <c r="Z161" s="409"/>
      <c r="AA161" s="392"/>
      <c r="AB161" s="392"/>
      <c r="AC161" s="392"/>
      <c r="AD161" s="409"/>
      <c r="AE161" s="409"/>
      <c r="AF161" s="409"/>
      <c r="AG161" s="409"/>
      <c r="AH161" s="409"/>
      <c r="AI161" s="409"/>
      <c r="AJ161" s="409"/>
      <c r="AK161" s="409"/>
      <c r="AL161" s="409"/>
      <c r="AM161" s="409"/>
      <c r="AN161" s="409"/>
      <c r="AO161" s="409"/>
      <c r="AP161" s="409"/>
      <c r="AQ161" s="409"/>
      <c r="AR161" s="409"/>
      <c r="AS161" s="409"/>
      <c r="AT161" s="409"/>
      <c r="AU161" s="409"/>
      <c r="AV161" s="409"/>
      <c r="AW161" s="409"/>
      <c r="AX161" s="409"/>
      <c r="AY161" s="409"/>
      <c r="AZ161" s="409"/>
      <c r="BA161" s="409"/>
      <c r="BB161" s="409"/>
      <c r="BC161" s="409"/>
      <c r="BD161" s="407"/>
      <c r="BE161" s="444"/>
      <c r="BF161" s="444"/>
      <c r="BG161" s="444"/>
      <c r="BH161" s="444"/>
      <c r="BI161" s="444"/>
      <c r="BJ161" s="444"/>
      <c r="BK161" s="444"/>
      <c r="BL161" s="444"/>
      <c r="BM161" s="444"/>
      <c r="BN161" s="444"/>
      <c r="BO161" s="444"/>
      <c r="BP161" s="444"/>
      <c r="BQ161" s="444"/>
      <c r="BR161" s="444"/>
      <c r="BS161" s="444"/>
      <c r="BT161" s="444"/>
    </row>
    <row r="162" spans="1:72" s="443" customFormat="1" ht="15">
      <c r="A162" s="392"/>
      <c r="B162" s="392"/>
      <c r="C162" s="392"/>
      <c r="D162" s="392"/>
      <c r="E162" s="392"/>
      <c r="F162" s="392"/>
      <c r="G162" s="392"/>
      <c r="H162" s="392"/>
      <c r="I162" s="392"/>
      <c r="J162" s="392"/>
      <c r="K162" s="392"/>
      <c r="L162" s="392"/>
      <c r="M162" s="392"/>
      <c r="N162" s="392"/>
      <c r="O162" s="392"/>
      <c r="P162" s="392"/>
      <c r="Q162" s="392"/>
      <c r="R162" s="392"/>
      <c r="S162" s="409"/>
      <c r="T162" s="409"/>
      <c r="U162" s="409"/>
      <c r="V162" s="409"/>
      <c r="W162" s="392"/>
      <c r="X162" s="392"/>
      <c r="Y162" s="409"/>
      <c r="Z162" s="409"/>
      <c r="AA162" s="392"/>
      <c r="AB162" s="392"/>
      <c r="AC162" s="392"/>
      <c r="AD162" s="409"/>
      <c r="AE162" s="409"/>
      <c r="AF162" s="409"/>
      <c r="AG162" s="409"/>
      <c r="AH162" s="409"/>
      <c r="AI162" s="409"/>
      <c r="AJ162" s="409"/>
      <c r="AK162" s="409"/>
      <c r="AL162" s="409"/>
      <c r="AM162" s="409"/>
      <c r="AN162" s="409"/>
      <c r="AO162" s="409"/>
      <c r="AP162" s="409"/>
      <c r="AQ162" s="409"/>
      <c r="AR162" s="409"/>
      <c r="AS162" s="409"/>
      <c r="AT162" s="409"/>
      <c r="AU162" s="409"/>
      <c r="AV162" s="409"/>
      <c r="AW162" s="409"/>
      <c r="AX162" s="409"/>
      <c r="AY162" s="409"/>
      <c r="AZ162" s="409"/>
      <c r="BA162" s="409"/>
      <c r="BB162" s="409"/>
      <c r="BC162" s="409"/>
      <c r="BD162" s="407"/>
      <c r="BE162" s="444"/>
      <c r="BF162" s="444"/>
      <c r="BG162" s="444"/>
      <c r="BH162" s="444"/>
      <c r="BI162" s="444"/>
      <c r="BJ162" s="444"/>
      <c r="BK162" s="444"/>
      <c r="BL162" s="444"/>
      <c r="BM162" s="444"/>
      <c r="BN162" s="444"/>
      <c r="BO162" s="444"/>
      <c r="BP162" s="444"/>
      <c r="BQ162" s="444"/>
      <c r="BR162" s="444"/>
      <c r="BS162" s="444"/>
      <c r="BT162" s="444"/>
    </row>
    <row r="163" spans="1:72" s="443" customFormat="1" ht="15">
      <c r="A163" s="392"/>
      <c r="B163" s="392"/>
      <c r="C163" s="392"/>
      <c r="D163" s="392"/>
      <c r="E163" s="392"/>
      <c r="F163" s="392"/>
      <c r="G163" s="392"/>
      <c r="H163" s="392"/>
      <c r="I163" s="392"/>
      <c r="J163" s="392"/>
      <c r="K163" s="392"/>
      <c r="L163" s="392"/>
      <c r="M163" s="392"/>
      <c r="N163" s="392"/>
      <c r="O163" s="392"/>
      <c r="P163" s="392"/>
      <c r="Q163" s="392"/>
      <c r="R163" s="392"/>
      <c r="S163" s="409"/>
      <c r="T163" s="409"/>
      <c r="U163" s="409"/>
      <c r="V163" s="409"/>
      <c r="W163" s="392"/>
      <c r="X163" s="392"/>
      <c r="Y163" s="409"/>
      <c r="Z163" s="409"/>
      <c r="AA163" s="392"/>
      <c r="AB163" s="392"/>
      <c r="AC163" s="392"/>
      <c r="AD163" s="409"/>
      <c r="AE163" s="409"/>
      <c r="AF163" s="409"/>
      <c r="AG163" s="409"/>
      <c r="AH163" s="409"/>
      <c r="AI163" s="409"/>
      <c r="AJ163" s="409"/>
      <c r="AK163" s="409"/>
      <c r="AL163" s="409"/>
      <c r="AM163" s="409"/>
      <c r="AN163" s="409"/>
      <c r="AO163" s="409"/>
      <c r="AP163" s="409"/>
      <c r="AQ163" s="409"/>
      <c r="AR163" s="409"/>
      <c r="AS163" s="409"/>
      <c r="AT163" s="409"/>
      <c r="AU163" s="409"/>
      <c r="AV163" s="409"/>
      <c r="AW163" s="409"/>
      <c r="AX163" s="409"/>
      <c r="AY163" s="409"/>
      <c r="AZ163" s="409"/>
      <c r="BA163" s="409"/>
      <c r="BB163" s="409"/>
      <c r="BC163" s="409"/>
      <c r="BD163" s="407"/>
      <c r="BT163" s="444"/>
    </row>
    <row r="164" spans="1:72" s="443" customFormat="1" ht="15">
      <c r="A164" s="392"/>
      <c r="B164" s="392"/>
      <c r="C164" s="392"/>
      <c r="D164" s="392"/>
      <c r="E164" s="392"/>
      <c r="F164" s="392"/>
      <c r="G164" s="392"/>
      <c r="H164" s="392"/>
      <c r="I164" s="392"/>
      <c r="J164" s="392"/>
      <c r="K164" s="392"/>
      <c r="L164" s="392"/>
      <c r="M164" s="392"/>
      <c r="N164" s="392"/>
      <c r="O164" s="392"/>
      <c r="P164" s="392"/>
      <c r="Q164" s="392"/>
      <c r="R164" s="392"/>
      <c r="S164" s="409"/>
      <c r="T164" s="409"/>
      <c r="U164" s="409"/>
      <c r="V164" s="409"/>
      <c r="W164" s="392"/>
      <c r="X164" s="392"/>
      <c r="Y164" s="409"/>
      <c r="Z164" s="409"/>
      <c r="AA164" s="392"/>
      <c r="AB164" s="392"/>
      <c r="AC164" s="392"/>
      <c r="AD164" s="409"/>
      <c r="AE164" s="409"/>
      <c r="AF164" s="409"/>
      <c r="AG164" s="409"/>
      <c r="AH164" s="409"/>
      <c r="AI164" s="409"/>
      <c r="AJ164" s="409"/>
      <c r="AK164" s="409"/>
      <c r="AL164" s="409"/>
      <c r="AM164" s="409"/>
      <c r="AN164" s="409"/>
      <c r="AO164" s="409"/>
      <c r="AP164" s="409"/>
      <c r="AQ164" s="409"/>
      <c r="AR164" s="409"/>
      <c r="AS164" s="409"/>
      <c r="AT164" s="409"/>
      <c r="AU164" s="409"/>
      <c r="AV164" s="409"/>
      <c r="AW164" s="409"/>
      <c r="AX164" s="409"/>
      <c r="AY164" s="409"/>
      <c r="AZ164" s="409"/>
      <c r="BA164" s="409"/>
      <c r="BB164" s="409"/>
      <c r="BC164" s="409"/>
      <c r="BD164" s="407"/>
      <c r="BT164" s="444"/>
    </row>
    <row r="165" spans="1:72" s="443" customFormat="1" ht="15">
      <c r="A165" s="392"/>
      <c r="B165" s="392"/>
      <c r="C165" s="392"/>
      <c r="D165" s="392"/>
      <c r="E165" s="392"/>
      <c r="F165" s="392"/>
      <c r="G165" s="392"/>
      <c r="H165" s="392"/>
      <c r="I165" s="392"/>
      <c r="J165" s="392"/>
      <c r="K165" s="392"/>
      <c r="L165" s="392"/>
      <c r="M165" s="392"/>
      <c r="N165" s="392"/>
      <c r="O165" s="392"/>
      <c r="P165" s="392"/>
      <c r="Q165" s="392"/>
      <c r="R165" s="392"/>
      <c r="S165" s="409"/>
      <c r="T165" s="409"/>
      <c r="U165" s="409"/>
      <c r="V165" s="409"/>
      <c r="W165" s="392"/>
      <c r="X165" s="392"/>
      <c r="Y165" s="409"/>
      <c r="Z165" s="409"/>
      <c r="AA165" s="392"/>
      <c r="AB165" s="392"/>
      <c r="AC165" s="392"/>
      <c r="AD165" s="409"/>
      <c r="AE165" s="409"/>
      <c r="AF165" s="409"/>
      <c r="AG165" s="409"/>
      <c r="AH165" s="409"/>
      <c r="AI165" s="409"/>
      <c r="AJ165" s="409"/>
      <c r="AK165" s="409"/>
      <c r="AL165" s="409"/>
      <c r="AM165" s="409"/>
      <c r="AN165" s="409"/>
      <c r="AO165" s="409"/>
      <c r="AP165" s="409"/>
      <c r="AQ165" s="409"/>
      <c r="AR165" s="409"/>
      <c r="AS165" s="409"/>
      <c r="AT165" s="409"/>
      <c r="AU165" s="409"/>
      <c r="AV165" s="409"/>
      <c r="AW165" s="409"/>
      <c r="AX165" s="409"/>
      <c r="AY165" s="409"/>
      <c r="AZ165" s="409"/>
      <c r="BA165" s="409"/>
      <c r="BB165" s="409"/>
      <c r="BC165" s="409"/>
      <c r="BD165" s="407"/>
      <c r="BT165" s="444"/>
    </row>
    <row r="166" spans="1:72" s="443" customFormat="1" ht="15">
      <c r="A166" s="392"/>
      <c r="B166" s="392"/>
      <c r="C166" s="392"/>
      <c r="D166" s="392"/>
      <c r="E166" s="392"/>
      <c r="F166" s="392"/>
      <c r="G166" s="392"/>
      <c r="H166" s="392"/>
      <c r="I166" s="392"/>
      <c r="J166" s="392"/>
      <c r="K166" s="392"/>
      <c r="L166" s="392"/>
      <c r="M166" s="392"/>
      <c r="N166" s="392"/>
      <c r="O166" s="392"/>
      <c r="P166" s="392"/>
      <c r="Q166" s="392"/>
      <c r="R166" s="392"/>
      <c r="S166" s="409"/>
      <c r="T166" s="409"/>
      <c r="U166" s="409"/>
      <c r="V166" s="409"/>
      <c r="W166" s="392"/>
      <c r="X166" s="392"/>
      <c r="Y166" s="409"/>
      <c r="Z166" s="409"/>
      <c r="AA166" s="392"/>
      <c r="AB166" s="392"/>
      <c r="AC166" s="392"/>
      <c r="AD166" s="409"/>
      <c r="AE166" s="409"/>
      <c r="AF166" s="409"/>
      <c r="AG166" s="409"/>
      <c r="AH166" s="409"/>
      <c r="AI166" s="409"/>
      <c r="AJ166" s="409"/>
      <c r="AK166" s="409"/>
      <c r="AL166" s="409"/>
      <c r="AM166" s="409"/>
      <c r="AN166" s="409"/>
      <c r="AO166" s="409"/>
      <c r="AP166" s="409"/>
      <c r="AQ166" s="409"/>
      <c r="AR166" s="409"/>
      <c r="AS166" s="409"/>
      <c r="AT166" s="409"/>
      <c r="AU166" s="409"/>
      <c r="AV166" s="409"/>
      <c r="AW166" s="409"/>
      <c r="AX166" s="409"/>
      <c r="AY166" s="409"/>
      <c r="AZ166" s="409"/>
      <c r="BA166" s="409"/>
      <c r="BB166" s="409"/>
      <c r="BC166" s="409"/>
      <c r="BD166" s="407"/>
      <c r="BT166" s="444"/>
    </row>
    <row r="167" spans="1:72" s="443" customFormat="1" ht="15">
      <c r="A167" s="392"/>
      <c r="B167" s="392"/>
      <c r="C167" s="392"/>
      <c r="D167" s="392"/>
      <c r="E167" s="392"/>
      <c r="F167" s="392"/>
      <c r="G167" s="392"/>
      <c r="H167" s="392"/>
      <c r="I167" s="392"/>
      <c r="J167" s="392"/>
      <c r="K167" s="392"/>
      <c r="L167" s="392"/>
      <c r="M167" s="392"/>
      <c r="N167" s="392"/>
      <c r="O167" s="392"/>
      <c r="P167" s="392"/>
      <c r="Q167" s="392"/>
      <c r="R167" s="392"/>
      <c r="S167" s="409"/>
      <c r="T167" s="409"/>
      <c r="U167" s="409"/>
      <c r="V167" s="409"/>
      <c r="W167" s="392"/>
      <c r="X167" s="392"/>
      <c r="Y167" s="409"/>
      <c r="Z167" s="409"/>
      <c r="AA167" s="392"/>
      <c r="AB167" s="392"/>
      <c r="AC167" s="392"/>
      <c r="AD167" s="409"/>
      <c r="AE167" s="409"/>
      <c r="AF167" s="409"/>
      <c r="AG167" s="409"/>
      <c r="AH167" s="409"/>
      <c r="AI167" s="409"/>
      <c r="AJ167" s="409"/>
      <c r="AK167" s="409"/>
      <c r="AL167" s="409"/>
      <c r="AM167" s="409"/>
      <c r="AN167" s="409"/>
      <c r="AO167" s="409"/>
      <c r="AP167" s="409"/>
      <c r="AQ167" s="409"/>
      <c r="AR167" s="409"/>
      <c r="AS167" s="409"/>
      <c r="AT167" s="409"/>
      <c r="AU167" s="409"/>
      <c r="AV167" s="409"/>
      <c r="AW167" s="409"/>
      <c r="AX167" s="409"/>
      <c r="AY167" s="409"/>
      <c r="AZ167" s="409"/>
      <c r="BA167" s="409"/>
      <c r="BB167" s="409"/>
      <c r="BC167" s="409"/>
      <c r="BD167" s="407"/>
      <c r="BT167" s="444"/>
    </row>
    <row r="168" spans="1:72" s="443" customFormat="1" ht="15">
      <c r="A168" s="392"/>
      <c r="B168" s="392"/>
      <c r="C168" s="392"/>
      <c r="D168" s="392"/>
      <c r="E168" s="392"/>
      <c r="F168" s="392"/>
      <c r="G168" s="392"/>
      <c r="H168" s="392"/>
      <c r="I168" s="392"/>
      <c r="J168" s="392"/>
      <c r="K168" s="392"/>
      <c r="L168" s="392"/>
      <c r="M168" s="392"/>
      <c r="N168" s="392"/>
      <c r="O168" s="392"/>
      <c r="P168" s="392"/>
      <c r="Q168" s="392"/>
      <c r="R168" s="392"/>
      <c r="S168" s="409"/>
      <c r="T168" s="409"/>
      <c r="U168" s="409"/>
      <c r="V168" s="409"/>
      <c r="W168" s="392"/>
      <c r="X168" s="392"/>
      <c r="Y168" s="409"/>
      <c r="Z168" s="409"/>
      <c r="AA168" s="392"/>
      <c r="AB168" s="392"/>
      <c r="AC168" s="392"/>
      <c r="AD168" s="409"/>
      <c r="AE168" s="409"/>
      <c r="AF168" s="409"/>
      <c r="AG168" s="409"/>
      <c r="AH168" s="409"/>
      <c r="AI168" s="409"/>
      <c r="AJ168" s="409"/>
      <c r="AK168" s="409"/>
      <c r="AL168" s="409"/>
      <c r="AM168" s="409"/>
      <c r="AN168" s="409"/>
      <c r="AO168" s="409"/>
      <c r="AP168" s="409"/>
      <c r="AQ168" s="409"/>
      <c r="AR168" s="409"/>
      <c r="AS168" s="409"/>
      <c r="AT168" s="409"/>
      <c r="AU168" s="409"/>
      <c r="AV168" s="409"/>
      <c r="AW168" s="409"/>
      <c r="AX168" s="409"/>
      <c r="AY168" s="409"/>
      <c r="AZ168" s="409"/>
      <c r="BA168" s="409"/>
      <c r="BB168" s="409"/>
      <c r="BC168" s="409"/>
      <c r="BD168" s="407"/>
      <c r="BT168" s="444"/>
    </row>
    <row r="169" spans="1:72" s="443" customFormat="1" ht="15">
      <c r="A169" s="392"/>
      <c r="B169" s="392"/>
      <c r="C169" s="392"/>
      <c r="D169" s="392"/>
      <c r="E169" s="392"/>
      <c r="F169" s="392"/>
      <c r="G169" s="392"/>
      <c r="H169" s="392"/>
      <c r="I169" s="392"/>
      <c r="J169" s="392"/>
      <c r="K169" s="392"/>
      <c r="L169" s="392"/>
      <c r="M169" s="392"/>
      <c r="N169" s="392"/>
      <c r="O169" s="392"/>
      <c r="P169" s="392"/>
      <c r="Q169" s="392"/>
      <c r="R169" s="392"/>
      <c r="S169" s="409"/>
      <c r="T169" s="409"/>
      <c r="U169" s="409"/>
      <c r="V169" s="409"/>
      <c r="W169" s="392"/>
      <c r="X169" s="392"/>
      <c r="Y169" s="409"/>
      <c r="Z169" s="409"/>
      <c r="AA169" s="392"/>
      <c r="AB169" s="392"/>
      <c r="AC169" s="392"/>
      <c r="AD169" s="409"/>
      <c r="AE169" s="409"/>
      <c r="AF169" s="409"/>
      <c r="AG169" s="409"/>
      <c r="AH169" s="409"/>
      <c r="AI169" s="409"/>
      <c r="AJ169" s="409"/>
      <c r="AK169" s="409"/>
      <c r="AL169" s="409"/>
      <c r="AM169" s="409"/>
      <c r="AN169" s="409"/>
      <c r="AO169" s="409"/>
      <c r="AP169" s="409"/>
      <c r="AQ169" s="409"/>
      <c r="AR169" s="409"/>
      <c r="AS169" s="409"/>
      <c r="AT169" s="409"/>
      <c r="AU169" s="409"/>
      <c r="AV169" s="409"/>
      <c r="AW169" s="409"/>
      <c r="AX169" s="409"/>
      <c r="AY169" s="409"/>
      <c r="AZ169" s="409"/>
      <c r="BA169" s="409"/>
      <c r="BB169" s="409"/>
      <c r="BC169" s="409"/>
      <c r="BD169" s="407"/>
      <c r="BT169" s="444"/>
    </row>
    <row r="170" spans="1:72" s="443" customFormat="1" ht="15">
      <c r="A170" s="392"/>
      <c r="B170" s="392"/>
      <c r="C170" s="392"/>
      <c r="D170" s="392"/>
      <c r="E170" s="392"/>
      <c r="F170" s="392"/>
      <c r="G170" s="392"/>
      <c r="H170" s="392"/>
      <c r="I170" s="392"/>
      <c r="J170" s="392"/>
      <c r="K170" s="392"/>
      <c r="L170" s="392"/>
      <c r="M170" s="392"/>
      <c r="N170" s="392"/>
      <c r="O170" s="392"/>
      <c r="P170" s="392"/>
      <c r="Q170" s="392"/>
      <c r="R170" s="392"/>
      <c r="S170" s="409"/>
      <c r="T170" s="409"/>
      <c r="U170" s="409"/>
      <c r="V170" s="409"/>
      <c r="W170" s="392"/>
      <c r="X170" s="392"/>
      <c r="Y170" s="409"/>
      <c r="Z170" s="409"/>
      <c r="AA170" s="392"/>
      <c r="AB170" s="392"/>
      <c r="AC170" s="392"/>
      <c r="AD170" s="409"/>
      <c r="AE170" s="409"/>
      <c r="AF170" s="409"/>
      <c r="AG170" s="409"/>
      <c r="AH170" s="409"/>
      <c r="AI170" s="409"/>
      <c r="AJ170" s="409"/>
      <c r="AK170" s="409"/>
      <c r="AL170" s="409"/>
      <c r="AM170" s="409"/>
      <c r="AN170" s="409"/>
      <c r="AO170" s="409"/>
      <c r="AP170" s="409"/>
      <c r="AQ170" s="409"/>
      <c r="AR170" s="409"/>
      <c r="AS170" s="409"/>
      <c r="AT170" s="409"/>
      <c r="AU170" s="409"/>
      <c r="AV170" s="409"/>
      <c r="AW170" s="409"/>
      <c r="AX170" s="409"/>
      <c r="AY170" s="409"/>
      <c r="AZ170" s="409"/>
      <c r="BA170" s="409"/>
      <c r="BB170" s="409"/>
      <c r="BC170" s="409"/>
      <c r="BD170" s="407"/>
      <c r="BT170" s="444"/>
    </row>
    <row r="171" spans="1:72" s="443" customFormat="1" ht="15">
      <c r="A171" s="392"/>
      <c r="B171" s="392"/>
      <c r="C171" s="392"/>
      <c r="D171" s="392"/>
      <c r="E171" s="392"/>
      <c r="F171" s="392"/>
      <c r="G171" s="392"/>
      <c r="H171" s="392"/>
      <c r="I171" s="392"/>
      <c r="J171" s="392"/>
      <c r="K171" s="392"/>
      <c r="L171" s="392"/>
      <c r="M171" s="392"/>
      <c r="N171" s="392"/>
      <c r="O171" s="392"/>
      <c r="P171" s="392"/>
      <c r="Q171" s="392"/>
      <c r="R171" s="392"/>
      <c r="S171" s="409"/>
      <c r="T171" s="409"/>
      <c r="U171" s="409"/>
      <c r="V171" s="409"/>
      <c r="W171" s="392"/>
      <c r="X171" s="392"/>
      <c r="Y171" s="409"/>
      <c r="Z171" s="409"/>
      <c r="AA171" s="392"/>
      <c r="AB171" s="392"/>
      <c r="AC171" s="392"/>
      <c r="AD171" s="409"/>
      <c r="AE171" s="409"/>
      <c r="AF171" s="409"/>
      <c r="AG171" s="409"/>
      <c r="AH171" s="409"/>
      <c r="AI171" s="409"/>
      <c r="AJ171" s="409"/>
      <c r="AK171" s="409"/>
      <c r="AL171" s="409"/>
      <c r="AM171" s="409"/>
      <c r="AN171" s="409"/>
      <c r="AO171" s="409"/>
      <c r="AP171" s="409"/>
      <c r="AQ171" s="409"/>
      <c r="AR171" s="409"/>
      <c r="AS171" s="409"/>
      <c r="AT171" s="409"/>
      <c r="AU171" s="409"/>
      <c r="AV171" s="409"/>
      <c r="AW171" s="409"/>
      <c r="AX171" s="409"/>
      <c r="AY171" s="409"/>
      <c r="AZ171" s="409"/>
      <c r="BA171" s="409"/>
      <c r="BB171" s="409"/>
      <c r="BC171" s="409"/>
      <c r="BD171" s="407"/>
      <c r="BT171" s="444"/>
    </row>
    <row r="172" spans="1:72" s="443" customFormat="1" ht="15">
      <c r="A172" s="392"/>
      <c r="B172" s="392"/>
      <c r="C172" s="392"/>
      <c r="D172" s="392"/>
      <c r="E172" s="392"/>
      <c r="F172" s="392"/>
      <c r="G172" s="392"/>
      <c r="H172" s="392"/>
      <c r="I172" s="392"/>
      <c r="J172" s="392"/>
      <c r="K172" s="392"/>
      <c r="L172" s="392"/>
      <c r="M172" s="392"/>
      <c r="N172" s="392"/>
      <c r="O172" s="392"/>
      <c r="P172" s="392"/>
      <c r="Q172" s="392"/>
      <c r="R172" s="392"/>
      <c r="S172" s="409"/>
      <c r="T172" s="409"/>
      <c r="U172" s="409"/>
      <c r="V172" s="409"/>
      <c r="W172" s="392"/>
      <c r="X172" s="392"/>
      <c r="Y172" s="409"/>
      <c r="Z172" s="409"/>
      <c r="AA172" s="392"/>
      <c r="AB172" s="392"/>
      <c r="AC172" s="392"/>
      <c r="AD172" s="409"/>
      <c r="AE172" s="409"/>
      <c r="AF172" s="409"/>
      <c r="AG172" s="409"/>
      <c r="AH172" s="409"/>
      <c r="AI172" s="409"/>
      <c r="AJ172" s="409"/>
      <c r="AK172" s="409"/>
      <c r="AL172" s="409"/>
      <c r="AM172" s="409"/>
      <c r="AN172" s="409"/>
      <c r="AO172" s="409"/>
      <c r="AP172" s="409"/>
      <c r="AQ172" s="409"/>
      <c r="AR172" s="409"/>
      <c r="AS172" s="409"/>
      <c r="AT172" s="409"/>
      <c r="AU172" s="409"/>
      <c r="AV172" s="409"/>
      <c r="AW172" s="409"/>
      <c r="AX172" s="409"/>
      <c r="AY172" s="409"/>
      <c r="AZ172" s="409"/>
      <c r="BA172" s="409"/>
      <c r="BB172" s="409"/>
      <c r="BC172" s="409"/>
      <c r="BD172" s="407"/>
      <c r="BT172" s="444"/>
    </row>
    <row r="173" spans="1:72" s="443" customFormat="1" ht="15">
      <c r="A173" s="392"/>
      <c r="B173" s="392"/>
      <c r="C173" s="392"/>
      <c r="D173" s="392"/>
      <c r="E173" s="392"/>
      <c r="F173" s="392"/>
      <c r="G173" s="392"/>
      <c r="H173" s="392"/>
      <c r="I173" s="392"/>
      <c r="J173" s="392"/>
      <c r="K173" s="392"/>
      <c r="L173" s="392"/>
      <c r="M173" s="392"/>
      <c r="N173" s="392"/>
      <c r="O173" s="392"/>
      <c r="P173" s="392"/>
      <c r="Q173" s="392"/>
      <c r="R173" s="392"/>
      <c r="S173" s="409"/>
      <c r="T173" s="409"/>
      <c r="U173" s="409"/>
      <c r="V173" s="409"/>
      <c r="W173" s="392"/>
      <c r="X173" s="392"/>
      <c r="Y173" s="409"/>
      <c r="Z173" s="409"/>
      <c r="AA173" s="392"/>
      <c r="AB173" s="392"/>
      <c r="AC173" s="392"/>
      <c r="AD173" s="409"/>
      <c r="AE173" s="409"/>
      <c r="AF173" s="409"/>
      <c r="AG173" s="409"/>
      <c r="AH173" s="409"/>
      <c r="AI173" s="409"/>
      <c r="AJ173" s="409"/>
      <c r="AK173" s="409"/>
      <c r="AL173" s="409"/>
      <c r="AM173" s="409"/>
      <c r="AN173" s="409"/>
      <c r="AO173" s="409"/>
      <c r="AP173" s="409"/>
      <c r="AQ173" s="409"/>
      <c r="AR173" s="409"/>
      <c r="AS173" s="409"/>
      <c r="AT173" s="409"/>
      <c r="AU173" s="409"/>
      <c r="AV173" s="409"/>
      <c r="AW173" s="409"/>
      <c r="AX173" s="409"/>
      <c r="AY173" s="409"/>
      <c r="AZ173" s="409"/>
      <c r="BA173" s="409"/>
      <c r="BB173" s="409"/>
      <c r="BC173" s="409"/>
      <c r="BD173" s="407"/>
      <c r="BT173" s="444"/>
    </row>
    <row r="174" spans="1:72" s="443" customFormat="1" ht="15">
      <c r="A174" s="392"/>
      <c r="B174" s="392"/>
      <c r="C174" s="392"/>
      <c r="D174" s="392"/>
      <c r="E174" s="392"/>
      <c r="F174" s="392"/>
      <c r="G174" s="392"/>
      <c r="H174" s="392"/>
      <c r="I174" s="392"/>
      <c r="J174" s="392"/>
      <c r="K174" s="392"/>
      <c r="L174" s="392"/>
      <c r="M174" s="392"/>
      <c r="N174" s="392"/>
      <c r="O174" s="392"/>
      <c r="P174" s="392"/>
      <c r="Q174" s="392"/>
      <c r="R174" s="392"/>
      <c r="S174" s="409"/>
      <c r="T174" s="409"/>
      <c r="U174" s="409"/>
      <c r="V174" s="409"/>
      <c r="W174" s="392"/>
      <c r="X174" s="392"/>
      <c r="Y174" s="409"/>
      <c r="Z174" s="409"/>
      <c r="AA174" s="392"/>
      <c r="AB174" s="392"/>
      <c r="AC174" s="392"/>
      <c r="AD174" s="409"/>
      <c r="AE174" s="409"/>
      <c r="AF174" s="409"/>
      <c r="AG174" s="409"/>
      <c r="AH174" s="409"/>
      <c r="AI174" s="409"/>
      <c r="AJ174" s="409"/>
      <c r="AK174" s="409"/>
      <c r="AL174" s="409"/>
      <c r="AM174" s="409"/>
      <c r="AN174" s="409"/>
      <c r="AO174" s="409"/>
      <c r="AP174" s="409"/>
      <c r="AQ174" s="409"/>
      <c r="AR174" s="409"/>
      <c r="AS174" s="409"/>
      <c r="AT174" s="409"/>
      <c r="AU174" s="409"/>
      <c r="AV174" s="409"/>
      <c r="AW174" s="409"/>
      <c r="AX174" s="409"/>
      <c r="AY174" s="409"/>
      <c r="AZ174" s="409"/>
      <c r="BA174" s="409"/>
      <c r="BB174" s="409"/>
      <c r="BC174" s="409"/>
      <c r="BD174" s="407"/>
      <c r="BT174" s="444"/>
    </row>
    <row r="175" spans="1:72" s="443" customFormat="1" ht="15">
      <c r="A175" s="392"/>
      <c r="B175" s="392"/>
      <c r="C175" s="392"/>
      <c r="D175" s="392"/>
      <c r="E175" s="392"/>
      <c r="F175" s="392"/>
      <c r="G175" s="392"/>
      <c r="H175" s="392"/>
      <c r="I175" s="392"/>
      <c r="J175" s="392"/>
      <c r="K175" s="392"/>
      <c r="L175" s="392"/>
      <c r="M175" s="392"/>
      <c r="N175" s="392"/>
      <c r="O175" s="392"/>
      <c r="P175" s="392"/>
      <c r="Q175" s="392"/>
      <c r="R175" s="392"/>
      <c r="S175" s="409"/>
      <c r="T175" s="409"/>
      <c r="U175" s="409"/>
      <c r="V175" s="409"/>
      <c r="W175" s="392"/>
      <c r="X175" s="392"/>
      <c r="Y175" s="409"/>
      <c r="Z175" s="409"/>
      <c r="AA175" s="392"/>
      <c r="AB175" s="392"/>
      <c r="AC175" s="392"/>
      <c r="AD175" s="409"/>
      <c r="AE175" s="409"/>
      <c r="AF175" s="409"/>
      <c r="AG175" s="409"/>
      <c r="AH175" s="409"/>
      <c r="AI175" s="409"/>
      <c r="AJ175" s="409"/>
      <c r="AK175" s="409"/>
      <c r="AL175" s="409"/>
      <c r="AM175" s="409"/>
      <c r="AN175" s="409"/>
      <c r="AO175" s="409"/>
      <c r="AP175" s="409"/>
      <c r="AQ175" s="409"/>
      <c r="AR175" s="409"/>
      <c r="AS175" s="409"/>
      <c r="AT175" s="409"/>
      <c r="AU175" s="409"/>
      <c r="AV175" s="409"/>
      <c r="AW175" s="409"/>
      <c r="AX175" s="409"/>
      <c r="AY175" s="409"/>
      <c r="AZ175" s="409"/>
      <c r="BA175" s="409"/>
      <c r="BB175" s="409"/>
      <c r="BC175" s="409"/>
      <c r="BD175" s="407"/>
      <c r="BT175" s="444"/>
    </row>
    <row r="176" spans="1:72" s="443" customFormat="1" ht="15">
      <c r="A176" s="392"/>
      <c r="B176" s="392"/>
      <c r="C176" s="392"/>
      <c r="D176" s="392"/>
      <c r="E176" s="392"/>
      <c r="F176" s="392"/>
      <c r="G176" s="392"/>
      <c r="H176" s="392"/>
      <c r="I176" s="392"/>
      <c r="J176" s="392"/>
      <c r="K176" s="392"/>
      <c r="L176" s="392"/>
      <c r="M176" s="392"/>
      <c r="N176" s="392"/>
      <c r="O176" s="392"/>
      <c r="P176" s="392"/>
      <c r="Q176" s="392"/>
      <c r="R176" s="392"/>
      <c r="S176" s="409"/>
      <c r="T176" s="409"/>
      <c r="U176" s="409"/>
      <c r="V176" s="409"/>
      <c r="W176" s="392"/>
      <c r="X176" s="392"/>
      <c r="Y176" s="409"/>
      <c r="Z176" s="409"/>
      <c r="AA176" s="392"/>
      <c r="AB176" s="392"/>
      <c r="AC176" s="392"/>
      <c r="AD176" s="409"/>
      <c r="AE176" s="409"/>
      <c r="AF176" s="409"/>
      <c r="AG176" s="409"/>
      <c r="AH176" s="409"/>
      <c r="AI176" s="409"/>
      <c r="AJ176" s="409"/>
      <c r="AK176" s="409"/>
      <c r="AL176" s="409"/>
      <c r="AM176" s="409"/>
      <c r="AN176" s="409"/>
      <c r="AO176" s="409"/>
      <c r="AP176" s="409"/>
      <c r="AQ176" s="409"/>
      <c r="AR176" s="409"/>
      <c r="AS176" s="409"/>
      <c r="AT176" s="409"/>
      <c r="AU176" s="409"/>
      <c r="AV176" s="409"/>
      <c r="AW176" s="409"/>
      <c r="AX176" s="409"/>
      <c r="AY176" s="409"/>
      <c r="AZ176" s="409"/>
      <c r="BA176" s="409"/>
      <c r="BB176" s="409"/>
      <c r="BC176" s="409"/>
      <c r="BD176" s="407"/>
      <c r="BT176" s="444"/>
    </row>
    <row r="177" spans="1:72" s="443" customFormat="1" ht="15">
      <c r="A177" s="392"/>
      <c r="B177" s="392"/>
      <c r="C177" s="392"/>
      <c r="D177" s="392"/>
      <c r="E177" s="392"/>
      <c r="F177" s="392"/>
      <c r="G177" s="392"/>
      <c r="H177" s="392"/>
      <c r="I177" s="392"/>
      <c r="J177" s="392"/>
      <c r="K177" s="392"/>
      <c r="L177" s="392"/>
      <c r="M177" s="392"/>
      <c r="N177" s="392"/>
      <c r="O177" s="392"/>
      <c r="P177" s="392"/>
      <c r="Q177" s="392"/>
      <c r="R177" s="392"/>
      <c r="S177" s="409"/>
      <c r="T177" s="409"/>
      <c r="U177" s="409"/>
      <c r="V177" s="409"/>
      <c r="W177" s="392"/>
      <c r="X177" s="392"/>
      <c r="Y177" s="409"/>
      <c r="Z177" s="409"/>
      <c r="AA177" s="392"/>
      <c r="AB177" s="392"/>
      <c r="AC177" s="392"/>
      <c r="AD177" s="409"/>
      <c r="AE177" s="409"/>
      <c r="AF177" s="409"/>
      <c r="AG177" s="409"/>
      <c r="AH177" s="409"/>
      <c r="AI177" s="409"/>
      <c r="AJ177" s="409"/>
      <c r="AK177" s="409"/>
      <c r="AL177" s="409"/>
      <c r="AM177" s="409"/>
      <c r="AN177" s="409"/>
      <c r="AO177" s="409"/>
      <c r="AP177" s="409"/>
      <c r="AQ177" s="409"/>
      <c r="AR177" s="409"/>
      <c r="AS177" s="409"/>
      <c r="AT177" s="409"/>
      <c r="AU177" s="409"/>
      <c r="AV177" s="409"/>
      <c r="AW177" s="409"/>
      <c r="AX177" s="409"/>
      <c r="AY177" s="409"/>
      <c r="AZ177" s="409"/>
      <c r="BA177" s="409"/>
      <c r="BB177" s="409"/>
      <c r="BC177" s="409"/>
      <c r="BD177" s="407"/>
      <c r="BT177" s="444"/>
    </row>
    <row r="178" spans="1:72" s="443" customFormat="1" ht="15">
      <c r="A178" s="392"/>
      <c r="B178" s="392"/>
      <c r="C178" s="392"/>
      <c r="D178" s="392"/>
      <c r="E178" s="392"/>
      <c r="F178" s="392"/>
      <c r="G178" s="392"/>
      <c r="H178" s="392"/>
      <c r="I178" s="392"/>
      <c r="J178" s="392"/>
      <c r="K178" s="392"/>
      <c r="L178" s="392"/>
      <c r="M178" s="392"/>
      <c r="N178" s="392"/>
      <c r="O178" s="392"/>
      <c r="P178" s="392"/>
      <c r="Q178" s="392"/>
      <c r="R178" s="392"/>
      <c r="S178" s="409"/>
      <c r="T178" s="409"/>
      <c r="U178" s="409"/>
      <c r="V178" s="409"/>
      <c r="W178" s="392"/>
      <c r="X178" s="392"/>
      <c r="Y178" s="409"/>
      <c r="Z178" s="409"/>
      <c r="AA178" s="392"/>
      <c r="AB178" s="392"/>
      <c r="AC178" s="392"/>
      <c r="AD178" s="409"/>
      <c r="AE178" s="409"/>
      <c r="AF178" s="409"/>
      <c r="AG178" s="409"/>
      <c r="AH178" s="409"/>
      <c r="AI178" s="409"/>
      <c r="AJ178" s="409"/>
      <c r="AK178" s="409"/>
      <c r="AL178" s="409"/>
      <c r="AM178" s="409"/>
      <c r="AN178" s="409"/>
      <c r="AO178" s="409"/>
      <c r="AP178" s="409"/>
      <c r="AQ178" s="409"/>
      <c r="AR178" s="409"/>
      <c r="AS178" s="409"/>
      <c r="AT178" s="409"/>
      <c r="AU178" s="409"/>
      <c r="AV178" s="409"/>
      <c r="AW178" s="409"/>
      <c r="AX178" s="409"/>
      <c r="AY178" s="409"/>
      <c r="AZ178" s="409"/>
      <c r="BA178" s="409"/>
      <c r="BB178" s="409"/>
      <c r="BC178" s="409"/>
      <c r="BD178" s="407"/>
      <c r="BT178" s="444"/>
    </row>
    <row r="179" spans="1:72" s="443" customFormat="1" ht="15">
      <c r="A179" s="392"/>
      <c r="B179" s="392"/>
      <c r="C179" s="392"/>
      <c r="D179" s="392"/>
      <c r="E179" s="392"/>
      <c r="F179" s="392"/>
      <c r="G179" s="392"/>
      <c r="H179" s="392"/>
      <c r="I179" s="392"/>
      <c r="J179" s="392"/>
      <c r="K179" s="392"/>
      <c r="L179" s="392"/>
      <c r="M179" s="392"/>
      <c r="N179" s="392"/>
      <c r="O179" s="392"/>
      <c r="P179" s="392"/>
      <c r="Q179" s="392"/>
      <c r="R179" s="392"/>
      <c r="S179" s="409"/>
      <c r="T179" s="409"/>
      <c r="U179" s="409"/>
      <c r="V179" s="409"/>
      <c r="W179" s="392"/>
      <c r="X179" s="392"/>
      <c r="Y179" s="409"/>
      <c r="Z179" s="409"/>
      <c r="AA179" s="392"/>
      <c r="AB179" s="392"/>
      <c r="AC179" s="392"/>
      <c r="AD179" s="409"/>
      <c r="AE179" s="409"/>
      <c r="AF179" s="409"/>
      <c r="AG179" s="409"/>
      <c r="AH179" s="409"/>
      <c r="AI179" s="409"/>
      <c r="AJ179" s="409"/>
      <c r="AK179" s="409"/>
      <c r="AL179" s="409"/>
      <c r="AM179" s="409"/>
      <c r="AN179" s="409"/>
      <c r="AO179" s="409"/>
      <c r="AP179" s="409"/>
      <c r="AQ179" s="409"/>
      <c r="AR179" s="409"/>
      <c r="AS179" s="409"/>
      <c r="AT179" s="409"/>
      <c r="AU179" s="409"/>
      <c r="AV179" s="409"/>
      <c r="AW179" s="409"/>
      <c r="AX179" s="409"/>
      <c r="AY179" s="409"/>
      <c r="AZ179" s="409"/>
      <c r="BA179" s="409"/>
      <c r="BB179" s="409"/>
      <c r="BC179" s="409"/>
      <c r="BD179" s="407"/>
      <c r="BT179" s="444"/>
    </row>
    <row r="180" spans="1:72" s="443" customFormat="1" ht="15">
      <c r="A180" s="392"/>
      <c r="B180" s="392"/>
      <c r="C180" s="392"/>
      <c r="D180" s="392"/>
      <c r="E180" s="392"/>
      <c r="F180" s="392"/>
      <c r="G180" s="392"/>
      <c r="H180" s="392"/>
      <c r="I180" s="392"/>
      <c r="J180" s="392"/>
      <c r="K180" s="392"/>
      <c r="L180" s="392"/>
      <c r="M180" s="392"/>
      <c r="N180" s="392"/>
      <c r="O180" s="392"/>
      <c r="P180" s="392"/>
      <c r="Q180" s="392"/>
      <c r="R180" s="392"/>
      <c r="S180" s="409"/>
      <c r="T180" s="409"/>
      <c r="U180" s="409"/>
      <c r="V180" s="409"/>
      <c r="W180" s="392"/>
      <c r="X180" s="392"/>
      <c r="Y180" s="409"/>
      <c r="Z180" s="409"/>
      <c r="AA180" s="392"/>
      <c r="AB180" s="392"/>
      <c r="AC180" s="392"/>
      <c r="AD180" s="409"/>
      <c r="AE180" s="409"/>
      <c r="AF180" s="409"/>
      <c r="AG180" s="409"/>
      <c r="AH180" s="409"/>
      <c r="AI180" s="409"/>
      <c r="AJ180" s="409"/>
      <c r="AK180" s="409"/>
      <c r="AL180" s="409"/>
      <c r="AM180" s="409"/>
      <c r="AN180" s="409"/>
      <c r="AO180" s="409"/>
      <c r="AP180" s="409"/>
      <c r="AQ180" s="409"/>
      <c r="AR180" s="409"/>
      <c r="AS180" s="409"/>
      <c r="AT180" s="409"/>
      <c r="AU180" s="409"/>
      <c r="AV180" s="409"/>
      <c r="AW180" s="409"/>
      <c r="AX180" s="409"/>
      <c r="AY180" s="409"/>
      <c r="AZ180" s="409"/>
      <c r="BA180" s="409"/>
      <c r="BB180" s="409"/>
      <c r="BC180" s="409"/>
      <c r="BD180" s="407"/>
      <c r="BT180" s="444"/>
    </row>
    <row r="181" spans="1:72" s="443" customFormat="1" ht="15">
      <c r="A181" s="392"/>
      <c r="B181" s="392"/>
      <c r="C181" s="392"/>
      <c r="D181" s="392"/>
      <c r="E181" s="392"/>
      <c r="F181" s="392"/>
      <c r="G181" s="392"/>
      <c r="H181" s="392"/>
      <c r="I181" s="392"/>
      <c r="J181" s="392"/>
      <c r="K181" s="392"/>
      <c r="L181" s="392"/>
      <c r="M181" s="392"/>
      <c r="N181" s="392"/>
      <c r="O181" s="392"/>
      <c r="P181" s="392"/>
      <c r="Q181" s="392"/>
      <c r="R181" s="392"/>
      <c r="S181" s="409"/>
      <c r="T181" s="409"/>
      <c r="U181" s="409"/>
      <c r="V181" s="409"/>
      <c r="W181" s="392"/>
      <c r="X181" s="392"/>
      <c r="Y181" s="409"/>
      <c r="Z181" s="409"/>
      <c r="AA181" s="392"/>
      <c r="AB181" s="392"/>
      <c r="AC181" s="392"/>
      <c r="AD181" s="409"/>
      <c r="AE181" s="409"/>
      <c r="AF181" s="409"/>
      <c r="AG181" s="409"/>
      <c r="AH181" s="409"/>
      <c r="AI181" s="409"/>
      <c r="AJ181" s="409"/>
      <c r="AK181" s="409"/>
      <c r="AL181" s="409"/>
      <c r="AM181" s="409"/>
      <c r="AN181" s="409"/>
      <c r="AO181" s="409"/>
      <c r="AP181" s="409"/>
      <c r="AQ181" s="409"/>
      <c r="AR181" s="409"/>
      <c r="AS181" s="409"/>
      <c r="AT181" s="409"/>
      <c r="AU181" s="409"/>
      <c r="AV181" s="409"/>
      <c r="AW181" s="409"/>
      <c r="AX181" s="409"/>
      <c r="AY181" s="409"/>
      <c r="AZ181" s="409"/>
      <c r="BA181" s="409"/>
      <c r="BB181" s="409"/>
      <c r="BC181" s="409"/>
      <c r="BD181" s="407"/>
      <c r="BT181" s="444"/>
    </row>
    <row r="182" spans="1:72" s="443" customFormat="1" ht="15">
      <c r="A182" s="392"/>
      <c r="B182" s="392"/>
      <c r="C182" s="392"/>
      <c r="D182" s="392"/>
      <c r="E182" s="392"/>
      <c r="F182" s="392"/>
      <c r="G182" s="392"/>
      <c r="H182" s="392"/>
      <c r="I182" s="392"/>
      <c r="J182" s="392"/>
      <c r="K182" s="392"/>
      <c r="L182" s="392"/>
      <c r="M182" s="392"/>
      <c r="N182" s="392"/>
      <c r="O182" s="392"/>
      <c r="P182" s="392"/>
      <c r="Q182" s="392"/>
      <c r="R182" s="392"/>
      <c r="S182" s="409"/>
      <c r="T182" s="409"/>
      <c r="U182" s="409"/>
      <c r="V182" s="409"/>
      <c r="W182" s="392"/>
      <c r="X182" s="392"/>
      <c r="Y182" s="409"/>
      <c r="Z182" s="409"/>
      <c r="AA182" s="392"/>
      <c r="AB182" s="392"/>
      <c r="AC182" s="392"/>
      <c r="AD182" s="409"/>
      <c r="AE182" s="409"/>
      <c r="AF182" s="409"/>
      <c r="AG182" s="409"/>
      <c r="AH182" s="409"/>
      <c r="AI182" s="409"/>
      <c r="AJ182" s="409"/>
      <c r="AK182" s="409"/>
      <c r="AL182" s="409"/>
      <c r="AM182" s="409"/>
      <c r="AN182" s="409"/>
      <c r="AO182" s="409"/>
      <c r="AP182" s="409"/>
      <c r="AQ182" s="409"/>
      <c r="AR182" s="409"/>
      <c r="AS182" s="409"/>
      <c r="AT182" s="409"/>
      <c r="AU182" s="409"/>
      <c r="AV182" s="409"/>
      <c r="AW182" s="409"/>
      <c r="AX182" s="409"/>
      <c r="AY182" s="409"/>
      <c r="AZ182" s="409"/>
      <c r="BA182" s="409"/>
      <c r="BB182" s="409"/>
      <c r="BC182" s="409"/>
      <c r="BD182" s="407"/>
      <c r="BT182" s="444"/>
    </row>
    <row r="183" spans="1:72" s="443" customFormat="1" ht="15">
      <c r="A183" s="392"/>
      <c r="B183" s="392"/>
      <c r="C183" s="392"/>
      <c r="D183" s="392"/>
      <c r="E183" s="392"/>
      <c r="F183" s="392"/>
      <c r="G183" s="392"/>
      <c r="H183" s="392"/>
      <c r="I183" s="392"/>
      <c r="J183" s="392"/>
      <c r="K183" s="392"/>
      <c r="L183" s="392"/>
      <c r="M183" s="392"/>
      <c r="N183" s="392"/>
      <c r="O183" s="392"/>
      <c r="P183" s="392"/>
      <c r="Q183" s="392"/>
      <c r="R183" s="392"/>
      <c r="S183" s="409"/>
      <c r="T183" s="409"/>
      <c r="U183" s="409"/>
      <c r="V183" s="409"/>
      <c r="W183" s="392"/>
      <c r="X183" s="392"/>
      <c r="Y183" s="409"/>
      <c r="Z183" s="409"/>
      <c r="AA183" s="392"/>
      <c r="AB183" s="392"/>
      <c r="AC183" s="392"/>
      <c r="AD183" s="409"/>
      <c r="AE183" s="409"/>
      <c r="AF183" s="409"/>
      <c r="AG183" s="409"/>
      <c r="AH183" s="409"/>
      <c r="AI183" s="409"/>
      <c r="AJ183" s="409"/>
      <c r="AK183" s="409"/>
      <c r="AL183" s="409"/>
      <c r="AM183" s="409"/>
      <c r="AN183" s="409"/>
      <c r="AO183" s="409"/>
      <c r="AP183" s="409"/>
      <c r="AQ183" s="409"/>
      <c r="AR183" s="409"/>
      <c r="AS183" s="409"/>
      <c r="AT183" s="409"/>
      <c r="AU183" s="409"/>
      <c r="AV183" s="409"/>
      <c r="AW183" s="409"/>
      <c r="AX183" s="409"/>
      <c r="AY183" s="409"/>
      <c r="AZ183" s="409"/>
      <c r="BA183" s="409"/>
      <c r="BB183" s="409"/>
      <c r="BC183" s="409"/>
      <c r="BD183" s="407"/>
      <c r="BT183" s="444"/>
    </row>
    <row r="184" spans="1:72" s="443" customFormat="1" ht="15">
      <c r="A184" s="392"/>
      <c r="B184" s="392"/>
      <c r="C184" s="392"/>
      <c r="D184" s="392"/>
      <c r="E184" s="392"/>
      <c r="F184" s="392"/>
      <c r="G184" s="392"/>
      <c r="H184" s="392"/>
      <c r="I184" s="392"/>
      <c r="J184" s="392"/>
      <c r="K184" s="392"/>
      <c r="L184" s="392"/>
      <c r="M184" s="392"/>
      <c r="N184" s="392"/>
      <c r="O184" s="392"/>
      <c r="P184" s="392"/>
      <c r="Q184" s="392"/>
      <c r="R184" s="392"/>
      <c r="S184" s="409"/>
      <c r="T184" s="409"/>
      <c r="U184" s="409"/>
      <c r="V184" s="409"/>
      <c r="W184" s="392"/>
      <c r="X184" s="392"/>
      <c r="Y184" s="409"/>
      <c r="Z184" s="409"/>
      <c r="AA184" s="392"/>
      <c r="AB184" s="392"/>
      <c r="AC184" s="392"/>
      <c r="AD184" s="409"/>
      <c r="AE184" s="409"/>
      <c r="AF184" s="409"/>
      <c r="AG184" s="409"/>
      <c r="AH184" s="409"/>
      <c r="AI184" s="409"/>
      <c r="AJ184" s="409"/>
      <c r="AK184" s="409"/>
      <c r="AL184" s="409"/>
      <c r="AM184" s="409"/>
      <c r="AN184" s="409"/>
      <c r="AO184" s="409"/>
      <c r="AP184" s="409"/>
      <c r="AQ184" s="409"/>
      <c r="AR184" s="409"/>
      <c r="AS184" s="409"/>
      <c r="AT184" s="409"/>
      <c r="AU184" s="409"/>
      <c r="AV184" s="409"/>
      <c r="AW184" s="409"/>
      <c r="AX184" s="409"/>
      <c r="AY184" s="409"/>
      <c r="AZ184" s="409"/>
      <c r="BA184" s="409"/>
      <c r="BB184" s="409"/>
      <c r="BC184" s="409"/>
      <c r="BD184" s="407"/>
      <c r="BT184" s="444"/>
    </row>
  </sheetData>
  <mergeCells count="30">
    <mergeCell ref="D9:AO9"/>
    <mergeCell ref="A5:BA5"/>
    <mergeCell ref="BB5:BC5"/>
    <mergeCell ref="J7:M7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M1:W1"/>
    <mergeCell ref="X1:Z2"/>
    <mergeCell ref="AA1:AJ2"/>
    <mergeCell ref="A2:H2"/>
    <mergeCell ref="I2:L2"/>
    <mergeCell ref="M2:W2"/>
    <mergeCell ref="A1:H1"/>
    <mergeCell ref="I1:L1"/>
    <mergeCell ref="AK2:AM2"/>
    <mergeCell ref="AN2:AR2"/>
    <mergeCell ref="BE7:BG7"/>
    <mergeCell ref="AN1:AR1"/>
    <mergeCell ref="AS1:AU1"/>
    <mergeCell ref="AV1:AY1"/>
    <mergeCell ref="AZ1:BC1"/>
    <mergeCell ref="AS2:AU2"/>
    <mergeCell ref="AK1:AM1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A54-81B2-48BE-B1DB-4F5E02549265}">
  <dimension ref="A1:DX200"/>
  <sheetViews>
    <sheetView showGridLines="0" topLeftCell="A5" zoomScaleNormal="100" zoomScaleSheetLayoutView="100" workbookViewId="0">
      <pane ySplit="2" topLeftCell="A7" activePane="bottomLeft" state="frozen"/>
      <selection activeCell="A5" sqref="A5"/>
      <selection pane="bottomLeft" activeCell="BE7" sqref="BE7:BG36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128" width="2.6328125" style="443" customWidth="1"/>
    <col min="129" max="16384" width="9" style="35"/>
  </cols>
  <sheetData>
    <row r="1" spans="1:72" ht="12" customHeight="1">
      <c r="A1" s="510" t="s">
        <v>4</v>
      </c>
      <c r="B1" s="510"/>
      <c r="C1" s="510"/>
      <c r="D1" s="510"/>
      <c r="E1" s="510"/>
      <c r="F1" s="510"/>
      <c r="G1" s="510"/>
      <c r="H1" s="510"/>
      <c r="I1" s="497" t="s">
        <v>5</v>
      </c>
      <c r="J1" s="497"/>
      <c r="K1" s="497"/>
      <c r="L1" s="497"/>
      <c r="M1" s="508" t="str">
        <f>変更来歴!M1</f>
        <v>ヒロセ電機株式会社</v>
      </c>
      <c r="N1" s="508"/>
      <c r="O1" s="508"/>
      <c r="P1" s="508"/>
      <c r="Q1" s="508"/>
      <c r="R1" s="508"/>
      <c r="S1" s="508"/>
      <c r="T1" s="508"/>
      <c r="U1" s="508"/>
      <c r="V1" s="508"/>
      <c r="W1" s="508"/>
      <c r="X1" s="497" t="s">
        <v>7</v>
      </c>
      <c r="Y1" s="497"/>
      <c r="Z1" s="497"/>
      <c r="AA1" s="512" t="str">
        <f>変更来歴!AA1</f>
        <v>化学物質データ申請</v>
      </c>
      <c r="AB1" s="512"/>
      <c r="AC1" s="512"/>
      <c r="AD1" s="512"/>
      <c r="AE1" s="512"/>
      <c r="AF1" s="512"/>
      <c r="AG1" s="512"/>
      <c r="AH1" s="512"/>
      <c r="AI1" s="512"/>
      <c r="AJ1" s="512"/>
      <c r="AK1" s="486" t="s">
        <v>8</v>
      </c>
      <c r="AL1" s="486"/>
      <c r="AM1" s="486"/>
      <c r="AN1" s="488" t="str">
        <f>変更来歴!AP7</f>
        <v>古竹</v>
      </c>
      <c r="AO1" s="488"/>
      <c r="AP1" s="488"/>
      <c r="AQ1" s="488"/>
      <c r="AR1" s="488"/>
      <c r="AS1" s="486" t="s">
        <v>9</v>
      </c>
      <c r="AT1" s="486"/>
      <c r="AU1" s="486"/>
      <c r="AV1" s="489">
        <f>変更来歴!AL7</f>
        <v>46125</v>
      </c>
      <c r="AW1" s="487"/>
      <c r="AX1" s="487"/>
      <c r="AY1" s="487"/>
      <c r="AZ1" s="493" t="s">
        <v>10</v>
      </c>
      <c r="BA1" s="494"/>
      <c r="BB1" s="494"/>
      <c r="BC1" s="495"/>
    </row>
    <row r="2" spans="1:72">
      <c r="A2" s="496" t="s">
        <v>16</v>
      </c>
      <c r="B2" s="496"/>
      <c r="C2" s="496"/>
      <c r="D2" s="496"/>
      <c r="E2" s="496"/>
      <c r="F2" s="496"/>
      <c r="G2" s="496"/>
      <c r="H2" s="496"/>
      <c r="I2" s="497" t="s">
        <v>11</v>
      </c>
      <c r="J2" s="497"/>
      <c r="K2" s="497"/>
      <c r="L2" s="497"/>
      <c r="M2" s="535" t="str">
        <f>変更来歴!M2</f>
        <v>　</v>
      </c>
      <c r="N2" s="535"/>
      <c r="O2" s="535"/>
      <c r="P2" s="535"/>
      <c r="Q2" s="535"/>
      <c r="R2" s="535"/>
      <c r="S2" s="535"/>
      <c r="T2" s="535"/>
      <c r="U2" s="535"/>
      <c r="V2" s="535"/>
      <c r="W2" s="535"/>
      <c r="X2" s="497"/>
      <c r="Y2" s="497"/>
      <c r="Z2" s="497"/>
      <c r="AA2" s="512"/>
      <c r="AB2" s="512"/>
      <c r="AC2" s="512"/>
      <c r="AD2" s="512"/>
      <c r="AE2" s="512"/>
      <c r="AF2" s="512"/>
      <c r="AG2" s="512"/>
      <c r="AH2" s="512"/>
      <c r="AI2" s="512"/>
      <c r="AJ2" s="512"/>
      <c r="AK2" s="486" t="s">
        <v>12</v>
      </c>
      <c r="AL2" s="486"/>
      <c r="AM2" s="486"/>
      <c r="AN2" s="488" t="str">
        <f ca="1">INDIRECT("変更来歴!AP" &amp; COUNTA(変更来歴!AP7:'変更来歴'!AP39) + 6)</f>
        <v>古竹</v>
      </c>
      <c r="AO2" s="488"/>
      <c r="AP2" s="488"/>
      <c r="AQ2" s="488"/>
      <c r="AR2" s="488"/>
      <c r="AS2" s="486" t="s">
        <v>13</v>
      </c>
      <c r="AT2" s="486"/>
      <c r="AU2" s="486"/>
      <c r="AV2" s="489">
        <f ca="1">INDIRECT("変更来歴!AL" &amp; COUNTA(変更来歴!AL7:'変更来歴'!AL39) + 6)</f>
        <v>46162</v>
      </c>
      <c r="AW2" s="487"/>
      <c r="AX2" s="487"/>
      <c r="AY2" s="487"/>
      <c r="AZ2" s="501" t="str">
        <f>変更来歴!AX2</f>
        <v>IMWF-53</v>
      </c>
      <c r="BA2" s="502"/>
      <c r="BB2" s="502"/>
      <c r="BC2" s="503"/>
    </row>
    <row r="3" spans="1:72" ht="12" customHeight="1">
      <c r="A3" s="507" t="str">
        <f>変更来歴!A3</f>
        <v>画面設計書</v>
      </c>
      <c r="B3" s="507"/>
      <c r="C3" s="507"/>
      <c r="D3" s="507"/>
      <c r="E3" s="507"/>
      <c r="F3" s="507"/>
      <c r="G3" s="507"/>
      <c r="H3" s="507"/>
      <c r="I3" s="497" t="s">
        <v>14</v>
      </c>
      <c r="J3" s="497"/>
      <c r="K3" s="497"/>
      <c r="L3" s="497"/>
      <c r="M3" s="508" t="str">
        <f ca="1">RIGHT(CELL("filename",A1),LEN(CELL("filename",A1))-FIND("]",CELL("filename",A1)))</f>
        <v>化学物質データ申請完了画面(仮)</v>
      </c>
      <c r="N3" s="508"/>
      <c r="O3" s="508"/>
      <c r="P3" s="508"/>
      <c r="Q3" s="508"/>
      <c r="R3" s="508"/>
      <c r="S3" s="508"/>
      <c r="T3" s="508"/>
      <c r="U3" s="508"/>
      <c r="V3" s="508"/>
      <c r="W3" s="508"/>
      <c r="X3" s="497" t="s">
        <v>27</v>
      </c>
      <c r="Y3" s="497"/>
      <c r="Z3" s="497"/>
      <c r="AA3" s="509" t="str">
        <f ca="1">MID(CELL("filename"),FIND("]",CELL("filename"))+1,LEN(CELL("filename"))) &amp; "画面"</f>
        <v>表紙画面</v>
      </c>
      <c r="AB3" s="509"/>
      <c r="AC3" s="509"/>
      <c r="AD3" s="509"/>
      <c r="AE3" s="509"/>
      <c r="AF3" s="509"/>
      <c r="AG3" s="509"/>
      <c r="AH3" s="509"/>
      <c r="AI3" s="509"/>
      <c r="AJ3" s="509"/>
      <c r="AK3" s="509"/>
      <c r="AL3" s="509"/>
      <c r="AM3" s="509"/>
      <c r="AN3" s="509"/>
      <c r="AO3" s="509"/>
      <c r="AP3" s="509"/>
      <c r="AQ3" s="509"/>
      <c r="AR3" s="509"/>
      <c r="AS3" s="486" t="s">
        <v>15</v>
      </c>
      <c r="AT3" s="486"/>
      <c r="AU3" s="486"/>
      <c r="AV3" s="487" t="str">
        <f ca="1">INDIRECT("変更来歴!A" &amp; COUNTA(変更来歴!A7:'変更来歴'!A39) + 6)</f>
        <v>r1.2</v>
      </c>
      <c r="AW3" s="487"/>
      <c r="AX3" s="487"/>
      <c r="AY3" s="487"/>
      <c r="AZ3" s="504"/>
      <c r="BA3" s="505"/>
      <c r="BB3" s="505"/>
      <c r="BC3" s="506"/>
    </row>
    <row r="4" spans="1:72" ht="5.9" customHeight="1"/>
    <row r="5" spans="1:72" ht="13.5" customHeight="1">
      <c r="A5" s="537" t="str">
        <f ca="1">"画面レイアウト"&amp;"("&amp;MID(CELL("filename"),FIND("]",CELL("filename"))+1,LEN(CELL("filename")))&amp;")"</f>
        <v>画面レイアウト(表紙)</v>
      </c>
      <c r="B5" s="538"/>
      <c r="C5" s="538"/>
      <c r="D5" s="538"/>
      <c r="E5" s="538"/>
      <c r="F5" s="538"/>
      <c r="G5" s="538"/>
      <c r="H5" s="538"/>
      <c r="I5" s="538"/>
      <c r="J5" s="538"/>
      <c r="K5" s="538"/>
      <c r="L5" s="538"/>
      <c r="M5" s="538"/>
      <c r="N5" s="538"/>
      <c r="O5" s="538"/>
      <c r="P5" s="538"/>
      <c r="Q5" s="538"/>
      <c r="R5" s="538"/>
      <c r="S5" s="538"/>
      <c r="T5" s="538"/>
      <c r="U5" s="538"/>
      <c r="V5" s="538"/>
      <c r="W5" s="538"/>
      <c r="X5" s="538"/>
      <c r="Y5" s="538"/>
      <c r="Z5" s="538"/>
      <c r="AA5" s="538"/>
      <c r="AB5" s="538"/>
      <c r="AC5" s="538"/>
      <c r="AD5" s="538"/>
      <c r="AE5" s="538"/>
      <c r="AF5" s="538"/>
      <c r="AG5" s="538"/>
      <c r="AH5" s="538"/>
      <c r="AI5" s="538"/>
      <c r="AJ5" s="538"/>
      <c r="AK5" s="538"/>
      <c r="AL5" s="538"/>
      <c r="AM5" s="538"/>
      <c r="AN5" s="538"/>
      <c r="AO5" s="538"/>
      <c r="AP5" s="538"/>
      <c r="AQ5" s="538"/>
      <c r="AR5" s="538"/>
      <c r="AS5" s="538"/>
      <c r="AT5" s="538"/>
      <c r="AU5" s="538"/>
      <c r="AV5" s="538"/>
      <c r="AW5" s="538"/>
      <c r="AX5" s="538"/>
      <c r="AY5" s="538"/>
      <c r="AZ5" s="538"/>
      <c r="BA5" s="539"/>
      <c r="BB5" s="540" t="s">
        <v>24</v>
      </c>
      <c r="BC5" s="541"/>
      <c r="BD5" s="28"/>
    </row>
    <row r="6" spans="1:72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72" ht="21" customHeight="1">
      <c r="A7" s="393"/>
      <c r="B7" s="437"/>
      <c r="C7" s="442" t="s">
        <v>175</v>
      </c>
      <c r="D7" s="438"/>
      <c r="E7" s="439"/>
      <c r="F7" s="439"/>
      <c r="G7" s="439"/>
      <c r="H7" s="433"/>
      <c r="I7" s="433"/>
      <c r="J7" s="542"/>
      <c r="K7" s="542"/>
      <c r="L7" s="542"/>
      <c r="M7" s="542"/>
      <c r="N7" s="436"/>
      <c r="O7" s="435"/>
      <c r="P7" s="436"/>
      <c r="Q7" s="433"/>
      <c r="R7" s="433"/>
      <c r="S7" s="433"/>
      <c r="T7" s="434"/>
      <c r="U7" s="434"/>
      <c r="V7" s="434"/>
      <c r="W7" s="434"/>
      <c r="X7" s="434"/>
      <c r="Y7" s="435"/>
      <c r="Z7" s="434"/>
      <c r="AA7" s="433"/>
      <c r="AB7" s="435"/>
      <c r="AC7" s="434"/>
      <c r="AD7" s="433"/>
      <c r="AE7" s="435"/>
      <c r="AF7" s="433"/>
      <c r="AG7" s="433"/>
      <c r="AH7" s="435"/>
      <c r="AI7" s="433"/>
      <c r="AJ7" s="433"/>
      <c r="AK7" s="440"/>
      <c r="AL7" s="433"/>
      <c r="AM7" s="433"/>
      <c r="AN7" s="433"/>
      <c r="AO7" s="433"/>
      <c r="AP7" s="433"/>
      <c r="AQ7" s="433"/>
      <c r="AR7" s="433"/>
      <c r="AS7" s="433"/>
      <c r="AT7" s="439"/>
      <c r="AU7" s="439"/>
      <c r="AV7" s="439"/>
      <c r="AW7" s="439"/>
      <c r="AX7" s="439"/>
      <c r="AY7" s="439"/>
      <c r="AZ7" s="441"/>
      <c r="BA7" s="422"/>
      <c r="BB7" s="405"/>
      <c r="BC7" s="406"/>
      <c r="BD7" s="391"/>
      <c r="BE7" s="444" t="s">
        <v>176</v>
      </c>
      <c r="BF7" s="444"/>
      <c r="BG7" s="444"/>
      <c r="BH7" s="444"/>
      <c r="BI7" s="444"/>
      <c r="BJ7" s="444"/>
      <c r="BK7" s="444"/>
      <c r="BL7" s="445"/>
      <c r="BM7" s="445"/>
      <c r="BN7" s="445"/>
      <c r="BO7" s="445"/>
      <c r="BP7" s="445"/>
      <c r="BQ7" s="445"/>
      <c r="BR7" s="445"/>
      <c r="BS7" s="444"/>
      <c r="BT7" s="444"/>
    </row>
    <row r="8" spans="1:72" ht="12.5" customHeight="1">
      <c r="A8" s="393"/>
      <c r="B8" s="418"/>
      <c r="C8" s="427"/>
      <c r="D8" s="428"/>
      <c r="E8" s="421"/>
      <c r="F8" s="421"/>
      <c r="G8" s="421"/>
      <c r="H8" s="431"/>
      <c r="I8" s="431"/>
      <c r="J8" s="431"/>
      <c r="K8" s="431"/>
      <c r="L8" s="431"/>
      <c r="M8" s="431"/>
      <c r="N8" s="431"/>
      <c r="O8" s="431"/>
      <c r="P8" s="431"/>
      <c r="Q8" s="431"/>
      <c r="R8" s="431"/>
      <c r="S8" s="431"/>
      <c r="T8" s="431"/>
      <c r="U8" s="431"/>
      <c r="V8" s="431"/>
      <c r="W8" s="431"/>
      <c r="X8" s="431"/>
      <c r="Y8" s="431"/>
      <c r="Z8" s="431"/>
      <c r="AA8" s="431"/>
      <c r="AB8" s="431"/>
      <c r="AC8" s="431"/>
      <c r="AD8" s="431"/>
      <c r="AE8" s="431"/>
      <c r="AF8" s="431"/>
      <c r="AG8" s="431"/>
      <c r="AH8" s="431"/>
      <c r="AI8" s="431"/>
      <c r="AJ8" s="431"/>
      <c r="AK8" s="431"/>
      <c r="AL8" s="431"/>
      <c r="AM8" s="431"/>
      <c r="AN8" s="431"/>
      <c r="AO8" s="431"/>
      <c r="AP8" s="431"/>
      <c r="AQ8" s="431"/>
      <c r="AR8" s="431"/>
      <c r="AS8" s="432"/>
      <c r="AT8" s="429"/>
      <c r="AU8" s="429"/>
      <c r="AV8" s="429"/>
      <c r="AW8" s="429"/>
      <c r="AX8" s="429"/>
      <c r="AY8" s="429"/>
      <c r="AZ8" s="422"/>
      <c r="BA8" s="422"/>
      <c r="BB8" s="405"/>
      <c r="BC8" s="406"/>
      <c r="BD8" s="391"/>
      <c r="BE8" s="428" t="s">
        <v>217</v>
      </c>
      <c r="BF8" s="428"/>
      <c r="BG8" s="445"/>
      <c r="BH8" s="445"/>
      <c r="BI8" s="445"/>
      <c r="BJ8" s="445"/>
      <c r="BK8" s="445"/>
      <c r="BL8" s="444"/>
      <c r="BM8" s="444"/>
      <c r="BN8" s="444"/>
      <c r="BO8" s="444"/>
      <c r="BP8" s="444"/>
      <c r="BQ8" s="444"/>
      <c r="BR8" s="444"/>
      <c r="BS8" s="444"/>
      <c r="BT8" s="444"/>
    </row>
    <row r="9" spans="1:72" ht="24" customHeight="1">
      <c r="A9" s="393"/>
      <c r="B9" s="394"/>
      <c r="C9" s="411"/>
      <c r="D9" s="411"/>
      <c r="E9" s="411"/>
      <c r="F9" s="411"/>
      <c r="G9" s="411"/>
      <c r="H9" s="411"/>
      <c r="I9" s="411"/>
      <c r="J9" s="411"/>
      <c r="K9" s="411"/>
      <c r="L9" s="411"/>
      <c r="M9" s="411"/>
      <c r="N9" s="411"/>
      <c r="O9" s="411"/>
      <c r="P9" s="411"/>
      <c r="Q9" s="411"/>
      <c r="R9" s="411"/>
      <c r="S9" s="411"/>
      <c r="T9" s="412"/>
      <c r="U9" s="412"/>
      <c r="V9" s="412"/>
      <c r="W9" s="460" t="s">
        <v>174</v>
      </c>
      <c r="X9" s="410"/>
      <c r="Y9" s="410"/>
      <c r="Z9" s="412"/>
      <c r="AA9" s="412"/>
      <c r="AB9" s="414"/>
      <c r="AC9" s="412"/>
      <c r="AD9" s="415"/>
      <c r="AE9" s="415"/>
      <c r="AF9" s="415"/>
      <c r="AG9" s="415"/>
      <c r="AH9" s="415"/>
      <c r="AI9" s="411"/>
      <c r="AJ9" s="412"/>
      <c r="AK9" s="412"/>
      <c r="AL9" s="412"/>
      <c r="AM9" s="412"/>
      <c r="AN9" s="416"/>
      <c r="AO9" s="413"/>
      <c r="AP9" s="413"/>
      <c r="AQ9" s="412"/>
      <c r="AR9" s="412"/>
      <c r="AS9" s="412"/>
      <c r="AT9" s="412"/>
      <c r="AU9" s="412"/>
      <c r="AV9" s="412"/>
      <c r="AW9" s="412"/>
      <c r="AX9" s="412"/>
      <c r="AY9" s="412"/>
      <c r="AZ9" s="396"/>
      <c r="BA9" s="396"/>
      <c r="BB9" s="389"/>
      <c r="BC9" s="390"/>
      <c r="BD9" s="391"/>
      <c r="BE9" s="445"/>
      <c r="BF9" s="428" t="s">
        <v>218</v>
      </c>
      <c r="BG9" s="428"/>
      <c r="BH9" s="428"/>
      <c r="BI9" s="445"/>
      <c r="BJ9" s="445"/>
      <c r="BK9" s="445"/>
      <c r="BL9" s="444"/>
      <c r="BM9" s="444"/>
      <c r="BN9" s="444"/>
      <c r="BO9" s="444"/>
      <c r="BP9" s="444"/>
      <c r="BQ9" s="444"/>
      <c r="BR9" s="444"/>
      <c r="BS9" s="444"/>
      <c r="BT9" s="444"/>
    </row>
    <row r="10" spans="1:72" ht="12" customHeight="1">
      <c r="A10" s="393"/>
      <c r="B10" s="401"/>
      <c r="C10" s="402"/>
      <c r="D10" s="391"/>
      <c r="E10" s="391"/>
      <c r="F10" s="391"/>
      <c r="G10" s="391"/>
      <c r="H10" s="403"/>
      <c r="I10" s="398"/>
      <c r="J10" s="397"/>
      <c r="K10" s="398"/>
      <c r="L10" s="397"/>
      <c r="M10" s="404"/>
      <c r="N10" s="404"/>
      <c r="O10" s="400"/>
      <c r="P10" s="404"/>
      <c r="Q10" s="400"/>
      <c r="R10" s="404"/>
      <c r="S10" s="392"/>
      <c r="T10" s="391"/>
      <c r="U10" s="391"/>
      <c r="V10" s="391"/>
      <c r="W10" s="391"/>
      <c r="X10" s="391"/>
      <c r="Y10" s="403"/>
      <c r="Z10" s="398"/>
      <c r="AA10" s="397"/>
      <c r="AB10" s="398"/>
      <c r="AC10" s="397"/>
      <c r="AD10" s="404"/>
      <c r="AE10" s="404"/>
      <c r="AF10" s="400"/>
      <c r="AG10" s="404"/>
      <c r="AH10" s="404"/>
      <c r="AI10" s="399"/>
      <c r="AJ10" s="404"/>
      <c r="AK10" s="400"/>
      <c r="AL10" s="391"/>
      <c r="AM10" s="391"/>
      <c r="AN10" s="391"/>
      <c r="AO10" s="391"/>
      <c r="AP10" s="391"/>
      <c r="AQ10" s="391"/>
      <c r="AR10" s="391"/>
      <c r="AS10" s="397"/>
      <c r="AT10" s="399"/>
      <c r="AU10" s="397"/>
      <c r="AV10" s="400"/>
      <c r="AW10" s="400"/>
      <c r="AX10" s="400"/>
      <c r="AY10" s="395"/>
      <c r="AZ10" s="396"/>
      <c r="BA10" s="396"/>
      <c r="BB10" s="389"/>
      <c r="BC10" s="390"/>
      <c r="BD10" s="391"/>
      <c r="BE10" s="428"/>
      <c r="BF10" s="428"/>
      <c r="BG10" s="428" t="s">
        <v>219</v>
      </c>
      <c r="BH10" s="446"/>
      <c r="BI10" s="445"/>
      <c r="BJ10" s="445"/>
      <c r="BK10" s="445"/>
      <c r="BL10" s="444"/>
      <c r="BM10" s="444"/>
      <c r="BN10" s="444"/>
      <c r="BO10" s="444"/>
      <c r="BP10" s="444"/>
      <c r="BQ10" s="444"/>
      <c r="BR10" s="444"/>
      <c r="BS10" s="444"/>
      <c r="BT10" s="444"/>
    </row>
    <row r="11" spans="1:72" ht="12.5" customHeight="1">
      <c r="A11" s="393"/>
      <c r="B11" s="394"/>
      <c r="C11" s="391"/>
      <c r="D11" s="391"/>
      <c r="E11" s="391"/>
      <c r="F11" s="392"/>
      <c r="G11" s="421"/>
      <c r="H11" s="431"/>
      <c r="I11" s="431"/>
      <c r="J11" s="431"/>
      <c r="K11" s="431"/>
      <c r="L11" s="431"/>
      <c r="M11" s="431"/>
      <c r="N11" s="431"/>
      <c r="O11" s="431"/>
      <c r="P11" s="431"/>
      <c r="Q11" s="431"/>
      <c r="R11" s="431"/>
      <c r="S11" s="431"/>
      <c r="T11" s="431"/>
      <c r="U11" s="431"/>
      <c r="V11" s="431"/>
      <c r="W11" s="431"/>
      <c r="X11" s="431"/>
      <c r="Y11" s="431"/>
      <c r="Z11" s="431"/>
      <c r="AA11" s="431"/>
      <c r="AB11" s="431"/>
      <c r="AC11" s="431"/>
      <c r="AD11" s="431"/>
      <c r="AE11" s="431"/>
      <c r="AF11" s="431"/>
      <c r="AG11" s="431"/>
      <c r="AH11" s="431"/>
      <c r="AI11" s="431"/>
      <c r="AJ11" s="431"/>
      <c r="AK11" s="431"/>
      <c r="AL11" s="431"/>
      <c r="AM11" s="431"/>
      <c r="AN11" s="431"/>
      <c r="AO11" s="431"/>
      <c r="AP11" s="431"/>
      <c r="AQ11" s="431"/>
      <c r="AR11" s="431"/>
      <c r="AS11" s="431"/>
      <c r="AT11" s="425"/>
      <c r="AU11" s="421"/>
      <c r="AV11" s="400"/>
      <c r="AW11" s="400"/>
      <c r="AX11" s="400"/>
      <c r="AY11" s="395"/>
      <c r="AZ11" s="396"/>
      <c r="BA11" s="396"/>
      <c r="BB11" s="389"/>
      <c r="BC11" s="390"/>
      <c r="BD11" s="391"/>
      <c r="BE11" s="428"/>
      <c r="BF11" s="428"/>
      <c r="BG11" s="428" t="s">
        <v>220</v>
      </c>
      <c r="BH11" s="446"/>
      <c r="BI11" s="428"/>
      <c r="BJ11" s="445"/>
      <c r="BK11" s="445"/>
      <c r="BL11" s="444"/>
      <c r="BM11" s="444"/>
      <c r="BN11" s="444"/>
      <c r="BO11" s="444"/>
      <c r="BP11" s="444"/>
      <c r="BQ11" s="444"/>
      <c r="BR11" s="444"/>
      <c r="BS11" s="444"/>
      <c r="BT11" s="444"/>
    </row>
    <row r="12" spans="1:72" ht="12.5" customHeight="1">
      <c r="A12" s="393"/>
      <c r="B12" s="418"/>
      <c r="C12" s="417"/>
      <c r="D12" s="424" t="s">
        <v>200</v>
      </c>
      <c r="E12" s="419"/>
      <c r="F12" s="419"/>
      <c r="G12" s="421"/>
      <c r="H12" s="431"/>
      <c r="I12" s="431"/>
      <c r="J12" s="431"/>
      <c r="K12" s="431"/>
      <c r="L12" s="431"/>
      <c r="M12" s="431"/>
      <c r="N12" s="431"/>
      <c r="O12" s="431"/>
      <c r="P12" s="431"/>
      <c r="Q12" s="431"/>
      <c r="R12" s="431"/>
      <c r="S12" s="431"/>
      <c r="T12" s="431"/>
      <c r="U12" s="431"/>
      <c r="V12" s="431"/>
      <c r="W12" s="431"/>
      <c r="X12" s="431"/>
      <c r="Y12" s="431"/>
      <c r="Z12" s="431"/>
      <c r="AA12" s="431"/>
      <c r="AB12" s="431"/>
      <c r="AC12" s="431"/>
      <c r="AD12" s="431"/>
      <c r="AE12" s="431"/>
      <c r="AF12" s="431"/>
      <c r="AG12" s="431"/>
      <c r="AH12" s="431"/>
      <c r="AI12" s="431"/>
      <c r="AJ12" s="431"/>
      <c r="AK12" s="431"/>
      <c r="AL12" s="431"/>
      <c r="AM12" s="431"/>
      <c r="AN12" s="431"/>
      <c r="AO12" s="431"/>
      <c r="AP12" s="431"/>
      <c r="AQ12" s="431"/>
      <c r="AR12" s="431"/>
      <c r="AS12" s="431"/>
      <c r="AT12" s="425"/>
      <c r="AU12" s="421"/>
      <c r="AV12" s="417"/>
      <c r="AW12" s="417"/>
      <c r="AX12" s="421"/>
      <c r="AY12" s="417"/>
      <c r="AZ12" s="422"/>
      <c r="BA12" s="422"/>
      <c r="BB12" s="389"/>
      <c r="BC12" s="390"/>
      <c r="BD12" s="391"/>
      <c r="BE12" s="444"/>
      <c r="BF12" s="444"/>
      <c r="BG12" s="447"/>
      <c r="BH12" s="444"/>
      <c r="BI12" s="444"/>
      <c r="BJ12" s="444"/>
      <c r="BK12" s="444"/>
      <c r="BL12" s="444"/>
      <c r="BM12" s="444"/>
      <c r="BN12" s="444"/>
      <c r="BO12" s="444"/>
      <c r="BP12" s="444"/>
      <c r="BQ12" s="444"/>
      <c r="BR12" s="444"/>
      <c r="BS12" s="444"/>
      <c r="BT12" s="444"/>
    </row>
    <row r="13" spans="1:72" ht="12.5" customHeight="1">
      <c r="A13" s="393"/>
      <c r="B13" s="418"/>
      <c r="C13" s="423"/>
      <c r="D13" s="419"/>
      <c r="E13" s="419"/>
      <c r="F13" s="419"/>
      <c r="G13" s="421"/>
      <c r="H13" s="431"/>
      <c r="I13" s="431"/>
      <c r="J13" s="431"/>
      <c r="K13" s="431"/>
      <c r="L13" s="431"/>
      <c r="M13" s="431"/>
      <c r="N13" s="431"/>
      <c r="O13" s="431"/>
      <c r="P13" s="431"/>
      <c r="Q13" s="431"/>
      <c r="R13" s="431"/>
      <c r="S13" s="431"/>
      <c r="T13" s="431"/>
      <c r="U13" s="431"/>
      <c r="V13" s="431"/>
      <c r="W13" s="431"/>
      <c r="X13" s="431"/>
      <c r="Y13" s="431"/>
      <c r="Z13" s="431"/>
      <c r="AA13" s="431"/>
      <c r="AB13" s="431"/>
      <c r="AC13" s="431"/>
      <c r="AD13" s="431"/>
      <c r="AE13" s="431"/>
      <c r="AF13" s="431"/>
      <c r="AG13" s="431"/>
      <c r="AH13" s="431"/>
      <c r="AI13" s="431"/>
      <c r="AJ13" s="431"/>
      <c r="AK13" s="431"/>
      <c r="AL13" s="431"/>
      <c r="AM13" s="431"/>
      <c r="AN13" s="431"/>
      <c r="AO13" s="431"/>
      <c r="AP13" s="431"/>
      <c r="AQ13" s="431"/>
      <c r="AR13" s="431"/>
      <c r="AS13" s="431"/>
      <c r="AT13" s="425"/>
      <c r="AU13" s="421"/>
      <c r="AV13" s="421"/>
      <c r="AW13" s="421"/>
      <c r="AX13" s="421"/>
      <c r="AY13" s="417"/>
      <c r="AZ13" s="422"/>
      <c r="BA13" s="422"/>
      <c r="BB13" s="389"/>
      <c r="BC13" s="390"/>
      <c r="BD13" s="391"/>
      <c r="BE13" s="428" t="s">
        <v>221</v>
      </c>
      <c r="BF13" s="444"/>
      <c r="BG13" s="444"/>
      <c r="BH13" s="444"/>
      <c r="BI13" s="444"/>
      <c r="BJ13" s="444"/>
      <c r="BK13" s="444"/>
      <c r="BL13" s="444"/>
      <c r="BM13" s="444"/>
      <c r="BN13" s="444"/>
      <c r="BO13" s="444"/>
      <c r="BP13" s="444"/>
      <c r="BQ13" s="444"/>
      <c r="BR13" s="444"/>
      <c r="BS13" s="444"/>
      <c r="BT13" s="444"/>
    </row>
    <row r="14" spans="1:72" ht="12.5" customHeight="1">
      <c r="A14" s="393"/>
      <c r="B14" s="418"/>
      <c r="C14" s="424"/>
      <c r="D14" s="462"/>
      <c r="E14" s="462"/>
      <c r="F14" s="462"/>
      <c r="G14" s="462"/>
      <c r="H14" s="462"/>
      <c r="I14" s="462"/>
      <c r="J14" s="462"/>
      <c r="K14" s="462"/>
      <c r="L14" s="462"/>
      <c r="M14" s="462"/>
      <c r="N14" s="462"/>
      <c r="O14" s="462"/>
      <c r="P14" s="462"/>
      <c r="Q14" s="462"/>
      <c r="R14" s="462"/>
      <c r="S14" s="462"/>
      <c r="T14" s="462"/>
      <c r="U14" s="462"/>
      <c r="V14" s="462"/>
      <c r="W14" s="462"/>
      <c r="X14" s="462"/>
      <c r="Y14" s="462"/>
      <c r="Z14" s="462"/>
      <c r="AA14" s="462"/>
      <c r="AB14" s="462"/>
      <c r="AC14" s="462"/>
      <c r="AD14" s="462"/>
      <c r="AE14" s="462"/>
      <c r="AF14" s="462"/>
      <c r="AG14" s="462"/>
      <c r="AH14" s="462"/>
      <c r="AI14" s="462"/>
      <c r="AJ14" s="462"/>
      <c r="AK14" s="462"/>
      <c r="AL14" s="462"/>
      <c r="AM14" s="462"/>
      <c r="AN14" s="462"/>
      <c r="AO14" s="462"/>
      <c r="AP14" s="462"/>
      <c r="AQ14" s="462"/>
      <c r="AR14" s="462"/>
      <c r="AS14" s="431"/>
      <c r="AT14" s="425"/>
      <c r="AU14" s="421"/>
      <c r="AV14" s="421"/>
      <c r="AW14" s="421"/>
      <c r="AX14" s="421"/>
      <c r="AY14" s="417"/>
      <c r="AZ14" s="422"/>
      <c r="BA14" s="422"/>
      <c r="BB14" s="389"/>
      <c r="BC14" s="390"/>
      <c r="BD14" s="391"/>
      <c r="BE14" s="444"/>
      <c r="BF14" s="428" t="s">
        <v>222</v>
      </c>
      <c r="BG14" s="428"/>
      <c r="BH14" s="444"/>
      <c r="BI14" s="444"/>
      <c r="BJ14" s="444"/>
      <c r="BK14" s="444"/>
      <c r="BL14" s="444"/>
      <c r="BM14" s="444"/>
      <c r="BN14" s="444"/>
      <c r="BO14" s="444"/>
      <c r="BP14" s="444"/>
      <c r="BQ14" s="444"/>
      <c r="BR14" s="444"/>
      <c r="BS14" s="444"/>
      <c r="BT14" s="444"/>
    </row>
    <row r="15" spans="1:72" ht="12.5" customHeight="1">
      <c r="A15" s="393"/>
      <c r="B15" s="418"/>
      <c r="C15" s="417"/>
      <c r="D15" s="461" t="s">
        <v>201</v>
      </c>
      <c r="E15" s="461"/>
      <c r="F15" s="461"/>
      <c r="G15" s="461"/>
      <c r="H15" s="461"/>
      <c r="I15" s="461"/>
      <c r="J15" s="461"/>
      <c r="K15" s="461"/>
      <c r="L15" s="461"/>
      <c r="M15" s="461"/>
      <c r="N15" s="461"/>
      <c r="O15" s="461"/>
      <c r="P15" s="461"/>
      <c r="Q15" s="461"/>
      <c r="R15" s="461"/>
      <c r="S15" s="461"/>
      <c r="T15" s="461"/>
      <c r="U15" s="461"/>
      <c r="V15" s="461"/>
      <c r="W15" s="461"/>
      <c r="X15" s="461"/>
      <c r="Y15" s="461"/>
      <c r="Z15" s="461"/>
      <c r="AA15" s="461"/>
      <c r="AB15" s="461"/>
      <c r="AC15" s="461"/>
      <c r="AD15" s="461"/>
      <c r="AE15" s="461"/>
      <c r="AF15" s="461"/>
      <c r="AG15" s="461"/>
      <c r="AH15" s="461"/>
      <c r="AI15" s="461"/>
      <c r="AJ15" s="461"/>
      <c r="AK15" s="461"/>
      <c r="AL15" s="462"/>
      <c r="AM15" s="462"/>
      <c r="AN15" s="462"/>
      <c r="AO15" s="462"/>
      <c r="AP15" s="462"/>
      <c r="AQ15" s="462"/>
      <c r="AR15" s="462"/>
      <c r="AS15" s="431"/>
      <c r="AT15" s="425"/>
      <c r="AU15" s="421"/>
      <c r="AV15" s="417"/>
      <c r="AW15" s="417"/>
      <c r="AX15" s="421"/>
      <c r="AY15" s="417"/>
      <c r="AZ15" s="422"/>
      <c r="BA15" s="422"/>
      <c r="BB15" s="389"/>
      <c r="BC15" s="390"/>
      <c r="BD15" s="391"/>
      <c r="BE15" s="444"/>
      <c r="BF15" s="428" t="s">
        <v>223</v>
      </c>
      <c r="BG15" s="428"/>
      <c r="BH15" s="444"/>
      <c r="BI15" s="444"/>
      <c r="BJ15" s="444"/>
      <c r="BK15" s="444"/>
      <c r="BL15" s="444"/>
      <c r="BM15" s="444"/>
      <c r="BN15" s="444"/>
      <c r="BO15" s="444"/>
      <c r="BP15" s="444"/>
      <c r="BQ15" s="444"/>
      <c r="BR15" s="444"/>
      <c r="BS15" s="444"/>
      <c r="BT15" s="444"/>
    </row>
    <row r="16" spans="1:72" ht="12.5" customHeight="1">
      <c r="A16" s="393"/>
      <c r="B16" s="418"/>
      <c r="C16" s="417"/>
      <c r="D16" s="464"/>
      <c r="E16" s="464"/>
      <c r="F16" s="464"/>
      <c r="G16" s="464"/>
      <c r="H16" s="464"/>
      <c r="I16" s="464"/>
      <c r="J16" s="464"/>
      <c r="K16" s="464"/>
      <c r="L16" s="464"/>
      <c r="M16" s="464"/>
      <c r="N16" s="464"/>
      <c r="O16" s="464"/>
      <c r="P16" s="464"/>
      <c r="Q16" s="464"/>
      <c r="R16" s="464"/>
      <c r="S16" s="464"/>
      <c r="T16" s="464"/>
      <c r="U16" s="464"/>
      <c r="V16" s="464"/>
      <c r="W16" s="464"/>
      <c r="X16" s="464"/>
      <c r="Y16" s="464"/>
      <c r="Z16" s="464"/>
      <c r="AA16" s="464"/>
      <c r="AB16" s="464"/>
      <c r="AC16" s="464"/>
      <c r="AD16" s="464"/>
      <c r="AE16" s="464"/>
      <c r="AF16" s="464"/>
      <c r="AG16" s="464"/>
      <c r="AH16" s="464"/>
      <c r="AI16" s="464"/>
      <c r="AJ16" s="464"/>
      <c r="AK16" s="464"/>
      <c r="AL16" s="463"/>
      <c r="AM16" s="463"/>
      <c r="AN16" s="463"/>
      <c r="AO16" s="463"/>
      <c r="AP16" s="463"/>
      <c r="AQ16" s="463"/>
      <c r="AR16" s="463"/>
      <c r="AS16" s="431"/>
      <c r="AT16" s="425"/>
      <c r="AU16" s="421"/>
      <c r="AV16" s="421"/>
      <c r="AW16" s="421"/>
      <c r="AX16" s="421"/>
      <c r="AY16" s="417"/>
      <c r="AZ16" s="422"/>
      <c r="BA16" s="422"/>
      <c r="BB16" s="389"/>
      <c r="BC16" s="390"/>
      <c r="BD16" s="391"/>
      <c r="BE16" s="447"/>
      <c r="BF16" s="428"/>
      <c r="BG16" s="428"/>
      <c r="BH16" s="444"/>
      <c r="BI16" s="444"/>
      <c r="BJ16" s="444"/>
      <c r="BK16" s="444"/>
      <c r="BL16" s="444"/>
      <c r="BM16" s="444"/>
      <c r="BN16" s="444"/>
      <c r="BO16" s="444"/>
      <c r="BP16" s="444"/>
      <c r="BQ16" s="444"/>
      <c r="BR16" s="444"/>
      <c r="BS16" s="444"/>
      <c r="BT16" s="444"/>
    </row>
    <row r="17" spans="1:72" ht="12.5" customHeight="1">
      <c r="A17" s="393"/>
      <c r="B17" s="418"/>
      <c r="C17" s="417"/>
      <c r="D17" s="464" t="s">
        <v>202</v>
      </c>
      <c r="E17" s="464"/>
      <c r="F17" s="464"/>
      <c r="G17" s="464"/>
      <c r="H17" s="464"/>
      <c r="I17" s="464"/>
      <c r="J17" s="464"/>
      <c r="K17" s="464"/>
      <c r="L17" s="464"/>
      <c r="M17" s="464"/>
      <c r="N17" s="464"/>
      <c r="O17" s="464"/>
      <c r="P17" s="464"/>
      <c r="Q17" s="464"/>
      <c r="R17" s="464"/>
      <c r="S17" s="464"/>
      <c r="T17" s="464"/>
      <c r="U17" s="464"/>
      <c r="V17" s="464"/>
      <c r="W17" s="464"/>
      <c r="X17" s="464"/>
      <c r="Y17" s="464"/>
      <c r="Z17" s="464"/>
      <c r="AA17" s="464"/>
      <c r="AB17" s="464"/>
      <c r="AC17" s="464"/>
      <c r="AD17" s="464"/>
      <c r="AE17" s="464"/>
      <c r="AF17" s="464"/>
      <c r="AG17" s="464"/>
      <c r="AH17" s="464"/>
      <c r="AI17" s="464"/>
      <c r="AJ17" s="464"/>
      <c r="AK17" s="464"/>
      <c r="AL17" s="463"/>
      <c r="AM17" s="463"/>
      <c r="AN17" s="463"/>
      <c r="AO17" s="463"/>
      <c r="AP17" s="463"/>
      <c r="AQ17" s="463"/>
      <c r="AR17" s="463"/>
      <c r="AS17" s="431"/>
      <c r="AT17" s="425"/>
      <c r="AU17" s="421"/>
      <c r="AV17" s="421"/>
      <c r="AW17" s="421"/>
      <c r="AX17" s="421"/>
      <c r="AY17" s="417"/>
      <c r="AZ17" s="422"/>
      <c r="BA17" s="422"/>
      <c r="BB17" s="389"/>
      <c r="BC17" s="390"/>
      <c r="BD17" s="391"/>
      <c r="BE17" s="444"/>
      <c r="BF17" s="444" t="s">
        <v>224</v>
      </c>
      <c r="BG17" s="444"/>
      <c r="BH17" s="444"/>
      <c r="BI17" s="444"/>
      <c r="BJ17" s="444"/>
      <c r="BK17" s="444"/>
      <c r="BL17" s="444"/>
      <c r="BM17" s="444"/>
      <c r="BN17" s="444"/>
      <c r="BO17" s="444"/>
      <c r="BP17" s="444"/>
      <c r="BQ17" s="444"/>
      <c r="BR17" s="444"/>
      <c r="BS17" s="444"/>
      <c r="BT17" s="444"/>
    </row>
    <row r="18" spans="1:72" ht="12.5" customHeight="1">
      <c r="A18" s="393"/>
      <c r="B18" s="418"/>
      <c r="C18" s="417"/>
      <c r="D18" s="464" t="s">
        <v>203</v>
      </c>
      <c r="E18" s="464"/>
      <c r="F18" s="464"/>
      <c r="G18" s="464"/>
      <c r="H18" s="464"/>
      <c r="I18" s="464"/>
      <c r="J18" s="464"/>
      <c r="K18" s="464"/>
      <c r="L18" s="464"/>
      <c r="M18" s="464"/>
      <c r="N18" s="464"/>
      <c r="O18" s="464"/>
      <c r="P18" s="464"/>
      <c r="Q18" s="464"/>
      <c r="R18" s="464"/>
      <c r="S18" s="464"/>
      <c r="T18" s="464"/>
      <c r="U18" s="464"/>
      <c r="V18" s="464"/>
      <c r="W18" s="464"/>
      <c r="X18" s="464"/>
      <c r="Y18" s="464"/>
      <c r="Z18" s="464"/>
      <c r="AA18" s="464"/>
      <c r="AB18" s="464"/>
      <c r="AC18" s="464"/>
      <c r="AD18" s="464"/>
      <c r="AE18" s="464"/>
      <c r="AF18" s="464"/>
      <c r="AG18" s="464"/>
      <c r="AH18" s="464"/>
      <c r="AI18" s="464"/>
      <c r="AJ18" s="464"/>
      <c r="AK18" s="464"/>
      <c r="AL18" s="463"/>
      <c r="AM18" s="463"/>
      <c r="AN18" s="463"/>
      <c r="AO18" s="463"/>
      <c r="AP18" s="463"/>
      <c r="AQ18" s="463"/>
      <c r="AR18" s="463"/>
      <c r="AS18" s="431"/>
      <c r="AT18" s="425"/>
      <c r="AU18" s="421"/>
      <c r="AV18" s="421"/>
      <c r="AW18" s="421"/>
      <c r="AX18" s="421"/>
      <c r="AY18" s="417"/>
      <c r="AZ18" s="422"/>
      <c r="BA18" s="422"/>
      <c r="BB18" s="389"/>
      <c r="BC18" s="390"/>
      <c r="BD18" s="391"/>
      <c r="BE18" s="444"/>
      <c r="BF18" s="444"/>
      <c r="BG18" s="444" t="s">
        <v>225</v>
      </c>
      <c r="BH18" s="444"/>
      <c r="BI18" s="444"/>
      <c r="BJ18" s="444"/>
      <c r="BK18" s="444"/>
      <c r="BL18" s="444"/>
      <c r="BM18" s="444"/>
      <c r="BN18" s="444"/>
      <c r="BO18" s="444"/>
      <c r="BP18" s="444"/>
      <c r="BQ18" s="444"/>
      <c r="BR18" s="444"/>
      <c r="BS18" s="444"/>
      <c r="BT18" s="444"/>
    </row>
    <row r="19" spans="1:72" ht="12.5" customHeight="1">
      <c r="A19" s="393"/>
      <c r="B19" s="418"/>
      <c r="C19" s="423"/>
      <c r="D19" s="464" t="s">
        <v>204</v>
      </c>
      <c r="E19" s="464"/>
      <c r="F19" s="464"/>
      <c r="G19" s="464"/>
      <c r="H19" s="464"/>
      <c r="I19" s="464"/>
      <c r="J19" s="464"/>
      <c r="K19" s="464"/>
      <c r="L19" s="464"/>
      <c r="M19" s="464"/>
      <c r="N19" s="464"/>
      <c r="O19" s="464"/>
      <c r="P19" s="464"/>
      <c r="Q19" s="464"/>
      <c r="R19" s="464"/>
      <c r="S19" s="464"/>
      <c r="T19" s="464"/>
      <c r="U19" s="464"/>
      <c r="V19" s="464"/>
      <c r="W19" s="464"/>
      <c r="X19" s="464"/>
      <c r="Y19" s="464"/>
      <c r="Z19" s="464"/>
      <c r="AA19" s="464"/>
      <c r="AB19" s="464"/>
      <c r="AC19" s="464"/>
      <c r="AD19" s="464"/>
      <c r="AE19" s="464"/>
      <c r="AF19" s="464"/>
      <c r="AG19" s="464"/>
      <c r="AH19" s="464"/>
      <c r="AI19" s="464"/>
      <c r="AJ19" s="464"/>
      <c r="AK19" s="464"/>
      <c r="AL19" s="463"/>
      <c r="AM19" s="463"/>
      <c r="AN19" s="463"/>
      <c r="AO19" s="463"/>
      <c r="AP19" s="463"/>
      <c r="AQ19" s="463"/>
      <c r="AR19" s="463"/>
      <c r="AS19" s="431"/>
      <c r="AT19" s="425"/>
      <c r="AU19" s="421"/>
      <c r="AV19" s="421"/>
      <c r="AW19" s="421"/>
      <c r="AX19" s="421"/>
      <c r="AY19" s="417"/>
      <c r="AZ19" s="422"/>
      <c r="BA19" s="422"/>
      <c r="BB19" s="389"/>
      <c r="BC19" s="390"/>
      <c r="BD19" s="391"/>
      <c r="BE19" s="444"/>
      <c r="BF19" s="444"/>
      <c r="BG19" s="444" t="s">
        <v>226</v>
      </c>
      <c r="BH19" s="444"/>
      <c r="BI19" s="444"/>
      <c r="BJ19" s="444"/>
      <c r="BK19" s="444"/>
      <c r="BL19" s="444"/>
      <c r="BM19" s="444"/>
      <c r="BN19" s="444"/>
      <c r="BO19" s="444"/>
      <c r="BP19" s="444"/>
      <c r="BQ19" s="444"/>
      <c r="BR19" s="444"/>
      <c r="BS19" s="444"/>
      <c r="BT19" s="444"/>
    </row>
    <row r="20" spans="1:72" ht="12.5" customHeight="1">
      <c r="A20" s="393"/>
      <c r="B20" s="418"/>
      <c r="C20" s="417"/>
      <c r="D20" s="464" t="s">
        <v>205</v>
      </c>
      <c r="E20" s="464"/>
      <c r="F20" s="464"/>
      <c r="G20" s="464"/>
      <c r="H20" s="464"/>
      <c r="I20" s="464"/>
      <c r="J20" s="464"/>
      <c r="K20" s="464"/>
      <c r="L20" s="464"/>
      <c r="M20" s="464"/>
      <c r="N20" s="464"/>
      <c r="O20" s="464"/>
      <c r="P20" s="464"/>
      <c r="Q20" s="464"/>
      <c r="R20" s="464"/>
      <c r="S20" s="464"/>
      <c r="T20" s="464"/>
      <c r="U20" s="464"/>
      <c r="V20" s="464"/>
      <c r="W20" s="464"/>
      <c r="X20" s="464"/>
      <c r="Y20" s="464"/>
      <c r="Z20" s="464"/>
      <c r="AA20" s="464"/>
      <c r="AB20" s="464"/>
      <c r="AC20" s="464"/>
      <c r="AD20" s="464"/>
      <c r="AE20" s="464"/>
      <c r="AF20" s="464"/>
      <c r="AG20" s="464"/>
      <c r="AH20" s="464"/>
      <c r="AI20" s="464"/>
      <c r="AJ20" s="464"/>
      <c r="AK20" s="464"/>
      <c r="AL20" s="463"/>
      <c r="AM20" s="463"/>
      <c r="AN20" s="463"/>
      <c r="AO20" s="463"/>
      <c r="AP20" s="463"/>
      <c r="AQ20" s="463"/>
      <c r="AR20" s="463"/>
      <c r="AS20" s="431"/>
      <c r="AT20" s="425"/>
      <c r="AU20" s="421"/>
      <c r="AV20" s="421"/>
      <c r="AW20" s="421"/>
      <c r="AX20" s="421"/>
      <c r="AY20" s="417"/>
      <c r="AZ20" s="422"/>
      <c r="BA20" s="422"/>
      <c r="BB20" s="389"/>
      <c r="BC20" s="390"/>
      <c r="BD20" s="392"/>
      <c r="BE20" s="444"/>
      <c r="BF20" s="444"/>
      <c r="BG20" s="444" t="s">
        <v>227</v>
      </c>
      <c r="BH20" s="444"/>
      <c r="BI20" s="444"/>
      <c r="BJ20" s="444"/>
      <c r="BK20" s="444"/>
      <c r="BL20" s="444"/>
      <c r="BM20" s="444"/>
      <c r="BN20" s="444"/>
      <c r="BO20" s="444"/>
      <c r="BP20" s="444"/>
      <c r="BQ20" s="444"/>
      <c r="BR20" s="444"/>
      <c r="BS20" s="444"/>
      <c r="BT20" s="444"/>
    </row>
    <row r="21" spans="1:72" ht="12.5" customHeight="1">
      <c r="A21" s="393"/>
      <c r="B21" s="418"/>
      <c r="C21" s="427"/>
      <c r="D21" s="464"/>
      <c r="E21" s="464"/>
      <c r="F21" s="464"/>
      <c r="G21" s="464"/>
      <c r="H21" s="464"/>
      <c r="I21" s="464"/>
      <c r="J21" s="464"/>
      <c r="K21" s="464"/>
      <c r="L21" s="464"/>
      <c r="M21" s="464"/>
      <c r="N21" s="464"/>
      <c r="O21" s="464"/>
      <c r="P21" s="464"/>
      <c r="Q21" s="464"/>
      <c r="R21" s="464"/>
      <c r="S21" s="464"/>
      <c r="T21" s="464"/>
      <c r="U21" s="464"/>
      <c r="V21" s="464"/>
      <c r="W21" s="464"/>
      <c r="X21" s="464"/>
      <c r="Y21" s="464"/>
      <c r="Z21" s="464"/>
      <c r="AA21" s="464"/>
      <c r="AB21" s="464"/>
      <c r="AC21" s="464"/>
      <c r="AD21" s="464"/>
      <c r="AE21" s="464"/>
      <c r="AF21" s="464"/>
      <c r="AG21" s="464"/>
      <c r="AH21" s="464"/>
      <c r="AI21" s="464"/>
      <c r="AJ21" s="464"/>
      <c r="AK21" s="464"/>
      <c r="AL21" s="463"/>
      <c r="AM21" s="463"/>
      <c r="AN21" s="463"/>
      <c r="AO21" s="463"/>
      <c r="AP21" s="463"/>
      <c r="AQ21" s="463"/>
      <c r="AR21" s="463"/>
      <c r="AS21" s="431"/>
      <c r="AT21" s="421"/>
      <c r="AU21" s="421"/>
      <c r="AV21" s="421"/>
      <c r="AW21" s="421"/>
      <c r="AX21" s="421"/>
      <c r="AY21" s="421"/>
      <c r="AZ21" s="422"/>
      <c r="BA21" s="422"/>
      <c r="BB21" s="405"/>
      <c r="BC21" s="406"/>
      <c r="BD21" s="391"/>
      <c r="BE21" s="444"/>
      <c r="BF21" s="444"/>
      <c r="BG21" s="444" t="s">
        <v>228</v>
      </c>
      <c r="BH21" s="444"/>
      <c r="BI21" s="444"/>
      <c r="BJ21" s="444"/>
      <c r="BK21" s="444"/>
      <c r="BL21" s="444"/>
      <c r="BM21" s="444"/>
      <c r="BN21" s="444"/>
      <c r="BO21" s="444"/>
      <c r="BP21" s="444"/>
      <c r="BQ21" s="444"/>
      <c r="BR21" s="444"/>
      <c r="BS21" s="444"/>
      <c r="BT21" s="444"/>
    </row>
    <row r="22" spans="1:72" ht="12.5" customHeight="1">
      <c r="A22" s="393"/>
      <c r="B22" s="418"/>
      <c r="C22" s="427"/>
      <c r="D22" s="464" t="s">
        <v>207</v>
      </c>
      <c r="E22" s="464"/>
      <c r="F22" s="464"/>
      <c r="G22" s="464"/>
      <c r="H22" s="464"/>
      <c r="I22" s="464"/>
      <c r="J22" s="464"/>
      <c r="K22" s="464"/>
      <c r="L22" s="464"/>
      <c r="M22" s="464"/>
      <c r="N22" s="464"/>
      <c r="O22" s="464"/>
      <c r="P22" s="464"/>
      <c r="Q22" s="464"/>
      <c r="R22" s="464"/>
      <c r="S22" s="464"/>
      <c r="T22" s="464"/>
      <c r="U22" s="464"/>
      <c r="V22" s="464"/>
      <c r="W22" s="464"/>
      <c r="X22" s="464"/>
      <c r="Y22" s="464"/>
      <c r="Z22" s="464"/>
      <c r="AA22" s="464"/>
      <c r="AB22" s="464"/>
      <c r="AC22" s="464"/>
      <c r="AD22" s="464"/>
      <c r="AE22" s="464"/>
      <c r="AF22" s="464"/>
      <c r="AG22" s="464"/>
      <c r="AH22" s="464"/>
      <c r="AI22" s="464"/>
      <c r="AJ22" s="464"/>
      <c r="AK22" s="464"/>
      <c r="AL22" s="463"/>
      <c r="AM22" s="463"/>
      <c r="AN22" s="463"/>
      <c r="AO22" s="463"/>
      <c r="AP22" s="463"/>
      <c r="AQ22" s="463"/>
      <c r="AR22" s="463"/>
      <c r="AS22" s="431"/>
      <c r="AT22" s="425"/>
      <c r="AU22" s="421"/>
      <c r="AV22" s="421"/>
      <c r="AW22" s="421"/>
      <c r="AX22" s="421"/>
      <c r="AY22" s="421"/>
      <c r="AZ22" s="422"/>
      <c r="BA22" s="422"/>
      <c r="BB22" s="405"/>
      <c r="BC22" s="406"/>
      <c r="BD22" s="391"/>
      <c r="BE22" s="444"/>
      <c r="BF22" s="444"/>
      <c r="BG22" s="444" t="s">
        <v>177</v>
      </c>
      <c r="BH22" s="444"/>
      <c r="BI22" s="444"/>
      <c r="BJ22" s="444"/>
      <c r="BK22" s="444"/>
      <c r="BL22" s="444"/>
      <c r="BM22" s="444"/>
      <c r="BN22" s="444"/>
      <c r="BO22" s="444"/>
      <c r="BP22" s="444"/>
      <c r="BQ22" s="444"/>
      <c r="BR22" s="444"/>
      <c r="BS22" s="444"/>
      <c r="BT22" s="444"/>
    </row>
    <row r="23" spans="1:72" ht="12.5" customHeight="1">
      <c r="A23" s="393"/>
      <c r="B23" s="418"/>
      <c r="C23" s="427"/>
      <c r="D23" s="464" t="s">
        <v>206</v>
      </c>
      <c r="E23" s="464"/>
      <c r="F23" s="464"/>
      <c r="G23" s="464"/>
      <c r="H23" s="464"/>
      <c r="I23" s="464"/>
      <c r="J23" s="464"/>
      <c r="K23" s="464"/>
      <c r="L23" s="464"/>
      <c r="M23" s="464"/>
      <c r="N23" s="464"/>
      <c r="O23" s="464"/>
      <c r="P23" s="464"/>
      <c r="Q23" s="464"/>
      <c r="R23" s="464"/>
      <c r="S23" s="464"/>
      <c r="T23" s="464"/>
      <c r="U23" s="464"/>
      <c r="V23" s="464"/>
      <c r="W23" s="464"/>
      <c r="X23" s="464"/>
      <c r="Y23" s="464"/>
      <c r="Z23" s="464"/>
      <c r="AA23" s="464"/>
      <c r="AB23" s="464"/>
      <c r="AC23" s="464"/>
      <c r="AD23" s="464"/>
      <c r="AE23" s="464"/>
      <c r="AF23" s="464"/>
      <c r="AG23" s="464"/>
      <c r="AH23" s="464"/>
      <c r="AI23" s="464"/>
      <c r="AJ23" s="464"/>
      <c r="AK23" s="464"/>
      <c r="AL23" s="463"/>
      <c r="AM23" s="463"/>
      <c r="AN23" s="463"/>
      <c r="AO23" s="463"/>
      <c r="AP23" s="463"/>
      <c r="AQ23" s="463"/>
      <c r="AR23" s="463"/>
      <c r="AS23" s="432"/>
      <c r="AT23" s="429"/>
      <c r="AU23" s="429"/>
      <c r="AV23" s="429"/>
      <c r="AW23" s="429"/>
      <c r="AX23" s="429"/>
      <c r="AY23" s="429"/>
      <c r="AZ23" s="422"/>
      <c r="BA23" s="422"/>
      <c r="BB23" s="405"/>
      <c r="BC23" s="406"/>
      <c r="BD23" s="391"/>
      <c r="BE23" s="444"/>
      <c r="BF23" s="444"/>
      <c r="BG23" s="444" t="s">
        <v>178</v>
      </c>
      <c r="BH23" s="444"/>
      <c r="BI23" s="444"/>
      <c r="BJ23" s="444"/>
      <c r="BK23" s="444"/>
      <c r="BL23" s="444"/>
      <c r="BM23" s="444"/>
      <c r="BN23" s="444"/>
      <c r="BO23" s="444"/>
      <c r="BP23" s="444"/>
      <c r="BQ23" s="444"/>
      <c r="BR23" s="444"/>
      <c r="BS23" s="444"/>
      <c r="BT23" s="444"/>
    </row>
    <row r="24" spans="1:72" ht="12.5" customHeight="1">
      <c r="A24" s="393"/>
      <c r="B24" s="418"/>
      <c r="C24" s="427"/>
      <c r="D24" s="464"/>
      <c r="E24" s="464"/>
      <c r="F24" s="464"/>
      <c r="G24" s="464"/>
      <c r="H24" s="464"/>
      <c r="I24" s="464"/>
      <c r="J24" s="464"/>
      <c r="K24" s="464"/>
      <c r="L24" s="464"/>
      <c r="M24" s="464"/>
      <c r="N24" s="464"/>
      <c r="O24" s="464"/>
      <c r="P24" s="464"/>
      <c r="Q24" s="464"/>
      <c r="R24" s="464"/>
      <c r="S24" s="464"/>
      <c r="T24" s="464"/>
      <c r="U24" s="464"/>
      <c r="V24" s="464"/>
      <c r="W24" s="464"/>
      <c r="X24" s="464"/>
      <c r="Y24" s="464"/>
      <c r="Z24" s="464"/>
      <c r="AA24" s="464"/>
      <c r="AB24" s="464"/>
      <c r="AC24" s="464"/>
      <c r="AD24" s="464"/>
      <c r="AE24" s="464"/>
      <c r="AF24" s="464"/>
      <c r="AG24" s="464"/>
      <c r="AH24" s="464"/>
      <c r="AI24" s="464"/>
      <c r="AJ24" s="464"/>
      <c r="AK24" s="464"/>
      <c r="AL24" s="463"/>
      <c r="AM24" s="463"/>
      <c r="AN24" s="463"/>
      <c r="AO24" s="463"/>
      <c r="AP24" s="463"/>
      <c r="AQ24" s="463"/>
      <c r="AR24" s="463"/>
      <c r="AS24" s="431"/>
      <c r="AT24" s="421"/>
      <c r="AU24" s="421"/>
      <c r="AV24" s="421"/>
      <c r="AW24" s="421"/>
      <c r="AX24" s="421"/>
      <c r="AY24" s="421"/>
      <c r="AZ24" s="422"/>
      <c r="BA24" s="422"/>
      <c r="BB24" s="405"/>
      <c r="BC24" s="406"/>
      <c r="BD24" s="391"/>
      <c r="BE24" s="444"/>
      <c r="BF24" s="444"/>
      <c r="BG24" s="444"/>
      <c r="BH24" s="444"/>
      <c r="BI24" s="444"/>
      <c r="BJ24" s="444"/>
      <c r="BK24" s="444"/>
      <c r="BL24" s="444"/>
      <c r="BM24" s="444"/>
      <c r="BN24" s="444"/>
      <c r="BO24" s="444"/>
      <c r="BP24" s="444"/>
      <c r="BQ24" s="444"/>
      <c r="BR24" s="444"/>
      <c r="BS24" s="444"/>
      <c r="BT24" s="444"/>
    </row>
    <row r="25" spans="1:72" ht="12.5" customHeight="1">
      <c r="A25" s="393"/>
      <c r="B25" s="418"/>
      <c r="C25" s="420"/>
      <c r="D25" s="420"/>
      <c r="E25" s="420"/>
      <c r="F25" s="420"/>
      <c r="G25" s="420"/>
      <c r="H25" s="420"/>
      <c r="I25" s="420"/>
      <c r="J25" s="420"/>
      <c r="K25" s="420"/>
      <c r="L25" s="420"/>
      <c r="M25" s="420"/>
      <c r="N25" s="420"/>
      <c r="O25" s="420"/>
      <c r="P25" s="420"/>
      <c r="Q25" s="420"/>
      <c r="R25" s="420"/>
      <c r="S25" s="420"/>
      <c r="T25" s="420"/>
      <c r="U25" s="420"/>
      <c r="V25" s="420"/>
      <c r="W25" s="420"/>
      <c r="X25" s="420"/>
      <c r="Y25" s="420"/>
      <c r="Z25" s="420"/>
      <c r="AA25" s="420"/>
      <c r="AB25" s="420"/>
      <c r="AC25" s="420"/>
      <c r="AD25" s="420"/>
      <c r="AE25" s="420"/>
      <c r="AF25" s="420"/>
      <c r="AG25" s="420"/>
      <c r="AH25" s="420"/>
      <c r="AI25" s="420"/>
      <c r="AJ25" s="420"/>
      <c r="AK25" s="420"/>
      <c r="AL25" s="420"/>
      <c r="AM25" s="420"/>
      <c r="AN25" s="420"/>
      <c r="AO25" s="420"/>
      <c r="AP25" s="420"/>
      <c r="AQ25" s="420"/>
      <c r="AR25" s="420"/>
      <c r="AS25" s="420"/>
      <c r="AT25" s="420"/>
      <c r="AU25" s="420"/>
      <c r="AV25" s="420"/>
      <c r="AW25" s="420"/>
      <c r="AX25" s="420"/>
      <c r="AY25" s="420"/>
      <c r="AZ25" s="422"/>
      <c r="BA25" s="422"/>
      <c r="BB25" s="405"/>
      <c r="BC25" s="406"/>
      <c r="BD25" s="391"/>
      <c r="BE25" s="444"/>
      <c r="BF25" s="444" t="s">
        <v>229</v>
      </c>
      <c r="BG25" s="447"/>
      <c r="BH25" s="444"/>
      <c r="BI25" s="444"/>
      <c r="BJ25" s="444"/>
      <c r="BK25" s="444"/>
      <c r="BL25" s="444"/>
      <c r="BM25" s="444"/>
      <c r="BN25" s="444"/>
      <c r="BO25" s="444"/>
      <c r="BP25" s="444"/>
      <c r="BQ25" s="444"/>
      <c r="BR25" s="444"/>
      <c r="BS25" s="444"/>
      <c r="BT25" s="444"/>
    </row>
    <row r="26" spans="1:72" ht="12.5" customHeight="1">
      <c r="A26" s="393"/>
      <c r="B26" s="426"/>
      <c r="C26" s="420"/>
      <c r="D26" s="420"/>
      <c r="E26" s="420"/>
      <c r="F26" s="420"/>
      <c r="G26" s="420"/>
      <c r="H26" s="420"/>
      <c r="I26" s="420"/>
      <c r="J26" s="420"/>
      <c r="K26" s="420"/>
      <c r="L26" s="420"/>
      <c r="M26" s="420"/>
      <c r="N26" s="420"/>
      <c r="O26" s="420"/>
      <c r="P26" s="420"/>
      <c r="Q26" s="420"/>
      <c r="R26" s="420"/>
      <c r="S26" s="420"/>
      <c r="T26" s="420"/>
      <c r="U26" s="420"/>
      <c r="V26" s="420"/>
      <c r="W26" s="420"/>
      <c r="X26" s="420"/>
      <c r="Y26" s="420"/>
      <c r="Z26" s="420"/>
      <c r="AA26" s="420"/>
      <c r="AB26" s="420"/>
      <c r="AC26" s="420"/>
      <c r="AD26" s="420"/>
      <c r="AE26" s="420"/>
      <c r="AF26" s="420"/>
      <c r="AG26" s="420"/>
      <c r="AH26" s="420"/>
      <c r="AI26" s="420"/>
      <c r="AJ26" s="420"/>
      <c r="AK26" s="420"/>
      <c r="AL26" s="420"/>
      <c r="AM26" s="420"/>
      <c r="AN26" s="420"/>
      <c r="AO26" s="420"/>
      <c r="AP26" s="420"/>
      <c r="AQ26" s="420"/>
      <c r="AR26" s="420"/>
      <c r="AS26" s="420"/>
      <c r="AT26" s="420"/>
      <c r="AU26" s="420"/>
      <c r="AV26" s="420"/>
      <c r="AW26" s="420"/>
      <c r="AX26" s="420"/>
      <c r="AY26" s="420"/>
      <c r="AZ26" s="422"/>
      <c r="BA26" s="422"/>
      <c r="BB26" s="389"/>
      <c r="BC26" s="390"/>
      <c r="BD26" s="391"/>
      <c r="BE26" s="444"/>
      <c r="BF26" s="444"/>
      <c r="BG26" s="447" t="s">
        <v>230</v>
      </c>
      <c r="BH26" s="444"/>
      <c r="BI26" s="444"/>
      <c r="BJ26" s="444"/>
      <c r="BK26" s="444"/>
      <c r="BL26" s="444"/>
      <c r="BM26" s="444"/>
      <c r="BN26" s="444"/>
      <c r="BO26" s="444"/>
      <c r="BP26" s="444"/>
      <c r="BQ26" s="444"/>
      <c r="BR26" s="444"/>
      <c r="BS26" s="444"/>
      <c r="BT26" s="444"/>
    </row>
    <row r="27" spans="1:72" ht="12.5" customHeight="1">
      <c r="A27" s="393"/>
      <c r="B27" s="426"/>
      <c r="C27" s="420"/>
      <c r="D27" s="420"/>
      <c r="E27" s="420"/>
      <c r="F27" s="420"/>
      <c r="G27" s="420"/>
      <c r="H27" s="420"/>
      <c r="I27" s="420"/>
      <c r="J27" s="420"/>
      <c r="K27" s="420"/>
      <c r="L27" s="420"/>
      <c r="M27" s="420"/>
      <c r="N27" s="420"/>
      <c r="O27" s="420"/>
      <c r="P27" s="420"/>
      <c r="Q27" s="420"/>
      <c r="R27" s="420"/>
      <c r="S27" s="420"/>
      <c r="T27" s="420"/>
      <c r="U27" s="420"/>
      <c r="V27" s="420"/>
      <c r="W27" s="420"/>
      <c r="X27" s="420"/>
      <c r="Y27" s="420"/>
      <c r="Z27" s="420"/>
      <c r="AA27" s="420"/>
      <c r="AB27" s="420"/>
      <c r="AC27" s="420"/>
      <c r="AD27" s="420"/>
      <c r="AE27" s="420"/>
      <c r="AF27" s="420"/>
      <c r="AG27" s="420"/>
      <c r="AH27" s="420"/>
      <c r="AI27" s="420"/>
      <c r="AJ27" s="420"/>
      <c r="AK27" s="420"/>
      <c r="AL27" s="420"/>
      <c r="AM27" s="420"/>
      <c r="AN27" s="420"/>
      <c r="AO27" s="420"/>
      <c r="AP27" s="420"/>
      <c r="AQ27" s="420"/>
      <c r="AR27" s="420"/>
      <c r="AS27" s="420"/>
      <c r="AT27" s="420"/>
      <c r="AU27" s="420"/>
      <c r="AV27" s="420"/>
      <c r="AW27" s="420"/>
      <c r="AX27" s="420"/>
      <c r="AY27" s="420"/>
      <c r="AZ27" s="422"/>
      <c r="BA27" s="422"/>
      <c r="BB27" s="389"/>
      <c r="BC27" s="390"/>
      <c r="BD27" s="391"/>
      <c r="BE27" s="444"/>
      <c r="BF27" s="444"/>
      <c r="BG27" s="447" t="s">
        <v>231</v>
      </c>
      <c r="BH27" s="444"/>
      <c r="BI27" s="444"/>
      <c r="BJ27" s="444"/>
      <c r="BK27" s="444"/>
      <c r="BL27" s="444"/>
      <c r="BM27" s="444"/>
      <c r="BN27" s="444"/>
      <c r="BO27" s="444"/>
      <c r="BP27" s="444"/>
      <c r="BQ27" s="444"/>
      <c r="BR27" s="444"/>
      <c r="BS27" s="444"/>
      <c r="BT27" s="444"/>
    </row>
    <row r="28" spans="1:72" ht="12.5" customHeight="1">
      <c r="A28" s="393"/>
      <c r="B28" s="418"/>
      <c r="C28" s="420"/>
      <c r="D28" s="420"/>
      <c r="E28" s="420"/>
      <c r="F28" s="420"/>
      <c r="G28" s="420"/>
      <c r="H28" s="420"/>
      <c r="I28" s="420"/>
      <c r="J28" s="420"/>
      <c r="K28" s="420"/>
      <c r="L28" s="420"/>
      <c r="M28" s="420"/>
      <c r="N28" s="420"/>
      <c r="O28" s="420"/>
      <c r="P28" s="420"/>
      <c r="Q28" s="420"/>
      <c r="R28" s="420"/>
      <c r="S28" s="420"/>
      <c r="T28" s="420"/>
      <c r="U28" s="420"/>
      <c r="V28" s="420"/>
      <c r="W28" s="420"/>
      <c r="X28" s="420"/>
      <c r="Y28" s="420"/>
      <c r="Z28" s="420"/>
      <c r="AA28" s="420"/>
      <c r="AB28" s="420"/>
      <c r="AC28" s="420"/>
      <c r="AD28" s="420"/>
      <c r="AE28" s="420"/>
      <c r="AF28" s="420"/>
      <c r="AG28" s="420"/>
      <c r="AH28" s="420"/>
      <c r="AI28" s="420"/>
      <c r="AJ28" s="420"/>
      <c r="AK28" s="420"/>
      <c r="AL28" s="420"/>
      <c r="AM28" s="420"/>
      <c r="AN28" s="420"/>
      <c r="AO28" s="420"/>
      <c r="AP28" s="420"/>
      <c r="AQ28" s="420"/>
      <c r="AR28" s="420"/>
      <c r="AS28" s="420"/>
      <c r="AT28" s="420"/>
      <c r="AU28" s="420"/>
      <c r="AV28" s="420"/>
      <c r="AW28" s="420"/>
      <c r="AX28" s="420"/>
      <c r="AY28" s="420"/>
      <c r="AZ28" s="422"/>
      <c r="BA28" s="422"/>
      <c r="BB28" s="405"/>
      <c r="BC28" s="406"/>
      <c r="BD28" s="391"/>
      <c r="BE28" s="444"/>
      <c r="BF28" s="444"/>
      <c r="BG28" s="447"/>
      <c r="BH28" s="444"/>
      <c r="BI28" s="444"/>
      <c r="BJ28" s="444"/>
      <c r="BK28" s="444"/>
      <c r="BL28" s="444"/>
      <c r="BM28" s="444"/>
      <c r="BN28" s="444"/>
      <c r="BO28" s="444"/>
      <c r="BP28" s="444"/>
      <c r="BQ28" s="444"/>
      <c r="BR28" s="444"/>
      <c r="BS28" s="444"/>
      <c r="BT28" s="444"/>
    </row>
    <row r="29" spans="1:72" ht="12.5" customHeight="1">
      <c r="A29" s="393"/>
      <c r="B29" s="418"/>
      <c r="C29" s="423"/>
      <c r="D29" s="419"/>
      <c r="E29" s="419"/>
      <c r="F29" s="419"/>
      <c r="G29" s="421"/>
      <c r="H29" s="431"/>
      <c r="I29" s="431"/>
      <c r="J29" s="431"/>
      <c r="K29" s="431"/>
      <c r="L29" s="431"/>
      <c r="M29" s="431"/>
      <c r="N29" s="431"/>
      <c r="O29" s="431"/>
      <c r="P29" s="431"/>
      <c r="Q29" s="431"/>
      <c r="R29" s="431"/>
      <c r="S29" s="431"/>
      <c r="T29" s="431"/>
      <c r="U29" s="431"/>
      <c r="V29" s="431"/>
      <c r="W29" s="431"/>
      <c r="X29" s="431"/>
      <c r="Y29" s="431"/>
      <c r="Z29" s="431"/>
      <c r="AA29" s="431"/>
      <c r="AB29" s="431"/>
      <c r="AC29" s="431"/>
      <c r="AD29" s="431"/>
      <c r="AE29" s="431"/>
      <c r="AF29" s="431"/>
      <c r="AG29" s="431"/>
      <c r="AH29" s="431"/>
      <c r="AI29" s="431"/>
      <c r="AJ29" s="431"/>
      <c r="AK29" s="431"/>
      <c r="AL29" s="431"/>
      <c r="AM29" s="431"/>
      <c r="AN29" s="431"/>
      <c r="AO29" s="431"/>
      <c r="AP29" s="431"/>
      <c r="AQ29" s="431"/>
      <c r="AR29" s="431"/>
      <c r="AS29" s="431"/>
      <c r="AT29" s="425"/>
      <c r="AU29" s="421"/>
      <c r="AV29" s="421"/>
      <c r="AW29" s="421"/>
      <c r="AX29" s="421"/>
      <c r="AY29" s="417"/>
      <c r="AZ29" s="422"/>
      <c r="BA29" s="422"/>
      <c r="BB29" s="389"/>
      <c r="BC29" s="390"/>
      <c r="BD29" s="391"/>
      <c r="BE29" s="444"/>
      <c r="BF29" s="444" t="s">
        <v>232</v>
      </c>
      <c r="BG29" s="447"/>
      <c r="BH29" s="444"/>
      <c r="BI29" s="444"/>
      <c r="BJ29" s="444"/>
      <c r="BK29" s="444"/>
      <c r="BL29" s="444"/>
      <c r="BM29" s="444"/>
      <c r="BN29" s="444"/>
      <c r="BO29" s="444"/>
      <c r="BP29" s="444"/>
      <c r="BQ29" s="444"/>
      <c r="BR29" s="444"/>
      <c r="BS29" s="444"/>
      <c r="BT29" s="444"/>
    </row>
    <row r="30" spans="1:72" ht="12.5" customHeight="1">
      <c r="A30" s="393"/>
      <c r="B30" s="426"/>
      <c r="C30" s="420"/>
      <c r="D30" s="420"/>
      <c r="E30" s="420"/>
      <c r="F30" s="420"/>
      <c r="G30" s="420"/>
      <c r="H30" s="420"/>
      <c r="I30" s="420"/>
      <c r="J30" s="420"/>
      <c r="K30" s="420"/>
      <c r="L30" s="420"/>
      <c r="M30" s="420"/>
      <c r="N30" s="420"/>
      <c r="O30" s="420"/>
      <c r="P30" s="420"/>
      <c r="Q30" s="420"/>
      <c r="R30" s="420"/>
      <c r="S30" s="420"/>
      <c r="T30" s="420"/>
      <c r="U30" s="420"/>
      <c r="V30" s="420"/>
      <c r="W30" s="420"/>
      <c r="X30" s="420"/>
      <c r="Y30" s="420"/>
      <c r="Z30" s="420"/>
      <c r="AA30" s="420"/>
      <c r="AB30" s="420"/>
      <c r="AC30" s="420"/>
      <c r="AD30" s="420"/>
      <c r="AE30" s="420"/>
      <c r="AF30" s="420"/>
      <c r="AG30" s="420"/>
      <c r="AH30" s="420"/>
      <c r="AI30" s="420"/>
      <c r="AJ30" s="420"/>
      <c r="AK30" s="420"/>
      <c r="AL30" s="420"/>
      <c r="AM30" s="420"/>
      <c r="AN30" s="420"/>
      <c r="AO30" s="420"/>
      <c r="AP30" s="420"/>
      <c r="AQ30" s="420"/>
      <c r="AR30" s="420"/>
      <c r="AS30" s="420"/>
      <c r="AT30" s="420"/>
      <c r="AU30" s="420"/>
      <c r="AV30" s="420"/>
      <c r="AW30" s="420"/>
      <c r="AX30" s="420"/>
      <c r="AY30" s="420"/>
      <c r="AZ30" s="422"/>
      <c r="BA30" s="422"/>
      <c r="BB30" s="389"/>
      <c r="BC30" s="390"/>
      <c r="BD30" s="391"/>
      <c r="BE30" s="444"/>
      <c r="BF30" s="444"/>
      <c r="BG30" s="444" t="s">
        <v>233</v>
      </c>
      <c r="BH30" s="444"/>
      <c r="BI30" s="444"/>
      <c r="BJ30" s="444"/>
      <c r="BK30" s="444"/>
      <c r="BL30" s="444"/>
      <c r="BM30" s="444"/>
      <c r="BN30" s="444"/>
      <c r="BO30" s="444"/>
      <c r="BP30" s="444"/>
      <c r="BQ30" s="444"/>
      <c r="BR30" s="444"/>
      <c r="BS30" s="444"/>
      <c r="BT30" s="444"/>
    </row>
    <row r="31" spans="1:72" ht="12.5" customHeight="1">
      <c r="A31" s="393"/>
      <c r="B31" s="426"/>
      <c r="C31" s="420"/>
      <c r="D31" s="420"/>
      <c r="E31" s="420"/>
      <c r="F31" s="420"/>
      <c r="G31" s="420"/>
      <c r="H31" s="420"/>
      <c r="I31" s="420"/>
      <c r="J31" s="420"/>
      <c r="K31" s="420"/>
      <c r="L31" s="420"/>
      <c r="M31" s="420"/>
      <c r="N31" s="420"/>
      <c r="O31" s="420"/>
      <c r="P31" s="420"/>
      <c r="Q31" s="420"/>
      <c r="R31" s="420"/>
      <c r="S31" s="420"/>
      <c r="T31" s="420"/>
      <c r="U31" s="420"/>
      <c r="V31" s="420"/>
      <c r="W31" s="420"/>
      <c r="X31" s="420"/>
      <c r="Y31" s="420"/>
      <c r="Z31" s="420"/>
      <c r="AA31" s="420"/>
      <c r="AB31" s="420"/>
      <c r="AC31" s="420"/>
      <c r="AD31" s="420"/>
      <c r="AE31" s="420"/>
      <c r="AF31" s="420"/>
      <c r="AG31" s="420"/>
      <c r="AH31" s="420"/>
      <c r="AI31" s="420"/>
      <c r="AJ31" s="420"/>
      <c r="AK31" s="420"/>
      <c r="AL31" s="420"/>
      <c r="AM31" s="420"/>
      <c r="AN31" s="420"/>
      <c r="AO31" s="420"/>
      <c r="AP31" s="420"/>
      <c r="AQ31" s="420"/>
      <c r="AR31" s="420"/>
      <c r="AS31" s="420"/>
      <c r="AT31" s="420"/>
      <c r="AU31" s="420"/>
      <c r="AV31" s="420"/>
      <c r="AW31" s="420"/>
      <c r="AX31" s="420"/>
      <c r="AY31" s="420"/>
      <c r="AZ31" s="422"/>
      <c r="BA31" s="422"/>
      <c r="BB31" s="389"/>
      <c r="BC31" s="390"/>
      <c r="BD31" s="391"/>
      <c r="BE31" s="444"/>
      <c r="BF31" s="444"/>
      <c r="BG31" s="444" t="s">
        <v>234</v>
      </c>
      <c r="BH31" s="444"/>
      <c r="BI31" s="444"/>
      <c r="BJ31" s="444"/>
      <c r="BK31" s="444"/>
      <c r="BL31" s="444"/>
      <c r="BM31" s="444"/>
      <c r="BN31" s="444"/>
      <c r="BO31" s="444"/>
      <c r="BP31" s="444"/>
      <c r="BQ31" s="444"/>
      <c r="BR31" s="444"/>
      <c r="BS31" s="444"/>
      <c r="BT31" s="444"/>
    </row>
    <row r="32" spans="1:72" ht="12.5" customHeight="1">
      <c r="A32" s="393"/>
      <c r="B32" s="418"/>
      <c r="C32" s="465" t="s">
        <v>208</v>
      </c>
      <c r="D32" s="420"/>
      <c r="E32" s="420"/>
      <c r="F32" s="420"/>
      <c r="G32" s="420"/>
      <c r="H32" s="420"/>
      <c r="I32" s="420"/>
      <c r="J32" s="420"/>
      <c r="K32" s="420"/>
      <c r="L32" s="420"/>
      <c r="M32" s="420"/>
      <c r="N32" s="420"/>
      <c r="O32" s="420"/>
      <c r="P32" s="420"/>
      <c r="Q32" s="420"/>
      <c r="R32" s="420"/>
      <c r="S32" s="420"/>
      <c r="T32" s="420"/>
      <c r="U32" s="420"/>
      <c r="V32" s="420"/>
      <c r="W32" s="420"/>
      <c r="X32" s="420"/>
      <c r="Y32" s="420"/>
      <c r="Z32" s="420"/>
      <c r="AA32" s="420"/>
      <c r="AB32" s="420"/>
      <c r="AC32" s="420"/>
      <c r="AD32" s="420"/>
      <c r="AE32" s="420"/>
      <c r="AF32" s="420"/>
      <c r="AG32" s="420"/>
      <c r="AH32" s="420"/>
      <c r="AI32" s="420"/>
      <c r="AJ32" s="420"/>
      <c r="AK32" s="420"/>
      <c r="AL32" s="420"/>
      <c r="AM32" s="420"/>
      <c r="AN32" s="420"/>
      <c r="AO32" s="420"/>
      <c r="AP32" s="420"/>
      <c r="AQ32" s="420"/>
      <c r="AR32" s="420"/>
      <c r="AS32" s="420"/>
      <c r="AT32" s="420"/>
      <c r="AU32" s="420"/>
      <c r="AV32" s="420"/>
      <c r="AW32" s="420"/>
      <c r="AX32" s="420"/>
      <c r="AY32" s="420"/>
      <c r="AZ32" s="422"/>
      <c r="BA32" s="422"/>
      <c r="BB32" s="405"/>
      <c r="BC32" s="406"/>
      <c r="BD32" s="391"/>
      <c r="BE32" s="444"/>
      <c r="BF32" s="444"/>
      <c r="BG32" s="447" t="s">
        <v>235</v>
      </c>
      <c r="BH32" s="444"/>
      <c r="BI32" s="444"/>
      <c r="BJ32" s="444"/>
      <c r="BK32" s="444"/>
      <c r="BL32" s="444"/>
      <c r="BM32" s="444"/>
      <c r="BN32" s="444"/>
      <c r="BO32" s="444"/>
      <c r="BP32" s="444"/>
      <c r="BQ32" s="444"/>
      <c r="BR32" s="444"/>
      <c r="BS32" s="444"/>
      <c r="BT32" s="444"/>
    </row>
    <row r="33" spans="1:72" ht="12.5" customHeight="1">
      <c r="A33" s="393"/>
      <c r="B33" s="426"/>
      <c r="C33" s="420"/>
      <c r="D33" s="420"/>
      <c r="E33" s="420"/>
      <c r="F33" s="420"/>
      <c r="G33" s="420"/>
      <c r="H33" s="420"/>
      <c r="I33" s="420"/>
      <c r="J33" s="420"/>
      <c r="K33" s="420"/>
      <c r="L33" s="420"/>
      <c r="M33" s="420"/>
      <c r="N33" s="420"/>
      <c r="O33" s="420"/>
      <c r="P33" s="420"/>
      <c r="Q33" s="420"/>
      <c r="R33" s="420"/>
      <c r="S33" s="420"/>
      <c r="T33" s="420"/>
      <c r="U33" s="420"/>
      <c r="V33" s="420"/>
      <c r="W33" s="420"/>
      <c r="X33" s="420"/>
      <c r="Y33" s="420"/>
      <c r="Z33" s="420"/>
      <c r="AA33" s="420"/>
      <c r="AB33" s="420"/>
      <c r="AC33" s="420"/>
      <c r="AD33" s="420"/>
      <c r="AE33" s="420"/>
      <c r="AF33" s="420"/>
      <c r="AG33" s="420"/>
      <c r="AH33" s="420"/>
      <c r="AI33" s="420"/>
      <c r="AJ33" s="420"/>
      <c r="AK33" s="420"/>
      <c r="AL33" s="420"/>
      <c r="AM33" s="420"/>
      <c r="AN33" s="420"/>
      <c r="AO33" s="420"/>
      <c r="AP33" s="420"/>
      <c r="AQ33" s="420"/>
      <c r="AR33" s="420"/>
      <c r="AS33" s="420"/>
      <c r="AT33" s="420"/>
      <c r="AU33" s="420"/>
      <c r="AV33" s="420"/>
      <c r="AW33" s="420"/>
      <c r="AX33" s="420"/>
      <c r="AY33" s="420"/>
      <c r="AZ33" s="422"/>
      <c r="BA33" s="422"/>
      <c r="BB33" s="389"/>
      <c r="BC33" s="390"/>
      <c r="BD33" s="391"/>
      <c r="BE33" s="444"/>
      <c r="BF33" s="444"/>
      <c r="BG33" s="444"/>
      <c r="BH33" s="444"/>
      <c r="BI33" s="444"/>
      <c r="BJ33" s="444"/>
      <c r="BK33" s="444"/>
      <c r="BL33" s="444"/>
      <c r="BM33" s="444"/>
      <c r="BN33" s="444"/>
      <c r="BO33" s="444"/>
      <c r="BP33" s="444"/>
      <c r="BQ33" s="444"/>
      <c r="BR33" s="444"/>
      <c r="BS33" s="444"/>
      <c r="BT33" s="444"/>
    </row>
    <row r="34" spans="1:72" ht="12.5" customHeight="1">
      <c r="A34" s="393"/>
      <c r="B34" s="426"/>
      <c r="C34" s="420"/>
      <c r="D34" s="420"/>
      <c r="E34" s="420"/>
      <c r="F34" s="420"/>
      <c r="G34" s="420"/>
      <c r="H34" s="420"/>
      <c r="I34" s="420"/>
      <c r="J34" s="420"/>
      <c r="K34" s="420"/>
      <c r="L34" s="420"/>
      <c r="M34" s="420"/>
      <c r="N34" s="420"/>
      <c r="O34" s="420"/>
      <c r="P34" s="420"/>
      <c r="Q34" s="420"/>
      <c r="R34" s="420"/>
      <c r="S34" s="420"/>
      <c r="T34" s="420"/>
      <c r="U34" s="420"/>
      <c r="V34" s="420"/>
      <c r="W34" s="420"/>
      <c r="X34" s="420"/>
      <c r="Y34" s="420"/>
      <c r="Z34" s="420"/>
      <c r="AA34" s="420"/>
      <c r="AB34" s="420"/>
      <c r="AC34" s="420"/>
      <c r="AD34" s="420"/>
      <c r="AE34" s="420"/>
      <c r="AF34" s="420"/>
      <c r="AG34" s="420"/>
      <c r="AH34" s="420"/>
      <c r="AI34" s="420"/>
      <c r="AJ34" s="420"/>
      <c r="AK34" s="420"/>
      <c r="AL34" s="420"/>
      <c r="AM34" s="420"/>
      <c r="AN34" s="420"/>
      <c r="AO34" s="420"/>
      <c r="AP34" s="420"/>
      <c r="AQ34" s="420"/>
      <c r="AR34" s="420"/>
      <c r="AS34" s="420"/>
      <c r="AT34" s="420"/>
      <c r="AU34" s="420"/>
      <c r="AV34" s="420"/>
      <c r="AW34" s="420"/>
      <c r="AX34" s="420"/>
      <c r="AY34" s="420"/>
      <c r="AZ34" s="422"/>
      <c r="BA34" s="422"/>
      <c r="BB34" s="389"/>
      <c r="BC34" s="390"/>
      <c r="BD34" s="391"/>
      <c r="BE34" s="444"/>
      <c r="BF34" s="444" t="s">
        <v>236</v>
      </c>
      <c r="BG34" s="444"/>
      <c r="BH34" s="444"/>
      <c r="BI34" s="444"/>
      <c r="BJ34" s="444"/>
      <c r="BK34" s="444"/>
      <c r="BL34" s="444"/>
      <c r="BM34" s="444"/>
      <c r="BN34" s="444"/>
      <c r="BO34" s="444"/>
      <c r="BP34" s="444"/>
      <c r="BQ34" s="444"/>
      <c r="BR34" s="444"/>
      <c r="BS34" s="444"/>
      <c r="BT34" s="444"/>
    </row>
    <row r="35" spans="1:72" ht="12.5" customHeight="1">
      <c r="A35" s="393"/>
      <c r="B35" s="418"/>
      <c r="C35" s="417"/>
      <c r="D35" s="424" t="s">
        <v>209</v>
      </c>
      <c r="E35" s="419"/>
      <c r="F35" s="419"/>
      <c r="G35" s="421"/>
      <c r="H35" s="431"/>
      <c r="I35" s="431"/>
      <c r="J35" s="431"/>
      <c r="K35" s="431"/>
      <c r="L35" s="431"/>
      <c r="M35" s="431"/>
      <c r="N35" s="431"/>
      <c r="O35" s="431"/>
      <c r="P35" s="431"/>
      <c r="Q35" s="431"/>
      <c r="R35" s="431"/>
      <c r="S35" s="431"/>
      <c r="T35" s="431"/>
      <c r="U35" s="431"/>
      <c r="V35" s="431"/>
      <c r="W35" s="431"/>
      <c r="X35" s="431"/>
      <c r="Y35" s="431"/>
      <c r="Z35" s="431"/>
      <c r="AA35" s="431"/>
      <c r="AB35" s="431"/>
      <c r="AC35" s="431"/>
      <c r="AD35" s="431"/>
      <c r="AE35" s="431"/>
      <c r="AF35" s="431"/>
      <c r="AG35" s="431"/>
      <c r="AH35" s="431"/>
      <c r="AI35" s="431"/>
      <c r="AJ35" s="431"/>
      <c r="AK35" s="431"/>
      <c r="AL35" s="431"/>
      <c r="AM35" s="431"/>
      <c r="AN35" s="431"/>
      <c r="AO35" s="431"/>
      <c r="AP35" s="431"/>
      <c r="AQ35" s="431"/>
      <c r="AR35" s="431"/>
      <c r="AS35" s="431"/>
      <c r="AT35" s="425"/>
      <c r="AU35" s="421"/>
      <c r="AV35" s="417"/>
      <c r="AW35" s="417"/>
      <c r="AX35" s="421"/>
      <c r="AY35" s="417"/>
      <c r="AZ35" s="422"/>
      <c r="BA35" s="422"/>
      <c r="BB35" s="389"/>
      <c r="BC35" s="390"/>
      <c r="BD35" s="391"/>
      <c r="BE35" s="444"/>
      <c r="BF35" s="444"/>
      <c r="BG35" s="444" t="s">
        <v>237</v>
      </c>
      <c r="BH35" s="444"/>
      <c r="BI35" s="444"/>
      <c r="BJ35" s="444"/>
      <c r="BK35" s="444"/>
      <c r="BL35" s="444"/>
      <c r="BM35" s="444"/>
      <c r="BN35" s="444"/>
      <c r="BO35" s="444"/>
      <c r="BP35" s="444"/>
      <c r="BQ35" s="444"/>
      <c r="BR35" s="444"/>
      <c r="BS35" s="444"/>
      <c r="BT35" s="444"/>
    </row>
    <row r="36" spans="1:72" ht="12.5" customHeight="1">
      <c r="A36" s="393"/>
      <c r="B36" s="418"/>
      <c r="C36" s="423"/>
      <c r="D36" s="419"/>
      <c r="E36" s="419"/>
      <c r="F36" s="419"/>
      <c r="G36" s="421"/>
      <c r="H36" s="431"/>
      <c r="I36" s="431"/>
      <c r="J36" s="431"/>
      <c r="K36" s="431"/>
      <c r="L36" s="431"/>
      <c r="M36" s="431"/>
      <c r="N36" s="431"/>
      <c r="O36" s="431"/>
      <c r="P36" s="431"/>
      <c r="Q36" s="431"/>
      <c r="R36" s="431"/>
      <c r="S36" s="431"/>
      <c r="T36" s="431"/>
      <c r="U36" s="431"/>
      <c r="V36" s="431"/>
      <c r="W36" s="431"/>
      <c r="X36" s="431"/>
      <c r="Y36" s="431"/>
      <c r="Z36" s="431"/>
      <c r="AA36" s="431"/>
      <c r="AB36" s="431"/>
      <c r="AC36" s="431"/>
      <c r="AD36" s="431"/>
      <c r="AE36" s="431"/>
      <c r="AF36" s="431"/>
      <c r="AG36" s="431"/>
      <c r="AH36" s="431"/>
      <c r="AI36" s="431"/>
      <c r="AJ36" s="431"/>
      <c r="AK36" s="431"/>
      <c r="AL36" s="431"/>
      <c r="AM36" s="431"/>
      <c r="AN36" s="431"/>
      <c r="AO36" s="431"/>
      <c r="AP36" s="431"/>
      <c r="AQ36" s="431"/>
      <c r="AR36" s="431"/>
      <c r="AS36" s="431"/>
      <c r="AT36" s="425"/>
      <c r="AU36" s="421"/>
      <c r="AV36" s="421"/>
      <c r="AW36" s="421"/>
      <c r="AX36" s="421"/>
      <c r="AY36" s="417"/>
      <c r="AZ36" s="422"/>
      <c r="BA36" s="422"/>
      <c r="BB36" s="389"/>
      <c r="BC36" s="390"/>
      <c r="BD36" s="391"/>
      <c r="BE36" s="444"/>
      <c r="BF36" s="444"/>
      <c r="BG36" s="447" t="s">
        <v>238</v>
      </c>
      <c r="BH36" s="444"/>
      <c r="BI36" s="444"/>
      <c r="BJ36" s="444"/>
      <c r="BK36" s="444"/>
      <c r="BL36" s="444"/>
      <c r="BM36" s="444"/>
      <c r="BN36" s="444"/>
      <c r="BO36" s="444"/>
      <c r="BP36" s="444"/>
      <c r="BQ36" s="444"/>
      <c r="BR36" s="444"/>
      <c r="BS36" s="444"/>
      <c r="BT36" s="444"/>
    </row>
    <row r="37" spans="1:72" ht="12.5" customHeight="1">
      <c r="A37" s="393"/>
      <c r="B37" s="418"/>
      <c r="C37" s="424"/>
      <c r="D37" s="462"/>
      <c r="E37" s="462"/>
      <c r="F37" s="462"/>
      <c r="G37" s="462"/>
      <c r="H37" s="462"/>
      <c r="I37" s="462"/>
      <c r="J37" s="462"/>
      <c r="K37" s="462"/>
      <c r="L37" s="462"/>
      <c r="M37" s="462"/>
      <c r="N37" s="462"/>
      <c r="O37" s="462"/>
      <c r="P37" s="462"/>
      <c r="Q37" s="462"/>
      <c r="R37" s="462"/>
      <c r="S37" s="462"/>
      <c r="T37" s="462"/>
      <c r="U37" s="462"/>
      <c r="V37" s="462"/>
      <c r="W37" s="462"/>
      <c r="X37" s="462"/>
      <c r="Y37" s="462"/>
      <c r="Z37" s="462"/>
      <c r="AA37" s="462"/>
      <c r="AB37" s="462"/>
      <c r="AC37" s="462"/>
      <c r="AD37" s="462"/>
      <c r="AE37" s="462"/>
      <c r="AF37" s="462"/>
      <c r="AG37" s="462"/>
      <c r="AH37" s="462"/>
      <c r="AI37" s="462"/>
      <c r="AJ37" s="462"/>
      <c r="AK37" s="462"/>
      <c r="AL37" s="462"/>
      <c r="AM37" s="462"/>
      <c r="AN37" s="462"/>
      <c r="AO37" s="462"/>
      <c r="AP37" s="462"/>
      <c r="AQ37" s="462"/>
      <c r="AR37" s="462"/>
      <c r="AS37" s="431"/>
      <c r="AT37" s="425"/>
      <c r="AU37" s="421"/>
      <c r="AV37" s="421"/>
      <c r="AW37" s="421"/>
      <c r="AX37" s="421"/>
      <c r="AY37" s="417"/>
      <c r="AZ37" s="422"/>
      <c r="BA37" s="422"/>
      <c r="BB37" s="389"/>
      <c r="BC37" s="390"/>
      <c r="BD37" s="391"/>
      <c r="BE37" s="444"/>
      <c r="BF37" s="444"/>
      <c r="BG37" s="444"/>
      <c r="BH37" s="444"/>
      <c r="BI37" s="444"/>
      <c r="BJ37" s="444"/>
      <c r="BK37" s="444"/>
      <c r="BL37" s="444"/>
      <c r="BM37" s="444"/>
      <c r="BN37" s="444"/>
      <c r="BO37" s="444"/>
      <c r="BP37" s="444"/>
      <c r="BQ37" s="444"/>
      <c r="BR37" s="444"/>
      <c r="BS37" s="444"/>
      <c r="BT37" s="444"/>
    </row>
    <row r="38" spans="1:72" ht="12.5" customHeight="1">
      <c r="A38" s="393"/>
      <c r="B38" s="418"/>
      <c r="C38" s="417"/>
      <c r="D38" s="461" t="s">
        <v>210</v>
      </c>
      <c r="E38" s="461"/>
      <c r="F38" s="461"/>
      <c r="G38" s="461"/>
      <c r="H38" s="461"/>
      <c r="I38" s="461"/>
      <c r="J38" s="461"/>
      <c r="K38" s="461"/>
      <c r="L38" s="461"/>
      <c r="M38" s="461"/>
      <c r="N38" s="461"/>
      <c r="O38" s="461"/>
      <c r="P38" s="461"/>
      <c r="Q38" s="461"/>
      <c r="R38" s="461"/>
      <c r="S38" s="461"/>
      <c r="T38" s="461"/>
      <c r="U38" s="461"/>
      <c r="V38" s="461"/>
      <c r="W38" s="461"/>
      <c r="X38" s="461"/>
      <c r="Y38" s="461"/>
      <c r="Z38" s="461"/>
      <c r="AA38" s="461"/>
      <c r="AB38" s="461"/>
      <c r="AC38" s="461"/>
      <c r="AD38" s="461"/>
      <c r="AE38" s="461"/>
      <c r="AF38" s="461"/>
      <c r="AG38" s="461"/>
      <c r="AH38" s="461"/>
      <c r="AI38" s="461"/>
      <c r="AJ38" s="461"/>
      <c r="AK38" s="461"/>
      <c r="AL38" s="462"/>
      <c r="AM38" s="462"/>
      <c r="AN38" s="462"/>
      <c r="AO38" s="462"/>
      <c r="AP38" s="462"/>
      <c r="AQ38" s="462"/>
      <c r="AR38" s="462"/>
      <c r="AS38" s="431"/>
      <c r="AT38" s="425"/>
      <c r="AU38" s="421"/>
      <c r="AV38" s="417"/>
      <c r="AW38" s="417"/>
      <c r="AX38" s="421"/>
      <c r="AY38" s="417"/>
      <c r="AZ38" s="422"/>
      <c r="BA38" s="422"/>
      <c r="BB38" s="389"/>
      <c r="BC38" s="390"/>
      <c r="BD38" s="391"/>
      <c r="BE38" s="444"/>
      <c r="BF38" s="444"/>
      <c r="BG38" s="444"/>
      <c r="BH38" s="444"/>
      <c r="BI38" s="444"/>
      <c r="BJ38" s="444"/>
      <c r="BK38" s="444"/>
      <c r="BL38" s="444"/>
      <c r="BM38" s="444"/>
      <c r="BN38" s="444"/>
      <c r="BO38" s="444"/>
      <c r="BP38" s="444"/>
      <c r="BQ38" s="444"/>
      <c r="BR38" s="444"/>
      <c r="BS38" s="444"/>
      <c r="BT38" s="444"/>
    </row>
    <row r="39" spans="1:72" ht="12.5" customHeight="1">
      <c r="A39" s="393"/>
      <c r="B39" s="418"/>
      <c r="C39" s="417"/>
      <c r="D39" s="464"/>
      <c r="E39" s="464"/>
      <c r="F39" s="464"/>
      <c r="G39" s="464"/>
      <c r="H39" s="464"/>
      <c r="I39" s="464"/>
      <c r="J39" s="464"/>
      <c r="K39" s="464"/>
      <c r="L39" s="464"/>
      <c r="M39" s="464"/>
      <c r="N39" s="464"/>
      <c r="O39" s="464"/>
      <c r="P39" s="464"/>
      <c r="Q39" s="464"/>
      <c r="R39" s="464"/>
      <c r="S39" s="464"/>
      <c r="T39" s="464"/>
      <c r="U39" s="464"/>
      <c r="V39" s="464"/>
      <c r="W39" s="464"/>
      <c r="X39" s="464"/>
      <c r="Y39" s="464"/>
      <c r="Z39" s="464"/>
      <c r="AA39" s="464"/>
      <c r="AB39" s="464"/>
      <c r="AC39" s="464"/>
      <c r="AD39" s="464"/>
      <c r="AE39" s="464"/>
      <c r="AF39" s="464"/>
      <c r="AG39" s="464"/>
      <c r="AH39" s="464"/>
      <c r="AI39" s="464"/>
      <c r="AJ39" s="464"/>
      <c r="AK39" s="464"/>
      <c r="AL39" s="463"/>
      <c r="AM39" s="463"/>
      <c r="AN39" s="463"/>
      <c r="AO39" s="463"/>
      <c r="AP39" s="463"/>
      <c r="AQ39" s="463"/>
      <c r="AR39" s="463"/>
      <c r="AS39" s="431"/>
      <c r="AT39" s="425"/>
      <c r="AU39" s="421"/>
      <c r="AV39" s="421"/>
      <c r="AW39" s="421"/>
      <c r="AX39" s="421"/>
      <c r="AY39" s="417"/>
      <c r="AZ39" s="422"/>
      <c r="BA39" s="422"/>
      <c r="BB39" s="389"/>
      <c r="BC39" s="390"/>
      <c r="BD39" s="391"/>
      <c r="BE39" s="444"/>
      <c r="BF39" s="444"/>
      <c r="BG39" s="444"/>
      <c r="BH39" s="444"/>
      <c r="BI39" s="444"/>
      <c r="BJ39" s="444"/>
      <c r="BK39" s="444"/>
      <c r="BL39" s="444"/>
      <c r="BM39" s="444"/>
      <c r="BN39" s="444"/>
      <c r="BO39" s="444"/>
      <c r="BP39" s="444"/>
      <c r="BQ39" s="444"/>
      <c r="BR39" s="444"/>
      <c r="BS39" s="444"/>
      <c r="BT39" s="444"/>
    </row>
    <row r="40" spans="1:72" ht="12.5" customHeight="1">
      <c r="A40" s="393"/>
      <c r="B40" s="418"/>
      <c r="C40" s="417"/>
      <c r="D40" s="464" t="s">
        <v>211</v>
      </c>
      <c r="E40" s="464"/>
      <c r="F40" s="464"/>
      <c r="G40" s="464"/>
      <c r="H40" s="464"/>
      <c r="I40" s="464"/>
      <c r="J40" s="464"/>
      <c r="K40" s="464"/>
      <c r="L40" s="464"/>
      <c r="M40" s="464"/>
      <c r="N40" s="464"/>
      <c r="O40" s="464"/>
      <c r="P40" s="464"/>
      <c r="Q40" s="464"/>
      <c r="R40" s="464"/>
      <c r="S40" s="464"/>
      <c r="T40" s="464"/>
      <c r="U40" s="464"/>
      <c r="V40" s="464"/>
      <c r="W40" s="464"/>
      <c r="X40" s="464"/>
      <c r="Y40" s="464"/>
      <c r="Z40" s="464"/>
      <c r="AA40" s="464"/>
      <c r="AB40" s="464"/>
      <c r="AC40" s="464"/>
      <c r="AD40" s="464"/>
      <c r="AE40" s="464"/>
      <c r="AF40" s="464"/>
      <c r="AG40" s="464"/>
      <c r="AH40" s="464"/>
      <c r="AI40" s="464"/>
      <c r="AJ40" s="464"/>
      <c r="AK40" s="464"/>
      <c r="AL40" s="463"/>
      <c r="AM40" s="463"/>
      <c r="AN40" s="463"/>
      <c r="AO40" s="463"/>
      <c r="AP40" s="463"/>
      <c r="AQ40" s="463"/>
      <c r="AR40" s="463"/>
      <c r="AS40" s="431"/>
      <c r="AT40" s="425"/>
      <c r="AU40" s="421"/>
      <c r="AV40" s="421"/>
      <c r="AW40" s="421"/>
      <c r="AX40" s="421"/>
      <c r="AY40" s="417"/>
      <c r="AZ40" s="422"/>
      <c r="BA40" s="422"/>
      <c r="BB40" s="389"/>
      <c r="BC40" s="390"/>
      <c r="BD40" s="391"/>
      <c r="BE40" s="444"/>
      <c r="BF40" s="444"/>
      <c r="BG40" s="444"/>
      <c r="BH40" s="444"/>
      <c r="BI40" s="444"/>
      <c r="BJ40" s="444"/>
      <c r="BK40" s="444"/>
      <c r="BL40" s="444"/>
      <c r="BM40" s="444"/>
      <c r="BN40" s="444"/>
      <c r="BO40" s="444"/>
      <c r="BP40" s="444"/>
      <c r="BQ40" s="444"/>
      <c r="BR40" s="444"/>
      <c r="BS40" s="444"/>
      <c r="BT40" s="444"/>
    </row>
    <row r="41" spans="1:72" ht="12.5" customHeight="1">
      <c r="A41" s="393"/>
      <c r="B41" s="418"/>
      <c r="C41" s="417"/>
      <c r="D41" s="464" t="s">
        <v>212</v>
      </c>
      <c r="E41" s="464"/>
      <c r="F41" s="464"/>
      <c r="G41" s="464"/>
      <c r="H41" s="464"/>
      <c r="I41" s="464"/>
      <c r="J41" s="464"/>
      <c r="K41" s="464"/>
      <c r="L41" s="464"/>
      <c r="M41" s="464"/>
      <c r="N41" s="464"/>
      <c r="O41" s="464"/>
      <c r="P41" s="464"/>
      <c r="Q41" s="464"/>
      <c r="R41" s="464"/>
      <c r="S41" s="464"/>
      <c r="T41" s="464"/>
      <c r="U41" s="464"/>
      <c r="V41" s="464"/>
      <c r="W41" s="464"/>
      <c r="X41" s="464"/>
      <c r="Y41" s="464"/>
      <c r="Z41" s="464"/>
      <c r="AA41" s="464"/>
      <c r="AB41" s="464"/>
      <c r="AC41" s="464"/>
      <c r="AD41" s="464"/>
      <c r="AE41" s="464"/>
      <c r="AF41" s="464"/>
      <c r="AG41" s="464"/>
      <c r="AH41" s="464"/>
      <c r="AI41" s="464"/>
      <c r="AJ41" s="464"/>
      <c r="AK41" s="464"/>
      <c r="AL41" s="463"/>
      <c r="AM41" s="463"/>
      <c r="AN41" s="463"/>
      <c r="AO41" s="463"/>
      <c r="AP41" s="463"/>
      <c r="AQ41" s="463"/>
      <c r="AR41" s="463"/>
      <c r="AS41" s="431"/>
      <c r="AT41" s="425"/>
      <c r="AU41" s="421"/>
      <c r="AV41" s="421"/>
      <c r="AW41" s="421"/>
      <c r="AX41" s="421"/>
      <c r="AY41" s="417"/>
      <c r="AZ41" s="422"/>
      <c r="BA41" s="422"/>
      <c r="BB41" s="389"/>
      <c r="BC41" s="390"/>
      <c r="BD41" s="391"/>
      <c r="BE41" s="444"/>
      <c r="BF41" s="444"/>
      <c r="BG41" s="444"/>
      <c r="BH41" s="444"/>
      <c r="BI41" s="444"/>
      <c r="BJ41" s="444"/>
      <c r="BK41" s="444"/>
      <c r="BL41" s="444"/>
      <c r="BM41" s="444"/>
      <c r="BN41" s="444"/>
      <c r="BO41" s="444"/>
      <c r="BP41" s="444"/>
      <c r="BQ41" s="444"/>
      <c r="BR41" s="444"/>
      <c r="BS41" s="444"/>
      <c r="BT41" s="444"/>
    </row>
    <row r="42" spans="1:72" ht="12.5" customHeight="1">
      <c r="A42" s="393"/>
      <c r="B42" s="418"/>
      <c r="C42" s="423"/>
      <c r="D42" s="464" t="s">
        <v>213</v>
      </c>
      <c r="E42" s="464"/>
      <c r="F42" s="464"/>
      <c r="G42" s="464"/>
      <c r="H42" s="464"/>
      <c r="I42" s="464"/>
      <c r="J42" s="464"/>
      <c r="K42" s="464"/>
      <c r="L42" s="464"/>
      <c r="M42" s="464"/>
      <c r="N42" s="464"/>
      <c r="O42" s="464"/>
      <c r="P42" s="464"/>
      <c r="Q42" s="464"/>
      <c r="R42" s="464"/>
      <c r="S42" s="464"/>
      <c r="T42" s="464"/>
      <c r="U42" s="464"/>
      <c r="V42" s="464"/>
      <c r="W42" s="464"/>
      <c r="X42" s="464"/>
      <c r="Y42" s="464"/>
      <c r="Z42" s="464"/>
      <c r="AA42" s="464"/>
      <c r="AB42" s="464"/>
      <c r="AC42" s="464"/>
      <c r="AD42" s="464"/>
      <c r="AE42" s="464"/>
      <c r="AF42" s="464"/>
      <c r="AG42" s="464"/>
      <c r="AH42" s="464"/>
      <c r="AI42" s="464"/>
      <c r="AJ42" s="464"/>
      <c r="AK42" s="464"/>
      <c r="AL42" s="463"/>
      <c r="AM42" s="463"/>
      <c r="AN42" s="463"/>
      <c r="AO42" s="463"/>
      <c r="AP42" s="463"/>
      <c r="AQ42" s="463"/>
      <c r="AR42" s="463"/>
      <c r="AS42" s="431"/>
      <c r="AT42" s="425"/>
      <c r="AU42" s="421"/>
      <c r="AV42" s="421"/>
      <c r="AW42" s="421"/>
      <c r="AX42" s="421"/>
      <c r="AY42" s="417"/>
      <c r="AZ42" s="422"/>
      <c r="BA42" s="422"/>
      <c r="BB42" s="389"/>
      <c r="BC42" s="390"/>
      <c r="BD42" s="391"/>
      <c r="BE42" s="444"/>
      <c r="BF42" s="444"/>
      <c r="BG42" s="444"/>
      <c r="BH42" s="444"/>
      <c r="BI42" s="444"/>
      <c r="BJ42" s="444"/>
      <c r="BK42" s="444"/>
      <c r="BL42" s="444"/>
      <c r="BM42" s="444"/>
      <c r="BN42" s="444"/>
      <c r="BO42" s="444"/>
      <c r="BP42" s="444"/>
      <c r="BQ42" s="444"/>
      <c r="BR42" s="444"/>
      <c r="BS42" s="444"/>
      <c r="BT42" s="444"/>
    </row>
    <row r="43" spans="1:72" ht="12.5" customHeight="1">
      <c r="A43" s="393"/>
      <c r="B43" s="418"/>
      <c r="C43" s="417"/>
      <c r="D43" s="464" t="s">
        <v>214</v>
      </c>
      <c r="E43" s="464"/>
      <c r="F43" s="464"/>
      <c r="G43" s="464"/>
      <c r="H43" s="464"/>
      <c r="I43" s="464"/>
      <c r="J43" s="464"/>
      <c r="K43" s="464"/>
      <c r="L43" s="464"/>
      <c r="M43" s="464"/>
      <c r="N43" s="464"/>
      <c r="O43" s="464"/>
      <c r="P43" s="464"/>
      <c r="Q43" s="464"/>
      <c r="R43" s="464"/>
      <c r="S43" s="464"/>
      <c r="T43" s="464"/>
      <c r="U43" s="464"/>
      <c r="V43" s="464"/>
      <c r="W43" s="464"/>
      <c r="X43" s="464"/>
      <c r="Y43" s="464"/>
      <c r="Z43" s="464"/>
      <c r="AA43" s="464"/>
      <c r="AB43" s="464"/>
      <c r="AC43" s="464"/>
      <c r="AD43" s="464"/>
      <c r="AE43" s="464"/>
      <c r="AF43" s="464"/>
      <c r="AG43" s="464"/>
      <c r="AH43" s="464"/>
      <c r="AI43" s="464"/>
      <c r="AJ43" s="464"/>
      <c r="AK43" s="464"/>
      <c r="AL43" s="463"/>
      <c r="AM43" s="463"/>
      <c r="AN43" s="463"/>
      <c r="AO43" s="463"/>
      <c r="AP43" s="463"/>
      <c r="AQ43" s="463"/>
      <c r="AR43" s="463"/>
      <c r="AS43" s="431"/>
      <c r="AT43" s="425"/>
      <c r="AU43" s="421"/>
      <c r="AV43" s="421"/>
      <c r="AW43" s="421"/>
      <c r="AX43" s="421"/>
      <c r="AY43" s="417"/>
      <c r="AZ43" s="422"/>
      <c r="BA43" s="422"/>
      <c r="BB43" s="389"/>
      <c r="BC43" s="390"/>
      <c r="BD43" s="392"/>
      <c r="BE43" s="444"/>
      <c r="BF43" s="444"/>
      <c r="BG43" s="444"/>
      <c r="BH43" s="444"/>
      <c r="BI43" s="444"/>
      <c r="BJ43" s="444"/>
      <c r="BK43" s="444"/>
      <c r="BL43" s="444"/>
      <c r="BM43" s="444"/>
      <c r="BN43" s="444"/>
      <c r="BO43" s="444"/>
      <c r="BP43" s="444"/>
      <c r="BQ43" s="444"/>
      <c r="BR43" s="444"/>
      <c r="BS43" s="444"/>
      <c r="BT43" s="444"/>
    </row>
    <row r="44" spans="1:72" ht="12.5" customHeight="1">
      <c r="A44" s="393"/>
      <c r="B44" s="418"/>
      <c r="C44" s="427"/>
      <c r="D44" s="464"/>
      <c r="E44" s="464"/>
      <c r="F44" s="464"/>
      <c r="G44" s="464"/>
      <c r="H44" s="464"/>
      <c r="I44" s="464"/>
      <c r="J44" s="464"/>
      <c r="K44" s="464"/>
      <c r="L44" s="464"/>
      <c r="M44" s="464"/>
      <c r="N44" s="464"/>
      <c r="O44" s="464"/>
      <c r="P44" s="464"/>
      <c r="Q44" s="464"/>
      <c r="R44" s="464"/>
      <c r="S44" s="464"/>
      <c r="T44" s="464"/>
      <c r="U44" s="464"/>
      <c r="V44" s="464"/>
      <c r="W44" s="464"/>
      <c r="X44" s="464"/>
      <c r="Y44" s="464"/>
      <c r="Z44" s="464"/>
      <c r="AA44" s="464"/>
      <c r="AB44" s="464"/>
      <c r="AC44" s="464"/>
      <c r="AD44" s="464"/>
      <c r="AE44" s="464"/>
      <c r="AF44" s="464"/>
      <c r="AG44" s="464"/>
      <c r="AH44" s="464"/>
      <c r="AI44" s="464"/>
      <c r="AJ44" s="464"/>
      <c r="AK44" s="464"/>
      <c r="AL44" s="463"/>
      <c r="AM44" s="463"/>
      <c r="AN44" s="463"/>
      <c r="AO44" s="463"/>
      <c r="AP44" s="463"/>
      <c r="AQ44" s="463"/>
      <c r="AR44" s="463"/>
      <c r="AS44" s="431"/>
      <c r="AT44" s="421"/>
      <c r="AU44" s="421"/>
      <c r="AV44" s="421"/>
      <c r="AW44" s="421"/>
      <c r="AX44" s="421"/>
      <c r="AY44" s="421"/>
      <c r="AZ44" s="422"/>
      <c r="BA44" s="422"/>
      <c r="BB44" s="405"/>
      <c r="BC44" s="406"/>
      <c r="BD44" s="391"/>
      <c r="BE44" s="444"/>
      <c r="BF44" s="444"/>
      <c r="BG44" s="447"/>
      <c r="BH44" s="444"/>
      <c r="BI44" s="444"/>
      <c r="BJ44" s="444"/>
      <c r="BK44" s="444"/>
      <c r="BL44" s="444"/>
      <c r="BM44" s="444"/>
      <c r="BN44" s="444"/>
      <c r="BO44" s="444"/>
      <c r="BP44" s="444"/>
      <c r="BQ44" s="444"/>
      <c r="BR44" s="444"/>
      <c r="BS44" s="444"/>
      <c r="BT44" s="444"/>
    </row>
    <row r="45" spans="1:72" ht="12.5" customHeight="1">
      <c r="A45" s="393"/>
      <c r="B45" s="418"/>
      <c r="C45" s="427"/>
      <c r="D45" s="464" t="s">
        <v>215</v>
      </c>
      <c r="E45" s="464"/>
      <c r="F45" s="464"/>
      <c r="G45" s="464"/>
      <c r="H45" s="464"/>
      <c r="I45" s="464"/>
      <c r="J45" s="464"/>
      <c r="K45" s="464"/>
      <c r="L45" s="464"/>
      <c r="M45" s="464"/>
      <c r="N45" s="464"/>
      <c r="O45" s="464"/>
      <c r="P45" s="464"/>
      <c r="Q45" s="464"/>
      <c r="R45" s="464"/>
      <c r="S45" s="464"/>
      <c r="T45" s="464"/>
      <c r="U45" s="464"/>
      <c r="V45" s="464"/>
      <c r="W45" s="464"/>
      <c r="X45" s="464"/>
      <c r="Y45" s="464"/>
      <c r="Z45" s="464"/>
      <c r="AA45" s="464"/>
      <c r="AB45" s="464"/>
      <c r="AC45" s="464"/>
      <c r="AD45" s="464"/>
      <c r="AE45" s="464"/>
      <c r="AF45" s="464"/>
      <c r="AG45" s="464"/>
      <c r="AH45" s="464"/>
      <c r="AI45" s="464"/>
      <c r="AJ45" s="464"/>
      <c r="AK45" s="464"/>
      <c r="AL45" s="463"/>
      <c r="AM45" s="463"/>
      <c r="AN45" s="463"/>
      <c r="AO45" s="463"/>
      <c r="AP45" s="463"/>
      <c r="AQ45" s="463"/>
      <c r="AR45" s="463"/>
      <c r="AS45" s="431"/>
      <c r="AT45" s="425"/>
      <c r="AU45" s="421"/>
      <c r="AV45" s="421"/>
      <c r="AW45" s="421"/>
      <c r="AX45" s="421"/>
      <c r="AY45" s="421"/>
      <c r="AZ45" s="422"/>
      <c r="BA45" s="422"/>
      <c r="BB45" s="405"/>
      <c r="BC45" s="406"/>
      <c r="BD45" s="391"/>
      <c r="BE45" s="444"/>
      <c r="BF45" s="444"/>
      <c r="BG45" s="447"/>
      <c r="BH45" s="444"/>
      <c r="BI45" s="444"/>
      <c r="BJ45" s="444"/>
      <c r="BK45" s="444"/>
      <c r="BL45" s="444"/>
      <c r="BM45" s="444"/>
      <c r="BN45" s="444"/>
      <c r="BO45" s="444"/>
      <c r="BP45" s="444"/>
      <c r="BQ45" s="444"/>
      <c r="BR45" s="444"/>
      <c r="BS45" s="444"/>
      <c r="BT45" s="444"/>
    </row>
    <row r="46" spans="1:72" ht="12.5" customHeight="1">
      <c r="A46" s="393"/>
      <c r="B46" s="418"/>
      <c r="C46" s="427"/>
      <c r="D46" s="464" t="s">
        <v>216</v>
      </c>
      <c r="E46" s="464"/>
      <c r="F46" s="464"/>
      <c r="G46" s="464"/>
      <c r="H46" s="464"/>
      <c r="I46" s="464"/>
      <c r="J46" s="464"/>
      <c r="K46" s="464"/>
      <c r="L46" s="464"/>
      <c r="M46" s="464"/>
      <c r="N46" s="464"/>
      <c r="O46" s="464"/>
      <c r="P46" s="464"/>
      <c r="Q46" s="464"/>
      <c r="R46" s="464"/>
      <c r="S46" s="464"/>
      <c r="T46" s="464"/>
      <c r="U46" s="464"/>
      <c r="V46" s="464"/>
      <c r="W46" s="464"/>
      <c r="X46" s="464"/>
      <c r="Y46" s="464"/>
      <c r="Z46" s="464"/>
      <c r="AA46" s="464"/>
      <c r="AB46" s="464"/>
      <c r="AC46" s="464"/>
      <c r="AD46" s="464"/>
      <c r="AE46" s="464"/>
      <c r="AF46" s="464"/>
      <c r="AG46" s="464"/>
      <c r="AH46" s="464"/>
      <c r="AI46" s="464"/>
      <c r="AJ46" s="464"/>
      <c r="AK46" s="464"/>
      <c r="AL46" s="463"/>
      <c r="AM46" s="463"/>
      <c r="AN46" s="463"/>
      <c r="AO46" s="463"/>
      <c r="AP46" s="463"/>
      <c r="AQ46" s="463"/>
      <c r="AR46" s="463"/>
      <c r="AS46" s="432"/>
      <c r="AT46" s="429"/>
      <c r="AU46" s="429"/>
      <c r="AV46" s="429"/>
      <c r="AW46" s="429"/>
      <c r="AX46" s="429"/>
      <c r="AY46" s="429"/>
      <c r="AZ46" s="422"/>
      <c r="BA46" s="422"/>
      <c r="BB46" s="405"/>
      <c r="BC46" s="406"/>
      <c r="BD46" s="391"/>
      <c r="BE46" s="444"/>
      <c r="BF46" s="444"/>
      <c r="BG46" s="447"/>
      <c r="BH46" s="444"/>
      <c r="BI46" s="444"/>
      <c r="BJ46" s="444"/>
      <c r="BK46" s="444"/>
      <c r="BL46" s="444"/>
      <c r="BM46" s="444"/>
      <c r="BN46" s="444"/>
      <c r="BO46" s="444"/>
      <c r="BP46" s="444"/>
      <c r="BQ46" s="444"/>
      <c r="BR46" s="444"/>
      <c r="BS46" s="444"/>
      <c r="BT46" s="444"/>
    </row>
    <row r="47" spans="1:72" ht="12.5" customHeight="1">
      <c r="A47" s="393"/>
      <c r="B47" s="418"/>
      <c r="C47" s="427"/>
      <c r="D47" s="464"/>
      <c r="E47" s="464"/>
      <c r="F47" s="464"/>
      <c r="G47" s="464"/>
      <c r="H47" s="464"/>
      <c r="I47" s="464"/>
      <c r="J47" s="464"/>
      <c r="K47" s="464"/>
      <c r="L47" s="464"/>
      <c r="M47" s="464"/>
      <c r="N47" s="464"/>
      <c r="O47" s="464"/>
      <c r="P47" s="464"/>
      <c r="Q47" s="464"/>
      <c r="R47" s="464"/>
      <c r="S47" s="464"/>
      <c r="T47" s="464"/>
      <c r="U47" s="464"/>
      <c r="V47" s="464"/>
      <c r="W47" s="464"/>
      <c r="X47" s="464"/>
      <c r="Y47" s="464"/>
      <c r="Z47" s="464"/>
      <c r="AA47" s="464"/>
      <c r="AB47" s="464"/>
      <c r="AC47" s="464"/>
      <c r="AD47" s="464"/>
      <c r="AE47" s="464"/>
      <c r="AF47" s="464"/>
      <c r="AG47" s="464"/>
      <c r="AH47" s="464"/>
      <c r="AI47" s="464"/>
      <c r="AJ47" s="464"/>
      <c r="AK47" s="464"/>
      <c r="AL47" s="463"/>
      <c r="AM47" s="463"/>
      <c r="AN47" s="463"/>
      <c r="AO47" s="463"/>
      <c r="AP47" s="463"/>
      <c r="AQ47" s="463"/>
      <c r="AR47" s="463"/>
      <c r="AS47" s="431"/>
      <c r="AT47" s="421"/>
      <c r="AU47" s="421"/>
      <c r="AV47" s="421"/>
      <c r="AW47" s="421"/>
      <c r="AX47" s="421"/>
      <c r="AY47" s="421"/>
      <c r="AZ47" s="422"/>
      <c r="BA47" s="422"/>
      <c r="BB47" s="405"/>
      <c r="BC47" s="406"/>
      <c r="BD47" s="391"/>
      <c r="BE47" s="444"/>
      <c r="BF47" s="444"/>
      <c r="BG47" s="447"/>
      <c r="BH47" s="444"/>
      <c r="BI47" s="444"/>
      <c r="BJ47" s="444"/>
      <c r="BK47" s="444"/>
      <c r="BL47" s="444"/>
      <c r="BM47" s="444"/>
      <c r="BN47" s="444"/>
      <c r="BO47" s="444"/>
      <c r="BP47" s="444"/>
      <c r="BQ47" s="444"/>
      <c r="BR47" s="444"/>
      <c r="BS47" s="444"/>
      <c r="BT47" s="444"/>
    </row>
    <row r="48" spans="1:72" ht="12.5" customHeight="1">
      <c r="A48" s="393"/>
      <c r="B48" s="418"/>
      <c r="C48" s="420"/>
      <c r="D48" s="420"/>
      <c r="E48" s="420"/>
      <c r="F48" s="420"/>
      <c r="G48" s="420"/>
      <c r="H48" s="420"/>
      <c r="I48" s="420"/>
      <c r="J48" s="420"/>
      <c r="K48" s="420"/>
      <c r="L48" s="420"/>
      <c r="M48" s="420"/>
      <c r="N48" s="420"/>
      <c r="O48" s="420"/>
      <c r="P48" s="420"/>
      <c r="Q48" s="420"/>
      <c r="R48" s="420"/>
      <c r="S48" s="420"/>
      <c r="T48" s="420"/>
      <c r="U48" s="420"/>
      <c r="V48" s="420"/>
      <c r="W48" s="420"/>
      <c r="X48" s="420"/>
      <c r="Y48" s="420"/>
      <c r="Z48" s="420"/>
      <c r="AA48" s="420"/>
      <c r="AB48" s="420"/>
      <c r="AC48" s="420"/>
      <c r="AD48" s="420"/>
      <c r="AE48" s="420"/>
      <c r="AF48" s="420"/>
      <c r="AG48" s="420"/>
      <c r="AH48" s="420"/>
      <c r="AI48" s="420"/>
      <c r="AJ48" s="420"/>
      <c r="AK48" s="420"/>
      <c r="AL48" s="420"/>
      <c r="AM48" s="420"/>
      <c r="AN48" s="420"/>
      <c r="AO48" s="420"/>
      <c r="AP48" s="420"/>
      <c r="AQ48" s="420"/>
      <c r="AR48" s="420"/>
      <c r="AS48" s="420"/>
      <c r="AT48" s="420"/>
      <c r="AU48" s="420"/>
      <c r="AV48" s="420"/>
      <c r="AW48" s="420"/>
      <c r="AX48" s="420"/>
      <c r="AY48" s="420"/>
      <c r="AZ48" s="422"/>
      <c r="BA48" s="422"/>
      <c r="BB48" s="405"/>
      <c r="BC48" s="406"/>
      <c r="BD48" s="391"/>
      <c r="BE48" s="444"/>
      <c r="BF48" s="444"/>
      <c r="BG48" s="447"/>
      <c r="BH48" s="444"/>
      <c r="BI48" s="444"/>
      <c r="BJ48" s="444"/>
      <c r="BK48" s="444"/>
      <c r="BL48" s="444"/>
      <c r="BM48" s="444"/>
      <c r="BN48" s="444"/>
      <c r="BO48" s="444"/>
      <c r="BP48" s="444"/>
      <c r="BQ48" s="444"/>
      <c r="BR48" s="444"/>
      <c r="BS48" s="444"/>
      <c r="BT48" s="444"/>
    </row>
    <row r="49" spans="1:72" ht="12.5" customHeight="1">
      <c r="A49" s="393"/>
      <c r="B49" s="426"/>
      <c r="C49" s="420"/>
      <c r="D49" s="420"/>
      <c r="E49" s="420"/>
      <c r="F49" s="420"/>
      <c r="G49" s="420"/>
      <c r="H49" s="420"/>
      <c r="I49" s="420"/>
      <c r="J49" s="420"/>
      <c r="K49" s="420"/>
      <c r="L49" s="420"/>
      <c r="M49" s="420"/>
      <c r="N49" s="420"/>
      <c r="O49" s="420"/>
      <c r="P49" s="420"/>
      <c r="Q49" s="420"/>
      <c r="R49" s="420"/>
      <c r="S49" s="420"/>
      <c r="T49" s="420"/>
      <c r="U49" s="420"/>
      <c r="V49" s="420"/>
      <c r="W49" s="420"/>
      <c r="X49" s="420"/>
      <c r="Y49" s="420"/>
      <c r="Z49" s="420"/>
      <c r="AA49" s="420"/>
      <c r="AB49" s="420"/>
      <c r="AC49" s="420"/>
      <c r="AD49" s="420"/>
      <c r="AE49" s="420"/>
      <c r="AF49" s="420"/>
      <c r="AG49" s="420"/>
      <c r="AH49" s="420"/>
      <c r="AI49" s="420"/>
      <c r="AJ49" s="420"/>
      <c r="AK49" s="420"/>
      <c r="AL49" s="420"/>
      <c r="AM49" s="420"/>
      <c r="AN49" s="420"/>
      <c r="AO49" s="420"/>
      <c r="AP49" s="420"/>
      <c r="AQ49" s="420"/>
      <c r="AR49" s="420"/>
      <c r="AS49" s="420"/>
      <c r="AT49" s="420"/>
      <c r="AU49" s="420"/>
      <c r="AV49" s="420"/>
      <c r="AW49" s="420"/>
      <c r="AX49" s="420"/>
      <c r="AY49" s="420"/>
      <c r="AZ49" s="422"/>
      <c r="BA49" s="422"/>
      <c r="BB49" s="389"/>
      <c r="BC49" s="390"/>
      <c r="BD49" s="391"/>
      <c r="BE49" s="444"/>
      <c r="BF49" s="444"/>
      <c r="BG49" s="444"/>
      <c r="BH49" s="444"/>
      <c r="BI49" s="444"/>
      <c r="BJ49" s="444"/>
      <c r="BK49" s="444"/>
      <c r="BL49" s="444"/>
      <c r="BM49" s="444"/>
      <c r="BN49" s="444"/>
      <c r="BO49" s="444"/>
      <c r="BP49" s="444"/>
      <c r="BQ49" s="444"/>
      <c r="BR49" s="444"/>
      <c r="BS49" s="444"/>
      <c r="BT49" s="444"/>
    </row>
    <row r="50" spans="1:72" ht="12.5" customHeight="1">
      <c r="A50" s="393"/>
      <c r="B50" s="426"/>
      <c r="C50" s="420"/>
      <c r="D50" s="420"/>
      <c r="E50" s="420"/>
      <c r="F50" s="420"/>
      <c r="G50" s="420"/>
      <c r="H50" s="420"/>
      <c r="I50" s="420"/>
      <c r="J50" s="420"/>
      <c r="K50" s="420"/>
      <c r="L50" s="420"/>
      <c r="M50" s="420"/>
      <c r="N50" s="420"/>
      <c r="O50" s="420"/>
      <c r="P50" s="420"/>
      <c r="Q50" s="420"/>
      <c r="R50" s="420"/>
      <c r="S50" s="420"/>
      <c r="T50" s="420"/>
      <c r="U50" s="420"/>
      <c r="V50" s="420"/>
      <c r="W50" s="420"/>
      <c r="X50" s="420"/>
      <c r="Y50" s="420"/>
      <c r="Z50" s="420"/>
      <c r="AA50" s="420"/>
      <c r="AB50" s="420"/>
      <c r="AC50" s="420"/>
      <c r="AD50" s="420"/>
      <c r="AE50" s="420"/>
      <c r="AF50" s="420"/>
      <c r="AG50" s="420"/>
      <c r="AH50" s="420"/>
      <c r="AI50" s="420"/>
      <c r="AJ50" s="420"/>
      <c r="AK50" s="420"/>
      <c r="AL50" s="420"/>
      <c r="AM50" s="420"/>
      <c r="AN50" s="420"/>
      <c r="AO50" s="420"/>
      <c r="AP50" s="420"/>
      <c r="AQ50" s="420"/>
      <c r="AR50" s="420"/>
      <c r="AS50" s="420"/>
      <c r="AT50" s="420"/>
      <c r="AU50" s="420"/>
      <c r="AV50" s="420"/>
      <c r="AW50" s="420"/>
      <c r="AX50" s="420"/>
      <c r="AY50" s="420"/>
      <c r="AZ50" s="422"/>
      <c r="BA50" s="422"/>
      <c r="BB50" s="389"/>
      <c r="BC50" s="390"/>
      <c r="BD50" s="391"/>
      <c r="BE50" s="444"/>
      <c r="BF50" s="444"/>
      <c r="BG50" s="444"/>
      <c r="BH50" s="444"/>
      <c r="BI50" s="444"/>
      <c r="BJ50" s="444"/>
      <c r="BK50" s="444"/>
      <c r="BL50" s="444"/>
      <c r="BM50" s="444"/>
      <c r="BN50" s="444"/>
      <c r="BO50" s="444"/>
      <c r="BP50" s="444"/>
      <c r="BQ50" s="444"/>
      <c r="BR50" s="444"/>
      <c r="BS50" s="444"/>
      <c r="BT50" s="444"/>
    </row>
    <row r="51" spans="1:72" ht="12.5" customHeight="1">
      <c r="A51" s="393"/>
      <c r="B51" s="418"/>
      <c r="C51" s="420"/>
      <c r="D51" s="420"/>
      <c r="E51" s="420"/>
      <c r="F51" s="420"/>
      <c r="G51" s="420"/>
      <c r="H51" s="420"/>
      <c r="I51" s="420"/>
      <c r="J51" s="420"/>
      <c r="K51" s="420"/>
      <c r="L51" s="420"/>
      <c r="M51" s="420"/>
      <c r="N51" s="420"/>
      <c r="O51" s="420"/>
      <c r="P51" s="420"/>
      <c r="Q51" s="420"/>
      <c r="R51" s="420"/>
      <c r="S51" s="420"/>
      <c r="T51" s="420"/>
      <c r="U51" s="420"/>
      <c r="V51" s="420"/>
      <c r="W51" s="420"/>
      <c r="X51" s="420"/>
      <c r="Y51" s="420"/>
      <c r="Z51" s="420"/>
      <c r="AA51" s="420"/>
      <c r="AB51" s="420"/>
      <c r="AC51" s="420"/>
      <c r="AD51" s="420"/>
      <c r="AE51" s="420"/>
      <c r="AF51" s="420"/>
      <c r="AG51" s="420"/>
      <c r="AH51" s="420"/>
      <c r="AI51" s="420"/>
      <c r="AJ51" s="420"/>
      <c r="AK51" s="420"/>
      <c r="AL51" s="420"/>
      <c r="AM51" s="420"/>
      <c r="AN51" s="420"/>
      <c r="AO51" s="420"/>
      <c r="AP51" s="420"/>
      <c r="AQ51" s="420"/>
      <c r="AR51" s="420"/>
      <c r="AS51" s="420"/>
      <c r="AT51" s="420"/>
      <c r="AU51" s="420"/>
      <c r="AV51" s="420"/>
      <c r="AW51" s="420"/>
      <c r="AX51" s="420"/>
      <c r="AY51" s="420"/>
      <c r="AZ51" s="422"/>
      <c r="BA51" s="422"/>
      <c r="BB51" s="405"/>
      <c r="BC51" s="406"/>
      <c r="BD51" s="391"/>
      <c r="BE51" s="444"/>
      <c r="BF51" s="444"/>
      <c r="BG51" s="447"/>
      <c r="BH51" s="444"/>
      <c r="BI51" s="444"/>
      <c r="BJ51" s="444"/>
      <c r="BK51" s="444"/>
      <c r="BL51" s="444"/>
      <c r="BM51" s="444"/>
      <c r="BN51" s="444"/>
      <c r="BO51" s="444"/>
      <c r="BP51" s="444"/>
      <c r="BQ51" s="444"/>
      <c r="BR51" s="444"/>
      <c r="BS51" s="444"/>
      <c r="BT51" s="444"/>
    </row>
    <row r="52" spans="1:72" ht="12.5" customHeight="1">
      <c r="A52" s="393"/>
      <c r="B52" s="418"/>
      <c r="C52" s="420"/>
      <c r="D52" s="420"/>
      <c r="E52" s="420"/>
      <c r="F52" s="420"/>
      <c r="G52" s="420"/>
      <c r="H52" s="420"/>
      <c r="I52" s="420"/>
      <c r="J52" s="420"/>
      <c r="K52" s="420"/>
      <c r="L52" s="420"/>
      <c r="M52" s="420"/>
      <c r="N52" s="420"/>
      <c r="O52" s="420"/>
      <c r="P52" s="420"/>
      <c r="Q52" s="420"/>
      <c r="R52" s="420"/>
      <c r="S52" s="420"/>
      <c r="T52" s="420"/>
      <c r="U52" s="420"/>
      <c r="V52" s="420"/>
      <c r="W52" s="420"/>
      <c r="X52" s="420"/>
      <c r="Y52" s="420"/>
      <c r="Z52" s="420"/>
      <c r="AA52" s="420"/>
      <c r="AB52" s="420"/>
      <c r="AC52" s="420"/>
      <c r="AD52" s="420"/>
      <c r="AE52" s="420"/>
      <c r="AF52" s="420"/>
      <c r="AG52" s="420"/>
      <c r="AH52" s="420"/>
      <c r="AI52" s="420"/>
      <c r="AJ52" s="420"/>
      <c r="AK52" s="420"/>
      <c r="AL52" s="420"/>
      <c r="AM52" s="420"/>
      <c r="AN52" s="420"/>
      <c r="AO52" s="420"/>
      <c r="AP52" s="420"/>
      <c r="AQ52" s="420"/>
      <c r="AR52" s="420"/>
      <c r="AS52" s="420"/>
      <c r="AT52" s="420"/>
      <c r="AU52" s="420"/>
      <c r="AV52" s="420"/>
      <c r="AW52" s="420"/>
      <c r="AX52" s="420"/>
      <c r="AY52" s="420"/>
      <c r="AZ52" s="422"/>
      <c r="BA52" s="422"/>
      <c r="BB52" s="405"/>
      <c r="BC52" s="406"/>
      <c r="BD52" s="391"/>
      <c r="BE52" s="444"/>
      <c r="BF52" s="444"/>
      <c r="BG52" s="447"/>
      <c r="BH52" s="444"/>
      <c r="BI52" s="444"/>
      <c r="BJ52" s="444"/>
      <c r="BK52" s="444"/>
      <c r="BL52" s="444"/>
      <c r="BM52" s="444"/>
      <c r="BN52" s="444"/>
      <c r="BO52" s="444"/>
      <c r="BP52" s="444"/>
      <c r="BQ52" s="444"/>
      <c r="BR52" s="444"/>
      <c r="BS52" s="444"/>
      <c r="BT52" s="444"/>
    </row>
    <row r="53" spans="1:72" ht="12.5" customHeight="1">
      <c r="A53" s="393"/>
      <c r="B53" s="426"/>
      <c r="C53" s="420"/>
      <c r="D53" s="420"/>
      <c r="E53" s="420"/>
      <c r="F53" s="420"/>
      <c r="G53" s="420"/>
      <c r="H53" s="420"/>
      <c r="I53" s="420"/>
      <c r="J53" s="420"/>
      <c r="K53" s="420"/>
      <c r="L53" s="420"/>
      <c r="M53" s="420"/>
      <c r="N53" s="420"/>
      <c r="O53" s="420"/>
      <c r="P53" s="420"/>
      <c r="Q53" s="420"/>
      <c r="R53" s="420"/>
      <c r="S53" s="420"/>
      <c r="T53" s="420"/>
      <c r="U53" s="420"/>
      <c r="V53" s="420"/>
      <c r="W53" s="420"/>
      <c r="X53" s="420"/>
      <c r="Y53" s="420"/>
      <c r="Z53" s="420"/>
      <c r="AA53" s="420"/>
      <c r="AB53" s="420"/>
      <c r="AC53" s="420"/>
      <c r="AD53" s="420"/>
      <c r="AE53" s="420"/>
      <c r="AF53" s="420"/>
      <c r="AG53" s="420"/>
      <c r="AH53" s="420"/>
      <c r="AI53" s="420"/>
      <c r="AJ53" s="420"/>
      <c r="AK53" s="420"/>
      <c r="AL53" s="420"/>
      <c r="AM53" s="420"/>
      <c r="AN53" s="420"/>
      <c r="AO53" s="420"/>
      <c r="AP53" s="420"/>
      <c r="AQ53" s="420"/>
      <c r="AR53" s="420"/>
      <c r="AS53" s="420"/>
      <c r="AT53" s="420"/>
      <c r="AU53" s="420"/>
      <c r="AV53" s="420"/>
      <c r="AW53" s="420"/>
      <c r="AX53" s="420"/>
      <c r="AY53" s="420"/>
      <c r="AZ53" s="422"/>
      <c r="BA53" s="422"/>
      <c r="BB53" s="389"/>
      <c r="BC53" s="390"/>
      <c r="BD53" s="391"/>
      <c r="BE53" s="444"/>
      <c r="BF53" s="444"/>
      <c r="BG53" s="444"/>
      <c r="BH53" s="444"/>
      <c r="BI53" s="444"/>
      <c r="BJ53" s="444"/>
      <c r="BK53" s="444"/>
      <c r="BL53" s="444"/>
      <c r="BM53" s="444"/>
      <c r="BN53" s="444"/>
      <c r="BO53" s="444"/>
      <c r="BP53" s="444"/>
      <c r="BQ53" s="444"/>
      <c r="BR53" s="444"/>
      <c r="BS53" s="444"/>
      <c r="BT53" s="444"/>
    </row>
    <row r="54" spans="1:72" ht="15">
      <c r="A54" s="393"/>
      <c r="B54" s="451"/>
      <c r="C54" s="452"/>
      <c r="D54" s="452"/>
      <c r="E54" s="452"/>
      <c r="F54" s="452"/>
      <c r="G54" s="452"/>
      <c r="H54" s="452"/>
      <c r="I54" s="452"/>
      <c r="J54" s="452"/>
      <c r="K54" s="452"/>
      <c r="L54" s="452"/>
      <c r="M54" s="452"/>
      <c r="N54" s="452"/>
      <c r="O54" s="452"/>
      <c r="P54" s="452"/>
      <c r="Q54" s="452"/>
      <c r="R54" s="452"/>
      <c r="S54" s="453"/>
      <c r="T54" s="453"/>
      <c r="U54" s="453"/>
      <c r="V54" s="453"/>
      <c r="W54" s="452"/>
      <c r="X54" s="452"/>
      <c r="Y54" s="453"/>
      <c r="Z54" s="453"/>
      <c r="AA54" s="452"/>
      <c r="AB54" s="452"/>
      <c r="AC54" s="452"/>
      <c r="AD54" s="453"/>
      <c r="AE54" s="453"/>
      <c r="AF54" s="453"/>
      <c r="AG54" s="453"/>
      <c r="AH54" s="453"/>
      <c r="AI54" s="453"/>
      <c r="AJ54" s="453"/>
      <c r="AK54" s="453"/>
      <c r="AL54" s="453"/>
      <c r="AM54" s="453"/>
      <c r="AN54" s="453"/>
      <c r="AO54" s="453"/>
      <c r="AP54" s="453"/>
      <c r="AQ54" s="453"/>
      <c r="AR54" s="453"/>
      <c r="AS54" s="453"/>
      <c r="AT54" s="453"/>
      <c r="AU54" s="453"/>
      <c r="AV54" s="453"/>
      <c r="AW54" s="453"/>
      <c r="AX54" s="453"/>
      <c r="AY54" s="451"/>
      <c r="AZ54" s="451"/>
      <c r="BA54" s="422"/>
      <c r="BB54" s="454"/>
      <c r="BC54" s="455"/>
      <c r="BD54" s="407"/>
      <c r="BE54" s="444"/>
      <c r="BF54" s="444"/>
      <c r="BG54" s="444"/>
      <c r="BH54" s="444"/>
      <c r="BI54" s="444"/>
      <c r="BJ54" s="444"/>
      <c r="BK54" s="444"/>
      <c r="BL54" s="444"/>
      <c r="BM54" s="444"/>
      <c r="BN54" s="444"/>
      <c r="BO54" s="444"/>
      <c r="BP54" s="444"/>
      <c r="BQ54" s="444"/>
      <c r="BR54" s="444"/>
      <c r="BS54" s="444"/>
      <c r="BT54" s="444"/>
    </row>
    <row r="55" spans="1:72" ht="15">
      <c r="A55" s="408"/>
      <c r="B55" s="448"/>
      <c r="C55" s="449"/>
      <c r="D55" s="449"/>
      <c r="E55" s="449"/>
      <c r="F55" s="449"/>
      <c r="G55" s="449"/>
      <c r="H55" s="449"/>
      <c r="I55" s="449"/>
      <c r="J55" s="449"/>
      <c r="K55" s="449"/>
      <c r="L55" s="449"/>
      <c r="M55" s="449"/>
      <c r="N55" s="449"/>
      <c r="O55" s="449"/>
      <c r="P55" s="449"/>
      <c r="Q55" s="449"/>
      <c r="R55" s="449"/>
      <c r="S55" s="450"/>
      <c r="T55" s="450"/>
      <c r="U55" s="450"/>
      <c r="V55" s="450"/>
      <c r="W55" s="449"/>
      <c r="X55" s="449"/>
      <c r="Y55" s="450"/>
      <c r="Z55" s="450"/>
      <c r="AA55" s="449"/>
      <c r="AB55" s="449"/>
      <c r="AC55" s="449"/>
      <c r="AD55" s="450"/>
      <c r="AE55" s="450"/>
      <c r="AF55" s="450"/>
      <c r="AG55" s="450"/>
      <c r="AH55" s="450"/>
      <c r="AI55" s="450"/>
      <c r="AJ55" s="450"/>
      <c r="AK55" s="450"/>
      <c r="AL55" s="450"/>
      <c r="AM55" s="450"/>
      <c r="AN55" s="450"/>
      <c r="AO55" s="450"/>
      <c r="AP55" s="450"/>
      <c r="AQ55" s="450"/>
      <c r="AR55" s="450"/>
      <c r="AS55" s="450"/>
      <c r="AT55" s="450"/>
      <c r="AU55" s="450"/>
      <c r="AV55" s="450"/>
      <c r="AW55" s="450"/>
      <c r="AX55" s="450"/>
      <c r="AY55" s="448"/>
      <c r="AZ55" s="448"/>
      <c r="BA55" s="430"/>
      <c r="BB55" s="456"/>
      <c r="BC55" s="406"/>
      <c r="BD55" s="407"/>
      <c r="BE55" s="444"/>
      <c r="BF55" s="444"/>
      <c r="BG55" s="444"/>
      <c r="BH55" s="444"/>
      <c r="BI55" s="444"/>
      <c r="BJ55" s="444"/>
      <c r="BK55" s="444"/>
      <c r="BL55" s="444"/>
      <c r="BM55" s="444"/>
      <c r="BN55" s="444"/>
      <c r="BO55" s="444"/>
      <c r="BP55" s="444"/>
      <c r="BQ55" s="444"/>
      <c r="BR55" s="444"/>
      <c r="BS55" s="444"/>
      <c r="BT55" s="444"/>
    </row>
    <row r="56" spans="1:72" ht="15">
      <c r="A56" s="392"/>
      <c r="B56" s="392"/>
      <c r="C56" s="392"/>
      <c r="D56" s="392"/>
      <c r="E56" s="392"/>
      <c r="F56" s="392"/>
      <c r="G56" s="392"/>
      <c r="H56" s="392"/>
      <c r="I56" s="392"/>
      <c r="J56" s="392"/>
      <c r="K56" s="392"/>
      <c r="L56" s="392"/>
      <c r="M56" s="392"/>
      <c r="N56" s="392"/>
      <c r="O56" s="392"/>
      <c r="P56" s="392"/>
      <c r="Q56" s="392"/>
      <c r="R56" s="392"/>
      <c r="S56" s="409"/>
      <c r="T56" s="409"/>
      <c r="U56" s="409"/>
      <c r="V56" s="409"/>
      <c r="W56" s="392"/>
      <c r="X56" s="392"/>
      <c r="Y56" s="409"/>
      <c r="Z56" s="409"/>
      <c r="AA56" s="392"/>
      <c r="AB56" s="392"/>
      <c r="AC56" s="392"/>
      <c r="AD56" s="409"/>
      <c r="AE56" s="409"/>
      <c r="AF56" s="409"/>
      <c r="AG56" s="409"/>
      <c r="AH56" s="409"/>
      <c r="AI56" s="409"/>
      <c r="AJ56" s="409"/>
      <c r="AK56" s="409"/>
      <c r="AL56" s="409"/>
      <c r="AM56" s="409"/>
      <c r="AN56" s="409"/>
      <c r="AO56" s="409"/>
      <c r="AP56" s="409"/>
      <c r="AQ56" s="409"/>
      <c r="AR56" s="409"/>
      <c r="AS56" s="409"/>
      <c r="AT56" s="409"/>
      <c r="AU56" s="409"/>
      <c r="AV56" s="409"/>
      <c r="AW56" s="409"/>
      <c r="AX56" s="409"/>
      <c r="AY56" s="409"/>
      <c r="AZ56" s="409"/>
      <c r="BA56" s="409"/>
      <c r="BB56" s="409"/>
      <c r="BC56" s="409"/>
      <c r="BD56" s="407"/>
      <c r="BE56" s="444"/>
      <c r="BF56" s="444"/>
      <c r="BG56" s="444"/>
      <c r="BH56" s="444"/>
      <c r="BI56" s="444"/>
      <c r="BJ56" s="444"/>
      <c r="BK56" s="444"/>
      <c r="BL56" s="444"/>
      <c r="BM56" s="444"/>
      <c r="BN56" s="444"/>
      <c r="BO56" s="444"/>
      <c r="BP56" s="444"/>
      <c r="BQ56" s="444"/>
      <c r="BR56" s="444"/>
      <c r="BS56" s="444"/>
      <c r="BT56" s="444"/>
    </row>
    <row r="57" spans="1:72" ht="15">
      <c r="A57" s="392"/>
      <c r="B57" s="392"/>
      <c r="C57" s="392"/>
      <c r="D57" s="392"/>
      <c r="E57" s="392"/>
      <c r="F57" s="392"/>
      <c r="G57" s="392"/>
      <c r="H57" s="392"/>
      <c r="I57" s="392"/>
      <c r="J57" s="392"/>
      <c r="K57" s="392"/>
      <c r="L57" s="392"/>
      <c r="M57" s="392"/>
      <c r="N57" s="392"/>
      <c r="O57" s="392"/>
      <c r="P57" s="392"/>
      <c r="Q57" s="392"/>
      <c r="R57" s="392"/>
      <c r="S57" s="409"/>
      <c r="T57" s="409"/>
      <c r="U57" s="409"/>
      <c r="V57" s="409"/>
      <c r="W57" s="392"/>
      <c r="X57" s="392"/>
      <c r="Y57" s="409"/>
      <c r="Z57" s="409"/>
      <c r="AA57" s="392"/>
      <c r="AB57" s="392"/>
      <c r="AC57" s="392"/>
      <c r="AD57" s="409"/>
      <c r="AE57" s="409"/>
      <c r="AF57" s="409"/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409"/>
      <c r="AS57" s="409"/>
      <c r="AT57" s="409"/>
      <c r="AU57" s="409"/>
      <c r="AV57" s="409"/>
      <c r="AW57" s="409"/>
      <c r="AX57" s="409"/>
      <c r="AY57" s="409"/>
      <c r="AZ57" s="409"/>
      <c r="BA57" s="409"/>
      <c r="BB57" s="409"/>
      <c r="BC57" s="409"/>
      <c r="BD57" s="407"/>
      <c r="BE57" s="444"/>
      <c r="BF57" s="444"/>
      <c r="BG57" s="444"/>
      <c r="BH57" s="444"/>
      <c r="BI57" s="444"/>
      <c r="BJ57" s="444"/>
      <c r="BK57" s="444"/>
      <c r="BL57" s="444"/>
      <c r="BM57" s="444"/>
      <c r="BN57" s="444"/>
      <c r="BO57" s="444"/>
      <c r="BP57" s="444"/>
      <c r="BQ57" s="444"/>
      <c r="BR57" s="444"/>
      <c r="BS57" s="444"/>
      <c r="BT57" s="444"/>
    </row>
    <row r="58" spans="1:72" ht="15">
      <c r="A58" s="392"/>
      <c r="B58" s="392"/>
      <c r="C58" s="392"/>
      <c r="D58" s="392"/>
      <c r="E58" s="392"/>
      <c r="F58" s="392"/>
      <c r="G58" s="392"/>
      <c r="H58" s="392"/>
      <c r="I58" s="392"/>
      <c r="J58" s="392"/>
      <c r="K58" s="392"/>
      <c r="L58" s="392"/>
      <c r="M58" s="392"/>
      <c r="N58" s="392"/>
      <c r="O58" s="392"/>
      <c r="P58" s="392"/>
      <c r="Q58" s="392"/>
      <c r="R58" s="392"/>
      <c r="S58" s="409"/>
      <c r="T58" s="409"/>
      <c r="U58" s="409"/>
      <c r="V58" s="409"/>
      <c r="W58" s="392"/>
      <c r="X58" s="392"/>
      <c r="Y58" s="409"/>
      <c r="Z58" s="409"/>
      <c r="AA58" s="392"/>
      <c r="AB58" s="392"/>
      <c r="AC58" s="392"/>
      <c r="AD58" s="409"/>
      <c r="AE58" s="409"/>
      <c r="AF58" s="409"/>
      <c r="AG58" s="409"/>
      <c r="AH58" s="409"/>
      <c r="AI58" s="409"/>
      <c r="AJ58" s="409"/>
      <c r="AK58" s="409"/>
      <c r="AL58" s="409"/>
      <c r="AM58" s="409"/>
      <c r="AN58" s="409"/>
      <c r="AO58" s="409"/>
      <c r="AP58" s="409"/>
      <c r="AQ58" s="409"/>
      <c r="AR58" s="409"/>
      <c r="AS58" s="409"/>
      <c r="AT58" s="409"/>
      <c r="AU58" s="409"/>
      <c r="AV58" s="409"/>
      <c r="AW58" s="409"/>
      <c r="AX58" s="409"/>
      <c r="AY58" s="409"/>
      <c r="AZ58" s="409"/>
      <c r="BA58" s="409"/>
      <c r="BB58" s="409"/>
      <c r="BC58" s="409"/>
      <c r="BD58" s="407"/>
      <c r="BE58" s="444"/>
      <c r="BF58" s="444"/>
      <c r="BG58" s="444"/>
      <c r="BH58" s="444"/>
      <c r="BI58" s="444"/>
      <c r="BJ58" s="444"/>
      <c r="BK58" s="444"/>
      <c r="BL58" s="444"/>
      <c r="BM58" s="444"/>
      <c r="BN58" s="444"/>
      <c r="BO58" s="444"/>
      <c r="BP58" s="444"/>
      <c r="BQ58" s="444"/>
      <c r="BR58" s="444"/>
      <c r="BS58" s="444"/>
      <c r="BT58" s="444"/>
    </row>
    <row r="59" spans="1:72" ht="15">
      <c r="A59" s="392"/>
      <c r="B59" s="392"/>
      <c r="C59" s="392"/>
      <c r="D59" s="392"/>
      <c r="E59" s="392"/>
      <c r="F59" s="392"/>
      <c r="G59" s="392"/>
      <c r="H59" s="392"/>
      <c r="I59" s="392"/>
      <c r="J59" s="392"/>
      <c r="K59" s="392"/>
      <c r="L59" s="392"/>
      <c r="M59" s="392"/>
      <c r="N59" s="392"/>
      <c r="O59" s="392"/>
      <c r="P59" s="392"/>
      <c r="Q59" s="392"/>
      <c r="R59" s="392"/>
      <c r="S59" s="409"/>
      <c r="T59" s="409"/>
      <c r="U59" s="409"/>
      <c r="V59" s="409"/>
      <c r="W59" s="392"/>
      <c r="X59" s="392"/>
      <c r="Y59" s="409"/>
      <c r="Z59" s="409"/>
      <c r="AA59" s="392"/>
      <c r="AB59" s="392"/>
      <c r="AC59" s="392"/>
      <c r="AD59" s="409"/>
      <c r="AE59" s="409"/>
      <c r="AF59" s="409"/>
      <c r="AG59" s="409"/>
      <c r="AH59" s="409"/>
      <c r="AI59" s="409"/>
      <c r="AJ59" s="409"/>
      <c r="AK59" s="409"/>
      <c r="AL59" s="409"/>
      <c r="AM59" s="409"/>
      <c r="AN59" s="409"/>
      <c r="AO59" s="409"/>
      <c r="AP59" s="409"/>
      <c r="AQ59" s="409"/>
      <c r="AR59" s="409"/>
      <c r="AS59" s="409"/>
      <c r="AT59" s="409"/>
      <c r="AU59" s="409"/>
      <c r="AV59" s="409"/>
      <c r="AW59" s="409"/>
      <c r="AX59" s="409"/>
      <c r="AY59" s="409"/>
      <c r="AZ59" s="409"/>
      <c r="BA59" s="409"/>
      <c r="BB59" s="409"/>
      <c r="BC59" s="409"/>
      <c r="BD59" s="407"/>
      <c r="BE59" s="444"/>
      <c r="BF59" s="444"/>
      <c r="BG59" s="444"/>
      <c r="BH59" s="444"/>
      <c r="BI59" s="444"/>
      <c r="BJ59" s="444"/>
      <c r="BK59" s="444"/>
      <c r="BL59" s="444"/>
      <c r="BM59" s="444"/>
      <c r="BN59" s="444"/>
      <c r="BO59" s="444"/>
      <c r="BP59" s="444"/>
      <c r="BQ59" s="444"/>
      <c r="BR59" s="444"/>
      <c r="BS59" s="444"/>
      <c r="BT59" s="444"/>
    </row>
    <row r="60" spans="1:72" ht="15">
      <c r="A60" s="392"/>
      <c r="B60" s="392"/>
      <c r="C60" s="392"/>
      <c r="D60" s="392"/>
      <c r="E60" s="392"/>
      <c r="F60" s="392"/>
      <c r="G60" s="392"/>
      <c r="H60" s="392"/>
      <c r="I60" s="392"/>
      <c r="J60" s="392"/>
      <c r="K60" s="392"/>
      <c r="L60" s="392"/>
      <c r="M60" s="392"/>
      <c r="N60" s="392"/>
      <c r="O60" s="392"/>
      <c r="P60" s="392"/>
      <c r="Q60" s="392"/>
      <c r="R60" s="392"/>
      <c r="S60" s="409"/>
      <c r="T60" s="409"/>
      <c r="U60" s="409"/>
      <c r="V60" s="409"/>
      <c r="W60" s="392"/>
      <c r="X60" s="392"/>
      <c r="Y60" s="409"/>
      <c r="Z60" s="409"/>
      <c r="AA60" s="392"/>
      <c r="AB60" s="392"/>
      <c r="AC60" s="392"/>
      <c r="AD60" s="409"/>
      <c r="AE60" s="409"/>
      <c r="AF60" s="409"/>
      <c r="AG60" s="409"/>
      <c r="AH60" s="409"/>
      <c r="AI60" s="409"/>
      <c r="AJ60" s="409"/>
      <c r="AK60" s="409"/>
      <c r="AL60" s="409"/>
      <c r="AM60" s="409"/>
      <c r="AN60" s="409"/>
      <c r="AO60" s="409"/>
      <c r="AP60" s="409"/>
      <c r="AQ60" s="409"/>
      <c r="AR60" s="409"/>
      <c r="AS60" s="409"/>
      <c r="AT60" s="409"/>
      <c r="AU60" s="409"/>
      <c r="AV60" s="409"/>
      <c r="AW60" s="409"/>
      <c r="AX60" s="409"/>
      <c r="AY60" s="409"/>
      <c r="AZ60" s="409"/>
      <c r="BA60" s="409"/>
      <c r="BB60" s="409"/>
      <c r="BC60" s="409"/>
      <c r="BD60" s="407"/>
      <c r="BE60" s="444"/>
      <c r="BF60" s="444"/>
      <c r="BG60" s="444"/>
      <c r="BH60" s="444"/>
      <c r="BI60" s="444"/>
      <c r="BJ60" s="444"/>
      <c r="BK60" s="444"/>
      <c r="BL60" s="444"/>
      <c r="BM60" s="444"/>
      <c r="BN60" s="444"/>
      <c r="BO60" s="444"/>
      <c r="BP60" s="444"/>
      <c r="BQ60" s="444"/>
      <c r="BR60" s="444"/>
      <c r="BS60" s="444"/>
      <c r="BT60" s="444"/>
    </row>
    <row r="61" spans="1:72" ht="15">
      <c r="A61" s="392"/>
      <c r="B61" s="392"/>
      <c r="C61" s="392"/>
      <c r="D61" s="392"/>
      <c r="E61" s="392"/>
      <c r="F61" s="392"/>
      <c r="G61" s="392"/>
      <c r="H61" s="392"/>
      <c r="I61" s="392"/>
      <c r="J61" s="392"/>
      <c r="K61" s="392"/>
      <c r="L61" s="392"/>
      <c r="M61" s="392"/>
      <c r="N61" s="392"/>
      <c r="O61" s="392"/>
      <c r="P61" s="392"/>
      <c r="Q61" s="392"/>
      <c r="R61" s="392"/>
      <c r="S61" s="409"/>
      <c r="T61" s="409"/>
      <c r="U61" s="409"/>
      <c r="V61" s="409"/>
      <c r="W61" s="392"/>
      <c r="X61" s="392"/>
      <c r="Y61" s="409"/>
      <c r="Z61" s="409"/>
      <c r="AA61" s="392"/>
      <c r="AB61" s="392"/>
      <c r="AC61" s="392"/>
      <c r="AD61" s="409"/>
      <c r="AE61" s="409"/>
      <c r="AF61" s="409"/>
      <c r="AG61" s="409"/>
      <c r="AH61" s="409"/>
      <c r="AI61" s="409"/>
      <c r="AJ61" s="409"/>
      <c r="AK61" s="409"/>
      <c r="AL61" s="409"/>
      <c r="AM61" s="409"/>
      <c r="AN61" s="409"/>
      <c r="AO61" s="409"/>
      <c r="AP61" s="409"/>
      <c r="AQ61" s="409"/>
      <c r="AR61" s="409"/>
      <c r="AS61" s="409"/>
      <c r="AT61" s="409"/>
      <c r="AU61" s="409"/>
      <c r="AV61" s="409"/>
      <c r="AW61" s="409"/>
      <c r="AX61" s="409"/>
      <c r="AY61" s="409"/>
      <c r="AZ61" s="409"/>
      <c r="BA61" s="409"/>
      <c r="BB61" s="409"/>
      <c r="BC61" s="409"/>
      <c r="BD61" s="407"/>
      <c r="BE61" s="444"/>
      <c r="BF61" s="444"/>
      <c r="BG61" s="444"/>
      <c r="BH61" s="444"/>
      <c r="BI61" s="444"/>
      <c r="BJ61" s="444"/>
      <c r="BK61" s="444"/>
      <c r="BL61" s="444"/>
      <c r="BM61" s="444"/>
      <c r="BN61" s="444"/>
      <c r="BO61" s="444"/>
      <c r="BP61" s="444"/>
      <c r="BQ61" s="444"/>
      <c r="BR61" s="444"/>
      <c r="BS61" s="444"/>
      <c r="BT61" s="444"/>
    </row>
    <row r="62" spans="1:72" ht="15">
      <c r="A62" s="392"/>
      <c r="B62" s="392"/>
      <c r="C62" s="392"/>
      <c r="D62" s="392"/>
      <c r="E62" s="392"/>
      <c r="F62" s="392"/>
      <c r="G62" s="392"/>
      <c r="H62" s="392"/>
      <c r="I62" s="392"/>
      <c r="J62" s="392"/>
      <c r="K62" s="392"/>
      <c r="L62" s="392"/>
      <c r="M62" s="392"/>
      <c r="N62" s="392"/>
      <c r="O62" s="392"/>
      <c r="P62" s="392"/>
      <c r="Q62" s="392"/>
      <c r="R62" s="392"/>
      <c r="S62" s="409"/>
      <c r="T62" s="409"/>
      <c r="U62" s="409"/>
      <c r="V62" s="409"/>
      <c r="W62" s="392"/>
      <c r="X62" s="392"/>
      <c r="Y62" s="409"/>
      <c r="Z62" s="409"/>
      <c r="AA62" s="392"/>
      <c r="AB62" s="392"/>
      <c r="AC62" s="392"/>
      <c r="AD62" s="409"/>
      <c r="AE62" s="409"/>
      <c r="AF62" s="409"/>
      <c r="AG62" s="409"/>
      <c r="AH62" s="409"/>
      <c r="AI62" s="409"/>
      <c r="AJ62" s="409"/>
      <c r="AK62" s="409"/>
      <c r="AL62" s="409"/>
      <c r="AM62" s="409"/>
      <c r="AN62" s="409"/>
      <c r="AO62" s="409"/>
      <c r="AP62" s="409"/>
      <c r="AQ62" s="409"/>
      <c r="AR62" s="409"/>
      <c r="AS62" s="409"/>
      <c r="AT62" s="409"/>
      <c r="AU62" s="409"/>
      <c r="AV62" s="409"/>
      <c r="AW62" s="409"/>
      <c r="AX62" s="409"/>
      <c r="AY62" s="409"/>
      <c r="AZ62" s="409"/>
      <c r="BA62" s="409"/>
      <c r="BB62" s="409"/>
      <c r="BC62" s="409"/>
      <c r="BD62" s="407"/>
      <c r="BE62" s="444"/>
      <c r="BF62" s="444"/>
      <c r="BG62" s="444"/>
      <c r="BH62" s="444"/>
      <c r="BI62" s="444"/>
      <c r="BJ62" s="444"/>
      <c r="BK62" s="444"/>
      <c r="BL62" s="444"/>
      <c r="BM62" s="444"/>
      <c r="BN62" s="444"/>
      <c r="BO62" s="444"/>
      <c r="BP62" s="444"/>
      <c r="BQ62" s="444"/>
      <c r="BR62" s="444"/>
      <c r="BS62" s="444"/>
      <c r="BT62" s="444"/>
    </row>
    <row r="63" spans="1:72" ht="15">
      <c r="A63" s="392"/>
      <c r="B63" s="392"/>
      <c r="C63" s="392"/>
      <c r="D63" s="392"/>
      <c r="E63" s="392"/>
      <c r="F63" s="392"/>
      <c r="G63" s="392"/>
      <c r="H63" s="392"/>
      <c r="I63" s="392"/>
      <c r="J63" s="392"/>
      <c r="K63" s="392"/>
      <c r="L63" s="392"/>
      <c r="M63" s="392"/>
      <c r="N63" s="392"/>
      <c r="O63" s="392"/>
      <c r="P63" s="392"/>
      <c r="Q63" s="392"/>
      <c r="R63" s="392"/>
      <c r="S63" s="409"/>
      <c r="T63" s="409"/>
      <c r="U63" s="409"/>
      <c r="V63" s="409"/>
      <c r="W63" s="392"/>
      <c r="X63" s="392"/>
      <c r="Y63" s="409"/>
      <c r="Z63" s="409"/>
      <c r="AA63" s="392"/>
      <c r="AB63" s="392"/>
      <c r="AC63" s="392"/>
      <c r="AD63" s="409"/>
      <c r="AE63" s="409"/>
      <c r="AF63" s="409"/>
      <c r="AG63" s="409"/>
      <c r="AH63" s="409"/>
      <c r="AI63" s="409"/>
      <c r="AJ63" s="409"/>
      <c r="AK63" s="409"/>
      <c r="AL63" s="409"/>
      <c r="AM63" s="409"/>
      <c r="AN63" s="409"/>
      <c r="AO63" s="409"/>
      <c r="AP63" s="409"/>
      <c r="AQ63" s="409"/>
      <c r="AR63" s="409"/>
      <c r="AS63" s="409"/>
      <c r="AT63" s="409"/>
      <c r="AU63" s="409"/>
      <c r="AV63" s="409"/>
      <c r="AW63" s="409"/>
      <c r="AX63" s="409"/>
      <c r="AY63" s="409"/>
      <c r="AZ63" s="409"/>
      <c r="BA63" s="409"/>
      <c r="BB63" s="409"/>
      <c r="BC63" s="409"/>
      <c r="BD63" s="407"/>
      <c r="BE63" s="444"/>
      <c r="BF63" s="444"/>
      <c r="BG63" s="444"/>
      <c r="BH63" s="444"/>
      <c r="BI63" s="444"/>
      <c r="BJ63" s="444"/>
      <c r="BK63" s="444"/>
      <c r="BL63" s="444"/>
      <c r="BM63" s="444"/>
      <c r="BN63" s="444"/>
      <c r="BO63" s="444"/>
      <c r="BP63" s="444"/>
      <c r="BQ63" s="444"/>
      <c r="BR63" s="444"/>
      <c r="BS63" s="444"/>
      <c r="BT63" s="444"/>
    </row>
    <row r="64" spans="1:72" ht="15">
      <c r="A64" s="392"/>
      <c r="B64" s="392"/>
      <c r="C64" s="392"/>
      <c r="D64" s="392"/>
      <c r="E64" s="392"/>
      <c r="F64" s="392"/>
      <c r="G64" s="392"/>
      <c r="H64" s="392"/>
      <c r="I64" s="392"/>
      <c r="J64" s="392"/>
      <c r="K64" s="392"/>
      <c r="L64" s="392"/>
      <c r="M64" s="392"/>
      <c r="N64" s="392"/>
      <c r="O64" s="392"/>
      <c r="P64" s="392"/>
      <c r="Q64" s="392"/>
      <c r="R64" s="392"/>
      <c r="S64" s="409"/>
      <c r="T64" s="409"/>
      <c r="U64" s="409"/>
      <c r="V64" s="409"/>
      <c r="W64" s="392"/>
      <c r="X64" s="392"/>
      <c r="Y64" s="409"/>
      <c r="Z64" s="409"/>
      <c r="AA64" s="392"/>
      <c r="AB64" s="392"/>
      <c r="AC64" s="392"/>
      <c r="AD64" s="409"/>
      <c r="AE64" s="409"/>
      <c r="AF64" s="409"/>
      <c r="AG64" s="409"/>
      <c r="AH64" s="409"/>
      <c r="AI64" s="409"/>
      <c r="AJ64" s="409"/>
      <c r="AK64" s="409"/>
      <c r="AL64" s="409"/>
      <c r="AM64" s="409"/>
      <c r="AN64" s="409"/>
      <c r="AO64" s="409"/>
      <c r="AP64" s="409"/>
      <c r="AQ64" s="409"/>
      <c r="AR64" s="409"/>
      <c r="AS64" s="409"/>
      <c r="AT64" s="409"/>
      <c r="AU64" s="409"/>
      <c r="AV64" s="409"/>
      <c r="AW64" s="409"/>
      <c r="AX64" s="409"/>
      <c r="AY64" s="409"/>
      <c r="AZ64" s="409"/>
      <c r="BA64" s="409"/>
      <c r="BB64" s="409"/>
      <c r="BC64" s="409"/>
      <c r="BD64" s="407"/>
      <c r="BE64" s="444"/>
      <c r="BF64" s="444"/>
      <c r="BG64" s="444"/>
      <c r="BH64" s="444"/>
      <c r="BI64" s="444"/>
      <c r="BJ64" s="444"/>
      <c r="BK64" s="444"/>
      <c r="BL64" s="444"/>
      <c r="BM64" s="444"/>
      <c r="BN64" s="444"/>
      <c r="BO64" s="444"/>
      <c r="BP64" s="444"/>
      <c r="BQ64" s="444"/>
      <c r="BR64" s="444"/>
      <c r="BS64" s="444"/>
      <c r="BT64" s="444"/>
    </row>
    <row r="65" spans="1:72" ht="15">
      <c r="A65" s="392"/>
      <c r="B65" s="392"/>
      <c r="C65" s="392"/>
      <c r="D65" s="392"/>
      <c r="E65" s="392"/>
      <c r="F65" s="392"/>
      <c r="G65" s="392"/>
      <c r="H65" s="392"/>
      <c r="I65" s="392"/>
      <c r="J65" s="392"/>
      <c r="K65" s="392"/>
      <c r="L65" s="392"/>
      <c r="M65" s="392"/>
      <c r="N65" s="392"/>
      <c r="O65" s="392"/>
      <c r="P65" s="392"/>
      <c r="Q65" s="392"/>
      <c r="R65" s="392"/>
      <c r="S65" s="409"/>
      <c r="T65" s="409"/>
      <c r="U65" s="409"/>
      <c r="V65" s="409"/>
      <c r="W65" s="392"/>
      <c r="X65" s="392"/>
      <c r="Y65" s="409"/>
      <c r="Z65" s="409"/>
      <c r="AA65" s="392"/>
      <c r="AB65" s="392"/>
      <c r="AC65" s="392"/>
      <c r="AD65" s="409"/>
      <c r="AE65" s="409"/>
      <c r="AF65" s="409"/>
      <c r="AG65" s="409"/>
      <c r="AH65" s="409"/>
      <c r="AI65" s="409"/>
      <c r="AJ65" s="409"/>
      <c r="AK65" s="409"/>
      <c r="AL65" s="409"/>
      <c r="AM65" s="409"/>
      <c r="AN65" s="409"/>
      <c r="AO65" s="409"/>
      <c r="AP65" s="409"/>
      <c r="AQ65" s="409"/>
      <c r="AR65" s="409"/>
      <c r="AS65" s="409"/>
      <c r="AT65" s="409"/>
      <c r="AU65" s="409"/>
      <c r="AV65" s="409"/>
      <c r="AW65" s="409"/>
      <c r="AX65" s="409"/>
      <c r="AY65" s="409"/>
      <c r="AZ65" s="409"/>
      <c r="BA65" s="409"/>
      <c r="BB65" s="409"/>
      <c r="BC65" s="409"/>
      <c r="BD65" s="407"/>
      <c r="BE65" s="444"/>
      <c r="BF65" s="444"/>
      <c r="BG65" s="444"/>
      <c r="BH65" s="444"/>
      <c r="BI65" s="444"/>
      <c r="BJ65" s="444"/>
      <c r="BK65" s="444"/>
      <c r="BL65" s="444"/>
      <c r="BM65" s="444"/>
      <c r="BN65" s="444"/>
      <c r="BO65" s="444"/>
      <c r="BP65" s="444"/>
      <c r="BQ65" s="444"/>
      <c r="BR65" s="444"/>
      <c r="BS65" s="444"/>
      <c r="BT65" s="444"/>
    </row>
    <row r="66" spans="1:72" ht="15">
      <c r="A66" s="392"/>
      <c r="B66" s="392"/>
      <c r="C66" s="392"/>
      <c r="D66" s="392"/>
      <c r="E66" s="392"/>
      <c r="F66" s="392"/>
      <c r="G66" s="392"/>
      <c r="H66" s="392"/>
      <c r="I66" s="392"/>
      <c r="J66" s="392"/>
      <c r="K66" s="392"/>
      <c r="L66" s="392"/>
      <c r="M66" s="392"/>
      <c r="N66" s="392"/>
      <c r="O66" s="392"/>
      <c r="P66" s="392"/>
      <c r="Q66" s="392"/>
      <c r="R66" s="392"/>
      <c r="S66" s="409"/>
      <c r="T66" s="409"/>
      <c r="U66" s="409"/>
      <c r="V66" s="409"/>
      <c r="W66" s="392"/>
      <c r="X66" s="392"/>
      <c r="Y66" s="409"/>
      <c r="Z66" s="409"/>
      <c r="AA66" s="392"/>
      <c r="AB66" s="392"/>
      <c r="AC66" s="392"/>
      <c r="AD66" s="409"/>
      <c r="AE66" s="409"/>
      <c r="AF66" s="409"/>
      <c r="AG66" s="409"/>
      <c r="AH66" s="409"/>
      <c r="AI66" s="409"/>
      <c r="AJ66" s="409"/>
      <c r="AK66" s="409"/>
      <c r="AL66" s="409"/>
      <c r="AM66" s="409"/>
      <c r="AN66" s="409"/>
      <c r="AO66" s="409"/>
      <c r="AP66" s="409"/>
      <c r="AQ66" s="409"/>
      <c r="AR66" s="409"/>
      <c r="AS66" s="409"/>
      <c r="AT66" s="409"/>
      <c r="AU66" s="409"/>
      <c r="AV66" s="409"/>
      <c r="AW66" s="409"/>
      <c r="AX66" s="409"/>
      <c r="AY66" s="409"/>
      <c r="AZ66" s="409"/>
      <c r="BA66" s="409"/>
      <c r="BB66" s="409"/>
      <c r="BC66" s="409"/>
      <c r="BD66" s="407"/>
      <c r="BE66" s="444"/>
      <c r="BF66" s="444"/>
      <c r="BG66" s="444"/>
      <c r="BH66" s="444"/>
      <c r="BI66" s="444"/>
      <c r="BJ66" s="444"/>
      <c r="BK66" s="444"/>
      <c r="BL66" s="444"/>
      <c r="BM66" s="444"/>
      <c r="BN66" s="444"/>
      <c r="BO66" s="444"/>
      <c r="BP66" s="444"/>
      <c r="BQ66" s="444"/>
      <c r="BR66" s="444"/>
      <c r="BS66" s="444"/>
      <c r="BT66" s="444"/>
    </row>
    <row r="67" spans="1:72" ht="15">
      <c r="A67" s="392"/>
      <c r="B67" s="392"/>
      <c r="C67" s="392"/>
      <c r="D67" s="392"/>
      <c r="E67" s="392"/>
      <c r="F67" s="392"/>
      <c r="G67" s="392"/>
      <c r="H67" s="392"/>
      <c r="I67" s="392"/>
      <c r="J67" s="392"/>
      <c r="K67" s="392"/>
      <c r="L67" s="392"/>
      <c r="M67" s="392"/>
      <c r="N67" s="392"/>
      <c r="O67" s="392"/>
      <c r="P67" s="392"/>
      <c r="Q67" s="392"/>
      <c r="R67" s="392"/>
      <c r="S67" s="409"/>
      <c r="T67" s="409"/>
      <c r="U67" s="409"/>
      <c r="V67" s="409"/>
      <c r="W67" s="392"/>
      <c r="X67" s="392"/>
      <c r="Y67" s="409"/>
      <c r="Z67" s="409"/>
      <c r="AA67" s="392"/>
      <c r="AB67" s="392"/>
      <c r="AC67" s="392"/>
      <c r="AD67" s="409"/>
      <c r="AE67" s="409"/>
      <c r="AF67" s="409"/>
      <c r="AG67" s="409"/>
      <c r="AH67" s="409"/>
      <c r="AI67" s="409"/>
      <c r="AJ67" s="409"/>
      <c r="AK67" s="409"/>
      <c r="AL67" s="409"/>
      <c r="AM67" s="409"/>
      <c r="AN67" s="409"/>
      <c r="AO67" s="409"/>
      <c r="AP67" s="409"/>
      <c r="AQ67" s="409"/>
      <c r="AR67" s="409"/>
      <c r="AS67" s="409"/>
      <c r="AT67" s="409"/>
      <c r="AU67" s="409"/>
      <c r="AV67" s="409"/>
      <c r="AW67" s="409"/>
      <c r="AX67" s="409"/>
      <c r="AY67" s="409"/>
      <c r="AZ67" s="409"/>
      <c r="BA67" s="409"/>
      <c r="BB67" s="409"/>
      <c r="BC67" s="409"/>
      <c r="BD67" s="407"/>
      <c r="BE67" s="444"/>
      <c r="BF67" s="444"/>
      <c r="BG67" s="444"/>
      <c r="BH67" s="444"/>
      <c r="BI67" s="444"/>
      <c r="BJ67" s="444"/>
      <c r="BK67" s="444"/>
      <c r="BL67" s="444"/>
      <c r="BM67" s="444"/>
      <c r="BN67" s="444"/>
      <c r="BO67" s="444"/>
      <c r="BP67" s="444"/>
      <c r="BQ67" s="444"/>
      <c r="BR67" s="444"/>
      <c r="BS67" s="444"/>
      <c r="BT67" s="444"/>
    </row>
    <row r="68" spans="1:72" ht="15">
      <c r="A68" s="392"/>
      <c r="B68" s="392"/>
      <c r="C68" s="392"/>
      <c r="D68" s="392"/>
      <c r="E68" s="392"/>
      <c r="F68" s="392"/>
      <c r="G68" s="392"/>
      <c r="H68" s="392"/>
      <c r="I68" s="392"/>
      <c r="J68" s="392"/>
      <c r="K68" s="392"/>
      <c r="L68" s="392"/>
      <c r="M68" s="392"/>
      <c r="N68" s="392"/>
      <c r="O68" s="392"/>
      <c r="P68" s="392"/>
      <c r="Q68" s="392"/>
      <c r="R68" s="392"/>
      <c r="S68" s="409"/>
      <c r="T68" s="409"/>
      <c r="U68" s="409"/>
      <c r="V68" s="409"/>
      <c r="W68" s="392"/>
      <c r="X68" s="392"/>
      <c r="Y68" s="409"/>
      <c r="Z68" s="409"/>
      <c r="AA68" s="392"/>
      <c r="AB68" s="392"/>
      <c r="AC68" s="392"/>
      <c r="AD68" s="409"/>
      <c r="AE68" s="409"/>
      <c r="AF68" s="409"/>
      <c r="AG68" s="409"/>
      <c r="AH68" s="409"/>
      <c r="AI68" s="409"/>
      <c r="AJ68" s="409"/>
      <c r="AK68" s="409"/>
      <c r="AL68" s="409"/>
      <c r="AM68" s="409"/>
      <c r="AN68" s="409"/>
      <c r="AO68" s="409"/>
      <c r="AP68" s="409"/>
      <c r="AQ68" s="409"/>
      <c r="AR68" s="409"/>
      <c r="AS68" s="409"/>
      <c r="AT68" s="409"/>
      <c r="AU68" s="409"/>
      <c r="AV68" s="409"/>
      <c r="AW68" s="409"/>
      <c r="AX68" s="409"/>
      <c r="AY68" s="409"/>
      <c r="AZ68" s="409"/>
      <c r="BA68" s="409"/>
      <c r="BB68" s="409"/>
      <c r="BC68" s="409"/>
      <c r="BD68" s="407"/>
      <c r="BE68" s="444"/>
      <c r="BF68" s="444"/>
      <c r="BG68" s="444"/>
      <c r="BH68" s="444"/>
      <c r="BI68" s="444"/>
      <c r="BJ68" s="444"/>
      <c r="BK68" s="444"/>
      <c r="BL68" s="444"/>
      <c r="BM68" s="444"/>
      <c r="BN68" s="444"/>
      <c r="BO68" s="444"/>
      <c r="BP68" s="444"/>
      <c r="BQ68" s="444"/>
      <c r="BR68" s="444"/>
      <c r="BS68" s="444"/>
      <c r="BT68" s="444"/>
    </row>
    <row r="69" spans="1:72" ht="15">
      <c r="A69" s="392"/>
      <c r="B69" s="392"/>
      <c r="C69" s="392"/>
      <c r="D69" s="392"/>
      <c r="E69" s="392"/>
      <c r="F69" s="392"/>
      <c r="G69" s="392"/>
      <c r="H69" s="392"/>
      <c r="I69" s="392"/>
      <c r="J69" s="392"/>
      <c r="K69" s="392"/>
      <c r="L69" s="392"/>
      <c r="M69" s="392"/>
      <c r="N69" s="392"/>
      <c r="O69" s="392"/>
      <c r="P69" s="392"/>
      <c r="Q69" s="392"/>
      <c r="R69" s="392"/>
      <c r="S69" s="409"/>
      <c r="T69" s="409"/>
      <c r="U69" s="409"/>
      <c r="V69" s="409"/>
      <c r="W69" s="392"/>
      <c r="X69" s="392"/>
      <c r="Y69" s="409"/>
      <c r="Z69" s="409"/>
      <c r="AA69" s="392"/>
      <c r="AB69" s="392"/>
      <c r="AC69" s="392"/>
      <c r="AD69" s="409"/>
      <c r="AE69" s="409"/>
      <c r="AF69" s="409"/>
      <c r="AG69" s="409"/>
      <c r="AH69" s="409"/>
      <c r="AI69" s="409"/>
      <c r="AJ69" s="409"/>
      <c r="AK69" s="409"/>
      <c r="AL69" s="409"/>
      <c r="AM69" s="409"/>
      <c r="AN69" s="409"/>
      <c r="AO69" s="409"/>
      <c r="AP69" s="409"/>
      <c r="AQ69" s="409"/>
      <c r="AR69" s="409"/>
      <c r="AS69" s="409"/>
      <c r="AT69" s="409"/>
      <c r="AU69" s="409"/>
      <c r="AV69" s="409"/>
      <c r="AW69" s="409"/>
      <c r="AX69" s="409"/>
      <c r="AY69" s="409"/>
      <c r="AZ69" s="409"/>
      <c r="BA69" s="409"/>
      <c r="BB69" s="409"/>
      <c r="BC69" s="409"/>
      <c r="BD69" s="407"/>
      <c r="BE69" s="444"/>
      <c r="BF69" s="444"/>
      <c r="BG69" s="444"/>
      <c r="BH69" s="444"/>
      <c r="BI69" s="444"/>
      <c r="BJ69" s="444"/>
      <c r="BK69" s="444"/>
      <c r="BL69" s="444"/>
      <c r="BM69" s="444"/>
      <c r="BN69" s="444"/>
      <c r="BO69" s="444"/>
      <c r="BP69" s="444"/>
      <c r="BQ69" s="444"/>
      <c r="BR69" s="444"/>
      <c r="BS69" s="444"/>
      <c r="BT69" s="444"/>
    </row>
    <row r="70" spans="1:72" ht="15">
      <c r="A70" s="392"/>
      <c r="B70" s="392"/>
      <c r="C70" s="392"/>
      <c r="D70" s="392"/>
      <c r="E70" s="392"/>
      <c r="F70" s="392"/>
      <c r="G70" s="392"/>
      <c r="H70" s="392"/>
      <c r="I70" s="392"/>
      <c r="J70" s="392"/>
      <c r="K70" s="392"/>
      <c r="L70" s="392"/>
      <c r="M70" s="392"/>
      <c r="N70" s="392"/>
      <c r="O70" s="392"/>
      <c r="P70" s="392"/>
      <c r="Q70" s="392"/>
      <c r="R70" s="392"/>
      <c r="S70" s="409"/>
      <c r="T70" s="409"/>
      <c r="U70" s="409"/>
      <c r="V70" s="409"/>
      <c r="W70" s="392"/>
      <c r="X70" s="392"/>
      <c r="Y70" s="409"/>
      <c r="Z70" s="409"/>
      <c r="AA70" s="392"/>
      <c r="AB70" s="392"/>
      <c r="AC70" s="392"/>
      <c r="AD70" s="409"/>
      <c r="AE70" s="409"/>
      <c r="AF70" s="409"/>
      <c r="AG70" s="409"/>
      <c r="AH70" s="409"/>
      <c r="AI70" s="409"/>
      <c r="AJ70" s="409"/>
      <c r="AK70" s="409"/>
      <c r="AL70" s="409"/>
      <c r="AM70" s="409"/>
      <c r="AN70" s="409"/>
      <c r="AO70" s="409"/>
      <c r="AP70" s="409"/>
      <c r="AQ70" s="409"/>
      <c r="AR70" s="409"/>
      <c r="AS70" s="409"/>
      <c r="AT70" s="409"/>
      <c r="AU70" s="409"/>
      <c r="AV70" s="409"/>
      <c r="AW70" s="409"/>
      <c r="AX70" s="409"/>
      <c r="AY70" s="409"/>
      <c r="AZ70" s="409"/>
      <c r="BA70" s="409"/>
      <c r="BB70" s="409"/>
      <c r="BC70" s="409"/>
      <c r="BD70" s="407"/>
      <c r="BE70" s="444"/>
      <c r="BF70" s="444"/>
      <c r="BG70" s="444"/>
      <c r="BH70" s="444"/>
      <c r="BI70" s="444"/>
      <c r="BJ70" s="444"/>
      <c r="BK70" s="444"/>
      <c r="BL70" s="444"/>
      <c r="BM70" s="444"/>
      <c r="BN70" s="444"/>
      <c r="BO70" s="444"/>
      <c r="BP70" s="444"/>
      <c r="BQ70" s="444"/>
      <c r="BR70" s="444"/>
      <c r="BS70" s="444"/>
      <c r="BT70" s="444"/>
    </row>
    <row r="71" spans="1:72" ht="15">
      <c r="A71" s="392"/>
      <c r="B71" s="392"/>
      <c r="C71" s="392"/>
      <c r="D71" s="392"/>
      <c r="E71" s="392"/>
      <c r="F71" s="392"/>
      <c r="G71" s="392"/>
      <c r="H71" s="392"/>
      <c r="I71" s="392"/>
      <c r="J71" s="392"/>
      <c r="K71" s="392"/>
      <c r="L71" s="392"/>
      <c r="M71" s="392"/>
      <c r="N71" s="392"/>
      <c r="O71" s="392"/>
      <c r="P71" s="392"/>
      <c r="Q71" s="392"/>
      <c r="R71" s="392"/>
      <c r="S71" s="409"/>
      <c r="T71" s="409"/>
      <c r="U71" s="409"/>
      <c r="V71" s="409"/>
      <c r="W71" s="392"/>
      <c r="X71" s="392"/>
      <c r="Y71" s="409"/>
      <c r="Z71" s="409"/>
      <c r="AA71" s="392"/>
      <c r="AB71" s="392"/>
      <c r="AC71" s="392"/>
      <c r="AD71" s="409"/>
      <c r="AE71" s="409"/>
      <c r="AF71" s="409"/>
      <c r="AG71" s="409"/>
      <c r="AH71" s="409"/>
      <c r="AI71" s="409"/>
      <c r="AJ71" s="409"/>
      <c r="AK71" s="409"/>
      <c r="AL71" s="409"/>
      <c r="AM71" s="409"/>
      <c r="AN71" s="409"/>
      <c r="AO71" s="409"/>
      <c r="AP71" s="409"/>
      <c r="AQ71" s="409"/>
      <c r="AR71" s="409"/>
      <c r="AS71" s="409"/>
      <c r="AT71" s="409"/>
      <c r="AU71" s="409"/>
      <c r="AV71" s="409"/>
      <c r="AW71" s="409"/>
      <c r="AX71" s="409"/>
      <c r="AY71" s="409"/>
      <c r="AZ71" s="409"/>
      <c r="BA71" s="409"/>
      <c r="BB71" s="409"/>
      <c r="BC71" s="409"/>
      <c r="BD71" s="407"/>
      <c r="BE71" s="444"/>
      <c r="BF71" s="444"/>
      <c r="BG71" s="444"/>
      <c r="BH71" s="444"/>
      <c r="BI71" s="444"/>
      <c r="BJ71" s="444"/>
      <c r="BK71" s="444"/>
      <c r="BL71" s="444"/>
      <c r="BM71" s="444"/>
      <c r="BN71" s="444"/>
      <c r="BO71" s="444"/>
      <c r="BP71" s="444"/>
      <c r="BQ71" s="444"/>
      <c r="BR71" s="444"/>
      <c r="BS71" s="444"/>
      <c r="BT71" s="444"/>
    </row>
    <row r="72" spans="1:72" ht="15">
      <c r="A72" s="392"/>
      <c r="B72" s="392"/>
      <c r="C72" s="392"/>
      <c r="D72" s="392"/>
      <c r="E72" s="392"/>
      <c r="F72" s="392"/>
      <c r="G72" s="392"/>
      <c r="H72" s="392"/>
      <c r="I72" s="392"/>
      <c r="J72" s="392"/>
      <c r="K72" s="392"/>
      <c r="L72" s="392"/>
      <c r="M72" s="392"/>
      <c r="N72" s="392"/>
      <c r="O72" s="392"/>
      <c r="P72" s="392"/>
      <c r="Q72" s="392"/>
      <c r="R72" s="392"/>
      <c r="S72" s="409"/>
      <c r="T72" s="409"/>
      <c r="U72" s="409"/>
      <c r="V72" s="409"/>
      <c r="W72" s="392"/>
      <c r="X72" s="392"/>
      <c r="Y72" s="409"/>
      <c r="Z72" s="409"/>
      <c r="AA72" s="392"/>
      <c r="AB72" s="392"/>
      <c r="AC72" s="392"/>
      <c r="AD72" s="409"/>
      <c r="AE72" s="409"/>
      <c r="AF72" s="409"/>
      <c r="AG72" s="409"/>
      <c r="AH72" s="409"/>
      <c r="AI72" s="409"/>
      <c r="AJ72" s="409"/>
      <c r="AK72" s="409"/>
      <c r="AL72" s="409"/>
      <c r="AM72" s="409"/>
      <c r="AN72" s="409"/>
      <c r="AO72" s="409"/>
      <c r="AP72" s="409"/>
      <c r="AQ72" s="409"/>
      <c r="AR72" s="409"/>
      <c r="AS72" s="409"/>
      <c r="AT72" s="409"/>
      <c r="AU72" s="409"/>
      <c r="AV72" s="409"/>
      <c r="AW72" s="409"/>
      <c r="AX72" s="409"/>
      <c r="AY72" s="409"/>
      <c r="AZ72" s="409"/>
      <c r="BA72" s="409"/>
      <c r="BB72" s="409"/>
      <c r="BC72" s="409"/>
      <c r="BD72" s="407"/>
      <c r="BE72" s="444"/>
      <c r="BF72" s="444"/>
      <c r="BG72" s="444"/>
      <c r="BH72" s="444"/>
      <c r="BI72" s="444"/>
      <c r="BJ72" s="444"/>
      <c r="BK72" s="444"/>
      <c r="BL72" s="444"/>
      <c r="BM72" s="444"/>
      <c r="BN72" s="444"/>
      <c r="BO72" s="444"/>
      <c r="BP72" s="444"/>
      <c r="BQ72" s="444"/>
      <c r="BR72" s="444"/>
      <c r="BS72" s="444"/>
      <c r="BT72" s="444"/>
    </row>
    <row r="73" spans="1:72" ht="15">
      <c r="A73" s="392"/>
      <c r="B73" s="392"/>
      <c r="C73" s="392"/>
      <c r="D73" s="392"/>
      <c r="E73" s="392"/>
      <c r="F73" s="392"/>
      <c r="G73" s="392"/>
      <c r="H73" s="392"/>
      <c r="I73" s="392"/>
      <c r="J73" s="392"/>
      <c r="K73" s="392"/>
      <c r="L73" s="392"/>
      <c r="M73" s="392"/>
      <c r="N73" s="392"/>
      <c r="O73" s="392"/>
      <c r="P73" s="392"/>
      <c r="Q73" s="392"/>
      <c r="R73" s="392"/>
      <c r="S73" s="409"/>
      <c r="T73" s="409"/>
      <c r="U73" s="409"/>
      <c r="V73" s="409"/>
      <c r="W73" s="392"/>
      <c r="X73" s="392"/>
      <c r="Y73" s="409"/>
      <c r="Z73" s="409"/>
      <c r="AA73" s="392"/>
      <c r="AB73" s="392"/>
      <c r="AC73" s="392"/>
      <c r="AD73" s="409"/>
      <c r="AE73" s="409"/>
      <c r="AF73" s="409"/>
      <c r="AG73" s="409"/>
      <c r="AH73" s="409"/>
      <c r="AI73" s="409"/>
      <c r="AJ73" s="409"/>
      <c r="AK73" s="409"/>
      <c r="AL73" s="409"/>
      <c r="AM73" s="409"/>
      <c r="AN73" s="409"/>
      <c r="AO73" s="409"/>
      <c r="AP73" s="409"/>
      <c r="AQ73" s="409"/>
      <c r="AR73" s="409"/>
      <c r="AS73" s="409"/>
      <c r="AT73" s="409"/>
      <c r="AU73" s="409"/>
      <c r="AV73" s="409"/>
      <c r="AW73" s="409"/>
      <c r="AX73" s="409"/>
      <c r="AY73" s="409"/>
      <c r="AZ73" s="409"/>
      <c r="BA73" s="409"/>
      <c r="BB73" s="409"/>
      <c r="BC73" s="409"/>
      <c r="BD73" s="407"/>
      <c r="BE73" s="444"/>
      <c r="BF73" s="444"/>
      <c r="BG73" s="444"/>
      <c r="BH73" s="444"/>
      <c r="BI73" s="444"/>
      <c r="BJ73" s="444"/>
      <c r="BK73" s="444"/>
      <c r="BL73" s="444"/>
      <c r="BM73" s="444"/>
      <c r="BN73" s="444"/>
      <c r="BO73" s="444"/>
      <c r="BP73" s="444"/>
      <c r="BQ73" s="444"/>
      <c r="BR73" s="444"/>
      <c r="BS73" s="444"/>
      <c r="BT73" s="444"/>
    </row>
    <row r="74" spans="1:72" ht="15">
      <c r="A74" s="392"/>
      <c r="B74" s="392"/>
      <c r="C74" s="392"/>
      <c r="D74" s="392"/>
      <c r="E74" s="392"/>
      <c r="F74" s="392"/>
      <c r="G74" s="392"/>
      <c r="H74" s="392"/>
      <c r="I74" s="392"/>
      <c r="J74" s="392"/>
      <c r="K74" s="392"/>
      <c r="L74" s="392"/>
      <c r="M74" s="392"/>
      <c r="N74" s="392"/>
      <c r="O74" s="392"/>
      <c r="P74" s="392"/>
      <c r="Q74" s="392"/>
      <c r="R74" s="392"/>
      <c r="S74" s="409"/>
      <c r="T74" s="409"/>
      <c r="U74" s="409"/>
      <c r="V74" s="409"/>
      <c r="W74" s="392"/>
      <c r="X74" s="392"/>
      <c r="Y74" s="409"/>
      <c r="Z74" s="409"/>
      <c r="AA74" s="392"/>
      <c r="AB74" s="392"/>
      <c r="AC74" s="392"/>
      <c r="AD74" s="409"/>
      <c r="AE74" s="409"/>
      <c r="AF74" s="409"/>
      <c r="AG74" s="409"/>
      <c r="AH74" s="409"/>
      <c r="AI74" s="409"/>
      <c r="AJ74" s="409"/>
      <c r="AK74" s="409"/>
      <c r="AL74" s="409"/>
      <c r="AM74" s="409"/>
      <c r="AN74" s="409"/>
      <c r="AO74" s="409"/>
      <c r="AP74" s="409"/>
      <c r="AQ74" s="409"/>
      <c r="AR74" s="409"/>
      <c r="AS74" s="409"/>
      <c r="AT74" s="409"/>
      <c r="AU74" s="409"/>
      <c r="AV74" s="409"/>
      <c r="AW74" s="409"/>
      <c r="AX74" s="409"/>
      <c r="AY74" s="409"/>
      <c r="AZ74" s="409"/>
      <c r="BA74" s="409"/>
      <c r="BB74" s="409"/>
      <c r="BC74" s="409"/>
      <c r="BD74" s="407"/>
      <c r="BE74" s="444"/>
      <c r="BF74" s="444"/>
      <c r="BG74" s="444"/>
      <c r="BH74" s="444"/>
      <c r="BI74" s="444"/>
      <c r="BJ74" s="444"/>
      <c r="BK74" s="444"/>
      <c r="BL74" s="444"/>
      <c r="BM74" s="444"/>
      <c r="BN74" s="444"/>
      <c r="BO74" s="444"/>
      <c r="BP74" s="444"/>
      <c r="BQ74" s="444"/>
      <c r="BR74" s="444"/>
      <c r="BS74" s="444"/>
      <c r="BT74" s="444"/>
    </row>
    <row r="75" spans="1:72" ht="15">
      <c r="A75" s="392"/>
      <c r="B75" s="392"/>
      <c r="C75" s="392"/>
      <c r="D75" s="392"/>
      <c r="E75" s="392"/>
      <c r="F75" s="392"/>
      <c r="G75" s="392"/>
      <c r="H75" s="392"/>
      <c r="I75" s="392"/>
      <c r="J75" s="392"/>
      <c r="K75" s="392"/>
      <c r="L75" s="392"/>
      <c r="M75" s="392"/>
      <c r="N75" s="392"/>
      <c r="O75" s="392"/>
      <c r="P75" s="392"/>
      <c r="Q75" s="392"/>
      <c r="R75" s="392"/>
      <c r="S75" s="409"/>
      <c r="T75" s="409"/>
      <c r="U75" s="409"/>
      <c r="V75" s="409"/>
      <c r="W75" s="392"/>
      <c r="X75" s="392"/>
      <c r="Y75" s="409"/>
      <c r="Z75" s="409"/>
      <c r="AA75" s="392"/>
      <c r="AB75" s="392"/>
      <c r="AC75" s="392"/>
      <c r="AD75" s="409"/>
      <c r="AE75" s="409"/>
      <c r="AF75" s="409"/>
      <c r="AG75" s="409"/>
      <c r="AH75" s="409"/>
      <c r="AI75" s="409"/>
      <c r="AJ75" s="409"/>
      <c r="AK75" s="409"/>
      <c r="AL75" s="409"/>
      <c r="AM75" s="409"/>
      <c r="AN75" s="409"/>
      <c r="AO75" s="409"/>
      <c r="AP75" s="409"/>
      <c r="AQ75" s="409"/>
      <c r="AR75" s="409"/>
      <c r="AS75" s="409"/>
      <c r="AT75" s="409"/>
      <c r="AU75" s="409"/>
      <c r="AV75" s="409"/>
      <c r="AW75" s="409"/>
      <c r="AX75" s="409"/>
      <c r="AY75" s="409"/>
      <c r="AZ75" s="409"/>
      <c r="BA75" s="409"/>
      <c r="BB75" s="409"/>
      <c r="BC75" s="409"/>
      <c r="BD75" s="407"/>
      <c r="BE75" s="444"/>
      <c r="BF75" s="444"/>
      <c r="BG75" s="444"/>
      <c r="BH75" s="444"/>
      <c r="BI75" s="444"/>
      <c r="BJ75" s="444"/>
      <c r="BK75" s="444"/>
      <c r="BL75" s="444"/>
      <c r="BM75" s="444"/>
      <c r="BN75" s="444"/>
      <c r="BO75" s="444"/>
      <c r="BP75" s="444"/>
      <c r="BQ75" s="444"/>
      <c r="BR75" s="444"/>
      <c r="BS75" s="444"/>
      <c r="BT75" s="444"/>
    </row>
    <row r="76" spans="1:72" ht="15">
      <c r="A76" s="392"/>
      <c r="B76" s="392"/>
      <c r="C76" s="392"/>
      <c r="D76" s="392"/>
      <c r="E76" s="392"/>
      <c r="F76" s="392"/>
      <c r="G76" s="392"/>
      <c r="H76" s="392"/>
      <c r="I76" s="392"/>
      <c r="J76" s="392"/>
      <c r="K76" s="392"/>
      <c r="L76" s="392"/>
      <c r="M76" s="392"/>
      <c r="N76" s="392"/>
      <c r="O76" s="392"/>
      <c r="P76" s="392"/>
      <c r="Q76" s="392"/>
      <c r="R76" s="392"/>
      <c r="S76" s="409"/>
      <c r="T76" s="409"/>
      <c r="U76" s="409"/>
      <c r="V76" s="409"/>
      <c r="W76" s="392"/>
      <c r="X76" s="392"/>
      <c r="Y76" s="409"/>
      <c r="Z76" s="409"/>
      <c r="AA76" s="392"/>
      <c r="AB76" s="392"/>
      <c r="AC76" s="392"/>
      <c r="AD76" s="409"/>
      <c r="AE76" s="409"/>
      <c r="AF76" s="409"/>
      <c r="AG76" s="409"/>
      <c r="AH76" s="409"/>
      <c r="AI76" s="409"/>
      <c r="AJ76" s="409"/>
      <c r="AK76" s="409"/>
      <c r="AL76" s="409"/>
      <c r="AM76" s="409"/>
      <c r="AN76" s="409"/>
      <c r="AO76" s="409"/>
      <c r="AP76" s="409"/>
      <c r="AQ76" s="409"/>
      <c r="AR76" s="409"/>
      <c r="AS76" s="409"/>
      <c r="AT76" s="409"/>
      <c r="AU76" s="409"/>
      <c r="AV76" s="409"/>
      <c r="AW76" s="409"/>
      <c r="AX76" s="409"/>
      <c r="AY76" s="409"/>
      <c r="AZ76" s="409"/>
      <c r="BA76" s="409"/>
      <c r="BB76" s="409"/>
      <c r="BC76" s="409"/>
      <c r="BD76" s="407"/>
      <c r="BE76" s="444"/>
      <c r="BF76" s="444"/>
      <c r="BG76" s="444"/>
      <c r="BH76" s="444"/>
      <c r="BI76" s="444"/>
      <c r="BJ76" s="444"/>
      <c r="BK76" s="444"/>
      <c r="BL76" s="444"/>
      <c r="BM76" s="444"/>
      <c r="BN76" s="444"/>
      <c r="BO76" s="444"/>
      <c r="BP76" s="444"/>
      <c r="BQ76" s="444"/>
      <c r="BR76" s="444"/>
      <c r="BS76" s="444"/>
      <c r="BT76" s="444"/>
    </row>
    <row r="77" spans="1:72" ht="15">
      <c r="A77" s="392"/>
      <c r="B77" s="392"/>
      <c r="C77" s="392"/>
      <c r="D77" s="392"/>
      <c r="E77" s="392"/>
      <c r="F77" s="392"/>
      <c r="G77" s="392"/>
      <c r="H77" s="392"/>
      <c r="I77" s="392"/>
      <c r="J77" s="392"/>
      <c r="K77" s="392"/>
      <c r="L77" s="392"/>
      <c r="M77" s="392"/>
      <c r="N77" s="392"/>
      <c r="O77" s="392"/>
      <c r="P77" s="392"/>
      <c r="Q77" s="392"/>
      <c r="R77" s="392"/>
      <c r="S77" s="409"/>
      <c r="T77" s="409"/>
      <c r="U77" s="409"/>
      <c r="V77" s="409"/>
      <c r="W77" s="392"/>
      <c r="X77" s="392"/>
      <c r="Y77" s="409"/>
      <c r="Z77" s="409"/>
      <c r="AA77" s="392"/>
      <c r="AB77" s="392"/>
      <c r="AC77" s="392"/>
      <c r="AD77" s="409"/>
      <c r="AE77" s="409"/>
      <c r="AF77" s="409"/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409"/>
      <c r="AS77" s="409"/>
      <c r="AT77" s="409"/>
      <c r="AU77" s="409"/>
      <c r="AV77" s="409"/>
      <c r="AW77" s="409"/>
      <c r="AX77" s="409"/>
      <c r="AY77" s="409"/>
      <c r="AZ77" s="409"/>
      <c r="BA77" s="409"/>
      <c r="BB77" s="409"/>
      <c r="BC77" s="409"/>
      <c r="BD77" s="407"/>
      <c r="BE77" s="444"/>
      <c r="BF77" s="444"/>
      <c r="BG77" s="444"/>
      <c r="BH77" s="444"/>
      <c r="BI77" s="444"/>
      <c r="BJ77" s="444"/>
      <c r="BK77" s="444"/>
      <c r="BL77" s="444"/>
      <c r="BM77" s="444"/>
      <c r="BN77" s="444"/>
      <c r="BO77" s="444"/>
      <c r="BP77" s="444"/>
      <c r="BQ77" s="444"/>
      <c r="BR77" s="444"/>
      <c r="BS77" s="444"/>
      <c r="BT77" s="444"/>
    </row>
    <row r="78" spans="1:72" ht="15">
      <c r="A78" s="392"/>
      <c r="B78" s="392"/>
      <c r="C78" s="392"/>
      <c r="D78" s="392"/>
      <c r="E78" s="392"/>
      <c r="F78" s="392"/>
      <c r="G78" s="392"/>
      <c r="H78" s="392"/>
      <c r="I78" s="392"/>
      <c r="J78" s="392"/>
      <c r="K78" s="392"/>
      <c r="L78" s="392"/>
      <c r="M78" s="392"/>
      <c r="N78" s="392"/>
      <c r="O78" s="392"/>
      <c r="P78" s="392"/>
      <c r="Q78" s="392"/>
      <c r="R78" s="392"/>
      <c r="S78" s="409"/>
      <c r="T78" s="409"/>
      <c r="U78" s="409"/>
      <c r="V78" s="409"/>
      <c r="W78" s="392"/>
      <c r="X78" s="392"/>
      <c r="Y78" s="409"/>
      <c r="Z78" s="409"/>
      <c r="AA78" s="392"/>
      <c r="AB78" s="392"/>
      <c r="AC78" s="392"/>
      <c r="AD78" s="409"/>
      <c r="AE78" s="409"/>
      <c r="AF78" s="409"/>
      <c r="AG78" s="409"/>
      <c r="AH78" s="409"/>
      <c r="AI78" s="409"/>
      <c r="AJ78" s="409"/>
      <c r="AK78" s="409"/>
      <c r="AL78" s="409"/>
      <c r="AM78" s="409"/>
      <c r="AN78" s="409"/>
      <c r="AO78" s="409"/>
      <c r="AP78" s="409"/>
      <c r="AQ78" s="409"/>
      <c r="AR78" s="409"/>
      <c r="AS78" s="409"/>
      <c r="AT78" s="409"/>
      <c r="AU78" s="409"/>
      <c r="AV78" s="409"/>
      <c r="AW78" s="409"/>
      <c r="AX78" s="409"/>
      <c r="AY78" s="409"/>
      <c r="AZ78" s="409"/>
      <c r="BA78" s="409"/>
      <c r="BB78" s="409"/>
      <c r="BC78" s="409"/>
      <c r="BD78" s="407"/>
      <c r="BE78" s="444"/>
      <c r="BF78" s="444"/>
      <c r="BG78" s="444"/>
      <c r="BH78" s="444"/>
      <c r="BI78" s="444"/>
      <c r="BJ78" s="444"/>
      <c r="BK78" s="444"/>
      <c r="BL78" s="444"/>
      <c r="BM78" s="444"/>
      <c r="BN78" s="444"/>
      <c r="BO78" s="444"/>
      <c r="BP78" s="444"/>
      <c r="BQ78" s="444"/>
      <c r="BR78" s="444"/>
      <c r="BS78" s="444"/>
      <c r="BT78" s="444"/>
    </row>
    <row r="79" spans="1:72" ht="15">
      <c r="A79" s="392"/>
      <c r="B79" s="392"/>
      <c r="C79" s="392"/>
      <c r="D79" s="392"/>
      <c r="E79" s="392"/>
      <c r="F79" s="392"/>
      <c r="G79" s="392"/>
      <c r="H79" s="392"/>
      <c r="I79" s="392"/>
      <c r="J79" s="392"/>
      <c r="K79" s="392"/>
      <c r="L79" s="392"/>
      <c r="M79" s="392"/>
      <c r="N79" s="392"/>
      <c r="O79" s="392"/>
      <c r="P79" s="392"/>
      <c r="Q79" s="392"/>
      <c r="R79" s="392"/>
      <c r="S79" s="409"/>
      <c r="T79" s="409"/>
      <c r="U79" s="409"/>
      <c r="V79" s="409"/>
      <c r="W79" s="392"/>
      <c r="X79" s="392"/>
      <c r="Y79" s="409"/>
      <c r="Z79" s="409"/>
      <c r="AA79" s="392"/>
      <c r="AB79" s="392"/>
      <c r="AC79" s="392"/>
      <c r="AD79" s="409"/>
      <c r="AE79" s="409"/>
      <c r="AF79" s="409"/>
      <c r="AG79" s="409"/>
      <c r="AH79" s="409"/>
      <c r="AI79" s="409"/>
      <c r="AJ79" s="409"/>
      <c r="AK79" s="409"/>
      <c r="AL79" s="409"/>
      <c r="AM79" s="409"/>
      <c r="AN79" s="409"/>
      <c r="AO79" s="409"/>
      <c r="AP79" s="409"/>
      <c r="AQ79" s="409"/>
      <c r="AR79" s="409"/>
      <c r="AS79" s="409"/>
      <c r="AT79" s="409"/>
      <c r="AU79" s="409"/>
      <c r="AV79" s="409"/>
      <c r="AW79" s="409"/>
      <c r="AX79" s="409"/>
      <c r="AY79" s="409"/>
      <c r="AZ79" s="409"/>
      <c r="BA79" s="409"/>
      <c r="BB79" s="409"/>
      <c r="BC79" s="409"/>
      <c r="BD79" s="407"/>
      <c r="BE79" s="444"/>
      <c r="BF79" s="444"/>
      <c r="BG79" s="444"/>
      <c r="BH79" s="444"/>
      <c r="BI79" s="444"/>
      <c r="BJ79" s="444"/>
      <c r="BK79" s="444"/>
      <c r="BL79" s="444"/>
      <c r="BM79" s="444"/>
      <c r="BN79" s="444"/>
      <c r="BO79" s="444"/>
      <c r="BP79" s="444"/>
      <c r="BQ79" s="444"/>
      <c r="BR79" s="444"/>
      <c r="BS79" s="444"/>
      <c r="BT79" s="444"/>
    </row>
    <row r="80" spans="1:72" ht="15">
      <c r="A80" s="392"/>
      <c r="B80" s="392"/>
      <c r="C80" s="392"/>
      <c r="D80" s="392"/>
      <c r="E80" s="392"/>
      <c r="F80" s="392"/>
      <c r="G80" s="392"/>
      <c r="H80" s="392"/>
      <c r="I80" s="392"/>
      <c r="J80" s="392"/>
      <c r="K80" s="392"/>
      <c r="L80" s="392"/>
      <c r="M80" s="392"/>
      <c r="N80" s="392"/>
      <c r="O80" s="392"/>
      <c r="P80" s="392"/>
      <c r="Q80" s="392"/>
      <c r="R80" s="392"/>
      <c r="S80" s="409"/>
      <c r="T80" s="409"/>
      <c r="U80" s="409"/>
      <c r="V80" s="409"/>
      <c r="W80" s="392"/>
      <c r="X80" s="392"/>
      <c r="Y80" s="409"/>
      <c r="Z80" s="409"/>
      <c r="AA80" s="392"/>
      <c r="AB80" s="392"/>
      <c r="AC80" s="392"/>
      <c r="AD80" s="409"/>
      <c r="AE80" s="409"/>
      <c r="AF80" s="409"/>
      <c r="AG80" s="409"/>
      <c r="AH80" s="409"/>
      <c r="AI80" s="409"/>
      <c r="AJ80" s="409"/>
      <c r="AK80" s="409"/>
      <c r="AL80" s="409"/>
      <c r="AM80" s="409"/>
      <c r="AN80" s="409"/>
      <c r="AO80" s="409"/>
      <c r="AP80" s="409"/>
      <c r="AQ80" s="409"/>
      <c r="AR80" s="409"/>
      <c r="AS80" s="409"/>
      <c r="AT80" s="409"/>
      <c r="AU80" s="409"/>
      <c r="AV80" s="409"/>
      <c r="AW80" s="409"/>
      <c r="AX80" s="409"/>
      <c r="AY80" s="409"/>
      <c r="AZ80" s="409"/>
      <c r="BA80" s="409"/>
      <c r="BB80" s="409"/>
      <c r="BC80" s="409"/>
      <c r="BD80" s="407"/>
      <c r="BE80" s="444"/>
      <c r="BF80" s="444"/>
      <c r="BG80" s="444"/>
      <c r="BH80" s="444"/>
      <c r="BI80" s="444"/>
      <c r="BJ80" s="444"/>
      <c r="BK80" s="444"/>
      <c r="BL80" s="444"/>
      <c r="BM80" s="444"/>
      <c r="BN80" s="444"/>
      <c r="BO80" s="444"/>
      <c r="BP80" s="444"/>
      <c r="BQ80" s="444"/>
      <c r="BR80" s="444"/>
      <c r="BS80" s="444"/>
      <c r="BT80" s="444"/>
    </row>
    <row r="81" spans="1:72" ht="15">
      <c r="A81" s="392"/>
      <c r="B81" s="392"/>
      <c r="C81" s="392"/>
      <c r="D81" s="392"/>
      <c r="E81" s="392"/>
      <c r="F81" s="392"/>
      <c r="G81" s="392"/>
      <c r="H81" s="392"/>
      <c r="I81" s="392"/>
      <c r="J81" s="392"/>
      <c r="K81" s="392"/>
      <c r="L81" s="392"/>
      <c r="M81" s="392"/>
      <c r="N81" s="392"/>
      <c r="O81" s="392"/>
      <c r="P81" s="392"/>
      <c r="Q81" s="392"/>
      <c r="R81" s="392"/>
      <c r="S81" s="409"/>
      <c r="T81" s="409"/>
      <c r="U81" s="409"/>
      <c r="V81" s="409"/>
      <c r="W81" s="392"/>
      <c r="X81" s="392"/>
      <c r="Y81" s="409"/>
      <c r="Z81" s="409"/>
      <c r="AA81" s="392"/>
      <c r="AB81" s="392"/>
      <c r="AC81" s="392"/>
      <c r="AD81" s="409"/>
      <c r="AE81" s="409"/>
      <c r="AF81" s="409"/>
      <c r="AG81" s="409"/>
      <c r="AH81" s="409"/>
      <c r="AI81" s="409"/>
      <c r="AJ81" s="409"/>
      <c r="AK81" s="409"/>
      <c r="AL81" s="409"/>
      <c r="AM81" s="409"/>
      <c r="AN81" s="409"/>
      <c r="AO81" s="409"/>
      <c r="AP81" s="409"/>
      <c r="AQ81" s="409"/>
      <c r="AR81" s="409"/>
      <c r="AS81" s="409"/>
      <c r="AT81" s="409"/>
      <c r="AU81" s="409"/>
      <c r="AV81" s="409"/>
      <c r="AW81" s="409"/>
      <c r="AX81" s="409"/>
      <c r="AY81" s="409"/>
      <c r="AZ81" s="409"/>
      <c r="BA81" s="409"/>
      <c r="BB81" s="409"/>
      <c r="BC81" s="409"/>
      <c r="BD81" s="407"/>
      <c r="BE81" s="444"/>
      <c r="BF81" s="444"/>
      <c r="BG81" s="444"/>
      <c r="BH81" s="444"/>
      <c r="BI81" s="444"/>
      <c r="BJ81" s="444"/>
      <c r="BK81" s="444"/>
      <c r="BL81" s="444"/>
      <c r="BM81" s="444"/>
      <c r="BN81" s="444"/>
      <c r="BO81" s="444"/>
      <c r="BP81" s="444"/>
      <c r="BQ81" s="444"/>
      <c r="BR81" s="444"/>
      <c r="BS81" s="444"/>
      <c r="BT81" s="444"/>
    </row>
    <row r="82" spans="1:72" ht="15">
      <c r="A82" s="392"/>
      <c r="B82" s="392"/>
      <c r="C82" s="392"/>
      <c r="D82" s="392"/>
      <c r="E82" s="392"/>
      <c r="F82" s="392"/>
      <c r="G82" s="392"/>
      <c r="H82" s="392"/>
      <c r="I82" s="392"/>
      <c r="J82" s="392"/>
      <c r="K82" s="392"/>
      <c r="L82" s="392"/>
      <c r="M82" s="392"/>
      <c r="N82" s="392"/>
      <c r="O82" s="392"/>
      <c r="P82" s="392"/>
      <c r="Q82" s="392"/>
      <c r="R82" s="392"/>
      <c r="S82" s="409"/>
      <c r="T82" s="409"/>
      <c r="U82" s="409"/>
      <c r="V82" s="409"/>
      <c r="W82" s="392"/>
      <c r="X82" s="392"/>
      <c r="Y82" s="409"/>
      <c r="Z82" s="409"/>
      <c r="AA82" s="392"/>
      <c r="AB82" s="392"/>
      <c r="AC82" s="392"/>
      <c r="AD82" s="409"/>
      <c r="AE82" s="409"/>
      <c r="AF82" s="409"/>
      <c r="AG82" s="409"/>
      <c r="AH82" s="409"/>
      <c r="AI82" s="409"/>
      <c r="AJ82" s="409"/>
      <c r="AK82" s="409"/>
      <c r="AL82" s="409"/>
      <c r="AM82" s="409"/>
      <c r="AN82" s="409"/>
      <c r="AO82" s="409"/>
      <c r="AP82" s="409"/>
      <c r="AQ82" s="409"/>
      <c r="AR82" s="409"/>
      <c r="AS82" s="409"/>
      <c r="AT82" s="409"/>
      <c r="AU82" s="409"/>
      <c r="AV82" s="409"/>
      <c r="AW82" s="409"/>
      <c r="AX82" s="409"/>
      <c r="AY82" s="409"/>
      <c r="AZ82" s="409"/>
      <c r="BA82" s="409"/>
      <c r="BB82" s="409"/>
      <c r="BC82" s="409"/>
      <c r="BD82" s="407"/>
      <c r="BE82" s="444"/>
      <c r="BF82" s="444"/>
      <c r="BG82" s="444"/>
      <c r="BH82" s="444"/>
      <c r="BI82" s="444"/>
      <c r="BJ82" s="444"/>
      <c r="BK82" s="444"/>
      <c r="BL82" s="444"/>
      <c r="BM82" s="444"/>
      <c r="BN82" s="444"/>
      <c r="BO82" s="444"/>
      <c r="BP82" s="444"/>
      <c r="BQ82" s="444"/>
      <c r="BR82" s="444"/>
      <c r="BS82" s="444"/>
      <c r="BT82" s="444"/>
    </row>
    <row r="83" spans="1:72" ht="15">
      <c r="A83" s="392"/>
      <c r="B83" s="392"/>
      <c r="C83" s="392"/>
      <c r="D83" s="392"/>
      <c r="E83" s="392"/>
      <c r="F83" s="392"/>
      <c r="G83" s="392"/>
      <c r="H83" s="392"/>
      <c r="I83" s="392"/>
      <c r="J83" s="392"/>
      <c r="K83" s="392"/>
      <c r="L83" s="392"/>
      <c r="M83" s="392"/>
      <c r="N83" s="392"/>
      <c r="O83" s="392"/>
      <c r="P83" s="392"/>
      <c r="Q83" s="392"/>
      <c r="R83" s="392"/>
      <c r="S83" s="409"/>
      <c r="T83" s="409"/>
      <c r="U83" s="409"/>
      <c r="V83" s="409"/>
      <c r="W83" s="392"/>
      <c r="X83" s="392"/>
      <c r="Y83" s="409"/>
      <c r="Z83" s="409"/>
      <c r="AA83" s="392"/>
      <c r="AB83" s="392"/>
      <c r="AC83" s="392"/>
      <c r="AD83" s="409"/>
      <c r="AE83" s="409"/>
      <c r="AF83" s="409"/>
      <c r="AG83" s="409"/>
      <c r="AH83" s="409"/>
      <c r="AI83" s="409"/>
      <c r="AJ83" s="409"/>
      <c r="AK83" s="409"/>
      <c r="AL83" s="409"/>
      <c r="AM83" s="409"/>
      <c r="AN83" s="409"/>
      <c r="AO83" s="409"/>
      <c r="AP83" s="409"/>
      <c r="AQ83" s="409"/>
      <c r="AR83" s="409"/>
      <c r="AS83" s="409"/>
      <c r="AT83" s="409"/>
      <c r="AU83" s="409"/>
      <c r="AV83" s="409"/>
      <c r="AW83" s="409"/>
      <c r="AX83" s="409"/>
      <c r="AY83" s="409"/>
      <c r="AZ83" s="409"/>
      <c r="BA83" s="409"/>
      <c r="BB83" s="409"/>
      <c r="BC83" s="409"/>
      <c r="BD83" s="407"/>
      <c r="BE83" s="444"/>
      <c r="BF83" s="444"/>
      <c r="BG83" s="444"/>
      <c r="BH83" s="444"/>
      <c r="BI83" s="444"/>
      <c r="BJ83" s="444"/>
      <c r="BK83" s="444"/>
      <c r="BL83" s="444"/>
      <c r="BM83" s="444"/>
      <c r="BN83" s="444"/>
      <c r="BO83" s="444"/>
      <c r="BP83" s="444"/>
      <c r="BQ83" s="444"/>
      <c r="BR83" s="444"/>
      <c r="BS83" s="444"/>
      <c r="BT83" s="444"/>
    </row>
    <row r="84" spans="1:72" ht="15">
      <c r="A84" s="392"/>
      <c r="B84" s="392"/>
      <c r="C84" s="392"/>
      <c r="D84" s="392"/>
      <c r="E84" s="392"/>
      <c r="F84" s="392"/>
      <c r="G84" s="392"/>
      <c r="H84" s="392"/>
      <c r="I84" s="392"/>
      <c r="J84" s="392"/>
      <c r="K84" s="392"/>
      <c r="L84" s="392"/>
      <c r="M84" s="392"/>
      <c r="N84" s="392"/>
      <c r="O84" s="392"/>
      <c r="P84" s="392"/>
      <c r="Q84" s="392"/>
      <c r="R84" s="392"/>
      <c r="S84" s="409"/>
      <c r="T84" s="409"/>
      <c r="U84" s="409"/>
      <c r="V84" s="409"/>
      <c r="W84" s="392"/>
      <c r="X84" s="392"/>
      <c r="Y84" s="409"/>
      <c r="Z84" s="409"/>
      <c r="AA84" s="392"/>
      <c r="AB84" s="392"/>
      <c r="AC84" s="392"/>
      <c r="AD84" s="409"/>
      <c r="AE84" s="409"/>
      <c r="AF84" s="409"/>
      <c r="AG84" s="409"/>
      <c r="AH84" s="409"/>
      <c r="AI84" s="409"/>
      <c r="AJ84" s="409"/>
      <c r="AK84" s="409"/>
      <c r="AL84" s="409"/>
      <c r="AM84" s="409"/>
      <c r="AN84" s="409"/>
      <c r="AO84" s="409"/>
      <c r="AP84" s="409"/>
      <c r="AQ84" s="409"/>
      <c r="AR84" s="409"/>
      <c r="AS84" s="409"/>
      <c r="AT84" s="409"/>
      <c r="AU84" s="409"/>
      <c r="AV84" s="409"/>
      <c r="AW84" s="409"/>
      <c r="AX84" s="409"/>
      <c r="AY84" s="409"/>
      <c r="AZ84" s="409"/>
      <c r="BA84" s="409"/>
      <c r="BB84" s="409"/>
      <c r="BC84" s="409"/>
      <c r="BD84" s="407"/>
      <c r="BE84" s="444"/>
      <c r="BF84" s="444"/>
      <c r="BG84" s="444"/>
      <c r="BH84" s="444"/>
      <c r="BI84" s="444"/>
      <c r="BJ84" s="444"/>
      <c r="BK84" s="444"/>
      <c r="BL84" s="444"/>
      <c r="BM84" s="444"/>
      <c r="BN84" s="444"/>
      <c r="BO84" s="444"/>
      <c r="BP84" s="444"/>
      <c r="BQ84" s="444"/>
      <c r="BR84" s="444"/>
      <c r="BS84" s="444"/>
      <c r="BT84" s="444"/>
    </row>
    <row r="85" spans="1:72" ht="15">
      <c r="A85" s="392"/>
      <c r="B85" s="392"/>
      <c r="C85" s="392"/>
      <c r="D85" s="392"/>
      <c r="E85" s="392"/>
      <c r="F85" s="392"/>
      <c r="G85" s="392"/>
      <c r="H85" s="392"/>
      <c r="I85" s="392"/>
      <c r="J85" s="392"/>
      <c r="K85" s="392"/>
      <c r="L85" s="392"/>
      <c r="M85" s="392"/>
      <c r="N85" s="392"/>
      <c r="O85" s="392"/>
      <c r="P85" s="392"/>
      <c r="Q85" s="392"/>
      <c r="R85" s="392"/>
      <c r="S85" s="409"/>
      <c r="T85" s="409"/>
      <c r="U85" s="409"/>
      <c r="V85" s="409"/>
      <c r="W85" s="392"/>
      <c r="X85" s="392"/>
      <c r="Y85" s="409"/>
      <c r="Z85" s="409"/>
      <c r="AA85" s="392"/>
      <c r="AB85" s="392"/>
      <c r="AC85" s="392"/>
      <c r="AD85" s="409"/>
      <c r="AE85" s="409"/>
      <c r="AF85" s="409"/>
      <c r="AG85" s="409"/>
      <c r="AH85" s="409"/>
      <c r="AI85" s="409"/>
      <c r="AJ85" s="409"/>
      <c r="AK85" s="409"/>
      <c r="AL85" s="409"/>
      <c r="AM85" s="409"/>
      <c r="AN85" s="409"/>
      <c r="AO85" s="409"/>
      <c r="AP85" s="409"/>
      <c r="AQ85" s="409"/>
      <c r="AR85" s="409"/>
      <c r="AS85" s="409"/>
      <c r="AT85" s="409"/>
      <c r="AU85" s="409"/>
      <c r="AV85" s="409"/>
      <c r="AW85" s="409"/>
      <c r="AX85" s="409"/>
      <c r="AY85" s="409"/>
      <c r="AZ85" s="409"/>
      <c r="BA85" s="409"/>
      <c r="BB85" s="409"/>
      <c r="BC85" s="409"/>
      <c r="BD85" s="407"/>
      <c r="BE85" s="444"/>
      <c r="BF85" s="444"/>
      <c r="BG85" s="444"/>
      <c r="BH85" s="444"/>
      <c r="BI85" s="444"/>
      <c r="BJ85" s="444"/>
      <c r="BK85" s="444"/>
      <c r="BL85" s="444"/>
      <c r="BM85" s="444"/>
      <c r="BN85" s="444"/>
      <c r="BO85" s="444"/>
      <c r="BP85" s="444"/>
      <c r="BQ85" s="444"/>
      <c r="BR85" s="444"/>
      <c r="BS85" s="444"/>
      <c r="BT85" s="444"/>
    </row>
    <row r="86" spans="1:72" ht="15">
      <c r="A86" s="392"/>
      <c r="B86" s="392"/>
      <c r="C86" s="392"/>
      <c r="D86" s="392"/>
      <c r="E86" s="392"/>
      <c r="F86" s="392"/>
      <c r="G86" s="392"/>
      <c r="H86" s="392"/>
      <c r="I86" s="392"/>
      <c r="J86" s="392"/>
      <c r="K86" s="392"/>
      <c r="L86" s="392"/>
      <c r="M86" s="392"/>
      <c r="N86" s="392"/>
      <c r="O86" s="392"/>
      <c r="P86" s="392"/>
      <c r="Q86" s="392"/>
      <c r="R86" s="392"/>
      <c r="S86" s="409"/>
      <c r="T86" s="409"/>
      <c r="U86" s="409"/>
      <c r="V86" s="409"/>
      <c r="W86" s="392"/>
      <c r="X86" s="392"/>
      <c r="Y86" s="409"/>
      <c r="Z86" s="409"/>
      <c r="AA86" s="392"/>
      <c r="AB86" s="392"/>
      <c r="AC86" s="392"/>
      <c r="AD86" s="409"/>
      <c r="AE86" s="409"/>
      <c r="AF86" s="409"/>
      <c r="AG86" s="409"/>
      <c r="AH86" s="409"/>
      <c r="AI86" s="409"/>
      <c r="AJ86" s="409"/>
      <c r="AK86" s="409"/>
      <c r="AL86" s="409"/>
      <c r="AM86" s="409"/>
      <c r="AN86" s="409"/>
      <c r="AO86" s="409"/>
      <c r="AP86" s="409"/>
      <c r="AQ86" s="409"/>
      <c r="AR86" s="409"/>
      <c r="AS86" s="409"/>
      <c r="AT86" s="409"/>
      <c r="AU86" s="409"/>
      <c r="AV86" s="409"/>
      <c r="AW86" s="409"/>
      <c r="AX86" s="409"/>
      <c r="AY86" s="409"/>
      <c r="AZ86" s="409"/>
      <c r="BA86" s="409"/>
      <c r="BB86" s="409"/>
      <c r="BC86" s="409"/>
      <c r="BD86" s="407"/>
      <c r="BE86" s="444"/>
      <c r="BF86" s="444"/>
      <c r="BG86" s="444"/>
      <c r="BH86" s="444"/>
      <c r="BI86" s="444"/>
      <c r="BJ86" s="444"/>
      <c r="BK86" s="444"/>
      <c r="BL86" s="444"/>
      <c r="BM86" s="444"/>
      <c r="BN86" s="444"/>
      <c r="BO86" s="444"/>
      <c r="BP86" s="444"/>
      <c r="BQ86" s="444"/>
      <c r="BR86" s="444"/>
      <c r="BS86" s="444"/>
      <c r="BT86" s="444"/>
    </row>
    <row r="87" spans="1:72" ht="15">
      <c r="A87" s="392"/>
      <c r="B87" s="392"/>
      <c r="C87" s="392"/>
      <c r="D87" s="392"/>
      <c r="E87" s="392"/>
      <c r="F87" s="392"/>
      <c r="G87" s="392"/>
      <c r="H87" s="392"/>
      <c r="I87" s="392"/>
      <c r="J87" s="392"/>
      <c r="K87" s="392"/>
      <c r="L87" s="392"/>
      <c r="M87" s="392"/>
      <c r="N87" s="392"/>
      <c r="O87" s="392"/>
      <c r="P87" s="392"/>
      <c r="Q87" s="392"/>
      <c r="R87" s="392"/>
      <c r="S87" s="409"/>
      <c r="T87" s="409"/>
      <c r="U87" s="409"/>
      <c r="V87" s="409"/>
      <c r="W87" s="392"/>
      <c r="X87" s="392"/>
      <c r="Y87" s="409"/>
      <c r="Z87" s="409"/>
      <c r="AA87" s="392"/>
      <c r="AB87" s="392"/>
      <c r="AC87" s="392"/>
      <c r="AD87" s="409"/>
      <c r="AE87" s="409"/>
      <c r="AF87" s="409"/>
      <c r="AG87" s="409"/>
      <c r="AH87" s="409"/>
      <c r="AI87" s="409"/>
      <c r="AJ87" s="409"/>
      <c r="AK87" s="409"/>
      <c r="AL87" s="409"/>
      <c r="AM87" s="409"/>
      <c r="AN87" s="409"/>
      <c r="AO87" s="409"/>
      <c r="AP87" s="409"/>
      <c r="AQ87" s="409"/>
      <c r="AR87" s="409"/>
      <c r="AS87" s="409"/>
      <c r="AT87" s="409"/>
      <c r="AU87" s="409"/>
      <c r="AV87" s="409"/>
      <c r="AW87" s="409"/>
      <c r="AX87" s="409"/>
      <c r="AY87" s="409"/>
      <c r="AZ87" s="409"/>
      <c r="BA87" s="409"/>
      <c r="BB87" s="409"/>
      <c r="BC87" s="409"/>
      <c r="BD87" s="407"/>
      <c r="BE87" s="444"/>
      <c r="BF87" s="444"/>
      <c r="BG87" s="444"/>
      <c r="BH87" s="444"/>
      <c r="BI87" s="444"/>
      <c r="BJ87" s="444"/>
      <c r="BK87" s="444"/>
      <c r="BL87" s="444"/>
      <c r="BM87" s="444"/>
      <c r="BN87" s="444"/>
      <c r="BO87" s="444"/>
      <c r="BP87" s="444"/>
      <c r="BQ87" s="444"/>
      <c r="BR87" s="444"/>
      <c r="BS87" s="444"/>
      <c r="BT87" s="444"/>
    </row>
    <row r="88" spans="1:72" ht="15">
      <c r="A88" s="392"/>
      <c r="B88" s="392"/>
      <c r="C88" s="392"/>
      <c r="D88" s="392"/>
      <c r="E88" s="392"/>
      <c r="F88" s="392"/>
      <c r="G88" s="392"/>
      <c r="H88" s="392"/>
      <c r="I88" s="392"/>
      <c r="J88" s="392"/>
      <c r="K88" s="392"/>
      <c r="L88" s="392"/>
      <c r="M88" s="392"/>
      <c r="N88" s="392"/>
      <c r="O88" s="392"/>
      <c r="P88" s="392"/>
      <c r="Q88" s="392"/>
      <c r="R88" s="392"/>
      <c r="S88" s="409"/>
      <c r="T88" s="409"/>
      <c r="U88" s="409"/>
      <c r="V88" s="409"/>
      <c r="W88" s="392"/>
      <c r="X88" s="392"/>
      <c r="Y88" s="409"/>
      <c r="Z88" s="409"/>
      <c r="AA88" s="392"/>
      <c r="AB88" s="392"/>
      <c r="AC88" s="392"/>
      <c r="AD88" s="409"/>
      <c r="AE88" s="409"/>
      <c r="AF88" s="409"/>
      <c r="AG88" s="409"/>
      <c r="AH88" s="409"/>
      <c r="AI88" s="409"/>
      <c r="AJ88" s="409"/>
      <c r="AK88" s="409"/>
      <c r="AL88" s="409"/>
      <c r="AM88" s="409"/>
      <c r="AN88" s="409"/>
      <c r="AO88" s="409"/>
      <c r="AP88" s="409"/>
      <c r="AQ88" s="409"/>
      <c r="AR88" s="409"/>
      <c r="AS88" s="409"/>
      <c r="AT88" s="409"/>
      <c r="AU88" s="409"/>
      <c r="AV88" s="409"/>
      <c r="AW88" s="409"/>
      <c r="AX88" s="409"/>
      <c r="AY88" s="409"/>
      <c r="AZ88" s="409"/>
      <c r="BA88" s="409"/>
      <c r="BB88" s="409"/>
      <c r="BC88" s="409"/>
      <c r="BD88" s="407"/>
      <c r="BE88" s="444"/>
      <c r="BF88" s="444"/>
      <c r="BG88" s="444"/>
      <c r="BH88" s="444"/>
      <c r="BI88" s="444"/>
      <c r="BJ88" s="444"/>
      <c r="BK88" s="444"/>
      <c r="BL88" s="444"/>
      <c r="BM88" s="444"/>
      <c r="BN88" s="444"/>
      <c r="BO88" s="444"/>
      <c r="BP88" s="444"/>
      <c r="BQ88" s="444"/>
      <c r="BR88" s="444"/>
      <c r="BS88" s="444"/>
      <c r="BT88" s="444"/>
    </row>
    <row r="89" spans="1:72" ht="15">
      <c r="A89" s="392"/>
      <c r="B89" s="392"/>
      <c r="C89" s="392"/>
      <c r="D89" s="392"/>
      <c r="E89" s="392"/>
      <c r="F89" s="392"/>
      <c r="G89" s="392"/>
      <c r="H89" s="392"/>
      <c r="I89" s="392"/>
      <c r="J89" s="392"/>
      <c r="K89" s="392"/>
      <c r="L89" s="392"/>
      <c r="M89" s="392"/>
      <c r="N89" s="392"/>
      <c r="O89" s="392"/>
      <c r="P89" s="392"/>
      <c r="Q89" s="392"/>
      <c r="R89" s="392"/>
      <c r="S89" s="409"/>
      <c r="T89" s="409"/>
      <c r="U89" s="409"/>
      <c r="V89" s="409"/>
      <c r="W89" s="392"/>
      <c r="X89" s="392"/>
      <c r="Y89" s="409"/>
      <c r="Z89" s="409"/>
      <c r="AA89" s="392"/>
      <c r="AB89" s="392"/>
      <c r="AC89" s="392"/>
      <c r="AD89" s="409"/>
      <c r="AE89" s="409"/>
      <c r="AF89" s="409"/>
      <c r="AG89" s="409"/>
      <c r="AH89" s="409"/>
      <c r="AI89" s="409"/>
      <c r="AJ89" s="409"/>
      <c r="AK89" s="409"/>
      <c r="AL89" s="409"/>
      <c r="AM89" s="409"/>
      <c r="AN89" s="409"/>
      <c r="AO89" s="409"/>
      <c r="AP89" s="409"/>
      <c r="AQ89" s="409"/>
      <c r="AR89" s="409"/>
      <c r="AS89" s="409"/>
      <c r="AT89" s="409"/>
      <c r="AU89" s="409"/>
      <c r="AV89" s="409"/>
      <c r="AW89" s="409"/>
      <c r="AX89" s="409"/>
      <c r="AY89" s="409"/>
      <c r="AZ89" s="409"/>
      <c r="BA89" s="409"/>
      <c r="BB89" s="409"/>
      <c r="BC89" s="409"/>
      <c r="BD89" s="407"/>
      <c r="BE89" s="444"/>
      <c r="BF89" s="444"/>
      <c r="BG89" s="444"/>
      <c r="BH89" s="444"/>
      <c r="BI89" s="444"/>
      <c r="BJ89" s="444"/>
      <c r="BK89" s="444"/>
      <c r="BL89" s="444"/>
      <c r="BM89" s="444"/>
      <c r="BN89" s="444"/>
      <c r="BO89" s="444"/>
      <c r="BP89" s="444"/>
      <c r="BQ89" s="444"/>
      <c r="BR89" s="444"/>
      <c r="BS89" s="444"/>
      <c r="BT89" s="444"/>
    </row>
    <row r="90" spans="1:72" ht="15">
      <c r="A90" s="392"/>
      <c r="B90" s="392"/>
      <c r="C90" s="392"/>
      <c r="D90" s="392"/>
      <c r="E90" s="392"/>
      <c r="F90" s="392"/>
      <c r="G90" s="392"/>
      <c r="H90" s="392"/>
      <c r="I90" s="392"/>
      <c r="J90" s="392"/>
      <c r="K90" s="392"/>
      <c r="L90" s="392"/>
      <c r="M90" s="392"/>
      <c r="N90" s="392"/>
      <c r="O90" s="392"/>
      <c r="P90" s="392"/>
      <c r="Q90" s="392"/>
      <c r="R90" s="392"/>
      <c r="S90" s="409"/>
      <c r="T90" s="409"/>
      <c r="U90" s="409"/>
      <c r="V90" s="409"/>
      <c r="W90" s="392"/>
      <c r="X90" s="392"/>
      <c r="Y90" s="409"/>
      <c r="Z90" s="409"/>
      <c r="AA90" s="392"/>
      <c r="AB90" s="392"/>
      <c r="AC90" s="392"/>
      <c r="AD90" s="409"/>
      <c r="AE90" s="409"/>
      <c r="AF90" s="409"/>
      <c r="AG90" s="409"/>
      <c r="AH90" s="409"/>
      <c r="AI90" s="409"/>
      <c r="AJ90" s="409"/>
      <c r="AK90" s="409"/>
      <c r="AL90" s="409"/>
      <c r="AM90" s="409"/>
      <c r="AN90" s="409"/>
      <c r="AO90" s="409"/>
      <c r="AP90" s="409"/>
      <c r="AQ90" s="409"/>
      <c r="AR90" s="409"/>
      <c r="AS90" s="409"/>
      <c r="AT90" s="409"/>
      <c r="AU90" s="409"/>
      <c r="AV90" s="409"/>
      <c r="AW90" s="409"/>
      <c r="AX90" s="409"/>
      <c r="AY90" s="409"/>
      <c r="AZ90" s="409"/>
      <c r="BA90" s="409"/>
      <c r="BB90" s="409"/>
      <c r="BC90" s="409"/>
      <c r="BD90" s="407"/>
      <c r="BE90" s="444"/>
      <c r="BF90" s="444"/>
      <c r="BG90" s="444"/>
      <c r="BH90" s="444"/>
      <c r="BI90" s="444"/>
      <c r="BJ90" s="444"/>
      <c r="BK90" s="444"/>
      <c r="BL90" s="444"/>
      <c r="BM90" s="444"/>
      <c r="BN90" s="444"/>
      <c r="BO90" s="444"/>
      <c r="BP90" s="444"/>
      <c r="BQ90" s="444"/>
      <c r="BR90" s="444"/>
      <c r="BS90" s="444"/>
      <c r="BT90" s="444"/>
    </row>
    <row r="91" spans="1:72" ht="15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  <c r="L91" s="392"/>
      <c r="M91" s="392"/>
      <c r="N91" s="392"/>
      <c r="O91" s="392"/>
      <c r="P91" s="392"/>
      <c r="Q91" s="392"/>
      <c r="R91" s="392"/>
      <c r="S91" s="409"/>
      <c r="T91" s="409"/>
      <c r="U91" s="409"/>
      <c r="V91" s="409"/>
      <c r="W91" s="392"/>
      <c r="X91" s="392"/>
      <c r="Y91" s="409"/>
      <c r="Z91" s="409"/>
      <c r="AA91" s="392"/>
      <c r="AB91" s="392"/>
      <c r="AC91" s="392"/>
      <c r="AD91" s="409"/>
      <c r="AE91" s="409"/>
      <c r="AF91" s="409"/>
      <c r="AG91" s="409"/>
      <c r="AH91" s="409"/>
      <c r="AI91" s="409"/>
      <c r="AJ91" s="409"/>
      <c r="AK91" s="409"/>
      <c r="AL91" s="409"/>
      <c r="AM91" s="409"/>
      <c r="AN91" s="409"/>
      <c r="AO91" s="409"/>
      <c r="AP91" s="409"/>
      <c r="AQ91" s="409"/>
      <c r="AR91" s="409"/>
      <c r="AS91" s="409"/>
      <c r="AT91" s="409"/>
      <c r="AU91" s="409"/>
      <c r="AV91" s="409"/>
      <c r="AW91" s="409"/>
      <c r="AX91" s="409"/>
      <c r="AY91" s="409"/>
      <c r="AZ91" s="409"/>
      <c r="BA91" s="409"/>
      <c r="BB91" s="409"/>
      <c r="BC91" s="409"/>
      <c r="BD91" s="407"/>
      <c r="BE91" s="444"/>
      <c r="BF91" s="444"/>
      <c r="BG91" s="444"/>
      <c r="BH91" s="444"/>
      <c r="BI91" s="444"/>
      <c r="BJ91" s="444"/>
      <c r="BK91" s="444"/>
      <c r="BL91" s="444"/>
      <c r="BM91" s="444"/>
      <c r="BN91" s="444"/>
      <c r="BO91" s="444"/>
      <c r="BP91" s="444"/>
      <c r="BQ91" s="444"/>
      <c r="BR91" s="444"/>
      <c r="BS91" s="444"/>
      <c r="BT91" s="444"/>
    </row>
    <row r="92" spans="1:72" ht="15">
      <c r="A92" s="392"/>
      <c r="B92" s="392"/>
      <c r="C92" s="392"/>
      <c r="D92" s="392"/>
      <c r="E92" s="392"/>
      <c r="F92" s="392"/>
      <c r="G92" s="392"/>
      <c r="H92" s="392"/>
      <c r="I92" s="392"/>
      <c r="J92" s="392"/>
      <c r="K92" s="392"/>
      <c r="L92" s="392"/>
      <c r="M92" s="392"/>
      <c r="N92" s="392"/>
      <c r="O92" s="392"/>
      <c r="P92" s="392"/>
      <c r="Q92" s="392"/>
      <c r="R92" s="392"/>
      <c r="S92" s="409"/>
      <c r="T92" s="409"/>
      <c r="U92" s="409"/>
      <c r="V92" s="409"/>
      <c r="W92" s="392"/>
      <c r="X92" s="392"/>
      <c r="Y92" s="409"/>
      <c r="Z92" s="409"/>
      <c r="AA92" s="392"/>
      <c r="AB92" s="392"/>
      <c r="AC92" s="392"/>
      <c r="AD92" s="409"/>
      <c r="AE92" s="409"/>
      <c r="AF92" s="409"/>
      <c r="AG92" s="409"/>
      <c r="AH92" s="409"/>
      <c r="AI92" s="409"/>
      <c r="AJ92" s="409"/>
      <c r="AK92" s="409"/>
      <c r="AL92" s="409"/>
      <c r="AM92" s="409"/>
      <c r="AN92" s="409"/>
      <c r="AO92" s="409"/>
      <c r="AP92" s="409"/>
      <c r="AQ92" s="409"/>
      <c r="AR92" s="409"/>
      <c r="AS92" s="409"/>
      <c r="AT92" s="409"/>
      <c r="AU92" s="409"/>
      <c r="AV92" s="409"/>
      <c r="AW92" s="409"/>
      <c r="AX92" s="409"/>
      <c r="AY92" s="409"/>
      <c r="AZ92" s="409"/>
      <c r="BA92" s="409"/>
      <c r="BB92" s="409"/>
      <c r="BC92" s="409"/>
      <c r="BD92" s="407"/>
      <c r="BE92" s="444"/>
      <c r="BF92" s="444"/>
      <c r="BG92" s="444"/>
      <c r="BH92" s="444"/>
      <c r="BI92" s="444"/>
      <c r="BJ92" s="444"/>
      <c r="BK92" s="444"/>
      <c r="BL92" s="444"/>
      <c r="BM92" s="444"/>
      <c r="BN92" s="444"/>
      <c r="BO92" s="444"/>
      <c r="BP92" s="444"/>
      <c r="BQ92" s="444"/>
      <c r="BR92" s="444"/>
      <c r="BS92" s="444"/>
      <c r="BT92" s="444"/>
    </row>
    <row r="93" spans="1:72" ht="15">
      <c r="A93" s="392"/>
      <c r="B93" s="392"/>
      <c r="C93" s="392"/>
      <c r="D93" s="392"/>
      <c r="E93" s="392"/>
      <c r="F93" s="392"/>
      <c r="G93" s="392"/>
      <c r="H93" s="392"/>
      <c r="I93" s="392"/>
      <c r="J93" s="392"/>
      <c r="K93" s="392"/>
      <c r="L93" s="392"/>
      <c r="M93" s="392"/>
      <c r="N93" s="392"/>
      <c r="O93" s="392"/>
      <c r="P93" s="392"/>
      <c r="Q93" s="392"/>
      <c r="R93" s="392"/>
      <c r="S93" s="409"/>
      <c r="T93" s="409"/>
      <c r="U93" s="409"/>
      <c r="V93" s="409"/>
      <c r="W93" s="392"/>
      <c r="X93" s="392"/>
      <c r="Y93" s="409"/>
      <c r="Z93" s="409"/>
      <c r="AA93" s="392"/>
      <c r="AB93" s="392"/>
      <c r="AC93" s="392"/>
      <c r="AD93" s="409"/>
      <c r="AE93" s="409"/>
      <c r="AF93" s="409"/>
      <c r="AG93" s="409"/>
      <c r="AH93" s="409"/>
      <c r="AI93" s="409"/>
      <c r="AJ93" s="409"/>
      <c r="AK93" s="409"/>
      <c r="AL93" s="409"/>
      <c r="AM93" s="409"/>
      <c r="AN93" s="409"/>
      <c r="AO93" s="409"/>
      <c r="AP93" s="409"/>
      <c r="AQ93" s="409"/>
      <c r="AR93" s="409"/>
      <c r="AS93" s="409"/>
      <c r="AT93" s="409"/>
      <c r="AU93" s="409"/>
      <c r="AV93" s="409"/>
      <c r="AW93" s="409"/>
      <c r="AX93" s="409"/>
      <c r="AY93" s="409"/>
      <c r="AZ93" s="409"/>
      <c r="BA93" s="409"/>
      <c r="BB93" s="409"/>
      <c r="BC93" s="409"/>
      <c r="BD93" s="407"/>
      <c r="BE93" s="444"/>
      <c r="BF93" s="444"/>
      <c r="BG93" s="444"/>
      <c r="BH93" s="444"/>
      <c r="BI93" s="444"/>
      <c r="BJ93" s="444"/>
      <c r="BK93" s="444"/>
      <c r="BL93" s="444"/>
      <c r="BM93" s="444"/>
      <c r="BN93" s="444"/>
      <c r="BO93" s="444"/>
      <c r="BP93" s="444"/>
      <c r="BQ93" s="444"/>
      <c r="BR93" s="444"/>
      <c r="BS93" s="444"/>
      <c r="BT93" s="444"/>
    </row>
    <row r="94" spans="1:72" ht="15">
      <c r="A94" s="392"/>
      <c r="B94" s="392"/>
      <c r="C94" s="392"/>
      <c r="D94" s="392"/>
      <c r="E94" s="392"/>
      <c r="F94" s="392"/>
      <c r="G94" s="392"/>
      <c r="H94" s="392"/>
      <c r="I94" s="392"/>
      <c r="J94" s="392"/>
      <c r="K94" s="392"/>
      <c r="L94" s="392"/>
      <c r="M94" s="392"/>
      <c r="N94" s="392"/>
      <c r="O94" s="392"/>
      <c r="P94" s="392"/>
      <c r="Q94" s="392"/>
      <c r="R94" s="392"/>
      <c r="S94" s="409"/>
      <c r="T94" s="409"/>
      <c r="U94" s="409"/>
      <c r="V94" s="409"/>
      <c r="W94" s="392"/>
      <c r="X94" s="392"/>
      <c r="Y94" s="409"/>
      <c r="Z94" s="409"/>
      <c r="AA94" s="392"/>
      <c r="AB94" s="392"/>
      <c r="AC94" s="392"/>
      <c r="AD94" s="409"/>
      <c r="AE94" s="409"/>
      <c r="AF94" s="409"/>
      <c r="AG94" s="409"/>
      <c r="AH94" s="409"/>
      <c r="AI94" s="409"/>
      <c r="AJ94" s="409"/>
      <c r="AK94" s="409"/>
      <c r="AL94" s="409"/>
      <c r="AM94" s="409"/>
      <c r="AN94" s="409"/>
      <c r="AO94" s="409"/>
      <c r="AP94" s="409"/>
      <c r="AQ94" s="409"/>
      <c r="AR94" s="409"/>
      <c r="AS94" s="409"/>
      <c r="AT94" s="409"/>
      <c r="AU94" s="409"/>
      <c r="AV94" s="409"/>
      <c r="AW94" s="409"/>
      <c r="AX94" s="409"/>
      <c r="AY94" s="409"/>
      <c r="AZ94" s="409"/>
      <c r="BA94" s="409"/>
      <c r="BB94" s="409"/>
      <c r="BC94" s="409"/>
      <c r="BD94" s="407"/>
      <c r="BE94" s="444"/>
      <c r="BF94" s="444"/>
      <c r="BG94" s="444"/>
      <c r="BH94" s="444"/>
      <c r="BI94" s="444"/>
      <c r="BJ94" s="444"/>
      <c r="BK94" s="444"/>
      <c r="BL94" s="444"/>
      <c r="BM94" s="444"/>
      <c r="BN94" s="444"/>
      <c r="BO94" s="444"/>
      <c r="BP94" s="444"/>
      <c r="BQ94" s="444"/>
      <c r="BR94" s="444"/>
      <c r="BS94" s="444"/>
      <c r="BT94" s="444"/>
    </row>
    <row r="95" spans="1:72" ht="15">
      <c r="A95" s="392"/>
      <c r="B95" s="392"/>
      <c r="C95" s="392"/>
      <c r="D95" s="392"/>
      <c r="E95" s="392"/>
      <c r="F95" s="392"/>
      <c r="G95" s="392"/>
      <c r="H95" s="392"/>
      <c r="I95" s="392"/>
      <c r="J95" s="392"/>
      <c r="K95" s="392"/>
      <c r="L95" s="392"/>
      <c r="M95" s="392"/>
      <c r="N95" s="392"/>
      <c r="O95" s="392"/>
      <c r="P95" s="392"/>
      <c r="Q95" s="392"/>
      <c r="R95" s="392"/>
      <c r="S95" s="409"/>
      <c r="T95" s="409"/>
      <c r="U95" s="409"/>
      <c r="V95" s="409"/>
      <c r="W95" s="392"/>
      <c r="X95" s="392"/>
      <c r="Y95" s="409"/>
      <c r="Z95" s="409"/>
      <c r="AA95" s="392"/>
      <c r="AB95" s="392"/>
      <c r="AC95" s="392"/>
      <c r="AD95" s="409"/>
      <c r="AE95" s="409"/>
      <c r="AF95" s="409"/>
      <c r="AG95" s="409"/>
      <c r="AH95" s="409"/>
      <c r="AI95" s="409"/>
      <c r="AJ95" s="409"/>
      <c r="AK95" s="409"/>
      <c r="AL95" s="409"/>
      <c r="AM95" s="409"/>
      <c r="AN95" s="409"/>
      <c r="AO95" s="409"/>
      <c r="AP95" s="409"/>
      <c r="AQ95" s="409"/>
      <c r="AR95" s="409"/>
      <c r="AS95" s="409"/>
      <c r="AT95" s="409"/>
      <c r="AU95" s="409"/>
      <c r="AV95" s="409"/>
      <c r="AW95" s="409"/>
      <c r="AX95" s="409"/>
      <c r="AY95" s="409"/>
      <c r="AZ95" s="409"/>
      <c r="BA95" s="409"/>
      <c r="BB95" s="409"/>
      <c r="BC95" s="409"/>
      <c r="BD95" s="407"/>
      <c r="BE95" s="444"/>
      <c r="BF95" s="444"/>
      <c r="BG95" s="444"/>
      <c r="BH95" s="444"/>
      <c r="BI95" s="444"/>
      <c r="BJ95" s="444"/>
      <c r="BK95" s="444"/>
      <c r="BL95" s="444"/>
      <c r="BM95" s="444"/>
      <c r="BN95" s="444"/>
      <c r="BO95" s="444"/>
      <c r="BP95" s="444"/>
      <c r="BQ95" s="444"/>
      <c r="BR95" s="444"/>
      <c r="BS95" s="444"/>
      <c r="BT95" s="444"/>
    </row>
    <row r="96" spans="1:72" ht="15">
      <c r="A96" s="392"/>
      <c r="B96" s="392"/>
      <c r="C96" s="392"/>
      <c r="D96" s="392"/>
      <c r="E96" s="392"/>
      <c r="F96" s="392"/>
      <c r="G96" s="392"/>
      <c r="H96" s="392"/>
      <c r="I96" s="392"/>
      <c r="J96" s="392"/>
      <c r="K96" s="392"/>
      <c r="L96" s="392"/>
      <c r="M96" s="392"/>
      <c r="N96" s="392"/>
      <c r="O96" s="392"/>
      <c r="P96" s="392"/>
      <c r="Q96" s="392"/>
      <c r="R96" s="392"/>
      <c r="S96" s="409"/>
      <c r="T96" s="409"/>
      <c r="U96" s="409"/>
      <c r="V96" s="409"/>
      <c r="W96" s="392"/>
      <c r="X96" s="392"/>
      <c r="Y96" s="409"/>
      <c r="Z96" s="409"/>
      <c r="AA96" s="392"/>
      <c r="AB96" s="392"/>
      <c r="AC96" s="392"/>
      <c r="AD96" s="409"/>
      <c r="AE96" s="409"/>
      <c r="AF96" s="409"/>
      <c r="AG96" s="409"/>
      <c r="AH96" s="409"/>
      <c r="AI96" s="409"/>
      <c r="AJ96" s="409"/>
      <c r="AK96" s="409"/>
      <c r="AL96" s="409"/>
      <c r="AM96" s="409"/>
      <c r="AN96" s="409"/>
      <c r="AO96" s="409"/>
      <c r="AP96" s="409"/>
      <c r="AQ96" s="409"/>
      <c r="AR96" s="409"/>
      <c r="AS96" s="409"/>
      <c r="AT96" s="409"/>
      <c r="AU96" s="409"/>
      <c r="AV96" s="409"/>
      <c r="AW96" s="409"/>
      <c r="AX96" s="409"/>
      <c r="AY96" s="409"/>
      <c r="AZ96" s="409"/>
      <c r="BA96" s="409"/>
      <c r="BB96" s="409"/>
      <c r="BC96" s="409"/>
      <c r="BD96" s="407"/>
      <c r="BE96" s="444"/>
      <c r="BF96" s="444"/>
      <c r="BG96" s="444"/>
      <c r="BH96" s="444"/>
      <c r="BI96" s="444"/>
      <c r="BJ96" s="444"/>
      <c r="BK96" s="444"/>
      <c r="BL96" s="444"/>
      <c r="BM96" s="444"/>
      <c r="BN96" s="444"/>
      <c r="BO96" s="444"/>
      <c r="BP96" s="444"/>
      <c r="BQ96" s="444"/>
      <c r="BR96" s="444"/>
      <c r="BS96" s="444"/>
      <c r="BT96" s="444"/>
    </row>
    <row r="97" spans="1:72" ht="15">
      <c r="A97" s="392"/>
      <c r="B97" s="392"/>
      <c r="C97" s="392"/>
      <c r="D97" s="392"/>
      <c r="E97" s="392"/>
      <c r="F97" s="392"/>
      <c r="G97" s="392"/>
      <c r="H97" s="392"/>
      <c r="I97" s="392"/>
      <c r="J97" s="392"/>
      <c r="K97" s="392"/>
      <c r="L97" s="392"/>
      <c r="M97" s="392"/>
      <c r="N97" s="392"/>
      <c r="O97" s="392"/>
      <c r="P97" s="392"/>
      <c r="Q97" s="392"/>
      <c r="R97" s="392"/>
      <c r="S97" s="409"/>
      <c r="T97" s="409"/>
      <c r="U97" s="409"/>
      <c r="V97" s="409"/>
      <c r="W97" s="392"/>
      <c r="X97" s="392"/>
      <c r="Y97" s="409"/>
      <c r="Z97" s="409"/>
      <c r="AA97" s="392"/>
      <c r="AB97" s="392"/>
      <c r="AC97" s="392"/>
      <c r="AD97" s="409"/>
      <c r="AE97" s="409"/>
      <c r="AF97" s="409"/>
      <c r="AG97" s="409"/>
      <c r="AH97" s="409"/>
      <c r="AI97" s="409"/>
      <c r="AJ97" s="409"/>
      <c r="AK97" s="409"/>
      <c r="AL97" s="409"/>
      <c r="AM97" s="409"/>
      <c r="AN97" s="409"/>
      <c r="AO97" s="409"/>
      <c r="AP97" s="409"/>
      <c r="AQ97" s="409"/>
      <c r="AR97" s="409"/>
      <c r="AS97" s="409"/>
      <c r="AT97" s="409"/>
      <c r="AU97" s="409"/>
      <c r="AV97" s="409"/>
      <c r="AW97" s="409"/>
      <c r="AX97" s="409"/>
      <c r="AY97" s="409"/>
      <c r="AZ97" s="409"/>
      <c r="BA97" s="409"/>
      <c r="BB97" s="409"/>
      <c r="BC97" s="409"/>
      <c r="BD97" s="407"/>
      <c r="BE97" s="444"/>
      <c r="BF97" s="444"/>
      <c r="BG97" s="444"/>
      <c r="BH97" s="444"/>
      <c r="BI97" s="444"/>
      <c r="BJ97" s="444"/>
      <c r="BK97" s="444"/>
      <c r="BL97" s="444"/>
      <c r="BM97" s="444"/>
      <c r="BN97" s="444"/>
      <c r="BO97" s="444"/>
      <c r="BP97" s="444"/>
      <c r="BQ97" s="444"/>
      <c r="BR97" s="444"/>
      <c r="BS97" s="444"/>
      <c r="BT97" s="444"/>
    </row>
    <row r="98" spans="1:72" ht="15">
      <c r="A98" s="392"/>
      <c r="B98" s="392"/>
      <c r="C98" s="392"/>
      <c r="D98" s="392"/>
      <c r="E98" s="392"/>
      <c r="F98" s="392"/>
      <c r="G98" s="392"/>
      <c r="H98" s="392"/>
      <c r="I98" s="392"/>
      <c r="J98" s="392"/>
      <c r="K98" s="392"/>
      <c r="L98" s="392"/>
      <c r="M98" s="392"/>
      <c r="N98" s="392"/>
      <c r="O98" s="392"/>
      <c r="P98" s="392"/>
      <c r="Q98" s="392"/>
      <c r="R98" s="392"/>
      <c r="S98" s="409"/>
      <c r="T98" s="409"/>
      <c r="U98" s="409"/>
      <c r="V98" s="409"/>
      <c r="W98" s="392"/>
      <c r="X98" s="392"/>
      <c r="Y98" s="409"/>
      <c r="Z98" s="409"/>
      <c r="AA98" s="392"/>
      <c r="AB98" s="392"/>
      <c r="AC98" s="392"/>
      <c r="AD98" s="409"/>
      <c r="AE98" s="409"/>
      <c r="AF98" s="409"/>
      <c r="AG98" s="409"/>
      <c r="AH98" s="409"/>
      <c r="AI98" s="409"/>
      <c r="AJ98" s="409"/>
      <c r="AK98" s="409"/>
      <c r="AL98" s="409"/>
      <c r="AM98" s="409"/>
      <c r="AN98" s="409"/>
      <c r="AO98" s="409"/>
      <c r="AP98" s="409"/>
      <c r="AQ98" s="409"/>
      <c r="AR98" s="409"/>
      <c r="AS98" s="409"/>
      <c r="AT98" s="409"/>
      <c r="AU98" s="409"/>
      <c r="AV98" s="409"/>
      <c r="AW98" s="409"/>
      <c r="AX98" s="409"/>
      <c r="AY98" s="409"/>
      <c r="AZ98" s="409"/>
      <c r="BA98" s="409"/>
      <c r="BB98" s="409"/>
      <c r="BC98" s="409"/>
      <c r="BD98" s="407"/>
      <c r="BE98" s="444"/>
      <c r="BF98" s="444"/>
      <c r="BG98" s="444"/>
      <c r="BH98" s="444"/>
      <c r="BI98" s="444"/>
      <c r="BJ98" s="444"/>
      <c r="BK98" s="444"/>
      <c r="BL98" s="444"/>
      <c r="BM98" s="444"/>
      <c r="BN98" s="444"/>
      <c r="BO98" s="444"/>
      <c r="BP98" s="444"/>
      <c r="BQ98" s="444"/>
      <c r="BR98" s="444"/>
      <c r="BS98" s="444"/>
      <c r="BT98" s="444"/>
    </row>
    <row r="99" spans="1:72" ht="15">
      <c r="A99" s="392"/>
      <c r="B99" s="392"/>
      <c r="C99" s="392"/>
      <c r="D99" s="392"/>
      <c r="E99" s="392"/>
      <c r="F99" s="392"/>
      <c r="G99" s="392"/>
      <c r="H99" s="392"/>
      <c r="I99" s="392"/>
      <c r="J99" s="392"/>
      <c r="K99" s="392"/>
      <c r="L99" s="392"/>
      <c r="M99" s="392"/>
      <c r="N99" s="392"/>
      <c r="O99" s="392"/>
      <c r="P99" s="392"/>
      <c r="Q99" s="392"/>
      <c r="R99" s="392"/>
      <c r="S99" s="409"/>
      <c r="T99" s="409"/>
      <c r="U99" s="409"/>
      <c r="V99" s="409"/>
      <c r="W99" s="392"/>
      <c r="X99" s="392"/>
      <c r="Y99" s="409"/>
      <c r="Z99" s="409"/>
      <c r="AA99" s="392"/>
      <c r="AB99" s="392"/>
      <c r="AC99" s="392"/>
      <c r="AD99" s="409"/>
      <c r="AE99" s="409"/>
      <c r="AF99" s="409"/>
      <c r="AG99" s="409"/>
      <c r="AH99" s="409"/>
      <c r="AI99" s="409"/>
      <c r="AJ99" s="409"/>
      <c r="AK99" s="409"/>
      <c r="AL99" s="409"/>
      <c r="AM99" s="409"/>
      <c r="AN99" s="409"/>
      <c r="AO99" s="409"/>
      <c r="AP99" s="409"/>
      <c r="AQ99" s="409"/>
      <c r="AR99" s="409"/>
      <c r="AS99" s="409"/>
      <c r="AT99" s="409"/>
      <c r="AU99" s="409"/>
      <c r="AV99" s="409"/>
      <c r="AW99" s="409"/>
      <c r="AX99" s="409"/>
      <c r="AY99" s="409"/>
      <c r="AZ99" s="409"/>
      <c r="BA99" s="409"/>
      <c r="BB99" s="409"/>
      <c r="BC99" s="409"/>
      <c r="BD99" s="407"/>
      <c r="BE99" s="444"/>
      <c r="BF99" s="444"/>
      <c r="BG99" s="444"/>
      <c r="BH99" s="444"/>
      <c r="BI99" s="444"/>
      <c r="BJ99" s="444"/>
      <c r="BK99" s="444"/>
      <c r="BL99" s="444"/>
      <c r="BM99" s="444"/>
      <c r="BN99" s="444"/>
      <c r="BO99" s="444"/>
      <c r="BP99" s="444"/>
      <c r="BQ99" s="444"/>
      <c r="BR99" s="444"/>
      <c r="BS99" s="444"/>
      <c r="BT99" s="444"/>
    </row>
    <row r="100" spans="1:72" ht="15">
      <c r="A100" s="392"/>
      <c r="B100" s="392"/>
      <c r="C100" s="392"/>
      <c r="D100" s="392"/>
      <c r="E100" s="392"/>
      <c r="F100" s="392"/>
      <c r="G100" s="392"/>
      <c r="H100" s="392"/>
      <c r="I100" s="392"/>
      <c r="J100" s="392"/>
      <c r="K100" s="392"/>
      <c r="L100" s="392"/>
      <c r="M100" s="392"/>
      <c r="N100" s="392"/>
      <c r="O100" s="392"/>
      <c r="P100" s="392"/>
      <c r="Q100" s="392"/>
      <c r="R100" s="392"/>
      <c r="S100" s="409"/>
      <c r="T100" s="409"/>
      <c r="U100" s="409"/>
      <c r="V100" s="409"/>
      <c r="W100" s="392"/>
      <c r="X100" s="392"/>
      <c r="Y100" s="409"/>
      <c r="Z100" s="409"/>
      <c r="AA100" s="392"/>
      <c r="AB100" s="392"/>
      <c r="AC100" s="392"/>
      <c r="AD100" s="409"/>
      <c r="AE100" s="409"/>
      <c r="AF100" s="409"/>
      <c r="AG100" s="409"/>
      <c r="AH100" s="409"/>
      <c r="AI100" s="409"/>
      <c r="AJ100" s="409"/>
      <c r="AK100" s="409"/>
      <c r="AL100" s="409"/>
      <c r="AM100" s="409"/>
      <c r="AN100" s="409"/>
      <c r="AO100" s="409"/>
      <c r="AP100" s="409"/>
      <c r="AQ100" s="409"/>
      <c r="AR100" s="409"/>
      <c r="AS100" s="409"/>
      <c r="AT100" s="409"/>
      <c r="AU100" s="409"/>
      <c r="AV100" s="409"/>
      <c r="AW100" s="409"/>
      <c r="AX100" s="409"/>
      <c r="AY100" s="409"/>
      <c r="AZ100" s="409"/>
      <c r="BA100" s="409"/>
      <c r="BB100" s="409"/>
      <c r="BC100" s="409"/>
      <c r="BD100" s="407"/>
      <c r="BE100" s="444"/>
      <c r="BF100" s="444"/>
      <c r="BG100" s="444"/>
      <c r="BH100" s="444"/>
      <c r="BI100" s="444"/>
      <c r="BJ100" s="444"/>
      <c r="BK100" s="444"/>
      <c r="BL100" s="444"/>
      <c r="BM100" s="444"/>
      <c r="BN100" s="444"/>
      <c r="BO100" s="444"/>
      <c r="BP100" s="444"/>
      <c r="BQ100" s="444"/>
      <c r="BR100" s="444"/>
      <c r="BS100" s="444"/>
      <c r="BT100" s="444"/>
    </row>
    <row r="101" spans="1:72" ht="15">
      <c r="A101" s="392"/>
      <c r="B101" s="392"/>
      <c r="C101" s="392"/>
      <c r="D101" s="392"/>
      <c r="E101" s="392"/>
      <c r="F101" s="392"/>
      <c r="G101" s="392"/>
      <c r="H101" s="392"/>
      <c r="I101" s="392"/>
      <c r="J101" s="392"/>
      <c r="K101" s="392"/>
      <c r="L101" s="392"/>
      <c r="M101" s="392"/>
      <c r="N101" s="392"/>
      <c r="O101" s="392"/>
      <c r="P101" s="392"/>
      <c r="Q101" s="392"/>
      <c r="R101" s="392"/>
      <c r="S101" s="409"/>
      <c r="T101" s="409"/>
      <c r="U101" s="409"/>
      <c r="V101" s="409"/>
      <c r="W101" s="392"/>
      <c r="X101" s="392"/>
      <c r="Y101" s="409"/>
      <c r="Z101" s="409"/>
      <c r="AA101" s="392"/>
      <c r="AB101" s="392"/>
      <c r="AC101" s="392"/>
      <c r="AD101" s="409"/>
      <c r="AE101" s="409"/>
      <c r="AF101" s="409"/>
      <c r="AG101" s="409"/>
      <c r="AH101" s="409"/>
      <c r="AI101" s="409"/>
      <c r="AJ101" s="409"/>
      <c r="AK101" s="409"/>
      <c r="AL101" s="409"/>
      <c r="AM101" s="409"/>
      <c r="AN101" s="409"/>
      <c r="AO101" s="409"/>
      <c r="AP101" s="409"/>
      <c r="AQ101" s="409"/>
      <c r="AR101" s="409"/>
      <c r="AS101" s="409"/>
      <c r="AT101" s="409"/>
      <c r="AU101" s="409"/>
      <c r="AV101" s="409"/>
      <c r="AW101" s="409"/>
      <c r="AX101" s="409"/>
      <c r="AY101" s="409"/>
      <c r="AZ101" s="409"/>
      <c r="BA101" s="409"/>
      <c r="BB101" s="409"/>
      <c r="BC101" s="409"/>
      <c r="BD101" s="407"/>
      <c r="BE101" s="444"/>
      <c r="BF101" s="444"/>
      <c r="BG101" s="444"/>
      <c r="BH101" s="444"/>
      <c r="BI101" s="444"/>
      <c r="BJ101" s="444"/>
      <c r="BK101" s="444"/>
      <c r="BL101" s="444"/>
      <c r="BM101" s="444"/>
      <c r="BN101" s="444"/>
      <c r="BO101" s="444"/>
      <c r="BP101" s="444"/>
      <c r="BQ101" s="444"/>
      <c r="BR101" s="444"/>
      <c r="BS101" s="444"/>
      <c r="BT101" s="444"/>
    </row>
    <row r="102" spans="1:72" ht="15">
      <c r="A102" s="392"/>
      <c r="B102" s="392"/>
      <c r="C102" s="392"/>
      <c r="D102" s="392"/>
      <c r="E102" s="392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409"/>
      <c r="T102" s="409"/>
      <c r="U102" s="409"/>
      <c r="V102" s="409"/>
      <c r="W102" s="392"/>
      <c r="X102" s="392"/>
      <c r="Y102" s="409"/>
      <c r="Z102" s="409"/>
      <c r="AA102" s="392"/>
      <c r="AB102" s="392"/>
      <c r="AC102" s="392"/>
      <c r="AD102" s="409"/>
      <c r="AE102" s="409"/>
      <c r="AF102" s="409"/>
      <c r="AG102" s="409"/>
      <c r="AH102" s="409"/>
      <c r="AI102" s="409"/>
      <c r="AJ102" s="409"/>
      <c r="AK102" s="409"/>
      <c r="AL102" s="409"/>
      <c r="AM102" s="409"/>
      <c r="AN102" s="409"/>
      <c r="AO102" s="409"/>
      <c r="AP102" s="409"/>
      <c r="AQ102" s="409"/>
      <c r="AR102" s="409"/>
      <c r="AS102" s="409"/>
      <c r="AT102" s="409"/>
      <c r="AU102" s="409"/>
      <c r="AV102" s="409"/>
      <c r="AW102" s="409"/>
      <c r="AX102" s="409"/>
      <c r="AY102" s="409"/>
      <c r="AZ102" s="409"/>
      <c r="BA102" s="409"/>
      <c r="BB102" s="409"/>
      <c r="BC102" s="409"/>
      <c r="BD102" s="407"/>
      <c r="BE102" s="444"/>
      <c r="BF102" s="444"/>
      <c r="BG102" s="444"/>
      <c r="BH102" s="444"/>
      <c r="BI102" s="444"/>
      <c r="BJ102" s="444"/>
      <c r="BK102" s="444"/>
      <c r="BL102" s="444"/>
      <c r="BM102" s="444"/>
      <c r="BN102" s="444"/>
      <c r="BO102" s="444"/>
      <c r="BP102" s="444"/>
      <c r="BQ102" s="444"/>
      <c r="BR102" s="444"/>
      <c r="BS102" s="444"/>
      <c r="BT102" s="444"/>
    </row>
    <row r="103" spans="1:72" ht="15">
      <c r="A103" s="392"/>
      <c r="B103" s="392"/>
      <c r="C103" s="392"/>
      <c r="D103" s="392"/>
      <c r="E103" s="392"/>
      <c r="F103" s="392"/>
      <c r="G103" s="392"/>
      <c r="H103" s="392"/>
      <c r="I103" s="392"/>
      <c r="J103" s="392"/>
      <c r="K103" s="392"/>
      <c r="L103" s="392"/>
      <c r="M103" s="392"/>
      <c r="N103" s="392"/>
      <c r="O103" s="392"/>
      <c r="P103" s="392"/>
      <c r="Q103" s="392"/>
      <c r="R103" s="392"/>
      <c r="S103" s="409"/>
      <c r="T103" s="409"/>
      <c r="U103" s="409"/>
      <c r="V103" s="409"/>
      <c r="W103" s="392"/>
      <c r="X103" s="392"/>
      <c r="Y103" s="409"/>
      <c r="Z103" s="409"/>
      <c r="AA103" s="392"/>
      <c r="AB103" s="392"/>
      <c r="AC103" s="392"/>
      <c r="AD103" s="409"/>
      <c r="AE103" s="409"/>
      <c r="AF103" s="409"/>
      <c r="AG103" s="409"/>
      <c r="AH103" s="409"/>
      <c r="AI103" s="409"/>
      <c r="AJ103" s="409"/>
      <c r="AK103" s="409"/>
      <c r="AL103" s="409"/>
      <c r="AM103" s="409"/>
      <c r="AN103" s="409"/>
      <c r="AO103" s="409"/>
      <c r="AP103" s="409"/>
      <c r="AQ103" s="409"/>
      <c r="AR103" s="409"/>
      <c r="AS103" s="409"/>
      <c r="AT103" s="409"/>
      <c r="AU103" s="409"/>
      <c r="AV103" s="409"/>
      <c r="AW103" s="409"/>
      <c r="AX103" s="409"/>
      <c r="AY103" s="409"/>
      <c r="AZ103" s="409"/>
      <c r="BA103" s="409"/>
      <c r="BB103" s="409"/>
      <c r="BC103" s="409"/>
      <c r="BD103" s="407"/>
      <c r="BE103" s="444"/>
      <c r="BF103" s="444"/>
      <c r="BG103" s="444"/>
      <c r="BH103" s="444"/>
      <c r="BI103" s="444"/>
      <c r="BJ103" s="444"/>
      <c r="BK103" s="444"/>
      <c r="BL103" s="444"/>
      <c r="BM103" s="444"/>
      <c r="BN103" s="444"/>
      <c r="BO103" s="444"/>
      <c r="BP103" s="444"/>
      <c r="BQ103" s="444"/>
      <c r="BR103" s="444"/>
      <c r="BS103" s="444"/>
      <c r="BT103" s="444"/>
    </row>
    <row r="104" spans="1:72" ht="15">
      <c r="A104" s="392"/>
      <c r="B104" s="392"/>
      <c r="C104" s="392"/>
      <c r="D104" s="392"/>
      <c r="E104" s="392"/>
      <c r="F104" s="392"/>
      <c r="G104" s="392"/>
      <c r="H104" s="392"/>
      <c r="I104" s="392"/>
      <c r="J104" s="392"/>
      <c r="K104" s="392"/>
      <c r="L104" s="392"/>
      <c r="M104" s="392"/>
      <c r="N104" s="392"/>
      <c r="O104" s="392"/>
      <c r="P104" s="392"/>
      <c r="Q104" s="392"/>
      <c r="R104" s="392"/>
      <c r="S104" s="409"/>
      <c r="T104" s="409"/>
      <c r="U104" s="409"/>
      <c r="V104" s="409"/>
      <c r="W104" s="392"/>
      <c r="X104" s="392"/>
      <c r="Y104" s="409"/>
      <c r="Z104" s="409"/>
      <c r="AA104" s="392"/>
      <c r="AB104" s="392"/>
      <c r="AC104" s="392"/>
      <c r="AD104" s="409"/>
      <c r="AE104" s="409"/>
      <c r="AF104" s="409"/>
      <c r="AG104" s="409"/>
      <c r="AH104" s="409"/>
      <c r="AI104" s="409"/>
      <c r="AJ104" s="409"/>
      <c r="AK104" s="409"/>
      <c r="AL104" s="409"/>
      <c r="AM104" s="409"/>
      <c r="AN104" s="409"/>
      <c r="AO104" s="409"/>
      <c r="AP104" s="409"/>
      <c r="AQ104" s="409"/>
      <c r="AR104" s="409"/>
      <c r="AS104" s="409"/>
      <c r="AT104" s="409"/>
      <c r="AU104" s="409"/>
      <c r="AV104" s="409"/>
      <c r="AW104" s="409"/>
      <c r="AX104" s="409"/>
      <c r="AY104" s="409"/>
      <c r="AZ104" s="409"/>
      <c r="BA104" s="409"/>
      <c r="BB104" s="409"/>
      <c r="BC104" s="409"/>
      <c r="BD104" s="407"/>
      <c r="BE104" s="444"/>
      <c r="BF104" s="444"/>
      <c r="BG104" s="444"/>
      <c r="BH104" s="444"/>
      <c r="BI104" s="444"/>
      <c r="BJ104" s="444"/>
      <c r="BK104" s="444"/>
      <c r="BL104" s="444"/>
      <c r="BM104" s="444"/>
      <c r="BN104" s="444"/>
      <c r="BO104" s="444"/>
      <c r="BP104" s="444"/>
      <c r="BQ104" s="444"/>
      <c r="BR104" s="444"/>
      <c r="BS104" s="444"/>
      <c r="BT104" s="444"/>
    </row>
    <row r="105" spans="1:72" ht="15">
      <c r="A105" s="392"/>
      <c r="B105" s="392"/>
      <c r="C105" s="392"/>
      <c r="D105" s="392"/>
      <c r="E105" s="392"/>
      <c r="F105" s="392"/>
      <c r="G105" s="392"/>
      <c r="H105" s="392"/>
      <c r="I105" s="392"/>
      <c r="J105" s="392"/>
      <c r="K105" s="392"/>
      <c r="L105" s="392"/>
      <c r="M105" s="392"/>
      <c r="N105" s="392"/>
      <c r="O105" s="392"/>
      <c r="P105" s="392"/>
      <c r="Q105" s="392"/>
      <c r="R105" s="392"/>
      <c r="S105" s="409"/>
      <c r="T105" s="409"/>
      <c r="U105" s="409"/>
      <c r="V105" s="409"/>
      <c r="W105" s="392"/>
      <c r="X105" s="392"/>
      <c r="Y105" s="409"/>
      <c r="Z105" s="409"/>
      <c r="AA105" s="392"/>
      <c r="AB105" s="392"/>
      <c r="AC105" s="392"/>
      <c r="AD105" s="409"/>
      <c r="AE105" s="409"/>
      <c r="AF105" s="409"/>
      <c r="AG105" s="409"/>
      <c r="AH105" s="409"/>
      <c r="AI105" s="409"/>
      <c r="AJ105" s="409"/>
      <c r="AK105" s="409"/>
      <c r="AL105" s="409"/>
      <c r="AM105" s="409"/>
      <c r="AN105" s="409"/>
      <c r="AO105" s="409"/>
      <c r="AP105" s="409"/>
      <c r="AQ105" s="409"/>
      <c r="AR105" s="409"/>
      <c r="AS105" s="409"/>
      <c r="AT105" s="409"/>
      <c r="AU105" s="409"/>
      <c r="AV105" s="409"/>
      <c r="AW105" s="409"/>
      <c r="AX105" s="409"/>
      <c r="AY105" s="409"/>
      <c r="AZ105" s="409"/>
      <c r="BA105" s="409"/>
      <c r="BB105" s="409"/>
      <c r="BC105" s="409"/>
      <c r="BD105" s="407"/>
      <c r="BE105" s="444"/>
      <c r="BF105" s="444"/>
      <c r="BG105" s="444"/>
      <c r="BH105" s="444"/>
      <c r="BI105" s="444"/>
      <c r="BJ105" s="444"/>
      <c r="BK105" s="444"/>
      <c r="BL105" s="444"/>
      <c r="BM105" s="444"/>
      <c r="BN105" s="444"/>
      <c r="BO105" s="444"/>
      <c r="BP105" s="444"/>
      <c r="BQ105" s="444"/>
      <c r="BR105" s="444"/>
      <c r="BS105" s="444"/>
      <c r="BT105" s="444"/>
    </row>
    <row r="106" spans="1:72" ht="15">
      <c r="A106" s="392"/>
      <c r="B106" s="392"/>
      <c r="C106" s="392"/>
      <c r="D106" s="392"/>
      <c r="E106" s="392"/>
      <c r="F106" s="392"/>
      <c r="G106" s="392"/>
      <c r="H106" s="392"/>
      <c r="I106" s="392"/>
      <c r="J106" s="392"/>
      <c r="K106" s="392"/>
      <c r="L106" s="392"/>
      <c r="M106" s="392"/>
      <c r="N106" s="392"/>
      <c r="O106" s="392"/>
      <c r="P106" s="392"/>
      <c r="Q106" s="392"/>
      <c r="R106" s="392"/>
      <c r="S106" s="409"/>
      <c r="T106" s="409"/>
      <c r="U106" s="409"/>
      <c r="V106" s="409"/>
      <c r="W106" s="392"/>
      <c r="X106" s="392"/>
      <c r="Y106" s="409"/>
      <c r="Z106" s="409"/>
      <c r="AA106" s="392"/>
      <c r="AB106" s="392"/>
      <c r="AC106" s="392"/>
      <c r="AD106" s="409"/>
      <c r="AE106" s="409"/>
      <c r="AF106" s="409"/>
      <c r="AG106" s="409"/>
      <c r="AH106" s="409"/>
      <c r="AI106" s="409"/>
      <c r="AJ106" s="409"/>
      <c r="AK106" s="409"/>
      <c r="AL106" s="409"/>
      <c r="AM106" s="409"/>
      <c r="AN106" s="409"/>
      <c r="AO106" s="409"/>
      <c r="AP106" s="409"/>
      <c r="AQ106" s="409"/>
      <c r="AR106" s="409"/>
      <c r="AS106" s="409"/>
      <c r="AT106" s="409"/>
      <c r="AU106" s="409"/>
      <c r="AV106" s="409"/>
      <c r="AW106" s="409"/>
      <c r="AX106" s="409"/>
      <c r="AY106" s="409"/>
      <c r="AZ106" s="409"/>
      <c r="BA106" s="409"/>
      <c r="BB106" s="409"/>
      <c r="BC106" s="409"/>
      <c r="BD106" s="407"/>
      <c r="BE106" s="444"/>
      <c r="BF106" s="444"/>
      <c r="BG106" s="444"/>
      <c r="BH106" s="444"/>
      <c r="BI106" s="444"/>
      <c r="BJ106" s="444"/>
      <c r="BK106" s="444"/>
      <c r="BL106" s="444"/>
      <c r="BM106" s="444"/>
      <c r="BN106" s="444"/>
      <c r="BO106" s="444"/>
      <c r="BP106" s="444"/>
      <c r="BQ106" s="444"/>
      <c r="BR106" s="444"/>
      <c r="BS106" s="444"/>
      <c r="BT106" s="444"/>
    </row>
    <row r="107" spans="1:72" ht="15">
      <c r="A107" s="392"/>
      <c r="B107" s="392"/>
      <c r="C107" s="392"/>
      <c r="D107" s="392"/>
      <c r="E107" s="392"/>
      <c r="F107" s="392"/>
      <c r="G107" s="392"/>
      <c r="H107" s="392"/>
      <c r="I107" s="392"/>
      <c r="J107" s="392"/>
      <c r="K107" s="392"/>
      <c r="L107" s="392"/>
      <c r="M107" s="392"/>
      <c r="N107" s="392"/>
      <c r="O107" s="392"/>
      <c r="P107" s="392"/>
      <c r="Q107" s="392"/>
      <c r="R107" s="392"/>
      <c r="S107" s="409"/>
      <c r="T107" s="409"/>
      <c r="U107" s="409"/>
      <c r="V107" s="409"/>
      <c r="W107" s="392"/>
      <c r="X107" s="392"/>
      <c r="Y107" s="409"/>
      <c r="Z107" s="409"/>
      <c r="AA107" s="392"/>
      <c r="AB107" s="392"/>
      <c r="AC107" s="392"/>
      <c r="AD107" s="409"/>
      <c r="AE107" s="409"/>
      <c r="AF107" s="409"/>
      <c r="AG107" s="409"/>
      <c r="AH107" s="409"/>
      <c r="AI107" s="409"/>
      <c r="AJ107" s="409"/>
      <c r="AK107" s="409"/>
      <c r="AL107" s="409"/>
      <c r="AM107" s="409"/>
      <c r="AN107" s="409"/>
      <c r="AO107" s="409"/>
      <c r="AP107" s="409"/>
      <c r="AQ107" s="409"/>
      <c r="AR107" s="409"/>
      <c r="AS107" s="409"/>
      <c r="AT107" s="409"/>
      <c r="AU107" s="409"/>
      <c r="AV107" s="409"/>
      <c r="AW107" s="409"/>
      <c r="AX107" s="409"/>
      <c r="AY107" s="409"/>
      <c r="AZ107" s="409"/>
      <c r="BA107" s="409"/>
      <c r="BB107" s="409"/>
      <c r="BC107" s="409"/>
      <c r="BD107" s="407"/>
      <c r="BE107" s="444"/>
      <c r="BF107" s="444"/>
      <c r="BG107" s="444"/>
      <c r="BH107" s="444"/>
      <c r="BI107" s="444"/>
      <c r="BJ107" s="444"/>
      <c r="BK107" s="444"/>
      <c r="BL107" s="444"/>
      <c r="BM107" s="444"/>
      <c r="BN107" s="444"/>
      <c r="BO107" s="444"/>
      <c r="BP107" s="444"/>
      <c r="BQ107" s="444"/>
      <c r="BR107" s="444"/>
      <c r="BS107" s="444"/>
      <c r="BT107" s="444"/>
    </row>
    <row r="108" spans="1:72" ht="15">
      <c r="A108" s="392"/>
      <c r="B108" s="392"/>
      <c r="C108" s="392"/>
      <c r="D108" s="392"/>
      <c r="E108" s="392"/>
      <c r="F108" s="392"/>
      <c r="G108" s="392"/>
      <c r="H108" s="392"/>
      <c r="I108" s="392"/>
      <c r="J108" s="392"/>
      <c r="K108" s="392"/>
      <c r="L108" s="392"/>
      <c r="M108" s="392"/>
      <c r="N108" s="392"/>
      <c r="O108" s="392"/>
      <c r="P108" s="392"/>
      <c r="Q108" s="392"/>
      <c r="R108" s="392"/>
      <c r="S108" s="409"/>
      <c r="T108" s="409"/>
      <c r="U108" s="409"/>
      <c r="V108" s="409"/>
      <c r="W108" s="392"/>
      <c r="X108" s="392"/>
      <c r="Y108" s="409"/>
      <c r="Z108" s="409"/>
      <c r="AA108" s="392"/>
      <c r="AB108" s="392"/>
      <c r="AC108" s="392"/>
      <c r="AD108" s="409"/>
      <c r="AE108" s="409"/>
      <c r="AF108" s="409"/>
      <c r="AG108" s="409"/>
      <c r="AH108" s="409"/>
      <c r="AI108" s="409"/>
      <c r="AJ108" s="409"/>
      <c r="AK108" s="409"/>
      <c r="AL108" s="409"/>
      <c r="AM108" s="409"/>
      <c r="AN108" s="409"/>
      <c r="AO108" s="409"/>
      <c r="AP108" s="409"/>
      <c r="AQ108" s="409"/>
      <c r="AR108" s="409"/>
      <c r="AS108" s="409"/>
      <c r="AT108" s="409"/>
      <c r="AU108" s="409"/>
      <c r="AV108" s="409"/>
      <c r="AW108" s="409"/>
      <c r="AX108" s="409"/>
      <c r="AY108" s="409"/>
      <c r="AZ108" s="409"/>
      <c r="BA108" s="409"/>
      <c r="BB108" s="409"/>
      <c r="BC108" s="409"/>
      <c r="BD108" s="407"/>
      <c r="BE108" s="444"/>
      <c r="BF108" s="444"/>
      <c r="BG108" s="444"/>
      <c r="BH108" s="444"/>
      <c r="BI108" s="444"/>
      <c r="BJ108" s="444"/>
      <c r="BK108" s="444"/>
      <c r="BL108" s="444"/>
      <c r="BM108" s="444"/>
      <c r="BN108" s="444"/>
      <c r="BO108" s="444"/>
      <c r="BP108" s="444"/>
      <c r="BQ108" s="444"/>
      <c r="BR108" s="444"/>
      <c r="BS108" s="444"/>
      <c r="BT108" s="444"/>
    </row>
    <row r="109" spans="1:72" ht="15">
      <c r="A109" s="392"/>
      <c r="B109" s="392"/>
      <c r="C109" s="392"/>
      <c r="D109" s="392"/>
      <c r="E109" s="392"/>
      <c r="F109" s="392"/>
      <c r="G109" s="392"/>
      <c r="H109" s="392"/>
      <c r="I109" s="392"/>
      <c r="J109" s="392"/>
      <c r="K109" s="392"/>
      <c r="L109" s="392"/>
      <c r="M109" s="392"/>
      <c r="N109" s="392"/>
      <c r="O109" s="392"/>
      <c r="P109" s="392"/>
      <c r="Q109" s="392"/>
      <c r="R109" s="392"/>
      <c r="S109" s="409"/>
      <c r="T109" s="409"/>
      <c r="U109" s="409"/>
      <c r="V109" s="409"/>
      <c r="W109" s="392"/>
      <c r="X109" s="392"/>
      <c r="Y109" s="409"/>
      <c r="Z109" s="409"/>
      <c r="AA109" s="392"/>
      <c r="AB109" s="392"/>
      <c r="AC109" s="392"/>
      <c r="AD109" s="409"/>
      <c r="AE109" s="409"/>
      <c r="AF109" s="409"/>
      <c r="AG109" s="409"/>
      <c r="AH109" s="409"/>
      <c r="AI109" s="409"/>
      <c r="AJ109" s="409"/>
      <c r="AK109" s="409"/>
      <c r="AL109" s="409"/>
      <c r="AM109" s="409"/>
      <c r="AN109" s="409"/>
      <c r="AO109" s="409"/>
      <c r="AP109" s="409"/>
      <c r="AQ109" s="409"/>
      <c r="AR109" s="409"/>
      <c r="AS109" s="409"/>
      <c r="AT109" s="409"/>
      <c r="AU109" s="409"/>
      <c r="AV109" s="409"/>
      <c r="AW109" s="409"/>
      <c r="AX109" s="409"/>
      <c r="AY109" s="409"/>
      <c r="AZ109" s="409"/>
      <c r="BA109" s="409"/>
      <c r="BB109" s="409"/>
      <c r="BC109" s="409"/>
      <c r="BD109" s="407"/>
      <c r="BE109" s="444"/>
      <c r="BF109" s="444"/>
      <c r="BG109" s="444"/>
      <c r="BH109" s="444"/>
      <c r="BI109" s="444"/>
      <c r="BJ109" s="444"/>
      <c r="BK109" s="444"/>
      <c r="BL109" s="444"/>
      <c r="BM109" s="444"/>
      <c r="BN109" s="444"/>
      <c r="BO109" s="444"/>
      <c r="BP109" s="444"/>
      <c r="BQ109" s="444"/>
      <c r="BR109" s="444"/>
      <c r="BS109" s="444"/>
      <c r="BT109" s="444"/>
    </row>
    <row r="110" spans="1:72" ht="15">
      <c r="A110" s="392"/>
      <c r="B110" s="392"/>
      <c r="C110" s="392"/>
      <c r="D110" s="392"/>
      <c r="E110" s="392"/>
      <c r="F110" s="392"/>
      <c r="G110" s="392"/>
      <c r="H110" s="392"/>
      <c r="I110" s="392"/>
      <c r="J110" s="392"/>
      <c r="K110" s="392"/>
      <c r="L110" s="392"/>
      <c r="M110" s="392"/>
      <c r="N110" s="392"/>
      <c r="O110" s="392"/>
      <c r="P110" s="392"/>
      <c r="Q110" s="392"/>
      <c r="R110" s="392"/>
      <c r="S110" s="409"/>
      <c r="T110" s="409"/>
      <c r="U110" s="409"/>
      <c r="V110" s="409"/>
      <c r="W110" s="392"/>
      <c r="X110" s="392"/>
      <c r="Y110" s="409"/>
      <c r="Z110" s="409"/>
      <c r="AA110" s="392"/>
      <c r="AB110" s="392"/>
      <c r="AC110" s="392"/>
      <c r="AD110" s="409"/>
      <c r="AE110" s="409"/>
      <c r="AF110" s="409"/>
      <c r="AG110" s="409"/>
      <c r="AH110" s="409"/>
      <c r="AI110" s="409"/>
      <c r="AJ110" s="409"/>
      <c r="AK110" s="409"/>
      <c r="AL110" s="409"/>
      <c r="AM110" s="409"/>
      <c r="AN110" s="409"/>
      <c r="AO110" s="409"/>
      <c r="AP110" s="409"/>
      <c r="AQ110" s="409"/>
      <c r="AR110" s="409"/>
      <c r="AS110" s="409"/>
      <c r="AT110" s="409"/>
      <c r="AU110" s="409"/>
      <c r="AV110" s="409"/>
      <c r="AW110" s="409"/>
      <c r="AX110" s="409"/>
      <c r="AY110" s="409"/>
      <c r="AZ110" s="409"/>
      <c r="BA110" s="409"/>
      <c r="BB110" s="409"/>
      <c r="BC110" s="409"/>
      <c r="BD110" s="407"/>
      <c r="BE110" s="444"/>
      <c r="BF110" s="444"/>
      <c r="BG110" s="444"/>
      <c r="BH110" s="444"/>
      <c r="BI110" s="444"/>
      <c r="BJ110" s="444"/>
      <c r="BK110" s="444"/>
      <c r="BL110" s="444"/>
      <c r="BM110" s="444"/>
      <c r="BN110" s="444"/>
      <c r="BO110" s="444"/>
      <c r="BP110" s="444"/>
      <c r="BQ110" s="444"/>
      <c r="BR110" s="444"/>
      <c r="BS110" s="444"/>
      <c r="BT110" s="444"/>
    </row>
    <row r="111" spans="1:72" ht="15">
      <c r="A111" s="392"/>
      <c r="B111" s="392"/>
      <c r="C111" s="392"/>
      <c r="D111" s="392"/>
      <c r="E111" s="392"/>
      <c r="F111" s="392"/>
      <c r="G111" s="392"/>
      <c r="H111" s="392"/>
      <c r="I111" s="392"/>
      <c r="J111" s="392"/>
      <c r="K111" s="392"/>
      <c r="L111" s="392"/>
      <c r="M111" s="392"/>
      <c r="N111" s="392"/>
      <c r="O111" s="392"/>
      <c r="P111" s="392"/>
      <c r="Q111" s="392"/>
      <c r="R111" s="392"/>
      <c r="S111" s="409"/>
      <c r="T111" s="409"/>
      <c r="U111" s="409"/>
      <c r="V111" s="409"/>
      <c r="W111" s="392"/>
      <c r="X111" s="392"/>
      <c r="Y111" s="409"/>
      <c r="Z111" s="409"/>
      <c r="AA111" s="392"/>
      <c r="AB111" s="392"/>
      <c r="AC111" s="392"/>
      <c r="AD111" s="409"/>
      <c r="AE111" s="409"/>
      <c r="AF111" s="409"/>
      <c r="AG111" s="409"/>
      <c r="AH111" s="409"/>
      <c r="AI111" s="409"/>
      <c r="AJ111" s="409"/>
      <c r="AK111" s="409"/>
      <c r="AL111" s="409"/>
      <c r="AM111" s="409"/>
      <c r="AN111" s="409"/>
      <c r="AO111" s="409"/>
      <c r="AP111" s="409"/>
      <c r="AQ111" s="409"/>
      <c r="AR111" s="409"/>
      <c r="AS111" s="409"/>
      <c r="AT111" s="409"/>
      <c r="AU111" s="409"/>
      <c r="AV111" s="409"/>
      <c r="AW111" s="409"/>
      <c r="AX111" s="409"/>
      <c r="AY111" s="409"/>
      <c r="AZ111" s="409"/>
      <c r="BA111" s="409"/>
      <c r="BB111" s="409"/>
      <c r="BC111" s="409"/>
      <c r="BD111" s="407"/>
      <c r="BE111" s="444"/>
      <c r="BF111" s="444"/>
      <c r="BG111" s="444"/>
      <c r="BH111" s="444"/>
      <c r="BI111" s="444"/>
      <c r="BJ111" s="444"/>
      <c r="BK111" s="444"/>
      <c r="BL111" s="444"/>
      <c r="BM111" s="444"/>
      <c r="BN111" s="444"/>
      <c r="BO111" s="444"/>
      <c r="BP111" s="444"/>
      <c r="BQ111" s="444"/>
      <c r="BR111" s="444"/>
      <c r="BS111" s="444"/>
      <c r="BT111" s="444"/>
    </row>
    <row r="112" spans="1:72" ht="15">
      <c r="A112" s="392"/>
      <c r="B112" s="392"/>
      <c r="C112" s="392"/>
      <c r="D112" s="392"/>
      <c r="E112" s="392"/>
      <c r="F112" s="392"/>
      <c r="G112" s="392"/>
      <c r="H112" s="392"/>
      <c r="I112" s="392"/>
      <c r="J112" s="392"/>
      <c r="K112" s="392"/>
      <c r="L112" s="392"/>
      <c r="M112" s="392"/>
      <c r="N112" s="392"/>
      <c r="O112" s="392"/>
      <c r="P112" s="392"/>
      <c r="Q112" s="392"/>
      <c r="R112" s="392"/>
      <c r="S112" s="409"/>
      <c r="T112" s="409"/>
      <c r="U112" s="409"/>
      <c r="V112" s="409"/>
      <c r="W112" s="392"/>
      <c r="X112" s="392"/>
      <c r="Y112" s="409"/>
      <c r="Z112" s="409"/>
      <c r="AA112" s="392"/>
      <c r="AB112" s="392"/>
      <c r="AC112" s="392"/>
      <c r="AD112" s="409"/>
      <c r="AE112" s="409"/>
      <c r="AF112" s="409"/>
      <c r="AG112" s="409"/>
      <c r="AH112" s="409"/>
      <c r="AI112" s="409"/>
      <c r="AJ112" s="409"/>
      <c r="AK112" s="409"/>
      <c r="AL112" s="409"/>
      <c r="AM112" s="409"/>
      <c r="AN112" s="409"/>
      <c r="AO112" s="409"/>
      <c r="AP112" s="409"/>
      <c r="AQ112" s="409"/>
      <c r="AR112" s="409"/>
      <c r="AS112" s="409"/>
      <c r="AT112" s="409"/>
      <c r="AU112" s="409"/>
      <c r="AV112" s="409"/>
      <c r="AW112" s="409"/>
      <c r="AX112" s="409"/>
      <c r="AY112" s="409"/>
      <c r="AZ112" s="409"/>
      <c r="BA112" s="409"/>
      <c r="BB112" s="409"/>
      <c r="BC112" s="409"/>
      <c r="BD112" s="407"/>
      <c r="BE112" s="444"/>
      <c r="BF112" s="444"/>
      <c r="BG112" s="444"/>
      <c r="BH112" s="444"/>
      <c r="BI112" s="444"/>
      <c r="BJ112" s="444"/>
      <c r="BK112" s="444"/>
      <c r="BL112" s="444"/>
      <c r="BM112" s="444"/>
      <c r="BN112" s="444"/>
      <c r="BO112" s="444"/>
      <c r="BP112" s="444"/>
      <c r="BQ112" s="444"/>
      <c r="BR112" s="444"/>
      <c r="BS112" s="444"/>
      <c r="BT112" s="444"/>
    </row>
    <row r="113" spans="1:72" ht="15">
      <c r="A113" s="392"/>
      <c r="B113" s="392"/>
      <c r="C113" s="392"/>
      <c r="D113" s="392"/>
      <c r="E113" s="392"/>
      <c r="F113" s="392"/>
      <c r="G113" s="392"/>
      <c r="H113" s="392"/>
      <c r="I113" s="392"/>
      <c r="J113" s="392"/>
      <c r="K113" s="392"/>
      <c r="L113" s="392"/>
      <c r="M113" s="392"/>
      <c r="N113" s="392"/>
      <c r="O113" s="392"/>
      <c r="P113" s="392"/>
      <c r="Q113" s="392"/>
      <c r="R113" s="392"/>
      <c r="S113" s="409"/>
      <c r="T113" s="409"/>
      <c r="U113" s="409"/>
      <c r="V113" s="409"/>
      <c r="W113" s="392"/>
      <c r="X113" s="392"/>
      <c r="Y113" s="409"/>
      <c r="Z113" s="409"/>
      <c r="AA113" s="392"/>
      <c r="AB113" s="392"/>
      <c r="AC113" s="392"/>
      <c r="AD113" s="409"/>
      <c r="AE113" s="409"/>
      <c r="AF113" s="409"/>
      <c r="AG113" s="409"/>
      <c r="AH113" s="409"/>
      <c r="AI113" s="409"/>
      <c r="AJ113" s="409"/>
      <c r="AK113" s="409"/>
      <c r="AL113" s="409"/>
      <c r="AM113" s="409"/>
      <c r="AN113" s="409"/>
      <c r="AO113" s="409"/>
      <c r="AP113" s="409"/>
      <c r="AQ113" s="409"/>
      <c r="AR113" s="409"/>
      <c r="AS113" s="409"/>
      <c r="AT113" s="409"/>
      <c r="AU113" s="409"/>
      <c r="AV113" s="409"/>
      <c r="AW113" s="409"/>
      <c r="AX113" s="409"/>
      <c r="AY113" s="409"/>
      <c r="AZ113" s="409"/>
      <c r="BA113" s="409"/>
      <c r="BB113" s="409"/>
      <c r="BC113" s="409"/>
      <c r="BD113" s="407"/>
      <c r="BE113" s="444"/>
      <c r="BF113" s="444"/>
      <c r="BG113" s="444"/>
      <c r="BH113" s="444"/>
      <c r="BI113" s="444"/>
      <c r="BJ113" s="444"/>
      <c r="BK113" s="444"/>
      <c r="BL113" s="444"/>
      <c r="BM113" s="444"/>
      <c r="BN113" s="444"/>
      <c r="BO113" s="444"/>
      <c r="BP113" s="444"/>
      <c r="BQ113" s="444"/>
      <c r="BR113" s="444"/>
      <c r="BS113" s="444"/>
      <c r="BT113" s="444"/>
    </row>
    <row r="114" spans="1:72" ht="15">
      <c r="A114" s="392"/>
      <c r="B114" s="392"/>
      <c r="C114" s="392"/>
      <c r="D114" s="392"/>
      <c r="E114" s="392"/>
      <c r="F114" s="392"/>
      <c r="G114" s="392"/>
      <c r="H114" s="392"/>
      <c r="I114" s="392"/>
      <c r="J114" s="392"/>
      <c r="K114" s="392"/>
      <c r="L114" s="392"/>
      <c r="M114" s="392"/>
      <c r="N114" s="392"/>
      <c r="O114" s="392"/>
      <c r="P114" s="392"/>
      <c r="Q114" s="392"/>
      <c r="R114" s="392"/>
      <c r="S114" s="409"/>
      <c r="T114" s="409"/>
      <c r="U114" s="409"/>
      <c r="V114" s="409"/>
      <c r="W114" s="392"/>
      <c r="X114" s="392"/>
      <c r="Y114" s="409"/>
      <c r="Z114" s="409"/>
      <c r="AA114" s="392"/>
      <c r="AB114" s="392"/>
      <c r="AC114" s="392"/>
      <c r="AD114" s="409"/>
      <c r="AE114" s="409"/>
      <c r="AF114" s="409"/>
      <c r="AG114" s="409"/>
      <c r="AH114" s="409"/>
      <c r="AI114" s="409"/>
      <c r="AJ114" s="409"/>
      <c r="AK114" s="409"/>
      <c r="AL114" s="409"/>
      <c r="AM114" s="409"/>
      <c r="AN114" s="409"/>
      <c r="AO114" s="409"/>
      <c r="AP114" s="409"/>
      <c r="AQ114" s="409"/>
      <c r="AR114" s="409"/>
      <c r="AS114" s="409"/>
      <c r="AT114" s="409"/>
      <c r="AU114" s="409"/>
      <c r="AV114" s="409"/>
      <c r="AW114" s="409"/>
      <c r="AX114" s="409"/>
      <c r="AY114" s="409"/>
      <c r="AZ114" s="409"/>
      <c r="BA114" s="409"/>
      <c r="BB114" s="409"/>
      <c r="BC114" s="409"/>
      <c r="BD114" s="407"/>
      <c r="BE114" s="444"/>
      <c r="BF114" s="444"/>
      <c r="BG114" s="444"/>
      <c r="BH114" s="444"/>
      <c r="BI114" s="444"/>
      <c r="BJ114" s="444"/>
      <c r="BK114" s="444"/>
      <c r="BL114" s="444"/>
      <c r="BM114" s="444"/>
      <c r="BN114" s="444"/>
      <c r="BO114" s="444"/>
      <c r="BP114" s="444"/>
      <c r="BQ114" s="444"/>
      <c r="BR114" s="444"/>
      <c r="BS114" s="444"/>
      <c r="BT114" s="444"/>
    </row>
    <row r="115" spans="1:72" ht="15">
      <c r="A115" s="392"/>
      <c r="B115" s="392"/>
      <c r="C115" s="392"/>
      <c r="D115" s="392"/>
      <c r="E115" s="392"/>
      <c r="F115" s="392"/>
      <c r="G115" s="392"/>
      <c r="H115" s="392"/>
      <c r="I115" s="392"/>
      <c r="J115" s="392"/>
      <c r="K115" s="392"/>
      <c r="L115" s="392"/>
      <c r="M115" s="392"/>
      <c r="N115" s="392"/>
      <c r="O115" s="392"/>
      <c r="P115" s="392"/>
      <c r="Q115" s="392"/>
      <c r="R115" s="392"/>
      <c r="S115" s="409"/>
      <c r="T115" s="409"/>
      <c r="U115" s="409"/>
      <c r="V115" s="409"/>
      <c r="W115" s="392"/>
      <c r="X115" s="392"/>
      <c r="Y115" s="409"/>
      <c r="Z115" s="409"/>
      <c r="AA115" s="392"/>
      <c r="AB115" s="392"/>
      <c r="AC115" s="392"/>
      <c r="AD115" s="409"/>
      <c r="AE115" s="409"/>
      <c r="AF115" s="409"/>
      <c r="AG115" s="409"/>
      <c r="AH115" s="409"/>
      <c r="AI115" s="409"/>
      <c r="AJ115" s="409"/>
      <c r="AK115" s="409"/>
      <c r="AL115" s="409"/>
      <c r="AM115" s="409"/>
      <c r="AN115" s="409"/>
      <c r="AO115" s="409"/>
      <c r="AP115" s="409"/>
      <c r="AQ115" s="409"/>
      <c r="AR115" s="409"/>
      <c r="AS115" s="409"/>
      <c r="AT115" s="409"/>
      <c r="AU115" s="409"/>
      <c r="AV115" s="409"/>
      <c r="AW115" s="409"/>
      <c r="AX115" s="409"/>
      <c r="AY115" s="409"/>
      <c r="AZ115" s="409"/>
      <c r="BA115" s="409"/>
      <c r="BB115" s="409"/>
      <c r="BC115" s="409"/>
      <c r="BD115" s="407"/>
      <c r="BE115" s="444"/>
      <c r="BF115" s="444"/>
      <c r="BG115" s="444"/>
      <c r="BH115" s="444"/>
      <c r="BI115" s="444"/>
      <c r="BJ115" s="444"/>
      <c r="BK115" s="444"/>
      <c r="BL115" s="444"/>
      <c r="BM115" s="444"/>
      <c r="BN115" s="444"/>
      <c r="BO115" s="444"/>
      <c r="BP115" s="444"/>
      <c r="BQ115" s="444"/>
      <c r="BR115" s="444"/>
      <c r="BS115" s="444"/>
      <c r="BT115" s="444"/>
    </row>
    <row r="116" spans="1:72" ht="15">
      <c r="A116" s="392"/>
      <c r="B116" s="392"/>
      <c r="C116" s="392"/>
      <c r="D116" s="392"/>
      <c r="E116" s="392"/>
      <c r="F116" s="392"/>
      <c r="G116" s="392"/>
      <c r="H116" s="392"/>
      <c r="I116" s="392"/>
      <c r="J116" s="392"/>
      <c r="K116" s="392"/>
      <c r="L116" s="392"/>
      <c r="M116" s="392"/>
      <c r="N116" s="392"/>
      <c r="O116" s="392"/>
      <c r="P116" s="392"/>
      <c r="Q116" s="392"/>
      <c r="R116" s="392"/>
      <c r="S116" s="409"/>
      <c r="T116" s="409"/>
      <c r="U116" s="409"/>
      <c r="V116" s="409"/>
      <c r="W116" s="392"/>
      <c r="X116" s="392"/>
      <c r="Y116" s="409"/>
      <c r="Z116" s="409"/>
      <c r="AA116" s="392"/>
      <c r="AB116" s="392"/>
      <c r="AC116" s="392"/>
      <c r="AD116" s="409"/>
      <c r="AE116" s="409"/>
      <c r="AF116" s="409"/>
      <c r="AG116" s="409"/>
      <c r="AH116" s="409"/>
      <c r="AI116" s="409"/>
      <c r="AJ116" s="409"/>
      <c r="AK116" s="409"/>
      <c r="AL116" s="409"/>
      <c r="AM116" s="409"/>
      <c r="AN116" s="409"/>
      <c r="AO116" s="409"/>
      <c r="AP116" s="409"/>
      <c r="AQ116" s="409"/>
      <c r="AR116" s="409"/>
      <c r="AS116" s="409"/>
      <c r="AT116" s="409"/>
      <c r="AU116" s="409"/>
      <c r="AV116" s="409"/>
      <c r="AW116" s="409"/>
      <c r="AX116" s="409"/>
      <c r="AY116" s="409"/>
      <c r="AZ116" s="409"/>
      <c r="BA116" s="409"/>
      <c r="BB116" s="409"/>
      <c r="BC116" s="409"/>
      <c r="BD116" s="407"/>
      <c r="BE116" s="444"/>
      <c r="BF116" s="444"/>
      <c r="BG116" s="444"/>
      <c r="BH116" s="444"/>
      <c r="BI116" s="444"/>
      <c r="BJ116" s="444"/>
      <c r="BK116" s="444"/>
      <c r="BL116" s="444"/>
      <c r="BM116" s="444"/>
      <c r="BN116" s="444"/>
      <c r="BO116" s="444"/>
      <c r="BP116" s="444"/>
      <c r="BQ116" s="444"/>
      <c r="BR116" s="444"/>
      <c r="BS116" s="444"/>
      <c r="BT116" s="444"/>
    </row>
    <row r="117" spans="1:72" ht="15">
      <c r="A117" s="392"/>
      <c r="B117" s="392"/>
      <c r="C117" s="392"/>
      <c r="D117" s="392"/>
      <c r="E117" s="392"/>
      <c r="F117" s="392"/>
      <c r="G117" s="392"/>
      <c r="H117" s="392"/>
      <c r="I117" s="392"/>
      <c r="J117" s="392"/>
      <c r="K117" s="392"/>
      <c r="L117" s="392"/>
      <c r="M117" s="392"/>
      <c r="N117" s="392"/>
      <c r="O117" s="392"/>
      <c r="P117" s="392"/>
      <c r="Q117" s="392"/>
      <c r="R117" s="392"/>
      <c r="S117" s="409"/>
      <c r="T117" s="409"/>
      <c r="U117" s="409"/>
      <c r="V117" s="409"/>
      <c r="W117" s="392"/>
      <c r="X117" s="392"/>
      <c r="Y117" s="409"/>
      <c r="Z117" s="409"/>
      <c r="AA117" s="392"/>
      <c r="AB117" s="392"/>
      <c r="AC117" s="392"/>
      <c r="AD117" s="409"/>
      <c r="AE117" s="409"/>
      <c r="AF117" s="409"/>
      <c r="AG117" s="409"/>
      <c r="AH117" s="409"/>
      <c r="AI117" s="409"/>
      <c r="AJ117" s="409"/>
      <c r="AK117" s="409"/>
      <c r="AL117" s="409"/>
      <c r="AM117" s="409"/>
      <c r="AN117" s="409"/>
      <c r="AO117" s="409"/>
      <c r="AP117" s="409"/>
      <c r="AQ117" s="409"/>
      <c r="AR117" s="409"/>
      <c r="AS117" s="409"/>
      <c r="AT117" s="409"/>
      <c r="AU117" s="409"/>
      <c r="AV117" s="409"/>
      <c r="AW117" s="409"/>
      <c r="AX117" s="409"/>
      <c r="AY117" s="409"/>
      <c r="AZ117" s="409"/>
      <c r="BA117" s="409"/>
      <c r="BB117" s="409"/>
      <c r="BC117" s="409"/>
      <c r="BD117" s="407"/>
      <c r="BE117" s="444"/>
      <c r="BF117" s="444"/>
      <c r="BG117" s="444"/>
      <c r="BH117" s="444"/>
      <c r="BI117" s="444"/>
      <c r="BJ117" s="444"/>
      <c r="BK117" s="444"/>
      <c r="BL117" s="444"/>
      <c r="BM117" s="444"/>
      <c r="BN117" s="444"/>
      <c r="BO117" s="444"/>
      <c r="BP117" s="444"/>
      <c r="BQ117" s="444"/>
      <c r="BR117" s="444"/>
      <c r="BS117" s="444"/>
      <c r="BT117" s="444"/>
    </row>
    <row r="118" spans="1:72" ht="15">
      <c r="A118" s="392"/>
      <c r="B118" s="392"/>
      <c r="C118" s="392"/>
      <c r="D118" s="392"/>
      <c r="E118" s="392"/>
      <c r="F118" s="392"/>
      <c r="G118" s="392"/>
      <c r="H118" s="392"/>
      <c r="I118" s="392"/>
      <c r="J118" s="392"/>
      <c r="K118" s="392"/>
      <c r="L118" s="392"/>
      <c r="M118" s="392"/>
      <c r="N118" s="392"/>
      <c r="O118" s="392"/>
      <c r="P118" s="392"/>
      <c r="Q118" s="392"/>
      <c r="R118" s="392"/>
      <c r="S118" s="409"/>
      <c r="T118" s="409"/>
      <c r="U118" s="409"/>
      <c r="V118" s="409"/>
      <c r="W118" s="392"/>
      <c r="X118" s="392"/>
      <c r="Y118" s="409"/>
      <c r="Z118" s="409"/>
      <c r="AA118" s="392"/>
      <c r="AB118" s="392"/>
      <c r="AC118" s="392"/>
      <c r="AD118" s="409"/>
      <c r="AE118" s="409"/>
      <c r="AF118" s="409"/>
      <c r="AG118" s="409"/>
      <c r="AH118" s="409"/>
      <c r="AI118" s="409"/>
      <c r="AJ118" s="409"/>
      <c r="AK118" s="409"/>
      <c r="AL118" s="409"/>
      <c r="AM118" s="409"/>
      <c r="AN118" s="409"/>
      <c r="AO118" s="409"/>
      <c r="AP118" s="409"/>
      <c r="AQ118" s="409"/>
      <c r="AR118" s="409"/>
      <c r="AS118" s="409"/>
      <c r="AT118" s="409"/>
      <c r="AU118" s="409"/>
      <c r="AV118" s="409"/>
      <c r="AW118" s="409"/>
      <c r="AX118" s="409"/>
      <c r="AY118" s="409"/>
      <c r="AZ118" s="409"/>
      <c r="BA118" s="409"/>
      <c r="BB118" s="409"/>
      <c r="BC118" s="409"/>
      <c r="BD118" s="407"/>
      <c r="BE118" s="444"/>
      <c r="BF118" s="444"/>
      <c r="BG118" s="444"/>
      <c r="BH118" s="444"/>
      <c r="BI118" s="444"/>
      <c r="BJ118" s="444"/>
      <c r="BK118" s="444"/>
      <c r="BL118" s="444"/>
      <c r="BM118" s="444"/>
      <c r="BN118" s="444"/>
      <c r="BO118" s="444"/>
      <c r="BP118" s="444"/>
      <c r="BQ118" s="444"/>
      <c r="BR118" s="444"/>
      <c r="BS118" s="444"/>
      <c r="BT118" s="444"/>
    </row>
    <row r="119" spans="1:72" ht="15">
      <c r="A119" s="392"/>
      <c r="B119" s="392"/>
      <c r="C119" s="392"/>
      <c r="D119" s="392"/>
      <c r="E119" s="392"/>
      <c r="F119" s="392"/>
      <c r="G119" s="392"/>
      <c r="H119" s="392"/>
      <c r="I119" s="392"/>
      <c r="J119" s="392"/>
      <c r="K119" s="392"/>
      <c r="L119" s="392"/>
      <c r="M119" s="392"/>
      <c r="N119" s="392"/>
      <c r="O119" s="392"/>
      <c r="P119" s="392"/>
      <c r="Q119" s="392"/>
      <c r="R119" s="392"/>
      <c r="S119" s="409"/>
      <c r="T119" s="409"/>
      <c r="U119" s="409"/>
      <c r="V119" s="409"/>
      <c r="W119" s="392"/>
      <c r="X119" s="392"/>
      <c r="Y119" s="409"/>
      <c r="Z119" s="409"/>
      <c r="AA119" s="392"/>
      <c r="AB119" s="392"/>
      <c r="AC119" s="392"/>
      <c r="AD119" s="409"/>
      <c r="AE119" s="409"/>
      <c r="AF119" s="409"/>
      <c r="AG119" s="409"/>
      <c r="AH119" s="409"/>
      <c r="AI119" s="409"/>
      <c r="AJ119" s="409"/>
      <c r="AK119" s="409"/>
      <c r="AL119" s="409"/>
      <c r="AM119" s="409"/>
      <c r="AN119" s="409"/>
      <c r="AO119" s="409"/>
      <c r="AP119" s="409"/>
      <c r="AQ119" s="409"/>
      <c r="AR119" s="409"/>
      <c r="AS119" s="409"/>
      <c r="AT119" s="409"/>
      <c r="AU119" s="409"/>
      <c r="AV119" s="409"/>
      <c r="AW119" s="409"/>
      <c r="AX119" s="409"/>
      <c r="AY119" s="409"/>
      <c r="AZ119" s="409"/>
      <c r="BA119" s="409"/>
      <c r="BB119" s="409"/>
      <c r="BC119" s="409"/>
      <c r="BD119" s="407"/>
      <c r="BE119" s="444"/>
      <c r="BF119" s="444"/>
      <c r="BG119" s="444"/>
      <c r="BH119" s="444"/>
      <c r="BI119" s="444"/>
      <c r="BJ119" s="444"/>
      <c r="BK119" s="444"/>
      <c r="BL119" s="444"/>
      <c r="BM119" s="444"/>
      <c r="BN119" s="444"/>
      <c r="BO119" s="444"/>
      <c r="BP119" s="444"/>
      <c r="BQ119" s="444"/>
      <c r="BR119" s="444"/>
      <c r="BS119" s="444"/>
      <c r="BT119" s="444"/>
    </row>
    <row r="120" spans="1:72" ht="15">
      <c r="A120" s="392"/>
      <c r="B120" s="392"/>
      <c r="C120" s="392"/>
      <c r="D120" s="392"/>
      <c r="E120" s="392"/>
      <c r="F120" s="392"/>
      <c r="G120" s="392"/>
      <c r="H120" s="392"/>
      <c r="I120" s="392"/>
      <c r="J120" s="392"/>
      <c r="K120" s="392"/>
      <c r="L120" s="392"/>
      <c r="M120" s="392"/>
      <c r="N120" s="392"/>
      <c r="O120" s="392"/>
      <c r="P120" s="392"/>
      <c r="Q120" s="392"/>
      <c r="R120" s="392"/>
      <c r="S120" s="409"/>
      <c r="T120" s="409"/>
      <c r="U120" s="409"/>
      <c r="V120" s="409"/>
      <c r="W120" s="392"/>
      <c r="X120" s="392"/>
      <c r="Y120" s="409"/>
      <c r="Z120" s="409"/>
      <c r="AA120" s="392"/>
      <c r="AB120" s="392"/>
      <c r="AC120" s="392"/>
      <c r="AD120" s="409"/>
      <c r="AE120" s="409"/>
      <c r="AF120" s="409"/>
      <c r="AG120" s="409"/>
      <c r="AH120" s="409"/>
      <c r="AI120" s="409"/>
      <c r="AJ120" s="409"/>
      <c r="AK120" s="409"/>
      <c r="AL120" s="409"/>
      <c r="AM120" s="409"/>
      <c r="AN120" s="409"/>
      <c r="AO120" s="409"/>
      <c r="AP120" s="409"/>
      <c r="AQ120" s="409"/>
      <c r="AR120" s="409"/>
      <c r="AS120" s="409"/>
      <c r="AT120" s="409"/>
      <c r="AU120" s="409"/>
      <c r="AV120" s="409"/>
      <c r="AW120" s="409"/>
      <c r="AX120" s="409"/>
      <c r="AY120" s="409"/>
      <c r="AZ120" s="409"/>
      <c r="BA120" s="409"/>
      <c r="BB120" s="409"/>
      <c r="BC120" s="409"/>
      <c r="BD120" s="407"/>
      <c r="BE120" s="444"/>
      <c r="BF120" s="444"/>
      <c r="BG120" s="444"/>
      <c r="BH120" s="444"/>
      <c r="BI120" s="444"/>
      <c r="BJ120" s="444"/>
      <c r="BK120" s="444"/>
      <c r="BL120" s="444"/>
      <c r="BM120" s="444"/>
      <c r="BN120" s="444"/>
      <c r="BO120" s="444"/>
      <c r="BP120" s="444"/>
      <c r="BQ120" s="444"/>
      <c r="BR120" s="444"/>
      <c r="BS120" s="444"/>
      <c r="BT120" s="444"/>
    </row>
    <row r="121" spans="1:72" ht="15">
      <c r="A121" s="392"/>
      <c r="B121" s="392"/>
      <c r="C121" s="392"/>
      <c r="D121" s="392"/>
      <c r="E121" s="392"/>
      <c r="F121" s="392"/>
      <c r="G121" s="392"/>
      <c r="H121" s="392"/>
      <c r="I121" s="392"/>
      <c r="J121" s="392"/>
      <c r="K121" s="392"/>
      <c r="L121" s="392"/>
      <c r="M121" s="392"/>
      <c r="N121" s="392"/>
      <c r="O121" s="392"/>
      <c r="P121" s="392"/>
      <c r="Q121" s="392"/>
      <c r="R121" s="392"/>
      <c r="S121" s="409"/>
      <c r="T121" s="409"/>
      <c r="U121" s="409"/>
      <c r="V121" s="409"/>
      <c r="W121" s="392"/>
      <c r="X121" s="392"/>
      <c r="Y121" s="409"/>
      <c r="Z121" s="409"/>
      <c r="AA121" s="392"/>
      <c r="AB121" s="392"/>
      <c r="AC121" s="392"/>
      <c r="AD121" s="409"/>
      <c r="AE121" s="409"/>
      <c r="AF121" s="409"/>
      <c r="AG121" s="409"/>
      <c r="AH121" s="409"/>
      <c r="AI121" s="409"/>
      <c r="AJ121" s="409"/>
      <c r="AK121" s="409"/>
      <c r="AL121" s="409"/>
      <c r="AM121" s="409"/>
      <c r="AN121" s="409"/>
      <c r="AO121" s="409"/>
      <c r="AP121" s="409"/>
      <c r="AQ121" s="409"/>
      <c r="AR121" s="409"/>
      <c r="AS121" s="409"/>
      <c r="AT121" s="409"/>
      <c r="AU121" s="409"/>
      <c r="AV121" s="409"/>
      <c r="AW121" s="409"/>
      <c r="AX121" s="409"/>
      <c r="AY121" s="409"/>
      <c r="AZ121" s="409"/>
      <c r="BA121" s="409"/>
      <c r="BB121" s="409"/>
      <c r="BC121" s="409"/>
      <c r="BD121" s="407"/>
      <c r="BE121" s="444"/>
      <c r="BF121" s="444"/>
      <c r="BG121" s="444"/>
      <c r="BH121" s="444"/>
      <c r="BI121" s="444"/>
      <c r="BJ121" s="444"/>
      <c r="BK121" s="444"/>
      <c r="BL121" s="444"/>
      <c r="BM121" s="444"/>
      <c r="BN121" s="444"/>
      <c r="BO121" s="444"/>
      <c r="BP121" s="444"/>
      <c r="BQ121" s="444"/>
      <c r="BR121" s="444"/>
      <c r="BS121" s="444"/>
      <c r="BT121" s="444"/>
    </row>
    <row r="122" spans="1:72" ht="15">
      <c r="A122" s="392"/>
      <c r="B122" s="392"/>
      <c r="C122" s="392"/>
      <c r="D122" s="392"/>
      <c r="E122" s="392"/>
      <c r="F122" s="392"/>
      <c r="G122" s="392"/>
      <c r="H122" s="392"/>
      <c r="I122" s="392"/>
      <c r="J122" s="392"/>
      <c r="K122" s="392"/>
      <c r="L122" s="392"/>
      <c r="M122" s="392"/>
      <c r="N122" s="392"/>
      <c r="O122" s="392"/>
      <c r="P122" s="392"/>
      <c r="Q122" s="392"/>
      <c r="R122" s="392"/>
      <c r="S122" s="409"/>
      <c r="T122" s="409"/>
      <c r="U122" s="409"/>
      <c r="V122" s="409"/>
      <c r="W122" s="392"/>
      <c r="X122" s="392"/>
      <c r="Y122" s="409"/>
      <c r="Z122" s="409"/>
      <c r="AA122" s="392"/>
      <c r="AB122" s="392"/>
      <c r="AC122" s="392"/>
      <c r="AD122" s="409"/>
      <c r="AE122" s="409"/>
      <c r="AF122" s="409"/>
      <c r="AG122" s="409"/>
      <c r="AH122" s="409"/>
      <c r="AI122" s="409"/>
      <c r="AJ122" s="409"/>
      <c r="AK122" s="409"/>
      <c r="AL122" s="409"/>
      <c r="AM122" s="409"/>
      <c r="AN122" s="409"/>
      <c r="AO122" s="409"/>
      <c r="AP122" s="409"/>
      <c r="AQ122" s="409"/>
      <c r="AR122" s="409"/>
      <c r="AS122" s="409"/>
      <c r="AT122" s="409"/>
      <c r="AU122" s="409"/>
      <c r="AV122" s="409"/>
      <c r="AW122" s="409"/>
      <c r="AX122" s="409"/>
      <c r="AY122" s="409"/>
      <c r="AZ122" s="409"/>
      <c r="BA122" s="409"/>
      <c r="BB122" s="409"/>
      <c r="BC122" s="409"/>
      <c r="BD122" s="407"/>
      <c r="BE122" s="444"/>
      <c r="BF122" s="444"/>
      <c r="BG122" s="444"/>
      <c r="BH122" s="444"/>
      <c r="BI122" s="444"/>
      <c r="BJ122" s="444"/>
      <c r="BK122" s="444"/>
      <c r="BL122" s="444"/>
      <c r="BM122" s="444"/>
      <c r="BN122" s="444"/>
      <c r="BO122" s="444"/>
      <c r="BP122" s="444"/>
      <c r="BQ122" s="444"/>
      <c r="BR122" s="444"/>
      <c r="BS122" s="444"/>
      <c r="BT122" s="444"/>
    </row>
    <row r="123" spans="1:72" ht="15">
      <c r="A123" s="392"/>
      <c r="B123" s="392"/>
      <c r="C123" s="392"/>
      <c r="D123" s="392"/>
      <c r="E123" s="392"/>
      <c r="F123" s="392"/>
      <c r="G123" s="392"/>
      <c r="H123" s="392"/>
      <c r="I123" s="392"/>
      <c r="J123" s="392"/>
      <c r="K123" s="392"/>
      <c r="L123" s="392"/>
      <c r="M123" s="392"/>
      <c r="N123" s="392"/>
      <c r="O123" s="392"/>
      <c r="P123" s="392"/>
      <c r="Q123" s="392"/>
      <c r="R123" s="392"/>
      <c r="S123" s="409"/>
      <c r="T123" s="409"/>
      <c r="U123" s="409"/>
      <c r="V123" s="409"/>
      <c r="W123" s="392"/>
      <c r="X123" s="392"/>
      <c r="Y123" s="409"/>
      <c r="Z123" s="409"/>
      <c r="AA123" s="392"/>
      <c r="AB123" s="392"/>
      <c r="AC123" s="392"/>
      <c r="AD123" s="409"/>
      <c r="AE123" s="409"/>
      <c r="AF123" s="409"/>
      <c r="AG123" s="409"/>
      <c r="AH123" s="409"/>
      <c r="AI123" s="409"/>
      <c r="AJ123" s="409"/>
      <c r="AK123" s="409"/>
      <c r="AL123" s="409"/>
      <c r="AM123" s="409"/>
      <c r="AN123" s="409"/>
      <c r="AO123" s="409"/>
      <c r="AP123" s="409"/>
      <c r="AQ123" s="409"/>
      <c r="AR123" s="409"/>
      <c r="AS123" s="409"/>
      <c r="AT123" s="409"/>
      <c r="AU123" s="409"/>
      <c r="AV123" s="409"/>
      <c r="AW123" s="409"/>
      <c r="AX123" s="409"/>
      <c r="AY123" s="409"/>
      <c r="AZ123" s="409"/>
      <c r="BA123" s="409"/>
      <c r="BB123" s="409"/>
      <c r="BC123" s="409"/>
      <c r="BD123" s="407"/>
      <c r="BE123" s="444"/>
      <c r="BF123" s="444"/>
      <c r="BG123" s="444"/>
      <c r="BH123" s="444"/>
      <c r="BI123" s="444"/>
      <c r="BJ123" s="444"/>
      <c r="BK123" s="444"/>
      <c r="BL123" s="444"/>
      <c r="BM123" s="444"/>
      <c r="BN123" s="444"/>
      <c r="BO123" s="444"/>
      <c r="BP123" s="444"/>
      <c r="BQ123" s="444"/>
      <c r="BR123" s="444"/>
      <c r="BS123" s="444"/>
      <c r="BT123" s="444"/>
    </row>
    <row r="124" spans="1:72" ht="15">
      <c r="A124" s="392"/>
      <c r="B124" s="392"/>
      <c r="C124" s="392"/>
      <c r="D124" s="392"/>
      <c r="E124" s="392"/>
      <c r="F124" s="392"/>
      <c r="G124" s="392"/>
      <c r="H124" s="392"/>
      <c r="I124" s="392"/>
      <c r="J124" s="392"/>
      <c r="K124" s="392"/>
      <c r="L124" s="392"/>
      <c r="M124" s="392"/>
      <c r="N124" s="392"/>
      <c r="O124" s="392"/>
      <c r="P124" s="392"/>
      <c r="Q124" s="392"/>
      <c r="R124" s="392"/>
      <c r="S124" s="409"/>
      <c r="T124" s="409"/>
      <c r="U124" s="409"/>
      <c r="V124" s="409"/>
      <c r="W124" s="392"/>
      <c r="X124" s="392"/>
      <c r="Y124" s="409"/>
      <c r="Z124" s="409"/>
      <c r="AA124" s="392"/>
      <c r="AB124" s="392"/>
      <c r="AC124" s="392"/>
      <c r="AD124" s="409"/>
      <c r="AE124" s="409"/>
      <c r="AF124" s="409"/>
      <c r="AG124" s="409"/>
      <c r="AH124" s="409"/>
      <c r="AI124" s="409"/>
      <c r="AJ124" s="409"/>
      <c r="AK124" s="409"/>
      <c r="AL124" s="409"/>
      <c r="AM124" s="409"/>
      <c r="AN124" s="409"/>
      <c r="AO124" s="409"/>
      <c r="AP124" s="409"/>
      <c r="AQ124" s="409"/>
      <c r="AR124" s="409"/>
      <c r="AS124" s="409"/>
      <c r="AT124" s="409"/>
      <c r="AU124" s="409"/>
      <c r="AV124" s="409"/>
      <c r="AW124" s="409"/>
      <c r="AX124" s="409"/>
      <c r="AY124" s="409"/>
      <c r="AZ124" s="409"/>
      <c r="BA124" s="409"/>
      <c r="BB124" s="409"/>
      <c r="BC124" s="409"/>
      <c r="BD124" s="407"/>
      <c r="BE124" s="444"/>
      <c r="BF124" s="444"/>
      <c r="BG124" s="444"/>
      <c r="BH124" s="444"/>
      <c r="BI124" s="444"/>
      <c r="BJ124" s="444"/>
      <c r="BK124" s="444"/>
      <c r="BL124" s="444"/>
      <c r="BM124" s="444"/>
      <c r="BN124" s="444"/>
      <c r="BO124" s="444"/>
      <c r="BP124" s="444"/>
      <c r="BQ124" s="444"/>
      <c r="BR124" s="444"/>
      <c r="BS124" s="444"/>
      <c r="BT124" s="444"/>
    </row>
    <row r="125" spans="1:72" ht="15">
      <c r="A125" s="392"/>
      <c r="B125" s="392"/>
      <c r="C125" s="392"/>
      <c r="D125" s="392"/>
      <c r="E125" s="392"/>
      <c r="F125" s="392"/>
      <c r="G125" s="392"/>
      <c r="H125" s="392"/>
      <c r="I125" s="392"/>
      <c r="J125" s="392"/>
      <c r="K125" s="392"/>
      <c r="L125" s="392"/>
      <c r="M125" s="392"/>
      <c r="N125" s="392"/>
      <c r="O125" s="392"/>
      <c r="P125" s="392"/>
      <c r="Q125" s="392"/>
      <c r="R125" s="392"/>
      <c r="S125" s="409"/>
      <c r="T125" s="409"/>
      <c r="U125" s="409"/>
      <c r="V125" s="409"/>
      <c r="W125" s="392"/>
      <c r="X125" s="392"/>
      <c r="Y125" s="409"/>
      <c r="Z125" s="409"/>
      <c r="AA125" s="392"/>
      <c r="AB125" s="392"/>
      <c r="AC125" s="392"/>
      <c r="AD125" s="409"/>
      <c r="AE125" s="409"/>
      <c r="AF125" s="409"/>
      <c r="AG125" s="409"/>
      <c r="AH125" s="409"/>
      <c r="AI125" s="409"/>
      <c r="AJ125" s="409"/>
      <c r="AK125" s="409"/>
      <c r="AL125" s="409"/>
      <c r="AM125" s="409"/>
      <c r="AN125" s="409"/>
      <c r="AO125" s="409"/>
      <c r="AP125" s="409"/>
      <c r="AQ125" s="409"/>
      <c r="AR125" s="409"/>
      <c r="AS125" s="409"/>
      <c r="AT125" s="409"/>
      <c r="AU125" s="409"/>
      <c r="AV125" s="409"/>
      <c r="AW125" s="409"/>
      <c r="AX125" s="409"/>
      <c r="AY125" s="409"/>
      <c r="AZ125" s="409"/>
      <c r="BA125" s="409"/>
      <c r="BB125" s="409"/>
      <c r="BC125" s="409"/>
      <c r="BD125" s="407"/>
      <c r="BE125" s="444"/>
      <c r="BF125" s="444"/>
      <c r="BG125" s="444"/>
      <c r="BH125" s="444"/>
      <c r="BI125" s="444"/>
      <c r="BJ125" s="444"/>
      <c r="BK125" s="444"/>
      <c r="BL125" s="444"/>
      <c r="BM125" s="444"/>
      <c r="BN125" s="444"/>
      <c r="BO125" s="444"/>
      <c r="BP125" s="444"/>
      <c r="BQ125" s="444"/>
      <c r="BR125" s="444"/>
      <c r="BS125" s="444"/>
      <c r="BT125" s="444"/>
    </row>
    <row r="126" spans="1:72" ht="15">
      <c r="A126" s="392"/>
      <c r="B126" s="392"/>
      <c r="C126" s="392"/>
      <c r="D126" s="392"/>
      <c r="E126" s="392"/>
      <c r="F126" s="392"/>
      <c r="G126" s="392"/>
      <c r="H126" s="392"/>
      <c r="I126" s="392"/>
      <c r="J126" s="392"/>
      <c r="K126" s="392"/>
      <c r="L126" s="392"/>
      <c r="M126" s="392"/>
      <c r="N126" s="392"/>
      <c r="O126" s="392"/>
      <c r="P126" s="392"/>
      <c r="Q126" s="392"/>
      <c r="R126" s="392"/>
      <c r="S126" s="409"/>
      <c r="T126" s="409"/>
      <c r="U126" s="409"/>
      <c r="V126" s="409"/>
      <c r="W126" s="392"/>
      <c r="X126" s="392"/>
      <c r="Y126" s="409"/>
      <c r="Z126" s="409"/>
      <c r="AA126" s="392"/>
      <c r="AB126" s="392"/>
      <c r="AC126" s="392"/>
      <c r="AD126" s="409"/>
      <c r="AE126" s="409"/>
      <c r="AF126" s="409"/>
      <c r="AG126" s="409"/>
      <c r="AH126" s="409"/>
      <c r="AI126" s="409"/>
      <c r="AJ126" s="409"/>
      <c r="AK126" s="409"/>
      <c r="AL126" s="409"/>
      <c r="AM126" s="409"/>
      <c r="AN126" s="409"/>
      <c r="AO126" s="409"/>
      <c r="AP126" s="409"/>
      <c r="AQ126" s="409"/>
      <c r="AR126" s="409"/>
      <c r="AS126" s="409"/>
      <c r="AT126" s="409"/>
      <c r="AU126" s="409"/>
      <c r="AV126" s="409"/>
      <c r="AW126" s="409"/>
      <c r="AX126" s="409"/>
      <c r="AY126" s="409"/>
      <c r="AZ126" s="409"/>
      <c r="BA126" s="409"/>
      <c r="BB126" s="409"/>
      <c r="BC126" s="409"/>
      <c r="BD126" s="407"/>
      <c r="BE126" s="444"/>
      <c r="BF126" s="444"/>
      <c r="BG126" s="444"/>
      <c r="BH126" s="444"/>
      <c r="BI126" s="444"/>
      <c r="BJ126" s="444"/>
      <c r="BK126" s="444"/>
      <c r="BL126" s="444"/>
      <c r="BM126" s="444"/>
      <c r="BN126" s="444"/>
      <c r="BO126" s="444"/>
      <c r="BP126" s="444"/>
      <c r="BQ126" s="444"/>
      <c r="BR126" s="444"/>
      <c r="BS126" s="444"/>
      <c r="BT126" s="444"/>
    </row>
    <row r="127" spans="1:72" ht="15">
      <c r="A127" s="392"/>
      <c r="B127" s="392"/>
      <c r="C127" s="392"/>
      <c r="D127" s="392"/>
      <c r="E127" s="392"/>
      <c r="F127" s="392"/>
      <c r="G127" s="392"/>
      <c r="H127" s="392"/>
      <c r="I127" s="392"/>
      <c r="J127" s="392"/>
      <c r="K127" s="392"/>
      <c r="L127" s="392"/>
      <c r="M127" s="392"/>
      <c r="N127" s="392"/>
      <c r="O127" s="392"/>
      <c r="P127" s="392"/>
      <c r="Q127" s="392"/>
      <c r="R127" s="392"/>
      <c r="S127" s="409"/>
      <c r="T127" s="409"/>
      <c r="U127" s="409"/>
      <c r="V127" s="409"/>
      <c r="W127" s="392"/>
      <c r="X127" s="392"/>
      <c r="Y127" s="409"/>
      <c r="Z127" s="409"/>
      <c r="AA127" s="392"/>
      <c r="AB127" s="392"/>
      <c r="AC127" s="392"/>
      <c r="AD127" s="409"/>
      <c r="AE127" s="409"/>
      <c r="AF127" s="409"/>
      <c r="AG127" s="409"/>
      <c r="AH127" s="409"/>
      <c r="AI127" s="409"/>
      <c r="AJ127" s="409"/>
      <c r="AK127" s="409"/>
      <c r="AL127" s="409"/>
      <c r="AM127" s="409"/>
      <c r="AN127" s="409"/>
      <c r="AO127" s="409"/>
      <c r="AP127" s="409"/>
      <c r="AQ127" s="409"/>
      <c r="AR127" s="409"/>
      <c r="AS127" s="409"/>
      <c r="AT127" s="409"/>
      <c r="AU127" s="409"/>
      <c r="AV127" s="409"/>
      <c r="AW127" s="409"/>
      <c r="AX127" s="409"/>
      <c r="AY127" s="409"/>
      <c r="AZ127" s="409"/>
      <c r="BA127" s="409"/>
      <c r="BB127" s="409"/>
      <c r="BC127" s="409"/>
      <c r="BD127" s="407"/>
      <c r="BE127" s="444"/>
      <c r="BF127" s="444"/>
      <c r="BG127" s="444"/>
      <c r="BH127" s="444"/>
      <c r="BI127" s="444"/>
      <c r="BJ127" s="444"/>
      <c r="BK127" s="444"/>
      <c r="BL127" s="444"/>
      <c r="BM127" s="444"/>
      <c r="BN127" s="444"/>
      <c r="BO127" s="444"/>
      <c r="BP127" s="444"/>
      <c r="BQ127" s="444"/>
      <c r="BR127" s="444"/>
      <c r="BS127" s="444"/>
      <c r="BT127" s="444"/>
    </row>
    <row r="128" spans="1:72" ht="15">
      <c r="A128" s="392"/>
      <c r="B128" s="392"/>
      <c r="C128" s="392"/>
      <c r="D128" s="392"/>
      <c r="E128" s="392"/>
      <c r="F128" s="392"/>
      <c r="G128" s="392"/>
      <c r="H128" s="392"/>
      <c r="I128" s="392"/>
      <c r="J128" s="392"/>
      <c r="K128" s="392"/>
      <c r="L128" s="392"/>
      <c r="M128" s="392"/>
      <c r="N128" s="392"/>
      <c r="O128" s="392"/>
      <c r="P128" s="392"/>
      <c r="Q128" s="392"/>
      <c r="R128" s="392"/>
      <c r="S128" s="409"/>
      <c r="T128" s="409"/>
      <c r="U128" s="409"/>
      <c r="V128" s="409"/>
      <c r="W128" s="392"/>
      <c r="X128" s="392"/>
      <c r="Y128" s="409"/>
      <c r="Z128" s="409"/>
      <c r="AA128" s="392"/>
      <c r="AB128" s="392"/>
      <c r="AC128" s="392"/>
      <c r="AD128" s="409"/>
      <c r="AE128" s="409"/>
      <c r="AF128" s="409"/>
      <c r="AG128" s="409"/>
      <c r="AH128" s="409"/>
      <c r="AI128" s="409"/>
      <c r="AJ128" s="409"/>
      <c r="AK128" s="409"/>
      <c r="AL128" s="409"/>
      <c r="AM128" s="409"/>
      <c r="AN128" s="409"/>
      <c r="AO128" s="409"/>
      <c r="AP128" s="409"/>
      <c r="AQ128" s="409"/>
      <c r="AR128" s="409"/>
      <c r="AS128" s="409"/>
      <c r="AT128" s="409"/>
      <c r="AU128" s="409"/>
      <c r="AV128" s="409"/>
      <c r="AW128" s="409"/>
      <c r="AX128" s="409"/>
      <c r="AY128" s="409"/>
      <c r="AZ128" s="409"/>
      <c r="BA128" s="409"/>
      <c r="BB128" s="409"/>
      <c r="BC128" s="409"/>
      <c r="BD128" s="407"/>
      <c r="BE128" s="444"/>
      <c r="BF128" s="444"/>
      <c r="BG128" s="444"/>
      <c r="BH128" s="444"/>
      <c r="BI128" s="444"/>
      <c r="BJ128" s="444"/>
      <c r="BK128" s="444"/>
      <c r="BL128" s="444"/>
      <c r="BM128" s="444"/>
      <c r="BN128" s="444"/>
      <c r="BO128" s="444"/>
      <c r="BP128" s="444"/>
      <c r="BQ128" s="444"/>
      <c r="BR128" s="444"/>
      <c r="BS128" s="444"/>
      <c r="BT128" s="444"/>
    </row>
    <row r="129" spans="1:72" ht="15">
      <c r="A129" s="392"/>
      <c r="B129" s="392"/>
      <c r="C129" s="392"/>
      <c r="D129" s="392"/>
      <c r="E129" s="392"/>
      <c r="F129" s="392"/>
      <c r="G129" s="392"/>
      <c r="H129" s="392"/>
      <c r="I129" s="392"/>
      <c r="J129" s="392"/>
      <c r="K129" s="392"/>
      <c r="L129" s="392"/>
      <c r="M129" s="392"/>
      <c r="N129" s="392"/>
      <c r="O129" s="392"/>
      <c r="P129" s="392"/>
      <c r="Q129" s="392"/>
      <c r="R129" s="392"/>
      <c r="S129" s="409"/>
      <c r="T129" s="409"/>
      <c r="U129" s="409"/>
      <c r="V129" s="409"/>
      <c r="W129" s="392"/>
      <c r="X129" s="392"/>
      <c r="Y129" s="409"/>
      <c r="Z129" s="409"/>
      <c r="AA129" s="392"/>
      <c r="AB129" s="392"/>
      <c r="AC129" s="392"/>
      <c r="AD129" s="409"/>
      <c r="AE129" s="409"/>
      <c r="AF129" s="409"/>
      <c r="AG129" s="409"/>
      <c r="AH129" s="409"/>
      <c r="AI129" s="409"/>
      <c r="AJ129" s="409"/>
      <c r="AK129" s="409"/>
      <c r="AL129" s="409"/>
      <c r="AM129" s="409"/>
      <c r="AN129" s="409"/>
      <c r="AO129" s="409"/>
      <c r="AP129" s="409"/>
      <c r="AQ129" s="409"/>
      <c r="AR129" s="409"/>
      <c r="AS129" s="409"/>
      <c r="AT129" s="409"/>
      <c r="AU129" s="409"/>
      <c r="AV129" s="409"/>
      <c r="AW129" s="409"/>
      <c r="AX129" s="409"/>
      <c r="AY129" s="409"/>
      <c r="AZ129" s="409"/>
      <c r="BA129" s="409"/>
      <c r="BB129" s="409"/>
      <c r="BC129" s="409"/>
      <c r="BD129" s="407"/>
      <c r="BE129" s="444"/>
      <c r="BF129" s="444"/>
      <c r="BG129" s="444"/>
      <c r="BH129" s="444"/>
      <c r="BI129" s="444"/>
      <c r="BJ129" s="444"/>
      <c r="BK129" s="444"/>
      <c r="BL129" s="444"/>
      <c r="BM129" s="444"/>
      <c r="BN129" s="444"/>
      <c r="BO129" s="444"/>
      <c r="BP129" s="444"/>
      <c r="BQ129" s="444"/>
      <c r="BR129" s="444"/>
      <c r="BS129" s="444"/>
      <c r="BT129" s="444"/>
    </row>
    <row r="130" spans="1:72" ht="15">
      <c r="A130" s="392"/>
      <c r="B130" s="392"/>
      <c r="C130" s="392"/>
      <c r="D130" s="392"/>
      <c r="E130" s="392"/>
      <c r="F130" s="392"/>
      <c r="G130" s="392"/>
      <c r="H130" s="392"/>
      <c r="I130" s="392"/>
      <c r="J130" s="392"/>
      <c r="K130" s="392"/>
      <c r="L130" s="392"/>
      <c r="M130" s="392"/>
      <c r="N130" s="392"/>
      <c r="O130" s="392"/>
      <c r="P130" s="392"/>
      <c r="Q130" s="392"/>
      <c r="R130" s="392"/>
      <c r="S130" s="409"/>
      <c r="T130" s="409"/>
      <c r="U130" s="409"/>
      <c r="V130" s="409"/>
      <c r="W130" s="392"/>
      <c r="X130" s="392"/>
      <c r="Y130" s="409"/>
      <c r="Z130" s="409"/>
      <c r="AA130" s="392"/>
      <c r="AB130" s="392"/>
      <c r="AC130" s="392"/>
      <c r="AD130" s="409"/>
      <c r="AE130" s="409"/>
      <c r="AF130" s="409"/>
      <c r="AG130" s="409"/>
      <c r="AH130" s="409"/>
      <c r="AI130" s="409"/>
      <c r="AJ130" s="409"/>
      <c r="AK130" s="409"/>
      <c r="AL130" s="409"/>
      <c r="AM130" s="409"/>
      <c r="AN130" s="409"/>
      <c r="AO130" s="409"/>
      <c r="AP130" s="409"/>
      <c r="AQ130" s="409"/>
      <c r="AR130" s="409"/>
      <c r="AS130" s="409"/>
      <c r="AT130" s="409"/>
      <c r="AU130" s="409"/>
      <c r="AV130" s="409"/>
      <c r="AW130" s="409"/>
      <c r="AX130" s="409"/>
      <c r="AY130" s="409"/>
      <c r="AZ130" s="409"/>
      <c r="BA130" s="409"/>
      <c r="BB130" s="409"/>
      <c r="BC130" s="409"/>
      <c r="BD130" s="407"/>
      <c r="BE130" s="444"/>
      <c r="BF130" s="444"/>
      <c r="BG130" s="444"/>
      <c r="BH130" s="444"/>
      <c r="BI130" s="444"/>
      <c r="BJ130" s="444"/>
      <c r="BK130" s="444"/>
      <c r="BL130" s="444"/>
      <c r="BM130" s="444"/>
      <c r="BN130" s="444"/>
      <c r="BO130" s="444"/>
      <c r="BP130" s="444"/>
      <c r="BQ130" s="444"/>
      <c r="BR130" s="444"/>
      <c r="BS130" s="444"/>
      <c r="BT130" s="444"/>
    </row>
    <row r="131" spans="1:72" ht="15">
      <c r="A131" s="392"/>
      <c r="B131" s="392"/>
      <c r="C131" s="392"/>
      <c r="D131" s="392"/>
      <c r="E131" s="392"/>
      <c r="F131" s="392"/>
      <c r="G131" s="392"/>
      <c r="H131" s="392"/>
      <c r="I131" s="392"/>
      <c r="J131" s="392"/>
      <c r="K131" s="392"/>
      <c r="L131" s="392"/>
      <c r="M131" s="392"/>
      <c r="N131" s="392"/>
      <c r="O131" s="392"/>
      <c r="P131" s="392"/>
      <c r="Q131" s="392"/>
      <c r="R131" s="392"/>
      <c r="S131" s="409"/>
      <c r="T131" s="409"/>
      <c r="U131" s="409"/>
      <c r="V131" s="409"/>
      <c r="W131" s="392"/>
      <c r="X131" s="392"/>
      <c r="Y131" s="409"/>
      <c r="Z131" s="409"/>
      <c r="AA131" s="392"/>
      <c r="AB131" s="392"/>
      <c r="AC131" s="392"/>
      <c r="AD131" s="409"/>
      <c r="AE131" s="409"/>
      <c r="AF131" s="409"/>
      <c r="AG131" s="409"/>
      <c r="AH131" s="409"/>
      <c r="AI131" s="409"/>
      <c r="AJ131" s="409"/>
      <c r="AK131" s="409"/>
      <c r="AL131" s="409"/>
      <c r="AM131" s="409"/>
      <c r="AN131" s="409"/>
      <c r="AO131" s="409"/>
      <c r="AP131" s="409"/>
      <c r="AQ131" s="409"/>
      <c r="AR131" s="409"/>
      <c r="AS131" s="409"/>
      <c r="AT131" s="409"/>
      <c r="AU131" s="409"/>
      <c r="AV131" s="409"/>
      <c r="AW131" s="409"/>
      <c r="AX131" s="409"/>
      <c r="AY131" s="409"/>
      <c r="AZ131" s="409"/>
      <c r="BA131" s="409"/>
      <c r="BB131" s="409"/>
      <c r="BC131" s="409"/>
      <c r="BD131" s="407"/>
      <c r="BE131" s="444"/>
      <c r="BF131" s="444"/>
      <c r="BG131" s="444"/>
      <c r="BH131" s="444"/>
      <c r="BI131" s="444"/>
      <c r="BJ131" s="444"/>
      <c r="BK131" s="444"/>
      <c r="BL131" s="444"/>
      <c r="BM131" s="444"/>
      <c r="BN131" s="444"/>
      <c r="BO131" s="444"/>
      <c r="BP131" s="444"/>
      <c r="BQ131" s="444"/>
      <c r="BR131" s="444"/>
      <c r="BS131" s="444"/>
      <c r="BT131" s="444"/>
    </row>
    <row r="132" spans="1:72" ht="15">
      <c r="A132" s="392"/>
      <c r="B132" s="392"/>
      <c r="C132" s="392"/>
      <c r="D132" s="392"/>
      <c r="E132" s="392"/>
      <c r="F132" s="392"/>
      <c r="G132" s="392"/>
      <c r="H132" s="392"/>
      <c r="I132" s="392"/>
      <c r="J132" s="392"/>
      <c r="K132" s="392"/>
      <c r="L132" s="392"/>
      <c r="M132" s="392"/>
      <c r="N132" s="392"/>
      <c r="O132" s="392"/>
      <c r="P132" s="392"/>
      <c r="Q132" s="392"/>
      <c r="R132" s="392"/>
      <c r="S132" s="409"/>
      <c r="T132" s="409"/>
      <c r="U132" s="409"/>
      <c r="V132" s="409"/>
      <c r="W132" s="392"/>
      <c r="X132" s="392"/>
      <c r="Y132" s="409"/>
      <c r="Z132" s="409"/>
      <c r="AA132" s="392"/>
      <c r="AB132" s="392"/>
      <c r="AC132" s="392"/>
      <c r="AD132" s="409"/>
      <c r="AE132" s="409"/>
      <c r="AF132" s="409"/>
      <c r="AG132" s="409"/>
      <c r="AH132" s="409"/>
      <c r="AI132" s="409"/>
      <c r="AJ132" s="409"/>
      <c r="AK132" s="409"/>
      <c r="AL132" s="409"/>
      <c r="AM132" s="409"/>
      <c r="AN132" s="409"/>
      <c r="AO132" s="409"/>
      <c r="AP132" s="409"/>
      <c r="AQ132" s="409"/>
      <c r="AR132" s="409"/>
      <c r="AS132" s="409"/>
      <c r="AT132" s="409"/>
      <c r="AU132" s="409"/>
      <c r="AV132" s="409"/>
      <c r="AW132" s="409"/>
      <c r="AX132" s="409"/>
      <c r="AY132" s="409"/>
      <c r="AZ132" s="409"/>
      <c r="BA132" s="409"/>
      <c r="BB132" s="409"/>
      <c r="BC132" s="409"/>
      <c r="BD132" s="407"/>
      <c r="BE132" s="444"/>
      <c r="BF132" s="444"/>
      <c r="BG132" s="444"/>
      <c r="BH132" s="444"/>
      <c r="BI132" s="444"/>
      <c r="BJ132" s="444"/>
      <c r="BK132" s="444"/>
      <c r="BL132" s="444"/>
      <c r="BM132" s="444"/>
      <c r="BN132" s="444"/>
      <c r="BO132" s="444"/>
      <c r="BP132" s="444"/>
      <c r="BQ132" s="444"/>
      <c r="BR132" s="444"/>
      <c r="BS132" s="444"/>
      <c r="BT132" s="444"/>
    </row>
    <row r="133" spans="1:72" ht="15">
      <c r="A133" s="392"/>
      <c r="B133" s="392"/>
      <c r="C133" s="392"/>
      <c r="D133" s="392"/>
      <c r="E133" s="392"/>
      <c r="F133" s="392"/>
      <c r="G133" s="392"/>
      <c r="H133" s="392"/>
      <c r="I133" s="392"/>
      <c r="J133" s="392"/>
      <c r="K133" s="392"/>
      <c r="L133" s="392"/>
      <c r="M133" s="392"/>
      <c r="N133" s="392"/>
      <c r="O133" s="392"/>
      <c r="P133" s="392"/>
      <c r="Q133" s="392"/>
      <c r="R133" s="392"/>
      <c r="S133" s="409"/>
      <c r="T133" s="409"/>
      <c r="U133" s="409"/>
      <c r="V133" s="409"/>
      <c r="W133" s="392"/>
      <c r="X133" s="392"/>
      <c r="Y133" s="409"/>
      <c r="Z133" s="409"/>
      <c r="AA133" s="392"/>
      <c r="AB133" s="392"/>
      <c r="AC133" s="392"/>
      <c r="AD133" s="409"/>
      <c r="AE133" s="409"/>
      <c r="AF133" s="409"/>
      <c r="AG133" s="409"/>
      <c r="AH133" s="409"/>
      <c r="AI133" s="409"/>
      <c r="AJ133" s="409"/>
      <c r="AK133" s="409"/>
      <c r="AL133" s="409"/>
      <c r="AM133" s="409"/>
      <c r="AN133" s="409"/>
      <c r="AO133" s="409"/>
      <c r="AP133" s="409"/>
      <c r="AQ133" s="409"/>
      <c r="AR133" s="409"/>
      <c r="AS133" s="409"/>
      <c r="AT133" s="409"/>
      <c r="AU133" s="409"/>
      <c r="AV133" s="409"/>
      <c r="AW133" s="409"/>
      <c r="AX133" s="409"/>
      <c r="AY133" s="409"/>
      <c r="AZ133" s="409"/>
      <c r="BA133" s="409"/>
      <c r="BB133" s="409"/>
      <c r="BC133" s="409"/>
      <c r="BD133" s="407"/>
      <c r="BE133" s="444"/>
      <c r="BF133" s="444"/>
      <c r="BG133" s="444"/>
      <c r="BH133" s="444"/>
      <c r="BI133" s="444"/>
      <c r="BJ133" s="444"/>
      <c r="BK133" s="444"/>
      <c r="BL133" s="444"/>
      <c r="BM133" s="444"/>
      <c r="BN133" s="444"/>
      <c r="BO133" s="444"/>
      <c r="BP133" s="444"/>
      <c r="BQ133" s="444"/>
      <c r="BR133" s="444"/>
      <c r="BS133" s="444"/>
      <c r="BT133" s="444"/>
    </row>
    <row r="134" spans="1:72" ht="15">
      <c r="A134" s="392"/>
      <c r="B134" s="392"/>
      <c r="C134" s="392"/>
      <c r="D134" s="392"/>
      <c r="E134" s="392"/>
      <c r="F134" s="392"/>
      <c r="G134" s="392"/>
      <c r="H134" s="392"/>
      <c r="I134" s="392"/>
      <c r="J134" s="392"/>
      <c r="K134" s="392"/>
      <c r="L134" s="392"/>
      <c r="M134" s="392"/>
      <c r="N134" s="392"/>
      <c r="O134" s="392"/>
      <c r="P134" s="392"/>
      <c r="Q134" s="392"/>
      <c r="R134" s="392"/>
      <c r="S134" s="409"/>
      <c r="T134" s="409"/>
      <c r="U134" s="409"/>
      <c r="V134" s="409"/>
      <c r="W134" s="392"/>
      <c r="X134" s="392"/>
      <c r="Y134" s="409"/>
      <c r="Z134" s="409"/>
      <c r="AA134" s="392"/>
      <c r="AB134" s="392"/>
      <c r="AC134" s="392"/>
      <c r="AD134" s="409"/>
      <c r="AE134" s="409"/>
      <c r="AF134" s="409"/>
      <c r="AG134" s="409"/>
      <c r="AH134" s="409"/>
      <c r="AI134" s="409"/>
      <c r="AJ134" s="409"/>
      <c r="AK134" s="409"/>
      <c r="AL134" s="409"/>
      <c r="AM134" s="409"/>
      <c r="AN134" s="409"/>
      <c r="AO134" s="409"/>
      <c r="AP134" s="409"/>
      <c r="AQ134" s="409"/>
      <c r="AR134" s="409"/>
      <c r="AS134" s="409"/>
      <c r="AT134" s="409"/>
      <c r="AU134" s="409"/>
      <c r="AV134" s="409"/>
      <c r="AW134" s="409"/>
      <c r="AX134" s="409"/>
      <c r="AY134" s="409"/>
      <c r="AZ134" s="409"/>
      <c r="BA134" s="409"/>
      <c r="BB134" s="409"/>
      <c r="BC134" s="409"/>
      <c r="BD134" s="407"/>
      <c r="BE134" s="444"/>
      <c r="BF134" s="444"/>
      <c r="BG134" s="444"/>
      <c r="BH134" s="444"/>
      <c r="BI134" s="444"/>
      <c r="BJ134" s="444"/>
      <c r="BK134" s="444"/>
      <c r="BL134" s="444"/>
      <c r="BM134" s="444"/>
      <c r="BN134" s="444"/>
      <c r="BO134" s="444"/>
      <c r="BP134" s="444"/>
      <c r="BQ134" s="444"/>
      <c r="BR134" s="444"/>
      <c r="BS134" s="444"/>
      <c r="BT134" s="444"/>
    </row>
    <row r="135" spans="1:72" ht="15">
      <c r="A135" s="392"/>
      <c r="B135" s="392"/>
      <c r="C135" s="392"/>
      <c r="D135" s="392"/>
      <c r="E135" s="392"/>
      <c r="F135" s="392"/>
      <c r="G135" s="392"/>
      <c r="H135" s="392"/>
      <c r="I135" s="392"/>
      <c r="J135" s="392"/>
      <c r="K135" s="392"/>
      <c r="L135" s="392"/>
      <c r="M135" s="392"/>
      <c r="N135" s="392"/>
      <c r="O135" s="392"/>
      <c r="P135" s="392"/>
      <c r="Q135" s="392"/>
      <c r="R135" s="392"/>
      <c r="S135" s="409"/>
      <c r="T135" s="409"/>
      <c r="U135" s="409"/>
      <c r="V135" s="409"/>
      <c r="W135" s="392"/>
      <c r="X135" s="392"/>
      <c r="Y135" s="409"/>
      <c r="Z135" s="409"/>
      <c r="AA135" s="392"/>
      <c r="AB135" s="392"/>
      <c r="AC135" s="392"/>
      <c r="AD135" s="409"/>
      <c r="AE135" s="409"/>
      <c r="AF135" s="409"/>
      <c r="AG135" s="409"/>
      <c r="AH135" s="409"/>
      <c r="AI135" s="409"/>
      <c r="AJ135" s="409"/>
      <c r="AK135" s="409"/>
      <c r="AL135" s="409"/>
      <c r="AM135" s="409"/>
      <c r="AN135" s="409"/>
      <c r="AO135" s="409"/>
      <c r="AP135" s="409"/>
      <c r="AQ135" s="409"/>
      <c r="AR135" s="409"/>
      <c r="AS135" s="409"/>
      <c r="AT135" s="409"/>
      <c r="AU135" s="409"/>
      <c r="AV135" s="409"/>
      <c r="AW135" s="409"/>
      <c r="AX135" s="409"/>
      <c r="AY135" s="409"/>
      <c r="AZ135" s="409"/>
      <c r="BA135" s="409"/>
      <c r="BB135" s="409"/>
      <c r="BC135" s="409"/>
      <c r="BD135" s="407"/>
      <c r="BE135" s="444"/>
      <c r="BF135" s="444"/>
      <c r="BG135" s="444"/>
      <c r="BH135" s="444"/>
      <c r="BI135" s="444"/>
      <c r="BJ135" s="444"/>
      <c r="BK135" s="444"/>
      <c r="BL135" s="444"/>
      <c r="BM135" s="444"/>
      <c r="BN135" s="444"/>
      <c r="BO135" s="444"/>
      <c r="BP135" s="444"/>
      <c r="BQ135" s="444"/>
      <c r="BR135" s="444"/>
      <c r="BS135" s="444"/>
      <c r="BT135" s="444"/>
    </row>
    <row r="136" spans="1:72" ht="15">
      <c r="A136" s="392"/>
      <c r="B136" s="392"/>
      <c r="C136" s="392"/>
      <c r="D136" s="392"/>
      <c r="E136" s="392"/>
      <c r="F136" s="392"/>
      <c r="G136" s="392"/>
      <c r="H136" s="392"/>
      <c r="I136" s="392"/>
      <c r="J136" s="392"/>
      <c r="K136" s="392"/>
      <c r="L136" s="392"/>
      <c r="M136" s="392"/>
      <c r="N136" s="392"/>
      <c r="O136" s="392"/>
      <c r="P136" s="392"/>
      <c r="Q136" s="392"/>
      <c r="R136" s="392"/>
      <c r="S136" s="409"/>
      <c r="T136" s="409"/>
      <c r="U136" s="409"/>
      <c r="V136" s="409"/>
      <c r="W136" s="392"/>
      <c r="X136" s="392"/>
      <c r="Y136" s="409"/>
      <c r="Z136" s="409"/>
      <c r="AA136" s="392"/>
      <c r="AB136" s="392"/>
      <c r="AC136" s="392"/>
      <c r="AD136" s="409"/>
      <c r="AE136" s="409"/>
      <c r="AF136" s="409"/>
      <c r="AG136" s="409"/>
      <c r="AH136" s="409"/>
      <c r="AI136" s="409"/>
      <c r="AJ136" s="409"/>
      <c r="AK136" s="409"/>
      <c r="AL136" s="409"/>
      <c r="AM136" s="409"/>
      <c r="AN136" s="409"/>
      <c r="AO136" s="409"/>
      <c r="AP136" s="409"/>
      <c r="AQ136" s="409"/>
      <c r="AR136" s="409"/>
      <c r="AS136" s="409"/>
      <c r="AT136" s="409"/>
      <c r="AU136" s="409"/>
      <c r="AV136" s="409"/>
      <c r="AW136" s="409"/>
      <c r="AX136" s="409"/>
      <c r="AY136" s="409"/>
      <c r="AZ136" s="409"/>
      <c r="BA136" s="409"/>
      <c r="BB136" s="409"/>
      <c r="BC136" s="409"/>
      <c r="BD136" s="407"/>
      <c r="BE136" s="444"/>
      <c r="BF136" s="444"/>
      <c r="BG136" s="444"/>
      <c r="BH136" s="444"/>
      <c r="BI136" s="444"/>
      <c r="BJ136" s="444"/>
      <c r="BK136" s="444"/>
      <c r="BL136" s="444"/>
      <c r="BM136" s="444"/>
      <c r="BN136" s="444"/>
      <c r="BO136" s="444"/>
      <c r="BP136" s="444"/>
      <c r="BQ136" s="444"/>
      <c r="BR136" s="444"/>
      <c r="BS136" s="444"/>
      <c r="BT136" s="444"/>
    </row>
    <row r="137" spans="1:72" ht="15">
      <c r="A137" s="392"/>
      <c r="B137" s="392"/>
      <c r="C137" s="392"/>
      <c r="D137" s="392"/>
      <c r="E137" s="392"/>
      <c r="F137" s="392"/>
      <c r="G137" s="392"/>
      <c r="H137" s="392"/>
      <c r="I137" s="392"/>
      <c r="J137" s="392"/>
      <c r="K137" s="392"/>
      <c r="L137" s="392"/>
      <c r="M137" s="392"/>
      <c r="N137" s="392"/>
      <c r="O137" s="392"/>
      <c r="P137" s="392"/>
      <c r="Q137" s="392"/>
      <c r="R137" s="392"/>
      <c r="S137" s="409"/>
      <c r="T137" s="409"/>
      <c r="U137" s="409"/>
      <c r="V137" s="409"/>
      <c r="W137" s="392"/>
      <c r="X137" s="392"/>
      <c r="Y137" s="409"/>
      <c r="Z137" s="409"/>
      <c r="AA137" s="392"/>
      <c r="AB137" s="392"/>
      <c r="AC137" s="392"/>
      <c r="AD137" s="409"/>
      <c r="AE137" s="409"/>
      <c r="AF137" s="409"/>
      <c r="AG137" s="409"/>
      <c r="AH137" s="409"/>
      <c r="AI137" s="409"/>
      <c r="AJ137" s="409"/>
      <c r="AK137" s="409"/>
      <c r="AL137" s="409"/>
      <c r="AM137" s="409"/>
      <c r="AN137" s="409"/>
      <c r="AO137" s="409"/>
      <c r="AP137" s="409"/>
      <c r="AQ137" s="409"/>
      <c r="AR137" s="409"/>
      <c r="AS137" s="409"/>
      <c r="AT137" s="409"/>
      <c r="AU137" s="409"/>
      <c r="AV137" s="409"/>
      <c r="AW137" s="409"/>
      <c r="AX137" s="409"/>
      <c r="AY137" s="409"/>
      <c r="AZ137" s="409"/>
      <c r="BA137" s="409"/>
      <c r="BB137" s="409"/>
      <c r="BC137" s="409"/>
      <c r="BD137" s="407"/>
      <c r="BE137" s="444"/>
      <c r="BF137" s="444"/>
      <c r="BG137" s="444"/>
      <c r="BH137" s="444"/>
      <c r="BI137" s="444"/>
      <c r="BJ137" s="444"/>
      <c r="BK137" s="444"/>
      <c r="BL137" s="444"/>
      <c r="BM137" s="444"/>
      <c r="BN137" s="444"/>
      <c r="BO137" s="444"/>
      <c r="BP137" s="444"/>
      <c r="BQ137" s="444"/>
      <c r="BR137" s="444"/>
      <c r="BS137" s="444"/>
      <c r="BT137" s="444"/>
    </row>
    <row r="138" spans="1:72" ht="15">
      <c r="A138" s="392"/>
      <c r="B138" s="392"/>
      <c r="C138" s="392"/>
      <c r="D138" s="392"/>
      <c r="E138" s="392"/>
      <c r="F138" s="392"/>
      <c r="G138" s="392"/>
      <c r="H138" s="392"/>
      <c r="I138" s="392"/>
      <c r="J138" s="392"/>
      <c r="K138" s="392"/>
      <c r="L138" s="392"/>
      <c r="M138" s="392"/>
      <c r="N138" s="392"/>
      <c r="O138" s="392"/>
      <c r="P138" s="392"/>
      <c r="Q138" s="392"/>
      <c r="R138" s="392"/>
      <c r="S138" s="409"/>
      <c r="T138" s="409"/>
      <c r="U138" s="409"/>
      <c r="V138" s="409"/>
      <c r="W138" s="392"/>
      <c r="X138" s="392"/>
      <c r="Y138" s="409"/>
      <c r="Z138" s="409"/>
      <c r="AA138" s="392"/>
      <c r="AB138" s="392"/>
      <c r="AC138" s="392"/>
      <c r="AD138" s="409"/>
      <c r="AE138" s="409"/>
      <c r="AF138" s="409"/>
      <c r="AG138" s="409"/>
      <c r="AH138" s="409"/>
      <c r="AI138" s="409"/>
      <c r="AJ138" s="409"/>
      <c r="AK138" s="409"/>
      <c r="AL138" s="409"/>
      <c r="AM138" s="409"/>
      <c r="AN138" s="409"/>
      <c r="AO138" s="409"/>
      <c r="AP138" s="409"/>
      <c r="AQ138" s="409"/>
      <c r="AR138" s="409"/>
      <c r="AS138" s="409"/>
      <c r="AT138" s="409"/>
      <c r="AU138" s="409"/>
      <c r="AV138" s="409"/>
      <c r="AW138" s="409"/>
      <c r="AX138" s="409"/>
      <c r="AY138" s="409"/>
      <c r="AZ138" s="409"/>
      <c r="BA138" s="409"/>
      <c r="BB138" s="409"/>
      <c r="BC138" s="409"/>
      <c r="BD138" s="407"/>
      <c r="BE138" s="444"/>
      <c r="BF138" s="444"/>
      <c r="BG138" s="444"/>
      <c r="BH138" s="444"/>
      <c r="BI138" s="444"/>
      <c r="BJ138" s="444"/>
      <c r="BK138" s="444"/>
      <c r="BL138" s="444"/>
      <c r="BM138" s="444"/>
      <c r="BN138" s="444"/>
      <c r="BO138" s="444"/>
      <c r="BP138" s="444"/>
      <c r="BQ138" s="444"/>
      <c r="BR138" s="444"/>
      <c r="BS138" s="444"/>
      <c r="BT138" s="444"/>
    </row>
    <row r="139" spans="1:72" ht="15">
      <c r="A139" s="392"/>
      <c r="B139" s="392"/>
      <c r="C139" s="392"/>
      <c r="D139" s="392"/>
      <c r="E139" s="392"/>
      <c r="F139" s="392"/>
      <c r="G139" s="392"/>
      <c r="H139" s="392"/>
      <c r="I139" s="392"/>
      <c r="J139" s="392"/>
      <c r="K139" s="392"/>
      <c r="L139" s="392"/>
      <c r="M139" s="392"/>
      <c r="N139" s="392"/>
      <c r="O139" s="392"/>
      <c r="P139" s="392"/>
      <c r="Q139" s="392"/>
      <c r="R139" s="392"/>
      <c r="S139" s="409"/>
      <c r="T139" s="409"/>
      <c r="U139" s="409"/>
      <c r="V139" s="409"/>
      <c r="W139" s="392"/>
      <c r="X139" s="392"/>
      <c r="Y139" s="409"/>
      <c r="Z139" s="409"/>
      <c r="AA139" s="392"/>
      <c r="AB139" s="392"/>
      <c r="AC139" s="392"/>
      <c r="AD139" s="409"/>
      <c r="AE139" s="409"/>
      <c r="AF139" s="409"/>
      <c r="AG139" s="409"/>
      <c r="AH139" s="409"/>
      <c r="AI139" s="409"/>
      <c r="AJ139" s="409"/>
      <c r="AK139" s="409"/>
      <c r="AL139" s="409"/>
      <c r="AM139" s="409"/>
      <c r="AN139" s="409"/>
      <c r="AO139" s="409"/>
      <c r="AP139" s="409"/>
      <c r="AQ139" s="409"/>
      <c r="AR139" s="409"/>
      <c r="AS139" s="409"/>
      <c r="AT139" s="409"/>
      <c r="AU139" s="409"/>
      <c r="AV139" s="409"/>
      <c r="AW139" s="409"/>
      <c r="AX139" s="409"/>
      <c r="AY139" s="409"/>
      <c r="AZ139" s="409"/>
      <c r="BA139" s="409"/>
      <c r="BB139" s="409"/>
      <c r="BC139" s="409"/>
      <c r="BD139" s="407"/>
      <c r="BE139" s="444"/>
      <c r="BF139" s="444"/>
      <c r="BG139" s="444"/>
      <c r="BH139" s="444"/>
      <c r="BI139" s="444"/>
      <c r="BJ139" s="444"/>
      <c r="BK139" s="444"/>
      <c r="BL139" s="444"/>
      <c r="BM139" s="444"/>
      <c r="BN139" s="444"/>
      <c r="BO139" s="444"/>
      <c r="BP139" s="444"/>
      <c r="BQ139" s="444"/>
      <c r="BR139" s="444"/>
      <c r="BS139" s="444"/>
      <c r="BT139" s="444"/>
    </row>
    <row r="140" spans="1:72" ht="15">
      <c r="A140" s="392"/>
      <c r="B140" s="392"/>
      <c r="C140" s="392"/>
      <c r="D140" s="392"/>
      <c r="E140" s="392"/>
      <c r="F140" s="392"/>
      <c r="G140" s="392"/>
      <c r="H140" s="392"/>
      <c r="I140" s="392"/>
      <c r="J140" s="392"/>
      <c r="K140" s="392"/>
      <c r="L140" s="392"/>
      <c r="M140" s="392"/>
      <c r="N140" s="392"/>
      <c r="O140" s="392"/>
      <c r="P140" s="392"/>
      <c r="Q140" s="392"/>
      <c r="R140" s="392"/>
      <c r="S140" s="409"/>
      <c r="T140" s="409"/>
      <c r="U140" s="409"/>
      <c r="V140" s="409"/>
      <c r="W140" s="392"/>
      <c r="X140" s="392"/>
      <c r="Y140" s="409"/>
      <c r="Z140" s="409"/>
      <c r="AA140" s="392"/>
      <c r="AB140" s="392"/>
      <c r="AC140" s="392"/>
      <c r="AD140" s="409"/>
      <c r="AE140" s="409"/>
      <c r="AF140" s="409"/>
      <c r="AG140" s="409"/>
      <c r="AH140" s="409"/>
      <c r="AI140" s="409"/>
      <c r="AJ140" s="409"/>
      <c r="AK140" s="409"/>
      <c r="AL140" s="409"/>
      <c r="AM140" s="409"/>
      <c r="AN140" s="409"/>
      <c r="AO140" s="409"/>
      <c r="AP140" s="409"/>
      <c r="AQ140" s="409"/>
      <c r="AR140" s="409"/>
      <c r="AS140" s="409"/>
      <c r="AT140" s="409"/>
      <c r="AU140" s="409"/>
      <c r="AV140" s="409"/>
      <c r="AW140" s="409"/>
      <c r="AX140" s="409"/>
      <c r="AY140" s="409"/>
      <c r="AZ140" s="409"/>
      <c r="BA140" s="409"/>
      <c r="BB140" s="409"/>
      <c r="BC140" s="409"/>
      <c r="BD140" s="407"/>
      <c r="BE140" s="444"/>
      <c r="BF140" s="444"/>
      <c r="BG140" s="444"/>
      <c r="BH140" s="444"/>
      <c r="BI140" s="444"/>
      <c r="BJ140" s="444"/>
      <c r="BK140" s="444"/>
      <c r="BL140" s="444"/>
      <c r="BM140" s="444"/>
      <c r="BN140" s="444"/>
      <c r="BO140" s="444"/>
      <c r="BP140" s="444"/>
      <c r="BQ140" s="444"/>
      <c r="BR140" s="444"/>
      <c r="BS140" s="444"/>
      <c r="BT140" s="444"/>
    </row>
    <row r="141" spans="1:72" ht="15">
      <c r="A141" s="392"/>
      <c r="B141" s="392"/>
      <c r="C141" s="392"/>
      <c r="D141" s="392"/>
      <c r="E141" s="392"/>
      <c r="F141" s="392"/>
      <c r="G141" s="392"/>
      <c r="H141" s="392"/>
      <c r="I141" s="392"/>
      <c r="J141" s="392"/>
      <c r="K141" s="392"/>
      <c r="L141" s="392"/>
      <c r="M141" s="392"/>
      <c r="N141" s="392"/>
      <c r="O141" s="392"/>
      <c r="P141" s="392"/>
      <c r="Q141" s="392"/>
      <c r="R141" s="392"/>
      <c r="S141" s="409"/>
      <c r="T141" s="409"/>
      <c r="U141" s="409"/>
      <c r="V141" s="409"/>
      <c r="W141" s="392"/>
      <c r="X141" s="392"/>
      <c r="Y141" s="409"/>
      <c r="Z141" s="409"/>
      <c r="AA141" s="392"/>
      <c r="AB141" s="392"/>
      <c r="AC141" s="392"/>
      <c r="AD141" s="409"/>
      <c r="AE141" s="409"/>
      <c r="AF141" s="409"/>
      <c r="AG141" s="409"/>
      <c r="AH141" s="409"/>
      <c r="AI141" s="409"/>
      <c r="AJ141" s="409"/>
      <c r="AK141" s="409"/>
      <c r="AL141" s="409"/>
      <c r="AM141" s="409"/>
      <c r="AN141" s="409"/>
      <c r="AO141" s="409"/>
      <c r="AP141" s="409"/>
      <c r="AQ141" s="409"/>
      <c r="AR141" s="409"/>
      <c r="AS141" s="409"/>
      <c r="AT141" s="409"/>
      <c r="AU141" s="409"/>
      <c r="AV141" s="409"/>
      <c r="AW141" s="409"/>
      <c r="AX141" s="409"/>
      <c r="AY141" s="409"/>
      <c r="AZ141" s="409"/>
      <c r="BA141" s="409"/>
      <c r="BB141" s="409"/>
      <c r="BC141" s="409"/>
      <c r="BD141" s="407"/>
      <c r="BE141" s="444"/>
      <c r="BF141" s="444"/>
      <c r="BG141" s="444"/>
      <c r="BH141" s="444"/>
      <c r="BI141" s="444"/>
      <c r="BJ141" s="444"/>
      <c r="BK141" s="444"/>
      <c r="BL141" s="444"/>
      <c r="BM141" s="444"/>
      <c r="BN141" s="444"/>
      <c r="BO141" s="444"/>
      <c r="BP141" s="444"/>
      <c r="BQ141" s="444"/>
      <c r="BR141" s="444"/>
      <c r="BS141" s="444"/>
      <c r="BT141" s="444"/>
    </row>
    <row r="142" spans="1:72" ht="15">
      <c r="A142" s="392"/>
      <c r="B142" s="392"/>
      <c r="C142" s="392"/>
      <c r="D142" s="392"/>
      <c r="E142" s="392"/>
      <c r="F142" s="392"/>
      <c r="G142" s="392"/>
      <c r="H142" s="392"/>
      <c r="I142" s="392"/>
      <c r="J142" s="392"/>
      <c r="K142" s="392"/>
      <c r="L142" s="392"/>
      <c r="M142" s="392"/>
      <c r="N142" s="392"/>
      <c r="O142" s="392"/>
      <c r="P142" s="392"/>
      <c r="Q142" s="392"/>
      <c r="R142" s="392"/>
      <c r="S142" s="409"/>
      <c r="T142" s="409"/>
      <c r="U142" s="409"/>
      <c r="V142" s="409"/>
      <c r="W142" s="392"/>
      <c r="X142" s="392"/>
      <c r="Y142" s="409"/>
      <c r="Z142" s="409"/>
      <c r="AA142" s="392"/>
      <c r="AB142" s="392"/>
      <c r="AC142" s="392"/>
      <c r="AD142" s="409"/>
      <c r="AE142" s="409"/>
      <c r="AF142" s="409"/>
      <c r="AG142" s="409"/>
      <c r="AH142" s="409"/>
      <c r="AI142" s="409"/>
      <c r="AJ142" s="409"/>
      <c r="AK142" s="409"/>
      <c r="AL142" s="409"/>
      <c r="AM142" s="409"/>
      <c r="AN142" s="409"/>
      <c r="AO142" s="409"/>
      <c r="AP142" s="409"/>
      <c r="AQ142" s="409"/>
      <c r="AR142" s="409"/>
      <c r="AS142" s="409"/>
      <c r="AT142" s="409"/>
      <c r="AU142" s="409"/>
      <c r="AV142" s="409"/>
      <c r="AW142" s="409"/>
      <c r="AX142" s="409"/>
      <c r="AY142" s="409"/>
      <c r="AZ142" s="409"/>
      <c r="BA142" s="409"/>
      <c r="BB142" s="409"/>
      <c r="BC142" s="409"/>
      <c r="BD142" s="407"/>
      <c r="BE142" s="444"/>
      <c r="BF142" s="444"/>
      <c r="BG142" s="444"/>
      <c r="BH142" s="444"/>
      <c r="BI142" s="444"/>
      <c r="BJ142" s="444"/>
      <c r="BK142" s="444"/>
      <c r="BL142" s="444"/>
      <c r="BM142" s="444"/>
      <c r="BN142" s="444"/>
      <c r="BO142" s="444"/>
      <c r="BP142" s="444"/>
      <c r="BQ142" s="444"/>
      <c r="BR142" s="444"/>
      <c r="BS142" s="444"/>
      <c r="BT142" s="444"/>
    </row>
    <row r="143" spans="1:72" ht="15">
      <c r="A143" s="392"/>
      <c r="B143" s="392"/>
      <c r="C143" s="392"/>
      <c r="D143" s="392"/>
      <c r="E143" s="392"/>
      <c r="F143" s="392"/>
      <c r="G143" s="392"/>
      <c r="H143" s="392"/>
      <c r="I143" s="392"/>
      <c r="J143" s="392"/>
      <c r="K143" s="392"/>
      <c r="L143" s="392"/>
      <c r="M143" s="392"/>
      <c r="N143" s="392"/>
      <c r="O143" s="392"/>
      <c r="P143" s="392"/>
      <c r="Q143" s="392"/>
      <c r="R143" s="392"/>
      <c r="S143" s="409"/>
      <c r="T143" s="409"/>
      <c r="U143" s="409"/>
      <c r="V143" s="409"/>
      <c r="W143" s="392"/>
      <c r="X143" s="392"/>
      <c r="Y143" s="409"/>
      <c r="Z143" s="409"/>
      <c r="AA143" s="392"/>
      <c r="AB143" s="392"/>
      <c r="AC143" s="392"/>
      <c r="AD143" s="409"/>
      <c r="AE143" s="409"/>
      <c r="AF143" s="409"/>
      <c r="AG143" s="409"/>
      <c r="AH143" s="409"/>
      <c r="AI143" s="409"/>
      <c r="AJ143" s="409"/>
      <c r="AK143" s="409"/>
      <c r="AL143" s="409"/>
      <c r="AM143" s="409"/>
      <c r="AN143" s="409"/>
      <c r="AO143" s="409"/>
      <c r="AP143" s="409"/>
      <c r="AQ143" s="409"/>
      <c r="AR143" s="409"/>
      <c r="AS143" s="409"/>
      <c r="AT143" s="409"/>
      <c r="AU143" s="409"/>
      <c r="AV143" s="409"/>
      <c r="AW143" s="409"/>
      <c r="AX143" s="409"/>
      <c r="AY143" s="409"/>
      <c r="AZ143" s="409"/>
      <c r="BA143" s="409"/>
      <c r="BB143" s="409"/>
      <c r="BC143" s="409"/>
      <c r="BD143" s="407"/>
      <c r="BE143" s="444"/>
      <c r="BF143" s="444"/>
      <c r="BG143" s="444"/>
      <c r="BH143" s="444"/>
      <c r="BI143" s="444"/>
      <c r="BJ143" s="444"/>
      <c r="BK143" s="444"/>
      <c r="BL143" s="444"/>
      <c r="BM143" s="444"/>
      <c r="BN143" s="444"/>
      <c r="BO143" s="444"/>
      <c r="BP143" s="444"/>
      <c r="BQ143" s="444"/>
      <c r="BR143" s="444"/>
      <c r="BS143" s="444"/>
      <c r="BT143" s="444"/>
    </row>
    <row r="144" spans="1:72" ht="15">
      <c r="A144" s="392"/>
      <c r="B144" s="392"/>
      <c r="C144" s="392"/>
      <c r="D144" s="392"/>
      <c r="E144" s="392"/>
      <c r="F144" s="392"/>
      <c r="G144" s="392"/>
      <c r="H144" s="392"/>
      <c r="I144" s="392"/>
      <c r="J144" s="392"/>
      <c r="K144" s="392"/>
      <c r="L144" s="392"/>
      <c r="M144" s="392"/>
      <c r="N144" s="392"/>
      <c r="O144" s="392"/>
      <c r="P144" s="392"/>
      <c r="Q144" s="392"/>
      <c r="R144" s="392"/>
      <c r="S144" s="409"/>
      <c r="T144" s="409"/>
      <c r="U144" s="409"/>
      <c r="V144" s="409"/>
      <c r="W144" s="392"/>
      <c r="X144" s="392"/>
      <c r="Y144" s="409"/>
      <c r="Z144" s="409"/>
      <c r="AA144" s="392"/>
      <c r="AB144" s="392"/>
      <c r="AC144" s="392"/>
      <c r="AD144" s="409"/>
      <c r="AE144" s="409"/>
      <c r="AF144" s="409"/>
      <c r="AG144" s="409"/>
      <c r="AH144" s="409"/>
      <c r="AI144" s="409"/>
      <c r="AJ144" s="409"/>
      <c r="AK144" s="409"/>
      <c r="AL144" s="409"/>
      <c r="AM144" s="409"/>
      <c r="AN144" s="409"/>
      <c r="AO144" s="409"/>
      <c r="AP144" s="409"/>
      <c r="AQ144" s="409"/>
      <c r="AR144" s="409"/>
      <c r="AS144" s="409"/>
      <c r="AT144" s="409"/>
      <c r="AU144" s="409"/>
      <c r="AV144" s="409"/>
      <c r="AW144" s="409"/>
      <c r="AX144" s="409"/>
      <c r="AY144" s="409"/>
      <c r="AZ144" s="409"/>
      <c r="BA144" s="409"/>
      <c r="BB144" s="409"/>
      <c r="BC144" s="409"/>
      <c r="BD144" s="407"/>
      <c r="BE144" s="444"/>
      <c r="BF144" s="444"/>
      <c r="BG144" s="444"/>
      <c r="BH144" s="444"/>
      <c r="BI144" s="444"/>
      <c r="BJ144" s="444"/>
      <c r="BK144" s="444"/>
      <c r="BL144" s="444"/>
      <c r="BM144" s="444"/>
      <c r="BN144" s="444"/>
      <c r="BO144" s="444"/>
      <c r="BP144" s="444"/>
      <c r="BQ144" s="444"/>
      <c r="BR144" s="444"/>
      <c r="BS144" s="444"/>
      <c r="BT144" s="444"/>
    </row>
    <row r="145" spans="1:72" ht="15">
      <c r="A145" s="392"/>
      <c r="B145" s="392"/>
      <c r="C145" s="392"/>
      <c r="D145" s="392"/>
      <c r="E145" s="392"/>
      <c r="F145" s="392"/>
      <c r="G145" s="392"/>
      <c r="H145" s="392"/>
      <c r="I145" s="392"/>
      <c r="J145" s="392"/>
      <c r="K145" s="392"/>
      <c r="L145" s="392"/>
      <c r="M145" s="392"/>
      <c r="N145" s="392"/>
      <c r="O145" s="392"/>
      <c r="P145" s="392"/>
      <c r="Q145" s="392"/>
      <c r="R145" s="392"/>
      <c r="S145" s="409"/>
      <c r="T145" s="409"/>
      <c r="U145" s="409"/>
      <c r="V145" s="409"/>
      <c r="W145" s="392"/>
      <c r="X145" s="392"/>
      <c r="Y145" s="409"/>
      <c r="Z145" s="409"/>
      <c r="AA145" s="392"/>
      <c r="AB145" s="392"/>
      <c r="AC145" s="392"/>
      <c r="AD145" s="409"/>
      <c r="AE145" s="409"/>
      <c r="AF145" s="409"/>
      <c r="AG145" s="409"/>
      <c r="AH145" s="409"/>
      <c r="AI145" s="409"/>
      <c r="AJ145" s="409"/>
      <c r="AK145" s="409"/>
      <c r="AL145" s="409"/>
      <c r="AM145" s="409"/>
      <c r="AN145" s="409"/>
      <c r="AO145" s="409"/>
      <c r="AP145" s="409"/>
      <c r="AQ145" s="409"/>
      <c r="AR145" s="409"/>
      <c r="AS145" s="409"/>
      <c r="AT145" s="409"/>
      <c r="AU145" s="409"/>
      <c r="AV145" s="409"/>
      <c r="AW145" s="409"/>
      <c r="AX145" s="409"/>
      <c r="AY145" s="409"/>
      <c r="AZ145" s="409"/>
      <c r="BA145" s="409"/>
      <c r="BB145" s="409"/>
      <c r="BC145" s="409"/>
      <c r="BD145" s="407"/>
      <c r="BE145" s="444"/>
      <c r="BF145" s="444"/>
      <c r="BG145" s="444"/>
      <c r="BH145" s="444"/>
      <c r="BI145" s="444"/>
      <c r="BJ145" s="444"/>
      <c r="BK145" s="444"/>
      <c r="BL145" s="444"/>
      <c r="BM145" s="444"/>
      <c r="BN145" s="444"/>
      <c r="BO145" s="444"/>
      <c r="BP145" s="444"/>
      <c r="BQ145" s="444"/>
      <c r="BR145" s="444"/>
      <c r="BS145" s="444"/>
      <c r="BT145" s="444"/>
    </row>
    <row r="146" spans="1:72" ht="15">
      <c r="A146" s="392"/>
      <c r="B146" s="392"/>
      <c r="C146" s="392"/>
      <c r="D146" s="392"/>
      <c r="E146" s="392"/>
      <c r="F146" s="392"/>
      <c r="G146" s="392"/>
      <c r="H146" s="392"/>
      <c r="I146" s="392"/>
      <c r="J146" s="392"/>
      <c r="K146" s="392"/>
      <c r="L146" s="392"/>
      <c r="M146" s="392"/>
      <c r="N146" s="392"/>
      <c r="O146" s="392"/>
      <c r="P146" s="392"/>
      <c r="Q146" s="392"/>
      <c r="R146" s="392"/>
      <c r="S146" s="409"/>
      <c r="T146" s="409"/>
      <c r="U146" s="409"/>
      <c r="V146" s="409"/>
      <c r="W146" s="392"/>
      <c r="X146" s="392"/>
      <c r="Y146" s="409"/>
      <c r="Z146" s="409"/>
      <c r="AA146" s="392"/>
      <c r="AB146" s="392"/>
      <c r="AC146" s="392"/>
      <c r="AD146" s="409"/>
      <c r="AE146" s="409"/>
      <c r="AF146" s="409"/>
      <c r="AG146" s="409"/>
      <c r="AH146" s="409"/>
      <c r="AI146" s="409"/>
      <c r="AJ146" s="409"/>
      <c r="AK146" s="409"/>
      <c r="AL146" s="409"/>
      <c r="AM146" s="409"/>
      <c r="AN146" s="409"/>
      <c r="AO146" s="409"/>
      <c r="AP146" s="409"/>
      <c r="AQ146" s="409"/>
      <c r="AR146" s="409"/>
      <c r="AS146" s="409"/>
      <c r="AT146" s="409"/>
      <c r="AU146" s="409"/>
      <c r="AV146" s="409"/>
      <c r="AW146" s="409"/>
      <c r="AX146" s="409"/>
      <c r="AY146" s="409"/>
      <c r="AZ146" s="409"/>
      <c r="BA146" s="409"/>
      <c r="BB146" s="409"/>
      <c r="BC146" s="409"/>
      <c r="BD146" s="407"/>
      <c r="BE146" s="444"/>
      <c r="BF146" s="444"/>
      <c r="BG146" s="444"/>
      <c r="BH146" s="444"/>
      <c r="BI146" s="444"/>
      <c r="BJ146" s="444"/>
      <c r="BK146" s="444"/>
      <c r="BL146" s="444"/>
      <c r="BM146" s="444"/>
      <c r="BN146" s="444"/>
      <c r="BO146" s="444"/>
      <c r="BP146" s="444"/>
      <c r="BQ146" s="444"/>
      <c r="BR146" s="444"/>
      <c r="BS146" s="444"/>
      <c r="BT146" s="444"/>
    </row>
    <row r="147" spans="1:72" ht="15">
      <c r="A147" s="392"/>
      <c r="B147" s="392"/>
      <c r="C147" s="392"/>
      <c r="D147" s="392"/>
      <c r="E147" s="392"/>
      <c r="F147" s="392"/>
      <c r="G147" s="392"/>
      <c r="H147" s="392"/>
      <c r="I147" s="392"/>
      <c r="J147" s="392"/>
      <c r="K147" s="392"/>
      <c r="L147" s="392"/>
      <c r="M147" s="392"/>
      <c r="N147" s="392"/>
      <c r="O147" s="392"/>
      <c r="P147" s="392"/>
      <c r="Q147" s="392"/>
      <c r="R147" s="392"/>
      <c r="S147" s="409"/>
      <c r="T147" s="409"/>
      <c r="U147" s="409"/>
      <c r="V147" s="409"/>
      <c r="W147" s="392"/>
      <c r="X147" s="392"/>
      <c r="Y147" s="409"/>
      <c r="Z147" s="409"/>
      <c r="AA147" s="392"/>
      <c r="AB147" s="392"/>
      <c r="AC147" s="392"/>
      <c r="AD147" s="409"/>
      <c r="AE147" s="409"/>
      <c r="AF147" s="409"/>
      <c r="AG147" s="409"/>
      <c r="AH147" s="409"/>
      <c r="AI147" s="409"/>
      <c r="AJ147" s="409"/>
      <c r="AK147" s="409"/>
      <c r="AL147" s="409"/>
      <c r="AM147" s="409"/>
      <c r="AN147" s="409"/>
      <c r="AO147" s="409"/>
      <c r="AP147" s="409"/>
      <c r="AQ147" s="409"/>
      <c r="AR147" s="409"/>
      <c r="AS147" s="409"/>
      <c r="AT147" s="409"/>
      <c r="AU147" s="409"/>
      <c r="AV147" s="409"/>
      <c r="AW147" s="409"/>
      <c r="AX147" s="409"/>
      <c r="AY147" s="409"/>
      <c r="AZ147" s="409"/>
      <c r="BA147" s="409"/>
      <c r="BB147" s="409"/>
      <c r="BC147" s="409"/>
      <c r="BD147" s="407"/>
      <c r="BE147" s="444"/>
      <c r="BF147" s="444"/>
      <c r="BG147" s="444"/>
      <c r="BH147" s="444"/>
      <c r="BI147" s="444"/>
      <c r="BJ147" s="444"/>
      <c r="BK147" s="444"/>
      <c r="BL147" s="444"/>
      <c r="BM147" s="444"/>
      <c r="BN147" s="444"/>
      <c r="BO147" s="444"/>
      <c r="BP147" s="444"/>
      <c r="BQ147" s="444"/>
      <c r="BR147" s="444"/>
      <c r="BS147" s="444"/>
      <c r="BT147" s="444"/>
    </row>
    <row r="148" spans="1:72" ht="15">
      <c r="A148" s="392"/>
      <c r="B148" s="392"/>
      <c r="C148" s="392"/>
      <c r="D148" s="392"/>
      <c r="E148" s="392"/>
      <c r="F148" s="392"/>
      <c r="G148" s="392"/>
      <c r="H148" s="392"/>
      <c r="I148" s="392"/>
      <c r="J148" s="392"/>
      <c r="K148" s="392"/>
      <c r="L148" s="392"/>
      <c r="M148" s="392"/>
      <c r="N148" s="392"/>
      <c r="O148" s="392"/>
      <c r="P148" s="392"/>
      <c r="Q148" s="392"/>
      <c r="R148" s="392"/>
      <c r="S148" s="409"/>
      <c r="T148" s="409"/>
      <c r="U148" s="409"/>
      <c r="V148" s="409"/>
      <c r="W148" s="392"/>
      <c r="X148" s="392"/>
      <c r="Y148" s="409"/>
      <c r="Z148" s="409"/>
      <c r="AA148" s="392"/>
      <c r="AB148" s="392"/>
      <c r="AC148" s="392"/>
      <c r="AD148" s="409"/>
      <c r="AE148" s="409"/>
      <c r="AF148" s="409"/>
      <c r="AG148" s="409"/>
      <c r="AH148" s="409"/>
      <c r="AI148" s="409"/>
      <c r="AJ148" s="409"/>
      <c r="AK148" s="409"/>
      <c r="AL148" s="409"/>
      <c r="AM148" s="409"/>
      <c r="AN148" s="409"/>
      <c r="AO148" s="409"/>
      <c r="AP148" s="409"/>
      <c r="AQ148" s="409"/>
      <c r="AR148" s="409"/>
      <c r="AS148" s="409"/>
      <c r="AT148" s="409"/>
      <c r="AU148" s="409"/>
      <c r="AV148" s="409"/>
      <c r="AW148" s="409"/>
      <c r="AX148" s="409"/>
      <c r="AY148" s="409"/>
      <c r="AZ148" s="409"/>
      <c r="BA148" s="409"/>
      <c r="BB148" s="409"/>
      <c r="BC148" s="409"/>
      <c r="BD148" s="407"/>
      <c r="BE148" s="444"/>
      <c r="BF148" s="444"/>
      <c r="BG148" s="444"/>
      <c r="BH148" s="444"/>
      <c r="BI148" s="444"/>
      <c r="BJ148" s="444"/>
      <c r="BK148" s="444"/>
      <c r="BL148" s="444"/>
      <c r="BM148" s="444"/>
      <c r="BN148" s="444"/>
      <c r="BO148" s="444"/>
      <c r="BP148" s="444"/>
      <c r="BQ148" s="444"/>
      <c r="BR148" s="444"/>
      <c r="BS148" s="444"/>
      <c r="BT148" s="444"/>
    </row>
    <row r="149" spans="1:72" ht="15">
      <c r="A149" s="392"/>
      <c r="B149" s="392"/>
      <c r="C149" s="392"/>
      <c r="D149" s="392"/>
      <c r="E149" s="392"/>
      <c r="F149" s="392"/>
      <c r="G149" s="392"/>
      <c r="H149" s="392"/>
      <c r="I149" s="392"/>
      <c r="J149" s="392"/>
      <c r="K149" s="392"/>
      <c r="L149" s="392"/>
      <c r="M149" s="392"/>
      <c r="N149" s="392"/>
      <c r="O149" s="392"/>
      <c r="P149" s="392"/>
      <c r="Q149" s="392"/>
      <c r="R149" s="392"/>
      <c r="S149" s="409"/>
      <c r="T149" s="409"/>
      <c r="U149" s="409"/>
      <c r="V149" s="409"/>
      <c r="W149" s="392"/>
      <c r="X149" s="392"/>
      <c r="Y149" s="409"/>
      <c r="Z149" s="409"/>
      <c r="AA149" s="392"/>
      <c r="AB149" s="392"/>
      <c r="AC149" s="392"/>
      <c r="AD149" s="409"/>
      <c r="AE149" s="409"/>
      <c r="AF149" s="409"/>
      <c r="AG149" s="409"/>
      <c r="AH149" s="409"/>
      <c r="AI149" s="409"/>
      <c r="AJ149" s="409"/>
      <c r="AK149" s="409"/>
      <c r="AL149" s="409"/>
      <c r="AM149" s="409"/>
      <c r="AN149" s="409"/>
      <c r="AO149" s="409"/>
      <c r="AP149" s="409"/>
      <c r="AQ149" s="409"/>
      <c r="AR149" s="409"/>
      <c r="AS149" s="409"/>
      <c r="AT149" s="409"/>
      <c r="AU149" s="409"/>
      <c r="AV149" s="409"/>
      <c r="AW149" s="409"/>
      <c r="AX149" s="409"/>
      <c r="AY149" s="409"/>
      <c r="AZ149" s="409"/>
      <c r="BA149" s="409"/>
      <c r="BB149" s="409"/>
      <c r="BC149" s="409"/>
      <c r="BD149" s="407"/>
      <c r="BE149" s="444"/>
      <c r="BF149" s="444"/>
      <c r="BG149" s="444"/>
      <c r="BH149" s="444"/>
      <c r="BI149" s="444"/>
      <c r="BJ149" s="444"/>
      <c r="BK149" s="444"/>
      <c r="BL149" s="444"/>
      <c r="BM149" s="444"/>
      <c r="BN149" s="444"/>
      <c r="BO149" s="444"/>
      <c r="BP149" s="444"/>
      <c r="BQ149" s="444"/>
      <c r="BR149" s="444"/>
      <c r="BS149" s="444"/>
      <c r="BT149" s="444"/>
    </row>
    <row r="150" spans="1:72" ht="15">
      <c r="A150" s="392"/>
      <c r="B150" s="392"/>
      <c r="C150" s="392"/>
      <c r="D150" s="392"/>
      <c r="E150" s="392"/>
      <c r="F150" s="392"/>
      <c r="G150" s="392"/>
      <c r="H150" s="392"/>
      <c r="I150" s="392"/>
      <c r="J150" s="392"/>
      <c r="K150" s="392"/>
      <c r="L150" s="392"/>
      <c r="M150" s="392"/>
      <c r="N150" s="392"/>
      <c r="O150" s="392"/>
      <c r="P150" s="392"/>
      <c r="Q150" s="392"/>
      <c r="R150" s="392"/>
      <c r="S150" s="409"/>
      <c r="T150" s="409"/>
      <c r="U150" s="409"/>
      <c r="V150" s="409"/>
      <c r="W150" s="392"/>
      <c r="X150" s="392"/>
      <c r="Y150" s="409"/>
      <c r="Z150" s="409"/>
      <c r="AA150" s="392"/>
      <c r="AB150" s="392"/>
      <c r="AC150" s="392"/>
      <c r="AD150" s="409"/>
      <c r="AE150" s="409"/>
      <c r="AF150" s="409"/>
      <c r="AG150" s="409"/>
      <c r="AH150" s="409"/>
      <c r="AI150" s="409"/>
      <c r="AJ150" s="409"/>
      <c r="AK150" s="409"/>
      <c r="AL150" s="409"/>
      <c r="AM150" s="409"/>
      <c r="AN150" s="409"/>
      <c r="AO150" s="409"/>
      <c r="AP150" s="409"/>
      <c r="AQ150" s="409"/>
      <c r="AR150" s="409"/>
      <c r="AS150" s="409"/>
      <c r="AT150" s="409"/>
      <c r="AU150" s="409"/>
      <c r="AV150" s="409"/>
      <c r="AW150" s="409"/>
      <c r="AX150" s="409"/>
      <c r="AY150" s="409"/>
      <c r="AZ150" s="409"/>
      <c r="BA150" s="409"/>
      <c r="BB150" s="409"/>
      <c r="BC150" s="409"/>
      <c r="BD150" s="407"/>
      <c r="BE150" s="444"/>
      <c r="BF150" s="444"/>
      <c r="BG150" s="444"/>
      <c r="BH150" s="444"/>
      <c r="BI150" s="444"/>
      <c r="BJ150" s="444"/>
      <c r="BK150" s="444"/>
      <c r="BL150" s="444"/>
      <c r="BM150" s="444"/>
      <c r="BN150" s="444"/>
      <c r="BO150" s="444"/>
      <c r="BP150" s="444"/>
      <c r="BQ150" s="444"/>
      <c r="BR150" s="444"/>
      <c r="BS150" s="444"/>
      <c r="BT150" s="444"/>
    </row>
    <row r="151" spans="1:72" ht="15">
      <c r="A151" s="392"/>
      <c r="B151" s="392"/>
      <c r="C151" s="392"/>
      <c r="D151" s="392"/>
      <c r="E151" s="392"/>
      <c r="F151" s="392"/>
      <c r="G151" s="392"/>
      <c r="H151" s="392"/>
      <c r="I151" s="392"/>
      <c r="J151" s="392"/>
      <c r="K151" s="392"/>
      <c r="L151" s="392"/>
      <c r="M151" s="392"/>
      <c r="N151" s="392"/>
      <c r="O151" s="392"/>
      <c r="P151" s="392"/>
      <c r="Q151" s="392"/>
      <c r="R151" s="392"/>
      <c r="S151" s="409"/>
      <c r="T151" s="409"/>
      <c r="U151" s="409"/>
      <c r="V151" s="409"/>
      <c r="W151" s="392"/>
      <c r="X151" s="392"/>
      <c r="Y151" s="409"/>
      <c r="Z151" s="409"/>
      <c r="AA151" s="392"/>
      <c r="AB151" s="392"/>
      <c r="AC151" s="392"/>
      <c r="AD151" s="409"/>
      <c r="AE151" s="409"/>
      <c r="AF151" s="409"/>
      <c r="AG151" s="409"/>
      <c r="AH151" s="409"/>
      <c r="AI151" s="409"/>
      <c r="AJ151" s="409"/>
      <c r="AK151" s="409"/>
      <c r="AL151" s="409"/>
      <c r="AM151" s="409"/>
      <c r="AN151" s="409"/>
      <c r="AO151" s="409"/>
      <c r="AP151" s="409"/>
      <c r="AQ151" s="409"/>
      <c r="AR151" s="409"/>
      <c r="AS151" s="409"/>
      <c r="AT151" s="409"/>
      <c r="AU151" s="409"/>
      <c r="AV151" s="409"/>
      <c r="AW151" s="409"/>
      <c r="AX151" s="409"/>
      <c r="AY151" s="409"/>
      <c r="AZ151" s="409"/>
      <c r="BA151" s="409"/>
      <c r="BB151" s="409"/>
      <c r="BC151" s="409"/>
      <c r="BD151" s="407"/>
      <c r="BE151" s="444"/>
      <c r="BF151" s="444"/>
      <c r="BG151" s="444"/>
      <c r="BH151" s="444"/>
      <c r="BI151" s="444"/>
      <c r="BJ151" s="444"/>
      <c r="BK151" s="444"/>
      <c r="BL151" s="444"/>
      <c r="BM151" s="444"/>
      <c r="BN151" s="444"/>
      <c r="BO151" s="444"/>
      <c r="BP151" s="444"/>
      <c r="BQ151" s="444"/>
      <c r="BR151" s="444"/>
      <c r="BS151" s="444"/>
      <c r="BT151" s="444"/>
    </row>
    <row r="152" spans="1:72" ht="15">
      <c r="A152" s="392"/>
      <c r="B152" s="392"/>
      <c r="C152" s="392"/>
      <c r="D152" s="392"/>
      <c r="E152" s="392"/>
      <c r="F152" s="392"/>
      <c r="G152" s="392"/>
      <c r="H152" s="392"/>
      <c r="I152" s="392"/>
      <c r="J152" s="392"/>
      <c r="K152" s="392"/>
      <c r="L152" s="392"/>
      <c r="M152" s="392"/>
      <c r="N152" s="392"/>
      <c r="O152" s="392"/>
      <c r="P152" s="392"/>
      <c r="Q152" s="392"/>
      <c r="R152" s="392"/>
      <c r="S152" s="409"/>
      <c r="T152" s="409"/>
      <c r="U152" s="409"/>
      <c r="V152" s="409"/>
      <c r="W152" s="392"/>
      <c r="X152" s="392"/>
      <c r="Y152" s="409"/>
      <c r="Z152" s="409"/>
      <c r="AA152" s="392"/>
      <c r="AB152" s="392"/>
      <c r="AC152" s="392"/>
      <c r="AD152" s="409"/>
      <c r="AE152" s="409"/>
      <c r="AF152" s="409"/>
      <c r="AG152" s="409"/>
      <c r="AH152" s="409"/>
      <c r="AI152" s="409"/>
      <c r="AJ152" s="409"/>
      <c r="AK152" s="409"/>
      <c r="AL152" s="409"/>
      <c r="AM152" s="409"/>
      <c r="AN152" s="409"/>
      <c r="AO152" s="409"/>
      <c r="AP152" s="409"/>
      <c r="AQ152" s="409"/>
      <c r="AR152" s="409"/>
      <c r="AS152" s="409"/>
      <c r="AT152" s="409"/>
      <c r="AU152" s="409"/>
      <c r="AV152" s="409"/>
      <c r="AW152" s="409"/>
      <c r="AX152" s="409"/>
      <c r="AY152" s="409"/>
      <c r="AZ152" s="409"/>
      <c r="BA152" s="409"/>
      <c r="BB152" s="409"/>
      <c r="BC152" s="409"/>
      <c r="BD152" s="407"/>
      <c r="BE152" s="444"/>
      <c r="BF152" s="444"/>
      <c r="BG152" s="444"/>
      <c r="BH152" s="444"/>
      <c r="BI152" s="444"/>
      <c r="BJ152" s="444"/>
      <c r="BK152" s="444"/>
      <c r="BL152" s="444"/>
      <c r="BM152" s="444"/>
      <c r="BN152" s="444"/>
      <c r="BO152" s="444"/>
      <c r="BP152" s="444"/>
      <c r="BQ152" s="444"/>
      <c r="BR152" s="444"/>
      <c r="BS152" s="444"/>
      <c r="BT152" s="444"/>
    </row>
    <row r="153" spans="1:72" ht="15">
      <c r="A153" s="392"/>
      <c r="B153" s="392"/>
      <c r="C153" s="392"/>
      <c r="D153" s="392"/>
      <c r="E153" s="392"/>
      <c r="F153" s="392"/>
      <c r="G153" s="392"/>
      <c r="H153" s="392"/>
      <c r="I153" s="392"/>
      <c r="J153" s="392"/>
      <c r="K153" s="392"/>
      <c r="L153" s="392"/>
      <c r="M153" s="392"/>
      <c r="N153" s="392"/>
      <c r="O153" s="392"/>
      <c r="P153" s="392"/>
      <c r="Q153" s="392"/>
      <c r="R153" s="392"/>
      <c r="S153" s="409"/>
      <c r="T153" s="409"/>
      <c r="U153" s="409"/>
      <c r="V153" s="409"/>
      <c r="W153" s="392"/>
      <c r="X153" s="392"/>
      <c r="Y153" s="409"/>
      <c r="Z153" s="409"/>
      <c r="AA153" s="392"/>
      <c r="AB153" s="392"/>
      <c r="AC153" s="392"/>
      <c r="AD153" s="409"/>
      <c r="AE153" s="409"/>
      <c r="AF153" s="409"/>
      <c r="AG153" s="409"/>
      <c r="AH153" s="409"/>
      <c r="AI153" s="409"/>
      <c r="AJ153" s="409"/>
      <c r="AK153" s="409"/>
      <c r="AL153" s="409"/>
      <c r="AM153" s="409"/>
      <c r="AN153" s="409"/>
      <c r="AO153" s="409"/>
      <c r="AP153" s="409"/>
      <c r="AQ153" s="409"/>
      <c r="AR153" s="409"/>
      <c r="AS153" s="409"/>
      <c r="AT153" s="409"/>
      <c r="AU153" s="409"/>
      <c r="AV153" s="409"/>
      <c r="AW153" s="409"/>
      <c r="AX153" s="409"/>
      <c r="AY153" s="409"/>
      <c r="AZ153" s="409"/>
      <c r="BA153" s="409"/>
      <c r="BB153" s="409"/>
      <c r="BC153" s="409"/>
      <c r="BD153" s="407"/>
      <c r="BE153" s="444"/>
      <c r="BF153" s="444"/>
      <c r="BG153" s="444"/>
      <c r="BH153" s="444"/>
      <c r="BI153" s="444"/>
      <c r="BJ153" s="444"/>
      <c r="BK153" s="444"/>
      <c r="BL153" s="444"/>
      <c r="BM153" s="444"/>
      <c r="BN153" s="444"/>
      <c r="BO153" s="444"/>
      <c r="BP153" s="444"/>
      <c r="BQ153" s="444"/>
      <c r="BR153" s="444"/>
      <c r="BS153" s="444"/>
      <c r="BT153" s="444"/>
    </row>
    <row r="154" spans="1:72" ht="15">
      <c r="A154" s="392"/>
      <c r="B154" s="392"/>
      <c r="C154" s="392"/>
      <c r="D154" s="392"/>
      <c r="E154" s="392"/>
      <c r="F154" s="392"/>
      <c r="G154" s="392"/>
      <c r="H154" s="392"/>
      <c r="I154" s="392"/>
      <c r="J154" s="392"/>
      <c r="K154" s="392"/>
      <c r="L154" s="392"/>
      <c r="M154" s="392"/>
      <c r="N154" s="392"/>
      <c r="O154" s="392"/>
      <c r="P154" s="392"/>
      <c r="Q154" s="392"/>
      <c r="R154" s="392"/>
      <c r="S154" s="409"/>
      <c r="T154" s="409"/>
      <c r="U154" s="409"/>
      <c r="V154" s="409"/>
      <c r="W154" s="392"/>
      <c r="X154" s="392"/>
      <c r="Y154" s="409"/>
      <c r="Z154" s="409"/>
      <c r="AA154" s="392"/>
      <c r="AB154" s="392"/>
      <c r="AC154" s="392"/>
      <c r="AD154" s="409"/>
      <c r="AE154" s="409"/>
      <c r="AF154" s="409"/>
      <c r="AG154" s="409"/>
      <c r="AH154" s="409"/>
      <c r="AI154" s="409"/>
      <c r="AJ154" s="409"/>
      <c r="AK154" s="409"/>
      <c r="AL154" s="409"/>
      <c r="AM154" s="409"/>
      <c r="AN154" s="409"/>
      <c r="AO154" s="409"/>
      <c r="AP154" s="409"/>
      <c r="AQ154" s="409"/>
      <c r="AR154" s="409"/>
      <c r="AS154" s="409"/>
      <c r="AT154" s="409"/>
      <c r="AU154" s="409"/>
      <c r="AV154" s="409"/>
      <c r="AW154" s="409"/>
      <c r="AX154" s="409"/>
      <c r="AY154" s="409"/>
      <c r="AZ154" s="409"/>
      <c r="BA154" s="409"/>
      <c r="BB154" s="409"/>
      <c r="BC154" s="409"/>
      <c r="BD154" s="407"/>
      <c r="BE154" s="444"/>
      <c r="BF154" s="444"/>
      <c r="BG154" s="444"/>
      <c r="BH154" s="444"/>
      <c r="BI154" s="444"/>
      <c r="BJ154" s="444"/>
      <c r="BK154" s="444"/>
      <c r="BL154" s="444"/>
      <c r="BM154" s="444"/>
      <c r="BN154" s="444"/>
      <c r="BO154" s="444"/>
      <c r="BP154" s="444"/>
      <c r="BQ154" s="444"/>
      <c r="BR154" s="444"/>
      <c r="BS154" s="444"/>
      <c r="BT154" s="444"/>
    </row>
    <row r="155" spans="1:72" ht="15">
      <c r="A155" s="392"/>
      <c r="B155" s="392"/>
      <c r="C155" s="392"/>
      <c r="D155" s="392"/>
      <c r="E155" s="392"/>
      <c r="F155" s="392"/>
      <c r="G155" s="392"/>
      <c r="H155" s="392"/>
      <c r="I155" s="392"/>
      <c r="J155" s="392"/>
      <c r="K155" s="392"/>
      <c r="L155" s="392"/>
      <c r="M155" s="392"/>
      <c r="N155" s="392"/>
      <c r="O155" s="392"/>
      <c r="P155" s="392"/>
      <c r="Q155" s="392"/>
      <c r="R155" s="392"/>
      <c r="S155" s="409"/>
      <c r="T155" s="409"/>
      <c r="U155" s="409"/>
      <c r="V155" s="409"/>
      <c r="W155" s="392"/>
      <c r="X155" s="392"/>
      <c r="Y155" s="409"/>
      <c r="Z155" s="409"/>
      <c r="AA155" s="392"/>
      <c r="AB155" s="392"/>
      <c r="AC155" s="392"/>
      <c r="AD155" s="409"/>
      <c r="AE155" s="409"/>
      <c r="AF155" s="409"/>
      <c r="AG155" s="409"/>
      <c r="AH155" s="409"/>
      <c r="AI155" s="409"/>
      <c r="AJ155" s="409"/>
      <c r="AK155" s="409"/>
      <c r="AL155" s="409"/>
      <c r="AM155" s="409"/>
      <c r="AN155" s="409"/>
      <c r="AO155" s="409"/>
      <c r="AP155" s="409"/>
      <c r="AQ155" s="409"/>
      <c r="AR155" s="409"/>
      <c r="AS155" s="409"/>
      <c r="AT155" s="409"/>
      <c r="AU155" s="409"/>
      <c r="AV155" s="409"/>
      <c r="AW155" s="409"/>
      <c r="AX155" s="409"/>
      <c r="AY155" s="409"/>
      <c r="AZ155" s="409"/>
      <c r="BA155" s="409"/>
      <c r="BB155" s="409"/>
      <c r="BC155" s="409"/>
      <c r="BD155" s="407"/>
      <c r="BE155" s="444"/>
      <c r="BF155" s="444"/>
      <c r="BG155" s="444"/>
      <c r="BH155" s="444"/>
      <c r="BI155" s="444"/>
      <c r="BJ155" s="444"/>
      <c r="BK155" s="444"/>
      <c r="BL155" s="444"/>
      <c r="BM155" s="444"/>
      <c r="BN155" s="444"/>
      <c r="BO155" s="444"/>
      <c r="BP155" s="444"/>
      <c r="BQ155" s="444"/>
      <c r="BR155" s="444"/>
      <c r="BS155" s="444"/>
      <c r="BT155" s="444"/>
    </row>
    <row r="156" spans="1:72" ht="15">
      <c r="A156" s="392"/>
      <c r="B156" s="392"/>
      <c r="C156" s="392"/>
      <c r="D156" s="392"/>
      <c r="E156" s="392"/>
      <c r="F156" s="392"/>
      <c r="G156" s="392"/>
      <c r="H156" s="392"/>
      <c r="I156" s="392"/>
      <c r="J156" s="392"/>
      <c r="K156" s="392"/>
      <c r="L156" s="392"/>
      <c r="M156" s="392"/>
      <c r="N156" s="392"/>
      <c r="O156" s="392"/>
      <c r="P156" s="392"/>
      <c r="Q156" s="392"/>
      <c r="R156" s="392"/>
      <c r="S156" s="409"/>
      <c r="T156" s="409"/>
      <c r="U156" s="409"/>
      <c r="V156" s="409"/>
      <c r="W156" s="392"/>
      <c r="X156" s="392"/>
      <c r="Y156" s="409"/>
      <c r="Z156" s="409"/>
      <c r="AA156" s="392"/>
      <c r="AB156" s="392"/>
      <c r="AC156" s="392"/>
      <c r="AD156" s="409"/>
      <c r="AE156" s="409"/>
      <c r="AF156" s="409"/>
      <c r="AG156" s="409"/>
      <c r="AH156" s="409"/>
      <c r="AI156" s="409"/>
      <c r="AJ156" s="409"/>
      <c r="AK156" s="409"/>
      <c r="AL156" s="409"/>
      <c r="AM156" s="409"/>
      <c r="AN156" s="409"/>
      <c r="AO156" s="409"/>
      <c r="AP156" s="409"/>
      <c r="AQ156" s="409"/>
      <c r="AR156" s="409"/>
      <c r="AS156" s="409"/>
      <c r="AT156" s="409"/>
      <c r="AU156" s="409"/>
      <c r="AV156" s="409"/>
      <c r="AW156" s="409"/>
      <c r="AX156" s="409"/>
      <c r="AY156" s="409"/>
      <c r="AZ156" s="409"/>
      <c r="BA156" s="409"/>
      <c r="BB156" s="409"/>
      <c r="BC156" s="409"/>
      <c r="BD156" s="407"/>
      <c r="BE156" s="444"/>
      <c r="BF156" s="444"/>
      <c r="BG156" s="444"/>
      <c r="BH156" s="444"/>
      <c r="BI156" s="444"/>
      <c r="BJ156" s="444"/>
      <c r="BK156" s="444"/>
      <c r="BL156" s="444"/>
      <c r="BM156" s="444"/>
      <c r="BN156" s="444"/>
      <c r="BO156" s="444"/>
      <c r="BP156" s="444"/>
      <c r="BQ156" s="444"/>
      <c r="BR156" s="444"/>
      <c r="BS156" s="444"/>
      <c r="BT156" s="444"/>
    </row>
    <row r="157" spans="1:72" ht="15">
      <c r="A157" s="392"/>
      <c r="B157" s="392"/>
      <c r="C157" s="392"/>
      <c r="D157" s="392"/>
      <c r="E157" s="392"/>
      <c r="F157" s="392"/>
      <c r="G157" s="392"/>
      <c r="H157" s="392"/>
      <c r="I157" s="392"/>
      <c r="J157" s="392"/>
      <c r="K157" s="392"/>
      <c r="L157" s="392"/>
      <c r="M157" s="392"/>
      <c r="N157" s="392"/>
      <c r="O157" s="392"/>
      <c r="P157" s="392"/>
      <c r="Q157" s="392"/>
      <c r="R157" s="392"/>
      <c r="S157" s="409"/>
      <c r="T157" s="409"/>
      <c r="U157" s="409"/>
      <c r="V157" s="409"/>
      <c r="W157" s="392"/>
      <c r="X157" s="392"/>
      <c r="Y157" s="409"/>
      <c r="Z157" s="409"/>
      <c r="AA157" s="392"/>
      <c r="AB157" s="392"/>
      <c r="AC157" s="392"/>
      <c r="AD157" s="409"/>
      <c r="AE157" s="409"/>
      <c r="AF157" s="409"/>
      <c r="AG157" s="409"/>
      <c r="AH157" s="409"/>
      <c r="AI157" s="409"/>
      <c r="AJ157" s="409"/>
      <c r="AK157" s="409"/>
      <c r="AL157" s="409"/>
      <c r="AM157" s="409"/>
      <c r="AN157" s="409"/>
      <c r="AO157" s="409"/>
      <c r="AP157" s="409"/>
      <c r="AQ157" s="409"/>
      <c r="AR157" s="409"/>
      <c r="AS157" s="409"/>
      <c r="AT157" s="409"/>
      <c r="AU157" s="409"/>
      <c r="AV157" s="409"/>
      <c r="AW157" s="409"/>
      <c r="AX157" s="409"/>
      <c r="AY157" s="409"/>
      <c r="AZ157" s="409"/>
      <c r="BA157" s="409"/>
      <c r="BB157" s="409"/>
      <c r="BC157" s="409"/>
      <c r="BD157" s="407"/>
      <c r="BE157" s="444"/>
      <c r="BF157" s="444"/>
      <c r="BG157" s="444"/>
      <c r="BH157" s="444"/>
      <c r="BI157" s="444"/>
      <c r="BJ157" s="444"/>
      <c r="BK157" s="444"/>
      <c r="BL157" s="444"/>
      <c r="BM157" s="444"/>
      <c r="BN157" s="444"/>
      <c r="BO157" s="444"/>
      <c r="BP157" s="444"/>
      <c r="BQ157" s="444"/>
      <c r="BR157" s="444"/>
      <c r="BS157" s="444"/>
      <c r="BT157" s="444"/>
    </row>
    <row r="158" spans="1:72" ht="15">
      <c r="A158" s="392"/>
      <c r="B158" s="392"/>
      <c r="C158" s="392"/>
      <c r="D158" s="392"/>
      <c r="E158" s="392"/>
      <c r="F158" s="392"/>
      <c r="G158" s="392"/>
      <c r="H158" s="392"/>
      <c r="I158" s="392"/>
      <c r="J158" s="392"/>
      <c r="K158" s="392"/>
      <c r="L158" s="392"/>
      <c r="M158" s="392"/>
      <c r="N158" s="392"/>
      <c r="O158" s="392"/>
      <c r="P158" s="392"/>
      <c r="Q158" s="392"/>
      <c r="R158" s="392"/>
      <c r="S158" s="409"/>
      <c r="T158" s="409"/>
      <c r="U158" s="409"/>
      <c r="V158" s="409"/>
      <c r="W158" s="392"/>
      <c r="X158" s="392"/>
      <c r="Y158" s="409"/>
      <c r="Z158" s="409"/>
      <c r="AA158" s="392"/>
      <c r="AB158" s="392"/>
      <c r="AC158" s="392"/>
      <c r="AD158" s="409"/>
      <c r="AE158" s="409"/>
      <c r="AF158" s="409"/>
      <c r="AG158" s="409"/>
      <c r="AH158" s="409"/>
      <c r="AI158" s="409"/>
      <c r="AJ158" s="409"/>
      <c r="AK158" s="409"/>
      <c r="AL158" s="409"/>
      <c r="AM158" s="409"/>
      <c r="AN158" s="409"/>
      <c r="AO158" s="409"/>
      <c r="AP158" s="409"/>
      <c r="AQ158" s="409"/>
      <c r="AR158" s="409"/>
      <c r="AS158" s="409"/>
      <c r="AT158" s="409"/>
      <c r="AU158" s="409"/>
      <c r="AV158" s="409"/>
      <c r="AW158" s="409"/>
      <c r="AX158" s="409"/>
      <c r="AY158" s="409"/>
      <c r="AZ158" s="409"/>
      <c r="BA158" s="409"/>
      <c r="BB158" s="409"/>
      <c r="BC158" s="409"/>
      <c r="BD158" s="407"/>
      <c r="BE158" s="444"/>
      <c r="BF158" s="444"/>
      <c r="BG158" s="444"/>
      <c r="BH158" s="444"/>
      <c r="BI158" s="444"/>
      <c r="BJ158" s="444"/>
      <c r="BK158" s="444"/>
      <c r="BL158" s="444"/>
      <c r="BM158" s="444"/>
      <c r="BN158" s="444"/>
      <c r="BO158" s="444"/>
      <c r="BP158" s="444"/>
      <c r="BQ158" s="444"/>
      <c r="BR158" s="444"/>
      <c r="BS158" s="444"/>
      <c r="BT158" s="444"/>
    </row>
    <row r="159" spans="1:72" ht="15">
      <c r="A159" s="392"/>
      <c r="B159" s="392"/>
      <c r="C159" s="392"/>
      <c r="D159" s="392"/>
      <c r="E159" s="392"/>
      <c r="F159" s="392"/>
      <c r="G159" s="392"/>
      <c r="H159" s="392"/>
      <c r="I159" s="392"/>
      <c r="J159" s="392"/>
      <c r="K159" s="392"/>
      <c r="L159" s="392"/>
      <c r="M159" s="392"/>
      <c r="N159" s="392"/>
      <c r="O159" s="392"/>
      <c r="P159" s="392"/>
      <c r="Q159" s="392"/>
      <c r="R159" s="392"/>
      <c r="S159" s="409"/>
      <c r="T159" s="409"/>
      <c r="U159" s="409"/>
      <c r="V159" s="409"/>
      <c r="W159" s="392"/>
      <c r="X159" s="392"/>
      <c r="Y159" s="409"/>
      <c r="Z159" s="409"/>
      <c r="AA159" s="392"/>
      <c r="AB159" s="392"/>
      <c r="AC159" s="392"/>
      <c r="AD159" s="409"/>
      <c r="AE159" s="409"/>
      <c r="AF159" s="409"/>
      <c r="AG159" s="409"/>
      <c r="AH159" s="409"/>
      <c r="AI159" s="409"/>
      <c r="AJ159" s="409"/>
      <c r="AK159" s="409"/>
      <c r="AL159" s="409"/>
      <c r="AM159" s="409"/>
      <c r="AN159" s="409"/>
      <c r="AO159" s="409"/>
      <c r="AP159" s="409"/>
      <c r="AQ159" s="409"/>
      <c r="AR159" s="409"/>
      <c r="AS159" s="409"/>
      <c r="AT159" s="409"/>
      <c r="AU159" s="409"/>
      <c r="AV159" s="409"/>
      <c r="AW159" s="409"/>
      <c r="AX159" s="409"/>
      <c r="AY159" s="409"/>
      <c r="AZ159" s="409"/>
      <c r="BA159" s="409"/>
      <c r="BB159" s="409"/>
      <c r="BC159" s="409"/>
      <c r="BD159" s="407"/>
      <c r="BE159" s="444"/>
      <c r="BF159" s="444"/>
      <c r="BG159" s="444"/>
      <c r="BH159" s="444"/>
      <c r="BI159" s="444"/>
      <c r="BJ159" s="444"/>
      <c r="BK159" s="444"/>
      <c r="BL159" s="444"/>
      <c r="BM159" s="444"/>
      <c r="BN159" s="444"/>
      <c r="BO159" s="444"/>
      <c r="BP159" s="444"/>
      <c r="BQ159" s="444"/>
      <c r="BR159" s="444"/>
      <c r="BS159" s="444"/>
      <c r="BT159" s="444"/>
    </row>
    <row r="160" spans="1:72" ht="15">
      <c r="A160" s="392"/>
      <c r="B160" s="392"/>
      <c r="C160" s="392"/>
      <c r="D160" s="392"/>
      <c r="E160" s="392"/>
      <c r="F160" s="392"/>
      <c r="G160" s="392"/>
      <c r="H160" s="392"/>
      <c r="I160" s="392"/>
      <c r="J160" s="392"/>
      <c r="K160" s="392"/>
      <c r="L160" s="392"/>
      <c r="M160" s="392"/>
      <c r="N160" s="392"/>
      <c r="O160" s="392"/>
      <c r="P160" s="392"/>
      <c r="Q160" s="392"/>
      <c r="R160" s="392"/>
      <c r="S160" s="409"/>
      <c r="T160" s="409"/>
      <c r="U160" s="409"/>
      <c r="V160" s="409"/>
      <c r="W160" s="392"/>
      <c r="X160" s="392"/>
      <c r="Y160" s="409"/>
      <c r="Z160" s="409"/>
      <c r="AA160" s="392"/>
      <c r="AB160" s="392"/>
      <c r="AC160" s="392"/>
      <c r="AD160" s="409"/>
      <c r="AE160" s="409"/>
      <c r="AF160" s="409"/>
      <c r="AG160" s="409"/>
      <c r="AH160" s="409"/>
      <c r="AI160" s="409"/>
      <c r="AJ160" s="409"/>
      <c r="AK160" s="409"/>
      <c r="AL160" s="409"/>
      <c r="AM160" s="409"/>
      <c r="AN160" s="409"/>
      <c r="AO160" s="409"/>
      <c r="AP160" s="409"/>
      <c r="AQ160" s="409"/>
      <c r="AR160" s="409"/>
      <c r="AS160" s="409"/>
      <c r="AT160" s="409"/>
      <c r="AU160" s="409"/>
      <c r="AV160" s="409"/>
      <c r="AW160" s="409"/>
      <c r="AX160" s="409"/>
      <c r="AY160" s="409"/>
      <c r="AZ160" s="409"/>
      <c r="BA160" s="409"/>
      <c r="BB160" s="409"/>
      <c r="BC160" s="409"/>
      <c r="BD160" s="407"/>
      <c r="BE160" s="444"/>
      <c r="BF160" s="444"/>
      <c r="BG160" s="444"/>
      <c r="BH160" s="444"/>
      <c r="BI160" s="444"/>
      <c r="BJ160" s="444"/>
      <c r="BK160" s="444"/>
      <c r="BL160" s="444"/>
      <c r="BM160" s="444"/>
      <c r="BN160" s="444"/>
      <c r="BO160" s="444"/>
      <c r="BP160" s="444"/>
      <c r="BQ160" s="444"/>
      <c r="BR160" s="444"/>
      <c r="BS160" s="444"/>
      <c r="BT160" s="444"/>
    </row>
    <row r="161" spans="1:72" ht="15">
      <c r="A161" s="392"/>
      <c r="B161" s="392"/>
      <c r="C161" s="392"/>
      <c r="D161" s="392"/>
      <c r="E161" s="392"/>
      <c r="F161" s="392"/>
      <c r="G161" s="392"/>
      <c r="H161" s="392"/>
      <c r="I161" s="392"/>
      <c r="J161" s="392"/>
      <c r="K161" s="392"/>
      <c r="L161" s="392"/>
      <c r="M161" s="392"/>
      <c r="N161" s="392"/>
      <c r="O161" s="392"/>
      <c r="P161" s="392"/>
      <c r="Q161" s="392"/>
      <c r="R161" s="392"/>
      <c r="S161" s="409"/>
      <c r="T161" s="409"/>
      <c r="U161" s="409"/>
      <c r="V161" s="409"/>
      <c r="W161" s="392"/>
      <c r="X161" s="392"/>
      <c r="Y161" s="409"/>
      <c r="Z161" s="409"/>
      <c r="AA161" s="392"/>
      <c r="AB161" s="392"/>
      <c r="AC161" s="392"/>
      <c r="AD161" s="409"/>
      <c r="AE161" s="409"/>
      <c r="AF161" s="409"/>
      <c r="AG161" s="409"/>
      <c r="AH161" s="409"/>
      <c r="AI161" s="409"/>
      <c r="AJ161" s="409"/>
      <c r="AK161" s="409"/>
      <c r="AL161" s="409"/>
      <c r="AM161" s="409"/>
      <c r="AN161" s="409"/>
      <c r="AO161" s="409"/>
      <c r="AP161" s="409"/>
      <c r="AQ161" s="409"/>
      <c r="AR161" s="409"/>
      <c r="AS161" s="409"/>
      <c r="AT161" s="409"/>
      <c r="AU161" s="409"/>
      <c r="AV161" s="409"/>
      <c r="AW161" s="409"/>
      <c r="AX161" s="409"/>
      <c r="AY161" s="409"/>
      <c r="AZ161" s="409"/>
      <c r="BA161" s="409"/>
      <c r="BB161" s="409"/>
      <c r="BC161" s="409"/>
      <c r="BD161" s="407"/>
      <c r="BE161" s="444"/>
      <c r="BF161" s="444"/>
      <c r="BG161" s="444"/>
      <c r="BH161" s="444"/>
      <c r="BI161" s="444"/>
      <c r="BJ161" s="444"/>
      <c r="BK161" s="444"/>
      <c r="BL161" s="444"/>
      <c r="BM161" s="444"/>
      <c r="BN161" s="444"/>
      <c r="BO161" s="444"/>
      <c r="BP161" s="444"/>
      <c r="BQ161" s="444"/>
      <c r="BR161" s="444"/>
      <c r="BS161" s="444"/>
      <c r="BT161" s="444"/>
    </row>
    <row r="162" spans="1:72" ht="15">
      <c r="A162" s="392"/>
      <c r="B162" s="392"/>
      <c r="C162" s="392"/>
      <c r="D162" s="392"/>
      <c r="E162" s="392"/>
      <c r="F162" s="392"/>
      <c r="G162" s="392"/>
      <c r="H162" s="392"/>
      <c r="I162" s="392"/>
      <c r="J162" s="392"/>
      <c r="K162" s="392"/>
      <c r="L162" s="392"/>
      <c r="M162" s="392"/>
      <c r="N162" s="392"/>
      <c r="O162" s="392"/>
      <c r="P162" s="392"/>
      <c r="Q162" s="392"/>
      <c r="R162" s="392"/>
      <c r="S162" s="409"/>
      <c r="T162" s="409"/>
      <c r="U162" s="409"/>
      <c r="V162" s="409"/>
      <c r="W162" s="392"/>
      <c r="X162" s="392"/>
      <c r="Y162" s="409"/>
      <c r="Z162" s="409"/>
      <c r="AA162" s="392"/>
      <c r="AB162" s="392"/>
      <c r="AC162" s="392"/>
      <c r="AD162" s="409"/>
      <c r="AE162" s="409"/>
      <c r="AF162" s="409"/>
      <c r="AG162" s="409"/>
      <c r="AH162" s="409"/>
      <c r="AI162" s="409"/>
      <c r="AJ162" s="409"/>
      <c r="AK162" s="409"/>
      <c r="AL162" s="409"/>
      <c r="AM162" s="409"/>
      <c r="AN162" s="409"/>
      <c r="AO162" s="409"/>
      <c r="AP162" s="409"/>
      <c r="AQ162" s="409"/>
      <c r="AR162" s="409"/>
      <c r="AS162" s="409"/>
      <c r="AT162" s="409"/>
      <c r="AU162" s="409"/>
      <c r="AV162" s="409"/>
      <c r="AW162" s="409"/>
      <c r="AX162" s="409"/>
      <c r="AY162" s="409"/>
      <c r="AZ162" s="409"/>
      <c r="BA162" s="409"/>
      <c r="BB162" s="409"/>
      <c r="BC162" s="409"/>
      <c r="BD162" s="407"/>
      <c r="BE162" s="444"/>
      <c r="BF162" s="444"/>
      <c r="BG162" s="444"/>
      <c r="BH162" s="444"/>
      <c r="BI162" s="444"/>
      <c r="BJ162" s="444"/>
      <c r="BK162" s="444"/>
      <c r="BL162" s="444"/>
      <c r="BM162" s="444"/>
      <c r="BN162" s="444"/>
      <c r="BO162" s="444"/>
      <c r="BP162" s="444"/>
      <c r="BQ162" s="444"/>
      <c r="BR162" s="444"/>
      <c r="BS162" s="444"/>
      <c r="BT162" s="444"/>
    </row>
    <row r="163" spans="1:72" ht="15">
      <c r="A163" s="392"/>
      <c r="B163" s="392"/>
      <c r="C163" s="392"/>
      <c r="D163" s="392"/>
      <c r="E163" s="392"/>
      <c r="F163" s="392"/>
      <c r="G163" s="392"/>
      <c r="H163" s="392"/>
      <c r="I163" s="392"/>
      <c r="J163" s="392"/>
      <c r="K163" s="392"/>
      <c r="L163" s="392"/>
      <c r="M163" s="392"/>
      <c r="N163" s="392"/>
      <c r="O163" s="392"/>
      <c r="P163" s="392"/>
      <c r="Q163" s="392"/>
      <c r="R163" s="392"/>
      <c r="S163" s="409"/>
      <c r="T163" s="409"/>
      <c r="U163" s="409"/>
      <c r="V163" s="409"/>
      <c r="W163" s="392"/>
      <c r="X163" s="392"/>
      <c r="Y163" s="409"/>
      <c r="Z163" s="409"/>
      <c r="AA163" s="392"/>
      <c r="AB163" s="392"/>
      <c r="AC163" s="392"/>
      <c r="AD163" s="409"/>
      <c r="AE163" s="409"/>
      <c r="AF163" s="409"/>
      <c r="AG163" s="409"/>
      <c r="AH163" s="409"/>
      <c r="AI163" s="409"/>
      <c r="AJ163" s="409"/>
      <c r="AK163" s="409"/>
      <c r="AL163" s="409"/>
      <c r="AM163" s="409"/>
      <c r="AN163" s="409"/>
      <c r="AO163" s="409"/>
      <c r="AP163" s="409"/>
      <c r="AQ163" s="409"/>
      <c r="AR163" s="409"/>
      <c r="AS163" s="409"/>
      <c r="AT163" s="409"/>
      <c r="AU163" s="409"/>
      <c r="AV163" s="409"/>
      <c r="AW163" s="409"/>
      <c r="AX163" s="409"/>
      <c r="AY163" s="409"/>
      <c r="AZ163" s="409"/>
      <c r="BA163" s="409"/>
      <c r="BB163" s="409"/>
      <c r="BC163" s="409"/>
      <c r="BD163" s="407"/>
      <c r="BE163" s="444"/>
      <c r="BF163" s="444"/>
      <c r="BG163" s="444"/>
      <c r="BH163" s="444"/>
      <c r="BI163" s="444"/>
      <c r="BJ163" s="444"/>
      <c r="BK163" s="444"/>
      <c r="BL163" s="444"/>
      <c r="BM163" s="444"/>
      <c r="BN163" s="444"/>
      <c r="BO163" s="444"/>
      <c r="BP163" s="444"/>
      <c r="BQ163" s="444"/>
      <c r="BR163" s="444"/>
      <c r="BS163" s="444"/>
      <c r="BT163" s="444"/>
    </row>
    <row r="164" spans="1:72" ht="15">
      <c r="A164" s="392"/>
      <c r="B164" s="392"/>
      <c r="C164" s="392"/>
      <c r="D164" s="392"/>
      <c r="E164" s="392"/>
      <c r="F164" s="392"/>
      <c r="G164" s="392"/>
      <c r="H164" s="392"/>
      <c r="I164" s="392"/>
      <c r="J164" s="392"/>
      <c r="K164" s="392"/>
      <c r="L164" s="392"/>
      <c r="M164" s="392"/>
      <c r="N164" s="392"/>
      <c r="O164" s="392"/>
      <c r="P164" s="392"/>
      <c r="Q164" s="392"/>
      <c r="R164" s="392"/>
      <c r="S164" s="409"/>
      <c r="T164" s="409"/>
      <c r="U164" s="409"/>
      <c r="V164" s="409"/>
      <c r="W164" s="392"/>
      <c r="X164" s="392"/>
      <c r="Y164" s="409"/>
      <c r="Z164" s="409"/>
      <c r="AA164" s="392"/>
      <c r="AB164" s="392"/>
      <c r="AC164" s="392"/>
      <c r="AD164" s="409"/>
      <c r="AE164" s="409"/>
      <c r="AF164" s="409"/>
      <c r="AG164" s="409"/>
      <c r="AH164" s="409"/>
      <c r="AI164" s="409"/>
      <c r="AJ164" s="409"/>
      <c r="AK164" s="409"/>
      <c r="AL164" s="409"/>
      <c r="AM164" s="409"/>
      <c r="AN164" s="409"/>
      <c r="AO164" s="409"/>
      <c r="AP164" s="409"/>
      <c r="AQ164" s="409"/>
      <c r="AR164" s="409"/>
      <c r="AS164" s="409"/>
      <c r="AT164" s="409"/>
      <c r="AU164" s="409"/>
      <c r="AV164" s="409"/>
      <c r="AW164" s="409"/>
      <c r="AX164" s="409"/>
      <c r="AY164" s="409"/>
      <c r="AZ164" s="409"/>
      <c r="BA164" s="409"/>
      <c r="BB164" s="409"/>
      <c r="BC164" s="409"/>
      <c r="BD164" s="407"/>
      <c r="BE164" s="444"/>
      <c r="BF164" s="444"/>
      <c r="BG164" s="444"/>
      <c r="BH164" s="444"/>
      <c r="BI164" s="444"/>
      <c r="BJ164" s="444"/>
      <c r="BK164" s="444"/>
      <c r="BL164" s="444"/>
      <c r="BM164" s="444"/>
      <c r="BN164" s="444"/>
      <c r="BO164" s="444"/>
      <c r="BP164" s="444"/>
      <c r="BQ164" s="444"/>
      <c r="BR164" s="444"/>
      <c r="BS164" s="444"/>
      <c r="BT164" s="444"/>
    </row>
    <row r="165" spans="1:72" ht="15">
      <c r="A165" s="392"/>
      <c r="B165" s="392"/>
      <c r="C165" s="392"/>
      <c r="D165" s="392"/>
      <c r="E165" s="392"/>
      <c r="F165" s="392"/>
      <c r="G165" s="392"/>
      <c r="H165" s="392"/>
      <c r="I165" s="392"/>
      <c r="J165" s="392"/>
      <c r="K165" s="392"/>
      <c r="L165" s="392"/>
      <c r="M165" s="392"/>
      <c r="N165" s="392"/>
      <c r="O165" s="392"/>
      <c r="P165" s="392"/>
      <c r="Q165" s="392"/>
      <c r="R165" s="392"/>
      <c r="S165" s="409"/>
      <c r="T165" s="409"/>
      <c r="U165" s="409"/>
      <c r="V165" s="409"/>
      <c r="W165" s="392"/>
      <c r="X165" s="392"/>
      <c r="Y165" s="409"/>
      <c r="Z165" s="409"/>
      <c r="AA165" s="392"/>
      <c r="AB165" s="392"/>
      <c r="AC165" s="392"/>
      <c r="AD165" s="409"/>
      <c r="AE165" s="409"/>
      <c r="AF165" s="409"/>
      <c r="AG165" s="409"/>
      <c r="AH165" s="409"/>
      <c r="AI165" s="409"/>
      <c r="AJ165" s="409"/>
      <c r="AK165" s="409"/>
      <c r="AL165" s="409"/>
      <c r="AM165" s="409"/>
      <c r="AN165" s="409"/>
      <c r="AO165" s="409"/>
      <c r="AP165" s="409"/>
      <c r="AQ165" s="409"/>
      <c r="AR165" s="409"/>
      <c r="AS165" s="409"/>
      <c r="AT165" s="409"/>
      <c r="AU165" s="409"/>
      <c r="AV165" s="409"/>
      <c r="AW165" s="409"/>
      <c r="AX165" s="409"/>
      <c r="AY165" s="409"/>
      <c r="AZ165" s="409"/>
      <c r="BA165" s="409"/>
      <c r="BB165" s="409"/>
      <c r="BC165" s="409"/>
      <c r="BD165" s="407"/>
      <c r="BE165" s="444"/>
      <c r="BF165" s="444"/>
      <c r="BG165" s="444"/>
      <c r="BH165" s="444"/>
      <c r="BI165" s="444"/>
      <c r="BJ165" s="444"/>
      <c r="BK165" s="444"/>
      <c r="BL165" s="444"/>
      <c r="BM165" s="444"/>
      <c r="BN165" s="444"/>
      <c r="BO165" s="444"/>
      <c r="BP165" s="444"/>
      <c r="BQ165" s="444"/>
      <c r="BR165" s="444"/>
      <c r="BS165" s="444"/>
      <c r="BT165" s="444"/>
    </row>
    <row r="166" spans="1:72" ht="15">
      <c r="A166" s="392"/>
      <c r="B166" s="392"/>
      <c r="C166" s="392"/>
      <c r="D166" s="392"/>
      <c r="E166" s="392"/>
      <c r="F166" s="392"/>
      <c r="G166" s="392"/>
      <c r="H166" s="392"/>
      <c r="I166" s="392"/>
      <c r="J166" s="392"/>
      <c r="K166" s="392"/>
      <c r="L166" s="392"/>
      <c r="M166" s="392"/>
      <c r="N166" s="392"/>
      <c r="O166" s="392"/>
      <c r="P166" s="392"/>
      <c r="Q166" s="392"/>
      <c r="R166" s="392"/>
      <c r="S166" s="409"/>
      <c r="T166" s="409"/>
      <c r="U166" s="409"/>
      <c r="V166" s="409"/>
      <c r="W166" s="392"/>
      <c r="X166" s="392"/>
      <c r="Y166" s="409"/>
      <c r="Z166" s="409"/>
      <c r="AA166" s="392"/>
      <c r="AB166" s="392"/>
      <c r="AC166" s="392"/>
      <c r="AD166" s="409"/>
      <c r="AE166" s="409"/>
      <c r="AF166" s="409"/>
      <c r="AG166" s="409"/>
      <c r="AH166" s="409"/>
      <c r="AI166" s="409"/>
      <c r="AJ166" s="409"/>
      <c r="AK166" s="409"/>
      <c r="AL166" s="409"/>
      <c r="AM166" s="409"/>
      <c r="AN166" s="409"/>
      <c r="AO166" s="409"/>
      <c r="AP166" s="409"/>
      <c r="AQ166" s="409"/>
      <c r="AR166" s="409"/>
      <c r="AS166" s="409"/>
      <c r="AT166" s="409"/>
      <c r="AU166" s="409"/>
      <c r="AV166" s="409"/>
      <c r="AW166" s="409"/>
      <c r="AX166" s="409"/>
      <c r="AY166" s="409"/>
      <c r="AZ166" s="409"/>
      <c r="BA166" s="409"/>
      <c r="BB166" s="409"/>
      <c r="BC166" s="409"/>
      <c r="BD166" s="407"/>
      <c r="BE166" s="444"/>
      <c r="BF166" s="444"/>
      <c r="BG166" s="444"/>
      <c r="BH166" s="444"/>
      <c r="BI166" s="444"/>
      <c r="BJ166" s="444"/>
      <c r="BK166" s="444"/>
      <c r="BL166" s="444"/>
      <c r="BM166" s="444"/>
      <c r="BN166" s="444"/>
      <c r="BO166" s="444"/>
      <c r="BP166" s="444"/>
      <c r="BQ166" s="444"/>
      <c r="BR166" s="444"/>
      <c r="BS166" s="444"/>
      <c r="BT166" s="444"/>
    </row>
    <row r="167" spans="1:72" ht="15">
      <c r="A167" s="392"/>
      <c r="B167" s="392"/>
      <c r="C167" s="392"/>
      <c r="D167" s="392"/>
      <c r="E167" s="392"/>
      <c r="F167" s="392"/>
      <c r="G167" s="392"/>
      <c r="H167" s="392"/>
      <c r="I167" s="392"/>
      <c r="J167" s="392"/>
      <c r="K167" s="392"/>
      <c r="L167" s="392"/>
      <c r="M167" s="392"/>
      <c r="N167" s="392"/>
      <c r="O167" s="392"/>
      <c r="P167" s="392"/>
      <c r="Q167" s="392"/>
      <c r="R167" s="392"/>
      <c r="S167" s="409"/>
      <c r="T167" s="409"/>
      <c r="U167" s="409"/>
      <c r="V167" s="409"/>
      <c r="W167" s="392"/>
      <c r="X167" s="392"/>
      <c r="Y167" s="409"/>
      <c r="Z167" s="409"/>
      <c r="AA167" s="392"/>
      <c r="AB167" s="392"/>
      <c r="AC167" s="392"/>
      <c r="AD167" s="409"/>
      <c r="AE167" s="409"/>
      <c r="AF167" s="409"/>
      <c r="AG167" s="409"/>
      <c r="AH167" s="409"/>
      <c r="AI167" s="409"/>
      <c r="AJ167" s="409"/>
      <c r="AK167" s="409"/>
      <c r="AL167" s="409"/>
      <c r="AM167" s="409"/>
      <c r="AN167" s="409"/>
      <c r="AO167" s="409"/>
      <c r="AP167" s="409"/>
      <c r="AQ167" s="409"/>
      <c r="AR167" s="409"/>
      <c r="AS167" s="409"/>
      <c r="AT167" s="409"/>
      <c r="AU167" s="409"/>
      <c r="AV167" s="409"/>
      <c r="AW167" s="409"/>
      <c r="AX167" s="409"/>
      <c r="AY167" s="409"/>
      <c r="AZ167" s="409"/>
      <c r="BA167" s="409"/>
      <c r="BB167" s="409"/>
      <c r="BC167" s="409"/>
      <c r="BD167" s="407"/>
      <c r="BE167" s="444"/>
      <c r="BF167" s="444"/>
      <c r="BG167" s="444"/>
      <c r="BH167" s="444"/>
      <c r="BI167" s="444"/>
      <c r="BJ167" s="444"/>
      <c r="BK167" s="444"/>
      <c r="BL167" s="444"/>
      <c r="BM167" s="444"/>
      <c r="BN167" s="444"/>
      <c r="BO167" s="444"/>
      <c r="BP167" s="444"/>
      <c r="BQ167" s="444"/>
      <c r="BR167" s="444"/>
      <c r="BS167" s="444"/>
      <c r="BT167" s="444"/>
    </row>
    <row r="168" spans="1:72" ht="15">
      <c r="A168" s="392"/>
      <c r="B168" s="392"/>
      <c r="C168" s="392"/>
      <c r="D168" s="392"/>
      <c r="E168" s="392"/>
      <c r="F168" s="392"/>
      <c r="G168" s="392"/>
      <c r="H168" s="392"/>
      <c r="I168" s="392"/>
      <c r="J168" s="392"/>
      <c r="K168" s="392"/>
      <c r="L168" s="392"/>
      <c r="M168" s="392"/>
      <c r="N168" s="392"/>
      <c r="O168" s="392"/>
      <c r="P168" s="392"/>
      <c r="Q168" s="392"/>
      <c r="R168" s="392"/>
      <c r="S168" s="409"/>
      <c r="T168" s="409"/>
      <c r="U168" s="409"/>
      <c r="V168" s="409"/>
      <c r="W168" s="392"/>
      <c r="X168" s="392"/>
      <c r="Y168" s="409"/>
      <c r="Z168" s="409"/>
      <c r="AA168" s="392"/>
      <c r="AB168" s="392"/>
      <c r="AC168" s="392"/>
      <c r="AD168" s="409"/>
      <c r="AE168" s="409"/>
      <c r="AF168" s="409"/>
      <c r="AG168" s="409"/>
      <c r="AH168" s="409"/>
      <c r="AI168" s="409"/>
      <c r="AJ168" s="409"/>
      <c r="AK168" s="409"/>
      <c r="AL168" s="409"/>
      <c r="AM168" s="409"/>
      <c r="AN168" s="409"/>
      <c r="AO168" s="409"/>
      <c r="AP168" s="409"/>
      <c r="AQ168" s="409"/>
      <c r="AR168" s="409"/>
      <c r="AS168" s="409"/>
      <c r="AT168" s="409"/>
      <c r="AU168" s="409"/>
      <c r="AV168" s="409"/>
      <c r="AW168" s="409"/>
      <c r="AX168" s="409"/>
      <c r="AY168" s="409"/>
      <c r="AZ168" s="409"/>
      <c r="BA168" s="409"/>
      <c r="BB168" s="409"/>
      <c r="BC168" s="409"/>
      <c r="BD168" s="407"/>
      <c r="BE168" s="444"/>
      <c r="BF168" s="444"/>
      <c r="BG168" s="444"/>
      <c r="BH168" s="444"/>
      <c r="BI168" s="444"/>
      <c r="BJ168" s="444"/>
      <c r="BK168" s="444"/>
      <c r="BL168" s="444"/>
      <c r="BM168" s="444"/>
      <c r="BN168" s="444"/>
      <c r="BO168" s="444"/>
      <c r="BP168" s="444"/>
      <c r="BQ168" s="444"/>
      <c r="BR168" s="444"/>
      <c r="BS168" s="444"/>
      <c r="BT168" s="444"/>
    </row>
    <row r="169" spans="1:72" ht="15">
      <c r="A169" s="392"/>
      <c r="B169" s="392"/>
      <c r="C169" s="392"/>
      <c r="D169" s="392"/>
      <c r="E169" s="392"/>
      <c r="F169" s="392"/>
      <c r="G169" s="392"/>
      <c r="H169" s="392"/>
      <c r="I169" s="392"/>
      <c r="J169" s="392"/>
      <c r="K169" s="392"/>
      <c r="L169" s="392"/>
      <c r="M169" s="392"/>
      <c r="N169" s="392"/>
      <c r="O169" s="392"/>
      <c r="P169" s="392"/>
      <c r="Q169" s="392"/>
      <c r="R169" s="392"/>
      <c r="S169" s="409"/>
      <c r="T169" s="409"/>
      <c r="U169" s="409"/>
      <c r="V169" s="409"/>
      <c r="W169" s="392"/>
      <c r="X169" s="392"/>
      <c r="Y169" s="409"/>
      <c r="Z169" s="409"/>
      <c r="AA169" s="392"/>
      <c r="AB169" s="392"/>
      <c r="AC169" s="392"/>
      <c r="AD169" s="409"/>
      <c r="AE169" s="409"/>
      <c r="AF169" s="409"/>
      <c r="AG169" s="409"/>
      <c r="AH169" s="409"/>
      <c r="AI169" s="409"/>
      <c r="AJ169" s="409"/>
      <c r="AK169" s="409"/>
      <c r="AL169" s="409"/>
      <c r="AM169" s="409"/>
      <c r="AN169" s="409"/>
      <c r="AO169" s="409"/>
      <c r="AP169" s="409"/>
      <c r="AQ169" s="409"/>
      <c r="AR169" s="409"/>
      <c r="AS169" s="409"/>
      <c r="AT169" s="409"/>
      <c r="AU169" s="409"/>
      <c r="AV169" s="409"/>
      <c r="AW169" s="409"/>
      <c r="AX169" s="409"/>
      <c r="AY169" s="409"/>
      <c r="AZ169" s="409"/>
      <c r="BA169" s="409"/>
      <c r="BB169" s="409"/>
      <c r="BC169" s="409"/>
      <c r="BD169" s="407"/>
      <c r="BE169" s="444"/>
      <c r="BF169" s="444"/>
      <c r="BG169" s="444"/>
      <c r="BH169" s="444"/>
      <c r="BI169" s="444"/>
      <c r="BJ169" s="444"/>
      <c r="BK169" s="444"/>
      <c r="BL169" s="444"/>
      <c r="BM169" s="444"/>
      <c r="BN169" s="444"/>
      <c r="BO169" s="444"/>
      <c r="BP169" s="444"/>
      <c r="BQ169" s="444"/>
      <c r="BR169" s="444"/>
      <c r="BS169" s="444"/>
      <c r="BT169" s="444"/>
    </row>
    <row r="170" spans="1:72" ht="15">
      <c r="A170" s="392"/>
      <c r="B170" s="392"/>
      <c r="C170" s="392"/>
      <c r="D170" s="392"/>
      <c r="E170" s="392"/>
      <c r="F170" s="392"/>
      <c r="G170" s="392"/>
      <c r="H170" s="392"/>
      <c r="I170" s="392"/>
      <c r="J170" s="392"/>
      <c r="K170" s="392"/>
      <c r="L170" s="392"/>
      <c r="M170" s="392"/>
      <c r="N170" s="392"/>
      <c r="O170" s="392"/>
      <c r="P170" s="392"/>
      <c r="Q170" s="392"/>
      <c r="R170" s="392"/>
      <c r="S170" s="409"/>
      <c r="T170" s="409"/>
      <c r="U170" s="409"/>
      <c r="V170" s="409"/>
      <c r="W170" s="392"/>
      <c r="X170" s="392"/>
      <c r="Y170" s="409"/>
      <c r="Z170" s="409"/>
      <c r="AA170" s="392"/>
      <c r="AB170" s="392"/>
      <c r="AC170" s="392"/>
      <c r="AD170" s="409"/>
      <c r="AE170" s="409"/>
      <c r="AF170" s="409"/>
      <c r="AG170" s="409"/>
      <c r="AH170" s="409"/>
      <c r="AI170" s="409"/>
      <c r="AJ170" s="409"/>
      <c r="AK170" s="409"/>
      <c r="AL170" s="409"/>
      <c r="AM170" s="409"/>
      <c r="AN170" s="409"/>
      <c r="AO170" s="409"/>
      <c r="AP170" s="409"/>
      <c r="AQ170" s="409"/>
      <c r="AR170" s="409"/>
      <c r="AS170" s="409"/>
      <c r="AT170" s="409"/>
      <c r="AU170" s="409"/>
      <c r="AV170" s="409"/>
      <c r="AW170" s="409"/>
      <c r="AX170" s="409"/>
      <c r="AY170" s="409"/>
      <c r="AZ170" s="409"/>
      <c r="BA170" s="409"/>
      <c r="BB170" s="409"/>
      <c r="BC170" s="409"/>
      <c r="BD170" s="407"/>
      <c r="BE170" s="444"/>
      <c r="BF170" s="444"/>
      <c r="BG170" s="444"/>
      <c r="BH170" s="444"/>
      <c r="BI170" s="444"/>
      <c r="BJ170" s="444"/>
      <c r="BK170" s="444"/>
      <c r="BL170" s="444"/>
      <c r="BM170" s="444"/>
      <c r="BN170" s="444"/>
      <c r="BO170" s="444"/>
      <c r="BP170" s="444"/>
      <c r="BQ170" s="444"/>
      <c r="BR170" s="444"/>
      <c r="BS170" s="444"/>
      <c r="BT170" s="444"/>
    </row>
    <row r="171" spans="1:72" ht="15">
      <c r="A171" s="392"/>
      <c r="B171" s="392"/>
      <c r="C171" s="392"/>
      <c r="D171" s="392"/>
      <c r="E171" s="392"/>
      <c r="F171" s="392"/>
      <c r="G171" s="392"/>
      <c r="H171" s="392"/>
      <c r="I171" s="392"/>
      <c r="J171" s="392"/>
      <c r="K171" s="392"/>
      <c r="L171" s="392"/>
      <c r="M171" s="392"/>
      <c r="N171" s="392"/>
      <c r="O171" s="392"/>
      <c r="P171" s="392"/>
      <c r="Q171" s="392"/>
      <c r="R171" s="392"/>
      <c r="S171" s="409"/>
      <c r="T171" s="409"/>
      <c r="U171" s="409"/>
      <c r="V171" s="409"/>
      <c r="W171" s="392"/>
      <c r="X171" s="392"/>
      <c r="Y171" s="409"/>
      <c r="Z171" s="409"/>
      <c r="AA171" s="392"/>
      <c r="AB171" s="392"/>
      <c r="AC171" s="392"/>
      <c r="AD171" s="409"/>
      <c r="AE171" s="409"/>
      <c r="AF171" s="409"/>
      <c r="AG171" s="409"/>
      <c r="AH171" s="409"/>
      <c r="AI171" s="409"/>
      <c r="AJ171" s="409"/>
      <c r="AK171" s="409"/>
      <c r="AL171" s="409"/>
      <c r="AM171" s="409"/>
      <c r="AN171" s="409"/>
      <c r="AO171" s="409"/>
      <c r="AP171" s="409"/>
      <c r="AQ171" s="409"/>
      <c r="AR171" s="409"/>
      <c r="AS171" s="409"/>
      <c r="AT171" s="409"/>
      <c r="AU171" s="409"/>
      <c r="AV171" s="409"/>
      <c r="AW171" s="409"/>
      <c r="AX171" s="409"/>
      <c r="AY171" s="409"/>
      <c r="AZ171" s="409"/>
      <c r="BA171" s="409"/>
      <c r="BB171" s="409"/>
      <c r="BC171" s="409"/>
      <c r="BD171" s="407"/>
      <c r="BE171" s="444"/>
      <c r="BF171" s="444"/>
      <c r="BG171" s="444"/>
      <c r="BH171" s="444"/>
      <c r="BI171" s="444"/>
      <c r="BJ171" s="444"/>
      <c r="BK171" s="444"/>
      <c r="BL171" s="444"/>
      <c r="BM171" s="444"/>
      <c r="BN171" s="444"/>
      <c r="BO171" s="444"/>
      <c r="BP171" s="444"/>
      <c r="BQ171" s="444"/>
      <c r="BR171" s="444"/>
      <c r="BS171" s="444"/>
      <c r="BT171" s="444"/>
    </row>
    <row r="172" spans="1:72" ht="15">
      <c r="A172" s="392"/>
      <c r="B172" s="392"/>
      <c r="C172" s="392"/>
      <c r="D172" s="392"/>
      <c r="E172" s="392"/>
      <c r="F172" s="392"/>
      <c r="G172" s="392"/>
      <c r="H172" s="392"/>
      <c r="I172" s="392"/>
      <c r="J172" s="392"/>
      <c r="K172" s="392"/>
      <c r="L172" s="392"/>
      <c r="M172" s="392"/>
      <c r="N172" s="392"/>
      <c r="O172" s="392"/>
      <c r="P172" s="392"/>
      <c r="Q172" s="392"/>
      <c r="R172" s="392"/>
      <c r="S172" s="409"/>
      <c r="T172" s="409"/>
      <c r="U172" s="409"/>
      <c r="V172" s="409"/>
      <c r="W172" s="392"/>
      <c r="X172" s="392"/>
      <c r="Y172" s="409"/>
      <c r="Z172" s="409"/>
      <c r="AA172" s="392"/>
      <c r="AB172" s="392"/>
      <c r="AC172" s="392"/>
      <c r="AD172" s="409"/>
      <c r="AE172" s="409"/>
      <c r="AF172" s="409"/>
      <c r="AG172" s="409"/>
      <c r="AH172" s="409"/>
      <c r="AI172" s="409"/>
      <c r="AJ172" s="409"/>
      <c r="AK172" s="409"/>
      <c r="AL172" s="409"/>
      <c r="AM172" s="409"/>
      <c r="AN172" s="409"/>
      <c r="AO172" s="409"/>
      <c r="AP172" s="409"/>
      <c r="AQ172" s="409"/>
      <c r="AR172" s="409"/>
      <c r="AS172" s="409"/>
      <c r="AT172" s="409"/>
      <c r="AU172" s="409"/>
      <c r="AV172" s="409"/>
      <c r="AW172" s="409"/>
      <c r="AX172" s="409"/>
      <c r="AY172" s="409"/>
      <c r="AZ172" s="409"/>
      <c r="BA172" s="409"/>
      <c r="BB172" s="409"/>
      <c r="BC172" s="409"/>
      <c r="BD172" s="407"/>
      <c r="BE172" s="444"/>
      <c r="BF172" s="444"/>
      <c r="BG172" s="444"/>
      <c r="BH172" s="444"/>
      <c r="BI172" s="444"/>
      <c r="BJ172" s="444"/>
      <c r="BK172" s="444"/>
      <c r="BL172" s="444"/>
      <c r="BM172" s="444"/>
      <c r="BN172" s="444"/>
      <c r="BO172" s="444"/>
      <c r="BP172" s="444"/>
      <c r="BQ172" s="444"/>
      <c r="BR172" s="444"/>
      <c r="BS172" s="444"/>
      <c r="BT172" s="444"/>
    </row>
    <row r="173" spans="1:72" ht="15">
      <c r="A173" s="392"/>
      <c r="B173" s="392"/>
      <c r="C173" s="392"/>
      <c r="D173" s="392"/>
      <c r="E173" s="392"/>
      <c r="F173" s="392"/>
      <c r="G173" s="392"/>
      <c r="H173" s="392"/>
      <c r="I173" s="392"/>
      <c r="J173" s="392"/>
      <c r="K173" s="392"/>
      <c r="L173" s="392"/>
      <c r="M173" s="392"/>
      <c r="N173" s="392"/>
      <c r="O173" s="392"/>
      <c r="P173" s="392"/>
      <c r="Q173" s="392"/>
      <c r="R173" s="392"/>
      <c r="S173" s="409"/>
      <c r="T173" s="409"/>
      <c r="U173" s="409"/>
      <c r="V173" s="409"/>
      <c r="W173" s="392"/>
      <c r="X173" s="392"/>
      <c r="Y173" s="409"/>
      <c r="Z173" s="409"/>
      <c r="AA173" s="392"/>
      <c r="AB173" s="392"/>
      <c r="AC173" s="392"/>
      <c r="AD173" s="409"/>
      <c r="AE173" s="409"/>
      <c r="AF173" s="409"/>
      <c r="AG173" s="409"/>
      <c r="AH173" s="409"/>
      <c r="AI173" s="409"/>
      <c r="AJ173" s="409"/>
      <c r="AK173" s="409"/>
      <c r="AL173" s="409"/>
      <c r="AM173" s="409"/>
      <c r="AN173" s="409"/>
      <c r="AO173" s="409"/>
      <c r="AP173" s="409"/>
      <c r="AQ173" s="409"/>
      <c r="AR173" s="409"/>
      <c r="AS173" s="409"/>
      <c r="AT173" s="409"/>
      <c r="AU173" s="409"/>
      <c r="AV173" s="409"/>
      <c r="AW173" s="409"/>
      <c r="AX173" s="409"/>
      <c r="AY173" s="409"/>
      <c r="AZ173" s="409"/>
      <c r="BA173" s="409"/>
      <c r="BB173" s="409"/>
      <c r="BC173" s="409"/>
      <c r="BD173" s="407"/>
      <c r="BE173" s="444"/>
      <c r="BF173" s="444"/>
      <c r="BG173" s="444"/>
      <c r="BH173" s="444"/>
      <c r="BI173" s="444"/>
      <c r="BJ173" s="444"/>
      <c r="BK173" s="444"/>
      <c r="BL173" s="444"/>
      <c r="BM173" s="444"/>
      <c r="BN173" s="444"/>
      <c r="BO173" s="444"/>
      <c r="BP173" s="444"/>
      <c r="BQ173" s="444"/>
      <c r="BR173" s="444"/>
      <c r="BS173" s="444"/>
      <c r="BT173" s="444"/>
    </row>
    <row r="174" spans="1:72" ht="15">
      <c r="A174" s="392"/>
      <c r="B174" s="392"/>
      <c r="C174" s="392"/>
      <c r="D174" s="392"/>
      <c r="E174" s="392"/>
      <c r="F174" s="392"/>
      <c r="G174" s="392"/>
      <c r="H174" s="392"/>
      <c r="I174" s="392"/>
      <c r="J174" s="392"/>
      <c r="K174" s="392"/>
      <c r="L174" s="392"/>
      <c r="M174" s="392"/>
      <c r="N174" s="392"/>
      <c r="O174" s="392"/>
      <c r="P174" s="392"/>
      <c r="Q174" s="392"/>
      <c r="R174" s="392"/>
      <c r="S174" s="409"/>
      <c r="T174" s="409"/>
      <c r="U174" s="409"/>
      <c r="V174" s="409"/>
      <c r="W174" s="392"/>
      <c r="X174" s="392"/>
      <c r="Y174" s="409"/>
      <c r="Z174" s="409"/>
      <c r="AA174" s="392"/>
      <c r="AB174" s="392"/>
      <c r="AC174" s="392"/>
      <c r="AD174" s="409"/>
      <c r="AE174" s="409"/>
      <c r="AF174" s="409"/>
      <c r="AG174" s="409"/>
      <c r="AH174" s="409"/>
      <c r="AI174" s="409"/>
      <c r="AJ174" s="409"/>
      <c r="AK174" s="409"/>
      <c r="AL174" s="409"/>
      <c r="AM174" s="409"/>
      <c r="AN174" s="409"/>
      <c r="AO174" s="409"/>
      <c r="AP174" s="409"/>
      <c r="AQ174" s="409"/>
      <c r="AR174" s="409"/>
      <c r="AS174" s="409"/>
      <c r="AT174" s="409"/>
      <c r="AU174" s="409"/>
      <c r="AV174" s="409"/>
      <c r="AW174" s="409"/>
      <c r="AX174" s="409"/>
      <c r="AY174" s="409"/>
      <c r="AZ174" s="409"/>
      <c r="BA174" s="409"/>
      <c r="BB174" s="409"/>
      <c r="BC174" s="409"/>
      <c r="BD174" s="407"/>
      <c r="BE174" s="444"/>
      <c r="BF174" s="444"/>
      <c r="BG174" s="444"/>
      <c r="BH174" s="444"/>
      <c r="BI174" s="444"/>
      <c r="BJ174" s="444"/>
      <c r="BK174" s="444"/>
      <c r="BL174" s="444"/>
      <c r="BM174" s="444"/>
      <c r="BN174" s="444"/>
      <c r="BO174" s="444"/>
      <c r="BP174" s="444"/>
      <c r="BQ174" s="444"/>
      <c r="BR174" s="444"/>
      <c r="BS174" s="444"/>
      <c r="BT174" s="444"/>
    </row>
    <row r="175" spans="1:72" ht="15">
      <c r="A175" s="392"/>
      <c r="B175" s="392"/>
      <c r="C175" s="392"/>
      <c r="D175" s="392"/>
      <c r="E175" s="392"/>
      <c r="F175" s="392"/>
      <c r="G175" s="392"/>
      <c r="H175" s="392"/>
      <c r="I175" s="392"/>
      <c r="J175" s="392"/>
      <c r="K175" s="392"/>
      <c r="L175" s="392"/>
      <c r="M175" s="392"/>
      <c r="N175" s="392"/>
      <c r="O175" s="392"/>
      <c r="P175" s="392"/>
      <c r="Q175" s="392"/>
      <c r="R175" s="392"/>
      <c r="S175" s="409"/>
      <c r="T175" s="409"/>
      <c r="U175" s="409"/>
      <c r="V175" s="409"/>
      <c r="W175" s="392"/>
      <c r="X175" s="392"/>
      <c r="Y175" s="409"/>
      <c r="Z175" s="409"/>
      <c r="AA175" s="392"/>
      <c r="AB175" s="392"/>
      <c r="AC175" s="392"/>
      <c r="AD175" s="409"/>
      <c r="AE175" s="409"/>
      <c r="AF175" s="409"/>
      <c r="AG175" s="409"/>
      <c r="AH175" s="409"/>
      <c r="AI175" s="409"/>
      <c r="AJ175" s="409"/>
      <c r="AK175" s="409"/>
      <c r="AL175" s="409"/>
      <c r="AM175" s="409"/>
      <c r="AN175" s="409"/>
      <c r="AO175" s="409"/>
      <c r="AP175" s="409"/>
      <c r="AQ175" s="409"/>
      <c r="AR175" s="409"/>
      <c r="AS175" s="409"/>
      <c r="AT175" s="409"/>
      <c r="AU175" s="409"/>
      <c r="AV175" s="409"/>
      <c r="AW175" s="409"/>
      <c r="AX175" s="409"/>
      <c r="AY175" s="409"/>
      <c r="AZ175" s="409"/>
      <c r="BA175" s="409"/>
      <c r="BB175" s="409"/>
      <c r="BC175" s="409"/>
      <c r="BD175" s="407"/>
      <c r="BE175" s="444"/>
      <c r="BF175" s="444"/>
      <c r="BG175" s="444"/>
      <c r="BH175" s="444"/>
      <c r="BI175" s="444"/>
      <c r="BJ175" s="444"/>
      <c r="BK175" s="444"/>
      <c r="BL175" s="444"/>
      <c r="BM175" s="444"/>
      <c r="BN175" s="444"/>
      <c r="BO175" s="444"/>
      <c r="BP175" s="444"/>
      <c r="BQ175" s="444"/>
      <c r="BR175" s="444"/>
      <c r="BS175" s="444"/>
      <c r="BT175" s="444"/>
    </row>
    <row r="176" spans="1:72" ht="15">
      <c r="A176" s="392"/>
      <c r="B176" s="392"/>
      <c r="C176" s="392"/>
      <c r="D176" s="392"/>
      <c r="E176" s="392"/>
      <c r="F176" s="392"/>
      <c r="G176" s="392"/>
      <c r="H176" s="392"/>
      <c r="I176" s="392"/>
      <c r="J176" s="392"/>
      <c r="K176" s="392"/>
      <c r="L176" s="392"/>
      <c r="M176" s="392"/>
      <c r="N176" s="392"/>
      <c r="O176" s="392"/>
      <c r="P176" s="392"/>
      <c r="Q176" s="392"/>
      <c r="R176" s="392"/>
      <c r="S176" s="409"/>
      <c r="T176" s="409"/>
      <c r="U176" s="409"/>
      <c r="V176" s="409"/>
      <c r="W176" s="392"/>
      <c r="X176" s="392"/>
      <c r="Y176" s="409"/>
      <c r="Z176" s="409"/>
      <c r="AA176" s="392"/>
      <c r="AB176" s="392"/>
      <c r="AC176" s="392"/>
      <c r="AD176" s="409"/>
      <c r="AE176" s="409"/>
      <c r="AF176" s="409"/>
      <c r="AG176" s="409"/>
      <c r="AH176" s="409"/>
      <c r="AI176" s="409"/>
      <c r="AJ176" s="409"/>
      <c r="AK176" s="409"/>
      <c r="AL176" s="409"/>
      <c r="AM176" s="409"/>
      <c r="AN176" s="409"/>
      <c r="AO176" s="409"/>
      <c r="AP176" s="409"/>
      <c r="AQ176" s="409"/>
      <c r="AR176" s="409"/>
      <c r="AS176" s="409"/>
      <c r="AT176" s="409"/>
      <c r="AU176" s="409"/>
      <c r="AV176" s="409"/>
      <c r="AW176" s="409"/>
      <c r="AX176" s="409"/>
      <c r="AY176" s="409"/>
      <c r="AZ176" s="409"/>
      <c r="BA176" s="409"/>
      <c r="BB176" s="409"/>
      <c r="BC176" s="409"/>
      <c r="BD176" s="407"/>
      <c r="BE176" s="444"/>
      <c r="BF176" s="444"/>
      <c r="BG176" s="444"/>
      <c r="BH176" s="444"/>
      <c r="BI176" s="444"/>
      <c r="BJ176" s="444"/>
      <c r="BK176" s="444"/>
      <c r="BL176" s="444"/>
      <c r="BM176" s="444"/>
      <c r="BN176" s="444"/>
      <c r="BO176" s="444"/>
      <c r="BP176" s="444"/>
      <c r="BQ176" s="444"/>
      <c r="BR176" s="444"/>
      <c r="BS176" s="444"/>
      <c r="BT176" s="444"/>
    </row>
    <row r="177" spans="1:72" ht="15">
      <c r="A177" s="392"/>
      <c r="B177" s="392"/>
      <c r="C177" s="392"/>
      <c r="D177" s="392"/>
      <c r="E177" s="392"/>
      <c r="F177" s="392"/>
      <c r="G177" s="392"/>
      <c r="H177" s="392"/>
      <c r="I177" s="392"/>
      <c r="J177" s="392"/>
      <c r="K177" s="392"/>
      <c r="L177" s="392"/>
      <c r="M177" s="392"/>
      <c r="N177" s="392"/>
      <c r="O177" s="392"/>
      <c r="P177" s="392"/>
      <c r="Q177" s="392"/>
      <c r="R177" s="392"/>
      <c r="S177" s="409"/>
      <c r="T177" s="409"/>
      <c r="U177" s="409"/>
      <c r="V177" s="409"/>
      <c r="W177" s="392"/>
      <c r="X177" s="392"/>
      <c r="Y177" s="409"/>
      <c r="Z177" s="409"/>
      <c r="AA177" s="392"/>
      <c r="AB177" s="392"/>
      <c r="AC177" s="392"/>
      <c r="AD177" s="409"/>
      <c r="AE177" s="409"/>
      <c r="AF177" s="409"/>
      <c r="AG177" s="409"/>
      <c r="AH177" s="409"/>
      <c r="AI177" s="409"/>
      <c r="AJ177" s="409"/>
      <c r="AK177" s="409"/>
      <c r="AL177" s="409"/>
      <c r="AM177" s="409"/>
      <c r="AN177" s="409"/>
      <c r="AO177" s="409"/>
      <c r="AP177" s="409"/>
      <c r="AQ177" s="409"/>
      <c r="AR177" s="409"/>
      <c r="AS177" s="409"/>
      <c r="AT177" s="409"/>
      <c r="AU177" s="409"/>
      <c r="AV177" s="409"/>
      <c r="AW177" s="409"/>
      <c r="AX177" s="409"/>
      <c r="AY177" s="409"/>
      <c r="AZ177" s="409"/>
      <c r="BA177" s="409"/>
      <c r="BB177" s="409"/>
      <c r="BC177" s="409"/>
      <c r="BD177" s="407"/>
      <c r="BE177" s="444"/>
      <c r="BF177" s="444"/>
      <c r="BG177" s="444"/>
      <c r="BH177" s="444"/>
      <c r="BI177" s="444"/>
      <c r="BJ177" s="444"/>
      <c r="BK177" s="444"/>
      <c r="BL177" s="444"/>
      <c r="BM177" s="444"/>
      <c r="BN177" s="444"/>
      <c r="BO177" s="444"/>
      <c r="BP177" s="444"/>
      <c r="BQ177" s="444"/>
      <c r="BR177" s="444"/>
      <c r="BS177" s="444"/>
      <c r="BT177" s="444"/>
    </row>
    <row r="178" spans="1:72" ht="15">
      <c r="A178" s="392"/>
      <c r="B178" s="392"/>
      <c r="C178" s="392"/>
      <c r="D178" s="392"/>
      <c r="E178" s="392"/>
      <c r="F178" s="392"/>
      <c r="G178" s="392"/>
      <c r="H178" s="392"/>
      <c r="I178" s="392"/>
      <c r="J178" s="392"/>
      <c r="K178" s="392"/>
      <c r="L178" s="392"/>
      <c r="M178" s="392"/>
      <c r="N178" s="392"/>
      <c r="O178" s="392"/>
      <c r="P178" s="392"/>
      <c r="Q178" s="392"/>
      <c r="R178" s="392"/>
      <c r="S178" s="409"/>
      <c r="T178" s="409"/>
      <c r="U178" s="409"/>
      <c r="V178" s="409"/>
      <c r="W178" s="392"/>
      <c r="X178" s="392"/>
      <c r="Y178" s="409"/>
      <c r="Z178" s="409"/>
      <c r="AA178" s="392"/>
      <c r="AB178" s="392"/>
      <c r="AC178" s="392"/>
      <c r="AD178" s="409"/>
      <c r="AE178" s="409"/>
      <c r="AF178" s="409"/>
      <c r="AG178" s="409"/>
      <c r="AH178" s="409"/>
      <c r="AI178" s="409"/>
      <c r="AJ178" s="409"/>
      <c r="AK178" s="409"/>
      <c r="AL178" s="409"/>
      <c r="AM178" s="409"/>
      <c r="AN178" s="409"/>
      <c r="AO178" s="409"/>
      <c r="AP178" s="409"/>
      <c r="AQ178" s="409"/>
      <c r="AR178" s="409"/>
      <c r="AS178" s="409"/>
      <c r="AT178" s="409"/>
      <c r="AU178" s="409"/>
      <c r="AV178" s="409"/>
      <c r="AW178" s="409"/>
      <c r="AX178" s="409"/>
      <c r="AY178" s="409"/>
      <c r="AZ178" s="409"/>
      <c r="BA178" s="409"/>
      <c r="BB178" s="409"/>
      <c r="BC178" s="409"/>
      <c r="BD178" s="407"/>
      <c r="BE178" s="444"/>
      <c r="BF178" s="444"/>
      <c r="BG178" s="444"/>
      <c r="BH178" s="444"/>
      <c r="BI178" s="444"/>
      <c r="BJ178" s="444"/>
      <c r="BK178" s="444"/>
      <c r="BL178" s="444"/>
      <c r="BM178" s="444"/>
      <c r="BN178" s="444"/>
      <c r="BO178" s="444"/>
      <c r="BP178" s="444"/>
      <c r="BQ178" s="444"/>
      <c r="BR178" s="444"/>
      <c r="BS178" s="444"/>
      <c r="BT178" s="444"/>
    </row>
    <row r="179" spans="1:72" ht="15">
      <c r="A179" s="392"/>
      <c r="B179" s="392"/>
      <c r="C179" s="392"/>
      <c r="D179" s="392"/>
      <c r="E179" s="392"/>
      <c r="F179" s="392"/>
      <c r="G179" s="392"/>
      <c r="H179" s="392"/>
      <c r="I179" s="392"/>
      <c r="J179" s="392"/>
      <c r="K179" s="392"/>
      <c r="L179" s="392"/>
      <c r="M179" s="392"/>
      <c r="N179" s="392"/>
      <c r="O179" s="392"/>
      <c r="P179" s="392"/>
      <c r="Q179" s="392"/>
      <c r="R179" s="392"/>
      <c r="S179" s="409"/>
      <c r="T179" s="409"/>
      <c r="U179" s="409"/>
      <c r="V179" s="409"/>
      <c r="W179" s="392"/>
      <c r="X179" s="392"/>
      <c r="Y179" s="409"/>
      <c r="Z179" s="409"/>
      <c r="AA179" s="392"/>
      <c r="AB179" s="392"/>
      <c r="AC179" s="392"/>
      <c r="AD179" s="409"/>
      <c r="AE179" s="409"/>
      <c r="AF179" s="409"/>
      <c r="AG179" s="409"/>
      <c r="AH179" s="409"/>
      <c r="AI179" s="409"/>
      <c r="AJ179" s="409"/>
      <c r="AK179" s="409"/>
      <c r="AL179" s="409"/>
      <c r="AM179" s="409"/>
      <c r="AN179" s="409"/>
      <c r="AO179" s="409"/>
      <c r="AP179" s="409"/>
      <c r="AQ179" s="409"/>
      <c r="AR179" s="409"/>
      <c r="AS179" s="409"/>
      <c r="AT179" s="409"/>
      <c r="AU179" s="409"/>
      <c r="AV179" s="409"/>
      <c r="AW179" s="409"/>
      <c r="AX179" s="409"/>
      <c r="AY179" s="409"/>
      <c r="AZ179" s="409"/>
      <c r="BA179" s="409"/>
      <c r="BB179" s="409"/>
      <c r="BC179" s="409"/>
      <c r="BD179" s="407"/>
      <c r="BE179" s="444"/>
      <c r="BF179" s="444"/>
      <c r="BG179" s="444"/>
      <c r="BH179" s="444"/>
      <c r="BI179" s="444"/>
      <c r="BJ179" s="444"/>
      <c r="BK179" s="444"/>
      <c r="BL179" s="444"/>
      <c r="BM179" s="444"/>
      <c r="BN179" s="444"/>
      <c r="BO179" s="444"/>
      <c r="BP179" s="444"/>
      <c r="BQ179" s="444"/>
      <c r="BR179" s="444"/>
      <c r="BS179" s="444"/>
      <c r="BT179" s="444"/>
    </row>
    <row r="180" spans="1:72" ht="15">
      <c r="A180" s="392"/>
      <c r="B180" s="392"/>
      <c r="C180" s="392"/>
      <c r="D180" s="392"/>
      <c r="E180" s="392"/>
      <c r="F180" s="392"/>
      <c r="G180" s="392"/>
      <c r="H180" s="392"/>
      <c r="I180" s="392"/>
      <c r="J180" s="392"/>
      <c r="K180" s="392"/>
      <c r="L180" s="392"/>
      <c r="M180" s="392"/>
      <c r="N180" s="392"/>
      <c r="O180" s="392"/>
      <c r="P180" s="392"/>
      <c r="Q180" s="392"/>
      <c r="R180" s="392"/>
      <c r="S180" s="409"/>
      <c r="T180" s="409"/>
      <c r="U180" s="409"/>
      <c r="V180" s="409"/>
      <c r="W180" s="392"/>
      <c r="X180" s="392"/>
      <c r="Y180" s="409"/>
      <c r="Z180" s="409"/>
      <c r="AA180" s="392"/>
      <c r="AB180" s="392"/>
      <c r="AC180" s="392"/>
      <c r="AD180" s="409"/>
      <c r="AE180" s="409"/>
      <c r="AF180" s="409"/>
      <c r="AG180" s="409"/>
      <c r="AH180" s="409"/>
      <c r="AI180" s="409"/>
      <c r="AJ180" s="409"/>
      <c r="AK180" s="409"/>
      <c r="AL180" s="409"/>
      <c r="AM180" s="409"/>
      <c r="AN180" s="409"/>
      <c r="AO180" s="409"/>
      <c r="AP180" s="409"/>
      <c r="AQ180" s="409"/>
      <c r="AR180" s="409"/>
      <c r="AS180" s="409"/>
      <c r="AT180" s="409"/>
      <c r="AU180" s="409"/>
      <c r="AV180" s="409"/>
      <c r="AW180" s="409"/>
      <c r="AX180" s="409"/>
      <c r="AY180" s="409"/>
      <c r="AZ180" s="409"/>
      <c r="BA180" s="409"/>
      <c r="BB180" s="409"/>
      <c r="BC180" s="409"/>
      <c r="BD180" s="407"/>
      <c r="BE180" s="444"/>
      <c r="BF180" s="444"/>
      <c r="BG180" s="444"/>
      <c r="BH180" s="444"/>
      <c r="BI180" s="444"/>
      <c r="BJ180" s="444"/>
      <c r="BK180" s="444"/>
      <c r="BL180" s="444"/>
      <c r="BM180" s="444"/>
      <c r="BN180" s="444"/>
      <c r="BO180" s="444"/>
      <c r="BP180" s="444"/>
      <c r="BQ180" s="444"/>
      <c r="BR180" s="444"/>
      <c r="BS180" s="444"/>
      <c r="BT180" s="444"/>
    </row>
    <row r="181" spans="1:72" ht="15">
      <c r="A181" s="392"/>
      <c r="B181" s="392"/>
      <c r="C181" s="392"/>
      <c r="D181" s="392"/>
      <c r="E181" s="392"/>
      <c r="F181" s="392"/>
      <c r="G181" s="392"/>
      <c r="H181" s="392"/>
      <c r="I181" s="392"/>
      <c r="J181" s="392"/>
      <c r="K181" s="392"/>
      <c r="L181" s="392"/>
      <c r="M181" s="392"/>
      <c r="N181" s="392"/>
      <c r="O181" s="392"/>
      <c r="P181" s="392"/>
      <c r="Q181" s="392"/>
      <c r="R181" s="392"/>
      <c r="S181" s="409"/>
      <c r="T181" s="409"/>
      <c r="U181" s="409"/>
      <c r="V181" s="409"/>
      <c r="W181" s="392"/>
      <c r="X181" s="392"/>
      <c r="Y181" s="409"/>
      <c r="Z181" s="409"/>
      <c r="AA181" s="392"/>
      <c r="AB181" s="392"/>
      <c r="AC181" s="392"/>
      <c r="AD181" s="409"/>
      <c r="AE181" s="409"/>
      <c r="AF181" s="409"/>
      <c r="AG181" s="409"/>
      <c r="AH181" s="409"/>
      <c r="AI181" s="409"/>
      <c r="AJ181" s="409"/>
      <c r="AK181" s="409"/>
      <c r="AL181" s="409"/>
      <c r="AM181" s="409"/>
      <c r="AN181" s="409"/>
      <c r="AO181" s="409"/>
      <c r="AP181" s="409"/>
      <c r="AQ181" s="409"/>
      <c r="AR181" s="409"/>
      <c r="AS181" s="409"/>
      <c r="AT181" s="409"/>
      <c r="AU181" s="409"/>
      <c r="AV181" s="409"/>
      <c r="AW181" s="409"/>
      <c r="AX181" s="409"/>
      <c r="AY181" s="409"/>
      <c r="AZ181" s="409"/>
      <c r="BA181" s="409"/>
      <c r="BB181" s="409"/>
      <c r="BC181" s="409"/>
      <c r="BD181" s="407"/>
      <c r="BE181" s="444"/>
      <c r="BF181" s="444"/>
      <c r="BG181" s="444"/>
      <c r="BH181" s="444"/>
      <c r="BI181" s="444"/>
      <c r="BJ181" s="444"/>
      <c r="BK181" s="444"/>
      <c r="BL181" s="444"/>
      <c r="BM181" s="444"/>
      <c r="BN181" s="444"/>
      <c r="BO181" s="444"/>
      <c r="BP181" s="444"/>
      <c r="BQ181" s="444"/>
      <c r="BR181" s="444"/>
      <c r="BS181" s="444"/>
      <c r="BT181" s="444"/>
    </row>
    <row r="182" spans="1:72" ht="15">
      <c r="A182" s="392"/>
      <c r="B182" s="392"/>
      <c r="C182" s="392"/>
      <c r="D182" s="392"/>
      <c r="E182" s="392"/>
      <c r="F182" s="392"/>
      <c r="G182" s="392"/>
      <c r="H182" s="392"/>
      <c r="I182" s="392"/>
      <c r="J182" s="392"/>
      <c r="K182" s="392"/>
      <c r="L182" s="392"/>
      <c r="M182" s="392"/>
      <c r="N182" s="392"/>
      <c r="O182" s="392"/>
      <c r="P182" s="392"/>
      <c r="Q182" s="392"/>
      <c r="R182" s="392"/>
      <c r="S182" s="409"/>
      <c r="T182" s="409"/>
      <c r="U182" s="409"/>
      <c r="V182" s="409"/>
      <c r="W182" s="392"/>
      <c r="X182" s="392"/>
      <c r="Y182" s="409"/>
      <c r="Z182" s="409"/>
      <c r="AA182" s="392"/>
      <c r="AB182" s="392"/>
      <c r="AC182" s="392"/>
      <c r="AD182" s="409"/>
      <c r="AE182" s="409"/>
      <c r="AF182" s="409"/>
      <c r="AG182" s="409"/>
      <c r="AH182" s="409"/>
      <c r="AI182" s="409"/>
      <c r="AJ182" s="409"/>
      <c r="AK182" s="409"/>
      <c r="AL182" s="409"/>
      <c r="AM182" s="409"/>
      <c r="AN182" s="409"/>
      <c r="AO182" s="409"/>
      <c r="AP182" s="409"/>
      <c r="AQ182" s="409"/>
      <c r="AR182" s="409"/>
      <c r="AS182" s="409"/>
      <c r="AT182" s="409"/>
      <c r="AU182" s="409"/>
      <c r="AV182" s="409"/>
      <c r="AW182" s="409"/>
      <c r="AX182" s="409"/>
      <c r="AY182" s="409"/>
      <c r="AZ182" s="409"/>
      <c r="BA182" s="409"/>
      <c r="BB182" s="409"/>
      <c r="BC182" s="409"/>
      <c r="BD182" s="407"/>
      <c r="BE182" s="444"/>
      <c r="BF182" s="444"/>
      <c r="BG182" s="444"/>
      <c r="BH182" s="444"/>
      <c r="BI182" s="444"/>
      <c r="BJ182" s="444"/>
      <c r="BK182" s="444"/>
      <c r="BL182" s="444"/>
      <c r="BM182" s="444"/>
      <c r="BN182" s="444"/>
      <c r="BO182" s="444"/>
      <c r="BP182" s="444"/>
      <c r="BQ182" s="444"/>
      <c r="BR182" s="444"/>
      <c r="BS182" s="444"/>
      <c r="BT182" s="444"/>
    </row>
    <row r="183" spans="1:72" ht="15">
      <c r="A183" s="392"/>
      <c r="B183" s="392"/>
      <c r="C183" s="392"/>
      <c r="D183" s="392"/>
      <c r="E183" s="392"/>
      <c r="F183" s="392"/>
      <c r="G183" s="392"/>
      <c r="H183" s="392"/>
      <c r="I183" s="392"/>
      <c r="J183" s="392"/>
      <c r="K183" s="392"/>
      <c r="L183" s="392"/>
      <c r="M183" s="392"/>
      <c r="N183" s="392"/>
      <c r="O183" s="392"/>
      <c r="P183" s="392"/>
      <c r="Q183" s="392"/>
      <c r="R183" s="392"/>
      <c r="S183" s="409"/>
      <c r="T183" s="409"/>
      <c r="U183" s="409"/>
      <c r="V183" s="409"/>
      <c r="W183" s="392"/>
      <c r="X183" s="392"/>
      <c r="Y183" s="409"/>
      <c r="Z183" s="409"/>
      <c r="AA183" s="392"/>
      <c r="AB183" s="392"/>
      <c r="AC183" s="392"/>
      <c r="AD183" s="409"/>
      <c r="AE183" s="409"/>
      <c r="AF183" s="409"/>
      <c r="AG183" s="409"/>
      <c r="AH183" s="409"/>
      <c r="AI183" s="409"/>
      <c r="AJ183" s="409"/>
      <c r="AK183" s="409"/>
      <c r="AL183" s="409"/>
      <c r="AM183" s="409"/>
      <c r="AN183" s="409"/>
      <c r="AO183" s="409"/>
      <c r="AP183" s="409"/>
      <c r="AQ183" s="409"/>
      <c r="AR183" s="409"/>
      <c r="AS183" s="409"/>
      <c r="AT183" s="409"/>
      <c r="AU183" s="409"/>
      <c r="AV183" s="409"/>
      <c r="AW183" s="409"/>
      <c r="AX183" s="409"/>
      <c r="AY183" s="409"/>
      <c r="AZ183" s="409"/>
      <c r="BA183" s="409"/>
      <c r="BB183" s="409"/>
      <c r="BC183" s="409"/>
      <c r="BD183" s="407"/>
      <c r="BE183" s="444"/>
      <c r="BF183" s="444"/>
      <c r="BG183" s="444"/>
      <c r="BH183" s="444"/>
      <c r="BI183" s="444"/>
      <c r="BJ183" s="444"/>
      <c r="BK183" s="444"/>
      <c r="BL183" s="444"/>
      <c r="BM183" s="444"/>
      <c r="BN183" s="444"/>
      <c r="BO183" s="444"/>
      <c r="BP183" s="444"/>
      <c r="BQ183" s="444"/>
      <c r="BR183" s="444"/>
      <c r="BS183" s="444"/>
      <c r="BT183" s="444"/>
    </row>
    <row r="184" spans="1:72" ht="15">
      <c r="A184" s="392"/>
      <c r="B184" s="392"/>
      <c r="C184" s="392"/>
      <c r="D184" s="392"/>
      <c r="E184" s="392"/>
      <c r="F184" s="392"/>
      <c r="G184" s="392"/>
      <c r="H184" s="392"/>
      <c r="I184" s="392"/>
      <c r="J184" s="392"/>
      <c r="K184" s="392"/>
      <c r="L184" s="392"/>
      <c r="M184" s="392"/>
      <c r="N184" s="392"/>
      <c r="O184" s="392"/>
      <c r="P184" s="392"/>
      <c r="Q184" s="392"/>
      <c r="R184" s="392"/>
      <c r="S184" s="409"/>
      <c r="T184" s="409"/>
      <c r="U184" s="409"/>
      <c r="V184" s="409"/>
      <c r="W184" s="392"/>
      <c r="X184" s="392"/>
      <c r="Y184" s="409"/>
      <c r="Z184" s="409"/>
      <c r="AA184" s="392"/>
      <c r="AB184" s="392"/>
      <c r="AC184" s="392"/>
      <c r="AD184" s="409"/>
      <c r="AE184" s="409"/>
      <c r="AF184" s="409"/>
      <c r="AG184" s="409"/>
      <c r="AH184" s="409"/>
      <c r="AI184" s="409"/>
      <c r="AJ184" s="409"/>
      <c r="AK184" s="409"/>
      <c r="AL184" s="409"/>
      <c r="AM184" s="409"/>
      <c r="AN184" s="409"/>
      <c r="AO184" s="409"/>
      <c r="AP184" s="409"/>
      <c r="AQ184" s="409"/>
      <c r="AR184" s="409"/>
      <c r="AS184" s="409"/>
      <c r="AT184" s="409"/>
      <c r="AU184" s="409"/>
      <c r="AV184" s="409"/>
      <c r="AW184" s="409"/>
      <c r="AX184" s="409"/>
      <c r="AY184" s="409"/>
      <c r="AZ184" s="409"/>
      <c r="BA184" s="409"/>
      <c r="BB184" s="409"/>
      <c r="BC184" s="409"/>
      <c r="BD184" s="407"/>
      <c r="BE184" s="444"/>
      <c r="BF184" s="444"/>
      <c r="BG184" s="444"/>
      <c r="BH184" s="444"/>
      <c r="BI184" s="444"/>
      <c r="BJ184" s="444"/>
      <c r="BK184" s="444"/>
      <c r="BL184" s="444"/>
      <c r="BM184" s="444"/>
      <c r="BN184" s="444"/>
      <c r="BO184" s="444"/>
      <c r="BP184" s="444"/>
      <c r="BQ184" s="444"/>
      <c r="BR184" s="444"/>
      <c r="BS184" s="444"/>
      <c r="BT184" s="444"/>
    </row>
    <row r="185" spans="1:72" ht="15">
      <c r="A185" s="392"/>
      <c r="B185" s="392"/>
      <c r="C185" s="392"/>
      <c r="D185" s="392"/>
      <c r="E185" s="392"/>
      <c r="F185" s="392"/>
      <c r="G185" s="392"/>
      <c r="H185" s="392"/>
      <c r="I185" s="392"/>
      <c r="J185" s="392"/>
      <c r="K185" s="392"/>
      <c r="L185" s="392"/>
      <c r="M185" s="392"/>
      <c r="N185" s="392"/>
      <c r="O185" s="392"/>
      <c r="P185" s="392"/>
      <c r="Q185" s="392"/>
      <c r="R185" s="392"/>
      <c r="S185" s="409"/>
      <c r="T185" s="409"/>
      <c r="U185" s="409"/>
      <c r="V185" s="409"/>
      <c r="W185" s="392"/>
      <c r="X185" s="392"/>
      <c r="Y185" s="409"/>
      <c r="Z185" s="409"/>
      <c r="AA185" s="392"/>
      <c r="AB185" s="392"/>
      <c r="AC185" s="392"/>
      <c r="AD185" s="409"/>
      <c r="AE185" s="409"/>
      <c r="AF185" s="409"/>
      <c r="AG185" s="409"/>
      <c r="AH185" s="409"/>
      <c r="AI185" s="409"/>
      <c r="AJ185" s="409"/>
      <c r="AK185" s="409"/>
      <c r="AL185" s="409"/>
      <c r="AM185" s="409"/>
      <c r="AN185" s="409"/>
      <c r="AO185" s="409"/>
      <c r="AP185" s="409"/>
      <c r="AQ185" s="409"/>
      <c r="AR185" s="409"/>
      <c r="AS185" s="409"/>
      <c r="AT185" s="409"/>
      <c r="AU185" s="409"/>
      <c r="AV185" s="409"/>
      <c r="AW185" s="409"/>
      <c r="AX185" s="409"/>
      <c r="AY185" s="409"/>
      <c r="AZ185" s="409"/>
      <c r="BA185" s="409"/>
      <c r="BB185" s="409"/>
      <c r="BC185" s="409"/>
      <c r="BD185" s="407"/>
      <c r="BE185" s="444"/>
      <c r="BF185" s="444"/>
      <c r="BG185" s="444"/>
      <c r="BH185" s="444"/>
      <c r="BI185" s="444"/>
      <c r="BJ185" s="444"/>
      <c r="BK185" s="444"/>
      <c r="BL185" s="444"/>
      <c r="BM185" s="444"/>
      <c r="BN185" s="444"/>
      <c r="BO185" s="444"/>
      <c r="BP185" s="444"/>
      <c r="BQ185" s="444"/>
      <c r="BR185" s="444"/>
      <c r="BS185" s="444"/>
      <c r="BT185" s="444"/>
    </row>
    <row r="186" spans="1:72" ht="15">
      <c r="A186" s="392"/>
      <c r="B186" s="392"/>
      <c r="C186" s="392"/>
      <c r="D186" s="392"/>
      <c r="E186" s="392"/>
      <c r="F186" s="392"/>
      <c r="G186" s="392"/>
      <c r="H186" s="392"/>
      <c r="I186" s="392"/>
      <c r="J186" s="392"/>
      <c r="K186" s="392"/>
      <c r="L186" s="392"/>
      <c r="M186" s="392"/>
      <c r="N186" s="392"/>
      <c r="O186" s="392"/>
      <c r="P186" s="392"/>
      <c r="Q186" s="392"/>
      <c r="R186" s="392"/>
      <c r="S186" s="409"/>
      <c r="T186" s="409"/>
      <c r="U186" s="409"/>
      <c r="V186" s="409"/>
      <c r="W186" s="392"/>
      <c r="X186" s="392"/>
      <c r="Y186" s="409"/>
      <c r="Z186" s="409"/>
      <c r="AA186" s="392"/>
      <c r="AB186" s="392"/>
      <c r="AC186" s="392"/>
      <c r="AD186" s="409"/>
      <c r="AE186" s="409"/>
      <c r="AF186" s="409"/>
      <c r="AG186" s="409"/>
      <c r="AH186" s="409"/>
      <c r="AI186" s="409"/>
      <c r="AJ186" s="409"/>
      <c r="AK186" s="409"/>
      <c r="AL186" s="409"/>
      <c r="AM186" s="409"/>
      <c r="AN186" s="409"/>
      <c r="AO186" s="409"/>
      <c r="AP186" s="409"/>
      <c r="AQ186" s="409"/>
      <c r="AR186" s="409"/>
      <c r="AS186" s="409"/>
      <c r="AT186" s="409"/>
      <c r="AU186" s="409"/>
      <c r="AV186" s="409"/>
      <c r="AW186" s="409"/>
      <c r="AX186" s="409"/>
      <c r="AY186" s="409"/>
      <c r="AZ186" s="409"/>
      <c r="BA186" s="409"/>
      <c r="BB186" s="409"/>
      <c r="BC186" s="409"/>
      <c r="BD186" s="407"/>
      <c r="BE186" s="444"/>
      <c r="BF186" s="444"/>
      <c r="BG186" s="444"/>
      <c r="BH186" s="444"/>
      <c r="BI186" s="444"/>
      <c r="BJ186" s="444"/>
      <c r="BK186" s="444"/>
      <c r="BL186" s="444"/>
      <c r="BM186" s="444"/>
      <c r="BN186" s="444"/>
      <c r="BO186" s="444"/>
      <c r="BP186" s="444"/>
      <c r="BQ186" s="444"/>
      <c r="BR186" s="444"/>
      <c r="BS186" s="444"/>
      <c r="BT186" s="444"/>
    </row>
    <row r="187" spans="1:72" ht="15">
      <c r="A187" s="392"/>
      <c r="B187" s="392"/>
      <c r="C187" s="392"/>
      <c r="D187" s="392"/>
      <c r="E187" s="392"/>
      <c r="F187" s="392"/>
      <c r="G187" s="392"/>
      <c r="H187" s="392"/>
      <c r="I187" s="392"/>
      <c r="J187" s="392"/>
      <c r="K187" s="392"/>
      <c r="L187" s="392"/>
      <c r="M187" s="392"/>
      <c r="N187" s="392"/>
      <c r="O187" s="392"/>
      <c r="P187" s="392"/>
      <c r="Q187" s="392"/>
      <c r="R187" s="392"/>
      <c r="S187" s="409"/>
      <c r="T187" s="409"/>
      <c r="U187" s="409"/>
      <c r="V187" s="409"/>
      <c r="W187" s="392"/>
      <c r="X187" s="392"/>
      <c r="Y187" s="409"/>
      <c r="Z187" s="409"/>
      <c r="AA187" s="392"/>
      <c r="AB187" s="392"/>
      <c r="AC187" s="392"/>
      <c r="AD187" s="409"/>
      <c r="AE187" s="409"/>
      <c r="AF187" s="409"/>
      <c r="AG187" s="409"/>
      <c r="AH187" s="409"/>
      <c r="AI187" s="409"/>
      <c r="AJ187" s="409"/>
      <c r="AK187" s="409"/>
      <c r="AL187" s="409"/>
      <c r="AM187" s="409"/>
      <c r="AN187" s="409"/>
      <c r="AO187" s="409"/>
      <c r="AP187" s="409"/>
      <c r="AQ187" s="409"/>
      <c r="AR187" s="409"/>
      <c r="AS187" s="409"/>
      <c r="AT187" s="409"/>
      <c r="AU187" s="409"/>
      <c r="AV187" s="409"/>
      <c r="AW187" s="409"/>
      <c r="AX187" s="409"/>
      <c r="AY187" s="409"/>
      <c r="AZ187" s="409"/>
      <c r="BA187" s="409"/>
      <c r="BB187" s="409"/>
      <c r="BC187" s="409"/>
      <c r="BD187" s="407"/>
      <c r="BE187" s="444"/>
      <c r="BF187" s="444"/>
      <c r="BG187" s="444"/>
      <c r="BH187" s="444"/>
      <c r="BI187" s="444"/>
      <c r="BJ187" s="444"/>
      <c r="BK187" s="444"/>
      <c r="BL187" s="444"/>
      <c r="BM187" s="444"/>
      <c r="BN187" s="444"/>
      <c r="BO187" s="444"/>
      <c r="BP187" s="444"/>
      <c r="BQ187" s="444"/>
      <c r="BR187" s="444"/>
      <c r="BS187" s="444"/>
      <c r="BT187" s="444"/>
    </row>
    <row r="188" spans="1:72" ht="15">
      <c r="A188" s="392"/>
      <c r="B188" s="392"/>
      <c r="C188" s="392"/>
      <c r="D188" s="392"/>
      <c r="E188" s="392"/>
      <c r="F188" s="392"/>
      <c r="G188" s="392"/>
      <c r="H188" s="392"/>
      <c r="I188" s="392"/>
      <c r="J188" s="392"/>
      <c r="K188" s="392"/>
      <c r="L188" s="392"/>
      <c r="M188" s="392"/>
      <c r="N188" s="392"/>
      <c r="O188" s="392"/>
      <c r="P188" s="392"/>
      <c r="Q188" s="392"/>
      <c r="R188" s="392"/>
      <c r="S188" s="409"/>
      <c r="T188" s="409"/>
      <c r="U188" s="409"/>
      <c r="V188" s="409"/>
      <c r="W188" s="392"/>
      <c r="X188" s="392"/>
      <c r="Y188" s="409"/>
      <c r="Z188" s="409"/>
      <c r="AA188" s="392"/>
      <c r="AB188" s="392"/>
      <c r="AC188" s="392"/>
      <c r="AD188" s="409"/>
      <c r="AE188" s="409"/>
      <c r="AF188" s="409"/>
      <c r="AG188" s="409"/>
      <c r="AH188" s="409"/>
      <c r="AI188" s="409"/>
      <c r="AJ188" s="409"/>
      <c r="AK188" s="409"/>
      <c r="AL188" s="409"/>
      <c r="AM188" s="409"/>
      <c r="AN188" s="409"/>
      <c r="AO188" s="409"/>
      <c r="AP188" s="409"/>
      <c r="AQ188" s="409"/>
      <c r="AR188" s="409"/>
      <c r="AS188" s="409"/>
      <c r="AT188" s="409"/>
      <c r="AU188" s="409"/>
      <c r="AV188" s="409"/>
      <c r="AW188" s="409"/>
      <c r="AX188" s="409"/>
      <c r="AY188" s="409"/>
      <c r="AZ188" s="409"/>
      <c r="BA188" s="409"/>
      <c r="BB188" s="409"/>
      <c r="BC188" s="409"/>
      <c r="BD188" s="407"/>
      <c r="BE188" s="444"/>
      <c r="BF188" s="444"/>
      <c r="BG188" s="444"/>
      <c r="BH188" s="444"/>
      <c r="BI188" s="444"/>
      <c r="BJ188" s="444"/>
      <c r="BK188" s="444"/>
      <c r="BL188" s="444"/>
      <c r="BM188" s="444"/>
      <c r="BN188" s="444"/>
      <c r="BO188" s="444"/>
      <c r="BP188" s="444"/>
      <c r="BQ188" s="444"/>
      <c r="BR188" s="444"/>
      <c r="BS188" s="444"/>
      <c r="BT188" s="444"/>
    </row>
    <row r="189" spans="1:72" ht="15">
      <c r="A189" s="392"/>
      <c r="B189" s="392"/>
      <c r="C189" s="392"/>
      <c r="D189" s="392"/>
      <c r="E189" s="392"/>
      <c r="F189" s="392"/>
      <c r="G189" s="392"/>
      <c r="H189" s="392"/>
      <c r="I189" s="392"/>
      <c r="J189" s="392"/>
      <c r="K189" s="392"/>
      <c r="L189" s="392"/>
      <c r="M189" s="392"/>
      <c r="N189" s="392"/>
      <c r="O189" s="392"/>
      <c r="P189" s="392"/>
      <c r="Q189" s="392"/>
      <c r="R189" s="392"/>
      <c r="S189" s="409"/>
      <c r="T189" s="409"/>
      <c r="U189" s="409"/>
      <c r="V189" s="409"/>
      <c r="W189" s="392"/>
      <c r="X189" s="392"/>
      <c r="Y189" s="409"/>
      <c r="Z189" s="409"/>
      <c r="AA189" s="392"/>
      <c r="AB189" s="392"/>
      <c r="AC189" s="392"/>
      <c r="AD189" s="409"/>
      <c r="AE189" s="409"/>
      <c r="AF189" s="409"/>
      <c r="AG189" s="409"/>
      <c r="AH189" s="409"/>
      <c r="AI189" s="409"/>
      <c r="AJ189" s="409"/>
      <c r="AK189" s="409"/>
      <c r="AL189" s="409"/>
      <c r="AM189" s="409"/>
      <c r="AN189" s="409"/>
      <c r="AO189" s="409"/>
      <c r="AP189" s="409"/>
      <c r="AQ189" s="409"/>
      <c r="AR189" s="409"/>
      <c r="AS189" s="409"/>
      <c r="AT189" s="409"/>
      <c r="AU189" s="409"/>
      <c r="AV189" s="409"/>
      <c r="AW189" s="409"/>
      <c r="AX189" s="409"/>
      <c r="AY189" s="409"/>
      <c r="AZ189" s="409"/>
      <c r="BA189" s="409"/>
      <c r="BB189" s="409"/>
      <c r="BC189" s="409"/>
      <c r="BD189" s="407"/>
      <c r="BE189" s="444"/>
      <c r="BF189" s="444"/>
      <c r="BG189" s="444"/>
      <c r="BH189" s="444"/>
      <c r="BI189" s="444"/>
      <c r="BJ189" s="444"/>
      <c r="BK189" s="444"/>
      <c r="BL189" s="444"/>
      <c r="BM189" s="444"/>
      <c r="BN189" s="444"/>
      <c r="BO189" s="444"/>
      <c r="BP189" s="444"/>
      <c r="BQ189" s="444"/>
      <c r="BR189" s="444"/>
      <c r="BS189" s="444"/>
      <c r="BT189" s="444"/>
    </row>
    <row r="190" spans="1:72" ht="15">
      <c r="A190" s="392"/>
      <c r="B190" s="392"/>
      <c r="C190" s="392"/>
      <c r="D190" s="392"/>
      <c r="E190" s="392"/>
      <c r="F190" s="392"/>
      <c r="G190" s="392"/>
      <c r="H190" s="392"/>
      <c r="I190" s="392"/>
      <c r="J190" s="392"/>
      <c r="K190" s="392"/>
      <c r="L190" s="392"/>
      <c r="M190" s="392"/>
      <c r="N190" s="392"/>
      <c r="O190" s="392"/>
      <c r="P190" s="392"/>
      <c r="Q190" s="392"/>
      <c r="R190" s="392"/>
      <c r="S190" s="409"/>
      <c r="T190" s="409"/>
      <c r="U190" s="409"/>
      <c r="V190" s="409"/>
      <c r="W190" s="392"/>
      <c r="X190" s="392"/>
      <c r="Y190" s="409"/>
      <c r="Z190" s="409"/>
      <c r="AA190" s="392"/>
      <c r="AB190" s="392"/>
      <c r="AC190" s="392"/>
      <c r="AD190" s="409"/>
      <c r="AE190" s="409"/>
      <c r="AF190" s="409"/>
      <c r="AG190" s="409"/>
      <c r="AH190" s="409"/>
      <c r="AI190" s="409"/>
      <c r="AJ190" s="409"/>
      <c r="AK190" s="409"/>
      <c r="AL190" s="409"/>
      <c r="AM190" s="409"/>
      <c r="AN190" s="409"/>
      <c r="AO190" s="409"/>
      <c r="AP190" s="409"/>
      <c r="AQ190" s="409"/>
      <c r="AR190" s="409"/>
      <c r="AS190" s="409"/>
      <c r="AT190" s="409"/>
      <c r="AU190" s="409"/>
      <c r="AV190" s="409"/>
      <c r="AW190" s="409"/>
      <c r="AX190" s="409"/>
      <c r="AY190" s="409"/>
      <c r="AZ190" s="409"/>
      <c r="BA190" s="409"/>
      <c r="BB190" s="409"/>
      <c r="BC190" s="409"/>
      <c r="BD190" s="407"/>
      <c r="BE190" s="444"/>
      <c r="BF190" s="444"/>
      <c r="BG190" s="444"/>
      <c r="BH190" s="444"/>
      <c r="BI190" s="444"/>
      <c r="BJ190" s="444"/>
      <c r="BK190" s="444"/>
      <c r="BL190" s="444"/>
      <c r="BM190" s="444"/>
      <c r="BN190" s="444"/>
      <c r="BO190" s="444"/>
      <c r="BP190" s="444"/>
      <c r="BQ190" s="444"/>
      <c r="BR190" s="444"/>
      <c r="BS190" s="444"/>
      <c r="BT190" s="444"/>
    </row>
    <row r="191" spans="1:72" ht="15">
      <c r="A191" s="392"/>
      <c r="B191" s="392"/>
      <c r="C191" s="392"/>
      <c r="D191" s="392"/>
      <c r="E191" s="392"/>
      <c r="F191" s="392"/>
      <c r="G191" s="392"/>
      <c r="H191" s="392"/>
      <c r="I191" s="392"/>
      <c r="J191" s="392"/>
      <c r="K191" s="392"/>
      <c r="L191" s="392"/>
      <c r="M191" s="392"/>
      <c r="N191" s="392"/>
      <c r="O191" s="392"/>
      <c r="P191" s="392"/>
      <c r="Q191" s="392"/>
      <c r="R191" s="392"/>
      <c r="S191" s="409"/>
      <c r="T191" s="409"/>
      <c r="U191" s="409"/>
      <c r="V191" s="409"/>
      <c r="W191" s="392"/>
      <c r="X191" s="392"/>
      <c r="Y191" s="409"/>
      <c r="Z191" s="409"/>
      <c r="AA191" s="392"/>
      <c r="AB191" s="392"/>
      <c r="AC191" s="392"/>
      <c r="AD191" s="409"/>
      <c r="AE191" s="409"/>
      <c r="AF191" s="409"/>
      <c r="AG191" s="409"/>
      <c r="AH191" s="409"/>
      <c r="AI191" s="409"/>
      <c r="AJ191" s="409"/>
      <c r="AK191" s="409"/>
      <c r="AL191" s="409"/>
      <c r="AM191" s="409"/>
      <c r="AN191" s="409"/>
      <c r="AO191" s="409"/>
      <c r="AP191" s="409"/>
      <c r="AQ191" s="409"/>
      <c r="AR191" s="409"/>
      <c r="AS191" s="409"/>
      <c r="AT191" s="409"/>
      <c r="AU191" s="409"/>
      <c r="AV191" s="409"/>
      <c r="AW191" s="409"/>
      <c r="AX191" s="409"/>
      <c r="AY191" s="409"/>
      <c r="AZ191" s="409"/>
      <c r="BA191" s="409"/>
      <c r="BB191" s="409"/>
      <c r="BC191" s="409"/>
      <c r="BD191" s="407"/>
      <c r="BE191" s="444"/>
      <c r="BF191" s="444"/>
      <c r="BG191" s="444"/>
      <c r="BH191" s="444"/>
      <c r="BI191" s="444"/>
      <c r="BJ191" s="444"/>
      <c r="BK191" s="444"/>
      <c r="BL191" s="444"/>
      <c r="BM191" s="444"/>
      <c r="BN191" s="444"/>
      <c r="BO191" s="444"/>
      <c r="BP191" s="444"/>
      <c r="BQ191" s="444"/>
      <c r="BR191" s="444"/>
      <c r="BS191" s="444"/>
      <c r="BT191" s="444"/>
    </row>
    <row r="192" spans="1:72" ht="15">
      <c r="A192" s="392"/>
      <c r="B192" s="392"/>
      <c r="C192" s="392"/>
      <c r="D192" s="392"/>
      <c r="E192" s="392"/>
      <c r="F192" s="392"/>
      <c r="G192" s="392"/>
      <c r="H192" s="392"/>
      <c r="I192" s="392"/>
      <c r="J192" s="392"/>
      <c r="K192" s="392"/>
      <c r="L192" s="392"/>
      <c r="M192" s="392"/>
      <c r="N192" s="392"/>
      <c r="O192" s="392"/>
      <c r="P192" s="392"/>
      <c r="Q192" s="392"/>
      <c r="R192" s="392"/>
      <c r="S192" s="409"/>
      <c r="T192" s="409"/>
      <c r="U192" s="409"/>
      <c r="V192" s="409"/>
      <c r="W192" s="392"/>
      <c r="X192" s="392"/>
      <c r="Y192" s="409"/>
      <c r="Z192" s="409"/>
      <c r="AA192" s="392"/>
      <c r="AB192" s="392"/>
      <c r="AC192" s="392"/>
      <c r="AD192" s="409"/>
      <c r="AE192" s="409"/>
      <c r="AF192" s="409"/>
      <c r="AG192" s="409"/>
      <c r="AH192" s="409"/>
      <c r="AI192" s="409"/>
      <c r="AJ192" s="409"/>
      <c r="AK192" s="409"/>
      <c r="AL192" s="409"/>
      <c r="AM192" s="409"/>
      <c r="AN192" s="409"/>
      <c r="AO192" s="409"/>
      <c r="AP192" s="409"/>
      <c r="AQ192" s="409"/>
      <c r="AR192" s="409"/>
      <c r="AS192" s="409"/>
      <c r="AT192" s="409"/>
      <c r="AU192" s="409"/>
      <c r="AV192" s="409"/>
      <c r="AW192" s="409"/>
      <c r="AX192" s="409"/>
      <c r="AY192" s="409"/>
      <c r="AZ192" s="409"/>
      <c r="BA192" s="409"/>
      <c r="BB192" s="409"/>
      <c r="BC192" s="409"/>
      <c r="BD192" s="407"/>
      <c r="BE192" s="444"/>
      <c r="BF192" s="444"/>
      <c r="BG192" s="444"/>
      <c r="BH192" s="444"/>
      <c r="BI192" s="444"/>
      <c r="BJ192" s="444"/>
      <c r="BK192" s="444"/>
      <c r="BL192" s="444"/>
      <c r="BM192" s="444"/>
      <c r="BN192" s="444"/>
      <c r="BO192" s="444"/>
      <c r="BP192" s="444"/>
      <c r="BQ192" s="444"/>
      <c r="BR192" s="444"/>
      <c r="BS192" s="444"/>
      <c r="BT192" s="444"/>
    </row>
    <row r="193" spans="1:72" ht="15">
      <c r="A193" s="392"/>
      <c r="B193" s="392"/>
      <c r="C193" s="392"/>
      <c r="D193" s="392"/>
      <c r="E193" s="392"/>
      <c r="F193" s="392"/>
      <c r="G193" s="392"/>
      <c r="H193" s="392"/>
      <c r="I193" s="392"/>
      <c r="J193" s="392"/>
      <c r="K193" s="392"/>
      <c r="L193" s="392"/>
      <c r="M193" s="392"/>
      <c r="N193" s="392"/>
      <c r="O193" s="392"/>
      <c r="P193" s="392"/>
      <c r="Q193" s="392"/>
      <c r="R193" s="392"/>
      <c r="S193" s="409"/>
      <c r="T193" s="409"/>
      <c r="U193" s="409"/>
      <c r="V193" s="409"/>
      <c r="W193" s="392"/>
      <c r="X193" s="392"/>
      <c r="Y193" s="409"/>
      <c r="Z193" s="409"/>
      <c r="AA193" s="392"/>
      <c r="AB193" s="392"/>
      <c r="AC193" s="392"/>
      <c r="AD193" s="409"/>
      <c r="AE193" s="409"/>
      <c r="AF193" s="409"/>
      <c r="AG193" s="409"/>
      <c r="AH193" s="409"/>
      <c r="AI193" s="409"/>
      <c r="AJ193" s="409"/>
      <c r="AK193" s="409"/>
      <c r="AL193" s="409"/>
      <c r="AM193" s="409"/>
      <c r="AN193" s="409"/>
      <c r="AO193" s="409"/>
      <c r="AP193" s="409"/>
      <c r="AQ193" s="409"/>
      <c r="AR193" s="409"/>
      <c r="AS193" s="409"/>
      <c r="AT193" s="409"/>
      <c r="AU193" s="409"/>
      <c r="AV193" s="409"/>
      <c r="AW193" s="409"/>
      <c r="AX193" s="409"/>
      <c r="AY193" s="409"/>
      <c r="AZ193" s="409"/>
      <c r="BA193" s="409"/>
      <c r="BB193" s="409"/>
      <c r="BC193" s="409"/>
      <c r="BD193" s="407"/>
      <c r="BE193" s="444"/>
      <c r="BF193" s="444"/>
      <c r="BG193" s="444"/>
      <c r="BH193" s="444"/>
      <c r="BI193" s="444"/>
      <c r="BJ193" s="444"/>
      <c r="BK193" s="444"/>
      <c r="BL193" s="444"/>
      <c r="BM193" s="444"/>
      <c r="BN193" s="444"/>
      <c r="BO193" s="444"/>
      <c r="BP193" s="444"/>
      <c r="BQ193" s="444"/>
      <c r="BR193" s="444"/>
      <c r="BS193" s="444"/>
      <c r="BT193" s="444"/>
    </row>
    <row r="194" spans="1:72" ht="15">
      <c r="A194" s="392"/>
      <c r="B194" s="392"/>
      <c r="C194" s="392"/>
      <c r="D194" s="392"/>
      <c r="E194" s="392"/>
      <c r="F194" s="392"/>
      <c r="G194" s="392"/>
      <c r="H194" s="392"/>
      <c r="I194" s="392"/>
      <c r="J194" s="392"/>
      <c r="K194" s="392"/>
      <c r="L194" s="392"/>
      <c r="M194" s="392"/>
      <c r="N194" s="392"/>
      <c r="O194" s="392"/>
      <c r="P194" s="392"/>
      <c r="Q194" s="392"/>
      <c r="R194" s="392"/>
      <c r="S194" s="409"/>
      <c r="T194" s="409"/>
      <c r="U194" s="409"/>
      <c r="V194" s="409"/>
      <c r="W194" s="392"/>
      <c r="X194" s="392"/>
      <c r="Y194" s="409"/>
      <c r="Z194" s="409"/>
      <c r="AA194" s="392"/>
      <c r="AB194" s="392"/>
      <c r="AC194" s="392"/>
      <c r="AD194" s="409"/>
      <c r="AE194" s="409"/>
      <c r="AF194" s="409"/>
      <c r="AG194" s="409"/>
      <c r="AH194" s="409"/>
      <c r="AI194" s="409"/>
      <c r="AJ194" s="409"/>
      <c r="AK194" s="409"/>
      <c r="AL194" s="409"/>
      <c r="AM194" s="409"/>
      <c r="AN194" s="409"/>
      <c r="AO194" s="409"/>
      <c r="AP194" s="409"/>
      <c r="AQ194" s="409"/>
      <c r="AR194" s="409"/>
      <c r="AS194" s="409"/>
      <c r="AT194" s="409"/>
      <c r="AU194" s="409"/>
      <c r="AV194" s="409"/>
      <c r="AW194" s="409"/>
      <c r="AX194" s="409"/>
      <c r="AY194" s="409"/>
      <c r="AZ194" s="409"/>
      <c r="BA194" s="409"/>
      <c r="BB194" s="409"/>
      <c r="BC194" s="409"/>
      <c r="BD194" s="407"/>
      <c r="BE194" s="444"/>
      <c r="BF194" s="444"/>
      <c r="BG194" s="444"/>
      <c r="BH194" s="444"/>
      <c r="BI194" s="444"/>
      <c r="BJ194" s="444"/>
      <c r="BK194" s="444"/>
      <c r="BL194" s="444"/>
      <c r="BM194" s="444"/>
      <c r="BN194" s="444"/>
      <c r="BO194" s="444"/>
      <c r="BP194" s="444"/>
      <c r="BQ194" s="444"/>
      <c r="BR194" s="444"/>
      <c r="BS194" s="444"/>
      <c r="BT194" s="444"/>
    </row>
    <row r="195" spans="1:72" ht="15">
      <c r="A195" s="392"/>
      <c r="B195" s="392"/>
      <c r="C195" s="392"/>
      <c r="D195" s="392"/>
      <c r="E195" s="392"/>
      <c r="F195" s="392"/>
      <c r="G195" s="392"/>
      <c r="H195" s="392"/>
      <c r="I195" s="392"/>
      <c r="J195" s="392"/>
      <c r="K195" s="392"/>
      <c r="L195" s="392"/>
      <c r="M195" s="392"/>
      <c r="N195" s="392"/>
      <c r="O195" s="392"/>
      <c r="P195" s="392"/>
      <c r="Q195" s="392"/>
      <c r="R195" s="392"/>
      <c r="S195" s="409"/>
      <c r="T195" s="409"/>
      <c r="U195" s="409"/>
      <c r="V195" s="409"/>
      <c r="W195" s="392"/>
      <c r="X195" s="392"/>
      <c r="Y195" s="409"/>
      <c r="Z195" s="409"/>
      <c r="AA195" s="392"/>
      <c r="AB195" s="392"/>
      <c r="AC195" s="392"/>
      <c r="AD195" s="409"/>
      <c r="AE195" s="409"/>
      <c r="AF195" s="409"/>
      <c r="AG195" s="409"/>
      <c r="AH195" s="409"/>
      <c r="AI195" s="409"/>
      <c r="AJ195" s="409"/>
      <c r="AK195" s="409"/>
      <c r="AL195" s="409"/>
      <c r="AM195" s="409"/>
      <c r="AN195" s="409"/>
      <c r="AO195" s="409"/>
      <c r="AP195" s="409"/>
      <c r="AQ195" s="409"/>
      <c r="AR195" s="409"/>
      <c r="AS195" s="409"/>
      <c r="AT195" s="409"/>
      <c r="AU195" s="409"/>
      <c r="AV195" s="409"/>
      <c r="AW195" s="409"/>
      <c r="AX195" s="409"/>
      <c r="AY195" s="409"/>
      <c r="AZ195" s="409"/>
      <c r="BA195" s="409"/>
      <c r="BB195" s="409"/>
      <c r="BC195" s="409"/>
      <c r="BD195" s="407"/>
      <c r="BE195" s="444"/>
      <c r="BF195" s="444"/>
      <c r="BG195" s="444"/>
      <c r="BH195" s="444"/>
      <c r="BI195" s="444"/>
      <c r="BJ195" s="444"/>
      <c r="BK195" s="444"/>
      <c r="BL195" s="444"/>
      <c r="BM195" s="444"/>
      <c r="BN195" s="444"/>
      <c r="BO195" s="444"/>
      <c r="BP195" s="444"/>
      <c r="BQ195" s="444"/>
      <c r="BR195" s="444"/>
      <c r="BS195" s="444"/>
      <c r="BT195" s="444"/>
    </row>
    <row r="196" spans="1:72" ht="15">
      <c r="A196" s="392"/>
      <c r="B196" s="392"/>
      <c r="C196" s="392"/>
      <c r="D196" s="392"/>
      <c r="E196" s="392"/>
      <c r="F196" s="392"/>
      <c r="G196" s="392"/>
      <c r="H196" s="392"/>
      <c r="I196" s="392"/>
      <c r="J196" s="392"/>
      <c r="K196" s="392"/>
      <c r="L196" s="392"/>
      <c r="M196" s="392"/>
      <c r="N196" s="392"/>
      <c r="O196" s="392"/>
      <c r="P196" s="392"/>
      <c r="Q196" s="392"/>
      <c r="R196" s="392"/>
      <c r="S196" s="409"/>
      <c r="T196" s="409"/>
      <c r="U196" s="409"/>
      <c r="V196" s="409"/>
      <c r="W196" s="392"/>
      <c r="X196" s="392"/>
      <c r="Y196" s="409"/>
      <c r="Z196" s="409"/>
      <c r="AA196" s="392"/>
      <c r="AB196" s="392"/>
      <c r="AC196" s="392"/>
      <c r="AD196" s="409"/>
      <c r="AE196" s="409"/>
      <c r="AF196" s="409"/>
      <c r="AG196" s="409"/>
      <c r="AH196" s="409"/>
      <c r="AI196" s="409"/>
      <c r="AJ196" s="409"/>
      <c r="AK196" s="409"/>
      <c r="AL196" s="409"/>
      <c r="AM196" s="409"/>
      <c r="AN196" s="409"/>
      <c r="AO196" s="409"/>
      <c r="AP196" s="409"/>
      <c r="AQ196" s="409"/>
      <c r="AR196" s="409"/>
      <c r="AS196" s="409"/>
      <c r="AT196" s="409"/>
      <c r="AU196" s="409"/>
      <c r="AV196" s="409"/>
      <c r="AW196" s="409"/>
      <c r="AX196" s="409"/>
      <c r="AY196" s="409"/>
      <c r="AZ196" s="409"/>
      <c r="BA196" s="409"/>
      <c r="BB196" s="409"/>
      <c r="BC196" s="409"/>
      <c r="BD196" s="407"/>
      <c r="BE196" s="444"/>
      <c r="BF196" s="444"/>
      <c r="BG196" s="444"/>
      <c r="BH196" s="444"/>
      <c r="BI196" s="444"/>
      <c r="BJ196" s="444"/>
      <c r="BK196" s="444"/>
      <c r="BL196" s="444"/>
      <c r="BM196" s="444"/>
      <c r="BN196" s="444"/>
      <c r="BO196" s="444"/>
      <c r="BP196" s="444"/>
      <c r="BQ196" s="444"/>
      <c r="BR196" s="444"/>
      <c r="BS196" s="444"/>
      <c r="BT196" s="444"/>
    </row>
    <row r="197" spans="1:72" ht="15">
      <c r="A197" s="392"/>
      <c r="B197" s="392"/>
      <c r="C197" s="392"/>
      <c r="D197" s="392"/>
      <c r="E197" s="392"/>
      <c r="F197" s="392"/>
      <c r="G197" s="392"/>
      <c r="H197" s="392"/>
      <c r="I197" s="392"/>
      <c r="J197" s="392"/>
      <c r="K197" s="392"/>
      <c r="L197" s="392"/>
      <c r="M197" s="392"/>
      <c r="N197" s="392"/>
      <c r="O197" s="392"/>
      <c r="P197" s="392"/>
      <c r="Q197" s="392"/>
      <c r="R197" s="392"/>
      <c r="S197" s="409"/>
      <c r="T197" s="409"/>
      <c r="U197" s="409"/>
      <c r="V197" s="409"/>
      <c r="W197" s="392"/>
      <c r="X197" s="392"/>
      <c r="Y197" s="409"/>
      <c r="Z197" s="409"/>
      <c r="AA197" s="392"/>
      <c r="AB197" s="392"/>
      <c r="AC197" s="392"/>
      <c r="AD197" s="409"/>
      <c r="AE197" s="409"/>
      <c r="AF197" s="409"/>
      <c r="AG197" s="409"/>
      <c r="AH197" s="409"/>
      <c r="AI197" s="409"/>
      <c r="AJ197" s="409"/>
      <c r="AK197" s="409"/>
      <c r="AL197" s="409"/>
      <c r="AM197" s="409"/>
      <c r="AN197" s="409"/>
      <c r="AO197" s="409"/>
      <c r="AP197" s="409"/>
      <c r="AQ197" s="409"/>
      <c r="AR197" s="409"/>
      <c r="AS197" s="409"/>
      <c r="AT197" s="409"/>
      <c r="AU197" s="409"/>
      <c r="AV197" s="409"/>
      <c r="AW197" s="409"/>
      <c r="AX197" s="409"/>
      <c r="AY197" s="409"/>
      <c r="AZ197" s="409"/>
      <c r="BA197" s="409"/>
      <c r="BB197" s="409"/>
      <c r="BC197" s="409"/>
      <c r="BD197" s="407"/>
      <c r="BE197" s="444"/>
      <c r="BF197" s="444"/>
      <c r="BG197" s="444"/>
      <c r="BH197" s="444"/>
      <c r="BI197" s="444"/>
      <c r="BJ197" s="444"/>
      <c r="BK197" s="444"/>
      <c r="BL197" s="444"/>
      <c r="BM197" s="444"/>
      <c r="BN197" s="444"/>
      <c r="BO197" s="444"/>
      <c r="BP197" s="444"/>
      <c r="BQ197" s="444"/>
      <c r="BR197" s="444"/>
      <c r="BS197" s="444"/>
      <c r="BT197" s="444"/>
    </row>
    <row r="198" spans="1:72" ht="15">
      <c r="A198" s="392"/>
      <c r="B198" s="392"/>
      <c r="C198" s="392"/>
      <c r="D198" s="392"/>
      <c r="E198" s="392"/>
      <c r="F198" s="392"/>
      <c r="G198" s="392"/>
      <c r="H198" s="392"/>
      <c r="I198" s="392"/>
      <c r="J198" s="392"/>
      <c r="K198" s="392"/>
      <c r="L198" s="392"/>
      <c r="M198" s="392"/>
      <c r="N198" s="392"/>
      <c r="O198" s="392"/>
      <c r="P198" s="392"/>
      <c r="Q198" s="392"/>
      <c r="R198" s="392"/>
      <c r="S198" s="409"/>
      <c r="T198" s="409"/>
      <c r="U198" s="409"/>
      <c r="V198" s="409"/>
      <c r="W198" s="392"/>
      <c r="X198" s="392"/>
      <c r="Y198" s="409"/>
      <c r="Z198" s="409"/>
      <c r="AA198" s="392"/>
      <c r="AB198" s="392"/>
      <c r="AC198" s="392"/>
      <c r="AD198" s="409"/>
      <c r="AE198" s="409"/>
      <c r="AF198" s="409"/>
      <c r="AG198" s="409"/>
      <c r="AH198" s="409"/>
      <c r="AI198" s="409"/>
      <c r="AJ198" s="409"/>
      <c r="AK198" s="409"/>
      <c r="AL198" s="409"/>
      <c r="AM198" s="409"/>
      <c r="AN198" s="409"/>
      <c r="AO198" s="409"/>
      <c r="AP198" s="409"/>
      <c r="AQ198" s="409"/>
      <c r="AR198" s="409"/>
      <c r="AS198" s="409"/>
      <c r="AT198" s="409"/>
      <c r="AU198" s="409"/>
      <c r="AV198" s="409"/>
      <c r="AW198" s="409"/>
      <c r="AX198" s="409"/>
      <c r="AY198" s="409"/>
      <c r="AZ198" s="409"/>
      <c r="BA198" s="409"/>
      <c r="BB198" s="409"/>
      <c r="BC198" s="409"/>
      <c r="BD198" s="407"/>
      <c r="BE198" s="444"/>
      <c r="BF198" s="444"/>
      <c r="BG198" s="444"/>
      <c r="BH198" s="444"/>
      <c r="BI198" s="444"/>
      <c r="BJ198" s="444"/>
      <c r="BK198" s="444"/>
      <c r="BL198" s="444"/>
      <c r="BM198" s="444"/>
      <c r="BN198" s="444"/>
      <c r="BO198" s="444"/>
      <c r="BP198" s="444"/>
      <c r="BQ198" s="444"/>
      <c r="BR198" s="444"/>
      <c r="BS198" s="444"/>
      <c r="BT198" s="444"/>
    </row>
    <row r="199" spans="1:72" ht="15">
      <c r="A199" s="392"/>
      <c r="B199" s="392"/>
      <c r="C199" s="392"/>
      <c r="D199" s="392"/>
      <c r="E199" s="392"/>
      <c r="F199" s="392"/>
      <c r="G199" s="392"/>
      <c r="H199" s="392"/>
      <c r="I199" s="392"/>
      <c r="J199" s="392"/>
      <c r="K199" s="392"/>
      <c r="L199" s="392"/>
      <c r="M199" s="392"/>
      <c r="N199" s="392"/>
      <c r="O199" s="392"/>
      <c r="P199" s="392"/>
      <c r="Q199" s="392"/>
      <c r="R199" s="392"/>
      <c r="S199" s="409"/>
      <c r="T199" s="409"/>
      <c r="U199" s="409"/>
      <c r="V199" s="409"/>
      <c r="W199" s="392"/>
      <c r="X199" s="392"/>
      <c r="Y199" s="409"/>
      <c r="Z199" s="409"/>
      <c r="AA199" s="392"/>
      <c r="AB199" s="392"/>
      <c r="AC199" s="392"/>
      <c r="AD199" s="409"/>
      <c r="AE199" s="409"/>
      <c r="AF199" s="409"/>
      <c r="AG199" s="409"/>
      <c r="AH199" s="409"/>
      <c r="AI199" s="409"/>
      <c r="AJ199" s="409"/>
      <c r="AK199" s="409"/>
      <c r="AL199" s="409"/>
      <c r="AM199" s="409"/>
      <c r="AN199" s="409"/>
      <c r="AO199" s="409"/>
      <c r="AP199" s="409"/>
      <c r="AQ199" s="409"/>
      <c r="AR199" s="409"/>
      <c r="AS199" s="409"/>
      <c r="AT199" s="409"/>
      <c r="AU199" s="409"/>
      <c r="AV199" s="409"/>
      <c r="AW199" s="409"/>
      <c r="AX199" s="409"/>
      <c r="AY199" s="409"/>
      <c r="AZ199" s="409"/>
      <c r="BA199" s="409"/>
      <c r="BB199" s="409"/>
      <c r="BC199" s="409"/>
      <c r="BD199" s="407"/>
      <c r="BE199" s="444"/>
      <c r="BF199" s="444"/>
      <c r="BG199" s="444"/>
      <c r="BH199" s="444"/>
      <c r="BI199" s="444"/>
      <c r="BJ199" s="444"/>
      <c r="BK199" s="444"/>
      <c r="BL199" s="444"/>
      <c r="BM199" s="444"/>
      <c r="BN199" s="444"/>
      <c r="BO199" s="444"/>
      <c r="BP199" s="444"/>
      <c r="BQ199" s="444"/>
      <c r="BR199" s="444"/>
      <c r="BS199" s="444"/>
      <c r="BT199" s="444"/>
    </row>
    <row r="200" spans="1:72" ht="15">
      <c r="A200" s="392"/>
      <c r="B200" s="392"/>
      <c r="C200" s="392"/>
      <c r="D200" s="392"/>
      <c r="E200" s="392"/>
      <c r="F200" s="392"/>
      <c r="G200" s="392"/>
      <c r="H200" s="392"/>
      <c r="I200" s="392"/>
      <c r="J200" s="392"/>
      <c r="K200" s="392"/>
      <c r="L200" s="392"/>
      <c r="M200" s="392"/>
      <c r="N200" s="392"/>
      <c r="O200" s="392"/>
      <c r="P200" s="392"/>
      <c r="Q200" s="392"/>
      <c r="R200" s="392"/>
      <c r="S200" s="409"/>
      <c r="T200" s="409"/>
      <c r="U200" s="409"/>
      <c r="V200" s="409"/>
      <c r="W200" s="392"/>
      <c r="X200" s="392"/>
      <c r="Y200" s="409"/>
      <c r="Z200" s="409"/>
      <c r="AA200" s="392"/>
      <c r="AB200" s="392"/>
      <c r="AC200" s="392"/>
      <c r="AD200" s="409"/>
      <c r="AE200" s="409"/>
      <c r="AF200" s="409"/>
      <c r="AG200" s="409"/>
      <c r="AH200" s="409"/>
      <c r="AI200" s="409"/>
      <c r="AJ200" s="409"/>
      <c r="AK200" s="409"/>
      <c r="AL200" s="409"/>
      <c r="AM200" s="409"/>
      <c r="AN200" s="409"/>
      <c r="AO200" s="409"/>
      <c r="AP200" s="409"/>
      <c r="AQ200" s="409"/>
      <c r="AR200" s="409"/>
      <c r="AS200" s="409"/>
      <c r="AT200" s="409"/>
      <c r="AU200" s="409"/>
      <c r="AV200" s="409"/>
      <c r="AW200" s="409"/>
      <c r="AX200" s="409"/>
      <c r="AY200" s="409"/>
      <c r="AZ200" s="409"/>
      <c r="BA200" s="409"/>
      <c r="BB200" s="409"/>
      <c r="BC200" s="409"/>
      <c r="BD200" s="407"/>
      <c r="BE200" s="444"/>
      <c r="BF200" s="444"/>
      <c r="BG200" s="444"/>
      <c r="BH200" s="444"/>
      <c r="BI200" s="444"/>
      <c r="BJ200" s="444"/>
      <c r="BK200" s="444"/>
      <c r="BL200" s="444"/>
      <c r="BM200" s="444"/>
      <c r="BN200" s="444"/>
      <c r="BO200" s="444"/>
      <c r="BP200" s="444"/>
      <c r="BQ200" s="444"/>
      <c r="BR200" s="444"/>
      <c r="BS200" s="444"/>
      <c r="BT200" s="444"/>
    </row>
  </sheetData>
  <mergeCells count="28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J7:M7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FAAE0-DBE0-4938-867E-22E36C2392CC}">
  <sheetPr>
    <pageSetUpPr fitToPage="1"/>
  </sheetPr>
  <dimension ref="A1:BT12"/>
  <sheetViews>
    <sheetView showGridLines="0" view="pageBreakPreview" zoomScale="85" zoomScaleNormal="70" zoomScaleSheetLayoutView="85" workbookViewId="0">
      <selection sqref="A1:I1"/>
    </sheetView>
  </sheetViews>
  <sheetFormatPr defaultColWidth="2.6328125" defaultRowHeight="15"/>
  <cols>
    <col min="1" max="10" width="2.6328125" style="459" customWidth="1"/>
    <col min="11" max="16" width="3.26953125" style="459" customWidth="1"/>
    <col min="17" max="27" width="2.6328125" style="459"/>
    <col min="28" max="37" width="2.6328125" style="419"/>
    <col min="38" max="46" width="2.6328125" style="459"/>
    <col min="47" max="47" width="2.6328125" style="459" customWidth="1"/>
    <col min="48" max="233" width="2.6328125" style="459"/>
    <col min="234" max="234" width="4" style="459" customWidth="1"/>
    <col min="235" max="266" width="2.6328125" style="459"/>
    <col min="267" max="267" width="2.6328125" style="459" customWidth="1"/>
    <col min="268" max="489" width="2.6328125" style="459"/>
    <col min="490" max="490" width="4" style="459" customWidth="1"/>
    <col min="491" max="522" width="2.6328125" style="459"/>
    <col min="523" max="523" width="2.6328125" style="459" customWidth="1"/>
    <col min="524" max="745" width="2.6328125" style="459"/>
    <col min="746" max="746" width="4" style="459" customWidth="1"/>
    <col min="747" max="778" width="2.6328125" style="459"/>
    <col min="779" max="779" width="2.6328125" style="459" customWidth="1"/>
    <col min="780" max="1001" width="2.6328125" style="459"/>
    <col min="1002" max="1002" width="4" style="459" customWidth="1"/>
    <col min="1003" max="1034" width="2.6328125" style="459"/>
    <col min="1035" max="1035" width="2.6328125" style="459" customWidth="1"/>
    <col min="1036" max="1257" width="2.6328125" style="459"/>
    <col min="1258" max="1258" width="4" style="459" customWidth="1"/>
    <col min="1259" max="1290" width="2.6328125" style="459"/>
    <col min="1291" max="1291" width="2.6328125" style="459" customWidth="1"/>
    <col min="1292" max="1513" width="2.6328125" style="459"/>
    <col min="1514" max="1514" width="4" style="459" customWidth="1"/>
    <col min="1515" max="1546" width="2.6328125" style="459"/>
    <col min="1547" max="1547" width="2.6328125" style="459" customWidth="1"/>
    <col min="1548" max="1769" width="2.6328125" style="459"/>
    <col min="1770" max="1770" width="4" style="459" customWidth="1"/>
    <col min="1771" max="1802" width="2.6328125" style="459"/>
    <col min="1803" max="1803" width="2.6328125" style="459" customWidth="1"/>
    <col min="1804" max="2025" width="2.6328125" style="459"/>
    <col min="2026" max="2026" width="4" style="459" customWidth="1"/>
    <col min="2027" max="2058" width="2.6328125" style="459"/>
    <col min="2059" max="2059" width="2.6328125" style="459" customWidth="1"/>
    <col min="2060" max="2281" width="2.6328125" style="459"/>
    <col min="2282" max="2282" width="4" style="459" customWidth="1"/>
    <col min="2283" max="2314" width="2.6328125" style="459"/>
    <col min="2315" max="2315" width="2.6328125" style="459" customWidth="1"/>
    <col min="2316" max="2537" width="2.6328125" style="459"/>
    <col min="2538" max="2538" width="4" style="459" customWidth="1"/>
    <col min="2539" max="2570" width="2.6328125" style="459"/>
    <col min="2571" max="2571" width="2.6328125" style="459" customWidth="1"/>
    <col min="2572" max="2793" width="2.6328125" style="459"/>
    <col min="2794" max="2794" width="4" style="459" customWidth="1"/>
    <col min="2795" max="2826" width="2.6328125" style="459"/>
    <col min="2827" max="2827" width="2.6328125" style="459" customWidth="1"/>
    <col min="2828" max="3049" width="2.6328125" style="459"/>
    <col min="3050" max="3050" width="4" style="459" customWidth="1"/>
    <col min="3051" max="3082" width="2.6328125" style="459"/>
    <col min="3083" max="3083" width="2.6328125" style="459" customWidth="1"/>
    <col min="3084" max="3305" width="2.6328125" style="459"/>
    <col min="3306" max="3306" width="4" style="459" customWidth="1"/>
    <col min="3307" max="3338" width="2.6328125" style="459"/>
    <col min="3339" max="3339" width="2.6328125" style="459" customWidth="1"/>
    <col min="3340" max="3561" width="2.6328125" style="459"/>
    <col min="3562" max="3562" width="4" style="459" customWidth="1"/>
    <col min="3563" max="3594" width="2.6328125" style="459"/>
    <col min="3595" max="3595" width="2.6328125" style="459" customWidth="1"/>
    <col min="3596" max="3817" width="2.6328125" style="459"/>
    <col min="3818" max="3818" width="4" style="459" customWidth="1"/>
    <col min="3819" max="3850" width="2.6328125" style="459"/>
    <col min="3851" max="3851" width="2.6328125" style="459" customWidth="1"/>
    <col min="3852" max="4073" width="2.6328125" style="459"/>
    <col min="4074" max="4074" width="4" style="459" customWidth="1"/>
    <col min="4075" max="4106" width="2.6328125" style="459"/>
    <col min="4107" max="4107" width="2.6328125" style="459" customWidth="1"/>
    <col min="4108" max="4329" width="2.6328125" style="459"/>
    <col min="4330" max="4330" width="4" style="459" customWidth="1"/>
    <col min="4331" max="4362" width="2.6328125" style="459"/>
    <col min="4363" max="4363" width="2.6328125" style="459" customWidth="1"/>
    <col min="4364" max="4585" width="2.6328125" style="459"/>
    <col min="4586" max="4586" width="4" style="459" customWidth="1"/>
    <col min="4587" max="4618" width="2.6328125" style="459"/>
    <col min="4619" max="4619" width="2.6328125" style="459" customWidth="1"/>
    <col min="4620" max="4841" width="2.6328125" style="459"/>
    <col min="4842" max="4842" width="4" style="459" customWidth="1"/>
    <col min="4843" max="4874" width="2.6328125" style="459"/>
    <col min="4875" max="4875" width="2.6328125" style="459" customWidth="1"/>
    <col min="4876" max="5097" width="2.6328125" style="459"/>
    <col min="5098" max="5098" width="4" style="459" customWidth="1"/>
    <col min="5099" max="5130" width="2.6328125" style="459"/>
    <col min="5131" max="5131" width="2.6328125" style="459" customWidth="1"/>
    <col min="5132" max="5353" width="2.6328125" style="459"/>
    <col min="5354" max="5354" width="4" style="459" customWidth="1"/>
    <col min="5355" max="5386" width="2.6328125" style="459"/>
    <col min="5387" max="5387" width="2.6328125" style="459" customWidth="1"/>
    <col min="5388" max="5609" width="2.6328125" style="459"/>
    <col min="5610" max="5610" width="4" style="459" customWidth="1"/>
    <col min="5611" max="5642" width="2.6328125" style="459"/>
    <col min="5643" max="5643" width="2.6328125" style="459" customWidth="1"/>
    <col min="5644" max="5865" width="2.6328125" style="459"/>
    <col min="5866" max="5866" width="4" style="459" customWidth="1"/>
    <col min="5867" max="5898" width="2.6328125" style="459"/>
    <col min="5899" max="5899" width="2.6328125" style="459" customWidth="1"/>
    <col min="5900" max="6121" width="2.6328125" style="459"/>
    <col min="6122" max="6122" width="4" style="459" customWidth="1"/>
    <col min="6123" max="6154" width="2.6328125" style="459"/>
    <col min="6155" max="6155" width="2.6328125" style="459" customWidth="1"/>
    <col min="6156" max="6377" width="2.6328125" style="459"/>
    <col min="6378" max="6378" width="4" style="459" customWidth="1"/>
    <col min="6379" max="6410" width="2.6328125" style="459"/>
    <col min="6411" max="6411" width="2.6328125" style="459" customWidth="1"/>
    <col min="6412" max="6633" width="2.6328125" style="459"/>
    <col min="6634" max="6634" width="4" style="459" customWidth="1"/>
    <col min="6635" max="6666" width="2.6328125" style="459"/>
    <col min="6667" max="6667" width="2.6328125" style="459" customWidth="1"/>
    <col min="6668" max="6889" width="2.6328125" style="459"/>
    <col min="6890" max="6890" width="4" style="459" customWidth="1"/>
    <col min="6891" max="6922" width="2.6328125" style="459"/>
    <col min="6923" max="6923" width="2.6328125" style="459" customWidth="1"/>
    <col min="6924" max="7145" width="2.6328125" style="459"/>
    <col min="7146" max="7146" width="4" style="459" customWidth="1"/>
    <col min="7147" max="7178" width="2.6328125" style="459"/>
    <col min="7179" max="7179" width="2.6328125" style="459" customWidth="1"/>
    <col min="7180" max="7401" width="2.6328125" style="459"/>
    <col min="7402" max="7402" width="4" style="459" customWidth="1"/>
    <col min="7403" max="7434" width="2.6328125" style="459"/>
    <col min="7435" max="7435" width="2.6328125" style="459" customWidth="1"/>
    <col min="7436" max="7657" width="2.6328125" style="459"/>
    <col min="7658" max="7658" width="4" style="459" customWidth="1"/>
    <col min="7659" max="7690" width="2.6328125" style="459"/>
    <col min="7691" max="7691" width="2.6328125" style="459" customWidth="1"/>
    <col min="7692" max="7913" width="2.6328125" style="459"/>
    <col min="7914" max="7914" width="4" style="459" customWidth="1"/>
    <col min="7915" max="7946" width="2.6328125" style="459"/>
    <col min="7947" max="7947" width="2.6328125" style="459" customWidth="1"/>
    <col min="7948" max="8169" width="2.6328125" style="459"/>
    <col min="8170" max="8170" width="4" style="459" customWidth="1"/>
    <col min="8171" max="8202" width="2.6328125" style="459"/>
    <col min="8203" max="8203" width="2.6328125" style="459" customWidth="1"/>
    <col min="8204" max="8425" width="2.6328125" style="459"/>
    <col min="8426" max="8426" width="4" style="459" customWidth="1"/>
    <col min="8427" max="8458" width="2.6328125" style="459"/>
    <col min="8459" max="8459" width="2.6328125" style="459" customWidth="1"/>
    <col min="8460" max="8681" width="2.6328125" style="459"/>
    <col min="8682" max="8682" width="4" style="459" customWidth="1"/>
    <col min="8683" max="8714" width="2.6328125" style="459"/>
    <col min="8715" max="8715" width="2.6328125" style="459" customWidth="1"/>
    <col min="8716" max="8937" width="2.6328125" style="459"/>
    <col min="8938" max="8938" width="4" style="459" customWidth="1"/>
    <col min="8939" max="8970" width="2.6328125" style="459"/>
    <col min="8971" max="8971" width="2.6328125" style="459" customWidth="1"/>
    <col min="8972" max="9193" width="2.6328125" style="459"/>
    <col min="9194" max="9194" width="4" style="459" customWidth="1"/>
    <col min="9195" max="9226" width="2.6328125" style="459"/>
    <col min="9227" max="9227" width="2.6328125" style="459" customWidth="1"/>
    <col min="9228" max="9449" width="2.6328125" style="459"/>
    <col min="9450" max="9450" width="4" style="459" customWidth="1"/>
    <col min="9451" max="9482" width="2.6328125" style="459"/>
    <col min="9483" max="9483" width="2.6328125" style="459" customWidth="1"/>
    <col min="9484" max="9705" width="2.6328125" style="459"/>
    <col min="9706" max="9706" width="4" style="459" customWidth="1"/>
    <col min="9707" max="9738" width="2.6328125" style="459"/>
    <col min="9739" max="9739" width="2.6328125" style="459" customWidth="1"/>
    <col min="9740" max="9961" width="2.6328125" style="459"/>
    <col min="9962" max="9962" width="4" style="459" customWidth="1"/>
    <col min="9963" max="9994" width="2.6328125" style="459"/>
    <col min="9995" max="9995" width="2.6328125" style="459" customWidth="1"/>
    <col min="9996" max="10217" width="2.6328125" style="459"/>
    <col min="10218" max="10218" width="4" style="459" customWidth="1"/>
    <col min="10219" max="10250" width="2.6328125" style="459"/>
    <col min="10251" max="10251" width="2.6328125" style="459" customWidth="1"/>
    <col min="10252" max="10473" width="2.6328125" style="459"/>
    <col min="10474" max="10474" width="4" style="459" customWidth="1"/>
    <col min="10475" max="10506" width="2.6328125" style="459"/>
    <col min="10507" max="10507" width="2.6328125" style="459" customWidth="1"/>
    <col min="10508" max="10729" width="2.6328125" style="459"/>
    <col min="10730" max="10730" width="4" style="459" customWidth="1"/>
    <col min="10731" max="10762" width="2.6328125" style="459"/>
    <col min="10763" max="10763" width="2.6328125" style="459" customWidth="1"/>
    <col min="10764" max="10985" width="2.6328125" style="459"/>
    <col min="10986" max="10986" width="4" style="459" customWidth="1"/>
    <col min="10987" max="11018" width="2.6328125" style="459"/>
    <col min="11019" max="11019" width="2.6328125" style="459" customWidth="1"/>
    <col min="11020" max="11241" width="2.6328125" style="459"/>
    <col min="11242" max="11242" width="4" style="459" customWidth="1"/>
    <col min="11243" max="11274" width="2.6328125" style="459"/>
    <col min="11275" max="11275" width="2.6328125" style="459" customWidth="1"/>
    <col min="11276" max="11497" width="2.6328125" style="459"/>
    <col min="11498" max="11498" width="4" style="459" customWidth="1"/>
    <col min="11499" max="11530" width="2.6328125" style="459"/>
    <col min="11531" max="11531" width="2.6328125" style="459" customWidth="1"/>
    <col min="11532" max="11753" width="2.6328125" style="459"/>
    <col min="11754" max="11754" width="4" style="459" customWidth="1"/>
    <col min="11755" max="11786" width="2.6328125" style="459"/>
    <col min="11787" max="11787" width="2.6328125" style="459" customWidth="1"/>
    <col min="11788" max="12009" width="2.6328125" style="459"/>
    <col min="12010" max="12010" width="4" style="459" customWidth="1"/>
    <col min="12011" max="12042" width="2.6328125" style="459"/>
    <col min="12043" max="12043" width="2.6328125" style="459" customWidth="1"/>
    <col min="12044" max="12265" width="2.6328125" style="459"/>
    <col min="12266" max="12266" width="4" style="459" customWidth="1"/>
    <col min="12267" max="12298" width="2.6328125" style="459"/>
    <col min="12299" max="12299" width="2.6328125" style="459" customWidth="1"/>
    <col min="12300" max="12521" width="2.6328125" style="459"/>
    <col min="12522" max="12522" width="4" style="459" customWidth="1"/>
    <col min="12523" max="12554" width="2.6328125" style="459"/>
    <col min="12555" max="12555" width="2.6328125" style="459" customWidth="1"/>
    <col min="12556" max="12777" width="2.6328125" style="459"/>
    <col min="12778" max="12778" width="4" style="459" customWidth="1"/>
    <col min="12779" max="12810" width="2.6328125" style="459"/>
    <col min="12811" max="12811" width="2.6328125" style="459" customWidth="1"/>
    <col min="12812" max="13033" width="2.6328125" style="459"/>
    <col min="13034" max="13034" width="4" style="459" customWidth="1"/>
    <col min="13035" max="13066" width="2.6328125" style="459"/>
    <col min="13067" max="13067" width="2.6328125" style="459" customWidth="1"/>
    <col min="13068" max="13289" width="2.6328125" style="459"/>
    <col min="13290" max="13290" width="4" style="459" customWidth="1"/>
    <col min="13291" max="13322" width="2.6328125" style="459"/>
    <col min="13323" max="13323" width="2.6328125" style="459" customWidth="1"/>
    <col min="13324" max="13545" width="2.6328125" style="459"/>
    <col min="13546" max="13546" width="4" style="459" customWidth="1"/>
    <col min="13547" max="13578" width="2.6328125" style="459"/>
    <col min="13579" max="13579" width="2.6328125" style="459" customWidth="1"/>
    <col min="13580" max="13801" width="2.6328125" style="459"/>
    <col min="13802" max="13802" width="4" style="459" customWidth="1"/>
    <col min="13803" max="13834" width="2.6328125" style="459"/>
    <col min="13835" max="13835" width="2.6328125" style="459" customWidth="1"/>
    <col min="13836" max="14057" width="2.6328125" style="459"/>
    <col min="14058" max="14058" width="4" style="459" customWidth="1"/>
    <col min="14059" max="14090" width="2.6328125" style="459"/>
    <col min="14091" max="14091" width="2.6328125" style="459" customWidth="1"/>
    <col min="14092" max="14313" width="2.6328125" style="459"/>
    <col min="14314" max="14314" width="4" style="459" customWidth="1"/>
    <col min="14315" max="14346" width="2.6328125" style="459"/>
    <col min="14347" max="14347" width="2.6328125" style="459" customWidth="1"/>
    <col min="14348" max="14569" width="2.6328125" style="459"/>
    <col min="14570" max="14570" width="4" style="459" customWidth="1"/>
    <col min="14571" max="14602" width="2.6328125" style="459"/>
    <col min="14603" max="14603" width="2.6328125" style="459" customWidth="1"/>
    <col min="14604" max="14825" width="2.6328125" style="459"/>
    <col min="14826" max="14826" width="4" style="459" customWidth="1"/>
    <col min="14827" max="14858" width="2.6328125" style="459"/>
    <col min="14859" max="14859" width="2.6328125" style="459" customWidth="1"/>
    <col min="14860" max="15081" width="2.6328125" style="459"/>
    <col min="15082" max="15082" width="4" style="459" customWidth="1"/>
    <col min="15083" max="15114" width="2.6328125" style="459"/>
    <col min="15115" max="15115" width="2.6328125" style="459" customWidth="1"/>
    <col min="15116" max="15337" width="2.6328125" style="459"/>
    <col min="15338" max="15338" width="4" style="459" customWidth="1"/>
    <col min="15339" max="15370" width="2.6328125" style="459"/>
    <col min="15371" max="15371" width="2.6328125" style="459" customWidth="1"/>
    <col min="15372" max="15593" width="2.6328125" style="459"/>
    <col min="15594" max="15594" width="4" style="459" customWidth="1"/>
    <col min="15595" max="15626" width="2.6328125" style="459"/>
    <col min="15627" max="15627" width="2.6328125" style="459" customWidth="1"/>
    <col min="15628" max="15849" width="2.6328125" style="459"/>
    <col min="15850" max="15850" width="4" style="459" customWidth="1"/>
    <col min="15851" max="15882" width="2.6328125" style="459"/>
    <col min="15883" max="15883" width="2.6328125" style="459" customWidth="1"/>
    <col min="15884" max="16105" width="2.6328125" style="459"/>
    <col min="16106" max="16106" width="4" style="459" customWidth="1"/>
    <col min="16107" max="16138" width="2.6328125" style="459"/>
    <col min="16139" max="16139" width="2.6328125" style="459" customWidth="1"/>
    <col min="16140" max="16384" width="2.6328125" style="459"/>
  </cols>
  <sheetData>
    <row r="1" spans="1:72" ht="12.75" customHeight="1">
      <c r="A1" s="591" t="s">
        <v>180</v>
      </c>
      <c r="B1" s="591"/>
      <c r="C1" s="591"/>
      <c r="D1" s="591"/>
      <c r="E1" s="591"/>
      <c r="F1" s="591"/>
      <c r="G1" s="591"/>
      <c r="H1" s="591"/>
      <c r="I1" s="591"/>
      <c r="J1" s="457"/>
      <c r="K1" s="457"/>
      <c r="L1" s="457"/>
      <c r="M1" s="457"/>
      <c r="N1" s="457"/>
      <c r="O1" s="457"/>
      <c r="P1" s="457"/>
      <c r="Q1" s="457"/>
      <c r="R1" s="457"/>
      <c r="S1" s="457"/>
      <c r="T1" s="457"/>
      <c r="U1" s="457"/>
      <c r="V1" s="457"/>
      <c r="W1" s="457"/>
      <c r="X1" s="457"/>
      <c r="Y1" s="457"/>
      <c r="Z1" s="457"/>
      <c r="AA1" s="457"/>
      <c r="AB1" s="466"/>
      <c r="AC1" s="466"/>
      <c r="AD1" s="466"/>
      <c r="AE1" s="466"/>
      <c r="AF1" s="466"/>
      <c r="AG1" s="466"/>
      <c r="AH1" s="466"/>
      <c r="AI1" s="466"/>
      <c r="AJ1" s="466"/>
      <c r="AK1" s="466"/>
      <c r="AL1" s="457"/>
      <c r="AM1" s="457"/>
      <c r="AN1" s="457"/>
      <c r="AO1" s="457"/>
      <c r="AP1" s="457"/>
      <c r="AQ1" s="457"/>
      <c r="AR1" s="457"/>
      <c r="AS1" s="457"/>
      <c r="AT1" s="457"/>
      <c r="AU1" s="457"/>
      <c r="AV1" s="457"/>
      <c r="AW1" s="457"/>
      <c r="AX1" s="457"/>
      <c r="AY1" s="457"/>
      <c r="AZ1" s="457"/>
      <c r="BA1" s="457"/>
      <c r="BB1" s="457"/>
      <c r="BC1" s="457"/>
      <c r="BD1" s="457"/>
      <c r="BE1" s="457"/>
      <c r="BF1" s="457"/>
      <c r="BG1" s="457"/>
      <c r="BH1" s="457"/>
      <c r="BI1" s="457"/>
      <c r="BJ1" s="457"/>
      <c r="BK1" s="457"/>
      <c r="BL1" s="457"/>
      <c r="BM1" s="457"/>
      <c r="BN1" s="457"/>
      <c r="BO1" s="457"/>
      <c r="BP1" s="457"/>
      <c r="BQ1" s="457"/>
      <c r="BR1" s="457"/>
      <c r="BS1" s="458"/>
      <c r="BT1" s="458"/>
    </row>
    <row r="2" spans="1:72" ht="12.75" customHeight="1">
      <c r="A2" s="592" t="s">
        <v>181</v>
      </c>
      <c r="B2" s="592"/>
      <c r="C2" s="592"/>
      <c r="D2" s="592"/>
      <c r="E2" s="592"/>
      <c r="F2" s="592"/>
      <c r="G2" s="592"/>
      <c r="H2" s="592"/>
      <c r="I2" s="592"/>
      <c r="J2" s="592"/>
      <c r="K2" s="592"/>
      <c r="L2" s="592"/>
      <c r="M2" s="592"/>
      <c r="N2" s="592"/>
      <c r="O2" s="592"/>
      <c r="P2" s="592"/>
      <c r="Q2" s="593"/>
      <c r="R2" s="593"/>
      <c r="S2" s="593"/>
      <c r="T2" s="593"/>
      <c r="U2" s="593"/>
      <c r="V2" s="593"/>
      <c r="W2" s="593"/>
      <c r="X2" s="593"/>
      <c r="Y2" s="593"/>
      <c r="Z2" s="593"/>
      <c r="AA2" s="593"/>
      <c r="AB2" s="593"/>
      <c r="AC2" s="593"/>
      <c r="AD2" s="593"/>
      <c r="AE2" s="593"/>
      <c r="AF2" s="593"/>
      <c r="AG2" s="593"/>
      <c r="AH2" s="593"/>
      <c r="AI2" s="593"/>
      <c r="AJ2" s="593"/>
      <c r="AK2" s="593"/>
      <c r="AL2" s="593"/>
      <c r="AM2" s="593"/>
      <c r="AN2" s="593"/>
      <c r="AO2" s="593"/>
      <c r="AP2" s="593"/>
      <c r="AQ2" s="593"/>
      <c r="AR2" s="593"/>
      <c r="AS2" s="593"/>
      <c r="AT2" s="593"/>
      <c r="AU2" s="593"/>
      <c r="AV2" s="593"/>
      <c r="AW2" s="593"/>
      <c r="AX2" s="593"/>
      <c r="AY2" s="593"/>
      <c r="AZ2" s="593"/>
      <c r="BA2" s="593"/>
      <c r="BB2" s="593"/>
      <c r="BC2" s="593"/>
      <c r="BD2" s="593"/>
      <c r="BE2" s="593"/>
      <c r="BF2" s="593"/>
      <c r="BG2" s="593"/>
      <c r="BH2" s="593"/>
      <c r="BI2" s="593"/>
      <c r="BJ2" s="593"/>
      <c r="BK2" s="593"/>
      <c r="BL2" s="593"/>
      <c r="BM2" s="593"/>
      <c r="BN2" s="593"/>
      <c r="BO2" s="593"/>
      <c r="BP2" s="593"/>
      <c r="BQ2" s="593"/>
      <c r="BR2" s="593"/>
      <c r="BS2" s="593"/>
      <c r="BT2" s="593"/>
    </row>
    <row r="3" spans="1:72" ht="27.75" customHeight="1">
      <c r="A3" s="590" t="s">
        <v>182</v>
      </c>
      <c r="B3" s="594"/>
      <c r="C3" s="594" t="s">
        <v>183</v>
      </c>
      <c r="D3" s="594"/>
      <c r="E3" s="594"/>
      <c r="F3" s="594"/>
      <c r="G3" s="594"/>
      <c r="H3" s="594"/>
      <c r="I3" s="594"/>
      <c r="J3" s="594"/>
      <c r="K3" s="594"/>
      <c r="L3" s="594"/>
      <c r="M3" s="594"/>
      <c r="N3" s="594"/>
      <c r="O3" s="594"/>
      <c r="P3" s="594"/>
      <c r="Q3" s="584" t="s">
        <v>184</v>
      </c>
      <c r="R3" s="585"/>
      <c r="S3" s="585"/>
      <c r="T3" s="585"/>
      <c r="U3" s="585"/>
      <c r="V3" s="585"/>
      <c r="W3" s="585"/>
      <c r="X3" s="585"/>
      <c r="Y3" s="585"/>
      <c r="Z3" s="585"/>
      <c r="AA3" s="586"/>
      <c r="AB3" s="595" t="s">
        <v>254</v>
      </c>
      <c r="AC3" s="596"/>
      <c r="AD3" s="596"/>
      <c r="AE3" s="596"/>
      <c r="AF3" s="596"/>
      <c r="AG3" s="596"/>
      <c r="AH3" s="596"/>
      <c r="AI3" s="596"/>
      <c r="AJ3" s="596"/>
      <c r="AK3" s="597"/>
      <c r="AL3" s="590" t="s">
        <v>185</v>
      </c>
      <c r="AM3" s="590"/>
      <c r="AN3" s="590"/>
      <c r="AO3" s="590"/>
      <c r="AP3" s="590"/>
      <c r="AQ3" s="590"/>
      <c r="AR3" s="590"/>
      <c r="AS3" s="590"/>
      <c r="AT3" s="590"/>
      <c r="AU3" s="590"/>
      <c r="AV3" s="590"/>
      <c r="AW3" s="590"/>
      <c r="AX3" s="590"/>
      <c r="AY3" s="590"/>
      <c r="AZ3" s="590"/>
      <c r="BA3" s="590"/>
      <c r="BB3" s="590"/>
      <c r="BC3" s="590"/>
      <c r="BD3" s="590"/>
      <c r="BE3" s="590"/>
      <c r="BF3" s="590"/>
      <c r="BG3" s="590"/>
      <c r="BH3" s="590"/>
      <c r="BI3" s="590"/>
      <c r="BJ3" s="590"/>
      <c r="BK3" s="590"/>
      <c r="BL3" s="590"/>
      <c r="BM3" s="590"/>
      <c r="BN3" s="590"/>
      <c r="BO3" s="590"/>
      <c r="BP3" s="590"/>
      <c r="BQ3" s="590"/>
      <c r="BR3" s="590"/>
      <c r="BS3" s="590"/>
      <c r="BT3" s="590"/>
    </row>
    <row r="4" spans="1:72" ht="27.75" customHeight="1">
      <c r="A4" s="594"/>
      <c r="B4" s="594"/>
      <c r="C4" s="583" t="s">
        <v>186</v>
      </c>
      <c r="D4" s="583"/>
      <c r="E4" s="583"/>
      <c r="F4" s="583"/>
      <c r="G4" s="583"/>
      <c r="H4" s="583"/>
      <c r="I4" s="583"/>
      <c r="J4" s="583" t="s">
        <v>187</v>
      </c>
      <c r="K4" s="583"/>
      <c r="L4" s="583"/>
      <c r="M4" s="583"/>
      <c r="N4" s="583"/>
      <c r="O4" s="583"/>
      <c r="P4" s="583"/>
      <c r="Q4" s="587"/>
      <c r="R4" s="588"/>
      <c r="S4" s="588"/>
      <c r="T4" s="588"/>
      <c r="U4" s="588"/>
      <c r="V4" s="588"/>
      <c r="W4" s="588"/>
      <c r="X4" s="588"/>
      <c r="Y4" s="588"/>
      <c r="Z4" s="588"/>
      <c r="AA4" s="589"/>
      <c r="AB4" s="598"/>
      <c r="AC4" s="599"/>
      <c r="AD4" s="599"/>
      <c r="AE4" s="599"/>
      <c r="AF4" s="599"/>
      <c r="AG4" s="599"/>
      <c r="AH4" s="599"/>
      <c r="AI4" s="599"/>
      <c r="AJ4" s="599"/>
      <c r="AK4" s="600"/>
      <c r="AL4" s="590"/>
      <c r="AM4" s="590"/>
      <c r="AN4" s="590"/>
      <c r="AO4" s="590"/>
      <c r="AP4" s="590"/>
      <c r="AQ4" s="590"/>
      <c r="AR4" s="590"/>
      <c r="AS4" s="590"/>
      <c r="AT4" s="590"/>
      <c r="AU4" s="590"/>
      <c r="AV4" s="590"/>
      <c r="AW4" s="590"/>
      <c r="AX4" s="590"/>
      <c r="AY4" s="590"/>
      <c r="AZ4" s="590"/>
      <c r="BA4" s="590"/>
      <c r="BB4" s="590"/>
      <c r="BC4" s="590"/>
      <c r="BD4" s="590"/>
      <c r="BE4" s="590"/>
      <c r="BF4" s="590"/>
      <c r="BG4" s="590"/>
      <c r="BH4" s="590"/>
      <c r="BI4" s="590"/>
      <c r="BJ4" s="590"/>
      <c r="BK4" s="590"/>
      <c r="BL4" s="590"/>
      <c r="BM4" s="590"/>
      <c r="BN4" s="590"/>
      <c r="BO4" s="590"/>
      <c r="BP4" s="590"/>
      <c r="BQ4" s="590"/>
      <c r="BR4" s="590"/>
      <c r="BS4" s="590"/>
      <c r="BT4" s="590"/>
    </row>
    <row r="5" spans="1:72">
      <c r="A5" s="548" t="s">
        <v>188</v>
      </c>
      <c r="B5" s="549"/>
      <c r="C5" s="570" t="s">
        <v>189</v>
      </c>
      <c r="D5" s="571"/>
      <c r="E5" s="571"/>
      <c r="F5" s="571"/>
      <c r="G5" s="571"/>
      <c r="H5" s="571"/>
      <c r="I5" s="572"/>
      <c r="J5" s="553"/>
      <c r="K5" s="554"/>
      <c r="L5" s="554"/>
      <c r="M5" s="554"/>
      <c r="N5" s="554"/>
      <c r="O5" s="554"/>
      <c r="P5" s="555"/>
      <c r="Q5" s="546"/>
      <c r="R5" s="544"/>
      <c r="S5" s="544"/>
      <c r="T5" s="544"/>
      <c r="U5" s="544"/>
      <c r="V5" s="544"/>
      <c r="W5" s="544"/>
      <c r="X5" s="544"/>
      <c r="Y5" s="544"/>
      <c r="Z5" s="544"/>
      <c r="AA5" s="547"/>
      <c r="AB5" s="556"/>
      <c r="AC5" s="557"/>
      <c r="AD5" s="557"/>
      <c r="AE5" s="557"/>
      <c r="AF5" s="557"/>
      <c r="AG5" s="557"/>
      <c r="AH5" s="557"/>
      <c r="AI5" s="557"/>
      <c r="AJ5" s="557"/>
      <c r="AK5" s="558"/>
      <c r="AL5" s="543"/>
      <c r="AM5" s="544"/>
      <c r="AN5" s="544"/>
      <c r="AO5" s="544"/>
      <c r="AP5" s="544"/>
      <c r="AQ5" s="544"/>
      <c r="AR5" s="544"/>
      <c r="AS5" s="544"/>
      <c r="AT5" s="544"/>
      <c r="AU5" s="544"/>
      <c r="AV5" s="544"/>
      <c r="AW5" s="544"/>
      <c r="AX5" s="544"/>
      <c r="AY5" s="544"/>
      <c r="AZ5" s="544"/>
      <c r="BA5" s="544"/>
      <c r="BB5" s="544"/>
      <c r="BC5" s="544"/>
      <c r="BD5" s="544"/>
      <c r="BE5" s="544"/>
      <c r="BF5" s="544"/>
      <c r="BG5" s="544"/>
      <c r="BH5" s="544"/>
      <c r="BI5" s="544"/>
      <c r="BJ5" s="544"/>
      <c r="BK5" s="544"/>
      <c r="BL5" s="544"/>
      <c r="BM5" s="544"/>
      <c r="BN5" s="544"/>
      <c r="BO5" s="544"/>
      <c r="BP5" s="544"/>
      <c r="BQ5" s="544"/>
      <c r="BR5" s="544"/>
      <c r="BS5" s="544"/>
      <c r="BT5" s="545"/>
    </row>
    <row r="6" spans="1:72">
      <c r="A6" s="548" t="s">
        <v>190</v>
      </c>
      <c r="B6" s="549"/>
      <c r="C6" s="570"/>
      <c r="D6" s="571"/>
      <c r="E6" s="571"/>
      <c r="F6" s="571"/>
      <c r="G6" s="571"/>
      <c r="H6" s="571"/>
      <c r="I6" s="572"/>
      <c r="J6" s="553" t="s">
        <v>191</v>
      </c>
      <c r="K6" s="554"/>
      <c r="L6" s="554"/>
      <c r="M6" s="554"/>
      <c r="N6" s="554"/>
      <c r="O6" s="554"/>
      <c r="P6" s="555"/>
      <c r="Q6" s="546"/>
      <c r="R6" s="544"/>
      <c r="S6" s="544"/>
      <c r="T6" s="544"/>
      <c r="U6" s="544"/>
      <c r="V6" s="544"/>
      <c r="W6" s="544"/>
      <c r="X6" s="544"/>
      <c r="Y6" s="544"/>
      <c r="Z6" s="544"/>
      <c r="AA6" s="547"/>
      <c r="AB6" s="556" t="s">
        <v>179</v>
      </c>
      <c r="AC6" s="557"/>
      <c r="AD6" s="557"/>
      <c r="AE6" s="557"/>
      <c r="AF6" s="557"/>
      <c r="AG6" s="557"/>
      <c r="AH6" s="557"/>
      <c r="AI6" s="557"/>
      <c r="AJ6" s="557"/>
      <c r="AK6" s="558"/>
      <c r="AL6" s="543"/>
      <c r="AM6" s="544"/>
      <c r="AN6" s="544"/>
      <c r="AO6" s="544"/>
      <c r="AP6" s="544"/>
      <c r="AQ6" s="544"/>
      <c r="AR6" s="544"/>
      <c r="AS6" s="544"/>
      <c r="AT6" s="544"/>
      <c r="AU6" s="544"/>
      <c r="AV6" s="544"/>
      <c r="AW6" s="544"/>
      <c r="AX6" s="544"/>
      <c r="AY6" s="544"/>
      <c r="AZ6" s="544"/>
      <c r="BA6" s="544"/>
      <c r="BB6" s="544"/>
      <c r="BC6" s="544"/>
      <c r="BD6" s="544"/>
      <c r="BE6" s="544"/>
      <c r="BF6" s="544"/>
      <c r="BG6" s="544"/>
      <c r="BH6" s="544"/>
      <c r="BI6" s="544"/>
      <c r="BJ6" s="544"/>
      <c r="BK6" s="544"/>
      <c r="BL6" s="544"/>
      <c r="BM6" s="544"/>
      <c r="BN6" s="544"/>
      <c r="BO6" s="544"/>
      <c r="BP6" s="544"/>
      <c r="BQ6" s="544"/>
      <c r="BR6" s="544"/>
      <c r="BS6" s="544"/>
      <c r="BT6" s="545"/>
    </row>
    <row r="7" spans="1:72" ht="15.75" customHeight="1">
      <c r="A7" s="548" t="s">
        <v>193</v>
      </c>
      <c r="B7" s="549"/>
      <c r="C7" s="576" t="s">
        <v>194</v>
      </c>
      <c r="D7" s="577"/>
      <c r="E7" s="577"/>
      <c r="F7" s="577"/>
      <c r="G7" s="577"/>
      <c r="H7" s="577"/>
      <c r="I7" s="578"/>
      <c r="J7" s="579"/>
      <c r="K7" s="579"/>
      <c r="L7" s="579"/>
      <c r="M7" s="579"/>
      <c r="N7" s="579"/>
      <c r="O7" s="579"/>
      <c r="P7" s="579"/>
      <c r="Q7" s="546"/>
      <c r="R7" s="544"/>
      <c r="S7" s="544"/>
      <c r="T7" s="544"/>
      <c r="U7" s="544"/>
      <c r="V7" s="544"/>
      <c r="W7" s="544"/>
      <c r="X7" s="544"/>
      <c r="Y7" s="544"/>
      <c r="Z7" s="544"/>
      <c r="AA7" s="547"/>
      <c r="AB7" s="580"/>
      <c r="AC7" s="581"/>
      <c r="AD7" s="581"/>
      <c r="AE7" s="581"/>
      <c r="AF7" s="581"/>
      <c r="AG7" s="581"/>
      <c r="AH7" s="581"/>
      <c r="AI7" s="581"/>
      <c r="AJ7" s="581"/>
      <c r="AK7" s="582"/>
      <c r="AL7" s="573"/>
      <c r="AM7" s="574"/>
      <c r="AN7" s="574"/>
      <c r="AO7" s="574"/>
      <c r="AP7" s="574"/>
      <c r="AQ7" s="574"/>
      <c r="AR7" s="574"/>
      <c r="AS7" s="574"/>
      <c r="AT7" s="574"/>
      <c r="AU7" s="574"/>
      <c r="AV7" s="574"/>
      <c r="AW7" s="574"/>
      <c r="AX7" s="574"/>
      <c r="AY7" s="574"/>
      <c r="AZ7" s="574"/>
      <c r="BA7" s="574"/>
      <c r="BB7" s="574"/>
      <c r="BC7" s="574"/>
      <c r="BD7" s="574"/>
      <c r="BE7" s="574"/>
      <c r="BF7" s="574"/>
      <c r="BG7" s="574"/>
      <c r="BH7" s="574"/>
      <c r="BI7" s="574"/>
      <c r="BJ7" s="574"/>
      <c r="BK7" s="574"/>
      <c r="BL7" s="574"/>
      <c r="BM7" s="574"/>
      <c r="BN7" s="574"/>
      <c r="BO7" s="574"/>
      <c r="BP7" s="574"/>
      <c r="BQ7" s="574"/>
      <c r="BR7" s="574"/>
      <c r="BS7" s="574"/>
      <c r="BT7" s="575"/>
    </row>
    <row r="8" spans="1:72" ht="15.75" customHeight="1">
      <c r="A8" s="548">
        <v>2.1</v>
      </c>
      <c r="B8" s="549"/>
      <c r="C8" s="570"/>
      <c r="D8" s="571"/>
      <c r="E8" s="571"/>
      <c r="F8" s="571"/>
      <c r="G8" s="571"/>
      <c r="H8" s="571"/>
      <c r="I8" s="572"/>
      <c r="J8" s="562" t="s">
        <v>192</v>
      </c>
      <c r="K8" s="563"/>
      <c r="L8" s="563"/>
      <c r="M8" s="563"/>
      <c r="N8" s="563"/>
      <c r="O8" s="563"/>
      <c r="P8" s="564"/>
      <c r="Q8" s="565"/>
      <c r="R8" s="566"/>
      <c r="S8" s="566"/>
      <c r="T8" s="566"/>
      <c r="U8" s="566"/>
      <c r="V8" s="566"/>
      <c r="W8" s="566"/>
      <c r="X8" s="566"/>
      <c r="Y8" s="566"/>
      <c r="Z8" s="566"/>
      <c r="AA8" s="567"/>
      <c r="AB8" s="556" t="s">
        <v>255</v>
      </c>
      <c r="AC8" s="557"/>
      <c r="AD8" s="557"/>
      <c r="AE8" s="557"/>
      <c r="AF8" s="557"/>
      <c r="AG8" s="557"/>
      <c r="AH8" s="557"/>
      <c r="AI8" s="557"/>
      <c r="AJ8" s="557"/>
      <c r="AK8" s="558"/>
      <c r="AL8" s="568"/>
      <c r="AM8" s="566"/>
      <c r="AN8" s="566"/>
      <c r="AO8" s="566"/>
      <c r="AP8" s="566"/>
      <c r="AQ8" s="566"/>
      <c r="AR8" s="566"/>
      <c r="AS8" s="566"/>
      <c r="AT8" s="566"/>
      <c r="AU8" s="566"/>
      <c r="AV8" s="566"/>
      <c r="AW8" s="566"/>
      <c r="AX8" s="566"/>
      <c r="AY8" s="566"/>
      <c r="AZ8" s="566"/>
      <c r="BA8" s="566"/>
      <c r="BB8" s="566"/>
      <c r="BC8" s="566"/>
      <c r="BD8" s="566"/>
      <c r="BE8" s="566"/>
      <c r="BF8" s="566"/>
      <c r="BG8" s="566"/>
      <c r="BH8" s="566"/>
      <c r="BI8" s="566"/>
      <c r="BJ8" s="566"/>
      <c r="BK8" s="566"/>
      <c r="BL8" s="566"/>
      <c r="BM8" s="566"/>
      <c r="BN8" s="566"/>
      <c r="BO8" s="566"/>
      <c r="BP8" s="566"/>
      <c r="BQ8" s="566"/>
      <c r="BR8" s="566"/>
      <c r="BS8" s="566"/>
      <c r="BT8" s="569"/>
    </row>
    <row r="9" spans="1:72" ht="30.75" customHeight="1">
      <c r="A9" s="548">
        <v>2.2000000000000002</v>
      </c>
      <c r="B9" s="549"/>
      <c r="C9" s="550"/>
      <c r="D9" s="551"/>
      <c r="E9" s="551"/>
      <c r="F9" s="551"/>
      <c r="G9" s="551"/>
      <c r="H9" s="551"/>
      <c r="I9" s="552"/>
      <c r="J9" s="562" t="s">
        <v>195</v>
      </c>
      <c r="K9" s="563"/>
      <c r="L9" s="563"/>
      <c r="M9" s="563"/>
      <c r="N9" s="563"/>
      <c r="O9" s="563"/>
      <c r="P9" s="564"/>
      <c r="Q9" s="546"/>
      <c r="R9" s="544"/>
      <c r="S9" s="544"/>
      <c r="T9" s="544"/>
      <c r="U9" s="544"/>
      <c r="V9" s="544"/>
      <c r="W9" s="544"/>
      <c r="X9" s="544"/>
      <c r="Y9" s="544"/>
      <c r="Z9" s="544"/>
      <c r="AA9" s="547"/>
      <c r="AB9" s="556" t="s">
        <v>256</v>
      </c>
      <c r="AC9" s="557"/>
      <c r="AD9" s="557"/>
      <c r="AE9" s="557"/>
      <c r="AF9" s="557"/>
      <c r="AG9" s="557"/>
      <c r="AH9" s="557"/>
      <c r="AI9" s="557"/>
      <c r="AJ9" s="557"/>
      <c r="AK9" s="558"/>
      <c r="AL9" s="559" t="s">
        <v>258</v>
      </c>
      <c r="AM9" s="560"/>
      <c r="AN9" s="560"/>
      <c r="AO9" s="560"/>
      <c r="AP9" s="560"/>
      <c r="AQ9" s="560"/>
      <c r="AR9" s="560"/>
      <c r="AS9" s="560"/>
      <c r="AT9" s="560"/>
      <c r="AU9" s="560"/>
      <c r="AV9" s="560"/>
      <c r="AW9" s="560"/>
      <c r="AX9" s="560"/>
      <c r="AY9" s="560"/>
      <c r="AZ9" s="560"/>
      <c r="BA9" s="560"/>
      <c r="BB9" s="560"/>
      <c r="BC9" s="560"/>
      <c r="BD9" s="560"/>
      <c r="BE9" s="560"/>
      <c r="BF9" s="560"/>
      <c r="BG9" s="560"/>
      <c r="BH9" s="560"/>
      <c r="BI9" s="560"/>
      <c r="BJ9" s="560"/>
      <c r="BK9" s="560"/>
      <c r="BL9" s="560"/>
      <c r="BM9" s="560"/>
      <c r="BN9" s="560"/>
      <c r="BO9" s="560"/>
      <c r="BP9" s="560"/>
      <c r="BQ9" s="560"/>
      <c r="BR9" s="560"/>
      <c r="BS9" s="560"/>
      <c r="BT9" s="561"/>
    </row>
    <row r="10" spans="1:72" ht="66.75" customHeight="1">
      <c r="A10" s="548" t="s">
        <v>196</v>
      </c>
      <c r="B10" s="549"/>
      <c r="C10" s="550"/>
      <c r="D10" s="551"/>
      <c r="E10" s="551"/>
      <c r="F10" s="551"/>
      <c r="G10" s="551"/>
      <c r="H10" s="551"/>
      <c r="I10" s="552"/>
      <c r="J10" s="562" t="s">
        <v>197</v>
      </c>
      <c r="K10" s="563"/>
      <c r="L10" s="563"/>
      <c r="M10" s="563"/>
      <c r="N10" s="563"/>
      <c r="O10" s="563"/>
      <c r="P10" s="564"/>
      <c r="Q10" s="546"/>
      <c r="R10" s="544"/>
      <c r="S10" s="544"/>
      <c r="T10" s="544"/>
      <c r="U10" s="544"/>
      <c r="V10" s="544"/>
      <c r="W10" s="544"/>
      <c r="X10" s="544"/>
      <c r="Y10" s="544"/>
      <c r="Z10" s="544"/>
      <c r="AA10" s="547"/>
      <c r="AB10" s="556" t="s">
        <v>257</v>
      </c>
      <c r="AC10" s="557"/>
      <c r="AD10" s="557"/>
      <c r="AE10" s="557"/>
      <c r="AF10" s="557"/>
      <c r="AG10" s="557"/>
      <c r="AH10" s="557"/>
      <c r="AI10" s="557"/>
      <c r="AJ10" s="557"/>
      <c r="AK10" s="558"/>
      <c r="AL10" s="559" t="s">
        <v>259</v>
      </c>
      <c r="AM10" s="560"/>
      <c r="AN10" s="560"/>
      <c r="AO10" s="560"/>
      <c r="AP10" s="560"/>
      <c r="AQ10" s="560"/>
      <c r="AR10" s="560"/>
      <c r="AS10" s="560"/>
      <c r="AT10" s="560"/>
      <c r="AU10" s="560"/>
      <c r="AV10" s="560"/>
      <c r="AW10" s="560"/>
      <c r="AX10" s="560"/>
      <c r="AY10" s="560"/>
      <c r="AZ10" s="560"/>
      <c r="BA10" s="560"/>
      <c r="BB10" s="560"/>
      <c r="BC10" s="560"/>
      <c r="BD10" s="560"/>
      <c r="BE10" s="560"/>
      <c r="BF10" s="560"/>
      <c r="BG10" s="560"/>
      <c r="BH10" s="560"/>
      <c r="BI10" s="560"/>
      <c r="BJ10" s="560"/>
      <c r="BK10" s="560"/>
      <c r="BL10" s="560"/>
      <c r="BM10" s="560"/>
      <c r="BN10" s="560"/>
      <c r="BO10" s="560"/>
      <c r="BP10" s="560"/>
      <c r="BQ10" s="560"/>
      <c r="BR10" s="560"/>
      <c r="BS10" s="560"/>
      <c r="BT10" s="561"/>
    </row>
    <row r="11" spans="1:72">
      <c r="A11" s="548" t="s">
        <v>198</v>
      </c>
      <c r="B11" s="549"/>
      <c r="C11" s="550"/>
      <c r="D11" s="551"/>
      <c r="E11" s="551"/>
      <c r="F11" s="551"/>
      <c r="G11" s="551"/>
      <c r="H11" s="551"/>
      <c r="I11" s="552"/>
      <c r="J11" s="553" t="s">
        <v>199</v>
      </c>
      <c r="K11" s="554"/>
      <c r="L11" s="554"/>
      <c r="M11" s="554"/>
      <c r="N11" s="554"/>
      <c r="O11" s="554"/>
      <c r="P11" s="555"/>
      <c r="Q11" s="546"/>
      <c r="R11" s="544"/>
      <c r="S11" s="544"/>
      <c r="T11" s="544"/>
      <c r="U11" s="544"/>
      <c r="V11" s="544"/>
      <c r="W11" s="544"/>
      <c r="X11" s="544"/>
      <c r="Y11" s="544"/>
      <c r="Z11" s="544"/>
      <c r="AA11" s="547"/>
      <c r="AB11" s="556"/>
      <c r="AC11" s="557"/>
      <c r="AD11" s="557"/>
      <c r="AE11" s="557"/>
      <c r="AF11" s="557"/>
      <c r="AG11" s="557"/>
      <c r="AH11" s="557"/>
      <c r="AI11" s="557"/>
      <c r="AJ11" s="557"/>
      <c r="AK11" s="558"/>
      <c r="AL11" s="543"/>
      <c r="AM11" s="544"/>
      <c r="AN11" s="544"/>
      <c r="AO11" s="544"/>
      <c r="AP11" s="544"/>
      <c r="AQ11" s="544"/>
      <c r="AR11" s="544"/>
      <c r="AS11" s="544"/>
      <c r="AT11" s="544"/>
      <c r="AU11" s="544"/>
      <c r="AV11" s="544"/>
      <c r="AW11" s="544"/>
      <c r="AX11" s="544"/>
      <c r="AY11" s="544"/>
      <c r="AZ11" s="544"/>
      <c r="BA11" s="544"/>
      <c r="BB11" s="544"/>
      <c r="BC11" s="544"/>
      <c r="BD11" s="544"/>
      <c r="BE11" s="544"/>
      <c r="BF11" s="544"/>
      <c r="BG11" s="544"/>
      <c r="BH11" s="544"/>
      <c r="BI11" s="544"/>
      <c r="BJ11" s="544"/>
      <c r="BK11" s="544"/>
      <c r="BL11" s="544"/>
      <c r="BM11" s="544"/>
      <c r="BN11" s="544"/>
      <c r="BO11" s="544"/>
      <c r="BP11" s="544"/>
      <c r="BQ11" s="544"/>
      <c r="BR11" s="544"/>
      <c r="BS11" s="544"/>
      <c r="BT11" s="545"/>
    </row>
    <row r="12" spans="1:72">
      <c r="A12" s="457"/>
      <c r="B12" s="457"/>
      <c r="C12" s="457"/>
      <c r="D12" s="457"/>
      <c r="E12" s="457"/>
      <c r="F12" s="457"/>
      <c r="G12" s="457"/>
      <c r="H12" s="457"/>
      <c r="I12" s="457"/>
      <c r="J12" s="457"/>
      <c r="K12" s="457"/>
      <c r="L12" s="457"/>
      <c r="M12" s="457"/>
      <c r="N12" s="457"/>
      <c r="O12" s="457"/>
      <c r="P12" s="457"/>
      <c r="Q12" s="457"/>
      <c r="R12" s="457"/>
      <c r="S12" s="457"/>
      <c r="T12" s="457"/>
      <c r="U12" s="457"/>
      <c r="V12" s="457"/>
      <c r="W12" s="457"/>
      <c r="X12" s="457"/>
      <c r="Y12" s="457"/>
      <c r="Z12" s="457"/>
      <c r="AA12" s="457"/>
      <c r="AB12" s="466"/>
      <c r="AC12" s="466"/>
      <c r="AD12" s="466"/>
      <c r="AE12" s="466"/>
      <c r="AF12" s="466"/>
      <c r="AG12" s="466"/>
      <c r="AH12" s="466"/>
      <c r="AI12" s="466"/>
      <c r="AJ12" s="466"/>
      <c r="AK12" s="466"/>
      <c r="AL12" s="457"/>
      <c r="AM12" s="457"/>
      <c r="AN12" s="457"/>
      <c r="AO12" s="457"/>
      <c r="AP12" s="457"/>
      <c r="AQ12" s="457"/>
      <c r="AR12" s="457"/>
      <c r="AS12" s="457"/>
      <c r="AT12" s="457"/>
      <c r="AU12" s="457"/>
      <c r="AV12" s="457"/>
      <c r="AW12" s="457"/>
      <c r="AX12" s="457"/>
      <c r="AY12" s="457"/>
      <c r="AZ12" s="457"/>
      <c r="BA12" s="457"/>
      <c r="BB12" s="457"/>
      <c r="BC12" s="457"/>
      <c r="BD12" s="457"/>
      <c r="BE12" s="457"/>
      <c r="BF12" s="457"/>
      <c r="BG12" s="457"/>
      <c r="BH12" s="457"/>
      <c r="BI12" s="457"/>
      <c r="BJ12" s="457"/>
      <c r="BK12" s="457"/>
      <c r="BL12" s="457"/>
      <c r="BM12" s="457"/>
      <c r="BN12" s="457"/>
      <c r="BO12" s="457"/>
      <c r="BP12" s="457"/>
      <c r="BQ12" s="457"/>
      <c r="BR12" s="457"/>
      <c r="BS12" s="457"/>
      <c r="BT12" s="457"/>
    </row>
  </sheetData>
  <mergeCells count="52">
    <mergeCell ref="C4:I4"/>
    <mergeCell ref="J4:P4"/>
    <mergeCell ref="Q3:AA4"/>
    <mergeCell ref="AL3:BT4"/>
    <mergeCell ref="A1:I1"/>
    <mergeCell ref="A2:P2"/>
    <mergeCell ref="Q2:BT2"/>
    <mergeCell ref="A3:B4"/>
    <mergeCell ref="C3:P3"/>
    <mergeCell ref="AB3:AK4"/>
    <mergeCell ref="Q5:AA5"/>
    <mergeCell ref="AL5:BT5"/>
    <mergeCell ref="A5:B5"/>
    <mergeCell ref="C5:I5"/>
    <mergeCell ref="J5:P5"/>
    <mergeCell ref="AB5:AK5"/>
    <mergeCell ref="Q6:AA6"/>
    <mergeCell ref="AL6:BT6"/>
    <mergeCell ref="A6:B6"/>
    <mergeCell ref="C6:I6"/>
    <mergeCell ref="J6:P6"/>
    <mergeCell ref="AB6:AK6"/>
    <mergeCell ref="Q7:AA7"/>
    <mergeCell ref="AL7:BT7"/>
    <mergeCell ref="A7:B7"/>
    <mergeCell ref="C7:I7"/>
    <mergeCell ref="J7:P7"/>
    <mergeCell ref="AB7:AK7"/>
    <mergeCell ref="Q8:AA8"/>
    <mergeCell ref="AL8:BT8"/>
    <mergeCell ref="A8:B8"/>
    <mergeCell ref="C8:I8"/>
    <mergeCell ref="J8:P8"/>
    <mergeCell ref="AB8:AK8"/>
    <mergeCell ref="AL9:BT9"/>
    <mergeCell ref="Q9:AA9"/>
    <mergeCell ref="A9:B9"/>
    <mergeCell ref="C9:I9"/>
    <mergeCell ref="J9:P9"/>
    <mergeCell ref="AB9:AK9"/>
    <mergeCell ref="Q10:AA10"/>
    <mergeCell ref="AL10:BT10"/>
    <mergeCell ref="A10:B10"/>
    <mergeCell ref="C10:I10"/>
    <mergeCell ref="J10:P10"/>
    <mergeCell ref="AB10:AK10"/>
    <mergeCell ref="AL11:BT11"/>
    <mergeCell ref="Q11:AA11"/>
    <mergeCell ref="A11:B11"/>
    <mergeCell ref="C11:I11"/>
    <mergeCell ref="J11:P11"/>
    <mergeCell ref="AB11:AK11"/>
  </mergeCells>
  <phoneticPr fontId="55"/>
  <conditionalFormatting sqref="AB5:AB11">
    <cfRule type="expression" dxfId="9" priority="2" stopIfTrue="1">
      <formula>FIND("○",#REF!)</formula>
    </cfRule>
  </conditionalFormatting>
  <conditionalFormatting sqref="AL5:AL8 Q5:Q11">
    <cfRule type="expression" dxfId="8" priority="10" stopIfTrue="1">
      <formula>FIND("○",#REF!)</formula>
    </cfRule>
  </conditionalFormatting>
  <conditionalFormatting sqref="AL9:AL10">
    <cfRule type="expression" dxfId="7" priority="1" stopIfTrue="1">
      <formula>FIND("○",$AD9:$AE11)</formula>
    </cfRule>
  </conditionalFormatting>
  <conditionalFormatting sqref="AL11">
    <cfRule type="expression" dxfId="6" priority="14" stopIfTrue="1">
      <formula>FIND("○",#REF!)</formula>
    </cfRule>
  </conditionalFormatting>
  <dataValidations count="4">
    <dataValidation type="list" allowBlank="1" showInputMessage="1" showErrorMessage="1" sqref="HD5:HR11 QZ5:RN11 AAV5:ABJ11 AKR5:ALF11 AUN5:AVB11 BEJ5:BEX11 BOF5:BOT11 BYB5:BYP11 CHX5:CIL11 CRT5:CSH11 DBP5:DCD11 DLL5:DLZ11 DVH5:DVV11 EFD5:EFR11 EOZ5:EPN11 EYV5:EZJ11 FIR5:FJF11 FSN5:FTB11 GCJ5:GCX11 GMF5:GMT11 GWB5:GWP11 HFX5:HGL11 HPT5:HQH11 HZP5:IAD11 IJL5:IJZ11 ITH5:ITV11 JDD5:JDR11 JMZ5:JNN11 JWV5:JXJ11 KGR5:KHF11 KQN5:KRB11 LAJ5:LAX11 LKF5:LKT11 LUB5:LUP11 MDX5:MEL11 MNT5:MOH11 MXP5:MYD11 NHL5:NHZ11 NRH5:NRV11 OBD5:OBR11 OKZ5:OLN11 OUV5:OVJ11 PER5:PFF11 PON5:PPB11 PYJ5:PYX11 QIF5:QIT11 QSB5:QSP11 RBX5:RCL11 RLT5:RMH11 RVP5:RWD11 SFL5:SFZ11 SPH5:SPV11 SZD5:SZR11 TIZ5:TJN11 TSV5:TTJ11 UCR5:UDF11 UMN5:UNB11 UWJ5:UWX11 VGF5:VGT11 VQB5:VQP11 VZX5:WAL11 WJT5:WKH11 WTP5:WUD11 WJT982982:WKH983019 HD65478:HR65515 QZ65478:RN65515 AAV65478:ABJ65515 AKR65478:ALF65515 AUN65478:AVB65515 BEJ65478:BEX65515 BOF65478:BOT65515 BYB65478:BYP65515 CHX65478:CIL65515 CRT65478:CSH65515 DBP65478:DCD65515 DLL65478:DLZ65515 DVH65478:DVV65515 EFD65478:EFR65515 EOZ65478:EPN65515 EYV65478:EZJ65515 FIR65478:FJF65515 FSN65478:FTB65515 GCJ65478:GCX65515 GMF65478:GMT65515 GWB65478:GWP65515 HFX65478:HGL65515 HPT65478:HQH65515 HZP65478:IAD65515 IJL65478:IJZ65515 ITH65478:ITV65515 JDD65478:JDR65515 JMZ65478:JNN65515 JWV65478:JXJ65515 KGR65478:KHF65515 KQN65478:KRB65515 LAJ65478:LAX65515 LKF65478:LKT65515 LUB65478:LUP65515 MDX65478:MEL65515 MNT65478:MOH65515 MXP65478:MYD65515 NHL65478:NHZ65515 NRH65478:NRV65515 OBD65478:OBR65515 OKZ65478:OLN65515 OUV65478:OVJ65515 PER65478:PFF65515 PON65478:PPB65515 PYJ65478:PYX65515 QIF65478:QIT65515 QSB65478:QSP65515 RBX65478:RCL65515 RLT65478:RMH65515 RVP65478:RWD65515 SFL65478:SFZ65515 SPH65478:SPV65515 SZD65478:SZR65515 TIZ65478:TJN65515 TSV65478:TTJ65515 UCR65478:UDF65515 UMN65478:UNB65515 UWJ65478:UWX65515 VGF65478:VGT65515 VQB65478:VQP65515 VZX65478:WAL65515 WJT65478:WKH65515 WTP65478:WUD65515 HD131014:HR131051 QZ131014:RN131051 AAV131014:ABJ131051 AKR131014:ALF131051 AUN131014:AVB131051 BEJ131014:BEX131051 BOF131014:BOT131051 BYB131014:BYP131051 CHX131014:CIL131051 CRT131014:CSH131051 DBP131014:DCD131051 DLL131014:DLZ131051 DVH131014:DVV131051 EFD131014:EFR131051 EOZ131014:EPN131051 EYV131014:EZJ131051 FIR131014:FJF131051 FSN131014:FTB131051 GCJ131014:GCX131051 GMF131014:GMT131051 GWB131014:GWP131051 HFX131014:HGL131051 HPT131014:HQH131051 HZP131014:IAD131051 IJL131014:IJZ131051 ITH131014:ITV131051 JDD131014:JDR131051 JMZ131014:JNN131051 JWV131014:JXJ131051 KGR131014:KHF131051 KQN131014:KRB131051 LAJ131014:LAX131051 LKF131014:LKT131051 LUB131014:LUP131051 MDX131014:MEL131051 MNT131014:MOH131051 MXP131014:MYD131051 NHL131014:NHZ131051 NRH131014:NRV131051 OBD131014:OBR131051 OKZ131014:OLN131051 OUV131014:OVJ131051 PER131014:PFF131051 PON131014:PPB131051 PYJ131014:PYX131051 QIF131014:QIT131051 QSB131014:QSP131051 RBX131014:RCL131051 RLT131014:RMH131051 RVP131014:RWD131051 SFL131014:SFZ131051 SPH131014:SPV131051 SZD131014:SZR131051 TIZ131014:TJN131051 TSV131014:TTJ131051 UCR131014:UDF131051 UMN131014:UNB131051 UWJ131014:UWX131051 VGF131014:VGT131051 VQB131014:VQP131051 VZX131014:WAL131051 WJT131014:WKH131051 WTP131014:WUD131051 HD196550:HR196587 QZ196550:RN196587 AAV196550:ABJ196587 AKR196550:ALF196587 AUN196550:AVB196587 BEJ196550:BEX196587 BOF196550:BOT196587 BYB196550:BYP196587 CHX196550:CIL196587 CRT196550:CSH196587 DBP196550:DCD196587 DLL196550:DLZ196587 DVH196550:DVV196587 EFD196550:EFR196587 EOZ196550:EPN196587 EYV196550:EZJ196587 FIR196550:FJF196587 FSN196550:FTB196587 GCJ196550:GCX196587 GMF196550:GMT196587 GWB196550:GWP196587 HFX196550:HGL196587 HPT196550:HQH196587 HZP196550:IAD196587 IJL196550:IJZ196587 ITH196550:ITV196587 JDD196550:JDR196587 JMZ196550:JNN196587 JWV196550:JXJ196587 KGR196550:KHF196587 KQN196550:KRB196587 LAJ196550:LAX196587 LKF196550:LKT196587 LUB196550:LUP196587 MDX196550:MEL196587 MNT196550:MOH196587 MXP196550:MYD196587 NHL196550:NHZ196587 NRH196550:NRV196587 OBD196550:OBR196587 OKZ196550:OLN196587 OUV196550:OVJ196587 PER196550:PFF196587 PON196550:PPB196587 PYJ196550:PYX196587 QIF196550:QIT196587 QSB196550:QSP196587 RBX196550:RCL196587 RLT196550:RMH196587 RVP196550:RWD196587 SFL196550:SFZ196587 SPH196550:SPV196587 SZD196550:SZR196587 TIZ196550:TJN196587 TSV196550:TTJ196587 UCR196550:UDF196587 UMN196550:UNB196587 UWJ196550:UWX196587 VGF196550:VGT196587 VQB196550:VQP196587 VZX196550:WAL196587 WJT196550:WKH196587 WTP196550:WUD196587 HD262086:HR262123 QZ262086:RN262123 AAV262086:ABJ262123 AKR262086:ALF262123 AUN262086:AVB262123 BEJ262086:BEX262123 BOF262086:BOT262123 BYB262086:BYP262123 CHX262086:CIL262123 CRT262086:CSH262123 DBP262086:DCD262123 DLL262086:DLZ262123 DVH262086:DVV262123 EFD262086:EFR262123 EOZ262086:EPN262123 EYV262086:EZJ262123 FIR262086:FJF262123 FSN262086:FTB262123 GCJ262086:GCX262123 GMF262086:GMT262123 GWB262086:GWP262123 HFX262086:HGL262123 HPT262086:HQH262123 HZP262086:IAD262123 IJL262086:IJZ262123 ITH262086:ITV262123 JDD262086:JDR262123 JMZ262086:JNN262123 JWV262086:JXJ262123 KGR262086:KHF262123 KQN262086:KRB262123 LAJ262086:LAX262123 LKF262086:LKT262123 LUB262086:LUP262123 MDX262086:MEL262123 MNT262086:MOH262123 MXP262086:MYD262123 NHL262086:NHZ262123 NRH262086:NRV262123 OBD262086:OBR262123 OKZ262086:OLN262123 OUV262086:OVJ262123 PER262086:PFF262123 PON262086:PPB262123 PYJ262086:PYX262123 QIF262086:QIT262123 QSB262086:QSP262123 RBX262086:RCL262123 RLT262086:RMH262123 RVP262086:RWD262123 SFL262086:SFZ262123 SPH262086:SPV262123 SZD262086:SZR262123 TIZ262086:TJN262123 TSV262086:TTJ262123 UCR262086:UDF262123 UMN262086:UNB262123 UWJ262086:UWX262123 VGF262086:VGT262123 VQB262086:VQP262123 VZX262086:WAL262123 WJT262086:WKH262123 WTP262086:WUD262123 HD327622:HR327659 QZ327622:RN327659 AAV327622:ABJ327659 AKR327622:ALF327659 AUN327622:AVB327659 BEJ327622:BEX327659 BOF327622:BOT327659 BYB327622:BYP327659 CHX327622:CIL327659 CRT327622:CSH327659 DBP327622:DCD327659 DLL327622:DLZ327659 DVH327622:DVV327659 EFD327622:EFR327659 EOZ327622:EPN327659 EYV327622:EZJ327659 FIR327622:FJF327659 FSN327622:FTB327659 GCJ327622:GCX327659 GMF327622:GMT327659 GWB327622:GWP327659 HFX327622:HGL327659 HPT327622:HQH327659 HZP327622:IAD327659 IJL327622:IJZ327659 ITH327622:ITV327659 JDD327622:JDR327659 JMZ327622:JNN327659 JWV327622:JXJ327659 KGR327622:KHF327659 KQN327622:KRB327659 LAJ327622:LAX327659 LKF327622:LKT327659 LUB327622:LUP327659 MDX327622:MEL327659 MNT327622:MOH327659 MXP327622:MYD327659 NHL327622:NHZ327659 NRH327622:NRV327659 OBD327622:OBR327659 OKZ327622:OLN327659 OUV327622:OVJ327659 PER327622:PFF327659 PON327622:PPB327659 PYJ327622:PYX327659 QIF327622:QIT327659 QSB327622:QSP327659 RBX327622:RCL327659 RLT327622:RMH327659 RVP327622:RWD327659 SFL327622:SFZ327659 SPH327622:SPV327659 SZD327622:SZR327659 TIZ327622:TJN327659 TSV327622:TTJ327659 UCR327622:UDF327659 UMN327622:UNB327659 UWJ327622:UWX327659 VGF327622:VGT327659 VQB327622:VQP327659 VZX327622:WAL327659 WJT327622:WKH327659 WTP327622:WUD327659 HD393158:HR393195 QZ393158:RN393195 AAV393158:ABJ393195 AKR393158:ALF393195 AUN393158:AVB393195 BEJ393158:BEX393195 BOF393158:BOT393195 BYB393158:BYP393195 CHX393158:CIL393195 CRT393158:CSH393195 DBP393158:DCD393195 DLL393158:DLZ393195 DVH393158:DVV393195 EFD393158:EFR393195 EOZ393158:EPN393195 EYV393158:EZJ393195 FIR393158:FJF393195 FSN393158:FTB393195 GCJ393158:GCX393195 GMF393158:GMT393195 GWB393158:GWP393195 HFX393158:HGL393195 HPT393158:HQH393195 HZP393158:IAD393195 IJL393158:IJZ393195 ITH393158:ITV393195 JDD393158:JDR393195 JMZ393158:JNN393195 JWV393158:JXJ393195 KGR393158:KHF393195 KQN393158:KRB393195 LAJ393158:LAX393195 LKF393158:LKT393195 LUB393158:LUP393195 MDX393158:MEL393195 MNT393158:MOH393195 MXP393158:MYD393195 NHL393158:NHZ393195 NRH393158:NRV393195 OBD393158:OBR393195 OKZ393158:OLN393195 OUV393158:OVJ393195 PER393158:PFF393195 PON393158:PPB393195 PYJ393158:PYX393195 QIF393158:QIT393195 QSB393158:QSP393195 RBX393158:RCL393195 RLT393158:RMH393195 RVP393158:RWD393195 SFL393158:SFZ393195 SPH393158:SPV393195 SZD393158:SZR393195 TIZ393158:TJN393195 TSV393158:TTJ393195 UCR393158:UDF393195 UMN393158:UNB393195 UWJ393158:UWX393195 VGF393158:VGT393195 VQB393158:VQP393195 VZX393158:WAL393195 WJT393158:WKH393195 WTP393158:WUD393195 HD458694:HR458731 QZ458694:RN458731 AAV458694:ABJ458731 AKR458694:ALF458731 AUN458694:AVB458731 BEJ458694:BEX458731 BOF458694:BOT458731 BYB458694:BYP458731 CHX458694:CIL458731 CRT458694:CSH458731 DBP458694:DCD458731 DLL458694:DLZ458731 DVH458694:DVV458731 EFD458694:EFR458731 EOZ458694:EPN458731 EYV458694:EZJ458731 FIR458694:FJF458731 FSN458694:FTB458731 GCJ458694:GCX458731 GMF458694:GMT458731 GWB458694:GWP458731 HFX458694:HGL458731 HPT458694:HQH458731 HZP458694:IAD458731 IJL458694:IJZ458731 ITH458694:ITV458731 JDD458694:JDR458731 JMZ458694:JNN458731 JWV458694:JXJ458731 KGR458694:KHF458731 KQN458694:KRB458731 LAJ458694:LAX458731 LKF458694:LKT458731 LUB458694:LUP458731 MDX458694:MEL458731 MNT458694:MOH458731 MXP458694:MYD458731 NHL458694:NHZ458731 NRH458694:NRV458731 OBD458694:OBR458731 OKZ458694:OLN458731 OUV458694:OVJ458731 PER458694:PFF458731 PON458694:PPB458731 PYJ458694:PYX458731 QIF458694:QIT458731 QSB458694:QSP458731 RBX458694:RCL458731 RLT458694:RMH458731 RVP458694:RWD458731 SFL458694:SFZ458731 SPH458694:SPV458731 SZD458694:SZR458731 TIZ458694:TJN458731 TSV458694:TTJ458731 UCR458694:UDF458731 UMN458694:UNB458731 UWJ458694:UWX458731 VGF458694:VGT458731 VQB458694:VQP458731 VZX458694:WAL458731 WJT458694:WKH458731 WTP458694:WUD458731 HD524230:HR524267 QZ524230:RN524267 AAV524230:ABJ524267 AKR524230:ALF524267 AUN524230:AVB524267 BEJ524230:BEX524267 BOF524230:BOT524267 BYB524230:BYP524267 CHX524230:CIL524267 CRT524230:CSH524267 DBP524230:DCD524267 DLL524230:DLZ524267 DVH524230:DVV524267 EFD524230:EFR524267 EOZ524230:EPN524267 EYV524230:EZJ524267 FIR524230:FJF524267 FSN524230:FTB524267 GCJ524230:GCX524267 GMF524230:GMT524267 GWB524230:GWP524267 HFX524230:HGL524267 HPT524230:HQH524267 HZP524230:IAD524267 IJL524230:IJZ524267 ITH524230:ITV524267 JDD524230:JDR524267 JMZ524230:JNN524267 JWV524230:JXJ524267 KGR524230:KHF524267 KQN524230:KRB524267 LAJ524230:LAX524267 LKF524230:LKT524267 LUB524230:LUP524267 MDX524230:MEL524267 MNT524230:MOH524267 MXP524230:MYD524267 NHL524230:NHZ524267 NRH524230:NRV524267 OBD524230:OBR524267 OKZ524230:OLN524267 OUV524230:OVJ524267 PER524230:PFF524267 PON524230:PPB524267 PYJ524230:PYX524267 QIF524230:QIT524267 QSB524230:QSP524267 RBX524230:RCL524267 RLT524230:RMH524267 RVP524230:RWD524267 SFL524230:SFZ524267 SPH524230:SPV524267 SZD524230:SZR524267 TIZ524230:TJN524267 TSV524230:TTJ524267 UCR524230:UDF524267 UMN524230:UNB524267 UWJ524230:UWX524267 VGF524230:VGT524267 VQB524230:VQP524267 VZX524230:WAL524267 WJT524230:WKH524267 WTP524230:WUD524267 HD589766:HR589803 QZ589766:RN589803 AAV589766:ABJ589803 AKR589766:ALF589803 AUN589766:AVB589803 BEJ589766:BEX589803 BOF589766:BOT589803 BYB589766:BYP589803 CHX589766:CIL589803 CRT589766:CSH589803 DBP589766:DCD589803 DLL589766:DLZ589803 DVH589766:DVV589803 EFD589766:EFR589803 EOZ589766:EPN589803 EYV589766:EZJ589803 FIR589766:FJF589803 FSN589766:FTB589803 GCJ589766:GCX589803 GMF589766:GMT589803 GWB589766:GWP589803 HFX589766:HGL589803 HPT589766:HQH589803 HZP589766:IAD589803 IJL589766:IJZ589803 ITH589766:ITV589803 JDD589766:JDR589803 JMZ589766:JNN589803 JWV589766:JXJ589803 KGR589766:KHF589803 KQN589766:KRB589803 LAJ589766:LAX589803 LKF589766:LKT589803 LUB589766:LUP589803 MDX589766:MEL589803 MNT589766:MOH589803 MXP589766:MYD589803 NHL589766:NHZ589803 NRH589766:NRV589803 OBD589766:OBR589803 OKZ589766:OLN589803 OUV589766:OVJ589803 PER589766:PFF589803 PON589766:PPB589803 PYJ589766:PYX589803 QIF589766:QIT589803 QSB589766:QSP589803 RBX589766:RCL589803 RLT589766:RMH589803 RVP589766:RWD589803 SFL589766:SFZ589803 SPH589766:SPV589803 SZD589766:SZR589803 TIZ589766:TJN589803 TSV589766:TTJ589803 UCR589766:UDF589803 UMN589766:UNB589803 UWJ589766:UWX589803 VGF589766:VGT589803 VQB589766:VQP589803 VZX589766:WAL589803 WJT589766:WKH589803 WTP589766:WUD589803 HD655302:HR655339 QZ655302:RN655339 AAV655302:ABJ655339 AKR655302:ALF655339 AUN655302:AVB655339 BEJ655302:BEX655339 BOF655302:BOT655339 BYB655302:BYP655339 CHX655302:CIL655339 CRT655302:CSH655339 DBP655302:DCD655339 DLL655302:DLZ655339 DVH655302:DVV655339 EFD655302:EFR655339 EOZ655302:EPN655339 EYV655302:EZJ655339 FIR655302:FJF655339 FSN655302:FTB655339 GCJ655302:GCX655339 GMF655302:GMT655339 GWB655302:GWP655339 HFX655302:HGL655339 HPT655302:HQH655339 HZP655302:IAD655339 IJL655302:IJZ655339 ITH655302:ITV655339 JDD655302:JDR655339 JMZ655302:JNN655339 JWV655302:JXJ655339 KGR655302:KHF655339 KQN655302:KRB655339 LAJ655302:LAX655339 LKF655302:LKT655339 LUB655302:LUP655339 MDX655302:MEL655339 MNT655302:MOH655339 MXP655302:MYD655339 NHL655302:NHZ655339 NRH655302:NRV655339 OBD655302:OBR655339 OKZ655302:OLN655339 OUV655302:OVJ655339 PER655302:PFF655339 PON655302:PPB655339 PYJ655302:PYX655339 QIF655302:QIT655339 QSB655302:QSP655339 RBX655302:RCL655339 RLT655302:RMH655339 RVP655302:RWD655339 SFL655302:SFZ655339 SPH655302:SPV655339 SZD655302:SZR655339 TIZ655302:TJN655339 TSV655302:TTJ655339 UCR655302:UDF655339 UMN655302:UNB655339 UWJ655302:UWX655339 VGF655302:VGT655339 VQB655302:VQP655339 VZX655302:WAL655339 WJT655302:WKH655339 WTP655302:WUD655339 HD720838:HR720875 QZ720838:RN720875 AAV720838:ABJ720875 AKR720838:ALF720875 AUN720838:AVB720875 BEJ720838:BEX720875 BOF720838:BOT720875 BYB720838:BYP720875 CHX720838:CIL720875 CRT720838:CSH720875 DBP720838:DCD720875 DLL720838:DLZ720875 DVH720838:DVV720875 EFD720838:EFR720875 EOZ720838:EPN720875 EYV720838:EZJ720875 FIR720838:FJF720875 FSN720838:FTB720875 GCJ720838:GCX720875 GMF720838:GMT720875 GWB720838:GWP720875 HFX720838:HGL720875 HPT720838:HQH720875 HZP720838:IAD720875 IJL720838:IJZ720875 ITH720838:ITV720875 JDD720838:JDR720875 JMZ720838:JNN720875 JWV720838:JXJ720875 KGR720838:KHF720875 KQN720838:KRB720875 LAJ720838:LAX720875 LKF720838:LKT720875 LUB720838:LUP720875 MDX720838:MEL720875 MNT720838:MOH720875 MXP720838:MYD720875 NHL720838:NHZ720875 NRH720838:NRV720875 OBD720838:OBR720875 OKZ720838:OLN720875 OUV720838:OVJ720875 PER720838:PFF720875 PON720838:PPB720875 PYJ720838:PYX720875 QIF720838:QIT720875 QSB720838:QSP720875 RBX720838:RCL720875 RLT720838:RMH720875 RVP720838:RWD720875 SFL720838:SFZ720875 SPH720838:SPV720875 SZD720838:SZR720875 TIZ720838:TJN720875 TSV720838:TTJ720875 UCR720838:UDF720875 UMN720838:UNB720875 UWJ720838:UWX720875 VGF720838:VGT720875 VQB720838:VQP720875 VZX720838:WAL720875 WJT720838:WKH720875 WTP720838:WUD720875 HD786374:HR786411 QZ786374:RN786411 AAV786374:ABJ786411 AKR786374:ALF786411 AUN786374:AVB786411 BEJ786374:BEX786411 BOF786374:BOT786411 BYB786374:BYP786411 CHX786374:CIL786411 CRT786374:CSH786411 DBP786374:DCD786411 DLL786374:DLZ786411 DVH786374:DVV786411 EFD786374:EFR786411 EOZ786374:EPN786411 EYV786374:EZJ786411 FIR786374:FJF786411 FSN786374:FTB786411 GCJ786374:GCX786411 GMF786374:GMT786411 GWB786374:GWP786411 HFX786374:HGL786411 HPT786374:HQH786411 HZP786374:IAD786411 IJL786374:IJZ786411 ITH786374:ITV786411 JDD786374:JDR786411 JMZ786374:JNN786411 JWV786374:JXJ786411 KGR786374:KHF786411 KQN786374:KRB786411 LAJ786374:LAX786411 LKF786374:LKT786411 LUB786374:LUP786411 MDX786374:MEL786411 MNT786374:MOH786411 MXP786374:MYD786411 NHL786374:NHZ786411 NRH786374:NRV786411 OBD786374:OBR786411 OKZ786374:OLN786411 OUV786374:OVJ786411 PER786374:PFF786411 PON786374:PPB786411 PYJ786374:PYX786411 QIF786374:QIT786411 QSB786374:QSP786411 RBX786374:RCL786411 RLT786374:RMH786411 RVP786374:RWD786411 SFL786374:SFZ786411 SPH786374:SPV786411 SZD786374:SZR786411 TIZ786374:TJN786411 TSV786374:TTJ786411 UCR786374:UDF786411 UMN786374:UNB786411 UWJ786374:UWX786411 VGF786374:VGT786411 VQB786374:VQP786411 VZX786374:WAL786411 WJT786374:WKH786411 WTP786374:WUD786411 HD851910:HR851947 QZ851910:RN851947 AAV851910:ABJ851947 AKR851910:ALF851947 AUN851910:AVB851947 BEJ851910:BEX851947 BOF851910:BOT851947 BYB851910:BYP851947 CHX851910:CIL851947 CRT851910:CSH851947 DBP851910:DCD851947 DLL851910:DLZ851947 DVH851910:DVV851947 EFD851910:EFR851947 EOZ851910:EPN851947 EYV851910:EZJ851947 FIR851910:FJF851947 FSN851910:FTB851947 GCJ851910:GCX851947 GMF851910:GMT851947 GWB851910:GWP851947 HFX851910:HGL851947 HPT851910:HQH851947 HZP851910:IAD851947 IJL851910:IJZ851947 ITH851910:ITV851947 JDD851910:JDR851947 JMZ851910:JNN851947 JWV851910:JXJ851947 KGR851910:KHF851947 KQN851910:KRB851947 LAJ851910:LAX851947 LKF851910:LKT851947 LUB851910:LUP851947 MDX851910:MEL851947 MNT851910:MOH851947 MXP851910:MYD851947 NHL851910:NHZ851947 NRH851910:NRV851947 OBD851910:OBR851947 OKZ851910:OLN851947 OUV851910:OVJ851947 PER851910:PFF851947 PON851910:PPB851947 PYJ851910:PYX851947 QIF851910:QIT851947 QSB851910:QSP851947 RBX851910:RCL851947 RLT851910:RMH851947 RVP851910:RWD851947 SFL851910:SFZ851947 SPH851910:SPV851947 SZD851910:SZR851947 TIZ851910:TJN851947 TSV851910:TTJ851947 UCR851910:UDF851947 UMN851910:UNB851947 UWJ851910:UWX851947 VGF851910:VGT851947 VQB851910:VQP851947 VZX851910:WAL851947 WJT851910:WKH851947 WTP851910:WUD851947 HD917446:HR917483 QZ917446:RN917483 AAV917446:ABJ917483 AKR917446:ALF917483 AUN917446:AVB917483 BEJ917446:BEX917483 BOF917446:BOT917483 BYB917446:BYP917483 CHX917446:CIL917483 CRT917446:CSH917483 DBP917446:DCD917483 DLL917446:DLZ917483 DVH917446:DVV917483 EFD917446:EFR917483 EOZ917446:EPN917483 EYV917446:EZJ917483 FIR917446:FJF917483 FSN917446:FTB917483 GCJ917446:GCX917483 GMF917446:GMT917483 GWB917446:GWP917483 HFX917446:HGL917483 HPT917446:HQH917483 HZP917446:IAD917483 IJL917446:IJZ917483 ITH917446:ITV917483 JDD917446:JDR917483 JMZ917446:JNN917483 JWV917446:JXJ917483 KGR917446:KHF917483 KQN917446:KRB917483 LAJ917446:LAX917483 LKF917446:LKT917483 LUB917446:LUP917483 MDX917446:MEL917483 MNT917446:MOH917483 MXP917446:MYD917483 NHL917446:NHZ917483 NRH917446:NRV917483 OBD917446:OBR917483 OKZ917446:OLN917483 OUV917446:OVJ917483 PER917446:PFF917483 PON917446:PPB917483 PYJ917446:PYX917483 QIF917446:QIT917483 QSB917446:QSP917483 RBX917446:RCL917483 RLT917446:RMH917483 RVP917446:RWD917483 SFL917446:SFZ917483 SPH917446:SPV917483 SZD917446:SZR917483 TIZ917446:TJN917483 TSV917446:TTJ917483 UCR917446:UDF917483 UMN917446:UNB917483 UWJ917446:UWX917483 VGF917446:VGT917483 VQB917446:VQP917483 VZX917446:WAL917483 WJT917446:WKH917483 WTP917446:WUD917483 HD982982:HR983019 QZ982982:RN983019 AAV982982:ABJ983019 AKR982982:ALF983019 AUN982982:AVB983019 BEJ982982:BEX983019 BOF982982:BOT983019 BYB982982:BYP983019 CHX982982:CIL983019 CRT982982:CSH983019 DBP982982:DCD983019 DLL982982:DLZ983019 DVH982982:DVV983019 EFD982982:EFR983019 EOZ982982:EPN983019 EYV982982:EZJ983019 FIR982982:FJF983019 FSN982982:FTB983019 GCJ982982:GCX983019 GMF982982:GMT983019 GWB982982:GWP983019 HFX982982:HGL983019 HPT982982:HQH983019 HZP982982:IAD983019 IJL982982:IJZ983019 ITH982982:ITV983019 JDD982982:JDR983019 JMZ982982:JNN983019 JWV982982:JXJ983019 KGR982982:KHF983019 KQN982982:KRB983019 LAJ982982:LAX983019 LKF982982:LKT983019 LUB982982:LUP983019 MDX982982:MEL983019 MNT982982:MOH983019 MXP982982:MYD983019 NHL982982:NHZ983019 NRH982982:NRV983019 OBD982982:OBR983019 OKZ982982:OLN983019 OUV982982:OVJ983019 PER982982:PFF983019 PON982982:PPB983019 PYJ982982:PYX983019 QIF982982:QIT983019 QSB982982:QSP983019 RBX982982:RCL983019 RLT982982:RMH983019 RVP982982:RWD983019 SFL982982:SFZ983019 SPH982982:SPV983019 SZD982982:SZR983019 TIZ982982:TJN983019 TSV982982:TTJ983019 UCR982982:UDF983019 UMN982982:UNB983019 UWJ982982:UWX983019 VGF982982:VGT983019 VQB982982:VQP983019 VZX982982:WAL983019 WTP982982:WUD983019" xr:uid="{7F741ADB-7D40-4213-987F-898B83BA6503}">
      <formula1>#REF!</formula1>
    </dataValidation>
    <dataValidation type="list" allowBlank="1" showInputMessage="1" showErrorMessage="1" sqref="HR983023:HY983028 RN983023:RU983028 ABJ983023:ABQ983028 ALF983023:ALM983028 AVB983023:AVI983028 BEX983023:BFE983028 BOT983023:BPA983028 BYP983023:BYW983028 CIL983023:CIS983028 CSH983023:CSO983028 DCD983023:DCK983028 DLZ983023:DMG983028 DVV983023:DWC983028 EFR983023:EFY983028 EPN983023:EPU983028 EZJ983023:EZQ983028 FJF983023:FJM983028 FTB983023:FTI983028 GCX983023:GDE983028 GMT983023:GNA983028 GWP983023:GWW983028 HGL983023:HGS983028 HQH983023:HQO983028 IAD983023:IAK983028 IJZ983023:IKG983028 ITV983023:IUC983028 JDR983023:JDY983028 JNN983023:JNU983028 JXJ983023:JXQ983028 KHF983023:KHM983028 KRB983023:KRI983028 LAX983023:LBE983028 LKT983023:LLA983028 LUP983023:LUW983028 MEL983023:MES983028 MOH983023:MOO983028 MYD983023:MYK983028 NHZ983023:NIG983028 NRV983023:NSC983028 OBR983023:OBY983028 OLN983023:OLU983028 OVJ983023:OVQ983028 PFF983023:PFM983028 PPB983023:PPI983028 PYX983023:PZE983028 QIT983023:QJA983028 QSP983023:QSW983028 RCL983023:RCS983028 RMH983023:RMO983028 RWD983023:RWK983028 SFZ983023:SGG983028 SPV983023:SQC983028 SZR983023:SZY983028 TJN983023:TJU983028 TTJ983023:TTQ983028 UDF983023:UDM983028 UNB983023:UNI983028 UWX983023:UXE983028 VGT983023:VHA983028 VQP983023:VQW983028 WAL983023:WAS983028 WKH983023:WKO983028 WUD983023:WUK983028 HR65519:HY65524 RN65519:RU65524 ABJ65519:ABQ65524 ALF65519:ALM65524 AVB65519:AVI65524 BEX65519:BFE65524 BOT65519:BPA65524 BYP65519:BYW65524 CIL65519:CIS65524 CSH65519:CSO65524 DCD65519:DCK65524 DLZ65519:DMG65524 DVV65519:DWC65524 EFR65519:EFY65524 EPN65519:EPU65524 EZJ65519:EZQ65524 FJF65519:FJM65524 FTB65519:FTI65524 GCX65519:GDE65524 GMT65519:GNA65524 GWP65519:GWW65524 HGL65519:HGS65524 HQH65519:HQO65524 IAD65519:IAK65524 IJZ65519:IKG65524 ITV65519:IUC65524 JDR65519:JDY65524 JNN65519:JNU65524 JXJ65519:JXQ65524 KHF65519:KHM65524 KRB65519:KRI65524 LAX65519:LBE65524 LKT65519:LLA65524 LUP65519:LUW65524 MEL65519:MES65524 MOH65519:MOO65524 MYD65519:MYK65524 NHZ65519:NIG65524 NRV65519:NSC65524 OBR65519:OBY65524 OLN65519:OLU65524 OVJ65519:OVQ65524 PFF65519:PFM65524 PPB65519:PPI65524 PYX65519:PZE65524 QIT65519:QJA65524 QSP65519:QSW65524 RCL65519:RCS65524 RMH65519:RMO65524 RWD65519:RWK65524 SFZ65519:SGG65524 SPV65519:SQC65524 SZR65519:SZY65524 TJN65519:TJU65524 TTJ65519:TTQ65524 UDF65519:UDM65524 UNB65519:UNI65524 UWX65519:UXE65524 VGT65519:VHA65524 VQP65519:VQW65524 WAL65519:WAS65524 WKH65519:WKO65524 WUD65519:WUK65524 HR131055:HY131060 RN131055:RU131060 ABJ131055:ABQ131060 ALF131055:ALM131060 AVB131055:AVI131060 BEX131055:BFE131060 BOT131055:BPA131060 BYP131055:BYW131060 CIL131055:CIS131060 CSH131055:CSO131060 DCD131055:DCK131060 DLZ131055:DMG131060 DVV131055:DWC131060 EFR131055:EFY131060 EPN131055:EPU131060 EZJ131055:EZQ131060 FJF131055:FJM131060 FTB131055:FTI131060 GCX131055:GDE131060 GMT131055:GNA131060 GWP131055:GWW131060 HGL131055:HGS131060 HQH131055:HQO131060 IAD131055:IAK131060 IJZ131055:IKG131060 ITV131055:IUC131060 JDR131055:JDY131060 JNN131055:JNU131060 JXJ131055:JXQ131060 KHF131055:KHM131060 KRB131055:KRI131060 LAX131055:LBE131060 LKT131055:LLA131060 LUP131055:LUW131060 MEL131055:MES131060 MOH131055:MOO131060 MYD131055:MYK131060 NHZ131055:NIG131060 NRV131055:NSC131060 OBR131055:OBY131060 OLN131055:OLU131060 OVJ131055:OVQ131060 PFF131055:PFM131060 PPB131055:PPI131060 PYX131055:PZE131060 QIT131055:QJA131060 QSP131055:QSW131060 RCL131055:RCS131060 RMH131055:RMO131060 RWD131055:RWK131060 SFZ131055:SGG131060 SPV131055:SQC131060 SZR131055:SZY131060 TJN131055:TJU131060 TTJ131055:TTQ131060 UDF131055:UDM131060 UNB131055:UNI131060 UWX131055:UXE131060 VGT131055:VHA131060 VQP131055:VQW131060 WAL131055:WAS131060 WKH131055:WKO131060 WUD131055:WUK131060 HR196591:HY196596 RN196591:RU196596 ABJ196591:ABQ196596 ALF196591:ALM196596 AVB196591:AVI196596 BEX196591:BFE196596 BOT196591:BPA196596 BYP196591:BYW196596 CIL196591:CIS196596 CSH196591:CSO196596 DCD196591:DCK196596 DLZ196591:DMG196596 DVV196591:DWC196596 EFR196591:EFY196596 EPN196591:EPU196596 EZJ196591:EZQ196596 FJF196591:FJM196596 FTB196591:FTI196596 GCX196591:GDE196596 GMT196591:GNA196596 GWP196591:GWW196596 HGL196591:HGS196596 HQH196591:HQO196596 IAD196591:IAK196596 IJZ196591:IKG196596 ITV196591:IUC196596 JDR196591:JDY196596 JNN196591:JNU196596 JXJ196591:JXQ196596 KHF196591:KHM196596 KRB196591:KRI196596 LAX196591:LBE196596 LKT196591:LLA196596 LUP196591:LUW196596 MEL196591:MES196596 MOH196591:MOO196596 MYD196591:MYK196596 NHZ196591:NIG196596 NRV196591:NSC196596 OBR196591:OBY196596 OLN196591:OLU196596 OVJ196591:OVQ196596 PFF196591:PFM196596 PPB196591:PPI196596 PYX196591:PZE196596 QIT196591:QJA196596 QSP196591:QSW196596 RCL196591:RCS196596 RMH196591:RMO196596 RWD196591:RWK196596 SFZ196591:SGG196596 SPV196591:SQC196596 SZR196591:SZY196596 TJN196591:TJU196596 TTJ196591:TTQ196596 UDF196591:UDM196596 UNB196591:UNI196596 UWX196591:UXE196596 VGT196591:VHA196596 VQP196591:VQW196596 WAL196591:WAS196596 WKH196591:WKO196596 WUD196591:WUK196596 HR262127:HY262132 RN262127:RU262132 ABJ262127:ABQ262132 ALF262127:ALM262132 AVB262127:AVI262132 BEX262127:BFE262132 BOT262127:BPA262132 BYP262127:BYW262132 CIL262127:CIS262132 CSH262127:CSO262132 DCD262127:DCK262132 DLZ262127:DMG262132 DVV262127:DWC262132 EFR262127:EFY262132 EPN262127:EPU262132 EZJ262127:EZQ262132 FJF262127:FJM262132 FTB262127:FTI262132 GCX262127:GDE262132 GMT262127:GNA262132 GWP262127:GWW262132 HGL262127:HGS262132 HQH262127:HQO262132 IAD262127:IAK262132 IJZ262127:IKG262132 ITV262127:IUC262132 JDR262127:JDY262132 JNN262127:JNU262132 JXJ262127:JXQ262132 KHF262127:KHM262132 KRB262127:KRI262132 LAX262127:LBE262132 LKT262127:LLA262132 LUP262127:LUW262132 MEL262127:MES262132 MOH262127:MOO262132 MYD262127:MYK262132 NHZ262127:NIG262132 NRV262127:NSC262132 OBR262127:OBY262132 OLN262127:OLU262132 OVJ262127:OVQ262132 PFF262127:PFM262132 PPB262127:PPI262132 PYX262127:PZE262132 QIT262127:QJA262132 QSP262127:QSW262132 RCL262127:RCS262132 RMH262127:RMO262132 RWD262127:RWK262132 SFZ262127:SGG262132 SPV262127:SQC262132 SZR262127:SZY262132 TJN262127:TJU262132 TTJ262127:TTQ262132 UDF262127:UDM262132 UNB262127:UNI262132 UWX262127:UXE262132 VGT262127:VHA262132 VQP262127:VQW262132 WAL262127:WAS262132 WKH262127:WKO262132 WUD262127:WUK262132 HR327663:HY327668 RN327663:RU327668 ABJ327663:ABQ327668 ALF327663:ALM327668 AVB327663:AVI327668 BEX327663:BFE327668 BOT327663:BPA327668 BYP327663:BYW327668 CIL327663:CIS327668 CSH327663:CSO327668 DCD327663:DCK327668 DLZ327663:DMG327668 DVV327663:DWC327668 EFR327663:EFY327668 EPN327663:EPU327668 EZJ327663:EZQ327668 FJF327663:FJM327668 FTB327663:FTI327668 GCX327663:GDE327668 GMT327663:GNA327668 GWP327663:GWW327668 HGL327663:HGS327668 HQH327663:HQO327668 IAD327663:IAK327668 IJZ327663:IKG327668 ITV327663:IUC327668 JDR327663:JDY327668 JNN327663:JNU327668 JXJ327663:JXQ327668 KHF327663:KHM327668 KRB327663:KRI327668 LAX327663:LBE327668 LKT327663:LLA327668 LUP327663:LUW327668 MEL327663:MES327668 MOH327663:MOO327668 MYD327663:MYK327668 NHZ327663:NIG327668 NRV327663:NSC327668 OBR327663:OBY327668 OLN327663:OLU327668 OVJ327663:OVQ327668 PFF327663:PFM327668 PPB327663:PPI327668 PYX327663:PZE327668 QIT327663:QJA327668 QSP327663:QSW327668 RCL327663:RCS327668 RMH327663:RMO327668 RWD327663:RWK327668 SFZ327663:SGG327668 SPV327663:SQC327668 SZR327663:SZY327668 TJN327663:TJU327668 TTJ327663:TTQ327668 UDF327663:UDM327668 UNB327663:UNI327668 UWX327663:UXE327668 VGT327663:VHA327668 VQP327663:VQW327668 WAL327663:WAS327668 WKH327663:WKO327668 WUD327663:WUK327668 HR393199:HY393204 RN393199:RU393204 ABJ393199:ABQ393204 ALF393199:ALM393204 AVB393199:AVI393204 BEX393199:BFE393204 BOT393199:BPA393204 BYP393199:BYW393204 CIL393199:CIS393204 CSH393199:CSO393204 DCD393199:DCK393204 DLZ393199:DMG393204 DVV393199:DWC393204 EFR393199:EFY393204 EPN393199:EPU393204 EZJ393199:EZQ393204 FJF393199:FJM393204 FTB393199:FTI393204 GCX393199:GDE393204 GMT393199:GNA393204 GWP393199:GWW393204 HGL393199:HGS393204 HQH393199:HQO393204 IAD393199:IAK393204 IJZ393199:IKG393204 ITV393199:IUC393204 JDR393199:JDY393204 JNN393199:JNU393204 JXJ393199:JXQ393204 KHF393199:KHM393204 KRB393199:KRI393204 LAX393199:LBE393204 LKT393199:LLA393204 LUP393199:LUW393204 MEL393199:MES393204 MOH393199:MOO393204 MYD393199:MYK393204 NHZ393199:NIG393204 NRV393199:NSC393204 OBR393199:OBY393204 OLN393199:OLU393204 OVJ393199:OVQ393204 PFF393199:PFM393204 PPB393199:PPI393204 PYX393199:PZE393204 QIT393199:QJA393204 QSP393199:QSW393204 RCL393199:RCS393204 RMH393199:RMO393204 RWD393199:RWK393204 SFZ393199:SGG393204 SPV393199:SQC393204 SZR393199:SZY393204 TJN393199:TJU393204 TTJ393199:TTQ393204 UDF393199:UDM393204 UNB393199:UNI393204 UWX393199:UXE393204 VGT393199:VHA393204 VQP393199:VQW393204 WAL393199:WAS393204 WKH393199:WKO393204 WUD393199:WUK393204 HR458735:HY458740 RN458735:RU458740 ABJ458735:ABQ458740 ALF458735:ALM458740 AVB458735:AVI458740 BEX458735:BFE458740 BOT458735:BPA458740 BYP458735:BYW458740 CIL458735:CIS458740 CSH458735:CSO458740 DCD458735:DCK458740 DLZ458735:DMG458740 DVV458735:DWC458740 EFR458735:EFY458740 EPN458735:EPU458740 EZJ458735:EZQ458740 FJF458735:FJM458740 FTB458735:FTI458740 GCX458735:GDE458740 GMT458735:GNA458740 GWP458735:GWW458740 HGL458735:HGS458740 HQH458735:HQO458740 IAD458735:IAK458740 IJZ458735:IKG458740 ITV458735:IUC458740 JDR458735:JDY458740 JNN458735:JNU458740 JXJ458735:JXQ458740 KHF458735:KHM458740 KRB458735:KRI458740 LAX458735:LBE458740 LKT458735:LLA458740 LUP458735:LUW458740 MEL458735:MES458740 MOH458735:MOO458740 MYD458735:MYK458740 NHZ458735:NIG458740 NRV458735:NSC458740 OBR458735:OBY458740 OLN458735:OLU458740 OVJ458735:OVQ458740 PFF458735:PFM458740 PPB458735:PPI458740 PYX458735:PZE458740 QIT458735:QJA458740 QSP458735:QSW458740 RCL458735:RCS458740 RMH458735:RMO458740 RWD458735:RWK458740 SFZ458735:SGG458740 SPV458735:SQC458740 SZR458735:SZY458740 TJN458735:TJU458740 TTJ458735:TTQ458740 UDF458735:UDM458740 UNB458735:UNI458740 UWX458735:UXE458740 VGT458735:VHA458740 VQP458735:VQW458740 WAL458735:WAS458740 WKH458735:WKO458740 WUD458735:WUK458740 HR524271:HY524276 RN524271:RU524276 ABJ524271:ABQ524276 ALF524271:ALM524276 AVB524271:AVI524276 BEX524271:BFE524276 BOT524271:BPA524276 BYP524271:BYW524276 CIL524271:CIS524276 CSH524271:CSO524276 DCD524271:DCK524276 DLZ524271:DMG524276 DVV524271:DWC524276 EFR524271:EFY524276 EPN524271:EPU524276 EZJ524271:EZQ524276 FJF524271:FJM524276 FTB524271:FTI524276 GCX524271:GDE524276 GMT524271:GNA524276 GWP524271:GWW524276 HGL524271:HGS524276 HQH524271:HQO524276 IAD524271:IAK524276 IJZ524271:IKG524276 ITV524271:IUC524276 JDR524271:JDY524276 JNN524271:JNU524276 JXJ524271:JXQ524276 KHF524271:KHM524276 KRB524271:KRI524276 LAX524271:LBE524276 LKT524271:LLA524276 LUP524271:LUW524276 MEL524271:MES524276 MOH524271:MOO524276 MYD524271:MYK524276 NHZ524271:NIG524276 NRV524271:NSC524276 OBR524271:OBY524276 OLN524271:OLU524276 OVJ524271:OVQ524276 PFF524271:PFM524276 PPB524271:PPI524276 PYX524271:PZE524276 QIT524271:QJA524276 QSP524271:QSW524276 RCL524271:RCS524276 RMH524271:RMO524276 RWD524271:RWK524276 SFZ524271:SGG524276 SPV524271:SQC524276 SZR524271:SZY524276 TJN524271:TJU524276 TTJ524271:TTQ524276 UDF524271:UDM524276 UNB524271:UNI524276 UWX524271:UXE524276 VGT524271:VHA524276 VQP524271:VQW524276 WAL524271:WAS524276 WKH524271:WKO524276 WUD524271:WUK524276 HR589807:HY589812 RN589807:RU589812 ABJ589807:ABQ589812 ALF589807:ALM589812 AVB589807:AVI589812 BEX589807:BFE589812 BOT589807:BPA589812 BYP589807:BYW589812 CIL589807:CIS589812 CSH589807:CSO589812 DCD589807:DCK589812 DLZ589807:DMG589812 DVV589807:DWC589812 EFR589807:EFY589812 EPN589807:EPU589812 EZJ589807:EZQ589812 FJF589807:FJM589812 FTB589807:FTI589812 GCX589807:GDE589812 GMT589807:GNA589812 GWP589807:GWW589812 HGL589807:HGS589812 HQH589807:HQO589812 IAD589807:IAK589812 IJZ589807:IKG589812 ITV589807:IUC589812 JDR589807:JDY589812 JNN589807:JNU589812 JXJ589807:JXQ589812 KHF589807:KHM589812 KRB589807:KRI589812 LAX589807:LBE589812 LKT589807:LLA589812 LUP589807:LUW589812 MEL589807:MES589812 MOH589807:MOO589812 MYD589807:MYK589812 NHZ589807:NIG589812 NRV589807:NSC589812 OBR589807:OBY589812 OLN589807:OLU589812 OVJ589807:OVQ589812 PFF589807:PFM589812 PPB589807:PPI589812 PYX589807:PZE589812 QIT589807:QJA589812 QSP589807:QSW589812 RCL589807:RCS589812 RMH589807:RMO589812 RWD589807:RWK589812 SFZ589807:SGG589812 SPV589807:SQC589812 SZR589807:SZY589812 TJN589807:TJU589812 TTJ589807:TTQ589812 UDF589807:UDM589812 UNB589807:UNI589812 UWX589807:UXE589812 VGT589807:VHA589812 VQP589807:VQW589812 WAL589807:WAS589812 WKH589807:WKO589812 WUD589807:WUK589812 HR655343:HY655348 RN655343:RU655348 ABJ655343:ABQ655348 ALF655343:ALM655348 AVB655343:AVI655348 BEX655343:BFE655348 BOT655343:BPA655348 BYP655343:BYW655348 CIL655343:CIS655348 CSH655343:CSO655348 DCD655343:DCK655348 DLZ655343:DMG655348 DVV655343:DWC655348 EFR655343:EFY655348 EPN655343:EPU655348 EZJ655343:EZQ655348 FJF655343:FJM655348 FTB655343:FTI655348 GCX655343:GDE655348 GMT655343:GNA655348 GWP655343:GWW655348 HGL655343:HGS655348 HQH655343:HQO655348 IAD655343:IAK655348 IJZ655343:IKG655348 ITV655343:IUC655348 JDR655343:JDY655348 JNN655343:JNU655348 JXJ655343:JXQ655348 KHF655343:KHM655348 KRB655343:KRI655348 LAX655343:LBE655348 LKT655343:LLA655348 LUP655343:LUW655348 MEL655343:MES655348 MOH655343:MOO655348 MYD655343:MYK655348 NHZ655343:NIG655348 NRV655343:NSC655348 OBR655343:OBY655348 OLN655343:OLU655348 OVJ655343:OVQ655348 PFF655343:PFM655348 PPB655343:PPI655348 PYX655343:PZE655348 QIT655343:QJA655348 QSP655343:QSW655348 RCL655343:RCS655348 RMH655343:RMO655348 RWD655343:RWK655348 SFZ655343:SGG655348 SPV655343:SQC655348 SZR655343:SZY655348 TJN655343:TJU655348 TTJ655343:TTQ655348 UDF655343:UDM655348 UNB655343:UNI655348 UWX655343:UXE655348 VGT655343:VHA655348 VQP655343:VQW655348 WAL655343:WAS655348 WKH655343:WKO655348 WUD655343:WUK655348 HR720879:HY720884 RN720879:RU720884 ABJ720879:ABQ720884 ALF720879:ALM720884 AVB720879:AVI720884 BEX720879:BFE720884 BOT720879:BPA720884 BYP720879:BYW720884 CIL720879:CIS720884 CSH720879:CSO720884 DCD720879:DCK720884 DLZ720879:DMG720884 DVV720879:DWC720884 EFR720879:EFY720884 EPN720879:EPU720884 EZJ720879:EZQ720884 FJF720879:FJM720884 FTB720879:FTI720884 GCX720879:GDE720884 GMT720879:GNA720884 GWP720879:GWW720884 HGL720879:HGS720884 HQH720879:HQO720884 IAD720879:IAK720884 IJZ720879:IKG720884 ITV720879:IUC720884 JDR720879:JDY720884 JNN720879:JNU720884 JXJ720879:JXQ720884 KHF720879:KHM720884 KRB720879:KRI720884 LAX720879:LBE720884 LKT720879:LLA720884 LUP720879:LUW720884 MEL720879:MES720884 MOH720879:MOO720884 MYD720879:MYK720884 NHZ720879:NIG720884 NRV720879:NSC720884 OBR720879:OBY720884 OLN720879:OLU720884 OVJ720879:OVQ720884 PFF720879:PFM720884 PPB720879:PPI720884 PYX720879:PZE720884 QIT720879:QJA720884 QSP720879:QSW720884 RCL720879:RCS720884 RMH720879:RMO720884 RWD720879:RWK720884 SFZ720879:SGG720884 SPV720879:SQC720884 SZR720879:SZY720884 TJN720879:TJU720884 TTJ720879:TTQ720884 UDF720879:UDM720884 UNB720879:UNI720884 UWX720879:UXE720884 VGT720879:VHA720884 VQP720879:VQW720884 WAL720879:WAS720884 WKH720879:WKO720884 WUD720879:WUK720884 HR786415:HY786420 RN786415:RU786420 ABJ786415:ABQ786420 ALF786415:ALM786420 AVB786415:AVI786420 BEX786415:BFE786420 BOT786415:BPA786420 BYP786415:BYW786420 CIL786415:CIS786420 CSH786415:CSO786420 DCD786415:DCK786420 DLZ786415:DMG786420 DVV786415:DWC786420 EFR786415:EFY786420 EPN786415:EPU786420 EZJ786415:EZQ786420 FJF786415:FJM786420 FTB786415:FTI786420 GCX786415:GDE786420 GMT786415:GNA786420 GWP786415:GWW786420 HGL786415:HGS786420 HQH786415:HQO786420 IAD786415:IAK786420 IJZ786415:IKG786420 ITV786415:IUC786420 JDR786415:JDY786420 JNN786415:JNU786420 JXJ786415:JXQ786420 KHF786415:KHM786420 KRB786415:KRI786420 LAX786415:LBE786420 LKT786415:LLA786420 LUP786415:LUW786420 MEL786415:MES786420 MOH786415:MOO786420 MYD786415:MYK786420 NHZ786415:NIG786420 NRV786415:NSC786420 OBR786415:OBY786420 OLN786415:OLU786420 OVJ786415:OVQ786420 PFF786415:PFM786420 PPB786415:PPI786420 PYX786415:PZE786420 QIT786415:QJA786420 QSP786415:QSW786420 RCL786415:RCS786420 RMH786415:RMO786420 RWD786415:RWK786420 SFZ786415:SGG786420 SPV786415:SQC786420 SZR786415:SZY786420 TJN786415:TJU786420 TTJ786415:TTQ786420 UDF786415:UDM786420 UNB786415:UNI786420 UWX786415:UXE786420 VGT786415:VHA786420 VQP786415:VQW786420 WAL786415:WAS786420 WKH786415:WKO786420 WUD786415:WUK786420 HR851951:HY851956 RN851951:RU851956 ABJ851951:ABQ851956 ALF851951:ALM851956 AVB851951:AVI851956 BEX851951:BFE851956 BOT851951:BPA851956 BYP851951:BYW851956 CIL851951:CIS851956 CSH851951:CSO851956 DCD851951:DCK851956 DLZ851951:DMG851956 DVV851951:DWC851956 EFR851951:EFY851956 EPN851951:EPU851956 EZJ851951:EZQ851956 FJF851951:FJM851956 FTB851951:FTI851956 GCX851951:GDE851956 GMT851951:GNA851956 GWP851951:GWW851956 HGL851951:HGS851956 HQH851951:HQO851956 IAD851951:IAK851956 IJZ851951:IKG851956 ITV851951:IUC851956 JDR851951:JDY851956 JNN851951:JNU851956 JXJ851951:JXQ851956 KHF851951:KHM851956 KRB851951:KRI851956 LAX851951:LBE851956 LKT851951:LLA851956 LUP851951:LUW851956 MEL851951:MES851956 MOH851951:MOO851956 MYD851951:MYK851956 NHZ851951:NIG851956 NRV851951:NSC851956 OBR851951:OBY851956 OLN851951:OLU851956 OVJ851951:OVQ851956 PFF851951:PFM851956 PPB851951:PPI851956 PYX851951:PZE851956 QIT851951:QJA851956 QSP851951:QSW851956 RCL851951:RCS851956 RMH851951:RMO851956 RWD851951:RWK851956 SFZ851951:SGG851956 SPV851951:SQC851956 SZR851951:SZY851956 TJN851951:TJU851956 TTJ851951:TTQ851956 UDF851951:UDM851956 UNB851951:UNI851956 UWX851951:UXE851956 VGT851951:VHA851956 VQP851951:VQW851956 WAL851951:WAS851956 WKH851951:WKO851956 WUD851951:WUK851956 HR917487:HY917492 RN917487:RU917492 ABJ917487:ABQ917492 ALF917487:ALM917492 AVB917487:AVI917492 BEX917487:BFE917492 BOT917487:BPA917492 BYP917487:BYW917492 CIL917487:CIS917492 CSH917487:CSO917492 DCD917487:DCK917492 DLZ917487:DMG917492 DVV917487:DWC917492 EFR917487:EFY917492 EPN917487:EPU917492 EZJ917487:EZQ917492 FJF917487:FJM917492 FTB917487:FTI917492 GCX917487:GDE917492 GMT917487:GNA917492 GWP917487:GWW917492 HGL917487:HGS917492 HQH917487:HQO917492 IAD917487:IAK917492 IJZ917487:IKG917492 ITV917487:IUC917492 JDR917487:JDY917492 JNN917487:JNU917492 JXJ917487:JXQ917492 KHF917487:KHM917492 KRB917487:KRI917492 LAX917487:LBE917492 LKT917487:LLA917492 LUP917487:LUW917492 MEL917487:MES917492 MOH917487:MOO917492 MYD917487:MYK917492 NHZ917487:NIG917492 NRV917487:NSC917492 OBR917487:OBY917492 OLN917487:OLU917492 OVJ917487:OVQ917492 PFF917487:PFM917492 PPB917487:PPI917492 PYX917487:PZE917492 QIT917487:QJA917492 QSP917487:QSW917492 RCL917487:RCS917492 RMH917487:RMO917492 RWD917487:RWK917492 SFZ917487:SGG917492 SPV917487:SQC917492 SZR917487:SZY917492 TJN917487:TJU917492 TTJ917487:TTQ917492 UDF917487:UDM917492 UNB917487:UNI917492 UWX917487:UXE917492 VGT917487:VHA917492 VQP917487:VQW917492 WAL917487:WAS917492 WKH917487:WKO917492 WUD917487:WUK917492" xr:uid="{D6A3EB15-7472-48CD-947F-668776E87D0F}">
      <formula1>"サーバ,クライアント"</formula1>
    </dataValidation>
    <dataValidation type="list" allowBlank="1" showInputMessage="1" showErrorMessage="1" sqref="V65532:Y65535 IH65532:IK65535 SD65532:SG65535 ABZ65532:ACC65535 ALV65532:ALY65535 AVR65532:AVU65535 BFN65532:BFQ65535 BPJ65532:BPM65535 BZF65532:BZI65535 CJB65532:CJE65535 CSX65532:CTA65535 DCT65532:DCW65535 DMP65532:DMS65535 DWL65532:DWO65535 EGH65532:EGK65535 EQD65532:EQG65535 EZZ65532:FAC65535 FJV65532:FJY65535 FTR65532:FTU65535 GDN65532:GDQ65535 GNJ65532:GNM65535 GXF65532:GXI65535 HHB65532:HHE65535 HQX65532:HRA65535 IAT65532:IAW65535 IKP65532:IKS65535 IUL65532:IUO65535 JEH65532:JEK65535 JOD65532:JOG65535 JXZ65532:JYC65535 KHV65532:KHY65535 KRR65532:KRU65535 LBN65532:LBQ65535 LLJ65532:LLM65535 LVF65532:LVI65535 MFB65532:MFE65535 MOX65532:MPA65535 MYT65532:MYW65535 NIP65532:NIS65535 NSL65532:NSO65535 OCH65532:OCK65535 OMD65532:OMG65535 OVZ65532:OWC65535 PFV65532:PFY65535 PPR65532:PPU65535 PZN65532:PZQ65535 QJJ65532:QJM65535 QTF65532:QTI65535 RDB65532:RDE65535 RMX65532:RNA65535 RWT65532:RWW65535 SGP65532:SGS65535 SQL65532:SQO65535 TAH65532:TAK65535 TKD65532:TKG65535 TTZ65532:TUC65535 UDV65532:UDY65535 UNR65532:UNU65535 UXN65532:UXQ65535 VHJ65532:VHM65535 VRF65532:VRI65535 WBB65532:WBE65535 WKX65532:WLA65535 WUT65532:WUW65535 V131068:Y131071 IH131068:IK131071 SD131068:SG131071 ABZ131068:ACC131071 ALV131068:ALY131071 AVR131068:AVU131071 BFN131068:BFQ131071 BPJ131068:BPM131071 BZF131068:BZI131071 CJB131068:CJE131071 CSX131068:CTA131071 DCT131068:DCW131071 DMP131068:DMS131071 DWL131068:DWO131071 EGH131068:EGK131071 EQD131068:EQG131071 EZZ131068:FAC131071 FJV131068:FJY131071 FTR131068:FTU131071 GDN131068:GDQ131071 GNJ131068:GNM131071 GXF131068:GXI131071 HHB131068:HHE131071 HQX131068:HRA131071 IAT131068:IAW131071 IKP131068:IKS131071 IUL131068:IUO131071 JEH131068:JEK131071 JOD131068:JOG131071 JXZ131068:JYC131071 KHV131068:KHY131071 KRR131068:KRU131071 LBN131068:LBQ131071 LLJ131068:LLM131071 LVF131068:LVI131071 MFB131068:MFE131071 MOX131068:MPA131071 MYT131068:MYW131071 NIP131068:NIS131071 NSL131068:NSO131071 OCH131068:OCK131071 OMD131068:OMG131071 OVZ131068:OWC131071 PFV131068:PFY131071 PPR131068:PPU131071 PZN131068:PZQ131071 QJJ131068:QJM131071 QTF131068:QTI131071 RDB131068:RDE131071 RMX131068:RNA131071 RWT131068:RWW131071 SGP131068:SGS131071 SQL131068:SQO131071 TAH131068:TAK131071 TKD131068:TKG131071 TTZ131068:TUC131071 UDV131068:UDY131071 UNR131068:UNU131071 UXN131068:UXQ131071 VHJ131068:VHM131071 VRF131068:VRI131071 WBB131068:WBE131071 WKX131068:WLA131071 WUT131068:WUW131071 V196604:Y196607 IH196604:IK196607 SD196604:SG196607 ABZ196604:ACC196607 ALV196604:ALY196607 AVR196604:AVU196607 BFN196604:BFQ196607 BPJ196604:BPM196607 BZF196604:BZI196607 CJB196604:CJE196607 CSX196604:CTA196607 DCT196604:DCW196607 DMP196604:DMS196607 DWL196604:DWO196607 EGH196604:EGK196607 EQD196604:EQG196607 EZZ196604:FAC196607 FJV196604:FJY196607 FTR196604:FTU196607 GDN196604:GDQ196607 GNJ196604:GNM196607 GXF196604:GXI196607 HHB196604:HHE196607 HQX196604:HRA196607 IAT196604:IAW196607 IKP196604:IKS196607 IUL196604:IUO196607 JEH196604:JEK196607 JOD196604:JOG196607 JXZ196604:JYC196607 KHV196604:KHY196607 KRR196604:KRU196607 LBN196604:LBQ196607 LLJ196604:LLM196607 LVF196604:LVI196607 MFB196604:MFE196607 MOX196604:MPA196607 MYT196604:MYW196607 NIP196604:NIS196607 NSL196604:NSO196607 OCH196604:OCK196607 OMD196604:OMG196607 OVZ196604:OWC196607 PFV196604:PFY196607 PPR196604:PPU196607 PZN196604:PZQ196607 QJJ196604:QJM196607 QTF196604:QTI196607 RDB196604:RDE196607 RMX196604:RNA196607 RWT196604:RWW196607 SGP196604:SGS196607 SQL196604:SQO196607 TAH196604:TAK196607 TKD196604:TKG196607 TTZ196604:TUC196607 UDV196604:UDY196607 UNR196604:UNU196607 UXN196604:UXQ196607 VHJ196604:VHM196607 VRF196604:VRI196607 WBB196604:WBE196607 WKX196604:WLA196607 WUT196604:WUW196607 V262140:Y262143 IH262140:IK262143 SD262140:SG262143 ABZ262140:ACC262143 ALV262140:ALY262143 AVR262140:AVU262143 BFN262140:BFQ262143 BPJ262140:BPM262143 BZF262140:BZI262143 CJB262140:CJE262143 CSX262140:CTA262143 DCT262140:DCW262143 DMP262140:DMS262143 DWL262140:DWO262143 EGH262140:EGK262143 EQD262140:EQG262143 EZZ262140:FAC262143 FJV262140:FJY262143 FTR262140:FTU262143 GDN262140:GDQ262143 GNJ262140:GNM262143 GXF262140:GXI262143 HHB262140:HHE262143 HQX262140:HRA262143 IAT262140:IAW262143 IKP262140:IKS262143 IUL262140:IUO262143 JEH262140:JEK262143 JOD262140:JOG262143 JXZ262140:JYC262143 KHV262140:KHY262143 KRR262140:KRU262143 LBN262140:LBQ262143 LLJ262140:LLM262143 LVF262140:LVI262143 MFB262140:MFE262143 MOX262140:MPA262143 MYT262140:MYW262143 NIP262140:NIS262143 NSL262140:NSO262143 OCH262140:OCK262143 OMD262140:OMG262143 OVZ262140:OWC262143 PFV262140:PFY262143 PPR262140:PPU262143 PZN262140:PZQ262143 QJJ262140:QJM262143 QTF262140:QTI262143 RDB262140:RDE262143 RMX262140:RNA262143 RWT262140:RWW262143 SGP262140:SGS262143 SQL262140:SQO262143 TAH262140:TAK262143 TKD262140:TKG262143 TTZ262140:TUC262143 UDV262140:UDY262143 UNR262140:UNU262143 UXN262140:UXQ262143 VHJ262140:VHM262143 VRF262140:VRI262143 WBB262140:WBE262143 WKX262140:WLA262143 WUT262140:WUW262143 V327676:Y327679 IH327676:IK327679 SD327676:SG327679 ABZ327676:ACC327679 ALV327676:ALY327679 AVR327676:AVU327679 BFN327676:BFQ327679 BPJ327676:BPM327679 BZF327676:BZI327679 CJB327676:CJE327679 CSX327676:CTA327679 DCT327676:DCW327679 DMP327676:DMS327679 DWL327676:DWO327679 EGH327676:EGK327679 EQD327676:EQG327679 EZZ327676:FAC327679 FJV327676:FJY327679 FTR327676:FTU327679 GDN327676:GDQ327679 GNJ327676:GNM327679 GXF327676:GXI327679 HHB327676:HHE327679 HQX327676:HRA327679 IAT327676:IAW327679 IKP327676:IKS327679 IUL327676:IUO327679 JEH327676:JEK327679 JOD327676:JOG327679 JXZ327676:JYC327679 KHV327676:KHY327679 KRR327676:KRU327679 LBN327676:LBQ327679 LLJ327676:LLM327679 LVF327676:LVI327679 MFB327676:MFE327679 MOX327676:MPA327679 MYT327676:MYW327679 NIP327676:NIS327679 NSL327676:NSO327679 OCH327676:OCK327679 OMD327676:OMG327679 OVZ327676:OWC327679 PFV327676:PFY327679 PPR327676:PPU327679 PZN327676:PZQ327679 QJJ327676:QJM327679 QTF327676:QTI327679 RDB327676:RDE327679 RMX327676:RNA327679 RWT327676:RWW327679 SGP327676:SGS327679 SQL327676:SQO327679 TAH327676:TAK327679 TKD327676:TKG327679 TTZ327676:TUC327679 UDV327676:UDY327679 UNR327676:UNU327679 UXN327676:UXQ327679 VHJ327676:VHM327679 VRF327676:VRI327679 WBB327676:WBE327679 WKX327676:WLA327679 WUT327676:WUW327679 V393212:Y393215 IH393212:IK393215 SD393212:SG393215 ABZ393212:ACC393215 ALV393212:ALY393215 AVR393212:AVU393215 BFN393212:BFQ393215 BPJ393212:BPM393215 BZF393212:BZI393215 CJB393212:CJE393215 CSX393212:CTA393215 DCT393212:DCW393215 DMP393212:DMS393215 DWL393212:DWO393215 EGH393212:EGK393215 EQD393212:EQG393215 EZZ393212:FAC393215 FJV393212:FJY393215 FTR393212:FTU393215 GDN393212:GDQ393215 GNJ393212:GNM393215 GXF393212:GXI393215 HHB393212:HHE393215 HQX393212:HRA393215 IAT393212:IAW393215 IKP393212:IKS393215 IUL393212:IUO393215 JEH393212:JEK393215 JOD393212:JOG393215 JXZ393212:JYC393215 KHV393212:KHY393215 KRR393212:KRU393215 LBN393212:LBQ393215 LLJ393212:LLM393215 LVF393212:LVI393215 MFB393212:MFE393215 MOX393212:MPA393215 MYT393212:MYW393215 NIP393212:NIS393215 NSL393212:NSO393215 OCH393212:OCK393215 OMD393212:OMG393215 OVZ393212:OWC393215 PFV393212:PFY393215 PPR393212:PPU393215 PZN393212:PZQ393215 QJJ393212:QJM393215 QTF393212:QTI393215 RDB393212:RDE393215 RMX393212:RNA393215 RWT393212:RWW393215 SGP393212:SGS393215 SQL393212:SQO393215 TAH393212:TAK393215 TKD393212:TKG393215 TTZ393212:TUC393215 UDV393212:UDY393215 UNR393212:UNU393215 UXN393212:UXQ393215 VHJ393212:VHM393215 VRF393212:VRI393215 WBB393212:WBE393215 WKX393212:WLA393215 WUT393212:WUW393215 V458748:Y458751 IH458748:IK458751 SD458748:SG458751 ABZ458748:ACC458751 ALV458748:ALY458751 AVR458748:AVU458751 BFN458748:BFQ458751 BPJ458748:BPM458751 BZF458748:BZI458751 CJB458748:CJE458751 CSX458748:CTA458751 DCT458748:DCW458751 DMP458748:DMS458751 DWL458748:DWO458751 EGH458748:EGK458751 EQD458748:EQG458751 EZZ458748:FAC458751 FJV458748:FJY458751 FTR458748:FTU458751 GDN458748:GDQ458751 GNJ458748:GNM458751 GXF458748:GXI458751 HHB458748:HHE458751 HQX458748:HRA458751 IAT458748:IAW458751 IKP458748:IKS458751 IUL458748:IUO458751 JEH458748:JEK458751 JOD458748:JOG458751 JXZ458748:JYC458751 KHV458748:KHY458751 KRR458748:KRU458751 LBN458748:LBQ458751 LLJ458748:LLM458751 LVF458748:LVI458751 MFB458748:MFE458751 MOX458748:MPA458751 MYT458748:MYW458751 NIP458748:NIS458751 NSL458748:NSO458751 OCH458748:OCK458751 OMD458748:OMG458751 OVZ458748:OWC458751 PFV458748:PFY458751 PPR458748:PPU458751 PZN458748:PZQ458751 QJJ458748:QJM458751 QTF458748:QTI458751 RDB458748:RDE458751 RMX458748:RNA458751 RWT458748:RWW458751 SGP458748:SGS458751 SQL458748:SQO458751 TAH458748:TAK458751 TKD458748:TKG458751 TTZ458748:TUC458751 UDV458748:UDY458751 UNR458748:UNU458751 UXN458748:UXQ458751 VHJ458748:VHM458751 VRF458748:VRI458751 WBB458748:WBE458751 WKX458748:WLA458751 WUT458748:WUW458751 V524284:Y524287 IH524284:IK524287 SD524284:SG524287 ABZ524284:ACC524287 ALV524284:ALY524287 AVR524284:AVU524287 BFN524284:BFQ524287 BPJ524284:BPM524287 BZF524284:BZI524287 CJB524284:CJE524287 CSX524284:CTA524287 DCT524284:DCW524287 DMP524284:DMS524287 DWL524284:DWO524287 EGH524284:EGK524287 EQD524284:EQG524287 EZZ524284:FAC524287 FJV524284:FJY524287 FTR524284:FTU524287 GDN524284:GDQ524287 GNJ524284:GNM524287 GXF524284:GXI524287 HHB524284:HHE524287 HQX524284:HRA524287 IAT524284:IAW524287 IKP524284:IKS524287 IUL524284:IUO524287 JEH524284:JEK524287 JOD524284:JOG524287 JXZ524284:JYC524287 KHV524284:KHY524287 KRR524284:KRU524287 LBN524284:LBQ524287 LLJ524284:LLM524287 LVF524284:LVI524287 MFB524284:MFE524287 MOX524284:MPA524287 MYT524284:MYW524287 NIP524284:NIS524287 NSL524284:NSO524287 OCH524284:OCK524287 OMD524284:OMG524287 OVZ524284:OWC524287 PFV524284:PFY524287 PPR524284:PPU524287 PZN524284:PZQ524287 QJJ524284:QJM524287 QTF524284:QTI524287 RDB524284:RDE524287 RMX524284:RNA524287 RWT524284:RWW524287 SGP524284:SGS524287 SQL524284:SQO524287 TAH524284:TAK524287 TKD524284:TKG524287 TTZ524284:TUC524287 UDV524284:UDY524287 UNR524284:UNU524287 UXN524284:UXQ524287 VHJ524284:VHM524287 VRF524284:VRI524287 WBB524284:WBE524287 WKX524284:WLA524287 WUT524284:WUW524287 V589820:Y589823 IH589820:IK589823 SD589820:SG589823 ABZ589820:ACC589823 ALV589820:ALY589823 AVR589820:AVU589823 BFN589820:BFQ589823 BPJ589820:BPM589823 BZF589820:BZI589823 CJB589820:CJE589823 CSX589820:CTA589823 DCT589820:DCW589823 DMP589820:DMS589823 DWL589820:DWO589823 EGH589820:EGK589823 EQD589820:EQG589823 EZZ589820:FAC589823 FJV589820:FJY589823 FTR589820:FTU589823 GDN589820:GDQ589823 GNJ589820:GNM589823 GXF589820:GXI589823 HHB589820:HHE589823 HQX589820:HRA589823 IAT589820:IAW589823 IKP589820:IKS589823 IUL589820:IUO589823 JEH589820:JEK589823 JOD589820:JOG589823 JXZ589820:JYC589823 KHV589820:KHY589823 KRR589820:KRU589823 LBN589820:LBQ589823 LLJ589820:LLM589823 LVF589820:LVI589823 MFB589820:MFE589823 MOX589820:MPA589823 MYT589820:MYW589823 NIP589820:NIS589823 NSL589820:NSO589823 OCH589820:OCK589823 OMD589820:OMG589823 OVZ589820:OWC589823 PFV589820:PFY589823 PPR589820:PPU589823 PZN589820:PZQ589823 QJJ589820:QJM589823 QTF589820:QTI589823 RDB589820:RDE589823 RMX589820:RNA589823 RWT589820:RWW589823 SGP589820:SGS589823 SQL589820:SQO589823 TAH589820:TAK589823 TKD589820:TKG589823 TTZ589820:TUC589823 UDV589820:UDY589823 UNR589820:UNU589823 UXN589820:UXQ589823 VHJ589820:VHM589823 VRF589820:VRI589823 WBB589820:WBE589823 WKX589820:WLA589823 WUT589820:WUW589823 V655356:Y655359 IH655356:IK655359 SD655356:SG655359 ABZ655356:ACC655359 ALV655356:ALY655359 AVR655356:AVU655359 BFN655356:BFQ655359 BPJ655356:BPM655359 BZF655356:BZI655359 CJB655356:CJE655359 CSX655356:CTA655359 DCT655356:DCW655359 DMP655356:DMS655359 DWL655356:DWO655359 EGH655356:EGK655359 EQD655356:EQG655359 EZZ655356:FAC655359 FJV655356:FJY655359 FTR655356:FTU655359 GDN655356:GDQ655359 GNJ655356:GNM655359 GXF655356:GXI655359 HHB655356:HHE655359 HQX655356:HRA655359 IAT655356:IAW655359 IKP655356:IKS655359 IUL655356:IUO655359 JEH655356:JEK655359 JOD655356:JOG655359 JXZ655356:JYC655359 KHV655356:KHY655359 KRR655356:KRU655359 LBN655356:LBQ655359 LLJ655356:LLM655359 LVF655356:LVI655359 MFB655356:MFE655359 MOX655356:MPA655359 MYT655356:MYW655359 NIP655356:NIS655359 NSL655356:NSO655359 OCH655356:OCK655359 OMD655356:OMG655359 OVZ655356:OWC655359 PFV655356:PFY655359 PPR655356:PPU655359 PZN655356:PZQ655359 QJJ655356:QJM655359 QTF655356:QTI655359 RDB655356:RDE655359 RMX655356:RNA655359 RWT655356:RWW655359 SGP655356:SGS655359 SQL655356:SQO655359 TAH655356:TAK655359 TKD655356:TKG655359 TTZ655356:TUC655359 UDV655356:UDY655359 UNR655356:UNU655359 UXN655356:UXQ655359 VHJ655356:VHM655359 VRF655356:VRI655359 WBB655356:WBE655359 WKX655356:WLA655359 WUT655356:WUW655359 V720892:Y720895 IH720892:IK720895 SD720892:SG720895 ABZ720892:ACC720895 ALV720892:ALY720895 AVR720892:AVU720895 BFN720892:BFQ720895 BPJ720892:BPM720895 BZF720892:BZI720895 CJB720892:CJE720895 CSX720892:CTA720895 DCT720892:DCW720895 DMP720892:DMS720895 DWL720892:DWO720895 EGH720892:EGK720895 EQD720892:EQG720895 EZZ720892:FAC720895 FJV720892:FJY720895 FTR720892:FTU720895 GDN720892:GDQ720895 GNJ720892:GNM720895 GXF720892:GXI720895 HHB720892:HHE720895 HQX720892:HRA720895 IAT720892:IAW720895 IKP720892:IKS720895 IUL720892:IUO720895 JEH720892:JEK720895 JOD720892:JOG720895 JXZ720892:JYC720895 KHV720892:KHY720895 KRR720892:KRU720895 LBN720892:LBQ720895 LLJ720892:LLM720895 LVF720892:LVI720895 MFB720892:MFE720895 MOX720892:MPA720895 MYT720892:MYW720895 NIP720892:NIS720895 NSL720892:NSO720895 OCH720892:OCK720895 OMD720892:OMG720895 OVZ720892:OWC720895 PFV720892:PFY720895 PPR720892:PPU720895 PZN720892:PZQ720895 QJJ720892:QJM720895 QTF720892:QTI720895 RDB720892:RDE720895 RMX720892:RNA720895 RWT720892:RWW720895 SGP720892:SGS720895 SQL720892:SQO720895 TAH720892:TAK720895 TKD720892:TKG720895 TTZ720892:TUC720895 UDV720892:UDY720895 UNR720892:UNU720895 UXN720892:UXQ720895 VHJ720892:VHM720895 VRF720892:VRI720895 WBB720892:WBE720895 WKX720892:WLA720895 WUT720892:WUW720895 V786428:Y786431 IH786428:IK786431 SD786428:SG786431 ABZ786428:ACC786431 ALV786428:ALY786431 AVR786428:AVU786431 BFN786428:BFQ786431 BPJ786428:BPM786431 BZF786428:BZI786431 CJB786428:CJE786431 CSX786428:CTA786431 DCT786428:DCW786431 DMP786428:DMS786431 DWL786428:DWO786431 EGH786428:EGK786431 EQD786428:EQG786431 EZZ786428:FAC786431 FJV786428:FJY786431 FTR786428:FTU786431 GDN786428:GDQ786431 GNJ786428:GNM786431 GXF786428:GXI786431 HHB786428:HHE786431 HQX786428:HRA786431 IAT786428:IAW786431 IKP786428:IKS786431 IUL786428:IUO786431 JEH786428:JEK786431 JOD786428:JOG786431 JXZ786428:JYC786431 KHV786428:KHY786431 KRR786428:KRU786431 LBN786428:LBQ786431 LLJ786428:LLM786431 LVF786428:LVI786431 MFB786428:MFE786431 MOX786428:MPA786431 MYT786428:MYW786431 NIP786428:NIS786431 NSL786428:NSO786431 OCH786428:OCK786431 OMD786428:OMG786431 OVZ786428:OWC786431 PFV786428:PFY786431 PPR786428:PPU786431 PZN786428:PZQ786431 QJJ786428:QJM786431 QTF786428:QTI786431 RDB786428:RDE786431 RMX786428:RNA786431 RWT786428:RWW786431 SGP786428:SGS786431 SQL786428:SQO786431 TAH786428:TAK786431 TKD786428:TKG786431 TTZ786428:TUC786431 UDV786428:UDY786431 UNR786428:UNU786431 UXN786428:UXQ786431 VHJ786428:VHM786431 VRF786428:VRI786431 WBB786428:WBE786431 WKX786428:WLA786431 WUT786428:WUW786431 V851964:Y851967 IH851964:IK851967 SD851964:SG851967 ABZ851964:ACC851967 ALV851964:ALY851967 AVR851964:AVU851967 BFN851964:BFQ851967 BPJ851964:BPM851967 BZF851964:BZI851967 CJB851964:CJE851967 CSX851964:CTA851967 DCT851964:DCW851967 DMP851964:DMS851967 DWL851964:DWO851967 EGH851964:EGK851967 EQD851964:EQG851967 EZZ851964:FAC851967 FJV851964:FJY851967 FTR851964:FTU851967 GDN851964:GDQ851967 GNJ851964:GNM851967 GXF851964:GXI851967 HHB851964:HHE851967 HQX851964:HRA851967 IAT851964:IAW851967 IKP851964:IKS851967 IUL851964:IUO851967 JEH851964:JEK851967 JOD851964:JOG851967 JXZ851964:JYC851967 KHV851964:KHY851967 KRR851964:KRU851967 LBN851964:LBQ851967 LLJ851964:LLM851967 LVF851964:LVI851967 MFB851964:MFE851967 MOX851964:MPA851967 MYT851964:MYW851967 NIP851964:NIS851967 NSL851964:NSO851967 OCH851964:OCK851967 OMD851964:OMG851967 OVZ851964:OWC851967 PFV851964:PFY851967 PPR851964:PPU851967 PZN851964:PZQ851967 QJJ851964:QJM851967 QTF851964:QTI851967 RDB851964:RDE851967 RMX851964:RNA851967 RWT851964:RWW851967 SGP851964:SGS851967 SQL851964:SQO851967 TAH851964:TAK851967 TKD851964:TKG851967 TTZ851964:TUC851967 UDV851964:UDY851967 UNR851964:UNU851967 UXN851964:UXQ851967 VHJ851964:VHM851967 VRF851964:VRI851967 WBB851964:WBE851967 WKX851964:WLA851967 WUT851964:WUW851967 V917500:Y917503 IH917500:IK917503 SD917500:SG917503 ABZ917500:ACC917503 ALV917500:ALY917503 AVR917500:AVU917503 BFN917500:BFQ917503 BPJ917500:BPM917503 BZF917500:BZI917503 CJB917500:CJE917503 CSX917500:CTA917503 DCT917500:DCW917503 DMP917500:DMS917503 DWL917500:DWO917503 EGH917500:EGK917503 EQD917500:EQG917503 EZZ917500:FAC917503 FJV917500:FJY917503 FTR917500:FTU917503 GDN917500:GDQ917503 GNJ917500:GNM917503 GXF917500:GXI917503 HHB917500:HHE917503 HQX917500:HRA917503 IAT917500:IAW917503 IKP917500:IKS917503 IUL917500:IUO917503 JEH917500:JEK917503 JOD917500:JOG917503 JXZ917500:JYC917503 KHV917500:KHY917503 KRR917500:KRU917503 LBN917500:LBQ917503 LLJ917500:LLM917503 LVF917500:LVI917503 MFB917500:MFE917503 MOX917500:MPA917503 MYT917500:MYW917503 NIP917500:NIS917503 NSL917500:NSO917503 OCH917500:OCK917503 OMD917500:OMG917503 OVZ917500:OWC917503 PFV917500:PFY917503 PPR917500:PPU917503 PZN917500:PZQ917503 QJJ917500:QJM917503 QTF917500:QTI917503 RDB917500:RDE917503 RMX917500:RNA917503 RWT917500:RWW917503 SGP917500:SGS917503 SQL917500:SQO917503 TAH917500:TAK917503 TKD917500:TKG917503 TTZ917500:TUC917503 UDV917500:UDY917503 UNR917500:UNU917503 UXN917500:UXQ917503 VHJ917500:VHM917503 VRF917500:VRI917503 WBB917500:WBE917503 WKX917500:WLA917503 WUT917500:WUW917503 V983036:Y983039 IH983036:IK983039 SD983036:SG983039 ABZ983036:ACC983039 ALV983036:ALY983039 AVR983036:AVU983039 BFN983036:BFQ983039 BPJ983036:BPM983039 BZF983036:BZI983039 CJB983036:CJE983039 CSX983036:CTA983039 DCT983036:DCW983039 DMP983036:DMS983039 DWL983036:DWO983039 EGH983036:EGK983039 EQD983036:EQG983039 EZZ983036:FAC983039 FJV983036:FJY983039 FTR983036:FTU983039 GDN983036:GDQ983039 GNJ983036:GNM983039 GXF983036:GXI983039 HHB983036:HHE983039 HQX983036:HRA983039 IAT983036:IAW983039 IKP983036:IKS983039 IUL983036:IUO983039 JEH983036:JEK983039 JOD983036:JOG983039 JXZ983036:JYC983039 KHV983036:KHY983039 KRR983036:KRU983039 LBN983036:LBQ983039 LLJ983036:LLM983039 LVF983036:LVI983039 MFB983036:MFE983039 MOX983036:MPA983039 MYT983036:MYW983039 NIP983036:NIS983039 NSL983036:NSO983039 OCH983036:OCK983039 OMD983036:OMG983039 OVZ983036:OWC983039 PFV983036:PFY983039 PPR983036:PPU983039 PZN983036:PZQ983039 QJJ983036:QJM983039 QTF983036:QTI983039 RDB983036:RDE983039 RMX983036:RNA983039 RWT983036:RWW983039 SGP983036:SGS983039 SQL983036:SQO983039 TAH983036:TAK983039 TKD983036:TKG983039 TTZ983036:TUC983039 UDV983036:UDY983039 UNR983036:UNU983039 UXN983036:UXQ983039 VHJ983036:VHM983039 VRF983036:VRI983039 WBB983036:WBE983039 WKX983036:WLA983039 WUT983036:WUW983039 Q65526:T65526 IC65526:IF65526 RY65526:SB65526 ABU65526:ABX65526 ALQ65526:ALT65526 AVM65526:AVP65526 BFI65526:BFL65526 BPE65526:BPH65526 BZA65526:BZD65526 CIW65526:CIZ65526 CSS65526:CSV65526 DCO65526:DCR65526 DMK65526:DMN65526 DWG65526:DWJ65526 EGC65526:EGF65526 EPY65526:EQB65526 EZU65526:EZX65526 FJQ65526:FJT65526 FTM65526:FTP65526 GDI65526:GDL65526 GNE65526:GNH65526 GXA65526:GXD65526 HGW65526:HGZ65526 HQS65526:HQV65526 IAO65526:IAR65526 IKK65526:IKN65526 IUG65526:IUJ65526 JEC65526:JEF65526 JNY65526:JOB65526 JXU65526:JXX65526 KHQ65526:KHT65526 KRM65526:KRP65526 LBI65526:LBL65526 LLE65526:LLH65526 LVA65526:LVD65526 MEW65526:MEZ65526 MOS65526:MOV65526 MYO65526:MYR65526 NIK65526:NIN65526 NSG65526:NSJ65526 OCC65526:OCF65526 OLY65526:OMB65526 OVU65526:OVX65526 PFQ65526:PFT65526 PPM65526:PPP65526 PZI65526:PZL65526 QJE65526:QJH65526 QTA65526:QTD65526 RCW65526:RCZ65526 RMS65526:RMV65526 RWO65526:RWR65526 SGK65526:SGN65526 SQG65526:SQJ65526 TAC65526:TAF65526 TJY65526:TKB65526 TTU65526:TTX65526 UDQ65526:UDT65526 UNM65526:UNP65526 UXI65526:UXL65526 VHE65526:VHH65526 VRA65526:VRD65526 WAW65526:WAZ65526 WKS65526:WKV65526 WUO65526:WUR65526 Q131062:T131062 IC131062:IF131062 RY131062:SB131062 ABU131062:ABX131062 ALQ131062:ALT131062 AVM131062:AVP131062 BFI131062:BFL131062 BPE131062:BPH131062 BZA131062:BZD131062 CIW131062:CIZ131062 CSS131062:CSV131062 DCO131062:DCR131062 DMK131062:DMN131062 DWG131062:DWJ131062 EGC131062:EGF131062 EPY131062:EQB131062 EZU131062:EZX131062 FJQ131062:FJT131062 FTM131062:FTP131062 GDI131062:GDL131062 GNE131062:GNH131062 GXA131062:GXD131062 HGW131062:HGZ131062 HQS131062:HQV131062 IAO131062:IAR131062 IKK131062:IKN131062 IUG131062:IUJ131062 JEC131062:JEF131062 JNY131062:JOB131062 JXU131062:JXX131062 KHQ131062:KHT131062 KRM131062:KRP131062 LBI131062:LBL131062 LLE131062:LLH131062 LVA131062:LVD131062 MEW131062:MEZ131062 MOS131062:MOV131062 MYO131062:MYR131062 NIK131062:NIN131062 NSG131062:NSJ131062 OCC131062:OCF131062 OLY131062:OMB131062 OVU131062:OVX131062 PFQ131062:PFT131062 PPM131062:PPP131062 PZI131062:PZL131062 QJE131062:QJH131062 QTA131062:QTD131062 RCW131062:RCZ131062 RMS131062:RMV131062 RWO131062:RWR131062 SGK131062:SGN131062 SQG131062:SQJ131062 TAC131062:TAF131062 TJY131062:TKB131062 TTU131062:TTX131062 UDQ131062:UDT131062 UNM131062:UNP131062 UXI131062:UXL131062 VHE131062:VHH131062 VRA131062:VRD131062 WAW131062:WAZ131062 WKS131062:WKV131062 WUO131062:WUR131062 Q196598:T196598 IC196598:IF196598 RY196598:SB196598 ABU196598:ABX196598 ALQ196598:ALT196598 AVM196598:AVP196598 BFI196598:BFL196598 BPE196598:BPH196598 BZA196598:BZD196598 CIW196598:CIZ196598 CSS196598:CSV196598 DCO196598:DCR196598 DMK196598:DMN196598 DWG196598:DWJ196598 EGC196598:EGF196598 EPY196598:EQB196598 EZU196598:EZX196598 FJQ196598:FJT196598 FTM196598:FTP196598 GDI196598:GDL196598 GNE196598:GNH196598 GXA196598:GXD196598 HGW196598:HGZ196598 HQS196598:HQV196598 IAO196598:IAR196598 IKK196598:IKN196598 IUG196598:IUJ196598 JEC196598:JEF196598 JNY196598:JOB196598 JXU196598:JXX196598 KHQ196598:KHT196598 KRM196598:KRP196598 LBI196598:LBL196598 LLE196598:LLH196598 LVA196598:LVD196598 MEW196598:MEZ196598 MOS196598:MOV196598 MYO196598:MYR196598 NIK196598:NIN196598 NSG196598:NSJ196598 OCC196598:OCF196598 OLY196598:OMB196598 OVU196598:OVX196598 PFQ196598:PFT196598 PPM196598:PPP196598 PZI196598:PZL196598 QJE196598:QJH196598 QTA196598:QTD196598 RCW196598:RCZ196598 RMS196598:RMV196598 RWO196598:RWR196598 SGK196598:SGN196598 SQG196598:SQJ196598 TAC196598:TAF196598 TJY196598:TKB196598 TTU196598:TTX196598 UDQ196598:UDT196598 UNM196598:UNP196598 UXI196598:UXL196598 VHE196598:VHH196598 VRA196598:VRD196598 WAW196598:WAZ196598 WKS196598:WKV196598 WUO196598:WUR196598 Q262134:T262134 IC262134:IF262134 RY262134:SB262134 ABU262134:ABX262134 ALQ262134:ALT262134 AVM262134:AVP262134 BFI262134:BFL262134 BPE262134:BPH262134 BZA262134:BZD262134 CIW262134:CIZ262134 CSS262134:CSV262134 DCO262134:DCR262134 DMK262134:DMN262134 DWG262134:DWJ262134 EGC262134:EGF262134 EPY262134:EQB262134 EZU262134:EZX262134 FJQ262134:FJT262134 FTM262134:FTP262134 GDI262134:GDL262134 GNE262134:GNH262134 GXA262134:GXD262134 HGW262134:HGZ262134 HQS262134:HQV262134 IAO262134:IAR262134 IKK262134:IKN262134 IUG262134:IUJ262134 JEC262134:JEF262134 JNY262134:JOB262134 JXU262134:JXX262134 KHQ262134:KHT262134 KRM262134:KRP262134 LBI262134:LBL262134 LLE262134:LLH262134 LVA262134:LVD262134 MEW262134:MEZ262134 MOS262134:MOV262134 MYO262134:MYR262134 NIK262134:NIN262134 NSG262134:NSJ262134 OCC262134:OCF262134 OLY262134:OMB262134 OVU262134:OVX262134 PFQ262134:PFT262134 PPM262134:PPP262134 PZI262134:PZL262134 QJE262134:QJH262134 QTA262134:QTD262134 RCW262134:RCZ262134 RMS262134:RMV262134 RWO262134:RWR262134 SGK262134:SGN262134 SQG262134:SQJ262134 TAC262134:TAF262134 TJY262134:TKB262134 TTU262134:TTX262134 UDQ262134:UDT262134 UNM262134:UNP262134 UXI262134:UXL262134 VHE262134:VHH262134 VRA262134:VRD262134 WAW262134:WAZ262134 WKS262134:WKV262134 WUO262134:WUR262134 Q327670:T327670 IC327670:IF327670 RY327670:SB327670 ABU327670:ABX327670 ALQ327670:ALT327670 AVM327670:AVP327670 BFI327670:BFL327670 BPE327670:BPH327670 BZA327670:BZD327670 CIW327670:CIZ327670 CSS327670:CSV327670 DCO327670:DCR327670 DMK327670:DMN327670 DWG327670:DWJ327670 EGC327670:EGF327670 EPY327670:EQB327670 EZU327670:EZX327670 FJQ327670:FJT327670 FTM327670:FTP327670 GDI327670:GDL327670 GNE327670:GNH327670 GXA327670:GXD327670 HGW327670:HGZ327670 HQS327670:HQV327670 IAO327670:IAR327670 IKK327670:IKN327670 IUG327670:IUJ327670 JEC327670:JEF327670 JNY327670:JOB327670 JXU327670:JXX327670 KHQ327670:KHT327670 KRM327670:KRP327670 LBI327670:LBL327670 LLE327670:LLH327670 LVA327670:LVD327670 MEW327670:MEZ327670 MOS327670:MOV327670 MYO327670:MYR327670 NIK327670:NIN327670 NSG327670:NSJ327670 OCC327670:OCF327670 OLY327670:OMB327670 OVU327670:OVX327670 PFQ327670:PFT327670 PPM327670:PPP327670 PZI327670:PZL327670 QJE327670:QJH327670 QTA327670:QTD327670 RCW327670:RCZ327670 RMS327670:RMV327670 RWO327670:RWR327670 SGK327670:SGN327670 SQG327670:SQJ327670 TAC327670:TAF327670 TJY327670:TKB327670 TTU327670:TTX327670 UDQ327670:UDT327670 UNM327670:UNP327670 UXI327670:UXL327670 VHE327670:VHH327670 VRA327670:VRD327670 WAW327670:WAZ327670 WKS327670:WKV327670 WUO327670:WUR327670 Q393206:T393206 IC393206:IF393206 RY393206:SB393206 ABU393206:ABX393206 ALQ393206:ALT393206 AVM393206:AVP393206 BFI393206:BFL393206 BPE393206:BPH393206 BZA393206:BZD393206 CIW393206:CIZ393206 CSS393206:CSV393206 DCO393206:DCR393206 DMK393206:DMN393206 DWG393206:DWJ393206 EGC393206:EGF393206 EPY393206:EQB393206 EZU393206:EZX393206 FJQ393206:FJT393206 FTM393206:FTP393206 GDI393206:GDL393206 GNE393206:GNH393206 GXA393206:GXD393206 HGW393206:HGZ393206 HQS393206:HQV393206 IAO393206:IAR393206 IKK393206:IKN393206 IUG393206:IUJ393206 JEC393206:JEF393206 JNY393206:JOB393206 JXU393206:JXX393206 KHQ393206:KHT393206 KRM393206:KRP393206 LBI393206:LBL393206 LLE393206:LLH393206 LVA393206:LVD393206 MEW393206:MEZ393206 MOS393206:MOV393206 MYO393206:MYR393206 NIK393206:NIN393206 NSG393206:NSJ393206 OCC393206:OCF393206 OLY393206:OMB393206 OVU393206:OVX393206 PFQ393206:PFT393206 PPM393206:PPP393206 PZI393206:PZL393206 QJE393206:QJH393206 QTA393206:QTD393206 RCW393206:RCZ393206 RMS393206:RMV393206 RWO393206:RWR393206 SGK393206:SGN393206 SQG393206:SQJ393206 TAC393206:TAF393206 TJY393206:TKB393206 TTU393206:TTX393206 UDQ393206:UDT393206 UNM393206:UNP393206 UXI393206:UXL393206 VHE393206:VHH393206 VRA393206:VRD393206 WAW393206:WAZ393206 WKS393206:WKV393206 WUO393206:WUR393206 Q458742:T458742 IC458742:IF458742 RY458742:SB458742 ABU458742:ABX458742 ALQ458742:ALT458742 AVM458742:AVP458742 BFI458742:BFL458742 BPE458742:BPH458742 BZA458742:BZD458742 CIW458742:CIZ458742 CSS458742:CSV458742 DCO458742:DCR458742 DMK458742:DMN458742 DWG458742:DWJ458742 EGC458742:EGF458742 EPY458742:EQB458742 EZU458742:EZX458742 FJQ458742:FJT458742 FTM458742:FTP458742 GDI458742:GDL458742 GNE458742:GNH458742 GXA458742:GXD458742 HGW458742:HGZ458742 HQS458742:HQV458742 IAO458742:IAR458742 IKK458742:IKN458742 IUG458742:IUJ458742 JEC458742:JEF458742 JNY458742:JOB458742 JXU458742:JXX458742 KHQ458742:KHT458742 KRM458742:KRP458742 LBI458742:LBL458742 LLE458742:LLH458742 LVA458742:LVD458742 MEW458742:MEZ458742 MOS458742:MOV458742 MYO458742:MYR458742 NIK458742:NIN458742 NSG458742:NSJ458742 OCC458742:OCF458742 OLY458742:OMB458742 OVU458742:OVX458742 PFQ458742:PFT458742 PPM458742:PPP458742 PZI458742:PZL458742 QJE458742:QJH458742 QTA458742:QTD458742 RCW458742:RCZ458742 RMS458742:RMV458742 RWO458742:RWR458742 SGK458742:SGN458742 SQG458742:SQJ458742 TAC458742:TAF458742 TJY458742:TKB458742 TTU458742:TTX458742 UDQ458742:UDT458742 UNM458742:UNP458742 UXI458742:UXL458742 VHE458742:VHH458742 VRA458742:VRD458742 WAW458742:WAZ458742 WKS458742:WKV458742 WUO458742:WUR458742 Q524278:T524278 IC524278:IF524278 RY524278:SB524278 ABU524278:ABX524278 ALQ524278:ALT524278 AVM524278:AVP524278 BFI524278:BFL524278 BPE524278:BPH524278 BZA524278:BZD524278 CIW524278:CIZ524278 CSS524278:CSV524278 DCO524278:DCR524278 DMK524278:DMN524278 DWG524278:DWJ524278 EGC524278:EGF524278 EPY524278:EQB524278 EZU524278:EZX524278 FJQ524278:FJT524278 FTM524278:FTP524278 GDI524278:GDL524278 GNE524278:GNH524278 GXA524278:GXD524278 HGW524278:HGZ524278 HQS524278:HQV524278 IAO524278:IAR524278 IKK524278:IKN524278 IUG524278:IUJ524278 JEC524278:JEF524278 JNY524278:JOB524278 JXU524278:JXX524278 KHQ524278:KHT524278 KRM524278:KRP524278 LBI524278:LBL524278 LLE524278:LLH524278 LVA524278:LVD524278 MEW524278:MEZ524278 MOS524278:MOV524278 MYO524278:MYR524278 NIK524278:NIN524278 NSG524278:NSJ524278 OCC524278:OCF524278 OLY524278:OMB524278 OVU524278:OVX524278 PFQ524278:PFT524278 PPM524278:PPP524278 PZI524278:PZL524278 QJE524278:QJH524278 QTA524278:QTD524278 RCW524278:RCZ524278 RMS524278:RMV524278 RWO524278:RWR524278 SGK524278:SGN524278 SQG524278:SQJ524278 TAC524278:TAF524278 TJY524278:TKB524278 TTU524278:TTX524278 UDQ524278:UDT524278 UNM524278:UNP524278 UXI524278:UXL524278 VHE524278:VHH524278 VRA524278:VRD524278 WAW524278:WAZ524278 WKS524278:WKV524278 WUO524278:WUR524278 Q589814:T589814 IC589814:IF589814 RY589814:SB589814 ABU589814:ABX589814 ALQ589814:ALT589814 AVM589814:AVP589814 BFI589814:BFL589814 BPE589814:BPH589814 BZA589814:BZD589814 CIW589814:CIZ589814 CSS589814:CSV589814 DCO589814:DCR589814 DMK589814:DMN589814 DWG589814:DWJ589814 EGC589814:EGF589814 EPY589814:EQB589814 EZU589814:EZX589814 FJQ589814:FJT589814 FTM589814:FTP589814 GDI589814:GDL589814 GNE589814:GNH589814 GXA589814:GXD589814 HGW589814:HGZ589814 HQS589814:HQV589814 IAO589814:IAR589814 IKK589814:IKN589814 IUG589814:IUJ589814 JEC589814:JEF589814 JNY589814:JOB589814 JXU589814:JXX589814 KHQ589814:KHT589814 KRM589814:KRP589814 LBI589814:LBL589814 LLE589814:LLH589814 LVA589814:LVD589814 MEW589814:MEZ589814 MOS589814:MOV589814 MYO589814:MYR589814 NIK589814:NIN589814 NSG589814:NSJ589814 OCC589814:OCF589814 OLY589814:OMB589814 OVU589814:OVX589814 PFQ589814:PFT589814 PPM589814:PPP589814 PZI589814:PZL589814 QJE589814:QJH589814 QTA589814:QTD589814 RCW589814:RCZ589814 RMS589814:RMV589814 RWO589814:RWR589814 SGK589814:SGN589814 SQG589814:SQJ589814 TAC589814:TAF589814 TJY589814:TKB589814 TTU589814:TTX589814 UDQ589814:UDT589814 UNM589814:UNP589814 UXI589814:UXL589814 VHE589814:VHH589814 VRA589814:VRD589814 WAW589814:WAZ589814 WKS589814:WKV589814 WUO589814:WUR589814 Q655350:T655350 IC655350:IF655350 RY655350:SB655350 ABU655350:ABX655350 ALQ655350:ALT655350 AVM655350:AVP655350 BFI655350:BFL655350 BPE655350:BPH655350 BZA655350:BZD655350 CIW655350:CIZ655350 CSS655350:CSV655350 DCO655350:DCR655350 DMK655350:DMN655350 DWG655350:DWJ655350 EGC655350:EGF655350 EPY655350:EQB655350 EZU655350:EZX655350 FJQ655350:FJT655350 FTM655350:FTP655350 GDI655350:GDL655350 GNE655350:GNH655350 GXA655350:GXD655350 HGW655350:HGZ655350 HQS655350:HQV655350 IAO655350:IAR655350 IKK655350:IKN655350 IUG655350:IUJ655350 JEC655350:JEF655350 JNY655350:JOB655350 JXU655350:JXX655350 KHQ655350:KHT655350 KRM655350:KRP655350 LBI655350:LBL655350 LLE655350:LLH655350 LVA655350:LVD655350 MEW655350:MEZ655350 MOS655350:MOV655350 MYO655350:MYR655350 NIK655350:NIN655350 NSG655350:NSJ655350 OCC655350:OCF655350 OLY655350:OMB655350 OVU655350:OVX655350 PFQ655350:PFT655350 PPM655350:PPP655350 PZI655350:PZL655350 QJE655350:QJH655350 QTA655350:QTD655350 RCW655350:RCZ655350 RMS655350:RMV655350 RWO655350:RWR655350 SGK655350:SGN655350 SQG655350:SQJ655350 TAC655350:TAF655350 TJY655350:TKB655350 TTU655350:TTX655350 UDQ655350:UDT655350 UNM655350:UNP655350 UXI655350:UXL655350 VHE655350:VHH655350 VRA655350:VRD655350 WAW655350:WAZ655350 WKS655350:WKV655350 WUO655350:WUR655350 Q720886:T720886 IC720886:IF720886 RY720886:SB720886 ABU720886:ABX720886 ALQ720886:ALT720886 AVM720886:AVP720886 BFI720886:BFL720886 BPE720886:BPH720886 BZA720886:BZD720886 CIW720886:CIZ720886 CSS720886:CSV720886 DCO720886:DCR720886 DMK720886:DMN720886 DWG720886:DWJ720886 EGC720886:EGF720886 EPY720886:EQB720886 EZU720886:EZX720886 FJQ720886:FJT720886 FTM720886:FTP720886 GDI720886:GDL720886 GNE720886:GNH720886 GXA720886:GXD720886 HGW720886:HGZ720886 HQS720886:HQV720886 IAO720886:IAR720886 IKK720886:IKN720886 IUG720886:IUJ720886 JEC720886:JEF720886 JNY720886:JOB720886 JXU720886:JXX720886 KHQ720886:KHT720886 KRM720886:KRP720886 LBI720886:LBL720886 LLE720886:LLH720886 LVA720886:LVD720886 MEW720886:MEZ720886 MOS720886:MOV720886 MYO720886:MYR720886 NIK720886:NIN720886 NSG720886:NSJ720886 OCC720886:OCF720886 OLY720886:OMB720886 OVU720886:OVX720886 PFQ720886:PFT720886 PPM720886:PPP720886 PZI720886:PZL720886 QJE720886:QJH720886 QTA720886:QTD720886 RCW720886:RCZ720886 RMS720886:RMV720886 RWO720886:RWR720886 SGK720886:SGN720886 SQG720886:SQJ720886 TAC720886:TAF720886 TJY720886:TKB720886 TTU720886:TTX720886 UDQ720886:UDT720886 UNM720886:UNP720886 UXI720886:UXL720886 VHE720886:VHH720886 VRA720886:VRD720886 WAW720886:WAZ720886 WKS720886:WKV720886 WUO720886:WUR720886 Q786422:T786422 IC786422:IF786422 RY786422:SB786422 ABU786422:ABX786422 ALQ786422:ALT786422 AVM786422:AVP786422 BFI786422:BFL786422 BPE786422:BPH786422 BZA786422:BZD786422 CIW786422:CIZ786422 CSS786422:CSV786422 DCO786422:DCR786422 DMK786422:DMN786422 DWG786422:DWJ786422 EGC786422:EGF786422 EPY786422:EQB786422 EZU786422:EZX786422 FJQ786422:FJT786422 FTM786422:FTP786422 GDI786422:GDL786422 GNE786422:GNH786422 GXA786422:GXD786422 HGW786422:HGZ786422 HQS786422:HQV786422 IAO786422:IAR786422 IKK786422:IKN786422 IUG786422:IUJ786422 JEC786422:JEF786422 JNY786422:JOB786422 JXU786422:JXX786422 KHQ786422:KHT786422 KRM786422:KRP786422 LBI786422:LBL786422 LLE786422:LLH786422 LVA786422:LVD786422 MEW786422:MEZ786422 MOS786422:MOV786422 MYO786422:MYR786422 NIK786422:NIN786422 NSG786422:NSJ786422 OCC786422:OCF786422 OLY786422:OMB786422 OVU786422:OVX786422 PFQ786422:PFT786422 PPM786422:PPP786422 PZI786422:PZL786422 QJE786422:QJH786422 QTA786422:QTD786422 RCW786422:RCZ786422 RMS786422:RMV786422 RWO786422:RWR786422 SGK786422:SGN786422 SQG786422:SQJ786422 TAC786422:TAF786422 TJY786422:TKB786422 TTU786422:TTX786422 UDQ786422:UDT786422 UNM786422:UNP786422 UXI786422:UXL786422 VHE786422:VHH786422 VRA786422:VRD786422 WAW786422:WAZ786422 WKS786422:WKV786422 WUO786422:WUR786422 Q851958:T851958 IC851958:IF851958 RY851958:SB851958 ABU851958:ABX851958 ALQ851958:ALT851958 AVM851958:AVP851958 BFI851958:BFL851958 BPE851958:BPH851958 BZA851958:BZD851958 CIW851958:CIZ851958 CSS851958:CSV851958 DCO851958:DCR851958 DMK851958:DMN851958 DWG851958:DWJ851958 EGC851958:EGF851958 EPY851958:EQB851958 EZU851958:EZX851958 FJQ851958:FJT851958 FTM851958:FTP851958 GDI851958:GDL851958 GNE851958:GNH851958 GXA851958:GXD851958 HGW851958:HGZ851958 HQS851958:HQV851958 IAO851958:IAR851958 IKK851958:IKN851958 IUG851958:IUJ851958 JEC851958:JEF851958 JNY851958:JOB851958 JXU851958:JXX851958 KHQ851958:KHT851958 KRM851958:KRP851958 LBI851958:LBL851958 LLE851958:LLH851958 LVA851958:LVD851958 MEW851958:MEZ851958 MOS851958:MOV851958 MYO851958:MYR851958 NIK851958:NIN851958 NSG851958:NSJ851958 OCC851958:OCF851958 OLY851958:OMB851958 OVU851958:OVX851958 PFQ851958:PFT851958 PPM851958:PPP851958 PZI851958:PZL851958 QJE851958:QJH851958 QTA851958:QTD851958 RCW851958:RCZ851958 RMS851958:RMV851958 RWO851958:RWR851958 SGK851958:SGN851958 SQG851958:SQJ851958 TAC851958:TAF851958 TJY851958:TKB851958 TTU851958:TTX851958 UDQ851958:UDT851958 UNM851958:UNP851958 UXI851958:UXL851958 VHE851958:VHH851958 VRA851958:VRD851958 WAW851958:WAZ851958 WKS851958:WKV851958 WUO851958:WUR851958 Q917494:T917494 IC917494:IF917494 RY917494:SB917494 ABU917494:ABX917494 ALQ917494:ALT917494 AVM917494:AVP917494 BFI917494:BFL917494 BPE917494:BPH917494 BZA917494:BZD917494 CIW917494:CIZ917494 CSS917494:CSV917494 DCO917494:DCR917494 DMK917494:DMN917494 DWG917494:DWJ917494 EGC917494:EGF917494 EPY917494:EQB917494 EZU917494:EZX917494 FJQ917494:FJT917494 FTM917494:FTP917494 GDI917494:GDL917494 GNE917494:GNH917494 GXA917494:GXD917494 HGW917494:HGZ917494 HQS917494:HQV917494 IAO917494:IAR917494 IKK917494:IKN917494 IUG917494:IUJ917494 JEC917494:JEF917494 JNY917494:JOB917494 JXU917494:JXX917494 KHQ917494:KHT917494 KRM917494:KRP917494 LBI917494:LBL917494 LLE917494:LLH917494 LVA917494:LVD917494 MEW917494:MEZ917494 MOS917494:MOV917494 MYO917494:MYR917494 NIK917494:NIN917494 NSG917494:NSJ917494 OCC917494:OCF917494 OLY917494:OMB917494 OVU917494:OVX917494 PFQ917494:PFT917494 PPM917494:PPP917494 PZI917494:PZL917494 QJE917494:QJH917494 QTA917494:QTD917494 RCW917494:RCZ917494 RMS917494:RMV917494 RWO917494:RWR917494 SGK917494:SGN917494 SQG917494:SQJ917494 TAC917494:TAF917494 TJY917494:TKB917494 TTU917494:TTX917494 UDQ917494:UDT917494 UNM917494:UNP917494 UXI917494:UXL917494 VHE917494:VHH917494 VRA917494:VRD917494 WAW917494:WAZ917494 WKS917494:WKV917494 WUO917494:WUR917494 Q983030:T983030 IC983030:IF983030 RY983030:SB983030 ABU983030:ABX983030 ALQ983030:ALT983030 AVM983030:AVP983030 BFI983030:BFL983030 BPE983030:BPH983030 BZA983030:BZD983030 CIW983030:CIZ983030 CSS983030:CSV983030 DCO983030:DCR983030 DMK983030:DMN983030 DWG983030:DWJ983030 EGC983030:EGF983030 EPY983030:EQB983030 EZU983030:EZX983030 FJQ983030:FJT983030 FTM983030:FTP983030 GDI983030:GDL983030 GNE983030:GNH983030 GXA983030:GXD983030 HGW983030:HGZ983030 HQS983030:HQV983030 IAO983030:IAR983030 IKK983030:IKN983030 IUG983030:IUJ983030 JEC983030:JEF983030 JNY983030:JOB983030 JXU983030:JXX983030 KHQ983030:KHT983030 KRM983030:KRP983030 LBI983030:LBL983030 LLE983030:LLH983030 LVA983030:LVD983030 MEW983030:MEZ983030 MOS983030:MOV983030 MYO983030:MYR983030 NIK983030:NIN983030 NSG983030:NSJ983030 OCC983030:OCF983030 OLY983030:OMB983030 OVU983030:OVX983030 PFQ983030:PFT983030 PPM983030:PPP983030 PZI983030:PZL983030 QJE983030:QJH983030 QTA983030:QTD983030 RCW983030:RCZ983030 RMS983030:RMV983030 RWO983030:RWR983030 SGK983030:SGN983030 SQG983030:SQJ983030 TAC983030:TAF983030 TJY983030:TKB983030 TTU983030:TTX983030 UDQ983030:UDT983030 UNM983030:UNP983030 UXI983030:UXL983030 VHE983030:VHH983030 VRA983030:VRD983030 WAW983030:WAZ983030 WKS983030:WKV983030 WUO983030:WUR983030 HX983029:IA983029 RT983029:RW983029 ABP983029:ABS983029 ALL983029:ALO983029 AVH983029:AVK983029 BFD983029:BFG983029 BOZ983029:BPC983029 BYV983029:BYY983029 CIR983029:CIU983029 CSN983029:CSQ983029 DCJ983029:DCM983029 DMF983029:DMI983029 DWB983029:DWE983029 EFX983029:EGA983029 EPT983029:EPW983029 EZP983029:EZS983029 FJL983029:FJO983029 FTH983029:FTK983029 GDD983029:GDG983029 GMZ983029:GNC983029 GWV983029:GWY983029 HGR983029:HGU983029 HQN983029:HQQ983029 IAJ983029:IAM983029 IKF983029:IKI983029 IUB983029:IUE983029 JDX983029:JEA983029 JNT983029:JNW983029 JXP983029:JXS983029 KHL983029:KHO983029 KRH983029:KRK983029 LBD983029:LBG983029 LKZ983029:LLC983029 LUV983029:LUY983029 MER983029:MEU983029 MON983029:MOQ983029 MYJ983029:MYM983029 NIF983029:NII983029 NSB983029:NSE983029 OBX983029:OCA983029 OLT983029:OLW983029 OVP983029:OVS983029 PFL983029:PFO983029 PPH983029:PPK983029 PZD983029:PZG983029 QIZ983029:QJC983029 QSV983029:QSY983029 RCR983029:RCU983029 RMN983029:RMQ983029 RWJ983029:RWM983029 SGF983029:SGI983029 SQB983029:SQE983029 SZX983029:TAA983029 TJT983029:TJW983029 TTP983029:TTS983029 UDL983029:UDO983029 UNH983029:UNK983029 UXD983029:UXG983029 VGZ983029:VHC983029 VQV983029:VQY983029 WAR983029:WAU983029 WKN983029:WKQ983029 WUJ983029:WUM983029 HX65525:IA65525 RT65525:RW65525 ABP65525:ABS65525 ALL65525:ALO65525 AVH65525:AVK65525 BFD65525:BFG65525 BOZ65525:BPC65525 BYV65525:BYY65525 CIR65525:CIU65525 CSN65525:CSQ65525 DCJ65525:DCM65525 DMF65525:DMI65525 DWB65525:DWE65525 EFX65525:EGA65525 EPT65525:EPW65525 EZP65525:EZS65525 FJL65525:FJO65525 FTH65525:FTK65525 GDD65525:GDG65525 GMZ65525:GNC65525 GWV65525:GWY65525 HGR65525:HGU65525 HQN65525:HQQ65525 IAJ65525:IAM65525 IKF65525:IKI65525 IUB65525:IUE65525 JDX65525:JEA65525 JNT65525:JNW65525 JXP65525:JXS65525 KHL65525:KHO65525 KRH65525:KRK65525 LBD65525:LBG65525 LKZ65525:LLC65525 LUV65525:LUY65525 MER65525:MEU65525 MON65525:MOQ65525 MYJ65525:MYM65525 NIF65525:NII65525 NSB65525:NSE65525 OBX65525:OCA65525 OLT65525:OLW65525 OVP65525:OVS65525 PFL65525:PFO65525 PPH65525:PPK65525 PZD65525:PZG65525 QIZ65525:QJC65525 QSV65525:QSY65525 RCR65525:RCU65525 RMN65525:RMQ65525 RWJ65525:RWM65525 SGF65525:SGI65525 SQB65525:SQE65525 SZX65525:TAA65525 TJT65525:TJW65525 TTP65525:TTS65525 UDL65525:UDO65525 UNH65525:UNK65525 UXD65525:UXG65525 VGZ65525:VHC65525 VQV65525:VQY65525 WAR65525:WAU65525 WKN65525:WKQ65525 WUJ65525:WUM65525 HX131061:IA131061 RT131061:RW131061 ABP131061:ABS131061 ALL131061:ALO131061 AVH131061:AVK131061 BFD131061:BFG131061 BOZ131061:BPC131061 BYV131061:BYY131061 CIR131061:CIU131061 CSN131061:CSQ131061 DCJ131061:DCM131061 DMF131061:DMI131061 DWB131061:DWE131061 EFX131061:EGA131061 EPT131061:EPW131061 EZP131061:EZS131061 FJL131061:FJO131061 FTH131061:FTK131061 GDD131061:GDG131061 GMZ131061:GNC131061 GWV131061:GWY131061 HGR131061:HGU131061 HQN131061:HQQ131061 IAJ131061:IAM131061 IKF131061:IKI131061 IUB131061:IUE131061 JDX131061:JEA131061 JNT131061:JNW131061 JXP131061:JXS131061 KHL131061:KHO131061 KRH131061:KRK131061 LBD131061:LBG131061 LKZ131061:LLC131061 LUV131061:LUY131061 MER131061:MEU131061 MON131061:MOQ131061 MYJ131061:MYM131061 NIF131061:NII131061 NSB131061:NSE131061 OBX131061:OCA131061 OLT131061:OLW131061 OVP131061:OVS131061 PFL131061:PFO131061 PPH131061:PPK131061 PZD131061:PZG131061 QIZ131061:QJC131061 QSV131061:QSY131061 RCR131061:RCU131061 RMN131061:RMQ131061 RWJ131061:RWM131061 SGF131061:SGI131061 SQB131061:SQE131061 SZX131061:TAA131061 TJT131061:TJW131061 TTP131061:TTS131061 UDL131061:UDO131061 UNH131061:UNK131061 UXD131061:UXG131061 VGZ131061:VHC131061 VQV131061:VQY131061 WAR131061:WAU131061 WKN131061:WKQ131061 WUJ131061:WUM131061 HX196597:IA196597 RT196597:RW196597 ABP196597:ABS196597 ALL196597:ALO196597 AVH196597:AVK196597 BFD196597:BFG196597 BOZ196597:BPC196597 BYV196597:BYY196597 CIR196597:CIU196597 CSN196597:CSQ196597 DCJ196597:DCM196597 DMF196597:DMI196597 DWB196597:DWE196597 EFX196597:EGA196597 EPT196597:EPW196597 EZP196597:EZS196597 FJL196597:FJO196597 FTH196597:FTK196597 GDD196597:GDG196597 GMZ196597:GNC196597 GWV196597:GWY196597 HGR196597:HGU196597 HQN196597:HQQ196597 IAJ196597:IAM196597 IKF196597:IKI196597 IUB196597:IUE196597 JDX196597:JEA196597 JNT196597:JNW196597 JXP196597:JXS196597 KHL196597:KHO196597 KRH196597:KRK196597 LBD196597:LBG196597 LKZ196597:LLC196597 LUV196597:LUY196597 MER196597:MEU196597 MON196597:MOQ196597 MYJ196597:MYM196597 NIF196597:NII196597 NSB196597:NSE196597 OBX196597:OCA196597 OLT196597:OLW196597 OVP196597:OVS196597 PFL196597:PFO196597 PPH196597:PPK196597 PZD196597:PZG196597 QIZ196597:QJC196597 QSV196597:QSY196597 RCR196597:RCU196597 RMN196597:RMQ196597 RWJ196597:RWM196597 SGF196597:SGI196597 SQB196597:SQE196597 SZX196597:TAA196597 TJT196597:TJW196597 TTP196597:TTS196597 UDL196597:UDO196597 UNH196597:UNK196597 UXD196597:UXG196597 VGZ196597:VHC196597 VQV196597:VQY196597 WAR196597:WAU196597 WKN196597:WKQ196597 WUJ196597:WUM196597 HX262133:IA262133 RT262133:RW262133 ABP262133:ABS262133 ALL262133:ALO262133 AVH262133:AVK262133 BFD262133:BFG262133 BOZ262133:BPC262133 BYV262133:BYY262133 CIR262133:CIU262133 CSN262133:CSQ262133 DCJ262133:DCM262133 DMF262133:DMI262133 DWB262133:DWE262133 EFX262133:EGA262133 EPT262133:EPW262133 EZP262133:EZS262133 FJL262133:FJO262133 FTH262133:FTK262133 GDD262133:GDG262133 GMZ262133:GNC262133 GWV262133:GWY262133 HGR262133:HGU262133 HQN262133:HQQ262133 IAJ262133:IAM262133 IKF262133:IKI262133 IUB262133:IUE262133 JDX262133:JEA262133 JNT262133:JNW262133 JXP262133:JXS262133 KHL262133:KHO262133 KRH262133:KRK262133 LBD262133:LBG262133 LKZ262133:LLC262133 LUV262133:LUY262133 MER262133:MEU262133 MON262133:MOQ262133 MYJ262133:MYM262133 NIF262133:NII262133 NSB262133:NSE262133 OBX262133:OCA262133 OLT262133:OLW262133 OVP262133:OVS262133 PFL262133:PFO262133 PPH262133:PPK262133 PZD262133:PZG262133 QIZ262133:QJC262133 QSV262133:QSY262133 RCR262133:RCU262133 RMN262133:RMQ262133 RWJ262133:RWM262133 SGF262133:SGI262133 SQB262133:SQE262133 SZX262133:TAA262133 TJT262133:TJW262133 TTP262133:TTS262133 UDL262133:UDO262133 UNH262133:UNK262133 UXD262133:UXG262133 VGZ262133:VHC262133 VQV262133:VQY262133 WAR262133:WAU262133 WKN262133:WKQ262133 WUJ262133:WUM262133 HX327669:IA327669 RT327669:RW327669 ABP327669:ABS327669 ALL327669:ALO327669 AVH327669:AVK327669 BFD327669:BFG327669 BOZ327669:BPC327669 BYV327669:BYY327669 CIR327669:CIU327669 CSN327669:CSQ327669 DCJ327669:DCM327669 DMF327669:DMI327669 DWB327669:DWE327669 EFX327669:EGA327669 EPT327669:EPW327669 EZP327669:EZS327669 FJL327669:FJO327669 FTH327669:FTK327669 GDD327669:GDG327669 GMZ327669:GNC327669 GWV327669:GWY327669 HGR327669:HGU327669 HQN327669:HQQ327669 IAJ327669:IAM327669 IKF327669:IKI327669 IUB327669:IUE327669 JDX327669:JEA327669 JNT327669:JNW327669 JXP327669:JXS327669 KHL327669:KHO327669 KRH327669:KRK327669 LBD327669:LBG327669 LKZ327669:LLC327669 LUV327669:LUY327669 MER327669:MEU327669 MON327669:MOQ327669 MYJ327669:MYM327669 NIF327669:NII327669 NSB327669:NSE327669 OBX327669:OCA327669 OLT327669:OLW327669 OVP327669:OVS327669 PFL327669:PFO327669 PPH327669:PPK327669 PZD327669:PZG327669 QIZ327669:QJC327669 QSV327669:QSY327669 RCR327669:RCU327669 RMN327669:RMQ327669 RWJ327669:RWM327669 SGF327669:SGI327669 SQB327669:SQE327669 SZX327669:TAA327669 TJT327669:TJW327669 TTP327669:TTS327669 UDL327669:UDO327669 UNH327669:UNK327669 UXD327669:UXG327669 VGZ327669:VHC327669 VQV327669:VQY327669 WAR327669:WAU327669 WKN327669:WKQ327669 WUJ327669:WUM327669 HX393205:IA393205 RT393205:RW393205 ABP393205:ABS393205 ALL393205:ALO393205 AVH393205:AVK393205 BFD393205:BFG393205 BOZ393205:BPC393205 BYV393205:BYY393205 CIR393205:CIU393205 CSN393205:CSQ393205 DCJ393205:DCM393205 DMF393205:DMI393205 DWB393205:DWE393205 EFX393205:EGA393205 EPT393205:EPW393205 EZP393205:EZS393205 FJL393205:FJO393205 FTH393205:FTK393205 GDD393205:GDG393205 GMZ393205:GNC393205 GWV393205:GWY393205 HGR393205:HGU393205 HQN393205:HQQ393205 IAJ393205:IAM393205 IKF393205:IKI393205 IUB393205:IUE393205 JDX393205:JEA393205 JNT393205:JNW393205 JXP393205:JXS393205 KHL393205:KHO393205 KRH393205:KRK393205 LBD393205:LBG393205 LKZ393205:LLC393205 LUV393205:LUY393205 MER393205:MEU393205 MON393205:MOQ393205 MYJ393205:MYM393205 NIF393205:NII393205 NSB393205:NSE393205 OBX393205:OCA393205 OLT393205:OLW393205 OVP393205:OVS393205 PFL393205:PFO393205 PPH393205:PPK393205 PZD393205:PZG393205 QIZ393205:QJC393205 QSV393205:QSY393205 RCR393205:RCU393205 RMN393205:RMQ393205 RWJ393205:RWM393205 SGF393205:SGI393205 SQB393205:SQE393205 SZX393205:TAA393205 TJT393205:TJW393205 TTP393205:TTS393205 UDL393205:UDO393205 UNH393205:UNK393205 UXD393205:UXG393205 VGZ393205:VHC393205 VQV393205:VQY393205 WAR393205:WAU393205 WKN393205:WKQ393205 WUJ393205:WUM393205 HX458741:IA458741 RT458741:RW458741 ABP458741:ABS458741 ALL458741:ALO458741 AVH458741:AVK458741 BFD458741:BFG458741 BOZ458741:BPC458741 BYV458741:BYY458741 CIR458741:CIU458741 CSN458741:CSQ458741 DCJ458741:DCM458741 DMF458741:DMI458741 DWB458741:DWE458741 EFX458741:EGA458741 EPT458741:EPW458741 EZP458741:EZS458741 FJL458741:FJO458741 FTH458741:FTK458741 GDD458741:GDG458741 GMZ458741:GNC458741 GWV458741:GWY458741 HGR458741:HGU458741 HQN458741:HQQ458741 IAJ458741:IAM458741 IKF458741:IKI458741 IUB458741:IUE458741 JDX458741:JEA458741 JNT458741:JNW458741 JXP458741:JXS458741 KHL458741:KHO458741 KRH458741:KRK458741 LBD458741:LBG458741 LKZ458741:LLC458741 LUV458741:LUY458741 MER458741:MEU458741 MON458741:MOQ458741 MYJ458741:MYM458741 NIF458741:NII458741 NSB458741:NSE458741 OBX458741:OCA458741 OLT458741:OLW458741 OVP458741:OVS458741 PFL458741:PFO458741 PPH458741:PPK458741 PZD458741:PZG458741 QIZ458741:QJC458741 QSV458741:QSY458741 RCR458741:RCU458741 RMN458741:RMQ458741 RWJ458741:RWM458741 SGF458741:SGI458741 SQB458741:SQE458741 SZX458741:TAA458741 TJT458741:TJW458741 TTP458741:TTS458741 UDL458741:UDO458741 UNH458741:UNK458741 UXD458741:UXG458741 VGZ458741:VHC458741 VQV458741:VQY458741 WAR458741:WAU458741 WKN458741:WKQ458741 WUJ458741:WUM458741 HX524277:IA524277 RT524277:RW524277 ABP524277:ABS524277 ALL524277:ALO524277 AVH524277:AVK524277 BFD524277:BFG524277 BOZ524277:BPC524277 BYV524277:BYY524277 CIR524277:CIU524277 CSN524277:CSQ524277 DCJ524277:DCM524277 DMF524277:DMI524277 DWB524277:DWE524277 EFX524277:EGA524277 EPT524277:EPW524277 EZP524277:EZS524277 FJL524277:FJO524277 FTH524277:FTK524277 GDD524277:GDG524277 GMZ524277:GNC524277 GWV524277:GWY524277 HGR524277:HGU524277 HQN524277:HQQ524277 IAJ524277:IAM524277 IKF524277:IKI524277 IUB524277:IUE524277 JDX524277:JEA524277 JNT524277:JNW524277 JXP524277:JXS524277 KHL524277:KHO524277 KRH524277:KRK524277 LBD524277:LBG524277 LKZ524277:LLC524277 LUV524277:LUY524277 MER524277:MEU524277 MON524277:MOQ524277 MYJ524277:MYM524277 NIF524277:NII524277 NSB524277:NSE524277 OBX524277:OCA524277 OLT524277:OLW524277 OVP524277:OVS524277 PFL524277:PFO524277 PPH524277:PPK524277 PZD524277:PZG524277 QIZ524277:QJC524277 QSV524277:QSY524277 RCR524277:RCU524277 RMN524277:RMQ524277 RWJ524277:RWM524277 SGF524277:SGI524277 SQB524277:SQE524277 SZX524277:TAA524277 TJT524277:TJW524277 TTP524277:TTS524277 UDL524277:UDO524277 UNH524277:UNK524277 UXD524277:UXG524277 VGZ524277:VHC524277 VQV524277:VQY524277 WAR524277:WAU524277 WKN524277:WKQ524277 WUJ524277:WUM524277 HX589813:IA589813 RT589813:RW589813 ABP589813:ABS589813 ALL589813:ALO589813 AVH589813:AVK589813 BFD589813:BFG589813 BOZ589813:BPC589813 BYV589813:BYY589813 CIR589813:CIU589813 CSN589813:CSQ589813 DCJ589813:DCM589813 DMF589813:DMI589813 DWB589813:DWE589813 EFX589813:EGA589813 EPT589813:EPW589813 EZP589813:EZS589813 FJL589813:FJO589813 FTH589813:FTK589813 GDD589813:GDG589813 GMZ589813:GNC589813 GWV589813:GWY589813 HGR589813:HGU589813 HQN589813:HQQ589813 IAJ589813:IAM589813 IKF589813:IKI589813 IUB589813:IUE589813 JDX589813:JEA589813 JNT589813:JNW589813 JXP589813:JXS589813 KHL589813:KHO589813 KRH589813:KRK589813 LBD589813:LBG589813 LKZ589813:LLC589813 LUV589813:LUY589813 MER589813:MEU589813 MON589813:MOQ589813 MYJ589813:MYM589813 NIF589813:NII589813 NSB589813:NSE589813 OBX589813:OCA589813 OLT589813:OLW589813 OVP589813:OVS589813 PFL589813:PFO589813 PPH589813:PPK589813 PZD589813:PZG589813 QIZ589813:QJC589813 QSV589813:QSY589813 RCR589813:RCU589813 RMN589813:RMQ589813 RWJ589813:RWM589813 SGF589813:SGI589813 SQB589813:SQE589813 SZX589813:TAA589813 TJT589813:TJW589813 TTP589813:TTS589813 UDL589813:UDO589813 UNH589813:UNK589813 UXD589813:UXG589813 VGZ589813:VHC589813 VQV589813:VQY589813 WAR589813:WAU589813 WKN589813:WKQ589813 WUJ589813:WUM589813 HX655349:IA655349 RT655349:RW655349 ABP655349:ABS655349 ALL655349:ALO655349 AVH655349:AVK655349 BFD655349:BFG655349 BOZ655349:BPC655349 BYV655349:BYY655349 CIR655349:CIU655349 CSN655349:CSQ655349 DCJ655349:DCM655349 DMF655349:DMI655349 DWB655349:DWE655349 EFX655349:EGA655349 EPT655349:EPW655349 EZP655349:EZS655349 FJL655349:FJO655349 FTH655349:FTK655349 GDD655349:GDG655349 GMZ655349:GNC655349 GWV655349:GWY655349 HGR655349:HGU655349 HQN655349:HQQ655349 IAJ655349:IAM655349 IKF655349:IKI655349 IUB655349:IUE655349 JDX655349:JEA655349 JNT655349:JNW655349 JXP655349:JXS655349 KHL655349:KHO655349 KRH655349:KRK655349 LBD655349:LBG655349 LKZ655349:LLC655349 LUV655349:LUY655349 MER655349:MEU655349 MON655349:MOQ655349 MYJ655349:MYM655349 NIF655349:NII655349 NSB655349:NSE655349 OBX655349:OCA655349 OLT655349:OLW655349 OVP655349:OVS655349 PFL655349:PFO655349 PPH655349:PPK655349 PZD655349:PZG655349 QIZ655349:QJC655349 QSV655349:QSY655349 RCR655349:RCU655349 RMN655349:RMQ655349 RWJ655349:RWM655349 SGF655349:SGI655349 SQB655349:SQE655349 SZX655349:TAA655349 TJT655349:TJW655349 TTP655349:TTS655349 UDL655349:UDO655349 UNH655349:UNK655349 UXD655349:UXG655349 VGZ655349:VHC655349 VQV655349:VQY655349 WAR655349:WAU655349 WKN655349:WKQ655349 WUJ655349:WUM655349 HX720885:IA720885 RT720885:RW720885 ABP720885:ABS720885 ALL720885:ALO720885 AVH720885:AVK720885 BFD720885:BFG720885 BOZ720885:BPC720885 BYV720885:BYY720885 CIR720885:CIU720885 CSN720885:CSQ720885 DCJ720885:DCM720885 DMF720885:DMI720885 DWB720885:DWE720885 EFX720885:EGA720885 EPT720885:EPW720885 EZP720885:EZS720885 FJL720885:FJO720885 FTH720885:FTK720885 GDD720885:GDG720885 GMZ720885:GNC720885 GWV720885:GWY720885 HGR720885:HGU720885 HQN720885:HQQ720885 IAJ720885:IAM720885 IKF720885:IKI720885 IUB720885:IUE720885 JDX720885:JEA720885 JNT720885:JNW720885 JXP720885:JXS720885 KHL720885:KHO720885 KRH720885:KRK720885 LBD720885:LBG720885 LKZ720885:LLC720885 LUV720885:LUY720885 MER720885:MEU720885 MON720885:MOQ720885 MYJ720885:MYM720885 NIF720885:NII720885 NSB720885:NSE720885 OBX720885:OCA720885 OLT720885:OLW720885 OVP720885:OVS720885 PFL720885:PFO720885 PPH720885:PPK720885 PZD720885:PZG720885 QIZ720885:QJC720885 QSV720885:QSY720885 RCR720885:RCU720885 RMN720885:RMQ720885 RWJ720885:RWM720885 SGF720885:SGI720885 SQB720885:SQE720885 SZX720885:TAA720885 TJT720885:TJW720885 TTP720885:TTS720885 UDL720885:UDO720885 UNH720885:UNK720885 UXD720885:UXG720885 VGZ720885:VHC720885 VQV720885:VQY720885 WAR720885:WAU720885 WKN720885:WKQ720885 WUJ720885:WUM720885 HX786421:IA786421 RT786421:RW786421 ABP786421:ABS786421 ALL786421:ALO786421 AVH786421:AVK786421 BFD786421:BFG786421 BOZ786421:BPC786421 BYV786421:BYY786421 CIR786421:CIU786421 CSN786421:CSQ786421 DCJ786421:DCM786421 DMF786421:DMI786421 DWB786421:DWE786421 EFX786421:EGA786421 EPT786421:EPW786421 EZP786421:EZS786421 FJL786421:FJO786421 FTH786421:FTK786421 GDD786421:GDG786421 GMZ786421:GNC786421 GWV786421:GWY786421 HGR786421:HGU786421 HQN786421:HQQ786421 IAJ786421:IAM786421 IKF786421:IKI786421 IUB786421:IUE786421 JDX786421:JEA786421 JNT786421:JNW786421 JXP786421:JXS786421 KHL786421:KHO786421 KRH786421:KRK786421 LBD786421:LBG786421 LKZ786421:LLC786421 LUV786421:LUY786421 MER786421:MEU786421 MON786421:MOQ786421 MYJ786421:MYM786421 NIF786421:NII786421 NSB786421:NSE786421 OBX786421:OCA786421 OLT786421:OLW786421 OVP786421:OVS786421 PFL786421:PFO786421 PPH786421:PPK786421 PZD786421:PZG786421 QIZ786421:QJC786421 QSV786421:QSY786421 RCR786421:RCU786421 RMN786421:RMQ786421 RWJ786421:RWM786421 SGF786421:SGI786421 SQB786421:SQE786421 SZX786421:TAA786421 TJT786421:TJW786421 TTP786421:TTS786421 UDL786421:UDO786421 UNH786421:UNK786421 UXD786421:UXG786421 VGZ786421:VHC786421 VQV786421:VQY786421 WAR786421:WAU786421 WKN786421:WKQ786421 WUJ786421:WUM786421 HX851957:IA851957 RT851957:RW851957 ABP851957:ABS851957 ALL851957:ALO851957 AVH851957:AVK851957 BFD851957:BFG851957 BOZ851957:BPC851957 BYV851957:BYY851957 CIR851957:CIU851957 CSN851957:CSQ851957 DCJ851957:DCM851957 DMF851957:DMI851957 DWB851957:DWE851957 EFX851957:EGA851957 EPT851957:EPW851957 EZP851957:EZS851957 FJL851957:FJO851957 FTH851957:FTK851957 GDD851957:GDG851957 GMZ851957:GNC851957 GWV851957:GWY851957 HGR851957:HGU851957 HQN851957:HQQ851957 IAJ851957:IAM851957 IKF851957:IKI851957 IUB851957:IUE851957 JDX851957:JEA851957 JNT851957:JNW851957 JXP851957:JXS851957 KHL851957:KHO851957 KRH851957:KRK851957 LBD851957:LBG851957 LKZ851957:LLC851957 LUV851957:LUY851957 MER851957:MEU851957 MON851957:MOQ851957 MYJ851957:MYM851957 NIF851957:NII851957 NSB851957:NSE851957 OBX851957:OCA851957 OLT851957:OLW851957 OVP851957:OVS851957 PFL851957:PFO851957 PPH851957:PPK851957 PZD851957:PZG851957 QIZ851957:QJC851957 QSV851957:QSY851957 RCR851957:RCU851957 RMN851957:RMQ851957 RWJ851957:RWM851957 SGF851957:SGI851957 SQB851957:SQE851957 SZX851957:TAA851957 TJT851957:TJW851957 TTP851957:TTS851957 UDL851957:UDO851957 UNH851957:UNK851957 UXD851957:UXG851957 VGZ851957:VHC851957 VQV851957:VQY851957 WAR851957:WAU851957 WKN851957:WKQ851957 WUJ851957:WUM851957 HX917493:IA917493 RT917493:RW917493 ABP917493:ABS917493 ALL917493:ALO917493 AVH917493:AVK917493 BFD917493:BFG917493 BOZ917493:BPC917493 BYV917493:BYY917493 CIR917493:CIU917493 CSN917493:CSQ917493 DCJ917493:DCM917493 DMF917493:DMI917493 DWB917493:DWE917493 EFX917493:EGA917493 EPT917493:EPW917493 EZP917493:EZS917493 FJL917493:FJO917493 FTH917493:FTK917493 GDD917493:GDG917493 GMZ917493:GNC917493 GWV917493:GWY917493 HGR917493:HGU917493 HQN917493:HQQ917493 IAJ917493:IAM917493 IKF917493:IKI917493 IUB917493:IUE917493 JDX917493:JEA917493 JNT917493:JNW917493 JXP917493:JXS917493 KHL917493:KHO917493 KRH917493:KRK917493 LBD917493:LBG917493 LKZ917493:LLC917493 LUV917493:LUY917493 MER917493:MEU917493 MON917493:MOQ917493 MYJ917493:MYM917493 NIF917493:NII917493 NSB917493:NSE917493 OBX917493:OCA917493 OLT917493:OLW917493 OVP917493:OVS917493 PFL917493:PFO917493 PPH917493:PPK917493 PZD917493:PZG917493 QIZ917493:QJC917493 QSV917493:QSY917493 RCR917493:RCU917493 RMN917493:RMQ917493 RWJ917493:RWM917493 SGF917493:SGI917493 SQB917493:SQE917493 SZX917493:TAA917493 TJT917493:TJW917493 TTP917493:TTS917493 UDL917493:UDO917493 UNH917493:UNK917493 UXD917493:UXG917493 VGZ917493:VHC917493 VQV917493:VQY917493 WAR917493:WAU917493 WKN917493:WKQ917493 WUJ917493:WUM917493" xr:uid="{66B5B723-262E-47E0-A8D6-E9817CA62E30}">
      <formula1>"○"</formula1>
    </dataValidation>
    <dataValidation type="list" allowBlank="1" showInputMessage="1" showErrorMessage="1" sqref="U65526:X65526 IG65526:IJ65526 SC65526:SF65526 ABY65526:ACB65526 ALU65526:ALX65526 AVQ65526:AVT65526 BFM65526:BFP65526 BPI65526:BPL65526 BZE65526:BZH65526 CJA65526:CJD65526 CSW65526:CSZ65526 DCS65526:DCV65526 DMO65526:DMR65526 DWK65526:DWN65526 EGG65526:EGJ65526 EQC65526:EQF65526 EZY65526:FAB65526 FJU65526:FJX65526 FTQ65526:FTT65526 GDM65526:GDP65526 GNI65526:GNL65526 GXE65526:GXH65526 HHA65526:HHD65526 HQW65526:HQZ65526 IAS65526:IAV65526 IKO65526:IKR65526 IUK65526:IUN65526 JEG65526:JEJ65526 JOC65526:JOF65526 JXY65526:JYB65526 KHU65526:KHX65526 KRQ65526:KRT65526 LBM65526:LBP65526 LLI65526:LLL65526 LVE65526:LVH65526 MFA65526:MFD65526 MOW65526:MOZ65526 MYS65526:MYV65526 NIO65526:NIR65526 NSK65526:NSN65526 OCG65526:OCJ65526 OMC65526:OMF65526 OVY65526:OWB65526 PFU65526:PFX65526 PPQ65526:PPT65526 PZM65526:PZP65526 QJI65526:QJL65526 QTE65526:QTH65526 RDA65526:RDD65526 RMW65526:RMZ65526 RWS65526:RWV65526 SGO65526:SGR65526 SQK65526:SQN65526 TAG65526:TAJ65526 TKC65526:TKF65526 TTY65526:TUB65526 UDU65526:UDX65526 UNQ65526:UNT65526 UXM65526:UXP65526 VHI65526:VHL65526 VRE65526:VRH65526 WBA65526:WBD65526 WKW65526:WKZ65526 WUS65526:WUV65526 U131062:X131062 IG131062:IJ131062 SC131062:SF131062 ABY131062:ACB131062 ALU131062:ALX131062 AVQ131062:AVT131062 BFM131062:BFP131062 BPI131062:BPL131062 BZE131062:BZH131062 CJA131062:CJD131062 CSW131062:CSZ131062 DCS131062:DCV131062 DMO131062:DMR131062 DWK131062:DWN131062 EGG131062:EGJ131062 EQC131062:EQF131062 EZY131062:FAB131062 FJU131062:FJX131062 FTQ131062:FTT131062 GDM131062:GDP131062 GNI131062:GNL131062 GXE131062:GXH131062 HHA131062:HHD131062 HQW131062:HQZ131062 IAS131062:IAV131062 IKO131062:IKR131062 IUK131062:IUN131062 JEG131062:JEJ131062 JOC131062:JOF131062 JXY131062:JYB131062 KHU131062:KHX131062 KRQ131062:KRT131062 LBM131062:LBP131062 LLI131062:LLL131062 LVE131062:LVH131062 MFA131062:MFD131062 MOW131062:MOZ131062 MYS131062:MYV131062 NIO131062:NIR131062 NSK131062:NSN131062 OCG131062:OCJ131062 OMC131062:OMF131062 OVY131062:OWB131062 PFU131062:PFX131062 PPQ131062:PPT131062 PZM131062:PZP131062 QJI131062:QJL131062 QTE131062:QTH131062 RDA131062:RDD131062 RMW131062:RMZ131062 RWS131062:RWV131062 SGO131062:SGR131062 SQK131062:SQN131062 TAG131062:TAJ131062 TKC131062:TKF131062 TTY131062:TUB131062 UDU131062:UDX131062 UNQ131062:UNT131062 UXM131062:UXP131062 VHI131062:VHL131062 VRE131062:VRH131062 WBA131062:WBD131062 WKW131062:WKZ131062 WUS131062:WUV131062 U196598:X196598 IG196598:IJ196598 SC196598:SF196598 ABY196598:ACB196598 ALU196598:ALX196598 AVQ196598:AVT196598 BFM196598:BFP196598 BPI196598:BPL196598 BZE196598:BZH196598 CJA196598:CJD196598 CSW196598:CSZ196598 DCS196598:DCV196598 DMO196598:DMR196598 DWK196598:DWN196598 EGG196598:EGJ196598 EQC196598:EQF196598 EZY196598:FAB196598 FJU196598:FJX196598 FTQ196598:FTT196598 GDM196598:GDP196598 GNI196598:GNL196598 GXE196598:GXH196598 HHA196598:HHD196598 HQW196598:HQZ196598 IAS196598:IAV196598 IKO196598:IKR196598 IUK196598:IUN196598 JEG196598:JEJ196598 JOC196598:JOF196598 JXY196598:JYB196598 KHU196598:KHX196598 KRQ196598:KRT196598 LBM196598:LBP196598 LLI196598:LLL196598 LVE196598:LVH196598 MFA196598:MFD196598 MOW196598:MOZ196598 MYS196598:MYV196598 NIO196598:NIR196598 NSK196598:NSN196598 OCG196598:OCJ196598 OMC196598:OMF196598 OVY196598:OWB196598 PFU196598:PFX196598 PPQ196598:PPT196598 PZM196598:PZP196598 QJI196598:QJL196598 QTE196598:QTH196598 RDA196598:RDD196598 RMW196598:RMZ196598 RWS196598:RWV196598 SGO196598:SGR196598 SQK196598:SQN196598 TAG196598:TAJ196598 TKC196598:TKF196598 TTY196598:TUB196598 UDU196598:UDX196598 UNQ196598:UNT196598 UXM196598:UXP196598 VHI196598:VHL196598 VRE196598:VRH196598 WBA196598:WBD196598 WKW196598:WKZ196598 WUS196598:WUV196598 U262134:X262134 IG262134:IJ262134 SC262134:SF262134 ABY262134:ACB262134 ALU262134:ALX262134 AVQ262134:AVT262134 BFM262134:BFP262134 BPI262134:BPL262134 BZE262134:BZH262134 CJA262134:CJD262134 CSW262134:CSZ262134 DCS262134:DCV262134 DMO262134:DMR262134 DWK262134:DWN262134 EGG262134:EGJ262134 EQC262134:EQF262134 EZY262134:FAB262134 FJU262134:FJX262134 FTQ262134:FTT262134 GDM262134:GDP262134 GNI262134:GNL262134 GXE262134:GXH262134 HHA262134:HHD262134 HQW262134:HQZ262134 IAS262134:IAV262134 IKO262134:IKR262134 IUK262134:IUN262134 JEG262134:JEJ262134 JOC262134:JOF262134 JXY262134:JYB262134 KHU262134:KHX262134 KRQ262134:KRT262134 LBM262134:LBP262134 LLI262134:LLL262134 LVE262134:LVH262134 MFA262134:MFD262134 MOW262134:MOZ262134 MYS262134:MYV262134 NIO262134:NIR262134 NSK262134:NSN262134 OCG262134:OCJ262134 OMC262134:OMF262134 OVY262134:OWB262134 PFU262134:PFX262134 PPQ262134:PPT262134 PZM262134:PZP262134 QJI262134:QJL262134 QTE262134:QTH262134 RDA262134:RDD262134 RMW262134:RMZ262134 RWS262134:RWV262134 SGO262134:SGR262134 SQK262134:SQN262134 TAG262134:TAJ262134 TKC262134:TKF262134 TTY262134:TUB262134 UDU262134:UDX262134 UNQ262134:UNT262134 UXM262134:UXP262134 VHI262134:VHL262134 VRE262134:VRH262134 WBA262134:WBD262134 WKW262134:WKZ262134 WUS262134:WUV262134 U327670:X327670 IG327670:IJ327670 SC327670:SF327670 ABY327670:ACB327670 ALU327670:ALX327670 AVQ327670:AVT327670 BFM327670:BFP327670 BPI327670:BPL327670 BZE327670:BZH327670 CJA327670:CJD327670 CSW327670:CSZ327670 DCS327670:DCV327670 DMO327670:DMR327670 DWK327670:DWN327670 EGG327670:EGJ327670 EQC327670:EQF327670 EZY327670:FAB327670 FJU327670:FJX327670 FTQ327670:FTT327670 GDM327670:GDP327670 GNI327670:GNL327670 GXE327670:GXH327670 HHA327670:HHD327670 HQW327670:HQZ327670 IAS327670:IAV327670 IKO327670:IKR327670 IUK327670:IUN327670 JEG327670:JEJ327670 JOC327670:JOF327670 JXY327670:JYB327670 KHU327670:KHX327670 KRQ327670:KRT327670 LBM327670:LBP327670 LLI327670:LLL327670 LVE327670:LVH327670 MFA327670:MFD327670 MOW327670:MOZ327670 MYS327670:MYV327670 NIO327670:NIR327670 NSK327670:NSN327670 OCG327670:OCJ327670 OMC327670:OMF327670 OVY327670:OWB327670 PFU327670:PFX327670 PPQ327670:PPT327670 PZM327670:PZP327670 QJI327670:QJL327670 QTE327670:QTH327670 RDA327670:RDD327670 RMW327670:RMZ327670 RWS327670:RWV327670 SGO327670:SGR327670 SQK327670:SQN327670 TAG327670:TAJ327670 TKC327670:TKF327670 TTY327670:TUB327670 UDU327670:UDX327670 UNQ327670:UNT327670 UXM327670:UXP327670 VHI327670:VHL327670 VRE327670:VRH327670 WBA327670:WBD327670 WKW327670:WKZ327670 WUS327670:WUV327670 U393206:X393206 IG393206:IJ393206 SC393206:SF393206 ABY393206:ACB393206 ALU393206:ALX393206 AVQ393206:AVT393206 BFM393206:BFP393206 BPI393206:BPL393206 BZE393206:BZH393206 CJA393206:CJD393206 CSW393206:CSZ393206 DCS393206:DCV393206 DMO393206:DMR393206 DWK393206:DWN393206 EGG393206:EGJ393206 EQC393206:EQF393206 EZY393206:FAB393206 FJU393206:FJX393206 FTQ393206:FTT393206 GDM393206:GDP393206 GNI393206:GNL393206 GXE393206:GXH393206 HHA393206:HHD393206 HQW393206:HQZ393206 IAS393206:IAV393206 IKO393206:IKR393206 IUK393206:IUN393206 JEG393206:JEJ393206 JOC393206:JOF393206 JXY393206:JYB393206 KHU393206:KHX393206 KRQ393206:KRT393206 LBM393206:LBP393206 LLI393206:LLL393206 LVE393206:LVH393206 MFA393206:MFD393206 MOW393206:MOZ393206 MYS393206:MYV393206 NIO393206:NIR393206 NSK393206:NSN393206 OCG393206:OCJ393206 OMC393206:OMF393206 OVY393206:OWB393206 PFU393206:PFX393206 PPQ393206:PPT393206 PZM393206:PZP393206 QJI393206:QJL393206 QTE393206:QTH393206 RDA393206:RDD393206 RMW393206:RMZ393206 RWS393206:RWV393206 SGO393206:SGR393206 SQK393206:SQN393206 TAG393206:TAJ393206 TKC393206:TKF393206 TTY393206:TUB393206 UDU393206:UDX393206 UNQ393206:UNT393206 UXM393206:UXP393206 VHI393206:VHL393206 VRE393206:VRH393206 WBA393206:WBD393206 WKW393206:WKZ393206 WUS393206:WUV393206 U458742:X458742 IG458742:IJ458742 SC458742:SF458742 ABY458742:ACB458742 ALU458742:ALX458742 AVQ458742:AVT458742 BFM458742:BFP458742 BPI458742:BPL458742 BZE458742:BZH458742 CJA458742:CJD458742 CSW458742:CSZ458742 DCS458742:DCV458742 DMO458742:DMR458742 DWK458742:DWN458742 EGG458742:EGJ458742 EQC458742:EQF458742 EZY458742:FAB458742 FJU458742:FJX458742 FTQ458742:FTT458742 GDM458742:GDP458742 GNI458742:GNL458742 GXE458742:GXH458742 HHA458742:HHD458742 HQW458742:HQZ458742 IAS458742:IAV458742 IKO458742:IKR458742 IUK458742:IUN458742 JEG458742:JEJ458742 JOC458742:JOF458742 JXY458742:JYB458742 KHU458742:KHX458742 KRQ458742:KRT458742 LBM458742:LBP458742 LLI458742:LLL458742 LVE458742:LVH458742 MFA458742:MFD458742 MOW458742:MOZ458742 MYS458742:MYV458742 NIO458742:NIR458742 NSK458742:NSN458742 OCG458742:OCJ458742 OMC458742:OMF458742 OVY458742:OWB458742 PFU458742:PFX458742 PPQ458742:PPT458742 PZM458742:PZP458742 QJI458742:QJL458742 QTE458742:QTH458742 RDA458742:RDD458742 RMW458742:RMZ458742 RWS458742:RWV458742 SGO458742:SGR458742 SQK458742:SQN458742 TAG458742:TAJ458742 TKC458742:TKF458742 TTY458742:TUB458742 UDU458742:UDX458742 UNQ458742:UNT458742 UXM458742:UXP458742 VHI458742:VHL458742 VRE458742:VRH458742 WBA458742:WBD458742 WKW458742:WKZ458742 WUS458742:WUV458742 U524278:X524278 IG524278:IJ524278 SC524278:SF524278 ABY524278:ACB524278 ALU524278:ALX524278 AVQ524278:AVT524278 BFM524278:BFP524278 BPI524278:BPL524278 BZE524278:BZH524278 CJA524278:CJD524278 CSW524278:CSZ524278 DCS524278:DCV524278 DMO524278:DMR524278 DWK524278:DWN524278 EGG524278:EGJ524278 EQC524278:EQF524278 EZY524278:FAB524278 FJU524278:FJX524278 FTQ524278:FTT524278 GDM524278:GDP524278 GNI524278:GNL524278 GXE524278:GXH524278 HHA524278:HHD524278 HQW524278:HQZ524278 IAS524278:IAV524278 IKO524278:IKR524278 IUK524278:IUN524278 JEG524278:JEJ524278 JOC524278:JOF524278 JXY524278:JYB524278 KHU524278:KHX524278 KRQ524278:KRT524278 LBM524278:LBP524278 LLI524278:LLL524278 LVE524278:LVH524278 MFA524278:MFD524278 MOW524278:MOZ524278 MYS524278:MYV524278 NIO524278:NIR524278 NSK524278:NSN524278 OCG524278:OCJ524278 OMC524278:OMF524278 OVY524278:OWB524278 PFU524278:PFX524278 PPQ524278:PPT524278 PZM524278:PZP524278 QJI524278:QJL524278 QTE524278:QTH524278 RDA524278:RDD524278 RMW524278:RMZ524278 RWS524278:RWV524278 SGO524278:SGR524278 SQK524278:SQN524278 TAG524278:TAJ524278 TKC524278:TKF524278 TTY524278:TUB524278 UDU524278:UDX524278 UNQ524278:UNT524278 UXM524278:UXP524278 VHI524278:VHL524278 VRE524278:VRH524278 WBA524278:WBD524278 WKW524278:WKZ524278 WUS524278:WUV524278 U589814:X589814 IG589814:IJ589814 SC589814:SF589814 ABY589814:ACB589814 ALU589814:ALX589814 AVQ589814:AVT589814 BFM589814:BFP589814 BPI589814:BPL589814 BZE589814:BZH589814 CJA589814:CJD589814 CSW589814:CSZ589814 DCS589814:DCV589814 DMO589814:DMR589814 DWK589814:DWN589814 EGG589814:EGJ589814 EQC589814:EQF589814 EZY589814:FAB589814 FJU589814:FJX589814 FTQ589814:FTT589814 GDM589814:GDP589814 GNI589814:GNL589814 GXE589814:GXH589814 HHA589814:HHD589814 HQW589814:HQZ589814 IAS589814:IAV589814 IKO589814:IKR589814 IUK589814:IUN589814 JEG589814:JEJ589814 JOC589814:JOF589814 JXY589814:JYB589814 KHU589814:KHX589814 KRQ589814:KRT589814 LBM589814:LBP589814 LLI589814:LLL589814 LVE589814:LVH589814 MFA589814:MFD589814 MOW589814:MOZ589814 MYS589814:MYV589814 NIO589814:NIR589814 NSK589814:NSN589814 OCG589814:OCJ589814 OMC589814:OMF589814 OVY589814:OWB589814 PFU589814:PFX589814 PPQ589814:PPT589814 PZM589814:PZP589814 QJI589814:QJL589814 QTE589814:QTH589814 RDA589814:RDD589814 RMW589814:RMZ589814 RWS589814:RWV589814 SGO589814:SGR589814 SQK589814:SQN589814 TAG589814:TAJ589814 TKC589814:TKF589814 TTY589814:TUB589814 UDU589814:UDX589814 UNQ589814:UNT589814 UXM589814:UXP589814 VHI589814:VHL589814 VRE589814:VRH589814 WBA589814:WBD589814 WKW589814:WKZ589814 WUS589814:WUV589814 U655350:X655350 IG655350:IJ655350 SC655350:SF655350 ABY655350:ACB655350 ALU655350:ALX655350 AVQ655350:AVT655350 BFM655350:BFP655350 BPI655350:BPL655350 BZE655350:BZH655350 CJA655350:CJD655350 CSW655350:CSZ655350 DCS655350:DCV655350 DMO655350:DMR655350 DWK655350:DWN655350 EGG655350:EGJ655350 EQC655350:EQF655350 EZY655350:FAB655350 FJU655350:FJX655350 FTQ655350:FTT655350 GDM655350:GDP655350 GNI655350:GNL655350 GXE655350:GXH655350 HHA655350:HHD655350 HQW655350:HQZ655350 IAS655350:IAV655350 IKO655350:IKR655350 IUK655350:IUN655350 JEG655350:JEJ655350 JOC655350:JOF655350 JXY655350:JYB655350 KHU655350:KHX655350 KRQ655350:KRT655350 LBM655350:LBP655350 LLI655350:LLL655350 LVE655350:LVH655350 MFA655350:MFD655350 MOW655350:MOZ655350 MYS655350:MYV655350 NIO655350:NIR655350 NSK655350:NSN655350 OCG655350:OCJ655350 OMC655350:OMF655350 OVY655350:OWB655350 PFU655350:PFX655350 PPQ655350:PPT655350 PZM655350:PZP655350 QJI655350:QJL655350 QTE655350:QTH655350 RDA655350:RDD655350 RMW655350:RMZ655350 RWS655350:RWV655350 SGO655350:SGR655350 SQK655350:SQN655350 TAG655350:TAJ655350 TKC655350:TKF655350 TTY655350:TUB655350 UDU655350:UDX655350 UNQ655350:UNT655350 UXM655350:UXP655350 VHI655350:VHL655350 VRE655350:VRH655350 WBA655350:WBD655350 WKW655350:WKZ655350 WUS655350:WUV655350 U720886:X720886 IG720886:IJ720886 SC720886:SF720886 ABY720886:ACB720886 ALU720886:ALX720886 AVQ720886:AVT720886 BFM720886:BFP720886 BPI720886:BPL720886 BZE720886:BZH720886 CJA720886:CJD720886 CSW720886:CSZ720886 DCS720886:DCV720886 DMO720886:DMR720886 DWK720886:DWN720886 EGG720886:EGJ720886 EQC720886:EQF720886 EZY720886:FAB720886 FJU720886:FJX720886 FTQ720886:FTT720886 GDM720886:GDP720886 GNI720886:GNL720886 GXE720886:GXH720886 HHA720886:HHD720886 HQW720886:HQZ720886 IAS720886:IAV720886 IKO720886:IKR720886 IUK720886:IUN720886 JEG720886:JEJ720886 JOC720886:JOF720886 JXY720886:JYB720886 KHU720886:KHX720886 KRQ720886:KRT720886 LBM720886:LBP720886 LLI720886:LLL720886 LVE720886:LVH720886 MFA720886:MFD720886 MOW720886:MOZ720886 MYS720886:MYV720886 NIO720886:NIR720886 NSK720886:NSN720886 OCG720886:OCJ720886 OMC720886:OMF720886 OVY720886:OWB720886 PFU720886:PFX720886 PPQ720886:PPT720886 PZM720886:PZP720886 QJI720886:QJL720886 QTE720886:QTH720886 RDA720886:RDD720886 RMW720886:RMZ720886 RWS720886:RWV720886 SGO720886:SGR720886 SQK720886:SQN720886 TAG720886:TAJ720886 TKC720886:TKF720886 TTY720886:TUB720886 UDU720886:UDX720886 UNQ720886:UNT720886 UXM720886:UXP720886 VHI720886:VHL720886 VRE720886:VRH720886 WBA720886:WBD720886 WKW720886:WKZ720886 WUS720886:WUV720886 U786422:X786422 IG786422:IJ786422 SC786422:SF786422 ABY786422:ACB786422 ALU786422:ALX786422 AVQ786422:AVT786422 BFM786422:BFP786422 BPI786422:BPL786422 BZE786422:BZH786422 CJA786422:CJD786422 CSW786422:CSZ786422 DCS786422:DCV786422 DMO786422:DMR786422 DWK786422:DWN786422 EGG786422:EGJ786422 EQC786422:EQF786422 EZY786422:FAB786422 FJU786422:FJX786422 FTQ786422:FTT786422 GDM786422:GDP786422 GNI786422:GNL786422 GXE786422:GXH786422 HHA786422:HHD786422 HQW786422:HQZ786422 IAS786422:IAV786422 IKO786422:IKR786422 IUK786422:IUN786422 JEG786422:JEJ786422 JOC786422:JOF786422 JXY786422:JYB786422 KHU786422:KHX786422 KRQ786422:KRT786422 LBM786422:LBP786422 LLI786422:LLL786422 LVE786422:LVH786422 MFA786422:MFD786422 MOW786422:MOZ786422 MYS786422:MYV786422 NIO786422:NIR786422 NSK786422:NSN786422 OCG786422:OCJ786422 OMC786422:OMF786422 OVY786422:OWB786422 PFU786422:PFX786422 PPQ786422:PPT786422 PZM786422:PZP786422 QJI786422:QJL786422 QTE786422:QTH786422 RDA786422:RDD786422 RMW786422:RMZ786422 RWS786422:RWV786422 SGO786422:SGR786422 SQK786422:SQN786422 TAG786422:TAJ786422 TKC786422:TKF786422 TTY786422:TUB786422 UDU786422:UDX786422 UNQ786422:UNT786422 UXM786422:UXP786422 VHI786422:VHL786422 VRE786422:VRH786422 WBA786422:WBD786422 WKW786422:WKZ786422 WUS786422:WUV786422 U851958:X851958 IG851958:IJ851958 SC851958:SF851958 ABY851958:ACB851958 ALU851958:ALX851958 AVQ851958:AVT851958 BFM851958:BFP851958 BPI851958:BPL851958 BZE851958:BZH851958 CJA851958:CJD851958 CSW851958:CSZ851958 DCS851958:DCV851958 DMO851958:DMR851958 DWK851958:DWN851958 EGG851958:EGJ851958 EQC851958:EQF851958 EZY851958:FAB851958 FJU851958:FJX851958 FTQ851958:FTT851958 GDM851958:GDP851958 GNI851958:GNL851958 GXE851958:GXH851958 HHA851958:HHD851958 HQW851958:HQZ851958 IAS851958:IAV851958 IKO851958:IKR851958 IUK851958:IUN851958 JEG851958:JEJ851958 JOC851958:JOF851958 JXY851958:JYB851958 KHU851958:KHX851958 KRQ851958:KRT851958 LBM851958:LBP851958 LLI851958:LLL851958 LVE851958:LVH851958 MFA851958:MFD851958 MOW851958:MOZ851958 MYS851958:MYV851958 NIO851958:NIR851958 NSK851958:NSN851958 OCG851958:OCJ851958 OMC851958:OMF851958 OVY851958:OWB851958 PFU851958:PFX851958 PPQ851958:PPT851958 PZM851958:PZP851958 QJI851958:QJL851958 QTE851958:QTH851958 RDA851958:RDD851958 RMW851958:RMZ851958 RWS851958:RWV851958 SGO851958:SGR851958 SQK851958:SQN851958 TAG851958:TAJ851958 TKC851958:TKF851958 TTY851958:TUB851958 UDU851958:UDX851958 UNQ851958:UNT851958 UXM851958:UXP851958 VHI851958:VHL851958 VRE851958:VRH851958 WBA851958:WBD851958 WKW851958:WKZ851958 WUS851958:WUV851958 U917494:X917494 IG917494:IJ917494 SC917494:SF917494 ABY917494:ACB917494 ALU917494:ALX917494 AVQ917494:AVT917494 BFM917494:BFP917494 BPI917494:BPL917494 BZE917494:BZH917494 CJA917494:CJD917494 CSW917494:CSZ917494 DCS917494:DCV917494 DMO917494:DMR917494 DWK917494:DWN917494 EGG917494:EGJ917494 EQC917494:EQF917494 EZY917494:FAB917494 FJU917494:FJX917494 FTQ917494:FTT917494 GDM917494:GDP917494 GNI917494:GNL917494 GXE917494:GXH917494 HHA917494:HHD917494 HQW917494:HQZ917494 IAS917494:IAV917494 IKO917494:IKR917494 IUK917494:IUN917494 JEG917494:JEJ917494 JOC917494:JOF917494 JXY917494:JYB917494 KHU917494:KHX917494 KRQ917494:KRT917494 LBM917494:LBP917494 LLI917494:LLL917494 LVE917494:LVH917494 MFA917494:MFD917494 MOW917494:MOZ917494 MYS917494:MYV917494 NIO917494:NIR917494 NSK917494:NSN917494 OCG917494:OCJ917494 OMC917494:OMF917494 OVY917494:OWB917494 PFU917494:PFX917494 PPQ917494:PPT917494 PZM917494:PZP917494 QJI917494:QJL917494 QTE917494:QTH917494 RDA917494:RDD917494 RMW917494:RMZ917494 RWS917494:RWV917494 SGO917494:SGR917494 SQK917494:SQN917494 TAG917494:TAJ917494 TKC917494:TKF917494 TTY917494:TUB917494 UDU917494:UDX917494 UNQ917494:UNT917494 UXM917494:UXP917494 VHI917494:VHL917494 VRE917494:VRH917494 WBA917494:WBD917494 WKW917494:WKZ917494 WUS917494:WUV917494 U983030:X983030 IG983030:IJ983030 SC983030:SF983030 ABY983030:ACB983030 ALU983030:ALX983030 AVQ983030:AVT983030 BFM983030:BFP983030 BPI983030:BPL983030 BZE983030:BZH983030 CJA983030:CJD983030 CSW983030:CSZ983030 DCS983030:DCV983030 DMO983030:DMR983030 DWK983030:DWN983030 EGG983030:EGJ983030 EQC983030:EQF983030 EZY983030:FAB983030 FJU983030:FJX983030 FTQ983030:FTT983030 GDM983030:GDP983030 GNI983030:GNL983030 GXE983030:GXH983030 HHA983030:HHD983030 HQW983030:HQZ983030 IAS983030:IAV983030 IKO983030:IKR983030 IUK983030:IUN983030 JEG983030:JEJ983030 JOC983030:JOF983030 JXY983030:JYB983030 KHU983030:KHX983030 KRQ983030:KRT983030 LBM983030:LBP983030 LLI983030:LLL983030 LVE983030:LVH983030 MFA983030:MFD983030 MOW983030:MOZ983030 MYS983030:MYV983030 NIO983030:NIR983030 NSK983030:NSN983030 OCG983030:OCJ983030 OMC983030:OMF983030 OVY983030:OWB983030 PFU983030:PFX983030 PPQ983030:PPT983030 PZM983030:PZP983030 QJI983030:QJL983030 QTE983030:QTH983030 RDA983030:RDD983030 RMW983030:RMZ983030 RWS983030:RWV983030 SGO983030:SGR983030 SQK983030:SQN983030 TAG983030:TAJ983030 TKC983030:TKF983030 TTY983030:TUB983030 UDU983030:UDX983030 UNQ983030:UNT983030 UXM983030:UXP983030 VHI983030:VHL983030 VRE983030:VRH983030 WBA983030:WBD983030 WKW983030:WKZ983030 WUS983030:WUV983030 IB983029:IE983029 RX983029:SA983029 ABT983029:ABW983029 ALP983029:ALS983029 AVL983029:AVO983029 BFH983029:BFK983029 BPD983029:BPG983029 BYZ983029:BZC983029 CIV983029:CIY983029 CSR983029:CSU983029 DCN983029:DCQ983029 DMJ983029:DMM983029 DWF983029:DWI983029 EGB983029:EGE983029 EPX983029:EQA983029 EZT983029:EZW983029 FJP983029:FJS983029 FTL983029:FTO983029 GDH983029:GDK983029 GND983029:GNG983029 GWZ983029:GXC983029 HGV983029:HGY983029 HQR983029:HQU983029 IAN983029:IAQ983029 IKJ983029:IKM983029 IUF983029:IUI983029 JEB983029:JEE983029 JNX983029:JOA983029 JXT983029:JXW983029 KHP983029:KHS983029 KRL983029:KRO983029 LBH983029:LBK983029 LLD983029:LLG983029 LUZ983029:LVC983029 MEV983029:MEY983029 MOR983029:MOU983029 MYN983029:MYQ983029 NIJ983029:NIM983029 NSF983029:NSI983029 OCB983029:OCE983029 OLX983029:OMA983029 OVT983029:OVW983029 PFP983029:PFS983029 PPL983029:PPO983029 PZH983029:PZK983029 QJD983029:QJG983029 QSZ983029:QTC983029 RCV983029:RCY983029 RMR983029:RMU983029 RWN983029:RWQ983029 SGJ983029:SGM983029 SQF983029:SQI983029 TAB983029:TAE983029 TJX983029:TKA983029 TTT983029:TTW983029 UDP983029:UDS983029 UNL983029:UNO983029 UXH983029:UXK983029 VHD983029:VHG983029 VQZ983029:VRC983029 WAV983029:WAY983029 WKR983029:WKU983029 WUN983029:WUQ983029 IB65525:IE65525 RX65525:SA65525 ABT65525:ABW65525 ALP65525:ALS65525 AVL65525:AVO65525 BFH65525:BFK65525 BPD65525:BPG65525 BYZ65525:BZC65525 CIV65525:CIY65525 CSR65525:CSU65525 DCN65525:DCQ65525 DMJ65525:DMM65525 DWF65525:DWI65525 EGB65525:EGE65525 EPX65525:EQA65525 EZT65525:EZW65525 FJP65525:FJS65525 FTL65525:FTO65525 GDH65525:GDK65525 GND65525:GNG65525 GWZ65525:GXC65525 HGV65525:HGY65525 HQR65525:HQU65525 IAN65525:IAQ65525 IKJ65525:IKM65525 IUF65525:IUI65525 JEB65525:JEE65525 JNX65525:JOA65525 JXT65525:JXW65525 KHP65525:KHS65525 KRL65525:KRO65525 LBH65525:LBK65525 LLD65525:LLG65525 LUZ65525:LVC65525 MEV65525:MEY65525 MOR65525:MOU65525 MYN65525:MYQ65525 NIJ65525:NIM65525 NSF65525:NSI65525 OCB65525:OCE65525 OLX65525:OMA65525 OVT65525:OVW65525 PFP65525:PFS65525 PPL65525:PPO65525 PZH65525:PZK65525 QJD65525:QJG65525 QSZ65525:QTC65525 RCV65525:RCY65525 RMR65525:RMU65525 RWN65525:RWQ65525 SGJ65525:SGM65525 SQF65525:SQI65525 TAB65525:TAE65525 TJX65525:TKA65525 TTT65525:TTW65525 UDP65525:UDS65525 UNL65525:UNO65525 UXH65525:UXK65525 VHD65525:VHG65525 VQZ65525:VRC65525 WAV65525:WAY65525 WKR65525:WKU65525 WUN65525:WUQ65525 IB131061:IE131061 RX131061:SA131061 ABT131061:ABW131061 ALP131061:ALS131061 AVL131061:AVO131061 BFH131061:BFK131061 BPD131061:BPG131061 BYZ131061:BZC131061 CIV131061:CIY131061 CSR131061:CSU131061 DCN131061:DCQ131061 DMJ131061:DMM131061 DWF131061:DWI131061 EGB131061:EGE131061 EPX131061:EQA131061 EZT131061:EZW131061 FJP131061:FJS131061 FTL131061:FTO131061 GDH131061:GDK131061 GND131061:GNG131061 GWZ131061:GXC131061 HGV131061:HGY131061 HQR131061:HQU131061 IAN131061:IAQ131061 IKJ131061:IKM131061 IUF131061:IUI131061 JEB131061:JEE131061 JNX131061:JOA131061 JXT131061:JXW131061 KHP131061:KHS131061 KRL131061:KRO131061 LBH131061:LBK131061 LLD131061:LLG131061 LUZ131061:LVC131061 MEV131061:MEY131061 MOR131061:MOU131061 MYN131061:MYQ131061 NIJ131061:NIM131061 NSF131061:NSI131061 OCB131061:OCE131061 OLX131061:OMA131061 OVT131061:OVW131061 PFP131061:PFS131061 PPL131061:PPO131061 PZH131061:PZK131061 QJD131061:QJG131061 QSZ131061:QTC131061 RCV131061:RCY131061 RMR131061:RMU131061 RWN131061:RWQ131061 SGJ131061:SGM131061 SQF131061:SQI131061 TAB131061:TAE131061 TJX131061:TKA131061 TTT131061:TTW131061 UDP131061:UDS131061 UNL131061:UNO131061 UXH131061:UXK131061 VHD131061:VHG131061 VQZ131061:VRC131061 WAV131061:WAY131061 WKR131061:WKU131061 WUN131061:WUQ131061 IB196597:IE196597 RX196597:SA196597 ABT196597:ABW196597 ALP196597:ALS196597 AVL196597:AVO196597 BFH196597:BFK196597 BPD196597:BPG196597 BYZ196597:BZC196597 CIV196597:CIY196597 CSR196597:CSU196597 DCN196597:DCQ196597 DMJ196597:DMM196597 DWF196597:DWI196597 EGB196597:EGE196597 EPX196597:EQA196597 EZT196597:EZW196597 FJP196597:FJS196597 FTL196597:FTO196597 GDH196597:GDK196597 GND196597:GNG196597 GWZ196597:GXC196597 HGV196597:HGY196597 HQR196597:HQU196597 IAN196597:IAQ196597 IKJ196597:IKM196597 IUF196597:IUI196597 JEB196597:JEE196597 JNX196597:JOA196597 JXT196597:JXW196597 KHP196597:KHS196597 KRL196597:KRO196597 LBH196597:LBK196597 LLD196597:LLG196597 LUZ196597:LVC196597 MEV196597:MEY196597 MOR196597:MOU196597 MYN196597:MYQ196597 NIJ196597:NIM196597 NSF196597:NSI196597 OCB196597:OCE196597 OLX196597:OMA196597 OVT196597:OVW196597 PFP196597:PFS196597 PPL196597:PPO196597 PZH196597:PZK196597 QJD196597:QJG196597 QSZ196597:QTC196597 RCV196597:RCY196597 RMR196597:RMU196597 RWN196597:RWQ196597 SGJ196597:SGM196597 SQF196597:SQI196597 TAB196597:TAE196597 TJX196597:TKA196597 TTT196597:TTW196597 UDP196597:UDS196597 UNL196597:UNO196597 UXH196597:UXK196597 VHD196597:VHG196597 VQZ196597:VRC196597 WAV196597:WAY196597 WKR196597:WKU196597 WUN196597:WUQ196597 IB262133:IE262133 RX262133:SA262133 ABT262133:ABW262133 ALP262133:ALS262133 AVL262133:AVO262133 BFH262133:BFK262133 BPD262133:BPG262133 BYZ262133:BZC262133 CIV262133:CIY262133 CSR262133:CSU262133 DCN262133:DCQ262133 DMJ262133:DMM262133 DWF262133:DWI262133 EGB262133:EGE262133 EPX262133:EQA262133 EZT262133:EZW262133 FJP262133:FJS262133 FTL262133:FTO262133 GDH262133:GDK262133 GND262133:GNG262133 GWZ262133:GXC262133 HGV262133:HGY262133 HQR262133:HQU262133 IAN262133:IAQ262133 IKJ262133:IKM262133 IUF262133:IUI262133 JEB262133:JEE262133 JNX262133:JOA262133 JXT262133:JXW262133 KHP262133:KHS262133 KRL262133:KRO262133 LBH262133:LBK262133 LLD262133:LLG262133 LUZ262133:LVC262133 MEV262133:MEY262133 MOR262133:MOU262133 MYN262133:MYQ262133 NIJ262133:NIM262133 NSF262133:NSI262133 OCB262133:OCE262133 OLX262133:OMA262133 OVT262133:OVW262133 PFP262133:PFS262133 PPL262133:PPO262133 PZH262133:PZK262133 QJD262133:QJG262133 QSZ262133:QTC262133 RCV262133:RCY262133 RMR262133:RMU262133 RWN262133:RWQ262133 SGJ262133:SGM262133 SQF262133:SQI262133 TAB262133:TAE262133 TJX262133:TKA262133 TTT262133:TTW262133 UDP262133:UDS262133 UNL262133:UNO262133 UXH262133:UXK262133 VHD262133:VHG262133 VQZ262133:VRC262133 WAV262133:WAY262133 WKR262133:WKU262133 WUN262133:WUQ262133 IB327669:IE327669 RX327669:SA327669 ABT327669:ABW327669 ALP327669:ALS327669 AVL327669:AVO327669 BFH327669:BFK327669 BPD327669:BPG327669 BYZ327669:BZC327669 CIV327669:CIY327669 CSR327669:CSU327669 DCN327669:DCQ327669 DMJ327669:DMM327669 DWF327669:DWI327669 EGB327669:EGE327669 EPX327669:EQA327669 EZT327669:EZW327669 FJP327669:FJS327669 FTL327669:FTO327669 GDH327669:GDK327669 GND327669:GNG327669 GWZ327669:GXC327669 HGV327669:HGY327669 HQR327669:HQU327669 IAN327669:IAQ327669 IKJ327669:IKM327669 IUF327669:IUI327669 JEB327669:JEE327669 JNX327669:JOA327669 JXT327669:JXW327669 KHP327669:KHS327669 KRL327669:KRO327669 LBH327669:LBK327669 LLD327669:LLG327669 LUZ327669:LVC327669 MEV327669:MEY327669 MOR327669:MOU327669 MYN327669:MYQ327669 NIJ327669:NIM327669 NSF327669:NSI327669 OCB327669:OCE327669 OLX327669:OMA327669 OVT327669:OVW327669 PFP327669:PFS327669 PPL327669:PPO327669 PZH327669:PZK327669 QJD327669:QJG327669 QSZ327669:QTC327669 RCV327669:RCY327669 RMR327669:RMU327669 RWN327669:RWQ327669 SGJ327669:SGM327669 SQF327669:SQI327669 TAB327669:TAE327669 TJX327669:TKA327669 TTT327669:TTW327669 UDP327669:UDS327669 UNL327669:UNO327669 UXH327669:UXK327669 VHD327669:VHG327669 VQZ327669:VRC327669 WAV327669:WAY327669 WKR327669:WKU327669 WUN327669:WUQ327669 IB393205:IE393205 RX393205:SA393205 ABT393205:ABW393205 ALP393205:ALS393205 AVL393205:AVO393205 BFH393205:BFK393205 BPD393205:BPG393205 BYZ393205:BZC393205 CIV393205:CIY393205 CSR393205:CSU393205 DCN393205:DCQ393205 DMJ393205:DMM393205 DWF393205:DWI393205 EGB393205:EGE393205 EPX393205:EQA393205 EZT393205:EZW393205 FJP393205:FJS393205 FTL393205:FTO393205 GDH393205:GDK393205 GND393205:GNG393205 GWZ393205:GXC393205 HGV393205:HGY393205 HQR393205:HQU393205 IAN393205:IAQ393205 IKJ393205:IKM393205 IUF393205:IUI393205 JEB393205:JEE393205 JNX393205:JOA393205 JXT393205:JXW393205 KHP393205:KHS393205 KRL393205:KRO393205 LBH393205:LBK393205 LLD393205:LLG393205 LUZ393205:LVC393205 MEV393205:MEY393205 MOR393205:MOU393205 MYN393205:MYQ393205 NIJ393205:NIM393205 NSF393205:NSI393205 OCB393205:OCE393205 OLX393205:OMA393205 OVT393205:OVW393205 PFP393205:PFS393205 PPL393205:PPO393205 PZH393205:PZK393205 QJD393205:QJG393205 QSZ393205:QTC393205 RCV393205:RCY393205 RMR393205:RMU393205 RWN393205:RWQ393205 SGJ393205:SGM393205 SQF393205:SQI393205 TAB393205:TAE393205 TJX393205:TKA393205 TTT393205:TTW393205 UDP393205:UDS393205 UNL393205:UNO393205 UXH393205:UXK393205 VHD393205:VHG393205 VQZ393205:VRC393205 WAV393205:WAY393205 WKR393205:WKU393205 WUN393205:WUQ393205 IB458741:IE458741 RX458741:SA458741 ABT458741:ABW458741 ALP458741:ALS458741 AVL458741:AVO458741 BFH458741:BFK458741 BPD458741:BPG458741 BYZ458741:BZC458741 CIV458741:CIY458741 CSR458741:CSU458741 DCN458741:DCQ458741 DMJ458741:DMM458741 DWF458741:DWI458741 EGB458741:EGE458741 EPX458741:EQA458741 EZT458741:EZW458741 FJP458741:FJS458741 FTL458741:FTO458741 GDH458741:GDK458741 GND458741:GNG458741 GWZ458741:GXC458741 HGV458741:HGY458741 HQR458741:HQU458741 IAN458741:IAQ458741 IKJ458741:IKM458741 IUF458741:IUI458741 JEB458741:JEE458741 JNX458741:JOA458741 JXT458741:JXW458741 KHP458741:KHS458741 KRL458741:KRO458741 LBH458741:LBK458741 LLD458741:LLG458741 LUZ458741:LVC458741 MEV458741:MEY458741 MOR458741:MOU458741 MYN458741:MYQ458741 NIJ458741:NIM458741 NSF458741:NSI458741 OCB458741:OCE458741 OLX458741:OMA458741 OVT458741:OVW458741 PFP458741:PFS458741 PPL458741:PPO458741 PZH458741:PZK458741 QJD458741:QJG458741 QSZ458741:QTC458741 RCV458741:RCY458741 RMR458741:RMU458741 RWN458741:RWQ458741 SGJ458741:SGM458741 SQF458741:SQI458741 TAB458741:TAE458741 TJX458741:TKA458741 TTT458741:TTW458741 UDP458741:UDS458741 UNL458741:UNO458741 UXH458741:UXK458741 VHD458741:VHG458741 VQZ458741:VRC458741 WAV458741:WAY458741 WKR458741:WKU458741 WUN458741:WUQ458741 IB524277:IE524277 RX524277:SA524277 ABT524277:ABW524277 ALP524277:ALS524277 AVL524277:AVO524277 BFH524277:BFK524277 BPD524277:BPG524277 BYZ524277:BZC524277 CIV524277:CIY524277 CSR524277:CSU524277 DCN524277:DCQ524277 DMJ524277:DMM524277 DWF524277:DWI524277 EGB524277:EGE524277 EPX524277:EQA524277 EZT524277:EZW524277 FJP524277:FJS524277 FTL524277:FTO524277 GDH524277:GDK524277 GND524277:GNG524277 GWZ524277:GXC524277 HGV524277:HGY524277 HQR524277:HQU524277 IAN524277:IAQ524277 IKJ524277:IKM524277 IUF524277:IUI524277 JEB524277:JEE524277 JNX524277:JOA524277 JXT524277:JXW524277 KHP524277:KHS524277 KRL524277:KRO524277 LBH524277:LBK524277 LLD524277:LLG524277 LUZ524277:LVC524277 MEV524277:MEY524277 MOR524277:MOU524277 MYN524277:MYQ524277 NIJ524277:NIM524277 NSF524277:NSI524277 OCB524277:OCE524277 OLX524277:OMA524277 OVT524277:OVW524277 PFP524277:PFS524277 PPL524277:PPO524277 PZH524277:PZK524277 QJD524277:QJG524277 QSZ524277:QTC524277 RCV524277:RCY524277 RMR524277:RMU524277 RWN524277:RWQ524277 SGJ524277:SGM524277 SQF524277:SQI524277 TAB524277:TAE524277 TJX524277:TKA524277 TTT524277:TTW524277 UDP524277:UDS524277 UNL524277:UNO524277 UXH524277:UXK524277 VHD524277:VHG524277 VQZ524277:VRC524277 WAV524277:WAY524277 WKR524277:WKU524277 WUN524277:WUQ524277 IB589813:IE589813 RX589813:SA589813 ABT589813:ABW589813 ALP589813:ALS589813 AVL589813:AVO589813 BFH589813:BFK589813 BPD589813:BPG589813 BYZ589813:BZC589813 CIV589813:CIY589813 CSR589813:CSU589813 DCN589813:DCQ589813 DMJ589813:DMM589813 DWF589813:DWI589813 EGB589813:EGE589813 EPX589813:EQA589813 EZT589813:EZW589813 FJP589813:FJS589813 FTL589813:FTO589813 GDH589813:GDK589813 GND589813:GNG589813 GWZ589813:GXC589813 HGV589813:HGY589813 HQR589813:HQU589813 IAN589813:IAQ589813 IKJ589813:IKM589813 IUF589813:IUI589813 JEB589813:JEE589813 JNX589813:JOA589813 JXT589813:JXW589813 KHP589813:KHS589813 KRL589813:KRO589813 LBH589813:LBK589813 LLD589813:LLG589813 LUZ589813:LVC589813 MEV589813:MEY589813 MOR589813:MOU589813 MYN589813:MYQ589813 NIJ589813:NIM589813 NSF589813:NSI589813 OCB589813:OCE589813 OLX589813:OMA589813 OVT589813:OVW589813 PFP589813:PFS589813 PPL589813:PPO589813 PZH589813:PZK589813 QJD589813:QJG589813 QSZ589813:QTC589813 RCV589813:RCY589813 RMR589813:RMU589813 RWN589813:RWQ589813 SGJ589813:SGM589813 SQF589813:SQI589813 TAB589813:TAE589813 TJX589813:TKA589813 TTT589813:TTW589813 UDP589813:UDS589813 UNL589813:UNO589813 UXH589813:UXK589813 VHD589813:VHG589813 VQZ589813:VRC589813 WAV589813:WAY589813 WKR589813:WKU589813 WUN589813:WUQ589813 IB655349:IE655349 RX655349:SA655349 ABT655349:ABW655349 ALP655349:ALS655349 AVL655349:AVO655349 BFH655349:BFK655349 BPD655349:BPG655349 BYZ655349:BZC655349 CIV655349:CIY655349 CSR655349:CSU655349 DCN655349:DCQ655349 DMJ655349:DMM655349 DWF655349:DWI655349 EGB655349:EGE655349 EPX655349:EQA655349 EZT655349:EZW655349 FJP655349:FJS655349 FTL655349:FTO655349 GDH655349:GDK655349 GND655349:GNG655349 GWZ655349:GXC655349 HGV655349:HGY655349 HQR655349:HQU655349 IAN655349:IAQ655349 IKJ655349:IKM655349 IUF655349:IUI655349 JEB655349:JEE655349 JNX655349:JOA655349 JXT655349:JXW655349 KHP655349:KHS655349 KRL655349:KRO655349 LBH655349:LBK655349 LLD655349:LLG655349 LUZ655349:LVC655349 MEV655349:MEY655349 MOR655349:MOU655349 MYN655349:MYQ655349 NIJ655349:NIM655349 NSF655349:NSI655349 OCB655349:OCE655349 OLX655349:OMA655349 OVT655349:OVW655349 PFP655349:PFS655349 PPL655349:PPO655349 PZH655349:PZK655349 QJD655349:QJG655349 QSZ655349:QTC655349 RCV655349:RCY655349 RMR655349:RMU655349 RWN655349:RWQ655349 SGJ655349:SGM655349 SQF655349:SQI655349 TAB655349:TAE655349 TJX655349:TKA655349 TTT655349:TTW655349 UDP655349:UDS655349 UNL655349:UNO655349 UXH655349:UXK655349 VHD655349:VHG655349 VQZ655349:VRC655349 WAV655349:WAY655349 WKR655349:WKU655349 WUN655349:WUQ655349 IB720885:IE720885 RX720885:SA720885 ABT720885:ABW720885 ALP720885:ALS720885 AVL720885:AVO720885 BFH720885:BFK720885 BPD720885:BPG720885 BYZ720885:BZC720885 CIV720885:CIY720885 CSR720885:CSU720885 DCN720885:DCQ720885 DMJ720885:DMM720885 DWF720885:DWI720885 EGB720885:EGE720885 EPX720885:EQA720885 EZT720885:EZW720885 FJP720885:FJS720885 FTL720885:FTO720885 GDH720885:GDK720885 GND720885:GNG720885 GWZ720885:GXC720885 HGV720885:HGY720885 HQR720885:HQU720885 IAN720885:IAQ720885 IKJ720885:IKM720885 IUF720885:IUI720885 JEB720885:JEE720885 JNX720885:JOA720885 JXT720885:JXW720885 KHP720885:KHS720885 KRL720885:KRO720885 LBH720885:LBK720885 LLD720885:LLG720885 LUZ720885:LVC720885 MEV720885:MEY720885 MOR720885:MOU720885 MYN720885:MYQ720885 NIJ720885:NIM720885 NSF720885:NSI720885 OCB720885:OCE720885 OLX720885:OMA720885 OVT720885:OVW720885 PFP720885:PFS720885 PPL720885:PPO720885 PZH720885:PZK720885 QJD720885:QJG720885 QSZ720885:QTC720885 RCV720885:RCY720885 RMR720885:RMU720885 RWN720885:RWQ720885 SGJ720885:SGM720885 SQF720885:SQI720885 TAB720885:TAE720885 TJX720885:TKA720885 TTT720885:TTW720885 UDP720885:UDS720885 UNL720885:UNO720885 UXH720885:UXK720885 VHD720885:VHG720885 VQZ720885:VRC720885 WAV720885:WAY720885 WKR720885:WKU720885 WUN720885:WUQ720885 IB786421:IE786421 RX786421:SA786421 ABT786421:ABW786421 ALP786421:ALS786421 AVL786421:AVO786421 BFH786421:BFK786421 BPD786421:BPG786421 BYZ786421:BZC786421 CIV786421:CIY786421 CSR786421:CSU786421 DCN786421:DCQ786421 DMJ786421:DMM786421 DWF786421:DWI786421 EGB786421:EGE786421 EPX786421:EQA786421 EZT786421:EZW786421 FJP786421:FJS786421 FTL786421:FTO786421 GDH786421:GDK786421 GND786421:GNG786421 GWZ786421:GXC786421 HGV786421:HGY786421 HQR786421:HQU786421 IAN786421:IAQ786421 IKJ786421:IKM786421 IUF786421:IUI786421 JEB786421:JEE786421 JNX786421:JOA786421 JXT786421:JXW786421 KHP786421:KHS786421 KRL786421:KRO786421 LBH786421:LBK786421 LLD786421:LLG786421 LUZ786421:LVC786421 MEV786421:MEY786421 MOR786421:MOU786421 MYN786421:MYQ786421 NIJ786421:NIM786421 NSF786421:NSI786421 OCB786421:OCE786421 OLX786421:OMA786421 OVT786421:OVW786421 PFP786421:PFS786421 PPL786421:PPO786421 PZH786421:PZK786421 QJD786421:QJG786421 QSZ786421:QTC786421 RCV786421:RCY786421 RMR786421:RMU786421 RWN786421:RWQ786421 SGJ786421:SGM786421 SQF786421:SQI786421 TAB786421:TAE786421 TJX786421:TKA786421 TTT786421:TTW786421 UDP786421:UDS786421 UNL786421:UNO786421 UXH786421:UXK786421 VHD786421:VHG786421 VQZ786421:VRC786421 WAV786421:WAY786421 WKR786421:WKU786421 WUN786421:WUQ786421 IB851957:IE851957 RX851957:SA851957 ABT851957:ABW851957 ALP851957:ALS851957 AVL851957:AVO851957 BFH851957:BFK851957 BPD851957:BPG851957 BYZ851957:BZC851957 CIV851957:CIY851957 CSR851957:CSU851957 DCN851957:DCQ851957 DMJ851957:DMM851957 DWF851957:DWI851957 EGB851957:EGE851957 EPX851957:EQA851957 EZT851957:EZW851957 FJP851957:FJS851957 FTL851957:FTO851957 GDH851957:GDK851957 GND851957:GNG851957 GWZ851957:GXC851957 HGV851957:HGY851957 HQR851957:HQU851957 IAN851957:IAQ851957 IKJ851957:IKM851957 IUF851957:IUI851957 JEB851957:JEE851957 JNX851957:JOA851957 JXT851957:JXW851957 KHP851957:KHS851957 KRL851957:KRO851957 LBH851957:LBK851957 LLD851957:LLG851957 LUZ851957:LVC851957 MEV851957:MEY851957 MOR851957:MOU851957 MYN851957:MYQ851957 NIJ851957:NIM851957 NSF851957:NSI851957 OCB851957:OCE851957 OLX851957:OMA851957 OVT851957:OVW851957 PFP851957:PFS851957 PPL851957:PPO851957 PZH851957:PZK851957 QJD851957:QJG851957 QSZ851957:QTC851957 RCV851957:RCY851957 RMR851957:RMU851957 RWN851957:RWQ851957 SGJ851957:SGM851957 SQF851957:SQI851957 TAB851957:TAE851957 TJX851957:TKA851957 TTT851957:TTW851957 UDP851957:UDS851957 UNL851957:UNO851957 UXH851957:UXK851957 VHD851957:VHG851957 VQZ851957:VRC851957 WAV851957:WAY851957 WKR851957:WKU851957 WUN851957:WUQ851957 IB917493:IE917493 RX917493:SA917493 ABT917493:ABW917493 ALP917493:ALS917493 AVL917493:AVO917493 BFH917493:BFK917493 BPD917493:BPG917493 BYZ917493:BZC917493 CIV917493:CIY917493 CSR917493:CSU917493 DCN917493:DCQ917493 DMJ917493:DMM917493 DWF917493:DWI917493 EGB917493:EGE917493 EPX917493:EQA917493 EZT917493:EZW917493 FJP917493:FJS917493 FTL917493:FTO917493 GDH917493:GDK917493 GND917493:GNG917493 GWZ917493:GXC917493 HGV917493:HGY917493 HQR917493:HQU917493 IAN917493:IAQ917493 IKJ917493:IKM917493 IUF917493:IUI917493 JEB917493:JEE917493 JNX917493:JOA917493 JXT917493:JXW917493 KHP917493:KHS917493 KRL917493:KRO917493 LBH917493:LBK917493 LLD917493:LLG917493 LUZ917493:LVC917493 MEV917493:MEY917493 MOR917493:MOU917493 MYN917493:MYQ917493 NIJ917493:NIM917493 NSF917493:NSI917493 OCB917493:OCE917493 OLX917493:OMA917493 OVT917493:OVW917493 PFP917493:PFS917493 PPL917493:PPO917493 PZH917493:PZK917493 QJD917493:QJG917493 QSZ917493:QTC917493 RCV917493:RCY917493 RMR917493:RMU917493 RWN917493:RWQ917493 SGJ917493:SGM917493 SQF917493:SQI917493 TAB917493:TAE917493 TJX917493:TKA917493 TTT917493:TTW917493 UDP917493:UDS917493 UNL917493:UNO917493 UXH917493:UXK917493 VHD917493:VHG917493 VQZ917493:VRC917493 WAV917493:WAY917493 WKR917493:WKU917493 WUN917493:WUQ917493 Q917493:S917493 Q851957:S851957 Q786421:S786421 Q720885:S720885 Q655349:S655349 Q589813:S589813 Q524277:S524277 Q458741:S458741 Q393205:S393205 Q327669:S327669 Q262133:S262133 Q196597:S196597 Q131061:S131061 Q65525:S65525 Q983029:S983029" xr:uid="{D78D8900-DA4D-4C74-9AF5-020A8FBE042C}">
      <formula1>"○, ○（オンライン処理設計書なし）"</formula1>
    </dataValidation>
  </dataValidations>
  <pageMargins left="0.7" right="0.7" top="0.75" bottom="0.75" header="0.3" footer="0.3"/>
  <pageSetup paperSize="9" scale="68" fitToHeight="0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F4CE-E231-4DB9-9A50-8A11224C626C}">
  <dimension ref="A1:CI113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76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510" t="s">
        <v>4</v>
      </c>
      <c r="B1" s="510"/>
      <c r="C1" s="510"/>
      <c r="D1" s="510"/>
      <c r="E1" s="510"/>
      <c r="F1" s="510"/>
      <c r="G1" s="510"/>
      <c r="H1" s="510"/>
      <c r="I1" s="497" t="s">
        <v>5</v>
      </c>
      <c r="J1" s="497"/>
      <c r="K1" s="497"/>
      <c r="L1" s="497"/>
      <c r="M1" s="508" t="str">
        <f>変更来歴!M1</f>
        <v>ヒロセ電機株式会社</v>
      </c>
      <c r="N1" s="508"/>
      <c r="O1" s="508"/>
      <c r="P1" s="508"/>
      <c r="Q1" s="508"/>
      <c r="R1" s="508"/>
      <c r="S1" s="508"/>
      <c r="T1" s="508"/>
      <c r="U1" s="508"/>
      <c r="V1" s="508"/>
      <c r="W1" s="508"/>
      <c r="X1" s="497" t="s">
        <v>7</v>
      </c>
      <c r="Y1" s="497"/>
      <c r="Z1" s="497"/>
      <c r="AA1" s="512" t="str">
        <f>変更来歴!AA1</f>
        <v>化学物質データ申請</v>
      </c>
      <c r="AB1" s="512"/>
      <c r="AC1" s="512"/>
      <c r="AD1" s="512"/>
      <c r="AE1" s="512"/>
      <c r="AF1" s="512"/>
      <c r="AG1" s="512"/>
      <c r="AH1" s="512"/>
      <c r="AI1" s="512"/>
      <c r="AJ1" s="512"/>
      <c r="AK1" s="486" t="s">
        <v>8</v>
      </c>
      <c r="AL1" s="486"/>
      <c r="AM1" s="486"/>
      <c r="AN1" s="488" t="str">
        <f>変更来歴!AP7</f>
        <v>古竹</v>
      </c>
      <c r="AO1" s="488"/>
      <c r="AP1" s="488"/>
      <c r="AQ1" s="488"/>
      <c r="AR1" s="488"/>
      <c r="AS1" s="486" t="s">
        <v>9</v>
      </c>
      <c r="AT1" s="486"/>
      <c r="AU1" s="486"/>
      <c r="AV1" s="489">
        <f>変更来歴!AL7</f>
        <v>46125</v>
      </c>
      <c r="AW1" s="487"/>
      <c r="AX1" s="487"/>
      <c r="AY1" s="487"/>
      <c r="AZ1" s="493" t="s">
        <v>10</v>
      </c>
      <c r="BA1" s="494"/>
      <c r="BB1" s="494"/>
      <c r="BC1" s="495"/>
    </row>
    <row r="2" spans="1:59">
      <c r="A2" s="496" t="s">
        <v>16</v>
      </c>
      <c r="B2" s="496"/>
      <c r="C2" s="496"/>
      <c r="D2" s="496"/>
      <c r="E2" s="496"/>
      <c r="F2" s="496"/>
      <c r="G2" s="496"/>
      <c r="H2" s="496"/>
      <c r="I2" s="497" t="s">
        <v>11</v>
      </c>
      <c r="J2" s="497"/>
      <c r="K2" s="497"/>
      <c r="L2" s="497"/>
      <c r="M2" s="535" t="str">
        <f>変更来歴!M2</f>
        <v>　</v>
      </c>
      <c r="N2" s="535"/>
      <c r="O2" s="535"/>
      <c r="P2" s="535"/>
      <c r="Q2" s="535"/>
      <c r="R2" s="535"/>
      <c r="S2" s="535"/>
      <c r="T2" s="535"/>
      <c r="U2" s="535"/>
      <c r="V2" s="535"/>
      <c r="W2" s="535"/>
      <c r="X2" s="497"/>
      <c r="Y2" s="497"/>
      <c r="Z2" s="497"/>
      <c r="AA2" s="512"/>
      <c r="AB2" s="512"/>
      <c r="AC2" s="512"/>
      <c r="AD2" s="512"/>
      <c r="AE2" s="512"/>
      <c r="AF2" s="512"/>
      <c r="AG2" s="512"/>
      <c r="AH2" s="512"/>
      <c r="AI2" s="512"/>
      <c r="AJ2" s="512"/>
      <c r="AK2" s="486" t="s">
        <v>12</v>
      </c>
      <c r="AL2" s="486"/>
      <c r="AM2" s="486"/>
      <c r="AN2" s="488" t="str">
        <f ca="1">INDIRECT("変更来歴!AP" &amp; COUNTA(変更来歴!AP7:'変更来歴'!AP39) + 6)</f>
        <v>古竹</v>
      </c>
      <c r="AO2" s="488"/>
      <c r="AP2" s="488"/>
      <c r="AQ2" s="488"/>
      <c r="AR2" s="488"/>
      <c r="AS2" s="486" t="s">
        <v>13</v>
      </c>
      <c r="AT2" s="486"/>
      <c r="AU2" s="486"/>
      <c r="AV2" s="489">
        <f ca="1">INDIRECT("変更来歴!AL" &amp; COUNTA(変更来歴!AL7:'変更来歴'!AL39) + 6)</f>
        <v>46162</v>
      </c>
      <c r="AW2" s="487"/>
      <c r="AX2" s="487"/>
      <c r="AY2" s="487"/>
      <c r="AZ2" s="501" t="str">
        <f>変更来歴!AX2</f>
        <v>IMWF-53</v>
      </c>
      <c r="BA2" s="502"/>
      <c r="BB2" s="502"/>
      <c r="BC2" s="503"/>
    </row>
    <row r="3" spans="1:59" ht="12" customHeight="1">
      <c r="A3" s="507" t="str">
        <f>変更来歴!A3</f>
        <v>画面設計書</v>
      </c>
      <c r="B3" s="507"/>
      <c r="C3" s="507"/>
      <c r="D3" s="507"/>
      <c r="E3" s="507"/>
      <c r="F3" s="507"/>
      <c r="G3" s="507"/>
      <c r="H3" s="507"/>
      <c r="I3" s="497" t="s">
        <v>14</v>
      </c>
      <c r="J3" s="497"/>
      <c r="K3" s="497"/>
      <c r="L3" s="497"/>
      <c r="M3" s="508" t="str">
        <f ca="1">RIGHT(CELL("filename",A1),LEN(CELL("filename",A1))-FIND("]",CELL("filename",A1)))</f>
        <v>外貨(コリア原計)</v>
      </c>
      <c r="N3" s="508"/>
      <c r="O3" s="508"/>
      <c r="P3" s="508"/>
      <c r="Q3" s="508"/>
      <c r="R3" s="508"/>
      <c r="S3" s="508"/>
      <c r="T3" s="508"/>
      <c r="U3" s="508"/>
      <c r="V3" s="508"/>
      <c r="W3" s="508"/>
      <c r="X3" s="497" t="s">
        <v>27</v>
      </c>
      <c r="Y3" s="497"/>
      <c r="Z3" s="497"/>
      <c r="AA3" s="509" t="str">
        <f ca="1">MID(CELL("filename"),FIND("]",CELL("filename"))+1,LEN(CELL("filename"))) &amp; "画面"</f>
        <v>表紙画面</v>
      </c>
      <c r="AB3" s="509"/>
      <c r="AC3" s="509"/>
      <c r="AD3" s="509"/>
      <c r="AE3" s="509"/>
      <c r="AF3" s="509"/>
      <c r="AG3" s="509"/>
      <c r="AH3" s="509"/>
      <c r="AI3" s="509"/>
      <c r="AJ3" s="509"/>
      <c r="AK3" s="509"/>
      <c r="AL3" s="509"/>
      <c r="AM3" s="509"/>
      <c r="AN3" s="509"/>
      <c r="AO3" s="509"/>
      <c r="AP3" s="509"/>
      <c r="AQ3" s="509"/>
      <c r="AR3" s="509"/>
      <c r="AS3" s="486" t="s">
        <v>15</v>
      </c>
      <c r="AT3" s="486"/>
      <c r="AU3" s="486"/>
      <c r="AV3" s="487" t="str">
        <f ca="1">INDIRECT("変更来歴!A" &amp; COUNTA(変更来歴!A7:'変更来歴'!A39) + 6)</f>
        <v>r1.2</v>
      </c>
      <c r="AW3" s="487"/>
      <c r="AX3" s="487"/>
      <c r="AY3" s="487"/>
      <c r="AZ3" s="504"/>
      <c r="BA3" s="505"/>
      <c r="BB3" s="505"/>
      <c r="BC3" s="506"/>
    </row>
    <row r="4" spans="1:59" ht="5.9" customHeight="1"/>
    <row r="5" spans="1:59" ht="13.5" customHeight="1">
      <c r="A5" s="537" t="str">
        <f ca="1">"画面レイアウト"&amp;"("&amp;MID(CELL("filename"),FIND("]",CELL("filename"))+1,LEN(CELL("filename")))&amp;")"</f>
        <v>画面レイアウト(表紙)</v>
      </c>
      <c r="B5" s="538"/>
      <c r="C5" s="538"/>
      <c r="D5" s="538"/>
      <c r="E5" s="538"/>
      <c r="F5" s="538"/>
      <c r="G5" s="538"/>
      <c r="H5" s="538"/>
      <c r="I5" s="538"/>
      <c r="J5" s="538"/>
      <c r="K5" s="538"/>
      <c r="L5" s="538"/>
      <c r="M5" s="538"/>
      <c r="N5" s="538"/>
      <c r="O5" s="538"/>
      <c r="P5" s="538"/>
      <c r="Q5" s="538"/>
      <c r="R5" s="538"/>
      <c r="S5" s="538"/>
      <c r="T5" s="538"/>
      <c r="U5" s="538"/>
      <c r="V5" s="538"/>
      <c r="W5" s="538"/>
      <c r="X5" s="538"/>
      <c r="Y5" s="538"/>
      <c r="Z5" s="538"/>
      <c r="AA5" s="538"/>
      <c r="AB5" s="538"/>
      <c r="AC5" s="538"/>
      <c r="AD5" s="538"/>
      <c r="AE5" s="538"/>
      <c r="AF5" s="538"/>
      <c r="AG5" s="538"/>
      <c r="AH5" s="538"/>
      <c r="AI5" s="538"/>
      <c r="AJ5" s="538"/>
      <c r="AK5" s="538"/>
      <c r="AL5" s="538"/>
      <c r="AM5" s="538"/>
      <c r="AN5" s="538"/>
      <c r="AO5" s="538"/>
      <c r="AP5" s="538"/>
      <c r="AQ5" s="538"/>
      <c r="AR5" s="538"/>
      <c r="AS5" s="538"/>
      <c r="AT5" s="538"/>
      <c r="AU5" s="538"/>
      <c r="AV5" s="538"/>
      <c r="AW5" s="538"/>
      <c r="AX5" s="538"/>
      <c r="AY5" s="538"/>
      <c r="AZ5" s="538"/>
      <c r="BA5" s="539"/>
      <c r="BB5" s="540" t="s">
        <v>24</v>
      </c>
      <c r="BC5" s="541"/>
      <c r="BD5" s="28"/>
    </row>
    <row r="6" spans="1:59" ht="13.5" customHeight="1">
      <c r="A6" s="27"/>
      <c r="B6" s="170">
        <v>1</v>
      </c>
      <c r="C6" s="170">
        <v>2</v>
      </c>
      <c r="D6" s="170">
        <v>3</v>
      </c>
      <c r="E6" s="170">
        <v>4</v>
      </c>
      <c r="F6" s="170">
        <v>5</v>
      </c>
      <c r="G6" s="170">
        <v>6</v>
      </c>
      <c r="H6" s="170">
        <v>7</v>
      </c>
      <c r="I6" s="170">
        <v>8</v>
      </c>
      <c r="J6" s="170">
        <v>9</v>
      </c>
      <c r="K6" s="170">
        <v>10</v>
      </c>
      <c r="L6" s="170">
        <v>11</v>
      </c>
      <c r="M6" s="170">
        <v>12</v>
      </c>
      <c r="N6" s="170">
        <v>13</v>
      </c>
      <c r="O6" s="170">
        <v>14</v>
      </c>
      <c r="P6" s="170">
        <v>15</v>
      </c>
      <c r="Q6" s="170">
        <v>16</v>
      </c>
      <c r="R6" s="170">
        <v>17</v>
      </c>
      <c r="S6" s="172">
        <v>18</v>
      </c>
      <c r="T6" s="172">
        <v>19</v>
      </c>
      <c r="U6" s="172">
        <v>20</v>
      </c>
      <c r="V6" s="172">
        <v>21</v>
      </c>
      <c r="W6" s="172">
        <v>22</v>
      </c>
      <c r="X6" s="172">
        <v>23</v>
      </c>
      <c r="Y6" s="172">
        <v>24</v>
      </c>
      <c r="Z6" s="172">
        <v>25</v>
      </c>
      <c r="AA6" s="172">
        <v>26</v>
      </c>
      <c r="AB6" s="172">
        <v>27</v>
      </c>
      <c r="AC6" s="172">
        <v>28</v>
      </c>
      <c r="AD6" s="172">
        <v>29</v>
      </c>
      <c r="AE6" s="172">
        <v>30</v>
      </c>
      <c r="AF6" s="172">
        <v>31</v>
      </c>
      <c r="AG6" s="172">
        <v>32</v>
      </c>
      <c r="AH6" s="172">
        <v>33</v>
      </c>
      <c r="AI6" s="172">
        <v>34</v>
      </c>
      <c r="AJ6" s="171">
        <v>35</v>
      </c>
      <c r="AK6" s="171">
        <v>36</v>
      </c>
      <c r="AL6" s="171">
        <v>37</v>
      </c>
      <c r="AM6" s="171">
        <v>38</v>
      </c>
      <c r="AN6" s="171">
        <v>39</v>
      </c>
      <c r="AO6" s="171">
        <v>40</v>
      </c>
      <c r="AP6" s="171">
        <v>41</v>
      </c>
      <c r="AQ6" s="171">
        <v>42</v>
      </c>
      <c r="AR6" s="171">
        <v>43</v>
      </c>
      <c r="AS6" s="171">
        <v>44</v>
      </c>
      <c r="AT6" s="171">
        <v>45</v>
      </c>
      <c r="AU6" s="171">
        <v>46</v>
      </c>
      <c r="AV6" s="171">
        <v>47</v>
      </c>
      <c r="AW6" s="171">
        <v>48</v>
      </c>
      <c r="AX6" s="171">
        <v>49</v>
      </c>
      <c r="AY6" s="171">
        <v>50</v>
      </c>
      <c r="AZ6" s="171">
        <v>51</v>
      </c>
      <c r="BA6" s="21"/>
      <c r="BB6" s="73"/>
      <c r="BC6" s="40"/>
      <c r="BD6" s="28"/>
    </row>
    <row r="7" spans="1:59" ht="18.75" customHeight="1">
      <c r="A7" s="29"/>
      <c r="B7" s="45" t="s">
        <v>44</v>
      </c>
      <c r="C7" s="36"/>
      <c r="D7" s="36"/>
      <c r="E7" s="36"/>
      <c r="F7" s="36"/>
      <c r="G7" s="36"/>
      <c r="H7" s="46"/>
      <c r="I7" s="36"/>
      <c r="J7" s="46"/>
      <c r="K7" s="36"/>
      <c r="L7" s="36"/>
      <c r="M7" s="36"/>
      <c r="N7" s="46" t="s">
        <v>165</v>
      </c>
      <c r="O7" s="36"/>
      <c r="P7" s="36"/>
      <c r="Q7" s="36"/>
      <c r="R7" s="47" t="s">
        <v>164</v>
      </c>
      <c r="S7" s="36"/>
      <c r="T7" s="36"/>
      <c r="U7" s="36"/>
      <c r="V7" s="36"/>
      <c r="W7" s="36"/>
      <c r="X7" s="36"/>
      <c r="Y7" s="47"/>
      <c r="Z7" s="36"/>
      <c r="AA7" s="36"/>
      <c r="AB7" s="36"/>
      <c r="AC7" s="36"/>
      <c r="AD7" s="36"/>
      <c r="AE7" s="47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48"/>
      <c r="AX7" s="48"/>
      <c r="AY7" s="48"/>
      <c r="AZ7" s="49"/>
      <c r="BA7" s="75" t="s">
        <v>30</v>
      </c>
      <c r="BB7" s="74"/>
      <c r="BC7" s="34"/>
      <c r="BD7" s="28"/>
    </row>
    <row r="8" spans="1:59" ht="18" customHeight="1">
      <c r="A8" s="29"/>
      <c r="B8" s="160"/>
      <c r="C8" s="161"/>
      <c r="D8" s="161"/>
      <c r="E8" s="161" t="s">
        <v>45</v>
      </c>
      <c r="F8" s="161"/>
      <c r="G8" s="161"/>
      <c r="H8" s="162"/>
      <c r="I8" s="162"/>
      <c r="J8" s="162"/>
      <c r="K8" s="162"/>
      <c r="L8" s="163"/>
      <c r="M8" s="162"/>
      <c r="N8" s="55"/>
      <c r="O8" s="55"/>
      <c r="P8" s="163"/>
      <c r="Q8" s="55"/>
      <c r="R8" s="55"/>
      <c r="S8" s="55"/>
      <c r="T8" s="164"/>
      <c r="U8" s="164"/>
      <c r="V8" s="164"/>
      <c r="W8" s="164"/>
      <c r="X8" s="165"/>
      <c r="Y8" s="162"/>
      <c r="Z8" s="162"/>
      <c r="AA8" s="162"/>
      <c r="AB8" s="163"/>
      <c r="AC8" s="162"/>
      <c r="AD8" s="55"/>
      <c r="AE8" s="55"/>
      <c r="AF8" s="163"/>
      <c r="AG8" s="161"/>
      <c r="AH8" s="161"/>
      <c r="AI8" s="166"/>
      <c r="AJ8" s="53"/>
      <c r="AK8" s="53"/>
      <c r="AL8" s="53"/>
      <c r="AM8" s="53"/>
      <c r="AN8" s="167"/>
      <c r="AO8" s="168"/>
      <c r="AP8" s="168"/>
      <c r="AQ8" s="53"/>
      <c r="AR8" s="53"/>
      <c r="AS8" s="53"/>
      <c r="AT8" s="54"/>
      <c r="AU8" s="53"/>
      <c r="AV8" s="55"/>
      <c r="AW8" s="55"/>
      <c r="AX8" s="55"/>
      <c r="AY8" s="161"/>
      <c r="AZ8" s="169"/>
      <c r="BA8" s="131"/>
      <c r="BB8" s="74"/>
      <c r="BC8" s="34"/>
      <c r="BD8" s="28"/>
    </row>
    <row r="9" spans="1:59" ht="13.5" customHeight="1">
      <c r="A9" s="22"/>
      <c r="B9" s="185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4"/>
      <c r="BB9" s="74"/>
      <c r="BC9" s="34"/>
      <c r="BD9" s="28"/>
    </row>
    <row r="10" spans="1:59" ht="13.5" customHeight="1">
      <c r="A10" s="22"/>
      <c r="B10" s="185"/>
      <c r="C10" s="41" t="s">
        <v>46</v>
      </c>
      <c r="D10" s="31"/>
      <c r="E10" s="31"/>
      <c r="F10" s="31" t="s">
        <v>50</v>
      </c>
      <c r="G10" s="31"/>
      <c r="H10" s="115" t="s">
        <v>49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61"/>
      <c r="U10" s="61"/>
      <c r="V10" s="61"/>
      <c r="W10" s="61"/>
      <c r="X10" s="60"/>
      <c r="Y10" s="61"/>
      <c r="Z10" s="61"/>
      <c r="AA10" s="61"/>
      <c r="AB10" s="62"/>
      <c r="AC10" s="61"/>
      <c r="AD10" s="63"/>
      <c r="AE10" s="63"/>
      <c r="AF10" s="63"/>
      <c r="AG10" s="63"/>
      <c r="AH10" s="63"/>
      <c r="AI10" s="71"/>
      <c r="AJ10" s="61"/>
      <c r="AK10" s="61"/>
      <c r="AL10" s="61"/>
      <c r="AM10" s="61"/>
      <c r="AN10" s="113"/>
      <c r="AO10" s="60"/>
      <c r="AP10" s="60"/>
      <c r="AQ10" s="61"/>
      <c r="AR10" s="61"/>
      <c r="AS10" s="61"/>
      <c r="AT10" s="62"/>
      <c r="AU10" s="61"/>
      <c r="AV10" s="63"/>
      <c r="AW10" s="63"/>
      <c r="AX10" s="63"/>
      <c r="AY10" s="31"/>
      <c r="AZ10" s="33"/>
      <c r="BA10" s="44"/>
      <c r="BB10" s="74"/>
      <c r="BC10" s="34"/>
      <c r="BD10" s="28"/>
    </row>
    <row r="11" spans="1:59" ht="13.5" customHeight="1">
      <c r="A11" s="22"/>
      <c r="B11" s="185"/>
      <c r="C11" s="41" t="s">
        <v>47</v>
      </c>
      <c r="D11" s="31"/>
      <c r="E11" s="31"/>
      <c r="F11" s="31" t="s">
        <v>50</v>
      </c>
      <c r="G11" s="31"/>
      <c r="H11" s="71" t="s">
        <v>51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61"/>
      <c r="U11" s="61"/>
      <c r="V11" s="61"/>
      <c r="W11" s="61"/>
      <c r="X11" s="60"/>
      <c r="Y11" s="61"/>
      <c r="Z11" s="61"/>
      <c r="AA11" s="61"/>
      <c r="AB11" s="62"/>
      <c r="AC11" s="61"/>
      <c r="AD11" s="63"/>
      <c r="AE11" s="63"/>
      <c r="AF11" s="63"/>
      <c r="AG11" s="63"/>
      <c r="AH11" s="63"/>
      <c r="AI11" s="71"/>
      <c r="AJ11" s="61"/>
      <c r="AK11" s="61"/>
      <c r="AL11" s="61"/>
      <c r="AM11" s="61"/>
      <c r="AN11" s="113"/>
      <c r="AO11" s="60"/>
      <c r="AP11" s="60"/>
      <c r="AQ11" s="61"/>
      <c r="AR11" s="61"/>
      <c r="AS11" s="61"/>
      <c r="AT11" s="62"/>
      <c r="AU11" s="61"/>
      <c r="AV11" s="63"/>
      <c r="AW11" s="63"/>
      <c r="AX11" s="63"/>
      <c r="AY11" s="31"/>
      <c r="AZ11" s="33"/>
      <c r="BA11" s="44"/>
      <c r="BB11" s="74"/>
      <c r="BC11" s="34"/>
      <c r="BD11" s="28"/>
    </row>
    <row r="12" spans="1:59" ht="13.5" customHeight="1">
      <c r="A12" s="22"/>
      <c r="B12" s="185"/>
      <c r="C12" s="41" t="s">
        <v>48</v>
      </c>
      <c r="D12" s="31"/>
      <c r="E12" s="31"/>
      <c r="F12" s="31" t="s">
        <v>50</v>
      </c>
      <c r="G12" s="31"/>
      <c r="H12" s="71" t="s">
        <v>52</v>
      </c>
      <c r="I12" s="71"/>
      <c r="J12" s="71"/>
      <c r="K12" s="71"/>
      <c r="L12" s="71" t="s">
        <v>53</v>
      </c>
      <c r="M12" s="71"/>
      <c r="N12" s="71"/>
      <c r="O12" s="71" t="s">
        <v>54</v>
      </c>
      <c r="P12" s="71"/>
      <c r="Q12" s="71"/>
      <c r="R12" s="71"/>
      <c r="S12" s="71"/>
      <c r="T12" s="61"/>
      <c r="U12" s="61"/>
      <c r="V12" s="61"/>
      <c r="W12" s="61"/>
      <c r="X12" s="60"/>
      <c r="Y12" s="61"/>
      <c r="Z12" s="61"/>
      <c r="AA12" s="61"/>
      <c r="AB12" s="62"/>
      <c r="AC12" s="61"/>
      <c r="AD12" s="63"/>
      <c r="AE12" s="63"/>
      <c r="AF12" s="63"/>
      <c r="AG12" s="63"/>
      <c r="AH12" s="63"/>
      <c r="AI12" s="71"/>
      <c r="AJ12" s="61"/>
      <c r="AK12" s="61"/>
      <c r="AL12" s="61"/>
      <c r="AM12" s="61"/>
      <c r="AN12" s="113"/>
      <c r="AO12" s="60"/>
      <c r="AP12" s="60"/>
      <c r="AQ12" s="61"/>
      <c r="AR12" s="61"/>
      <c r="AS12" s="61"/>
      <c r="AT12" s="62"/>
      <c r="AU12" s="61"/>
      <c r="AV12" s="63"/>
      <c r="AW12" s="63"/>
      <c r="AX12" s="63"/>
      <c r="AY12" s="31"/>
      <c r="AZ12" s="33"/>
      <c r="BA12" s="44"/>
      <c r="BB12" s="74"/>
      <c r="BC12" s="34"/>
      <c r="BD12" s="28"/>
    </row>
    <row r="13" spans="1:59" ht="13.5" customHeight="1">
      <c r="A13" s="22"/>
      <c r="B13" s="186">
        <v>1</v>
      </c>
      <c r="C13" s="187">
        <v>2</v>
      </c>
      <c r="D13" s="187">
        <v>3</v>
      </c>
      <c r="E13" s="187">
        <v>4</v>
      </c>
      <c r="F13" s="187">
        <v>5</v>
      </c>
      <c r="G13" s="187">
        <v>6</v>
      </c>
      <c r="H13" s="187">
        <v>7</v>
      </c>
      <c r="I13" s="187">
        <v>8</v>
      </c>
      <c r="J13" s="187">
        <v>9</v>
      </c>
      <c r="K13" s="187">
        <v>10</v>
      </c>
      <c r="L13" s="187">
        <v>11</v>
      </c>
      <c r="M13" s="187">
        <v>12</v>
      </c>
      <c r="N13" s="187">
        <v>13</v>
      </c>
      <c r="O13" s="187">
        <v>14</v>
      </c>
      <c r="P13" s="187">
        <v>15</v>
      </c>
      <c r="Q13" s="187">
        <v>16</v>
      </c>
      <c r="R13" s="187">
        <v>17</v>
      </c>
      <c r="S13" s="187">
        <v>18</v>
      </c>
      <c r="T13" s="187">
        <v>19</v>
      </c>
      <c r="U13" s="187">
        <v>20</v>
      </c>
      <c r="V13" s="187">
        <v>21</v>
      </c>
      <c r="W13" s="187">
        <v>22</v>
      </c>
      <c r="X13" s="187">
        <v>23</v>
      </c>
      <c r="Y13" s="187">
        <v>24</v>
      </c>
      <c r="Z13" s="187">
        <v>25</v>
      </c>
      <c r="AA13" s="187">
        <v>26</v>
      </c>
      <c r="AB13" s="187">
        <v>27</v>
      </c>
      <c r="AC13" s="187">
        <v>28</v>
      </c>
      <c r="AD13" s="187">
        <v>29</v>
      </c>
      <c r="AE13" s="187">
        <v>30</v>
      </c>
      <c r="AF13" s="187">
        <v>31</v>
      </c>
      <c r="AG13" s="187">
        <v>32</v>
      </c>
      <c r="AH13" s="187">
        <v>33</v>
      </c>
      <c r="AI13" s="187">
        <v>34</v>
      </c>
      <c r="AJ13" s="187">
        <v>35</v>
      </c>
      <c r="AK13" s="187">
        <v>36</v>
      </c>
      <c r="AL13" s="187">
        <v>37</v>
      </c>
      <c r="AM13" s="187">
        <v>38</v>
      </c>
      <c r="AN13" s="187">
        <v>39</v>
      </c>
      <c r="AO13" s="187">
        <v>40</v>
      </c>
      <c r="AP13" s="187"/>
      <c r="AQ13" s="187">
        <v>41</v>
      </c>
      <c r="AR13" s="187">
        <v>42</v>
      </c>
      <c r="AS13" s="187">
        <v>43</v>
      </c>
      <c r="AT13" s="187">
        <v>44</v>
      </c>
      <c r="AU13" s="187">
        <v>45</v>
      </c>
      <c r="AV13" s="187">
        <v>46</v>
      </c>
      <c r="AW13" s="187">
        <v>47</v>
      </c>
      <c r="AX13" s="63"/>
      <c r="AY13" s="31"/>
      <c r="AZ13" s="33"/>
      <c r="BA13" s="44"/>
      <c r="BB13" s="74"/>
      <c r="BC13" s="34"/>
      <c r="BD13" s="28"/>
      <c r="BE13" s="24"/>
      <c r="BF13" s="24"/>
    </row>
    <row r="14" spans="1:59" ht="13.5" customHeight="1">
      <c r="A14" s="22"/>
      <c r="B14" s="186">
        <v>2</v>
      </c>
      <c r="C14" s="188" t="s">
        <v>77</v>
      </c>
      <c r="D14" s="28"/>
      <c r="E14" s="28"/>
      <c r="F14" s="28"/>
      <c r="G14" s="28"/>
      <c r="H14" s="109"/>
      <c r="I14" s="60"/>
      <c r="J14" s="61"/>
      <c r="K14" s="60"/>
      <c r="L14" s="61"/>
      <c r="M14" s="66"/>
      <c r="N14" s="66"/>
      <c r="O14" s="63"/>
      <c r="P14" s="66"/>
      <c r="Q14" s="63"/>
      <c r="R14" s="66"/>
      <c r="S14" s="28"/>
      <c r="T14" s="28"/>
      <c r="U14" s="28"/>
      <c r="V14" s="28"/>
      <c r="W14" s="28"/>
      <c r="X14" s="109"/>
      <c r="Y14" s="60"/>
      <c r="Z14" s="61"/>
      <c r="AA14" s="60"/>
      <c r="AB14" s="61"/>
      <c r="AC14" s="66"/>
      <c r="AD14" s="66"/>
      <c r="AE14" s="63"/>
      <c r="AF14" s="66"/>
      <c r="AG14" s="63"/>
      <c r="AH14" s="66"/>
      <c r="AI14" s="62"/>
      <c r="AJ14" s="66"/>
      <c r="AK14" s="63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17"/>
      <c r="AW14" s="28"/>
      <c r="AX14" s="63"/>
      <c r="AY14" s="31"/>
      <c r="AZ14" s="33"/>
      <c r="BA14" s="44"/>
      <c r="BB14" s="74"/>
      <c r="BC14" s="34"/>
      <c r="BD14" s="28"/>
    </row>
    <row r="15" spans="1:59" ht="5.15" customHeight="1">
      <c r="A15" s="22"/>
      <c r="B15" s="186"/>
      <c r="C15" s="277"/>
      <c r="D15" s="68"/>
      <c r="E15" s="68"/>
      <c r="F15" s="68"/>
      <c r="G15" s="68"/>
      <c r="H15" s="278"/>
      <c r="I15" s="260"/>
      <c r="J15" s="261"/>
      <c r="K15" s="260"/>
      <c r="L15" s="261"/>
      <c r="M15" s="279"/>
      <c r="N15" s="279"/>
      <c r="O15" s="245"/>
      <c r="P15" s="279"/>
      <c r="Q15" s="245"/>
      <c r="R15" s="279"/>
      <c r="S15" s="263"/>
      <c r="T15" s="68"/>
      <c r="U15" s="68"/>
      <c r="V15" s="68"/>
      <c r="W15" s="68"/>
      <c r="X15" s="68"/>
      <c r="Y15" s="278"/>
      <c r="Z15" s="260"/>
      <c r="AA15" s="261"/>
      <c r="AB15" s="260"/>
      <c r="AC15" s="261"/>
      <c r="AD15" s="279"/>
      <c r="AE15" s="279"/>
      <c r="AF15" s="245"/>
      <c r="AG15" s="279"/>
      <c r="AH15" s="279"/>
      <c r="AI15" s="262"/>
      <c r="AJ15" s="279"/>
      <c r="AK15" s="245"/>
      <c r="AL15" s="68"/>
      <c r="AM15" s="68"/>
      <c r="AN15" s="68"/>
      <c r="AO15" s="68"/>
      <c r="AP15" s="68"/>
      <c r="AQ15" s="68"/>
      <c r="AR15" s="68"/>
      <c r="AS15" s="261"/>
      <c r="AT15" s="262"/>
      <c r="AU15" s="261"/>
      <c r="AV15" s="245"/>
      <c r="AW15" s="245"/>
      <c r="AX15" s="245"/>
      <c r="AY15" s="247"/>
      <c r="AZ15" s="33"/>
      <c r="BA15" s="44"/>
      <c r="BB15" s="74"/>
      <c r="BC15" s="34"/>
      <c r="BD15" s="28"/>
    </row>
    <row r="16" spans="1:59" ht="13.5" customHeight="1">
      <c r="A16" s="22"/>
      <c r="B16" s="43"/>
      <c r="C16" s="248" t="s">
        <v>78</v>
      </c>
      <c r="D16" s="28"/>
      <c r="E16" s="28"/>
      <c r="F16" s="28"/>
      <c r="G16" s="28"/>
      <c r="H16" s="238" t="s">
        <v>107</v>
      </c>
      <c r="I16" s="238"/>
      <c r="J16" s="238"/>
      <c r="K16" s="26"/>
      <c r="L16" s="26"/>
      <c r="M16" s="96"/>
      <c r="N16" s="91"/>
      <c r="O16" s="65"/>
      <c r="P16" s="65"/>
      <c r="Q16" s="92"/>
      <c r="R16" s="91"/>
      <c r="S16" s="91"/>
      <c r="T16" s="91"/>
      <c r="U16" s="65"/>
      <c r="V16" s="92"/>
      <c r="W16" s="91"/>
      <c r="X16" s="63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3"/>
      <c r="AY16" s="249"/>
      <c r="AZ16" s="33"/>
      <c r="BA16" s="44"/>
      <c r="BB16" s="74"/>
      <c r="BC16" s="34"/>
      <c r="BD16" s="28"/>
      <c r="BE16" s="35"/>
      <c r="BF16" s="35"/>
      <c r="BG16" s="35"/>
    </row>
    <row r="17" spans="1:59" ht="13.5" customHeight="1">
      <c r="A17" s="22"/>
      <c r="B17" s="186">
        <v>3</v>
      </c>
      <c r="C17" s="248" t="s">
        <v>55</v>
      </c>
      <c r="D17" s="31"/>
      <c r="E17" s="31"/>
      <c r="F17" s="31"/>
      <c r="G17" s="31"/>
      <c r="H17" s="56"/>
      <c r="I17" s="57"/>
      <c r="J17" s="57"/>
      <c r="K17" s="57"/>
      <c r="L17" s="58"/>
      <c r="M17" s="57"/>
      <c r="N17" s="59"/>
      <c r="O17" s="59"/>
      <c r="P17" s="59"/>
      <c r="Q17" s="59"/>
      <c r="R17" s="59"/>
      <c r="S17" s="116"/>
      <c r="T17" s="57"/>
      <c r="U17" s="57"/>
      <c r="V17" s="57"/>
      <c r="W17" s="57"/>
      <c r="X17" s="111"/>
      <c r="Y17" s="57"/>
      <c r="Z17" s="57"/>
      <c r="AA17" s="57"/>
      <c r="AB17" s="58"/>
      <c r="AC17" s="57"/>
      <c r="AD17" s="59"/>
      <c r="AE17" s="59"/>
      <c r="AF17" s="59"/>
      <c r="AG17" s="59"/>
      <c r="AH17" s="86"/>
      <c r="AI17" s="71"/>
      <c r="AJ17" s="61"/>
      <c r="AK17" s="61"/>
      <c r="AL17" s="61"/>
      <c r="AM17" s="61"/>
      <c r="AN17" s="113"/>
      <c r="AO17" s="60"/>
      <c r="AP17" s="60"/>
      <c r="AQ17" s="61"/>
      <c r="AR17" s="61"/>
      <c r="AS17" s="61"/>
      <c r="AT17" s="62"/>
      <c r="AU17" s="61"/>
      <c r="AV17" s="63"/>
      <c r="AW17" s="63"/>
      <c r="AX17" s="63"/>
      <c r="AY17" s="249"/>
      <c r="AZ17" s="33"/>
      <c r="BA17" s="44"/>
      <c r="BB17" s="74"/>
      <c r="BC17" s="34"/>
      <c r="BD17" s="28"/>
      <c r="BE17" s="35"/>
      <c r="BF17" s="35"/>
      <c r="BG17" s="35"/>
    </row>
    <row r="18" spans="1:59" ht="13.5" customHeight="1">
      <c r="A18" s="22"/>
      <c r="B18" s="185"/>
      <c r="C18" s="248" t="s">
        <v>37</v>
      </c>
      <c r="D18" s="31"/>
      <c r="E18" s="31"/>
      <c r="F18" s="31"/>
      <c r="G18" s="31"/>
      <c r="H18" s="56"/>
      <c r="I18" s="57"/>
      <c r="J18" s="57"/>
      <c r="K18" s="57"/>
      <c r="L18" s="58"/>
      <c r="M18" s="57"/>
      <c r="N18" s="59"/>
      <c r="O18" s="59"/>
      <c r="P18" s="59"/>
      <c r="Q18" s="173"/>
      <c r="R18" s="70"/>
      <c r="S18" s="71"/>
      <c r="T18" s="104" t="s">
        <v>56</v>
      </c>
      <c r="U18" s="31"/>
      <c r="V18" s="31"/>
      <c r="W18" s="31"/>
      <c r="X18" s="31"/>
      <c r="Y18" s="56"/>
      <c r="Z18" s="57"/>
      <c r="AA18" s="57"/>
      <c r="AB18" s="57"/>
      <c r="AC18" s="58"/>
      <c r="AD18" s="57"/>
      <c r="AE18" s="59"/>
      <c r="AF18" s="59"/>
      <c r="AG18" s="67"/>
      <c r="AH18" s="63"/>
      <c r="AI18" s="71"/>
      <c r="AJ18" s="61"/>
      <c r="AK18" s="71" t="s">
        <v>57</v>
      </c>
      <c r="AL18" s="61"/>
      <c r="AM18" s="61"/>
      <c r="AN18" s="61"/>
      <c r="AO18" s="61"/>
      <c r="AP18" s="56"/>
      <c r="AQ18" s="57"/>
      <c r="AR18" s="57"/>
      <c r="AS18" s="57"/>
      <c r="AT18" s="58"/>
      <c r="AU18" s="57"/>
      <c r="AV18" s="59"/>
      <c r="AW18" s="59"/>
      <c r="AX18" s="67"/>
      <c r="AY18" s="249"/>
      <c r="AZ18" s="33"/>
      <c r="BA18" s="44"/>
      <c r="BB18" s="74"/>
      <c r="BC18" s="34"/>
      <c r="BD18" s="28"/>
      <c r="BE18" s="35"/>
      <c r="BF18" s="35"/>
      <c r="BG18" s="35"/>
    </row>
    <row r="19" spans="1:59" ht="13.5" customHeight="1">
      <c r="A19" s="22"/>
      <c r="B19" s="185"/>
      <c r="C19" s="248" t="s">
        <v>58</v>
      </c>
      <c r="D19" s="31"/>
      <c r="E19" s="31"/>
      <c r="F19" s="31"/>
      <c r="G19" s="31"/>
      <c r="H19" s="56"/>
      <c r="I19" s="57"/>
      <c r="J19" s="57"/>
      <c r="K19" s="57"/>
      <c r="L19" s="58"/>
      <c r="M19" s="57"/>
      <c r="N19" s="59"/>
      <c r="O19" s="59"/>
      <c r="P19" s="90" t="s">
        <v>33</v>
      </c>
      <c r="Q19" s="86"/>
      <c r="R19" s="63"/>
      <c r="S19" s="35"/>
      <c r="T19" s="41" t="s">
        <v>59</v>
      </c>
      <c r="U19" s="61"/>
      <c r="V19" s="61"/>
      <c r="W19" s="61"/>
      <c r="X19" s="61"/>
      <c r="Y19" s="112" t="s">
        <v>66</v>
      </c>
      <c r="Z19" s="57"/>
      <c r="AA19" s="57"/>
      <c r="AB19" s="57"/>
      <c r="AC19" s="58"/>
      <c r="AD19" s="57"/>
      <c r="AE19" s="59"/>
      <c r="AF19" s="59"/>
      <c r="AG19" s="67"/>
      <c r="AH19" s="63"/>
      <c r="AI19" s="71"/>
      <c r="AJ19" s="61"/>
      <c r="AK19" s="61"/>
      <c r="AL19" s="61"/>
      <c r="AM19" s="61"/>
      <c r="AN19" s="113"/>
      <c r="AO19" s="60"/>
      <c r="AP19" s="60"/>
      <c r="AQ19" s="61"/>
      <c r="AR19" s="61"/>
      <c r="AS19" s="61"/>
      <c r="AT19" s="62"/>
      <c r="AU19" s="61"/>
      <c r="AV19" s="63"/>
      <c r="AW19" s="63"/>
      <c r="AX19" s="63"/>
      <c r="AY19" s="249"/>
      <c r="AZ19" s="33"/>
      <c r="BA19" s="44"/>
      <c r="BB19" s="74"/>
      <c r="BC19" s="34"/>
      <c r="BD19" s="28"/>
      <c r="BE19" s="35"/>
      <c r="BF19" s="35"/>
      <c r="BG19" s="35"/>
    </row>
    <row r="20" spans="1:59" ht="13.5" customHeight="1">
      <c r="A20" s="22"/>
      <c r="B20" s="185"/>
      <c r="C20" s="248" t="s">
        <v>79</v>
      </c>
      <c r="D20" s="31"/>
      <c r="E20" s="31"/>
      <c r="F20" s="31"/>
      <c r="G20" s="31"/>
      <c r="H20" s="56"/>
      <c r="I20" s="57"/>
      <c r="J20" s="57"/>
      <c r="K20" s="343">
        <v>0.05</v>
      </c>
      <c r="L20" s="280" t="s">
        <v>80</v>
      </c>
      <c r="M20" s="94"/>
      <c r="N20" s="70"/>
      <c r="O20" s="70"/>
      <c r="P20" s="70"/>
      <c r="Q20" s="63"/>
      <c r="R20" s="63"/>
      <c r="S20" s="35"/>
      <c r="T20" s="35"/>
      <c r="U20" s="35"/>
      <c r="V20" s="61"/>
      <c r="W20" s="61"/>
      <c r="X20" s="61"/>
      <c r="Y20" s="93"/>
      <c r="Z20" s="94"/>
      <c r="AA20" s="94"/>
      <c r="AB20" s="94"/>
      <c r="AC20" s="95"/>
      <c r="AD20" s="94"/>
      <c r="AE20" s="70"/>
      <c r="AF20" s="70"/>
      <c r="AG20" s="70"/>
      <c r="AH20" s="63"/>
      <c r="AI20" s="71"/>
      <c r="AJ20" s="61"/>
      <c r="AK20" s="61"/>
      <c r="AL20" s="61"/>
      <c r="AM20" s="61"/>
      <c r="AN20" s="113"/>
      <c r="AO20" s="60"/>
      <c r="AP20" s="60"/>
      <c r="AQ20" s="61"/>
      <c r="AR20" s="61"/>
      <c r="AS20" s="61"/>
      <c r="AT20" s="62"/>
      <c r="AU20" s="61"/>
      <c r="AV20" s="63"/>
      <c r="AW20" s="63"/>
      <c r="AX20" s="63"/>
      <c r="AY20" s="249"/>
      <c r="AZ20" s="33"/>
      <c r="BA20" s="44"/>
      <c r="BB20" s="74"/>
      <c r="BC20" s="34"/>
      <c r="BD20" s="28"/>
      <c r="BE20" s="35"/>
      <c r="BF20" s="35"/>
      <c r="BG20" s="35"/>
    </row>
    <row r="21" spans="1:59" ht="5.15" customHeight="1">
      <c r="A21" s="22"/>
      <c r="B21" s="185"/>
      <c r="C21" s="250"/>
      <c r="D21" s="251"/>
      <c r="E21" s="251"/>
      <c r="F21" s="251"/>
      <c r="G21" s="251"/>
      <c r="H21" s="257"/>
      <c r="I21" s="255"/>
      <c r="J21" s="255"/>
      <c r="K21" s="255"/>
      <c r="L21" s="258"/>
      <c r="M21" s="255"/>
      <c r="N21" s="252"/>
      <c r="O21" s="252"/>
      <c r="P21" s="252"/>
      <c r="Q21" s="252"/>
      <c r="R21" s="252"/>
      <c r="S21" s="253"/>
      <c r="T21" s="254"/>
      <c r="U21" s="255"/>
      <c r="V21" s="255"/>
      <c r="W21" s="255"/>
      <c r="X21" s="255"/>
      <c r="Y21" s="257"/>
      <c r="Z21" s="255"/>
      <c r="AA21" s="255"/>
      <c r="AB21" s="255"/>
      <c r="AC21" s="258"/>
      <c r="AD21" s="255"/>
      <c r="AE21" s="252"/>
      <c r="AF21" s="252"/>
      <c r="AG21" s="252"/>
      <c r="AH21" s="252"/>
      <c r="AI21" s="254"/>
      <c r="AJ21" s="255"/>
      <c r="AK21" s="255"/>
      <c r="AL21" s="255"/>
      <c r="AM21" s="255"/>
      <c r="AN21" s="256"/>
      <c r="AO21" s="257"/>
      <c r="AP21" s="257"/>
      <c r="AQ21" s="255"/>
      <c r="AR21" s="255"/>
      <c r="AS21" s="255"/>
      <c r="AT21" s="258"/>
      <c r="AU21" s="255"/>
      <c r="AV21" s="252"/>
      <c r="AW21" s="252"/>
      <c r="AX21" s="252"/>
      <c r="AY21" s="259"/>
      <c r="AZ21" s="33"/>
      <c r="BA21" s="44"/>
      <c r="BB21" s="74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2"/>
      <c r="D22" s="60"/>
      <c r="E22" s="61"/>
      <c r="F22" s="61"/>
      <c r="G22" s="61"/>
      <c r="H22" s="66"/>
      <c r="I22" s="66"/>
      <c r="J22" s="63"/>
      <c r="K22" s="66"/>
      <c r="L22" s="63"/>
      <c r="M22" s="66"/>
      <c r="N22" s="62"/>
      <c r="O22" s="66"/>
      <c r="P22" s="63"/>
      <c r="Q22" s="28"/>
      <c r="R22" s="28"/>
      <c r="T22" s="31"/>
      <c r="U22" s="31"/>
      <c r="V22" s="31"/>
      <c r="W22" s="31"/>
      <c r="X22" s="31"/>
      <c r="Y22" s="42"/>
      <c r="Z22" s="31"/>
      <c r="AA22" s="28"/>
      <c r="AB22" s="42"/>
      <c r="AC22" s="31"/>
      <c r="AD22" s="28"/>
      <c r="AE22" s="42"/>
      <c r="AF22" s="28"/>
      <c r="AG22" s="28"/>
      <c r="AH22" s="28"/>
      <c r="AI22" s="28"/>
      <c r="AJ22" s="72"/>
      <c r="AK22" s="28"/>
      <c r="AL22" s="28"/>
      <c r="AM22" s="28"/>
      <c r="AN22" s="28"/>
      <c r="AO22" s="28"/>
      <c r="AP22" s="28"/>
      <c r="AQ22" s="28"/>
      <c r="AR22" s="28"/>
      <c r="AS22" s="61"/>
      <c r="AT22" s="62"/>
      <c r="AU22" s="61"/>
      <c r="AV22" s="63"/>
      <c r="AW22" s="63"/>
      <c r="AX22" s="63"/>
      <c r="AY22" s="31"/>
      <c r="AZ22" s="33"/>
      <c r="BA22" s="44"/>
      <c r="BB22" s="74"/>
      <c r="BC22" s="34"/>
      <c r="BD22" s="28"/>
    </row>
    <row r="23" spans="1:59" ht="13.5" customHeight="1">
      <c r="A23" s="22"/>
      <c r="B23" s="186">
        <v>2</v>
      </c>
      <c r="C23" s="188" t="s">
        <v>81</v>
      </c>
      <c r="D23" s="28"/>
      <c r="E23" s="28"/>
      <c r="F23" s="28"/>
      <c r="G23" s="28"/>
      <c r="H23" s="109"/>
      <c r="I23" s="60"/>
      <c r="J23" s="61"/>
      <c r="K23" s="60"/>
      <c r="L23" s="61"/>
      <c r="M23" s="66"/>
      <c r="N23" s="66"/>
      <c r="O23" s="63"/>
      <c r="P23" s="66"/>
      <c r="Q23" s="63"/>
      <c r="R23" s="66"/>
      <c r="S23" s="35"/>
      <c r="T23" s="28"/>
      <c r="U23" s="28"/>
      <c r="V23" s="28"/>
      <c r="W23" s="28"/>
      <c r="X23" s="28"/>
      <c r="Y23" s="109"/>
      <c r="Z23" s="60"/>
      <c r="AA23" s="61"/>
      <c r="AB23" s="60"/>
      <c r="AC23" s="61"/>
      <c r="AD23" s="66"/>
      <c r="AE23" s="66"/>
      <c r="AF23" s="63"/>
      <c r="AG23" s="66"/>
      <c r="AH23" s="66"/>
      <c r="AI23" s="62"/>
      <c r="AJ23" s="66"/>
      <c r="AK23" s="63"/>
      <c r="AL23" s="28"/>
      <c r="AM23" s="28"/>
      <c r="AN23" s="28"/>
      <c r="AO23" s="28"/>
      <c r="AP23" s="28"/>
      <c r="AQ23" s="28"/>
      <c r="AR23" s="28"/>
      <c r="AS23" s="61"/>
      <c r="AT23" s="62"/>
      <c r="AU23" s="61"/>
      <c r="AV23" s="63"/>
      <c r="AW23" s="63"/>
      <c r="AX23" s="63"/>
      <c r="AY23" s="31"/>
      <c r="AZ23" s="33"/>
      <c r="BA23" s="44"/>
      <c r="BB23" s="74"/>
      <c r="BC23" s="34"/>
      <c r="BD23" s="28"/>
    </row>
    <row r="24" spans="1:59" ht="5.15" customHeight="1">
      <c r="A24" s="22"/>
      <c r="B24" s="186"/>
      <c r="C24" s="277"/>
      <c r="D24" s="68"/>
      <c r="E24" s="68"/>
      <c r="F24" s="68"/>
      <c r="G24" s="68"/>
      <c r="H24" s="278"/>
      <c r="I24" s="260"/>
      <c r="J24" s="261"/>
      <c r="K24" s="260"/>
      <c r="L24" s="261"/>
      <c r="M24" s="279"/>
      <c r="N24" s="279"/>
      <c r="O24" s="245"/>
      <c r="P24" s="279"/>
      <c r="Q24" s="245"/>
      <c r="R24" s="279"/>
      <c r="S24" s="263"/>
      <c r="T24" s="68"/>
      <c r="U24" s="68"/>
      <c r="V24" s="68"/>
      <c r="W24" s="68"/>
      <c r="X24" s="68"/>
      <c r="Y24" s="278"/>
      <c r="Z24" s="260"/>
      <c r="AA24" s="261"/>
      <c r="AB24" s="260"/>
      <c r="AC24" s="261"/>
      <c r="AD24" s="279"/>
      <c r="AE24" s="279"/>
      <c r="AF24" s="245"/>
      <c r="AG24" s="279"/>
      <c r="AH24" s="279"/>
      <c r="AI24" s="262"/>
      <c r="AJ24" s="279"/>
      <c r="AK24" s="245"/>
      <c r="AL24" s="68"/>
      <c r="AM24" s="68"/>
      <c r="AN24" s="68"/>
      <c r="AO24" s="68"/>
      <c r="AP24" s="68"/>
      <c r="AQ24" s="68"/>
      <c r="AR24" s="68"/>
      <c r="AS24" s="261"/>
      <c r="AT24" s="262"/>
      <c r="AU24" s="261"/>
      <c r="AV24" s="245"/>
      <c r="AW24" s="245"/>
      <c r="AX24" s="245"/>
      <c r="AY24" s="247"/>
      <c r="AZ24" s="33"/>
      <c r="BA24" s="44"/>
      <c r="BB24" s="74"/>
      <c r="BC24" s="34"/>
      <c r="BD24" s="28"/>
    </row>
    <row r="25" spans="1:59" ht="13.5" customHeight="1">
      <c r="A25" s="22"/>
      <c r="B25" s="43"/>
      <c r="C25" s="248" t="s">
        <v>82</v>
      </c>
      <c r="D25" s="28"/>
      <c r="E25" s="28"/>
      <c r="F25" s="28"/>
      <c r="G25" s="28"/>
      <c r="H25" s="56"/>
      <c r="I25" s="57"/>
      <c r="J25" s="57"/>
      <c r="K25" s="57"/>
      <c r="L25" s="58"/>
      <c r="M25" s="57"/>
      <c r="N25" s="67"/>
      <c r="O25" s="86" t="s">
        <v>83</v>
      </c>
      <c r="Q25" s="62"/>
      <c r="R25" s="61"/>
      <c r="S25" s="35"/>
      <c r="T25" s="28" t="s">
        <v>88</v>
      </c>
      <c r="U25" s="28"/>
      <c r="V25" s="28"/>
      <c r="W25" s="28"/>
      <c r="Y25" s="56"/>
      <c r="Z25" s="57"/>
      <c r="AA25" s="57"/>
      <c r="AB25" s="57"/>
      <c r="AC25" s="58"/>
      <c r="AD25" s="57"/>
      <c r="AE25" s="59"/>
      <c r="AF25" s="67"/>
      <c r="AG25" s="86" t="s">
        <v>84</v>
      </c>
      <c r="AH25" s="28"/>
      <c r="AI25" s="28"/>
      <c r="AJ25" s="28"/>
      <c r="AK25" s="28" t="s">
        <v>85</v>
      </c>
      <c r="AL25" s="28"/>
      <c r="AM25" s="28"/>
      <c r="AN25" s="28"/>
      <c r="AO25" s="35"/>
      <c r="AP25" s="52"/>
      <c r="AQ25" s="53"/>
      <c r="AR25" s="53"/>
      <c r="AS25" s="53"/>
      <c r="AT25" s="54"/>
      <c r="AU25" s="53"/>
      <c r="AV25" s="55"/>
      <c r="AW25" s="64"/>
      <c r="AX25" s="86" t="s">
        <v>86</v>
      </c>
      <c r="AY25" s="265"/>
      <c r="AZ25" s="33"/>
      <c r="BA25" s="44"/>
      <c r="BB25" s="74"/>
      <c r="BC25" s="34"/>
      <c r="BD25" s="28"/>
      <c r="BE25" s="35"/>
      <c r="BF25" s="35"/>
      <c r="BG25" s="35"/>
    </row>
    <row r="26" spans="1:59" ht="13.5" customHeight="1">
      <c r="A26" s="22"/>
      <c r="B26" s="43"/>
      <c r="C26" s="264" t="s">
        <v>150</v>
      </c>
      <c r="D26" s="28"/>
      <c r="E26" s="28"/>
      <c r="F26" s="28"/>
      <c r="H26" s="56"/>
      <c r="I26" s="57"/>
      <c r="J26" s="57"/>
      <c r="K26" s="57"/>
      <c r="L26" s="58"/>
      <c r="M26" s="57"/>
      <c r="N26" s="59"/>
      <c r="O26" s="59"/>
      <c r="P26" s="67"/>
      <c r="Q26" s="62"/>
      <c r="R26" s="28"/>
      <c r="S26" s="35"/>
      <c r="T26" s="28" t="s">
        <v>148</v>
      </c>
      <c r="V26" s="28"/>
      <c r="W26" s="28"/>
      <c r="Y26" s="56"/>
      <c r="Z26" s="57"/>
      <c r="AA26" s="57"/>
      <c r="AB26" s="57"/>
      <c r="AC26" s="58"/>
      <c r="AD26" s="57"/>
      <c r="AE26" s="59"/>
      <c r="AF26" s="59"/>
      <c r="AG26" s="67"/>
      <c r="AH26" s="28"/>
      <c r="AI26" s="28"/>
      <c r="AJ26" s="28"/>
      <c r="AL26" s="28"/>
      <c r="AM26" s="28"/>
      <c r="AN26" s="28"/>
      <c r="AO26" s="35"/>
      <c r="AP26" s="60"/>
      <c r="AQ26" s="61"/>
      <c r="AR26" s="61"/>
      <c r="AS26" s="61"/>
      <c r="AT26" s="62"/>
      <c r="AU26" s="61"/>
      <c r="AV26" s="63"/>
      <c r="AW26" s="63"/>
      <c r="AX26" s="63"/>
      <c r="AY26" s="265"/>
      <c r="AZ26" s="33"/>
      <c r="BA26" s="44"/>
      <c r="BB26" s="74"/>
      <c r="BC26" s="34"/>
      <c r="BD26" s="28"/>
      <c r="BE26" s="35"/>
      <c r="BF26" s="35"/>
      <c r="BG26" s="35"/>
    </row>
    <row r="27" spans="1:59" ht="14.15" customHeight="1">
      <c r="A27" s="22"/>
      <c r="B27" s="239"/>
      <c r="C27" s="368" t="s">
        <v>156</v>
      </c>
      <c r="F27" s="266"/>
      <c r="G27" s="266"/>
      <c r="H27" s="89" t="s">
        <v>89</v>
      </c>
      <c r="I27" s="240"/>
      <c r="J27" s="241"/>
      <c r="K27" s="241"/>
      <c r="L27" s="241"/>
      <c r="M27" s="242"/>
      <c r="N27" s="241"/>
      <c r="O27" s="101"/>
      <c r="P27" s="243" t="s">
        <v>33</v>
      </c>
      <c r="R27" s="118"/>
      <c r="S27" s="35"/>
      <c r="T27" s="266" t="s">
        <v>157</v>
      </c>
      <c r="U27" s="35"/>
      <c r="V27" s="266"/>
      <c r="W27" s="266"/>
      <c r="X27" s="266"/>
      <c r="Y27" s="89" t="s">
        <v>90</v>
      </c>
      <c r="Z27" s="240"/>
      <c r="AA27" s="241"/>
      <c r="AB27" s="241"/>
      <c r="AC27" s="241"/>
      <c r="AD27" s="242"/>
      <c r="AE27" s="241"/>
      <c r="AF27" s="130"/>
      <c r="AG27" s="367" t="s">
        <v>33</v>
      </c>
      <c r="AH27" s="35"/>
      <c r="AI27" s="35"/>
      <c r="AJ27" s="266"/>
      <c r="AL27" s="35"/>
      <c r="AM27" s="266"/>
      <c r="AN27" s="35"/>
      <c r="AO27" s="35"/>
      <c r="AP27" s="26"/>
      <c r="AQ27" s="364"/>
      <c r="AR27" s="365"/>
      <c r="AS27" s="365"/>
      <c r="AT27" s="365"/>
      <c r="AU27" s="366"/>
      <c r="AV27" s="38"/>
      <c r="AW27" s="26"/>
      <c r="AX27" s="370"/>
      <c r="AY27" s="267"/>
      <c r="AZ27" s="33"/>
      <c r="BA27" s="44"/>
      <c r="BB27" s="74"/>
      <c r="BC27" s="34"/>
      <c r="BD27" s="35"/>
      <c r="BE27" s="35"/>
      <c r="BF27" s="35"/>
      <c r="BG27" s="35"/>
    </row>
    <row r="28" spans="1:59" ht="13.5" customHeight="1">
      <c r="A28" s="22"/>
      <c r="B28" s="43"/>
      <c r="C28" s="264" t="s">
        <v>151</v>
      </c>
      <c r="D28" s="28"/>
      <c r="E28" s="28"/>
      <c r="F28" s="28"/>
      <c r="H28" s="56"/>
      <c r="I28" s="57"/>
      <c r="J28" s="57"/>
      <c r="K28" s="57"/>
      <c r="L28" s="58"/>
      <c r="M28" s="57"/>
      <c r="N28" s="59"/>
      <c r="O28" s="59"/>
      <c r="P28" s="67"/>
      <c r="Q28" s="62"/>
      <c r="R28" s="28"/>
      <c r="S28" s="35"/>
      <c r="T28" s="28" t="s">
        <v>152</v>
      </c>
      <c r="U28" s="28"/>
      <c r="V28" s="28"/>
      <c r="W28" s="28"/>
      <c r="Y28" s="56"/>
      <c r="Z28" s="57"/>
      <c r="AA28" s="57"/>
      <c r="AB28" s="57"/>
      <c r="AC28" s="58"/>
      <c r="AD28" s="57"/>
      <c r="AE28" s="59"/>
      <c r="AF28" s="59"/>
      <c r="AG28" s="67"/>
      <c r="AH28" s="28"/>
      <c r="AI28" s="28"/>
      <c r="AJ28" s="28" t="s">
        <v>153</v>
      </c>
      <c r="AK28" s="28"/>
      <c r="AL28" s="28"/>
      <c r="AM28" s="28"/>
      <c r="AN28" s="28"/>
      <c r="AO28" s="35"/>
      <c r="AP28" s="56"/>
      <c r="AQ28" s="57"/>
      <c r="AR28" s="57"/>
      <c r="AS28" s="57"/>
      <c r="AT28" s="58"/>
      <c r="AU28" s="57"/>
      <c r="AV28" s="59"/>
      <c r="AW28" s="59"/>
      <c r="AX28" s="369"/>
      <c r="AY28" s="265"/>
      <c r="AZ28" s="33"/>
      <c r="BA28" s="44"/>
      <c r="BB28" s="74"/>
      <c r="BC28" s="34"/>
      <c r="BD28" s="28"/>
      <c r="BE28" s="35"/>
      <c r="BF28" s="35"/>
      <c r="BG28" s="35"/>
    </row>
    <row r="29" spans="1:59" ht="13.5" customHeight="1">
      <c r="A29" s="22"/>
      <c r="B29" s="43"/>
      <c r="C29" s="264" t="s">
        <v>87</v>
      </c>
      <c r="D29" s="28"/>
      <c r="E29" s="28"/>
      <c r="F29" s="28"/>
      <c r="H29" s="56"/>
      <c r="I29" s="57"/>
      <c r="J29" s="57"/>
      <c r="K29" s="57"/>
      <c r="L29" s="58"/>
      <c r="M29" s="57"/>
      <c r="N29" s="59"/>
      <c r="O29" s="59"/>
      <c r="P29" s="243" t="s">
        <v>33</v>
      </c>
      <c r="Q29" s="62"/>
      <c r="R29" s="28"/>
      <c r="S29" s="35"/>
      <c r="T29" s="26" t="s">
        <v>154</v>
      </c>
      <c r="U29" s="28"/>
      <c r="V29" s="28"/>
      <c r="W29" s="28"/>
      <c r="Y29" s="56"/>
      <c r="Z29" s="57"/>
      <c r="AA29" s="57"/>
      <c r="AB29" s="57"/>
      <c r="AC29" s="58"/>
      <c r="AD29" s="57"/>
      <c r="AE29" s="59"/>
      <c r="AF29" s="59"/>
      <c r="AG29" s="67"/>
      <c r="AH29" s="28"/>
      <c r="AI29" s="28"/>
      <c r="AJ29" s="28" t="s">
        <v>155</v>
      </c>
      <c r="AK29" s="28"/>
      <c r="AL29" s="28"/>
      <c r="AM29" s="28"/>
      <c r="AN29" s="28"/>
      <c r="AO29" s="35"/>
      <c r="AP29" s="56"/>
      <c r="AQ29" s="57"/>
      <c r="AR29" s="57"/>
      <c r="AS29" s="57"/>
      <c r="AT29" s="58"/>
      <c r="AU29" s="57"/>
      <c r="AV29" s="67"/>
      <c r="AW29" s="86" t="s">
        <v>149</v>
      </c>
      <c r="AX29" s="35"/>
      <c r="AY29" s="265"/>
      <c r="AZ29" s="33"/>
      <c r="BA29" s="44"/>
      <c r="BB29" s="74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68" t="s">
        <v>91</v>
      </c>
      <c r="D30" s="39"/>
      <c r="E30" s="39"/>
      <c r="F30" s="39"/>
      <c r="G30" s="39"/>
      <c r="H30" s="147"/>
      <c r="I30" s="148"/>
      <c r="J30" s="149"/>
      <c r="K30" s="148"/>
      <c r="L30" s="149"/>
      <c r="M30" s="148"/>
      <c r="N30" s="150"/>
      <c r="O30" s="148"/>
      <c r="P30" s="149"/>
      <c r="Q30" s="149"/>
      <c r="R30" s="149"/>
      <c r="S30" s="151"/>
      <c r="T30" s="151"/>
      <c r="U30" s="151"/>
      <c r="V30" s="151"/>
      <c r="W30" s="151"/>
      <c r="X30" s="150"/>
      <c r="Y30" s="151"/>
      <c r="Z30" s="149"/>
      <c r="AA30" s="150"/>
      <c r="AB30" s="151"/>
      <c r="AC30" s="149"/>
      <c r="AD30" s="150"/>
      <c r="AE30" s="149"/>
      <c r="AF30" s="149"/>
      <c r="AG30" s="150"/>
      <c r="AH30" s="149"/>
      <c r="AI30" s="149"/>
      <c r="AJ30" s="152"/>
      <c r="AK30" s="149"/>
      <c r="AL30" s="149"/>
      <c r="AM30" s="149"/>
      <c r="AN30" s="149"/>
      <c r="AO30" s="149"/>
      <c r="AP30" s="149"/>
      <c r="AQ30" s="149"/>
      <c r="AR30" s="149"/>
      <c r="AS30" s="149"/>
      <c r="AT30" s="149"/>
      <c r="AU30" s="149"/>
      <c r="AV30" s="149"/>
      <c r="AW30" s="149"/>
      <c r="AX30" s="144" t="s">
        <v>35</v>
      </c>
      <c r="AY30" s="265"/>
      <c r="AZ30" s="33"/>
      <c r="BA30" s="44"/>
      <c r="BB30" s="74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68"/>
      <c r="D31" s="39"/>
      <c r="E31" s="39"/>
      <c r="F31" s="39"/>
      <c r="G31" s="39"/>
      <c r="H31" s="153"/>
      <c r="I31" s="154"/>
      <c r="J31" s="155"/>
      <c r="K31" s="154"/>
      <c r="L31" s="155"/>
      <c r="M31" s="154"/>
      <c r="N31" s="156"/>
      <c r="O31" s="154"/>
      <c r="P31" s="155"/>
      <c r="Q31" s="155"/>
      <c r="R31" s="155"/>
      <c r="S31" s="157"/>
      <c r="T31" s="157"/>
      <c r="U31" s="157"/>
      <c r="V31" s="157"/>
      <c r="W31" s="157"/>
      <c r="X31" s="156"/>
      <c r="Y31" s="157"/>
      <c r="Z31" s="155"/>
      <c r="AA31" s="156"/>
      <c r="AB31" s="157"/>
      <c r="AC31" s="155"/>
      <c r="AD31" s="156"/>
      <c r="AE31" s="155"/>
      <c r="AF31" s="155"/>
      <c r="AG31" s="156"/>
      <c r="AH31" s="155"/>
      <c r="AI31" s="155"/>
      <c r="AJ31" s="158"/>
      <c r="AK31" s="155"/>
      <c r="AL31" s="155"/>
      <c r="AM31" s="155"/>
      <c r="AN31" s="155"/>
      <c r="AO31" s="155"/>
      <c r="AP31" s="155"/>
      <c r="AQ31" s="155"/>
      <c r="AR31" s="155"/>
      <c r="AS31" s="155"/>
      <c r="AT31" s="155"/>
      <c r="AU31" s="155"/>
      <c r="AV31" s="155"/>
      <c r="AW31" s="155"/>
      <c r="AX31" s="110" t="s">
        <v>33</v>
      </c>
      <c r="AY31" s="265"/>
      <c r="AZ31" s="33"/>
      <c r="BA31" s="44"/>
      <c r="BB31" s="74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68" t="s">
        <v>92</v>
      </c>
      <c r="D32" s="39"/>
      <c r="E32" s="39"/>
      <c r="F32" s="39"/>
      <c r="G32" s="39"/>
      <c r="H32" s="147" t="s">
        <v>108</v>
      </c>
      <c r="I32" s="148"/>
      <c r="J32" s="149"/>
      <c r="K32" s="148"/>
      <c r="L32" s="149"/>
      <c r="M32" s="148"/>
      <c r="N32" s="150"/>
      <c r="O32" s="148"/>
      <c r="P32" s="149"/>
      <c r="Q32" s="149"/>
      <c r="R32" s="149"/>
      <c r="S32" s="151"/>
      <c r="T32" s="151"/>
      <c r="U32" s="151"/>
      <c r="V32" s="151"/>
      <c r="W32" s="151"/>
      <c r="X32" s="150"/>
      <c r="Y32" s="151"/>
      <c r="Z32" s="149"/>
      <c r="AA32" s="150"/>
      <c r="AB32" s="151"/>
      <c r="AC32" s="149"/>
      <c r="AD32" s="150"/>
      <c r="AE32" s="149"/>
      <c r="AF32" s="149"/>
      <c r="AG32" s="150"/>
      <c r="AH32" s="149"/>
      <c r="AI32" s="149"/>
      <c r="AJ32" s="152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4" t="s">
        <v>35</v>
      </c>
      <c r="AY32" s="265"/>
      <c r="AZ32" s="33"/>
      <c r="BA32" s="44"/>
      <c r="BB32" s="74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68"/>
      <c r="D33" s="39"/>
      <c r="E33" s="39"/>
      <c r="F33" s="39"/>
      <c r="G33" s="39"/>
      <c r="H33" s="153"/>
      <c r="I33" s="154"/>
      <c r="J33" s="155"/>
      <c r="K33" s="154"/>
      <c r="L33" s="155"/>
      <c r="M33" s="154"/>
      <c r="N33" s="156"/>
      <c r="O33" s="154"/>
      <c r="P33" s="155"/>
      <c r="Q33" s="155"/>
      <c r="R33" s="155"/>
      <c r="S33" s="157"/>
      <c r="T33" s="157"/>
      <c r="U33" s="157"/>
      <c r="V33" s="157"/>
      <c r="W33" s="157"/>
      <c r="X33" s="156"/>
      <c r="Y33" s="157"/>
      <c r="Z33" s="155"/>
      <c r="AA33" s="156"/>
      <c r="AB33" s="157"/>
      <c r="AC33" s="155"/>
      <c r="AD33" s="156"/>
      <c r="AE33" s="155"/>
      <c r="AF33" s="155"/>
      <c r="AG33" s="156"/>
      <c r="AH33" s="155"/>
      <c r="AI33" s="155"/>
      <c r="AJ33" s="158"/>
      <c r="AK33" s="155"/>
      <c r="AL33" s="155"/>
      <c r="AM33" s="155"/>
      <c r="AN33" s="155"/>
      <c r="AO33" s="155"/>
      <c r="AP33" s="155"/>
      <c r="AQ33" s="155"/>
      <c r="AR33" s="155"/>
      <c r="AS33" s="155"/>
      <c r="AT33" s="155"/>
      <c r="AU33" s="155"/>
      <c r="AV33" s="155"/>
      <c r="AW33" s="155"/>
      <c r="AX33" s="110" t="s">
        <v>33</v>
      </c>
      <c r="AY33" s="265"/>
      <c r="AZ33" s="33"/>
      <c r="BA33" s="44"/>
      <c r="BB33" s="74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68" t="s">
        <v>93</v>
      </c>
      <c r="D34" s="39"/>
      <c r="E34" s="39"/>
      <c r="F34" s="39"/>
      <c r="G34" s="39"/>
      <c r="H34" s="147"/>
      <c r="I34" s="148"/>
      <c r="J34" s="149"/>
      <c r="K34" s="148"/>
      <c r="L34" s="149"/>
      <c r="M34" s="148"/>
      <c r="N34" s="150"/>
      <c r="O34" s="148"/>
      <c r="P34" s="149"/>
      <c r="Q34" s="149"/>
      <c r="R34" s="149"/>
      <c r="S34" s="151"/>
      <c r="T34" s="151"/>
      <c r="U34" s="151"/>
      <c r="V34" s="151"/>
      <c r="W34" s="151"/>
      <c r="X34" s="150"/>
      <c r="Y34" s="151"/>
      <c r="Z34" s="149"/>
      <c r="AA34" s="150"/>
      <c r="AB34" s="151"/>
      <c r="AC34" s="149"/>
      <c r="AD34" s="150"/>
      <c r="AE34" s="149"/>
      <c r="AF34" s="149"/>
      <c r="AG34" s="150"/>
      <c r="AH34" s="149"/>
      <c r="AI34" s="149"/>
      <c r="AJ34" s="152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4" t="s">
        <v>35</v>
      </c>
      <c r="AY34" s="265"/>
      <c r="AZ34" s="33"/>
      <c r="BA34" s="44"/>
      <c r="BB34" s="74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68"/>
      <c r="D35" s="39"/>
      <c r="E35" s="39"/>
      <c r="F35" s="39"/>
      <c r="G35" s="39"/>
      <c r="H35" s="153"/>
      <c r="I35" s="154"/>
      <c r="J35" s="155"/>
      <c r="K35" s="154"/>
      <c r="L35" s="155"/>
      <c r="M35" s="154"/>
      <c r="N35" s="156"/>
      <c r="O35" s="154"/>
      <c r="P35" s="155"/>
      <c r="Q35" s="155"/>
      <c r="R35" s="155"/>
      <c r="S35" s="157"/>
      <c r="T35" s="157"/>
      <c r="U35" s="157"/>
      <c r="V35" s="157"/>
      <c r="W35" s="157"/>
      <c r="X35" s="156"/>
      <c r="Y35" s="157"/>
      <c r="Z35" s="155"/>
      <c r="AA35" s="156"/>
      <c r="AB35" s="157"/>
      <c r="AC35" s="155"/>
      <c r="AD35" s="156"/>
      <c r="AE35" s="155"/>
      <c r="AF35" s="155"/>
      <c r="AG35" s="156"/>
      <c r="AH35" s="155"/>
      <c r="AI35" s="155"/>
      <c r="AJ35" s="158"/>
      <c r="AK35" s="155"/>
      <c r="AL35" s="155"/>
      <c r="AM35" s="155"/>
      <c r="AN35" s="155"/>
      <c r="AO35" s="155"/>
      <c r="AP35" s="155"/>
      <c r="AQ35" s="155"/>
      <c r="AR35" s="155"/>
      <c r="AS35" s="155"/>
      <c r="AT35" s="155"/>
      <c r="AU35" s="155"/>
      <c r="AV35" s="155"/>
      <c r="AW35" s="155"/>
      <c r="AX35" s="110" t="s">
        <v>33</v>
      </c>
      <c r="AY35" s="265"/>
      <c r="AZ35" s="33"/>
      <c r="BA35" s="44"/>
      <c r="BB35" s="74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69"/>
      <c r="D36" s="270"/>
      <c r="E36" s="270"/>
      <c r="F36" s="270"/>
      <c r="G36" s="270"/>
      <c r="H36" s="271"/>
      <c r="I36" s="271"/>
      <c r="J36" s="272"/>
      <c r="K36" s="271"/>
      <c r="L36" s="272"/>
      <c r="M36" s="271"/>
      <c r="N36" s="273"/>
      <c r="O36" s="271"/>
      <c r="P36" s="272"/>
      <c r="Q36" s="272"/>
      <c r="R36" s="272"/>
      <c r="S36" s="274"/>
      <c r="T36" s="274"/>
      <c r="U36" s="274"/>
      <c r="V36" s="274"/>
      <c r="W36" s="274"/>
      <c r="X36" s="273"/>
      <c r="Y36" s="274"/>
      <c r="Z36" s="272"/>
      <c r="AA36" s="273"/>
      <c r="AB36" s="274"/>
      <c r="AC36" s="272"/>
      <c r="AD36" s="273"/>
      <c r="AE36" s="272"/>
      <c r="AF36" s="272"/>
      <c r="AG36" s="273"/>
      <c r="AH36" s="272"/>
      <c r="AI36" s="272"/>
      <c r="AJ36" s="275"/>
      <c r="AK36" s="272"/>
      <c r="AL36" s="272"/>
      <c r="AM36" s="272"/>
      <c r="AN36" s="272"/>
      <c r="AO36" s="272"/>
      <c r="AP36" s="272"/>
      <c r="AQ36" s="272"/>
      <c r="AR36" s="272"/>
      <c r="AS36" s="272"/>
      <c r="AT36" s="272"/>
      <c r="AU36" s="272"/>
      <c r="AV36" s="272"/>
      <c r="AW36" s="272"/>
      <c r="AX36" s="258"/>
      <c r="AY36" s="276"/>
      <c r="AZ36" s="33"/>
      <c r="BA36" s="44"/>
      <c r="BB36" s="74"/>
      <c r="BC36" s="34"/>
      <c r="BD36" s="28"/>
      <c r="BE36" s="35"/>
      <c r="BF36" s="35"/>
      <c r="BG36" s="35"/>
    </row>
    <row r="37" spans="1:59" ht="13.5" customHeight="1">
      <c r="A37" s="22"/>
      <c r="B37" s="32"/>
      <c r="C37" s="39"/>
      <c r="D37" s="39"/>
      <c r="E37" s="39"/>
      <c r="F37" s="39"/>
      <c r="G37" s="39"/>
      <c r="H37" s="331"/>
      <c r="I37" s="331"/>
      <c r="J37" s="332"/>
      <c r="K37" s="331"/>
      <c r="L37" s="332"/>
      <c r="M37" s="331"/>
      <c r="N37" s="333"/>
      <c r="O37" s="331"/>
      <c r="P37" s="332"/>
      <c r="Q37" s="332"/>
      <c r="R37" s="332"/>
      <c r="S37" s="334"/>
      <c r="T37" s="334"/>
      <c r="U37" s="334"/>
      <c r="V37" s="334"/>
      <c r="W37" s="334"/>
      <c r="X37" s="333"/>
      <c r="Y37" s="334"/>
      <c r="Z37" s="332"/>
      <c r="AA37" s="333"/>
      <c r="AB37" s="334"/>
      <c r="AC37" s="332"/>
      <c r="AD37" s="333"/>
      <c r="AE37" s="332"/>
      <c r="AF37" s="332"/>
      <c r="AG37" s="333"/>
      <c r="AH37" s="332"/>
      <c r="AI37" s="332"/>
      <c r="AJ37" s="335"/>
      <c r="AK37" s="332"/>
      <c r="AL37" s="332"/>
      <c r="AM37" s="332"/>
      <c r="AN37" s="332"/>
      <c r="AO37" s="332"/>
      <c r="AP37" s="332"/>
      <c r="AQ37" s="332"/>
      <c r="AR37" s="332"/>
      <c r="AS37" s="332"/>
      <c r="AT37" s="332"/>
      <c r="AU37" s="332"/>
      <c r="AV37" s="332"/>
      <c r="AW37" s="332"/>
      <c r="AX37" s="262"/>
      <c r="AY37" s="261"/>
      <c r="AZ37" s="33"/>
      <c r="BA37" s="44"/>
      <c r="BB37" s="74"/>
      <c r="BC37" s="34"/>
      <c r="BD37" s="28"/>
      <c r="BE37" s="35"/>
      <c r="BF37" s="35"/>
      <c r="BG37" s="35"/>
    </row>
    <row r="38" spans="1:59" ht="13.5" customHeight="1">
      <c r="A38" s="22"/>
      <c r="B38" s="186">
        <v>5</v>
      </c>
      <c r="C38" s="188" t="s">
        <v>147</v>
      </c>
      <c r="D38" s="28"/>
      <c r="E38" s="28"/>
      <c r="F38" s="28"/>
      <c r="G38" s="28"/>
      <c r="H38" s="109"/>
      <c r="I38" s="60"/>
      <c r="J38" s="60"/>
      <c r="K38" s="61"/>
      <c r="L38" s="66"/>
      <c r="M38" s="66"/>
      <c r="N38" s="63"/>
      <c r="O38" s="66"/>
      <c r="P38" s="63"/>
      <c r="Q38" s="63"/>
      <c r="R38" s="66"/>
      <c r="S38" s="28"/>
      <c r="T38" s="28"/>
      <c r="U38" s="28"/>
      <c r="V38" s="28"/>
      <c r="W38" s="28"/>
      <c r="X38" s="109"/>
      <c r="Y38" s="60"/>
      <c r="Z38" s="61"/>
      <c r="AA38" s="60"/>
      <c r="AB38" s="61"/>
      <c r="AC38" s="66"/>
      <c r="AD38" s="66"/>
      <c r="AE38" s="63"/>
      <c r="AF38" s="66"/>
      <c r="AG38" s="63"/>
      <c r="AH38" s="66"/>
      <c r="AI38" s="62"/>
      <c r="AJ38" s="66"/>
      <c r="AK38" s="63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17"/>
      <c r="AW38" s="28"/>
      <c r="AX38" s="28"/>
      <c r="AY38" s="31"/>
      <c r="AZ38" s="33"/>
      <c r="BA38" s="44"/>
      <c r="BB38" s="143"/>
      <c r="BC38" s="105"/>
      <c r="BD38" s="28"/>
    </row>
    <row r="39" spans="1:59" ht="5.15" customHeight="1">
      <c r="A39" s="22"/>
      <c r="B39" s="186"/>
      <c r="C39" s="277"/>
      <c r="D39" s="68"/>
      <c r="E39" s="68"/>
      <c r="F39" s="68"/>
      <c r="G39" s="68"/>
      <c r="H39" s="278"/>
      <c r="I39" s="260"/>
      <c r="J39" s="260"/>
      <c r="K39" s="261"/>
      <c r="L39" s="279"/>
      <c r="M39" s="279"/>
      <c r="N39" s="245"/>
      <c r="O39" s="279"/>
      <c r="P39" s="245"/>
      <c r="Q39" s="245"/>
      <c r="R39" s="279"/>
      <c r="S39" s="68"/>
      <c r="T39" s="68"/>
      <c r="U39" s="68"/>
      <c r="V39" s="68"/>
      <c r="W39" s="68"/>
      <c r="X39" s="278"/>
      <c r="Y39" s="260"/>
      <c r="Z39" s="261"/>
      <c r="AA39" s="260"/>
      <c r="AB39" s="261"/>
      <c r="AC39" s="279"/>
      <c r="AD39" s="279"/>
      <c r="AE39" s="245"/>
      <c r="AF39" s="279"/>
      <c r="AG39" s="245"/>
      <c r="AH39" s="279"/>
      <c r="AI39" s="262"/>
      <c r="AJ39" s="279"/>
      <c r="AK39" s="245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281"/>
      <c r="AW39" s="68"/>
      <c r="AX39" s="68"/>
      <c r="AY39" s="247"/>
      <c r="AZ39" s="33"/>
      <c r="BA39" s="44"/>
      <c r="BB39" s="143"/>
      <c r="BC39" s="105"/>
      <c r="BD39" s="28"/>
    </row>
    <row r="40" spans="1:59" ht="13.9" customHeight="1">
      <c r="A40" s="22"/>
      <c r="B40" s="186"/>
      <c r="C40" s="371" t="s">
        <v>163</v>
      </c>
      <c r="D40" s="28"/>
      <c r="E40" s="28"/>
      <c r="F40" s="28"/>
      <c r="G40" s="80" t="s">
        <v>159</v>
      </c>
      <c r="H40" s="80"/>
      <c r="I40" s="80"/>
      <c r="J40" s="80"/>
      <c r="K40" s="80"/>
      <c r="L40" s="303"/>
      <c r="M40" s="71"/>
      <c r="N40" s="63"/>
      <c r="O40" s="66"/>
      <c r="P40" s="63"/>
      <c r="Q40" s="63"/>
      <c r="R40" s="66"/>
      <c r="S40" s="28"/>
      <c r="T40" s="28"/>
      <c r="U40" s="28"/>
      <c r="V40" s="28"/>
      <c r="W40" s="28"/>
      <c r="X40" s="109"/>
      <c r="Y40" s="60"/>
      <c r="Z40" s="61"/>
      <c r="AA40" s="60"/>
      <c r="AB40" s="61"/>
      <c r="AC40" s="66"/>
      <c r="AD40" s="66"/>
      <c r="AE40" s="63"/>
      <c r="AF40" s="66"/>
      <c r="AG40" s="63"/>
      <c r="AH40" s="66"/>
      <c r="AI40" s="62"/>
      <c r="AJ40" s="66"/>
      <c r="AK40" s="63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17"/>
      <c r="AW40" s="28"/>
      <c r="AX40" s="28"/>
      <c r="AY40" s="249"/>
      <c r="AZ40" s="33"/>
      <c r="BA40" s="44"/>
      <c r="BB40" s="143"/>
      <c r="BC40" s="105"/>
      <c r="BD40" s="28"/>
    </row>
    <row r="41" spans="1:59" ht="13.5" customHeight="1">
      <c r="A41" s="22"/>
      <c r="B41" s="186">
        <v>6</v>
      </c>
      <c r="C41" s="285" t="s">
        <v>32</v>
      </c>
      <c r="D41" s="189" t="s">
        <v>145</v>
      </c>
      <c r="E41" s="190"/>
      <c r="F41" s="190"/>
      <c r="G41" s="191"/>
      <c r="H41" s="192" t="s">
        <v>158</v>
      </c>
      <c r="I41" s="193"/>
      <c r="J41" s="193"/>
      <c r="K41" s="190"/>
      <c r="L41" s="191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292"/>
      <c r="AZ41" s="33"/>
      <c r="BA41" s="44"/>
      <c r="BB41" s="143"/>
      <c r="BC41" s="105"/>
      <c r="BD41" s="35"/>
      <c r="BE41" s="35"/>
      <c r="BF41" s="35"/>
      <c r="BG41" s="35"/>
    </row>
    <row r="42" spans="1:59" ht="13.5" customHeight="1">
      <c r="A42" s="22"/>
      <c r="B42" s="186">
        <v>8</v>
      </c>
      <c r="C42" s="289">
        <v>1</v>
      </c>
      <c r="D42" s="134" t="s">
        <v>96</v>
      </c>
      <c r="E42" s="135"/>
      <c r="F42" s="135"/>
      <c r="G42" s="137"/>
      <c r="H42" s="610">
        <v>110</v>
      </c>
      <c r="I42" s="611"/>
      <c r="J42" s="611"/>
      <c r="K42" s="611"/>
      <c r="L42" s="612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292"/>
      <c r="AZ42" s="33"/>
      <c r="BA42" s="44"/>
      <c r="BB42" s="143"/>
      <c r="BC42" s="105"/>
      <c r="BD42" s="35"/>
      <c r="BE42" s="35"/>
      <c r="BF42" s="35"/>
      <c r="BG42" s="35"/>
    </row>
    <row r="43" spans="1:59" ht="13.5" customHeight="1">
      <c r="A43" s="22"/>
      <c r="B43" s="186">
        <v>9</v>
      </c>
      <c r="C43" s="289">
        <v>2</v>
      </c>
      <c r="D43" s="134" t="s">
        <v>146</v>
      </c>
      <c r="E43" s="135"/>
      <c r="F43" s="135"/>
      <c r="G43" s="137"/>
      <c r="H43" s="610">
        <v>125</v>
      </c>
      <c r="I43" s="611"/>
      <c r="J43" s="611"/>
      <c r="K43" s="611"/>
      <c r="L43" s="612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292"/>
      <c r="AZ43" s="33"/>
      <c r="BA43" s="44"/>
      <c r="BB43" s="143"/>
      <c r="BC43" s="105"/>
      <c r="BD43" s="35"/>
      <c r="BE43" s="35"/>
      <c r="BF43" s="35"/>
      <c r="BG43" s="35"/>
    </row>
    <row r="44" spans="1:59" ht="5.15" customHeight="1">
      <c r="A44" s="22"/>
      <c r="B44" s="186"/>
      <c r="C44" s="296"/>
      <c r="D44" s="69"/>
      <c r="E44" s="69"/>
      <c r="F44" s="69"/>
      <c r="G44" s="69"/>
      <c r="H44" s="297"/>
      <c r="I44" s="257"/>
      <c r="J44" s="257"/>
      <c r="K44" s="255"/>
      <c r="L44" s="298"/>
      <c r="M44" s="298"/>
      <c r="N44" s="252"/>
      <c r="O44" s="298"/>
      <c r="P44" s="252"/>
      <c r="Q44" s="252"/>
      <c r="R44" s="298"/>
      <c r="S44" s="69"/>
      <c r="T44" s="69"/>
      <c r="U44" s="69"/>
      <c r="V44" s="69"/>
      <c r="W44" s="69"/>
      <c r="X44" s="297"/>
      <c r="Y44" s="257"/>
      <c r="Z44" s="255"/>
      <c r="AA44" s="257"/>
      <c r="AB44" s="255"/>
      <c r="AC44" s="298"/>
      <c r="AD44" s="298"/>
      <c r="AE44" s="252"/>
      <c r="AF44" s="298"/>
      <c r="AG44" s="252"/>
      <c r="AH44" s="298"/>
      <c r="AI44" s="258"/>
      <c r="AJ44" s="298"/>
      <c r="AK44" s="252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299"/>
      <c r="AW44" s="69"/>
      <c r="AX44" s="69"/>
      <c r="AY44" s="259"/>
      <c r="AZ44" s="33"/>
      <c r="BA44" s="44"/>
      <c r="BB44" s="143"/>
      <c r="BC44" s="105"/>
      <c r="BD44" s="28"/>
    </row>
    <row r="45" spans="1:59" ht="13.5" customHeight="1">
      <c r="A45" s="22"/>
      <c r="B45" s="186">
        <v>10</v>
      </c>
      <c r="C45" s="363"/>
      <c r="D45" s="63"/>
      <c r="E45" s="63"/>
      <c r="F45" s="63"/>
      <c r="G45" s="63"/>
      <c r="H45" s="63"/>
      <c r="I45" s="63"/>
      <c r="J45" s="63"/>
      <c r="K45" s="63"/>
      <c r="L45" s="63"/>
      <c r="M45" s="60"/>
      <c r="N45" s="61"/>
      <c r="O45" s="63"/>
      <c r="P45" s="63"/>
      <c r="Q45" s="62"/>
      <c r="R45" s="61"/>
      <c r="S45" s="174"/>
      <c r="T45" s="174"/>
      <c r="U45" s="175"/>
      <c r="V45" s="176"/>
      <c r="W45" s="174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33"/>
      <c r="BA45" s="44"/>
      <c r="BB45" s="143"/>
      <c r="BC45" s="105"/>
      <c r="BD45" s="28"/>
    </row>
    <row r="46" spans="1:59" ht="13.5" customHeight="1">
      <c r="A46" s="22"/>
      <c r="B46" s="186">
        <v>5</v>
      </c>
      <c r="C46" s="188" t="s">
        <v>60</v>
      </c>
      <c r="D46" s="28"/>
      <c r="E46" s="28"/>
      <c r="F46" s="28"/>
      <c r="G46" s="28"/>
      <c r="H46" s="109"/>
      <c r="I46" s="60"/>
      <c r="J46" s="61"/>
      <c r="K46" s="60"/>
      <c r="L46" s="61"/>
      <c r="M46" s="66"/>
      <c r="N46" s="66"/>
      <c r="O46" s="63"/>
      <c r="P46" s="66"/>
      <c r="Q46" s="63"/>
      <c r="R46" s="66"/>
      <c r="S46" s="28"/>
      <c r="T46" s="28"/>
      <c r="U46" s="28"/>
      <c r="V46" s="28"/>
      <c r="W46" s="28"/>
      <c r="X46" s="109"/>
      <c r="Y46" s="60"/>
      <c r="Z46" s="61"/>
      <c r="AA46" s="60"/>
      <c r="AB46" s="61"/>
      <c r="AC46" s="66"/>
      <c r="AD46" s="66"/>
      <c r="AE46" s="63"/>
      <c r="AF46" s="66"/>
      <c r="AG46" s="63"/>
      <c r="AH46" s="66"/>
      <c r="AI46" s="62"/>
      <c r="AJ46" s="66"/>
      <c r="AK46" s="63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17"/>
      <c r="AW46" s="28"/>
      <c r="AX46" s="28"/>
      <c r="AY46" s="31"/>
      <c r="AZ46" s="33"/>
      <c r="BA46" s="44"/>
      <c r="BB46" s="143"/>
      <c r="BC46" s="105"/>
      <c r="BD46" s="28"/>
    </row>
    <row r="47" spans="1:59" ht="5.15" customHeight="1">
      <c r="A47" s="22"/>
      <c r="B47" s="186"/>
      <c r="C47" s="277"/>
      <c r="D47" s="68"/>
      <c r="E47" s="68"/>
      <c r="F47" s="68"/>
      <c r="G47" s="68"/>
      <c r="H47" s="278"/>
      <c r="I47" s="260"/>
      <c r="J47" s="261"/>
      <c r="K47" s="260"/>
      <c r="L47" s="261"/>
      <c r="M47" s="279"/>
      <c r="N47" s="279"/>
      <c r="O47" s="245"/>
      <c r="P47" s="279"/>
      <c r="Q47" s="245"/>
      <c r="R47" s="279"/>
      <c r="S47" s="68"/>
      <c r="T47" s="68"/>
      <c r="U47" s="68"/>
      <c r="V47" s="68"/>
      <c r="W47" s="68"/>
      <c r="X47" s="278"/>
      <c r="Y47" s="260"/>
      <c r="Z47" s="261"/>
      <c r="AA47" s="260"/>
      <c r="AB47" s="261"/>
      <c r="AC47" s="279"/>
      <c r="AD47" s="279"/>
      <c r="AE47" s="245"/>
      <c r="AF47" s="279"/>
      <c r="AG47" s="245"/>
      <c r="AH47" s="279"/>
      <c r="AI47" s="262"/>
      <c r="AJ47" s="279"/>
      <c r="AK47" s="245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281"/>
      <c r="AW47" s="68"/>
      <c r="AX47" s="68"/>
      <c r="AY47" s="246"/>
      <c r="AZ47" s="246"/>
      <c r="BA47" s="282"/>
      <c r="BB47" s="283"/>
      <c r="BC47" s="284"/>
      <c r="BD47" s="28"/>
    </row>
    <row r="48" spans="1:59" ht="13.5" customHeight="1">
      <c r="A48" s="22"/>
      <c r="B48" s="43"/>
      <c r="C48" s="248"/>
      <c r="D48" s="28" t="s">
        <v>166</v>
      </c>
      <c r="E48" s="28"/>
      <c r="F48" s="28"/>
      <c r="G48" s="28"/>
      <c r="H48" s="80" t="s">
        <v>95</v>
      </c>
      <c r="I48" s="80"/>
      <c r="J48" s="80"/>
      <c r="K48" s="80"/>
      <c r="L48" s="80"/>
      <c r="M48" s="303"/>
      <c r="N48" s="81"/>
      <c r="O48" s="82"/>
      <c r="P48" s="82"/>
      <c r="Q48" s="83"/>
      <c r="R48" s="81"/>
      <c r="S48" s="81"/>
      <c r="T48" s="81"/>
      <c r="U48" s="82"/>
      <c r="V48" s="83"/>
      <c r="W48" s="81"/>
      <c r="X48" s="63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3"/>
      <c r="AY48" s="31"/>
      <c r="AZ48" s="50"/>
      <c r="BA48" s="85"/>
      <c r="BB48" s="307"/>
      <c r="BC48" s="308"/>
      <c r="BD48" s="28"/>
      <c r="BE48" s="35"/>
      <c r="BF48" s="35"/>
      <c r="BG48" s="35"/>
    </row>
    <row r="49" spans="1:87" ht="13.5" customHeight="1">
      <c r="A49" s="22"/>
      <c r="B49" s="186">
        <v>6</v>
      </c>
      <c r="C49" s="285" t="s">
        <v>32</v>
      </c>
      <c r="D49" s="189" t="s">
        <v>61</v>
      </c>
      <c r="E49" s="190"/>
      <c r="F49" s="190"/>
      <c r="G49" s="191"/>
      <c r="H49" s="192" t="s">
        <v>68</v>
      </c>
      <c r="I49" s="193"/>
      <c r="J49" s="193"/>
      <c r="K49" s="193"/>
      <c r="L49" s="190"/>
      <c r="M49" s="191"/>
      <c r="N49" s="189" t="s">
        <v>69</v>
      </c>
      <c r="O49" s="190"/>
      <c r="P49" s="190"/>
      <c r="Q49" s="191"/>
      <c r="R49" s="189" t="s">
        <v>70</v>
      </c>
      <c r="S49" s="190"/>
      <c r="T49" s="190"/>
      <c r="U49" s="190"/>
      <c r="V49" s="194" t="s">
        <v>169</v>
      </c>
      <c r="W49" s="195"/>
      <c r="X49" s="195"/>
      <c r="Y49" s="196"/>
      <c r="Z49" s="194" t="s">
        <v>98</v>
      </c>
      <c r="AA49" s="195"/>
      <c r="AB49" s="195"/>
      <c r="AC49" s="195"/>
      <c r="AD49" s="196"/>
      <c r="AE49" s="194" t="s">
        <v>170</v>
      </c>
      <c r="AF49" s="195"/>
      <c r="AG49" s="195"/>
      <c r="AH49" s="196"/>
      <c r="AI49" s="194" t="s">
        <v>106</v>
      </c>
      <c r="AJ49" s="195"/>
      <c r="AK49" s="195"/>
      <c r="AL49" s="196"/>
      <c r="AM49" s="195" t="s">
        <v>100</v>
      </c>
      <c r="AN49" s="195"/>
      <c r="AO49" s="195"/>
      <c r="AP49" s="196"/>
      <c r="AQ49" s="195" t="s">
        <v>109</v>
      </c>
      <c r="AR49" s="195"/>
      <c r="AS49" s="195"/>
      <c r="AT49" s="196"/>
      <c r="AU49" s="194" t="s">
        <v>111</v>
      </c>
      <c r="AV49" s="195"/>
      <c r="AW49" s="195"/>
      <c r="AX49" s="196"/>
      <c r="AY49" s="194" t="s">
        <v>73</v>
      </c>
      <c r="AZ49" s="195"/>
      <c r="BA49" s="195"/>
      <c r="BB49" s="196"/>
      <c r="BC49" s="194" t="s">
        <v>40</v>
      </c>
      <c r="BD49" s="195"/>
      <c r="BE49" s="195"/>
      <c r="BF49" s="196"/>
      <c r="BG49" s="195" t="s">
        <v>102</v>
      </c>
      <c r="BH49" s="195"/>
      <c r="BI49" s="196"/>
      <c r="BJ49" s="286" t="s">
        <v>76</v>
      </c>
      <c r="BK49" s="195"/>
      <c r="BL49" s="195"/>
      <c r="BM49" s="196"/>
      <c r="BN49" s="195" t="s">
        <v>65</v>
      </c>
      <c r="BO49" s="195"/>
      <c r="BP49" s="195"/>
      <c r="BQ49" s="196"/>
      <c r="BR49" s="28"/>
      <c r="BS49" s="28"/>
      <c r="BT49" s="28"/>
      <c r="BU49" s="28"/>
      <c r="BV49" s="28"/>
    </row>
    <row r="50" spans="1:87" ht="13.5" customHeight="1">
      <c r="A50" s="22"/>
      <c r="B50" s="186">
        <v>7</v>
      </c>
      <c r="C50" s="287"/>
      <c r="D50" s="197" t="s">
        <v>30</v>
      </c>
      <c r="E50" s="200"/>
      <c r="F50" s="198"/>
      <c r="G50" s="199"/>
      <c r="H50" s="197" t="s">
        <v>30</v>
      </c>
      <c r="I50" s="200"/>
      <c r="J50" s="200"/>
      <c r="K50" s="200"/>
      <c r="L50" s="198"/>
      <c r="M50" s="199"/>
      <c r="N50" s="197" t="s">
        <v>30</v>
      </c>
      <c r="O50" s="198"/>
      <c r="P50" s="198"/>
      <c r="Q50" s="199"/>
      <c r="R50" s="197" t="s">
        <v>30</v>
      </c>
      <c r="S50" s="200"/>
      <c r="T50" s="198"/>
      <c r="U50" s="198"/>
      <c r="V50" s="201" t="s">
        <v>41</v>
      </c>
      <c r="W50" s="202"/>
      <c r="X50" s="203"/>
      <c r="Y50" s="204"/>
      <c r="Z50" s="201" t="s">
        <v>30</v>
      </c>
      <c r="AA50" s="202"/>
      <c r="AB50" s="202"/>
      <c r="AC50" s="203"/>
      <c r="AD50" s="204"/>
      <c r="AE50" s="201" t="s">
        <v>41</v>
      </c>
      <c r="AF50" s="202"/>
      <c r="AG50" s="203"/>
      <c r="AH50" s="204"/>
      <c r="AI50" s="201" t="s">
        <v>30</v>
      </c>
      <c r="AJ50" s="202"/>
      <c r="AK50" s="203"/>
      <c r="AL50" s="204"/>
      <c r="AM50" s="202" t="s">
        <v>41</v>
      </c>
      <c r="AN50" s="202"/>
      <c r="AO50" s="203"/>
      <c r="AP50" s="204"/>
      <c r="AQ50" s="202" t="s">
        <v>110</v>
      </c>
      <c r="AR50" s="202"/>
      <c r="AS50" s="203"/>
      <c r="AT50" s="204"/>
      <c r="AU50" s="201" t="s">
        <v>101</v>
      </c>
      <c r="AV50" s="202"/>
      <c r="AW50" s="203"/>
      <c r="AX50" s="204"/>
      <c r="AY50" s="201" t="s">
        <v>101</v>
      </c>
      <c r="AZ50" s="202"/>
      <c r="BA50" s="203"/>
      <c r="BB50" s="204"/>
      <c r="BC50" s="201" t="s">
        <v>112</v>
      </c>
      <c r="BD50" s="202"/>
      <c r="BE50" s="203"/>
      <c r="BF50" s="204"/>
      <c r="BG50" s="202" t="s">
        <v>113</v>
      </c>
      <c r="BH50" s="202"/>
      <c r="BI50" s="204"/>
      <c r="BJ50" s="288" t="s">
        <v>41</v>
      </c>
      <c r="BK50" s="202"/>
      <c r="BL50" s="203"/>
      <c r="BM50" s="204"/>
      <c r="BN50" s="202" t="s">
        <v>41</v>
      </c>
      <c r="BO50" s="202"/>
      <c r="BP50" s="203"/>
      <c r="BQ50" s="204"/>
      <c r="BR50" s="28"/>
      <c r="BS50" s="28"/>
      <c r="BT50" s="28"/>
      <c r="BU50" s="28"/>
      <c r="BV50" s="28"/>
    </row>
    <row r="51" spans="1:87" ht="13.5" customHeight="1">
      <c r="A51" s="22"/>
      <c r="B51" s="186">
        <v>8</v>
      </c>
      <c r="C51" s="289">
        <v>1</v>
      </c>
      <c r="D51" s="134" t="s">
        <v>103</v>
      </c>
      <c r="E51" s="135"/>
      <c r="F51" s="135"/>
      <c r="G51" s="137"/>
      <c r="H51" s="226" t="s">
        <v>104</v>
      </c>
      <c r="I51" s="136"/>
      <c r="J51" s="136"/>
      <c r="K51" s="136"/>
      <c r="L51" s="145"/>
      <c r="M51" s="146"/>
      <c r="N51" s="226" t="s">
        <v>105</v>
      </c>
      <c r="O51" s="136"/>
      <c r="P51" s="136"/>
      <c r="Q51" s="90" t="s">
        <v>33</v>
      </c>
      <c r="R51" s="601">
        <v>70000</v>
      </c>
      <c r="S51" s="602"/>
      <c r="T51" s="602"/>
      <c r="U51" s="603"/>
      <c r="V51" s="134" t="s">
        <v>96</v>
      </c>
      <c r="W51" s="136"/>
      <c r="X51" s="136"/>
      <c r="Y51" s="90" t="s">
        <v>33</v>
      </c>
      <c r="Z51" s="604">
        <v>6.7299999999999999E-2</v>
      </c>
      <c r="AA51" s="605"/>
      <c r="AB51" s="605"/>
      <c r="AC51" s="605"/>
      <c r="AD51" s="606"/>
      <c r="AE51" s="134" t="s">
        <v>96</v>
      </c>
      <c r="AF51" s="136"/>
      <c r="AG51" s="136"/>
      <c r="AH51" s="90" t="s">
        <v>33</v>
      </c>
      <c r="AI51" s="604">
        <v>0.1211</v>
      </c>
      <c r="AJ51" s="605"/>
      <c r="AK51" s="605"/>
      <c r="AL51" s="606"/>
      <c r="AM51" s="604">
        <v>0.12</v>
      </c>
      <c r="AN51" s="605"/>
      <c r="AO51" s="605"/>
      <c r="AP51" s="606"/>
      <c r="AQ51" s="607">
        <v>0.01</v>
      </c>
      <c r="AR51" s="608"/>
      <c r="AS51" s="608"/>
      <c r="AT51" s="609"/>
      <c r="AU51" s="604">
        <v>0.13589999999999999</v>
      </c>
      <c r="AV51" s="605"/>
      <c r="AW51" s="605"/>
      <c r="AX51" s="606"/>
      <c r="AY51" s="604">
        <v>0.151</v>
      </c>
      <c r="AZ51" s="605"/>
      <c r="BA51" s="605"/>
      <c r="BB51" s="606"/>
      <c r="BC51" s="604">
        <v>0.151</v>
      </c>
      <c r="BD51" s="605"/>
      <c r="BE51" s="605"/>
      <c r="BF51" s="606"/>
      <c r="BG51" s="613">
        <v>6.1000000000000004E-3</v>
      </c>
      <c r="BH51" s="614"/>
      <c r="BI51" s="615"/>
      <c r="BJ51" s="290" t="s">
        <v>115</v>
      </c>
      <c r="BK51" s="136"/>
      <c r="BL51" s="136"/>
      <c r="BM51" s="138"/>
      <c r="BN51" s="135" t="s">
        <v>30</v>
      </c>
      <c r="BO51" s="136"/>
      <c r="BP51" s="136"/>
      <c r="BQ51" s="138"/>
      <c r="BR51" s="28"/>
      <c r="BS51" s="28"/>
      <c r="BT51" s="28"/>
      <c r="BU51" s="28"/>
      <c r="BV51" s="28"/>
    </row>
    <row r="52" spans="1:87" ht="13.5" customHeight="1">
      <c r="A52" s="22"/>
      <c r="B52" s="186">
        <v>9</v>
      </c>
      <c r="C52" s="289">
        <v>2</v>
      </c>
      <c r="D52" s="134"/>
      <c r="E52" s="135"/>
      <c r="F52" s="135"/>
      <c r="G52" s="137"/>
      <c r="H52" s="226"/>
      <c r="I52" s="136"/>
      <c r="J52" s="136"/>
      <c r="K52" s="136"/>
      <c r="L52" s="145"/>
      <c r="M52" s="146"/>
      <c r="N52" s="226"/>
      <c r="O52" s="136"/>
      <c r="P52" s="136"/>
      <c r="Q52" s="90" t="s">
        <v>33</v>
      </c>
      <c r="R52" s="601"/>
      <c r="S52" s="602"/>
      <c r="T52" s="602"/>
      <c r="U52" s="603"/>
      <c r="V52" s="134"/>
      <c r="W52" s="136"/>
      <c r="X52" s="136"/>
      <c r="Y52" s="90" t="s">
        <v>33</v>
      </c>
      <c r="Z52" s="616"/>
      <c r="AA52" s="617"/>
      <c r="AB52" s="617"/>
      <c r="AC52" s="617"/>
      <c r="AD52" s="618"/>
      <c r="AE52" s="134"/>
      <c r="AF52" s="136"/>
      <c r="AG52" s="136"/>
      <c r="AH52" s="90" t="s">
        <v>33</v>
      </c>
      <c r="AI52" s="604"/>
      <c r="AJ52" s="605"/>
      <c r="AK52" s="605"/>
      <c r="AL52" s="606"/>
      <c r="AM52" s="604"/>
      <c r="AN52" s="605"/>
      <c r="AO52" s="605"/>
      <c r="AP52" s="606"/>
      <c r="AQ52" s="607"/>
      <c r="AR52" s="608"/>
      <c r="AS52" s="608"/>
      <c r="AT52" s="609"/>
      <c r="AU52" s="604"/>
      <c r="AV52" s="605"/>
      <c r="AW52" s="605"/>
      <c r="AX52" s="606"/>
      <c r="AY52" s="604"/>
      <c r="AZ52" s="605"/>
      <c r="BA52" s="605"/>
      <c r="BB52" s="606"/>
      <c r="BC52" s="604"/>
      <c r="BD52" s="605"/>
      <c r="BE52" s="605"/>
      <c r="BF52" s="606"/>
      <c r="BG52" s="613"/>
      <c r="BH52" s="614"/>
      <c r="BI52" s="615"/>
      <c r="BJ52" s="134"/>
      <c r="BK52" s="136"/>
      <c r="BL52" s="136"/>
      <c r="BM52" s="138"/>
      <c r="BN52" s="135"/>
      <c r="BO52" s="136"/>
      <c r="BP52" s="136"/>
      <c r="BQ52" s="138"/>
      <c r="BR52" s="28"/>
      <c r="BS52" s="28"/>
      <c r="BT52" s="28"/>
      <c r="BU52" s="28"/>
      <c r="BV52" s="28"/>
    </row>
    <row r="53" spans="1:87" ht="13.5" customHeight="1">
      <c r="A53" s="22"/>
      <c r="B53" s="186">
        <v>10</v>
      </c>
      <c r="C53" s="291"/>
      <c r="D53" s="63"/>
      <c r="E53" s="63"/>
      <c r="F53" s="63"/>
      <c r="G53" s="63"/>
      <c r="H53" s="63"/>
      <c r="I53" s="63"/>
      <c r="J53" s="63"/>
      <c r="K53" s="63"/>
      <c r="L53" s="63"/>
      <c r="M53" s="60"/>
      <c r="N53" s="61"/>
      <c r="O53" s="63"/>
      <c r="P53" s="63"/>
      <c r="Q53" s="62"/>
      <c r="R53" s="61"/>
      <c r="S53" s="174"/>
      <c r="T53" s="174"/>
      <c r="U53" s="175"/>
      <c r="V53" s="176"/>
      <c r="W53" s="174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  <c r="AM53" s="61"/>
      <c r="AN53" s="61"/>
      <c r="AO53" s="61"/>
      <c r="AP53" s="61"/>
      <c r="AQ53" s="61"/>
      <c r="AR53" s="61"/>
      <c r="AS53" s="61"/>
      <c r="AT53" s="61"/>
      <c r="AU53" s="61"/>
      <c r="AV53" s="61"/>
      <c r="AW53" s="61"/>
      <c r="AX53" s="61"/>
      <c r="AY53" s="61"/>
      <c r="AZ53" s="31"/>
      <c r="BA53" s="35"/>
      <c r="BB53" s="35"/>
      <c r="BC53" s="292"/>
      <c r="BD53" s="28"/>
    </row>
    <row r="54" spans="1:87" ht="13.5" customHeight="1">
      <c r="A54" s="22"/>
      <c r="B54" s="186">
        <v>14</v>
      </c>
      <c r="C54" s="293"/>
      <c r="D54" s="63"/>
      <c r="E54" s="63"/>
      <c r="F54" s="63"/>
      <c r="G54" s="63"/>
      <c r="H54" s="63"/>
      <c r="I54" s="63"/>
      <c r="J54" s="63"/>
      <c r="K54" s="182"/>
      <c r="L54" s="63"/>
      <c r="M54" s="63"/>
      <c r="N54" s="63"/>
      <c r="O54" s="63"/>
      <c r="P54" s="63"/>
      <c r="Q54" s="182"/>
      <c r="R54" s="63"/>
      <c r="S54" s="63"/>
      <c r="T54" s="63"/>
      <c r="U54" s="182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113"/>
      <c r="AK54" s="103"/>
      <c r="AL54" s="60"/>
      <c r="AM54" s="61"/>
      <c r="AN54" s="61"/>
      <c r="AO54" s="61"/>
      <c r="AP54" s="61"/>
      <c r="AQ54" s="62"/>
      <c r="AR54" s="61"/>
      <c r="AS54" s="63"/>
      <c r="AT54" s="63"/>
      <c r="AU54" s="63"/>
      <c r="AV54" s="63"/>
      <c r="AW54" s="63"/>
      <c r="AX54" s="63"/>
      <c r="AY54" s="61"/>
      <c r="AZ54" s="31"/>
      <c r="BA54" s="35"/>
      <c r="BB54" s="35"/>
      <c r="BC54" s="292"/>
      <c r="BD54" s="28"/>
    </row>
    <row r="55" spans="1:87" ht="13.5" customHeight="1">
      <c r="A55" s="22"/>
      <c r="B55" s="186">
        <v>15</v>
      </c>
      <c r="C55" s="294" t="s">
        <v>67</v>
      </c>
      <c r="D55" s="207"/>
      <c r="E55" s="208"/>
      <c r="F55" s="207"/>
      <c r="G55" s="208"/>
      <c r="H55" s="209"/>
      <c r="I55" s="210"/>
      <c r="J55" s="211"/>
      <c r="K55" s="211"/>
      <c r="L55" s="211"/>
      <c r="M55" s="212"/>
      <c r="N55" s="211"/>
      <c r="O55" s="211"/>
      <c r="P55" s="211"/>
      <c r="Q55" s="213"/>
      <c r="R55" s="211"/>
      <c r="S55" s="211"/>
      <c r="T55" s="211"/>
      <c r="U55" s="211"/>
      <c r="V55" s="211"/>
      <c r="W55" s="213"/>
      <c r="X55" s="211"/>
      <c r="Y55" s="211"/>
      <c r="Z55" s="211"/>
      <c r="AA55" s="213"/>
      <c r="AB55" s="211"/>
      <c r="AC55" s="211"/>
      <c r="AD55" s="211"/>
      <c r="AE55" s="211"/>
      <c r="AF55" s="211"/>
      <c r="AG55" s="216"/>
      <c r="AH55" s="211"/>
      <c r="AI55" s="211"/>
      <c r="AJ55" s="211"/>
      <c r="AK55" s="211"/>
      <c r="AL55" s="211"/>
      <c r="AM55" s="211"/>
      <c r="AN55" s="211"/>
      <c r="AO55" s="211"/>
      <c r="AP55" s="211"/>
      <c r="AQ55" s="214"/>
      <c r="AR55" s="211"/>
      <c r="AS55" s="214"/>
      <c r="AT55" s="211"/>
      <c r="AU55" s="211"/>
      <c r="AV55" s="211"/>
      <c r="AW55" s="211"/>
      <c r="AX55" s="211"/>
      <c r="AY55" s="208"/>
      <c r="AZ55" s="208"/>
      <c r="BA55" s="215"/>
      <c r="BB55" s="215"/>
      <c r="BC55" s="295"/>
      <c r="BD55" s="28"/>
    </row>
    <row r="56" spans="1:87" ht="13.5" customHeight="1">
      <c r="A56" s="22"/>
      <c r="B56" s="186"/>
      <c r="C56" s="336"/>
      <c r="D56" s="60"/>
      <c r="E56" s="61"/>
      <c r="F56" s="60"/>
      <c r="G56" s="61"/>
      <c r="H56" s="339"/>
      <c r="I56" s="340"/>
      <c r="J56" s="70"/>
      <c r="K56" s="70"/>
      <c r="L56" s="70"/>
      <c r="M56" s="341"/>
      <c r="N56" s="70"/>
      <c r="O56" s="70"/>
      <c r="P56" s="70"/>
      <c r="Q56" s="342"/>
      <c r="R56" s="70"/>
      <c r="S56" s="70"/>
      <c r="T56" s="70"/>
      <c r="U56" s="70"/>
      <c r="V56" s="70"/>
      <c r="W56" s="342"/>
      <c r="X56" s="63"/>
      <c r="Y56" s="63"/>
      <c r="Z56" s="63"/>
      <c r="AA56" s="182"/>
      <c r="AB56" s="63"/>
      <c r="AC56" s="63"/>
      <c r="AD56" s="63"/>
      <c r="AE56" s="63"/>
      <c r="AF56" s="63"/>
      <c r="AG56" s="142"/>
      <c r="AH56" s="63"/>
      <c r="AI56" s="63"/>
      <c r="AJ56" s="63"/>
      <c r="AK56" s="63"/>
      <c r="AL56" s="63"/>
      <c r="AM56" s="63"/>
      <c r="AN56" s="63"/>
      <c r="AO56" s="63"/>
      <c r="AP56" s="63"/>
      <c r="AQ56" s="113"/>
      <c r="AR56" s="63"/>
      <c r="AS56" s="113"/>
      <c r="AT56" s="63"/>
      <c r="AU56" s="63"/>
      <c r="AV56" s="63"/>
      <c r="AW56" s="63"/>
      <c r="AX56" s="63"/>
      <c r="AY56" s="61"/>
      <c r="AZ56" s="94"/>
      <c r="BA56" s="337"/>
      <c r="BB56"/>
      <c r="BC56" s="338"/>
      <c r="BD56" s="28"/>
    </row>
    <row r="57" spans="1:87" ht="13.5" customHeight="1">
      <c r="A57" s="22"/>
      <c r="B57" s="186">
        <v>16</v>
      </c>
      <c r="C57" s="291"/>
      <c r="D57" s="63"/>
      <c r="E57" s="63"/>
      <c r="F57" s="63"/>
      <c r="G57" s="63"/>
      <c r="H57" s="63"/>
      <c r="I57" s="63"/>
      <c r="J57" s="63"/>
      <c r="K57" s="63"/>
      <c r="L57" s="63"/>
      <c r="M57" s="60"/>
      <c r="N57" s="63"/>
      <c r="O57" s="63"/>
      <c r="P57" s="61"/>
      <c r="Q57" s="62"/>
      <c r="R57" s="61"/>
      <c r="S57" s="102"/>
      <c r="T57" s="103"/>
      <c r="U57" s="102"/>
      <c r="V57" s="103"/>
      <c r="W57" s="102"/>
      <c r="X57" s="102"/>
      <c r="Y57" s="102"/>
      <c r="Z57" s="102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AL57" s="63"/>
      <c r="AM57" s="63"/>
      <c r="AN57" s="63"/>
      <c r="AO57" s="63"/>
      <c r="AP57" s="63"/>
      <c r="AQ57" s="63"/>
      <c r="AR57" s="63"/>
      <c r="AS57" s="63"/>
      <c r="AT57" s="63"/>
      <c r="AU57" s="63"/>
      <c r="AV57" s="63"/>
      <c r="AW57" s="63"/>
      <c r="AX57" s="63"/>
      <c r="AY57" s="61"/>
      <c r="AZ57" s="51"/>
      <c r="BA57" s="304"/>
      <c r="BB57" s="305"/>
      <c r="BC57" s="306"/>
      <c r="BD57" s="28"/>
    </row>
    <row r="58" spans="1:87" ht="13.5" customHeight="1">
      <c r="A58" s="22"/>
      <c r="B58" s="186">
        <v>17</v>
      </c>
      <c r="C58" s="291"/>
      <c r="D58" s="63"/>
      <c r="E58" s="63"/>
      <c r="F58" s="63"/>
      <c r="G58" s="63"/>
      <c r="H58" s="114"/>
      <c r="I58" s="63"/>
      <c r="J58" s="63"/>
      <c r="K58" s="63"/>
      <c r="L58" s="182"/>
      <c r="M58" s="63"/>
      <c r="N58" s="63"/>
      <c r="O58" s="63"/>
      <c r="P58" s="182"/>
      <c r="Q58" s="63"/>
      <c r="R58" s="63"/>
      <c r="S58" s="63"/>
      <c r="T58" s="182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113"/>
      <c r="AL58" s="63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1"/>
      <c r="AZ58" s="31"/>
      <c r="BA58" s="30"/>
      <c r="BB58" s="159"/>
      <c r="BC58" s="306"/>
      <c r="BD58" s="28"/>
      <c r="BM58" s="628">
        <f>1-(0.0673/0.1359)</f>
        <v>0.50478292862398821</v>
      </c>
      <c r="BN58" s="628"/>
      <c r="BO58" s="628"/>
      <c r="BP58" s="628"/>
    </row>
    <row r="59" spans="1:87" ht="5.15" customHeight="1">
      <c r="A59" s="22"/>
      <c r="B59" s="186"/>
      <c r="C59" s="296"/>
      <c r="D59" s="69"/>
      <c r="E59" s="69"/>
      <c r="F59" s="69"/>
      <c r="G59" s="69"/>
      <c r="H59" s="297"/>
      <c r="I59" s="257"/>
      <c r="J59" s="255"/>
      <c r="K59" s="257"/>
      <c r="L59" s="255"/>
      <c r="M59" s="298"/>
      <c r="N59" s="298"/>
      <c r="O59" s="252"/>
      <c r="P59" s="298"/>
      <c r="Q59" s="252"/>
      <c r="R59" s="298"/>
      <c r="S59" s="69"/>
      <c r="T59" s="69"/>
      <c r="U59" s="69"/>
      <c r="V59" s="69"/>
      <c r="W59" s="69"/>
      <c r="X59" s="297"/>
      <c r="Y59" s="257"/>
      <c r="Z59" s="255"/>
      <c r="AA59" s="257"/>
      <c r="AB59" s="255"/>
      <c r="AC59" s="298"/>
      <c r="AD59" s="298"/>
      <c r="AE59" s="252"/>
      <c r="AF59" s="298"/>
      <c r="AG59" s="252"/>
      <c r="AH59" s="298"/>
      <c r="AI59" s="258"/>
      <c r="AJ59" s="298"/>
      <c r="AK59" s="252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299"/>
      <c r="AW59" s="69"/>
      <c r="AX59" s="69"/>
      <c r="AY59" s="251"/>
      <c r="AZ59" s="251"/>
      <c r="BA59" s="300"/>
      <c r="BB59" s="301"/>
      <c r="BC59" s="302"/>
      <c r="BD59" s="28"/>
    </row>
    <row r="60" spans="1:87" ht="13.5" customHeight="1">
      <c r="A60" s="22"/>
      <c r="B60" s="186">
        <v>18</v>
      </c>
      <c r="C60" s="71"/>
      <c r="D60" s="61"/>
      <c r="E60" s="61"/>
      <c r="F60" s="61"/>
      <c r="G60" s="61"/>
      <c r="H60" s="66"/>
      <c r="I60" s="66"/>
      <c r="J60" s="63"/>
      <c r="K60" s="66"/>
      <c r="L60" s="63"/>
      <c r="M60" s="66"/>
      <c r="N60" s="62"/>
      <c r="O60" s="66"/>
      <c r="P60" s="63"/>
      <c r="Q60" s="63"/>
      <c r="R60" s="63"/>
      <c r="S60" s="61"/>
      <c r="T60" s="61"/>
      <c r="U60" s="61"/>
      <c r="V60" s="61"/>
      <c r="W60" s="61"/>
      <c r="X60" s="62"/>
      <c r="Y60" s="61"/>
      <c r="Z60" s="63"/>
      <c r="AA60" s="62"/>
      <c r="AB60" s="61"/>
      <c r="AC60" s="63"/>
      <c r="AD60" s="62"/>
      <c r="AE60" s="63"/>
      <c r="AF60" s="63"/>
      <c r="AG60" s="62"/>
      <c r="AH60" s="63"/>
      <c r="AI60" s="63"/>
      <c r="AJ60" s="114"/>
      <c r="AK60" s="63"/>
      <c r="AL60" s="63"/>
      <c r="AM60" s="63"/>
      <c r="AN60" s="63"/>
      <c r="AO60" s="63"/>
      <c r="AP60" s="63"/>
      <c r="AQ60" s="63"/>
      <c r="AR60" s="63"/>
      <c r="AS60" s="63"/>
      <c r="AT60" s="63"/>
      <c r="AU60" s="63"/>
      <c r="AV60" s="63"/>
      <c r="AW60" s="63"/>
      <c r="AX60" s="63"/>
      <c r="AY60" s="61"/>
      <c r="AZ60" s="246"/>
      <c r="BA60" s="282"/>
      <c r="BB60" s="283"/>
      <c r="BC60" s="317"/>
      <c r="BD60" s="28"/>
    </row>
    <row r="61" spans="1:87" ht="13.5" customHeight="1">
      <c r="A61" s="22"/>
      <c r="B61" s="186">
        <v>20</v>
      </c>
      <c r="C61" s="188" t="s">
        <v>71</v>
      </c>
      <c r="D61" s="28"/>
      <c r="E61" s="28"/>
      <c r="F61" s="28"/>
      <c r="G61" s="28"/>
      <c r="H61" s="109"/>
      <c r="I61" s="60"/>
      <c r="J61" s="61"/>
      <c r="K61" s="60"/>
      <c r="L61" s="61"/>
      <c r="M61" s="66"/>
      <c r="N61" s="66"/>
      <c r="O61" s="63"/>
      <c r="P61" s="66"/>
      <c r="Q61" s="63"/>
      <c r="R61" s="66"/>
      <c r="S61" s="28"/>
      <c r="T61" s="28"/>
      <c r="U61" s="28"/>
      <c r="V61" s="28"/>
      <c r="W61" s="28"/>
      <c r="X61" s="109"/>
      <c r="Y61" s="60"/>
      <c r="Z61" s="61"/>
      <c r="AA61" s="60"/>
      <c r="AB61" s="61"/>
      <c r="AC61" s="66"/>
      <c r="AD61" s="66"/>
      <c r="AE61" s="63"/>
      <c r="AF61" s="66"/>
      <c r="AG61" s="63"/>
      <c r="AH61" s="66"/>
      <c r="AI61" s="62"/>
      <c r="AJ61" s="66"/>
      <c r="AK61" s="63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17"/>
      <c r="AW61" s="28"/>
      <c r="AX61" s="28"/>
      <c r="AY61" s="31"/>
      <c r="AZ61" s="251"/>
      <c r="BA61" s="300"/>
      <c r="BB61" s="301"/>
      <c r="BC61" s="318"/>
      <c r="BD61" s="28"/>
    </row>
    <row r="62" spans="1:87" ht="5.15" customHeight="1">
      <c r="A62" s="22"/>
      <c r="B62" s="186"/>
      <c r="C62" s="277"/>
      <c r="D62" s="68"/>
      <c r="E62" s="68"/>
      <c r="F62" s="68"/>
      <c r="G62" s="68"/>
      <c r="H62" s="278"/>
      <c r="I62" s="260"/>
      <c r="J62" s="261"/>
      <c r="K62" s="260"/>
      <c r="L62" s="261"/>
      <c r="M62" s="279"/>
      <c r="N62" s="279"/>
      <c r="O62" s="245"/>
      <c r="P62" s="279"/>
      <c r="Q62" s="245"/>
      <c r="R62" s="279"/>
      <c r="S62" s="68"/>
      <c r="T62" s="68"/>
      <c r="U62" s="68"/>
      <c r="V62" s="68"/>
      <c r="W62" s="68"/>
      <c r="X62" s="278"/>
      <c r="Y62" s="260"/>
      <c r="Z62" s="261"/>
      <c r="AA62" s="260"/>
      <c r="AB62" s="261"/>
      <c r="AC62" s="279"/>
      <c r="AD62" s="279"/>
      <c r="AE62" s="245"/>
      <c r="AF62" s="279"/>
      <c r="AG62" s="245"/>
      <c r="AH62" s="279"/>
      <c r="AI62" s="262"/>
      <c r="AJ62" s="279"/>
      <c r="AK62" s="245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281"/>
      <c r="AW62" s="68"/>
      <c r="AX62" s="68"/>
      <c r="AY62" s="246"/>
      <c r="AZ62" s="246"/>
      <c r="BA62" s="282"/>
      <c r="BB62" s="283"/>
      <c r="BC62" s="284"/>
      <c r="BD62" s="28"/>
    </row>
    <row r="63" spans="1:87" ht="13.5" customHeight="1">
      <c r="A63" s="22"/>
      <c r="B63" s="186">
        <v>21</v>
      </c>
      <c r="C63" s="285" t="s">
        <v>32</v>
      </c>
      <c r="D63" s="218" t="s">
        <v>144</v>
      </c>
      <c r="E63" s="219"/>
      <c r="F63" s="218" t="s">
        <v>61</v>
      </c>
      <c r="G63" s="219"/>
      <c r="H63" s="219"/>
      <c r="I63" s="220"/>
      <c r="J63" s="221" t="s">
        <v>34</v>
      </c>
      <c r="K63" s="222"/>
      <c r="L63" s="222"/>
      <c r="M63" s="222"/>
      <c r="N63" s="219"/>
      <c r="O63" s="220"/>
      <c r="P63" s="223" t="s">
        <v>64</v>
      </c>
      <c r="Q63" s="224"/>
      <c r="R63" s="224"/>
      <c r="S63" s="225"/>
      <c r="T63" s="223" t="s">
        <v>99</v>
      </c>
      <c r="U63" s="224"/>
      <c r="V63" s="224"/>
      <c r="W63" s="225"/>
      <c r="X63" s="218" t="s">
        <v>72</v>
      </c>
      <c r="Y63" s="219"/>
      <c r="Z63" s="219"/>
      <c r="AA63" s="220"/>
      <c r="AB63" s="218" t="s">
        <v>98</v>
      </c>
      <c r="AC63" s="219"/>
      <c r="AD63" s="219"/>
      <c r="AE63" s="219"/>
      <c r="AF63" s="223" t="s">
        <v>62</v>
      </c>
      <c r="AG63" s="224"/>
      <c r="AH63" s="224"/>
      <c r="AI63" s="224"/>
      <c r="AJ63" s="225"/>
      <c r="AK63" s="224" t="s">
        <v>116</v>
      </c>
      <c r="AL63" s="224"/>
      <c r="AM63" s="224"/>
      <c r="AN63" s="225"/>
      <c r="AO63" s="224" t="s">
        <v>106</v>
      </c>
      <c r="AP63" s="224"/>
      <c r="AQ63" s="224"/>
      <c r="AR63" s="225"/>
      <c r="AS63" s="224" t="s">
        <v>117</v>
      </c>
      <c r="AT63" s="224"/>
      <c r="AU63" s="224"/>
      <c r="AV63" s="225"/>
      <c r="AW63" s="224" t="s">
        <v>63</v>
      </c>
      <c r="AX63" s="224"/>
      <c r="AY63" s="224"/>
      <c r="AZ63" s="225"/>
      <c r="BA63" s="223" t="s">
        <v>118</v>
      </c>
      <c r="BB63" s="224"/>
      <c r="BC63" s="224"/>
      <c r="BD63" s="224"/>
      <c r="BE63" s="223" t="s">
        <v>111</v>
      </c>
      <c r="BF63" s="224"/>
      <c r="BG63" s="224"/>
      <c r="BH63" s="225"/>
      <c r="BI63" s="223" t="s">
        <v>119</v>
      </c>
      <c r="BJ63" s="224"/>
      <c r="BK63" s="224"/>
      <c r="BL63" s="225"/>
      <c r="BM63" s="223" t="s">
        <v>122</v>
      </c>
      <c r="BN63" s="224"/>
      <c r="BO63" s="224"/>
      <c r="BP63" s="225"/>
      <c r="BQ63" s="223" t="s">
        <v>73</v>
      </c>
      <c r="BR63" s="224"/>
      <c r="BS63" s="224"/>
      <c r="BT63" s="225"/>
      <c r="BU63" s="223" t="s">
        <v>74</v>
      </c>
      <c r="BV63" s="224"/>
      <c r="BW63" s="224"/>
      <c r="BX63" s="225"/>
      <c r="BY63" s="224" t="s">
        <v>75</v>
      </c>
      <c r="BZ63" s="224"/>
      <c r="CA63" s="225"/>
      <c r="CB63" s="224" t="s">
        <v>76</v>
      </c>
      <c r="CC63" s="224"/>
      <c r="CD63" s="224"/>
      <c r="CE63" s="225"/>
      <c r="CF63" s="224" t="s">
        <v>65</v>
      </c>
      <c r="CG63" s="224"/>
      <c r="CH63" s="224"/>
      <c r="CI63" s="225"/>
    </row>
    <row r="64" spans="1:87" ht="13.5" customHeight="1">
      <c r="A64" s="22"/>
      <c r="B64" s="186">
        <v>22</v>
      </c>
      <c r="C64" s="289">
        <v>1</v>
      </c>
      <c r="D64" s="134" t="str">
        <f>N51</f>
        <v>KFH</v>
      </c>
      <c r="E64" s="135"/>
      <c r="F64" s="134" t="str">
        <f>D51</f>
        <v>4800215830</v>
      </c>
      <c r="G64" s="135"/>
      <c r="H64" s="135"/>
      <c r="I64" s="137"/>
      <c r="J64" s="226" t="str">
        <f>H51</f>
        <v>TF38-20S-0.5SV(830)</v>
      </c>
      <c r="K64" s="136"/>
      <c r="L64" s="136"/>
      <c r="M64" s="136"/>
      <c r="N64" s="145"/>
      <c r="O64" s="146"/>
      <c r="P64" s="134" t="s">
        <v>97</v>
      </c>
      <c r="Q64" s="136"/>
      <c r="R64" s="136"/>
      <c r="S64" s="146"/>
      <c r="T64" s="134" t="str">
        <f>AE51</f>
        <v>USD</v>
      </c>
      <c r="U64" s="136"/>
      <c r="V64" s="136"/>
      <c r="W64" s="146"/>
      <c r="X64" s="601">
        <f>R51</f>
        <v>70000</v>
      </c>
      <c r="Y64" s="602"/>
      <c r="Z64" s="602"/>
      <c r="AA64" s="603"/>
      <c r="AB64" s="604">
        <f>Z51</f>
        <v>6.7299999999999999E-2</v>
      </c>
      <c r="AC64" s="605"/>
      <c r="AD64" s="605"/>
      <c r="AE64" s="606"/>
      <c r="AF64" s="604">
        <f>BC51</f>
        <v>0.151</v>
      </c>
      <c r="AG64" s="605"/>
      <c r="AH64" s="605"/>
      <c r="AI64" s="605"/>
      <c r="AJ64" s="606"/>
      <c r="AK64" s="604">
        <f>AM51</f>
        <v>0.12</v>
      </c>
      <c r="AL64" s="605"/>
      <c r="AM64" s="605"/>
      <c r="AN64" s="606"/>
      <c r="AO64" s="604">
        <f>AI51</f>
        <v>0.1211</v>
      </c>
      <c r="AP64" s="605"/>
      <c r="AQ64" s="605"/>
      <c r="AR64" s="606"/>
      <c r="AS64" s="604">
        <f>AI51/(1-AQ51)</f>
        <v>0.12232323232323232</v>
      </c>
      <c r="AT64" s="605"/>
      <c r="AU64" s="605"/>
      <c r="AV64" s="606"/>
      <c r="AW64" s="604">
        <f>AO64-(AS64*$K$20)</f>
        <v>0.11498383838383838</v>
      </c>
      <c r="AX64" s="605"/>
      <c r="AY64" s="605"/>
      <c r="AZ64" s="606"/>
      <c r="BA64" s="622">
        <f>IFERROR((AI51-AM51)/AM51,"")</f>
        <v>9.1666666666666979E-3</v>
      </c>
      <c r="BB64" s="623"/>
      <c r="BC64" s="623"/>
      <c r="BD64" s="624"/>
      <c r="BE64" s="625">
        <f>AU51</f>
        <v>0.13589999999999999</v>
      </c>
      <c r="BF64" s="626"/>
      <c r="BG64" s="626"/>
      <c r="BH64" s="627"/>
      <c r="BI64" s="619">
        <f>1-AI51/(1-AQ51)/AU51</f>
        <v>9.990263191146187E-2</v>
      </c>
      <c r="BJ64" s="620"/>
      <c r="BK64" s="620"/>
      <c r="BL64" s="621"/>
      <c r="BM64" s="619">
        <f>1-AB64/BE64</f>
        <v>0.50478292862398821</v>
      </c>
      <c r="BN64" s="620"/>
      <c r="BO64" s="620"/>
      <c r="BP64" s="621"/>
      <c r="BQ64" s="613">
        <f>AY51</f>
        <v>0.151</v>
      </c>
      <c r="BR64" s="614"/>
      <c r="BS64" s="614"/>
      <c r="BT64" s="615"/>
      <c r="BU64" s="619">
        <f>1-AU51/AY51</f>
        <v>9.9999999999999978E-2</v>
      </c>
      <c r="BV64" s="620"/>
      <c r="BW64" s="620"/>
      <c r="BX64" s="621"/>
      <c r="BY64" s="604">
        <f>BG51</f>
        <v>6.1000000000000004E-3</v>
      </c>
      <c r="BZ64" s="605"/>
      <c r="CA64" s="606"/>
      <c r="CB64" s="135" t="str">
        <f>BJ51</f>
        <v>JAE</v>
      </c>
      <c r="CC64" s="136"/>
      <c r="CD64" s="136"/>
      <c r="CE64" s="138"/>
      <c r="CF64" s="135" t="s">
        <v>30</v>
      </c>
      <c r="CG64" s="136"/>
      <c r="CH64" s="136"/>
      <c r="CI64" s="138"/>
    </row>
    <row r="65" spans="1:87" ht="13.5" customHeight="1">
      <c r="A65" s="22"/>
      <c r="B65" s="362">
        <v>20</v>
      </c>
      <c r="C65" s="188" t="s">
        <v>162</v>
      </c>
      <c r="D65" s="28"/>
      <c r="E65" s="28"/>
      <c r="F65" s="28"/>
      <c r="G65" s="28"/>
      <c r="H65" s="109"/>
      <c r="I65" s="60"/>
      <c r="J65" s="61"/>
      <c r="K65" s="60"/>
      <c r="L65" s="61"/>
      <c r="M65" s="66"/>
      <c r="N65" s="66"/>
      <c r="O65" s="63"/>
      <c r="P65" s="66"/>
      <c r="Q65" s="63"/>
      <c r="R65" s="66"/>
      <c r="S65" s="28"/>
      <c r="T65" s="28"/>
      <c r="U65" s="28"/>
      <c r="V65" s="28"/>
      <c r="W65" s="28"/>
      <c r="X65" s="109"/>
      <c r="Y65" s="60"/>
      <c r="Z65" s="61"/>
      <c r="AA65" s="60"/>
      <c r="AB65" s="61"/>
      <c r="AC65" s="66"/>
      <c r="AD65" s="66"/>
      <c r="AE65" s="63"/>
      <c r="AF65" s="66"/>
      <c r="AG65" s="63"/>
      <c r="AH65" s="66"/>
      <c r="AI65" s="62"/>
      <c r="AJ65" s="66"/>
      <c r="AK65" s="63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17"/>
      <c r="AW65" s="28"/>
      <c r="AX65" s="28"/>
      <c r="AY65" s="31"/>
      <c r="AZ65" s="50"/>
      <c r="BA65" s="85"/>
      <c r="BB65" s="307"/>
      <c r="BC65" s="308"/>
      <c r="BD65" s="26"/>
      <c r="BE65" s="26"/>
      <c r="BF65" s="26"/>
    </row>
    <row r="66" spans="1:87" ht="13.5" customHeight="1">
      <c r="A66" s="22"/>
      <c r="B66" s="186">
        <v>24</v>
      </c>
      <c r="C66" s="285"/>
      <c r="D66" s="372" t="s">
        <v>161</v>
      </c>
      <c r="E66" s="373"/>
      <c r="F66" s="374" t="s">
        <v>171</v>
      </c>
      <c r="G66" s="373"/>
      <c r="H66" s="373"/>
      <c r="I66" s="375"/>
      <c r="J66" s="374" t="s">
        <v>30</v>
      </c>
      <c r="K66" s="376"/>
      <c r="L66" s="376"/>
      <c r="M66" s="376"/>
      <c r="N66" s="373"/>
      <c r="O66" s="375"/>
      <c r="P66" s="380" t="s">
        <v>30</v>
      </c>
      <c r="Q66" s="378"/>
      <c r="R66" s="378"/>
      <c r="S66" s="379"/>
      <c r="T66" s="372"/>
      <c r="U66" s="373"/>
      <c r="V66" s="373"/>
      <c r="W66" s="375"/>
      <c r="X66" s="378" t="s">
        <v>125</v>
      </c>
      <c r="Y66" s="373"/>
      <c r="Z66" s="373"/>
      <c r="AA66" s="373"/>
      <c r="AB66" s="377" t="s">
        <v>120</v>
      </c>
      <c r="AC66" s="373"/>
      <c r="AD66" s="373"/>
      <c r="AE66" s="373"/>
      <c r="AF66" s="377" t="s">
        <v>121</v>
      </c>
      <c r="AG66" s="378"/>
      <c r="AH66" s="378"/>
      <c r="AI66" s="378"/>
      <c r="AJ66" s="379"/>
      <c r="AK66" s="377" t="s">
        <v>122</v>
      </c>
      <c r="AL66" s="378"/>
      <c r="AM66" s="378"/>
      <c r="AN66" s="379"/>
      <c r="AO66" s="377" t="s">
        <v>123</v>
      </c>
      <c r="AP66" s="378"/>
      <c r="AQ66" s="378"/>
      <c r="AR66" s="379"/>
      <c r="AS66" s="377" t="s">
        <v>124</v>
      </c>
      <c r="AT66" s="378"/>
      <c r="AU66" s="378"/>
      <c r="AV66" s="378"/>
      <c r="AW66" s="380" t="s">
        <v>30</v>
      </c>
      <c r="AX66" s="378"/>
      <c r="AY66" s="378"/>
      <c r="AZ66" s="379"/>
      <c r="BA66" s="380"/>
      <c r="BB66" s="378"/>
      <c r="BC66" s="378"/>
      <c r="BD66" s="379"/>
      <c r="BE66" s="381"/>
      <c r="BF66" s="378"/>
      <c r="BG66" s="378"/>
      <c r="BH66" s="379"/>
      <c r="BI66" s="381" t="s">
        <v>30</v>
      </c>
      <c r="BJ66" s="378"/>
      <c r="BK66" s="378"/>
      <c r="BL66" s="379"/>
      <c r="BM66" s="381" t="s">
        <v>30</v>
      </c>
      <c r="BN66" s="378"/>
      <c r="BO66" s="378"/>
      <c r="BP66" s="379"/>
      <c r="BQ66" s="381" t="s">
        <v>30</v>
      </c>
      <c r="BR66" s="378"/>
      <c r="BS66" s="378"/>
      <c r="BT66" s="379"/>
      <c r="BU66" s="378"/>
      <c r="BV66" s="378"/>
      <c r="BW66" s="378"/>
      <c r="BX66" s="379"/>
      <c r="BY66" s="381" t="s">
        <v>30</v>
      </c>
      <c r="BZ66" s="378"/>
      <c r="CA66" s="379"/>
      <c r="CB66" s="378"/>
      <c r="CC66" s="378"/>
      <c r="CD66" s="378"/>
      <c r="CE66" s="379"/>
      <c r="CF66" s="378"/>
      <c r="CG66" s="378"/>
      <c r="CH66" s="378"/>
      <c r="CI66" s="379"/>
    </row>
    <row r="67" spans="1:87" ht="13.5" customHeight="1">
      <c r="A67" s="22"/>
      <c r="B67" s="186">
        <v>25</v>
      </c>
      <c r="C67" s="289">
        <v>1</v>
      </c>
      <c r="D67" s="134" t="s">
        <v>105</v>
      </c>
      <c r="E67" s="135"/>
      <c r="F67" s="134" t="s">
        <v>96</v>
      </c>
      <c r="G67" s="135"/>
      <c r="H67" s="135"/>
      <c r="I67" s="137"/>
      <c r="J67" s="205"/>
      <c r="K67" s="206"/>
      <c r="L67" s="206"/>
      <c r="M67" s="206"/>
      <c r="N67" s="145"/>
      <c r="O67" s="146"/>
      <c r="P67" s="134"/>
      <c r="Q67" s="136"/>
      <c r="R67" s="136"/>
      <c r="S67" s="146"/>
      <c r="T67" s="107"/>
      <c r="U67" s="108"/>
      <c r="V67" s="108"/>
      <c r="W67" s="146"/>
      <c r="X67" s="616">
        <f>SUMPRODUCT(X$64:AA$64,BE$64:BH$64)</f>
        <v>9513</v>
      </c>
      <c r="Y67" s="617"/>
      <c r="Z67" s="617"/>
      <c r="AA67" s="618"/>
      <c r="AB67" s="616">
        <f>SUMPRODUCT(X$64:AA$64,AB$64:AE$64)</f>
        <v>4711</v>
      </c>
      <c r="AC67" s="617"/>
      <c r="AD67" s="617"/>
      <c r="AE67" s="618"/>
      <c r="AF67" s="616">
        <f>X67-AB67</f>
        <v>4802</v>
      </c>
      <c r="AG67" s="617"/>
      <c r="AH67" s="617"/>
      <c r="AI67" s="617"/>
      <c r="AJ67" s="618"/>
      <c r="AK67" s="638">
        <f>AF67/X67</f>
        <v>0.50478292862398821</v>
      </c>
      <c r="AL67" s="639"/>
      <c r="AM67" s="639"/>
      <c r="AN67" s="640"/>
      <c r="AO67" s="638">
        <f>IFERROR(AS67/(X67-AS67),"")</f>
        <v>0.13249999999999998</v>
      </c>
      <c r="AP67" s="639"/>
      <c r="AQ67" s="639"/>
      <c r="AR67" s="640"/>
      <c r="AS67" s="641">
        <f>X$64*(BE$64-AK$64)</f>
        <v>1112.9999999999998</v>
      </c>
      <c r="AT67" s="642"/>
      <c r="AU67" s="642"/>
      <c r="AV67" s="643"/>
      <c r="AW67" s="632"/>
      <c r="AX67" s="633"/>
      <c r="AY67" s="633"/>
      <c r="AZ67" s="634"/>
      <c r="BA67" s="635"/>
      <c r="BB67" s="636"/>
      <c r="BC67" s="636"/>
      <c r="BD67" s="637"/>
      <c r="BE67" s="619"/>
      <c r="BF67" s="620"/>
      <c r="BG67" s="620"/>
      <c r="BH67" s="621"/>
      <c r="BI67" s="135" t="s">
        <v>30</v>
      </c>
      <c r="BJ67" s="136"/>
      <c r="BK67" s="136"/>
      <c r="BL67" s="138"/>
      <c r="BM67" s="135" t="s">
        <v>30</v>
      </c>
      <c r="BN67" s="136"/>
      <c r="BO67" s="136"/>
      <c r="BP67" s="138"/>
      <c r="BQ67" s="135" t="s">
        <v>30</v>
      </c>
      <c r="BR67" s="136"/>
      <c r="BS67" s="136"/>
      <c r="BT67" s="138"/>
      <c r="BU67" s="135" t="s">
        <v>30</v>
      </c>
      <c r="BV67" s="136"/>
      <c r="BW67" s="136"/>
      <c r="BX67" s="138"/>
      <c r="BY67" s="135" t="s">
        <v>30</v>
      </c>
      <c r="BZ67" s="136"/>
      <c r="CA67" s="138"/>
      <c r="CB67" s="135" t="s">
        <v>30</v>
      </c>
      <c r="CC67" s="136"/>
      <c r="CD67" s="136"/>
      <c r="CE67" s="138"/>
      <c r="CF67" s="135" t="s">
        <v>30</v>
      </c>
      <c r="CG67" s="136"/>
      <c r="CH67" s="136"/>
      <c r="CI67" s="138"/>
    </row>
    <row r="68" spans="1:87" ht="13.5" customHeight="1">
      <c r="A68" s="22"/>
      <c r="B68" s="186">
        <v>25</v>
      </c>
      <c r="C68" s="289">
        <v>2</v>
      </c>
      <c r="D68" s="134" t="s">
        <v>105</v>
      </c>
      <c r="E68" s="135"/>
      <c r="F68" s="134" t="s">
        <v>114</v>
      </c>
      <c r="G68" s="135"/>
      <c r="H68" s="135"/>
      <c r="I68" s="137"/>
      <c r="J68" s="205"/>
      <c r="K68" s="206"/>
      <c r="L68" s="206"/>
      <c r="M68" s="206"/>
      <c r="N68" s="145"/>
      <c r="O68" s="146"/>
      <c r="P68" s="134"/>
      <c r="Q68" s="136"/>
      <c r="R68" s="136"/>
      <c r="S68" s="146"/>
      <c r="T68" s="107"/>
      <c r="U68" s="108"/>
      <c r="V68" s="108"/>
      <c r="W68" s="146"/>
      <c r="X68" s="635">
        <f>SUMPRODUCT(X$64:AA$64,BE$64:BH$64)</f>
        <v>9513</v>
      </c>
      <c r="Y68" s="636"/>
      <c r="Z68" s="636"/>
      <c r="AA68" s="637"/>
      <c r="AB68" s="635">
        <f>SUMPRODUCT(X$64:AA$64,AB$64:AE$64)</f>
        <v>4711</v>
      </c>
      <c r="AC68" s="636"/>
      <c r="AD68" s="636"/>
      <c r="AE68" s="637"/>
      <c r="AF68" s="635">
        <f>X68-AB68</f>
        <v>4802</v>
      </c>
      <c r="AG68" s="636"/>
      <c r="AH68" s="636"/>
      <c r="AI68" s="636"/>
      <c r="AJ68" s="637"/>
      <c r="AK68" s="638">
        <f>AF68/X68</f>
        <v>0.50478292862398821</v>
      </c>
      <c r="AL68" s="639"/>
      <c r="AM68" s="639"/>
      <c r="AN68" s="640"/>
      <c r="AO68" s="638">
        <f>IFERROR(AS68/(X68-AS68),"")</f>
        <v>0.13249999999999998</v>
      </c>
      <c r="AP68" s="639"/>
      <c r="AQ68" s="639"/>
      <c r="AR68" s="640"/>
      <c r="AS68" s="629">
        <f>X$64*(BE$64-AK$64)</f>
        <v>1112.9999999999998</v>
      </c>
      <c r="AT68" s="630"/>
      <c r="AU68" s="630"/>
      <c r="AV68" s="631"/>
      <c r="AW68" s="632"/>
      <c r="AX68" s="633"/>
      <c r="AY68" s="633"/>
      <c r="AZ68" s="634"/>
      <c r="BA68" s="635"/>
      <c r="BB68" s="636"/>
      <c r="BC68" s="636"/>
      <c r="BD68" s="637"/>
      <c r="BE68" s="619"/>
      <c r="BF68" s="620"/>
      <c r="BG68" s="620"/>
      <c r="BH68" s="621"/>
      <c r="BI68" s="135" t="s">
        <v>30</v>
      </c>
      <c r="BJ68" s="136"/>
      <c r="BK68" s="136"/>
      <c r="BL68" s="138"/>
      <c r="BM68" s="135" t="s">
        <v>30</v>
      </c>
      <c r="BN68" s="136"/>
      <c r="BO68" s="136"/>
      <c r="BP68" s="138"/>
      <c r="BQ68" s="135" t="s">
        <v>30</v>
      </c>
      <c r="BR68" s="136"/>
      <c r="BS68" s="136"/>
      <c r="BT68" s="138"/>
      <c r="BU68" s="135" t="s">
        <v>30</v>
      </c>
      <c r="BV68" s="136"/>
      <c r="BW68" s="136"/>
      <c r="BX68" s="138"/>
      <c r="BY68" s="135" t="s">
        <v>30</v>
      </c>
      <c r="BZ68" s="136"/>
      <c r="CA68" s="138"/>
      <c r="CB68" s="135" t="s">
        <v>30</v>
      </c>
      <c r="CC68" s="136"/>
      <c r="CD68" s="136"/>
      <c r="CE68" s="138"/>
      <c r="CF68" s="135" t="s">
        <v>30</v>
      </c>
      <c r="CG68" s="136"/>
      <c r="CH68" s="136"/>
      <c r="CI68" s="138"/>
    </row>
    <row r="69" spans="1:87" ht="13.5" customHeight="1">
      <c r="A69" s="22"/>
      <c r="B69" s="362">
        <v>20</v>
      </c>
      <c r="C69" s="188" t="s">
        <v>160</v>
      </c>
      <c r="D69" s="28"/>
      <c r="E69" s="28"/>
      <c r="F69" s="28"/>
      <c r="G69" s="28"/>
      <c r="H69" s="109"/>
      <c r="I69" s="60"/>
      <c r="J69" s="61"/>
      <c r="K69" s="60"/>
      <c r="L69" s="61"/>
      <c r="M69" s="66"/>
      <c r="N69" s="66"/>
      <c r="O69" s="63"/>
      <c r="P69" s="66"/>
      <c r="Q69" s="63"/>
      <c r="R69" s="66"/>
      <c r="S69" s="28"/>
      <c r="T69" s="28"/>
      <c r="U69" s="28"/>
      <c r="V69" s="28"/>
      <c r="W69" s="28"/>
      <c r="X69" s="109"/>
      <c r="Y69" s="60"/>
      <c r="Z69" s="61"/>
      <c r="AA69" s="60"/>
      <c r="AB69" s="61"/>
      <c r="AC69" s="66"/>
      <c r="AD69" s="66"/>
      <c r="AE69" s="63"/>
      <c r="AF69" s="66"/>
      <c r="AG69" s="63"/>
      <c r="AH69" s="66"/>
      <c r="AI69" s="62"/>
      <c r="AJ69" s="66"/>
      <c r="AK69" s="63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17"/>
      <c r="AW69" s="28"/>
      <c r="AX69" s="28"/>
      <c r="AY69" s="31"/>
      <c r="AZ69" s="50"/>
      <c r="BA69" s="85"/>
      <c r="BB69" s="307"/>
      <c r="BC69" s="308"/>
      <c r="BD69" s="26"/>
      <c r="BE69" s="26"/>
      <c r="BF69" s="26"/>
    </row>
    <row r="70" spans="1:87" ht="13.5" customHeight="1">
      <c r="A70" s="22"/>
      <c r="B70" s="186">
        <v>24</v>
      </c>
      <c r="C70" s="285"/>
      <c r="D70" s="227"/>
      <c r="E70" s="228"/>
      <c r="F70" s="227" t="s">
        <v>172</v>
      </c>
      <c r="G70" s="228"/>
      <c r="H70" s="228"/>
      <c r="I70" s="229"/>
      <c r="J70" s="230" t="s">
        <v>30</v>
      </c>
      <c r="K70" s="231"/>
      <c r="L70" s="231"/>
      <c r="M70" s="231"/>
      <c r="N70" s="228"/>
      <c r="O70" s="229"/>
      <c r="P70" s="232"/>
      <c r="Q70" s="233"/>
      <c r="R70" s="233"/>
      <c r="S70" s="234"/>
      <c r="T70" s="227"/>
      <c r="U70" s="228"/>
      <c r="V70" s="228"/>
      <c r="W70" s="229"/>
      <c r="X70" s="233" t="s">
        <v>125</v>
      </c>
      <c r="Y70" s="228"/>
      <c r="Z70" s="228"/>
      <c r="AA70" s="228"/>
      <c r="AB70" s="232" t="s">
        <v>120</v>
      </c>
      <c r="AC70" s="228"/>
      <c r="AD70" s="228"/>
      <c r="AE70" s="228"/>
      <c r="AF70" s="232" t="s">
        <v>121</v>
      </c>
      <c r="AG70" s="233"/>
      <c r="AH70" s="233"/>
      <c r="AI70" s="233"/>
      <c r="AJ70" s="234"/>
      <c r="AK70" s="232" t="s">
        <v>122</v>
      </c>
      <c r="AL70" s="233"/>
      <c r="AM70" s="233"/>
      <c r="AN70" s="234"/>
      <c r="AO70" s="232" t="s">
        <v>123</v>
      </c>
      <c r="AP70" s="233"/>
      <c r="AQ70" s="233"/>
      <c r="AR70" s="234"/>
      <c r="AS70" s="232" t="s">
        <v>124</v>
      </c>
      <c r="AT70" s="233"/>
      <c r="AU70" s="233"/>
      <c r="AV70" s="233"/>
      <c r="AW70" s="236" t="s">
        <v>30</v>
      </c>
      <c r="AX70" s="233"/>
      <c r="AY70" s="233"/>
      <c r="AZ70" s="234"/>
      <c r="BA70" s="236"/>
      <c r="BB70" s="233"/>
      <c r="BC70" s="233"/>
      <c r="BD70" s="234"/>
      <c r="BE70" s="235"/>
      <c r="BF70" s="233"/>
      <c r="BG70" s="233"/>
      <c r="BH70" s="234"/>
      <c r="BI70" s="235" t="s">
        <v>30</v>
      </c>
      <c r="BJ70" s="233"/>
      <c r="BK70" s="233"/>
      <c r="BL70" s="234"/>
      <c r="BM70" s="235" t="s">
        <v>30</v>
      </c>
      <c r="BN70" s="233"/>
      <c r="BO70" s="233"/>
      <c r="BP70" s="234"/>
      <c r="BQ70" s="235" t="s">
        <v>30</v>
      </c>
      <c r="BR70" s="233"/>
      <c r="BS70" s="233"/>
      <c r="BT70" s="234"/>
      <c r="BU70" s="233"/>
      <c r="BV70" s="233"/>
      <c r="BW70" s="233"/>
      <c r="BX70" s="234"/>
      <c r="BY70" s="235" t="s">
        <v>30</v>
      </c>
      <c r="BZ70" s="233"/>
      <c r="CA70" s="234"/>
      <c r="CB70" s="233"/>
      <c r="CC70" s="233"/>
      <c r="CD70" s="233"/>
      <c r="CE70" s="234"/>
      <c r="CF70" s="233"/>
      <c r="CG70" s="233"/>
      <c r="CH70" s="233"/>
      <c r="CI70" s="234"/>
    </row>
    <row r="71" spans="1:87" ht="13.5" customHeight="1">
      <c r="A71" s="22"/>
      <c r="B71" s="186">
        <v>25</v>
      </c>
      <c r="C71" s="289"/>
      <c r="D71" s="134"/>
      <c r="E71" s="135"/>
      <c r="F71" s="134" t="s">
        <v>96</v>
      </c>
      <c r="G71" s="135"/>
      <c r="H71" s="135"/>
      <c r="I71" s="137"/>
      <c r="J71" s="205"/>
      <c r="K71" s="206"/>
      <c r="L71" s="206"/>
      <c r="M71" s="206"/>
      <c r="N71" s="145"/>
      <c r="O71" s="146"/>
      <c r="P71" s="134"/>
      <c r="Q71" s="136"/>
      <c r="R71" s="136"/>
      <c r="S71" s="146"/>
      <c r="T71" s="107"/>
      <c r="U71" s="108"/>
      <c r="V71" s="108"/>
      <c r="W71" s="146"/>
      <c r="X71" s="616">
        <f>SUMPRODUCT(X$64:AA$64,BE$64:BH$64)</f>
        <v>9513</v>
      </c>
      <c r="Y71" s="617"/>
      <c r="Z71" s="617"/>
      <c r="AA71" s="618"/>
      <c r="AB71" s="616">
        <f>SUMPRODUCT(X$64:AA$64,AB$64:AE$64)</f>
        <v>4711</v>
      </c>
      <c r="AC71" s="617"/>
      <c r="AD71" s="617"/>
      <c r="AE71" s="618"/>
      <c r="AF71" s="616">
        <f>X71-AB71</f>
        <v>4802</v>
      </c>
      <c r="AG71" s="617"/>
      <c r="AH71" s="617"/>
      <c r="AI71" s="617"/>
      <c r="AJ71" s="618"/>
      <c r="AK71" s="638">
        <f>AF71/X71</f>
        <v>0.50478292862398821</v>
      </c>
      <c r="AL71" s="639"/>
      <c r="AM71" s="639"/>
      <c r="AN71" s="640"/>
      <c r="AO71" s="638">
        <f>IFERROR(AS71/(X71-AS71),"")</f>
        <v>0.13249999999999998</v>
      </c>
      <c r="AP71" s="639"/>
      <c r="AQ71" s="639"/>
      <c r="AR71" s="640"/>
      <c r="AS71" s="641">
        <f>X$64*(BE$64-AK$64)</f>
        <v>1112.9999999999998</v>
      </c>
      <c r="AT71" s="642"/>
      <c r="AU71" s="642"/>
      <c r="AV71" s="643"/>
      <c r="AW71" s="632"/>
      <c r="AX71" s="633"/>
      <c r="AY71" s="633"/>
      <c r="AZ71" s="634"/>
      <c r="BA71" s="635"/>
      <c r="BB71" s="636"/>
      <c r="BC71" s="636"/>
      <c r="BD71" s="637"/>
      <c r="BE71" s="619"/>
      <c r="BF71" s="620"/>
      <c r="BG71" s="620"/>
      <c r="BH71" s="621"/>
      <c r="BI71" s="135" t="s">
        <v>30</v>
      </c>
      <c r="BJ71" s="136"/>
      <c r="BK71" s="136"/>
      <c r="BL71" s="138"/>
      <c r="BM71" s="135" t="s">
        <v>30</v>
      </c>
      <c r="BN71" s="136"/>
      <c r="BO71" s="136"/>
      <c r="BP71" s="138"/>
      <c r="BQ71" s="135" t="s">
        <v>30</v>
      </c>
      <c r="BR71" s="136"/>
      <c r="BS71" s="136"/>
      <c r="BT71" s="138"/>
      <c r="BU71" s="135" t="s">
        <v>30</v>
      </c>
      <c r="BV71" s="136"/>
      <c r="BW71" s="136"/>
      <c r="BX71" s="138"/>
      <c r="BY71" s="135" t="s">
        <v>30</v>
      </c>
      <c r="BZ71" s="136"/>
      <c r="CA71" s="138"/>
      <c r="CB71" s="135" t="s">
        <v>30</v>
      </c>
      <c r="CC71" s="136"/>
      <c r="CD71" s="136"/>
      <c r="CE71" s="138"/>
      <c r="CF71" s="135" t="s">
        <v>30</v>
      </c>
      <c r="CG71" s="136"/>
      <c r="CH71" s="136"/>
      <c r="CI71" s="138"/>
    </row>
    <row r="72" spans="1:87" ht="13.5" customHeight="1">
      <c r="A72" s="22"/>
      <c r="B72" s="186">
        <v>25</v>
      </c>
      <c r="C72" s="289"/>
      <c r="D72" s="134"/>
      <c r="E72" s="135"/>
      <c r="F72" s="134" t="s">
        <v>114</v>
      </c>
      <c r="G72" s="135"/>
      <c r="H72" s="135"/>
      <c r="I72" s="137"/>
      <c r="J72" s="205"/>
      <c r="K72" s="206"/>
      <c r="L72" s="206"/>
      <c r="M72" s="206"/>
      <c r="N72" s="145"/>
      <c r="O72" s="146"/>
      <c r="P72" s="134"/>
      <c r="Q72" s="136"/>
      <c r="R72" s="136"/>
      <c r="S72" s="146"/>
      <c r="T72" s="107"/>
      <c r="U72" s="108"/>
      <c r="V72" s="108"/>
      <c r="W72" s="146"/>
      <c r="X72" s="635">
        <f>SUMPRODUCT(X$64:AA$64,BE$64:BH$64)</f>
        <v>9513</v>
      </c>
      <c r="Y72" s="636"/>
      <c r="Z72" s="636"/>
      <c r="AA72" s="637"/>
      <c r="AB72" s="635">
        <f>SUMPRODUCT(X$64:AA$64,AB$64:AE$64)</f>
        <v>4711</v>
      </c>
      <c r="AC72" s="636"/>
      <c r="AD72" s="636"/>
      <c r="AE72" s="637"/>
      <c r="AF72" s="635">
        <f>X72-AB72</f>
        <v>4802</v>
      </c>
      <c r="AG72" s="636"/>
      <c r="AH72" s="636"/>
      <c r="AI72" s="636"/>
      <c r="AJ72" s="637"/>
      <c r="AK72" s="638">
        <f>AF72/X72</f>
        <v>0.50478292862398821</v>
      </c>
      <c r="AL72" s="639"/>
      <c r="AM72" s="639"/>
      <c r="AN72" s="640"/>
      <c r="AO72" s="638">
        <f>IFERROR(AS72/(X72-AS72),"")</f>
        <v>0.13249999999999998</v>
      </c>
      <c r="AP72" s="639"/>
      <c r="AQ72" s="639"/>
      <c r="AR72" s="640"/>
      <c r="AS72" s="629">
        <f>X$64*(BE$64-AK$64)</f>
        <v>1112.9999999999998</v>
      </c>
      <c r="AT72" s="630"/>
      <c r="AU72" s="630"/>
      <c r="AV72" s="631"/>
      <c r="AW72" s="632"/>
      <c r="AX72" s="633"/>
      <c r="AY72" s="633"/>
      <c r="AZ72" s="634"/>
      <c r="BA72" s="635"/>
      <c r="BB72" s="636"/>
      <c r="BC72" s="636"/>
      <c r="BD72" s="637"/>
      <c r="BE72" s="619"/>
      <c r="BF72" s="620"/>
      <c r="BG72" s="620"/>
      <c r="BH72" s="621"/>
      <c r="BI72" s="135" t="s">
        <v>30</v>
      </c>
      <c r="BJ72" s="136"/>
      <c r="BK72" s="136"/>
      <c r="BL72" s="138"/>
      <c r="BM72" s="135" t="s">
        <v>30</v>
      </c>
      <c r="BN72" s="136"/>
      <c r="BO72" s="136"/>
      <c r="BP72" s="138"/>
      <c r="BQ72" s="135" t="s">
        <v>30</v>
      </c>
      <c r="BR72" s="136"/>
      <c r="BS72" s="136"/>
      <c r="BT72" s="138"/>
      <c r="BU72" s="135" t="s">
        <v>30</v>
      </c>
      <c r="BV72" s="136"/>
      <c r="BW72" s="136"/>
      <c r="BX72" s="138"/>
      <c r="BY72" s="135" t="s">
        <v>30</v>
      </c>
      <c r="BZ72" s="136"/>
      <c r="CA72" s="138"/>
      <c r="CB72" s="135" t="s">
        <v>30</v>
      </c>
      <c r="CC72" s="136"/>
      <c r="CD72" s="136"/>
      <c r="CE72" s="138"/>
      <c r="CF72" s="135" t="s">
        <v>30</v>
      </c>
      <c r="CG72" s="136"/>
      <c r="CH72" s="136"/>
      <c r="CI72" s="138"/>
    </row>
    <row r="73" spans="1:87" ht="13.5" customHeight="1">
      <c r="A73" s="22"/>
      <c r="B73" s="186">
        <v>26</v>
      </c>
      <c r="C73" s="315"/>
      <c r="D73" s="71"/>
      <c r="E73" s="71"/>
      <c r="F73" s="71"/>
      <c r="G73" s="71"/>
      <c r="H73" s="183"/>
      <c r="I73" s="183"/>
      <c r="J73" s="184"/>
      <c r="K73" s="183"/>
      <c r="L73" s="184"/>
      <c r="M73" s="183"/>
      <c r="N73" s="183"/>
      <c r="O73" s="77"/>
      <c r="P73" s="78"/>
      <c r="Q73" s="78"/>
      <c r="R73" s="78"/>
      <c r="S73" s="71"/>
      <c r="T73" s="71"/>
      <c r="U73" s="71"/>
      <c r="V73" s="71"/>
      <c r="W73" s="71"/>
      <c r="X73" s="79"/>
      <c r="Y73" s="71"/>
      <c r="Z73" s="78"/>
      <c r="AA73" s="79"/>
      <c r="AB73" s="71"/>
      <c r="AC73" s="78"/>
      <c r="AD73" s="79"/>
      <c r="AE73" s="78"/>
      <c r="AF73" s="78"/>
      <c r="AG73" s="79"/>
      <c r="AH73" s="78"/>
      <c r="AI73" s="78"/>
      <c r="AJ73" s="84"/>
      <c r="AK73" s="78"/>
      <c r="AL73" s="78"/>
      <c r="AM73" s="78"/>
      <c r="AN73" s="78"/>
      <c r="AO73" s="78"/>
      <c r="AP73" s="78"/>
      <c r="AQ73" s="78"/>
      <c r="AR73" s="78"/>
      <c r="AS73" s="63"/>
      <c r="AT73" s="63"/>
      <c r="AU73" s="63"/>
      <c r="AV73" s="63"/>
      <c r="AW73" s="63"/>
      <c r="AX73" s="63"/>
      <c r="AY73" s="61"/>
      <c r="AZ73" s="31"/>
      <c r="BA73" s="30"/>
      <c r="BB73" s="159"/>
      <c r="BC73" s="317"/>
      <c r="BD73" s="646"/>
      <c r="BE73" s="647"/>
      <c r="BF73" s="647"/>
    </row>
    <row r="74" spans="1:87" ht="13.5" customHeight="1">
      <c r="A74" s="22"/>
      <c r="B74" s="186"/>
      <c r="C74" s="316"/>
      <c r="D74" s="310"/>
      <c r="E74" s="63"/>
      <c r="F74" s="63"/>
      <c r="G74" s="63"/>
      <c r="H74" s="63"/>
      <c r="I74" s="63"/>
      <c r="J74" s="311"/>
      <c r="K74" s="312"/>
      <c r="L74" s="312"/>
      <c r="M74" s="312"/>
      <c r="N74"/>
      <c r="O74"/>
      <c r="P74"/>
      <c r="Q74"/>
      <c r="R74"/>
      <c r="S74"/>
      <c r="T74"/>
      <c r="U74"/>
      <c r="V74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AL74" s="63"/>
      <c r="AM74" s="182"/>
      <c r="AN74" s="182"/>
      <c r="AO74" s="182"/>
      <c r="AP74" s="182"/>
      <c r="AQ74" s="182"/>
      <c r="AR74" s="182"/>
      <c r="AS74" s="237"/>
      <c r="AT74" s="35"/>
      <c r="AU74" s="35"/>
      <c r="AV74" s="237"/>
      <c r="AW74" s="182"/>
      <c r="AX74" s="182"/>
      <c r="AY74" s="182"/>
      <c r="AZ74" s="31"/>
      <c r="BA74" s="30"/>
      <c r="BB74" s="159"/>
      <c r="BC74" s="319"/>
      <c r="BD74" s="28"/>
      <c r="BG74" s="24"/>
      <c r="BH74" s="28"/>
    </row>
    <row r="75" spans="1:87" ht="13.5" customHeight="1">
      <c r="A75" s="22"/>
      <c r="B75" s="186"/>
      <c r="C75" s="316"/>
      <c r="D75" s="310"/>
      <c r="E75" s="63"/>
      <c r="F75" s="63"/>
      <c r="G75" s="63"/>
      <c r="H75" s="63"/>
      <c r="I75" s="63"/>
      <c r="J75" s="311"/>
      <c r="K75" s="312"/>
      <c r="L75" s="312"/>
      <c r="M75" s="312"/>
      <c r="N75"/>
      <c r="O75"/>
      <c r="P75"/>
      <c r="Q75"/>
      <c r="R75"/>
      <c r="S75"/>
      <c r="T75"/>
      <c r="U75"/>
      <c r="V75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  <c r="AM75" s="182"/>
      <c r="AN75" s="182"/>
      <c r="AO75" s="182"/>
      <c r="AP75" s="182"/>
      <c r="AQ75" s="182"/>
      <c r="AR75" s="182"/>
      <c r="AS75" s="237"/>
      <c r="AT75" s="35"/>
      <c r="AU75" s="35"/>
      <c r="AV75" s="237"/>
      <c r="AW75" s="182"/>
      <c r="AX75" s="182"/>
      <c r="AY75" s="182"/>
      <c r="AZ75" s="31"/>
      <c r="BA75" s="30"/>
      <c r="BB75" s="159"/>
      <c r="BC75" s="319"/>
      <c r="BD75" s="28"/>
      <c r="BG75" s="24"/>
      <c r="BH75" s="28"/>
    </row>
    <row r="76" spans="1:87" ht="5.15" customHeight="1">
      <c r="A76" s="22"/>
      <c r="B76" s="186"/>
      <c r="C76" s="296"/>
      <c r="D76" s="69"/>
      <c r="E76" s="69"/>
      <c r="F76" s="69"/>
      <c r="G76" s="69"/>
      <c r="H76" s="297"/>
      <c r="I76" s="257"/>
      <c r="J76" s="255"/>
      <c r="K76" s="257"/>
      <c r="L76" s="255"/>
      <c r="M76" s="298"/>
      <c r="N76" s="298"/>
      <c r="O76" s="252"/>
      <c r="P76" s="298"/>
      <c r="Q76" s="252"/>
      <c r="R76" s="298"/>
      <c r="S76" s="69"/>
      <c r="T76" s="69"/>
      <c r="U76" s="69"/>
      <c r="V76" s="69"/>
      <c r="W76" s="69"/>
      <c r="X76" s="297"/>
      <c r="Y76" s="257"/>
      <c r="Z76" s="255"/>
      <c r="AA76" s="257"/>
      <c r="AB76" s="255"/>
      <c r="AC76" s="298"/>
      <c r="AD76" s="298"/>
      <c r="AE76" s="252"/>
      <c r="AF76" s="298"/>
      <c r="AG76" s="252"/>
      <c r="AH76" s="298"/>
      <c r="AI76" s="258"/>
      <c r="AJ76" s="298"/>
      <c r="AK76" s="252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299"/>
      <c r="AW76" s="69"/>
      <c r="AX76" s="69"/>
      <c r="AY76" s="251"/>
      <c r="AZ76" s="251"/>
      <c r="BA76" s="300"/>
      <c r="BB76" s="301"/>
      <c r="BC76" s="318"/>
      <c r="BD76" s="28"/>
    </row>
    <row r="77" spans="1:87" ht="13.5" customHeight="1">
      <c r="A77" s="22"/>
      <c r="B77" s="186">
        <v>31</v>
      </c>
      <c r="C77" s="309"/>
      <c r="D77" s="310"/>
      <c r="E77" s="63"/>
      <c r="F77" s="63"/>
      <c r="G77" s="63"/>
      <c r="H77" s="63"/>
      <c r="I77" s="63"/>
      <c r="J77" s="645"/>
      <c r="K77" s="645"/>
      <c r="L77" s="645"/>
      <c r="M77" s="645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AL77" s="63"/>
      <c r="AM77" s="182"/>
      <c r="AN77" s="182"/>
      <c r="AO77" s="182"/>
      <c r="AP77" s="182"/>
      <c r="AQ77" s="182"/>
      <c r="AR77" s="182"/>
      <c r="AS77" s="182"/>
      <c r="AT77" s="182"/>
      <c r="AU77" s="182"/>
      <c r="AV77" s="182"/>
      <c r="AW77" s="182"/>
      <c r="AX77" s="182"/>
      <c r="AY77" s="182"/>
      <c r="AZ77" s="33"/>
      <c r="BA77" s="44"/>
      <c r="BB77" s="74"/>
      <c r="BC77" s="34"/>
      <c r="BD77" s="28"/>
      <c r="BG77" s="24"/>
      <c r="BH77" s="28"/>
    </row>
    <row r="78" spans="1:87" ht="14.15" customHeight="1">
      <c r="A78" s="22"/>
      <c r="B78" s="117"/>
      <c r="C78" s="320" t="s">
        <v>94</v>
      </c>
      <c r="D78" s="28"/>
      <c r="E78" s="28"/>
      <c r="F78" s="28"/>
      <c r="G78" s="28"/>
      <c r="S78" s="35"/>
      <c r="T78" s="35"/>
      <c r="U78" s="35"/>
      <c r="V78" s="35"/>
      <c r="Y78" s="35"/>
      <c r="Z78" s="35"/>
      <c r="AD78" s="35"/>
      <c r="AE78" s="35"/>
      <c r="AF78" s="35"/>
      <c r="AG78" s="35"/>
      <c r="AH78" s="35"/>
      <c r="AI78" s="35"/>
      <c r="AJ78" s="28"/>
      <c r="AK78" s="28"/>
      <c r="AL78" s="28"/>
      <c r="AM78" s="118"/>
      <c r="AN78" s="118"/>
      <c r="AO78" s="35"/>
      <c r="AP78" s="35"/>
      <c r="AQ78" s="35"/>
      <c r="AR78" s="35"/>
      <c r="AS78" s="35"/>
      <c r="AT78" s="35"/>
      <c r="AU78" s="35"/>
      <c r="AV78" s="35"/>
      <c r="AW78" s="35"/>
      <c r="AX78" s="63"/>
      <c r="AY78" s="63"/>
      <c r="AZ78" s="33"/>
      <c r="BA78" s="44"/>
      <c r="BB78" s="74"/>
      <c r="BC78" s="34"/>
      <c r="BD78" s="28"/>
      <c r="BG78" s="35"/>
    </row>
    <row r="79" spans="1:87" ht="5.15" customHeight="1">
      <c r="A79" s="22"/>
      <c r="B79" s="186"/>
      <c r="C79" s="277"/>
      <c r="D79" s="68"/>
      <c r="E79" s="68"/>
      <c r="F79" s="68"/>
      <c r="G79" s="68"/>
      <c r="H79" s="278"/>
      <c r="I79" s="260"/>
      <c r="J79" s="261"/>
      <c r="K79" s="260"/>
      <c r="L79" s="261"/>
      <c r="M79" s="279"/>
      <c r="N79" s="279"/>
      <c r="O79" s="245"/>
      <c r="P79" s="279"/>
      <c r="Q79" s="245"/>
      <c r="R79" s="279"/>
      <c r="S79" s="68"/>
      <c r="T79" s="68"/>
      <c r="U79" s="68"/>
      <c r="V79" s="68"/>
      <c r="W79" s="68"/>
      <c r="X79" s="278"/>
      <c r="Y79" s="260"/>
      <c r="Z79" s="261"/>
      <c r="AA79" s="260"/>
      <c r="AB79" s="261"/>
      <c r="AC79" s="279"/>
      <c r="AD79" s="279"/>
      <c r="AE79" s="245"/>
      <c r="AF79" s="279"/>
      <c r="AG79" s="245"/>
      <c r="AH79" s="279"/>
      <c r="AI79" s="262"/>
      <c r="AJ79" s="279"/>
      <c r="AK79" s="245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281"/>
      <c r="AW79" s="68"/>
      <c r="AX79" s="68"/>
      <c r="AY79" s="247"/>
      <c r="AZ79" s="33"/>
      <c r="BA79" s="44"/>
      <c r="BB79" s="74"/>
      <c r="BC79" s="34"/>
      <c r="BD79" s="28"/>
    </row>
    <row r="80" spans="1:87" ht="14.15" customHeight="1">
      <c r="A80" s="23"/>
      <c r="B80" s="325"/>
      <c r="C80" s="264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5"/>
      <c r="S80" s="35"/>
      <c r="T80" s="28"/>
      <c r="U80" s="28"/>
      <c r="V80" s="28"/>
      <c r="W80" s="28"/>
      <c r="X80" s="28"/>
      <c r="Y80" s="28"/>
      <c r="Z80" s="28"/>
      <c r="AC80" s="28"/>
      <c r="AD80" s="28"/>
      <c r="AE80" s="35"/>
      <c r="AF80" s="35"/>
      <c r="AG80" s="35"/>
      <c r="AH80" s="35"/>
      <c r="AI80" s="35"/>
      <c r="AJ80" s="28"/>
      <c r="AK80" s="28"/>
      <c r="AL80" s="28"/>
      <c r="AM80" s="35"/>
      <c r="AN80" s="35"/>
      <c r="AO80" s="123"/>
      <c r="AP80" s="124"/>
      <c r="AQ80" s="118"/>
      <c r="AR80" s="118"/>
      <c r="AS80" s="118"/>
      <c r="AT80" s="118"/>
      <c r="AU80" s="76"/>
      <c r="AV80" s="35"/>
      <c r="AW80" s="35"/>
      <c r="AX80" s="63"/>
      <c r="AY80" s="321"/>
      <c r="AZ80" s="33"/>
      <c r="BA80" s="44"/>
      <c r="BB80" s="74"/>
      <c r="BC80" s="34"/>
      <c r="BD80" s="28"/>
      <c r="BG80" s="35"/>
    </row>
    <row r="81" spans="1:60" ht="14.15" customHeight="1">
      <c r="A81" s="23"/>
      <c r="B81" s="325"/>
      <c r="C81" s="326"/>
      <c r="D81" s="322" t="s">
        <v>36</v>
      </c>
      <c r="E81" s="119"/>
      <c r="F81" s="119"/>
      <c r="G81" s="119"/>
      <c r="H81" s="120"/>
      <c r="I81" s="120"/>
      <c r="J81" s="97"/>
      <c r="K81" s="121"/>
      <c r="L81" s="122"/>
      <c r="M81" s="132"/>
      <c r="N81" s="132"/>
      <c r="O81" s="119"/>
      <c r="P81" s="122"/>
      <c r="Q81" s="98"/>
      <c r="R81" s="121" t="s">
        <v>38</v>
      </c>
      <c r="S81" s="122"/>
      <c r="T81" s="98"/>
      <c r="U81" s="98"/>
      <c r="V81" s="121" t="s">
        <v>42</v>
      </c>
      <c r="W81" s="122"/>
      <c r="X81" s="98"/>
      <c r="Y81" s="35"/>
      <c r="Z81" s="35"/>
      <c r="AC81" s="28"/>
      <c r="AD81" s="28"/>
      <c r="AE81" s="28"/>
      <c r="AF81" s="35"/>
      <c r="AG81" s="35"/>
      <c r="AH81" s="28"/>
      <c r="AI81" s="28"/>
      <c r="AJ81" s="28"/>
      <c r="AK81" s="76"/>
      <c r="AL81" s="28"/>
      <c r="AM81" s="28"/>
      <c r="AN81" s="28"/>
      <c r="AO81" s="28"/>
      <c r="AP81" s="28"/>
      <c r="AQ81" s="63"/>
      <c r="AR81" s="63"/>
      <c r="AS81" s="63"/>
      <c r="AT81" s="113"/>
      <c r="AU81" s="63"/>
      <c r="AV81" s="63"/>
      <c r="AW81" s="63"/>
      <c r="AX81" s="63"/>
      <c r="AY81" s="321"/>
      <c r="AZ81" s="33"/>
      <c r="BA81" s="44"/>
      <c r="BB81" s="74"/>
      <c r="BC81" s="34"/>
      <c r="BD81" s="28"/>
      <c r="BE81" s="35"/>
      <c r="BF81" s="35"/>
      <c r="BG81" s="35"/>
    </row>
    <row r="82" spans="1:60" ht="13.5" customHeight="1">
      <c r="A82" s="22"/>
      <c r="B82" s="327"/>
      <c r="C82" s="326"/>
      <c r="D82" s="323" t="s">
        <v>43</v>
      </c>
      <c r="E82" s="125"/>
      <c r="F82" s="125"/>
      <c r="G82" s="125"/>
      <c r="H82" s="125"/>
      <c r="I82" s="125"/>
      <c r="J82" s="125"/>
      <c r="K82" s="324"/>
      <c r="L82" s="127"/>
      <c r="M82" s="99"/>
      <c r="N82" s="99"/>
      <c r="O82" s="133"/>
      <c r="P82" s="127"/>
      <c r="Q82" s="100"/>
      <c r="R82" s="126" t="s">
        <v>39</v>
      </c>
      <c r="S82" s="127"/>
      <c r="T82" s="99"/>
      <c r="U82" s="100"/>
      <c r="V82" s="128"/>
      <c r="W82" s="129"/>
      <c r="X82" s="130"/>
      <c r="Y82" s="106"/>
      <c r="Z82" s="39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63"/>
      <c r="AR82" s="63"/>
      <c r="AS82" s="63"/>
      <c r="AT82" s="113"/>
      <c r="AU82" s="63"/>
      <c r="AV82" s="63"/>
      <c r="AW82" s="63"/>
      <c r="AX82" s="63"/>
      <c r="AY82" s="321"/>
      <c r="AZ82" s="33"/>
      <c r="BA82" s="44"/>
      <c r="BB82" s="74"/>
      <c r="BC82" s="34"/>
      <c r="BD82" s="28"/>
      <c r="BE82" s="35"/>
      <c r="BF82" s="35"/>
      <c r="BG82" s="35"/>
    </row>
    <row r="83" spans="1:60" ht="5.15" customHeight="1">
      <c r="A83" s="22"/>
      <c r="B83" s="186"/>
      <c r="C83" s="296"/>
      <c r="D83" s="69"/>
      <c r="E83" s="69"/>
      <c r="F83" s="69"/>
      <c r="G83" s="69"/>
      <c r="H83" s="297"/>
      <c r="I83" s="257"/>
      <c r="J83" s="255"/>
      <c r="K83" s="257"/>
      <c r="L83" s="255"/>
      <c r="M83" s="298"/>
      <c r="N83" s="298"/>
      <c r="O83" s="252"/>
      <c r="P83" s="298"/>
      <c r="Q83" s="252"/>
      <c r="R83" s="298"/>
      <c r="S83" s="69"/>
      <c r="T83" s="69"/>
      <c r="U83" s="69"/>
      <c r="V83" s="69"/>
      <c r="W83" s="69"/>
      <c r="X83" s="297"/>
      <c r="Y83" s="257"/>
      <c r="Z83" s="255"/>
      <c r="AA83" s="257"/>
      <c r="AB83" s="255"/>
      <c r="AC83" s="298"/>
      <c r="AD83" s="298"/>
      <c r="AE83" s="252"/>
      <c r="AF83" s="298"/>
      <c r="AG83" s="252"/>
      <c r="AH83" s="298"/>
      <c r="AI83" s="258"/>
      <c r="AJ83" s="298"/>
      <c r="AK83" s="252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299"/>
      <c r="AW83" s="69"/>
      <c r="AX83" s="69"/>
      <c r="AY83" s="259"/>
      <c r="AZ83" s="33"/>
      <c r="BA83" s="44"/>
      <c r="BB83" s="74"/>
      <c r="BC83" s="34"/>
      <c r="BD83" s="28"/>
    </row>
    <row r="84" spans="1:60" ht="14.15" customHeight="1">
      <c r="A84" s="22"/>
      <c r="B84" s="186">
        <v>35</v>
      </c>
      <c r="C84" s="309"/>
      <c r="D84" s="310"/>
      <c r="E84" s="63"/>
      <c r="F84" s="63"/>
      <c r="G84" s="63"/>
      <c r="H84" s="63"/>
      <c r="I84" s="63"/>
      <c r="J84" s="644"/>
      <c r="K84" s="644"/>
      <c r="L84" s="644"/>
      <c r="M84" s="64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AL84" s="63"/>
      <c r="AM84" s="63"/>
      <c r="AN84" s="63"/>
      <c r="AO84" s="63"/>
      <c r="AP84" s="63"/>
      <c r="AQ84" s="63"/>
      <c r="AR84" s="63"/>
      <c r="AS84" s="63"/>
      <c r="AT84" s="113"/>
      <c r="AU84" s="63"/>
      <c r="AV84" s="63"/>
      <c r="AW84" s="63"/>
      <c r="AX84" s="63"/>
      <c r="AY84" s="63"/>
      <c r="AZ84" s="33"/>
      <c r="BA84" s="44"/>
      <c r="BB84" s="313"/>
      <c r="BC84" s="314"/>
      <c r="BD84" s="28"/>
      <c r="BG84" s="24"/>
      <c r="BH84" s="28"/>
    </row>
    <row r="85" spans="1:60" ht="14.15" customHeight="1">
      <c r="A85" s="22"/>
      <c r="B85" s="186">
        <v>35</v>
      </c>
      <c r="C85" s="320" t="s">
        <v>132</v>
      </c>
      <c r="D85" s="310"/>
      <c r="E85" s="63"/>
      <c r="F85" s="63"/>
      <c r="G85" s="63"/>
      <c r="H85" s="63"/>
      <c r="I85" s="63"/>
      <c r="J85" s="644"/>
      <c r="K85" s="644"/>
      <c r="L85" s="644"/>
      <c r="M85" s="64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  <c r="AM85" s="63"/>
      <c r="AN85" s="63"/>
      <c r="AO85" s="63"/>
      <c r="AP85" s="63"/>
      <c r="AQ85" s="63"/>
      <c r="AR85" s="63"/>
      <c r="AS85" s="63"/>
      <c r="AT85" s="113"/>
      <c r="AU85" s="63"/>
      <c r="AV85" s="63"/>
      <c r="AW85" s="63"/>
      <c r="AX85" s="63"/>
      <c r="AY85" s="63"/>
      <c r="AZ85" s="33"/>
      <c r="BA85" s="44"/>
      <c r="BB85" s="313"/>
      <c r="BC85" s="314"/>
      <c r="BD85" s="28"/>
      <c r="BG85" s="24"/>
      <c r="BH85" s="28"/>
    </row>
    <row r="86" spans="1:60" ht="14.15" customHeight="1">
      <c r="A86" s="22"/>
      <c r="B86" s="186">
        <v>35</v>
      </c>
      <c r="C86" s="309"/>
      <c r="D86" s="353" t="s">
        <v>133</v>
      </c>
      <c r="E86" s="63"/>
      <c r="F86" s="63"/>
      <c r="G86" s="63"/>
      <c r="H86" s="63"/>
      <c r="I86" s="63"/>
      <c r="J86" s="352"/>
      <c r="K86" s="352"/>
      <c r="L86" s="352"/>
      <c r="M86" s="352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AL86" s="63"/>
      <c r="AM86" s="63"/>
      <c r="AN86" s="63"/>
      <c r="AO86" s="63"/>
      <c r="AP86" s="63"/>
      <c r="AQ86" s="63"/>
      <c r="AR86" s="63"/>
      <c r="AS86" s="63"/>
      <c r="AT86" s="113"/>
      <c r="AU86" s="63"/>
      <c r="AV86" s="63"/>
      <c r="AW86" s="63"/>
      <c r="AX86" s="63"/>
      <c r="AY86" s="63"/>
      <c r="AZ86" s="33"/>
      <c r="BA86" s="44"/>
      <c r="BB86" s="313"/>
      <c r="BC86" s="314"/>
      <c r="BD86" s="28"/>
      <c r="BG86" s="24"/>
      <c r="BH86" s="28"/>
    </row>
    <row r="87" spans="1:60" ht="14.15" customHeight="1">
      <c r="A87" s="22"/>
      <c r="B87" s="186">
        <v>35</v>
      </c>
      <c r="C87" s="309"/>
      <c r="D87" s="310"/>
      <c r="E87" s="63"/>
      <c r="F87" s="63"/>
      <c r="G87" s="63"/>
      <c r="H87" s="63"/>
      <c r="I87" s="63"/>
      <c r="J87" s="648"/>
      <c r="K87" s="648"/>
      <c r="L87" s="648"/>
      <c r="M87" s="648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  <c r="AM87" s="63"/>
      <c r="AN87" s="63"/>
      <c r="AO87" s="63"/>
      <c r="AP87" s="63"/>
      <c r="AQ87" s="63"/>
      <c r="AR87" s="63"/>
      <c r="AS87" s="63"/>
      <c r="AT87" s="113"/>
      <c r="AU87" s="63"/>
      <c r="AV87" s="63"/>
      <c r="AW87" s="63"/>
      <c r="AX87" s="63"/>
      <c r="AY87" s="63"/>
      <c r="AZ87" s="33"/>
      <c r="BA87" s="44"/>
      <c r="BB87" s="313"/>
      <c r="BC87" s="314"/>
      <c r="BD87" s="28"/>
      <c r="BG87" s="24"/>
      <c r="BH87" s="28"/>
    </row>
    <row r="88" spans="1:60" ht="5.15" customHeight="1">
      <c r="A88" s="22"/>
      <c r="B88" s="186"/>
      <c r="C88" s="277"/>
      <c r="D88" s="68"/>
      <c r="E88" s="68"/>
      <c r="F88" s="68"/>
      <c r="G88" s="68"/>
      <c r="H88" s="278"/>
      <c r="I88" s="260"/>
      <c r="J88" s="261"/>
      <c r="K88" s="260"/>
      <c r="L88" s="261"/>
      <c r="M88" s="279"/>
      <c r="N88" s="279"/>
      <c r="O88" s="245"/>
      <c r="P88" s="279"/>
      <c r="Q88" s="245"/>
      <c r="R88" s="279"/>
      <c r="S88" s="68"/>
      <c r="T88" s="68"/>
      <c r="U88" s="68"/>
      <c r="V88" s="68"/>
      <c r="W88" s="68"/>
      <c r="X88" s="278"/>
      <c r="Y88" s="260"/>
      <c r="Z88" s="261"/>
      <c r="AA88" s="260"/>
      <c r="AB88" s="261"/>
      <c r="AC88" s="279"/>
      <c r="AD88" s="279"/>
      <c r="AE88" s="245"/>
      <c r="AF88" s="279"/>
      <c r="AG88" s="245"/>
      <c r="AH88" s="279"/>
      <c r="AI88" s="262"/>
      <c r="AJ88" s="279"/>
      <c r="AK88" s="245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281"/>
      <c r="AW88" s="68"/>
      <c r="AX88" s="68"/>
      <c r="AY88" s="247"/>
      <c r="AZ88" s="33"/>
      <c r="BA88" s="44"/>
      <c r="BB88" s="74"/>
      <c r="BC88" s="34"/>
      <c r="BD88" s="28"/>
    </row>
    <row r="89" spans="1:60" ht="14.15" customHeight="1">
      <c r="A89" s="23"/>
      <c r="B89" s="325"/>
      <c r="C89" s="264"/>
      <c r="D89" s="28" t="s">
        <v>126</v>
      </c>
      <c r="E89" s="28"/>
      <c r="F89" s="28"/>
      <c r="G89" s="28"/>
      <c r="H89" s="344" t="s">
        <v>130</v>
      </c>
      <c r="I89" s="240"/>
      <c r="J89" s="241"/>
      <c r="K89" s="241"/>
      <c r="L89" s="241"/>
      <c r="M89" s="242"/>
      <c r="N89" s="241"/>
      <c r="O89" s="101"/>
      <c r="P89" s="244" t="s">
        <v>33</v>
      </c>
      <c r="Q89" s="25"/>
      <c r="R89" s="345" t="s">
        <v>131</v>
      </c>
      <c r="S89" s="346"/>
      <c r="T89" s="347"/>
      <c r="U89" s="347"/>
      <c r="V89" s="358"/>
      <c r="W89" s="348"/>
      <c r="X89" s="347"/>
      <c r="Y89" s="349"/>
      <c r="Z89" s="350"/>
      <c r="AB89" s="345" t="s">
        <v>167</v>
      </c>
      <c r="AC89" s="346"/>
      <c r="AD89" s="347"/>
      <c r="AE89" s="347"/>
      <c r="AF89" s="347"/>
      <c r="AG89" s="348"/>
      <c r="AH89" s="347"/>
      <c r="AI89" s="349"/>
      <c r="AJ89" s="348"/>
      <c r="AK89" s="354"/>
      <c r="AL89" s="354"/>
      <c r="AM89" s="349"/>
      <c r="AN89" s="349"/>
      <c r="AO89" s="347"/>
      <c r="AP89" s="355"/>
      <c r="AQ89" s="347"/>
      <c r="AR89" s="347"/>
      <c r="AS89" s="347"/>
      <c r="AT89" s="347"/>
      <c r="AU89" s="356"/>
      <c r="AV89" s="349"/>
      <c r="AW89" s="349"/>
      <c r="AX89" s="357"/>
      <c r="AY89" s="321"/>
      <c r="AZ89" s="33"/>
      <c r="BA89" s="44"/>
      <c r="BB89" s="74"/>
      <c r="BC89" s="34"/>
      <c r="BD89" s="28"/>
      <c r="BG89" s="35"/>
    </row>
    <row r="90" spans="1:60" ht="14.15" customHeight="1">
      <c r="A90" s="23"/>
      <c r="B90" s="325"/>
      <c r="C90" s="264"/>
      <c r="D90" s="28"/>
      <c r="E90" s="28"/>
      <c r="F90" s="28"/>
      <c r="G90" s="28"/>
      <c r="H90" s="345" t="s">
        <v>51</v>
      </c>
      <c r="I90" s="346"/>
      <c r="J90" s="347"/>
      <c r="K90" s="347"/>
      <c r="L90" s="347"/>
      <c r="M90" s="348"/>
      <c r="N90" s="347"/>
      <c r="O90" s="349"/>
      <c r="P90" s="348"/>
      <c r="Q90" s="354"/>
      <c r="R90" s="354"/>
      <c r="S90" s="349"/>
      <c r="T90" s="349"/>
      <c r="U90" s="347"/>
      <c r="V90" s="355"/>
      <c r="W90" s="347"/>
      <c r="X90" s="347"/>
      <c r="Y90" s="347"/>
      <c r="Z90" s="347"/>
      <c r="AA90" s="356"/>
      <c r="AB90" s="349"/>
      <c r="AC90" s="349"/>
      <c r="AD90" s="354"/>
      <c r="AE90" s="347"/>
      <c r="AF90" s="347"/>
      <c r="AG90" s="348"/>
      <c r="AH90" s="347"/>
      <c r="AI90" s="349"/>
      <c r="AJ90" s="348"/>
      <c r="AK90" s="354"/>
      <c r="AL90" s="354"/>
      <c r="AM90" s="349"/>
      <c r="AN90" s="349"/>
      <c r="AO90" s="347"/>
      <c r="AP90" s="355"/>
      <c r="AQ90" s="347"/>
      <c r="AR90" s="347"/>
      <c r="AS90" s="347"/>
      <c r="AT90" s="347"/>
      <c r="AU90" s="356"/>
      <c r="AV90" s="349"/>
      <c r="AW90" s="349"/>
      <c r="AX90" s="357"/>
      <c r="AY90" s="321"/>
      <c r="AZ90" s="33"/>
      <c r="BA90" s="44"/>
      <c r="BB90" s="74"/>
      <c r="BC90" s="34"/>
      <c r="BD90" s="28"/>
      <c r="BG90" s="35"/>
    </row>
    <row r="91" spans="1:60" ht="5.15" customHeight="1">
      <c r="A91" s="22"/>
      <c r="B91" s="186"/>
      <c r="C91" s="296"/>
      <c r="D91" s="69"/>
      <c r="E91" s="69"/>
      <c r="F91" s="69"/>
      <c r="G91" s="69"/>
      <c r="H91" s="297"/>
      <c r="I91" s="257"/>
      <c r="J91" s="255"/>
      <c r="K91" s="257"/>
      <c r="L91" s="255"/>
      <c r="M91" s="298"/>
      <c r="N91" s="298"/>
      <c r="O91" s="252"/>
      <c r="P91" s="298"/>
      <c r="Q91" s="252"/>
      <c r="R91" s="298"/>
      <c r="S91" s="69"/>
      <c r="T91" s="69"/>
      <c r="U91" s="69"/>
      <c r="V91" s="69"/>
      <c r="W91" s="69"/>
      <c r="X91" s="297"/>
      <c r="Y91" s="257"/>
      <c r="Z91" s="255"/>
      <c r="AA91" s="257"/>
      <c r="AB91" s="255"/>
      <c r="AC91" s="298"/>
      <c r="AD91" s="298"/>
      <c r="AE91" s="252"/>
      <c r="AF91" s="298"/>
      <c r="AG91" s="252"/>
      <c r="AH91" s="298"/>
      <c r="AI91" s="258"/>
      <c r="AJ91" s="298"/>
      <c r="AK91" s="252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299"/>
      <c r="AW91" s="69"/>
      <c r="AX91" s="69"/>
      <c r="AY91" s="259"/>
      <c r="AZ91" s="33"/>
      <c r="BA91" s="44"/>
      <c r="BB91" s="74"/>
      <c r="BC91" s="34"/>
      <c r="BD91" s="28"/>
    </row>
    <row r="92" spans="1:60" ht="5.15" customHeight="1">
      <c r="A92" s="22"/>
      <c r="B92" s="186"/>
      <c r="C92" s="351"/>
      <c r="D92" s="68"/>
      <c r="E92" s="68"/>
      <c r="F92" s="68"/>
      <c r="G92" s="68"/>
      <c r="H92" s="278"/>
      <c r="I92" s="260"/>
      <c r="J92" s="261"/>
      <c r="K92" s="260"/>
      <c r="L92" s="261"/>
      <c r="M92" s="279"/>
      <c r="N92" s="279"/>
      <c r="O92" s="245"/>
      <c r="P92" s="279"/>
      <c r="Q92" s="245"/>
      <c r="R92" s="279"/>
      <c r="S92" s="68"/>
      <c r="T92" s="68"/>
      <c r="U92" s="68"/>
      <c r="V92" s="68"/>
      <c r="W92" s="68"/>
      <c r="X92" s="278"/>
      <c r="Y92" s="260"/>
      <c r="Z92" s="261"/>
      <c r="AA92" s="260"/>
      <c r="AB92" s="261"/>
      <c r="AC92" s="279"/>
      <c r="AD92" s="279"/>
      <c r="AE92" s="245"/>
      <c r="AF92" s="279"/>
      <c r="AG92" s="245"/>
      <c r="AH92" s="279"/>
      <c r="AI92" s="262"/>
      <c r="AJ92" s="279"/>
      <c r="AK92" s="245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281"/>
      <c r="AW92" s="68"/>
      <c r="AX92" s="68"/>
      <c r="AY92" s="246"/>
      <c r="AZ92" s="33"/>
      <c r="BA92" s="44"/>
      <c r="BB92" s="74"/>
      <c r="BC92" s="34"/>
      <c r="BD92" s="28"/>
    </row>
    <row r="93" spans="1:60" ht="14.15" customHeight="1">
      <c r="A93" s="22"/>
      <c r="B93" s="186">
        <v>35</v>
      </c>
      <c r="C93" s="60" t="s">
        <v>129</v>
      </c>
      <c r="D93" s="310"/>
      <c r="E93" s="63"/>
      <c r="F93" s="63"/>
      <c r="G93" s="63"/>
      <c r="H93" s="63"/>
      <c r="I93" s="63"/>
      <c r="J93" s="644"/>
      <c r="K93" s="644"/>
      <c r="L93" s="644"/>
      <c r="M93" s="644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AL93" s="63"/>
      <c r="AM93" s="63"/>
      <c r="AN93" s="63"/>
      <c r="AO93" s="63"/>
      <c r="AP93" s="63"/>
      <c r="AQ93" s="63"/>
      <c r="AR93" s="63"/>
      <c r="AS93" s="63"/>
      <c r="AT93" s="113"/>
      <c r="AU93" s="63"/>
      <c r="AV93" s="63"/>
      <c r="AW93" s="63"/>
      <c r="AX93" s="63"/>
      <c r="AY93" s="63"/>
      <c r="AZ93" s="33"/>
      <c r="BA93" s="44"/>
      <c r="BB93" s="313"/>
      <c r="BC93" s="314"/>
      <c r="BD93" s="28"/>
      <c r="BG93" s="24"/>
      <c r="BH93" s="28"/>
    </row>
    <row r="94" spans="1:60" ht="5.15" customHeight="1">
      <c r="A94" s="22"/>
      <c r="B94" s="186"/>
      <c r="C94" s="277"/>
      <c r="D94" s="68"/>
      <c r="E94" s="68"/>
      <c r="F94" s="68"/>
      <c r="G94" s="68"/>
      <c r="H94" s="278"/>
      <c r="I94" s="260"/>
      <c r="J94" s="261"/>
      <c r="K94" s="260"/>
      <c r="L94" s="261"/>
      <c r="M94" s="279"/>
      <c r="N94" s="279"/>
      <c r="O94" s="245"/>
      <c r="P94" s="279"/>
      <c r="Q94" s="245"/>
      <c r="R94" s="279"/>
      <c r="S94" s="68"/>
      <c r="T94" s="68"/>
      <c r="U94" s="68"/>
      <c r="V94" s="68"/>
      <c r="W94" s="68"/>
      <c r="X94" s="278"/>
      <c r="Y94" s="260"/>
      <c r="Z94" s="261"/>
      <c r="AA94" s="260"/>
      <c r="AB94" s="261"/>
      <c r="AC94" s="279"/>
      <c r="AD94" s="279"/>
      <c r="AE94" s="245"/>
      <c r="AF94" s="279"/>
      <c r="AG94" s="245"/>
      <c r="AH94" s="279"/>
      <c r="AI94" s="262"/>
      <c r="AJ94" s="279"/>
      <c r="AK94" s="245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281"/>
      <c r="AW94" s="68"/>
      <c r="AX94" s="68"/>
      <c r="AY94" s="247"/>
      <c r="AZ94" s="33"/>
      <c r="BA94" s="44"/>
      <c r="BB94" s="74"/>
      <c r="BC94" s="34"/>
      <c r="BD94" s="28"/>
    </row>
    <row r="95" spans="1:60" ht="14.15" customHeight="1">
      <c r="A95" s="23"/>
      <c r="B95" s="325"/>
      <c r="C95" s="264"/>
      <c r="D95" s="28" t="s">
        <v>126</v>
      </c>
      <c r="E95" s="28"/>
      <c r="F95" s="28"/>
      <c r="G95" s="28"/>
      <c r="H95" s="344" t="s">
        <v>127</v>
      </c>
      <c r="I95" s="240"/>
      <c r="J95" s="241"/>
      <c r="K95" s="241"/>
      <c r="L95" s="241"/>
      <c r="M95" s="242"/>
      <c r="N95" s="241"/>
      <c r="O95" s="101"/>
      <c r="P95" s="244" t="s">
        <v>33</v>
      </c>
      <c r="Q95" s="25"/>
      <c r="R95" s="345" t="s">
        <v>128</v>
      </c>
      <c r="S95" s="346"/>
      <c r="T95" s="347"/>
      <c r="U95" s="347"/>
      <c r="V95" s="358"/>
      <c r="W95" s="359" t="s">
        <v>139</v>
      </c>
      <c r="X95" s="347"/>
      <c r="Y95" s="349"/>
      <c r="Z95" s="350"/>
      <c r="AB95" s="382" t="s">
        <v>168</v>
      </c>
      <c r="AC95" s="383"/>
      <c r="AD95" s="384"/>
      <c r="AE95" s="384"/>
      <c r="AF95" s="384"/>
      <c r="AG95" s="385"/>
      <c r="AH95" s="384"/>
      <c r="AI95" s="386"/>
      <c r="AJ95" s="385"/>
      <c r="AK95" s="59"/>
      <c r="AL95" s="59"/>
      <c r="AM95" s="386"/>
      <c r="AN95" s="386"/>
      <c r="AO95" s="384"/>
      <c r="AP95" s="387"/>
      <c r="AQ95" s="384"/>
      <c r="AR95" s="384"/>
      <c r="AS95" s="384"/>
      <c r="AT95" s="384"/>
      <c r="AU95" s="388"/>
      <c r="AV95" s="386"/>
      <c r="AW95" s="386"/>
      <c r="AX95" s="67"/>
      <c r="AY95" s="321"/>
      <c r="AZ95" s="33"/>
      <c r="BA95" s="44"/>
      <c r="BB95" s="74"/>
      <c r="BC95" s="34"/>
      <c r="BD95" s="28"/>
      <c r="BG95" s="35"/>
    </row>
    <row r="96" spans="1:60" ht="14.15" customHeight="1">
      <c r="A96" s="23"/>
      <c r="B96" s="325"/>
      <c r="C96" s="264"/>
      <c r="D96" s="28"/>
      <c r="E96" s="28"/>
      <c r="F96" s="28"/>
      <c r="G96" s="28"/>
      <c r="H96" s="345" t="s">
        <v>138</v>
      </c>
      <c r="I96" s="346"/>
      <c r="J96" s="347"/>
      <c r="K96" s="347"/>
      <c r="L96" s="347"/>
      <c r="M96" s="348"/>
      <c r="N96" s="347"/>
      <c r="O96" s="349"/>
      <c r="P96" s="348"/>
      <c r="Q96" s="354"/>
      <c r="R96" s="354"/>
      <c r="S96" s="349"/>
      <c r="T96" s="349"/>
      <c r="U96" s="347"/>
      <c r="V96" s="355"/>
      <c r="W96" s="347"/>
      <c r="X96" s="347"/>
      <c r="Y96" s="347"/>
      <c r="Z96" s="347"/>
      <c r="AA96" s="356"/>
      <c r="AB96" s="349"/>
      <c r="AC96" s="349"/>
      <c r="AD96" s="354"/>
      <c r="AE96" s="347"/>
      <c r="AF96" s="347"/>
      <c r="AG96" s="348"/>
      <c r="AH96" s="347"/>
      <c r="AI96" s="349"/>
      <c r="AJ96" s="348"/>
      <c r="AK96" s="354"/>
      <c r="AL96" s="354"/>
      <c r="AM96" s="349"/>
      <c r="AN96" s="349"/>
      <c r="AO96" s="347"/>
      <c r="AP96" s="355"/>
      <c r="AQ96" s="347"/>
      <c r="AR96" s="347"/>
      <c r="AS96" s="347"/>
      <c r="AT96" s="347"/>
      <c r="AU96" s="356"/>
      <c r="AV96" s="349"/>
      <c r="AW96" s="349"/>
      <c r="AX96" s="357"/>
      <c r="AY96" s="321"/>
      <c r="AZ96" s="33"/>
      <c r="BA96" s="44"/>
      <c r="BB96" s="74"/>
      <c r="BC96" s="34"/>
      <c r="BD96" s="28"/>
      <c r="BG96" s="35"/>
    </row>
    <row r="97" spans="1:60" ht="5.15" customHeight="1">
      <c r="A97" s="22"/>
      <c r="B97" s="186"/>
      <c r="C97" s="296"/>
      <c r="D97" s="69"/>
      <c r="E97" s="69"/>
      <c r="F97" s="69"/>
      <c r="G97" s="69"/>
      <c r="H97" s="297"/>
      <c r="I97" s="257"/>
      <c r="J97" s="255"/>
      <c r="K97" s="257"/>
      <c r="L97" s="255"/>
      <c r="M97" s="298"/>
      <c r="N97" s="298"/>
      <c r="O97" s="252"/>
      <c r="P97" s="298"/>
      <c r="Q97" s="252"/>
      <c r="R97" s="298"/>
      <c r="S97" s="69"/>
      <c r="T97" s="69"/>
      <c r="U97" s="69"/>
      <c r="V97" s="69"/>
      <c r="W97" s="69"/>
      <c r="X97" s="297"/>
      <c r="Y97" s="257"/>
      <c r="Z97" s="255"/>
      <c r="AA97" s="257"/>
      <c r="AB97" s="255"/>
      <c r="AC97" s="298"/>
      <c r="AD97" s="298"/>
      <c r="AE97" s="252"/>
      <c r="AF97" s="298"/>
      <c r="AG97" s="252"/>
      <c r="AH97" s="298"/>
      <c r="AI97" s="258"/>
      <c r="AJ97" s="298"/>
      <c r="AK97" s="252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299"/>
      <c r="AW97" s="69"/>
      <c r="AX97" s="69"/>
      <c r="AY97" s="259"/>
      <c r="AZ97" s="33"/>
      <c r="BA97" s="44"/>
      <c r="BB97" s="74"/>
      <c r="BC97" s="34"/>
      <c r="BD97" s="28"/>
    </row>
    <row r="98" spans="1:60" ht="5.15" customHeight="1">
      <c r="A98" s="22"/>
      <c r="B98" s="186"/>
      <c r="C98" s="351"/>
      <c r="D98" s="68"/>
      <c r="E98" s="68"/>
      <c r="F98" s="68"/>
      <c r="G98" s="68"/>
      <c r="H98" s="278"/>
      <c r="I98" s="260"/>
      <c r="J98" s="261"/>
      <c r="K98" s="260"/>
      <c r="L98" s="261"/>
      <c r="M98" s="279"/>
      <c r="N98" s="279"/>
      <c r="O98" s="245"/>
      <c r="P98" s="279"/>
      <c r="Q98" s="245"/>
      <c r="R98" s="279"/>
      <c r="S98" s="68"/>
      <c r="T98" s="68"/>
      <c r="U98" s="68"/>
      <c r="V98" s="68"/>
      <c r="W98" s="68"/>
      <c r="X98" s="278"/>
      <c r="Y98" s="260"/>
      <c r="Z98" s="261"/>
      <c r="AA98" s="260"/>
      <c r="AB98" s="261"/>
      <c r="AC98" s="279"/>
      <c r="AD98" s="279"/>
      <c r="AE98" s="245"/>
      <c r="AF98" s="279"/>
      <c r="AG98" s="245"/>
      <c r="AH98" s="279"/>
      <c r="AI98" s="262"/>
      <c r="AJ98" s="279"/>
      <c r="AK98" s="245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281"/>
      <c r="AW98" s="68"/>
      <c r="AX98" s="68"/>
      <c r="AY98" s="246"/>
      <c r="AZ98" s="33"/>
      <c r="BA98" s="44"/>
      <c r="BB98" s="74"/>
      <c r="BC98" s="34"/>
      <c r="BD98" s="28"/>
    </row>
    <row r="99" spans="1:60" ht="14.15" customHeight="1">
      <c r="A99" s="22"/>
      <c r="B99" s="186">
        <v>35</v>
      </c>
      <c r="C99" s="60" t="s">
        <v>129</v>
      </c>
      <c r="D99" s="310"/>
      <c r="E99" s="63"/>
      <c r="F99" s="63"/>
      <c r="G99" s="63"/>
      <c r="H99" s="63"/>
      <c r="I99" s="63"/>
      <c r="J99" s="352"/>
      <c r="K99" s="352"/>
      <c r="L99" s="352"/>
      <c r="M99" s="352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  <c r="AM99" s="63"/>
      <c r="AN99" s="63"/>
      <c r="AO99" s="63"/>
      <c r="AP99" s="63"/>
      <c r="AQ99" s="63"/>
      <c r="AR99" s="63"/>
      <c r="AS99" s="63"/>
      <c r="AT99" s="113"/>
      <c r="AU99" s="63"/>
      <c r="AV99" s="63"/>
      <c r="AW99" s="63"/>
      <c r="AX99" s="63"/>
      <c r="AY99" s="63"/>
      <c r="AZ99" s="33"/>
      <c r="BA99" s="44"/>
      <c r="BB99" s="313"/>
      <c r="BC99" s="314"/>
      <c r="BD99" s="28"/>
      <c r="BG99" s="24"/>
      <c r="BH99" s="28"/>
    </row>
    <row r="100" spans="1:60" ht="14.15" customHeight="1">
      <c r="A100" s="22"/>
      <c r="B100" s="186">
        <v>35</v>
      </c>
      <c r="C100" s="309"/>
      <c r="D100" s="310"/>
      <c r="E100" s="63"/>
      <c r="F100" s="63"/>
      <c r="G100" s="63"/>
      <c r="H100" s="63"/>
      <c r="I100" s="63"/>
      <c r="J100" s="352"/>
      <c r="K100" s="352"/>
      <c r="L100" s="352"/>
      <c r="M100" s="352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AL100" s="63"/>
      <c r="AM100" s="63"/>
      <c r="AN100" s="63"/>
      <c r="AO100" s="63"/>
      <c r="AP100" s="63"/>
      <c r="AQ100" s="63"/>
      <c r="AR100" s="63"/>
      <c r="AS100" s="63"/>
      <c r="AT100" s="113"/>
      <c r="AU100" s="63"/>
      <c r="AV100" s="63"/>
      <c r="AW100" s="63"/>
      <c r="AX100" s="63"/>
      <c r="AY100" s="63"/>
      <c r="AZ100" s="33"/>
      <c r="BA100" s="44"/>
      <c r="BB100" s="313"/>
      <c r="BC100" s="314"/>
      <c r="BD100" s="28"/>
      <c r="BG100" s="24"/>
      <c r="BH100" s="28"/>
    </row>
    <row r="101" spans="1:60" ht="14.15" customHeight="1">
      <c r="A101" s="22"/>
      <c r="B101" s="186">
        <v>35</v>
      </c>
      <c r="C101" s="320" t="s">
        <v>134</v>
      </c>
      <c r="D101" s="310"/>
      <c r="E101" s="63"/>
      <c r="F101" s="63"/>
      <c r="G101" s="63"/>
      <c r="H101" s="63"/>
      <c r="I101" s="63"/>
      <c r="J101" s="644"/>
      <c r="K101" s="644"/>
      <c r="L101" s="644"/>
      <c r="M101" s="644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AL101" s="63"/>
      <c r="AM101" s="63"/>
      <c r="AN101" s="63"/>
      <c r="AO101" s="63"/>
      <c r="AP101" s="63"/>
      <c r="AQ101" s="63"/>
      <c r="AR101" s="63"/>
      <c r="AS101" s="63"/>
      <c r="AT101" s="113"/>
      <c r="AU101" s="63"/>
      <c r="AV101" s="63"/>
      <c r="AW101" s="63"/>
      <c r="AX101" s="63"/>
      <c r="AY101" s="63"/>
      <c r="AZ101" s="33"/>
      <c r="BA101" s="44"/>
      <c r="BB101" s="313"/>
      <c r="BC101" s="314"/>
      <c r="BD101" s="28"/>
      <c r="BG101" s="24"/>
      <c r="BH101" s="28"/>
    </row>
    <row r="102" spans="1:60" ht="5.15" customHeight="1">
      <c r="A102" s="22"/>
      <c r="B102" s="186"/>
      <c r="C102" s="277"/>
      <c r="D102" s="68"/>
      <c r="E102" s="68"/>
      <c r="F102" s="68"/>
      <c r="G102" s="68"/>
      <c r="H102" s="278"/>
      <c r="I102" s="260"/>
      <c r="J102" s="261"/>
      <c r="K102" s="260"/>
      <c r="L102" s="261"/>
      <c r="M102" s="279"/>
      <c r="N102" s="279"/>
      <c r="O102" s="245"/>
      <c r="P102" s="279"/>
      <c r="Q102" s="245"/>
      <c r="R102" s="279"/>
      <c r="S102" s="68"/>
      <c r="T102" s="68"/>
      <c r="U102" s="68"/>
      <c r="V102" s="68"/>
      <c r="W102" s="68"/>
      <c r="X102" s="278"/>
      <c r="Y102" s="260"/>
      <c r="Z102" s="261"/>
      <c r="AA102" s="260"/>
      <c r="AB102" s="261"/>
      <c r="AC102" s="279"/>
      <c r="AD102" s="279"/>
      <c r="AE102" s="245"/>
      <c r="AF102" s="279"/>
      <c r="AG102" s="245"/>
      <c r="AH102" s="279"/>
      <c r="AI102" s="262"/>
      <c r="AJ102" s="279"/>
      <c r="AK102" s="245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281"/>
      <c r="AW102" s="68"/>
      <c r="AX102" s="68"/>
      <c r="AY102" s="247"/>
      <c r="AZ102" s="33"/>
      <c r="BA102" s="44"/>
      <c r="BB102" s="313"/>
      <c r="BC102" s="314"/>
      <c r="BD102" s="28"/>
    </row>
    <row r="103" spans="1:60" ht="13.5" customHeight="1">
      <c r="A103" s="22"/>
      <c r="B103" s="43"/>
      <c r="C103" s="248"/>
      <c r="D103" s="28" t="s">
        <v>135</v>
      </c>
      <c r="E103" s="28"/>
      <c r="F103" s="28"/>
      <c r="G103" s="28"/>
      <c r="H103" s="24"/>
      <c r="I103" s="24"/>
      <c r="J103" s="24"/>
      <c r="K103" s="24"/>
      <c r="L103" s="24"/>
      <c r="M103" s="115"/>
      <c r="N103" s="71"/>
      <c r="O103" s="78"/>
      <c r="P103" s="78"/>
      <c r="Q103" s="79"/>
      <c r="R103" s="71"/>
      <c r="S103" s="71"/>
      <c r="T103" s="71"/>
      <c r="U103" s="78"/>
      <c r="V103" s="79"/>
      <c r="W103" s="71"/>
      <c r="X103" s="63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63"/>
      <c r="AY103" s="249"/>
      <c r="AZ103" s="33"/>
      <c r="BA103" s="44"/>
      <c r="BB103" s="313"/>
      <c r="BC103" s="314"/>
      <c r="BD103" s="28"/>
      <c r="BE103" s="35"/>
      <c r="BF103" s="35"/>
      <c r="BG103" s="35"/>
    </row>
    <row r="104" spans="1:60" ht="13.5" customHeight="1">
      <c r="A104" s="22"/>
      <c r="B104" s="43"/>
      <c r="C104" s="248"/>
      <c r="D104" s="28"/>
      <c r="E104" s="28"/>
      <c r="F104" s="28"/>
      <c r="G104" s="28"/>
      <c r="H104" s="322" t="s">
        <v>137</v>
      </c>
      <c r="I104" s="119"/>
      <c r="J104" s="119"/>
      <c r="K104" s="119"/>
      <c r="L104" s="120"/>
      <c r="M104" s="120"/>
      <c r="N104" s="97"/>
      <c r="O104" s="121"/>
      <c r="P104" s="122"/>
      <c r="Q104" s="121" t="s">
        <v>136</v>
      </c>
      <c r="R104" s="122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  <c r="AH104" s="98"/>
      <c r="AI104" s="98"/>
      <c r="AJ104" s="98"/>
      <c r="AK104" s="98"/>
      <c r="AL104" s="121" t="s">
        <v>42</v>
      </c>
      <c r="AM104" s="122"/>
      <c r="AN104" s="98"/>
      <c r="AO104" s="31"/>
      <c r="AP104" s="31"/>
      <c r="AQ104" s="31"/>
      <c r="AR104" s="31"/>
      <c r="AS104" s="31"/>
      <c r="AT104" s="31"/>
      <c r="AU104" s="31"/>
      <c r="AV104" s="31"/>
      <c r="AW104" s="31"/>
      <c r="AX104" s="63"/>
      <c r="AY104" s="249"/>
      <c r="AZ104" s="33"/>
      <c r="BA104" s="44"/>
      <c r="BB104" s="313"/>
      <c r="BC104" s="314"/>
      <c r="BD104" s="28"/>
      <c r="BE104" s="35"/>
      <c r="BF104" s="35"/>
      <c r="BG104" s="35"/>
    </row>
    <row r="105" spans="1:60" ht="13.5" customHeight="1">
      <c r="A105" s="22"/>
      <c r="B105" s="43"/>
      <c r="C105" s="248"/>
      <c r="D105" s="28"/>
      <c r="E105" s="28"/>
      <c r="F105" s="28"/>
      <c r="G105" s="28"/>
      <c r="H105" s="360" t="s">
        <v>140</v>
      </c>
      <c r="I105" s="125"/>
      <c r="J105" s="125"/>
      <c r="K105" s="125"/>
      <c r="L105" s="125"/>
      <c r="M105" s="125"/>
      <c r="N105" s="125"/>
      <c r="O105" s="324"/>
      <c r="P105" s="127"/>
      <c r="Q105" s="361" t="s">
        <v>51</v>
      </c>
      <c r="R105" s="127"/>
      <c r="S105" s="99"/>
      <c r="T105" s="99"/>
      <c r="U105" s="99"/>
      <c r="V105" s="140"/>
      <c r="W105" s="101"/>
      <c r="X105" s="101"/>
      <c r="Y105" s="140"/>
      <c r="Z105" s="140"/>
      <c r="AA105" s="101"/>
      <c r="AB105" s="101"/>
      <c r="AC105" s="37"/>
      <c r="AD105" s="37"/>
      <c r="AE105" s="37"/>
      <c r="AF105" s="37"/>
      <c r="AG105" s="37"/>
      <c r="AH105" s="37"/>
      <c r="AI105" s="37"/>
      <c r="AJ105" s="37"/>
      <c r="AK105" s="88"/>
      <c r="AL105" s="128"/>
      <c r="AM105" s="129"/>
      <c r="AN105" s="130"/>
      <c r="AO105" s="31"/>
      <c r="AP105" s="31"/>
      <c r="AQ105" s="31"/>
      <c r="AR105" s="31"/>
      <c r="AS105" s="31"/>
      <c r="AT105" s="31"/>
      <c r="AU105" s="31"/>
      <c r="AV105" s="31"/>
      <c r="AW105" s="31"/>
      <c r="AX105" s="63"/>
      <c r="AY105" s="249"/>
      <c r="AZ105" s="33"/>
      <c r="BA105" s="44"/>
      <c r="BB105" s="313"/>
      <c r="BC105" s="314"/>
      <c r="BD105" s="28"/>
      <c r="BE105" s="35"/>
      <c r="BF105" s="35"/>
      <c r="BG105" s="35"/>
    </row>
    <row r="106" spans="1:60" ht="13.5" customHeight="1">
      <c r="A106" s="22"/>
      <c r="B106" s="43"/>
      <c r="C106" s="248"/>
      <c r="D106" s="28"/>
      <c r="E106" s="28"/>
      <c r="F106" s="28"/>
      <c r="G106" s="28"/>
      <c r="H106" s="360" t="s">
        <v>141</v>
      </c>
      <c r="I106" s="125"/>
      <c r="J106" s="125"/>
      <c r="K106" s="125"/>
      <c r="L106" s="125"/>
      <c r="M106" s="125"/>
      <c r="N106" s="125"/>
      <c r="O106" s="324"/>
      <c r="P106" s="127"/>
      <c r="Q106" s="361" t="s">
        <v>51</v>
      </c>
      <c r="R106" s="127"/>
      <c r="S106" s="99"/>
      <c r="T106" s="99"/>
      <c r="U106" s="99"/>
      <c r="V106" s="140"/>
      <c r="W106" s="101"/>
      <c r="X106" s="101"/>
      <c r="Y106" s="140"/>
      <c r="Z106" s="140"/>
      <c r="AA106" s="101"/>
      <c r="AB106" s="101"/>
      <c r="AC106" s="37"/>
      <c r="AD106" s="37"/>
      <c r="AE106" s="37"/>
      <c r="AF106" s="37"/>
      <c r="AG106" s="37"/>
      <c r="AH106" s="37"/>
      <c r="AI106" s="37"/>
      <c r="AJ106" s="37"/>
      <c r="AK106" s="88"/>
      <c r="AL106" s="128"/>
      <c r="AM106" s="129"/>
      <c r="AN106" s="130"/>
      <c r="AO106" s="31"/>
      <c r="AP106" s="31"/>
      <c r="AQ106" s="31"/>
      <c r="AR106" s="31"/>
      <c r="AS106" s="31"/>
      <c r="AT106" s="31"/>
      <c r="AU106" s="31"/>
      <c r="AV106" s="31"/>
      <c r="AW106" s="31"/>
      <c r="AX106" s="63"/>
      <c r="AY106" s="249"/>
      <c r="AZ106" s="33"/>
      <c r="BA106" s="44"/>
      <c r="BB106" s="313"/>
      <c r="BC106" s="314"/>
      <c r="BD106" s="28"/>
      <c r="BE106" s="35"/>
      <c r="BF106" s="35"/>
      <c r="BG106" s="35"/>
    </row>
    <row r="107" spans="1:60" ht="13.5" customHeight="1">
      <c r="A107" s="22"/>
      <c r="B107" s="43"/>
      <c r="C107" s="248"/>
      <c r="D107" s="28"/>
      <c r="E107" s="28"/>
      <c r="F107" s="28"/>
      <c r="G107" s="28"/>
      <c r="H107" s="360" t="s">
        <v>142</v>
      </c>
      <c r="I107" s="125"/>
      <c r="J107" s="125"/>
      <c r="K107" s="125"/>
      <c r="L107" s="125"/>
      <c r="M107" s="125"/>
      <c r="N107" s="125"/>
      <c r="O107" s="324"/>
      <c r="P107" s="127"/>
      <c r="Q107" s="361" t="s">
        <v>51</v>
      </c>
      <c r="R107" s="127"/>
      <c r="S107" s="99"/>
      <c r="T107" s="99"/>
      <c r="U107" s="99"/>
      <c r="V107" s="140"/>
      <c r="W107" s="101"/>
      <c r="X107" s="101"/>
      <c r="Y107" s="140"/>
      <c r="Z107" s="140"/>
      <c r="AA107" s="101"/>
      <c r="AB107" s="101"/>
      <c r="AC107" s="37"/>
      <c r="AD107" s="37"/>
      <c r="AE107" s="37"/>
      <c r="AF107" s="37"/>
      <c r="AG107" s="37"/>
      <c r="AH107" s="37"/>
      <c r="AI107" s="37"/>
      <c r="AJ107" s="37"/>
      <c r="AK107" s="88"/>
      <c r="AL107" s="128"/>
      <c r="AM107" s="129"/>
      <c r="AN107" s="130"/>
      <c r="AO107" s="31"/>
      <c r="AP107" s="31"/>
      <c r="AQ107" s="31"/>
      <c r="AR107" s="31"/>
      <c r="AS107" s="31"/>
      <c r="AT107" s="31"/>
      <c r="AU107" s="31"/>
      <c r="AV107" s="31"/>
      <c r="AW107" s="31"/>
      <c r="AX107" s="63"/>
      <c r="AY107" s="249"/>
      <c r="AZ107" s="33"/>
      <c r="BA107" s="44"/>
      <c r="BB107" s="313"/>
      <c r="BC107" s="314"/>
      <c r="BD107" s="28"/>
      <c r="BE107" s="35"/>
      <c r="BF107" s="35"/>
      <c r="BG107" s="35"/>
    </row>
    <row r="108" spans="1:60" ht="5.15" customHeight="1">
      <c r="A108" s="22"/>
      <c r="B108" s="186"/>
      <c r="C108" s="296"/>
      <c r="D108" s="69"/>
      <c r="E108" s="69"/>
      <c r="F108" s="69"/>
      <c r="G108" s="69"/>
      <c r="H108" s="297"/>
      <c r="I108" s="257"/>
      <c r="J108" s="255"/>
      <c r="K108" s="257"/>
      <c r="L108" s="255"/>
      <c r="M108" s="298"/>
      <c r="N108" s="298"/>
      <c r="O108" s="252"/>
      <c r="P108" s="298"/>
      <c r="Q108" s="252"/>
      <c r="R108" s="298"/>
      <c r="S108" s="69"/>
      <c r="T108" s="69"/>
      <c r="U108" s="69"/>
      <c r="V108" s="69"/>
      <c r="W108" s="69"/>
      <c r="X108" s="297"/>
      <c r="Y108" s="257"/>
      <c r="Z108" s="255"/>
      <c r="AA108" s="257"/>
      <c r="AB108" s="255"/>
      <c r="AC108" s="298"/>
      <c r="AD108" s="298"/>
      <c r="AE108" s="252"/>
      <c r="AF108" s="298"/>
      <c r="AG108" s="252"/>
      <c r="AH108" s="298"/>
      <c r="AI108" s="258"/>
      <c r="AJ108" s="298"/>
      <c r="AK108" s="252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299"/>
      <c r="AW108" s="69"/>
      <c r="AX108" s="69"/>
      <c r="AY108" s="259"/>
      <c r="AZ108" s="33"/>
      <c r="BA108" s="44"/>
      <c r="BB108" s="313"/>
      <c r="BC108" s="314"/>
      <c r="BD108" s="28"/>
    </row>
    <row r="109" spans="1:60" ht="14.15" customHeight="1">
      <c r="A109" s="22"/>
      <c r="B109" s="186"/>
      <c r="C109" s="309"/>
      <c r="D109" s="310"/>
      <c r="E109" s="63"/>
      <c r="F109" s="63"/>
      <c r="G109" s="63"/>
      <c r="H109" s="63"/>
      <c r="I109" s="63"/>
      <c r="J109" s="328"/>
      <c r="K109" s="328"/>
      <c r="L109" s="328"/>
      <c r="M109" s="328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  <c r="AN109" s="63"/>
      <c r="AO109" s="63"/>
      <c r="AP109" s="63"/>
      <c r="AQ109" s="63"/>
      <c r="AR109" s="63"/>
      <c r="AS109" s="63"/>
      <c r="AT109" s="113"/>
      <c r="AU109" s="63"/>
      <c r="AV109" s="63"/>
      <c r="AW109" s="63"/>
      <c r="AX109" s="63"/>
      <c r="AY109" s="63"/>
      <c r="AZ109" s="33"/>
      <c r="BA109" s="44"/>
      <c r="BB109" s="313"/>
      <c r="BC109" s="314"/>
      <c r="BD109" s="28"/>
      <c r="BG109" s="24"/>
      <c r="BH109" s="28"/>
    </row>
    <row r="110" spans="1:60" ht="13.5" customHeight="1">
      <c r="A110" s="22"/>
      <c r="B110" s="186">
        <v>36</v>
      </c>
      <c r="C110" s="309"/>
      <c r="D110" s="310"/>
      <c r="E110" s="63"/>
      <c r="F110" s="63"/>
      <c r="G110" s="63"/>
      <c r="H110" s="63"/>
      <c r="I110" s="63"/>
      <c r="J110" s="644"/>
      <c r="K110" s="644"/>
      <c r="L110" s="644"/>
      <c r="M110" s="644"/>
      <c r="N110" s="61"/>
      <c r="O110" s="63"/>
      <c r="P110" s="63"/>
      <c r="Q110" s="63"/>
      <c r="R110" s="28"/>
      <c r="S110" s="28"/>
      <c r="T110" s="31"/>
      <c r="U110" s="31"/>
      <c r="V110" s="31"/>
      <c r="W110" s="31"/>
      <c r="X110" s="31"/>
      <c r="Y110" s="42"/>
      <c r="Z110" s="31"/>
      <c r="AA110" s="28"/>
      <c r="AB110" s="42"/>
      <c r="AC110" s="31"/>
      <c r="AD110" s="28"/>
      <c r="AE110" s="42"/>
      <c r="AF110" s="28"/>
      <c r="AG110" s="106"/>
      <c r="AH110" s="39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  <c r="AU110" s="106"/>
      <c r="AV110" s="106"/>
      <c r="AW110" s="106"/>
      <c r="AX110" s="106"/>
      <c r="AY110" s="106"/>
      <c r="AZ110" s="33"/>
      <c r="BA110" s="44"/>
      <c r="BB110" s="313"/>
      <c r="BC110" s="314"/>
      <c r="BD110" s="28"/>
      <c r="BG110" s="24"/>
      <c r="BH110" s="28"/>
    </row>
    <row r="111" spans="1:60" ht="13.5" customHeight="1">
      <c r="A111" s="22"/>
      <c r="B111" s="186">
        <v>37</v>
      </c>
      <c r="C111" s="309"/>
      <c r="D111" s="310"/>
      <c r="E111" s="63"/>
      <c r="F111" s="63"/>
      <c r="G111" s="63"/>
      <c r="H111" s="63"/>
      <c r="I111" s="63"/>
      <c r="J111" s="644"/>
      <c r="K111" s="644"/>
      <c r="L111" s="644"/>
      <c r="M111" s="644"/>
      <c r="N111" s="177"/>
      <c r="O111" s="179"/>
      <c r="P111" s="177"/>
      <c r="Q111" s="178"/>
      <c r="R111" s="178"/>
      <c r="S111" s="178"/>
      <c r="T111" s="180"/>
      <c r="U111" s="180"/>
      <c r="V111" s="180"/>
      <c r="W111" s="180"/>
      <c r="X111" s="180"/>
      <c r="Y111" s="179"/>
      <c r="Z111" s="180"/>
      <c r="AA111" s="178"/>
      <c r="AB111" s="179"/>
      <c r="AC111" s="180"/>
      <c r="AD111" s="178"/>
      <c r="AE111" s="179"/>
      <c r="AF111" s="178"/>
      <c r="AG111" s="178"/>
      <c r="AH111" s="179"/>
      <c r="AI111" s="178"/>
      <c r="AJ111" s="178"/>
      <c r="AK111" s="181"/>
      <c r="AL111" s="178"/>
      <c r="AM111" s="178"/>
      <c r="AN111" s="178"/>
      <c r="AO111" s="178"/>
      <c r="AP111" s="178"/>
      <c r="AQ111" s="178"/>
      <c r="AR111" s="178"/>
      <c r="AS111" s="178"/>
      <c r="AT111" s="178"/>
      <c r="AU111" s="178"/>
      <c r="AV111" s="178"/>
      <c r="AW111" s="178"/>
      <c r="AX111" s="178"/>
      <c r="AY111" s="178"/>
      <c r="AZ111" s="33"/>
      <c r="BA111" s="44"/>
      <c r="BB111" s="313"/>
      <c r="BC111" s="314"/>
      <c r="BD111" s="28"/>
      <c r="BG111" s="24"/>
      <c r="BH111" s="28"/>
    </row>
    <row r="112" spans="1:60">
      <c r="A112" s="22"/>
      <c r="B112" s="32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76"/>
      <c r="T112" s="76"/>
      <c r="U112" s="76"/>
      <c r="V112" s="76"/>
      <c r="W112" s="28"/>
      <c r="X112" s="28"/>
      <c r="Y112" s="76"/>
      <c r="Z112" s="76"/>
      <c r="AA112" s="28"/>
      <c r="AB112" s="28"/>
      <c r="AC112" s="28"/>
      <c r="AD112" s="76"/>
      <c r="AE112" s="76"/>
      <c r="AF112" s="76"/>
      <c r="AG112" s="76"/>
      <c r="AH112" s="76"/>
      <c r="AI112" s="76"/>
      <c r="AJ112" s="76"/>
      <c r="AK112" s="76"/>
      <c r="AL112" s="76"/>
      <c r="AM112" s="76"/>
      <c r="AN112" s="76"/>
      <c r="AO112" s="76"/>
      <c r="AP112" s="76"/>
      <c r="AQ112" s="76"/>
      <c r="AR112" s="76"/>
      <c r="AS112" s="76"/>
      <c r="AT112" s="76"/>
      <c r="AU112" s="76"/>
      <c r="AV112" s="76"/>
      <c r="AW112" s="76"/>
      <c r="AX112" s="76"/>
      <c r="AY112" s="31"/>
      <c r="AZ112" s="33"/>
      <c r="BA112" s="44"/>
      <c r="BB112" s="313"/>
      <c r="BC112" s="314"/>
    </row>
    <row r="113" spans="1:55">
      <c r="A113" s="139"/>
      <c r="B113" s="87"/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40"/>
      <c r="T113" s="140"/>
      <c r="U113" s="140"/>
      <c r="V113" s="140"/>
      <c r="W113" s="101"/>
      <c r="X113" s="101"/>
      <c r="Y113" s="140"/>
      <c r="Z113" s="140"/>
      <c r="AA113" s="101"/>
      <c r="AB113" s="101"/>
      <c r="AC113" s="101"/>
      <c r="AD113" s="140"/>
      <c r="AE113" s="140"/>
      <c r="AF113" s="140"/>
      <c r="AG113" s="140"/>
      <c r="AH113" s="140"/>
      <c r="AI113" s="140"/>
      <c r="AJ113" s="140"/>
      <c r="AK113" s="140"/>
      <c r="AL113" s="140"/>
      <c r="AM113" s="140"/>
      <c r="AN113" s="140"/>
      <c r="AO113" s="140"/>
      <c r="AP113" s="140"/>
      <c r="AQ113" s="140"/>
      <c r="AR113" s="140"/>
      <c r="AS113" s="140"/>
      <c r="AT113" s="140"/>
      <c r="AU113" s="140"/>
      <c r="AV113" s="140"/>
      <c r="AW113" s="140"/>
      <c r="AX113" s="140"/>
      <c r="AY113" s="87"/>
      <c r="AZ113" s="87"/>
      <c r="BA113" s="141"/>
      <c r="BB113" s="329"/>
      <c r="BC113" s="330"/>
    </row>
  </sheetData>
  <mergeCells count="107">
    <mergeCell ref="BE67:BH67"/>
    <mergeCell ref="BE68:BH68"/>
    <mergeCell ref="AF68:AJ68"/>
    <mergeCell ref="AK68:AN68"/>
    <mergeCell ref="AO68:AR68"/>
    <mergeCell ref="AS68:AV68"/>
    <mergeCell ref="AW68:AZ68"/>
    <mergeCell ref="AS71:AV71"/>
    <mergeCell ref="AW71:AZ71"/>
    <mergeCell ref="BA71:BD71"/>
    <mergeCell ref="BE71:BH71"/>
    <mergeCell ref="AF71:AJ71"/>
    <mergeCell ref="AK71:AN71"/>
    <mergeCell ref="AO71:AR71"/>
    <mergeCell ref="J110:M110"/>
    <mergeCell ref="J111:M111"/>
    <mergeCell ref="J77:M77"/>
    <mergeCell ref="J84:M84"/>
    <mergeCell ref="BE72:BH72"/>
    <mergeCell ref="BD73:BF73"/>
    <mergeCell ref="J85:M85"/>
    <mergeCell ref="J87:M87"/>
    <mergeCell ref="J93:M93"/>
    <mergeCell ref="J101:M101"/>
    <mergeCell ref="X72:AA72"/>
    <mergeCell ref="AB72:AE72"/>
    <mergeCell ref="AF72:AJ72"/>
    <mergeCell ref="AK72:AN72"/>
    <mergeCell ref="AO72:AR72"/>
    <mergeCell ref="AS64:AV64"/>
    <mergeCell ref="AS72:AV72"/>
    <mergeCell ref="AW72:AZ72"/>
    <mergeCell ref="BA72:BD72"/>
    <mergeCell ref="X68:AA68"/>
    <mergeCell ref="AB68:AE68"/>
    <mergeCell ref="BA68:BD68"/>
    <mergeCell ref="X64:AA64"/>
    <mergeCell ref="AB64:AE64"/>
    <mergeCell ref="AF64:AJ64"/>
    <mergeCell ref="AK64:AN64"/>
    <mergeCell ref="AO64:AR64"/>
    <mergeCell ref="X67:AA67"/>
    <mergeCell ref="AB67:AE67"/>
    <mergeCell ref="AF67:AJ67"/>
    <mergeCell ref="AK67:AN67"/>
    <mergeCell ref="AO67:AR67"/>
    <mergeCell ref="AS67:AV67"/>
    <mergeCell ref="AW67:AZ67"/>
    <mergeCell ref="BA67:BD67"/>
    <mergeCell ref="X71:AA71"/>
    <mergeCell ref="AB71:AE71"/>
    <mergeCell ref="BQ64:BT64"/>
    <mergeCell ref="BU64:BX64"/>
    <mergeCell ref="BY64:CA64"/>
    <mergeCell ref="AW64:AZ64"/>
    <mergeCell ref="BA64:BD64"/>
    <mergeCell ref="BE64:BH64"/>
    <mergeCell ref="BI64:BL64"/>
    <mergeCell ref="BM64:BP64"/>
    <mergeCell ref="BG52:BI52"/>
    <mergeCell ref="BM58:BP58"/>
    <mergeCell ref="BG51:BI51"/>
    <mergeCell ref="R52:U52"/>
    <mergeCell ref="Z52:AD52"/>
    <mergeCell ref="AI52:AL52"/>
    <mergeCell ref="AM52:AP52"/>
    <mergeCell ref="AQ52:AT52"/>
    <mergeCell ref="AU52:AX52"/>
    <mergeCell ref="AY52:BB52"/>
    <mergeCell ref="BC52:BF52"/>
    <mergeCell ref="AV3:AY3"/>
    <mergeCell ref="A5:BA5"/>
    <mergeCell ref="BB5:BC5"/>
    <mergeCell ref="R51:U51"/>
    <mergeCell ref="Z51:AD51"/>
    <mergeCell ref="AI51:AL51"/>
    <mergeCell ref="AM51:AP51"/>
    <mergeCell ref="AQ51:AT51"/>
    <mergeCell ref="AU51:AX51"/>
    <mergeCell ref="AY51:BB51"/>
    <mergeCell ref="H42:L42"/>
    <mergeCell ref="H43:L43"/>
    <mergeCell ref="BC51:BF51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</mergeCells>
  <phoneticPr fontId="55"/>
  <conditionalFormatting sqref="AK67:AV68">
    <cfRule type="cellIs" dxfId="5" priority="3" operator="lessThan">
      <formula>0</formula>
    </cfRule>
  </conditionalFormatting>
  <conditionalFormatting sqref="AK71:AV72">
    <cfRule type="cellIs" dxfId="4" priority="2" operator="lessThan">
      <formula>0</formula>
    </cfRule>
  </conditionalFormatting>
  <conditionalFormatting sqref="BA64:BD64">
    <cfRule type="cellIs" dxfId="3" priority="15" operator="lessThan">
      <formula>0</formula>
    </cfRule>
  </conditionalFormatting>
  <conditionalFormatting sqref="BE67:BH68">
    <cfRule type="cellIs" dxfId="2" priority="4" operator="lessThan">
      <formula>0.3</formula>
    </cfRule>
  </conditionalFormatting>
  <conditionalFormatting sqref="BE71:BH72">
    <cfRule type="cellIs" dxfId="1" priority="1" operator="lessThan">
      <formula>0.3</formula>
    </cfRule>
  </conditionalFormatting>
  <conditionalFormatting sqref="BM64:BP64">
    <cfRule type="cellIs" dxfId="0" priority="10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5</vt:i4>
      </vt:variant>
    </vt:vector>
  </HeadingPairs>
  <TitlesOfParts>
    <vt:vector size="11" baseType="lpstr">
      <vt:lpstr>表紙</vt:lpstr>
      <vt:lpstr>変更来歴</vt:lpstr>
      <vt:lpstr>化学物質データ申請完了画面</vt:lpstr>
      <vt:lpstr>化学物質データ申請完了画面(仮)</vt:lpstr>
      <vt:lpstr>画面項目</vt:lpstr>
      <vt:lpstr>外貨(コリア原計)</vt:lpstr>
      <vt:lpstr>化学物質データ申請完了画面!Print_Area</vt:lpstr>
      <vt:lpstr>'化学物質データ申請完了画面(仮)'!Print_Area</vt:lpstr>
      <vt:lpstr>画面項目!Print_Area</vt:lpstr>
      <vt:lpstr>'外貨(コリア原計)'!Print_Area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2026-05-21T05:28:02Z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