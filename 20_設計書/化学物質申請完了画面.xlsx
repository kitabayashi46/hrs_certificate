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ocuments\古竹作成\基本設計書\"/>
    </mc:Choice>
  </mc:AlternateContent>
  <xr:revisionPtr revIDLastSave="0" documentId="13_ncr:1_{E5C484F8-B194-4088-9B79-CF867A1F4EA1}" xr6:coauthVersionLast="47" xr6:coauthVersionMax="47" xr10:uidLastSave="{00000000-0000-0000-0000-000000000000}"/>
  <bookViews>
    <workbookView xWindow="37785" yWindow="3810" windowWidth="15075" windowHeight="8085" tabRatio="859" xr2:uid="{00000000-000D-0000-FFFF-FFFF00000000}"/>
  </bookViews>
  <sheets>
    <sheet name="表紙" sheetId="2" r:id="rId1"/>
    <sheet name="変更来歴" sheetId="3" r:id="rId2"/>
    <sheet name="化学物質データ申請完了画面" sheetId="73" r:id="rId3"/>
    <sheet name="化学物質データ申請完了画面(仮)" sheetId="67" state="hidden" r:id="rId4"/>
    <sheet name="画面項目" sheetId="71" r:id="rId5"/>
    <sheet name="画面状態" sheetId="72" r:id="rId6"/>
    <sheet name="外貨(コリア原計)" sheetId="66" state="hidden" r:id="rId7"/>
  </sheets>
  <definedNames>
    <definedName name="_2a1_" hidden="1">{"'Sheet1'!$A$3:$I$11"}</definedName>
    <definedName name="_a1" hidden="1">{"'Sheet1'!$A$3:$I$11"}</definedName>
    <definedName name="_xlnm._FilterDatabase" localSheetId="5" hidden="1">画面状態!$A$1:$AD$9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_xlnm.Print_Area" localSheetId="2">化学物質データ申請完了画面!$A$1:$BC$38</definedName>
    <definedName name="_xlnm.Print_Area" localSheetId="3">'化学物質データ申請完了画面(仮)'!$A$1:$BC$54</definedName>
    <definedName name="_xlnm.Print_Area" localSheetId="4">画面項目!$A$1:$CJ$21</definedName>
    <definedName name="_xlnm.Print_Area" localSheetId="5">画面状態!$A$1:$CB$12</definedName>
    <definedName name="_xlnm.Print_Area" localSheetId="6">'外貨(コリア原計)'!$A$1:$BC$113</definedName>
    <definedName name="_xlnm.Print_Area" localSheetId="0">表紙!$A$1:$I$36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localSheetId="4" hidden="1">{"'画面仕様'!$C$22:$BY$40","'画面仕様'!$C$28:$BY$39"}</definedName>
    <definedName name="画面遷移new" localSheetId="5" hidden="1">{"'画面仕様'!$C$22:$BY$40","'画面仕様'!$C$28:$BY$39"}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3" l="1"/>
  <c r="AA3" i="73"/>
  <c r="M3" i="73"/>
  <c r="A3" i="73"/>
  <c r="AZ2" i="73"/>
  <c r="M2" i="73"/>
  <c r="AV1" i="73"/>
  <c r="AN1" i="73"/>
  <c r="AA1" i="73"/>
  <c r="M1" i="73"/>
  <c r="AN2" i="73"/>
  <c r="AV2" i="73"/>
  <c r="AV3" i="73"/>
  <c r="J9" i="72" l="1"/>
  <c r="A9" i="72"/>
  <c r="J8" i="72"/>
  <c r="A8" i="72"/>
  <c r="J7" i="72"/>
  <c r="A7" i="72"/>
  <c r="C6" i="72"/>
  <c r="A6" i="72"/>
  <c r="A5" i="72"/>
  <c r="A4" i="72"/>
  <c r="A5" i="67" l="1"/>
  <c r="AA3" i="67"/>
  <c r="M3" i="67"/>
  <c r="A3" i="67"/>
  <c r="AZ2" i="67"/>
  <c r="M2" i="67"/>
  <c r="AV1" i="67"/>
  <c r="AN1" i="67"/>
  <c r="AA1" i="67"/>
  <c r="M1" i="67"/>
  <c r="BM58" i="66"/>
  <c r="AV2" i="67"/>
  <c r="AV3" i="67"/>
  <c r="AN2" i="67"/>
  <c r="BE64" i="66" l="1"/>
  <c r="AS64" i="66" l="1"/>
  <c r="D64" i="66"/>
  <c r="BA64" i="66" l="1"/>
  <c r="AB64" i="66"/>
  <c r="BM64" i="66" s="1"/>
  <c r="CB64" i="66"/>
  <c r="BU64" i="66"/>
  <c r="BQ64" i="66"/>
  <c r="BI64" i="66"/>
  <c r="AO64" i="66"/>
  <c r="AW64" i="66" s="1"/>
  <c r="AK64" i="66"/>
  <c r="AF64" i="66"/>
  <c r="X64" i="66"/>
  <c r="T64" i="66"/>
  <c r="J64" i="66"/>
  <c r="F64" i="66"/>
  <c r="BY64" i="66"/>
  <c r="A5" i="66"/>
  <c r="AA3" i="66"/>
  <c r="M3" i="66"/>
  <c r="A3" i="66"/>
  <c r="AZ2" i="66"/>
  <c r="M2" i="66"/>
  <c r="AV1" i="66"/>
  <c r="AN1" i="66"/>
  <c r="AA1" i="66"/>
  <c r="M1" i="66"/>
  <c r="AV2" i="66"/>
  <c r="AN2" i="66"/>
  <c r="AV3" i="66"/>
  <c r="AS71" i="66" l="1"/>
  <c r="AB71" i="66"/>
  <c r="X71" i="66"/>
  <c r="AF71" i="66" s="1"/>
  <c r="AK71" i="66" s="1"/>
  <c r="X67" i="66"/>
  <c r="AS67" i="66"/>
  <c r="AB67" i="66"/>
  <c r="AS68" i="66"/>
  <c r="AB68" i="66"/>
  <c r="X68" i="66"/>
  <c r="AS72" i="66"/>
  <c r="AB72" i="66"/>
  <c r="X72" i="66"/>
  <c r="AO67" i="66" l="1"/>
  <c r="AO71" i="66"/>
  <c r="AF67" i="66"/>
  <c r="AK67" i="66" s="1"/>
  <c r="AF72" i="66"/>
  <c r="AK72" i="66" s="1"/>
  <c r="AF68" i="66"/>
  <c r="AK68" i="66" s="1"/>
  <c r="AO68" i="66"/>
  <c r="AO72" i="66"/>
  <c r="AT1" i="3" l="1"/>
  <c r="AT3" i="3"/>
  <c r="B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F2" authorId="0" shapeId="0" xr:uid="{F561D017-3A61-43C4-A984-328E71636656}">
      <text>
        <r>
          <rPr>
            <sz val="9"/>
            <color indexed="81"/>
            <rFont val="ＭＳ Ｐゴシック"/>
            <family val="3"/>
            <charset val="128"/>
          </rPr>
          <t>OOTBは記入不要</t>
        </r>
      </text>
    </comment>
    <comment ref="Q3" authorId="0" shapeId="0" xr:uid="{A4EDC6A9-280F-4A66-A656-197BAE733652}">
      <text>
        <r>
          <rPr>
            <sz val="9"/>
            <color indexed="81"/>
            <rFont val="ＭＳ Ｐゴシック"/>
            <family val="3"/>
            <charset val="128"/>
          </rPr>
          <t>画面項目のコンポーネントの種類</t>
        </r>
      </text>
    </comment>
    <comment ref="X3" authorId="0" shapeId="0" xr:uid="{24BFC432-417E-4E52-AFF7-1491EEC8A00A}">
      <text>
        <r>
          <rPr>
            <sz val="9"/>
            <color indexed="81"/>
            <rFont val="ＭＳ Ｐゴシック"/>
            <family val="3"/>
            <charset val="128"/>
          </rPr>
          <t>表示内容が固定値を取り変わらない項目（見出しなど）を「固定」、導出元のデータ内容や入力値により変わる項目は「可変」を指定します。
「可変」は右隣の「IO」列は必ず記載します。</t>
        </r>
      </text>
    </comment>
    <comment ref="AB3" authorId="0" shapeId="0" xr:uid="{1F38E90E-6954-4964-88D3-409323D9CFBC}">
      <text>
        <r>
          <rPr>
            <sz val="9"/>
            <color indexed="8"/>
            <rFont val="ＭＳ Ｐゴシック"/>
            <family val="3"/>
            <charset val="128"/>
          </rPr>
          <t>ユーザが入力する項目は「I」、DB等から出力され動的な値が表示される項目は「O」を入力します。
出力された値をユーザが編集する場合は「I/O」を入力します。</t>
        </r>
      </text>
    </comment>
    <comment ref="AD3" authorId="0" shapeId="0" xr:uid="{5D42D0E3-A316-4933-AA7C-67F714F0F1F9}">
      <text>
        <r>
          <rPr>
            <sz val="9"/>
            <color indexed="81"/>
            <rFont val="ＭＳ Ｐゴシック"/>
            <family val="3"/>
            <charset val="128"/>
          </rPr>
          <t>項目レベルで、OOTBとしてアクセラレータが提供しているかどうかを記入する</t>
        </r>
      </text>
    </comment>
    <comment ref="AF3" authorId="0" shapeId="0" xr:uid="{FD31777B-F33A-4782-9C6F-289F1C0E4F92}">
      <text>
        <r>
          <rPr>
            <sz val="9"/>
            <color indexed="8"/>
            <rFont val="ＭＳ Ｐゴシック"/>
            <family val="3"/>
            <charset val="128"/>
          </rPr>
          <t>入力可能文字数を指定する
（入力ボックスの幅ではない）</t>
        </r>
      </text>
    </comment>
    <comment ref="AJ3" authorId="0" shapeId="0" xr:uid="{6984F9DF-49B2-4BF4-A67E-36E8C6826FB4}">
      <text>
        <r>
          <rPr>
            <sz val="9"/>
            <color indexed="81"/>
            <rFont val="ＭＳ Ｐゴシック"/>
            <family val="3"/>
            <charset val="128"/>
          </rPr>
          <t xml:space="preserve">表示ラベルのキー値
</t>
        </r>
      </text>
    </comment>
    <comment ref="AP3" authorId="0" shapeId="0" xr:uid="{5C63FB74-964E-479F-8857-368A9E1106B6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C4" authorId="0" shapeId="0" xr:uid="{C801FCEF-4677-471B-9D3B-1DF954253E25}">
      <text>
        <r>
          <rPr>
            <sz val="9"/>
            <color indexed="81"/>
            <rFont val="ＭＳ Ｐゴシック"/>
            <family val="3"/>
            <charset val="128"/>
          </rPr>
          <t>画面上をエリア分割した単位で記載する。
項番の一桁目として定義する。</t>
        </r>
      </text>
    </comment>
    <comment ref="J4" authorId="0" shapeId="0" xr:uid="{6FE5BC03-738F-4CFB-B700-10FF2EEACC1C}">
      <text>
        <r>
          <rPr>
            <sz val="9"/>
            <color indexed="81"/>
            <rFont val="ＭＳ Ｐゴシック"/>
            <family val="3"/>
            <charset val="128"/>
          </rPr>
          <t>項目に対する名称
Labelの項目名が表示名称とする
Hiddenパラメタは追記しない</t>
        </r>
      </text>
    </comment>
    <comment ref="C14" authorId="0" shapeId="0" xr:uid="{12354C7D-B239-4390-9389-DB556E49AB7F}">
      <text>
        <r>
          <rPr>
            <sz val="9"/>
            <color indexed="8"/>
            <rFont val="ＭＳ Ｐゴシック"/>
            <family val="3"/>
            <charset val="128"/>
          </rPr>
          <t>クライアントまたはサーバ処理の処理名を記入します。
サーバ処理の場合は処理ID同様、画面遷移図との整合性を確保する必要があります。</t>
        </r>
      </text>
    </comment>
    <comment ref="X14" authorId="0" shapeId="0" xr:uid="{0FCD6818-E7E5-4443-B04B-06EC80ECD928}">
      <text>
        <r>
          <rPr>
            <sz val="9"/>
            <color indexed="81"/>
            <rFont val="ＭＳ Ｐゴシック"/>
            <family val="3"/>
            <charset val="128"/>
          </rPr>
          <t>Java Scriptの関数を記載する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48EC1868-31E5-4F70-922B-1A45FB23279D}">
      <text>
        <r>
          <rPr>
            <sz val="9"/>
            <color indexed="81"/>
            <rFont val="ＭＳ Ｐゴシック"/>
            <family val="3"/>
            <charset val="128"/>
          </rPr>
          <t>本シートは概要設計では空欄とし、詳細設計で追記します。</t>
        </r>
      </text>
    </comment>
    <comment ref="C2" authorId="0" shapeId="0" xr:uid="{30778FAF-FB0E-454E-8620-8AC3818921A9}">
      <text>
        <r>
          <rPr>
            <sz val="10"/>
            <color indexed="8"/>
            <rFont val="ＭＳ Ｐゴシック"/>
            <family val="3"/>
            <charset val="128"/>
          </rPr>
          <t>ユーザ操作等により入力可否などの画面状態が変化する画面項目を「画面項目」シートの「画面項目」と同じ形式で記入します。(項目はすべて記述)</t>
        </r>
        <r>
          <rPr>
            <b/>
            <sz val="10"/>
            <color indexed="8"/>
            <rFont val="ＭＳ Ｐ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</authors>
  <commentList>
    <comment ref="P19" authorId="0" shapeId="0" xr:uid="{B16F0910-2B25-48B0-AC84-D0F450AB68A7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Y51" authorId="0" shapeId="0" xr:uid="{91BDABE1-D4AF-4D5B-B352-20254FB23C28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H51" authorId="0" shapeId="0" xr:uid="{62CDB66E-96A3-4E83-9D95-D4E2C06B9625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V63" authorId="0" shapeId="0" xr:uid="{0DBD67A4-FF9E-46EB-B9C8-A2B692E652C6}">
      <text>
        <r>
          <rPr>
            <sz val="9"/>
            <color indexed="81"/>
            <rFont val="MS P ゴシック"/>
            <family val="3"/>
            <charset val="128"/>
          </rPr>
          <t>FOB価格/(1-物流コスト率)</t>
        </r>
      </text>
    </comment>
    <comment ref="AZ63" authorId="0" shapeId="0" xr:uid="{D26709B3-3714-4512-8EA6-BBCB3ABEB186}">
      <text>
        <r>
          <rPr>
            <sz val="9"/>
            <color indexed="81"/>
            <rFont val="MS P ゴシック"/>
            <family val="3"/>
            <charset val="128"/>
          </rPr>
          <t>FOB価格-(CIF価格*口銭率)</t>
        </r>
      </text>
    </comment>
    <comment ref="BD63" authorId="0" shapeId="0" xr:uid="{AA63994B-1D1B-48A9-954E-382465FEBBA7}">
      <text>
        <r>
          <rPr>
            <sz val="9"/>
            <color indexed="81"/>
            <rFont val="MS P ゴシック"/>
            <family val="3"/>
            <charset val="128"/>
          </rPr>
          <t>(FOB価格-従来FOB価格)/従来FOB価格</t>
        </r>
      </text>
    </comment>
    <comment ref="BL63" authorId="0" shapeId="0" xr:uid="{4847ED2C-045B-45EF-A3ED-4524C19E78DD}">
      <text>
        <r>
          <rPr>
            <sz val="9"/>
            <color indexed="81"/>
            <rFont val="MS P ゴシック"/>
            <family val="3"/>
            <charset val="128"/>
          </rPr>
          <t>1-FOB価格/(1-物流コスト率)/販社売価</t>
        </r>
      </text>
    </comment>
    <comment ref="BP63" authorId="0" shapeId="0" xr:uid="{0A221737-153F-4D5F-85C3-9D404C6E198A}">
      <text>
        <r>
          <rPr>
            <sz val="9"/>
            <color indexed="81"/>
            <rFont val="MS P ゴシック"/>
            <family val="3"/>
            <charset val="128"/>
          </rPr>
          <t>1-純原価/販社売価</t>
        </r>
      </text>
    </comment>
    <comment ref="BX63" authorId="0" shapeId="0" xr:uid="{73AFF1EF-3E0E-4720-98C8-71032E00FED5}">
      <text>
        <r>
          <rPr>
            <sz val="9"/>
            <color indexed="81"/>
            <rFont val="MS P ゴシック"/>
            <family val="3"/>
            <charset val="128"/>
          </rPr>
          <t>1-販社売価/代理店売価</t>
        </r>
      </text>
    </comment>
    <comment ref="AA66" authorId="0" shapeId="0" xr:uid="{430E6BB0-4127-4384-BC54-60CA61C14030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AE66" authorId="0" shapeId="0" xr:uid="{2FF6B129-4FE2-4056-9395-D341715CE753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66" authorId="0" shapeId="0" xr:uid="{124A21D9-B11E-440A-9251-38D6463B5ED4}">
      <text>
        <r>
          <rPr>
            <sz val="9"/>
            <color indexed="81"/>
            <rFont val="MS P ゴシック"/>
            <family val="3"/>
            <charset val="128"/>
          </rPr>
          <t>売上-純原価合計</t>
        </r>
      </text>
    </comment>
    <comment ref="AN66" authorId="0" shapeId="0" xr:uid="{39B1E842-0F08-4EE1-90A6-8A5B014B09D6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66" authorId="0" shapeId="0" xr:uid="{74834474-258D-4DD9-8E4D-73D629C279A5}">
      <text>
        <r>
          <rPr>
            <sz val="9"/>
            <color indexed="81"/>
            <rFont val="MS P ゴシック"/>
            <family val="3"/>
            <charset val="128"/>
          </rPr>
          <t>値引き額/(売上-値引額)</t>
        </r>
      </text>
    </comment>
    <comment ref="AV66" authorId="0" shapeId="0" xr:uid="{9A6D075A-CB09-4104-B0B5-77393C6BC79C}">
      <text>
        <r>
          <rPr>
            <sz val="9"/>
            <color indexed="81"/>
            <rFont val="MS P ゴシック"/>
            <family val="3"/>
            <charset val="128"/>
          </rPr>
          <t>数量x(販社売価-従来FOB価格)</t>
        </r>
      </text>
    </comment>
    <comment ref="AA70" authorId="0" shapeId="0" xr:uid="{CC6D866E-EB37-46D4-8CC8-94D22DA66F2C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AE70" authorId="0" shapeId="0" xr:uid="{E3B1403C-EDD2-4F49-B602-4CF89721539C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70" authorId="0" shapeId="0" xr:uid="{B597D182-914B-4079-9012-10863EB9E722}">
      <text>
        <r>
          <rPr>
            <sz val="9"/>
            <color indexed="81"/>
            <rFont val="MS P ゴシック"/>
            <family val="3"/>
            <charset val="128"/>
          </rPr>
          <t>売上-純原価合計</t>
        </r>
      </text>
    </comment>
    <comment ref="AN70" authorId="0" shapeId="0" xr:uid="{8734A2E2-1436-4500-9F85-28ADB0147A2C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70" authorId="0" shapeId="0" xr:uid="{DCE142C0-1C1D-4045-9C53-756E41C9714D}">
      <text>
        <r>
          <rPr>
            <sz val="9"/>
            <color indexed="81"/>
            <rFont val="MS P ゴシック"/>
            <family val="3"/>
            <charset val="128"/>
          </rPr>
          <t>値引き額/(売上-値引額)</t>
        </r>
      </text>
    </comment>
    <comment ref="AV70" authorId="0" shapeId="0" xr:uid="{D97FBD94-788C-4E96-8996-E4A87B5B2361}">
      <text>
        <r>
          <rPr>
            <sz val="9"/>
            <color indexed="81"/>
            <rFont val="MS P ゴシック"/>
            <family val="3"/>
            <charset val="128"/>
          </rPr>
          <t>数量x(販社売価-従来FOB価格)</t>
        </r>
      </text>
    </comment>
  </commentList>
</comments>
</file>

<file path=xl/sharedStrings.xml><?xml version="1.0" encoding="utf-8"?>
<sst xmlns="http://schemas.openxmlformats.org/spreadsheetml/2006/main" count="550" uniqueCount="329">
  <si>
    <t>HRS殿</t>
    <rPh sb="3" eb="4">
      <t>ドノ</t>
    </rPh>
    <phoneticPr fontId="12"/>
  </si>
  <si>
    <t>作成</t>
    <rPh sb="0" eb="2">
      <t>サクセイ</t>
    </rPh>
    <phoneticPr fontId="12"/>
  </si>
  <si>
    <t>照査</t>
    <rPh sb="0" eb="2">
      <t>ショウサ</t>
    </rPh>
    <phoneticPr fontId="12"/>
  </si>
  <si>
    <t>承認</t>
    <rPh sb="0" eb="2">
      <t>ショウニン</t>
    </rPh>
    <phoneticPr fontId="12"/>
  </si>
  <si>
    <t>文書名：</t>
    <rPh sb="0" eb="2">
      <t>ブンショ</t>
    </rPh>
    <rPh sb="2" eb="3">
      <t>メイ</t>
    </rPh>
    <phoneticPr fontId="12"/>
  </si>
  <si>
    <t>顧客名</t>
    <rPh sb="0" eb="2">
      <t>コキャク</t>
    </rPh>
    <rPh sb="2" eb="3">
      <t>メイ</t>
    </rPh>
    <phoneticPr fontId="12"/>
  </si>
  <si>
    <t>ヒロセ電機株式会社</t>
    <rPh sb="3" eb="5">
      <t>デンキ</t>
    </rPh>
    <rPh sb="5" eb="7">
      <t>カブシキ</t>
    </rPh>
    <rPh sb="7" eb="9">
      <t>カイシャ</t>
    </rPh>
    <phoneticPr fontId="12"/>
  </si>
  <si>
    <t>システム</t>
    <phoneticPr fontId="12"/>
  </si>
  <si>
    <t>作成者</t>
    <rPh sb="0" eb="2">
      <t>サクセイ</t>
    </rPh>
    <rPh sb="2" eb="3">
      <t>シャ</t>
    </rPh>
    <phoneticPr fontId="12"/>
  </si>
  <si>
    <t>作成日</t>
    <rPh sb="0" eb="3">
      <t>サクセイビ</t>
    </rPh>
    <phoneticPr fontId="12"/>
  </si>
  <si>
    <t>書類番号</t>
    <rPh sb="0" eb="2">
      <t>ショルイ</t>
    </rPh>
    <rPh sb="2" eb="4">
      <t>バンゴウ</t>
    </rPh>
    <phoneticPr fontId="12"/>
  </si>
  <si>
    <t>プロジェクト</t>
    <phoneticPr fontId="12"/>
  </si>
  <si>
    <t>修正者</t>
    <rPh sb="0" eb="2">
      <t>シュウセイ</t>
    </rPh>
    <rPh sb="2" eb="3">
      <t>シャ</t>
    </rPh>
    <phoneticPr fontId="12"/>
  </si>
  <si>
    <t>修正日</t>
    <rPh sb="0" eb="2">
      <t>シュウセイ</t>
    </rPh>
    <rPh sb="2" eb="3">
      <t>ビ</t>
    </rPh>
    <phoneticPr fontId="12"/>
  </si>
  <si>
    <t>内容</t>
    <rPh sb="0" eb="2">
      <t>ナイヨウ</t>
    </rPh>
    <phoneticPr fontId="12"/>
  </si>
  <si>
    <t>Rev</t>
    <phoneticPr fontId="12"/>
  </si>
  <si>
    <t>intra-mart Accel Platform</t>
    <phoneticPr fontId="12"/>
  </si>
  <si>
    <t>変更内容</t>
    <rPh sb="0" eb="2">
      <t>ヘンコウ</t>
    </rPh>
    <rPh sb="2" eb="4">
      <t>ナイヨウ</t>
    </rPh>
    <phoneticPr fontId="11"/>
  </si>
  <si>
    <t>変更・追加箇所</t>
    <rPh sb="0" eb="2">
      <t>ヘンコウ</t>
    </rPh>
    <rPh sb="3" eb="5">
      <t>ツイカ</t>
    </rPh>
    <rPh sb="5" eb="7">
      <t>カショ</t>
    </rPh>
    <phoneticPr fontId="11"/>
  </si>
  <si>
    <t>提出日</t>
    <rPh sb="0" eb="2">
      <t>テイシュツ</t>
    </rPh>
    <rPh sb="2" eb="3">
      <t>ビ</t>
    </rPh>
    <phoneticPr fontId="11"/>
  </si>
  <si>
    <t>作成者</t>
    <rPh sb="0" eb="3">
      <t>サクセイシャ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</si>
  <si>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</si>
  <si>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11"/>
  </si>
  <si>
    <t>新規作成</t>
    <rPh sb="0" eb="2">
      <t>シンキ</t>
    </rPh>
    <rPh sb="2" eb="4">
      <t>サクセイ</t>
    </rPh>
    <phoneticPr fontId="49"/>
  </si>
  <si>
    <t>Rev.</t>
    <phoneticPr fontId="11"/>
  </si>
  <si>
    <t>変更来歴</t>
    <phoneticPr fontId="49"/>
  </si>
  <si>
    <t>画面設計書</t>
    <rPh sb="0" eb="2">
      <t>ガメン</t>
    </rPh>
    <rPh sb="2" eb="5">
      <t>セッケイショ</t>
    </rPh>
    <phoneticPr fontId="12"/>
  </si>
  <si>
    <t>画面名</t>
    <rPh sb="0" eb="2">
      <t>ガメン</t>
    </rPh>
    <rPh sb="2" eb="3">
      <t>メイ</t>
    </rPh>
    <phoneticPr fontId="49"/>
  </si>
  <si>
    <t>アメージングアクティビティ(株)</t>
    <rPh sb="13" eb="16">
      <t>カブシキガイシャ</t>
    </rPh>
    <phoneticPr fontId="12"/>
  </si>
  <si>
    <t>　</t>
    <phoneticPr fontId="49"/>
  </si>
  <si>
    <t/>
  </si>
  <si>
    <t>IMWF-53</t>
    <phoneticPr fontId="49"/>
  </si>
  <si>
    <t>No</t>
    <phoneticPr fontId="55"/>
  </si>
  <si>
    <t>▼</t>
    <phoneticPr fontId="55"/>
  </si>
  <si>
    <t>品名</t>
    <rPh sb="0" eb="1">
      <t>ヒンメイ</t>
    </rPh>
    <phoneticPr fontId="55"/>
  </si>
  <si>
    <t>▲</t>
    <phoneticPr fontId="55"/>
  </si>
  <si>
    <t>ファイル名</t>
    <rPh sb="4" eb="5">
      <t>メイ</t>
    </rPh>
    <phoneticPr fontId="55"/>
  </si>
  <si>
    <t>得意先コード</t>
    <rPh sb="0" eb="3">
      <t>トクイサキ</t>
    </rPh>
    <phoneticPr fontId="55"/>
  </si>
  <si>
    <t>サイズ</t>
    <phoneticPr fontId="55"/>
  </si>
  <si>
    <t>102 KB</t>
    <phoneticPr fontId="55"/>
  </si>
  <si>
    <t>得意先</t>
    <rPh sb="0" eb="3">
      <t>トクイサキ</t>
    </rPh>
    <phoneticPr fontId="59"/>
  </si>
  <si>
    <t>　</t>
    <phoneticPr fontId="55"/>
  </si>
  <si>
    <t>クリア</t>
    <phoneticPr fontId="55"/>
  </si>
  <si>
    <t>ファイル001.xlsx</t>
    <phoneticPr fontId="55"/>
  </si>
  <si>
    <t>単価上申(円販売一般品)</t>
    <rPh sb="0" eb="2">
      <t>タンカ</t>
    </rPh>
    <rPh sb="2" eb="4">
      <t>ジョウシン</t>
    </rPh>
    <rPh sb="5" eb="8">
      <t>エンハンバイ</t>
    </rPh>
    <rPh sb="8" eb="10">
      <t>イッパン</t>
    </rPh>
    <rPh sb="10" eb="11">
      <t>シナ</t>
    </rPh>
    <phoneticPr fontId="55"/>
  </si>
  <si>
    <t>過去の申請から内容コピー</t>
    <rPh sb="0" eb="2">
      <t>カコ</t>
    </rPh>
    <rPh sb="3" eb="5">
      <t>シンセイ</t>
    </rPh>
    <rPh sb="7" eb="9">
      <t>ナイヨウ</t>
    </rPh>
    <phoneticPr fontId="55"/>
  </si>
  <si>
    <t>起票日</t>
    <rPh sb="0" eb="3">
      <t>キヒョウビ</t>
    </rPh>
    <phoneticPr fontId="55"/>
  </si>
  <si>
    <t>所属</t>
    <rPh sb="0" eb="2">
      <t>ショゾク</t>
    </rPh>
    <phoneticPr fontId="55"/>
  </si>
  <si>
    <t>社員番号</t>
    <rPh sb="0" eb="2">
      <t>シャイン</t>
    </rPh>
    <rPh sb="2" eb="4">
      <t>バンゴウ</t>
    </rPh>
    <phoneticPr fontId="55"/>
  </si>
  <si>
    <t>2022/09/29</t>
    <phoneticPr fontId="55"/>
  </si>
  <si>
    <t>：</t>
    <phoneticPr fontId="55"/>
  </si>
  <si>
    <t>ヒロセ電機株式会社/管理本部/ＩＴ統括部/情報システム企画課</t>
    <phoneticPr fontId="55"/>
  </si>
  <si>
    <t>hirose</t>
    <phoneticPr fontId="55"/>
  </si>
  <si>
    <t>氏名　：</t>
    <rPh sb="0" eb="2">
      <t>シメイ</t>
    </rPh>
    <phoneticPr fontId="55"/>
  </si>
  <si>
    <t>システム担当者</t>
    <rPh sb="4" eb="7">
      <t>タントウシャ</t>
    </rPh>
    <phoneticPr fontId="55"/>
  </si>
  <si>
    <r>
      <t>タイトル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5"/>
  </si>
  <si>
    <r>
      <t>得意先名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トクイサキ</t>
    </rPh>
    <rPh sb="3" eb="4">
      <t>メイ</t>
    </rPh>
    <phoneticPr fontId="55"/>
  </si>
  <si>
    <t>客先担当者名</t>
    <rPh sb="0" eb="2">
      <t>キャクサキ</t>
    </rPh>
    <rPh sb="2" eb="6">
      <t>タントウシャメイ</t>
    </rPh>
    <phoneticPr fontId="55"/>
  </si>
  <si>
    <r>
      <t>案件種類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アンケン</t>
    </rPh>
    <rPh sb="2" eb="4">
      <t>シュルイ</t>
    </rPh>
    <phoneticPr fontId="55"/>
  </si>
  <si>
    <r>
      <t>希望承認期限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キボウ</t>
    </rPh>
    <rPh sb="2" eb="4">
      <t>ショウニン</t>
    </rPh>
    <rPh sb="4" eb="6">
      <t>キゲン</t>
    </rPh>
    <phoneticPr fontId="55"/>
  </si>
  <si>
    <t>申請価格入力</t>
    <rPh sb="0" eb="2">
      <t>シンセイ</t>
    </rPh>
    <rPh sb="2" eb="4">
      <t>カカク</t>
    </rPh>
    <rPh sb="4" eb="6">
      <t>ニュウリョク</t>
    </rPh>
    <phoneticPr fontId="55"/>
  </si>
  <si>
    <t>CL</t>
    <phoneticPr fontId="59"/>
  </si>
  <si>
    <t>得意先要求価格</t>
    <rPh sb="0" eb="3">
      <t>トクイサキ</t>
    </rPh>
    <rPh sb="3" eb="5">
      <t>ヨウキュウ</t>
    </rPh>
    <rPh sb="5" eb="7">
      <t>カカク</t>
    </rPh>
    <phoneticPr fontId="59"/>
  </si>
  <si>
    <t>申請価格</t>
    <rPh sb="0" eb="2">
      <t>シンセイ</t>
    </rPh>
    <rPh sb="2" eb="4">
      <t>カカク</t>
    </rPh>
    <phoneticPr fontId="59"/>
  </si>
  <si>
    <t>原計タイプ</t>
    <rPh sb="0" eb="2">
      <t>ゲンケイ</t>
    </rPh>
    <phoneticPr fontId="59"/>
  </si>
  <si>
    <t>備考</t>
    <rPh sb="0" eb="2">
      <t>ビコウ</t>
    </rPh>
    <phoneticPr fontId="59"/>
  </si>
  <si>
    <t>2022/9/29</t>
    <phoneticPr fontId="55"/>
  </si>
  <si>
    <r>
      <rPr>
        <b/>
        <sz val="10"/>
        <color theme="6" tint="0.39997558519241921"/>
        <rFont val="ＭＳ Ｐゴシック"/>
        <family val="3"/>
        <charset val="128"/>
        <scheme val="minor"/>
      </rPr>
      <t>＋</t>
    </r>
    <r>
      <rPr>
        <b/>
        <sz val="10"/>
        <color rgb="FF00B050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追加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←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挿入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FF0000"/>
        <rFont val="ＭＳ Ｐゴシック"/>
        <family val="3"/>
        <charset val="128"/>
        <scheme val="minor"/>
      </rPr>
      <t>－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削除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↑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 xml:space="preserve">上へ </t>
    </r>
    <r>
      <rPr>
        <b/>
        <sz val="10"/>
        <color rgb="FF00B0F0"/>
        <rFont val="ＭＳ Ｐゴシック"/>
        <family val="3"/>
        <charset val="128"/>
        <scheme val="minor"/>
      </rPr>
      <t>↓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下へ</t>
    </r>
    <rPh sb="7" eb="9">
      <t>ソウニュウ</t>
    </rPh>
    <phoneticPr fontId="55"/>
  </si>
  <si>
    <r>
      <t>品名</t>
    </r>
    <r>
      <rPr>
        <sz val="10"/>
        <color rgb="FFFF0000"/>
        <rFont val="ＭＳ Ｐゴシック"/>
        <family val="3"/>
        <charset val="128"/>
        <scheme val="minor"/>
      </rPr>
      <t>*</t>
    </r>
    <rPh sb="0" eb="1">
      <t>ヒンメイ</t>
    </rPh>
    <phoneticPr fontId="55"/>
  </si>
  <si>
    <r>
      <t>形</t>
    </r>
    <r>
      <rPr>
        <sz val="10"/>
        <color rgb="FFFF0000"/>
        <rFont val="ＭＳ Ｐゴシック"/>
        <family val="3"/>
        <charset val="128"/>
        <scheme val="minor"/>
      </rPr>
      <t>*</t>
    </r>
    <rPh sb="0" eb="1">
      <t>カタ</t>
    </rPh>
    <phoneticPr fontId="59"/>
  </si>
  <si>
    <r>
      <t>月間数量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ゲッカン</t>
    </rPh>
    <rPh sb="2" eb="4">
      <t>スウリョウ</t>
    </rPh>
    <phoneticPr fontId="59"/>
  </si>
  <si>
    <t>承認者確認用</t>
    <rPh sb="0" eb="3">
      <t>ショウニンシャ</t>
    </rPh>
    <rPh sb="3" eb="6">
      <t>カクニンヨウ</t>
    </rPh>
    <phoneticPr fontId="55"/>
  </si>
  <si>
    <t>数量pcs/月</t>
    <rPh sb="0" eb="2">
      <t>スウリョウ</t>
    </rPh>
    <rPh sb="6" eb="7">
      <t>ツキ</t>
    </rPh>
    <phoneticPr fontId="59"/>
  </si>
  <si>
    <t>代理店売価</t>
    <rPh sb="0" eb="3">
      <t>ダイリテン</t>
    </rPh>
    <rPh sb="3" eb="5">
      <t>バイカ</t>
    </rPh>
    <phoneticPr fontId="59"/>
  </si>
  <si>
    <t>代理店粗利率</t>
    <rPh sb="0" eb="3">
      <t>ダイリテン</t>
    </rPh>
    <rPh sb="3" eb="6">
      <t>アラリリツ</t>
    </rPh>
    <phoneticPr fontId="59"/>
  </si>
  <si>
    <t>ピン@</t>
    <phoneticPr fontId="59"/>
  </si>
  <si>
    <t>競合名</t>
    <rPh sb="0" eb="3">
      <t>キョウゴウメイ</t>
    </rPh>
    <phoneticPr fontId="59"/>
  </si>
  <si>
    <t>申請内容</t>
    <rPh sb="0" eb="2">
      <t>シンセイ</t>
    </rPh>
    <rPh sb="2" eb="4">
      <t>ナイヨウ</t>
    </rPh>
    <phoneticPr fontId="55"/>
  </si>
  <si>
    <t>起票区分</t>
    <rPh sb="0" eb="2">
      <t>キヒョウ</t>
    </rPh>
    <rPh sb="2" eb="4">
      <t>クブン</t>
    </rPh>
    <phoneticPr fontId="55"/>
  </si>
  <si>
    <t>口銭率</t>
    <rPh sb="0" eb="2">
      <t>コウセン</t>
    </rPh>
    <rPh sb="2" eb="3">
      <t>リツ</t>
    </rPh>
    <phoneticPr fontId="55"/>
  </si>
  <si>
    <t>☑ 口銭申請有り</t>
    <rPh sb="2" eb="4">
      <t>コウセン</t>
    </rPh>
    <rPh sb="4" eb="6">
      <t>シンセイ</t>
    </rPh>
    <rPh sb="6" eb="7">
      <t>アリ</t>
    </rPh>
    <phoneticPr fontId="55"/>
  </si>
  <si>
    <t>プロジェクト情報</t>
    <rPh sb="6" eb="8">
      <t>ジョウホウ</t>
    </rPh>
    <phoneticPr fontId="55"/>
  </si>
  <si>
    <t>工事金額</t>
    <rPh sb="0" eb="4">
      <t>コウジキンガク</t>
    </rPh>
    <phoneticPr fontId="55"/>
  </si>
  <si>
    <t>万円/月</t>
    <rPh sb="0" eb="2">
      <t>マンエン</t>
    </rPh>
    <rPh sb="3" eb="4">
      <t>ツキ</t>
    </rPh>
    <phoneticPr fontId="55"/>
  </si>
  <si>
    <t>ヵ月</t>
    <rPh sb="1" eb="2">
      <t>ゲツ</t>
    </rPh>
    <phoneticPr fontId="55"/>
  </si>
  <si>
    <t>総工事金額</t>
    <rPh sb="0" eb="5">
      <t>ソウコウジキンガク</t>
    </rPh>
    <phoneticPr fontId="55"/>
  </si>
  <si>
    <t>万円</t>
    <rPh sb="0" eb="2">
      <t>マンエン</t>
    </rPh>
    <phoneticPr fontId="55"/>
  </si>
  <si>
    <t>競合名</t>
    <rPh sb="0" eb="3">
      <t>キョウゴウメイ</t>
    </rPh>
    <phoneticPr fontId="55"/>
  </si>
  <si>
    <r>
      <t>継続期間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ケイゾク</t>
    </rPh>
    <rPh sb="2" eb="4">
      <t>キカン</t>
    </rPh>
    <phoneticPr fontId="55"/>
  </si>
  <si>
    <t>大分類A</t>
    <rPh sb="0" eb="3">
      <t>ダイブンルイ</t>
    </rPh>
    <phoneticPr fontId="55"/>
  </si>
  <si>
    <t>中分類B</t>
    <rPh sb="0" eb="3">
      <t>チュウブンルイ</t>
    </rPh>
    <phoneticPr fontId="55"/>
  </si>
  <si>
    <r>
      <t>申請理由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シンセイ</t>
    </rPh>
    <rPh sb="2" eb="4">
      <t>リユウ</t>
    </rPh>
    <phoneticPr fontId="55"/>
  </si>
  <si>
    <t>値引補填工事</t>
    <rPh sb="0" eb="2">
      <t>ネビ</t>
    </rPh>
    <rPh sb="2" eb="4">
      <t>ホテン</t>
    </rPh>
    <rPh sb="4" eb="6">
      <t>コウジ</t>
    </rPh>
    <phoneticPr fontId="55"/>
  </si>
  <si>
    <t>備考欄</t>
    <rPh sb="0" eb="3">
      <t>ビコウラン</t>
    </rPh>
    <phoneticPr fontId="55"/>
  </si>
  <si>
    <t>添付書類</t>
    <rPh sb="0" eb="2">
      <t>テンプ</t>
    </rPh>
    <rPh sb="2" eb="4">
      <t>ショルイ</t>
    </rPh>
    <phoneticPr fontId="55"/>
  </si>
  <si>
    <t>○ 技術原計 ○ PPM原計 ◎ コリア原計</t>
    <rPh sb="2" eb="4">
      <t>ギジュツ</t>
    </rPh>
    <rPh sb="4" eb="6">
      <t>ゲンケイ</t>
    </rPh>
    <rPh sb="12" eb="14">
      <t>ゲンケイ</t>
    </rPh>
    <rPh sb="20" eb="22">
      <t>ゲンケイ</t>
    </rPh>
    <phoneticPr fontId="55"/>
  </si>
  <si>
    <t>USD</t>
    <phoneticPr fontId="55"/>
  </si>
  <si>
    <t>コリア原計</t>
    <rPh sb="2" eb="4">
      <t>ゲンケイ</t>
    </rPh>
    <phoneticPr fontId="55"/>
  </si>
  <si>
    <t>純原価</t>
    <rPh sb="0" eb="1">
      <t>ジュン</t>
    </rPh>
    <rPh sb="1" eb="3">
      <t>ゲンカ</t>
    </rPh>
    <phoneticPr fontId="59"/>
  </si>
  <si>
    <t>申請通貨</t>
    <rPh sb="0" eb="2">
      <t>シンセイ</t>
    </rPh>
    <rPh sb="2" eb="4">
      <t>ツウカ</t>
    </rPh>
    <phoneticPr fontId="59"/>
  </si>
  <si>
    <r>
      <t>従来FOB価格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ジュウライ</t>
    </rPh>
    <rPh sb="5" eb="7">
      <t>カカク</t>
    </rPh>
    <phoneticPr fontId="59"/>
  </si>
  <si>
    <t>(外貨)</t>
    <rPh sb="0" eb="2">
      <t>ガイカ</t>
    </rPh>
    <phoneticPr fontId="55"/>
  </si>
  <si>
    <t>ピン@FOB</t>
    <phoneticPr fontId="59"/>
  </si>
  <si>
    <t>4800215830</t>
    <phoneticPr fontId="55"/>
  </si>
  <si>
    <t>TF38-20S-0.5SV(830)</t>
    <phoneticPr fontId="55"/>
  </si>
  <si>
    <t>KFH</t>
    <phoneticPr fontId="55"/>
  </si>
  <si>
    <t>FOB価格</t>
    <rPh sb="3" eb="5">
      <t>カカク</t>
    </rPh>
    <phoneticPr fontId="59"/>
  </si>
  <si>
    <t>◎ 単価上申書</t>
    <rPh sb="2" eb="4">
      <t>タンカ</t>
    </rPh>
    <rPh sb="4" eb="6">
      <t>ジョウシン</t>
    </rPh>
    <rPh sb="6" eb="7">
      <t>ショ</t>
    </rPh>
    <phoneticPr fontId="55"/>
  </si>
  <si>
    <t>値引きしなければならない理由を記載してください</t>
    <rPh sb="0" eb="2">
      <t>ネビ</t>
    </rPh>
    <rPh sb="12" eb="14">
      <t>リユウ</t>
    </rPh>
    <rPh sb="15" eb="17">
      <t>キサイ</t>
    </rPh>
    <phoneticPr fontId="55"/>
  </si>
  <si>
    <t>物流コスト率</t>
    <rPh sb="0" eb="2">
      <t>ブツリュウ</t>
    </rPh>
    <rPh sb="5" eb="6">
      <t>リツ</t>
    </rPh>
    <phoneticPr fontId="59"/>
  </si>
  <si>
    <t>(%)</t>
    <phoneticPr fontId="55"/>
  </si>
  <si>
    <t>販社売価</t>
    <rPh sb="0" eb="2">
      <t>ハンシャ</t>
    </rPh>
    <rPh sb="2" eb="4">
      <t>バイカ</t>
    </rPh>
    <phoneticPr fontId="59"/>
  </si>
  <si>
    <t>要求価格</t>
    <rPh sb="0" eb="1">
      <t>ヨウキュウ</t>
    </rPh>
    <rPh sb="1" eb="3">
      <t>カカク</t>
    </rPh>
    <phoneticPr fontId="55"/>
  </si>
  <si>
    <t>価格基準</t>
    <rPh sb="0" eb="1">
      <t>カカク</t>
    </rPh>
    <rPh sb="1" eb="3">
      <t>キジュン</t>
    </rPh>
    <phoneticPr fontId="55"/>
  </si>
  <si>
    <t>JPY</t>
    <phoneticPr fontId="55"/>
  </si>
  <si>
    <t>JAE</t>
    <phoneticPr fontId="55"/>
  </si>
  <si>
    <t>従来FOB価格</t>
    <rPh sb="0" eb="2">
      <t>ジュウライ</t>
    </rPh>
    <rPh sb="5" eb="7">
      <t>カカク</t>
    </rPh>
    <phoneticPr fontId="59"/>
  </si>
  <si>
    <t>CIF価格</t>
    <rPh sb="3" eb="5">
      <t>カカク</t>
    </rPh>
    <phoneticPr fontId="59"/>
  </si>
  <si>
    <t>FOB値引き率</t>
    <rPh sb="3" eb="5">
      <t>ネビ</t>
    </rPh>
    <rPh sb="6" eb="7">
      <t>リツ</t>
    </rPh>
    <phoneticPr fontId="59"/>
  </si>
  <si>
    <t>販社粗利率</t>
    <rPh sb="0" eb="2">
      <t>ハンシャ</t>
    </rPh>
    <rPh sb="2" eb="5">
      <t>アラリリツ</t>
    </rPh>
    <phoneticPr fontId="59"/>
  </si>
  <si>
    <t>純原価合計</t>
    <rPh sb="0" eb="1">
      <t>ジュン</t>
    </rPh>
    <rPh sb="1" eb="3">
      <t>ゲンカ</t>
    </rPh>
    <rPh sb="3" eb="5">
      <t>ゴウケイ</t>
    </rPh>
    <phoneticPr fontId="59"/>
  </si>
  <si>
    <t>連結粗利額</t>
    <rPh sb="0" eb="2">
      <t>レンケツ</t>
    </rPh>
    <rPh sb="2" eb="5">
      <t>アラリガク</t>
    </rPh>
    <phoneticPr fontId="59"/>
  </si>
  <si>
    <t>連結粗利率</t>
    <rPh sb="0" eb="2">
      <t>レンケツ</t>
    </rPh>
    <rPh sb="2" eb="5">
      <t>アラリリツ</t>
    </rPh>
    <phoneticPr fontId="59"/>
  </si>
  <si>
    <t>値引き率</t>
    <rPh sb="0" eb="2">
      <t>ネビ</t>
    </rPh>
    <rPh sb="3" eb="4">
      <t>リツ</t>
    </rPh>
    <phoneticPr fontId="55"/>
  </si>
  <si>
    <t>値引き額</t>
    <rPh sb="0" eb="2">
      <t>ネビ</t>
    </rPh>
    <rPh sb="3" eb="4">
      <t>ガク</t>
    </rPh>
    <phoneticPr fontId="55"/>
  </si>
  <si>
    <t>売上(連結)</t>
    <rPh sb="0" eb="2">
      <t>ウリアゲ</t>
    </rPh>
    <rPh sb="3" eb="5">
      <t>レンケツ</t>
    </rPh>
    <phoneticPr fontId="55"/>
  </si>
  <si>
    <r>
      <t>承認者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ショウニンシャ</t>
    </rPh>
    <phoneticPr fontId="55"/>
  </si>
  <si>
    <t>10347008</t>
    <phoneticPr fontId="55"/>
  </si>
  <si>
    <t>関　博一</t>
    <phoneticPr fontId="55"/>
  </si>
  <si>
    <r>
      <rPr>
        <b/>
        <sz val="10"/>
        <color rgb="FF00B050"/>
        <rFont val="ＭＳ Ｐゴシック"/>
        <family val="3"/>
        <charset val="128"/>
        <scheme val="minor"/>
      </rPr>
      <t>＋</t>
    </r>
    <r>
      <rPr>
        <sz val="10"/>
        <color theme="1"/>
        <rFont val="ＭＳ Ｐゴシック"/>
        <family val="3"/>
        <charset val="128"/>
        <scheme val="minor"/>
      </rPr>
      <t xml:space="preserve"> 承認者の追加</t>
    </r>
    <phoneticPr fontId="55"/>
  </si>
  <si>
    <t>10637000</t>
    <phoneticPr fontId="55"/>
  </si>
  <si>
    <t>古川　福待</t>
    <phoneticPr fontId="55"/>
  </si>
  <si>
    <t>承認者設定</t>
    <rPh sb="0" eb="3">
      <t>ショウニンシャ</t>
    </rPh>
    <rPh sb="3" eb="5">
      <t>セッテイ</t>
    </rPh>
    <phoneticPr fontId="55"/>
  </si>
  <si>
    <t>承認ルートは必要に応じて、「承認者の追加」をクリックして入力欄を増やしてください。 設定した承認ルートは、設定した承認者の上から順に回送されます。 最終承認者は、一番下に設定してください。</t>
    <phoneticPr fontId="55"/>
  </si>
  <si>
    <t>確認者設定</t>
    <rPh sb="0" eb="3">
      <t>カクニンシャ</t>
    </rPh>
    <rPh sb="3" eb="5">
      <t>セッテイ</t>
    </rPh>
    <phoneticPr fontId="55"/>
  </si>
  <si>
    <t>確認者一覧</t>
    <rPh sb="0" eb="3">
      <t>カクニンシャ</t>
    </rPh>
    <rPh sb="3" eb="5">
      <t>イチラン</t>
    </rPh>
    <phoneticPr fontId="55"/>
  </si>
  <si>
    <t>部門</t>
    <rPh sb="0" eb="2">
      <t>ブモン</t>
    </rPh>
    <phoneticPr fontId="55"/>
  </si>
  <si>
    <t>確認者名</t>
    <rPh sb="0" eb="4">
      <t>カクニンシャメイ</t>
    </rPh>
    <phoneticPr fontId="55"/>
  </si>
  <si>
    <t>ヒロセ電機株式会社/管理本部/ＩＴ統括部</t>
    <phoneticPr fontId="55"/>
  </si>
  <si>
    <t>部長</t>
    <rPh sb="0" eb="2">
      <t>ブチョウ</t>
    </rPh>
    <phoneticPr fontId="55"/>
  </si>
  <si>
    <t>志村 亜里沙</t>
    <rPh sb="0" eb="1">
      <t>シムラ</t>
    </rPh>
    <rPh sb="2" eb="5">
      <t>アリサ</t>
    </rPh>
    <phoneticPr fontId="55"/>
  </si>
  <si>
    <t>出水 瞳</t>
    <rPh sb="0" eb="1">
      <t>デミズ</t>
    </rPh>
    <rPh sb="2" eb="3">
      <t>ヒトミ</t>
    </rPh>
    <phoneticPr fontId="55"/>
  </si>
  <si>
    <t>松澤 朱海</t>
    <rPh sb="0" eb="1">
      <t>マツザワ</t>
    </rPh>
    <rPh sb="2" eb="3">
      <t>シュ</t>
    </rPh>
    <rPh sb="3" eb="4">
      <t>ウミ</t>
    </rPh>
    <phoneticPr fontId="55"/>
  </si>
  <si>
    <t>ｒ1.0</t>
    <phoneticPr fontId="49"/>
  </si>
  <si>
    <t>形</t>
    <rPh sb="0" eb="1">
      <t>カタ</t>
    </rPh>
    <phoneticPr fontId="59"/>
  </si>
  <si>
    <t>通貨</t>
    <rPh sb="0" eb="2">
      <t>ツウカ</t>
    </rPh>
    <phoneticPr fontId="59"/>
  </si>
  <si>
    <t>EUR</t>
    <phoneticPr fontId="55"/>
  </si>
  <si>
    <t>精算通貨</t>
    <rPh sb="0" eb="2">
      <t>セイサン</t>
    </rPh>
    <rPh sb="2" eb="4">
      <t>ツウカ</t>
    </rPh>
    <phoneticPr fontId="55"/>
  </si>
  <si>
    <t>SFDC工事番号</t>
    <rPh sb="4" eb="6">
      <t>コウジ</t>
    </rPh>
    <rPh sb="6" eb="8">
      <t>バンゴウ</t>
    </rPh>
    <phoneticPr fontId="55"/>
  </si>
  <si>
    <t>円/月</t>
    <rPh sb="0" eb="1">
      <t>エン</t>
    </rPh>
    <rPh sb="2" eb="3">
      <t>ツキ</t>
    </rPh>
    <phoneticPr fontId="55"/>
  </si>
  <si>
    <t>海外販社</t>
    <rPh sb="0" eb="2">
      <t>カイガイ</t>
    </rPh>
    <rPh sb="2" eb="4">
      <t>ハンシャ</t>
    </rPh>
    <phoneticPr fontId="55"/>
  </si>
  <si>
    <t>レップ社名</t>
    <rPh sb="3" eb="4">
      <t>シャ</t>
    </rPh>
    <rPh sb="4" eb="5">
      <t>メイ</t>
    </rPh>
    <phoneticPr fontId="55"/>
  </si>
  <si>
    <t>量産時期</t>
    <rPh sb="0" eb="2">
      <t>リョウサン</t>
    </rPh>
    <rPh sb="2" eb="4">
      <t>ジキ</t>
    </rPh>
    <phoneticPr fontId="55"/>
  </si>
  <si>
    <r>
      <t>用途</t>
    </r>
    <r>
      <rPr>
        <sz val="9"/>
        <color theme="1"/>
        <rFont val="ＭＳ Ｐゴシック"/>
        <family val="3"/>
        <charset val="128"/>
        <scheme val="minor"/>
      </rPr>
      <t>(アプリケーション)</t>
    </r>
    <rPh sb="0" eb="2">
      <t>ヨウト</t>
    </rPh>
    <phoneticPr fontId="55"/>
  </si>
  <si>
    <t>生産セット台数</t>
    <rPh sb="0" eb="2">
      <t>セイサン</t>
    </rPh>
    <rPh sb="5" eb="7">
      <t>ダイスウ</t>
    </rPh>
    <phoneticPr fontId="55"/>
  </si>
  <si>
    <t>プロジェクトピーク金額</t>
    <rPh sb="9" eb="11">
      <t>キンガク</t>
    </rPh>
    <phoneticPr fontId="55"/>
  </si>
  <si>
    <t>大分類</t>
    <rPh sb="0" eb="3">
      <t>ダイブンルイ</t>
    </rPh>
    <phoneticPr fontId="55"/>
  </si>
  <si>
    <t>中分類</t>
    <rPh sb="0" eb="3">
      <t>チュウブンルイ</t>
    </rPh>
    <phoneticPr fontId="55"/>
  </si>
  <si>
    <t>レート</t>
    <phoneticPr fontId="55"/>
  </si>
  <si>
    <t>○経営計画レート　○ 顧客契約レート　◎ その他のレート 　</t>
    <rPh sb="1" eb="3">
      <t>ケイエイ</t>
    </rPh>
    <rPh sb="3" eb="5">
      <t>ケイカク</t>
    </rPh>
    <rPh sb="13" eb="15">
      <t>ケイヤク</t>
    </rPh>
    <rPh sb="23" eb="24">
      <t>ホカ</t>
    </rPh>
    <phoneticPr fontId="55"/>
  </si>
  <si>
    <t>総合計</t>
    <rPh sb="0" eb="3">
      <t>ソウゴウケイ</t>
    </rPh>
    <phoneticPr fontId="55"/>
  </si>
  <si>
    <t>形</t>
    <rPh sb="0" eb="1">
      <t>カタ</t>
    </rPh>
    <phoneticPr fontId="55"/>
  </si>
  <si>
    <t>形小計</t>
    <rPh sb="0" eb="1">
      <t>カタ</t>
    </rPh>
    <rPh sb="1" eb="3">
      <t>ショウケイ</t>
    </rPh>
    <phoneticPr fontId="55"/>
  </si>
  <si>
    <r>
      <t>レートタイプ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5"/>
  </si>
  <si>
    <t>SA-PR123456</t>
    <phoneticPr fontId="55"/>
  </si>
  <si>
    <t>案件番号：</t>
    <phoneticPr fontId="55"/>
  </si>
  <si>
    <r>
      <t>原計タイプ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ゲンケイ</t>
    </rPh>
    <phoneticPr fontId="55"/>
  </si>
  <si>
    <t>コメント</t>
    <phoneticPr fontId="55"/>
  </si>
  <si>
    <t>コメント入力</t>
    <rPh sb="3" eb="5">
      <t>ニュウリョク</t>
    </rPh>
    <phoneticPr fontId="55"/>
  </si>
  <si>
    <r>
      <t>原計通貨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ゲンケイ</t>
    </rPh>
    <rPh sb="2" eb="4">
      <t>ツウカ</t>
    </rPh>
    <phoneticPr fontId="59"/>
  </si>
  <si>
    <r>
      <t>申請通貨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シンセイ</t>
    </rPh>
    <rPh sb="2" eb="4">
      <t>ツウカ</t>
    </rPh>
    <phoneticPr fontId="59"/>
  </si>
  <si>
    <t>表示通貨</t>
    <rPh sb="0" eb="1">
      <t>ヒョウジ</t>
    </rPh>
    <rPh sb="1" eb="3">
      <t>ツウカ</t>
    </rPh>
    <phoneticPr fontId="55"/>
  </si>
  <si>
    <t>表示通貨</t>
    <rPh sb="0" eb="2">
      <t>ヒョウジ</t>
    </rPh>
    <rPh sb="2" eb="4">
      <t>ツウカ</t>
    </rPh>
    <phoneticPr fontId="55"/>
  </si>
  <si>
    <t>古竹</t>
    <rPh sb="0" eb="2">
      <t>フルタケ</t>
    </rPh>
    <phoneticPr fontId="49"/>
  </si>
  <si>
    <t>化学物質データ</t>
    <rPh sb="0" eb="2">
      <t>カガクブッシツ</t>
    </rPh>
    <phoneticPr fontId="55"/>
  </si>
  <si>
    <r>
      <rPr>
        <sz val="10"/>
        <color rgb="FFFF9900"/>
        <rFont val="Meiryo UI"/>
        <family val="3"/>
        <charset val="128"/>
      </rPr>
      <t>ホーム</t>
    </r>
    <r>
      <rPr>
        <sz val="10"/>
        <rFont val="Meiryo UI"/>
        <family val="3"/>
        <charset val="128"/>
      </rPr>
      <t xml:space="preserve"> / 化学物質データ</t>
    </r>
    <rPh sb="5" eb="9">
      <t>カガクブッシツ</t>
    </rPh>
    <phoneticPr fontId="55"/>
  </si>
  <si>
    <t>機能仕様</t>
    <rPh sb="0" eb="4">
      <t>キノウシヨウ</t>
    </rPh>
    <phoneticPr fontId="55"/>
  </si>
  <si>
    <t>*採番については、2018年だけ2018-50000から採番する。</t>
  </si>
  <si>
    <t>2019年以後は20xx-00000という形で採番される。</t>
  </si>
  <si>
    <t>-</t>
    <phoneticPr fontId="59"/>
  </si>
  <si>
    <t>画面項目(Screen Items)</t>
    <rPh sb="0" eb="4">
      <t>ガメンコウモク</t>
    </rPh>
    <phoneticPr fontId="11"/>
  </si>
  <si>
    <t>必須記入</t>
    <rPh sb="0" eb="2">
      <t>ヒッス</t>
    </rPh>
    <rPh sb="2" eb="4">
      <t>キニュウ</t>
    </rPh>
    <phoneticPr fontId="11"/>
  </si>
  <si>
    <t>OOTB以外</t>
    <rPh sb="4" eb="6">
      <t>イガイ</t>
    </rPh>
    <phoneticPr fontId="11"/>
  </si>
  <si>
    <t>項番
(No)</t>
    <phoneticPr fontId="11"/>
  </si>
  <si>
    <t>項目名(Item Name)</t>
    <phoneticPr fontId="11"/>
  </si>
  <si>
    <t>論理項目種別
(Logical Item Type)</t>
    <phoneticPr fontId="11"/>
  </si>
  <si>
    <t>固定/可変
(Fixed/Variable)</t>
    <rPh sb="0" eb="5">
      <t>コテイカヘン</t>
    </rPh>
    <phoneticPr fontId="11"/>
  </si>
  <si>
    <t>I/O</t>
  </si>
  <si>
    <t>OOTB</t>
    <phoneticPr fontId="11"/>
  </si>
  <si>
    <t>入力桁数
(Input Digits)</t>
    <rPh sb="0" eb="2">
      <t>ニュウリョク</t>
    </rPh>
    <rPh sb="2" eb="4">
      <t>ケタスウ</t>
    </rPh>
    <phoneticPr fontId="11"/>
  </si>
  <si>
    <t>表示ラベルキー
（Display Label Key)</t>
    <rPh sb="0" eb="2">
      <t>ヒョウジ</t>
    </rPh>
    <phoneticPr fontId="11"/>
  </si>
  <si>
    <t>初期値
(Default Value)</t>
    <rPh sb="0" eb="3">
      <t>ショキチ</t>
    </rPh>
    <phoneticPr fontId="11"/>
  </si>
  <si>
    <t>備考
(Comment)</t>
    <rPh sb="0" eb="2">
      <t>ビコウ</t>
    </rPh>
    <phoneticPr fontId="11"/>
  </si>
  <si>
    <t>エリア
（Area）</t>
    <phoneticPr fontId="11"/>
  </si>
  <si>
    <t>項目名
(Item Name)</t>
    <phoneticPr fontId="11"/>
  </si>
  <si>
    <t>1</t>
  </si>
  <si>
    <t>パンくずリストエリア</t>
  </si>
  <si>
    <t>1.1</t>
  </si>
  <si>
    <t>パンくずリスト</t>
  </si>
  <si>
    <t>Anchor Text</t>
  </si>
  <si>
    <t>Fixed</t>
  </si>
  <si>
    <t>O</t>
  </si>
  <si>
    <t>○</t>
  </si>
  <si>
    <t>Variable</t>
  </si>
  <si>
    <t>I</t>
  </si>
  <si>
    <t>×</t>
  </si>
  <si>
    <t>-</t>
  </si>
  <si>
    <t>Image Button</t>
  </si>
  <si>
    <t>Text Output</t>
  </si>
  <si>
    <t>受付番号</t>
    <rPh sb="0" eb="2">
      <t>ウケツケ</t>
    </rPh>
    <rPh sb="2" eb="4">
      <t>バンゴウ</t>
    </rPh>
    <phoneticPr fontId="59"/>
  </si>
  <si>
    <t>処理項目(Process Items)</t>
    <rPh sb="0" eb="4">
      <t>ショリコウモク</t>
    </rPh>
    <phoneticPr fontId="11"/>
  </si>
  <si>
    <t>項番
(No)</t>
    <rPh sb="0" eb="2">
      <t>コウバン</t>
    </rPh>
    <phoneticPr fontId="11"/>
  </si>
  <si>
    <t>処理名
(Process Name)</t>
    <rPh sb="0" eb="3">
      <t>ショリメイ</t>
    </rPh>
    <phoneticPr fontId="11"/>
  </si>
  <si>
    <t>イベント発生元（論理項目名）
(Event Source(Logical Item Name))</t>
    <phoneticPr fontId="11"/>
  </si>
  <si>
    <t>イベント
(Event)</t>
    <phoneticPr fontId="11"/>
  </si>
  <si>
    <t>サーバ
／クライアント</t>
    <phoneticPr fontId="11"/>
  </si>
  <si>
    <t>遷移先画面ID
(Transition Destination Screen ID)</t>
    <rPh sb="0" eb="7">
      <t>センイサキガメン</t>
    </rPh>
    <phoneticPr fontId="11"/>
  </si>
  <si>
    <t>概要
(Comment)</t>
    <rPh sb="0" eb="2">
      <t>ガイヨウ</t>
    </rPh>
    <phoneticPr fontId="11"/>
  </si>
  <si>
    <t>初期画面表示</t>
    <rPh sb="0" eb="2">
      <t>ショキ</t>
    </rPh>
    <rPh sb="2" eb="4">
      <t>ガメン</t>
    </rPh>
    <rPh sb="4" eb="6">
      <t>ヒョウジ</t>
    </rPh>
    <phoneticPr fontId="11"/>
  </si>
  <si>
    <t>本画面に遷移</t>
    <rPh sb="0" eb="1">
      <t>ホン</t>
    </rPh>
    <rPh sb="1" eb="3">
      <t>ガメン</t>
    </rPh>
    <rPh sb="4" eb="6">
      <t>センイ</t>
    </rPh>
    <phoneticPr fontId="11"/>
  </si>
  <si>
    <t>Onload</t>
    <phoneticPr fontId="59"/>
  </si>
  <si>
    <t>サーバ</t>
  </si>
  <si>
    <t>Click</t>
  </si>
  <si>
    <t>利用可能な論理項目種別</t>
    <rPh sb="0" eb="11">
      <t>リヨウカノウロンリコウモクシュベツ</t>
    </rPh>
    <phoneticPr fontId="11"/>
  </si>
  <si>
    <t>固定/可変</t>
    <rPh sb="0" eb="2">
      <t>コテイ</t>
    </rPh>
    <rPh sb="3" eb="5">
      <t>カヘン</t>
    </rPh>
    <phoneticPr fontId="11"/>
  </si>
  <si>
    <t>Label</t>
    <phoneticPr fontId="11"/>
  </si>
  <si>
    <t>Fixed</t>
    <phoneticPr fontId="11"/>
  </si>
  <si>
    <t>○</t>
    <phoneticPr fontId="11"/>
  </si>
  <si>
    <t>全て利用</t>
    <rPh sb="0" eb="1">
      <t>スベ</t>
    </rPh>
    <rPh sb="2" eb="4">
      <t>リヨウ</t>
    </rPh>
    <phoneticPr fontId="11"/>
  </si>
  <si>
    <t>Manual Operation Button</t>
    <phoneticPr fontId="11"/>
  </si>
  <si>
    <t>Variable</t>
    <phoneticPr fontId="11"/>
  </si>
  <si>
    <t>△</t>
    <phoneticPr fontId="11"/>
  </si>
  <si>
    <t>一部利用</t>
    <rPh sb="0" eb="2">
      <t>イチブ</t>
    </rPh>
    <rPh sb="2" eb="4">
      <t>リヨウ</t>
    </rPh>
    <phoneticPr fontId="11"/>
  </si>
  <si>
    <t>Image Button</t>
    <phoneticPr fontId="11"/>
  </si>
  <si>
    <t>×</t>
    <phoneticPr fontId="11"/>
  </si>
  <si>
    <t>なし（新規作成）</t>
    <rPh sb="3" eb="5">
      <t>シンキ</t>
    </rPh>
    <rPh sb="5" eb="7">
      <t>サクセイ</t>
    </rPh>
    <phoneticPr fontId="11"/>
  </si>
  <si>
    <t>Anchor Text</t>
    <phoneticPr fontId="11"/>
  </si>
  <si>
    <t>Textbox</t>
    <phoneticPr fontId="11"/>
  </si>
  <si>
    <t>Text Box (with spin button)</t>
    <phoneticPr fontId="11"/>
  </si>
  <si>
    <t>Password</t>
    <phoneticPr fontId="11"/>
  </si>
  <si>
    <t>Text Area</t>
    <phoneticPr fontId="11"/>
  </si>
  <si>
    <t>File field</t>
    <phoneticPr fontId="11"/>
  </si>
  <si>
    <t>Radio Button</t>
    <phoneticPr fontId="11"/>
  </si>
  <si>
    <t>Dropdown List</t>
    <phoneticPr fontId="11"/>
  </si>
  <si>
    <t>Checkbox</t>
    <phoneticPr fontId="11"/>
  </si>
  <si>
    <t>Calendar</t>
    <phoneticPr fontId="11"/>
  </si>
  <si>
    <t>Time Input</t>
    <phoneticPr fontId="11"/>
  </si>
  <si>
    <t>Loop Table</t>
    <phoneticPr fontId="11"/>
  </si>
  <si>
    <t>Image</t>
    <phoneticPr fontId="11"/>
  </si>
  <si>
    <t>Hidden Field</t>
    <phoneticPr fontId="11"/>
  </si>
  <si>
    <t>Included Screen</t>
    <phoneticPr fontId="11"/>
  </si>
  <si>
    <t>Text Output</t>
    <phoneticPr fontId="11"/>
  </si>
  <si>
    <t>Other</t>
    <phoneticPr fontId="11"/>
  </si>
  <si>
    <t>画面状態 (Screen State)</t>
    <rPh sb="0" eb="4">
      <t>ガメンジョウタイ</t>
    </rPh>
    <phoneticPr fontId="11"/>
  </si>
  <si>
    <t>論理項目名
(Logical Item Name)</t>
    <rPh sb="0" eb="5">
      <t>ロンリコウモクメイ</t>
    </rPh>
    <phoneticPr fontId="11"/>
  </si>
  <si>
    <t>状態 (State)</t>
    <rPh sb="0" eb="2">
      <t>ジョウタイ</t>
    </rPh>
    <phoneticPr fontId="11"/>
  </si>
  <si>
    <t>初期表示</t>
    <rPh sb="0" eb="2">
      <t>ショキ</t>
    </rPh>
    <rPh sb="2" eb="4">
      <t>ヒョウジ</t>
    </rPh>
    <phoneticPr fontId="59"/>
  </si>
  <si>
    <t>Legend Name</t>
    <phoneticPr fontId="11"/>
  </si>
  <si>
    <t>Legend Value</t>
    <phoneticPr fontId="11"/>
  </si>
  <si>
    <t>Display(Active)</t>
    <phoneticPr fontId="11"/>
  </si>
  <si>
    <t>Display(In-Active)</t>
    <phoneticPr fontId="11"/>
  </si>
  <si>
    <t>●</t>
    <phoneticPr fontId="11"/>
  </si>
  <si>
    <t>Hidden</t>
    <phoneticPr fontId="11"/>
  </si>
  <si>
    <t>2</t>
  </si>
  <si>
    <t>申請完了表示エリア</t>
    <phoneticPr fontId="59"/>
  </si>
  <si>
    <t>登録メールアドレス</t>
    <rPh sb="0" eb="2">
      <t>トウロク</t>
    </rPh>
    <phoneticPr fontId="59"/>
  </si>
  <si>
    <t>2.3</t>
    <phoneticPr fontId="59"/>
  </si>
  <si>
    <t>送信メールアドレス</t>
    <rPh sb="0" eb="2">
      <t>ソウシン</t>
    </rPh>
    <phoneticPr fontId="59"/>
  </si>
  <si>
    <t>2.4</t>
    <phoneticPr fontId="59"/>
  </si>
  <si>
    <t>化学物質データ画面へ戻る</t>
    <phoneticPr fontId="59"/>
  </si>
  <si>
    <r>
      <rPr>
        <sz val="10"/>
        <color rgb="FFFF0000"/>
        <rFont val="Meiryo UI"/>
        <family val="3"/>
        <charset val="128"/>
      </rPr>
      <t>「セッション言語」により</t>
    </r>
    <r>
      <rPr>
        <sz val="10"/>
        <rFont val="Meiryo UI"/>
        <family val="3"/>
        <charset val="128"/>
      </rPr>
      <t>サイト言語を判定し、サイト言語が日本語の場合は日本語で、日本語ではない場合は英語で、</t>
    </r>
    <r>
      <rPr>
        <sz val="10"/>
        <color rgb="FFFF0000"/>
        <rFont val="Meiryo UI"/>
        <family val="3"/>
        <charset val="128"/>
      </rPr>
      <t>メール本文を表示する</t>
    </r>
    <rPh sb="6" eb="8">
      <t>ゲンゴ</t>
    </rPh>
    <rPh sb="15" eb="17">
      <t>ゲンゴ</t>
    </rPh>
    <rPh sb="18" eb="20">
      <t>ハンテイ</t>
    </rPh>
    <rPh sb="25" eb="27">
      <t>ゲンゴ</t>
    </rPh>
    <rPh sb="28" eb="31">
      <t>ニホンゴ</t>
    </rPh>
    <rPh sb="32" eb="34">
      <t>バアイ</t>
    </rPh>
    <rPh sb="35" eb="38">
      <t>ニホンゴ</t>
    </rPh>
    <rPh sb="40" eb="43">
      <t>ニホンゴ</t>
    </rPh>
    <rPh sb="47" eb="49">
      <t>バアイ</t>
    </rPh>
    <rPh sb="50" eb="52">
      <t>エイゴ</t>
    </rPh>
    <rPh sb="57" eb="59">
      <t>ホンブン</t>
    </rPh>
    <rPh sb="60" eb="62">
      <t>ヒョウジ</t>
    </rPh>
    <phoneticPr fontId="59"/>
  </si>
  <si>
    <t>化学物質データ画面への遷移</t>
    <rPh sb="0" eb="2">
      <t>カガク</t>
    </rPh>
    <rPh sb="2" eb="4">
      <t>ブッシツ</t>
    </rPh>
    <rPh sb="7" eb="9">
      <t>ガメン</t>
    </rPh>
    <rPh sb="11" eb="13">
      <t>センイ</t>
    </rPh>
    <phoneticPr fontId="59"/>
  </si>
  <si>
    <t>化学物質データ画面へ戻るボタン</t>
    <rPh sb="0" eb="2">
      <t>カガク</t>
    </rPh>
    <rPh sb="2" eb="4">
      <t>ブッシツ</t>
    </rPh>
    <rPh sb="7" eb="9">
      <t>ガメン</t>
    </rPh>
    <rPh sb="10" eb="11">
      <t>モド</t>
    </rPh>
    <phoneticPr fontId="59"/>
  </si>
  <si>
    <t>SEFE200_画面要件定義書_化学物質データ画面</t>
    <phoneticPr fontId="59"/>
  </si>
  <si>
    <t>申請完了</t>
    <rPh sb="0" eb="4">
      <t>シンセイカンリョウ</t>
    </rPh>
    <phoneticPr fontId="55"/>
  </si>
  <si>
    <t>&lt;受付番号：2016-00043&gt; 化学物質データの申請が完了しました。</t>
    <phoneticPr fontId="55"/>
  </si>
  <si>
    <t>　申請完了メールを登録メールアドレスへ送信致しました。ご確認ください。</t>
    <phoneticPr fontId="55"/>
  </si>
  <si>
    <t>　・登録メールアドレス : user@mail.com</t>
    <phoneticPr fontId="55"/>
  </si>
  <si>
    <t>　・送信メールアドレス : GM_no-reply@hirose.com</t>
    <rPh sb="2" eb="4">
      <t>ソウシン</t>
    </rPh>
    <phoneticPr fontId="55"/>
  </si>
  <si>
    <t>　・メール件名 : &lt;HRS:2016-000043&gt; 化学物質データ申請完了</t>
    <phoneticPr fontId="55"/>
  </si>
  <si>
    <t>　　　申請されたデータは、まとめてzipファイルで出力致します。</t>
    <phoneticPr fontId="55"/>
  </si>
  <si>
    <t>　※　データを作成するのに時間がかかる場合がございます。データの作成が完了しましたら、完了メールを送信致します。</t>
    <phoneticPr fontId="55"/>
  </si>
  <si>
    <t>参考：サイト言語が日本語ではない場合に表示される英語コンテンツ</t>
    <rPh sb="0" eb="2">
      <t>サンコウ</t>
    </rPh>
    <rPh sb="6" eb="8">
      <t>ゲンゴ</t>
    </rPh>
    <rPh sb="9" eb="12">
      <t>ニホンゴ</t>
    </rPh>
    <rPh sb="16" eb="18">
      <t>バアイ</t>
    </rPh>
    <rPh sb="19" eb="21">
      <t>ヒョウジ</t>
    </rPh>
    <rPh sb="24" eb="26">
      <t>エイゴ</t>
    </rPh>
    <phoneticPr fontId="3"/>
  </si>
  <si>
    <t>Application Completion</t>
    <phoneticPr fontId="55"/>
  </si>
  <si>
    <t>&lt;Application NO:2016-0043&gt; Application of the chemical substance data has been completed.</t>
    <phoneticPr fontId="55"/>
  </si>
  <si>
    <t>　Could you confirm the acceptance confirmation e-mail?</t>
    <phoneticPr fontId="55"/>
  </si>
  <si>
    <t>　・Registered e-mail address  : user@mail.com</t>
    <phoneticPr fontId="55"/>
  </si>
  <si>
    <t>　・Source e-mail address  : GM_no-reply@hirose.com</t>
    <phoneticPr fontId="55"/>
  </si>
  <si>
    <t>　・Subject : &lt;HRS:2016-000043&gt; Chemical substance data application completion</t>
    <phoneticPr fontId="55"/>
  </si>
  <si>
    <t>　* It take some time to output the data.Once the data is now complete, we will send the completion mail.</t>
    <phoneticPr fontId="55"/>
  </si>
  <si>
    <t>　　We will output the data that has been filed in the ZIP file.</t>
    <phoneticPr fontId="55"/>
  </si>
  <si>
    <t>1. パンくずリストエリア</t>
  </si>
  <si>
    <t>1.1　パンくずリスト</t>
  </si>
  <si>
    <t>以下のようにパンくずリストを表示する。</t>
    <rPh sb="0" eb="2">
      <t>イカ</t>
    </rPh>
    <rPh sb="14" eb="16">
      <t>ヒョウジ</t>
    </rPh>
    <phoneticPr fontId="4"/>
  </si>
  <si>
    <t>『製品トップ &gt; 化学物質データ申請完了』</t>
    <rPh sb="1" eb="3">
      <t>セイヒン</t>
    </rPh>
    <rPh sb="9" eb="11">
      <t>カガク</t>
    </rPh>
    <rPh sb="11" eb="13">
      <t>ブッシツ</t>
    </rPh>
    <rPh sb="16" eb="18">
      <t>シンセイ</t>
    </rPh>
    <rPh sb="18" eb="20">
      <t>カンリョウ</t>
    </rPh>
    <phoneticPr fontId="4"/>
  </si>
  <si>
    <t>2. 申請完了表示エリア</t>
    <rPh sb="3" eb="5">
      <t>シンセイ</t>
    </rPh>
    <rPh sb="5" eb="7">
      <t>カンリョウ</t>
    </rPh>
    <rPh sb="7" eb="9">
      <t>ヒョウジ</t>
    </rPh>
    <phoneticPr fontId="3"/>
  </si>
  <si>
    <t>言語情報が"jp"の場合は日本語のコンテンツを、それ</t>
  </si>
  <si>
    <t>以外の場合は英語のコンテンツを表示する。</t>
  </si>
  <si>
    <t>2.1 申請完了情報</t>
    <rPh sb="4" eb="6">
      <t>シンセイ</t>
    </rPh>
    <rPh sb="6" eb="8">
      <t>カンリョウ</t>
    </rPh>
    <rPh sb="8" eb="10">
      <t>ジョウホウ</t>
    </rPh>
    <phoneticPr fontId="3"/>
  </si>
  <si>
    <t>受付番号：</t>
    <rPh sb="0" eb="2">
      <t>ウケツケ</t>
    </rPh>
    <rPh sb="2" eb="4">
      <t>バンゴウ</t>
    </rPh>
    <phoneticPr fontId="3"/>
  </si>
  <si>
    <t>申請データをyCommerceに登録する際に、</t>
    <rPh sb="0" eb="2">
      <t>シンセイ</t>
    </rPh>
    <rPh sb="16" eb="18">
      <t>トウロク</t>
    </rPh>
    <rPh sb="20" eb="21">
      <t>サイ</t>
    </rPh>
    <phoneticPr fontId="3"/>
  </si>
  <si>
    <t>hybrisのGeneratorを利用して生成されるシーケンス値。</t>
    <rPh sb="17" eb="19">
      <t>リヨウ</t>
    </rPh>
    <rPh sb="21" eb="23">
      <t>セイセイ</t>
    </rPh>
    <rPh sb="31" eb="32">
      <t>チ</t>
    </rPh>
    <phoneticPr fontId="3"/>
  </si>
  <si>
    <t>書式：暦年-シーケンス番号</t>
    <rPh sb="0" eb="2">
      <t>ショシキ</t>
    </rPh>
    <phoneticPr fontId="3"/>
  </si>
  <si>
    <t>2.2 登録メールアドレス</t>
    <rPh sb="4" eb="6">
      <t>トウロク</t>
    </rPh>
    <phoneticPr fontId="3"/>
  </si>
  <si>
    <t>申請者のアドレスが表示される。申請完了時のメールは、</t>
    <rPh sb="15" eb="17">
      <t>シンセイ</t>
    </rPh>
    <rPh sb="17" eb="19">
      <t>カンリョウ</t>
    </rPh>
    <rPh sb="19" eb="20">
      <t>ジ</t>
    </rPh>
    <phoneticPr fontId="3"/>
  </si>
  <si>
    <t>このアドレス宛に送信される</t>
    <rPh sb="6" eb="7">
      <t>アテ</t>
    </rPh>
    <rPh sb="8" eb="10">
      <t>ソウシン</t>
    </rPh>
    <phoneticPr fontId="3"/>
  </si>
  <si>
    <t>2.3 送信メールアドレス</t>
    <rPh sb="4" eb="6">
      <t>ソウシン</t>
    </rPh>
    <phoneticPr fontId="3"/>
  </si>
  <si>
    <t>送信メールアドレスは固定（汎用マスタから取得）。</t>
  </si>
  <si>
    <t>申請者宛に送信されるメールの"from"として本アドレス</t>
    <rPh sb="0" eb="3">
      <t>シンセイシャ</t>
    </rPh>
    <rPh sb="3" eb="4">
      <t>アテ</t>
    </rPh>
    <rPh sb="5" eb="7">
      <t>ソウシン</t>
    </rPh>
    <rPh sb="23" eb="24">
      <t>ホン</t>
    </rPh>
    <phoneticPr fontId="3"/>
  </si>
  <si>
    <t>が設定される。</t>
    <rPh sb="1" eb="3">
      <t>セッテイ</t>
    </rPh>
    <phoneticPr fontId="3"/>
  </si>
  <si>
    <t>2.4 化学物質データ画面へ戻る</t>
    <rPh sb="4" eb="6">
      <t>カガク</t>
    </rPh>
    <rPh sb="6" eb="8">
      <t>ブッシツ</t>
    </rPh>
    <rPh sb="11" eb="13">
      <t>ガメン</t>
    </rPh>
    <rPh sb="14" eb="15">
      <t>モド</t>
    </rPh>
    <phoneticPr fontId="3"/>
  </si>
  <si>
    <t xml:space="preserve">押下すると、一括申請リスト（化学物質データ画面）
</t>
    <rPh sb="0" eb="2">
      <t>オウカ</t>
    </rPh>
    <phoneticPr fontId="3"/>
  </si>
  <si>
    <t>へ移動する</t>
  </si>
  <si>
    <t>　 Could you confirm the acceptance confirmation e-mail?</t>
    <phoneticPr fontId="55"/>
  </si>
  <si>
    <r>
      <t xml:space="preserve"> 　 </t>
    </r>
    <r>
      <rPr>
        <sz val="8"/>
        <rFont val="Meiryo UI"/>
        <family val="3"/>
        <charset val="128"/>
      </rPr>
      <t>Registered e-mail address  : user@mail.com</t>
    </r>
    <phoneticPr fontId="55"/>
  </si>
  <si>
    <t>　  Source e-mail address  : GM_no-reply@hirose.com</t>
    <phoneticPr fontId="55"/>
  </si>
  <si>
    <t>　  Subject : &lt;HRS:2016-000043&gt; Chemical substance data application completion</t>
    <phoneticPr fontId="55"/>
  </si>
  <si>
    <t xml:space="preserve">   　* It take some time to output the data.Once the data is now complete, we will send the completion mail.</t>
    <phoneticPr fontId="55"/>
  </si>
  <si>
    <t>　　   We will output the data that has been filed in the ZIP file.</t>
    <phoneticPr fontId="55"/>
  </si>
  <si>
    <t>r1.1</t>
    <phoneticPr fontId="11"/>
  </si>
  <si>
    <t>古竹</t>
    <rPh sb="0" eb="2">
      <t>フルタケ</t>
    </rPh>
    <phoneticPr fontId="11"/>
  </si>
  <si>
    <t>化学物質データ申請完了画面の内容を日英併記に変更</t>
    <rPh sb="0" eb="2">
      <t>カガク</t>
    </rPh>
    <rPh sb="2" eb="4">
      <t>ブッシツ</t>
    </rPh>
    <rPh sb="7" eb="9">
      <t>シンセイ</t>
    </rPh>
    <rPh sb="9" eb="11">
      <t>カンリョウ</t>
    </rPh>
    <rPh sb="11" eb="13">
      <t>ガメン</t>
    </rPh>
    <rPh sb="14" eb="16">
      <t>ナイヨウ</t>
    </rPh>
    <rPh sb="17" eb="19">
      <t>ニチエイ</t>
    </rPh>
    <rPh sb="19" eb="21">
      <t>ヘイキ</t>
    </rPh>
    <rPh sb="22" eb="24">
      <t>ヘンコウ</t>
    </rPh>
    <phoneticPr fontId="11"/>
  </si>
  <si>
    <r>
      <t>化学物質データ</t>
    </r>
    <r>
      <rPr>
        <sz val="16"/>
        <color rgb="FFFF0000"/>
        <rFont val="Meiryo UI"/>
        <family val="3"/>
        <charset val="128"/>
      </rPr>
      <t xml:space="preserve"> / Chemical substance data</t>
    </r>
    <rPh sb="0" eb="2">
      <t>カガクブッシツ</t>
    </rPh>
    <phoneticPr fontId="55"/>
  </si>
  <si>
    <t>化学物質データ申請完了</t>
    <rPh sb="0" eb="4">
      <t>カガクブッシツ</t>
    </rPh>
    <rPh sb="7" eb="9">
      <t>シンセイ</t>
    </rPh>
    <rPh sb="9" eb="11">
      <t>カンリョウ</t>
    </rPh>
    <phoneticPr fontId="49"/>
  </si>
  <si>
    <t>r1.2</t>
    <phoneticPr fontId="49"/>
  </si>
  <si>
    <t>タイトルを日英併記に変更</t>
    <rPh sb="5" eb="9">
      <t>ニチエイヘイキ</t>
    </rPh>
    <rPh sb="10" eb="12">
      <t>ヘンコウ</t>
    </rPh>
    <phoneticPr fontId="49"/>
  </si>
  <si>
    <t>「化学物質データ申請完了画面」シート</t>
    <phoneticPr fontId="49"/>
  </si>
  <si>
    <t>化学物質データ申請</t>
    <rPh sb="0" eb="4">
      <t>カガクブッシツ</t>
    </rPh>
    <rPh sb="7" eb="9">
      <t>シンセイ</t>
    </rPh>
    <phoneticPr fontId="49"/>
  </si>
  <si>
    <t>化学物質データ画面に戻る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</si>
</sst>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;\-#,##0;&quot;-&quot;"/>
    <numFmt numFmtId="177" formatCode="0.00_)"/>
    <numFmt numFmtId="178" formatCode="#,##0.00;[Red]\(#,##0.00\)"/>
    <numFmt numFmtId="179" formatCode="#,##0.00_);[Red]\(#,##0.00\)"/>
    <numFmt numFmtId="180" formatCode="#,##0_ "/>
    <numFmt numFmtId="181" formatCode="#,##0_);[Red]\(#,##0\)"/>
    <numFmt numFmtId="182" formatCode="0.0%"/>
    <numFmt numFmtId="183" formatCode="#,##0_ ;[Red]\-#,##0\ "/>
    <numFmt numFmtId="184" formatCode="#,##0.0000_);[Red]\(#,##0.0000\)"/>
    <numFmt numFmtId="185" formatCode="0.0000_);[Red]\(0.0000\)"/>
    <numFmt numFmtId="186" formatCode="0.0000_ "/>
  </numFmts>
  <fonts count="110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9"/>
      <color theme="3" tint="0.3999755851924192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1"/>
      <color theme="0" tint="-0.14999847407452621"/>
      <name val="ＭＳ Ｐゴシック"/>
      <family val="2"/>
      <charset val="128"/>
      <scheme val="minor"/>
    </font>
    <font>
      <sz val="11"/>
      <color rgb="FFFFFF00"/>
      <name val="ＭＳ Ｐゴシック"/>
      <family val="2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sz val="10"/>
      <color theme="0" tint="-0.34998626667073579"/>
      <name val="ＭＳ Ｐゴシック"/>
      <family val="3"/>
      <charset val="128"/>
      <scheme val="minor"/>
    </font>
    <font>
      <u/>
      <sz val="10"/>
      <name val="ＭＳ Ｐゴシック"/>
      <family val="3"/>
      <charset val="128"/>
      <scheme val="minor"/>
    </font>
    <font>
      <b/>
      <sz val="10"/>
      <color rgb="FF00B05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u/>
      <sz val="10"/>
      <color rgb="FF0070C0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0"/>
      <color rgb="FF0000FF"/>
      <name val="ＭＳ Ｐゴシック"/>
      <family val="3"/>
      <charset val="128"/>
      <scheme val="minor"/>
    </font>
    <font>
      <strike/>
      <sz val="10"/>
      <color rgb="FFFF0000"/>
      <name val="ＭＳ Ｐゴシック"/>
      <family val="3"/>
      <charset val="128"/>
      <scheme val="minor"/>
    </font>
    <font>
      <b/>
      <sz val="12"/>
      <name val="Arial Black"/>
      <family val="2"/>
    </font>
    <font>
      <sz val="9"/>
      <color indexed="81"/>
      <name val="MS P ゴシック"/>
      <family val="3"/>
      <charset val="128"/>
    </font>
    <font>
      <b/>
      <sz val="10"/>
      <color rgb="FF00B0F0"/>
      <name val="ＭＳ Ｐゴシック"/>
      <family val="3"/>
      <charset val="128"/>
      <scheme val="minor"/>
    </font>
    <font>
      <sz val="10"/>
      <color theme="6" tint="0.39997558519241921"/>
      <name val="ＭＳ Ｐゴシック"/>
      <family val="3"/>
      <charset val="128"/>
      <scheme val="minor"/>
    </font>
    <font>
      <b/>
      <sz val="10"/>
      <color theme="6" tint="0.3999755851924192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u/>
      <sz val="10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16"/>
      <name val="Meiryo UI"/>
      <family val="3"/>
      <charset val="128"/>
    </font>
    <font>
      <b/>
      <sz val="10"/>
      <name val="Meiryo UI"/>
      <family val="3"/>
      <charset val="128"/>
    </font>
    <font>
      <sz val="8"/>
      <name val="Meiryo UI"/>
      <family val="3"/>
      <charset val="128"/>
    </font>
    <font>
      <sz val="10"/>
      <color rgb="FFFF99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6"/>
      <name val="Meiryo UI"/>
      <family val="3"/>
      <charset val="128"/>
    </font>
    <font>
      <sz val="12"/>
      <name val="Meiryo UI"/>
      <family val="3"/>
      <charset val="128"/>
    </font>
    <font>
      <sz val="16"/>
      <color rgb="FFFF0000"/>
      <name val="Meiryo UI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BEEF4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</borders>
  <cellStyleXfs count="187">
    <xf numFmtId="0" fontId="0" fillId="0" borderId="0">
      <alignment vertical="center"/>
    </xf>
    <xf numFmtId="0" fontId="22" fillId="0" borderId="0"/>
    <xf numFmtId="0" fontId="22" fillId="0" borderId="0"/>
    <xf numFmtId="176" fontId="23" fillId="0" borderId="0" applyFill="0" applyBorder="0" applyAlignment="0"/>
    <xf numFmtId="0" fontId="24" fillId="3" borderId="0">
      <alignment horizontal="left"/>
    </xf>
    <xf numFmtId="0" fontId="25" fillId="3" borderId="0">
      <alignment horizontal="right"/>
    </xf>
    <xf numFmtId="0" fontId="26" fillId="4" borderId="0">
      <alignment horizontal="center"/>
    </xf>
    <xf numFmtId="0" fontId="25" fillId="3" borderId="0">
      <alignment horizontal="right"/>
    </xf>
    <xf numFmtId="0" fontId="26" fillId="4" borderId="0">
      <alignment horizontal="left"/>
    </xf>
    <xf numFmtId="0" fontId="27" fillId="0" borderId="0">
      <alignment horizontal="left"/>
    </xf>
    <xf numFmtId="38" fontId="28" fillId="5" borderId="0" applyNumberFormat="0" applyBorder="0" applyAlignment="0" applyProtection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10" fontId="28" fillId="6" borderId="3" applyNumberFormat="0" applyBorder="0" applyAlignment="0" applyProtection="0"/>
    <xf numFmtId="0" fontId="24" fillId="3" borderId="0">
      <alignment horizontal="left"/>
    </xf>
    <xf numFmtId="0" fontId="30" fillId="4" borderId="0">
      <alignment horizontal="left"/>
    </xf>
    <xf numFmtId="177" fontId="31" fillId="0" borderId="0"/>
    <xf numFmtId="0" fontId="32" fillId="0" borderId="0"/>
    <xf numFmtId="178" fontId="33" fillId="4" borderId="0">
      <alignment horizontal="right"/>
    </xf>
    <xf numFmtId="0" fontId="34" fillId="7" borderId="0">
      <alignment horizontal="center"/>
    </xf>
    <xf numFmtId="0" fontId="35" fillId="8" borderId="0"/>
    <xf numFmtId="0" fontId="36" fillId="4" borderId="0" applyBorder="0">
      <alignment horizontal="centerContinuous"/>
    </xf>
    <xf numFmtId="0" fontId="37" fillId="8" borderId="0" applyBorder="0">
      <alignment horizontal="centerContinuous"/>
    </xf>
    <xf numFmtId="10" fontId="32" fillId="0" borderId="0" applyFont="0" applyFill="0" applyBorder="0" applyAlignment="0" applyProtection="0"/>
    <xf numFmtId="4" fontId="27" fillId="0" borderId="0">
      <alignment horizontal="right"/>
    </xf>
    <xf numFmtId="0" fontId="30" fillId="9" borderId="0">
      <alignment horizontal="center"/>
    </xf>
    <xf numFmtId="49" fontId="38" fillId="4" borderId="0">
      <alignment horizontal="center"/>
    </xf>
    <xf numFmtId="4" fontId="39" fillId="0" borderId="0">
      <alignment horizontal="right"/>
    </xf>
    <xf numFmtId="0" fontId="25" fillId="3" borderId="0">
      <alignment horizontal="center"/>
    </xf>
    <xf numFmtId="0" fontId="25" fillId="3" borderId="0">
      <alignment horizontal="centerContinuous"/>
    </xf>
    <xf numFmtId="0" fontId="40" fillId="4" borderId="0">
      <alignment horizontal="left"/>
    </xf>
    <xf numFmtId="49" fontId="40" fillId="4" borderId="0">
      <alignment horizontal="center"/>
    </xf>
    <xf numFmtId="0" fontId="24" fillId="3" borderId="0">
      <alignment horizontal="left"/>
    </xf>
    <xf numFmtId="49" fontId="40" fillId="4" borderId="0">
      <alignment horizontal="left"/>
    </xf>
    <xf numFmtId="0" fontId="24" fillId="3" borderId="0">
      <alignment horizontal="centerContinuous"/>
    </xf>
    <xf numFmtId="0" fontId="24" fillId="3" borderId="0">
      <alignment horizontal="right"/>
    </xf>
    <xf numFmtId="49" fontId="30" fillId="4" borderId="0">
      <alignment horizontal="left"/>
    </xf>
    <xf numFmtId="0" fontId="25" fillId="3" borderId="0">
      <alignment horizontal="right"/>
    </xf>
    <xf numFmtId="0" fontId="40" fillId="2" borderId="0">
      <alignment horizontal="center"/>
    </xf>
    <xf numFmtId="0" fontId="41" fillId="2" borderId="0">
      <alignment horizontal="center"/>
    </xf>
    <xf numFmtId="0" fontId="42" fillId="0" borderId="0">
      <alignment horizontal="left"/>
    </xf>
    <xf numFmtId="0" fontId="43" fillId="0" borderId="0"/>
    <xf numFmtId="0" fontId="44" fillId="0" borderId="0">
      <alignment horizontal="center"/>
    </xf>
    <xf numFmtId="0" fontId="45" fillId="4" borderId="0">
      <alignment horizontal="center"/>
    </xf>
    <xf numFmtId="0" fontId="46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47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8" fillId="0" borderId="0"/>
    <xf numFmtId="0" fontId="4" fillId="0" borderId="0">
      <alignment vertical="center"/>
    </xf>
    <xf numFmtId="0" fontId="61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27">
    <xf numFmtId="0" fontId="0" fillId="0" borderId="0" xfId="0">
      <alignment vertical="center"/>
    </xf>
    <xf numFmtId="0" fontId="13" fillId="0" borderId="0" xfId="48"/>
    <xf numFmtId="0" fontId="14" fillId="0" borderId="0" xfId="48" applyFont="1"/>
    <xf numFmtId="0" fontId="15" fillId="0" borderId="3" xfId="48" applyFont="1" applyBorder="1" applyAlignment="1">
      <alignment horizontal="center"/>
    </xf>
    <xf numFmtId="14" fontId="15" fillId="0" borderId="4" xfId="48" applyNumberFormat="1" applyFont="1" applyBorder="1" applyAlignment="1">
      <alignment horizontal="center"/>
    </xf>
    <xf numFmtId="0" fontId="15" fillId="0" borderId="4" xfId="48" applyFont="1" applyBorder="1" applyAlignment="1">
      <alignment horizontal="center"/>
    </xf>
    <xf numFmtId="0" fontId="15" fillId="0" borderId="5" xfId="48" applyFont="1" applyBorder="1" applyAlignment="1">
      <alignment horizontal="center"/>
    </xf>
    <xf numFmtId="0" fontId="16" fillId="0" borderId="0" xfId="48" applyFont="1"/>
    <xf numFmtId="0" fontId="19" fillId="0" borderId="0" xfId="48" applyFont="1" applyAlignment="1">
      <alignment vertical="center"/>
    </xf>
    <xf numFmtId="0" fontId="15" fillId="14" borderId="0" xfId="48" applyFont="1" applyFill="1" applyAlignment="1">
      <alignment horizontal="center"/>
    </xf>
    <xf numFmtId="14" fontId="15" fillId="14" borderId="0" xfId="48" applyNumberFormat="1" applyFont="1" applyFill="1" applyAlignment="1">
      <alignment horizontal="center"/>
    </xf>
    <xf numFmtId="0" fontId="17" fillId="11" borderId="0" xfId="48" applyFont="1" applyFill="1" applyAlignment="1">
      <alignment vertical="center"/>
    </xf>
    <xf numFmtId="0" fontId="18" fillId="12" borderId="0" xfId="48" applyFont="1" applyFill="1" applyAlignment="1">
      <alignment vertical="center"/>
    </xf>
    <xf numFmtId="0" fontId="19" fillId="0" borderId="0" xfId="48" applyFont="1" applyAlignment="1">
      <alignment horizontal="left" vertical="center"/>
    </xf>
    <xf numFmtId="0" fontId="18" fillId="12" borderId="0" xfId="48" applyFont="1" applyFill="1" applyAlignment="1">
      <alignment horizontal="center" vertical="center"/>
    </xf>
    <xf numFmtId="0" fontId="19" fillId="0" borderId="0" xfId="48" applyFont="1" applyAlignment="1">
      <alignment horizontal="center" vertical="center"/>
    </xf>
    <xf numFmtId="14" fontId="19" fillId="0" borderId="0" xfId="48" applyNumberFormat="1" applyFont="1" applyAlignment="1">
      <alignment horizontal="center" vertical="center"/>
    </xf>
    <xf numFmtId="0" fontId="18" fillId="11" borderId="0" xfId="48" applyFont="1" applyFill="1" applyAlignment="1">
      <alignment vertical="center"/>
    </xf>
    <xf numFmtId="0" fontId="20" fillId="0" borderId="0" xfId="48" applyFont="1" applyAlignment="1">
      <alignment vertical="center"/>
    </xf>
    <xf numFmtId="49" fontId="19" fillId="0" borderId="0" xfId="48" applyNumberFormat="1" applyFont="1" applyAlignment="1">
      <alignment horizontal="center" vertical="center"/>
    </xf>
    <xf numFmtId="0" fontId="21" fillId="0" borderId="0" xfId="48" applyFont="1" applyAlignment="1">
      <alignment vertical="center"/>
    </xf>
    <xf numFmtId="49" fontId="19" fillId="14" borderId="13" xfId="0" applyNumberFormat="1" applyFont="1" applyFill="1" applyBorder="1" applyAlignment="1">
      <alignment vertical="top"/>
    </xf>
    <xf numFmtId="0" fontId="19" fillId="10" borderId="6" xfId="49" applyFont="1" applyFill="1" applyBorder="1" applyAlignment="1">
      <alignment horizontal="right" vertical="center"/>
    </xf>
    <xf numFmtId="0" fontId="51" fillId="14" borderId="6" xfId="49" applyFont="1" applyFill="1" applyBorder="1" applyAlignment="1">
      <alignment horizontal="right" vertical="center"/>
    </xf>
    <xf numFmtId="0" fontId="53" fillId="14" borderId="0" xfId="0" applyFont="1" applyFill="1">
      <alignment vertical="center"/>
    </xf>
    <xf numFmtId="0" fontId="0" fillId="14" borderId="0" xfId="0" applyFill="1" applyAlignment="1">
      <alignment vertical="center" wrapText="1"/>
    </xf>
    <xf numFmtId="0" fontId="52" fillId="14" borderId="8" xfId="0" applyFont="1" applyFill="1" applyBorder="1">
      <alignment vertical="center"/>
    </xf>
    <xf numFmtId="49" fontId="19" fillId="10" borderId="15" xfId="0" applyNumberFormat="1" applyFont="1" applyFill="1" applyBorder="1" applyAlignment="1">
      <alignment horizontal="center" vertical="center"/>
    </xf>
    <xf numFmtId="0" fontId="52" fillId="14" borderId="0" xfId="0" applyFont="1" applyFill="1">
      <alignment vertical="center"/>
    </xf>
    <xf numFmtId="49" fontId="19" fillId="10" borderId="6" xfId="0" applyNumberFormat="1" applyFont="1" applyFill="1" applyBorder="1" applyAlignment="1">
      <alignment horizontal="left" vertical="center"/>
    </xf>
    <xf numFmtId="0" fontId="57" fillId="14" borderId="0" xfId="161" applyFont="1" applyFill="1">
      <alignment vertical="center"/>
    </xf>
    <xf numFmtId="0" fontId="52" fillId="14" borderId="0" xfId="161" applyFont="1" applyFill="1">
      <alignment vertical="center"/>
    </xf>
    <xf numFmtId="0" fontId="52" fillId="14" borderId="6" xfId="161" applyFont="1" applyFill="1" applyBorder="1">
      <alignment vertical="center"/>
    </xf>
    <xf numFmtId="0" fontId="52" fillId="14" borderId="11" xfId="161" applyFont="1" applyFill="1" applyBorder="1">
      <alignment vertical="center"/>
    </xf>
    <xf numFmtId="0" fontId="19" fillId="10" borderId="9" xfId="46" applyFont="1" applyFill="1" applyBorder="1" applyAlignment="1">
      <alignment horizontal="centerContinuous"/>
    </xf>
    <xf numFmtId="0" fontId="0" fillId="14" borderId="0" xfId="0" applyFill="1">
      <alignment vertical="center"/>
    </xf>
    <xf numFmtId="0" fontId="56" fillId="18" borderId="2" xfId="161" applyFont="1" applyFill="1" applyBorder="1">
      <alignment vertical="center"/>
    </xf>
    <xf numFmtId="0" fontId="52" fillId="14" borderId="2" xfId="0" applyFont="1" applyFill="1" applyBorder="1">
      <alignment vertical="center"/>
    </xf>
    <xf numFmtId="0" fontId="0" fillId="14" borderId="8" xfId="0" applyFill="1" applyBorder="1">
      <alignment vertical="center"/>
    </xf>
    <xf numFmtId="0" fontId="52" fillId="14" borderId="0" xfId="161" applyFont="1" applyFill="1" applyAlignment="1">
      <alignment horizontal="left" vertical="center"/>
    </xf>
    <xf numFmtId="0" fontId="19" fillId="10" borderId="20" xfId="46" applyFont="1" applyFill="1" applyBorder="1" applyAlignment="1">
      <alignment horizontal="centerContinuous"/>
    </xf>
    <xf numFmtId="0" fontId="53" fillId="14" borderId="0" xfId="161" applyFont="1" applyFill="1">
      <alignment vertical="center"/>
    </xf>
    <xf numFmtId="0" fontId="52" fillId="14" borderId="0" xfId="161" applyFont="1" applyFill="1" applyAlignment="1">
      <alignment horizontal="center" vertical="center"/>
    </xf>
    <xf numFmtId="0" fontId="57" fillId="14" borderId="6" xfId="161" quotePrefix="1" applyFont="1" applyFill="1" applyBorder="1">
      <alignment vertical="center"/>
    </xf>
    <xf numFmtId="0" fontId="57" fillId="14" borderId="11" xfId="161" applyFont="1" applyFill="1" applyBorder="1">
      <alignment vertical="center"/>
    </xf>
    <xf numFmtId="0" fontId="67" fillId="18" borderId="10" xfId="161" applyFont="1" applyFill="1" applyBorder="1">
      <alignment vertical="center"/>
    </xf>
    <xf numFmtId="0" fontId="65" fillId="18" borderId="2" xfId="161" applyFont="1" applyFill="1" applyBorder="1">
      <alignment vertical="center"/>
    </xf>
    <xf numFmtId="0" fontId="66" fillId="18" borderId="2" xfId="161" applyFont="1" applyFill="1" applyBorder="1">
      <alignment vertical="center"/>
    </xf>
    <xf numFmtId="0" fontId="56" fillId="18" borderId="2" xfId="161" applyFont="1" applyFill="1" applyBorder="1" applyAlignment="1">
      <alignment horizontal="centerContinuous" vertical="center"/>
    </xf>
    <xf numFmtId="0" fontId="56" fillId="18" borderId="17" xfId="161" applyFont="1" applyFill="1" applyBorder="1" applyAlignment="1">
      <alignment horizontal="centerContinuous" vertical="center"/>
    </xf>
    <xf numFmtId="0" fontId="52" fillId="14" borderId="8" xfId="161" applyFont="1" applyFill="1" applyBorder="1">
      <alignment vertical="center"/>
    </xf>
    <xf numFmtId="0" fontId="52" fillId="14" borderId="12" xfId="161" applyFont="1" applyFill="1" applyBorder="1">
      <alignment vertical="center"/>
    </xf>
    <xf numFmtId="0" fontId="52" fillId="19" borderId="10" xfId="161" quotePrefix="1" applyFont="1" applyFill="1" applyBorder="1">
      <alignment vertical="center"/>
    </xf>
    <xf numFmtId="0" fontId="52" fillId="19" borderId="2" xfId="161" applyFont="1" applyFill="1" applyBorder="1">
      <alignment vertical="center"/>
    </xf>
    <xf numFmtId="0" fontId="52" fillId="19" borderId="2" xfId="161" applyFont="1" applyFill="1" applyBorder="1" applyAlignment="1">
      <alignment horizontal="center" vertical="center"/>
    </xf>
    <xf numFmtId="0" fontId="52" fillId="19" borderId="2" xfId="0" applyFont="1" applyFill="1" applyBorder="1">
      <alignment vertical="center"/>
    </xf>
    <xf numFmtId="0" fontId="52" fillId="0" borderId="10" xfId="161" quotePrefix="1" applyFont="1" applyBorder="1">
      <alignment vertical="center"/>
    </xf>
    <xf numFmtId="0" fontId="52" fillId="0" borderId="2" xfId="161" applyFont="1" applyBorder="1">
      <alignment vertical="center"/>
    </xf>
    <xf numFmtId="0" fontId="52" fillId="0" borderId="2" xfId="161" applyFont="1" applyBorder="1" applyAlignment="1">
      <alignment horizontal="center" vertical="center"/>
    </xf>
    <xf numFmtId="0" fontId="52" fillId="0" borderId="2" xfId="0" applyFont="1" applyBorder="1">
      <alignment vertical="center"/>
    </xf>
    <xf numFmtId="0" fontId="52" fillId="0" borderId="0" xfId="161" quotePrefix="1" applyFont="1">
      <alignment vertical="center"/>
    </xf>
    <xf numFmtId="0" fontId="52" fillId="0" borderId="0" xfId="161" applyFont="1">
      <alignment vertical="center"/>
    </xf>
    <xf numFmtId="0" fontId="52" fillId="0" borderId="0" xfId="161" applyFont="1" applyAlignment="1">
      <alignment horizontal="center" vertical="center"/>
    </xf>
    <xf numFmtId="0" fontId="52" fillId="0" borderId="0" xfId="0" applyFont="1">
      <alignment vertical="center"/>
    </xf>
    <xf numFmtId="0" fontId="52" fillId="19" borderId="17" xfId="0" applyFont="1" applyFill="1" applyBorder="1">
      <alignment vertical="center"/>
    </xf>
    <xf numFmtId="0" fontId="52" fillId="0" borderId="8" xfId="0" applyFont="1" applyBorder="1">
      <alignment vertical="center"/>
    </xf>
    <xf numFmtId="0" fontId="52" fillId="0" borderId="0" xfId="161" applyFont="1" applyAlignment="1">
      <alignment horizontal="left" vertical="center"/>
    </xf>
    <xf numFmtId="0" fontId="52" fillId="0" borderId="17" xfId="0" applyFont="1" applyBorder="1">
      <alignment vertical="center"/>
    </xf>
    <xf numFmtId="0" fontId="52" fillId="14" borderId="28" xfId="0" applyFont="1" applyFill="1" applyBorder="1">
      <alignment vertical="center"/>
    </xf>
    <xf numFmtId="0" fontId="52" fillId="14" borderId="31" xfId="0" applyFont="1" applyFill="1" applyBorder="1">
      <alignment vertical="center"/>
    </xf>
    <xf numFmtId="0" fontId="52" fillId="0" borderId="12" xfId="0" applyFont="1" applyBorder="1">
      <alignment vertical="center"/>
    </xf>
    <xf numFmtId="0" fontId="53" fillId="0" borderId="0" xfId="161" applyFont="1">
      <alignment vertical="center"/>
    </xf>
    <xf numFmtId="0" fontId="52" fillId="14" borderId="0" xfId="0" applyFont="1" applyFill="1" applyAlignment="1">
      <alignment horizontal="center" vertical="center"/>
    </xf>
    <xf numFmtId="0" fontId="19" fillId="10" borderId="19" xfId="46" applyFont="1" applyFill="1" applyBorder="1" applyAlignment="1">
      <alignment horizontal="centerContinuous"/>
    </xf>
    <xf numFmtId="0" fontId="19" fillId="10" borderId="16" xfId="46" applyFont="1" applyFill="1" applyBorder="1" applyAlignment="1">
      <alignment horizontal="centerContinuous"/>
    </xf>
    <xf numFmtId="0" fontId="56" fillId="14" borderId="11" xfId="161" quotePrefix="1" applyFont="1" applyFill="1" applyBorder="1" applyAlignment="1">
      <alignment horizontal="centerContinuous" vertical="center"/>
    </xf>
    <xf numFmtId="0" fontId="52" fillId="14" borderId="0" xfId="0" applyFont="1" applyFill="1" applyAlignment="1">
      <alignment vertical="center" wrapText="1"/>
    </xf>
    <xf numFmtId="0" fontId="53" fillId="0" borderId="0" xfId="161" applyFont="1" applyAlignment="1">
      <alignment horizontal="left" vertical="center"/>
    </xf>
    <xf numFmtId="0" fontId="53" fillId="0" borderId="0" xfId="0" applyFont="1">
      <alignment vertical="center"/>
    </xf>
    <xf numFmtId="0" fontId="53" fillId="0" borderId="0" xfId="161" applyFont="1" applyAlignment="1">
      <alignment horizontal="center" vertical="center"/>
    </xf>
    <xf numFmtId="0" fontId="53" fillId="14" borderId="8" xfId="0" applyFont="1" applyFill="1" applyBorder="1">
      <alignment vertical="center"/>
    </xf>
    <xf numFmtId="0" fontId="53" fillId="0" borderId="8" xfId="161" applyFont="1" applyBorder="1">
      <alignment vertical="center"/>
    </xf>
    <xf numFmtId="0" fontId="53" fillId="0" borderId="8" xfId="0" applyFont="1" applyBorder="1">
      <alignment vertical="center"/>
    </xf>
    <xf numFmtId="0" fontId="53" fillId="0" borderId="8" xfId="16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7" fillId="14" borderId="8" xfId="161" applyFont="1" applyFill="1" applyBorder="1">
      <alignment vertical="center"/>
    </xf>
    <xf numFmtId="0" fontId="52" fillId="0" borderId="6" xfId="0" applyFont="1" applyBorder="1">
      <alignment vertical="center"/>
    </xf>
    <xf numFmtId="0" fontId="52" fillId="14" borderId="2" xfId="161" applyFont="1" applyFill="1" applyBorder="1">
      <alignment vertical="center"/>
    </xf>
    <xf numFmtId="0" fontId="52" fillId="14" borderId="17" xfId="0" applyFont="1" applyFill="1" applyBorder="1">
      <alignment vertical="center"/>
    </xf>
    <xf numFmtId="0" fontId="52" fillId="14" borderId="10" xfId="0" applyFont="1" applyFill="1" applyBorder="1">
      <alignment vertical="center"/>
    </xf>
    <xf numFmtId="0" fontId="53" fillId="14" borderId="3" xfId="161" applyFont="1" applyFill="1" applyBorder="1" applyAlignment="1">
      <alignment horizontal="center" vertical="center"/>
    </xf>
    <xf numFmtId="0" fontId="52" fillId="0" borderId="8" xfId="161" applyFont="1" applyBorder="1">
      <alignment vertical="center"/>
    </xf>
    <xf numFmtId="0" fontId="52" fillId="0" borderId="8" xfId="161" applyFont="1" applyBorder="1" applyAlignment="1">
      <alignment horizontal="center" vertical="center"/>
    </xf>
    <xf numFmtId="0" fontId="52" fillId="0" borderId="12" xfId="161" quotePrefix="1" applyFont="1" applyBorder="1">
      <alignment vertical="center"/>
    </xf>
    <xf numFmtId="0" fontId="52" fillId="0" borderId="12" xfId="161" applyFont="1" applyBorder="1">
      <alignment vertical="center"/>
    </xf>
    <xf numFmtId="0" fontId="52" fillId="0" borderId="12" xfId="161" applyFont="1" applyBorder="1" applyAlignment="1">
      <alignment horizontal="center" vertical="center"/>
    </xf>
    <xf numFmtId="0" fontId="52" fillId="0" borderId="8" xfId="161" quotePrefix="1" applyFont="1" applyBorder="1">
      <alignment vertical="center"/>
    </xf>
    <xf numFmtId="0" fontId="60" fillId="19" borderId="2" xfId="0" applyFont="1" applyFill="1" applyBorder="1" applyAlignment="1">
      <alignment horizontal="centerContinuous" vertical="center"/>
    </xf>
    <xf numFmtId="0" fontId="0" fillId="19" borderId="17" xfId="0" applyFill="1" applyBorder="1" applyAlignment="1">
      <alignment horizontal="centerContinuous" vertical="center"/>
    </xf>
    <xf numFmtId="0" fontId="0" fillId="14" borderId="2" xfId="0" applyFill="1" applyBorder="1" applyAlignment="1">
      <alignment horizontal="centerContinuous" vertical="center"/>
    </xf>
    <xf numFmtId="0" fontId="0" fillId="14" borderId="17" xfId="0" applyFill="1" applyBorder="1" applyAlignment="1">
      <alignment horizontal="centerContinuous" vertical="center"/>
    </xf>
    <xf numFmtId="0" fontId="0" fillId="14" borderId="2" xfId="0" applyFill="1" applyBorder="1">
      <alignment vertical="center"/>
    </xf>
    <xf numFmtId="0" fontId="72" fillId="0" borderId="0" xfId="161" applyFont="1">
      <alignment vertical="center"/>
    </xf>
    <xf numFmtId="0" fontId="72" fillId="0" borderId="0" xfId="0" applyFont="1">
      <alignment vertical="center"/>
    </xf>
    <xf numFmtId="0" fontId="53" fillId="14" borderId="12" xfId="161" applyFont="1" applyFill="1" applyBorder="1">
      <alignment vertical="center"/>
    </xf>
    <xf numFmtId="0" fontId="19" fillId="10" borderId="18" xfId="46" applyFont="1" applyFill="1" applyBorder="1" applyAlignment="1">
      <alignment horizontal="centerContinuous"/>
    </xf>
    <xf numFmtId="0" fontId="52" fillId="14" borderId="0" xfId="0" applyFont="1" applyFill="1" applyAlignment="1">
      <alignment horizontal="left" vertical="center"/>
    </xf>
    <xf numFmtId="0" fontId="60" fillId="0" borderId="10" xfId="161" quotePrefix="1" applyFont="1" applyBorder="1">
      <alignment vertical="center"/>
    </xf>
    <xf numFmtId="0" fontId="60" fillId="0" borderId="2" xfId="161" quotePrefix="1" applyFont="1" applyBorder="1">
      <alignment vertical="center"/>
    </xf>
    <xf numFmtId="0" fontId="52" fillId="0" borderId="0" xfId="161" quotePrefix="1" applyFont="1" applyAlignment="1">
      <alignment horizontal="left" vertical="center"/>
    </xf>
    <xf numFmtId="0" fontId="52" fillId="0" borderId="25" xfId="161" applyFont="1" applyBorder="1" applyAlignment="1">
      <alignment horizontal="center" vertical="center"/>
    </xf>
    <xf numFmtId="0" fontId="52" fillId="0" borderId="2" xfId="161" quotePrefix="1" applyFont="1" applyBorder="1">
      <alignment vertical="center"/>
    </xf>
    <xf numFmtId="14" fontId="52" fillId="0" borderId="10" xfId="161" quotePrefix="1" applyNumberFormat="1" applyFont="1" applyBorder="1">
      <alignment vertical="center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53" fillId="0" borderId="0" xfId="161" quotePrefix="1" applyFont="1">
      <alignment vertical="center"/>
    </xf>
    <xf numFmtId="0" fontId="53" fillId="0" borderId="2" xfId="161" applyFont="1" applyBorder="1">
      <alignment vertical="center"/>
    </xf>
    <xf numFmtId="0" fontId="57" fillId="14" borderId="6" xfId="180" quotePrefix="1" applyFont="1" applyFill="1" applyBorder="1">
      <alignment vertical="center"/>
    </xf>
    <xf numFmtId="0" fontId="52" fillId="14" borderId="0" xfId="180" applyFont="1" applyFill="1">
      <alignment vertical="center"/>
    </xf>
    <xf numFmtId="0" fontId="53" fillId="19" borderId="2" xfId="180" applyFont="1" applyFill="1" applyBorder="1" applyAlignment="1">
      <alignment horizontal="centerContinuous" vertical="center"/>
    </xf>
    <xf numFmtId="0" fontId="60" fillId="19" borderId="2" xfId="180" applyFont="1" applyFill="1" applyBorder="1" applyAlignment="1">
      <alignment horizontal="centerContinuous" vertical="center"/>
    </xf>
    <xf numFmtId="0" fontId="53" fillId="19" borderId="10" xfId="180" applyFont="1" applyFill="1" applyBorder="1" applyAlignment="1">
      <alignment horizontal="centerContinuous" vertical="center"/>
    </xf>
    <xf numFmtId="0" fontId="52" fillId="19" borderId="2" xfId="180" applyFont="1" applyFill="1" applyBorder="1" applyAlignment="1">
      <alignment horizontal="centerContinuous" vertical="center"/>
    </xf>
    <xf numFmtId="0" fontId="52" fillId="0" borderId="0" xfId="180" applyFont="1">
      <alignment vertical="center"/>
    </xf>
    <xf numFmtId="0" fontId="64" fillId="14" borderId="0" xfId="180" applyFont="1" applyFill="1">
      <alignment vertical="center"/>
    </xf>
    <xf numFmtId="0" fontId="76" fillId="14" borderId="2" xfId="180" quotePrefix="1" applyFont="1" applyFill="1" applyBorder="1">
      <alignment vertical="center"/>
    </xf>
    <xf numFmtId="0" fontId="52" fillId="14" borderId="10" xfId="180" applyFont="1" applyFill="1" applyBorder="1" applyAlignment="1">
      <alignment horizontal="centerContinuous" vertical="center"/>
    </xf>
    <xf numFmtId="0" fontId="52" fillId="14" borderId="2" xfId="180" applyFont="1" applyFill="1" applyBorder="1" applyAlignment="1">
      <alignment horizontal="centerContinuous" vertical="center"/>
    </xf>
    <xf numFmtId="0" fontId="73" fillId="14" borderId="10" xfId="180" applyFont="1" applyFill="1" applyBorder="1" applyAlignment="1">
      <alignment horizontal="center" vertical="center"/>
    </xf>
    <xf numFmtId="0" fontId="52" fillId="14" borderId="2" xfId="180" applyFont="1" applyFill="1" applyBorder="1" applyAlignment="1">
      <alignment horizontal="left" vertical="center"/>
    </xf>
    <xf numFmtId="0" fontId="0" fillId="14" borderId="17" xfId="0" applyFill="1" applyBorder="1">
      <alignment vertical="center"/>
    </xf>
    <xf numFmtId="0" fontId="57" fillId="14" borderId="11" xfId="180" applyFont="1" applyFill="1" applyBorder="1">
      <alignment vertical="center"/>
    </xf>
    <xf numFmtId="0" fontId="0" fillId="19" borderId="2" xfId="0" applyFill="1" applyBorder="1" applyAlignment="1">
      <alignment horizontal="centerContinuous" vertical="center"/>
    </xf>
    <xf numFmtId="0" fontId="73" fillId="14" borderId="2" xfId="180" applyFont="1" applyFill="1" applyBorder="1" applyAlignment="1">
      <alignment horizontal="centerContinuous" vertical="center"/>
    </xf>
    <xf numFmtId="14" fontId="60" fillId="0" borderId="10" xfId="161" quotePrefix="1" applyNumberFormat="1" applyFont="1" applyBorder="1" applyAlignment="1">
      <alignment horizontal="centerContinuous" vertical="center"/>
    </xf>
    <xf numFmtId="14" fontId="60" fillId="0" borderId="2" xfId="161" quotePrefix="1" applyNumberFormat="1" applyFont="1" applyBorder="1" applyAlignment="1">
      <alignment horizontal="centerContinuous" vertical="center"/>
    </xf>
    <xf numFmtId="0" fontId="60" fillId="0" borderId="2" xfId="161" quotePrefix="1" applyFont="1" applyBorder="1" applyAlignment="1">
      <alignment horizontal="centerContinuous" vertical="center"/>
    </xf>
    <xf numFmtId="0" fontId="60" fillId="0" borderId="17" xfId="161" quotePrefix="1" applyFont="1" applyBorder="1" applyAlignment="1">
      <alignment horizontal="centerContinuous" vertical="center"/>
    </xf>
    <xf numFmtId="0" fontId="60" fillId="0" borderId="17" xfId="161" applyFont="1" applyBorder="1" applyAlignment="1">
      <alignment horizontal="centerContinuous" vertical="center"/>
    </xf>
    <xf numFmtId="0" fontId="19" fillId="10" borderId="7" xfId="49" applyFont="1" applyFill="1" applyBorder="1" applyAlignment="1">
      <alignment horizontal="right" vertical="center"/>
    </xf>
    <xf numFmtId="0" fontId="0" fillId="14" borderId="2" xfId="0" applyFill="1" applyBorder="1" applyAlignment="1">
      <alignment vertical="center" wrapText="1"/>
    </xf>
    <xf numFmtId="0" fontId="57" fillId="14" borderId="14" xfId="161" applyFont="1" applyFill="1" applyBorder="1">
      <alignment vertical="center"/>
    </xf>
    <xf numFmtId="0" fontId="77" fillId="0" borderId="0" xfId="0" applyFont="1">
      <alignment vertical="center"/>
    </xf>
    <xf numFmtId="0" fontId="19" fillId="10" borderId="26" xfId="46" applyFont="1" applyFill="1" applyBorder="1" applyAlignment="1">
      <alignment horizontal="centerContinuous"/>
    </xf>
    <xf numFmtId="0" fontId="52" fillId="0" borderId="23" xfId="161" applyFont="1" applyBorder="1" applyAlignment="1">
      <alignment horizontal="center" vertical="center"/>
    </xf>
    <xf numFmtId="0" fontId="62" fillId="0" borderId="2" xfId="161" applyFont="1" applyBorder="1" applyAlignment="1">
      <alignment horizontal="centerContinuous" vertical="center"/>
    </xf>
    <xf numFmtId="0" fontId="62" fillId="0" borderId="17" xfId="161" applyFont="1" applyBorder="1" applyAlignment="1">
      <alignment horizontal="centerContinuous" vertical="center"/>
    </xf>
    <xf numFmtId="0" fontId="68" fillId="0" borderId="15" xfId="161" applyFont="1" applyBorder="1" applyAlignment="1">
      <alignment horizontal="left" vertical="center"/>
    </xf>
    <xf numFmtId="0" fontId="68" fillId="0" borderId="12" xfId="161" applyFont="1" applyBorder="1" applyAlignment="1">
      <alignment horizontal="left" vertical="center"/>
    </xf>
    <xf numFmtId="0" fontId="68" fillId="0" borderId="12" xfId="0" applyFont="1" applyBorder="1">
      <alignment vertical="center"/>
    </xf>
    <xf numFmtId="0" fontId="68" fillId="0" borderId="12" xfId="161" applyFont="1" applyBorder="1" applyAlignment="1">
      <alignment horizontal="center" vertical="center"/>
    </xf>
    <xf numFmtId="0" fontId="68" fillId="0" borderId="12" xfId="161" applyFont="1" applyBorder="1">
      <alignment vertical="center"/>
    </xf>
    <xf numFmtId="0" fontId="68" fillId="0" borderId="12" xfId="0" applyFont="1" applyBorder="1" applyAlignment="1">
      <alignment horizontal="center" vertical="center"/>
    </xf>
    <xf numFmtId="0" fontId="68" fillId="0" borderId="7" xfId="161" applyFont="1" applyBorder="1" applyAlignment="1">
      <alignment horizontal="left" vertical="center"/>
    </xf>
    <xf numFmtId="0" fontId="68" fillId="0" borderId="8" xfId="161" applyFont="1" applyBorder="1" applyAlignment="1">
      <alignment horizontal="left" vertical="center"/>
    </xf>
    <xf numFmtId="0" fontId="68" fillId="0" borderId="8" xfId="0" applyFont="1" applyBorder="1">
      <alignment vertical="center"/>
    </xf>
    <xf numFmtId="0" fontId="68" fillId="0" borderId="8" xfId="161" applyFont="1" applyBorder="1" applyAlignment="1">
      <alignment horizontal="center" vertical="center"/>
    </xf>
    <xf numFmtId="0" fontId="68" fillId="0" borderId="8" xfId="161" applyFont="1" applyBorder="1">
      <alignment vertical="center"/>
    </xf>
    <xf numFmtId="0" fontId="68" fillId="0" borderId="8" xfId="0" applyFont="1" applyBorder="1" applyAlignment="1">
      <alignment horizontal="center" vertical="center"/>
    </xf>
    <xf numFmtId="0" fontId="19" fillId="10" borderId="0" xfId="46" applyFont="1" applyFill="1" applyAlignment="1">
      <alignment horizontal="centerContinuous"/>
    </xf>
    <xf numFmtId="0" fontId="57" fillId="19" borderId="10" xfId="180" applyFont="1" applyFill="1" applyBorder="1">
      <alignment vertical="center"/>
    </xf>
    <xf numFmtId="0" fontId="57" fillId="19" borderId="2" xfId="180" applyFont="1" applyFill="1" applyBorder="1">
      <alignment vertical="center"/>
    </xf>
    <xf numFmtId="0" fontId="52" fillId="19" borderId="2" xfId="180" applyFont="1" applyFill="1" applyBorder="1">
      <alignment vertical="center"/>
    </xf>
    <xf numFmtId="0" fontId="52" fillId="19" borderId="2" xfId="180" applyFont="1" applyFill="1" applyBorder="1" applyAlignment="1">
      <alignment horizontal="center" vertical="center"/>
    </xf>
    <xf numFmtId="0" fontId="0" fillId="19" borderId="2" xfId="0" applyFill="1" applyBorder="1">
      <alignment vertical="center"/>
    </xf>
    <xf numFmtId="0" fontId="52" fillId="19" borderId="2" xfId="180" quotePrefix="1" applyFont="1" applyFill="1" applyBorder="1">
      <alignment vertical="center"/>
    </xf>
    <xf numFmtId="0" fontId="64" fillId="19" borderId="2" xfId="161" applyFont="1" applyFill="1" applyBorder="1">
      <alignment vertical="center"/>
    </xf>
    <xf numFmtId="0" fontId="52" fillId="19" borderId="2" xfId="0" applyFont="1" applyFill="1" applyBorder="1" applyAlignment="1">
      <alignment vertical="center" wrapText="1"/>
    </xf>
    <xf numFmtId="0" fontId="52" fillId="19" borderId="2" xfId="161" quotePrefix="1" applyFont="1" applyFill="1" applyBorder="1">
      <alignment vertical="center"/>
    </xf>
    <xf numFmtId="0" fontId="57" fillId="19" borderId="17" xfId="180" applyFont="1" applyFill="1" applyBorder="1">
      <alignment vertical="center"/>
    </xf>
    <xf numFmtId="0" fontId="19" fillId="0" borderId="2" xfId="0" applyFont="1" applyBorder="1" applyAlignment="1">
      <alignment horizontal="center" vertical="top"/>
    </xf>
    <xf numFmtId="0" fontId="19" fillId="21" borderId="2" xfId="0" applyFont="1" applyFill="1" applyBorder="1" applyAlignment="1">
      <alignment horizontal="center" vertical="top"/>
    </xf>
    <xf numFmtId="0" fontId="19" fillId="22" borderId="2" xfId="0" applyFont="1" applyFill="1" applyBorder="1" applyAlignment="1">
      <alignment horizontal="center" vertical="top"/>
    </xf>
    <xf numFmtId="0" fontId="52" fillId="0" borderId="15" xfId="0" applyFont="1" applyBorder="1">
      <alignment vertical="center"/>
    </xf>
    <xf numFmtId="0" fontId="79" fillId="0" borderId="0" xfId="161" applyFont="1">
      <alignment vertical="center"/>
    </xf>
    <xf numFmtId="0" fontId="79" fillId="0" borderId="0" xfId="0" applyFont="1">
      <alignment vertical="center"/>
    </xf>
    <xf numFmtId="0" fontId="79" fillId="0" borderId="0" xfId="161" applyFont="1" applyAlignment="1">
      <alignment horizontal="center" vertical="center"/>
    </xf>
    <xf numFmtId="0" fontId="68" fillId="0" borderId="0" xfId="161" applyFont="1" applyAlignment="1">
      <alignment horizontal="left" vertical="center"/>
    </xf>
    <xf numFmtId="0" fontId="68" fillId="0" borderId="0" xfId="0" applyFont="1">
      <alignment vertical="center"/>
    </xf>
    <xf numFmtId="0" fontId="68" fillId="0" borderId="0" xfId="161" applyFont="1" applyAlignment="1">
      <alignment horizontal="center" vertical="center"/>
    </xf>
    <xf numFmtId="0" fontId="68" fillId="0" borderId="0" xfId="161" applyFont="1">
      <alignment vertical="center"/>
    </xf>
    <xf numFmtId="0" fontId="68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69" fillId="0" borderId="0" xfId="161" applyFont="1" applyAlignment="1">
      <alignment horizontal="left" vertical="center"/>
    </xf>
    <xf numFmtId="0" fontId="69" fillId="0" borderId="0" xfId="0" applyFont="1">
      <alignment vertical="center"/>
    </xf>
    <xf numFmtId="0" fontId="52" fillId="14" borderId="6" xfId="161" quotePrefix="1" applyFont="1" applyFill="1" applyBorder="1">
      <alignment vertical="center"/>
    </xf>
    <xf numFmtId="0" fontId="77" fillId="14" borderId="6" xfId="161" quotePrefix="1" applyFont="1" applyFill="1" applyBorder="1">
      <alignment vertical="center"/>
    </xf>
    <xf numFmtId="0" fontId="77" fillId="14" borderId="0" xfId="161" applyFont="1" applyFill="1">
      <alignment vertical="center"/>
    </xf>
    <xf numFmtId="0" fontId="75" fillId="14" borderId="0" xfId="0" applyFont="1" applyFill="1">
      <alignment vertical="center"/>
    </xf>
    <xf numFmtId="0" fontId="53" fillId="23" borderId="15" xfId="161" applyFont="1" applyFill="1" applyBorder="1" applyAlignment="1">
      <alignment horizontal="centerContinuous" vertical="center"/>
    </xf>
    <xf numFmtId="0" fontId="53" fillId="23" borderId="12" xfId="161" applyFont="1" applyFill="1" applyBorder="1" applyAlignment="1">
      <alignment horizontal="centerContinuous" vertical="center"/>
    </xf>
    <xf numFmtId="0" fontId="53" fillId="23" borderId="13" xfId="161" applyFont="1" applyFill="1" applyBorder="1" applyAlignment="1">
      <alignment horizontal="centerContinuous" vertical="center"/>
    </xf>
    <xf numFmtId="0" fontId="53" fillId="23" borderId="15" xfId="161" quotePrefix="1" applyFont="1" applyFill="1" applyBorder="1" applyAlignment="1">
      <alignment horizontal="centerContinuous" vertical="center"/>
    </xf>
    <xf numFmtId="0" fontId="53" fillId="23" borderId="12" xfId="161" quotePrefix="1" applyFont="1" applyFill="1" applyBorder="1" applyAlignment="1">
      <alignment horizontal="centerContinuous" vertical="center"/>
    </xf>
    <xf numFmtId="0" fontId="60" fillId="23" borderId="15" xfId="161" applyFont="1" applyFill="1" applyBorder="1" applyAlignment="1">
      <alignment horizontal="centerContinuous" vertical="center"/>
    </xf>
    <xf numFmtId="0" fontId="60" fillId="23" borderId="12" xfId="161" applyFont="1" applyFill="1" applyBorder="1" applyAlignment="1">
      <alignment horizontal="centerContinuous" vertical="center"/>
    </xf>
    <xf numFmtId="0" fontId="60" fillId="23" borderId="13" xfId="161" applyFont="1" applyFill="1" applyBorder="1" applyAlignment="1">
      <alignment horizontal="centerContinuous" vertical="center"/>
    </xf>
    <xf numFmtId="0" fontId="53" fillId="23" borderId="7" xfId="161" quotePrefix="1" applyFont="1" applyFill="1" applyBorder="1" applyAlignment="1">
      <alignment horizontal="centerContinuous" vertical="center"/>
    </xf>
    <xf numFmtId="0" fontId="53" fillId="23" borderId="8" xfId="161" applyFont="1" applyFill="1" applyBorder="1" applyAlignment="1">
      <alignment horizontal="centerContinuous" vertical="center"/>
    </xf>
    <xf numFmtId="0" fontId="53" fillId="23" borderId="14" xfId="161" applyFont="1" applyFill="1" applyBorder="1" applyAlignment="1">
      <alignment horizontal="centerContinuous" vertical="center"/>
    </xf>
    <xf numFmtId="0" fontId="53" fillId="23" borderId="8" xfId="161" quotePrefix="1" applyFont="1" applyFill="1" applyBorder="1" applyAlignment="1">
      <alignment horizontal="centerContinuous" vertical="center"/>
    </xf>
    <xf numFmtId="0" fontId="60" fillId="23" borderId="7" xfId="161" quotePrefix="1" applyFont="1" applyFill="1" applyBorder="1" applyAlignment="1">
      <alignment horizontal="centerContinuous" vertical="center"/>
    </xf>
    <xf numFmtId="0" fontId="60" fillId="23" borderId="8" xfId="161" quotePrefix="1" applyFont="1" applyFill="1" applyBorder="1" applyAlignment="1">
      <alignment horizontal="centerContinuous" vertical="center"/>
    </xf>
    <xf numFmtId="0" fontId="60" fillId="23" borderId="8" xfId="161" applyFont="1" applyFill="1" applyBorder="1" applyAlignment="1">
      <alignment horizontal="centerContinuous" vertical="center"/>
    </xf>
    <xf numFmtId="0" fontId="60" fillId="23" borderId="14" xfId="161" applyFont="1" applyFill="1" applyBorder="1" applyAlignment="1">
      <alignment horizontal="centerContinuous" vertical="center"/>
    </xf>
    <xf numFmtId="0" fontId="60" fillId="0" borderId="10" xfId="161" quotePrefix="1" applyFont="1" applyBorder="1" applyAlignment="1">
      <alignment horizontal="left" vertical="center"/>
    </xf>
    <xf numFmtId="0" fontId="60" fillId="0" borderId="2" xfId="161" quotePrefix="1" applyFont="1" applyBorder="1" applyAlignment="1">
      <alignment horizontal="left" vertical="center"/>
    </xf>
    <xf numFmtId="0" fontId="52" fillId="24" borderId="2" xfId="161" quotePrefix="1" applyFont="1" applyFill="1" applyBorder="1">
      <alignment vertical="center"/>
    </xf>
    <xf numFmtId="0" fontId="52" fillId="24" borderId="2" xfId="161" applyFont="1" applyFill="1" applyBorder="1">
      <alignment vertical="center"/>
    </xf>
    <xf numFmtId="0" fontId="53" fillId="24" borderId="2" xfId="0" applyFont="1" applyFill="1" applyBorder="1">
      <alignment vertical="center"/>
    </xf>
    <xf numFmtId="0" fontId="52" fillId="24" borderId="2" xfId="0" quotePrefix="1" applyFont="1" applyFill="1" applyBorder="1">
      <alignment vertical="center"/>
    </xf>
    <xf numFmtId="0" fontId="52" fillId="24" borderId="2" xfId="0" applyFont="1" applyFill="1" applyBorder="1">
      <alignment vertical="center"/>
    </xf>
    <xf numFmtId="0" fontId="52" fillId="24" borderId="2" xfId="0" applyFont="1" applyFill="1" applyBorder="1" applyAlignment="1">
      <alignment horizontal="center" vertical="center"/>
    </xf>
    <xf numFmtId="0" fontId="52" fillId="24" borderId="2" xfId="0" applyFont="1" applyFill="1" applyBorder="1" applyAlignment="1">
      <alignment horizontal="left" vertical="center"/>
    </xf>
    <xf numFmtId="0" fontId="52" fillId="24" borderId="2" xfId="0" applyFont="1" applyFill="1" applyBorder="1" applyAlignment="1">
      <alignment vertical="center" wrapText="1"/>
    </xf>
    <xf numFmtId="0" fontId="0" fillId="24" borderId="2" xfId="0" applyFill="1" applyBorder="1">
      <alignment vertical="center"/>
    </xf>
    <xf numFmtId="0" fontId="77" fillId="24" borderId="2" xfId="0" applyFont="1" applyFill="1" applyBorder="1">
      <alignment vertical="center"/>
    </xf>
    <xf numFmtId="0" fontId="78" fillId="14" borderId="0" xfId="0" applyFont="1" applyFill="1">
      <alignment vertical="center"/>
    </xf>
    <xf numFmtId="0" fontId="53" fillId="20" borderId="15" xfId="161" applyFont="1" applyFill="1" applyBorder="1" applyAlignment="1">
      <alignment horizontal="centerContinuous" vertical="center"/>
    </xf>
    <xf numFmtId="0" fontId="53" fillId="20" borderId="12" xfId="161" applyFont="1" applyFill="1" applyBorder="1" applyAlignment="1">
      <alignment horizontal="centerContinuous" vertical="center"/>
    </xf>
    <xf numFmtId="0" fontId="53" fillId="20" borderId="13" xfId="161" applyFont="1" applyFill="1" applyBorder="1" applyAlignment="1">
      <alignment horizontal="centerContinuous" vertical="center"/>
    </xf>
    <xf numFmtId="0" fontId="53" fillId="20" borderId="15" xfId="161" quotePrefix="1" applyFont="1" applyFill="1" applyBorder="1" applyAlignment="1">
      <alignment horizontal="centerContinuous" vertical="center"/>
    </xf>
    <xf numFmtId="0" fontId="53" fillId="20" borderId="12" xfId="161" quotePrefix="1" applyFont="1" applyFill="1" applyBorder="1" applyAlignment="1">
      <alignment horizontal="centerContinuous" vertical="center"/>
    </xf>
    <xf numFmtId="0" fontId="60" fillId="20" borderId="15" xfId="161" applyFont="1" applyFill="1" applyBorder="1" applyAlignment="1">
      <alignment horizontal="centerContinuous" vertical="center"/>
    </xf>
    <xf numFmtId="0" fontId="60" fillId="20" borderId="12" xfId="161" applyFont="1" applyFill="1" applyBorder="1" applyAlignment="1">
      <alignment horizontal="centerContinuous" vertical="center"/>
    </xf>
    <xf numFmtId="0" fontId="60" fillId="20" borderId="13" xfId="161" applyFont="1" applyFill="1" applyBorder="1" applyAlignment="1">
      <alignment horizontal="centerContinuous" vertical="center"/>
    </xf>
    <xf numFmtId="0" fontId="60" fillId="0" borderId="10" xfId="161" quotePrefix="1" applyFont="1" applyBorder="1" applyAlignment="1">
      <alignment horizontal="centerContinuous" vertical="center"/>
    </xf>
    <xf numFmtId="0" fontId="53" fillId="25" borderId="15" xfId="161" applyFont="1" applyFill="1" applyBorder="1" applyAlignment="1">
      <alignment horizontal="centerContinuous" vertical="center"/>
    </xf>
    <xf numFmtId="0" fontId="53" fillId="25" borderId="12" xfId="161" applyFont="1" applyFill="1" applyBorder="1" applyAlignment="1">
      <alignment horizontal="centerContinuous" vertical="center"/>
    </xf>
    <xf numFmtId="0" fontId="53" fillId="25" borderId="13" xfId="161" applyFont="1" applyFill="1" applyBorder="1" applyAlignment="1">
      <alignment horizontal="centerContinuous" vertical="center"/>
    </xf>
    <xf numFmtId="0" fontId="53" fillId="25" borderId="15" xfId="161" quotePrefix="1" applyFont="1" applyFill="1" applyBorder="1" applyAlignment="1">
      <alignment horizontal="centerContinuous" vertical="center"/>
    </xf>
    <xf numFmtId="0" fontId="53" fillId="25" borderId="12" xfId="161" quotePrefix="1" applyFont="1" applyFill="1" applyBorder="1" applyAlignment="1">
      <alignment horizontal="centerContinuous" vertical="center"/>
    </xf>
    <xf numFmtId="0" fontId="60" fillId="25" borderId="15" xfId="161" applyFont="1" applyFill="1" applyBorder="1" applyAlignment="1">
      <alignment horizontal="centerContinuous" vertical="center"/>
    </xf>
    <xf numFmtId="0" fontId="60" fillId="25" borderId="12" xfId="161" applyFont="1" applyFill="1" applyBorder="1" applyAlignment="1">
      <alignment horizontal="centerContinuous" vertical="center"/>
    </xf>
    <xf numFmtId="0" fontId="60" fillId="25" borderId="13" xfId="161" applyFont="1" applyFill="1" applyBorder="1" applyAlignment="1">
      <alignment horizontal="centerContinuous" vertical="center"/>
    </xf>
    <xf numFmtId="0" fontId="60" fillId="25" borderId="12" xfId="161" quotePrefix="1" applyFont="1" applyFill="1" applyBorder="1" applyAlignment="1">
      <alignment horizontal="centerContinuous" vertical="center"/>
    </xf>
    <xf numFmtId="0" fontId="60" fillId="25" borderId="15" xfId="161" quotePrefix="1" applyFont="1" applyFill="1" applyBorder="1" applyAlignment="1">
      <alignment horizontal="centerContinuous" vertical="center"/>
    </xf>
    <xf numFmtId="0" fontId="86" fillId="0" borderId="0" xfId="0" applyFont="1">
      <alignment vertical="center"/>
    </xf>
    <xf numFmtId="0" fontId="72" fillId="14" borderId="8" xfId="0" applyFont="1" applyFill="1" applyBorder="1">
      <alignment vertical="center"/>
    </xf>
    <xf numFmtId="0" fontId="52" fillId="14" borderId="6" xfId="180" applyFont="1" applyFill="1" applyBorder="1">
      <alignment vertical="center"/>
    </xf>
    <xf numFmtId="0" fontId="52" fillId="14" borderId="2" xfId="180" quotePrefix="1" applyFont="1" applyFill="1" applyBorder="1">
      <alignment vertical="center"/>
    </xf>
    <xf numFmtId="0" fontId="52" fillId="14" borderId="2" xfId="180" applyFont="1" applyFill="1" applyBorder="1">
      <alignment vertical="center"/>
    </xf>
    <xf numFmtId="0" fontId="52" fillId="14" borderId="2" xfId="180" applyFont="1" applyFill="1" applyBorder="1" applyAlignment="1">
      <alignment horizontal="center" vertical="center"/>
    </xf>
    <xf numFmtId="0" fontId="53" fillId="14" borderId="3" xfId="180" applyFont="1" applyFill="1" applyBorder="1" applyAlignment="1">
      <alignment horizontal="center" vertical="center"/>
    </xf>
    <xf numFmtId="0" fontId="52" fillId="14" borderId="3" xfId="180" applyFont="1" applyFill="1" applyBorder="1" applyAlignment="1">
      <alignment horizontal="center" vertical="center"/>
    </xf>
    <xf numFmtId="0" fontId="52" fillId="0" borderId="28" xfId="0" applyFont="1" applyBorder="1">
      <alignment vertical="center"/>
    </xf>
    <xf numFmtId="0" fontId="52" fillId="14" borderId="28" xfId="161" applyFont="1" applyFill="1" applyBorder="1">
      <alignment vertical="center"/>
    </xf>
    <xf numFmtId="0" fontId="52" fillId="14" borderId="29" xfId="161" applyFont="1" applyFill="1" applyBorder="1">
      <alignment vertical="center"/>
    </xf>
    <xf numFmtId="0" fontId="53" fillId="14" borderId="33" xfId="161" applyFont="1" applyFill="1" applyBorder="1">
      <alignment vertical="center"/>
    </xf>
    <xf numFmtId="0" fontId="52" fillId="14" borderId="34" xfId="161" applyFont="1" applyFill="1" applyBorder="1">
      <alignment vertical="center"/>
    </xf>
    <xf numFmtId="0" fontId="53" fillId="14" borderId="30" xfId="161" applyFont="1" applyFill="1" applyBorder="1">
      <alignment vertical="center"/>
    </xf>
    <xf numFmtId="0" fontId="52" fillId="14" borderId="31" xfId="161" applyFont="1" applyFill="1" applyBorder="1">
      <alignment vertical="center"/>
    </xf>
    <xf numFmtId="0" fontId="52" fillId="0" borderId="31" xfId="0" applyFont="1" applyBorder="1">
      <alignment vertical="center"/>
    </xf>
    <xf numFmtId="0" fontId="0" fillId="14" borderId="31" xfId="0" applyFill="1" applyBorder="1">
      <alignment vertical="center"/>
    </xf>
    <xf numFmtId="0" fontId="53" fillId="0" borderId="31" xfId="161" applyFont="1" applyBorder="1">
      <alignment vertical="center"/>
    </xf>
    <xf numFmtId="0" fontId="52" fillId="0" borderId="31" xfId="161" applyFont="1" applyBorder="1">
      <alignment vertical="center"/>
    </xf>
    <xf numFmtId="0" fontId="52" fillId="0" borderId="31" xfId="0" applyFont="1" applyBorder="1" applyAlignment="1">
      <alignment vertical="center" wrapText="1"/>
    </xf>
    <xf numFmtId="0" fontId="52" fillId="0" borderId="31" xfId="161" quotePrefix="1" applyFont="1" applyBorder="1">
      <alignment vertical="center"/>
    </xf>
    <xf numFmtId="0" fontId="52" fillId="0" borderId="31" xfId="161" applyFont="1" applyBorder="1" applyAlignment="1">
      <alignment horizontal="center" vertical="center"/>
    </xf>
    <xf numFmtId="0" fontId="52" fillId="14" borderId="32" xfId="161" applyFont="1" applyFill="1" applyBorder="1">
      <alignment vertical="center"/>
    </xf>
    <xf numFmtId="0" fontId="52" fillId="0" borderId="28" xfId="161" quotePrefix="1" applyFont="1" applyBorder="1">
      <alignment vertical="center"/>
    </xf>
    <xf numFmtId="0" fontId="52" fillId="0" borderId="28" xfId="161" applyFont="1" applyBorder="1">
      <alignment vertical="center"/>
    </xf>
    <xf numFmtId="0" fontId="52" fillId="0" borderId="28" xfId="161" applyFont="1" applyBorder="1" applyAlignment="1">
      <alignment horizontal="center" vertical="center"/>
    </xf>
    <xf numFmtId="0" fontId="0" fillId="14" borderId="28" xfId="0" applyFill="1" applyBorder="1">
      <alignment vertical="center"/>
    </xf>
    <xf numFmtId="0" fontId="52" fillId="14" borderId="33" xfId="0" applyFont="1" applyFill="1" applyBorder="1">
      <alignment vertical="center"/>
    </xf>
    <xf numFmtId="0" fontId="52" fillId="0" borderId="34" xfId="161" applyFont="1" applyBorder="1">
      <alignment vertical="center"/>
    </xf>
    <xf numFmtId="0" fontId="52" fillId="0" borderId="0" xfId="180" applyFont="1" applyAlignment="1">
      <alignment vertical="top"/>
    </xf>
    <xf numFmtId="0" fontId="52" fillId="14" borderId="34" xfId="180" applyFont="1" applyFill="1" applyBorder="1">
      <alignment vertical="center"/>
    </xf>
    <xf numFmtId="0" fontId="52" fillId="14" borderId="33" xfId="161" applyFont="1" applyFill="1" applyBorder="1" applyAlignment="1">
      <alignment horizontal="left" vertical="center"/>
    </xf>
    <xf numFmtId="0" fontId="52" fillId="14" borderId="30" xfId="161" applyFont="1" applyFill="1" applyBorder="1" applyAlignment="1">
      <alignment horizontal="left" vertical="center"/>
    </xf>
    <xf numFmtId="0" fontId="52" fillId="14" borderId="31" xfId="161" applyFont="1" applyFill="1" applyBorder="1" applyAlignment="1">
      <alignment horizontal="left" vertical="center"/>
    </xf>
    <xf numFmtId="0" fontId="68" fillId="0" borderId="31" xfId="161" applyFont="1" applyBorder="1" applyAlignment="1">
      <alignment horizontal="left" vertical="center"/>
    </xf>
    <xf numFmtId="0" fontId="68" fillId="0" borderId="31" xfId="0" applyFont="1" applyBorder="1">
      <alignment vertical="center"/>
    </xf>
    <xf numFmtId="0" fontId="68" fillId="0" borderId="31" xfId="161" applyFont="1" applyBorder="1" applyAlignment="1">
      <alignment horizontal="center" vertical="center"/>
    </xf>
    <xf numFmtId="0" fontId="68" fillId="0" borderId="31" xfId="161" applyFont="1" applyBorder="1">
      <alignment vertical="center"/>
    </xf>
    <xf numFmtId="0" fontId="68" fillId="0" borderId="31" xfId="0" applyFont="1" applyBorder="1" applyAlignment="1">
      <alignment horizontal="center" vertical="center"/>
    </xf>
    <xf numFmtId="0" fontId="52" fillId="0" borderId="32" xfId="161" applyFont="1" applyBorder="1">
      <alignment vertical="center"/>
    </xf>
    <xf numFmtId="0" fontId="75" fillId="14" borderId="27" xfId="0" applyFont="1" applyFill="1" applyBorder="1">
      <alignment vertical="center"/>
    </xf>
    <xf numFmtId="0" fontId="52" fillId="0" borderId="28" xfId="161" quotePrefix="1" applyFont="1" applyBorder="1" applyAlignment="1">
      <alignment horizontal="left" vertical="center"/>
    </xf>
    <xf numFmtId="0" fontId="52" fillId="0" borderId="28" xfId="161" applyFont="1" applyBorder="1" applyAlignment="1">
      <alignment horizontal="left" vertical="center"/>
    </xf>
    <xf numFmtId="0" fontId="53" fillId="0" borderId="15" xfId="161" applyFont="1" applyBorder="1">
      <alignment vertical="center"/>
    </xf>
    <xf numFmtId="0" fontId="78" fillId="14" borderId="28" xfId="0" applyFont="1" applyFill="1" applyBorder="1">
      <alignment vertical="center"/>
    </xf>
    <xf numFmtId="0" fontId="57" fillId="14" borderId="28" xfId="161" applyFont="1" applyFill="1" applyBorder="1">
      <alignment vertical="center"/>
    </xf>
    <xf numFmtId="0" fontId="19" fillId="10" borderId="28" xfId="46" applyFont="1" applyFill="1" applyBorder="1" applyAlignment="1">
      <alignment horizontal="centerContinuous"/>
    </xf>
    <xf numFmtId="0" fontId="19" fillId="10" borderId="29" xfId="46" applyFont="1" applyFill="1" applyBorder="1" applyAlignment="1">
      <alignment horizontal="centerContinuous"/>
    </xf>
    <xf numFmtId="0" fontId="60" fillId="19" borderId="35" xfId="161" applyFont="1" applyFill="1" applyBorder="1" applyAlignment="1">
      <alignment horizontal="center" vertical="center"/>
    </xf>
    <xf numFmtId="0" fontId="60" fillId="23" borderId="36" xfId="161" applyFont="1" applyFill="1" applyBorder="1" applyAlignment="1">
      <alignment horizontal="centerContinuous" vertical="center"/>
    </xf>
    <xf numFmtId="0" fontId="53" fillId="19" borderId="37" xfId="161" applyFont="1" applyFill="1" applyBorder="1" applyAlignment="1">
      <alignment horizontal="centerContinuous" vertical="center"/>
    </xf>
    <xf numFmtId="0" fontId="60" fillId="23" borderId="38" xfId="161" quotePrefix="1" applyFont="1" applyFill="1" applyBorder="1" applyAlignment="1">
      <alignment horizontal="centerContinuous" vertical="center"/>
    </xf>
    <xf numFmtId="0" fontId="52" fillId="19" borderId="39" xfId="161" quotePrefix="1" applyFont="1" applyFill="1" applyBorder="1" applyAlignment="1">
      <alignment horizontal="center" vertical="center"/>
    </xf>
    <xf numFmtId="14" fontId="60" fillId="0" borderId="40" xfId="161" quotePrefix="1" applyNumberFormat="1" applyFont="1" applyBorder="1" applyAlignment="1">
      <alignment horizontal="centerContinuous" vertical="center"/>
    </xf>
    <xf numFmtId="0" fontId="63" fillId="0" borderId="33" xfId="0" applyFont="1" applyBorder="1">
      <alignment vertical="center"/>
    </xf>
    <xf numFmtId="0" fontId="0" fillId="14" borderId="34" xfId="0" applyFill="1" applyBorder="1">
      <alignment vertical="center"/>
    </xf>
    <xf numFmtId="0" fontId="52" fillId="0" borderId="33" xfId="0" applyFont="1" applyBorder="1">
      <alignment vertical="center"/>
    </xf>
    <xf numFmtId="0" fontId="83" fillId="24" borderId="41" xfId="161" quotePrefix="1" applyFont="1" applyFill="1" applyBorder="1" applyAlignment="1">
      <alignment horizontal="left" vertical="center"/>
    </xf>
    <xf numFmtId="0" fontId="0" fillId="24" borderId="40" xfId="0" applyFill="1" applyBorder="1">
      <alignment vertical="center"/>
    </xf>
    <xf numFmtId="0" fontId="75" fillId="14" borderId="30" xfId="0" applyFont="1" applyFill="1" applyBorder="1">
      <alignment vertical="center"/>
    </xf>
    <xf numFmtId="0" fontId="52" fillId="0" borderId="31" xfId="161" quotePrefix="1" applyFont="1" applyBorder="1" applyAlignment="1">
      <alignment horizontal="left" vertical="center"/>
    </xf>
    <xf numFmtId="0" fontId="52" fillId="0" borderId="31" xfId="161" applyFont="1" applyBorder="1" applyAlignment="1">
      <alignment horizontal="left" vertical="center"/>
    </xf>
    <xf numFmtId="0" fontId="78" fillId="14" borderId="31" xfId="0" applyFont="1" applyFill="1" applyBorder="1">
      <alignment vertical="center"/>
    </xf>
    <xf numFmtId="0" fontId="57" fillId="14" borderId="31" xfId="161" applyFont="1" applyFill="1" applyBorder="1">
      <alignment vertical="center"/>
    </xf>
    <xf numFmtId="0" fontId="19" fillId="10" borderId="31" xfId="46" applyFont="1" applyFill="1" applyBorder="1" applyAlignment="1">
      <alignment horizontal="centerContinuous"/>
    </xf>
    <xf numFmtId="0" fontId="19" fillId="10" borderId="32" xfId="46" applyFont="1" applyFill="1" applyBorder="1" applyAlignment="1">
      <alignment horizontal="centerContinuous"/>
    </xf>
    <xf numFmtId="0" fontId="53" fillId="0" borderId="8" xfId="161" quotePrefix="1" applyFont="1" applyBorder="1">
      <alignment vertical="center"/>
    </xf>
    <xf numFmtId="0" fontId="57" fillId="14" borderId="12" xfId="161" applyFont="1" applyFill="1" applyBorder="1">
      <alignment vertical="center"/>
    </xf>
    <xf numFmtId="0" fontId="19" fillId="10" borderId="12" xfId="46" applyFont="1" applyFill="1" applyBorder="1" applyAlignment="1">
      <alignment horizontal="centerContinuous"/>
    </xf>
    <xf numFmtId="0" fontId="19" fillId="10" borderId="34" xfId="46" applyFont="1" applyFill="1" applyBorder="1" applyAlignment="1">
      <alignment horizontal="centerContinuous"/>
    </xf>
    <xf numFmtId="0" fontId="19" fillId="10" borderId="8" xfId="46" applyFont="1" applyFill="1" applyBorder="1" applyAlignment="1">
      <alignment horizontal="centerContinuous"/>
    </xf>
    <xf numFmtId="0" fontId="19" fillId="10" borderId="38" xfId="46" applyFont="1" applyFill="1" applyBorder="1" applyAlignment="1">
      <alignment horizontal="centerContinuous"/>
    </xf>
    <xf numFmtId="0" fontId="52" fillId="0" borderId="0" xfId="161" quotePrefix="1" applyFont="1" applyAlignment="1">
      <alignment horizontal="center" vertical="center"/>
    </xf>
    <xf numFmtId="0" fontId="73" fillId="0" borderId="0" xfId="0" applyFont="1">
      <alignment vertical="center"/>
    </xf>
    <xf numFmtId="179" fontId="60" fillId="0" borderId="0" xfId="161" quotePrefix="1" applyNumberFormat="1" applyFont="1" applyAlignment="1">
      <alignment horizontal="right" vertical="center"/>
    </xf>
    <xf numFmtId="0" fontId="60" fillId="0" borderId="0" xfId="161" quotePrefix="1" applyFont="1" applyAlignment="1">
      <alignment horizontal="right" vertical="center"/>
    </xf>
    <xf numFmtId="0" fontId="19" fillId="10" borderId="16" xfId="46" applyFont="1" applyFill="1" applyBorder="1" applyAlignment="1">
      <alignment horizontal="center"/>
    </xf>
    <xf numFmtId="0" fontId="19" fillId="10" borderId="9" xfId="46" applyFont="1" applyFill="1" applyBorder="1" applyAlignment="1">
      <alignment horizontal="center"/>
    </xf>
    <xf numFmtId="0" fontId="53" fillId="0" borderId="33" xfId="161" applyFont="1" applyBorder="1">
      <alignment vertical="center"/>
    </xf>
    <xf numFmtId="0" fontId="52" fillId="0" borderId="33" xfId="161" quotePrefix="1" applyFont="1" applyBorder="1" applyAlignment="1">
      <alignment horizontal="center" vertical="center"/>
    </xf>
    <xf numFmtId="0" fontId="19" fillId="10" borderId="42" xfId="46" applyFont="1" applyFill="1" applyBorder="1" applyAlignment="1">
      <alignment horizontal="centerContinuous"/>
    </xf>
    <xf numFmtId="0" fontId="19" fillId="10" borderId="43" xfId="46" applyFont="1" applyFill="1" applyBorder="1" applyAlignment="1">
      <alignment horizontal="centerContinuous"/>
    </xf>
    <xf numFmtId="0" fontId="19" fillId="10" borderId="11" xfId="46" applyFont="1" applyFill="1" applyBorder="1" applyAlignment="1">
      <alignment horizontal="centerContinuous"/>
    </xf>
    <xf numFmtId="0" fontId="74" fillId="14" borderId="0" xfId="180" applyFont="1" applyFill="1">
      <alignment vertical="center"/>
    </xf>
    <xf numFmtId="0" fontId="52" fillId="0" borderId="34" xfId="0" applyFont="1" applyBorder="1">
      <alignment vertical="center"/>
    </xf>
    <xf numFmtId="0" fontId="64" fillId="19" borderId="41" xfId="180" applyFont="1" applyFill="1" applyBorder="1" applyAlignment="1">
      <alignment horizontal="centerContinuous" vertical="center"/>
    </xf>
    <xf numFmtId="0" fontId="76" fillId="14" borderId="41" xfId="180" quotePrefix="1" applyFont="1" applyFill="1" applyBorder="1">
      <alignment vertical="center"/>
    </xf>
    <xf numFmtId="14" fontId="52" fillId="14" borderId="2" xfId="180" applyNumberFormat="1" applyFont="1" applyFill="1" applyBorder="1" applyAlignment="1">
      <alignment horizontal="centerContinuous" vertical="center"/>
    </xf>
    <xf numFmtId="0" fontId="52" fillId="14" borderId="44" xfId="0" applyFont="1" applyFill="1" applyBorder="1">
      <alignment vertical="center"/>
    </xf>
    <xf numFmtId="0" fontId="0" fillId="14" borderId="33" xfId="0" applyFill="1" applyBorder="1">
      <alignment vertical="center"/>
    </xf>
    <xf numFmtId="0" fontId="52" fillId="14" borderId="44" xfId="161" applyFont="1" applyFill="1" applyBorder="1">
      <alignment vertical="center"/>
    </xf>
    <xf numFmtId="183" fontId="60" fillId="0" borderId="0" xfId="161" quotePrefix="1" applyNumberFormat="1" applyFont="1" applyAlignment="1">
      <alignment horizontal="right" vertical="center"/>
    </xf>
    <xf numFmtId="0" fontId="19" fillId="10" borderId="21" xfId="46" applyFont="1" applyFill="1" applyBorder="1" applyAlignment="1">
      <alignment horizontal="center"/>
    </xf>
    <xf numFmtId="0" fontId="19" fillId="10" borderId="22" xfId="46" applyFont="1" applyFill="1" applyBorder="1" applyAlignment="1">
      <alignment horizontal="center"/>
    </xf>
    <xf numFmtId="0" fontId="68" fillId="0" borderId="28" xfId="161" applyFont="1" applyBorder="1" applyAlignment="1">
      <alignment horizontal="left" vertical="center"/>
    </xf>
    <xf numFmtId="0" fontId="68" fillId="0" borderId="28" xfId="0" applyFont="1" applyBorder="1">
      <alignment vertical="center"/>
    </xf>
    <xf numFmtId="0" fontId="68" fillId="0" borderId="28" xfId="161" applyFont="1" applyBorder="1" applyAlignment="1">
      <alignment horizontal="center" vertical="center"/>
    </xf>
    <xf numFmtId="0" fontId="68" fillId="0" borderId="28" xfId="161" applyFont="1" applyBorder="1">
      <alignment vertical="center"/>
    </xf>
    <xf numFmtId="0" fontId="68" fillId="0" borderId="28" xfId="0" applyFont="1" applyBorder="1" applyAlignment="1">
      <alignment horizontal="center" vertical="center"/>
    </xf>
    <xf numFmtId="0" fontId="83" fillId="0" borderId="33" xfId="161" quotePrefix="1" applyFont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34" xfId="0" applyBorder="1">
      <alignment vertical="center"/>
    </xf>
    <xf numFmtId="0" fontId="53" fillId="0" borderId="12" xfId="0" applyFont="1" applyBorder="1">
      <alignment vertical="center"/>
    </xf>
    <xf numFmtId="0" fontId="52" fillId="0" borderId="12" xfId="0" quotePrefix="1" applyFont="1" applyBorder="1">
      <alignment vertical="center"/>
    </xf>
    <xf numFmtId="0" fontId="52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left" vertical="center"/>
    </xf>
    <xf numFmtId="9" fontId="52" fillId="0" borderId="2" xfId="161" applyNumberFormat="1" applyFont="1" applyBorder="1">
      <alignment vertical="center"/>
    </xf>
    <xf numFmtId="0" fontId="52" fillId="14" borderId="10" xfId="0" quotePrefix="1" applyFont="1" applyFill="1" applyBorder="1">
      <alignment vertical="center"/>
    </xf>
    <xf numFmtId="0" fontId="52" fillId="26" borderId="10" xfId="0" quotePrefix="1" applyFont="1" applyFill="1" applyBorder="1">
      <alignment vertical="center"/>
    </xf>
    <xf numFmtId="0" fontId="52" fillId="26" borderId="2" xfId="180" quotePrefix="1" applyFont="1" applyFill="1" applyBorder="1">
      <alignment vertical="center"/>
    </xf>
    <xf numFmtId="0" fontId="52" fillId="26" borderId="2" xfId="180" applyFont="1" applyFill="1" applyBorder="1">
      <alignment vertical="center"/>
    </xf>
    <xf numFmtId="0" fontId="52" fillId="26" borderId="2" xfId="180" applyFont="1" applyFill="1" applyBorder="1" applyAlignment="1">
      <alignment horizontal="center" vertical="center"/>
    </xf>
    <xf numFmtId="0" fontId="0" fillId="26" borderId="2" xfId="0" applyFill="1" applyBorder="1">
      <alignment vertical="center"/>
    </xf>
    <xf numFmtId="0" fontId="52" fillId="26" borderId="17" xfId="180" applyFont="1" applyFill="1" applyBorder="1" applyAlignment="1">
      <alignment horizontal="center" vertical="center"/>
    </xf>
    <xf numFmtId="0" fontId="75" fillId="14" borderId="28" xfId="0" applyFont="1" applyFill="1" applyBorder="1">
      <alignment vertical="center"/>
    </xf>
    <xf numFmtId="183" fontId="60" fillId="0" borderId="0" xfId="161" quotePrefix="1" applyNumberFormat="1" applyFont="1">
      <alignment vertical="center"/>
    </xf>
    <xf numFmtId="0" fontId="87" fillId="0" borderId="0" xfId="0" applyFont="1">
      <alignment vertical="center"/>
    </xf>
    <xf numFmtId="0" fontId="52" fillId="26" borderId="2" xfId="0" applyFont="1" applyFill="1" applyBorder="1">
      <alignment vertical="center"/>
    </xf>
    <xf numFmtId="0" fontId="64" fillId="26" borderId="2" xfId="180" applyFont="1" applyFill="1" applyBorder="1">
      <alignment vertical="center"/>
    </xf>
    <xf numFmtId="0" fontId="52" fillId="26" borderId="2" xfId="0" applyFont="1" applyFill="1" applyBorder="1" applyAlignment="1">
      <alignment vertical="center" wrapText="1"/>
    </xf>
    <xf numFmtId="0" fontId="52" fillId="26" borderId="17" xfId="0" applyFont="1" applyFill="1" applyBorder="1">
      <alignment vertical="center"/>
    </xf>
    <xf numFmtId="0" fontId="52" fillId="0" borderId="24" xfId="180" applyFont="1" applyBorder="1">
      <alignment vertical="center"/>
    </xf>
    <xf numFmtId="0" fontId="52" fillId="26" borderId="2" xfId="180" applyFont="1" applyFill="1" applyBorder="1" applyAlignment="1">
      <alignment horizontal="left" vertical="center"/>
    </xf>
    <xf numFmtId="0" fontId="53" fillId="14" borderId="41" xfId="180" quotePrefix="1" applyFont="1" applyFill="1" applyBorder="1">
      <alignment vertical="center"/>
    </xf>
    <xf numFmtId="0" fontId="52" fillId="14" borderId="10" xfId="180" quotePrefix="1" applyFont="1" applyFill="1" applyBorder="1" applyAlignment="1">
      <alignment horizontal="left" vertical="center"/>
    </xf>
    <xf numFmtId="0" fontId="77" fillId="14" borderId="44" xfId="161" quotePrefix="1" applyFont="1" applyFill="1" applyBorder="1">
      <alignment vertical="center"/>
    </xf>
    <xf numFmtId="0" fontId="63" fillId="0" borderId="28" xfId="0" applyFont="1" applyBorder="1">
      <alignment vertical="center"/>
    </xf>
    <xf numFmtId="0" fontId="52" fillId="14" borderId="8" xfId="180" quotePrefix="1" applyFont="1" applyFill="1" applyBorder="1">
      <alignment vertical="center"/>
    </xf>
    <xf numFmtId="0" fontId="52" fillId="14" borderId="8" xfId="180" applyFont="1" applyFill="1" applyBorder="1">
      <alignment vertical="center"/>
    </xf>
    <xf numFmtId="0" fontId="52" fillId="14" borderId="8" xfId="180" applyFont="1" applyFill="1" applyBorder="1" applyAlignment="1">
      <alignment horizontal="center" vertical="center"/>
    </xf>
    <xf numFmtId="0" fontId="52" fillId="14" borderId="25" xfId="180" applyFont="1" applyFill="1" applyBorder="1" applyAlignment="1">
      <alignment horizontal="center" vertical="center"/>
    </xf>
    <xf numFmtId="0" fontId="53" fillId="0" borderId="33" xfId="180" applyFont="1" applyBorder="1" applyAlignment="1">
      <alignment vertical="top"/>
    </xf>
    <xf numFmtId="0" fontId="53" fillId="14" borderId="17" xfId="180" applyFont="1" applyFill="1" applyBorder="1" applyAlignment="1">
      <alignment horizontal="center" vertical="center"/>
    </xf>
    <xf numFmtId="0" fontId="63" fillId="14" borderId="8" xfId="180" applyFont="1" applyFill="1" applyBorder="1" applyAlignment="1">
      <alignment horizontal="center" vertical="center"/>
    </xf>
    <xf numFmtId="0" fontId="52" fillId="14" borderId="45" xfId="0" applyFont="1" applyFill="1" applyBorder="1">
      <alignment vertical="center"/>
    </xf>
    <xf numFmtId="0" fontId="53" fillId="27" borderId="15" xfId="161" applyFont="1" applyFill="1" applyBorder="1" applyAlignment="1">
      <alignment horizontal="centerContinuous" vertical="center"/>
    </xf>
    <xf numFmtId="0" fontId="53" fillId="27" borderId="12" xfId="161" applyFont="1" applyFill="1" applyBorder="1" applyAlignment="1">
      <alignment horizontal="centerContinuous" vertical="center"/>
    </xf>
    <xf numFmtId="0" fontId="53" fillId="27" borderId="15" xfId="161" quotePrefix="1" applyFont="1" applyFill="1" applyBorder="1" applyAlignment="1">
      <alignment horizontal="centerContinuous" vertical="center"/>
    </xf>
    <xf numFmtId="0" fontId="53" fillId="27" borderId="13" xfId="161" applyFont="1" applyFill="1" applyBorder="1" applyAlignment="1">
      <alignment horizontal="centerContinuous" vertical="center"/>
    </xf>
    <xf numFmtId="0" fontId="53" fillId="27" borderId="12" xfId="161" quotePrefix="1" applyFont="1" applyFill="1" applyBorder="1" applyAlignment="1">
      <alignment horizontal="centerContinuous" vertical="center"/>
    </xf>
    <xf numFmtId="0" fontId="60" fillId="27" borderId="15" xfId="161" applyFont="1" applyFill="1" applyBorder="1" applyAlignment="1">
      <alignment horizontal="centerContinuous" vertical="center"/>
    </xf>
    <xf numFmtId="0" fontId="60" fillId="27" borderId="12" xfId="161" applyFont="1" applyFill="1" applyBorder="1" applyAlignment="1">
      <alignment horizontal="centerContinuous" vertical="center"/>
    </xf>
    <xf numFmtId="0" fontId="60" fillId="27" borderId="13" xfId="161" applyFont="1" applyFill="1" applyBorder="1" applyAlignment="1">
      <alignment horizontal="centerContinuous" vertical="center"/>
    </xf>
    <xf numFmtId="0" fontId="60" fillId="27" borderId="15" xfId="161" quotePrefix="1" applyFont="1" applyFill="1" applyBorder="1" applyAlignment="1">
      <alignment horizontal="centerContinuous" vertical="center"/>
    </xf>
    <xf numFmtId="0" fontId="60" fillId="27" borderId="12" xfId="161" quotePrefix="1" applyFont="1" applyFill="1" applyBorder="1" applyAlignment="1">
      <alignment horizontal="centerContinuous" vertical="center"/>
    </xf>
    <xf numFmtId="0" fontId="52" fillId="0" borderId="10" xfId="0" quotePrefix="1" applyFont="1" applyBorder="1">
      <alignment vertical="center"/>
    </xf>
    <xf numFmtId="0" fontId="52" fillId="0" borderId="2" xfId="180" quotePrefix="1" applyFont="1" applyBorder="1">
      <alignment vertical="center"/>
    </xf>
    <xf numFmtId="0" fontId="52" fillId="0" borderId="2" xfId="180" applyFont="1" applyBorder="1">
      <alignment vertical="center"/>
    </xf>
    <xf numFmtId="0" fontId="52" fillId="0" borderId="2" xfId="180" applyFont="1" applyBorder="1" applyAlignment="1">
      <alignment horizontal="center" vertical="center"/>
    </xf>
    <xf numFmtId="0" fontId="0" fillId="0" borderId="2" xfId="0" applyBorder="1">
      <alignment vertical="center"/>
    </xf>
    <xf numFmtId="0" fontId="64" fillId="0" borderId="2" xfId="180" applyFont="1" applyBorder="1">
      <alignment vertical="center"/>
    </xf>
    <xf numFmtId="0" fontId="52" fillId="0" borderId="2" xfId="0" applyFont="1" applyBorder="1" applyAlignment="1">
      <alignment vertical="center" wrapText="1"/>
    </xf>
    <xf numFmtId="0" fontId="89" fillId="10" borderId="16" xfId="46" applyFont="1" applyFill="1" applyBorder="1" applyAlignment="1">
      <alignment horizontal="centerContinuous"/>
    </xf>
    <xf numFmtId="0" fontId="89" fillId="10" borderId="9" xfId="46" applyFont="1" applyFill="1" applyBorder="1" applyAlignment="1">
      <alignment horizontal="centerContinuous"/>
    </xf>
    <xf numFmtId="0" fontId="90" fillId="14" borderId="0" xfId="0" applyFont="1" applyFill="1">
      <alignment vertical="center"/>
    </xf>
    <xf numFmtId="0" fontId="91" fillId="14" borderId="0" xfId="0" applyFont="1" applyFill="1">
      <alignment vertical="center"/>
    </xf>
    <xf numFmtId="0" fontId="89" fillId="10" borderId="6" xfId="49" applyFont="1" applyFill="1" applyBorder="1" applyAlignment="1">
      <alignment horizontal="right" vertical="center"/>
    </xf>
    <xf numFmtId="0" fontId="90" fillId="14" borderId="6" xfId="161" quotePrefix="1" applyFont="1" applyFill="1" applyBorder="1">
      <alignment vertical="center"/>
    </xf>
    <xf numFmtId="0" fontId="90" fillId="14" borderId="0" xfId="161" applyFont="1" applyFill="1">
      <alignment vertical="center"/>
    </xf>
    <xf numFmtId="0" fontId="90" fillId="14" borderId="11" xfId="161" applyFont="1" applyFill="1" applyBorder="1">
      <alignment vertical="center"/>
    </xf>
    <xf numFmtId="0" fontId="90" fillId="0" borderId="0" xfId="161" applyFont="1">
      <alignment vertical="center"/>
    </xf>
    <xf numFmtId="0" fontId="90" fillId="0" borderId="0" xfId="161" quotePrefix="1" applyFont="1">
      <alignment vertical="center"/>
    </xf>
    <xf numFmtId="0" fontId="90" fillId="0" borderId="0" xfId="161" applyFont="1" applyAlignment="1">
      <alignment horizontal="center" vertical="center"/>
    </xf>
    <xf numFmtId="0" fontId="90" fillId="0" borderId="0" xfId="0" applyFont="1">
      <alignment vertical="center"/>
    </xf>
    <xf numFmtId="0" fontId="88" fillId="14" borderId="6" xfId="161" quotePrefix="1" applyFont="1" applyFill="1" applyBorder="1">
      <alignment vertical="center"/>
    </xf>
    <xf numFmtId="0" fontId="92" fillId="14" borderId="0" xfId="0" applyFont="1" applyFill="1">
      <alignment vertical="center"/>
    </xf>
    <xf numFmtId="0" fontId="90" fillId="0" borderId="0" xfId="161" quotePrefix="1" applyFont="1" applyAlignment="1">
      <alignment horizontal="left" vertical="center"/>
    </xf>
    <xf numFmtId="0" fontId="90" fillId="0" borderId="0" xfId="161" applyFont="1" applyAlignment="1">
      <alignment horizontal="left" vertical="center"/>
    </xf>
    <xf numFmtId="0" fontId="89" fillId="10" borderId="16" xfId="46" applyFont="1" applyFill="1" applyBorder="1" applyAlignment="1">
      <alignment horizontal="center"/>
    </xf>
    <xf numFmtId="0" fontId="89" fillId="10" borderId="9" xfId="46" applyFont="1" applyFill="1" applyBorder="1" applyAlignment="1">
      <alignment horizontal="center"/>
    </xf>
    <xf numFmtId="0" fontId="90" fillId="14" borderId="0" xfId="0" applyFont="1" applyFill="1" applyAlignment="1">
      <alignment vertical="center" wrapText="1"/>
    </xf>
    <xf numFmtId="0" fontId="89" fillId="10" borderId="7" xfId="49" applyFont="1" applyFill="1" applyBorder="1" applyAlignment="1">
      <alignment horizontal="right" vertical="center"/>
    </xf>
    <xf numFmtId="0" fontId="91" fillId="14" borderId="0" xfId="0" applyFont="1" applyFill="1" applyAlignment="1">
      <alignment vertical="center" wrapText="1"/>
    </xf>
    <xf numFmtId="0" fontId="95" fillId="0" borderId="46" xfId="161" quotePrefix="1" applyFont="1" applyBorder="1">
      <alignment vertical="center"/>
    </xf>
    <xf numFmtId="0" fontId="89" fillId="0" borderId="46" xfId="161" applyFont="1" applyBorder="1">
      <alignment vertical="center"/>
    </xf>
    <xf numFmtId="0" fontId="90" fillId="0" borderId="46" xfId="161" applyFont="1" applyBorder="1">
      <alignment vertical="center"/>
    </xf>
    <xf numFmtId="0" fontId="90" fillId="0" borderId="46" xfId="161" quotePrefix="1" applyFont="1" applyBorder="1">
      <alignment vertical="center"/>
    </xf>
    <xf numFmtId="0" fontId="90" fillId="0" borderId="46" xfId="161" applyFont="1" applyBorder="1" applyAlignment="1">
      <alignment horizontal="center" vertical="center"/>
    </xf>
    <xf numFmtId="0" fontId="90" fillId="0" borderId="46" xfId="0" applyFont="1" applyBorder="1">
      <alignment vertical="center"/>
    </xf>
    <xf numFmtId="0" fontId="90" fillId="0" borderId="46" xfId="0" applyFont="1" applyBorder="1" applyAlignment="1">
      <alignment vertical="center" wrapText="1"/>
    </xf>
    <xf numFmtId="0" fontId="89" fillId="0" borderId="0" xfId="161" applyFont="1">
      <alignment vertical="center"/>
    </xf>
    <xf numFmtId="0" fontId="89" fillId="0" borderId="6" xfId="161" quotePrefix="1" applyFont="1" applyBorder="1">
      <alignment vertical="center"/>
    </xf>
    <xf numFmtId="0" fontId="94" fillId="0" borderId="0" xfId="0" applyFont="1">
      <alignment vertical="center"/>
    </xf>
    <xf numFmtId="0" fontId="89" fillId="0" borderId="0" xfId="161" quotePrefix="1" applyFont="1">
      <alignment vertical="center"/>
    </xf>
    <xf numFmtId="0" fontId="89" fillId="0" borderId="0" xfId="0" applyFont="1">
      <alignment vertical="center"/>
    </xf>
    <xf numFmtId="0" fontId="89" fillId="0" borderId="11" xfId="161" applyFont="1" applyBorder="1">
      <alignment vertical="center"/>
    </xf>
    <xf numFmtId="0" fontId="94" fillId="0" borderId="0" xfId="161" applyFont="1">
      <alignment vertical="center"/>
    </xf>
    <xf numFmtId="0" fontId="96" fillId="0" borderId="0" xfId="0" applyFont="1">
      <alignment vertical="center"/>
    </xf>
    <xf numFmtId="0" fontId="89" fillId="0" borderId="0" xfId="0" applyFont="1" applyAlignment="1">
      <alignment vertical="center" wrapText="1"/>
    </xf>
    <xf numFmtId="0" fontId="89" fillId="0" borderId="6" xfId="161" applyFont="1" applyBorder="1">
      <alignment vertical="center"/>
    </xf>
    <xf numFmtId="0" fontId="89" fillId="0" borderId="0" xfId="161" quotePrefix="1" applyFont="1" applyAlignment="1">
      <alignment horizontal="center" vertical="center"/>
    </xf>
    <xf numFmtId="0" fontId="93" fillId="0" borderId="0" xfId="0" applyFont="1">
      <alignment vertical="center"/>
    </xf>
    <xf numFmtId="0" fontId="89" fillId="0" borderId="0" xfId="0" applyFont="1" applyAlignment="1">
      <alignment horizontal="left" vertical="center"/>
    </xf>
    <xf numFmtId="0" fontId="89" fillId="0" borderId="14" xfId="161" applyFont="1" applyBorder="1">
      <alignment vertical="center"/>
    </xf>
    <xf numFmtId="0" fontId="97" fillId="14" borderId="0" xfId="0" applyFont="1" applyFill="1">
      <alignment vertical="center"/>
    </xf>
    <xf numFmtId="0" fontId="97" fillId="14" borderId="0" xfId="0" applyFont="1" applyFill="1" applyAlignment="1">
      <alignment horizontal="left" vertical="center"/>
    </xf>
    <xf numFmtId="0" fontId="97" fillId="19" borderId="0" xfId="0" applyFont="1" applyFill="1">
      <alignment vertical="center"/>
    </xf>
    <xf numFmtId="0" fontId="97" fillId="19" borderId="0" xfId="161" applyFont="1" applyFill="1">
      <alignment vertical="center"/>
    </xf>
    <xf numFmtId="0" fontId="97" fillId="19" borderId="0" xfId="161" applyFont="1" applyFill="1" applyAlignment="1">
      <alignment horizontal="center" vertical="center"/>
    </xf>
    <xf numFmtId="0" fontId="97" fillId="19" borderId="0" xfId="161" applyFont="1" applyFill="1" applyAlignment="1">
      <alignment horizontal="left" vertical="center"/>
    </xf>
    <xf numFmtId="0" fontId="89" fillId="19" borderId="6" xfId="161" quotePrefix="1" applyFont="1" applyFill="1" applyBorder="1">
      <alignment vertical="center"/>
    </xf>
    <xf numFmtId="0" fontId="93" fillId="19" borderId="0" xfId="0" applyFont="1" applyFill="1">
      <alignment vertical="center"/>
    </xf>
    <xf numFmtId="0" fontId="89" fillId="19" borderId="0" xfId="0" applyFont="1" applyFill="1">
      <alignment vertical="center"/>
    </xf>
    <xf numFmtId="0" fontId="97" fillId="19" borderId="0" xfId="0" applyFont="1" applyFill="1" applyAlignment="1">
      <alignment horizontal="center" vertical="center"/>
    </xf>
    <xf numFmtId="0" fontId="89" fillId="19" borderId="11" xfId="161" applyFont="1" applyFill="1" applyBorder="1">
      <alignment vertical="center"/>
    </xf>
    <xf numFmtId="0" fontId="89" fillId="19" borderId="0" xfId="161" quotePrefix="1" applyFont="1" applyFill="1">
      <alignment vertical="center"/>
    </xf>
    <xf numFmtId="0" fontId="73" fillId="14" borderId="0" xfId="0" applyFont="1" applyFill="1">
      <alignment vertical="center"/>
    </xf>
    <xf numFmtId="0" fontId="99" fillId="14" borderId="0" xfId="0" applyFont="1" applyFill="1">
      <alignment vertical="center"/>
    </xf>
    <xf numFmtId="0" fontId="93" fillId="28" borderId="0" xfId="0" applyFont="1" applyFill="1" applyAlignment="1">
      <alignment horizontal="left" vertical="center"/>
    </xf>
    <xf numFmtId="0" fontId="93" fillId="28" borderId="0" xfId="0" applyFont="1" applyFill="1">
      <alignment vertical="center"/>
    </xf>
    <xf numFmtId="0" fontId="93" fillId="14" borderId="0" xfId="0" applyFont="1" applyFill="1">
      <alignment vertical="center"/>
    </xf>
    <xf numFmtId="0" fontId="89" fillId="0" borderId="8" xfId="161" applyFont="1" applyBorder="1">
      <alignment vertical="center"/>
    </xf>
    <xf numFmtId="0" fontId="94" fillId="0" borderId="8" xfId="0" applyFont="1" applyBorder="1">
      <alignment vertical="center"/>
    </xf>
    <xf numFmtId="0" fontId="94" fillId="0" borderId="8" xfId="0" applyFont="1" applyBorder="1" applyAlignment="1">
      <alignment vertical="center" wrapText="1"/>
    </xf>
    <xf numFmtId="0" fontId="89" fillId="0" borderId="12" xfId="161" applyFont="1" applyBorder="1">
      <alignment vertical="center"/>
    </xf>
    <xf numFmtId="0" fontId="94" fillId="0" borderId="12" xfId="0" applyFont="1" applyBorder="1">
      <alignment vertical="center"/>
    </xf>
    <xf numFmtId="0" fontId="94" fillId="0" borderId="12" xfId="0" applyFont="1" applyBorder="1" applyAlignment="1">
      <alignment vertical="center" wrapText="1"/>
    </xf>
    <xf numFmtId="0" fontId="89" fillId="10" borderId="26" xfId="46" applyFont="1" applyFill="1" applyBorder="1" applyAlignment="1">
      <alignment horizontal="center"/>
    </xf>
    <xf numFmtId="0" fontId="89" fillId="10" borderId="18" xfId="46" applyFont="1" applyFill="1" applyBorder="1" applyAlignment="1">
      <alignment horizontal="center"/>
    </xf>
    <xf numFmtId="0" fontId="89" fillId="10" borderId="47" xfId="46" applyFont="1" applyFill="1" applyBorder="1" applyAlignment="1">
      <alignment horizontal="center"/>
    </xf>
    <xf numFmtId="0" fontId="94" fillId="0" borderId="0" xfId="45" applyFont="1">
      <alignment vertical="center"/>
    </xf>
    <xf numFmtId="0" fontId="94" fillId="28" borderId="0" xfId="186" applyFont="1" applyFill="1">
      <alignment vertical="center"/>
    </xf>
    <xf numFmtId="0" fontId="94" fillId="14" borderId="0" xfId="186" applyFont="1" applyFill="1">
      <alignment vertical="center"/>
    </xf>
    <xf numFmtId="0" fontId="94" fillId="0" borderId="0" xfId="186" applyFont="1">
      <alignment vertical="center"/>
    </xf>
    <xf numFmtId="0" fontId="89" fillId="28" borderId="0" xfId="186" applyFont="1" applyFill="1" applyProtection="1">
      <alignment vertical="center"/>
      <protection locked="0"/>
    </xf>
    <xf numFmtId="0" fontId="96" fillId="0" borderId="56" xfId="186" applyFont="1" applyBorder="1" applyAlignment="1">
      <alignment horizontal="left" vertical="center"/>
    </xf>
    <xf numFmtId="0" fontId="96" fillId="0" borderId="57" xfId="186" applyFont="1" applyBorder="1" applyAlignment="1">
      <alignment horizontal="left" vertical="center"/>
    </xf>
    <xf numFmtId="0" fontId="89" fillId="0" borderId="57" xfId="186" applyFont="1" applyBorder="1" applyAlignment="1">
      <alignment horizontal="left" vertical="center"/>
    </xf>
    <xf numFmtId="0" fontId="94" fillId="0" borderId="57" xfId="186" applyFont="1" applyBorder="1">
      <alignment vertical="center"/>
    </xf>
    <xf numFmtId="0" fontId="94" fillId="0" borderId="58" xfId="186" applyFont="1" applyBorder="1">
      <alignment vertical="center"/>
    </xf>
    <xf numFmtId="0" fontId="100" fillId="0" borderId="10" xfId="186" applyFont="1" applyBorder="1" applyProtection="1">
      <alignment vertical="center"/>
      <protection locked="0"/>
    </xf>
    <xf numFmtId="0" fontId="100" fillId="0" borderId="2" xfId="186" applyFont="1" applyBorder="1" applyProtection="1">
      <alignment vertical="center"/>
      <protection locked="0"/>
    </xf>
    <xf numFmtId="0" fontId="100" fillId="0" borderId="17" xfId="186" applyFont="1" applyBorder="1" applyProtection="1">
      <alignment vertical="center"/>
      <protection locked="0"/>
    </xf>
    <xf numFmtId="0" fontId="94" fillId="0" borderId="0" xfId="186" applyFont="1" applyProtection="1">
      <alignment vertical="center"/>
      <protection locked="0"/>
    </xf>
    <xf numFmtId="0" fontId="94" fillId="0" borderId="10" xfId="186" applyFont="1" applyBorder="1">
      <alignment vertical="center"/>
    </xf>
    <xf numFmtId="0" fontId="94" fillId="0" borderId="2" xfId="186" applyFont="1" applyBorder="1">
      <alignment vertical="center"/>
    </xf>
    <xf numFmtId="0" fontId="94" fillId="0" borderId="17" xfId="186" applyFont="1" applyBorder="1">
      <alignment vertical="center"/>
    </xf>
    <xf numFmtId="0" fontId="89" fillId="0" borderId="56" xfId="186" applyFont="1" applyBorder="1" applyAlignment="1">
      <alignment horizontal="left" vertical="center"/>
    </xf>
    <xf numFmtId="0" fontId="94" fillId="0" borderId="10" xfId="186" applyFont="1" applyBorder="1" applyProtection="1">
      <alignment vertical="center"/>
      <protection locked="0"/>
    </xf>
    <xf numFmtId="0" fontId="94" fillId="0" borderId="2" xfId="186" applyFont="1" applyBorder="1" applyProtection="1">
      <alignment vertical="center"/>
      <protection locked="0"/>
    </xf>
    <xf numFmtId="0" fontId="94" fillId="0" borderId="17" xfId="186" applyFont="1" applyBorder="1" applyProtection="1">
      <alignment vertical="center"/>
      <protection locked="0"/>
    </xf>
    <xf numFmtId="0" fontId="94" fillId="0" borderId="7" xfId="186" applyFont="1" applyBorder="1">
      <alignment vertical="center"/>
    </xf>
    <xf numFmtId="0" fontId="94" fillId="0" borderId="8" xfId="186" applyFont="1" applyBorder="1">
      <alignment vertical="center"/>
    </xf>
    <xf numFmtId="0" fontId="94" fillId="0" borderId="14" xfId="186" applyFont="1" applyBorder="1">
      <alignment vertical="center"/>
    </xf>
    <xf numFmtId="0" fontId="96" fillId="14" borderId="0" xfId="186" applyFont="1" applyFill="1">
      <alignment vertical="center"/>
    </xf>
    <xf numFmtId="0" fontId="102" fillId="14" borderId="0" xfId="186" applyFont="1" applyFill="1">
      <alignment vertical="center"/>
    </xf>
    <xf numFmtId="0" fontId="89" fillId="14" borderId="0" xfId="186" applyFont="1" applyFill="1" applyProtection="1">
      <alignment vertical="center"/>
      <protection locked="0"/>
    </xf>
    <xf numFmtId="0" fontId="94" fillId="14" borderId="0" xfId="186" applyFont="1" applyFill="1" applyAlignment="1">
      <alignment vertical="center" wrapText="1"/>
    </xf>
    <xf numFmtId="0" fontId="93" fillId="14" borderId="0" xfId="186" applyFont="1" applyFill="1" applyAlignment="1">
      <alignment vertical="center" wrapText="1"/>
    </xf>
    <xf numFmtId="0" fontId="89" fillId="14" borderId="0" xfId="186" applyFont="1" applyFill="1" applyAlignment="1">
      <alignment vertical="center" wrapText="1"/>
    </xf>
    <xf numFmtId="0" fontId="89" fillId="28" borderId="0" xfId="186" applyFont="1" applyFill="1">
      <alignment vertical="center"/>
    </xf>
    <xf numFmtId="0" fontId="107" fillId="0" borderId="46" xfId="161" quotePrefix="1" applyFont="1" applyBorder="1">
      <alignment vertical="center"/>
    </xf>
    <xf numFmtId="0" fontId="89" fillId="32" borderId="0" xfId="0" applyFont="1" applyFill="1">
      <alignment vertical="center"/>
    </xf>
    <xf numFmtId="0" fontId="97" fillId="32" borderId="0" xfId="0" applyFont="1" applyFill="1">
      <alignment vertical="center"/>
    </xf>
    <xf numFmtId="0" fontId="97" fillId="32" borderId="0" xfId="161" applyFont="1" applyFill="1">
      <alignment vertical="center"/>
    </xf>
    <xf numFmtId="0" fontId="89" fillId="32" borderId="0" xfId="161" applyFont="1" applyFill="1">
      <alignment vertical="center"/>
    </xf>
    <xf numFmtId="0" fontId="108" fillId="0" borderId="0" xfId="161" quotePrefix="1" applyFont="1">
      <alignment vertical="center"/>
    </xf>
    <xf numFmtId="0" fontId="19" fillId="0" borderId="0" xfId="48" applyFont="1" applyAlignment="1">
      <alignment horizontal="center" vertical="center" wrapText="1"/>
    </xf>
    <xf numFmtId="0" fontId="19" fillId="0" borderId="0" xfId="48" applyFont="1" applyAlignment="1">
      <alignment horizontal="center" vertical="center"/>
    </xf>
    <xf numFmtId="14" fontId="80" fillId="14" borderId="0" xfId="48" applyNumberFormat="1" applyFont="1" applyFill="1" applyAlignment="1">
      <alignment horizontal="center" vertical="center"/>
    </xf>
    <xf numFmtId="0" fontId="80" fillId="14" borderId="0" xfId="48" applyFont="1" applyFill="1" applyAlignment="1">
      <alignment horizontal="center" vertical="center"/>
    </xf>
    <xf numFmtId="0" fontId="15" fillId="0" borderId="3" xfId="48" applyFont="1" applyBorder="1" applyAlignment="1">
      <alignment horizontal="center"/>
    </xf>
    <xf numFmtId="0" fontId="15" fillId="14" borderId="0" xfId="48" applyFont="1" applyFill="1" applyAlignment="1">
      <alignment horizontal="center"/>
    </xf>
    <xf numFmtId="0" fontId="18" fillId="12" borderId="3" xfId="48" applyFont="1" applyFill="1" applyBorder="1" applyAlignment="1">
      <alignment horizontal="left" vertical="center"/>
    </xf>
    <xf numFmtId="0" fontId="19" fillId="0" borderId="3" xfId="48" applyFont="1" applyBorder="1" applyAlignment="1">
      <alignment horizontal="center" vertical="center"/>
    </xf>
    <xf numFmtId="0" fontId="19" fillId="0" borderId="3" xfId="48" applyFont="1" applyBorder="1" applyAlignment="1">
      <alignment horizontal="left" vertical="center"/>
    </xf>
    <xf numFmtId="14" fontId="19" fillId="0" borderId="3" xfId="48" applyNumberFormat="1" applyFont="1" applyBorder="1" applyAlignment="1">
      <alignment horizontal="center" vertical="center"/>
    </xf>
    <xf numFmtId="0" fontId="13" fillId="16" borderId="10" xfId="50" applyFill="1" applyBorder="1" applyAlignment="1">
      <alignment horizontal="center" vertical="center"/>
    </xf>
    <xf numFmtId="0" fontId="13" fillId="16" borderId="17" xfId="50" applyFill="1" applyBorder="1" applyAlignment="1">
      <alignment horizontal="center" vertical="center"/>
    </xf>
    <xf numFmtId="0" fontId="13" fillId="16" borderId="3" xfId="50" applyFill="1" applyBorder="1" applyAlignment="1">
      <alignment horizontal="left" vertical="center"/>
    </xf>
    <xf numFmtId="0" fontId="18" fillId="12" borderId="10" xfId="48" applyFont="1" applyFill="1" applyBorder="1" applyAlignment="1">
      <alignment horizontal="left" vertical="center"/>
    </xf>
    <xf numFmtId="0" fontId="18" fillId="12" borderId="2" xfId="48" applyFont="1" applyFill="1" applyBorder="1" applyAlignment="1">
      <alignment horizontal="left" vertical="center"/>
    </xf>
    <xf numFmtId="0" fontId="18" fillId="12" borderId="17" xfId="48" applyFont="1" applyFill="1" applyBorder="1" applyAlignment="1">
      <alignment horizontal="left" vertical="center"/>
    </xf>
    <xf numFmtId="0" fontId="48" fillId="15" borderId="24" xfId="48" applyFont="1" applyFill="1" applyBorder="1" applyAlignment="1">
      <alignment vertical="center"/>
    </xf>
    <xf numFmtId="0" fontId="18" fillId="12" borderId="3" xfId="48" applyFont="1" applyFill="1" applyBorder="1" applyAlignment="1">
      <alignment vertical="center"/>
    </xf>
    <xf numFmtId="0" fontId="20" fillId="0" borderId="10" xfId="48" applyFont="1" applyBorder="1" applyAlignment="1">
      <alignment vertical="center"/>
    </xf>
    <xf numFmtId="0" fontId="20" fillId="0" borderId="2" xfId="48" applyFont="1" applyBorder="1" applyAlignment="1">
      <alignment vertical="center"/>
    </xf>
    <xf numFmtId="0" fontId="20" fillId="0" borderId="17" xfId="48" applyFont="1" applyBorder="1" applyAlignment="1">
      <alignment vertical="center"/>
    </xf>
    <xf numFmtId="0" fontId="52" fillId="14" borderId="15" xfId="0" applyFont="1" applyFill="1" applyBorder="1" applyAlignment="1">
      <alignment vertical="center" wrapText="1"/>
    </xf>
    <xf numFmtId="0" fontId="52" fillId="14" borderId="12" xfId="0" applyFont="1" applyFill="1" applyBorder="1" applyAlignment="1">
      <alignment vertical="center" wrapText="1"/>
    </xf>
    <xf numFmtId="0" fontId="52" fillId="14" borderId="13" xfId="0" applyFont="1" applyFill="1" applyBorder="1" applyAlignment="1">
      <alignment vertical="center" wrapText="1"/>
    </xf>
    <xf numFmtId="0" fontId="52" fillId="14" borderId="7" xfId="0" applyFont="1" applyFill="1" applyBorder="1" applyAlignment="1">
      <alignment vertical="center" wrapText="1"/>
    </xf>
    <xf numFmtId="0" fontId="52" fillId="14" borderId="8" xfId="0" applyFont="1" applyFill="1" applyBorder="1" applyAlignment="1">
      <alignment vertical="center" wrapText="1"/>
    </xf>
    <xf numFmtId="0" fontId="52" fillId="14" borderId="14" xfId="0" applyFont="1" applyFill="1" applyBorder="1" applyAlignment="1">
      <alignment vertical="center" wrapText="1"/>
    </xf>
    <xf numFmtId="0" fontId="18" fillId="15" borderId="25" xfId="48" applyFont="1" applyFill="1" applyBorder="1" applyAlignment="1">
      <alignment vertical="center"/>
    </xf>
    <xf numFmtId="0" fontId="19" fillId="0" borderId="3" xfId="48" applyFont="1" applyBorder="1" applyAlignment="1">
      <alignment vertical="center"/>
    </xf>
    <xf numFmtId="0" fontId="52" fillId="14" borderId="3" xfId="0" applyFont="1" applyFill="1" applyBorder="1">
      <alignment vertical="center"/>
    </xf>
    <xf numFmtId="0" fontId="17" fillId="15" borderId="23" xfId="48" applyFont="1" applyFill="1" applyBorder="1" applyAlignment="1">
      <alignment vertical="center"/>
    </xf>
    <xf numFmtId="0" fontId="54" fillId="17" borderId="8" xfId="0" applyFont="1" applyFill="1" applyBorder="1" applyAlignment="1">
      <alignment horizontal="center" vertical="center"/>
    </xf>
    <xf numFmtId="0" fontId="52" fillId="14" borderId="3" xfId="0" applyFont="1" applyFill="1" applyBorder="1" applyAlignment="1">
      <alignment vertical="center" wrapText="1"/>
    </xf>
    <xf numFmtId="0" fontId="52" fillId="0" borderId="15" xfId="0" applyFont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3" xfId="0" applyFont="1" applyBorder="1">
      <alignment vertical="center"/>
    </xf>
    <xf numFmtId="0" fontId="52" fillId="0" borderId="3" xfId="0" applyFont="1" applyBorder="1" applyAlignment="1">
      <alignment vertical="center" wrapText="1"/>
    </xf>
    <xf numFmtId="0" fontId="52" fillId="0" borderId="23" xfId="0" applyFont="1" applyBorder="1">
      <alignment vertical="center"/>
    </xf>
    <xf numFmtId="0" fontId="52" fillId="0" borderId="10" xfId="0" applyFont="1" applyBorder="1" applyAlignment="1">
      <alignment vertical="center" wrapText="1"/>
    </xf>
    <xf numFmtId="0" fontId="52" fillId="0" borderId="2" xfId="0" applyFont="1" applyBorder="1">
      <alignment vertical="center"/>
    </xf>
    <xf numFmtId="0" fontId="52" fillId="0" borderId="17" xfId="0" applyFont="1" applyBorder="1">
      <alignment vertical="center"/>
    </xf>
    <xf numFmtId="0" fontId="0" fillId="0" borderId="3" xfId="0" applyBorder="1">
      <alignment vertical="center"/>
    </xf>
    <xf numFmtId="14" fontId="52" fillId="0" borderId="3" xfId="0" applyNumberFormat="1" applyFont="1" applyBorder="1" applyAlignment="1">
      <alignment horizontal="center" vertical="center"/>
    </xf>
    <xf numFmtId="14" fontId="19" fillId="0" borderId="3" xfId="50" applyNumberFormat="1" applyFont="1" applyBorder="1" applyAlignment="1">
      <alignment horizontal="center" vertical="center"/>
    </xf>
    <xf numFmtId="0" fontId="19" fillId="0" borderId="3" xfId="50" applyFont="1" applyBorder="1" applyAlignment="1">
      <alignment horizontal="center" vertical="center"/>
    </xf>
    <xf numFmtId="14" fontId="19" fillId="0" borderId="10" xfId="50" applyNumberFormat="1" applyFont="1" applyBorder="1" applyAlignment="1">
      <alignment horizontal="center" vertical="center"/>
    </xf>
    <xf numFmtId="14" fontId="19" fillId="0" borderId="2" xfId="50" applyNumberFormat="1" applyFont="1" applyBorder="1" applyAlignment="1">
      <alignment horizontal="center" vertical="center"/>
    </xf>
    <xf numFmtId="14" fontId="19" fillId="0" borderId="17" xfId="50" applyNumberFormat="1" applyFont="1" applyBorder="1" applyAlignment="1">
      <alignment horizontal="center" vertical="center"/>
    </xf>
    <xf numFmtId="14" fontId="52" fillId="0" borderId="23" xfId="0" applyNumberFormat="1" applyFont="1" applyBorder="1" applyAlignment="1">
      <alignment horizontal="center" vertical="center"/>
    </xf>
    <xf numFmtId="0" fontId="20" fillId="0" borderId="3" xfId="48" applyFont="1" applyBorder="1" applyAlignment="1">
      <alignment vertical="center"/>
    </xf>
    <xf numFmtId="0" fontId="95" fillId="0" borderId="46" xfId="161" quotePrefix="1" applyFont="1" applyBorder="1" applyAlignment="1">
      <alignment horizontal="center" vertical="center"/>
    </xf>
    <xf numFmtId="0" fontId="50" fillId="13" borderId="10" xfId="49" applyFont="1" applyFill="1" applyBorder="1" applyAlignment="1">
      <alignment horizontal="center" vertical="center"/>
    </xf>
    <xf numFmtId="0" fontId="50" fillId="13" borderId="2" xfId="49" applyFont="1" applyFill="1" applyBorder="1" applyAlignment="1">
      <alignment horizontal="center" vertical="center"/>
    </xf>
    <xf numFmtId="0" fontId="50" fillId="13" borderId="17" xfId="49" applyFont="1" applyFill="1" applyBorder="1" applyAlignment="1">
      <alignment horizontal="center" vertical="center"/>
    </xf>
    <xf numFmtId="0" fontId="19" fillId="10" borderId="10" xfId="46" applyFont="1" applyFill="1" applyBorder="1" applyAlignment="1">
      <alignment horizontal="center"/>
    </xf>
    <xf numFmtId="0" fontId="19" fillId="10" borderId="17" xfId="46" applyFont="1" applyFill="1" applyBorder="1" applyAlignment="1">
      <alignment horizontal="center"/>
    </xf>
    <xf numFmtId="183" fontId="97" fillId="19" borderId="0" xfId="161" quotePrefix="1" applyNumberFormat="1" applyFont="1" applyFill="1" applyAlignment="1">
      <alignment horizontal="right" vertical="center"/>
    </xf>
    <xf numFmtId="0" fontId="89" fillId="0" borderId="10" xfId="186" applyFont="1" applyBorder="1" applyAlignment="1">
      <alignment horizontal="center" vertical="center" shrinkToFit="1"/>
    </xf>
    <xf numFmtId="0" fontId="89" fillId="0" borderId="2" xfId="186" applyFont="1" applyBorder="1" applyAlignment="1">
      <alignment horizontal="center" vertical="center" shrinkToFit="1"/>
    </xf>
    <xf numFmtId="0" fontId="89" fillId="0" borderId="17" xfId="186" applyFont="1" applyBorder="1" applyAlignment="1">
      <alignment horizontal="center" vertical="center" shrinkToFit="1"/>
    </xf>
    <xf numFmtId="0" fontId="89" fillId="14" borderId="3" xfId="186" applyFont="1" applyFill="1" applyBorder="1" applyAlignment="1">
      <alignment horizontal="left" vertical="center" wrapText="1"/>
    </xf>
    <xf numFmtId="0" fontId="89" fillId="0" borderId="10" xfId="45" applyFont="1" applyBorder="1" applyAlignment="1">
      <alignment horizontal="center" vertical="center" wrapText="1"/>
    </xf>
    <xf numFmtId="0" fontId="89" fillId="0" borderId="17" xfId="45" applyFont="1" applyBorder="1" applyAlignment="1">
      <alignment horizontal="center" vertical="center" wrapText="1"/>
    </xf>
    <xf numFmtId="0" fontId="89" fillId="0" borderId="52" xfId="186" applyFont="1" applyBorder="1" applyAlignment="1" applyProtection="1">
      <alignment vertical="center" wrapText="1"/>
      <protection locked="0"/>
    </xf>
    <xf numFmtId="0" fontId="89" fillId="0" borderId="2" xfId="186" applyFont="1" applyBorder="1" applyAlignment="1" applyProtection="1">
      <alignment vertical="center" wrapText="1"/>
      <protection locked="0"/>
    </xf>
    <xf numFmtId="0" fontId="89" fillId="0" borderId="48" xfId="186" applyFont="1" applyBorder="1" applyAlignment="1" applyProtection="1">
      <alignment vertical="center" wrapText="1"/>
      <protection locked="0"/>
    </xf>
    <xf numFmtId="0" fontId="89" fillId="0" borderId="49" xfId="186" applyFont="1" applyBorder="1" applyAlignment="1" applyProtection="1">
      <alignment vertical="center" wrapText="1"/>
      <protection locked="0"/>
    </xf>
    <xf numFmtId="0" fontId="89" fillId="0" borderId="50" xfId="186" applyFont="1" applyBorder="1" applyAlignment="1" applyProtection="1">
      <alignment vertical="center" wrapText="1"/>
      <protection locked="0"/>
    </xf>
    <xf numFmtId="0" fontId="89" fillId="0" borderId="51" xfId="186" applyFont="1" applyBorder="1" applyAlignment="1" applyProtection="1">
      <alignment vertical="center" wrapText="1"/>
      <protection locked="0"/>
    </xf>
    <xf numFmtId="0" fontId="89" fillId="0" borderId="10" xfId="186" applyFont="1" applyBorder="1" applyAlignment="1">
      <alignment horizontal="center" vertical="center" wrapText="1"/>
    </xf>
    <xf numFmtId="0" fontId="89" fillId="0" borderId="2" xfId="186" applyFont="1" applyBorder="1" applyAlignment="1">
      <alignment horizontal="center" vertical="center" wrapText="1"/>
    </xf>
    <xf numFmtId="0" fontId="89" fillId="0" borderId="48" xfId="186" applyFont="1" applyBorder="1" applyAlignment="1">
      <alignment horizontal="center" vertical="center" wrapText="1"/>
    </xf>
    <xf numFmtId="0" fontId="89" fillId="0" borderId="52" xfId="186" applyFont="1" applyBorder="1" applyAlignment="1">
      <alignment horizontal="center" vertical="center" wrapText="1"/>
    </xf>
    <xf numFmtId="0" fontId="89" fillId="0" borderId="17" xfId="186" applyFont="1" applyBorder="1" applyAlignment="1">
      <alignment horizontal="center" vertical="center" wrapText="1"/>
    </xf>
    <xf numFmtId="0" fontId="89" fillId="0" borderId="56" xfId="186" applyFont="1" applyBorder="1" applyAlignment="1" applyProtection="1">
      <alignment vertical="center" wrapText="1"/>
      <protection locked="0"/>
    </xf>
    <xf numFmtId="0" fontId="89" fillId="0" borderId="57" xfId="186" applyFont="1" applyBorder="1" applyAlignment="1" applyProtection="1">
      <alignment vertical="center" wrapText="1"/>
      <protection locked="0"/>
    </xf>
    <xf numFmtId="0" fontId="89" fillId="0" borderId="58" xfId="186" applyFont="1" applyBorder="1" applyAlignment="1" applyProtection="1">
      <alignment vertical="center" wrapText="1"/>
      <protection locked="0"/>
    </xf>
    <xf numFmtId="0" fontId="89" fillId="0" borderId="10" xfId="186" applyFont="1" applyBorder="1" applyAlignment="1">
      <alignment horizontal="left" vertical="center" wrapText="1" shrinkToFit="1"/>
    </xf>
    <xf numFmtId="0" fontId="89" fillId="0" borderId="2" xfId="186" applyFont="1" applyBorder="1" applyAlignment="1">
      <alignment horizontal="left" vertical="center" wrapText="1" shrinkToFit="1"/>
    </xf>
    <xf numFmtId="0" fontId="89" fillId="0" borderId="17" xfId="186" applyFont="1" applyBorder="1" applyAlignment="1">
      <alignment horizontal="left" vertical="center" wrapText="1" shrinkToFit="1"/>
    </xf>
    <xf numFmtId="0" fontId="89" fillId="0" borderId="10" xfId="45" applyFont="1" applyBorder="1" applyAlignment="1">
      <alignment horizontal="center" vertical="center" shrinkToFit="1"/>
    </xf>
    <xf numFmtId="0" fontId="89" fillId="0" borderId="2" xfId="45" applyFont="1" applyBorder="1" applyAlignment="1">
      <alignment horizontal="center" vertical="center" shrinkToFit="1"/>
    </xf>
    <xf numFmtId="0" fontId="89" fillId="0" borderId="17" xfId="45" applyFont="1" applyBorder="1" applyAlignment="1">
      <alignment horizontal="center" vertical="center" shrinkToFit="1"/>
    </xf>
    <xf numFmtId="0" fontId="89" fillId="0" borderId="10" xfId="45" applyFont="1" applyBorder="1" applyAlignment="1">
      <alignment horizontal="left" vertical="center" wrapText="1"/>
    </xf>
    <xf numFmtId="0" fontId="89" fillId="0" borderId="2" xfId="45" applyFont="1" applyBorder="1" applyAlignment="1">
      <alignment horizontal="left" vertical="center" wrapText="1"/>
    </xf>
    <xf numFmtId="0" fontId="89" fillId="0" borderId="17" xfId="45" applyFont="1" applyBorder="1" applyAlignment="1">
      <alignment horizontal="left" vertical="center" wrapText="1"/>
    </xf>
    <xf numFmtId="0" fontId="89" fillId="0" borderId="53" xfId="45" applyFont="1" applyBorder="1" applyAlignment="1" applyProtection="1">
      <alignment vertical="center" wrapText="1"/>
      <protection locked="0"/>
    </xf>
    <xf numFmtId="0" fontId="89" fillId="0" borderId="54" xfId="45" applyFont="1" applyBorder="1" applyAlignment="1" applyProtection="1">
      <alignment vertical="center" wrapText="1"/>
      <protection locked="0"/>
    </xf>
    <xf numFmtId="0" fontId="89" fillId="0" borderId="55" xfId="45" applyFont="1" applyBorder="1" applyAlignment="1" applyProtection="1">
      <alignment vertical="center" wrapText="1"/>
      <protection locked="0"/>
    </xf>
    <xf numFmtId="0" fontId="89" fillId="0" borderId="52" xfId="45" applyFont="1" applyBorder="1" applyAlignment="1" applyProtection="1">
      <alignment horizontal="left" vertical="center" shrinkToFit="1"/>
      <protection locked="0"/>
    </xf>
    <xf numFmtId="0" fontId="89" fillId="0" borderId="2" xfId="45" applyFont="1" applyBorder="1" applyAlignment="1" applyProtection="1">
      <alignment horizontal="left" vertical="center" shrinkToFit="1"/>
      <protection locked="0"/>
    </xf>
    <xf numFmtId="0" fontId="89" fillId="0" borderId="48" xfId="45" applyFont="1" applyBorder="1" applyAlignment="1" applyProtection="1">
      <alignment horizontal="left" vertical="center" shrinkToFit="1"/>
      <protection locked="0"/>
    </xf>
    <xf numFmtId="0" fontId="89" fillId="0" borderId="17" xfId="45" applyFont="1" applyBorder="1" applyAlignment="1" applyProtection="1">
      <alignment horizontal="left" vertical="center" shrinkToFit="1"/>
      <protection locked="0"/>
    </xf>
    <xf numFmtId="0" fontId="89" fillId="0" borderId="2" xfId="45" applyFont="1" applyBorder="1" applyAlignment="1">
      <alignment horizontal="center" vertical="center" wrapText="1"/>
    </xf>
    <xf numFmtId="0" fontId="89" fillId="0" borderId="48" xfId="45" applyFont="1" applyBorder="1" applyAlignment="1">
      <alignment horizontal="center" vertical="center" wrapText="1"/>
    </xf>
    <xf numFmtId="0" fontId="89" fillId="0" borderId="52" xfId="45" applyFont="1" applyBorder="1" applyAlignment="1">
      <alignment horizontal="center" vertical="center" wrapText="1"/>
    </xf>
    <xf numFmtId="0" fontId="96" fillId="30" borderId="3" xfId="186" applyFont="1" applyFill="1" applyBorder="1" applyAlignment="1">
      <alignment horizontal="center" vertical="center"/>
    </xf>
    <xf numFmtId="0" fontId="102" fillId="29" borderId="15" xfId="186" applyFont="1" applyFill="1" applyBorder="1" applyAlignment="1">
      <alignment horizontal="center" vertical="center" wrapText="1"/>
    </xf>
    <xf numFmtId="0" fontId="102" fillId="29" borderId="13" xfId="186" applyFont="1" applyFill="1" applyBorder="1" applyAlignment="1">
      <alignment horizontal="center" vertical="center" wrapText="1"/>
    </xf>
    <xf numFmtId="0" fontId="102" fillId="29" borderId="7" xfId="186" applyFont="1" applyFill="1" applyBorder="1" applyAlignment="1">
      <alignment horizontal="center" vertical="center" wrapText="1"/>
    </xf>
    <xf numFmtId="0" fontId="102" fillId="29" borderId="14" xfId="186" applyFont="1" applyFill="1" applyBorder="1" applyAlignment="1">
      <alignment horizontal="center" vertical="center" wrapText="1"/>
    </xf>
    <xf numFmtId="0" fontId="96" fillId="29" borderId="15" xfId="186" applyFont="1" applyFill="1" applyBorder="1" applyAlignment="1" applyProtection="1">
      <alignment horizontal="center" vertical="center" wrapText="1"/>
      <protection locked="0"/>
    </xf>
    <xf numFmtId="0" fontId="96" fillId="29" borderId="12" xfId="186" applyFont="1" applyFill="1" applyBorder="1" applyAlignment="1" applyProtection="1">
      <alignment horizontal="center" vertical="center" wrapText="1"/>
      <protection locked="0"/>
    </xf>
    <xf numFmtId="0" fontId="96" fillId="29" borderId="7" xfId="186" applyFont="1" applyFill="1" applyBorder="1" applyAlignment="1" applyProtection="1">
      <alignment horizontal="center" vertical="center" wrapText="1"/>
      <protection locked="0"/>
    </xf>
    <xf numFmtId="0" fontId="96" fillId="29" borderId="8" xfId="186" applyFont="1" applyFill="1" applyBorder="1" applyAlignment="1" applyProtection="1">
      <alignment horizontal="center" vertical="center" wrapText="1"/>
      <protection locked="0"/>
    </xf>
    <xf numFmtId="0" fontId="96" fillId="29" borderId="15" xfId="186" applyFont="1" applyFill="1" applyBorder="1" applyAlignment="1">
      <alignment horizontal="center" vertical="center" wrapText="1"/>
    </xf>
    <xf numFmtId="0" fontId="96" fillId="29" borderId="12" xfId="186" applyFont="1" applyFill="1" applyBorder="1" applyAlignment="1">
      <alignment horizontal="center" vertical="center" wrapText="1"/>
    </xf>
    <xf numFmtId="0" fontId="96" fillId="29" borderId="13" xfId="186" applyFont="1" applyFill="1" applyBorder="1" applyAlignment="1">
      <alignment horizontal="center" vertical="center" wrapText="1"/>
    </xf>
    <xf numFmtId="0" fontId="96" fillId="29" borderId="7" xfId="186" applyFont="1" applyFill="1" applyBorder="1" applyAlignment="1">
      <alignment horizontal="center" vertical="center" wrapText="1"/>
    </xf>
    <xf numFmtId="0" fontId="96" fillId="29" borderId="8" xfId="186" applyFont="1" applyFill="1" applyBorder="1" applyAlignment="1">
      <alignment horizontal="center" vertical="center" wrapText="1"/>
    </xf>
    <xf numFmtId="0" fontId="96" fillId="29" borderId="14" xfId="186" applyFont="1" applyFill="1" applyBorder="1" applyAlignment="1">
      <alignment horizontal="center" vertical="center" wrapText="1"/>
    </xf>
    <xf numFmtId="0" fontId="102" fillId="29" borderId="12" xfId="186" applyFont="1" applyFill="1" applyBorder="1" applyAlignment="1">
      <alignment horizontal="center" vertical="center" wrapText="1"/>
    </xf>
    <xf numFmtId="0" fontId="102" fillId="29" borderId="8" xfId="186" applyFont="1" applyFill="1" applyBorder="1" applyAlignment="1">
      <alignment horizontal="center" vertical="center" wrapText="1"/>
    </xf>
    <xf numFmtId="0" fontId="89" fillId="0" borderId="10" xfId="186" applyFont="1" applyBorder="1" applyAlignment="1">
      <alignment horizontal="left" vertical="center" wrapText="1"/>
    </xf>
    <xf numFmtId="0" fontId="89" fillId="0" borderId="2" xfId="186" applyFont="1" applyBorder="1" applyAlignment="1">
      <alignment horizontal="left" vertical="center" wrapText="1"/>
    </xf>
    <xf numFmtId="0" fontId="89" fillId="0" borderId="17" xfId="186" applyFont="1" applyBorder="1" applyAlignment="1">
      <alignment horizontal="left" vertical="center" wrapText="1"/>
    </xf>
    <xf numFmtId="0" fontId="89" fillId="0" borderId="52" xfId="45" applyFont="1" applyBorder="1" applyAlignment="1" applyProtection="1">
      <alignment horizontal="center" vertical="center" wrapText="1"/>
      <protection locked="0"/>
    </xf>
    <xf numFmtId="0" fontId="89" fillId="0" borderId="48" xfId="45" applyFont="1" applyBorder="1" applyAlignment="1" applyProtection="1">
      <alignment horizontal="center" vertical="center" wrapText="1"/>
      <protection locked="0"/>
    </xf>
    <xf numFmtId="0" fontId="89" fillId="0" borderId="52" xfId="186" applyFont="1" applyBorder="1" applyAlignment="1">
      <alignment vertical="center" wrapText="1"/>
    </xf>
    <xf numFmtId="0" fontId="89" fillId="0" borderId="2" xfId="186" applyFont="1" applyBorder="1" applyAlignment="1">
      <alignment vertical="center" wrapText="1"/>
    </xf>
    <xf numFmtId="0" fontId="89" fillId="0" borderId="48" xfId="186" applyFont="1" applyBorder="1" applyAlignment="1">
      <alignment vertical="center" wrapText="1"/>
    </xf>
    <xf numFmtId="0" fontId="89" fillId="0" borderId="52" xfId="186" applyFont="1" applyBorder="1" applyAlignment="1">
      <alignment horizontal="left" vertical="center" wrapText="1"/>
    </xf>
    <xf numFmtId="0" fontId="89" fillId="0" borderId="48" xfId="186" applyFont="1" applyBorder="1" applyAlignment="1">
      <alignment horizontal="left" vertical="center" wrapText="1"/>
    </xf>
    <xf numFmtId="49" fontId="89" fillId="0" borderId="10" xfId="45" applyNumberFormat="1" applyFont="1" applyBorder="1" applyAlignment="1">
      <alignment horizontal="left" vertical="center" wrapText="1"/>
    </xf>
    <xf numFmtId="49" fontId="89" fillId="0" borderId="48" xfId="45" applyNumberFormat="1" applyFont="1" applyBorder="1" applyAlignment="1">
      <alignment horizontal="left" vertical="center" wrapText="1"/>
    </xf>
    <xf numFmtId="0" fontId="89" fillId="0" borderId="53" xfId="45" applyFont="1" applyBorder="1" applyAlignment="1">
      <alignment horizontal="center" vertical="center"/>
    </xf>
    <xf numFmtId="0" fontId="89" fillId="0" borderId="54" xfId="45" applyFont="1" applyBorder="1" applyAlignment="1">
      <alignment horizontal="center" vertical="center"/>
    </xf>
    <xf numFmtId="0" fontId="89" fillId="0" borderId="55" xfId="45" applyFont="1" applyBorder="1" applyAlignment="1">
      <alignment horizontal="center" vertical="center"/>
    </xf>
    <xf numFmtId="0" fontId="89" fillId="0" borderId="53" xfId="186" applyFont="1" applyBorder="1" applyAlignment="1" applyProtection="1">
      <alignment vertical="center" wrapText="1"/>
      <protection locked="0"/>
    </xf>
    <xf numFmtId="0" fontId="89" fillId="0" borderId="54" xfId="186" applyFont="1" applyBorder="1" applyAlignment="1" applyProtection="1">
      <alignment vertical="center" wrapText="1"/>
      <protection locked="0"/>
    </xf>
    <xf numFmtId="0" fontId="89" fillId="0" borderId="55" xfId="186" applyFont="1" applyBorder="1" applyAlignment="1" applyProtection="1">
      <alignment vertical="center" wrapText="1"/>
      <protection locked="0"/>
    </xf>
    <xf numFmtId="0" fontId="89" fillId="0" borderId="52" xfId="45" applyFont="1" applyBorder="1" applyAlignment="1" applyProtection="1">
      <alignment vertical="center" wrapText="1"/>
      <protection locked="0"/>
    </xf>
    <xf numFmtId="0" fontId="89" fillId="0" borderId="2" xfId="45" applyFont="1" applyBorder="1" applyAlignment="1" applyProtection="1">
      <alignment vertical="center" wrapText="1"/>
      <protection locked="0"/>
    </xf>
    <xf numFmtId="0" fontId="89" fillId="0" borderId="52" xfId="186" applyFont="1" applyBorder="1" applyAlignment="1" applyProtection="1">
      <alignment horizontal="center" vertical="center" wrapText="1"/>
      <protection locked="0"/>
    </xf>
    <xf numFmtId="0" fontId="89" fillId="0" borderId="2" xfId="186" applyFont="1" applyBorder="1" applyAlignment="1" applyProtection="1">
      <alignment horizontal="center" vertical="center" wrapText="1"/>
      <protection locked="0"/>
    </xf>
    <xf numFmtId="0" fontId="89" fillId="0" borderId="48" xfId="186" applyFont="1" applyBorder="1" applyAlignment="1" applyProtection="1">
      <alignment horizontal="center" vertical="center" wrapText="1"/>
      <protection locked="0"/>
    </xf>
    <xf numFmtId="0" fontId="89" fillId="0" borderId="52" xfId="186" applyFont="1" applyBorder="1" applyAlignment="1" applyProtection="1">
      <alignment horizontal="left" vertical="center" wrapText="1"/>
      <protection locked="0"/>
    </xf>
    <xf numFmtId="0" fontId="89" fillId="0" borderId="2" xfId="186" applyFont="1" applyBorder="1" applyAlignment="1" applyProtection="1">
      <alignment horizontal="left" vertical="center" wrapText="1"/>
      <protection locked="0"/>
    </xf>
    <xf numFmtId="0" fontId="89" fillId="0" borderId="48" xfId="186" applyFont="1" applyBorder="1" applyAlignment="1" applyProtection="1">
      <alignment horizontal="left" vertical="center" wrapText="1"/>
      <protection locked="0"/>
    </xf>
    <xf numFmtId="0" fontId="89" fillId="0" borderId="10" xfId="186" applyFont="1" applyBorder="1" applyAlignment="1" applyProtection="1">
      <alignment horizontal="left" vertical="center" wrapText="1"/>
      <protection locked="0"/>
    </xf>
    <xf numFmtId="0" fontId="89" fillId="0" borderId="17" xfId="186" applyFont="1" applyBorder="1" applyAlignment="1" applyProtection="1">
      <alignment horizontal="left" vertical="center" wrapText="1"/>
      <protection locked="0"/>
    </xf>
    <xf numFmtId="0" fontId="89" fillId="0" borderId="52" xfId="45" applyFont="1" applyBorder="1" applyAlignment="1">
      <alignment vertical="center" wrapText="1"/>
    </xf>
    <xf numFmtId="0" fontId="89" fillId="0" borderId="2" xfId="45" applyFont="1" applyBorder="1" applyAlignment="1">
      <alignment vertical="center" wrapText="1"/>
    </xf>
    <xf numFmtId="0" fontId="89" fillId="0" borderId="48" xfId="45" applyFont="1" applyBorder="1" applyAlignment="1">
      <alignment vertical="center" wrapText="1"/>
    </xf>
    <xf numFmtId="0" fontId="89" fillId="0" borderId="56" xfId="45" applyFont="1" applyBorder="1" applyAlignment="1" applyProtection="1">
      <alignment vertical="center" wrapText="1"/>
      <protection locked="0"/>
    </xf>
    <xf numFmtId="0" fontId="89" fillId="0" borderId="57" xfId="45" applyFont="1" applyBorder="1" applyAlignment="1" applyProtection="1">
      <alignment vertical="center" wrapText="1"/>
      <protection locked="0"/>
    </xf>
    <xf numFmtId="0" fontId="89" fillId="0" borderId="59" xfId="45" applyFont="1" applyBorder="1" applyAlignment="1" applyProtection="1">
      <alignment vertical="center" wrapText="1"/>
      <protection locked="0"/>
    </xf>
    <xf numFmtId="0" fontId="89" fillId="0" borderId="3" xfId="45" applyFont="1" applyBorder="1" applyAlignment="1" applyProtection="1">
      <alignment horizontal="left" vertical="center" wrapText="1"/>
      <protection locked="0"/>
    </xf>
    <xf numFmtId="0" fontId="89" fillId="0" borderId="58" xfId="45" applyFont="1" applyBorder="1" applyAlignment="1" applyProtection="1">
      <alignment vertical="center" wrapText="1"/>
      <protection locked="0"/>
    </xf>
    <xf numFmtId="0" fontId="96" fillId="31" borderId="3" xfId="186" applyFont="1" applyFill="1" applyBorder="1" applyAlignment="1" applyProtection="1">
      <alignment horizontal="center" vertical="center" wrapText="1"/>
      <protection locked="0"/>
    </xf>
    <xf numFmtId="0" fontId="96" fillId="29" borderId="3" xfId="186" applyFont="1" applyFill="1" applyBorder="1" applyAlignment="1">
      <alignment horizontal="center" vertical="center" wrapText="1"/>
    </xf>
    <xf numFmtId="0" fontId="96" fillId="29" borderId="3" xfId="186" applyFont="1" applyFill="1" applyBorder="1" applyAlignment="1">
      <alignment horizontal="center" vertical="center"/>
    </xf>
    <xf numFmtId="0" fontId="96" fillId="30" borderId="23" xfId="186" applyFont="1" applyFill="1" applyBorder="1" applyAlignment="1">
      <alignment horizontal="center" vertical="center"/>
    </xf>
    <xf numFmtId="0" fontId="96" fillId="31" borderId="3" xfId="186" applyFont="1" applyFill="1" applyBorder="1" applyAlignment="1">
      <alignment horizontal="center" vertical="center"/>
    </xf>
    <xf numFmtId="0" fontId="89" fillId="31" borderId="3" xfId="186" applyFont="1" applyFill="1" applyBorder="1" applyAlignment="1">
      <alignment horizontal="center" vertical="center"/>
    </xf>
    <xf numFmtId="0" fontId="96" fillId="29" borderId="15" xfId="186" applyFont="1" applyFill="1" applyBorder="1" applyAlignment="1">
      <alignment horizontal="center" vertical="center"/>
    </xf>
    <xf numFmtId="0" fontId="96" fillId="29" borderId="13" xfId="186" applyFont="1" applyFill="1" applyBorder="1" applyAlignment="1">
      <alignment horizontal="center" vertical="center"/>
    </xf>
    <xf numFmtId="0" fontId="96" fillId="29" borderId="7" xfId="186" applyFont="1" applyFill="1" applyBorder="1" applyAlignment="1">
      <alignment horizontal="center" vertical="center"/>
    </xf>
    <xf numFmtId="0" fontId="96" fillId="29" borderId="14" xfId="186" applyFont="1" applyFill="1" applyBorder="1" applyAlignment="1">
      <alignment horizontal="center" vertical="center"/>
    </xf>
    <xf numFmtId="0" fontId="89" fillId="0" borderId="3" xfId="186" applyFont="1" applyBorder="1" applyAlignment="1">
      <alignment vertical="center" shrinkToFit="1"/>
    </xf>
    <xf numFmtId="0" fontId="89" fillId="0" borderId="3" xfId="186" applyFont="1" applyBorder="1" applyAlignment="1" applyProtection="1">
      <alignment vertical="center" shrinkToFit="1"/>
      <protection locked="0"/>
    </xf>
    <xf numFmtId="0" fontId="96" fillId="0" borderId="3" xfId="186" applyFont="1" applyBorder="1" applyAlignment="1">
      <alignment horizontal="center" vertical="center" shrinkToFit="1"/>
    </xf>
    <xf numFmtId="0" fontId="96" fillId="0" borderId="3" xfId="186" applyFont="1" applyBorder="1" applyAlignment="1" applyProtection="1">
      <alignment horizontal="center" vertical="center" shrinkToFit="1"/>
      <protection locked="0"/>
    </xf>
    <xf numFmtId="0" fontId="89" fillId="0" borderId="10" xfId="45" applyFont="1" applyBorder="1" applyAlignment="1">
      <alignment horizontal="left" vertical="center" shrinkToFit="1"/>
    </xf>
    <xf numFmtId="0" fontId="89" fillId="0" borderId="48" xfId="45" applyFont="1" applyBorder="1" applyAlignment="1">
      <alignment horizontal="left" vertical="center" shrinkToFit="1"/>
    </xf>
    <xf numFmtId="0" fontId="89" fillId="0" borderId="56" xfId="45" applyFont="1" applyBorder="1" applyAlignment="1" applyProtection="1">
      <alignment vertical="top" wrapText="1"/>
      <protection locked="0"/>
    </xf>
    <xf numFmtId="0" fontId="89" fillId="0" borderId="57" xfId="45" applyFont="1" applyBorder="1" applyAlignment="1" applyProtection="1">
      <alignment vertical="top" wrapText="1"/>
      <protection locked="0"/>
    </xf>
    <xf numFmtId="0" fontId="89" fillId="0" borderId="59" xfId="45" applyFont="1" applyBorder="1" applyAlignment="1" applyProtection="1">
      <alignment vertical="top" wrapText="1"/>
      <protection locked="0"/>
    </xf>
    <xf numFmtId="0" fontId="89" fillId="0" borderId="56" xfId="186" applyFont="1" applyBorder="1" applyAlignment="1" applyProtection="1">
      <alignment vertical="top" wrapText="1"/>
      <protection locked="0"/>
    </xf>
    <xf numFmtId="0" fontId="89" fillId="0" borderId="57" xfId="186" applyFont="1" applyBorder="1" applyAlignment="1" applyProtection="1">
      <alignment vertical="top" wrapText="1"/>
      <protection locked="0"/>
    </xf>
    <xf numFmtId="0" fontId="89" fillId="0" borderId="58" xfId="186" applyFont="1" applyBorder="1" applyAlignment="1" applyProtection="1">
      <alignment vertical="top" wrapText="1"/>
      <protection locked="0"/>
    </xf>
    <xf numFmtId="0" fontId="89" fillId="0" borderId="49" xfId="186" applyFont="1" applyBorder="1" applyAlignment="1" applyProtection="1">
      <alignment vertical="top" wrapText="1"/>
      <protection locked="0"/>
    </xf>
    <xf numFmtId="0" fontId="89" fillId="0" borderId="50" xfId="186" applyFont="1" applyBorder="1" applyAlignment="1" applyProtection="1">
      <alignment vertical="top" wrapText="1"/>
      <protection locked="0"/>
    </xf>
    <xf numFmtId="0" fontId="89" fillId="0" borderId="51" xfId="186" applyFont="1" applyBorder="1" applyAlignment="1" applyProtection="1">
      <alignment vertical="top" wrapText="1"/>
      <protection locked="0"/>
    </xf>
    <xf numFmtId="0" fontId="89" fillId="0" borderId="3" xfId="45" applyFont="1" applyBorder="1" applyAlignment="1" applyProtection="1">
      <alignment horizontal="left" vertical="top" wrapText="1"/>
      <protection locked="0"/>
    </xf>
    <xf numFmtId="0" fontId="89" fillId="0" borderId="52" xfId="186" applyFont="1" applyBorder="1" applyAlignment="1" applyProtection="1">
      <alignment vertical="top" wrapText="1"/>
      <protection locked="0"/>
    </xf>
    <xf numFmtId="0" fontId="89" fillId="0" borderId="2" xfId="186" applyFont="1" applyBorder="1" applyAlignment="1" applyProtection="1">
      <alignment vertical="top" wrapText="1"/>
      <protection locked="0"/>
    </xf>
    <xf numFmtId="0" fontId="89" fillId="0" borderId="48" xfId="186" applyFont="1" applyBorder="1" applyAlignment="1" applyProtection="1">
      <alignment vertical="top" wrapText="1"/>
      <protection locked="0"/>
    </xf>
    <xf numFmtId="0" fontId="89" fillId="0" borderId="3" xfId="186" applyFont="1" applyBorder="1" applyAlignment="1">
      <alignment horizontal="center" vertical="center" wrapText="1"/>
    </xf>
    <xf numFmtId="0" fontId="96" fillId="29" borderId="10" xfId="186" applyFont="1" applyFill="1" applyBorder="1" applyAlignment="1">
      <alignment horizontal="center" vertical="center"/>
    </xf>
    <xf numFmtId="0" fontId="96" fillId="29" borderId="2" xfId="186" applyFont="1" applyFill="1" applyBorder="1" applyAlignment="1">
      <alignment horizontal="center" vertical="center"/>
    </xf>
    <xf numFmtId="0" fontId="96" fillId="29" borderId="17" xfId="186" applyFont="1" applyFill="1" applyBorder="1" applyAlignment="1">
      <alignment horizontal="center" vertical="center"/>
    </xf>
    <xf numFmtId="180" fontId="60" fillId="0" borderId="10" xfId="161" quotePrefix="1" applyNumberFormat="1" applyFont="1" applyBorder="1" applyAlignment="1">
      <alignment horizontal="right" vertical="center"/>
    </xf>
    <xf numFmtId="180" fontId="60" fillId="0" borderId="2" xfId="161" quotePrefix="1" applyNumberFormat="1" applyFont="1" applyBorder="1" applyAlignment="1">
      <alignment horizontal="right" vertical="center"/>
    </xf>
    <xf numFmtId="180" fontId="60" fillId="0" borderId="17" xfId="161" quotePrefix="1" applyNumberFormat="1" applyFont="1" applyBorder="1" applyAlignment="1">
      <alignment horizontal="right" vertical="center"/>
    </xf>
    <xf numFmtId="184" fontId="60" fillId="0" borderId="10" xfId="161" quotePrefix="1" applyNumberFormat="1" applyFont="1" applyBorder="1" applyAlignment="1">
      <alignment horizontal="right" vertical="center"/>
    </xf>
    <xf numFmtId="184" fontId="60" fillId="0" borderId="2" xfId="161" quotePrefix="1" applyNumberFormat="1" applyFont="1" applyBorder="1" applyAlignment="1">
      <alignment horizontal="right" vertical="center"/>
    </xf>
    <xf numFmtId="184" fontId="60" fillId="0" borderId="17" xfId="161" quotePrefix="1" applyNumberFormat="1" applyFont="1" applyBorder="1" applyAlignment="1">
      <alignment horizontal="right" vertical="center"/>
    </xf>
    <xf numFmtId="10" fontId="60" fillId="0" borderId="10" xfId="161" quotePrefix="1" applyNumberFormat="1" applyFont="1" applyBorder="1" applyAlignment="1">
      <alignment horizontal="right" vertical="center"/>
    </xf>
    <xf numFmtId="10" fontId="60" fillId="0" borderId="2" xfId="161" quotePrefix="1" applyNumberFormat="1" applyFont="1" applyBorder="1" applyAlignment="1">
      <alignment horizontal="right" vertical="center"/>
    </xf>
    <xf numFmtId="10" fontId="60" fillId="0" borderId="17" xfId="161" quotePrefix="1" applyNumberFormat="1" applyFont="1" applyBorder="1" applyAlignment="1">
      <alignment horizontal="right" vertical="center"/>
    </xf>
    <xf numFmtId="0" fontId="60" fillId="0" borderId="10" xfId="161" quotePrefix="1" applyFont="1" applyBorder="1" applyAlignment="1">
      <alignment horizontal="right" vertical="center"/>
    </xf>
    <xf numFmtId="0" fontId="60" fillId="0" borderId="2" xfId="161" quotePrefix="1" applyFont="1" applyBorder="1" applyAlignment="1">
      <alignment horizontal="right" vertical="center"/>
    </xf>
    <xf numFmtId="0" fontId="60" fillId="0" borderId="17" xfId="161" quotePrefix="1" applyFont="1" applyBorder="1" applyAlignment="1">
      <alignment horizontal="right" vertical="center"/>
    </xf>
    <xf numFmtId="185" fontId="60" fillId="0" borderId="10" xfId="161" quotePrefix="1" applyNumberFormat="1" applyFont="1" applyBorder="1" applyAlignment="1">
      <alignment horizontal="right" vertical="center"/>
    </xf>
    <xf numFmtId="185" fontId="60" fillId="0" borderId="2" xfId="161" quotePrefix="1" applyNumberFormat="1" applyFont="1" applyBorder="1" applyAlignment="1">
      <alignment horizontal="right" vertical="center"/>
    </xf>
    <xf numFmtId="185" fontId="60" fillId="0" borderId="17" xfId="161" quotePrefix="1" applyNumberFormat="1" applyFont="1" applyBorder="1" applyAlignment="1">
      <alignment horizontal="right" vertical="center"/>
    </xf>
    <xf numFmtId="179" fontId="60" fillId="0" borderId="10" xfId="161" quotePrefix="1" applyNumberFormat="1" applyFont="1" applyBorder="1" applyAlignment="1">
      <alignment horizontal="right" vertical="center"/>
    </xf>
    <xf numFmtId="179" fontId="60" fillId="0" borderId="2" xfId="161" quotePrefix="1" applyNumberFormat="1" applyFont="1" applyBorder="1" applyAlignment="1">
      <alignment horizontal="right" vertical="center"/>
    </xf>
    <xf numFmtId="179" fontId="60" fillId="0" borderId="17" xfId="161" quotePrefix="1" applyNumberFormat="1" applyFont="1" applyBorder="1" applyAlignment="1">
      <alignment horizontal="right" vertical="center"/>
    </xf>
    <xf numFmtId="182" fontId="60" fillId="0" borderId="10" xfId="161" quotePrefix="1" applyNumberFormat="1" applyFont="1" applyBorder="1" applyAlignment="1">
      <alignment horizontal="right" vertical="center"/>
    </xf>
    <xf numFmtId="182" fontId="60" fillId="0" borderId="2" xfId="161" quotePrefix="1" applyNumberFormat="1" applyFont="1" applyBorder="1" applyAlignment="1">
      <alignment horizontal="right" vertical="center"/>
    </xf>
    <xf numFmtId="182" fontId="60" fillId="0" borderId="17" xfId="161" quotePrefix="1" applyNumberFormat="1" applyFont="1" applyBorder="1" applyAlignment="1">
      <alignment horizontal="right" vertical="center"/>
    </xf>
    <xf numFmtId="182" fontId="60" fillId="0" borderId="10" xfId="161" applyNumberFormat="1" applyFont="1" applyBorder="1" applyAlignment="1">
      <alignment horizontal="center" vertical="center"/>
    </xf>
    <xf numFmtId="182" fontId="60" fillId="0" borderId="2" xfId="161" applyNumberFormat="1" applyFont="1" applyBorder="1" applyAlignment="1">
      <alignment horizontal="center" vertical="center"/>
    </xf>
    <xf numFmtId="182" fontId="60" fillId="0" borderId="17" xfId="161" applyNumberFormat="1" applyFont="1" applyBorder="1" applyAlignment="1">
      <alignment horizontal="center" vertical="center"/>
    </xf>
    <xf numFmtId="185" fontId="60" fillId="0" borderId="10" xfId="161" quotePrefix="1" applyNumberFormat="1" applyFont="1" applyBorder="1" applyAlignment="1">
      <alignment horizontal="right" vertical="center" indent="1"/>
    </xf>
    <xf numFmtId="185" fontId="60" fillId="0" borderId="2" xfId="161" quotePrefix="1" applyNumberFormat="1" applyFont="1" applyBorder="1" applyAlignment="1">
      <alignment horizontal="right" vertical="center" indent="1"/>
    </xf>
    <xf numFmtId="185" fontId="60" fillId="0" borderId="17" xfId="161" quotePrefix="1" applyNumberFormat="1" applyFont="1" applyBorder="1" applyAlignment="1">
      <alignment horizontal="right" vertical="center" indent="1"/>
    </xf>
    <xf numFmtId="10" fontId="0" fillId="14" borderId="0" xfId="0" applyNumberFormat="1" applyFill="1" applyAlignment="1">
      <alignment horizontal="center" vertical="center"/>
    </xf>
    <xf numFmtId="180" fontId="60" fillId="0" borderId="10" xfId="161" quotePrefix="1" applyNumberFormat="1" applyFont="1" applyBorder="1" applyAlignment="1">
      <alignment horizontal="center" vertical="center"/>
    </xf>
    <xf numFmtId="180" fontId="60" fillId="0" borderId="2" xfId="161" quotePrefix="1" applyNumberFormat="1" applyFont="1" applyBorder="1" applyAlignment="1">
      <alignment horizontal="center" vertical="center"/>
    </xf>
    <xf numFmtId="180" fontId="60" fillId="0" borderId="17" xfId="161" quotePrefix="1" applyNumberFormat="1" applyFont="1" applyBorder="1" applyAlignment="1">
      <alignment horizontal="center" vertical="center"/>
    </xf>
    <xf numFmtId="183" fontId="60" fillId="0" borderId="10" xfId="161" applyNumberFormat="1" applyFont="1" applyBorder="1" applyAlignment="1">
      <alignment horizontal="right" vertical="center"/>
    </xf>
    <xf numFmtId="183" fontId="60" fillId="0" borderId="2" xfId="161" applyNumberFormat="1" applyFont="1" applyBorder="1" applyAlignment="1">
      <alignment horizontal="right" vertical="center"/>
    </xf>
    <xf numFmtId="183" fontId="60" fillId="0" borderId="17" xfId="161" applyNumberFormat="1" applyFont="1" applyBorder="1" applyAlignment="1">
      <alignment horizontal="right" vertical="center"/>
    </xf>
    <xf numFmtId="181" fontId="60" fillId="0" borderId="10" xfId="161" quotePrefix="1" applyNumberFormat="1" applyFont="1" applyBorder="1" applyAlignment="1">
      <alignment horizontal="right" vertical="center"/>
    </xf>
    <xf numFmtId="181" fontId="60" fillId="0" borderId="2" xfId="161" quotePrefix="1" applyNumberFormat="1" applyFont="1" applyBorder="1" applyAlignment="1">
      <alignment horizontal="right" vertical="center"/>
    </xf>
    <xf numFmtId="181" fontId="60" fillId="0" borderId="17" xfId="161" quotePrefix="1" applyNumberFormat="1" applyFont="1" applyBorder="1" applyAlignment="1">
      <alignment horizontal="right" vertical="center"/>
    </xf>
    <xf numFmtId="182" fontId="60" fillId="0" borderId="10" xfId="161" quotePrefix="1" applyNumberFormat="1" applyFont="1" applyBorder="1" applyAlignment="1">
      <alignment horizontal="center" vertical="center"/>
    </xf>
    <xf numFmtId="182" fontId="60" fillId="0" borderId="2" xfId="161" quotePrefix="1" applyNumberFormat="1" applyFont="1" applyBorder="1" applyAlignment="1">
      <alignment horizontal="center" vertical="center"/>
    </xf>
    <xf numFmtId="182" fontId="60" fillId="0" borderId="17" xfId="161" quotePrefix="1" applyNumberFormat="1" applyFont="1" applyBorder="1" applyAlignment="1">
      <alignment horizontal="center" vertical="center"/>
    </xf>
    <xf numFmtId="179" fontId="60" fillId="0" borderId="10" xfId="161" quotePrefix="1" applyNumberFormat="1" applyFont="1" applyBorder="1" applyAlignment="1">
      <alignment horizontal="center" vertical="center"/>
    </xf>
    <xf numFmtId="179" fontId="60" fillId="0" borderId="2" xfId="161" quotePrefix="1" applyNumberFormat="1" applyFont="1" applyBorder="1" applyAlignment="1">
      <alignment horizontal="center" vertical="center"/>
    </xf>
    <xf numFmtId="179" fontId="60" fillId="0" borderId="17" xfId="161" quotePrefix="1" applyNumberFormat="1" applyFont="1" applyBorder="1" applyAlignment="1">
      <alignment horizontal="center" vertical="center"/>
    </xf>
    <xf numFmtId="183" fontId="60" fillId="0" borderId="0" xfId="161" quotePrefix="1" applyNumberFormat="1" applyFont="1" applyAlignment="1">
      <alignment horizontal="right" vertical="center"/>
    </xf>
    <xf numFmtId="181" fontId="60" fillId="0" borderId="0" xfId="161" quotePrefix="1" applyNumberFormat="1" applyFont="1" applyAlignment="1">
      <alignment horizontal="right" vertical="center"/>
    </xf>
    <xf numFmtId="186" fontId="52" fillId="14" borderId="15" xfId="0" applyNumberFormat="1" applyFont="1" applyFill="1" applyBorder="1" applyAlignment="1">
      <alignment horizontal="center" vertical="center"/>
    </xf>
    <xf numFmtId="186" fontId="52" fillId="14" borderId="12" xfId="0" applyNumberFormat="1" applyFont="1" applyFill="1" applyBorder="1" applyAlignment="1">
      <alignment horizontal="center" vertical="center"/>
    </xf>
    <xf numFmtId="183" fontId="60" fillId="0" borderId="31" xfId="161" quotePrefix="1" applyNumberFormat="1" applyFont="1" applyBorder="1" applyAlignment="1">
      <alignment horizontal="right" vertical="center"/>
    </xf>
  </cellXfs>
  <cellStyles count="187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4" xr:uid="{EA538841-B3F7-4189-AE1D-AD4B02F64DDE}"/>
    <cellStyle name="標準 11" xfId="185" xr:uid="{9A33E0B3-3601-4446-AF7C-40986B16F916}"/>
    <cellStyle name="標準 12" xfId="186" xr:uid="{172743D3-6417-4394-B4C6-003C20754867}"/>
    <cellStyle name="標準 2" xfId="45" xr:uid="{00000000-0005-0000-0000-00002D000000}"/>
    <cellStyle name="標準 2 2" xfId="161" xr:uid="{00000000-0005-0000-0000-00002E000000}"/>
    <cellStyle name="標準 2 2 2 2" xfId="181" xr:uid="{00000000-0005-0000-0000-00002F000000}"/>
    <cellStyle name="標準 2 2 3 3" xfId="180" xr:uid="{00000000-0005-0000-0000-000030000000}"/>
    <cellStyle name="標準 2 2 3 3 2" xfId="183" xr:uid="{A9F8D5FD-FFE5-47DC-8F2A-256F756463B6}"/>
    <cellStyle name="標準 2 3" xfId="163" xr:uid="{00000000-0005-0000-0000-000031000000}"/>
    <cellStyle name="標準 3" xfId="46" xr:uid="{00000000-0005-0000-0000-000032000000}"/>
    <cellStyle name="標準 4" xfId="47" xr:uid="{00000000-0005-0000-0000-000033000000}"/>
    <cellStyle name="標準 5" xfId="52" xr:uid="{00000000-0005-0000-0000-000034000000}"/>
    <cellStyle name="標準 5 2" xfId="55" xr:uid="{00000000-0005-0000-0000-000035000000}"/>
    <cellStyle name="標準 5 2 2" xfId="61" xr:uid="{00000000-0005-0000-0000-000036000000}"/>
    <cellStyle name="標準 5 2 2 2" xfId="91" xr:uid="{00000000-0005-0000-0000-000037000000}"/>
    <cellStyle name="標準 5 2 2 2 2" xfId="137" xr:uid="{00000000-0005-0000-0000-000038000000}"/>
    <cellStyle name="標準 5 2 2 3" xfId="107" xr:uid="{00000000-0005-0000-0000-000039000000}"/>
    <cellStyle name="標準 5 2 2 3 2" xfId="153" xr:uid="{00000000-0005-0000-0000-00003A000000}"/>
    <cellStyle name="標準 5 2 2 4" xfId="81" xr:uid="{00000000-0005-0000-0000-00003B000000}"/>
    <cellStyle name="標準 5 2 2 4 2" xfId="177" xr:uid="{00000000-0005-0000-0000-00003C000000}"/>
    <cellStyle name="標準 5 2 2 5" xfId="127" xr:uid="{00000000-0005-0000-0000-00003D000000}"/>
    <cellStyle name="標準 5 2 3" xfId="65" xr:uid="{00000000-0005-0000-0000-00003E000000}"/>
    <cellStyle name="標準 5 2 3 2" xfId="95" xr:uid="{00000000-0005-0000-0000-00003F000000}"/>
    <cellStyle name="標準 5 2 3 2 2" xfId="141" xr:uid="{00000000-0005-0000-0000-000040000000}"/>
    <cellStyle name="標準 5 2 3 3" xfId="111" xr:uid="{00000000-0005-0000-0000-000041000000}"/>
    <cellStyle name="標準 5 2 3 3 2" xfId="157" xr:uid="{00000000-0005-0000-0000-000042000000}"/>
    <cellStyle name="標準 5 2 3 4" xfId="75" xr:uid="{00000000-0005-0000-0000-000043000000}"/>
    <cellStyle name="標準 5 2 3 4 2" xfId="171" xr:uid="{00000000-0005-0000-0000-000044000000}"/>
    <cellStyle name="標準 5 2 3 5" xfId="121" xr:uid="{00000000-0005-0000-0000-000045000000}"/>
    <cellStyle name="標準 5 2 4" xfId="85" xr:uid="{00000000-0005-0000-0000-000046000000}"/>
    <cellStyle name="標準 5 2 4 2" xfId="131" xr:uid="{00000000-0005-0000-0000-000047000000}"/>
    <cellStyle name="標準 5 2 5" xfId="101" xr:uid="{00000000-0005-0000-0000-000048000000}"/>
    <cellStyle name="標準 5 2 5 2" xfId="147" xr:uid="{00000000-0005-0000-0000-000049000000}"/>
    <cellStyle name="標準 5 2 6" xfId="71" xr:uid="{00000000-0005-0000-0000-00004A000000}"/>
    <cellStyle name="標準 5 2 6 2" xfId="167" xr:uid="{00000000-0005-0000-0000-00004B000000}"/>
    <cellStyle name="標準 5 2 7" xfId="117" xr:uid="{00000000-0005-0000-0000-00004C000000}"/>
    <cellStyle name="標準 5 3" xfId="58" xr:uid="{00000000-0005-0000-0000-00004D000000}"/>
    <cellStyle name="標準 5 3 2" xfId="88" xr:uid="{00000000-0005-0000-0000-00004E000000}"/>
    <cellStyle name="標準 5 3 2 2" xfId="134" xr:uid="{00000000-0005-0000-0000-00004F000000}"/>
    <cellStyle name="標準 5 3 3" xfId="104" xr:uid="{00000000-0005-0000-0000-000050000000}"/>
    <cellStyle name="標準 5 3 3 2" xfId="150" xr:uid="{00000000-0005-0000-0000-000051000000}"/>
    <cellStyle name="標準 5 3 4" xfId="78" xr:uid="{00000000-0005-0000-0000-000052000000}"/>
    <cellStyle name="標準 5 3 4 2" xfId="174" xr:uid="{00000000-0005-0000-0000-000053000000}"/>
    <cellStyle name="標準 5 3 5" xfId="124" xr:uid="{00000000-0005-0000-0000-000054000000}"/>
    <cellStyle name="標準 5 4" xfId="62" xr:uid="{00000000-0005-0000-0000-000055000000}"/>
    <cellStyle name="標準 5 4 2" xfId="92" xr:uid="{00000000-0005-0000-0000-000056000000}"/>
    <cellStyle name="標準 5 4 2 2" xfId="138" xr:uid="{00000000-0005-0000-0000-000057000000}"/>
    <cellStyle name="標準 5 4 3" xfId="108" xr:uid="{00000000-0005-0000-0000-000058000000}"/>
    <cellStyle name="標準 5 4 3 2" xfId="154" xr:uid="{00000000-0005-0000-0000-000059000000}"/>
    <cellStyle name="標準 5 4 4" xfId="72" xr:uid="{00000000-0005-0000-0000-00005A000000}"/>
    <cellStyle name="標準 5 4 4 2" xfId="168" xr:uid="{00000000-0005-0000-0000-00005B000000}"/>
    <cellStyle name="標準 5 4 5" xfId="118" xr:uid="{00000000-0005-0000-0000-00005C000000}"/>
    <cellStyle name="標準 5 5" xfId="82" xr:uid="{00000000-0005-0000-0000-00005D000000}"/>
    <cellStyle name="標準 5 5 2" xfId="128" xr:uid="{00000000-0005-0000-0000-00005E000000}"/>
    <cellStyle name="標準 5 6" xfId="98" xr:uid="{00000000-0005-0000-0000-00005F000000}"/>
    <cellStyle name="標準 5 6 2" xfId="144" xr:uid="{00000000-0005-0000-0000-000060000000}"/>
    <cellStyle name="標準 5 7" xfId="68" xr:uid="{00000000-0005-0000-0000-000061000000}"/>
    <cellStyle name="標準 5 7 2" xfId="164" xr:uid="{00000000-0005-0000-0000-000062000000}"/>
    <cellStyle name="標準 5 8" xfId="114" xr:uid="{00000000-0005-0000-0000-000063000000}"/>
    <cellStyle name="標準 6" xfId="53" xr:uid="{00000000-0005-0000-0000-000064000000}"/>
    <cellStyle name="標準 6 10" xfId="182" xr:uid="{00000000-0005-0000-0000-000065000000}"/>
    <cellStyle name="標準 6 2" xfId="56" xr:uid="{00000000-0005-0000-0000-000066000000}"/>
    <cellStyle name="標準 6 2 2" xfId="66" xr:uid="{00000000-0005-0000-0000-000067000000}"/>
    <cellStyle name="標準 6 2 2 2" xfId="112" xr:uid="{00000000-0005-0000-0000-000068000000}"/>
    <cellStyle name="標準 6 2 2 2 2" xfId="158" xr:uid="{00000000-0005-0000-0000-000069000000}"/>
    <cellStyle name="標準 6 2 2 3" xfId="96" xr:uid="{00000000-0005-0000-0000-00006A000000}"/>
    <cellStyle name="標準 6 2 2 3 2" xfId="178" xr:uid="{00000000-0005-0000-0000-00006B000000}"/>
    <cellStyle name="標準 6 2 2 4" xfId="142" xr:uid="{00000000-0005-0000-0000-00006C000000}"/>
    <cellStyle name="標準 6 2 3" xfId="86" xr:uid="{00000000-0005-0000-0000-00006D000000}"/>
    <cellStyle name="標準 6 2 3 2" xfId="132" xr:uid="{00000000-0005-0000-0000-00006E000000}"/>
    <cellStyle name="標準 6 2 4" xfId="102" xr:uid="{00000000-0005-0000-0000-00006F000000}"/>
    <cellStyle name="標準 6 2 4 2" xfId="148" xr:uid="{00000000-0005-0000-0000-000070000000}"/>
    <cellStyle name="標準 6 2 5" xfId="76" xr:uid="{00000000-0005-0000-0000-000071000000}"/>
    <cellStyle name="標準 6 2 5 2" xfId="172" xr:uid="{00000000-0005-0000-0000-000072000000}"/>
    <cellStyle name="標準 6 2 6" xfId="122" xr:uid="{00000000-0005-0000-0000-000073000000}"/>
    <cellStyle name="標準 6 3" xfId="59" xr:uid="{00000000-0005-0000-0000-000074000000}"/>
    <cellStyle name="標準 6 3 2" xfId="89" xr:uid="{00000000-0005-0000-0000-000075000000}"/>
    <cellStyle name="標準 6 3 2 2" xfId="135" xr:uid="{00000000-0005-0000-0000-000076000000}"/>
    <cellStyle name="標準 6 3 3" xfId="105" xr:uid="{00000000-0005-0000-0000-000077000000}"/>
    <cellStyle name="標準 6 3 3 2" xfId="151" xr:uid="{00000000-0005-0000-0000-000078000000}"/>
    <cellStyle name="標準 6 3 4" xfId="79" xr:uid="{00000000-0005-0000-0000-000079000000}"/>
    <cellStyle name="標準 6 3 4 2" xfId="175" xr:uid="{00000000-0005-0000-0000-00007A000000}"/>
    <cellStyle name="標準 6 3 5" xfId="125" xr:uid="{00000000-0005-0000-0000-00007B000000}"/>
    <cellStyle name="標準 6 4" xfId="63" xr:uid="{00000000-0005-0000-0000-00007C000000}"/>
    <cellStyle name="標準 6 4 2" xfId="93" xr:uid="{00000000-0005-0000-0000-00007D000000}"/>
    <cellStyle name="標準 6 4 2 2" xfId="139" xr:uid="{00000000-0005-0000-0000-00007E000000}"/>
    <cellStyle name="標準 6 4 3" xfId="109" xr:uid="{00000000-0005-0000-0000-00007F000000}"/>
    <cellStyle name="標準 6 4 3 2" xfId="155" xr:uid="{00000000-0005-0000-0000-000080000000}"/>
    <cellStyle name="標準 6 4 4" xfId="73" xr:uid="{00000000-0005-0000-0000-000081000000}"/>
    <cellStyle name="標準 6 4 4 2" xfId="169" xr:uid="{00000000-0005-0000-0000-000082000000}"/>
    <cellStyle name="標準 6 4 5" xfId="119" xr:uid="{00000000-0005-0000-0000-000083000000}"/>
    <cellStyle name="標準 6 5" xfId="83" xr:uid="{00000000-0005-0000-0000-000084000000}"/>
    <cellStyle name="標準 6 5 2" xfId="129" xr:uid="{00000000-0005-0000-0000-000085000000}"/>
    <cellStyle name="標準 6 6" xfId="99" xr:uid="{00000000-0005-0000-0000-000086000000}"/>
    <cellStyle name="標準 6 6 2" xfId="145" xr:uid="{00000000-0005-0000-0000-000087000000}"/>
    <cellStyle name="標準 6 7" xfId="69" xr:uid="{00000000-0005-0000-0000-000088000000}"/>
    <cellStyle name="標準 6 7 2" xfId="165" xr:uid="{00000000-0005-0000-0000-000089000000}"/>
    <cellStyle name="標準 6 8" xfId="115" xr:uid="{00000000-0005-0000-0000-00008A000000}"/>
    <cellStyle name="標準 7" xfId="54" xr:uid="{00000000-0005-0000-0000-00008B000000}"/>
    <cellStyle name="標準 7 2" xfId="57" xr:uid="{00000000-0005-0000-0000-00008C000000}"/>
    <cellStyle name="標準 7 2 2" xfId="67" xr:uid="{00000000-0005-0000-0000-00008D000000}"/>
    <cellStyle name="標準 7 2 2 2" xfId="113" xr:uid="{00000000-0005-0000-0000-00008E000000}"/>
    <cellStyle name="標準 7 2 2 2 2" xfId="159" xr:uid="{00000000-0005-0000-0000-00008F000000}"/>
    <cellStyle name="標準 7 2 2 3" xfId="97" xr:uid="{00000000-0005-0000-0000-000090000000}"/>
    <cellStyle name="標準 7 2 2 3 2" xfId="179" xr:uid="{00000000-0005-0000-0000-000091000000}"/>
    <cellStyle name="標準 7 2 2 4" xfId="143" xr:uid="{00000000-0005-0000-0000-000092000000}"/>
    <cellStyle name="標準 7 2 3" xfId="87" xr:uid="{00000000-0005-0000-0000-000093000000}"/>
    <cellStyle name="標準 7 2 3 2" xfId="133" xr:uid="{00000000-0005-0000-0000-000094000000}"/>
    <cellStyle name="標準 7 2 4" xfId="103" xr:uid="{00000000-0005-0000-0000-000095000000}"/>
    <cellStyle name="標準 7 2 4 2" xfId="149" xr:uid="{00000000-0005-0000-0000-000096000000}"/>
    <cellStyle name="標準 7 2 5" xfId="77" xr:uid="{00000000-0005-0000-0000-000097000000}"/>
    <cellStyle name="標準 7 2 5 2" xfId="173" xr:uid="{00000000-0005-0000-0000-000098000000}"/>
    <cellStyle name="標準 7 2 6" xfId="123" xr:uid="{00000000-0005-0000-0000-000099000000}"/>
    <cellStyle name="標準 7 3" xfId="60" xr:uid="{00000000-0005-0000-0000-00009A000000}"/>
    <cellStyle name="標準 7 3 2" xfId="90" xr:uid="{00000000-0005-0000-0000-00009B000000}"/>
    <cellStyle name="標準 7 3 2 2" xfId="136" xr:uid="{00000000-0005-0000-0000-00009C000000}"/>
    <cellStyle name="標準 7 3 3" xfId="106" xr:uid="{00000000-0005-0000-0000-00009D000000}"/>
    <cellStyle name="標準 7 3 3 2" xfId="152" xr:uid="{00000000-0005-0000-0000-00009E000000}"/>
    <cellStyle name="標準 7 3 4" xfId="80" xr:uid="{00000000-0005-0000-0000-00009F000000}"/>
    <cellStyle name="標準 7 3 4 2" xfId="176" xr:uid="{00000000-0005-0000-0000-0000A0000000}"/>
    <cellStyle name="標準 7 3 5" xfId="126" xr:uid="{00000000-0005-0000-0000-0000A1000000}"/>
    <cellStyle name="標準 7 4" xfId="64" xr:uid="{00000000-0005-0000-0000-0000A2000000}"/>
    <cellStyle name="標準 7 4 2" xfId="94" xr:uid="{00000000-0005-0000-0000-0000A3000000}"/>
    <cellStyle name="標準 7 4 2 2" xfId="140" xr:uid="{00000000-0005-0000-0000-0000A4000000}"/>
    <cellStyle name="標準 7 4 3" xfId="110" xr:uid="{00000000-0005-0000-0000-0000A5000000}"/>
    <cellStyle name="標準 7 4 3 2" xfId="156" xr:uid="{00000000-0005-0000-0000-0000A6000000}"/>
    <cellStyle name="標準 7 4 4" xfId="74" xr:uid="{00000000-0005-0000-0000-0000A7000000}"/>
    <cellStyle name="標準 7 4 4 2" xfId="170" xr:uid="{00000000-0005-0000-0000-0000A8000000}"/>
    <cellStyle name="標準 7 4 5" xfId="120" xr:uid="{00000000-0005-0000-0000-0000A9000000}"/>
    <cellStyle name="標準 7 5" xfId="84" xr:uid="{00000000-0005-0000-0000-0000AA000000}"/>
    <cellStyle name="標準 7 5 2" xfId="130" xr:uid="{00000000-0005-0000-0000-0000AB000000}"/>
    <cellStyle name="標準 7 6" xfId="100" xr:uid="{00000000-0005-0000-0000-0000AC000000}"/>
    <cellStyle name="標準 7 6 2" xfId="146" xr:uid="{00000000-0005-0000-0000-0000AD000000}"/>
    <cellStyle name="標準 7 7" xfId="70" xr:uid="{00000000-0005-0000-0000-0000AE000000}"/>
    <cellStyle name="標準 7 7 2" xfId="166" xr:uid="{00000000-0005-0000-0000-0000AF000000}"/>
    <cellStyle name="標準 7 8" xfId="116" xr:uid="{00000000-0005-0000-0000-0000B0000000}"/>
    <cellStyle name="標準 8" xfId="160" xr:uid="{00000000-0005-0000-0000-0000B1000000}"/>
    <cellStyle name="標準 9" xfId="162" xr:uid="{00000000-0005-0000-0000-0000B2000000}"/>
    <cellStyle name="標準_4システム概要" xfId="48" xr:uid="{00000000-0005-0000-0000-0000B3000000}"/>
    <cellStyle name="標準_SX-XXXX_HBP0010_詳細設計(sample)_1回打合せ完了" xfId="49" xr:uid="{00000000-0005-0000-0000-0000B5000000}"/>
    <cellStyle name="標準_要件ポイント説明書一覧_rd06_20060623" xfId="50" xr:uid="{00000000-0005-0000-0000-0000B6000000}"/>
    <cellStyle name="未定義" xfId="51" xr:uid="{00000000-0005-0000-0000-0000B700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DBEEF4"/>
      <color rgb="FF339933"/>
      <color rgb="FF99FF99"/>
      <color rgb="FFFFFFCC"/>
      <color rgb="FFFF9900"/>
      <color rgb="FF013284"/>
      <color rgb="FF004098"/>
      <color rgb="FF333399"/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tmp"/><Relationship Id="rId2" Type="http://schemas.openxmlformats.org/officeDocument/2006/relationships/image" Target="../media/image4.tmp"/><Relationship Id="rId1" Type="http://schemas.openxmlformats.org/officeDocument/2006/relationships/image" Target="../media/image3.tmp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138806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画面設計書</a:t>
          </a:r>
          <a:endParaRPr lang="en-US" altLang="ja-JP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+mn-ea"/>
            </a:rPr>
            <a:t>画面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</xdr:colOff>
      <xdr:row>6</xdr:row>
      <xdr:rowOff>38099</xdr:rowOff>
    </xdr:from>
    <xdr:to>
      <xdr:col>11</xdr:col>
      <xdr:colOff>76200</xdr:colOff>
      <xdr:row>7</xdr:row>
      <xdr:rowOff>28575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0D91CD7-73B9-406E-9F10-402390626C7E}"/>
            </a:ext>
          </a:extLst>
        </xdr:cNvPr>
        <xdr:cNvSpPr/>
      </xdr:nvSpPr>
      <xdr:spPr>
        <a:xfrm>
          <a:off x="1685924" y="914399"/>
          <a:ext cx="381001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38100</xdr:colOff>
      <xdr:row>7</xdr:row>
      <xdr:rowOff>101600</xdr:rowOff>
    </xdr:from>
    <xdr:to>
      <xdr:col>10</xdr:col>
      <xdr:colOff>142875</xdr:colOff>
      <xdr:row>8</xdr:row>
      <xdr:rowOff>238125</xdr:rowOff>
    </xdr:to>
    <xdr:sp macro="" textlink="">
      <xdr:nvSpPr>
        <xdr:cNvPr id="3" name="線吹き出し 1 (枠付き) 12">
          <a:extLst>
            <a:ext uri="{FF2B5EF4-FFF2-40B4-BE49-F238E27FC236}">
              <a16:creationId xmlns:a16="http://schemas.microsoft.com/office/drawing/2014/main" id="{BA2239B1-336C-4066-A6EE-55B023309C8B}"/>
            </a:ext>
          </a:extLst>
        </xdr:cNvPr>
        <xdr:cNvSpPr/>
      </xdr:nvSpPr>
      <xdr:spPr>
        <a:xfrm>
          <a:off x="762000" y="1247775"/>
          <a:ext cx="1187450" cy="292100"/>
        </a:xfrm>
        <a:prstGeom prst="borderCallout1">
          <a:avLst>
            <a:gd name="adj1" fmla="val -4247"/>
            <a:gd name="adj2" fmla="val 28737"/>
            <a:gd name="adj3" fmla="val -21310"/>
            <a:gd name="adj4" fmla="val 882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．パンくずリストエリア</a:t>
          </a:r>
        </a:p>
      </xdr:txBody>
    </xdr:sp>
    <xdr:clientData/>
  </xdr:twoCellAnchor>
  <xdr:twoCellAnchor>
    <xdr:from>
      <xdr:col>30</xdr:col>
      <xdr:colOff>126999</xdr:colOff>
      <xdr:row>31</xdr:row>
      <xdr:rowOff>133352</xdr:rowOff>
    </xdr:from>
    <xdr:to>
      <xdr:col>41</xdr:col>
      <xdr:colOff>163948</xdr:colOff>
      <xdr:row>34</xdr:row>
      <xdr:rowOff>133351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61ADBF9-CF13-4824-ADE8-DED225A4AC3F}"/>
            </a:ext>
          </a:extLst>
        </xdr:cNvPr>
        <xdr:cNvSpPr/>
      </xdr:nvSpPr>
      <xdr:spPr>
        <a:xfrm>
          <a:off x="5556249" y="5295902"/>
          <a:ext cx="2027674" cy="485774"/>
        </a:xfrm>
        <a:prstGeom prst="rect">
          <a:avLst/>
        </a:prstGeom>
        <a:solidFill>
          <a:srgbClr val="0028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ja-JP" sz="10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化学物質データ画面</a:t>
          </a:r>
          <a:r>
            <a:rPr kumimoji="1" lang="ja-JP" altLang="en-US" sz="10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へ戻る</a:t>
          </a:r>
          <a:endParaRPr kumimoji="1" lang="en-US" altLang="ja-JP" sz="1000" kern="12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800" b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 to  Application List </a:t>
          </a:r>
        </a:p>
        <a:p>
          <a:pPr algn="ctr"/>
          <a:r>
            <a:rPr kumimoji="1" lang="en-US" altLang="ja-JP" sz="800" b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the Page </a:t>
          </a:r>
          <a:endParaRPr lang="ja-JP" altLang="ja-JP" sz="800" b="0">
            <a:effectLst/>
          </a:endParaRPr>
        </a:p>
        <a:p>
          <a:pPr algn="ctr"/>
          <a:endParaRPr lang="ja-JP" altLang="en-US" sz="5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66675</xdr:colOff>
      <xdr:row>12</xdr:row>
      <xdr:rowOff>19050</xdr:rowOff>
    </xdr:from>
    <xdr:to>
      <xdr:col>13</xdr:col>
      <xdr:colOff>85726</xdr:colOff>
      <xdr:row>13</xdr:row>
      <xdr:rowOff>114301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6B98C93-7B70-4D69-AF61-E0162C2907C9}"/>
            </a:ext>
          </a:extLst>
        </xdr:cNvPr>
        <xdr:cNvSpPr/>
      </xdr:nvSpPr>
      <xdr:spPr>
        <a:xfrm>
          <a:off x="2054225" y="210502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158751</xdr:colOff>
      <xdr:row>13</xdr:row>
      <xdr:rowOff>139701</xdr:rowOff>
    </xdr:from>
    <xdr:to>
      <xdr:col>11</xdr:col>
      <xdr:colOff>161926</xdr:colOff>
      <xdr:row>16</xdr:row>
      <xdr:rowOff>1</xdr:rowOff>
    </xdr:to>
    <xdr:sp macro="" textlink="">
      <xdr:nvSpPr>
        <xdr:cNvPr id="7" name="角丸四角形 41">
          <a:extLst>
            <a:ext uri="{FF2B5EF4-FFF2-40B4-BE49-F238E27FC236}">
              <a16:creationId xmlns:a16="http://schemas.microsoft.com/office/drawing/2014/main" id="{421712FF-9A17-4878-B2B9-F975C9196467}"/>
            </a:ext>
          </a:extLst>
        </xdr:cNvPr>
        <xdr:cNvSpPr/>
      </xdr:nvSpPr>
      <xdr:spPr>
        <a:xfrm>
          <a:off x="520701" y="2387601"/>
          <a:ext cx="1631950" cy="34607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76199</xdr:colOff>
      <xdr:row>19</xdr:row>
      <xdr:rowOff>9526</xdr:rowOff>
    </xdr:from>
    <xdr:to>
      <xdr:col>16</xdr:col>
      <xdr:colOff>171449</xdr:colOff>
      <xdr:row>21</xdr:row>
      <xdr:rowOff>9525</xdr:rowOff>
    </xdr:to>
    <xdr:sp macro="" textlink="">
      <xdr:nvSpPr>
        <xdr:cNvPr id="9" name="角丸四角形 58">
          <a:extLst>
            <a:ext uri="{FF2B5EF4-FFF2-40B4-BE49-F238E27FC236}">
              <a16:creationId xmlns:a16="http://schemas.microsoft.com/office/drawing/2014/main" id="{34E226B8-B3A1-4534-9FF0-AB2237792E91}"/>
            </a:ext>
          </a:extLst>
        </xdr:cNvPr>
        <xdr:cNvSpPr/>
      </xdr:nvSpPr>
      <xdr:spPr>
        <a:xfrm>
          <a:off x="619124" y="3228976"/>
          <a:ext cx="2447925" cy="32384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</xdr:colOff>
      <xdr:row>21</xdr:row>
      <xdr:rowOff>0</xdr:rowOff>
    </xdr:from>
    <xdr:to>
      <xdr:col>18</xdr:col>
      <xdr:colOff>123825</xdr:colOff>
      <xdr:row>23</xdr:row>
      <xdr:rowOff>20864</xdr:rowOff>
    </xdr:to>
    <xdr:sp macro="" textlink="">
      <xdr:nvSpPr>
        <xdr:cNvPr id="10" name="角丸四角形 58">
          <a:extLst>
            <a:ext uri="{FF2B5EF4-FFF2-40B4-BE49-F238E27FC236}">
              <a16:creationId xmlns:a16="http://schemas.microsoft.com/office/drawing/2014/main" id="{78FC1A82-221C-4723-9B83-541CF4FEA415}"/>
            </a:ext>
          </a:extLst>
        </xdr:cNvPr>
        <xdr:cNvSpPr/>
      </xdr:nvSpPr>
      <xdr:spPr>
        <a:xfrm>
          <a:off x="609600" y="3543300"/>
          <a:ext cx="2771775" cy="344714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57150</xdr:colOff>
      <xdr:row>31</xdr:row>
      <xdr:rowOff>34925</xdr:rowOff>
    </xdr:from>
    <xdr:to>
      <xdr:col>31</xdr:col>
      <xdr:colOff>76201</xdr:colOff>
      <xdr:row>32</xdr:row>
      <xdr:rowOff>130176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68177BC-7B91-469E-B3AE-A39D253A62AE}"/>
            </a:ext>
          </a:extLst>
        </xdr:cNvPr>
        <xdr:cNvSpPr/>
      </xdr:nvSpPr>
      <xdr:spPr>
        <a:xfrm>
          <a:off x="5305425" y="519747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149225</xdr:colOff>
      <xdr:row>17</xdr:row>
      <xdr:rowOff>53975</xdr:rowOff>
    </xdr:from>
    <xdr:to>
      <xdr:col>17</xdr:col>
      <xdr:colOff>168276</xdr:colOff>
      <xdr:row>18</xdr:row>
      <xdr:rowOff>152401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5804FEF-9276-45ED-A927-FC89FEAE6344}"/>
            </a:ext>
          </a:extLst>
        </xdr:cNvPr>
        <xdr:cNvSpPr/>
      </xdr:nvSpPr>
      <xdr:spPr>
        <a:xfrm>
          <a:off x="2863850" y="6673850"/>
          <a:ext cx="381001" cy="26035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111125</xdr:colOff>
      <xdr:row>19</xdr:row>
      <xdr:rowOff>104775</xdr:rowOff>
    </xdr:from>
    <xdr:to>
      <xdr:col>20</xdr:col>
      <xdr:colOff>130176</xdr:colOff>
      <xdr:row>21</xdr:row>
      <xdr:rowOff>38101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A75442BA-F3A6-45C5-9AF7-3DDD70DFD9F8}"/>
            </a:ext>
          </a:extLst>
        </xdr:cNvPr>
        <xdr:cNvSpPr/>
      </xdr:nvSpPr>
      <xdr:spPr>
        <a:xfrm>
          <a:off x="3368675" y="332422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123826</xdr:colOff>
      <xdr:row>23</xdr:row>
      <xdr:rowOff>0</xdr:rowOff>
    </xdr:from>
    <xdr:to>
      <xdr:col>15</xdr:col>
      <xdr:colOff>38101</xdr:colOff>
      <xdr:row>25</xdr:row>
      <xdr:rowOff>19050</xdr:rowOff>
    </xdr:to>
    <xdr:sp macro="" textlink="">
      <xdr:nvSpPr>
        <xdr:cNvPr id="32" name="角丸四角形 58">
          <a:extLst>
            <a:ext uri="{FF2B5EF4-FFF2-40B4-BE49-F238E27FC236}">
              <a16:creationId xmlns:a16="http://schemas.microsoft.com/office/drawing/2014/main" id="{06A09DF6-8203-42AD-BA4E-5B4909D62818}"/>
            </a:ext>
          </a:extLst>
        </xdr:cNvPr>
        <xdr:cNvSpPr/>
      </xdr:nvSpPr>
      <xdr:spPr>
        <a:xfrm>
          <a:off x="1209676" y="3867150"/>
          <a:ext cx="1543050" cy="34290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104775</xdr:colOff>
      <xdr:row>23</xdr:row>
      <xdr:rowOff>123825</xdr:rowOff>
    </xdr:from>
    <xdr:to>
      <xdr:col>16</xdr:col>
      <xdr:colOff>130176</xdr:colOff>
      <xdr:row>25</xdr:row>
      <xdr:rowOff>53976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B3CE5B4-03FF-4765-8D78-06C95B76AB0E}"/>
            </a:ext>
          </a:extLst>
        </xdr:cNvPr>
        <xdr:cNvSpPr/>
      </xdr:nvSpPr>
      <xdr:spPr>
        <a:xfrm>
          <a:off x="2638425" y="3990975"/>
          <a:ext cx="387351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38100</xdr:colOff>
      <xdr:row>7</xdr:row>
      <xdr:rowOff>101600</xdr:rowOff>
    </xdr:from>
    <xdr:to>
      <xdr:col>10</xdr:col>
      <xdr:colOff>142875</xdr:colOff>
      <xdr:row>8</xdr:row>
      <xdr:rowOff>238125</xdr:rowOff>
    </xdr:to>
    <xdr:sp macro="" textlink="">
      <xdr:nvSpPr>
        <xdr:cNvPr id="5" name="線吹き出し 1 (枠付き) 12">
          <a:extLst>
            <a:ext uri="{FF2B5EF4-FFF2-40B4-BE49-F238E27FC236}">
              <a16:creationId xmlns:a16="http://schemas.microsoft.com/office/drawing/2014/main" id="{C60952C5-E0BF-4A00-8C56-8776A37C9555}"/>
            </a:ext>
          </a:extLst>
        </xdr:cNvPr>
        <xdr:cNvSpPr/>
      </xdr:nvSpPr>
      <xdr:spPr>
        <a:xfrm>
          <a:off x="774700" y="1250950"/>
          <a:ext cx="1209675" cy="295275"/>
        </a:xfrm>
        <a:prstGeom prst="borderCallout1">
          <a:avLst>
            <a:gd name="adj1" fmla="val -4247"/>
            <a:gd name="adj2" fmla="val 28737"/>
            <a:gd name="adj3" fmla="val -21310"/>
            <a:gd name="adj4" fmla="val 882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．パンくずリストエリア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</xdr:colOff>
      <xdr:row>6</xdr:row>
      <xdr:rowOff>38099</xdr:rowOff>
    </xdr:from>
    <xdr:to>
      <xdr:col>11</xdr:col>
      <xdr:colOff>76200</xdr:colOff>
      <xdr:row>7</xdr:row>
      <xdr:rowOff>28575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82C95B8-3F7A-4DAF-8268-80394F26F700}"/>
            </a:ext>
          </a:extLst>
        </xdr:cNvPr>
        <xdr:cNvSpPr/>
      </xdr:nvSpPr>
      <xdr:spPr>
        <a:xfrm>
          <a:off x="1685924" y="1952624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38100</xdr:colOff>
      <xdr:row>7</xdr:row>
      <xdr:rowOff>101600</xdr:rowOff>
    </xdr:from>
    <xdr:to>
      <xdr:col>10</xdr:col>
      <xdr:colOff>142875</xdr:colOff>
      <xdr:row>8</xdr:row>
      <xdr:rowOff>238125</xdr:rowOff>
    </xdr:to>
    <xdr:sp macro="" textlink="">
      <xdr:nvSpPr>
        <xdr:cNvPr id="3" name="線吹き出し 1 (枠付き) 12">
          <a:extLst>
            <a:ext uri="{FF2B5EF4-FFF2-40B4-BE49-F238E27FC236}">
              <a16:creationId xmlns:a16="http://schemas.microsoft.com/office/drawing/2014/main" id="{FC62FF29-570F-4F9B-9C2F-47B0304FC114}"/>
            </a:ext>
          </a:extLst>
        </xdr:cNvPr>
        <xdr:cNvSpPr/>
      </xdr:nvSpPr>
      <xdr:spPr>
        <a:xfrm>
          <a:off x="762000" y="2263775"/>
          <a:ext cx="1190625" cy="298450"/>
        </a:xfrm>
        <a:prstGeom prst="borderCallout1">
          <a:avLst>
            <a:gd name="adj1" fmla="val -4247"/>
            <a:gd name="adj2" fmla="val 28737"/>
            <a:gd name="adj3" fmla="val -21310"/>
            <a:gd name="adj4" fmla="val 882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．パンくずリストエリア</a:t>
          </a:r>
        </a:p>
      </xdr:txBody>
    </xdr:sp>
    <xdr:clientData/>
  </xdr:twoCellAnchor>
  <xdr:twoCellAnchor>
    <xdr:from>
      <xdr:col>30</xdr:col>
      <xdr:colOff>142874</xdr:colOff>
      <xdr:row>25</xdr:row>
      <xdr:rowOff>57149</xdr:rowOff>
    </xdr:from>
    <xdr:to>
      <xdr:col>42</xdr:col>
      <xdr:colOff>2023</xdr:colOff>
      <xdr:row>27</xdr:row>
      <xdr:rowOff>75314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766FC07-CA38-4B27-997B-CDB3BC3C700C}"/>
            </a:ext>
          </a:extLst>
        </xdr:cNvPr>
        <xdr:cNvSpPr/>
      </xdr:nvSpPr>
      <xdr:spPr>
        <a:xfrm>
          <a:off x="5572124" y="5267324"/>
          <a:ext cx="2030849" cy="342015"/>
        </a:xfrm>
        <a:prstGeom prst="rect">
          <a:avLst/>
        </a:prstGeom>
        <a:solidFill>
          <a:srgbClr val="0028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ja-JP" sz="10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化学物質データ画面</a:t>
          </a:r>
          <a:r>
            <a:rPr kumimoji="1" lang="ja-JP" altLang="en-US" sz="10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へ戻る</a:t>
          </a:r>
          <a:endParaRPr lang="ja-JP" altLang="en-US" sz="5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15875</xdr:colOff>
      <xdr:row>47</xdr:row>
      <xdr:rowOff>149225</xdr:rowOff>
    </xdr:from>
    <xdr:to>
      <xdr:col>42</xdr:col>
      <xdr:colOff>161006</xdr:colOff>
      <xdr:row>49</xdr:row>
      <xdr:rowOff>160732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39B9BB04-0DAE-4545-AECB-09620800F276}"/>
            </a:ext>
          </a:extLst>
        </xdr:cNvPr>
        <xdr:cNvSpPr/>
      </xdr:nvSpPr>
      <xdr:spPr>
        <a:xfrm>
          <a:off x="5988050" y="8921750"/>
          <a:ext cx="1773906" cy="335357"/>
        </a:xfrm>
        <a:prstGeom prst="rect">
          <a:avLst/>
        </a:prstGeom>
        <a:solidFill>
          <a:srgbClr val="0028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900" b="1">
              <a:solidFill>
                <a:schemeClr val="bg1"/>
              </a:solidFill>
            </a:rPr>
            <a:t>Back to  </a:t>
          </a:r>
        </a:p>
        <a:p>
          <a:pPr algn="ctr"/>
          <a:r>
            <a:rPr lang="en-US" altLang="ja-JP" sz="900" b="1">
              <a:solidFill>
                <a:schemeClr val="bg1"/>
              </a:solidFill>
            </a:rPr>
            <a:t>Application List to the Page </a:t>
          </a:r>
          <a:endParaRPr lang="ja-JP" altLang="en-US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66675</xdr:colOff>
      <xdr:row>12</xdr:row>
      <xdr:rowOff>19050</xdr:rowOff>
    </xdr:from>
    <xdr:to>
      <xdr:col>13</xdr:col>
      <xdr:colOff>85726</xdr:colOff>
      <xdr:row>13</xdr:row>
      <xdr:rowOff>114301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6BCEC27-BD69-4027-BA0C-ED9150F8E4F7}"/>
            </a:ext>
          </a:extLst>
        </xdr:cNvPr>
        <xdr:cNvSpPr/>
      </xdr:nvSpPr>
      <xdr:spPr>
        <a:xfrm>
          <a:off x="2057400" y="3124200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158750</xdr:colOff>
      <xdr:row>13</xdr:row>
      <xdr:rowOff>139701</xdr:rowOff>
    </xdr:from>
    <xdr:to>
      <xdr:col>11</xdr:col>
      <xdr:colOff>114300</xdr:colOff>
      <xdr:row>15</xdr:row>
      <xdr:rowOff>1</xdr:rowOff>
    </xdr:to>
    <xdr:sp macro="" textlink="">
      <xdr:nvSpPr>
        <xdr:cNvPr id="43" name="角丸四角形 41">
          <a:extLst>
            <a:ext uri="{FF2B5EF4-FFF2-40B4-BE49-F238E27FC236}">
              <a16:creationId xmlns:a16="http://schemas.microsoft.com/office/drawing/2014/main" id="{360E833A-D559-42F9-A91B-98C48037E0CD}"/>
            </a:ext>
          </a:extLst>
        </xdr:cNvPr>
        <xdr:cNvSpPr/>
      </xdr:nvSpPr>
      <xdr:spPr>
        <a:xfrm>
          <a:off x="520700" y="3406776"/>
          <a:ext cx="1584325" cy="1841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6351</xdr:colOff>
      <xdr:row>19</xdr:row>
      <xdr:rowOff>38101</xdr:rowOff>
    </xdr:from>
    <xdr:to>
      <xdr:col>15</xdr:col>
      <xdr:colOff>28576</xdr:colOff>
      <xdr:row>20</xdr:row>
      <xdr:rowOff>9526</xdr:rowOff>
    </xdr:to>
    <xdr:sp macro="" textlink="">
      <xdr:nvSpPr>
        <xdr:cNvPr id="55" name="角丸四角形 58">
          <a:extLst>
            <a:ext uri="{FF2B5EF4-FFF2-40B4-BE49-F238E27FC236}">
              <a16:creationId xmlns:a16="http://schemas.microsoft.com/office/drawing/2014/main" id="{E0AEB866-6771-4F40-B3F7-EA614D054CD0}"/>
            </a:ext>
          </a:extLst>
        </xdr:cNvPr>
        <xdr:cNvSpPr/>
      </xdr:nvSpPr>
      <xdr:spPr>
        <a:xfrm>
          <a:off x="1454151" y="4276726"/>
          <a:ext cx="1289050" cy="1333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76200</xdr:colOff>
      <xdr:row>17</xdr:row>
      <xdr:rowOff>6351</xdr:rowOff>
    </xdr:from>
    <xdr:to>
      <xdr:col>15</xdr:col>
      <xdr:colOff>66675</xdr:colOff>
      <xdr:row>17</xdr:row>
      <xdr:rowOff>152401</xdr:rowOff>
    </xdr:to>
    <xdr:sp macro="" textlink="">
      <xdr:nvSpPr>
        <xdr:cNvPr id="56" name="角丸四角形 58">
          <a:extLst>
            <a:ext uri="{FF2B5EF4-FFF2-40B4-BE49-F238E27FC236}">
              <a16:creationId xmlns:a16="http://schemas.microsoft.com/office/drawing/2014/main" id="{44F47F0F-5E8D-4EA9-BEA5-C55400866A20}"/>
            </a:ext>
          </a:extLst>
        </xdr:cNvPr>
        <xdr:cNvSpPr/>
      </xdr:nvSpPr>
      <xdr:spPr>
        <a:xfrm>
          <a:off x="619125" y="3921126"/>
          <a:ext cx="2162175" cy="1460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</xdr:colOff>
      <xdr:row>18</xdr:row>
      <xdr:rowOff>0</xdr:rowOff>
    </xdr:from>
    <xdr:to>
      <xdr:col>18</xdr:col>
      <xdr:colOff>154779</xdr:colOff>
      <xdr:row>19</xdr:row>
      <xdr:rowOff>20864</xdr:rowOff>
    </xdr:to>
    <xdr:sp macro="" textlink="">
      <xdr:nvSpPr>
        <xdr:cNvPr id="57" name="角丸四角形 58">
          <a:extLst>
            <a:ext uri="{FF2B5EF4-FFF2-40B4-BE49-F238E27FC236}">
              <a16:creationId xmlns:a16="http://schemas.microsoft.com/office/drawing/2014/main" id="{E8042404-88B8-44CD-B2E1-A05D1B80AC62}"/>
            </a:ext>
          </a:extLst>
        </xdr:cNvPr>
        <xdr:cNvSpPr/>
      </xdr:nvSpPr>
      <xdr:spPr>
        <a:xfrm>
          <a:off x="609600" y="4076700"/>
          <a:ext cx="2802729" cy="18278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171450</xdr:colOff>
      <xdr:row>19</xdr:row>
      <xdr:rowOff>152400</xdr:rowOff>
    </xdr:from>
    <xdr:to>
      <xdr:col>13</xdr:col>
      <xdr:colOff>9526</xdr:colOff>
      <xdr:row>21</xdr:row>
      <xdr:rowOff>85726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3DCFDCC0-C5BE-4741-8FD2-DB85EDD0EDD3}"/>
            </a:ext>
          </a:extLst>
        </xdr:cNvPr>
        <xdr:cNvSpPr/>
      </xdr:nvSpPr>
      <xdr:spPr>
        <a:xfrm>
          <a:off x="1981200" y="439102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85725</xdr:colOff>
      <xdr:row>15</xdr:row>
      <xdr:rowOff>123825</xdr:rowOff>
    </xdr:from>
    <xdr:to>
      <xdr:col>17</xdr:col>
      <xdr:colOff>104776</xdr:colOff>
      <xdr:row>17</xdr:row>
      <xdr:rowOff>57151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4E4C8E8D-C350-42DD-A024-9DC6A331D727}"/>
            </a:ext>
          </a:extLst>
        </xdr:cNvPr>
        <xdr:cNvSpPr/>
      </xdr:nvSpPr>
      <xdr:spPr>
        <a:xfrm>
          <a:off x="2800350" y="3714750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9525</xdr:colOff>
      <xdr:row>17</xdr:row>
      <xdr:rowOff>47625</xdr:rowOff>
    </xdr:from>
    <xdr:to>
      <xdr:col>21</xdr:col>
      <xdr:colOff>28576</xdr:colOff>
      <xdr:row>18</xdr:row>
      <xdr:rowOff>142876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751E8F8-4521-45C1-BC19-B63DAEC078DC}"/>
            </a:ext>
          </a:extLst>
        </xdr:cNvPr>
        <xdr:cNvSpPr/>
      </xdr:nvSpPr>
      <xdr:spPr>
        <a:xfrm>
          <a:off x="3448050" y="3962400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158750</xdr:colOff>
      <xdr:row>23</xdr:row>
      <xdr:rowOff>76200</xdr:rowOff>
    </xdr:from>
    <xdr:to>
      <xdr:col>31</xdr:col>
      <xdr:colOff>177801</xdr:colOff>
      <xdr:row>25</xdr:row>
      <xdr:rowOff>9526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C383D20-EA4A-4F0B-9A51-974E9BFF8FD0}"/>
            </a:ext>
          </a:extLst>
        </xdr:cNvPr>
        <xdr:cNvSpPr/>
      </xdr:nvSpPr>
      <xdr:spPr>
        <a:xfrm>
          <a:off x="5407025" y="496252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35</xdr:row>
      <xdr:rowOff>19050</xdr:rowOff>
    </xdr:from>
    <xdr:to>
      <xdr:col>14</xdr:col>
      <xdr:colOff>9526</xdr:colOff>
      <xdr:row>36</xdr:row>
      <xdr:rowOff>114301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7E6E9EF-BE92-4E64-B655-1E523806AEBD}"/>
            </a:ext>
          </a:extLst>
        </xdr:cNvPr>
        <xdr:cNvSpPr/>
      </xdr:nvSpPr>
      <xdr:spPr>
        <a:xfrm>
          <a:off x="2162175" y="684847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28575</xdr:colOff>
      <xdr:row>36</xdr:row>
      <xdr:rowOff>139701</xdr:rowOff>
    </xdr:from>
    <xdr:to>
      <xdr:col>13</xdr:col>
      <xdr:colOff>38100</xdr:colOff>
      <xdr:row>38</xdr:row>
      <xdr:rowOff>9524</xdr:rowOff>
    </xdr:to>
    <xdr:sp macro="" textlink="">
      <xdr:nvSpPr>
        <xdr:cNvPr id="63" name="角丸四角形 41">
          <a:extLst>
            <a:ext uri="{FF2B5EF4-FFF2-40B4-BE49-F238E27FC236}">
              <a16:creationId xmlns:a16="http://schemas.microsoft.com/office/drawing/2014/main" id="{8C96DFB9-7331-495D-8099-C4CC9BD950A7}"/>
            </a:ext>
          </a:extLst>
        </xdr:cNvPr>
        <xdr:cNvSpPr/>
      </xdr:nvSpPr>
      <xdr:spPr>
        <a:xfrm>
          <a:off x="571500" y="7131051"/>
          <a:ext cx="1819275" cy="193673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57149</xdr:colOff>
      <xdr:row>42</xdr:row>
      <xdr:rowOff>38100</xdr:rowOff>
    </xdr:from>
    <xdr:to>
      <xdr:col>14</xdr:col>
      <xdr:colOff>142875</xdr:colOff>
      <xdr:row>43</xdr:row>
      <xdr:rowOff>9525</xdr:rowOff>
    </xdr:to>
    <xdr:sp macro="" textlink="">
      <xdr:nvSpPr>
        <xdr:cNvPr id="64" name="角丸四角形 58">
          <a:extLst>
            <a:ext uri="{FF2B5EF4-FFF2-40B4-BE49-F238E27FC236}">
              <a16:creationId xmlns:a16="http://schemas.microsoft.com/office/drawing/2014/main" id="{D8154431-9008-4B3D-9026-13FB17A5E48B}"/>
            </a:ext>
          </a:extLst>
        </xdr:cNvPr>
        <xdr:cNvSpPr/>
      </xdr:nvSpPr>
      <xdr:spPr>
        <a:xfrm>
          <a:off x="1323974" y="8001000"/>
          <a:ext cx="1352551" cy="1333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40</xdr:row>
      <xdr:rowOff>6350</xdr:rowOff>
    </xdr:from>
    <xdr:to>
      <xdr:col>18</xdr:col>
      <xdr:colOff>152400</xdr:colOff>
      <xdr:row>41</xdr:row>
      <xdr:rowOff>9524</xdr:rowOff>
    </xdr:to>
    <xdr:sp macro="" textlink="">
      <xdr:nvSpPr>
        <xdr:cNvPr id="65" name="角丸四角形 58">
          <a:extLst>
            <a:ext uri="{FF2B5EF4-FFF2-40B4-BE49-F238E27FC236}">
              <a16:creationId xmlns:a16="http://schemas.microsoft.com/office/drawing/2014/main" id="{B9B92726-72C6-4AF7-882A-C1D44CA37A10}"/>
            </a:ext>
          </a:extLst>
        </xdr:cNvPr>
        <xdr:cNvSpPr/>
      </xdr:nvSpPr>
      <xdr:spPr>
        <a:xfrm>
          <a:off x="723900" y="7645400"/>
          <a:ext cx="2686050" cy="16509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171450</xdr:colOff>
      <xdr:row>40</xdr:row>
      <xdr:rowOff>158750</xdr:rowOff>
    </xdr:from>
    <xdr:to>
      <xdr:col>19</xdr:col>
      <xdr:colOff>78579</xdr:colOff>
      <xdr:row>42</xdr:row>
      <xdr:rowOff>20864</xdr:rowOff>
    </xdr:to>
    <xdr:sp macro="" textlink="">
      <xdr:nvSpPr>
        <xdr:cNvPr id="66" name="角丸四角形 58">
          <a:extLst>
            <a:ext uri="{FF2B5EF4-FFF2-40B4-BE49-F238E27FC236}">
              <a16:creationId xmlns:a16="http://schemas.microsoft.com/office/drawing/2014/main" id="{78F901D5-59F2-4CB7-BBC2-8C13605FCB48}"/>
            </a:ext>
          </a:extLst>
        </xdr:cNvPr>
        <xdr:cNvSpPr/>
      </xdr:nvSpPr>
      <xdr:spPr>
        <a:xfrm>
          <a:off x="714375" y="7797800"/>
          <a:ext cx="2802729" cy="185964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92075</xdr:colOff>
      <xdr:row>42</xdr:row>
      <xdr:rowOff>152400</xdr:rowOff>
    </xdr:from>
    <xdr:to>
      <xdr:col>13</xdr:col>
      <xdr:colOff>114301</xdr:colOff>
      <xdr:row>44</xdr:row>
      <xdr:rowOff>85726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142D7DDC-86C0-4BEA-86C4-91BFF70157AC}"/>
            </a:ext>
          </a:extLst>
        </xdr:cNvPr>
        <xdr:cNvSpPr/>
      </xdr:nvSpPr>
      <xdr:spPr>
        <a:xfrm>
          <a:off x="2082800" y="8115300"/>
          <a:ext cx="384176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149225</xdr:colOff>
      <xdr:row>38</xdr:row>
      <xdr:rowOff>53975</xdr:rowOff>
    </xdr:from>
    <xdr:to>
      <xdr:col>17</xdr:col>
      <xdr:colOff>168276</xdr:colOff>
      <xdr:row>39</xdr:row>
      <xdr:rowOff>152401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4E1CCB5D-8B31-45AD-A316-0C9F107A300B}"/>
            </a:ext>
          </a:extLst>
        </xdr:cNvPr>
        <xdr:cNvSpPr/>
      </xdr:nvSpPr>
      <xdr:spPr>
        <a:xfrm>
          <a:off x="2863850" y="7369175"/>
          <a:ext cx="381001" cy="26035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114300</xdr:colOff>
      <xdr:row>40</xdr:row>
      <xdr:rowOff>47625</xdr:rowOff>
    </xdr:from>
    <xdr:to>
      <xdr:col>21</xdr:col>
      <xdr:colOff>133351</xdr:colOff>
      <xdr:row>41</xdr:row>
      <xdr:rowOff>142876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2AA34BC8-0C7A-4670-B3C4-4758725A9255}"/>
            </a:ext>
          </a:extLst>
        </xdr:cNvPr>
        <xdr:cNvSpPr/>
      </xdr:nvSpPr>
      <xdr:spPr>
        <a:xfrm>
          <a:off x="3552825" y="7686675"/>
          <a:ext cx="381001" cy="257176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85725</xdr:colOff>
      <xdr:row>46</xdr:row>
      <xdr:rowOff>76200</xdr:rowOff>
    </xdr:from>
    <xdr:to>
      <xdr:col>32</xdr:col>
      <xdr:colOff>104776</xdr:colOff>
      <xdr:row>48</xdr:row>
      <xdr:rowOff>6351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BDD42F0F-C81B-4378-81FB-6CF0CF5CC8AA}"/>
            </a:ext>
          </a:extLst>
        </xdr:cNvPr>
        <xdr:cNvSpPr/>
      </xdr:nvSpPr>
      <xdr:spPr>
        <a:xfrm>
          <a:off x="5514975" y="8686800"/>
          <a:ext cx="381001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109</xdr:row>
      <xdr:rowOff>0</xdr:rowOff>
    </xdr:from>
    <xdr:to>
      <xdr:col>22</xdr:col>
      <xdr:colOff>0</xdr:colOff>
      <xdr:row>111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A2175C6-7F03-4E61-8A76-3C36014DFC92}"/>
            </a:ext>
          </a:extLst>
        </xdr:cNvPr>
        <xdr:cNvSpPr/>
      </xdr:nvSpPr>
      <xdr:spPr>
        <a:xfrm>
          <a:off x="30003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30</xdr:col>
      <xdr:colOff>0</xdr:colOff>
      <xdr:row>111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8BA7484-FB42-4FCF-9FFB-67708C27D0D9}"/>
            </a:ext>
          </a:extLst>
        </xdr:cNvPr>
        <xdr:cNvSpPr/>
      </xdr:nvSpPr>
      <xdr:spPr>
        <a:xfrm>
          <a:off x="46005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109</xdr:row>
      <xdr:rowOff>0</xdr:rowOff>
    </xdr:from>
    <xdr:to>
      <xdr:col>38</xdr:col>
      <xdr:colOff>0</xdr:colOff>
      <xdr:row>111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2615D9C-857B-4744-A6D7-A452763794BC}"/>
            </a:ext>
          </a:extLst>
        </xdr:cNvPr>
        <xdr:cNvSpPr/>
      </xdr:nvSpPr>
      <xdr:spPr>
        <a:xfrm>
          <a:off x="62007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EE679313-AA01-4378-BFE0-52E86C603938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180DFBDD-5FDC-439E-9F46-AEF523A26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56</xdr:row>
      <xdr:rowOff>85725</xdr:rowOff>
    </xdr:from>
    <xdr:to>
      <xdr:col>7</xdr:col>
      <xdr:colOff>0</xdr:colOff>
      <xdr:row>58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AEC1DF1-B2C4-4B33-84E5-D2B3604AB064}"/>
            </a:ext>
          </a:extLst>
        </xdr:cNvPr>
        <xdr:cNvSpPr/>
      </xdr:nvSpPr>
      <xdr:spPr>
        <a:xfrm>
          <a:off x="609600" y="105822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twoCellAnchor>
    <xdr:from>
      <xdr:col>3</xdr:col>
      <xdr:colOff>0</xdr:colOff>
      <xdr:row>73</xdr:row>
      <xdr:rowOff>85725</xdr:rowOff>
    </xdr:from>
    <xdr:to>
      <xdr:col>6</xdr:col>
      <xdr:colOff>190500</xdr:colOff>
      <xdr:row>75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399818F-5F0A-43FC-AAFC-D18B112A98C6}"/>
            </a:ext>
          </a:extLst>
        </xdr:cNvPr>
        <xdr:cNvSpPr/>
      </xdr:nvSpPr>
      <xdr:spPr>
        <a:xfrm>
          <a:off x="600075" y="1532572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8</xdr:col>
      <xdr:colOff>43669</xdr:colOff>
      <xdr:row>80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1A87268-0949-40FC-B032-F9F28562860A}"/>
            </a:ext>
          </a:extLst>
        </xdr:cNvPr>
        <xdr:cNvSpPr/>
      </xdr:nvSpPr>
      <xdr:spPr>
        <a:xfrm>
          <a:off x="600075" y="16040100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79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2F3DE82-4C82-422B-91F1-31FB8447F575}"/>
            </a:ext>
          </a:extLst>
        </xdr:cNvPr>
        <xdr:cNvSpPr/>
      </xdr:nvSpPr>
      <xdr:spPr>
        <a:xfrm>
          <a:off x="1756556" y="16040100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81</xdr:row>
      <xdr:rowOff>9502</xdr:rowOff>
    </xdr:from>
    <xdr:ext cx="219106" cy="161948"/>
    <xdr:pic>
      <xdr:nvPicPr>
        <xdr:cNvPr id="13" name="図 12" descr="画面の領域">
          <a:extLst>
            <a:ext uri="{FF2B5EF4-FFF2-40B4-BE49-F238E27FC236}">
              <a16:creationId xmlns:a16="http://schemas.microsoft.com/office/drawing/2014/main" id="{37DE3216-9508-47E8-8E92-4EA1590DE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6392502"/>
          <a:ext cx="219106" cy="161948"/>
        </a:xfrm>
        <a:prstGeom prst="rect">
          <a:avLst/>
        </a:prstGeom>
      </xdr:spPr>
    </xdr:pic>
    <xdr:clientData/>
  </xdr:oneCellAnchor>
  <xdr:twoCellAnchor>
    <xdr:from>
      <xdr:col>45</xdr:col>
      <xdr:colOff>76200</xdr:colOff>
      <xdr:row>56</xdr:row>
      <xdr:rowOff>0</xdr:rowOff>
    </xdr:from>
    <xdr:to>
      <xdr:col>53</xdr:col>
      <xdr:colOff>66675</xdr:colOff>
      <xdr:row>59</xdr:row>
      <xdr:rowOff>66676</xdr:rowOff>
    </xdr:to>
    <xdr:sp macro="" textlink="">
      <xdr:nvSpPr>
        <xdr:cNvPr id="23" name="四角形吹き出し 11">
          <a:extLst>
            <a:ext uri="{FF2B5EF4-FFF2-40B4-BE49-F238E27FC236}">
              <a16:creationId xmlns:a16="http://schemas.microsoft.com/office/drawing/2014/main" id="{A2056365-3806-B7C9-F686-6612E6E03C17}"/>
            </a:ext>
          </a:extLst>
        </xdr:cNvPr>
        <xdr:cNvSpPr/>
      </xdr:nvSpPr>
      <xdr:spPr>
        <a:xfrm>
          <a:off x="9077325" y="11582399"/>
          <a:ext cx="1590675" cy="523877"/>
        </a:xfrm>
        <a:prstGeom prst="wedgeRectCallout">
          <a:avLst>
            <a:gd name="adj1" fmla="val 14928"/>
            <a:gd name="adj2" fmla="val 104761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申請価格の計算式を確認する</a:t>
          </a:r>
          <a:r>
            <a:rPr kumimoji="1" lang="en-US" altLang="ja-JP" sz="800">
              <a:solidFill>
                <a:sysClr val="windowText" lastClr="000000"/>
              </a:solidFill>
            </a:rPr>
            <a:t>2022.10.20  AA</a:t>
          </a: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FOB</a:t>
          </a:r>
          <a:r>
            <a:rPr kumimoji="1" lang="ja-JP" altLang="en-US" sz="800">
              <a:solidFill>
                <a:sysClr val="windowText" lastClr="000000"/>
              </a:solidFill>
            </a:rPr>
            <a:t>価格 </a:t>
          </a:r>
          <a:r>
            <a:rPr kumimoji="1" lang="en-US" altLang="ja-JP" sz="800">
              <a:solidFill>
                <a:sysClr val="windowText" lastClr="000000"/>
              </a:solidFill>
            </a:rPr>
            <a:t>- (CIF</a:t>
          </a:r>
          <a:r>
            <a:rPr kumimoji="1" lang="ja-JP" altLang="en-US" sz="800">
              <a:solidFill>
                <a:sysClr val="windowText" lastClr="000000"/>
              </a:solidFill>
            </a:rPr>
            <a:t>価格 * 口銭率</a:t>
          </a:r>
          <a:r>
            <a:rPr kumimoji="1" lang="en-US" altLang="ja-JP" sz="800">
              <a:solidFill>
                <a:sysClr val="windowText" lastClr="000000"/>
              </a:solidFill>
            </a:rPr>
            <a:t>)</a:t>
          </a:r>
        </a:p>
        <a:p>
          <a:pPr algn="l">
            <a:lnSpc>
              <a:spcPts val="900"/>
            </a:lnSpc>
          </a:pP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84</xdr:row>
      <xdr:rowOff>152400</xdr:rowOff>
    </xdr:from>
    <xdr:to>
      <xdr:col>3</xdr:col>
      <xdr:colOff>28</xdr:colOff>
      <xdr:row>86</xdr:row>
      <xdr:rowOff>19079</xdr:rowOff>
    </xdr:to>
    <xdr:pic>
      <xdr:nvPicPr>
        <xdr:cNvPr id="16" name="図 15" descr="画面の領域">
          <a:extLst>
            <a:ext uri="{FF2B5EF4-FFF2-40B4-BE49-F238E27FC236}">
              <a16:creationId xmlns:a16="http://schemas.microsoft.com/office/drawing/2014/main" id="{3B5E84CC-F78F-43BF-8F6C-9833420E5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49100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104</xdr:row>
      <xdr:rowOff>9502</xdr:rowOff>
    </xdr:from>
    <xdr:ext cx="219106" cy="161948"/>
    <xdr:pic>
      <xdr:nvPicPr>
        <xdr:cNvPr id="17" name="図 16" descr="画面の領域">
          <a:extLst>
            <a:ext uri="{FF2B5EF4-FFF2-40B4-BE49-F238E27FC236}">
              <a16:creationId xmlns:a16="http://schemas.microsoft.com/office/drawing/2014/main" id="{5D13003C-2616-4106-89D2-6F8DBD4A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399220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105</xdr:row>
      <xdr:rowOff>9502</xdr:rowOff>
    </xdr:from>
    <xdr:ext cx="219106" cy="161948"/>
    <xdr:pic>
      <xdr:nvPicPr>
        <xdr:cNvPr id="18" name="図 17" descr="画面の領域">
          <a:extLst>
            <a:ext uri="{FF2B5EF4-FFF2-40B4-BE49-F238E27FC236}">
              <a16:creationId xmlns:a16="http://schemas.microsoft.com/office/drawing/2014/main" id="{856CBFCD-43ED-4526-91B6-2D2321C0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6365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106</xdr:row>
      <xdr:rowOff>9502</xdr:rowOff>
    </xdr:from>
    <xdr:ext cx="219106" cy="161948"/>
    <xdr:pic>
      <xdr:nvPicPr>
        <xdr:cNvPr id="19" name="図 18" descr="画面の領域">
          <a:extLst>
            <a:ext uri="{FF2B5EF4-FFF2-40B4-BE49-F238E27FC236}">
              <a16:creationId xmlns:a16="http://schemas.microsoft.com/office/drawing/2014/main" id="{0CB3E6E8-03EB-46A0-B28B-973242E68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335102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102</xdr:row>
      <xdr:rowOff>0</xdr:rowOff>
    </xdr:from>
    <xdr:ext cx="201083" cy="171450"/>
    <xdr:pic>
      <xdr:nvPicPr>
        <xdr:cNvPr id="20" name="図 19">
          <a:extLst>
            <a:ext uri="{FF2B5EF4-FFF2-40B4-BE49-F238E27FC236}">
              <a16:creationId xmlns:a16="http://schemas.microsoft.com/office/drawing/2014/main" id="{F27D5283-CCDF-4824-BA1A-C299DEE515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398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22" name="図 21">
          <a:extLst>
            <a:ext uri="{FF2B5EF4-FFF2-40B4-BE49-F238E27FC236}">
              <a16:creationId xmlns:a16="http://schemas.microsoft.com/office/drawing/2014/main" id="{D8FA51ED-F86D-4D96-B7C0-0D32F27B11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26" name="図 25">
          <a:extLst>
            <a:ext uri="{FF2B5EF4-FFF2-40B4-BE49-F238E27FC236}">
              <a16:creationId xmlns:a16="http://schemas.microsoft.com/office/drawing/2014/main" id="{901EE48C-3B75-4389-8C13-C56CBCA9B1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201083" cy="171450"/>
    <xdr:pic>
      <xdr:nvPicPr>
        <xdr:cNvPr id="8" name="図 7">
          <a:extLst>
            <a:ext uri="{FF2B5EF4-FFF2-40B4-BE49-F238E27FC236}">
              <a16:creationId xmlns:a16="http://schemas.microsoft.com/office/drawing/2014/main" id="{CE2250BB-491C-4103-B119-BA7B62BF15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88</xdr:row>
      <xdr:rowOff>0</xdr:rowOff>
    </xdr:from>
    <xdr:ext cx="201083" cy="171450"/>
    <xdr:pic>
      <xdr:nvPicPr>
        <xdr:cNvPr id="9" name="図 8">
          <a:extLst>
            <a:ext uri="{FF2B5EF4-FFF2-40B4-BE49-F238E27FC236}">
              <a16:creationId xmlns:a16="http://schemas.microsoft.com/office/drawing/2014/main" id="{BEE88940-0833-4D65-93A1-A1776DA5D4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39255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01083" cy="171450"/>
    <xdr:pic>
      <xdr:nvPicPr>
        <xdr:cNvPr id="21" name="図 20">
          <a:extLst>
            <a:ext uri="{FF2B5EF4-FFF2-40B4-BE49-F238E27FC236}">
              <a16:creationId xmlns:a16="http://schemas.microsoft.com/office/drawing/2014/main" id="{1041A5B3-8B90-4609-BCD5-C2F7B8C541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46113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123825</xdr:colOff>
      <xdr:row>56</xdr:row>
      <xdr:rowOff>85725</xdr:rowOff>
    </xdr:from>
    <xdr:to>
      <xdr:col>11</xdr:col>
      <xdr:colOff>114300</xdr:colOff>
      <xdr:row>58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F4C95BB-93EA-4D0A-AC5D-31D2945DC518}"/>
            </a:ext>
          </a:extLst>
        </xdr:cNvPr>
        <xdr:cNvSpPr/>
      </xdr:nvSpPr>
      <xdr:spPr>
        <a:xfrm>
          <a:off x="1524000" y="88677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tabSelected="1" view="pageBreakPreview" zoomScaleNormal="80" zoomScaleSheetLayoutView="100" workbookViewId="0"/>
  </sheetViews>
  <sheetFormatPr defaultColWidth="8" defaultRowHeight="13"/>
  <cols>
    <col min="1" max="1" width="8.90625" style="1" customWidth="1"/>
    <col min="2" max="8" width="14.36328125" style="1" customWidth="1"/>
    <col min="9" max="9" width="13.6328125" style="1" customWidth="1"/>
    <col min="10" max="10" width="3.36328125" style="1" customWidth="1"/>
    <col min="11" max="11" width="23.7265625" style="1" customWidth="1"/>
    <col min="12" max="12" width="10" style="1" customWidth="1"/>
    <col min="13" max="13" width="23.36328125" style="1" customWidth="1"/>
    <col min="14" max="14" width="9.08984375" style="1" customWidth="1"/>
    <col min="15" max="15" width="19.90625" style="1" customWidth="1"/>
    <col min="16" max="16" width="6.7265625" style="1" customWidth="1"/>
    <col min="17" max="17" width="7.36328125" style="1" customWidth="1"/>
    <col min="18" max="18" width="6.7265625" style="1" customWidth="1"/>
    <col min="19" max="19" width="11" style="1" customWidth="1"/>
    <col min="20" max="20" width="9.90625" style="1" customWidth="1"/>
    <col min="21" max="21" width="8" style="1" customWidth="1"/>
    <col min="22" max="22" width="11.63281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496" t="str">
        <f ca="1">TEXT(変更来歴!AT2,"yyyy年 mm月 dd日") &amp; " " &amp; 変更来歴!AT3</f>
        <v>2026年 05月 18日 r1.2</v>
      </c>
      <c r="C22" s="497"/>
      <c r="D22" s="497"/>
      <c r="E22" s="497"/>
      <c r="F22" s="497"/>
      <c r="G22" s="497"/>
      <c r="H22" s="497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498" t="s">
        <v>28</v>
      </c>
      <c r="D28" s="498"/>
      <c r="E28" s="498"/>
      <c r="F28" s="498" t="s">
        <v>0</v>
      </c>
      <c r="G28" s="498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499"/>
      <c r="D33" s="499"/>
      <c r="E33" s="499"/>
      <c r="F33" s="499"/>
      <c r="G33" s="499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494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495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494"/>
    </row>
    <row r="43" spans="3:20" s="8" customFormat="1" ht="14.25" customHeight="1">
      <c r="K43" s="17"/>
      <c r="L43" s="12"/>
      <c r="N43" s="12"/>
      <c r="R43" s="14"/>
      <c r="S43" s="19"/>
      <c r="T43" s="494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494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494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494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494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494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495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494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495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494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495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494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495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494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495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494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495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494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495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494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495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494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495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494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495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494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495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494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495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494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495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494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495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494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495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494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495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494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495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494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495"/>
    </row>
  </sheetData>
  <mergeCells count="27">
    <mergeCell ref="B22:H22"/>
    <mergeCell ref="T42:T43"/>
    <mergeCell ref="C28:E28"/>
    <mergeCell ref="F28:G28"/>
    <mergeCell ref="C33:E33"/>
    <mergeCell ref="F33:G33"/>
    <mergeCell ref="T38:T39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T118:T119"/>
    <mergeCell ref="T122:T123"/>
    <mergeCell ref="T94:T95"/>
    <mergeCell ref="T98:T99"/>
    <mergeCell ref="T102:T103"/>
    <mergeCell ref="T106:T107"/>
    <mergeCell ref="T110:T111"/>
    <mergeCell ref="T114:T115"/>
  </mergeCells>
  <phoneticPr fontId="11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sqref="A1:H1"/>
    </sheetView>
  </sheetViews>
  <sheetFormatPr defaultRowHeight="13"/>
  <cols>
    <col min="1" max="64" width="2.6328125" customWidth="1"/>
  </cols>
  <sheetData>
    <row r="1" spans="1:53" ht="12" customHeight="1">
      <c r="A1" s="524" t="s">
        <v>4</v>
      </c>
      <c r="B1" s="524"/>
      <c r="C1" s="524"/>
      <c r="D1" s="524"/>
      <c r="E1" s="524"/>
      <c r="F1" s="524"/>
      <c r="G1" s="524"/>
      <c r="H1" s="524"/>
      <c r="I1" s="511" t="s">
        <v>5</v>
      </c>
      <c r="J1" s="511"/>
      <c r="K1" s="511"/>
      <c r="L1" s="511"/>
      <c r="M1" s="522" t="s">
        <v>6</v>
      </c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11" t="s">
        <v>7</v>
      </c>
      <c r="Y1" s="511"/>
      <c r="Z1" s="511"/>
      <c r="AA1" s="526" t="s">
        <v>327</v>
      </c>
      <c r="AB1" s="526"/>
      <c r="AC1" s="526"/>
      <c r="AD1" s="526"/>
      <c r="AE1" s="526"/>
      <c r="AF1" s="526"/>
      <c r="AG1" s="526"/>
      <c r="AH1" s="526"/>
      <c r="AI1" s="526"/>
      <c r="AJ1" s="526"/>
      <c r="AK1" s="500" t="s">
        <v>8</v>
      </c>
      <c r="AL1" s="500"/>
      <c r="AM1" s="500"/>
      <c r="AN1" s="502" t="s">
        <v>173</v>
      </c>
      <c r="AO1" s="502"/>
      <c r="AP1" s="502"/>
      <c r="AQ1" s="500" t="s">
        <v>9</v>
      </c>
      <c r="AR1" s="500"/>
      <c r="AS1" s="500"/>
      <c r="AT1" s="503">
        <f>AL7</f>
        <v>46125</v>
      </c>
      <c r="AU1" s="503"/>
      <c r="AV1" s="503"/>
      <c r="AW1" s="503"/>
      <c r="AX1" s="507" t="s">
        <v>10</v>
      </c>
      <c r="AY1" s="508"/>
      <c r="AZ1" s="508"/>
      <c r="BA1" s="509"/>
    </row>
    <row r="2" spans="1:53">
      <c r="A2" s="510" t="s">
        <v>16</v>
      </c>
      <c r="B2" s="510"/>
      <c r="C2" s="510"/>
      <c r="D2" s="510"/>
      <c r="E2" s="510"/>
      <c r="F2" s="510"/>
      <c r="G2" s="510"/>
      <c r="H2" s="510"/>
      <c r="I2" s="511" t="s">
        <v>11</v>
      </c>
      <c r="J2" s="511"/>
      <c r="K2" s="511"/>
      <c r="L2" s="511"/>
      <c r="M2" s="512" t="s">
        <v>29</v>
      </c>
      <c r="N2" s="513"/>
      <c r="O2" s="513"/>
      <c r="P2" s="513"/>
      <c r="Q2" s="513"/>
      <c r="R2" s="513"/>
      <c r="S2" s="513"/>
      <c r="T2" s="513"/>
      <c r="U2" s="513"/>
      <c r="V2" s="513"/>
      <c r="W2" s="514"/>
      <c r="X2" s="511"/>
      <c r="Y2" s="511"/>
      <c r="Z2" s="511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00" t="s">
        <v>12</v>
      </c>
      <c r="AL2" s="500"/>
      <c r="AM2" s="500"/>
      <c r="AN2" s="502" t="s">
        <v>173</v>
      </c>
      <c r="AO2" s="502"/>
      <c r="AP2" s="502"/>
      <c r="AQ2" s="500" t="s">
        <v>13</v>
      </c>
      <c r="AR2" s="500"/>
      <c r="AS2" s="500"/>
      <c r="AT2" s="503">
        <v>46160</v>
      </c>
      <c r="AU2" s="503"/>
      <c r="AV2" s="503"/>
      <c r="AW2" s="503"/>
      <c r="AX2" s="515" t="s">
        <v>31</v>
      </c>
      <c r="AY2" s="516"/>
      <c r="AZ2" s="516"/>
      <c r="BA2" s="517"/>
    </row>
    <row r="3" spans="1:53" ht="12" customHeight="1">
      <c r="A3" s="521" t="s">
        <v>26</v>
      </c>
      <c r="B3" s="521"/>
      <c r="C3" s="521"/>
      <c r="D3" s="521"/>
      <c r="E3" s="521"/>
      <c r="F3" s="521"/>
      <c r="G3" s="521"/>
      <c r="H3" s="521"/>
      <c r="I3" s="511" t="s">
        <v>14</v>
      </c>
      <c r="J3" s="511"/>
      <c r="K3" s="511"/>
      <c r="L3" s="511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11" t="s">
        <v>27</v>
      </c>
      <c r="Y3" s="511"/>
      <c r="Z3" s="511"/>
      <c r="AA3" s="523" t="s">
        <v>323</v>
      </c>
      <c r="AB3" s="523"/>
      <c r="AC3" s="523"/>
      <c r="AD3" s="523"/>
      <c r="AE3" s="523"/>
      <c r="AF3" s="523"/>
      <c r="AG3" s="523"/>
      <c r="AH3" s="523"/>
      <c r="AI3" s="523"/>
      <c r="AJ3" s="523"/>
      <c r="AK3" s="523"/>
      <c r="AL3" s="523"/>
      <c r="AM3" s="523"/>
      <c r="AN3" s="523"/>
      <c r="AO3" s="523"/>
      <c r="AP3" s="523"/>
      <c r="AQ3" s="500" t="s">
        <v>15</v>
      </c>
      <c r="AR3" s="500"/>
      <c r="AS3" s="500"/>
      <c r="AT3" s="501" t="str">
        <f ca="1">INDIRECT("A" &amp; COUNTA(A7:A39) + 6)</f>
        <v>r1.2</v>
      </c>
      <c r="AU3" s="501"/>
      <c r="AV3" s="501"/>
      <c r="AW3" s="501"/>
      <c r="AX3" s="518"/>
      <c r="AY3" s="519"/>
      <c r="AZ3" s="519"/>
      <c r="BA3" s="520"/>
    </row>
    <row r="4" spans="1:53" ht="5.9" customHeight="1"/>
    <row r="5" spans="1:53" ht="14">
      <c r="A5" s="525" t="s">
        <v>25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525"/>
      <c r="AC5" s="525"/>
      <c r="AD5" s="525"/>
      <c r="AE5" s="525"/>
      <c r="AF5" s="525"/>
      <c r="AG5" s="525"/>
      <c r="AH5" s="525"/>
      <c r="AI5" s="525"/>
      <c r="AJ5" s="525"/>
      <c r="AK5" s="525"/>
      <c r="AL5" s="525"/>
      <c r="AM5" s="525"/>
      <c r="AN5" s="525"/>
      <c r="AO5" s="525"/>
      <c r="AP5" s="525"/>
      <c r="AQ5" s="525"/>
      <c r="AR5" s="525"/>
      <c r="AS5" s="525"/>
      <c r="AT5" s="525"/>
      <c r="AU5" s="525"/>
      <c r="AV5" s="525"/>
      <c r="AW5" s="525"/>
      <c r="AX5" s="525"/>
      <c r="AY5" s="525"/>
      <c r="AZ5" s="525"/>
      <c r="BA5" s="525"/>
    </row>
    <row r="6" spans="1:53">
      <c r="A6" s="504" t="s">
        <v>24</v>
      </c>
      <c r="B6" s="505"/>
      <c r="C6" s="506" t="s">
        <v>17</v>
      </c>
      <c r="D6" s="506"/>
      <c r="E6" s="506"/>
      <c r="F6" s="506"/>
      <c r="G6" s="506"/>
      <c r="H6" s="506"/>
      <c r="I6" s="506"/>
      <c r="J6" s="506"/>
      <c r="K6" s="506"/>
      <c r="L6" s="506"/>
      <c r="M6" s="506"/>
      <c r="N6" s="506"/>
      <c r="O6" s="506"/>
      <c r="P6" s="506"/>
      <c r="Q6" s="506" t="s">
        <v>18</v>
      </c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  <c r="AL6" s="506" t="s">
        <v>19</v>
      </c>
      <c r="AM6" s="506"/>
      <c r="AN6" s="506"/>
      <c r="AO6" s="506"/>
      <c r="AP6" s="506" t="s">
        <v>20</v>
      </c>
      <c r="AQ6" s="506"/>
      <c r="AR6" s="506"/>
      <c r="AS6" s="506" t="s">
        <v>21</v>
      </c>
      <c r="AT6" s="506"/>
      <c r="AU6" s="506"/>
      <c r="AV6" s="506" t="s">
        <v>22</v>
      </c>
      <c r="AW6" s="506"/>
      <c r="AX6" s="506"/>
      <c r="AY6" s="506"/>
      <c r="AZ6" s="506"/>
      <c r="BA6" s="506"/>
    </row>
    <row r="7" spans="1:53">
      <c r="A7" s="529" t="s">
        <v>143</v>
      </c>
      <c r="B7" s="529"/>
      <c r="C7" s="532" t="s">
        <v>23</v>
      </c>
      <c r="D7" s="532"/>
      <c r="E7" s="532"/>
      <c r="F7" s="532"/>
      <c r="G7" s="532"/>
      <c r="H7" s="532"/>
      <c r="I7" s="532"/>
      <c r="J7" s="532"/>
      <c r="K7" s="532"/>
      <c r="L7" s="532"/>
      <c r="M7" s="532"/>
      <c r="N7" s="532"/>
      <c r="O7" s="532"/>
      <c r="P7" s="532"/>
      <c r="Q7" s="532"/>
      <c r="R7" s="532"/>
      <c r="S7" s="532"/>
      <c r="T7" s="532"/>
      <c r="U7" s="532"/>
      <c r="V7" s="532"/>
      <c r="W7" s="532"/>
      <c r="X7" s="532"/>
      <c r="Y7" s="532"/>
      <c r="Z7" s="532"/>
      <c r="AA7" s="532"/>
      <c r="AB7" s="532"/>
      <c r="AC7" s="532"/>
      <c r="AD7" s="532"/>
      <c r="AE7" s="532"/>
      <c r="AF7" s="532"/>
      <c r="AG7" s="532"/>
      <c r="AH7" s="532"/>
      <c r="AI7" s="532"/>
      <c r="AJ7" s="532"/>
      <c r="AK7" s="532"/>
      <c r="AL7" s="540">
        <v>46125</v>
      </c>
      <c r="AM7" s="541"/>
      <c r="AN7" s="541"/>
      <c r="AO7" s="541"/>
      <c r="AP7" s="532" t="s">
        <v>173</v>
      </c>
      <c r="AQ7" s="532"/>
      <c r="AR7" s="532"/>
      <c r="AS7" s="532"/>
      <c r="AT7" s="532"/>
      <c r="AU7" s="532"/>
      <c r="AV7" s="532"/>
      <c r="AW7" s="532"/>
      <c r="AX7" s="532"/>
      <c r="AY7" s="532"/>
      <c r="AZ7" s="532"/>
      <c r="BA7" s="532"/>
    </row>
    <row r="8" spans="1:53" ht="13" customHeight="1">
      <c r="A8" s="527" t="s">
        <v>319</v>
      </c>
      <c r="B8" s="528"/>
      <c r="C8" s="533" t="s">
        <v>321</v>
      </c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5" t="s">
        <v>326</v>
      </c>
      <c r="R8" s="536"/>
      <c r="S8" s="536"/>
      <c r="T8" s="536"/>
      <c r="U8" s="536"/>
      <c r="V8" s="536"/>
      <c r="W8" s="536"/>
      <c r="X8" s="536"/>
      <c r="Y8" s="536"/>
      <c r="Z8" s="536"/>
      <c r="AA8" s="536"/>
      <c r="AB8" s="536"/>
      <c r="AC8" s="536"/>
      <c r="AD8" s="536"/>
      <c r="AE8" s="536"/>
      <c r="AF8" s="536"/>
      <c r="AG8" s="536"/>
      <c r="AH8" s="536"/>
      <c r="AI8" s="536"/>
      <c r="AJ8" s="536"/>
      <c r="AK8" s="537"/>
      <c r="AL8" s="542">
        <v>46134</v>
      </c>
      <c r="AM8" s="543"/>
      <c r="AN8" s="543"/>
      <c r="AO8" s="544"/>
      <c r="AP8" s="532" t="s">
        <v>320</v>
      </c>
      <c r="AQ8" s="532"/>
      <c r="AR8" s="532"/>
      <c r="AS8" s="532"/>
      <c r="AT8" s="532"/>
      <c r="AU8" s="532"/>
      <c r="AV8" s="532"/>
      <c r="AW8" s="532"/>
      <c r="AX8" s="532"/>
      <c r="AY8" s="532"/>
      <c r="AZ8" s="532"/>
      <c r="BA8" s="532"/>
    </row>
    <row r="9" spans="1:53">
      <c r="A9" s="527" t="s">
        <v>324</v>
      </c>
      <c r="B9" s="528"/>
      <c r="C9" s="532" t="s">
        <v>325</v>
      </c>
      <c r="D9" s="532"/>
      <c r="E9" s="532"/>
      <c r="F9" s="532"/>
      <c r="G9" s="532"/>
      <c r="H9" s="532"/>
      <c r="I9" s="532"/>
      <c r="J9" s="532"/>
      <c r="K9" s="532"/>
      <c r="L9" s="532"/>
      <c r="M9" s="532"/>
      <c r="N9" s="532"/>
      <c r="O9" s="532"/>
      <c r="P9" s="532"/>
      <c r="Q9" s="535" t="s">
        <v>326</v>
      </c>
      <c r="R9" s="536"/>
      <c r="S9" s="536"/>
      <c r="T9" s="536"/>
      <c r="U9" s="536"/>
      <c r="V9" s="536"/>
      <c r="W9" s="536"/>
      <c r="X9" s="536"/>
      <c r="Y9" s="536"/>
      <c r="Z9" s="536"/>
      <c r="AA9" s="536"/>
      <c r="AB9" s="536"/>
      <c r="AC9" s="536"/>
      <c r="AD9" s="536"/>
      <c r="AE9" s="536"/>
      <c r="AF9" s="536"/>
      <c r="AG9" s="536"/>
      <c r="AH9" s="536"/>
      <c r="AI9" s="536"/>
      <c r="AJ9" s="536"/>
      <c r="AK9" s="537"/>
      <c r="AL9" s="542">
        <v>46160</v>
      </c>
      <c r="AM9" s="543"/>
      <c r="AN9" s="543"/>
      <c r="AO9" s="544"/>
      <c r="AP9" s="532" t="s">
        <v>320</v>
      </c>
      <c r="AQ9" s="532"/>
      <c r="AR9" s="532"/>
      <c r="AS9" s="532"/>
      <c r="AT9" s="532"/>
      <c r="AU9" s="532"/>
      <c r="AV9" s="532"/>
      <c r="AW9" s="532"/>
      <c r="AX9" s="532"/>
      <c r="AY9" s="532"/>
      <c r="AZ9" s="532"/>
      <c r="BA9" s="532"/>
    </row>
    <row r="10" spans="1:53">
      <c r="A10" s="529"/>
      <c r="B10" s="529"/>
      <c r="C10" s="532"/>
      <c r="D10" s="532"/>
      <c r="E10" s="532"/>
      <c r="F10" s="532"/>
      <c r="G10" s="532"/>
      <c r="H10" s="532"/>
      <c r="I10" s="532"/>
      <c r="J10" s="532"/>
      <c r="K10" s="532"/>
      <c r="L10" s="532"/>
      <c r="M10" s="532"/>
      <c r="N10" s="532"/>
      <c r="O10" s="532"/>
      <c r="P10" s="532"/>
      <c r="Q10" s="533"/>
      <c r="R10" s="532"/>
      <c r="S10" s="532"/>
      <c r="T10" s="532"/>
      <c r="U10" s="532"/>
      <c r="V10" s="532"/>
      <c r="W10" s="532"/>
      <c r="X10" s="532"/>
      <c r="Y10" s="532"/>
      <c r="Z10" s="532"/>
      <c r="AA10" s="532"/>
      <c r="AB10" s="532"/>
      <c r="AC10" s="532"/>
      <c r="AD10" s="532"/>
      <c r="AE10" s="532"/>
      <c r="AF10" s="532"/>
      <c r="AG10" s="532"/>
      <c r="AH10" s="532"/>
      <c r="AI10" s="532"/>
      <c r="AJ10" s="532"/>
      <c r="AK10" s="532"/>
      <c r="AL10" s="539"/>
      <c r="AM10" s="529"/>
      <c r="AN10" s="529"/>
      <c r="AO10" s="529"/>
      <c r="AP10" s="532"/>
      <c r="AQ10" s="532"/>
      <c r="AR10" s="532"/>
      <c r="AS10" s="532"/>
      <c r="AT10" s="532"/>
      <c r="AU10" s="532"/>
      <c r="AV10" s="532"/>
      <c r="AW10" s="532"/>
      <c r="AX10" s="532"/>
      <c r="AY10" s="532"/>
      <c r="AZ10" s="532"/>
      <c r="BA10" s="532"/>
    </row>
    <row r="11" spans="1:53">
      <c r="A11" s="529"/>
      <c r="B11" s="529"/>
      <c r="C11" s="533"/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2"/>
      <c r="Q11" s="533"/>
      <c r="R11" s="532"/>
      <c r="S11" s="532"/>
      <c r="T11" s="532"/>
      <c r="U11" s="532"/>
      <c r="V11" s="532"/>
      <c r="W11" s="532"/>
      <c r="X11" s="532"/>
      <c r="Y11" s="532"/>
      <c r="Z11" s="532"/>
      <c r="AA11" s="532"/>
      <c r="AB11" s="532"/>
      <c r="AC11" s="532"/>
      <c r="AD11" s="532"/>
      <c r="AE11" s="532"/>
      <c r="AF11" s="532"/>
      <c r="AG11" s="532"/>
      <c r="AH11" s="532"/>
      <c r="AI11" s="532"/>
      <c r="AJ11" s="532"/>
      <c r="AK11" s="532"/>
      <c r="AL11" s="539"/>
      <c r="AM11" s="529"/>
      <c r="AN11" s="529"/>
      <c r="AO11" s="529"/>
      <c r="AP11" s="532"/>
      <c r="AQ11" s="532"/>
      <c r="AR11" s="532"/>
      <c r="AS11" s="532"/>
      <c r="AT11" s="532"/>
      <c r="AU11" s="532"/>
      <c r="AV11" s="532"/>
      <c r="AW11" s="532"/>
      <c r="AX11" s="532"/>
      <c r="AY11" s="532"/>
      <c r="AZ11" s="532"/>
      <c r="BA11" s="532"/>
    </row>
    <row r="12" spans="1:53">
      <c r="A12" s="529"/>
      <c r="B12" s="529"/>
      <c r="C12" s="532"/>
      <c r="D12" s="532"/>
      <c r="E12" s="532"/>
      <c r="F12" s="532"/>
      <c r="G12" s="532"/>
      <c r="H12" s="532"/>
      <c r="I12" s="532"/>
      <c r="J12" s="532"/>
      <c r="K12" s="532"/>
      <c r="L12" s="532"/>
      <c r="M12" s="532"/>
      <c r="N12" s="532"/>
      <c r="O12" s="532"/>
      <c r="P12" s="532"/>
      <c r="Q12" s="532"/>
      <c r="R12" s="532"/>
      <c r="S12" s="532"/>
      <c r="T12" s="532"/>
      <c r="U12" s="532"/>
      <c r="V12" s="532"/>
      <c r="W12" s="532"/>
      <c r="X12" s="532"/>
      <c r="Y12" s="532"/>
      <c r="Z12" s="532"/>
      <c r="AA12" s="532"/>
      <c r="AB12" s="532"/>
      <c r="AC12" s="532"/>
      <c r="AD12" s="532"/>
      <c r="AE12" s="532"/>
      <c r="AF12" s="532"/>
      <c r="AG12" s="532"/>
      <c r="AH12" s="532"/>
      <c r="AI12" s="532"/>
      <c r="AJ12" s="532"/>
      <c r="AK12" s="532"/>
      <c r="AL12" s="539"/>
      <c r="AM12" s="529"/>
      <c r="AN12" s="529"/>
      <c r="AO12" s="529"/>
      <c r="AP12" s="532"/>
      <c r="AQ12" s="532"/>
      <c r="AR12" s="532"/>
      <c r="AS12" s="532"/>
      <c r="AT12" s="532"/>
      <c r="AU12" s="532"/>
      <c r="AV12" s="532"/>
      <c r="AW12" s="532"/>
      <c r="AX12" s="532"/>
      <c r="AY12" s="532"/>
      <c r="AZ12" s="532"/>
      <c r="BA12" s="532"/>
    </row>
    <row r="13" spans="1:53">
      <c r="A13" s="531"/>
      <c r="B13" s="531"/>
      <c r="C13" s="534"/>
      <c r="D13" s="534"/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3"/>
      <c r="R13" s="532"/>
      <c r="S13" s="532"/>
      <c r="T13" s="532"/>
      <c r="U13" s="532"/>
      <c r="V13" s="532"/>
      <c r="W13" s="532"/>
      <c r="X13" s="532"/>
      <c r="Y13" s="532"/>
      <c r="Z13" s="532"/>
      <c r="AA13" s="532"/>
      <c r="AB13" s="532"/>
      <c r="AC13" s="532"/>
      <c r="AD13" s="532"/>
      <c r="AE13" s="532"/>
      <c r="AF13" s="532"/>
      <c r="AG13" s="532"/>
      <c r="AH13" s="532"/>
      <c r="AI13" s="532"/>
      <c r="AJ13" s="532"/>
      <c r="AK13" s="532"/>
      <c r="AL13" s="545"/>
      <c r="AM13" s="531"/>
      <c r="AN13" s="531"/>
      <c r="AO13" s="531"/>
      <c r="AP13" s="532"/>
      <c r="AQ13" s="532"/>
      <c r="AR13" s="532"/>
      <c r="AS13" s="534"/>
      <c r="AT13" s="534"/>
      <c r="AU13" s="534"/>
      <c r="AV13" s="534"/>
      <c r="AW13" s="534"/>
      <c r="AX13" s="534"/>
      <c r="AY13" s="534"/>
      <c r="AZ13" s="534"/>
      <c r="BA13" s="534"/>
    </row>
    <row r="14" spans="1:53">
      <c r="A14" s="529"/>
      <c r="B14" s="529"/>
      <c r="C14" s="532"/>
      <c r="D14" s="532"/>
      <c r="E14" s="532"/>
      <c r="F14" s="532"/>
      <c r="G14" s="532"/>
      <c r="H14" s="532"/>
      <c r="I14" s="532"/>
      <c r="J14" s="532"/>
      <c r="K14" s="532"/>
      <c r="L14" s="532"/>
      <c r="M14" s="532"/>
      <c r="N14" s="532"/>
      <c r="O14" s="532"/>
      <c r="P14" s="532"/>
      <c r="Q14" s="533"/>
      <c r="R14" s="532"/>
      <c r="S14" s="532"/>
      <c r="T14" s="532"/>
      <c r="U14" s="532"/>
      <c r="V14" s="532"/>
      <c r="W14" s="532"/>
      <c r="X14" s="532"/>
      <c r="Y14" s="532"/>
      <c r="Z14" s="532"/>
      <c r="AA14" s="532"/>
      <c r="AB14" s="532"/>
      <c r="AC14" s="532"/>
      <c r="AD14" s="532"/>
      <c r="AE14" s="532"/>
      <c r="AF14" s="532"/>
      <c r="AG14" s="532"/>
      <c r="AH14" s="532"/>
      <c r="AI14" s="532"/>
      <c r="AJ14" s="532"/>
      <c r="AK14" s="532"/>
      <c r="AL14" s="539"/>
      <c r="AM14" s="529"/>
      <c r="AN14" s="529"/>
      <c r="AO14" s="529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</row>
    <row r="15" spans="1:53">
      <c r="A15" s="529"/>
      <c r="B15" s="529"/>
      <c r="C15" s="532"/>
      <c r="D15" s="532"/>
      <c r="E15" s="532"/>
      <c r="F15" s="532"/>
      <c r="G15" s="532"/>
      <c r="H15" s="532"/>
      <c r="I15" s="532"/>
      <c r="J15" s="532"/>
      <c r="K15" s="532"/>
      <c r="L15" s="532"/>
      <c r="M15" s="532"/>
      <c r="N15" s="532"/>
      <c r="O15" s="532"/>
      <c r="P15" s="532"/>
      <c r="Q15" s="533"/>
      <c r="R15" s="532"/>
      <c r="S15" s="532"/>
      <c r="T15" s="532"/>
      <c r="U15" s="532"/>
      <c r="V15" s="532"/>
      <c r="W15" s="532"/>
      <c r="X15" s="532"/>
      <c r="Y15" s="532"/>
      <c r="Z15" s="532"/>
      <c r="AA15" s="532"/>
      <c r="AB15" s="532"/>
      <c r="AC15" s="532"/>
      <c r="AD15" s="532"/>
      <c r="AE15" s="532"/>
      <c r="AF15" s="532"/>
      <c r="AG15" s="532"/>
      <c r="AH15" s="532"/>
      <c r="AI15" s="532"/>
      <c r="AJ15" s="532"/>
      <c r="AK15" s="532"/>
      <c r="AL15" s="539"/>
      <c r="AM15" s="529"/>
      <c r="AN15" s="529"/>
      <c r="AO15" s="529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</row>
    <row r="16" spans="1:53">
      <c r="A16" s="529"/>
      <c r="B16" s="529"/>
      <c r="C16" s="532"/>
      <c r="D16" s="532"/>
      <c r="E16" s="532"/>
      <c r="F16" s="532"/>
      <c r="G16" s="532"/>
      <c r="H16" s="532"/>
      <c r="I16" s="532"/>
      <c r="J16" s="532"/>
      <c r="K16" s="532"/>
      <c r="L16" s="532"/>
      <c r="M16" s="532"/>
      <c r="N16" s="532"/>
      <c r="O16" s="532"/>
      <c r="P16" s="532"/>
      <c r="Q16" s="533"/>
      <c r="R16" s="532"/>
      <c r="S16" s="532"/>
      <c r="T16" s="532"/>
      <c r="U16" s="532"/>
      <c r="V16" s="532"/>
      <c r="W16" s="532"/>
      <c r="X16" s="532"/>
      <c r="Y16" s="532"/>
      <c r="Z16" s="532"/>
      <c r="AA16" s="532"/>
      <c r="AB16" s="532"/>
      <c r="AC16" s="532"/>
      <c r="AD16" s="532"/>
      <c r="AE16" s="532"/>
      <c r="AF16" s="532"/>
      <c r="AG16" s="532"/>
      <c r="AH16" s="532"/>
      <c r="AI16" s="532"/>
      <c r="AJ16" s="532"/>
      <c r="AK16" s="532"/>
      <c r="AL16" s="539"/>
      <c r="AM16" s="529"/>
      <c r="AN16" s="529"/>
      <c r="AO16" s="529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</row>
    <row r="17" spans="1:53">
      <c r="A17" s="530"/>
      <c r="B17" s="530"/>
      <c r="C17" s="532"/>
      <c r="D17" s="532"/>
      <c r="E17" s="532"/>
      <c r="F17" s="532"/>
      <c r="G17" s="532"/>
      <c r="H17" s="532"/>
      <c r="I17" s="532"/>
      <c r="J17" s="532"/>
      <c r="K17" s="532"/>
      <c r="L17" s="532"/>
      <c r="M17" s="532"/>
      <c r="N17" s="532"/>
      <c r="O17" s="532"/>
      <c r="P17" s="532"/>
      <c r="Q17" s="532"/>
      <c r="R17" s="538"/>
      <c r="S17" s="538"/>
      <c r="T17" s="538"/>
      <c r="U17" s="538"/>
      <c r="V17" s="538"/>
      <c r="W17" s="538"/>
      <c r="X17" s="538"/>
      <c r="Y17" s="538"/>
      <c r="Z17" s="538"/>
      <c r="AA17" s="538"/>
      <c r="AB17" s="538"/>
      <c r="AC17" s="538"/>
      <c r="AD17" s="538"/>
      <c r="AE17" s="538"/>
      <c r="AF17" s="538"/>
      <c r="AG17" s="538"/>
      <c r="AH17" s="538"/>
      <c r="AI17" s="538"/>
      <c r="AJ17" s="538"/>
      <c r="AK17" s="538"/>
      <c r="AL17" s="539"/>
      <c r="AM17" s="529"/>
      <c r="AN17" s="529"/>
      <c r="AO17" s="529"/>
      <c r="AP17" s="532"/>
      <c r="AQ17" s="538"/>
      <c r="AR17" s="538"/>
      <c r="AS17" s="538"/>
      <c r="AT17" s="538"/>
      <c r="AU17" s="538"/>
      <c r="AV17" s="538"/>
      <c r="AW17" s="538"/>
      <c r="AX17" s="538"/>
      <c r="AY17" s="538"/>
      <c r="AZ17" s="538"/>
      <c r="BA17" s="538"/>
    </row>
    <row r="18" spans="1:53">
      <c r="A18" s="530"/>
      <c r="B18" s="530"/>
      <c r="C18" s="532"/>
      <c r="D18" s="532"/>
      <c r="E18" s="532"/>
      <c r="F18" s="532"/>
      <c r="G18" s="532"/>
      <c r="H18" s="532"/>
      <c r="I18" s="532"/>
      <c r="J18" s="532"/>
      <c r="K18" s="532"/>
      <c r="L18" s="532"/>
      <c r="M18" s="532"/>
      <c r="N18" s="532"/>
      <c r="O18" s="532"/>
      <c r="P18" s="532"/>
      <c r="Q18" s="532"/>
      <c r="R18" s="538"/>
      <c r="S18" s="538"/>
      <c r="T18" s="538"/>
      <c r="U18" s="538"/>
      <c r="V18" s="538"/>
      <c r="W18" s="538"/>
      <c r="X18" s="538"/>
      <c r="Y18" s="538"/>
      <c r="Z18" s="538"/>
      <c r="AA18" s="538"/>
      <c r="AB18" s="538"/>
      <c r="AC18" s="538"/>
      <c r="AD18" s="538"/>
      <c r="AE18" s="538"/>
      <c r="AF18" s="538"/>
      <c r="AG18" s="538"/>
      <c r="AH18" s="538"/>
      <c r="AI18" s="538"/>
      <c r="AJ18" s="538"/>
      <c r="AK18" s="538"/>
      <c r="AL18" s="539"/>
      <c r="AM18" s="529"/>
      <c r="AN18" s="529"/>
      <c r="AO18" s="529"/>
      <c r="AP18" s="532"/>
      <c r="AQ18" s="538"/>
      <c r="AR18" s="538"/>
      <c r="AS18" s="538"/>
      <c r="AT18" s="538"/>
      <c r="AU18" s="538"/>
      <c r="AV18" s="538"/>
      <c r="AW18" s="538"/>
      <c r="AX18" s="538"/>
      <c r="AY18" s="538"/>
      <c r="AZ18" s="538"/>
      <c r="BA18" s="538"/>
    </row>
    <row r="19" spans="1:53">
      <c r="A19" s="529"/>
      <c r="B19" s="529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2"/>
      <c r="N19" s="532"/>
      <c r="O19" s="532"/>
      <c r="P19" s="532"/>
      <c r="Q19" s="532"/>
      <c r="R19" s="532"/>
      <c r="S19" s="532"/>
      <c r="T19" s="532"/>
      <c r="U19" s="532"/>
      <c r="V19" s="532"/>
      <c r="W19" s="532"/>
      <c r="X19" s="532"/>
      <c r="Y19" s="532"/>
      <c r="Z19" s="532"/>
      <c r="AA19" s="532"/>
      <c r="AB19" s="532"/>
      <c r="AC19" s="532"/>
      <c r="AD19" s="532"/>
      <c r="AE19" s="532"/>
      <c r="AF19" s="532"/>
      <c r="AG19" s="532"/>
      <c r="AH19" s="532"/>
      <c r="AI19" s="532"/>
      <c r="AJ19" s="532"/>
      <c r="AK19" s="532"/>
      <c r="AL19" s="539"/>
      <c r="AM19" s="539"/>
      <c r="AN19" s="539"/>
      <c r="AO19" s="539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</row>
    <row r="20" spans="1:53">
      <c r="A20" s="529"/>
      <c r="B20" s="529"/>
      <c r="C20" s="532"/>
      <c r="D20" s="532"/>
      <c r="E20" s="532"/>
      <c r="F20" s="532"/>
      <c r="G20" s="532"/>
      <c r="H20" s="532"/>
      <c r="I20" s="532"/>
      <c r="J20" s="532"/>
      <c r="K20" s="532"/>
      <c r="L20" s="532"/>
      <c r="M20" s="532"/>
      <c r="N20" s="532"/>
      <c r="O20" s="532"/>
      <c r="P20" s="532"/>
      <c r="Q20" s="532"/>
      <c r="R20" s="532"/>
      <c r="S20" s="532"/>
      <c r="T20" s="532"/>
      <c r="U20" s="532"/>
      <c r="V20" s="532"/>
      <c r="W20" s="532"/>
      <c r="X20" s="532"/>
      <c r="Y20" s="532"/>
      <c r="Z20" s="532"/>
      <c r="AA20" s="532"/>
      <c r="AB20" s="532"/>
      <c r="AC20" s="532"/>
      <c r="AD20" s="532"/>
      <c r="AE20" s="532"/>
      <c r="AF20" s="532"/>
      <c r="AG20" s="532"/>
      <c r="AH20" s="532"/>
      <c r="AI20" s="532"/>
      <c r="AJ20" s="532"/>
      <c r="AK20" s="532"/>
      <c r="AL20" s="539"/>
      <c r="AM20" s="539"/>
      <c r="AN20" s="539"/>
      <c r="AO20" s="539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</row>
    <row r="21" spans="1:53" ht="13.5" customHeight="1">
      <c r="A21" s="529"/>
      <c r="B21" s="529"/>
      <c r="C21" s="532"/>
      <c r="D21" s="532"/>
      <c r="E21" s="532"/>
      <c r="F21" s="532"/>
      <c r="G21" s="532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8"/>
      <c r="S21" s="538"/>
      <c r="T21" s="538"/>
      <c r="U21" s="538"/>
      <c r="V21" s="538"/>
      <c r="W21" s="538"/>
      <c r="X21" s="538"/>
      <c r="Y21" s="538"/>
      <c r="Z21" s="538"/>
      <c r="AA21" s="538"/>
      <c r="AB21" s="538"/>
      <c r="AC21" s="538"/>
      <c r="AD21" s="538"/>
      <c r="AE21" s="538"/>
      <c r="AF21" s="538"/>
      <c r="AG21" s="538"/>
      <c r="AH21" s="538"/>
      <c r="AI21" s="538"/>
      <c r="AJ21" s="538"/>
      <c r="AK21" s="538"/>
      <c r="AL21" s="539"/>
      <c r="AM21" s="539"/>
      <c r="AN21" s="539"/>
      <c r="AO21" s="539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</row>
    <row r="22" spans="1:53">
      <c r="A22" s="529"/>
      <c r="B22" s="529"/>
      <c r="C22" s="532"/>
      <c r="D22" s="532"/>
      <c r="E22" s="532"/>
      <c r="F22" s="532"/>
      <c r="G22" s="532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  <c r="AH22" s="532"/>
      <c r="AI22" s="532"/>
      <c r="AJ22" s="532"/>
      <c r="AK22" s="532"/>
      <c r="AL22" s="539"/>
      <c r="AM22" s="539"/>
      <c r="AN22" s="539"/>
      <c r="AO22" s="539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</row>
    <row r="23" spans="1:53">
      <c r="A23" s="529"/>
      <c r="B23" s="529"/>
      <c r="C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8"/>
      <c r="S23" s="538"/>
      <c r="T23" s="538"/>
      <c r="U23" s="538"/>
      <c r="V23" s="538"/>
      <c r="W23" s="538"/>
      <c r="X23" s="538"/>
      <c r="Y23" s="538"/>
      <c r="Z23" s="538"/>
      <c r="AA23" s="538"/>
      <c r="AB23" s="538"/>
      <c r="AC23" s="538"/>
      <c r="AD23" s="538"/>
      <c r="AE23" s="538"/>
      <c r="AF23" s="538"/>
      <c r="AG23" s="538"/>
      <c r="AH23" s="538"/>
      <c r="AI23" s="538"/>
      <c r="AJ23" s="538"/>
      <c r="AK23" s="538"/>
      <c r="AL23" s="539"/>
      <c r="AM23" s="539"/>
      <c r="AN23" s="539"/>
      <c r="AO23" s="539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</row>
    <row r="24" spans="1:53">
      <c r="A24" s="529"/>
      <c r="B24" s="529"/>
      <c r="C24" s="532"/>
      <c r="D24" s="532"/>
      <c r="E24" s="532"/>
      <c r="F24" s="532"/>
      <c r="G24" s="532"/>
      <c r="H24" s="532"/>
      <c r="I24" s="532"/>
      <c r="J24" s="532"/>
      <c r="K24" s="532"/>
      <c r="L24" s="532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  <c r="AA24" s="532"/>
      <c r="AB24" s="532"/>
      <c r="AC24" s="532"/>
      <c r="AD24" s="532"/>
      <c r="AE24" s="532"/>
      <c r="AF24" s="532"/>
      <c r="AG24" s="532"/>
      <c r="AH24" s="532"/>
      <c r="AI24" s="532"/>
      <c r="AJ24" s="532"/>
      <c r="AK24" s="532"/>
      <c r="AL24" s="539"/>
      <c r="AM24" s="539"/>
      <c r="AN24" s="539"/>
      <c r="AO24" s="539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</row>
    <row r="25" spans="1:53">
      <c r="A25" s="529"/>
      <c r="B25" s="529"/>
      <c r="C25" s="532"/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  <c r="AJ25" s="532"/>
      <c r="AK25" s="532"/>
      <c r="AL25" s="539"/>
      <c r="AM25" s="529"/>
      <c r="AN25" s="529"/>
      <c r="AO25" s="529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</row>
    <row r="26" spans="1:53">
      <c r="A26" s="529"/>
      <c r="B26" s="529"/>
      <c r="C26" s="532"/>
      <c r="D26" s="532"/>
      <c r="E26" s="532"/>
      <c r="F26" s="532"/>
      <c r="G26" s="532"/>
      <c r="H26" s="532"/>
      <c r="I26" s="532"/>
      <c r="J26" s="532"/>
      <c r="K26" s="532"/>
      <c r="L26" s="532"/>
      <c r="M26" s="532"/>
      <c r="N26" s="532"/>
      <c r="O26" s="532"/>
      <c r="P26" s="532"/>
      <c r="Q26" s="532"/>
      <c r="R26" s="532"/>
      <c r="S26" s="532"/>
      <c r="T26" s="532"/>
      <c r="U26" s="532"/>
      <c r="V26" s="532"/>
      <c r="W26" s="532"/>
      <c r="X26" s="532"/>
      <c r="Y26" s="532"/>
      <c r="Z26" s="532"/>
      <c r="AA26" s="532"/>
      <c r="AB26" s="532"/>
      <c r="AC26" s="532"/>
      <c r="AD26" s="532"/>
      <c r="AE26" s="532"/>
      <c r="AF26" s="532"/>
      <c r="AG26" s="532"/>
      <c r="AH26" s="532"/>
      <c r="AI26" s="532"/>
      <c r="AJ26" s="532"/>
      <c r="AK26" s="532"/>
      <c r="AL26" s="539"/>
      <c r="AM26" s="529"/>
      <c r="AN26" s="529"/>
      <c r="AO26" s="529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</row>
    <row r="27" spans="1:53">
      <c r="A27" s="529"/>
      <c r="B27" s="529"/>
      <c r="C27" s="532"/>
      <c r="D27" s="532"/>
      <c r="E27" s="532"/>
      <c r="F27" s="532"/>
      <c r="G27" s="532"/>
      <c r="H27" s="532"/>
      <c r="I27" s="532"/>
      <c r="J27" s="532"/>
      <c r="K27" s="532"/>
      <c r="L27" s="532"/>
      <c r="M27" s="532"/>
      <c r="N27" s="532"/>
      <c r="O27" s="532"/>
      <c r="P27" s="532"/>
      <c r="Q27" s="532"/>
      <c r="R27" s="532"/>
      <c r="S27" s="532"/>
      <c r="T27" s="532"/>
      <c r="U27" s="532"/>
      <c r="V27" s="532"/>
      <c r="W27" s="532"/>
      <c r="X27" s="532"/>
      <c r="Y27" s="532"/>
      <c r="Z27" s="532"/>
      <c r="AA27" s="532"/>
      <c r="AB27" s="532"/>
      <c r="AC27" s="532"/>
      <c r="AD27" s="532"/>
      <c r="AE27" s="532"/>
      <c r="AF27" s="532"/>
      <c r="AG27" s="532"/>
      <c r="AH27" s="532"/>
      <c r="AI27" s="532"/>
      <c r="AJ27" s="532"/>
      <c r="AK27" s="532"/>
      <c r="AL27" s="539"/>
      <c r="AM27" s="529"/>
      <c r="AN27" s="529"/>
      <c r="AO27" s="529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</row>
    <row r="28" spans="1:53">
      <c r="A28" s="529"/>
      <c r="B28" s="529"/>
      <c r="C28" s="532"/>
      <c r="D28" s="532"/>
      <c r="E28" s="532"/>
      <c r="F28" s="532"/>
      <c r="G28" s="532"/>
      <c r="H28" s="532"/>
      <c r="I28" s="532"/>
      <c r="J28" s="532"/>
      <c r="K28" s="532"/>
      <c r="L28" s="532"/>
      <c r="M28" s="532"/>
      <c r="N28" s="532"/>
      <c r="O28" s="532"/>
      <c r="P28" s="532"/>
      <c r="Q28" s="532"/>
      <c r="R28" s="532"/>
      <c r="S28" s="532"/>
      <c r="T28" s="532"/>
      <c r="U28" s="532"/>
      <c r="V28" s="532"/>
      <c r="W28" s="532"/>
      <c r="X28" s="532"/>
      <c r="Y28" s="532"/>
      <c r="Z28" s="532"/>
      <c r="AA28" s="532"/>
      <c r="AB28" s="532"/>
      <c r="AC28" s="532"/>
      <c r="AD28" s="532"/>
      <c r="AE28" s="532"/>
      <c r="AF28" s="532"/>
      <c r="AG28" s="532"/>
      <c r="AH28" s="532"/>
      <c r="AI28" s="532"/>
      <c r="AJ28" s="532"/>
      <c r="AK28" s="532"/>
      <c r="AL28" s="539"/>
      <c r="AM28" s="529"/>
      <c r="AN28" s="529"/>
      <c r="AO28" s="529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</row>
    <row r="29" spans="1:53">
      <c r="A29" s="529"/>
      <c r="B29" s="529"/>
      <c r="C29" s="532"/>
      <c r="D29" s="532"/>
      <c r="E29" s="532"/>
      <c r="F29" s="532"/>
      <c r="G29" s="532"/>
      <c r="H29" s="532"/>
      <c r="I29" s="532"/>
      <c r="J29" s="532"/>
      <c r="K29" s="532"/>
      <c r="L29" s="532"/>
      <c r="M29" s="532"/>
      <c r="N29" s="532"/>
      <c r="O29" s="532"/>
      <c r="P29" s="532"/>
      <c r="Q29" s="532"/>
      <c r="R29" s="532"/>
      <c r="S29" s="532"/>
      <c r="T29" s="532"/>
      <c r="U29" s="532"/>
      <c r="V29" s="532"/>
      <c r="W29" s="532"/>
      <c r="X29" s="532"/>
      <c r="Y29" s="532"/>
      <c r="Z29" s="532"/>
      <c r="AA29" s="532"/>
      <c r="AB29" s="532"/>
      <c r="AC29" s="532"/>
      <c r="AD29" s="532"/>
      <c r="AE29" s="532"/>
      <c r="AF29" s="532"/>
      <c r="AG29" s="532"/>
      <c r="AH29" s="532"/>
      <c r="AI29" s="532"/>
      <c r="AJ29" s="532"/>
      <c r="AK29" s="532"/>
      <c r="AL29" s="539"/>
      <c r="AM29" s="529"/>
      <c r="AN29" s="529"/>
      <c r="AO29" s="529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</row>
    <row r="30" spans="1:53">
      <c r="A30" s="529"/>
      <c r="B30" s="529"/>
      <c r="C30" s="532"/>
      <c r="D30" s="532"/>
      <c r="E30" s="532"/>
      <c r="F30" s="532"/>
      <c r="G30" s="532"/>
      <c r="H30" s="532"/>
      <c r="I30" s="532"/>
      <c r="J30" s="532"/>
      <c r="K30" s="532"/>
      <c r="L30" s="532"/>
      <c r="M30" s="532"/>
      <c r="N30" s="532"/>
      <c r="O30" s="532"/>
      <c r="P30" s="532"/>
      <c r="Q30" s="532"/>
      <c r="R30" s="532"/>
      <c r="S30" s="532"/>
      <c r="T30" s="532"/>
      <c r="U30" s="532"/>
      <c r="V30" s="532"/>
      <c r="W30" s="532"/>
      <c r="X30" s="532"/>
      <c r="Y30" s="532"/>
      <c r="Z30" s="532"/>
      <c r="AA30" s="532"/>
      <c r="AB30" s="532"/>
      <c r="AC30" s="532"/>
      <c r="AD30" s="532"/>
      <c r="AE30" s="532"/>
      <c r="AF30" s="532"/>
      <c r="AG30" s="532"/>
      <c r="AH30" s="532"/>
      <c r="AI30" s="532"/>
      <c r="AJ30" s="532"/>
      <c r="AK30" s="532"/>
      <c r="AL30" s="529"/>
      <c r="AM30" s="529"/>
      <c r="AN30" s="529"/>
      <c r="AO30" s="529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</row>
    <row r="31" spans="1:53">
      <c r="A31" s="529"/>
      <c r="B31" s="529"/>
      <c r="C31" s="532"/>
      <c r="D31" s="532"/>
      <c r="E31" s="532"/>
      <c r="F31" s="532"/>
      <c r="G31" s="532"/>
      <c r="H31" s="532"/>
      <c r="I31" s="532"/>
      <c r="J31" s="532"/>
      <c r="K31" s="532"/>
      <c r="L31" s="532"/>
      <c r="M31" s="532"/>
      <c r="N31" s="532"/>
      <c r="O31" s="532"/>
      <c r="P31" s="532"/>
      <c r="Q31" s="532"/>
      <c r="R31" s="532"/>
      <c r="S31" s="532"/>
      <c r="T31" s="532"/>
      <c r="U31" s="532"/>
      <c r="V31" s="532"/>
      <c r="W31" s="532"/>
      <c r="X31" s="532"/>
      <c r="Y31" s="532"/>
      <c r="Z31" s="532"/>
      <c r="AA31" s="532"/>
      <c r="AB31" s="532"/>
      <c r="AC31" s="532"/>
      <c r="AD31" s="532"/>
      <c r="AE31" s="532"/>
      <c r="AF31" s="532"/>
      <c r="AG31" s="532"/>
      <c r="AH31" s="532"/>
      <c r="AI31" s="532"/>
      <c r="AJ31" s="532"/>
      <c r="AK31" s="532"/>
      <c r="AL31" s="529"/>
      <c r="AM31" s="529"/>
      <c r="AN31" s="529"/>
      <c r="AO31" s="529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</row>
    <row r="32" spans="1:53">
      <c r="A32" s="529"/>
      <c r="B32" s="529"/>
      <c r="C32" s="532"/>
      <c r="D32" s="532"/>
      <c r="E32" s="532"/>
      <c r="F32" s="532"/>
      <c r="G32" s="532"/>
      <c r="H32" s="532"/>
      <c r="I32" s="532"/>
      <c r="J32" s="532"/>
      <c r="K32" s="532"/>
      <c r="L32" s="532"/>
      <c r="M32" s="532"/>
      <c r="N32" s="532"/>
      <c r="O32" s="532"/>
      <c r="P32" s="532"/>
      <c r="Q32" s="532"/>
      <c r="R32" s="532"/>
      <c r="S32" s="532"/>
      <c r="T32" s="532"/>
      <c r="U32" s="532"/>
      <c r="V32" s="532"/>
      <c r="W32" s="532"/>
      <c r="X32" s="532"/>
      <c r="Y32" s="532"/>
      <c r="Z32" s="532"/>
      <c r="AA32" s="532"/>
      <c r="AB32" s="532"/>
      <c r="AC32" s="532"/>
      <c r="AD32" s="532"/>
      <c r="AE32" s="532"/>
      <c r="AF32" s="532"/>
      <c r="AG32" s="532"/>
      <c r="AH32" s="532"/>
      <c r="AI32" s="532"/>
      <c r="AJ32" s="532"/>
      <c r="AK32" s="532"/>
      <c r="AL32" s="529"/>
      <c r="AM32" s="529"/>
      <c r="AN32" s="529"/>
      <c r="AO32" s="529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</row>
    <row r="33" spans="1:53">
      <c r="A33" s="529"/>
      <c r="B33" s="529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  <c r="P33" s="532"/>
      <c r="Q33" s="532"/>
      <c r="R33" s="532"/>
      <c r="S33" s="532"/>
      <c r="T33" s="532"/>
      <c r="U33" s="532"/>
      <c r="V33" s="532"/>
      <c r="W33" s="532"/>
      <c r="X33" s="532"/>
      <c r="Y33" s="532"/>
      <c r="Z33" s="532"/>
      <c r="AA33" s="532"/>
      <c r="AB33" s="532"/>
      <c r="AC33" s="532"/>
      <c r="AD33" s="532"/>
      <c r="AE33" s="532"/>
      <c r="AF33" s="532"/>
      <c r="AG33" s="532"/>
      <c r="AH33" s="532"/>
      <c r="AI33" s="532"/>
      <c r="AJ33" s="532"/>
      <c r="AK33" s="532"/>
      <c r="AL33" s="529"/>
      <c r="AM33" s="529"/>
      <c r="AN33" s="529"/>
      <c r="AO33" s="529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</row>
    <row r="34" spans="1:53">
      <c r="A34" s="529"/>
      <c r="B34" s="529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2"/>
      <c r="N34" s="532"/>
      <c r="O34" s="532"/>
      <c r="P34" s="532"/>
      <c r="Q34" s="532"/>
      <c r="R34" s="532"/>
      <c r="S34" s="532"/>
      <c r="T34" s="532"/>
      <c r="U34" s="532"/>
      <c r="V34" s="532"/>
      <c r="W34" s="532"/>
      <c r="X34" s="532"/>
      <c r="Y34" s="532"/>
      <c r="Z34" s="532"/>
      <c r="AA34" s="532"/>
      <c r="AB34" s="532"/>
      <c r="AC34" s="532"/>
      <c r="AD34" s="532"/>
      <c r="AE34" s="532"/>
      <c r="AF34" s="532"/>
      <c r="AG34" s="532"/>
      <c r="AH34" s="532"/>
      <c r="AI34" s="532"/>
      <c r="AJ34" s="532"/>
      <c r="AK34" s="532"/>
      <c r="AL34" s="529"/>
      <c r="AM34" s="529"/>
      <c r="AN34" s="529"/>
      <c r="AO34" s="529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</row>
  </sheetData>
  <mergeCells count="229"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K1:AM1"/>
    <mergeCell ref="AT3:AW3"/>
    <mergeCell ref="AN1:AP1"/>
    <mergeCell ref="AQ1:AS1"/>
    <mergeCell ref="AT1:AW1"/>
    <mergeCell ref="A6:B6"/>
    <mergeCell ref="C6:P6"/>
    <mergeCell ref="Q6:AK6"/>
    <mergeCell ref="AL6:AO6"/>
  </mergeCells>
  <phoneticPr fontId="49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C065-BD87-4621-ABBC-FC9DBFA86E89}">
  <dimension ref="A1:DX184"/>
  <sheetViews>
    <sheetView showGridLines="0" topLeftCell="A5" zoomScaleNormal="100" zoomScaleSheetLayoutView="100" workbookViewId="0">
      <pane ySplit="2" topLeftCell="A7" activePane="bottomLeft" state="frozen"/>
      <selection activeCell="A5" sqref="A5"/>
      <selection pane="bottomLeft" activeCell="A7" sqref="A7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76" customWidth="1"/>
    <col min="57" max="128" width="2.6328125" style="443" customWidth="1"/>
    <col min="129" max="16384" width="9" style="35"/>
  </cols>
  <sheetData>
    <row r="1" spans="1:72" ht="12" customHeight="1">
      <c r="A1" s="524" t="s">
        <v>4</v>
      </c>
      <c r="B1" s="524"/>
      <c r="C1" s="524"/>
      <c r="D1" s="524"/>
      <c r="E1" s="524"/>
      <c r="F1" s="524"/>
      <c r="G1" s="524"/>
      <c r="H1" s="524"/>
      <c r="I1" s="511" t="s">
        <v>5</v>
      </c>
      <c r="J1" s="511"/>
      <c r="K1" s="511"/>
      <c r="L1" s="511"/>
      <c r="M1" s="522" t="str">
        <f>変更来歴!M1</f>
        <v>ヒロセ電機株式会社</v>
      </c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11" t="s">
        <v>7</v>
      </c>
      <c r="Y1" s="511"/>
      <c r="Z1" s="511"/>
      <c r="AA1" s="526" t="str">
        <f>変更来歴!AA1</f>
        <v>化学物質データ申請</v>
      </c>
      <c r="AB1" s="526"/>
      <c r="AC1" s="526"/>
      <c r="AD1" s="526"/>
      <c r="AE1" s="526"/>
      <c r="AF1" s="526"/>
      <c r="AG1" s="526"/>
      <c r="AH1" s="526"/>
      <c r="AI1" s="526"/>
      <c r="AJ1" s="526"/>
      <c r="AK1" s="500" t="s">
        <v>8</v>
      </c>
      <c r="AL1" s="500"/>
      <c r="AM1" s="500"/>
      <c r="AN1" s="502" t="str">
        <f>変更来歴!AP7</f>
        <v>古竹</v>
      </c>
      <c r="AO1" s="502"/>
      <c r="AP1" s="502"/>
      <c r="AQ1" s="502"/>
      <c r="AR1" s="502"/>
      <c r="AS1" s="500" t="s">
        <v>9</v>
      </c>
      <c r="AT1" s="500"/>
      <c r="AU1" s="500"/>
      <c r="AV1" s="503">
        <f>変更来歴!AL7</f>
        <v>46125</v>
      </c>
      <c r="AW1" s="501"/>
      <c r="AX1" s="501"/>
      <c r="AY1" s="501"/>
      <c r="AZ1" s="507" t="s">
        <v>10</v>
      </c>
      <c r="BA1" s="508"/>
      <c r="BB1" s="508"/>
      <c r="BC1" s="509"/>
    </row>
    <row r="2" spans="1:72">
      <c r="A2" s="510" t="s">
        <v>16</v>
      </c>
      <c r="B2" s="510"/>
      <c r="C2" s="510"/>
      <c r="D2" s="510"/>
      <c r="E2" s="510"/>
      <c r="F2" s="510"/>
      <c r="G2" s="510"/>
      <c r="H2" s="510"/>
      <c r="I2" s="511" t="s">
        <v>11</v>
      </c>
      <c r="J2" s="511"/>
      <c r="K2" s="511"/>
      <c r="L2" s="511"/>
      <c r="M2" s="546" t="str">
        <f>変更来歴!M2</f>
        <v>　</v>
      </c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11"/>
      <c r="Y2" s="511"/>
      <c r="Z2" s="511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00" t="s">
        <v>12</v>
      </c>
      <c r="AL2" s="500"/>
      <c r="AM2" s="500"/>
      <c r="AN2" s="502" t="str">
        <f ca="1">INDIRECT("変更来歴!AP" &amp; COUNTA(変更来歴!AP7:'変更来歴'!AP39) + 6)</f>
        <v>古竹</v>
      </c>
      <c r="AO2" s="502"/>
      <c r="AP2" s="502"/>
      <c r="AQ2" s="502"/>
      <c r="AR2" s="502"/>
      <c r="AS2" s="500" t="s">
        <v>13</v>
      </c>
      <c r="AT2" s="500"/>
      <c r="AU2" s="500"/>
      <c r="AV2" s="503">
        <f ca="1">INDIRECT("変更来歴!AL" &amp; COUNTA(変更来歴!AL7:'変更来歴'!AL39) + 6)</f>
        <v>46160</v>
      </c>
      <c r="AW2" s="501"/>
      <c r="AX2" s="501"/>
      <c r="AY2" s="501"/>
      <c r="AZ2" s="515" t="str">
        <f>変更来歴!AX2</f>
        <v>IMWF-53</v>
      </c>
      <c r="BA2" s="516"/>
      <c r="BB2" s="516"/>
      <c r="BC2" s="517"/>
    </row>
    <row r="3" spans="1:72" ht="12" customHeight="1">
      <c r="A3" s="521" t="str">
        <f>変更来歴!A3</f>
        <v>画面設計書</v>
      </c>
      <c r="B3" s="521"/>
      <c r="C3" s="521"/>
      <c r="D3" s="521"/>
      <c r="E3" s="521"/>
      <c r="F3" s="521"/>
      <c r="G3" s="521"/>
      <c r="H3" s="521"/>
      <c r="I3" s="511" t="s">
        <v>14</v>
      </c>
      <c r="J3" s="511"/>
      <c r="K3" s="511"/>
      <c r="L3" s="511"/>
      <c r="M3" s="522" t="str">
        <f ca="1">RIGHT(CELL("filename",A1),LEN(CELL("filename",A1))-FIND("]",CELL("filename",A1)))</f>
        <v>化学物質データ申請完了画面</v>
      </c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11" t="s">
        <v>27</v>
      </c>
      <c r="Y3" s="511"/>
      <c r="Z3" s="511"/>
      <c r="AA3" s="523" t="str">
        <f ca="1">MID(CELL("filename"),FIND("]",CELL("filename"))+1,LEN(CELL("filename"))) &amp; "画面"</f>
        <v>画面項目画面</v>
      </c>
      <c r="AB3" s="523"/>
      <c r="AC3" s="523"/>
      <c r="AD3" s="523"/>
      <c r="AE3" s="523"/>
      <c r="AF3" s="523"/>
      <c r="AG3" s="523"/>
      <c r="AH3" s="523"/>
      <c r="AI3" s="523"/>
      <c r="AJ3" s="523"/>
      <c r="AK3" s="523"/>
      <c r="AL3" s="523"/>
      <c r="AM3" s="523"/>
      <c r="AN3" s="523"/>
      <c r="AO3" s="523"/>
      <c r="AP3" s="523"/>
      <c r="AQ3" s="523"/>
      <c r="AR3" s="523"/>
      <c r="AS3" s="500" t="s">
        <v>15</v>
      </c>
      <c r="AT3" s="500"/>
      <c r="AU3" s="500"/>
      <c r="AV3" s="501" t="str">
        <f ca="1">INDIRECT("変更来歴!A" &amp; COUNTA(変更来歴!A7:'変更来歴'!A39) + 6)</f>
        <v>r1.2</v>
      </c>
      <c r="AW3" s="501"/>
      <c r="AX3" s="501"/>
      <c r="AY3" s="501"/>
      <c r="AZ3" s="518"/>
      <c r="BA3" s="519"/>
      <c r="BB3" s="519"/>
      <c r="BC3" s="520"/>
    </row>
    <row r="4" spans="1:72" ht="5.9" customHeight="1"/>
    <row r="5" spans="1:72" ht="13.5" customHeight="1">
      <c r="A5" s="548" t="str">
        <f ca="1">"画面レイアウト"&amp;"("&amp;MID(CELL("filename"),FIND("]",CELL("filename"))+1,LEN(CELL("filename")))&amp;")"</f>
        <v>画面レイアウト(画面項目)</v>
      </c>
      <c r="B5" s="549"/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49"/>
      <c r="AB5" s="549"/>
      <c r="AC5" s="549"/>
      <c r="AD5" s="549"/>
      <c r="AE5" s="549"/>
      <c r="AF5" s="549"/>
      <c r="AG5" s="549"/>
      <c r="AH5" s="549"/>
      <c r="AI5" s="549"/>
      <c r="AJ5" s="549"/>
      <c r="AK5" s="549"/>
      <c r="AL5" s="549"/>
      <c r="AM5" s="549"/>
      <c r="AN5" s="549"/>
      <c r="AO5" s="549"/>
      <c r="AP5" s="549"/>
      <c r="AQ5" s="549"/>
      <c r="AR5" s="549"/>
      <c r="AS5" s="549"/>
      <c r="AT5" s="549"/>
      <c r="AU5" s="549"/>
      <c r="AV5" s="549"/>
      <c r="AW5" s="549"/>
      <c r="AX5" s="549"/>
      <c r="AY5" s="549"/>
      <c r="AZ5" s="549"/>
      <c r="BA5" s="550"/>
      <c r="BB5" s="551" t="s">
        <v>24</v>
      </c>
      <c r="BC5" s="552"/>
      <c r="BD5" s="28"/>
    </row>
    <row r="6" spans="1:72" ht="13.5" customHeight="1">
      <c r="A6" s="27"/>
      <c r="B6" s="170">
        <v>1</v>
      </c>
      <c r="C6" s="170">
        <v>2</v>
      </c>
      <c r="D6" s="170">
        <v>3</v>
      </c>
      <c r="E6" s="170">
        <v>4</v>
      </c>
      <c r="F6" s="170">
        <v>5</v>
      </c>
      <c r="G6" s="170">
        <v>6</v>
      </c>
      <c r="H6" s="170">
        <v>7</v>
      </c>
      <c r="I6" s="170">
        <v>8</v>
      </c>
      <c r="J6" s="170">
        <v>9</v>
      </c>
      <c r="K6" s="170">
        <v>10</v>
      </c>
      <c r="L6" s="170">
        <v>11</v>
      </c>
      <c r="M6" s="170">
        <v>12</v>
      </c>
      <c r="N6" s="170">
        <v>13</v>
      </c>
      <c r="O6" s="170">
        <v>14</v>
      </c>
      <c r="P6" s="170">
        <v>15</v>
      </c>
      <c r="Q6" s="170">
        <v>16</v>
      </c>
      <c r="R6" s="170">
        <v>17</v>
      </c>
      <c r="S6" s="172">
        <v>18</v>
      </c>
      <c r="T6" s="172">
        <v>19</v>
      </c>
      <c r="U6" s="172">
        <v>20</v>
      </c>
      <c r="V6" s="172">
        <v>21</v>
      </c>
      <c r="W6" s="172">
        <v>22</v>
      </c>
      <c r="X6" s="172">
        <v>23</v>
      </c>
      <c r="Y6" s="172">
        <v>24</v>
      </c>
      <c r="Z6" s="172">
        <v>25</v>
      </c>
      <c r="AA6" s="172">
        <v>26</v>
      </c>
      <c r="AB6" s="172">
        <v>27</v>
      </c>
      <c r="AC6" s="172">
        <v>28</v>
      </c>
      <c r="AD6" s="172">
        <v>29</v>
      </c>
      <c r="AE6" s="172">
        <v>30</v>
      </c>
      <c r="AF6" s="172">
        <v>31</v>
      </c>
      <c r="AG6" s="172">
        <v>32</v>
      </c>
      <c r="AH6" s="172">
        <v>33</v>
      </c>
      <c r="AI6" s="172">
        <v>34</v>
      </c>
      <c r="AJ6" s="171">
        <v>35</v>
      </c>
      <c r="AK6" s="171">
        <v>36</v>
      </c>
      <c r="AL6" s="171">
        <v>37</v>
      </c>
      <c r="AM6" s="171">
        <v>38</v>
      </c>
      <c r="AN6" s="171">
        <v>39</v>
      </c>
      <c r="AO6" s="171">
        <v>40</v>
      </c>
      <c r="AP6" s="171">
        <v>41</v>
      </c>
      <c r="AQ6" s="171">
        <v>42</v>
      </c>
      <c r="AR6" s="171">
        <v>43</v>
      </c>
      <c r="AS6" s="171">
        <v>44</v>
      </c>
      <c r="AT6" s="171">
        <v>45</v>
      </c>
      <c r="AU6" s="171">
        <v>46</v>
      </c>
      <c r="AV6" s="171">
        <v>47</v>
      </c>
      <c r="AW6" s="171">
        <v>48</v>
      </c>
      <c r="AX6" s="171">
        <v>49</v>
      </c>
      <c r="AY6" s="171">
        <v>50</v>
      </c>
      <c r="AZ6" s="171">
        <v>51</v>
      </c>
      <c r="BA6" s="21"/>
      <c r="BB6" s="73"/>
      <c r="BC6" s="40"/>
      <c r="BD6" s="28"/>
    </row>
    <row r="7" spans="1:72" ht="21" customHeight="1">
      <c r="A7" s="393"/>
      <c r="B7" s="437"/>
      <c r="C7" s="442" t="s">
        <v>175</v>
      </c>
      <c r="D7" s="438"/>
      <c r="E7" s="439"/>
      <c r="F7" s="439"/>
      <c r="G7" s="439"/>
      <c r="H7" s="433"/>
      <c r="I7" s="433"/>
      <c r="J7" s="553"/>
      <c r="K7" s="553"/>
      <c r="L7" s="553"/>
      <c r="M7" s="553"/>
      <c r="N7" s="436"/>
      <c r="O7" s="435"/>
      <c r="P7" s="436"/>
      <c r="Q7" s="433"/>
      <c r="R7" s="433"/>
      <c r="S7" s="433"/>
      <c r="T7" s="434"/>
      <c r="U7" s="434"/>
      <c r="V7" s="434"/>
      <c r="W7" s="434"/>
      <c r="X7" s="434"/>
      <c r="Y7" s="435"/>
      <c r="Z7" s="434"/>
      <c r="AA7" s="433"/>
      <c r="AB7" s="435"/>
      <c r="AC7" s="434"/>
      <c r="AD7" s="433"/>
      <c r="AE7" s="435"/>
      <c r="AF7" s="433"/>
      <c r="AG7" s="433"/>
      <c r="AH7" s="435"/>
      <c r="AI7" s="433"/>
      <c r="AJ7" s="433"/>
      <c r="AK7" s="440"/>
      <c r="AL7" s="433"/>
      <c r="AM7" s="433"/>
      <c r="AN7" s="433"/>
      <c r="AO7" s="433"/>
      <c r="AP7" s="433"/>
      <c r="AQ7" s="433"/>
      <c r="AR7" s="433"/>
      <c r="AS7" s="433"/>
      <c r="AT7" s="439"/>
      <c r="AU7" s="439"/>
      <c r="AV7" s="439"/>
      <c r="AW7" s="439"/>
      <c r="AX7" s="439"/>
      <c r="AY7" s="439"/>
      <c r="AZ7" s="441"/>
      <c r="BA7" s="422"/>
      <c r="BB7" s="405"/>
      <c r="BC7" s="406"/>
      <c r="BD7" s="391"/>
      <c r="BE7" s="444" t="s">
        <v>176</v>
      </c>
      <c r="BF7" s="444"/>
      <c r="BG7" s="444"/>
      <c r="BH7" s="444"/>
      <c r="BI7" s="444"/>
      <c r="BJ7" s="444"/>
      <c r="BK7" s="444"/>
      <c r="BL7" s="445"/>
      <c r="BM7" s="445"/>
      <c r="BN7" s="445"/>
      <c r="BO7" s="445"/>
      <c r="BP7" s="445"/>
      <c r="BQ7" s="445"/>
      <c r="BR7" s="445"/>
      <c r="BS7" s="444"/>
      <c r="BT7" s="444"/>
    </row>
    <row r="8" spans="1:72" ht="12.5" customHeight="1">
      <c r="A8" s="393"/>
      <c r="B8" s="418"/>
      <c r="C8" s="427"/>
      <c r="D8" s="428"/>
      <c r="E8" s="421"/>
      <c r="F8" s="421"/>
      <c r="G8" s="42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  <c r="AO8" s="431"/>
      <c r="AP8" s="431"/>
      <c r="AQ8" s="431"/>
      <c r="AR8" s="431"/>
      <c r="AS8" s="432"/>
      <c r="AT8" s="429"/>
      <c r="AU8" s="429"/>
      <c r="AV8" s="429"/>
      <c r="AW8" s="429"/>
      <c r="AX8" s="429"/>
      <c r="AY8" s="429"/>
      <c r="AZ8" s="422"/>
      <c r="BA8" s="422"/>
      <c r="BB8" s="405"/>
      <c r="BC8" s="406"/>
      <c r="BD8" s="391"/>
      <c r="BE8" s="428" t="s">
        <v>291</v>
      </c>
      <c r="BF8" s="428"/>
      <c r="BG8" s="445"/>
      <c r="BH8" s="445"/>
      <c r="BI8" s="445"/>
      <c r="BJ8" s="445"/>
      <c r="BK8" s="445"/>
      <c r="BL8" s="444"/>
      <c r="BM8" s="444"/>
      <c r="BN8" s="444"/>
      <c r="BO8" s="444"/>
      <c r="BP8" s="444"/>
      <c r="BQ8" s="444"/>
      <c r="BR8" s="444"/>
      <c r="BS8" s="444"/>
      <c r="BT8" s="444"/>
    </row>
    <row r="9" spans="1:72" ht="24" customHeight="1">
      <c r="A9" s="393"/>
      <c r="B9" s="394"/>
      <c r="C9" s="411"/>
      <c r="D9" s="547" t="s">
        <v>322</v>
      </c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547"/>
      <c r="P9" s="547"/>
      <c r="Q9" s="547"/>
      <c r="R9" s="547"/>
      <c r="S9" s="547"/>
      <c r="T9" s="547"/>
      <c r="U9" s="547"/>
      <c r="V9" s="547"/>
      <c r="W9" s="547"/>
      <c r="X9" s="547"/>
      <c r="Y9" s="547"/>
      <c r="Z9" s="547"/>
      <c r="AA9" s="547"/>
      <c r="AB9" s="547"/>
      <c r="AC9" s="547"/>
      <c r="AD9" s="547"/>
      <c r="AE9" s="547"/>
      <c r="AF9" s="547"/>
      <c r="AG9" s="547"/>
      <c r="AH9" s="547"/>
      <c r="AI9" s="547"/>
      <c r="AJ9" s="547"/>
      <c r="AK9" s="547"/>
      <c r="AL9" s="547"/>
      <c r="AM9" s="547"/>
      <c r="AN9" s="547"/>
      <c r="AO9" s="547"/>
      <c r="AP9" s="413"/>
      <c r="AQ9" s="412"/>
      <c r="AR9" s="412"/>
      <c r="AS9" s="412"/>
      <c r="AT9" s="412"/>
      <c r="AU9" s="412"/>
      <c r="AV9" s="412"/>
      <c r="AW9" s="412"/>
      <c r="AX9" s="412"/>
      <c r="AY9" s="412"/>
      <c r="AZ9" s="396"/>
      <c r="BA9" s="396"/>
      <c r="BB9" s="389"/>
      <c r="BC9" s="390"/>
      <c r="BD9" s="391"/>
      <c r="BE9" s="445"/>
      <c r="BF9" s="428" t="s">
        <v>292</v>
      </c>
      <c r="BG9" s="428"/>
      <c r="BH9" s="428"/>
      <c r="BI9" s="445"/>
      <c r="BJ9" s="445"/>
      <c r="BK9" s="445"/>
      <c r="BL9" s="444"/>
      <c r="BM9" s="444"/>
      <c r="BN9" s="444"/>
      <c r="BO9" s="444"/>
      <c r="BP9" s="444"/>
      <c r="BQ9" s="444"/>
      <c r="BR9" s="444"/>
      <c r="BS9" s="444"/>
      <c r="BT9" s="444"/>
    </row>
    <row r="10" spans="1:72" ht="12" customHeight="1">
      <c r="A10" s="393"/>
      <c r="B10" s="401"/>
      <c r="C10" s="402"/>
      <c r="D10" s="391"/>
      <c r="E10" s="391"/>
      <c r="F10" s="391"/>
      <c r="G10" s="391"/>
      <c r="H10" s="403"/>
      <c r="I10" s="398"/>
      <c r="J10" s="397"/>
      <c r="K10" s="398"/>
      <c r="L10" s="397"/>
      <c r="M10" s="404"/>
      <c r="N10" s="404"/>
      <c r="O10" s="400"/>
      <c r="P10" s="404"/>
      <c r="Q10" s="400"/>
      <c r="R10" s="404"/>
      <c r="S10" s="392"/>
      <c r="T10" s="391"/>
      <c r="U10" s="391"/>
      <c r="V10" s="391"/>
      <c r="W10" s="391"/>
      <c r="X10" s="391"/>
      <c r="Y10" s="403"/>
      <c r="Z10" s="398"/>
      <c r="AA10" s="397"/>
      <c r="AB10" s="398"/>
      <c r="AC10" s="397"/>
      <c r="AD10" s="404"/>
      <c r="AE10" s="404"/>
      <c r="AF10" s="400"/>
      <c r="AG10" s="404"/>
      <c r="AH10" s="404"/>
      <c r="AI10" s="399"/>
      <c r="AJ10" s="404"/>
      <c r="AK10" s="400"/>
      <c r="AL10" s="391"/>
      <c r="AM10" s="391"/>
      <c r="AN10" s="391"/>
      <c r="AO10" s="391"/>
      <c r="AP10" s="391"/>
      <c r="AQ10" s="391"/>
      <c r="AR10" s="391"/>
      <c r="AS10" s="397"/>
      <c r="AT10" s="399"/>
      <c r="AU10" s="397"/>
      <c r="AV10" s="400"/>
      <c r="AW10" s="400"/>
      <c r="AX10" s="400"/>
      <c r="AY10" s="395"/>
      <c r="AZ10" s="396"/>
      <c r="BA10" s="396"/>
      <c r="BB10" s="389"/>
      <c r="BC10" s="390"/>
      <c r="BD10" s="391"/>
      <c r="BE10" s="428"/>
      <c r="BF10" s="428"/>
      <c r="BG10" s="428" t="s">
        <v>293</v>
      </c>
      <c r="BH10" s="446"/>
      <c r="BI10" s="445"/>
      <c r="BJ10" s="445"/>
      <c r="BK10" s="445"/>
      <c r="BL10" s="444"/>
      <c r="BM10" s="444"/>
      <c r="BN10" s="444"/>
      <c r="BO10" s="444"/>
      <c r="BP10" s="444"/>
      <c r="BQ10" s="444"/>
      <c r="BR10" s="444"/>
      <c r="BS10" s="444"/>
      <c r="BT10" s="444"/>
    </row>
    <row r="11" spans="1:72" ht="12.5" customHeight="1">
      <c r="A11" s="393"/>
      <c r="B11" s="394"/>
      <c r="C11" s="391"/>
      <c r="D11" s="391"/>
      <c r="E11" s="391"/>
      <c r="F11" s="392"/>
      <c r="G11" s="42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  <c r="AO11" s="431"/>
      <c r="AP11" s="431"/>
      <c r="AQ11" s="431"/>
      <c r="AR11" s="431"/>
      <c r="AS11" s="431"/>
      <c r="AT11" s="425"/>
      <c r="AU11" s="421"/>
      <c r="AV11" s="400"/>
      <c r="AW11" s="400"/>
      <c r="AX11" s="400"/>
      <c r="AY11" s="395"/>
      <c r="AZ11" s="396"/>
      <c r="BA11" s="396"/>
      <c r="BB11" s="389"/>
      <c r="BC11" s="390"/>
      <c r="BD11" s="391"/>
      <c r="BE11" s="428"/>
      <c r="BF11" s="428"/>
      <c r="BG11" s="428" t="s">
        <v>294</v>
      </c>
      <c r="BH11" s="446"/>
      <c r="BI11" s="428"/>
      <c r="BJ11" s="445"/>
      <c r="BK11" s="445"/>
      <c r="BL11" s="444"/>
      <c r="BM11" s="444"/>
      <c r="BN11" s="444"/>
      <c r="BO11" s="444"/>
      <c r="BP11" s="444"/>
      <c r="BQ11" s="444"/>
      <c r="BR11" s="444"/>
      <c r="BS11" s="444"/>
      <c r="BT11" s="444"/>
    </row>
    <row r="12" spans="1:72" ht="12.5" customHeight="1">
      <c r="A12" s="393"/>
      <c r="B12" s="418"/>
      <c r="C12" s="417"/>
      <c r="D12" s="424" t="s">
        <v>274</v>
      </c>
      <c r="E12" s="419"/>
      <c r="F12" s="419"/>
      <c r="G12" s="42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  <c r="AO12" s="431"/>
      <c r="AP12" s="431"/>
      <c r="AQ12" s="431"/>
      <c r="AR12" s="431"/>
      <c r="AS12" s="431"/>
      <c r="AT12" s="425"/>
      <c r="AU12" s="421"/>
      <c r="AV12" s="417"/>
      <c r="AW12" s="417"/>
      <c r="AX12" s="421"/>
      <c r="AY12" s="417"/>
      <c r="AZ12" s="422"/>
      <c r="BA12" s="422"/>
      <c r="BB12" s="389"/>
      <c r="BC12" s="390"/>
      <c r="BD12" s="391"/>
      <c r="BE12" s="444"/>
      <c r="BF12" s="444"/>
      <c r="BG12" s="447"/>
      <c r="BH12" s="444"/>
      <c r="BI12" s="444"/>
      <c r="BJ12" s="444"/>
      <c r="BK12" s="444"/>
      <c r="BL12" s="444"/>
      <c r="BM12" s="444"/>
      <c r="BN12" s="444"/>
      <c r="BO12" s="444"/>
      <c r="BP12" s="444"/>
      <c r="BQ12" s="444"/>
      <c r="BR12" s="444"/>
      <c r="BS12" s="444"/>
      <c r="BT12" s="444"/>
    </row>
    <row r="13" spans="1:72" ht="12.5" customHeight="1">
      <c r="A13" s="393"/>
      <c r="B13" s="418"/>
      <c r="C13" s="423"/>
      <c r="D13" s="419"/>
      <c r="E13" s="419"/>
      <c r="F13" s="419"/>
      <c r="G13" s="42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431"/>
      <c r="AN13" s="431"/>
      <c r="AO13" s="431"/>
      <c r="AP13" s="431"/>
      <c r="AQ13" s="431"/>
      <c r="AR13" s="431"/>
      <c r="AS13" s="431"/>
      <c r="AT13" s="425"/>
      <c r="AU13" s="421"/>
      <c r="AV13" s="421"/>
      <c r="AW13" s="421"/>
      <c r="AX13" s="421"/>
      <c r="AY13" s="417"/>
      <c r="AZ13" s="422"/>
      <c r="BA13" s="422"/>
      <c r="BB13" s="389"/>
      <c r="BC13" s="390"/>
      <c r="BD13" s="391"/>
      <c r="BE13" s="428" t="s">
        <v>295</v>
      </c>
      <c r="BF13" s="444"/>
      <c r="BG13" s="444"/>
      <c r="BH13" s="444"/>
      <c r="BI13" s="444"/>
      <c r="BJ13" s="444"/>
      <c r="BK13" s="444"/>
      <c r="BL13" s="444"/>
      <c r="BM13" s="444"/>
      <c r="BN13" s="444"/>
      <c r="BO13" s="444"/>
      <c r="BP13" s="444"/>
      <c r="BQ13" s="444"/>
      <c r="BR13" s="444"/>
      <c r="BS13" s="444"/>
      <c r="BT13" s="444"/>
    </row>
    <row r="14" spans="1:72" ht="12.5" customHeight="1">
      <c r="A14" s="393"/>
      <c r="B14" s="418"/>
      <c r="C14" s="424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490"/>
      <c r="Z14" s="490"/>
      <c r="AA14" s="490"/>
      <c r="AB14" s="490"/>
      <c r="AC14" s="490"/>
      <c r="AD14" s="490"/>
      <c r="AE14" s="490"/>
      <c r="AF14" s="490"/>
      <c r="AG14" s="490"/>
      <c r="AH14" s="490"/>
      <c r="AI14" s="490"/>
      <c r="AJ14" s="490"/>
      <c r="AK14" s="490"/>
      <c r="AL14" s="490"/>
      <c r="AM14" s="490"/>
      <c r="AN14" s="490"/>
      <c r="AO14" s="490"/>
      <c r="AP14" s="490"/>
      <c r="AQ14" s="490"/>
      <c r="AR14" s="490"/>
      <c r="AS14" s="431"/>
      <c r="AT14" s="425"/>
      <c r="AU14" s="421"/>
      <c r="AV14" s="421"/>
      <c r="AW14" s="421"/>
      <c r="AX14" s="421"/>
      <c r="AY14" s="417"/>
      <c r="AZ14" s="422"/>
      <c r="BA14" s="422"/>
      <c r="BB14" s="389"/>
      <c r="BC14" s="390"/>
      <c r="BD14" s="391"/>
      <c r="BE14" s="444"/>
      <c r="BF14" s="428" t="s">
        <v>296</v>
      </c>
      <c r="BG14" s="428"/>
      <c r="BH14" s="444"/>
      <c r="BI14" s="444"/>
      <c r="BJ14" s="444"/>
      <c r="BK14" s="444"/>
      <c r="BL14" s="444"/>
      <c r="BM14" s="444"/>
      <c r="BN14" s="444"/>
      <c r="BO14" s="444"/>
      <c r="BP14" s="444"/>
      <c r="BQ14" s="444"/>
      <c r="BR14" s="444"/>
      <c r="BS14" s="444"/>
      <c r="BT14" s="444"/>
    </row>
    <row r="15" spans="1:72" s="443" customFormat="1" ht="12.5" customHeight="1">
      <c r="A15" s="393"/>
      <c r="B15" s="418"/>
      <c r="C15" s="417"/>
      <c r="D15" s="489" t="s">
        <v>275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89"/>
      <c r="S15" s="489"/>
      <c r="T15" s="489"/>
      <c r="U15" s="489"/>
      <c r="V15" s="489"/>
      <c r="W15" s="489"/>
      <c r="X15" s="489"/>
      <c r="Y15" s="489"/>
      <c r="Z15" s="489"/>
      <c r="AA15" s="489"/>
      <c r="AB15" s="489"/>
      <c r="AC15" s="489"/>
      <c r="AD15" s="489"/>
      <c r="AE15" s="489"/>
      <c r="AF15" s="489"/>
      <c r="AG15" s="489"/>
      <c r="AH15" s="489"/>
      <c r="AI15" s="489"/>
      <c r="AJ15" s="489"/>
      <c r="AK15" s="489"/>
      <c r="AL15" s="490"/>
      <c r="AM15" s="490"/>
      <c r="AN15" s="490"/>
      <c r="AO15" s="490"/>
      <c r="AP15" s="490"/>
      <c r="AQ15" s="490"/>
      <c r="AR15" s="490"/>
      <c r="AS15" s="431"/>
      <c r="AT15" s="425"/>
      <c r="AU15" s="421"/>
      <c r="AV15" s="417"/>
      <c r="AW15" s="417"/>
      <c r="AX15" s="421"/>
      <c r="AY15" s="417"/>
      <c r="AZ15" s="422"/>
      <c r="BA15" s="422"/>
      <c r="BB15" s="389"/>
      <c r="BC15" s="390"/>
      <c r="BD15" s="391"/>
      <c r="BE15" s="444"/>
      <c r="BF15" s="428" t="s">
        <v>297</v>
      </c>
      <c r="BG15" s="428"/>
      <c r="BH15" s="444"/>
      <c r="BI15" s="444"/>
      <c r="BJ15" s="444"/>
      <c r="BK15" s="444"/>
      <c r="BL15" s="444"/>
      <c r="BM15" s="444"/>
      <c r="BN15" s="444"/>
      <c r="BO15" s="444"/>
      <c r="BP15" s="444"/>
      <c r="BQ15" s="444"/>
      <c r="BR15" s="444"/>
      <c r="BS15" s="444"/>
      <c r="BT15" s="444"/>
    </row>
    <row r="16" spans="1:72" s="443" customFormat="1" ht="12.5" customHeight="1">
      <c r="A16" s="393"/>
      <c r="B16" s="418"/>
      <c r="C16" s="417"/>
      <c r="D16" s="490" t="s">
        <v>284</v>
      </c>
      <c r="E16" s="489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9"/>
      <c r="Q16" s="489"/>
      <c r="R16" s="489"/>
      <c r="S16" s="489"/>
      <c r="T16" s="489"/>
      <c r="U16" s="489"/>
      <c r="V16" s="489"/>
      <c r="W16" s="489"/>
      <c r="X16" s="489"/>
      <c r="Y16" s="489"/>
      <c r="Z16" s="489"/>
      <c r="AA16" s="489"/>
      <c r="AB16" s="489"/>
      <c r="AC16" s="489"/>
      <c r="AD16" s="489"/>
      <c r="AE16" s="489"/>
      <c r="AF16" s="489"/>
      <c r="AG16" s="489"/>
      <c r="AH16" s="489"/>
      <c r="AI16" s="489"/>
      <c r="AJ16" s="489"/>
      <c r="AK16" s="489"/>
      <c r="AL16" s="490"/>
      <c r="AM16" s="490"/>
      <c r="AN16" s="490"/>
      <c r="AO16" s="490"/>
      <c r="AP16" s="490"/>
      <c r="AQ16" s="490"/>
      <c r="AR16" s="490"/>
      <c r="AS16" s="431"/>
      <c r="AT16" s="425"/>
      <c r="AU16" s="421"/>
      <c r="AV16" s="417"/>
      <c r="AW16" s="417"/>
      <c r="AX16" s="421"/>
      <c r="AY16" s="417"/>
      <c r="AZ16" s="422"/>
      <c r="BA16" s="422"/>
      <c r="BB16" s="389"/>
      <c r="BC16" s="390"/>
      <c r="BD16" s="391"/>
      <c r="BE16" s="447"/>
      <c r="BF16" s="428"/>
      <c r="BG16" s="428"/>
      <c r="BH16" s="444"/>
      <c r="BI16" s="444"/>
      <c r="BJ16" s="444"/>
      <c r="BK16" s="444"/>
      <c r="BL16" s="444"/>
      <c r="BM16" s="444"/>
      <c r="BN16" s="444"/>
      <c r="BO16" s="444"/>
      <c r="BP16" s="444"/>
      <c r="BQ16" s="444"/>
      <c r="BR16" s="444"/>
      <c r="BS16" s="444"/>
      <c r="BT16" s="444"/>
    </row>
    <row r="17" spans="1:72" s="443" customFormat="1" ht="12.5" customHeight="1">
      <c r="A17" s="393"/>
      <c r="B17" s="418"/>
      <c r="C17" s="417"/>
      <c r="D17" s="492"/>
      <c r="E17" s="492"/>
      <c r="F17" s="492"/>
      <c r="G17" s="492"/>
      <c r="H17" s="492"/>
      <c r="I17" s="492"/>
      <c r="J17" s="492"/>
      <c r="K17" s="492"/>
      <c r="L17" s="492"/>
      <c r="M17" s="492"/>
      <c r="N17" s="492"/>
      <c r="O17" s="492"/>
      <c r="P17" s="492"/>
      <c r="Q17" s="492"/>
      <c r="R17" s="492"/>
      <c r="S17" s="492"/>
      <c r="T17" s="492"/>
      <c r="U17" s="492"/>
      <c r="V17" s="492"/>
      <c r="W17" s="492"/>
      <c r="X17" s="492"/>
      <c r="Y17" s="492"/>
      <c r="Z17" s="492"/>
      <c r="AA17" s="492"/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1"/>
      <c r="AM17" s="491"/>
      <c r="AN17" s="491"/>
      <c r="AO17" s="491"/>
      <c r="AP17" s="491"/>
      <c r="AQ17" s="491"/>
      <c r="AR17" s="491"/>
      <c r="AS17" s="431"/>
      <c r="AT17" s="425"/>
      <c r="AU17" s="421"/>
      <c r="AV17" s="421"/>
      <c r="AW17" s="421"/>
      <c r="AX17" s="421"/>
      <c r="AY17" s="417"/>
      <c r="AZ17" s="422"/>
      <c r="BA17" s="422"/>
      <c r="BB17" s="389"/>
      <c r="BC17" s="390"/>
      <c r="BD17" s="391"/>
      <c r="BE17" s="444"/>
      <c r="BF17" s="444" t="s">
        <v>298</v>
      </c>
      <c r="BG17" s="444"/>
      <c r="BH17" s="444"/>
      <c r="BI17" s="444"/>
      <c r="BJ17" s="444"/>
      <c r="BK17" s="444"/>
      <c r="BL17" s="444"/>
      <c r="BM17" s="444"/>
      <c r="BN17" s="444"/>
      <c r="BO17" s="444"/>
      <c r="BP17" s="444"/>
      <c r="BQ17" s="444"/>
      <c r="BR17" s="444"/>
      <c r="BS17" s="444"/>
      <c r="BT17" s="444"/>
    </row>
    <row r="18" spans="1:72" s="443" customFormat="1" ht="12.5" customHeight="1">
      <c r="A18" s="393"/>
      <c r="B18" s="418"/>
      <c r="C18" s="417"/>
      <c r="D18" s="492" t="s">
        <v>276</v>
      </c>
      <c r="E18" s="492"/>
      <c r="F18" s="492"/>
      <c r="G18" s="492"/>
      <c r="H18" s="492"/>
      <c r="I18" s="492"/>
      <c r="J18" s="492"/>
      <c r="K18" s="492"/>
      <c r="L18" s="492"/>
      <c r="M18" s="492"/>
      <c r="N18" s="492"/>
      <c r="O18" s="492"/>
      <c r="P18" s="492"/>
      <c r="Q18" s="492"/>
      <c r="R18" s="492"/>
      <c r="S18" s="492"/>
      <c r="T18" s="492"/>
      <c r="U18" s="492"/>
      <c r="V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K18" s="492"/>
      <c r="AL18" s="491"/>
      <c r="AM18" s="491"/>
      <c r="AN18" s="491"/>
      <c r="AO18" s="491"/>
      <c r="AP18" s="491"/>
      <c r="AQ18" s="491"/>
      <c r="AR18" s="491"/>
      <c r="AS18" s="431"/>
      <c r="AT18" s="425"/>
      <c r="AU18" s="421"/>
      <c r="AV18" s="421"/>
      <c r="AW18" s="421"/>
      <c r="AX18" s="421"/>
      <c r="AY18" s="417"/>
      <c r="AZ18" s="422"/>
      <c r="BA18" s="422"/>
      <c r="BB18" s="389"/>
      <c r="BC18" s="390"/>
      <c r="BD18" s="391"/>
      <c r="BE18" s="444"/>
      <c r="BF18" s="444"/>
      <c r="BG18" s="444" t="s">
        <v>299</v>
      </c>
      <c r="BH18" s="444"/>
      <c r="BI18" s="444"/>
      <c r="BJ18" s="444"/>
      <c r="BK18" s="444"/>
      <c r="BL18" s="444"/>
      <c r="BM18" s="444"/>
      <c r="BN18" s="444"/>
      <c r="BO18" s="444"/>
      <c r="BP18" s="444"/>
      <c r="BQ18" s="444"/>
      <c r="BR18" s="444"/>
      <c r="BS18" s="444"/>
      <c r="BT18" s="444"/>
    </row>
    <row r="19" spans="1:72" s="443" customFormat="1" ht="12.5" customHeight="1">
      <c r="A19" s="393"/>
      <c r="B19" s="418"/>
      <c r="C19" s="417"/>
      <c r="D19" s="491" t="s">
        <v>313</v>
      </c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  <c r="Z19" s="492"/>
      <c r="AA19" s="492"/>
      <c r="AB19" s="492"/>
      <c r="AC19" s="492"/>
      <c r="AD19" s="492"/>
      <c r="AE19" s="492"/>
      <c r="AF19" s="492"/>
      <c r="AG19" s="492"/>
      <c r="AH19" s="492"/>
      <c r="AI19" s="492"/>
      <c r="AJ19" s="492"/>
      <c r="AK19" s="492"/>
      <c r="AL19" s="491"/>
      <c r="AM19" s="491"/>
      <c r="AN19" s="491"/>
      <c r="AO19" s="491"/>
      <c r="AP19" s="491"/>
      <c r="AQ19" s="491"/>
      <c r="AR19" s="491"/>
      <c r="AS19" s="431"/>
      <c r="AT19" s="425"/>
      <c r="AU19" s="421"/>
      <c r="AV19" s="421"/>
      <c r="AW19" s="421"/>
      <c r="AX19" s="421"/>
      <c r="AY19" s="417"/>
      <c r="AZ19" s="422"/>
      <c r="BA19" s="422"/>
      <c r="BB19" s="389"/>
      <c r="BC19" s="390"/>
      <c r="BD19" s="391"/>
      <c r="BE19" s="444"/>
      <c r="BF19" s="444"/>
      <c r="BG19" s="444" t="s">
        <v>300</v>
      </c>
      <c r="BH19" s="444"/>
      <c r="BI19" s="444"/>
      <c r="BJ19" s="444"/>
      <c r="BK19" s="444"/>
      <c r="BL19" s="444"/>
      <c r="BM19" s="444"/>
      <c r="BN19" s="444"/>
      <c r="BO19" s="444"/>
      <c r="BP19" s="444"/>
      <c r="BQ19" s="444"/>
      <c r="BR19" s="444"/>
      <c r="BS19" s="444"/>
      <c r="BT19" s="444"/>
    </row>
    <row r="20" spans="1:72" s="443" customFormat="1" ht="12.5" customHeight="1">
      <c r="A20" s="393"/>
      <c r="B20" s="418"/>
      <c r="C20" s="417"/>
      <c r="D20" s="492" t="s">
        <v>277</v>
      </c>
      <c r="E20" s="492"/>
      <c r="F20" s="492"/>
      <c r="G20" s="492"/>
      <c r="H20" s="492"/>
      <c r="I20" s="492"/>
      <c r="J20" s="492"/>
      <c r="K20" s="492"/>
      <c r="L20" s="492"/>
      <c r="M20" s="492"/>
      <c r="N20" s="492"/>
      <c r="O20" s="492"/>
      <c r="P20" s="492"/>
      <c r="Q20" s="492"/>
      <c r="R20" s="492"/>
      <c r="S20" s="492"/>
      <c r="T20" s="492"/>
      <c r="U20" s="492"/>
      <c r="V20" s="492"/>
      <c r="W20" s="492"/>
      <c r="X20" s="492"/>
      <c r="Y20" s="492"/>
      <c r="Z20" s="492"/>
      <c r="AA20" s="492"/>
      <c r="AB20" s="492"/>
      <c r="AC20" s="492"/>
      <c r="AD20" s="492"/>
      <c r="AE20" s="492"/>
      <c r="AF20" s="492"/>
      <c r="AG20" s="492"/>
      <c r="AH20" s="492"/>
      <c r="AI20" s="492"/>
      <c r="AJ20" s="492"/>
      <c r="AK20" s="492"/>
      <c r="AL20" s="491"/>
      <c r="AM20" s="491"/>
      <c r="AN20" s="491"/>
      <c r="AO20" s="491"/>
      <c r="AP20" s="491"/>
      <c r="AQ20" s="491"/>
      <c r="AR20" s="491"/>
      <c r="AS20" s="431"/>
      <c r="AT20" s="425"/>
      <c r="AU20" s="421"/>
      <c r="AV20" s="421"/>
      <c r="AW20" s="421"/>
      <c r="AX20" s="421"/>
      <c r="AY20" s="417"/>
      <c r="AZ20" s="422"/>
      <c r="BA20" s="422"/>
      <c r="BB20" s="389"/>
      <c r="BC20" s="390"/>
      <c r="BD20" s="391"/>
      <c r="BE20" s="444"/>
      <c r="BF20" s="444"/>
      <c r="BG20" s="444" t="s">
        <v>301</v>
      </c>
      <c r="BH20" s="444"/>
      <c r="BI20" s="444"/>
      <c r="BJ20" s="444"/>
      <c r="BK20" s="444"/>
      <c r="BL20" s="444"/>
      <c r="BM20" s="444"/>
      <c r="BN20" s="444"/>
      <c r="BO20" s="444"/>
      <c r="BP20" s="444"/>
      <c r="BQ20" s="444"/>
      <c r="BR20" s="444"/>
      <c r="BS20" s="444"/>
      <c r="BT20" s="444"/>
    </row>
    <row r="21" spans="1:72" s="443" customFormat="1" ht="12.5" customHeight="1">
      <c r="A21" s="393"/>
      <c r="B21" s="418"/>
      <c r="C21" s="417"/>
      <c r="D21" s="492" t="s">
        <v>314</v>
      </c>
      <c r="E21" s="492"/>
      <c r="F21" s="492"/>
      <c r="G21" s="492"/>
      <c r="H21" s="492"/>
      <c r="I21" s="492"/>
      <c r="J21" s="492"/>
      <c r="K21" s="492"/>
      <c r="L21" s="492"/>
      <c r="M21" s="492"/>
      <c r="N21" s="492"/>
      <c r="O21" s="492"/>
      <c r="P21" s="492"/>
      <c r="Q21" s="492"/>
      <c r="R21" s="492"/>
      <c r="S21" s="492"/>
      <c r="T21" s="492"/>
      <c r="U21" s="492"/>
      <c r="V21" s="492"/>
      <c r="W21" s="492"/>
      <c r="X21" s="49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K21" s="492"/>
      <c r="AL21" s="491"/>
      <c r="AM21" s="491"/>
      <c r="AN21" s="491"/>
      <c r="AO21" s="491"/>
      <c r="AP21" s="491"/>
      <c r="AQ21" s="491"/>
      <c r="AR21" s="491"/>
      <c r="AS21" s="431"/>
      <c r="AT21" s="425"/>
      <c r="AU21" s="421"/>
      <c r="AV21" s="421"/>
      <c r="AW21" s="421"/>
      <c r="AX21" s="421"/>
      <c r="AY21" s="417"/>
      <c r="AZ21" s="422"/>
      <c r="BA21" s="422"/>
      <c r="BB21" s="389"/>
      <c r="BC21" s="390"/>
      <c r="BD21" s="391"/>
      <c r="BE21" s="444"/>
      <c r="BF21" s="444"/>
      <c r="BG21" s="444" t="s">
        <v>302</v>
      </c>
      <c r="BH21" s="444"/>
      <c r="BI21" s="444"/>
      <c r="BJ21" s="444"/>
      <c r="BK21" s="444"/>
      <c r="BL21" s="444"/>
      <c r="BM21" s="444"/>
      <c r="BN21" s="444"/>
      <c r="BO21" s="444"/>
      <c r="BP21" s="444"/>
      <c r="BQ21" s="444"/>
      <c r="BR21" s="444"/>
      <c r="BS21" s="444"/>
      <c r="BT21" s="444"/>
    </row>
    <row r="22" spans="1:72" s="443" customFormat="1" ht="12.5" customHeight="1">
      <c r="A22" s="393"/>
      <c r="B22" s="418"/>
      <c r="C22" s="423"/>
      <c r="D22" s="492" t="s">
        <v>278</v>
      </c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1"/>
      <c r="AM22" s="491"/>
      <c r="AN22" s="491"/>
      <c r="AO22" s="491"/>
      <c r="AP22" s="491"/>
      <c r="AQ22" s="491"/>
      <c r="AR22" s="491"/>
      <c r="AS22" s="431"/>
      <c r="AT22" s="425"/>
      <c r="AU22" s="421"/>
      <c r="AV22" s="421"/>
      <c r="AW22" s="421"/>
      <c r="AX22" s="421"/>
      <c r="AY22" s="417"/>
      <c r="AZ22" s="422"/>
      <c r="BA22" s="422"/>
      <c r="BB22" s="389"/>
      <c r="BC22" s="390"/>
      <c r="BD22" s="391"/>
      <c r="BE22" s="444"/>
      <c r="BF22" s="444"/>
      <c r="BG22" s="444" t="s">
        <v>177</v>
      </c>
      <c r="BH22" s="444"/>
      <c r="BI22" s="444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</row>
    <row r="23" spans="1:72" s="443" customFormat="1" ht="12.5" customHeight="1">
      <c r="A23" s="393"/>
      <c r="B23" s="418"/>
      <c r="C23" s="423"/>
      <c r="D23" s="491" t="s">
        <v>315</v>
      </c>
      <c r="E23" s="492"/>
      <c r="F23" s="492"/>
      <c r="G23" s="492"/>
      <c r="H23" s="492"/>
      <c r="I23" s="492"/>
      <c r="J23" s="492"/>
      <c r="K23" s="492"/>
      <c r="L23" s="492"/>
      <c r="M23" s="492"/>
      <c r="N23" s="492"/>
      <c r="O23" s="492"/>
      <c r="P23" s="492"/>
      <c r="Q23" s="492"/>
      <c r="R23" s="492"/>
      <c r="S23" s="492"/>
      <c r="T23" s="492"/>
      <c r="U23" s="492"/>
      <c r="V23" s="492"/>
      <c r="W23" s="492"/>
      <c r="X23" s="492"/>
      <c r="Y23" s="492"/>
      <c r="Z23" s="492"/>
      <c r="AA23" s="492"/>
      <c r="AB23" s="492"/>
      <c r="AC23" s="492"/>
      <c r="AD23" s="492"/>
      <c r="AE23" s="492"/>
      <c r="AF23" s="492"/>
      <c r="AG23" s="492"/>
      <c r="AH23" s="492"/>
      <c r="AI23" s="492"/>
      <c r="AJ23" s="492"/>
      <c r="AK23" s="492"/>
      <c r="AL23" s="491"/>
      <c r="AM23" s="491"/>
      <c r="AN23" s="491"/>
      <c r="AO23" s="491"/>
      <c r="AP23" s="491"/>
      <c r="AQ23" s="491"/>
      <c r="AR23" s="491"/>
      <c r="AS23" s="431"/>
      <c r="AT23" s="425"/>
      <c r="AU23" s="421"/>
      <c r="AV23" s="421"/>
      <c r="AW23" s="421"/>
      <c r="AX23" s="421"/>
      <c r="AY23" s="417"/>
      <c r="AZ23" s="422"/>
      <c r="BA23" s="422"/>
      <c r="BB23" s="389"/>
      <c r="BC23" s="390"/>
      <c r="BD23" s="391"/>
      <c r="BE23" s="444"/>
      <c r="BF23" s="444"/>
      <c r="BG23" s="444" t="s">
        <v>178</v>
      </c>
      <c r="BH23" s="444"/>
      <c r="BI23" s="444"/>
      <c r="BJ23" s="444"/>
      <c r="BK23" s="444"/>
      <c r="BL23" s="444"/>
      <c r="BM23" s="444"/>
      <c r="BN23" s="444"/>
      <c r="BO23" s="444"/>
      <c r="BP23" s="444"/>
      <c r="BQ23" s="444"/>
      <c r="BR23" s="444"/>
      <c r="BS23" s="444"/>
      <c r="BT23" s="444"/>
    </row>
    <row r="24" spans="1:72" s="443" customFormat="1" ht="12.5" customHeight="1">
      <c r="A24" s="393"/>
      <c r="B24" s="418"/>
      <c r="C24" s="417"/>
      <c r="D24" s="492" t="s">
        <v>279</v>
      </c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2"/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1"/>
      <c r="AM24" s="491"/>
      <c r="AN24" s="491"/>
      <c r="AO24" s="491"/>
      <c r="AP24" s="491"/>
      <c r="AQ24" s="491"/>
      <c r="AR24" s="491"/>
      <c r="AS24" s="431"/>
      <c r="AT24" s="425"/>
      <c r="AU24" s="421"/>
      <c r="AV24" s="421"/>
      <c r="AW24" s="421"/>
      <c r="AX24" s="421"/>
      <c r="AY24" s="417"/>
      <c r="AZ24" s="422"/>
      <c r="BA24" s="422"/>
      <c r="BB24" s="389"/>
      <c r="BC24" s="390"/>
      <c r="BD24" s="392"/>
      <c r="BE24" s="444"/>
      <c r="BF24" s="444"/>
      <c r="BG24" s="444"/>
      <c r="BH24" s="444"/>
      <c r="BI24" s="444"/>
      <c r="BJ24" s="444"/>
      <c r="BK24" s="444"/>
      <c r="BL24" s="444"/>
      <c r="BM24" s="444"/>
      <c r="BN24" s="444"/>
      <c r="BO24" s="444"/>
      <c r="BP24" s="444"/>
      <c r="BQ24" s="444"/>
      <c r="BR24" s="444"/>
      <c r="BS24" s="444"/>
      <c r="BT24" s="444"/>
    </row>
    <row r="25" spans="1:72" s="443" customFormat="1" ht="12.5" customHeight="1">
      <c r="A25" s="393"/>
      <c r="B25" s="418"/>
      <c r="C25" s="417"/>
      <c r="D25" s="491" t="s">
        <v>316</v>
      </c>
      <c r="E25" s="492"/>
      <c r="F25" s="492"/>
      <c r="G25" s="492"/>
      <c r="H25" s="492"/>
      <c r="I25" s="492"/>
      <c r="J25" s="492"/>
      <c r="K25" s="492"/>
      <c r="L25" s="492"/>
      <c r="M25" s="492"/>
      <c r="N25" s="492"/>
      <c r="O25" s="492"/>
      <c r="P25" s="492"/>
      <c r="Q25" s="492"/>
      <c r="R25" s="492"/>
      <c r="S25" s="492"/>
      <c r="T25" s="492"/>
      <c r="U25" s="492"/>
      <c r="V25" s="492"/>
      <c r="W25" s="492"/>
      <c r="X25" s="492"/>
      <c r="Y25" s="492"/>
      <c r="Z25" s="492"/>
      <c r="AA25" s="492"/>
      <c r="AB25" s="492"/>
      <c r="AC25" s="492"/>
      <c r="AD25" s="492"/>
      <c r="AE25" s="492"/>
      <c r="AF25" s="492"/>
      <c r="AG25" s="492"/>
      <c r="AH25" s="492"/>
      <c r="AI25" s="492"/>
      <c r="AJ25" s="492"/>
      <c r="AK25" s="492"/>
      <c r="AL25" s="491"/>
      <c r="AM25" s="491"/>
      <c r="AN25" s="491"/>
      <c r="AO25" s="491"/>
      <c r="AP25" s="491"/>
      <c r="AQ25" s="491"/>
      <c r="AR25" s="491"/>
      <c r="AS25" s="431"/>
      <c r="AT25" s="425"/>
      <c r="AU25" s="421"/>
      <c r="AV25" s="421"/>
      <c r="AW25" s="421"/>
      <c r="AX25" s="421"/>
      <c r="AY25" s="417"/>
      <c r="AZ25" s="422"/>
      <c r="BA25" s="422"/>
      <c r="BB25" s="389"/>
      <c r="BC25" s="390"/>
      <c r="BD25" s="392"/>
      <c r="BE25" s="444"/>
      <c r="BF25" s="444" t="s">
        <v>303</v>
      </c>
      <c r="BG25" s="447"/>
      <c r="BH25" s="444"/>
      <c r="BI25" s="444"/>
      <c r="BJ25" s="444"/>
      <c r="BK25" s="444"/>
      <c r="BL25" s="444"/>
      <c r="BM25" s="444"/>
      <c r="BN25" s="444"/>
      <c r="BO25" s="444"/>
      <c r="BP25" s="444"/>
      <c r="BQ25" s="444"/>
      <c r="BR25" s="444"/>
      <c r="BS25" s="444"/>
      <c r="BT25" s="444"/>
    </row>
    <row r="26" spans="1:72" s="443" customFormat="1" ht="12.5" customHeight="1">
      <c r="A26" s="393"/>
      <c r="B26" s="418"/>
      <c r="C26" s="427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/>
      <c r="AA26" s="492"/>
      <c r="AB26" s="492"/>
      <c r="AC26" s="492"/>
      <c r="AD26" s="492"/>
      <c r="AE26" s="492"/>
      <c r="AF26" s="492"/>
      <c r="AG26" s="492"/>
      <c r="AH26" s="492"/>
      <c r="AI26" s="492"/>
      <c r="AJ26" s="492"/>
      <c r="AK26" s="492"/>
      <c r="AL26" s="491"/>
      <c r="AM26" s="491"/>
      <c r="AN26" s="491"/>
      <c r="AO26" s="491"/>
      <c r="AP26" s="491"/>
      <c r="AQ26" s="491"/>
      <c r="AR26" s="491"/>
      <c r="AS26" s="431"/>
      <c r="AT26" s="421"/>
      <c r="AU26" s="421"/>
      <c r="AV26" s="421"/>
      <c r="AW26" s="421"/>
      <c r="AX26" s="421"/>
      <c r="AY26" s="421"/>
      <c r="AZ26" s="422"/>
      <c r="BA26" s="422"/>
      <c r="BB26" s="405"/>
      <c r="BC26" s="406"/>
      <c r="BD26" s="391"/>
      <c r="BE26" s="444"/>
      <c r="BF26" s="444"/>
      <c r="BG26" s="447" t="s">
        <v>304</v>
      </c>
      <c r="BH26" s="444"/>
      <c r="BI26" s="444"/>
      <c r="BJ26" s="444"/>
      <c r="BK26" s="444"/>
      <c r="BL26" s="444"/>
      <c r="BM26" s="444"/>
      <c r="BN26" s="444"/>
      <c r="BO26" s="444"/>
      <c r="BP26" s="444"/>
      <c r="BQ26" s="444"/>
      <c r="BR26" s="444"/>
      <c r="BS26" s="444"/>
      <c r="BT26" s="444"/>
    </row>
    <row r="27" spans="1:72" s="443" customFormat="1" ht="12.5" customHeight="1">
      <c r="A27" s="393"/>
      <c r="B27" s="418"/>
      <c r="C27" s="427"/>
      <c r="D27" s="492" t="s">
        <v>281</v>
      </c>
      <c r="E27" s="492"/>
      <c r="F27" s="492"/>
      <c r="G27" s="492"/>
      <c r="H27" s="492"/>
      <c r="I27" s="492"/>
      <c r="J27" s="492"/>
      <c r="K27" s="492"/>
      <c r="L27" s="492"/>
      <c r="M27" s="492"/>
      <c r="N27" s="492"/>
      <c r="O27" s="492"/>
      <c r="P27" s="492"/>
      <c r="Q27" s="492"/>
      <c r="R27" s="492"/>
      <c r="S27" s="492"/>
      <c r="T27" s="492"/>
      <c r="U27" s="492"/>
      <c r="V27" s="492"/>
      <c r="W27" s="492"/>
      <c r="X27" s="492"/>
      <c r="Y27" s="492"/>
      <c r="Z27" s="492"/>
      <c r="AA27" s="492"/>
      <c r="AB27" s="492"/>
      <c r="AC27" s="492"/>
      <c r="AD27" s="492"/>
      <c r="AE27" s="492"/>
      <c r="AF27" s="492"/>
      <c r="AG27" s="492"/>
      <c r="AH27" s="492"/>
      <c r="AI27" s="492"/>
      <c r="AJ27" s="492"/>
      <c r="AK27" s="492"/>
      <c r="AL27" s="491"/>
      <c r="AM27" s="491"/>
      <c r="AN27" s="491"/>
      <c r="AO27" s="491"/>
      <c r="AP27" s="491"/>
      <c r="AQ27" s="491"/>
      <c r="AR27" s="491"/>
      <c r="AS27" s="431"/>
      <c r="AT27" s="425"/>
      <c r="AU27" s="421"/>
      <c r="AV27" s="421"/>
      <c r="AW27" s="421"/>
      <c r="AX27" s="421"/>
      <c r="AY27" s="421"/>
      <c r="AZ27" s="422"/>
      <c r="BA27" s="422"/>
      <c r="BB27" s="405"/>
      <c r="BC27" s="406"/>
      <c r="BD27" s="391"/>
      <c r="BE27" s="444"/>
      <c r="BF27" s="444"/>
      <c r="BG27" s="447" t="s">
        <v>305</v>
      </c>
      <c r="BH27" s="444"/>
      <c r="BI27" s="444"/>
      <c r="BJ27" s="444"/>
      <c r="BK27" s="444"/>
      <c r="BL27" s="444"/>
      <c r="BM27" s="444"/>
      <c r="BN27" s="444"/>
      <c r="BO27" s="444"/>
      <c r="BP27" s="444"/>
      <c r="BQ27" s="444"/>
      <c r="BR27" s="444"/>
      <c r="BS27" s="444"/>
      <c r="BT27" s="444"/>
    </row>
    <row r="28" spans="1:72" s="443" customFormat="1" ht="12.5" customHeight="1">
      <c r="A28" s="393"/>
      <c r="B28" s="418"/>
      <c r="C28" s="427"/>
      <c r="D28" s="492" t="s">
        <v>280</v>
      </c>
      <c r="E28" s="492"/>
      <c r="F28" s="492"/>
      <c r="G28" s="492"/>
      <c r="H28" s="492"/>
      <c r="I28" s="492"/>
      <c r="J28" s="492"/>
      <c r="K28" s="492"/>
      <c r="L28" s="492"/>
      <c r="M28" s="492"/>
      <c r="N28" s="492"/>
      <c r="O28" s="492"/>
      <c r="P28" s="492"/>
      <c r="Q28" s="492"/>
      <c r="R28" s="492"/>
      <c r="S28" s="492"/>
      <c r="T28" s="492"/>
      <c r="U28" s="492"/>
      <c r="V28" s="492"/>
      <c r="W28" s="492"/>
      <c r="X28" s="492"/>
      <c r="Y28" s="492"/>
      <c r="Z28" s="492"/>
      <c r="AA28" s="492"/>
      <c r="AB28" s="492"/>
      <c r="AC28" s="492"/>
      <c r="AD28" s="492"/>
      <c r="AE28" s="492"/>
      <c r="AF28" s="492"/>
      <c r="AG28" s="492"/>
      <c r="AH28" s="492"/>
      <c r="AI28" s="492"/>
      <c r="AJ28" s="492"/>
      <c r="AK28" s="492"/>
      <c r="AL28" s="491"/>
      <c r="AM28" s="491"/>
      <c r="AN28" s="491"/>
      <c r="AO28" s="491"/>
      <c r="AP28" s="491"/>
      <c r="AQ28" s="491"/>
      <c r="AR28" s="491"/>
      <c r="AS28" s="432"/>
      <c r="AT28" s="429"/>
      <c r="AU28" s="429"/>
      <c r="AV28" s="429"/>
      <c r="AW28" s="429"/>
      <c r="AX28" s="429"/>
      <c r="AY28" s="429"/>
      <c r="AZ28" s="422"/>
      <c r="BA28" s="422"/>
      <c r="BB28" s="405"/>
      <c r="BC28" s="406"/>
      <c r="BD28" s="391"/>
      <c r="BE28" s="444"/>
      <c r="BF28" s="444"/>
      <c r="BG28" s="447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</row>
    <row r="29" spans="1:72" s="443" customFormat="1" ht="12.5" customHeight="1">
      <c r="A29" s="393"/>
      <c r="B29" s="418"/>
      <c r="C29" s="427"/>
      <c r="D29" s="491" t="s">
        <v>317</v>
      </c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1"/>
      <c r="AM29" s="491"/>
      <c r="AN29" s="491"/>
      <c r="AO29" s="491"/>
      <c r="AP29" s="491"/>
      <c r="AQ29" s="491"/>
      <c r="AR29" s="491"/>
      <c r="AS29" s="431"/>
      <c r="AT29" s="425"/>
      <c r="AU29" s="421"/>
      <c r="AV29" s="421"/>
      <c r="AW29" s="421"/>
      <c r="AX29" s="421"/>
      <c r="AY29" s="421"/>
      <c r="AZ29" s="422"/>
      <c r="BA29" s="422"/>
      <c r="BB29" s="405"/>
      <c r="BC29" s="406"/>
      <c r="BD29" s="391"/>
      <c r="BE29" s="444"/>
      <c r="BF29" s="444" t="s">
        <v>306</v>
      </c>
      <c r="BG29" s="447"/>
      <c r="BH29" s="444"/>
      <c r="BI29" s="444"/>
      <c r="BJ29" s="444"/>
      <c r="BK29" s="444"/>
      <c r="BL29" s="444"/>
      <c r="BM29" s="444"/>
      <c r="BN29" s="444"/>
      <c r="BO29" s="444"/>
      <c r="BP29" s="444"/>
      <c r="BQ29" s="444"/>
      <c r="BR29" s="444"/>
      <c r="BS29" s="444"/>
      <c r="BT29" s="444"/>
    </row>
    <row r="30" spans="1:72" s="443" customFormat="1" ht="12.5" customHeight="1">
      <c r="A30" s="393"/>
      <c r="B30" s="418"/>
      <c r="C30" s="427"/>
      <c r="D30" s="491" t="s">
        <v>318</v>
      </c>
      <c r="E30" s="492"/>
      <c r="F30" s="492"/>
      <c r="G30" s="492"/>
      <c r="H30" s="492"/>
      <c r="I30" s="492"/>
      <c r="J30" s="492"/>
      <c r="K30" s="492"/>
      <c r="L30" s="492"/>
      <c r="M30" s="492"/>
      <c r="N30" s="492"/>
      <c r="O30" s="492"/>
      <c r="P30" s="492"/>
      <c r="Q30" s="492"/>
      <c r="R30" s="492"/>
      <c r="S30" s="492"/>
      <c r="T30" s="492"/>
      <c r="U30" s="492"/>
      <c r="V30" s="492"/>
      <c r="W30" s="492"/>
      <c r="X30" s="492"/>
      <c r="Y30" s="492"/>
      <c r="Z30" s="492"/>
      <c r="AA30" s="492"/>
      <c r="AB30" s="492"/>
      <c r="AC30" s="492"/>
      <c r="AD30" s="492"/>
      <c r="AE30" s="492"/>
      <c r="AF30" s="492"/>
      <c r="AG30" s="492"/>
      <c r="AH30" s="492"/>
      <c r="AI30" s="492"/>
      <c r="AJ30" s="492"/>
      <c r="AK30" s="492"/>
      <c r="AL30" s="491"/>
      <c r="AM30" s="491"/>
      <c r="AN30" s="491"/>
      <c r="AO30" s="491"/>
      <c r="AP30" s="491"/>
      <c r="AQ30" s="491"/>
      <c r="AR30" s="491"/>
      <c r="AS30" s="432"/>
      <c r="AT30" s="429"/>
      <c r="AU30" s="429"/>
      <c r="AV30" s="429"/>
      <c r="AW30" s="429"/>
      <c r="AX30" s="429"/>
      <c r="AY30" s="429"/>
      <c r="AZ30" s="422"/>
      <c r="BA30" s="422"/>
      <c r="BB30" s="405"/>
      <c r="BC30" s="406"/>
      <c r="BD30" s="391"/>
      <c r="BE30" s="444"/>
      <c r="BF30" s="444"/>
      <c r="BG30" s="444" t="s">
        <v>307</v>
      </c>
      <c r="BH30" s="444"/>
      <c r="BI30" s="444"/>
      <c r="BJ30" s="444"/>
      <c r="BK30" s="444"/>
      <c r="BL30" s="444"/>
      <c r="BM30" s="444"/>
      <c r="BN30" s="444"/>
      <c r="BO30" s="444"/>
      <c r="BP30" s="444"/>
      <c r="BQ30" s="444"/>
      <c r="BR30" s="444"/>
      <c r="BS30" s="444"/>
      <c r="BT30" s="444"/>
    </row>
    <row r="31" spans="1:72" s="443" customFormat="1" ht="12.5" customHeight="1">
      <c r="A31" s="393"/>
      <c r="B31" s="418"/>
      <c r="C31" s="427"/>
      <c r="D31" s="492"/>
      <c r="E31" s="492"/>
      <c r="F31" s="492"/>
      <c r="G31" s="492"/>
      <c r="H31" s="492"/>
      <c r="I31" s="492"/>
      <c r="J31" s="492"/>
      <c r="K31" s="492"/>
      <c r="L31" s="492"/>
      <c r="M31" s="492"/>
      <c r="N31" s="492"/>
      <c r="O31" s="492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92"/>
      <c r="AI31" s="492"/>
      <c r="AJ31" s="492"/>
      <c r="AK31" s="492"/>
      <c r="AL31" s="491"/>
      <c r="AM31" s="491"/>
      <c r="AN31" s="491"/>
      <c r="AO31" s="491"/>
      <c r="AP31" s="491"/>
      <c r="AQ31" s="491"/>
      <c r="AR31" s="491"/>
      <c r="AS31" s="431"/>
      <c r="AT31" s="421"/>
      <c r="AU31" s="421"/>
      <c r="AV31" s="421"/>
      <c r="AW31" s="421"/>
      <c r="AX31" s="421"/>
      <c r="AY31" s="421"/>
      <c r="AZ31" s="422"/>
      <c r="BA31" s="422"/>
      <c r="BB31" s="405"/>
      <c r="BC31" s="406"/>
      <c r="BD31" s="391"/>
      <c r="BE31" s="444"/>
      <c r="BF31" s="444"/>
      <c r="BG31" s="444" t="s">
        <v>308</v>
      </c>
      <c r="BH31" s="444"/>
      <c r="BI31" s="444"/>
      <c r="BJ31" s="444"/>
      <c r="BK31" s="444"/>
      <c r="BL31" s="444"/>
      <c r="BM31" s="444"/>
      <c r="BN31" s="444"/>
      <c r="BO31" s="444"/>
      <c r="BP31" s="444"/>
      <c r="BQ31" s="444"/>
      <c r="BR31" s="444"/>
      <c r="BS31" s="444"/>
      <c r="BT31" s="444"/>
    </row>
    <row r="32" spans="1:72" s="443" customFormat="1" ht="12.5" customHeight="1">
      <c r="A32" s="393"/>
      <c r="B32" s="418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  <c r="AN32" s="420"/>
      <c r="AO32" s="420"/>
      <c r="AP32" s="420"/>
      <c r="AQ32" s="420"/>
      <c r="AR32" s="420"/>
      <c r="AS32" s="420"/>
      <c r="AT32" s="420"/>
      <c r="AU32" s="420"/>
      <c r="AV32" s="420"/>
      <c r="AW32" s="420"/>
      <c r="AX32" s="420"/>
      <c r="AY32" s="420"/>
      <c r="AZ32" s="422"/>
      <c r="BA32" s="422"/>
      <c r="BB32" s="405"/>
      <c r="BC32" s="406"/>
      <c r="BD32" s="391"/>
      <c r="BE32" s="444"/>
      <c r="BF32" s="444"/>
      <c r="BG32" s="447" t="s">
        <v>309</v>
      </c>
      <c r="BH32" s="444"/>
      <c r="BI32" s="444"/>
      <c r="BJ32" s="444"/>
      <c r="BK32" s="444"/>
      <c r="BL32" s="444"/>
      <c r="BM32" s="444"/>
      <c r="BN32" s="444"/>
      <c r="BO32" s="444"/>
      <c r="BP32" s="444"/>
      <c r="BQ32" s="444"/>
      <c r="BR32" s="444"/>
      <c r="BS32" s="444"/>
      <c r="BT32" s="444"/>
    </row>
    <row r="33" spans="1:72" s="443" customFormat="1" ht="12.5" customHeight="1">
      <c r="A33" s="393"/>
      <c r="B33" s="426"/>
      <c r="C33" s="420"/>
      <c r="D33" s="420"/>
      <c r="E33" s="420"/>
      <c r="F33" s="420"/>
      <c r="G33" s="420"/>
      <c r="H33" s="420"/>
      <c r="I33" s="420"/>
      <c r="J33" s="420"/>
      <c r="K33" s="420"/>
      <c r="L33" s="420"/>
      <c r="M33" s="420"/>
      <c r="N33" s="420"/>
      <c r="O33" s="420"/>
      <c r="P33" s="420"/>
      <c r="Q33" s="42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  <c r="AK33" s="420"/>
      <c r="AL33" s="420"/>
      <c r="AM33" s="420"/>
      <c r="AN33" s="420"/>
      <c r="AO33" s="420"/>
      <c r="AP33" s="420"/>
      <c r="AQ33" s="420"/>
      <c r="AR33" s="420"/>
      <c r="AS33" s="420"/>
      <c r="AT33" s="420"/>
      <c r="AU33" s="420"/>
      <c r="AV33" s="420"/>
      <c r="AW33" s="420"/>
      <c r="AX33" s="420"/>
      <c r="AY33" s="420"/>
      <c r="AZ33" s="422"/>
      <c r="BA33" s="422"/>
      <c r="BB33" s="389"/>
      <c r="BC33" s="390"/>
      <c r="BD33" s="391"/>
      <c r="BE33" s="444"/>
      <c r="BF33" s="444"/>
      <c r="BG33" s="444"/>
      <c r="BH33" s="444"/>
      <c r="BI33" s="444"/>
      <c r="BJ33" s="444"/>
      <c r="BK33" s="444"/>
      <c r="BL33" s="444"/>
      <c r="BM33" s="444"/>
      <c r="BN33" s="444"/>
      <c r="BO33" s="444"/>
      <c r="BP33" s="444"/>
      <c r="BQ33" s="444"/>
      <c r="BR33" s="444"/>
      <c r="BS33" s="444"/>
      <c r="BT33" s="444"/>
    </row>
    <row r="34" spans="1:72" s="443" customFormat="1" ht="12.5" customHeight="1">
      <c r="A34" s="393"/>
      <c r="B34" s="426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  <c r="AK34" s="420"/>
      <c r="AL34" s="420"/>
      <c r="AM34" s="420"/>
      <c r="AN34" s="420"/>
      <c r="AO34" s="420"/>
      <c r="AP34" s="420"/>
      <c r="AQ34" s="420"/>
      <c r="AR34" s="420"/>
      <c r="AS34" s="420"/>
      <c r="AT34" s="420"/>
      <c r="AU34" s="420"/>
      <c r="AV34" s="420"/>
      <c r="AW34" s="420"/>
      <c r="AX34" s="420"/>
      <c r="AY34" s="420"/>
      <c r="AZ34" s="422"/>
      <c r="BA34" s="422"/>
      <c r="BB34" s="389"/>
      <c r="BC34" s="390"/>
      <c r="BD34" s="391"/>
      <c r="BE34" s="444"/>
      <c r="BF34" s="444" t="s">
        <v>310</v>
      </c>
      <c r="BG34" s="444"/>
      <c r="BH34" s="444"/>
      <c r="BI34" s="444"/>
      <c r="BJ34" s="444"/>
      <c r="BK34" s="444"/>
      <c r="BL34" s="444"/>
      <c r="BM34" s="444"/>
      <c r="BN34" s="444"/>
      <c r="BO34" s="444"/>
      <c r="BP34" s="444"/>
      <c r="BQ34" s="444"/>
      <c r="BR34" s="444"/>
      <c r="BS34" s="444"/>
      <c r="BT34" s="444"/>
    </row>
    <row r="35" spans="1:72" s="443" customFormat="1" ht="12.5" customHeight="1">
      <c r="A35" s="393"/>
      <c r="B35" s="418"/>
      <c r="C35" s="420"/>
      <c r="D35" s="420"/>
      <c r="E35" s="420"/>
      <c r="F35" s="420"/>
      <c r="G35" s="420"/>
      <c r="H35" s="420"/>
      <c r="I35" s="420"/>
      <c r="J35" s="420"/>
      <c r="K35" s="420"/>
      <c r="L35" s="420"/>
      <c r="M35" s="420"/>
      <c r="N35" s="420"/>
      <c r="O35" s="420"/>
      <c r="P35" s="420"/>
      <c r="Q35" s="420"/>
      <c r="R35" s="420"/>
      <c r="S35" s="420"/>
      <c r="T35" s="420"/>
      <c r="U35" s="420"/>
      <c r="V35" s="420"/>
      <c r="W35" s="420"/>
      <c r="X35" s="420"/>
      <c r="Y35" s="420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  <c r="AK35" s="420"/>
      <c r="AL35" s="420"/>
      <c r="AM35" s="420"/>
      <c r="AN35" s="420"/>
      <c r="AO35" s="420"/>
      <c r="AP35" s="420"/>
      <c r="AQ35" s="420"/>
      <c r="AR35" s="420"/>
      <c r="AS35" s="420"/>
      <c r="AT35" s="420"/>
      <c r="AU35" s="420"/>
      <c r="AV35" s="420"/>
      <c r="AW35" s="420"/>
      <c r="AX35" s="420"/>
      <c r="AY35" s="420"/>
      <c r="AZ35" s="422"/>
      <c r="BA35" s="422"/>
      <c r="BB35" s="405"/>
      <c r="BC35" s="406"/>
      <c r="BD35" s="391"/>
      <c r="BE35" s="444"/>
      <c r="BF35" s="444"/>
      <c r="BG35" s="444" t="s">
        <v>311</v>
      </c>
      <c r="BH35" s="444"/>
      <c r="BI35" s="444"/>
      <c r="BJ35" s="444"/>
      <c r="BK35" s="444"/>
      <c r="BL35" s="444"/>
      <c r="BM35" s="444"/>
      <c r="BN35" s="444"/>
      <c r="BO35" s="444"/>
      <c r="BP35" s="444"/>
      <c r="BQ35" s="444"/>
      <c r="BR35" s="444"/>
      <c r="BS35" s="444"/>
      <c r="BT35" s="444"/>
    </row>
    <row r="36" spans="1:72" s="443" customFormat="1" ht="12.5" customHeight="1">
      <c r="A36" s="393"/>
      <c r="B36" s="418"/>
      <c r="C36" s="423"/>
      <c r="D36" s="419"/>
      <c r="E36" s="419"/>
      <c r="F36" s="419"/>
      <c r="G36" s="42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25"/>
      <c r="AU36" s="421"/>
      <c r="AV36" s="421"/>
      <c r="AW36" s="421"/>
      <c r="AX36" s="421"/>
      <c r="AY36" s="417"/>
      <c r="AZ36" s="422"/>
      <c r="BA36" s="422"/>
      <c r="BB36" s="389"/>
      <c r="BC36" s="390"/>
      <c r="BD36" s="391"/>
      <c r="BE36" s="444"/>
      <c r="BF36" s="444"/>
      <c r="BG36" s="447" t="s">
        <v>312</v>
      </c>
      <c r="BH36" s="444"/>
      <c r="BI36" s="444"/>
      <c r="BJ36" s="444"/>
      <c r="BK36" s="444"/>
      <c r="BL36" s="444"/>
      <c r="BM36" s="444"/>
      <c r="BN36" s="444"/>
      <c r="BO36" s="444"/>
      <c r="BP36" s="444"/>
      <c r="BQ36" s="444"/>
      <c r="BR36" s="444"/>
      <c r="BS36" s="444"/>
      <c r="BT36" s="444"/>
    </row>
    <row r="37" spans="1:72" s="443" customFormat="1" ht="12.5" customHeight="1">
      <c r="A37" s="393"/>
      <c r="B37" s="426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0"/>
      <c r="AQ37" s="420"/>
      <c r="AR37" s="420"/>
      <c r="AS37" s="420"/>
      <c r="AT37" s="420"/>
      <c r="AU37" s="420"/>
      <c r="AV37" s="420"/>
      <c r="AW37" s="420"/>
      <c r="AX37" s="420"/>
      <c r="AY37" s="420"/>
      <c r="AZ37" s="422"/>
      <c r="BA37" s="422"/>
      <c r="BB37" s="389"/>
      <c r="BC37" s="390"/>
      <c r="BD37" s="391"/>
      <c r="BE37" s="444"/>
      <c r="BF37" s="444"/>
      <c r="BG37" s="444"/>
      <c r="BH37" s="444"/>
      <c r="BI37" s="444"/>
      <c r="BJ37" s="444"/>
      <c r="BK37" s="444"/>
      <c r="BL37" s="444"/>
      <c r="BM37" s="444"/>
      <c r="BN37" s="444"/>
      <c r="BO37" s="444"/>
      <c r="BP37" s="444"/>
      <c r="BQ37" s="444"/>
      <c r="BR37" s="444"/>
      <c r="BS37" s="444"/>
      <c r="BT37" s="444"/>
    </row>
    <row r="38" spans="1:72" s="443" customFormat="1" ht="15">
      <c r="A38" s="393"/>
      <c r="B38" s="451"/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  <c r="N38" s="452"/>
      <c r="O38" s="452"/>
      <c r="P38" s="452"/>
      <c r="Q38" s="452"/>
      <c r="R38" s="452"/>
      <c r="S38" s="453"/>
      <c r="T38" s="453"/>
      <c r="U38" s="453"/>
      <c r="V38" s="453"/>
      <c r="W38" s="452"/>
      <c r="X38" s="452"/>
      <c r="Y38" s="453"/>
      <c r="Z38" s="453"/>
      <c r="AA38" s="452"/>
      <c r="AB38" s="452"/>
      <c r="AC38" s="452"/>
      <c r="AD38" s="453"/>
      <c r="AE38" s="453"/>
      <c r="AF38" s="453"/>
      <c r="AG38" s="453"/>
      <c r="AH38" s="453"/>
      <c r="AI38" s="453"/>
      <c r="AJ38" s="453"/>
      <c r="AK38" s="453"/>
      <c r="AL38" s="453"/>
      <c r="AM38" s="453"/>
      <c r="AN38" s="453"/>
      <c r="AO38" s="453"/>
      <c r="AP38" s="453"/>
      <c r="AQ38" s="453"/>
      <c r="AR38" s="453"/>
      <c r="AS38" s="453"/>
      <c r="AT38" s="453"/>
      <c r="AU38" s="453"/>
      <c r="AV38" s="453"/>
      <c r="AW38" s="453"/>
      <c r="AX38" s="453"/>
      <c r="AY38" s="451"/>
      <c r="AZ38" s="451"/>
      <c r="BA38" s="422"/>
      <c r="BB38" s="454"/>
      <c r="BC38" s="455"/>
      <c r="BD38" s="407"/>
      <c r="BE38" s="444"/>
      <c r="BF38" s="444"/>
      <c r="BG38" s="444"/>
      <c r="BH38" s="444"/>
      <c r="BI38" s="444"/>
      <c r="BJ38" s="444"/>
      <c r="BK38" s="444"/>
      <c r="BL38" s="444"/>
      <c r="BM38" s="444"/>
      <c r="BN38" s="444"/>
      <c r="BO38" s="444"/>
      <c r="BP38" s="444"/>
      <c r="BQ38" s="444"/>
      <c r="BR38" s="444"/>
      <c r="BS38" s="444"/>
      <c r="BT38" s="444"/>
    </row>
    <row r="39" spans="1:72" s="443" customFormat="1" ht="15">
      <c r="A39" s="408"/>
      <c r="B39" s="448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50"/>
      <c r="T39" s="450"/>
      <c r="U39" s="450"/>
      <c r="V39" s="450"/>
      <c r="W39" s="449"/>
      <c r="X39" s="449"/>
      <c r="Y39" s="450"/>
      <c r="Z39" s="450"/>
      <c r="AA39" s="449"/>
      <c r="AB39" s="449"/>
      <c r="AC39" s="449"/>
      <c r="AD39" s="450"/>
      <c r="AE39" s="450"/>
      <c r="AF39" s="450"/>
      <c r="AG39" s="450"/>
      <c r="AH39" s="450"/>
      <c r="AI39" s="450"/>
      <c r="AJ39" s="450"/>
      <c r="AK39" s="450"/>
      <c r="AL39" s="450"/>
      <c r="AM39" s="450"/>
      <c r="AN39" s="450"/>
      <c r="AO39" s="450"/>
      <c r="AP39" s="450"/>
      <c r="AQ39" s="450"/>
      <c r="AR39" s="450"/>
      <c r="AS39" s="450"/>
      <c r="AT39" s="450"/>
      <c r="AU39" s="450"/>
      <c r="AV39" s="450"/>
      <c r="AW39" s="450"/>
      <c r="AX39" s="450"/>
      <c r="AY39" s="448"/>
      <c r="AZ39" s="448"/>
      <c r="BA39" s="430"/>
      <c r="BB39" s="456"/>
      <c r="BC39" s="406"/>
      <c r="BD39" s="407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</row>
    <row r="40" spans="1:72" s="443" customFormat="1" ht="15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409"/>
      <c r="T40" s="409"/>
      <c r="U40" s="409"/>
      <c r="V40" s="409"/>
      <c r="W40" s="392"/>
      <c r="X40" s="392"/>
      <c r="Y40" s="409"/>
      <c r="Z40" s="409"/>
      <c r="AA40" s="392"/>
      <c r="AB40" s="392"/>
      <c r="AC40" s="392"/>
      <c r="AD40" s="409"/>
      <c r="AE40" s="409"/>
      <c r="AF40" s="409"/>
      <c r="AG40" s="409"/>
      <c r="AH40" s="409"/>
      <c r="AI40" s="409"/>
      <c r="AJ40" s="409"/>
      <c r="AK40" s="409"/>
      <c r="AL40" s="409"/>
      <c r="AM40" s="409"/>
      <c r="AN40" s="409"/>
      <c r="AO40" s="409"/>
      <c r="AP40" s="409"/>
      <c r="AQ40" s="409"/>
      <c r="AR40" s="409"/>
      <c r="AS40" s="409"/>
      <c r="AT40" s="409"/>
      <c r="AU40" s="409"/>
      <c r="AV40" s="409"/>
      <c r="AW40" s="409"/>
      <c r="AX40" s="409"/>
      <c r="AY40" s="409"/>
      <c r="AZ40" s="409"/>
      <c r="BA40" s="409"/>
      <c r="BB40" s="409"/>
      <c r="BC40" s="409"/>
      <c r="BD40" s="407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44"/>
      <c r="BP40" s="444"/>
      <c r="BQ40" s="444"/>
      <c r="BR40" s="444"/>
      <c r="BS40" s="444"/>
      <c r="BT40" s="444"/>
    </row>
    <row r="41" spans="1:72" s="443" customFormat="1" ht="15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409"/>
      <c r="T41" s="409"/>
      <c r="U41" s="409"/>
      <c r="V41" s="409"/>
      <c r="W41" s="392"/>
      <c r="X41" s="392"/>
      <c r="Y41" s="409"/>
      <c r="Z41" s="409"/>
      <c r="AA41" s="392"/>
      <c r="AB41" s="392"/>
      <c r="AC41" s="392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  <c r="AO41" s="409"/>
      <c r="AP41" s="409"/>
      <c r="AQ41" s="409"/>
      <c r="AR41" s="409"/>
      <c r="AS41" s="409"/>
      <c r="AT41" s="409"/>
      <c r="AU41" s="409"/>
      <c r="AV41" s="409"/>
      <c r="AW41" s="409"/>
      <c r="AX41" s="409"/>
      <c r="AY41" s="409"/>
      <c r="AZ41" s="409"/>
      <c r="BA41" s="409"/>
      <c r="BB41" s="409"/>
      <c r="BC41" s="409"/>
      <c r="BD41" s="407"/>
      <c r="BE41" s="444"/>
      <c r="BF41" s="444"/>
      <c r="BG41" s="444"/>
      <c r="BH41" s="444"/>
      <c r="BI41" s="444"/>
      <c r="BJ41" s="444"/>
      <c r="BK41" s="444"/>
      <c r="BL41" s="444"/>
      <c r="BM41" s="444"/>
      <c r="BN41" s="444"/>
      <c r="BO41" s="444"/>
      <c r="BP41" s="444"/>
      <c r="BQ41" s="444"/>
      <c r="BR41" s="444"/>
      <c r="BS41" s="444"/>
      <c r="BT41" s="444"/>
    </row>
    <row r="42" spans="1:72" s="443" customFormat="1" ht="15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2"/>
      <c r="S42" s="409"/>
      <c r="T42" s="409"/>
      <c r="U42" s="409"/>
      <c r="V42" s="409"/>
      <c r="W42" s="392"/>
      <c r="X42" s="392"/>
      <c r="Y42" s="409"/>
      <c r="Z42" s="409"/>
      <c r="AA42" s="392"/>
      <c r="AB42" s="392"/>
      <c r="AC42" s="392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09"/>
      <c r="AZ42" s="409"/>
      <c r="BA42" s="409"/>
      <c r="BB42" s="409"/>
      <c r="BC42" s="409"/>
      <c r="BD42" s="407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44"/>
      <c r="BP42" s="444"/>
      <c r="BQ42" s="444"/>
      <c r="BR42" s="444"/>
      <c r="BS42" s="444"/>
      <c r="BT42" s="444"/>
    </row>
    <row r="43" spans="1:72" s="443" customFormat="1" ht="15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409"/>
      <c r="T43" s="409"/>
      <c r="U43" s="409"/>
      <c r="V43" s="409"/>
      <c r="W43" s="392"/>
      <c r="X43" s="392"/>
      <c r="Y43" s="409"/>
      <c r="Z43" s="409"/>
      <c r="AA43" s="392"/>
      <c r="AB43" s="392"/>
      <c r="AC43" s="392"/>
      <c r="AD43" s="409"/>
      <c r="AE43" s="409"/>
      <c r="AF43" s="409"/>
      <c r="AG43" s="409"/>
      <c r="AH43" s="409"/>
      <c r="AI43" s="409"/>
      <c r="AJ43" s="409"/>
      <c r="AK43" s="409"/>
      <c r="AL43" s="409"/>
      <c r="AM43" s="409"/>
      <c r="AN43" s="409"/>
      <c r="AO43" s="409"/>
      <c r="AP43" s="409"/>
      <c r="AQ43" s="409"/>
      <c r="AR43" s="409"/>
      <c r="AS43" s="409"/>
      <c r="AT43" s="409"/>
      <c r="AU43" s="409"/>
      <c r="AV43" s="409"/>
      <c r="AW43" s="409"/>
      <c r="AX43" s="409"/>
      <c r="AY43" s="409"/>
      <c r="AZ43" s="409"/>
      <c r="BA43" s="409"/>
      <c r="BB43" s="409"/>
      <c r="BC43" s="409"/>
      <c r="BD43" s="407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44"/>
      <c r="BP43" s="444"/>
      <c r="BQ43" s="444"/>
      <c r="BR43" s="444"/>
      <c r="BS43" s="444"/>
      <c r="BT43" s="444"/>
    </row>
    <row r="44" spans="1:72" s="443" customFormat="1" ht="15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409"/>
      <c r="T44" s="409"/>
      <c r="U44" s="409"/>
      <c r="V44" s="409"/>
      <c r="W44" s="392"/>
      <c r="X44" s="392"/>
      <c r="Y44" s="409"/>
      <c r="Z44" s="409"/>
      <c r="AA44" s="392"/>
      <c r="AB44" s="392"/>
      <c r="AC44" s="392"/>
      <c r="AD44" s="409"/>
      <c r="AE44" s="409"/>
      <c r="AF44" s="409"/>
      <c r="AG44" s="409"/>
      <c r="AH44" s="409"/>
      <c r="AI44" s="409"/>
      <c r="AJ44" s="409"/>
      <c r="AK44" s="409"/>
      <c r="AL44" s="409"/>
      <c r="AM44" s="409"/>
      <c r="AN44" s="409"/>
      <c r="AO44" s="409"/>
      <c r="AP44" s="409"/>
      <c r="AQ44" s="409"/>
      <c r="AR44" s="409"/>
      <c r="AS44" s="409"/>
      <c r="AT44" s="409"/>
      <c r="AU44" s="409"/>
      <c r="AV44" s="409"/>
      <c r="AW44" s="409"/>
      <c r="AX44" s="409"/>
      <c r="AY44" s="409"/>
      <c r="AZ44" s="409"/>
      <c r="BA44" s="409"/>
      <c r="BB44" s="409"/>
      <c r="BC44" s="409"/>
      <c r="BD44" s="407"/>
      <c r="BE44" s="444"/>
      <c r="BF44" s="444"/>
      <c r="BG44" s="444"/>
      <c r="BH44" s="444"/>
      <c r="BI44" s="444"/>
      <c r="BJ44" s="444"/>
      <c r="BK44" s="444"/>
      <c r="BL44" s="444"/>
      <c r="BM44" s="444"/>
      <c r="BN44" s="444"/>
      <c r="BO44" s="444"/>
      <c r="BP44" s="444"/>
      <c r="BQ44" s="444"/>
      <c r="BR44" s="444"/>
      <c r="BS44" s="444"/>
      <c r="BT44" s="444"/>
    </row>
    <row r="45" spans="1:72" s="443" customFormat="1" ht="15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409"/>
      <c r="T45" s="409"/>
      <c r="U45" s="409"/>
      <c r="V45" s="409"/>
      <c r="W45" s="392"/>
      <c r="X45" s="392"/>
      <c r="Y45" s="409"/>
      <c r="Z45" s="409"/>
      <c r="AA45" s="392"/>
      <c r="AB45" s="392"/>
      <c r="AC45" s="392"/>
      <c r="AD45" s="409"/>
      <c r="AE45" s="409"/>
      <c r="AF45" s="409"/>
      <c r="AG45" s="409"/>
      <c r="AH45" s="409"/>
      <c r="AI45" s="409"/>
      <c r="AJ45" s="409"/>
      <c r="AK45" s="409"/>
      <c r="AL45" s="409"/>
      <c r="AM45" s="409"/>
      <c r="AN45" s="409"/>
      <c r="AO45" s="409"/>
      <c r="AP45" s="409"/>
      <c r="AQ45" s="409"/>
      <c r="AR45" s="409"/>
      <c r="AS45" s="409"/>
      <c r="AT45" s="409"/>
      <c r="AU45" s="409"/>
      <c r="AV45" s="409"/>
      <c r="AW45" s="409"/>
      <c r="AX45" s="409"/>
      <c r="AY45" s="409"/>
      <c r="AZ45" s="409"/>
      <c r="BA45" s="409"/>
      <c r="BB45" s="409"/>
      <c r="BC45" s="409"/>
      <c r="BD45" s="407"/>
      <c r="BE45" s="444"/>
      <c r="BF45" s="444"/>
      <c r="BG45" s="444"/>
      <c r="BH45" s="444"/>
      <c r="BI45" s="444"/>
      <c r="BJ45" s="444"/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</row>
    <row r="46" spans="1:72" s="443" customFormat="1" ht="15">
      <c r="A46" s="392"/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409"/>
      <c r="T46" s="409"/>
      <c r="U46" s="409"/>
      <c r="V46" s="409"/>
      <c r="W46" s="392"/>
      <c r="X46" s="392"/>
      <c r="Y46" s="409"/>
      <c r="Z46" s="409"/>
      <c r="AA46" s="392"/>
      <c r="AB46" s="392"/>
      <c r="AC46" s="392"/>
      <c r="AD46" s="409"/>
      <c r="AE46" s="409"/>
      <c r="AF46" s="409"/>
      <c r="AG46" s="409"/>
      <c r="AH46" s="409"/>
      <c r="AI46" s="409"/>
      <c r="AJ46" s="409"/>
      <c r="AK46" s="409"/>
      <c r="AL46" s="409"/>
      <c r="AM46" s="409"/>
      <c r="AN46" s="409"/>
      <c r="AO46" s="409"/>
      <c r="AP46" s="409"/>
      <c r="AQ46" s="409"/>
      <c r="AR46" s="409"/>
      <c r="AS46" s="409"/>
      <c r="AT46" s="409"/>
      <c r="AU46" s="409"/>
      <c r="AV46" s="409"/>
      <c r="AW46" s="409"/>
      <c r="AX46" s="409"/>
      <c r="AY46" s="409"/>
      <c r="AZ46" s="409"/>
      <c r="BA46" s="409"/>
      <c r="BB46" s="409"/>
      <c r="BC46" s="409"/>
      <c r="BD46" s="407"/>
      <c r="BE46" s="444"/>
      <c r="BF46" s="444"/>
      <c r="BG46" s="444"/>
      <c r="BH46" s="444"/>
      <c r="BI46" s="444"/>
      <c r="BJ46" s="444"/>
      <c r="BK46" s="444"/>
      <c r="BL46" s="444"/>
      <c r="BM46" s="444"/>
      <c r="BN46" s="444"/>
      <c r="BO46" s="444"/>
      <c r="BP46" s="444"/>
      <c r="BQ46" s="444"/>
      <c r="BR46" s="444"/>
      <c r="BS46" s="444"/>
      <c r="BT46" s="444"/>
    </row>
    <row r="47" spans="1:72" s="443" customFormat="1" ht="15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409"/>
      <c r="T47" s="409"/>
      <c r="U47" s="409"/>
      <c r="V47" s="409"/>
      <c r="W47" s="392"/>
      <c r="X47" s="392"/>
      <c r="Y47" s="409"/>
      <c r="Z47" s="409"/>
      <c r="AA47" s="392"/>
      <c r="AB47" s="392"/>
      <c r="AC47" s="392"/>
      <c r="AD47" s="409"/>
      <c r="AE47" s="409"/>
      <c r="AF47" s="409"/>
      <c r="AG47" s="409"/>
      <c r="AH47" s="409"/>
      <c r="AI47" s="409"/>
      <c r="AJ47" s="409"/>
      <c r="AK47" s="409"/>
      <c r="AL47" s="409"/>
      <c r="AM47" s="409"/>
      <c r="AN47" s="409"/>
      <c r="AO47" s="409"/>
      <c r="AP47" s="409"/>
      <c r="AQ47" s="409"/>
      <c r="AR47" s="409"/>
      <c r="AS47" s="409"/>
      <c r="AT47" s="409"/>
      <c r="AU47" s="409"/>
      <c r="AV47" s="409"/>
      <c r="AW47" s="409"/>
      <c r="AX47" s="409"/>
      <c r="AY47" s="409"/>
      <c r="AZ47" s="409"/>
      <c r="BA47" s="409"/>
      <c r="BB47" s="409"/>
      <c r="BC47" s="409"/>
      <c r="BD47" s="407"/>
      <c r="BE47" s="444"/>
      <c r="BF47" s="444"/>
      <c r="BG47" s="444"/>
      <c r="BH47" s="444"/>
      <c r="BI47" s="444"/>
      <c r="BJ47" s="444"/>
      <c r="BK47" s="444"/>
      <c r="BL47" s="444"/>
      <c r="BM47" s="444"/>
      <c r="BN47" s="444"/>
      <c r="BO47" s="444"/>
      <c r="BP47" s="444"/>
      <c r="BQ47" s="444"/>
      <c r="BR47" s="444"/>
      <c r="BS47" s="444"/>
      <c r="BT47" s="444"/>
    </row>
    <row r="48" spans="1:72" s="443" customFormat="1" ht="15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409"/>
      <c r="T48" s="409"/>
      <c r="U48" s="409"/>
      <c r="V48" s="409"/>
      <c r="W48" s="392"/>
      <c r="X48" s="392"/>
      <c r="Y48" s="409"/>
      <c r="Z48" s="409"/>
      <c r="AA48" s="392"/>
      <c r="AB48" s="392"/>
      <c r="AC48" s="392"/>
      <c r="AD48" s="409"/>
      <c r="AE48" s="409"/>
      <c r="AF48" s="409"/>
      <c r="AG48" s="409"/>
      <c r="AH48" s="409"/>
      <c r="AI48" s="409"/>
      <c r="AJ48" s="409"/>
      <c r="AK48" s="409"/>
      <c r="AL48" s="409"/>
      <c r="AM48" s="409"/>
      <c r="AN48" s="409"/>
      <c r="AO48" s="409"/>
      <c r="AP48" s="409"/>
      <c r="AQ48" s="409"/>
      <c r="AR48" s="409"/>
      <c r="AS48" s="409"/>
      <c r="AT48" s="409"/>
      <c r="AU48" s="409"/>
      <c r="AV48" s="409"/>
      <c r="AW48" s="409"/>
      <c r="AX48" s="409"/>
      <c r="AY48" s="409"/>
      <c r="AZ48" s="409"/>
      <c r="BA48" s="409"/>
      <c r="BB48" s="409"/>
      <c r="BC48" s="409"/>
      <c r="BD48" s="407"/>
      <c r="BE48" s="444"/>
      <c r="BF48" s="444"/>
      <c r="BG48" s="444"/>
      <c r="BH48" s="444"/>
      <c r="BI48" s="444"/>
      <c r="BJ48" s="444"/>
      <c r="BK48" s="444"/>
      <c r="BL48" s="444"/>
      <c r="BM48" s="444"/>
      <c r="BN48" s="444"/>
      <c r="BO48" s="444"/>
      <c r="BP48" s="444"/>
      <c r="BQ48" s="444"/>
      <c r="BR48" s="444"/>
      <c r="BS48" s="444"/>
      <c r="BT48" s="444"/>
    </row>
    <row r="49" spans="1:72" s="443" customFormat="1" ht="15">
      <c r="A49" s="392"/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409"/>
      <c r="T49" s="409"/>
      <c r="U49" s="409"/>
      <c r="V49" s="409"/>
      <c r="W49" s="392"/>
      <c r="X49" s="392"/>
      <c r="Y49" s="409"/>
      <c r="Z49" s="409"/>
      <c r="AA49" s="392"/>
      <c r="AB49" s="392"/>
      <c r="AC49" s="392"/>
      <c r="AD49" s="409"/>
      <c r="AE49" s="409"/>
      <c r="AF49" s="409"/>
      <c r="AG49" s="409"/>
      <c r="AH49" s="409"/>
      <c r="AI49" s="409"/>
      <c r="AJ49" s="409"/>
      <c r="AK49" s="409"/>
      <c r="AL49" s="409"/>
      <c r="AM49" s="409"/>
      <c r="AN49" s="409"/>
      <c r="AO49" s="409"/>
      <c r="AP49" s="409"/>
      <c r="AQ49" s="409"/>
      <c r="AR49" s="409"/>
      <c r="AS49" s="409"/>
      <c r="AT49" s="409"/>
      <c r="AU49" s="409"/>
      <c r="AV49" s="409"/>
      <c r="AW49" s="409"/>
      <c r="AX49" s="409"/>
      <c r="AY49" s="409"/>
      <c r="AZ49" s="409"/>
      <c r="BA49" s="409"/>
      <c r="BB49" s="409"/>
      <c r="BC49" s="409"/>
      <c r="BD49" s="407"/>
      <c r="BE49" s="444"/>
      <c r="BF49" s="444"/>
      <c r="BG49" s="444"/>
      <c r="BH49" s="444"/>
      <c r="BI49" s="444"/>
      <c r="BJ49" s="444"/>
      <c r="BK49" s="444"/>
      <c r="BL49" s="444"/>
      <c r="BM49" s="444"/>
      <c r="BN49" s="444"/>
      <c r="BO49" s="444"/>
      <c r="BP49" s="444"/>
      <c r="BQ49" s="444"/>
      <c r="BR49" s="444"/>
      <c r="BS49" s="444"/>
      <c r="BT49" s="444"/>
    </row>
    <row r="50" spans="1:72" s="443" customFormat="1" ht="15">
      <c r="A50" s="392"/>
      <c r="B50" s="392"/>
      <c r="C50" s="392"/>
      <c r="D50" s="392"/>
      <c r="E50" s="392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409"/>
      <c r="T50" s="409"/>
      <c r="U50" s="409"/>
      <c r="V50" s="409"/>
      <c r="W50" s="392"/>
      <c r="X50" s="392"/>
      <c r="Y50" s="409"/>
      <c r="Z50" s="409"/>
      <c r="AA50" s="392"/>
      <c r="AB50" s="392"/>
      <c r="AC50" s="392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  <c r="AP50" s="409"/>
      <c r="AQ50" s="409"/>
      <c r="AR50" s="409"/>
      <c r="AS50" s="409"/>
      <c r="AT50" s="409"/>
      <c r="AU50" s="409"/>
      <c r="AV50" s="409"/>
      <c r="AW50" s="409"/>
      <c r="AX50" s="409"/>
      <c r="AY50" s="409"/>
      <c r="AZ50" s="409"/>
      <c r="BA50" s="409"/>
      <c r="BB50" s="409"/>
      <c r="BC50" s="409"/>
      <c r="BD50" s="407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44"/>
      <c r="BP50" s="444"/>
      <c r="BQ50" s="444"/>
      <c r="BR50" s="444"/>
      <c r="BS50" s="444"/>
      <c r="BT50" s="444"/>
    </row>
    <row r="51" spans="1:72" s="443" customFormat="1" ht="15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409"/>
      <c r="T51" s="409"/>
      <c r="U51" s="409"/>
      <c r="V51" s="409"/>
      <c r="W51" s="392"/>
      <c r="X51" s="392"/>
      <c r="Y51" s="409"/>
      <c r="Z51" s="409"/>
      <c r="AA51" s="392"/>
      <c r="AB51" s="392"/>
      <c r="AC51" s="392"/>
      <c r="AD51" s="409"/>
      <c r="AE51" s="409"/>
      <c r="AF51" s="409"/>
      <c r="AG51" s="409"/>
      <c r="AH51" s="409"/>
      <c r="AI51" s="409"/>
      <c r="AJ51" s="409"/>
      <c r="AK51" s="409"/>
      <c r="AL51" s="409"/>
      <c r="AM51" s="409"/>
      <c r="AN51" s="409"/>
      <c r="AO51" s="409"/>
      <c r="AP51" s="409"/>
      <c r="AQ51" s="409"/>
      <c r="AR51" s="409"/>
      <c r="AS51" s="409"/>
      <c r="AT51" s="409"/>
      <c r="AU51" s="409"/>
      <c r="AV51" s="409"/>
      <c r="AW51" s="409"/>
      <c r="AX51" s="409"/>
      <c r="AY51" s="409"/>
      <c r="AZ51" s="409"/>
      <c r="BA51" s="409"/>
      <c r="BB51" s="409"/>
      <c r="BC51" s="409"/>
      <c r="BD51" s="407"/>
      <c r="BE51" s="444"/>
      <c r="BF51" s="444"/>
      <c r="BG51" s="444"/>
      <c r="BH51" s="444"/>
      <c r="BI51" s="444"/>
      <c r="BJ51" s="444"/>
      <c r="BK51" s="444"/>
      <c r="BL51" s="444"/>
      <c r="BM51" s="444"/>
      <c r="BN51" s="444"/>
      <c r="BO51" s="444"/>
      <c r="BP51" s="444"/>
      <c r="BQ51" s="444"/>
      <c r="BR51" s="444"/>
      <c r="BS51" s="444"/>
      <c r="BT51" s="444"/>
    </row>
    <row r="52" spans="1:72" s="443" customFormat="1" ht="15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409"/>
      <c r="T52" s="409"/>
      <c r="U52" s="409"/>
      <c r="V52" s="409"/>
      <c r="W52" s="392"/>
      <c r="X52" s="392"/>
      <c r="Y52" s="409"/>
      <c r="Z52" s="409"/>
      <c r="AA52" s="392"/>
      <c r="AB52" s="392"/>
      <c r="AC52" s="392"/>
      <c r="AD52" s="409"/>
      <c r="AE52" s="409"/>
      <c r="AF52" s="409"/>
      <c r="AG52" s="409"/>
      <c r="AH52" s="409"/>
      <c r="AI52" s="409"/>
      <c r="AJ52" s="409"/>
      <c r="AK52" s="409"/>
      <c r="AL52" s="409"/>
      <c r="AM52" s="409"/>
      <c r="AN52" s="409"/>
      <c r="AO52" s="409"/>
      <c r="AP52" s="409"/>
      <c r="AQ52" s="409"/>
      <c r="AR52" s="409"/>
      <c r="AS52" s="409"/>
      <c r="AT52" s="409"/>
      <c r="AU52" s="409"/>
      <c r="AV52" s="409"/>
      <c r="AW52" s="409"/>
      <c r="AX52" s="409"/>
      <c r="AY52" s="409"/>
      <c r="AZ52" s="409"/>
      <c r="BA52" s="409"/>
      <c r="BB52" s="409"/>
      <c r="BC52" s="409"/>
      <c r="BD52" s="407"/>
      <c r="BE52" s="444"/>
      <c r="BF52" s="444"/>
      <c r="BG52" s="444"/>
      <c r="BH52" s="444"/>
      <c r="BI52" s="444"/>
      <c r="BJ52" s="444"/>
      <c r="BK52" s="444"/>
      <c r="BL52" s="444"/>
      <c r="BM52" s="444"/>
      <c r="BN52" s="444"/>
      <c r="BO52" s="444"/>
      <c r="BP52" s="444"/>
      <c r="BQ52" s="444"/>
      <c r="BR52" s="444"/>
      <c r="BS52" s="444"/>
      <c r="BT52" s="444"/>
    </row>
    <row r="53" spans="1:72" s="443" customFormat="1" ht="15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2"/>
      <c r="L53" s="392"/>
      <c r="M53" s="392"/>
      <c r="N53" s="392"/>
      <c r="O53" s="392"/>
      <c r="P53" s="392"/>
      <c r="Q53" s="392"/>
      <c r="R53" s="392"/>
      <c r="S53" s="409"/>
      <c r="T53" s="409"/>
      <c r="U53" s="409"/>
      <c r="V53" s="409"/>
      <c r="W53" s="392"/>
      <c r="X53" s="392"/>
      <c r="Y53" s="409"/>
      <c r="Z53" s="409"/>
      <c r="AA53" s="392"/>
      <c r="AB53" s="392"/>
      <c r="AC53" s="392"/>
      <c r="AD53" s="409"/>
      <c r="AE53" s="409"/>
      <c r="AF53" s="409"/>
      <c r="AG53" s="409"/>
      <c r="AH53" s="409"/>
      <c r="AI53" s="409"/>
      <c r="AJ53" s="409"/>
      <c r="AK53" s="409"/>
      <c r="AL53" s="409"/>
      <c r="AM53" s="409"/>
      <c r="AN53" s="409"/>
      <c r="AO53" s="409"/>
      <c r="AP53" s="409"/>
      <c r="AQ53" s="409"/>
      <c r="AR53" s="409"/>
      <c r="AS53" s="409"/>
      <c r="AT53" s="409"/>
      <c r="AU53" s="409"/>
      <c r="AV53" s="409"/>
      <c r="AW53" s="409"/>
      <c r="AX53" s="409"/>
      <c r="AY53" s="409"/>
      <c r="AZ53" s="409"/>
      <c r="BA53" s="409"/>
      <c r="BB53" s="409"/>
      <c r="BC53" s="409"/>
      <c r="BD53" s="407"/>
      <c r="BE53" s="444"/>
      <c r="BF53" s="444"/>
      <c r="BG53" s="444"/>
      <c r="BH53" s="444"/>
      <c r="BI53" s="444"/>
      <c r="BJ53" s="444"/>
      <c r="BK53" s="444"/>
      <c r="BL53" s="444"/>
      <c r="BM53" s="444"/>
      <c r="BN53" s="444"/>
      <c r="BO53" s="444"/>
      <c r="BP53" s="444"/>
      <c r="BQ53" s="444"/>
      <c r="BR53" s="444"/>
      <c r="BS53" s="444"/>
      <c r="BT53" s="444"/>
    </row>
    <row r="54" spans="1:72" s="443" customFormat="1" ht="15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409"/>
      <c r="T54" s="409"/>
      <c r="U54" s="409"/>
      <c r="V54" s="409"/>
      <c r="W54" s="392"/>
      <c r="X54" s="392"/>
      <c r="Y54" s="409"/>
      <c r="Z54" s="409"/>
      <c r="AA54" s="392"/>
      <c r="AB54" s="392"/>
      <c r="AC54" s="392"/>
      <c r="AD54" s="409"/>
      <c r="AE54" s="409"/>
      <c r="AF54" s="409"/>
      <c r="AG54" s="409"/>
      <c r="AH54" s="409"/>
      <c r="AI54" s="409"/>
      <c r="AJ54" s="409"/>
      <c r="AK54" s="409"/>
      <c r="AL54" s="409"/>
      <c r="AM54" s="409"/>
      <c r="AN54" s="409"/>
      <c r="AO54" s="409"/>
      <c r="AP54" s="409"/>
      <c r="AQ54" s="409"/>
      <c r="AR54" s="409"/>
      <c r="AS54" s="409"/>
      <c r="AT54" s="409"/>
      <c r="AU54" s="409"/>
      <c r="AV54" s="409"/>
      <c r="AW54" s="409"/>
      <c r="AX54" s="409"/>
      <c r="AY54" s="409"/>
      <c r="AZ54" s="409"/>
      <c r="BA54" s="409"/>
      <c r="BB54" s="409"/>
      <c r="BC54" s="409"/>
      <c r="BD54" s="407"/>
      <c r="BE54" s="444"/>
      <c r="BF54" s="444"/>
      <c r="BG54" s="444"/>
      <c r="BH54" s="444"/>
      <c r="BI54" s="444"/>
      <c r="BJ54" s="444"/>
      <c r="BK54" s="444"/>
      <c r="BL54" s="444"/>
      <c r="BM54" s="444"/>
      <c r="BN54" s="444"/>
      <c r="BO54" s="444"/>
      <c r="BP54" s="444"/>
      <c r="BQ54" s="444"/>
      <c r="BR54" s="444"/>
      <c r="BS54" s="444"/>
      <c r="BT54" s="444"/>
    </row>
    <row r="55" spans="1:72" s="443" customFormat="1" ht="15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409"/>
      <c r="T55" s="409"/>
      <c r="U55" s="409"/>
      <c r="V55" s="409"/>
      <c r="W55" s="392"/>
      <c r="X55" s="392"/>
      <c r="Y55" s="409"/>
      <c r="Z55" s="409"/>
      <c r="AA55" s="392"/>
      <c r="AB55" s="392"/>
      <c r="AC55" s="392"/>
      <c r="AD55" s="409"/>
      <c r="AE55" s="409"/>
      <c r="AF55" s="409"/>
      <c r="AG55" s="409"/>
      <c r="AH55" s="409"/>
      <c r="AI55" s="409"/>
      <c r="AJ55" s="409"/>
      <c r="AK55" s="409"/>
      <c r="AL55" s="409"/>
      <c r="AM55" s="409"/>
      <c r="AN55" s="409"/>
      <c r="AO55" s="409"/>
      <c r="AP55" s="409"/>
      <c r="AQ55" s="409"/>
      <c r="AR55" s="409"/>
      <c r="AS55" s="409"/>
      <c r="AT55" s="409"/>
      <c r="AU55" s="409"/>
      <c r="AV55" s="409"/>
      <c r="AW55" s="409"/>
      <c r="AX55" s="409"/>
      <c r="AY55" s="409"/>
      <c r="AZ55" s="409"/>
      <c r="BA55" s="409"/>
      <c r="BB55" s="409"/>
      <c r="BC55" s="409"/>
      <c r="BD55" s="407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</row>
    <row r="56" spans="1:72" s="443" customFormat="1" ht="15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2"/>
      <c r="P56" s="392"/>
      <c r="Q56" s="392"/>
      <c r="R56" s="392"/>
      <c r="S56" s="409"/>
      <c r="T56" s="409"/>
      <c r="U56" s="409"/>
      <c r="V56" s="409"/>
      <c r="W56" s="392"/>
      <c r="X56" s="392"/>
      <c r="Y56" s="409"/>
      <c r="Z56" s="409"/>
      <c r="AA56" s="392"/>
      <c r="AB56" s="392"/>
      <c r="AC56" s="392"/>
      <c r="AD56" s="409"/>
      <c r="AE56" s="409"/>
      <c r="AF56" s="409"/>
      <c r="AG56" s="409"/>
      <c r="AH56" s="409"/>
      <c r="AI56" s="409"/>
      <c r="AJ56" s="409"/>
      <c r="AK56" s="409"/>
      <c r="AL56" s="409"/>
      <c r="AM56" s="409"/>
      <c r="AN56" s="409"/>
      <c r="AO56" s="409"/>
      <c r="AP56" s="409"/>
      <c r="AQ56" s="409"/>
      <c r="AR56" s="409"/>
      <c r="AS56" s="409"/>
      <c r="AT56" s="409"/>
      <c r="AU56" s="409"/>
      <c r="AV56" s="409"/>
      <c r="AW56" s="409"/>
      <c r="AX56" s="409"/>
      <c r="AY56" s="409"/>
      <c r="AZ56" s="409"/>
      <c r="BA56" s="409"/>
      <c r="BB56" s="409"/>
      <c r="BC56" s="409"/>
      <c r="BD56" s="407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</row>
    <row r="57" spans="1:72" s="443" customFormat="1" ht="15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2"/>
      <c r="M57" s="392"/>
      <c r="N57" s="392"/>
      <c r="O57" s="392"/>
      <c r="P57" s="392"/>
      <c r="Q57" s="392"/>
      <c r="R57" s="392"/>
      <c r="S57" s="409"/>
      <c r="T57" s="409"/>
      <c r="U57" s="409"/>
      <c r="V57" s="409"/>
      <c r="W57" s="392"/>
      <c r="X57" s="392"/>
      <c r="Y57" s="409"/>
      <c r="Z57" s="409"/>
      <c r="AA57" s="392"/>
      <c r="AB57" s="392"/>
      <c r="AC57" s="392"/>
      <c r="AD57" s="409"/>
      <c r="AE57" s="409"/>
      <c r="AF57" s="409"/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409"/>
      <c r="AS57" s="409"/>
      <c r="AT57" s="409"/>
      <c r="AU57" s="409"/>
      <c r="AV57" s="409"/>
      <c r="AW57" s="409"/>
      <c r="AX57" s="409"/>
      <c r="AY57" s="409"/>
      <c r="AZ57" s="409"/>
      <c r="BA57" s="409"/>
      <c r="BB57" s="409"/>
      <c r="BC57" s="409"/>
      <c r="BD57" s="407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</row>
    <row r="58" spans="1:72" s="443" customFormat="1" ht="15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409"/>
      <c r="T58" s="409"/>
      <c r="U58" s="409"/>
      <c r="V58" s="409"/>
      <c r="W58" s="392"/>
      <c r="X58" s="392"/>
      <c r="Y58" s="409"/>
      <c r="Z58" s="409"/>
      <c r="AA58" s="392"/>
      <c r="AB58" s="392"/>
      <c r="AC58" s="392"/>
      <c r="AD58" s="409"/>
      <c r="AE58" s="409"/>
      <c r="AF58" s="409"/>
      <c r="AG58" s="409"/>
      <c r="AH58" s="409"/>
      <c r="AI58" s="409"/>
      <c r="AJ58" s="409"/>
      <c r="AK58" s="409"/>
      <c r="AL58" s="409"/>
      <c r="AM58" s="409"/>
      <c r="AN58" s="409"/>
      <c r="AO58" s="409"/>
      <c r="AP58" s="409"/>
      <c r="AQ58" s="409"/>
      <c r="AR58" s="409"/>
      <c r="AS58" s="409"/>
      <c r="AT58" s="409"/>
      <c r="AU58" s="409"/>
      <c r="AV58" s="409"/>
      <c r="AW58" s="409"/>
      <c r="AX58" s="409"/>
      <c r="AY58" s="409"/>
      <c r="AZ58" s="409"/>
      <c r="BA58" s="409"/>
      <c r="BB58" s="409"/>
      <c r="BC58" s="409"/>
      <c r="BD58" s="407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</row>
    <row r="59" spans="1:72" s="443" customFormat="1" ht="15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2"/>
      <c r="S59" s="409"/>
      <c r="T59" s="409"/>
      <c r="U59" s="409"/>
      <c r="V59" s="409"/>
      <c r="W59" s="392"/>
      <c r="X59" s="392"/>
      <c r="Y59" s="409"/>
      <c r="Z59" s="409"/>
      <c r="AA59" s="392"/>
      <c r="AB59" s="392"/>
      <c r="AC59" s="392"/>
      <c r="AD59" s="409"/>
      <c r="AE59" s="409"/>
      <c r="AF59" s="409"/>
      <c r="AG59" s="409"/>
      <c r="AH59" s="409"/>
      <c r="AI59" s="409"/>
      <c r="AJ59" s="409"/>
      <c r="AK59" s="409"/>
      <c r="AL59" s="409"/>
      <c r="AM59" s="409"/>
      <c r="AN59" s="409"/>
      <c r="AO59" s="409"/>
      <c r="AP59" s="409"/>
      <c r="AQ59" s="409"/>
      <c r="AR59" s="409"/>
      <c r="AS59" s="409"/>
      <c r="AT59" s="409"/>
      <c r="AU59" s="409"/>
      <c r="AV59" s="409"/>
      <c r="AW59" s="409"/>
      <c r="AX59" s="409"/>
      <c r="AY59" s="409"/>
      <c r="AZ59" s="409"/>
      <c r="BA59" s="409"/>
      <c r="BB59" s="409"/>
      <c r="BC59" s="409"/>
      <c r="BD59" s="407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</row>
    <row r="60" spans="1:72" s="443" customFormat="1" ht="15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/>
      <c r="S60" s="409"/>
      <c r="T60" s="409"/>
      <c r="U60" s="409"/>
      <c r="V60" s="409"/>
      <c r="W60" s="392"/>
      <c r="X60" s="392"/>
      <c r="Y60" s="409"/>
      <c r="Z60" s="409"/>
      <c r="AA60" s="392"/>
      <c r="AB60" s="392"/>
      <c r="AC60" s="392"/>
      <c r="AD60" s="409"/>
      <c r="AE60" s="409"/>
      <c r="AF60" s="409"/>
      <c r="AG60" s="409"/>
      <c r="AH60" s="409"/>
      <c r="AI60" s="409"/>
      <c r="AJ60" s="409"/>
      <c r="AK60" s="409"/>
      <c r="AL60" s="409"/>
      <c r="AM60" s="409"/>
      <c r="AN60" s="409"/>
      <c r="AO60" s="409"/>
      <c r="AP60" s="409"/>
      <c r="AQ60" s="409"/>
      <c r="AR60" s="409"/>
      <c r="AS60" s="409"/>
      <c r="AT60" s="409"/>
      <c r="AU60" s="409"/>
      <c r="AV60" s="409"/>
      <c r="AW60" s="409"/>
      <c r="AX60" s="409"/>
      <c r="AY60" s="409"/>
      <c r="AZ60" s="409"/>
      <c r="BA60" s="409"/>
      <c r="BB60" s="409"/>
      <c r="BC60" s="409"/>
      <c r="BD60" s="407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</row>
    <row r="61" spans="1:72" s="443" customFormat="1" ht="15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409"/>
      <c r="T61" s="409"/>
      <c r="U61" s="409"/>
      <c r="V61" s="409"/>
      <c r="W61" s="392"/>
      <c r="X61" s="392"/>
      <c r="Y61" s="409"/>
      <c r="Z61" s="409"/>
      <c r="AA61" s="392"/>
      <c r="AB61" s="392"/>
      <c r="AC61" s="392"/>
      <c r="AD61" s="409"/>
      <c r="AE61" s="409"/>
      <c r="AF61" s="409"/>
      <c r="AG61" s="409"/>
      <c r="AH61" s="409"/>
      <c r="AI61" s="409"/>
      <c r="AJ61" s="409"/>
      <c r="AK61" s="409"/>
      <c r="AL61" s="409"/>
      <c r="AM61" s="409"/>
      <c r="AN61" s="409"/>
      <c r="AO61" s="409"/>
      <c r="AP61" s="409"/>
      <c r="AQ61" s="409"/>
      <c r="AR61" s="409"/>
      <c r="AS61" s="409"/>
      <c r="AT61" s="409"/>
      <c r="AU61" s="409"/>
      <c r="AV61" s="409"/>
      <c r="AW61" s="409"/>
      <c r="AX61" s="409"/>
      <c r="AY61" s="409"/>
      <c r="AZ61" s="409"/>
      <c r="BA61" s="409"/>
      <c r="BB61" s="409"/>
      <c r="BC61" s="409"/>
      <c r="BD61" s="407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</row>
    <row r="62" spans="1:72" s="443" customFormat="1" ht="15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409"/>
      <c r="T62" s="409"/>
      <c r="U62" s="409"/>
      <c r="V62" s="409"/>
      <c r="W62" s="392"/>
      <c r="X62" s="392"/>
      <c r="Y62" s="409"/>
      <c r="Z62" s="409"/>
      <c r="AA62" s="392"/>
      <c r="AB62" s="392"/>
      <c r="AC62" s="392"/>
      <c r="AD62" s="409"/>
      <c r="AE62" s="409"/>
      <c r="AF62" s="409"/>
      <c r="AG62" s="409"/>
      <c r="AH62" s="409"/>
      <c r="AI62" s="409"/>
      <c r="AJ62" s="409"/>
      <c r="AK62" s="409"/>
      <c r="AL62" s="409"/>
      <c r="AM62" s="409"/>
      <c r="AN62" s="409"/>
      <c r="AO62" s="409"/>
      <c r="AP62" s="409"/>
      <c r="AQ62" s="409"/>
      <c r="AR62" s="409"/>
      <c r="AS62" s="409"/>
      <c r="AT62" s="409"/>
      <c r="AU62" s="409"/>
      <c r="AV62" s="409"/>
      <c r="AW62" s="409"/>
      <c r="AX62" s="409"/>
      <c r="AY62" s="409"/>
      <c r="AZ62" s="409"/>
      <c r="BA62" s="409"/>
      <c r="BB62" s="409"/>
      <c r="BC62" s="409"/>
      <c r="BD62" s="407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</row>
    <row r="63" spans="1:72" s="443" customFormat="1" ht="15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409"/>
      <c r="T63" s="409"/>
      <c r="U63" s="409"/>
      <c r="V63" s="409"/>
      <c r="W63" s="392"/>
      <c r="X63" s="392"/>
      <c r="Y63" s="409"/>
      <c r="Z63" s="409"/>
      <c r="AA63" s="392"/>
      <c r="AB63" s="392"/>
      <c r="AC63" s="392"/>
      <c r="AD63" s="409"/>
      <c r="AE63" s="409"/>
      <c r="AF63" s="409"/>
      <c r="AG63" s="409"/>
      <c r="AH63" s="409"/>
      <c r="AI63" s="409"/>
      <c r="AJ63" s="409"/>
      <c r="AK63" s="409"/>
      <c r="AL63" s="409"/>
      <c r="AM63" s="409"/>
      <c r="AN63" s="409"/>
      <c r="AO63" s="409"/>
      <c r="AP63" s="409"/>
      <c r="AQ63" s="409"/>
      <c r="AR63" s="409"/>
      <c r="AS63" s="409"/>
      <c r="AT63" s="409"/>
      <c r="AU63" s="409"/>
      <c r="AV63" s="409"/>
      <c r="AW63" s="409"/>
      <c r="AX63" s="409"/>
      <c r="AY63" s="409"/>
      <c r="AZ63" s="409"/>
      <c r="BA63" s="409"/>
      <c r="BB63" s="409"/>
      <c r="BC63" s="409"/>
      <c r="BD63" s="407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</row>
    <row r="64" spans="1:72" s="443" customFormat="1" ht="15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409"/>
      <c r="T64" s="409"/>
      <c r="U64" s="409"/>
      <c r="V64" s="409"/>
      <c r="W64" s="392"/>
      <c r="X64" s="392"/>
      <c r="Y64" s="409"/>
      <c r="Z64" s="409"/>
      <c r="AA64" s="392"/>
      <c r="AB64" s="392"/>
      <c r="AC64" s="392"/>
      <c r="AD64" s="409"/>
      <c r="AE64" s="409"/>
      <c r="AF64" s="409"/>
      <c r="AG64" s="409"/>
      <c r="AH64" s="409"/>
      <c r="AI64" s="409"/>
      <c r="AJ64" s="409"/>
      <c r="AK64" s="409"/>
      <c r="AL64" s="409"/>
      <c r="AM64" s="409"/>
      <c r="AN64" s="409"/>
      <c r="AO64" s="409"/>
      <c r="AP64" s="409"/>
      <c r="AQ64" s="409"/>
      <c r="AR64" s="409"/>
      <c r="AS64" s="409"/>
      <c r="AT64" s="409"/>
      <c r="AU64" s="409"/>
      <c r="AV64" s="409"/>
      <c r="AW64" s="409"/>
      <c r="AX64" s="409"/>
      <c r="AY64" s="409"/>
      <c r="AZ64" s="409"/>
      <c r="BA64" s="409"/>
      <c r="BB64" s="409"/>
      <c r="BC64" s="409"/>
      <c r="BD64" s="407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</row>
    <row r="65" spans="1:72" s="443" customFormat="1" ht="1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409"/>
      <c r="T65" s="409"/>
      <c r="U65" s="409"/>
      <c r="V65" s="409"/>
      <c r="W65" s="392"/>
      <c r="X65" s="392"/>
      <c r="Y65" s="409"/>
      <c r="Z65" s="409"/>
      <c r="AA65" s="392"/>
      <c r="AB65" s="392"/>
      <c r="AC65" s="392"/>
      <c r="AD65" s="409"/>
      <c r="AE65" s="409"/>
      <c r="AF65" s="409"/>
      <c r="AG65" s="409"/>
      <c r="AH65" s="409"/>
      <c r="AI65" s="409"/>
      <c r="AJ65" s="409"/>
      <c r="AK65" s="409"/>
      <c r="AL65" s="409"/>
      <c r="AM65" s="409"/>
      <c r="AN65" s="409"/>
      <c r="AO65" s="409"/>
      <c r="AP65" s="409"/>
      <c r="AQ65" s="409"/>
      <c r="AR65" s="409"/>
      <c r="AS65" s="409"/>
      <c r="AT65" s="409"/>
      <c r="AU65" s="409"/>
      <c r="AV65" s="409"/>
      <c r="AW65" s="409"/>
      <c r="AX65" s="409"/>
      <c r="AY65" s="409"/>
      <c r="AZ65" s="409"/>
      <c r="BA65" s="409"/>
      <c r="BB65" s="409"/>
      <c r="BC65" s="409"/>
      <c r="BD65" s="407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</row>
    <row r="66" spans="1:72" s="443" customFormat="1" ht="15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409"/>
      <c r="T66" s="409"/>
      <c r="U66" s="409"/>
      <c r="V66" s="409"/>
      <c r="W66" s="392"/>
      <c r="X66" s="392"/>
      <c r="Y66" s="409"/>
      <c r="Z66" s="409"/>
      <c r="AA66" s="392"/>
      <c r="AB66" s="392"/>
      <c r="AC66" s="392"/>
      <c r="AD66" s="409"/>
      <c r="AE66" s="409"/>
      <c r="AF66" s="409"/>
      <c r="AG66" s="409"/>
      <c r="AH66" s="409"/>
      <c r="AI66" s="409"/>
      <c r="AJ66" s="409"/>
      <c r="AK66" s="409"/>
      <c r="AL66" s="409"/>
      <c r="AM66" s="409"/>
      <c r="AN66" s="409"/>
      <c r="AO66" s="409"/>
      <c r="AP66" s="409"/>
      <c r="AQ66" s="409"/>
      <c r="AR66" s="409"/>
      <c r="AS66" s="409"/>
      <c r="AT66" s="409"/>
      <c r="AU66" s="409"/>
      <c r="AV66" s="409"/>
      <c r="AW66" s="409"/>
      <c r="AX66" s="409"/>
      <c r="AY66" s="409"/>
      <c r="AZ66" s="409"/>
      <c r="BA66" s="409"/>
      <c r="BB66" s="409"/>
      <c r="BC66" s="409"/>
      <c r="BD66" s="407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</row>
    <row r="67" spans="1:72" s="443" customFormat="1" ht="15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409"/>
      <c r="T67" s="409"/>
      <c r="U67" s="409"/>
      <c r="V67" s="409"/>
      <c r="W67" s="392"/>
      <c r="X67" s="392"/>
      <c r="Y67" s="409"/>
      <c r="Z67" s="409"/>
      <c r="AA67" s="392"/>
      <c r="AB67" s="392"/>
      <c r="AC67" s="392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9"/>
      <c r="AP67" s="409"/>
      <c r="AQ67" s="409"/>
      <c r="AR67" s="409"/>
      <c r="AS67" s="409"/>
      <c r="AT67" s="409"/>
      <c r="AU67" s="409"/>
      <c r="AV67" s="409"/>
      <c r="AW67" s="409"/>
      <c r="AX67" s="409"/>
      <c r="AY67" s="409"/>
      <c r="AZ67" s="409"/>
      <c r="BA67" s="409"/>
      <c r="BB67" s="409"/>
      <c r="BC67" s="409"/>
      <c r="BD67" s="407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</row>
    <row r="68" spans="1:72" s="443" customFormat="1" ht="15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409"/>
      <c r="T68" s="409"/>
      <c r="U68" s="409"/>
      <c r="V68" s="409"/>
      <c r="W68" s="392"/>
      <c r="X68" s="392"/>
      <c r="Y68" s="409"/>
      <c r="Z68" s="409"/>
      <c r="AA68" s="392"/>
      <c r="AB68" s="392"/>
      <c r="AC68" s="392"/>
      <c r="AD68" s="409"/>
      <c r="AE68" s="409"/>
      <c r="AF68" s="409"/>
      <c r="AG68" s="409"/>
      <c r="AH68" s="409"/>
      <c r="AI68" s="409"/>
      <c r="AJ68" s="409"/>
      <c r="AK68" s="409"/>
      <c r="AL68" s="409"/>
      <c r="AM68" s="409"/>
      <c r="AN68" s="409"/>
      <c r="AO68" s="409"/>
      <c r="AP68" s="409"/>
      <c r="AQ68" s="409"/>
      <c r="AR68" s="409"/>
      <c r="AS68" s="409"/>
      <c r="AT68" s="409"/>
      <c r="AU68" s="409"/>
      <c r="AV68" s="409"/>
      <c r="AW68" s="409"/>
      <c r="AX68" s="409"/>
      <c r="AY68" s="409"/>
      <c r="AZ68" s="409"/>
      <c r="BA68" s="409"/>
      <c r="BB68" s="409"/>
      <c r="BC68" s="409"/>
      <c r="BD68" s="407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</row>
    <row r="69" spans="1:72" s="443" customFormat="1" ht="15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392"/>
      <c r="S69" s="409"/>
      <c r="T69" s="409"/>
      <c r="U69" s="409"/>
      <c r="V69" s="409"/>
      <c r="W69" s="392"/>
      <c r="X69" s="392"/>
      <c r="Y69" s="409"/>
      <c r="Z69" s="409"/>
      <c r="AA69" s="392"/>
      <c r="AB69" s="392"/>
      <c r="AC69" s="392"/>
      <c r="AD69" s="409"/>
      <c r="AE69" s="409"/>
      <c r="AF69" s="409"/>
      <c r="AG69" s="409"/>
      <c r="AH69" s="409"/>
      <c r="AI69" s="409"/>
      <c r="AJ69" s="409"/>
      <c r="AK69" s="409"/>
      <c r="AL69" s="409"/>
      <c r="AM69" s="409"/>
      <c r="AN69" s="409"/>
      <c r="AO69" s="409"/>
      <c r="AP69" s="409"/>
      <c r="AQ69" s="409"/>
      <c r="AR69" s="409"/>
      <c r="AS69" s="409"/>
      <c r="AT69" s="409"/>
      <c r="AU69" s="409"/>
      <c r="AV69" s="409"/>
      <c r="AW69" s="409"/>
      <c r="AX69" s="409"/>
      <c r="AY69" s="409"/>
      <c r="AZ69" s="409"/>
      <c r="BA69" s="409"/>
      <c r="BB69" s="409"/>
      <c r="BC69" s="409"/>
      <c r="BD69" s="407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</row>
    <row r="70" spans="1:72" s="443" customFormat="1" ht="15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409"/>
      <c r="T70" s="409"/>
      <c r="U70" s="409"/>
      <c r="V70" s="409"/>
      <c r="W70" s="392"/>
      <c r="X70" s="392"/>
      <c r="Y70" s="409"/>
      <c r="Z70" s="409"/>
      <c r="AA70" s="392"/>
      <c r="AB70" s="392"/>
      <c r="AC70" s="392"/>
      <c r="AD70" s="409"/>
      <c r="AE70" s="409"/>
      <c r="AF70" s="409"/>
      <c r="AG70" s="409"/>
      <c r="AH70" s="409"/>
      <c r="AI70" s="409"/>
      <c r="AJ70" s="409"/>
      <c r="AK70" s="409"/>
      <c r="AL70" s="409"/>
      <c r="AM70" s="409"/>
      <c r="AN70" s="409"/>
      <c r="AO70" s="409"/>
      <c r="AP70" s="409"/>
      <c r="AQ70" s="409"/>
      <c r="AR70" s="409"/>
      <c r="AS70" s="409"/>
      <c r="AT70" s="409"/>
      <c r="AU70" s="409"/>
      <c r="AV70" s="409"/>
      <c r="AW70" s="409"/>
      <c r="AX70" s="409"/>
      <c r="AY70" s="409"/>
      <c r="AZ70" s="409"/>
      <c r="BA70" s="409"/>
      <c r="BB70" s="409"/>
      <c r="BC70" s="409"/>
      <c r="BD70" s="407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</row>
    <row r="71" spans="1:72" s="443" customFormat="1" ht="15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2"/>
      <c r="S71" s="409"/>
      <c r="T71" s="409"/>
      <c r="U71" s="409"/>
      <c r="V71" s="409"/>
      <c r="W71" s="392"/>
      <c r="X71" s="392"/>
      <c r="Y71" s="409"/>
      <c r="Z71" s="409"/>
      <c r="AA71" s="392"/>
      <c r="AB71" s="392"/>
      <c r="AC71" s="392"/>
      <c r="AD71" s="409"/>
      <c r="AE71" s="409"/>
      <c r="AF71" s="409"/>
      <c r="AG71" s="409"/>
      <c r="AH71" s="409"/>
      <c r="AI71" s="409"/>
      <c r="AJ71" s="409"/>
      <c r="AK71" s="409"/>
      <c r="AL71" s="409"/>
      <c r="AM71" s="409"/>
      <c r="AN71" s="409"/>
      <c r="AO71" s="409"/>
      <c r="AP71" s="409"/>
      <c r="AQ71" s="409"/>
      <c r="AR71" s="409"/>
      <c r="AS71" s="409"/>
      <c r="AT71" s="409"/>
      <c r="AU71" s="409"/>
      <c r="AV71" s="409"/>
      <c r="AW71" s="409"/>
      <c r="AX71" s="409"/>
      <c r="AY71" s="409"/>
      <c r="AZ71" s="409"/>
      <c r="BA71" s="409"/>
      <c r="BB71" s="409"/>
      <c r="BC71" s="409"/>
      <c r="BD71" s="407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</row>
    <row r="72" spans="1:72" s="443" customFormat="1" ht="15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2"/>
      <c r="P72" s="392"/>
      <c r="Q72" s="392"/>
      <c r="R72" s="392"/>
      <c r="S72" s="409"/>
      <c r="T72" s="409"/>
      <c r="U72" s="409"/>
      <c r="V72" s="409"/>
      <c r="W72" s="392"/>
      <c r="X72" s="392"/>
      <c r="Y72" s="409"/>
      <c r="Z72" s="409"/>
      <c r="AA72" s="392"/>
      <c r="AB72" s="392"/>
      <c r="AC72" s="392"/>
      <c r="AD72" s="409"/>
      <c r="AE72" s="409"/>
      <c r="AF72" s="409"/>
      <c r="AG72" s="409"/>
      <c r="AH72" s="409"/>
      <c r="AI72" s="409"/>
      <c r="AJ72" s="409"/>
      <c r="AK72" s="409"/>
      <c r="AL72" s="409"/>
      <c r="AM72" s="409"/>
      <c r="AN72" s="409"/>
      <c r="AO72" s="409"/>
      <c r="AP72" s="409"/>
      <c r="AQ72" s="409"/>
      <c r="AR72" s="409"/>
      <c r="AS72" s="409"/>
      <c r="AT72" s="409"/>
      <c r="AU72" s="409"/>
      <c r="AV72" s="409"/>
      <c r="AW72" s="409"/>
      <c r="AX72" s="409"/>
      <c r="AY72" s="409"/>
      <c r="AZ72" s="409"/>
      <c r="BA72" s="409"/>
      <c r="BB72" s="409"/>
      <c r="BC72" s="409"/>
      <c r="BD72" s="407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</row>
    <row r="73" spans="1:72" s="443" customFormat="1" ht="15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2"/>
      <c r="P73" s="392"/>
      <c r="Q73" s="392"/>
      <c r="R73" s="392"/>
      <c r="S73" s="409"/>
      <c r="T73" s="409"/>
      <c r="U73" s="409"/>
      <c r="V73" s="409"/>
      <c r="W73" s="392"/>
      <c r="X73" s="392"/>
      <c r="Y73" s="409"/>
      <c r="Z73" s="409"/>
      <c r="AA73" s="392"/>
      <c r="AB73" s="392"/>
      <c r="AC73" s="392"/>
      <c r="AD73" s="409"/>
      <c r="AE73" s="409"/>
      <c r="AF73" s="409"/>
      <c r="AG73" s="409"/>
      <c r="AH73" s="409"/>
      <c r="AI73" s="409"/>
      <c r="AJ73" s="409"/>
      <c r="AK73" s="409"/>
      <c r="AL73" s="409"/>
      <c r="AM73" s="409"/>
      <c r="AN73" s="409"/>
      <c r="AO73" s="409"/>
      <c r="AP73" s="409"/>
      <c r="AQ73" s="409"/>
      <c r="AR73" s="409"/>
      <c r="AS73" s="409"/>
      <c r="AT73" s="409"/>
      <c r="AU73" s="409"/>
      <c r="AV73" s="409"/>
      <c r="AW73" s="409"/>
      <c r="AX73" s="409"/>
      <c r="AY73" s="409"/>
      <c r="AZ73" s="409"/>
      <c r="BA73" s="409"/>
      <c r="BB73" s="409"/>
      <c r="BC73" s="409"/>
      <c r="BD73" s="407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</row>
    <row r="74" spans="1:72" s="443" customFormat="1" ht="15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409"/>
      <c r="T74" s="409"/>
      <c r="U74" s="409"/>
      <c r="V74" s="409"/>
      <c r="W74" s="392"/>
      <c r="X74" s="392"/>
      <c r="Y74" s="409"/>
      <c r="Z74" s="409"/>
      <c r="AA74" s="392"/>
      <c r="AB74" s="392"/>
      <c r="AC74" s="392"/>
      <c r="AD74" s="409"/>
      <c r="AE74" s="409"/>
      <c r="AF74" s="409"/>
      <c r="AG74" s="409"/>
      <c r="AH74" s="409"/>
      <c r="AI74" s="409"/>
      <c r="AJ74" s="409"/>
      <c r="AK74" s="409"/>
      <c r="AL74" s="409"/>
      <c r="AM74" s="409"/>
      <c r="AN74" s="409"/>
      <c r="AO74" s="409"/>
      <c r="AP74" s="409"/>
      <c r="AQ74" s="409"/>
      <c r="AR74" s="409"/>
      <c r="AS74" s="409"/>
      <c r="AT74" s="409"/>
      <c r="AU74" s="409"/>
      <c r="AV74" s="409"/>
      <c r="AW74" s="409"/>
      <c r="AX74" s="409"/>
      <c r="AY74" s="409"/>
      <c r="AZ74" s="409"/>
      <c r="BA74" s="409"/>
      <c r="BB74" s="409"/>
      <c r="BC74" s="409"/>
      <c r="BD74" s="407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</row>
    <row r="75" spans="1:72" s="443" customFormat="1" ht="15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409"/>
      <c r="T75" s="409"/>
      <c r="U75" s="409"/>
      <c r="V75" s="409"/>
      <c r="W75" s="392"/>
      <c r="X75" s="392"/>
      <c r="Y75" s="409"/>
      <c r="Z75" s="409"/>
      <c r="AA75" s="392"/>
      <c r="AB75" s="392"/>
      <c r="AC75" s="392"/>
      <c r="AD75" s="409"/>
      <c r="AE75" s="409"/>
      <c r="AF75" s="409"/>
      <c r="AG75" s="409"/>
      <c r="AH75" s="409"/>
      <c r="AI75" s="409"/>
      <c r="AJ75" s="409"/>
      <c r="AK75" s="409"/>
      <c r="AL75" s="409"/>
      <c r="AM75" s="409"/>
      <c r="AN75" s="409"/>
      <c r="AO75" s="409"/>
      <c r="AP75" s="409"/>
      <c r="AQ75" s="409"/>
      <c r="AR75" s="409"/>
      <c r="AS75" s="409"/>
      <c r="AT75" s="409"/>
      <c r="AU75" s="409"/>
      <c r="AV75" s="409"/>
      <c r="AW75" s="409"/>
      <c r="AX75" s="409"/>
      <c r="AY75" s="409"/>
      <c r="AZ75" s="409"/>
      <c r="BA75" s="409"/>
      <c r="BB75" s="409"/>
      <c r="BC75" s="409"/>
      <c r="BD75" s="407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</row>
    <row r="76" spans="1:72" s="443" customFormat="1" ht="15">
      <c r="A76" s="392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392"/>
      <c r="S76" s="409"/>
      <c r="T76" s="409"/>
      <c r="U76" s="409"/>
      <c r="V76" s="409"/>
      <c r="W76" s="392"/>
      <c r="X76" s="392"/>
      <c r="Y76" s="409"/>
      <c r="Z76" s="409"/>
      <c r="AA76" s="392"/>
      <c r="AB76" s="392"/>
      <c r="AC76" s="392"/>
      <c r="AD76" s="409"/>
      <c r="AE76" s="409"/>
      <c r="AF76" s="409"/>
      <c r="AG76" s="409"/>
      <c r="AH76" s="409"/>
      <c r="AI76" s="409"/>
      <c r="AJ76" s="409"/>
      <c r="AK76" s="409"/>
      <c r="AL76" s="409"/>
      <c r="AM76" s="409"/>
      <c r="AN76" s="409"/>
      <c r="AO76" s="409"/>
      <c r="AP76" s="409"/>
      <c r="AQ76" s="409"/>
      <c r="AR76" s="409"/>
      <c r="AS76" s="409"/>
      <c r="AT76" s="409"/>
      <c r="AU76" s="409"/>
      <c r="AV76" s="409"/>
      <c r="AW76" s="409"/>
      <c r="AX76" s="409"/>
      <c r="AY76" s="409"/>
      <c r="AZ76" s="409"/>
      <c r="BA76" s="409"/>
      <c r="BB76" s="409"/>
      <c r="BC76" s="409"/>
      <c r="BD76" s="407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</row>
    <row r="77" spans="1:72" s="443" customFormat="1" ht="15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92"/>
      <c r="S77" s="409"/>
      <c r="T77" s="409"/>
      <c r="U77" s="409"/>
      <c r="V77" s="409"/>
      <c r="W77" s="392"/>
      <c r="X77" s="392"/>
      <c r="Y77" s="409"/>
      <c r="Z77" s="409"/>
      <c r="AA77" s="392"/>
      <c r="AB77" s="392"/>
      <c r="AC77" s="392"/>
      <c r="AD77" s="409"/>
      <c r="AE77" s="409"/>
      <c r="AF77" s="409"/>
      <c r="AG77" s="409"/>
      <c r="AH77" s="409"/>
      <c r="AI77" s="409"/>
      <c r="AJ77" s="409"/>
      <c r="AK77" s="409"/>
      <c r="AL77" s="409"/>
      <c r="AM77" s="409"/>
      <c r="AN77" s="409"/>
      <c r="AO77" s="409"/>
      <c r="AP77" s="409"/>
      <c r="AQ77" s="409"/>
      <c r="AR77" s="409"/>
      <c r="AS77" s="409"/>
      <c r="AT77" s="409"/>
      <c r="AU77" s="409"/>
      <c r="AV77" s="409"/>
      <c r="AW77" s="409"/>
      <c r="AX77" s="409"/>
      <c r="AY77" s="409"/>
      <c r="AZ77" s="409"/>
      <c r="BA77" s="409"/>
      <c r="BB77" s="409"/>
      <c r="BC77" s="409"/>
      <c r="BD77" s="407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</row>
    <row r="78" spans="1:72" s="443" customFormat="1" ht="15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409"/>
      <c r="T78" s="409"/>
      <c r="U78" s="409"/>
      <c r="V78" s="409"/>
      <c r="W78" s="392"/>
      <c r="X78" s="392"/>
      <c r="Y78" s="409"/>
      <c r="Z78" s="409"/>
      <c r="AA78" s="392"/>
      <c r="AB78" s="392"/>
      <c r="AC78" s="392"/>
      <c r="AD78" s="409"/>
      <c r="AE78" s="409"/>
      <c r="AF78" s="409"/>
      <c r="AG78" s="409"/>
      <c r="AH78" s="409"/>
      <c r="AI78" s="409"/>
      <c r="AJ78" s="409"/>
      <c r="AK78" s="409"/>
      <c r="AL78" s="409"/>
      <c r="AM78" s="409"/>
      <c r="AN78" s="409"/>
      <c r="AO78" s="409"/>
      <c r="AP78" s="409"/>
      <c r="AQ78" s="409"/>
      <c r="AR78" s="409"/>
      <c r="AS78" s="409"/>
      <c r="AT78" s="409"/>
      <c r="AU78" s="409"/>
      <c r="AV78" s="409"/>
      <c r="AW78" s="409"/>
      <c r="AX78" s="409"/>
      <c r="AY78" s="409"/>
      <c r="AZ78" s="409"/>
      <c r="BA78" s="409"/>
      <c r="BB78" s="409"/>
      <c r="BC78" s="409"/>
      <c r="BD78" s="407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</row>
    <row r="79" spans="1:72" s="443" customFormat="1" ht="15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409"/>
      <c r="T79" s="409"/>
      <c r="U79" s="409"/>
      <c r="V79" s="409"/>
      <c r="W79" s="392"/>
      <c r="X79" s="392"/>
      <c r="Y79" s="409"/>
      <c r="Z79" s="409"/>
      <c r="AA79" s="392"/>
      <c r="AB79" s="392"/>
      <c r="AC79" s="392"/>
      <c r="AD79" s="409"/>
      <c r="AE79" s="409"/>
      <c r="AF79" s="409"/>
      <c r="AG79" s="409"/>
      <c r="AH79" s="409"/>
      <c r="AI79" s="409"/>
      <c r="AJ79" s="409"/>
      <c r="AK79" s="409"/>
      <c r="AL79" s="409"/>
      <c r="AM79" s="409"/>
      <c r="AN79" s="409"/>
      <c r="AO79" s="409"/>
      <c r="AP79" s="409"/>
      <c r="AQ79" s="409"/>
      <c r="AR79" s="409"/>
      <c r="AS79" s="409"/>
      <c r="AT79" s="409"/>
      <c r="AU79" s="409"/>
      <c r="AV79" s="409"/>
      <c r="AW79" s="409"/>
      <c r="AX79" s="409"/>
      <c r="AY79" s="409"/>
      <c r="AZ79" s="409"/>
      <c r="BA79" s="409"/>
      <c r="BB79" s="409"/>
      <c r="BC79" s="409"/>
      <c r="BD79" s="407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</row>
    <row r="80" spans="1:72" s="443" customFormat="1" ht="15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409"/>
      <c r="T80" s="409"/>
      <c r="U80" s="409"/>
      <c r="V80" s="409"/>
      <c r="W80" s="392"/>
      <c r="X80" s="392"/>
      <c r="Y80" s="409"/>
      <c r="Z80" s="409"/>
      <c r="AA80" s="392"/>
      <c r="AB80" s="392"/>
      <c r="AC80" s="392"/>
      <c r="AD80" s="409"/>
      <c r="AE80" s="409"/>
      <c r="AF80" s="409"/>
      <c r="AG80" s="409"/>
      <c r="AH80" s="409"/>
      <c r="AI80" s="409"/>
      <c r="AJ80" s="409"/>
      <c r="AK80" s="409"/>
      <c r="AL80" s="409"/>
      <c r="AM80" s="409"/>
      <c r="AN80" s="409"/>
      <c r="AO80" s="409"/>
      <c r="AP80" s="409"/>
      <c r="AQ80" s="409"/>
      <c r="AR80" s="409"/>
      <c r="AS80" s="409"/>
      <c r="AT80" s="409"/>
      <c r="AU80" s="409"/>
      <c r="AV80" s="409"/>
      <c r="AW80" s="409"/>
      <c r="AX80" s="409"/>
      <c r="AY80" s="409"/>
      <c r="AZ80" s="409"/>
      <c r="BA80" s="409"/>
      <c r="BB80" s="409"/>
      <c r="BC80" s="409"/>
      <c r="BD80" s="407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44"/>
      <c r="BP80" s="444"/>
      <c r="BQ80" s="444"/>
      <c r="BR80" s="444"/>
      <c r="BS80" s="444"/>
      <c r="BT80" s="444"/>
    </row>
    <row r="81" spans="1:72" s="443" customFormat="1" ht="15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92"/>
      <c r="S81" s="409"/>
      <c r="T81" s="409"/>
      <c r="U81" s="409"/>
      <c r="V81" s="409"/>
      <c r="W81" s="392"/>
      <c r="X81" s="392"/>
      <c r="Y81" s="409"/>
      <c r="Z81" s="409"/>
      <c r="AA81" s="392"/>
      <c r="AB81" s="392"/>
      <c r="AC81" s="392"/>
      <c r="AD81" s="409"/>
      <c r="AE81" s="409"/>
      <c r="AF81" s="409"/>
      <c r="AG81" s="409"/>
      <c r="AH81" s="409"/>
      <c r="AI81" s="409"/>
      <c r="AJ81" s="409"/>
      <c r="AK81" s="409"/>
      <c r="AL81" s="409"/>
      <c r="AM81" s="409"/>
      <c r="AN81" s="409"/>
      <c r="AO81" s="409"/>
      <c r="AP81" s="409"/>
      <c r="AQ81" s="409"/>
      <c r="AR81" s="409"/>
      <c r="AS81" s="409"/>
      <c r="AT81" s="409"/>
      <c r="AU81" s="409"/>
      <c r="AV81" s="409"/>
      <c r="AW81" s="409"/>
      <c r="AX81" s="409"/>
      <c r="AY81" s="409"/>
      <c r="AZ81" s="409"/>
      <c r="BA81" s="409"/>
      <c r="BB81" s="409"/>
      <c r="BC81" s="409"/>
      <c r="BD81" s="407"/>
      <c r="BE81" s="444"/>
      <c r="BF81" s="444"/>
      <c r="BG81" s="444"/>
      <c r="BH81" s="444"/>
      <c r="BI81" s="444"/>
      <c r="BJ81" s="444"/>
      <c r="BK81" s="444"/>
      <c r="BL81" s="444"/>
      <c r="BM81" s="444"/>
      <c r="BN81" s="444"/>
      <c r="BO81" s="444"/>
      <c r="BP81" s="444"/>
      <c r="BQ81" s="444"/>
      <c r="BR81" s="444"/>
      <c r="BS81" s="444"/>
      <c r="BT81" s="444"/>
    </row>
    <row r="82" spans="1:72" s="443" customFormat="1" ht="15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392"/>
      <c r="S82" s="409"/>
      <c r="T82" s="409"/>
      <c r="U82" s="409"/>
      <c r="V82" s="409"/>
      <c r="W82" s="392"/>
      <c r="X82" s="392"/>
      <c r="Y82" s="409"/>
      <c r="Z82" s="409"/>
      <c r="AA82" s="392"/>
      <c r="AB82" s="392"/>
      <c r="AC82" s="392"/>
      <c r="AD82" s="409"/>
      <c r="AE82" s="409"/>
      <c r="AF82" s="409"/>
      <c r="AG82" s="409"/>
      <c r="AH82" s="409"/>
      <c r="AI82" s="409"/>
      <c r="AJ82" s="409"/>
      <c r="AK82" s="409"/>
      <c r="AL82" s="409"/>
      <c r="AM82" s="409"/>
      <c r="AN82" s="409"/>
      <c r="AO82" s="409"/>
      <c r="AP82" s="409"/>
      <c r="AQ82" s="409"/>
      <c r="AR82" s="409"/>
      <c r="AS82" s="409"/>
      <c r="AT82" s="409"/>
      <c r="AU82" s="409"/>
      <c r="AV82" s="409"/>
      <c r="AW82" s="409"/>
      <c r="AX82" s="409"/>
      <c r="AY82" s="409"/>
      <c r="AZ82" s="409"/>
      <c r="BA82" s="409"/>
      <c r="BB82" s="409"/>
      <c r="BC82" s="409"/>
      <c r="BD82" s="407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44"/>
      <c r="BP82" s="444"/>
      <c r="BQ82" s="444"/>
      <c r="BR82" s="444"/>
      <c r="BS82" s="444"/>
      <c r="BT82" s="444"/>
    </row>
    <row r="83" spans="1:72" s="443" customFormat="1" ht="15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392"/>
      <c r="S83" s="409"/>
      <c r="T83" s="409"/>
      <c r="U83" s="409"/>
      <c r="V83" s="409"/>
      <c r="W83" s="392"/>
      <c r="X83" s="392"/>
      <c r="Y83" s="409"/>
      <c r="Z83" s="409"/>
      <c r="AA83" s="392"/>
      <c r="AB83" s="392"/>
      <c r="AC83" s="392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9"/>
      <c r="AP83" s="409"/>
      <c r="AQ83" s="409"/>
      <c r="AR83" s="409"/>
      <c r="AS83" s="409"/>
      <c r="AT83" s="409"/>
      <c r="AU83" s="409"/>
      <c r="AV83" s="409"/>
      <c r="AW83" s="409"/>
      <c r="AX83" s="409"/>
      <c r="AY83" s="409"/>
      <c r="AZ83" s="409"/>
      <c r="BA83" s="409"/>
      <c r="BB83" s="409"/>
      <c r="BC83" s="409"/>
      <c r="BD83" s="407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44"/>
      <c r="BP83" s="444"/>
      <c r="BQ83" s="444"/>
      <c r="BR83" s="444"/>
      <c r="BS83" s="444"/>
      <c r="BT83" s="444"/>
    </row>
    <row r="84" spans="1:72" s="443" customFormat="1" ht="15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409"/>
      <c r="T84" s="409"/>
      <c r="U84" s="409"/>
      <c r="V84" s="409"/>
      <c r="W84" s="392"/>
      <c r="X84" s="392"/>
      <c r="Y84" s="409"/>
      <c r="Z84" s="409"/>
      <c r="AA84" s="392"/>
      <c r="AB84" s="392"/>
      <c r="AC84" s="392"/>
      <c r="AD84" s="409"/>
      <c r="AE84" s="409"/>
      <c r="AF84" s="409"/>
      <c r="AG84" s="409"/>
      <c r="AH84" s="409"/>
      <c r="AI84" s="409"/>
      <c r="AJ84" s="409"/>
      <c r="AK84" s="409"/>
      <c r="AL84" s="409"/>
      <c r="AM84" s="409"/>
      <c r="AN84" s="409"/>
      <c r="AO84" s="409"/>
      <c r="AP84" s="409"/>
      <c r="AQ84" s="409"/>
      <c r="AR84" s="409"/>
      <c r="AS84" s="409"/>
      <c r="AT84" s="409"/>
      <c r="AU84" s="409"/>
      <c r="AV84" s="409"/>
      <c r="AW84" s="409"/>
      <c r="AX84" s="409"/>
      <c r="AY84" s="409"/>
      <c r="AZ84" s="409"/>
      <c r="BA84" s="409"/>
      <c r="BB84" s="409"/>
      <c r="BC84" s="409"/>
      <c r="BD84" s="407"/>
      <c r="BE84" s="444"/>
      <c r="BF84" s="444"/>
      <c r="BG84" s="444"/>
      <c r="BH84" s="444"/>
      <c r="BI84" s="444"/>
      <c r="BJ84" s="444"/>
      <c r="BK84" s="444"/>
      <c r="BL84" s="444"/>
      <c r="BM84" s="444"/>
      <c r="BN84" s="444"/>
      <c r="BO84" s="444"/>
      <c r="BP84" s="444"/>
      <c r="BQ84" s="444"/>
      <c r="BR84" s="444"/>
      <c r="BS84" s="444"/>
      <c r="BT84" s="444"/>
    </row>
    <row r="85" spans="1:72" s="443" customFormat="1" ht="15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409"/>
      <c r="T85" s="409"/>
      <c r="U85" s="409"/>
      <c r="V85" s="409"/>
      <c r="W85" s="392"/>
      <c r="X85" s="392"/>
      <c r="Y85" s="409"/>
      <c r="Z85" s="409"/>
      <c r="AA85" s="392"/>
      <c r="AB85" s="392"/>
      <c r="AC85" s="392"/>
      <c r="AD85" s="409"/>
      <c r="AE85" s="409"/>
      <c r="AF85" s="409"/>
      <c r="AG85" s="409"/>
      <c r="AH85" s="409"/>
      <c r="AI85" s="409"/>
      <c r="AJ85" s="409"/>
      <c r="AK85" s="409"/>
      <c r="AL85" s="409"/>
      <c r="AM85" s="409"/>
      <c r="AN85" s="409"/>
      <c r="AO85" s="409"/>
      <c r="AP85" s="409"/>
      <c r="AQ85" s="409"/>
      <c r="AR85" s="409"/>
      <c r="AS85" s="409"/>
      <c r="AT85" s="409"/>
      <c r="AU85" s="409"/>
      <c r="AV85" s="409"/>
      <c r="AW85" s="409"/>
      <c r="AX85" s="409"/>
      <c r="AY85" s="409"/>
      <c r="AZ85" s="409"/>
      <c r="BA85" s="409"/>
      <c r="BB85" s="409"/>
      <c r="BC85" s="409"/>
      <c r="BD85" s="407"/>
      <c r="BE85" s="444"/>
      <c r="BF85" s="444"/>
      <c r="BG85" s="444"/>
      <c r="BH85" s="444"/>
      <c r="BI85" s="444"/>
      <c r="BJ85" s="444"/>
      <c r="BK85" s="444"/>
      <c r="BL85" s="444"/>
      <c r="BM85" s="444"/>
      <c r="BN85" s="444"/>
      <c r="BO85" s="444"/>
      <c r="BP85" s="444"/>
      <c r="BQ85" s="444"/>
      <c r="BR85" s="444"/>
      <c r="BS85" s="444"/>
      <c r="BT85" s="444"/>
    </row>
    <row r="86" spans="1:72" s="443" customFormat="1" ht="15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409"/>
      <c r="T86" s="409"/>
      <c r="U86" s="409"/>
      <c r="V86" s="409"/>
      <c r="W86" s="392"/>
      <c r="X86" s="392"/>
      <c r="Y86" s="409"/>
      <c r="Z86" s="409"/>
      <c r="AA86" s="392"/>
      <c r="AB86" s="392"/>
      <c r="AC86" s="392"/>
      <c r="AD86" s="409"/>
      <c r="AE86" s="409"/>
      <c r="AF86" s="409"/>
      <c r="AG86" s="409"/>
      <c r="AH86" s="409"/>
      <c r="AI86" s="409"/>
      <c r="AJ86" s="409"/>
      <c r="AK86" s="409"/>
      <c r="AL86" s="409"/>
      <c r="AM86" s="409"/>
      <c r="AN86" s="409"/>
      <c r="AO86" s="409"/>
      <c r="AP86" s="409"/>
      <c r="AQ86" s="409"/>
      <c r="AR86" s="409"/>
      <c r="AS86" s="409"/>
      <c r="AT86" s="409"/>
      <c r="AU86" s="409"/>
      <c r="AV86" s="409"/>
      <c r="AW86" s="409"/>
      <c r="AX86" s="409"/>
      <c r="AY86" s="409"/>
      <c r="AZ86" s="409"/>
      <c r="BA86" s="409"/>
      <c r="BB86" s="409"/>
      <c r="BC86" s="409"/>
      <c r="BD86" s="407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44"/>
      <c r="BP86" s="444"/>
      <c r="BQ86" s="444"/>
      <c r="BR86" s="444"/>
      <c r="BS86" s="444"/>
      <c r="BT86" s="444"/>
    </row>
    <row r="87" spans="1:72" s="443" customFormat="1" ht="15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2"/>
      <c r="M87" s="392"/>
      <c r="N87" s="392"/>
      <c r="O87" s="392"/>
      <c r="P87" s="392"/>
      <c r="Q87" s="392"/>
      <c r="R87" s="392"/>
      <c r="S87" s="409"/>
      <c r="T87" s="409"/>
      <c r="U87" s="409"/>
      <c r="V87" s="409"/>
      <c r="W87" s="392"/>
      <c r="X87" s="392"/>
      <c r="Y87" s="409"/>
      <c r="Z87" s="409"/>
      <c r="AA87" s="392"/>
      <c r="AB87" s="392"/>
      <c r="AC87" s="392"/>
      <c r="AD87" s="409"/>
      <c r="AE87" s="409"/>
      <c r="AF87" s="409"/>
      <c r="AG87" s="409"/>
      <c r="AH87" s="409"/>
      <c r="AI87" s="409"/>
      <c r="AJ87" s="409"/>
      <c r="AK87" s="409"/>
      <c r="AL87" s="409"/>
      <c r="AM87" s="409"/>
      <c r="AN87" s="409"/>
      <c r="AO87" s="409"/>
      <c r="AP87" s="409"/>
      <c r="AQ87" s="409"/>
      <c r="AR87" s="409"/>
      <c r="AS87" s="409"/>
      <c r="AT87" s="409"/>
      <c r="AU87" s="409"/>
      <c r="AV87" s="409"/>
      <c r="AW87" s="409"/>
      <c r="AX87" s="409"/>
      <c r="AY87" s="409"/>
      <c r="AZ87" s="409"/>
      <c r="BA87" s="409"/>
      <c r="BB87" s="409"/>
      <c r="BC87" s="409"/>
      <c r="BD87" s="407"/>
      <c r="BE87" s="444"/>
      <c r="BF87" s="444"/>
      <c r="BG87" s="444"/>
      <c r="BH87" s="444"/>
      <c r="BI87" s="444"/>
      <c r="BJ87" s="444"/>
      <c r="BK87" s="444"/>
      <c r="BL87" s="444"/>
      <c r="BM87" s="444"/>
      <c r="BN87" s="444"/>
      <c r="BO87" s="444"/>
      <c r="BP87" s="444"/>
      <c r="BQ87" s="444"/>
      <c r="BR87" s="444"/>
      <c r="BS87" s="444"/>
      <c r="BT87" s="444"/>
    </row>
    <row r="88" spans="1:72" s="443" customFormat="1" ht="15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2"/>
      <c r="P88" s="392"/>
      <c r="Q88" s="392"/>
      <c r="R88" s="392"/>
      <c r="S88" s="409"/>
      <c r="T88" s="409"/>
      <c r="U88" s="409"/>
      <c r="V88" s="409"/>
      <c r="W88" s="392"/>
      <c r="X88" s="392"/>
      <c r="Y88" s="409"/>
      <c r="Z88" s="409"/>
      <c r="AA88" s="392"/>
      <c r="AB88" s="392"/>
      <c r="AC88" s="392"/>
      <c r="AD88" s="409"/>
      <c r="AE88" s="409"/>
      <c r="AF88" s="409"/>
      <c r="AG88" s="409"/>
      <c r="AH88" s="409"/>
      <c r="AI88" s="409"/>
      <c r="AJ88" s="409"/>
      <c r="AK88" s="409"/>
      <c r="AL88" s="409"/>
      <c r="AM88" s="409"/>
      <c r="AN88" s="409"/>
      <c r="AO88" s="409"/>
      <c r="AP88" s="409"/>
      <c r="AQ88" s="409"/>
      <c r="AR88" s="409"/>
      <c r="AS88" s="409"/>
      <c r="AT88" s="409"/>
      <c r="AU88" s="409"/>
      <c r="AV88" s="409"/>
      <c r="AW88" s="409"/>
      <c r="AX88" s="409"/>
      <c r="AY88" s="409"/>
      <c r="AZ88" s="409"/>
      <c r="BA88" s="409"/>
      <c r="BB88" s="409"/>
      <c r="BC88" s="409"/>
      <c r="BD88" s="407"/>
      <c r="BE88" s="444"/>
      <c r="BF88" s="444"/>
      <c r="BG88" s="444"/>
      <c r="BH88" s="444"/>
      <c r="BI88" s="444"/>
      <c r="BJ88" s="444"/>
      <c r="BK88" s="444"/>
      <c r="BL88" s="444"/>
      <c r="BM88" s="444"/>
      <c r="BN88" s="444"/>
      <c r="BO88" s="444"/>
      <c r="BP88" s="444"/>
      <c r="BQ88" s="444"/>
      <c r="BR88" s="444"/>
      <c r="BS88" s="444"/>
      <c r="BT88" s="444"/>
    </row>
    <row r="89" spans="1:72" s="443" customFormat="1" ht="15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2"/>
      <c r="P89" s="392"/>
      <c r="Q89" s="392"/>
      <c r="R89" s="392"/>
      <c r="S89" s="409"/>
      <c r="T89" s="409"/>
      <c r="U89" s="409"/>
      <c r="V89" s="409"/>
      <c r="W89" s="392"/>
      <c r="X89" s="392"/>
      <c r="Y89" s="409"/>
      <c r="Z89" s="409"/>
      <c r="AA89" s="392"/>
      <c r="AB89" s="392"/>
      <c r="AC89" s="392"/>
      <c r="AD89" s="409"/>
      <c r="AE89" s="409"/>
      <c r="AF89" s="409"/>
      <c r="AG89" s="409"/>
      <c r="AH89" s="409"/>
      <c r="AI89" s="409"/>
      <c r="AJ89" s="409"/>
      <c r="AK89" s="409"/>
      <c r="AL89" s="409"/>
      <c r="AM89" s="409"/>
      <c r="AN89" s="409"/>
      <c r="AO89" s="409"/>
      <c r="AP89" s="409"/>
      <c r="AQ89" s="409"/>
      <c r="AR89" s="409"/>
      <c r="AS89" s="409"/>
      <c r="AT89" s="409"/>
      <c r="AU89" s="409"/>
      <c r="AV89" s="409"/>
      <c r="AW89" s="409"/>
      <c r="AX89" s="409"/>
      <c r="AY89" s="409"/>
      <c r="AZ89" s="409"/>
      <c r="BA89" s="409"/>
      <c r="BB89" s="409"/>
      <c r="BC89" s="409"/>
      <c r="BD89" s="407"/>
      <c r="BE89" s="444"/>
      <c r="BF89" s="444"/>
      <c r="BG89" s="444"/>
      <c r="BH89" s="444"/>
      <c r="BI89" s="444"/>
      <c r="BJ89" s="444"/>
      <c r="BK89" s="444"/>
      <c r="BL89" s="444"/>
      <c r="BM89" s="444"/>
      <c r="BN89" s="444"/>
      <c r="BO89" s="444"/>
      <c r="BP89" s="444"/>
      <c r="BQ89" s="444"/>
      <c r="BR89" s="444"/>
      <c r="BS89" s="444"/>
      <c r="BT89" s="444"/>
    </row>
    <row r="90" spans="1:72" s="443" customFormat="1" ht="15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2"/>
      <c r="M90" s="392"/>
      <c r="N90" s="392"/>
      <c r="O90" s="392"/>
      <c r="P90" s="392"/>
      <c r="Q90" s="392"/>
      <c r="R90" s="392"/>
      <c r="S90" s="409"/>
      <c r="T90" s="409"/>
      <c r="U90" s="409"/>
      <c r="V90" s="409"/>
      <c r="W90" s="392"/>
      <c r="X90" s="392"/>
      <c r="Y90" s="409"/>
      <c r="Z90" s="409"/>
      <c r="AA90" s="392"/>
      <c r="AB90" s="392"/>
      <c r="AC90" s="392"/>
      <c r="AD90" s="409"/>
      <c r="AE90" s="409"/>
      <c r="AF90" s="409"/>
      <c r="AG90" s="409"/>
      <c r="AH90" s="409"/>
      <c r="AI90" s="409"/>
      <c r="AJ90" s="409"/>
      <c r="AK90" s="409"/>
      <c r="AL90" s="409"/>
      <c r="AM90" s="409"/>
      <c r="AN90" s="409"/>
      <c r="AO90" s="409"/>
      <c r="AP90" s="409"/>
      <c r="AQ90" s="409"/>
      <c r="AR90" s="409"/>
      <c r="AS90" s="409"/>
      <c r="AT90" s="409"/>
      <c r="AU90" s="409"/>
      <c r="AV90" s="409"/>
      <c r="AW90" s="409"/>
      <c r="AX90" s="409"/>
      <c r="AY90" s="409"/>
      <c r="AZ90" s="409"/>
      <c r="BA90" s="409"/>
      <c r="BB90" s="409"/>
      <c r="BC90" s="409"/>
      <c r="BD90" s="407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</row>
    <row r="91" spans="1:72" s="443" customFormat="1" ht="15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2"/>
      <c r="M91" s="392"/>
      <c r="N91" s="392"/>
      <c r="O91" s="392"/>
      <c r="P91" s="392"/>
      <c r="Q91" s="392"/>
      <c r="R91" s="392"/>
      <c r="S91" s="409"/>
      <c r="T91" s="409"/>
      <c r="U91" s="409"/>
      <c r="V91" s="409"/>
      <c r="W91" s="392"/>
      <c r="X91" s="392"/>
      <c r="Y91" s="409"/>
      <c r="Z91" s="409"/>
      <c r="AA91" s="392"/>
      <c r="AB91" s="392"/>
      <c r="AC91" s="392"/>
      <c r="AD91" s="409"/>
      <c r="AE91" s="409"/>
      <c r="AF91" s="409"/>
      <c r="AG91" s="409"/>
      <c r="AH91" s="409"/>
      <c r="AI91" s="409"/>
      <c r="AJ91" s="409"/>
      <c r="AK91" s="409"/>
      <c r="AL91" s="409"/>
      <c r="AM91" s="409"/>
      <c r="AN91" s="409"/>
      <c r="AO91" s="409"/>
      <c r="AP91" s="409"/>
      <c r="AQ91" s="409"/>
      <c r="AR91" s="409"/>
      <c r="AS91" s="409"/>
      <c r="AT91" s="409"/>
      <c r="AU91" s="409"/>
      <c r="AV91" s="409"/>
      <c r="AW91" s="409"/>
      <c r="AX91" s="409"/>
      <c r="AY91" s="409"/>
      <c r="AZ91" s="409"/>
      <c r="BA91" s="409"/>
      <c r="BB91" s="409"/>
      <c r="BC91" s="409"/>
      <c r="BD91" s="407"/>
      <c r="BE91" s="444"/>
      <c r="BF91" s="444"/>
      <c r="BG91" s="444"/>
      <c r="BH91" s="444"/>
      <c r="BI91" s="444"/>
      <c r="BJ91" s="444"/>
      <c r="BK91" s="444"/>
      <c r="BL91" s="444"/>
      <c r="BM91" s="444"/>
      <c r="BN91" s="444"/>
      <c r="BO91" s="444"/>
      <c r="BP91" s="444"/>
      <c r="BQ91" s="444"/>
      <c r="BR91" s="444"/>
      <c r="BS91" s="444"/>
      <c r="BT91" s="444"/>
    </row>
    <row r="92" spans="1:72" s="443" customFormat="1" ht="15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2"/>
      <c r="M92" s="392"/>
      <c r="N92" s="392"/>
      <c r="O92" s="392"/>
      <c r="P92" s="392"/>
      <c r="Q92" s="392"/>
      <c r="R92" s="392"/>
      <c r="S92" s="409"/>
      <c r="T92" s="409"/>
      <c r="U92" s="409"/>
      <c r="V92" s="409"/>
      <c r="W92" s="392"/>
      <c r="X92" s="392"/>
      <c r="Y92" s="409"/>
      <c r="Z92" s="409"/>
      <c r="AA92" s="392"/>
      <c r="AB92" s="392"/>
      <c r="AC92" s="392"/>
      <c r="AD92" s="409"/>
      <c r="AE92" s="409"/>
      <c r="AF92" s="409"/>
      <c r="AG92" s="409"/>
      <c r="AH92" s="409"/>
      <c r="AI92" s="409"/>
      <c r="AJ92" s="409"/>
      <c r="AK92" s="409"/>
      <c r="AL92" s="409"/>
      <c r="AM92" s="409"/>
      <c r="AN92" s="409"/>
      <c r="AO92" s="409"/>
      <c r="AP92" s="409"/>
      <c r="AQ92" s="409"/>
      <c r="AR92" s="409"/>
      <c r="AS92" s="409"/>
      <c r="AT92" s="409"/>
      <c r="AU92" s="409"/>
      <c r="AV92" s="409"/>
      <c r="AW92" s="409"/>
      <c r="AX92" s="409"/>
      <c r="AY92" s="409"/>
      <c r="AZ92" s="409"/>
      <c r="BA92" s="409"/>
      <c r="BB92" s="409"/>
      <c r="BC92" s="409"/>
      <c r="BD92" s="407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44"/>
      <c r="BP92" s="444"/>
      <c r="BQ92" s="444"/>
      <c r="BR92" s="444"/>
      <c r="BS92" s="444"/>
      <c r="BT92" s="444"/>
    </row>
    <row r="93" spans="1:72" s="443" customFormat="1" ht="15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2"/>
      <c r="Q93" s="392"/>
      <c r="R93" s="392"/>
      <c r="S93" s="409"/>
      <c r="T93" s="409"/>
      <c r="U93" s="409"/>
      <c r="V93" s="409"/>
      <c r="W93" s="392"/>
      <c r="X93" s="392"/>
      <c r="Y93" s="409"/>
      <c r="Z93" s="409"/>
      <c r="AA93" s="392"/>
      <c r="AB93" s="392"/>
      <c r="AC93" s="392"/>
      <c r="AD93" s="409"/>
      <c r="AE93" s="409"/>
      <c r="AF93" s="409"/>
      <c r="AG93" s="409"/>
      <c r="AH93" s="409"/>
      <c r="AI93" s="409"/>
      <c r="AJ93" s="409"/>
      <c r="AK93" s="409"/>
      <c r="AL93" s="409"/>
      <c r="AM93" s="409"/>
      <c r="AN93" s="409"/>
      <c r="AO93" s="409"/>
      <c r="AP93" s="409"/>
      <c r="AQ93" s="409"/>
      <c r="AR93" s="409"/>
      <c r="AS93" s="409"/>
      <c r="AT93" s="409"/>
      <c r="AU93" s="409"/>
      <c r="AV93" s="409"/>
      <c r="AW93" s="409"/>
      <c r="AX93" s="409"/>
      <c r="AY93" s="409"/>
      <c r="AZ93" s="409"/>
      <c r="BA93" s="409"/>
      <c r="BB93" s="409"/>
      <c r="BC93" s="409"/>
      <c r="BD93" s="407"/>
      <c r="BE93" s="444"/>
      <c r="BF93" s="444"/>
      <c r="BG93" s="444"/>
      <c r="BH93" s="444"/>
      <c r="BI93" s="444"/>
      <c r="BJ93" s="444"/>
      <c r="BK93" s="444"/>
      <c r="BL93" s="444"/>
      <c r="BM93" s="444"/>
      <c r="BN93" s="444"/>
      <c r="BO93" s="444"/>
      <c r="BP93" s="444"/>
      <c r="BQ93" s="444"/>
      <c r="BR93" s="444"/>
      <c r="BS93" s="444"/>
      <c r="BT93" s="444"/>
    </row>
    <row r="94" spans="1:72" s="443" customFormat="1" ht="15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2"/>
      <c r="P94" s="392"/>
      <c r="Q94" s="392"/>
      <c r="R94" s="392"/>
      <c r="S94" s="409"/>
      <c r="T94" s="409"/>
      <c r="U94" s="409"/>
      <c r="V94" s="409"/>
      <c r="W94" s="392"/>
      <c r="X94" s="392"/>
      <c r="Y94" s="409"/>
      <c r="Z94" s="409"/>
      <c r="AA94" s="392"/>
      <c r="AB94" s="392"/>
      <c r="AC94" s="392"/>
      <c r="AD94" s="409"/>
      <c r="AE94" s="409"/>
      <c r="AF94" s="409"/>
      <c r="AG94" s="409"/>
      <c r="AH94" s="409"/>
      <c r="AI94" s="409"/>
      <c r="AJ94" s="409"/>
      <c r="AK94" s="409"/>
      <c r="AL94" s="409"/>
      <c r="AM94" s="409"/>
      <c r="AN94" s="409"/>
      <c r="AO94" s="409"/>
      <c r="AP94" s="409"/>
      <c r="AQ94" s="409"/>
      <c r="AR94" s="409"/>
      <c r="AS94" s="409"/>
      <c r="AT94" s="409"/>
      <c r="AU94" s="409"/>
      <c r="AV94" s="409"/>
      <c r="AW94" s="409"/>
      <c r="AX94" s="409"/>
      <c r="AY94" s="409"/>
      <c r="AZ94" s="409"/>
      <c r="BA94" s="409"/>
      <c r="BB94" s="409"/>
      <c r="BC94" s="409"/>
      <c r="BD94" s="407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/>
      <c r="BQ94" s="444"/>
      <c r="BR94" s="444"/>
      <c r="BS94" s="444"/>
      <c r="BT94" s="444"/>
    </row>
    <row r="95" spans="1:72" s="443" customFormat="1" ht="15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2"/>
      <c r="Q95" s="392"/>
      <c r="R95" s="392"/>
      <c r="S95" s="409"/>
      <c r="T95" s="409"/>
      <c r="U95" s="409"/>
      <c r="V95" s="409"/>
      <c r="W95" s="392"/>
      <c r="X95" s="392"/>
      <c r="Y95" s="409"/>
      <c r="Z95" s="409"/>
      <c r="AA95" s="392"/>
      <c r="AB95" s="392"/>
      <c r="AC95" s="392"/>
      <c r="AD95" s="409"/>
      <c r="AE95" s="409"/>
      <c r="AF95" s="409"/>
      <c r="AG95" s="409"/>
      <c r="AH95" s="409"/>
      <c r="AI95" s="409"/>
      <c r="AJ95" s="409"/>
      <c r="AK95" s="409"/>
      <c r="AL95" s="409"/>
      <c r="AM95" s="409"/>
      <c r="AN95" s="409"/>
      <c r="AO95" s="409"/>
      <c r="AP95" s="409"/>
      <c r="AQ95" s="409"/>
      <c r="AR95" s="409"/>
      <c r="AS95" s="409"/>
      <c r="AT95" s="409"/>
      <c r="AU95" s="409"/>
      <c r="AV95" s="409"/>
      <c r="AW95" s="409"/>
      <c r="AX95" s="409"/>
      <c r="AY95" s="409"/>
      <c r="AZ95" s="409"/>
      <c r="BA95" s="409"/>
      <c r="BB95" s="409"/>
      <c r="BC95" s="409"/>
      <c r="BD95" s="407"/>
      <c r="BE95" s="444"/>
      <c r="BF95" s="444"/>
      <c r="BG95" s="444"/>
      <c r="BH95" s="444"/>
      <c r="BI95" s="444"/>
      <c r="BJ95" s="444"/>
      <c r="BK95" s="444"/>
      <c r="BL95" s="444"/>
      <c r="BM95" s="444"/>
      <c r="BN95" s="444"/>
      <c r="BO95" s="444"/>
      <c r="BP95" s="444"/>
      <c r="BQ95" s="444"/>
      <c r="BR95" s="444"/>
      <c r="BS95" s="444"/>
      <c r="BT95" s="444"/>
    </row>
    <row r="96" spans="1:72" s="443" customFormat="1" ht="15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409"/>
      <c r="T96" s="409"/>
      <c r="U96" s="409"/>
      <c r="V96" s="409"/>
      <c r="W96" s="392"/>
      <c r="X96" s="392"/>
      <c r="Y96" s="409"/>
      <c r="Z96" s="409"/>
      <c r="AA96" s="392"/>
      <c r="AB96" s="392"/>
      <c r="AC96" s="392"/>
      <c r="AD96" s="409"/>
      <c r="AE96" s="409"/>
      <c r="AF96" s="409"/>
      <c r="AG96" s="409"/>
      <c r="AH96" s="409"/>
      <c r="AI96" s="409"/>
      <c r="AJ96" s="409"/>
      <c r="AK96" s="409"/>
      <c r="AL96" s="409"/>
      <c r="AM96" s="409"/>
      <c r="AN96" s="409"/>
      <c r="AO96" s="409"/>
      <c r="AP96" s="409"/>
      <c r="AQ96" s="409"/>
      <c r="AR96" s="409"/>
      <c r="AS96" s="409"/>
      <c r="AT96" s="409"/>
      <c r="AU96" s="409"/>
      <c r="AV96" s="409"/>
      <c r="AW96" s="409"/>
      <c r="AX96" s="409"/>
      <c r="AY96" s="409"/>
      <c r="AZ96" s="409"/>
      <c r="BA96" s="409"/>
      <c r="BB96" s="409"/>
      <c r="BC96" s="409"/>
      <c r="BD96" s="407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44"/>
      <c r="BP96" s="444"/>
      <c r="BQ96" s="444"/>
      <c r="BR96" s="444"/>
      <c r="BS96" s="444"/>
      <c r="BT96" s="444"/>
    </row>
    <row r="97" spans="1:72" s="443" customFormat="1" ht="15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  <c r="L97" s="392"/>
      <c r="M97" s="392"/>
      <c r="N97" s="392"/>
      <c r="O97" s="392"/>
      <c r="P97" s="392"/>
      <c r="Q97" s="392"/>
      <c r="R97" s="392"/>
      <c r="S97" s="409"/>
      <c r="T97" s="409"/>
      <c r="U97" s="409"/>
      <c r="V97" s="409"/>
      <c r="W97" s="392"/>
      <c r="X97" s="392"/>
      <c r="Y97" s="409"/>
      <c r="Z97" s="409"/>
      <c r="AA97" s="392"/>
      <c r="AB97" s="392"/>
      <c r="AC97" s="392"/>
      <c r="AD97" s="409"/>
      <c r="AE97" s="409"/>
      <c r="AF97" s="409"/>
      <c r="AG97" s="409"/>
      <c r="AH97" s="409"/>
      <c r="AI97" s="409"/>
      <c r="AJ97" s="409"/>
      <c r="AK97" s="409"/>
      <c r="AL97" s="409"/>
      <c r="AM97" s="409"/>
      <c r="AN97" s="409"/>
      <c r="AO97" s="409"/>
      <c r="AP97" s="409"/>
      <c r="AQ97" s="409"/>
      <c r="AR97" s="409"/>
      <c r="AS97" s="409"/>
      <c r="AT97" s="409"/>
      <c r="AU97" s="409"/>
      <c r="AV97" s="409"/>
      <c r="AW97" s="409"/>
      <c r="AX97" s="409"/>
      <c r="AY97" s="409"/>
      <c r="AZ97" s="409"/>
      <c r="BA97" s="409"/>
      <c r="BB97" s="409"/>
      <c r="BC97" s="409"/>
      <c r="BD97" s="407"/>
      <c r="BE97" s="444"/>
      <c r="BF97" s="444"/>
      <c r="BG97" s="444"/>
      <c r="BH97" s="444"/>
      <c r="BI97" s="444"/>
      <c r="BJ97" s="444"/>
      <c r="BK97" s="444"/>
      <c r="BL97" s="444"/>
      <c r="BM97" s="444"/>
      <c r="BN97" s="444"/>
      <c r="BO97" s="444"/>
      <c r="BP97" s="444"/>
      <c r="BQ97" s="444"/>
      <c r="BR97" s="444"/>
      <c r="BS97" s="444"/>
      <c r="BT97" s="444"/>
    </row>
    <row r="98" spans="1:72" s="443" customFormat="1" ht="15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2"/>
      <c r="P98" s="392"/>
      <c r="Q98" s="392"/>
      <c r="R98" s="392"/>
      <c r="S98" s="409"/>
      <c r="T98" s="409"/>
      <c r="U98" s="409"/>
      <c r="V98" s="409"/>
      <c r="W98" s="392"/>
      <c r="X98" s="392"/>
      <c r="Y98" s="409"/>
      <c r="Z98" s="409"/>
      <c r="AA98" s="392"/>
      <c r="AB98" s="392"/>
      <c r="AC98" s="392"/>
      <c r="AD98" s="409"/>
      <c r="AE98" s="409"/>
      <c r="AF98" s="409"/>
      <c r="AG98" s="409"/>
      <c r="AH98" s="409"/>
      <c r="AI98" s="409"/>
      <c r="AJ98" s="409"/>
      <c r="AK98" s="409"/>
      <c r="AL98" s="409"/>
      <c r="AM98" s="409"/>
      <c r="AN98" s="409"/>
      <c r="AO98" s="409"/>
      <c r="AP98" s="409"/>
      <c r="AQ98" s="409"/>
      <c r="AR98" s="409"/>
      <c r="AS98" s="409"/>
      <c r="AT98" s="409"/>
      <c r="AU98" s="409"/>
      <c r="AV98" s="409"/>
      <c r="AW98" s="409"/>
      <c r="AX98" s="409"/>
      <c r="AY98" s="409"/>
      <c r="AZ98" s="409"/>
      <c r="BA98" s="409"/>
      <c r="BB98" s="409"/>
      <c r="BC98" s="409"/>
      <c r="BD98" s="407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44"/>
      <c r="BP98" s="444"/>
      <c r="BQ98" s="444"/>
      <c r="BR98" s="444"/>
      <c r="BS98" s="444"/>
      <c r="BT98" s="444"/>
    </row>
    <row r="99" spans="1:72" s="443" customFormat="1" ht="15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2"/>
      <c r="P99" s="392"/>
      <c r="Q99" s="392"/>
      <c r="R99" s="392"/>
      <c r="S99" s="409"/>
      <c r="T99" s="409"/>
      <c r="U99" s="409"/>
      <c r="V99" s="409"/>
      <c r="W99" s="392"/>
      <c r="X99" s="392"/>
      <c r="Y99" s="409"/>
      <c r="Z99" s="409"/>
      <c r="AA99" s="392"/>
      <c r="AB99" s="392"/>
      <c r="AC99" s="392"/>
      <c r="AD99" s="409"/>
      <c r="AE99" s="409"/>
      <c r="AF99" s="409"/>
      <c r="AG99" s="409"/>
      <c r="AH99" s="409"/>
      <c r="AI99" s="409"/>
      <c r="AJ99" s="409"/>
      <c r="AK99" s="409"/>
      <c r="AL99" s="409"/>
      <c r="AM99" s="409"/>
      <c r="AN99" s="409"/>
      <c r="AO99" s="409"/>
      <c r="AP99" s="409"/>
      <c r="AQ99" s="409"/>
      <c r="AR99" s="409"/>
      <c r="AS99" s="409"/>
      <c r="AT99" s="409"/>
      <c r="AU99" s="409"/>
      <c r="AV99" s="409"/>
      <c r="AW99" s="409"/>
      <c r="AX99" s="409"/>
      <c r="AY99" s="409"/>
      <c r="AZ99" s="409"/>
      <c r="BA99" s="409"/>
      <c r="BB99" s="409"/>
      <c r="BC99" s="409"/>
      <c r="BD99" s="407"/>
      <c r="BE99" s="444"/>
      <c r="BF99" s="444"/>
      <c r="BG99" s="444"/>
      <c r="BH99" s="444"/>
      <c r="BI99" s="444"/>
      <c r="BJ99" s="444"/>
      <c r="BK99" s="444"/>
      <c r="BL99" s="444"/>
      <c r="BM99" s="444"/>
      <c r="BN99" s="444"/>
      <c r="BO99" s="444"/>
      <c r="BP99" s="444"/>
      <c r="BQ99" s="444"/>
      <c r="BR99" s="444"/>
      <c r="BS99" s="444"/>
      <c r="BT99" s="444"/>
    </row>
    <row r="100" spans="1:72" s="443" customFormat="1" ht="15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2"/>
      <c r="P100" s="392"/>
      <c r="Q100" s="392"/>
      <c r="R100" s="392"/>
      <c r="S100" s="409"/>
      <c r="T100" s="409"/>
      <c r="U100" s="409"/>
      <c r="V100" s="409"/>
      <c r="W100" s="392"/>
      <c r="X100" s="392"/>
      <c r="Y100" s="409"/>
      <c r="Z100" s="409"/>
      <c r="AA100" s="392"/>
      <c r="AB100" s="392"/>
      <c r="AC100" s="392"/>
      <c r="AD100" s="409"/>
      <c r="AE100" s="409"/>
      <c r="AF100" s="409"/>
      <c r="AG100" s="409"/>
      <c r="AH100" s="409"/>
      <c r="AI100" s="409"/>
      <c r="AJ100" s="409"/>
      <c r="AK100" s="409"/>
      <c r="AL100" s="409"/>
      <c r="AM100" s="409"/>
      <c r="AN100" s="409"/>
      <c r="AO100" s="409"/>
      <c r="AP100" s="409"/>
      <c r="AQ100" s="409"/>
      <c r="AR100" s="409"/>
      <c r="AS100" s="409"/>
      <c r="AT100" s="409"/>
      <c r="AU100" s="409"/>
      <c r="AV100" s="409"/>
      <c r="AW100" s="409"/>
      <c r="AX100" s="409"/>
      <c r="AY100" s="409"/>
      <c r="AZ100" s="409"/>
      <c r="BA100" s="409"/>
      <c r="BB100" s="409"/>
      <c r="BC100" s="409"/>
      <c r="BD100" s="407"/>
      <c r="BE100" s="444"/>
      <c r="BF100" s="444"/>
      <c r="BG100" s="444"/>
      <c r="BH100" s="444"/>
      <c r="BI100" s="444"/>
      <c r="BJ100" s="444"/>
      <c r="BK100" s="444"/>
      <c r="BL100" s="444"/>
      <c r="BM100" s="444"/>
      <c r="BN100" s="444"/>
      <c r="BO100" s="444"/>
      <c r="BP100" s="444"/>
      <c r="BQ100" s="444"/>
      <c r="BR100" s="444"/>
      <c r="BS100" s="444"/>
      <c r="BT100" s="444"/>
    </row>
    <row r="101" spans="1:72" s="443" customFormat="1" ht="15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  <c r="L101" s="392"/>
      <c r="M101" s="392"/>
      <c r="N101" s="392"/>
      <c r="O101" s="392"/>
      <c r="P101" s="392"/>
      <c r="Q101" s="392"/>
      <c r="R101" s="392"/>
      <c r="S101" s="409"/>
      <c r="T101" s="409"/>
      <c r="U101" s="409"/>
      <c r="V101" s="409"/>
      <c r="W101" s="392"/>
      <c r="X101" s="392"/>
      <c r="Y101" s="409"/>
      <c r="Z101" s="409"/>
      <c r="AA101" s="392"/>
      <c r="AB101" s="392"/>
      <c r="AC101" s="392"/>
      <c r="AD101" s="409"/>
      <c r="AE101" s="409"/>
      <c r="AF101" s="409"/>
      <c r="AG101" s="409"/>
      <c r="AH101" s="409"/>
      <c r="AI101" s="409"/>
      <c r="AJ101" s="409"/>
      <c r="AK101" s="409"/>
      <c r="AL101" s="409"/>
      <c r="AM101" s="409"/>
      <c r="AN101" s="409"/>
      <c r="AO101" s="409"/>
      <c r="AP101" s="409"/>
      <c r="AQ101" s="409"/>
      <c r="AR101" s="409"/>
      <c r="AS101" s="409"/>
      <c r="AT101" s="409"/>
      <c r="AU101" s="409"/>
      <c r="AV101" s="409"/>
      <c r="AW101" s="409"/>
      <c r="AX101" s="409"/>
      <c r="AY101" s="409"/>
      <c r="AZ101" s="409"/>
      <c r="BA101" s="409"/>
      <c r="BB101" s="409"/>
      <c r="BC101" s="409"/>
      <c r="BD101" s="407"/>
      <c r="BE101" s="444"/>
      <c r="BF101" s="444"/>
      <c r="BG101" s="444"/>
      <c r="BH101" s="444"/>
      <c r="BI101" s="444"/>
      <c r="BJ101" s="444"/>
      <c r="BK101" s="444"/>
      <c r="BL101" s="444"/>
      <c r="BM101" s="444"/>
      <c r="BN101" s="444"/>
      <c r="BO101" s="444"/>
      <c r="BP101" s="444"/>
      <c r="BQ101" s="444"/>
      <c r="BR101" s="444"/>
      <c r="BS101" s="444"/>
      <c r="BT101" s="444"/>
    </row>
    <row r="102" spans="1:72" s="443" customFormat="1" ht="15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409"/>
      <c r="T102" s="409"/>
      <c r="U102" s="409"/>
      <c r="V102" s="409"/>
      <c r="W102" s="392"/>
      <c r="X102" s="392"/>
      <c r="Y102" s="409"/>
      <c r="Z102" s="409"/>
      <c r="AA102" s="392"/>
      <c r="AB102" s="392"/>
      <c r="AC102" s="392"/>
      <c r="AD102" s="409"/>
      <c r="AE102" s="409"/>
      <c r="AF102" s="409"/>
      <c r="AG102" s="409"/>
      <c r="AH102" s="409"/>
      <c r="AI102" s="409"/>
      <c r="AJ102" s="409"/>
      <c r="AK102" s="409"/>
      <c r="AL102" s="409"/>
      <c r="AM102" s="409"/>
      <c r="AN102" s="409"/>
      <c r="AO102" s="409"/>
      <c r="AP102" s="409"/>
      <c r="AQ102" s="409"/>
      <c r="AR102" s="409"/>
      <c r="AS102" s="409"/>
      <c r="AT102" s="409"/>
      <c r="AU102" s="409"/>
      <c r="AV102" s="409"/>
      <c r="AW102" s="409"/>
      <c r="AX102" s="409"/>
      <c r="AY102" s="409"/>
      <c r="AZ102" s="409"/>
      <c r="BA102" s="409"/>
      <c r="BB102" s="409"/>
      <c r="BC102" s="409"/>
      <c r="BD102" s="407"/>
      <c r="BE102" s="444"/>
      <c r="BF102" s="444"/>
      <c r="BG102" s="444"/>
      <c r="BH102" s="444"/>
      <c r="BI102" s="444"/>
      <c r="BJ102" s="444"/>
      <c r="BK102" s="444"/>
      <c r="BL102" s="444"/>
      <c r="BM102" s="444"/>
      <c r="BN102" s="444"/>
      <c r="BO102" s="444"/>
      <c r="BP102" s="444"/>
      <c r="BQ102" s="444"/>
      <c r="BR102" s="444"/>
      <c r="BS102" s="444"/>
      <c r="BT102" s="444"/>
    </row>
    <row r="103" spans="1:72" s="443" customFormat="1" ht="15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  <c r="Q103" s="392"/>
      <c r="R103" s="392"/>
      <c r="S103" s="409"/>
      <c r="T103" s="409"/>
      <c r="U103" s="409"/>
      <c r="V103" s="409"/>
      <c r="W103" s="392"/>
      <c r="X103" s="392"/>
      <c r="Y103" s="409"/>
      <c r="Z103" s="409"/>
      <c r="AA103" s="392"/>
      <c r="AB103" s="392"/>
      <c r="AC103" s="392"/>
      <c r="AD103" s="409"/>
      <c r="AE103" s="409"/>
      <c r="AF103" s="409"/>
      <c r="AG103" s="409"/>
      <c r="AH103" s="409"/>
      <c r="AI103" s="409"/>
      <c r="AJ103" s="409"/>
      <c r="AK103" s="409"/>
      <c r="AL103" s="409"/>
      <c r="AM103" s="409"/>
      <c r="AN103" s="409"/>
      <c r="AO103" s="409"/>
      <c r="AP103" s="409"/>
      <c r="AQ103" s="409"/>
      <c r="AR103" s="409"/>
      <c r="AS103" s="409"/>
      <c r="AT103" s="409"/>
      <c r="AU103" s="409"/>
      <c r="AV103" s="409"/>
      <c r="AW103" s="409"/>
      <c r="AX103" s="409"/>
      <c r="AY103" s="409"/>
      <c r="AZ103" s="409"/>
      <c r="BA103" s="409"/>
      <c r="BB103" s="409"/>
      <c r="BC103" s="409"/>
      <c r="BD103" s="407"/>
      <c r="BE103" s="444"/>
      <c r="BF103" s="444"/>
      <c r="BG103" s="444"/>
      <c r="BH103" s="444"/>
      <c r="BI103" s="444"/>
      <c r="BJ103" s="444"/>
      <c r="BK103" s="444"/>
      <c r="BL103" s="444"/>
      <c r="BM103" s="444"/>
      <c r="BN103" s="444"/>
      <c r="BO103" s="444"/>
      <c r="BP103" s="444"/>
      <c r="BQ103" s="444"/>
      <c r="BR103" s="444"/>
      <c r="BS103" s="444"/>
      <c r="BT103" s="444"/>
    </row>
    <row r="104" spans="1:72" s="443" customFormat="1" ht="15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  <c r="L104" s="392"/>
      <c r="M104" s="392"/>
      <c r="N104" s="392"/>
      <c r="O104" s="392"/>
      <c r="P104" s="392"/>
      <c r="Q104" s="392"/>
      <c r="R104" s="392"/>
      <c r="S104" s="409"/>
      <c r="T104" s="409"/>
      <c r="U104" s="409"/>
      <c r="V104" s="409"/>
      <c r="W104" s="392"/>
      <c r="X104" s="392"/>
      <c r="Y104" s="409"/>
      <c r="Z104" s="409"/>
      <c r="AA104" s="392"/>
      <c r="AB104" s="392"/>
      <c r="AC104" s="392"/>
      <c r="AD104" s="409"/>
      <c r="AE104" s="409"/>
      <c r="AF104" s="409"/>
      <c r="AG104" s="409"/>
      <c r="AH104" s="409"/>
      <c r="AI104" s="409"/>
      <c r="AJ104" s="409"/>
      <c r="AK104" s="409"/>
      <c r="AL104" s="409"/>
      <c r="AM104" s="409"/>
      <c r="AN104" s="409"/>
      <c r="AO104" s="409"/>
      <c r="AP104" s="409"/>
      <c r="AQ104" s="409"/>
      <c r="AR104" s="409"/>
      <c r="AS104" s="409"/>
      <c r="AT104" s="409"/>
      <c r="AU104" s="409"/>
      <c r="AV104" s="409"/>
      <c r="AW104" s="409"/>
      <c r="AX104" s="409"/>
      <c r="AY104" s="409"/>
      <c r="AZ104" s="409"/>
      <c r="BA104" s="409"/>
      <c r="BB104" s="409"/>
      <c r="BC104" s="409"/>
      <c r="BD104" s="407"/>
      <c r="BE104" s="444"/>
      <c r="BF104" s="444"/>
      <c r="BG104" s="444"/>
      <c r="BH104" s="444"/>
      <c r="BI104" s="444"/>
      <c r="BJ104" s="444"/>
      <c r="BK104" s="444"/>
      <c r="BL104" s="444"/>
      <c r="BM104" s="444"/>
      <c r="BN104" s="444"/>
      <c r="BO104" s="444"/>
      <c r="BP104" s="444"/>
      <c r="BQ104" s="444"/>
      <c r="BR104" s="444"/>
      <c r="BS104" s="444"/>
      <c r="BT104" s="444"/>
    </row>
    <row r="105" spans="1:72" s="443" customFormat="1" ht="1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392"/>
      <c r="R105" s="392"/>
      <c r="S105" s="409"/>
      <c r="T105" s="409"/>
      <c r="U105" s="409"/>
      <c r="V105" s="409"/>
      <c r="W105" s="392"/>
      <c r="X105" s="392"/>
      <c r="Y105" s="409"/>
      <c r="Z105" s="409"/>
      <c r="AA105" s="392"/>
      <c r="AB105" s="392"/>
      <c r="AC105" s="392"/>
      <c r="AD105" s="409"/>
      <c r="AE105" s="409"/>
      <c r="AF105" s="409"/>
      <c r="AG105" s="409"/>
      <c r="AH105" s="409"/>
      <c r="AI105" s="409"/>
      <c r="AJ105" s="409"/>
      <c r="AK105" s="409"/>
      <c r="AL105" s="409"/>
      <c r="AM105" s="409"/>
      <c r="AN105" s="409"/>
      <c r="AO105" s="409"/>
      <c r="AP105" s="409"/>
      <c r="AQ105" s="409"/>
      <c r="AR105" s="409"/>
      <c r="AS105" s="409"/>
      <c r="AT105" s="409"/>
      <c r="AU105" s="409"/>
      <c r="AV105" s="409"/>
      <c r="AW105" s="409"/>
      <c r="AX105" s="409"/>
      <c r="AY105" s="409"/>
      <c r="AZ105" s="409"/>
      <c r="BA105" s="409"/>
      <c r="BB105" s="409"/>
      <c r="BC105" s="409"/>
      <c r="BD105" s="407"/>
      <c r="BE105" s="444"/>
      <c r="BF105" s="444"/>
      <c r="BG105" s="444"/>
      <c r="BH105" s="444"/>
      <c r="BI105" s="444"/>
      <c r="BJ105" s="444"/>
      <c r="BK105" s="444"/>
      <c r="BL105" s="444"/>
      <c r="BM105" s="444"/>
      <c r="BN105" s="444"/>
      <c r="BO105" s="444"/>
      <c r="BP105" s="444"/>
      <c r="BQ105" s="444"/>
      <c r="BR105" s="444"/>
      <c r="BS105" s="444"/>
      <c r="BT105" s="444"/>
    </row>
    <row r="106" spans="1:72" s="443" customFormat="1" ht="15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  <c r="Q106" s="392"/>
      <c r="R106" s="392"/>
      <c r="S106" s="409"/>
      <c r="T106" s="409"/>
      <c r="U106" s="409"/>
      <c r="V106" s="409"/>
      <c r="W106" s="392"/>
      <c r="X106" s="392"/>
      <c r="Y106" s="409"/>
      <c r="Z106" s="409"/>
      <c r="AA106" s="392"/>
      <c r="AB106" s="392"/>
      <c r="AC106" s="392"/>
      <c r="AD106" s="409"/>
      <c r="AE106" s="409"/>
      <c r="AF106" s="409"/>
      <c r="AG106" s="409"/>
      <c r="AH106" s="409"/>
      <c r="AI106" s="409"/>
      <c r="AJ106" s="409"/>
      <c r="AK106" s="409"/>
      <c r="AL106" s="409"/>
      <c r="AM106" s="409"/>
      <c r="AN106" s="409"/>
      <c r="AO106" s="409"/>
      <c r="AP106" s="409"/>
      <c r="AQ106" s="409"/>
      <c r="AR106" s="409"/>
      <c r="AS106" s="409"/>
      <c r="AT106" s="409"/>
      <c r="AU106" s="409"/>
      <c r="AV106" s="409"/>
      <c r="AW106" s="409"/>
      <c r="AX106" s="409"/>
      <c r="AY106" s="409"/>
      <c r="AZ106" s="409"/>
      <c r="BA106" s="409"/>
      <c r="BB106" s="409"/>
      <c r="BC106" s="409"/>
      <c r="BD106" s="407"/>
      <c r="BE106" s="444"/>
      <c r="BF106" s="444"/>
      <c r="BG106" s="444"/>
      <c r="BH106" s="444"/>
      <c r="BI106" s="444"/>
      <c r="BJ106" s="444"/>
      <c r="BK106" s="444"/>
      <c r="BL106" s="444"/>
      <c r="BM106" s="444"/>
      <c r="BN106" s="444"/>
      <c r="BO106" s="444"/>
      <c r="BP106" s="444"/>
      <c r="BQ106" s="444"/>
      <c r="BR106" s="444"/>
      <c r="BS106" s="444"/>
      <c r="BT106" s="444"/>
    </row>
    <row r="107" spans="1:72" s="443" customFormat="1" ht="15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409"/>
      <c r="T107" s="409"/>
      <c r="U107" s="409"/>
      <c r="V107" s="409"/>
      <c r="W107" s="392"/>
      <c r="X107" s="392"/>
      <c r="Y107" s="409"/>
      <c r="Z107" s="409"/>
      <c r="AA107" s="392"/>
      <c r="AB107" s="392"/>
      <c r="AC107" s="392"/>
      <c r="AD107" s="409"/>
      <c r="AE107" s="409"/>
      <c r="AF107" s="409"/>
      <c r="AG107" s="409"/>
      <c r="AH107" s="409"/>
      <c r="AI107" s="409"/>
      <c r="AJ107" s="409"/>
      <c r="AK107" s="409"/>
      <c r="AL107" s="409"/>
      <c r="AM107" s="409"/>
      <c r="AN107" s="409"/>
      <c r="AO107" s="409"/>
      <c r="AP107" s="409"/>
      <c r="AQ107" s="409"/>
      <c r="AR107" s="409"/>
      <c r="AS107" s="409"/>
      <c r="AT107" s="409"/>
      <c r="AU107" s="409"/>
      <c r="AV107" s="409"/>
      <c r="AW107" s="409"/>
      <c r="AX107" s="409"/>
      <c r="AY107" s="409"/>
      <c r="AZ107" s="409"/>
      <c r="BA107" s="409"/>
      <c r="BB107" s="409"/>
      <c r="BC107" s="409"/>
      <c r="BD107" s="407"/>
      <c r="BE107" s="444"/>
      <c r="BF107" s="444"/>
      <c r="BG107" s="444"/>
      <c r="BH107" s="444"/>
      <c r="BI107" s="444"/>
      <c r="BJ107" s="444"/>
      <c r="BK107" s="444"/>
      <c r="BL107" s="444"/>
      <c r="BM107" s="444"/>
      <c r="BN107" s="444"/>
      <c r="BO107" s="444"/>
      <c r="BP107" s="444"/>
      <c r="BQ107" s="444"/>
      <c r="BR107" s="444"/>
      <c r="BS107" s="444"/>
      <c r="BT107" s="444"/>
    </row>
    <row r="108" spans="1:72" s="443" customFormat="1" ht="15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392"/>
      <c r="S108" s="409"/>
      <c r="T108" s="409"/>
      <c r="U108" s="409"/>
      <c r="V108" s="409"/>
      <c r="W108" s="392"/>
      <c r="X108" s="392"/>
      <c r="Y108" s="409"/>
      <c r="Z108" s="409"/>
      <c r="AA108" s="392"/>
      <c r="AB108" s="392"/>
      <c r="AC108" s="392"/>
      <c r="AD108" s="409"/>
      <c r="AE108" s="409"/>
      <c r="AF108" s="409"/>
      <c r="AG108" s="409"/>
      <c r="AH108" s="409"/>
      <c r="AI108" s="409"/>
      <c r="AJ108" s="409"/>
      <c r="AK108" s="409"/>
      <c r="AL108" s="409"/>
      <c r="AM108" s="409"/>
      <c r="AN108" s="409"/>
      <c r="AO108" s="409"/>
      <c r="AP108" s="409"/>
      <c r="AQ108" s="409"/>
      <c r="AR108" s="409"/>
      <c r="AS108" s="409"/>
      <c r="AT108" s="409"/>
      <c r="AU108" s="409"/>
      <c r="AV108" s="409"/>
      <c r="AW108" s="409"/>
      <c r="AX108" s="409"/>
      <c r="AY108" s="409"/>
      <c r="AZ108" s="409"/>
      <c r="BA108" s="409"/>
      <c r="BB108" s="409"/>
      <c r="BC108" s="409"/>
      <c r="BD108" s="407"/>
      <c r="BE108" s="444"/>
      <c r="BF108" s="444"/>
      <c r="BG108" s="444"/>
      <c r="BH108" s="444"/>
      <c r="BI108" s="444"/>
      <c r="BJ108" s="444"/>
      <c r="BK108" s="444"/>
      <c r="BL108" s="444"/>
      <c r="BM108" s="444"/>
      <c r="BN108" s="444"/>
      <c r="BO108" s="444"/>
      <c r="BP108" s="444"/>
      <c r="BQ108" s="444"/>
      <c r="BR108" s="444"/>
      <c r="BS108" s="444"/>
      <c r="BT108" s="444"/>
    </row>
    <row r="109" spans="1:72" s="443" customFormat="1" ht="15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  <c r="L109" s="392"/>
      <c r="M109" s="392"/>
      <c r="N109" s="392"/>
      <c r="O109" s="392"/>
      <c r="P109" s="392"/>
      <c r="Q109" s="392"/>
      <c r="R109" s="392"/>
      <c r="S109" s="409"/>
      <c r="T109" s="409"/>
      <c r="U109" s="409"/>
      <c r="V109" s="409"/>
      <c r="W109" s="392"/>
      <c r="X109" s="392"/>
      <c r="Y109" s="409"/>
      <c r="Z109" s="409"/>
      <c r="AA109" s="392"/>
      <c r="AB109" s="392"/>
      <c r="AC109" s="392"/>
      <c r="AD109" s="409"/>
      <c r="AE109" s="409"/>
      <c r="AF109" s="409"/>
      <c r="AG109" s="409"/>
      <c r="AH109" s="409"/>
      <c r="AI109" s="409"/>
      <c r="AJ109" s="409"/>
      <c r="AK109" s="409"/>
      <c r="AL109" s="409"/>
      <c r="AM109" s="409"/>
      <c r="AN109" s="409"/>
      <c r="AO109" s="409"/>
      <c r="AP109" s="409"/>
      <c r="AQ109" s="409"/>
      <c r="AR109" s="409"/>
      <c r="AS109" s="409"/>
      <c r="AT109" s="409"/>
      <c r="AU109" s="409"/>
      <c r="AV109" s="409"/>
      <c r="AW109" s="409"/>
      <c r="AX109" s="409"/>
      <c r="AY109" s="409"/>
      <c r="AZ109" s="409"/>
      <c r="BA109" s="409"/>
      <c r="BB109" s="409"/>
      <c r="BC109" s="409"/>
      <c r="BD109" s="407"/>
      <c r="BE109" s="444"/>
      <c r="BF109" s="444"/>
      <c r="BG109" s="444"/>
      <c r="BH109" s="444"/>
      <c r="BI109" s="444"/>
      <c r="BJ109" s="444"/>
      <c r="BK109" s="444"/>
      <c r="BL109" s="444"/>
      <c r="BM109" s="444"/>
      <c r="BN109" s="444"/>
      <c r="BO109" s="444"/>
      <c r="BP109" s="444"/>
      <c r="BQ109" s="444"/>
      <c r="BR109" s="444"/>
      <c r="BS109" s="444"/>
      <c r="BT109" s="444"/>
    </row>
    <row r="110" spans="1:72" s="443" customFormat="1" ht="15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409"/>
      <c r="T110" s="409"/>
      <c r="U110" s="409"/>
      <c r="V110" s="409"/>
      <c r="W110" s="392"/>
      <c r="X110" s="392"/>
      <c r="Y110" s="409"/>
      <c r="Z110" s="409"/>
      <c r="AA110" s="392"/>
      <c r="AB110" s="392"/>
      <c r="AC110" s="392"/>
      <c r="AD110" s="409"/>
      <c r="AE110" s="409"/>
      <c r="AF110" s="409"/>
      <c r="AG110" s="409"/>
      <c r="AH110" s="409"/>
      <c r="AI110" s="409"/>
      <c r="AJ110" s="409"/>
      <c r="AK110" s="409"/>
      <c r="AL110" s="409"/>
      <c r="AM110" s="409"/>
      <c r="AN110" s="409"/>
      <c r="AO110" s="409"/>
      <c r="AP110" s="409"/>
      <c r="AQ110" s="409"/>
      <c r="AR110" s="409"/>
      <c r="AS110" s="409"/>
      <c r="AT110" s="409"/>
      <c r="AU110" s="409"/>
      <c r="AV110" s="409"/>
      <c r="AW110" s="409"/>
      <c r="AX110" s="409"/>
      <c r="AY110" s="409"/>
      <c r="AZ110" s="409"/>
      <c r="BA110" s="409"/>
      <c r="BB110" s="409"/>
      <c r="BC110" s="409"/>
      <c r="BD110" s="407"/>
      <c r="BE110" s="444"/>
      <c r="BF110" s="444"/>
      <c r="BG110" s="444"/>
      <c r="BH110" s="444"/>
      <c r="BI110" s="444"/>
      <c r="BJ110" s="444"/>
      <c r="BK110" s="444"/>
      <c r="BL110" s="444"/>
      <c r="BM110" s="444"/>
      <c r="BN110" s="444"/>
      <c r="BO110" s="444"/>
      <c r="BP110" s="444"/>
      <c r="BQ110" s="444"/>
      <c r="BR110" s="444"/>
      <c r="BS110" s="444"/>
      <c r="BT110" s="444"/>
    </row>
    <row r="111" spans="1:72" s="443" customFormat="1" ht="15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  <c r="L111" s="392"/>
      <c r="M111" s="392"/>
      <c r="N111" s="392"/>
      <c r="O111" s="392"/>
      <c r="P111" s="392"/>
      <c r="Q111" s="392"/>
      <c r="R111" s="392"/>
      <c r="S111" s="409"/>
      <c r="T111" s="409"/>
      <c r="U111" s="409"/>
      <c r="V111" s="409"/>
      <c r="W111" s="392"/>
      <c r="X111" s="392"/>
      <c r="Y111" s="409"/>
      <c r="Z111" s="409"/>
      <c r="AA111" s="392"/>
      <c r="AB111" s="392"/>
      <c r="AC111" s="392"/>
      <c r="AD111" s="409"/>
      <c r="AE111" s="409"/>
      <c r="AF111" s="409"/>
      <c r="AG111" s="409"/>
      <c r="AH111" s="409"/>
      <c r="AI111" s="409"/>
      <c r="AJ111" s="409"/>
      <c r="AK111" s="409"/>
      <c r="AL111" s="409"/>
      <c r="AM111" s="409"/>
      <c r="AN111" s="409"/>
      <c r="AO111" s="409"/>
      <c r="AP111" s="409"/>
      <c r="AQ111" s="409"/>
      <c r="AR111" s="409"/>
      <c r="AS111" s="409"/>
      <c r="AT111" s="409"/>
      <c r="AU111" s="409"/>
      <c r="AV111" s="409"/>
      <c r="AW111" s="409"/>
      <c r="AX111" s="409"/>
      <c r="AY111" s="409"/>
      <c r="AZ111" s="409"/>
      <c r="BA111" s="409"/>
      <c r="BB111" s="409"/>
      <c r="BC111" s="409"/>
      <c r="BD111" s="407"/>
      <c r="BE111" s="444"/>
      <c r="BF111" s="444"/>
      <c r="BG111" s="444"/>
      <c r="BH111" s="444"/>
      <c r="BI111" s="444"/>
      <c r="BJ111" s="444"/>
      <c r="BK111" s="444"/>
      <c r="BL111" s="444"/>
      <c r="BM111" s="444"/>
      <c r="BN111" s="444"/>
      <c r="BO111" s="444"/>
      <c r="BP111" s="444"/>
      <c r="BQ111" s="444"/>
      <c r="BR111" s="444"/>
      <c r="BS111" s="444"/>
      <c r="BT111" s="444"/>
    </row>
    <row r="112" spans="1:72" s="443" customFormat="1" ht="15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2"/>
      <c r="M112" s="392"/>
      <c r="N112" s="392"/>
      <c r="O112" s="392"/>
      <c r="P112" s="392"/>
      <c r="Q112" s="392"/>
      <c r="R112" s="392"/>
      <c r="S112" s="409"/>
      <c r="T112" s="409"/>
      <c r="U112" s="409"/>
      <c r="V112" s="409"/>
      <c r="W112" s="392"/>
      <c r="X112" s="392"/>
      <c r="Y112" s="409"/>
      <c r="Z112" s="409"/>
      <c r="AA112" s="392"/>
      <c r="AB112" s="392"/>
      <c r="AC112" s="392"/>
      <c r="AD112" s="409"/>
      <c r="AE112" s="409"/>
      <c r="AF112" s="409"/>
      <c r="AG112" s="409"/>
      <c r="AH112" s="409"/>
      <c r="AI112" s="409"/>
      <c r="AJ112" s="409"/>
      <c r="AK112" s="409"/>
      <c r="AL112" s="409"/>
      <c r="AM112" s="409"/>
      <c r="AN112" s="409"/>
      <c r="AO112" s="409"/>
      <c r="AP112" s="409"/>
      <c r="AQ112" s="409"/>
      <c r="AR112" s="409"/>
      <c r="AS112" s="409"/>
      <c r="AT112" s="409"/>
      <c r="AU112" s="409"/>
      <c r="AV112" s="409"/>
      <c r="AW112" s="409"/>
      <c r="AX112" s="409"/>
      <c r="AY112" s="409"/>
      <c r="AZ112" s="409"/>
      <c r="BA112" s="409"/>
      <c r="BB112" s="409"/>
      <c r="BC112" s="409"/>
      <c r="BD112" s="407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4"/>
      <c r="BT112" s="444"/>
    </row>
    <row r="113" spans="1:72" s="443" customFormat="1" ht="15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2"/>
      <c r="P113" s="392"/>
      <c r="Q113" s="392"/>
      <c r="R113" s="392"/>
      <c r="S113" s="409"/>
      <c r="T113" s="409"/>
      <c r="U113" s="409"/>
      <c r="V113" s="409"/>
      <c r="W113" s="392"/>
      <c r="X113" s="392"/>
      <c r="Y113" s="409"/>
      <c r="Z113" s="409"/>
      <c r="AA113" s="392"/>
      <c r="AB113" s="392"/>
      <c r="AC113" s="392"/>
      <c r="AD113" s="409"/>
      <c r="AE113" s="409"/>
      <c r="AF113" s="409"/>
      <c r="AG113" s="409"/>
      <c r="AH113" s="409"/>
      <c r="AI113" s="409"/>
      <c r="AJ113" s="409"/>
      <c r="AK113" s="409"/>
      <c r="AL113" s="409"/>
      <c r="AM113" s="409"/>
      <c r="AN113" s="409"/>
      <c r="AO113" s="409"/>
      <c r="AP113" s="409"/>
      <c r="AQ113" s="409"/>
      <c r="AR113" s="409"/>
      <c r="AS113" s="409"/>
      <c r="AT113" s="409"/>
      <c r="AU113" s="409"/>
      <c r="AV113" s="409"/>
      <c r="AW113" s="409"/>
      <c r="AX113" s="409"/>
      <c r="AY113" s="409"/>
      <c r="AZ113" s="409"/>
      <c r="BA113" s="409"/>
      <c r="BB113" s="409"/>
      <c r="BC113" s="409"/>
      <c r="BD113" s="407"/>
      <c r="BE113" s="444"/>
      <c r="BF113" s="444"/>
      <c r="BG113" s="444"/>
      <c r="BH113" s="444"/>
      <c r="BI113" s="444"/>
      <c r="BJ113" s="444"/>
      <c r="BK113" s="444"/>
      <c r="BL113" s="444"/>
      <c r="BM113" s="444"/>
      <c r="BN113" s="444"/>
      <c r="BO113" s="444"/>
      <c r="BP113" s="444"/>
      <c r="BQ113" s="444"/>
      <c r="BR113" s="444"/>
      <c r="BS113" s="444"/>
      <c r="BT113" s="444"/>
    </row>
    <row r="114" spans="1:72" s="443" customFormat="1" ht="15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2"/>
      <c r="M114" s="392"/>
      <c r="N114" s="392"/>
      <c r="O114" s="392"/>
      <c r="P114" s="392"/>
      <c r="Q114" s="392"/>
      <c r="R114" s="392"/>
      <c r="S114" s="409"/>
      <c r="T114" s="409"/>
      <c r="U114" s="409"/>
      <c r="V114" s="409"/>
      <c r="W114" s="392"/>
      <c r="X114" s="392"/>
      <c r="Y114" s="409"/>
      <c r="Z114" s="409"/>
      <c r="AA114" s="392"/>
      <c r="AB114" s="392"/>
      <c r="AC114" s="392"/>
      <c r="AD114" s="409"/>
      <c r="AE114" s="409"/>
      <c r="AF114" s="409"/>
      <c r="AG114" s="409"/>
      <c r="AH114" s="409"/>
      <c r="AI114" s="409"/>
      <c r="AJ114" s="409"/>
      <c r="AK114" s="409"/>
      <c r="AL114" s="409"/>
      <c r="AM114" s="409"/>
      <c r="AN114" s="409"/>
      <c r="AO114" s="409"/>
      <c r="AP114" s="409"/>
      <c r="AQ114" s="409"/>
      <c r="AR114" s="409"/>
      <c r="AS114" s="409"/>
      <c r="AT114" s="409"/>
      <c r="AU114" s="409"/>
      <c r="AV114" s="409"/>
      <c r="AW114" s="409"/>
      <c r="AX114" s="409"/>
      <c r="AY114" s="409"/>
      <c r="AZ114" s="409"/>
      <c r="BA114" s="409"/>
      <c r="BB114" s="409"/>
      <c r="BC114" s="409"/>
      <c r="BD114" s="407"/>
      <c r="BE114" s="444"/>
      <c r="BF114" s="444"/>
      <c r="BG114" s="444"/>
      <c r="BH114" s="444"/>
      <c r="BI114" s="444"/>
      <c r="BJ114" s="444"/>
      <c r="BK114" s="444"/>
      <c r="BL114" s="444"/>
      <c r="BM114" s="444"/>
      <c r="BN114" s="444"/>
      <c r="BO114" s="444"/>
      <c r="BP114" s="444"/>
      <c r="BQ114" s="444"/>
      <c r="BR114" s="444"/>
      <c r="BS114" s="444"/>
      <c r="BT114" s="444"/>
    </row>
    <row r="115" spans="1:72" s="443" customFormat="1" ht="1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409"/>
      <c r="T115" s="409"/>
      <c r="U115" s="409"/>
      <c r="V115" s="409"/>
      <c r="W115" s="392"/>
      <c r="X115" s="392"/>
      <c r="Y115" s="409"/>
      <c r="Z115" s="409"/>
      <c r="AA115" s="392"/>
      <c r="AB115" s="392"/>
      <c r="AC115" s="392"/>
      <c r="AD115" s="409"/>
      <c r="AE115" s="409"/>
      <c r="AF115" s="409"/>
      <c r="AG115" s="409"/>
      <c r="AH115" s="409"/>
      <c r="AI115" s="409"/>
      <c r="AJ115" s="409"/>
      <c r="AK115" s="409"/>
      <c r="AL115" s="409"/>
      <c r="AM115" s="409"/>
      <c r="AN115" s="409"/>
      <c r="AO115" s="409"/>
      <c r="AP115" s="409"/>
      <c r="AQ115" s="409"/>
      <c r="AR115" s="409"/>
      <c r="AS115" s="409"/>
      <c r="AT115" s="409"/>
      <c r="AU115" s="409"/>
      <c r="AV115" s="409"/>
      <c r="AW115" s="409"/>
      <c r="AX115" s="409"/>
      <c r="AY115" s="409"/>
      <c r="AZ115" s="409"/>
      <c r="BA115" s="409"/>
      <c r="BB115" s="409"/>
      <c r="BC115" s="409"/>
      <c r="BD115" s="407"/>
      <c r="BE115" s="444"/>
      <c r="BF115" s="444"/>
      <c r="BG115" s="444"/>
      <c r="BH115" s="444"/>
      <c r="BI115" s="444"/>
      <c r="BJ115" s="444"/>
      <c r="BK115" s="444"/>
      <c r="BL115" s="444"/>
      <c r="BM115" s="444"/>
      <c r="BN115" s="444"/>
      <c r="BO115" s="444"/>
      <c r="BP115" s="444"/>
      <c r="BQ115" s="444"/>
      <c r="BR115" s="444"/>
      <c r="BS115" s="444"/>
      <c r="BT115" s="444"/>
    </row>
    <row r="116" spans="1:72" s="443" customFormat="1" ht="15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2"/>
      <c r="M116" s="392"/>
      <c r="N116" s="392"/>
      <c r="O116" s="392"/>
      <c r="P116" s="392"/>
      <c r="Q116" s="392"/>
      <c r="R116" s="392"/>
      <c r="S116" s="409"/>
      <c r="T116" s="409"/>
      <c r="U116" s="409"/>
      <c r="V116" s="409"/>
      <c r="W116" s="392"/>
      <c r="X116" s="392"/>
      <c r="Y116" s="409"/>
      <c r="Z116" s="409"/>
      <c r="AA116" s="392"/>
      <c r="AB116" s="392"/>
      <c r="AC116" s="392"/>
      <c r="AD116" s="409"/>
      <c r="AE116" s="409"/>
      <c r="AF116" s="409"/>
      <c r="AG116" s="409"/>
      <c r="AH116" s="409"/>
      <c r="AI116" s="409"/>
      <c r="AJ116" s="409"/>
      <c r="AK116" s="409"/>
      <c r="AL116" s="409"/>
      <c r="AM116" s="409"/>
      <c r="AN116" s="409"/>
      <c r="AO116" s="409"/>
      <c r="AP116" s="409"/>
      <c r="AQ116" s="409"/>
      <c r="AR116" s="409"/>
      <c r="AS116" s="409"/>
      <c r="AT116" s="409"/>
      <c r="AU116" s="409"/>
      <c r="AV116" s="409"/>
      <c r="AW116" s="409"/>
      <c r="AX116" s="409"/>
      <c r="AY116" s="409"/>
      <c r="AZ116" s="409"/>
      <c r="BA116" s="409"/>
      <c r="BB116" s="409"/>
      <c r="BC116" s="409"/>
      <c r="BD116" s="407"/>
      <c r="BE116" s="444"/>
      <c r="BF116" s="444"/>
      <c r="BG116" s="444"/>
      <c r="BH116" s="444"/>
      <c r="BI116" s="444"/>
      <c r="BJ116" s="444"/>
      <c r="BK116" s="444"/>
      <c r="BL116" s="444"/>
      <c r="BM116" s="444"/>
      <c r="BN116" s="444"/>
      <c r="BO116" s="444"/>
      <c r="BP116" s="444"/>
      <c r="BQ116" s="444"/>
      <c r="BR116" s="444"/>
      <c r="BS116" s="444"/>
      <c r="BT116" s="444"/>
    </row>
    <row r="117" spans="1:72" s="443" customFormat="1" ht="15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2"/>
      <c r="M117" s="392"/>
      <c r="N117" s="392"/>
      <c r="O117" s="392"/>
      <c r="P117" s="392"/>
      <c r="Q117" s="392"/>
      <c r="R117" s="392"/>
      <c r="S117" s="409"/>
      <c r="T117" s="409"/>
      <c r="U117" s="409"/>
      <c r="V117" s="409"/>
      <c r="W117" s="392"/>
      <c r="X117" s="392"/>
      <c r="Y117" s="409"/>
      <c r="Z117" s="409"/>
      <c r="AA117" s="392"/>
      <c r="AB117" s="392"/>
      <c r="AC117" s="392"/>
      <c r="AD117" s="409"/>
      <c r="AE117" s="409"/>
      <c r="AF117" s="409"/>
      <c r="AG117" s="409"/>
      <c r="AH117" s="409"/>
      <c r="AI117" s="409"/>
      <c r="AJ117" s="409"/>
      <c r="AK117" s="409"/>
      <c r="AL117" s="409"/>
      <c r="AM117" s="409"/>
      <c r="AN117" s="409"/>
      <c r="AO117" s="409"/>
      <c r="AP117" s="409"/>
      <c r="AQ117" s="409"/>
      <c r="AR117" s="409"/>
      <c r="AS117" s="409"/>
      <c r="AT117" s="409"/>
      <c r="AU117" s="409"/>
      <c r="AV117" s="409"/>
      <c r="AW117" s="409"/>
      <c r="AX117" s="409"/>
      <c r="AY117" s="409"/>
      <c r="AZ117" s="409"/>
      <c r="BA117" s="409"/>
      <c r="BB117" s="409"/>
      <c r="BC117" s="409"/>
      <c r="BD117" s="407"/>
      <c r="BE117" s="444"/>
      <c r="BF117" s="444"/>
      <c r="BG117" s="444"/>
      <c r="BH117" s="444"/>
      <c r="BI117" s="444"/>
      <c r="BJ117" s="444"/>
      <c r="BK117" s="444"/>
      <c r="BL117" s="444"/>
      <c r="BM117" s="444"/>
      <c r="BN117" s="444"/>
      <c r="BO117" s="444"/>
      <c r="BP117" s="444"/>
      <c r="BQ117" s="444"/>
      <c r="BR117" s="444"/>
      <c r="BS117" s="444"/>
      <c r="BT117" s="444"/>
    </row>
    <row r="118" spans="1:72" s="443" customFormat="1" ht="15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2"/>
      <c r="M118" s="392"/>
      <c r="N118" s="392"/>
      <c r="O118" s="392"/>
      <c r="P118" s="392"/>
      <c r="Q118" s="392"/>
      <c r="R118" s="392"/>
      <c r="S118" s="409"/>
      <c r="T118" s="409"/>
      <c r="U118" s="409"/>
      <c r="V118" s="409"/>
      <c r="W118" s="392"/>
      <c r="X118" s="392"/>
      <c r="Y118" s="409"/>
      <c r="Z118" s="409"/>
      <c r="AA118" s="392"/>
      <c r="AB118" s="392"/>
      <c r="AC118" s="392"/>
      <c r="AD118" s="409"/>
      <c r="AE118" s="409"/>
      <c r="AF118" s="409"/>
      <c r="AG118" s="409"/>
      <c r="AH118" s="409"/>
      <c r="AI118" s="409"/>
      <c r="AJ118" s="409"/>
      <c r="AK118" s="409"/>
      <c r="AL118" s="409"/>
      <c r="AM118" s="409"/>
      <c r="AN118" s="409"/>
      <c r="AO118" s="409"/>
      <c r="AP118" s="409"/>
      <c r="AQ118" s="409"/>
      <c r="AR118" s="409"/>
      <c r="AS118" s="409"/>
      <c r="AT118" s="409"/>
      <c r="AU118" s="409"/>
      <c r="AV118" s="409"/>
      <c r="AW118" s="409"/>
      <c r="AX118" s="409"/>
      <c r="AY118" s="409"/>
      <c r="AZ118" s="409"/>
      <c r="BA118" s="409"/>
      <c r="BB118" s="409"/>
      <c r="BC118" s="409"/>
      <c r="BD118" s="407"/>
      <c r="BE118" s="444"/>
      <c r="BF118" s="444"/>
      <c r="BG118" s="444"/>
      <c r="BH118" s="444"/>
      <c r="BI118" s="444"/>
      <c r="BJ118" s="444"/>
      <c r="BK118" s="444"/>
      <c r="BL118" s="444"/>
      <c r="BM118" s="444"/>
      <c r="BN118" s="444"/>
      <c r="BO118" s="444"/>
      <c r="BP118" s="444"/>
      <c r="BQ118" s="444"/>
      <c r="BR118" s="444"/>
      <c r="BS118" s="444"/>
      <c r="BT118" s="444"/>
    </row>
    <row r="119" spans="1:72" s="443" customFormat="1" ht="15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2"/>
      <c r="Q119" s="392"/>
      <c r="R119" s="392"/>
      <c r="S119" s="409"/>
      <c r="T119" s="409"/>
      <c r="U119" s="409"/>
      <c r="V119" s="409"/>
      <c r="W119" s="392"/>
      <c r="X119" s="392"/>
      <c r="Y119" s="409"/>
      <c r="Z119" s="409"/>
      <c r="AA119" s="392"/>
      <c r="AB119" s="392"/>
      <c r="AC119" s="392"/>
      <c r="AD119" s="409"/>
      <c r="AE119" s="409"/>
      <c r="AF119" s="409"/>
      <c r="AG119" s="409"/>
      <c r="AH119" s="409"/>
      <c r="AI119" s="409"/>
      <c r="AJ119" s="409"/>
      <c r="AK119" s="409"/>
      <c r="AL119" s="409"/>
      <c r="AM119" s="409"/>
      <c r="AN119" s="409"/>
      <c r="AO119" s="409"/>
      <c r="AP119" s="409"/>
      <c r="AQ119" s="409"/>
      <c r="AR119" s="409"/>
      <c r="AS119" s="409"/>
      <c r="AT119" s="409"/>
      <c r="AU119" s="409"/>
      <c r="AV119" s="409"/>
      <c r="AW119" s="409"/>
      <c r="AX119" s="409"/>
      <c r="AY119" s="409"/>
      <c r="AZ119" s="409"/>
      <c r="BA119" s="409"/>
      <c r="BB119" s="409"/>
      <c r="BC119" s="409"/>
      <c r="BD119" s="407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</row>
    <row r="120" spans="1:72" s="443" customFormat="1" ht="15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2"/>
      <c r="M120" s="392"/>
      <c r="N120" s="392"/>
      <c r="O120" s="392"/>
      <c r="P120" s="392"/>
      <c r="Q120" s="392"/>
      <c r="R120" s="392"/>
      <c r="S120" s="409"/>
      <c r="T120" s="409"/>
      <c r="U120" s="409"/>
      <c r="V120" s="409"/>
      <c r="W120" s="392"/>
      <c r="X120" s="392"/>
      <c r="Y120" s="409"/>
      <c r="Z120" s="409"/>
      <c r="AA120" s="392"/>
      <c r="AB120" s="392"/>
      <c r="AC120" s="392"/>
      <c r="AD120" s="409"/>
      <c r="AE120" s="409"/>
      <c r="AF120" s="409"/>
      <c r="AG120" s="409"/>
      <c r="AH120" s="409"/>
      <c r="AI120" s="409"/>
      <c r="AJ120" s="409"/>
      <c r="AK120" s="409"/>
      <c r="AL120" s="409"/>
      <c r="AM120" s="409"/>
      <c r="AN120" s="409"/>
      <c r="AO120" s="409"/>
      <c r="AP120" s="409"/>
      <c r="AQ120" s="409"/>
      <c r="AR120" s="409"/>
      <c r="AS120" s="409"/>
      <c r="AT120" s="409"/>
      <c r="AU120" s="409"/>
      <c r="AV120" s="409"/>
      <c r="AW120" s="409"/>
      <c r="AX120" s="409"/>
      <c r="AY120" s="409"/>
      <c r="AZ120" s="409"/>
      <c r="BA120" s="409"/>
      <c r="BB120" s="409"/>
      <c r="BC120" s="409"/>
      <c r="BD120" s="407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</row>
    <row r="121" spans="1:72" s="443" customFormat="1" ht="15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  <c r="S121" s="409"/>
      <c r="T121" s="409"/>
      <c r="U121" s="409"/>
      <c r="V121" s="409"/>
      <c r="W121" s="392"/>
      <c r="X121" s="392"/>
      <c r="Y121" s="409"/>
      <c r="Z121" s="409"/>
      <c r="AA121" s="392"/>
      <c r="AB121" s="392"/>
      <c r="AC121" s="392"/>
      <c r="AD121" s="409"/>
      <c r="AE121" s="409"/>
      <c r="AF121" s="409"/>
      <c r="AG121" s="409"/>
      <c r="AH121" s="409"/>
      <c r="AI121" s="409"/>
      <c r="AJ121" s="409"/>
      <c r="AK121" s="409"/>
      <c r="AL121" s="409"/>
      <c r="AM121" s="409"/>
      <c r="AN121" s="409"/>
      <c r="AO121" s="409"/>
      <c r="AP121" s="409"/>
      <c r="AQ121" s="409"/>
      <c r="AR121" s="409"/>
      <c r="AS121" s="409"/>
      <c r="AT121" s="409"/>
      <c r="AU121" s="409"/>
      <c r="AV121" s="409"/>
      <c r="AW121" s="409"/>
      <c r="AX121" s="409"/>
      <c r="AY121" s="409"/>
      <c r="AZ121" s="409"/>
      <c r="BA121" s="409"/>
      <c r="BB121" s="409"/>
      <c r="BC121" s="409"/>
      <c r="BD121" s="407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</row>
    <row r="122" spans="1:72" s="443" customFormat="1" ht="15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  <c r="Q122" s="392"/>
      <c r="R122" s="392"/>
      <c r="S122" s="409"/>
      <c r="T122" s="409"/>
      <c r="U122" s="409"/>
      <c r="V122" s="409"/>
      <c r="W122" s="392"/>
      <c r="X122" s="392"/>
      <c r="Y122" s="409"/>
      <c r="Z122" s="409"/>
      <c r="AA122" s="392"/>
      <c r="AB122" s="392"/>
      <c r="AC122" s="392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7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</row>
    <row r="123" spans="1:72" s="443" customFormat="1" ht="15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409"/>
      <c r="T123" s="409"/>
      <c r="U123" s="409"/>
      <c r="V123" s="409"/>
      <c r="W123" s="392"/>
      <c r="X123" s="392"/>
      <c r="Y123" s="409"/>
      <c r="Z123" s="409"/>
      <c r="AA123" s="392"/>
      <c r="AB123" s="392"/>
      <c r="AC123" s="392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7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</row>
    <row r="124" spans="1:72" s="443" customFormat="1" ht="15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  <c r="Q124" s="392"/>
      <c r="R124" s="392"/>
      <c r="S124" s="409"/>
      <c r="T124" s="409"/>
      <c r="U124" s="409"/>
      <c r="V124" s="409"/>
      <c r="W124" s="392"/>
      <c r="X124" s="392"/>
      <c r="Y124" s="409"/>
      <c r="Z124" s="409"/>
      <c r="AA124" s="392"/>
      <c r="AB124" s="392"/>
      <c r="AC124" s="392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7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</row>
    <row r="125" spans="1:72" s="443" customFormat="1" ht="1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  <c r="Q125" s="392"/>
      <c r="R125" s="392"/>
      <c r="S125" s="409"/>
      <c r="T125" s="409"/>
      <c r="U125" s="409"/>
      <c r="V125" s="409"/>
      <c r="W125" s="392"/>
      <c r="X125" s="392"/>
      <c r="Y125" s="409"/>
      <c r="Z125" s="409"/>
      <c r="AA125" s="392"/>
      <c r="AB125" s="392"/>
      <c r="AC125" s="392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7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</row>
    <row r="126" spans="1:72" s="443" customFormat="1" ht="15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  <c r="Q126" s="392"/>
      <c r="R126" s="392"/>
      <c r="S126" s="409"/>
      <c r="T126" s="409"/>
      <c r="U126" s="409"/>
      <c r="V126" s="409"/>
      <c r="W126" s="392"/>
      <c r="X126" s="392"/>
      <c r="Y126" s="409"/>
      <c r="Z126" s="409"/>
      <c r="AA126" s="392"/>
      <c r="AB126" s="392"/>
      <c r="AC126" s="392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7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</row>
    <row r="127" spans="1:72" s="443" customFormat="1" ht="15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2"/>
      <c r="M127" s="392"/>
      <c r="N127" s="392"/>
      <c r="O127" s="392"/>
      <c r="P127" s="392"/>
      <c r="Q127" s="392"/>
      <c r="R127" s="392"/>
      <c r="S127" s="409"/>
      <c r="T127" s="409"/>
      <c r="U127" s="409"/>
      <c r="V127" s="409"/>
      <c r="W127" s="392"/>
      <c r="X127" s="392"/>
      <c r="Y127" s="409"/>
      <c r="Z127" s="409"/>
      <c r="AA127" s="392"/>
      <c r="AB127" s="392"/>
      <c r="AC127" s="392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7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</row>
    <row r="128" spans="1:72" s="443" customFormat="1" ht="15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2"/>
      <c r="M128" s="392"/>
      <c r="N128" s="392"/>
      <c r="O128" s="392"/>
      <c r="P128" s="392"/>
      <c r="Q128" s="392"/>
      <c r="R128" s="392"/>
      <c r="S128" s="409"/>
      <c r="T128" s="409"/>
      <c r="U128" s="409"/>
      <c r="V128" s="409"/>
      <c r="W128" s="392"/>
      <c r="X128" s="392"/>
      <c r="Y128" s="409"/>
      <c r="Z128" s="409"/>
      <c r="AA128" s="392"/>
      <c r="AB128" s="392"/>
      <c r="AC128" s="392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7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</row>
    <row r="129" spans="1:72" s="443" customFormat="1" ht="15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2"/>
      <c r="M129" s="392"/>
      <c r="N129" s="392"/>
      <c r="O129" s="392"/>
      <c r="P129" s="392"/>
      <c r="Q129" s="392"/>
      <c r="R129" s="392"/>
      <c r="S129" s="409"/>
      <c r="T129" s="409"/>
      <c r="U129" s="409"/>
      <c r="V129" s="409"/>
      <c r="W129" s="392"/>
      <c r="X129" s="392"/>
      <c r="Y129" s="409"/>
      <c r="Z129" s="409"/>
      <c r="AA129" s="392"/>
      <c r="AB129" s="392"/>
      <c r="AC129" s="392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7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</row>
    <row r="130" spans="1:72" s="443" customFormat="1" ht="15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  <c r="L130" s="392"/>
      <c r="M130" s="392"/>
      <c r="N130" s="392"/>
      <c r="O130" s="392"/>
      <c r="P130" s="392"/>
      <c r="Q130" s="392"/>
      <c r="R130" s="392"/>
      <c r="S130" s="409"/>
      <c r="T130" s="409"/>
      <c r="U130" s="409"/>
      <c r="V130" s="409"/>
      <c r="W130" s="392"/>
      <c r="X130" s="392"/>
      <c r="Y130" s="409"/>
      <c r="Z130" s="409"/>
      <c r="AA130" s="392"/>
      <c r="AB130" s="392"/>
      <c r="AC130" s="392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7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</row>
    <row r="131" spans="1:72" s="443" customFormat="1" ht="15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409"/>
      <c r="T131" s="409"/>
      <c r="U131" s="409"/>
      <c r="V131" s="409"/>
      <c r="W131" s="392"/>
      <c r="X131" s="392"/>
      <c r="Y131" s="409"/>
      <c r="Z131" s="409"/>
      <c r="AA131" s="392"/>
      <c r="AB131" s="392"/>
      <c r="AC131" s="392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7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</row>
    <row r="132" spans="1:72" s="443" customFormat="1" ht="15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  <c r="L132" s="392"/>
      <c r="M132" s="392"/>
      <c r="N132" s="392"/>
      <c r="O132" s="392"/>
      <c r="P132" s="392"/>
      <c r="Q132" s="392"/>
      <c r="R132" s="392"/>
      <c r="S132" s="409"/>
      <c r="T132" s="409"/>
      <c r="U132" s="409"/>
      <c r="V132" s="409"/>
      <c r="W132" s="392"/>
      <c r="X132" s="392"/>
      <c r="Y132" s="409"/>
      <c r="Z132" s="409"/>
      <c r="AA132" s="392"/>
      <c r="AB132" s="392"/>
      <c r="AC132" s="392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7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</row>
    <row r="133" spans="1:72" s="443" customFormat="1" ht="15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  <c r="L133" s="392"/>
      <c r="M133" s="392"/>
      <c r="N133" s="392"/>
      <c r="O133" s="392"/>
      <c r="P133" s="392"/>
      <c r="Q133" s="392"/>
      <c r="R133" s="392"/>
      <c r="S133" s="409"/>
      <c r="T133" s="409"/>
      <c r="U133" s="409"/>
      <c r="V133" s="409"/>
      <c r="W133" s="392"/>
      <c r="X133" s="392"/>
      <c r="Y133" s="409"/>
      <c r="Z133" s="409"/>
      <c r="AA133" s="392"/>
      <c r="AB133" s="392"/>
      <c r="AC133" s="392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7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</row>
    <row r="134" spans="1:72" s="443" customFormat="1" ht="15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  <c r="M134" s="392"/>
      <c r="N134" s="392"/>
      <c r="O134" s="392"/>
      <c r="P134" s="392"/>
      <c r="Q134" s="392"/>
      <c r="R134" s="392"/>
      <c r="S134" s="409"/>
      <c r="T134" s="409"/>
      <c r="U134" s="409"/>
      <c r="V134" s="409"/>
      <c r="W134" s="392"/>
      <c r="X134" s="392"/>
      <c r="Y134" s="409"/>
      <c r="Z134" s="409"/>
      <c r="AA134" s="392"/>
      <c r="AB134" s="392"/>
      <c r="AC134" s="392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7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</row>
    <row r="135" spans="1:72" s="443" customFormat="1" ht="1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  <c r="L135" s="392"/>
      <c r="M135" s="392"/>
      <c r="N135" s="392"/>
      <c r="O135" s="392"/>
      <c r="P135" s="392"/>
      <c r="Q135" s="392"/>
      <c r="R135" s="392"/>
      <c r="S135" s="409"/>
      <c r="T135" s="409"/>
      <c r="U135" s="409"/>
      <c r="V135" s="409"/>
      <c r="W135" s="392"/>
      <c r="X135" s="392"/>
      <c r="Y135" s="409"/>
      <c r="Z135" s="409"/>
      <c r="AA135" s="392"/>
      <c r="AB135" s="392"/>
      <c r="AC135" s="392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7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</row>
    <row r="136" spans="1:72" s="443" customFormat="1" ht="15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  <c r="L136" s="392"/>
      <c r="M136" s="392"/>
      <c r="N136" s="392"/>
      <c r="O136" s="392"/>
      <c r="P136" s="392"/>
      <c r="Q136" s="392"/>
      <c r="R136" s="392"/>
      <c r="S136" s="409"/>
      <c r="T136" s="409"/>
      <c r="U136" s="409"/>
      <c r="V136" s="409"/>
      <c r="W136" s="392"/>
      <c r="X136" s="392"/>
      <c r="Y136" s="409"/>
      <c r="Z136" s="409"/>
      <c r="AA136" s="392"/>
      <c r="AB136" s="392"/>
      <c r="AC136" s="392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7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</row>
    <row r="137" spans="1:72" s="443" customFormat="1" ht="15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  <c r="L137" s="392"/>
      <c r="M137" s="392"/>
      <c r="N137" s="392"/>
      <c r="O137" s="392"/>
      <c r="P137" s="392"/>
      <c r="Q137" s="392"/>
      <c r="R137" s="392"/>
      <c r="S137" s="409"/>
      <c r="T137" s="409"/>
      <c r="U137" s="409"/>
      <c r="V137" s="409"/>
      <c r="W137" s="392"/>
      <c r="X137" s="392"/>
      <c r="Y137" s="409"/>
      <c r="Z137" s="409"/>
      <c r="AA137" s="392"/>
      <c r="AB137" s="392"/>
      <c r="AC137" s="392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7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</row>
    <row r="138" spans="1:72" s="443" customFormat="1" ht="15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  <c r="L138" s="392"/>
      <c r="M138" s="392"/>
      <c r="N138" s="392"/>
      <c r="O138" s="392"/>
      <c r="P138" s="392"/>
      <c r="Q138" s="392"/>
      <c r="R138" s="392"/>
      <c r="S138" s="409"/>
      <c r="T138" s="409"/>
      <c r="U138" s="409"/>
      <c r="V138" s="409"/>
      <c r="W138" s="392"/>
      <c r="X138" s="392"/>
      <c r="Y138" s="409"/>
      <c r="Z138" s="409"/>
      <c r="AA138" s="392"/>
      <c r="AB138" s="392"/>
      <c r="AC138" s="392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7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</row>
    <row r="139" spans="1:72" s="443" customFormat="1" ht="15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  <c r="L139" s="392"/>
      <c r="M139" s="392"/>
      <c r="N139" s="392"/>
      <c r="O139" s="392"/>
      <c r="P139" s="392"/>
      <c r="Q139" s="392"/>
      <c r="R139" s="392"/>
      <c r="S139" s="409"/>
      <c r="T139" s="409"/>
      <c r="U139" s="409"/>
      <c r="V139" s="409"/>
      <c r="W139" s="392"/>
      <c r="X139" s="392"/>
      <c r="Y139" s="409"/>
      <c r="Z139" s="409"/>
      <c r="AA139" s="392"/>
      <c r="AB139" s="392"/>
      <c r="AC139" s="392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7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</row>
    <row r="140" spans="1:72" s="443" customFormat="1" ht="15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  <c r="L140" s="392"/>
      <c r="M140" s="392"/>
      <c r="N140" s="392"/>
      <c r="O140" s="392"/>
      <c r="P140" s="392"/>
      <c r="Q140" s="392"/>
      <c r="R140" s="392"/>
      <c r="S140" s="409"/>
      <c r="T140" s="409"/>
      <c r="U140" s="409"/>
      <c r="V140" s="409"/>
      <c r="W140" s="392"/>
      <c r="X140" s="392"/>
      <c r="Y140" s="409"/>
      <c r="Z140" s="409"/>
      <c r="AA140" s="392"/>
      <c r="AB140" s="392"/>
      <c r="AC140" s="392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7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</row>
    <row r="141" spans="1:72" s="443" customFormat="1" ht="15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2"/>
      <c r="M141" s="392"/>
      <c r="N141" s="392"/>
      <c r="O141" s="392"/>
      <c r="P141" s="392"/>
      <c r="Q141" s="392"/>
      <c r="R141" s="392"/>
      <c r="S141" s="409"/>
      <c r="T141" s="409"/>
      <c r="U141" s="409"/>
      <c r="V141" s="409"/>
      <c r="W141" s="392"/>
      <c r="X141" s="392"/>
      <c r="Y141" s="409"/>
      <c r="Z141" s="409"/>
      <c r="AA141" s="392"/>
      <c r="AB141" s="392"/>
      <c r="AC141" s="392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7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</row>
    <row r="142" spans="1:72" s="443" customFormat="1" ht="15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  <c r="L142" s="392"/>
      <c r="M142" s="392"/>
      <c r="N142" s="392"/>
      <c r="O142" s="392"/>
      <c r="P142" s="392"/>
      <c r="Q142" s="392"/>
      <c r="R142" s="392"/>
      <c r="S142" s="409"/>
      <c r="T142" s="409"/>
      <c r="U142" s="409"/>
      <c r="V142" s="409"/>
      <c r="W142" s="392"/>
      <c r="X142" s="392"/>
      <c r="Y142" s="409"/>
      <c r="Z142" s="409"/>
      <c r="AA142" s="392"/>
      <c r="AB142" s="392"/>
      <c r="AC142" s="392"/>
      <c r="AD142" s="409"/>
      <c r="AE142" s="409"/>
      <c r="AF142" s="409"/>
      <c r="AG142" s="409"/>
      <c r="AH142" s="409"/>
      <c r="AI142" s="409"/>
      <c r="AJ142" s="409"/>
      <c r="AK142" s="409"/>
      <c r="AL142" s="409"/>
      <c r="AM142" s="409"/>
      <c r="AN142" s="409"/>
      <c r="AO142" s="409"/>
      <c r="AP142" s="409"/>
      <c r="AQ142" s="409"/>
      <c r="AR142" s="409"/>
      <c r="AS142" s="409"/>
      <c r="AT142" s="409"/>
      <c r="AU142" s="409"/>
      <c r="AV142" s="409"/>
      <c r="AW142" s="409"/>
      <c r="AX142" s="409"/>
      <c r="AY142" s="409"/>
      <c r="AZ142" s="409"/>
      <c r="BA142" s="409"/>
      <c r="BB142" s="409"/>
      <c r="BC142" s="409"/>
      <c r="BD142" s="407"/>
      <c r="BE142" s="444"/>
      <c r="BF142" s="444"/>
      <c r="BG142" s="444"/>
      <c r="BH142" s="444"/>
      <c r="BI142" s="444"/>
      <c r="BJ142" s="444"/>
      <c r="BK142" s="444"/>
      <c r="BL142" s="444"/>
      <c r="BM142" s="444"/>
      <c r="BN142" s="444"/>
      <c r="BO142" s="444"/>
      <c r="BP142" s="444"/>
      <c r="BQ142" s="444"/>
      <c r="BR142" s="444"/>
      <c r="BS142" s="444"/>
      <c r="BT142" s="444"/>
    </row>
    <row r="143" spans="1:72" s="443" customFormat="1" ht="15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  <c r="L143" s="392"/>
      <c r="M143" s="392"/>
      <c r="N143" s="392"/>
      <c r="O143" s="392"/>
      <c r="P143" s="392"/>
      <c r="Q143" s="392"/>
      <c r="R143" s="392"/>
      <c r="S143" s="409"/>
      <c r="T143" s="409"/>
      <c r="U143" s="409"/>
      <c r="V143" s="409"/>
      <c r="W143" s="392"/>
      <c r="X143" s="392"/>
      <c r="Y143" s="409"/>
      <c r="Z143" s="409"/>
      <c r="AA143" s="392"/>
      <c r="AB143" s="392"/>
      <c r="AC143" s="392"/>
      <c r="AD143" s="409"/>
      <c r="AE143" s="409"/>
      <c r="AF143" s="409"/>
      <c r="AG143" s="409"/>
      <c r="AH143" s="409"/>
      <c r="AI143" s="409"/>
      <c r="AJ143" s="409"/>
      <c r="AK143" s="409"/>
      <c r="AL143" s="409"/>
      <c r="AM143" s="409"/>
      <c r="AN143" s="409"/>
      <c r="AO143" s="409"/>
      <c r="AP143" s="409"/>
      <c r="AQ143" s="409"/>
      <c r="AR143" s="409"/>
      <c r="AS143" s="409"/>
      <c r="AT143" s="409"/>
      <c r="AU143" s="409"/>
      <c r="AV143" s="409"/>
      <c r="AW143" s="409"/>
      <c r="AX143" s="409"/>
      <c r="AY143" s="409"/>
      <c r="AZ143" s="409"/>
      <c r="BA143" s="409"/>
      <c r="BB143" s="409"/>
      <c r="BC143" s="409"/>
      <c r="BD143" s="407"/>
      <c r="BE143" s="444"/>
      <c r="BF143" s="444"/>
      <c r="BG143" s="444"/>
      <c r="BH143" s="444"/>
      <c r="BI143" s="444"/>
      <c r="BJ143" s="444"/>
      <c r="BK143" s="444"/>
      <c r="BL143" s="444"/>
      <c r="BM143" s="444"/>
      <c r="BN143" s="444"/>
      <c r="BO143" s="444"/>
      <c r="BP143" s="444"/>
      <c r="BQ143" s="444"/>
      <c r="BR143" s="444"/>
      <c r="BS143" s="444"/>
      <c r="BT143" s="444"/>
    </row>
    <row r="144" spans="1:72" s="443" customFormat="1" ht="15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392"/>
      <c r="Q144" s="392"/>
      <c r="R144" s="392"/>
      <c r="S144" s="409"/>
      <c r="T144" s="409"/>
      <c r="U144" s="409"/>
      <c r="V144" s="409"/>
      <c r="W144" s="392"/>
      <c r="X144" s="392"/>
      <c r="Y144" s="409"/>
      <c r="Z144" s="409"/>
      <c r="AA144" s="392"/>
      <c r="AB144" s="392"/>
      <c r="AC144" s="392"/>
      <c r="AD144" s="409"/>
      <c r="AE144" s="409"/>
      <c r="AF144" s="409"/>
      <c r="AG144" s="409"/>
      <c r="AH144" s="409"/>
      <c r="AI144" s="409"/>
      <c r="AJ144" s="409"/>
      <c r="AK144" s="409"/>
      <c r="AL144" s="409"/>
      <c r="AM144" s="409"/>
      <c r="AN144" s="409"/>
      <c r="AO144" s="409"/>
      <c r="AP144" s="409"/>
      <c r="AQ144" s="409"/>
      <c r="AR144" s="409"/>
      <c r="AS144" s="409"/>
      <c r="AT144" s="409"/>
      <c r="AU144" s="409"/>
      <c r="AV144" s="409"/>
      <c r="AW144" s="409"/>
      <c r="AX144" s="409"/>
      <c r="AY144" s="409"/>
      <c r="AZ144" s="409"/>
      <c r="BA144" s="409"/>
      <c r="BB144" s="409"/>
      <c r="BC144" s="409"/>
      <c r="BD144" s="407"/>
      <c r="BE144" s="444"/>
      <c r="BF144" s="444"/>
      <c r="BG144" s="444"/>
      <c r="BH144" s="444"/>
      <c r="BI144" s="444"/>
      <c r="BJ144" s="444"/>
      <c r="BK144" s="444"/>
      <c r="BL144" s="444"/>
      <c r="BM144" s="444"/>
      <c r="BN144" s="444"/>
      <c r="BO144" s="444"/>
      <c r="BP144" s="444"/>
      <c r="BQ144" s="444"/>
      <c r="BR144" s="444"/>
      <c r="BS144" s="444"/>
      <c r="BT144" s="444"/>
    </row>
    <row r="145" spans="1:72" s="443" customFormat="1" ht="1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  <c r="L145" s="392"/>
      <c r="M145" s="392"/>
      <c r="N145" s="392"/>
      <c r="O145" s="392"/>
      <c r="P145" s="392"/>
      <c r="Q145" s="392"/>
      <c r="R145" s="392"/>
      <c r="S145" s="409"/>
      <c r="T145" s="409"/>
      <c r="U145" s="409"/>
      <c r="V145" s="409"/>
      <c r="W145" s="392"/>
      <c r="X145" s="392"/>
      <c r="Y145" s="409"/>
      <c r="Z145" s="409"/>
      <c r="AA145" s="392"/>
      <c r="AB145" s="392"/>
      <c r="AC145" s="392"/>
      <c r="AD145" s="409"/>
      <c r="AE145" s="409"/>
      <c r="AF145" s="409"/>
      <c r="AG145" s="409"/>
      <c r="AH145" s="409"/>
      <c r="AI145" s="409"/>
      <c r="AJ145" s="409"/>
      <c r="AK145" s="409"/>
      <c r="AL145" s="409"/>
      <c r="AM145" s="409"/>
      <c r="AN145" s="409"/>
      <c r="AO145" s="409"/>
      <c r="AP145" s="409"/>
      <c r="AQ145" s="409"/>
      <c r="AR145" s="409"/>
      <c r="AS145" s="409"/>
      <c r="AT145" s="409"/>
      <c r="AU145" s="409"/>
      <c r="AV145" s="409"/>
      <c r="AW145" s="409"/>
      <c r="AX145" s="409"/>
      <c r="AY145" s="409"/>
      <c r="AZ145" s="409"/>
      <c r="BA145" s="409"/>
      <c r="BB145" s="409"/>
      <c r="BC145" s="409"/>
      <c r="BD145" s="407"/>
      <c r="BE145" s="444"/>
      <c r="BF145" s="444"/>
      <c r="BG145" s="444"/>
      <c r="BH145" s="444"/>
      <c r="BI145" s="444"/>
      <c r="BJ145" s="444"/>
      <c r="BK145" s="444"/>
      <c r="BL145" s="444"/>
      <c r="BM145" s="444"/>
      <c r="BN145" s="444"/>
      <c r="BO145" s="444"/>
      <c r="BP145" s="444"/>
      <c r="BQ145" s="444"/>
      <c r="BR145" s="444"/>
      <c r="BS145" s="444"/>
      <c r="BT145" s="444"/>
    </row>
    <row r="146" spans="1:72" s="443" customFormat="1" ht="15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  <c r="Q146" s="392"/>
      <c r="R146" s="392"/>
      <c r="S146" s="409"/>
      <c r="T146" s="409"/>
      <c r="U146" s="409"/>
      <c r="V146" s="409"/>
      <c r="W146" s="392"/>
      <c r="X146" s="392"/>
      <c r="Y146" s="409"/>
      <c r="Z146" s="409"/>
      <c r="AA146" s="392"/>
      <c r="AB146" s="392"/>
      <c r="AC146" s="392"/>
      <c r="AD146" s="409"/>
      <c r="AE146" s="409"/>
      <c r="AF146" s="409"/>
      <c r="AG146" s="409"/>
      <c r="AH146" s="409"/>
      <c r="AI146" s="409"/>
      <c r="AJ146" s="409"/>
      <c r="AK146" s="409"/>
      <c r="AL146" s="409"/>
      <c r="AM146" s="409"/>
      <c r="AN146" s="409"/>
      <c r="AO146" s="409"/>
      <c r="AP146" s="409"/>
      <c r="AQ146" s="409"/>
      <c r="AR146" s="409"/>
      <c r="AS146" s="409"/>
      <c r="AT146" s="409"/>
      <c r="AU146" s="409"/>
      <c r="AV146" s="409"/>
      <c r="AW146" s="409"/>
      <c r="AX146" s="409"/>
      <c r="AY146" s="409"/>
      <c r="AZ146" s="409"/>
      <c r="BA146" s="409"/>
      <c r="BB146" s="409"/>
      <c r="BC146" s="409"/>
      <c r="BD146" s="407"/>
      <c r="BE146" s="444"/>
      <c r="BF146" s="444"/>
      <c r="BG146" s="444"/>
      <c r="BH146" s="444"/>
      <c r="BI146" s="444"/>
      <c r="BJ146" s="444"/>
      <c r="BK146" s="444"/>
      <c r="BL146" s="444"/>
      <c r="BM146" s="444"/>
      <c r="BN146" s="444"/>
      <c r="BO146" s="444"/>
      <c r="BP146" s="444"/>
      <c r="BQ146" s="444"/>
      <c r="BR146" s="444"/>
      <c r="BS146" s="444"/>
      <c r="BT146" s="444"/>
    </row>
    <row r="147" spans="1:72" s="443" customFormat="1" ht="15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  <c r="L147" s="392"/>
      <c r="M147" s="392"/>
      <c r="N147" s="392"/>
      <c r="O147" s="392"/>
      <c r="P147" s="392"/>
      <c r="Q147" s="392"/>
      <c r="R147" s="392"/>
      <c r="S147" s="409"/>
      <c r="T147" s="409"/>
      <c r="U147" s="409"/>
      <c r="V147" s="409"/>
      <c r="W147" s="392"/>
      <c r="X147" s="392"/>
      <c r="Y147" s="409"/>
      <c r="Z147" s="409"/>
      <c r="AA147" s="392"/>
      <c r="AB147" s="392"/>
      <c r="AC147" s="392"/>
      <c r="AD147" s="409"/>
      <c r="AE147" s="409"/>
      <c r="AF147" s="409"/>
      <c r="AG147" s="409"/>
      <c r="AH147" s="409"/>
      <c r="AI147" s="409"/>
      <c r="AJ147" s="409"/>
      <c r="AK147" s="409"/>
      <c r="AL147" s="409"/>
      <c r="AM147" s="409"/>
      <c r="AN147" s="409"/>
      <c r="AO147" s="409"/>
      <c r="AP147" s="409"/>
      <c r="AQ147" s="409"/>
      <c r="AR147" s="409"/>
      <c r="AS147" s="409"/>
      <c r="AT147" s="409"/>
      <c r="AU147" s="409"/>
      <c r="AV147" s="409"/>
      <c r="AW147" s="409"/>
      <c r="AX147" s="409"/>
      <c r="AY147" s="409"/>
      <c r="AZ147" s="409"/>
      <c r="BA147" s="409"/>
      <c r="BB147" s="409"/>
      <c r="BC147" s="409"/>
      <c r="BD147" s="407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4"/>
      <c r="BT147" s="444"/>
    </row>
    <row r="148" spans="1:72" s="443" customFormat="1" ht="15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  <c r="L148" s="392"/>
      <c r="M148" s="392"/>
      <c r="N148" s="392"/>
      <c r="O148" s="392"/>
      <c r="P148" s="392"/>
      <c r="Q148" s="392"/>
      <c r="R148" s="392"/>
      <c r="S148" s="409"/>
      <c r="T148" s="409"/>
      <c r="U148" s="409"/>
      <c r="V148" s="409"/>
      <c r="W148" s="392"/>
      <c r="X148" s="392"/>
      <c r="Y148" s="409"/>
      <c r="Z148" s="409"/>
      <c r="AA148" s="392"/>
      <c r="AB148" s="392"/>
      <c r="AC148" s="392"/>
      <c r="AD148" s="409"/>
      <c r="AE148" s="409"/>
      <c r="AF148" s="409"/>
      <c r="AG148" s="409"/>
      <c r="AH148" s="409"/>
      <c r="AI148" s="409"/>
      <c r="AJ148" s="409"/>
      <c r="AK148" s="409"/>
      <c r="AL148" s="409"/>
      <c r="AM148" s="409"/>
      <c r="AN148" s="409"/>
      <c r="AO148" s="409"/>
      <c r="AP148" s="409"/>
      <c r="AQ148" s="409"/>
      <c r="AR148" s="409"/>
      <c r="AS148" s="409"/>
      <c r="AT148" s="409"/>
      <c r="AU148" s="409"/>
      <c r="AV148" s="409"/>
      <c r="AW148" s="409"/>
      <c r="AX148" s="409"/>
      <c r="AY148" s="409"/>
      <c r="AZ148" s="409"/>
      <c r="BA148" s="409"/>
      <c r="BB148" s="409"/>
      <c r="BC148" s="409"/>
      <c r="BD148" s="407"/>
      <c r="BE148" s="444"/>
      <c r="BF148" s="444"/>
      <c r="BG148" s="444"/>
      <c r="BH148" s="444"/>
      <c r="BI148" s="444"/>
      <c r="BJ148" s="444"/>
      <c r="BK148" s="444"/>
      <c r="BL148" s="444"/>
      <c r="BM148" s="444"/>
      <c r="BN148" s="444"/>
      <c r="BO148" s="444"/>
      <c r="BP148" s="444"/>
      <c r="BQ148" s="444"/>
      <c r="BR148" s="444"/>
      <c r="BS148" s="444"/>
      <c r="BT148" s="444"/>
    </row>
    <row r="149" spans="1:72" s="443" customFormat="1" ht="15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  <c r="L149" s="392"/>
      <c r="M149" s="392"/>
      <c r="N149" s="392"/>
      <c r="O149" s="392"/>
      <c r="P149" s="392"/>
      <c r="Q149" s="392"/>
      <c r="R149" s="392"/>
      <c r="S149" s="409"/>
      <c r="T149" s="409"/>
      <c r="U149" s="409"/>
      <c r="V149" s="409"/>
      <c r="W149" s="392"/>
      <c r="X149" s="392"/>
      <c r="Y149" s="409"/>
      <c r="Z149" s="409"/>
      <c r="AA149" s="392"/>
      <c r="AB149" s="392"/>
      <c r="AC149" s="392"/>
      <c r="AD149" s="409"/>
      <c r="AE149" s="409"/>
      <c r="AF149" s="409"/>
      <c r="AG149" s="409"/>
      <c r="AH149" s="409"/>
      <c r="AI149" s="409"/>
      <c r="AJ149" s="409"/>
      <c r="AK149" s="409"/>
      <c r="AL149" s="409"/>
      <c r="AM149" s="409"/>
      <c r="AN149" s="409"/>
      <c r="AO149" s="409"/>
      <c r="AP149" s="409"/>
      <c r="AQ149" s="409"/>
      <c r="AR149" s="409"/>
      <c r="AS149" s="409"/>
      <c r="AT149" s="409"/>
      <c r="AU149" s="409"/>
      <c r="AV149" s="409"/>
      <c r="AW149" s="409"/>
      <c r="AX149" s="409"/>
      <c r="AY149" s="409"/>
      <c r="AZ149" s="409"/>
      <c r="BA149" s="409"/>
      <c r="BB149" s="409"/>
      <c r="BC149" s="409"/>
      <c r="BD149" s="407"/>
      <c r="BE149" s="444"/>
      <c r="BF149" s="444"/>
      <c r="BG149" s="444"/>
      <c r="BH149" s="444"/>
      <c r="BI149" s="444"/>
      <c r="BJ149" s="444"/>
      <c r="BK149" s="444"/>
      <c r="BL149" s="444"/>
      <c r="BM149" s="444"/>
      <c r="BN149" s="444"/>
      <c r="BO149" s="444"/>
      <c r="BP149" s="444"/>
      <c r="BQ149" s="444"/>
      <c r="BR149" s="444"/>
      <c r="BS149" s="444"/>
      <c r="BT149" s="444"/>
    </row>
    <row r="150" spans="1:72" s="443" customFormat="1" ht="15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  <c r="L150" s="392"/>
      <c r="M150" s="392"/>
      <c r="N150" s="392"/>
      <c r="O150" s="392"/>
      <c r="P150" s="392"/>
      <c r="Q150" s="392"/>
      <c r="R150" s="392"/>
      <c r="S150" s="409"/>
      <c r="T150" s="409"/>
      <c r="U150" s="409"/>
      <c r="V150" s="409"/>
      <c r="W150" s="392"/>
      <c r="X150" s="392"/>
      <c r="Y150" s="409"/>
      <c r="Z150" s="409"/>
      <c r="AA150" s="392"/>
      <c r="AB150" s="392"/>
      <c r="AC150" s="392"/>
      <c r="AD150" s="409"/>
      <c r="AE150" s="409"/>
      <c r="AF150" s="409"/>
      <c r="AG150" s="409"/>
      <c r="AH150" s="409"/>
      <c r="AI150" s="409"/>
      <c r="AJ150" s="409"/>
      <c r="AK150" s="409"/>
      <c r="AL150" s="409"/>
      <c r="AM150" s="409"/>
      <c r="AN150" s="409"/>
      <c r="AO150" s="409"/>
      <c r="AP150" s="409"/>
      <c r="AQ150" s="409"/>
      <c r="AR150" s="409"/>
      <c r="AS150" s="409"/>
      <c r="AT150" s="409"/>
      <c r="AU150" s="409"/>
      <c r="AV150" s="409"/>
      <c r="AW150" s="409"/>
      <c r="AX150" s="409"/>
      <c r="AY150" s="409"/>
      <c r="AZ150" s="409"/>
      <c r="BA150" s="409"/>
      <c r="BB150" s="409"/>
      <c r="BC150" s="409"/>
      <c r="BD150" s="407"/>
      <c r="BE150" s="444"/>
      <c r="BF150" s="444"/>
      <c r="BG150" s="444"/>
      <c r="BH150" s="444"/>
      <c r="BI150" s="444"/>
      <c r="BJ150" s="444"/>
      <c r="BK150" s="444"/>
      <c r="BL150" s="444"/>
      <c r="BM150" s="444"/>
      <c r="BN150" s="444"/>
      <c r="BO150" s="444"/>
      <c r="BP150" s="444"/>
      <c r="BQ150" s="444"/>
      <c r="BR150" s="444"/>
      <c r="BS150" s="444"/>
      <c r="BT150" s="444"/>
    </row>
    <row r="151" spans="1:72" s="443" customFormat="1" ht="15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  <c r="L151" s="392"/>
      <c r="M151" s="392"/>
      <c r="N151" s="392"/>
      <c r="O151" s="392"/>
      <c r="P151" s="392"/>
      <c r="Q151" s="392"/>
      <c r="R151" s="392"/>
      <c r="S151" s="409"/>
      <c r="T151" s="409"/>
      <c r="U151" s="409"/>
      <c r="V151" s="409"/>
      <c r="W151" s="392"/>
      <c r="X151" s="392"/>
      <c r="Y151" s="409"/>
      <c r="Z151" s="409"/>
      <c r="AA151" s="392"/>
      <c r="AB151" s="392"/>
      <c r="AC151" s="392"/>
      <c r="AD151" s="409"/>
      <c r="AE151" s="409"/>
      <c r="AF151" s="409"/>
      <c r="AG151" s="409"/>
      <c r="AH151" s="409"/>
      <c r="AI151" s="409"/>
      <c r="AJ151" s="409"/>
      <c r="AK151" s="409"/>
      <c r="AL151" s="409"/>
      <c r="AM151" s="409"/>
      <c r="AN151" s="409"/>
      <c r="AO151" s="409"/>
      <c r="AP151" s="409"/>
      <c r="AQ151" s="409"/>
      <c r="AR151" s="409"/>
      <c r="AS151" s="409"/>
      <c r="AT151" s="409"/>
      <c r="AU151" s="409"/>
      <c r="AV151" s="409"/>
      <c r="AW151" s="409"/>
      <c r="AX151" s="409"/>
      <c r="AY151" s="409"/>
      <c r="AZ151" s="409"/>
      <c r="BA151" s="409"/>
      <c r="BB151" s="409"/>
      <c r="BC151" s="409"/>
      <c r="BD151" s="407"/>
      <c r="BE151" s="444"/>
      <c r="BF151" s="444"/>
      <c r="BG151" s="444"/>
      <c r="BH151" s="444"/>
      <c r="BI151" s="444"/>
      <c r="BJ151" s="444"/>
      <c r="BK151" s="444"/>
      <c r="BL151" s="444"/>
      <c r="BM151" s="444"/>
      <c r="BN151" s="444"/>
      <c r="BO151" s="444"/>
      <c r="BP151" s="444"/>
      <c r="BQ151" s="444"/>
      <c r="BR151" s="444"/>
      <c r="BS151" s="444"/>
      <c r="BT151" s="444"/>
    </row>
    <row r="152" spans="1:72" s="443" customFormat="1" ht="15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2"/>
      <c r="M152" s="392"/>
      <c r="N152" s="392"/>
      <c r="O152" s="392"/>
      <c r="P152" s="392"/>
      <c r="Q152" s="392"/>
      <c r="R152" s="392"/>
      <c r="S152" s="409"/>
      <c r="T152" s="409"/>
      <c r="U152" s="409"/>
      <c r="V152" s="409"/>
      <c r="W152" s="392"/>
      <c r="X152" s="392"/>
      <c r="Y152" s="409"/>
      <c r="Z152" s="409"/>
      <c r="AA152" s="392"/>
      <c r="AB152" s="392"/>
      <c r="AC152" s="392"/>
      <c r="AD152" s="409"/>
      <c r="AE152" s="409"/>
      <c r="AF152" s="409"/>
      <c r="AG152" s="409"/>
      <c r="AH152" s="409"/>
      <c r="AI152" s="409"/>
      <c r="AJ152" s="409"/>
      <c r="AK152" s="409"/>
      <c r="AL152" s="409"/>
      <c r="AM152" s="409"/>
      <c r="AN152" s="409"/>
      <c r="AO152" s="409"/>
      <c r="AP152" s="409"/>
      <c r="AQ152" s="409"/>
      <c r="AR152" s="409"/>
      <c r="AS152" s="409"/>
      <c r="AT152" s="409"/>
      <c r="AU152" s="409"/>
      <c r="AV152" s="409"/>
      <c r="AW152" s="409"/>
      <c r="AX152" s="409"/>
      <c r="AY152" s="409"/>
      <c r="AZ152" s="409"/>
      <c r="BA152" s="409"/>
      <c r="BB152" s="409"/>
      <c r="BC152" s="409"/>
      <c r="BD152" s="407"/>
      <c r="BE152" s="444"/>
      <c r="BF152" s="444"/>
      <c r="BG152" s="444"/>
      <c r="BH152" s="444"/>
      <c r="BI152" s="444"/>
      <c r="BJ152" s="444"/>
      <c r="BK152" s="444"/>
      <c r="BL152" s="444"/>
      <c r="BM152" s="444"/>
      <c r="BN152" s="444"/>
      <c r="BO152" s="444"/>
      <c r="BP152" s="444"/>
      <c r="BQ152" s="444"/>
      <c r="BR152" s="444"/>
      <c r="BS152" s="444"/>
      <c r="BT152" s="444"/>
    </row>
    <row r="153" spans="1:72" s="443" customFormat="1" ht="15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  <c r="L153" s="392"/>
      <c r="M153" s="392"/>
      <c r="N153" s="392"/>
      <c r="O153" s="392"/>
      <c r="P153" s="392"/>
      <c r="Q153" s="392"/>
      <c r="R153" s="392"/>
      <c r="S153" s="409"/>
      <c r="T153" s="409"/>
      <c r="U153" s="409"/>
      <c r="V153" s="409"/>
      <c r="W153" s="392"/>
      <c r="X153" s="392"/>
      <c r="Y153" s="409"/>
      <c r="Z153" s="409"/>
      <c r="AA153" s="392"/>
      <c r="AB153" s="392"/>
      <c r="AC153" s="392"/>
      <c r="AD153" s="409"/>
      <c r="AE153" s="409"/>
      <c r="AF153" s="409"/>
      <c r="AG153" s="409"/>
      <c r="AH153" s="409"/>
      <c r="AI153" s="409"/>
      <c r="AJ153" s="409"/>
      <c r="AK153" s="409"/>
      <c r="AL153" s="409"/>
      <c r="AM153" s="409"/>
      <c r="AN153" s="409"/>
      <c r="AO153" s="409"/>
      <c r="AP153" s="409"/>
      <c r="AQ153" s="409"/>
      <c r="AR153" s="409"/>
      <c r="AS153" s="409"/>
      <c r="AT153" s="409"/>
      <c r="AU153" s="409"/>
      <c r="AV153" s="409"/>
      <c r="AW153" s="409"/>
      <c r="AX153" s="409"/>
      <c r="AY153" s="409"/>
      <c r="AZ153" s="409"/>
      <c r="BA153" s="409"/>
      <c r="BB153" s="409"/>
      <c r="BC153" s="409"/>
      <c r="BD153" s="407"/>
      <c r="BE153" s="444"/>
      <c r="BF153" s="444"/>
      <c r="BG153" s="444"/>
      <c r="BH153" s="444"/>
      <c r="BI153" s="444"/>
      <c r="BJ153" s="444"/>
      <c r="BK153" s="444"/>
      <c r="BL153" s="444"/>
      <c r="BM153" s="444"/>
      <c r="BN153" s="444"/>
      <c r="BO153" s="444"/>
      <c r="BP153" s="444"/>
      <c r="BQ153" s="444"/>
      <c r="BR153" s="444"/>
      <c r="BS153" s="444"/>
      <c r="BT153" s="444"/>
    </row>
    <row r="154" spans="1:72" s="443" customFormat="1" ht="15">
      <c r="A154" s="392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  <c r="L154" s="392"/>
      <c r="M154" s="392"/>
      <c r="N154" s="392"/>
      <c r="O154" s="392"/>
      <c r="P154" s="392"/>
      <c r="Q154" s="392"/>
      <c r="R154" s="392"/>
      <c r="S154" s="409"/>
      <c r="T154" s="409"/>
      <c r="U154" s="409"/>
      <c r="V154" s="409"/>
      <c r="W154" s="392"/>
      <c r="X154" s="392"/>
      <c r="Y154" s="409"/>
      <c r="Z154" s="409"/>
      <c r="AA154" s="392"/>
      <c r="AB154" s="392"/>
      <c r="AC154" s="392"/>
      <c r="AD154" s="409"/>
      <c r="AE154" s="409"/>
      <c r="AF154" s="409"/>
      <c r="AG154" s="409"/>
      <c r="AH154" s="409"/>
      <c r="AI154" s="409"/>
      <c r="AJ154" s="409"/>
      <c r="AK154" s="409"/>
      <c r="AL154" s="409"/>
      <c r="AM154" s="409"/>
      <c r="AN154" s="409"/>
      <c r="AO154" s="409"/>
      <c r="AP154" s="409"/>
      <c r="AQ154" s="409"/>
      <c r="AR154" s="409"/>
      <c r="AS154" s="409"/>
      <c r="AT154" s="409"/>
      <c r="AU154" s="409"/>
      <c r="AV154" s="409"/>
      <c r="AW154" s="409"/>
      <c r="AX154" s="409"/>
      <c r="AY154" s="409"/>
      <c r="AZ154" s="409"/>
      <c r="BA154" s="409"/>
      <c r="BB154" s="409"/>
      <c r="BC154" s="409"/>
      <c r="BD154" s="407"/>
      <c r="BE154" s="444"/>
      <c r="BF154" s="444"/>
      <c r="BG154" s="444"/>
      <c r="BH154" s="444"/>
      <c r="BI154" s="444"/>
      <c r="BJ154" s="444"/>
      <c r="BK154" s="444"/>
      <c r="BL154" s="444"/>
      <c r="BM154" s="444"/>
      <c r="BN154" s="444"/>
      <c r="BO154" s="444"/>
      <c r="BP154" s="444"/>
      <c r="BQ154" s="444"/>
      <c r="BR154" s="444"/>
      <c r="BS154" s="444"/>
      <c r="BT154" s="444"/>
    </row>
    <row r="155" spans="1:72" s="443" customFormat="1" ht="1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  <c r="L155" s="392"/>
      <c r="M155" s="392"/>
      <c r="N155" s="392"/>
      <c r="O155" s="392"/>
      <c r="P155" s="392"/>
      <c r="Q155" s="392"/>
      <c r="R155" s="392"/>
      <c r="S155" s="409"/>
      <c r="T155" s="409"/>
      <c r="U155" s="409"/>
      <c r="V155" s="409"/>
      <c r="W155" s="392"/>
      <c r="X155" s="392"/>
      <c r="Y155" s="409"/>
      <c r="Z155" s="409"/>
      <c r="AA155" s="392"/>
      <c r="AB155" s="392"/>
      <c r="AC155" s="392"/>
      <c r="AD155" s="409"/>
      <c r="AE155" s="409"/>
      <c r="AF155" s="409"/>
      <c r="AG155" s="409"/>
      <c r="AH155" s="409"/>
      <c r="AI155" s="409"/>
      <c r="AJ155" s="409"/>
      <c r="AK155" s="409"/>
      <c r="AL155" s="409"/>
      <c r="AM155" s="409"/>
      <c r="AN155" s="409"/>
      <c r="AO155" s="409"/>
      <c r="AP155" s="409"/>
      <c r="AQ155" s="409"/>
      <c r="AR155" s="409"/>
      <c r="AS155" s="409"/>
      <c r="AT155" s="409"/>
      <c r="AU155" s="409"/>
      <c r="AV155" s="409"/>
      <c r="AW155" s="409"/>
      <c r="AX155" s="409"/>
      <c r="AY155" s="409"/>
      <c r="AZ155" s="409"/>
      <c r="BA155" s="409"/>
      <c r="BB155" s="409"/>
      <c r="BC155" s="409"/>
      <c r="BD155" s="407"/>
      <c r="BE155" s="444"/>
      <c r="BF155" s="444"/>
      <c r="BG155" s="444"/>
      <c r="BH155" s="444"/>
      <c r="BI155" s="444"/>
      <c r="BJ155" s="444"/>
      <c r="BK155" s="444"/>
      <c r="BL155" s="444"/>
      <c r="BM155" s="444"/>
      <c r="BN155" s="444"/>
      <c r="BO155" s="444"/>
      <c r="BP155" s="444"/>
      <c r="BQ155" s="444"/>
      <c r="BR155" s="444"/>
      <c r="BS155" s="444"/>
      <c r="BT155" s="444"/>
    </row>
    <row r="156" spans="1:72" s="443" customFormat="1" ht="15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409"/>
      <c r="T156" s="409"/>
      <c r="U156" s="409"/>
      <c r="V156" s="409"/>
      <c r="W156" s="392"/>
      <c r="X156" s="392"/>
      <c r="Y156" s="409"/>
      <c r="Z156" s="409"/>
      <c r="AA156" s="392"/>
      <c r="AB156" s="392"/>
      <c r="AC156" s="392"/>
      <c r="AD156" s="409"/>
      <c r="AE156" s="409"/>
      <c r="AF156" s="409"/>
      <c r="AG156" s="409"/>
      <c r="AH156" s="409"/>
      <c r="AI156" s="409"/>
      <c r="AJ156" s="409"/>
      <c r="AK156" s="409"/>
      <c r="AL156" s="409"/>
      <c r="AM156" s="409"/>
      <c r="AN156" s="409"/>
      <c r="AO156" s="409"/>
      <c r="AP156" s="409"/>
      <c r="AQ156" s="409"/>
      <c r="AR156" s="409"/>
      <c r="AS156" s="409"/>
      <c r="AT156" s="409"/>
      <c r="AU156" s="409"/>
      <c r="AV156" s="409"/>
      <c r="AW156" s="409"/>
      <c r="AX156" s="409"/>
      <c r="AY156" s="409"/>
      <c r="AZ156" s="409"/>
      <c r="BA156" s="409"/>
      <c r="BB156" s="409"/>
      <c r="BC156" s="409"/>
      <c r="BD156" s="407"/>
      <c r="BE156" s="444"/>
      <c r="BF156" s="444"/>
      <c r="BG156" s="444"/>
      <c r="BH156" s="444"/>
      <c r="BI156" s="444"/>
      <c r="BJ156" s="444"/>
      <c r="BK156" s="444"/>
      <c r="BL156" s="444"/>
      <c r="BM156" s="444"/>
      <c r="BN156" s="444"/>
      <c r="BO156" s="444"/>
      <c r="BP156" s="444"/>
      <c r="BQ156" s="444"/>
      <c r="BR156" s="444"/>
      <c r="BS156" s="444"/>
      <c r="BT156" s="444"/>
    </row>
    <row r="157" spans="1:72" s="443" customFormat="1" ht="15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409"/>
      <c r="T157" s="409"/>
      <c r="U157" s="409"/>
      <c r="V157" s="409"/>
      <c r="W157" s="392"/>
      <c r="X157" s="392"/>
      <c r="Y157" s="409"/>
      <c r="Z157" s="409"/>
      <c r="AA157" s="392"/>
      <c r="AB157" s="392"/>
      <c r="AC157" s="392"/>
      <c r="AD157" s="409"/>
      <c r="AE157" s="409"/>
      <c r="AF157" s="409"/>
      <c r="AG157" s="409"/>
      <c r="AH157" s="409"/>
      <c r="AI157" s="409"/>
      <c r="AJ157" s="409"/>
      <c r="AK157" s="409"/>
      <c r="AL157" s="409"/>
      <c r="AM157" s="409"/>
      <c r="AN157" s="409"/>
      <c r="AO157" s="409"/>
      <c r="AP157" s="409"/>
      <c r="AQ157" s="409"/>
      <c r="AR157" s="409"/>
      <c r="AS157" s="409"/>
      <c r="AT157" s="409"/>
      <c r="AU157" s="409"/>
      <c r="AV157" s="409"/>
      <c r="AW157" s="409"/>
      <c r="AX157" s="409"/>
      <c r="AY157" s="409"/>
      <c r="AZ157" s="409"/>
      <c r="BA157" s="409"/>
      <c r="BB157" s="409"/>
      <c r="BC157" s="409"/>
      <c r="BD157" s="407"/>
      <c r="BE157" s="444"/>
      <c r="BF157" s="444"/>
      <c r="BG157" s="444"/>
      <c r="BH157" s="444"/>
      <c r="BI157" s="444"/>
      <c r="BJ157" s="444"/>
      <c r="BK157" s="444"/>
      <c r="BL157" s="444"/>
      <c r="BM157" s="444"/>
      <c r="BN157" s="444"/>
      <c r="BO157" s="444"/>
      <c r="BP157" s="444"/>
      <c r="BQ157" s="444"/>
      <c r="BR157" s="444"/>
      <c r="BS157" s="444"/>
      <c r="BT157" s="444"/>
    </row>
    <row r="158" spans="1:72" s="443" customFormat="1" ht="15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  <c r="Q158" s="392"/>
      <c r="R158" s="392"/>
      <c r="S158" s="409"/>
      <c r="T158" s="409"/>
      <c r="U158" s="409"/>
      <c r="V158" s="409"/>
      <c r="W158" s="392"/>
      <c r="X158" s="392"/>
      <c r="Y158" s="409"/>
      <c r="Z158" s="409"/>
      <c r="AA158" s="392"/>
      <c r="AB158" s="392"/>
      <c r="AC158" s="392"/>
      <c r="AD158" s="409"/>
      <c r="AE158" s="409"/>
      <c r="AF158" s="409"/>
      <c r="AG158" s="409"/>
      <c r="AH158" s="409"/>
      <c r="AI158" s="409"/>
      <c r="AJ158" s="409"/>
      <c r="AK158" s="409"/>
      <c r="AL158" s="409"/>
      <c r="AM158" s="409"/>
      <c r="AN158" s="409"/>
      <c r="AO158" s="409"/>
      <c r="AP158" s="409"/>
      <c r="AQ158" s="409"/>
      <c r="AR158" s="409"/>
      <c r="AS158" s="409"/>
      <c r="AT158" s="409"/>
      <c r="AU158" s="409"/>
      <c r="AV158" s="409"/>
      <c r="AW158" s="409"/>
      <c r="AX158" s="409"/>
      <c r="AY158" s="409"/>
      <c r="AZ158" s="409"/>
      <c r="BA158" s="409"/>
      <c r="BB158" s="409"/>
      <c r="BC158" s="409"/>
      <c r="BD158" s="407"/>
      <c r="BE158" s="444"/>
      <c r="BF158" s="444"/>
      <c r="BG158" s="444"/>
      <c r="BH158" s="444"/>
      <c r="BI158" s="444"/>
      <c r="BJ158" s="444"/>
      <c r="BK158" s="444"/>
      <c r="BL158" s="444"/>
      <c r="BM158" s="444"/>
      <c r="BN158" s="444"/>
      <c r="BO158" s="444"/>
      <c r="BP158" s="444"/>
      <c r="BQ158" s="444"/>
      <c r="BR158" s="444"/>
      <c r="BS158" s="444"/>
      <c r="BT158" s="444"/>
    </row>
    <row r="159" spans="1:72" s="443" customFormat="1" ht="15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  <c r="L159" s="392"/>
      <c r="M159" s="392"/>
      <c r="N159" s="392"/>
      <c r="O159" s="392"/>
      <c r="P159" s="392"/>
      <c r="Q159" s="392"/>
      <c r="R159" s="392"/>
      <c r="S159" s="409"/>
      <c r="T159" s="409"/>
      <c r="U159" s="409"/>
      <c r="V159" s="409"/>
      <c r="W159" s="392"/>
      <c r="X159" s="392"/>
      <c r="Y159" s="409"/>
      <c r="Z159" s="409"/>
      <c r="AA159" s="392"/>
      <c r="AB159" s="392"/>
      <c r="AC159" s="392"/>
      <c r="AD159" s="409"/>
      <c r="AE159" s="409"/>
      <c r="AF159" s="409"/>
      <c r="AG159" s="409"/>
      <c r="AH159" s="409"/>
      <c r="AI159" s="409"/>
      <c r="AJ159" s="409"/>
      <c r="AK159" s="409"/>
      <c r="AL159" s="409"/>
      <c r="AM159" s="409"/>
      <c r="AN159" s="409"/>
      <c r="AO159" s="409"/>
      <c r="AP159" s="409"/>
      <c r="AQ159" s="409"/>
      <c r="AR159" s="409"/>
      <c r="AS159" s="409"/>
      <c r="AT159" s="409"/>
      <c r="AU159" s="409"/>
      <c r="AV159" s="409"/>
      <c r="AW159" s="409"/>
      <c r="AX159" s="409"/>
      <c r="AY159" s="409"/>
      <c r="AZ159" s="409"/>
      <c r="BA159" s="409"/>
      <c r="BB159" s="409"/>
      <c r="BC159" s="409"/>
      <c r="BD159" s="407"/>
      <c r="BE159" s="444"/>
      <c r="BF159" s="444"/>
      <c r="BG159" s="444"/>
      <c r="BH159" s="444"/>
      <c r="BI159" s="444"/>
      <c r="BJ159" s="444"/>
      <c r="BK159" s="444"/>
      <c r="BL159" s="444"/>
      <c r="BM159" s="444"/>
      <c r="BN159" s="444"/>
      <c r="BO159" s="444"/>
      <c r="BP159" s="444"/>
      <c r="BQ159" s="444"/>
      <c r="BR159" s="444"/>
      <c r="BS159" s="444"/>
      <c r="BT159" s="444"/>
    </row>
    <row r="160" spans="1:72" s="443" customFormat="1" ht="15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  <c r="L160" s="392"/>
      <c r="M160" s="392"/>
      <c r="N160" s="392"/>
      <c r="O160" s="392"/>
      <c r="P160" s="392"/>
      <c r="Q160" s="392"/>
      <c r="R160" s="392"/>
      <c r="S160" s="409"/>
      <c r="T160" s="409"/>
      <c r="U160" s="409"/>
      <c r="V160" s="409"/>
      <c r="W160" s="392"/>
      <c r="X160" s="392"/>
      <c r="Y160" s="409"/>
      <c r="Z160" s="409"/>
      <c r="AA160" s="392"/>
      <c r="AB160" s="392"/>
      <c r="AC160" s="392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7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</row>
    <row r="161" spans="1:72" s="443" customFormat="1" ht="15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  <c r="Q161" s="392"/>
      <c r="R161" s="392"/>
      <c r="S161" s="409"/>
      <c r="T161" s="409"/>
      <c r="U161" s="409"/>
      <c r="V161" s="409"/>
      <c r="W161" s="392"/>
      <c r="X161" s="392"/>
      <c r="Y161" s="409"/>
      <c r="Z161" s="409"/>
      <c r="AA161" s="392"/>
      <c r="AB161" s="392"/>
      <c r="AC161" s="392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7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</row>
    <row r="162" spans="1:72" s="443" customFormat="1" ht="15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  <c r="L162" s="392"/>
      <c r="M162" s="392"/>
      <c r="N162" s="392"/>
      <c r="O162" s="392"/>
      <c r="P162" s="392"/>
      <c r="Q162" s="392"/>
      <c r="R162" s="392"/>
      <c r="S162" s="409"/>
      <c r="T162" s="409"/>
      <c r="U162" s="409"/>
      <c r="V162" s="409"/>
      <c r="W162" s="392"/>
      <c r="X162" s="392"/>
      <c r="Y162" s="409"/>
      <c r="Z162" s="409"/>
      <c r="AA162" s="392"/>
      <c r="AB162" s="392"/>
      <c r="AC162" s="392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7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</row>
    <row r="163" spans="1:72" s="443" customFormat="1" ht="15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  <c r="L163" s="392"/>
      <c r="M163" s="392"/>
      <c r="N163" s="392"/>
      <c r="O163" s="392"/>
      <c r="P163" s="392"/>
      <c r="Q163" s="392"/>
      <c r="R163" s="392"/>
      <c r="S163" s="409"/>
      <c r="T163" s="409"/>
      <c r="U163" s="409"/>
      <c r="V163" s="409"/>
      <c r="W163" s="392"/>
      <c r="X163" s="392"/>
      <c r="Y163" s="409"/>
      <c r="Z163" s="409"/>
      <c r="AA163" s="392"/>
      <c r="AB163" s="392"/>
      <c r="AC163" s="392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7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</row>
    <row r="164" spans="1:72" s="443" customFormat="1" ht="15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  <c r="L164" s="392"/>
      <c r="M164" s="392"/>
      <c r="N164" s="392"/>
      <c r="O164" s="392"/>
      <c r="P164" s="392"/>
      <c r="Q164" s="392"/>
      <c r="R164" s="392"/>
      <c r="S164" s="409"/>
      <c r="T164" s="409"/>
      <c r="U164" s="409"/>
      <c r="V164" s="409"/>
      <c r="W164" s="392"/>
      <c r="X164" s="392"/>
      <c r="Y164" s="409"/>
      <c r="Z164" s="409"/>
      <c r="AA164" s="392"/>
      <c r="AB164" s="392"/>
      <c r="AC164" s="392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7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</row>
    <row r="165" spans="1:72" s="443" customFormat="1" ht="1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  <c r="L165" s="392"/>
      <c r="M165" s="392"/>
      <c r="N165" s="392"/>
      <c r="O165" s="392"/>
      <c r="P165" s="392"/>
      <c r="Q165" s="392"/>
      <c r="R165" s="392"/>
      <c r="S165" s="409"/>
      <c r="T165" s="409"/>
      <c r="U165" s="409"/>
      <c r="V165" s="409"/>
      <c r="W165" s="392"/>
      <c r="X165" s="392"/>
      <c r="Y165" s="409"/>
      <c r="Z165" s="409"/>
      <c r="AA165" s="392"/>
      <c r="AB165" s="392"/>
      <c r="AC165" s="392"/>
      <c r="AD165" s="409"/>
      <c r="AE165" s="409"/>
      <c r="AF165" s="409"/>
      <c r="AG165" s="409"/>
      <c r="AH165" s="409"/>
      <c r="AI165" s="409"/>
      <c r="AJ165" s="409"/>
      <c r="AK165" s="409"/>
      <c r="AL165" s="409"/>
      <c r="AM165" s="409"/>
      <c r="AN165" s="409"/>
      <c r="AO165" s="409"/>
      <c r="AP165" s="409"/>
      <c r="AQ165" s="409"/>
      <c r="AR165" s="409"/>
      <c r="AS165" s="409"/>
      <c r="AT165" s="409"/>
      <c r="AU165" s="409"/>
      <c r="AV165" s="409"/>
      <c r="AW165" s="409"/>
      <c r="AX165" s="409"/>
      <c r="AY165" s="409"/>
      <c r="AZ165" s="409"/>
      <c r="BA165" s="409"/>
      <c r="BB165" s="409"/>
      <c r="BC165" s="409"/>
      <c r="BD165" s="407"/>
      <c r="BE165" s="444"/>
      <c r="BF165" s="444"/>
      <c r="BG165" s="444"/>
      <c r="BH165" s="444"/>
      <c r="BI165" s="444"/>
      <c r="BJ165" s="444"/>
      <c r="BK165" s="444"/>
      <c r="BL165" s="444"/>
      <c r="BM165" s="444"/>
      <c r="BN165" s="444"/>
      <c r="BO165" s="444"/>
      <c r="BP165" s="444"/>
      <c r="BQ165" s="444"/>
      <c r="BR165" s="444"/>
      <c r="BS165" s="444"/>
      <c r="BT165" s="444"/>
    </row>
    <row r="166" spans="1:72" s="443" customFormat="1" ht="15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  <c r="L166" s="392"/>
      <c r="M166" s="392"/>
      <c r="N166" s="392"/>
      <c r="O166" s="392"/>
      <c r="P166" s="392"/>
      <c r="Q166" s="392"/>
      <c r="R166" s="392"/>
      <c r="S166" s="409"/>
      <c r="T166" s="409"/>
      <c r="U166" s="409"/>
      <c r="V166" s="409"/>
      <c r="W166" s="392"/>
      <c r="X166" s="392"/>
      <c r="Y166" s="409"/>
      <c r="Z166" s="409"/>
      <c r="AA166" s="392"/>
      <c r="AB166" s="392"/>
      <c r="AC166" s="392"/>
      <c r="AD166" s="409"/>
      <c r="AE166" s="409"/>
      <c r="AF166" s="409"/>
      <c r="AG166" s="409"/>
      <c r="AH166" s="409"/>
      <c r="AI166" s="409"/>
      <c r="AJ166" s="409"/>
      <c r="AK166" s="409"/>
      <c r="AL166" s="409"/>
      <c r="AM166" s="409"/>
      <c r="AN166" s="409"/>
      <c r="AO166" s="409"/>
      <c r="AP166" s="409"/>
      <c r="AQ166" s="409"/>
      <c r="AR166" s="409"/>
      <c r="AS166" s="409"/>
      <c r="AT166" s="409"/>
      <c r="AU166" s="409"/>
      <c r="AV166" s="409"/>
      <c r="AW166" s="409"/>
      <c r="AX166" s="409"/>
      <c r="AY166" s="409"/>
      <c r="AZ166" s="409"/>
      <c r="BA166" s="409"/>
      <c r="BB166" s="409"/>
      <c r="BC166" s="409"/>
      <c r="BD166" s="407"/>
      <c r="BE166" s="444"/>
      <c r="BF166" s="444"/>
      <c r="BG166" s="444"/>
      <c r="BH166" s="444"/>
      <c r="BI166" s="444"/>
      <c r="BJ166" s="444"/>
      <c r="BK166" s="444"/>
      <c r="BL166" s="444"/>
      <c r="BM166" s="444"/>
      <c r="BN166" s="444"/>
      <c r="BO166" s="444"/>
      <c r="BP166" s="444"/>
      <c r="BQ166" s="444"/>
      <c r="BR166" s="444"/>
      <c r="BS166" s="444"/>
      <c r="BT166" s="444"/>
    </row>
    <row r="167" spans="1:72" s="443" customFormat="1" ht="15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2"/>
      <c r="M167" s="392"/>
      <c r="N167" s="392"/>
      <c r="O167" s="392"/>
      <c r="P167" s="392"/>
      <c r="Q167" s="392"/>
      <c r="R167" s="392"/>
      <c r="S167" s="409"/>
      <c r="T167" s="409"/>
      <c r="U167" s="409"/>
      <c r="V167" s="409"/>
      <c r="W167" s="392"/>
      <c r="X167" s="392"/>
      <c r="Y167" s="409"/>
      <c r="Z167" s="409"/>
      <c r="AA167" s="392"/>
      <c r="AB167" s="392"/>
      <c r="AC167" s="392"/>
      <c r="AD167" s="409"/>
      <c r="AE167" s="409"/>
      <c r="AF167" s="409"/>
      <c r="AG167" s="409"/>
      <c r="AH167" s="409"/>
      <c r="AI167" s="409"/>
      <c r="AJ167" s="409"/>
      <c r="AK167" s="409"/>
      <c r="AL167" s="409"/>
      <c r="AM167" s="409"/>
      <c r="AN167" s="409"/>
      <c r="AO167" s="409"/>
      <c r="AP167" s="409"/>
      <c r="AQ167" s="409"/>
      <c r="AR167" s="409"/>
      <c r="AS167" s="409"/>
      <c r="AT167" s="409"/>
      <c r="AU167" s="409"/>
      <c r="AV167" s="409"/>
      <c r="AW167" s="409"/>
      <c r="AX167" s="409"/>
      <c r="AY167" s="409"/>
      <c r="AZ167" s="409"/>
      <c r="BA167" s="409"/>
      <c r="BB167" s="409"/>
      <c r="BC167" s="409"/>
      <c r="BD167" s="407"/>
      <c r="BE167" s="444"/>
      <c r="BF167" s="444"/>
      <c r="BG167" s="444"/>
      <c r="BH167" s="444"/>
      <c r="BI167" s="444"/>
      <c r="BJ167" s="444"/>
      <c r="BK167" s="444"/>
      <c r="BL167" s="444"/>
      <c r="BM167" s="444"/>
      <c r="BN167" s="444"/>
      <c r="BO167" s="444"/>
      <c r="BP167" s="444"/>
      <c r="BQ167" s="444"/>
      <c r="BR167" s="444"/>
      <c r="BS167" s="444"/>
      <c r="BT167" s="444"/>
    </row>
    <row r="168" spans="1:72" s="443" customFormat="1" ht="15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  <c r="L168" s="392"/>
      <c r="M168" s="392"/>
      <c r="N168" s="392"/>
      <c r="O168" s="392"/>
      <c r="P168" s="392"/>
      <c r="Q168" s="392"/>
      <c r="R168" s="392"/>
      <c r="S168" s="409"/>
      <c r="T168" s="409"/>
      <c r="U168" s="409"/>
      <c r="V168" s="409"/>
      <c r="W168" s="392"/>
      <c r="X168" s="392"/>
      <c r="Y168" s="409"/>
      <c r="Z168" s="409"/>
      <c r="AA168" s="392"/>
      <c r="AB168" s="392"/>
      <c r="AC168" s="392"/>
      <c r="AD168" s="409"/>
      <c r="AE168" s="409"/>
      <c r="AF168" s="409"/>
      <c r="AG168" s="409"/>
      <c r="AH168" s="409"/>
      <c r="AI168" s="409"/>
      <c r="AJ168" s="409"/>
      <c r="AK168" s="409"/>
      <c r="AL168" s="409"/>
      <c r="AM168" s="409"/>
      <c r="AN168" s="409"/>
      <c r="AO168" s="409"/>
      <c r="AP168" s="409"/>
      <c r="AQ168" s="409"/>
      <c r="AR168" s="409"/>
      <c r="AS168" s="409"/>
      <c r="AT168" s="409"/>
      <c r="AU168" s="409"/>
      <c r="AV168" s="409"/>
      <c r="AW168" s="409"/>
      <c r="AX168" s="409"/>
      <c r="AY168" s="409"/>
      <c r="AZ168" s="409"/>
      <c r="BA168" s="409"/>
      <c r="BB168" s="409"/>
      <c r="BC168" s="409"/>
      <c r="BD168" s="407"/>
      <c r="BE168" s="444"/>
      <c r="BF168" s="444"/>
      <c r="BG168" s="444"/>
      <c r="BH168" s="444"/>
      <c r="BI168" s="444"/>
      <c r="BJ168" s="444"/>
      <c r="BK168" s="444"/>
      <c r="BL168" s="444"/>
      <c r="BM168" s="444"/>
      <c r="BN168" s="444"/>
      <c r="BO168" s="444"/>
      <c r="BP168" s="444"/>
      <c r="BQ168" s="444"/>
      <c r="BR168" s="444"/>
      <c r="BS168" s="444"/>
      <c r="BT168" s="444"/>
    </row>
    <row r="169" spans="1:72" s="443" customFormat="1" ht="15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  <c r="L169" s="392"/>
      <c r="M169" s="392"/>
      <c r="N169" s="392"/>
      <c r="O169" s="392"/>
      <c r="P169" s="392"/>
      <c r="Q169" s="392"/>
      <c r="R169" s="392"/>
      <c r="S169" s="409"/>
      <c r="T169" s="409"/>
      <c r="U169" s="409"/>
      <c r="V169" s="409"/>
      <c r="W169" s="392"/>
      <c r="X169" s="392"/>
      <c r="Y169" s="409"/>
      <c r="Z169" s="409"/>
      <c r="AA169" s="392"/>
      <c r="AB169" s="392"/>
      <c r="AC169" s="392"/>
      <c r="AD169" s="409"/>
      <c r="AE169" s="409"/>
      <c r="AF169" s="409"/>
      <c r="AG169" s="409"/>
      <c r="AH169" s="409"/>
      <c r="AI169" s="409"/>
      <c r="AJ169" s="409"/>
      <c r="AK169" s="409"/>
      <c r="AL169" s="409"/>
      <c r="AM169" s="409"/>
      <c r="AN169" s="409"/>
      <c r="AO169" s="409"/>
      <c r="AP169" s="409"/>
      <c r="AQ169" s="409"/>
      <c r="AR169" s="409"/>
      <c r="AS169" s="409"/>
      <c r="AT169" s="409"/>
      <c r="AU169" s="409"/>
      <c r="AV169" s="409"/>
      <c r="AW169" s="409"/>
      <c r="AX169" s="409"/>
      <c r="AY169" s="409"/>
      <c r="AZ169" s="409"/>
      <c r="BA169" s="409"/>
      <c r="BB169" s="409"/>
      <c r="BC169" s="409"/>
      <c r="BD169" s="407"/>
      <c r="BE169" s="444"/>
      <c r="BF169" s="444"/>
      <c r="BG169" s="444"/>
      <c r="BH169" s="444"/>
      <c r="BI169" s="444"/>
      <c r="BJ169" s="444"/>
      <c r="BK169" s="444"/>
      <c r="BL169" s="444"/>
      <c r="BM169" s="444"/>
      <c r="BN169" s="444"/>
      <c r="BO169" s="444"/>
      <c r="BP169" s="444"/>
      <c r="BQ169" s="444"/>
      <c r="BR169" s="444"/>
      <c r="BS169" s="444"/>
      <c r="BT169" s="444"/>
    </row>
    <row r="170" spans="1:72" s="443" customFormat="1" ht="15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  <c r="L170" s="392"/>
      <c r="M170" s="392"/>
      <c r="N170" s="392"/>
      <c r="O170" s="392"/>
      <c r="P170" s="392"/>
      <c r="Q170" s="392"/>
      <c r="R170" s="392"/>
      <c r="S170" s="409"/>
      <c r="T170" s="409"/>
      <c r="U170" s="409"/>
      <c r="V170" s="409"/>
      <c r="W170" s="392"/>
      <c r="X170" s="392"/>
      <c r="Y170" s="409"/>
      <c r="Z170" s="409"/>
      <c r="AA170" s="392"/>
      <c r="AB170" s="392"/>
      <c r="AC170" s="392"/>
      <c r="AD170" s="409"/>
      <c r="AE170" s="409"/>
      <c r="AF170" s="409"/>
      <c r="AG170" s="409"/>
      <c r="AH170" s="409"/>
      <c r="AI170" s="409"/>
      <c r="AJ170" s="409"/>
      <c r="AK170" s="409"/>
      <c r="AL170" s="409"/>
      <c r="AM170" s="409"/>
      <c r="AN170" s="409"/>
      <c r="AO170" s="409"/>
      <c r="AP170" s="409"/>
      <c r="AQ170" s="409"/>
      <c r="AR170" s="409"/>
      <c r="AS170" s="409"/>
      <c r="AT170" s="409"/>
      <c r="AU170" s="409"/>
      <c r="AV170" s="409"/>
      <c r="AW170" s="409"/>
      <c r="AX170" s="409"/>
      <c r="AY170" s="409"/>
      <c r="AZ170" s="409"/>
      <c r="BA170" s="409"/>
      <c r="BB170" s="409"/>
      <c r="BC170" s="409"/>
      <c r="BD170" s="407"/>
      <c r="BE170" s="444"/>
      <c r="BF170" s="444"/>
      <c r="BG170" s="444"/>
      <c r="BH170" s="444"/>
      <c r="BI170" s="444"/>
      <c r="BJ170" s="444"/>
      <c r="BK170" s="444"/>
      <c r="BL170" s="444"/>
      <c r="BM170" s="444"/>
      <c r="BN170" s="444"/>
      <c r="BO170" s="444"/>
      <c r="BP170" s="444"/>
      <c r="BQ170" s="444"/>
      <c r="BR170" s="444"/>
      <c r="BS170" s="444"/>
      <c r="BT170" s="444"/>
    </row>
    <row r="171" spans="1:72" s="443" customFormat="1" ht="15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  <c r="L171" s="392"/>
      <c r="M171" s="392"/>
      <c r="N171" s="392"/>
      <c r="O171" s="392"/>
      <c r="P171" s="392"/>
      <c r="Q171" s="392"/>
      <c r="R171" s="392"/>
      <c r="S171" s="409"/>
      <c r="T171" s="409"/>
      <c r="U171" s="409"/>
      <c r="V171" s="409"/>
      <c r="W171" s="392"/>
      <c r="X171" s="392"/>
      <c r="Y171" s="409"/>
      <c r="Z171" s="409"/>
      <c r="AA171" s="392"/>
      <c r="AB171" s="392"/>
      <c r="AC171" s="392"/>
      <c r="AD171" s="409"/>
      <c r="AE171" s="409"/>
      <c r="AF171" s="409"/>
      <c r="AG171" s="409"/>
      <c r="AH171" s="409"/>
      <c r="AI171" s="409"/>
      <c r="AJ171" s="409"/>
      <c r="AK171" s="409"/>
      <c r="AL171" s="409"/>
      <c r="AM171" s="409"/>
      <c r="AN171" s="409"/>
      <c r="AO171" s="409"/>
      <c r="AP171" s="409"/>
      <c r="AQ171" s="409"/>
      <c r="AR171" s="409"/>
      <c r="AS171" s="409"/>
      <c r="AT171" s="409"/>
      <c r="AU171" s="409"/>
      <c r="AV171" s="409"/>
      <c r="AW171" s="409"/>
      <c r="AX171" s="409"/>
      <c r="AY171" s="409"/>
      <c r="AZ171" s="409"/>
      <c r="BA171" s="409"/>
      <c r="BB171" s="409"/>
      <c r="BC171" s="409"/>
      <c r="BD171" s="407"/>
      <c r="BE171" s="444"/>
      <c r="BF171" s="444"/>
      <c r="BG171" s="444"/>
      <c r="BH171" s="444"/>
      <c r="BI171" s="444"/>
      <c r="BJ171" s="444"/>
      <c r="BK171" s="444"/>
      <c r="BL171" s="444"/>
      <c r="BM171" s="444"/>
      <c r="BN171" s="444"/>
      <c r="BO171" s="444"/>
      <c r="BP171" s="444"/>
      <c r="BQ171" s="444"/>
      <c r="BR171" s="444"/>
      <c r="BS171" s="444"/>
      <c r="BT171" s="444"/>
    </row>
    <row r="172" spans="1:72" s="443" customFormat="1" ht="15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  <c r="L172" s="392"/>
      <c r="M172" s="392"/>
      <c r="N172" s="392"/>
      <c r="O172" s="392"/>
      <c r="P172" s="392"/>
      <c r="Q172" s="392"/>
      <c r="R172" s="392"/>
      <c r="S172" s="409"/>
      <c r="T172" s="409"/>
      <c r="U172" s="409"/>
      <c r="V172" s="409"/>
      <c r="W172" s="392"/>
      <c r="X172" s="392"/>
      <c r="Y172" s="409"/>
      <c r="Z172" s="409"/>
      <c r="AA172" s="392"/>
      <c r="AB172" s="392"/>
      <c r="AC172" s="392"/>
      <c r="AD172" s="409"/>
      <c r="AE172" s="409"/>
      <c r="AF172" s="409"/>
      <c r="AG172" s="409"/>
      <c r="AH172" s="409"/>
      <c r="AI172" s="409"/>
      <c r="AJ172" s="409"/>
      <c r="AK172" s="409"/>
      <c r="AL172" s="409"/>
      <c r="AM172" s="409"/>
      <c r="AN172" s="409"/>
      <c r="AO172" s="409"/>
      <c r="AP172" s="409"/>
      <c r="AQ172" s="409"/>
      <c r="AR172" s="409"/>
      <c r="AS172" s="409"/>
      <c r="AT172" s="409"/>
      <c r="AU172" s="409"/>
      <c r="AV172" s="409"/>
      <c r="AW172" s="409"/>
      <c r="AX172" s="409"/>
      <c r="AY172" s="409"/>
      <c r="AZ172" s="409"/>
      <c r="BA172" s="409"/>
      <c r="BB172" s="409"/>
      <c r="BC172" s="409"/>
      <c r="BD172" s="407"/>
      <c r="BE172" s="444"/>
      <c r="BF172" s="444"/>
      <c r="BG172" s="444"/>
      <c r="BH172" s="444"/>
      <c r="BI172" s="444"/>
      <c r="BJ172" s="444"/>
      <c r="BK172" s="444"/>
      <c r="BL172" s="444"/>
      <c r="BM172" s="444"/>
      <c r="BN172" s="444"/>
      <c r="BO172" s="444"/>
      <c r="BP172" s="444"/>
      <c r="BQ172" s="444"/>
      <c r="BR172" s="444"/>
      <c r="BS172" s="444"/>
      <c r="BT172" s="444"/>
    </row>
    <row r="173" spans="1:72" s="443" customFormat="1" ht="15">
      <c r="A173" s="392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  <c r="L173" s="392"/>
      <c r="M173" s="392"/>
      <c r="N173" s="392"/>
      <c r="O173" s="392"/>
      <c r="P173" s="392"/>
      <c r="Q173" s="392"/>
      <c r="R173" s="392"/>
      <c r="S173" s="409"/>
      <c r="T173" s="409"/>
      <c r="U173" s="409"/>
      <c r="V173" s="409"/>
      <c r="W173" s="392"/>
      <c r="X173" s="392"/>
      <c r="Y173" s="409"/>
      <c r="Z173" s="409"/>
      <c r="AA173" s="392"/>
      <c r="AB173" s="392"/>
      <c r="AC173" s="392"/>
      <c r="AD173" s="409"/>
      <c r="AE173" s="409"/>
      <c r="AF173" s="409"/>
      <c r="AG173" s="409"/>
      <c r="AH173" s="409"/>
      <c r="AI173" s="409"/>
      <c r="AJ173" s="409"/>
      <c r="AK173" s="409"/>
      <c r="AL173" s="409"/>
      <c r="AM173" s="409"/>
      <c r="AN173" s="409"/>
      <c r="AO173" s="409"/>
      <c r="AP173" s="409"/>
      <c r="AQ173" s="409"/>
      <c r="AR173" s="409"/>
      <c r="AS173" s="409"/>
      <c r="AT173" s="409"/>
      <c r="AU173" s="409"/>
      <c r="AV173" s="409"/>
      <c r="AW173" s="409"/>
      <c r="AX173" s="409"/>
      <c r="AY173" s="409"/>
      <c r="AZ173" s="409"/>
      <c r="BA173" s="409"/>
      <c r="BB173" s="409"/>
      <c r="BC173" s="409"/>
      <c r="BD173" s="407"/>
      <c r="BE173" s="444"/>
      <c r="BF173" s="444"/>
      <c r="BG173" s="444"/>
      <c r="BH173" s="444"/>
      <c r="BI173" s="444"/>
      <c r="BJ173" s="444"/>
      <c r="BK173" s="444"/>
      <c r="BL173" s="444"/>
      <c r="BM173" s="444"/>
      <c r="BN173" s="444"/>
      <c r="BO173" s="444"/>
      <c r="BP173" s="444"/>
      <c r="BQ173" s="444"/>
      <c r="BR173" s="444"/>
      <c r="BS173" s="444"/>
      <c r="BT173" s="444"/>
    </row>
    <row r="174" spans="1:72" s="443" customFormat="1" ht="15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  <c r="L174" s="392"/>
      <c r="M174" s="392"/>
      <c r="N174" s="392"/>
      <c r="O174" s="392"/>
      <c r="P174" s="392"/>
      <c r="Q174" s="392"/>
      <c r="R174" s="392"/>
      <c r="S174" s="409"/>
      <c r="T174" s="409"/>
      <c r="U174" s="409"/>
      <c r="V174" s="409"/>
      <c r="W174" s="392"/>
      <c r="X174" s="392"/>
      <c r="Y174" s="409"/>
      <c r="Z174" s="409"/>
      <c r="AA174" s="392"/>
      <c r="AB174" s="392"/>
      <c r="AC174" s="392"/>
      <c r="AD174" s="409"/>
      <c r="AE174" s="409"/>
      <c r="AF174" s="409"/>
      <c r="AG174" s="409"/>
      <c r="AH174" s="409"/>
      <c r="AI174" s="409"/>
      <c r="AJ174" s="409"/>
      <c r="AK174" s="409"/>
      <c r="AL174" s="409"/>
      <c r="AM174" s="409"/>
      <c r="AN174" s="409"/>
      <c r="AO174" s="409"/>
      <c r="AP174" s="409"/>
      <c r="AQ174" s="409"/>
      <c r="AR174" s="409"/>
      <c r="AS174" s="409"/>
      <c r="AT174" s="409"/>
      <c r="AU174" s="409"/>
      <c r="AV174" s="409"/>
      <c r="AW174" s="409"/>
      <c r="AX174" s="409"/>
      <c r="AY174" s="409"/>
      <c r="AZ174" s="409"/>
      <c r="BA174" s="409"/>
      <c r="BB174" s="409"/>
      <c r="BC174" s="409"/>
      <c r="BD174" s="407"/>
      <c r="BE174" s="444"/>
      <c r="BF174" s="444"/>
      <c r="BG174" s="444"/>
      <c r="BH174" s="444"/>
      <c r="BI174" s="444"/>
      <c r="BJ174" s="444"/>
      <c r="BK174" s="444"/>
      <c r="BL174" s="444"/>
      <c r="BM174" s="444"/>
      <c r="BN174" s="444"/>
      <c r="BO174" s="444"/>
      <c r="BP174" s="444"/>
      <c r="BQ174" s="444"/>
      <c r="BR174" s="444"/>
      <c r="BS174" s="444"/>
      <c r="BT174" s="444"/>
    </row>
    <row r="175" spans="1:72" s="443" customFormat="1" ht="1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  <c r="L175" s="392"/>
      <c r="M175" s="392"/>
      <c r="N175" s="392"/>
      <c r="O175" s="392"/>
      <c r="P175" s="392"/>
      <c r="Q175" s="392"/>
      <c r="R175" s="392"/>
      <c r="S175" s="409"/>
      <c r="T175" s="409"/>
      <c r="U175" s="409"/>
      <c r="V175" s="409"/>
      <c r="W175" s="392"/>
      <c r="X175" s="392"/>
      <c r="Y175" s="409"/>
      <c r="Z175" s="409"/>
      <c r="AA175" s="392"/>
      <c r="AB175" s="392"/>
      <c r="AC175" s="392"/>
      <c r="AD175" s="409"/>
      <c r="AE175" s="409"/>
      <c r="AF175" s="409"/>
      <c r="AG175" s="409"/>
      <c r="AH175" s="409"/>
      <c r="AI175" s="409"/>
      <c r="AJ175" s="409"/>
      <c r="AK175" s="409"/>
      <c r="AL175" s="409"/>
      <c r="AM175" s="409"/>
      <c r="AN175" s="409"/>
      <c r="AO175" s="409"/>
      <c r="AP175" s="409"/>
      <c r="AQ175" s="409"/>
      <c r="AR175" s="409"/>
      <c r="AS175" s="409"/>
      <c r="AT175" s="409"/>
      <c r="AU175" s="409"/>
      <c r="AV175" s="409"/>
      <c r="AW175" s="409"/>
      <c r="AX175" s="409"/>
      <c r="AY175" s="409"/>
      <c r="AZ175" s="409"/>
      <c r="BA175" s="409"/>
      <c r="BB175" s="409"/>
      <c r="BC175" s="409"/>
      <c r="BD175" s="407"/>
      <c r="BE175" s="444"/>
      <c r="BF175" s="444"/>
      <c r="BG175" s="444"/>
      <c r="BH175" s="444"/>
      <c r="BI175" s="444"/>
      <c r="BJ175" s="444"/>
      <c r="BK175" s="444"/>
      <c r="BL175" s="444"/>
      <c r="BM175" s="444"/>
      <c r="BN175" s="444"/>
      <c r="BO175" s="444"/>
      <c r="BP175" s="444"/>
      <c r="BQ175" s="444"/>
      <c r="BR175" s="444"/>
      <c r="BS175" s="444"/>
      <c r="BT175" s="444"/>
    </row>
    <row r="176" spans="1:72" s="443" customFormat="1" ht="15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392"/>
      <c r="R176" s="392"/>
      <c r="S176" s="409"/>
      <c r="T176" s="409"/>
      <c r="U176" s="409"/>
      <c r="V176" s="409"/>
      <c r="W176" s="392"/>
      <c r="X176" s="392"/>
      <c r="Y176" s="409"/>
      <c r="Z176" s="409"/>
      <c r="AA176" s="392"/>
      <c r="AB176" s="392"/>
      <c r="AC176" s="392"/>
      <c r="AD176" s="409"/>
      <c r="AE176" s="409"/>
      <c r="AF176" s="409"/>
      <c r="AG176" s="409"/>
      <c r="AH176" s="409"/>
      <c r="AI176" s="409"/>
      <c r="AJ176" s="409"/>
      <c r="AK176" s="409"/>
      <c r="AL176" s="409"/>
      <c r="AM176" s="409"/>
      <c r="AN176" s="409"/>
      <c r="AO176" s="409"/>
      <c r="AP176" s="409"/>
      <c r="AQ176" s="409"/>
      <c r="AR176" s="409"/>
      <c r="AS176" s="409"/>
      <c r="AT176" s="409"/>
      <c r="AU176" s="409"/>
      <c r="AV176" s="409"/>
      <c r="AW176" s="409"/>
      <c r="AX176" s="409"/>
      <c r="AY176" s="409"/>
      <c r="AZ176" s="409"/>
      <c r="BA176" s="409"/>
      <c r="BB176" s="409"/>
      <c r="BC176" s="409"/>
      <c r="BD176" s="407"/>
      <c r="BE176" s="444"/>
      <c r="BF176" s="444"/>
      <c r="BG176" s="444"/>
      <c r="BH176" s="444"/>
      <c r="BI176" s="444"/>
      <c r="BJ176" s="444"/>
      <c r="BK176" s="444"/>
      <c r="BL176" s="444"/>
      <c r="BM176" s="444"/>
      <c r="BN176" s="444"/>
      <c r="BO176" s="444"/>
      <c r="BP176" s="444"/>
      <c r="BQ176" s="444"/>
      <c r="BR176" s="444"/>
      <c r="BS176" s="444"/>
      <c r="BT176" s="444"/>
    </row>
    <row r="177" spans="1:72" s="443" customFormat="1" ht="15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  <c r="L177" s="392"/>
      <c r="M177" s="392"/>
      <c r="N177" s="392"/>
      <c r="O177" s="392"/>
      <c r="P177" s="392"/>
      <c r="Q177" s="392"/>
      <c r="R177" s="392"/>
      <c r="S177" s="409"/>
      <c r="T177" s="409"/>
      <c r="U177" s="409"/>
      <c r="V177" s="409"/>
      <c r="W177" s="392"/>
      <c r="X177" s="392"/>
      <c r="Y177" s="409"/>
      <c r="Z177" s="409"/>
      <c r="AA177" s="392"/>
      <c r="AB177" s="392"/>
      <c r="AC177" s="392"/>
      <c r="AD177" s="409"/>
      <c r="AE177" s="409"/>
      <c r="AF177" s="409"/>
      <c r="AG177" s="409"/>
      <c r="AH177" s="409"/>
      <c r="AI177" s="409"/>
      <c r="AJ177" s="409"/>
      <c r="AK177" s="409"/>
      <c r="AL177" s="409"/>
      <c r="AM177" s="409"/>
      <c r="AN177" s="409"/>
      <c r="AO177" s="409"/>
      <c r="AP177" s="409"/>
      <c r="AQ177" s="409"/>
      <c r="AR177" s="409"/>
      <c r="AS177" s="409"/>
      <c r="AT177" s="409"/>
      <c r="AU177" s="409"/>
      <c r="AV177" s="409"/>
      <c r="AW177" s="409"/>
      <c r="AX177" s="409"/>
      <c r="AY177" s="409"/>
      <c r="AZ177" s="409"/>
      <c r="BA177" s="409"/>
      <c r="BB177" s="409"/>
      <c r="BC177" s="409"/>
      <c r="BD177" s="407"/>
      <c r="BE177" s="444"/>
      <c r="BF177" s="444"/>
      <c r="BG177" s="444"/>
      <c r="BH177" s="444"/>
      <c r="BI177" s="444"/>
      <c r="BJ177" s="444"/>
      <c r="BK177" s="444"/>
      <c r="BL177" s="444"/>
      <c r="BM177" s="444"/>
      <c r="BN177" s="444"/>
      <c r="BO177" s="444"/>
      <c r="BP177" s="444"/>
      <c r="BQ177" s="444"/>
      <c r="BR177" s="444"/>
      <c r="BS177" s="444"/>
      <c r="BT177" s="444"/>
    </row>
    <row r="178" spans="1:72" s="443" customFormat="1" ht="15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409"/>
      <c r="T178" s="409"/>
      <c r="U178" s="409"/>
      <c r="V178" s="409"/>
      <c r="W178" s="392"/>
      <c r="X178" s="392"/>
      <c r="Y178" s="409"/>
      <c r="Z178" s="409"/>
      <c r="AA178" s="392"/>
      <c r="AB178" s="392"/>
      <c r="AC178" s="392"/>
      <c r="AD178" s="409"/>
      <c r="AE178" s="409"/>
      <c r="AF178" s="409"/>
      <c r="AG178" s="409"/>
      <c r="AH178" s="409"/>
      <c r="AI178" s="409"/>
      <c r="AJ178" s="409"/>
      <c r="AK178" s="409"/>
      <c r="AL178" s="409"/>
      <c r="AM178" s="409"/>
      <c r="AN178" s="409"/>
      <c r="AO178" s="409"/>
      <c r="AP178" s="409"/>
      <c r="AQ178" s="409"/>
      <c r="AR178" s="409"/>
      <c r="AS178" s="409"/>
      <c r="AT178" s="409"/>
      <c r="AU178" s="409"/>
      <c r="AV178" s="409"/>
      <c r="AW178" s="409"/>
      <c r="AX178" s="409"/>
      <c r="AY178" s="409"/>
      <c r="AZ178" s="409"/>
      <c r="BA178" s="409"/>
      <c r="BB178" s="409"/>
      <c r="BC178" s="409"/>
      <c r="BD178" s="407"/>
      <c r="BE178" s="444"/>
      <c r="BF178" s="444"/>
      <c r="BG178" s="444"/>
      <c r="BH178" s="444"/>
      <c r="BI178" s="444"/>
      <c r="BJ178" s="444"/>
      <c r="BK178" s="444"/>
      <c r="BL178" s="444"/>
      <c r="BM178" s="444"/>
      <c r="BN178" s="444"/>
      <c r="BO178" s="444"/>
      <c r="BP178" s="444"/>
      <c r="BQ178" s="444"/>
      <c r="BR178" s="444"/>
      <c r="BS178" s="444"/>
      <c r="BT178" s="444"/>
    </row>
    <row r="179" spans="1:72" s="443" customFormat="1" ht="15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  <c r="L179" s="392"/>
      <c r="M179" s="392"/>
      <c r="N179" s="392"/>
      <c r="O179" s="392"/>
      <c r="P179" s="392"/>
      <c r="Q179" s="392"/>
      <c r="R179" s="392"/>
      <c r="S179" s="409"/>
      <c r="T179" s="409"/>
      <c r="U179" s="409"/>
      <c r="V179" s="409"/>
      <c r="W179" s="392"/>
      <c r="X179" s="392"/>
      <c r="Y179" s="409"/>
      <c r="Z179" s="409"/>
      <c r="AA179" s="392"/>
      <c r="AB179" s="392"/>
      <c r="AC179" s="392"/>
      <c r="AD179" s="409"/>
      <c r="AE179" s="409"/>
      <c r="AF179" s="409"/>
      <c r="AG179" s="409"/>
      <c r="AH179" s="409"/>
      <c r="AI179" s="409"/>
      <c r="AJ179" s="409"/>
      <c r="AK179" s="409"/>
      <c r="AL179" s="409"/>
      <c r="AM179" s="409"/>
      <c r="AN179" s="409"/>
      <c r="AO179" s="409"/>
      <c r="AP179" s="409"/>
      <c r="AQ179" s="409"/>
      <c r="AR179" s="409"/>
      <c r="AS179" s="409"/>
      <c r="AT179" s="409"/>
      <c r="AU179" s="409"/>
      <c r="AV179" s="409"/>
      <c r="AW179" s="409"/>
      <c r="AX179" s="409"/>
      <c r="AY179" s="409"/>
      <c r="AZ179" s="409"/>
      <c r="BA179" s="409"/>
      <c r="BB179" s="409"/>
      <c r="BC179" s="409"/>
      <c r="BD179" s="407"/>
      <c r="BE179" s="444"/>
      <c r="BF179" s="444"/>
      <c r="BG179" s="444"/>
      <c r="BH179" s="444"/>
      <c r="BI179" s="444"/>
      <c r="BJ179" s="444"/>
      <c r="BK179" s="444"/>
      <c r="BL179" s="444"/>
      <c r="BM179" s="444"/>
      <c r="BN179" s="444"/>
      <c r="BO179" s="444"/>
      <c r="BP179" s="444"/>
      <c r="BQ179" s="444"/>
      <c r="BR179" s="444"/>
      <c r="BS179" s="444"/>
      <c r="BT179" s="444"/>
    </row>
    <row r="180" spans="1:72" s="443" customFormat="1" ht="15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  <c r="L180" s="392"/>
      <c r="M180" s="392"/>
      <c r="N180" s="392"/>
      <c r="O180" s="392"/>
      <c r="P180" s="392"/>
      <c r="Q180" s="392"/>
      <c r="R180" s="392"/>
      <c r="S180" s="409"/>
      <c r="T180" s="409"/>
      <c r="U180" s="409"/>
      <c r="V180" s="409"/>
      <c r="W180" s="392"/>
      <c r="X180" s="392"/>
      <c r="Y180" s="409"/>
      <c r="Z180" s="409"/>
      <c r="AA180" s="392"/>
      <c r="AB180" s="392"/>
      <c r="AC180" s="392"/>
      <c r="AD180" s="409"/>
      <c r="AE180" s="409"/>
      <c r="AF180" s="409"/>
      <c r="AG180" s="409"/>
      <c r="AH180" s="409"/>
      <c r="AI180" s="409"/>
      <c r="AJ180" s="409"/>
      <c r="AK180" s="409"/>
      <c r="AL180" s="409"/>
      <c r="AM180" s="409"/>
      <c r="AN180" s="409"/>
      <c r="AO180" s="409"/>
      <c r="AP180" s="409"/>
      <c r="AQ180" s="409"/>
      <c r="AR180" s="409"/>
      <c r="AS180" s="409"/>
      <c r="AT180" s="409"/>
      <c r="AU180" s="409"/>
      <c r="AV180" s="409"/>
      <c r="AW180" s="409"/>
      <c r="AX180" s="409"/>
      <c r="AY180" s="409"/>
      <c r="AZ180" s="409"/>
      <c r="BA180" s="409"/>
      <c r="BB180" s="409"/>
      <c r="BC180" s="409"/>
      <c r="BD180" s="407"/>
      <c r="BE180" s="444"/>
      <c r="BF180" s="444"/>
      <c r="BG180" s="444"/>
      <c r="BH180" s="444"/>
      <c r="BI180" s="444"/>
      <c r="BJ180" s="444"/>
      <c r="BK180" s="444"/>
      <c r="BL180" s="444"/>
      <c r="BM180" s="444"/>
      <c r="BN180" s="444"/>
      <c r="BO180" s="444"/>
      <c r="BP180" s="444"/>
      <c r="BQ180" s="444"/>
      <c r="BR180" s="444"/>
      <c r="BS180" s="444"/>
      <c r="BT180" s="444"/>
    </row>
    <row r="181" spans="1:72" s="443" customFormat="1" ht="15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  <c r="L181" s="392"/>
      <c r="M181" s="392"/>
      <c r="N181" s="392"/>
      <c r="O181" s="392"/>
      <c r="P181" s="392"/>
      <c r="Q181" s="392"/>
      <c r="R181" s="392"/>
      <c r="S181" s="409"/>
      <c r="T181" s="409"/>
      <c r="U181" s="409"/>
      <c r="V181" s="409"/>
      <c r="W181" s="392"/>
      <c r="X181" s="392"/>
      <c r="Y181" s="409"/>
      <c r="Z181" s="409"/>
      <c r="AA181" s="392"/>
      <c r="AB181" s="392"/>
      <c r="AC181" s="392"/>
      <c r="AD181" s="409"/>
      <c r="AE181" s="409"/>
      <c r="AF181" s="409"/>
      <c r="AG181" s="409"/>
      <c r="AH181" s="409"/>
      <c r="AI181" s="409"/>
      <c r="AJ181" s="409"/>
      <c r="AK181" s="409"/>
      <c r="AL181" s="409"/>
      <c r="AM181" s="409"/>
      <c r="AN181" s="409"/>
      <c r="AO181" s="409"/>
      <c r="AP181" s="409"/>
      <c r="AQ181" s="409"/>
      <c r="AR181" s="409"/>
      <c r="AS181" s="409"/>
      <c r="AT181" s="409"/>
      <c r="AU181" s="409"/>
      <c r="AV181" s="409"/>
      <c r="AW181" s="409"/>
      <c r="AX181" s="409"/>
      <c r="AY181" s="409"/>
      <c r="AZ181" s="409"/>
      <c r="BA181" s="409"/>
      <c r="BB181" s="409"/>
      <c r="BC181" s="409"/>
      <c r="BD181" s="407"/>
      <c r="BE181" s="444"/>
      <c r="BF181" s="444"/>
      <c r="BG181" s="444"/>
      <c r="BH181" s="444"/>
      <c r="BI181" s="444"/>
      <c r="BJ181" s="444"/>
      <c r="BK181" s="444"/>
      <c r="BL181" s="444"/>
      <c r="BM181" s="444"/>
      <c r="BN181" s="444"/>
      <c r="BO181" s="444"/>
      <c r="BP181" s="444"/>
      <c r="BQ181" s="444"/>
      <c r="BR181" s="444"/>
      <c r="BS181" s="444"/>
      <c r="BT181" s="444"/>
    </row>
    <row r="182" spans="1:72" s="443" customFormat="1" ht="15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2"/>
      <c r="M182" s="392"/>
      <c r="N182" s="392"/>
      <c r="O182" s="392"/>
      <c r="P182" s="392"/>
      <c r="Q182" s="392"/>
      <c r="R182" s="392"/>
      <c r="S182" s="409"/>
      <c r="T182" s="409"/>
      <c r="U182" s="409"/>
      <c r="V182" s="409"/>
      <c r="W182" s="392"/>
      <c r="X182" s="392"/>
      <c r="Y182" s="409"/>
      <c r="Z182" s="409"/>
      <c r="AA182" s="392"/>
      <c r="AB182" s="392"/>
      <c r="AC182" s="392"/>
      <c r="AD182" s="409"/>
      <c r="AE182" s="409"/>
      <c r="AF182" s="409"/>
      <c r="AG182" s="409"/>
      <c r="AH182" s="409"/>
      <c r="AI182" s="409"/>
      <c r="AJ182" s="409"/>
      <c r="AK182" s="409"/>
      <c r="AL182" s="409"/>
      <c r="AM182" s="409"/>
      <c r="AN182" s="409"/>
      <c r="AO182" s="409"/>
      <c r="AP182" s="409"/>
      <c r="AQ182" s="409"/>
      <c r="AR182" s="409"/>
      <c r="AS182" s="409"/>
      <c r="AT182" s="409"/>
      <c r="AU182" s="409"/>
      <c r="AV182" s="409"/>
      <c r="AW182" s="409"/>
      <c r="AX182" s="409"/>
      <c r="AY182" s="409"/>
      <c r="AZ182" s="409"/>
      <c r="BA182" s="409"/>
      <c r="BB182" s="409"/>
      <c r="BC182" s="409"/>
      <c r="BD182" s="407"/>
      <c r="BE182" s="444"/>
      <c r="BF182" s="444"/>
      <c r="BG182" s="444"/>
      <c r="BH182" s="444"/>
      <c r="BI182" s="444"/>
      <c r="BJ182" s="444"/>
      <c r="BK182" s="444"/>
      <c r="BL182" s="444"/>
      <c r="BM182" s="444"/>
      <c r="BN182" s="444"/>
      <c r="BO182" s="444"/>
      <c r="BP182" s="444"/>
      <c r="BQ182" s="444"/>
      <c r="BR182" s="444"/>
      <c r="BS182" s="444"/>
      <c r="BT182" s="444"/>
    </row>
    <row r="183" spans="1:72" s="443" customFormat="1" ht="15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  <c r="L183" s="392"/>
      <c r="M183" s="392"/>
      <c r="N183" s="392"/>
      <c r="O183" s="392"/>
      <c r="P183" s="392"/>
      <c r="Q183" s="392"/>
      <c r="R183" s="392"/>
      <c r="S183" s="409"/>
      <c r="T183" s="409"/>
      <c r="U183" s="409"/>
      <c r="V183" s="409"/>
      <c r="W183" s="392"/>
      <c r="X183" s="392"/>
      <c r="Y183" s="409"/>
      <c r="Z183" s="409"/>
      <c r="AA183" s="392"/>
      <c r="AB183" s="392"/>
      <c r="AC183" s="392"/>
      <c r="AD183" s="409"/>
      <c r="AE183" s="409"/>
      <c r="AF183" s="409"/>
      <c r="AG183" s="409"/>
      <c r="AH183" s="409"/>
      <c r="AI183" s="409"/>
      <c r="AJ183" s="409"/>
      <c r="AK183" s="409"/>
      <c r="AL183" s="409"/>
      <c r="AM183" s="409"/>
      <c r="AN183" s="409"/>
      <c r="AO183" s="409"/>
      <c r="AP183" s="409"/>
      <c r="AQ183" s="409"/>
      <c r="AR183" s="409"/>
      <c r="AS183" s="409"/>
      <c r="AT183" s="409"/>
      <c r="AU183" s="409"/>
      <c r="AV183" s="409"/>
      <c r="AW183" s="409"/>
      <c r="AX183" s="409"/>
      <c r="AY183" s="409"/>
      <c r="AZ183" s="409"/>
      <c r="BA183" s="409"/>
      <c r="BB183" s="409"/>
      <c r="BC183" s="409"/>
      <c r="BD183" s="407"/>
      <c r="BE183" s="444"/>
      <c r="BF183" s="444"/>
      <c r="BG183" s="444"/>
      <c r="BH183" s="444"/>
      <c r="BI183" s="444"/>
      <c r="BJ183" s="444"/>
      <c r="BK183" s="444"/>
      <c r="BL183" s="444"/>
      <c r="BM183" s="444"/>
      <c r="BN183" s="444"/>
      <c r="BO183" s="444"/>
      <c r="BP183" s="444"/>
      <c r="BQ183" s="444"/>
      <c r="BR183" s="444"/>
      <c r="BS183" s="444"/>
      <c r="BT183" s="444"/>
    </row>
    <row r="184" spans="1:72" s="443" customFormat="1" ht="15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  <c r="L184" s="392"/>
      <c r="M184" s="392"/>
      <c r="N184" s="392"/>
      <c r="O184" s="392"/>
      <c r="P184" s="392"/>
      <c r="Q184" s="392"/>
      <c r="R184" s="392"/>
      <c r="S184" s="409"/>
      <c r="T184" s="409"/>
      <c r="U184" s="409"/>
      <c r="V184" s="409"/>
      <c r="W184" s="392"/>
      <c r="X184" s="392"/>
      <c r="Y184" s="409"/>
      <c r="Z184" s="409"/>
      <c r="AA184" s="392"/>
      <c r="AB184" s="392"/>
      <c r="AC184" s="392"/>
      <c r="AD184" s="409"/>
      <c r="AE184" s="409"/>
      <c r="AF184" s="409"/>
      <c r="AG184" s="409"/>
      <c r="AH184" s="409"/>
      <c r="AI184" s="409"/>
      <c r="AJ184" s="409"/>
      <c r="AK184" s="409"/>
      <c r="AL184" s="409"/>
      <c r="AM184" s="409"/>
      <c r="AN184" s="409"/>
      <c r="AO184" s="409"/>
      <c r="AP184" s="409"/>
      <c r="AQ184" s="409"/>
      <c r="AR184" s="409"/>
      <c r="AS184" s="409"/>
      <c r="AT184" s="409"/>
      <c r="AU184" s="409"/>
      <c r="AV184" s="409"/>
      <c r="AW184" s="409"/>
      <c r="AX184" s="409"/>
      <c r="AY184" s="409"/>
      <c r="AZ184" s="409"/>
      <c r="BA184" s="409"/>
      <c r="BB184" s="409"/>
      <c r="BC184" s="409"/>
      <c r="BD184" s="407"/>
      <c r="BE184" s="444"/>
      <c r="BF184" s="444"/>
      <c r="BG184" s="444"/>
      <c r="BH184" s="444"/>
      <c r="BI184" s="444"/>
      <c r="BJ184" s="444"/>
      <c r="BK184" s="444"/>
      <c r="BL184" s="444"/>
      <c r="BM184" s="444"/>
      <c r="BN184" s="444"/>
      <c r="BO184" s="444"/>
      <c r="BP184" s="444"/>
      <c r="BQ184" s="444"/>
      <c r="BR184" s="444"/>
      <c r="BS184" s="444"/>
      <c r="BT184" s="444"/>
    </row>
  </sheetData>
  <mergeCells count="29">
    <mergeCell ref="D9:AO9"/>
    <mergeCell ref="A5:BA5"/>
    <mergeCell ref="BB5:BC5"/>
    <mergeCell ref="J7:M7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</mergeCells>
  <phoneticPr fontId="55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1A54-81B2-48BE-B1DB-4F5E02549265}">
  <dimension ref="A1:DX200"/>
  <sheetViews>
    <sheetView showGridLines="0" topLeftCell="A5" zoomScaleNormal="100" zoomScaleSheetLayoutView="100" workbookViewId="0">
      <pane ySplit="2" topLeftCell="A7" activePane="bottomLeft" state="frozen"/>
      <selection activeCell="A5" sqref="A5"/>
      <selection pane="bottomLeft" activeCell="BE7" sqref="BE7:BG36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76" customWidth="1"/>
    <col min="57" max="128" width="2.6328125" style="443" customWidth="1"/>
    <col min="129" max="16384" width="9" style="35"/>
  </cols>
  <sheetData>
    <row r="1" spans="1:72" ht="12" customHeight="1">
      <c r="A1" s="524" t="s">
        <v>4</v>
      </c>
      <c r="B1" s="524"/>
      <c r="C1" s="524"/>
      <c r="D1" s="524"/>
      <c r="E1" s="524"/>
      <c r="F1" s="524"/>
      <c r="G1" s="524"/>
      <c r="H1" s="524"/>
      <c r="I1" s="511" t="s">
        <v>5</v>
      </c>
      <c r="J1" s="511"/>
      <c r="K1" s="511"/>
      <c r="L1" s="511"/>
      <c r="M1" s="522" t="str">
        <f>変更来歴!M1</f>
        <v>ヒロセ電機株式会社</v>
      </c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11" t="s">
        <v>7</v>
      </c>
      <c r="Y1" s="511"/>
      <c r="Z1" s="511"/>
      <c r="AA1" s="526" t="str">
        <f>変更来歴!AA1</f>
        <v>化学物質データ申請</v>
      </c>
      <c r="AB1" s="526"/>
      <c r="AC1" s="526"/>
      <c r="AD1" s="526"/>
      <c r="AE1" s="526"/>
      <c r="AF1" s="526"/>
      <c r="AG1" s="526"/>
      <c r="AH1" s="526"/>
      <c r="AI1" s="526"/>
      <c r="AJ1" s="526"/>
      <c r="AK1" s="500" t="s">
        <v>8</v>
      </c>
      <c r="AL1" s="500"/>
      <c r="AM1" s="500"/>
      <c r="AN1" s="502" t="str">
        <f>変更来歴!AP7</f>
        <v>古竹</v>
      </c>
      <c r="AO1" s="502"/>
      <c r="AP1" s="502"/>
      <c r="AQ1" s="502"/>
      <c r="AR1" s="502"/>
      <c r="AS1" s="500" t="s">
        <v>9</v>
      </c>
      <c r="AT1" s="500"/>
      <c r="AU1" s="500"/>
      <c r="AV1" s="503">
        <f>変更来歴!AL7</f>
        <v>46125</v>
      </c>
      <c r="AW1" s="501"/>
      <c r="AX1" s="501"/>
      <c r="AY1" s="501"/>
      <c r="AZ1" s="507" t="s">
        <v>10</v>
      </c>
      <c r="BA1" s="508"/>
      <c r="BB1" s="508"/>
      <c r="BC1" s="509"/>
    </row>
    <row r="2" spans="1:72">
      <c r="A2" s="510" t="s">
        <v>16</v>
      </c>
      <c r="B2" s="510"/>
      <c r="C2" s="510"/>
      <c r="D2" s="510"/>
      <c r="E2" s="510"/>
      <c r="F2" s="510"/>
      <c r="G2" s="510"/>
      <c r="H2" s="510"/>
      <c r="I2" s="511" t="s">
        <v>11</v>
      </c>
      <c r="J2" s="511"/>
      <c r="K2" s="511"/>
      <c r="L2" s="511"/>
      <c r="M2" s="546" t="str">
        <f>変更来歴!M2</f>
        <v>　</v>
      </c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11"/>
      <c r="Y2" s="511"/>
      <c r="Z2" s="511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00" t="s">
        <v>12</v>
      </c>
      <c r="AL2" s="500"/>
      <c r="AM2" s="500"/>
      <c r="AN2" s="502" t="str">
        <f ca="1">INDIRECT("変更来歴!AP" &amp; COUNTA(変更来歴!AP7:'変更来歴'!AP39) + 6)</f>
        <v>古竹</v>
      </c>
      <c r="AO2" s="502"/>
      <c r="AP2" s="502"/>
      <c r="AQ2" s="502"/>
      <c r="AR2" s="502"/>
      <c r="AS2" s="500" t="s">
        <v>13</v>
      </c>
      <c r="AT2" s="500"/>
      <c r="AU2" s="500"/>
      <c r="AV2" s="503">
        <f ca="1">INDIRECT("変更来歴!AL" &amp; COUNTA(変更来歴!AL7:'変更来歴'!AL39) + 6)</f>
        <v>46160</v>
      </c>
      <c r="AW2" s="501"/>
      <c r="AX2" s="501"/>
      <c r="AY2" s="501"/>
      <c r="AZ2" s="515" t="str">
        <f>変更来歴!AX2</f>
        <v>IMWF-53</v>
      </c>
      <c r="BA2" s="516"/>
      <c r="BB2" s="516"/>
      <c r="BC2" s="517"/>
    </row>
    <row r="3" spans="1:72" ht="12" customHeight="1">
      <c r="A3" s="521" t="str">
        <f>変更来歴!A3</f>
        <v>画面設計書</v>
      </c>
      <c r="B3" s="521"/>
      <c r="C3" s="521"/>
      <c r="D3" s="521"/>
      <c r="E3" s="521"/>
      <c r="F3" s="521"/>
      <c r="G3" s="521"/>
      <c r="H3" s="521"/>
      <c r="I3" s="511" t="s">
        <v>14</v>
      </c>
      <c r="J3" s="511"/>
      <c r="K3" s="511"/>
      <c r="L3" s="511"/>
      <c r="M3" s="522" t="str">
        <f ca="1">RIGHT(CELL("filename",A1),LEN(CELL("filename",A1))-FIND("]",CELL("filename",A1)))</f>
        <v>化学物質データ申請完了画面(仮)</v>
      </c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11" t="s">
        <v>27</v>
      </c>
      <c r="Y3" s="511"/>
      <c r="Z3" s="511"/>
      <c r="AA3" s="523" t="str">
        <f ca="1">MID(CELL("filename"),FIND("]",CELL("filename"))+1,LEN(CELL("filename"))) &amp; "画面"</f>
        <v>画面項目画面</v>
      </c>
      <c r="AB3" s="523"/>
      <c r="AC3" s="523"/>
      <c r="AD3" s="523"/>
      <c r="AE3" s="523"/>
      <c r="AF3" s="523"/>
      <c r="AG3" s="523"/>
      <c r="AH3" s="523"/>
      <c r="AI3" s="523"/>
      <c r="AJ3" s="523"/>
      <c r="AK3" s="523"/>
      <c r="AL3" s="523"/>
      <c r="AM3" s="523"/>
      <c r="AN3" s="523"/>
      <c r="AO3" s="523"/>
      <c r="AP3" s="523"/>
      <c r="AQ3" s="523"/>
      <c r="AR3" s="523"/>
      <c r="AS3" s="500" t="s">
        <v>15</v>
      </c>
      <c r="AT3" s="500"/>
      <c r="AU3" s="500"/>
      <c r="AV3" s="501" t="str">
        <f ca="1">INDIRECT("変更来歴!A" &amp; COUNTA(変更来歴!A7:'変更来歴'!A39) + 6)</f>
        <v>r1.2</v>
      </c>
      <c r="AW3" s="501"/>
      <c r="AX3" s="501"/>
      <c r="AY3" s="501"/>
      <c r="AZ3" s="518"/>
      <c r="BA3" s="519"/>
      <c r="BB3" s="519"/>
      <c r="BC3" s="520"/>
    </row>
    <row r="4" spans="1:72" ht="5.9" customHeight="1"/>
    <row r="5" spans="1:72" ht="13.5" customHeight="1">
      <c r="A5" s="548" t="str">
        <f ca="1">"画面レイアウト"&amp;"("&amp;MID(CELL("filename"),FIND("]",CELL("filename"))+1,LEN(CELL("filename")))&amp;")"</f>
        <v>画面レイアウト(画面項目)</v>
      </c>
      <c r="B5" s="549"/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49"/>
      <c r="AB5" s="549"/>
      <c r="AC5" s="549"/>
      <c r="AD5" s="549"/>
      <c r="AE5" s="549"/>
      <c r="AF5" s="549"/>
      <c r="AG5" s="549"/>
      <c r="AH5" s="549"/>
      <c r="AI5" s="549"/>
      <c r="AJ5" s="549"/>
      <c r="AK5" s="549"/>
      <c r="AL5" s="549"/>
      <c r="AM5" s="549"/>
      <c r="AN5" s="549"/>
      <c r="AO5" s="549"/>
      <c r="AP5" s="549"/>
      <c r="AQ5" s="549"/>
      <c r="AR5" s="549"/>
      <c r="AS5" s="549"/>
      <c r="AT5" s="549"/>
      <c r="AU5" s="549"/>
      <c r="AV5" s="549"/>
      <c r="AW5" s="549"/>
      <c r="AX5" s="549"/>
      <c r="AY5" s="549"/>
      <c r="AZ5" s="549"/>
      <c r="BA5" s="550"/>
      <c r="BB5" s="551" t="s">
        <v>24</v>
      </c>
      <c r="BC5" s="552"/>
      <c r="BD5" s="28"/>
    </row>
    <row r="6" spans="1:72" ht="13.5" customHeight="1">
      <c r="A6" s="27"/>
      <c r="B6" s="170">
        <v>1</v>
      </c>
      <c r="C6" s="170">
        <v>2</v>
      </c>
      <c r="D6" s="170">
        <v>3</v>
      </c>
      <c r="E6" s="170">
        <v>4</v>
      </c>
      <c r="F6" s="170">
        <v>5</v>
      </c>
      <c r="G6" s="170">
        <v>6</v>
      </c>
      <c r="H6" s="170">
        <v>7</v>
      </c>
      <c r="I6" s="170">
        <v>8</v>
      </c>
      <c r="J6" s="170">
        <v>9</v>
      </c>
      <c r="K6" s="170">
        <v>10</v>
      </c>
      <c r="L6" s="170">
        <v>11</v>
      </c>
      <c r="M6" s="170">
        <v>12</v>
      </c>
      <c r="N6" s="170">
        <v>13</v>
      </c>
      <c r="O6" s="170">
        <v>14</v>
      </c>
      <c r="P6" s="170">
        <v>15</v>
      </c>
      <c r="Q6" s="170">
        <v>16</v>
      </c>
      <c r="R6" s="170">
        <v>17</v>
      </c>
      <c r="S6" s="172">
        <v>18</v>
      </c>
      <c r="T6" s="172">
        <v>19</v>
      </c>
      <c r="U6" s="172">
        <v>20</v>
      </c>
      <c r="V6" s="172">
        <v>21</v>
      </c>
      <c r="W6" s="172">
        <v>22</v>
      </c>
      <c r="X6" s="172">
        <v>23</v>
      </c>
      <c r="Y6" s="172">
        <v>24</v>
      </c>
      <c r="Z6" s="172">
        <v>25</v>
      </c>
      <c r="AA6" s="172">
        <v>26</v>
      </c>
      <c r="AB6" s="172">
        <v>27</v>
      </c>
      <c r="AC6" s="172">
        <v>28</v>
      </c>
      <c r="AD6" s="172">
        <v>29</v>
      </c>
      <c r="AE6" s="172">
        <v>30</v>
      </c>
      <c r="AF6" s="172">
        <v>31</v>
      </c>
      <c r="AG6" s="172">
        <v>32</v>
      </c>
      <c r="AH6" s="172">
        <v>33</v>
      </c>
      <c r="AI6" s="172">
        <v>34</v>
      </c>
      <c r="AJ6" s="171">
        <v>35</v>
      </c>
      <c r="AK6" s="171">
        <v>36</v>
      </c>
      <c r="AL6" s="171">
        <v>37</v>
      </c>
      <c r="AM6" s="171">
        <v>38</v>
      </c>
      <c r="AN6" s="171">
        <v>39</v>
      </c>
      <c r="AO6" s="171">
        <v>40</v>
      </c>
      <c r="AP6" s="171">
        <v>41</v>
      </c>
      <c r="AQ6" s="171">
        <v>42</v>
      </c>
      <c r="AR6" s="171">
        <v>43</v>
      </c>
      <c r="AS6" s="171">
        <v>44</v>
      </c>
      <c r="AT6" s="171">
        <v>45</v>
      </c>
      <c r="AU6" s="171">
        <v>46</v>
      </c>
      <c r="AV6" s="171">
        <v>47</v>
      </c>
      <c r="AW6" s="171">
        <v>48</v>
      </c>
      <c r="AX6" s="171">
        <v>49</v>
      </c>
      <c r="AY6" s="171">
        <v>50</v>
      </c>
      <c r="AZ6" s="171">
        <v>51</v>
      </c>
      <c r="BA6" s="21"/>
      <c r="BB6" s="73"/>
      <c r="BC6" s="40"/>
      <c r="BD6" s="28"/>
    </row>
    <row r="7" spans="1:72" ht="21" customHeight="1">
      <c r="A7" s="393"/>
      <c r="B7" s="437"/>
      <c r="C7" s="442" t="s">
        <v>175</v>
      </c>
      <c r="D7" s="438"/>
      <c r="E7" s="439"/>
      <c r="F7" s="439"/>
      <c r="G7" s="439"/>
      <c r="H7" s="433"/>
      <c r="I7" s="433"/>
      <c r="J7" s="553"/>
      <c r="K7" s="553"/>
      <c r="L7" s="553"/>
      <c r="M7" s="553"/>
      <c r="N7" s="436"/>
      <c r="O7" s="435"/>
      <c r="P7" s="436"/>
      <c r="Q7" s="433"/>
      <c r="R7" s="433"/>
      <c r="S7" s="433"/>
      <c r="T7" s="434"/>
      <c r="U7" s="434"/>
      <c r="V7" s="434"/>
      <c r="W7" s="434"/>
      <c r="X7" s="434"/>
      <c r="Y7" s="435"/>
      <c r="Z7" s="434"/>
      <c r="AA7" s="433"/>
      <c r="AB7" s="435"/>
      <c r="AC7" s="434"/>
      <c r="AD7" s="433"/>
      <c r="AE7" s="435"/>
      <c r="AF7" s="433"/>
      <c r="AG7" s="433"/>
      <c r="AH7" s="435"/>
      <c r="AI7" s="433"/>
      <c r="AJ7" s="433"/>
      <c r="AK7" s="440"/>
      <c r="AL7" s="433"/>
      <c r="AM7" s="433"/>
      <c r="AN7" s="433"/>
      <c r="AO7" s="433"/>
      <c r="AP7" s="433"/>
      <c r="AQ7" s="433"/>
      <c r="AR7" s="433"/>
      <c r="AS7" s="433"/>
      <c r="AT7" s="439"/>
      <c r="AU7" s="439"/>
      <c r="AV7" s="439"/>
      <c r="AW7" s="439"/>
      <c r="AX7" s="439"/>
      <c r="AY7" s="439"/>
      <c r="AZ7" s="441"/>
      <c r="BA7" s="422"/>
      <c r="BB7" s="405"/>
      <c r="BC7" s="406"/>
      <c r="BD7" s="391"/>
      <c r="BE7" s="444" t="s">
        <v>176</v>
      </c>
      <c r="BF7" s="444"/>
      <c r="BG7" s="444"/>
      <c r="BH7" s="444"/>
      <c r="BI7" s="444"/>
      <c r="BJ7" s="444"/>
      <c r="BK7" s="444"/>
      <c r="BL7" s="445"/>
      <c r="BM7" s="445"/>
      <c r="BN7" s="445"/>
      <c r="BO7" s="445"/>
      <c r="BP7" s="445"/>
      <c r="BQ7" s="445"/>
      <c r="BR7" s="445"/>
      <c r="BS7" s="444"/>
      <c r="BT7" s="444"/>
    </row>
    <row r="8" spans="1:72" ht="12.5" customHeight="1">
      <c r="A8" s="393"/>
      <c r="B8" s="418"/>
      <c r="C8" s="427"/>
      <c r="D8" s="428"/>
      <c r="E8" s="421"/>
      <c r="F8" s="421"/>
      <c r="G8" s="42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  <c r="AO8" s="431"/>
      <c r="AP8" s="431"/>
      <c r="AQ8" s="431"/>
      <c r="AR8" s="431"/>
      <c r="AS8" s="432"/>
      <c r="AT8" s="429"/>
      <c r="AU8" s="429"/>
      <c r="AV8" s="429"/>
      <c r="AW8" s="429"/>
      <c r="AX8" s="429"/>
      <c r="AY8" s="429"/>
      <c r="AZ8" s="422"/>
      <c r="BA8" s="422"/>
      <c r="BB8" s="405"/>
      <c r="BC8" s="406"/>
      <c r="BD8" s="391"/>
      <c r="BE8" s="428" t="s">
        <v>291</v>
      </c>
      <c r="BF8" s="428"/>
      <c r="BG8" s="445"/>
      <c r="BH8" s="445"/>
      <c r="BI8" s="445"/>
      <c r="BJ8" s="445"/>
      <c r="BK8" s="445"/>
      <c r="BL8" s="444"/>
      <c r="BM8" s="444"/>
      <c r="BN8" s="444"/>
      <c r="BO8" s="444"/>
      <c r="BP8" s="444"/>
      <c r="BQ8" s="444"/>
      <c r="BR8" s="444"/>
      <c r="BS8" s="444"/>
      <c r="BT8" s="444"/>
    </row>
    <row r="9" spans="1:72" ht="24" customHeight="1">
      <c r="A9" s="393"/>
      <c r="B9" s="394"/>
      <c r="C9" s="411"/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1"/>
      <c r="S9" s="411"/>
      <c r="T9" s="412"/>
      <c r="U9" s="412"/>
      <c r="V9" s="412"/>
      <c r="W9" s="488" t="s">
        <v>174</v>
      </c>
      <c r="X9" s="410"/>
      <c r="Y9" s="410"/>
      <c r="Z9" s="412"/>
      <c r="AA9" s="412"/>
      <c r="AB9" s="414"/>
      <c r="AC9" s="412"/>
      <c r="AD9" s="415"/>
      <c r="AE9" s="415"/>
      <c r="AF9" s="415"/>
      <c r="AG9" s="415"/>
      <c r="AH9" s="415"/>
      <c r="AI9" s="411"/>
      <c r="AJ9" s="412"/>
      <c r="AK9" s="412"/>
      <c r="AL9" s="412"/>
      <c r="AM9" s="412"/>
      <c r="AN9" s="416"/>
      <c r="AO9" s="413"/>
      <c r="AP9" s="413"/>
      <c r="AQ9" s="412"/>
      <c r="AR9" s="412"/>
      <c r="AS9" s="412"/>
      <c r="AT9" s="412"/>
      <c r="AU9" s="412"/>
      <c r="AV9" s="412"/>
      <c r="AW9" s="412"/>
      <c r="AX9" s="412"/>
      <c r="AY9" s="412"/>
      <c r="AZ9" s="396"/>
      <c r="BA9" s="396"/>
      <c r="BB9" s="389"/>
      <c r="BC9" s="390"/>
      <c r="BD9" s="391"/>
      <c r="BE9" s="445"/>
      <c r="BF9" s="428" t="s">
        <v>292</v>
      </c>
      <c r="BG9" s="428"/>
      <c r="BH9" s="428"/>
      <c r="BI9" s="445"/>
      <c r="BJ9" s="445"/>
      <c r="BK9" s="445"/>
      <c r="BL9" s="444"/>
      <c r="BM9" s="444"/>
      <c r="BN9" s="444"/>
      <c r="BO9" s="444"/>
      <c r="BP9" s="444"/>
      <c r="BQ9" s="444"/>
      <c r="BR9" s="444"/>
      <c r="BS9" s="444"/>
      <c r="BT9" s="444"/>
    </row>
    <row r="10" spans="1:72" ht="12" customHeight="1">
      <c r="A10" s="393"/>
      <c r="B10" s="401"/>
      <c r="C10" s="402"/>
      <c r="D10" s="391"/>
      <c r="E10" s="391"/>
      <c r="F10" s="391"/>
      <c r="G10" s="391"/>
      <c r="H10" s="403"/>
      <c r="I10" s="398"/>
      <c r="J10" s="397"/>
      <c r="K10" s="398"/>
      <c r="L10" s="397"/>
      <c r="M10" s="404"/>
      <c r="N10" s="404"/>
      <c r="O10" s="400"/>
      <c r="P10" s="404"/>
      <c r="Q10" s="400"/>
      <c r="R10" s="404"/>
      <c r="S10" s="392"/>
      <c r="T10" s="391"/>
      <c r="U10" s="391"/>
      <c r="V10" s="391"/>
      <c r="W10" s="391"/>
      <c r="X10" s="391"/>
      <c r="Y10" s="403"/>
      <c r="Z10" s="398"/>
      <c r="AA10" s="397"/>
      <c r="AB10" s="398"/>
      <c r="AC10" s="397"/>
      <c r="AD10" s="404"/>
      <c r="AE10" s="404"/>
      <c r="AF10" s="400"/>
      <c r="AG10" s="404"/>
      <c r="AH10" s="404"/>
      <c r="AI10" s="399"/>
      <c r="AJ10" s="404"/>
      <c r="AK10" s="400"/>
      <c r="AL10" s="391"/>
      <c r="AM10" s="391"/>
      <c r="AN10" s="391"/>
      <c r="AO10" s="391"/>
      <c r="AP10" s="391"/>
      <c r="AQ10" s="391"/>
      <c r="AR10" s="391"/>
      <c r="AS10" s="397"/>
      <c r="AT10" s="399"/>
      <c r="AU10" s="397"/>
      <c r="AV10" s="400"/>
      <c r="AW10" s="400"/>
      <c r="AX10" s="400"/>
      <c r="AY10" s="395"/>
      <c r="AZ10" s="396"/>
      <c r="BA10" s="396"/>
      <c r="BB10" s="389"/>
      <c r="BC10" s="390"/>
      <c r="BD10" s="391"/>
      <c r="BE10" s="428"/>
      <c r="BF10" s="428"/>
      <c r="BG10" s="428" t="s">
        <v>293</v>
      </c>
      <c r="BH10" s="446"/>
      <c r="BI10" s="445"/>
      <c r="BJ10" s="445"/>
      <c r="BK10" s="445"/>
      <c r="BL10" s="444"/>
      <c r="BM10" s="444"/>
      <c r="BN10" s="444"/>
      <c r="BO10" s="444"/>
      <c r="BP10" s="444"/>
      <c r="BQ10" s="444"/>
      <c r="BR10" s="444"/>
      <c r="BS10" s="444"/>
      <c r="BT10" s="444"/>
    </row>
    <row r="11" spans="1:72" ht="12.5" customHeight="1">
      <c r="A11" s="393"/>
      <c r="B11" s="394"/>
      <c r="C11" s="391"/>
      <c r="D11" s="391"/>
      <c r="E11" s="391"/>
      <c r="F11" s="392"/>
      <c r="G11" s="42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  <c r="AO11" s="431"/>
      <c r="AP11" s="431"/>
      <c r="AQ11" s="431"/>
      <c r="AR11" s="431"/>
      <c r="AS11" s="431"/>
      <c r="AT11" s="425"/>
      <c r="AU11" s="421"/>
      <c r="AV11" s="400"/>
      <c r="AW11" s="400"/>
      <c r="AX11" s="400"/>
      <c r="AY11" s="395"/>
      <c r="AZ11" s="396"/>
      <c r="BA11" s="396"/>
      <c r="BB11" s="389"/>
      <c r="BC11" s="390"/>
      <c r="BD11" s="391"/>
      <c r="BE11" s="428"/>
      <c r="BF11" s="428"/>
      <c r="BG11" s="428" t="s">
        <v>294</v>
      </c>
      <c r="BH11" s="446"/>
      <c r="BI11" s="428"/>
      <c r="BJ11" s="445"/>
      <c r="BK11" s="445"/>
      <c r="BL11" s="444"/>
      <c r="BM11" s="444"/>
      <c r="BN11" s="444"/>
      <c r="BO11" s="444"/>
      <c r="BP11" s="444"/>
      <c r="BQ11" s="444"/>
      <c r="BR11" s="444"/>
      <c r="BS11" s="444"/>
      <c r="BT11" s="444"/>
    </row>
    <row r="12" spans="1:72" ht="12.5" customHeight="1">
      <c r="A12" s="393"/>
      <c r="B12" s="418"/>
      <c r="C12" s="417"/>
      <c r="D12" s="424" t="s">
        <v>274</v>
      </c>
      <c r="E12" s="419"/>
      <c r="F12" s="419"/>
      <c r="G12" s="42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  <c r="AO12" s="431"/>
      <c r="AP12" s="431"/>
      <c r="AQ12" s="431"/>
      <c r="AR12" s="431"/>
      <c r="AS12" s="431"/>
      <c r="AT12" s="425"/>
      <c r="AU12" s="421"/>
      <c r="AV12" s="417"/>
      <c r="AW12" s="417"/>
      <c r="AX12" s="421"/>
      <c r="AY12" s="417"/>
      <c r="AZ12" s="422"/>
      <c r="BA12" s="422"/>
      <c r="BB12" s="389"/>
      <c r="BC12" s="390"/>
      <c r="BD12" s="391"/>
      <c r="BE12" s="444"/>
      <c r="BF12" s="444"/>
      <c r="BG12" s="447"/>
      <c r="BH12" s="444"/>
      <c r="BI12" s="444"/>
      <c r="BJ12" s="444"/>
      <c r="BK12" s="444"/>
      <c r="BL12" s="444"/>
      <c r="BM12" s="444"/>
      <c r="BN12" s="444"/>
      <c r="BO12" s="444"/>
      <c r="BP12" s="444"/>
      <c r="BQ12" s="444"/>
      <c r="BR12" s="444"/>
      <c r="BS12" s="444"/>
      <c r="BT12" s="444"/>
    </row>
    <row r="13" spans="1:72" ht="12.5" customHeight="1">
      <c r="A13" s="393"/>
      <c r="B13" s="418"/>
      <c r="C13" s="423"/>
      <c r="D13" s="419"/>
      <c r="E13" s="419"/>
      <c r="F13" s="419"/>
      <c r="G13" s="42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431"/>
      <c r="AN13" s="431"/>
      <c r="AO13" s="431"/>
      <c r="AP13" s="431"/>
      <c r="AQ13" s="431"/>
      <c r="AR13" s="431"/>
      <c r="AS13" s="431"/>
      <c r="AT13" s="425"/>
      <c r="AU13" s="421"/>
      <c r="AV13" s="421"/>
      <c r="AW13" s="421"/>
      <c r="AX13" s="421"/>
      <c r="AY13" s="417"/>
      <c r="AZ13" s="422"/>
      <c r="BA13" s="422"/>
      <c r="BB13" s="389"/>
      <c r="BC13" s="390"/>
      <c r="BD13" s="391"/>
      <c r="BE13" s="428" t="s">
        <v>295</v>
      </c>
      <c r="BF13" s="444"/>
      <c r="BG13" s="444"/>
      <c r="BH13" s="444"/>
      <c r="BI13" s="444"/>
      <c r="BJ13" s="444"/>
      <c r="BK13" s="444"/>
      <c r="BL13" s="444"/>
      <c r="BM13" s="444"/>
      <c r="BN13" s="444"/>
      <c r="BO13" s="444"/>
      <c r="BP13" s="444"/>
      <c r="BQ13" s="444"/>
      <c r="BR13" s="444"/>
      <c r="BS13" s="444"/>
      <c r="BT13" s="444"/>
    </row>
    <row r="14" spans="1:72" ht="12.5" customHeight="1">
      <c r="A14" s="393"/>
      <c r="B14" s="418"/>
      <c r="C14" s="424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490"/>
      <c r="Z14" s="490"/>
      <c r="AA14" s="490"/>
      <c r="AB14" s="490"/>
      <c r="AC14" s="490"/>
      <c r="AD14" s="490"/>
      <c r="AE14" s="490"/>
      <c r="AF14" s="490"/>
      <c r="AG14" s="490"/>
      <c r="AH14" s="490"/>
      <c r="AI14" s="490"/>
      <c r="AJ14" s="490"/>
      <c r="AK14" s="490"/>
      <c r="AL14" s="490"/>
      <c r="AM14" s="490"/>
      <c r="AN14" s="490"/>
      <c r="AO14" s="490"/>
      <c r="AP14" s="490"/>
      <c r="AQ14" s="490"/>
      <c r="AR14" s="490"/>
      <c r="AS14" s="431"/>
      <c r="AT14" s="425"/>
      <c r="AU14" s="421"/>
      <c r="AV14" s="421"/>
      <c r="AW14" s="421"/>
      <c r="AX14" s="421"/>
      <c r="AY14" s="417"/>
      <c r="AZ14" s="422"/>
      <c r="BA14" s="422"/>
      <c r="BB14" s="389"/>
      <c r="BC14" s="390"/>
      <c r="BD14" s="391"/>
      <c r="BE14" s="444"/>
      <c r="BF14" s="428" t="s">
        <v>296</v>
      </c>
      <c r="BG14" s="428"/>
      <c r="BH14" s="444"/>
      <c r="BI14" s="444"/>
      <c r="BJ14" s="444"/>
      <c r="BK14" s="444"/>
      <c r="BL14" s="444"/>
      <c r="BM14" s="444"/>
      <c r="BN14" s="444"/>
      <c r="BO14" s="444"/>
      <c r="BP14" s="444"/>
      <c r="BQ14" s="444"/>
      <c r="BR14" s="444"/>
      <c r="BS14" s="444"/>
      <c r="BT14" s="444"/>
    </row>
    <row r="15" spans="1:72" ht="12.5" customHeight="1">
      <c r="A15" s="393"/>
      <c r="B15" s="418"/>
      <c r="C15" s="417"/>
      <c r="D15" s="489" t="s">
        <v>275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89"/>
      <c r="S15" s="489"/>
      <c r="T15" s="489"/>
      <c r="U15" s="489"/>
      <c r="V15" s="489"/>
      <c r="W15" s="489"/>
      <c r="X15" s="489"/>
      <c r="Y15" s="489"/>
      <c r="Z15" s="489"/>
      <c r="AA15" s="489"/>
      <c r="AB15" s="489"/>
      <c r="AC15" s="489"/>
      <c r="AD15" s="489"/>
      <c r="AE15" s="489"/>
      <c r="AF15" s="489"/>
      <c r="AG15" s="489"/>
      <c r="AH15" s="489"/>
      <c r="AI15" s="489"/>
      <c r="AJ15" s="489"/>
      <c r="AK15" s="489"/>
      <c r="AL15" s="490"/>
      <c r="AM15" s="490"/>
      <c r="AN15" s="490"/>
      <c r="AO15" s="490"/>
      <c r="AP15" s="490"/>
      <c r="AQ15" s="490"/>
      <c r="AR15" s="490"/>
      <c r="AS15" s="431"/>
      <c r="AT15" s="425"/>
      <c r="AU15" s="421"/>
      <c r="AV15" s="417"/>
      <c r="AW15" s="417"/>
      <c r="AX15" s="421"/>
      <c r="AY15" s="417"/>
      <c r="AZ15" s="422"/>
      <c r="BA15" s="422"/>
      <c r="BB15" s="389"/>
      <c r="BC15" s="390"/>
      <c r="BD15" s="391"/>
      <c r="BE15" s="444"/>
      <c r="BF15" s="428" t="s">
        <v>297</v>
      </c>
      <c r="BG15" s="428"/>
      <c r="BH15" s="444"/>
      <c r="BI15" s="444"/>
      <c r="BJ15" s="444"/>
      <c r="BK15" s="444"/>
      <c r="BL15" s="444"/>
      <c r="BM15" s="444"/>
      <c r="BN15" s="444"/>
      <c r="BO15" s="444"/>
      <c r="BP15" s="444"/>
      <c r="BQ15" s="444"/>
      <c r="BR15" s="444"/>
      <c r="BS15" s="444"/>
      <c r="BT15" s="444"/>
    </row>
    <row r="16" spans="1:72" ht="12.5" customHeight="1">
      <c r="A16" s="393"/>
      <c r="B16" s="418"/>
      <c r="C16" s="417"/>
      <c r="D16" s="492"/>
      <c r="E16" s="492"/>
      <c r="F16" s="492"/>
      <c r="G16" s="492"/>
      <c r="H16" s="492"/>
      <c r="I16" s="492"/>
      <c r="J16" s="492"/>
      <c r="K16" s="492"/>
      <c r="L16" s="492"/>
      <c r="M16" s="492"/>
      <c r="N16" s="492"/>
      <c r="O16" s="492"/>
      <c r="P16" s="492"/>
      <c r="Q16" s="492"/>
      <c r="R16" s="492"/>
      <c r="S16" s="492"/>
      <c r="T16" s="492"/>
      <c r="U16" s="492"/>
      <c r="V16" s="492"/>
      <c r="W16" s="492"/>
      <c r="X16" s="492"/>
      <c r="Y16" s="492"/>
      <c r="Z16" s="492"/>
      <c r="AA16" s="492"/>
      <c r="AB16" s="492"/>
      <c r="AC16" s="492"/>
      <c r="AD16" s="492"/>
      <c r="AE16" s="492"/>
      <c r="AF16" s="492"/>
      <c r="AG16" s="492"/>
      <c r="AH16" s="492"/>
      <c r="AI16" s="492"/>
      <c r="AJ16" s="492"/>
      <c r="AK16" s="492"/>
      <c r="AL16" s="491"/>
      <c r="AM16" s="491"/>
      <c r="AN16" s="491"/>
      <c r="AO16" s="491"/>
      <c r="AP16" s="491"/>
      <c r="AQ16" s="491"/>
      <c r="AR16" s="491"/>
      <c r="AS16" s="431"/>
      <c r="AT16" s="425"/>
      <c r="AU16" s="421"/>
      <c r="AV16" s="421"/>
      <c r="AW16" s="421"/>
      <c r="AX16" s="421"/>
      <c r="AY16" s="417"/>
      <c r="AZ16" s="422"/>
      <c r="BA16" s="422"/>
      <c r="BB16" s="389"/>
      <c r="BC16" s="390"/>
      <c r="BD16" s="391"/>
      <c r="BE16" s="447"/>
      <c r="BF16" s="428"/>
      <c r="BG16" s="428"/>
      <c r="BH16" s="444"/>
      <c r="BI16" s="444"/>
      <c r="BJ16" s="444"/>
      <c r="BK16" s="444"/>
      <c r="BL16" s="444"/>
      <c r="BM16" s="444"/>
      <c r="BN16" s="444"/>
      <c r="BO16" s="444"/>
      <c r="BP16" s="444"/>
      <c r="BQ16" s="444"/>
      <c r="BR16" s="444"/>
      <c r="BS16" s="444"/>
      <c r="BT16" s="444"/>
    </row>
    <row r="17" spans="1:72" ht="12.5" customHeight="1">
      <c r="A17" s="393"/>
      <c r="B17" s="418"/>
      <c r="C17" s="417"/>
      <c r="D17" s="492" t="s">
        <v>276</v>
      </c>
      <c r="E17" s="492"/>
      <c r="F17" s="492"/>
      <c r="G17" s="492"/>
      <c r="H17" s="492"/>
      <c r="I17" s="492"/>
      <c r="J17" s="492"/>
      <c r="K17" s="492"/>
      <c r="L17" s="492"/>
      <c r="M17" s="492"/>
      <c r="N17" s="492"/>
      <c r="O17" s="492"/>
      <c r="P17" s="492"/>
      <c r="Q17" s="492"/>
      <c r="R17" s="492"/>
      <c r="S17" s="492"/>
      <c r="T17" s="492"/>
      <c r="U17" s="492"/>
      <c r="V17" s="492"/>
      <c r="W17" s="492"/>
      <c r="X17" s="492"/>
      <c r="Y17" s="492"/>
      <c r="Z17" s="492"/>
      <c r="AA17" s="492"/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1"/>
      <c r="AM17" s="491"/>
      <c r="AN17" s="491"/>
      <c r="AO17" s="491"/>
      <c r="AP17" s="491"/>
      <c r="AQ17" s="491"/>
      <c r="AR17" s="491"/>
      <c r="AS17" s="431"/>
      <c r="AT17" s="425"/>
      <c r="AU17" s="421"/>
      <c r="AV17" s="421"/>
      <c r="AW17" s="421"/>
      <c r="AX17" s="421"/>
      <c r="AY17" s="417"/>
      <c r="AZ17" s="422"/>
      <c r="BA17" s="422"/>
      <c r="BB17" s="389"/>
      <c r="BC17" s="390"/>
      <c r="BD17" s="391"/>
      <c r="BE17" s="444"/>
      <c r="BF17" s="444" t="s">
        <v>298</v>
      </c>
      <c r="BG17" s="444"/>
      <c r="BH17" s="444"/>
      <c r="BI17" s="444"/>
      <c r="BJ17" s="444"/>
      <c r="BK17" s="444"/>
      <c r="BL17" s="444"/>
      <c r="BM17" s="444"/>
      <c r="BN17" s="444"/>
      <c r="BO17" s="444"/>
      <c r="BP17" s="444"/>
      <c r="BQ17" s="444"/>
      <c r="BR17" s="444"/>
      <c r="BS17" s="444"/>
      <c r="BT17" s="444"/>
    </row>
    <row r="18" spans="1:72" ht="12.5" customHeight="1">
      <c r="A18" s="393"/>
      <c r="B18" s="418"/>
      <c r="C18" s="417"/>
      <c r="D18" s="492" t="s">
        <v>277</v>
      </c>
      <c r="E18" s="492"/>
      <c r="F18" s="492"/>
      <c r="G18" s="492"/>
      <c r="H18" s="492"/>
      <c r="I18" s="492"/>
      <c r="J18" s="492"/>
      <c r="K18" s="492"/>
      <c r="L18" s="492"/>
      <c r="M18" s="492"/>
      <c r="N18" s="492"/>
      <c r="O18" s="492"/>
      <c r="P18" s="492"/>
      <c r="Q18" s="492"/>
      <c r="R18" s="492"/>
      <c r="S18" s="492"/>
      <c r="T18" s="492"/>
      <c r="U18" s="492"/>
      <c r="V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K18" s="492"/>
      <c r="AL18" s="491"/>
      <c r="AM18" s="491"/>
      <c r="AN18" s="491"/>
      <c r="AO18" s="491"/>
      <c r="AP18" s="491"/>
      <c r="AQ18" s="491"/>
      <c r="AR18" s="491"/>
      <c r="AS18" s="431"/>
      <c r="AT18" s="425"/>
      <c r="AU18" s="421"/>
      <c r="AV18" s="421"/>
      <c r="AW18" s="421"/>
      <c r="AX18" s="421"/>
      <c r="AY18" s="417"/>
      <c r="AZ18" s="422"/>
      <c r="BA18" s="422"/>
      <c r="BB18" s="389"/>
      <c r="BC18" s="390"/>
      <c r="BD18" s="391"/>
      <c r="BE18" s="444"/>
      <c r="BF18" s="444"/>
      <c r="BG18" s="444" t="s">
        <v>299</v>
      </c>
      <c r="BH18" s="444"/>
      <c r="BI18" s="444"/>
      <c r="BJ18" s="444"/>
      <c r="BK18" s="444"/>
      <c r="BL18" s="444"/>
      <c r="BM18" s="444"/>
      <c r="BN18" s="444"/>
      <c r="BO18" s="444"/>
      <c r="BP18" s="444"/>
      <c r="BQ18" s="444"/>
      <c r="BR18" s="444"/>
      <c r="BS18" s="444"/>
      <c r="BT18" s="444"/>
    </row>
    <row r="19" spans="1:72" ht="12.5" customHeight="1">
      <c r="A19" s="393"/>
      <c r="B19" s="418"/>
      <c r="C19" s="423"/>
      <c r="D19" s="492" t="s">
        <v>278</v>
      </c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  <c r="Z19" s="492"/>
      <c r="AA19" s="492"/>
      <c r="AB19" s="492"/>
      <c r="AC19" s="492"/>
      <c r="AD19" s="492"/>
      <c r="AE19" s="492"/>
      <c r="AF19" s="492"/>
      <c r="AG19" s="492"/>
      <c r="AH19" s="492"/>
      <c r="AI19" s="492"/>
      <c r="AJ19" s="492"/>
      <c r="AK19" s="492"/>
      <c r="AL19" s="491"/>
      <c r="AM19" s="491"/>
      <c r="AN19" s="491"/>
      <c r="AO19" s="491"/>
      <c r="AP19" s="491"/>
      <c r="AQ19" s="491"/>
      <c r="AR19" s="491"/>
      <c r="AS19" s="431"/>
      <c r="AT19" s="425"/>
      <c r="AU19" s="421"/>
      <c r="AV19" s="421"/>
      <c r="AW19" s="421"/>
      <c r="AX19" s="421"/>
      <c r="AY19" s="417"/>
      <c r="AZ19" s="422"/>
      <c r="BA19" s="422"/>
      <c r="BB19" s="389"/>
      <c r="BC19" s="390"/>
      <c r="BD19" s="391"/>
      <c r="BE19" s="444"/>
      <c r="BF19" s="444"/>
      <c r="BG19" s="444" t="s">
        <v>300</v>
      </c>
      <c r="BH19" s="444"/>
      <c r="BI19" s="444"/>
      <c r="BJ19" s="444"/>
      <c r="BK19" s="444"/>
      <c r="BL19" s="444"/>
      <c r="BM19" s="444"/>
      <c r="BN19" s="444"/>
      <c r="BO19" s="444"/>
      <c r="BP19" s="444"/>
      <c r="BQ19" s="444"/>
      <c r="BR19" s="444"/>
      <c r="BS19" s="444"/>
      <c r="BT19" s="444"/>
    </row>
    <row r="20" spans="1:72" ht="12.5" customHeight="1">
      <c r="A20" s="393"/>
      <c r="B20" s="418"/>
      <c r="C20" s="417"/>
      <c r="D20" s="492" t="s">
        <v>279</v>
      </c>
      <c r="E20" s="492"/>
      <c r="F20" s="492"/>
      <c r="G20" s="492"/>
      <c r="H20" s="492"/>
      <c r="I20" s="492"/>
      <c r="J20" s="492"/>
      <c r="K20" s="492"/>
      <c r="L20" s="492"/>
      <c r="M20" s="492"/>
      <c r="N20" s="492"/>
      <c r="O20" s="492"/>
      <c r="P20" s="492"/>
      <c r="Q20" s="492"/>
      <c r="R20" s="492"/>
      <c r="S20" s="492"/>
      <c r="T20" s="492"/>
      <c r="U20" s="492"/>
      <c r="V20" s="492"/>
      <c r="W20" s="492"/>
      <c r="X20" s="492"/>
      <c r="Y20" s="492"/>
      <c r="Z20" s="492"/>
      <c r="AA20" s="492"/>
      <c r="AB20" s="492"/>
      <c r="AC20" s="492"/>
      <c r="AD20" s="492"/>
      <c r="AE20" s="492"/>
      <c r="AF20" s="492"/>
      <c r="AG20" s="492"/>
      <c r="AH20" s="492"/>
      <c r="AI20" s="492"/>
      <c r="AJ20" s="492"/>
      <c r="AK20" s="492"/>
      <c r="AL20" s="491"/>
      <c r="AM20" s="491"/>
      <c r="AN20" s="491"/>
      <c r="AO20" s="491"/>
      <c r="AP20" s="491"/>
      <c r="AQ20" s="491"/>
      <c r="AR20" s="491"/>
      <c r="AS20" s="431"/>
      <c r="AT20" s="425"/>
      <c r="AU20" s="421"/>
      <c r="AV20" s="421"/>
      <c r="AW20" s="421"/>
      <c r="AX20" s="421"/>
      <c r="AY20" s="417"/>
      <c r="AZ20" s="422"/>
      <c r="BA20" s="422"/>
      <c r="BB20" s="389"/>
      <c r="BC20" s="390"/>
      <c r="BD20" s="392"/>
      <c r="BE20" s="444"/>
      <c r="BF20" s="444"/>
      <c r="BG20" s="444" t="s">
        <v>301</v>
      </c>
      <c r="BH20" s="444"/>
      <c r="BI20" s="444"/>
      <c r="BJ20" s="444"/>
      <c r="BK20" s="444"/>
      <c r="BL20" s="444"/>
      <c r="BM20" s="444"/>
      <c r="BN20" s="444"/>
      <c r="BO20" s="444"/>
      <c r="BP20" s="444"/>
      <c r="BQ20" s="444"/>
      <c r="BR20" s="444"/>
      <c r="BS20" s="444"/>
      <c r="BT20" s="444"/>
    </row>
    <row r="21" spans="1:72" ht="12.5" customHeight="1">
      <c r="A21" s="393"/>
      <c r="B21" s="418"/>
      <c r="C21" s="427"/>
      <c r="D21" s="492"/>
      <c r="E21" s="492"/>
      <c r="F21" s="492"/>
      <c r="G21" s="492"/>
      <c r="H21" s="492"/>
      <c r="I21" s="492"/>
      <c r="J21" s="492"/>
      <c r="K21" s="492"/>
      <c r="L21" s="492"/>
      <c r="M21" s="492"/>
      <c r="N21" s="492"/>
      <c r="O21" s="492"/>
      <c r="P21" s="492"/>
      <c r="Q21" s="492"/>
      <c r="R21" s="492"/>
      <c r="S21" s="492"/>
      <c r="T21" s="492"/>
      <c r="U21" s="492"/>
      <c r="V21" s="492"/>
      <c r="W21" s="492"/>
      <c r="X21" s="49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K21" s="492"/>
      <c r="AL21" s="491"/>
      <c r="AM21" s="491"/>
      <c r="AN21" s="491"/>
      <c r="AO21" s="491"/>
      <c r="AP21" s="491"/>
      <c r="AQ21" s="491"/>
      <c r="AR21" s="491"/>
      <c r="AS21" s="431"/>
      <c r="AT21" s="421"/>
      <c r="AU21" s="421"/>
      <c r="AV21" s="421"/>
      <c r="AW21" s="421"/>
      <c r="AX21" s="421"/>
      <c r="AY21" s="421"/>
      <c r="AZ21" s="422"/>
      <c r="BA21" s="422"/>
      <c r="BB21" s="405"/>
      <c r="BC21" s="406"/>
      <c r="BD21" s="391"/>
      <c r="BE21" s="444"/>
      <c r="BF21" s="444"/>
      <c r="BG21" s="444" t="s">
        <v>302</v>
      </c>
      <c r="BH21" s="444"/>
      <c r="BI21" s="444"/>
      <c r="BJ21" s="444"/>
      <c r="BK21" s="444"/>
      <c r="BL21" s="444"/>
      <c r="BM21" s="444"/>
      <c r="BN21" s="444"/>
      <c r="BO21" s="444"/>
      <c r="BP21" s="444"/>
      <c r="BQ21" s="444"/>
      <c r="BR21" s="444"/>
      <c r="BS21" s="444"/>
      <c r="BT21" s="444"/>
    </row>
    <row r="22" spans="1:72" ht="12.5" customHeight="1">
      <c r="A22" s="393"/>
      <c r="B22" s="418"/>
      <c r="C22" s="427"/>
      <c r="D22" s="492" t="s">
        <v>281</v>
      </c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1"/>
      <c r="AM22" s="491"/>
      <c r="AN22" s="491"/>
      <c r="AO22" s="491"/>
      <c r="AP22" s="491"/>
      <c r="AQ22" s="491"/>
      <c r="AR22" s="491"/>
      <c r="AS22" s="431"/>
      <c r="AT22" s="425"/>
      <c r="AU22" s="421"/>
      <c r="AV22" s="421"/>
      <c r="AW22" s="421"/>
      <c r="AX22" s="421"/>
      <c r="AY22" s="421"/>
      <c r="AZ22" s="422"/>
      <c r="BA22" s="422"/>
      <c r="BB22" s="405"/>
      <c r="BC22" s="406"/>
      <c r="BD22" s="391"/>
      <c r="BE22" s="444"/>
      <c r="BF22" s="444"/>
      <c r="BG22" s="444" t="s">
        <v>177</v>
      </c>
      <c r="BH22" s="444"/>
      <c r="BI22" s="444"/>
      <c r="BJ22" s="444"/>
      <c r="BK22" s="444"/>
      <c r="BL22" s="444"/>
      <c r="BM22" s="444"/>
      <c r="BN22" s="444"/>
      <c r="BO22" s="444"/>
      <c r="BP22" s="444"/>
      <c r="BQ22" s="444"/>
      <c r="BR22" s="444"/>
      <c r="BS22" s="444"/>
      <c r="BT22" s="444"/>
    </row>
    <row r="23" spans="1:72" ht="12.5" customHeight="1">
      <c r="A23" s="393"/>
      <c r="B23" s="418"/>
      <c r="C23" s="427"/>
      <c r="D23" s="492" t="s">
        <v>280</v>
      </c>
      <c r="E23" s="492"/>
      <c r="F23" s="492"/>
      <c r="G23" s="492"/>
      <c r="H23" s="492"/>
      <c r="I23" s="492"/>
      <c r="J23" s="492"/>
      <c r="K23" s="492"/>
      <c r="L23" s="492"/>
      <c r="M23" s="492"/>
      <c r="N23" s="492"/>
      <c r="O23" s="492"/>
      <c r="P23" s="492"/>
      <c r="Q23" s="492"/>
      <c r="R23" s="492"/>
      <c r="S23" s="492"/>
      <c r="T23" s="492"/>
      <c r="U23" s="492"/>
      <c r="V23" s="492"/>
      <c r="W23" s="492"/>
      <c r="X23" s="492"/>
      <c r="Y23" s="492"/>
      <c r="Z23" s="492"/>
      <c r="AA23" s="492"/>
      <c r="AB23" s="492"/>
      <c r="AC23" s="492"/>
      <c r="AD23" s="492"/>
      <c r="AE23" s="492"/>
      <c r="AF23" s="492"/>
      <c r="AG23" s="492"/>
      <c r="AH23" s="492"/>
      <c r="AI23" s="492"/>
      <c r="AJ23" s="492"/>
      <c r="AK23" s="492"/>
      <c r="AL23" s="491"/>
      <c r="AM23" s="491"/>
      <c r="AN23" s="491"/>
      <c r="AO23" s="491"/>
      <c r="AP23" s="491"/>
      <c r="AQ23" s="491"/>
      <c r="AR23" s="491"/>
      <c r="AS23" s="432"/>
      <c r="AT23" s="429"/>
      <c r="AU23" s="429"/>
      <c r="AV23" s="429"/>
      <c r="AW23" s="429"/>
      <c r="AX23" s="429"/>
      <c r="AY23" s="429"/>
      <c r="AZ23" s="422"/>
      <c r="BA23" s="422"/>
      <c r="BB23" s="405"/>
      <c r="BC23" s="406"/>
      <c r="BD23" s="391"/>
      <c r="BE23" s="444"/>
      <c r="BF23" s="444"/>
      <c r="BG23" s="444" t="s">
        <v>178</v>
      </c>
      <c r="BH23" s="444"/>
      <c r="BI23" s="444"/>
      <c r="BJ23" s="444"/>
      <c r="BK23" s="444"/>
      <c r="BL23" s="444"/>
      <c r="BM23" s="444"/>
      <c r="BN23" s="444"/>
      <c r="BO23" s="444"/>
      <c r="BP23" s="444"/>
      <c r="BQ23" s="444"/>
      <c r="BR23" s="444"/>
      <c r="BS23" s="444"/>
      <c r="BT23" s="444"/>
    </row>
    <row r="24" spans="1:72" ht="12.5" customHeight="1">
      <c r="A24" s="393"/>
      <c r="B24" s="418"/>
      <c r="C24" s="427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2"/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1"/>
      <c r="AM24" s="491"/>
      <c r="AN24" s="491"/>
      <c r="AO24" s="491"/>
      <c r="AP24" s="491"/>
      <c r="AQ24" s="491"/>
      <c r="AR24" s="491"/>
      <c r="AS24" s="431"/>
      <c r="AT24" s="421"/>
      <c r="AU24" s="421"/>
      <c r="AV24" s="421"/>
      <c r="AW24" s="421"/>
      <c r="AX24" s="421"/>
      <c r="AY24" s="421"/>
      <c r="AZ24" s="422"/>
      <c r="BA24" s="422"/>
      <c r="BB24" s="405"/>
      <c r="BC24" s="406"/>
      <c r="BD24" s="391"/>
      <c r="BE24" s="444"/>
      <c r="BF24" s="444"/>
      <c r="BG24" s="444"/>
      <c r="BH24" s="444"/>
      <c r="BI24" s="444"/>
      <c r="BJ24" s="444"/>
      <c r="BK24" s="444"/>
      <c r="BL24" s="444"/>
      <c r="BM24" s="444"/>
      <c r="BN24" s="444"/>
      <c r="BO24" s="444"/>
      <c r="BP24" s="444"/>
      <c r="BQ24" s="444"/>
      <c r="BR24" s="444"/>
      <c r="BS24" s="444"/>
      <c r="BT24" s="444"/>
    </row>
    <row r="25" spans="1:72" ht="12.5" customHeight="1">
      <c r="A25" s="393"/>
      <c r="B25" s="418"/>
      <c r="C25" s="420"/>
      <c r="D25" s="420"/>
      <c r="E25" s="420"/>
      <c r="F25" s="420"/>
      <c r="G25" s="420"/>
      <c r="H25" s="420"/>
      <c r="I25" s="420"/>
      <c r="J25" s="420"/>
      <c r="K25" s="420"/>
      <c r="L25" s="420"/>
      <c r="M25" s="420"/>
      <c r="N25" s="420"/>
      <c r="O25" s="420"/>
      <c r="P25" s="420"/>
      <c r="Q25" s="42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  <c r="AK25" s="420"/>
      <c r="AL25" s="420"/>
      <c r="AM25" s="420"/>
      <c r="AN25" s="420"/>
      <c r="AO25" s="420"/>
      <c r="AP25" s="420"/>
      <c r="AQ25" s="420"/>
      <c r="AR25" s="420"/>
      <c r="AS25" s="420"/>
      <c r="AT25" s="420"/>
      <c r="AU25" s="420"/>
      <c r="AV25" s="420"/>
      <c r="AW25" s="420"/>
      <c r="AX25" s="420"/>
      <c r="AY25" s="420"/>
      <c r="AZ25" s="422"/>
      <c r="BA25" s="422"/>
      <c r="BB25" s="405"/>
      <c r="BC25" s="406"/>
      <c r="BD25" s="391"/>
      <c r="BE25" s="444"/>
      <c r="BF25" s="444" t="s">
        <v>303</v>
      </c>
      <c r="BG25" s="447"/>
      <c r="BH25" s="444"/>
      <c r="BI25" s="444"/>
      <c r="BJ25" s="444"/>
      <c r="BK25" s="444"/>
      <c r="BL25" s="444"/>
      <c r="BM25" s="444"/>
      <c r="BN25" s="444"/>
      <c r="BO25" s="444"/>
      <c r="BP25" s="444"/>
      <c r="BQ25" s="444"/>
      <c r="BR25" s="444"/>
      <c r="BS25" s="444"/>
      <c r="BT25" s="444"/>
    </row>
    <row r="26" spans="1:72" ht="12.5" customHeight="1">
      <c r="A26" s="393"/>
      <c r="B26" s="426"/>
      <c r="C26" s="420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20"/>
      <c r="AO26" s="420"/>
      <c r="AP26" s="420"/>
      <c r="AQ26" s="420"/>
      <c r="AR26" s="420"/>
      <c r="AS26" s="420"/>
      <c r="AT26" s="420"/>
      <c r="AU26" s="420"/>
      <c r="AV26" s="420"/>
      <c r="AW26" s="420"/>
      <c r="AX26" s="420"/>
      <c r="AY26" s="420"/>
      <c r="AZ26" s="422"/>
      <c r="BA26" s="422"/>
      <c r="BB26" s="389"/>
      <c r="BC26" s="390"/>
      <c r="BD26" s="391"/>
      <c r="BE26" s="444"/>
      <c r="BF26" s="444"/>
      <c r="BG26" s="447" t="s">
        <v>304</v>
      </c>
      <c r="BH26" s="444"/>
      <c r="BI26" s="444"/>
      <c r="BJ26" s="444"/>
      <c r="BK26" s="444"/>
      <c r="BL26" s="444"/>
      <c r="BM26" s="444"/>
      <c r="BN26" s="444"/>
      <c r="BO26" s="444"/>
      <c r="BP26" s="444"/>
      <c r="BQ26" s="444"/>
      <c r="BR26" s="444"/>
      <c r="BS26" s="444"/>
      <c r="BT26" s="444"/>
    </row>
    <row r="27" spans="1:72" ht="12.5" customHeight="1">
      <c r="A27" s="393"/>
      <c r="B27" s="426"/>
      <c r="C27" s="420"/>
      <c r="D27" s="420"/>
      <c r="E27" s="420"/>
      <c r="F27" s="420"/>
      <c r="G27" s="420"/>
      <c r="H27" s="420"/>
      <c r="I27" s="420"/>
      <c r="J27" s="420"/>
      <c r="K27" s="420"/>
      <c r="L27" s="420"/>
      <c r="M27" s="420"/>
      <c r="N27" s="420"/>
      <c r="O27" s="420"/>
      <c r="P27" s="420"/>
      <c r="Q27" s="420"/>
      <c r="R27" s="420"/>
      <c r="S27" s="420"/>
      <c r="T27" s="420"/>
      <c r="U27" s="420"/>
      <c r="V27" s="420"/>
      <c r="W27" s="420"/>
      <c r="X27" s="420"/>
      <c r="Y27" s="420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  <c r="AK27" s="420"/>
      <c r="AL27" s="420"/>
      <c r="AM27" s="420"/>
      <c r="AN27" s="420"/>
      <c r="AO27" s="420"/>
      <c r="AP27" s="420"/>
      <c r="AQ27" s="420"/>
      <c r="AR27" s="420"/>
      <c r="AS27" s="420"/>
      <c r="AT27" s="420"/>
      <c r="AU27" s="420"/>
      <c r="AV27" s="420"/>
      <c r="AW27" s="420"/>
      <c r="AX27" s="420"/>
      <c r="AY27" s="420"/>
      <c r="AZ27" s="422"/>
      <c r="BA27" s="422"/>
      <c r="BB27" s="389"/>
      <c r="BC27" s="390"/>
      <c r="BD27" s="391"/>
      <c r="BE27" s="444"/>
      <c r="BF27" s="444"/>
      <c r="BG27" s="447" t="s">
        <v>305</v>
      </c>
      <c r="BH27" s="444"/>
      <c r="BI27" s="444"/>
      <c r="BJ27" s="444"/>
      <c r="BK27" s="444"/>
      <c r="BL27" s="444"/>
      <c r="BM27" s="444"/>
      <c r="BN27" s="444"/>
      <c r="BO27" s="444"/>
      <c r="BP27" s="444"/>
      <c r="BQ27" s="444"/>
      <c r="BR27" s="444"/>
      <c r="BS27" s="444"/>
      <c r="BT27" s="444"/>
    </row>
    <row r="28" spans="1:72" ht="12.5" customHeight="1">
      <c r="A28" s="393"/>
      <c r="B28" s="418"/>
      <c r="C28" s="420"/>
      <c r="D28" s="420"/>
      <c r="E28" s="420"/>
      <c r="F28" s="420"/>
      <c r="G28" s="420"/>
      <c r="H28" s="420"/>
      <c r="I28" s="420"/>
      <c r="J28" s="420"/>
      <c r="K28" s="420"/>
      <c r="L28" s="420"/>
      <c r="M28" s="420"/>
      <c r="N28" s="420"/>
      <c r="O28" s="420"/>
      <c r="P28" s="420"/>
      <c r="Q28" s="420"/>
      <c r="R28" s="420"/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  <c r="AK28" s="420"/>
      <c r="AL28" s="420"/>
      <c r="AM28" s="420"/>
      <c r="AN28" s="420"/>
      <c r="AO28" s="420"/>
      <c r="AP28" s="420"/>
      <c r="AQ28" s="420"/>
      <c r="AR28" s="420"/>
      <c r="AS28" s="420"/>
      <c r="AT28" s="420"/>
      <c r="AU28" s="420"/>
      <c r="AV28" s="420"/>
      <c r="AW28" s="420"/>
      <c r="AX28" s="420"/>
      <c r="AY28" s="420"/>
      <c r="AZ28" s="422"/>
      <c r="BA28" s="422"/>
      <c r="BB28" s="405"/>
      <c r="BC28" s="406"/>
      <c r="BD28" s="391"/>
      <c r="BE28" s="444"/>
      <c r="BF28" s="444"/>
      <c r="BG28" s="447"/>
      <c r="BH28" s="444"/>
      <c r="BI28" s="444"/>
      <c r="BJ28" s="444"/>
      <c r="BK28" s="444"/>
      <c r="BL28" s="444"/>
      <c r="BM28" s="444"/>
      <c r="BN28" s="444"/>
      <c r="BO28" s="444"/>
      <c r="BP28" s="444"/>
      <c r="BQ28" s="444"/>
      <c r="BR28" s="444"/>
      <c r="BS28" s="444"/>
      <c r="BT28" s="444"/>
    </row>
    <row r="29" spans="1:72" ht="12.5" customHeight="1">
      <c r="A29" s="393"/>
      <c r="B29" s="418"/>
      <c r="C29" s="423"/>
      <c r="D29" s="419"/>
      <c r="E29" s="419"/>
      <c r="F29" s="419"/>
      <c r="G29" s="421"/>
      <c r="H29" s="431"/>
      <c r="I29" s="431"/>
      <c r="J29" s="431"/>
      <c r="K29" s="431"/>
      <c r="L29" s="431"/>
      <c r="M29" s="431"/>
      <c r="N29" s="431"/>
      <c r="O29" s="431"/>
      <c r="P29" s="431"/>
      <c r="Q29" s="431"/>
      <c r="R29" s="431"/>
      <c r="S29" s="431"/>
      <c r="T29" s="431"/>
      <c r="U29" s="431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  <c r="AM29" s="431"/>
      <c r="AN29" s="431"/>
      <c r="AO29" s="431"/>
      <c r="AP29" s="431"/>
      <c r="AQ29" s="431"/>
      <c r="AR29" s="431"/>
      <c r="AS29" s="431"/>
      <c r="AT29" s="425"/>
      <c r="AU29" s="421"/>
      <c r="AV29" s="421"/>
      <c r="AW29" s="421"/>
      <c r="AX29" s="421"/>
      <c r="AY29" s="417"/>
      <c r="AZ29" s="422"/>
      <c r="BA29" s="422"/>
      <c r="BB29" s="389"/>
      <c r="BC29" s="390"/>
      <c r="BD29" s="391"/>
      <c r="BE29" s="444"/>
      <c r="BF29" s="444" t="s">
        <v>306</v>
      </c>
      <c r="BG29" s="447"/>
      <c r="BH29" s="444"/>
      <c r="BI29" s="444"/>
      <c r="BJ29" s="444"/>
      <c r="BK29" s="444"/>
      <c r="BL29" s="444"/>
      <c r="BM29" s="444"/>
      <c r="BN29" s="444"/>
      <c r="BO29" s="444"/>
      <c r="BP29" s="444"/>
      <c r="BQ29" s="444"/>
      <c r="BR29" s="444"/>
      <c r="BS29" s="444"/>
      <c r="BT29" s="444"/>
    </row>
    <row r="30" spans="1:72" ht="12.5" customHeight="1">
      <c r="A30" s="393"/>
      <c r="B30" s="426"/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  <c r="AK30" s="420"/>
      <c r="AL30" s="420"/>
      <c r="AM30" s="420"/>
      <c r="AN30" s="420"/>
      <c r="AO30" s="420"/>
      <c r="AP30" s="420"/>
      <c r="AQ30" s="420"/>
      <c r="AR30" s="420"/>
      <c r="AS30" s="420"/>
      <c r="AT30" s="420"/>
      <c r="AU30" s="420"/>
      <c r="AV30" s="420"/>
      <c r="AW30" s="420"/>
      <c r="AX30" s="420"/>
      <c r="AY30" s="420"/>
      <c r="AZ30" s="422"/>
      <c r="BA30" s="422"/>
      <c r="BB30" s="389"/>
      <c r="BC30" s="390"/>
      <c r="BD30" s="391"/>
      <c r="BE30" s="444"/>
      <c r="BF30" s="444"/>
      <c r="BG30" s="444" t="s">
        <v>307</v>
      </c>
      <c r="BH30" s="444"/>
      <c r="BI30" s="444"/>
      <c r="BJ30" s="444"/>
      <c r="BK30" s="444"/>
      <c r="BL30" s="444"/>
      <c r="BM30" s="444"/>
      <c r="BN30" s="444"/>
      <c r="BO30" s="444"/>
      <c r="BP30" s="444"/>
      <c r="BQ30" s="444"/>
      <c r="BR30" s="444"/>
      <c r="BS30" s="444"/>
      <c r="BT30" s="444"/>
    </row>
    <row r="31" spans="1:72" ht="12.5" customHeight="1">
      <c r="A31" s="393"/>
      <c r="B31" s="426"/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20"/>
      <c r="AL31" s="420"/>
      <c r="AM31" s="420"/>
      <c r="AN31" s="420"/>
      <c r="AO31" s="420"/>
      <c r="AP31" s="420"/>
      <c r="AQ31" s="420"/>
      <c r="AR31" s="420"/>
      <c r="AS31" s="420"/>
      <c r="AT31" s="420"/>
      <c r="AU31" s="420"/>
      <c r="AV31" s="420"/>
      <c r="AW31" s="420"/>
      <c r="AX31" s="420"/>
      <c r="AY31" s="420"/>
      <c r="AZ31" s="422"/>
      <c r="BA31" s="422"/>
      <c r="BB31" s="389"/>
      <c r="BC31" s="390"/>
      <c r="BD31" s="391"/>
      <c r="BE31" s="444"/>
      <c r="BF31" s="444"/>
      <c r="BG31" s="444" t="s">
        <v>308</v>
      </c>
      <c r="BH31" s="444"/>
      <c r="BI31" s="444"/>
      <c r="BJ31" s="444"/>
      <c r="BK31" s="444"/>
      <c r="BL31" s="444"/>
      <c r="BM31" s="444"/>
      <c r="BN31" s="444"/>
      <c r="BO31" s="444"/>
      <c r="BP31" s="444"/>
      <c r="BQ31" s="444"/>
      <c r="BR31" s="444"/>
      <c r="BS31" s="444"/>
      <c r="BT31" s="444"/>
    </row>
    <row r="32" spans="1:72" ht="12.5" customHeight="1">
      <c r="A32" s="393"/>
      <c r="B32" s="418"/>
      <c r="C32" s="493" t="s">
        <v>282</v>
      </c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  <c r="AN32" s="420"/>
      <c r="AO32" s="420"/>
      <c r="AP32" s="420"/>
      <c r="AQ32" s="420"/>
      <c r="AR32" s="420"/>
      <c r="AS32" s="420"/>
      <c r="AT32" s="420"/>
      <c r="AU32" s="420"/>
      <c r="AV32" s="420"/>
      <c r="AW32" s="420"/>
      <c r="AX32" s="420"/>
      <c r="AY32" s="420"/>
      <c r="AZ32" s="422"/>
      <c r="BA32" s="422"/>
      <c r="BB32" s="405"/>
      <c r="BC32" s="406"/>
      <c r="BD32" s="391"/>
      <c r="BE32" s="444"/>
      <c r="BF32" s="444"/>
      <c r="BG32" s="447" t="s">
        <v>309</v>
      </c>
      <c r="BH32" s="444"/>
      <c r="BI32" s="444"/>
      <c r="BJ32" s="444"/>
      <c r="BK32" s="444"/>
      <c r="BL32" s="444"/>
      <c r="BM32" s="444"/>
      <c r="BN32" s="444"/>
      <c r="BO32" s="444"/>
      <c r="BP32" s="444"/>
      <c r="BQ32" s="444"/>
      <c r="BR32" s="444"/>
      <c r="BS32" s="444"/>
      <c r="BT32" s="444"/>
    </row>
    <row r="33" spans="1:72" ht="12.5" customHeight="1">
      <c r="A33" s="393"/>
      <c r="B33" s="426"/>
      <c r="C33" s="420"/>
      <c r="D33" s="420"/>
      <c r="E33" s="420"/>
      <c r="F33" s="420"/>
      <c r="G33" s="420"/>
      <c r="H33" s="420"/>
      <c r="I33" s="420"/>
      <c r="J33" s="420"/>
      <c r="K33" s="420"/>
      <c r="L33" s="420"/>
      <c r="M33" s="420"/>
      <c r="N33" s="420"/>
      <c r="O33" s="420"/>
      <c r="P33" s="420"/>
      <c r="Q33" s="42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  <c r="AK33" s="420"/>
      <c r="AL33" s="420"/>
      <c r="AM33" s="420"/>
      <c r="AN33" s="420"/>
      <c r="AO33" s="420"/>
      <c r="AP33" s="420"/>
      <c r="AQ33" s="420"/>
      <c r="AR33" s="420"/>
      <c r="AS33" s="420"/>
      <c r="AT33" s="420"/>
      <c r="AU33" s="420"/>
      <c r="AV33" s="420"/>
      <c r="AW33" s="420"/>
      <c r="AX33" s="420"/>
      <c r="AY33" s="420"/>
      <c r="AZ33" s="422"/>
      <c r="BA33" s="422"/>
      <c r="BB33" s="389"/>
      <c r="BC33" s="390"/>
      <c r="BD33" s="391"/>
      <c r="BE33" s="444"/>
      <c r="BF33" s="444"/>
      <c r="BG33" s="444"/>
      <c r="BH33" s="444"/>
      <c r="BI33" s="444"/>
      <c r="BJ33" s="444"/>
      <c r="BK33" s="444"/>
      <c r="BL33" s="444"/>
      <c r="BM33" s="444"/>
      <c r="BN33" s="444"/>
      <c r="BO33" s="444"/>
      <c r="BP33" s="444"/>
      <c r="BQ33" s="444"/>
      <c r="BR33" s="444"/>
      <c r="BS33" s="444"/>
      <c r="BT33" s="444"/>
    </row>
    <row r="34" spans="1:72" ht="12.5" customHeight="1">
      <c r="A34" s="393"/>
      <c r="B34" s="426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  <c r="AK34" s="420"/>
      <c r="AL34" s="420"/>
      <c r="AM34" s="420"/>
      <c r="AN34" s="420"/>
      <c r="AO34" s="420"/>
      <c r="AP34" s="420"/>
      <c r="AQ34" s="420"/>
      <c r="AR34" s="420"/>
      <c r="AS34" s="420"/>
      <c r="AT34" s="420"/>
      <c r="AU34" s="420"/>
      <c r="AV34" s="420"/>
      <c r="AW34" s="420"/>
      <c r="AX34" s="420"/>
      <c r="AY34" s="420"/>
      <c r="AZ34" s="422"/>
      <c r="BA34" s="422"/>
      <c r="BB34" s="389"/>
      <c r="BC34" s="390"/>
      <c r="BD34" s="391"/>
      <c r="BE34" s="444"/>
      <c r="BF34" s="444" t="s">
        <v>310</v>
      </c>
      <c r="BG34" s="444"/>
      <c r="BH34" s="444"/>
      <c r="BI34" s="444"/>
      <c r="BJ34" s="444"/>
      <c r="BK34" s="444"/>
      <c r="BL34" s="444"/>
      <c r="BM34" s="444"/>
      <c r="BN34" s="444"/>
      <c r="BO34" s="444"/>
      <c r="BP34" s="444"/>
      <c r="BQ34" s="444"/>
      <c r="BR34" s="444"/>
      <c r="BS34" s="444"/>
      <c r="BT34" s="444"/>
    </row>
    <row r="35" spans="1:72" ht="12.5" customHeight="1">
      <c r="A35" s="393"/>
      <c r="B35" s="418"/>
      <c r="C35" s="417"/>
      <c r="D35" s="424" t="s">
        <v>283</v>
      </c>
      <c r="E35" s="419"/>
      <c r="F35" s="419"/>
      <c r="G35" s="42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31"/>
      <c r="AO35" s="431"/>
      <c r="AP35" s="431"/>
      <c r="AQ35" s="431"/>
      <c r="AR35" s="431"/>
      <c r="AS35" s="431"/>
      <c r="AT35" s="425"/>
      <c r="AU35" s="421"/>
      <c r="AV35" s="417"/>
      <c r="AW35" s="417"/>
      <c r="AX35" s="421"/>
      <c r="AY35" s="417"/>
      <c r="AZ35" s="422"/>
      <c r="BA35" s="422"/>
      <c r="BB35" s="389"/>
      <c r="BC35" s="390"/>
      <c r="BD35" s="391"/>
      <c r="BE35" s="444"/>
      <c r="BF35" s="444"/>
      <c r="BG35" s="444" t="s">
        <v>311</v>
      </c>
      <c r="BH35" s="444"/>
      <c r="BI35" s="444"/>
      <c r="BJ35" s="444"/>
      <c r="BK35" s="444"/>
      <c r="BL35" s="444"/>
      <c r="BM35" s="444"/>
      <c r="BN35" s="444"/>
      <c r="BO35" s="444"/>
      <c r="BP35" s="444"/>
      <c r="BQ35" s="444"/>
      <c r="BR35" s="444"/>
      <c r="BS35" s="444"/>
      <c r="BT35" s="444"/>
    </row>
    <row r="36" spans="1:72" ht="12.5" customHeight="1">
      <c r="A36" s="393"/>
      <c r="B36" s="418"/>
      <c r="C36" s="423"/>
      <c r="D36" s="419"/>
      <c r="E36" s="419"/>
      <c r="F36" s="419"/>
      <c r="G36" s="42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25"/>
      <c r="AU36" s="421"/>
      <c r="AV36" s="421"/>
      <c r="AW36" s="421"/>
      <c r="AX36" s="421"/>
      <c r="AY36" s="417"/>
      <c r="AZ36" s="422"/>
      <c r="BA36" s="422"/>
      <c r="BB36" s="389"/>
      <c r="BC36" s="390"/>
      <c r="BD36" s="391"/>
      <c r="BE36" s="444"/>
      <c r="BF36" s="444"/>
      <c r="BG36" s="447" t="s">
        <v>312</v>
      </c>
      <c r="BH36" s="444"/>
      <c r="BI36" s="444"/>
      <c r="BJ36" s="444"/>
      <c r="BK36" s="444"/>
      <c r="BL36" s="444"/>
      <c r="BM36" s="444"/>
      <c r="BN36" s="444"/>
      <c r="BO36" s="444"/>
      <c r="BP36" s="444"/>
      <c r="BQ36" s="444"/>
      <c r="BR36" s="444"/>
      <c r="BS36" s="444"/>
      <c r="BT36" s="444"/>
    </row>
    <row r="37" spans="1:72" ht="12.5" customHeight="1">
      <c r="A37" s="393"/>
      <c r="B37" s="418"/>
      <c r="C37" s="424"/>
      <c r="D37" s="490"/>
      <c r="E37" s="490"/>
      <c r="F37" s="490"/>
      <c r="G37" s="490"/>
      <c r="H37" s="490"/>
      <c r="I37" s="490"/>
      <c r="J37" s="490"/>
      <c r="K37" s="490"/>
      <c r="L37" s="490"/>
      <c r="M37" s="490"/>
      <c r="N37" s="490"/>
      <c r="O37" s="490"/>
      <c r="P37" s="490"/>
      <c r="Q37" s="490"/>
      <c r="R37" s="490"/>
      <c r="S37" s="490"/>
      <c r="T37" s="490"/>
      <c r="U37" s="490"/>
      <c r="V37" s="490"/>
      <c r="W37" s="490"/>
      <c r="X37" s="490"/>
      <c r="Y37" s="490"/>
      <c r="Z37" s="490"/>
      <c r="AA37" s="490"/>
      <c r="AB37" s="490"/>
      <c r="AC37" s="490"/>
      <c r="AD37" s="490"/>
      <c r="AE37" s="490"/>
      <c r="AF37" s="490"/>
      <c r="AG37" s="490"/>
      <c r="AH37" s="490"/>
      <c r="AI37" s="490"/>
      <c r="AJ37" s="490"/>
      <c r="AK37" s="490"/>
      <c r="AL37" s="490"/>
      <c r="AM37" s="490"/>
      <c r="AN37" s="490"/>
      <c r="AO37" s="490"/>
      <c r="AP37" s="490"/>
      <c r="AQ37" s="490"/>
      <c r="AR37" s="490"/>
      <c r="AS37" s="431"/>
      <c r="AT37" s="425"/>
      <c r="AU37" s="421"/>
      <c r="AV37" s="421"/>
      <c r="AW37" s="421"/>
      <c r="AX37" s="421"/>
      <c r="AY37" s="417"/>
      <c r="AZ37" s="422"/>
      <c r="BA37" s="422"/>
      <c r="BB37" s="389"/>
      <c r="BC37" s="390"/>
      <c r="BD37" s="391"/>
      <c r="BE37" s="444"/>
      <c r="BF37" s="444"/>
      <c r="BG37" s="444"/>
      <c r="BH37" s="444"/>
      <c r="BI37" s="444"/>
      <c r="BJ37" s="444"/>
      <c r="BK37" s="444"/>
      <c r="BL37" s="444"/>
      <c r="BM37" s="444"/>
      <c r="BN37" s="444"/>
      <c r="BO37" s="444"/>
      <c r="BP37" s="444"/>
      <c r="BQ37" s="444"/>
      <c r="BR37" s="444"/>
      <c r="BS37" s="444"/>
      <c r="BT37" s="444"/>
    </row>
    <row r="38" spans="1:72" ht="12.5" customHeight="1">
      <c r="A38" s="393"/>
      <c r="B38" s="418"/>
      <c r="C38" s="417"/>
      <c r="D38" s="489" t="s">
        <v>284</v>
      </c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89"/>
      <c r="R38" s="489"/>
      <c r="S38" s="489"/>
      <c r="T38" s="489"/>
      <c r="U38" s="489"/>
      <c r="V38" s="489"/>
      <c r="W38" s="489"/>
      <c r="X38" s="489"/>
      <c r="Y38" s="489"/>
      <c r="Z38" s="489"/>
      <c r="AA38" s="489"/>
      <c r="AB38" s="489"/>
      <c r="AC38" s="489"/>
      <c r="AD38" s="489"/>
      <c r="AE38" s="489"/>
      <c r="AF38" s="489"/>
      <c r="AG38" s="489"/>
      <c r="AH38" s="489"/>
      <c r="AI38" s="489"/>
      <c r="AJ38" s="489"/>
      <c r="AK38" s="489"/>
      <c r="AL38" s="490"/>
      <c r="AM38" s="490"/>
      <c r="AN38" s="490"/>
      <c r="AO38" s="490"/>
      <c r="AP38" s="490"/>
      <c r="AQ38" s="490"/>
      <c r="AR38" s="490"/>
      <c r="AS38" s="431"/>
      <c r="AT38" s="425"/>
      <c r="AU38" s="421"/>
      <c r="AV38" s="417"/>
      <c r="AW38" s="417"/>
      <c r="AX38" s="421"/>
      <c r="AY38" s="417"/>
      <c r="AZ38" s="422"/>
      <c r="BA38" s="422"/>
      <c r="BB38" s="389"/>
      <c r="BC38" s="390"/>
      <c r="BD38" s="391"/>
      <c r="BE38" s="444"/>
      <c r="BF38" s="444"/>
      <c r="BG38" s="444"/>
      <c r="BH38" s="444"/>
      <c r="BI38" s="444"/>
      <c r="BJ38" s="444"/>
      <c r="BK38" s="444"/>
      <c r="BL38" s="444"/>
      <c r="BM38" s="444"/>
      <c r="BN38" s="444"/>
      <c r="BO38" s="444"/>
      <c r="BP38" s="444"/>
      <c r="BQ38" s="444"/>
      <c r="BR38" s="444"/>
      <c r="BS38" s="444"/>
      <c r="BT38" s="444"/>
    </row>
    <row r="39" spans="1:72" ht="12.5" customHeight="1">
      <c r="A39" s="393"/>
      <c r="B39" s="418"/>
      <c r="C39" s="417"/>
      <c r="D39" s="492"/>
      <c r="E39" s="492"/>
      <c r="F39" s="492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1"/>
      <c r="AM39" s="491"/>
      <c r="AN39" s="491"/>
      <c r="AO39" s="491"/>
      <c r="AP39" s="491"/>
      <c r="AQ39" s="491"/>
      <c r="AR39" s="491"/>
      <c r="AS39" s="431"/>
      <c r="AT39" s="425"/>
      <c r="AU39" s="421"/>
      <c r="AV39" s="421"/>
      <c r="AW39" s="421"/>
      <c r="AX39" s="421"/>
      <c r="AY39" s="417"/>
      <c r="AZ39" s="422"/>
      <c r="BA39" s="422"/>
      <c r="BB39" s="389"/>
      <c r="BC39" s="390"/>
      <c r="BD39" s="391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</row>
    <row r="40" spans="1:72" ht="12.5" customHeight="1">
      <c r="A40" s="393"/>
      <c r="B40" s="418"/>
      <c r="C40" s="417"/>
      <c r="D40" s="492" t="s">
        <v>285</v>
      </c>
      <c r="E40" s="492"/>
      <c r="F40" s="492"/>
      <c r="G40" s="492"/>
      <c r="H40" s="492"/>
      <c r="I40" s="492"/>
      <c r="J40" s="492"/>
      <c r="K40" s="492"/>
      <c r="L40" s="492"/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92"/>
      <c r="AI40" s="492"/>
      <c r="AJ40" s="492"/>
      <c r="AK40" s="492"/>
      <c r="AL40" s="491"/>
      <c r="AM40" s="491"/>
      <c r="AN40" s="491"/>
      <c r="AO40" s="491"/>
      <c r="AP40" s="491"/>
      <c r="AQ40" s="491"/>
      <c r="AR40" s="491"/>
      <c r="AS40" s="431"/>
      <c r="AT40" s="425"/>
      <c r="AU40" s="421"/>
      <c r="AV40" s="421"/>
      <c r="AW40" s="421"/>
      <c r="AX40" s="421"/>
      <c r="AY40" s="417"/>
      <c r="AZ40" s="422"/>
      <c r="BA40" s="422"/>
      <c r="BB40" s="389"/>
      <c r="BC40" s="390"/>
      <c r="BD40" s="391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44"/>
      <c r="BP40" s="444"/>
      <c r="BQ40" s="444"/>
      <c r="BR40" s="444"/>
      <c r="BS40" s="444"/>
      <c r="BT40" s="444"/>
    </row>
    <row r="41" spans="1:72" ht="12.5" customHeight="1">
      <c r="A41" s="393"/>
      <c r="B41" s="418"/>
      <c r="C41" s="417"/>
      <c r="D41" s="492" t="s">
        <v>286</v>
      </c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1"/>
      <c r="AM41" s="491"/>
      <c r="AN41" s="491"/>
      <c r="AO41" s="491"/>
      <c r="AP41" s="491"/>
      <c r="AQ41" s="491"/>
      <c r="AR41" s="491"/>
      <c r="AS41" s="431"/>
      <c r="AT41" s="425"/>
      <c r="AU41" s="421"/>
      <c r="AV41" s="421"/>
      <c r="AW41" s="421"/>
      <c r="AX41" s="421"/>
      <c r="AY41" s="417"/>
      <c r="AZ41" s="422"/>
      <c r="BA41" s="422"/>
      <c r="BB41" s="389"/>
      <c r="BC41" s="390"/>
      <c r="BD41" s="391"/>
      <c r="BE41" s="444"/>
      <c r="BF41" s="444"/>
      <c r="BG41" s="444"/>
      <c r="BH41" s="444"/>
      <c r="BI41" s="444"/>
      <c r="BJ41" s="444"/>
      <c r="BK41" s="444"/>
      <c r="BL41" s="444"/>
      <c r="BM41" s="444"/>
      <c r="BN41" s="444"/>
      <c r="BO41" s="444"/>
      <c r="BP41" s="444"/>
      <c r="BQ41" s="444"/>
      <c r="BR41" s="444"/>
      <c r="BS41" s="444"/>
      <c r="BT41" s="444"/>
    </row>
    <row r="42" spans="1:72" ht="12.5" customHeight="1">
      <c r="A42" s="393"/>
      <c r="B42" s="418"/>
      <c r="C42" s="423"/>
      <c r="D42" s="492" t="s">
        <v>287</v>
      </c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1"/>
      <c r="AM42" s="491"/>
      <c r="AN42" s="491"/>
      <c r="AO42" s="491"/>
      <c r="AP42" s="491"/>
      <c r="AQ42" s="491"/>
      <c r="AR42" s="491"/>
      <c r="AS42" s="431"/>
      <c r="AT42" s="425"/>
      <c r="AU42" s="421"/>
      <c r="AV42" s="421"/>
      <c r="AW42" s="421"/>
      <c r="AX42" s="421"/>
      <c r="AY42" s="417"/>
      <c r="AZ42" s="422"/>
      <c r="BA42" s="422"/>
      <c r="BB42" s="389"/>
      <c r="BC42" s="390"/>
      <c r="BD42" s="391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44"/>
      <c r="BP42" s="444"/>
      <c r="BQ42" s="444"/>
      <c r="BR42" s="444"/>
      <c r="BS42" s="444"/>
      <c r="BT42" s="444"/>
    </row>
    <row r="43" spans="1:72" ht="12.5" customHeight="1">
      <c r="A43" s="393"/>
      <c r="B43" s="418"/>
      <c r="C43" s="417"/>
      <c r="D43" s="492" t="s">
        <v>288</v>
      </c>
      <c r="E43" s="492"/>
      <c r="F43" s="492"/>
      <c r="G43" s="492"/>
      <c r="H43" s="492"/>
      <c r="I43" s="492"/>
      <c r="J43" s="492"/>
      <c r="K43" s="492"/>
      <c r="L43" s="492"/>
      <c r="M43" s="492"/>
      <c r="N43" s="492"/>
      <c r="O43" s="492"/>
      <c r="P43" s="492"/>
      <c r="Q43" s="492"/>
      <c r="R43" s="492"/>
      <c r="S43" s="492"/>
      <c r="T43" s="492"/>
      <c r="U43" s="492"/>
      <c r="V43" s="492"/>
      <c r="W43" s="492"/>
      <c r="X43" s="492"/>
      <c r="Y43" s="492"/>
      <c r="Z43" s="492"/>
      <c r="AA43" s="492"/>
      <c r="AB43" s="492"/>
      <c r="AC43" s="492"/>
      <c r="AD43" s="492"/>
      <c r="AE43" s="492"/>
      <c r="AF43" s="492"/>
      <c r="AG43" s="492"/>
      <c r="AH43" s="492"/>
      <c r="AI43" s="492"/>
      <c r="AJ43" s="492"/>
      <c r="AK43" s="492"/>
      <c r="AL43" s="491"/>
      <c r="AM43" s="491"/>
      <c r="AN43" s="491"/>
      <c r="AO43" s="491"/>
      <c r="AP43" s="491"/>
      <c r="AQ43" s="491"/>
      <c r="AR43" s="491"/>
      <c r="AS43" s="431"/>
      <c r="AT43" s="425"/>
      <c r="AU43" s="421"/>
      <c r="AV43" s="421"/>
      <c r="AW43" s="421"/>
      <c r="AX43" s="421"/>
      <c r="AY43" s="417"/>
      <c r="AZ43" s="422"/>
      <c r="BA43" s="422"/>
      <c r="BB43" s="389"/>
      <c r="BC43" s="390"/>
      <c r="BD43" s="392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44"/>
      <c r="BP43" s="444"/>
      <c r="BQ43" s="444"/>
      <c r="BR43" s="444"/>
      <c r="BS43" s="444"/>
      <c r="BT43" s="444"/>
    </row>
    <row r="44" spans="1:72" ht="12.5" customHeight="1">
      <c r="A44" s="393"/>
      <c r="B44" s="418"/>
      <c r="C44" s="427"/>
      <c r="D44" s="492"/>
      <c r="E44" s="492"/>
      <c r="F44" s="492"/>
      <c r="G44" s="492"/>
      <c r="H44" s="492"/>
      <c r="I44" s="492"/>
      <c r="J44" s="492"/>
      <c r="K44" s="492"/>
      <c r="L44" s="492"/>
      <c r="M44" s="492"/>
      <c r="N44" s="492"/>
      <c r="O44" s="492"/>
      <c r="P44" s="492"/>
      <c r="Q44" s="492"/>
      <c r="R44" s="492"/>
      <c r="S44" s="492"/>
      <c r="T44" s="492"/>
      <c r="U44" s="492"/>
      <c r="V44" s="492"/>
      <c r="W44" s="492"/>
      <c r="X44" s="492"/>
      <c r="Y44" s="492"/>
      <c r="Z44" s="492"/>
      <c r="AA44" s="492"/>
      <c r="AB44" s="492"/>
      <c r="AC44" s="492"/>
      <c r="AD44" s="492"/>
      <c r="AE44" s="492"/>
      <c r="AF44" s="492"/>
      <c r="AG44" s="492"/>
      <c r="AH44" s="492"/>
      <c r="AI44" s="492"/>
      <c r="AJ44" s="492"/>
      <c r="AK44" s="492"/>
      <c r="AL44" s="491"/>
      <c r="AM44" s="491"/>
      <c r="AN44" s="491"/>
      <c r="AO44" s="491"/>
      <c r="AP44" s="491"/>
      <c r="AQ44" s="491"/>
      <c r="AR44" s="491"/>
      <c r="AS44" s="431"/>
      <c r="AT44" s="421"/>
      <c r="AU44" s="421"/>
      <c r="AV44" s="421"/>
      <c r="AW44" s="421"/>
      <c r="AX44" s="421"/>
      <c r="AY44" s="421"/>
      <c r="AZ44" s="422"/>
      <c r="BA44" s="422"/>
      <c r="BB44" s="405"/>
      <c r="BC44" s="406"/>
      <c r="BD44" s="391"/>
      <c r="BE44" s="444"/>
      <c r="BF44" s="444"/>
      <c r="BG44" s="447"/>
      <c r="BH44" s="444"/>
      <c r="BI44" s="444"/>
      <c r="BJ44" s="444"/>
      <c r="BK44" s="444"/>
      <c r="BL44" s="444"/>
      <c r="BM44" s="444"/>
      <c r="BN44" s="444"/>
      <c r="BO44" s="444"/>
      <c r="BP44" s="444"/>
      <c r="BQ44" s="444"/>
      <c r="BR44" s="444"/>
      <c r="BS44" s="444"/>
      <c r="BT44" s="444"/>
    </row>
    <row r="45" spans="1:72" ht="12.5" customHeight="1">
      <c r="A45" s="393"/>
      <c r="B45" s="418"/>
      <c r="C45" s="427"/>
      <c r="D45" s="492" t="s">
        <v>289</v>
      </c>
      <c r="E45" s="492"/>
      <c r="F45" s="492"/>
      <c r="G45" s="492"/>
      <c r="H45" s="492"/>
      <c r="I45" s="492"/>
      <c r="J45" s="492"/>
      <c r="K45" s="492"/>
      <c r="L45" s="492"/>
      <c r="M45" s="492"/>
      <c r="N45" s="492"/>
      <c r="O45" s="492"/>
      <c r="P45" s="492"/>
      <c r="Q45" s="492"/>
      <c r="R45" s="492"/>
      <c r="S45" s="492"/>
      <c r="T45" s="492"/>
      <c r="U45" s="492"/>
      <c r="V45" s="492"/>
      <c r="W45" s="492"/>
      <c r="X45" s="492"/>
      <c r="Y45" s="492"/>
      <c r="Z45" s="492"/>
      <c r="AA45" s="492"/>
      <c r="AB45" s="492"/>
      <c r="AC45" s="492"/>
      <c r="AD45" s="492"/>
      <c r="AE45" s="492"/>
      <c r="AF45" s="492"/>
      <c r="AG45" s="492"/>
      <c r="AH45" s="492"/>
      <c r="AI45" s="492"/>
      <c r="AJ45" s="492"/>
      <c r="AK45" s="492"/>
      <c r="AL45" s="491"/>
      <c r="AM45" s="491"/>
      <c r="AN45" s="491"/>
      <c r="AO45" s="491"/>
      <c r="AP45" s="491"/>
      <c r="AQ45" s="491"/>
      <c r="AR45" s="491"/>
      <c r="AS45" s="431"/>
      <c r="AT45" s="425"/>
      <c r="AU45" s="421"/>
      <c r="AV45" s="421"/>
      <c r="AW45" s="421"/>
      <c r="AX45" s="421"/>
      <c r="AY45" s="421"/>
      <c r="AZ45" s="422"/>
      <c r="BA45" s="422"/>
      <c r="BB45" s="405"/>
      <c r="BC45" s="406"/>
      <c r="BD45" s="391"/>
      <c r="BE45" s="444"/>
      <c r="BF45" s="444"/>
      <c r="BG45" s="447"/>
      <c r="BH45" s="444"/>
      <c r="BI45" s="444"/>
      <c r="BJ45" s="444"/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</row>
    <row r="46" spans="1:72" ht="12.5" customHeight="1">
      <c r="A46" s="393"/>
      <c r="B46" s="418"/>
      <c r="C46" s="427"/>
      <c r="D46" s="492" t="s">
        <v>290</v>
      </c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  <c r="P46" s="492"/>
      <c r="Q46" s="492"/>
      <c r="R46" s="492"/>
      <c r="S46" s="492"/>
      <c r="T46" s="492"/>
      <c r="U46" s="492"/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2"/>
      <c r="AL46" s="491"/>
      <c r="AM46" s="491"/>
      <c r="AN46" s="491"/>
      <c r="AO46" s="491"/>
      <c r="AP46" s="491"/>
      <c r="AQ46" s="491"/>
      <c r="AR46" s="491"/>
      <c r="AS46" s="432"/>
      <c r="AT46" s="429"/>
      <c r="AU46" s="429"/>
      <c r="AV46" s="429"/>
      <c r="AW46" s="429"/>
      <c r="AX46" s="429"/>
      <c r="AY46" s="429"/>
      <c r="AZ46" s="422"/>
      <c r="BA46" s="422"/>
      <c r="BB46" s="405"/>
      <c r="BC46" s="406"/>
      <c r="BD46" s="391"/>
      <c r="BE46" s="444"/>
      <c r="BF46" s="444"/>
      <c r="BG46" s="447"/>
      <c r="BH46" s="444"/>
      <c r="BI46" s="444"/>
      <c r="BJ46" s="444"/>
      <c r="BK46" s="444"/>
      <c r="BL46" s="444"/>
      <c r="BM46" s="444"/>
      <c r="BN46" s="444"/>
      <c r="BO46" s="444"/>
      <c r="BP46" s="444"/>
      <c r="BQ46" s="444"/>
      <c r="BR46" s="444"/>
      <c r="BS46" s="444"/>
      <c r="BT46" s="444"/>
    </row>
    <row r="47" spans="1:72" ht="12.5" customHeight="1">
      <c r="A47" s="393"/>
      <c r="B47" s="418"/>
      <c r="C47" s="427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1"/>
      <c r="AM47" s="491"/>
      <c r="AN47" s="491"/>
      <c r="AO47" s="491"/>
      <c r="AP47" s="491"/>
      <c r="AQ47" s="491"/>
      <c r="AR47" s="491"/>
      <c r="AS47" s="431"/>
      <c r="AT47" s="421"/>
      <c r="AU47" s="421"/>
      <c r="AV47" s="421"/>
      <c r="AW47" s="421"/>
      <c r="AX47" s="421"/>
      <c r="AY47" s="421"/>
      <c r="AZ47" s="422"/>
      <c r="BA47" s="422"/>
      <c r="BB47" s="405"/>
      <c r="BC47" s="406"/>
      <c r="BD47" s="391"/>
      <c r="BE47" s="444"/>
      <c r="BF47" s="444"/>
      <c r="BG47" s="447"/>
      <c r="BH47" s="444"/>
      <c r="BI47" s="444"/>
      <c r="BJ47" s="444"/>
      <c r="BK47" s="444"/>
      <c r="BL47" s="444"/>
      <c r="BM47" s="444"/>
      <c r="BN47" s="444"/>
      <c r="BO47" s="444"/>
      <c r="BP47" s="444"/>
      <c r="BQ47" s="444"/>
      <c r="BR47" s="444"/>
      <c r="BS47" s="444"/>
      <c r="BT47" s="444"/>
    </row>
    <row r="48" spans="1:72" ht="12.5" customHeight="1">
      <c r="A48" s="393"/>
      <c r="B48" s="418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  <c r="N48" s="420"/>
      <c r="O48" s="420"/>
      <c r="P48" s="420"/>
      <c r="Q48" s="420"/>
      <c r="R48" s="420"/>
      <c r="S48" s="420"/>
      <c r="T48" s="420"/>
      <c r="U48" s="420"/>
      <c r="V48" s="420"/>
      <c r="W48" s="420"/>
      <c r="X48" s="420"/>
      <c r="Y48" s="420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  <c r="AK48" s="420"/>
      <c r="AL48" s="420"/>
      <c r="AM48" s="420"/>
      <c r="AN48" s="420"/>
      <c r="AO48" s="420"/>
      <c r="AP48" s="420"/>
      <c r="AQ48" s="420"/>
      <c r="AR48" s="420"/>
      <c r="AS48" s="420"/>
      <c r="AT48" s="420"/>
      <c r="AU48" s="420"/>
      <c r="AV48" s="420"/>
      <c r="AW48" s="420"/>
      <c r="AX48" s="420"/>
      <c r="AY48" s="420"/>
      <c r="AZ48" s="422"/>
      <c r="BA48" s="422"/>
      <c r="BB48" s="405"/>
      <c r="BC48" s="406"/>
      <c r="BD48" s="391"/>
      <c r="BE48" s="444"/>
      <c r="BF48" s="444"/>
      <c r="BG48" s="447"/>
      <c r="BH48" s="444"/>
      <c r="BI48" s="444"/>
      <c r="BJ48" s="444"/>
      <c r="BK48" s="444"/>
      <c r="BL48" s="444"/>
      <c r="BM48" s="444"/>
      <c r="BN48" s="444"/>
      <c r="BO48" s="444"/>
      <c r="BP48" s="444"/>
      <c r="BQ48" s="444"/>
      <c r="BR48" s="444"/>
      <c r="BS48" s="444"/>
      <c r="BT48" s="444"/>
    </row>
    <row r="49" spans="1:72" ht="12.5" customHeight="1">
      <c r="A49" s="393"/>
      <c r="B49" s="426"/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  <c r="N49" s="420"/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  <c r="AK49" s="420"/>
      <c r="AL49" s="420"/>
      <c r="AM49" s="420"/>
      <c r="AN49" s="420"/>
      <c r="AO49" s="420"/>
      <c r="AP49" s="420"/>
      <c r="AQ49" s="420"/>
      <c r="AR49" s="420"/>
      <c r="AS49" s="420"/>
      <c r="AT49" s="420"/>
      <c r="AU49" s="420"/>
      <c r="AV49" s="420"/>
      <c r="AW49" s="420"/>
      <c r="AX49" s="420"/>
      <c r="AY49" s="420"/>
      <c r="AZ49" s="422"/>
      <c r="BA49" s="422"/>
      <c r="BB49" s="389"/>
      <c r="BC49" s="390"/>
      <c r="BD49" s="391"/>
      <c r="BE49" s="444"/>
      <c r="BF49" s="444"/>
      <c r="BG49" s="444"/>
      <c r="BH49" s="444"/>
      <c r="BI49" s="444"/>
      <c r="BJ49" s="444"/>
      <c r="BK49" s="444"/>
      <c r="BL49" s="444"/>
      <c r="BM49" s="444"/>
      <c r="BN49" s="444"/>
      <c r="BO49" s="444"/>
      <c r="BP49" s="444"/>
      <c r="BQ49" s="444"/>
      <c r="BR49" s="444"/>
      <c r="BS49" s="444"/>
      <c r="BT49" s="444"/>
    </row>
    <row r="50" spans="1:72" ht="12.5" customHeight="1">
      <c r="A50" s="393"/>
      <c r="B50" s="426"/>
      <c r="C50" s="420"/>
      <c r="D50" s="420"/>
      <c r="E50" s="420"/>
      <c r="F50" s="420"/>
      <c r="G50" s="420"/>
      <c r="H50" s="420"/>
      <c r="I50" s="420"/>
      <c r="J50" s="420"/>
      <c r="K50" s="420"/>
      <c r="L50" s="420"/>
      <c r="M50" s="420"/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  <c r="AK50" s="420"/>
      <c r="AL50" s="420"/>
      <c r="AM50" s="420"/>
      <c r="AN50" s="420"/>
      <c r="AO50" s="420"/>
      <c r="AP50" s="420"/>
      <c r="AQ50" s="420"/>
      <c r="AR50" s="420"/>
      <c r="AS50" s="420"/>
      <c r="AT50" s="420"/>
      <c r="AU50" s="420"/>
      <c r="AV50" s="420"/>
      <c r="AW50" s="420"/>
      <c r="AX50" s="420"/>
      <c r="AY50" s="420"/>
      <c r="AZ50" s="422"/>
      <c r="BA50" s="422"/>
      <c r="BB50" s="389"/>
      <c r="BC50" s="390"/>
      <c r="BD50" s="391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44"/>
      <c r="BP50" s="444"/>
      <c r="BQ50" s="444"/>
      <c r="BR50" s="444"/>
      <c r="BS50" s="444"/>
      <c r="BT50" s="444"/>
    </row>
    <row r="51" spans="1:72" ht="12.5" customHeight="1">
      <c r="A51" s="393"/>
      <c r="B51" s="418"/>
      <c r="C51" s="420"/>
      <c r="D51" s="420"/>
      <c r="E51" s="420"/>
      <c r="F51" s="420"/>
      <c r="G51" s="420"/>
      <c r="H51" s="420"/>
      <c r="I51" s="420"/>
      <c r="J51" s="420"/>
      <c r="K51" s="420"/>
      <c r="L51" s="420"/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  <c r="AK51" s="420"/>
      <c r="AL51" s="420"/>
      <c r="AM51" s="420"/>
      <c r="AN51" s="420"/>
      <c r="AO51" s="420"/>
      <c r="AP51" s="420"/>
      <c r="AQ51" s="420"/>
      <c r="AR51" s="420"/>
      <c r="AS51" s="420"/>
      <c r="AT51" s="420"/>
      <c r="AU51" s="420"/>
      <c r="AV51" s="420"/>
      <c r="AW51" s="420"/>
      <c r="AX51" s="420"/>
      <c r="AY51" s="420"/>
      <c r="AZ51" s="422"/>
      <c r="BA51" s="422"/>
      <c r="BB51" s="405"/>
      <c r="BC51" s="406"/>
      <c r="BD51" s="391"/>
      <c r="BE51" s="444"/>
      <c r="BF51" s="444"/>
      <c r="BG51" s="447"/>
      <c r="BH51" s="444"/>
      <c r="BI51" s="444"/>
      <c r="BJ51" s="444"/>
      <c r="BK51" s="444"/>
      <c r="BL51" s="444"/>
      <c r="BM51" s="444"/>
      <c r="BN51" s="444"/>
      <c r="BO51" s="444"/>
      <c r="BP51" s="444"/>
      <c r="BQ51" s="444"/>
      <c r="BR51" s="444"/>
      <c r="BS51" s="444"/>
      <c r="BT51" s="444"/>
    </row>
    <row r="52" spans="1:72" ht="12.5" customHeight="1">
      <c r="A52" s="393"/>
      <c r="B52" s="418"/>
      <c r="C52" s="420"/>
      <c r="D52" s="420"/>
      <c r="E52" s="420"/>
      <c r="F52" s="420"/>
      <c r="G52" s="420"/>
      <c r="H52" s="420"/>
      <c r="I52" s="420"/>
      <c r="J52" s="420"/>
      <c r="K52" s="420"/>
      <c r="L52" s="420"/>
      <c r="M52" s="420"/>
      <c r="N52" s="420"/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  <c r="AK52" s="420"/>
      <c r="AL52" s="420"/>
      <c r="AM52" s="420"/>
      <c r="AN52" s="420"/>
      <c r="AO52" s="420"/>
      <c r="AP52" s="420"/>
      <c r="AQ52" s="420"/>
      <c r="AR52" s="420"/>
      <c r="AS52" s="420"/>
      <c r="AT52" s="420"/>
      <c r="AU52" s="420"/>
      <c r="AV52" s="420"/>
      <c r="AW52" s="420"/>
      <c r="AX52" s="420"/>
      <c r="AY52" s="420"/>
      <c r="AZ52" s="422"/>
      <c r="BA52" s="422"/>
      <c r="BB52" s="405"/>
      <c r="BC52" s="406"/>
      <c r="BD52" s="391"/>
      <c r="BE52" s="444"/>
      <c r="BF52" s="444"/>
      <c r="BG52" s="447"/>
      <c r="BH52" s="444"/>
      <c r="BI52" s="444"/>
      <c r="BJ52" s="444"/>
      <c r="BK52" s="444"/>
      <c r="BL52" s="444"/>
      <c r="BM52" s="444"/>
      <c r="BN52" s="444"/>
      <c r="BO52" s="444"/>
      <c r="BP52" s="444"/>
      <c r="BQ52" s="444"/>
      <c r="BR52" s="444"/>
      <c r="BS52" s="444"/>
      <c r="BT52" s="444"/>
    </row>
    <row r="53" spans="1:72" ht="12.5" customHeight="1">
      <c r="A53" s="393"/>
      <c r="B53" s="426"/>
      <c r="C53" s="420"/>
      <c r="D53" s="420"/>
      <c r="E53" s="420"/>
      <c r="F53" s="420"/>
      <c r="G53" s="420"/>
      <c r="H53" s="420"/>
      <c r="I53" s="420"/>
      <c r="J53" s="420"/>
      <c r="K53" s="420"/>
      <c r="L53" s="420"/>
      <c r="M53" s="420"/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  <c r="AK53" s="420"/>
      <c r="AL53" s="420"/>
      <c r="AM53" s="420"/>
      <c r="AN53" s="420"/>
      <c r="AO53" s="420"/>
      <c r="AP53" s="420"/>
      <c r="AQ53" s="420"/>
      <c r="AR53" s="420"/>
      <c r="AS53" s="420"/>
      <c r="AT53" s="420"/>
      <c r="AU53" s="420"/>
      <c r="AV53" s="420"/>
      <c r="AW53" s="420"/>
      <c r="AX53" s="420"/>
      <c r="AY53" s="420"/>
      <c r="AZ53" s="422"/>
      <c r="BA53" s="422"/>
      <c r="BB53" s="389"/>
      <c r="BC53" s="390"/>
      <c r="BD53" s="391"/>
      <c r="BE53" s="444"/>
      <c r="BF53" s="444"/>
      <c r="BG53" s="444"/>
      <c r="BH53" s="444"/>
      <c r="BI53" s="444"/>
      <c r="BJ53" s="444"/>
      <c r="BK53" s="444"/>
      <c r="BL53" s="444"/>
      <c r="BM53" s="444"/>
      <c r="BN53" s="444"/>
      <c r="BO53" s="444"/>
      <c r="BP53" s="444"/>
      <c r="BQ53" s="444"/>
      <c r="BR53" s="444"/>
      <c r="BS53" s="444"/>
      <c r="BT53" s="444"/>
    </row>
    <row r="54" spans="1:72" ht="15">
      <c r="A54" s="393"/>
      <c r="B54" s="451"/>
      <c r="C54" s="452"/>
      <c r="D54" s="452"/>
      <c r="E54" s="452"/>
      <c r="F54" s="452"/>
      <c r="G54" s="452"/>
      <c r="H54" s="452"/>
      <c r="I54" s="452"/>
      <c r="J54" s="452"/>
      <c r="K54" s="452"/>
      <c r="L54" s="452"/>
      <c r="M54" s="452"/>
      <c r="N54" s="452"/>
      <c r="O54" s="452"/>
      <c r="P54" s="452"/>
      <c r="Q54" s="452"/>
      <c r="R54" s="452"/>
      <c r="S54" s="453"/>
      <c r="T54" s="453"/>
      <c r="U54" s="453"/>
      <c r="V54" s="453"/>
      <c r="W54" s="452"/>
      <c r="X54" s="452"/>
      <c r="Y54" s="453"/>
      <c r="Z54" s="453"/>
      <c r="AA54" s="452"/>
      <c r="AB54" s="452"/>
      <c r="AC54" s="452"/>
      <c r="AD54" s="453"/>
      <c r="AE54" s="453"/>
      <c r="AF54" s="453"/>
      <c r="AG54" s="453"/>
      <c r="AH54" s="453"/>
      <c r="AI54" s="453"/>
      <c r="AJ54" s="453"/>
      <c r="AK54" s="453"/>
      <c r="AL54" s="453"/>
      <c r="AM54" s="453"/>
      <c r="AN54" s="453"/>
      <c r="AO54" s="453"/>
      <c r="AP54" s="453"/>
      <c r="AQ54" s="453"/>
      <c r="AR54" s="453"/>
      <c r="AS54" s="453"/>
      <c r="AT54" s="453"/>
      <c r="AU54" s="453"/>
      <c r="AV54" s="453"/>
      <c r="AW54" s="453"/>
      <c r="AX54" s="453"/>
      <c r="AY54" s="451"/>
      <c r="AZ54" s="451"/>
      <c r="BA54" s="422"/>
      <c r="BB54" s="454"/>
      <c r="BC54" s="455"/>
      <c r="BD54" s="407"/>
      <c r="BE54" s="444"/>
      <c r="BF54" s="444"/>
      <c r="BG54" s="444"/>
      <c r="BH54" s="444"/>
      <c r="BI54" s="444"/>
      <c r="BJ54" s="444"/>
      <c r="BK54" s="444"/>
      <c r="BL54" s="444"/>
      <c r="BM54" s="444"/>
      <c r="BN54" s="444"/>
      <c r="BO54" s="444"/>
      <c r="BP54" s="444"/>
      <c r="BQ54" s="444"/>
      <c r="BR54" s="444"/>
      <c r="BS54" s="444"/>
      <c r="BT54" s="444"/>
    </row>
    <row r="55" spans="1:72" ht="15">
      <c r="A55" s="408"/>
      <c r="B55" s="448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50"/>
      <c r="T55" s="450"/>
      <c r="U55" s="450"/>
      <c r="V55" s="450"/>
      <c r="W55" s="449"/>
      <c r="X55" s="449"/>
      <c r="Y55" s="450"/>
      <c r="Z55" s="450"/>
      <c r="AA55" s="449"/>
      <c r="AB55" s="449"/>
      <c r="AC55" s="449"/>
      <c r="AD55" s="450"/>
      <c r="AE55" s="450"/>
      <c r="AF55" s="450"/>
      <c r="AG55" s="450"/>
      <c r="AH55" s="450"/>
      <c r="AI55" s="450"/>
      <c r="AJ55" s="450"/>
      <c r="AK55" s="450"/>
      <c r="AL55" s="450"/>
      <c r="AM55" s="450"/>
      <c r="AN55" s="450"/>
      <c r="AO55" s="450"/>
      <c r="AP55" s="450"/>
      <c r="AQ55" s="450"/>
      <c r="AR55" s="450"/>
      <c r="AS55" s="450"/>
      <c r="AT55" s="450"/>
      <c r="AU55" s="450"/>
      <c r="AV55" s="450"/>
      <c r="AW55" s="450"/>
      <c r="AX55" s="450"/>
      <c r="AY55" s="448"/>
      <c r="AZ55" s="448"/>
      <c r="BA55" s="430"/>
      <c r="BB55" s="456"/>
      <c r="BC55" s="406"/>
      <c r="BD55" s="407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</row>
    <row r="56" spans="1:72" ht="15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2"/>
      <c r="P56" s="392"/>
      <c r="Q56" s="392"/>
      <c r="R56" s="392"/>
      <c r="S56" s="409"/>
      <c r="T56" s="409"/>
      <c r="U56" s="409"/>
      <c r="V56" s="409"/>
      <c r="W56" s="392"/>
      <c r="X56" s="392"/>
      <c r="Y56" s="409"/>
      <c r="Z56" s="409"/>
      <c r="AA56" s="392"/>
      <c r="AB56" s="392"/>
      <c r="AC56" s="392"/>
      <c r="AD56" s="409"/>
      <c r="AE56" s="409"/>
      <c r="AF56" s="409"/>
      <c r="AG56" s="409"/>
      <c r="AH56" s="409"/>
      <c r="AI56" s="409"/>
      <c r="AJ56" s="409"/>
      <c r="AK56" s="409"/>
      <c r="AL56" s="409"/>
      <c r="AM56" s="409"/>
      <c r="AN56" s="409"/>
      <c r="AO56" s="409"/>
      <c r="AP56" s="409"/>
      <c r="AQ56" s="409"/>
      <c r="AR56" s="409"/>
      <c r="AS56" s="409"/>
      <c r="AT56" s="409"/>
      <c r="AU56" s="409"/>
      <c r="AV56" s="409"/>
      <c r="AW56" s="409"/>
      <c r="AX56" s="409"/>
      <c r="AY56" s="409"/>
      <c r="AZ56" s="409"/>
      <c r="BA56" s="409"/>
      <c r="BB56" s="409"/>
      <c r="BC56" s="409"/>
      <c r="BD56" s="407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</row>
    <row r="57" spans="1:72" ht="15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2"/>
      <c r="M57" s="392"/>
      <c r="N57" s="392"/>
      <c r="O57" s="392"/>
      <c r="P57" s="392"/>
      <c r="Q57" s="392"/>
      <c r="R57" s="392"/>
      <c r="S57" s="409"/>
      <c r="T57" s="409"/>
      <c r="U57" s="409"/>
      <c r="V57" s="409"/>
      <c r="W57" s="392"/>
      <c r="X57" s="392"/>
      <c r="Y57" s="409"/>
      <c r="Z57" s="409"/>
      <c r="AA57" s="392"/>
      <c r="AB57" s="392"/>
      <c r="AC57" s="392"/>
      <c r="AD57" s="409"/>
      <c r="AE57" s="409"/>
      <c r="AF57" s="409"/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409"/>
      <c r="AS57" s="409"/>
      <c r="AT57" s="409"/>
      <c r="AU57" s="409"/>
      <c r="AV57" s="409"/>
      <c r="AW57" s="409"/>
      <c r="AX57" s="409"/>
      <c r="AY57" s="409"/>
      <c r="AZ57" s="409"/>
      <c r="BA57" s="409"/>
      <c r="BB57" s="409"/>
      <c r="BC57" s="409"/>
      <c r="BD57" s="407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</row>
    <row r="58" spans="1:72" ht="15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409"/>
      <c r="T58" s="409"/>
      <c r="U58" s="409"/>
      <c r="V58" s="409"/>
      <c r="W58" s="392"/>
      <c r="X58" s="392"/>
      <c r="Y58" s="409"/>
      <c r="Z58" s="409"/>
      <c r="AA58" s="392"/>
      <c r="AB58" s="392"/>
      <c r="AC58" s="392"/>
      <c r="AD58" s="409"/>
      <c r="AE58" s="409"/>
      <c r="AF58" s="409"/>
      <c r="AG58" s="409"/>
      <c r="AH58" s="409"/>
      <c r="AI58" s="409"/>
      <c r="AJ58" s="409"/>
      <c r="AK58" s="409"/>
      <c r="AL58" s="409"/>
      <c r="AM58" s="409"/>
      <c r="AN58" s="409"/>
      <c r="AO58" s="409"/>
      <c r="AP58" s="409"/>
      <c r="AQ58" s="409"/>
      <c r="AR58" s="409"/>
      <c r="AS58" s="409"/>
      <c r="AT58" s="409"/>
      <c r="AU58" s="409"/>
      <c r="AV58" s="409"/>
      <c r="AW58" s="409"/>
      <c r="AX58" s="409"/>
      <c r="AY58" s="409"/>
      <c r="AZ58" s="409"/>
      <c r="BA58" s="409"/>
      <c r="BB58" s="409"/>
      <c r="BC58" s="409"/>
      <c r="BD58" s="407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</row>
    <row r="59" spans="1:72" ht="15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2"/>
      <c r="S59" s="409"/>
      <c r="T59" s="409"/>
      <c r="U59" s="409"/>
      <c r="V59" s="409"/>
      <c r="W59" s="392"/>
      <c r="X59" s="392"/>
      <c r="Y59" s="409"/>
      <c r="Z59" s="409"/>
      <c r="AA59" s="392"/>
      <c r="AB59" s="392"/>
      <c r="AC59" s="392"/>
      <c r="AD59" s="409"/>
      <c r="AE59" s="409"/>
      <c r="AF59" s="409"/>
      <c r="AG59" s="409"/>
      <c r="AH59" s="409"/>
      <c r="AI59" s="409"/>
      <c r="AJ59" s="409"/>
      <c r="AK59" s="409"/>
      <c r="AL59" s="409"/>
      <c r="AM59" s="409"/>
      <c r="AN59" s="409"/>
      <c r="AO59" s="409"/>
      <c r="AP59" s="409"/>
      <c r="AQ59" s="409"/>
      <c r="AR59" s="409"/>
      <c r="AS59" s="409"/>
      <c r="AT59" s="409"/>
      <c r="AU59" s="409"/>
      <c r="AV59" s="409"/>
      <c r="AW59" s="409"/>
      <c r="AX59" s="409"/>
      <c r="AY59" s="409"/>
      <c r="AZ59" s="409"/>
      <c r="BA59" s="409"/>
      <c r="BB59" s="409"/>
      <c r="BC59" s="409"/>
      <c r="BD59" s="407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</row>
    <row r="60" spans="1:72" ht="15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/>
      <c r="S60" s="409"/>
      <c r="T60" s="409"/>
      <c r="U60" s="409"/>
      <c r="V60" s="409"/>
      <c r="W60" s="392"/>
      <c r="X60" s="392"/>
      <c r="Y60" s="409"/>
      <c r="Z60" s="409"/>
      <c r="AA60" s="392"/>
      <c r="AB60" s="392"/>
      <c r="AC60" s="392"/>
      <c r="AD60" s="409"/>
      <c r="AE60" s="409"/>
      <c r="AF60" s="409"/>
      <c r="AG60" s="409"/>
      <c r="AH60" s="409"/>
      <c r="AI60" s="409"/>
      <c r="AJ60" s="409"/>
      <c r="AK60" s="409"/>
      <c r="AL60" s="409"/>
      <c r="AM60" s="409"/>
      <c r="AN60" s="409"/>
      <c r="AO60" s="409"/>
      <c r="AP60" s="409"/>
      <c r="AQ60" s="409"/>
      <c r="AR60" s="409"/>
      <c r="AS60" s="409"/>
      <c r="AT60" s="409"/>
      <c r="AU60" s="409"/>
      <c r="AV60" s="409"/>
      <c r="AW60" s="409"/>
      <c r="AX60" s="409"/>
      <c r="AY60" s="409"/>
      <c r="AZ60" s="409"/>
      <c r="BA60" s="409"/>
      <c r="BB60" s="409"/>
      <c r="BC60" s="409"/>
      <c r="BD60" s="407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</row>
    <row r="61" spans="1:72" ht="15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409"/>
      <c r="T61" s="409"/>
      <c r="U61" s="409"/>
      <c r="V61" s="409"/>
      <c r="W61" s="392"/>
      <c r="X61" s="392"/>
      <c r="Y61" s="409"/>
      <c r="Z61" s="409"/>
      <c r="AA61" s="392"/>
      <c r="AB61" s="392"/>
      <c r="AC61" s="392"/>
      <c r="AD61" s="409"/>
      <c r="AE61" s="409"/>
      <c r="AF61" s="409"/>
      <c r="AG61" s="409"/>
      <c r="AH61" s="409"/>
      <c r="AI61" s="409"/>
      <c r="AJ61" s="409"/>
      <c r="AK61" s="409"/>
      <c r="AL61" s="409"/>
      <c r="AM61" s="409"/>
      <c r="AN61" s="409"/>
      <c r="AO61" s="409"/>
      <c r="AP61" s="409"/>
      <c r="AQ61" s="409"/>
      <c r="AR61" s="409"/>
      <c r="AS61" s="409"/>
      <c r="AT61" s="409"/>
      <c r="AU61" s="409"/>
      <c r="AV61" s="409"/>
      <c r="AW61" s="409"/>
      <c r="AX61" s="409"/>
      <c r="AY61" s="409"/>
      <c r="AZ61" s="409"/>
      <c r="BA61" s="409"/>
      <c r="BB61" s="409"/>
      <c r="BC61" s="409"/>
      <c r="BD61" s="407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</row>
    <row r="62" spans="1:72" ht="15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409"/>
      <c r="T62" s="409"/>
      <c r="U62" s="409"/>
      <c r="V62" s="409"/>
      <c r="W62" s="392"/>
      <c r="X62" s="392"/>
      <c r="Y62" s="409"/>
      <c r="Z62" s="409"/>
      <c r="AA62" s="392"/>
      <c r="AB62" s="392"/>
      <c r="AC62" s="392"/>
      <c r="AD62" s="409"/>
      <c r="AE62" s="409"/>
      <c r="AF62" s="409"/>
      <c r="AG62" s="409"/>
      <c r="AH62" s="409"/>
      <c r="AI62" s="409"/>
      <c r="AJ62" s="409"/>
      <c r="AK62" s="409"/>
      <c r="AL62" s="409"/>
      <c r="AM62" s="409"/>
      <c r="AN62" s="409"/>
      <c r="AO62" s="409"/>
      <c r="AP62" s="409"/>
      <c r="AQ62" s="409"/>
      <c r="AR62" s="409"/>
      <c r="AS62" s="409"/>
      <c r="AT62" s="409"/>
      <c r="AU62" s="409"/>
      <c r="AV62" s="409"/>
      <c r="AW62" s="409"/>
      <c r="AX62" s="409"/>
      <c r="AY62" s="409"/>
      <c r="AZ62" s="409"/>
      <c r="BA62" s="409"/>
      <c r="BB62" s="409"/>
      <c r="BC62" s="409"/>
      <c r="BD62" s="407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</row>
    <row r="63" spans="1:72" ht="15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409"/>
      <c r="T63" s="409"/>
      <c r="U63" s="409"/>
      <c r="V63" s="409"/>
      <c r="W63" s="392"/>
      <c r="X63" s="392"/>
      <c r="Y63" s="409"/>
      <c r="Z63" s="409"/>
      <c r="AA63" s="392"/>
      <c r="AB63" s="392"/>
      <c r="AC63" s="392"/>
      <c r="AD63" s="409"/>
      <c r="AE63" s="409"/>
      <c r="AF63" s="409"/>
      <c r="AG63" s="409"/>
      <c r="AH63" s="409"/>
      <c r="AI63" s="409"/>
      <c r="AJ63" s="409"/>
      <c r="AK63" s="409"/>
      <c r="AL63" s="409"/>
      <c r="AM63" s="409"/>
      <c r="AN63" s="409"/>
      <c r="AO63" s="409"/>
      <c r="AP63" s="409"/>
      <c r="AQ63" s="409"/>
      <c r="AR63" s="409"/>
      <c r="AS63" s="409"/>
      <c r="AT63" s="409"/>
      <c r="AU63" s="409"/>
      <c r="AV63" s="409"/>
      <c r="AW63" s="409"/>
      <c r="AX63" s="409"/>
      <c r="AY63" s="409"/>
      <c r="AZ63" s="409"/>
      <c r="BA63" s="409"/>
      <c r="BB63" s="409"/>
      <c r="BC63" s="409"/>
      <c r="BD63" s="407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</row>
    <row r="64" spans="1:72" ht="15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409"/>
      <c r="T64" s="409"/>
      <c r="U64" s="409"/>
      <c r="V64" s="409"/>
      <c r="W64" s="392"/>
      <c r="X64" s="392"/>
      <c r="Y64" s="409"/>
      <c r="Z64" s="409"/>
      <c r="AA64" s="392"/>
      <c r="AB64" s="392"/>
      <c r="AC64" s="392"/>
      <c r="AD64" s="409"/>
      <c r="AE64" s="409"/>
      <c r="AF64" s="409"/>
      <c r="AG64" s="409"/>
      <c r="AH64" s="409"/>
      <c r="AI64" s="409"/>
      <c r="AJ64" s="409"/>
      <c r="AK64" s="409"/>
      <c r="AL64" s="409"/>
      <c r="AM64" s="409"/>
      <c r="AN64" s="409"/>
      <c r="AO64" s="409"/>
      <c r="AP64" s="409"/>
      <c r="AQ64" s="409"/>
      <c r="AR64" s="409"/>
      <c r="AS64" s="409"/>
      <c r="AT64" s="409"/>
      <c r="AU64" s="409"/>
      <c r="AV64" s="409"/>
      <c r="AW64" s="409"/>
      <c r="AX64" s="409"/>
      <c r="AY64" s="409"/>
      <c r="AZ64" s="409"/>
      <c r="BA64" s="409"/>
      <c r="BB64" s="409"/>
      <c r="BC64" s="409"/>
      <c r="BD64" s="407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</row>
    <row r="65" spans="1:72" ht="1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409"/>
      <c r="T65" s="409"/>
      <c r="U65" s="409"/>
      <c r="V65" s="409"/>
      <c r="W65" s="392"/>
      <c r="X65" s="392"/>
      <c r="Y65" s="409"/>
      <c r="Z65" s="409"/>
      <c r="AA65" s="392"/>
      <c r="AB65" s="392"/>
      <c r="AC65" s="392"/>
      <c r="AD65" s="409"/>
      <c r="AE65" s="409"/>
      <c r="AF65" s="409"/>
      <c r="AG65" s="409"/>
      <c r="AH65" s="409"/>
      <c r="AI65" s="409"/>
      <c r="AJ65" s="409"/>
      <c r="AK65" s="409"/>
      <c r="AL65" s="409"/>
      <c r="AM65" s="409"/>
      <c r="AN65" s="409"/>
      <c r="AO65" s="409"/>
      <c r="AP65" s="409"/>
      <c r="AQ65" s="409"/>
      <c r="AR65" s="409"/>
      <c r="AS65" s="409"/>
      <c r="AT65" s="409"/>
      <c r="AU65" s="409"/>
      <c r="AV65" s="409"/>
      <c r="AW65" s="409"/>
      <c r="AX65" s="409"/>
      <c r="AY65" s="409"/>
      <c r="AZ65" s="409"/>
      <c r="BA65" s="409"/>
      <c r="BB65" s="409"/>
      <c r="BC65" s="409"/>
      <c r="BD65" s="407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</row>
    <row r="66" spans="1:72" ht="15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409"/>
      <c r="T66" s="409"/>
      <c r="U66" s="409"/>
      <c r="V66" s="409"/>
      <c r="W66" s="392"/>
      <c r="X66" s="392"/>
      <c r="Y66" s="409"/>
      <c r="Z66" s="409"/>
      <c r="AA66" s="392"/>
      <c r="AB66" s="392"/>
      <c r="AC66" s="392"/>
      <c r="AD66" s="409"/>
      <c r="AE66" s="409"/>
      <c r="AF66" s="409"/>
      <c r="AG66" s="409"/>
      <c r="AH66" s="409"/>
      <c r="AI66" s="409"/>
      <c r="AJ66" s="409"/>
      <c r="AK66" s="409"/>
      <c r="AL66" s="409"/>
      <c r="AM66" s="409"/>
      <c r="AN66" s="409"/>
      <c r="AO66" s="409"/>
      <c r="AP66" s="409"/>
      <c r="AQ66" s="409"/>
      <c r="AR66" s="409"/>
      <c r="AS66" s="409"/>
      <c r="AT66" s="409"/>
      <c r="AU66" s="409"/>
      <c r="AV66" s="409"/>
      <c r="AW66" s="409"/>
      <c r="AX66" s="409"/>
      <c r="AY66" s="409"/>
      <c r="AZ66" s="409"/>
      <c r="BA66" s="409"/>
      <c r="BB66" s="409"/>
      <c r="BC66" s="409"/>
      <c r="BD66" s="407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</row>
    <row r="67" spans="1:72" ht="15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409"/>
      <c r="T67" s="409"/>
      <c r="U67" s="409"/>
      <c r="V67" s="409"/>
      <c r="W67" s="392"/>
      <c r="X67" s="392"/>
      <c r="Y67" s="409"/>
      <c r="Z67" s="409"/>
      <c r="AA67" s="392"/>
      <c r="AB67" s="392"/>
      <c r="AC67" s="392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9"/>
      <c r="AP67" s="409"/>
      <c r="AQ67" s="409"/>
      <c r="AR67" s="409"/>
      <c r="AS67" s="409"/>
      <c r="AT67" s="409"/>
      <c r="AU67" s="409"/>
      <c r="AV67" s="409"/>
      <c r="AW67" s="409"/>
      <c r="AX67" s="409"/>
      <c r="AY67" s="409"/>
      <c r="AZ67" s="409"/>
      <c r="BA67" s="409"/>
      <c r="BB67" s="409"/>
      <c r="BC67" s="409"/>
      <c r="BD67" s="407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</row>
    <row r="68" spans="1:72" ht="15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409"/>
      <c r="T68" s="409"/>
      <c r="U68" s="409"/>
      <c r="V68" s="409"/>
      <c r="W68" s="392"/>
      <c r="X68" s="392"/>
      <c r="Y68" s="409"/>
      <c r="Z68" s="409"/>
      <c r="AA68" s="392"/>
      <c r="AB68" s="392"/>
      <c r="AC68" s="392"/>
      <c r="AD68" s="409"/>
      <c r="AE68" s="409"/>
      <c r="AF68" s="409"/>
      <c r="AG68" s="409"/>
      <c r="AH68" s="409"/>
      <c r="AI68" s="409"/>
      <c r="AJ68" s="409"/>
      <c r="AK68" s="409"/>
      <c r="AL68" s="409"/>
      <c r="AM68" s="409"/>
      <c r="AN68" s="409"/>
      <c r="AO68" s="409"/>
      <c r="AP68" s="409"/>
      <c r="AQ68" s="409"/>
      <c r="AR68" s="409"/>
      <c r="AS68" s="409"/>
      <c r="AT68" s="409"/>
      <c r="AU68" s="409"/>
      <c r="AV68" s="409"/>
      <c r="AW68" s="409"/>
      <c r="AX68" s="409"/>
      <c r="AY68" s="409"/>
      <c r="AZ68" s="409"/>
      <c r="BA68" s="409"/>
      <c r="BB68" s="409"/>
      <c r="BC68" s="409"/>
      <c r="BD68" s="407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</row>
    <row r="69" spans="1:72" ht="15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392"/>
      <c r="S69" s="409"/>
      <c r="T69" s="409"/>
      <c r="U69" s="409"/>
      <c r="V69" s="409"/>
      <c r="W69" s="392"/>
      <c r="X69" s="392"/>
      <c r="Y69" s="409"/>
      <c r="Z69" s="409"/>
      <c r="AA69" s="392"/>
      <c r="AB69" s="392"/>
      <c r="AC69" s="392"/>
      <c r="AD69" s="409"/>
      <c r="AE69" s="409"/>
      <c r="AF69" s="409"/>
      <c r="AG69" s="409"/>
      <c r="AH69" s="409"/>
      <c r="AI69" s="409"/>
      <c r="AJ69" s="409"/>
      <c r="AK69" s="409"/>
      <c r="AL69" s="409"/>
      <c r="AM69" s="409"/>
      <c r="AN69" s="409"/>
      <c r="AO69" s="409"/>
      <c r="AP69" s="409"/>
      <c r="AQ69" s="409"/>
      <c r="AR69" s="409"/>
      <c r="AS69" s="409"/>
      <c r="AT69" s="409"/>
      <c r="AU69" s="409"/>
      <c r="AV69" s="409"/>
      <c r="AW69" s="409"/>
      <c r="AX69" s="409"/>
      <c r="AY69" s="409"/>
      <c r="AZ69" s="409"/>
      <c r="BA69" s="409"/>
      <c r="BB69" s="409"/>
      <c r="BC69" s="409"/>
      <c r="BD69" s="407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</row>
    <row r="70" spans="1:72" ht="15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409"/>
      <c r="T70" s="409"/>
      <c r="U70" s="409"/>
      <c r="V70" s="409"/>
      <c r="W70" s="392"/>
      <c r="X70" s="392"/>
      <c r="Y70" s="409"/>
      <c r="Z70" s="409"/>
      <c r="AA70" s="392"/>
      <c r="AB70" s="392"/>
      <c r="AC70" s="392"/>
      <c r="AD70" s="409"/>
      <c r="AE70" s="409"/>
      <c r="AF70" s="409"/>
      <c r="AG70" s="409"/>
      <c r="AH70" s="409"/>
      <c r="AI70" s="409"/>
      <c r="AJ70" s="409"/>
      <c r="AK70" s="409"/>
      <c r="AL70" s="409"/>
      <c r="AM70" s="409"/>
      <c r="AN70" s="409"/>
      <c r="AO70" s="409"/>
      <c r="AP70" s="409"/>
      <c r="AQ70" s="409"/>
      <c r="AR70" s="409"/>
      <c r="AS70" s="409"/>
      <c r="AT70" s="409"/>
      <c r="AU70" s="409"/>
      <c r="AV70" s="409"/>
      <c r="AW70" s="409"/>
      <c r="AX70" s="409"/>
      <c r="AY70" s="409"/>
      <c r="AZ70" s="409"/>
      <c r="BA70" s="409"/>
      <c r="BB70" s="409"/>
      <c r="BC70" s="409"/>
      <c r="BD70" s="407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</row>
    <row r="71" spans="1:72" ht="15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2"/>
      <c r="S71" s="409"/>
      <c r="T71" s="409"/>
      <c r="U71" s="409"/>
      <c r="V71" s="409"/>
      <c r="W71" s="392"/>
      <c r="X71" s="392"/>
      <c r="Y71" s="409"/>
      <c r="Z71" s="409"/>
      <c r="AA71" s="392"/>
      <c r="AB71" s="392"/>
      <c r="AC71" s="392"/>
      <c r="AD71" s="409"/>
      <c r="AE71" s="409"/>
      <c r="AF71" s="409"/>
      <c r="AG71" s="409"/>
      <c r="AH71" s="409"/>
      <c r="AI71" s="409"/>
      <c r="AJ71" s="409"/>
      <c r="AK71" s="409"/>
      <c r="AL71" s="409"/>
      <c r="AM71" s="409"/>
      <c r="AN71" s="409"/>
      <c r="AO71" s="409"/>
      <c r="AP71" s="409"/>
      <c r="AQ71" s="409"/>
      <c r="AR71" s="409"/>
      <c r="AS71" s="409"/>
      <c r="AT71" s="409"/>
      <c r="AU71" s="409"/>
      <c r="AV71" s="409"/>
      <c r="AW71" s="409"/>
      <c r="AX71" s="409"/>
      <c r="AY71" s="409"/>
      <c r="AZ71" s="409"/>
      <c r="BA71" s="409"/>
      <c r="BB71" s="409"/>
      <c r="BC71" s="409"/>
      <c r="BD71" s="407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</row>
    <row r="72" spans="1:72" ht="15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2"/>
      <c r="P72" s="392"/>
      <c r="Q72" s="392"/>
      <c r="R72" s="392"/>
      <c r="S72" s="409"/>
      <c r="T72" s="409"/>
      <c r="U72" s="409"/>
      <c r="V72" s="409"/>
      <c r="W72" s="392"/>
      <c r="X72" s="392"/>
      <c r="Y72" s="409"/>
      <c r="Z72" s="409"/>
      <c r="AA72" s="392"/>
      <c r="AB72" s="392"/>
      <c r="AC72" s="392"/>
      <c r="AD72" s="409"/>
      <c r="AE72" s="409"/>
      <c r="AF72" s="409"/>
      <c r="AG72" s="409"/>
      <c r="AH72" s="409"/>
      <c r="AI72" s="409"/>
      <c r="AJ72" s="409"/>
      <c r="AK72" s="409"/>
      <c r="AL72" s="409"/>
      <c r="AM72" s="409"/>
      <c r="AN72" s="409"/>
      <c r="AO72" s="409"/>
      <c r="AP72" s="409"/>
      <c r="AQ72" s="409"/>
      <c r="AR72" s="409"/>
      <c r="AS72" s="409"/>
      <c r="AT72" s="409"/>
      <c r="AU72" s="409"/>
      <c r="AV72" s="409"/>
      <c r="AW72" s="409"/>
      <c r="AX72" s="409"/>
      <c r="AY72" s="409"/>
      <c r="AZ72" s="409"/>
      <c r="BA72" s="409"/>
      <c r="BB72" s="409"/>
      <c r="BC72" s="409"/>
      <c r="BD72" s="407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</row>
    <row r="73" spans="1:72" ht="15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2"/>
      <c r="P73" s="392"/>
      <c r="Q73" s="392"/>
      <c r="R73" s="392"/>
      <c r="S73" s="409"/>
      <c r="T73" s="409"/>
      <c r="U73" s="409"/>
      <c r="V73" s="409"/>
      <c r="W73" s="392"/>
      <c r="X73" s="392"/>
      <c r="Y73" s="409"/>
      <c r="Z73" s="409"/>
      <c r="AA73" s="392"/>
      <c r="AB73" s="392"/>
      <c r="AC73" s="392"/>
      <c r="AD73" s="409"/>
      <c r="AE73" s="409"/>
      <c r="AF73" s="409"/>
      <c r="AG73" s="409"/>
      <c r="AH73" s="409"/>
      <c r="AI73" s="409"/>
      <c r="AJ73" s="409"/>
      <c r="AK73" s="409"/>
      <c r="AL73" s="409"/>
      <c r="AM73" s="409"/>
      <c r="AN73" s="409"/>
      <c r="AO73" s="409"/>
      <c r="AP73" s="409"/>
      <c r="AQ73" s="409"/>
      <c r="AR73" s="409"/>
      <c r="AS73" s="409"/>
      <c r="AT73" s="409"/>
      <c r="AU73" s="409"/>
      <c r="AV73" s="409"/>
      <c r="AW73" s="409"/>
      <c r="AX73" s="409"/>
      <c r="AY73" s="409"/>
      <c r="AZ73" s="409"/>
      <c r="BA73" s="409"/>
      <c r="BB73" s="409"/>
      <c r="BC73" s="409"/>
      <c r="BD73" s="407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</row>
    <row r="74" spans="1:72" ht="15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409"/>
      <c r="T74" s="409"/>
      <c r="U74" s="409"/>
      <c r="V74" s="409"/>
      <c r="W74" s="392"/>
      <c r="X74" s="392"/>
      <c r="Y74" s="409"/>
      <c r="Z74" s="409"/>
      <c r="AA74" s="392"/>
      <c r="AB74" s="392"/>
      <c r="AC74" s="392"/>
      <c r="AD74" s="409"/>
      <c r="AE74" s="409"/>
      <c r="AF74" s="409"/>
      <c r="AG74" s="409"/>
      <c r="AH74" s="409"/>
      <c r="AI74" s="409"/>
      <c r="AJ74" s="409"/>
      <c r="AK74" s="409"/>
      <c r="AL74" s="409"/>
      <c r="AM74" s="409"/>
      <c r="AN74" s="409"/>
      <c r="AO74" s="409"/>
      <c r="AP74" s="409"/>
      <c r="AQ74" s="409"/>
      <c r="AR74" s="409"/>
      <c r="AS74" s="409"/>
      <c r="AT74" s="409"/>
      <c r="AU74" s="409"/>
      <c r="AV74" s="409"/>
      <c r="AW74" s="409"/>
      <c r="AX74" s="409"/>
      <c r="AY74" s="409"/>
      <c r="AZ74" s="409"/>
      <c r="BA74" s="409"/>
      <c r="BB74" s="409"/>
      <c r="BC74" s="409"/>
      <c r="BD74" s="407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</row>
    <row r="75" spans="1:72" ht="15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409"/>
      <c r="T75" s="409"/>
      <c r="U75" s="409"/>
      <c r="V75" s="409"/>
      <c r="W75" s="392"/>
      <c r="X75" s="392"/>
      <c r="Y75" s="409"/>
      <c r="Z75" s="409"/>
      <c r="AA75" s="392"/>
      <c r="AB75" s="392"/>
      <c r="AC75" s="392"/>
      <c r="AD75" s="409"/>
      <c r="AE75" s="409"/>
      <c r="AF75" s="409"/>
      <c r="AG75" s="409"/>
      <c r="AH75" s="409"/>
      <c r="AI75" s="409"/>
      <c r="AJ75" s="409"/>
      <c r="AK75" s="409"/>
      <c r="AL75" s="409"/>
      <c r="AM75" s="409"/>
      <c r="AN75" s="409"/>
      <c r="AO75" s="409"/>
      <c r="AP75" s="409"/>
      <c r="AQ75" s="409"/>
      <c r="AR75" s="409"/>
      <c r="AS75" s="409"/>
      <c r="AT75" s="409"/>
      <c r="AU75" s="409"/>
      <c r="AV75" s="409"/>
      <c r="AW75" s="409"/>
      <c r="AX75" s="409"/>
      <c r="AY75" s="409"/>
      <c r="AZ75" s="409"/>
      <c r="BA75" s="409"/>
      <c r="BB75" s="409"/>
      <c r="BC75" s="409"/>
      <c r="BD75" s="407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</row>
    <row r="76" spans="1:72" ht="15">
      <c r="A76" s="392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392"/>
      <c r="S76" s="409"/>
      <c r="T76" s="409"/>
      <c r="U76" s="409"/>
      <c r="V76" s="409"/>
      <c r="W76" s="392"/>
      <c r="X76" s="392"/>
      <c r="Y76" s="409"/>
      <c r="Z76" s="409"/>
      <c r="AA76" s="392"/>
      <c r="AB76" s="392"/>
      <c r="AC76" s="392"/>
      <c r="AD76" s="409"/>
      <c r="AE76" s="409"/>
      <c r="AF76" s="409"/>
      <c r="AG76" s="409"/>
      <c r="AH76" s="409"/>
      <c r="AI76" s="409"/>
      <c r="AJ76" s="409"/>
      <c r="AK76" s="409"/>
      <c r="AL76" s="409"/>
      <c r="AM76" s="409"/>
      <c r="AN76" s="409"/>
      <c r="AO76" s="409"/>
      <c r="AP76" s="409"/>
      <c r="AQ76" s="409"/>
      <c r="AR76" s="409"/>
      <c r="AS76" s="409"/>
      <c r="AT76" s="409"/>
      <c r="AU76" s="409"/>
      <c r="AV76" s="409"/>
      <c r="AW76" s="409"/>
      <c r="AX76" s="409"/>
      <c r="AY76" s="409"/>
      <c r="AZ76" s="409"/>
      <c r="BA76" s="409"/>
      <c r="BB76" s="409"/>
      <c r="BC76" s="409"/>
      <c r="BD76" s="407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</row>
    <row r="77" spans="1:72" ht="15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92"/>
      <c r="S77" s="409"/>
      <c r="T77" s="409"/>
      <c r="U77" s="409"/>
      <c r="V77" s="409"/>
      <c r="W77" s="392"/>
      <c r="X77" s="392"/>
      <c r="Y77" s="409"/>
      <c r="Z77" s="409"/>
      <c r="AA77" s="392"/>
      <c r="AB77" s="392"/>
      <c r="AC77" s="392"/>
      <c r="AD77" s="409"/>
      <c r="AE77" s="409"/>
      <c r="AF77" s="409"/>
      <c r="AG77" s="409"/>
      <c r="AH77" s="409"/>
      <c r="AI77" s="409"/>
      <c r="AJ77" s="409"/>
      <c r="AK77" s="409"/>
      <c r="AL77" s="409"/>
      <c r="AM77" s="409"/>
      <c r="AN77" s="409"/>
      <c r="AO77" s="409"/>
      <c r="AP77" s="409"/>
      <c r="AQ77" s="409"/>
      <c r="AR77" s="409"/>
      <c r="AS77" s="409"/>
      <c r="AT77" s="409"/>
      <c r="AU77" s="409"/>
      <c r="AV77" s="409"/>
      <c r="AW77" s="409"/>
      <c r="AX77" s="409"/>
      <c r="AY77" s="409"/>
      <c r="AZ77" s="409"/>
      <c r="BA77" s="409"/>
      <c r="BB77" s="409"/>
      <c r="BC77" s="409"/>
      <c r="BD77" s="407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</row>
    <row r="78" spans="1:72" ht="15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409"/>
      <c r="T78" s="409"/>
      <c r="U78" s="409"/>
      <c r="V78" s="409"/>
      <c r="W78" s="392"/>
      <c r="X78" s="392"/>
      <c r="Y78" s="409"/>
      <c r="Z78" s="409"/>
      <c r="AA78" s="392"/>
      <c r="AB78" s="392"/>
      <c r="AC78" s="392"/>
      <c r="AD78" s="409"/>
      <c r="AE78" s="409"/>
      <c r="AF78" s="409"/>
      <c r="AG78" s="409"/>
      <c r="AH78" s="409"/>
      <c r="AI78" s="409"/>
      <c r="AJ78" s="409"/>
      <c r="AK78" s="409"/>
      <c r="AL78" s="409"/>
      <c r="AM78" s="409"/>
      <c r="AN78" s="409"/>
      <c r="AO78" s="409"/>
      <c r="AP78" s="409"/>
      <c r="AQ78" s="409"/>
      <c r="AR78" s="409"/>
      <c r="AS78" s="409"/>
      <c r="AT78" s="409"/>
      <c r="AU78" s="409"/>
      <c r="AV78" s="409"/>
      <c r="AW78" s="409"/>
      <c r="AX78" s="409"/>
      <c r="AY78" s="409"/>
      <c r="AZ78" s="409"/>
      <c r="BA78" s="409"/>
      <c r="BB78" s="409"/>
      <c r="BC78" s="409"/>
      <c r="BD78" s="407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</row>
    <row r="79" spans="1:72" ht="15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409"/>
      <c r="T79" s="409"/>
      <c r="U79" s="409"/>
      <c r="V79" s="409"/>
      <c r="W79" s="392"/>
      <c r="X79" s="392"/>
      <c r="Y79" s="409"/>
      <c r="Z79" s="409"/>
      <c r="AA79" s="392"/>
      <c r="AB79" s="392"/>
      <c r="AC79" s="392"/>
      <c r="AD79" s="409"/>
      <c r="AE79" s="409"/>
      <c r="AF79" s="409"/>
      <c r="AG79" s="409"/>
      <c r="AH79" s="409"/>
      <c r="AI79" s="409"/>
      <c r="AJ79" s="409"/>
      <c r="AK79" s="409"/>
      <c r="AL79" s="409"/>
      <c r="AM79" s="409"/>
      <c r="AN79" s="409"/>
      <c r="AO79" s="409"/>
      <c r="AP79" s="409"/>
      <c r="AQ79" s="409"/>
      <c r="AR79" s="409"/>
      <c r="AS79" s="409"/>
      <c r="AT79" s="409"/>
      <c r="AU79" s="409"/>
      <c r="AV79" s="409"/>
      <c r="AW79" s="409"/>
      <c r="AX79" s="409"/>
      <c r="AY79" s="409"/>
      <c r="AZ79" s="409"/>
      <c r="BA79" s="409"/>
      <c r="BB79" s="409"/>
      <c r="BC79" s="409"/>
      <c r="BD79" s="407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</row>
    <row r="80" spans="1:72" ht="15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409"/>
      <c r="T80" s="409"/>
      <c r="U80" s="409"/>
      <c r="V80" s="409"/>
      <c r="W80" s="392"/>
      <c r="X80" s="392"/>
      <c r="Y80" s="409"/>
      <c r="Z80" s="409"/>
      <c r="AA80" s="392"/>
      <c r="AB80" s="392"/>
      <c r="AC80" s="392"/>
      <c r="AD80" s="409"/>
      <c r="AE80" s="409"/>
      <c r="AF80" s="409"/>
      <c r="AG80" s="409"/>
      <c r="AH80" s="409"/>
      <c r="AI80" s="409"/>
      <c r="AJ80" s="409"/>
      <c r="AK80" s="409"/>
      <c r="AL80" s="409"/>
      <c r="AM80" s="409"/>
      <c r="AN80" s="409"/>
      <c r="AO80" s="409"/>
      <c r="AP80" s="409"/>
      <c r="AQ80" s="409"/>
      <c r="AR80" s="409"/>
      <c r="AS80" s="409"/>
      <c r="AT80" s="409"/>
      <c r="AU80" s="409"/>
      <c r="AV80" s="409"/>
      <c r="AW80" s="409"/>
      <c r="AX80" s="409"/>
      <c r="AY80" s="409"/>
      <c r="AZ80" s="409"/>
      <c r="BA80" s="409"/>
      <c r="BB80" s="409"/>
      <c r="BC80" s="409"/>
      <c r="BD80" s="407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44"/>
      <c r="BP80" s="444"/>
      <c r="BQ80" s="444"/>
      <c r="BR80" s="444"/>
      <c r="BS80" s="444"/>
      <c r="BT80" s="444"/>
    </row>
    <row r="81" spans="1:72" ht="15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92"/>
      <c r="S81" s="409"/>
      <c r="T81" s="409"/>
      <c r="U81" s="409"/>
      <c r="V81" s="409"/>
      <c r="W81" s="392"/>
      <c r="X81" s="392"/>
      <c r="Y81" s="409"/>
      <c r="Z81" s="409"/>
      <c r="AA81" s="392"/>
      <c r="AB81" s="392"/>
      <c r="AC81" s="392"/>
      <c r="AD81" s="409"/>
      <c r="AE81" s="409"/>
      <c r="AF81" s="409"/>
      <c r="AG81" s="409"/>
      <c r="AH81" s="409"/>
      <c r="AI81" s="409"/>
      <c r="AJ81" s="409"/>
      <c r="AK81" s="409"/>
      <c r="AL81" s="409"/>
      <c r="AM81" s="409"/>
      <c r="AN81" s="409"/>
      <c r="AO81" s="409"/>
      <c r="AP81" s="409"/>
      <c r="AQ81" s="409"/>
      <c r="AR81" s="409"/>
      <c r="AS81" s="409"/>
      <c r="AT81" s="409"/>
      <c r="AU81" s="409"/>
      <c r="AV81" s="409"/>
      <c r="AW81" s="409"/>
      <c r="AX81" s="409"/>
      <c r="AY81" s="409"/>
      <c r="AZ81" s="409"/>
      <c r="BA81" s="409"/>
      <c r="BB81" s="409"/>
      <c r="BC81" s="409"/>
      <c r="BD81" s="407"/>
      <c r="BE81" s="444"/>
      <c r="BF81" s="444"/>
      <c r="BG81" s="444"/>
      <c r="BH81" s="444"/>
      <c r="BI81" s="444"/>
      <c r="BJ81" s="444"/>
      <c r="BK81" s="444"/>
      <c r="BL81" s="444"/>
      <c r="BM81" s="444"/>
      <c r="BN81" s="444"/>
      <c r="BO81" s="444"/>
      <c r="BP81" s="444"/>
      <c r="BQ81" s="444"/>
      <c r="BR81" s="444"/>
      <c r="BS81" s="444"/>
      <c r="BT81" s="444"/>
    </row>
    <row r="82" spans="1:72" ht="15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392"/>
      <c r="S82" s="409"/>
      <c r="T82" s="409"/>
      <c r="U82" s="409"/>
      <c r="V82" s="409"/>
      <c r="W82" s="392"/>
      <c r="X82" s="392"/>
      <c r="Y82" s="409"/>
      <c r="Z82" s="409"/>
      <c r="AA82" s="392"/>
      <c r="AB82" s="392"/>
      <c r="AC82" s="392"/>
      <c r="AD82" s="409"/>
      <c r="AE82" s="409"/>
      <c r="AF82" s="409"/>
      <c r="AG82" s="409"/>
      <c r="AH82" s="409"/>
      <c r="AI82" s="409"/>
      <c r="AJ82" s="409"/>
      <c r="AK82" s="409"/>
      <c r="AL82" s="409"/>
      <c r="AM82" s="409"/>
      <c r="AN82" s="409"/>
      <c r="AO82" s="409"/>
      <c r="AP82" s="409"/>
      <c r="AQ82" s="409"/>
      <c r="AR82" s="409"/>
      <c r="AS82" s="409"/>
      <c r="AT82" s="409"/>
      <c r="AU82" s="409"/>
      <c r="AV82" s="409"/>
      <c r="AW82" s="409"/>
      <c r="AX82" s="409"/>
      <c r="AY82" s="409"/>
      <c r="AZ82" s="409"/>
      <c r="BA82" s="409"/>
      <c r="BB82" s="409"/>
      <c r="BC82" s="409"/>
      <c r="BD82" s="407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44"/>
      <c r="BP82" s="444"/>
      <c r="BQ82" s="444"/>
      <c r="BR82" s="444"/>
      <c r="BS82" s="444"/>
      <c r="BT82" s="444"/>
    </row>
    <row r="83" spans="1:72" ht="15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392"/>
      <c r="S83" s="409"/>
      <c r="T83" s="409"/>
      <c r="U83" s="409"/>
      <c r="V83" s="409"/>
      <c r="W83" s="392"/>
      <c r="X83" s="392"/>
      <c r="Y83" s="409"/>
      <c r="Z83" s="409"/>
      <c r="AA83" s="392"/>
      <c r="AB83" s="392"/>
      <c r="AC83" s="392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9"/>
      <c r="AP83" s="409"/>
      <c r="AQ83" s="409"/>
      <c r="AR83" s="409"/>
      <c r="AS83" s="409"/>
      <c r="AT83" s="409"/>
      <c r="AU83" s="409"/>
      <c r="AV83" s="409"/>
      <c r="AW83" s="409"/>
      <c r="AX83" s="409"/>
      <c r="AY83" s="409"/>
      <c r="AZ83" s="409"/>
      <c r="BA83" s="409"/>
      <c r="BB83" s="409"/>
      <c r="BC83" s="409"/>
      <c r="BD83" s="407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44"/>
      <c r="BP83" s="444"/>
      <c r="BQ83" s="444"/>
      <c r="BR83" s="444"/>
      <c r="BS83" s="444"/>
      <c r="BT83" s="444"/>
    </row>
    <row r="84" spans="1:72" ht="15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409"/>
      <c r="T84" s="409"/>
      <c r="U84" s="409"/>
      <c r="V84" s="409"/>
      <c r="W84" s="392"/>
      <c r="X84" s="392"/>
      <c r="Y84" s="409"/>
      <c r="Z84" s="409"/>
      <c r="AA84" s="392"/>
      <c r="AB84" s="392"/>
      <c r="AC84" s="392"/>
      <c r="AD84" s="409"/>
      <c r="AE84" s="409"/>
      <c r="AF84" s="409"/>
      <c r="AG84" s="409"/>
      <c r="AH84" s="409"/>
      <c r="AI84" s="409"/>
      <c r="AJ84" s="409"/>
      <c r="AK84" s="409"/>
      <c r="AL84" s="409"/>
      <c r="AM84" s="409"/>
      <c r="AN84" s="409"/>
      <c r="AO84" s="409"/>
      <c r="AP84" s="409"/>
      <c r="AQ84" s="409"/>
      <c r="AR84" s="409"/>
      <c r="AS84" s="409"/>
      <c r="AT84" s="409"/>
      <c r="AU84" s="409"/>
      <c r="AV84" s="409"/>
      <c r="AW84" s="409"/>
      <c r="AX84" s="409"/>
      <c r="AY84" s="409"/>
      <c r="AZ84" s="409"/>
      <c r="BA84" s="409"/>
      <c r="BB84" s="409"/>
      <c r="BC84" s="409"/>
      <c r="BD84" s="407"/>
      <c r="BE84" s="444"/>
      <c r="BF84" s="444"/>
      <c r="BG84" s="444"/>
      <c r="BH84" s="444"/>
      <c r="BI84" s="444"/>
      <c r="BJ84" s="444"/>
      <c r="BK84" s="444"/>
      <c r="BL84" s="444"/>
      <c r="BM84" s="444"/>
      <c r="BN84" s="444"/>
      <c r="BO84" s="444"/>
      <c r="BP84" s="444"/>
      <c r="BQ84" s="444"/>
      <c r="BR84" s="444"/>
      <c r="BS84" s="444"/>
      <c r="BT84" s="444"/>
    </row>
    <row r="85" spans="1:72" ht="15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409"/>
      <c r="T85" s="409"/>
      <c r="U85" s="409"/>
      <c r="V85" s="409"/>
      <c r="W85" s="392"/>
      <c r="X85" s="392"/>
      <c r="Y85" s="409"/>
      <c r="Z85" s="409"/>
      <c r="AA85" s="392"/>
      <c r="AB85" s="392"/>
      <c r="AC85" s="392"/>
      <c r="AD85" s="409"/>
      <c r="AE85" s="409"/>
      <c r="AF85" s="409"/>
      <c r="AG85" s="409"/>
      <c r="AH85" s="409"/>
      <c r="AI85" s="409"/>
      <c r="AJ85" s="409"/>
      <c r="AK85" s="409"/>
      <c r="AL85" s="409"/>
      <c r="AM85" s="409"/>
      <c r="AN85" s="409"/>
      <c r="AO85" s="409"/>
      <c r="AP85" s="409"/>
      <c r="AQ85" s="409"/>
      <c r="AR85" s="409"/>
      <c r="AS85" s="409"/>
      <c r="AT85" s="409"/>
      <c r="AU85" s="409"/>
      <c r="AV85" s="409"/>
      <c r="AW85" s="409"/>
      <c r="AX85" s="409"/>
      <c r="AY85" s="409"/>
      <c r="AZ85" s="409"/>
      <c r="BA85" s="409"/>
      <c r="BB85" s="409"/>
      <c r="BC85" s="409"/>
      <c r="BD85" s="407"/>
      <c r="BE85" s="444"/>
      <c r="BF85" s="444"/>
      <c r="BG85" s="444"/>
      <c r="BH85" s="444"/>
      <c r="BI85" s="444"/>
      <c r="BJ85" s="444"/>
      <c r="BK85" s="444"/>
      <c r="BL85" s="444"/>
      <c r="BM85" s="444"/>
      <c r="BN85" s="444"/>
      <c r="BO85" s="444"/>
      <c r="BP85" s="444"/>
      <c r="BQ85" s="444"/>
      <c r="BR85" s="444"/>
      <c r="BS85" s="444"/>
      <c r="BT85" s="444"/>
    </row>
    <row r="86" spans="1:72" ht="15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409"/>
      <c r="T86" s="409"/>
      <c r="U86" s="409"/>
      <c r="V86" s="409"/>
      <c r="W86" s="392"/>
      <c r="X86" s="392"/>
      <c r="Y86" s="409"/>
      <c r="Z86" s="409"/>
      <c r="AA86" s="392"/>
      <c r="AB86" s="392"/>
      <c r="AC86" s="392"/>
      <c r="AD86" s="409"/>
      <c r="AE86" s="409"/>
      <c r="AF86" s="409"/>
      <c r="AG86" s="409"/>
      <c r="AH86" s="409"/>
      <c r="AI86" s="409"/>
      <c r="AJ86" s="409"/>
      <c r="AK86" s="409"/>
      <c r="AL86" s="409"/>
      <c r="AM86" s="409"/>
      <c r="AN86" s="409"/>
      <c r="AO86" s="409"/>
      <c r="AP86" s="409"/>
      <c r="AQ86" s="409"/>
      <c r="AR86" s="409"/>
      <c r="AS86" s="409"/>
      <c r="AT86" s="409"/>
      <c r="AU86" s="409"/>
      <c r="AV86" s="409"/>
      <c r="AW86" s="409"/>
      <c r="AX86" s="409"/>
      <c r="AY86" s="409"/>
      <c r="AZ86" s="409"/>
      <c r="BA86" s="409"/>
      <c r="BB86" s="409"/>
      <c r="BC86" s="409"/>
      <c r="BD86" s="407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44"/>
      <c r="BP86" s="444"/>
      <c r="BQ86" s="444"/>
      <c r="BR86" s="444"/>
      <c r="BS86" s="444"/>
      <c r="BT86" s="444"/>
    </row>
    <row r="87" spans="1:72" ht="15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2"/>
      <c r="M87" s="392"/>
      <c r="N87" s="392"/>
      <c r="O87" s="392"/>
      <c r="P87" s="392"/>
      <c r="Q87" s="392"/>
      <c r="R87" s="392"/>
      <c r="S87" s="409"/>
      <c r="T87" s="409"/>
      <c r="U87" s="409"/>
      <c r="V87" s="409"/>
      <c r="W87" s="392"/>
      <c r="X87" s="392"/>
      <c r="Y87" s="409"/>
      <c r="Z87" s="409"/>
      <c r="AA87" s="392"/>
      <c r="AB87" s="392"/>
      <c r="AC87" s="392"/>
      <c r="AD87" s="409"/>
      <c r="AE87" s="409"/>
      <c r="AF87" s="409"/>
      <c r="AG87" s="409"/>
      <c r="AH87" s="409"/>
      <c r="AI87" s="409"/>
      <c r="AJ87" s="409"/>
      <c r="AK87" s="409"/>
      <c r="AL87" s="409"/>
      <c r="AM87" s="409"/>
      <c r="AN87" s="409"/>
      <c r="AO87" s="409"/>
      <c r="AP87" s="409"/>
      <c r="AQ87" s="409"/>
      <c r="AR87" s="409"/>
      <c r="AS87" s="409"/>
      <c r="AT87" s="409"/>
      <c r="AU87" s="409"/>
      <c r="AV87" s="409"/>
      <c r="AW87" s="409"/>
      <c r="AX87" s="409"/>
      <c r="AY87" s="409"/>
      <c r="AZ87" s="409"/>
      <c r="BA87" s="409"/>
      <c r="BB87" s="409"/>
      <c r="BC87" s="409"/>
      <c r="BD87" s="407"/>
      <c r="BE87" s="444"/>
      <c r="BF87" s="444"/>
      <c r="BG87" s="444"/>
      <c r="BH87" s="444"/>
      <c r="BI87" s="444"/>
      <c r="BJ87" s="444"/>
      <c r="BK87" s="444"/>
      <c r="BL87" s="444"/>
      <c r="BM87" s="444"/>
      <c r="BN87" s="444"/>
      <c r="BO87" s="444"/>
      <c r="BP87" s="444"/>
      <c r="BQ87" s="444"/>
      <c r="BR87" s="444"/>
      <c r="BS87" s="444"/>
      <c r="BT87" s="444"/>
    </row>
    <row r="88" spans="1:72" ht="15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2"/>
      <c r="P88" s="392"/>
      <c r="Q88" s="392"/>
      <c r="R88" s="392"/>
      <c r="S88" s="409"/>
      <c r="T88" s="409"/>
      <c r="U88" s="409"/>
      <c r="V88" s="409"/>
      <c r="W88" s="392"/>
      <c r="X88" s="392"/>
      <c r="Y88" s="409"/>
      <c r="Z88" s="409"/>
      <c r="AA88" s="392"/>
      <c r="AB88" s="392"/>
      <c r="AC88" s="392"/>
      <c r="AD88" s="409"/>
      <c r="AE88" s="409"/>
      <c r="AF88" s="409"/>
      <c r="AG88" s="409"/>
      <c r="AH88" s="409"/>
      <c r="AI88" s="409"/>
      <c r="AJ88" s="409"/>
      <c r="AK88" s="409"/>
      <c r="AL88" s="409"/>
      <c r="AM88" s="409"/>
      <c r="AN88" s="409"/>
      <c r="AO88" s="409"/>
      <c r="AP88" s="409"/>
      <c r="AQ88" s="409"/>
      <c r="AR88" s="409"/>
      <c r="AS88" s="409"/>
      <c r="AT88" s="409"/>
      <c r="AU88" s="409"/>
      <c r="AV88" s="409"/>
      <c r="AW88" s="409"/>
      <c r="AX88" s="409"/>
      <c r="AY88" s="409"/>
      <c r="AZ88" s="409"/>
      <c r="BA88" s="409"/>
      <c r="BB88" s="409"/>
      <c r="BC88" s="409"/>
      <c r="BD88" s="407"/>
      <c r="BE88" s="444"/>
      <c r="BF88" s="444"/>
      <c r="BG88" s="444"/>
      <c r="BH88" s="444"/>
      <c r="BI88" s="444"/>
      <c r="BJ88" s="444"/>
      <c r="BK88" s="444"/>
      <c r="BL88" s="444"/>
      <c r="BM88" s="444"/>
      <c r="BN88" s="444"/>
      <c r="BO88" s="444"/>
      <c r="BP88" s="444"/>
      <c r="BQ88" s="444"/>
      <c r="BR88" s="444"/>
      <c r="BS88" s="444"/>
      <c r="BT88" s="444"/>
    </row>
    <row r="89" spans="1:72" ht="15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2"/>
      <c r="P89" s="392"/>
      <c r="Q89" s="392"/>
      <c r="R89" s="392"/>
      <c r="S89" s="409"/>
      <c r="T89" s="409"/>
      <c r="U89" s="409"/>
      <c r="V89" s="409"/>
      <c r="W89" s="392"/>
      <c r="X89" s="392"/>
      <c r="Y89" s="409"/>
      <c r="Z89" s="409"/>
      <c r="AA89" s="392"/>
      <c r="AB89" s="392"/>
      <c r="AC89" s="392"/>
      <c r="AD89" s="409"/>
      <c r="AE89" s="409"/>
      <c r="AF89" s="409"/>
      <c r="AG89" s="409"/>
      <c r="AH89" s="409"/>
      <c r="AI89" s="409"/>
      <c r="AJ89" s="409"/>
      <c r="AK89" s="409"/>
      <c r="AL89" s="409"/>
      <c r="AM89" s="409"/>
      <c r="AN89" s="409"/>
      <c r="AO89" s="409"/>
      <c r="AP89" s="409"/>
      <c r="AQ89" s="409"/>
      <c r="AR89" s="409"/>
      <c r="AS89" s="409"/>
      <c r="AT89" s="409"/>
      <c r="AU89" s="409"/>
      <c r="AV89" s="409"/>
      <c r="AW89" s="409"/>
      <c r="AX89" s="409"/>
      <c r="AY89" s="409"/>
      <c r="AZ89" s="409"/>
      <c r="BA89" s="409"/>
      <c r="BB89" s="409"/>
      <c r="BC89" s="409"/>
      <c r="BD89" s="407"/>
      <c r="BE89" s="444"/>
      <c r="BF89" s="444"/>
      <c r="BG89" s="444"/>
      <c r="BH89" s="444"/>
      <c r="BI89" s="444"/>
      <c r="BJ89" s="444"/>
      <c r="BK89" s="444"/>
      <c r="BL89" s="444"/>
      <c r="BM89" s="444"/>
      <c r="BN89" s="444"/>
      <c r="BO89" s="444"/>
      <c r="BP89" s="444"/>
      <c r="BQ89" s="444"/>
      <c r="BR89" s="444"/>
      <c r="BS89" s="444"/>
      <c r="BT89" s="444"/>
    </row>
    <row r="90" spans="1:72" ht="15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2"/>
      <c r="M90" s="392"/>
      <c r="N90" s="392"/>
      <c r="O90" s="392"/>
      <c r="P90" s="392"/>
      <c r="Q90" s="392"/>
      <c r="R90" s="392"/>
      <c r="S90" s="409"/>
      <c r="T90" s="409"/>
      <c r="U90" s="409"/>
      <c r="V90" s="409"/>
      <c r="W90" s="392"/>
      <c r="X90" s="392"/>
      <c r="Y90" s="409"/>
      <c r="Z90" s="409"/>
      <c r="AA90" s="392"/>
      <c r="AB90" s="392"/>
      <c r="AC90" s="392"/>
      <c r="AD90" s="409"/>
      <c r="AE90" s="409"/>
      <c r="AF90" s="409"/>
      <c r="AG90" s="409"/>
      <c r="AH90" s="409"/>
      <c r="AI90" s="409"/>
      <c r="AJ90" s="409"/>
      <c r="AK90" s="409"/>
      <c r="AL90" s="409"/>
      <c r="AM90" s="409"/>
      <c r="AN90" s="409"/>
      <c r="AO90" s="409"/>
      <c r="AP90" s="409"/>
      <c r="AQ90" s="409"/>
      <c r="AR90" s="409"/>
      <c r="AS90" s="409"/>
      <c r="AT90" s="409"/>
      <c r="AU90" s="409"/>
      <c r="AV90" s="409"/>
      <c r="AW90" s="409"/>
      <c r="AX90" s="409"/>
      <c r="AY90" s="409"/>
      <c r="AZ90" s="409"/>
      <c r="BA90" s="409"/>
      <c r="BB90" s="409"/>
      <c r="BC90" s="409"/>
      <c r="BD90" s="407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</row>
    <row r="91" spans="1:72" ht="15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2"/>
      <c r="M91" s="392"/>
      <c r="N91" s="392"/>
      <c r="O91" s="392"/>
      <c r="P91" s="392"/>
      <c r="Q91" s="392"/>
      <c r="R91" s="392"/>
      <c r="S91" s="409"/>
      <c r="T91" s="409"/>
      <c r="U91" s="409"/>
      <c r="V91" s="409"/>
      <c r="W91" s="392"/>
      <c r="X91" s="392"/>
      <c r="Y91" s="409"/>
      <c r="Z91" s="409"/>
      <c r="AA91" s="392"/>
      <c r="AB91" s="392"/>
      <c r="AC91" s="392"/>
      <c r="AD91" s="409"/>
      <c r="AE91" s="409"/>
      <c r="AF91" s="409"/>
      <c r="AG91" s="409"/>
      <c r="AH91" s="409"/>
      <c r="AI91" s="409"/>
      <c r="AJ91" s="409"/>
      <c r="AK91" s="409"/>
      <c r="AL91" s="409"/>
      <c r="AM91" s="409"/>
      <c r="AN91" s="409"/>
      <c r="AO91" s="409"/>
      <c r="AP91" s="409"/>
      <c r="AQ91" s="409"/>
      <c r="AR91" s="409"/>
      <c r="AS91" s="409"/>
      <c r="AT91" s="409"/>
      <c r="AU91" s="409"/>
      <c r="AV91" s="409"/>
      <c r="AW91" s="409"/>
      <c r="AX91" s="409"/>
      <c r="AY91" s="409"/>
      <c r="AZ91" s="409"/>
      <c r="BA91" s="409"/>
      <c r="BB91" s="409"/>
      <c r="BC91" s="409"/>
      <c r="BD91" s="407"/>
      <c r="BE91" s="444"/>
      <c r="BF91" s="444"/>
      <c r="BG91" s="444"/>
      <c r="BH91" s="444"/>
      <c r="BI91" s="444"/>
      <c r="BJ91" s="444"/>
      <c r="BK91" s="444"/>
      <c r="BL91" s="444"/>
      <c r="BM91" s="444"/>
      <c r="BN91" s="444"/>
      <c r="BO91" s="444"/>
      <c r="BP91" s="444"/>
      <c r="BQ91" s="444"/>
      <c r="BR91" s="444"/>
      <c r="BS91" s="444"/>
      <c r="BT91" s="444"/>
    </row>
    <row r="92" spans="1:72" ht="15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2"/>
      <c r="M92" s="392"/>
      <c r="N92" s="392"/>
      <c r="O92" s="392"/>
      <c r="P92" s="392"/>
      <c r="Q92" s="392"/>
      <c r="R92" s="392"/>
      <c r="S92" s="409"/>
      <c r="T92" s="409"/>
      <c r="U92" s="409"/>
      <c r="V92" s="409"/>
      <c r="W92" s="392"/>
      <c r="X92" s="392"/>
      <c r="Y92" s="409"/>
      <c r="Z92" s="409"/>
      <c r="AA92" s="392"/>
      <c r="AB92" s="392"/>
      <c r="AC92" s="392"/>
      <c r="AD92" s="409"/>
      <c r="AE92" s="409"/>
      <c r="AF92" s="409"/>
      <c r="AG92" s="409"/>
      <c r="AH92" s="409"/>
      <c r="AI92" s="409"/>
      <c r="AJ92" s="409"/>
      <c r="AK92" s="409"/>
      <c r="AL92" s="409"/>
      <c r="AM92" s="409"/>
      <c r="AN92" s="409"/>
      <c r="AO92" s="409"/>
      <c r="AP92" s="409"/>
      <c r="AQ92" s="409"/>
      <c r="AR92" s="409"/>
      <c r="AS92" s="409"/>
      <c r="AT92" s="409"/>
      <c r="AU92" s="409"/>
      <c r="AV92" s="409"/>
      <c r="AW92" s="409"/>
      <c r="AX92" s="409"/>
      <c r="AY92" s="409"/>
      <c r="AZ92" s="409"/>
      <c r="BA92" s="409"/>
      <c r="BB92" s="409"/>
      <c r="BC92" s="409"/>
      <c r="BD92" s="407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44"/>
      <c r="BP92" s="444"/>
      <c r="BQ92" s="444"/>
      <c r="BR92" s="444"/>
      <c r="BS92" s="444"/>
      <c r="BT92" s="444"/>
    </row>
    <row r="93" spans="1:72" ht="15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2"/>
      <c r="Q93" s="392"/>
      <c r="R93" s="392"/>
      <c r="S93" s="409"/>
      <c r="T93" s="409"/>
      <c r="U93" s="409"/>
      <c r="V93" s="409"/>
      <c r="W93" s="392"/>
      <c r="X93" s="392"/>
      <c r="Y93" s="409"/>
      <c r="Z93" s="409"/>
      <c r="AA93" s="392"/>
      <c r="AB93" s="392"/>
      <c r="AC93" s="392"/>
      <c r="AD93" s="409"/>
      <c r="AE93" s="409"/>
      <c r="AF93" s="409"/>
      <c r="AG93" s="409"/>
      <c r="AH93" s="409"/>
      <c r="AI93" s="409"/>
      <c r="AJ93" s="409"/>
      <c r="AK93" s="409"/>
      <c r="AL93" s="409"/>
      <c r="AM93" s="409"/>
      <c r="AN93" s="409"/>
      <c r="AO93" s="409"/>
      <c r="AP93" s="409"/>
      <c r="AQ93" s="409"/>
      <c r="AR93" s="409"/>
      <c r="AS93" s="409"/>
      <c r="AT93" s="409"/>
      <c r="AU93" s="409"/>
      <c r="AV93" s="409"/>
      <c r="AW93" s="409"/>
      <c r="AX93" s="409"/>
      <c r="AY93" s="409"/>
      <c r="AZ93" s="409"/>
      <c r="BA93" s="409"/>
      <c r="BB93" s="409"/>
      <c r="BC93" s="409"/>
      <c r="BD93" s="407"/>
      <c r="BE93" s="444"/>
      <c r="BF93" s="444"/>
      <c r="BG93" s="444"/>
      <c r="BH93" s="444"/>
      <c r="BI93" s="444"/>
      <c r="BJ93" s="444"/>
      <c r="BK93" s="444"/>
      <c r="BL93" s="444"/>
      <c r="BM93" s="444"/>
      <c r="BN93" s="444"/>
      <c r="BO93" s="444"/>
      <c r="BP93" s="444"/>
      <c r="BQ93" s="444"/>
      <c r="BR93" s="444"/>
      <c r="BS93" s="444"/>
      <c r="BT93" s="444"/>
    </row>
    <row r="94" spans="1:72" ht="15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2"/>
      <c r="P94" s="392"/>
      <c r="Q94" s="392"/>
      <c r="R94" s="392"/>
      <c r="S94" s="409"/>
      <c r="T94" s="409"/>
      <c r="U94" s="409"/>
      <c r="V94" s="409"/>
      <c r="W94" s="392"/>
      <c r="X94" s="392"/>
      <c r="Y94" s="409"/>
      <c r="Z94" s="409"/>
      <c r="AA94" s="392"/>
      <c r="AB94" s="392"/>
      <c r="AC94" s="392"/>
      <c r="AD94" s="409"/>
      <c r="AE94" s="409"/>
      <c r="AF94" s="409"/>
      <c r="AG94" s="409"/>
      <c r="AH94" s="409"/>
      <c r="AI94" s="409"/>
      <c r="AJ94" s="409"/>
      <c r="AK94" s="409"/>
      <c r="AL94" s="409"/>
      <c r="AM94" s="409"/>
      <c r="AN94" s="409"/>
      <c r="AO94" s="409"/>
      <c r="AP94" s="409"/>
      <c r="AQ94" s="409"/>
      <c r="AR94" s="409"/>
      <c r="AS94" s="409"/>
      <c r="AT94" s="409"/>
      <c r="AU94" s="409"/>
      <c r="AV94" s="409"/>
      <c r="AW94" s="409"/>
      <c r="AX94" s="409"/>
      <c r="AY94" s="409"/>
      <c r="AZ94" s="409"/>
      <c r="BA94" s="409"/>
      <c r="BB94" s="409"/>
      <c r="BC94" s="409"/>
      <c r="BD94" s="407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/>
      <c r="BQ94" s="444"/>
      <c r="BR94" s="444"/>
      <c r="BS94" s="444"/>
      <c r="BT94" s="444"/>
    </row>
    <row r="95" spans="1:72" ht="15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2"/>
      <c r="Q95" s="392"/>
      <c r="R95" s="392"/>
      <c r="S95" s="409"/>
      <c r="T95" s="409"/>
      <c r="U95" s="409"/>
      <c r="V95" s="409"/>
      <c r="W95" s="392"/>
      <c r="X95" s="392"/>
      <c r="Y95" s="409"/>
      <c r="Z95" s="409"/>
      <c r="AA95" s="392"/>
      <c r="AB95" s="392"/>
      <c r="AC95" s="392"/>
      <c r="AD95" s="409"/>
      <c r="AE95" s="409"/>
      <c r="AF95" s="409"/>
      <c r="AG95" s="409"/>
      <c r="AH95" s="409"/>
      <c r="AI95" s="409"/>
      <c r="AJ95" s="409"/>
      <c r="AK95" s="409"/>
      <c r="AL95" s="409"/>
      <c r="AM95" s="409"/>
      <c r="AN95" s="409"/>
      <c r="AO95" s="409"/>
      <c r="AP95" s="409"/>
      <c r="AQ95" s="409"/>
      <c r="AR95" s="409"/>
      <c r="AS95" s="409"/>
      <c r="AT95" s="409"/>
      <c r="AU95" s="409"/>
      <c r="AV95" s="409"/>
      <c r="AW95" s="409"/>
      <c r="AX95" s="409"/>
      <c r="AY95" s="409"/>
      <c r="AZ95" s="409"/>
      <c r="BA95" s="409"/>
      <c r="BB95" s="409"/>
      <c r="BC95" s="409"/>
      <c r="BD95" s="407"/>
      <c r="BE95" s="444"/>
      <c r="BF95" s="444"/>
      <c r="BG95" s="444"/>
      <c r="BH95" s="444"/>
      <c r="BI95" s="444"/>
      <c r="BJ95" s="444"/>
      <c r="BK95" s="444"/>
      <c r="BL95" s="444"/>
      <c r="BM95" s="444"/>
      <c r="BN95" s="444"/>
      <c r="BO95" s="444"/>
      <c r="BP95" s="444"/>
      <c r="BQ95" s="444"/>
      <c r="BR95" s="444"/>
      <c r="BS95" s="444"/>
      <c r="BT95" s="444"/>
    </row>
    <row r="96" spans="1:72" ht="15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409"/>
      <c r="T96" s="409"/>
      <c r="U96" s="409"/>
      <c r="V96" s="409"/>
      <c r="W96" s="392"/>
      <c r="X96" s="392"/>
      <c r="Y96" s="409"/>
      <c r="Z96" s="409"/>
      <c r="AA96" s="392"/>
      <c r="AB96" s="392"/>
      <c r="AC96" s="392"/>
      <c r="AD96" s="409"/>
      <c r="AE96" s="409"/>
      <c r="AF96" s="409"/>
      <c r="AG96" s="409"/>
      <c r="AH96" s="409"/>
      <c r="AI96" s="409"/>
      <c r="AJ96" s="409"/>
      <c r="AK96" s="409"/>
      <c r="AL96" s="409"/>
      <c r="AM96" s="409"/>
      <c r="AN96" s="409"/>
      <c r="AO96" s="409"/>
      <c r="AP96" s="409"/>
      <c r="AQ96" s="409"/>
      <c r="AR96" s="409"/>
      <c r="AS96" s="409"/>
      <c r="AT96" s="409"/>
      <c r="AU96" s="409"/>
      <c r="AV96" s="409"/>
      <c r="AW96" s="409"/>
      <c r="AX96" s="409"/>
      <c r="AY96" s="409"/>
      <c r="AZ96" s="409"/>
      <c r="BA96" s="409"/>
      <c r="BB96" s="409"/>
      <c r="BC96" s="409"/>
      <c r="BD96" s="407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44"/>
      <c r="BP96" s="444"/>
      <c r="BQ96" s="444"/>
      <c r="BR96" s="444"/>
      <c r="BS96" s="444"/>
      <c r="BT96" s="444"/>
    </row>
    <row r="97" spans="1:72" ht="15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  <c r="L97" s="392"/>
      <c r="M97" s="392"/>
      <c r="N97" s="392"/>
      <c r="O97" s="392"/>
      <c r="P97" s="392"/>
      <c r="Q97" s="392"/>
      <c r="R97" s="392"/>
      <c r="S97" s="409"/>
      <c r="T97" s="409"/>
      <c r="U97" s="409"/>
      <c r="V97" s="409"/>
      <c r="W97" s="392"/>
      <c r="X97" s="392"/>
      <c r="Y97" s="409"/>
      <c r="Z97" s="409"/>
      <c r="AA97" s="392"/>
      <c r="AB97" s="392"/>
      <c r="AC97" s="392"/>
      <c r="AD97" s="409"/>
      <c r="AE97" s="409"/>
      <c r="AF97" s="409"/>
      <c r="AG97" s="409"/>
      <c r="AH97" s="409"/>
      <c r="AI97" s="409"/>
      <c r="AJ97" s="409"/>
      <c r="AK97" s="409"/>
      <c r="AL97" s="409"/>
      <c r="AM97" s="409"/>
      <c r="AN97" s="409"/>
      <c r="AO97" s="409"/>
      <c r="AP97" s="409"/>
      <c r="AQ97" s="409"/>
      <c r="AR97" s="409"/>
      <c r="AS97" s="409"/>
      <c r="AT97" s="409"/>
      <c r="AU97" s="409"/>
      <c r="AV97" s="409"/>
      <c r="AW97" s="409"/>
      <c r="AX97" s="409"/>
      <c r="AY97" s="409"/>
      <c r="AZ97" s="409"/>
      <c r="BA97" s="409"/>
      <c r="BB97" s="409"/>
      <c r="BC97" s="409"/>
      <c r="BD97" s="407"/>
      <c r="BE97" s="444"/>
      <c r="BF97" s="444"/>
      <c r="BG97" s="444"/>
      <c r="BH97" s="444"/>
      <c r="BI97" s="444"/>
      <c r="BJ97" s="444"/>
      <c r="BK97" s="444"/>
      <c r="BL97" s="444"/>
      <c r="BM97" s="444"/>
      <c r="BN97" s="444"/>
      <c r="BO97" s="444"/>
      <c r="BP97" s="444"/>
      <c r="BQ97" s="444"/>
      <c r="BR97" s="444"/>
      <c r="BS97" s="444"/>
      <c r="BT97" s="444"/>
    </row>
    <row r="98" spans="1:72" ht="15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2"/>
      <c r="P98" s="392"/>
      <c r="Q98" s="392"/>
      <c r="R98" s="392"/>
      <c r="S98" s="409"/>
      <c r="T98" s="409"/>
      <c r="U98" s="409"/>
      <c r="V98" s="409"/>
      <c r="W98" s="392"/>
      <c r="X98" s="392"/>
      <c r="Y98" s="409"/>
      <c r="Z98" s="409"/>
      <c r="AA98" s="392"/>
      <c r="AB98" s="392"/>
      <c r="AC98" s="392"/>
      <c r="AD98" s="409"/>
      <c r="AE98" s="409"/>
      <c r="AF98" s="409"/>
      <c r="AG98" s="409"/>
      <c r="AH98" s="409"/>
      <c r="AI98" s="409"/>
      <c r="AJ98" s="409"/>
      <c r="AK98" s="409"/>
      <c r="AL98" s="409"/>
      <c r="AM98" s="409"/>
      <c r="AN98" s="409"/>
      <c r="AO98" s="409"/>
      <c r="AP98" s="409"/>
      <c r="AQ98" s="409"/>
      <c r="AR98" s="409"/>
      <c r="AS98" s="409"/>
      <c r="AT98" s="409"/>
      <c r="AU98" s="409"/>
      <c r="AV98" s="409"/>
      <c r="AW98" s="409"/>
      <c r="AX98" s="409"/>
      <c r="AY98" s="409"/>
      <c r="AZ98" s="409"/>
      <c r="BA98" s="409"/>
      <c r="BB98" s="409"/>
      <c r="BC98" s="409"/>
      <c r="BD98" s="407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44"/>
      <c r="BP98" s="444"/>
      <c r="BQ98" s="444"/>
      <c r="BR98" s="444"/>
      <c r="BS98" s="444"/>
      <c r="BT98" s="444"/>
    </row>
    <row r="99" spans="1:72" ht="15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2"/>
      <c r="P99" s="392"/>
      <c r="Q99" s="392"/>
      <c r="R99" s="392"/>
      <c r="S99" s="409"/>
      <c r="T99" s="409"/>
      <c r="U99" s="409"/>
      <c r="V99" s="409"/>
      <c r="W99" s="392"/>
      <c r="X99" s="392"/>
      <c r="Y99" s="409"/>
      <c r="Z99" s="409"/>
      <c r="AA99" s="392"/>
      <c r="AB99" s="392"/>
      <c r="AC99" s="392"/>
      <c r="AD99" s="409"/>
      <c r="AE99" s="409"/>
      <c r="AF99" s="409"/>
      <c r="AG99" s="409"/>
      <c r="AH99" s="409"/>
      <c r="AI99" s="409"/>
      <c r="AJ99" s="409"/>
      <c r="AK99" s="409"/>
      <c r="AL99" s="409"/>
      <c r="AM99" s="409"/>
      <c r="AN99" s="409"/>
      <c r="AO99" s="409"/>
      <c r="AP99" s="409"/>
      <c r="AQ99" s="409"/>
      <c r="AR99" s="409"/>
      <c r="AS99" s="409"/>
      <c r="AT99" s="409"/>
      <c r="AU99" s="409"/>
      <c r="AV99" s="409"/>
      <c r="AW99" s="409"/>
      <c r="AX99" s="409"/>
      <c r="AY99" s="409"/>
      <c r="AZ99" s="409"/>
      <c r="BA99" s="409"/>
      <c r="BB99" s="409"/>
      <c r="BC99" s="409"/>
      <c r="BD99" s="407"/>
      <c r="BE99" s="444"/>
      <c r="BF99" s="444"/>
      <c r="BG99" s="444"/>
      <c r="BH99" s="444"/>
      <c r="BI99" s="444"/>
      <c r="BJ99" s="444"/>
      <c r="BK99" s="444"/>
      <c r="BL99" s="444"/>
      <c r="BM99" s="444"/>
      <c r="BN99" s="444"/>
      <c r="BO99" s="444"/>
      <c r="BP99" s="444"/>
      <c r="BQ99" s="444"/>
      <c r="BR99" s="444"/>
      <c r="BS99" s="444"/>
      <c r="BT99" s="444"/>
    </row>
    <row r="100" spans="1:72" ht="15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2"/>
      <c r="P100" s="392"/>
      <c r="Q100" s="392"/>
      <c r="R100" s="392"/>
      <c r="S100" s="409"/>
      <c r="T100" s="409"/>
      <c r="U100" s="409"/>
      <c r="V100" s="409"/>
      <c r="W100" s="392"/>
      <c r="X100" s="392"/>
      <c r="Y100" s="409"/>
      <c r="Z100" s="409"/>
      <c r="AA100" s="392"/>
      <c r="AB100" s="392"/>
      <c r="AC100" s="392"/>
      <c r="AD100" s="409"/>
      <c r="AE100" s="409"/>
      <c r="AF100" s="409"/>
      <c r="AG100" s="409"/>
      <c r="AH100" s="409"/>
      <c r="AI100" s="409"/>
      <c r="AJ100" s="409"/>
      <c r="AK100" s="409"/>
      <c r="AL100" s="409"/>
      <c r="AM100" s="409"/>
      <c r="AN100" s="409"/>
      <c r="AO100" s="409"/>
      <c r="AP100" s="409"/>
      <c r="AQ100" s="409"/>
      <c r="AR100" s="409"/>
      <c r="AS100" s="409"/>
      <c r="AT100" s="409"/>
      <c r="AU100" s="409"/>
      <c r="AV100" s="409"/>
      <c r="AW100" s="409"/>
      <c r="AX100" s="409"/>
      <c r="AY100" s="409"/>
      <c r="AZ100" s="409"/>
      <c r="BA100" s="409"/>
      <c r="BB100" s="409"/>
      <c r="BC100" s="409"/>
      <c r="BD100" s="407"/>
      <c r="BE100" s="444"/>
      <c r="BF100" s="444"/>
      <c r="BG100" s="444"/>
      <c r="BH100" s="444"/>
      <c r="BI100" s="444"/>
      <c r="BJ100" s="444"/>
      <c r="BK100" s="444"/>
      <c r="BL100" s="444"/>
      <c r="BM100" s="444"/>
      <c r="BN100" s="444"/>
      <c r="BO100" s="444"/>
      <c r="BP100" s="444"/>
      <c r="BQ100" s="444"/>
      <c r="BR100" s="444"/>
      <c r="BS100" s="444"/>
      <c r="BT100" s="444"/>
    </row>
    <row r="101" spans="1:72" ht="15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  <c r="L101" s="392"/>
      <c r="M101" s="392"/>
      <c r="N101" s="392"/>
      <c r="O101" s="392"/>
      <c r="P101" s="392"/>
      <c r="Q101" s="392"/>
      <c r="R101" s="392"/>
      <c r="S101" s="409"/>
      <c r="T101" s="409"/>
      <c r="U101" s="409"/>
      <c r="V101" s="409"/>
      <c r="W101" s="392"/>
      <c r="X101" s="392"/>
      <c r="Y101" s="409"/>
      <c r="Z101" s="409"/>
      <c r="AA101" s="392"/>
      <c r="AB101" s="392"/>
      <c r="AC101" s="392"/>
      <c r="AD101" s="409"/>
      <c r="AE101" s="409"/>
      <c r="AF101" s="409"/>
      <c r="AG101" s="409"/>
      <c r="AH101" s="409"/>
      <c r="AI101" s="409"/>
      <c r="AJ101" s="409"/>
      <c r="AK101" s="409"/>
      <c r="AL101" s="409"/>
      <c r="AM101" s="409"/>
      <c r="AN101" s="409"/>
      <c r="AO101" s="409"/>
      <c r="AP101" s="409"/>
      <c r="AQ101" s="409"/>
      <c r="AR101" s="409"/>
      <c r="AS101" s="409"/>
      <c r="AT101" s="409"/>
      <c r="AU101" s="409"/>
      <c r="AV101" s="409"/>
      <c r="AW101" s="409"/>
      <c r="AX101" s="409"/>
      <c r="AY101" s="409"/>
      <c r="AZ101" s="409"/>
      <c r="BA101" s="409"/>
      <c r="BB101" s="409"/>
      <c r="BC101" s="409"/>
      <c r="BD101" s="407"/>
      <c r="BE101" s="444"/>
      <c r="BF101" s="444"/>
      <c r="BG101" s="444"/>
      <c r="BH101" s="444"/>
      <c r="BI101" s="444"/>
      <c r="BJ101" s="444"/>
      <c r="BK101" s="444"/>
      <c r="BL101" s="444"/>
      <c r="BM101" s="444"/>
      <c r="BN101" s="444"/>
      <c r="BO101" s="444"/>
      <c r="BP101" s="444"/>
      <c r="BQ101" s="444"/>
      <c r="BR101" s="444"/>
      <c r="BS101" s="444"/>
      <c r="BT101" s="444"/>
    </row>
    <row r="102" spans="1:72" ht="15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409"/>
      <c r="T102" s="409"/>
      <c r="U102" s="409"/>
      <c r="V102" s="409"/>
      <c r="W102" s="392"/>
      <c r="X102" s="392"/>
      <c r="Y102" s="409"/>
      <c r="Z102" s="409"/>
      <c r="AA102" s="392"/>
      <c r="AB102" s="392"/>
      <c r="AC102" s="392"/>
      <c r="AD102" s="409"/>
      <c r="AE102" s="409"/>
      <c r="AF102" s="409"/>
      <c r="AG102" s="409"/>
      <c r="AH102" s="409"/>
      <c r="AI102" s="409"/>
      <c r="AJ102" s="409"/>
      <c r="AK102" s="409"/>
      <c r="AL102" s="409"/>
      <c r="AM102" s="409"/>
      <c r="AN102" s="409"/>
      <c r="AO102" s="409"/>
      <c r="AP102" s="409"/>
      <c r="AQ102" s="409"/>
      <c r="AR102" s="409"/>
      <c r="AS102" s="409"/>
      <c r="AT102" s="409"/>
      <c r="AU102" s="409"/>
      <c r="AV102" s="409"/>
      <c r="AW102" s="409"/>
      <c r="AX102" s="409"/>
      <c r="AY102" s="409"/>
      <c r="AZ102" s="409"/>
      <c r="BA102" s="409"/>
      <c r="BB102" s="409"/>
      <c r="BC102" s="409"/>
      <c r="BD102" s="407"/>
      <c r="BE102" s="444"/>
      <c r="BF102" s="444"/>
      <c r="BG102" s="444"/>
      <c r="BH102" s="444"/>
      <c r="BI102" s="444"/>
      <c r="BJ102" s="444"/>
      <c r="BK102" s="444"/>
      <c r="BL102" s="444"/>
      <c r="BM102" s="444"/>
      <c r="BN102" s="444"/>
      <c r="BO102" s="444"/>
      <c r="BP102" s="444"/>
      <c r="BQ102" s="444"/>
      <c r="BR102" s="444"/>
      <c r="BS102" s="444"/>
      <c r="BT102" s="444"/>
    </row>
    <row r="103" spans="1:72" ht="15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  <c r="Q103" s="392"/>
      <c r="R103" s="392"/>
      <c r="S103" s="409"/>
      <c r="T103" s="409"/>
      <c r="U103" s="409"/>
      <c r="V103" s="409"/>
      <c r="W103" s="392"/>
      <c r="X103" s="392"/>
      <c r="Y103" s="409"/>
      <c r="Z103" s="409"/>
      <c r="AA103" s="392"/>
      <c r="AB103" s="392"/>
      <c r="AC103" s="392"/>
      <c r="AD103" s="409"/>
      <c r="AE103" s="409"/>
      <c r="AF103" s="409"/>
      <c r="AG103" s="409"/>
      <c r="AH103" s="409"/>
      <c r="AI103" s="409"/>
      <c r="AJ103" s="409"/>
      <c r="AK103" s="409"/>
      <c r="AL103" s="409"/>
      <c r="AM103" s="409"/>
      <c r="AN103" s="409"/>
      <c r="AO103" s="409"/>
      <c r="AP103" s="409"/>
      <c r="AQ103" s="409"/>
      <c r="AR103" s="409"/>
      <c r="AS103" s="409"/>
      <c r="AT103" s="409"/>
      <c r="AU103" s="409"/>
      <c r="AV103" s="409"/>
      <c r="AW103" s="409"/>
      <c r="AX103" s="409"/>
      <c r="AY103" s="409"/>
      <c r="AZ103" s="409"/>
      <c r="BA103" s="409"/>
      <c r="BB103" s="409"/>
      <c r="BC103" s="409"/>
      <c r="BD103" s="407"/>
      <c r="BE103" s="444"/>
      <c r="BF103" s="444"/>
      <c r="BG103" s="444"/>
      <c r="BH103" s="444"/>
      <c r="BI103" s="444"/>
      <c r="BJ103" s="444"/>
      <c r="BK103" s="444"/>
      <c r="BL103" s="444"/>
      <c r="BM103" s="444"/>
      <c r="BN103" s="444"/>
      <c r="BO103" s="444"/>
      <c r="BP103" s="444"/>
      <c r="BQ103" s="444"/>
      <c r="BR103" s="444"/>
      <c r="BS103" s="444"/>
      <c r="BT103" s="444"/>
    </row>
    <row r="104" spans="1:72" ht="15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  <c r="L104" s="392"/>
      <c r="M104" s="392"/>
      <c r="N104" s="392"/>
      <c r="O104" s="392"/>
      <c r="P104" s="392"/>
      <c r="Q104" s="392"/>
      <c r="R104" s="392"/>
      <c r="S104" s="409"/>
      <c r="T104" s="409"/>
      <c r="U104" s="409"/>
      <c r="V104" s="409"/>
      <c r="W104" s="392"/>
      <c r="X104" s="392"/>
      <c r="Y104" s="409"/>
      <c r="Z104" s="409"/>
      <c r="AA104" s="392"/>
      <c r="AB104" s="392"/>
      <c r="AC104" s="392"/>
      <c r="AD104" s="409"/>
      <c r="AE104" s="409"/>
      <c r="AF104" s="409"/>
      <c r="AG104" s="409"/>
      <c r="AH104" s="409"/>
      <c r="AI104" s="409"/>
      <c r="AJ104" s="409"/>
      <c r="AK104" s="409"/>
      <c r="AL104" s="409"/>
      <c r="AM104" s="409"/>
      <c r="AN104" s="409"/>
      <c r="AO104" s="409"/>
      <c r="AP104" s="409"/>
      <c r="AQ104" s="409"/>
      <c r="AR104" s="409"/>
      <c r="AS104" s="409"/>
      <c r="AT104" s="409"/>
      <c r="AU104" s="409"/>
      <c r="AV104" s="409"/>
      <c r="AW104" s="409"/>
      <c r="AX104" s="409"/>
      <c r="AY104" s="409"/>
      <c r="AZ104" s="409"/>
      <c r="BA104" s="409"/>
      <c r="BB104" s="409"/>
      <c r="BC104" s="409"/>
      <c r="BD104" s="407"/>
      <c r="BE104" s="444"/>
      <c r="BF104" s="444"/>
      <c r="BG104" s="444"/>
      <c r="BH104" s="444"/>
      <c r="BI104" s="444"/>
      <c r="BJ104" s="444"/>
      <c r="BK104" s="444"/>
      <c r="BL104" s="444"/>
      <c r="BM104" s="444"/>
      <c r="BN104" s="444"/>
      <c r="BO104" s="444"/>
      <c r="BP104" s="444"/>
      <c r="BQ104" s="444"/>
      <c r="BR104" s="444"/>
      <c r="BS104" s="444"/>
      <c r="BT104" s="444"/>
    </row>
    <row r="105" spans="1:72" ht="1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392"/>
      <c r="R105" s="392"/>
      <c r="S105" s="409"/>
      <c r="T105" s="409"/>
      <c r="U105" s="409"/>
      <c r="V105" s="409"/>
      <c r="W105" s="392"/>
      <c r="X105" s="392"/>
      <c r="Y105" s="409"/>
      <c r="Z105" s="409"/>
      <c r="AA105" s="392"/>
      <c r="AB105" s="392"/>
      <c r="AC105" s="392"/>
      <c r="AD105" s="409"/>
      <c r="AE105" s="409"/>
      <c r="AF105" s="409"/>
      <c r="AG105" s="409"/>
      <c r="AH105" s="409"/>
      <c r="AI105" s="409"/>
      <c r="AJ105" s="409"/>
      <c r="AK105" s="409"/>
      <c r="AL105" s="409"/>
      <c r="AM105" s="409"/>
      <c r="AN105" s="409"/>
      <c r="AO105" s="409"/>
      <c r="AP105" s="409"/>
      <c r="AQ105" s="409"/>
      <c r="AR105" s="409"/>
      <c r="AS105" s="409"/>
      <c r="AT105" s="409"/>
      <c r="AU105" s="409"/>
      <c r="AV105" s="409"/>
      <c r="AW105" s="409"/>
      <c r="AX105" s="409"/>
      <c r="AY105" s="409"/>
      <c r="AZ105" s="409"/>
      <c r="BA105" s="409"/>
      <c r="BB105" s="409"/>
      <c r="BC105" s="409"/>
      <c r="BD105" s="407"/>
      <c r="BE105" s="444"/>
      <c r="BF105" s="444"/>
      <c r="BG105" s="444"/>
      <c r="BH105" s="444"/>
      <c r="BI105" s="444"/>
      <c r="BJ105" s="444"/>
      <c r="BK105" s="444"/>
      <c r="BL105" s="444"/>
      <c r="BM105" s="444"/>
      <c r="BN105" s="444"/>
      <c r="BO105" s="444"/>
      <c r="BP105" s="444"/>
      <c r="BQ105" s="444"/>
      <c r="BR105" s="444"/>
      <c r="BS105" s="444"/>
      <c r="BT105" s="444"/>
    </row>
    <row r="106" spans="1:72" ht="15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  <c r="Q106" s="392"/>
      <c r="R106" s="392"/>
      <c r="S106" s="409"/>
      <c r="T106" s="409"/>
      <c r="U106" s="409"/>
      <c r="V106" s="409"/>
      <c r="W106" s="392"/>
      <c r="X106" s="392"/>
      <c r="Y106" s="409"/>
      <c r="Z106" s="409"/>
      <c r="AA106" s="392"/>
      <c r="AB106" s="392"/>
      <c r="AC106" s="392"/>
      <c r="AD106" s="409"/>
      <c r="AE106" s="409"/>
      <c r="AF106" s="409"/>
      <c r="AG106" s="409"/>
      <c r="AH106" s="409"/>
      <c r="AI106" s="409"/>
      <c r="AJ106" s="409"/>
      <c r="AK106" s="409"/>
      <c r="AL106" s="409"/>
      <c r="AM106" s="409"/>
      <c r="AN106" s="409"/>
      <c r="AO106" s="409"/>
      <c r="AP106" s="409"/>
      <c r="AQ106" s="409"/>
      <c r="AR106" s="409"/>
      <c r="AS106" s="409"/>
      <c r="AT106" s="409"/>
      <c r="AU106" s="409"/>
      <c r="AV106" s="409"/>
      <c r="AW106" s="409"/>
      <c r="AX106" s="409"/>
      <c r="AY106" s="409"/>
      <c r="AZ106" s="409"/>
      <c r="BA106" s="409"/>
      <c r="BB106" s="409"/>
      <c r="BC106" s="409"/>
      <c r="BD106" s="407"/>
      <c r="BE106" s="444"/>
      <c r="BF106" s="444"/>
      <c r="BG106" s="444"/>
      <c r="BH106" s="444"/>
      <c r="BI106" s="444"/>
      <c r="BJ106" s="444"/>
      <c r="BK106" s="444"/>
      <c r="BL106" s="444"/>
      <c r="BM106" s="444"/>
      <c r="BN106" s="444"/>
      <c r="BO106" s="444"/>
      <c r="BP106" s="444"/>
      <c r="BQ106" s="444"/>
      <c r="BR106" s="444"/>
      <c r="BS106" s="444"/>
      <c r="BT106" s="444"/>
    </row>
    <row r="107" spans="1:72" ht="15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409"/>
      <c r="T107" s="409"/>
      <c r="U107" s="409"/>
      <c r="V107" s="409"/>
      <c r="W107" s="392"/>
      <c r="X107" s="392"/>
      <c r="Y107" s="409"/>
      <c r="Z107" s="409"/>
      <c r="AA107" s="392"/>
      <c r="AB107" s="392"/>
      <c r="AC107" s="392"/>
      <c r="AD107" s="409"/>
      <c r="AE107" s="409"/>
      <c r="AF107" s="409"/>
      <c r="AG107" s="409"/>
      <c r="AH107" s="409"/>
      <c r="AI107" s="409"/>
      <c r="AJ107" s="409"/>
      <c r="AK107" s="409"/>
      <c r="AL107" s="409"/>
      <c r="AM107" s="409"/>
      <c r="AN107" s="409"/>
      <c r="AO107" s="409"/>
      <c r="AP107" s="409"/>
      <c r="AQ107" s="409"/>
      <c r="AR107" s="409"/>
      <c r="AS107" s="409"/>
      <c r="AT107" s="409"/>
      <c r="AU107" s="409"/>
      <c r="AV107" s="409"/>
      <c r="AW107" s="409"/>
      <c r="AX107" s="409"/>
      <c r="AY107" s="409"/>
      <c r="AZ107" s="409"/>
      <c r="BA107" s="409"/>
      <c r="BB107" s="409"/>
      <c r="BC107" s="409"/>
      <c r="BD107" s="407"/>
      <c r="BE107" s="444"/>
      <c r="BF107" s="444"/>
      <c r="BG107" s="444"/>
      <c r="BH107" s="444"/>
      <c r="BI107" s="444"/>
      <c r="BJ107" s="444"/>
      <c r="BK107" s="444"/>
      <c r="BL107" s="444"/>
      <c r="BM107" s="444"/>
      <c r="BN107" s="444"/>
      <c r="BO107" s="444"/>
      <c r="BP107" s="444"/>
      <c r="BQ107" s="444"/>
      <c r="BR107" s="444"/>
      <c r="BS107" s="444"/>
      <c r="BT107" s="444"/>
    </row>
    <row r="108" spans="1:72" ht="15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392"/>
      <c r="S108" s="409"/>
      <c r="T108" s="409"/>
      <c r="U108" s="409"/>
      <c r="V108" s="409"/>
      <c r="W108" s="392"/>
      <c r="X108" s="392"/>
      <c r="Y108" s="409"/>
      <c r="Z108" s="409"/>
      <c r="AA108" s="392"/>
      <c r="AB108" s="392"/>
      <c r="AC108" s="392"/>
      <c r="AD108" s="409"/>
      <c r="AE108" s="409"/>
      <c r="AF108" s="409"/>
      <c r="AG108" s="409"/>
      <c r="AH108" s="409"/>
      <c r="AI108" s="409"/>
      <c r="AJ108" s="409"/>
      <c r="AK108" s="409"/>
      <c r="AL108" s="409"/>
      <c r="AM108" s="409"/>
      <c r="AN108" s="409"/>
      <c r="AO108" s="409"/>
      <c r="AP108" s="409"/>
      <c r="AQ108" s="409"/>
      <c r="AR108" s="409"/>
      <c r="AS108" s="409"/>
      <c r="AT108" s="409"/>
      <c r="AU108" s="409"/>
      <c r="AV108" s="409"/>
      <c r="AW108" s="409"/>
      <c r="AX108" s="409"/>
      <c r="AY108" s="409"/>
      <c r="AZ108" s="409"/>
      <c r="BA108" s="409"/>
      <c r="BB108" s="409"/>
      <c r="BC108" s="409"/>
      <c r="BD108" s="407"/>
      <c r="BE108" s="444"/>
      <c r="BF108" s="444"/>
      <c r="BG108" s="444"/>
      <c r="BH108" s="444"/>
      <c r="BI108" s="444"/>
      <c r="BJ108" s="444"/>
      <c r="BK108" s="444"/>
      <c r="BL108" s="444"/>
      <c r="BM108" s="444"/>
      <c r="BN108" s="444"/>
      <c r="BO108" s="444"/>
      <c r="BP108" s="444"/>
      <c r="BQ108" s="444"/>
      <c r="BR108" s="444"/>
      <c r="BS108" s="444"/>
      <c r="BT108" s="444"/>
    </row>
    <row r="109" spans="1:72" ht="15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  <c r="L109" s="392"/>
      <c r="M109" s="392"/>
      <c r="N109" s="392"/>
      <c r="O109" s="392"/>
      <c r="P109" s="392"/>
      <c r="Q109" s="392"/>
      <c r="R109" s="392"/>
      <c r="S109" s="409"/>
      <c r="T109" s="409"/>
      <c r="U109" s="409"/>
      <c r="V109" s="409"/>
      <c r="W109" s="392"/>
      <c r="X109" s="392"/>
      <c r="Y109" s="409"/>
      <c r="Z109" s="409"/>
      <c r="AA109" s="392"/>
      <c r="AB109" s="392"/>
      <c r="AC109" s="392"/>
      <c r="AD109" s="409"/>
      <c r="AE109" s="409"/>
      <c r="AF109" s="409"/>
      <c r="AG109" s="409"/>
      <c r="AH109" s="409"/>
      <c r="AI109" s="409"/>
      <c r="AJ109" s="409"/>
      <c r="AK109" s="409"/>
      <c r="AL109" s="409"/>
      <c r="AM109" s="409"/>
      <c r="AN109" s="409"/>
      <c r="AO109" s="409"/>
      <c r="AP109" s="409"/>
      <c r="AQ109" s="409"/>
      <c r="AR109" s="409"/>
      <c r="AS109" s="409"/>
      <c r="AT109" s="409"/>
      <c r="AU109" s="409"/>
      <c r="AV109" s="409"/>
      <c r="AW109" s="409"/>
      <c r="AX109" s="409"/>
      <c r="AY109" s="409"/>
      <c r="AZ109" s="409"/>
      <c r="BA109" s="409"/>
      <c r="BB109" s="409"/>
      <c r="BC109" s="409"/>
      <c r="BD109" s="407"/>
      <c r="BE109" s="444"/>
      <c r="BF109" s="444"/>
      <c r="BG109" s="444"/>
      <c r="BH109" s="444"/>
      <c r="BI109" s="444"/>
      <c r="BJ109" s="444"/>
      <c r="BK109" s="444"/>
      <c r="BL109" s="444"/>
      <c r="BM109" s="444"/>
      <c r="BN109" s="444"/>
      <c r="BO109" s="444"/>
      <c r="BP109" s="444"/>
      <c r="BQ109" s="444"/>
      <c r="BR109" s="444"/>
      <c r="BS109" s="444"/>
      <c r="BT109" s="444"/>
    </row>
    <row r="110" spans="1:72" ht="15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409"/>
      <c r="T110" s="409"/>
      <c r="U110" s="409"/>
      <c r="V110" s="409"/>
      <c r="W110" s="392"/>
      <c r="X110" s="392"/>
      <c r="Y110" s="409"/>
      <c r="Z110" s="409"/>
      <c r="AA110" s="392"/>
      <c r="AB110" s="392"/>
      <c r="AC110" s="392"/>
      <c r="AD110" s="409"/>
      <c r="AE110" s="409"/>
      <c r="AF110" s="409"/>
      <c r="AG110" s="409"/>
      <c r="AH110" s="409"/>
      <c r="AI110" s="409"/>
      <c r="AJ110" s="409"/>
      <c r="AK110" s="409"/>
      <c r="AL110" s="409"/>
      <c r="AM110" s="409"/>
      <c r="AN110" s="409"/>
      <c r="AO110" s="409"/>
      <c r="AP110" s="409"/>
      <c r="AQ110" s="409"/>
      <c r="AR110" s="409"/>
      <c r="AS110" s="409"/>
      <c r="AT110" s="409"/>
      <c r="AU110" s="409"/>
      <c r="AV110" s="409"/>
      <c r="AW110" s="409"/>
      <c r="AX110" s="409"/>
      <c r="AY110" s="409"/>
      <c r="AZ110" s="409"/>
      <c r="BA110" s="409"/>
      <c r="BB110" s="409"/>
      <c r="BC110" s="409"/>
      <c r="BD110" s="407"/>
      <c r="BE110" s="444"/>
      <c r="BF110" s="444"/>
      <c r="BG110" s="444"/>
      <c r="BH110" s="444"/>
      <c r="BI110" s="444"/>
      <c r="BJ110" s="444"/>
      <c r="BK110" s="444"/>
      <c r="BL110" s="444"/>
      <c r="BM110" s="444"/>
      <c r="BN110" s="444"/>
      <c r="BO110" s="444"/>
      <c r="BP110" s="444"/>
      <c r="BQ110" s="444"/>
      <c r="BR110" s="444"/>
      <c r="BS110" s="444"/>
      <c r="BT110" s="444"/>
    </row>
    <row r="111" spans="1:72" ht="15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  <c r="L111" s="392"/>
      <c r="M111" s="392"/>
      <c r="N111" s="392"/>
      <c r="O111" s="392"/>
      <c r="P111" s="392"/>
      <c r="Q111" s="392"/>
      <c r="R111" s="392"/>
      <c r="S111" s="409"/>
      <c r="T111" s="409"/>
      <c r="U111" s="409"/>
      <c r="V111" s="409"/>
      <c r="W111" s="392"/>
      <c r="X111" s="392"/>
      <c r="Y111" s="409"/>
      <c r="Z111" s="409"/>
      <c r="AA111" s="392"/>
      <c r="AB111" s="392"/>
      <c r="AC111" s="392"/>
      <c r="AD111" s="409"/>
      <c r="AE111" s="409"/>
      <c r="AF111" s="409"/>
      <c r="AG111" s="409"/>
      <c r="AH111" s="409"/>
      <c r="AI111" s="409"/>
      <c r="AJ111" s="409"/>
      <c r="AK111" s="409"/>
      <c r="AL111" s="409"/>
      <c r="AM111" s="409"/>
      <c r="AN111" s="409"/>
      <c r="AO111" s="409"/>
      <c r="AP111" s="409"/>
      <c r="AQ111" s="409"/>
      <c r="AR111" s="409"/>
      <c r="AS111" s="409"/>
      <c r="AT111" s="409"/>
      <c r="AU111" s="409"/>
      <c r="AV111" s="409"/>
      <c r="AW111" s="409"/>
      <c r="AX111" s="409"/>
      <c r="AY111" s="409"/>
      <c r="AZ111" s="409"/>
      <c r="BA111" s="409"/>
      <c r="BB111" s="409"/>
      <c r="BC111" s="409"/>
      <c r="BD111" s="407"/>
      <c r="BE111" s="444"/>
      <c r="BF111" s="444"/>
      <c r="BG111" s="444"/>
      <c r="BH111" s="444"/>
      <c r="BI111" s="444"/>
      <c r="BJ111" s="444"/>
      <c r="BK111" s="444"/>
      <c r="BL111" s="444"/>
      <c r="BM111" s="444"/>
      <c r="BN111" s="444"/>
      <c r="BO111" s="444"/>
      <c r="BP111" s="444"/>
      <c r="BQ111" s="444"/>
      <c r="BR111" s="444"/>
      <c r="BS111" s="444"/>
      <c r="BT111" s="444"/>
    </row>
    <row r="112" spans="1:72" ht="15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2"/>
      <c r="M112" s="392"/>
      <c r="N112" s="392"/>
      <c r="O112" s="392"/>
      <c r="P112" s="392"/>
      <c r="Q112" s="392"/>
      <c r="R112" s="392"/>
      <c r="S112" s="409"/>
      <c r="T112" s="409"/>
      <c r="U112" s="409"/>
      <c r="V112" s="409"/>
      <c r="W112" s="392"/>
      <c r="X112" s="392"/>
      <c r="Y112" s="409"/>
      <c r="Z112" s="409"/>
      <c r="AA112" s="392"/>
      <c r="AB112" s="392"/>
      <c r="AC112" s="392"/>
      <c r="AD112" s="409"/>
      <c r="AE112" s="409"/>
      <c r="AF112" s="409"/>
      <c r="AG112" s="409"/>
      <c r="AH112" s="409"/>
      <c r="AI112" s="409"/>
      <c r="AJ112" s="409"/>
      <c r="AK112" s="409"/>
      <c r="AL112" s="409"/>
      <c r="AM112" s="409"/>
      <c r="AN112" s="409"/>
      <c r="AO112" s="409"/>
      <c r="AP112" s="409"/>
      <c r="AQ112" s="409"/>
      <c r="AR112" s="409"/>
      <c r="AS112" s="409"/>
      <c r="AT112" s="409"/>
      <c r="AU112" s="409"/>
      <c r="AV112" s="409"/>
      <c r="AW112" s="409"/>
      <c r="AX112" s="409"/>
      <c r="AY112" s="409"/>
      <c r="AZ112" s="409"/>
      <c r="BA112" s="409"/>
      <c r="BB112" s="409"/>
      <c r="BC112" s="409"/>
      <c r="BD112" s="407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4"/>
      <c r="BT112" s="444"/>
    </row>
    <row r="113" spans="1:72" ht="15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2"/>
      <c r="P113" s="392"/>
      <c r="Q113" s="392"/>
      <c r="R113" s="392"/>
      <c r="S113" s="409"/>
      <c r="T113" s="409"/>
      <c r="U113" s="409"/>
      <c r="V113" s="409"/>
      <c r="W113" s="392"/>
      <c r="X113" s="392"/>
      <c r="Y113" s="409"/>
      <c r="Z113" s="409"/>
      <c r="AA113" s="392"/>
      <c r="AB113" s="392"/>
      <c r="AC113" s="392"/>
      <c r="AD113" s="409"/>
      <c r="AE113" s="409"/>
      <c r="AF113" s="409"/>
      <c r="AG113" s="409"/>
      <c r="AH113" s="409"/>
      <c r="AI113" s="409"/>
      <c r="AJ113" s="409"/>
      <c r="AK113" s="409"/>
      <c r="AL113" s="409"/>
      <c r="AM113" s="409"/>
      <c r="AN113" s="409"/>
      <c r="AO113" s="409"/>
      <c r="AP113" s="409"/>
      <c r="AQ113" s="409"/>
      <c r="AR113" s="409"/>
      <c r="AS113" s="409"/>
      <c r="AT113" s="409"/>
      <c r="AU113" s="409"/>
      <c r="AV113" s="409"/>
      <c r="AW113" s="409"/>
      <c r="AX113" s="409"/>
      <c r="AY113" s="409"/>
      <c r="AZ113" s="409"/>
      <c r="BA113" s="409"/>
      <c r="BB113" s="409"/>
      <c r="BC113" s="409"/>
      <c r="BD113" s="407"/>
      <c r="BE113" s="444"/>
      <c r="BF113" s="444"/>
      <c r="BG113" s="444"/>
      <c r="BH113" s="444"/>
      <c r="BI113" s="444"/>
      <c r="BJ113" s="444"/>
      <c r="BK113" s="444"/>
      <c r="BL113" s="444"/>
      <c r="BM113" s="444"/>
      <c r="BN113" s="444"/>
      <c r="BO113" s="444"/>
      <c r="BP113" s="444"/>
      <c r="BQ113" s="444"/>
      <c r="BR113" s="444"/>
      <c r="BS113" s="444"/>
      <c r="BT113" s="444"/>
    </row>
    <row r="114" spans="1:72" ht="15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2"/>
      <c r="M114" s="392"/>
      <c r="N114" s="392"/>
      <c r="O114" s="392"/>
      <c r="P114" s="392"/>
      <c r="Q114" s="392"/>
      <c r="R114" s="392"/>
      <c r="S114" s="409"/>
      <c r="T114" s="409"/>
      <c r="U114" s="409"/>
      <c r="V114" s="409"/>
      <c r="W114" s="392"/>
      <c r="X114" s="392"/>
      <c r="Y114" s="409"/>
      <c r="Z114" s="409"/>
      <c r="AA114" s="392"/>
      <c r="AB114" s="392"/>
      <c r="AC114" s="392"/>
      <c r="AD114" s="409"/>
      <c r="AE114" s="409"/>
      <c r="AF114" s="409"/>
      <c r="AG114" s="409"/>
      <c r="AH114" s="409"/>
      <c r="AI114" s="409"/>
      <c r="AJ114" s="409"/>
      <c r="AK114" s="409"/>
      <c r="AL114" s="409"/>
      <c r="AM114" s="409"/>
      <c r="AN114" s="409"/>
      <c r="AO114" s="409"/>
      <c r="AP114" s="409"/>
      <c r="AQ114" s="409"/>
      <c r="AR114" s="409"/>
      <c r="AS114" s="409"/>
      <c r="AT114" s="409"/>
      <c r="AU114" s="409"/>
      <c r="AV114" s="409"/>
      <c r="AW114" s="409"/>
      <c r="AX114" s="409"/>
      <c r="AY114" s="409"/>
      <c r="AZ114" s="409"/>
      <c r="BA114" s="409"/>
      <c r="BB114" s="409"/>
      <c r="BC114" s="409"/>
      <c r="BD114" s="407"/>
      <c r="BE114" s="444"/>
      <c r="BF114" s="444"/>
      <c r="BG114" s="444"/>
      <c r="BH114" s="444"/>
      <c r="BI114" s="444"/>
      <c r="BJ114" s="444"/>
      <c r="BK114" s="444"/>
      <c r="BL114" s="444"/>
      <c r="BM114" s="444"/>
      <c r="BN114" s="444"/>
      <c r="BO114" s="444"/>
      <c r="BP114" s="444"/>
      <c r="BQ114" s="444"/>
      <c r="BR114" s="444"/>
      <c r="BS114" s="444"/>
      <c r="BT114" s="444"/>
    </row>
    <row r="115" spans="1:72" ht="1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409"/>
      <c r="T115" s="409"/>
      <c r="U115" s="409"/>
      <c r="V115" s="409"/>
      <c r="W115" s="392"/>
      <c r="X115" s="392"/>
      <c r="Y115" s="409"/>
      <c r="Z115" s="409"/>
      <c r="AA115" s="392"/>
      <c r="AB115" s="392"/>
      <c r="AC115" s="392"/>
      <c r="AD115" s="409"/>
      <c r="AE115" s="409"/>
      <c r="AF115" s="409"/>
      <c r="AG115" s="409"/>
      <c r="AH115" s="409"/>
      <c r="AI115" s="409"/>
      <c r="AJ115" s="409"/>
      <c r="AK115" s="409"/>
      <c r="AL115" s="409"/>
      <c r="AM115" s="409"/>
      <c r="AN115" s="409"/>
      <c r="AO115" s="409"/>
      <c r="AP115" s="409"/>
      <c r="AQ115" s="409"/>
      <c r="AR115" s="409"/>
      <c r="AS115" s="409"/>
      <c r="AT115" s="409"/>
      <c r="AU115" s="409"/>
      <c r="AV115" s="409"/>
      <c r="AW115" s="409"/>
      <c r="AX115" s="409"/>
      <c r="AY115" s="409"/>
      <c r="AZ115" s="409"/>
      <c r="BA115" s="409"/>
      <c r="BB115" s="409"/>
      <c r="BC115" s="409"/>
      <c r="BD115" s="407"/>
      <c r="BE115" s="444"/>
      <c r="BF115" s="444"/>
      <c r="BG115" s="444"/>
      <c r="BH115" s="444"/>
      <c r="BI115" s="444"/>
      <c r="BJ115" s="444"/>
      <c r="BK115" s="444"/>
      <c r="BL115" s="444"/>
      <c r="BM115" s="444"/>
      <c r="BN115" s="444"/>
      <c r="BO115" s="444"/>
      <c r="BP115" s="444"/>
      <c r="BQ115" s="444"/>
      <c r="BR115" s="444"/>
      <c r="BS115" s="444"/>
      <c r="BT115" s="444"/>
    </row>
    <row r="116" spans="1:72" ht="15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2"/>
      <c r="M116" s="392"/>
      <c r="N116" s="392"/>
      <c r="O116" s="392"/>
      <c r="P116" s="392"/>
      <c r="Q116" s="392"/>
      <c r="R116" s="392"/>
      <c r="S116" s="409"/>
      <c r="T116" s="409"/>
      <c r="U116" s="409"/>
      <c r="V116" s="409"/>
      <c r="W116" s="392"/>
      <c r="X116" s="392"/>
      <c r="Y116" s="409"/>
      <c r="Z116" s="409"/>
      <c r="AA116" s="392"/>
      <c r="AB116" s="392"/>
      <c r="AC116" s="392"/>
      <c r="AD116" s="409"/>
      <c r="AE116" s="409"/>
      <c r="AF116" s="409"/>
      <c r="AG116" s="409"/>
      <c r="AH116" s="409"/>
      <c r="AI116" s="409"/>
      <c r="AJ116" s="409"/>
      <c r="AK116" s="409"/>
      <c r="AL116" s="409"/>
      <c r="AM116" s="409"/>
      <c r="AN116" s="409"/>
      <c r="AO116" s="409"/>
      <c r="AP116" s="409"/>
      <c r="AQ116" s="409"/>
      <c r="AR116" s="409"/>
      <c r="AS116" s="409"/>
      <c r="AT116" s="409"/>
      <c r="AU116" s="409"/>
      <c r="AV116" s="409"/>
      <c r="AW116" s="409"/>
      <c r="AX116" s="409"/>
      <c r="AY116" s="409"/>
      <c r="AZ116" s="409"/>
      <c r="BA116" s="409"/>
      <c r="BB116" s="409"/>
      <c r="BC116" s="409"/>
      <c r="BD116" s="407"/>
      <c r="BE116" s="444"/>
      <c r="BF116" s="444"/>
      <c r="BG116" s="444"/>
      <c r="BH116" s="444"/>
      <c r="BI116" s="444"/>
      <c r="BJ116" s="444"/>
      <c r="BK116" s="444"/>
      <c r="BL116" s="444"/>
      <c r="BM116" s="444"/>
      <c r="BN116" s="444"/>
      <c r="BO116" s="444"/>
      <c r="BP116" s="444"/>
      <c r="BQ116" s="444"/>
      <c r="BR116" s="444"/>
      <c r="BS116" s="444"/>
      <c r="BT116" s="444"/>
    </row>
    <row r="117" spans="1:72" ht="15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2"/>
      <c r="M117" s="392"/>
      <c r="N117" s="392"/>
      <c r="O117" s="392"/>
      <c r="P117" s="392"/>
      <c r="Q117" s="392"/>
      <c r="R117" s="392"/>
      <c r="S117" s="409"/>
      <c r="T117" s="409"/>
      <c r="U117" s="409"/>
      <c r="V117" s="409"/>
      <c r="W117" s="392"/>
      <c r="X117" s="392"/>
      <c r="Y117" s="409"/>
      <c r="Z117" s="409"/>
      <c r="AA117" s="392"/>
      <c r="AB117" s="392"/>
      <c r="AC117" s="392"/>
      <c r="AD117" s="409"/>
      <c r="AE117" s="409"/>
      <c r="AF117" s="409"/>
      <c r="AG117" s="409"/>
      <c r="AH117" s="409"/>
      <c r="AI117" s="409"/>
      <c r="AJ117" s="409"/>
      <c r="AK117" s="409"/>
      <c r="AL117" s="409"/>
      <c r="AM117" s="409"/>
      <c r="AN117" s="409"/>
      <c r="AO117" s="409"/>
      <c r="AP117" s="409"/>
      <c r="AQ117" s="409"/>
      <c r="AR117" s="409"/>
      <c r="AS117" s="409"/>
      <c r="AT117" s="409"/>
      <c r="AU117" s="409"/>
      <c r="AV117" s="409"/>
      <c r="AW117" s="409"/>
      <c r="AX117" s="409"/>
      <c r="AY117" s="409"/>
      <c r="AZ117" s="409"/>
      <c r="BA117" s="409"/>
      <c r="BB117" s="409"/>
      <c r="BC117" s="409"/>
      <c r="BD117" s="407"/>
      <c r="BE117" s="444"/>
      <c r="BF117" s="444"/>
      <c r="BG117" s="444"/>
      <c r="BH117" s="444"/>
      <c r="BI117" s="444"/>
      <c r="BJ117" s="444"/>
      <c r="BK117" s="444"/>
      <c r="BL117" s="444"/>
      <c r="BM117" s="444"/>
      <c r="BN117" s="444"/>
      <c r="BO117" s="444"/>
      <c r="BP117" s="444"/>
      <c r="BQ117" s="444"/>
      <c r="BR117" s="444"/>
      <c r="BS117" s="444"/>
      <c r="BT117" s="444"/>
    </row>
    <row r="118" spans="1:72" ht="15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2"/>
      <c r="M118" s="392"/>
      <c r="N118" s="392"/>
      <c r="O118" s="392"/>
      <c r="P118" s="392"/>
      <c r="Q118" s="392"/>
      <c r="R118" s="392"/>
      <c r="S118" s="409"/>
      <c r="T118" s="409"/>
      <c r="U118" s="409"/>
      <c r="V118" s="409"/>
      <c r="W118" s="392"/>
      <c r="X118" s="392"/>
      <c r="Y118" s="409"/>
      <c r="Z118" s="409"/>
      <c r="AA118" s="392"/>
      <c r="AB118" s="392"/>
      <c r="AC118" s="392"/>
      <c r="AD118" s="409"/>
      <c r="AE118" s="409"/>
      <c r="AF118" s="409"/>
      <c r="AG118" s="409"/>
      <c r="AH118" s="409"/>
      <c r="AI118" s="409"/>
      <c r="AJ118" s="409"/>
      <c r="AK118" s="409"/>
      <c r="AL118" s="409"/>
      <c r="AM118" s="409"/>
      <c r="AN118" s="409"/>
      <c r="AO118" s="409"/>
      <c r="AP118" s="409"/>
      <c r="AQ118" s="409"/>
      <c r="AR118" s="409"/>
      <c r="AS118" s="409"/>
      <c r="AT118" s="409"/>
      <c r="AU118" s="409"/>
      <c r="AV118" s="409"/>
      <c r="AW118" s="409"/>
      <c r="AX118" s="409"/>
      <c r="AY118" s="409"/>
      <c r="AZ118" s="409"/>
      <c r="BA118" s="409"/>
      <c r="BB118" s="409"/>
      <c r="BC118" s="409"/>
      <c r="BD118" s="407"/>
      <c r="BE118" s="444"/>
      <c r="BF118" s="444"/>
      <c r="BG118" s="444"/>
      <c r="BH118" s="444"/>
      <c r="BI118" s="444"/>
      <c r="BJ118" s="444"/>
      <c r="BK118" s="444"/>
      <c r="BL118" s="444"/>
      <c r="BM118" s="444"/>
      <c r="BN118" s="444"/>
      <c r="BO118" s="444"/>
      <c r="BP118" s="444"/>
      <c r="BQ118" s="444"/>
      <c r="BR118" s="444"/>
      <c r="BS118" s="444"/>
      <c r="BT118" s="444"/>
    </row>
    <row r="119" spans="1:72" ht="15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2"/>
      <c r="Q119" s="392"/>
      <c r="R119" s="392"/>
      <c r="S119" s="409"/>
      <c r="T119" s="409"/>
      <c r="U119" s="409"/>
      <c r="V119" s="409"/>
      <c r="W119" s="392"/>
      <c r="X119" s="392"/>
      <c r="Y119" s="409"/>
      <c r="Z119" s="409"/>
      <c r="AA119" s="392"/>
      <c r="AB119" s="392"/>
      <c r="AC119" s="392"/>
      <c r="AD119" s="409"/>
      <c r="AE119" s="409"/>
      <c r="AF119" s="409"/>
      <c r="AG119" s="409"/>
      <c r="AH119" s="409"/>
      <c r="AI119" s="409"/>
      <c r="AJ119" s="409"/>
      <c r="AK119" s="409"/>
      <c r="AL119" s="409"/>
      <c r="AM119" s="409"/>
      <c r="AN119" s="409"/>
      <c r="AO119" s="409"/>
      <c r="AP119" s="409"/>
      <c r="AQ119" s="409"/>
      <c r="AR119" s="409"/>
      <c r="AS119" s="409"/>
      <c r="AT119" s="409"/>
      <c r="AU119" s="409"/>
      <c r="AV119" s="409"/>
      <c r="AW119" s="409"/>
      <c r="AX119" s="409"/>
      <c r="AY119" s="409"/>
      <c r="AZ119" s="409"/>
      <c r="BA119" s="409"/>
      <c r="BB119" s="409"/>
      <c r="BC119" s="409"/>
      <c r="BD119" s="407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</row>
    <row r="120" spans="1:72" ht="15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2"/>
      <c r="M120" s="392"/>
      <c r="N120" s="392"/>
      <c r="O120" s="392"/>
      <c r="P120" s="392"/>
      <c r="Q120" s="392"/>
      <c r="R120" s="392"/>
      <c r="S120" s="409"/>
      <c r="T120" s="409"/>
      <c r="U120" s="409"/>
      <c r="V120" s="409"/>
      <c r="W120" s="392"/>
      <c r="X120" s="392"/>
      <c r="Y120" s="409"/>
      <c r="Z120" s="409"/>
      <c r="AA120" s="392"/>
      <c r="AB120" s="392"/>
      <c r="AC120" s="392"/>
      <c r="AD120" s="409"/>
      <c r="AE120" s="409"/>
      <c r="AF120" s="409"/>
      <c r="AG120" s="409"/>
      <c r="AH120" s="409"/>
      <c r="AI120" s="409"/>
      <c r="AJ120" s="409"/>
      <c r="AK120" s="409"/>
      <c r="AL120" s="409"/>
      <c r="AM120" s="409"/>
      <c r="AN120" s="409"/>
      <c r="AO120" s="409"/>
      <c r="AP120" s="409"/>
      <c r="AQ120" s="409"/>
      <c r="AR120" s="409"/>
      <c r="AS120" s="409"/>
      <c r="AT120" s="409"/>
      <c r="AU120" s="409"/>
      <c r="AV120" s="409"/>
      <c r="AW120" s="409"/>
      <c r="AX120" s="409"/>
      <c r="AY120" s="409"/>
      <c r="AZ120" s="409"/>
      <c r="BA120" s="409"/>
      <c r="BB120" s="409"/>
      <c r="BC120" s="409"/>
      <c r="BD120" s="407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</row>
    <row r="121" spans="1:72" ht="15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  <c r="S121" s="409"/>
      <c r="T121" s="409"/>
      <c r="U121" s="409"/>
      <c r="V121" s="409"/>
      <c r="W121" s="392"/>
      <c r="X121" s="392"/>
      <c r="Y121" s="409"/>
      <c r="Z121" s="409"/>
      <c r="AA121" s="392"/>
      <c r="AB121" s="392"/>
      <c r="AC121" s="392"/>
      <c r="AD121" s="409"/>
      <c r="AE121" s="409"/>
      <c r="AF121" s="409"/>
      <c r="AG121" s="409"/>
      <c r="AH121" s="409"/>
      <c r="AI121" s="409"/>
      <c r="AJ121" s="409"/>
      <c r="AK121" s="409"/>
      <c r="AL121" s="409"/>
      <c r="AM121" s="409"/>
      <c r="AN121" s="409"/>
      <c r="AO121" s="409"/>
      <c r="AP121" s="409"/>
      <c r="AQ121" s="409"/>
      <c r="AR121" s="409"/>
      <c r="AS121" s="409"/>
      <c r="AT121" s="409"/>
      <c r="AU121" s="409"/>
      <c r="AV121" s="409"/>
      <c r="AW121" s="409"/>
      <c r="AX121" s="409"/>
      <c r="AY121" s="409"/>
      <c r="AZ121" s="409"/>
      <c r="BA121" s="409"/>
      <c r="BB121" s="409"/>
      <c r="BC121" s="409"/>
      <c r="BD121" s="407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</row>
    <row r="122" spans="1:72" ht="15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  <c r="Q122" s="392"/>
      <c r="R122" s="392"/>
      <c r="S122" s="409"/>
      <c r="T122" s="409"/>
      <c r="U122" s="409"/>
      <c r="V122" s="409"/>
      <c r="W122" s="392"/>
      <c r="X122" s="392"/>
      <c r="Y122" s="409"/>
      <c r="Z122" s="409"/>
      <c r="AA122" s="392"/>
      <c r="AB122" s="392"/>
      <c r="AC122" s="392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7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</row>
    <row r="123" spans="1:72" ht="15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409"/>
      <c r="T123" s="409"/>
      <c r="U123" s="409"/>
      <c r="V123" s="409"/>
      <c r="W123" s="392"/>
      <c r="X123" s="392"/>
      <c r="Y123" s="409"/>
      <c r="Z123" s="409"/>
      <c r="AA123" s="392"/>
      <c r="AB123" s="392"/>
      <c r="AC123" s="392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7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</row>
    <row r="124" spans="1:72" ht="15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  <c r="Q124" s="392"/>
      <c r="R124" s="392"/>
      <c r="S124" s="409"/>
      <c r="T124" s="409"/>
      <c r="U124" s="409"/>
      <c r="V124" s="409"/>
      <c r="W124" s="392"/>
      <c r="X124" s="392"/>
      <c r="Y124" s="409"/>
      <c r="Z124" s="409"/>
      <c r="AA124" s="392"/>
      <c r="AB124" s="392"/>
      <c r="AC124" s="392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7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</row>
    <row r="125" spans="1:72" ht="1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  <c r="Q125" s="392"/>
      <c r="R125" s="392"/>
      <c r="S125" s="409"/>
      <c r="T125" s="409"/>
      <c r="U125" s="409"/>
      <c r="V125" s="409"/>
      <c r="W125" s="392"/>
      <c r="X125" s="392"/>
      <c r="Y125" s="409"/>
      <c r="Z125" s="409"/>
      <c r="AA125" s="392"/>
      <c r="AB125" s="392"/>
      <c r="AC125" s="392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7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</row>
    <row r="126" spans="1:72" ht="15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  <c r="Q126" s="392"/>
      <c r="R126" s="392"/>
      <c r="S126" s="409"/>
      <c r="T126" s="409"/>
      <c r="U126" s="409"/>
      <c r="V126" s="409"/>
      <c r="W126" s="392"/>
      <c r="X126" s="392"/>
      <c r="Y126" s="409"/>
      <c r="Z126" s="409"/>
      <c r="AA126" s="392"/>
      <c r="AB126" s="392"/>
      <c r="AC126" s="392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7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</row>
    <row r="127" spans="1:72" ht="15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2"/>
      <c r="M127" s="392"/>
      <c r="N127" s="392"/>
      <c r="O127" s="392"/>
      <c r="P127" s="392"/>
      <c r="Q127" s="392"/>
      <c r="R127" s="392"/>
      <c r="S127" s="409"/>
      <c r="T127" s="409"/>
      <c r="U127" s="409"/>
      <c r="V127" s="409"/>
      <c r="W127" s="392"/>
      <c r="X127" s="392"/>
      <c r="Y127" s="409"/>
      <c r="Z127" s="409"/>
      <c r="AA127" s="392"/>
      <c r="AB127" s="392"/>
      <c r="AC127" s="392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7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</row>
    <row r="128" spans="1:72" ht="15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2"/>
      <c r="M128" s="392"/>
      <c r="N128" s="392"/>
      <c r="O128" s="392"/>
      <c r="P128" s="392"/>
      <c r="Q128" s="392"/>
      <c r="R128" s="392"/>
      <c r="S128" s="409"/>
      <c r="T128" s="409"/>
      <c r="U128" s="409"/>
      <c r="V128" s="409"/>
      <c r="W128" s="392"/>
      <c r="X128" s="392"/>
      <c r="Y128" s="409"/>
      <c r="Z128" s="409"/>
      <c r="AA128" s="392"/>
      <c r="AB128" s="392"/>
      <c r="AC128" s="392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7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</row>
    <row r="129" spans="1:72" ht="15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2"/>
      <c r="M129" s="392"/>
      <c r="N129" s="392"/>
      <c r="O129" s="392"/>
      <c r="P129" s="392"/>
      <c r="Q129" s="392"/>
      <c r="R129" s="392"/>
      <c r="S129" s="409"/>
      <c r="T129" s="409"/>
      <c r="U129" s="409"/>
      <c r="V129" s="409"/>
      <c r="W129" s="392"/>
      <c r="X129" s="392"/>
      <c r="Y129" s="409"/>
      <c r="Z129" s="409"/>
      <c r="AA129" s="392"/>
      <c r="AB129" s="392"/>
      <c r="AC129" s="392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7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</row>
    <row r="130" spans="1:72" ht="15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2"/>
      <c r="L130" s="392"/>
      <c r="M130" s="392"/>
      <c r="N130" s="392"/>
      <c r="O130" s="392"/>
      <c r="P130" s="392"/>
      <c r="Q130" s="392"/>
      <c r="R130" s="392"/>
      <c r="S130" s="409"/>
      <c r="T130" s="409"/>
      <c r="U130" s="409"/>
      <c r="V130" s="409"/>
      <c r="W130" s="392"/>
      <c r="X130" s="392"/>
      <c r="Y130" s="409"/>
      <c r="Z130" s="409"/>
      <c r="AA130" s="392"/>
      <c r="AB130" s="392"/>
      <c r="AC130" s="392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7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</row>
    <row r="131" spans="1:72" ht="15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409"/>
      <c r="T131" s="409"/>
      <c r="U131" s="409"/>
      <c r="V131" s="409"/>
      <c r="W131" s="392"/>
      <c r="X131" s="392"/>
      <c r="Y131" s="409"/>
      <c r="Z131" s="409"/>
      <c r="AA131" s="392"/>
      <c r="AB131" s="392"/>
      <c r="AC131" s="392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7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</row>
    <row r="132" spans="1:72" ht="15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2"/>
      <c r="L132" s="392"/>
      <c r="M132" s="392"/>
      <c r="N132" s="392"/>
      <c r="O132" s="392"/>
      <c r="P132" s="392"/>
      <c r="Q132" s="392"/>
      <c r="R132" s="392"/>
      <c r="S132" s="409"/>
      <c r="T132" s="409"/>
      <c r="U132" s="409"/>
      <c r="V132" s="409"/>
      <c r="W132" s="392"/>
      <c r="X132" s="392"/>
      <c r="Y132" s="409"/>
      <c r="Z132" s="409"/>
      <c r="AA132" s="392"/>
      <c r="AB132" s="392"/>
      <c r="AC132" s="392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7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</row>
    <row r="133" spans="1:72" ht="15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  <c r="L133" s="392"/>
      <c r="M133" s="392"/>
      <c r="N133" s="392"/>
      <c r="O133" s="392"/>
      <c r="P133" s="392"/>
      <c r="Q133" s="392"/>
      <c r="R133" s="392"/>
      <c r="S133" s="409"/>
      <c r="T133" s="409"/>
      <c r="U133" s="409"/>
      <c r="V133" s="409"/>
      <c r="W133" s="392"/>
      <c r="X133" s="392"/>
      <c r="Y133" s="409"/>
      <c r="Z133" s="409"/>
      <c r="AA133" s="392"/>
      <c r="AB133" s="392"/>
      <c r="AC133" s="392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7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</row>
    <row r="134" spans="1:72" ht="15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  <c r="M134" s="392"/>
      <c r="N134" s="392"/>
      <c r="O134" s="392"/>
      <c r="P134" s="392"/>
      <c r="Q134" s="392"/>
      <c r="R134" s="392"/>
      <c r="S134" s="409"/>
      <c r="T134" s="409"/>
      <c r="U134" s="409"/>
      <c r="V134" s="409"/>
      <c r="W134" s="392"/>
      <c r="X134" s="392"/>
      <c r="Y134" s="409"/>
      <c r="Z134" s="409"/>
      <c r="AA134" s="392"/>
      <c r="AB134" s="392"/>
      <c r="AC134" s="392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7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</row>
    <row r="135" spans="1:72" ht="1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2"/>
      <c r="L135" s="392"/>
      <c r="M135" s="392"/>
      <c r="N135" s="392"/>
      <c r="O135" s="392"/>
      <c r="P135" s="392"/>
      <c r="Q135" s="392"/>
      <c r="R135" s="392"/>
      <c r="S135" s="409"/>
      <c r="T135" s="409"/>
      <c r="U135" s="409"/>
      <c r="V135" s="409"/>
      <c r="W135" s="392"/>
      <c r="X135" s="392"/>
      <c r="Y135" s="409"/>
      <c r="Z135" s="409"/>
      <c r="AA135" s="392"/>
      <c r="AB135" s="392"/>
      <c r="AC135" s="392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7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</row>
    <row r="136" spans="1:72" ht="15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2"/>
      <c r="L136" s="392"/>
      <c r="M136" s="392"/>
      <c r="N136" s="392"/>
      <c r="O136" s="392"/>
      <c r="P136" s="392"/>
      <c r="Q136" s="392"/>
      <c r="R136" s="392"/>
      <c r="S136" s="409"/>
      <c r="T136" s="409"/>
      <c r="U136" s="409"/>
      <c r="V136" s="409"/>
      <c r="W136" s="392"/>
      <c r="X136" s="392"/>
      <c r="Y136" s="409"/>
      <c r="Z136" s="409"/>
      <c r="AA136" s="392"/>
      <c r="AB136" s="392"/>
      <c r="AC136" s="392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7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</row>
    <row r="137" spans="1:72" ht="15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  <c r="L137" s="392"/>
      <c r="M137" s="392"/>
      <c r="N137" s="392"/>
      <c r="O137" s="392"/>
      <c r="P137" s="392"/>
      <c r="Q137" s="392"/>
      <c r="R137" s="392"/>
      <c r="S137" s="409"/>
      <c r="T137" s="409"/>
      <c r="U137" s="409"/>
      <c r="V137" s="409"/>
      <c r="W137" s="392"/>
      <c r="X137" s="392"/>
      <c r="Y137" s="409"/>
      <c r="Z137" s="409"/>
      <c r="AA137" s="392"/>
      <c r="AB137" s="392"/>
      <c r="AC137" s="392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7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</row>
    <row r="138" spans="1:72" ht="15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2"/>
      <c r="L138" s="392"/>
      <c r="M138" s="392"/>
      <c r="N138" s="392"/>
      <c r="O138" s="392"/>
      <c r="P138" s="392"/>
      <c r="Q138" s="392"/>
      <c r="R138" s="392"/>
      <c r="S138" s="409"/>
      <c r="T138" s="409"/>
      <c r="U138" s="409"/>
      <c r="V138" s="409"/>
      <c r="W138" s="392"/>
      <c r="X138" s="392"/>
      <c r="Y138" s="409"/>
      <c r="Z138" s="409"/>
      <c r="AA138" s="392"/>
      <c r="AB138" s="392"/>
      <c r="AC138" s="392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7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</row>
    <row r="139" spans="1:72" ht="15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  <c r="L139" s="392"/>
      <c r="M139" s="392"/>
      <c r="N139" s="392"/>
      <c r="O139" s="392"/>
      <c r="P139" s="392"/>
      <c r="Q139" s="392"/>
      <c r="R139" s="392"/>
      <c r="S139" s="409"/>
      <c r="T139" s="409"/>
      <c r="U139" s="409"/>
      <c r="V139" s="409"/>
      <c r="W139" s="392"/>
      <c r="X139" s="392"/>
      <c r="Y139" s="409"/>
      <c r="Z139" s="409"/>
      <c r="AA139" s="392"/>
      <c r="AB139" s="392"/>
      <c r="AC139" s="392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7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</row>
    <row r="140" spans="1:72" ht="15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  <c r="L140" s="392"/>
      <c r="M140" s="392"/>
      <c r="N140" s="392"/>
      <c r="O140" s="392"/>
      <c r="P140" s="392"/>
      <c r="Q140" s="392"/>
      <c r="R140" s="392"/>
      <c r="S140" s="409"/>
      <c r="T140" s="409"/>
      <c r="U140" s="409"/>
      <c r="V140" s="409"/>
      <c r="W140" s="392"/>
      <c r="X140" s="392"/>
      <c r="Y140" s="409"/>
      <c r="Z140" s="409"/>
      <c r="AA140" s="392"/>
      <c r="AB140" s="392"/>
      <c r="AC140" s="392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7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</row>
    <row r="141" spans="1:72" ht="15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2"/>
      <c r="M141" s="392"/>
      <c r="N141" s="392"/>
      <c r="O141" s="392"/>
      <c r="P141" s="392"/>
      <c r="Q141" s="392"/>
      <c r="R141" s="392"/>
      <c r="S141" s="409"/>
      <c r="T141" s="409"/>
      <c r="U141" s="409"/>
      <c r="V141" s="409"/>
      <c r="W141" s="392"/>
      <c r="X141" s="392"/>
      <c r="Y141" s="409"/>
      <c r="Z141" s="409"/>
      <c r="AA141" s="392"/>
      <c r="AB141" s="392"/>
      <c r="AC141" s="392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7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</row>
    <row r="142" spans="1:72" ht="15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2"/>
      <c r="L142" s="392"/>
      <c r="M142" s="392"/>
      <c r="N142" s="392"/>
      <c r="O142" s="392"/>
      <c r="P142" s="392"/>
      <c r="Q142" s="392"/>
      <c r="R142" s="392"/>
      <c r="S142" s="409"/>
      <c r="T142" s="409"/>
      <c r="U142" s="409"/>
      <c r="V142" s="409"/>
      <c r="W142" s="392"/>
      <c r="X142" s="392"/>
      <c r="Y142" s="409"/>
      <c r="Z142" s="409"/>
      <c r="AA142" s="392"/>
      <c r="AB142" s="392"/>
      <c r="AC142" s="392"/>
      <c r="AD142" s="409"/>
      <c r="AE142" s="409"/>
      <c r="AF142" s="409"/>
      <c r="AG142" s="409"/>
      <c r="AH142" s="409"/>
      <c r="AI142" s="409"/>
      <c r="AJ142" s="409"/>
      <c r="AK142" s="409"/>
      <c r="AL142" s="409"/>
      <c r="AM142" s="409"/>
      <c r="AN142" s="409"/>
      <c r="AO142" s="409"/>
      <c r="AP142" s="409"/>
      <c r="AQ142" s="409"/>
      <c r="AR142" s="409"/>
      <c r="AS142" s="409"/>
      <c r="AT142" s="409"/>
      <c r="AU142" s="409"/>
      <c r="AV142" s="409"/>
      <c r="AW142" s="409"/>
      <c r="AX142" s="409"/>
      <c r="AY142" s="409"/>
      <c r="AZ142" s="409"/>
      <c r="BA142" s="409"/>
      <c r="BB142" s="409"/>
      <c r="BC142" s="409"/>
      <c r="BD142" s="407"/>
      <c r="BE142" s="444"/>
      <c r="BF142" s="444"/>
      <c r="BG142" s="444"/>
      <c r="BH142" s="444"/>
      <c r="BI142" s="444"/>
      <c r="BJ142" s="444"/>
      <c r="BK142" s="444"/>
      <c r="BL142" s="444"/>
      <c r="BM142" s="444"/>
      <c r="BN142" s="444"/>
      <c r="BO142" s="444"/>
      <c r="BP142" s="444"/>
      <c r="BQ142" s="444"/>
      <c r="BR142" s="444"/>
      <c r="BS142" s="444"/>
      <c r="BT142" s="444"/>
    </row>
    <row r="143" spans="1:72" ht="15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2"/>
      <c r="L143" s="392"/>
      <c r="M143" s="392"/>
      <c r="N143" s="392"/>
      <c r="O143" s="392"/>
      <c r="P143" s="392"/>
      <c r="Q143" s="392"/>
      <c r="R143" s="392"/>
      <c r="S143" s="409"/>
      <c r="T143" s="409"/>
      <c r="U143" s="409"/>
      <c r="V143" s="409"/>
      <c r="W143" s="392"/>
      <c r="X143" s="392"/>
      <c r="Y143" s="409"/>
      <c r="Z143" s="409"/>
      <c r="AA143" s="392"/>
      <c r="AB143" s="392"/>
      <c r="AC143" s="392"/>
      <c r="AD143" s="409"/>
      <c r="AE143" s="409"/>
      <c r="AF143" s="409"/>
      <c r="AG143" s="409"/>
      <c r="AH143" s="409"/>
      <c r="AI143" s="409"/>
      <c r="AJ143" s="409"/>
      <c r="AK143" s="409"/>
      <c r="AL143" s="409"/>
      <c r="AM143" s="409"/>
      <c r="AN143" s="409"/>
      <c r="AO143" s="409"/>
      <c r="AP143" s="409"/>
      <c r="AQ143" s="409"/>
      <c r="AR143" s="409"/>
      <c r="AS143" s="409"/>
      <c r="AT143" s="409"/>
      <c r="AU143" s="409"/>
      <c r="AV143" s="409"/>
      <c r="AW143" s="409"/>
      <c r="AX143" s="409"/>
      <c r="AY143" s="409"/>
      <c r="AZ143" s="409"/>
      <c r="BA143" s="409"/>
      <c r="BB143" s="409"/>
      <c r="BC143" s="409"/>
      <c r="BD143" s="407"/>
      <c r="BE143" s="444"/>
      <c r="BF143" s="444"/>
      <c r="BG143" s="444"/>
      <c r="BH143" s="444"/>
      <c r="BI143" s="444"/>
      <c r="BJ143" s="444"/>
      <c r="BK143" s="444"/>
      <c r="BL143" s="444"/>
      <c r="BM143" s="444"/>
      <c r="BN143" s="444"/>
      <c r="BO143" s="444"/>
      <c r="BP143" s="444"/>
      <c r="BQ143" s="444"/>
      <c r="BR143" s="444"/>
      <c r="BS143" s="444"/>
      <c r="BT143" s="444"/>
    </row>
    <row r="144" spans="1:72" ht="15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392"/>
      <c r="Q144" s="392"/>
      <c r="R144" s="392"/>
      <c r="S144" s="409"/>
      <c r="T144" s="409"/>
      <c r="U144" s="409"/>
      <c r="V144" s="409"/>
      <c r="W144" s="392"/>
      <c r="X144" s="392"/>
      <c r="Y144" s="409"/>
      <c r="Z144" s="409"/>
      <c r="AA144" s="392"/>
      <c r="AB144" s="392"/>
      <c r="AC144" s="392"/>
      <c r="AD144" s="409"/>
      <c r="AE144" s="409"/>
      <c r="AF144" s="409"/>
      <c r="AG144" s="409"/>
      <c r="AH144" s="409"/>
      <c r="AI144" s="409"/>
      <c r="AJ144" s="409"/>
      <c r="AK144" s="409"/>
      <c r="AL144" s="409"/>
      <c r="AM144" s="409"/>
      <c r="AN144" s="409"/>
      <c r="AO144" s="409"/>
      <c r="AP144" s="409"/>
      <c r="AQ144" s="409"/>
      <c r="AR144" s="409"/>
      <c r="AS144" s="409"/>
      <c r="AT144" s="409"/>
      <c r="AU144" s="409"/>
      <c r="AV144" s="409"/>
      <c r="AW144" s="409"/>
      <c r="AX144" s="409"/>
      <c r="AY144" s="409"/>
      <c r="AZ144" s="409"/>
      <c r="BA144" s="409"/>
      <c r="BB144" s="409"/>
      <c r="BC144" s="409"/>
      <c r="BD144" s="407"/>
      <c r="BE144" s="444"/>
      <c r="BF144" s="444"/>
      <c r="BG144" s="444"/>
      <c r="BH144" s="444"/>
      <c r="BI144" s="444"/>
      <c r="BJ144" s="444"/>
      <c r="BK144" s="444"/>
      <c r="BL144" s="444"/>
      <c r="BM144" s="444"/>
      <c r="BN144" s="444"/>
      <c r="BO144" s="444"/>
      <c r="BP144" s="444"/>
      <c r="BQ144" s="444"/>
      <c r="BR144" s="444"/>
      <c r="BS144" s="444"/>
      <c r="BT144" s="444"/>
    </row>
    <row r="145" spans="1:72" ht="1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2"/>
      <c r="L145" s="392"/>
      <c r="M145" s="392"/>
      <c r="N145" s="392"/>
      <c r="O145" s="392"/>
      <c r="P145" s="392"/>
      <c r="Q145" s="392"/>
      <c r="R145" s="392"/>
      <c r="S145" s="409"/>
      <c r="T145" s="409"/>
      <c r="U145" s="409"/>
      <c r="V145" s="409"/>
      <c r="W145" s="392"/>
      <c r="X145" s="392"/>
      <c r="Y145" s="409"/>
      <c r="Z145" s="409"/>
      <c r="AA145" s="392"/>
      <c r="AB145" s="392"/>
      <c r="AC145" s="392"/>
      <c r="AD145" s="409"/>
      <c r="AE145" s="409"/>
      <c r="AF145" s="409"/>
      <c r="AG145" s="409"/>
      <c r="AH145" s="409"/>
      <c r="AI145" s="409"/>
      <c r="AJ145" s="409"/>
      <c r="AK145" s="409"/>
      <c r="AL145" s="409"/>
      <c r="AM145" s="409"/>
      <c r="AN145" s="409"/>
      <c r="AO145" s="409"/>
      <c r="AP145" s="409"/>
      <c r="AQ145" s="409"/>
      <c r="AR145" s="409"/>
      <c r="AS145" s="409"/>
      <c r="AT145" s="409"/>
      <c r="AU145" s="409"/>
      <c r="AV145" s="409"/>
      <c r="AW145" s="409"/>
      <c r="AX145" s="409"/>
      <c r="AY145" s="409"/>
      <c r="AZ145" s="409"/>
      <c r="BA145" s="409"/>
      <c r="BB145" s="409"/>
      <c r="BC145" s="409"/>
      <c r="BD145" s="407"/>
      <c r="BE145" s="444"/>
      <c r="BF145" s="444"/>
      <c r="BG145" s="444"/>
      <c r="BH145" s="444"/>
      <c r="BI145" s="444"/>
      <c r="BJ145" s="444"/>
      <c r="BK145" s="444"/>
      <c r="BL145" s="444"/>
      <c r="BM145" s="444"/>
      <c r="BN145" s="444"/>
      <c r="BO145" s="444"/>
      <c r="BP145" s="444"/>
      <c r="BQ145" s="444"/>
      <c r="BR145" s="444"/>
      <c r="BS145" s="444"/>
      <c r="BT145" s="444"/>
    </row>
    <row r="146" spans="1:72" ht="15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  <c r="Q146" s="392"/>
      <c r="R146" s="392"/>
      <c r="S146" s="409"/>
      <c r="T146" s="409"/>
      <c r="U146" s="409"/>
      <c r="V146" s="409"/>
      <c r="W146" s="392"/>
      <c r="X146" s="392"/>
      <c r="Y146" s="409"/>
      <c r="Z146" s="409"/>
      <c r="AA146" s="392"/>
      <c r="AB146" s="392"/>
      <c r="AC146" s="392"/>
      <c r="AD146" s="409"/>
      <c r="AE146" s="409"/>
      <c r="AF146" s="409"/>
      <c r="AG146" s="409"/>
      <c r="AH146" s="409"/>
      <c r="AI146" s="409"/>
      <c r="AJ146" s="409"/>
      <c r="AK146" s="409"/>
      <c r="AL146" s="409"/>
      <c r="AM146" s="409"/>
      <c r="AN146" s="409"/>
      <c r="AO146" s="409"/>
      <c r="AP146" s="409"/>
      <c r="AQ146" s="409"/>
      <c r="AR146" s="409"/>
      <c r="AS146" s="409"/>
      <c r="AT146" s="409"/>
      <c r="AU146" s="409"/>
      <c r="AV146" s="409"/>
      <c r="AW146" s="409"/>
      <c r="AX146" s="409"/>
      <c r="AY146" s="409"/>
      <c r="AZ146" s="409"/>
      <c r="BA146" s="409"/>
      <c r="BB146" s="409"/>
      <c r="BC146" s="409"/>
      <c r="BD146" s="407"/>
      <c r="BE146" s="444"/>
      <c r="BF146" s="444"/>
      <c r="BG146" s="444"/>
      <c r="BH146" s="444"/>
      <c r="BI146" s="444"/>
      <c r="BJ146" s="444"/>
      <c r="BK146" s="444"/>
      <c r="BL146" s="444"/>
      <c r="BM146" s="444"/>
      <c r="BN146" s="444"/>
      <c r="BO146" s="444"/>
      <c r="BP146" s="444"/>
      <c r="BQ146" s="444"/>
      <c r="BR146" s="444"/>
      <c r="BS146" s="444"/>
      <c r="BT146" s="444"/>
    </row>
    <row r="147" spans="1:72" ht="15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2"/>
      <c r="L147" s="392"/>
      <c r="M147" s="392"/>
      <c r="N147" s="392"/>
      <c r="O147" s="392"/>
      <c r="P147" s="392"/>
      <c r="Q147" s="392"/>
      <c r="R147" s="392"/>
      <c r="S147" s="409"/>
      <c r="T147" s="409"/>
      <c r="U147" s="409"/>
      <c r="V147" s="409"/>
      <c r="W147" s="392"/>
      <c r="X147" s="392"/>
      <c r="Y147" s="409"/>
      <c r="Z147" s="409"/>
      <c r="AA147" s="392"/>
      <c r="AB147" s="392"/>
      <c r="AC147" s="392"/>
      <c r="AD147" s="409"/>
      <c r="AE147" s="409"/>
      <c r="AF147" s="409"/>
      <c r="AG147" s="409"/>
      <c r="AH147" s="409"/>
      <c r="AI147" s="409"/>
      <c r="AJ147" s="409"/>
      <c r="AK147" s="409"/>
      <c r="AL147" s="409"/>
      <c r="AM147" s="409"/>
      <c r="AN147" s="409"/>
      <c r="AO147" s="409"/>
      <c r="AP147" s="409"/>
      <c r="AQ147" s="409"/>
      <c r="AR147" s="409"/>
      <c r="AS147" s="409"/>
      <c r="AT147" s="409"/>
      <c r="AU147" s="409"/>
      <c r="AV147" s="409"/>
      <c r="AW147" s="409"/>
      <c r="AX147" s="409"/>
      <c r="AY147" s="409"/>
      <c r="AZ147" s="409"/>
      <c r="BA147" s="409"/>
      <c r="BB147" s="409"/>
      <c r="BC147" s="409"/>
      <c r="BD147" s="407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4"/>
      <c r="BT147" s="444"/>
    </row>
    <row r="148" spans="1:72" ht="15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2"/>
      <c r="L148" s="392"/>
      <c r="M148" s="392"/>
      <c r="N148" s="392"/>
      <c r="O148" s="392"/>
      <c r="P148" s="392"/>
      <c r="Q148" s="392"/>
      <c r="R148" s="392"/>
      <c r="S148" s="409"/>
      <c r="T148" s="409"/>
      <c r="U148" s="409"/>
      <c r="V148" s="409"/>
      <c r="W148" s="392"/>
      <c r="X148" s="392"/>
      <c r="Y148" s="409"/>
      <c r="Z148" s="409"/>
      <c r="AA148" s="392"/>
      <c r="AB148" s="392"/>
      <c r="AC148" s="392"/>
      <c r="AD148" s="409"/>
      <c r="AE148" s="409"/>
      <c r="AF148" s="409"/>
      <c r="AG148" s="409"/>
      <c r="AH148" s="409"/>
      <c r="AI148" s="409"/>
      <c r="AJ148" s="409"/>
      <c r="AK148" s="409"/>
      <c r="AL148" s="409"/>
      <c r="AM148" s="409"/>
      <c r="AN148" s="409"/>
      <c r="AO148" s="409"/>
      <c r="AP148" s="409"/>
      <c r="AQ148" s="409"/>
      <c r="AR148" s="409"/>
      <c r="AS148" s="409"/>
      <c r="AT148" s="409"/>
      <c r="AU148" s="409"/>
      <c r="AV148" s="409"/>
      <c r="AW148" s="409"/>
      <c r="AX148" s="409"/>
      <c r="AY148" s="409"/>
      <c r="AZ148" s="409"/>
      <c r="BA148" s="409"/>
      <c r="BB148" s="409"/>
      <c r="BC148" s="409"/>
      <c r="BD148" s="407"/>
      <c r="BE148" s="444"/>
      <c r="BF148" s="444"/>
      <c r="BG148" s="444"/>
      <c r="BH148" s="444"/>
      <c r="BI148" s="444"/>
      <c r="BJ148" s="444"/>
      <c r="BK148" s="444"/>
      <c r="BL148" s="444"/>
      <c r="BM148" s="444"/>
      <c r="BN148" s="444"/>
      <c r="BO148" s="444"/>
      <c r="BP148" s="444"/>
      <c r="BQ148" s="444"/>
      <c r="BR148" s="444"/>
      <c r="BS148" s="444"/>
      <c r="BT148" s="444"/>
    </row>
    <row r="149" spans="1:72" ht="15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2"/>
      <c r="L149" s="392"/>
      <c r="M149" s="392"/>
      <c r="N149" s="392"/>
      <c r="O149" s="392"/>
      <c r="P149" s="392"/>
      <c r="Q149" s="392"/>
      <c r="R149" s="392"/>
      <c r="S149" s="409"/>
      <c r="T149" s="409"/>
      <c r="U149" s="409"/>
      <c r="V149" s="409"/>
      <c r="W149" s="392"/>
      <c r="X149" s="392"/>
      <c r="Y149" s="409"/>
      <c r="Z149" s="409"/>
      <c r="AA149" s="392"/>
      <c r="AB149" s="392"/>
      <c r="AC149" s="392"/>
      <c r="AD149" s="409"/>
      <c r="AE149" s="409"/>
      <c r="AF149" s="409"/>
      <c r="AG149" s="409"/>
      <c r="AH149" s="409"/>
      <c r="AI149" s="409"/>
      <c r="AJ149" s="409"/>
      <c r="AK149" s="409"/>
      <c r="AL149" s="409"/>
      <c r="AM149" s="409"/>
      <c r="AN149" s="409"/>
      <c r="AO149" s="409"/>
      <c r="AP149" s="409"/>
      <c r="AQ149" s="409"/>
      <c r="AR149" s="409"/>
      <c r="AS149" s="409"/>
      <c r="AT149" s="409"/>
      <c r="AU149" s="409"/>
      <c r="AV149" s="409"/>
      <c r="AW149" s="409"/>
      <c r="AX149" s="409"/>
      <c r="AY149" s="409"/>
      <c r="AZ149" s="409"/>
      <c r="BA149" s="409"/>
      <c r="BB149" s="409"/>
      <c r="BC149" s="409"/>
      <c r="BD149" s="407"/>
      <c r="BE149" s="444"/>
      <c r="BF149" s="444"/>
      <c r="BG149" s="444"/>
      <c r="BH149" s="444"/>
      <c r="BI149" s="444"/>
      <c r="BJ149" s="444"/>
      <c r="BK149" s="444"/>
      <c r="BL149" s="444"/>
      <c r="BM149" s="444"/>
      <c r="BN149" s="444"/>
      <c r="BO149" s="444"/>
      <c r="BP149" s="444"/>
      <c r="BQ149" s="444"/>
      <c r="BR149" s="444"/>
      <c r="BS149" s="444"/>
      <c r="BT149" s="444"/>
    </row>
    <row r="150" spans="1:72" ht="15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2"/>
      <c r="L150" s="392"/>
      <c r="M150" s="392"/>
      <c r="N150" s="392"/>
      <c r="O150" s="392"/>
      <c r="P150" s="392"/>
      <c r="Q150" s="392"/>
      <c r="R150" s="392"/>
      <c r="S150" s="409"/>
      <c r="T150" s="409"/>
      <c r="U150" s="409"/>
      <c r="V150" s="409"/>
      <c r="W150" s="392"/>
      <c r="X150" s="392"/>
      <c r="Y150" s="409"/>
      <c r="Z150" s="409"/>
      <c r="AA150" s="392"/>
      <c r="AB150" s="392"/>
      <c r="AC150" s="392"/>
      <c r="AD150" s="409"/>
      <c r="AE150" s="409"/>
      <c r="AF150" s="409"/>
      <c r="AG150" s="409"/>
      <c r="AH150" s="409"/>
      <c r="AI150" s="409"/>
      <c r="AJ150" s="409"/>
      <c r="AK150" s="409"/>
      <c r="AL150" s="409"/>
      <c r="AM150" s="409"/>
      <c r="AN150" s="409"/>
      <c r="AO150" s="409"/>
      <c r="AP150" s="409"/>
      <c r="AQ150" s="409"/>
      <c r="AR150" s="409"/>
      <c r="AS150" s="409"/>
      <c r="AT150" s="409"/>
      <c r="AU150" s="409"/>
      <c r="AV150" s="409"/>
      <c r="AW150" s="409"/>
      <c r="AX150" s="409"/>
      <c r="AY150" s="409"/>
      <c r="AZ150" s="409"/>
      <c r="BA150" s="409"/>
      <c r="BB150" s="409"/>
      <c r="BC150" s="409"/>
      <c r="BD150" s="407"/>
      <c r="BE150" s="444"/>
      <c r="BF150" s="444"/>
      <c r="BG150" s="444"/>
      <c r="BH150" s="444"/>
      <c r="BI150" s="444"/>
      <c r="BJ150" s="444"/>
      <c r="BK150" s="444"/>
      <c r="BL150" s="444"/>
      <c r="BM150" s="444"/>
      <c r="BN150" s="444"/>
      <c r="BO150" s="444"/>
      <c r="BP150" s="444"/>
      <c r="BQ150" s="444"/>
      <c r="BR150" s="444"/>
      <c r="BS150" s="444"/>
      <c r="BT150" s="444"/>
    </row>
    <row r="151" spans="1:72" ht="15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  <c r="L151" s="392"/>
      <c r="M151" s="392"/>
      <c r="N151" s="392"/>
      <c r="O151" s="392"/>
      <c r="P151" s="392"/>
      <c r="Q151" s="392"/>
      <c r="R151" s="392"/>
      <c r="S151" s="409"/>
      <c r="T151" s="409"/>
      <c r="U151" s="409"/>
      <c r="V151" s="409"/>
      <c r="W151" s="392"/>
      <c r="X151" s="392"/>
      <c r="Y151" s="409"/>
      <c r="Z151" s="409"/>
      <c r="AA151" s="392"/>
      <c r="AB151" s="392"/>
      <c r="AC151" s="392"/>
      <c r="AD151" s="409"/>
      <c r="AE151" s="409"/>
      <c r="AF151" s="409"/>
      <c r="AG151" s="409"/>
      <c r="AH151" s="409"/>
      <c r="AI151" s="409"/>
      <c r="AJ151" s="409"/>
      <c r="AK151" s="409"/>
      <c r="AL151" s="409"/>
      <c r="AM151" s="409"/>
      <c r="AN151" s="409"/>
      <c r="AO151" s="409"/>
      <c r="AP151" s="409"/>
      <c r="AQ151" s="409"/>
      <c r="AR151" s="409"/>
      <c r="AS151" s="409"/>
      <c r="AT151" s="409"/>
      <c r="AU151" s="409"/>
      <c r="AV151" s="409"/>
      <c r="AW151" s="409"/>
      <c r="AX151" s="409"/>
      <c r="AY151" s="409"/>
      <c r="AZ151" s="409"/>
      <c r="BA151" s="409"/>
      <c r="BB151" s="409"/>
      <c r="BC151" s="409"/>
      <c r="BD151" s="407"/>
      <c r="BE151" s="444"/>
      <c r="BF151" s="444"/>
      <c r="BG151" s="444"/>
      <c r="BH151" s="444"/>
      <c r="BI151" s="444"/>
      <c r="BJ151" s="444"/>
      <c r="BK151" s="444"/>
      <c r="BL151" s="444"/>
      <c r="BM151" s="444"/>
      <c r="BN151" s="444"/>
      <c r="BO151" s="444"/>
      <c r="BP151" s="444"/>
      <c r="BQ151" s="444"/>
      <c r="BR151" s="444"/>
      <c r="BS151" s="444"/>
      <c r="BT151" s="444"/>
    </row>
    <row r="152" spans="1:72" ht="15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2"/>
      <c r="M152" s="392"/>
      <c r="N152" s="392"/>
      <c r="O152" s="392"/>
      <c r="P152" s="392"/>
      <c r="Q152" s="392"/>
      <c r="R152" s="392"/>
      <c r="S152" s="409"/>
      <c r="T152" s="409"/>
      <c r="U152" s="409"/>
      <c r="V152" s="409"/>
      <c r="W152" s="392"/>
      <c r="X152" s="392"/>
      <c r="Y152" s="409"/>
      <c r="Z152" s="409"/>
      <c r="AA152" s="392"/>
      <c r="AB152" s="392"/>
      <c r="AC152" s="392"/>
      <c r="AD152" s="409"/>
      <c r="AE152" s="409"/>
      <c r="AF152" s="409"/>
      <c r="AG152" s="409"/>
      <c r="AH152" s="409"/>
      <c r="AI152" s="409"/>
      <c r="AJ152" s="409"/>
      <c r="AK152" s="409"/>
      <c r="AL152" s="409"/>
      <c r="AM152" s="409"/>
      <c r="AN152" s="409"/>
      <c r="AO152" s="409"/>
      <c r="AP152" s="409"/>
      <c r="AQ152" s="409"/>
      <c r="AR152" s="409"/>
      <c r="AS152" s="409"/>
      <c r="AT152" s="409"/>
      <c r="AU152" s="409"/>
      <c r="AV152" s="409"/>
      <c r="AW152" s="409"/>
      <c r="AX152" s="409"/>
      <c r="AY152" s="409"/>
      <c r="AZ152" s="409"/>
      <c r="BA152" s="409"/>
      <c r="BB152" s="409"/>
      <c r="BC152" s="409"/>
      <c r="BD152" s="407"/>
      <c r="BE152" s="444"/>
      <c r="BF152" s="444"/>
      <c r="BG152" s="444"/>
      <c r="BH152" s="444"/>
      <c r="BI152" s="444"/>
      <c r="BJ152" s="444"/>
      <c r="BK152" s="444"/>
      <c r="BL152" s="444"/>
      <c r="BM152" s="444"/>
      <c r="BN152" s="444"/>
      <c r="BO152" s="444"/>
      <c r="BP152" s="444"/>
      <c r="BQ152" s="444"/>
      <c r="BR152" s="444"/>
      <c r="BS152" s="444"/>
      <c r="BT152" s="444"/>
    </row>
    <row r="153" spans="1:72" ht="15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2"/>
      <c r="L153" s="392"/>
      <c r="M153" s="392"/>
      <c r="N153" s="392"/>
      <c r="O153" s="392"/>
      <c r="P153" s="392"/>
      <c r="Q153" s="392"/>
      <c r="R153" s="392"/>
      <c r="S153" s="409"/>
      <c r="T153" s="409"/>
      <c r="U153" s="409"/>
      <c r="V153" s="409"/>
      <c r="W153" s="392"/>
      <c r="X153" s="392"/>
      <c r="Y153" s="409"/>
      <c r="Z153" s="409"/>
      <c r="AA153" s="392"/>
      <c r="AB153" s="392"/>
      <c r="AC153" s="392"/>
      <c r="AD153" s="409"/>
      <c r="AE153" s="409"/>
      <c r="AF153" s="409"/>
      <c r="AG153" s="409"/>
      <c r="AH153" s="409"/>
      <c r="AI153" s="409"/>
      <c r="AJ153" s="409"/>
      <c r="AK153" s="409"/>
      <c r="AL153" s="409"/>
      <c r="AM153" s="409"/>
      <c r="AN153" s="409"/>
      <c r="AO153" s="409"/>
      <c r="AP153" s="409"/>
      <c r="AQ153" s="409"/>
      <c r="AR153" s="409"/>
      <c r="AS153" s="409"/>
      <c r="AT153" s="409"/>
      <c r="AU153" s="409"/>
      <c r="AV153" s="409"/>
      <c r="AW153" s="409"/>
      <c r="AX153" s="409"/>
      <c r="AY153" s="409"/>
      <c r="AZ153" s="409"/>
      <c r="BA153" s="409"/>
      <c r="BB153" s="409"/>
      <c r="BC153" s="409"/>
      <c r="BD153" s="407"/>
      <c r="BE153" s="444"/>
      <c r="BF153" s="444"/>
      <c r="BG153" s="444"/>
      <c r="BH153" s="444"/>
      <c r="BI153" s="444"/>
      <c r="BJ153" s="444"/>
      <c r="BK153" s="444"/>
      <c r="BL153" s="444"/>
      <c r="BM153" s="444"/>
      <c r="BN153" s="444"/>
      <c r="BO153" s="444"/>
      <c r="BP153" s="444"/>
      <c r="BQ153" s="444"/>
      <c r="BR153" s="444"/>
      <c r="BS153" s="444"/>
      <c r="BT153" s="444"/>
    </row>
    <row r="154" spans="1:72" ht="15">
      <c r="A154" s="392"/>
      <c r="B154" s="392"/>
      <c r="C154" s="392"/>
      <c r="D154" s="392"/>
      <c r="E154" s="392"/>
      <c r="F154" s="392"/>
      <c r="G154" s="392"/>
      <c r="H154" s="392"/>
      <c r="I154" s="392"/>
      <c r="J154" s="392"/>
      <c r="K154" s="392"/>
      <c r="L154" s="392"/>
      <c r="M154" s="392"/>
      <c r="N154" s="392"/>
      <c r="O154" s="392"/>
      <c r="P154" s="392"/>
      <c r="Q154" s="392"/>
      <c r="R154" s="392"/>
      <c r="S154" s="409"/>
      <c r="T154" s="409"/>
      <c r="U154" s="409"/>
      <c r="V154" s="409"/>
      <c r="W154" s="392"/>
      <c r="X154" s="392"/>
      <c r="Y154" s="409"/>
      <c r="Z154" s="409"/>
      <c r="AA154" s="392"/>
      <c r="AB154" s="392"/>
      <c r="AC154" s="392"/>
      <c r="AD154" s="409"/>
      <c r="AE154" s="409"/>
      <c r="AF154" s="409"/>
      <c r="AG154" s="409"/>
      <c r="AH154" s="409"/>
      <c r="AI154" s="409"/>
      <c r="AJ154" s="409"/>
      <c r="AK154" s="409"/>
      <c r="AL154" s="409"/>
      <c r="AM154" s="409"/>
      <c r="AN154" s="409"/>
      <c r="AO154" s="409"/>
      <c r="AP154" s="409"/>
      <c r="AQ154" s="409"/>
      <c r="AR154" s="409"/>
      <c r="AS154" s="409"/>
      <c r="AT154" s="409"/>
      <c r="AU154" s="409"/>
      <c r="AV154" s="409"/>
      <c r="AW154" s="409"/>
      <c r="AX154" s="409"/>
      <c r="AY154" s="409"/>
      <c r="AZ154" s="409"/>
      <c r="BA154" s="409"/>
      <c r="BB154" s="409"/>
      <c r="BC154" s="409"/>
      <c r="BD154" s="407"/>
      <c r="BE154" s="444"/>
      <c r="BF154" s="444"/>
      <c r="BG154" s="444"/>
      <c r="BH154" s="444"/>
      <c r="BI154" s="444"/>
      <c r="BJ154" s="444"/>
      <c r="BK154" s="444"/>
      <c r="BL154" s="444"/>
      <c r="BM154" s="444"/>
      <c r="BN154" s="444"/>
      <c r="BO154" s="444"/>
      <c r="BP154" s="444"/>
      <c r="BQ154" s="444"/>
      <c r="BR154" s="444"/>
      <c r="BS154" s="444"/>
      <c r="BT154" s="444"/>
    </row>
    <row r="155" spans="1:72" ht="1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  <c r="L155" s="392"/>
      <c r="M155" s="392"/>
      <c r="N155" s="392"/>
      <c r="O155" s="392"/>
      <c r="P155" s="392"/>
      <c r="Q155" s="392"/>
      <c r="R155" s="392"/>
      <c r="S155" s="409"/>
      <c r="T155" s="409"/>
      <c r="U155" s="409"/>
      <c r="V155" s="409"/>
      <c r="W155" s="392"/>
      <c r="X155" s="392"/>
      <c r="Y155" s="409"/>
      <c r="Z155" s="409"/>
      <c r="AA155" s="392"/>
      <c r="AB155" s="392"/>
      <c r="AC155" s="392"/>
      <c r="AD155" s="409"/>
      <c r="AE155" s="409"/>
      <c r="AF155" s="409"/>
      <c r="AG155" s="409"/>
      <c r="AH155" s="409"/>
      <c r="AI155" s="409"/>
      <c r="AJ155" s="409"/>
      <c r="AK155" s="409"/>
      <c r="AL155" s="409"/>
      <c r="AM155" s="409"/>
      <c r="AN155" s="409"/>
      <c r="AO155" s="409"/>
      <c r="AP155" s="409"/>
      <c r="AQ155" s="409"/>
      <c r="AR155" s="409"/>
      <c r="AS155" s="409"/>
      <c r="AT155" s="409"/>
      <c r="AU155" s="409"/>
      <c r="AV155" s="409"/>
      <c r="AW155" s="409"/>
      <c r="AX155" s="409"/>
      <c r="AY155" s="409"/>
      <c r="AZ155" s="409"/>
      <c r="BA155" s="409"/>
      <c r="BB155" s="409"/>
      <c r="BC155" s="409"/>
      <c r="BD155" s="407"/>
      <c r="BE155" s="444"/>
      <c r="BF155" s="444"/>
      <c r="BG155" s="444"/>
      <c r="BH155" s="444"/>
      <c r="BI155" s="444"/>
      <c r="BJ155" s="444"/>
      <c r="BK155" s="444"/>
      <c r="BL155" s="444"/>
      <c r="BM155" s="444"/>
      <c r="BN155" s="444"/>
      <c r="BO155" s="444"/>
      <c r="BP155" s="444"/>
      <c r="BQ155" s="444"/>
      <c r="BR155" s="444"/>
      <c r="BS155" s="444"/>
      <c r="BT155" s="444"/>
    </row>
    <row r="156" spans="1:72" ht="15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409"/>
      <c r="T156" s="409"/>
      <c r="U156" s="409"/>
      <c r="V156" s="409"/>
      <c r="W156" s="392"/>
      <c r="X156" s="392"/>
      <c r="Y156" s="409"/>
      <c r="Z156" s="409"/>
      <c r="AA156" s="392"/>
      <c r="AB156" s="392"/>
      <c r="AC156" s="392"/>
      <c r="AD156" s="409"/>
      <c r="AE156" s="409"/>
      <c r="AF156" s="409"/>
      <c r="AG156" s="409"/>
      <c r="AH156" s="409"/>
      <c r="AI156" s="409"/>
      <c r="AJ156" s="409"/>
      <c r="AK156" s="409"/>
      <c r="AL156" s="409"/>
      <c r="AM156" s="409"/>
      <c r="AN156" s="409"/>
      <c r="AO156" s="409"/>
      <c r="AP156" s="409"/>
      <c r="AQ156" s="409"/>
      <c r="AR156" s="409"/>
      <c r="AS156" s="409"/>
      <c r="AT156" s="409"/>
      <c r="AU156" s="409"/>
      <c r="AV156" s="409"/>
      <c r="AW156" s="409"/>
      <c r="AX156" s="409"/>
      <c r="AY156" s="409"/>
      <c r="AZ156" s="409"/>
      <c r="BA156" s="409"/>
      <c r="BB156" s="409"/>
      <c r="BC156" s="409"/>
      <c r="BD156" s="407"/>
      <c r="BE156" s="444"/>
      <c r="BF156" s="444"/>
      <c r="BG156" s="444"/>
      <c r="BH156" s="444"/>
      <c r="BI156" s="444"/>
      <c r="BJ156" s="444"/>
      <c r="BK156" s="444"/>
      <c r="BL156" s="444"/>
      <c r="BM156" s="444"/>
      <c r="BN156" s="444"/>
      <c r="BO156" s="444"/>
      <c r="BP156" s="444"/>
      <c r="BQ156" s="444"/>
      <c r="BR156" s="444"/>
      <c r="BS156" s="444"/>
      <c r="BT156" s="444"/>
    </row>
    <row r="157" spans="1:72" ht="15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409"/>
      <c r="T157" s="409"/>
      <c r="U157" s="409"/>
      <c r="V157" s="409"/>
      <c r="W157" s="392"/>
      <c r="X157" s="392"/>
      <c r="Y157" s="409"/>
      <c r="Z157" s="409"/>
      <c r="AA157" s="392"/>
      <c r="AB157" s="392"/>
      <c r="AC157" s="392"/>
      <c r="AD157" s="409"/>
      <c r="AE157" s="409"/>
      <c r="AF157" s="409"/>
      <c r="AG157" s="409"/>
      <c r="AH157" s="409"/>
      <c r="AI157" s="409"/>
      <c r="AJ157" s="409"/>
      <c r="AK157" s="409"/>
      <c r="AL157" s="409"/>
      <c r="AM157" s="409"/>
      <c r="AN157" s="409"/>
      <c r="AO157" s="409"/>
      <c r="AP157" s="409"/>
      <c r="AQ157" s="409"/>
      <c r="AR157" s="409"/>
      <c r="AS157" s="409"/>
      <c r="AT157" s="409"/>
      <c r="AU157" s="409"/>
      <c r="AV157" s="409"/>
      <c r="AW157" s="409"/>
      <c r="AX157" s="409"/>
      <c r="AY157" s="409"/>
      <c r="AZ157" s="409"/>
      <c r="BA157" s="409"/>
      <c r="BB157" s="409"/>
      <c r="BC157" s="409"/>
      <c r="BD157" s="407"/>
      <c r="BE157" s="444"/>
      <c r="BF157" s="444"/>
      <c r="BG157" s="444"/>
      <c r="BH157" s="444"/>
      <c r="BI157" s="444"/>
      <c r="BJ157" s="444"/>
      <c r="BK157" s="444"/>
      <c r="BL157" s="444"/>
      <c r="BM157" s="444"/>
      <c r="BN157" s="444"/>
      <c r="BO157" s="444"/>
      <c r="BP157" s="444"/>
      <c r="BQ157" s="444"/>
      <c r="BR157" s="444"/>
      <c r="BS157" s="444"/>
      <c r="BT157" s="444"/>
    </row>
    <row r="158" spans="1:72" ht="15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  <c r="Q158" s="392"/>
      <c r="R158" s="392"/>
      <c r="S158" s="409"/>
      <c r="T158" s="409"/>
      <c r="U158" s="409"/>
      <c r="V158" s="409"/>
      <c r="W158" s="392"/>
      <c r="X158" s="392"/>
      <c r="Y158" s="409"/>
      <c r="Z158" s="409"/>
      <c r="AA158" s="392"/>
      <c r="AB158" s="392"/>
      <c r="AC158" s="392"/>
      <c r="AD158" s="409"/>
      <c r="AE158" s="409"/>
      <c r="AF158" s="409"/>
      <c r="AG158" s="409"/>
      <c r="AH158" s="409"/>
      <c r="AI158" s="409"/>
      <c r="AJ158" s="409"/>
      <c r="AK158" s="409"/>
      <c r="AL158" s="409"/>
      <c r="AM158" s="409"/>
      <c r="AN158" s="409"/>
      <c r="AO158" s="409"/>
      <c r="AP158" s="409"/>
      <c r="AQ158" s="409"/>
      <c r="AR158" s="409"/>
      <c r="AS158" s="409"/>
      <c r="AT158" s="409"/>
      <c r="AU158" s="409"/>
      <c r="AV158" s="409"/>
      <c r="AW158" s="409"/>
      <c r="AX158" s="409"/>
      <c r="AY158" s="409"/>
      <c r="AZ158" s="409"/>
      <c r="BA158" s="409"/>
      <c r="BB158" s="409"/>
      <c r="BC158" s="409"/>
      <c r="BD158" s="407"/>
      <c r="BE158" s="444"/>
      <c r="BF158" s="444"/>
      <c r="BG158" s="444"/>
      <c r="BH158" s="444"/>
      <c r="BI158" s="444"/>
      <c r="BJ158" s="444"/>
      <c r="BK158" s="444"/>
      <c r="BL158" s="444"/>
      <c r="BM158" s="444"/>
      <c r="BN158" s="444"/>
      <c r="BO158" s="444"/>
      <c r="BP158" s="444"/>
      <c r="BQ158" s="444"/>
      <c r="BR158" s="444"/>
      <c r="BS158" s="444"/>
      <c r="BT158" s="444"/>
    </row>
    <row r="159" spans="1:72" ht="15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2"/>
      <c r="L159" s="392"/>
      <c r="M159" s="392"/>
      <c r="N159" s="392"/>
      <c r="O159" s="392"/>
      <c r="P159" s="392"/>
      <c r="Q159" s="392"/>
      <c r="R159" s="392"/>
      <c r="S159" s="409"/>
      <c r="T159" s="409"/>
      <c r="U159" s="409"/>
      <c r="V159" s="409"/>
      <c r="W159" s="392"/>
      <c r="X159" s="392"/>
      <c r="Y159" s="409"/>
      <c r="Z159" s="409"/>
      <c r="AA159" s="392"/>
      <c r="AB159" s="392"/>
      <c r="AC159" s="392"/>
      <c r="AD159" s="409"/>
      <c r="AE159" s="409"/>
      <c r="AF159" s="409"/>
      <c r="AG159" s="409"/>
      <c r="AH159" s="409"/>
      <c r="AI159" s="409"/>
      <c r="AJ159" s="409"/>
      <c r="AK159" s="409"/>
      <c r="AL159" s="409"/>
      <c r="AM159" s="409"/>
      <c r="AN159" s="409"/>
      <c r="AO159" s="409"/>
      <c r="AP159" s="409"/>
      <c r="AQ159" s="409"/>
      <c r="AR159" s="409"/>
      <c r="AS159" s="409"/>
      <c r="AT159" s="409"/>
      <c r="AU159" s="409"/>
      <c r="AV159" s="409"/>
      <c r="AW159" s="409"/>
      <c r="AX159" s="409"/>
      <c r="AY159" s="409"/>
      <c r="AZ159" s="409"/>
      <c r="BA159" s="409"/>
      <c r="BB159" s="409"/>
      <c r="BC159" s="409"/>
      <c r="BD159" s="407"/>
      <c r="BE159" s="444"/>
      <c r="BF159" s="444"/>
      <c r="BG159" s="444"/>
      <c r="BH159" s="444"/>
      <c r="BI159" s="444"/>
      <c r="BJ159" s="444"/>
      <c r="BK159" s="444"/>
      <c r="BL159" s="444"/>
      <c r="BM159" s="444"/>
      <c r="BN159" s="444"/>
      <c r="BO159" s="444"/>
      <c r="BP159" s="444"/>
      <c r="BQ159" s="444"/>
      <c r="BR159" s="444"/>
      <c r="BS159" s="444"/>
      <c r="BT159" s="444"/>
    </row>
    <row r="160" spans="1:72" ht="15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2"/>
      <c r="L160" s="392"/>
      <c r="M160" s="392"/>
      <c r="N160" s="392"/>
      <c r="O160" s="392"/>
      <c r="P160" s="392"/>
      <c r="Q160" s="392"/>
      <c r="R160" s="392"/>
      <c r="S160" s="409"/>
      <c r="T160" s="409"/>
      <c r="U160" s="409"/>
      <c r="V160" s="409"/>
      <c r="W160" s="392"/>
      <c r="X160" s="392"/>
      <c r="Y160" s="409"/>
      <c r="Z160" s="409"/>
      <c r="AA160" s="392"/>
      <c r="AB160" s="392"/>
      <c r="AC160" s="392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7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</row>
    <row r="161" spans="1:72" ht="15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  <c r="Q161" s="392"/>
      <c r="R161" s="392"/>
      <c r="S161" s="409"/>
      <c r="T161" s="409"/>
      <c r="U161" s="409"/>
      <c r="V161" s="409"/>
      <c r="W161" s="392"/>
      <c r="X161" s="392"/>
      <c r="Y161" s="409"/>
      <c r="Z161" s="409"/>
      <c r="AA161" s="392"/>
      <c r="AB161" s="392"/>
      <c r="AC161" s="392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7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</row>
    <row r="162" spans="1:72" ht="15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2"/>
      <c r="L162" s="392"/>
      <c r="M162" s="392"/>
      <c r="N162" s="392"/>
      <c r="O162" s="392"/>
      <c r="P162" s="392"/>
      <c r="Q162" s="392"/>
      <c r="R162" s="392"/>
      <c r="S162" s="409"/>
      <c r="T162" s="409"/>
      <c r="U162" s="409"/>
      <c r="V162" s="409"/>
      <c r="W162" s="392"/>
      <c r="X162" s="392"/>
      <c r="Y162" s="409"/>
      <c r="Z162" s="409"/>
      <c r="AA162" s="392"/>
      <c r="AB162" s="392"/>
      <c r="AC162" s="392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7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</row>
    <row r="163" spans="1:72" ht="15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2"/>
      <c r="L163" s="392"/>
      <c r="M163" s="392"/>
      <c r="N163" s="392"/>
      <c r="O163" s="392"/>
      <c r="P163" s="392"/>
      <c r="Q163" s="392"/>
      <c r="R163" s="392"/>
      <c r="S163" s="409"/>
      <c r="T163" s="409"/>
      <c r="U163" s="409"/>
      <c r="V163" s="409"/>
      <c r="W163" s="392"/>
      <c r="X163" s="392"/>
      <c r="Y163" s="409"/>
      <c r="Z163" s="409"/>
      <c r="AA163" s="392"/>
      <c r="AB163" s="392"/>
      <c r="AC163" s="392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7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</row>
    <row r="164" spans="1:72" ht="15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2"/>
      <c r="L164" s="392"/>
      <c r="M164" s="392"/>
      <c r="N164" s="392"/>
      <c r="O164" s="392"/>
      <c r="P164" s="392"/>
      <c r="Q164" s="392"/>
      <c r="R164" s="392"/>
      <c r="S164" s="409"/>
      <c r="T164" s="409"/>
      <c r="U164" s="409"/>
      <c r="V164" s="409"/>
      <c r="W164" s="392"/>
      <c r="X164" s="392"/>
      <c r="Y164" s="409"/>
      <c r="Z164" s="409"/>
      <c r="AA164" s="392"/>
      <c r="AB164" s="392"/>
      <c r="AC164" s="392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7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</row>
    <row r="165" spans="1:72" ht="1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2"/>
      <c r="L165" s="392"/>
      <c r="M165" s="392"/>
      <c r="N165" s="392"/>
      <c r="O165" s="392"/>
      <c r="P165" s="392"/>
      <c r="Q165" s="392"/>
      <c r="R165" s="392"/>
      <c r="S165" s="409"/>
      <c r="T165" s="409"/>
      <c r="U165" s="409"/>
      <c r="V165" s="409"/>
      <c r="W165" s="392"/>
      <c r="X165" s="392"/>
      <c r="Y165" s="409"/>
      <c r="Z165" s="409"/>
      <c r="AA165" s="392"/>
      <c r="AB165" s="392"/>
      <c r="AC165" s="392"/>
      <c r="AD165" s="409"/>
      <c r="AE165" s="409"/>
      <c r="AF165" s="409"/>
      <c r="AG165" s="409"/>
      <c r="AH165" s="409"/>
      <c r="AI165" s="409"/>
      <c r="AJ165" s="409"/>
      <c r="AK165" s="409"/>
      <c r="AL165" s="409"/>
      <c r="AM165" s="409"/>
      <c r="AN165" s="409"/>
      <c r="AO165" s="409"/>
      <c r="AP165" s="409"/>
      <c r="AQ165" s="409"/>
      <c r="AR165" s="409"/>
      <c r="AS165" s="409"/>
      <c r="AT165" s="409"/>
      <c r="AU165" s="409"/>
      <c r="AV165" s="409"/>
      <c r="AW165" s="409"/>
      <c r="AX165" s="409"/>
      <c r="AY165" s="409"/>
      <c r="AZ165" s="409"/>
      <c r="BA165" s="409"/>
      <c r="BB165" s="409"/>
      <c r="BC165" s="409"/>
      <c r="BD165" s="407"/>
      <c r="BE165" s="444"/>
      <c r="BF165" s="444"/>
      <c r="BG165" s="444"/>
      <c r="BH165" s="444"/>
      <c r="BI165" s="444"/>
      <c r="BJ165" s="444"/>
      <c r="BK165" s="444"/>
      <c r="BL165" s="444"/>
      <c r="BM165" s="444"/>
      <c r="BN165" s="444"/>
      <c r="BO165" s="444"/>
      <c r="BP165" s="444"/>
      <c r="BQ165" s="444"/>
      <c r="BR165" s="444"/>
      <c r="BS165" s="444"/>
      <c r="BT165" s="444"/>
    </row>
    <row r="166" spans="1:72" ht="15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  <c r="L166" s="392"/>
      <c r="M166" s="392"/>
      <c r="N166" s="392"/>
      <c r="O166" s="392"/>
      <c r="P166" s="392"/>
      <c r="Q166" s="392"/>
      <c r="R166" s="392"/>
      <c r="S166" s="409"/>
      <c r="T166" s="409"/>
      <c r="U166" s="409"/>
      <c r="V166" s="409"/>
      <c r="W166" s="392"/>
      <c r="X166" s="392"/>
      <c r="Y166" s="409"/>
      <c r="Z166" s="409"/>
      <c r="AA166" s="392"/>
      <c r="AB166" s="392"/>
      <c r="AC166" s="392"/>
      <c r="AD166" s="409"/>
      <c r="AE166" s="409"/>
      <c r="AF166" s="409"/>
      <c r="AG166" s="409"/>
      <c r="AH166" s="409"/>
      <c r="AI166" s="409"/>
      <c r="AJ166" s="409"/>
      <c r="AK166" s="409"/>
      <c r="AL166" s="409"/>
      <c r="AM166" s="409"/>
      <c r="AN166" s="409"/>
      <c r="AO166" s="409"/>
      <c r="AP166" s="409"/>
      <c r="AQ166" s="409"/>
      <c r="AR166" s="409"/>
      <c r="AS166" s="409"/>
      <c r="AT166" s="409"/>
      <c r="AU166" s="409"/>
      <c r="AV166" s="409"/>
      <c r="AW166" s="409"/>
      <c r="AX166" s="409"/>
      <c r="AY166" s="409"/>
      <c r="AZ166" s="409"/>
      <c r="BA166" s="409"/>
      <c r="BB166" s="409"/>
      <c r="BC166" s="409"/>
      <c r="BD166" s="407"/>
      <c r="BE166" s="444"/>
      <c r="BF166" s="444"/>
      <c r="BG166" s="444"/>
      <c r="BH166" s="444"/>
      <c r="BI166" s="444"/>
      <c r="BJ166" s="444"/>
      <c r="BK166" s="444"/>
      <c r="BL166" s="444"/>
      <c r="BM166" s="444"/>
      <c r="BN166" s="444"/>
      <c r="BO166" s="444"/>
      <c r="BP166" s="444"/>
      <c r="BQ166" s="444"/>
      <c r="BR166" s="444"/>
      <c r="BS166" s="444"/>
      <c r="BT166" s="444"/>
    </row>
    <row r="167" spans="1:72" ht="15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2"/>
      <c r="M167" s="392"/>
      <c r="N167" s="392"/>
      <c r="O167" s="392"/>
      <c r="P167" s="392"/>
      <c r="Q167" s="392"/>
      <c r="R167" s="392"/>
      <c r="S167" s="409"/>
      <c r="T167" s="409"/>
      <c r="U167" s="409"/>
      <c r="V167" s="409"/>
      <c r="W167" s="392"/>
      <c r="X167" s="392"/>
      <c r="Y167" s="409"/>
      <c r="Z167" s="409"/>
      <c r="AA167" s="392"/>
      <c r="AB167" s="392"/>
      <c r="AC167" s="392"/>
      <c r="AD167" s="409"/>
      <c r="AE167" s="409"/>
      <c r="AF167" s="409"/>
      <c r="AG167" s="409"/>
      <c r="AH167" s="409"/>
      <c r="AI167" s="409"/>
      <c r="AJ167" s="409"/>
      <c r="AK167" s="409"/>
      <c r="AL167" s="409"/>
      <c r="AM167" s="409"/>
      <c r="AN167" s="409"/>
      <c r="AO167" s="409"/>
      <c r="AP167" s="409"/>
      <c r="AQ167" s="409"/>
      <c r="AR167" s="409"/>
      <c r="AS167" s="409"/>
      <c r="AT167" s="409"/>
      <c r="AU167" s="409"/>
      <c r="AV167" s="409"/>
      <c r="AW167" s="409"/>
      <c r="AX167" s="409"/>
      <c r="AY167" s="409"/>
      <c r="AZ167" s="409"/>
      <c r="BA167" s="409"/>
      <c r="BB167" s="409"/>
      <c r="BC167" s="409"/>
      <c r="BD167" s="407"/>
      <c r="BE167" s="444"/>
      <c r="BF167" s="444"/>
      <c r="BG167" s="444"/>
      <c r="BH167" s="444"/>
      <c r="BI167" s="444"/>
      <c r="BJ167" s="444"/>
      <c r="BK167" s="444"/>
      <c r="BL167" s="444"/>
      <c r="BM167" s="444"/>
      <c r="BN167" s="444"/>
      <c r="BO167" s="444"/>
      <c r="BP167" s="444"/>
      <c r="BQ167" s="444"/>
      <c r="BR167" s="444"/>
      <c r="BS167" s="444"/>
      <c r="BT167" s="444"/>
    </row>
    <row r="168" spans="1:72" ht="15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2"/>
      <c r="L168" s="392"/>
      <c r="M168" s="392"/>
      <c r="N168" s="392"/>
      <c r="O168" s="392"/>
      <c r="P168" s="392"/>
      <c r="Q168" s="392"/>
      <c r="R168" s="392"/>
      <c r="S168" s="409"/>
      <c r="T168" s="409"/>
      <c r="U168" s="409"/>
      <c r="V168" s="409"/>
      <c r="W168" s="392"/>
      <c r="X168" s="392"/>
      <c r="Y168" s="409"/>
      <c r="Z168" s="409"/>
      <c r="AA168" s="392"/>
      <c r="AB168" s="392"/>
      <c r="AC168" s="392"/>
      <c r="AD168" s="409"/>
      <c r="AE168" s="409"/>
      <c r="AF168" s="409"/>
      <c r="AG168" s="409"/>
      <c r="AH168" s="409"/>
      <c r="AI168" s="409"/>
      <c r="AJ168" s="409"/>
      <c r="AK168" s="409"/>
      <c r="AL168" s="409"/>
      <c r="AM168" s="409"/>
      <c r="AN168" s="409"/>
      <c r="AO168" s="409"/>
      <c r="AP168" s="409"/>
      <c r="AQ168" s="409"/>
      <c r="AR168" s="409"/>
      <c r="AS168" s="409"/>
      <c r="AT168" s="409"/>
      <c r="AU168" s="409"/>
      <c r="AV168" s="409"/>
      <c r="AW168" s="409"/>
      <c r="AX168" s="409"/>
      <c r="AY168" s="409"/>
      <c r="AZ168" s="409"/>
      <c r="BA168" s="409"/>
      <c r="BB168" s="409"/>
      <c r="BC168" s="409"/>
      <c r="BD168" s="407"/>
      <c r="BE168" s="444"/>
      <c r="BF168" s="444"/>
      <c r="BG168" s="444"/>
      <c r="BH168" s="444"/>
      <c r="BI168" s="444"/>
      <c r="BJ168" s="444"/>
      <c r="BK168" s="444"/>
      <c r="BL168" s="444"/>
      <c r="BM168" s="444"/>
      <c r="BN168" s="444"/>
      <c r="BO168" s="444"/>
      <c r="BP168" s="444"/>
      <c r="BQ168" s="444"/>
      <c r="BR168" s="444"/>
      <c r="BS168" s="444"/>
      <c r="BT168" s="444"/>
    </row>
    <row r="169" spans="1:72" ht="15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2"/>
      <c r="L169" s="392"/>
      <c r="M169" s="392"/>
      <c r="N169" s="392"/>
      <c r="O169" s="392"/>
      <c r="P169" s="392"/>
      <c r="Q169" s="392"/>
      <c r="R169" s="392"/>
      <c r="S169" s="409"/>
      <c r="T169" s="409"/>
      <c r="U169" s="409"/>
      <c r="V169" s="409"/>
      <c r="W169" s="392"/>
      <c r="X169" s="392"/>
      <c r="Y169" s="409"/>
      <c r="Z169" s="409"/>
      <c r="AA169" s="392"/>
      <c r="AB169" s="392"/>
      <c r="AC169" s="392"/>
      <c r="AD169" s="409"/>
      <c r="AE169" s="409"/>
      <c r="AF169" s="409"/>
      <c r="AG169" s="409"/>
      <c r="AH169" s="409"/>
      <c r="AI169" s="409"/>
      <c r="AJ169" s="409"/>
      <c r="AK169" s="409"/>
      <c r="AL169" s="409"/>
      <c r="AM169" s="409"/>
      <c r="AN169" s="409"/>
      <c r="AO169" s="409"/>
      <c r="AP169" s="409"/>
      <c r="AQ169" s="409"/>
      <c r="AR169" s="409"/>
      <c r="AS169" s="409"/>
      <c r="AT169" s="409"/>
      <c r="AU169" s="409"/>
      <c r="AV169" s="409"/>
      <c r="AW169" s="409"/>
      <c r="AX169" s="409"/>
      <c r="AY169" s="409"/>
      <c r="AZ169" s="409"/>
      <c r="BA169" s="409"/>
      <c r="BB169" s="409"/>
      <c r="BC169" s="409"/>
      <c r="BD169" s="407"/>
      <c r="BE169" s="444"/>
      <c r="BF169" s="444"/>
      <c r="BG169" s="444"/>
      <c r="BH169" s="444"/>
      <c r="BI169" s="444"/>
      <c r="BJ169" s="444"/>
      <c r="BK169" s="444"/>
      <c r="BL169" s="444"/>
      <c r="BM169" s="444"/>
      <c r="BN169" s="444"/>
      <c r="BO169" s="444"/>
      <c r="BP169" s="444"/>
      <c r="BQ169" s="444"/>
      <c r="BR169" s="444"/>
      <c r="BS169" s="444"/>
      <c r="BT169" s="444"/>
    </row>
    <row r="170" spans="1:72" ht="15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2"/>
      <c r="L170" s="392"/>
      <c r="M170" s="392"/>
      <c r="N170" s="392"/>
      <c r="O170" s="392"/>
      <c r="P170" s="392"/>
      <c r="Q170" s="392"/>
      <c r="R170" s="392"/>
      <c r="S170" s="409"/>
      <c r="T170" s="409"/>
      <c r="U170" s="409"/>
      <c r="V170" s="409"/>
      <c r="W170" s="392"/>
      <c r="X170" s="392"/>
      <c r="Y170" s="409"/>
      <c r="Z170" s="409"/>
      <c r="AA170" s="392"/>
      <c r="AB170" s="392"/>
      <c r="AC170" s="392"/>
      <c r="AD170" s="409"/>
      <c r="AE170" s="409"/>
      <c r="AF170" s="409"/>
      <c r="AG170" s="409"/>
      <c r="AH170" s="409"/>
      <c r="AI170" s="409"/>
      <c r="AJ170" s="409"/>
      <c r="AK170" s="409"/>
      <c r="AL170" s="409"/>
      <c r="AM170" s="409"/>
      <c r="AN170" s="409"/>
      <c r="AO170" s="409"/>
      <c r="AP170" s="409"/>
      <c r="AQ170" s="409"/>
      <c r="AR170" s="409"/>
      <c r="AS170" s="409"/>
      <c r="AT170" s="409"/>
      <c r="AU170" s="409"/>
      <c r="AV170" s="409"/>
      <c r="AW170" s="409"/>
      <c r="AX170" s="409"/>
      <c r="AY170" s="409"/>
      <c r="AZ170" s="409"/>
      <c r="BA170" s="409"/>
      <c r="BB170" s="409"/>
      <c r="BC170" s="409"/>
      <c r="BD170" s="407"/>
      <c r="BE170" s="444"/>
      <c r="BF170" s="444"/>
      <c r="BG170" s="444"/>
      <c r="BH170" s="444"/>
      <c r="BI170" s="444"/>
      <c r="BJ170" s="444"/>
      <c r="BK170" s="444"/>
      <c r="BL170" s="444"/>
      <c r="BM170" s="444"/>
      <c r="BN170" s="444"/>
      <c r="BO170" s="444"/>
      <c r="BP170" s="444"/>
      <c r="BQ170" s="444"/>
      <c r="BR170" s="444"/>
      <c r="BS170" s="444"/>
      <c r="BT170" s="444"/>
    </row>
    <row r="171" spans="1:72" ht="15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2"/>
      <c r="L171" s="392"/>
      <c r="M171" s="392"/>
      <c r="N171" s="392"/>
      <c r="O171" s="392"/>
      <c r="P171" s="392"/>
      <c r="Q171" s="392"/>
      <c r="R171" s="392"/>
      <c r="S171" s="409"/>
      <c r="T171" s="409"/>
      <c r="U171" s="409"/>
      <c r="V171" s="409"/>
      <c r="W171" s="392"/>
      <c r="X171" s="392"/>
      <c r="Y171" s="409"/>
      <c r="Z171" s="409"/>
      <c r="AA171" s="392"/>
      <c r="AB171" s="392"/>
      <c r="AC171" s="392"/>
      <c r="AD171" s="409"/>
      <c r="AE171" s="409"/>
      <c r="AF171" s="409"/>
      <c r="AG171" s="409"/>
      <c r="AH171" s="409"/>
      <c r="AI171" s="409"/>
      <c r="AJ171" s="409"/>
      <c r="AK171" s="409"/>
      <c r="AL171" s="409"/>
      <c r="AM171" s="409"/>
      <c r="AN171" s="409"/>
      <c r="AO171" s="409"/>
      <c r="AP171" s="409"/>
      <c r="AQ171" s="409"/>
      <c r="AR171" s="409"/>
      <c r="AS171" s="409"/>
      <c r="AT171" s="409"/>
      <c r="AU171" s="409"/>
      <c r="AV171" s="409"/>
      <c r="AW171" s="409"/>
      <c r="AX171" s="409"/>
      <c r="AY171" s="409"/>
      <c r="AZ171" s="409"/>
      <c r="BA171" s="409"/>
      <c r="BB171" s="409"/>
      <c r="BC171" s="409"/>
      <c r="BD171" s="407"/>
      <c r="BE171" s="444"/>
      <c r="BF171" s="444"/>
      <c r="BG171" s="444"/>
      <c r="BH171" s="444"/>
      <c r="BI171" s="444"/>
      <c r="BJ171" s="444"/>
      <c r="BK171" s="444"/>
      <c r="BL171" s="444"/>
      <c r="BM171" s="444"/>
      <c r="BN171" s="444"/>
      <c r="BO171" s="444"/>
      <c r="BP171" s="444"/>
      <c r="BQ171" s="444"/>
      <c r="BR171" s="444"/>
      <c r="BS171" s="444"/>
      <c r="BT171" s="444"/>
    </row>
    <row r="172" spans="1:72" ht="15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2"/>
      <c r="L172" s="392"/>
      <c r="M172" s="392"/>
      <c r="N172" s="392"/>
      <c r="O172" s="392"/>
      <c r="P172" s="392"/>
      <c r="Q172" s="392"/>
      <c r="R172" s="392"/>
      <c r="S172" s="409"/>
      <c r="T172" s="409"/>
      <c r="U172" s="409"/>
      <c r="V172" s="409"/>
      <c r="W172" s="392"/>
      <c r="X172" s="392"/>
      <c r="Y172" s="409"/>
      <c r="Z172" s="409"/>
      <c r="AA172" s="392"/>
      <c r="AB172" s="392"/>
      <c r="AC172" s="392"/>
      <c r="AD172" s="409"/>
      <c r="AE172" s="409"/>
      <c r="AF172" s="409"/>
      <c r="AG172" s="409"/>
      <c r="AH172" s="409"/>
      <c r="AI172" s="409"/>
      <c r="AJ172" s="409"/>
      <c r="AK172" s="409"/>
      <c r="AL172" s="409"/>
      <c r="AM172" s="409"/>
      <c r="AN172" s="409"/>
      <c r="AO172" s="409"/>
      <c r="AP172" s="409"/>
      <c r="AQ172" s="409"/>
      <c r="AR172" s="409"/>
      <c r="AS172" s="409"/>
      <c r="AT172" s="409"/>
      <c r="AU172" s="409"/>
      <c r="AV172" s="409"/>
      <c r="AW172" s="409"/>
      <c r="AX172" s="409"/>
      <c r="AY172" s="409"/>
      <c r="AZ172" s="409"/>
      <c r="BA172" s="409"/>
      <c r="BB172" s="409"/>
      <c r="BC172" s="409"/>
      <c r="BD172" s="407"/>
      <c r="BE172" s="444"/>
      <c r="BF172" s="444"/>
      <c r="BG172" s="444"/>
      <c r="BH172" s="444"/>
      <c r="BI172" s="444"/>
      <c r="BJ172" s="444"/>
      <c r="BK172" s="444"/>
      <c r="BL172" s="444"/>
      <c r="BM172" s="444"/>
      <c r="BN172" s="444"/>
      <c r="BO172" s="444"/>
      <c r="BP172" s="444"/>
      <c r="BQ172" s="444"/>
      <c r="BR172" s="444"/>
      <c r="BS172" s="444"/>
      <c r="BT172" s="444"/>
    </row>
    <row r="173" spans="1:72" ht="15">
      <c r="A173" s="392"/>
      <c r="B173" s="392"/>
      <c r="C173" s="392"/>
      <c r="D173" s="392"/>
      <c r="E173" s="392"/>
      <c r="F173" s="392"/>
      <c r="G173" s="392"/>
      <c r="H173" s="392"/>
      <c r="I173" s="392"/>
      <c r="J173" s="392"/>
      <c r="K173" s="392"/>
      <c r="L173" s="392"/>
      <c r="M173" s="392"/>
      <c r="N173" s="392"/>
      <c r="O173" s="392"/>
      <c r="P173" s="392"/>
      <c r="Q173" s="392"/>
      <c r="R173" s="392"/>
      <c r="S173" s="409"/>
      <c r="T173" s="409"/>
      <c r="U173" s="409"/>
      <c r="V173" s="409"/>
      <c r="W173" s="392"/>
      <c r="X173" s="392"/>
      <c r="Y173" s="409"/>
      <c r="Z173" s="409"/>
      <c r="AA173" s="392"/>
      <c r="AB173" s="392"/>
      <c r="AC173" s="392"/>
      <c r="AD173" s="409"/>
      <c r="AE173" s="409"/>
      <c r="AF173" s="409"/>
      <c r="AG173" s="409"/>
      <c r="AH173" s="409"/>
      <c r="AI173" s="409"/>
      <c r="AJ173" s="409"/>
      <c r="AK173" s="409"/>
      <c r="AL173" s="409"/>
      <c r="AM173" s="409"/>
      <c r="AN173" s="409"/>
      <c r="AO173" s="409"/>
      <c r="AP173" s="409"/>
      <c r="AQ173" s="409"/>
      <c r="AR173" s="409"/>
      <c r="AS173" s="409"/>
      <c r="AT173" s="409"/>
      <c r="AU173" s="409"/>
      <c r="AV173" s="409"/>
      <c r="AW173" s="409"/>
      <c r="AX173" s="409"/>
      <c r="AY173" s="409"/>
      <c r="AZ173" s="409"/>
      <c r="BA173" s="409"/>
      <c r="BB173" s="409"/>
      <c r="BC173" s="409"/>
      <c r="BD173" s="407"/>
      <c r="BE173" s="444"/>
      <c r="BF173" s="444"/>
      <c r="BG173" s="444"/>
      <c r="BH173" s="444"/>
      <c r="BI173" s="444"/>
      <c r="BJ173" s="444"/>
      <c r="BK173" s="444"/>
      <c r="BL173" s="444"/>
      <c r="BM173" s="444"/>
      <c r="BN173" s="444"/>
      <c r="BO173" s="444"/>
      <c r="BP173" s="444"/>
      <c r="BQ173" s="444"/>
      <c r="BR173" s="444"/>
      <c r="BS173" s="444"/>
      <c r="BT173" s="444"/>
    </row>
    <row r="174" spans="1:72" ht="15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  <c r="L174" s="392"/>
      <c r="M174" s="392"/>
      <c r="N174" s="392"/>
      <c r="O174" s="392"/>
      <c r="P174" s="392"/>
      <c r="Q174" s="392"/>
      <c r="R174" s="392"/>
      <c r="S174" s="409"/>
      <c r="T174" s="409"/>
      <c r="U174" s="409"/>
      <c r="V174" s="409"/>
      <c r="W174" s="392"/>
      <c r="X174" s="392"/>
      <c r="Y174" s="409"/>
      <c r="Z174" s="409"/>
      <c r="AA174" s="392"/>
      <c r="AB174" s="392"/>
      <c r="AC174" s="392"/>
      <c r="AD174" s="409"/>
      <c r="AE174" s="409"/>
      <c r="AF174" s="409"/>
      <c r="AG174" s="409"/>
      <c r="AH174" s="409"/>
      <c r="AI174" s="409"/>
      <c r="AJ174" s="409"/>
      <c r="AK174" s="409"/>
      <c r="AL174" s="409"/>
      <c r="AM174" s="409"/>
      <c r="AN174" s="409"/>
      <c r="AO174" s="409"/>
      <c r="AP174" s="409"/>
      <c r="AQ174" s="409"/>
      <c r="AR174" s="409"/>
      <c r="AS174" s="409"/>
      <c r="AT174" s="409"/>
      <c r="AU174" s="409"/>
      <c r="AV174" s="409"/>
      <c r="AW174" s="409"/>
      <c r="AX174" s="409"/>
      <c r="AY174" s="409"/>
      <c r="AZ174" s="409"/>
      <c r="BA174" s="409"/>
      <c r="BB174" s="409"/>
      <c r="BC174" s="409"/>
      <c r="BD174" s="407"/>
      <c r="BE174" s="444"/>
      <c r="BF174" s="444"/>
      <c r="BG174" s="444"/>
      <c r="BH174" s="444"/>
      <c r="BI174" s="444"/>
      <c r="BJ174" s="444"/>
      <c r="BK174" s="444"/>
      <c r="BL174" s="444"/>
      <c r="BM174" s="444"/>
      <c r="BN174" s="444"/>
      <c r="BO174" s="444"/>
      <c r="BP174" s="444"/>
      <c r="BQ174" s="444"/>
      <c r="BR174" s="444"/>
      <c r="BS174" s="444"/>
      <c r="BT174" s="444"/>
    </row>
    <row r="175" spans="1:72" ht="1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  <c r="L175" s="392"/>
      <c r="M175" s="392"/>
      <c r="N175" s="392"/>
      <c r="O175" s="392"/>
      <c r="P175" s="392"/>
      <c r="Q175" s="392"/>
      <c r="R175" s="392"/>
      <c r="S175" s="409"/>
      <c r="T175" s="409"/>
      <c r="U175" s="409"/>
      <c r="V175" s="409"/>
      <c r="W175" s="392"/>
      <c r="X175" s="392"/>
      <c r="Y175" s="409"/>
      <c r="Z175" s="409"/>
      <c r="AA175" s="392"/>
      <c r="AB175" s="392"/>
      <c r="AC175" s="392"/>
      <c r="AD175" s="409"/>
      <c r="AE175" s="409"/>
      <c r="AF175" s="409"/>
      <c r="AG175" s="409"/>
      <c r="AH175" s="409"/>
      <c r="AI175" s="409"/>
      <c r="AJ175" s="409"/>
      <c r="AK175" s="409"/>
      <c r="AL175" s="409"/>
      <c r="AM175" s="409"/>
      <c r="AN175" s="409"/>
      <c r="AO175" s="409"/>
      <c r="AP175" s="409"/>
      <c r="AQ175" s="409"/>
      <c r="AR175" s="409"/>
      <c r="AS175" s="409"/>
      <c r="AT175" s="409"/>
      <c r="AU175" s="409"/>
      <c r="AV175" s="409"/>
      <c r="AW175" s="409"/>
      <c r="AX175" s="409"/>
      <c r="AY175" s="409"/>
      <c r="AZ175" s="409"/>
      <c r="BA175" s="409"/>
      <c r="BB175" s="409"/>
      <c r="BC175" s="409"/>
      <c r="BD175" s="407"/>
      <c r="BE175" s="444"/>
      <c r="BF175" s="444"/>
      <c r="BG175" s="444"/>
      <c r="BH175" s="444"/>
      <c r="BI175" s="444"/>
      <c r="BJ175" s="444"/>
      <c r="BK175" s="444"/>
      <c r="BL175" s="444"/>
      <c r="BM175" s="444"/>
      <c r="BN175" s="444"/>
      <c r="BO175" s="444"/>
      <c r="BP175" s="444"/>
      <c r="BQ175" s="444"/>
      <c r="BR175" s="444"/>
      <c r="BS175" s="444"/>
      <c r="BT175" s="444"/>
    </row>
    <row r="176" spans="1:72" ht="15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392"/>
      <c r="R176" s="392"/>
      <c r="S176" s="409"/>
      <c r="T176" s="409"/>
      <c r="U176" s="409"/>
      <c r="V176" s="409"/>
      <c r="W176" s="392"/>
      <c r="X176" s="392"/>
      <c r="Y176" s="409"/>
      <c r="Z176" s="409"/>
      <c r="AA176" s="392"/>
      <c r="AB176" s="392"/>
      <c r="AC176" s="392"/>
      <c r="AD176" s="409"/>
      <c r="AE176" s="409"/>
      <c r="AF176" s="409"/>
      <c r="AG176" s="409"/>
      <c r="AH176" s="409"/>
      <c r="AI176" s="409"/>
      <c r="AJ176" s="409"/>
      <c r="AK176" s="409"/>
      <c r="AL176" s="409"/>
      <c r="AM176" s="409"/>
      <c r="AN176" s="409"/>
      <c r="AO176" s="409"/>
      <c r="AP176" s="409"/>
      <c r="AQ176" s="409"/>
      <c r="AR176" s="409"/>
      <c r="AS176" s="409"/>
      <c r="AT176" s="409"/>
      <c r="AU176" s="409"/>
      <c r="AV176" s="409"/>
      <c r="AW176" s="409"/>
      <c r="AX176" s="409"/>
      <c r="AY176" s="409"/>
      <c r="AZ176" s="409"/>
      <c r="BA176" s="409"/>
      <c r="BB176" s="409"/>
      <c r="BC176" s="409"/>
      <c r="BD176" s="407"/>
      <c r="BE176" s="444"/>
      <c r="BF176" s="444"/>
      <c r="BG176" s="444"/>
      <c r="BH176" s="444"/>
      <c r="BI176" s="444"/>
      <c r="BJ176" s="444"/>
      <c r="BK176" s="444"/>
      <c r="BL176" s="444"/>
      <c r="BM176" s="444"/>
      <c r="BN176" s="444"/>
      <c r="BO176" s="444"/>
      <c r="BP176" s="444"/>
      <c r="BQ176" s="444"/>
      <c r="BR176" s="444"/>
      <c r="BS176" s="444"/>
      <c r="BT176" s="444"/>
    </row>
    <row r="177" spans="1:72" ht="15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2"/>
      <c r="L177" s="392"/>
      <c r="M177" s="392"/>
      <c r="N177" s="392"/>
      <c r="O177" s="392"/>
      <c r="P177" s="392"/>
      <c r="Q177" s="392"/>
      <c r="R177" s="392"/>
      <c r="S177" s="409"/>
      <c r="T177" s="409"/>
      <c r="U177" s="409"/>
      <c r="V177" s="409"/>
      <c r="W177" s="392"/>
      <c r="X177" s="392"/>
      <c r="Y177" s="409"/>
      <c r="Z177" s="409"/>
      <c r="AA177" s="392"/>
      <c r="AB177" s="392"/>
      <c r="AC177" s="392"/>
      <c r="AD177" s="409"/>
      <c r="AE177" s="409"/>
      <c r="AF177" s="409"/>
      <c r="AG177" s="409"/>
      <c r="AH177" s="409"/>
      <c r="AI177" s="409"/>
      <c r="AJ177" s="409"/>
      <c r="AK177" s="409"/>
      <c r="AL177" s="409"/>
      <c r="AM177" s="409"/>
      <c r="AN177" s="409"/>
      <c r="AO177" s="409"/>
      <c r="AP177" s="409"/>
      <c r="AQ177" s="409"/>
      <c r="AR177" s="409"/>
      <c r="AS177" s="409"/>
      <c r="AT177" s="409"/>
      <c r="AU177" s="409"/>
      <c r="AV177" s="409"/>
      <c r="AW177" s="409"/>
      <c r="AX177" s="409"/>
      <c r="AY177" s="409"/>
      <c r="AZ177" s="409"/>
      <c r="BA177" s="409"/>
      <c r="BB177" s="409"/>
      <c r="BC177" s="409"/>
      <c r="BD177" s="407"/>
      <c r="BE177" s="444"/>
      <c r="BF177" s="444"/>
      <c r="BG177" s="444"/>
      <c r="BH177" s="444"/>
      <c r="BI177" s="444"/>
      <c r="BJ177" s="444"/>
      <c r="BK177" s="444"/>
      <c r="BL177" s="444"/>
      <c r="BM177" s="444"/>
      <c r="BN177" s="444"/>
      <c r="BO177" s="444"/>
      <c r="BP177" s="444"/>
      <c r="BQ177" s="444"/>
      <c r="BR177" s="444"/>
      <c r="BS177" s="444"/>
      <c r="BT177" s="444"/>
    </row>
    <row r="178" spans="1:72" ht="15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409"/>
      <c r="T178" s="409"/>
      <c r="U178" s="409"/>
      <c r="V178" s="409"/>
      <c r="W178" s="392"/>
      <c r="X178" s="392"/>
      <c r="Y178" s="409"/>
      <c r="Z178" s="409"/>
      <c r="AA178" s="392"/>
      <c r="AB178" s="392"/>
      <c r="AC178" s="392"/>
      <c r="AD178" s="409"/>
      <c r="AE178" s="409"/>
      <c r="AF178" s="409"/>
      <c r="AG178" s="409"/>
      <c r="AH178" s="409"/>
      <c r="AI178" s="409"/>
      <c r="AJ178" s="409"/>
      <c r="AK178" s="409"/>
      <c r="AL178" s="409"/>
      <c r="AM178" s="409"/>
      <c r="AN178" s="409"/>
      <c r="AO178" s="409"/>
      <c r="AP178" s="409"/>
      <c r="AQ178" s="409"/>
      <c r="AR178" s="409"/>
      <c r="AS178" s="409"/>
      <c r="AT178" s="409"/>
      <c r="AU178" s="409"/>
      <c r="AV178" s="409"/>
      <c r="AW178" s="409"/>
      <c r="AX178" s="409"/>
      <c r="AY178" s="409"/>
      <c r="AZ178" s="409"/>
      <c r="BA178" s="409"/>
      <c r="BB178" s="409"/>
      <c r="BC178" s="409"/>
      <c r="BD178" s="407"/>
      <c r="BE178" s="444"/>
      <c r="BF178" s="444"/>
      <c r="BG178" s="444"/>
      <c r="BH178" s="444"/>
      <c r="BI178" s="444"/>
      <c r="BJ178" s="444"/>
      <c r="BK178" s="444"/>
      <c r="BL178" s="444"/>
      <c r="BM178" s="444"/>
      <c r="BN178" s="444"/>
      <c r="BO178" s="444"/>
      <c r="BP178" s="444"/>
      <c r="BQ178" s="444"/>
      <c r="BR178" s="444"/>
      <c r="BS178" s="444"/>
      <c r="BT178" s="444"/>
    </row>
    <row r="179" spans="1:72" ht="15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2"/>
      <c r="L179" s="392"/>
      <c r="M179" s="392"/>
      <c r="N179" s="392"/>
      <c r="O179" s="392"/>
      <c r="P179" s="392"/>
      <c r="Q179" s="392"/>
      <c r="R179" s="392"/>
      <c r="S179" s="409"/>
      <c r="T179" s="409"/>
      <c r="U179" s="409"/>
      <c r="V179" s="409"/>
      <c r="W179" s="392"/>
      <c r="X179" s="392"/>
      <c r="Y179" s="409"/>
      <c r="Z179" s="409"/>
      <c r="AA179" s="392"/>
      <c r="AB179" s="392"/>
      <c r="AC179" s="392"/>
      <c r="AD179" s="409"/>
      <c r="AE179" s="409"/>
      <c r="AF179" s="409"/>
      <c r="AG179" s="409"/>
      <c r="AH179" s="409"/>
      <c r="AI179" s="409"/>
      <c r="AJ179" s="409"/>
      <c r="AK179" s="409"/>
      <c r="AL179" s="409"/>
      <c r="AM179" s="409"/>
      <c r="AN179" s="409"/>
      <c r="AO179" s="409"/>
      <c r="AP179" s="409"/>
      <c r="AQ179" s="409"/>
      <c r="AR179" s="409"/>
      <c r="AS179" s="409"/>
      <c r="AT179" s="409"/>
      <c r="AU179" s="409"/>
      <c r="AV179" s="409"/>
      <c r="AW179" s="409"/>
      <c r="AX179" s="409"/>
      <c r="AY179" s="409"/>
      <c r="AZ179" s="409"/>
      <c r="BA179" s="409"/>
      <c r="BB179" s="409"/>
      <c r="BC179" s="409"/>
      <c r="BD179" s="407"/>
      <c r="BE179" s="444"/>
      <c r="BF179" s="444"/>
      <c r="BG179" s="444"/>
      <c r="BH179" s="444"/>
      <c r="BI179" s="444"/>
      <c r="BJ179" s="444"/>
      <c r="BK179" s="444"/>
      <c r="BL179" s="444"/>
      <c r="BM179" s="444"/>
      <c r="BN179" s="444"/>
      <c r="BO179" s="444"/>
      <c r="BP179" s="444"/>
      <c r="BQ179" s="444"/>
      <c r="BR179" s="444"/>
      <c r="BS179" s="444"/>
      <c r="BT179" s="444"/>
    </row>
    <row r="180" spans="1:72" ht="15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2"/>
      <c r="L180" s="392"/>
      <c r="M180" s="392"/>
      <c r="N180" s="392"/>
      <c r="O180" s="392"/>
      <c r="P180" s="392"/>
      <c r="Q180" s="392"/>
      <c r="R180" s="392"/>
      <c r="S180" s="409"/>
      <c r="T180" s="409"/>
      <c r="U180" s="409"/>
      <c r="V180" s="409"/>
      <c r="W180" s="392"/>
      <c r="X180" s="392"/>
      <c r="Y180" s="409"/>
      <c r="Z180" s="409"/>
      <c r="AA180" s="392"/>
      <c r="AB180" s="392"/>
      <c r="AC180" s="392"/>
      <c r="AD180" s="409"/>
      <c r="AE180" s="409"/>
      <c r="AF180" s="409"/>
      <c r="AG180" s="409"/>
      <c r="AH180" s="409"/>
      <c r="AI180" s="409"/>
      <c r="AJ180" s="409"/>
      <c r="AK180" s="409"/>
      <c r="AL180" s="409"/>
      <c r="AM180" s="409"/>
      <c r="AN180" s="409"/>
      <c r="AO180" s="409"/>
      <c r="AP180" s="409"/>
      <c r="AQ180" s="409"/>
      <c r="AR180" s="409"/>
      <c r="AS180" s="409"/>
      <c r="AT180" s="409"/>
      <c r="AU180" s="409"/>
      <c r="AV180" s="409"/>
      <c r="AW180" s="409"/>
      <c r="AX180" s="409"/>
      <c r="AY180" s="409"/>
      <c r="AZ180" s="409"/>
      <c r="BA180" s="409"/>
      <c r="BB180" s="409"/>
      <c r="BC180" s="409"/>
      <c r="BD180" s="407"/>
      <c r="BE180" s="444"/>
      <c r="BF180" s="444"/>
      <c r="BG180" s="444"/>
      <c r="BH180" s="444"/>
      <c r="BI180" s="444"/>
      <c r="BJ180" s="444"/>
      <c r="BK180" s="444"/>
      <c r="BL180" s="444"/>
      <c r="BM180" s="444"/>
      <c r="BN180" s="444"/>
      <c r="BO180" s="444"/>
      <c r="BP180" s="444"/>
      <c r="BQ180" s="444"/>
      <c r="BR180" s="444"/>
      <c r="BS180" s="444"/>
      <c r="BT180" s="444"/>
    </row>
    <row r="181" spans="1:72" ht="15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  <c r="L181" s="392"/>
      <c r="M181" s="392"/>
      <c r="N181" s="392"/>
      <c r="O181" s="392"/>
      <c r="P181" s="392"/>
      <c r="Q181" s="392"/>
      <c r="R181" s="392"/>
      <c r="S181" s="409"/>
      <c r="T181" s="409"/>
      <c r="U181" s="409"/>
      <c r="V181" s="409"/>
      <c r="W181" s="392"/>
      <c r="X181" s="392"/>
      <c r="Y181" s="409"/>
      <c r="Z181" s="409"/>
      <c r="AA181" s="392"/>
      <c r="AB181" s="392"/>
      <c r="AC181" s="392"/>
      <c r="AD181" s="409"/>
      <c r="AE181" s="409"/>
      <c r="AF181" s="409"/>
      <c r="AG181" s="409"/>
      <c r="AH181" s="409"/>
      <c r="AI181" s="409"/>
      <c r="AJ181" s="409"/>
      <c r="AK181" s="409"/>
      <c r="AL181" s="409"/>
      <c r="AM181" s="409"/>
      <c r="AN181" s="409"/>
      <c r="AO181" s="409"/>
      <c r="AP181" s="409"/>
      <c r="AQ181" s="409"/>
      <c r="AR181" s="409"/>
      <c r="AS181" s="409"/>
      <c r="AT181" s="409"/>
      <c r="AU181" s="409"/>
      <c r="AV181" s="409"/>
      <c r="AW181" s="409"/>
      <c r="AX181" s="409"/>
      <c r="AY181" s="409"/>
      <c r="AZ181" s="409"/>
      <c r="BA181" s="409"/>
      <c r="BB181" s="409"/>
      <c r="BC181" s="409"/>
      <c r="BD181" s="407"/>
      <c r="BE181" s="444"/>
      <c r="BF181" s="444"/>
      <c r="BG181" s="444"/>
      <c r="BH181" s="444"/>
      <c r="BI181" s="444"/>
      <c r="BJ181" s="444"/>
      <c r="BK181" s="444"/>
      <c r="BL181" s="444"/>
      <c r="BM181" s="444"/>
      <c r="BN181" s="444"/>
      <c r="BO181" s="444"/>
      <c r="BP181" s="444"/>
      <c r="BQ181" s="444"/>
      <c r="BR181" s="444"/>
      <c r="BS181" s="444"/>
      <c r="BT181" s="444"/>
    </row>
    <row r="182" spans="1:72" ht="15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2"/>
      <c r="M182" s="392"/>
      <c r="N182" s="392"/>
      <c r="O182" s="392"/>
      <c r="P182" s="392"/>
      <c r="Q182" s="392"/>
      <c r="R182" s="392"/>
      <c r="S182" s="409"/>
      <c r="T182" s="409"/>
      <c r="U182" s="409"/>
      <c r="V182" s="409"/>
      <c r="W182" s="392"/>
      <c r="X182" s="392"/>
      <c r="Y182" s="409"/>
      <c r="Z182" s="409"/>
      <c r="AA182" s="392"/>
      <c r="AB182" s="392"/>
      <c r="AC182" s="392"/>
      <c r="AD182" s="409"/>
      <c r="AE182" s="409"/>
      <c r="AF182" s="409"/>
      <c r="AG182" s="409"/>
      <c r="AH182" s="409"/>
      <c r="AI182" s="409"/>
      <c r="AJ182" s="409"/>
      <c r="AK182" s="409"/>
      <c r="AL182" s="409"/>
      <c r="AM182" s="409"/>
      <c r="AN182" s="409"/>
      <c r="AO182" s="409"/>
      <c r="AP182" s="409"/>
      <c r="AQ182" s="409"/>
      <c r="AR182" s="409"/>
      <c r="AS182" s="409"/>
      <c r="AT182" s="409"/>
      <c r="AU182" s="409"/>
      <c r="AV182" s="409"/>
      <c r="AW182" s="409"/>
      <c r="AX182" s="409"/>
      <c r="AY182" s="409"/>
      <c r="AZ182" s="409"/>
      <c r="BA182" s="409"/>
      <c r="BB182" s="409"/>
      <c r="BC182" s="409"/>
      <c r="BD182" s="407"/>
      <c r="BE182" s="444"/>
      <c r="BF182" s="444"/>
      <c r="BG182" s="444"/>
      <c r="BH182" s="444"/>
      <c r="BI182" s="444"/>
      <c r="BJ182" s="444"/>
      <c r="BK182" s="444"/>
      <c r="BL182" s="444"/>
      <c r="BM182" s="444"/>
      <c r="BN182" s="444"/>
      <c r="BO182" s="444"/>
      <c r="BP182" s="444"/>
      <c r="BQ182" s="444"/>
      <c r="BR182" s="444"/>
      <c r="BS182" s="444"/>
      <c r="BT182" s="444"/>
    </row>
    <row r="183" spans="1:72" ht="15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2"/>
      <c r="L183" s="392"/>
      <c r="M183" s="392"/>
      <c r="N183" s="392"/>
      <c r="O183" s="392"/>
      <c r="P183" s="392"/>
      <c r="Q183" s="392"/>
      <c r="R183" s="392"/>
      <c r="S183" s="409"/>
      <c r="T183" s="409"/>
      <c r="U183" s="409"/>
      <c r="V183" s="409"/>
      <c r="W183" s="392"/>
      <c r="X183" s="392"/>
      <c r="Y183" s="409"/>
      <c r="Z183" s="409"/>
      <c r="AA183" s="392"/>
      <c r="AB183" s="392"/>
      <c r="AC183" s="392"/>
      <c r="AD183" s="409"/>
      <c r="AE183" s="409"/>
      <c r="AF183" s="409"/>
      <c r="AG183" s="409"/>
      <c r="AH183" s="409"/>
      <c r="AI183" s="409"/>
      <c r="AJ183" s="409"/>
      <c r="AK183" s="409"/>
      <c r="AL183" s="409"/>
      <c r="AM183" s="409"/>
      <c r="AN183" s="409"/>
      <c r="AO183" s="409"/>
      <c r="AP183" s="409"/>
      <c r="AQ183" s="409"/>
      <c r="AR183" s="409"/>
      <c r="AS183" s="409"/>
      <c r="AT183" s="409"/>
      <c r="AU183" s="409"/>
      <c r="AV183" s="409"/>
      <c r="AW183" s="409"/>
      <c r="AX183" s="409"/>
      <c r="AY183" s="409"/>
      <c r="AZ183" s="409"/>
      <c r="BA183" s="409"/>
      <c r="BB183" s="409"/>
      <c r="BC183" s="409"/>
      <c r="BD183" s="407"/>
      <c r="BE183" s="444"/>
      <c r="BF183" s="444"/>
      <c r="BG183" s="444"/>
      <c r="BH183" s="444"/>
      <c r="BI183" s="444"/>
      <c r="BJ183" s="444"/>
      <c r="BK183" s="444"/>
      <c r="BL183" s="444"/>
      <c r="BM183" s="444"/>
      <c r="BN183" s="444"/>
      <c r="BO183" s="444"/>
      <c r="BP183" s="444"/>
      <c r="BQ183" s="444"/>
      <c r="BR183" s="444"/>
      <c r="BS183" s="444"/>
      <c r="BT183" s="444"/>
    </row>
    <row r="184" spans="1:72" ht="15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2"/>
      <c r="L184" s="392"/>
      <c r="M184" s="392"/>
      <c r="N184" s="392"/>
      <c r="O184" s="392"/>
      <c r="P184" s="392"/>
      <c r="Q184" s="392"/>
      <c r="R184" s="392"/>
      <c r="S184" s="409"/>
      <c r="T184" s="409"/>
      <c r="U184" s="409"/>
      <c r="V184" s="409"/>
      <c r="W184" s="392"/>
      <c r="X184" s="392"/>
      <c r="Y184" s="409"/>
      <c r="Z184" s="409"/>
      <c r="AA184" s="392"/>
      <c r="AB184" s="392"/>
      <c r="AC184" s="392"/>
      <c r="AD184" s="409"/>
      <c r="AE184" s="409"/>
      <c r="AF184" s="409"/>
      <c r="AG184" s="409"/>
      <c r="AH184" s="409"/>
      <c r="AI184" s="409"/>
      <c r="AJ184" s="409"/>
      <c r="AK184" s="409"/>
      <c r="AL184" s="409"/>
      <c r="AM184" s="409"/>
      <c r="AN184" s="409"/>
      <c r="AO184" s="409"/>
      <c r="AP184" s="409"/>
      <c r="AQ184" s="409"/>
      <c r="AR184" s="409"/>
      <c r="AS184" s="409"/>
      <c r="AT184" s="409"/>
      <c r="AU184" s="409"/>
      <c r="AV184" s="409"/>
      <c r="AW184" s="409"/>
      <c r="AX184" s="409"/>
      <c r="AY184" s="409"/>
      <c r="AZ184" s="409"/>
      <c r="BA184" s="409"/>
      <c r="BB184" s="409"/>
      <c r="BC184" s="409"/>
      <c r="BD184" s="407"/>
      <c r="BE184" s="444"/>
      <c r="BF184" s="444"/>
      <c r="BG184" s="444"/>
      <c r="BH184" s="444"/>
      <c r="BI184" s="444"/>
      <c r="BJ184" s="444"/>
      <c r="BK184" s="444"/>
      <c r="BL184" s="444"/>
      <c r="BM184" s="444"/>
      <c r="BN184" s="444"/>
      <c r="BO184" s="444"/>
      <c r="BP184" s="444"/>
      <c r="BQ184" s="444"/>
      <c r="BR184" s="444"/>
      <c r="BS184" s="444"/>
      <c r="BT184" s="444"/>
    </row>
    <row r="185" spans="1:72" ht="15">
      <c r="A185" s="392"/>
      <c r="B185" s="392"/>
      <c r="C185" s="392"/>
      <c r="D185" s="392"/>
      <c r="E185" s="392"/>
      <c r="F185" s="392"/>
      <c r="G185" s="392"/>
      <c r="H185" s="392"/>
      <c r="I185" s="392"/>
      <c r="J185" s="392"/>
      <c r="K185" s="392"/>
      <c r="L185" s="392"/>
      <c r="M185" s="392"/>
      <c r="N185" s="392"/>
      <c r="O185" s="392"/>
      <c r="P185" s="392"/>
      <c r="Q185" s="392"/>
      <c r="R185" s="392"/>
      <c r="S185" s="409"/>
      <c r="T185" s="409"/>
      <c r="U185" s="409"/>
      <c r="V185" s="409"/>
      <c r="W185" s="392"/>
      <c r="X185" s="392"/>
      <c r="Y185" s="409"/>
      <c r="Z185" s="409"/>
      <c r="AA185" s="392"/>
      <c r="AB185" s="392"/>
      <c r="AC185" s="392"/>
      <c r="AD185" s="409"/>
      <c r="AE185" s="409"/>
      <c r="AF185" s="409"/>
      <c r="AG185" s="409"/>
      <c r="AH185" s="409"/>
      <c r="AI185" s="409"/>
      <c r="AJ185" s="409"/>
      <c r="AK185" s="409"/>
      <c r="AL185" s="409"/>
      <c r="AM185" s="409"/>
      <c r="AN185" s="409"/>
      <c r="AO185" s="409"/>
      <c r="AP185" s="409"/>
      <c r="AQ185" s="409"/>
      <c r="AR185" s="409"/>
      <c r="AS185" s="409"/>
      <c r="AT185" s="409"/>
      <c r="AU185" s="409"/>
      <c r="AV185" s="409"/>
      <c r="AW185" s="409"/>
      <c r="AX185" s="409"/>
      <c r="AY185" s="409"/>
      <c r="AZ185" s="409"/>
      <c r="BA185" s="409"/>
      <c r="BB185" s="409"/>
      <c r="BC185" s="409"/>
      <c r="BD185" s="407"/>
      <c r="BE185" s="444"/>
      <c r="BF185" s="444"/>
      <c r="BG185" s="444"/>
      <c r="BH185" s="444"/>
      <c r="BI185" s="444"/>
      <c r="BJ185" s="444"/>
      <c r="BK185" s="444"/>
      <c r="BL185" s="444"/>
      <c r="BM185" s="444"/>
      <c r="BN185" s="444"/>
      <c r="BO185" s="444"/>
      <c r="BP185" s="444"/>
      <c r="BQ185" s="444"/>
      <c r="BR185" s="444"/>
      <c r="BS185" s="444"/>
      <c r="BT185" s="444"/>
    </row>
    <row r="186" spans="1:72" ht="15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  <c r="L186" s="392"/>
      <c r="M186" s="392"/>
      <c r="N186" s="392"/>
      <c r="O186" s="392"/>
      <c r="P186" s="392"/>
      <c r="Q186" s="392"/>
      <c r="R186" s="392"/>
      <c r="S186" s="409"/>
      <c r="T186" s="409"/>
      <c r="U186" s="409"/>
      <c r="V186" s="409"/>
      <c r="W186" s="392"/>
      <c r="X186" s="392"/>
      <c r="Y186" s="409"/>
      <c r="Z186" s="409"/>
      <c r="AA186" s="392"/>
      <c r="AB186" s="392"/>
      <c r="AC186" s="392"/>
      <c r="AD186" s="409"/>
      <c r="AE186" s="409"/>
      <c r="AF186" s="409"/>
      <c r="AG186" s="409"/>
      <c r="AH186" s="409"/>
      <c r="AI186" s="409"/>
      <c r="AJ186" s="409"/>
      <c r="AK186" s="409"/>
      <c r="AL186" s="409"/>
      <c r="AM186" s="409"/>
      <c r="AN186" s="409"/>
      <c r="AO186" s="409"/>
      <c r="AP186" s="409"/>
      <c r="AQ186" s="409"/>
      <c r="AR186" s="409"/>
      <c r="AS186" s="409"/>
      <c r="AT186" s="409"/>
      <c r="AU186" s="409"/>
      <c r="AV186" s="409"/>
      <c r="AW186" s="409"/>
      <c r="AX186" s="409"/>
      <c r="AY186" s="409"/>
      <c r="AZ186" s="409"/>
      <c r="BA186" s="409"/>
      <c r="BB186" s="409"/>
      <c r="BC186" s="409"/>
      <c r="BD186" s="407"/>
      <c r="BE186" s="444"/>
      <c r="BF186" s="444"/>
      <c r="BG186" s="444"/>
      <c r="BH186" s="444"/>
      <c r="BI186" s="444"/>
      <c r="BJ186" s="444"/>
      <c r="BK186" s="444"/>
      <c r="BL186" s="444"/>
      <c r="BM186" s="444"/>
      <c r="BN186" s="444"/>
      <c r="BO186" s="444"/>
      <c r="BP186" s="444"/>
      <c r="BQ186" s="444"/>
      <c r="BR186" s="444"/>
      <c r="BS186" s="444"/>
      <c r="BT186" s="444"/>
    </row>
    <row r="187" spans="1:72" ht="15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409"/>
      <c r="T187" s="409"/>
      <c r="U187" s="409"/>
      <c r="V187" s="409"/>
      <c r="W187" s="392"/>
      <c r="X187" s="392"/>
      <c r="Y187" s="409"/>
      <c r="Z187" s="409"/>
      <c r="AA187" s="392"/>
      <c r="AB187" s="392"/>
      <c r="AC187" s="392"/>
      <c r="AD187" s="409"/>
      <c r="AE187" s="409"/>
      <c r="AF187" s="409"/>
      <c r="AG187" s="409"/>
      <c r="AH187" s="409"/>
      <c r="AI187" s="409"/>
      <c r="AJ187" s="409"/>
      <c r="AK187" s="409"/>
      <c r="AL187" s="409"/>
      <c r="AM187" s="409"/>
      <c r="AN187" s="409"/>
      <c r="AO187" s="409"/>
      <c r="AP187" s="409"/>
      <c r="AQ187" s="409"/>
      <c r="AR187" s="409"/>
      <c r="AS187" s="409"/>
      <c r="AT187" s="409"/>
      <c r="AU187" s="409"/>
      <c r="AV187" s="409"/>
      <c r="AW187" s="409"/>
      <c r="AX187" s="409"/>
      <c r="AY187" s="409"/>
      <c r="AZ187" s="409"/>
      <c r="BA187" s="409"/>
      <c r="BB187" s="409"/>
      <c r="BC187" s="409"/>
      <c r="BD187" s="407"/>
      <c r="BE187" s="444"/>
      <c r="BF187" s="444"/>
      <c r="BG187" s="444"/>
      <c r="BH187" s="444"/>
      <c r="BI187" s="444"/>
      <c r="BJ187" s="444"/>
      <c r="BK187" s="444"/>
      <c r="BL187" s="444"/>
      <c r="BM187" s="444"/>
      <c r="BN187" s="444"/>
      <c r="BO187" s="444"/>
      <c r="BP187" s="444"/>
      <c r="BQ187" s="444"/>
      <c r="BR187" s="444"/>
      <c r="BS187" s="444"/>
      <c r="BT187" s="444"/>
    </row>
    <row r="188" spans="1:72" ht="15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2"/>
      <c r="L188" s="392"/>
      <c r="M188" s="392"/>
      <c r="N188" s="392"/>
      <c r="O188" s="392"/>
      <c r="P188" s="392"/>
      <c r="Q188" s="392"/>
      <c r="R188" s="392"/>
      <c r="S188" s="409"/>
      <c r="T188" s="409"/>
      <c r="U188" s="409"/>
      <c r="V188" s="409"/>
      <c r="W188" s="392"/>
      <c r="X188" s="392"/>
      <c r="Y188" s="409"/>
      <c r="Z188" s="409"/>
      <c r="AA188" s="392"/>
      <c r="AB188" s="392"/>
      <c r="AC188" s="392"/>
      <c r="AD188" s="409"/>
      <c r="AE188" s="409"/>
      <c r="AF188" s="409"/>
      <c r="AG188" s="409"/>
      <c r="AH188" s="409"/>
      <c r="AI188" s="409"/>
      <c r="AJ188" s="409"/>
      <c r="AK188" s="409"/>
      <c r="AL188" s="409"/>
      <c r="AM188" s="409"/>
      <c r="AN188" s="409"/>
      <c r="AO188" s="409"/>
      <c r="AP188" s="409"/>
      <c r="AQ188" s="409"/>
      <c r="AR188" s="409"/>
      <c r="AS188" s="409"/>
      <c r="AT188" s="409"/>
      <c r="AU188" s="409"/>
      <c r="AV188" s="409"/>
      <c r="AW188" s="409"/>
      <c r="AX188" s="409"/>
      <c r="AY188" s="409"/>
      <c r="AZ188" s="409"/>
      <c r="BA188" s="409"/>
      <c r="BB188" s="409"/>
      <c r="BC188" s="409"/>
      <c r="BD188" s="407"/>
      <c r="BE188" s="444"/>
      <c r="BF188" s="444"/>
      <c r="BG188" s="444"/>
      <c r="BH188" s="444"/>
      <c r="BI188" s="444"/>
      <c r="BJ188" s="444"/>
      <c r="BK188" s="444"/>
      <c r="BL188" s="444"/>
      <c r="BM188" s="444"/>
      <c r="BN188" s="444"/>
      <c r="BO188" s="444"/>
      <c r="BP188" s="444"/>
      <c r="BQ188" s="444"/>
      <c r="BR188" s="444"/>
      <c r="BS188" s="444"/>
      <c r="BT188" s="444"/>
    </row>
    <row r="189" spans="1:72" ht="15">
      <c r="A189" s="392"/>
      <c r="B189" s="392"/>
      <c r="C189" s="392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409"/>
      <c r="T189" s="409"/>
      <c r="U189" s="409"/>
      <c r="V189" s="409"/>
      <c r="W189" s="392"/>
      <c r="X189" s="392"/>
      <c r="Y189" s="409"/>
      <c r="Z189" s="409"/>
      <c r="AA189" s="392"/>
      <c r="AB189" s="392"/>
      <c r="AC189" s="392"/>
      <c r="AD189" s="409"/>
      <c r="AE189" s="409"/>
      <c r="AF189" s="409"/>
      <c r="AG189" s="409"/>
      <c r="AH189" s="409"/>
      <c r="AI189" s="409"/>
      <c r="AJ189" s="409"/>
      <c r="AK189" s="409"/>
      <c r="AL189" s="409"/>
      <c r="AM189" s="409"/>
      <c r="AN189" s="409"/>
      <c r="AO189" s="409"/>
      <c r="AP189" s="409"/>
      <c r="AQ189" s="409"/>
      <c r="AR189" s="409"/>
      <c r="AS189" s="409"/>
      <c r="AT189" s="409"/>
      <c r="AU189" s="409"/>
      <c r="AV189" s="409"/>
      <c r="AW189" s="409"/>
      <c r="AX189" s="409"/>
      <c r="AY189" s="409"/>
      <c r="AZ189" s="409"/>
      <c r="BA189" s="409"/>
      <c r="BB189" s="409"/>
      <c r="BC189" s="409"/>
      <c r="BD189" s="407"/>
      <c r="BE189" s="444"/>
      <c r="BF189" s="444"/>
      <c r="BG189" s="444"/>
      <c r="BH189" s="444"/>
      <c r="BI189" s="444"/>
      <c r="BJ189" s="444"/>
      <c r="BK189" s="444"/>
      <c r="BL189" s="444"/>
      <c r="BM189" s="444"/>
      <c r="BN189" s="444"/>
      <c r="BO189" s="444"/>
      <c r="BP189" s="444"/>
      <c r="BQ189" s="444"/>
      <c r="BR189" s="444"/>
      <c r="BS189" s="444"/>
      <c r="BT189" s="444"/>
    </row>
    <row r="190" spans="1:72" ht="15">
      <c r="A190" s="392"/>
      <c r="B190" s="39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409"/>
      <c r="T190" s="409"/>
      <c r="U190" s="409"/>
      <c r="V190" s="409"/>
      <c r="W190" s="392"/>
      <c r="X190" s="392"/>
      <c r="Y190" s="409"/>
      <c r="Z190" s="409"/>
      <c r="AA190" s="392"/>
      <c r="AB190" s="392"/>
      <c r="AC190" s="392"/>
      <c r="AD190" s="409"/>
      <c r="AE190" s="409"/>
      <c r="AF190" s="409"/>
      <c r="AG190" s="409"/>
      <c r="AH190" s="409"/>
      <c r="AI190" s="409"/>
      <c r="AJ190" s="409"/>
      <c r="AK190" s="409"/>
      <c r="AL190" s="409"/>
      <c r="AM190" s="409"/>
      <c r="AN190" s="409"/>
      <c r="AO190" s="409"/>
      <c r="AP190" s="409"/>
      <c r="AQ190" s="409"/>
      <c r="AR190" s="409"/>
      <c r="AS190" s="409"/>
      <c r="AT190" s="409"/>
      <c r="AU190" s="409"/>
      <c r="AV190" s="409"/>
      <c r="AW190" s="409"/>
      <c r="AX190" s="409"/>
      <c r="AY190" s="409"/>
      <c r="AZ190" s="409"/>
      <c r="BA190" s="409"/>
      <c r="BB190" s="409"/>
      <c r="BC190" s="409"/>
      <c r="BD190" s="407"/>
      <c r="BE190" s="444"/>
      <c r="BF190" s="444"/>
      <c r="BG190" s="444"/>
      <c r="BH190" s="444"/>
      <c r="BI190" s="444"/>
      <c r="BJ190" s="444"/>
      <c r="BK190" s="444"/>
      <c r="BL190" s="444"/>
      <c r="BM190" s="444"/>
      <c r="BN190" s="444"/>
      <c r="BO190" s="444"/>
      <c r="BP190" s="444"/>
      <c r="BQ190" s="444"/>
      <c r="BR190" s="444"/>
      <c r="BS190" s="444"/>
      <c r="BT190" s="444"/>
    </row>
    <row r="191" spans="1:72" ht="15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  <c r="L191" s="392"/>
      <c r="M191" s="392"/>
      <c r="N191" s="392"/>
      <c r="O191" s="392"/>
      <c r="P191" s="392"/>
      <c r="Q191" s="392"/>
      <c r="R191" s="392"/>
      <c r="S191" s="409"/>
      <c r="T191" s="409"/>
      <c r="U191" s="409"/>
      <c r="V191" s="409"/>
      <c r="W191" s="392"/>
      <c r="X191" s="392"/>
      <c r="Y191" s="409"/>
      <c r="Z191" s="409"/>
      <c r="AA191" s="392"/>
      <c r="AB191" s="392"/>
      <c r="AC191" s="392"/>
      <c r="AD191" s="409"/>
      <c r="AE191" s="409"/>
      <c r="AF191" s="409"/>
      <c r="AG191" s="409"/>
      <c r="AH191" s="409"/>
      <c r="AI191" s="409"/>
      <c r="AJ191" s="409"/>
      <c r="AK191" s="409"/>
      <c r="AL191" s="409"/>
      <c r="AM191" s="409"/>
      <c r="AN191" s="409"/>
      <c r="AO191" s="409"/>
      <c r="AP191" s="409"/>
      <c r="AQ191" s="409"/>
      <c r="AR191" s="409"/>
      <c r="AS191" s="409"/>
      <c r="AT191" s="409"/>
      <c r="AU191" s="409"/>
      <c r="AV191" s="409"/>
      <c r="AW191" s="409"/>
      <c r="AX191" s="409"/>
      <c r="AY191" s="409"/>
      <c r="AZ191" s="409"/>
      <c r="BA191" s="409"/>
      <c r="BB191" s="409"/>
      <c r="BC191" s="409"/>
      <c r="BD191" s="407"/>
      <c r="BE191" s="444"/>
      <c r="BF191" s="444"/>
      <c r="BG191" s="444"/>
      <c r="BH191" s="444"/>
      <c r="BI191" s="444"/>
      <c r="BJ191" s="444"/>
      <c r="BK191" s="444"/>
      <c r="BL191" s="444"/>
      <c r="BM191" s="444"/>
      <c r="BN191" s="444"/>
      <c r="BO191" s="444"/>
      <c r="BP191" s="444"/>
      <c r="BQ191" s="444"/>
      <c r="BR191" s="444"/>
      <c r="BS191" s="444"/>
      <c r="BT191" s="444"/>
    </row>
    <row r="192" spans="1:72" ht="15">
      <c r="A192" s="392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2"/>
      <c r="M192" s="392"/>
      <c r="N192" s="392"/>
      <c r="O192" s="392"/>
      <c r="P192" s="392"/>
      <c r="Q192" s="392"/>
      <c r="R192" s="392"/>
      <c r="S192" s="409"/>
      <c r="T192" s="409"/>
      <c r="U192" s="409"/>
      <c r="V192" s="409"/>
      <c r="W192" s="392"/>
      <c r="X192" s="392"/>
      <c r="Y192" s="409"/>
      <c r="Z192" s="409"/>
      <c r="AA192" s="392"/>
      <c r="AB192" s="392"/>
      <c r="AC192" s="392"/>
      <c r="AD192" s="409"/>
      <c r="AE192" s="409"/>
      <c r="AF192" s="409"/>
      <c r="AG192" s="409"/>
      <c r="AH192" s="409"/>
      <c r="AI192" s="409"/>
      <c r="AJ192" s="409"/>
      <c r="AK192" s="409"/>
      <c r="AL192" s="409"/>
      <c r="AM192" s="409"/>
      <c r="AN192" s="409"/>
      <c r="AO192" s="409"/>
      <c r="AP192" s="409"/>
      <c r="AQ192" s="409"/>
      <c r="AR192" s="409"/>
      <c r="AS192" s="409"/>
      <c r="AT192" s="409"/>
      <c r="AU192" s="409"/>
      <c r="AV192" s="409"/>
      <c r="AW192" s="409"/>
      <c r="AX192" s="409"/>
      <c r="AY192" s="409"/>
      <c r="AZ192" s="409"/>
      <c r="BA192" s="409"/>
      <c r="BB192" s="409"/>
      <c r="BC192" s="409"/>
      <c r="BD192" s="407"/>
      <c r="BE192" s="444"/>
      <c r="BF192" s="444"/>
      <c r="BG192" s="444"/>
      <c r="BH192" s="444"/>
      <c r="BI192" s="444"/>
      <c r="BJ192" s="444"/>
      <c r="BK192" s="444"/>
      <c r="BL192" s="444"/>
      <c r="BM192" s="444"/>
      <c r="BN192" s="444"/>
      <c r="BO192" s="444"/>
      <c r="BP192" s="444"/>
      <c r="BQ192" s="444"/>
      <c r="BR192" s="444"/>
      <c r="BS192" s="444"/>
      <c r="BT192" s="444"/>
    </row>
    <row r="193" spans="1:72" ht="15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409"/>
      <c r="T193" s="409"/>
      <c r="U193" s="409"/>
      <c r="V193" s="409"/>
      <c r="W193" s="392"/>
      <c r="X193" s="392"/>
      <c r="Y193" s="409"/>
      <c r="Z193" s="409"/>
      <c r="AA193" s="392"/>
      <c r="AB193" s="392"/>
      <c r="AC193" s="392"/>
      <c r="AD193" s="409"/>
      <c r="AE193" s="409"/>
      <c r="AF193" s="409"/>
      <c r="AG193" s="409"/>
      <c r="AH193" s="409"/>
      <c r="AI193" s="409"/>
      <c r="AJ193" s="409"/>
      <c r="AK193" s="409"/>
      <c r="AL193" s="409"/>
      <c r="AM193" s="409"/>
      <c r="AN193" s="409"/>
      <c r="AO193" s="409"/>
      <c r="AP193" s="409"/>
      <c r="AQ193" s="409"/>
      <c r="AR193" s="409"/>
      <c r="AS193" s="409"/>
      <c r="AT193" s="409"/>
      <c r="AU193" s="409"/>
      <c r="AV193" s="409"/>
      <c r="AW193" s="409"/>
      <c r="AX193" s="409"/>
      <c r="AY193" s="409"/>
      <c r="AZ193" s="409"/>
      <c r="BA193" s="409"/>
      <c r="BB193" s="409"/>
      <c r="BC193" s="409"/>
      <c r="BD193" s="407"/>
      <c r="BE193" s="444"/>
      <c r="BF193" s="444"/>
      <c r="BG193" s="444"/>
      <c r="BH193" s="444"/>
      <c r="BI193" s="444"/>
      <c r="BJ193" s="444"/>
      <c r="BK193" s="444"/>
      <c r="BL193" s="444"/>
      <c r="BM193" s="444"/>
      <c r="BN193" s="444"/>
      <c r="BO193" s="444"/>
      <c r="BP193" s="444"/>
      <c r="BQ193" s="444"/>
      <c r="BR193" s="444"/>
      <c r="BS193" s="444"/>
      <c r="BT193" s="444"/>
    </row>
    <row r="194" spans="1:72" ht="15">
      <c r="A194" s="392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  <c r="L194" s="392"/>
      <c r="M194" s="392"/>
      <c r="N194" s="392"/>
      <c r="O194" s="392"/>
      <c r="P194" s="392"/>
      <c r="Q194" s="392"/>
      <c r="R194" s="392"/>
      <c r="S194" s="409"/>
      <c r="T194" s="409"/>
      <c r="U194" s="409"/>
      <c r="V194" s="409"/>
      <c r="W194" s="392"/>
      <c r="X194" s="392"/>
      <c r="Y194" s="409"/>
      <c r="Z194" s="409"/>
      <c r="AA194" s="392"/>
      <c r="AB194" s="392"/>
      <c r="AC194" s="392"/>
      <c r="AD194" s="409"/>
      <c r="AE194" s="409"/>
      <c r="AF194" s="409"/>
      <c r="AG194" s="409"/>
      <c r="AH194" s="409"/>
      <c r="AI194" s="409"/>
      <c r="AJ194" s="409"/>
      <c r="AK194" s="409"/>
      <c r="AL194" s="409"/>
      <c r="AM194" s="409"/>
      <c r="AN194" s="409"/>
      <c r="AO194" s="409"/>
      <c r="AP194" s="409"/>
      <c r="AQ194" s="409"/>
      <c r="AR194" s="409"/>
      <c r="AS194" s="409"/>
      <c r="AT194" s="409"/>
      <c r="AU194" s="409"/>
      <c r="AV194" s="409"/>
      <c r="AW194" s="409"/>
      <c r="AX194" s="409"/>
      <c r="AY194" s="409"/>
      <c r="AZ194" s="409"/>
      <c r="BA194" s="409"/>
      <c r="BB194" s="409"/>
      <c r="BC194" s="409"/>
      <c r="BD194" s="407"/>
      <c r="BE194" s="444"/>
      <c r="BF194" s="444"/>
      <c r="BG194" s="444"/>
      <c r="BH194" s="444"/>
      <c r="BI194" s="444"/>
      <c r="BJ194" s="444"/>
      <c r="BK194" s="444"/>
      <c r="BL194" s="444"/>
      <c r="BM194" s="444"/>
      <c r="BN194" s="444"/>
      <c r="BO194" s="444"/>
      <c r="BP194" s="444"/>
      <c r="BQ194" s="444"/>
      <c r="BR194" s="444"/>
      <c r="BS194" s="444"/>
      <c r="BT194" s="444"/>
    </row>
    <row r="195" spans="1:72" ht="15">
      <c r="A195" s="392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  <c r="L195" s="392"/>
      <c r="M195" s="392"/>
      <c r="N195" s="392"/>
      <c r="O195" s="392"/>
      <c r="P195" s="392"/>
      <c r="Q195" s="392"/>
      <c r="R195" s="392"/>
      <c r="S195" s="409"/>
      <c r="T195" s="409"/>
      <c r="U195" s="409"/>
      <c r="V195" s="409"/>
      <c r="W195" s="392"/>
      <c r="X195" s="392"/>
      <c r="Y195" s="409"/>
      <c r="Z195" s="409"/>
      <c r="AA195" s="392"/>
      <c r="AB195" s="392"/>
      <c r="AC195" s="392"/>
      <c r="AD195" s="409"/>
      <c r="AE195" s="409"/>
      <c r="AF195" s="409"/>
      <c r="AG195" s="409"/>
      <c r="AH195" s="409"/>
      <c r="AI195" s="409"/>
      <c r="AJ195" s="409"/>
      <c r="AK195" s="409"/>
      <c r="AL195" s="409"/>
      <c r="AM195" s="409"/>
      <c r="AN195" s="409"/>
      <c r="AO195" s="409"/>
      <c r="AP195" s="409"/>
      <c r="AQ195" s="409"/>
      <c r="AR195" s="409"/>
      <c r="AS195" s="409"/>
      <c r="AT195" s="409"/>
      <c r="AU195" s="409"/>
      <c r="AV195" s="409"/>
      <c r="AW195" s="409"/>
      <c r="AX195" s="409"/>
      <c r="AY195" s="409"/>
      <c r="AZ195" s="409"/>
      <c r="BA195" s="409"/>
      <c r="BB195" s="409"/>
      <c r="BC195" s="409"/>
      <c r="BD195" s="407"/>
      <c r="BE195" s="444"/>
      <c r="BF195" s="444"/>
      <c r="BG195" s="444"/>
      <c r="BH195" s="444"/>
      <c r="BI195" s="444"/>
      <c r="BJ195" s="444"/>
      <c r="BK195" s="444"/>
      <c r="BL195" s="444"/>
      <c r="BM195" s="444"/>
      <c r="BN195" s="444"/>
      <c r="BO195" s="444"/>
      <c r="BP195" s="444"/>
      <c r="BQ195" s="444"/>
      <c r="BR195" s="444"/>
      <c r="BS195" s="444"/>
      <c r="BT195" s="444"/>
    </row>
    <row r="196" spans="1:72" ht="15">
      <c r="A196" s="392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  <c r="L196" s="392"/>
      <c r="M196" s="392"/>
      <c r="N196" s="392"/>
      <c r="O196" s="392"/>
      <c r="P196" s="392"/>
      <c r="Q196" s="392"/>
      <c r="R196" s="392"/>
      <c r="S196" s="409"/>
      <c r="T196" s="409"/>
      <c r="U196" s="409"/>
      <c r="V196" s="409"/>
      <c r="W196" s="392"/>
      <c r="X196" s="392"/>
      <c r="Y196" s="409"/>
      <c r="Z196" s="409"/>
      <c r="AA196" s="392"/>
      <c r="AB196" s="392"/>
      <c r="AC196" s="392"/>
      <c r="AD196" s="409"/>
      <c r="AE196" s="409"/>
      <c r="AF196" s="409"/>
      <c r="AG196" s="409"/>
      <c r="AH196" s="409"/>
      <c r="AI196" s="409"/>
      <c r="AJ196" s="409"/>
      <c r="AK196" s="409"/>
      <c r="AL196" s="409"/>
      <c r="AM196" s="409"/>
      <c r="AN196" s="409"/>
      <c r="AO196" s="409"/>
      <c r="AP196" s="409"/>
      <c r="AQ196" s="409"/>
      <c r="AR196" s="409"/>
      <c r="AS196" s="409"/>
      <c r="AT196" s="409"/>
      <c r="AU196" s="409"/>
      <c r="AV196" s="409"/>
      <c r="AW196" s="409"/>
      <c r="AX196" s="409"/>
      <c r="AY196" s="409"/>
      <c r="AZ196" s="409"/>
      <c r="BA196" s="409"/>
      <c r="BB196" s="409"/>
      <c r="BC196" s="409"/>
      <c r="BD196" s="407"/>
      <c r="BE196" s="444"/>
      <c r="BF196" s="444"/>
      <c r="BG196" s="444"/>
      <c r="BH196" s="444"/>
      <c r="BI196" s="444"/>
      <c r="BJ196" s="444"/>
      <c r="BK196" s="444"/>
      <c r="BL196" s="444"/>
      <c r="BM196" s="444"/>
      <c r="BN196" s="444"/>
      <c r="BO196" s="444"/>
      <c r="BP196" s="444"/>
      <c r="BQ196" s="444"/>
      <c r="BR196" s="444"/>
      <c r="BS196" s="444"/>
      <c r="BT196" s="444"/>
    </row>
    <row r="197" spans="1:72" ht="15">
      <c r="A197" s="392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  <c r="L197" s="392"/>
      <c r="M197" s="392"/>
      <c r="N197" s="392"/>
      <c r="O197" s="392"/>
      <c r="P197" s="392"/>
      <c r="Q197" s="392"/>
      <c r="R197" s="392"/>
      <c r="S197" s="409"/>
      <c r="T197" s="409"/>
      <c r="U197" s="409"/>
      <c r="V197" s="409"/>
      <c r="W197" s="392"/>
      <c r="X197" s="392"/>
      <c r="Y197" s="409"/>
      <c r="Z197" s="409"/>
      <c r="AA197" s="392"/>
      <c r="AB197" s="392"/>
      <c r="AC197" s="392"/>
      <c r="AD197" s="409"/>
      <c r="AE197" s="409"/>
      <c r="AF197" s="409"/>
      <c r="AG197" s="409"/>
      <c r="AH197" s="409"/>
      <c r="AI197" s="409"/>
      <c r="AJ197" s="409"/>
      <c r="AK197" s="409"/>
      <c r="AL197" s="409"/>
      <c r="AM197" s="409"/>
      <c r="AN197" s="409"/>
      <c r="AO197" s="409"/>
      <c r="AP197" s="409"/>
      <c r="AQ197" s="409"/>
      <c r="AR197" s="409"/>
      <c r="AS197" s="409"/>
      <c r="AT197" s="409"/>
      <c r="AU197" s="409"/>
      <c r="AV197" s="409"/>
      <c r="AW197" s="409"/>
      <c r="AX197" s="409"/>
      <c r="AY197" s="409"/>
      <c r="AZ197" s="409"/>
      <c r="BA197" s="409"/>
      <c r="BB197" s="409"/>
      <c r="BC197" s="409"/>
      <c r="BD197" s="407"/>
      <c r="BE197" s="444"/>
      <c r="BF197" s="444"/>
      <c r="BG197" s="444"/>
      <c r="BH197" s="444"/>
      <c r="BI197" s="444"/>
      <c r="BJ197" s="444"/>
      <c r="BK197" s="444"/>
      <c r="BL197" s="444"/>
      <c r="BM197" s="444"/>
      <c r="BN197" s="444"/>
      <c r="BO197" s="444"/>
      <c r="BP197" s="444"/>
      <c r="BQ197" s="444"/>
      <c r="BR197" s="444"/>
      <c r="BS197" s="444"/>
      <c r="BT197" s="444"/>
    </row>
    <row r="198" spans="1:72" ht="15">
      <c r="A198" s="392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  <c r="L198" s="392"/>
      <c r="M198" s="392"/>
      <c r="N198" s="392"/>
      <c r="O198" s="392"/>
      <c r="P198" s="392"/>
      <c r="Q198" s="392"/>
      <c r="R198" s="392"/>
      <c r="S198" s="409"/>
      <c r="T198" s="409"/>
      <c r="U198" s="409"/>
      <c r="V198" s="409"/>
      <c r="W198" s="392"/>
      <c r="X198" s="392"/>
      <c r="Y198" s="409"/>
      <c r="Z198" s="409"/>
      <c r="AA198" s="392"/>
      <c r="AB198" s="392"/>
      <c r="AC198" s="392"/>
      <c r="AD198" s="409"/>
      <c r="AE198" s="409"/>
      <c r="AF198" s="409"/>
      <c r="AG198" s="409"/>
      <c r="AH198" s="409"/>
      <c r="AI198" s="409"/>
      <c r="AJ198" s="409"/>
      <c r="AK198" s="409"/>
      <c r="AL198" s="409"/>
      <c r="AM198" s="409"/>
      <c r="AN198" s="409"/>
      <c r="AO198" s="409"/>
      <c r="AP198" s="409"/>
      <c r="AQ198" s="409"/>
      <c r="AR198" s="409"/>
      <c r="AS198" s="409"/>
      <c r="AT198" s="409"/>
      <c r="AU198" s="409"/>
      <c r="AV198" s="409"/>
      <c r="AW198" s="409"/>
      <c r="AX198" s="409"/>
      <c r="AY198" s="409"/>
      <c r="AZ198" s="409"/>
      <c r="BA198" s="409"/>
      <c r="BB198" s="409"/>
      <c r="BC198" s="409"/>
      <c r="BD198" s="407"/>
      <c r="BE198" s="444"/>
      <c r="BF198" s="444"/>
      <c r="BG198" s="444"/>
      <c r="BH198" s="444"/>
      <c r="BI198" s="444"/>
      <c r="BJ198" s="444"/>
      <c r="BK198" s="444"/>
      <c r="BL198" s="444"/>
      <c r="BM198" s="444"/>
      <c r="BN198" s="444"/>
      <c r="BO198" s="444"/>
      <c r="BP198" s="444"/>
      <c r="BQ198" s="444"/>
      <c r="BR198" s="444"/>
      <c r="BS198" s="444"/>
      <c r="BT198" s="444"/>
    </row>
    <row r="199" spans="1:72" ht="15">
      <c r="A199" s="392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  <c r="L199" s="392"/>
      <c r="M199" s="392"/>
      <c r="N199" s="392"/>
      <c r="O199" s="392"/>
      <c r="P199" s="392"/>
      <c r="Q199" s="392"/>
      <c r="R199" s="392"/>
      <c r="S199" s="409"/>
      <c r="T199" s="409"/>
      <c r="U199" s="409"/>
      <c r="V199" s="409"/>
      <c r="W199" s="392"/>
      <c r="X199" s="392"/>
      <c r="Y199" s="409"/>
      <c r="Z199" s="409"/>
      <c r="AA199" s="392"/>
      <c r="AB199" s="392"/>
      <c r="AC199" s="392"/>
      <c r="AD199" s="409"/>
      <c r="AE199" s="409"/>
      <c r="AF199" s="409"/>
      <c r="AG199" s="409"/>
      <c r="AH199" s="409"/>
      <c r="AI199" s="409"/>
      <c r="AJ199" s="409"/>
      <c r="AK199" s="409"/>
      <c r="AL199" s="409"/>
      <c r="AM199" s="409"/>
      <c r="AN199" s="409"/>
      <c r="AO199" s="409"/>
      <c r="AP199" s="409"/>
      <c r="AQ199" s="409"/>
      <c r="AR199" s="409"/>
      <c r="AS199" s="409"/>
      <c r="AT199" s="409"/>
      <c r="AU199" s="409"/>
      <c r="AV199" s="409"/>
      <c r="AW199" s="409"/>
      <c r="AX199" s="409"/>
      <c r="AY199" s="409"/>
      <c r="AZ199" s="409"/>
      <c r="BA199" s="409"/>
      <c r="BB199" s="409"/>
      <c r="BC199" s="409"/>
      <c r="BD199" s="407"/>
      <c r="BE199" s="444"/>
      <c r="BF199" s="444"/>
      <c r="BG199" s="444"/>
      <c r="BH199" s="444"/>
      <c r="BI199" s="444"/>
      <c r="BJ199" s="444"/>
      <c r="BK199" s="444"/>
      <c r="BL199" s="444"/>
      <c r="BM199" s="444"/>
      <c r="BN199" s="444"/>
      <c r="BO199" s="444"/>
      <c r="BP199" s="444"/>
      <c r="BQ199" s="444"/>
      <c r="BR199" s="444"/>
      <c r="BS199" s="444"/>
      <c r="BT199" s="444"/>
    </row>
    <row r="200" spans="1:72" ht="15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  <c r="L200" s="392"/>
      <c r="M200" s="392"/>
      <c r="N200" s="392"/>
      <c r="O200" s="392"/>
      <c r="P200" s="392"/>
      <c r="Q200" s="392"/>
      <c r="R200" s="392"/>
      <c r="S200" s="409"/>
      <c r="T200" s="409"/>
      <c r="U200" s="409"/>
      <c r="V200" s="409"/>
      <c r="W200" s="392"/>
      <c r="X200" s="392"/>
      <c r="Y200" s="409"/>
      <c r="Z200" s="409"/>
      <c r="AA200" s="392"/>
      <c r="AB200" s="392"/>
      <c r="AC200" s="392"/>
      <c r="AD200" s="409"/>
      <c r="AE200" s="409"/>
      <c r="AF200" s="409"/>
      <c r="AG200" s="409"/>
      <c r="AH200" s="409"/>
      <c r="AI200" s="409"/>
      <c r="AJ200" s="409"/>
      <c r="AK200" s="409"/>
      <c r="AL200" s="409"/>
      <c r="AM200" s="409"/>
      <c r="AN200" s="409"/>
      <c r="AO200" s="409"/>
      <c r="AP200" s="409"/>
      <c r="AQ200" s="409"/>
      <c r="AR200" s="409"/>
      <c r="AS200" s="409"/>
      <c r="AT200" s="409"/>
      <c r="AU200" s="409"/>
      <c r="AV200" s="409"/>
      <c r="AW200" s="409"/>
      <c r="AX200" s="409"/>
      <c r="AY200" s="409"/>
      <c r="AZ200" s="409"/>
      <c r="BA200" s="409"/>
      <c r="BB200" s="409"/>
      <c r="BC200" s="409"/>
      <c r="BD200" s="407"/>
      <c r="BE200" s="444"/>
      <c r="BF200" s="444"/>
      <c r="BG200" s="444"/>
      <c r="BH200" s="444"/>
      <c r="BI200" s="444"/>
      <c r="BJ200" s="444"/>
      <c r="BK200" s="444"/>
      <c r="BL200" s="444"/>
      <c r="BM200" s="444"/>
      <c r="BN200" s="444"/>
      <c r="BO200" s="444"/>
      <c r="BP200" s="444"/>
      <c r="BQ200" s="444"/>
      <c r="BR200" s="444"/>
      <c r="BS200" s="444"/>
      <c r="BT200" s="444"/>
    </row>
  </sheetData>
  <mergeCells count="28"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J7:M7"/>
    <mergeCell ref="A5:BA5"/>
    <mergeCell ref="BB5:BC5"/>
    <mergeCell ref="AV2:AY2"/>
    <mergeCell ref="AZ2:BC3"/>
    <mergeCell ref="A3:H3"/>
    <mergeCell ref="I3:L3"/>
    <mergeCell ref="M3:W3"/>
    <mergeCell ref="X3:Z3"/>
    <mergeCell ref="AA3:AR3"/>
    <mergeCell ref="AS3:AU3"/>
    <mergeCell ref="AV3:AY3"/>
  </mergeCells>
  <phoneticPr fontId="55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AAE0-DBE0-4938-867E-22E36C2392CC}">
  <sheetPr>
    <pageSetUpPr fitToPage="1"/>
  </sheetPr>
  <dimension ref="A1:CI44"/>
  <sheetViews>
    <sheetView showGridLines="0" view="pageBreakPreview" zoomScale="85" zoomScaleNormal="70" zoomScaleSheetLayoutView="85" workbookViewId="0">
      <selection sqref="A1:I1"/>
    </sheetView>
  </sheetViews>
  <sheetFormatPr defaultColWidth="2.6328125" defaultRowHeight="15"/>
  <cols>
    <col min="1" max="10" width="2.6328125" style="460" customWidth="1"/>
    <col min="11" max="16" width="3.26953125" style="460" customWidth="1"/>
    <col min="17" max="22" width="2.6328125" style="460" customWidth="1"/>
    <col min="23" max="38" width="2.6328125" style="460"/>
    <col min="39" max="39" width="2.6328125" style="460" customWidth="1"/>
    <col min="40" max="61" width="2.6328125" style="460"/>
    <col min="62" max="62" width="2.6328125" style="460" customWidth="1"/>
    <col min="63" max="248" width="2.6328125" style="460"/>
    <col min="249" max="249" width="4" style="460" customWidth="1"/>
    <col min="250" max="281" width="2.6328125" style="460"/>
    <col min="282" max="282" width="2.6328125" style="460" customWidth="1"/>
    <col min="283" max="504" width="2.6328125" style="460"/>
    <col min="505" max="505" width="4" style="460" customWidth="1"/>
    <col min="506" max="537" width="2.6328125" style="460"/>
    <col min="538" max="538" width="2.6328125" style="460" customWidth="1"/>
    <col min="539" max="760" width="2.6328125" style="460"/>
    <col min="761" max="761" width="4" style="460" customWidth="1"/>
    <col min="762" max="793" width="2.6328125" style="460"/>
    <col min="794" max="794" width="2.6328125" style="460" customWidth="1"/>
    <col min="795" max="1016" width="2.6328125" style="460"/>
    <col min="1017" max="1017" width="4" style="460" customWidth="1"/>
    <col min="1018" max="1049" width="2.6328125" style="460"/>
    <col min="1050" max="1050" width="2.6328125" style="460" customWidth="1"/>
    <col min="1051" max="1272" width="2.6328125" style="460"/>
    <col min="1273" max="1273" width="4" style="460" customWidth="1"/>
    <col min="1274" max="1305" width="2.6328125" style="460"/>
    <col min="1306" max="1306" width="2.6328125" style="460" customWidth="1"/>
    <col min="1307" max="1528" width="2.6328125" style="460"/>
    <col min="1529" max="1529" width="4" style="460" customWidth="1"/>
    <col min="1530" max="1561" width="2.6328125" style="460"/>
    <col min="1562" max="1562" width="2.6328125" style="460" customWidth="1"/>
    <col min="1563" max="1784" width="2.6328125" style="460"/>
    <col min="1785" max="1785" width="4" style="460" customWidth="1"/>
    <col min="1786" max="1817" width="2.6328125" style="460"/>
    <col min="1818" max="1818" width="2.6328125" style="460" customWidth="1"/>
    <col min="1819" max="2040" width="2.6328125" style="460"/>
    <col min="2041" max="2041" width="4" style="460" customWidth="1"/>
    <col min="2042" max="2073" width="2.6328125" style="460"/>
    <col min="2074" max="2074" width="2.6328125" style="460" customWidth="1"/>
    <col min="2075" max="2296" width="2.6328125" style="460"/>
    <col min="2297" max="2297" width="4" style="460" customWidth="1"/>
    <col min="2298" max="2329" width="2.6328125" style="460"/>
    <col min="2330" max="2330" width="2.6328125" style="460" customWidth="1"/>
    <col min="2331" max="2552" width="2.6328125" style="460"/>
    <col min="2553" max="2553" width="4" style="460" customWidth="1"/>
    <col min="2554" max="2585" width="2.6328125" style="460"/>
    <col min="2586" max="2586" width="2.6328125" style="460" customWidth="1"/>
    <col min="2587" max="2808" width="2.6328125" style="460"/>
    <col min="2809" max="2809" width="4" style="460" customWidth="1"/>
    <col min="2810" max="2841" width="2.6328125" style="460"/>
    <col min="2842" max="2842" width="2.6328125" style="460" customWidth="1"/>
    <col min="2843" max="3064" width="2.6328125" style="460"/>
    <col min="3065" max="3065" width="4" style="460" customWidth="1"/>
    <col min="3066" max="3097" width="2.6328125" style="460"/>
    <col min="3098" max="3098" width="2.6328125" style="460" customWidth="1"/>
    <col min="3099" max="3320" width="2.6328125" style="460"/>
    <col min="3321" max="3321" width="4" style="460" customWidth="1"/>
    <col min="3322" max="3353" width="2.6328125" style="460"/>
    <col min="3354" max="3354" width="2.6328125" style="460" customWidth="1"/>
    <col min="3355" max="3576" width="2.6328125" style="460"/>
    <col min="3577" max="3577" width="4" style="460" customWidth="1"/>
    <col min="3578" max="3609" width="2.6328125" style="460"/>
    <col min="3610" max="3610" width="2.6328125" style="460" customWidth="1"/>
    <col min="3611" max="3832" width="2.6328125" style="460"/>
    <col min="3833" max="3833" width="4" style="460" customWidth="1"/>
    <col min="3834" max="3865" width="2.6328125" style="460"/>
    <col min="3866" max="3866" width="2.6328125" style="460" customWidth="1"/>
    <col min="3867" max="4088" width="2.6328125" style="460"/>
    <col min="4089" max="4089" width="4" style="460" customWidth="1"/>
    <col min="4090" max="4121" width="2.6328125" style="460"/>
    <col min="4122" max="4122" width="2.6328125" style="460" customWidth="1"/>
    <col min="4123" max="4344" width="2.6328125" style="460"/>
    <col min="4345" max="4345" width="4" style="460" customWidth="1"/>
    <col min="4346" max="4377" width="2.6328125" style="460"/>
    <col min="4378" max="4378" width="2.6328125" style="460" customWidth="1"/>
    <col min="4379" max="4600" width="2.6328125" style="460"/>
    <col min="4601" max="4601" width="4" style="460" customWidth="1"/>
    <col min="4602" max="4633" width="2.6328125" style="460"/>
    <col min="4634" max="4634" width="2.6328125" style="460" customWidth="1"/>
    <col min="4635" max="4856" width="2.6328125" style="460"/>
    <col min="4857" max="4857" width="4" style="460" customWidth="1"/>
    <col min="4858" max="4889" width="2.6328125" style="460"/>
    <col min="4890" max="4890" width="2.6328125" style="460" customWidth="1"/>
    <col min="4891" max="5112" width="2.6328125" style="460"/>
    <col min="5113" max="5113" width="4" style="460" customWidth="1"/>
    <col min="5114" max="5145" width="2.6328125" style="460"/>
    <col min="5146" max="5146" width="2.6328125" style="460" customWidth="1"/>
    <col min="5147" max="5368" width="2.6328125" style="460"/>
    <col min="5369" max="5369" width="4" style="460" customWidth="1"/>
    <col min="5370" max="5401" width="2.6328125" style="460"/>
    <col min="5402" max="5402" width="2.6328125" style="460" customWidth="1"/>
    <col min="5403" max="5624" width="2.6328125" style="460"/>
    <col min="5625" max="5625" width="4" style="460" customWidth="1"/>
    <col min="5626" max="5657" width="2.6328125" style="460"/>
    <col min="5658" max="5658" width="2.6328125" style="460" customWidth="1"/>
    <col min="5659" max="5880" width="2.6328125" style="460"/>
    <col min="5881" max="5881" width="4" style="460" customWidth="1"/>
    <col min="5882" max="5913" width="2.6328125" style="460"/>
    <col min="5914" max="5914" width="2.6328125" style="460" customWidth="1"/>
    <col min="5915" max="6136" width="2.6328125" style="460"/>
    <col min="6137" max="6137" width="4" style="460" customWidth="1"/>
    <col min="6138" max="6169" width="2.6328125" style="460"/>
    <col min="6170" max="6170" width="2.6328125" style="460" customWidth="1"/>
    <col min="6171" max="6392" width="2.6328125" style="460"/>
    <col min="6393" max="6393" width="4" style="460" customWidth="1"/>
    <col min="6394" max="6425" width="2.6328125" style="460"/>
    <col min="6426" max="6426" width="2.6328125" style="460" customWidth="1"/>
    <col min="6427" max="6648" width="2.6328125" style="460"/>
    <col min="6649" max="6649" width="4" style="460" customWidth="1"/>
    <col min="6650" max="6681" width="2.6328125" style="460"/>
    <col min="6682" max="6682" width="2.6328125" style="460" customWidth="1"/>
    <col min="6683" max="6904" width="2.6328125" style="460"/>
    <col min="6905" max="6905" width="4" style="460" customWidth="1"/>
    <col min="6906" max="6937" width="2.6328125" style="460"/>
    <col min="6938" max="6938" width="2.6328125" style="460" customWidth="1"/>
    <col min="6939" max="7160" width="2.6328125" style="460"/>
    <col min="7161" max="7161" width="4" style="460" customWidth="1"/>
    <col min="7162" max="7193" width="2.6328125" style="460"/>
    <col min="7194" max="7194" width="2.6328125" style="460" customWidth="1"/>
    <col min="7195" max="7416" width="2.6328125" style="460"/>
    <col min="7417" max="7417" width="4" style="460" customWidth="1"/>
    <col min="7418" max="7449" width="2.6328125" style="460"/>
    <col min="7450" max="7450" width="2.6328125" style="460" customWidth="1"/>
    <col min="7451" max="7672" width="2.6328125" style="460"/>
    <col min="7673" max="7673" width="4" style="460" customWidth="1"/>
    <col min="7674" max="7705" width="2.6328125" style="460"/>
    <col min="7706" max="7706" width="2.6328125" style="460" customWidth="1"/>
    <col min="7707" max="7928" width="2.6328125" style="460"/>
    <col min="7929" max="7929" width="4" style="460" customWidth="1"/>
    <col min="7930" max="7961" width="2.6328125" style="460"/>
    <col min="7962" max="7962" width="2.6328125" style="460" customWidth="1"/>
    <col min="7963" max="8184" width="2.6328125" style="460"/>
    <col min="8185" max="8185" width="4" style="460" customWidth="1"/>
    <col min="8186" max="8217" width="2.6328125" style="460"/>
    <col min="8218" max="8218" width="2.6328125" style="460" customWidth="1"/>
    <col min="8219" max="8440" width="2.6328125" style="460"/>
    <col min="8441" max="8441" width="4" style="460" customWidth="1"/>
    <col min="8442" max="8473" width="2.6328125" style="460"/>
    <col min="8474" max="8474" width="2.6328125" style="460" customWidth="1"/>
    <col min="8475" max="8696" width="2.6328125" style="460"/>
    <col min="8697" max="8697" width="4" style="460" customWidth="1"/>
    <col min="8698" max="8729" width="2.6328125" style="460"/>
    <col min="8730" max="8730" width="2.6328125" style="460" customWidth="1"/>
    <col min="8731" max="8952" width="2.6328125" style="460"/>
    <col min="8953" max="8953" width="4" style="460" customWidth="1"/>
    <col min="8954" max="8985" width="2.6328125" style="460"/>
    <col min="8986" max="8986" width="2.6328125" style="460" customWidth="1"/>
    <col min="8987" max="9208" width="2.6328125" style="460"/>
    <col min="9209" max="9209" width="4" style="460" customWidth="1"/>
    <col min="9210" max="9241" width="2.6328125" style="460"/>
    <col min="9242" max="9242" width="2.6328125" style="460" customWidth="1"/>
    <col min="9243" max="9464" width="2.6328125" style="460"/>
    <col min="9465" max="9465" width="4" style="460" customWidth="1"/>
    <col min="9466" max="9497" width="2.6328125" style="460"/>
    <col min="9498" max="9498" width="2.6328125" style="460" customWidth="1"/>
    <col min="9499" max="9720" width="2.6328125" style="460"/>
    <col min="9721" max="9721" width="4" style="460" customWidth="1"/>
    <col min="9722" max="9753" width="2.6328125" style="460"/>
    <col min="9754" max="9754" width="2.6328125" style="460" customWidth="1"/>
    <col min="9755" max="9976" width="2.6328125" style="460"/>
    <col min="9977" max="9977" width="4" style="460" customWidth="1"/>
    <col min="9978" max="10009" width="2.6328125" style="460"/>
    <col min="10010" max="10010" width="2.6328125" style="460" customWidth="1"/>
    <col min="10011" max="10232" width="2.6328125" style="460"/>
    <col min="10233" max="10233" width="4" style="460" customWidth="1"/>
    <col min="10234" max="10265" width="2.6328125" style="460"/>
    <col min="10266" max="10266" width="2.6328125" style="460" customWidth="1"/>
    <col min="10267" max="10488" width="2.6328125" style="460"/>
    <col min="10489" max="10489" width="4" style="460" customWidth="1"/>
    <col min="10490" max="10521" width="2.6328125" style="460"/>
    <col min="10522" max="10522" width="2.6328125" style="460" customWidth="1"/>
    <col min="10523" max="10744" width="2.6328125" style="460"/>
    <col min="10745" max="10745" width="4" style="460" customWidth="1"/>
    <col min="10746" max="10777" width="2.6328125" style="460"/>
    <col min="10778" max="10778" width="2.6328125" style="460" customWidth="1"/>
    <col min="10779" max="11000" width="2.6328125" style="460"/>
    <col min="11001" max="11001" width="4" style="460" customWidth="1"/>
    <col min="11002" max="11033" width="2.6328125" style="460"/>
    <col min="11034" max="11034" width="2.6328125" style="460" customWidth="1"/>
    <col min="11035" max="11256" width="2.6328125" style="460"/>
    <col min="11257" max="11257" width="4" style="460" customWidth="1"/>
    <col min="11258" max="11289" width="2.6328125" style="460"/>
    <col min="11290" max="11290" width="2.6328125" style="460" customWidth="1"/>
    <col min="11291" max="11512" width="2.6328125" style="460"/>
    <col min="11513" max="11513" width="4" style="460" customWidth="1"/>
    <col min="11514" max="11545" width="2.6328125" style="460"/>
    <col min="11546" max="11546" width="2.6328125" style="460" customWidth="1"/>
    <col min="11547" max="11768" width="2.6328125" style="460"/>
    <col min="11769" max="11769" width="4" style="460" customWidth="1"/>
    <col min="11770" max="11801" width="2.6328125" style="460"/>
    <col min="11802" max="11802" width="2.6328125" style="460" customWidth="1"/>
    <col min="11803" max="12024" width="2.6328125" style="460"/>
    <col min="12025" max="12025" width="4" style="460" customWidth="1"/>
    <col min="12026" max="12057" width="2.6328125" style="460"/>
    <col min="12058" max="12058" width="2.6328125" style="460" customWidth="1"/>
    <col min="12059" max="12280" width="2.6328125" style="460"/>
    <col min="12281" max="12281" width="4" style="460" customWidth="1"/>
    <col min="12282" max="12313" width="2.6328125" style="460"/>
    <col min="12314" max="12314" width="2.6328125" style="460" customWidth="1"/>
    <col min="12315" max="12536" width="2.6328125" style="460"/>
    <col min="12537" max="12537" width="4" style="460" customWidth="1"/>
    <col min="12538" max="12569" width="2.6328125" style="460"/>
    <col min="12570" max="12570" width="2.6328125" style="460" customWidth="1"/>
    <col min="12571" max="12792" width="2.6328125" style="460"/>
    <col min="12793" max="12793" width="4" style="460" customWidth="1"/>
    <col min="12794" max="12825" width="2.6328125" style="460"/>
    <col min="12826" max="12826" width="2.6328125" style="460" customWidth="1"/>
    <col min="12827" max="13048" width="2.6328125" style="460"/>
    <col min="13049" max="13049" width="4" style="460" customWidth="1"/>
    <col min="13050" max="13081" width="2.6328125" style="460"/>
    <col min="13082" max="13082" width="2.6328125" style="460" customWidth="1"/>
    <col min="13083" max="13304" width="2.6328125" style="460"/>
    <col min="13305" max="13305" width="4" style="460" customWidth="1"/>
    <col min="13306" max="13337" width="2.6328125" style="460"/>
    <col min="13338" max="13338" width="2.6328125" style="460" customWidth="1"/>
    <col min="13339" max="13560" width="2.6328125" style="460"/>
    <col min="13561" max="13561" width="4" style="460" customWidth="1"/>
    <col min="13562" max="13593" width="2.6328125" style="460"/>
    <col min="13594" max="13594" width="2.6328125" style="460" customWidth="1"/>
    <col min="13595" max="13816" width="2.6328125" style="460"/>
    <col min="13817" max="13817" width="4" style="460" customWidth="1"/>
    <col min="13818" max="13849" width="2.6328125" style="460"/>
    <col min="13850" max="13850" width="2.6328125" style="460" customWidth="1"/>
    <col min="13851" max="14072" width="2.6328125" style="460"/>
    <col min="14073" max="14073" width="4" style="460" customWidth="1"/>
    <col min="14074" max="14105" width="2.6328125" style="460"/>
    <col min="14106" max="14106" width="2.6328125" style="460" customWidth="1"/>
    <col min="14107" max="14328" width="2.6328125" style="460"/>
    <col min="14329" max="14329" width="4" style="460" customWidth="1"/>
    <col min="14330" max="14361" width="2.6328125" style="460"/>
    <col min="14362" max="14362" width="2.6328125" style="460" customWidth="1"/>
    <col min="14363" max="14584" width="2.6328125" style="460"/>
    <col min="14585" max="14585" width="4" style="460" customWidth="1"/>
    <col min="14586" max="14617" width="2.6328125" style="460"/>
    <col min="14618" max="14618" width="2.6328125" style="460" customWidth="1"/>
    <col min="14619" max="14840" width="2.6328125" style="460"/>
    <col min="14841" max="14841" width="4" style="460" customWidth="1"/>
    <col min="14842" max="14873" width="2.6328125" style="460"/>
    <col min="14874" max="14874" width="2.6328125" style="460" customWidth="1"/>
    <col min="14875" max="15096" width="2.6328125" style="460"/>
    <col min="15097" max="15097" width="4" style="460" customWidth="1"/>
    <col min="15098" max="15129" width="2.6328125" style="460"/>
    <col min="15130" max="15130" width="2.6328125" style="460" customWidth="1"/>
    <col min="15131" max="15352" width="2.6328125" style="460"/>
    <col min="15353" max="15353" width="4" style="460" customWidth="1"/>
    <col min="15354" max="15385" width="2.6328125" style="460"/>
    <col min="15386" max="15386" width="2.6328125" style="460" customWidth="1"/>
    <col min="15387" max="15608" width="2.6328125" style="460"/>
    <col min="15609" max="15609" width="4" style="460" customWidth="1"/>
    <col min="15610" max="15641" width="2.6328125" style="460"/>
    <col min="15642" max="15642" width="2.6328125" style="460" customWidth="1"/>
    <col min="15643" max="15864" width="2.6328125" style="460"/>
    <col min="15865" max="15865" width="4" style="460" customWidth="1"/>
    <col min="15866" max="15897" width="2.6328125" style="460"/>
    <col min="15898" max="15898" width="2.6328125" style="460" customWidth="1"/>
    <col min="15899" max="16120" width="2.6328125" style="460"/>
    <col min="16121" max="16121" width="4" style="460" customWidth="1"/>
    <col min="16122" max="16153" width="2.6328125" style="460"/>
    <col min="16154" max="16154" width="2.6328125" style="460" customWidth="1"/>
    <col min="16155" max="16384" width="2.6328125" style="460"/>
  </cols>
  <sheetData>
    <row r="1" spans="1:87" ht="12.75" customHeight="1">
      <c r="A1" s="649" t="s">
        <v>180</v>
      </c>
      <c r="B1" s="649"/>
      <c r="C1" s="649"/>
      <c r="D1" s="649"/>
      <c r="E1" s="649"/>
      <c r="F1" s="649"/>
      <c r="G1" s="649"/>
      <c r="H1" s="649"/>
      <c r="I1" s="649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  <c r="AD1" s="458"/>
      <c r="AE1" s="458"/>
      <c r="AF1" s="458"/>
      <c r="AG1" s="458"/>
      <c r="AH1" s="458"/>
      <c r="AI1" s="458"/>
      <c r="AJ1" s="458"/>
      <c r="AK1" s="458"/>
      <c r="AL1" s="458"/>
      <c r="AM1" s="458"/>
      <c r="AN1" s="458"/>
      <c r="AO1" s="458"/>
      <c r="AP1" s="458"/>
      <c r="AQ1" s="458"/>
      <c r="AR1" s="458"/>
      <c r="AS1" s="458"/>
      <c r="AT1" s="458"/>
      <c r="AU1" s="458"/>
      <c r="AV1" s="458"/>
      <c r="AW1" s="458"/>
      <c r="AX1" s="458"/>
      <c r="AY1" s="458"/>
      <c r="AZ1" s="458"/>
      <c r="BA1" s="458"/>
      <c r="BB1" s="458"/>
      <c r="BC1" s="458"/>
      <c r="BD1" s="458"/>
      <c r="BE1" s="458"/>
      <c r="BF1" s="458"/>
      <c r="BG1" s="458"/>
      <c r="BH1" s="458"/>
      <c r="BI1" s="458"/>
      <c r="BJ1" s="458"/>
      <c r="BK1" s="458"/>
      <c r="BL1" s="458"/>
      <c r="BM1" s="458"/>
      <c r="BN1" s="458"/>
      <c r="BO1" s="458"/>
      <c r="BP1" s="458"/>
      <c r="BQ1" s="458"/>
      <c r="BR1" s="458"/>
      <c r="BS1" s="458"/>
      <c r="BT1" s="458"/>
      <c r="BU1" s="458"/>
      <c r="BV1" s="458"/>
      <c r="BW1" s="458"/>
      <c r="BX1" s="458"/>
      <c r="BY1" s="458"/>
      <c r="BZ1" s="458"/>
      <c r="CA1" s="458"/>
      <c r="CB1" s="458"/>
      <c r="CC1" s="458"/>
      <c r="CD1" s="458"/>
      <c r="CE1" s="458"/>
      <c r="CF1" s="458"/>
      <c r="CG1" s="458"/>
      <c r="CH1" s="459"/>
      <c r="CI1" s="459"/>
    </row>
    <row r="2" spans="1:87" ht="12.75" customHeight="1">
      <c r="A2" s="650" t="s">
        <v>181</v>
      </c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50"/>
      <c r="AB2" s="650"/>
      <c r="AC2" s="650"/>
      <c r="AD2" s="650"/>
      <c r="AE2" s="650"/>
      <c r="AF2" s="651" t="s">
        <v>182</v>
      </c>
      <c r="AG2" s="651"/>
      <c r="AH2" s="651"/>
      <c r="AI2" s="651"/>
      <c r="AJ2" s="651"/>
      <c r="AK2" s="651"/>
      <c r="AL2" s="651"/>
      <c r="AM2" s="651"/>
      <c r="AN2" s="651"/>
      <c r="AO2" s="651"/>
      <c r="AP2" s="651"/>
      <c r="AQ2" s="651"/>
      <c r="AR2" s="651"/>
      <c r="AS2" s="651"/>
      <c r="AT2" s="651"/>
      <c r="AU2" s="651"/>
      <c r="AV2" s="651"/>
      <c r="AW2" s="651"/>
      <c r="AX2" s="651"/>
      <c r="AY2" s="651"/>
      <c r="AZ2" s="651"/>
      <c r="BA2" s="651"/>
      <c r="BB2" s="651"/>
      <c r="BC2" s="651"/>
      <c r="BD2" s="651"/>
      <c r="BE2" s="651"/>
      <c r="BF2" s="651"/>
      <c r="BG2" s="651"/>
      <c r="BH2" s="651"/>
      <c r="BI2" s="651"/>
      <c r="BJ2" s="651"/>
      <c r="BK2" s="651"/>
      <c r="BL2" s="651"/>
      <c r="BM2" s="651"/>
      <c r="BN2" s="651"/>
      <c r="BO2" s="651"/>
      <c r="BP2" s="651"/>
      <c r="BQ2" s="651"/>
      <c r="BR2" s="651"/>
      <c r="BS2" s="651"/>
      <c r="BT2" s="651"/>
      <c r="BU2" s="651"/>
      <c r="BV2" s="651"/>
      <c r="BW2" s="651"/>
      <c r="BX2" s="651"/>
      <c r="BY2" s="651"/>
      <c r="BZ2" s="651"/>
      <c r="CA2" s="651"/>
      <c r="CB2" s="651"/>
      <c r="CC2" s="651"/>
      <c r="CD2" s="651"/>
      <c r="CE2" s="651"/>
      <c r="CF2" s="651"/>
      <c r="CG2" s="651"/>
      <c r="CH2" s="651"/>
      <c r="CI2" s="651"/>
    </row>
    <row r="3" spans="1:87" ht="27.75" customHeight="1">
      <c r="A3" s="647" t="s">
        <v>183</v>
      </c>
      <c r="B3" s="648"/>
      <c r="C3" s="648" t="s">
        <v>184</v>
      </c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7" t="s">
        <v>185</v>
      </c>
      <c r="R3" s="648"/>
      <c r="S3" s="648"/>
      <c r="T3" s="648"/>
      <c r="U3" s="648"/>
      <c r="V3" s="648"/>
      <c r="W3" s="648"/>
      <c r="X3" s="647" t="s">
        <v>186</v>
      </c>
      <c r="Y3" s="648"/>
      <c r="Z3" s="648"/>
      <c r="AA3" s="648"/>
      <c r="AB3" s="648" t="s">
        <v>187</v>
      </c>
      <c r="AC3" s="648"/>
      <c r="AD3" s="652" t="s">
        <v>188</v>
      </c>
      <c r="AE3" s="653"/>
      <c r="AF3" s="647" t="s">
        <v>189</v>
      </c>
      <c r="AG3" s="648"/>
      <c r="AH3" s="648"/>
      <c r="AI3" s="648"/>
      <c r="AJ3" s="647" t="s">
        <v>190</v>
      </c>
      <c r="AK3" s="648"/>
      <c r="AL3" s="648"/>
      <c r="AM3" s="648"/>
      <c r="AN3" s="648"/>
      <c r="AO3" s="648"/>
      <c r="AP3" s="602" t="s">
        <v>191</v>
      </c>
      <c r="AQ3" s="603"/>
      <c r="AR3" s="603"/>
      <c r="AS3" s="603"/>
      <c r="AT3" s="603"/>
      <c r="AU3" s="603"/>
      <c r="AV3" s="603"/>
      <c r="AW3" s="603"/>
      <c r="AX3" s="603"/>
      <c r="AY3" s="603"/>
      <c r="AZ3" s="604"/>
      <c r="BA3" s="647" t="s">
        <v>192</v>
      </c>
      <c r="BB3" s="647"/>
      <c r="BC3" s="647"/>
      <c r="BD3" s="647"/>
      <c r="BE3" s="647"/>
      <c r="BF3" s="647"/>
      <c r="BG3" s="647"/>
      <c r="BH3" s="647"/>
      <c r="BI3" s="647"/>
      <c r="BJ3" s="647"/>
      <c r="BK3" s="647"/>
      <c r="BL3" s="647"/>
      <c r="BM3" s="647"/>
      <c r="BN3" s="647"/>
      <c r="BO3" s="647"/>
      <c r="BP3" s="647"/>
      <c r="BQ3" s="647"/>
      <c r="BR3" s="647"/>
      <c r="BS3" s="647"/>
      <c r="BT3" s="647"/>
      <c r="BU3" s="647"/>
      <c r="BV3" s="647"/>
      <c r="BW3" s="647"/>
      <c r="BX3" s="647"/>
      <c r="BY3" s="647"/>
      <c r="BZ3" s="647"/>
      <c r="CA3" s="647"/>
      <c r="CB3" s="647"/>
      <c r="CC3" s="647"/>
      <c r="CD3" s="647"/>
      <c r="CE3" s="647"/>
      <c r="CF3" s="647"/>
      <c r="CG3" s="647"/>
      <c r="CH3" s="647"/>
      <c r="CI3" s="647"/>
    </row>
    <row r="4" spans="1:87" ht="27.75" customHeight="1">
      <c r="A4" s="648"/>
      <c r="B4" s="648"/>
      <c r="C4" s="646" t="s">
        <v>193</v>
      </c>
      <c r="D4" s="646"/>
      <c r="E4" s="646"/>
      <c r="F4" s="646"/>
      <c r="G4" s="646"/>
      <c r="H4" s="646"/>
      <c r="I4" s="646"/>
      <c r="J4" s="646" t="s">
        <v>194</v>
      </c>
      <c r="K4" s="646"/>
      <c r="L4" s="646"/>
      <c r="M4" s="646"/>
      <c r="N4" s="646"/>
      <c r="O4" s="646"/>
      <c r="P4" s="646"/>
      <c r="Q4" s="648"/>
      <c r="R4" s="648"/>
      <c r="S4" s="648"/>
      <c r="T4" s="648"/>
      <c r="U4" s="648"/>
      <c r="V4" s="648"/>
      <c r="W4" s="648"/>
      <c r="X4" s="648"/>
      <c r="Y4" s="648"/>
      <c r="Z4" s="648"/>
      <c r="AA4" s="648"/>
      <c r="AB4" s="648"/>
      <c r="AC4" s="648"/>
      <c r="AD4" s="654"/>
      <c r="AE4" s="655"/>
      <c r="AF4" s="648"/>
      <c r="AG4" s="648"/>
      <c r="AH4" s="648"/>
      <c r="AI4" s="648"/>
      <c r="AJ4" s="648"/>
      <c r="AK4" s="648"/>
      <c r="AL4" s="648"/>
      <c r="AM4" s="648"/>
      <c r="AN4" s="648"/>
      <c r="AO4" s="648"/>
      <c r="AP4" s="605"/>
      <c r="AQ4" s="606"/>
      <c r="AR4" s="606"/>
      <c r="AS4" s="606"/>
      <c r="AT4" s="606"/>
      <c r="AU4" s="606"/>
      <c r="AV4" s="606"/>
      <c r="AW4" s="606"/>
      <c r="AX4" s="606"/>
      <c r="AY4" s="606"/>
      <c r="AZ4" s="607"/>
      <c r="BA4" s="647"/>
      <c r="BB4" s="647"/>
      <c r="BC4" s="647"/>
      <c r="BD4" s="647"/>
      <c r="BE4" s="647"/>
      <c r="BF4" s="647"/>
      <c r="BG4" s="647"/>
      <c r="BH4" s="647"/>
      <c r="BI4" s="647"/>
      <c r="BJ4" s="647"/>
      <c r="BK4" s="647"/>
      <c r="BL4" s="647"/>
      <c r="BM4" s="647"/>
      <c r="BN4" s="647"/>
      <c r="BO4" s="647"/>
      <c r="BP4" s="647"/>
      <c r="BQ4" s="647"/>
      <c r="BR4" s="647"/>
      <c r="BS4" s="647"/>
      <c r="BT4" s="647"/>
      <c r="BU4" s="647"/>
      <c r="BV4" s="647"/>
      <c r="BW4" s="647"/>
      <c r="BX4" s="647"/>
      <c r="BY4" s="647"/>
      <c r="BZ4" s="647"/>
      <c r="CA4" s="647"/>
      <c r="CB4" s="647"/>
      <c r="CC4" s="647"/>
      <c r="CD4" s="647"/>
      <c r="CE4" s="647"/>
      <c r="CF4" s="647"/>
      <c r="CG4" s="647"/>
      <c r="CH4" s="647"/>
      <c r="CI4" s="647"/>
    </row>
    <row r="5" spans="1:87">
      <c r="A5" s="620" t="s">
        <v>195</v>
      </c>
      <c r="B5" s="621"/>
      <c r="C5" s="563" t="s">
        <v>196</v>
      </c>
      <c r="D5" s="564"/>
      <c r="E5" s="564"/>
      <c r="F5" s="564"/>
      <c r="G5" s="564"/>
      <c r="H5" s="564"/>
      <c r="I5" s="565"/>
      <c r="J5" s="560"/>
      <c r="K5" s="561"/>
      <c r="L5" s="561"/>
      <c r="M5" s="561"/>
      <c r="N5" s="561"/>
      <c r="O5" s="561"/>
      <c r="P5" s="562"/>
      <c r="Q5" s="625"/>
      <c r="R5" s="626"/>
      <c r="S5" s="626"/>
      <c r="T5" s="626"/>
      <c r="U5" s="626"/>
      <c r="V5" s="626"/>
      <c r="W5" s="627"/>
      <c r="X5" s="622"/>
      <c r="Y5" s="623"/>
      <c r="Z5" s="623"/>
      <c r="AA5" s="624"/>
      <c r="AB5" s="613"/>
      <c r="AC5" s="614"/>
      <c r="AD5" s="613"/>
      <c r="AE5" s="614"/>
      <c r="AF5" s="615"/>
      <c r="AG5" s="616"/>
      <c r="AH5" s="616"/>
      <c r="AI5" s="616"/>
      <c r="AJ5" s="615"/>
      <c r="AK5" s="616"/>
      <c r="AL5" s="616"/>
      <c r="AM5" s="616"/>
      <c r="AN5" s="616"/>
      <c r="AO5" s="617"/>
      <c r="AP5" s="618"/>
      <c r="AQ5" s="611"/>
      <c r="AR5" s="611"/>
      <c r="AS5" s="611"/>
      <c r="AT5" s="611"/>
      <c r="AU5" s="611"/>
      <c r="AV5" s="611"/>
      <c r="AW5" s="611"/>
      <c r="AX5" s="611"/>
      <c r="AY5" s="611"/>
      <c r="AZ5" s="619"/>
      <c r="BA5" s="610"/>
      <c r="BB5" s="611"/>
      <c r="BC5" s="611"/>
      <c r="BD5" s="611"/>
      <c r="BE5" s="611"/>
      <c r="BF5" s="611"/>
      <c r="BG5" s="611"/>
      <c r="BH5" s="611"/>
      <c r="BI5" s="611"/>
      <c r="BJ5" s="611"/>
      <c r="BK5" s="611"/>
      <c r="BL5" s="611"/>
      <c r="BM5" s="611"/>
      <c r="BN5" s="611"/>
      <c r="BO5" s="611"/>
      <c r="BP5" s="611"/>
      <c r="BQ5" s="611"/>
      <c r="BR5" s="611"/>
      <c r="BS5" s="611"/>
      <c r="BT5" s="611"/>
      <c r="BU5" s="611"/>
      <c r="BV5" s="611"/>
      <c r="BW5" s="611"/>
      <c r="BX5" s="611"/>
      <c r="BY5" s="611"/>
      <c r="BZ5" s="611"/>
      <c r="CA5" s="611"/>
      <c r="CB5" s="611"/>
      <c r="CC5" s="611"/>
      <c r="CD5" s="611"/>
      <c r="CE5" s="611"/>
      <c r="CF5" s="611"/>
      <c r="CG5" s="611"/>
      <c r="CH5" s="611"/>
      <c r="CI5" s="612"/>
    </row>
    <row r="6" spans="1:87">
      <c r="A6" s="620" t="s">
        <v>197</v>
      </c>
      <c r="B6" s="621"/>
      <c r="C6" s="563"/>
      <c r="D6" s="564"/>
      <c r="E6" s="564"/>
      <c r="F6" s="564"/>
      <c r="G6" s="564"/>
      <c r="H6" s="564"/>
      <c r="I6" s="565"/>
      <c r="J6" s="560" t="s">
        <v>198</v>
      </c>
      <c r="K6" s="561"/>
      <c r="L6" s="561"/>
      <c r="M6" s="561"/>
      <c r="N6" s="561"/>
      <c r="O6" s="561"/>
      <c r="P6" s="562"/>
      <c r="Q6" s="625" t="s">
        <v>199</v>
      </c>
      <c r="R6" s="626"/>
      <c r="S6" s="626"/>
      <c r="T6" s="626"/>
      <c r="U6" s="626"/>
      <c r="V6" s="626"/>
      <c r="W6" s="627"/>
      <c r="X6" s="622" t="s">
        <v>200</v>
      </c>
      <c r="Y6" s="623"/>
      <c r="Z6" s="623"/>
      <c r="AA6" s="624"/>
      <c r="AB6" s="613" t="s">
        <v>201</v>
      </c>
      <c r="AC6" s="614"/>
      <c r="AD6" s="613" t="s">
        <v>202</v>
      </c>
      <c r="AE6" s="614"/>
      <c r="AF6" s="618" t="s">
        <v>179</v>
      </c>
      <c r="AG6" s="611"/>
      <c r="AH6" s="611"/>
      <c r="AI6" s="619"/>
      <c r="AJ6" s="569"/>
      <c r="AK6" s="567"/>
      <c r="AL6" s="567"/>
      <c r="AM6" s="567"/>
      <c r="AN6" s="567"/>
      <c r="AO6" s="568"/>
      <c r="AP6" s="618" t="s">
        <v>179</v>
      </c>
      <c r="AQ6" s="611"/>
      <c r="AR6" s="611"/>
      <c r="AS6" s="611"/>
      <c r="AT6" s="611"/>
      <c r="AU6" s="611"/>
      <c r="AV6" s="611"/>
      <c r="AW6" s="611"/>
      <c r="AX6" s="611"/>
      <c r="AY6" s="611"/>
      <c r="AZ6" s="619"/>
      <c r="BA6" s="610"/>
      <c r="BB6" s="611"/>
      <c r="BC6" s="611"/>
      <c r="BD6" s="611"/>
      <c r="BE6" s="611"/>
      <c r="BF6" s="611"/>
      <c r="BG6" s="611"/>
      <c r="BH6" s="611"/>
      <c r="BI6" s="611"/>
      <c r="BJ6" s="611"/>
      <c r="BK6" s="611"/>
      <c r="BL6" s="611"/>
      <c r="BM6" s="611"/>
      <c r="BN6" s="611"/>
      <c r="BO6" s="611"/>
      <c r="BP6" s="611"/>
      <c r="BQ6" s="611"/>
      <c r="BR6" s="611"/>
      <c r="BS6" s="611"/>
      <c r="BT6" s="611"/>
      <c r="BU6" s="611"/>
      <c r="BV6" s="611"/>
      <c r="BW6" s="611"/>
      <c r="BX6" s="611"/>
      <c r="BY6" s="611"/>
      <c r="BZ6" s="611"/>
      <c r="CA6" s="611"/>
      <c r="CB6" s="611"/>
      <c r="CC6" s="611"/>
      <c r="CD6" s="611"/>
      <c r="CE6" s="611"/>
      <c r="CF6" s="611"/>
      <c r="CG6" s="611"/>
      <c r="CH6" s="611"/>
      <c r="CI6" s="612"/>
    </row>
    <row r="7" spans="1:87" ht="15.75" customHeight="1">
      <c r="A7" s="620" t="s">
        <v>263</v>
      </c>
      <c r="B7" s="621"/>
      <c r="C7" s="641" t="s">
        <v>264</v>
      </c>
      <c r="D7" s="642"/>
      <c r="E7" s="642"/>
      <c r="F7" s="642"/>
      <c r="G7" s="642"/>
      <c r="H7" s="642"/>
      <c r="I7" s="643"/>
      <c r="J7" s="644"/>
      <c r="K7" s="644"/>
      <c r="L7" s="644"/>
      <c r="M7" s="644"/>
      <c r="N7" s="644"/>
      <c r="O7" s="644"/>
      <c r="P7" s="644"/>
      <c r="Q7" s="641"/>
      <c r="R7" s="642"/>
      <c r="S7" s="642"/>
      <c r="T7" s="642"/>
      <c r="U7" s="642"/>
      <c r="V7" s="642"/>
      <c r="W7" s="645"/>
      <c r="X7" s="622"/>
      <c r="Y7" s="623"/>
      <c r="Z7" s="623"/>
      <c r="AA7" s="624"/>
      <c r="AB7" s="613"/>
      <c r="AC7" s="614"/>
      <c r="AD7" s="613"/>
      <c r="AE7" s="614"/>
      <c r="AF7" s="638"/>
      <c r="AG7" s="639"/>
      <c r="AH7" s="639"/>
      <c r="AI7" s="639"/>
      <c r="AJ7" s="638"/>
      <c r="AK7" s="639"/>
      <c r="AL7" s="639"/>
      <c r="AM7" s="639"/>
      <c r="AN7" s="639"/>
      <c r="AO7" s="640"/>
      <c r="AP7" s="618"/>
      <c r="AQ7" s="611"/>
      <c r="AR7" s="611"/>
      <c r="AS7" s="611"/>
      <c r="AT7" s="611"/>
      <c r="AU7" s="611"/>
      <c r="AV7" s="611"/>
      <c r="AW7" s="611"/>
      <c r="AX7" s="611"/>
      <c r="AY7" s="611"/>
      <c r="AZ7" s="619"/>
      <c r="BA7" s="580"/>
      <c r="BB7" s="581"/>
      <c r="BC7" s="581"/>
      <c r="BD7" s="581"/>
      <c r="BE7" s="581"/>
      <c r="BF7" s="581"/>
      <c r="BG7" s="581"/>
      <c r="BH7" s="581"/>
      <c r="BI7" s="581"/>
      <c r="BJ7" s="581"/>
      <c r="BK7" s="581"/>
      <c r="BL7" s="581"/>
      <c r="BM7" s="581"/>
      <c r="BN7" s="581"/>
      <c r="BO7" s="581"/>
      <c r="BP7" s="581"/>
      <c r="BQ7" s="581"/>
      <c r="BR7" s="581"/>
      <c r="BS7" s="581"/>
      <c r="BT7" s="581"/>
      <c r="BU7" s="581"/>
      <c r="BV7" s="581"/>
      <c r="BW7" s="581"/>
      <c r="BX7" s="581"/>
      <c r="BY7" s="581"/>
      <c r="BZ7" s="581"/>
      <c r="CA7" s="581"/>
      <c r="CB7" s="581"/>
      <c r="CC7" s="581"/>
      <c r="CD7" s="581"/>
      <c r="CE7" s="581"/>
      <c r="CF7" s="581"/>
      <c r="CG7" s="581"/>
      <c r="CH7" s="581"/>
      <c r="CI7" s="582"/>
    </row>
    <row r="8" spans="1:87" ht="15.75" customHeight="1">
      <c r="A8" s="620">
        <v>2.1</v>
      </c>
      <c r="B8" s="621"/>
      <c r="C8" s="563"/>
      <c r="D8" s="564"/>
      <c r="E8" s="564"/>
      <c r="F8" s="564"/>
      <c r="G8" s="564"/>
      <c r="H8" s="564"/>
      <c r="I8" s="565"/>
      <c r="J8" s="625" t="s">
        <v>209</v>
      </c>
      <c r="K8" s="626"/>
      <c r="L8" s="626"/>
      <c r="M8" s="626"/>
      <c r="N8" s="626"/>
      <c r="O8" s="626"/>
      <c r="P8" s="627"/>
      <c r="Q8" s="571" t="s">
        <v>208</v>
      </c>
      <c r="R8" s="572"/>
      <c r="S8" s="572"/>
      <c r="T8" s="572"/>
      <c r="U8" s="572"/>
      <c r="V8" s="572"/>
      <c r="W8" s="573"/>
      <c r="X8" s="622" t="s">
        <v>203</v>
      </c>
      <c r="Y8" s="623"/>
      <c r="Z8" s="623"/>
      <c r="AA8" s="624"/>
      <c r="AB8" s="613" t="s">
        <v>201</v>
      </c>
      <c r="AC8" s="614"/>
      <c r="AD8" s="613" t="s">
        <v>205</v>
      </c>
      <c r="AE8" s="614"/>
      <c r="AF8" s="628"/>
      <c r="AG8" s="629"/>
      <c r="AH8" s="629"/>
      <c r="AI8" s="629"/>
      <c r="AJ8" s="630"/>
      <c r="AK8" s="631"/>
      <c r="AL8" s="631"/>
      <c r="AM8" s="631"/>
      <c r="AN8" s="631"/>
      <c r="AO8" s="632"/>
      <c r="AP8" s="633" t="s">
        <v>179</v>
      </c>
      <c r="AQ8" s="634"/>
      <c r="AR8" s="634"/>
      <c r="AS8" s="634"/>
      <c r="AT8" s="634"/>
      <c r="AU8" s="634"/>
      <c r="AV8" s="634"/>
      <c r="AW8" s="634"/>
      <c r="AX8" s="634"/>
      <c r="AY8" s="634"/>
      <c r="AZ8" s="635"/>
      <c r="BA8" s="636"/>
      <c r="BB8" s="634"/>
      <c r="BC8" s="634"/>
      <c r="BD8" s="634"/>
      <c r="BE8" s="634"/>
      <c r="BF8" s="634"/>
      <c r="BG8" s="634"/>
      <c r="BH8" s="634"/>
      <c r="BI8" s="634"/>
      <c r="BJ8" s="634"/>
      <c r="BK8" s="634"/>
      <c r="BL8" s="634"/>
      <c r="BM8" s="634"/>
      <c r="BN8" s="634"/>
      <c r="BO8" s="634"/>
      <c r="BP8" s="634"/>
      <c r="BQ8" s="634"/>
      <c r="BR8" s="634"/>
      <c r="BS8" s="634"/>
      <c r="BT8" s="634"/>
      <c r="BU8" s="634"/>
      <c r="BV8" s="634"/>
      <c r="BW8" s="634"/>
      <c r="BX8" s="634"/>
      <c r="BY8" s="634"/>
      <c r="BZ8" s="634"/>
      <c r="CA8" s="634"/>
      <c r="CB8" s="634"/>
      <c r="CC8" s="634"/>
      <c r="CD8" s="634"/>
      <c r="CE8" s="634"/>
      <c r="CF8" s="634"/>
      <c r="CG8" s="634"/>
      <c r="CH8" s="634"/>
      <c r="CI8" s="637"/>
    </row>
    <row r="9" spans="1:87" ht="30.75" customHeight="1">
      <c r="A9" s="620">
        <v>2.2000000000000002</v>
      </c>
      <c r="B9" s="621"/>
      <c r="C9" s="571"/>
      <c r="D9" s="572"/>
      <c r="E9" s="572"/>
      <c r="F9" s="572"/>
      <c r="G9" s="572"/>
      <c r="H9" s="572"/>
      <c r="I9" s="573"/>
      <c r="J9" s="625" t="s">
        <v>265</v>
      </c>
      <c r="K9" s="626"/>
      <c r="L9" s="626"/>
      <c r="M9" s="626"/>
      <c r="N9" s="626"/>
      <c r="O9" s="626"/>
      <c r="P9" s="627"/>
      <c r="Q9" s="571" t="s">
        <v>208</v>
      </c>
      <c r="R9" s="572"/>
      <c r="S9" s="572"/>
      <c r="T9" s="572"/>
      <c r="U9" s="572"/>
      <c r="V9" s="572"/>
      <c r="W9" s="573"/>
      <c r="X9" s="622" t="s">
        <v>203</v>
      </c>
      <c r="Y9" s="623"/>
      <c r="Z9" s="623"/>
      <c r="AA9" s="624"/>
      <c r="AB9" s="613" t="s">
        <v>201</v>
      </c>
      <c r="AC9" s="614"/>
      <c r="AD9" s="613" t="s">
        <v>205</v>
      </c>
      <c r="AE9" s="614"/>
      <c r="AF9" s="615" t="s">
        <v>179</v>
      </c>
      <c r="AG9" s="616"/>
      <c r="AH9" s="616"/>
      <c r="AI9" s="617"/>
      <c r="AJ9" s="615"/>
      <c r="AK9" s="616"/>
      <c r="AL9" s="616"/>
      <c r="AM9" s="616"/>
      <c r="AN9" s="616"/>
      <c r="AO9" s="617"/>
      <c r="AP9" s="618" t="s">
        <v>179</v>
      </c>
      <c r="AQ9" s="611"/>
      <c r="AR9" s="611"/>
      <c r="AS9" s="611"/>
      <c r="AT9" s="611"/>
      <c r="AU9" s="611"/>
      <c r="AV9" s="611"/>
      <c r="AW9" s="611"/>
      <c r="AX9" s="611"/>
      <c r="AY9" s="611"/>
      <c r="AZ9" s="619"/>
      <c r="BA9" s="610"/>
      <c r="BB9" s="611"/>
      <c r="BC9" s="611"/>
      <c r="BD9" s="611"/>
      <c r="BE9" s="611"/>
      <c r="BF9" s="611"/>
      <c r="BG9" s="611"/>
      <c r="BH9" s="611"/>
      <c r="BI9" s="611"/>
      <c r="BJ9" s="611"/>
      <c r="BK9" s="611"/>
      <c r="BL9" s="611"/>
      <c r="BM9" s="611"/>
      <c r="BN9" s="611"/>
      <c r="BO9" s="611"/>
      <c r="BP9" s="611"/>
      <c r="BQ9" s="611"/>
      <c r="BR9" s="611"/>
      <c r="BS9" s="611"/>
      <c r="BT9" s="611"/>
      <c r="BU9" s="611"/>
      <c r="BV9" s="611"/>
      <c r="BW9" s="611"/>
      <c r="BX9" s="611"/>
      <c r="BY9" s="611"/>
      <c r="BZ9" s="611"/>
      <c r="CA9" s="611"/>
      <c r="CB9" s="611"/>
      <c r="CC9" s="611"/>
      <c r="CD9" s="611"/>
      <c r="CE9" s="611"/>
      <c r="CF9" s="611"/>
      <c r="CG9" s="611"/>
      <c r="CH9" s="611"/>
      <c r="CI9" s="612"/>
    </row>
    <row r="10" spans="1:87" ht="66.75" customHeight="1">
      <c r="A10" s="620" t="s">
        <v>266</v>
      </c>
      <c r="B10" s="621"/>
      <c r="C10" s="571"/>
      <c r="D10" s="572"/>
      <c r="E10" s="572"/>
      <c r="F10" s="572"/>
      <c r="G10" s="572"/>
      <c r="H10" s="572"/>
      <c r="I10" s="573"/>
      <c r="J10" s="625" t="s">
        <v>267</v>
      </c>
      <c r="K10" s="626"/>
      <c r="L10" s="626"/>
      <c r="M10" s="626"/>
      <c r="N10" s="626"/>
      <c r="O10" s="626"/>
      <c r="P10" s="627"/>
      <c r="Q10" s="571" t="s">
        <v>208</v>
      </c>
      <c r="R10" s="572"/>
      <c r="S10" s="572"/>
      <c r="T10" s="572"/>
      <c r="U10" s="572"/>
      <c r="V10" s="572"/>
      <c r="W10" s="573"/>
      <c r="X10" s="622" t="s">
        <v>203</v>
      </c>
      <c r="Y10" s="623"/>
      <c r="Z10" s="623"/>
      <c r="AA10" s="624"/>
      <c r="AB10" s="613" t="s">
        <v>201</v>
      </c>
      <c r="AC10" s="614"/>
      <c r="AD10" s="613" t="s">
        <v>205</v>
      </c>
      <c r="AE10" s="614"/>
      <c r="AF10" s="615" t="s">
        <v>179</v>
      </c>
      <c r="AG10" s="616"/>
      <c r="AH10" s="616"/>
      <c r="AI10" s="617"/>
      <c r="AJ10" s="615"/>
      <c r="AK10" s="616"/>
      <c r="AL10" s="616"/>
      <c r="AM10" s="616"/>
      <c r="AN10" s="616"/>
      <c r="AO10" s="617"/>
      <c r="AP10" s="618" t="s">
        <v>179</v>
      </c>
      <c r="AQ10" s="611"/>
      <c r="AR10" s="611"/>
      <c r="AS10" s="611"/>
      <c r="AT10" s="611"/>
      <c r="AU10" s="611"/>
      <c r="AV10" s="611"/>
      <c r="AW10" s="611"/>
      <c r="AX10" s="611"/>
      <c r="AY10" s="611"/>
      <c r="AZ10" s="619"/>
      <c r="BA10" s="610"/>
      <c r="BB10" s="611"/>
      <c r="BC10" s="611"/>
      <c r="BD10" s="611"/>
      <c r="BE10" s="611"/>
      <c r="BF10" s="611"/>
      <c r="BG10" s="611"/>
      <c r="BH10" s="611"/>
      <c r="BI10" s="611"/>
      <c r="BJ10" s="611"/>
      <c r="BK10" s="611"/>
      <c r="BL10" s="611"/>
      <c r="BM10" s="611"/>
      <c r="BN10" s="611"/>
      <c r="BO10" s="611"/>
      <c r="BP10" s="611"/>
      <c r="BQ10" s="611"/>
      <c r="BR10" s="611"/>
      <c r="BS10" s="611"/>
      <c r="BT10" s="611"/>
      <c r="BU10" s="611"/>
      <c r="BV10" s="611"/>
      <c r="BW10" s="611"/>
      <c r="BX10" s="611"/>
      <c r="BY10" s="611"/>
      <c r="BZ10" s="611"/>
      <c r="CA10" s="611"/>
      <c r="CB10" s="611"/>
      <c r="CC10" s="611"/>
      <c r="CD10" s="611"/>
      <c r="CE10" s="611"/>
      <c r="CF10" s="611"/>
      <c r="CG10" s="611"/>
      <c r="CH10" s="611"/>
      <c r="CI10" s="612"/>
    </row>
    <row r="11" spans="1:87">
      <c r="A11" s="620" t="s">
        <v>268</v>
      </c>
      <c r="B11" s="621"/>
      <c r="C11" s="571"/>
      <c r="D11" s="572"/>
      <c r="E11" s="572"/>
      <c r="F11" s="572"/>
      <c r="G11" s="572"/>
      <c r="H11" s="572"/>
      <c r="I11" s="573"/>
      <c r="J11" s="560" t="s">
        <v>269</v>
      </c>
      <c r="K11" s="561"/>
      <c r="L11" s="561"/>
      <c r="M11" s="561"/>
      <c r="N11" s="561"/>
      <c r="O11" s="561"/>
      <c r="P11" s="562"/>
      <c r="Q11" s="560" t="s">
        <v>207</v>
      </c>
      <c r="R11" s="561"/>
      <c r="S11" s="561"/>
      <c r="T11" s="561"/>
      <c r="U11" s="561"/>
      <c r="V11" s="561"/>
      <c r="W11" s="562"/>
      <c r="X11" s="622" t="s">
        <v>200</v>
      </c>
      <c r="Y11" s="623"/>
      <c r="Z11" s="623"/>
      <c r="AA11" s="624"/>
      <c r="AB11" s="613" t="s">
        <v>201</v>
      </c>
      <c r="AC11" s="614"/>
      <c r="AD11" s="613" t="s">
        <v>205</v>
      </c>
      <c r="AE11" s="614"/>
      <c r="AF11" s="615" t="s">
        <v>206</v>
      </c>
      <c r="AG11" s="616"/>
      <c r="AH11" s="616"/>
      <c r="AI11" s="617"/>
      <c r="AJ11" s="615"/>
      <c r="AK11" s="616"/>
      <c r="AL11" s="616"/>
      <c r="AM11" s="616"/>
      <c r="AN11" s="616"/>
      <c r="AO11" s="617"/>
      <c r="AP11" s="618" t="s">
        <v>206</v>
      </c>
      <c r="AQ11" s="611"/>
      <c r="AR11" s="611"/>
      <c r="AS11" s="611"/>
      <c r="AT11" s="611"/>
      <c r="AU11" s="611"/>
      <c r="AV11" s="611"/>
      <c r="AW11" s="611"/>
      <c r="AX11" s="611"/>
      <c r="AY11" s="611"/>
      <c r="AZ11" s="619"/>
      <c r="BA11" s="610"/>
      <c r="BB11" s="611"/>
      <c r="BC11" s="611"/>
      <c r="BD11" s="611"/>
      <c r="BE11" s="611"/>
      <c r="BF11" s="611"/>
      <c r="BG11" s="611"/>
      <c r="BH11" s="611"/>
      <c r="BI11" s="611"/>
      <c r="BJ11" s="611"/>
      <c r="BK11" s="611"/>
      <c r="BL11" s="611"/>
      <c r="BM11" s="611"/>
      <c r="BN11" s="611"/>
      <c r="BO11" s="611"/>
      <c r="BP11" s="611"/>
      <c r="BQ11" s="611"/>
      <c r="BR11" s="611"/>
      <c r="BS11" s="611"/>
      <c r="BT11" s="611"/>
      <c r="BU11" s="611"/>
      <c r="BV11" s="611"/>
      <c r="BW11" s="611"/>
      <c r="BX11" s="611"/>
      <c r="BY11" s="611"/>
      <c r="BZ11" s="611"/>
      <c r="CA11" s="611"/>
      <c r="CB11" s="611"/>
      <c r="CC11" s="611"/>
      <c r="CD11" s="611"/>
      <c r="CE11" s="611"/>
      <c r="CF11" s="611"/>
      <c r="CG11" s="611"/>
      <c r="CH11" s="611"/>
      <c r="CI11" s="612"/>
    </row>
    <row r="12" spans="1:87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8"/>
      <c r="AB12" s="458"/>
      <c r="AC12" s="458"/>
      <c r="AD12" s="458"/>
      <c r="AE12" s="458"/>
      <c r="AF12" s="458"/>
      <c r="AG12" s="458"/>
      <c r="AH12" s="458"/>
      <c r="AI12" s="458"/>
      <c r="AJ12" s="461"/>
      <c r="AK12" s="461"/>
      <c r="AL12" s="461"/>
      <c r="AM12" s="461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8"/>
      <c r="AZ12" s="458"/>
      <c r="BA12" s="458"/>
      <c r="BB12" s="458"/>
      <c r="BC12" s="458"/>
      <c r="BD12" s="458"/>
      <c r="BE12" s="458"/>
      <c r="BF12" s="458"/>
      <c r="BG12" s="458"/>
      <c r="BH12" s="458"/>
      <c r="BI12" s="458"/>
      <c r="BJ12" s="458"/>
      <c r="BK12" s="458"/>
      <c r="BL12" s="458"/>
      <c r="BM12" s="458"/>
      <c r="BN12" s="458"/>
      <c r="BO12" s="458"/>
      <c r="BP12" s="458"/>
      <c r="BQ12" s="458"/>
      <c r="BR12" s="458"/>
      <c r="BS12" s="458"/>
      <c r="BT12" s="458"/>
      <c r="BU12" s="458"/>
      <c r="BV12" s="458"/>
      <c r="BW12" s="458"/>
      <c r="BX12" s="458"/>
      <c r="BY12" s="458"/>
      <c r="BZ12" s="458"/>
      <c r="CA12" s="458"/>
      <c r="CB12" s="458"/>
      <c r="CC12" s="458"/>
      <c r="CD12" s="458"/>
      <c r="CE12" s="458"/>
      <c r="CF12" s="458"/>
      <c r="CG12" s="458"/>
      <c r="CH12" s="458"/>
      <c r="CI12" s="458"/>
    </row>
    <row r="13" spans="1:87">
      <c r="A13" s="593" t="s">
        <v>210</v>
      </c>
      <c r="B13" s="593"/>
      <c r="C13" s="593"/>
      <c r="D13" s="593"/>
      <c r="E13" s="593"/>
      <c r="F13" s="593"/>
      <c r="G13" s="593"/>
      <c r="H13" s="593"/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8"/>
      <c r="Z13" s="458"/>
      <c r="AA13" s="458"/>
      <c r="AB13" s="458"/>
      <c r="AC13" s="458"/>
      <c r="AD13" s="458"/>
      <c r="AE13" s="458"/>
      <c r="AF13" s="458"/>
      <c r="AG13" s="458"/>
      <c r="AH13" s="458"/>
      <c r="AI13" s="458"/>
      <c r="AJ13" s="458"/>
      <c r="AK13" s="458"/>
      <c r="AL13" s="458"/>
      <c r="AM13" s="458"/>
      <c r="AN13" s="458"/>
      <c r="AO13" s="458"/>
      <c r="AP13" s="458"/>
      <c r="AQ13" s="458"/>
      <c r="AR13" s="458"/>
      <c r="AS13" s="458"/>
      <c r="AT13" s="458"/>
      <c r="AU13" s="458"/>
      <c r="AV13" s="458"/>
      <c r="AW13" s="458"/>
      <c r="AX13" s="458"/>
      <c r="AY13" s="458"/>
      <c r="AZ13" s="458"/>
      <c r="BA13" s="458"/>
      <c r="BB13" s="458"/>
      <c r="BC13" s="458"/>
      <c r="BD13" s="458"/>
      <c r="BE13" s="458"/>
      <c r="BF13" s="458"/>
      <c r="BG13" s="458"/>
      <c r="BH13" s="458"/>
      <c r="BI13" s="458"/>
      <c r="BJ13" s="458"/>
      <c r="BK13" s="458"/>
      <c r="BL13" s="458"/>
      <c r="BM13" s="458"/>
      <c r="BN13" s="458"/>
      <c r="BO13" s="458"/>
      <c r="BP13" s="458"/>
      <c r="BQ13" s="458"/>
      <c r="BR13" s="458"/>
      <c r="BS13" s="458"/>
      <c r="BT13" s="458"/>
      <c r="BU13" s="458"/>
      <c r="BV13" s="458"/>
      <c r="BW13" s="458"/>
      <c r="BX13" s="458"/>
      <c r="BY13" s="458"/>
      <c r="BZ13" s="458"/>
      <c r="CA13" s="458"/>
      <c r="CB13" s="458"/>
      <c r="CC13" s="458"/>
      <c r="CD13" s="458"/>
      <c r="CE13" s="458"/>
      <c r="CF13" s="458"/>
      <c r="CG13" s="458"/>
      <c r="CH13" s="459"/>
      <c r="CI13" s="459"/>
    </row>
    <row r="14" spans="1:87" ht="21" customHeight="1">
      <c r="A14" s="594" t="s">
        <v>211</v>
      </c>
      <c r="B14" s="595"/>
      <c r="C14" s="598" t="s">
        <v>212</v>
      </c>
      <c r="D14" s="599"/>
      <c r="E14" s="599"/>
      <c r="F14" s="599"/>
      <c r="G14" s="599"/>
      <c r="H14" s="599"/>
      <c r="I14" s="599"/>
      <c r="J14" s="602" t="s">
        <v>213</v>
      </c>
      <c r="K14" s="603"/>
      <c r="L14" s="603"/>
      <c r="M14" s="603"/>
      <c r="N14" s="603"/>
      <c r="O14" s="603"/>
      <c r="P14" s="603"/>
      <c r="Q14" s="603"/>
      <c r="R14" s="603"/>
      <c r="S14" s="603"/>
      <c r="T14" s="603"/>
      <c r="U14" s="603"/>
      <c r="V14" s="603"/>
      <c r="W14" s="604"/>
      <c r="X14" s="602" t="s">
        <v>214</v>
      </c>
      <c r="Y14" s="603"/>
      <c r="Z14" s="603"/>
      <c r="AA14" s="603"/>
      <c r="AB14" s="603"/>
      <c r="AC14" s="603"/>
      <c r="AD14" s="603"/>
      <c r="AE14" s="594" t="s">
        <v>215</v>
      </c>
      <c r="AF14" s="608"/>
      <c r="AG14" s="608"/>
      <c r="AH14" s="608"/>
      <c r="AI14" s="608"/>
      <c r="AJ14" s="608"/>
      <c r="AK14" s="608"/>
      <c r="AL14" s="595"/>
      <c r="AM14" s="602" t="s">
        <v>216</v>
      </c>
      <c r="AN14" s="603"/>
      <c r="AO14" s="603"/>
      <c r="AP14" s="603"/>
      <c r="AQ14" s="603"/>
      <c r="AR14" s="603"/>
      <c r="AS14" s="603"/>
      <c r="AT14" s="603"/>
      <c r="AU14" s="603"/>
      <c r="AV14" s="604"/>
      <c r="AW14" s="602" t="s">
        <v>217</v>
      </c>
      <c r="AX14" s="603"/>
      <c r="AY14" s="603"/>
      <c r="AZ14" s="603"/>
      <c r="BA14" s="603"/>
      <c r="BB14" s="603"/>
      <c r="BC14" s="603"/>
      <c r="BD14" s="603"/>
      <c r="BE14" s="603"/>
      <c r="BF14" s="603"/>
      <c r="BG14" s="603"/>
      <c r="BH14" s="603"/>
      <c r="BI14" s="603"/>
      <c r="BJ14" s="603"/>
      <c r="BK14" s="603"/>
      <c r="BL14" s="603"/>
      <c r="BM14" s="603"/>
      <c r="BN14" s="603"/>
      <c r="BO14" s="603"/>
      <c r="BP14" s="603"/>
      <c r="BQ14" s="603"/>
      <c r="BR14" s="603"/>
      <c r="BS14" s="603"/>
      <c r="BT14" s="603"/>
      <c r="BU14" s="603"/>
      <c r="BV14" s="603"/>
      <c r="BW14" s="603"/>
      <c r="BX14" s="603"/>
      <c r="BY14" s="603"/>
      <c r="BZ14" s="603"/>
      <c r="CA14" s="603"/>
      <c r="CB14" s="603"/>
      <c r="CC14" s="603"/>
      <c r="CD14" s="603"/>
      <c r="CE14" s="603"/>
      <c r="CF14" s="603"/>
      <c r="CG14" s="603"/>
      <c r="CH14" s="603"/>
      <c r="CI14" s="604"/>
    </row>
    <row r="15" spans="1:87" ht="21" customHeight="1">
      <c r="A15" s="596"/>
      <c r="B15" s="597"/>
      <c r="C15" s="600"/>
      <c r="D15" s="601"/>
      <c r="E15" s="601"/>
      <c r="F15" s="601"/>
      <c r="G15" s="601"/>
      <c r="H15" s="601"/>
      <c r="I15" s="601"/>
      <c r="J15" s="605"/>
      <c r="K15" s="606"/>
      <c r="L15" s="606"/>
      <c r="M15" s="606"/>
      <c r="N15" s="606"/>
      <c r="O15" s="606"/>
      <c r="P15" s="606"/>
      <c r="Q15" s="606"/>
      <c r="R15" s="606"/>
      <c r="S15" s="606"/>
      <c r="T15" s="606"/>
      <c r="U15" s="606"/>
      <c r="V15" s="606"/>
      <c r="W15" s="607"/>
      <c r="X15" s="605"/>
      <c r="Y15" s="606"/>
      <c r="Z15" s="606"/>
      <c r="AA15" s="606"/>
      <c r="AB15" s="606"/>
      <c r="AC15" s="606"/>
      <c r="AD15" s="606"/>
      <c r="AE15" s="596"/>
      <c r="AF15" s="609"/>
      <c r="AG15" s="609"/>
      <c r="AH15" s="609"/>
      <c r="AI15" s="609"/>
      <c r="AJ15" s="609"/>
      <c r="AK15" s="609"/>
      <c r="AL15" s="597"/>
      <c r="AM15" s="605"/>
      <c r="AN15" s="606"/>
      <c r="AO15" s="606"/>
      <c r="AP15" s="606"/>
      <c r="AQ15" s="606"/>
      <c r="AR15" s="606"/>
      <c r="AS15" s="606"/>
      <c r="AT15" s="606"/>
      <c r="AU15" s="606"/>
      <c r="AV15" s="607"/>
      <c r="AW15" s="605"/>
      <c r="AX15" s="606"/>
      <c r="AY15" s="606"/>
      <c r="AZ15" s="606"/>
      <c r="BA15" s="606"/>
      <c r="BB15" s="606"/>
      <c r="BC15" s="606"/>
      <c r="BD15" s="606"/>
      <c r="BE15" s="606"/>
      <c r="BF15" s="606"/>
      <c r="BG15" s="606"/>
      <c r="BH15" s="606"/>
      <c r="BI15" s="606"/>
      <c r="BJ15" s="606"/>
      <c r="BK15" s="606"/>
      <c r="BL15" s="606"/>
      <c r="BM15" s="606"/>
      <c r="BN15" s="606"/>
      <c r="BO15" s="606"/>
      <c r="BP15" s="606"/>
      <c r="BQ15" s="606"/>
      <c r="BR15" s="606"/>
      <c r="BS15" s="606"/>
      <c r="BT15" s="606"/>
      <c r="BU15" s="606"/>
      <c r="BV15" s="606"/>
      <c r="BW15" s="606"/>
      <c r="BX15" s="606"/>
      <c r="BY15" s="606"/>
      <c r="BZ15" s="606"/>
      <c r="CA15" s="606"/>
      <c r="CB15" s="606"/>
      <c r="CC15" s="606"/>
      <c r="CD15" s="606"/>
      <c r="CE15" s="606"/>
      <c r="CF15" s="606"/>
      <c r="CG15" s="606"/>
      <c r="CH15" s="606"/>
      <c r="CI15" s="607"/>
    </row>
    <row r="16" spans="1:87" s="457" customFormat="1" ht="42.75" customHeight="1">
      <c r="A16" s="558">
        <v>1</v>
      </c>
      <c r="B16" s="559"/>
      <c r="C16" s="583" t="s">
        <v>218</v>
      </c>
      <c r="D16" s="584"/>
      <c r="E16" s="584"/>
      <c r="F16" s="584"/>
      <c r="G16" s="584"/>
      <c r="H16" s="584"/>
      <c r="I16" s="585"/>
      <c r="J16" s="586"/>
      <c r="K16" s="587"/>
      <c r="L16" s="587"/>
      <c r="M16" s="587"/>
      <c r="N16" s="587"/>
      <c r="O16" s="587"/>
      <c r="P16" s="588"/>
      <c r="Q16" s="586" t="s">
        <v>219</v>
      </c>
      <c r="R16" s="587"/>
      <c r="S16" s="587"/>
      <c r="T16" s="587"/>
      <c r="U16" s="587"/>
      <c r="V16" s="587"/>
      <c r="W16" s="589"/>
      <c r="X16" s="558" t="s">
        <v>220</v>
      </c>
      <c r="Y16" s="590"/>
      <c r="Z16" s="590"/>
      <c r="AA16" s="590"/>
      <c r="AB16" s="590"/>
      <c r="AC16" s="590"/>
      <c r="AD16" s="591"/>
      <c r="AE16" s="592" t="s">
        <v>221</v>
      </c>
      <c r="AF16" s="590"/>
      <c r="AG16" s="590"/>
      <c r="AH16" s="590"/>
      <c r="AI16" s="590"/>
      <c r="AJ16" s="590"/>
      <c r="AK16" s="590"/>
      <c r="AL16" s="559"/>
      <c r="AM16" s="577" t="s">
        <v>179</v>
      </c>
      <c r="AN16" s="578"/>
      <c r="AO16" s="578"/>
      <c r="AP16" s="578"/>
      <c r="AQ16" s="578"/>
      <c r="AR16" s="578"/>
      <c r="AS16" s="578"/>
      <c r="AT16" s="578"/>
      <c r="AU16" s="578"/>
      <c r="AV16" s="579"/>
      <c r="AW16" s="580" t="s">
        <v>270</v>
      </c>
      <c r="AX16" s="581"/>
      <c r="AY16" s="581"/>
      <c r="AZ16" s="581"/>
      <c r="BA16" s="581"/>
      <c r="BB16" s="581"/>
      <c r="BC16" s="581"/>
      <c r="BD16" s="581"/>
      <c r="BE16" s="581"/>
      <c r="BF16" s="581"/>
      <c r="BG16" s="581"/>
      <c r="BH16" s="581"/>
      <c r="BI16" s="581"/>
      <c r="BJ16" s="581"/>
      <c r="BK16" s="581"/>
      <c r="BL16" s="581"/>
      <c r="BM16" s="581"/>
      <c r="BN16" s="581"/>
      <c r="BO16" s="581"/>
      <c r="BP16" s="581"/>
      <c r="BQ16" s="581"/>
      <c r="BR16" s="581"/>
      <c r="BS16" s="581"/>
      <c r="BT16" s="581"/>
      <c r="BU16" s="581"/>
      <c r="BV16" s="581"/>
      <c r="BW16" s="581"/>
      <c r="BX16" s="581"/>
      <c r="BY16" s="581"/>
      <c r="BZ16" s="581"/>
      <c r="CA16" s="581"/>
      <c r="CB16" s="581"/>
      <c r="CC16" s="581"/>
      <c r="CD16" s="581"/>
      <c r="CE16" s="581"/>
      <c r="CF16" s="581"/>
      <c r="CG16" s="581"/>
      <c r="CH16" s="581"/>
      <c r="CI16" s="582"/>
    </row>
    <row r="17" spans="1:87" s="459" customFormat="1" ht="33" customHeight="1">
      <c r="A17" s="558">
        <v>2</v>
      </c>
      <c r="B17" s="559"/>
      <c r="C17" s="560" t="s">
        <v>271</v>
      </c>
      <c r="D17" s="561"/>
      <c r="E17" s="561"/>
      <c r="F17" s="561"/>
      <c r="G17" s="561"/>
      <c r="H17" s="561"/>
      <c r="I17" s="562"/>
      <c r="J17" s="563"/>
      <c r="K17" s="564"/>
      <c r="L17" s="564"/>
      <c r="M17" s="564"/>
      <c r="N17" s="564"/>
      <c r="O17" s="564"/>
      <c r="P17" s="565"/>
      <c r="Q17" s="560" t="s">
        <v>272</v>
      </c>
      <c r="R17" s="561"/>
      <c r="S17" s="561"/>
      <c r="T17" s="561"/>
      <c r="U17" s="561"/>
      <c r="V17" s="561"/>
      <c r="W17" s="562"/>
      <c r="X17" s="566" t="s">
        <v>222</v>
      </c>
      <c r="Y17" s="567"/>
      <c r="Z17" s="567"/>
      <c r="AA17" s="567"/>
      <c r="AB17" s="567"/>
      <c r="AC17" s="567"/>
      <c r="AD17" s="568"/>
      <c r="AE17" s="569" t="s">
        <v>221</v>
      </c>
      <c r="AF17" s="567"/>
      <c r="AG17" s="567"/>
      <c r="AH17" s="567"/>
      <c r="AI17" s="567"/>
      <c r="AJ17" s="567"/>
      <c r="AK17" s="567"/>
      <c r="AL17" s="570"/>
      <c r="AM17" s="574" t="s">
        <v>273</v>
      </c>
      <c r="AN17" s="575"/>
      <c r="AO17" s="575"/>
      <c r="AP17" s="575"/>
      <c r="AQ17" s="575"/>
      <c r="AR17" s="575"/>
      <c r="AS17" s="575"/>
      <c r="AT17" s="575"/>
      <c r="AU17" s="575"/>
      <c r="AV17" s="576"/>
      <c r="AW17" s="557" t="s">
        <v>328</v>
      </c>
      <c r="AX17" s="557"/>
      <c r="AY17" s="557"/>
      <c r="AZ17" s="557"/>
      <c r="BA17" s="557"/>
      <c r="BB17" s="557"/>
      <c r="BC17" s="557"/>
      <c r="BD17" s="557"/>
      <c r="BE17" s="557"/>
      <c r="BF17" s="557"/>
      <c r="BG17" s="557"/>
      <c r="BH17" s="557"/>
      <c r="BI17" s="557"/>
      <c r="BJ17" s="557"/>
      <c r="BK17" s="557"/>
      <c r="BL17" s="557"/>
      <c r="BM17" s="557"/>
      <c r="BN17" s="557"/>
      <c r="BO17" s="557"/>
      <c r="BP17" s="557"/>
      <c r="BQ17" s="557"/>
      <c r="BR17" s="557"/>
      <c r="BS17" s="557"/>
      <c r="BT17" s="557"/>
      <c r="BU17" s="557"/>
      <c r="BV17" s="557"/>
      <c r="BW17" s="557"/>
      <c r="BX17" s="557"/>
      <c r="BY17" s="557"/>
      <c r="BZ17" s="557"/>
      <c r="CA17" s="557"/>
      <c r="CB17" s="557"/>
      <c r="CC17" s="557"/>
      <c r="CD17" s="557"/>
      <c r="CE17" s="557"/>
      <c r="CF17" s="557"/>
      <c r="CG17" s="557"/>
      <c r="CH17" s="557"/>
      <c r="CI17" s="557"/>
    </row>
    <row r="18" spans="1:87" s="459" customFormat="1">
      <c r="A18" s="558">
        <v>3</v>
      </c>
      <c r="B18" s="559"/>
      <c r="C18" s="560"/>
      <c r="D18" s="561"/>
      <c r="E18" s="561"/>
      <c r="F18" s="561"/>
      <c r="G18" s="561"/>
      <c r="H18" s="561"/>
      <c r="I18" s="562"/>
      <c r="J18" s="563"/>
      <c r="K18" s="564"/>
      <c r="L18" s="564"/>
      <c r="M18" s="564"/>
      <c r="N18" s="564"/>
      <c r="O18" s="564"/>
      <c r="P18" s="565"/>
      <c r="Q18" s="560"/>
      <c r="R18" s="561"/>
      <c r="S18" s="561"/>
      <c r="T18" s="561"/>
      <c r="U18" s="561"/>
      <c r="V18" s="561"/>
      <c r="W18" s="562"/>
      <c r="X18" s="566"/>
      <c r="Y18" s="567"/>
      <c r="Z18" s="567"/>
      <c r="AA18" s="567"/>
      <c r="AB18" s="567"/>
      <c r="AC18" s="567"/>
      <c r="AD18" s="568"/>
      <c r="AE18" s="569"/>
      <c r="AF18" s="567"/>
      <c r="AG18" s="567"/>
      <c r="AH18" s="567"/>
      <c r="AI18" s="567"/>
      <c r="AJ18" s="567"/>
      <c r="AK18" s="567"/>
      <c r="AL18" s="570"/>
      <c r="AM18" s="554"/>
      <c r="AN18" s="555"/>
      <c r="AO18" s="555"/>
      <c r="AP18" s="555"/>
      <c r="AQ18" s="555"/>
      <c r="AR18" s="555"/>
      <c r="AS18" s="555"/>
      <c r="AT18" s="555"/>
      <c r="AU18" s="555"/>
      <c r="AV18" s="556"/>
      <c r="AW18" s="557"/>
      <c r="AX18" s="557"/>
      <c r="AY18" s="557"/>
      <c r="AZ18" s="557"/>
      <c r="BA18" s="557"/>
      <c r="BB18" s="557"/>
      <c r="BC18" s="557"/>
      <c r="BD18" s="557"/>
      <c r="BE18" s="557"/>
      <c r="BF18" s="557"/>
      <c r="BG18" s="557"/>
      <c r="BH18" s="557"/>
      <c r="BI18" s="557"/>
      <c r="BJ18" s="557"/>
      <c r="BK18" s="557"/>
      <c r="BL18" s="557"/>
      <c r="BM18" s="557"/>
      <c r="BN18" s="557"/>
      <c r="BO18" s="557"/>
      <c r="BP18" s="557"/>
      <c r="BQ18" s="557"/>
      <c r="BR18" s="557"/>
      <c r="BS18" s="557"/>
      <c r="BT18" s="557"/>
      <c r="BU18" s="557"/>
      <c r="BV18" s="557"/>
      <c r="BW18" s="557"/>
      <c r="BX18" s="557"/>
      <c r="BY18" s="557"/>
      <c r="BZ18" s="557"/>
      <c r="CA18" s="557"/>
      <c r="CB18" s="557"/>
      <c r="CC18" s="557"/>
      <c r="CD18" s="557"/>
      <c r="CE18" s="557"/>
      <c r="CF18" s="557"/>
      <c r="CG18" s="557"/>
      <c r="CH18" s="557"/>
      <c r="CI18" s="557"/>
    </row>
    <row r="19" spans="1:87">
      <c r="A19" s="558">
        <v>4</v>
      </c>
      <c r="B19" s="559"/>
      <c r="C19" s="571"/>
      <c r="D19" s="572"/>
      <c r="E19" s="572"/>
      <c r="F19" s="572"/>
      <c r="G19" s="572"/>
      <c r="H19" s="572"/>
      <c r="I19" s="573"/>
      <c r="J19" s="563"/>
      <c r="K19" s="564"/>
      <c r="L19" s="564"/>
      <c r="M19" s="564"/>
      <c r="N19" s="564"/>
      <c r="O19" s="564"/>
      <c r="P19" s="565"/>
      <c r="Q19" s="571"/>
      <c r="R19" s="572"/>
      <c r="S19" s="572"/>
      <c r="T19" s="572"/>
      <c r="U19" s="572"/>
      <c r="V19" s="572"/>
      <c r="W19" s="573"/>
      <c r="X19" s="566"/>
      <c r="Y19" s="567"/>
      <c r="Z19" s="567"/>
      <c r="AA19" s="567"/>
      <c r="AB19" s="567"/>
      <c r="AC19" s="567"/>
      <c r="AD19" s="568"/>
      <c r="AE19" s="569"/>
      <c r="AF19" s="567"/>
      <c r="AG19" s="567"/>
      <c r="AH19" s="567"/>
      <c r="AI19" s="567"/>
      <c r="AJ19" s="567"/>
      <c r="AK19" s="567"/>
      <c r="AL19" s="570"/>
      <c r="AM19" s="554"/>
      <c r="AN19" s="555"/>
      <c r="AO19" s="555"/>
      <c r="AP19" s="555"/>
      <c r="AQ19" s="555"/>
      <c r="AR19" s="555"/>
      <c r="AS19" s="555"/>
      <c r="AT19" s="555"/>
      <c r="AU19" s="555"/>
      <c r="AV19" s="556"/>
      <c r="AW19" s="557"/>
      <c r="AX19" s="557"/>
      <c r="AY19" s="557"/>
      <c r="AZ19" s="557"/>
      <c r="BA19" s="557"/>
      <c r="BB19" s="557"/>
      <c r="BC19" s="557"/>
      <c r="BD19" s="557"/>
      <c r="BE19" s="557"/>
      <c r="BF19" s="557"/>
      <c r="BG19" s="557"/>
      <c r="BH19" s="557"/>
      <c r="BI19" s="557"/>
      <c r="BJ19" s="557"/>
      <c r="BK19" s="557"/>
      <c r="BL19" s="557"/>
      <c r="BM19" s="557"/>
      <c r="BN19" s="557"/>
      <c r="BO19" s="557"/>
      <c r="BP19" s="557"/>
      <c r="BQ19" s="557"/>
      <c r="BR19" s="557"/>
      <c r="BS19" s="557"/>
      <c r="BT19" s="557"/>
      <c r="BU19" s="557"/>
      <c r="BV19" s="557"/>
      <c r="BW19" s="557"/>
      <c r="BX19" s="557"/>
      <c r="BY19" s="557"/>
      <c r="BZ19" s="557"/>
      <c r="CA19" s="557"/>
      <c r="CB19" s="557"/>
      <c r="CC19" s="557"/>
      <c r="CD19" s="557"/>
      <c r="CE19" s="557"/>
      <c r="CF19" s="557"/>
      <c r="CG19" s="557"/>
      <c r="CH19" s="557"/>
      <c r="CI19" s="557"/>
    </row>
    <row r="20" spans="1:87">
      <c r="A20" s="558">
        <v>5</v>
      </c>
      <c r="B20" s="559"/>
      <c r="C20" s="560"/>
      <c r="D20" s="561"/>
      <c r="E20" s="561"/>
      <c r="F20" s="561"/>
      <c r="G20" s="561"/>
      <c r="H20" s="561"/>
      <c r="I20" s="562"/>
      <c r="J20" s="563"/>
      <c r="K20" s="564"/>
      <c r="L20" s="564"/>
      <c r="M20" s="564"/>
      <c r="N20" s="564"/>
      <c r="O20" s="564"/>
      <c r="P20" s="565"/>
      <c r="Q20" s="560"/>
      <c r="R20" s="561"/>
      <c r="S20" s="561"/>
      <c r="T20" s="561"/>
      <c r="U20" s="561"/>
      <c r="V20" s="561"/>
      <c r="W20" s="562"/>
      <c r="X20" s="566"/>
      <c r="Y20" s="567"/>
      <c r="Z20" s="567"/>
      <c r="AA20" s="567"/>
      <c r="AB20" s="567"/>
      <c r="AC20" s="567"/>
      <c r="AD20" s="568"/>
      <c r="AE20" s="569"/>
      <c r="AF20" s="567"/>
      <c r="AG20" s="567"/>
      <c r="AH20" s="567"/>
      <c r="AI20" s="567"/>
      <c r="AJ20" s="567"/>
      <c r="AK20" s="567"/>
      <c r="AL20" s="570"/>
      <c r="AM20" s="554"/>
      <c r="AN20" s="555"/>
      <c r="AO20" s="555"/>
      <c r="AP20" s="555"/>
      <c r="AQ20" s="555"/>
      <c r="AR20" s="555"/>
      <c r="AS20" s="555"/>
      <c r="AT20" s="555"/>
      <c r="AU20" s="555"/>
      <c r="AV20" s="556"/>
      <c r="AW20" s="557"/>
      <c r="AX20" s="557"/>
      <c r="AY20" s="557"/>
      <c r="AZ20" s="557"/>
      <c r="BA20" s="557"/>
      <c r="BB20" s="557"/>
      <c r="BC20" s="557"/>
      <c r="BD20" s="557"/>
      <c r="BE20" s="557"/>
      <c r="BF20" s="557"/>
      <c r="BG20" s="557"/>
      <c r="BH20" s="557"/>
      <c r="BI20" s="557"/>
      <c r="BJ20" s="557"/>
      <c r="BK20" s="557"/>
      <c r="BL20" s="557"/>
      <c r="BM20" s="557"/>
      <c r="BN20" s="557"/>
      <c r="BO20" s="557"/>
      <c r="BP20" s="557"/>
      <c r="BQ20" s="557"/>
      <c r="BR20" s="557"/>
      <c r="BS20" s="557"/>
      <c r="BT20" s="557"/>
      <c r="BU20" s="557"/>
      <c r="BV20" s="557"/>
      <c r="BW20" s="557"/>
      <c r="BX20" s="557"/>
      <c r="BY20" s="557"/>
      <c r="BZ20" s="557"/>
      <c r="CA20" s="557"/>
      <c r="CB20" s="557"/>
      <c r="CC20" s="557"/>
      <c r="CD20" s="557"/>
      <c r="CE20" s="557"/>
      <c r="CF20" s="557"/>
      <c r="CG20" s="557"/>
      <c r="CH20" s="557"/>
      <c r="CI20" s="557"/>
    </row>
    <row r="23" spans="1:87">
      <c r="C23" s="462" t="s">
        <v>223</v>
      </c>
      <c r="D23" s="463"/>
      <c r="E23" s="464"/>
      <c r="F23" s="465"/>
      <c r="G23" s="465"/>
      <c r="H23" s="465"/>
      <c r="I23" s="465"/>
      <c r="J23" s="465"/>
      <c r="K23" s="465"/>
      <c r="L23" s="466"/>
      <c r="P23" s="467" t="s">
        <v>224</v>
      </c>
      <c r="Q23" s="468"/>
      <c r="R23" s="468"/>
      <c r="S23" s="469"/>
      <c r="T23" s="470"/>
      <c r="U23" s="467" t="s">
        <v>187</v>
      </c>
      <c r="V23" s="469"/>
      <c r="Y23" s="471" t="s">
        <v>188</v>
      </c>
      <c r="Z23" s="472"/>
      <c r="AA23" s="471"/>
      <c r="AB23" s="472"/>
      <c r="AC23" s="472"/>
      <c r="AD23" s="472"/>
      <c r="AE23" s="473"/>
    </row>
    <row r="24" spans="1:87">
      <c r="C24" s="474" t="s">
        <v>225</v>
      </c>
      <c r="D24" s="464"/>
      <c r="E24" s="464"/>
      <c r="F24" s="465"/>
      <c r="G24" s="465"/>
      <c r="H24" s="465"/>
      <c r="I24" s="464"/>
      <c r="J24" s="465"/>
      <c r="K24" s="465"/>
      <c r="L24" s="466"/>
      <c r="P24" s="475" t="s">
        <v>226</v>
      </c>
      <c r="Q24" s="476"/>
      <c r="R24" s="476"/>
      <c r="S24" s="477"/>
      <c r="T24" s="470"/>
      <c r="U24" s="475" t="s">
        <v>204</v>
      </c>
      <c r="V24" s="477"/>
      <c r="Y24" s="471" t="s">
        <v>227</v>
      </c>
      <c r="Z24" s="472"/>
      <c r="AA24" s="471" t="s">
        <v>228</v>
      </c>
      <c r="AB24" s="472"/>
      <c r="AC24" s="472"/>
      <c r="AD24" s="472"/>
      <c r="AE24" s="473"/>
    </row>
    <row r="25" spans="1:87">
      <c r="C25" s="474" t="s">
        <v>229</v>
      </c>
      <c r="D25" s="464"/>
      <c r="E25" s="464"/>
      <c r="F25" s="465"/>
      <c r="G25" s="465"/>
      <c r="H25" s="465"/>
      <c r="I25" s="464"/>
      <c r="J25" s="465"/>
      <c r="K25" s="465"/>
      <c r="L25" s="466"/>
      <c r="P25" s="475" t="s">
        <v>230</v>
      </c>
      <c r="Q25" s="476"/>
      <c r="R25" s="476"/>
      <c r="S25" s="477"/>
      <c r="T25" s="470"/>
      <c r="U25" s="475" t="s">
        <v>201</v>
      </c>
      <c r="V25" s="477"/>
      <c r="Y25" s="471" t="s">
        <v>231</v>
      </c>
      <c r="Z25" s="472"/>
      <c r="AA25" s="471" t="s">
        <v>232</v>
      </c>
      <c r="AB25" s="472"/>
      <c r="AC25" s="472"/>
      <c r="AD25" s="472"/>
      <c r="AE25" s="473"/>
    </row>
    <row r="26" spans="1:87">
      <c r="C26" s="474" t="s">
        <v>233</v>
      </c>
      <c r="D26" s="464"/>
      <c r="E26" s="464"/>
      <c r="F26" s="465"/>
      <c r="G26" s="465"/>
      <c r="H26" s="465"/>
      <c r="I26" s="464"/>
      <c r="J26" s="465"/>
      <c r="K26" s="465"/>
      <c r="L26" s="466"/>
      <c r="T26" s="470"/>
      <c r="U26" s="475" t="s">
        <v>187</v>
      </c>
      <c r="V26" s="477"/>
      <c r="Y26" s="478" t="s">
        <v>234</v>
      </c>
      <c r="Z26" s="479"/>
      <c r="AA26" s="478" t="s">
        <v>235</v>
      </c>
      <c r="AB26" s="479"/>
      <c r="AC26" s="479"/>
      <c r="AD26" s="479"/>
      <c r="AE26" s="480"/>
    </row>
    <row r="27" spans="1:87">
      <c r="C27" s="474" t="s">
        <v>236</v>
      </c>
      <c r="D27" s="464"/>
      <c r="E27" s="464"/>
      <c r="F27" s="465"/>
      <c r="G27" s="465"/>
      <c r="H27" s="465"/>
      <c r="I27" s="464"/>
      <c r="J27" s="465"/>
      <c r="K27" s="465"/>
      <c r="L27" s="466"/>
      <c r="T27" s="470"/>
      <c r="U27" s="475" t="s">
        <v>206</v>
      </c>
      <c r="V27" s="477"/>
      <c r="Z27" s="481"/>
      <c r="AA27" s="481"/>
      <c r="AB27" s="481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M27" s="481"/>
      <c r="AN27" s="481"/>
      <c r="AO27" s="481"/>
      <c r="AP27" s="481"/>
      <c r="AQ27" s="481"/>
      <c r="AR27" s="481"/>
      <c r="AS27" s="481"/>
      <c r="AT27" s="481"/>
      <c r="AU27" s="482"/>
      <c r="AV27" s="482"/>
      <c r="AW27" s="482"/>
      <c r="AX27" s="482"/>
      <c r="AY27" s="481"/>
      <c r="AZ27" s="481"/>
      <c r="BA27" s="481"/>
      <c r="BB27" s="481"/>
      <c r="BC27" s="481"/>
      <c r="BD27" s="481"/>
      <c r="BE27" s="481"/>
      <c r="BF27" s="481"/>
      <c r="BG27" s="481"/>
    </row>
    <row r="28" spans="1:87">
      <c r="C28" s="474" t="s">
        <v>237</v>
      </c>
      <c r="D28" s="464"/>
      <c r="E28" s="464"/>
      <c r="F28" s="465"/>
      <c r="G28" s="465"/>
      <c r="H28" s="465"/>
      <c r="I28" s="464"/>
      <c r="J28" s="465"/>
      <c r="K28" s="465"/>
      <c r="L28" s="466"/>
      <c r="Z28" s="483"/>
      <c r="AA28" s="483"/>
      <c r="AB28" s="483"/>
      <c r="AC28" s="483"/>
      <c r="AD28" s="483"/>
      <c r="AE28" s="483"/>
      <c r="AF28" s="483"/>
      <c r="AG28" s="483"/>
      <c r="AH28" s="483"/>
      <c r="AI28" s="483"/>
      <c r="AJ28" s="483"/>
      <c r="AK28" s="483"/>
      <c r="AL28" s="483"/>
      <c r="AM28" s="483"/>
      <c r="AN28" s="483"/>
      <c r="AO28" s="483"/>
      <c r="AP28" s="484"/>
      <c r="AQ28" s="484"/>
      <c r="AR28" s="484"/>
      <c r="AS28" s="484"/>
      <c r="AT28" s="484"/>
      <c r="AU28" s="485"/>
      <c r="AV28" s="485"/>
      <c r="AW28" s="485"/>
      <c r="AX28" s="485"/>
      <c r="AY28" s="486"/>
      <c r="AZ28" s="486"/>
      <c r="BA28" s="486"/>
      <c r="BB28" s="486"/>
      <c r="BC28" s="486"/>
      <c r="BD28" s="486"/>
      <c r="BE28" s="486"/>
      <c r="BF28" s="486"/>
      <c r="BG28" s="486"/>
    </row>
    <row r="29" spans="1:87">
      <c r="C29" s="474" t="s">
        <v>238</v>
      </c>
      <c r="D29" s="464"/>
      <c r="E29" s="464"/>
      <c r="F29" s="465"/>
      <c r="G29" s="465"/>
      <c r="H29" s="465"/>
      <c r="I29" s="464"/>
      <c r="J29" s="465"/>
      <c r="K29" s="465"/>
      <c r="L29" s="466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  <c r="AM29" s="483"/>
      <c r="AN29" s="483"/>
      <c r="AO29" s="483"/>
      <c r="AP29" s="484"/>
      <c r="AQ29" s="484"/>
      <c r="AR29" s="484"/>
      <c r="AS29" s="484"/>
      <c r="AT29" s="484"/>
      <c r="AU29" s="485"/>
      <c r="AV29" s="485"/>
      <c r="AW29" s="485"/>
      <c r="AX29" s="485"/>
      <c r="AY29" s="486"/>
      <c r="AZ29" s="486"/>
      <c r="BA29" s="486"/>
      <c r="BB29" s="486"/>
      <c r="BC29" s="486"/>
      <c r="BD29" s="486"/>
      <c r="BE29" s="486"/>
      <c r="BF29" s="486"/>
      <c r="BG29" s="486"/>
    </row>
    <row r="30" spans="1:87">
      <c r="C30" s="474" t="s">
        <v>239</v>
      </c>
      <c r="D30" s="464"/>
      <c r="E30" s="464"/>
      <c r="F30" s="465"/>
      <c r="G30" s="465"/>
      <c r="H30" s="465"/>
      <c r="I30" s="464"/>
      <c r="J30" s="465"/>
      <c r="K30" s="465"/>
      <c r="L30" s="466"/>
      <c r="Z30" s="483"/>
      <c r="AA30" s="483"/>
      <c r="AB30" s="483"/>
      <c r="AC30" s="483"/>
      <c r="AD30" s="483"/>
      <c r="AE30" s="483"/>
      <c r="AF30" s="483"/>
      <c r="AG30" s="483"/>
      <c r="AH30" s="483"/>
      <c r="AI30" s="483"/>
      <c r="AJ30" s="483"/>
      <c r="AK30" s="483"/>
      <c r="AL30" s="483"/>
      <c r="AM30" s="483"/>
      <c r="AN30" s="483"/>
      <c r="AO30" s="483"/>
      <c r="AP30" s="484"/>
      <c r="AQ30" s="484"/>
      <c r="AR30" s="484"/>
      <c r="AS30" s="484"/>
      <c r="AT30" s="484"/>
      <c r="AU30" s="485"/>
      <c r="AV30" s="485"/>
      <c r="AW30" s="485"/>
      <c r="AX30" s="485"/>
      <c r="AY30" s="486"/>
      <c r="AZ30" s="486"/>
      <c r="BA30" s="486"/>
      <c r="BB30" s="486"/>
      <c r="BC30" s="486"/>
      <c r="BD30" s="486"/>
      <c r="BE30" s="486"/>
      <c r="BF30" s="486"/>
      <c r="BG30" s="486"/>
    </row>
    <row r="31" spans="1:87">
      <c r="C31" s="474" t="s">
        <v>240</v>
      </c>
      <c r="D31" s="464"/>
      <c r="E31" s="464"/>
      <c r="F31" s="465"/>
      <c r="G31" s="465"/>
      <c r="H31" s="465"/>
      <c r="I31" s="464"/>
      <c r="J31" s="465"/>
      <c r="K31" s="465"/>
      <c r="L31" s="466"/>
      <c r="Z31" s="483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  <c r="AM31" s="483"/>
      <c r="AN31" s="483"/>
      <c r="AO31" s="483"/>
      <c r="AP31" s="484"/>
      <c r="AQ31" s="484"/>
      <c r="AR31" s="484"/>
      <c r="AS31" s="484"/>
      <c r="AT31" s="484"/>
      <c r="AU31" s="485"/>
      <c r="AV31" s="485"/>
      <c r="AW31" s="485"/>
      <c r="AX31" s="485"/>
      <c r="AY31" s="486"/>
      <c r="AZ31" s="486"/>
      <c r="BA31" s="486"/>
      <c r="BB31" s="486"/>
      <c r="BC31" s="486"/>
      <c r="BD31" s="486"/>
      <c r="BE31" s="486"/>
      <c r="BF31" s="486"/>
      <c r="BG31" s="486"/>
    </row>
    <row r="32" spans="1:87">
      <c r="C32" s="474" t="s">
        <v>241</v>
      </c>
      <c r="D32" s="464"/>
      <c r="E32" s="464"/>
      <c r="F32" s="465"/>
      <c r="G32" s="465"/>
      <c r="H32" s="465"/>
      <c r="I32" s="464"/>
      <c r="J32" s="465"/>
      <c r="K32" s="465"/>
      <c r="L32" s="466"/>
    </row>
    <row r="33" spans="3:12">
      <c r="C33" s="474" t="s">
        <v>242</v>
      </c>
      <c r="D33" s="464"/>
      <c r="E33" s="464"/>
      <c r="F33" s="465"/>
      <c r="G33" s="465"/>
      <c r="H33" s="465"/>
      <c r="I33" s="464"/>
      <c r="J33" s="465"/>
      <c r="K33" s="465"/>
      <c r="L33" s="466"/>
    </row>
    <row r="34" spans="3:12">
      <c r="C34" s="474" t="s">
        <v>243</v>
      </c>
      <c r="D34" s="464"/>
      <c r="E34" s="464"/>
      <c r="F34" s="465"/>
      <c r="G34" s="465"/>
      <c r="H34" s="465"/>
      <c r="I34" s="464"/>
      <c r="J34" s="465"/>
      <c r="K34" s="465"/>
      <c r="L34" s="466"/>
    </row>
    <row r="35" spans="3:12">
      <c r="C35" s="474" t="s">
        <v>244</v>
      </c>
      <c r="D35" s="464"/>
      <c r="E35" s="464"/>
      <c r="F35" s="465"/>
      <c r="G35" s="465"/>
      <c r="H35" s="465"/>
      <c r="I35" s="464"/>
      <c r="J35" s="465"/>
      <c r="K35" s="465"/>
      <c r="L35" s="466"/>
    </row>
    <row r="36" spans="3:12">
      <c r="C36" s="474" t="s">
        <v>245</v>
      </c>
      <c r="D36" s="464"/>
      <c r="E36" s="464"/>
      <c r="F36" s="465"/>
      <c r="G36" s="465"/>
      <c r="H36" s="465"/>
      <c r="I36" s="464"/>
      <c r="J36" s="465"/>
      <c r="K36" s="465"/>
      <c r="L36" s="466"/>
    </row>
    <row r="37" spans="3:12">
      <c r="C37" s="474" t="s">
        <v>246</v>
      </c>
      <c r="D37" s="464"/>
      <c r="E37" s="464"/>
      <c r="F37" s="465"/>
      <c r="G37" s="465"/>
      <c r="H37" s="465"/>
      <c r="I37" s="464"/>
      <c r="J37" s="465"/>
      <c r="K37" s="465"/>
      <c r="L37" s="466"/>
    </row>
    <row r="38" spans="3:12">
      <c r="C38" s="474" t="s">
        <v>247</v>
      </c>
      <c r="D38" s="464"/>
      <c r="E38" s="464"/>
      <c r="F38" s="465"/>
      <c r="G38" s="465"/>
      <c r="H38" s="465"/>
      <c r="I38" s="464"/>
      <c r="J38" s="465"/>
      <c r="K38" s="465"/>
      <c r="L38" s="466"/>
    </row>
    <row r="39" spans="3:12">
      <c r="C39" s="474" t="s">
        <v>248</v>
      </c>
      <c r="D39" s="464"/>
      <c r="E39" s="464"/>
      <c r="F39" s="465"/>
      <c r="G39" s="465"/>
      <c r="H39" s="465"/>
      <c r="I39" s="464"/>
      <c r="J39" s="465"/>
      <c r="K39" s="465"/>
      <c r="L39" s="466"/>
    </row>
    <row r="40" spans="3:12">
      <c r="C40" s="474" t="s">
        <v>249</v>
      </c>
      <c r="D40" s="464"/>
      <c r="E40" s="464"/>
      <c r="F40" s="465"/>
      <c r="G40" s="465"/>
      <c r="H40" s="465"/>
      <c r="I40" s="464"/>
      <c r="J40" s="465"/>
      <c r="K40" s="465"/>
      <c r="L40" s="466"/>
    </row>
    <row r="41" spans="3:12">
      <c r="C41" s="474" t="s">
        <v>250</v>
      </c>
      <c r="D41" s="464"/>
      <c r="E41" s="464"/>
      <c r="F41" s="465"/>
      <c r="G41" s="465"/>
      <c r="H41" s="465"/>
      <c r="I41" s="464"/>
      <c r="J41" s="465"/>
      <c r="K41" s="465"/>
      <c r="L41" s="466"/>
    </row>
    <row r="42" spans="3:12">
      <c r="C42" s="474" t="s">
        <v>251</v>
      </c>
      <c r="D42" s="464"/>
      <c r="E42" s="464"/>
      <c r="F42" s="465"/>
      <c r="G42" s="465"/>
      <c r="H42" s="465"/>
      <c r="I42" s="464"/>
      <c r="J42" s="465"/>
      <c r="K42" s="465"/>
      <c r="L42" s="466"/>
    </row>
    <row r="43" spans="3:12">
      <c r="C43" s="474" t="s">
        <v>252</v>
      </c>
      <c r="D43" s="464"/>
      <c r="E43" s="464"/>
      <c r="F43" s="465"/>
      <c r="G43" s="465"/>
      <c r="H43" s="465"/>
      <c r="I43" s="464"/>
      <c r="J43" s="465"/>
      <c r="K43" s="465"/>
      <c r="L43" s="466"/>
    </row>
    <row r="44" spans="3:12">
      <c r="C44" s="474" t="s">
        <v>206</v>
      </c>
      <c r="D44" s="464"/>
      <c r="E44" s="464"/>
      <c r="F44" s="465"/>
      <c r="G44" s="465"/>
      <c r="H44" s="465"/>
      <c r="I44" s="464"/>
      <c r="J44" s="465"/>
      <c r="K44" s="465"/>
      <c r="L44" s="466"/>
    </row>
  </sheetData>
  <mergeCells count="140">
    <mergeCell ref="C4:I4"/>
    <mergeCell ref="J4:P4"/>
    <mergeCell ref="AF3:AI4"/>
    <mergeCell ref="AJ3:AO4"/>
    <mergeCell ref="AP3:AZ4"/>
    <mergeCell ref="BA3:CI4"/>
    <mergeCell ref="A1:I1"/>
    <mergeCell ref="A2:AE2"/>
    <mergeCell ref="AF2:CI2"/>
    <mergeCell ref="A3:B4"/>
    <mergeCell ref="C3:P3"/>
    <mergeCell ref="Q3:W4"/>
    <mergeCell ref="X3:AA4"/>
    <mergeCell ref="AB3:AC4"/>
    <mergeCell ref="AD3:AE4"/>
    <mergeCell ref="AP5:AZ5"/>
    <mergeCell ref="BA5:CI5"/>
    <mergeCell ref="A5:B5"/>
    <mergeCell ref="C5:I5"/>
    <mergeCell ref="J5:P5"/>
    <mergeCell ref="Q5:W5"/>
    <mergeCell ref="X5:AA5"/>
    <mergeCell ref="AB5:AC5"/>
    <mergeCell ref="AD5:AE5"/>
    <mergeCell ref="AF5:AI5"/>
    <mergeCell ref="AJ5:AO5"/>
    <mergeCell ref="AJ6:AO6"/>
    <mergeCell ref="AP6:AZ6"/>
    <mergeCell ref="BA6:CI6"/>
    <mergeCell ref="A6:B6"/>
    <mergeCell ref="C6:I6"/>
    <mergeCell ref="J6:P6"/>
    <mergeCell ref="Q6:W6"/>
    <mergeCell ref="X6:AA6"/>
    <mergeCell ref="AB6:AC6"/>
    <mergeCell ref="AD6:AE6"/>
    <mergeCell ref="AF6:AI6"/>
    <mergeCell ref="AF7:AI7"/>
    <mergeCell ref="AJ7:AO7"/>
    <mergeCell ref="AP7:AZ7"/>
    <mergeCell ref="BA7:CI7"/>
    <mergeCell ref="A7:B7"/>
    <mergeCell ref="C7:I7"/>
    <mergeCell ref="J7:P7"/>
    <mergeCell ref="Q7:W7"/>
    <mergeCell ref="X7:AA7"/>
    <mergeCell ref="AB7:AC7"/>
    <mergeCell ref="AD7:AE7"/>
    <mergeCell ref="AD8:AE8"/>
    <mergeCell ref="AF8:AI8"/>
    <mergeCell ref="AJ8:AO8"/>
    <mergeCell ref="AP8:AZ8"/>
    <mergeCell ref="BA8:CI8"/>
    <mergeCell ref="A8:B8"/>
    <mergeCell ref="C8:I8"/>
    <mergeCell ref="J8:P8"/>
    <mergeCell ref="Q8:W8"/>
    <mergeCell ref="X8:AA8"/>
    <mergeCell ref="AB8:AC8"/>
    <mergeCell ref="BA9:CI9"/>
    <mergeCell ref="AB9:AC9"/>
    <mergeCell ref="AD9:AE9"/>
    <mergeCell ref="AF9:AI9"/>
    <mergeCell ref="AJ9:AO9"/>
    <mergeCell ref="AP9:AZ9"/>
    <mergeCell ref="A9:B9"/>
    <mergeCell ref="C9:I9"/>
    <mergeCell ref="J9:P9"/>
    <mergeCell ref="Q9:W9"/>
    <mergeCell ref="X9:AA9"/>
    <mergeCell ref="AD10:AE10"/>
    <mergeCell ref="AF10:AI10"/>
    <mergeCell ref="AJ10:AO10"/>
    <mergeCell ref="AP10:AZ10"/>
    <mergeCell ref="BA10:CI10"/>
    <mergeCell ref="A10:B10"/>
    <mergeCell ref="C10:I10"/>
    <mergeCell ref="J10:P10"/>
    <mergeCell ref="Q10:W10"/>
    <mergeCell ref="X10:AA10"/>
    <mergeCell ref="AB10:AC10"/>
    <mergeCell ref="BA11:CI11"/>
    <mergeCell ref="AB11:AC11"/>
    <mergeCell ref="AD11:AE11"/>
    <mergeCell ref="AF11:AI11"/>
    <mergeCell ref="AJ11:AO11"/>
    <mergeCell ref="AP11:AZ11"/>
    <mergeCell ref="A11:B11"/>
    <mergeCell ref="C11:I11"/>
    <mergeCell ref="J11:P11"/>
    <mergeCell ref="Q11:W11"/>
    <mergeCell ref="X11:AA11"/>
    <mergeCell ref="AM16:AV16"/>
    <mergeCell ref="AW16:CI16"/>
    <mergeCell ref="A16:B16"/>
    <mergeCell ref="C16:I16"/>
    <mergeCell ref="J16:P16"/>
    <mergeCell ref="Q16:W16"/>
    <mergeCell ref="X16:AD16"/>
    <mergeCell ref="AE16:AL16"/>
    <mergeCell ref="A13:H13"/>
    <mergeCell ref="A14:B15"/>
    <mergeCell ref="C14:I15"/>
    <mergeCell ref="J14:W15"/>
    <mergeCell ref="X14:AD15"/>
    <mergeCell ref="AE14:AL15"/>
    <mergeCell ref="AM14:AV15"/>
    <mergeCell ref="AW14:CI15"/>
    <mergeCell ref="AM18:AV18"/>
    <mergeCell ref="AW18:CI18"/>
    <mergeCell ref="A18:B18"/>
    <mergeCell ref="C18:I18"/>
    <mergeCell ref="J18:P18"/>
    <mergeCell ref="Q18:W18"/>
    <mergeCell ref="X18:AD18"/>
    <mergeCell ref="AE18:AL18"/>
    <mergeCell ref="AM17:AV17"/>
    <mergeCell ref="AW17:CI17"/>
    <mergeCell ref="A17:B17"/>
    <mergeCell ref="C17:I17"/>
    <mergeCell ref="J17:P17"/>
    <mergeCell ref="Q17:W17"/>
    <mergeCell ref="X17:AD17"/>
    <mergeCell ref="AE17:AL17"/>
    <mergeCell ref="AM20:AV20"/>
    <mergeCell ref="AW20:CI20"/>
    <mergeCell ref="A20:B20"/>
    <mergeCell ref="C20:I20"/>
    <mergeCell ref="J20:P20"/>
    <mergeCell ref="Q20:W20"/>
    <mergeCell ref="X20:AD20"/>
    <mergeCell ref="AE20:AL20"/>
    <mergeCell ref="AM19:AV19"/>
    <mergeCell ref="AW19:CI19"/>
    <mergeCell ref="A19:B19"/>
    <mergeCell ref="C19:I19"/>
    <mergeCell ref="J19:P19"/>
    <mergeCell ref="Q19:W19"/>
    <mergeCell ref="X19:AD19"/>
    <mergeCell ref="AE19:AL19"/>
  </mergeCells>
  <phoneticPr fontId="55"/>
  <conditionalFormatting sqref="AF6 AJ6 AP6 BA6">
    <cfRule type="expression" dxfId="11" priority="3" stopIfTrue="1">
      <formula>FIND("○",$AD6:$AE11)</formula>
    </cfRule>
  </conditionalFormatting>
  <conditionalFormatting sqref="AF8:AJ8 BA8">
    <cfRule type="expression" dxfId="10" priority="6" stopIfTrue="1">
      <formula>FIND("○",$AD8:$AE11)</formula>
    </cfRule>
  </conditionalFormatting>
  <conditionalFormatting sqref="AF7:AO7 BA7 AP7:AP8">
    <cfRule type="expression" dxfId="9" priority="5" stopIfTrue="1">
      <formula>FIND("○",$AD7:$AE11)</formula>
    </cfRule>
  </conditionalFormatting>
  <conditionalFormatting sqref="AF5:AP5 BA5">
    <cfRule type="expression" dxfId="8" priority="4" stopIfTrue="1">
      <formula>FIND("○",$AD5:$AE11)</formula>
    </cfRule>
  </conditionalFormatting>
  <conditionalFormatting sqref="AF9:AP10 BA9:BA10">
    <cfRule type="expression" dxfId="7" priority="1" stopIfTrue="1">
      <formula>FIND("○",$AD9:$AE11)</formula>
    </cfRule>
  </conditionalFormatting>
  <conditionalFormatting sqref="AF11:AP11 BA11">
    <cfRule type="expression" dxfId="6" priority="7" stopIfTrue="1">
      <formula>FIND("○",$AD11:$AE11)</formula>
    </cfRule>
  </conditionalFormatting>
  <dataValidations count="9">
    <dataValidation type="list" allowBlank="1" showInputMessage="1" showErrorMessage="1" sqref="AC5:AC7 AB5:AB11" xr:uid="{C9EC0397-85B6-47F7-BC0B-3A4C598735B4}">
      <formula1>$U$24:$U$26</formula1>
    </dataValidation>
    <dataValidation type="list" allowBlank="1" showInputMessage="1" showErrorMessage="1" sqref="WKV983014:WKW983051 AD5:AD11 WKV5:WKW11 WAZ5:WBA11 VRD5:VRE11 VHH5:VHI11 UXL5:UXM11 UNP5:UNQ11 UDT5:UDU11 TTX5:TTY11 TKB5:TKC11 TAF5:TAG11 SQJ5:SQK11 SGN5:SGO11 RWR5:RWS11 RMV5:RMW11 RCZ5:RDA11 QTD5:QTE11 QJH5:QJI11 PZL5:PZM11 PPP5:PPQ11 PFT5:PFU11 OVX5:OVY11 OMB5:OMC11 OCF5:OCG11 NSJ5:NSK11 NIN5:NIO11 MYR5:MYS11 MOV5:MOW11 MEZ5:MFA11 LVD5:LVE11 LLH5:LLI11 LBL5:LBM11 KRP5:KRQ11 KHT5:KHU11 JXX5:JXY11 JOB5:JOC11 JEF5:JEG11 IUJ5:IUK11 IKN5:IKO11 IAR5:IAS11 HQV5:HQW11 HGZ5:HHA11 GXD5:GXE11 GNH5:GNI11 GDL5:GDM11 FTP5:FTQ11 FJT5:FJU11 EZX5:EZY11 EQB5:EQC11 EGF5:EGG11 DWJ5:DWK11 DMN5:DMO11 DCR5:DCS11 CSV5:CSW11 CIZ5:CJA11 BZD5:BZE11 BPH5:BPI11 BFL5:BFM11 AVP5:AVQ11 ALT5:ALU11 ABX5:ABY11 SB5:SC11 IF5:IG11 WUR5:WUS11 AD65510:AE65547 AE5:AE7 IF65510:IG65547 SB65510:SC65547 ABX65510:ABY65547 ALT65510:ALU65547 AVP65510:AVQ65547 BFL65510:BFM65547 BPH65510:BPI65547 BZD65510:BZE65547 CIZ65510:CJA65547 CSV65510:CSW65547 DCR65510:DCS65547 DMN65510:DMO65547 DWJ65510:DWK65547 EGF65510:EGG65547 EQB65510:EQC65547 EZX65510:EZY65547 FJT65510:FJU65547 FTP65510:FTQ65547 GDL65510:GDM65547 GNH65510:GNI65547 GXD65510:GXE65547 HGZ65510:HHA65547 HQV65510:HQW65547 IAR65510:IAS65547 IKN65510:IKO65547 IUJ65510:IUK65547 JEF65510:JEG65547 JOB65510:JOC65547 JXX65510:JXY65547 KHT65510:KHU65547 KRP65510:KRQ65547 LBL65510:LBM65547 LLH65510:LLI65547 LVD65510:LVE65547 MEZ65510:MFA65547 MOV65510:MOW65547 MYR65510:MYS65547 NIN65510:NIO65547 NSJ65510:NSK65547 OCF65510:OCG65547 OMB65510:OMC65547 OVX65510:OVY65547 PFT65510:PFU65547 PPP65510:PPQ65547 PZL65510:PZM65547 QJH65510:QJI65547 QTD65510:QTE65547 RCZ65510:RDA65547 RMV65510:RMW65547 RWR65510:RWS65547 SGN65510:SGO65547 SQJ65510:SQK65547 TAF65510:TAG65547 TKB65510:TKC65547 TTX65510:TTY65547 UDT65510:UDU65547 UNP65510:UNQ65547 UXL65510:UXM65547 VHH65510:VHI65547 VRD65510:VRE65547 WAZ65510:WBA65547 WKV65510:WKW65547 WUR65510:WUS65547 AD131046:AE131083 IF131046:IG131083 SB131046:SC131083 ABX131046:ABY131083 ALT131046:ALU131083 AVP131046:AVQ131083 BFL131046:BFM131083 BPH131046:BPI131083 BZD131046:BZE131083 CIZ131046:CJA131083 CSV131046:CSW131083 DCR131046:DCS131083 DMN131046:DMO131083 DWJ131046:DWK131083 EGF131046:EGG131083 EQB131046:EQC131083 EZX131046:EZY131083 FJT131046:FJU131083 FTP131046:FTQ131083 GDL131046:GDM131083 GNH131046:GNI131083 GXD131046:GXE131083 HGZ131046:HHA131083 HQV131046:HQW131083 IAR131046:IAS131083 IKN131046:IKO131083 IUJ131046:IUK131083 JEF131046:JEG131083 JOB131046:JOC131083 JXX131046:JXY131083 KHT131046:KHU131083 KRP131046:KRQ131083 LBL131046:LBM131083 LLH131046:LLI131083 LVD131046:LVE131083 MEZ131046:MFA131083 MOV131046:MOW131083 MYR131046:MYS131083 NIN131046:NIO131083 NSJ131046:NSK131083 OCF131046:OCG131083 OMB131046:OMC131083 OVX131046:OVY131083 PFT131046:PFU131083 PPP131046:PPQ131083 PZL131046:PZM131083 QJH131046:QJI131083 QTD131046:QTE131083 RCZ131046:RDA131083 RMV131046:RMW131083 RWR131046:RWS131083 SGN131046:SGO131083 SQJ131046:SQK131083 TAF131046:TAG131083 TKB131046:TKC131083 TTX131046:TTY131083 UDT131046:UDU131083 UNP131046:UNQ131083 UXL131046:UXM131083 VHH131046:VHI131083 VRD131046:VRE131083 WAZ131046:WBA131083 WKV131046:WKW131083 WUR131046:WUS131083 AD196582:AE196619 IF196582:IG196619 SB196582:SC196619 ABX196582:ABY196619 ALT196582:ALU196619 AVP196582:AVQ196619 BFL196582:BFM196619 BPH196582:BPI196619 BZD196582:BZE196619 CIZ196582:CJA196619 CSV196582:CSW196619 DCR196582:DCS196619 DMN196582:DMO196619 DWJ196582:DWK196619 EGF196582:EGG196619 EQB196582:EQC196619 EZX196582:EZY196619 FJT196582:FJU196619 FTP196582:FTQ196619 GDL196582:GDM196619 GNH196582:GNI196619 GXD196582:GXE196619 HGZ196582:HHA196619 HQV196582:HQW196619 IAR196582:IAS196619 IKN196582:IKO196619 IUJ196582:IUK196619 JEF196582:JEG196619 JOB196582:JOC196619 JXX196582:JXY196619 KHT196582:KHU196619 KRP196582:KRQ196619 LBL196582:LBM196619 LLH196582:LLI196619 LVD196582:LVE196619 MEZ196582:MFA196619 MOV196582:MOW196619 MYR196582:MYS196619 NIN196582:NIO196619 NSJ196582:NSK196619 OCF196582:OCG196619 OMB196582:OMC196619 OVX196582:OVY196619 PFT196582:PFU196619 PPP196582:PPQ196619 PZL196582:PZM196619 QJH196582:QJI196619 QTD196582:QTE196619 RCZ196582:RDA196619 RMV196582:RMW196619 RWR196582:RWS196619 SGN196582:SGO196619 SQJ196582:SQK196619 TAF196582:TAG196619 TKB196582:TKC196619 TTX196582:TTY196619 UDT196582:UDU196619 UNP196582:UNQ196619 UXL196582:UXM196619 VHH196582:VHI196619 VRD196582:VRE196619 WAZ196582:WBA196619 WKV196582:WKW196619 WUR196582:WUS196619 AD262118:AE262155 IF262118:IG262155 SB262118:SC262155 ABX262118:ABY262155 ALT262118:ALU262155 AVP262118:AVQ262155 BFL262118:BFM262155 BPH262118:BPI262155 BZD262118:BZE262155 CIZ262118:CJA262155 CSV262118:CSW262155 DCR262118:DCS262155 DMN262118:DMO262155 DWJ262118:DWK262155 EGF262118:EGG262155 EQB262118:EQC262155 EZX262118:EZY262155 FJT262118:FJU262155 FTP262118:FTQ262155 GDL262118:GDM262155 GNH262118:GNI262155 GXD262118:GXE262155 HGZ262118:HHA262155 HQV262118:HQW262155 IAR262118:IAS262155 IKN262118:IKO262155 IUJ262118:IUK262155 JEF262118:JEG262155 JOB262118:JOC262155 JXX262118:JXY262155 KHT262118:KHU262155 KRP262118:KRQ262155 LBL262118:LBM262155 LLH262118:LLI262155 LVD262118:LVE262155 MEZ262118:MFA262155 MOV262118:MOW262155 MYR262118:MYS262155 NIN262118:NIO262155 NSJ262118:NSK262155 OCF262118:OCG262155 OMB262118:OMC262155 OVX262118:OVY262155 PFT262118:PFU262155 PPP262118:PPQ262155 PZL262118:PZM262155 QJH262118:QJI262155 QTD262118:QTE262155 RCZ262118:RDA262155 RMV262118:RMW262155 RWR262118:RWS262155 SGN262118:SGO262155 SQJ262118:SQK262155 TAF262118:TAG262155 TKB262118:TKC262155 TTX262118:TTY262155 UDT262118:UDU262155 UNP262118:UNQ262155 UXL262118:UXM262155 VHH262118:VHI262155 VRD262118:VRE262155 WAZ262118:WBA262155 WKV262118:WKW262155 WUR262118:WUS262155 AD327654:AE327691 IF327654:IG327691 SB327654:SC327691 ABX327654:ABY327691 ALT327654:ALU327691 AVP327654:AVQ327691 BFL327654:BFM327691 BPH327654:BPI327691 BZD327654:BZE327691 CIZ327654:CJA327691 CSV327654:CSW327691 DCR327654:DCS327691 DMN327654:DMO327691 DWJ327654:DWK327691 EGF327654:EGG327691 EQB327654:EQC327691 EZX327654:EZY327691 FJT327654:FJU327691 FTP327654:FTQ327691 GDL327654:GDM327691 GNH327654:GNI327691 GXD327654:GXE327691 HGZ327654:HHA327691 HQV327654:HQW327691 IAR327654:IAS327691 IKN327654:IKO327691 IUJ327654:IUK327691 JEF327654:JEG327691 JOB327654:JOC327691 JXX327654:JXY327691 KHT327654:KHU327691 KRP327654:KRQ327691 LBL327654:LBM327691 LLH327654:LLI327691 LVD327654:LVE327691 MEZ327654:MFA327691 MOV327654:MOW327691 MYR327654:MYS327691 NIN327654:NIO327691 NSJ327654:NSK327691 OCF327654:OCG327691 OMB327654:OMC327691 OVX327654:OVY327691 PFT327654:PFU327691 PPP327654:PPQ327691 PZL327654:PZM327691 QJH327654:QJI327691 QTD327654:QTE327691 RCZ327654:RDA327691 RMV327654:RMW327691 RWR327654:RWS327691 SGN327654:SGO327691 SQJ327654:SQK327691 TAF327654:TAG327691 TKB327654:TKC327691 TTX327654:TTY327691 UDT327654:UDU327691 UNP327654:UNQ327691 UXL327654:UXM327691 VHH327654:VHI327691 VRD327654:VRE327691 WAZ327654:WBA327691 WKV327654:WKW327691 WUR327654:WUS327691 AD393190:AE393227 IF393190:IG393227 SB393190:SC393227 ABX393190:ABY393227 ALT393190:ALU393227 AVP393190:AVQ393227 BFL393190:BFM393227 BPH393190:BPI393227 BZD393190:BZE393227 CIZ393190:CJA393227 CSV393190:CSW393227 DCR393190:DCS393227 DMN393190:DMO393227 DWJ393190:DWK393227 EGF393190:EGG393227 EQB393190:EQC393227 EZX393190:EZY393227 FJT393190:FJU393227 FTP393190:FTQ393227 GDL393190:GDM393227 GNH393190:GNI393227 GXD393190:GXE393227 HGZ393190:HHA393227 HQV393190:HQW393227 IAR393190:IAS393227 IKN393190:IKO393227 IUJ393190:IUK393227 JEF393190:JEG393227 JOB393190:JOC393227 JXX393190:JXY393227 KHT393190:KHU393227 KRP393190:KRQ393227 LBL393190:LBM393227 LLH393190:LLI393227 LVD393190:LVE393227 MEZ393190:MFA393227 MOV393190:MOW393227 MYR393190:MYS393227 NIN393190:NIO393227 NSJ393190:NSK393227 OCF393190:OCG393227 OMB393190:OMC393227 OVX393190:OVY393227 PFT393190:PFU393227 PPP393190:PPQ393227 PZL393190:PZM393227 QJH393190:QJI393227 QTD393190:QTE393227 RCZ393190:RDA393227 RMV393190:RMW393227 RWR393190:RWS393227 SGN393190:SGO393227 SQJ393190:SQK393227 TAF393190:TAG393227 TKB393190:TKC393227 TTX393190:TTY393227 UDT393190:UDU393227 UNP393190:UNQ393227 UXL393190:UXM393227 VHH393190:VHI393227 VRD393190:VRE393227 WAZ393190:WBA393227 WKV393190:WKW393227 WUR393190:WUS393227 AD458726:AE458763 IF458726:IG458763 SB458726:SC458763 ABX458726:ABY458763 ALT458726:ALU458763 AVP458726:AVQ458763 BFL458726:BFM458763 BPH458726:BPI458763 BZD458726:BZE458763 CIZ458726:CJA458763 CSV458726:CSW458763 DCR458726:DCS458763 DMN458726:DMO458763 DWJ458726:DWK458763 EGF458726:EGG458763 EQB458726:EQC458763 EZX458726:EZY458763 FJT458726:FJU458763 FTP458726:FTQ458763 GDL458726:GDM458763 GNH458726:GNI458763 GXD458726:GXE458763 HGZ458726:HHA458763 HQV458726:HQW458763 IAR458726:IAS458763 IKN458726:IKO458763 IUJ458726:IUK458763 JEF458726:JEG458763 JOB458726:JOC458763 JXX458726:JXY458763 KHT458726:KHU458763 KRP458726:KRQ458763 LBL458726:LBM458763 LLH458726:LLI458763 LVD458726:LVE458763 MEZ458726:MFA458763 MOV458726:MOW458763 MYR458726:MYS458763 NIN458726:NIO458763 NSJ458726:NSK458763 OCF458726:OCG458763 OMB458726:OMC458763 OVX458726:OVY458763 PFT458726:PFU458763 PPP458726:PPQ458763 PZL458726:PZM458763 QJH458726:QJI458763 QTD458726:QTE458763 RCZ458726:RDA458763 RMV458726:RMW458763 RWR458726:RWS458763 SGN458726:SGO458763 SQJ458726:SQK458763 TAF458726:TAG458763 TKB458726:TKC458763 TTX458726:TTY458763 UDT458726:UDU458763 UNP458726:UNQ458763 UXL458726:UXM458763 VHH458726:VHI458763 VRD458726:VRE458763 WAZ458726:WBA458763 WKV458726:WKW458763 WUR458726:WUS458763 AD524262:AE524299 IF524262:IG524299 SB524262:SC524299 ABX524262:ABY524299 ALT524262:ALU524299 AVP524262:AVQ524299 BFL524262:BFM524299 BPH524262:BPI524299 BZD524262:BZE524299 CIZ524262:CJA524299 CSV524262:CSW524299 DCR524262:DCS524299 DMN524262:DMO524299 DWJ524262:DWK524299 EGF524262:EGG524299 EQB524262:EQC524299 EZX524262:EZY524299 FJT524262:FJU524299 FTP524262:FTQ524299 GDL524262:GDM524299 GNH524262:GNI524299 GXD524262:GXE524299 HGZ524262:HHA524299 HQV524262:HQW524299 IAR524262:IAS524299 IKN524262:IKO524299 IUJ524262:IUK524299 JEF524262:JEG524299 JOB524262:JOC524299 JXX524262:JXY524299 KHT524262:KHU524299 KRP524262:KRQ524299 LBL524262:LBM524299 LLH524262:LLI524299 LVD524262:LVE524299 MEZ524262:MFA524299 MOV524262:MOW524299 MYR524262:MYS524299 NIN524262:NIO524299 NSJ524262:NSK524299 OCF524262:OCG524299 OMB524262:OMC524299 OVX524262:OVY524299 PFT524262:PFU524299 PPP524262:PPQ524299 PZL524262:PZM524299 QJH524262:QJI524299 QTD524262:QTE524299 RCZ524262:RDA524299 RMV524262:RMW524299 RWR524262:RWS524299 SGN524262:SGO524299 SQJ524262:SQK524299 TAF524262:TAG524299 TKB524262:TKC524299 TTX524262:TTY524299 UDT524262:UDU524299 UNP524262:UNQ524299 UXL524262:UXM524299 VHH524262:VHI524299 VRD524262:VRE524299 WAZ524262:WBA524299 WKV524262:WKW524299 WUR524262:WUS524299 AD589798:AE589835 IF589798:IG589835 SB589798:SC589835 ABX589798:ABY589835 ALT589798:ALU589835 AVP589798:AVQ589835 BFL589798:BFM589835 BPH589798:BPI589835 BZD589798:BZE589835 CIZ589798:CJA589835 CSV589798:CSW589835 DCR589798:DCS589835 DMN589798:DMO589835 DWJ589798:DWK589835 EGF589798:EGG589835 EQB589798:EQC589835 EZX589798:EZY589835 FJT589798:FJU589835 FTP589798:FTQ589835 GDL589798:GDM589835 GNH589798:GNI589835 GXD589798:GXE589835 HGZ589798:HHA589835 HQV589798:HQW589835 IAR589798:IAS589835 IKN589798:IKO589835 IUJ589798:IUK589835 JEF589798:JEG589835 JOB589798:JOC589835 JXX589798:JXY589835 KHT589798:KHU589835 KRP589798:KRQ589835 LBL589798:LBM589835 LLH589798:LLI589835 LVD589798:LVE589835 MEZ589798:MFA589835 MOV589798:MOW589835 MYR589798:MYS589835 NIN589798:NIO589835 NSJ589798:NSK589835 OCF589798:OCG589835 OMB589798:OMC589835 OVX589798:OVY589835 PFT589798:PFU589835 PPP589798:PPQ589835 PZL589798:PZM589835 QJH589798:QJI589835 QTD589798:QTE589835 RCZ589798:RDA589835 RMV589798:RMW589835 RWR589798:RWS589835 SGN589798:SGO589835 SQJ589798:SQK589835 TAF589798:TAG589835 TKB589798:TKC589835 TTX589798:TTY589835 UDT589798:UDU589835 UNP589798:UNQ589835 UXL589798:UXM589835 VHH589798:VHI589835 VRD589798:VRE589835 WAZ589798:WBA589835 WKV589798:WKW589835 WUR589798:WUS589835 AD655334:AE655371 IF655334:IG655371 SB655334:SC655371 ABX655334:ABY655371 ALT655334:ALU655371 AVP655334:AVQ655371 BFL655334:BFM655371 BPH655334:BPI655371 BZD655334:BZE655371 CIZ655334:CJA655371 CSV655334:CSW655371 DCR655334:DCS655371 DMN655334:DMO655371 DWJ655334:DWK655371 EGF655334:EGG655371 EQB655334:EQC655371 EZX655334:EZY655371 FJT655334:FJU655371 FTP655334:FTQ655371 GDL655334:GDM655371 GNH655334:GNI655371 GXD655334:GXE655371 HGZ655334:HHA655371 HQV655334:HQW655371 IAR655334:IAS655371 IKN655334:IKO655371 IUJ655334:IUK655371 JEF655334:JEG655371 JOB655334:JOC655371 JXX655334:JXY655371 KHT655334:KHU655371 KRP655334:KRQ655371 LBL655334:LBM655371 LLH655334:LLI655371 LVD655334:LVE655371 MEZ655334:MFA655371 MOV655334:MOW655371 MYR655334:MYS655371 NIN655334:NIO655371 NSJ655334:NSK655371 OCF655334:OCG655371 OMB655334:OMC655371 OVX655334:OVY655371 PFT655334:PFU655371 PPP655334:PPQ655371 PZL655334:PZM655371 QJH655334:QJI655371 QTD655334:QTE655371 RCZ655334:RDA655371 RMV655334:RMW655371 RWR655334:RWS655371 SGN655334:SGO655371 SQJ655334:SQK655371 TAF655334:TAG655371 TKB655334:TKC655371 TTX655334:TTY655371 UDT655334:UDU655371 UNP655334:UNQ655371 UXL655334:UXM655371 VHH655334:VHI655371 VRD655334:VRE655371 WAZ655334:WBA655371 WKV655334:WKW655371 WUR655334:WUS655371 AD720870:AE720907 IF720870:IG720907 SB720870:SC720907 ABX720870:ABY720907 ALT720870:ALU720907 AVP720870:AVQ720907 BFL720870:BFM720907 BPH720870:BPI720907 BZD720870:BZE720907 CIZ720870:CJA720907 CSV720870:CSW720907 DCR720870:DCS720907 DMN720870:DMO720907 DWJ720870:DWK720907 EGF720870:EGG720907 EQB720870:EQC720907 EZX720870:EZY720907 FJT720870:FJU720907 FTP720870:FTQ720907 GDL720870:GDM720907 GNH720870:GNI720907 GXD720870:GXE720907 HGZ720870:HHA720907 HQV720870:HQW720907 IAR720870:IAS720907 IKN720870:IKO720907 IUJ720870:IUK720907 JEF720870:JEG720907 JOB720870:JOC720907 JXX720870:JXY720907 KHT720870:KHU720907 KRP720870:KRQ720907 LBL720870:LBM720907 LLH720870:LLI720907 LVD720870:LVE720907 MEZ720870:MFA720907 MOV720870:MOW720907 MYR720870:MYS720907 NIN720870:NIO720907 NSJ720870:NSK720907 OCF720870:OCG720907 OMB720870:OMC720907 OVX720870:OVY720907 PFT720870:PFU720907 PPP720870:PPQ720907 PZL720870:PZM720907 QJH720870:QJI720907 QTD720870:QTE720907 RCZ720870:RDA720907 RMV720870:RMW720907 RWR720870:RWS720907 SGN720870:SGO720907 SQJ720870:SQK720907 TAF720870:TAG720907 TKB720870:TKC720907 TTX720870:TTY720907 UDT720870:UDU720907 UNP720870:UNQ720907 UXL720870:UXM720907 VHH720870:VHI720907 VRD720870:VRE720907 WAZ720870:WBA720907 WKV720870:WKW720907 WUR720870:WUS720907 AD786406:AE786443 IF786406:IG786443 SB786406:SC786443 ABX786406:ABY786443 ALT786406:ALU786443 AVP786406:AVQ786443 BFL786406:BFM786443 BPH786406:BPI786443 BZD786406:BZE786443 CIZ786406:CJA786443 CSV786406:CSW786443 DCR786406:DCS786443 DMN786406:DMO786443 DWJ786406:DWK786443 EGF786406:EGG786443 EQB786406:EQC786443 EZX786406:EZY786443 FJT786406:FJU786443 FTP786406:FTQ786443 GDL786406:GDM786443 GNH786406:GNI786443 GXD786406:GXE786443 HGZ786406:HHA786443 HQV786406:HQW786443 IAR786406:IAS786443 IKN786406:IKO786443 IUJ786406:IUK786443 JEF786406:JEG786443 JOB786406:JOC786443 JXX786406:JXY786443 KHT786406:KHU786443 KRP786406:KRQ786443 LBL786406:LBM786443 LLH786406:LLI786443 LVD786406:LVE786443 MEZ786406:MFA786443 MOV786406:MOW786443 MYR786406:MYS786443 NIN786406:NIO786443 NSJ786406:NSK786443 OCF786406:OCG786443 OMB786406:OMC786443 OVX786406:OVY786443 PFT786406:PFU786443 PPP786406:PPQ786443 PZL786406:PZM786443 QJH786406:QJI786443 QTD786406:QTE786443 RCZ786406:RDA786443 RMV786406:RMW786443 RWR786406:RWS786443 SGN786406:SGO786443 SQJ786406:SQK786443 TAF786406:TAG786443 TKB786406:TKC786443 TTX786406:TTY786443 UDT786406:UDU786443 UNP786406:UNQ786443 UXL786406:UXM786443 VHH786406:VHI786443 VRD786406:VRE786443 WAZ786406:WBA786443 WKV786406:WKW786443 WUR786406:WUS786443 AD851942:AE851979 IF851942:IG851979 SB851942:SC851979 ABX851942:ABY851979 ALT851942:ALU851979 AVP851942:AVQ851979 BFL851942:BFM851979 BPH851942:BPI851979 BZD851942:BZE851979 CIZ851942:CJA851979 CSV851942:CSW851979 DCR851942:DCS851979 DMN851942:DMO851979 DWJ851942:DWK851979 EGF851942:EGG851979 EQB851942:EQC851979 EZX851942:EZY851979 FJT851942:FJU851979 FTP851942:FTQ851979 GDL851942:GDM851979 GNH851942:GNI851979 GXD851942:GXE851979 HGZ851942:HHA851979 HQV851942:HQW851979 IAR851942:IAS851979 IKN851942:IKO851979 IUJ851942:IUK851979 JEF851942:JEG851979 JOB851942:JOC851979 JXX851942:JXY851979 KHT851942:KHU851979 KRP851942:KRQ851979 LBL851942:LBM851979 LLH851942:LLI851979 LVD851942:LVE851979 MEZ851942:MFA851979 MOV851942:MOW851979 MYR851942:MYS851979 NIN851942:NIO851979 NSJ851942:NSK851979 OCF851942:OCG851979 OMB851942:OMC851979 OVX851942:OVY851979 PFT851942:PFU851979 PPP851942:PPQ851979 PZL851942:PZM851979 QJH851942:QJI851979 QTD851942:QTE851979 RCZ851942:RDA851979 RMV851942:RMW851979 RWR851942:RWS851979 SGN851942:SGO851979 SQJ851942:SQK851979 TAF851942:TAG851979 TKB851942:TKC851979 TTX851942:TTY851979 UDT851942:UDU851979 UNP851942:UNQ851979 UXL851942:UXM851979 VHH851942:VHI851979 VRD851942:VRE851979 WAZ851942:WBA851979 WKV851942:WKW851979 WUR851942:WUS851979 AD917478:AE917515 IF917478:IG917515 SB917478:SC917515 ABX917478:ABY917515 ALT917478:ALU917515 AVP917478:AVQ917515 BFL917478:BFM917515 BPH917478:BPI917515 BZD917478:BZE917515 CIZ917478:CJA917515 CSV917478:CSW917515 DCR917478:DCS917515 DMN917478:DMO917515 DWJ917478:DWK917515 EGF917478:EGG917515 EQB917478:EQC917515 EZX917478:EZY917515 FJT917478:FJU917515 FTP917478:FTQ917515 GDL917478:GDM917515 GNH917478:GNI917515 GXD917478:GXE917515 HGZ917478:HHA917515 HQV917478:HQW917515 IAR917478:IAS917515 IKN917478:IKO917515 IUJ917478:IUK917515 JEF917478:JEG917515 JOB917478:JOC917515 JXX917478:JXY917515 KHT917478:KHU917515 KRP917478:KRQ917515 LBL917478:LBM917515 LLH917478:LLI917515 LVD917478:LVE917515 MEZ917478:MFA917515 MOV917478:MOW917515 MYR917478:MYS917515 NIN917478:NIO917515 NSJ917478:NSK917515 OCF917478:OCG917515 OMB917478:OMC917515 OVX917478:OVY917515 PFT917478:PFU917515 PPP917478:PPQ917515 PZL917478:PZM917515 QJH917478:QJI917515 QTD917478:QTE917515 RCZ917478:RDA917515 RMV917478:RMW917515 RWR917478:RWS917515 SGN917478:SGO917515 SQJ917478:SQK917515 TAF917478:TAG917515 TKB917478:TKC917515 TTX917478:TTY917515 UDT917478:UDU917515 UNP917478:UNQ917515 UXL917478:UXM917515 VHH917478:VHI917515 VRD917478:VRE917515 WAZ917478:WBA917515 WKV917478:WKW917515 WUR917478:WUS917515 AD983014:AE983051 IF983014:IG983051 SB983014:SC983051 ABX983014:ABY983051 ALT983014:ALU983051 AVP983014:AVQ983051 BFL983014:BFM983051 BPH983014:BPI983051 BZD983014:BZE983051 CIZ983014:CJA983051 CSV983014:CSW983051 DCR983014:DCS983051 DMN983014:DMO983051 DWJ983014:DWK983051 EGF983014:EGG983051 EQB983014:EQC983051 EZX983014:EZY983051 FJT983014:FJU983051 FTP983014:FTQ983051 GDL983014:GDM983051 GNH983014:GNI983051 GXD983014:GXE983051 HGZ983014:HHA983051 HQV983014:HQW983051 IAR983014:IAS983051 IKN983014:IKO983051 IUJ983014:IUK983051 JEF983014:JEG983051 JOB983014:JOC983051 JXX983014:JXY983051 KHT983014:KHU983051 KRP983014:KRQ983051 LBL983014:LBM983051 LLH983014:LLI983051 LVD983014:LVE983051 MEZ983014:MFA983051 MOV983014:MOW983051 MYR983014:MYS983051 NIN983014:NIO983051 NSJ983014:NSK983051 OCF983014:OCG983051 OMB983014:OMC983051 OVX983014:OVY983051 PFT983014:PFU983051 PPP983014:PPQ983051 PZL983014:PZM983051 QJH983014:QJI983051 QTD983014:QTE983051 RCZ983014:RDA983051 RMV983014:RMW983051 RWR983014:RWS983051 SGN983014:SGO983051 SQJ983014:SQK983051 TAF983014:TAG983051 TKB983014:TKC983051 TTX983014:TTY983051 UDT983014:UDU983051 UNP983014:UNQ983051 UXL983014:UXM983051 VHH983014:VHI983051 VRD983014:VRE983051 WAZ983014:WBA983051 WUR983014:WUS983051" xr:uid="{7F741ADB-7D40-4213-987F-898B83BA6503}">
      <formula1>$Y$24:$Y$26</formula1>
    </dataValidation>
    <dataValidation type="list" allowBlank="1" showInputMessage="1" showErrorMessage="1" sqref="AE983055:AL983060 IG983055:IN983060 SC983055:SJ983060 ABY983055:ACF983060 ALU983055:AMB983060 AVQ983055:AVX983060 BFM983055:BFT983060 BPI983055:BPP983060 BZE983055:BZL983060 CJA983055:CJH983060 CSW983055:CTD983060 DCS983055:DCZ983060 DMO983055:DMV983060 DWK983055:DWR983060 EGG983055:EGN983060 EQC983055:EQJ983060 EZY983055:FAF983060 FJU983055:FKB983060 FTQ983055:FTX983060 GDM983055:GDT983060 GNI983055:GNP983060 GXE983055:GXL983060 HHA983055:HHH983060 HQW983055:HRD983060 IAS983055:IAZ983060 IKO983055:IKV983060 IUK983055:IUR983060 JEG983055:JEN983060 JOC983055:JOJ983060 JXY983055:JYF983060 KHU983055:KIB983060 KRQ983055:KRX983060 LBM983055:LBT983060 LLI983055:LLP983060 LVE983055:LVL983060 MFA983055:MFH983060 MOW983055:MPD983060 MYS983055:MYZ983060 NIO983055:NIV983060 NSK983055:NSR983060 OCG983055:OCN983060 OMC983055:OMJ983060 OVY983055:OWF983060 PFU983055:PGB983060 PPQ983055:PPX983060 PZM983055:PZT983060 QJI983055:QJP983060 QTE983055:QTL983060 RDA983055:RDH983060 RMW983055:RND983060 RWS983055:RWZ983060 SGO983055:SGV983060 SQK983055:SQR983060 TAG983055:TAN983060 TKC983055:TKJ983060 TTY983055:TUF983060 UDU983055:UEB983060 UNQ983055:UNX983060 UXM983055:UXT983060 VHI983055:VHP983060 VRE983055:VRL983060 WBA983055:WBH983060 WKW983055:WLD983060 WUS983055:WUZ983060 AE65551:AL65556 IG65551:IN65556 SC65551:SJ65556 ABY65551:ACF65556 ALU65551:AMB65556 AVQ65551:AVX65556 BFM65551:BFT65556 BPI65551:BPP65556 BZE65551:BZL65556 CJA65551:CJH65556 CSW65551:CTD65556 DCS65551:DCZ65556 DMO65551:DMV65556 DWK65551:DWR65556 EGG65551:EGN65556 EQC65551:EQJ65556 EZY65551:FAF65556 FJU65551:FKB65556 FTQ65551:FTX65556 GDM65551:GDT65556 GNI65551:GNP65556 GXE65551:GXL65556 HHA65551:HHH65556 HQW65551:HRD65556 IAS65551:IAZ65556 IKO65551:IKV65556 IUK65551:IUR65556 JEG65551:JEN65556 JOC65551:JOJ65556 JXY65551:JYF65556 KHU65551:KIB65556 KRQ65551:KRX65556 LBM65551:LBT65556 LLI65551:LLP65556 LVE65551:LVL65556 MFA65551:MFH65556 MOW65551:MPD65556 MYS65551:MYZ65556 NIO65551:NIV65556 NSK65551:NSR65556 OCG65551:OCN65556 OMC65551:OMJ65556 OVY65551:OWF65556 PFU65551:PGB65556 PPQ65551:PPX65556 PZM65551:PZT65556 QJI65551:QJP65556 QTE65551:QTL65556 RDA65551:RDH65556 RMW65551:RND65556 RWS65551:RWZ65556 SGO65551:SGV65556 SQK65551:SQR65556 TAG65551:TAN65556 TKC65551:TKJ65556 TTY65551:TUF65556 UDU65551:UEB65556 UNQ65551:UNX65556 UXM65551:UXT65556 VHI65551:VHP65556 VRE65551:VRL65556 WBA65551:WBH65556 WKW65551:WLD65556 WUS65551:WUZ65556 AE131087:AL131092 IG131087:IN131092 SC131087:SJ131092 ABY131087:ACF131092 ALU131087:AMB131092 AVQ131087:AVX131092 BFM131087:BFT131092 BPI131087:BPP131092 BZE131087:BZL131092 CJA131087:CJH131092 CSW131087:CTD131092 DCS131087:DCZ131092 DMO131087:DMV131092 DWK131087:DWR131092 EGG131087:EGN131092 EQC131087:EQJ131092 EZY131087:FAF131092 FJU131087:FKB131092 FTQ131087:FTX131092 GDM131087:GDT131092 GNI131087:GNP131092 GXE131087:GXL131092 HHA131087:HHH131092 HQW131087:HRD131092 IAS131087:IAZ131092 IKO131087:IKV131092 IUK131087:IUR131092 JEG131087:JEN131092 JOC131087:JOJ131092 JXY131087:JYF131092 KHU131087:KIB131092 KRQ131087:KRX131092 LBM131087:LBT131092 LLI131087:LLP131092 LVE131087:LVL131092 MFA131087:MFH131092 MOW131087:MPD131092 MYS131087:MYZ131092 NIO131087:NIV131092 NSK131087:NSR131092 OCG131087:OCN131092 OMC131087:OMJ131092 OVY131087:OWF131092 PFU131087:PGB131092 PPQ131087:PPX131092 PZM131087:PZT131092 QJI131087:QJP131092 QTE131087:QTL131092 RDA131087:RDH131092 RMW131087:RND131092 RWS131087:RWZ131092 SGO131087:SGV131092 SQK131087:SQR131092 TAG131087:TAN131092 TKC131087:TKJ131092 TTY131087:TUF131092 UDU131087:UEB131092 UNQ131087:UNX131092 UXM131087:UXT131092 VHI131087:VHP131092 VRE131087:VRL131092 WBA131087:WBH131092 WKW131087:WLD131092 WUS131087:WUZ131092 AE196623:AL196628 IG196623:IN196628 SC196623:SJ196628 ABY196623:ACF196628 ALU196623:AMB196628 AVQ196623:AVX196628 BFM196623:BFT196628 BPI196623:BPP196628 BZE196623:BZL196628 CJA196623:CJH196628 CSW196623:CTD196628 DCS196623:DCZ196628 DMO196623:DMV196628 DWK196623:DWR196628 EGG196623:EGN196628 EQC196623:EQJ196628 EZY196623:FAF196628 FJU196623:FKB196628 FTQ196623:FTX196628 GDM196623:GDT196628 GNI196623:GNP196628 GXE196623:GXL196628 HHA196623:HHH196628 HQW196623:HRD196628 IAS196623:IAZ196628 IKO196623:IKV196628 IUK196623:IUR196628 JEG196623:JEN196628 JOC196623:JOJ196628 JXY196623:JYF196628 KHU196623:KIB196628 KRQ196623:KRX196628 LBM196623:LBT196628 LLI196623:LLP196628 LVE196623:LVL196628 MFA196623:MFH196628 MOW196623:MPD196628 MYS196623:MYZ196628 NIO196623:NIV196628 NSK196623:NSR196628 OCG196623:OCN196628 OMC196623:OMJ196628 OVY196623:OWF196628 PFU196623:PGB196628 PPQ196623:PPX196628 PZM196623:PZT196628 QJI196623:QJP196628 QTE196623:QTL196628 RDA196623:RDH196628 RMW196623:RND196628 RWS196623:RWZ196628 SGO196623:SGV196628 SQK196623:SQR196628 TAG196623:TAN196628 TKC196623:TKJ196628 TTY196623:TUF196628 UDU196623:UEB196628 UNQ196623:UNX196628 UXM196623:UXT196628 VHI196623:VHP196628 VRE196623:VRL196628 WBA196623:WBH196628 WKW196623:WLD196628 WUS196623:WUZ196628 AE262159:AL262164 IG262159:IN262164 SC262159:SJ262164 ABY262159:ACF262164 ALU262159:AMB262164 AVQ262159:AVX262164 BFM262159:BFT262164 BPI262159:BPP262164 BZE262159:BZL262164 CJA262159:CJH262164 CSW262159:CTD262164 DCS262159:DCZ262164 DMO262159:DMV262164 DWK262159:DWR262164 EGG262159:EGN262164 EQC262159:EQJ262164 EZY262159:FAF262164 FJU262159:FKB262164 FTQ262159:FTX262164 GDM262159:GDT262164 GNI262159:GNP262164 GXE262159:GXL262164 HHA262159:HHH262164 HQW262159:HRD262164 IAS262159:IAZ262164 IKO262159:IKV262164 IUK262159:IUR262164 JEG262159:JEN262164 JOC262159:JOJ262164 JXY262159:JYF262164 KHU262159:KIB262164 KRQ262159:KRX262164 LBM262159:LBT262164 LLI262159:LLP262164 LVE262159:LVL262164 MFA262159:MFH262164 MOW262159:MPD262164 MYS262159:MYZ262164 NIO262159:NIV262164 NSK262159:NSR262164 OCG262159:OCN262164 OMC262159:OMJ262164 OVY262159:OWF262164 PFU262159:PGB262164 PPQ262159:PPX262164 PZM262159:PZT262164 QJI262159:QJP262164 QTE262159:QTL262164 RDA262159:RDH262164 RMW262159:RND262164 RWS262159:RWZ262164 SGO262159:SGV262164 SQK262159:SQR262164 TAG262159:TAN262164 TKC262159:TKJ262164 TTY262159:TUF262164 UDU262159:UEB262164 UNQ262159:UNX262164 UXM262159:UXT262164 VHI262159:VHP262164 VRE262159:VRL262164 WBA262159:WBH262164 WKW262159:WLD262164 WUS262159:WUZ262164 AE327695:AL327700 IG327695:IN327700 SC327695:SJ327700 ABY327695:ACF327700 ALU327695:AMB327700 AVQ327695:AVX327700 BFM327695:BFT327700 BPI327695:BPP327700 BZE327695:BZL327700 CJA327695:CJH327700 CSW327695:CTD327700 DCS327695:DCZ327700 DMO327695:DMV327700 DWK327695:DWR327700 EGG327695:EGN327700 EQC327695:EQJ327700 EZY327695:FAF327700 FJU327695:FKB327700 FTQ327695:FTX327700 GDM327695:GDT327700 GNI327695:GNP327700 GXE327695:GXL327700 HHA327695:HHH327700 HQW327695:HRD327700 IAS327695:IAZ327700 IKO327695:IKV327700 IUK327695:IUR327700 JEG327695:JEN327700 JOC327695:JOJ327700 JXY327695:JYF327700 KHU327695:KIB327700 KRQ327695:KRX327700 LBM327695:LBT327700 LLI327695:LLP327700 LVE327695:LVL327700 MFA327695:MFH327700 MOW327695:MPD327700 MYS327695:MYZ327700 NIO327695:NIV327700 NSK327695:NSR327700 OCG327695:OCN327700 OMC327695:OMJ327700 OVY327695:OWF327700 PFU327695:PGB327700 PPQ327695:PPX327700 PZM327695:PZT327700 QJI327695:QJP327700 QTE327695:QTL327700 RDA327695:RDH327700 RMW327695:RND327700 RWS327695:RWZ327700 SGO327695:SGV327700 SQK327695:SQR327700 TAG327695:TAN327700 TKC327695:TKJ327700 TTY327695:TUF327700 UDU327695:UEB327700 UNQ327695:UNX327700 UXM327695:UXT327700 VHI327695:VHP327700 VRE327695:VRL327700 WBA327695:WBH327700 WKW327695:WLD327700 WUS327695:WUZ327700 AE393231:AL393236 IG393231:IN393236 SC393231:SJ393236 ABY393231:ACF393236 ALU393231:AMB393236 AVQ393231:AVX393236 BFM393231:BFT393236 BPI393231:BPP393236 BZE393231:BZL393236 CJA393231:CJH393236 CSW393231:CTD393236 DCS393231:DCZ393236 DMO393231:DMV393236 DWK393231:DWR393236 EGG393231:EGN393236 EQC393231:EQJ393236 EZY393231:FAF393236 FJU393231:FKB393236 FTQ393231:FTX393236 GDM393231:GDT393236 GNI393231:GNP393236 GXE393231:GXL393236 HHA393231:HHH393236 HQW393231:HRD393236 IAS393231:IAZ393236 IKO393231:IKV393236 IUK393231:IUR393236 JEG393231:JEN393236 JOC393231:JOJ393236 JXY393231:JYF393236 KHU393231:KIB393236 KRQ393231:KRX393236 LBM393231:LBT393236 LLI393231:LLP393236 LVE393231:LVL393236 MFA393231:MFH393236 MOW393231:MPD393236 MYS393231:MYZ393236 NIO393231:NIV393236 NSK393231:NSR393236 OCG393231:OCN393236 OMC393231:OMJ393236 OVY393231:OWF393236 PFU393231:PGB393236 PPQ393231:PPX393236 PZM393231:PZT393236 QJI393231:QJP393236 QTE393231:QTL393236 RDA393231:RDH393236 RMW393231:RND393236 RWS393231:RWZ393236 SGO393231:SGV393236 SQK393231:SQR393236 TAG393231:TAN393236 TKC393231:TKJ393236 TTY393231:TUF393236 UDU393231:UEB393236 UNQ393231:UNX393236 UXM393231:UXT393236 VHI393231:VHP393236 VRE393231:VRL393236 WBA393231:WBH393236 WKW393231:WLD393236 WUS393231:WUZ393236 AE458767:AL458772 IG458767:IN458772 SC458767:SJ458772 ABY458767:ACF458772 ALU458767:AMB458772 AVQ458767:AVX458772 BFM458767:BFT458772 BPI458767:BPP458772 BZE458767:BZL458772 CJA458767:CJH458772 CSW458767:CTD458772 DCS458767:DCZ458772 DMO458767:DMV458772 DWK458767:DWR458772 EGG458767:EGN458772 EQC458767:EQJ458772 EZY458767:FAF458772 FJU458767:FKB458772 FTQ458767:FTX458772 GDM458767:GDT458772 GNI458767:GNP458772 GXE458767:GXL458772 HHA458767:HHH458772 HQW458767:HRD458772 IAS458767:IAZ458772 IKO458767:IKV458772 IUK458767:IUR458772 JEG458767:JEN458772 JOC458767:JOJ458772 JXY458767:JYF458772 KHU458767:KIB458772 KRQ458767:KRX458772 LBM458767:LBT458772 LLI458767:LLP458772 LVE458767:LVL458772 MFA458767:MFH458772 MOW458767:MPD458772 MYS458767:MYZ458772 NIO458767:NIV458772 NSK458767:NSR458772 OCG458767:OCN458772 OMC458767:OMJ458772 OVY458767:OWF458772 PFU458767:PGB458772 PPQ458767:PPX458772 PZM458767:PZT458772 QJI458767:QJP458772 QTE458767:QTL458772 RDA458767:RDH458772 RMW458767:RND458772 RWS458767:RWZ458772 SGO458767:SGV458772 SQK458767:SQR458772 TAG458767:TAN458772 TKC458767:TKJ458772 TTY458767:TUF458772 UDU458767:UEB458772 UNQ458767:UNX458772 UXM458767:UXT458772 VHI458767:VHP458772 VRE458767:VRL458772 WBA458767:WBH458772 WKW458767:WLD458772 WUS458767:WUZ458772 AE524303:AL524308 IG524303:IN524308 SC524303:SJ524308 ABY524303:ACF524308 ALU524303:AMB524308 AVQ524303:AVX524308 BFM524303:BFT524308 BPI524303:BPP524308 BZE524303:BZL524308 CJA524303:CJH524308 CSW524303:CTD524308 DCS524303:DCZ524308 DMO524303:DMV524308 DWK524303:DWR524308 EGG524303:EGN524308 EQC524303:EQJ524308 EZY524303:FAF524308 FJU524303:FKB524308 FTQ524303:FTX524308 GDM524303:GDT524308 GNI524303:GNP524308 GXE524303:GXL524308 HHA524303:HHH524308 HQW524303:HRD524308 IAS524303:IAZ524308 IKO524303:IKV524308 IUK524303:IUR524308 JEG524303:JEN524308 JOC524303:JOJ524308 JXY524303:JYF524308 KHU524303:KIB524308 KRQ524303:KRX524308 LBM524303:LBT524308 LLI524303:LLP524308 LVE524303:LVL524308 MFA524303:MFH524308 MOW524303:MPD524308 MYS524303:MYZ524308 NIO524303:NIV524308 NSK524303:NSR524308 OCG524303:OCN524308 OMC524303:OMJ524308 OVY524303:OWF524308 PFU524303:PGB524308 PPQ524303:PPX524308 PZM524303:PZT524308 QJI524303:QJP524308 QTE524303:QTL524308 RDA524303:RDH524308 RMW524303:RND524308 RWS524303:RWZ524308 SGO524303:SGV524308 SQK524303:SQR524308 TAG524303:TAN524308 TKC524303:TKJ524308 TTY524303:TUF524308 UDU524303:UEB524308 UNQ524303:UNX524308 UXM524303:UXT524308 VHI524303:VHP524308 VRE524303:VRL524308 WBA524303:WBH524308 WKW524303:WLD524308 WUS524303:WUZ524308 AE589839:AL589844 IG589839:IN589844 SC589839:SJ589844 ABY589839:ACF589844 ALU589839:AMB589844 AVQ589839:AVX589844 BFM589839:BFT589844 BPI589839:BPP589844 BZE589839:BZL589844 CJA589839:CJH589844 CSW589839:CTD589844 DCS589839:DCZ589844 DMO589839:DMV589844 DWK589839:DWR589844 EGG589839:EGN589844 EQC589839:EQJ589844 EZY589839:FAF589844 FJU589839:FKB589844 FTQ589839:FTX589844 GDM589839:GDT589844 GNI589839:GNP589844 GXE589839:GXL589844 HHA589839:HHH589844 HQW589839:HRD589844 IAS589839:IAZ589844 IKO589839:IKV589844 IUK589839:IUR589844 JEG589839:JEN589844 JOC589839:JOJ589844 JXY589839:JYF589844 KHU589839:KIB589844 KRQ589839:KRX589844 LBM589839:LBT589844 LLI589839:LLP589844 LVE589839:LVL589844 MFA589839:MFH589844 MOW589839:MPD589844 MYS589839:MYZ589844 NIO589839:NIV589844 NSK589839:NSR589844 OCG589839:OCN589844 OMC589839:OMJ589844 OVY589839:OWF589844 PFU589839:PGB589844 PPQ589839:PPX589844 PZM589839:PZT589844 QJI589839:QJP589844 QTE589839:QTL589844 RDA589839:RDH589844 RMW589839:RND589844 RWS589839:RWZ589844 SGO589839:SGV589844 SQK589839:SQR589844 TAG589839:TAN589844 TKC589839:TKJ589844 TTY589839:TUF589844 UDU589839:UEB589844 UNQ589839:UNX589844 UXM589839:UXT589844 VHI589839:VHP589844 VRE589839:VRL589844 WBA589839:WBH589844 WKW589839:WLD589844 WUS589839:WUZ589844 AE655375:AL655380 IG655375:IN655380 SC655375:SJ655380 ABY655375:ACF655380 ALU655375:AMB655380 AVQ655375:AVX655380 BFM655375:BFT655380 BPI655375:BPP655380 BZE655375:BZL655380 CJA655375:CJH655380 CSW655375:CTD655380 DCS655375:DCZ655380 DMO655375:DMV655380 DWK655375:DWR655380 EGG655375:EGN655380 EQC655375:EQJ655380 EZY655375:FAF655380 FJU655375:FKB655380 FTQ655375:FTX655380 GDM655375:GDT655380 GNI655375:GNP655380 GXE655375:GXL655380 HHA655375:HHH655380 HQW655375:HRD655380 IAS655375:IAZ655380 IKO655375:IKV655380 IUK655375:IUR655380 JEG655375:JEN655380 JOC655375:JOJ655380 JXY655375:JYF655380 KHU655375:KIB655380 KRQ655375:KRX655380 LBM655375:LBT655380 LLI655375:LLP655380 LVE655375:LVL655380 MFA655375:MFH655380 MOW655375:MPD655380 MYS655375:MYZ655380 NIO655375:NIV655380 NSK655375:NSR655380 OCG655375:OCN655380 OMC655375:OMJ655380 OVY655375:OWF655380 PFU655375:PGB655380 PPQ655375:PPX655380 PZM655375:PZT655380 QJI655375:QJP655380 QTE655375:QTL655380 RDA655375:RDH655380 RMW655375:RND655380 RWS655375:RWZ655380 SGO655375:SGV655380 SQK655375:SQR655380 TAG655375:TAN655380 TKC655375:TKJ655380 TTY655375:TUF655380 UDU655375:UEB655380 UNQ655375:UNX655380 UXM655375:UXT655380 VHI655375:VHP655380 VRE655375:VRL655380 WBA655375:WBH655380 WKW655375:WLD655380 WUS655375:WUZ655380 AE720911:AL720916 IG720911:IN720916 SC720911:SJ720916 ABY720911:ACF720916 ALU720911:AMB720916 AVQ720911:AVX720916 BFM720911:BFT720916 BPI720911:BPP720916 BZE720911:BZL720916 CJA720911:CJH720916 CSW720911:CTD720916 DCS720911:DCZ720916 DMO720911:DMV720916 DWK720911:DWR720916 EGG720911:EGN720916 EQC720911:EQJ720916 EZY720911:FAF720916 FJU720911:FKB720916 FTQ720911:FTX720916 GDM720911:GDT720916 GNI720911:GNP720916 GXE720911:GXL720916 HHA720911:HHH720916 HQW720911:HRD720916 IAS720911:IAZ720916 IKO720911:IKV720916 IUK720911:IUR720916 JEG720911:JEN720916 JOC720911:JOJ720916 JXY720911:JYF720916 KHU720911:KIB720916 KRQ720911:KRX720916 LBM720911:LBT720916 LLI720911:LLP720916 LVE720911:LVL720916 MFA720911:MFH720916 MOW720911:MPD720916 MYS720911:MYZ720916 NIO720911:NIV720916 NSK720911:NSR720916 OCG720911:OCN720916 OMC720911:OMJ720916 OVY720911:OWF720916 PFU720911:PGB720916 PPQ720911:PPX720916 PZM720911:PZT720916 QJI720911:QJP720916 QTE720911:QTL720916 RDA720911:RDH720916 RMW720911:RND720916 RWS720911:RWZ720916 SGO720911:SGV720916 SQK720911:SQR720916 TAG720911:TAN720916 TKC720911:TKJ720916 TTY720911:TUF720916 UDU720911:UEB720916 UNQ720911:UNX720916 UXM720911:UXT720916 VHI720911:VHP720916 VRE720911:VRL720916 WBA720911:WBH720916 WKW720911:WLD720916 WUS720911:WUZ720916 AE786447:AL786452 IG786447:IN786452 SC786447:SJ786452 ABY786447:ACF786452 ALU786447:AMB786452 AVQ786447:AVX786452 BFM786447:BFT786452 BPI786447:BPP786452 BZE786447:BZL786452 CJA786447:CJH786452 CSW786447:CTD786452 DCS786447:DCZ786452 DMO786447:DMV786452 DWK786447:DWR786452 EGG786447:EGN786452 EQC786447:EQJ786452 EZY786447:FAF786452 FJU786447:FKB786452 FTQ786447:FTX786452 GDM786447:GDT786452 GNI786447:GNP786452 GXE786447:GXL786452 HHA786447:HHH786452 HQW786447:HRD786452 IAS786447:IAZ786452 IKO786447:IKV786452 IUK786447:IUR786452 JEG786447:JEN786452 JOC786447:JOJ786452 JXY786447:JYF786452 KHU786447:KIB786452 KRQ786447:KRX786452 LBM786447:LBT786452 LLI786447:LLP786452 LVE786447:LVL786452 MFA786447:MFH786452 MOW786447:MPD786452 MYS786447:MYZ786452 NIO786447:NIV786452 NSK786447:NSR786452 OCG786447:OCN786452 OMC786447:OMJ786452 OVY786447:OWF786452 PFU786447:PGB786452 PPQ786447:PPX786452 PZM786447:PZT786452 QJI786447:QJP786452 QTE786447:QTL786452 RDA786447:RDH786452 RMW786447:RND786452 RWS786447:RWZ786452 SGO786447:SGV786452 SQK786447:SQR786452 TAG786447:TAN786452 TKC786447:TKJ786452 TTY786447:TUF786452 UDU786447:UEB786452 UNQ786447:UNX786452 UXM786447:UXT786452 VHI786447:VHP786452 VRE786447:VRL786452 WBA786447:WBH786452 WKW786447:WLD786452 WUS786447:WUZ786452 AE851983:AL851988 IG851983:IN851988 SC851983:SJ851988 ABY851983:ACF851988 ALU851983:AMB851988 AVQ851983:AVX851988 BFM851983:BFT851988 BPI851983:BPP851988 BZE851983:BZL851988 CJA851983:CJH851988 CSW851983:CTD851988 DCS851983:DCZ851988 DMO851983:DMV851988 DWK851983:DWR851988 EGG851983:EGN851988 EQC851983:EQJ851988 EZY851983:FAF851988 FJU851983:FKB851988 FTQ851983:FTX851988 GDM851983:GDT851988 GNI851983:GNP851988 GXE851983:GXL851988 HHA851983:HHH851988 HQW851983:HRD851988 IAS851983:IAZ851988 IKO851983:IKV851988 IUK851983:IUR851988 JEG851983:JEN851988 JOC851983:JOJ851988 JXY851983:JYF851988 KHU851983:KIB851988 KRQ851983:KRX851988 LBM851983:LBT851988 LLI851983:LLP851988 LVE851983:LVL851988 MFA851983:MFH851988 MOW851983:MPD851988 MYS851983:MYZ851988 NIO851983:NIV851988 NSK851983:NSR851988 OCG851983:OCN851988 OMC851983:OMJ851988 OVY851983:OWF851988 PFU851983:PGB851988 PPQ851983:PPX851988 PZM851983:PZT851988 QJI851983:QJP851988 QTE851983:QTL851988 RDA851983:RDH851988 RMW851983:RND851988 RWS851983:RWZ851988 SGO851983:SGV851988 SQK851983:SQR851988 TAG851983:TAN851988 TKC851983:TKJ851988 TTY851983:TUF851988 UDU851983:UEB851988 UNQ851983:UNX851988 UXM851983:UXT851988 VHI851983:VHP851988 VRE851983:VRL851988 WBA851983:WBH851988 WKW851983:WLD851988 WUS851983:WUZ851988 AE917519:AL917524 IG917519:IN917524 SC917519:SJ917524 ABY917519:ACF917524 ALU917519:AMB917524 AVQ917519:AVX917524 BFM917519:BFT917524 BPI917519:BPP917524 BZE917519:BZL917524 CJA917519:CJH917524 CSW917519:CTD917524 DCS917519:DCZ917524 DMO917519:DMV917524 DWK917519:DWR917524 EGG917519:EGN917524 EQC917519:EQJ917524 EZY917519:FAF917524 FJU917519:FKB917524 FTQ917519:FTX917524 GDM917519:GDT917524 GNI917519:GNP917524 GXE917519:GXL917524 HHA917519:HHH917524 HQW917519:HRD917524 IAS917519:IAZ917524 IKO917519:IKV917524 IUK917519:IUR917524 JEG917519:JEN917524 JOC917519:JOJ917524 JXY917519:JYF917524 KHU917519:KIB917524 KRQ917519:KRX917524 LBM917519:LBT917524 LLI917519:LLP917524 LVE917519:LVL917524 MFA917519:MFH917524 MOW917519:MPD917524 MYS917519:MYZ917524 NIO917519:NIV917524 NSK917519:NSR917524 OCG917519:OCN917524 OMC917519:OMJ917524 OVY917519:OWF917524 PFU917519:PGB917524 PPQ917519:PPX917524 PZM917519:PZT917524 QJI917519:QJP917524 QTE917519:QTL917524 RDA917519:RDH917524 RMW917519:RND917524 RWS917519:RWZ917524 SGO917519:SGV917524 SQK917519:SQR917524 TAG917519:TAN917524 TKC917519:TKJ917524 TTY917519:TUF917524 UDU917519:UEB917524 UNQ917519:UNX917524 UXM917519:UXT917524 VHI917519:VHP917524 VRE917519:VRL917524 WBA917519:WBH917524 WKW917519:WLD917524 WUS917519:WUZ917524 AE16:AL20 WKW16:WLD18 WBA16:WBH18 VRE16:VRL18 VHI16:VHP18 UXM16:UXT18 UNQ16:UNX18 UDU16:UEB18 TTY16:TUF18 TKC16:TKJ18 TAG16:TAN18 SQK16:SQR18 SGO16:SGV18 RWS16:RWZ18 RMW16:RND18 RDA16:RDH18 QTE16:QTL18 QJI16:QJP18 PZM16:PZT18 PPQ16:PPX18 PFU16:PGB18 OVY16:OWF18 OMC16:OMJ18 OCG16:OCN18 NSK16:NSR18 NIO16:NIV18 MYS16:MYZ18 MOW16:MPD18 MFA16:MFH18 LVE16:LVL18 LLI16:LLP18 LBM16:LBT18 KRQ16:KRX18 KHU16:KIB18 JXY16:JYF18 JOC16:JOJ18 JEG16:JEN18 IUK16:IUR18 IKO16:IKV18 IAS16:IAZ18 HQW16:HRD18 HHA16:HHH18 GXE16:GXL18 GNI16:GNP18 GDM16:GDT18 FTQ16:FTX18 FJU16:FKB18 EZY16:FAF18 EQC16:EQJ18 EGG16:EGN18 DWK16:DWR18 DMO16:DMV18 DCS16:DCZ18 CSW16:CTD18 CJA16:CJH18 BZE16:BZL18 BPI16:BPP18 BFM16:BFT18 AVQ16:AVX18 ALU16:AMB18 ABY16:ACF18 SC16:SJ18 IG16:IN18 WUS16:WUZ18" xr:uid="{D6A3EB15-7472-48CD-947F-668776E87D0F}">
      <formula1>"サーバ,クライアント"</formula1>
    </dataValidation>
    <dataValidation type="list" allowBlank="1" showInputMessage="1" showErrorMessage="1" sqref="WUP983014:WUQ983017 WKT8:WKU11 WUP8:WUQ11 ID8:IE11 RZ8:SA11 ABV8:ABW11 ALR8:ALS11 AVN8:AVO11 BFJ8:BFK11 BPF8:BPG11 BZB8:BZC11 CIX8:CIY11 CST8:CSU11 DCP8:DCQ11 DML8:DMM11 DWH8:DWI11 EGD8:EGE11 EPZ8:EQA11 EZV8:EZW11 FJR8:FJS11 FTN8:FTO11 GDJ8:GDK11 GNF8:GNG11 GXB8:GXC11 HGX8:HGY11 HQT8:HQU11 IAP8:IAQ11 IKL8:IKM11 IUH8:IUI11 JED8:JEE11 JNZ8:JOA11 JXV8:JXW11 KHR8:KHS11 KRN8:KRO11 LBJ8:LBK11 LLF8:LLG11 LVB8:LVC11 MEX8:MEY11 MOT8:MOU11 MYP8:MYQ11 NIL8:NIM11 NSH8:NSI11 OCD8:OCE11 OLZ8:OMA11 OVV8:OVW11 PFR8:PFS11 PPN8:PPO11 PZJ8:PZK11 QJF8:QJG11 QTB8:QTC11 RCX8:RCY11 RMT8:RMU11 RWP8:RWQ11 SGL8:SGM11 SQH8:SQI11 TAD8:TAE11 TJZ8:TKA11 TTV8:TTW11 UDR8:UDS11 UNN8:UNO11 UXJ8:UXK11 VHF8:VHG11 VRB8:VRC11 WAX8:WAY11 ID5:IE6 RZ5:SA6 ABV5:ABW6 ALR5:ALS6 AVN5:AVO6 BFJ5:BFK6 BPF5:BPG6 BZB5:BZC6 CIX5:CIY6 CST5:CSU6 DCP5:DCQ6 DML5:DMM6 DWH5:DWI6 EGD5:EGE6 EPZ5:EQA6 EZV5:EZW6 FJR5:FJS6 FTN5:FTO6 GDJ5:GDK6 GNF5:GNG6 GXB5:GXC6 HGX5:HGY6 HQT5:HQU6 IAP5:IAQ6 IKL5:IKM6 IUH5:IUI6 JED5:JEE6 JNZ5:JOA6 JXV5:JXW6 KHR5:KHS6 KRN5:KRO6 LBJ5:LBK6 LLF5:LLG6 LVB5:LVC6 MEX5:MEY6 MOT5:MOU6 MYP5:MYQ6 NIL5:NIM6 NSH5:NSI6 OCD5:OCE6 OLZ5:OMA6 OVV5:OVW6 PFR5:PFS6 PPN5:PPO6 PZJ5:PZK6 QJF5:QJG6 QTB5:QTC6 RCX5:RCY6 RMT5:RMU6 RWP5:RWQ6 SGL5:SGM6 SQH5:SQI6 TAD5:TAE6 TJZ5:TKA6 TTV5:TTW6 UDR5:UDS6 UNN5:UNO6 UXJ5:UXK6 VHF5:VHG6 VRB5:VRC6 WAX5:WAY6 WKT5:WKU6 WUP5:WUQ6 WKT983014:WKU983017 AB65510:AC65513 ID65510:IE65513 RZ65510:SA65513 ABV65510:ABW65513 ALR65510:ALS65513 AVN65510:AVO65513 BFJ65510:BFK65513 BPF65510:BPG65513 BZB65510:BZC65513 CIX65510:CIY65513 CST65510:CSU65513 DCP65510:DCQ65513 DML65510:DMM65513 DWH65510:DWI65513 EGD65510:EGE65513 EPZ65510:EQA65513 EZV65510:EZW65513 FJR65510:FJS65513 FTN65510:FTO65513 GDJ65510:GDK65513 GNF65510:GNG65513 GXB65510:GXC65513 HGX65510:HGY65513 HQT65510:HQU65513 IAP65510:IAQ65513 IKL65510:IKM65513 IUH65510:IUI65513 JED65510:JEE65513 JNZ65510:JOA65513 JXV65510:JXW65513 KHR65510:KHS65513 KRN65510:KRO65513 LBJ65510:LBK65513 LLF65510:LLG65513 LVB65510:LVC65513 MEX65510:MEY65513 MOT65510:MOU65513 MYP65510:MYQ65513 NIL65510:NIM65513 NSH65510:NSI65513 OCD65510:OCE65513 OLZ65510:OMA65513 OVV65510:OVW65513 PFR65510:PFS65513 PPN65510:PPO65513 PZJ65510:PZK65513 QJF65510:QJG65513 QTB65510:QTC65513 RCX65510:RCY65513 RMT65510:RMU65513 RWP65510:RWQ65513 SGL65510:SGM65513 SQH65510:SQI65513 TAD65510:TAE65513 TJZ65510:TKA65513 TTV65510:TTW65513 UDR65510:UDS65513 UNN65510:UNO65513 UXJ65510:UXK65513 VHF65510:VHG65513 VRB65510:VRC65513 WAX65510:WAY65513 WKT65510:WKU65513 WUP65510:WUQ65513 AB131046:AC131049 ID131046:IE131049 RZ131046:SA131049 ABV131046:ABW131049 ALR131046:ALS131049 AVN131046:AVO131049 BFJ131046:BFK131049 BPF131046:BPG131049 BZB131046:BZC131049 CIX131046:CIY131049 CST131046:CSU131049 DCP131046:DCQ131049 DML131046:DMM131049 DWH131046:DWI131049 EGD131046:EGE131049 EPZ131046:EQA131049 EZV131046:EZW131049 FJR131046:FJS131049 FTN131046:FTO131049 GDJ131046:GDK131049 GNF131046:GNG131049 GXB131046:GXC131049 HGX131046:HGY131049 HQT131046:HQU131049 IAP131046:IAQ131049 IKL131046:IKM131049 IUH131046:IUI131049 JED131046:JEE131049 JNZ131046:JOA131049 JXV131046:JXW131049 KHR131046:KHS131049 KRN131046:KRO131049 LBJ131046:LBK131049 LLF131046:LLG131049 LVB131046:LVC131049 MEX131046:MEY131049 MOT131046:MOU131049 MYP131046:MYQ131049 NIL131046:NIM131049 NSH131046:NSI131049 OCD131046:OCE131049 OLZ131046:OMA131049 OVV131046:OVW131049 PFR131046:PFS131049 PPN131046:PPO131049 PZJ131046:PZK131049 QJF131046:QJG131049 QTB131046:QTC131049 RCX131046:RCY131049 RMT131046:RMU131049 RWP131046:RWQ131049 SGL131046:SGM131049 SQH131046:SQI131049 TAD131046:TAE131049 TJZ131046:TKA131049 TTV131046:TTW131049 UDR131046:UDS131049 UNN131046:UNO131049 UXJ131046:UXK131049 VHF131046:VHG131049 VRB131046:VRC131049 WAX131046:WAY131049 WKT131046:WKU131049 WUP131046:WUQ131049 AB196582:AC196585 ID196582:IE196585 RZ196582:SA196585 ABV196582:ABW196585 ALR196582:ALS196585 AVN196582:AVO196585 BFJ196582:BFK196585 BPF196582:BPG196585 BZB196582:BZC196585 CIX196582:CIY196585 CST196582:CSU196585 DCP196582:DCQ196585 DML196582:DMM196585 DWH196582:DWI196585 EGD196582:EGE196585 EPZ196582:EQA196585 EZV196582:EZW196585 FJR196582:FJS196585 FTN196582:FTO196585 GDJ196582:GDK196585 GNF196582:GNG196585 GXB196582:GXC196585 HGX196582:HGY196585 HQT196582:HQU196585 IAP196582:IAQ196585 IKL196582:IKM196585 IUH196582:IUI196585 JED196582:JEE196585 JNZ196582:JOA196585 JXV196582:JXW196585 KHR196582:KHS196585 KRN196582:KRO196585 LBJ196582:LBK196585 LLF196582:LLG196585 LVB196582:LVC196585 MEX196582:MEY196585 MOT196582:MOU196585 MYP196582:MYQ196585 NIL196582:NIM196585 NSH196582:NSI196585 OCD196582:OCE196585 OLZ196582:OMA196585 OVV196582:OVW196585 PFR196582:PFS196585 PPN196582:PPO196585 PZJ196582:PZK196585 QJF196582:QJG196585 QTB196582:QTC196585 RCX196582:RCY196585 RMT196582:RMU196585 RWP196582:RWQ196585 SGL196582:SGM196585 SQH196582:SQI196585 TAD196582:TAE196585 TJZ196582:TKA196585 TTV196582:TTW196585 UDR196582:UDS196585 UNN196582:UNO196585 UXJ196582:UXK196585 VHF196582:VHG196585 VRB196582:VRC196585 WAX196582:WAY196585 WKT196582:WKU196585 WUP196582:WUQ196585 AB262118:AC262121 ID262118:IE262121 RZ262118:SA262121 ABV262118:ABW262121 ALR262118:ALS262121 AVN262118:AVO262121 BFJ262118:BFK262121 BPF262118:BPG262121 BZB262118:BZC262121 CIX262118:CIY262121 CST262118:CSU262121 DCP262118:DCQ262121 DML262118:DMM262121 DWH262118:DWI262121 EGD262118:EGE262121 EPZ262118:EQA262121 EZV262118:EZW262121 FJR262118:FJS262121 FTN262118:FTO262121 GDJ262118:GDK262121 GNF262118:GNG262121 GXB262118:GXC262121 HGX262118:HGY262121 HQT262118:HQU262121 IAP262118:IAQ262121 IKL262118:IKM262121 IUH262118:IUI262121 JED262118:JEE262121 JNZ262118:JOA262121 JXV262118:JXW262121 KHR262118:KHS262121 KRN262118:KRO262121 LBJ262118:LBK262121 LLF262118:LLG262121 LVB262118:LVC262121 MEX262118:MEY262121 MOT262118:MOU262121 MYP262118:MYQ262121 NIL262118:NIM262121 NSH262118:NSI262121 OCD262118:OCE262121 OLZ262118:OMA262121 OVV262118:OVW262121 PFR262118:PFS262121 PPN262118:PPO262121 PZJ262118:PZK262121 QJF262118:QJG262121 QTB262118:QTC262121 RCX262118:RCY262121 RMT262118:RMU262121 RWP262118:RWQ262121 SGL262118:SGM262121 SQH262118:SQI262121 TAD262118:TAE262121 TJZ262118:TKA262121 TTV262118:TTW262121 UDR262118:UDS262121 UNN262118:UNO262121 UXJ262118:UXK262121 VHF262118:VHG262121 VRB262118:VRC262121 WAX262118:WAY262121 WKT262118:WKU262121 WUP262118:WUQ262121 AB327654:AC327657 ID327654:IE327657 RZ327654:SA327657 ABV327654:ABW327657 ALR327654:ALS327657 AVN327654:AVO327657 BFJ327654:BFK327657 BPF327654:BPG327657 BZB327654:BZC327657 CIX327654:CIY327657 CST327654:CSU327657 DCP327654:DCQ327657 DML327654:DMM327657 DWH327654:DWI327657 EGD327654:EGE327657 EPZ327654:EQA327657 EZV327654:EZW327657 FJR327654:FJS327657 FTN327654:FTO327657 GDJ327654:GDK327657 GNF327654:GNG327657 GXB327654:GXC327657 HGX327654:HGY327657 HQT327654:HQU327657 IAP327654:IAQ327657 IKL327654:IKM327657 IUH327654:IUI327657 JED327654:JEE327657 JNZ327654:JOA327657 JXV327654:JXW327657 KHR327654:KHS327657 KRN327654:KRO327657 LBJ327654:LBK327657 LLF327654:LLG327657 LVB327654:LVC327657 MEX327654:MEY327657 MOT327654:MOU327657 MYP327654:MYQ327657 NIL327654:NIM327657 NSH327654:NSI327657 OCD327654:OCE327657 OLZ327654:OMA327657 OVV327654:OVW327657 PFR327654:PFS327657 PPN327654:PPO327657 PZJ327654:PZK327657 QJF327654:QJG327657 QTB327654:QTC327657 RCX327654:RCY327657 RMT327654:RMU327657 RWP327654:RWQ327657 SGL327654:SGM327657 SQH327654:SQI327657 TAD327654:TAE327657 TJZ327654:TKA327657 TTV327654:TTW327657 UDR327654:UDS327657 UNN327654:UNO327657 UXJ327654:UXK327657 VHF327654:VHG327657 VRB327654:VRC327657 WAX327654:WAY327657 WKT327654:WKU327657 WUP327654:WUQ327657 AB393190:AC393193 ID393190:IE393193 RZ393190:SA393193 ABV393190:ABW393193 ALR393190:ALS393193 AVN393190:AVO393193 BFJ393190:BFK393193 BPF393190:BPG393193 BZB393190:BZC393193 CIX393190:CIY393193 CST393190:CSU393193 DCP393190:DCQ393193 DML393190:DMM393193 DWH393190:DWI393193 EGD393190:EGE393193 EPZ393190:EQA393193 EZV393190:EZW393193 FJR393190:FJS393193 FTN393190:FTO393193 GDJ393190:GDK393193 GNF393190:GNG393193 GXB393190:GXC393193 HGX393190:HGY393193 HQT393190:HQU393193 IAP393190:IAQ393193 IKL393190:IKM393193 IUH393190:IUI393193 JED393190:JEE393193 JNZ393190:JOA393193 JXV393190:JXW393193 KHR393190:KHS393193 KRN393190:KRO393193 LBJ393190:LBK393193 LLF393190:LLG393193 LVB393190:LVC393193 MEX393190:MEY393193 MOT393190:MOU393193 MYP393190:MYQ393193 NIL393190:NIM393193 NSH393190:NSI393193 OCD393190:OCE393193 OLZ393190:OMA393193 OVV393190:OVW393193 PFR393190:PFS393193 PPN393190:PPO393193 PZJ393190:PZK393193 QJF393190:QJG393193 QTB393190:QTC393193 RCX393190:RCY393193 RMT393190:RMU393193 RWP393190:RWQ393193 SGL393190:SGM393193 SQH393190:SQI393193 TAD393190:TAE393193 TJZ393190:TKA393193 TTV393190:TTW393193 UDR393190:UDS393193 UNN393190:UNO393193 UXJ393190:UXK393193 VHF393190:VHG393193 VRB393190:VRC393193 WAX393190:WAY393193 WKT393190:WKU393193 WUP393190:WUQ393193 AB458726:AC458729 ID458726:IE458729 RZ458726:SA458729 ABV458726:ABW458729 ALR458726:ALS458729 AVN458726:AVO458729 BFJ458726:BFK458729 BPF458726:BPG458729 BZB458726:BZC458729 CIX458726:CIY458729 CST458726:CSU458729 DCP458726:DCQ458729 DML458726:DMM458729 DWH458726:DWI458729 EGD458726:EGE458729 EPZ458726:EQA458729 EZV458726:EZW458729 FJR458726:FJS458729 FTN458726:FTO458729 GDJ458726:GDK458729 GNF458726:GNG458729 GXB458726:GXC458729 HGX458726:HGY458729 HQT458726:HQU458729 IAP458726:IAQ458729 IKL458726:IKM458729 IUH458726:IUI458729 JED458726:JEE458729 JNZ458726:JOA458729 JXV458726:JXW458729 KHR458726:KHS458729 KRN458726:KRO458729 LBJ458726:LBK458729 LLF458726:LLG458729 LVB458726:LVC458729 MEX458726:MEY458729 MOT458726:MOU458729 MYP458726:MYQ458729 NIL458726:NIM458729 NSH458726:NSI458729 OCD458726:OCE458729 OLZ458726:OMA458729 OVV458726:OVW458729 PFR458726:PFS458729 PPN458726:PPO458729 PZJ458726:PZK458729 QJF458726:QJG458729 QTB458726:QTC458729 RCX458726:RCY458729 RMT458726:RMU458729 RWP458726:RWQ458729 SGL458726:SGM458729 SQH458726:SQI458729 TAD458726:TAE458729 TJZ458726:TKA458729 TTV458726:TTW458729 UDR458726:UDS458729 UNN458726:UNO458729 UXJ458726:UXK458729 VHF458726:VHG458729 VRB458726:VRC458729 WAX458726:WAY458729 WKT458726:WKU458729 WUP458726:WUQ458729 AB524262:AC524265 ID524262:IE524265 RZ524262:SA524265 ABV524262:ABW524265 ALR524262:ALS524265 AVN524262:AVO524265 BFJ524262:BFK524265 BPF524262:BPG524265 BZB524262:BZC524265 CIX524262:CIY524265 CST524262:CSU524265 DCP524262:DCQ524265 DML524262:DMM524265 DWH524262:DWI524265 EGD524262:EGE524265 EPZ524262:EQA524265 EZV524262:EZW524265 FJR524262:FJS524265 FTN524262:FTO524265 GDJ524262:GDK524265 GNF524262:GNG524265 GXB524262:GXC524265 HGX524262:HGY524265 HQT524262:HQU524265 IAP524262:IAQ524265 IKL524262:IKM524265 IUH524262:IUI524265 JED524262:JEE524265 JNZ524262:JOA524265 JXV524262:JXW524265 KHR524262:KHS524265 KRN524262:KRO524265 LBJ524262:LBK524265 LLF524262:LLG524265 LVB524262:LVC524265 MEX524262:MEY524265 MOT524262:MOU524265 MYP524262:MYQ524265 NIL524262:NIM524265 NSH524262:NSI524265 OCD524262:OCE524265 OLZ524262:OMA524265 OVV524262:OVW524265 PFR524262:PFS524265 PPN524262:PPO524265 PZJ524262:PZK524265 QJF524262:QJG524265 QTB524262:QTC524265 RCX524262:RCY524265 RMT524262:RMU524265 RWP524262:RWQ524265 SGL524262:SGM524265 SQH524262:SQI524265 TAD524262:TAE524265 TJZ524262:TKA524265 TTV524262:TTW524265 UDR524262:UDS524265 UNN524262:UNO524265 UXJ524262:UXK524265 VHF524262:VHG524265 VRB524262:VRC524265 WAX524262:WAY524265 WKT524262:WKU524265 WUP524262:WUQ524265 AB589798:AC589801 ID589798:IE589801 RZ589798:SA589801 ABV589798:ABW589801 ALR589798:ALS589801 AVN589798:AVO589801 BFJ589798:BFK589801 BPF589798:BPG589801 BZB589798:BZC589801 CIX589798:CIY589801 CST589798:CSU589801 DCP589798:DCQ589801 DML589798:DMM589801 DWH589798:DWI589801 EGD589798:EGE589801 EPZ589798:EQA589801 EZV589798:EZW589801 FJR589798:FJS589801 FTN589798:FTO589801 GDJ589798:GDK589801 GNF589798:GNG589801 GXB589798:GXC589801 HGX589798:HGY589801 HQT589798:HQU589801 IAP589798:IAQ589801 IKL589798:IKM589801 IUH589798:IUI589801 JED589798:JEE589801 JNZ589798:JOA589801 JXV589798:JXW589801 KHR589798:KHS589801 KRN589798:KRO589801 LBJ589798:LBK589801 LLF589798:LLG589801 LVB589798:LVC589801 MEX589798:MEY589801 MOT589798:MOU589801 MYP589798:MYQ589801 NIL589798:NIM589801 NSH589798:NSI589801 OCD589798:OCE589801 OLZ589798:OMA589801 OVV589798:OVW589801 PFR589798:PFS589801 PPN589798:PPO589801 PZJ589798:PZK589801 QJF589798:QJG589801 QTB589798:QTC589801 RCX589798:RCY589801 RMT589798:RMU589801 RWP589798:RWQ589801 SGL589798:SGM589801 SQH589798:SQI589801 TAD589798:TAE589801 TJZ589798:TKA589801 TTV589798:TTW589801 UDR589798:UDS589801 UNN589798:UNO589801 UXJ589798:UXK589801 VHF589798:VHG589801 VRB589798:VRC589801 WAX589798:WAY589801 WKT589798:WKU589801 WUP589798:WUQ589801 AB655334:AC655337 ID655334:IE655337 RZ655334:SA655337 ABV655334:ABW655337 ALR655334:ALS655337 AVN655334:AVO655337 BFJ655334:BFK655337 BPF655334:BPG655337 BZB655334:BZC655337 CIX655334:CIY655337 CST655334:CSU655337 DCP655334:DCQ655337 DML655334:DMM655337 DWH655334:DWI655337 EGD655334:EGE655337 EPZ655334:EQA655337 EZV655334:EZW655337 FJR655334:FJS655337 FTN655334:FTO655337 GDJ655334:GDK655337 GNF655334:GNG655337 GXB655334:GXC655337 HGX655334:HGY655337 HQT655334:HQU655337 IAP655334:IAQ655337 IKL655334:IKM655337 IUH655334:IUI655337 JED655334:JEE655337 JNZ655334:JOA655337 JXV655334:JXW655337 KHR655334:KHS655337 KRN655334:KRO655337 LBJ655334:LBK655337 LLF655334:LLG655337 LVB655334:LVC655337 MEX655334:MEY655337 MOT655334:MOU655337 MYP655334:MYQ655337 NIL655334:NIM655337 NSH655334:NSI655337 OCD655334:OCE655337 OLZ655334:OMA655337 OVV655334:OVW655337 PFR655334:PFS655337 PPN655334:PPO655337 PZJ655334:PZK655337 QJF655334:QJG655337 QTB655334:QTC655337 RCX655334:RCY655337 RMT655334:RMU655337 RWP655334:RWQ655337 SGL655334:SGM655337 SQH655334:SQI655337 TAD655334:TAE655337 TJZ655334:TKA655337 TTV655334:TTW655337 UDR655334:UDS655337 UNN655334:UNO655337 UXJ655334:UXK655337 VHF655334:VHG655337 VRB655334:VRC655337 WAX655334:WAY655337 WKT655334:WKU655337 WUP655334:WUQ655337 AB720870:AC720873 ID720870:IE720873 RZ720870:SA720873 ABV720870:ABW720873 ALR720870:ALS720873 AVN720870:AVO720873 BFJ720870:BFK720873 BPF720870:BPG720873 BZB720870:BZC720873 CIX720870:CIY720873 CST720870:CSU720873 DCP720870:DCQ720873 DML720870:DMM720873 DWH720870:DWI720873 EGD720870:EGE720873 EPZ720870:EQA720873 EZV720870:EZW720873 FJR720870:FJS720873 FTN720870:FTO720873 GDJ720870:GDK720873 GNF720870:GNG720873 GXB720870:GXC720873 HGX720870:HGY720873 HQT720870:HQU720873 IAP720870:IAQ720873 IKL720870:IKM720873 IUH720870:IUI720873 JED720870:JEE720873 JNZ720870:JOA720873 JXV720870:JXW720873 KHR720870:KHS720873 KRN720870:KRO720873 LBJ720870:LBK720873 LLF720870:LLG720873 LVB720870:LVC720873 MEX720870:MEY720873 MOT720870:MOU720873 MYP720870:MYQ720873 NIL720870:NIM720873 NSH720870:NSI720873 OCD720870:OCE720873 OLZ720870:OMA720873 OVV720870:OVW720873 PFR720870:PFS720873 PPN720870:PPO720873 PZJ720870:PZK720873 QJF720870:QJG720873 QTB720870:QTC720873 RCX720870:RCY720873 RMT720870:RMU720873 RWP720870:RWQ720873 SGL720870:SGM720873 SQH720870:SQI720873 TAD720870:TAE720873 TJZ720870:TKA720873 TTV720870:TTW720873 UDR720870:UDS720873 UNN720870:UNO720873 UXJ720870:UXK720873 VHF720870:VHG720873 VRB720870:VRC720873 WAX720870:WAY720873 WKT720870:WKU720873 WUP720870:WUQ720873 AB786406:AC786409 ID786406:IE786409 RZ786406:SA786409 ABV786406:ABW786409 ALR786406:ALS786409 AVN786406:AVO786409 BFJ786406:BFK786409 BPF786406:BPG786409 BZB786406:BZC786409 CIX786406:CIY786409 CST786406:CSU786409 DCP786406:DCQ786409 DML786406:DMM786409 DWH786406:DWI786409 EGD786406:EGE786409 EPZ786406:EQA786409 EZV786406:EZW786409 FJR786406:FJS786409 FTN786406:FTO786409 GDJ786406:GDK786409 GNF786406:GNG786409 GXB786406:GXC786409 HGX786406:HGY786409 HQT786406:HQU786409 IAP786406:IAQ786409 IKL786406:IKM786409 IUH786406:IUI786409 JED786406:JEE786409 JNZ786406:JOA786409 JXV786406:JXW786409 KHR786406:KHS786409 KRN786406:KRO786409 LBJ786406:LBK786409 LLF786406:LLG786409 LVB786406:LVC786409 MEX786406:MEY786409 MOT786406:MOU786409 MYP786406:MYQ786409 NIL786406:NIM786409 NSH786406:NSI786409 OCD786406:OCE786409 OLZ786406:OMA786409 OVV786406:OVW786409 PFR786406:PFS786409 PPN786406:PPO786409 PZJ786406:PZK786409 QJF786406:QJG786409 QTB786406:QTC786409 RCX786406:RCY786409 RMT786406:RMU786409 RWP786406:RWQ786409 SGL786406:SGM786409 SQH786406:SQI786409 TAD786406:TAE786409 TJZ786406:TKA786409 TTV786406:TTW786409 UDR786406:UDS786409 UNN786406:UNO786409 UXJ786406:UXK786409 VHF786406:VHG786409 VRB786406:VRC786409 WAX786406:WAY786409 WKT786406:WKU786409 WUP786406:WUQ786409 AB851942:AC851945 ID851942:IE851945 RZ851942:SA851945 ABV851942:ABW851945 ALR851942:ALS851945 AVN851942:AVO851945 BFJ851942:BFK851945 BPF851942:BPG851945 BZB851942:BZC851945 CIX851942:CIY851945 CST851942:CSU851945 DCP851942:DCQ851945 DML851942:DMM851945 DWH851942:DWI851945 EGD851942:EGE851945 EPZ851942:EQA851945 EZV851942:EZW851945 FJR851942:FJS851945 FTN851942:FTO851945 GDJ851942:GDK851945 GNF851942:GNG851945 GXB851942:GXC851945 HGX851942:HGY851945 HQT851942:HQU851945 IAP851942:IAQ851945 IKL851942:IKM851945 IUH851942:IUI851945 JED851942:JEE851945 JNZ851942:JOA851945 JXV851942:JXW851945 KHR851942:KHS851945 KRN851942:KRO851945 LBJ851942:LBK851945 LLF851942:LLG851945 LVB851942:LVC851945 MEX851942:MEY851945 MOT851942:MOU851945 MYP851942:MYQ851945 NIL851942:NIM851945 NSH851942:NSI851945 OCD851942:OCE851945 OLZ851942:OMA851945 OVV851942:OVW851945 PFR851942:PFS851945 PPN851942:PPO851945 PZJ851942:PZK851945 QJF851942:QJG851945 QTB851942:QTC851945 RCX851942:RCY851945 RMT851942:RMU851945 RWP851942:RWQ851945 SGL851942:SGM851945 SQH851942:SQI851945 TAD851942:TAE851945 TJZ851942:TKA851945 TTV851942:TTW851945 UDR851942:UDS851945 UNN851942:UNO851945 UXJ851942:UXK851945 VHF851942:VHG851945 VRB851942:VRC851945 WAX851942:WAY851945 WKT851942:WKU851945 WUP851942:WUQ851945 AB917478:AC917481 ID917478:IE917481 RZ917478:SA917481 ABV917478:ABW917481 ALR917478:ALS917481 AVN917478:AVO917481 BFJ917478:BFK917481 BPF917478:BPG917481 BZB917478:BZC917481 CIX917478:CIY917481 CST917478:CSU917481 DCP917478:DCQ917481 DML917478:DMM917481 DWH917478:DWI917481 EGD917478:EGE917481 EPZ917478:EQA917481 EZV917478:EZW917481 FJR917478:FJS917481 FTN917478:FTO917481 GDJ917478:GDK917481 GNF917478:GNG917481 GXB917478:GXC917481 HGX917478:HGY917481 HQT917478:HQU917481 IAP917478:IAQ917481 IKL917478:IKM917481 IUH917478:IUI917481 JED917478:JEE917481 JNZ917478:JOA917481 JXV917478:JXW917481 KHR917478:KHS917481 KRN917478:KRO917481 LBJ917478:LBK917481 LLF917478:LLG917481 LVB917478:LVC917481 MEX917478:MEY917481 MOT917478:MOU917481 MYP917478:MYQ917481 NIL917478:NIM917481 NSH917478:NSI917481 OCD917478:OCE917481 OLZ917478:OMA917481 OVV917478:OVW917481 PFR917478:PFS917481 PPN917478:PPO917481 PZJ917478:PZK917481 QJF917478:QJG917481 QTB917478:QTC917481 RCX917478:RCY917481 RMT917478:RMU917481 RWP917478:RWQ917481 SGL917478:SGM917481 SQH917478:SQI917481 TAD917478:TAE917481 TJZ917478:TKA917481 TTV917478:TTW917481 UDR917478:UDS917481 UNN917478:UNO917481 UXJ917478:UXK917481 VHF917478:VHG917481 VRB917478:VRC917481 WAX917478:WAY917481 WKT917478:WKU917481 WUP917478:WUQ917481 AB983014:AC983017 ID983014:IE983017 RZ983014:SA983017 ABV983014:ABW983017 ALR983014:ALS983017 AVN983014:AVO983017 BFJ983014:BFK983017 BPF983014:BPG983017 BZB983014:BZC983017 CIX983014:CIY983017 CST983014:CSU983017 DCP983014:DCQ983017 DML983014:DMM983017 DWH983014:DWI983017 EGD983014:EGE983017 EPZ983014:EQA983017 EZV983014:EZW983017 FJR983014:FJS983017 FTN983014:FTO983017 GDJ983014:GDK983017 GNF983014:GNG983017 GXB983014:GXC983017 HGX983014:HGY983017 HQT983014:HQU983017 IAP983014:IAQ983017 IKL983014:IKM983017 IUH983014:IUI983017 JED983014:JEE983017 JNZ983014:JOA983017 JXV983014:JXW983017 KHR983014:KHS983017 KRN983014:KRO983017 LBJ983014:LBK983017 LLF983014:LLG983017 LVB983014:LVC983017 MEX983014:MEY983017 MOT983014:MOU983017 MYP983014:MYQ983017 NIL983014:NIM983017 NSH983014:NSI983017 OCD983014:OCE983017 OLZ983014:OMA983017 OVV983014:OVW983017 PFR983014:PFS983017 PPN983014:PPO983017 PZJ983014:PZK983017 QJF983014:QJG983017 QTB983014:QTC983017 RCX983014:RCY983017 RMT983014:RMU983017 RWP983014:RWQ983017 SGL983014:SGM983017 SQH983014:SQI983017 TAD983014:TAE983017 TJZ983014:TKA983017 TTV983014:TTW983017 UDR983014:UDS983017 UNN983014:UNO983017 UXJ983014:UXK983017 VHF983014:VHG983017 VRB983014:VRC983017 WAX983014:WAY983017" xr:uid="{3DC1F73A-00DD-4BE4-B442-B55094DA9F4B}">
      <formula1>$U$33:$U$36</formula1>
    </dataValidation>
    <dataValidation type="list" allowBlank="1" showInputMessage="1" showErrorMessage="1" sqref="WUP983018:WUQ983051 WKT7:WKU7 WAX7:WAY7 VRB7:VRC7 VHF7:VHG7 UXJ7:UXK7 UNN7:UNO7 UDR7:UDS7 TTV7:TTW7 TJZ7:TKA7 TAD7:TAE7 SQH7:SQI7 SGL7:SGM7 RWP7:RWQ7 RMT7:RMU7 RCX7:RCY7 QTB7:QTC7 QJF7:QJG7 PZJ7:PZK7 PPN7:PPO7 PFR7:PFS7 OVV7:OVW7 OLZ7:OMA7 OCD7:OCE7 NSH7:NSI7 NIL7:NIM7 MYP7:MYQ7 MOT7:MOU7 MEX7:MEY7 LVB7:LVC7 LLF7:LLG7 LBJ7:LBK7 KRN7:KRO7 KHR7:KHS7 JXV7:JXW7 JNZ7:JOA7 JED7:JEE7 IUH7:IUI7 IKL7:IKM7 IAP7:IAQ7 HQT7:HQU7 HGX7:HGY7 GXB7:GXC7 GNF7:GNG7 GDJ7:GDK7 FTN7:FTO7 FJR7:FJS7 EZV7:EZW7 EPZ7:EQA7 EGD7:EGE7 DWH7:DWI7 DML7:DMM7 DCP7:DCQ7 CST7:CSU7 CIX7:CIY7 BZB7:BZC7 BPF7:BPG7 BFJ7:BFK7 AVN7:AVO7 ALR7:ALS7 ABV7:ABW7 RZ7:SA7 ID7:IE7 WUP7:WUQ7 WKT983018:WKU983051 AB65514:AC65547 ID65514:IE65547 RZ65514:SA65547 ABV65514:ABW65547 ALR65514:ALS65547 AVN65514:AVO65547 BFJ65514:BFK65547 BPF65514:BPG65547 BZB65514:BZC65547 CIX65514:CIY65547 CST65514:CSU65547 DCP65514:DCQ65547 DML65514:DMM65547 DWH65514:DWI65547 EGD65514:EGE65547 EPZ65514:EQA65547 EZV65514:EZW65547 FJR65514:FJS65547 FTN65514:FTO65547 GDJ65514:GDK65547 GNF65514:GNG65547 GXB65514:GXC65547 HGX65514:HGY65547 HQT65514:HQU65547 IAP65514:IAQ65547 IKL65514:IKM65547 IUH65514:IUI65547 JED65514:JEE65547 JNZ65514:JOA65547 JXV65514:JXW65547 KHR65514:KHS65547 KRN65514:KRO65547 LBJ65514:LBK65547 LLF65514:LLG65547 LVB65514:LVC65547 MEX65514:MEY65547 MOT65514:MOU65547 MYP65514:MYQ65547 NIL65514:NIM65547 NSH65514:NSI65547 OCD65514:OCE65547 OLZ65514:OMA65547 OVV65514:OVW65547 PFR65514:PFS65547 PPN65514:PPO65547 PZJ65514:PZK65547 QJF65514:QJG65547 QTB65514:QTC65547 RCX65514:RCY65547 RMT65514:RMU65547 RWP65514:RWQ65547 SGL65514:SGM65547 SQH65514:SQI65547 TAD65514:TAE65547 TJZ65514:TKA65547 TTV65514:TTW65547 UDR65514:UDS65547 UNN65514:UNO65547 UXJ65514:UXK65547 VHF65514:VHG65547 VRB65514:VRC65547 WAX65514:WAY65547 WKT65514:WKU65547 WUP65514:WUQ65547 AB131050:AC131083 ID131050:IE131083 RZ131050:SA131083 ABV131050:ABW131083 ALR131050:ALS131083 AVN131050:AVO131083 BFJ131050:BFK131083 BPF131050:BPG131083 BZB131050:BZC131083 CIX131050:CIY131083 CST131050:CSU131083 DCP131050:DCQ131083 DML131050:DMM131083 DWH131050:DWI131083 EGD131050:EGE131083 EPZ131050:EQA131083 EZV131050:EZW131083 FJR131050:FJS131083 FTN131050:FTO131083 GDJ131050:GDK131083 GNF131050:GNG131083 GXB131050:GXC131083 HGX131050:HGY131083 HQT131050:HQU131083 IAP131050:IAQ131083 IKL131050:IKM131083 IUH131050:IUI131083 JED131050:JEE131083 JNZ131050:JOA131083 JXV131050:JXW131083 KHR131050:KHS131083 KRN131050:KRO131083 LBJ131050:LBK131083 LLF131050:LLG131083 LVB131050:LVC131083 MEX131050:MEY131083 MOT131050:MOU131083 MYP131050:MYQ131083 NIL131050:NIM131083 NSH131050:NSI131083 OCD131050:OCE131083 OLZ131050:OMA131083 OVV131050:OVW131083 PFR131050:PFS131083 PPN131050:PPO131083 PZJ131050:PZK131083 QJF131050:QJG131083 QTB131050:QTC131083 RCX131050:RCY131083 RMT131050:RMU131083 RWP131050:RWQ131083 SGL131050:SGM131083 SQH131050:SQI131083 TAD131050:TAE131083 TJZ131050:TKA131083 TTV131050:TTW131083 UDR131050:UDS131083 UNN131050:UNO131083 UXJ131050:UXK131083 VHF131050:VHG131083 VRB131050:VRC131083 WAX131050:WAY131083 WKT131050:WKU131083 WUP131050:WUQ131083 AB196586:AC196619 ID196586:IE196619 RZ196586:SA196619 ABV196586:ABW196619 ALR196586:ALS196619 AVN196586:AVO196619 BFJ196586:BFK196619 BPF196586:BPG196619 BZB196586:BZC196619 CIX196586:CIY196619 CST196586:CSU196619 DCP196586:DCQ196619 DML196586:DMM196619 DWH196586:DWI196619 EGD196586:EGE196619 EPZ196586:EQA196619 EZV196586:EZW196619 FJR196586:FJS196619 FTN196586:FTO196619 GDJ196586:GDK196619 GNF196586:GNG196619 GXB196586:GXC196619 HGX196586:HGY196619 HQT196586:HQU196619 IAP196586:IAQ196619 IKL196586:IKM196619 IUH196586:IUI196619 JED196586:JEE196619 JNZ196586:JOA196619 JXV196586:JXW196619 KHR196586:KHS196619 KRN196586:KRO196619 LBJ196586:LBK196619 LLF196586:LLG196619 LVB196586:LVC196619 MEX196586:MEY196619 MOT196586:MOU196619 MYP196586:MYQ196619 NIL196586:NIM196619 NSH196586:NSI196619 OCD196586:OCE196619 OLZ196586:OMA196619 OVV196586:OVW196619 PFR196586:PFS196619 PPN196586:PPO196619 PZJ196586:PZK196619 QJF196586:QJG196619 QTB196586:QTC196619 RCX196586:RCY196619 RMT196586:RMU196619 RWP196586:RWQ196619 SGL196586:SGM196619 SQH196586:SQI196619 TAD196586:TAE196619 TJZ196586:TKA196619 TTV196586:TTW196619 UDR196586:UDS196619 UNN196586:UNO196619 UXJ196586:UXK196619 VHF196586:VHG196619 VRB196586:VRC196619 WAX196586:WAY196619 WKT196586:WKU196619 WUP196586:WUQ196619 AB262122:AC262155 ID262122:IE262155 RZ262122:SA262155 ABV262122:ABW262155 ALR262122:ALS262155 AVN262122:AVO262155 BFJ262122:BFK262155 BPF262122:BPG262155 BZB262122:BZC262155 CIX262122:CIY262155 CST262122:CSU262155 DCP262122:DCQ262155 DML262122:DMM262155 DWH262122:DWI262155 EGD262122:EGE262155 EPZ262122:EQA262155 EZV262122:EZW262155 FJR262122:FJS262155 FTN262122:FTO262155 GDJ262122:GDK262155 GNF262122:GNG262155 GXB262122:GXC262155 HGX262122:HGY262155 HQT262122:HQU262155 IAP262122:IAQ262155 IKL262122:IKM262155 IUH262122:IUI262155 JED262122:JEE262155 JNZ262122:JOA262155 JXV262122:JXW262155 KHR262122:KHS262155 KRN262122:KRO262155 LBJ262122:LBK262155 LLF262122:LLG262155 LVB262122:LVC262155 MEX262122:MEY262155 MOT262122:MOU262155 MYP262122:MYQ262155 NIL262122:NIM262155 NSH262122:NSI262155 OCD262122:OCE262155 OLZ262122:OMA262155 OVV262122:OVW262155 PFR262122:PFS262155 PPN262122:PPO262155 PZJ262122:PZK262155 QJF262122:QJG262155 QTB262122:QTC262155 RCX262122:RCY262155 RMT262122:RMU262155 RWP262122:RWQ262155 SGL262122:SGM262155 SQH262122:SQI262155 TAD262122:TAE262155 TJZ262122:TKA262155 TTV262122:TTW262155 UDR262122:UDS262155 UNN262122:UNO262155 UXJ262122:UXK262155 VHF262122:VHG262155 VRB262122:VRC262155 WAX262122:WAY262155 WKT262122:WKU262155 WUP262122:WUQ262155 AB327658:AC327691 ID327658:IE327691 RZ327658:SA327691 ABV327658:ABW327691 ALR327658:ALS327691 AVN327658:AVO327691 BFJ327658:BFK327691 BPF327658:BPG327691 BZB327658:BZC327691 CIX327658:CIY327691 CST327658:CSU327691 DCP327658:DCQ327691 DML327658:DMM327691 DWH327658:DWI327691 EGD327658:EGE327691 EPZ327658:EQA327691 EZV327658:EZW327691 FJR327658:FJS327691 FTN327658:FTO327691 GDJ327658:GDK327691 GNF327658:GNG327691 GXB327658:GXC327691 HGX327658:HGY327691 HQT327658:HQU327691 IAP327658:IAQ327691 IKL327658:IKM327691 IUH327658:IUI327691 JED327658:JEE327691 JNZ327658:JOA327691 JXV327658:JXW327691 KHR327658:KHS327691 KRN327658:KRO327691 LBJ327658:LBK327691 LLF327658:LLG327691 LVB327658:LVC327691 MEX327658:MEY327691 MOT327658:MOU327691 MYP327658:MYQ327691 NIL327658:NIM327691 NSH327658:NSI327691 OCD327658:OCE327691 OLZ327658:OMA327691 OVV327658:OVW327691 PFR327658:PFS327691 PPN327658:PPO327691 PZJ327658:PZK327691 QJF327658:QJG327691 QTB327658:QTC327691 RCX327658:RCY327691 RMT327658:RMU327691 RWP327658:RWQ327691 SGL327658:SGM327691 SQH327658:SQI327691 TAD327658:TAE327691 TJZ327658:TKA327691 TTV327658:TTW327691 UDR327658:UDS327691 UNN327658:UNO327691 UXJ327658:UXK327691 VHF327658:VHG327691 VRB327658:VRC327691 WAX327658:WAY327691 WKT327658:WKU327691 WUP327658:WUQ327691 AB393194:AC393227 ID393194:IE393227 RZ393194:SA393227 ABV393194:ABW393227 ALR393194:ALS393227 AVN393194:AVO393227 BFJ393194:BFK393227 BPF393194:BPG393227 BZB393194:BZC393227 CIX393194:CIY393227 CST393194:CSU393227 DCP393194:DCQ393227 DML393194:DMM393227 DWH393194:DWI393227 EGD393194:EGE393227 EPZ393194:EQA393227 EZV393194:EZW393227 FJR393194:FJS393227 FTN393194:FTO393227 GDJ393194:GDK393227 GNF393194:GNG393227 GXB393194:GXC393227 HGX393194:HGY393227 HQT393194:HQU393227 IAP393194:IAQ393227 IKL393194:IKM393227 IUH393194:IUI393227 JED393194:JEE393227 JNZ393194:JOA393227 JXV393194:JXW393227 KHR393194:KHS393227 KRN393194:KRO393227 LBJ393194:LBK393227 LLF393194:LLG393227 LVB393194:LVC393227 MEX393194:MEY393227 MOT393194:MOU393227 MYP393194:MYQ393227 NIL393194:NIM393227 NSH393194:NSI393227 OCD393194:OCE393227 OLZ393194:OMA393227 OVV393194:OVW393227 PFR393194:PFS393227 PPN393194:PPO393227 PZJ393194:PZK393227 QJF393194:QJG393227 QTB393194:QTC393227 RCX393194:RCY393227 RMT393194:RMU393227 RWP393194:RWQ393227 SGL393194:SGM393227 SQH393194:SQI393227 TAD393194:TAE393227 TJZ393194:TKA393227 TTV393194:TTW393227 UDR393194:UDS393227 UNN393194:UNO393227 UXJ393194:UXK393227 VHF393194:VHG393227 VRB393194:VRC393227 WAX393194:WAY393227 WKT393194:WKU393227 WUP393194:WUQ393227 AB458730:AC458763 ID458730:IE458763 RZ458730:SA458763 ABV458730:ABW458763 ALR458730:ALS458763 AVN458730:AVO458763 BFJ458730:BFK458763 BPF458730:BPG458763 BZB458730:BZC458763 CIX458730:CIY458763 CST458730:CSU458763 DCP458730:DCQ458763 DML458730:DMM458763 DWH458730:DWI458763 EGD458730:EGE458763 EPZ458730:EQA458763 EZV458730:EZW458763 FJR458730:FJS458763 FTN458730:FTO458763 GDJ458730:GDK458763 GNF458730:GNG458763 GXB458730:GXC458763 HGX458730:HGY458763 HQT458730:HQU458763 IAP458730:IAQ458763 IKL458730:IKM458763 IUH458730:IUI458763 JED458730:JEE458763 JNZ458730:JOA458763 JXV458730:JXW458763 KHR458730:KHS458763 KRN458730:KRO458763 LBJ458730:LBK458763 LLF458730:LLG458763 LVB458730:LVC458763 MEX458730:MEY458763 MOT458730:MOU458763 MYP458730:MYQ458763 NIL458730:NIM458763 NSH458730:NSI458763 OCD458730:OCE458763 OLZ458730:OMA458763 OVV458730:OVW458763 PFR458730:PFS458763 PPN458730:PPO458763 PZJ458730:PZK458763 QJF458730:QJG458763 QTB458730:QTC458763 RCX458730:RCY458763 RMT458730:RMU458763 RWP458730:RWQ458763 SGL458730:SGM458763 SQH458730:SQI458763 TAD458730:TAE458763 TJZ458730:TKA458763 TTV458730:TTW458763 UDR458730:UDS458763 UNN458730:UNO458763 UXJ458730:UXK458763 VHF458730:VHG458763 VRB458730:VRC458763 WAX458730:WAY458763 WKT458730:WKU458763 WUP458730:WUQ458763 AB524266:AC524299 ID524266:IE524299 RZ524266:SA524299 ABV524266:ABW524299 ALR524266:ALS524299 AVN524266:AVO524299 BFJ524266:BFK524299 BPF524266:BPG524299 BZB524266:BZC524299 CIX524266:CIY524299 CST524266:CSU524299 DCP524266:DCQ524299 DML524266:DMM524299 DWH524266:DWI524299 EGD524266:EGE524299 EPZ524266:EQA524299 EZV524266:EZW524299 FJR524266:FJS524299 FTN524266:FTO524299 GDJ524266:GDK524299 GNF524266:GNG524299 GXB524266:GXC524299 HGX524266:HGY524299 HQT524266:HQU524299 IAP524266:IAQ524299 IKL524266:IKM524299 IUH524266:IUI524299 JED524266:JEE524299 JNZ524266:JOA524299 JXV524266:JXW524299 KHR524266:KHS524299 KRN524266:KRO524299 LBJ524266:LBK524299 LLF524266:LLG524299 LVB524266:LVC524299 MEX524266:MEY524299 MOT524266:MOU524299 MYP524266:MYQ524299 NIL524266:NIM524299 NSH524266:NSI524299 OCD524266:OCE524299 OLZ524266:OMA524299 OVV524266:OVW524299 PFR524266:PFS524299 PPN524266:PPO524299 PZJ524266:PZK524299 QJF524266:QJG524299 QTB524266:QTC524299 RCX524266:RCY524299 RMT524266:RMU524299 RWP524266:RWQ524299 SGL524266:SGM524299 SQH524266:SQI524299 TAD524266:TAE524299 TJZ524266:TKA524299 TTV524266:TTW524299 UDR524266:UDS524299 UNN524266:UNO524299 UXJ524266:UXK524299 VHF524266:VHG524299 VRB524266:VRC524299 WAX524266:WAY524299 WKT524266:WKU524299 WUP524266:WUQ524299 AB589802:AC589835 ID589802:IE589835 RZ589802:SA589835 ABV589802:ABW589835 ALR589802:ALS589835 AVN589802:AVO589835 BFJ589802:BFK589835 BPF589802:BPG589835 BZB589802:BZC589835 CIX589802:CIY589835 CST589802:CSU589835 DCP589802:DCQ589835 DML589802:DMM589835 DWH589802:DWI589835 EGD589802:EGE589835 EPZ589802:EQA589835 EZV589802:EZW589835 FJR589802:FJS589835 FTN589802:FTO589835 GDJ589802:GDK589835 GNF589802:GNG589835 GXB589802:GXC589835 HGX589802:HGY589835 HQT589802:HQU589835 IAP589802:IAQ589835 IKL589802:IKM589835 IUH589802:IUI589835 JED589802:JEE589835 JNZ589802:JOA589835 JXV589802:JXW589835 KHR589802:KHS589835 KRN589802:KRO589835 LBJ589802:LBK589835 LLF589802:LLG589835 LVB589802:LVC589835 MEX589802:MEY589835 MOT589802:MOU589835 MYP589802:MYQ589835 NIL589802:NIM589835 NSH589802:NSI589835 OCD589802:OCE589835 OLZ589802:OMA589835 OVV589802:OVW589835 PFR589802:PFS589835 PPN589802:PPO589835 PZJ589802:PZK589835 QJF589802:QJG589835 QTB589802:QTC589835 RCX589802:RCY589835 RMT589802:RMU589835 RWP589802:RWQ589835 SGL589802:SGM589835 SQH589802:SQI589835 TAD589802:TAE589835 TJZ589802:TKA589835 TTV589802:TTW589835 UDR589802:UDS589835 UNN589802:UNO589835 UXJ589802:UXK589835 VHF589802:VHG589835 VRB589802:VRC589835 WAX589802:WAY589835 WKT589802:WKU589835 WUP589802:WUQ589835 AB655338:AC655371 ID655338:IE655371 RZ655338:SA655371 ABV655338:ABW655371 ALR655338:ALS655371 AVN655338:AVO655371 BFJ655338:BFK655371 BPF655338:BPG655371 BZB655338:BZC655371 CIX655338:CIY655371 CST655338:CSU655371 DCP655338:DCQ655371 DML655338:DMM655371 DWH655338:DWI655371 EGD655338:EGE655371 EPZ655338:EQA655371 EZV655338:EZW655371 FJR655338:FJS655371 FTN655338:FTO655371 GDJ655338:GDK655371 GNF655338:GNG655371 GXB655338:GXC655371 HGX655338:HGY655371 HQT655338:HQU655371 IAP655338:IAQ655371 IKL655338:IKM655371 IUH655338:IUI655371 JED655338:JEE655371 JNZ655338:JOA655371 JXV655338:JXW655371 KHR655338:KHS655371 KRN655338:KRO655371 LBJ655338:LBK655371 LLF655338:LLG655371 LVB655338:LVC655371 MEX655338:MEY655371 MOT655338:MOU655371 MYP655338:MYQ655371 NIL655338:NIM655371 NSH655338:NSI655371 OCD655338:OCE655371 OLZ655338:OMA655371 OVV655338:OVW655371 PFR655338:PFS655371 PPN655338:PPO655371 PZJ655338:PZK655371 QJF655338:QJG655371 QTB655338:QTC655371 RCX655338:RCY655371 RMT655338:RMU655371 RWP655338:RWQ655371 SGL655338:SGM655371 SQH655338:SQI655371 TAD655338:TAE655371 TJZ655338:TKA655371 TTV655338:TTW655371 UDR655338:UDS655371 UNN655338:UNO655371 UXJ655338:UXK655371 VHF655338:VHG655371 VRB655338:VRC655371 WAX655338:WAY655371 WKT655338:WKU655371 WUP655338:WUQ655371 AB720874:AC720907 ID720874:IE720907 RZ720874:SA720907 ABV720874:ABW720907 ALR720874:ALS720907 AVN720874:AVO720907 BFJ720874:BFK720907 BPF720874:BPG720907 BZB720874:BZC720907 CIX720874:CIY720907 CST720874:CSU720907 DCP720874:DCQ720907 DML720874:DMM720907 DWH720874:DWI720907 EGD720874:EGE720907 EPZ720874:EQA720907 EZV720874:EZW720907 FJR720874:FJS720907 FTN720874:FTO720907 GDJ720874:GDK720907 GNF720874:GNG720907 GXB720874:GXC720907 HGX720874:HGY720907 HQT720874:HQU720907 IAP720874:IAQ720907 IKL720874:IKM720907 IUH720874:IUI720907 JED720874:JEE720907 JNZ720874:JOA720907 JXV720874:JXW720907 KHR720874:KHS720907 KRN720874:KRO720907 LBJ720874:LBK720907 LLF720874:LLG720907 LVB720874:LVC720907 MEX720874:MEY720907 MOT720874:MOU720907 MYP720874:MYQ720907 NIL720874:NIM720907 NSH720874:NSI720907 OCD720874:OCE720907 OLZ720874:OMA720907 OVV720874:OVW720907 PFR720874:PFS720907 PPN720874:PPO720907 PZJ720874:PZK720907 QJF720874:QJG720907 QTB720874:QTC720907 RCX720874:RCY720907 RMT720874:RMU720907 RWP720874:RWQ720907 SGL720874:SGM720907 SQH720874:SQI720907 TAD720874:TAE720907 TJZ720874:TKA720907 TTV720874:TTW720907 UDR720874:UDS720907 UNN720874:UNO720907 UXJ720874:UXK720907 VHF720874:VHG720907 VRB720874:VRC720907 WAX720874:WAY720907 WKT720874:WKU720907 WUP720874:WUQ720907 AB786410:AC786443 ID786410:IE786443 RZ786410:SA786443 ABV786410:ABW786443 ALR786410:ALS786443 AVN786410:AVO786443 BFJ786410:BFK786443 BPF786410:BPG786443 BZB786410:BZC786443 CIX786410:CIY786443 CST786410:CSU786443 DCP786410:DCQ786443 DML786410:DMM786443 DWH786410:DWI786443 EGD786410:EGE786443 EPZ786410:EQA786443 EZV786410:EZW786443 FJR786410:FJS786443 FTN786410:FTO786443 GDJ786410:GDK786443 GNF786410:GNG786443 GXB786410:GXC786443 HGX786410:HGY786443 HQT786410:HQU786443 IAP786410:IAQ786443 IKL786410:IKM786443 IUH786410:IUI786443 JED786410:JEE786443 JNZ786410:JOA786443 JXV786410:JXW786443 KHR786410:KHS786443 KRN786410:KRO786443 LBJ786410:LBK786443 LLF786410:LLG786443 LVB786410:LVC786443 MEX786410:MEY786443 MOT786410:MOU786443 MYP786410:MYQ786443 NIL786410:NIM786443 NSH786410:NSI786443 OCD786410:OCE786443 OLZ786410:OMA786443 OVV786410:OVW786443 PFR786410:PFS786443 PPN786410:PPO786443 PZJ786410:PZK786443 QJF786410:QJG786443 QTB786410:QTC786443 RCX786410:RCY786443 RMT786410:RMU786443 RWP786410:RWQ786443 SGL786410:SGM786443 SQH786410:SQI786443 TAD786410:TAE786443 TJZ786410:TKA786443 TTV786410:TTW786443 UDR786410:UDS786443 UNN786410:UNO786443 UXJ786410:UXK786443 VHF786410:VHG786443 VRB786410:VRC786443 WAX786410:WAY786443 WKT786410:WKU786443 WUP786410:WUQ786443 AB851946:AC851979 ID851946:IE851979 RZ851946:SA851979 ABV851946:ABW851979 ALR851946:ALS851979 AVN851946:AVO851979 BFJ851946:BFK851979 BPF851946:BPG851979 BZB851946:BZC851979 CIX851946:CIY851979 CST851946:CSU851979 DCP851946:DCQ851979 DML851946:DMM851979 DWH851946:DWI851979 EGD851946:EGE851979 EPZ851946:EQA851979 EZV851946:EZW851979 FJR851946:FJS851979 FTN851946:FTO851979 GDJ851946:GDK851979 GNF851946:GNG851979 GXB851946:GXC851979 HGX851946:HGY851979 HQT851946:HQU851979 IAP851946:IAQ851979 IKL851946:IKM851979 IUH851946:IUI851979 JED851946:JEE851979 JNZ851946:JOA851979 JXV851946:JXW851979 KHR851946:KHS851979 KRN851946:KRO851979 LBJ851946:LBK851979 LLF851946:LLG851979 LVB851946:LVC851979 MEX851946:MEY851979 MOT851946:MOU851979 MYP851946:MYQ851979 NIL851946:NIM851979 NSH851946:NSI851979 OCD851946:OCE851979 OLZ851946:OMA851979 OVV851946:OVW851979 PFR851946:PFS851979 PPN851946:PPO851979 PZJ851946:PZK851979 QJF851946:QJG851979 QTB851946:QTC851979 RCX851946:RCY851979 RMT851946:RMU851979 RWP851946:RWQ851979 SGL851946:SGM851979 SQH851946:SQI851979 TAD851946:TAE851979 TJZ851946:TKA851979 TTV851946:TTW851979 UDR851946:UDS851979 UNN851946:UNO851979 UXJ851946:UXK851979 VHF851946:VHG851979 VRB851946:VRC851979 WAX851946:WAY851979 WKT851946:WKU851979 WUP851946:WUQ851979 AB917482:AC917515 ID917482:IE917515 RZ917482:SA917515 ABV917482:ABW917515 ALR917482:ALS917515 AVN917482:AVO917515 BFJ917482:BFK917515 BPF917482:BPG917515 BZB917482:BZC917515 CIX917482:CIY917515 CST917482:CSU917515 DCP917482:DCQ917515 DML917482:DMM917515 DWH917482:DWI917515 EGD917482:EGE917515 EPZ917482:EQA917515 EZV917482:EZW917515 FJR917482:FJS917515 FTN917482:FTO917515 GDJ917482:GDK917515 GNF917482:GNG917515 GXB917482:GXC917515 HGX917482:HGY917515 HQT917482:HQU917515 IAP917482:IAQ917515 IKL917482:IKM917515 IUH917482:IUI917515 JED917482:JEE917515 JNZ917482:JOA917515 JXV917482:JXW917515 KHR917482:KHS917515 KRN917482:KRO917515 LBJ917482:LBK917515 LLF917482:LLG917515 LVB917482:LVC917515 MEX917482:MEY917515 MOT917482:MOU917515 MYP917482:MYQ917515 NIL917482:NIM917515 NSH917482:NSI917515 OCD917482:OCE917515 OLZ917482:OMA917515 OVV917482:OVW917515 PFR917482:PFS917515 PPN917482:PPO917515 PZJ917482:PZK917515 QJF917482:QJG917515 QTB917482:QTC917515 RCX917482:RCY917515 RMT917482:RMU917515 RWP917482:RWQ917515 SGL917482:SGM917515 SQH917482:SQI917515 TAD917482:TAE917515 TJZ917482:TKA917515 TTV917482:TTW917515 UDR917482:UDS917515 UNN917482:UNO917515 UXJ917482:UXK917515 VHF917482:VHG917515 VRB917482:VRC917515 WAX917482:WAY917515 WKT917482:WKU917515 WUP917482:WUQ917515 AB983018:AC983051 ID983018:IE983051 RZ983018:SA983051 ABV983018:ABW983051 ALR983018:ALS983051 AVN983018:AVO983051 BFJ983018:BFK983051 BPF983018:BPG983051 BZB983018:BZC983051 CIX983018:CIY983051 CST983018:CSU983051 DCP983018:DCQ983051 DML983018:DMM983051 DWH983018:DWI983051 EGD983018:EGE983051 EPZ983018:EQA983051 EZV983018:EZW983051 FJR983018:FJS983051 FTN983018:FTO983051 GDJ983018:GDK983051 GNF983018:GNG983051 GXB983018:GXC983051 HGX983018:HGY983051 HQT983018:HQU983051 IAP983018:IAQ983051 IKL983018:IKM983051 IUH983018:IUI983051 JED983018:JEE983051 JNZ983018:JOA983051 JXV983018:JXW983051 KHR983018:KHS983051 KRN983018:KRO983051 LBJ983018:LBK983051 LLF983018:LLG983051 LVB983018:LVC983051 MEX983018:MEY983051 MOT983018:MOU983051 MYP983018:MYQ983051 NIL983018:NIM983051 NSH983018:NSI983051 OCD983018:OCE983051 OLZ983018:OMA983051 OVV983018:OVW983051 PFR983018:PFS983051 PPN983018:PPO983051 PZJ983018:PZK983051 QJF983018:QJG983051 QTB983018:QTC983051 RCX983018:RCY983051 RMT983018:RMU983051 RWP983018:RWQ983051 SGL983018:SGM983051 SQH983018:SQI983051 TAD983018:TAE983051 TJZ983018:TKA983051 TTV983018:TTW983051 UDR983018:UDS983051 UNN983018:UNO983051 UXJ983018:UXK983051 VHF983018:VHG983051 VRB983018:VRC983051 WAX983018:WAY983051" xr:uid="{614965A1-724A-4D30-806A-3782FAFDD09E}">
      <formula1>$U$24:$U$27</formula1>
    </dataValidation>
    <dataValidation type="list" allowBlank="1" showInputMessage="1" showErrorMessage="1" sqref="WUE983014:WUO983051 WKI5:WKS11 WAM5:WAW11 VQQ5:VRA11 VGU5:VHE11 UWY5:UXI11 UNC5:UNM11 UDG5:UDQ11 TTK5:TTU11 TJO5:TJY11 SZS5:TAC11 SPW5:SQG11 SGA5:SGK11 RWE5:RWO11 RMI5:RMS11 RCM5:RCW11 QSQ5:QTA11 QIU5:QJE11 PYY5:PZI11 PPC5:PPM11 PFG5:PFQ11 OVK5:OVU11 OLO5:OLY11 OBS5:OCC11 NRW5:NSG11 NIA5:NIK11 MYE5:MYO11 MOI5:MOS11 MEM5:MEW11 LUQ5:LVA11 LKU5:LLE11 LAY5:LBI11 KRC5:KRM11 KHG5:KHQ11 JXK5:JXU11 JNO5:JNY11 JDS5:JEC11 ITW5:IUG11 IKA5:IKK11 IAE5:IAO11 HQI5:HQS11 HGM5:HGW11 GWQ5:GXA11 GMU5:GNE11 GCY5:GDI11 FTC5:FTM11 FJG5:FJQ11 EZK5:EZU11 EPO5:EPY11 EFS5:EGC11 DVW5:DWG11 DMA5:DMK11 DCE5:DCO11 CSI5:CSS11 CIM5:CIW11 BYQ5:BZA11 BOU5:BPE11 BEY5:BFI11 AVC5:AVM11 ALG5:ALQ11 ABK5:ABU11 RO5:RY11 HS5:IC11 WUE5:WUO11 Q5:W11 Q65510:AA65547 HS65510:IC65547 RO65510:RY65547 ABK65510:ABU65547 ALG65510:ALQ65547 AVC65510:AVM65547 BEY65510:BFI65547 BOU65510:BPE65547 BYQ65510:BZA65547 CIM65510:CIW65547 CSI65510:CSS65547 DCE65510:DCO65547 DMA65510:DMK65547 DVW65510:DWG65547 EFS65510:EGC65547 EPO65510:EPY65547 EZK65510:EZU65547 FJG65510:FJQ65547 FTC65510:FTM65547 GCY65510:GDI65547 GMU65510:GNE65547 GWQ65510:GXA65547 HGM65510:HGW65547 HQI65510:HQS65547 IAE65510:IAO65547 IKA65510:IKK65547 ITW65510:IUG65547 JDS65510:JEC65547 JNO65510:JNY65547 JXK65510:JXU65547 KHG65510:KHQ65547 KRC65510:KRM65547 LAY65510:LBI65547 LKU65510:LLE65547 LUQ65510:LVA65547 MEM65510:MEW65547 MOI65510:MOS65547 MYE65510:MYO65547 NIA65510:NIK65547 NRW65510:NSG65547 OBS65510:OCC65547 OLO65510:OLY65547 OVK65510:OVU65547 PFG65510:PFQ65547 PPC65510:PPM65547 PYY65510:PZI65547 QIU65510:QJE65547 QSQ65510:QTA65547 RCM65510:RCW65547 RMI65510:RMS65547 RWE65510:RWO65547 SGA65510:SGK65547 SPW65510:SQG65547 SZS65510:TAC65547 TJO65510:TJY65547 TTK65510:TTU65547 UDG65510:UDQ65547 UNC65510:UNM65547 UWY65510:UXI65547 VGU65510:VHE65547 VQQ65510:VRA65547 WAM65510:WAW65547 WKI65510:WKS65547 WUE65510:WUO65547 Q131046:AA131083 HS131046:IC131083 RO131046:RY131083 ABK131046:ABU131083 ALG131046:ALQ131083 AVC131046:AVM131083 BEY131046:BFI131083 BOU131046:BPE131083 BYQ131046:BZA131083 CIM131046:CIW131083 CSI131046:CSS131083 DCE131046:DCO131083 DMA131046:DMK131083 DVW131046:DWG131083 EFS131046:EGC131083 EPO131046:EPY131083 EZK131046:EZU131083 FJG131046:FJQ131083 FTC131046:FTM131083 GCY131046:GDI131083 GMU131046:GNE131083 GWQ131046:GXA131083 HGM131046:HGW131083 HQI131046:HQS131083 IAE131046:IAO131083 IKA131046:IKK131083 ITW131046:IUG131083 JDS131046:JEC131083 JNO131046:JNY131083 JXK131046:JXU131083 KHG131046:KHQ131083 KRC131046:KRM131083 LAY131046:LBI131083 LKU131046:LLE131083 LUQ131046:LVA131083 MEM131046:MEW131083 MOI131046:MOS131083 MYE131046:MYO131083 NIA131046:NIK131083 NRW131046:NSG131083 OBS131046:OCC131083 OLO131046:OLY131083 OVK131046:OVU131083 PFG131046:PFQ131083 PPC131046:PPM131083 PYY131046:PZI131083 QIU131046:QJE131083 QSQ131046:QTA131083 RCM131046:RCW131083 RMI131046:RMS131083 RWE131046:RWO131083 SGA131046:SGK131083 SPW131046:SQG131083 SZS131046:TAC131083 TJO131046:TJY131083 TTK131046:TTU131083 UDG131046:UDQ131083 UNC131046:UNM131083 UWY131046:UXI131083 VGU131046:VHE131083 VQQ131046:VRA131083 WAM131046:WAW131083 WKI131046:WKS131083 WUE131046:WUO131083 Q196582:AA196619 HS196582:IC196619 RO196582:RY196619 ABK196582:ABU196619 ALG196582:ALQ196619 AVC196582:AVM196619 BEY196582:BFI196619 BOU196582:BPE196619 BYQ196582:BZA196619 CIM196582:CIW196619 CSI196582:CSS196619 DCE196582:DCO196619 DMA196582:DMK196619 DVW196582:DWG196619 EFS196582:EGC196619 EPO196582:EPY196619 EZK196582:EZU196619 FJG196582:FJQ196619 FTC196582:FTM196619 GCY196582:GDI196619 GMU196582:GNE196619 GWQ196582:GXA196619 HGM196582:HGW196619 HQI196582:HQS196619 IAE196582:IAO196619 IKA196582:IKK196619 ITW196582:IUG196619 JDS196582:JEC196619 JNO196582:JNY196619 JXK196582:JXU196619 KHG196582:KHQ196619 KRC196582:KRM196619 LAY196582:LBI196619 LKU196582:LLE196619 LUQ196582:LVA196619 MEM196582:MEW196619 MOI196582:MOS196619 MYE196582:MYO196619 NIA196582:NIK196619 NRW196582:NSG196619 OBS196582:OCC196619 OLO196582:OLY196619 OVK196582:OVU196619 PFG196582:PFQ196619 PPC196582:PPM196619 PYY196582:PZI196619 QIU196582:QJE196619 QSQ196582:QTA196619 RCM196582:RCW196619 RMI196582:RMS196619 RWE196582:RWO196619 SGA196582:SGK196619 SPW196582:SQG196619 SZS196582:TAC196619 TJO196582:TJY196619 TTK196582:TTU196619 UDG196582:UDQ196619 UNC196582:UNM196619 UWY196582:UXI196619 VGU196582:VHE196619 VQQ196582:VRA196619 WAM196582:WAW196619 WKI196582:WKS196619 WUE196582:WUO196619 Q262118:AA262155 HS262118:IC262155 RO262118:RY262155 ABK262118:ABU262155 ALG262118:ALQ262155 AVC262118:AVM262155 BEY262118:BFI262155 BOU262118:BPE262155 BYQ262118:BZA262155 CIM262118:CIW262155 CSI262118:CSS262155 DCE262118:DCO262155 DMA262118:DMK262155 DVW262118:DWG262155 EFS262118:EGC262155 EPO262118:EPY262155 EZK262118:EZU262155 FJG262118:FJQ262155 FTC262118:FTM262155 GCY262118:GDI262155 GMU262118:GNE262155 GWQ262118:GXA262155 HGM262118:HGW262155 HQI262118:HQS262155 IAE262118:IAO262155 IKA262118:IKK262155 ITW262118:IUG262155 JDS262118:JEC262155 JNO262118:JNY262155 JXK262118:JXU262155 KHG262118:KHQ262155 KRC262118:KRM262155 LAY262118:LBI262155 LKU262118:LLE262155 LUQ262118:LVA262155 MEM262118:MEW262155 MOI262118:MOS262155 MYE262118:MYO262155 NIA262118:NIK262155 NRW262118:NSG262155 OBS262118:OCC262155 OLO262118:OLY262155 OVK262118:OVU262155 PFG262118:PFQ262155 PPC262118:PPM262155 PYY262118:PZI262155 QIU262118:QJE262155 QSQ262118:QTA262155 RCM262118:RCW262155 RMI262118:RMS262155 RWE262118:RWO262155 SGA262118:SGK262155 SPW262118:SQG262155 SZS262118:TAC262155 TJO262118:TJY262155 TTK262118:TTU262155 UDG262118:UDQ262155 UNC262118:UNM262155 UWY262118:UXI262155 VGU262118:VHE262155 VQQ262118:VRA262155 WAM262118:WAW262155 WKI262118:WKS262155 WUE262118:WUO262155 Q327654:AA327691 HS327654:IC327691 RO327654:RY327691 ABK327654:ABU327691 ALG327654:ALQ327691 AVC327654:AVM327691 BEY327654:BFI327691 BOU327654:BPE327691 BYQ327654:BZA327691 CIM327654:CIW327691 CSI327654:CSS327691 DCE327654:DCO327691 DMA327654:DMK327691 DVW327654:DWG327691 EFS327654:EGC327691 EPO327654:EPY327691 EZK327654:EZU327691 FJG327654:FJQ327691 FTC327654:FTM327691 GCY327654:GDI327691 GMU327654:GNE327691 GWQ327654:GXA327691 HGM327654:HGW327691 HQI327654:HQS327691 IAE327654:IAO327691 IKA327654:IKK327691 ITW327654:IUG327691 JDS327654:JEC327691 JNO327654:JNY327691 JXK327654:JXU327691 KHG327654:KHQ327691 KRC327654:KRM327691 LAY327654:LBI327691 LKU327654:LLE327691 LUQ327654:LVA327691 MEM327654:MEW327691 MOI327654:MOS327691 MYE327654:MYO327691 NIA327654:NIK327691 NRW327654:NSG327691 OBS327654:OCC327691 OLO327654:OLY327691 OVK327654:OVU327691 PFG327654:PFQ327691 PPC327654:PPM327691 PYY327654:PZI327691 QIU327654:QJE327691 QSQ327654:QTA327691 RCM327654:RCW327691 RMI327654:RMS327691 RWE327654:RWO327691 SGA327654:SGK327691 SPW327654:SQG327691 SZS327654:TAC327691 TJO327654:TJY327691 TTK327654:TTU327691 UDG327654:UDQ327691 UNC327654:UNM327691 UWY327654:UXI327691 VGU327654:VHE327691 VQQ327654:VRA327691 WAM327654:WAW327691 WKI327654:WKS327691 WUE327654:WUO327691 Q393190:AA393227 HS393190:IC393227 RO393190:RY393227 ABK393190:ABU393227 ALG393190:ALQ393227 AVC393190:AVM393227 BEY393190:BFI393227 BOU393190:BPE393227 BYQ393190:BZA393227 CIM393190:CIW393227 CSI393190:CSS393227 DCE393190:DCO393227 DMA393190:DMK393227 DVW393190:DWG393227 EFS393190:EGC393227 EPO393190:EPY393227 EZK393190:EZU393227 FJG393190:FJQ393227 FTC393190:FTM393227 GCY393190:GDI393227 GMU393190:GNE393227 GWQ393190:GXA393227 HGM393190:HGW393227 HQI393190:HQS393227 IAE393190:IAO393227 IKA393190:IKK393227 ITW393190:IUG393227 JDS393190:JEC393227 JNO393190:JNY393227 JXK393190:JXU393227 KHG393190:KHQ393227 KRC393190:KRM393227 LAY393190:LBI393227 LKU393190:LLE393227 LUQ393190:LVA393227 MEM393190:MEW393227 MOI393190:MOS393227 MYE393190:MYO393227 NIA393190:NIK393227 NRW393190:NSG393227 OBS393190:OCC393227 OLO393190:OLY393227 OVK393190:OVU393227 PFG393190:PFQ393227 PPC393190:PPM393227 PYY393190:PZI393227 QIU393190:QJE393227 QSQ393190:QTA393227 RCM393190:RCW393227 RMI393190:RMS393227 RWE393190:RWO393227 SGA393190:SGK393227 SPW393190:SQG393227 SZS393190:TAC393227 TJO393190:TJY393227 TTK393190:TTU393227 UDG393190:UDQ393227 UNC393190:UNM393227 UWY393190:UXI393227 VGU393190:VHE393227 VQQ393190:VRA393227 WAM393190:WAW393227 WKI393190:WKS393227 WUE393190:WUO393227 Q458726:AA458763 HS458726:IC458763 RO458726:RY458763 ABK458726:ABU458763 ALG458726:ALQ458763 AVC458726:AVM458763 BEY458726:BFI458763 BOU458726:BPE458763 BYQ458726:BZA458763 CIM458726:CIW458763 CSI458726:CSS458763 DCE458726:DCO458763 DMA458726:DMK458763 DVW458726:DWG458763 EFS458726:EGC458763 EPO458726:EPY458763 EZK458726:EZU458763 FJG458726:FJQ458763 FTC458726:FTM458763 GCY458726:GDI458763 GMU458726:GNE458763 GWQ458726:GXA458763 HGM458726:HGW458763 HQI458726:HQS458763 IAE458726:IAO458763 IKA458726:IKK458763 ITW458726:IUG458763 JDS458726:JEC458763 JNO458726:JNY458763 JXK458726:JXU458763 KHG458726:KHQ458763 KRC458726:KRM458763 LAY458726:LBI458763 LKU458726:LLE458763 LUQ458726:LVA458763 MEM458726:MEW458763 MOI458726:MOS458763 MYE458726:MYO458763 NIA458726:NIK458763 NRW458726:NSG458763 OBS458726:OCC458763 OLO458726:OLY458763 OVK458726:OVU458763 PFG458726:PFQ458763 PPC458726:PPM458763 PYY458726:PZI458763 QIU458726:QJE458763 QSQ458726:QTA458763 RCM458726:RCW458763 RMI458726:RMS458763 RWE458726:RWO458763 SGA458726:SGK458763 SPW458726:SQG458763 SZS458726:TAC458763 TJO458726:TJY458763 TTK458726:TTU458763 UDG458726:UDQ458763 UNC458726:UNM458763 UWY458726:UXI458763 VGU458726:VHE458763 VQQ458726:VRA458763 WAM458726:WAW458763 WKI458726:WKS458763 WUE458726:WUO458763 Q524262:AA524299 HS524262:IC524299 RO524262:RY524299 ABK524262:ABU524299 ALG524262:ALQ524299 AVC524262:AVM524299 BEY524262:BFI524299 BOU524262:BPE524299 BYQ524262:BZA524299 CIM524262:CIW524299 CSI524262:CSS524299 DCE524262:DCO524299 DMA524262:DMK524299 DVW524262:DWG524299 EFS524262:EGC524299 EPO524262:EPY524299 EZK524262:EZU524299 FJG524262:FJQ524299 FTC524262:FTM524299 GCY524262:GDI524299 GMU524262:GNE524299 GWQ524262:GXA524299 HGM524262:HGW524299 HQI524262:HQS524299 IAE524262:IAO524299 IKA524262:IKK524299 ITW524262:IUG524299 JDS524262:JEC524299 JNO524262:JNY524299 JXK524262:JXU524299 KHG524262:KHQ524299 KRC524262:KRM524299 LAY524262:LBI524299 LKU524262:LLE524299 LUQ524262:LVA524299 MEM524262:MEW524299 MOI524262:MOS524299 MYE524262:MYO524299 NIA524262:NIK524299 NRW524262:NSG524299 OBS524262:OCC524299 OLO524262:OLY524299 OVK524262:OVU524299 PFG524262:PFQ524299 PPC524262:PPM524299 PYY524262:PZI524299 QIU524262:QJE524299 QSQ524262:QTA524299 RCM524262:RCW524299 RMI524262:RMS524299 RWE524262:RWO524299 SGA524262:SGK524299 SPW524262:SQG524299 SZS524262:TAC524299 TJO524262:TJY524299 TTK524262:TTU524299 UDG524262:UDQ524299 UNC524262:UNM524299 UWY524262:UXI524299 VGU524262:VHE524299 VQQ524262:VRA524299 WAM524262:WAW524299 WKI524262:WKS524299 WUE524262:WUO524299 Q589798:AA589835 HS589798:IC589835 RO589798:RY589835 ABK589798:ABU589835 ALG589798:ALQ589835 AVC589798:AVM589835 BEY589798:BFI589835 BOU589798:BPE589835 BYQ589798:BZA589835 CIM589798:CIW589835 CSI589798:CSS589835 DCE589798:DCO589835 DMA589798:DMK589835 DVW589798:DWG589835 EFS589798:EGC589835 EPO589798:EPY589835 EZK589798:EZU589835 FJG589798:FJQ589835 FTC589798:FTM589835 GCY589798:GDI589835 GMU589798:GNE589835 GWQ589798:GXA589835 HGM589798:HGW589835 HQI589798:HQS589835 IAE589798:IAO589835 IKA589798:IKK589835 ITW589798:IUG589835 JDS589798:JEC589835 JNO589798:JNY589835 JXK589798:JXU589835 KHG589798:KHQ589835 KRC589798:KRM589835 LAY589798:LBI589835 LKU589798:LLE589835 LUQ589798:LVA589835 MEM589798:MEW589835 MOI589798:MOS589835 MYE589798:MYO589835 NIA589798:NIK589835 NRW589798:NSG589835 OBS589798:OCC589835 OLO589798:OLY589835 OVK589798:OVU589835 PFG589798:PFQ589835 PPC589798:PPM589835 PYY589798:PZI589835 QIU589798:QJE589835 QSQ589798:QTA589835 RCM589798:RCW589835 RMI589798:RMS589835 RWE589798:RWO589835 SGA589798:SGK589835 SPW589798:SQG589835 SZS589798:TAC589835 TJO589798:TJY589835 TTK589798:TTU589835 UDG589798:UDQ589835 UNC589798:UNM589835 UWY589798:UXI589835 VGU589798:VHE589835 VQQ589798:VRA589835 WAM589798:WAW589835 WKI589798:WKS589835 WUE589798:WUO589835 Q655334:AA655371 HS655334:IC655371 RO655334:RY655371 ABK655334:ABU655371 ALG655334:ALQ655371 AVC655334:AVM655371 BEY655334:BFI655371 BOU655334:BPE655371 BYQ655334:BZA655371 CIM655334:CIW655371 CSI655334:CSS655371 DCE655334:DCO655371 DMA655334:DMK655371 DVW655334:DWG655371 EFS655334:EGC655371 EPO655334:EPY655371 EZK655334:EZU655371 FJG655334:FJQ655371 FTC655334:FTM655371 GCY655334:GDI655371 GMU655334:GNE655371 GWQ655334:GXA655371 HGM655334:HGW655371 HQI655334:HQS655371 IAE655334:IAO655371 IKA655334:IKK655371 ITW655334:IUG655371 JDS655334:JEC655371 JNO655334:JNY655371 JXK655334:JXU655371 KHG655334:KHQ655371 KRC655334:KRM655371 LAY655334:LBI655371 LKU655334:LLE655371 LUQ655334:LVA655371 MEM655334:MEW655371 MOI655334:MOS655371 MYE655334:MYO655371 NIA655334:NIK655371 NRW655334:NSG655371 OBS655334:OCC655371 OLO655334:OLY655371 OVK655334:OVU655371 PFG655334:PFQ655371 PPC655334:PPM655371 PYY655334:PZI655371 QIU655334:QJE655371 QSQ655334:QTA655371 RCM655334:RCW655371 RMI655334:RMS655371 RWE655334:RWO655371 SGA655334:SGK655371 SPW655334:SQG655371 SZS655334:TAC655371 TJO655334:TJY655371 TTK655334:TTU655371 UDG655334:UDQ655371 UNC655334:UNM655371 UWY655334:UXI655371 VGU655334:VHE655371 VQQ655334:VRA655371 WAM655334:WAW655371 WKI655334:WKS655371 WUE655334:WUO655371 Q720870:AA720907 HS720870:IC720907 RO720870:RY720907 ABK720870:ABU720907 ALG720870:ALQ720907 AVC720870:AVM720907 BEY720870:BFI720907 BOU720870:BPE720907 BYQ720870:BZA720907 CIM720870:CIW720907 CSI720870:CSS720907 DCE720870:DCO720907 DMA720870:DMK720907 DVW720870:DWG720907 EFS720870:EGC720907 EPO720870:EPY720907 EZK720870:EZU720907 FJG720870:FJQ720907 FTC720870:FTM720907 GCY720870:GDI720907 GMU720870:GNE720907 GWQ720870:GXA720907 HGM720870:HGW720907 HQI720870:HQS720907 IAE720870:IAO720907 IKA720870:IKK720907 ITW720870:IUG720907 JDS720870:JEC720907 JNO720870:JNY720907 JXK720870:JXU720907 KHG720870:KHQ720907 KRC720870:KRM720907 LAY720870:LBI720907 LKU720870:LLE720907 LUQ720870:LVA720907 MEM720870:MEW720907 MOI720870:MOS720907 MYE720870:MYO720907 NIA720870:NIK720907 NRW720870:NSG720907 OBS720870:OCC720907 OLO720870:OLY720907 OVK720870:OVU720907 PFG720870:PFQ720907 PPC720870:PPM720907 PYY720870:PZI720907 QIU720870:QJE720907 QSQ720870:QTA720907 RCM720870:RCW720907 RMI720870:RMS720907 RWE720870:RWO720907 SGA720870:SGK720907 SPW720870:SQG720907 SZS720870:TAC720907 TJO720870:TJY720907 TTK720870:TTU720907 UDG720870:UDQ720907 UNC720870:UNM720907 UWY720870:UXI720907 VGU720870:VHE720907 VQQ720870:VRA720907 WAM720870:WAW720907 WKI720870:WKS720907 WUE720870:WUO720907 Q786406:AA786443 HS786406:IC786443 RO786406:RY786443 ABK786406:ABU786443 ALG786406:ALQ786443 AVC786406:AVM786443 BEY786406:BFI786443 BOU786406:BPE786443 BYQ786406:BZA786443 CIM786406:CIW786443 CSI786406:CSS786443 DCE786406:DCO786443 DMA786406:DMK786443 DVW786406:DWG786443 EFS786406:EGC786443 EPO786406:EPY786443 EZK786406:EZU786443 FJG786406:FJQ786443 FTC786406:FTM786443 GCY786406:GDI786443 GMU786406:GNE786443 GWQ786406:GXA786443 HGM786406:HGW786443 HQI786406:HQS786443 IAE786406:IAO786443 IKA786406:IKK786443 ITW786406:IUG786443 JDS786406:JEC786443 JNO786406:JNY786443 JXK786406:JXU786443 KHG786406:KHQ786443 KRC786406:KRM786443 LAY786406:LBI786443 LKU786406:LLE786443 LUQ786406:LVA786443 MEM786406:MEW786443 MOI786406:MOS786443 MYE786406:MYO786443 NIA786406:NIK786443 NRW786406:NSG786443 OBS786406:OCC786443 OLO786406:OLY786443 OVK786406:OVU786443 PFG786406:PFQ786443 PPC786406:PPM786443 PYY786406:PZI786443 QIU786406:QJE786443 QSQ786406:QTA786443 RCM786406:RCW786443 RMI786406:RMS786443 RWE786406:RWO786443 SGA786406:SGK786443 SPW786406:SQG786443 SZS786406:TAC786443 TJO786406:TJY786443 TTK786406:TTU786443 UDG786406:UDQ786443 UNC786406:UNM786443 UWY786406:UXI786443 VGU786406:VHE786443 VQQ786406:VRA786443 WAM786406:WAW786443 WKI786406:WKS786443 WUE786406:WUO786443 Q851942:AA851979 HS851942:IC851979 RO851942:RY851979 ABK851942:ABU851979 ALG851942:ALQ851979 AVC851942:AVM851979 BEY851942:BFI851979 BOU851942:BPE851979 BYQ851942:BZA851979 CIM851942:CIW851979 CSI851942:CSS851979 DCE851942:DCO851979 DMA851942:DMK851979 DVW851942:DWG851979 EFS851942:EGC851979 EPO851942:EPY851979 EZK851942:EZU851979 FJG851942:FJQ851979 FTC851942:FTM851979 GCY851942:GDI851979 GMU851942:GNE851979 GWQ851942:GXA851979 HGM851942:HGW851979 HQI851942:HQS851979 IAE851942:IAO851979 IKA851942:IKK851979 ITW851942:IUG851979 JDS851942:JEC851979 JNO851942:JNY851979 JXK851942:JXU851979 KHG851942:KHQ851979 KRC851942:KRM851979 LAY851942:LBI851979 LKU851942:LLE851979 LUQ851942:LVA851979 MEM851942:MEW851979 MOI851942:MOS851979 MYE851942:MYO851979 NIA851942:NIK851979 NRW851942:NSG851979 OBS851942:OCC851979 OLO851942:OLY851979 OVK851942:OVU851979 PFG851942:PFQ851979 PPC851942:PPM851979 PYY851942:PZI851979 QIU851942:QJE851979 QSQ851942:QTA851979 RCM851942:RCW851979 RMI851942:RMS851979 RWE851942:RWO851979 SGA851942:SGK851979 SPW851942:SQG851979 SZS851942:TAC851979 TJO851942:TJY851979 TTK851942:TTU851979 UDG851942:UDQ851979 UNC851942:UNM851979 UWY851942:UXI851979 VGU851942:VHE851979 VQQ851942:VRA851979 WAM851942:WAW851979 WKI851942:WKS851979 WUE851942:WUO851979 Q917478:AA917515 HS917478:IC917515 RO917478:RY917515 ABK917478:ABU917515 ALG917478:ALQ917515 AVC917478:AVM917515 BEY917478:BFI917515 BOU917478:BPE917515 BYQ917478:BZA917515 CIM917478:CIW917515 CSI917478:CSS917515 DCE917478:DCO917515 DMA917478:DMK917515 DVW917478:DWG917515 EFS917478:EGC917515 EPO917478:EPY917515 EZK917478:EZU917515 FJG917478:FJQ917515 FTC917478:FTM917515 GCY917478:GDI917515 GMU917478:GNE917515 GWQ917478:GXA917515 HGM917478:HGW917515 HQI917478:HQS917515 IAE917478:IAO917515 IKA917478:IKK917515 ITW917478:IUG917515 JDS917478:JEC917515 JNO917478:JNY917515 JXK917478:JXU917515 KHG917478:KHQ917515 KRC917478:KRM917515 LAY917478:LBI917515 LKU917478:LLE917515 LUQ917478:LVA917515 MEM917478:MEW917515 MOI917478:MOS917515 MYE917478:MYO917515 NIA917478:NIK917515 NRW917478:NSG917515 OBS917478:OCC917515 OLO917478:OLY917515 OVK917478:OVU917515 PFG917478:PFQ917515 PPC917478:PPM917515 PYY917478:PZI917515 QIU917478:QJE917515 QSQ917478:QTA917515 RCM917478:RCW917515 RMI917478:RMS917515 RWE917478:RWO917515 SGA917478:SGK917515 SPW917478:SQG917515 SZS917478:TAC917515 TJO917478:TJY917515 TTK917478:TTU917515 UDG917478:UDQ917515 UNC917478:UNM917515 UWY917478:UXI917515 VGU917478:VHE917515 VQQ917478:VRA917515 WAM917478:WAW917515 WKI917478:WKS917515 WUE917478:WUO917515 Q983014:AA983051 HS983014:IC983051 RO983014:RY983051 ABK983014:ABU983051 ALG983014:ALQ983051 AVC983014:AVM983051 BEY983014:BFI983051 BOU983014:BPE983051 BYQ983014:BZA983051 CIM983014:CIW983051 CSI983014:CSS983051 DCE983014:DCO983051 DMA983014:DMK983051 DVW983014:DWG983051 EFS983014:EGC983051 EPO983014:EPY983051 EZK983014:EZU983051 FJG983014:FJQ983051 FTC983014:FTM983051 GCY983014:GDI983051 GMU983014:GNE983051 GWQ983014:GXA983051 HGM983014:HGW983051 HQI983014:HQS983051 IAE983014:IAO983051 IKA983014:IKK983051 ITW983014:IUG983051 JDS983014:JEC983051 JNO983014:JNY983051 JXK983014:JXU983051 KHG983014:KHQ983051 KRC983014:KRM983051 LAY983014:LBI983051 LKU983014:LLE983051 LUQ983014:LVA983051 MEM983014:MEW983051 MOI983014:MOS983051 MYE983014:MYO983051 NIA983014:NIK983051 NRW983014:NSG983051 OBS983014:OCC983051 OLO983014:OLY983051 OVK983014:OVU983051 PFG983014:PFQ983051 PPC983014:PPM983051 PYY983014:PZI983051 QIU983014:QJE983051 QSQ983014:QTA983051 RCM983014:RCW983051 RMI983014:RMS983051 RWE983014:RWO983051 SGA983014:SGK983051 SPW983014:SQG983051 SZS983014:TAC983051 TJO983014:TJY983051 TTK983014:TTU983051 UDG983014:UDQ983051 UNC983014:UNM983051 UWY983014:UXI983051 VGU983014:VHE983051 VQQ983014:VRA983051 WAM983014:WAW983051 WKI983014:WKS983051" xr:uid="{CB432012-6181-458C-BFBE-53785076ECAE}">
      <formula1>$C$24:$C$44</formula1>
    </dataValidation>
    <dataValidation type="list" allowBlank="1" showInputMessage="1" showErrorMessage="1" sqref="AU28:AX31 IW28:IZ31 SS28:SV31 ACO28:ACR31 AMK28:AMN31 AWG28:AWJ31 BGC28:BGF31 BPY28:BQB31 BZU28:BZX31 CJQ28:CJT31 CTM28:CTP31 DDI28:DDL31 DNE28:DNH31 DXA28:DXD31 EGW28:EGZ31 EQS28:EQV31 FAO28:FAR31 FKK28:FKN31 FUG28:FUJ31 GEC28:GEF31 GNY28:GOB31 GXU28:GXX31 HHQ28:HHT31 HRM28:HRP31 IBI28:IBL31 ILE28:ILH31 IVA28:IVD31 JEW28:JEZ31 JOS28:JOV31 JYO28:JYR31 KIK28:KIN31 KSG28:KSJ31 LCC28:LCF31 LLY28:LMB31 LVU28:LVX31 MFQ28:MFT31 MPM28:MPP31 MZI28:MZL31 NJE28:NJH31 NTA28:NTD31 OCW28:OCZ31 OMS28:OMV31 OWO28:OWR31 PGK28:PGN31 PQG28:PQJ31 QAC28:QAF31 QJY28:QKB31 QTU28:QTX31 RDQ28:RDT31 RNM28:RNP31 RXI28:RXL31 SHE28:SHH31 SRA28:SRD31 TAW28:TAZ31 TKS28:TKV31 TUO28:TUR31 UEK28:UEN31 UOG28:UOJ31 UYC28:UYF31 VHY28:VIB31 VRU28:VRX31 WBQ28:WBT31 WLM28:WLP31 WVI28:WVL31 AU65564:AX65567 IW65564:IZ65567 SS65564:SV65567 ACO65564:ACR65567 AMK65564:AMN65567 AWG65564:AWJ65567 BGC65564:BGF65567 BPY65564:BQB65567 BZU65564:BZX65567 CJQ65564:CJT65567 CTM65564:CTP65567 DDI65564:DDL65567 DNE65564:DNH65567 DXA65564:DXD65567 EGW65564:EGZ65567 EQS65564:EQV65567 FAO65564:FAR65567 FKK65564:FKN65567 FUG65564:FUJ65567 GEC65564:GEF65567 GNY65564:GOB65567 GXU65564:GXX65567 HHQ65564:HHT65567 HRM65564:HRP65567 IBI65564:IBL65567 ILE65564:ILH65567 IVA65564:IVD65567 JEW65564:JEZ65567 JOS65564:JOV65567 JYO65564:JYR65567 KIK65564:KIN65567 KSG65564:KSJ65567 LCC65564:LCF65567 LLY65564:LMB65567 LVU65564:LVX65567 MFQ65564:MFT65567 MPM65564:MPP65567 MZI65564:MZL65567 NJE65564:NJH65567 NTA65564:NTD65567 OCW65564:OCZ65567 OMS65564:OMV65567 OWO65564:OWR65567 PGK65564:PGN65567 PQG65564:PQJ65567 QAC65564:QAF65567 QJY65564:QKB65567 QTU65564:QTX65567 RDQ65564:RDT65567 RNM65564:RNP65567 RXI65564:RXL65567 SHE65564:SHH65567 SRA65564:SRD65567 TAW65564:TAZ65567 TKS65564:TKV65567 TUO65564:TUR65567 UEK65564:UEN65567 UOG65564:UOJ65567 UYC65564:UYF65567 VHY65564:VIB65567 VRU65564:VRX65567 WBQ65564:WBT65567 WLM65564:WLP65567 WVI65564:WVL65567 AU131100:AX131103 IW131100:IZ131103 SS131100:SV131103 ACO131100:ACR131103 AMK131100:AMN131103 AWG131100:AWJ131103 BGC131100:BGF131103 BPY131100:BQB131103 BZU131100:BZX131103 CJQ131100:CJT131103 CTM131100:CTP131103 DDI131100:DDL131103 DNE131100:DNH131103 DXA131100:DXD131103 EGW131100:EGZ131103 EQS131100:EQV131103 FAO131100:FAR131103 FKK131100:FKN131103 FUG131100:FUJ131103 GEC131100:GEF131103 GNY131100:GOB131103 GXU131100:GXX131103 HHQ131100:HHT131103 HRM131100:HRP131103 IBI131100:IBL131103 ILE131100:ILH131103 IVA131100:IVD131103 JEW131100:JEZ131103 JOS131100:JOV131103 JYO131100:JYR131103 KIK131100:KIN131103 KSG131100:KSJ131103 LCC131100:LCF131103 LLY131100:LMB131103 LVU131100:LVX131103 MFQ131100:MFT131103 MPM131100:MPP131103 MZI131100:MZL131103 NJE131100:NJH131103 NTA131100:NTD131103 OCW131100:OCZ131103 OMS131100:OMV131103 OWO131100:OWR131103 PGK131100:PGN131103 PQG131100:PQJ131103 QAC131100:QAF131103 QJY131100:QKB131103 QTU131100:QTX131103 RDQ131100:RDT131103 RNM131100:RNP131103 RXI131100:RXL131103 SHE131100:SHH131103 SRA131100:SRD131103 TAW131100:TAZ131103 TKS131100:TKV131103 TUO131100:TUR131103 UEK131100:UEN131103 UOG131100:UOJ131103 UYC131100:UYF131103 VHY131100:VIB131103 VRU131100:VRX131103 WBQ131100:WBT131103 WLM131100:WLP131103 WVI131100:WVL131103 AU196636:AX196639 IW196636:IZ196639 SS196636:SV196639 ACO196636:ACR196639 AMK196636:AMN196639 AWG196636:AWJ196639 BGC196636:BGF196639 BPY196636:BQB196639 BZU196636:BZX196639 CJQ196636:CJT196639 CTM196636:CTP196639 DDI196636:DDL196639 DNE196636:DNH196639 DXA196636:DXD196639 EGW196636:EGZ196639 EQS196636:EQV196639 FAO196636:FAR196639 FKK196636:FKN196639 FUG196636:FUJ196639 GEC196636:GEF196639 GNY196636:GOB196639 GXU196636:GXX196639 HHQ196636:HHT196639 HRM196636:HRP196639 IBI196636:IBL196639 ILE196636:ILH196639 IVA196636:IVD196639 JEW196636:JEZ196639 JOS196636:JOV196639 JYO196636:JYR196639 KIK196636:KIN196639 KSG196636:KSJ196639 LCC196636:LCF196639 LLY196636:LMB196639 LVU196636:LVX196639 MFQ196636:MFT196639 MPM196636:MPP196639 MZI196636:MZL196639 NJE196636:NJH196639 NTA196636:NTD196639 OCW196636:OCZ196639 OMS196636:OMV196639 OWO196636:OWR196639 PGK196636:PGN196639 PQG196636:PQJ196639 QAC196636:QAF196639 QJY196636:QKB196639 QTU196636:QTX196639 RDQ196636:RDT196639 RNM196636:RNP196639 RXI196636:RXL196639 SHE196636:SHH196639 SRA196636:SRD196639 TAW196636:TAZ196639 TKS196636:TKV196639 TUO196636:TUR196639 UEK196636:UEN196639 UOG196636:UOJ196639 UYC196636:UYF196639 VHY196636:VIB196639 VRU196636:VRX196639 WBQ196636:WBT196639 WLM196636:WLP196639 WVI196636:WVL196639 AU262172:AX262175 IW262172:IZ262175 SS262172:SV262175 ACO262172:ACR262175 AMK262172:AMN262175 AWG262172:AWJ262175 BGC262172:BGF262175 BPY262172:BQB262175 BZU262172:BZX262175 CJQ262172:CJT262175 CTM262172:CTP262175 DDI262172:DDL262175 DNE262172:DNH262175 DXA262172:DXD262175 EGW262172:EGZ262175 EQS262172:EQV262175 FAO262172:FAR262175 FKK262172:FKN262175 FUG262172:FUJ262175 GEC262172:GEF262175 GNY262172:GOB262175 GXU262172:GXX262175 HHQ262172:HHT262175 HRM262172:HRP262175 IBI262172:IBL262175 ILE262172:ILH262175 IVA262172:IVD262175 JEW262172:JEZ262175 JOS262172:JOV262175 JYO262172:JYR262175 KIK262172:KIN262175 KSG262172:KSJ262175 LCC262172:LCF262175 LLY262172:LMB262175 LVU262172:LVX262175 MFQ262172:MFT262175 MPM262172:MPP262175 MZI262172:MZL262175 NJE262172:NJH262175 NTA262172:NTD262175 OCW262172:OCZ262175 OMS262172:OMV262175 OWO262172:OWR262175 PGK262172:PGN262175 PQG262172:PQJ262175 QAC262172:QAF262175 QJY262172:QKB262175 QTU262172:QTX262175 RDQ262172:RDT262175 RNM262172:RNP262175 RXI262172:RXL262175 SHE262172:SHH262175 SRA262172:SRD262175 TAW262172:TAZ262175 TKS262172:TKV262175 TUO262172:TUR262175 UEK262172:UEN262175 UOG262172:UOJ262175 UYC262172:UYF262175 VHY262172:VIB262175 VRU262172:VRX262175 WBQ262172:WBT262175 WLM262172:WLP262175 WVI262172:WVL262175 AU327708:AX327711 IW327708:IZ327711 SS327708:SV327711 ACO327708:ACR327711 AMK327708:AMN327711 AWG327708:AWJ327711 BGC327708:BGF327711 BPY327708:BQB327711 BZU327708:BZX327711 CJQ327708:CJT327711 CTM327708:CTP327711 DDI327708:DDL327711 DNE327708:DNH327711 DXA327708:DXD327711 EGW327708:EGZ327711 EQS327708:EQV327711 FAO327708:FAR327711 FKK327708:FKN327711 FUG327708:FUJ327711 GEC327708:GEF327711 GNY327708:GOB327711 GXU327708:GXX327711 HHQ327708:HHT327711 HRM327708:HRP327711 IBI327708:IBL327711 ILE327708:ILH327711 IVA327708:IVD327711 JEW327708:JEZ327711 JOS327708:JOV327711 JYO327708:JYR327711 KIK327708:KIN327711 KSG327708:KSJ327711 LCC327708:LCF327711 LLY327708:LMB327711 LVU327708:LVX327711 MFQ327708:MFT327711 MPM327708:MPP327711 MZI327708:MZL327711 NJE327708:NJH327711 NTA327708:NTD327711 OCW327708:OCZ327711 OMS327708:OMV327711 OWO327708:OWR327711 PGK327708:PGN327711 PQG327708:PQJ327711 QAC327708:QAF327711 QJY327708:QKB327711 QTU327708:QTX327711 RDQ327708:RDT327711 RNM327708:RNP327711 RXI327708:RXL327711 SHE327708:SHH327711 SRA327708:SRD327711 TAW327708:TAZ327711 TKS327708:TKV327711 TUO327708:TUR327711 UEK327708:UEN327711 UOG327708:UOJ327711 UYC327708:UYF327711 VHY327708:VIB327711 VRU327708:VRX327711 WBQ327708:WBT327711 WLM327708:WLP327711 WVI327708:WVL327711 AU393244:AX393247 IW393244:IZ393247 SS393244:SV393247 ACO393244:ACR393247 AMK393244:AMN393247 AWG393244:AWJ393247 BGC393244:BGF393247 BPY393244:BQB393247 BZU393244:BZX393247 CJQ393244:CJT393247 CTM393244:CTP393247 DDI393244:DDL393247 DNE393244:DNH393247 DXA393244:DXD393247 EGW393244:EGZ393247 EQS393244:EQV393247 FAO393244:FAR393247 FKK393244:FKN393247 FUG393244:FUJ393247 GEC393244:GEF393247 GNY393244:GOB393247 GXU393244:GXX393247 HHQ393244:HHT393247 HRM393244:HRP393247 IBI393244:IBL393247 ILE393244:ILH393247 IVA393244:IVD393247 JEW393244:JEZ393247 JOS393244:JOV393247 JYO393244:JYR393247 KIK393244:KIN393247 KSG393244:KSJ393247 LCC393244:LCF393247 LLY393244:LMB393247 LVU393244:LVX393247 MFQ393244:MFT393247 MPM393244:MPP393247 MZI393244:MZL393247 NJE393244:NJH393247 NTA393244:NTD393247 OCW393244:OCZ393247 OMS393244:OMV393247 OWO393244:OWR393247 PGK393244:PGN393247 PQG393244:PQJ393247 QAC393244:QAF393247 QJY393244:QKB393247 QTU393244:QTX393247 RDQ393244:RDT393247 RNM393244:RNP393247 RXI393244:RXL393247 SHE393244:SHH393247 SRA393244:SRD393247 TAW393244:TAZ393247 TKS393244:TKV393247 TUO393244:TUR393247 UEK393244:UEN393247 UOG393244:UOJ393247 UYC393244:UYF393247 VHY393244:VIB393247 VRU393244:VRX393247 WBQ393244:WBT393247 WLM393244:WLP393247 WVI393244:WVL393247 AU458780:AX458783 IW458780:IZ458783 SS458780:SV458783 ACO458780:ACR458783 AMK458780:AMN458783 AWG458780:AWJ458783 BGC458780:BGF458783 BPY458780:BQB458783 BZU458780:BZX458783 CJQ458780:CJT458783 CTM458780:CTP458783 DDI458780:DDL458783 DNE458780:DNH458783 DXA458780:DXD458783 EGW458780:EGZ458783 EQS458780:EQV458783 FAO458780:FAR458783 FKK458780:FKN458783 FUG458780:FUJ458783 GEC458780:GEF458783 GNY458780:GOB458783 GXU458780:GXX458783 HHQ458780:HHT458783 HRM458780:HRP458783 IBI458780:IBL458783 ILE458780:ILH458783 IVA458780:IVD458783 JEW458780:JEZ458783 JOS458780:JOV458783 JYO458780:JYR458783 KIK458780:KIN458783 KSG458780:KSJ458783 LCC458780:LCF458783 LLY458780:LMB458783 LVU458780:LVX458783 MFQ458780:MFT458783 MPM458780:MPP458783 MZI458780:MZL458783 NJE458780:NJH458783 NTA458780:NTD458783 OCW458780:OCZ458783 OMS458780:OMV458783 OWO458780:OWR458783 PGK458780:PGN458783 PQG458780:PQJ458783 QAC458780:QAF458783 QJY458780:QKB458783 QTU458780:QTX458783 RDQ458780:RDT458783 RNM458780:RNP458783 RXI458780:RXL458783 SHE458780:SHH458783 SRA458780:SRD458783 TAW458780:TAZ458783 TKS458780:TKV458783 TUO458780:TUR458783 UEK458780:UEN458783 UOG458780:UOJ458783 UYC458780:UYF458783 VHY458780:VIB458783 VRU458780:VRX458783 WBQ458780:WBT458783 WLM458780:WLP458783 WVI458780:WVL458783 AU524316:AX524319 IW524316:IZ524319 SS524316:SV524319 ACO524316:ACR524319 AMK524316:AMN524319 AWG524316:AWJ524319 BGC524316:BGF524319 BPY524316:BQB524319 BZU524316:BZX524319 CJQ524316:CJT524319 CTM524316:CTP524319 DDI524316:DDL524319 DNE524316:DNH524319 DXA524316:DXD524319 EGW524316:EGZ524319 EQS524316:EQV524319 FAO524316:FAR524319 FKK524316:FKN524319 FUG524316:FUJ524319 GEC524316:GEF524319 GNY524316:GOB524319 GXU524316:GXX524319 HHQ524316:HHT524319 HRM524316:HRP524319 IBI524316:IBL524319 ILE524316:ILH524319 IVA524316:IVD524319 JEW524316:JEZ524319 JOS524316:JOV524319 JYO524316:JYR524319 KIK524316:KIN524319 KSG524316:KSJ524319 LCC524316:LCF524319 LLY524316:LMB524319 LVU524316:LVX524319 MFQ524316:MFT524319 MPM524316:MPP524319 MZI524316:MZL524319 NJE524316:NJH524319 NTA524316:NTD524319 OCW524316:OCZ524319 OMS524316:OMV524319 OWO524316:OWR524319 PGK524316:PGN524319 PQG524316:PQJ524319 QAC524316:QAF524319 QJY524316:QKB524319 QTU524316:QTX524319 RDQ524316:RDT524319 RNM524316:RNP524319 RXI524316:RXL524319 SHE524316:SHH524319 SRA524316:SRD524319 TAW524316:TAZ524319 TKS524316:TKV524319 TUO524316:TUR524319 UEK524316:UEN524319 UOG524316:UOJ524319 UYC524316:UYF524319 VHY524316:VIB524319 VRU524316:VRX524319 WBQ524316:WBT524319 WLM524316:WLP524319 WVI524316:WVL524319 AU589852:AX589855 IW589852:IZ589855 SS589852:SV589855 ACO589852:ACR589855 AMK589852:AMN589855 AWG589852:AWJ589855 BGC589852:BGF589855 BPY589852:BQB589855 BZU589852:BZX589855 CJQ589852:CJT589855 CTM589852:CTP589855 DDI589852:DDL589855 DNE589852:DNH589855 DXA589852:DXD589855 EGW589852:EGZ589855 EQS589852:EQV589855 FAO589852:FAR589855 FKK589852:FKN589855 FUG589852:FUJ589855 GEC589852:GEF589855 GNY589852:GOB589855 GXU589852:GXX589855 HHQ589852:HHT589855 HRM589852:HRP589855 IBI589852:IBL589855 ILE589852:ILH589855 IVA589852:IVD589855 JEW589852:JEZ589855 JOS589852:JOV589855 JYO589852:JYR589855 KIK589852:KIN589855 KSG589852:KSJ589855 LCC589852:LCF589855 LLY589852:LMB589855 LVU589852:LVX589855 MFQ589852:MFT589855 MPM589852:MPP589855 MZI589852:MZL589855 NJE589852:NJH589855 NTA589852:NTD589855 OCW589852:OCZ589855 OMS589852:OMV589855 OWO589852:OWR589855 PGK589852:PGN589855 PQG589852:PQJ589855 QAC589852:QAF589855 QJY589852:QKB589855 QTU589852:QTX589855 RDQ589852:RDT589855 RNM589852:RNP589855 RXI589852:RXL589855 SHE589852:SHH589855 SRA589852:SRD589855 TAW589852:TAZ589855 TKS589852:TKV589855 TUO589852:TUR589855 UEK589852:UEN589855 UOG589852:UOJ589855 UYC589852:UYF589855 VHY589852:VIB589855 VRU589852:VRX589855 WBQ589852:WBT589855 WLM589852:WLP589855 WVI589852:WVL589855 AU655388:AX655391 IW655388:IZ655391 SS655388:SV655391 ACO655388:ACR655391 AMK655388:AMN655391 AWG655388:AWJ655391 BGC655388:BGF655391 BPY655388:BQB655391 BZU655388:BZX655391 CJQ655388:CJT655391 CTM655388:CTP655391 DDI655388:DDL655391 DNE655388:DNH655391 DXA655388:DXD655391 EGW655388:EGZ655391 EQS655388:EQV655391 FAO655388:FAR655391 FKK655388:FKN655391 FUG655388:FUJ655391 GEC655388:GEF655391 GNY655388:GOB655391 GXU655388:GXX655391 HHQ655388:HHT655391 HRM655388:HRP655391 IBI655388:IBL655391 ILE655388:ILH655391 IVA655388:IVD655391 JEW655388:JEZ655391 JOS655388:JOV655391 JYO655388:JYR655391 KIK655388:KIN655391 KSG655388:KSJ655391 LCC655388:LCF655391 LLY655388:LMB655391 LVU655388:LVX655391 MFQ655388:MFT655391 MPM655388:MPP655391 MZI655388:MZL655391 NJE655388:NJH655391 NTA655388:NTD655391 OCW655388:OCZ655391 OMS655388:OMV655391 OWO655388:OWR655391 PGK655388:PGN655391 PQG655388:PQJ655391 QAC655388:QAF655391 QJY655388:QKB655391 QTU655388:QTX655391 RDQ655388:RDT655391 RNM655388:RNP655391 RXI655388:RXL655391 SHE655388:SHH655391 SRA655388:SRD655391 TAW655388:TAZ655391 TKS655388:TKV655391 TUO655388:TUR655391 UEK655388:UEN655391 UOG655388:UOJ655391 UYC655388:UYF655391 VHY655388:VIB655391 VRU655388:VRX655391 WBQ655388:WBT655391 WLM655388:WLP655391 WVI655388:WVL655391 AU720924:AX720927 IW720924:IZ720927 SS720924:SV720927 ACO720924:ACR720927 AMK720924:AMN720927 AWG720924:AWJ720927 BGC720924:BGF720927 BPY720924:BQB720927 BZU720924:BZX720927 CJQ720924:CJT720927 CTM720924:CTP720927 DDI720924:DDL720927 DNE720924:DNH720927 DXA720924:DXD720927 EGW720924:EGZ720927 EQS720924:EQV720927 FAO720924:FAR720927 FKK720924:FKN720927 FUG720924:FUJ720927 GEC720924:GEF720927 GNY720924:GOB720927 GXU720924:GXX720927 HHQ720924:HHT720927 HRM720924:HRP720927 IBI720924:IBL720927 ILE720924:ILH720927 IVA720924:IVD720927 JEW720924:JEZ720927 JOS720924:JOV720927 JYO720924:JYR720927 KIK720924:KIN720927 KSG720924:KSJ720927 LCC720924:LCF720927 LLY720924:LMB720927 LVU720924:LVX720927 MFQ720924:MFT720927 MPM720924:MPP720927 MZI720924:MZL720927 NJE720924:NJH720927 NTA720924:NTD720927 OCW720924:OCZ720927 OMS720924:OMV720927 OWO720924:OWR720927 PGK720924:PGN720927 PQG720924:PQJ720927 QAC720924:QAF720927 QJY720924:QKB720927 QTU720924:QTX720927 RDQ720924:RDT720927 RNM720924:RNP720927 RXI720924:RXL720927 SHE720924:SHH720927 SRA720924:SRD720927 TAW720924:TAZ720927 TKS720924:TKV720927 TUO720924:TUR720927 UEK720924:UEN720927 UOG720924:UOJ720927 UYC720924:UYF720927 VHY720924:VIB720927 VRU720924:VRX720927 WBQ720924:WBT720927 WLM720924:WLP720927 WVI720924:WVL720927 AU786460:AX786463 IW786460:IZ786463 SS786460:SV786463 ACO786460:ACR786463 AMK786460:AMN786463 AWG786460:AWJ786463 BGC786460:BGF786463 BPY786460:BQB786463 BZU786460:BZX786463 CJQ786460:CJT786463 CTM786460:CTP786463 DDI786460:DDL786463 DNE786460:DNH786463 DXA786460:DXD786463 EGW786460:EGZ786463 EQS786460:EQV786463 FAO786460:FAR786463 FKK786460:FKN786463 FUG786460:FUJ786463 GEC786460:GEF786463 GNY786460:GOB786463 GXU786460:GXX786463 HHQ786460:HHT786463 HRM786460:HRP786463 IBI786460:IBL786463 ILE786460:ILH786463 IVA786460:IVD786463 JEW786460:JEZ786463 JOS786460:JOV786463 JYO786460:JYR786463 KIK786460:KIN786463 KSG786460:KSJ786463 LCC786460:LCF786463 LLY786460:LMB786463 LVU786460:LVX786463 MFQ786460:MFT786463 MPM786460:MPP786463 MZI786460:MZL786463 NJE786460:NJH786463 NTA786460:NTD786463 OCW786460:OCZ786463 OMS786460:OMV786463 OWO786460:OWR786463 PGK786460:PGN786463 PQG786460:PQJ786463 QAC786460:QAF786463 QJY786460:QKB786463 QTU786460:QTX786463 RDQ786460:RDT786463 RNM786460:RNP786463 RXI786460:RXL786463 SHE786460:SHH786463 SRA786460:SRD786463 TAW786460:TAZ786463 TKS786460:TKV786463 TUO786460:TUR786463 UEK786460:UEN786463 UOG786460:UOJ786463 UYC786460:UYF786463 VHY786460:VIB786463 VRU786460:VRX786463 WBQ786460:WBT786463 WLM786460:WLP786463 WVI786460:WVL786463 AU851996:AX851999 IW851996:IZ851999 SS851996:SV851999 ACO851996:ACR851999 AMK851996:AMN851999 AWG851996:AWJ851999 BGC851996:BGF851999 BPY851996:BQB851999 BZU851996:BZX851999 CJQ851996:CJT851999 CTM851996:CTP851999 DDI851996:DDL851999 DNE851996:DNH851999 DXA851996:DXD851999 EGW851996:EGZ851999 EQS851996:EQV851999 FAO851996:FAR851999 FKK851996:FKN851999 FUG851996:FUJ851999 GEC851996:GEF851999 GNY851996:GOB851999 GXU851996:GXX851999 HHQ851996:HHT851999 HRM851996:HRP851999 IBI851996:IBL851999 ILE851996:ILH851999 IVA851996:IVD851999 JEW851996:JEZ851999 JOS851996:JOV851999 JYO851996:JYR851999 KIK851996:KIN851999 KSG851996:KSJ851999 LCC851996:LCF851999 LLY851996:LMB851999 LVU851996:LVX851999 MFQ851996:MFT851999 MPM851996:MPP851999 MZI851996:MZL851999 NJE851996:NJH851999 NTA851996:NTD851999 OCW851996:OCZ851999 OMS851996:OMV851999 OWO851996:OWR851999 PGK851996:PGN851999 PQG851996:PQJ851999 QAC851996:QAF851999 QJY851996:QKB851999 QTU851996:QTX851999 RDQ851996:RDT851999 RNM851996:RNP851999 RXI851996:RXL851999 SHE851996:SHH851999 SRA851996:SRD851999 TAW851996:TAZ851999 TKS851996:TKV851999 TUO851996:TUR851999 UEK851996:UEN851999 UOG851996:UOJ851999 UYC851996:UYF851999 VHY851996:VIB851999 VRU851996:VRX851999 WBQ851996:WBT851999 WLM851996:WLP851999 WVI851996:WVL851999 AU917532:AX917535 IW917532:IZ917535 SS917532:SV917535 ACO917532:ACR917535 AMK917532:AMN917535 AWG917532:AWJ917535 BGC917532:BGF917535 BPY917532:BQB917535 BZU917532:BZX917535 CJQ917532:CJT917535 CTM917532:CTP917535 DDI917532:DDL917535 DNE917532:DNH917535 DXA917532:DXD917535 EGW917532:EGZ917535 EQS917532:EQV917535 FAO917532:FAR917535 FKK917532:FKN917535 FUG917532:FUJ917535 GEC917532:GEF917535 GNY917532:GOB917535 GXU917532:GXX917535 HHQ917532:HHT917535 HRM917532:HRP917535 IBI917532:IBL917535 ILE917532:ILH917535 IVA917532:IVD917535 JEW917532:JEZ917535 JOS917532:JOV917535 JYO917532:JYR917535 KIK917532:KIN917535 KSG917532:KSJ917535 LCC917532:LCF917535 LLY917532:LMB917535 LVU917532:LVX917535 MFQ917532:MFT917535 MPM917532:MPP917535 MZI917532:MZL917535 NJE917532:NJH917535 NTA917532:NTD917535 OCW917532:OCZ917535 OMS917532:OMV917535 OWO917532:OWR917535 PGK917532:PGN917535 PQG917532:PQJ917535 QAC917532:QAF917535 QJY917532:QKB917535 QTU917532:QTX917535 RDQ917532:RDT917535 RNM917532:RNP917535 RXI917532:RXL917535 SHE917532:SHH917535 SRA917532:SRD917535 TAW917532:TAZ917535 TKS917532:TKV917535 TUO917532:TUR917535 UEK917532:UEN917535 UOG917532:UOJ917535 UYC917532:UYF917535 VHY917532:VIB917535 VRU917532:VRX917535 WBQ917532:WBT917535 WLM917532:WLP917535 WVI917532:WVL917535 AU983068:AX983071 IW983068:IZ983071 SS983068:SV983071 ACO983068:ACR983071 AMK983068:AMN983071 AWG983068:AWJ983071 BGC983068:BGF983071 BPY983068:BQB983071 BZU983068:BZX983071 CJQ983068:CJT983071 CTM983068:CTP983071 DDI983068:DDL983071 DNE983068:DNH983071 DXA983068:DXD983071 EGW983068:EGZ983071 EQS983068:EQV983071 FAO983068:FAR983071 FKK983068:FKN983071 FUG983068:FUJ983071 GEC983068:GEF983071 GNY983068:GOB983071 GXU983068:GXX983071 HHQ983068:HHT983071 HRM983068:HRP983071 IBI983068:IBL983071 ILE983068:ILH983071 IVA983068:IVD983071 JEW983068:JEZ983071 JOS983068:JOV983071 JYO983068:JYR983071 KIK983068:KIN983071 KSG983068:KSJ983071 LCC983068:LCF983071 LLY983068:LMB983071 LVU983068:LVX983071 MFQ983068:MFT983071 MPM983068:MPP983071 MZI983068:MZL983071 NJE983068:NJH983071 NTA983068:NTD983071 OCW983068:OCZ983071 OMS983068:OMV983071 OWO983068:OWR983071 PGK983068:PGN983071 PQG983068:PQJ983071 QAC983068:QAF983071 QJY983068:QKB983071 QTU983068:QTX983071 RDQ983068:RDT983071 RNM983068:RNP983071 RXI983068:RXL983071 SHE983068:SHH983071 SRA983068:SRD983071 TAW983068:TAZ983071 TKS983068:TKV983071 TUO983068:TUR983071 UEK983068:UEN983071 UOG983068:UOJ983071 UYC983068:UYF983071 VHY983068:VIB983071 VRU983068:VRX983071 WBQ983068:WBT983071 WLM983068:WLP983071 WVI983068:WVL983071 AP65558:AS65558 IR65558:IU65558 SN65558:SQ65558 ACJ65558:ACM65558 AMF65558:AMI65558 AWB65558:AWE65558 BFX65558:BGA65558 BPT65558:BPW65558 BZP65558:BZS65558 CJL65558:CJO65558 CTH65558:CTK65558 DDD65558:DDG65558 DMZ65558:DNC65558 DWV65558:DWY65558 EGR65558:EGU65558 EQN65558:EQQ65558 FAJ65558:FAM65558 FKF65558:FKI65558 FUB65558:FUE65558 GDX65558:GEA65558 GNT65558:GNW65558 GXP65558:GXS65558 HHL65558:HHO65558 HRH65558:HRK65558 IBD65558:IBG65558 IKZ65558:ILC65558 IUV65558:IUY65558 JER65558:JEU65558 JON65558:JOQ65558 JYJ65558:JYM65558 KIF65558:KII65558 KSB65558:KSE65558 LBX65558:LCA65558 LLT65558:LLW65558 LVP65558:LVS65558 MFL65558:MFO65558 MPH65558:MPK65558 MZD65558:MZG65558 NIZ65558:NJC65558 NSV65558:NSY65558 OCR65558:OCU65558 OMN65558:OMQ65558 OWJ65558:OWM65558 PGF65558:PGI65558 PQB65558:PQE65558 PZX65558:QAA65558 QJT65558:QJW65558 QTP65558:QTS65558 RDL65558:RDO65558 RNH65558:RNK65558 RXD65558:RXG65558 SGZ65558:SHC65558 SQV65558:SQY65558 TAR65558:TAU65558 TKN65558:TKQ65558 TUJ65558:TUM65558 UEF65558:UEI65558 UOB65558:UOE65558 UXX65558:UYA65558 VHT65558:VHW65558 VRP65558:VRS65558 WBL65558:WBO65558 WLH65558:WLK65558 WVD65558:WVG65558 AP131094:AS131094 IR131094:IU131094 SN131094:SQ131094 ACJ131094:ACM131094 AMF131094:AMI131094 AWB131094:AWE131094 BFX131094:BGA131094 BPT131094:BPW131094 BZP131094:BZS131094 CJL131094:CJO131094 CTH131094:CTK131094 DDD131094:DDG131094 DMZ131094:DNC131094 DWV131094:DWY131094 EGR131094:EGU131094 EQN131094:EQQ131094 FAJ131094:FAM131094 FKF131094:FKI131094 FUB131094:FUE131094 GDX131094:GEA131094 GNT131094:GNW131094 GXP131094:GXS131094 HHL131094:HHO131094 HRH131094:HRK131094 IBD131094:IBG131094 IKZ131094:ILC131094 IUV131094:IUY131094 JER131094:JEU131094 JON131094:JOQ131094 JYJ131094:JYM131094 KIF131094:KII131094 KSB131094:KSE131094 LBX131094:LCA131094 LLT131094:LLW131094 LVP131094:LVS131094 MFL131094:MFO131094 MPH131094:MPK131094 MZD131094:MZG131094 NIZ131094:NJC131094 NSV131094:NSY131094 OCR131094:OCU131094 OMN131094:OMQ131094 OWJ131094:OWM131094 PGF131094:PGI131094 PQB131094:PQE131094 PZX131094:QAA131094 QJT131094:QJW131094 QTP131094:QTS131094 RDL131094:RDO131094 RNH131094:RNK131094 RXD131094:RXG131094 SGZ131094:SHC131094 SQV131094:SQY131094 TAR131094:TAU131094 TKN131094:TKQ131094 TUJ131094:TUM131094 UEF131094:UEI131094 UOB131094:UOE131094 UXX131094:UYA131094 VHT131094:VHW131094 VRP131094:VRS131094 WBL131094:WBO131094 WLH131094:WLK131094 WVD131094:WVG131094 AP196630:AS196630 IR196630:IU196630 SN196630:SQ196630 ACJ196630:ACM196630 AMF196630:AMI196630 AWB196630:AWE196630 BFX196630:BGA196630 BPT196630:BPW196630 BZP196630:BZS196630 CJL196630:CJO196630 CTH196630:CTK196630 DDD196630:DDG196630 DMZ196630:DNC196630 DWV196630:DWY196630 EGR196630:EGU196630 EQN196630:EQQ196630 FAJ196630:FAM196630 FKF196630:FKI196630 FUB196630:FUE196630 GDX196630:GEA196630 GNT196630:GNW196630 GXP196630:GXS196630 HHL196630:HHO196630 HRH196630:HRK196630 IBD196630:IBG196630 IKZ196630:ILC196630 IUV196630:IUY196630 JER196630:JEU196630 JON196630:JOQ196630 JYJ196630:JYM196630 KIF196630:KII196630 KSB196630:KSE196630 LBX196630:LCA196630 LLT196630:LLW196630 LVP196630:LVS196630 MFL196630:MFO196630 MPH196630:MPK196630 MZD196630:MZG196630 NIZ196630:NJC196630 NSV196630:NSY196630 OCR196630:OCU196630 OMN196630:OMQ196630 OWJ196630:OWM196630 PGF196630:PGI196630 PQB196630:PQE196630 PZX196630:QAA196630 QJT196630:QJW196630 QTP196630:QTS196630 RDL196630:RDO196630 RNH196630:RNK196630 RXD196630:RXG196630 SGZ196630:SHC196630 SQV196630:SQY196630 TAR196630:TAU196630 TKN196630:TKQ196630 TUJ196630:TUM196630 UEF196630:UEI196630 UOB196630:UOE196630 UXX196630:UYA196630 VHT196630:VHW196630 VRP196630:VRS196630 WBL196630:WBO196630 WLH196630:WLK196630 WVD196630:WVG196630 AP262166:AS262166 IR262166:IU262166 SN262166:SQ262166 ACJ262166:ACM262166 AMF262166:AMI262166 AWB262166:AWE262166 BFX262166:BGA262166 BPT262166:BPW262166 BZP262166:BZS262166 CJL262166:CJO262166 CTH262166:CTK262166 DDD262166:DDG262166 DMZ262166:DNC262166 DWV262166:DWY262166 EGR262166:EGU262166 EQN262166:EQQ262166 FAJ262166:FAM262166 FKF262166:FKI262166 FUB262166:FUE262166 GDX262166:GEA262166 GNT262166:GNW262166 GXP262166:GXS262166 HHL262166:HHO262166 HRH262166:HRK262166 IBD262166:IBG262166 IKZ262166:ILC262166 IUV262166:IUY262166 JER262166:JEU262166 JON262166:JOQ262166 JYJ262166:JYM262166 KIF262166:KII262166 KSB262166:KSE262166 LBX262166:LCA262166 LLT262166:LLW262166 LVP262166:LVS262166 MFL262166:MFO262166 MPH262166:MPK262166 MZD262166:MZG262166 NIZ262166:NJC262166 NSV262166:NSY262166 OCR262166:OCU262166 OMN262166:OMQ262166 OWJ262166:OWM262166 PGF262166:PGI262166 PQB262166:PQE262166 PZX262166:QAA262166 QJT262166:QJW262166 QTP262166:QTS262166 RDL262166:RDO262166 RNH262166:RNK262166 RXD262166:RXG262166 SGZ262166:SHC262166 SQV262166:SQY262166 TAR262166:TAU262166 TKN262166:TKQ262166 TUJ262166:TUM262166 UEF262166:UEI262166 UOB262166:UOE262166 UXX262166:UYA262166 VHT262166:VHW262166 VRP262166:VRS262166 WBL262166:WBO262166 WLH262166:WLK262166 WVD262166:WVG262166 AP327702:AS327702 IR327702:IU327702 SN327702:SQ327702 ACJ327702:ACM327702 AMF327702:AMI327702 AWB327702:AWE327702 BFX327702:BGA327702 BPT327702:BPW327702 BZP327702:BZS327702 CJL327702:CJO327702 CTH327702:CTK327702 DDD327702:DDG327702 DMZ327702:DNC327702 DWV327702:DWY327702 EGR327702:EGU327702 EQN327702:EQQ327702 FAJ327702:FAM327702 FKF327702:FKI327702 FUB327702:FUE327702 GDX327702:GEA327702 GNT327702:GNW327702 GXP327702:GXS327702 HHL327702:HHO327702 HRH327702:HRK327702 IBD327702:IBG327702 IKZ327702:ILC327702 IUV327702:IUY327702 JER327702:JEU327702 JON327702:JOQ327702 JYJ327702:JYM327702 KIF327702:KII327702 KSB327702:KSE327702 LBX327702:LCA327702 LLT327702:LLW327702 LVP327702:LVS327702 MFL327702:MFO327702 MPH327702:MPK327702 MZD327702:MZG327702 NIZ327702:NJC327702 NSV327702:NSY327702 OCR327702:OCU327702 OMN327702:OMQ327702 OWJ327702:OWM327702 PGF327702:PGI327702 PQB327702:PQE327702 PZX327702:QAA327702 QJT327702:QJW327702 QTP327702:QTS327702 RDL327702:RDO327702 RNH327702:RNK327702 RXD327702:RXG327702 SGZ327702:SHC327702 SQV327702:SQY327702 TAR327702:TAU327702 TKN327702:TKQ327702 TUJ327702:TUM327702 UEF327702:UEI327702 UOB327702:UOE327702 UXX327702:UYA327702 VHT327702:VHW327702 VRP327702:VRS327702 WBL327702:WBO327702 WLH327702:WLK327702 WVD327702:WVG327702 AP393238:AS393238 IR393238:IU393238 SN393238:SQ393238 ACJ393238:ACM393238 AMF393238:AMI393238 AWB393238:AWE393238 BFX393238:BGA393238 BPT393238:BPW393238 BZP393238:BZS393238 CJL393238:CJO393238 CTH393238:CTK393238 DDD393238:DDG393238 DMZ393238:DNC393238 DWV393238:DWY393238 EGR393238:EGU393238 EQN393238:EQQ393238 FAJ393238:FAM393238 FKF393238:FKI393238 FUB393238:FUE393238 GDX393238:GEA393238 GNT393238:GNW393238 GXP393238:GXS393238 HHL393238:HHO393238 HRH393238:HRK393238 IBD393238:IBG393238 IKZ393238:ILC393238 IUV393238:IUY393238 JER393238:JEU393238 JON393238:JOQ393238 JYJ393238:JYM393238 KIF393238:KII393238 KSB393238:KSE393238 LBX393238:LCA393238 LLT393238:LLW393238 LVP393238:LVS393238 MFL393238:MFO393238 MPH393238:MPK393238 MZD393238:MZG393238 NIZ393238:NJC393238 NSV393238:NSY393238 OCR393238:OCU393238 OMN393238:OMQ393238 OWJ393238:OWM393238 PGF393238:PGI393238 PQB393238:PQE393238 PZX393238:QAA393238 QJT393238:QJW393238 QTP393238:QTS393238 RDL393238:RDO393238 RNH393238:RNK393238 RXD393238:RXG393238 SGZ393238:SHC393238 SQV393238:SQY393238 TAR393238:TAU393238 TKN393238:TKQ393238 TUJ393238:TUM393238 UEF393238:UEI393238 UOB393238:UOE393238 UXX393238:UYA393238 VHT393238:VHW393238 VRP393238:VRS393238 WBL393238:WBO393238 WLH393238:WLK393238 WVD393238:WVG393238 AP458774:AS458774 IR458774:IU458774 SN458774:SQ458774 ACJ458774:ACM458774 AMF458774:AMI458774 AWB458774:AWE458774 BFX458774:BGA458774 BPT458774:BPW458774 BZP458774:BZS458774 CJL458774:CJO458774 CTH458774:CTK458774 DDD458774:DDG458774 DMZ458774:DNC458774 DWV458774:DWY458774 EGR458774:EGU458774 EQN458774:EQQ458774 FAJ458774:FAM458774 FKF458774:FKI458774 FUB458774:FUE458774 GDX458774:GEA458774 GNT458774:GNW458774 GXP458774:GXS458774 HHL458774:HHO458774 HRH458774:HRK458774 IBD458774:IBG458774 IKZ458774:ILC458774 IUV458774:IUY458774 JER458774:JEU458774 JON458774:JOQ458774 JYJ458774:JYM458774 KIF458774:KII458774 KSB458774:KSE458774 LBX458774:LCA458774 LLT458774:LLW458774 LVP458774:LVS458774 MFL458774:MFO458774 MPH458774:MPK458774 MZD458774:MZG458774 NIZ458774:NJC458774 NSV458774:NSY458774 OCR458774:OCU458774 OMN458774:OMQ458774 OWJ458774:OWM458774 PGF458774:PGI458774 PQB458774:PQE458774 PZX458774:QAA458774 QJT458774:QJW458774 QTP458774:QTS458774 RDL458774:RDO458774 RNH458774:RNK458774 RXD458774:RXG458774 SGZ458774:SHC458774 SQV458774:SQY458774 TAR458774:TAU458774 TKN458774:TKQ458774 TUJ458774:TUM458774 UEF458774:UEI458774 UOB458774:UOE458774 UXX458774:UYA458774 VHT458774:VHW458774 VRP458774:VRS458774 WBL458774:WBO458774 WLH458774:WLK458774 WVD458774:WVG458774 AP524310:AS524310 IR524310:IU524310 SN524310:SQ524310 ACJ524310:ACM524310 AMF524310:AMI524310 AWB524310:AWE524310 BFX524310:BGA524310 BPT524310:BPW524310 BZP524310:BZS524310 CJL524310:CJO524310 CTH524310:CTK524310 DDD524310:DDG524310 DMZ524310:DNC524310 DWV524310:DWY524310 EGR524310:EGU524310 EQN524310:EQQ524310 FAJ524310:FAM524310 FKF524310:FKI524310 FUB524310:FUE524310 GDX524310:GEA524310 GNT524310:GNW524310 GXP524310:GXS524310 HHL524310:HHO524310 HRH524310:HRK524310 IBD524310:IBG524310 IKZ524310:ILC524310 IUV524310:IUY524310 JER524310:JEU524310 JON524310:JOQ524310 JYJ524310:JYM524310 KIF524310:KII524310 KSB524310:KSE524310 LBX524310:LCA524310 LLT524310:LLW524310 LVP524310:LVS524310 MFL524310:MFO524310 MPH524310:MPK524310 MZD524310:MZG524310 NIZ524310:NJC524310 NSV524310:NSY524310 OCR524310:OCU524310 OMN524310:OMQ524310 OWJ524310:OWM524310 PGF524310:PGI524310 PQB524310:PQE524310 PZX524310:QAA524310 QJT524310:QJW524310 QTP524310:QTS524310 RDL524310:RDO524310 RNH524310:RNK524310 RXD524310:RXG524310 SGZ524310:SHC524310 SQV524310:SQY524310 TAR524310:TAU524310 TKN524310:TKQ524310 TUJ524310:TUM524310 UEF524310:UEI524310 UOB524310:UOE524310 UXX524310:UYA524310 VHT524310:VHW524310 VRP524310:VRS524310 WBL524310:WBO524310 WLH524310:WLK524310 WVD524310:WVG524310 AP589846:AS589846 IR589846:IU589846 SN589846:SQ589846 ACJ589846:ACM589846 AMF589846:AMI589846 AWB589846:AWE589846 BFX589846:BGA589846 BPT589846:BPW589846 BZP589846:BZS589846 CJL589846:CJO589846 CTH589846:CTK589846 DDD589846:DDG589846 DMZ589846:DNC589846 DWV589846:DWY589846 EGR589846:EGU589846 EQN589846:EQQ589846 FAJ589846:FAM589846 FKF589846:FKI589846 FUB589846:FUE589846 GDX589846:GEA589846 GNT589846:GNW589846 GXP589846:GXS589846 HHL589846:HHO589846 HRH589846:HRK589846 IBD589846:IBG589846 IKZ589846:ILC589846 IUV589846:IUY589846 JER589846:JEU589846 JON589846:JOQ589846 JYJ589846:JYM589846 KIF589846:KII589846 KSB589846:KSE589846 LBX589846:LCA589846 LLT589846:LLW589846 LVP589846:LVS589846 MFL589846:MFO589846 MPH589846:MPK589846 MZD589846:MZG589846 NIZ589846:NJC589846 NSV589846:NSY589846 OCR589846:OCU589846 OMN589846:OMQ589846 OWJ589846:OWM589846 PGF589846:PGI589846 PQB589846:PQE589846 PZX589846:QAA589846 QJT589846:QJW589846 QTP589846:QTS589846 RDL589846:RDO589846 RNH589846:RNK589846 RXD589846:RXG589846 SGZ589846:SHC589846 SQV589846:SQY589846 TAR589846:TAU589846 TKN589846:TKQ589846 TUJ589846:TUM589846 UEF589846:UEI589846 UOB589846:UOE589846 UXX589846:UYA589846 VHT589846:VHW589846 VRP589846:VRS589846 WBL589846:WBO589846 WLH589846:WLK589846 WVD589846:WVG589846 AP655382:AS655382 IR655382:IU655382 SN655382:SQ655382 ACJ655382:ACM655382 AMF655382:AMI655382 AWB655382:AWE655382 BFX655382:BGA655382 BPT655382:BPW655382 BZP655382:BZS655382 CJL655382:CJO655382 CTH655382:CTK655382 DDD655382:DDG655382 DMZ655382:DNC655382 DWV655382:DWY655382 EGR655382:EGU655382 EQN655382:EQQ655382 FAJ655382:FAM655382 FKF655382:FKI655382 FUB655382:FUE655382 GDX655382:GEA655382 GNT655382:GNW655382 GXP655382:GXS655382 HHL655382:HHO655382 HRH655382:HRK655382 IBD655382:IBG655382 IKZ655382:ILC655382 IUV655382:IUY655382 JER655382:JEU655382 JON655382:JOQ655382 JYJ655382:JYM655382 KIF655382:KII655382 KSB655382:KSE655382 LBX655382:LCA655382 LLT655382:LLW655382 LVP655382:LVS655382 MFL655382:MFO655382 MPH655382:MPK655382 MZD655382:MZG655382 NIZ655382:NJC655382 NSV655382:NSY655382 OCR655382:OCU655382 OMN655382:OMQ655382 OWJ655382:OWM655382 PGF655382:PGI655382 PQB655382:PQE655382 PZX655382:QAA655382 QJT655382:QJW655382 QTP655382:QTS655382 RDL655382:RDO655382 RNH655382:RNK655382 RXD655382:RXG655382 SGZ655382:SHC655382 SQV655382:SQY655382 TAR655382:TAU655382 TKN655382:TKQ655382 TUJ655382:TUM655382 UEF655382:UEI655382 UOB655382:UOE655382 UXX655382:UYA655382 VHT655382:VHW655382 VRP655382:VRS655382 WBL655382:WBO655382 WLH655382:WLK655382 WVD655382:WVG655382 AP720918:AS720918 IR720918:IU720918 SN720918:SQ720918 ACJ720918:ACM720918 AMF720918:AMI720918 AWB720918:AWE720918 BFX720918:BGA720918 BPT720918:BPW720918 BZP720918:BZS720918 CJL720918:CJO720918 CTH720918:CTK720918 DDD720918:DDG720918 DMZ720918:DNC720918 DWV720918:DWY720918 EGR720918:EGU720918 EQN720918:EQQ720918 FAJ720918:FAM720918 FKF720918:FKI720918 FUB720918:FUE720918 GDX720918:GEA720918 GNT720918:GNW720918 GXP720918:GXS720918 HHL720918:HHO720918 HRH720918:HRK720918 IBD720918:IBG720918 IKZ720918:ILC720918 IUV720918:IUY720918 JER720918:JEU720918 JON720918:JOQ720918 JYJ720918:JYM720918 KIF720918:KII720918 KSB720918:KSE720918 LBX720918:LCA720918 LLT720918:LLW720918 LVP720918:LVS720918 MFL720918:MFO720918 MPH720918:MPK720918 MZD720918:MZG720918 NIZ720918:NJC720918 NSV720918:NSY720918 OCR720918:OCU720918 OMN720918:OMQ720918 OWJ720918:OWM720918 PGF720918:PGI720918 PQB720918:PQE720918 PZX720918:QAA720918 QJT720918:QJW720918 QTP720918:QTS720918 RDL720918:RDO720918 RNH720918:RNK720918 RXD720918:RXG720918 SGZ720918:SHC720918 SQV720918:SQY720918 TAR720918:TAU720918 TKN720918:TKQ720918 TUJ720918:TUM720918 UEF720918:UEI720918 UOB720918:UOE720918 UXX720918:UYA720918 VHT720918:VHW720918 VRP720918:VRS720918 WBL720918:WBO720918 WLH720918:WLK720918 WVD720918:WVG720918 AP786454:AS786454 IR786454:IU786454 SN786454:SQ786454 ACJ786454:ACM786454 AMF786454:AMI786454 AWB786454:AWE786454 BFX786454:BGA786454 BPT786454:BPW786454 BZP786454:BZS786454 CJL786454:CJO786454 CTH786454:CTK786454 DDD786454:DDG786454 DMZ786454:DNC786454 DWV786454:DWY786454 EGR786454:EGU786454 EQN786454:EQQ786454 FAJ786454:FAM786454 FKF786454:FKI786454 FUB786454:FUE786454 GDX786454:GEA786454 GNT786454:GNW786454 GXP786454:GXS786454 HHL786454:HHO786454 HRH786454:HRK786454 IBD786454:IBG786454 IKZ786454:ILC786454 IUV786454:IUY786454 JER786454:JEU786454 JON786454:JOQ786454 JYJ786454:JYM786454 KIF786454:KII786454 KSB786454:KSE786454 LBX786454:LCA786454 LLT786454:LLW786454 LVP786454:LVS786454 MFL786454:MFO786454 MPH786454:MPK786454 MZD786454:MZG786454 NIZ786454:NJC786454 NSV786454:NSY786454 OCR786454:OCU786454 OMN786454:OMQ786454 OWJ786454:OWM786454 PGF786454:PGI786454 PQB786454:PQE786454 PZX786454:QAA786454 QJT786454:QJW786454 QTP786454:QTS786454 RDL786454:RDO786454 RNH786454:RNK786454 RXD786454:RXG786454 SGZ786454:SHC786454 SQV786454:SQY786454 TAR786454:TAU786454 TKN786454:TKQ786454 TUJ786454:TUM786454 UEF786454:UEI786454 UOB786454:UOE786454 UXX786454:UYA786454 VHT786454:VHW786454 VRP786454:VRS786454 WBL786454:WBO786454 WLH786454:WLK786454 WVD786454:WVG786454 AP851990:AS851990 IR851990:IU851990 SN851990:SQ851990 ACJ851990:ACM851990 AMF851990:AMI851990 AWB851990:AWE851990 BFX851990:BGA851990 BPT851990:BPW851990 BZP851990:BZS851990 CJL851990:CJO851990 CTH851990:CTK851990 DDD851990:DDG851990 DMZ851990:DNC851990 DWV851990:DWY851990 EGR851990:EGU851990 EQN851990:EQQ851990 FAJ851990:FAM851990 FKF851990:FKI851990 FUB851990:FUE851990 GDX851990:GEA851990 GNT851990:GNW851990 GXP851990:GXS851990 HHL851990:HHO851990 HRH851990:HRK851990 IBD851990:IBG851990 IKZ851990:ILC851990 IUV851990:IUY851990 JER851990:JEU851990 JON851990:JOQ851990 JYJ851990:JYM851990 KIF851990:KII851990 KSB851990:KSE851990 LBX851990:LCA851990 LLT851990:LLW851990 LVP851990:LVS851990 MFL851990:MFO851990 MPH851990:MPK851990 MZD851990:MZG851990 NIZ851990:NJC851990 NSV851990:NSY851990 OCR851990:OCU851990 OMN851990:OMQ851990 OWJ851990:OWM851990 PGF851990:PGI851990 PQB851990:PQE851990 PZX851990:QAA851990 QJT851990:QJW851990 QTP851990:QTS851990 RDL851990:RDO851990 RNH851990:RNK851990 RXD851990:RXG851990 SGZ851990:SHC851990 SQV851990:SQY851990 TAR851990:TAU851990 TKN851990:TKQ851990 TUJ851990:TUM851990 UEF851990:UEI851990 UOB851990:UOE851990 UXX851990:UYA851990 VHT851990:VHW851990 VRP851990:VRS851990 WBL851990:WBO851990 WLH851990:WLK851990 WVD851990:WVG851990 AP917526:AS917526 IR917526:IU917526 SN917526:SQ917526 ACJ917526:ACM917526 AMF917526:AMI917526 AWB917526:AWE917526 BFX917526:BGA917526 BPT917526:BPW917526 BZP917526:BZS917526 CJL917526:CJO917526 CTH917526:CTK917526 DDD917526:DDG917526 DMZ917526:DNC917526 DWV917526:DWY917526 EGR917526:EGU917526 EQN917526:EQQ917526 FAJ917526:FAM917526 FKF917526:FKI917526 FUB917526:FUE917526 GDX917526:GEA917526 GNT917526:GNW917526 GXP917526:GXS917526 HHL917526:HHO917526 HRH917526:HRK917526 IBD917526:IBG917526 IKZ917526:ILC917526 IUV917526:IUY917526 JER917526:JEU917526 JON917526:JOQ917526 JYJ917526:JYM917526 KIF917526:KII917526 KSB917526:KSE917526 LBX917526:LCA917526 LLT917526:LLW917526 LVP917526:LVS917526 MFL917526:MFO917526 MPH917526:MPK917526 MZD917526:MZG917526 NIZ917526:NJC917526 NSV917526:NSY917526 OCR917526:OCU917526 OMN917526:OMQ917526 OWJ917526:OWM917526 PGF917526:PGI917526 PQB917526:PQE917526 PZX917526:QAA917526 QJT917526:QJW917526 QTP917526:QTS917526 RDL917526:RDO917526 RNH917526:RNK917526 RXD917526:RXG917526 SGZ917526:SHC917526 SQV917526:SQY917526 TAR917526:TAU917526 TKN917526:TKQ917526 TUJ917526:TUM917526 UEF917526:UEI917526 UOB917526:UOE917526 UXX917526:UYA917526 VHT917526:VHW917526 VRP917526:VRS917526 WBL917526:WBO917526 WLH917526:WLK917526 WVD917526:WVG917526 AP983062:AS983062 IR983062:IU983062 SN983062:SQ983062 ACJ983062:ACM983062 AMF983062:AMI983062 AWB983062:AWE983062 BFX983062:BGA983062 BPT983062:BPW983062 BZP983062:BZS983062 CJL983062:CJO983062 CTH983062:CTK983062 DDD983062:DDG983062 DMZ983062:DNC983062 DWV983062:DWY983062 EGR983062:EGU983062 EQN983062:EQQ983062 FAJ983062:FAM983062 FKF983062:FKI983062 FUB983062:FUE983062 GDX983062:GEA983062 GNT983062:GNW983062 GXP983062:GXS983062 HHL983062:HHO983062 HRH983062:HRK983062 IBD983062:IBG983062 IKZ983062:ILC983062 IUV983062:IUY983062 JER983062:JEU983062 JON983062:JOQ983062 JYJ983062:JYM983062 KIF983062:KII983062 KSB983062:KSE983062 LBX983062:LCA983062 LLT983062:LLW983062 LVP983062:LVS983062 MFL983062:MFO983062 MPH983062:MPK983062 MZD983062:MZG983062 NIZ983062:NJC983062 NSV983062:NSY983062 OCR983062:OCU983062 OMN983062:OMQ983062 OWJ983062:OWM983062 PGF983062:PGI983062 PQB983062:PQE983062 PZX983062:QAA983062 QJT983062:QJW983062 QTP983062:QTS983062 RDL983062:RDO983062 RNH983062:RNK983062 RXD983062:RXG983062 SGZ983062:SHC983062 SQV983062:SQY983062 TAR983062:TAU983062 TKN983062:TKQ983062 TUJ983062:TUM983062 UEF983062:UEI983062 UOB983062:UOE983062 UXX983062:UYA983062 VHT983062:VHW983062 VRP983062:VRS983062 WBL983062:WBO983062 WLH983062:WLK983062 WVD983062:WVG983062 AK983061:AN983061 IM983061:IP983061 SI983061:SL983061 ACE983061:ACH983061 AMA983061:AMD983061 AVW983061:AVZ983061 BFS983061:BFV983061 BPO983061:BPR983061 BZK983061:BZN983061 CJG983061:CJJ983061 CTC983061:CTF983061 DCY983061:DDB983061 DMU983061:DMX983061 DWQ983061:DWT983061 EGM983061:EGP983061 EQI983061:EQL983061 FAE983061:FAH983061 FKA983061:FKD983061 FTW983061:FTZ983061 GDS983061:GDV983061 GNO983061:GNR983061 GXK983061:GXN983061 HHG983061:HHJ983061 HRC983061:HRF983061 IAY983061:IBB983061 IKU983061:IKX983061 IUQ983061:IUT983061 JEM983061:JEP983061 JOI983061:JOL983061 JYE983061:JYH983061 KIA983061:KID983061 KRW983061:KRZ983061 LBS983061:LBV983061 LLO983061:LLR983061 LVK983061:LVN983061 MFG983061:MFJ983061 MPC983061:MPF983061 MYY983061:MZB983061 NIU983061:NIX983061 NSQ983061:NST983061 OCM983061:OCP983061 OMI983061:OML983061 OWE983061:OWH983061 PGA983061:PGD983061 PPW983061:PPZ983061 PZS983061:PZV983061 QJO983061:QJR983061 QTK983061:QTN983061 RDG983061:RDJ983061 RNC983061:RNF983061 RWY983061:RXB983061 SGU983061:SGX983061 SQQ983061:SQT983061 TAM983061:TAP983061 TKI983061:TKL983061 TUE983061:TUH983061 UEA983061:UED983061 UNW983061:UNZ983061 UXS983061:UXV983061 VHO983061:VHR983061 VRK983061:VRN983061 WBG983061:WBJ983061 WLC983061:WLF983061 WUY983061:WVB983061 AK65557:AN65557 IM65557:IP65557 SI65557:SL65557 ACE65557:ACH65557 AMA65557:AMD65557 AVW65557:AVZ65557 BFS65557:BFV65557 BPO65557:BPR65557 BZK65557:BZN65557 CJG65557:CJJ65557 CTC65557:CTF65557 DCY65557:DDB65557 DMU65557:DMX65557 DWQ65557:DWT65557 EGM65557:EGP65557 EQI65557:EQL65557 FAE65557:FAH65557 FKA65557:FKD65557 FTW65557:FTZ65557 GDS65557:GDV65557 GNO65557:GNR65557 GXK65557:GXN65557 HHG65557:HHJ65557 HRC65557:HRF65557 IAY65557:IBB65557 IKU65557:IKX65557 IUQ65557:IUT65557 JEM65557:JEP65557 JOI65557:JOL65557 JYE65557:JYH65557 KIA65557:KID65557 KRW65557:KRZ65557 LBS65557:LBV65557 LLO65557:LLR65557 LVK65557:LVN65557 MFG65557:MFJ65557 MPC65557:MPF65557 MYY65557:MZB65557 NIU65557:NIX65557 NSQ65557:NST65557 OCM65557:OCP65557 OMI65557:OML65557 OWE65557:OWH65557 PGA65557:PGD65557 PPW65557:PPZ65557 PZS65557:PZV65557 QJO65557:QJR65557 QTK65557:QTN65557 RDG65557:RDJ65557 RNC65557:RNF65557 RWY65557:RXB65557 SGU65557:SGX65557 SQQ65557:SQT65557 TAM65557:TAP65557 TKI65557:TKL65557 TUE65557:TUH65557 UEA65557:UED65557 UNW65557:UNZ65557 UXS65557:UXV65557 VHO65557:VHR65557 VRK65557:VRN65557 WBG65557:WBJ65557 WLC65557:WLF65557 WUY65557:WVB65557 AK131093:AN131093 IM131093:IP131093 SI131093:SL131093 ACE131093:ACH131093 AMA131093:AMD131093 AVW131093:AVZ131093 BFS131093:BFV131093 BPO131093:BPR131093 BZK131093:BZN131093 CJG131093:CJJ131093 CTC131093:CTF131093 DCY131093:DDB131093 DMU131093:DMX131093 DWQ131093:DWT131093 EGM131093:EGP131093 EQI131093:EQL131093 FAE131093:FAH131093 FKA131093:FKD131093 FTW131093:FTZ131093 GDS131093:GDV131093 GNO131093:GNR131093 GXK131093:GXN131093 HHG131093:HHJ131093 HRC131093:HRF131093 IAY131093:IBB131093 IKU131093:IKX131093 IUQ131093:IUT131093 JEM131093:JEP131093 JOI131093:JOL131093 JYE131093:JYH131093 KIA131093:KID131093 KRW131093:KRZ131093 LBS131093:LBV131093 LLO131093:LLR131093 LVK131093:LVN131093 MFG131093:MFJ131093 MPC131093:MPF131093 MYY131093:MZB131093 NIU131093:NIX131093 NSQ131093:NST131093 OCM131093:OCP131093 OMI131093:OML131093 OWE131093:OWH131093 PGA131093:PGD131093 PPW131093:PPZ131093 PZS131093:PZV131093 QJO131093:QJR131093 QTK131093:QTN131093 RDG131093:RDJ131093 RNC131093:RNF131093 RWY131093:RXB131093 SGU131093:SGX131093 SQQ131093:SQT131093 TAM131093:TAP131093 TKI131093:TKL131093 TUE131093:TUH131093 UEA131093:UED131093 UNW131093:UNZ131093 UXS131093:UXV131093 VHO131093:VHR131093 VRK131093:VRN131093 WBG131093:WBJ131093 WLC131093:WLF131093 WUY131093:WVB131093 AK196629:AN196629 IM196629:IP196629 SI196629:SL196629 ACE196629:ACH196629 AMA196629:AMD196629 AVW196629:AVZ196629 BFS196629:BFV196629 BPO196629:BPR196629 BZK196629:BZN196629 CJG196629:CJJ196629 CTC196629:CTF196629 DCY196629:DDB196629 DMU196629:DMX196629 DWQ196629:DWT196629 EGM196629:EGP196629 EQI196629:EQL196629 FAE196629:FAH196629 FKA196629:FKD196629 FTW196629:FTZ196629 GDS196629:GDV196629 GNO196629:GNR196629 GXK196629:GXN196629 HHG196629:HHJ196629 HRC196629:HRF196629 IAY196629:IBB196629 IKU196629:IKX196629 IUQ196629:IUT196629 JEM196629:JEP196629 JOI196629:JOL196629 JYE196629:JYH196629 KIA196629:KID196629 KRW196629:KRZ196629 LBS196629:LBV196629 LLO196629:LLR196629 LVK196629:LVN196629 MFG196629:MFJ196629 MPC196629:MPF196629 MYY196629:MZB196629 NIU196629:NIX196629 NSQ196629:NST196629 OCM196629:OCP196629 OMI196629:OML196629 OWE196629:OWH196629 PGA196629:PGD196629 PPW196629:PPZ196629 PZS196629:PZV196629 QJO196629:QJR196629 QTK196629:QTN196629 RDG196629:RDJ196629 RNC196629:RNF196629 RWY196629:RXB196629 SGU196629:SGX196629 SQQ196629:SQT196629 TAM196629:TAP196629 TKI196629:TKL196629 TUE196629:TUH196629 UEA196629:UED196629 UNW196629:UNZ196629 UXS196629:UXV196629 VHO196629:VHR196629 VRK196629:VRN196629 WBG196629:WBJ196629 WLC196629:WLF196629 WUY196629:WVB196629 AK262165:AN262165 IM262165:IP262165 SI262165:SL262165 ACE262165:ACH262165 AMA262165:AMD262165 AVW262165:AVZ262165 BFS262165:BFV262165 BPO262165:BPR262165 BZK262165:BZN262165 CJG262165:CJJ262165 CTC262165:CTF262165 DCY262165:DDB262165 DMU262165:DMX262165 DWQ262165:DWT262165 EGM262165:EGP262165 EQI262165:EQL262165 FAE262165:FAH262165 FKA262165:FKD262165 FTW262165:FTZ262165 GDS262165:GDV262165 GNO262165:GNR262165 GXK262165:GXN262165 HHG262165:HHJ262165 HRC262165:HRF262165 IAY262165:IBB262165 IKU262165:IKX262165 IUQ262165:IUT262165 JEM262165:JEP262165 JOI262165:JOL262165 JYE262165:JYH262165 KIA262165:KID262165 KRW262165:KRZ262165 LBS262165:LBV262165 LLO262165:LLR262165 LVK262165:LVN262165 MFG262165:MFJ262165 MPC262165:MPF262165 MYY262165:MZB262165 NIU262165:NIX262165 NSQ262165:NST262165 OCM262165:OCP262165 OMI262165:OML262165 OWE262165:OWH262165 PGA262165:PGD262165 PPW262165:PPZ262165 PZS262165:PZV262165 QJO262165:QJR262165 QTK262165:QTN262165 RDG262165:RDJ262165 RNC262165:RNF262165 RWY262165:RXB262165 SGU262165:SGX262165 SQQ262165:SQT262165 TAM262165:TAP262165 TKI262165:TKL262165 TUE262165:TUH262165 UEA262165:UED262165 UNW262165:UNZ262165 UXS262165:UXV262165 VHO262165:VHR262165 VRK262165:VRN262165 WBG262165:WBJ262165 WLC262165:WLF262165 WUY262165:WVB262165 AK327701:AN327701 IM327701:IP327701 SI327701:SL327701 ACE327701:ACH327701 AMA327701:AMD327701 AVW327701:AVZ327701 BFS327701:BFV327701 BPO327701:BPR327701 BZK327701:BZN327701 CJG327701:CJJ327701 CTC327701:CTF327701 DCY327701:DDB327701 DMU327701:DMX327701 DWQ327701:DWT327701 EGM327701:EGP327701 EQI327701:EQL327701 FAE327701:FAH327701 FKA327701:FKD327701 FTW327701:FTZ327701 GDS327701:GDV327701 GNO327701:GNR327701 GXK327701:GXN327701 HHG327701:HHJ327701 HRC327701:HRF327701 IAY327701:IBB327701 IKU327701:IKX327701 IUQ327701:IUT327701 JEM327701:JEP327701 JOI327701:JOL327701 JYE327701:JYH327701 KIA327701:KID327701 KRW327701:KRZ327701 LBS327701:LBV327701 LLO327701:LLR327701 LVK327701:LVN327701 MFG327701:MFJ327701 MPC327701:MPF327701 MYY327701:MZB327701 NIU327701:NIX327701 NSQ327701:NST327701 OCM327701:OCP327701 OMI327701:OML327701 OWE327701:OWH327701 PGA327701:PGD327701 PPW327701:PPZ327701 PZS327701:PZV327701 QJO327701:QJR327701 QTK327701:QTN327701 RDG327701:RDJ327701 RNC327701:RNF327701 RWY327701:RXB327701 SGU327701:SGX327701 SQQ327701:SQT327701 TAM327701:TAP327701 TKI327701:TKL327701 TUE327701:TUH327701 UEA327701:UED327701 UNW327701:UNZ327701 UXS327701:UXV327701 VHO327701:VHR327701 VRK327701:VRN327701 WBG327701:WBJ327701 WLC327701:WLF327701 WUY327701:WVB327701 AK393237:AN393237 IM393237:IP393237 SI393237:SL393237 ACE393237:ACH393237 AMA393237:AMD393237 AVW393237:AVZ393237 BFS393237:BFV393237 BPO393237:BPR393237 BZK393237:BZN393237 CJG393237:CJJ393237 CTC393237:CTF393237 DCY393237:DDB393237 DMU393237:DMX393237 DWQ393237:DWT393237 EGM393237:EGP393237 EQI393237:EQL393237 FAE393237:FAH393237 FKA393237:FKD393237 FTW393237:FTZ393237 GDS393237:GDV393237 GNO393237:GNR393237 GXK393237:GXN393237 HHG393237:HHJ393237 HRC393237:HRF393237 IAY393237:IBB393237 IKU393237:IKX393237 IUQ393237:IUT393237 JEM393237:JEP393237 JOI393237:JOL393237 JYE393237:JYH393237 KIA393237:KID393237 KRW393237:KRZ393237 LBS393237:LBV393237 LLO393237:LLR393237 LVK393237:LVN393237 MFG393237:MFJ393237 MPC393237:MPF393237 MYY393237:MZB393237 NIU393237:NIX393237 NSQ393237:NST393237 OCM393237:OCP393237 OMI393237:OML393237 OWE393237:OWH393237 PGA393237:PGD393237 PPW393237:PPZ393237 PZS393237:PZV393237 QJO393237:QJR393237 QTK393237:QTN393237 RDG393237:RDJ393237 RNC393237:RNF393237 RWY393237:RXB393237 SGU393237:SGX393237 SQQ393237:SQT393237 TAM393237:TAP393237 TKI393237:TKL393237 TUE393237:TUH393237 UEA393237:UED393237 UNW393237:UNZ393237 UXS393237:UXV393237 VHO393237:VHR393237 VRK393237:VRN393237 WBG393237:WBJ393237 WLC393237:WLF393237 WUY393237:WVB393237 AK458773:AN458773 IM458773:IP458773 SI458773:SL458773 ACE458773:ACH458773 AMA458773:AMD458773 AVW458773:AVZ458773 BFS458773:BFV458773 BPO458773:BPR458773 BZK458773:BZN458773 CJG458773:CJJ458773 CTC458773:CTF458773 DCY458773:DDB458773 DMU458773:DMX458773 DWQ458773:DWT458773 EGM458773:EGP458773 EQI458773:EQL458773 FAE458773:FAH458773 FKA458773:FKD458773 FTW458773:FTZ458773 GDS458773:GDV458773 GNO458773:GNR458773 GXK458773:GXN458773 HHG458773:HHJ458773 HRC458773:HRF458773 IAY458773:IBB458773 IKU458773:IKX458773 IUQ458773:IUT458773 JEM458773:JEP458773 JOI458773:JOL458773 JYE458773:JYH458773 KIA458773:KID458773 KRW458773:KRZ458773 LBS458773:LBV458773 LLO458773:LLR458773 LVK458773:LVN458773 MFG458773:MFJ458773 MPC458773:MPF458773 MYY458773:MZB458773 NIU458773:NIX458773 NSQ458773:NST458773 OCM458773:OCP458773 OMI458773:OML458773 OWE458773:OWH458773 PGA458773:PGD458773 PPW458773:PPZ458773 PZS458773:PZV458773 QJO458773:QJR458773 QTK458773:QTN458773 RDG458773:RDJ458773 RNC458773:RNF458773 RWY458773:RXB458773 SGU458773:SGX458773 SQQ458773:SQT458773 TAM458773:TAP458773 TKI458773:TKL458773 TUE458773:TUH458773 UEA458773:UED458773 UNW458773:UNZ458773 UXS458773:UXV458773 VHO458773:VHR458773 VRK458773:VRN458773 WBG458773:WBJ458773 WLC458773:WLF458773 WUY458773:WVB458773 AK524309:AN524309 IM524309:IP524309 SI524309:SL524309 ACE524309:ACH524309 AMA524309:AMD524309 AVW524309:AVZ524309 BFS524309:BFV524309 BPO524309:BPR524309 BZK524309:BZN524309 CJG524309:CJJ524309 CTC524309:CTF524309 DCY524309:DDB524309 DMU524309:DMX524309 DWQ524309:DWT524309 EGM524309:EGP524309 EQI524309:EQL524309 FAE524309:FAH524309 FKA524309:FKD524309 FTW524309:FTZ524309 GDS524309:GDV524309 GNO524309:GNR524309 GXK524309:GXN524309 HHG524309:HHJ524309 HRC524309:HRF524309 IAY524309:IBB524309 IKU524309:IKX524309 IUQ524309:IUT524309 JEM524309:JEP524309 JOI524309:JOL524309 JYE524309:JYH524309 KIA524309:KID524309 KRW524309:KRZ524309 LBS524309:LBV524309 LLO524309:LLR524309 LVK524309:LVN524309 MFG524309:MFJ524309 MPC524309:MPF524309 MYY524309:MZB524309 NIU524309:NIX524309 NSQ524309:NST524309 OCM524309:OCP524309 OMI524309:OML524309 OWE524309:OWH524309 PGA524309:PGD524309 PPW524309:PPZ524309 PZS524309:PZV524309 QJO524309:QJR524309 QTK524309:QTN524309 RDG524309:RDJ524309 RNC524309:RNF524309 RWY524309:RXB524309 SGU524309:SGX524309 SQQ524309:SQT524309 TAM524309:TAP524309 TKI524309:TKL524309 TUE524309:TUH524309 UEA524309:UED524309 UNW524309:UNZ524309 UXS524309:UXV524309 VHO524309:VHR524309 VRK524309:VRN524309 WBG524309:WBJ524309 WLC524309:WLF524309 WUY524309:WVB524309 AK589845:AN589845 IM589845:IP589845 SI589845:SL589845 ACE589845:ACH589845 AMA589845:AMD589845 AVW589845:AVZ589845 BFS589845:BFV589845 BPO589845:BPR589845 BZK589845:BZN589845 CJG589845:CJJ589845 CTC589845:CTF589845 DCY589845:DDB589845 DMU589845:DMX589845 DWQ589845:DWT589845 EGM589845:EGP589845 EQI589845:EQL589845 FAE589845:FAH589845 FKA589845:FKD589845 FTW589845:FTZ589845 GDS589845:GDV589845 GNO589845:GNR589845 GXK589845:GXN589845 HHG589845:HHJ589845 HRC589845:HRF589845 IAY589845:IBB589845 IKU589845:IKX589845 IUQ589845:IUT589845 JEM589845:JEP589845 JOI589845:JOL589845 JYE589845:JYH589845 KIA589845:KID589845 KRW589845:KRZ589845 LBS589845:LBV589845 LLO589845:LLR589845 LVK589845:LVN589845 MFG589845:MFJ589845 MPC589845:MPF589845 MYY589845:MZB589845 NIU589845:NIX589845 NSQ589845:NST589845 OCM589845:OCP589845 OMI589845:OML589845 OWE589845:OWH589845 PGA589845:PGD589845 PPW589845:PPZ589845 PZS589845:PZV589845 QJO589845:QJR589845 QTK589845:QTN589845 RDG589845:RDJ589845 RNC589845:RNF589845 RWY589845:RXB589845 SGU589845:SGX589845 SQQ589845:SQT589845 TAM589845:TAP589845 TKI589845:TKL589845 TUE589845:TUH589845 UEA589845:UED589845 UNW589845:UNZ589845 UXS589845:UXV589845 VHO589845:VHR589845 VRK589845:VRN589845 WBG589845:WBJ589845 WLC589845:WLF589845 WUY589845:WVB589845 AK655381:AN655381 IM655381:IP655381 SI655381:SL655381 ACE655381:ACH655381 AMA655381:AMD655381 AVW655381:AVZ655381 BFS655381:BFV655381 BPO655381:BPR655381 BZK655381:BZN655381 CJG655381:CJJ655381 CTC655381:CTF655381 DCY655381:DDB655381 DMU655381:DMX655381 DWQ655381:DWT655381 EGM655381:EGP655381 EQI655381:EQL655381 FAE655381:FAH655381 FKA655381:FKD655381 FTW655381:FTZ655381 GDS655381:GDV655381 GNO655381:GNR655381 GXK655381:GXN655381 HHG655381:HHJ655381 HRC655381:HRF655381 IAY655381:IBB655381 IKU655381:IKX655381 IUQ655381:IUT655381 JEM655381:JEP655381 JOI655381:JOL655381 JYE655381:JYH655381 KIA655381:KID655381 KRW655381:KRZ655381 LBS655381:LBV655381 LLO655381:LLR655381 LVK655381:LVN655381 MFG655381:MFJ655381 MPC655381:MPF655381 MYY655381:MZB655381 NIU655381:NIX655381 NSQ655381:NST655381 OCM655381:OCP655381 OMI655381:OML655381 OWE655381:OWH655381 PGA655381:PGD655381 PPW655381:PPZ655381 PZS655381:PZV655381 QJO655381:QJR655381 QTK655381:QTN655381 RDG655381:RDJ655381 RNC655381:RNF655381 RWY655381:RXB655381 SGU655381:SGX655381 SQQ655381:SQT655381 TAM655381:TAP655381 TKI655381:TKL655381 TUE655381:TUH655381 UEA655381:UED655381 UNW655381:UNZ655381 UXS655381:UXV655381 VHO655381:VHR655381 VRK655381:VRN655381 WBG655381:WBJ655381 WLC655381:WLF655381 WUY655381:WVB655381 AK720917:AN720917 IM720917:IP720917 SI720917:SL720917 ACE720917:ACH720917 AMA720917:AMD720917 AVW720917:AVZ720917 BFS720917:BFV720917 BPO720917:BPR720917 BZK720917:BZN720917 CJG720917:CJJ720917 CTC720917:CTF720917 DCY720917:DDB720917 DMU720917:DMX720917 DWQ720917:DWT720917 EGM720917:EGP720917 EQI720917:EQL720917 FAE720917:FAH720917 FKA720917:FKD720917 FTW720917:FTZ720917 GDS720917:GDV720917 GNO720917:GNR720917 GXK720917:GXN720917 HHG720917:HHJ720917 HRC720917:HRF720917 IAY720917:IBB720917 IKU720917:IKX720917 IUQ720917:IUT720917 JEM720917:JEP720917 JOI720917:JOL720917 JYE720917:JYH720917 KIA720917:KID720917 KRW720917:KRZ720917 LBS720917:LBV720917 LLO720917:LLR720917 LVK720917:LVN720917 MFG720917:MFJ720917 MPC720917:MPF720917 MYY720917:MZB720917 NIU720917:NIX720917 NSQ720917:NST720917 OCM720917:OCP720917 OMI720917:OML720917 OWE720917:OWH720917 PGA720917:PGD720917 PPW720917:PPZ720917 PZS720917:PZV720917 QJO720917:QJR720917 QTK720917:QTN720917 RDG720917:RDJ720917 RNC720917:RNF720917 RWY720917:RXB720917 SGU720917:SGX720917 SQQ720917:SQT720917 TAM720917:TAP720917 TKI720917:TKL720917 TUE720917:TUH720917 UEA720917:UED720917 UNW720917:UNZ720917 UXS720917:UXV720917 VHO720917:VHR720917 VRK720917:VRN720917 WBG720917:WBJ720917 WLC720917:WLF720917 WUY720917:WVB720917 AK786453:AN786453 IM786453:IP786453 SI786453:SL786453 ACE786453:ACH786453 AMA786453:AMD786453 AVW786453:AVZ786453 BFS786453:BFV786453 BPO786453:BPR786453 BZK786453:BZN786453 CJG786453:CJJ786453 CTC786453:CTF786453 DCY786453:DDB786453 DMU786453:DMX786453 DWQ786453:DWT786453 EGM786453:EGP786453 EQI786453:EQL786453 FAE786453:FAH786453 FKA786453:FKD786453 FTW786453:FTZ786453 GDS786453:GDV786453 GNO786453:GNR786453 GXK786453:GXN786453 HHG786453:HHJ786453 HRC786453:HRF786453 IAY786453:IBB786453 IKU786453:IKX786453 IUQ786453:IUT786453 JEM786453:JEP786453 JOI786453:JOL786453 JYE786453:JYH786453 KIA786453:KID786453 KRW786453:KRZ786453 LBS786453:LBV786453 LLO786453:LLR786453 LVK786453:LVN786453 MFG786453:MFJ786453 MPC786453:MPF786453 MYY786453:MZB786453 NIU786453:NIX786453 NSQ786453:NST786453 OCM786453:OCP786453 OMI786453:OML786453 OWE786453:OWH786453 PGA786453:PGD786453 PPW786453:PPZ786453 PZS786453:PZV786453 QJO786453:QJR786453 QTK786453:QTN786453 RDG786453:RDJ786453 RNC786453:RNF786453 RWY786453:RXB786453 SGU786453:SGX786453 SQQ786453:SQT786453 TAM786453:TAP786453 TKI786453:TKL786453 TUE786453:TUH786453 UEA786453:UED786453 UNW786453:UNZ786453 UXS786453:UXV786453 VHO786453:VHR786453 VRK786453:VRN786453 WBG786453:WBJ786453 WLC786453:WLF786453 WUY786453:WVB786453 AK851989:AN851989 IM851989:IP851989 SI851989:SL851989 ACE851989:ACH851989 AMA851989:AMD851989 AVW851989:AVZ851989 BFS851989:BFV851989 BPO851989:BPR851989 BZK851989:BZN851989 CJG851989:CJJ851989 CTC851989:CTF851989 DCY851989:DDB851989 DMU851989:DMX851989 DWQ851989:DWT851989 EGM851989:EGP851989 EQI851989:EQL851989 FAE851989:FAH851989 FKA851989:FKD851989 FTW851989:FTZ851989 GDS851989:GDV851989 GNO851989:GNR851989 GXK851989:GXN851989 HHG851989:HHJ851989 HRC851989:HRF851989 IAY851989:IBB851989 IKU851989:IKX851989 IUQ851989:IUT851989 JEM851989:JEP851989 JOI851989:JOL851989 JYE851989:JYH851989 KIA851989:KID851989 KRW851989:KRZ851989 LBS851989:LBV851989 LLO851989:LLR851989 LVK851989:LVN851989 MFG851989:MFJ851989 MPC851989:MPF851989 MYY851989:MZB851989 NIU851989:NIX851989 NSQ851989:NST851989 OCM851989:OCP851989 OMI851989:OML851989 OWE851989:OWH851989 PGA851989:PGD851989 PPW851989:PPZ851989 PZS851989:PZV851989 QJO851989:QJR851989 QTK851989:QTN851989 RDG851989:RDJ851989 RNC851989:RNF851989 RWY851989:RXB851989 SGU851989:SGX851989 SQQ851989:SQT851989 TAM851989:TAP851989 TKI851989:TKL851989 TUE851989:TUH851989 UEA851989:UED851989 UNW851989:UNZ851989 UXS851989:UXV851989 VHO851989:VHR851989 VRK851989:VRN851989 WBG851989:WBJ851989 WLC851989:WLF851989 WUY851989:WVB851989 AK917525:AN917525 IM917525:IP917525 SI917525:SL917525 ACE917525:ACH917525 AMA917525:AMD917525 AVW917525:AVZ917525 BFS917525:BFV917525 BPO917525:BPR917525 BZK917525:BZN917525 CJG917525:CJJ917525 CTC917525:CTF917525 DCY917525:DDB917525 DMU917525:DMX917525 DWQ917525:DWT917525 EGM917525:EGP917525 EQI917525:EQL917525 FAE917525:FAH917525 FKA917525:FKD917525 FTW917525:FTZ917525 GDS917525:GDV917525 GNO917525:GNR917525 GXK917525:GXN917525 HHG917525:HHJ917525 HRC917525:HRF917525 IAY917525:IBB917525 IKU917525:IKX917525 IUQ917525:IUT917525 JEM917525:JEP917525 JOI917525:JOL917525 JYE917525:JYH917525 KIA917525:KID917525 KRW917525:KRZ917525 LBS917525:LBV917525 LLO917525:LLR917525 LVK917525:LVN917525 MFG917525:MFJ917525 MPC917525:MPF917525 MYY917525:MZB917525 NIU917525:NIX917525 NSQ917525:NST917525 OCM917525:OCP917525 OMI917525:OML917525 OWE917525:OWH917525 PGA917525:PGD917525 PPW917525:PPZ917525 PZS917525:PZV917525 QJO917525:QJR917525 QTK917525:QTN917525 RDG917525:RDJ917525 RNC917525:RNF917525 RWY917525:RXB917525 SGU917525:SGX917525 SQQ917525:SQT917525 TAM917525:TAP917525 TKI917525:TKL917525 TUE917525:TUH917525 UEA917525:UED917525 UNW917525:UNZ917525 UXS917525:UXV917525 VHO917525:VHR917525 VRK917525:VRN917525 WBG917525:WBJ917525 WLC917525:WLF917525 WUY917525:WVB917525" xr:uid="{66B5B723-262E-47E0-A8D6-E9817CA62E30}">
      <formula1>"○"</formula1>
    </dataValidation>
    <dataValidation type="list" allowBlank="1" showInputMessage="1" showErrorMessage="1" sqref="AT65558:AW65558 IV65558:IY65558 SR65558:SU65558 ACN65558:ACQ65558 AMJ65558:AMM65558 AWF65558:AWI65558 BGB65558:BGE65558 BPX65558:BQA65558 BZT65558:BZW65558 CJP65558:CJS65558 CTL65558:CTO65558 DDH65558:DDK65558 DND65558:DNG65558 DWZ65558:DXC65558 EGV65558:EGY65558 EQR65558:EQU65558 FAN65558:FAQ65558 FKJ65558:FKM65558 FUF65558:FUI65558 GEB65558:GEE65558 GNX65558:GOA65558 GXT65558:GXW65558 HHP65558:HHS65558 HRL65558:HRO65558 IBH65558:IBK65558 ILD65558:ILG65558 IUZ65558:IVC65558 JEV65558:JEY65558 JOR65558:JOU65558 JYN65558:JYQ65558 KIJ65558:KIM65558 KSF65558:KSI65558 LCB65558:LCE65558 LLX65558:LMA65558 LVT65558:LVW65558 MFP65558:MFS65558 MPL65558:MPO65558 MZH65558:MZK65558 NJD65558:NJG65558 NSZ65558:NTC65558 OCV65558:OCY65558 OMR65558:OMU65558 OWN65558:OWQ65558 PGJ65558:PGM65558 PQF65558:PQI65558 QAB65558:QAE65558 QJX65558:QKA65558 QTT65558:QTW65558 RDP65558:RDS65558 RNL65558:RNO65558 RXH65558:RXK65558 SHD65558:SHG65558 SQZ65558:SRC65558 TAV65558:TAY65558 TKR65558:TKU65558 TUN65558:TUQ65558 UEJ65558:UEM65558 UOF65558:UOI65558 UYB65558:UYE65558 VHX65558:VIA65558 VRT65558:VRW65558 WBP65558:WBS65558 WLL65558:WLO65558 WVH65558:WVK65558 AT131094:AW131094 IV131094:IY131094 SR131094:SU131094 ACN131094:ACQ131094 AMJ131094:AMM131094 AWF131094:AWI131094 BGB131094:BGE131094 BPX131094:BQA131094 BZT131094:BZW131094 CJP131094:CJS131094 CTL131094:CTO131094 DDH131094:DDK131094 DND131094:DNG131094 DWZ131094:DXC131094 EGV131094:EGY131094 EQR131094:EQU131094 FAN131094:FAQ131094 FKJ131094:FKM131094 FUF131094:FUI131094 GEB131094:GEE131094 GNX131094:GOA131094 GXT131094:GXW131094 HHP131094:HHS131094 HRL131094:HRO131094 IBH131094:IBK131094 ILD131094:ILG131094 IUZ131094:IVC131094 JEV131094:JEY131094 JOR131094:JOU131094 JYN131094:JYQ131094 KIJ131094:KIM131094 KSF131094:KSI131094 LCB131094:LCE131094 LLX131094:LMA131094 LVT131094:LVW131094 MFP131094:MFS131094 MPL131094:MPO131094 MZH131094:MZK131094 NJD131094:NJG131094 NSZ131094:NTC131094 OCV131094:OCY131094 OMR131094:OMU131094 OWN131094:OWQ131094 PGJ131094:PGM131094 PQF131094:PQI131094 QAB131094:QAE131094 QJX131094:QKA131094 QTT131094:QTW131094 RDP131094:RDS131094 RNL131094:RNO131094 RXH131094:RXK131094 SHD131094:SHG131094 SQZ131094:SRC131094 TAV131094:TAY131094 TKR131094:TKU131094 TUN131094:TUQ131094 UEJ131094:UEM131094 UOF131094:UOI131094 UYB131094:UYE131094 VHX131094:VIA131094 VRT131094:VRW131094 WBP131094:WBS131094 WLL131094:WLO131094 WVH131094:WVK131094 AT196630:AW196630 IV196630:IY196630 SR196630:SU196630 ACN196630:ACQ196630 AMJ196630:AMM196630 AWF196630:AWI196630 BGB196630:BGE196630 BPX196630:BQA196630 BZT196630:BZW196630 CJP196630:CJS196630 CTL196630:CTO196630 DDH196630:DDK196630 DND196630:DNG196630 DWZ196630:DXC196630 EGV196630:EGY196630 EQR196630:EQU196630 FAN196630:FAQ196630 FKJ196630:FKM196630 FUF196630:FUI196630 GEB196630:GEE196630 GNX196630:GOA196630 GXT196630:GXW196630 HHP196630:HHS196630 HRL196630:HRO196630 IBH196630:IBK196630 ILD196630:ILG196630 IUZ196630:IVC196630 JEV196630:JEY196630 JOR196630:JOU196630 JYN196630:JYQ196630 KIJ196630:KIM196630 KSF196630:KSI196630 LCB196630:LCE196630 LLX196630:LMA196630 LVT196630:LVW196630 MFP196630:MFS196630 MPL196630:MPO196630 MZH196630:MZK196630 NJD196630:NJG196630 NSZ196630:NTC196630 OCV196630:OCY196630 OMR196630:OMU196630 OWN196630:OWQ196630 PGJ196630:PGM196630 PQF196630:PQI196630 QAB196630:QAE196630 QJX196630:QKA196630 QTT196630:QTW196630 RDP196630:RDS196630 RNL196630:RNO196630 RXH196630:RXK196630 SHD196630:SHG196630 SQZ196630:SRC196630 TAV196630:TAY196630 TKR196630:TKU196630 TUN196630:TUQ196630 UEJ196630:UEM196630 UOF196630:UOI196630 UYB196630:UYE196630 VHX196630:VIA196630 VRT196630:VRW196630 WBP196630:WBS196630 WLL196630:WLO196630 WVH196630:WVK196630 AT262166:AW262166 IV262166:IY262166 SR262166:SU262166 ACN262166:ACQ262166 AMJ262166:AMM262166 AWF262166:AWI262166 BGB262166:BGE262166 BPX262166:BQA262166 BZT262166:BZW262166 CJP262166:CJS262166 CTL262166:CTO262166 DDH262166:DDK262166 DND262166:DNG262166 DWZ262166:DXC262166 EGV262166:EGY262166 EQR262166:EQU262166 FAN262166:FAQ262166 FKJ262166:FKM262166 FUF262166:FUI262166 GEB262166:GEE262166 GNX262166:GOA262166 GXT262166:GXW262166 HHP262166:HHS262166 HRL262166:HRO262166 IBH262166:IBK262166 ILD262166:ILG262166 IUZ262166:IVC262166 JEV262166:JEY262166 JOR262166:JOU262166 JYN262166:JYQ262166 KIJ262166:KIM262166 KSF262166:KSI262166 LCB262166:LCE262166 LLX262166:LMA262166 LVT262166:LVW262166 MFP262166:MFS262166 MPL262166:MPO262166 MZH262166:MZK262166 NJD262166:NJG262166 NSZ262166:NTC262166 OCV262166:OCY262166 OMR262166:OMU262166 OWN262166:OWQ262166 PGJ262166:PGM262166 PQF262166:PQI262166 QAB262166:QAE262166 QJX262166:QKA262166 QTT262166:QTW262166 RDP262166:RDS262166 RNL262166:RNO262166 RXH262166:RXK262166 SHD262166:SHG262166 SQZ262166:SRC262166 TAV262166:TAY262166 TKR262166:TKU262166 TUN262166:TUQ262166 UEJ262166:UEM262166 UOF262166:UOI262166 UYB262166:UYE262166 VHX262166:VIA262166 VRT262166:VRW262166 WBP262166:WBS262166 WLL262166:WLO262166 WVH262166:WVK262166 AT327702:AW327702 IV327702:IY327702 SR327702:SU327702 ACN327702:ACQ327702 AMJ327702:AMM327702 AWF327702:AWI327702 BGB327702:BGE327702 BPX327702:BQA327702 BZT327702:BZW327702 CJP327702:CJS327702 CTL327702:CTO327702 DDH327702:DDK327702 DND327702:DNG327702 DWZ327702:DXC327702 EGV327702:EGY327702 EQR327702:EQU327702 FAN327702:FAQ327702 FKJ327702:FKM327702 FUF327702:FUI327702 GEB327702:GEE327702 GNX327702:GOA327702 GXT327702:GXW327702 HHP327702:HHS327702 HRL327702:HRO327702 IBH327702:IBK327702 ILD327702:ILG327702 IUZ327702:IVC327702 JEV327702:JEY327702 JOR327702:JOU327702 JYN327702:JYQ327702 KIJ327702:KIM327702 KSF327702:KSI327702 LCB327702:LCE327702 LLX327702:LMA327702 LVT327702:LVW327702 MFP327702:MFS327702 MPL327702:MPO327702 MZH327702:MZK327702 NJD327702:NJG327702 NSZ327702:NTC327702 OCV327702:OCY327702 OMR327702:OMU327702 OWN327702:OWQ327702 PGJ327702:PGM327702 PQF327702:PQI327702 QAB327702:QAE327702 QJX327702:QKA327702 QTT327702:QTW327702 RDP327702:RDS327702 RNL327702:RNO327702 RXH327702:RXK327702 SHD327702:SHG327702 SQZ327702:SRC327702 TAV327702:TAY327702 TKR327702:TKU327702 TUN327702:TUQ327702 UEJ327702:UEM327702 UOF327702:UOI327702 UYB327702:UYE327702 VHX327702:VIA327702 VRT327702:VRW327702 WBP327702:WBS327702 WLL327702:WLO327702 WVH327702:WVK327702 AT393238:AW393238 IV393238:IY393238 SR393238:SU393238 ACN393238:ACQ393238 AMJ393238:AMM393238 AWF393238:AWI393238 BGB393238:BGE393238 BPX393238:BQA393238 BZT393238:BZW393238 CJP393238:CJS393238 CTL393238:CTO393238 DDH393238:DDK393238 DND393238:DNG393238 DWZ393238:DXC393238 EGV393238:EGY393238 EQR393238:EQU393238 FAN393238:FAQ393238 FKJ393238:FKM393238 FUF393238:FUI393238 GEB393238:GEE393238 GNX393238:GOA393238 GXT393238:GXW393238 HHP393238:HHS393238 HRL393238:HRO393238 IBH393238:IBK393238 ILD393238:ILG393238 IUZ393238:IVC393238 JEV393238:JEY393238 JOR393238:JOU393238 JYN393238:JYQ393238 KIJ393238:KIM393238 KSF393238:KSI393238 LCB393238:LCE393238 LLX393238:LMA393238 LVT393238:LVW393238 MFP393238:MFS393238 MPL393238:MPO393238 MZH393238:MZK393238 NJD393238:NJG393238 NSZ393238:NTC393238 OCV393238:OCY393238 OMR393238:OMU393238 OWN393238:OWQ393238 PGJ393238:PGM393238 PQF393238:PQI393238 QAB393238:QAE393238 QJX393238:QKA393238 QTT393238:QTW393238 RDP393238:RDS393238 RNL393238:RNO393238 RXH393238:RXK393238 SHD393238:SHG393238 SQZ393238:SRC393238 TAV393238:TAY393238 TKR393238:TKU393238 TUN393238:TUQ393238 UEJ393238:UEM393238 UOF393238:UOI393238 UYB393238:UYE393238 VHX393238:VIA393238 VRT393238:VRW393238 WBP393238:WBS393238 WLL393238:WLO393238 WVH393238:WVK393238 AT458774:AW458774 IV458774:IY458774 SR458774:SU458774 ACN458774:ACQ458774 AMJ458774:AMM458774 AWF458774:AWI458774 BGB458774:BGE458774 BPX458774:BQA458774 BZT458774:BZW458774 CJP458774:CJS458774 CTL458774:CTO458774 DDH458774:DDK458774 DND458774:DNG458774 DWZ458774:DXC458774 EGV458774:EGY458774 EQR458774:EQU458774 FAN458774:FAQ458774 FKJ458774:FKM458774 FUF458774:FUI458774 GEB458774:GEE458774 GNX458774:GOA458774 GXT458774:GXW458774 HHP458774:HHS458774 HRL458774:HRO458774 IBH458774:IBK458774 ILD458774:ILG458774 IUZ458774:IVC458774 JEV458774:JEY458774 JOR458774:JOU458774 JYN458774:JYQ458774 KIJ458774:KIM458774 KSF458774:KSI458774 LCB458774:LCE458774 LLX458774:LMA458774 LVT458774:LVW458774 MFP458774:MFS458774 MPL458774:MPO458774 MZH458774:MZK458774 NJD458774:NJG458774 NSZ458774:NTC458774 OCV458774:OCY458774 OMR458774:OMU458774 OWN458774:OWQ458774 PGJ458774:PGM458774 PQF458774:PQI458774 QAB458774:QAE458774 QJX458774:QKA458774 QTT458774:QTW458774 RDP458774:RDS458774 RNL458774:RNO458774 RXH458774:RXK458774 SHD458774:SHG458774 SQZ458774:SRC458774 TAV458774:TAY458774 TKR458774:TKU458774 TUN458774:TUQ458774 UEJ458774:UEM458774 UOF458774:UOI458774 UYB458774:UYE458774 VHX458774:VIA458774 VRT458774:VRW458774 WBP458774:WBS458774 WLL458774:WLO458774 WVH458774:WVK458774 AT524310:AW524310 IV524310:IY524310 SR524310:SU524310 ACN524310:ACQ524310 AMJ524310:AMM524310 AWF524310:AWI524310 BGB524310:BGE524310 BPX524310:BQA524310 BZT524310:BZW524310 CJP524310:CJS524310 CTL524310:CTO524310 DDH524310:DDK524310 DND524310:DNG524310 DWZ524310:DXC524310 EGV524310:EGY524310 EQR524310:EQU524310 FAN524310:FAQ524310 FKJ524310:FKM524310 FUF524310:FUI524310 GEB524310:GEE524310 GNX524310:GOA524310 GXT524310:GXW524310 HHP524310:HHS524310 HRL524310:HRO524310 IBH524310:IBK524310 ILD524310:ILG524310 IUZ524310:IVC524310 JEV524310:JEY524310 JOR524310:JOU524310 JYN524310:JYQ524310 KIJ524310:KIM524310 KSF524310:KSI524310 LCB524310:LCE524310 LLX524310:LMA524310 LVT524310:LVW524310 MFP524310:MFS524310 MPL524310:MPO524310 MZH524310:MZK524310 NJD524310:NJG524310 NSZ524310:NTC524310 OCV524310:OCY524310 OMR524310:OMU524310 OWN524310:OWQ524310 PGJ524310:PGM524310 PQF524310:PQI524310 QAB524310:QAE524310 QJX524310:QKA524310 QTT524310:QTW524310 RDP524310:RDS524310 RNL524310:RNO524310 RXH524310:RXK524310 SHD524310:SHG524310 SQZ524310:SRC524310 TAV524310:TAY524310 TKR524310:TKU524310 TUN524310:TUQ524310 UEJ524310:UEM524310 UOF524310:UOI524310 UYB524310:UYE524310 VHX524310:VIA524310 VRT524310:VRW524310 WBP524310:WBS524310 WLL524310:WLO524310 WVH524310:WVK524310 AT589846:AW589846 IV589846:IY589846 SR589846:SU589846 ACN589846:ACQ589846 AMJ589846:AMM589846 AWF589846:AWI589846 BGB589846:BGE589846 BPX589846:BQA589846 BZT589846:BZW589846 CJP589846:CJS589846 CTL589846:CTO589846 DDH589846:DDK589846 DND589846:DNG589846 DWZ589846:DXC589846 EGV589846:EGY589846 EQR589846:EQU589846 FAN589846:FAQ589846 FKJ589846:FKM589846 FUF589846:FUI589846 GEB589846:GEE589846 GNX589846:GOA589846 GXT589846:GXW589846 HHP589846:HHS589846 HRL589846:HRO589846 IBH589846:IBK589846 ILD589846:ILG589846 IUZ589846:IVC589846 JEV589846:JEY589846 JOR589846:JOU589846 JYN589846:JYQ589846 KIJ589846:KIM589846 KSF589846:KSI589846 LCB589846:LCE589846 LLX589846:LMA589846 LVT589846:LVW589846 MFP589846:MFS589846 MPL589846:MPO589846 MZH589846:MZK589846 NJD589846:NJG589846 NSZ589846:NTC589846 OCV589846:OCY589846 OMR589846:OMU589846 OWN589846:OWQ589846 PGJ589846:PGM589846 PQF589846:PQI589846 QAB589846:QAE589846 QJX589846:QKA589846 QTT589846:QTW589846 RDP589846:RDS589846 RNL589846:RNO589846 RXH589846:RXK589846 SHD589846:SHG589846 SQZ589846:SRC589846 TAV589846:TAY589846 TKR589846:TKU589846 TUN589846:TUQ589846 UEJ589846:UEM589846 UOF589846:UOI589846 UYB589846:UYE589846 VHX589846:VIA589846 VRT589846:VRW589846 WBP589846:WBS589846 WLL589846:WLO589846 WVH589846:WVK589846 AT655382:AW655382 IV655382:IY655382 SR655382:SU655382 ACN655382:ACQ655382 AMJ655382:AMM655382 AWF655382:AWI655382 BGB655382:BGE655382 BPX655382:BQA655382 BZT655382:BZW655382 CJP655382:CJS655382 CTL655382:CTO655382 DDH655382:DDK655382 DND655382:DNG655382 DWZ655382:DXC655382 EGV655382:EGY655382 EQR655382:EQU655382 FAN655382:FAQ655382 FKJ655382:FKM655382 FUF655382:FUI655382 GEB655382:GEE655382 GNX655382:GOA655382 GXT655382:GXW655382 HHP655382:HHS655382 HRL655382:HRO655382 IBH655382:IBK655382 ILD655382:ILG655382 IUZ655382:IVC655382 JEV655382:JEY655382 JOR655382:JOU655382 JYN655382:JYQ655382 KIJ655382:KIM655382 KSF655382:KSI655382 LCB655382:LCE655382 LLX655382:LMA655382 LVT655382:LVW655382 MFP655382:MFS655382 MPL655382:MPO655382 MZH655382:MZK655382 NJD655382:NJG655382 NSZ655382:NTC655382 OCV655382:OCY655382 OMR655382:OMU655382 OWN655382:OWQ655382 PGJ655382:PGM655382 PQF655382:PQI655382 QAB655382:QAE655382 QJX655382:QKA655382 QTT655382:QTW655382 RDP655382:RDS655382 RNL655382:RNO655382 RXH655382:RXK655382 SHD655382:SHG655382 SQZ655382:SRC655382 TAV655382:TAY655382 TKR655382:TKU655382 TUN655382:TUQ655382 UEJ655382:UEM655382 UOF655382:UOI655382 UYB655382:UYE655382 VHX655382:VIA655382 VRT655382:VRW655382 WBP655382:WBS655382 WLL655382:WLO655382 WVH655382:WVK655382 AT720918:AW720918 IV720918:IY720918 SR720918:SU720918 ACN720918:ACQ720918 AMJ720918:AMM720918 AWF720918:AWI720918 BGB720918:BGE720918 BPX720918:BQA720918 BZT720918:BZW720918 CJP720918:CJS720918 CTL720918:CTO720918 DDH720918:DDK720918 DND720918:DNG720918 DWZ720918:DXC720918 EGV720918:EGY720918 EQR720918:EQU720918 FAN720918:FAQ720918 FKJ720918:FKM720918 FUF720918:FUI720918 GEB720918:GEE720918 GNX720918:GOA720918 GXT720918:GXW720918 HHP720918:HHS720918 HRL720918:HRO720918 IBH720918:IBK720918 ILD720918:ILG720918 IUZ720918:IVC720918 JEV720918:JEY720918 JOR720918:JOU720918 JYN720918:JYQ720918 KIJ720918:KIM720918 KSF720918:KSI720918 LCB720918:LCE720918 LLX720918:LMA720918 LVT720918:LVW720918 MFP720918:MFS720918 MPL720918:MPO720918 MZH720918:MZK720918 NJD720918:NJG720918 NSZ720918:NTC720918 OCV720918:OCY720918 OMR720918:OMU720918 OWN720918:OWQ720918 PGJ720918:PGM720918 PQF720918:PQI720918 QAB720918:QAE720918 QJX720918:QKA720918 QTT720918:QTW720918 RDP720918:RDS720918 RNL720918:RNO720918 RXH720918:RXK720918 SHD720918:SHG720918 SQZ720918:SRC720918 TAV720918:TAY720918 TKR720918:TKU720918 TUN720918:TUQ720918 UEJ720918:UEM720918 UOF720918:UOI720918 UYB720918:UYE720918 VHX720918:VIA720918 VRT720918:VRW720918 WBP720918:WBS720918 WLL720918:WLO720918 WVH720918:WVK720918 AT786454:AW786454 IV786454:IY786454 SR786454:SU786454 ACN786454:ACQ786454 AMJ786454:AMM786454 AWF786454:AWI786454 BGB786454:BGE786454 BPX786454:BQA786454 BZT786454:BZW786454 CJP786454:CJS786454 CTL786454:CTO786454 DDH786454:DDK786454 DND786454:DNG786454 DWZ786454:DXC786454 EGV786454:EGY786454 EQR786454:EQU786454 FAN786454:FAQ786454 FKJ786454:FKM786454 FUF786454:FUI786454 GEB786454:GEE786454 GNX786454:GOA786454 GXT786454:GXW786454 HHP786454:HHS786454 HRL786454:HRO786454 IBH786454:IBK786454 ILD786454:ILG786454 IUZ786454:IVC786454 JEV786454:JEY786454 JOR786454:JOU786454 JYN786454:JYQ786454 KIJ786454:KIM786454 KSF786454:KSI786454 LCB786454:LCE786454 LLX786454:LMA786454 LVT786454:LVW786454 MFP786454:MFS786454 MPL786454:MPO786454 MZH786454:MZK786454 NJD786454:NJG786454 NSZ786454:NTC786454 OCV786454:OCY786454 OMR786454:OMU786454 OWN786454:OWQ786454 PGJ786454:PGM786454 PQF786454:PQI786454 QAB786454:QAE786454 QJX786454:QKA786454 QTT786454:QTW786454 RDP786454:RDS786454 RNL786454:RNO786454 RXH786454:RXK786454 SHD786454:SHG786454 SQZ786454:SRC786454 TAV786454:TAY786454 TKR786454:TKU786454 TUN786454:TUQ786454 UEJ786454:UEM786454 UOF786454:UOI786454 UYB786454:UYE786454 VHX786454:VIA786454 VRT786454:VRW786454 WBP786454:WBS786454 WLL786454:WLO786454 WVH786454:WVK786454 AT851990:AW851990 IV851990:IY851990 SR851990:SU851990 ACN851990:ACQ851990 AMJ851990:AMM851990 AWF851990:AWI851990 BGB851990:BGE851990 BPX851990:BQA851990 BZT851990:BZW851990 CJP851990:CJS851990 CTL851990:CTO851990 DDH851990:DDK851990 DND851990:DNG851990 DWZ851990:DXC851990 EGV851990:EGY851990 EQR851990:EQU851990 FAN851990:FAQ851990 FKJ851990:FKM851990 FUF851990:FUI851990 GEB851990:GEE851990 GNX851990:GOA851990 GXT851990:GXW851990 HHP851990:HHS851990 HRL851990:HRO851990 IBH851990:IBK851990 ILD851990:ILG851990 IUZ851990:IVC851990 JEV851990:JEY851990 JOR851990:JOU851990 JYN851990:JYQ851990 KIJ851990:KIM851990 KSF851990:KSI851990 LCB851990:LCE851990 LLX851990:LMA851990 LVT851990:LVW851990 MFP851990:MFS851990 MPL851990:MPO851990 MZH851990:MZK851990 NJD851990:NJG851990 NSZ851990:NTC851990 OCV851990:OCY851990 OMR851990:OMU851990 OWN851990:OWQ851990 PGJ851990:PGM851990 PQF851990:PQI851990 QAB851990:QAE851990 QJX851990:QKA851990 QTT851990:QTW851990 RDP851990:RDS851990 RNL851990:RNO851990 RXH851990:RXK851990 SHD851990:SHG851990 SQZ851990:SRC851990 TAV851990:TAY851990 TKR851990:TKU851990 TUN851990:TUQ851990 UEJ851990:UEM851990 UOF851990:UOI851990 UYB851990:UYE851990 VHX851990:VIA851990 VRT851990:VRW851990 WBP851990:WBS851990 WLL851990:WLO851990 WVH851990:WVK851990 AT917526:AW917526 IV917526:IY917526 SR917526:SU917526 ACN917526:ACQ917526 AMJ917526:AMM917526 AWF917526:AWI917526 BGB917526:BGE917526 BPX917526:BQA917526 BZT917526:BZW917526 CJP917526:CJS917526 CTL917526:CTO917526 DDH917526:DDK917526 DND917526:DNG917526 DWZ917526:DXC917526 EGV917526:EGY917526 EQR917526:EQU917526 FAN917526:FAQ917526 FKJ917526:FKM917526 FUF917526:FUI917526 GEB917526:GEE917526 GNX917526:GOA917526 GXT917526:GXW917526 HHP917526:HHS917526 HRL917526:HRO917526 IBH917526:IBK917526 ILD917526:ILG917526 IUZ917526:IVC917526 JEV917526:JEY917526 JOR917526:JOU917526 JYN917526:JYQ917526 KIJ917526:KIM917526 KSF917526:KSI917526 LCB917526:LCE917526 LLX917526:LMA917526 LVT917526:LVW917526 MFP917526:MFS917526 MPL917526:MPO917526 MZH917526:MZK917526 NJD917526:NJG917526 NSZ917526:NTC917526 OCV917526:OCY917526 OMR917526:OMU917526 OWN917526:OWQ917526 PGJ917526:PGM917526 PQF917526:PQI917526 QAB917526:QAE917526 QJX917526:QKA917526 QTT917526:QTW917526 RDP917526:RDS917526 RNL917526:RNO917526 RXH917526:RXK917526 SHD917526:SHG917526 SQZ917526:SRC917526 TAV917526:TAY917526 TKR917526:TKU917526 TUN917526:TUQ917526 UEJ917526:UEM917526 UOF917526:UOI917526 UYB917526:UYE917526 VHX917526:VIA917526 VRT917526:VRW917526 WBP917526:WBS917526 WLL917526:WLO917526 WVH917526:WVK917526 AT983062:AW983062 IV983062:IY983062 SR983062:SU983062 ACN983062:ACQ983062 AMJ983062:AMM983062 AWF983062:AWI983062 BGB983062:BGE983062 BPX983062:BQA983062 BZT983062:BZW983062 CJP983062:CJS983062 CTL983062:CTO983062 DDH983062:DDK983062 DND983062:DNG983062 DWZ983062:DXC983062 EGV983062:EGY983062 EQR983062:EQU983062 FAN983062:FAQ983062 FKJ983062:FKM983062 FUF983062:FUI983062 GEB983062:GEE983062 GNX983062:GOA983062 GXT983062:GXW983062 HHP983062:HHS983062 HRL983062:HRO983062 IBH983062:IBK983062 ILD983062:ILG983062 IUZ983062:IVC983062 JEV983062:JEY983062 JOR983062:JOU983062 JYN983062:JYQ983062 KIJ983062:KIM983062 KSF983062:KSI983062 LCB983062:LCE983062 LLX983062:LMA983062 LVT983062:LVW983062 MFP983062:MFS983062 MPL983062:MPO983062 MZH983062:MZK983062 NJD983062:NJG983062 NSZ983062:NTC983062 OCV983062:OCY983062 OMR983062:OMU983062 OWN983062:OWQ983062 PGJ983062:PGM983062 PQF983062:PQI983062 QAB983062:QAE983062 QJX983062:QKA983062 QTT983062:QTW983062 RDP983062:RDS983062 RNL983062:RNO983062 RXH983062:RXK983062 SHD983062:SHG983062 SQZ983062:SRC983062 TAV983062:TAY983062 TKR983062:TKU983062 TUN983062:TUQ983062 UEJ983062:UEM983062 UOF983062:UOI983062 UYB983062:UYE983062 VHX983062:VIA983062 VRT983062:VRW983062 WBP983062:WBS983062 WLL983062:WLO983062 WVH983062:WVK983062 AO983061:AR983061 IQ983061:IT983061 SM983061:SP983061 ACI983061:ACL983061 AME983061:AMH983061 AWA983061:AWD983061 BFW983061:BFZ983061 BPS983061:BPV983061 BZO983061:BZR983061 CJK983061:CJN983061 CTG983061:CTJ983061 DDC983061:DDF983061 DMY983061:DNB983061 DWU983061:DWX983061 EGQ983061:EGT983061 EQM983061:EQP983061 FAI983061:FAL983061 FKE983061:FKH983061 FUA983061:FUD983061 GDW983061:GDZ983061 GNS983061:GNV983061 GXO983061:GXR983061 HHK983061:HHN983061 HRG983061:HRJ983061 IBC983061:IBF983061 IKY983061:ILB983061 IUU983061:IUX983061 JEQ983061:JET983061 JOM983061:JOP983061 JYI983061:JYL983061 KIE983061:KIH983061 KSA983061:KSD983061 LBW983061:LBZ983061 LLS983061:LLV983061 LVO983061:LVR983061 MFK983061:MFN983061 MPG983061:MPJ983061 MZC983061:MZF983061 NIY983061:NJB983061 NSU983061:NSX983061 OCQ983061:OCT983061 OMM983061:OMP983061 OWI983061:OWL983061 PGE983061:PGH983061 PQA983061:PQD983061 PZW983061:PZZ983061 QJS983061:QJV983061 QTO983061:QTR983061 RDK983061:RDN983061 RNG983061:RNJ983061 RXC983061:RXF983061 SGY983061:SHB983061 SQU983061:SQX983061 TAQ983061:TAT983061 TKM983061:TKP983061 TUI983061:TUL983061 UEE983061:UEH983061 UOA983061:UOD983061 UXW983061:UXZ983061 VHS983061:VHV983061 VRO983061:VRR983061 WBK983061:WBN983061 WLG983061:WLJ983061 WVC983061:WVF983061 AO65557:AR65557 IQ65557:IT65557 SM65557:SP65557 ACI65557:ACL65557 AME65557:AMH65557 AWA65557:AWD65557 BFW65557:BFZ65557 BPS65557:BPV65557 BZO65557:BZR65557 CJK65557:CJN65557 CTG65557:CTJ65557 DDC65557:DDF65557 DMY65557:DNB65557 DWU65557:DWX65557 EGQ65557:EGT65557 EQM65557:EQP65557 FAI65557:FAL65557 FKE65557:FKH65557 FUA65557:FUD65557 GDW65557:GDZ65557 GNS65557:GNV65557 GXO65557:GXR65557 HHK65557:HHN65557 HRG65557:HRJ65557 IBC65557:IBF65557 IKY65557:ILB65557 IUU65557:IUX65557 JEQ65557:JET65557 JOM65557:JOP65557 JYI65557:JYL65557 KIE65557:KIH65557 KSA65557:KSD65557 LBW65557:LBZ65557 LLS65557:LLV65557 LVO65557:LVR65557 MFK65557:MFN65557 MPG65557:MPJ65557 MZC65557:MZF65557 NIY65557:NJB65557 NSU65557:NSX65557 OCQ65557:OCT65557 OMM65557:OMP65557 OWI65557:OWL65557 PGE65557:PGH65557 PQA65557:PQD65557 PZW65557:PZZ65557 QJS65557:QJV65557 QTO65557:QTR65557 RDK65557:RDN65557 RNG65557:RNJ65557 RXC65557:RXF65557 SGY65557:SHB65557 SQU65557:SQX65557 TAQ65557:TAT65557 TKM65557:TKP65557 TUI65557:TUL65557 UEE65557:UEH65557 UOA65557:UOD65557 UXW65557:UXZ65557 VHS65557:VHV65557 VRO65557:VRR65557 WBK65557:WBN65557 WLG65557:WLJ65557 WVC65557:WVF65557 AO131093:AR131093 IQ131093:IT131093 SM131093:SP131093 ACI131093:ACL131093 AME131093:AMH131093 AWA131093:AWD131093 BFW131093:BFZ131093 BPS131093:BPV131093 BZO131093:BZR131093 CJK131093:CJN131093 CTG131093:CTJ131093 DDC131093:DDF131093 DMY131093:DNB131093 DWU131093:DWX131093 EGQ131093:EGT131093 EQM131093:EQP131093 FAI131093:FAL131093 FKE131093:FKH131093 FUA131093:FUD131093 GDW131093:GDZ131093 GNS131093:GNV131093 GXO131093:GXR131093 HHK131093:HHN131093 HRG131093:HRJ131093 IBC131093:IBF131093 IKY131093:ILB131093 IUU131093:IUX131093 JEQ131093:JET131093 JOM131093:JOP131093 JYI131093:JYL131093 KIE131093:KIH131093 KSA131093:KSD131093 LBW131093:LBZ131093 LLS131093:LLV131093 LVO131093:LVR131093 MFK131093:MFN131093 MPG131093:MPJ131093 MZC131093:MZF131093 NIY131093:NJB131093 NSU131093:NSX131093 OCQ131093:OCT131093 OMM131093:OMP131093 OWI131093:OWL131093 PGE131093:PGH131093 PQA131093:PQD131093 PZW131093:PZZ131093 QJS131093:QJV131093 QTO131093:QTR131093 RDK131093:RDN131093 RNG131093:RNJ131093 RXC131093:RXF131093 SGY131093:SHB131093 SQU131093:SQX131093 TAQ131093:TAT131093 TKM131093:TKP131093 TUI131093:TUL131093 UEE131093:UEH131093 UOA131093:UOD131093 UXW131093:UXZ131093 VHS131093:VHV131093 VRO131093:VRR131093 WBK131093:WBN131093 WLG131093:WLJ131093 WVC131093:WVF131093 AO196629:AR196629 IQ196629:IT196629 SM196629:SP196629 ACI196629:ACL196629 AME196629:AMH196629 AWA196629:AWD196629 BFW196629:BFZ196629 BPS196629:BPV196629 BZO196629:BZR196629 CJK196629:CJN196629 CTG196629:CTJ196629 DDC196629:DDF196629 DMY196629:DNB196629 DWU196629:DWX196629 EGQ196629:EGT196629 EQM196629:EQP196629 FAI196629:FAL196629 FKE196629:FKH196629 FUA196629:FUD196629 GDW196629:GDZ196629 GNS196629:GNV196629 GXO196629:GXR196629 HHK196629:HHN196629 HRG196629:HRJ196629 IBC196629:IBF196629 IKY196629:ILB196629 IUU196629:IUX196629 JEQ196629:JET196629 JOM196629:JOP196629 JYI196629:JYL196629 KIE196629:KIH196629 KSA196629:KSD196629 LBW196629:LBZ196629 LLS196629:LLV196629 LVO196629:LVR196629 MFK196629:MFN196629 MPG196629:MPJ196629 MZC196629:MZF196629 NIY196629:NJB196629 NSU196629:NSX196629 OCQ196629:OCT196629 OMM196629:OMP196629 OWI196629:OWL196629 PGE196629:PGH196629 PQA196629:PQD196629 PZW196629:PZZ196629 QJS196629:QJV196629 QTO196629:QTR196629 RDK196629:RDN196629 RNG196629:RNJ196629 RXC196629:RXF196629 SGY196629:SHB196629 SQU196629:SQX196629 TAQ196629:TAT196629 TKM196629:TKP196629 TUI196629:TUL196629 UEE196629:UEH196629 UOA196629:UOD196629 UXW196629:UXZ196629 VHS196629:VHV196629 VRO196629:VRR196629 WBK196629:WBN196629 WLG196629:WLJ196629 WVC196629:WVF196629 AO262165:AR262165 IQ262165:IT262165 SM262165:SP262165 ACI262165:ACL262165 AME262165:AMH262165 AWA262165:AWD262165 BFW262165:BFZ262165 BPS262165:BPV262165 BZO262165:BZR262165 CJK262165:CJN262165 CTG262165:CTJ262165 DDC262165:DDF262165 DMY262165:DNB262165 DWU262165:DWX262165 EGQ262165:EGT262165 EQM262165:EQP262165 FAI262165:FAL262165 FKE262165:FKH262165 FUA262165:FUD262165 GDW262165:GDZ262165 GNS262165:GNV262165 GXO262165:GXR262165 HHK262165:HHN262165 HRG262165:HRJ262165 IBC262165:IBF262165 IKY262165:ILB262165 IUU262165:IUX262165 JEQ262165:JET262165 JOM262165:JOP262165 JYI262165:JYL262165 KIE262165:KIH262165 KSA262165:KSD262165 LBW262165:LBZ262165 LLS262165:LLV262165 LVO262165:LVR262165 MFK262165:MFN262165 MPG262165:MPJ262165 MZC262165:MZF262165 NIY262165:NJB262165 NSU262165:NSX262165 OCQ262165:OCT262165 OMM262165:OMP262165 OWI262165:OWL262165 PGE262165:PGH262165 PQA262165:PQD262165 PZW262165:PZZ262165 QJS262165:QJV262165 QTO262165:QTR262165 RDK262165:RDN262165 RNG262165:RNJ262165 RXC262165:RXF262165 SGY262165:SHB262165 SQU262165:SQX262165 TAQ262165:TAT262165 TKM262165:TKP262165 TUI262165:TUL262165 UEE262165:UEH262165 UOA262165:UOD262165 UXW262165:UXZ262165 VHS262165:VHV262165 VRO262165:VRR262165 WBK262165:WBN262165 WLG262165:WLJ262165 WVC262165:WVF262165 AO327701:AR327701 IQ327701:IT327701 SM327701:SP327701 ACI327701:ACL327701 AME327701:AMH327701 AWA327701:AWD327701 BFW327701:BFZ327701 BPS327701:BPV327701 BZO327701:BZR327701 CJK327701:CJN327701 CTG327701:CTJ327701 DDC327701:DDF327701 DMY327701:DNB327701 DWU327701:DWX327701 EGQ327701:EGT327701 EQM327701:EQP327701 FAI327701:FAL327701 FKE327701:FKH327701 FUA327701:FUD327701 GDW327701:GDZ327701 GNS327701:GNV327701 GXO327701:GXR327701 HHK327701:HHN327701 HRG327701:HRJ327701 IBC327701:IBF327701 IKY327701:ILB327701 IUU327701:IUX327701 JEQ327701:JET327701 JOM327701:JOP327701 JYI327701:JYL327701 KIE327701:KIH327701 KSA327701:KSD327701 LBW327701:LBZ327701 LLS327701:LLV327701 LVO327701:LVR327701 MFK327701:MFN327701 MPG327701:MPJ327701 MZC327701:MZF327701 NIY327701:NJB327701 NSU327701:NSX327701 OCQ327701:OCT327701 OMM327701:OMP327701 OWI327701:OWL327701 PGE327701:PGH327701 PQA327701:PQD327701 PZW327701:PZZ327701 QJS327701:QJV327701 QTO327701:QTR327701 RDK327701:RDN327701 RNG327701:RNJ327701 RXC327701:RXF327701 SGY327701:SHB327701 SQU327701:SQX327701 TAQ327701:TAT327701 TKM327701:TKP327701 TUI327701:TUL327701 UEE327701:UEH327701 UOA327701:UOD327701 UXW327701:UXZ327701 VHS327701:VHV327701 VRO327701:VRR327701 WBK327701:WBN327701 WLG327701:WLJ327701 WVC327701:WVF327701 AO393237:AR393237 IQ393237:IT393237 SM393237:SP393237 ACI393237:ACL393237 AME393237:AMH393237 AWA393237:AWD393237 BFW393237:BFZ393237 BPS393237:BPV393237 BZO393237:BZR393237 CJK393237:CJN393237 CTG393237:CTJ393237 DDC393237:DDF393237 DMY393237:DNB393237 DWU393237:DWX393237 EGQ393237:EGT393237 EQM393237:EQP393237 FAI393237:FAL393237 FKE393237:FKH393237 FUA393237:FUD393237 GDW393237:GDZ393237 GNS393237:GNV393237 GXO393237:GXR393237 HHK393237:HHN393237 HRG393237:HRJ393237 IBC393237:IBF393237 IKY393237:ILB393237 IUU393237:IUX393237 JEQ393237:JET393237 JOM393237:JOP393237 JYI393237:JYL393237 KIE393237:KIH393237 KSA393237:KSD393237 LBW393237:LBZ393237 LLS393237:LLV393237 LVO393237:LVR393237 MFK393237:MFN393237 MPG393237:MPJ393237 MZC393237:MZF393237 NIY393237:NJB393237 NSU393237:NSX393237 OCQ393237:OCT393237 OMM393237:OMP393237 OWI393237:OWL393237 PGE393237:PGH393237 PQA393237:PQD393237 PZW393237:PZZ393237 QJS393237:QJV393237 QTO393237:QTR393237 RDK393237:RDN393237 RNG393237:RNJ393237 RXC393237:RXF393237 SGY393237:SHB393237 SQU393237:SQX393237 TAQ393237:TAT393237 TKM393237:TKP393237 TUI393237:TUL393237 UEE393237:UEH393237 UOA393237:UOD393237 UXW393237:UXZ393237 VHS393237:VHV393237 VRO393237:VRR393237 WBK393237:WBN393237 WLG393237:WLJ393237 WVC393237:WVF393237 AO458773:AR458773 IQ458773:IT458773 SM458773:SP458773 ACI458773:ACL458773 AME458773:AMH458773 AWA458773:AWD458773 BFW458773:BFZ458773 BPS458773:BPV458773 BZO458773:BZR458773 CJK458773:CJN458773 CTG458773:CTJ458773 DDC458773:DDF458773 DMY458773:DNB458773 DWU458773:DWX458773 EGQ458773:EGT458773 EQM458773:EQP458773 FAI458773:FAL458773 FKE458773:FKH458773 FUA458773:FUD458773 GDW458773:GDZ458773 GNS458773:GNV458773 GXO458773:GXR458773 HHK458773:HHN458773 HRG458773:HRJ458773 IBC458773:IBF458773 IKY458773:ILB458773 IUU458773:IUX458773 JEQ458773:JET458773 JOM458773:JOP458773 JYI458773:JYL458773 KIE458773:KIH458773 KSA458773:KSD458773 LBW458773:LBZ458773 LLS458773:LLV458773 LVO458773:LVR458773 MFK458773:MFN458773 MPG458773:MPJ458773 MZC458773:MZF458773 NIY458773:NJB458773 NSU458773:NSX458773 OCQ458773:OCT458773 OMM458773:OMP458773 OWI458773:OWL458773 PGE458773:PGH458773 PQA458773:PQD458773 PZW458773:PZZ458773 QJS458773:QJV458773 QTO458773:QTR458773 RDK458773:RDN458773 RNG458773:RNJ458773 RXC458773:RXF458773 SGY458773:SHB458773 SQU458773:SQX458773 TAQ458773:TAT458773 TKM458773:TKP458773 TUI458773:TUL458773 UEE458773:UEH458773 UOA458773:UOD458773 UXW458773:UXZ458773 VHS458773:VHV458773 VRO458773:VRR458773 WBK458773:WBN458773 WLG458773:WLJ458773 WVC458773:WVF458773 AO524309:AR524309 IQ524309:IT524309 SM524309:SP524309 ACI524309:ACL524309 AME524309:AMH524309 AWA524309:AWD524309 BFW524309:BFZ524309 BPS524309:BPV524309 BZO524309:BZR524309 CJK524309:CJN524309 CTG524309:CTJ524309 DDC524309:DDF524309 DMY524309:DNB524309 DWU524309:DWX524309 EGQ524309:EGT524309 EQM524309:EQP524309 FAI524309:FAL524309 FKE524309:FKH524309 FUA524309:FUD524309 GDW524309:GDZ524309 GNS524309:GNV524309 GXO524309:GXR524309 HHK524309:HHN524309 HRG524309:HRJ524309 IBC524309:IBF524309 IKY524309:ILB524309 IUU524309:IUX524309 JEQ524309:JET524309 JOM524309:JOP524309 JYI524309:JYL524309 KIE524309:KIH524309 KSA524309:KSD524309 LBW524309:LBZ524309 LLS524309:LLV524309 LVO524309:LVR524309 MFK524309:MFN524309 MPG524309:MPJ524309 MZC524309:MZF524309 NIY524309:NJB524309 NSU524309:NSX524309 OCQ524309:OCT524309 OMM524309:OMP524309 OWI524309:OWL524309 PGE524309:PGH524309 PQA524309:PQD524309 PZW524309:PZZ524309 QJS524309:QJV524309 QTO524309:QTR524309 RDK524309:RDN524309 RNG524309:RNJ524309 RXC524309:RXF524309 SGY524309:SHB524309 SQU524309:SQX524309 TAQ524309:TAT524309 TKM524309:TKP524309 TUI524309:TUL524309 UEE524309:UEH524309 UOA524309:UOD524309 UXW524309:UXZ524309 VHS524309:VHV524309 VRO524309:VRR524309 WBK524309:WBN524309 WLG524309:WLJ524309 WVC524309:WVF524309 AO589845:AR589845 IQ589845:IT589845 SM589845:SP589845 ACI589845:ACL589845 AME589845:AMH589845 AWA589845:AWD589845 BFW589845:BFZ589845 BPS589845:BPV589845 BZO589845:BZR589845 CJK589845:CJN589845 CTG589845:CTJ589845 DDC589845:DDF589845 DMY589845:DNB589845 DWU589845:DWX589845 EGQ589845:EGT589845 EQM589845:EQP589845 FAI589845:FAL589845 FKE589845:FKH589845 FUA589845:FUD589845 GDW589845:GDZ589845 GNS589845:GNV589845 GXO589845:GXR589845 HHK589845:HHN589845 HRG589845:HRJ589845 IBC589845:IBF589845 IKY589845:ILB589845 IUU589845:IUX589845 JEQ589845:JET589845 JOM589845:JOP589845 JYI589845:JYL589845 KIE589845:KIH589845 KSA589845:KSD589845 LBW589845:LBZ589845 LLS589845:LLV589845 LVO589845:LVR589845 MFK589845:MFN589845 MPG589845:MPJ589845 MZC589845:MZF589845 NIY589845:NJB589845 NSU589845:NSX589845 OCQ589845:OCT589845 OMM589845:OMP589845 OWI589845:OWL589845 PGE589845:PGH589845 PQA589845:PQD589845 PZW589845:PZZ589845 QJS589845:QJV589845 QTO589845:QTR589845 RDK589845:RDN589845 RNG589845:RNJ589845 RXC589845:RXF589845 SGY589845:SHB589845 SQU589845:SQX589845 TAQ589845:TAT589845 TKM589845:TKP589845 TUI589845:TUL589845 UEE589845:UEH589845 UOA589845:UOD589845 UXW589845:UXZ589845 VHS589845:VHV589845 VRO589845:VRR589845 WBK589845:WBN589845 WLG589845:WLJ589845 WVC589845:WVF589845 AO655381:AR655381 IQ655381:IT655381 SM655381:SP655381 ACI655381:ACL655381 AME655381:AMH655381 AWA655381:AWD655381 BFW655381:BFZ655381 BPS655381:BPV655381 BZO655381:BZR655381 CJK655381:CJN655381 CTG655381:CTJ655381 DDC655381:DDF655381 DMY655381:DNB655381 DWU655381:DWX655381 EGQ655381:EGT655381 EQM655381:EQP655381 FAI655381:FAL655381 FKE655381:FKH655381 FUA655381:FUD655381 GDW655381:GDZ655381 GNS655381:GNV655381 GXO655381:GXR655381 HHK655381:HHN655381 HRG655381:HRJ655381 IBC655381:IBF655381 IKY655381:ILB655381 IUU655381:IUX655381 JEQ655381:JET655381 JOM655381:JOP655381 JYI655381:JYL655381 KIE655381:KIH655381 KSA655381:KSD655381 LBW655381:LBZ655381 LLS655381:LLV655381 LVO655381:LVR655381 MFK655381:MFN655381 MPG655381:MPJ655381 MZC655381:MZF655381 NIY655381:NJB655381 NSU655381:NSX655381 OCQ655381:OCT655381 OMM655381:OMP655381 OWI655381:OWL655381 PGE655381:PGH655381 PQA655381:PQD655381 PZW655381:PZZ655381 QJS655381:QJV655381 QTO655381:QTR655381 RDK655381:RDN655381 RNG655381:RNJ655381 RXC655381:RXF655381 SGY655381:SHB655381 SQU655381:SQX655381 TAQ655381:TAT655381 TKM655381:TKP655381 TUI655381:TUL655381 UEE655381:UEH655381 UOA655381:UOD655381 UXW655381:UXZ655381 VHS655381:VHV655381 VRO655381:VRR655381 WBK655381:WBN655381 WLG655381:WLJ655381 WVC655381:WVF655381 AO720917:AR720917 IQ720917:IT720917 SM720917:SP720917 ACI720917:ACL720917 AME720917:AMH720917 AWA720917:AWD720917 BFW720917:BFZ720917 BPS720917:BPV720917 BZO720917:BZR720917 CJK720917:CJN720917 CTG720917:CTJ720917 DDC720917:DDF720917 DMY720917:DNB720917 DWU720917:DWX720917 EGQ720917:EGT720917 EQM720917:EQP720917 FAI720917:FAL720917 FKE720917:FKH720917 FUA720917:FUD720917 GDW720917:GDZ720917 GNS720917:GNV720917 GXO720917:GXR720917 HHK720917:HHN720917 HRG720917:HRJ720917 IBC720917:IBF720917 IKY720917:ILB720917 IUU720917:IUX720917 JEQ720917:JET720917 JOM720917:JOP720917 JYI720917:JYL720917 KIE720917:KIH720917 KSA720917:KSD720917 LBW720917:LBZ720917 LLS720917:LLV720917 LVO720917:LVR720917 MFK720917:MFN720917 MPG720917:MPJ720917 MZC720917:MZF720917 NIY720917:NJB720917 NSU720917:NSX720917 OCQ720917:OCT720917 OMM720917:OMP720917 OWI720917:OWL720917 PGE720917:PGH720917 PQA720917:PQD720917 PZW720917:PZZ720917 QJS720917:QJV720917 QTO720917:QTR720917 RDK720917:RDN720917 RNG720917:RNJ720917 RXC720917:RXF720917 SGY720917:SHB720917 SQU720917:SQX720917 TAQ720917:TAT720917 TKM720917:TKP720917 TUI720917:TUL720917 UEE720917:UEH720917 UOA720917:UOD720917 UXW720917:UXZ720917 VHS720917:VHV720917 VRO720917:VRR720917 WBK720917:WBN720917 WLG720917:WLJ720917 WVC720917:WVF720917 AO786453:AR786453 IQ786453:IT786453 SM786453:SP786453 ACI786453:ACL786453 AME786453:AMH786453 AWA786453:AWD786453 BFW786453:BFZ786453 BPS786453:BPV786453 BZO786453:BZR786453 CJK786453:CJN786453 CTG786453:CTJ786453 DDC786453:DDF786453 DMY786453:DNB786453 DWU786453:DWX786453 EGQ786453:EGT786453 EQM786453:EQP786453 FAI786453:FAL786453 FKE786453:FKH786453 FUA786453:FUD786453 GDW786453:GDZ786453 GNS786453:GNV786453 GXO786453:GXR786453 HHK786453:HHN786453 HRG786453:HRJ786453 IBC786453:IBF786453 IKY786453:ILB786453 IUU786453:IUX786453 JEQ786453:JET786453 JOM786453:JOP786453 JYI786453:JYL786453 KIE786453:KIH786453 KSA786453:KSD786453 LBW786453:LBZ786453 LLS786453:LLV786453 LVO786453:LVR786453 MFK786453:MFN786453 MPG786453:MPJ786453 MZC786453:MZF786453 NIY786453:NJB786453 NSU786453:NSX786453 OCQ786453:OCT786453 OMM786453:OMP786453 OWI786453:OWL786453 PGE786453:PGH786453 PQA786453:PQD786453 PZW786453:PZZ786453 QJS786453:QJV786453 QTO786453:QTR786453 RDK786453:RDN786453 RNG786453:RNJ786453 RXC786453:RXF786453 SGY786453:SHB786453 SQU786453:SQX786453 TAQ786453:TAT786453 TKM786453:TKP786453 TUI786453:TUL786453 UEE786453:UEH786453 UOA786453:UOD786453 UXW786453:UXZ786453 VHS786453:VHV786453 VRO786453:VRR786453 WBK786453:WBN786453 WLG786453:WLJ786453 WVC786453:WVF786453 AO851989:AR851989 IQ851989:IT851989 SM851989:SP851989 ACI851989:ACL851989 AME851989:AMH851989 AWA851989:AWD851989 BFW851989:BFZ851989 BPS851989:BPV851989 BZO851989:BZR851989 CJK851989:CJN851989 CTG851989:CTJ851989 DDC851989:DDF851989 DMY851989:DNB851989 DWU851989:DWX851989 EGQ851989:EGT851989 EQM851989:EQP851989 FAI851989:FAL851989 FKE851989:FKH851989 FUA851989:FUD851989 GDW851989:GDZ851989 GNS851989:GNV851989 GXO851989:GXR851989 HHK851989:HHN851989 HRG851989:HRJ851989 IBC851989:IBF851989 IKY851989:ILB851989 IUU851989:IUX851989 JEQ851989:JET851989 JOM851989:JOP851989 JYI851989:JYL851989 KIE851989:KIH851989 KSA851989:KSD851989 LBW851989:LBZ851989 LLS851989:LLV851989 LVO851989:LVR851989 MFK851989:MFN851989 MPG851989:MPJ851989 MZC851989:MZF851989 NIY851989:NJB851989 NSU851989:NSX851989 OCQ851989:OCT851989 OMM851989:OMP851989 OWI851989:OWL851989 PGE851989:PGH851989 PQA851989:PQD851989 PZW851989:PZZ851989 QJS851989:QJV851989 QTO851989:QTR851989 RDK851989:RDN851989 RNG851989:RNJ851989 RXC851989:RXF851989 SGY851989:SHB851989 SQU851989:SQX851989 TAQ851989:TAT851989 TKM851989:TKP851989 TUI851989:TUL851989 UEE851989:UEH851989 UOA851989:UOD851989 UXW851989:UXZ851989 VHS851989:VHV851989 VRO851989:VRR851989 WBK851989:WBN851989 WLG851989:WLJ851989 WVC851989:WVF851989 AO917525:AR917525 IQ917525:IT917525 SM917525:SP917525 ACI917525:ACL917525 AME917525:AMH917525 AWA917525:AWD917525 BFW917525:BFZ917525 BPS917525:BPV917525 BZO917525:BZR917525 CJK917525:CJN917525 CTG917525:CTJ917525 DDC917525:DDF917525 DMY917525:DNB917525 DWU917525:DWX917525 EGQ917525:EGT917525 EQM917525:EQP917525 FAI917525:FAL917525 FKE917525:FKH917525 FUA917525:FUD917525 GDW917525:GDZ917525 GNS917525:GNV917525 GXO917525:GXR917525 HHK917525:HHN917525 HRG917525:HRJ917525 IBC917525:IBF917525 IKY917525:ILB917525 IUU917525:IUX917525 JEQ917525:JET917525 JOM917525:JOP917525 JYI917525:JYL917525 KIE917525:KIH917525 KSA917525:KSD917525 LBW917525:LBZ917525 LLS917525:LLV917525 LVO917525:LVR917525 MFK917525:MFN917525 MPG917525:MPJ917525 MZC917525:MZF917525 NIY917525:NJB917525 NSU917525:NSX917525 OCQ917525:OCT917525 OMM917525:OMP917525 OWI917525:OWL917525 PGE917525:PGH917525 PQA917525:PQD917525 PZW917525:PZZ917525 QJS917525:QJV917525 QTO917525:QTR917525 RDK917525:RDN917525 RNG917525:RNJ917525 RXC917525:RXF917525 SGY917525:SHB917525 SQU917525:SQX917525 TAQ917525:TAT917525 TKM917525:TKP917525 TUI917525:TUL917525 UEE917525:UEH917525 UOA917525:UOD917525 UXW917525:UXZ917525 VHS917525:VHV917525 VRO917525:VRR917525 WBK917525:WBN917525 WLG917525:WLJ917525 WVC917525:WVF917525" xr:uid="{D78D8900-DA4D-4C74-9AF5-020A8FBE042C}">
      <formula1>"○, ○（オンライン処理設計書なし）"</formula1>
    </dataValidation>
    <dataValidation type="list" allowBlank="1" showInputMessage="1" showErrorMessage="1" sqref="X5:AA11" xr:uid="{C5F42439-242A-4FEC-BFD2-90E21202392D}">
      <formula1>$P$24:$P$25</formula1>
    </dataValidation>
  </dataValidations>
  <pageMargins left="0.7" right="0.7" top="0.75" bottom="0.75" header="0.3" footer="0.3"/>
  <pageSetup paperSize="9" scale="56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F027-8D07-4890-B248-7B3501D322C0}">
  <sheetPr>
    <pageSetUpPr fitToPage="1"/>
  </sheetPr>
  <dimension ref="A1:AD17"/>
  <sheetViews>
    <sheetView showGridLines="0" view="pageBreakPreview" zoomScale="80" zoomScaleNormal="85" zoomScaleSheetLayoutView="80" workbookViewId="0">
      <selection sqref="A1:J1"/>
    </sheetView>
  </sheetViews>
  <sheetFormatPr defaultColWidth="2.6328125" defaultRowHeight="15"/>
  <cols>
    <col min="1" max="10" width="2.6328125" style="460" customWidth="1"/>
    <col min="11" max="16" width="3.26953125" style="460" customWidth="1"/>
    <col min="17" max="30" width="2.6328125" style="460" customWidth="1"/>
    <col min="31" max="16384" width="2.6328125" style="460"/>
  </cols>
  <sheetData>
    <row r="1" spans="1:30" ht="13.5" customHeight="1">
      <c r="A1" s="593" t="s">
        <v>253</v>
      </c>
      <c r="B1" s="593"/>
      <c r="C1" s="593"/>
      <c r="D1" s="593"/>
      <c r="E1" s="593"/>
      <c r="F1" s="593"/>
      <c r="G1" s="593"/>
      <c r="H1" s="593"/>
      <c r="I1" s="593"/>
      <c r="J1" s="593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  <c r="AD1" s="487"/>
    </row>
    <row r="2" spans="1:30" ht="13.5" customHeight="1">
      <c r="A2" s="647" t="s">
        <v>211</v>
      </c>
      <c r="B2" s="648"/>
      <c r="C2" s="647" t="s">
        <v>254</v>
      </c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76" t="s">
        <v>255</v>
      </c>
      <c r="R2" s="677"/>
      <c r="S2" s="677"/>
      <c r="T2" s="677"/>
      <c r="U2" s="677"/>
      <c r="V2" s="677"/>
      <c r="W2" s="677"/>
      <c r="X2" s="677"/>
      <c r="Y2" s="677"/>
      <c r="Z2" s="677"/>
      <c r="AA2" s="677"/>
      <c r="AB2" s="677"/>
      <c r="AC2" s="677"/>
      <c r="AD2" s="678"/>
    </row>
    <row r="3" spans="1:30" ht="38.25" customHeight="1">
      <c r="A3" s="648"/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75" t="s">
        <v>256</v>
      </c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</row>
    <row r="4" spans="1:30" ht="13.5" customHeight="1">
      <c r="A4" s="660" t="str">
        <f>IF(ISBLANK(画面項目!A5),"",画面項目!A5)</f>
        <v>1</v>
      </c>
      <c r="B4" s="661"/>
      <c r="C4" s="668" t="s">
        <v>196</v>
      </c>
      <c r="D4" s="669"/>
      <c r="E4" s="669"/>
      <c r="F4" s="669"/>
      <c r="G4" s="669"/>
      <c r="H4" s="669"/>
      <c r="I4" s="670"/>
      <c r="J4" s="672"/>
      <c r="K4" s="673"/>
      <c r="L4" s="673"/>
      <c r="M4" s="673"/>
      <c r="N4" s="673"/>
      <c r="O4" s="673"/>
      <c r="P4" s="674"/>
      <c r="Q4" s="592"/>
      <c r="R4" s="590"/>
      <c r="S4" s="590"/>
      <c r="T4" s="590"/>
      <c r="U4" s="590"/>
      <c r="V4" s="590"/>
      <c r="W4" s="559"/>
      <c r="X4" s="592"/>
      <c r="Y4" s="590"/>
      <c r="Z4" s="590"/>
      <c r="AA4" s="590"/>
      <c r="AB4" s="590"/>
      <c r="AC4" s="590"/>
      <c r="AD4" s="559"/>
    </row>
    <row r="5" spans="1:30" ht="13.5" customHeight="1">
      <c r="A5" s="660" t="str">
        <f>IF(ISBLANK(画面項目!A6),"",画面項目!A6)</f>
        <v>1.1</v>
      </c>
      <c r="B5" s="661"/>
      <c r="C5" s="668"/>
      <c r="D5" s="669"/>
      <c r="E5" s="669"/>
      <c r="F5" s="669"/>
      <c r="G5" s="669"/>
      <c r="H5" s="669"/>
      <c r="I5" s="670"/>
      <c r="J5" s="672" t="s">
        <v>198</v>
      </c>
      <c r="K5" s="673"/>
      <c r="L5" s="673"/>
      <c r="M5" s="673"/>
      <c r="N5" s="673"/>
      <c r="O5" s="673"/>
      <c r="P5" s="674"/>
      <c r="Q5" s="592" t="s">
        <v>202</v>
      </c>
      <c r="R5" s="590"/>
      <c r="S5" s="590"/>
      <c r="T5" s="590"/>
      <c r="U5" s="590"/>
      <c r="V5" s="590"/>
      <c r="W5" s="559"/>
      <c r="X5" s="592"/>
      <c r="Y5" s="590"/>
      <c r="Z5" s="590"/>
      <c r="AA5" s="590"/>
      <c r="AB5" s="590"/>
      <c r="AC5" s="590"/>
      <c r="AD5" s="559"/>
    </row>
    <row r="6" spans="1:30" ht="13.5" customHeight="1">
      <c r="A6" s="660" t="str">
        <f>IF(ISBLANK(画面項目!A7),"",画面項目!A7)</f>
        <v>2</v>
      </c>
      <c r="B6" s="661"/>
      <c r="C6" s="662" t="str">
        <f>IF(ISBLANK(画面項目!C7),"",画面項目!C7)</f>
        <v>申請完了表示エリア</v>
      </c>
      <c r="D6" s="663"/>
      <c r="E6" s="663"/>
      <c r="F6" s="663"/>
      <c r="G6" s="663"/>
      <c r="H6" s="663"/>
      <c r="I6" s="664"/>
      <c r="J6" s="671"/>
      <c r="K6" s="671"/>
      <c r="L6" s="671"/>
      <c r="M6" s="671"/>
      <c r="N6" s="671"/>
      <c r="O6" s="671"/>
      <c r="P6" s="671"/>
      <c r="Q6" s="592"/>
      <c r="R6" s="590"/>
      <c r="S6" s="590"/>
      <c r="T6" s="590"/>
      <c r="U6" s="590"/>
      <c r="V6" s="590"/>
      <c r="W6" s="559"/>
      <c r="X6" s="592"/>
      <c r="Y6" s="590"/>
      <c r="Z6" s="590"/>
      <c r="AA6" s="590"/>
      <c r="AB6" s="590"/>
      <c r="AC6" s="590"/>
      <c r="AD6" s="559"/>
    </row>
    <row r="7" spans="1:30" ht="13.5" customHeight="1">
      <c r="A7" s="660">
        <f>IF(ISBLANK(画面項目!A8),"",画面項目!A8)</f>
        <v>2.1</v>
      </c>
      <c r="B7" s="661"/>
      <c r="C7" s="668"/>
      <c r="D7" s="669"/>
      <c r="E7" s="669"/>
      <c r="F7" s="669"/>
      <c r="G7" s="669"/>
      <c r="H7" s="669"/>
      <c r="I7" s="670"/>
      <c r="J7" s="662" t="str">
        <f>IF(ISBLANK(画面項目!J8),"",画面項目!J8)</f>
        <v>受付番号</v>
      </c>
      <c r="K7" s="663"/>
      <c r="L7" s="663"/>
      <c r="M7" s="663"/>
      <c r="N7" s="663"/>
      <c r="O7" s="663"/>
      <c r="P7" s="664"/>
      <c r="Q7" s="592" t="s">
        <v>202</v>
      </c>
      <c r="R7" s="590"/>
      <c r="S7" s="590"/>
      <c r="T7" s="590"/>
      <c r="U7" s="590"/>
      <c r="V7" s="590"/>
      <c r="W7" s="559"/>
      <c r="X7" s="592"/>
      <c r="Y7" s="590"/>
      <c r="Z7" s="590"/>
      <c r="AA7" s="590"/>
      <c r="AB7" s="590"/>
      <c r="AC7" s="590"/>
      <c r="AD7" s="559"/>
    </row>
    <row r="8" spans="1:30" ht="13.5" customHeight="1">
      <c r="A8" s="660">
        <f>IF(ISBLANK(画面項目!A9),"",画面項目!A9)</f>
        <v>2.2000000000000002</v>
      </c>
      <c r="B8" s="661"/>
      <c r="C8" s="665"/>
      <c r="D8" s="666"/>
      <c r="E8" s="666"/>
      <c r="F8" s="666"/>
      <c r="G8" s="666"/>
      <c r="H8" s="666"/>
      <c r="I8" s="667"/>
      <c r="J8" s="662" t="str">
        <f>IF(ISBLANK(画面項目!J9),"",画面項目!J9)</f>
        <v>登録メールアドレス</v>
      </c>
      <c r="K8" s="663"/>
      <c r="L8" s="663"/>
      <c r="M8" s="663"/>
      <c r="N8" s="663"/>
      <c r="O8" s="663"/>
      <c r="P8" s="664"/>
      <c r="Q8" s="592" t="s">
        <v>202</v>
      </c>
      <c r="R8" s="590"/>
      <c r="S8" s="590"/>
      <c r="T8" s="590"/>
      <c r="U8" s="590"/>
      <c r="V8" s="590"/>
      <c r="W8" s="559"/>
      <c r="X8" s="592"/>
      <c r="Y8" s="590"/>
      <c r="Z8" s="590"/>
      <c r="AA8" s="590"/>
      <c r="AB8" s="590"/>
      <c r="AC8" s="590"/>
      <c r="AD8" s="559"/>
    </row>
    <row r="9" spans="1:30" ht="13.5" customHeight="1">
      <c r="A9" s="660" t="str">
        <f>IF(ISBLANK(画面項目!A11),"",画面項目!A11)</f>
        <v>2.4</v>
      </c>
      <c r="B9" s="661"/>
      <c r="C9" s="665"/>
      <c r="D9" s="666"/>
      <c r="E9" s="666"/>
      <c r="F9" s="666"/>
      <c r="G9" s="666"/>
      <c r="H9" s="666"/>
      <c r="I9" s="667"/>
      <c r="J9" s="662" t="str">
        <f>IF(ISBLANK(画面項目!J11),"",画面項目!J11)</f>
        <v>化学物質データ画面へ戻る</v>
      </c>
      <c r="K9" s="663"/>
      <c r="L9" s="663"/>
      <c r="M9" s="663"/>
      <c r="N9" s="663"/>
      <c r="O9" s="663"/>
      <c r="P9" s="664"/>
      <c r="Q9" s="592" t="s">
        <v>202</v>
      </c>
      <c r="R9" s="590"/>
      <c r="S9" s="590"/>
      <c r="T9" s="590"/>
      <c r="U9" s="590"/>
      <c r="V9" s="590"/>
      <c r="W9" s="559"/>
      <c r="X9" s="592"/>
      <c r="Y9" s="590"/>
      <c r="Z9" s="590"/>
      <c r="AA9" s="590"/>
      <c r="AB9" s="590"/>
      <c r="AC9" s="590"/>
      <c r="AD9" s="559"/>
    </row>
    <row r="10" spans="1:30" ht="13.5" customHeight="1">
      <c r="A10" s="660"/>
      <c r="B10" s="661"/>
      <c r="C10" s="625"/>
      <c r="D10" s="626"/>
      <c r="E10" s="626"/>
      <c r="F10" s="626"/>
      <c r="G10" s="626"/>
      <c r="H10" s="626"/>
      <c r="I10" s="627"/>
      <c r="J10" s="662"/>
      <c r="K10" s="663"/>
      <c r="L10" s="663"/>
      <c r="M10" s="663"/>
      <c r="N10" s="663"/>
      <c r="O10" s="663"/>
      <c r="P10" s="664"/>
      <c r="Q10" s="592"/>
      <c r="R10" s="590"/>
      <c r="S10" s="590"/>
      <c r="T10" s="590"/>
      <c r="U10" s="590"/>
      <c r="V10" s="590"/>
      <c r="W10" s="559"/>
      <c r="X10" s="592"/>
      <c r="Y10" s="590"/>
      <c r="Z10" s="590"/>
      <c r="AA10" s="590"/>
      <c r="AB10" s="590"/>
      <c r="AC10" s="590"/>
      <c r="AD10" s="559"/>
    </row>
    <row r="11" spans="1:30" ht="13.5" customHeight="1">
      <c r="A11" s="660"/>
      <c r="B11" s="661"/>
      <c r="C11" s="625"/>
      <c r="D11" s="626"/>
      <c r="E11" s="626"/>
      <c r="F11" s="626"/>
      <c r="G11" s="626"/>
      <c r="H11" s="626"/>
      <c r="I11" s="627"/>
      <c r="J11" s="662"/>
      <c r="K11" s="663"/>
      <c r="L11" s="663"/>
      <c r="M11" s="663"/>
      <c r="N11" s="663"/>
      <c r="O11" s="663"/>
      <c r="P11" s="664"/>
      <c r="Q11" s="592"/>
      <c r="R11" s="590"/>
      <c r="S11" s="590"/>
      <c r="T11" s="590"/>
      <c r="U11" s="590"/>
      <c r="V11" s="590"/>
      <c r="W11" s="559"/>
      <c r="X11" s="592"/>
      <c r="Y11" s="590"/>
      <c r="Z11" s="590"/>
      <c r="AA11" s="590"/>
      <c r="AB11" s="590"/>
      <c r="AC11" s="590"/>
      <c r="AD11" s="559"/>
    </row>
    <row r="12" spans="1:30" ht="13.5" customHeight="1"/>
    <row r="13" spans="1:30" ht="13.5" customHeight="1"/>
    <row r="14" spans="1:30" ht="13.5" customHeight="1">
      <c r="D14" s="658" t="s">
        <v>257</v>
      </c>
      <c r="E14" s="658"/>
      <c r="F14" s="658"/>
      <c r="G14" s="658"/>
      <c r="H14" s="658"/>
      <c r="I14" s="658"/>
      <c r="J14" s="658"/>
      <c r="K14" s="659" t="s">
        <v>258</v>
      </c>
      <c r="L14" s="659"/>
      <c r="M14" s="659"/>
      <c r="N14" s="659"/>
      <c r="O14" s="659"/>
      <c r="P14" s="659"/>
    </row>
    <row r="15" spans="1:30" ht="13.5" customHeight="1">
      <c r="D15" s="656" t="s">
        <v>259</v>
      </c>
      <c r="E15" s="656"/>
      <c r="F15" s="656"/>
      <c r="G15" s="656"/>
      <c r="H15" s="656"/>
      <c r="I15" s="656"/>
      <c r="J15" s="656"/>
      <c r="K15" s="657" t="s">
        <v>227</v>
      </c>
      <c r="L15" s="657"/>
      <c r="M15" s="657"/>
      <c r="N15" s="657"/>
      <c r="O15" s="657"/>
      <c r="P15" s="657"/>
    </row>
    <row r="16" spans="1:30" ht="13.5" customHeight="1">
      <c r="D16" s="656" t="s">
        <v>260</v>
      </c>
      <c r="E16" s="656"/>
      <c r="F16" s="656"/>
      <c r="G16" s="656"/>
      <c r="H16" s="656"/>
      <c r="I16" s="656"/>
      <c r="J16" s="656"/>
      <c r="K16" s="657" t="s">
        <v>261</v>
      </c>
      <c r="L16" s="657"/>
      <c r="M16" s="657"/>
      <c r="N16" s="657"/>
      <c r="O16" s="657"/>
      <c r="P16" s="657"/>
    </row>
    <row r="17" spans="4:16" ht="13.5" customHeight="1">
      <c r="D17" s="656" t="s">
        <v>262</v>
      </c>
      <c r="E17" s="656"/>
      <c r="F17" s="656"/>
      <c r="G17" s="656"/>
      <c r="H17" s="656"/>
      <c r="I17" s="656"/>
      <c r="J17" s="656"/>
      <c r="K17" s="657" t="s">
        <v>234</v>
      </c>
      <c r="L17" s="657"/>
      <c r="M17" s="657"/>
      <c r="N17" s="657"/>
      <c r="O17" s="657"/>
      <c r="P17" s="657"/>
    </row>
  </sheetData>
  <mergeCells count="54">
    <mergeCell ref="X3:AD3"/>
    <mergeCell ref="A1:J1"/>
    <mergeCell ref="A2:B3"/>
    <mergeCell ref="C2:P3"/>
    <mergeCell ref="Q2:AD2"/>
    <mergeCell ref="Q3:W3"/>
    <mergeCell ref="A4:B4"/>
    <mergeCell ref="C4:I4"/>
    <mergeCell ref="J4:P4"/>
    <mergeCell ref="Q4:W4"/>
    <mergeCell ref="X4:AD4"/>
    <mergeCell ref="A5:B5"/>
    <mergeCell ref="C5:I5"/>
    <mergeCell ref="J5:P5"/>
    <mergeCell ref="Q5:W5"/>
    <mergeCell ref="X5:AD5"/>
    <mergeCell ref="A6:B6"/>
    <mergeCell ref="C6:I6"/>
    <mergeCell ref="J6:P6"/>
    <mergeCell ref="Q6:W6"/>
    <mergeCell ref="X6:AD6"/>
    <mergeCell ref="A7:B7"/>
    <mergeCell ref="C7:I7"/>
    <mergeCell ref="J7:P7"/>
    <mergeCell ref="Q7:W7"/>
    <mergeCell ref="X7:AD7"/>
    <mergeCell ref="A8:B8"/>
    <mergeCell ref="C8:I8"/>
    <mergeCell ref="J8:P8"/>
    <mergeCell ref="Q8:W8"/>
    <mergeCell ref="X8:AD8"/>
    <mergeCell ref="A9:B9"/>
    <mergeCell ref="C9:I9"/>
    <mergeCell ref="J9:P9"/>
    <mergeCell ref="Q9:W9"/>
    <mergeCell ref="X9:AD9"/>
    <mergeCell ref="Q11:W11"/>
    <mergeCell ref="X11:AD11"/>
    <mergeCell ref="A10:B10"/>
    <mergeCell ref="C10:I10"/>
    <mergeCell ref="J10:P10"/>
    <mergeCell ref="Q10:W10"/>
    <mergeCell ref="X10:AD10"/>
    <mergeCell ref="D14:J14"/>
    <mergeCell ref="K14:P14"/>
    <mergeCell ref="A11:B11"/>
    <mergeCell ref="C11:I11"/>
    <mergeCell ref="J11:P11"/>
    <mergeCell ref="D15:J15"/>
    <mergeCell ref="K15:P15"/>
    <mergeCell ref="D16:J16"/>
    <mergeCell ref="K16:P16"/>
    <mergeCell ref="D17:J17"/>
    <mergeCell ref="K17:P17"/>
  </mergeCells>
  <phoneticPr fontId="55"/>
  <dataValidations count="1">
    <dataValidation type="list" allowBlank="1" showInputMessage="1" showErrorMessage="1" sqref="Q4:AD11" xr:uid="{86F05633-290B-4AC6-9839-9E9B6E3B5361}">
      <formula1>$K$15:$K$17</formula1>
    </dataValidation>
  </dataValidations>
  <pageMargins left="0.7" right="0.7" top="0.75" bottom="0.75" header="0.3" footer="0.3"/>
  <pageSetup paperSize="9" scale="62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F4CE-E231-4DB9-9A50-8A11224C626C}">
  <dimension ref="A1:CI113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76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524" t="s">
        <v>4</v>
      </c>
      <c r="B1" s="524"/>
      <c r="C1" s="524"/>
      <c r="D1" s="524"/>
      <c r="E1" s="524"/>
      <c r="F1" s="524"/>
      <c r="G1" s="524"/>
      <c r="H1" s="524"/>
      <c r="I1" s="511" t="s">
        <v>5</v>
      </c>
      <c r="J1" s="511"/>
      <c r="K1" s="511"/>
      <c r="L1" s="511"/>
      <c r="M1" s="522" t="str">
        <f>変更来歴!M1</f>
        <v>ヒロセ電機株式会社</v>
      </c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11" t="s">
        <v>7</v>
      </c>
      <c r="Y1" s="511"/>
      <c r="Z1" s="511"/>
      <c r="AA1" s="526" t="str">
        <f>変更来歴!AA1</f>
        <v>化学物質データ申請</v>
      </c>
      <c r="AB1" s="526"/>
      <c r="AC1" s="526"/>
      <c r="AD1" s="526"/>
      <c r="AE1" s="526"/>
      <c r="AF1" s="526"/>
      <c r="AG1" s="526"/>
      <c r="AH1" s="526"/>
      <c r="AI1" s="526"/>
      <c r="AJ1" s="526"/>
      <c r="AK1" s="500" t="s">
        <v>8</v>
      </c>
      <c r="AL1" s="500"/>
      <c r="AM1" s="500"/>
      <c r="AN1" s="502" t="str">
        <f>変更来歴!AP7</f>
        <v>古竹</v>
      </c>
      <c r="AO1" s="502"/>
      <c r="AP1" s="502"/>
      <c r="AQ1" s="502"/>
      <c r="AR1" s="502"/>
      <c r="AS1" s="500" t="s">
        <v>9</v>
      </c>
      <c r="AT1" s="500"/>
      <c r="AU1" s="500"/>
      <c r="AV1" s="503">
        <f>変更来歴!AL7</f>
        <v>46125</v>
      </c>
      <c r="AW1" s="501"/>
      <c r="AX1" s="501"/>
      <c r="AY1" s="501"/>
      <c r="AZ1" s="507" t="s">
        <v>10</v>
      </c>
      <c r="BA1" s="508"/>
      <c r="BB1" s="508"/>
      <c r="BC1" s="509"/>
    </row>
    <row r="2" spans="1:59">
      <c r="A2" s="510" t="s">
        <v>16</v>
      </c>
      <c r="B2" s="510"/>
      <c r="C2" s="510"/>
      <c r="D2" s="510"/>
      <c r="E2" s="510"/>
      <c r="F2" s="510"/>
      <c r="G2" s="510"/>
      <c r="H2" s="510"/>
      <c r="I2" s="511" t="s">
        <v>11</v>
      </c>
      <c r="J2" s="511"/>
      <c r="K2" s="511"/>
      <c r="L2" s="511"/>
      <c r="M2" s="546" t="str">
        <f>変更来歴!M2</f>
        <v>　</v>
      </c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11"/>
      <c r="Y2" s="511"/>
      <c r="Z2" s="511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00" t="s">
        <v>12</v>
      </c>
      <c r="AL2" s="500"/>
      <c r="AM2" s="500"/>
      <c r="AN2" s="502" t="str">
        <f ca="1">INDIRECT("変更来歴!AP" &amp; COUNTA(変更来歴!AP7:'変更来歴'!AP39) + 6)</f>
        <v>古竹</v>
      </c>
      <c r="AO2" s="502"/>
      <c r="AP2" s="502"/>
      <c r="AQ2" s="502"/>
      <c r="AR2" s="502"/>
      <c r="AS2" s="500" t="s">
        <v>13</v>
      </c>
      <c r="AT2" s="500"/>
      <c r="AU2" s="500"/>
      <c r="AV2" s="503">
        <f ca="1">INDIRECT("変更来歴!AL" &amp; COUNTA(変更来歴!AL7:'変更来歴'!AL39) + 6)</f>
        <v>46160</v>
      </c>
      <c r="AW2" s="501"/>
      <c r="AX2" s="501"/>
      <c r="AY2" s="501"/>
      <c r="AZ2" s="515" t="str">
        <f>変更来歴!AX2</f>
        <v>IMWF-53</v>
      </c>
      <c r="BA2" s="516"/>
      <c r="BB2" s="516"/>
      <c r="BC2" s="517"/>
    </row>
    <row r="3" spans="1:59" ht="12" customHeight="1">
      <c r="A3" s="521" t="str">
        <f>変更来歴!A3</f>
        <v>画面設計書</v>
      </c>
      <c r="B3" s="521"/>
      <c r="C3" s="521"/>
      <c r="D3" s="521"/>
      <c r="E3" s="521"/>
      <c r="F3" s="521"/>
      <c r="G3" s="521"/>
      <c r="H3" s="521"/>
      <c r="I3" s="511" t="s">
        <v>14</v>
      </c>
      <c r="J3" s="511"/>
      <c r="K3" s="511"/>
      <c r="L3" s="511"/>
      <c r="M3" s="522" t="str">
        <f ca="1">RIGHT(CELL("filename",A1),LEN(CELL("filename",A1))-FIND("]",CELL("filename",A1)))</f>
        <v>外貨(コリア原計)</v>
      </c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11" t="s">
        <v>27</v>
      </c>
      <c r="Y3" s="511"/>
      <c r="Z3" s="511"/>
      <c r="AA3" s="523" t="str">
        <f ca="1">MID(CELL("filename"),FIND("]",CELL("filename"))+1,LEN(CELL("filename"))) &amp; "画面"</f>
        <v>画面項目画面</v>
      </c>
      <c r="AB3" s="523"/>
      <c r="AC3" s="523"/>
      <c r="AD3" s="523"/>
      <c r="AE3" s="523"/>
      <c r="AF3" s="523"/>
      <c r="AG3" s="523"/>
      <c r="AH3" s="523"/>
      <c r="AI3" s="523"/>
      <c r="AJ3" s="523"/>
      <c r="AK3" s="523"/>
      <c r="AL3" s="523"/>
      <c r="AM3" s="523"/>
      <c r="AN3" s="523"/>
      <c r="AO3" s="523"/>
      <c r="AP3" s="523"/>
      <c r="AQ3" s="523"/>
      <c r="AR3" s="523"/>
      <c r="AS3" s="500" t="s">
        <v>15</v>
      </c>
      <c r="AT3" s="500"/>
      <c r="AU3" s="500"/>
      <c r="AV3" s="501" t="str">
        <f ca="1">INDIRECT("変更来歴!A" &amp; COUNTA(変更来歴!A7:'変更来歴'!A39) + 6)</f>
        <v>r1.2</v>
      </c>
      <c r="AW3" s="501"/>
      <c r="AX3" s="501"/>
      <c r="AY3" s="501"/>
      <c r="AZ3" s="518"/>
      <c r="BA3" s="519"/>
      <c r="BB3" s="519"/>
      <c r="BC3" s="520"/>
    </row>
    <row r="4" spans="1:59" ht="5.9" customHeight="1"/>
    <row r="5" spans="1:59" ht="13.5" customHeight="1">
      <c r="A5" s="548" t="str">
        <f ca="1">"画面レイアウト"&amp;"("&amp;MID(CELL("filename"),FIND("]",CELL("filename"))+1,LEN(CELL("filename")))&amp;")"</f>
        <v>画面レイアウト(画面項目)</v>
      </c>
      <c r="B5" s="549"/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49"/>
      <c r="AB5" s="549"/>
      <c r="AC5" s="549"/>
      <c r="AD5" s="549"/>
      <c r="AE5" s="549"/>
      <c r="AF5" s="549"/>
      <c r="AG5" s="549"/>
      <c r="AH5" s="549"/>
      <c r="AI5" s="549"/>
      <c r="AJ5" s="549"/>
      <c r="AK5" s="549"/>
      <c r="AL5" s="549"/>
      <c r="AM5" s="549"/>
      <c r="AN5" s="549"/>
      <c r="AO5" s="549"/>
      <c r="AP5" s="549"/>
      <c r="AQ5" s="549"/>
      <c r="AR5" s="549"/>
      <c r="AS5" s="549"/>
      <c r="AT5" s="549"/>
      <c r="AU5" s="549"/>
      <c r="AV5" s="549"/>
      <c r="AW5" s="549"/>
      <c r="AX5" s="549"/>
      <c r="AY5" s="549"/>
      <c r="AZ5" s="549"/>
      <c r="BA5" s="550"/>
      <c r="BB5" s="551" t="s">
        <v>24</v>
      </c>
      <c r="BC5" s="552"/>
      <c r="BD5" s="28"/>
    </row>
    <row r="6" spans="1:59" ht="13.5" customHeight="1">
      <c r="A6" s="27"/>
      <c r="B6" s="170">
        <v>1</v>
      </c>
      <c r="C6" s="170">
        <v>2</v>
      </c>
      <c r="D6" s="170">
        <v>3</v>
      </c>
      <c r="E6" s="170">
        <v>4</v>
      </c>
      <c r="F6" s="170">
        <v>5</v>
      </c>
      <c r="G6" s="170">
        <v>6</v>
      </c>
      <c r="H6" s="170">
        <v>7</v>
      </c>
      <c r="I6" s="170">
        <v>8</v>
      </c>
      <c r="J6" s="170">
        <v>9</v>
      </c>
      <c r="K6" s="170">
        <v>10</v>
      </c>
      <c r="L6" s="170">
        <v>11</v>
      </c>
      <c r="M6" s="170">
        <v>12</v>
      </c>
      <c r="N6" s="170">
        <v>13</v>
      </c>
      <c r="O6" s="170">
        <v>14</v>
      </c>
      <c r="P6" s="170">
        <v>15</v>
      </c>
      <c r="Q6" s="170">
        <v>16</v>
      </c>
      <c r="R6" s="170">
        <v>17</v>
      </c>
      <c r="S6" s="172">
        <v>18</v>
      </c>
      <c r="T6" s="172">
        <v>19</v>
      </c>
      <c r="U6" s="172">
        <v>20</v>
      </c>
      <c r="V6" s="172">
        <v>21</v>
      </c>
      <c r="W6" s="172">
        <v>22</v>
      </c>
      <c r="X6" s="172">
        <v>23</v>
      </c>
      <c r="Y6" s="172">
        <v>24</v>
      </c>
      <c r="Z6" s="172">
        <v>25</v>
      </c>
      <c r="AA6" s="172">
        <v>26</v>
      </c>
      <c r="AB6" s="172">
        <v>27</v>
      </c>
      <c r="AC6" s="172">
        <v>28</v>
      </c>
      <c r="AD6" s="172">
        <v>29</v>
      </c>
      <c r="AE6" s="172">
        <v>30</v>
      </c>
      <c r="AF6" s="172">
        <v>31</v>
      </c>
      <c r="AG6" s="172">
        <v>32</v>
      </c>
      <c r="AH6" s="172">
        <v>33</v>
      </c>
      <c r="AI6" s="172">
        <v>34</v>
      </c>
      <c r="AJ6" s="171">
        <v>35</v>
      </c>
      <c r="AK6" s="171">
        <v>36</v>
      </c>
      <c r="AL6" s="171">
        <v>37</v>
      </c>
      <c r="AM6" s="171">
        <v>38</v>
      </c>
      <c r="AN6" s="171">
        <v>39</v>
      </c>
      <c r="AO6" s="171">
        <v>40</v>
      </c>
      <c r="AP6" s="171">
        <v>41</v>
      </c>
      <c r="AQ6" s="171">
        <v>42</v>
      </c>
      <c r="AR6" s="171">
        <v>43</v>
      </c>
      <c r="AS6" s="171">
        <v>44</v>
      </c>
      <c r="AT6" s="171">
        <v>45</v>
      </c>
      <c r="AU6" s="171">
        <v>46</v>
      </c>
      <c r="AV6" s="171">
        <v>47</v>
      </c>
      <c r="AW6" s="171">
        <v>48</v>
      </c>
      <c r="AX6" s="171">
        <v>49</v>
      </c>
      <c r="AY6" s="171">
        <v>50</v>
      </c>
      <c r="AZ6" s="171">
        <v>51</v>
      </c>
      <c r="BA6" s="21"/>
      <c r="BB6" s="73"/>
      <c r="BC6" s="40"/>
      <c r="BD6" s="28"/>
    </row>
    <row r="7" spans="1:59" ht="18.75" customHeight="1">
      <c r="A7" s="29"/>
      <c r="B7" s="45" t="s">
        <v>44</v>
      </c>
      <c r="C7" s="36"/>
      <c r="D7" s="36"/>
      <c r="E7" s="36"/>
      <c r="F7" s="36"/>
      <c r="G7" s="36"/>
      <c r="H7" s="46"/>
      <c r="I7" s="36"/>
      <c r="J7" s="46"/>
      <c r="K7" s="36"/>
      <c r="L7" s="36"/>
      <c r="M7" s="36"/>
      <c r="N7" s="46" t="s">
        <v>165</v>
      </c>
      <c r="O7" s="36"/>
      <c r="P7" s="36"/>
      <c r="Q7" s="36"/>
      <c r="R7" s="47" t="s">
        <v>164</v>
      </c>
      <c r="S7" s="36"/>
      <c r="T7" s="36"/>
      <c r="U7" s="36"/>
      <c r="V7" s="36"/>
      <c r="W7" s="36"/>
      <c r="X7" s="36"/>
      <c r="Y7" s="47"/>
      <c r="Z7" s="36"/>
      <c r="AA7" s="36"/>
      <c r="AB7" s="36"/>
      <c r="AC7" s="36"/>
      <c r="AD7" s="36"/>
      <c r="AE7" s="47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48"/>
      <c r="AX7" s="48"/>
      <c r="AY7" s="48"/>
      <c r="AZ7" s="49"/>
      <c r="BA7" s="75" t="s">
        <v>30</v>
      </c>
      <c r="BB7" s="74"/>
      <c r="BC7" s="34"/>
      <c r="BD7" s="28"/>
    </row>
    <row r="8" spans="1:59" ht="18" customHeight="1">
      <c r="A8" s="29"/>
      <c r="B8" s="160"/>
      <c r="C8" s="161"/>
      <c r="D8" s="161"/>
      <c r="E8" s="161" t="s">
        <v>45</v>
      </c>
      <c r="F8" s="161"/>
      <c r="G8" s="161"/>
      <c r="H8" s="162"/>
      <c r="I8" s="162"/>
      <c r="J8" s="162"/>
      <c r="K8" s="162"/>
      <c r="L8" s="163"/>
      <c r="M8" s="162"/>
      <c r="N8" s="55"/>
      <c r="O8" s="55"/>
      <c r="P8" s="163"/>
      <c r="Q8" s="55"/>
      <c r="R8" s="55"/>
      <c r="S8" s="55"/>
      <c r="T8" s="164"/>
      <c r="U8" s="164"/>
      <c r="V8" s="164"/>
      <c r="W8" s="164"/>
      <c r="X8" s="165"/>
      <c r="Y8" s="162"/>
      <c r="Z8" s="162"/>
      <c r="AA8" s="162"/>
      <c r="AB8" s="163"/>
      <c r="AC8" s="162"/>
      <c r="AD8" s="55"/>
      <c r="AE8" s="55"/>
      <c r="AF8" s="163"/>
      <c r="AG8" s="161"/>
      <c r="AH8" s="161"/>
      <c r="AI8" s="166"/>
      <c r="AJ8" s="53"/>
      <c r="AK8" s="53"/>
      <c r="AL8" s="53"/>
      <c r="AM8" s="53"/>
      <c r="AN8" s="167"/>
      <c r="AO8" s="168"/>
      <c r="AP8" s="168"/>
      <c r="AQ8" s="53"/>
      <c r="AR8" s="53"/>
      <c r="AS8" s="53"/>
      <c r="AT8" s="54"/>
      <c r="AU8" s="53"/>
      <c r="AV8" s="55"/>
      <c r="AW8" s="55"/>
      <c r="AX8" s="55"/>
      <c r="AY8" s="161"/>
      <c r="AZ8" s="169"/>
      <c r="BA8" s="131"/>
      <c r="BB8" s="74"/>
      <c r="BC8" s="34"/>
      <c r="BD8" s="28"/>
    </row>
    <row r="9" spans="1:59" ht="13.5" customHeight="1">
      <c r="A9" s="22"/>
      <c r="B9" s="185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4"/>
      <c r="BB9" s="74"/>
      <c r="BC9" s="34"/>
      <c r="BD9" s="28"/>
    </row>
    <row r="10" spans="1:59" ht="13.5" customHeight="1">
      <c r="A10" s="22"/>
      <c r="B10" s="185"/>
      <c r="C10" s="41" t="s">
        <v>46</v>
      </c>
      <c r="D10" s="31"/>
      <c r="E10" s="31"/>
      <c r="F10" s="31" t="s">
        <v>50</v>
      </c>
      <c r="G10" s="31"/>
      <c r="H10" s="115" t="s">
        <v>49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61"/>
      <c r="U10" s="61"/>
      <c r="V10" s="61"/>
      <c r="W10" s="61"/>
      <c r="X10" s="60"/>
      <c r="Y10" s="61"/>
      <c r="Z10" s="61"/>
      <c r="AA10" s="61"/>
      <c r="AB10" s="62"/>
      <c r="AC10" s="61"/>
      <c r="AD10" s="63"/>
      <c r="AE10" s="63"/>
      <c r="AF10" s="63"/>
      <c r="AG10" s="63"/>
      <c r="AH10" s="63"/>
      <c r="AI10" s="71"/>
      <c r="AJ10" s="61"/>
      <c r="AK10" s="61"/>
      <c r="AL10" s="61"/>
      <c r="AM10" s="61"/>
      <c r="AN10" s="113"/>
      <c r="AO10" s="60"/>
      <c r="AP10" s="60"/>
      <c r="AQ10" s="61"/>
      <c r="AR10" s="61"/>
      <c r="AS10" s="61"/>
      <c r="AT10" s="62"/>
      <c r="AU10" s="61"/>
      <c r="AV10" s="63"/>
      <c r="AW10" s="63"/>
      <c r="AX10" s="63"/>
      <c r="AY10" s="31"/>
      <c r="AZ10" s="33"/>
      <c r="BA10" s="44"/>
      <c r="BB10" s="74"/>
      <c r="BC10" s="34"/>
      <c r="BD10" s="28"/>
    </row>
    <row r="11" spans="1:59" ht="13.5" customHeight="1">
      <c r="A11" s="22"/>
      <c r="B11" s="185"/>
      <c r="C11" s="41" t="s">
        <v>47</v>
      </c>
      <c r="D11" s="31"/>
      <c r="E11" s="31"/>
      <c r="F11" s="31" t="s">
        <v>50</v>
      </c>
      <c r="G11" s="31"/>
      <c r="H11" s="71" t="s">
        <v>51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61"/>
      <c r="U11" s="61"/>
      <c r="V11" s="61"/>
      <c r="W11" s="61"/>
      <c r="X11" s="60"/>
      <c r="Y11" s="61"/>
      <c r="Z11" s="61"/>
      <c r="AA11" s="61"/>
      <c r="AB11" s="62"/>
      <c r="AC11" s="61"/>
      <c r="AD11" s="63"/>
      <c r="AE11" s="63"/>
      <c r="AF11" s="63"/>
      <c r="AG11" s="63"/>
      <c r="AH11" s="63"/>
      <c r="AI11" s="71"/>
      <c r="AJ11" s="61"/>
      <c r="AK11" s="61"/>
      <c r="AL11" s="61"/>
      <c r="AM11" s="61"/>
      <c r="AN11" s="113"/>
      <c r="AO11" s="60"/>
      <c r="AP11" s="60"/>
      <c r="AQ11" s="61"/>
      <c r="AR11" s="61"/>
      <c r="AS11" s="61"/>
      <c r="AT11" s="62"/>
      <c r="AU11" s="61"/>
      <c r="AV11" s="63"/>
      <c r="AW11" s="63"/>
      <c r="AX11" s="63"/>
      <c r="AY11" s="31"/>
      <c r="AZ11" s="33"/>
      <c r="BA11" s="44"/>
      <c r="BB11" s="74"/>
      <c r="BC11" s="34"/>
      <c r="BD11" s="28"/>
    </row>
    <row r="12" spans="1:59" ht="13.5" customHeight="1">
      <c r="A12" s="22"/>
      <c r="B12" s="185"/>
      <c r="C12" s="41" t="s">
        <v>48</v>
      </c>
      <c r="D12" s="31"/>
      <c r="E12" s="31"/>
      <c r="F12" s="31" t="s">
        <v>50</v>
      </c>
      <c r="G12" s="31"/>
      <c r="H12" s="71" t="s">
        <v>52</v>
      </c>
      <c r="I12" s="71"/>
      <c r="J12" s="71"/>
      <c r="K12" s="71"/>
      <c r="L12" s="71" t="s">
        <v>53</v>
      </c>
      <c r="M12" s="71"/>
      <c r="N12" s="71"/>
      <c r="O12" s="71" t="s">
        <v>54</v>
      </c>
      <c r="P12" s="71"/>
      <c r="Q12" s="71"/>
      <c r="R12" s="71"/>
      <c r="S12" s="71"/>
      <c r="T12" s="61"/>
      <c r="U12" s="61"/>
      <c r="V12" s="61"/>
      <c r="W12" s="61"/>
      <c r="X12" s="60"/>
      <c r="Y12" s="61"/>
      <c r="Z12" s="61"/>
      <c r="AA12" s="61"/>
      <c r="AB12" s="62"/>
      <c r="AC12" s="61"/>
      <c r="AD12" s="63"/>
      <c r="AE12" s="63"/>
      <c r="AF12" s="63"/>
      <c r="AG12" s="63"/>
      <c r="AH12" s="63"/>
      <c r="AI12" s="71"/>
      <c r="AJ12" s="61"/>
      <c r="AK12" s="61"/>
      <c r="AL12" s="61"/>
      <c r="AM12" s="61"/>
      <c r="AN12" s="113"/>
      <c r="AO12" s="60"/>
      <c r="AP12" s="60"/>
      <c r="AQ12" s="61"/>
      <c r="AR12" s="61"/>
      <c r="AS12" s="61"/>
      <c r="AT12" s="62"/>
      <c r="AU12" s="61"/>
      <c r="AV12" s="63"/>
      <c r="AW12" s="63"/>
      <c r="AX12" s="63"/>
      <c r="AY12" s="31"/>
      <c r="AZ12" s="33"/>
      <c r="BA12" s="44"/>
      <c r="BB12" s="74"/>
      <c r="BC12" s="34"/>
      <c r="BD12" s="28"/>
    </row>
    <row r="13" spans="1:59" ht="13.5" customHeight="1">
      <c r="A13" s="22"/>
      <c r="B13" s="186">
        <v>1</v>
      </c>
      <c r="C13" s="187">
        <v>2</v>
      </c>
      <c r="D13" s="187">
        <v>3</v>
      </c>
      <c r="E13" s="187">
        <v>4</v>
      </c>
      <c r="F13" s="187">
        <v>5</v>
      </c>
      <c r="G13" s="187">
        <v>6</v>
      </c>
      <c r="H13" s="187">
        <v>7</v>
      </c>
      <c r="I13" s="187">
        <v>8</v>
      </c>
      <c r="J13" s="187">
        <v>9</v>
      </c>
      <c r="K13" s="187">
        <v>10</v>
      </c>
      <c r="L13" s="187">
        <v>11</v>
      </c>
      <c r="M13" s="187">
        <v>12</v>
      </c>
      <c r="N13" s="187">
        <v>13</v>
      </c>
      <c r="O13" s="187">
        <v>14</v>
      </c>
      <c r="P13" s="187">
        <v>15</v>
      </c>
      <c r="Q13" s="187">
        <v>16</v>
      </c>
      <c r="R13" s="187">
        <v>17</v>
      </c>
      <c r="S13" s="187">
        <v>18</v>
      </c>
      <c r="T13" s="187">
        <v>19</v>
      </c>
      <c r="U13" s="187">
        <v>20</v>
      </c>
      <c r="V13" s="187">
        <v>21</v>
      </c>
      <c r="W13" s="187">
        <v>22</v>
      </c>
      <c r="X13" s="187">
        <v>23</v>
      </c>
      <c r="Y13" s="187">
        <v>24</v>
      </c>
      <c r="Z13" s="187">
        <v>25</v>
      </c>
      <c r="AA13" s="187">
        <v>26</v>
      </c>
      <c r="AB13" s="187">
        <v>27</v>
      </c>
      <c r="AC13" s="187">
        <v>28</v>
      </c>
      <c r="AD13" s="187">
        <v>29</v>
      </c>
      <c r="AE13" s="187">
        <v>30</v>
      </c>
      <c r="AF13" s="187">
        <v>31</v>
      </c>
      <c r="AG13" s="187">
        <v>32</v>
      </c>
      <c r="AH13" s="187">
        <v>33</v>
      </c>
      <c r="AI13" s="187">
        <v>34</v>
      </c>
      <c r="AJ13" s="187">
        <v>35</v>
      </c>
      <c r="AK13" s="187">
        <v>36</v>
      </c>
      <c r="AL13" s="187">
        <v>37</v>
      </c>
      <c r="AM13" s="187">
        <v>38</v>
      </c>
      <c r="AN13" s="187">
        <v>39</v>
      </c>
      <c r="AO13" s="187">
        <v>40</v>
      </c>
      <c r="AP13" s="187"/>
      <c r="AQ13" s="187">
        <v>41</v>
      </c>
      <c r="AR13" s="187">
        <v>42</v>
      </c>
      <c r="AS13" s="187">
        <v>43</v>
      </c>
      <c r="AT13" s="187">
        <v>44</v>
      </c>
      <c r="AU13" s="187">
        <v>45</v>
      </c>
      <c r="AV13" s="187">
        <v>46</v>
      </c>
      <c r="AW13" s="187">
        <v>47</v>
      </c>
      <c r="AX13" s="63"/>
      <c r="AY13" s="31"/>
      <c r="AZ13" s="33"/>
      <c r="BA13" s="44"/>
      <c r="BB13" s="74"/>
      <c r="BC13" s="34"/>
      <c r="BD13" s="28"/>
      <c r="BE13" s="24"/>
      <c r="BF13" s="24"/>
    </row>
    <row r="14" spans="1:59" ht="13.5" customHeight="1">
      <c r="A14" s="22"/>
      <c r="B14" s="186">
        <v>2</v>
      </c>
      <c r="C14" s="188" t="s">
        <v>77</v>
      </c>
      <c r="D14" s="28"/>
      <c r="E14" s="28"/>
      <c r="F14" s="28"/>
      <c r="G14" s="28"/>
      <c r="H14" s="109"/>
      <c r="I14" s="60"/>
      <c r="J14" s="61"/>
      <c r="K14" s="60"/>
      <c r="L14" s="61"/>
      <c r="M14" s="66"/>
      <c r="N14" s="66"/>
      <c r="O14" s="63"/>
      <c r="P14" s="66"/>
      <c r="Q14" s="63"/>
      <c r="R14" s="66"/>
      <c r="S14" s="28"/>
      <c r="T14" s="28"/>
      <c r="U14" s="28"/>
      <c r="V14" s="28"/>
      <c r="W14" s="28"/>
      <c r="X14" s="109"/>
      <c r="Y14" s="60"/>
      <c r="Z14" s="61"/>
      <c r="AA14" s="60"/>
      <c r="AB14" s="61"/>
      <c r="AC14" s="66"/>
      <c r="AD14" s="66"/>
      <c r="AE14" s="63"/>
      <c r="AF14" s="66"/>
      <c r="AG14" s="63"/>
      <c r="AH14" s="66"/>
      <c r="AI14" s="62"/>
      <c r="AJ14" s="66"/>
      <c r="AK14" s="63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17"/>
      <c r="AW14" s="28"/>
      <c r="AX14" s="63"/>
      <c r="AY14" s="31"/>
      <c r="AZ14" s="33"/>
      <c r="BA14" s="44"/>
      <c r="BB14" s="74"/>
      <c r="BC14" s="34"/>
      <c r="BD14" s="28"/>
    </row>
    <row r="15" spans="1:59" ht="5.15" customHeight="1">
      <c r="A15" s="22"/>
      <c r="B15" s="186"/>
      <c r="C15" s="277"/>
      <c r="D15" s="68"/>
      <c r="E15" s="68"/>
      <c r="F15" s="68"/>
      <c r="G15" s="68"/>
      <c r="H15" s="278"/>
      <c r="I15" s="260"/>
      <c r="J15" s="261"/>
      <c r="K15" s="260"/>
      <c r="L15" s="261"/>
      <c r="M15" s="279"/>
      <c r="N15" s="279"/>
      <c r="O15" s="245"/>
      <c r="P15" s="279"/>
      <c r="Q15" s="245"/>
      <c r="R15" s="279"/>
      <c r="S15" s="263"/>
      <c r="T15" s="68"/>
      <c r="U15" s="68"/>
      <c r="V15" s="68"/>
      <c r="W15" s="68"/>
      <c r="X15" s="68"/>
      <c r="Y15" s="278"/>
      <c r="Z15" s="260"/>
      <c r="AA15" s="261"/>
      <c r="AB15" s="260"/>
      <c r="AC15" s="261"/>
      <c r="AD15" s="279"/>
      <c r="AE15" s="279"/>
      <c r="AF15" s="245"/>
      <c r="AG15" s="279"/>
      <c r="AH15" s="279"/>
      <c r="AI15" s="262"/>
      <c r="AJ15" s="279"/>
      <c r="AK15" s="245"/>
      <c r="AL15" s="68"/>
      <c r="AM15" s="68"/>
      <c r="AN15" s="68"/>
      <c r="AO15" s="68"/>
      <c r="AP15" s="68"/>
      <c r="AQ15" s="68"/>
      <c r="AR15" s="68"/>
      <c r="AS15" s="261"/>
      <c r="AT15" s="262"/>
      <c r="AU15" s="261"/>
      <c r="AV15" s="245"/>
      <c r="AW15" s="245"/>
      <c r="AX15" s="245"/>
      <c r="AY15" s="247"/>
      <c r="AZ15" s="33"/>
      <c r="BA15" s="44"/>
      <c r="BB15" s="74"/>
      <c r="BC15" s="34"/>
      <c r="BD15" s="28"/>
    </row>
    <row r="16" spans="1:59" ht="13.5" customHeight="1">
      <c r="A16" s="22"/>
      <c r="B16" s="43"/>
      <c r="C16" s="248" t="s">
        <v>78</v>
      </c>
      <c r="D16" s="28"/>
      <c r="E16" s="28"/>
      <c r="F16" s="28"/>
      <c r="G16" s="28"/>
      <c r="H16" s="238" t="s">
        <v>107</v>
      </c>
      <c r="I16" s="238"/>
      <c r="J16" s="238"/>
      <c r="K16" s="26"/>
      <c r="L16" s="26"/>
      <c r="M16" s="96"/>
      <c r="N16" s="91"/>
      <c r="O16" s="65"/>
      <c r="P16" s="65"/>
      <c r="Q16" s="92"/>
      <c r="R16" s="91"/>
      <c r="S16" s="91"/>
      <c r="T16" s="91"/>
      <c r="U16" s="65"/>
      <c r="V16" s="92"/>
      <c r="W16" s="91"/>
      <c r="X16" s="63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3"/>
      <c r="AY16" s="249"/>
      <c r="AZ16" s="33"/>
      <c r="BA16" s="44"/>
      <c r="BB16" s="74"/>
      <c r="BC16" s="34"/>
      <c r="BD16" s="28"/>
      <c r="BE16" s="35"/>
      <c r="BF16" s="35"/>
      <c r="BG16" s="35"/>
    </row>
    <row r="17" spans="1:59" ht="13.5" customHeight="1">
      <c r="A17" s="22"/>
      <c r="B17" s="186">
        <v>3</v>
      </c>
      <c r="C17" s="248" t="s">
        <v>55</v>
      </c>
      <c r="D17" s="31"/>
      <c r="E17" s="31"/>
      <c r="F17" s="31"/>
      <c r="G17" s="31"/>
      <c r="H17" s="56"/>
      <c r="I17" s="57"/>
      <c r="J17" s="57"/>
      <c r="K17" s="57"/>
      <c r="L17" s="58"/>
      <c r="M17" s="57"/>
      <c r="N17" s="59"/>
      <c r="O17" s="59"/>
      <c r="P17" s="59"/>
      <c r="Q17" s="59"/>
      <c r="R17" s="59"/>
      <c r="S17" s="116"/>
      <c r="T17" s="57"/>
      <c r="U17" s="57"/>
      <c r="V17" s="57"/>
      <c r="W17" s="57"/>
      <c r="X17" s="111"/>
      <c r="Y17" s="57"/>
      <c r="Z17" s="57"/>
      <c r="AA17" s="57"/>
      <c r="AB17" s="58"/>
      <c r="AC17" s="57"/>
      <c r="AD17" s="59"/>
      <c r="AE17" s="59"/>
      <c r="AF17" s="59"/>
      <c r="AG17" s="59"/>
      <c r="AH17" s="86"/>
      <c r="AI17" s="71"/>
      <c r="AJ17" s="61"/>
      <c r="AK17" s="61"/>
      <c r="AL17" s="61"/>
      <c r="AM17" s="61"/>
      <c r="AN17" s="113"/>
      <c r="AO17" s="60"/>
      <c r="AP17" s="60"/>
      <c r="AQ17" s="61"/>
      <c r="AR17" s="61"/>
      <c r="AS17" s="61"/>
      <c r="AT17" s="62"/>
      <c r="AU17" s="61"/>
      <c r="AV17" s="63"/>
      <c r="AW17" s="63"/>
      <c r="AX17" s="63"/>
      <c r="AY17" s="249"/>
      <c r="AZ17" s="33"/>
      <c r="BA17" s="44"/>
      <c r="BB17" s="74"/>
      <c r="BC17" s="34"/>
      <c r="BD17" s="28"/>
      <c r="BE17" s="35"/>
      <c r="BF17" s="35"/>
      <c r="BG17" s="35"/>
    </row>
    <row r="18" spans="1:59" ht="13.5" customHeight="1">
      <c r="A18" s="22"/>
      <c r="B18" s="185"/>
      <c r="C18" s="248" t="s">
        <v>37</v>
      </c>
      <c r="D18" s="31"/>
      <c r="E18" s="31"/>
      <c r="F18" s="31"/>
      <c r="G18" s="31"/>
      <c r="H18" s="56"/>
      <c r="I18" s="57"/>
      <c r="J18" s="57"/>
      <c r="K18" s="57"/>
      <c r="L18" s="58"/>
      <c r="M18" s="57"/>
      <c r="N18" s="59"/>
      <c r="O18" s="59"/>
      <c r="P18" s="59"/>
      <c r="Q18" s="173"/>
      <c r="R18" s="70"/>
      <c r="S18" s="71"/>
      <c r="T18" s="104" t="s">
        <v>56</v>
      </c>
      <c r="U18" s="31"/>
      <c r="V18" s="31"/>
      <c r="W18" s="31"/>
      <c r="X18" s="31"/>
      <c r="Y18" s="56"/>
      <c r="Z18" s="57"/>
      <c r="AA18" s="57"/>
      <c r="AB18" s="57"/>
      <c r="AC18" s="58"/>
      <c r="AD18" s="57"/>
      <c r="AE18" s="59"/>
      <c r="AF18" s="59"/>
      <c r="AG18" s="67"/>
      <c r="AH18" s="63"/>
      <c r="AI18" s="71"/>
      <c r="AJ18" s="61"/>
      <c r="AK18" s="71" t="s">
        <v>57</v>
      </c>
      <c r="AL18" s="61"/>
      <c r="AM18" s="61"/>
      <c r="AN18" s="61"/>
      <c r="AO18" s="61"/>
      <c r="AP18" s="56"/>
      <c r="AQ18" s="57"/>
      <c r="AR18" s="57"/>
      <c r="AS18" s="57"/>
      <c r="AT18" s="58"/>
      <c r="AU18" s="57"/>
      <c r="AV18" s="59"/>
      <c r="AW18" s="59"/>
      <c r="AX18" s="67"/>
      <c r="AY18" s="249"/>
      <c r="AZ18" s="33"/>
      <c r="BA18" s="44"/>
      <c r="BB18" s="74"/>
      <c r="BC18" s="34"/>
      <c r="BD18" s="28"/>
      <c r="BE18" s="35"/>
      <c r="BF18" s="35"/>
      <c r="BG18" s="35"/>
    </row>
    <row r="19" spans="1:59" ht="13.5" customHeight="1">
      <c r="A19" s="22"/>
      <c r="B19" s="185"/>
      <c r="C19" s="248" t="s">
        <v>58</v>
      </c>
      <c r="D19" s="31"/>
      <c r="E19" s="31"/>
      <c r="F19" s="31"/>
      <c r="G19" s="31"/>
      <c r="H19" s="56"/>
      <c r="I19" s="57"/>
      <c r="J19" s="57"/>
      <c r="K19" s="57"/>
      <c r="L19" s="58"/>
      <c r="M19" s="57"/>
      <c r="N19" s="59"/>
      <c r="O19" s="59"/>
      <c r="P19" s="90" t="s">
        <v>33</v>
      </c>
      <c r="Q19" s="86"/>
      <c r="R19" s="63"/>
      <c r="S19" s="35"/>
      <c r="T19" s="41" t="s">
        <v>59</v>
      </c>
      <c r="U19" s="61"/>
      <c r="V19" s="61"/>
      <c r="W19" s="61"/>
      <c r="X19" s="61"/>
      <c r="Y19" s="112" t="s">
        <v>66</v>
      </c>
      <c r="Z19" s="57"/>
      <c r="AA19" s="57"/>
      <c r="AB19" s="57"/>
      <c r="AC19" s="58"/>
      <c r="AD19" s="57"/>
      <c r="AE19" s="59"/>
      <c r="AF19" s="59"/>
      <c r="AG19" s="67"/>
      <c r="AH19" s="63"/>
      <c r="AI19" s="71"/>
      <c r="AJ19" s="61"/>
      <c r="AK19" s="61"/>
      <c r="AL19" s="61"/>
      <c r="AM19" s="61"/>
      <c r="AN19" s="113"/>
      <c r="AO19" s="60"/>
      <c r="AP19" s="60"/>
      <c r="AQ19" s="61"/>
      <c r="AR19" s="61"/>
      <c r="AS19" s="61"/>
      <c r="AT19" s="62"/>
      <c r="AU19" s="61"/>
      <c r="AV19" s="63"/>
      <c r="AW19" s="63"/>
      <c r="AX19" s="63"/>
      <c r="AY19" s="249"/>
      <c r="AZ19" s="33"/>
      <c r="BA19" s="44"/>
      <c r="BB19" s="74"/>
      <c r="BC19" s="34"/>
      <c r="BD19" s="28"/>
      <c r="BE19" s="35"/>
      <c r="BF19" s="35"/>
      <c r="BG19" s="35"/>
    </row>
    <row r="20" spans="1:59" ht="13.5" customHeight="1">
      <c r="A20" s="22"/>
      <c r="B20" s="185"/>
      <c r="C20" s="248" t="s">
        <v>79</v>
      </c>
      <c r="D20" s="31"/>
      <c r="E20" s="31"/>
      <c r="F20" s="31"/>
      <c r="G20" s="31"/>
      <c r="H20" s="56"/>
      <c r="I20" s="57"/>
      <c r="J20" s="57"/>
      <c r="K20" s="343">
        <v>0.05</v>
      </c>
      <c r="L20" s="280" t="s">
        <v>80</v>
      </c>
      <c r="M20" s="94"/>
      <c r="N20" s="70"/>
      <c r="O20" s="70"/>
      <c r="P20" s="70"/>
      <c r="Q20" s="63"/>
      <c r="R20" s="63"/>
      <c r="S20" s="35"/>
      <c r="T20" s="35"/>
      <c r="U20" s="35"/>
      <c r="V20" s="61"/>
      <c r="W20" s="61"/>
      <c r="X20" s="61"/>
      <c r="Y20" s="93"/>
      <c r="Z20" s="94"/>
      <c r="AA20" s="94"/>
      <c r="AB20" s="94"/>
      <c r="AC20" s="95"/>
      <c r="AD20" s="94"/>
      <c r="AE20" s="70"/>
      <c r="AF20" s="70"/>
      <c r="AG20" s="70"/>
      <c r="AH20" s="63"/>
      <c r="AI20" s="71"/>
      <c r="AJ20" s="61"/>
      <c r="AK20" s="61"/>
      <c r="AL20" s="61"/>
      <c r="AM20" s="61"/>
      <c r="AN20" s="113"/>
      <c r="AO20" s="60"/>
      <c r="AP20" s="60"/>
      <c r="AQ20" s="61"/>
      <c r="AR20" s="61"/>
      <c r="AS20" s="61"/>
      <c r="AT20" s="62"/>
      <c r="AU20" s="61"/>
      <c r="AV20" s="63"/>
      <c r="AW20" s="63"/>
      <c r="AX20" s="63"/>
      <c r="AY20" s="249"/>
      <c r="AZ20" s="33"/>
      <c r="BA20" s="44"/>
      <c r="BB20" s="74"/>
      <c r="BC20" s="34"/>
      <c r="BD20" s="28"/>
      <c r="BE20" s="35"/>
      <c r="BF20" s="35"/>
      <c r="BG20" s="35"/>
    </row>
    <row r="21" spans="1:59" ht="5.15" customHeight="1">
      <c r="A21" s="22"/>
      <c r="B21" s="185"/>
      <c r="C21" s="250"/>
      <c r="D21" s="251"/>
      <c r="E21" s="251"/>
      <c r="F21" s="251"/>
      <c r="G21" s="251"/>
      <c r="H21" s="257"/>
      <c r="I21" s="255"/>
      <c r="J21" s="255"/>
      <c r="K21" s="255"/>
      <c r="L21" s="258"/>
      <c r="M21" s="255"/>
      <c r="N21" s="252"/>
      <c r="O21" s="252"/>
      <c r="P21" s="252"/>
      <c r="Q21" s="252"/>
      <c r="R21" s="252"/>
      <c r="S21" s="253"/>
      <c r="T21" s="254"/>
      <c r="U21" s="255"/>
      <c r="V21" s="255"/>
      <c r="W21" s="255"/>
      <c r="X21" s="255"/>
      <c r="Y21" s="257"/>
      <c r="Z21" s="255"/>
      <c r="AA21" s="255"/>
      <c r="AB21" s="255"/>
      <c r="AC21" s="258"/>
      <c r="AD21" s="255"/>
      <c r="AE21" s="252"/>
      <c r="AF21" s="252"/>
      <c r="AG21" s="252"/>
      <c r="AH21" s="252"/>
      <c r="AI21" s="254"/>
      <c r="AJ21" s="255"/>
      <c r="AK21" s="255"/>
      <c r="AL21" s="255"/>
      <c r="AM21" s="255"/>
      <c r="AN21" s="256"/>
      <c r="AO21" s="257"/>
      <c r="AP21" s="257"/>
      <c r="AQ21" s="255"/>
      <c r="AR21" s="255"/>
      <c r="AS21" s="255"/>
      <c r="AT21" s="258"/>
      <c r="AU21" s="255"/>
      <c r="AV21" s="252"/>
      <c r="AW21" s="252"/>
      <c r="AX21" s="252"/>
      <c r="AY21" s="259"/>
      <c r="AZ21" s="33"/>
      <c r="BA21" s="44"/>
      <c r="BB21" s="74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2"/>
      <c r="D22" s="60"/>
      <c r="E22" s="61"/>
      <c r="F22" s="61"/>
      <c r="G22" s="61"/>
      <c r="H22" s="66"/>
      <c r="I22" s="66"/>
      <c r="J22" s="63"/>
      <c r="K22" s="66"/>
      <c r="L22" s="63"/>
      <c r="M22" s="66"/>
      <c r="N22" s="62"/>
      <c r="O22" s="66"/>
      <c r="P22" s="63"/>
      <c r="Q22" s="28"/>
      <c r="R22" s="28"/>
      <c r="T22" s="31"/>
      <c r="U22" s="31"/>
      <c r="V22" s="31"/>
      <c r="W22" s="31"/>
      <c r="X22" s="31"/>
      <c r="Y22" s="42"/>
      <c r="Z22" s="31"/>
      <c r="AA22" s="28"/>
      <c r="AB22" s="42"/>
      <c r="AC22" s="31"/>
      <c r="AD22" s="28"/>
      <c r="AE22" s="42"/>
      <c r="AF22" s="28"/>
      <c r="AG22" s="28"/>
      <c r="AH22" s="28"/>
      <c r="AI22" s="28"/>
      <c r="AJ22" s="72"/>
      <c r="AK22" s="28"/>
      <c r="AL22" s="28"/>
      <c r="AM22" s="28"/>
      <c r="AN22" s="28"/>
      <c r="AO22" s="28"/>
      <c r="AP22" s="28"/>
      <c r="AQ22" s="28"/>
      <c r="AR22" s="28"/>
      <c r="AS22" s="61"/>
      <c r="AT22" s="62"/>
      <c r="AU22" s="61"/>
      <c r="AV22" s="63"/>
      <c r="AW22" s="63"/>
      <c r="AX22" s="63"/>
      <c r="AY22" s="31"/>
      <c r="AZ22" s="33"/>
      <c r="BA22" s="44"/>
      <c r="BB22" s="74"/>
      <c r="BC22" s="34"/>
      <c r="BD22" s="28"/>
    </row>
    <row r="23" spans="1:59" ht="13.5" customHeight="1">
      <c r="A23" s="22"/>
      <c r="B23" s="186">
        <v>2</v>
      </c>
      <c r="C23" s="188" t="s">
        <v>81</v>
      </c>
      <c r="D23" s="28"/>
      <c r="E23" s="28"/>
      <c r="F23" s="28"/>
      <c r="G23" s="28"/>
      <c r="H23" s="109"/>
      <c r="I23" s="60"/>
      <c r="J23" s="61"/>
      <c r="K23" s="60"/>
      <c r="L23" s="61"/>
      <c r="M23" s="66"/>
      <c r="N23" s="66"/>
      <c r="O23" s="63"/>
      <c r="P23" s="66"/>
      <c r="Q23" s="63"/>
      <c r="R23" s="66"/>
      <c r="S23" s="35"/>
      <c r="T23" s="28"/>
      <c r="U23" s="28"/>
      <c r="V23" s="28"/>
      <c r="W23" s="28"/>
      <c r="X23" s="28"/>
      <c r="Y23" s="109"/>
      <c r="Z23" s="60"/>
      <c r="AA23" s="61"/>
      <c r="AB23" s="60"/>
      <c r="AC23" s="61"/>
      <c r="AD23" s="66"/>
      <c r="AE23" s="66"/>
      <c r="AF23" s="63"/>
      <c r="AG23" s="66"/>
      <c r="AH23" s="66"/>
      <c r="AI23" s="62"/>
      <c r="AJ23" s="66"/>
      <c r="AK23" s="63"/>
      <c r="AL23" s="28"/>
      <c r="AM23" s="28"/>
      <c r="AN23" s="28"/>
      <c r="AO23" s="28"/>
      <c r="AP23" s="28"/>
      <c r="AQ23" s="28"/>
      <c r="AR23" s="28"/>
      <c r="AS23" s="61"/>
      <c r="AT23" s="62"/>
      <c r="AU23" s="61"/>
      <c r="AV23" s="63"/>
      <c r="AW23" s="63"/>
      <c r="AX23" s="63"/>
      <c r="AY23" s="31"/>
      <c r="AZ23" s="33"/>
      <c r="BA23" s="44"/>
      <c r="BB23" s="74"/>
      <c r="BC23" s="34"/>
      <c r="BD23" s="28"/>
    </row>
    <row r="24" spans="1:59" ht="5.15" customHeight="1">
      <c r="A24" s="22"/>
      <c r="B24" s="186"/>
      <c r="C24" s="277"/>
      <c r="D24" s="68"/>
      <c r="E24" s="68"/>
      <c r="F24" s="68"/>
      <c r="G24" s="68"/>
      <c r="H24" s="278"/>
      <c r="I24" s="260"/>
      <c r="J24" s="261"/>
      <c r="K24" s="260"/>
      <c r="L24" s="261"/>
      <c r="M24" s="279"/>
      <c r="N24" s="279"/>
      <c r="O24" s="245"/>
      <c r="P24" s="279"/>
      <c r="Q24" s="245"/>
      <c r="R24" s="279"/>
      <c r="S24" s="263"/>
      <c r="T24" s="68"/>
      <c r="U24" s="68"/>
      <c r="V24" s="68"/>
      <c r="W24" s="68"/>
      <c r="X24" s="68"/>
      <c r="Y24" s="278"/>
      <c r="Z24" s="260"/>
      <c r="AA24" s="261"/>
      <c r="AB24" s="260"/>
      <c r="AC24" s="261"/>
      <c r="AD24" s="279"/>
      <c r="AE24" s="279"/>
      <c r="AF24" s="245"/>
      <c r="AG24" s="279"/>
      <c r="AH24" s="279"/>
      <c r="AI24" s="262"/>
      <c r="AJ24" s="279"/>
      <c r="AK24" s="245"/>
      <c r="AL24" s="68"/>
      <c r="AM24" s="68"/>
      <c r="AN24" s="68"/>
      <c r="AO24" s="68"/>
      <c r="AP24" s="68"/>
      <c r="AQ24" s="68"/>
      <c r="AR24" s="68"/>
      <c r="AS24" s="261"/>
      <c r="AT24" s="262"/>
      <c r="AU24" s="261"/>
      <c r="AV24" s="245"/>
      <c r="AW24" s="245"/>
      <c r="AX24" s="245"/>
      <c r="AY24" s="247"/>
      <c r="AZ24" s="33"/>
      <c r="BA24" s="44"/>
      <c r="BB24" s="74"/>
      <c r="BC24" s="34"/>
      <c r="BD24" s="28"/>
    </row>
    <row r="25" spans="1:59" ht="13.5" customHeight="1">
      <c r="A25" s="22"/>
      <c r="B25" s="43"/>
      <c r="C25" s="248" t="s">
        <v>82</v>
      </c>
      <c r="D25" s="28"/>
      <c r="E25" s="28"/>
      <c r="F25" s="28"/>
      <c r="G25" s="28"/>
      <c r="H25" s="56"/>
      <c r="I25" s="57"/>
      <c r="J25" s="57"/>
      <c r="K25" s="57"/>
      <c r="L25" s="58"/>
      <c r="M25" s="57"/>
      <c r="N25" s="67"/>
      <c r="O25" s="86" t="s">
        <v>83</v>
      </c>
      <c r="Q25" s="62"/>
      <c r="R25" s="61"/>
      <c r="S25" s="35"/>
      <c r="T25" s="28" t="s">
        <v>88</v>
      </c>
      <c r="U25" s="28"/>
      <c r="V25" s="28"/>
      <c r="W25" s="28"/>
      <c r="Y25" s="56"/>
      <c r="Z25" s="57"/>
      <c r="AA25" s="57"/>
      <c r="AB25" s="57"/>
      <c r="AC25" s="58"/>
      <c r="AD25" s="57"/>
      <c r="AE25" s="59"/>
      <c r="AF25" s="67"/>
      <c r="AG25" s="86" t="s">
        <v>84</v>
      </c>
      <c r="AH25" s="28"/>
      <c r="AI25" s="28"/>
      <c r="AJ25" s="28"/>
      <c r="AK25" s="28" t="s">
        <v>85</v>
      </c>
      <c r="AL25" s="28"/>
      <c r="AM25" s="28"/>
      <c r="AN25" s="28"/>
      <c r="AO25" s="35"/>
      <c r="AP25" s="52"/>
      <c r="AQ25" s="53"/>
      <c r="AR25" s="53"/>
      <c r="AS25" s="53"/>
      <c r="AT25" s="54"/>
      <c r="AU25" s="53"/>
      <c r="AV25" s="55"/>
      <c r="AW25" s="64"/>
      <c r="AX25" s="86" t="s">
        <v>86</v>
      </c>
      <c r="AY25" s="265"/>
      <c r="AZ25" s="33"/>
      <c r="BA25" s="44"/>
      <c r="BB25" s="74"/>
      <c r="BC25" s="34"/>
      <c r="BD25" s="28"/>
      <c r="BE25" s="35"/>
      <c r="BF25" s="35"/>
      <c r="BG25" s="35"/>
    </row>
    <row r="26" spans="1:59" ht="13.5" customHeight="1">
      <c r="A26" s="22"/>
      <c r="B26" s="43"/>
      <c r="C26" s="264" t="s">
        <v>150</v>
      </c>
      <c r="D26" s="28"/>
      <c r="E26" s="28"/>
      <c r="F26" s="28"/>
      <c r="H26" s="56"/>
      <c r="I26" s="57"/>
      <c r="J26" s="57"/>
      <c r="K26" s="57"/>
      <c r="L26" s="58"/>
      <c r="M26" s="57"/>
      <c r="N26" s="59"/>
      <c r="O26" s="59"/>
      <c r="P26" s="67"/>
      <c r="Q26" s="62"/>
      <c r="R26" s="28"/>
      <c r="S26" s="35"/>
      <c r="T26" s="28" t="s">
        <v>148</v>
      </c>
      <c r="V26" s="28"/>
      <c r="W26" s="28"/>
      <c r="Y26" s="56"/>
      <c r="Z26" s="57"/>
      <c r="AA26" s="57"/>
      <c r="AB26" s="57"/>
      <c r="AC26" s="58"/>
      <c r="AD26" s="57"/>
      <c r="AE26" s="59"/>
      <c r="AF26" s="59"/>
      <c r="AG26" s="67"/>
      <c r="AH26" s="28"/>
      <c r="AI26" s="28"/>
      <c r="AJ26" s="28"/>
      <c r="AL26" s="28"/>
      <c r="AM26" s="28"/>
      <c r="AN26" s="28"/>
      <c r="AO26" s="35"/>
      <c r="AP26" s="60"/>
      <c r="AQ26" s="61"/>
      <c r="AR26" s="61"/>
      <c r="AS26" s="61"/>
      <c r="AT26" s="62"/>
      <c r="AU26" s="61"/>
      <c r="AV26" s="63"/>
      <c r="AW26" s="63"/>
      <c r="AX26" s="63"/>
      <c r="AY26" s="265"/>
      <c r="AZ26" s="33"/>
      <c r="BA26" s="44"/>
      <c r="BB26" s="74"/>
      <c r="BC26" s="34"/>
      <c r="BD26" s="28"/>
      <c r="BE26" s="35"/>
      <c r="BF26" s="35"/>
      <c r="BG26" s="35"/>
    </row>
    <row r="27" spans="1:59" ht="14.15" customHeight="1">
      <c r="A27" s="22"/>
      <c r="B27" s="239"/>
      <c r="C27" s="368" t="s">
        <v>156</v>
      </c>
      <c r="F27" s="266"/>
      <c r="G27" s="266"/>
      <c r="H27" s="89" t="s">
        <v>89</v>
      </c>
      <c r="I27" s="240"/>
      <c r="J27" s="241"/>
      <c r="K27" s="241"/>
      <c r="L27" s="241"/>
      <c r="M27" s="242"/>
      <c r="N27" s="241"/>
      <c r="O27" s="101"/>
      <c r="P27" s="243" t="s">
        <v>33</v>
      </c>
      <c r="R27" s="118"/>
      <c r="S27" s="35"/>
      <c r="T27" s="266" t="s">
        <v>157</v>
      </c>
      <c r="U27" s="35"/>
      <c r="V27" s="266"/>
      <c r="W27" s="266"/>
      <c r="X27" s="266"/>
      <c r="Y27" s="89" t="s">
        <v>90</v>
      </c>
      <c r="Z27" s="240"/>
      <c r="AA27" s="241"/>
      <c r="AB27" s="241"/>
      <c r="AC27" s="241"/>
      <c r="AD27" s="242"/>
      <c r="AE27" s="241"/>
      <c r="AF27" s="130"/>
      <c r="AG27" s="367" t="s">
        <v>33</v>
      </c>
      <c r="AH27" s="35"/>
      <c r="AI27" s="35"/>
      <c r="AJ27" s="266"/>
      <c r="AL27" s="35"/>
      <c r="AM27" s="266"/>
      <c r="AN27" s="35"/>
      <c r="AO27" s="35"/>
      <c r="AP27" s="26"/>
      <c r="AQ27" s="364"/>
      <c r="AR27" s="365"/>
      <c r="AS27" s="365"/>
      <c r="AT27" s="365"/>
      <c r="AU27" s="366"/>
      <c r="AV27" s="38"/>
      <c r="AW27" s="26"/>
      <c r="AX27" s="370"/>
      <c r="AY27" s="267"/>
      <c r="AZ27" s="33"/>
      <c r="BA27" s="44"/>
      <c r="BB27" s="74"/>
      <c r="BC27" s="34"/>
      <c r="BD27" s="35"/>
      <c r="BE27" s="35"/>
      <c r="BF27" s="35"/>
      <c r="BG27" s="35"/>
    </row>
    <row r="28" spans="1:59" ht="13.5" customHeight="1">
      <c r="A28" s="22"/>
      <c r="B28" s="43"/>
      <c r="C28" s="264" t="s">
        <v>151</v>
      </c>
      <c r="D28" s="28"/>
      <c r="E28" s="28"/>
      <c r="F28" s="28"/>
      <c r="H28" s="56"/>
      <c r="I28" s="57"/>
      <c r="J28" s="57"/>
      <c r="K28" s="57"/>
      <c r="L28" s="58"/>
      <c r="M28" s="57"/>
      <c r="N28" s="59"/>
      <c r="O28" s="59"/>
      <c r="P28" s="67"/>
      <c r="Q28" s="62"/>
      <c r="R28" s="28"/>
      <c r="S28" s="35"/>
      <c r="T28" s="28" t="s">
        <v>152</v>
      </c>
      <c r="U28" s="28"/>
      <c r="V28" s="28"/>
      <c r="W28" s="28"/>
      <c r="Y28" s="56"/>
      <c r="Z28" s="57"/>
      <c r="AA28" s="57"/>
      <c r="AB28" s="57"/>
      <c r="AC28" s="58"/>
      <c r="AD28" s="57"/>
      <c r="AE28" s="59"/>
      <c r="AF28" s="59"/>
      <c r="AG28" s="67"/>
      <c r="AH28" s="28"/>
      <c r="AI28" s="28"/>
      <c r="AJ28" s="28" t="s">
        <v>153</v>
      </c>
      <c r="AK28" s="28"/>
      <c r="AL28" s="28"/>
      <c r="AM28" s="28"/>
      <c r="AN28" s="28"/>
      <c r="AO28" s="35"/>
      <c r="AP28" s="56"/>
      <c r="AQ28" s="57"/>
      <c r="AR28" s="57"/>
      <c r="AS28" s="57"/>
      <c r="AT28" s="58"/>
      <c r="AU28" s="57"/>
      <c r="AV28" s="59"/>
      <c r="AW28" s="59"/>
      <c r="AX28" s="369"/>
      <c r="AY28" s="265"/>
      <c r="AZ28" s="33"/>
      <c r="BA28" s="44"/>
      <c r="BB28" s="74"/>
      <c r="BC28" s="34"/>
      <c r="BD28" s="28"/>
      <c r="BE28" s="35"/>
      <c r="BF28" s="35"/>
      <c r="BG28" s="35"/>
    </row>
    <row r="29" spans="1:59" ht="13.5" customHeight="1">
      <c r="A29" s="22"/>
      <c r="B29" s="43"/>
      <c r="C29" s="264" t="s">
        <v>87</v>
      </c>
      <c r="D29" s="28"/>
      <c r="E29" s="28"/>
      <c r="F29" s="28"/>
      <c r="H29" s="56"/>
      <c r="I29" s="57"/>
      <c r="J29" s="57"/>
      <c r="K29" s="57"/>
      <c r="L29" s="58"/>
      <c r="M29" s="57"/>
      <c r="N29" s="59"/>
      <c r="O29" s="59"/>
      <c r="P29" s="243" t="s">
        <v>33</v>
      </c>
      <c r="Q29" s="62"/>
      <c r="R29" s="28"/>
      <c r="S29" s="35"/>
      <c r="T29" s="26" t="s">
        <v>154</v>
      </c>
      <c r="U29" s="28"/>
      <c r="V29" s="28"/>
      <c r="W29" s="28"/>
      <c r="Y29" s="56"/>
      <c r="Z29" s="57"/>
      <c r="AA29" s="57"/>
      <c r="AB29" s="57"/>
      <c r="AC29" s="58"/>
      <c r="AD29" s="57"/>
      <c r="AE29" s="59"/>
      <c r="AF29" s="59"/>
      <c r="AG29" s="67"/>
      <c r="AH29" s="28"/>
      <c r="AI29" s="28"/>
      <c r="AJ29" s="28" t="s">
        <v>155</v>
      </c>
      <c r="AK29" s="28"/>
      <c r="AL29" s="28"/>
      <c r="AM29" s="28"/>
      <c r="AN29" s="28"/>
      <c r="AO29" s="35"/>
      <c r="AP29" s="56"/>
      <c r="AQ29" s="57"/>
      <c r="AR29" s="57"/>
      <c r="AS29" s="57"/>
      <c r="AT29" s="58"/>
      <c r="AU29" s="57"/>
      <c r="AV29" s="67"/>
      <c r="AW29" s="86" t="s">
        <v>149</v>
      </c>
      <c r="AX29" s="35"/>
      <c r="AY29" s="265"/>
      <c r="AZ29" s="33"/>
      <c r="BA29" s="44"/>
      <c r="BB29" s="74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68" t="s">
        <v>91</v>
      </c>
      <c r="D30" s="39"/>
      <c r="E30" s="39"/>
      <c r="F30" s="39"/>
      <c r="G30" s="39"/>
      <c r="H30" s="147"/>
      <c r="I30" s="148"/>
      <c r="J30" s="149"/>
      <c r="K30" s="148"/>
      <c r="L30" s="149"/>
      <c r="M30" s="148"/>
      <c r="N30" s="150"/>
      <c r="O30" s="148"/>
      <c r="P30" s="149"/>
      <c r="Q30" s="149"/>
      <c r="R30" s="149"/>
      <c r="S30" s="151"/>
      <c r="T30" s="151"/>
      <c r="U30" s="151"/>
      <c r="V30" s="151"/>
      <c r="W30" s="151"/>
      <c r="X30" s="150"/>
      <c r="Y30" s="151"/>
      <c r="Z30" s="149"/>
      <c r="AA30" s="150"/>
      <c r="AB30" s="151"/>
      <c r="AC30" s="149"/>
      <c r="AD30" s="150"/>
      <c r="AE30" s="149"/>
      <c r="AF30" s="149"/>
      <c r="AG30" s="150"/>
      <c r="AH30" s="149"/>
      <c r="AI30" s="149"/>
      <c r="AJ30" s="152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4" t="s">
        <v>35</v>
      </c>
      <c r="AY30" s="265"/>
      <c r="AZ30" s="33"/>
      <c r="BA30" s="44"/>
      <c r="BB30" s="74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68"/>
      <c r="D31" s="39"/>
      <c r="E31" s="39"/>
      <c r="F31" s="39"/>
      <c r="G31" s="39"/>
      <c r="H31" s="153"/>
      <c r="I31" s="154"/>
      <c r="J31" s="155"/>
      <c r="K31" s="154"/>
      <c r="L31" s="155"/>
      <c r="M31" s="154"/>
      <c r="N31" s="156"/>
      <c r="O31" s="154"/>
      <c r="P31" s="155"/>
      <c r="Q31" s="155"/>
      <c r="R31" s="155"/>
      <c r="S31" s="157"/>
      <c r="T31" s="157"/>
      <c r="U31" s="157"/>
      <c r="V31" s="157"/>
      <c r="W31" s="157"/>
      <c r="X31" s="156"/>
      <c r="Y31" s="157"/>
      <c r="Z31" s="155"/>
      <c r="AA31" s="156"/>
      <c r="AB31" s="157"/>
      <c r="AC31" s="155"/>
      <c r="AD31" s="156"/>
      <c r="AE31" s="155"/>
      <c r="AF31" s="155"/>
      <c r="AG31" s="156"/>
      <c r="AH31" s="155"/>
      <c r="AI31" s="155"/>
      <c r="AJ31" s="158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10" t="s">
        <v>33</v>
      </c>
      <c r="AY31" s="265"/>
      <c r="AZ31" s="33"/>
      <c r="BA31" s="44"/>
      <c r="BB31" s="74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68" t="s">
        <v>92</v>
      </c>
      <c r="D32" s="39"/>
      <c r="E32" s="39"/>
      <c r="F32" s="39"/>
      <c r="G32" s="39"/>
      <c r="H32" s="147" t="s">
        <v>108</v>
      </c>
      <c r="I32" s="148"/>
      <c r="J32" s="149"/>
      <c r="K32" s="148"/>
      <c r="L32" s="149"/>
      <c r="M32" s="148"/>
      <c r="N32" s="150"/>
      <c r="O32" s="148"/>
      <c r="P32" s="149"/>
      <c r="Q32" s="149"/>
      <c r="R32" s="149"/>
      <c r="S32" s="151"/>
      <c r="T32" s="151"/>
      <c r="U32" s="151"/>
      <c r="V32" s="151"/>
      <c r="W32" s="151"/>
      <c r="X32" s="150"/>
      <c r="Y32" s="151"/>
      <c r="Z32" s="149"/>
      <c r="AA32" s="150"/>
      <c r="AB32" s="151"/>
      <c r="AC32" s="149"/>
      <c r="AD32" s="150"/>
      <c r="AE32" s="149"/>
      <c r="AF32" s="149"/>
      <c r="AG32" s="150"/>
      <c r="AH32" s="149"/>
      <c r="AI32" s="149"/>
      <c r="AJ32" s="152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4" t="s">
        <v>35</v>
      </c>
      <c r="AY32" s="265"/>
      <c r="AZ32" s="33"/>
      <c r="BA32" s="44"/>
      <c r="BB32" s="74"/>
      <c r="BC32" s="34"/>
      <c r="BD32" s="28"/>
      <c r="BE32" s="35"/>
      <c r="BF32" s="35"/>
      <c r="BG32" s="35"/>
    </row>
    <row r="33" spans="1:59" ht="13.5" customHeight="1">
      <c r="A33" s="22"/>
      <c r="B33" s="32"/>
      <c r="C33" s="268"/>
      <c r="D33" s="39"/>
      <c r="E33" s="39"/>
      <c r="F33" s="39"/>
      <c r="G33" s="39"/>
      <c r="H33" s="153"/>
      <c r="I33" s="154"/>
      <c r="J33" s="155"/>
      <c r="K33" s="154"/>
      <c r="L33" s="155"/>
      <c r="M33" s="154"/>
      <c r="N33" s="156"/>
      <c r="O33" s="154"/>
      <c r="P33" s="155"/>
      <c r="Q33" s="155"/>
      <c r="R33" s="155"/>
      <c r="S33" s="157"/>
      <c r="T33" s="157"/>
      <c r="U33" s="157"/>
      <c r="V33" s="157"/>
      <c r="W33" s="157"/>
      <c r="X33" s="156"/>
      <c r="Y33" s="157"/>
      <c r="Z33" s="155"/>
      <c r="AA33" s="156"/>
      <c r="AB33" s="157"/>
      <c r="AC33" s="155"/>
      <c r="AD33" s="156"/>
      <c r="AE33" s="155"/>
      <c r="AF33" s="155"/>
      <c r="AG33" s="156"/>
      <c r="AH33" s="155"/>
      <c r="AI33" s="155"/>
      <c r="AJ33" s="158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10" t="s">
        <v>33</v>
      </c>
      <c r="AY33" s="265"/>
      <c r="AZ33" s="33"/>
      <c r="BA33" s="44"/>
      <c r="BB33" s="74"/>
      <c r="BC33" s="34"/>
      <c r="BD33" s="28"/>
      <c r="BE33" s="35"/>
      <c r="BF33" s="35"/>
      <c r="BG33" s="35"/>
    </row>
    <row r="34" spans="1:59" ht="13.5" customHeight="1">
      <c r="A34" s="22"/>
      <c r="B34" s="32"/>
      <c r="C34" s="268" t="s">
        <v>93</v>
      </c>
      <c r="D34" s="39"/>
      <c r="E34" s="39"/>
      <c r="F34" s="39"/>
      <c r="G34" s="39"/>
      <c r="H34" s="147"/>
      <c r="I34" s="148"/>
      <c r="J34" s="149"/>
      <c r="K34" s="148"/>
      <c r="L34" s="149"/>
      <c r="M34" s="148"/>
      <c r="N34" s="150"/>
      <c r="O34" s="148"/>
      <c r="P34" s="149"/>
      <c r="Q34" s="149"/>
      <c r="R34" s="149"/>
      <c r="S34" s="151"/>
      <c r="T34" s="151"/>
      <c r="U34" s="151"/>
      <c r="V34" s="151"/>
      <c r="W34" s="151"/>
      <c r="X34" s="150"/>
      <c r="Y34" s="151"/>
      <c r="Z34" s="149"/>
      <c r="AA34" s="150"/>
      <c r="AB34" s="151"/>
      <c r="AC34" s="149"/>
      <c r="AD34" s="150"/>
      <c r="AE34" s="149"/>
      <c r="AF34" s="149"/>
      <c r="AG34" s="150"/>
      <c r="AH34" s="149"/>
      <c r="AI34" s="149"/>
      <c r="AJ34" s="152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4" t="s">
        <v>35</v>
      </c>
      <c r="AY34" s="265"/>
      <c r="AZ34" s="33"/>
      <c r="BA34" s="44"/>
      <c r="BB34" s="74"/>
      <c r="BC34" s="34"/>
      <c r="BD34" s="28"/>
      <c r="BE34" s="35"/>
      <c r="BF34" s="35"/>
      <c r="BG34" s="35"/>
    </row>
    <row r="35" spans="1:59" ht="13.5" customHeight="1">
      <c r="A35" s="22"/>
      <c r="B35" s="32"/>
      <c r="C35" s="268"/>
      <c r="D35" s="39"/>
      <c r="E35" s="39"/>
      <c r="F35" s="39"/>
      <c r="G35" s="39"/>
      <c r="H35" s="153"/>
      <c r="I35" s="154"/>
      <c r="J35" s="155"/>
      <c r="K35" s="154"/>
      <c r="L35" s="155"/>
      <c r="M35" s="154"/>
      <c r="N35" s="156"/>
      <c r="O35" s="154"/>
      <c r="P35" s="155"/>
      <c r="Q35" s="155"/>
      <c r="R35" s="155"/>
      <c r="S35" s="157"/>
      <c r="T35" s="157"/>
      <c r="U35" s="157"/>
      <c r="V35" s="157"/>
      <c r="W35" s="157"/>
      <c r="X35" s="156"/>
      <c r="Y35" s="157"/>
      <c r="Z35" s="155"/>
      <c r="AA35" s="156"/>
      <c r="AB35" s="157"/>
      <c r="AC35" s="155"/>
      <c r="AD35" s="156"/>
      <c r="AE35" s="155"/>
      <c r="AF35" s="155"/>
      <c r="AG35" s="156"/>
      <c r="AH35" s="155"/>
      <c r="AI35" s="155"/>
      <c r="AJ35" s="158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10" t="s">
        <v>33</v>
      </c>
      <c r="AY35" s="265"/>
      <c r="AZ35" s="33"/>
      <c r="BA35" s="44"/>
      <c r="BB35" s="74"/>
      <c r="BC35" s="34"/>
      <c r="BD35" s="28"/>
      <c r="BE35" s="35"/>
      <c r="BF35" s="35"/>
      <c r="BG35" s="35"/>
    </row>
    <row r="36" spans="1:59" ht="5.15" customHeight="1">
      <c r="A36" s="22"/>
      <c r="B36" s="32"/>
      <c r="C36" s="269"/>
      <c r="D36" s="270"/>
      <c r="E36" s="270"/>
      <c r="F36" s="270"/>
      <c r="G36" s="270"/>
      <c r="H36" s="271"/>
      <c r="I36" s="271"/>
      <c r="J36" s="272"/>
      <c r="K36" s="271"/>
      <c r="L36" s="272"/>
      <c r="M36" s="271"/>
      <c r="N36" s="273"/>
      <c r="O36" s="271"/>
      <c r="P36" s="272"/>
      <c r="Q36" s="272"/>
      <c r="R36" s="272"/>
      <c r="S36" s="274"/>
      <c r="T36" s="274"/>
      <c r="U36" s="274"/>
      <c r="V36" s="274"/>
      <c r="W36" s="274"/>
      <c r="X36" s="273"/>
      <c r="Y36" s="274"/>
      <c r="Z36" s="272"/>
      <c r="AA36" s="273"/>
      <c r="AB36" s="274"/>
      <c r="AC36" s="272"/>
      <c r="AD36" s="273"/>
      <c r="AE36" s="272"/>
      <c r="AF36" s="272"/>
      <c r="AG36" s="273"/>
      <c r="AH36" s="272"/>
      <c r="AI36" s="272"/>
      <c r="AJ36" s="275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58"/>
      <c r="AY36" s="276"/>
      <c r="AZ36" s="33"/>
      <c r="BA36" s="44"/>
      <c r="BB36" s="74"/>
      <c r="BC36" s="34"/>
      <c r="BD36" s="28"/>
      <c r="BE36" s="35"/>
      <c r="BF36" s="35"/>
      <c r="BG36" s="35"/>
    </row>
    <row r="37" spans="1:59" ht="13.5" customHeight="1">
      <c r="A37" s="22"/>
      <c r="B37" s="32"/>
      <c r="C37" s="39"/>
      <c r="D37" s="39"/>
      <c r="E37" s="39"/>
      <c r="F37" s="39"/>
      <c r="G37" s="39"/>
      <c r="H37" s="331"/>
      <c r="I37" s="331"/>
      <c r="J37" s="332"/>
      <c r="K37" s="331"/>
      <c r="L37" s="332"/>
      <c r="M37" s="331"/>
      <c r="N37" s="333"/>
      <c r="O37" s="331"/>
      <c r="P37" s="332"/>
      <c r="Q37" s="332"/>
      <c r="R37" s="332"/>
      <c r="S37" s="334"/>
      <c r="T37" s="334"/>
      <c r="U37" s="334"/>
      <c r="V37" s="334"/>
      <c r="W37" s="334"/>
      <c r="X37" s="333"/>
      <c r="Y37" s="334"/>
      <c r="Z37" s="332"/>
      <c r="AA37" s="333"/>
      <c r="AB37" s="334"/>
      <c r="AC37" s="332"/>
      <c r="AD37" s="333"/>
      <c r="AE37" s="332"/>
      <c r="AF37" s="332"/>
      <c r="AG37" s="333"/>
      <c r="AH37" s="332"/>
      <c r="AI37" s="332"/>
      <c r="AJ37" s="335"/>
      <c r="AK37" s="332"/>
      <c r="AL37" s="332"/>
      <c r="AM37" s="332"/>
      <c r="AN37" s="332"/>
      <c r="AO37" s="332"/>
      <c r="AP37" s="332"/>
      <c r="AQ37" s="332"/>
      <c r="AR37" s="332"/>
      <c r="AS37" s="332"/>
      <c r="AT37" s="332"/>
      <c r="AU37" s="332"/>
      <c r="AV37" s="332"/>
      <c r="AW37" s="332"/>
      <c r="AX37" s="262"/>
      <c r="AY37" s="261"/>
      <c r="AZ37" s="33"/>
      <c r="BA37" s="44"/>
      <c r="BB37" s="74"/>
      <c r="BC37" s="34"/>
      <c r="BD37" s="28"/>
      <c r="BE37" s="35"/>
      <c r="BF37" s="35"/>
      <c r="BG37" s="35"/>
    </row>
    <row r="38" spans="1:59" ht="13.5" customHeight="1">
      <c r="A38" s="22"/>
      <c r="B38" s="186">
        <v>5</v>
      </c>
      <c r="C38" s="188" t="s">
        <v>147</v>
      </c>
      <c r="D38" s="28"/>
      <c r="E38" s="28"/>
      <c r="F38" s="28"/>
      <c r="G38" s="28"/>
      <c r="H38" s="109"/>
      <c r="I38" s="60"/>
      <c r="J38" s="60"/>
      <c r="K38" s="61"/>
      <c r="L38" s="66"/>
      <c r="M38" s="66"/>
      <c r="N38" s="63"/>
      <c r="O38" s="66"/>
      <c r="P38" s="63"/>
      <c r="Q38" s="63"/>
      <c r="R38" s="66"/>
      <c r="S38" s="28"/>
      <c r="T38" s="28"/>
      <c r="U38" s="28"/>
      <c r="V38" s="28"/>
      <c r="W38" s="28"/>
      <c r="X38" s="109"/>
      <c r="Y38" s="60"/>
      <c r="Z38" s="61"/>
      <c r="AA38" s="60"/>
      <c r="AB38" s="61"/>
      <c r="AC38" s="66"/>
      <c r="AD38" s="66"/>
      <c r="AE38" s="63"/>
      <c r="AF38" s="66"/>
      <c r="AG38" s="63"/>
      <c r="AH38" s="66"/>
      <c r="AI38" s="62"/>
      <c r="AJ38" s="66"/>
      <c r="AK38" s="63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17"/>
      <c r="AW38" s="28"/>
      <c r="AX38" s="28"/>
      <c r="AY38" s="31"/>
      <c r="AZ38" s="33"/>
      <c r="BA38" s="44"/>
      <c r="BB38" s="143"/>
      <c r="BC38" s="105"/>
      <c r="BD38" s="28"/>
    </row>
    <row r="39" spans="1:59" ht="5.15" customHeight="1">
      <c r="A39" s="22"/>
      <c r="B39" s="186"/>
      <c r="C39" s="277"/>
      <c r="D39" s="68"/>
      <c r="E39" s="68"/>
      <c r="F39" s="68"/>
      <c r="G39" s="68"/>
      <c r="H39" s="278"/>
      <c r="I39" s="260"/>
      <c r="J39" s="260"/>
      <c r="K39" s="261"/>
      <c r="L39" s="279"/>
      <c r="M39" s="279"/>
      <c r="N39" s="245"/>
      <c r="O39" s="279"/>
      <c r="P39" s="245"/>
      <c r="Q39" s="245"/>
      <c r="R39" s="279"/>
      <c r="S39" s="68"/>
      <c r="T39" s="68"/>
      <c r="U39" s="68"/>
      <c r="V39" s="68"/>
      <c r="W39" s="68"/>
      <c r="X39" s="278"/>
      <c r="Y39" s="260"/>
      <c r="Z39" s="261"/>
      <c r="AA39" s="260"/>
      <c r="AB39" s="261"/>
      <c r="AC39" s="279"/>
      <c r="AD39" s="279"/>
      <c r="AE39" s="245"/>
      <c r="AF39" s="279"/>
      <c r="AG39" s="245"/>
      <c r="AH39" s="279"/>
      <c r="AI39" s="262"/>
      <c r="AJ39" s="279"/>
      <c r="AK39" s="245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281"/>
      <c r="AW39" s="68"/>
      <c r="AX39" s="68"/>
      <c r="AY39" s="247"/>
      <c r="AZ39" s="33"/>
      <c r="BA39" s="44"/>
      <c r="BB39" s="143"/>
      <c r="BC39" s="105"/>
      <c r="BD39" s="28"/>
    </row>
    <row r="40" spans="1:59" ht="13.9" customHeight="1">
      <c r="A40" s="22"/>
      <c r="B40" s="186"/>
      <c r="C40" s="371" t="s">
        <v>163</v>
      </c>
      <c r="D40" s="28"/>
      <c r="E40" s="28"/>
      <c r="F40" s="28"/>
      <c r="G40" s="80" t="s">
        <v>159</v>
      </c>
      <c r="H40" s="80"/>
      <c r="I40" s="80"/>
      <c r="J40" s="80"/>
      <c r="K40" s="80"/>
      <c r="L40" s="303"/>
      <c r="M40" s="71"/>
      <c r="N40" s="63"/>
      <c r="O40" s="66"/>
      <c r="P40" s="63"/>
      <c r="Q40" s="63"/>
      <c r="R40" s="66"/>
      <c r="S40" s="28"/>
      <c r="T40" s="28"/>
      <c r="U40" s="28"/>
      <c r="V40" s="28"/>
      <c r="W40" s="28"/>
      <c r="X40" s="109"/>
      <c r="Y40" s="60"/>
      <c r="Z40" s="61"/>
      <c r="AA40" s="60"/>
      <c r="AB40" s="61"/>
      <c r="AC40" s="66"/>
      <c r="AD40" s="66"/>
      <c r="AE40" s="63"/>
      <c r="AF40" s="66"/>
      <c r="AG40" s="63"/>
      <c r="AH40" s="66"/>
      <c r="AI40" s="62"/>
      <c r="AJ40" s="66"/>
      <c r="AK40" s="63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17"/>
      <c r="AW40" s="28"/>
      <c r="AX40" s="28"/>
      <c r="AY40" s="249"/>
      <c r="AZ40" s="33"/>
      <c r="BA40" s="44"/>
      <c r="BB40" s="143"/>
      <c r="BC40" s="105"/>
      <c r="BD40" s="28"/>
    </row>
    <row r="41" spans="1:59" ht="13.5" customHeight="1">
      <c r="A41" s="22"/>
      <c r="B41" s="186">
        <v>6</v>
      </c>
      <c r="C41" s="285" t="s">
        <v>32</v>
      </c>
      <c r="D41" s="189" t="s">
        <v>145</v>
      </c>
      <c r="E41" s="190"/>
      <c r="F41" s="190"/>
      <c r="G41" s="191"/>
      <c r="H41" s="192" t="s">
        <v>158</v>
      </c>
      <c r="I41" s="193"/>
      <c r="J41" s="193"/>
      <c r="K41" s="190"/>
      <c r="L41" s="191"/>
      <c r="M41" s="28"/>
      <c r="N41" s="28"/>
      <c r="O41" s="28"/>
      <c r="P41" s="28"/>
      <c r="Q41" s="28"/>
      <c r="R41" s="28"/>
      <c r="S41" s="35"/>
      <c r="T41" s="35"/>
      <c r="U41" s="35"/>
      <c r="V41" s="35"/>
      <c r="Y41" s="35"/>
      <c r="Z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292"/>
      <c r="AZ41" s="33"/>
      <c r="BA41" s="44"/>
      <c r="BB41" s="143"/>
      <c r="BC41" s="105"/>
      <c r="BD41" s="35"/>
      <c r="BE41" s="35"/>
      <c r="BF41" s="35"/>
      <c r="BG41" s="35"/>
    </row>
    <row r="42" spans="1:59" ht="13.5" customHeight="1">
      <c r="A42" s="22"/>
      <c r="B42" s="186">
        <v>8</v>
      </c>
      <c r="C42" s="289">
        <v>1</v>
      </c>
      <c r="D42" s="134" t="s">
        <v>96</v>
      </c>
      <c r="E42" s="135"/>
      <c r="F42" s="135"/>
      <c r="G42" s="137"/>
      <c r="H42" s="688">
        <v>110</v>
      </c>
      <c r="I42" s="689"/>
      <c r="J42" s="689"/>
      <c r="K42" s="689"/>
      <c r="L42" s="690"/>
      <c r="M42" s="28"/>
      <c r="N42" s="28"/>
      <c r="O42" s="28"/>
      <c r="P42" s="28"/>
      <c r="Q42" s="28"/>
      <c r="R42" s="28"/>
      <c r="S42" s="35"/>
      <c r="T42" s="35"/>
      <c r="U42" s="35"/>
      <c r="V42" s="35"/>
      <c r="Y42" s="35"/>
      <c r="Z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292"/>
      <c r="AZ42" s="33"/>
      <c r="BA42" s="44"/>
      <c r="BB42" s="143"/>
      <c r="BC42" s="105"/>
      <c r="BD42" s="35"/>
      <c r="BE42" s="35"/>
      <c r="BF42" s="35"/>
      <c r="BG42" s="35"/>
    </row>
    <row r="43" spans="1:59" ht="13.5" customHeight="1">
      <c r="A43" s="22"/>
      <c r="B43" s="186">
        <v>9</v>
      </c>
      <c r="C43" s="289">
        <v>2</v>
      </c>
      <c r="D43" s="134" t="s">
        <v>146</v>
      </c>
      <c r="E43" s="135"/>
      <c r="F43" s="135"/>
      <c r="G43" s="137"/>
      <c r="H43" s="688">
        <v>125</v>
      </c>
      <c r="I43" s="689"/>
      <c r="J43" s="689"/>
      <c r="K43" s="689"/>
      <c r="L43" s="690"/>
      <c r="M43" s="28"/>
      <c r="N43" s="28"/>
      <c r="O43" s="28"/>
      <c r="P43" s="28"/>
      <c r="Q43" s="28"/>
      <c r="R43" s="28"/>
      <c r="S43" s="35"/>
      <c r="T43" s="35"/>
      <c r="U43" s="35"/>
      <c r="V43" s="35"/>
      <c r="Y43" s="35"/>
      <c r="Z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292"/>
      <c r="AZ43" s="33"/>
      <c r="BA43" s="44"/>
      <c r="BB43" s="143"/>
      <c r="BC43" s="105"/>
      <c r="BD43" s="35"/>
      <c r="BE43" s="35"/>
      <c r="BF43" s="35"/>
      <c r="BG43" s="35"/>
    </row>
    <row r="44" spans="1:59" ht="5.15" customHeight="1">
      <c r="A44" s="22"/>
      <c r="B44" s="186"/>
      <c r="C44" s="296"/>
      <c r="D44" s="69"/>
      <c r="E44" s="69"/>
      <c r="F44" s="69"/>
      <c r="G44" s="69"/>
      <c r="H44" s="297"/>
      <c r="I44" s="257"/>
      <c r="J44" s="257"/>
      <c r="K44" s="255"/>
      <c r="L44" s="298"/>
      <c r="M44" s="298"/>
      <c r="N44" s="252"/>
      <c r="O44" s="298"/>
      <c r="P44" s="252"/>
      <c r="Q44" s="252"/>
      <c r="R44" s="298"/>
      <c r="S44" s="69"/>
      <c r="T44" s="69"/>
      <c r="U44" s="69"/>
      <c r="V44" s="69"/>
      <c r="W44" s="69"/>
      <c r="X44" s="297"/>
      <c r="Y44" s="257"/>
      <c r="Z44" s="255"/>
      <c r="AA44" s="257"/>
      <c r="AB44" s="255"/>
      <c r="AC44" s="298"/>
      <c r="AD44" s="298"/>
      <c r="AE44" s="252"/>
      <c r="AF44" s="298"/>
      <c r="AG44" s="252"/>
      <c r="AH44" s="298"/>
      <c r="AI44" s="258"/>
      <c r="AJ44" s="298"/>
      <c r="AK44" s="252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299"/>
      <c r="AW44" s="69"/>
      <c r="AX44" s="69"/>
      <c r="AY44" s="259"/>
      <c r="AZ44" s="33"/>
      <c r="BA44" s="44"/>
      <c r="BB44" s="143"/>
      <c r="BC44" s="105"/>
      <c r="BD44" s="28"/>
    </row>
    <row r="45" spans="1:59" ht="13.5" customHeight="1">
      <c r="A45" s="22"/>
      <c r="B45" s="186">
        <v>10</v>
      </c>
      <c r="C45" s="363"/>
      <c r="D45" s="63"/>
      <c r="E45" s="63"/>
      <c r="F45" s="63"/>
      <c r="G45" s="63"/>
      <c r="H45" s="63"/>
      <c r="I45" s="63"/>
      <c r="J45" s="63"/>
      <c r="K45" s="63"/>
      <c r="L45" s="63"/>
      <c r="M45" s="60"/>
      <c r="N45" s="61"/>
      <c r="O45" s="63"/>
      <c r="P45" s="63"/>
      <c r="Q45" s="62"/>
      <c r="R45" s="61"/>
      <c r="S45" s="174"/>
      <c r="T45" s="174"/>
      <c r="U45" s="175"/>
      <c r="V45" s="176"/>
      <c r="W45" s="174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33"/>
      <c r="BA45" s="44"/>
      <c r="BB45" s="143"/>
      <c r="BC45" s="105"/>
      <c r="BD45" s="28"/>
    </row>
    <row r="46" spans="1:59" ht="13.5" customHeight="1">
      <c r="A46" s="22"/>
      <c r="B46" s="186">
        <v>5</v>
      </c>
      <c r="C46" s="188" t="s">
        <v>60</v>
      </c>
      <c r="D46" s="28"/>
      <c r="E46" s="28"/>
      <c r="F46" s="28"/>
      <c r="G46" s="28"/>
      <c r="H46" s="109"/>
      <c r="I46" s="60"/>
      <c r="J46" s="61"/>
      <c r="K46" s="60"/>
      <c r="L46" s="61"/>
      <c r="M46" s="66"/>
      <c r="N46" s="66"/>
      <c r="O46" s="63"/>
      <c r="P46" s="66"/>
      <c r="Q46" s="63"/>
      <c r="R46" s="66"/>
      <c r="S46" s="28"/>
      <c r="T46" s="28"/>
      <c r="U46" s="28"/>
      <c r="V46" s="28"/>
      <c r="W46" s="28"/>
      <c r="X46" s="109"/>
      <c r="Y46" s="60"/>
      <c r="Z46" s="61"/>
      <c r="AA46" s="60"/>
      <c r="AB46" s="61"/>
      <c r="AC46" s="66"/>
      <c r="AD46" s="66"/>
      <c r="AE46" s="63"/>
      <c r="AF46" s="66"/>
      <c r="AG46" s="63"/>
      <c r="AH46" s="66"/>
      <c r="AI46" s="62"/>
      <c r="AJ46" s="66"/>
      <c r="AK46" s="63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17"/>
      <c r="AW46" s="28"/>
      <c r="AX46" s="28"/>
      <c r="AY46" s="31"/>
      <c r="AZ46" s="33"/>
      <c r="BA46" s="44"/>
      <c r="BB46" s="143"/>
      <c r="BC46" s="105"/>
      <c r="BD46" s="28"/>
    </row>
    <row r="47" spans="1:59" ht="5.15" customHeight="1">
      <c r="A47" s="22"/>
      <c r="B47" s="186"/>
      <c r="C47" s="277"/>
      <c r="D47" s="68"/>
      <c r="E47" s="68"/>
      <c r="F47" s="68"/>
      <c r="G47" s="68"/>
      <c r="H47" s="278"/>
      <c r="I47" s="260"/>
      <c r="J47" s="261"/>
      <c r="K47" s="260"/>
      <c r="L47" s="261"/>
      <c r="M47" s="279"/>
      <c r="N47" s="279"/>
      <c r="O47" s="245"/>
      <c r="P47" s="279"/>
      <c r="Q47" s="245"/>
      <c r="R47" s="279"/>
      <c r="S47" s="68"/>
      <c r="T47" s="68"/>
      <c r="U47" s="68"/>
      <c r="V47" s="68"/>
      <c r="W47" s="68"/>
      <c r="X47" s="278"/>
      <c r="Y47" s="260"/>
      <c r="Z47" s="261"/>
      <c r="AA47" s="260"/>
      <c r="AB47" s="261"/>
      <c r="AC47" s="279"/>
      <c r="AD47" s="279"/>
      <c r="AE47" s="245"/>
      <c r="AF47" s="279"/>
      <c r="AG47" s="245"/>
      <c r="AH47" s="279"/>
      <c r="AI47" s="262"/>
      <c r="AJ47" s="279"/>
      <c r="AK47" s="245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281"/>
      <c r="AW47" s="68"/>
      <c r="AX47" s="68"/>
      <c r="AY47" s="246"/>
      <c r="AZ47" s="246"/>
      <c r="BA47" s="282"/>
      <c r="BB47" s="283"/>
      <c r="BC47" s="284"/>
      <c r="BD47" s="28"/>
    </row>
    <row r="48" spans="1:59" ht="13.5" customHeight="1">
      <c r="A48" s="22"/>
      <c r="B48" s="43"/>
      <c r="C48" s="248"/>
      <c r="D48" s="28" t="s">
        <v>166</v>
      </c>
      <c r="E48" s="28"/>
      <c r="F48" s="28"/>
      <c r="G48" s="28"/>
      <c r="H48" s="80" t="s">
        <v>95</v>
      </c>
      <c r="I48" s="80"/>
      <c r="J48" s="80"/>
      <c r="K48" s="80"/>
      <c r="L48" s="80"/>
      <c r="M48" s="303"/>
      <c r="N48" s="81"/>
      <c r="O48" s="82"/>
      <c r="P48" s="82"/>
      <c r="Q48" s="83"/>
      <c r="R48" s="81"/>
      <c r="S48" s="81"/>
      <c r="T48" s="81"/>
      <c r="U48" s="82"/>
      <c r="V48" s="83"/>
      <c r="W48" s="81"/>
      <c r="X48" s="63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63"/>
      <c r="AY48" s="31"/>
      <c r="AZ48" s="50"/>
      <c r="BA48" s="85"/>
      <c r="BB48" s="307"/>
      <c r="BC48" s="308"/>
      <c r="BD48" s="28"/>
      <c r="BE48" s="35"/>
      <c r="BF48" s="35"/>
      <c r="BG48" s="35"/>
    </row>
    <row r="49" spans="1:87" ht="13.5" customHeight="1">
      <c r="A49" s="22"/>
      <c r="B49" s="186">
        <v>6</v>
      </c>
      <c r="C49" s="285" t="s">
        <v>32</v>
      </c>
      <c r="D49" s="189" t="s">
        <v>61</v>
      </c>
      <c r="E49" s="190"/>
      <c r="F49" s="190"/>
      <c r="G49" s="191"/>
      <c r="H49" s="192" t="s">
        <v>68</v>
      </c>
      <c r="I49" s="193"/>
      <c r="J49" s="193"/>
      <c r="K49" s="193"/>
      <c r="L49" s="190"/>
      <c r="M49" s="191"/>
      <c r="N49" s="189" t="s">
        <v>69</v>
      </c>
      <c r="O49" s="190"/>
      <c r="P49" s="190"/>
      <c r="Q49" s="191"/>
      <c r="R49" s="189" t="s">
        <v>70</v>
      </c>
      <c r="S49" s="190"/>
      <c r="T49" s="190"/>
      <c r="U49" s="190"/>
      <c r="V49" s="194" t="s">
        <v>169</v>
      </c>
      <c r="W49" s="195"/>
      <c r="X49" s="195"/>
      <c r="Y49" s="196"/>
      <c r="Z49" s="194" t="s">
        <v>98</v>
      </c>
      <c r="AA49" s="195"/>
      <c r="AB49" s="195"/>
      <c r="AC49" s="195"/>
      <c r="AD49" s="196"/>
      <c r="AE49" s="194" t="s">
        <v>170</v>
      </c>
      <c r="AF49" s="195"/>
      <c r="AG49" s="195"/>
      <c r="AH49" s="196"/>
      <c r="AI49" s="194" t="s">
        <v>106</v>
      </c>
      <c r="AJ49" s="195"/>
      <c r="AK49" s="195"/>
      <c r="AL49" s="196"/>
      <c r="AM49" s="195" t="s">
        <v>100</v>
      </c>
      <c r="AN49" s="195"/>
      <c r="AO49" s="195"/>
      <c r="AP49" s="196"/>
      <c r="AQ49" s="195" t="s">
        <v>109</v>
      </c>
      <c r="AR49" s="195"/>
      <c r="AS49" s="195"/>
      <c r="AT49" s="196"/>
      <c r="AU49" s="194" t="s">
        <v>111</v>
      </c>
      <c r="AV49" s="195"/>
      <c r="AW49" s="195"/>
      <c r="AX49" s="196"/>
      <c r="AY49" s="194" t="s">
        <v>73</v>
      </c>
      <c r="AZ49" s="195"/>
      <c r="BA49" s="195"/>
      <c r="BB49" s="196"/>
      <c r="BC49" s="194" t="s">
        <v>40</v>
      </c>
      <c r="BD49" s="195"/>
      <c r="BE49" s="195"/>
      <c r="BF49" s="196"/>
      <c r="BG49" s="195" t="s">
        <v>102</v>
      </c>
      <c r="BH49" s="195"/>
      <c r="BI49" s="196"/>
      <c r="BJ49" s="286" t="s">
        <v>76</v>
      </c>
      <c r="BK49" s="195"/>
      <c r="BL49" s="195"/>
      <c r="BM49" s="196"/>
      <c r="BN49" s="195" t="s">
        <v>65</v>
      </c>
      <c r="BO49" s="195"/>
      <c r="BP49" s="195"/>
      <c r="BQ49" s="196"/>
      <c r="BR49" s="28"/>
      <c r="BS49" s="28"/>
      <c r="BT49" s="28"/>
      <c r="BU49" s="28"/>
      <c r="BV49" s="28"/>
    </row>
    <row r="50" spans="1:87" ht="13.5" customHeight="1">
      <c r="A50" s="22"/>
      <c r="B50" s="186">
        <v>7</v>
      </c>
      <c r="C50" s="287"/>
      <c r="D50" s="197" t="s">
        <v>30</v>
      </c>
      <c r="E50" s="200"/>
      <c r="F50" s="198"/>
      <c r="G50" s="199"/>
      <c r="H50" s="197" t="s">
        <v>30</v>
      </c>
      <c r="I50" s="200"/>
      <c r="J50" s="200"/>
      <c r="K50" s="200"/>
      <c r="L50" s="198"/>
      <c r="M50" s="199"/>
      <c r="N50" s="197" t="s">
        <v>30</v>
      </c>
      <c r="O50" s="198"/>
      <c r="P50" s="198"/>
      <c r="Q50" s="199"/>
      <c r="R50" s="197" t="s">
        <v>30</v>
      </c>
      <c r="S50" s="200"/>
      <c r="T50" s="198"/>
      <c r="U50" s="198"/>
      <c r="V50" s="201" t="s">
        <v>41</v>
      </c>
      <c r="W50" s="202"/>
      <c r="X50" s="203"/>
      <c r="Y50" s="204"/>
      <c r="Z50" s="201" t="s">
        <v>30</v>
      </c>
      <c r="AA50" s="202"/>
      <c r="AB50" s="202"/>
      <c r="AC50" s="203"/>
      <c r="AD50" s="204"/>
      <c r="AE50" s="201" t="s">
        <v>41</v>
      </c>
      <c r="AF50" s="202"/>
      <c r="AG50" s="203"/>
      <c r="AH50" s="204"/>
      <c r="AI50" s="201" t="s">
        <v>30</v>
      </c>
      <c r="AJ50" s="202"/>
      <c r="AK50" s="203"/>
      <c r="AL50" s="204"/>
      <c r="AM50" s="202" t="s">
        <v>41</v>
      </c>
      <c r="AN50" s="202"/>
      <c r="AO50" s="203"/>
      <c r="AP50" s="204"/>
      <c r="AQ50" s="202" t="s">
        <v>110</v>
      </c>
      <c r="AR50" s="202"/>
      <c r="AS50" s="203"/>
      <c r="AT50" s="204"/>
      <c r="AU50" s="201" t="s">
        <v>101</v>
      </c>
      <c r="AV50" s="202"/>
      <c r="AW50" s="203"/>
      <c r="AX50" s="204"/>
      <c r="AY50" s="201" t="s">
        <v>101</v>
      </c>
      <c r="AZ50" s="202"/>
      <c r="BA50" s="203"/>
      <c r="BB50" s="204"/>
      <c r="BC50" s="201" t="s">
        <v>112</v>
      </c>
      <c r="BD50" s="202"/>
      <c r="BE50" s="203"/>
      <c r="BF50" s="204"/>
      <c r="BG50" s="202" t="s">
        <v>113</v>
      </c>
      <c r="BH50" s="202"/>
      <c r="BI50" s="204"/>
      <c r="BJ50" s="288" t="s">
        <v>41</v>
      </c>
      <c r="BK50" s="202"/>
      <c r="BL50" s="203"/>
      <c r="BM50" s="204"/>
      <c r="BN50" s="202" t="s">
        <v>41</v>
      </c>
      <c r="BO50" s="202"/>
      <c r="BP50" s="203"/>
      <c r="BQ50" s="204"/>
      <c r="BR50" s="28"/>
      <c r="BS50" s="28"/>
      <c r="BT50" s="28"/>
      <c r="BU50" s="28"/>
      <c r="BV50" s="28"/>
    </row>
    <row r="51" spans="1:87" ht="13.5" customHeight="1">
      <c r="A51" s="22"/>
      <c r="B51" s="186">
        <v>8</v>
      </c>
      <c r="C51" s="289">
        <v>1</v>
      </c>
      <c r="D51" s="134" t="s">
        <v>103</v>
      </c>
      <c r="E51" s="135"/>
      <c r="F51" s="135"/>
      <c r="G51" s="137"/>
      <c r="H51" s="226" t="s">
        <v>104</v>
      </c>
      <c r="I51" s="136"/>
      <c r="J51" s="136"/>
      <c r="K51" s="136"/>
      <c r="L51" s="145"/>
      <c r="M51" s="146"/>
      <c r="N51" s="226" t="s">
        <v>105</v>
      </c>
      <c r="O51" s="136"/>
      <c r="P51" s="136"/>
      <c r="Q51" s="90" t="s">
        <v>33</v>
      </c>
      <c r="R51" s="679">
        <v>70000</v>
      </c>
      <c r="S51" s="680"/>
      <c r="T51" s="680"/>
      <c r="U51" s="681"/>
      <c r="V51" s="134" t="s">
        <v>96</v>
      </c>
      <c r="W51" s="136"/>
      <c r="X51" s="136"/>
      <c r="Y51" s="90" t="s">
        <v>33</v>
      </c>
      <c r="Z51" s="682">
        <v>6.7299999999999999E-2</v>
      </c>
      <c r="AA51" s="683"/>
      <c r="AB51" s="683"/>
      <c r="AC51" s="683"/>
      <c r="AD51" s="684"/>
      <c r="AE51" s="134" t="s">
        <v>96</v>
      </c>
      <c r="AF51" s="136"/>
      <c r="AG51" s="136"/>
      <c r="AH51" s="90" t="s">
        <v>33</v>
      </c>
      <c r="AI51" s="682">
        <v>0.1211</v>
      </c>
      <c r="AJ51" s="683"/>
      <c r="AK51" s="683"/>
      <c r="AL51" s="684"/>
      <c r="AM51" s="682">
        <v>0.12</v>
      </c>
      <c r="AN51" s="683"/>
      <c r="AO51" s="683"/>
      <c r="AP51" s="684"/>
      <c r="AQ51" s="685">
        <v>0.01</v>
      </c>
      <c r="AR51" s="686"/>
      <c r="AS51" s="686"/>
      <c r="AT51" s="687"/>
      <c r="AU51" s="682">
        <v>0.13589999999999999</v>
      </c>
      <c r="AV51" s="683"/>
      <c r="AW51" s="683"/>
      <c r="AX51" s="684"/>
      <c r="AY51" s="682">
        <v>0.151</v>
      </c>
      <c r="AZ51" s="683"/>
      <c r="BA51" s="683"/>
      <c r="BB51" s="684"/>
      <c r="BC51" s="682">
        <v>0.151</v>
      </c>
      <c r="BD51" s="683"/>
      <c r="BE51" s="683"/>
      <c r="BF51" s="684"/>
      <c r="BG51" s="691">
        <v>6.1000000000000004E-3</v>
      </c>
      <c r="BH51" s="692"/>
      <c r="BI51" s="693"/>
      <c r="BJ51" s="290" t="s">
        <v>115</v>
      </c>
      <c r="BK51" s="136"/>
      <c r="BL51" s="136"/>
      <c r="BM51" s="138"/>
      <c r="BN51" s="135" t="s">
        <v>30</v>
      </c>
      <c r="BO51" s="136"/>
      <c r="BP51" s="136"/>
      <c r="BQ51" s="138"/>
      <c r="BR51" s="28"/>
      <c r="BS51" s="28"/>
      <c r="BT51" s="28"/>
      <c r="BU51" s="28"/>
      <c r="BV51" s="28"/>
    </row>
    <row r="52" spans="1:87" ht="13.5" customHeight="1">
      <c r="A52" s="22"/>
      <c r="B52" s="186">
        <v>9</v>
      </c>
      <c r="C52" s="289">
        <v>2</v>
      </c>
      <c r="D52" s="134"/>
      <c r="E52" s="135"/>
      <c r="F52" s="135"/>
      <c r="G52" s="137"/>
      <c r="H52" s="226"/>
      <c r="I52" s="136"/>
      <c r="J52" s="136"/>
      <c r="K52" s="136"/>
      <c r="L52" s="145"/>
      <c r="M52" s="146"/>
      <c r="N52" s="226"/>
      <c r="O52" s="136"/>
      <c r="P52" s="136"/>
      <c r="Q52" s="90" t="s">
        <v>33</v>
      </c>
      <c r="R52" s="679"/>
      <c r="S52" s="680"/>
      <c r="T52" s="680"/>
      <c r="U52" s="681"/>
      <c r="V52" s="134"/>
      <c r="W52" s="136"/>
      <c r="X52" s="136"/>
      <c r="Y52" s="90" t="s">
        <v>33</v>
      </c>
      <c r="Z52" s="694"/>
      <c r="AA52" s="695"/>
      <c r="AB52" s="695"/>
      <c r="AC52" s="695"/>
      <c r="AD52" s="696"/>
      <c r="AE52" s="134"/>
      <c r="AF52" s="136"/>
      <c r="AG52" s="136"/>
      <c r="AH52" s="90" t="s">
        <v>33</v>
      </c>
      <c r="AI52" s="682"/>
      <c r="AJ52" s="683"/>
      <c r="AK52" s="683"/>
      <c r="AL52" s="684"/>
      <c r="AM52" s="682"/>
      <c r="AN52" s="683"/>
      <c r="AO52" s="683"/>
      <c r="AP52" s="684"/>
      <c r="AQ52" s="685"/>
      <c r="AR52" s="686"/>
      <c r="AS52" s="686"/>
      <c r="AT52" s="687"/>
      <c r="AU52" s="682"/>
      <c r="AV52" s="683"/>
      <c r="AW52" s="683"/>
      <c r="AX52" s="684"/>
      <c r="AY52" s="682"/>
      <c r="AZ52" s="683"/>
      <c r="BA52" s="683"/>
      <c r="BB52" s="684"/>
      <c r="BC52" s="682"/>
      <c r="BD52" s="683"/>
      <c r="BE52" s="683"/>
      <c r="BF52" s="684"/>
      <c r="BG52" s="691"/>
      <c r="BH52" s="692"/>
      <c r="BI52" s="693"/>
      <c r="BJ52" s="134"/>
      <c r="BK52" s="136"/>
      <c r="BL52" s="136"/>
      <c r="BM52" s="138"/>
      <c r="BN52" s="135"/>
      <c r="BO52" s="136"/>
      <c r="BP52" s="136"/>
      <c r="BQ52" s="138"/>
      <c r="BR52" s="28"/>
      <c r="BS52" s="28"/>
      <c r="BT52" s="28"/>
      <c r="BU52" s="28"/>
      <c r="BV52" s="28"/>
    </row>
    <row r="53" spans="1:87" ht="13.5" customHeight="1">
      <c r="A53" s="22"/>
      <c r="B53" s="186">
        <v>10</v>
      </c>
      <c r="C53" s="291"/>
      <c r="D53" s="63"/>
      <c r="E53" s="63"/>
      <c r="F53" s="63"/>
      <c r="G53" s="63"/>
      <c r="H53" s="63"/>
      <c r="I53" s="63"/>
      <c r="J53" s="63"/>
      <c r="K53" s="63"/>
      <c r="L53" s="63"/>
      <c r="M53" s="60"/>
      <c r="N53" s="61"/>
      <c r="O53" s="63"/>
      <c r="P53" s="63"/>
      <c r="Q53" s="62"/>
      <c r="R53" s="61"/>
      <c r="S53" s="174"/>
      <c r="T53" s="174"/>
      <c r="U53" s="175"/>
      <c r="V53" s="176"/>
      <c r="W53" s="174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31"/>
      <c r="BA53" s="35"/>
      <c r="BB53" s="35"/>
      <c r="BC53" s="292"/>
      <c r="BD53" s="28"/>
    </row>
    <row r="54" spans="1:87" ht="13.5" customHeight="1">
      <c r="A54" s="22"/>
      <c r="B54" s="186">
        <v>14</v>
      </c>
      <c r="C54" s="293"/>
      <c r="D54" s="63"/>
      <c r="E54" s="63"/>
      <c r="F54" s="63"/>
      <c r="G54" s="63"/>
      <c r="H54" s="63"/>
      <c r="I54" s="63"/>
      <c r="J54" s="63"/>
      <c r="K54" s="182"/>
      <c r="L54" s="63"/>
      <c r="M54" s="63"/>
      <c r="N54" s="63"/>
      <c r="O54" s="63"/>
      <c r="P54" s="63"/>
      <c r="Q54" s="182"/>
      <c r="R54" s="63"/>
      <c r="S54" s="63"/>
      <c r="T54" s="63"/>
      <c r="U54" s="182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113"/>
      <c r="AK54" s="103"/>
      <c r="AL54" s="60"/>
      <c r="AM54" s="61"/>
      <c r="AN54" s="61"/>
      <c r="AO54" s="61"/>
      <c r="AP54" s="61"/>
      <c r="AQ54" s="62"/>
      <c r="AR54" s="61"/>
      <c r="AS54" s="63"/>
      <c r="AT54" s="63"/>
      <c r="AU54" s="63"/>
      <c r="AV54" s="63"/>
      <c r="AW54" s="63"/>
      <c r="AX54" s="63"/>
      <c r="AY54" s="61"/>
      <c r="AZ54" s="31"/>
      <c r="BA54" s="35"/>
      <c r="BB54" s="35"/>
      <c r="BC54" s="292"/>
      <c r="BD54" s="28"/>
    </row>
    <row r="55" spans="1:87" ht="13.5" customHeight="1">
      <c r="A55" s="22"/>
      <c r="B55" s="186">
        <v>15</v>
      </c>
      <c r="C55" s="294" t="s">
        <v>67</v>
      </c>
      <c r="D55" s="207"/>
      <c r="E55" s="208"/>
      <c r="F55" s="207"/>
      <c r="G55" s="208"/>
      <c r="H55" s="209"/>
      <c r="I55" s="210"/>
      <c r="J55" s="211"/>
      <c r="K55" s="211"/>
      <c r="L55" s="211"/>
      <c r="M55" s="212"/>
      <c r="N55" s="211"/>
      <c r="O55" s="211"/>
      <c r="P55" s="211"/>
      <c r="Q55" s="213"/>
      <c r="R55" s="211"/>
      <c r="S55" s="211"/>
      <c r="T55" s="211"/>
      <c r="U55" s="211"/>
      <c r="V55" s="211"/>
      <c r="W55" s="213"/>
      <c r="X55" s="211"/>
      <c r="Y55" s="211"/>
      <c r="Z55" s="211"/>
      <c r="AA55" s="213"/>
      <c r="AB55" s="211"/>
      <c r="AC55" s="211"/>
      <c r="AD55" s="211"/>
      <c r="AE55" s="211"/>
      <c r="AF55" s="211"/>
      <c r="AG55" s="216"/>
      <c r="AH55" s="211"/>
      <c r="AI55" s="211"/>
      <c r="AJ55" s="211"/>
      <c r="AK55" s="211"/>
      <c r="AL55" s="211"/>
      <c r="AM55" s="211"/>
      <c r="AN55" s="211"/>
      <c r="AO55" s="211"/>
      <c r="AP55" s="211"/>
      <c r="AQ55" s="214"/>
      <c r="AR55" s="211"/>
      <c r="AS55" s="214"/>
      <c r="AT55" s="211"/>
      <c r="AU55" s="211"/>
      <c r="AV55" s="211"/>
      <c r="AW55" s="211"/>
      <c r="AX55" s="211"/>
      <c r="AY55" s="208"/>
      <c r="AZ55" s="208"/>
      <c r="BA55" s="215"/>
      <c r="BB55" s="215"/>
      <c r="BC55" s="295"/>
      <c r="BD55" s="28"/>
    </row>
    <row r="56" spans="1:87" ht="13.5" customHeight="1">
      <c r="A56" s="22"/>
      <c r="B56" s="186"/>
      <c r="C56" s="336"/>
      <c r="D56" s="60"/>
      <c r="E56" s="61"/>
      <c r="F56" s="60"/>
      <c r="G56" s="61"/>
      <c r="H56" s="339"/>
      <c r="I56" s="340"/>
      <c r="J56" s="70"/>
      <c r="K56" s="70"/>
      <c r="L56" s="70"/>
      <c r="M56" s="341"/>
      <c r="N56" s="70"/>
      <c r="O56" s="70"/>
      <c r="P56" s="70"/>
      <c r="Q56" s="342"/>
      <c r="R56" s="70"/>
      <c r="S56" s="70"/>
      <c r="T56" s="70"/>
      <c r="U56" s="70"/>
      <c r="V56" s="70"/>
      <c r="W56" s="342"/>
      <c r="X56" s="63"/>
      <c r="Y56" s="63"/>
      <c r="Z56" s="63"/>
      <c r="AA56" s="182"/>
      <c r="AB56" s="63"/>
      <c r="AC56" s="63"/>
      <c r="AD56" s="63"/>
      <c r="AE56" s="63"/>
      <c r="AF56" s="63"/>
      <c r="AG56" s="142"/>
      <c r="AH56" s="63"/>
      <c r="AI56" s="63"/>
      <c r="AJ56" s="63"/>
      <c r="AK56" s="63"/>
      <c r="AL56" s="63"/>
      <c r="AM56" s="63"/>
      <c r="AN56" s="63"/>
      <c r="AO56" s="63"/>
      <c r="AP56" s="63"/>
      <c r="AQ56" s="113"/>
      <c r="AR56" s="63"/>
      <c r="AS56" s="113"/>
      <c r="AT56" s="63"/>
      <c r="AU56" s="63"/>
      <c r="AV56" s="63"/>
      <c r="AW56" s="63"/>
      <c r="AX56" s="63"/>
      <c r="AY56" s="61"/>
      <c r="AZ56" s="94"/>
      <c r="BA56" s="337"/>
      <c r="BB56"/>
      <c r="BC56" s="338"/>
      <c r="BD56" s="28"/>
    </row>
    <row r="57" spans="1:87" ht="13.5" customHeight="1">
      <c r="A57" s="22"/>
      <c r="B57" s="186">
        <v>16</v>
      </c>
      <c r="C57" s="291"/>
      <c r="D57" s="63"/>
      <c r="E57" s="63"/>
      <c r="F57" s="63"/>
      <c r="G57" s="63"/>
      <c r="H57" s="63"/>
      <c r="I57" s="63"/>
      <c r="J57" s="63"/>
      <c r="K57" s="63"/>
      <c r="L57" s="63"/>
      <c r="M57" s="60"/>
      <c r="N57" s="63"/>
      <c r="O57" s="63"/>
      <c r="P57" s="61"/>
      <c r="Q57" s="62"/>
      <c r="R57" s="61"/>
      <c r="S57" s="102"/>
      <c r="T57" s="103"/>
      <c r="U57" s="102"/>
      <c r="V57" s="103"/>
      <c r="W57" s="102"/>
      <c r="X57" s="102"/>
      <c r="Y57" s="102"/>
      <c r="Z57" s="102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1"/>
      <c r="AZ57" s="51"/>
      <c r="BA57" s="304"/>
      <c r="BB57" s="305"/>
      <c r="BC57" s="306"/>
      <c r="BD57" s="28"/>
    </row>
    <row r="58" spans="1:87" ht="13.5" customHeight="1">
      <c r="A58" s="22"/>
      <c r="B58" s="186">
        <v>17</v>
      </c>
      <c r="C58" s="291"/>
      <c r="D58" s="63"/>
      <c r="E58" s="63"/>
      <c r="F58" s="63"/>
      <c r="G58" s="63"/>
      <c r="H58" s="114"/>
      <c r="I58" s="63"/>
      <c r="J58" s="63"/>
      <c r="K58" s="63"/>
      <c r="L58" s="182"/>
      <c r="M58" s="63"/>
      <c r="N58" s="63"/>
      <c r="O58" s="63"/>
      <c r="P58" s="182"/>
      <c r="Q58" s="63"/>
      <c r="R58" s="63"/>
      <c r="S58" s="63"/>
      <c r="T58" s="182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11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1"/>
      <c r="AZ58" s="31"/>
      <c r="BA58" s="30"/>
      <c r="BB58" s="159"/>
      <c r="BC58" s="306"/>
      <c r="BD58" s="28"/>
      <c r="BM58" s="706">
        <f>1-(0.0673/0.1359)</f>
        <v>0.50478292862398821</v>
      </c>
      <c r="BN58" s="706"/>
      <c r="BO58" s="706"/>
      <c r="BP58" s="706"/>
    </row>
    <row r="59" spans="1:87" ht="5.15" customHeight="1">
      <c r="A59" s="22"/>
      <c r="B59" s="186"/>
      <c r="C59" s="296"/>
      <c r="D59" s="69"/>
      <c r="E59" s="69"/>
      <c r="F59" s="69"/>
      <c r="G59" s="69"/>
      <c r="H59" s="297"/>
      <c r="I59" s="257"/>
      <c r="J59" s="255"/>
      <c r="K59" s="257"/>
      <c r="L59" s="255"/>
      <c r="M59" s="298"/>
      <c r="N59" s="298"/>
      <c r="O59" s="252"/>
      <c r="P59" s="298"/>
      <c r="Q59" s="252"/>
      <c r="R59" s="298"/>
      <c r="S59" s="69"/>
      <c r="T59" s="69"/>
      <c r="U59" s="69"/>
      <c r="V59" s="69"/>
      <c r="W59" s="69"/>
      <c r="X59" s="297"/>
      <c r="Y59" s="257"/>
      <c r="Z59" s="255"/>
      <c r="AA59" s="257"/>
      <c r="AB59" s="255"/>
      <c r="AC59" s="298"/>
      <c r="AD59" s="298"/>
      <c r="AE59" s="252"/>
      <c r="AF59" s="298"/>
      <c r="AG59" s="252"/>
      <c r="AH59" s="298"/>
      <c r="AI59" s="258"/>
      <c r="AJ59" s="298"/>
      <c r="AK59" s="252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299"/>
      <c r="AW59" s="69"/>
      <c r="AX59" s="69"/>
      <c r="AY59" s="251"/>
      <c r="AZ59" s="251"/>
      <c r="BA59" s="300"/>
      <c r="BB59" s="301"/>
      <c r="BC59" s="302"/>
      <c r="BD59" s="28"/>
    </row>
    <row r="60" spans="1:87" ht="13.5" customHeight="1">
      <c r="A60" s="22"/>
      <c r="B60" s="186">
        <v>18</v>
      </c>
      <c r="C60" s="71"/>
      <c r="D60" s="61"/>
      <c r="E60" s="61"/>
      <c r="F60" s="61"/>
      <c r="G60" s="61"/>
      <c r="H60" s="66"/>
      <c r="I60" s="66"/>
      <c r="J60" s="63"/>
      <c r="K60" s="66"/>
      <c r="L60" s="63"/>
      <c r="M60" s="66"/>
      <c r="N60" s="62"/>
      <c r="O60" s="66"/>
      <c r="P60" s="63"/>
      <c r="Q60" s="63"/>
      <c r="R60" s="63"/>
      <c r="S60" s="61"/>
      <c r="T60" s="61"/>
      <c r="U60" s="61"/>
      <c r="V60" s="61"/>
      <c r="W60" s="61"/>
      <c r="X60" s="62"/>
      <c r="Y60" s="61"/>
      <c r="Z60" s="63"/>
      <c r="AA60" s="62"/>
      <c r="AB60" s="61"/>
      <c r="AC60" s="63"/>
      <c r="AD60" s="62"/>
      <c r="AE60" s="63"/>
      <c r="AF60" s="63"/>
      <c r="AG60" s="62"/>
      <c r="AH60" s="63"/>
      <c r="AI60" s="63"/>
      <c r="AJ60" s="114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1"/>
      <c r="AZ60" s="246"/>
      <c r="BA60" s="282"/>
      <c r="BB60" s="283"/>
      <c r="BC60" s="317"/>
      <c r="BD60" s="28"/>
    </row>
    <row r="61" spans="1:87" ht="13.5" customHeight="1">
      <c r="A61" s="22"/>
      <c r="B61" s="186">
        <v>20</v>
      </c>
      <c r="C61" s="188" t="s">
        <v>71</v>
      </c>
      <c r="D61" s="28"/>
      <c r="E61" s="28"/>
      <c r="F61" s="28"/>
      <c r="G61" s="28"/>
      <c r="H61" s="109"/>
      <c r="I61" s="60"/>
      <c r="J61" s="61"/>
      <c r="K61" s="60"/>
      <c r="L61" s="61"/>
      <c r="M61" s="66"/>
      <c r="N61" s="66"/>
      <c r="O61" s="63"/>
      <c r="P61" s="66"/>
      <c r="Q61" s="63"/>
      <c r="R61" s="66"/>
      <c r="S61" s="28"/>
      <c r="T61" s="28"/>
      <c r="U61" s="28"/>
      <c r="V61" s="28"/>
      <c r="W61" s="28"/>
      <c r="X61" s="109"/>
      <c r="Y61" s="60"/>
      <c r="Z61" s="61"/>
      <c r="AA61" s="60"/>
      <c r="AB61" s="61"/>
      <c r="AC61" s="66"/>
      <c r="AD61" s="66"/>
      <c r="AE61" s="63"/>
      <c r="AF61" s="66"/>
      <c r="AG61" s="63"/>
      <c r="AH61" s="66"/>
      <c r="AI61" s="62"/>
      <c r="AJ61" s="66"/>
      <c r="AK61" s="63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17"/>
      <c r="AW61" s="28"/>
      <c r="AX61" s="28"/>
      <c r="AY61" s="31"/>
      <c r="AZ61" s="251"/>
      <c r="BA61" s="300"/>
      <c r="BB61" s="301"/>
      <c r="BC61" s="318"/>
      <c r="BD61" s="28"/>
    </row>
    <row r="62" spans="1:87" ht="5.15" customHeight="1">
      <c r="A62" s="22"/>
      <c r="B62" s="186"/>
      <c r="C62" s="277"/>
      <c r="D62" s="68"/>
      <c r="E62" s="68"/>
      <c r="F62" s="68"/>
      <c r="G62" s="68"/>
      <c r="H62" s="278"/>
      <c r="I62" s="260"/>
      <c r="J62" s="261"/>
      <c r="K62" s="260"/>
      <c r="L62" s="261"/>
      <c r="M62" s="279"/>
      <c r="N62" s="279"/>
      <c r="O62" s="245"/>
      <c r="P62" s="279"/>
      <c r="Q62" s="245"/>
      <c r="R62" s="279"/>
      <c r="S62" s="68"/>
      <c r="T62" s="68"/>
      <c r="U62" s="68"/>
      <c r="V62" s="68"/>
      <c r="W62" s="68"/>
      <c r="X62" s="278"/>
      <c r="Y62" s="260"/>
      <c r="Z62" s="261"/>
      <c r="AA62" s="260"/>
      <c r="AB62" s="261"/>
      <c r="AC62" s="279"/>
      <c r="AD62" s="279"/>
      <c r="AE62" s="245"/>
      <c r="AF62" s="279"/>
      <c r="AG62" s="245"/>
      <c r="AH62" s="279"/>
      <c r="AI62" s="262"/>
      <c r="AJ62" s="279"/>
      <c r="AK62" s="245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281"/>
      <c r="AW62" s="68"/>
      <c r="AX62" s="68"/>
      <c r="AY62" s="246"/>
      <c r="AZ62" s="246"/>
      <c r="BA62" s="282"/>
      <c r="BB62" s="283"/>
      <c r="BC62" s="284"/>
      <c r="BD62" s="28"/>
    </row>
    <row r="63" spans="1:87" ht="13.5" customHeight="1">
      <c r="A63" s="22"/>
      <c r="B63" s="186">
        <v>21</v>
      </c>
      <c r="C63" s="285" t="s">
        <v>32</v>
      </c>
      <c r="D63" s="218" t="s">
        <v>144</v>
      </c>
      <c r="E63" s="219"/>
      <c r="F63" s="218" t="s">
        <v>61</v>
      </c>
      <c r="G63" s="219"/>
      <c r="H63" s="219"/>
      <c r="I63" s="220"/>
      <c r="J63" s="221" t="s">
        <v>34</v>
      </c>
      <c r="K63" s="222"/>
      <c r="L63" s="222"/>
      <c r="M63" s="222"/>
      <c r="N63" s="219"/>
      <c r="O63" s="220"/>
      <c r="P63" s="223" t="s">
        <v>64</v>
      </c>
      <c r="Q63" s="224"/>
      <c r="R63" s="224"/>
      <c r="S63" s="225"/>
      <c r="T63" s="223" t="s">
        <v>99</v>
      </c>
      <c r="U63" s="224"/>
      <c r="V63" s="224"/>
      <c r="W63" s="225"/>
      <c r="X63" s="218" t="s">
        <v>72</v>
      </c>
      <c r="Y63" s="219"/>
      <c r="Z63" s="219"/>
      <c r="AA63" s="220"/>
      <c r="AB63" s="218" t="s">
        <v>98</v>
      </c>
      <c r="AC63" s="219"/>
      <c r="AD63" s="219"/>
      <c r="AE63" s="219"/>
      <c r="AF63" s="223" t="s">
        <v>62</v>
      </c>
      <c r="AG63" s="224"/>
      <c r="AH63" s="224"/>
      <c r="AI63" s="224"/>
      <c r="AJ63" s="225"/>
      <c r="AK63" s="224" t="s">
        <v>116</v>
      </c>
      <c r="AL63" s="224"/>
      <c r="AM63" s="224"/>
      <c r="AN63" s="225"/>
      <c r="AO63" s="224" t="s">
        <v>106</v>
      </c>
      <c r="AP63" s="224"/>
      <c r="AQ63" s="224"/>
      <c r="AR63" s="225"/>
      <c r="AS63" s="224" t="s">
        <v>117</v>
      </c>
      <c r="AT63" s="224"/>
      <c r="AU63" s="224"/>
      <c r="AV63" s="225"/>
      <c r="AW63" s="224" t="s">
        <v>63</v>
      </c>
      <c r="AX63" s="224"/>
      <c r="AY63" s="224"/>
      <c r="AZ63" s="225"/>
      <c r="BA63" s="223" t="s">
        <v>118</v>
      </c>
      <c r="BB63" s="224"/>
      <c r="BC63" s="224"/>
      <c r="BD63" s="224"/>
      <c r="BE63" s="223" t="s">
        <v>111</v>
      </c>
      <c r="BF63" s="224"/>
      <c r="BG63" s="224"/>
      <c r="BH63" s="225"/>
      <c r="BI63" s="223" t="s">
        <v>119</v>
      </c>
      <c r="BJ63" s="224"/>
      <c r="BK63" s="224"/>
      <c r="BL63" s="225"/>
      <c r="BM63" s="223" t="s">
        <v>122</v>
      </c>
      <c r="BN63" s="224"/>
      <c r="BO63" s="224"/>
      <c r="BP63" s="225"/>
      <c r="BQ63" s="223" t="s">
        <v>73</v>
      </c>
      <c r="BR63" s="224"/>
      <c r="BS63" s="224"/>
      <c r="BT63" s="225"/>
      <c r="BU63" s="223" t="s">
        <v>74</v>
      </c>
      <c r="BV63" s="224"/>
      <c r="BW63" s="224"/>
      <c r="BX63" s="225"/>
      <c r="BY63" s="224" t="s">
        <v>75</v>
      </c>
      <c r="BZ63" s="224"/>
      <c r="CA63" s="225"/>
      <c r="CB63" s="224" t="s">
        <v>76</v>
      </c>
      <c r="CC63" s="224"/>
      <c r="CD63" s="224"/>
      <c r="CE63" s="225"/>
      <c r="CF63" s="224" t="s">
        <v>65</v>
      </c>
      <c r="CG63" s="224"/>
      <c r="CH63" s="224"/>
      <c r="CI63" s="225"/>
    </row>
    <row r="64" spans="1:87" ht="13.5" customHeight="1">
      <c r="A64" s="22"/>
      <c r="B64" s="186">
        <v>22</v>
      </c>
      <c r="C64" s="289">
        <v>1</v>
      </c>
      <c r="D64" s="134" t="str">
        <f>N51</f>
        <v>KFH</v>
      </c>
      <c r="E64" s="135"/>
      <c r="F64" s="134" t="str">
        <f>D51</f>
        <v>4800215830</v>
      </c>
      <c r="G64" s="135"/>
      <c r="H64" s="135"/>
      <c r="I64" s="137"/>
      <c r="J64" s="226" t="str">
        <f>H51</f>
        <v>TF38-20S-0.5SV(830)</v>
      </c>
      <c r="K64" s="136"/>
      <c r="L64" s="136"/>
      <c r="M64" s="136"/>
      <c r="N64" s="145"/>
      <c r="O64" s="146"/>
      <c r="P64" s="134" t="s">
        <v>97</v>
      </c>
      <c r="Q64" s="136"/>
      <c r="R64" s="136"/>
      <c r="S64" s="146"/>
      <c r="T64" s="134" t="str">
        <f>AE51</f>
        <v>USD</v>
      </c>
      <c r="U64" s="136"/>
      <c r="V64" s="136"/>
      <c r="W64" s="146"/>
      <c r="X64" s="679">
        <f>R51</f>
        <v>70000</v>
      </c>
      <c r="Y64" s="680"/>
      <c r="Z64" s="680"/>
      <c r="AA64" s="681"/>
      <c r="AB64" s="682">
        <f>Z51</f>
        <v>6.7299999999999999E-2</v>
      </c>
      <c r="AC64" s="683"/>
      <c r="AD64" s="683"/>
      <c r="AE64" s="684"/>
      <c r="AF64" s="682">
        <f>BC51</f>
        <v>0.151</v>
      </c>
      <c r="AG64" s="683"/>
      <c r="AH64" s="683"/>
      <c r="AI64" s="683"/>
      <c r="AJ64" s="684"/>
      <c r="AK64" s="682">
        <f>AM51</f>
        <v>0.12</v>
      </c>
      <c r="AL64" s="683"/>
      <c r="AM64" s="683"/>
      <c r="AN64" s="684"/>
      <c r="AO64" s="682">
        <f>AI51</f>
        <v>0.1211</v>
      </c>
      <c r="AP64" s="683"/>
      <c r="AQ64" s="683"/>
      <c r="AR64" s="684"/>
      <c r="AS64" s="682">
        <f>AI51/(1-AQ51)</f>
        <v>0.12232323232323232</v>
      </c>
      <c r="AT64" s="683"/>
      <c r="AU64" s="683"/>
      <c r="AV64" s="684"/>
      <c r="AW64" s="682">
        <f>AO64-(AS64*$K$20)</f>
        <v>0.11498383838383838</v>
      </c>
      <c r="AX64" s="683"/>
      <c r="AY64" s="683"/>
      <c r="AZ64" s="684"/>
      <c r="BA64" s="700">
        <f>IFERROR((AI51-AM51)/AM51,"")</f>
        <v>9.1666666666666979E-3</v>
      </c>
      <c r="BB64" s="701"/>
      <c r="BC64" s="701"/>
      <c r="BD64" s="702"/>
      <c r="BE64" s="703">
        <f>AU51</f>
        <v>0.13589999999999999</v>
      </c>
      <c r="BF64" s="704"/>
      <c r="BG64" s="704"/>
      <c r="BH64" s="705"/>
      <c r="BI64" s="697">
        <f>1-AI51/(1-AQ51)/AU51</f>
        <v>9.990263191146187E-2</v>
      </c>
      <c r="BJ64" s="698"/>
      <c r="BK64" s="698"/>
      <c r="BL64" s="699"/>
      <c r="BM64" s="697">
        <f>1-AB64/BE64</f>
        <v>0.50478292862398821</v>
      </c>
      <c r="BN64" s="698"/>
      <c r="BO64" s="698"/>
      <c r="BP64" s="699"/>
      <c r="BQ64" s="691">
        <f>AY51</f>
        <v>0.151</v>
      </c>
      <c r="BR64" s="692"/>
      <c r="BS64" s="692"/>
      <c r="BT64" s="693"/>
      <c r="BU64" s="697">
        <f>1-AU51/AY51</f>
        <v>9.9999999999999978E-2</v>
      </c>
      <c r="BV64" s="698"/>
      <c r="BW64" s="698"/>
      <c r="BX64" s="699"/>
      <c r="BY64" s="682">
        <f>BG51</f>
        <v>6.1000000000000004E-3</v>
      </c>
      <c r="BZ64" s="683"/>
      <c r="CA64" s="684"/>
      <c r="CB64" s="135" t="str">
        <f>BJ51</f>
        <v>JAE</v>
      </c>
      <c r="CC64" s="136"/>
      <c r="CD64" s="136"/>
      <c r="CE64" s="138"/>
      <c r="CF64" s="135" t="s">
        <v>30</v>
      </c>
      <c r="CG64" s="136"/>
      <c r="CH64" s="136"/>
      <c r="CI64" s="138"/>
    </row>
    <row r="65" spans="1:87" ht="13.5" customHeight="1">
      <c r="A65" s="22"/>
      <c r="B65" s="362">
        <v>20</v>
      </c>
      <c r="C65" s="188" t="s">
        <v>162</v>
      </c>
      <c r="D65" s="28"/>
      <c r="E65" s="28"/>
      <c r="F65" s="28"/>
      <c r="G65" s="28"/>
      <c r="H65" s="109"/>
      <c r="I65" s="60"/>
      <c r="J65" s="61"/>
      <c r="K65" s="60"/>
      <c r="L65" s="61"/>
      <c r="M65" s="66"/>
      <c r="N65" s="66"/>
      <c r="O65" s="63"/>
      <c r="P65" s="66"/>
      <c r="Q65" s="63"/>
      <c r="R65" s="66"/>
      <c r="S65" s="28"/>
      <c r="T65" s="28"/>
      <c r="U65" s="28"/>
      <c r="V65" s="28"/>
      <c r="W65" s="28"/>
      <c r="X65" s="109"/>
      <c r="Y65" s="60"/>
      <c r="Z65" s="61"/>
      <c r="AA65" s="60"/>
      <c r="AB65" s="61"/>
      <c r="AC65" s="66"/>
      <c r="AD65" s="66"/>
      <c r="AE65" s="63"/>
      <c r="AF65" s="66"/>
      <c r="AG65" s="63"/>
      <c r="AH65" s="66"/>
      <c r="AI65" s="62"/>
      <c r="AJ65" s="66"/>
      <c r="AK65" s="63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17"/>
      <c r="AW65" s="28"/>
      <c r="AX65" s="28"/>
      <c r="AY65" s="31"/>
      <c r="AZ65" s="50"/>
      <c r="BA65" s="85"/>
      <c r="BB65" s="307"/>
      <c r="BC65" s="308"/>
      <c r="BD65" s="26"/>
      <c r="BE65" s="26"/>
      <c r="BF65" s="26"/>
    </row>
    <row r="66" spans="1:87" ht="13.5" customHeight="1">
      <c r="A66" s="22"/>
      <c r="B66" s="186">
        <v>24</v>
      </c>
      <c r="C66" s="285"/>
      <c r="D66" s="372" t="s">
        <v>161</v>
      </c>
      <c r="E66" s="373"/>
      <c r="F66" s="374" t="s">
        <v>171</v>
      </c>
      <c r="G66" s="373"/>
      <c r="H66" s="373"/>
      <c r="I66" s="375"/>
      <c r="J66" s="374" t="s">
        <v>30</v>
      </c>
      <c r="K66" s="376"/>
      <c r="L66" s="376"/>
      <c r="M66" s="376"/>
      <c r="N66" s="373"/>
      <c r="O66" s="375"/>
      <c r="P66" s="380" t="s">
        <v>30</v>
      </c>
      <c r="Q66" s="378"/>
      <c r="R66" s="378"/>
      <c r="S66" s="379"/>
      <c r="T66" s="372"/>
      <c r="U66" s="373"/>
      <c r="V66" s="373"/>
      <c r="W66" s="375"/>
      <c r="X66" s="378" t="s">
        <v>125</v>
      </c>
      <c r="Y66" s="373"/>
      <c r="Z66" s="373"/>
      <c r="AA66" s="373"/>
      <c r="AB66" s="377" t="s">
        <v>120</v>
      </c>
      <c r="AC66" s="373"/>
      <c r="AD66" s="373"/>
      <c r="AE66" s="373"/>
      <c r="AF66" s="377" t="s">
        <v>121</v>
      </c>
      <c r="AG66" s="378"/>
      <c r="AH66" s="378"/>
      <c r="AI66" s="378"/>
      <c r="AJ66" s="379"/>
      <c r="AK66" s="377" t="s">
        <v>122</v>
      </c>
      <c r="AL66" s="378"/>
      <c r="AM66" s="378"/>
      <c r="AN66" s="379"/>
      <c r="AO66" s="377" t="s">
        <v>123</v>
      </c>
      <c r="AP66" s="378"/>
      <c r="AQ66" s="378"/>
      <c r="AR66" s="379"/>
      <c r="AS66" s="377" t="s">
        <v>124</v>
      </c>
      <c r="AT66" s="378"/>
      <c r="AU66" s="378"/>
      <c r="AV66" s="378"/>
      <c r="AW66" s="380" t="s">
        <v>30</v>
      </c>
      <c r="AX66" s="378"/>
      <c r="AY66" s="378"/>
      <c r="AZ66" s="379"/>
      <c r="BA66" s="380"/>
      <c r="BB66" s="378"/>
      <c r="BC66" s="378"/>
      <c r="BD66" s="379"/>
      <c r="BE66" s="381"/>
      <c r="BF66" s="378"/>
      <c r="BG66" s="378"/>
      <c r="BH66" s="379"/>
      <c r="BI66" s="381" t="s">
        <v>30</v>
      </c>
      <c r="BJ66" s="378"/>
      <c r="BK66" s="378"/>
      <c r="BL66" s="379"/>
      <c r="BM66" s="381" t="s">
        <v>30</v>
      </c>
      <c r="BN66" s="378"/>
      <c r="BO66" s="378"/>
      <c r="BP66" s="379"/>
      <c r="BQ66" s="381" t="s">
        <v>30</v>
      </c>
      <c r="BR66" s="378"/>
      <c r="BS66" s="378"/>
      <c r="BT66" s="379"/>
      <c r="BU66" s="378"/>
      <c r="BV66" s="378"/>
      <c r="BW66" s="378"/>
      <c r="BX66" s="379"/>
      <c r="BY66" s="381" t="s">
        <v>30</v>
      </c>
      <c r="BZ66" s="378"/>
      <c r="CA66" s="379"/>
      <c r="CB66" s="378"/>
      <c r="CC66" s="378"/>
      <c r="CD66" s="378"/>
      <c r="CE66" s="379"/>
      <c r="CF66" s="378"/>
      <c r="CG66" s="378"/>
      <c r="CH66" s="378"/>
      <c r="CI66" s="379"/>
    </row>
    <row r="67" spans="1:87" ht="13.5" customHeight="1">
      <c r="A67" s="22"/>
      <c r="B67" s="186">
        <v>25</v>
      </c>
      <c r="C67" s="289">
        <v>1</v>
      </c>
      <c r="D67" s="134" t="s">
        <v>105</v>
      </c>
      <c r="E67" s="135"/>
      <c r="F67" s="134" t="s">
        <v>96</v>
      </c>
      <c r="G67" s="135"/>
      <c r="H67" s="135"/>
      <c r="I67" s="137"/>
      <c r="J67" s="205"/>
      <c r="K67" s="206"/>
      <c r="L67" s="206"/>
      <c r="M67" s="206"/>
      <c r="N67" s="145"/>
      <c r="O67" s="146"/>
      <c r="P67" s="134"/>
      <c r="Q67" s="136"/>
      <c r="R67" s="136"/>
      <c r="S67" s="146"/>
      <c r="T67" s="107"/>
      <c r="U67" s="108"/>
      <c r="V67" s="108"/>
      <c r="W67" s="146"/>
      <c r="X67" s="694">
        <f>SUMPRODUCT(X$64:AA$64,BE$64:BH$64)</f>
        <v>9513</v>
      </c>
      <c r="Y67" s="695"/>
      <c r="Z67" s="695"/>
      <c r="AA67" s="696"/>
      <c r="AB67" s="694">
        <f>SUMPRODUCT(X$64:AA$64,AB$64:AE$64)</f>
        <v>4711</v>
      </c>
      <c r="AC67" s="695"/>
      <c r="AD67" s="695"/>
      <c r="AE67" s="696"/>
      <c r="AF67" s="694">
        <f>X67-AB67</f>
        <v>4802</v>
      </c>
      <c r="AG67" s="695"/>
      <c r="AH67" s="695"/>
      <c r="AI67" s="695"/>
      <c r="AJ67" s="696"/>
      <c r="AK67" s="716">
        <f>AF67/X67</f>
        <v>0.50478292862398821</v>
      </c>
      <c r="AL67" s="717"/>
      <c r="AM67" s="717"/>
      <c r="AN67" s="718"/>
      <c r="AO67" s="716">
        <f>IFERROR(AS67/(X67-AS67),"")</f>
        <v>0.13249999999999998</v>
      </c>
      <c r="AP67" s="717"/>
      <c r="AQ67" s="717"/>
      <c r="AR67" s="718"/>
      <c r="AS67" s="719">
        <f>X$64*(BE$64-AK$64)</f>
        <v>1112.9999999999998</v>
      </c>
      <c r="AT67" s="720"/>
      <c r="AU67" s="720"/>
      <c r="AV67" s="721"/>
      <c r="AW67" s="710"/>
      <c r="AX67" s="711"/>
      <c r="AY67" s="711"/>
      <c r="AZ67" s="712"/>
      <c r="BA67" s="713"/>
      <c r="BB67" s="714"/>
      <c r="BC67" s="714"/>
      <c r="BD67" s="715"/>
      <c r="BE67" s="697"/>
      <c r="BF67" s="698"/>
      <c r="BG67" s="698"/>
      <c r="BH67" s="699"/>
      <c r="BI67" s="135" t="s">
        <v>30</v>
      </c>
      <c r="BJ67" s="136"/>
      <c r="BK67" s="136"/>
      <c r="BL67" s="138"/>
      <c r="BM67" s="135" t="s">
        <v>30</v>
      </c>
      <c r="BN67" s="136"/>
      <c r="BO67" s="136"/>
      <c r="BP67" s="138"/>
      <c r="BQ67" s="135" t="s">
        <v>30</v>
      </c>
      <c r="BR67" s="136"/>
      <c r="BS67" s="136"/>
      <c r="BT67" s="138"/>
      <c r="BU67" s="135" t="s">
        <v>30</v>
      </c>
      <c r="BV67" s="136"/>
      <c r="BW67" s="136"/>
      <c r="BX67" s="138"/>
      <c r="BY67" s="135" t="s">
        <v>30</v>
      </c>
      <c r="BZ67" s="136"/>
      <c r="CA67" s="138"/>
      <c r="CB67" s="135" t="s">
        <v>30</v>
      </c>
      <c r="CC67" s="136"/>
      <c r="CD67" s="136"/>
      <c r="CE67" s="138"/>
      <c r="CF67" s="135" t="s">
        <v>30</v>
      </c>
      <c r="CG67" s="136"/>
      <c r="CH67" s="136"/>
      <c r="CI67" s="138"/>
    </row>
    <row r="68" spans="1:87" ht="13.5" customHeight="1">
      <c r="A68" s="22"/>
      <c r="B68" s="186">
        <v>25</v>
      </c>
      <c r="C68" s="289">
        <v>2</v>
      </c>
      <c r="D68" s="134" t="s">
        <v>105</v>
      </c>
      <c r="E68" s="135"/>
      <c r="F68" s="134" t="s">
        <v>114</v>
      </c>
      <c r="G68" s="135"/>
      <c r="H68" s="135"/>
      <c r="I68" s="137"/>
      <c r="J68" s="205"/>
      <c r="K68" s="206"/>
      <c r="L68" s="206"/>
      <c r="M68" s="206"/>
      <c r="N68" s="145"/>
      <c r="O68" s="146"/>
      <c r="P68" s="134"/>
      <c r="Q68" s="136"/>
      <c r="R68" s="136"/>
      <c r="S68" s="146"/>
      <c r="T68" s="107"/>
      <c r="U68" s="108"/>
      <c r="V68" s="108"/>
      <c r="W68" s="146"/>
      <c r="X68" s="713">
        <f>SUMPRODUCT(X$64:AA$64,BE$64:BH$64)</f>
        <v>9513</v>
      </c>
      <c r="Y68" s="714"/>
      <c r="Z68" s="714"/>
      <c r="AA68" s="715"/>
      <c r="AB68" s="713">
        <f>SUMPRODUCT(X$64:AA$64,AB$64:AE$64)</f>
        <v>4711</v>
      </c>
      <c r="AC68" s="714"/>
      <c r="AD68" s="714"/>
      <c r="AE68" s="715"/>
      <c r="AF68" s="713">
        <f>X68-AB68</f>
        <v>4802</v>
      </c>
      <c r="AG68" s="714"/>
      <c r="AH68" s="714"/>
      <c r="AI68" s="714"/>
      <c r="AJ68" s="715"/>
      <c r="AK68" s="716">
        <f>AF68/X68</f>
        <v>0.50478292862398821</v>
      </c>
      <c r="AL68" s="717"/>
      <c r="AM68" s="717"/>
      <c r="AN68" s="718"/>
      <c r="AO68" s="716">
        <f>IFERROR(AS68/(X68-AS68),"")</f>
        <v>0.13249999999999998</v>
      </c>
      <c r="AP68" s="717"/>
      <c r="AQ68" s="717"/>
      <c r="AR68" s="718"/>
      <c r="AS68" s="707">
        <f>X$64*(BE$64-AK$64)</f>
        <v>1112.9999999999998</v>
      </c>
      <c r="AT68" s="708"/>
      <c r="AU68" s="708"/>
      <c r="AV68" s="709"/>
      <c r="AW68" s="710"/>
      <c r="AX68" s="711"/>
      <c r="AY68" s="711"/>
      <c r="AZ68" s="712"/>
      <c r="BA68" s="713"/>
      <c r="BB68" s="714"/>
      <c r="BC68" s="714"/>
      <c r="BD68" s="715"/>
      <c r="BE68" s="697"/>
      <c r="BF68" s="698"/>
      <c r="BG68" s="698"/>
      <c r="BH68" s="699"/>
      <c r="BI68" s="135" t="s">
        <v>30</v>
      </c>
      <c r="BJ68" s="136"/>
      <c r="BK68" s="136"/>
      <c r="BL68" s="138"/>
      <c r="BM68" s="135" t="s">
        <v>30</v>
      </c>
      <c r="BN68" s="136"/>
      <c r="BO68" s="136"/>
      <c r="BP68" s="138"/>
      <c r="BQ68" s="135" t="s">
        <v>30</v>
      </c>
      <c r="BR68" s="136"/>
      <c r="BS68" s="136"/>
      <c r="BT68" s="138"/>
      <c r="BU68" s="135" t="s">
        <v>30</v>
      </c>
      <c r="BV68" s="136"/>
      <c r="BW68" s="136"/>
      <c r="BX68" s="138"/>
      <c r="BY68" s="135" t="s">
        <v>30</v>
      </c>
      <c r="BZ68" s="136"/>
      <c r="CA68" s="138"/>
      <c r="CB68" s="135" t="s">
        <v>30</v>
      </c>
      <c r="CC68" s="136"/>
      <c r="CD68" s="136"/>
      <c r="CE68" s="138"/>
      <c r="CF68" s="135" t="s">
        <v>30</v>
      </c>
      <c r="CG68" s="136"/>
      <c r="CH68" s="136"/>
      <c r="CI68" s="138"/>
    </row>
    <row r="69" spans="1:87" ht="13.5" customHeight="1">
      <c r="A69" s="22"/>
      <c r="B69" s="362">
        <v>20</v>
      </c>
      <c r="C69" s="188" t="s">
        <v>160</v>
      </c>
      <c r="D69" s="28"/>
      <c r="E69" s="28"/>
      <c r="F69" s="28"/>
      <c r="G69" s="28"/>
      <c r="H69" s="109"/>
      <c r="I69" s="60"/>
      <c r="J69" s="61"/>
      <c r="K69" s="60"/>
      <c r="L69" s="61"/>
      <c r="M69" s="66"/>
      <c r="N69" s="66"/>
      <c r="O69" s="63"/>
      <c r="P69" s="66"/>
      <c r="Q69" s="63"/>
      <c r="R69" s="66"/>
      <c r="S69" s="28"/>
      <c r="T69" s="28"/>
      <c r="U69" s="28"/>
      <c r="V69" s="28"/>
      <c r="W69" s="28"/>
      <c r="X69" s="109"/>
      <c r="Y69" s="60"/>
      <c r="Z69" s="61"/>
      <c r="AA69" s="60"/>
      <c r="AB69" s="61"/>
      <c r="AC69" s="66"/>
      <c r="AD69" s="66"/>
      <c r="AE69" s="63"/>
      <c r="AF69" s="66"/>
      <c r="AG69" s="63"/>
      <c r="AH69" s="66"/>
      <c r="AI69" s="62"/>
      <c r="AJ69" s="66"/>
      <c r="AK69" s="63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17"/>
      <c r="AW69" s="28"/>
      <c r="AX69" s="28"/>
      <c r="AY69" s="31"/>
      <c r="AZ69" s="50"/>
      <c r="BA69" s="85"/>
      <c r="BB69" s="307"/>
      <c r="BC69" s="308"/>
      <c r="BD69" s="26"/>
      <c r="BE69" s="26"/>
      <c r="BF69" s="26"/>
    </row>
    <row r="70" spans="1:87" ht="13.5" customHeight="1">
      <c r="A70" s="22"/>
      <c r="B70" s="186">
        <v>24</v>
      </c>
      <c r="C70" s="285"/>
      <c r="D70" s="227"/>
      <c r="E70" s="228"/>
      <c r="F70" s="227" t="s">
        <v>172</v>
      </c>
      <c r="G70" s="228"/>
      <c r="H70" s="228"/>
      <c r="I70" s="229"/>
      <c r="J70" s="230" t="s">
        <v>30</v>
      </c>
      <c r="K70" s="231"/>
      <c r="L70" s="231"/>
      <c r="M70" s="231"/>
      <c r="N70" s="228"/>
      <c r="O70" s="229"/>
      <c r="P70" s="232"/>
      <c r="Q70" s="233"/>
      <c r="R70" s="233"/>
      <c r="S70" s="234"/>
      <c r="T70" s="227"/>
      <c r="U70" s="228"/>
      <c r="V70" s="228"/>
      <c r="W70" s="229"/>
      <c r="X70" s="233" t="s">
        <v>125</v>
      </c>
      <c r="Y70" s="228"/>
      <c r="Z70" s="228"/>
      <c r="AA70" s="228"/>
      <c r="AB70" s="232" t="s">
        <v>120</v>
      </c>
      <c r="AC70" s="228"/>
      <c r="AD70" s="228"/>
      <c r="AE70" s="228"/>
      <c r="AF70" s="232" t="s">
        <v>121</v>
      </c>
      <c r="AG70" s="233"/>
      <c r="AH70" s="233"/>
      <c r="AI70" s="233"/>
      <c r="AJ70" s="234"/>
      <c r="AK70" s="232" t="s">
        <v>122</v>
      </c>
      <c r="AL70" s="233"/>
      <c r="AM70" s="233"/>
      <c r="AN70" s="234"/>
      <c r="AO70" s="232" t="s">
        <v>123</v>
      </c>
      <c r="AP70" s="233"/>
      <c r="AQ70" s="233"/>
      <c r="AR70" s="234"/>
      <c r="AS70" s="232" t="s">
        <v>124</v>
      </c>
      <c r="AT70" s="233"/>
      <c r="AU70" s="233"/>
      <c r="AV70" s="233"/>
      <c r="AW70" s="236" t="s">
        <v>30</v>
      </c>
      <c r="AX70" s="233"/>
      <c r="AY70" s="233"/>
      <c r="AZ70" s="234"/>
      <c r="BA70" s="236"/>
      <c r="BB70" s="233"/>
      <c r="BC70" s="233"/>
      <c r="BD70" s="234"/>
      <c r="BE70" s="235"/>
      <c r="BF70" s="233"/>
      <c r="BG70" s="233"/>
      <c r="BH70" s="234"/>
      <c r="BI70" s="235" t="s">
        <v>30</v>
      </c>
      <c r="BJ70" s="233"/>
      <c r="BK70" s="233"/>
      <c r="BL70" s="234"/>
      <c r="BM70" s="235" t="s">
        <v>30</v>
      </c>
      <c r="BN70" s="233"/>
      <c r="BO70" s="233"/>
      <c r="BP70" s="234"/>
      <c r="BQ70" s="235" t="s">
        <v>30</v>
      </c>
      <c r="BR70" s="233"/>
      <c r="BS70" s="233"/>
      <c r="BT70" s="234"/>
      <c r="BU70" s="233"/>
      <c r="BV70" s="233"/>
      <c r="BW70" s="233"/>
      <c r="BX70" s="234"/>
      <c r="BY70" s="235" t="s">
        <v>30</v>
      </c>
      <c r="BZ70" s="233"/>
      <c r="CA70" s="234"/>
      <c r="CB70" s="233"/>
      <c r="CC70" s="233"/>
      <c r="CD70" s="233"/>
      <c r="CE70" s="234"/>
      <c r="CF70" s="233"/>
      <c r="CG70" s="233"/>
      <c r="CH70" s="233"/>
      <c r="CI70" s="234"/>
    </row>
    <row r="71" spans="1:87" ht="13.5" customHeight="1">
      <c r="A71" s="22"/>
      <c r="B71" s="186">
        <v>25</v>
      </c>
      <c r="C71" s="289"/>
      <c r="D71" s="134"/>
      <c r="E71" s="135"/>
      <c r="F71" s="134" t="s">
        <v>96</v>
      </c>
      <c r="G71" s="135"/>
      <c r="H71" s="135"/>
      <c r="I71" s="137"/>
      <c r="J71" s="205"/>
      <c r="K71" s="206"/>
      <c r="L71" s="206"/>
      <c r="M71" s="206"/>
      <c r="N71" s="145"/>
      <c r="O71" s="146"/>
      <c r="P71" s="134"/>
      <c r="Q71" s="136"/>
      <c r="R71" s="136"/>
      <c r="S71" s="146"/>
      <c r="T71" s="107"/>
      <c r="U71" s="108"/>
      <c r="V71" s="108"/>
      <c r="W71" s="146"/>
      <c r="X71" s="694">
        <f>SUMPRODUCT(X$64:AA$64,BE$64:BH$64)</f>
        <v>9513</v>
      </c>
      <c r="Y71" s="695"/>
      <c r="Z71" s="695"/>
      <c r="AA71" s="696"/>
      <c r="AB71" s="694">
        <f>SUMPRODUCT(X$64:AA$64,AB$64:AE$64)</f>
        <v>4711</v>
      </c>
      <c r="AC71" s="695"/>
      <c r="AD71" s="695"/>
      <c r="AE71" s="696"/>
      <c r="AF71" s="694">
        <f>X71-AB71</f>
        <v>4802</v>
      </c>
      <c r="AG71" s="695"/>
      <c r="AH71" s="695"/>
      <c r="AI71" s="695"/>
      <c r="AJ71" s="696"/>
      <c r="AK71" s="716">
        <f>AF71/X71</f>
        <v>0.50478292862398821</v>
      </c>
      <c r="AL71" s="717"/>
      <c r="AM71" s="717"/>
      <c r="AN71" s="718"/>
      <c r="AO71" s="716">
        <f>IFERROR(AS71/(X71-AS71),"")</f>
        <v>0.13249999999999998</v>
      </c>
      <c r="AP71" s="717"/>
      <c r="AQ71" s="717"/>
      <c r="AR71" s="718"/>
      <c r="AS71" s="719">
        <f>X$64*(BE$64-AK$64)</f>
        <v>1112.9999999999998</v>
      </c>
      <c r="AT71" s="720"/>
      <c r="AU71" s="720"/>
      <c r="AV71" s="721"/>
      <c r="AW71" s="710"/>
      <c r="AX71" s="711"/>
      <c r="AY71" s="711"/>
      <c r="AZ71" s="712"/>
      <c r="BA71" s="713"/>
      <c r="BB71" s="714"/>
      <c r="BC71" s="714"/>
      <c r="BD71" s="715"/>
      <c r="BE71" s="697"/>
      <c r="BF71" s="698"/>
      <c r="BG71" s="698"/>
      <c r="BH71" s="699"/>
      <c r="BI71" s="135" t="s">
        <v>30</v>
      </c>
      <c r="BJ71" s="136"/>
      <c r="BK71" s="136"/>
      <c r="BL71" s="138"/>
      <c r="BM71" s="135" t="s">
        <v>30</v>
      </c>
      <c r="BN71" s="136"/>
      <c r="BO71" s="136"/>
      <c r="BP71" s="138"/>
      <c r="BQ71" s="135" t="s">
        <v>30</v>
      </c>
      <c r="BR71" s="136"/>
      <c r="BS71" s="136"/>
      <c r="BT71" s="138"/>
      <c r="BU71" s="135" t="s">
        <v>30</v>
      </c>
      <c r="BV71" s="136"/>
      <c r="BW71" s="136"/>
      <c r="BX71" s="138"/>
      <c r="BY71" s="135" t="s">
        <v>30</v>
      </c>
      <c r="BZ71" s="136"/>
      <c r="CA71" s="138"/>
      <c r="CB71" s="135" t="s">
        <v>30</v>
      </c>
      <c r="CC71" s="136"/>
      <c r="CD71" s="136"/>
      <c r="CE71" s="138"/>
      <c r="CF71" s="135" t="s">
        <v>30</v>
      </c>
      <c r="CG71" s="136"/>
      <c r="CH71" s="136"/>
      <c r="CI71" s="138"/>
    </row>
    <row r="72" spans="1:87" ht="13.5" customHeight="1">
      <c r="A72" s="22"/>
      <c r="B72" s="186">
        <v>25</v>
      </c>
      <c r="C72" s="289"/>
      <c r="D72" s="134"/>
      <c r="E72" s="135"/>
      <c r="F72" s="134" t="s">
        <v>114</v>
      </c>
      <c r="G72" s="135"/>
      <c r="H72" s="135"/>
      <c r="I72" s="137"/>
      <c r="J72" s="205"/>
      <c r="K72" s="206"/>
      <c r="L72" s="206"/>
      <c r="M72" s="206"/>
      <c r="N72" s="145"/>
      <c r="O72" s="146"/>
      <c r="P72" s="134"/>
      <c r="Q72" s="136"/>
      <c r="R72" s="136"/>
      <c r="S72" s="146"/>
      <c r="T72" s="107"/>
      <c r="U72" s="108"/>
      <c r="V72" s="108"/>
      <c r="W72" s="146"/>
      <c r="X72" s="713">
        <f>SUMPRODUCT(X$64:AA$64,BE$64:BH$64)</f>
        <v>9513</v>
      </c>
      <c r="Y72" s="714"/>
      <c r="Z72" s="714"/>
      <c r="AA72" s="715"/>
      <c r="AB72" s="713">
        <f>SUMPRODUCT(X$64:AA$64,AB$64:AE$64)</f>
        <v>4711</v>
      </c>
      <c r="AC72" s="714"/>
      <c r="AD72" s="714"/>
      <c r="AE72" s="715"/>
      <c r="AF72" s="713">
        <f>X72-AB72</f>
        <v>4802</v>
      </c>
      <c r="AG72" s="714"/>
      <c r="AH72" s="714"/>
      <c r="AI72" s="714"/>
      <c r="AJ72" s="715"/>
      <c r="AK72" s="716">
        <f>AF72/X72</f>
        <v>0.50478292862398821</v>
      </c>
      <c r="AL72" s="717"/>
      <c r="AM72" s="717"/>
      <c r="AN72" s="718"/>
      <c r="AO72" s="716">
        <f>IFERROR(AS72/(X72-AS72),"")</f>
        <v>0.13249999999999998</v>
      </c>
      <c r="AP72" s="717"/>
      <c r="AQ72" s="717"/>
      <c r="AR72" s="718"/>
      <c r="AS72" s="707">
        <f>X$64*(BE$64-AK$64)</f>
        <v>1112.9999999999998</v>
      </c>
      <c r="AT72" s="708"/>
      <c r="AU72" s="708"/>
      <c r="AV72" s="709"/>
      <c r="AW72" s="710"/>
      <c r="AX72" s="711"/>
      <c r="AY72" s="711"/>
      <c r="AZ72" s="712"/>
      <c r="BA72" s="713"/>
      <c r="BB72" s="714"/>
      <c r="BC72" s="714"/>
      <c r="BD72" s="715"/>
      <c r="BE72" s="697"/>
      <c r="BF72" s="698"/>
      <c r="BG72" s="698"/>
      <c r="BH72" s="699"/>
      <c r="BI72" s="135" t="s">
        <v>30</v>
      </c>
      <c r="BJ72" s="136"/>
      <c r="BK72" s="136"/>
      <c r="BL72" s="138"/>
      <c r="BM72" s="135" t="s">
        <v>30</v>
      </c>
      <c r="BN72" s="136"/>
      <c r="BO72" s="136"/>
      <c r="BP72" s="138"/>
      <c r="BQ72" s="135" t="s">
        <v>30</v>
      </c>
      <c r="BR72" s="136"/>
      <c r="BS72" s="136"/>
      <c r="BT72" s="138"/>
      <c r="BU72" s="135" t="s">
        <v>30</v>
      </c>
      <c r="BV72" s="136"/>
      <c r="BW72" s="136"/>
      <c r="BX72" s="138"/>
      <c r="BY72" s="135" t="s">
        <v>30</v>
      </c>
      <c r="BZ72" s="136"/>
      <c r="CA72" s="138"/>
      <c r="CB72" s="135" t="s">
        <v>30</v>
      </c>
      <c r="CC72" s="136"/>
      <c r="CD72" s="136"/>
      <c r="CE72" s="138"/>
      <c r="CF72" s="135" t="s">
        <v>30</v>
      </c>
      <c r="CG72" s="136"/>
      <c r="CH72" s="136"/>
      <c r="CI72" s="138"/>
    </row>
    <row r="73" spans="1:87" ht="13.5" customHeight="1">
      <c r="A73" s="22"/>
      <c r="B73" s="186">
        <v>26</v>
      </c>
      <c r="C73" s="315"/>
      <c r="D73" s="71"/>
      <c r="E73" s="71"/>
      <c r="F73" s="71"/>
      <c r="G73" s="71"/>
      <c r="H73" s="183"/>
      <c r="I73" s="183"/>
      <c r="J73" s="184"/>
      <c r="K73" s="183"/>
      <c r="L73" s="184"/>
      <c r="M73" s="183"/>
      <c r="N73" s="183"/>
      <c r="O73" s="77"/>
      <c r="P73" s="78"/>
      <c r="Q73" s="78"/>
      <c r="R73" s="78"/>
      <c r="S73" s="71"/>
      <c r="T73" s="71"/>
      <c r="U73" s="71"/>
      <c r="V73" s="71"/>
      <c r="W73" s="71"/>
      <c r="X73" s="79"/>
      <c r="Y73" s="71"/>
      <c r="Z73" s="78"/>
      <c r="AA73" s="79"/>
      <c r="AB73" s="71"/>
      <c r="AC73" s="78"/>
      <c r="AD73" s="79"/>
      <c r="AE73" s="78"/>
      <c r="AF73" s="78"/>
      <c r="AG73" s="79"/>
      <c r="AH73" s="78"/>
      <c r="AI73" s="78"/>
      <c r="AJ73" s="84"/>
      <c r="AK73" s="78"/>
      <c r="AL73" s="78"/>
      <c r="AM73" s="78"/>
      <c r="AN73" s="78"/>
      <c r="AO73" s="78"/>
      <c r="AP73" s="78"/>
      <c r="AQ73" s="78"/>
      <c r="AR73" s="78"/>
      <c r="AS73" s="63"/>
      <c r="AT73" s="63"/>
      <c r="AU73" s="63"/>
      <c r="AV73" s="63"/>
      <c r="AW73" s="63"/>
      <c r="AX73" s="63"/>
      <c r="AY73" s="61"/>
      <c r="AZ73" s="31"/>
      <c r="BA73" s="30"/>
      <c r="BB73" s="159"/>
      <c r="BC73" s="317"/>
      <c r="BD73" s="724"/>
      <c r="BE73" s="725"/>
      <c r="BF73" s="725"/>
    </row>
    <row r="74" spans="1:87" ht="13.5" customHeight="1">
      <c r="A74" s="22"/>
      <c r="B74" s="186"/>
      <c r="C74" s="316"/>
      <c r="D74" s="310"/>
      <c r="E74" s="63"/>
      <c r="F74" s="63"/>
      <c r="G74" s="63"/>
      <c r="H74" s="63"/>
      <c r="I74" s="63"/>
      <c r="J74" s="311"/>
      <c r="K74" s="312"/>
      <c r="L74" s="312"/>
      <c r="M74" s="312"/>
      <c r="N74"/>
      <c r="O74"/>
      <c r="P74"/>
      <c r="Q74"/>
      <c r="R74"/>
      <c r="S74"/>
      <c r="T74"/>
      <c r="U74"/>
      <c r="V74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182"/>
      <c r="AN74" s="182"/>
      <c r="AO74" s="182"/>
      <c r="AP74" s="182"/>
      <c r="AQ74" s="182"/>
      <c r="AR74" s="182"/>
      <c r="AS74" s="237"/>
      <c r="AT74" s="35"/>
      <c r="AU74" s="35"/>
      <c r="AV74" s="237"/>
      <c r="AW74" s="182"/>
      <c r="AX74" s="182"/>
      <c r="AY74" s="182"/>
      <c r="AZ74" s="31"/>
      <c r="BA74" s="30"/>
      <c r="BB74" s="159"/>
      <c r="BC74" s="319"/>
      <c r="BD74" s="28"/>
      <c r="BG74" s="24"/>
      <c r="BH74" s="28"/>
    </row>
    <row r="75" spans="1:87" ht="13.5" customHeight="1">
      <c r="A75" s="22"/>
      <c r="B75" s="186"/>
      <c r="C75" s="316"/>
      <c r="D75" s="310"/>
      <c r="E75" s="63"/>
      <c r="F75" s="63"/>
      <c r="G75" s="63"/>
      <c r="H75" s="63"/>
      <c r="I75" s="63"/>
      <c r="J75" s="311"/>
      <c r="K75" s="312"/>
      <c r="L75" s="312"/>
      <c r="M75" s="312"/>
      <c r="N75"/>
      <c r="O75"/>
      <c r="P75"/>
      <c r="Q75"/>
      <c r="R75"/>
      <c r="S75"/>
      <c r="T75"/>
      <c r="U75"/>
      <c r="V75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182"/>
      <c r="AN75" s="182"/>
      <c r="AO75" s="182"/>
      <c r="AP75" s="182"/>
      <c r="AQ75" s="182"/>
      <c r="AR75" s="182"/>
      <c r="AS75" s="237"/>
      <c r="AT75" s="35"/>
      <c r="AU75" s="35"/>
      <c r="AV75" s="237"/>
      <c r="AW75" s="182"/>
      <c r="AX75" s="182"/>
      <c r="AY75" s="182"/>
      <c r="AZ75" s="31"/>
      <c r="BA75" s="30"/>
      <c r="BB75" s="159"/>
      <c r="BC75" s="319"/>
      <c r="BD75" s="28"/>
      <c r="BG75" s="24"/>
      <c r="BH75" s="28"/>
    </row>
    <row r="76" spans="1:87" ht="5.15" customHeight="1">
      <c r="A76" s="22"/>
      <c r="B76" s="186"/>
      <c r="C76" s="296"/>
      <c r="D76" s="69"/>
      <c r="E76" s="69"/>
      <c r="F76" s="69"/>
      <c r="G76" s="69"/>
      <c r="H76" s="297"/>
      <c r="I76" s="257"/>
      <c r="J76" s="255"/>
      <c r="K76" s="257"/>
      <c r="L76" s="255"/>
      <c r="M76" s="298"/>
      <c r="N76" s="298"/>
      <c r="O76" s="252"/>
      <c r="P76" s="298"/>
      <c r="Q76" s="252"/>
      <c r="R76" s="298"/>
      <c r="S76" s="69"/>
      <c r="T76" s="69"/>
      <c r="U76" s="69"/>
      <c r="V76" s="69"/>
      <c r="W76" s="69"/>
      <c r="X76" s="297"/>
      <c r="Y76" s="257"/>
      <c r="Z76" s="255"/>
      <c r="AA76" s="257"/>
      <c r="AB76" s="255"/>
      <c r="AC76" s="298"/>
      <c r="AD76" s="298"/>
      <c r="AE76" s="252"/>
      <c r="AF76" s="298"/>
      <c r="AG76" s="252"/>
      <c r="AH76" s="298"/>
      <c r="AI76" s="258"/>
      <c r="AJ76" s="298"/>
      <c r="AK76" s="252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299"/>
      <c r="AW76" s="69"/>
      <c r="AX76" s="69"/>
      <c r="AY76" s="251"/>
      <c r="AZ76" s="251"/>
      <c r="BA76" s="300"/>
      <c r="BB76" s="301"/>
      <c r="BC76" s="318"/>
      <c r="BD76" s="28"/>
    </row>
    <row r="77" spans="1:87" ht="13.5" customHeight="1">
      <c r="A77" s="22"/>
      <c r="B77" s="186">
        <v>31</v>
      </c>
      <c r="C77" s="309"/>
      <c r="D77" s="310"/>
      <c r="E77" s="63"/>
      <c r="F77" s="63"/>
      <c r="G77" s="63"/>
      <c r="H77" s="63"/>
      <c r="I77" s="63"/>
      <c r="J77" s="723"/>
      <c r="K77" s="723"/>
      <c r="L77" s="723"/>
      <c r="M77" s="72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33"/>
      <c r="BA77" s="44"/>
      <c r="BB77" s="74"/>
      <c r="BC77" s="34"/>
      <c r="BD77" s="28"/>
      <c r="BG77" s="24"/>
      <c r="BH77" s="28"/>
    </row>
    <row r="78" spans="1:87" ht="14.15" customHeight="1">
      <c r="A78" s="22"/>
      <c r="B78" s="117"/>
      <c r="C78" s="320" t="s">
        <v>94</v>
      </c>
      <c r="D78" s="28"/>
      <c r="E78" s="28"/>
      <c r="F78" s="28"/>
      <c r="G78" s="28"/>
      <c r="S78" s="35"/>
      <c r="T78" s="35"/>
      <c r="U78" s="35"/>
      <c r="V78" s="35"/>
      <c r="Y78" s="35"/>
      <c r="Z78" s="35"/>
      <c r="AD78" s="35"/>
      <c r="AE78" s="35"/>
      <c r="AF78" s="35"/>
      <c r="AG78" s="35"/>
      <c r="AH78" s="35"/>
      <c r="AI78" s="35"/>
      <c r="AJ78" s="28"/>
      <c r="AK78" s="28"/>
      <c r="AL78" s="28"/>
      <c r="AM78" s="118"/>
      <c r="AN78" s="118"/>
      <c r="AO78" s="35"/>
      <c r="AP78" s="35"/>
      <c r="AQ78" s="35"/>
      <c r="AR78" s="35"/>
      <c r="AS78" s="35"/>
      <c r="AT78" s="35"/>
      <c r="AU78" s="35"/>
      <c r="AV78" s="35"/>
      <c r="AW78" s="35"/>
      <c r="AX78" s="63"/>
      <c r="AY78" s="63"/>
      <c r="AZ78" s="33"/>
      <c r="BA78" s="44"/>
      <c r="BB78" s="74"/>
      <c r="BC78" s="34"/>
      <c r="BD78" s="28"/>
      <c r="BG78" s="35"/>
    </row>
    <row r="79" spans="1:87" ht="5.15" customHeight="1">
      <c r="A79" s="22"/>
      <c r="B79" s="186"/>
      <c r="C79" s="277"/>
      <c r="D79" s="68"/>
      <c r="E79" s="68"/>
      <c r="F79" s="68"/>
      <c r="G79" s="68"/>
      <c r="H79" s="278"/>
      <c r="I79" s="260"/>
      <c r="J79" s="261"/>
      <c r="K79" s="260"/>
      <c r="L79" s="261"/>
      <c r="M79" s="279"/>
      <c r="N79" s="279"/>
      <c r="O79" s="245"/>
      <c r="P79" s="279"/>
      <c r="Q79" s="245"/>
      <c r="R79" s="279"/>
      <c r="S79" s="68"/>
      <c r="T79" s="68"/>
      <c r="U79" s="68"/>
      <c r="V79" s="68"/>
      <c r="W79" s="68"/>
      <c r="X79" s="278"/>
      <c r="Y79" s="260"/>
      <c r="Z79" s="261"/>
      <c r="AA79" s="260"/>
      <c r="AB79" s="261"/>
      <c r="AC79" s="279"/>
      <c r="AD79" s="279"/>
      <c r="AE79" s="245"/>
      <c r="AF79" s="279"/>
      <c r="AG79" s="245"/>
      <c r="AH79" s="279"/>
      <c r="AI79" s="262"/>
      <c r="AJ79" s="279"/>
      <c r="AK79" s="245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281"/>
      <c r="AW79" s="68"/>
      <c r="AX79" s="68"/>
      <c r="AY79" s="247"/>
      <c r="AZ79" s="33"/>
      <c r="BA79" s="44"/>
      <c r="BB79" s="74"/>
      <c r="BC79" s="34"/>
      <c r="BD79" s="28"/>
    </row>
    <row r="80" spans="1:87" ht="14.15" customHeight="1">
      <c r="A80" s="23"/>
      <c r="B80" s="325"/>
      <c r="C80" s="264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5"/>
      <c r="S80" s="35"/>
      <c r="T80" s="28"/>
      <c r="U80" s="28"/>
      <c r="V80" s="28"/>
      <c r="W80" s="28"/>
      <c r="X80" s="28"/>
      <c r="Y80" s="28"/>
      <c r="Z80" s="28"/>
      <c r="AC80" s="28"/>
      <c r="AD80" s="28"/>
      <c r="AE80" s="35"/>
      <c r="AF80" s="35"/>
      <c r="AG80" s="35"/>
      <c r="AH80" s="35"/>
      <c r="AI80" s="35"/>
      <c r="AJ80" s="28"/>
      <c r="AK80" s="28"/>
      <c r="AL80" s="28"/>
      <c r="AM80" s="35"/>
      <c r="AN80" s="35"/>
      <c r="AO80" s="123"/>
      <c r="AP80" s="124"/>
      <c r="AQ80" s="118"/>
      <c r="AR80" s="118"/>
      <c r="AS80" s="118"/>
      <c r="AT80" s="118"/>
      <c r="AU80" s="76"/>
      <c r="AV80" s="35"/>
      <c r="AW80" s="35"/>
      <c r="AX80" s="63"/>
      <c r="AY80" s="321"/>
      <c r="AZ80" s="33"/>
      <c r="BA80" s="44"/>
      <c r="BB80" s="74"/>
      <c r="BC80" s="34"/>
      <c r="BD80" s="28"/>
      <c r="BG80" s="35"/>
    </row>
    <row r="81" spans="1:60" ht="14.15" customHeight="1">
      <c r="A81" s="23"/>
      <c r="B81" s="325"/>
      <c r="C81" s="326"/>
      <c r="D81" s="322" t="s">
        <v>36</v>
      </c>
      <c r="E81" s="119"/>
      <c r="F81" s="119"/>
      <c r="G81" s="119"/>
      <c r="H81" s="120"/>
      <c r="I81" s="120"/>
      <c r="J81" s="97"/>
      <c r="K81" s="121"/>
      <c r="L81" s="122"/>
      <c r="M81" s="132"/>
      <c r="N81" s="132"/>
      <c r="O81" s="119"/>
      <c r="P81" s="122"/>
      <c r="Q81" s="98"/>
      <c r="R81" s="121" t="s">
        <v>38</v>
      </c>
      <c r="S81" s="122"/>
      <c r="T81" s="98"/>
      <c r="U81" s="98"/>
      <c r="V81" s="121" t="s">
        <v>42</v>
      </c>
      <c r="W81" s="122"/>
      <c r="X81" s="98"/>
      <c r="Y81" s="35"/>
      <c r="Z81" s="35"/>
      <c r="AC81" s="28"/>
      <c r="AD81" s="28"/>
      <c r="AE81" s="28"/>
      <c r="AF81" s="35"/>
      <c r="AG81" s="35"/>
      <c r="AH81" s="28"/>
      <c r="AI81" s="28"/>
      <c r="AJ81" s="28"/>
      <c r="AK81" s="76"/>
      <c r="AL81" s="28"/>
      <c r="AM81" s="28"/>
      <c r="AN81" s="28"/>
      <c r="AO81" s="28"/>
      <c r="AP81" s="28"/>
      <c r="AQ81" s="63"/>
      <c r="AR81" s="63"/>
      <c r="AS81" s="63"/>
      <c r="AT81" s="113"/>
      <c r="AU81" s="63"/>
      <c r="AV81" s="63"/>
      <c r="AW81" s="63"/>
      <c r="AX81" s="63"/>
      <c r="AY81" s="321"/>
      <c r="AZ81" s="33"/>
      <c r="BA81" s="44"/>
      <c r="BB81" s="74"/>
      <c r="BC81" s="34"/>
      <c r="BD81" s="28"/>
      <c r="BE81" s="35"/>
      <c r="BF81" s="35"/>
      <c r="BG81" s="35"/>
    </row>
    <row r="82" spans="1:60" ht="13.5" customHeight="1">
      <c r="A82" s="22"/>
      <c r="B82" s="327"/>
      <c r="C82" s="326"/>
      <c r="D82" s="323" t="s">
        <v>43</v>
      </c>
      <c r="E82" s="125"/>
      <c r="F82" s="125"/>
      <c r="G82" s="125"/>
      <c r="H82" s="125"/>
      <c r="I82" s="125"/>
      <c r="J82" s="125"/>
      <c r="K82" s="324"/>
      <c r="L82" s="127"/>
      <c r="M82" s="99"/>
      <c r="N82" s="99"/>
      <c r="O82" s="133"/>
      <c r="P82" s="127"/>
      <c r="Q82" s="100"/>
      <c r="R82" s="126" t="s">
        <v>39</v>
      </c>
      <c r="S82" s="127"/>
      <c r="T82" s="99"/>
      <c r="U82" s="100"/>
      <c r="V82" s="128"/>
      <c r="W82" s="129"/>
      <c r="X82" s="130"/>
      <c r="Y82" s="106"/>
      <c r="Z82" s="39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63"/>
      <c r="AR82" s="63"/>
      <c r="AS82" s="63"/>
      <c r="AT82" s="113"/>
      <c r="AU82" s="63"/>
      <c r="AV82" s="63"/>
      <c r="AW82" s="63"/>
      <c r="AX82" s="63"/>
      <c r="AY82" s="321"/>
      <c r="AZ82" s="33"/>
      <c r="BA82" s="44"/>
      <c r="BB82" s="74"/>
      <c r="BC82" s="34"/>
      <c r="BD82" s="28"/>
      <c r="BE82" s="35"/>
      <c r="BF82" s="35"/>
      <c r="BG82" s="35"/>
    </row>
    <row r="83" spans="1:60" ht="5.15" customHeight="1">
      <c r="A83" s="22"/>
      <c r="B83" s="186"/>
      <c r="C83" s="296"/>
      <c r="D83" s="69"/>
      <c r="E83" s="69"/>
      <c r="F83" s="69"/>
      <c r="G83" s="69"/>
      <c r="H83" s="297"/>
      <c r="I83" s="257"/>
      <c r="J83" s="255"/>
      <c r="K83" s="257"/>
      <c r="L83" s="255"/>
      <c r="M83" s="298"/>
      <c r="N83" s="298"/>
      <c r="O83" s="252"/>
      <c r="P83" s="298"/>
      <c r="Q83" s="252"/>
      <c r="R83" s="298"/>
      <c r="S83" s="69"/>
      <c r="T83" s="69"/>
      <c r="U83" s="69"/>
      <c r="V83" s="69"/>
      <c r="W83" s="69"/>
      <c r="X83" s="297"/>
      <c r="Y83" s="257"/>
      <c r="Z83" s="255"/>
      <c r="AA83" s="257"/>
      <c r="AB83" s="255"/>
      <c r="AC83" s="298"/>
      <c r="AD83" s="298"/>
      <c r="AE83" s="252"/>
      <c r="AF83" s="298"/>
      <c r="AG83" s="252"/>
      <c r="AH83" s="298"/>
      <c r="AI83" s="258"/>
      <c r="AJ83" s="298"/>
      <c r="AK83" s="252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99"/>
      <c r="AW83" s="69"/>
      <c r="AX83" s="69"/>
      <c r="AY83" s="259"/>
      <c r="AZ83" s="33"/>
      <c r="BA83" s="44"/>
      <c r="BB83" s="74"/>
      <c r="BC83" s="34"/>
      <c r="BD83" s="28"/>
    </row>
    <row r="84" spans="1:60" ht="14.15" customHeight="1">
      <c r="A84" s="22"/>
      <c r="B84" s="186">
        <v>35</v>
      </c>
      <c r="C84" s="309"/>
      <c r="D84" s="310"/>
      <c r="E84" s="63"/>
      <c r="F84" s="63"/>
      <c r="G84" s="63"/>
      <c r="H84" s="63"/>
      <c r="I84" s="63"/>
      <c r="J84" s="722"/>
      <c r="K84" s="722"/>
      <c r="L84" s="722"/>
      <c r="M84" s="722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113"/>
      <c r="AU84" s="63"/>
      <c r="AV84" s="63"/>
      <c r="AW84" s="63"/>
      <c r="AX84" s="63"/>
      <c r="AY84" s="63"/>
      <c r="AZ84" s="33"/>
      <c r="BA84" s="44"/>
      <c r="BB84" s="313"/>
      <c r="BC84" s="314"/>
      <c r="BD84" s="28"/>
      <c r="BG84" s="24"/>
      <c r="BH84" s="28"/>
    </row>
    <row r="85" spans="1:60" ht="14.15" customHeight="1">
      <c r="A85" s="22"/>
      <c r="B85" s="186">
        <v>35</v>
      </c>
      <c r="C85" s="320" t="s">
        <v>132</v>
      </c>
      <c r="D85" s="310"/>
      <c r="E85" s="63"/>
      <c r="F85" s="63"/>
      <c r="G85" s="63"/>
      <c r="H85" s="63"/>
      <c r="I85" s="63"/>
      <c r="J85" s="722"/>
      <c r="K85" s="722"/>
      <c r="L85" s="722"/>
      <c r="M85" s="722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113"/>
      <c r="AU85" s="63"/>
      <c r="AV85" s="63"/>
      <c r="AW85" s="63"/>
      <c r="AX85" s="63"/>
      <c r="AY85" s="63"/>
      <c r="AZ85" s="33"/>
      <c r="BA85" s="44"/>
      <c r="BB85" s="313"/>
      <c r="BC85" s="314"/>
      <c r="BD85" s="28"/>
      <c r="BG85" s="24"/>
      <c r="BH85" s="28"/>
    </row>
    <row r="86" spans="1:60" ht="14.15" customHeight="1">
      <c r="A86" s="22"/>
      <c r="B86" s="186">
        <v>35</v>
      </c>
      <c r="C86" s="309"/>
      <c r="D86" s="353" t="s">
        <v>133</v>
      </c>
      <c r="E86" s="63"/>
      <c r="F86" s="63"/>
      <c r="G86" s="63"/>
      <c r="H86" s="63"/>
      <c r="I86" s="63"/>
      <c r="J86" s="352"/>
      <c r="K86" s="352"/>
      <c r="L86" s="352"/>
      <c r="M86" s="352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113"/>
      <c r="AU86" s="63"/>
      <c r="AV86" s="63"/>
      <c r="AW86" s="63"/>
      <c r="AX86" s="63"/>
      <c r="AY86" s="63"/>
      <c r="AZ86" s="33"/>
      <c r="BA86" s="44"/>
      <c r="BB86" s="313"/>
      <c r="BC86" s="314"/>
      <c r="BD86" s="28"/>
      <c r="BG86" s="24"/>
      <c r="BH86" s="28"/>
    </row>
    <row r="87" spans="1:60" ht="14.15" customHeight="1">
      <c r="A87" s="22"/>
      <c r="B87" s="186">
        <v>35</v>
      </c>
      <c r="C87" s="309"/>
      <c r="D87" s="310"/>
      <c r="E87" s="63"/>
      <c r="F87" s="63"/>
      <c r="G87" s="63"/>
      <c r="H87" s="63"/>
      <c r="I87" s="63"/>
      <c r="J87" s="726"/>
      <c r="K87" s="726"/>
      <c r="L87" s="726"/>
      <c r="M87" s="726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113"/>
      <c r="AU87" s="63"/>
      <c r="AV87" s="63"/>
      <c r="AW87" s="63"/>
      <c r="AX87" s="63"/>
      <c r="AY87" s="63"/>
      <c r="AZ87" s="33"/>
      <c r="BA87" s="44"/>
      <c r="BB87" s="313"/>
      <c r="BC87" s="314"/>
      <c r="BD87" s="28"/>
      <c r="BG87" s="24"/>
      <c r="BH87" s="28"/>
    </row>
    <row r="88" spans="1:60" ht="5.15" customHeight="1">
      <c r="A88" s="22"/>
      <c r="B88" s="186"/>
      <c r="C88" s="277"/>
      <c r="D88" s="68"/>
      <c r="E88" s="68"/>
      <c r="F88" s="68"/>
      <c r="G88" s="68"/>
      <c r="H88" s="278"/>
      <c r="I88" s="260"/>
      <c r="J88" s="261"/>
      <c r="K88" s="260"/>
      <c r="L88" s="261"/>
      <c r="M88" s="279"/>
      <c r="N88" s="279"/>
      <c r="O88" s="245"/>
      <c r="P88" s="279"/>
      <c r="Q88" s="245"/>
      <c r="R88" s="279"/>
      <c r="S88" s="68"/>
      <c r="T88" s="68"/>
      <c r="U88" s="68"/>
      <c r="V88" s="68"/>
      <c r="W88" s="68"/>
      <c r="X88" s="278"/>
      <c r="Y88" s="260"/>
      <c r="Z88" s="261"/>
      <c r="AA88" s="260"/>
      <c r="AB88" s="261"/>
      <c r="AC88" s="279"/>
      <c r="AD88" s="279"/>
      <c r="AE88" s="245"/>
      <c r="AF88" s="279"/>
      <c r="AG88" s="245"/>
      <c r="AH88" s="279"/>
      <c r="AI88" s="262"/>
      <c r="AJ88" s="279"/>
      <c r="AK88" s="245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281"/>
      <c r="AW88" s="68"/>
      <c r="AX88" s="68"/>
      <c r="AY88" s="247"/>
      <c r="AZ88" s="33"/>
      <c r="BA88" s="44"/>
      <c r="BB88" s="74"/>
      <c r="BC88" s="34"/>
      <c r="BD88" s="28"/>
    </row>
    <row r="89" spans="1:60" ht="14.15" customHeight="1">
      <c r="A89" s="23"/>
      <c r="B89" s="325"/>
      <c r="C89" s="264"/>
      <c r="D89" s="28" t="s">
        <v>126</v>
      </c>
      <c r="E89" s="28"/>
      <c r="F89" s="28"/>
      <c r="G89" s="28"/>
      <c r="H89" s="344" t="s">
        <v>130</v>
      </c>
      <c r="I89" s="240"/>
      <c r="J89" s="241"/>
      <c r="K89" s="241"/>
      <c r="L89" s="241"/>
      <c r="M89" s="242"/>
      <c r="N89" s="241"/>
      <c r="O89" s="101"/>
      <c r="P89" s="244" t="s">
        <v>33</v>
      </c>
      <c r="Q89" s="25"/>
      <c r="R89" s="345" t="s">
        <v>131</v>
      </c>
      <c r="S89" s="346"/>
      <c r="T89" s="347"/>
      <c r="U89" s="347"/>
      <c r="V89" s="358"/>
      <c r="W89" s="348"/>
      <c r="X89" s="347"/>
      <c r="Y89" s="349"/>
      <c r="Z89" s="350"/>
      <c r="AB89" s="345" t="s">
        <v>167</v>
      </c>
      <c r="AC89" s="346"/>
      <c r="AD89" s="347"/>
      <c r="AE89" s="347"/>
      <c r="AF89" s="347"/>
      <c r="AG89" s="348"/>
      <c r="AH89" s="347"/>
      <c r="AI89" s="349"/>
      <c r="AJ89" s="348"/>
      <c r="AK89" s="354"/>
      <c r="AL89" s="354"/>
      <c r="AM89" s="349"/>
      <c r="AN89" s="349"/>
      <c r="AO89" s="347"/>
      <c r="AP89" s="355"/>
      <c r="AQ89" s="347"/>
      <c r="AR89" s="347"/>
      <c r="AS89" s="347"/>
      <c r="AT89" s="347"/>
      <c r="AU89" s="356"/>
      <c r="AV89" s="349"/>
      <c r="AW89" s="349"/>
      <c r="AX89" s="357"/>
      <c r="AY89" s="321"/>
      <c r="AZ89" s="33"/>
      <c r="BA89" s="44"/>
      <c r="BB89" s="74"/>
      <c r="BC89" s="34"/>
      <c r="BD89" s="28"/>
      <c r="BG89" s="35"/>
    </row>
    <row r="90" spans="1:60" ht="14.15" customHeight="1">
      <c r="A90" s="23"/>
      <c r="B90" s="325"/>
      <c r="C90" s="264"/>
      <c r="D90" s="28"/>
      <c r="E90" s="28"/>
      <c r="F90" s="28"/>
      <c r="G90" s="28"/>
      <c r="H90" s="345" t="s">
        <v>51</v>
      </c>
      <c r="I90" s="346"/>
      <c r="J90" s="347"/>
      <c r="K90" s="347"/>
      <c r="L90" s="347"/>
      <c r="M90" s="348"/>
      <c r="N90" s="347"/>
      <c r="O90" s="349"/>
      <c r="P90" s="348"/>
      <c r="Q90" s="354"/>
      <c r="R90" s="354"/>
      <c r="S90" s="349"/>
      <c r="T90" s="349"/>
      <c r="U90" s="347"/>
      <c r="V90" s="355"/>
      <c r="W90" s="347"/>
      <c r="X90" s="347"/>
      <c r="Y90" s="347"/>
      <c r="Z90" s="347"/>
      <c r="AA90" s="356"/>
      <c r="AB90" s="349"/>
      <c r="AC90" s="349"/>
      <c r="AD90" s="354"/>
      <c r="AE90" s="347"/>
      <c r="AF90" s="347"/>
      <c r="AG90" s="348"/>
      <c r="AH90" s="347"/>
      <c r="AI90" s="349"/>
      <c r="AJ90" s="348"/>
      <c r="AK90" s="354"/>
      <c r="AL90" s="354"/>
      <c r="AM90" s="349"/>
      <c r="AN90" s="349"/>
      <c r="AO90" s="347"/>
      <c r="AP90" s="355"/>
      <c r="AQ90" s="347"/>
      <c r="AR90" s="347"/>
      <c r="AS90" s="347"/>
      <c r="AT90" s="347"/>
      <c r="AU90" s="356"/>
      <c r="AV90" s="349"/>
      <c r="AW90" s="349"/>
      <c r="AX90" s="357"/>
      <c r="AY90" s="321"/>
      <c r="AZ90" s="33"/>
      <c r="BA90" s="44"/>
      <c r="BB90" s="74"/>
      <c r="BC90" s="34"/>
      <c r="BD90" s="28"/>
      <c r="BG90" s="35"/>
    </row>
    <row r="91" spans="1:60" ht="5.15" customHeight="1">
      <c r="A91" s="22"/>
      <c r="B91" s="186"/>
      <c r="C91" s="296"/>
      <c r="D91" s="69"/>
      <c r="E91" s="69"/>
      <c r="F91" s="69"/>
      <c r="G91" s="69"/>
      <c r="H91" s="297"/>
      <c r="I91" s="257"/>
      <c r="J91" s="255"/>
      <c r="K91" s="257"/>
      <c r="L91" s="255"/>
      <c r="M91" s="298"/>
      <c r="N91" s="298"/>
      <c r="O91" s="252"/>
      <c r="P91" s="298"/>
      <c r="Q91" s="252"/>
      <c r="R91" s="298"/>
      <c r="S91" s="69"/>
      <c r="T91" s="69"/>
      <c r="U91" s="69"/>
      <c r="V91" s="69"/>
      <c r="W91" s="69"/>
      <c r="X91" s="297"/>
      <c r="Y91" s="257"/>
      <c r="Z91" s="255"/>
      <c r="AA91" s="257"/>
      <c r="AB91" s="255"/>
      <c r="AC91" s="298"/>
      <c r="AD91" s="298"/>
      <c r="AE91" s="252"/>
      <c r="AF91" s="298"/>
      <c r="AG91" s="252"/>
      <c r="AH91" s="298"/>
      <c r="AI91" s="258"/>
      <c r="AJ91" s="298"/>
      <c r="AK91" s="252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99"/>
      <c r="AW91" s="69"/>
      <c r="AX91" s="69"/>
      <c r="AY91" s="259"/>
      <c r="AZ91" s="33"/>
      <c r="BA91" s="44"/>
      <c r="BB91" s="74"/>
      <c r="BC91" s="34"/>
      <c r="BD91" s="28"/>
    </row>
    <row r="92" spans="1:60" ht="5.15" customHeight="1">
      <c r="A92" s="22"/>
      <c r="B92" s="186"/>
      <c r="C92" s="351"/>
      <c r="D92" s="68"/>
      <c r="E92" s="68"/>
      <c r="F92" s="68"/>
      <c r="G92" s="68"/>
      <c r="H92" s="278"/>
      <c r="I92" s="260"/>
      <c r="J92" s="261"/>
      <c r="K92" s="260"/>
      <c r="L92" s="261"/>
      <c r="M92" s="279"/>
      <c r="N92" s="279"/>
      <c r="O92" s="245"/>
      <c r="P92" s="279"/>
      <c r="Q92" s="245"/>
      <c r="R92" s="279"/>
      <c r="S92" s="68"/>
      <c r="T92" s="68"/>
      <c r="U92" s="68"/>
      <c r="V92" s="68"/>
      <c r="W92" s="68"/>
      <c r="X92" s="278"/>
      <c r="Y92" s="260"/>
      <c r="Z92" s="261"/>
      <c r="AA92" s="260"/>
      <c r="AB92" s="261"/>
      <c r="AC92" s="279"/>
      <c r="AD92" s="279"/>
      <c r="AE92" s="245"/>
      <c r="AF92" s="279"/>
      <c r="AG92" s="245"/>
      <c r="AH92" s="279"/>
      <c r="AI92" s="262"/>
      <c r="AJ92" s="279"/>
      <c r="AK92" s="245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281"/>
      <c r="AW92" s="68"/>
      <c r="AX92" s="68"/>
      <c r="AY92" s="246"/>
      <c r="AZ92" s="33"/>
      <c r="BA92" s="44"/>
      <c r="BB92" s="74"/>
      <c r="BC92" s="34"/>
      <c r="BD92" s="28"/>
    </row>
    <row r="93" spans="1:60" ht="14.15" customHeight="1">
      <c r="A93" s="22"/>
      <c r="B93" s="186">
        <v>35</v>
      </c>
      <c r="C93" s="60" t="s">
        <v>129</v>
      </c>
      <c r="D93" s="310"/>
      <c r="E93" s="63"/>
      <c r="F93" s="63"/>
      <c r="G93" s="63"/>
      <c r="H93" s="63"/>
      <c r="I93" s="63"/>
      <c r="J93" s="722"/>
      <c r="K93" s="722"/>
      <c r="L93" s="722"/>
      <c r="M93" s="722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113"/>
      <c r="AU93" s="63"/>
      <c r="AV93" s="63"/>
      <c r="AW93" s="63"/>
      <c r="AX93" s="63"/>
      <c r="AY93" s="63"/>
      <c r="AZ93" s="33"/>
      <c r="BA93" s="44"/>
      <c r="BB93" s="313"/>
      <c r="BC93" s="314"/>
      <c r="BD93" s="28"/>
      <c r="BG93" s="24"/>
      <c r="BH93" s="28"/>
    </row>
    <row r="94" spans="1:60" ht="5.15" customHeight="1">
      <c r="A94" s="22"/>
      <c r="B94" s="186"/>
      <c r="C94" s="277"/>
      <c r="D94" s="68"/>
      <c r="E94" s="68"/>
      <c r="F94" s="68"/>
      <c r="G94" s="68"/>
      <c r="H94" s="278"/>
      <c r="I94" s="260"/>
      <c r="J94" s="261"/>
      <c r="K94" s="260"/>
      <c r="L94" s="261"/>
      <c r="M94" s="279"/>
      <c r="N94" s="279"/>
      <c r="O94" s="245"/>
      <c r="P94" s="279"/>
      <c r="Q94" s="245"/>
      <c r="R94" s="279"/>
      <c r="S94" s="68"/>
      <c r="T94" s="68"/>
      <c r="U94" s="68"/>
      <c r="V94" s="68"/>
      <c r="W94" s="68"/>
      <c r="X94" s="278"/>
      <c r="Y94" s="260"/>
      <c r="Z94" s="261"/>
      <c r="AA94" s="260"/>
      <c r="AB94" s="261"/>
      <c r="AC94" s="279"/>
      <c r="AD94" s="279"/>
      <c r="AE94" s="245"/>
      <c r="AF94" s="279"/>
      <c r="AG94" s="245"/>
      <c r="AH94" s="279"/>
      <c r="AI94" s="262"/>
      <c r="AJ94" s="279"/>
      <c r="AK94" s="245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281"/>
      <c r="AW94" s="68"/>
      <c r="AX94" s="68"/>
      <c r="AY94" s="247"/>
      <c r="AZ94" s="33"/>
      <c r="BA94" s="44"/>
      <c r="BB94" s="74"/>
      <c r="BC94" s="34"/>
      <c r="BD94" s="28"/>
    </row>
    <row r="95" spans="1:60" ht="14.15" customHeight="1">
      <c r="A95" s="23"/>
      <c r="B95" s="325"/>
      <c r="C95" s="264"/>
      <c r="D95" s="28" t="s">
        <v>126</v>
      </c>
      <c r="E95" s="28"/>
      <c r="F95" s="28"/>
      <c r="G95" s="28"/>
      <c r="H95" s="344" t="s">
        <v>127</v>
      </c>
      <c r="I95" s="240"/>
      <c r="J95" s="241"/>
      <c r="K95" s="241"/>
      <c r="L95" s="241"/>
      <c r="M95" s="242"/>
      <c r="N95" s="241"/>
      <c r="O95" s="101"/>
      <c r="P95" s="244" t="s">
        <v>33</v>
      </c>
      <c r="Q95" s="25"/>
      <c r="R95" s="345" t="s">
        <v>128</v>
      </c>
      <c r="S95" s="346"/>
      <c r="T95" s="347"/>
      <c r="U95" s="347"/>
      <c r="V95" s="358"/>
      <c r="W95" s="359" t="s">
        <v>139</v>
      </c>
      <c r="X95" s="347"/>
      <c r="Y95" s="349"/>
      <c r="Z95" s="350"/>
      <c r="AB95" s="382" t="s">
        <v>168</v>
      </c>
      <c r="AC95" s="383"/>
      <c r="AD95" s="384"/>
      <c r="AE95" s="384"/>
      <c r="AF95" s="384"/>
      <c r="AG95" s="385"/>
      <c r="AH95" s="384"/>
      <c r="AI95" s="386"/>
      <c r="AJ95" s="385"/>
      <c r="AK95" s="59"/>
      <c r="AL95" s="59"/>
      <c r="AM95" s="386"/>
      <c r="AN95" s="386"/>
      <c r="AO95" s="384"/>
      <c r="AP95" s="387"/>
      <c r="AQ95" s="384"/>
      <c r="AR95" s="384"/>
      <c r="AS95" s="384"/>
      <c r="AT95" s="384"/>
      <c r="AU95" s="388"/>
      <c r="AV95" s="386"/>
      <c r="AW95" s="386"/>
      <c r="AX95" s="67"/>
      <c r="AY95" s="321"/>
      <c r="AZ95" s="33"/>
      <c r="BA95" s="44"/>
      <c r="BB95" s="74"/>
      <c r="BC95" s="34"/>
      <c r="BD95" s="28"/>
      <c r="BG95" s="35"/>
    </row>
    <row r="96" spans="1:60" ht="14.15" customHeight="1">
      <c r="A96" s="23"/>
      <c r="B96" s="325"/>
      <c r="C96" s="264"/>
      <c r="D96" s="28"/>
      <c r="E96" s="28"/>
      <c r="F96" s="28"/>
      <c r="G96" s="28"/>
      <c r="H96" s="345" t="s">
        <v>138</v>
      </c>
      <c r="I96" s="346"/>
      <c r="J96" s="347"/>
      <c r="K96" s="347"/>
      <c r="L96" s="347"/>
      <c r="M96" s="348"/>
      <c r="N96" s="347"/>
      <c r="O96" s="349"/>
      <c r="P96" s="348"/>
      <c r="Q96" s="354"/>
      <c r="R96" s="354"/>
      <c r="S96" s="349"/>
      <c r="T96" s="349"/>
      <c r="U96" s="347"/>
      <c r="V96" s="355"/>
      <c r="W96" s="347"/>
      <c r="X96" s="347"/>
      <c r="Y96" s="347"/>
      <c r="Z96" s="347"/>
      <c r="AA96" s="356"/>
      <c r="AB96" s="349"/>
      <c r="AC96" s="349"/>
      <c r="AD96" s="354"/>
      <c r="AE96" s="347"/>
      <c r="AF96" s="347"/>
      <c r="AG96" s="348"/>
      <c r="AH96" s="347"/>
      <c r="AI96" s="349"/>
      <c r="AJ96" s="348"/>
      <c r="AK96" s="354"/>
      <c r="AL96" s="354"/>
      <c r="AM96" s="349"/>
      <c r="AN96" s="349"/>
      <c r="AO96" s="347"/>
      <c r="AP96" s="355"/>
      <c r="AQ96" s="347"/>
      <c r="AR96" s="347"/>
      <c r="AS96" s="347"/>
      <c r="AT96" s="347"/>
      <c r="AU96" s="356"/>
      <c r="AV96" s="349"/>
      <c r="AW96" s="349"/>
      <c r="AX96" s="357"/>
      <c r="AY96" s="321"/>
      <c r="AZ96" s="33"/>
      <c r="BA96" s="44"/>
      <c r="BB96" s="74"/>
      <c r="BC96" s="34"/>
      <c r="BD96" s="28"/>
      <c r="BG96" s="35"/>
    </row>
    <row r="97" spans="1:60" ht="5.15" customHeight="1">
      <c r="A97" s="22"/>
      <c r="B97" s="186"/>
      <c r="C97" s="296"/>
      <c r="D97" s="69"/>
      <c r="E97" s="69"/>
      <c r="F97" s="69"/>
      <c r="G97" s="69"/>
      <c r="H97" s="297"/>
      <c r="I97" s="257"/>
      <c r="J97" s="255"/>
      <c r="K97" s="257"/>
      <c r="L97" s="255"/>
      <c r="M97" s="298"/>
      <c r="N97" s="298"/>
      <c r="O97" s="252"/>
      <c r="P97" s="298"/>
      <c r="Q97" s="252"/>
      <c r="R97" s="298"/>
      <c r="S97" s="69"/>
      <c r="T97" s="69"/>
      <c r="U97" s="69"/>
      <c r="V97" s="69"/>
      <c r="W97" s="69"/>
      <c r="X97" s="297"/>
      <c r="Y97" s="257"/>
      <c r="Z97" s="255"/>
      <c r="AA97" s="257"/>
      <c r="AB97" s="255"/>
      <c r="AC97" s="298"/>
      <c r="AD97" s="298"/>
      <c r="AE97" s="252"/>
      <c r="AF97" s="298"/>
      <c r="AG97" s="252"/>
      <c r="AH97" s="298"/>
      <c r="AI97" s="258"/>
      <c r="AJ97" s="298"/>
      <c r="AK97" s="252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299"/>
      <c r="AW97" s="69"/>
      <c r="AX97" s="69"/>
      <c r="AY97" s="259"/>
      <c r="AZ97" s="33"/>
      <c r="BA97" s="44"/>
      <c r="BB97" s="74"/>
      <c r="BC97" s="34"/>
      <c r="BD97" s="28"/>
    </row>
    <row r="98" spans="1:60" ht="5.15" customHeight="1">
      <c r="A98" s="22"/>
      <c r="B98" s="186"/>
      <c r="C98" s="351"/>
      <c r="D98" s="68"/>
      <c r="E98" s="68"/>
      <c r="F98" s="68"/>
      <c r="G98" s="68"/>
      <c r="H98" s="278"/>
      <c r="I98" s="260"/>
      <c r="J98" s="261"/>
      <c r="K98" s="260"/>
      <c r="L98" s="261"/>
      <c r="M98" s="279"/>
      <c r="N98" s="279"/>
      <c r="O98" s="245"/>
      <c r="P98" s="279"/>
      <c r="Q98" s="245"/>
      <c r="R98" s="279"/>
      <c r="S98" s="68"/>
      <c r="T98" s="68"/>
      <c r="U98" s="68"/>
      <c r="V98" s="68"/>
      <c r="W98" s="68"/>
      <c r="X98" s="278"/>
      <c r="Y98" s="260"/>
      <c r="Z98" s="261"/>
      <c r="AA98" s="260"/>
      <c r="AB98" s="261"/>
      <c r="AC98" s="279"/>
      <c r="AD98" s="279"/>
      <c r="AE98" s="245"/>
      <c r="AF98" s="279"/>
      <c r="AG98" s="245"/>
      <c r="AH98" s="279"/>
      <c r="AI98" s="262"/>
      <c r="AJ98" s="279"/>
      <c r="AK98" s="245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281"/>
      <c r="AW98" s="68"/>
      <c r="AX98" s="68"/>
      <c r="AY98" s="246"/>
      <c r="AZ98" s="33"/>
      <c r="BA98" s="44"/>
      <c r="BB98" s="74"/>
      <c r="BC98" s="34"/>
      <c r="BD98" s="28"/>
    </row>
    <row r="99" spans="1:60" ht="14.15" customHeight="1">
      <c r="A99" s="22"/>
      <c r="B99" s="186">
        <v>35</v>
      </c>
      <c r="C99" s="60" t="s">
        <v>129</v>
      </c>
      <c r="D99" s="310"/>
      <c r="E99" s="63"/>
      <c r="F99" s="63"/>
      <c r="G99" s="63"/>
      <c r="H99" s="63"/>
      <c r="I99" s="63"/>
      <c r="J99" s="352"/>
      <c r="K99" s="352"/>
      <c r="L99" s="352"/>
      <c r="M99" s="352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113"/>
      <c r="AU99" s="63"/>
      <c r="AV99" s="63"/>
      <c r="AW99" s="63"/>
      <c r="AX99" s="63"/>
      <c r="AY99" s="63"/>
      <c r="AZ99" s="33"/>
      <c r="BA99" s="44"/>
      <c r="BB99" s="313"/>
      <c r="BC99" s="314"/>
      <c r="BD99" s="28"/>
      <c r="BG99" s="24"/>
      <c r="BH99" s="28"/>
    </row>
    <row r="100" spans="1:60" ht="14.15" customHeight="1">
      <c r="A100" s="22"/>
      <c r="B100" s="186">
        <v>35</v>
      </c>
      <c r="C100" s="309"/>
      <c r="D100" s="310"/>
      <c r="E100" s="63"/>
      <c r="F100" s="63"/>
      <c r="G100" s="63"/>
      <c r="H100" s="63"/>
      <c r="I100" s="63"/>
      <c r="J100" s="352"/>
      <c r="K100" s="352"/>
      <c r="L100" s="352"/>
      <c r="M100" s="352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113"/>
      <c r="AU100" s="63"/>
      <c r="AV100" s="63"/>
      <c r="AW100" s="63"/>
      <c r="AX100" s="63"/>
      <c r="AY100" s="63"/>
      <c r="AZ100" s="33"/>
      <c r="BA100" s="44"/>
      <c r="BB100" s="313"/>
      <c r="BC100" s="314"/>
      <c r="BD100" s="28"/>
      <c r="BG100" s="24"/>
      <c r="BH100" s="28"/>
    </row>
    <row r="101" spans="1:60" ht="14.15" customHeight="1">
      <c r="A101" s="22"/>
      <c r="B101" s="186">
        <v>35</v>
      </c>
      <c r="C101" s="320" t="s">
        <v>134</v>
      </c>
      <c r="D101" s="310"/>
      <c r="E101" s="63"/>
      <c r="F101" s="63"/>
      <c r="G101" s="63"/>
      <c r="H101" s="63"/>
      <c r="I101" s="63"/>
      <c r="J101" s="722"/>
      <c r="K101" s="722"/>
      <c r="L101" s="722"/>
      <c r="M101" s="722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113"/>
      <c r="AU101" s="63"/>
      <c r="AV101" s="63"/>
      <c r="AW101" s="63"/>
      <c r="AX101" s="63"/>
      <c r="AY101" s="63"/>
      <c r="AZ101" s="33"/>
      <c r="BA101" s="44"/>
      <c r="BB101" s="313"/>
      <c r="BC101" s="314"/>
      <c r="BD101" s="28"/>
      <c r="BG101" s="24"/>
      <c r="BH101" s="28"/>
    </row>
    <row r="102" spans="1:60" ht="5.15" customHeight="1">
      <c r="A102" s="22"/>
      <c r="B102" s="186"/>
      <c r="C102" s="277"/>
      <c r="D102" s="68"/>
      <c r="E102" s="68"/>
      <c r="F102" s="68"/>
      <c r="G102" s="68"/>
      <c r="H102" s="278"/>
      <c r="I102" s="260"/>
      <c r="J102" s="261"/>
      <c r="K102" s="260"/>
      <c r="L102" s="261"/>
      <c r="M102" s="279"/>
      <c r="N102" s="279"/>
      <c r="O102" s="245"/>
      <c r="P102" s="279"/>
      <c r="Q102" s="245"/>
      <c r="R102" s="279"/>
      <c r="S102" s="68"/>
      <c r="T102" s="68"/>
      <c r="U102" s="68"/>
      <c r="V102" s="68"/>
      <c r="W102" s="68"/>
      <c r="X102" s="278"/>
      <c r="Y102" s="260"/>
      <c r="Z102" s="261"/>
      <c r="AA102" s="260"/>
      <c r="AB102" s="261"/>
      <c r="AC102" s="279"/>
      <c r="AD102" s="279"/>
      <c r="AE102" s="245"/>
      <c r="AF102" s="279"/>
      <c r="AG102" s="245"/>
      <c r="AH102" s="279"/>
      <c r="AI102" s="262"/>
      <c r="AJ102" s="279"/>
      <c r="AK102" s="245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281"/>
      <c r="AW102" s="68"/>
      <c r="AX102" s="68"/>
      <c r="AY102" s="247"/>
      <c r="AZ102" s="33"/>
      <c r="BA102" s="44"/>
      <c r="BB102" s="313"/>
      <c r="BC102" s="314"/>
      <c r="BD102" s="28"/>
    </row>
    <row r="103" spans="1:60" ht="13.5" customHeight="1">
      <c r="A103" s="22"/>
      <c r="B103" s="43"/>
      <c r="C103" s="248"/>
      <c r="D103" s="28" t="s">
        <v>135</v>
      </c>
      <c r="E103" s="28"/>
      <c r="F103" s="28"/>
      <c r="G103" s="28"/>
      <c r="H103" s="24"/>
      <c r="I103" s="24"/>
      <c r="J103" s="24"/>
      <c r="K103" s="24"/>
      <c r="L103" s="24"/>
      <c r="M103" s="115"/>
      <c r="N103" s="71"/>
      <c r="O103" s="78"/>
      <c r="P103" s="78"/>
      <c r="Q103" s="79"/>
      <c r="R103" s="71"/>
      <c r="S103" s="71"/>
      <c r="T103" s="71"/>
      <c r="U103" s="78"/>
      <c r="V103" s="79"/>
      <c r="W103" s="71"/>
      <c r="X103" s="63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63"/>
      <c r="AY103" s="249"/>
      <c r="AZ103" s="33"/>
      <c r="BA103" s="44"/>
      <c r="BB103" s="313"/>
      <c r="BC103" s="314"/>
      <c r="BD103" s="28"/>
      <c r="BE103" s="35"/>
      <c r="BF103" s="35"/>
      <c r="BG103" s="35"/>
    </row>
    <row r="104" spans="1:60" ht="13.5" customHeight="1">
      <c r="A104" s="22"/>
      <c r="B104" s="43"/>
      <c r="C104" s="248"/>
      <c r="D104" s="28"/>
      <c r="E104" s="28"/>
      <c r="F104" s="28"/>
      <c r="G104" s="28"/>
      <c r="H104" s="322" t="s">
        <v>137</v>
      </c>
      <c r="I104" s="119"/>
      <c r="J104" s="119"/>
      <c r="K104" s="119"/>
      <c r="L104" s="120"/>
      <c r="M104" s="120"/>
      <c r="N104" s="97"/>
      <c r="O104" s="121"/>
      <c r="P104" s="122"/>
      <c r="Q104" s="121" t="s">
        <v>136</v>
      </c>
      <c r="R104" s="122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121" t="s">
        <v>42</v>
      </c>
      <c r="AM104" s="122"/>
      <c r="AN104" s="98"/>
      <c r="AO104" s="31"/>
      <c r="AP104" s="31"/>
      <c r="AQ104" s="31"/>
      <c r="AR104" s="31"/>
      <c r="AS104" s="31"/>
      <c r="AT104" s="31"/>
      <c r="AU104" s="31"/>
      <c r="AV104" s="31"/>
      <c r="AW104" s="31"/>
      <c r="AX104" s="63"/>
      <c r="AY104" s="249"/>
      <c r="AZ104" s="33"/>
      <c r="BA104" s="44"/>
      <c r="BB104" s="313"/>
      <c r="BC104" s="314"/>
      <c r="BD104" s="28"/>
      <c r="BE104" s="35"/>
      <c r="BF104" s="35"/>
      <c r="BG104" s="35"/>
    </row>
    <row r="105" spans="1:60" ht="13.5" customHeight="1">
      <c r="A105" s="22"/>
      <c r="B105" s="43"/>
      <c r="C105" s="248"/>
      <c r="D105" s="28"/>
      <c r="E105" s="28"/>
      <c r="F105" s="28"/>
      <c r="G105" s="28"/>
      <c r="H105" s="360" t="s">
        <v>140</v>
      </c>
      <c r="I105" s="125"/>
      <c r="J105" s="125"/>
      <c r="K105" s="125"/>
      <c r="L105" s="125"/>
      <c r="M105" s="125"/>
      <c r="N105" s="125"/>
      <c r="O105" s="324"/>
      <c r="P105" s="127"/>
      <c r="Q105" s="361" t="s">
        <v>51</v>
      </c>
      <c r="R105" s="127"/>
      <c r="S105" s="99"/>
      <c r="T105" s="99"/>
      <c r="U105" s="99"/>
      <c r="V105" s="140"/>
      <c r="W105" s="101"/>
      <c r="X105" s="101"/>
      <c r="Y105" s="140"/>
      <c r="Z105" s="140"/>
      <c r="AA105" s="101"/>
      <c r="AB105" s="101"/>
      <c r="AC105" s="37"/>
      <c r="AD105" s="37"/>
      <c r="AE105" s="37"/>
      <c r="AF105" s="37"/>
      <c r="AG105" s="37"/>
      <c r="AH105" s="37"/>
      <c r="AI105" s="37"/>
      <c r="AJ105" s="37"/>
      <c r="AK105" s="88"/>
      <c r="AL105" s="128"/>
      <c r="AM105" s="129"/>
      <c r="AN105" s="130"/>
      <c r="AO105" s="31"/>
      <c r="AP105" s="31"/>
      <c r="AQ105" s="31"/>
      <c r="AR105" s="31"/>
      <c r="AS105" s="31"/>
      <c r="AT105" s="31"/>
      <c r="AU105" s="31"/>
      <c r="AV105" s="31"/>
      <c r="AW105" s="31"/>
      <c r="AX105" s="63"/>
      <c r="AY105" s="249"/>
      <c r="AZ105" s="33"/>
      <c r="BA105" s="44"/>
      <c r="BB105" s="313"/>
      <c r="BC105" s="314"/>
      <c r="BD105" s="28"/>
      <c r="BE105" s="35"/>
      <c r="BF105" s="35"/>
      <c r="BG105" s="35"/>
    </row>
    <row r="106" spans="1:60" ht="13.5" customHeight="1">
      <c r="A106" s="22"/>
      <c r="B106" s="43"/>
      <c r="C106" s="248"/>
      <c r="D106" s="28"/>
      <c r="E106" s="28"/>
      <c r="F106" s="28"/>
      <c r="G106" s="28"/>
      <c r="H106" s="360" t="s">
        <v>141</v>
      </c>
      <c r="I106" s="125"/>
      <c r="J106" s="125"/>
      <c r="K106" s="125"/>
      <c r="L106" s="125"/>
      <c r="M106" s="125"/>
      <c r="N106" s="125"/>
      <c r="O106" s="324"/>
      <c r="P106" s="127"/>
      <c r="Q106" s="361" t="s">
        <v>51</v>
      </c>
      <c r="R106" s="127"/>
      <c r="S106" s="99"/>
      <c r="T106" s="99"/>
      <c r="U106" s="99"/>
      <c r="V106" s="140"/>
      <c r="W106" s="101"/>
      <c r="X106" s="101"/>
      <c r="Y106" s="140"/>
      <c r="Z106" s="140"/>
      <c r="AA106" s="101"/>
      <c r="AB106" s="101"/>
      <c r="AC106" s="37"/>
      <c r="AD106" s="37"/>
      <c r="AE106" s="37"/>
      <c r="AF106" s="37"/>
      <c r="AG106" s="37"/>
      <c r="AH106" s="37"/>
      <c r="AI106" s="37"/>
      <c r="AJ106" s="37"/>
      <c r="AK106" s="88"/>
      <c r="AL106" s="128"/>
      <c r="AM106" s="129"/>
      <c r="AN106" s="130"/>
      <c r="AO106" s="31"/>
      <c r="AP106" s="31"/>
      <c r="AQ106" s="31"/>
      <c r="AR106" s="31"/>
      <c r="AS106" s="31"/>
      <c r="AT106" s="31"/>
      <c r="AU106" s="31"/>
      <c r="AV106" s="31"/>
      <c r="AW106" s="31"/>
      <c r="AX106" s="63"/>
      <c r="AY106" s="249"/>
      <c r="AZ106" s="33"/>
      <c r="BA106" s="44"/>
      <c r="BB106" s="313"/>
      <c r="BC106" s="314"/>
      <c r="BD106" s="28"/>
      <c r="BE106" s="35"/>
      <c r="BF106" s="35"/>
      <c r="BG106" s="35"/>
    </row>
    <row r="107" spans="1:60" ht="13.5" customHeight="1">
      <c r="A107" s="22"/>
      <c r="B107" s="43"/>
      <c r="C107" s="248"/>
      <c r="D107" s="28"/>
      <c r="E107" s="28"/>
      <c r="F107" s="28"/>
      <c r="G107" s="28"/>
      <c r="H107" s="360" t="s">
        <v>142</v>
      </c>
      <c r="I107" s="125"/>
      <c r="J107" s="125"/>
      <c r="K107" s="125"/>
      <c r="L107" s="125"/>
      <c r="M107" s="125"/>
      <c r="N107" s="125"/>
      <c r="O107" s="324"/>
      <c r="P107" s="127"/>
      <c r="Q107" s="361" t="s">
        <v>51</v>
      </c>
      <c r="R107" s="127"/>
      <c r="S107" s="99"/>
      <c r="T107" s="99"/>
      <c r="U107" s="99"/>
      <c r="V107" s="140"/>
      <c r="W107" s="101"/>
      <c r="X107" s="101"/>
      <c r="Y107" s="140"/>
      <c r="Z107" s="140"/>
      <c r="AA107" s="101"/>
      <c r="AB107" s="101"/>
      <c r="AC107" s="37"/>
      <c r="AD107" s="37"/>
      <c r="AE107" s="37"/>
      <c r="AF107" s="37"/>
      <c r="AG107" s="37"/>
      <c r="AH107" s="37"/>
      <c r="AI107" s="37"/>
      <c r="AJ107" s="37"/>
      <c r="AK107" s="88"/>
      <c r="AL107" s="128"/>
      <c r="AM107" s="129"/>
      <c r="AN107" s="130"/>
      <c r="AO107" s="31"/>
      <c r="AP107" s="31"/>
      <c r="AQ107" s="31"/>
      <c r="AR107" s="31"/>
      <c r="AS107" s="31"/>
      <c r="AT107" s="31"/>
      <c r="AU107" s="31"/>
      <c r="AV107" s="31"/>
      <c r="AW107" s="31"/>
      <c r="AX107" s="63"/>
      <c r="AY107" s="249"/>
      <c r="AZ107" s="33"/>
      <c r="BA107" s="44"/>
      <c r="BB107" s="313"/>
      <c r="BC107" s="314"/>
      <c r="BD107" s="28"/>
      <c r="BE107" s="35"/>
      <c r="BF107" s="35"/>
      <c r="BG107" s="35"/>
    </row>
    <row r="108" spans="1:60" ht="5.15" customHeight="1">
      <c r="A108" s="22"/>
      <c r="B108" s="186"/>
      <c r="C108" s="296"/>
      <c r="D108" s="69"/>
      <c r="E108" s="69"/>
      <c r="F108" s="69"/>
      <c r="G108" s="69"/>
      <c r="H108" s="297"/>
      <c r="I108" s="257"/>
      <c r="J108" s="255"/>
      <c r="K108" s="257"/>
      <c r="L108" s="255"/>
      <c r="M108" s="298"/>
      <c r="N108" s="298"/>
      <c r="O108" s="252"/>
      <c r="P108" s="298"/>
      <c r="Q108" s="252"/>
      <c r="R108" s="298"/>
      <c r="S108" s="69"/>
      <c r="T108" s="69"/>
      <c r="U108" s="69"/>
      <c r="V108" s="69"/>
      <c r="W108" s="69"/>
      <c r="X108" s="297"/>
      <c r="Y108" s="257"/>
      <c r="Z108" s="255"/>
      <c r="AA108" s="257"/>
      <c r="AB108" s="255"/>
      <c r="AC108" s="298"/>
      <c r="AD108" s="298"/>
      <c r="AE108" s="252"/>
      <c r="AF108" s="298"/>
      <c r="AG108" s="252"/>
      <c r="AH108" s="298"/>
      <c r="AI108" s="258"/>
      <c r="AJ108" s="298"/>
      <c r="AK108" s="252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299"/>
      <c r="AW108" s="69"/>
      <c r="AX108" s="69"/>
      <c r="AY108" s="259"/>
      <c r="AZ108" s="33"/>
      <c r="BA108" s="44"/>
      <c r="BB108" s="313"/>
      <c r="BC108" s="314"/>
      <c r="BD108" s="28"/>
    </row>
    <row r="109" spans="1:60" ht="14.15" customHeight="1">
      <c r="A109" s="22"/>
      <c r="B109" s="186"/>
      <c r="C109" s="309"/>
      <c r="D109" s="310"/>
      <c r="E109" s="63"/>
      <c r="F109" s="63"/>
      <c r="G109" s="63"/>
      <c r="H109" s="63"/>
      <c r="I109" s="63"/>
      <c r="J109" s="328"/>
      <c r="K109" s="328"/>
      <c r="L109" s="328"/>
      <c r="M109" s="328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113"/>
      <c r="AU109" s="63"/>
      <c r="AV109" s="63"/>
      <c r="AW109" s="63"/>
      <c r="AX109" s="63"/>
      <c r="AY109" s="63"/>
      <c r="AZ109" s="33"/>
      <c r="BA109" s="44"/>
      <c r="BB109" s="313"/>
      <c r="BC109" s="314"/>
      <c r="BD109" s="28"/>
      <c r="BG109" s="24"/>
      <c r="BH109" s="28"/>
    </row>
    <row r="110" spans="1:60" ht="13.5" customHeight="1">
      <c r="A110" s="22"/>
      <c r="B110" s="186">
        <v>36</v>
      </c>
      <c r="C110" s="309"/>
      <c r="D110" s="310"/>
      <c r="E110" s="63"/>
      <c r="F110" s="63"/>
      <c r="G110" s="63"/>
      <c r="H110" s="63"/>
      <c r="I110" s="63"/>
      <c r="J110" s="722"/>
      <c r="K110" s="722"/>
      <c r="L110" s="722"/>
      <c r="M110" s="722"/>
      <c r="N110" s="61"/>
      <c r="O110" s="63"/>
      <c r="P110" s="63"/>
      <c r="Q110" s="63"/>
      <c r="R110" s="28"/>
      <c r="S110" s="28"/>
      <c r="T110" s="31"/>
      <c r="U110" s="31"/>
      <c r="V110" s="31"/>
      <c r="W110" s="31"/>
      <c r="X110" s="31"/>
      <c r="Y110" s="42"/>
      <c r="Z110" s="31"/>
      <c r="AA110" s="28"/>
      <c r="AB110" s="42"/>
      <c r="AC110" s="31"/>
      <c r="AD110" s="28"/>
      <c r="AE110" s="42"/>
      <c r="AF110" s="28"/>
      <c r="AG110" s="106"/>
      <c r="AH110" s="39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33"/>
      <c r="BA110" s="44"/>
      <c r="BB110" s="313"/>
      <c r="BC110" s="314"/>
      <c r="BD110" s="28"/>
      <c r="BG110" s="24"/>
      <c r="BH110" s="28"/>
    </row>
    <row r="111" spans="1:60" ht="13.5" customHeight="1">
      <c r="A111" s="22"/>
      <c r="B111" s="186">
        <v>37</v>
      </c>
      <c r="C111" s="309"/>
      <c r="D111" s="310"/>
      <c r="E111" s="63"/>
      <c r="F111" s="63"/>
      <c r="G111" s="63"/>
      <c r="H111" s="63"/>
      <c r="I111" s="63"/>
      <c r="J111" s="722"/>
      <c r="K111" s="722"/>
      <c r="L111" s="722"/>
      <c r="M111" s="722"/>
      <c r="N111" s="177"/>
      <c r="O111" s="179"/>
      <c r="P111" s="177"/>
      <c r="Q111" s="178"/>
      <c r="R111" s="178"/>
      <c r="S111" s="178"/>
      <c r="T111" s="180"/>
      <c r="U111" s="180"/>
      <c r="V111" s="180"/>
      <c r="W111" s="180"/>
      <c r="X111" s="180"/>
      <c r="Y111" s="179"/>
      <c r="Z111" s="180"/>
      <c r="AA111" s="178"/>
      <c r="AB111" s="179"/>
      <c r="AC111" s="180"/>
      <c r="AD111" s="178"/>
      <c r="AE111" s="179"/>
      <c r="AF111" s="178"/>
      <c r="AG111" s="178"/>
      <c r="AH111" s="179"/>
      <c r="AI111" s="178"/>
      <c r="AJ111" s="178"/>
      <c r="AK111" s="181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33"/>
      <c r="BA111" s="44"/>
      <c r="BB111" s="313"/>
      <c r="BC111" s="314"/>
      <c r="BD111" s="28"/>
      <c r="BG111" s="24"/>
      <c r="BH111" s="28"/>
    </row>
    <row r="112" spans="1:60">
      <c r="A112" s="22"/>
      <c r="B112" s="32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76"/>
      <c r="T112" s="76"/>
      <c r="U112" s="76"/>
      <c r="V112" s="76"/>
      <c r="W112" s="28"/>
      <c r="X112" s="28"/>
      <c r="Y112" s="76"/>
      <c r="Z112" s="76"/>
      <c r="AA112" s="28"/>
      <c r="AB112" s="28"/>
      <c r="AC112" s="28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31"/>
      <c r="AZ112" s="33"/>
      <c r="BA112" s="44"/>
      <c r="BB112" s="313"/>
      <c r="BC112" s="314"/>
    </row>
    <row r="113" spans="1:55">
      <c r="A113" s="139"/>
      <c r="B113" s="87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40"/>
      <c r="T113" s="140"/>
      <c r="U113" s="140"/>
      <c r="V113" s="140"/>
      <c r="W113" s="101"/>
      <c r="X113" s="101"/>
      <c r="Y113" s="140"/>
      <c r="Z113" s="140"/>
      <c r="AA113" s="101"/>
      <c r="AB113" s="101"/>
      <c r="AC113" s="101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87"/>
      <c r="AZ113" s="87"/>
      <c r="BA113" s="141"/>
      <c r="BB113" s="329"/>
      <c r="BC113" s="330"/>
    </row>
  </sheetData>
  <mergeCells count="107">
    <mergeCell ref="BE67:BH67"/>
    <mergeCell ref="BE68:BH68"/>
    <mergeCell ref="AF68:AJ68"/>
    <mergeCell ref="AK68:AN68"/>
    <mergeCell ref="AO68:AR68"/>
    <mergeCell ref="AS68:AV68"/>
    <mergeCell ref="AW68:AZ68"/>
    <mergeCell ref="AS71:AV71"/>
    <mergeCell ref="AW71:AZ71"/>
    <mergeCell ref="BA71:BD71"/>
    <mergeCell ref="BE71:BH71"/>
    <mergeCell ref="AF71:AJ71"/>
    <mergeCell ref="AK71:AN71"/>
    <mergeCell ref="AO71:AR71"/>
    <mergeCell ref="J110:M110"/>
    <mergeCell ref="J111:M111"/>
    <mergeCell ref="J77:M77"/>
    <mergeCell ref="J84:M84"/>
    <mergeCell ref="BE72:BH72"/>
    <mergeCell ref="BD73:BF73"/>
    <mergeCell ref="J85:M85"/>
    <mergeCell ref="J87:M87"/>
    <mergeCell ref="J93:M93"/>
    <mergeCell ref="J101:M101"/>
    <mergeCell ref="X72:AA72"/>
    <mergeCell ref="AB72:AE72"/>
    <mergeCell ref="AF72:AJ72"/>
    <mergeCell ref="AK72:AN72"/>
    <mergeCell ref="AO72:AR72"/>
    <mergeCell ref="AS64:AV64"/>
    <mergeCell ref="AS72:AV72"/>
    <mergeCell ref="AW72:AZ72"/>
    <mergeCell ref="BA72:BD72"/>
    <mergeCell ref="X68:AA68"/>
    <mergeCell ref="AB68:AE68"/>
    <mergeCell ref="BA68:BD68"/>
    <mergeCell ref="X64:AA64"/>
    <mergeCell ref="AB64:AE64"/>
    <mergeCell ref="AF64:AJ64"/>
    <mergeCell ref="AK64:AN64"/>
    <mergeCell ref="AO64:AR64"/>
    <mergeCell ref="X67:AA67"/>
    <mergeCell ref="AB67:AE67"/>
    <mergeCell ref="AF67:AJ67"/>
    <mergeCell ref="AK67:AN67"/>
    <mergeCell ref="AO67:AR67"/>
    <mergeCell ref="AS67:AV67"/>
    <mergeCell ref="AW67:AZ67"/>
    <mergeCell ref="BA67:BD67"/>
    <mergeCell ref="X71:AA71"/>
    <mergeCell ref="AB71:AE71"/>
    <mergeCell ref="BQ64:BT64"/>
    <mergeCell ref="BU64:BX64"/>
    <mergeCell ref="BY64:CA64"/>
    <mergeCell ref="AW64:AZ64"/>
    <mergeCell ref="BA64:BD64"/>
    <mergeCell ref="BE64:BH64"/>
    <mergeCell ref="BI64:BL64"/>
    <mergeCell ref="BM64:BP64"/>
    <mergeCell ref="BG52:BI52"/>
    <mergeCell ref="BM58:BP58"/>
    <mergeCell ref="BG51:BI51"/>
    <mergeCell ref="R52:U52"/>
    <mergeCell ref="Z52:AD52"/>
    <mergeCell ref="AI52:AL52"/>
    <mergeCell ref="AM52:AP52"/>
    <mergeCell ref="AQ52:AT52"/>
    <mergeCell ref="AU52:AX52"/>
    <mergeCell ref="AY52:BB52"/>
    <mergeCell ref="BC52:BF52"/>
    <mergeCell ref="AV3:AY3"/>
    <mergeCell ref="A5:BA5"/>
    <mergeCell ref="BB5:BC5"/>
    <mergeCell ref="R51:U51"/>
    <mergeCell ref="Z51:AD51"/>
    <mergeCell ref="AI51:AL51"/>
    <mergeCell ref="AM51:AP51"/>
    <mergeCell ref="AQ51:AT51"/>
    <mergeCell ref="AU51:AX51"/>
    <mergeCell ref="AY51:BB51"/>
    <mergeCell ref="H42:L42"/>
    <mergeCell ref="H43:L43"/>
    <mergeCell ref="BC51:BF51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AV2:AY2"/>
    <mergeCell ref="AZ2:BC3"/>
    <mergeCell ref="A3:H3"/>
    <mergeCell ref="I3:L3"/>
    <mergeCell ref="M3:W3"/>
    <mergeCell ref="X3:Z3"/>
    <mergeCell ref="AA3:AR3"/>
    <mergeCell ref="AS3:AU3"/>
  </mergeCells>
  <phoneticPr fontId="55"/>
  <conditionalFormatting sqref="AK67:AV68">
    <cfRule type="cellIs" dxfId="5" priority="3" operator="lessThan">
      <formula>0</formula>
    </cfRule>
  </conditionalFormatting>
  <conditionalFormatting sqref="AK71:AV72">
    <cfRule type="cellIs" dxfId="4" priority="2" operator="lessThan">
      <formula>0</formula>
    </cfRule>
  </conditionalFormatting>
  <conditionalFormatting sqref="BA64:BD64">
    <cfRule type="cellIs" dxfId="3" priority="15" operator="lessThan">
      <formula>0</formula>
    </cfRule>
  </conditionalFormatting>
  <conditionalFormatting sqref="BE67:BH68">
    <cfRule type="cellIs" dxfId="2" priority="4" operator="lessThan">
      <formula>0.3</formula>
    </cfRule>
  </conditionalFormatting>
  <conditionalFormatting sqref="BE71:BH72">
    <cfRule type="cellIs" dxfId="1" priority="1" operator="lessThan">
      <formula>0.3</formula>
    </cfRule>
  </conditionalFormatting>
  <conditionalFormatting sqref="BM64:BP64">
    <cfRule type="cellIs" dxfId="0" priority="10" operator="lessThan">
      <formula>0.3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6</vt:i4>
      </vt:variant>
    </vt:vector>
  </HeadingPairs>
  <TitlesOfParts>
    <vt:vector size="13" baseType="lpstr">
      <vt:lpstr>表紙</vt:lpstr>
      <vt:lpstr>変更来歴</vt:lpstr>
      <vt:lpstr>化学物質データ申請完了画面</vt:lpstr>
      <vt:lpstr>化学物質データ申請完了画面(仮)</vt:lpstr>
      <vt:lpstr>画面項目</vt:lpstr>
      <vt:lpstr>画面状態</vt:lpstr>
      <vt:lpstr>外貨(コリア原計)</vt:lpstr>
      <vt:lpstr>化学物質データ申請完了画面!Print_Area</vt:lpstr>
      <vt:lpstr>'化学物質データ申請完了画面(仮)'!Print_Area</vt:lpstr>
      <vt:lpstr>画面項目!Print_Area</vt:lpstr>
      <vt:lpstr>画面状態!Print_Area</vt:lpstr>
      <vt:lpstr>'外貨(コリア原計)'!Print_Area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アクティビティ アメージング</cp:lastModifiedBy>
  <cp:lastPrinted>2021-03-22T08:18:14Z</cp:lastPrinted>
  <dcterms:created xsi:type="dcterms:W3CDTF">2016-02-08T08:47:20Z</dcterms:created>
  <dcterms:modified xsi:type="dcterms:W3CDTF">2026-05-18T04:58:53Z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